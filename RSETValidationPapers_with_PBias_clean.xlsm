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PBIAS" sheetId="1" r:id="rId5"/>
    <sheet state="visible" name="IGBP_class" sheetId="2" r:id="rId6"/>
    <sheet state="visible" name="Koppen-Geiger" sheetId="3" r:id="rId7"/>
    <sheet state="visible" name="Ameriflux_Tower" sheetId="4" r:id="rId8"/>
    <sheet state="visible" name="Country_code" sheetId="5" r:id="rId9"/>
    <sheet state="visible" name="cordinated_Pbias" sheetId="6" r:id="rId10"/>
  </sheets>
  <definedNames>
    <definedName hidden="1" localSheetId="0" name="_xlnm._FilterDatabase">PBIAS!$A$3:$BO$2073</definedName>
    <definedName hidden="1" localSheetId="3" name="_xlnm._FilterDatabase">Ameriflux_Tower!$A$1:$X$1000</definedName>
    <definedName hidden="1" localSheetId="5" name="_xlnm._FilterDatabase">cordinated_Pbias!$A$1:$Q$1555</definedName>
  </definedNames>
  <calcPr/>
  <extLst>
    <ext uri="GoogleSheetsCustomDataVersion2">
      <go:sheetsCustomData xmlns:go="http://customooxmlschemas.google.com/" r:id="rId11" roundtripDataChecksum="ssrCn9W5AgNCbIctEpPMBAaSQ+1s2s9RLBeH23833sI="/>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AQ2">
      <text>
        <t xml:space="preserve">prefer info from paper
======</t>
      </text>
    </comment>
    <comment authorId="0" ref="Q3">
      <text>
        <t xml:space="preserve">unit of BIAS: hour, day, week, dekad, month, year
======</t>
      </text>
    </comment>
    <comment authorId="0" ref="S3">
      <text>
        <t xml:space="preserve">the area that ET bias was calculated for
======</t>
      </text>
    </comment>
    <comment authorId="0" ref="T3">
      <text>
        <t xml:space="preserve">Start date, DD/MM/YYYY or YYYY-DOY
======</t>
      </text>
    </comment>
    <comment authorId="0" ref="U3">
      <text>
        <t xml:space="preserve">DD/MM/YYYY or YYYY-DOY
======</t>
      </text>
    </comment>
    <comment authorId="0" ref="AA3">
      <text>
        <t xml:space="preserve">See IGBP_class tab
======</t>
      </text>
    </comment>
    <comment authorId="0" ref="AF3">
      <text>
        <t xml:space="preserve">e.g., maize, wheat, rice
======</t>
      </text>
    </comment>
    <comment authorId="0" ref="AG3">
      <text>
        <t xml:space="preserve">Koppen-Geiger classification
======</t>
      </text>
    </comment>
    <comment authorId="0" ref="AI3">
      <text>
        <t xml:space="preserve">https://ameriflux.lbl.gov/sites/site-search/
======</t>
      </text>
    </comment>
    <comment authorId="0" ref="AV3">
      <text>
        <t xml:space="preserve">Unclosed Energy Balance (1)
RE corrected (2)
BR corrected (3)
Others (4)
Unknown (Blank)
======</t>
      </text>
    </comment>
    <comment authorId="0" ref="BA3">
      <text>
        <t xml:space="preserve">Unknown (Blank)
Validation results (1)
Calibration results (2)
======</t>
      </text>
    </comment>
    <comment authorId="0" ref="BB3">
      <text>
        <t xml:space="preserve">Primary data (1): ET estimates generated in the paper
Secondary data (2): ET estimates obtained from other products or sources
Unknown (Blank)
======</t>
      </text>
    </comment>
    <comment authorId="0" ref="BC3">
      <text>
        <t xml:space="preserve">Name of data product
e.g., WaPOR, MODIS16
======</t>
      </text>
    </comment>
    <comment authorId="0" ref="BF3">
      <text>
        <t xml:space="preserve">Name or reference of model
e.g., ETLook, Mu2011
======</t>
      </text>
    </comment>
    <comment authorId="0" ref="BG3">
      <text>
        <t xml:space="preserve">- 1SEB
- 2SEB
- PM
- PT
- Factor (Kc * PET or Kc * RET, EF)
- Ts-VI (trapezoidal)
- Empirical (ML, Regression)
======</t>
      </text>
    </comment>
    <comment authorId="0" ref="BH3">
      <text>
        <t xml:space="preserve">If the model uses in situ observation as input
======</t>
      </text>
    </comment>
    <comment authorId="0" ref="BJ3">
      <text>
        <t xml:space="preserve">Landuse map for model parameterization
======</t>
      </text>
    </comment>
    <comment authorId="0" ref="BK3">
      <text>
        <t xml:space="preserve">Name of VIS-NIR data sources
e.g., MODIS, PROBA-V, Landsat, etc.
======</t>
      </text>
    </comment>
    <comment authorId="0" ref="BL3">
      <text>
        <t xml:space="preserve">RS data at Thermal Infrared range for calculation of Land Surface Temperature
e.g., MODIS, ECOSTRESS, VIIRS
======</t>
      </text>
    </comment>
    <comment authorId="0" ref="BO3">
      <text>
        <t xml:space="preserve">1 means model introduced by the paper
======</t>
      </text>
    </comment>
    <comment authorId="0" ref="P53">
      <text>
        <t xml:space="preserve">Table 5 shows W/m2 while Table 6 shows mm/day
relative error
======</t>
      </text>
    </comment>
    <comment authorId="0" ref="P57">
      <text>
        <t xml:space="preserve">relative error
======</t>
      </text>
    </comment>
    <comment authorId="0" ref="P274">
      <text>
        <t xml:space="preserve">calculated from table 8
======</t>
      </text>
    </comment>
    <comment authorId="0" ref="R295">
      <text>
        <t xml:space="preserve">"average measured over the different crop stages"
======</t>
      </text>
    </comment>
    <comment authorId="0" ref="P322">
      <text>
        <t xml:space="preserve">PBIAS is calculated because RE in paper is actually MAPE = MAE/&lt;O&gt;
======</t>
      </text>
    </comment>
    <comment authorId="0" ref="AY322">
      <text>
        <t xml:space="preserve">only discussed
======</t>
      </text>
    </comment>
    <comment authorId="0" ref="BB335">
      <text>
        <t xml:space="preserve">also 3 other LSM products: MERRA-Land, GLDAS2.0-Noah, EarthH2observe-En
======</t>
      </text>
    </comment>
    <comment authorId="0" ref="V410">
      <text>
        <t xml:space="preserve">interpolated from days of Landsat overpassing dates
======</t>
      </text>
    </comment>
    <comment authorId="0" ref="AF437">
      <text>
        <t xml:space="preserve">center pivot
======</t>
      </text>
    </comment>
    <comment authorId="0" ref="AF438">
      <text>
        <t xml:space="preserve">irrigated
======</t>
      </text>
    </comment>
    <comment authorId="0" ref="AF439">
      <text>
        <t xml:space="preserve">rainfed
======</t>
      </text>
    </comment>
    <comment authorId="0" ref="T651">
      <text>
        <t xml:space="preserve">2002, 2004-2007
======</t>
      </text>
    </comment>
    <comment authorId="0" ref="T670">
      <text>
        <t xml:space="preserve">2002, 2004-2007
======</t>
      </text>
    </comment>
    <comment authorId="0" ref="P695">
      <text>
        <t xml:space="preserve">"The ET estimated from MODIS products was misestimated compared with that estimated using the eddy system"
======</t>
      </text>
    </comment>
    <comment authorId="0" ref="AV749">
      <text>
        <t xml:space="preserve">least squares linear regression (REG) (Allen, 2008)
======</t>
      </text>
    </comment>
    <comment authorId="0" ref="AV753">
      <text>
        <t xml:space="preserve">least squares linear regression (REG) (Allen, 2008)
======</t>
      </text>
    </comment>
    <comment authorId="0" ref="AV757">
      <text>
        <t xml:space="preserve">least squares linear regression (REG) (Allen, 2008)
======</t>
      </text>
    </comment>
    <comment authorId="0" ref="AV761">
      <text>
        <t xml:space="preserve">least squares linear regression (REG) (Allen, 2008)
======</t>
      </text>
    </comment>
    <comment authorId="0" ref="AV765">
      <text>
        <t xml:space="preserve">least squares linear regression (REG) (Allen, 2008)
======</t>
      </text>
    </comment>
    <comment authorId="0" ref="AV769">
      <text>
        <t xml:space="preserve">least squares linear regression (REG) (Allen, 2008)
======</t>
      </text>
    </comment>
    <comment authorId="0" ref="AV773">
      <text>
        <t xml:space="preserve">least squares linear regression (REG) (Allen, 2008)
======</t>
      </text>
    </comment>
    <comment authorId="0" ref="AV777">
      <text>
        <t xml:space="preserve">least squares linear regression (REG) (Allen, 2008)
======</t>
      </text>
    </comment>
    <comment authorId="0" ref="AV781">
      <text>
        <t xml:space="preserve">least squares linear regression (REG) (Allen, 2008)
======</t>
      </text>
    </comment>
    <comment authorId="0" ref="AV785">
      <text>
        <t xml:space="preserve">least squares linear regression (REG) (Allen, 2008)
======</t>
      </text>
    </comment>
    <comment authorId="0" ref="AV801">
      <text>
        <t xml:space="preserve">Based on the EBC, we applied EBC adjustment factor (18% in 2012 and 11% in 2013) to correct underestimation of ET in this study.
======</t>
      </text>
    </comment>
    <comment authorId="0" ref="AV802">
      <text>
        <t xml:space="preserve">Based on the EBC, we applied EBC adjustment factor (18% in 2012 and 11% in 2013) to correct underestimation of ET in this study.
======</t>
      </text>
    </comment>
    <comment authorId="0" ref="AV803">
      <text>
        <t xml:space="preserve">Based on the EBC, we applied EBC adjustment factor (18% in 2012 and 11% in 2013) to correct underestimation of ET in this study.
======</t>
      </text>
    </comment>
    <comment authorId="0" ref="AV804">
      <text>
        <t xml:space="preserve">Based on the EBC, we applied EBC adjustment factor (18% in 2012 and 11% in 2013) to correct underestimation of ET in this study.
======</t>
      </text>
    </comment>
    <comment authorId="0" ref="AV805">
      <text>
        <t xml:space="preserve">Based on the EBC, we applied EBC adjustment factor (18% in 2012 and 11% in 2013) to correct underestimation of ET in this study.
======</t>
      </text>
    </comment>
    <comment authorId="0" ref="AV806">
      <text>
        <t xml:space="preserve">Based on the EBC, we applied EBC adjustment factor (18% in 2012 and 11% in 2013) to correct underestimation of ET in this study.
======</t>
      </text>
    </comment>
    <comment authorId="0" ref="AV807">
      <text>
        <t xml:space="preserve">Based on the EBC, we applied EBC adjustment factor (18% in 2012 and 11% in 2013) to correct underestimation of ET in this study.
======</t>
      </text>
    </comment>
    <comment authorId="0" ref="AV808">
      <text>
        <t xml:space="preserve">Based on the EBC, we applied EBC adjustment factor (18% in 2012 and 11% in 2013) to correct underestimation of ET in this study.
======</t>
      </text>
    </comment>
    <comment authorId="0" ref="AV809">
      <text>
        <t xml:space="preserve">Based on the EBC, we applied EBC adjustment factor (18% in 2012 and 11% in 2013) to correct underestimation of ET in this study.
======</t>
      </text>
    </comment>
    <comment authorId="0" ref="AV810">
      <text>
        <t xml:space="preserve">Chávez et al., 2005; Twine
et al., 2000)
======</t>
      </text>
    </comment>
    <comment authorId="0" ref="P848">
      <text>
        <t xml:space="preserve">calculated PBIAS based on average of EC and models
======</t>
      </text>
    </comment>
    <comment authorId="0" ref="P849">
      <text>
        <t xml:space="preserve">calculated PBIAS based on average of EC and models
======</t>
      </text>
    </comment>
    <comment authorId="0" ref="N1139">
      <text>
        <t xml:space="preserve">MBE
======</t>
      </text>
    </comment>
    <comment authorId="0" ref="P1308">
      <text>
        <t xml:space="preserve">paper reported -46.7, but not matching with bias*100/meanEC
======</t>
      </text>
    </comment>
    <comment authorId="0" ref="P1313">
      <text>
        <t xml:space="preserve">paper reported -39.6, but not matching with bias*100/meanEC
======</t>
      </text>
    </comment>
    <comment authorId="0" ref="D1321">
      <text>
        <t xml:space="preserve">validation with 119 stations only report RMSE, R2, bias (without mean). the %bias is only reported for 10 stations with highest %bias
======</t>
      </text>
    </comment>
    <comment authorId="0" ref="AV1462">
      <text>
        <t xml:space="preserve">Not mentioned Energy balance closure correction.
corrected for density effects (Webb et al., 1980, Leuning and Judd,1996)
======</t>
      </text>
    </comment>
    <comment authorId="0" ref="AV1463">
      <text>
        <t xml:space="preserve">Not mentioned Energy balance closure correction.
corrected for density effects (Webb et al., 1980, Leuning and Judd,1996)
======</t>
      </text>
    </comment>
    <comment authorId="0" ref="AV1464">
      <text>
        <t xml:space="preserve">Not mentioned Energy balance closure correction.
corrected for density effects (Webb et al., 1980, Leuning and Judd,1996)
======</t>
      </text>
    </comment>
    <comment authorId="0" ref="AV1465">
      <text>
        <t xml:space="preserve">Not mentioned Energy balance closure correction.
corrected for density effects (Webb et al., 1980, Leuning and Judd,1996)
======</t>
      </text>
    </comment>
    <comment authorId="0" ref="AV1466">
      <text>
        <t xml:space="preserve">Not mentioned Energy balance closure correction.
The flux data were post-processedusing the full complement of standard corrections and adjustments,including two-dimensional rotation, frequency response attenua-tion, and correcting the effects of heat and water vapor density(Webb–Pearman, Leuning procedure, Webb et al., 1980). 
======</t>
      </text>
    </comment>
    <comment authorId="0" ref="AV1467">
      <text>
        <t xml:space="preserve">Not mentioned Energy balance closure correction.
The flux data were post-processedusing the full complement of standard corrections and adjustments,including two-dimensional rotation, frequency response attenua-tion, and correcting the effects of heat and water vapor density(Webb–Pearman, Leuning procedure, Webb et al., 1980). 
======</t>
      </text>
    </comment>
    <comment authorId="0" ref="AV1678">
      <text>
        <t xml:space="preserve">Corrected, not mentioned method
======</t>
      </text>
    </comment>
    <comment authorId="0" ref="AV1679">
      <text>
        <t xml:space="preserve">Corrected, not mentioned method
======</t>
      </text>
    </comment>
    <comment authorId="0" ref="AV1680">
      <text>
        <t xml:space="preserve">Corrected, not mentioned method
======</t>
      </text>
    </comment>
    <comment authorId="0" ref="AV1681">
      <text>
        <t xml:space="preserve">Corrected, not mentioned method
======</t>
      </text>
    </comment>
    <comment authorId="0" ref="AV1682">
      <text>
        <t xml:space="preserve">Corrected, not mentioned method
======</t>
      </text>
    </comment>
    <comment authorId="0" ref="AV1683">
      <text>
        <t xml:space="preserve">Corrected, not mentioned method
======</t>
      </text>
    </comment>
    <comment authorId="0" ref="AV1684">
      <text>
        <t xml:space="preserve">Corrected, not mentioned method
======</t>
      </text>
    </comment>
    <comment authorId="0" ref="AV1685">
      <text>
        <t xml:space="preserve">Corrected, not mentioned method
======</t>
      </text>
    </comment>
    <comment authorId="0" ref="AV1686">
      <text>
        <t xml:space="preserve">Corrected, not mentioned method
======</t>
      </text>
    </comment>
    <comment authorId="0" ref="AV1687">
      <text>
        <t xml:space="preserve">Corrected, not mentioned method
======</t>
      </text>
    </comment>
    <comment authorId="0" ref="AV1688">
      <text>
        <t xml:space="preserve">Corrected, not mentioned method
======</t>
      </text>
    </comment>
    <comment authorId="0" ref="AV1689">
      <text>
        <t xml:space="preserve">Corrected, not mentioned method
======</t>
      </text>
    </comment>
    <comment authorId="0" ref="AV1690">
      <text>
        <t xml:space="preserve">Corrected, not mentioned method
======</t>
      </text>
    </comment>
    <comment authorId="0" ref="AV1696">
      <text>
        <t xml:space="preserve">evaporative fraction method (Gan 202130 based on Twine et al 2000). Evaporative fraction LE/ (LE+H) is based on conserving Bowen ratio (H/LE)
======</t>
      </text>
    </comment>
    <comment authorId="0" ref="AV1697">
      <text>
        <t xml:space="preserve">evaporative fraction method (Gan 202130 based on Twine et al 2000). Evaporative fraction LE/ (LE+H) is based on conserving Bowen ratio (H/LE)
======</t>
      </text>
    </comment>
    <comment authorId="0" ref="AV1698">
      <text>
        <t xml:space="preserve">evaporative fraction method (Gan 202130 based on Twine et al 2000). Evaporative fraction LE/ (LE+H) is based on conserving Bowen ratio (H/LE)
======</t>
      </text>
    </comment>
    <comment authorId="0" ref="AV1699">
      <text>
        <t xml:space="preserve">evaporative fraction method (Gan 202130 based on Twine et al 2000). Evaporative fraction LE/ (LE+H) is based on conserving Bowen ratio (H/LE)
======</t>
      </text>
    </comment>
    <comment authorId="0" ref="AV1700">
      <text>
        <t xml:space="preserve">evaporative fraction method (Gan 202130 based on Twine et al 2000). Evaporative fraction LE/ (LE+H) is based on conserving Bowen ratio (H/LE)
======</t>
      </text>
    </comment>
    <comment authorId="0" ref="AV1701">
      <text>
        <t xml:space="preserve">evaporative fraction method (Gan 202130 based on Twine et al 2000). Evaporative fraction LE/ (LE+H) is based on conserving Bowen ratio (H/LE)
======</t>
      </text>
    </comment>
    <comment authorId="0" ref="AV1702">
      <text>
        <t xml:space="preserve">evaporative fraction method (Gan 202130 based on Twine et al 2000). Evaporative fraction LE/ (LE+H) is based on conserving Bowen ratio (H/LE)
======</t>
      </text>
    </comment>
    <comment authorId="0" ref="AV1703">
      <text>
        <t xml:space="preserve">evaporative fraction method (Gan 202130 based on Twine et al 2000). Evaporative fraction LE/ (LE+H) is based on conserving Bowen ratio (H/LE)
======</t>
      </text>
    </comment>
    <comment authorId="0" ref="AV1704">
      <text>
        <t xml:space="preserve">evaporative fraction method (Gan 202130 based on Twine et al 2000). Evaporative fraction LE/ (LE+H) is based on conserving Bowen ratio (H/LE)
======</t>
      </text>
    </comment>
    <comment authorId="0" ref="AV1705">
      <text>
        <t xml:space="preserve">evaporative fraction method (Gan 202130 based on Twine et al 2000). Evaporative fraction LE/ (LE+H) is based on conserving Bowen ratio (H/LE)
======</t>
      </text>
    </comment>
    <comment authorId="0" ref="AV1824">
      <text>
        <t xml:space="preserve"> For sites with an energy balance closure of less than 80%, the closure was forced using the residual method and the corrected LE was computed as Rn − H − G.
======</t>
      </text>
    </comment>
    <comment authorId="0" ref="AV1825">
      <text>
        <t xml:space="preserve"> For sites with an energy balance closure of less than 80%, the closure was forced using the residual method and the corrected LE was computed as Rn − H − G.
======</t>
      </text>
    </comment>
    <comment authorId="0" ref="AV1826">
      <text>
        <t xml:space="preserve"> For sites with an energy balance closure of less than 80%, the closure was forced using the residual method and the corrected LE was computed as Rn − H − G.
======</t>
      </text>
    </comment>
    <comment authorId="0" ref="AV1827">
      <text>
        <t xml:space="preserve"> For sites with an energy balance closure of less than 80%, the closure was forced using the residual method and the corrected LE was computed as Rn − H − G.
======</t>
      </text>
    </comment>
    <comment authorId="0" ref="AV1828">
      <text>
        <t xml:space="preserve"> For sites with an energy balance closure of less than 80%, the closure was forced using the residual method and the corrected LE was computed as Rn − H − G.
======</t>
      </text>
    </comment>
    <comment authorId="0" ref="AV1829">
      <text>
        <t xml:space="preserve"> For sites with an energy balance closure of less than 80%, the closure was forced using the residual method and the corrected LE was computed as Rn − H − G.
======</t>
      </text>
    </comment>
    <comment authorId="0" ref="AV1830">
      <text>
        <t xml:space="preserve">For sites with an energy balance closure of more than 80%, the half-hourly closure was achieved with the conservation of the Bowen ratio H/LE; thus, the corrected LE was computed as (Rn − G)/(1 + H/LE) 
======</t>
      </text>
    </comment>
    <comment authorId="0" ref="AV1831">
      <text>
        <t xml:space="preserve"> For sites with an energy balance closure of less than 80%, the closure was forced using the residual method and the corrected LE was computed as Rn − H − G.
======</t>
      </text>
    </comment>
    <comment authorId="0" ref="AV1832">
      <text>
        <t xml:space="preserve"> For sites with an energy balance closure of less than 80%, the closure was forced using the residual method and the corrected LE was computed as Rn − H − G.
======</t>
      </text>
    </comment>
    <comment authorId="0" ref="AV1833">
      <text>
        <t xml:space="preserve"> For sites with an energy balance closure of less than 80%, the closure was forced using the residual method and the corrected LE was computed as Rn − H − G.
======</t>
      </text>
    </comment>
    <comment authorId="0" ref="AV1834">
      <text>
        <t xml:space="preserve"> For sites with an energy balance closure of less than 80%, the closure was forced using the residual method and the corrected LE was computed as Rn − H − G.
======</t>
      </text>
    </comment>
    <comment authorId="0" ref="AV1835">
      <text>
        <t xml:space="preserve"> For sites with an energy balance closure of less than 80%, the closure was forced using the residual method and the corrected LE was computed as Rn − H − G.
======</t>
      </text>
    </comment>
    <comment authorId="0" ref="AV1836">
      <text>
        <t xml:space="preserve"> For sites with an energy balance closure of less than 80%, the closure was forced using the residual method and the corrected LE was computed as Rn − H − G.
======</t>
      </text>
    </comment>
    <comment authorId="0" ref="AV1837">
      <text>
        <t xml:space="preserve"> For sites with an energy balance closure of less than 80%, the closure was forced using the residual method and the corrected LE was computed as Rn − H − G.
======</t>
      </text>
    </comment>
    <comment authorId="0" ref="AV1838">
      <text>
        <t xml:space="preserve"> For sites with an energy balance closure of less than 80%, the closure was forced using the residual method and the corrected LE was computed as Rn − H − G.
======</t>
      </text>
    </comment>
    <comment authorId="0" ref="AV1839">
      <text>
        <t xml:space="preserve"> For sites with an energy balance closure of less than 80%, the closure was forced using the residual method and the corrected LE was computed as Rn − H − G.
======</t>
      </text>
    </comment>
    <comment authorId="0" ref="AV1840">
      <text>
        <t xml:space="preserve"> For sites with an energy balance closure of less than 80%, the closure was forced using the residual method and the corrected LE was computed as Rn − H − G.
======</t>
      </text>
    </comment>
    <comment authorId="0" ref="AV1841">
      <text>
        <t xml:space="preserve">For sites with an energy balance closure of more than 80%, the half-hourly closure was achieved with the conservation of the Bowen ratio H/LE; thus, the corrected LE was computed as (Rn − G)/(1 + H/LE) 
======</t>
      </text>
    </comment>
    <comment authorId="0" ref="AV1842">
      <text>
        <t xml:space="preserve">For sites with an energy balance closure of more than 80%, the half-hourly closure was achieved with the conservation of the Bowen ratio H/LE; thus, the corrected LE was computed as (Rn − G)/(1 + H/LE) 
======</t>
      </text>
    </comment>
    <comment authorId="0" ref="AV1843">
      <text>
        <t xml:space="preserve"> For sites with an energy balance closure of less than 80%, the closure was forced using the residual method and the corrected LE was computed as Rn − H − G.
======</t>
      </text>
    </comment>
    <comment authorId="0" ref="AV1844">
      <text>
        <t xml:space="preserve"> For sites with an energy balance closure of less than 80%, the closure was forced using the residual method and the corrected LE was computed as Rn − H − G.
======</t>
      </text>
    </comment>
    <comment authorId="0" ref="AV1845">
      <text>
        <t xml:space="preserve"> For sites with an energy balance closure of less than 80%, the closure was forced using the residual method and the corrected LE was computed as Rn − H − G.
======</t>
      </text>
    </comment>
    <comment authorId="0" ref="AV1846">
      <text>
        <t xml:space="preserve"> For sites with an energy balance closure of less than 80%, the closure was forced using the residual method and the corrected LE was computed as Rn − H − G.
======</t>
      </text>
    </comment>
    <comment authorId="0" ref="AV1847">
      <text>
        <t xml:space="preserve"> For sites with an energy balance closure of less than 80%, the closure was forced using the residual method and the corrected LE was computed as Rn − H − G.
======</t>
      </text>
    </comment>
    <comment authorId="0" ref="AV1848">
      <text>
        <t xml:space="preserve"> For sites with an energy balance closure of less than 80%, the closure was forced using the residual method and the corrected LE was computed as Rn − H − G.
======</t>
      </text>
    </comment>
    <comment authorId="0" ref="AV1849">
      <text>
        <t xml:space="preserve"> For sites with an energy balance closure of less than 80%, the closure was forced using the residual method and the corrected LE was computed as Rn − H − G.
======</t>
      </text>
    </comment>
    <comment authorId="0" ref="AV1850">
      <text>
        <t xml:space="preserve">For sites with an energy balance closure of more than 80%, the half-hourly closure was achieved with the conservation of the Bowen ratio H/LE; thus, the corrected LE was computed as (Rn − G)/(1 + H/LE) 
======</t>
      </text>
    </comment>
    <comment authorId="0" ref="AV1851">
      <text>
        <t xml:space="preserve"> For sites with an energy balance closure of less than 80%, the closure was forced using the residual method and the corrected LE was computed as Rn − H − G.
======</t>
      </text>
    </comment>
    <comment authorId="0" ref="AV1852">
      <text>
        <t xml:space="preserve"> For sites with an energy balance closure of less than 80%, the closure was forced using the residual method and the corrected LE was computed as Rn − H − G.
======</t>
      </text>
    </comment>
    <comment authorId="0" ref="AV1853">
      <text>
        <t xml:space="preserve"> For sites with an energy balance closure of less than 80%, the closure was forced using the residual method and the corrected LE was computed as Rn − H − G.
======</t>
      </text>
    </comment>
    <comment authorId="0" ref="AV1854">
      <text>
        <t xml:space="preserve"> For sites with an energy balance closure of less than 80%, the closure was forced using the residual method and the corrected LE was computed as Rn − H − G.
======</t>
      </text>
    </comment>
    <comment authorId="0" ref="AV1855">
      <text>
        <t xml:space="preserve"> For sites with an energy balance closure of less than 80%, the closure was forced using the residual method and the corrected LE was computed as Rn − H − G.
======</t>
      </text>
    </comment>
    <comment authorId="0" ref="AV1856">
      <text>
        <t xml:space="preserve"> For sites with an energy balance closure of less than 80%, the closure was forced using the residual method and the corrected LE was computed as Rn − H − G.
======</t>
      </text>
    </comment>
    <comment authorId="0" ref="AV1857">
      <text>
        <t xml:space="preserve"> For sites with an energy balance closure of less than 80%, the closure was forced using the residual method and the corrected LE was computed as Rn − H − G.
======</t>
      </text>
    </comment>
    <comment authorId="0" ref="AV1858">
      <text>
        <t xml:space="preserve"> For sites with an energy balance closure of less than 80%, the closure was forced using the residual method and the corrected LE was computed as Rn − H − G.
======</t>
      </text>
    </comment>
    <comment authorId="0" ref="AV1859">
      <text>
        <t xml:space="preserve"> For sites with an energy balance closure of less than 80%, the closure was forced using the residual method and the corrected LE was computed as Rn − H − G.
======</t>
      </text>
    </comment>
    <comment authorId="0" ref="AV1860">
      <text>
        <t xml:space="preserve"> For sites with an energy balance closure of less than 80%, the closure was forced using the residual method and the corrected LE was computed as Rn − H − G.
======</t>
      </text>
    </comment>
    <comment authorId="0" ref="AV1861">
      <text>
        <t xml:space="preserve">For sites with an energy balance closure of more than 80%, the half-hourly closure was achieved with the conservation of the Bowen ratio H/LE; thus, the corrected LE was computed as (Rn − G)/(1 + H/LE) 
======</t>
      </text>
    </comment>
    <comment authorId="0" ref="AV1862">
      <text>
        <t xml:space="preserve">For sites with an energy balance closure of more than 80%, the half-hourly closure was achieved with the conservation of the Bowen ratio H/LE; thus, the corrected LE was computed as (Rn − G)/(1 + H/LE) 
======</t>
      </text>
    </comment>
    <comment authorId="0" ref="AV1863">
      <text>
        <t xml:space="preserve"> For sites with an energy balance closure of less than 80%, the closure was forced using the residual method and the corrected LE was computed as Rn − H − G.
======</t>
      </text>
    </comment>
    <comment authorId="0" ref="AV1864">
      <text>
        <t xml:space="preserve"> For sites with an energy balance closure of less than 80%, the closure was forced using the residual method and the corrected LE was computed as Rn − H − G.
======</t>
      </text>
    </comment>
    <comment authorId="0" ref="AV1865">
      <text>
        <t xml:space="preserve"> For sites with an energy balance closure of less than 80%, the closure was forced using the residual method and the corrected LE was computed as Rn − H − G.
======</t>
      </text>
    </comment>
    <comment authorId="0" ref="AV1866">
      <text>
        <t xml:space="preserve"> For sites with an energy balance closure of less than 80%, the closure was forced using the residual method and the corrected LE was computed as Rn − H − G.
======</t>
      </text>
    </comment>
    <comment authorId="0" ref="AV1867">
      <text>
        <t xml:space="preserve"> For sites with an energy balance closure of less than 80%, the closure was forced using the residual method and the corrected LE was computed as Rn − H − G.
======</t>
      </text>
    </comment>
    <comment authorId="0" ref="AV1868">
      <text>
        <t xml:space="preserve"> For sites with an energy balance closure of less than 80%, the closure was forced using the residual method and the corrected LE was computed as Rn − H − G.
======</t>
      </text>
    </comment>
    <comment authorId="0" ref="AV1869">
      <text>
        <t xml:space="preserve"> For sites with an energy balance closure of less than 80%, the closure was forced using the residual method and the corrected LE was computed as Rn − H − G.
======</t>
      </text>
    </comment>
    <comment authorId="0" ref="AV1870">
      <text>
        <t xml:space="preserve">For sites with an energy balance closure of more than 80%, the half-hourly closure was achieved with the conservation of the Bowen ratio H/LE; thus, the corrected LE was computed as (Rn − G)/(1 + H/LE) 
======</t>
      </text>
    </comment>
    <comment authorId="0" ref="AV1871">
      <text>
        <t xml:space="preserve"> For sites with an energy balance closure of less than 80%, the closure was forced using the residual method and the corrected LE was computed as Rn − H − G.
======</t>
      </text>
    </comment>
    <comment authorId="0" ref="AV1872">
      <text>
        <t xml:space="preserve"> For sites with an energy balance closure of less than 80%, the closure was forced using the residual method and the corrected LE was computed as Rn − H − G.
======</t>
      </text>
    </comment>
    <comment authorId="0" ref="AV1873">
      <text>
        <t xml:space="preserve"> For sites with an energy balance closure of less than 80%, the closure was forced using the residual method and the corrected LE was computed as Rn − H − G.
======</t>
      </text>
    </comment>
    <comment authorId="0" ref="AV1874">
      <text>
        <t xml:space="preserve"> For sites with an energy balance closure of less than 80%, the closure was forced using the residual method and the corrected LE was computed as Rn − H − G.
======</t>
      </text>
    </comment>
    <comment authorId="0" ref="AV1875">
      <text>
        <t xml:space="preserve"> For sites with an energy balance closure of less than 80%, the closure was forced using the residual method and the corrected LE was computed as Rn − H − G.
======</t>
      </text>
    </comment>
    <comment authorId="0" ref="AV1876">
      <text>
        <t xml:space="preserve"> For sites with an energy balance closure of less than 80%, the closure was forced using the residual method and the corrected LE was computed as Rn − H − G.
======</t>
      </text>
    </comment>
    <comment authorId="0" ref="AV1877">
      <text>
        <t xml:space="preserve"> For sites with an energy balance closure of less than 80%, the closure was forced using the residual method and the corrected LE was computed as Rn − H − G.
======</t>
      </text>
    </comment>
    <comment authorId="0" ref="AV1878">
      <text>
        <t xml:space="preserve"> For sites with an energy balance closure of less than 80%, the closure was forced using the residual method and the corrected LE was computed as Rn − H − G.
======</t>
      </text>
    </comment>
    <comment authorId="0" ref="AV1879">
      <text>
        <t xml:space="preserve"> For sites with an energy balance closure of less than 80%, the closure was forced using the residual method and the corrected LE was computed as Rn − H − G.
======</t>
      </text>
    </comment>
    <comment authorId="0" ref="AV1880">
      <text>
        <t xml:space="preserve"> For sites with an energy balance closure of less than 80%, the closure was forced using the residual method and the corrected LE was computed as Rn − H − G.
======</t>
      </text>
    </comment>
    <comment authorId="0" ref="AV1881">
      <text>
        <t xml:space="preserve">For sites with an energy balance closure of more than 80%, the half-hourly closure was achieved with the conservation of the Bowen ratio H/LE; thus, the corrected LE was computed as (Rn − G)/(1 + H/LE) 
======</t>
      </text>
    </comment>
    <comment authorId="0" ref="AV1882">
      <text>
        <t xml:space="preserve">For sites with an energy balance closure of more than 80%, the half-hourly closure was achieved with the conservation of the Bowen ratio H/LE; thus, the corrected LE was computed as (Rn − G)/(1 + H/LE) 
======</t>
      </text>
    </comment>
    <comment authorId="0" ref="AV1883">
      <text>
        <t xml:space="preserve"> For sites with an energy balance closure of less than 80%, the closure was forced using the residual method and the corrected LE was computed as Rn − H − G.
======</t>
      </text>
    </comment>
    <comment authorId="0" ref="AV1884">
      <text>
        <t xml:space="preserve"> For sites with an energy balance closure of less than 80%, the closure was forced using the residual method and the corrected LE was computed as Rn − H − G.
======</t>
      </text>
    </comment>
    <comment authorId="0" ref="AV1885">
      <text>
        <t xml:space="preserve"> For sites with an energy balance closure of less than 80%, the closure was forced using the residual method and the corrected LE was computed as Rn − H − G.
======</t>
      </text>
    </comment>
    <comment authorId="0" ref="AV1886">
      <text>
        <t xml:space="preserve"> For sites with an energy balance closure of less than 80%, the closure was forced using the residual method and the corrected LE was computed as Rn − H − G.
======</t>
      </text>
    </comment>
    <comment authorId="0" ref="AV1887">
      <text>
        <t xml:space="preserve"> For sites with an energy balance closure of less than 80%, the closure was forced using the residual method and the corrected LE was computed as Rn − H − G.
======</t>
      </text>
    </comment>
    <comment authorId="0" ref="AV1888">
      <text>
        <t xml:space="preserve"> For sites with an energy balance closure of less than 80%, the closure was forced using the residual method and the corrected LE was computed as Rn − H − G.
======</t>
      </text>
    </comment>
    <comment authorId="0" ref="AV1889">
      <text>
        <t xml:space="preserve"> For sites with an energy balance closure of less than 80%, the closure was forced using the residual method and the corrected LE was computed as Rn − H − G.
======</t>
      </text>
    </comment>
    <comment authorId="0" ref="AV1890">
      <text>
        <t xml:space="preserve">For sites with an energy balance closure of more than 80%, the half-hourly closure was achieved with the conservation of the Bowen ratio H/LE; thus, the corrected LE was computed as (Rn − G)/(1 + H/LE) 
======</t>
      </text>
    </comment>
    <comment authorId="0" ref="AV1891">
      <text>
        <t xml:space="preserve"> For sites with an energy balance closure of less than 80%, the closure was forced using the residual method and the corrected LE was computed as Rn − H − G.
======</t>
      </text>
    </comment>
    <comment authorId="0" ref="AV1892">
      <text>
        <t xml:space="preserve"> For sites with an energy balance closure of less than 80%, the closure was forced using the residual method and the corrected LE was computed as Rn − H − G.
======</t>
      </text>
    </comment>
    <comment authorId="0" ref="AV1893">
      <text>
        <t xml:space="preserve"> For sites with an energy balance closure of less than 80%, the closure was forced using the residual method and the corrected LE was computed as Rn − H − G.
======</t>
      </text>
    </comment>
    <comment authorId="0" ref="AV1894">
      <text>
        <t xml:space="preserve"> For sites with an energy balance closure of less than 80%, the closure was forced using the residual method and the corrected LE was computed as Rn − H − G.
======</t>
      </text>
    </comment>
    <comment authorId="0" ref="AV1895">
      <text>
        <t xml:space="preserve"> For sites with an energy balance closure of less than 80%, the closure was forced using the residual method and the corrected LE was computed as Rn − H − G.
======</t>
      </text>
    </comment>
    <comment authorId="0" ref="AV1896">
      <text>
        <t xml:space="preserve"> For sites with an energy balance closure of less than 80%, the closure was forced using the residual method and the corrected LE was computed as Rn − H − G.
======</t>
      </text>
    </comment>
    <comment authorId="0" ref="AV1897">
      <text>
        <t xml:space="preserve"> For sites with an energy balance closure of less than 80%, the closure was forced using the residual method and the corrected LE was computed as Rn − H − G.
======</t>
      </text>
    </comment>
    <comment authorId="0" ref="AV1898">
      <text>
        <t xml:space="preserve"> For sites with an energy balance closure of less than 80%, the closure was forced using the residual method and the corrected LE was computed as Rn − H − G.
======</t>
      </text>
    </comment>
    <comment authorId="0" ref="AV1899">
      <text>
        <t xml:space="preserve"> For sites with an energy balance closure of less than 80%, the closure was forced using the residual method and the corrected LE was computed as Rn − H − G.
======</t>
      </text>
    </comment>
    <comment authorId="0" ref="AV1900">
      <text>
        <t xml:space="preserve"> For sites with an energy balance closure of less than 80%, the closure was forced using the residual method and the corrected LE was computed as Rn − H − G.
======</t>
      </text>
    </comment>
    <comment authorId="0" ref="AV1901">
      <text>
        <t xml:space="preserve">For sites with an energy balance closure of more than 80%, the half-hourly closure was achieved with the conservation of the Bowen ratio H/LE; thus, the corrected LE was computed as (Rn − G)/(1 + H/LE) 
======</t>
      </text>
    </comment>
    <comment authorId="0" ref="AV1902">
      <text>
        <t xml:space="preserve">For sites with an energy balance closure of more than 80%, the half-hourly closure was achieved with the conservation of the Bowen ratio H/LE; thus, the corrected LE was computed as (Rn − G)/(1 + H/LE) 
======</t>
      </text>
    </comment>
    <comment authorId="0" ref="AV1903">
      <text>
        <t xml:space="preserve"> For sites with an energy balance closure of less than 80%, the closure was forced using the residual method and the corrected LE was computed as Rn − H − G.
======</t>
      </text>
    </comment>
    <comment authorId="0" ref="AV1904">
      <text>
        <t xml:space="preserve"> For sites with an energy balance closure of less than 80%, the closure was forced using the residual method and the corrected LE was computed as Rn − H − G.
======</t>
      </text>
    </comment>
    <comment authorId="0" ref="AV1905">
      <text>
        <t xml:space="preserve"> For sites with an energy balance closure of less than 80%, the closure was forced using the residual method and the corrected LE was computed as Rn − H − G.
======</t>
      </text>
    </comment>
    <comment authorId="0" ref="AV1906">
      <text>
        <t xml:space="preserve"> For sites with an energy balance closure of less than 80%, the closure was forced using the residual method and the corrected LE was computed as Rn − H − G.
======</t>
      </text>
    </comment>
    <comment authorId="0" ref="AV1907">
      <text>
        <t xml:space="preserve"> For sites with an energy balance closure of less than 80%, the closure was forced using the residual method and the corrected LE was computed as Rn − H − G.
======</t>
      </text>
    </comment>
    <comment authorId="0" ref="AV1908">
      <text>
        <t xml:space="preserve"> For sites with an energy balance closure of less than 80%, the closure was forced using the residual method and the corrected LE was computed as Rn − H − G.
======</t>
      </text>
    </comment>
    <comment authorId="0" ref="AV1909">
      <text>
        <t xml:space="preserve"> For sites with an energy balance closure of less than 80%, the closure was forced using the residual method and the corrected LE was computed as Rn − H − G.
======</t>
      </text>
    </comment>
    <comment authorId="0" ref="AV1910">
      <text>
        <t xml:space="preserve">For sites with an energy balance closure of more than 80%, the half-hourly closure was achieved with the conservation of the Bowen ratio H/LE; thus, the corrected LE was computed as (Rn − G)/(1 + H/LE) 
======</t>
      </text>
    </comment>
    <comment authorId="0" ref="P1964">
      <text>
        <t xml:space="preserve">calculated from table A2
======</t>
      </text>
    </comment>
    <comment authorId="0" ref="AV1986">
      <text>
        <t xml:space="preserve">https://doi.org/10.1016/S0168-1923(00)00123-4
======</t>
      </text>
    </comment>
    <comment authorId="0" ref="AV1990">
      <text>
        <t xml:space="preserve">https://doi.org/10.1016/S0168-1923(00)00123-4
======</t>
      </text>
    </comment>
    <comment authorId="0" ref="P2009">
      <text>
        <t xml:space="preserve">calculated from Table 10. MBE are different from reported values
======</t>
      </text>
    </comment>
    <comment authorId="0" ref="P2012">
      <text>
        <t xml:space="preserve">calculated from Table 11
======</t>
      </text>
    </comment>
    <comment authorId="0" ref="P2015">
      <text>
        <t xml:space="preserve">calculated from Table 12
======</t>
      </text>
    </comment>
    <comment authorId="0" ref="P2050">
      <text>
        <t xml:space="preserve">recalculated from Table 3 as reported RE(%) is actually MAPE
======</t>
      </text>
    </comment>
    <comment authorId="0" ref="AI37">
      <text>
        <t xml:space="preserve">======
ID#AAABnziM1g8
Bích Trần    (2025-07-25 09:28:29)
Y should be latitude: 117</t>
      </text>
    </comment>
    <comment authorId="0" ref="J3">
      <text>
        <t xml:space="preserve">======
ID#AAABScGLDRY
Bích Trần    (2024-07-24 15:31:15)
@kawahakzi@gmail.com rows to be updated has value "1"
_Assigned to kawahakzi@gmail.com_</t>
      </text>
    </comment>
    <comment authorId="0" ref="AC1230">
      <text>
        <t xml:space="preserve">======
ID#AAABLIbjGLA
Kawa Hakzi    (2024-04-10 06:05:07)
THIS IS WEST</t>
      </text>
    </comment>
    <comment authorId="0" ref="AD905">
      <text>
        <t xml:space="preserve">======
ID#AAABLIbjGKw
Kawa Hakzi    (2024-04-10 05:38:53)
I have changed the country name over Taiwan to TW not sure if it should be CN or TW!</t>
      </text>
    </comment>
    <comment authorId="0" ref="AC1184">
      <text>
        <t xml:space="preserve">======
ID#AAABHsUbNEo
Anonymous    (2024-04-07 21:00:39)
CA shoud be - or W</t>
      </text>
    </comment>
    <comment authorId="0" ref="AC427">
      <text>
        <t xml:space="preserve">======
ID#AAABHsUbNEg
Anonymous    (2024-04-07 21:00:04)
should be W ( canada  )
------
ID#AAABHsUbNEk
Anonymous    (2024-04-07 21:00:21)
BR sorry</t>
      </text>
    </comment>
    <comment authorId="0" ref="Y1608">
      <text>
        <t xml:space="preserve">======
ID#AAABHsUbNEY
Anonymous    (2024-04-07 20:27:59)
maybe it is WC13 I will check</t>
      </text>
    </comment>
    <comment authorId="0" ref="AC620">
      <text>
        <t xml:space="preserve">======
ID#AAABHsUbNEQ
Anonymous    (2024-04-07 20:05:13)
E not W</t>
      </text>
    </comment>
    <comment authorId="0" ref="AJ338">
      <text>
        <t xml:space="preserve">======
ID#AAABHsUbNEM
Anonymous    (2024-04-07 20:03:24)
I have used Yucheng coordinate becase it is more than 1 tation</t>
      </text>
    </comment>
    <comment authorId="0" ref="AC615">
      <text>
        <t xml:space="preserve">======
ID#AAABHsUbNEI
Anonymous    (2024-04-07 20:02:15)
E not W</t>
      </text>
    </comment>
    <comment authorId="0" ref="AC625">
      <text>
        <t xml:space="preserve">======
ID#AAABHsUbNEE
Anonymous    (2024-04-07 19:55:59)
this should be E not W becaus it is in global east</t>
      </text>
    </comment>
    <comment authorId="0" ref="AC627">
      <text>
        <t xml:space="preserve">======
ID#AAABHsUbNEA
Anonymous    (2024-04-07 19:53:48)
this should be E not W becaus it is in chin not US</t>
      </text>
    </comment>
    <comment authorId="0" ref="AB1155">
      <text>
        <t xml:space="preserve">======
ID#AAABIh2i__Q
Anonymous    (2024-03-04 10:13:04)
Walnut Greec catchment the coordinate not mentioned will have to search it</t>
      </text>
    </comment>
    <comment authorId="0" ref="AB42">
      <text>
        <t xml:space="preserve">======
ID#AAABD74qsX4
M. Mul    (2024-01-12 10:10:35)
UTM/ED50</t>
      </text>
    </comment>
  </commentList>
  <extLst>
    <ext uri="GoogleSheetsCustomDataVersion2">
      <go:sheetsCustomData xmlns:go="http://customooxmlschemas.google.com/" r:id="rId1" roundtripDataSignature="AMtx7mgo3QVBvkMCZDXDVsQupvUoFjqMoQ=="/>
    </ext>
  </extLst>
</comments>
</file>

<file path=xl/sharedStrings.xml><?xml version="1.0" encoding="utf-8"?>
<sst xmlns="http://schemas.openxmlformats.org/spreadsheetml/2006/main" count="70930" uniqueCount="6015">
  <si>
    <t>Article</t>
  </si>
  <si>
    <t>Bias</t>
  </si>
  <si>
    <t>Temporal scale (extent, grid, support)</t>
  </si>
  <si>
    <t>Site-specific characters (extracted from full-text)</t>
  </si>
  <si>
    <t>Exacted from geospatial datasets</t>
  </si>
  <si>
    <t>Harmonized classes</t>
  </si>
  <si>
    <t>EC correction</t>
  </si>
  <si>
    <t>Model-specific characteristics (extracted from full-text)</t>
  </si>
  <si>
    <t>Row_ID</t>
  </si>
  <si>
    <t>record_id</t>
  </si>
  <si>
    <t>recorded_by</t>
  </si>
  <si>
    <t>title</t>
  </si>
  <si>
    <t>authors</t>
  </si>
  <si>
    <t>year</t>
  </si>
  <si>
    <t>abstract</t>
  </si>
  <si>
    <t>journal</t>
  </si>
  <si>
    <t>doi</t>
  </si>
  <si>
    <t>Kawa to update IGBP, DEM and Climate class</t>
  </si>
  <si>
    <t>BIAS (mm/dt)</t>
  </si>
  <si>
    <t>Observed ET (mm/dt)</t>
  </si>
  <si>
    <t>BIAS (MJ/m2/day)</t>
  </si>
  <si>
    <t>BIAS (W/m2)</t>
  </si>
  <si>
    <t>Observed ET (W/m2)</t>
  </si>
  <si>
    <t>PBIAS (%)</t>
  </si>
  <si>
    <t>dt</t>
  </si>
  <si>
    <t>Temporal support (dt)</t>
  </si>
  <si>
    <t>Spatial support (m x m)</t>
  </si>
  <si>
    <t>Start date</t>
  </si>
  <si>
    <t>End date</t>
  </si>
  <si>
    <t>number of observations</t>
  </si>
  <si>
    <t>Growing season? (y/n)</t>
  </si>
  <si>
    <t>Number of sites (N)</t>
  </si>
  <si>
    <t>Site name in study</t>
  </si>
  <si>
    <t>Conventional site name</t>
  </si>
  <si>
    <t>IGBP class from text</t>
  </si>
  <si>
    <t>Latitude (degree North)</t>
  </si>
  <si>
    <t>Longitude (degree East)</t>
  </si>
  <si>
    <t>Country_code</t>
  </si>
  <si>
    <t>Altitude (m a.s.l)</t>
  </si>
  <si>
    <t>Crop type</t>
  </si>
  <si>
    <t>Climate class</t>
  </si>
  <si>
    <t>Height of sensor (m)</t>
  </si>
  <si>
    <t>Y_DM</t>
  </si>
  <si>
    <t>X_DM</t>
  </si>
  <si>
    <t>IGBPQGIS from MODIS</t>
  </si>
  <si>
    <t>IGBP_HYBMAP2000</t>
  </si>
  <si>
    <t>SRTM_DEM GEE</t>
  </si>
  <si>
    <t>SRTM_DEM 30m</t>
  </si>
  <si>
    <t>KOPPEN _ Beck et al. (2023) QGIS</t>
  </si>
  <si>
    <t>KOPPEN _ Beck et al. (2023)</t>
  </si>
  <si>
    <t>IGBP</t>
  </si>
  <si>
    <t>Elevation (m)</t>
  </si>
  <si>
    <t>Koppen-Geiger 1st</t>
  </si>
  <si>
    <t>Koppen-Geiger 2nd</t>
  </si>
  <si>
    <t>Koppen-Geiger 3rd</t>
  </si>
  <si>
    <t>EB correction</t>
  </si>
  <si>
    <t>use for EB comparison</t>
  </si>
  <si>
    <t>Tower footprint (m x m)</t>
  </si>
  <si>
    <t>Footprint considered? (y/n)</t>
  </si>
  <si>
    <t>Spatial resolution (m)</t>
  </si>
  <si>
    <t>Calibration/Validation</t>
  </si>
  <si>
    <t>Primary/Secondary data</t>
  </si>
  <si>
    <t>ET Product</t>
  </si>
  <si>
    <t>Existing algorithm? (y/n)</t>
  </si>
  <si>
    <t>original/ optimised</t>
  </si>
  <si>
    <t>ET Model</t>
  </si>
  <si>
    <t>Model Type</t>
  </si>
  <si>
    <t>Field data input? (y/n)</t>
  </si>
  <si>
    <t>GOES( Rs); MM5 (met data)</t>
  </si>
  <si>
    <t>Landuse map input</t>
  </si>
  <si>
    <t>VIS-NIR Input Product</t>
  </si>
  <si>
    <t>TIR Input Product</t>
  </si>
  <si>
    <t>Mean Error/Mean difference/Bias error</t>
  </si>
  <si>
    <t>PBIAS or Relative error (MEP)</t>
  </si>
  <si>
    <t>Models in paper</t>
  </si>
  <si>
    <t>Notes</t>
  </si>
  <si>
    <t>Marloes</t>
  </si>
  <si>
    <t>A data fusion approach for mapping daily evapotranspiration at field scale</t>
  </si>
  <si>
    <t>Cammalleri, C., Anderson, M.C., Gao, F., Hain, C.R., Kustas, W.P.</t>
  </si>
  <si>
    <t>Thermal remote sensing methods for mapping evapotranspiration (ET) exploit the physical interconnection that exists between land-surface temperature (LST) and evaporative cooling, employing principles of surface energy balance (SEB). Unfortunately, while many applications in water resource management require ET information at daily and field spatial scales, current satellite-based thermal sensors are characterized by either low spatial resolution and high repeatability or by moderate/high spatial resolution and low frequency. Here we introduce a novel approach to ET mapping that fuses characteristics of both classes of sensors to provide optimal spatiotemporal coverage. In this approach, coarse resolution daily ET maps generated with a SEB model using geostationary satellite data are spatially disaggregated using daily MODIS (MODerate resolution Imaging Spectroradiometer) 1 km and biweekly Landsat LST imagery sharpened to 30 m. These ET fields are then fused to obtain daily ET maps at 30 m spatial resolution. The accuracy of the fused Landsat-MODIS daily ET maps was evaluated over Iowa using observations collected at eight flux towers sited in corn and soybean fields during the Soil Moisture Experiment of 2002, as well as in comparison with a Landsat-only retrieval. A significant improvement in ET accuracy (reducing errors from 0.75 to 0.58 mm d-1 on average) was obtained by fusing MODIS and Landsat data in comparison with the Landsat-only case, with most notable improvements when a rainfall event occurred between two successive Landsat acquisitions. The improvements are further evident at the seasonal timescale, where a 3% error is obtained using Landsat-MODIS fusion versus a 9% Landsat-only systematic underestimation. Â©2013. American Geophysical Union. All Rights Reserved.</t>
  </si>
  <si>
    <t>Water Resources Research</t>
  </si>
  <si>
    <t>10.1002/wrcr.20349</t>
  </si>
  <si>
    <t>instantaneous</t>
  </si>
  <si>
    <t>2002-158</t>
  </si>
  <si>
    <t>2002-238</t>
  </si>
  <si>
    <t>SMEX02 aggregated weighted average of 8 stations</t>
  </si>
  <si>
    <t>CRO</t>
  </si>
  <si>
    <t>US</t>
  </si>
  <si>
    <t>y</t>
  </si>
  <si>
    <t>original</t>
  </si>
  <si>
    <t>disALEXI</t>
  </si>
  <si>
    <t>2SEB</t>
  </si>
  <si>
    <t>n</t>
  </si>
  <si>
    <t>LandSat/MODIS</t>
  </si>
  <si>
    <t>ob</t>
  </si>
  <si>
    <t>ALEXI</t>
  </si>
  <si>
    <t>day</t>
  </si>
  <si>
    <t>2002-159</t>
  </si>
  <si>
    <t>2002-239</t>
  </si>
  <si>
    <t xml:space="preserve"> </t>
  </si>
  <si>
    <t>LandSat</t>
  </si>
  <si>
    <t>2002-150</t>
  </si>
  <si>
    <t>2002-240</t>
  </si>
  <si>
    <t>SMACEX003</t>
  </si>
  <si>
    <t xml:space="preserve"> 41.983 809 85</t>
  </si>
  <si>
    <t>- 93.754 973 16</t>
  </si>
  <si>
    <t>Soybean</t>
  </si>
  <si>
    <t>Dfb</t>
  </si>
  <si>
    <t>Dfa</t>
  </si>
  <si>
    <t>D</t>
  </si>
  <si>
    <t>2002-151</t>
  </si>
  <si>
    <t>2002-241</t>
  </si>
  <si>
    <t>SMACEX006</t>
  </si>
  <si>
    <t>41.932 895 79</t>
  </si>
  <si>
    <t>-93.753 315 02</t>
  </si>
  <si>
    <t>Corn</t>
  </si>
  <si>
    <t>2 above crop (meaning upto 4 m at end of growing season)</t>
  </si>
  <si>
    <t>2002-152</t>
  </si>
  <si>
    <t>2002-242</t>
  </si>
  <si>
    <t>SMACEX024</t>
  </si>
  <si>
    <t>41.992 912 98</t>
  </si>
  <si>
    <t>-93.528 578 74</t>
  </si>
  <si>
    <t>2002-153</t>
  </si>
  <si>
    <t>2002-243</t>
  </si>
  <si>
    <t>SMACEX025</t>
  </si>
  <si>
    <t xml:space="preserve"> 41.942 268 63</t>
  </si>
  <si>
    <t>-93.539 374 28</t>
  </si>
  <si>
    <t>2002-154</t>
  </si>
  <si>
    <t>2002-244</t>
  </si>
  <si>
    <t>SMACEX033</t>
  </si>
  <si>
    <t xml:space="preserve"> 41.975 341</t>
  </si>
  <si>
    <t>-93.644 312 94</t>
  </si>
  <si>
    <t>2002-155</t>
  </si>
  <si>
    <t>2002-245</t>
  </si>
  <si>
    <t>SMACEX151</t>
  </si>
  <si>
    <t>41.937 818 24</t>
  </si>
  <si>
    <t>-93.663 131 8</t>
  </si>
  <si>
    <t>2002-156</t>
  </si>
  <si>
    <t>2002-246</t>
  </si>
  <si>
    <t>SMACEX161</t>
  </si>
  <si>
    <t xml:space="preserve"> 41.934 141 03</t>
  </si>
  <si>
    <t>-93.662 703 04</t>
  </si>
  <si>
    <t>2002-157</t>
  </si>
  <si>
    <t>2002-247</t>
  </si>
  <si>
    <t>SMACEX162</t>
  </si>
  <si>
    <t xml:space="preserve"> 41.935 483 68</t>
  </si>
  <si>
    <t>-93.664 058 39</t>
  </si>
  <si>
    <t>2002-248</t>
  </si>
  <si>
    <t>MODIS</t>
  </si>
  <si>
    <t>2002-249</t>
  </si>
  <si>
    <t>2002-160</t>
  </si>
  <si>
    <t>2002-250</t>
  </si>
  <si>
    <t>2002-161</t>
  </si>
  <si>
    <t>2002-251</t>
  </si>
  <si>
    <t>2002-162</t>
  </si>
  <si>
    <t>2002-252</t>
  </si>
  <si>
    <t>2002-163</t>
  </si>
  <si>
    <t>2002-253</t>
  </si>
  <si>
    <t>2002-164</t>
  </si>
  <si>
    <t>2002-254</t>
  </si>
  <si>
    <t>2002-165</t>
  </si>
  <si>
    <t>2002-255</t>
  </si>
  <si>
    <t>Evapotranspiration estimates derived using thermal-based satellite remote sensing and data fusion for irrigation management in California vineyards</t>
  </si>
  <si>
    <t>Knipper, K.R., Kustas, W.P., Anderson, M.C., Alfieri, J.G., Prueger, J.H., Hain, C.R., Gao, F., Yang, Y., McKee, L.G., Nieto, H., Hipps, L.E., Alsina, M.M., Sanchez, L.</t>
  </si>
  <si>
    <t>Irrigation in the Central Valley of California is essential for successful wine grape production. With reductions in water availability in much of California due to drought and competing water-use interests, it is important to optimize irrigation management strategies. In the current study, we investigate the utility of satellite-derived maps of evapotranspiration (ET) and the ratio of actual-to-reference ET (fRET) based on remotely sensed land-surface temperature (LST) imagery for monitoring crop water use and stress in vineyards. The Disaggregated Atmosphere Land EXchange Inverse (ALEXI/DisALEXI) surface-energy balance model, a multi-scale ET remote-sensing framework with operational capabilities, is evaluated over two Pinot noir vineyard sites in central California that are being monitored as part of the Grape Remote-Sensing Atmospheric Profile and Evapotranspiration eXperiment (GRAPEX). A data fusion approach is employed to combine ET time-series retrievals from multiple satellite platforms to generate estimates at both the high spatial (30Â m) and temporal (daily) resolution required for field-scale irrigation management. Comparisons with micrometeorological data indicate reasonable model performance, with mean absolute errors of 0.6Â mm dayâ_x0088__x0092_1 in ET at the daily time step and minimal bias. Values of fRET agree well with tower observations and reflect known irrigation. Spatiotemporal analyses illustrate the ability of ALEXI/DisALEXI/data fusion package to characterize heterogeneity in ET and fRET both within a vineyard and over the surrounding landscape. These findings will inform the development of strategies for integrating ET mapping time series into operational irrigation management framework, providing actionable information regarding vineyard water use and crop stress at the field and regional scale and at daily to multi-annual time scales. Â© 2018, This is a U.S. government work and not under copyright protection in the U.S.; foreign copyright protection may apply.</t>
  </si>
  <si>
    <t>Irrigation Science</t>
  </si>
  <si>
    <t>10.1007/s00271-018-0591-y</t>
  </si>
  <si>
    <t>2013-001</t>
  </si>
  <si>
    <t>2016-365</t>
  </si>
  <si>
    <t>full year</t>
  </si>
  <si>
    <t>GRAPEX site 1 (lodi1)</t>
  </si>
  <si>
    <t>GRAPEX01</t>
  </si>
  <si>
    <t>38.29°N</t>
  </si>
  <si>
    <t>121.12°W</t>
  </si>
  <si>
    <t>vineyard</t>
  </si>
  <si>
    <t>Csa</t>
  </si>
  <si>
    <t>ALEXI/disALEXI</t>
  </si>
  <si>
    <t>National Centers for Environmental Prediction (NCEP) Climate Forecast System Reanalysis (CFSR) (Dee et al. 2013)</t>
  </si>
  <si>
    <t>National Land Cover Dataset (NLCD) (Fry et al. 2011)</t>
  </si>
  <si>
    <t>MODIS (LandSat periodic for sharpening from 1km to 30m)</t>
  </si>
  <si>
    <t>Landsat</t>
  </si>
  <si>
    <t>Fusion MODIS (LandSat periodic for sharpening from 1km to 30m)</t>
  </si>
  <si>
    <t>week</t>
  </si>
  <si>
    <t>GRAPEX site 2 (lodi2)</t>
  </si>
  <si>
    <t>GRAPEX02</t>
  </si>
  <si>
    <t>GRAPEX site 1 and 2</t>
  </si>
  <si>
    <t>Changes of actual evapotranspiration and its components in the Yangtze River valley during 1980â_x0080__x0093_2014 from satellite assimilation product</t>
  </si>
  <si>
    <t>Lu, J., Wang, G., Gong, T., Hagan, D.F.T., Wang, Y., Jiang, T., Su, B.</t>
  </si>
  <si>
    <t>Evapotranspiration (ET) is an important process of water and energy exchanges between land and atmosphere. In this study, a processed-based GLEAM (global land-surface evaporation: the Amsterdam methodology) satellite assimilation product has been validated in the Yangtze River valley on the observations of flux and the water balance method. The changes of total ET and its components, well as the associated dynamics, have been analyzed for the period of 1980â_x0080__x0093_2014. The total ET shows significant increasing trends especially in the middle and lower reaches of the Yangtze River valley, which is mostly due to the increase of transpiration. The spatial and temporal dynamics of total ET are analyzed with respect to temperature, precipitation, and solar radiation. The spatial pattern of total ET in the Yangtze River valley is found to be jointly determined by temperature and precipitation. As for the temporal dynamics, precipitation plays the dominant role in total ET in the source regions of the valley. While in the most regions, solar radiation is suggested to be a main controller, in the positive manner, of total ET. This may provide an in-depth understanding of ET changes in the warming climate, and form a basis for water resource management in the Yangtze River valley. Â© 2019, Springer-Verlag GmbH Austria, part of Springer Nature.</t>
  </si>
  <si>
    <t>Theoretical and Applied Climatology</t>
  </si>
  <si>
    <t>10.1007/s00704-019-02913-w</t>
  </si>
  <si>
    <t>month</t>
  </si>
  <si>
    <t>0.25°</t>
  </si>
  <si>
    <t>2003-001</t>
  </si>
  <si>
    <t>2005-365</t>
  </si>
  <si>
    <t>Qianyanzhou (Qyz)</t>
  </si>
  <si>
    <t>Qianyanzhou</t>
  </si>
  <si>
    <t>ENF</t>
  </si>
  <si>
    <t>CN</t>
  </si>
  <si>
    <t>Forest</t>
  </si>
  <si>
    <t>WSA</t>
  </si>
  <si>
    <t>Cfa</t>
  </si>
  <si>
    <t>GLEAM</t>
  </si>
  <si>
    <t>PT</t>
  </si>
  <si>
    <t>Validation of Global Evapotranspiration Product (MOD16) Using Flux Tower Data from Panjin Coastal Wetland, Northeast China</t>
  </si>
  <si>
    <t>Du, J., Song, K.</t>
  </si>
  <si>
    <t>Recent advances in remote sensing technology and methods have resulted in the development of an evapotranspiration (ET) product from the Moderate Resolution Imaging Spectrometer (MOD16). The accuracy of this product however has not been tested for coastal wetland ecosystems. The objective of this study therefore is to validate the MOD16 ET product using data from one eddy covariance flux tower situated in the Panjin coastal wetland ecosystem within the Liaohe River Delta, Northeast China. Cumulative ET data over an eight-day period in 2005 from the flux tower was calculated to coincide with the MOD16 products across the same period. Results showed that data from the flux tower were inconsistent with that gained form the MOD16 ET. In general, results from Panjin showed that there was an underestimation of MOD16 ET in the spring and fall, with Biases ofâ_x0080__x0093_2.27 andâ_x0080__x0093_3.53 mm/8d, respectively (â_x0080__x0093_40.58% andâ_x0080__x0093_49.13% of the observed mean). Results for Bias during the summer had a range of 1.77 mm/8d (7.82% of the observed mean), indicating an overestimation of MOD16 ET. According to the RMSE, summer (6.14 mm/8d) achieved the lowest value, indicating low accuracy of the MOD16 ET product. However, RMSE (2.09 mm/8d) in spring was the same as that in the fall. Relationship between ET and its relevant meteorological parameters were analyzed. Results indicated a very good relationship between surface air temperature and ET. Meanwhile a significant relationship between wind speed and ET also existed. The inconsistent comparison of MOD16 and flux tower-based ET are mainly attributed to the parameterization of the Penman-Monteith model, flux tower measurement errors, and flux tower footprint vs. MODIS pixels. Â© 2018, Science Press, Northeast Institute of Geography and Agricultural Ecology, CAS and Springer-Verlag GmbH Germany, part of Springer Nature.</t>
  </si>
  <si>
    <t>Chinese Geographical Science</t>
  </si>
  <si>
    <t>10.1007/s11769-018-0960-8</t>
  </si>
  <si>
    <t>8-day</t>
  </si>
  <si>
    <t>2005-060</t>
  </si>
  <si>
    <t>2005-151</t>
  </si>
  <si>
    <t>spring</t>
  </si>
  <si>
    <t>Panjin</t>
  </si>
  <si>
    <t>WET</t>
  </si>
  <si>
    <t>41°08′N</t>
  </si>
  <si>
    <t>121°54′E</t>
  </si>
  <si>
    <t>wetland ecosystem is dominated by Phragmites australis</t>
  </si>
  <si>
    <t>Dwa</t>
  </si>
  <si>
    <t>MOD16</t>
  </si>
  <si>
    <t>PM</t>
  </si>
  <si>
    <t>2005-152</t>
  </si>
  <si>
    <t>2005-243</t>
  </si>
  <si>
    <t>summer</t>
  </si>
  <si>
    <t>2005-244</t>
  </si>
  <si>
    <t>2005-304</t>
  </si>
  <si>
    <t xml:space="preserve">fall </t>
  </si>
  <si>
    <t xml:space="preserve">growing season </t>
  </si>
  <si>
    <t>Modelling bulk surface resistance by MODIS data and assessment of MOD16A2 evapotranspiration product in an irrigation district of Southern Italy</t>
  </si>
  <si>
    <t>Autovino, D., Minacapilli, M., Provenzano, G.</t>
  </si>
  <si>
    <t>In this study, accurate estimates of daily actual evapotranspiration, ETa, were obtained based on the direct Penman-Monteith application, in which the bulk surface resistance term was computed by considering, as main input, daily remotely sensed Land Surface Temperature (LST). In particular, Eddy Covariance measurements of ETa, associated to LST obtained by MODIS time series (MOD11A2) characterized by 8-day resolution, allowed to calibrate a simple bulk surface resistance model, based on two-years of data observations collected in a quite homogeneous irrigation district of Sicily, where olive grove is the main crop. The model was then validated by an independent database collected over four different years.The comparison between measured and modelled actual evapotranspiration fluxes showed that the proposed model is characterized by an acceptable accuracy for practical purposes, with an average RMSE of 0.52 mm d-1for the whole validation period. In addition, the comparison between ETavalues retrieved by the MODIS evapotranspiration product (MOD16A2) and those obtained by the proposed approach, evidenced that to the former are associated the best ETaestimations.The proposed methodology is easily applicable and therefore can be considered as a simple and effective tool to estimate spatial and temporal patterns of actual evapotranspiration, over areas characterized by a level of homogeneity consistent with the MODIS pixel resolution (1 km).Considering that the model was set up for olive crop, further investigations should be focused on other crops under different environmental conditions. Â© 2016 Published by Elsevier B.V.</t>
  </si>
  <si>
    <t>Agricultural Water Management</t>
  </si>
  <si>
    <t>10.1016/j.agwat.2016.01.006</t>
  </si>
  <si>
    <t>2011-001</t>
  </si>
  <si>
    <t>2011-365</t>
  </si>
  <si>
    <t>Castelvetrano (TP)</t>
  </si>
  <si>
    <t>Castelvetrano</t>
  </si>
  <si>
    <t>IT</t>
  </si>
  <si>
    <t>olives</t>
  </si>
  <si>
    <t>FAO-56 with estimated parameters for bulk resistance</t>
  </si>
  <si>
    <t>Sicilian Agro-meteorological InformationService (SIAS)</t>
  </si>
  <si>
    <t>P-M/MOD16</t>
  </si>
  <si>
    <t>2012-001</t>
  </si>
  <si>
    <t>2012-365</t>
  </si>
  <si>
    <t>2013-365</t>
  </si>
  <si>
    <t>2014-001</t>
  </si>
  <si>
    <t>2014-365</t>
  </si>
  <si>
    <t>MOD16 A2</t>
  </si>
  <si>
    <t>Evapotranspiration estimates from an energy-water-balance model calibrated on satellite land surface temperature over the Heihe basin</t>
  </si>
  <si>
    <t>Paciolla, N., Corbari, C., Hu, G., Zheng, C., Menenti, M., Jia, L., Mancini, M.</t>
  </si>
  <si>
    <t>A distributed hydrological energy-water-balance model (FEST-EWB) is calibrated over the Heihe Basin, a mainly desertic basin in China, employing remotely-sensed Land Surface Temperature (LST) (MODIS, 1-km resolution) as calibration variable. This approach overcomes the problem of model parameters characterization, which are usually difficult to define especially over large basins, allowing a pixel-by-pixel calibration, preserving the spatial heterogeneity. Hence, the spatial distribution of the modelled LST, but also of soil moisture (SM) and evapotranspiration (ET) is improved. The accuracy of the calibration process is documented through common statistical indexes. The modelled ET is compared locally against two eddy covariance stations in the agricultural area, while distributively against the ET estimates of the ETMonitor model and some global re-analysis products (ERA-Interim, GLDAS2, GLEAM and MERRA-2). Calibration and validation performed in this study prove that a considerable model accuracy is attainable even in extremely arid environments. An average LST bias of 2.6 Â°C is obtained over the basin. A good adaptation of FEST-EWB is also obtained against eddy-covariance stations ET with a little bias around â_x0088__x0092_1 mm/d. On the other hand, the reanalysis products display a much worse performance, with higher absolute biases (around â_x0088__x0092_3.5 mm/d), although with high variability among the models. Â© 2021 Elsevier Ltd</t>
  </si>
  <si>
    <t>Journal of Arid Environments</t>
  </si>
  <si>
    <t>10.1016/j.jaridenv.2021.104466</t>
  </si>
  <si>
    <t>0.01degree ~1km</t>
  </si>
  <si>
    <t>2012-145</t>
  </si>
  <si>
    <t>2012-258</t>
  </si>
  <si>
    <t>Daman irrigated area oasis–desert region/HRB CHINA</t>
  </si>
  <si>
    <t>Daman</t>
  </si>
  <si>
    <t>38.86◦N</t>
  </si>
  <si>
    <t>100.37◦E</t>
  </si>
  <si>
    <t>wheat/maize</t>
  </si>
  <si>
    <t>BWk</t>
  </si>
  <si>
    <t>FEST-EWB</t>
  </si>
  <si>
    <t>optimised</t>
  </si>
  <si>
    <t>mass and energy balance  (locally calibrated)</t>
  </si>
  <si>
    <t>GLEAM(?)</t>
  </si>
  <si>
    <t>own map</t>
  </si>
  <si>
    <t xml:space="preserve">FEST-EWB, Etmonitor, </t>
  </si>
  <si>
    <t>0.01degree</t>
  </si>
  <si>
    <t>ETMonitor</t>
  </si>
  <si>
    <t>Shuttleworth-Wallace Dual-Source Model, with a variant form of Penman-Monteith equation  (locally calibrated)</t>
  </si>
  <si>
    <t>0.25degree</t>
  </si>
  <si>
    <t>Priestley-Taylor equation for potential ET, corrected for stress factor and interception</t>
  </si>
  <si>
    <t>2012-155</t>
  </si>
  <si>
    <t>2012-260</t>
  </si>
  <si>
    <t>Yingke</t>
  </si>
  <si>
    <t>38.89◦N</t>
  </si>
  <si>
    <t>100.36◦E</t>
  </si>
  <si>
    <t>Shuttleworth-Wallace Dual-Source Model, with a variant form of Penman-Monteith equation</t>
  </si>
  <si>
    <t>A Surface Temperature Initiated Closure (STIC) for surface energy balance fluxes</t>
  </si>
  <si>
    <t>Mallick, K., Jarvis, A.J., Boegh, E., Fisher, J.B., Drewry, D.T., Tu, K.P., Hook, S.J., Hulley, G., ArdÃ¶, J., Beringer, J., Arain, A., Niyogi, D.</t>
  </si>
  <si>
    <t>The use of Penman-Monteith (PM) equation in thermal remote sensing based surface energy balance modeling is not prevalent due to the unavailability of any direct method to integrate thermal data into the PM equation and due to the lack of physical models expressing the surface (or stomatal) and boundary layer conductances (gS and gB) as a function of surface temperature. Here we demonstrate a new method that physically integrates the radiometric surface temperature (TS) into the PM equation for estimating the terrestrial surface energy balance fluxes (sensible heat, H and latent heat, Î»E). The method combines satellite TS data with standard energy balance closure models in order to derive a hybrid closure that does not require the specification of surface to atmosphere conductance terms. We call this the Surface Temperature Initiated Closure (STIC), which is formed by the simultaneous solution of four state equations. Taking advantage of the psychrometric relationship between temperature and vapor pressure, the present method also estimates the near surface moisture availability (M) from TS, air temperature (TA) and relative humidity (RH), thereby being capable of decomposing Î»E into evaporation (Î»EE) and transpiration (Î»ET). STIC is driven with TS, TA, RH, net radiation (RN), and ground heat flux (G). TS measurements from both MODIS Terra (MOD11A2) and Aqua (MYD11A2) were used in conjunction with FLUXNET RN, G, TA, RH, Î»E and H measurements corresponding to the MODIS equatorial crossing time. The performance of STIC has been evaluated in comparison to the eddy covariance measurements of Î»E and H at 30 sites that cover a broad range of biomes and climates. We found a RMSE of 37.79 (11%) (with MODIS Terra TS) and 44.27Wm-2 (15%) (with MODIS Aqua TS) in Î»E estimates, while the RMSE was 37.74 (9%) (with Terra) and 44.72Wm-2 (8%) (with Aqua) in H. STIC could efficiently capture the Î»E dynamics during the dry down period in the semi-arid landscapes where Î»E is strongly governed by the subsurface soil moisture and where the majority of other Î»E models generally show poor results. Sensitivity analysis revealed a high sensitivity of both the fluxes to the uncertainties in TS. A realistic response and modest relationship was also found when partitioned Î»E components (Î»EE and Î»ET) were compared to the observed soil moisture and rainfall. This is the first study to report the physical integration of TS into the PM equation and finding analytical solution of the physical (gB) and physiological conductances (gS). The performance of STIC over diverse biomes and climates points to its potential to benefit future NASA and NOAA missions having thermal sensors, such as HyspIRI, GeoSTAR and GOES-R for mapping multi-scale Î»E and drought. Â© 2013 Elsevier Inc.</t>
  </si>
  <si>
    <t>Remote Sensing of Environment</t>
  </si>
  <si>
    <t>10.1016/j.rse.2013.10.022</t>
  </si>
  <si>
    <t>2002-001</t>
  </si>
  <si>
    <t>2006-365</t>
  </si>
  <si>
    <t>Aud</t>
  </si>
  <si>
    <t>Audubon Ranch</t>
  </si>
  <si>
    <t>GRA</t>
  </si>
  <si>
    <t>−110.51</t>
  </si>
  <si>
    <t>Dry arid and semi-arid</t>
  </si>
  <si>
    <t>CSH</t>
  </si>
  <si>
    <t>OSH</t>
  </si>
  <si>
    <t>BSk</t>
  </si>
  <si>
    <t>STIC</t>
  </si>
  <si>
    <t>2004-001</t>
  </si>
  <si>
    <t>FR2</t>
  </si>
  <si>
    <t>Freeman Ranch</t>
  </si>
  <si>
    <t>−97.99</t>
  </si>
  <si>
    <t>Subtropical Mediterranean</t>
  </si>
  <si>
    <t>SRM</t>
  </si>
  <si>
    <t>Santa Rita Mesquite</t>
  </si>
  <si>
    <t>−110.87</t>
  </si>
  <si>
    <t>Bsk</t>
  </si>
  <si>
    <t>BSh</t>
  </si>
  <si>
    <t>SO2</t>
  </si>
  <si>
    <t>Sky Oaks</t>
  </si>
  <si>
    <t>−116.62</t>
  </si>
  <si>
    <t>n/a</t>
  </si>
  <si>
    <t>TON</t>
  </si>
  <si>
    <t>Tonzi Ranch</t>
  </si>
  <si>
    <t>−120.97</t>
  </si>
  <si>
    <t>Savanna</t>
  </si>
  <si>
    <t>SAV</t>
  </si>
  <si>
    <t>Wkg</t>
  </si>
  <si>
    <t>Walnut Gulch</t>
  </si>
  <si>
    <t>−109.94</t>
  </si>
  <si>
    <t>2005-001</t>
  </si>
  <si>
    <t>FMF</t>
  </si>
  <si>
    <t>Flagstaff-managed Forest</t>
  </si>
  <si>
    <t>−111.73</t>
  </si>
  <si>
    <t>Dsb</t>
  </si>
  <si>
    <t>Fuf</t>
  </si>
  <si>
    <t>Flagstaff-unmanaged Forest</t>
  </si>
  <si>
    <t>−111.76</t>
  </si>
  <si>
    <t>FWF</t>
  </si>
  <si>
    <t>Flagstaff-Wildfire</t>
  </si>
  <si>
    <t>−111.77</t>
  </si>
  <si>
    <t>2001-001</t>
  </si>
  <si>
    <t>2002-365</t>
  </si>
  <si>
    <t>SP1</t>
  </si>
  <si>
    <t>Sao Paulo Cerrado</t>
  </si>
  <si>
    <t>−21.62</t>
  </si>
  <si>
    <t>−47.65</t>
  </si>
  <si>
    <t>BR</t>
  </si>
  <si>
    <t>Aw</t>
  </si>
  <si>
    <t>EBF</t>
  </si>
  <si>
    <t>HOW</t>
  </si>
  <si>
    <t>Howard Springs</t>
  </si>
  <si>
    <t>−12.49</t>
  </si>
  <si>
    <t>AU</t>
  </si>
  <si>
    <t>2006-001</t>
  </si>
  <si>
    <t>2007-365</t>
  </si>
  <si>
    <t>FOG</t>
  </si>
  <si>
    <t>Foggdam</t>
  </si>
  <si>
    <t>−12.54</t>
  </si>
  <si>
    <t>LMA</t>
  </si>
  <si>
    <t>Las Majadas del Tieter</t>
  </si>
  <si>
    <t>−5.77</t>
  </si>
  <si>
    <t>ES</t>
  </si>
  <si>
    <t>2007-001</t>
  </si>
  <si>
    <t>2009-365</t>
  </si>
  <si>
    <t>DEM</t>
  </si>
  <si>
    <t>Demokeya</t>
  </si>
  <si>
    <t>SD</t>
  </si>
  <si>
    <t>BWh</t>
  </si>
  <si>
    <t>2000-001</t>
  </si>
  <si>
    <t>2001-365</t>
  </si>
  <si>
    <t>MA1</t>
  </si>
  <si>
    <t>Maun Mopane</t>
  </si>
  <si>
    <t>−19.92</t>
  </si>
  <si>
    <t>BW</t>
  </si>
  <si>
    <t>CVM</t>
  </si>
  <si>
    <t>2003-365</t>
  </si>
  <si>
    <t>KRU</t>
  </si>
  <si>
    <t>Skukuza</t>
  </si>
  <si>
    <t>−25.02</t>
  </si>
  <si>
    <t>ZA</t>
  </si>
  <si>
    <t>WCr</t>
  </si>
  <si>
    <t>Willow Creek</t>
  </si>
  <si>
    <t>DBF</t>
  </si>
  <si>
    <t>−90.08</t>
  </si>
  <si>
    <t>Dfc</t>
  </si>
  <si>
    <t>HAI</t>
  </si>
  <si>
    <t>Hainich</t>
  </si>
  <si>
    <t>DE</t>
  </si>
  <si>
    <t>Cfb</t>
  </si>
  <si>
    <t>UMB</t>
  </si>
  <si>
    <t>University of Michigan Biological Station</t>
  </si>
  <si>
    <t>−84.71</t>
  </si>
  <si>
    <t>HES</t>
  </si>
  <si>
    <t>Hesse forest</t>
  </si>
  <si>
    <t>FR</t>
  </si>
  <si>
    <t>CA1</t>
  </si>
  <si>
    <t>Cabauw</t>
  </si>
  <si>
    <t>NL</t>
  </si>
  <si>
    <t>Temperate</t>
  </si>
  <si>
    <t>Wetztein</t>
  </si>
  <si>
    <t>MEH</t>
  </si>
  <si>
    <t>Mehrstadt</t>
  </si>
  <si>
    <t>GRI</t>
  </si>
  <si>
    <t>Grillenburg</t>
  </si>
  <si>
    <t>OAS</t>
  </si>
  <si>
    <t>SSA Old Aspen</t>
  </si>
  <si>
    <t>−106.20</t>
  </si>
  <si>
    <t>CA</t>
  </si>
  <si>
    <t>LET</t>
  </si>
  <si>
    <t>Lethbridge</t>
  </si>
  <si>
    <t>−112.940</t>
  </si>
  <si>
    <t>Mixed Grass Prairie</t>
  </si>
  <si>
    <t>LOO</t>
  </si>
  <si>
    <t>Loobos</t>
  </si>
  <si>
    <t>SF1</t>
  </si>
  <si>
    <t>Saskatchwan Fire 1977</t>
  </si>
  <si>
    <t>−106.198</t>
  </si>
  <si>
    <t>TP1</t>
  </si>
  <si>
    <t>Ontario Turkey Point Seeding White Pine</t>
  </si>
  <si>
    <t>−80.559</t>
  </si>
  <si>
    <t>IVO</t>
  </si>
  <si>
    <t>Ivotuk</t>
  </si>
  <si>
    <t>−155.75</t>
  </si>
  <si>
    <t>Arctic</t>
  </si>
  <si>
    <t>Dfd</t>
  </si>
  <si>
    <t>Pooled (all stations)</t>
  </si>
  <si>
    <t>US, BR, AU, ES, SD, BW, ZA, DE, FR, NL, CA</t>
  </si>
  <si>
    <t>Kawa</t>
  </si>
  <si>
    <t>Comparison of MOD16 and LSA-SAF MSG evapotranspiration products over Europe for 2011</t>
  </si>
  <si>
    <t>Hu, G., Jia, L., Menenti, M.</t>
  </si>
  <si>
    <t>Terrestrial actual evapotranspiration (ETa) is an important component of the terrestrial water cycle. Currently there are two operational ETa products using moderate spatial resolution remote sensing data at continental and global scales, i.e. MOD16 and LSA-SAF MSG ETa. These two products are based on different parameterizations and forcing data, with the spatial and temporal resolutions of 1-km/8-day and 5-km/daily for MOD16 and LSA-SAF MSG ETa respectively. We compared the MOD16 ETa and LSA-SAF MSG ETa products and evaluated them against in-situ measurements at 15 ground sites with biome types ranging from croplands, grasslands, shrublands, savannas, to forests over Europe for 2011. The intercomparison results at local scale demonstrate that LSA-SAF MSG ETa is closer to eddy covariance (EC) measurements than MOD16 ETa product, with larger correlation coefficient Rest-obs, smaller root mean square error RMSEest-obs and bias of LSA-SAF MSG vs. EC at most of the 15 flux sites. Spatial distributions of the RMOD16-MSG and RMSEMOD16-MSG between MOD16 and LSA-SAF MSG ETa for 2011 show that both ETa data products are consistent over most of Europe, except for some semi-arid regions where the water availability is the main limiting factor of land surface evapotranspiration. LSA-SAF MSG ETa is shown to have a more adequate response to the forest fire. Our study contributes to assess the quality and uncertainty of each product, which can be beneficial for improving ETa algorithm and product quality. copy; 2014 Elsevier Inc.</t>
  </si>
  <si>
    <t>10.1016/j.rse.2014.10.017</t>
  </si>
  <si>
    <t>CH-Oe2</t>
  </si>
  <si>
    <t>Oensingen</t>
  </si>
  <si>
    <t>CH</t>
  </si>
  <si>
    <t>winter wheat</t>
  </si>
  <si>
    <t>LSA-SAF MSG</t>
  </si>
  <si>
    <t>ECMWF</t>
  </si>
  <si>
    <t>MOD16, LSA-SAF</t>
  </si>
  <si>
    <t>Comparison of MOD16 and LSA-SAF MSG evapotranspiration products over Europe for 2012</t>
  </si>
  <si>
    <t>DE-Kli</t>
  </si>
  <si>
    <t>Klingenberg</t>
  </si>
  <si>
    <t>winter barley</t>
  </si>
  <si>
    <t>Comparison of MOD16 and LSA-SAF MSG evapotranspiration products over Europe for 2013</t>
  </si>
  <si>
    <t>IT-MBo</t>
  </si>
  <si>
    <t>Monte Bondone</t>
  </si>
  <si>
    <t>meadow</t>
  </si>
  <si>
    <t>Comparison of MOD16 and LSA-SAF MSG evapotranspiration products over Europe for 2014</t>
  </si>
  <si>
    <t>NL-Ca1</t>
  </si>
  <si>
    <t>Comparison of MOD16 and LSA-SAF MSG evapotranspiration products over Europe for 2015</t>
  </si>
  <si>
    <t>ES-Amo</t>
  </si>
  <si>
    <t>Amoladeres</t>
  </si>
  <si>
    <t>dwarf shrub</t>
  </si>
  <si>
    <t>Comparison of MOD16 and LSA-SAF MSG evapotranspiration products over Europe for 2016</t>
  </si>
  <si>
    <t>ES-LJu</t>
  </si>
  <si>
    <t>Llano de los Juanes</t>
  </si>
  <si>
    <t>matorral shrub</t>
  </si>
  <si>
    <t>Csb</t>
  </si>
  <si>
    <t>Comparison of MOD16 and LSA-SAF MSG evapotranspiration products over Europe for 2017</t>
  </si>
  <si>
    <t>ES-LMa</t>
  </si>
  <si>
    <t>holm oak open woodland</t>
  </si>
  <si>
    <t>Comparison of MOD16 and LSA-SAF MSG evapotranspiration products over Europe for 2018</t>
  </si>
  <si>
    <t>BE-Bra</t>
  </si>
  <si>
    <t>Brasschaat</t>
  </si>
  <si>
    <t>MF</t>
  </si>
  <si>
    <t>BE</t>
  </si>
  <si>
    <t>Scots pine, English oak</t>
  </si>
  <si>
    <t>Comparison of MOD16 and LSA-SAF MSG evapotranspiration products over Europe for 2019</t>
  </si>
  <si>
    <t>IT-Col</t>
  </si>
  <si>
    <t>Collelongo</t>
  </si>
  <si>
    <t>European beech</t>
  </si>
  <si>
    <t>Comparison of MOD16 and LSA-SAF MSG evapotranspiration products over Europe for 2020</t>
  </si>
  <si>
    <t>IT-Ro2</t>
  </si>
  <si>
    <t>Roccarespampani</t>
  </si>
  <si>
    <t>Turkey oak</t>
  </si>
  <si>
    <t>Comparison of MOD16 and LSA-SAF MSG evapotranspiration products over Europe for 2021</t>
  </si>
  <si>
    <t>FR-Pue</t>
  </si>
  <si>
    <t>Puechabon</t>
  </si>
  <si>
    <t>holm oak</t>
  </si>
  <si>
    <t>Comparison of MOD16 and LSA-SAF MSG evapotranspiration products over Europe for 2022</t>
  </si>
  <si>
    <t>CZ-BK1</t>
  </si>
  <si>
    <t>Bily Kriz forest</t>
  </si>
  <si>
    <t>CZ</t>
  </si>
  <si>
    <t>Norway spruce</t>
  </si>
  <si>
    <t>Comparison of MOD16 and LSA-SAF MSG evapotranspiration products over Europe for 2023</t>
  </si>
  <si>
    <t>DE-Tha</t>
  </si>
  <si>
    <t>Tharandt</t>
  </si>
  <si>
    <t>Comparison of MOD16 and LSA-SAF MSG evapotranspiration products over Europe for 2024</t>
  </si>
  <si>
    <t>IT-SRo</t>
  </si>
  <si>
    <t>San Rossore</t>
  </si>
  <si>
    <t>maritime pine</t>
  </si>
  <si>
    <t>Comparison of MOD16 and LSA-SAF MSG evapotranspiration products over Europe for 2025</t>
  </si>
  <si>
    <t>RU-Fyo</t>
  </si>
  <si>
    <t>Fyodorovskoye</t>
  </si>
  <si>
    <t>RU</t>
  </si>
  <si>
    <t>wet spruce</t>
  </si>
  <si>
    <t>Ch</t>
  </si>
  <si>
    <t xml:space="preserve">(GMAO)(GEOS-5)daily meteorological reanalysis data generated by  </t>
  </si>
  <si>
    <t>A remote sensing-based two-leaf canopy conductance model: Global optimization and applications in modeling gross primary productivity and evapotranspiration of crops</t>
  </si>
  <si>
    <t>Bai, Y., Zhang, J., Zhang, S., Yao, F., Magliulo, V.</t>
  </si>
  <si>
    <t>The temporal dynamics of optimum stomatal conductance (gsmax), as well differences between C3 and C4 crops, have rarely been considered in previous remote sensing (RS)-based Jarvis-type canopy conductance (Gc) models. To address this issue, a RS-based two-leaf Jarvis-type Gc model, RST-Gc, was optimized and validated for C3 and C4 crops using 19 crop flux sites across Europe, North America, and China. RST-Gc included restrictive functions for air temperature, vapor pressure deficit, and soil water deficit, and it used satellite-retrieved NDVI to formulate the temporal variation of gsmax defined at a photosynthetic photon flux density (PPFD) of 2000 Î¼mol mâ_x0088__x0092_2 sâ_x0088__x0092_1 (gsm, 2000). Results showed that the parameters of RST-Gc differed between C3 and C4 crops. RST-Gc successfully simulated variations in Penmanâ_x0080__x0093_Monteith (PM)-derived daytime Gc with R2 = 0.57 for both C3 and C4 crops. RST-Gc was incorporated into a revised evapotranspiration (ET) model and a new gross primary productivity (GPP) model. The two models were validated at 19 crop flux sites. Daily mean inputs were generally incorporated into a PM approach to model daily transpiration. This is inappropriate because available energy and stomatal conductance vary significantly on a diurnal basis, with both non-linearly regulating transpiration rate. The PM approach with daily mean inputs produced unreasonable transpiration rate estimates. Efforts were made in the revised ET model (denoted as RS-WBPM2), which was modified from the water balance based RS-PM (RS-WBPM) model of Bai et al. (2017), to address this issue by calculating transpiration using daytime inputs. The photosynthesis-based stomatal conductance model, developed by Ball et al. (1987a) and improved by Leuning (1995) (BBL model), was inverted to calculate GPP using canopy conductance; the inverted model was denoted as IBBL. Cross validation showed good agreement between flux tower measurements and modeled ET (R2 = 0.79, RMSE (root mean standard error) = 20.66 W mâ_x0088__x0092_2 for daily ET and R2 = 0.87, RMSE = 15.32 W mâ_x0088__x0092_2 for 16-day ET) and GPP (R2 = 0.83, RMSE = 2.49 gC mâ_x0088__x0092_2 dâ_x0088__x0092_1 for daily GPP and R2 = 0.86, RMSE = 1.96 gC mâ_x0088__x0092_2 dâ_x0088__x0092_1 for 16-day GPP) for the two models. Within-site validations demonstrated the successful performance of the two models at 18 sites (albeit with one outlier). Inter-site variations in ET and GPP were also successfully reproduced by the models. NDVI-derived gsm, 2000 outperformed the fixed gsm, 2000 in both ET and GPP estimates. The results imply that the RS-WBPM2 and IBBL models are useful tools for modeling regional and global ET and GPP. Â© 2018 Elsevier Inc.</t>
  </si>
  <si>
    <t>10.1016/j.rse.2018.06.005</t>
  </si>
  <si>
    <t>16-day</t>
  </si>
  <si>
    <t>BE-Lon</t>
  </si>
  <si>
    <t>Lonzee</t>
  </si>
  <si>
    <t>Jarvis</t>
  </si>
  <si>
    <t>eddy covariance flux</t>
  </si>
  <si>
    <t>RST-Gc, RS-WBPM,IBBL</t>
  </si>
  <si>
    <t>CN-Yuc</t>
  </si>
  <si>
    <t>Yucheng</t>
  </si>
  <si>
    <t>DE-Geb</t>
  </si>
  <si>
    <t>Gebesee</t>
  </si>
  <si>
    <t>Winter wheat/Rapeseed/Winter barley/sugar beet / potato</t>
  </si>
  <si>
    <t>klingenberg</t>
  </si>
  <si>
    <t>Winter wheat/Rapeseed/spring barley (C4) / Maize (C3) 2006-2007/2012</t>
  </si>
  <si>
    <t>DE-RuS</t>
  </si>
  <si>
    <t>Selhausen Juelich</t>
  </si>
  <si>
    <t>URB</t>
  </si>
  <si>
    <t>2008-001</t>
  </si>
  <si>
    <t>2010-365</t>
  </si>
  <si>
    <t>DE-Seh</t>
  </si>
  <si>
    <t>Selhausen</t>
  </si>
  <si>
    <t>FI-Jok</t>
  </si>
  <si>
    <t>Jokioinen</t>
  </si>
  <si>
    <t>FI</t>
  </si>
  <si>
    <t>FR-Gri</t>
  </si>
  <si>
    <t>Grignon</t>
  </si>
  <si>
    <t>IT-BCi</t>
  </si>
  <si>
    <t>Borgo Cioffi</t>
  </si>
  <si>
    <t>IT-CA2</t>
  </si>
  <si>
    <t>Castel d'Asso 2</t>
  </si>
  <si>
    <t>ARM</t>
  </si>
  <si>
    <t>ARM Southern Great Plains site- Lamont</t>
  </si>
  <si>
    <t>CRT</t>
  </si>
  <si>
    <t xml:space="preserve">Curtice Walter Berger </t>
  </si>
  <si>
    <t>Ne1</t>
  </si>
  <si>
    <t>Mead irrigated maize site</t>
  </si>
  <si>
    <t>corn</t>
  </si>
  <si>
    <t>Ne2</t>
  </si>
  <si>
    <t>Mead irrigated rotation site</t>
  </si>
  <si>
    <t>corn/soybean</t>
  </si>
  <si>
    <t>Ne3</t>
  </si>
  <si>
    <t>Mead rainfed rotation site</t>
  </si>
  <si>
    <t>Tw2</t>
  </si>
  <si>
    <t>Twitchell corn</t>
  </si>
  <si>
    <t>Tw3</t>
  </si>
  <si>
    <t>Twitchell alfalfa</t>
  </si>
  <si>
    <t>Alfafa</t>
  </si>
  <si>
    <t>2009-001</t>
  </si>
  <si>
    <t>Twt</t>
  </si>
  <si>
    <t>Twitchell Island</t>
  </si>
  <si>
    <t>10.1016/j.rse.2018.06.004</t>
  </si>
  <si>
    <t>all stations</t>
  </si>
  <si>
    <t>DE, FR, IT, US, BE, CN, CH, FI</t>
  </si>
  <si>
    <t>Investigating impacts of drought and disturbance on evapotranspiration over a forested landscape in North Carolina, US using high spatiotemporal resolution remotely sensed data</t>
  </si>
  <si>
    <t>Yang, Y., Anderson, M., Gao, F., Hain, C., Noormets, A., Sun, G., Wynne, R., Thomas, V., Sun, L.</t>
  </si>
  <si>
    <t>Forest ecosystem services such as clean water, wildlife habitat, and timber supplies are increasingly threatened by drought and disturbances (e.g., harvesting, fires and conversion to other uses), which can have great impacts on stand development and water balance. Improved understanding of the hydrologic response of forested systems to drought and disturbance at spatiotemporal resolutions commensurate with these impacts is important for effective forest management. Evapotranspiration (ET) is a key hydrologic variable in assessing forest functioning and health, but it remains a challenge to accurately quantify ET at landscape scales with the spatial and temporal detail required for effective decision-making. In this study, we apply a multi-sensor satellite data fusion approach to study the response of forest ET to drought and disturbance over a 7-year period. This approach combines Landsat and Moderate Resolution Imaging Spectroradiometer (MODIS) ET product time series retrieved using a surface energy balance model to generate a multi-year ET datacube at 30-m resolution and daily timesteps. The study area (~900 km2) contains natural and managed forest as well as croplands in the humid lower coastal plains in North Carolina, US, and the simulation period from 2006 to 2012 includes both normal and severe drought conditions. The model results were evaluated at two AmeriFlux sites (US-NC2 and US-NC1) dominated by a mature and a recently clearcut pine plantation, respectively, and showed good agreement with observed fluxes, with 8â_x0080__x0093_13% relative errors at monthly timesteps. Changes in water use patterns in response to drought and disturbance as well as forest stand aging were assessed using the remotely sensed time series describing total evapotranspiration, the transpiration (T) component of ET, and a moisture stress metric given by the actual-to-reference ET ratio (fRET). Analyses demonstrate differential response to drought by land cover type and stand age, with larger impacts on total ET observed in young pine stands than in mature stands which have substantially deeper rooting systems. Transpiration flux shows a clear ascending trend with the growth of young pine plantations, while stand thinning within the plantation leads to decreases in both remotely sensed leaf area index and T, as expected. Time series maps of fRET anomalies at 30-m resolution capture signals of drought, disturbance and the subsequent recovery after clearcut at the stand scale and may be an effective indicator for water use change detection and monitoring in forested landscapes. Â© 2018 The Authors</t>
  </si>
  <si>
    <t>10.1016/j.rse.2018.12.017</t>
  </si>
  <si>
    <t>NC1</t>
  </si>
  <si>
    <t>North Carolina Clearcut site</t>
  </si>
  <si>
    <t>35°47N</t>
  </si>
  <si>
    <t>76°42′W</t>
  </si>
  <si>
    <t>Forst</t>
  </si>
  <si>
    <t>STARFM</t>
  </si>
  <si>
    <t>ALEXI/DisALEXI</t>
  </si>
  <si>
    <t>eddy flux</t>
  </si>
  <si>
    <t>2006 National Land Cover Dataset (NLCD)</t>
  </si>
  <si>
    <t>DisALEXI/ALEXI</t>
  </si>
  <si>
    <t>NC2</t>
  </si>
  <si>
    <t>North Carolina Loblolly Pine site</t>
  </si>
  <si>
    <t>35°48N</t>
  </si>
  <si>
    <t>76°40′W</t>
  </si>
  <si>
    <t xml:space="preserve"> outer coastal plain mixed forest province</t>
  </si>
  <si>
    <t>2007 National Land Cover Dataset (NLCD)</t>
  </si>
  <si>
    <t>Validation of evaporation estimates from a modified surface energy balance algorithm for land (SEBAL) model in the south-eastern United States</t>
  </si>
  <si>
    <t>Bhattarai, N., Dougherty, M., Marzen, L.J., Kalin, L.</t>
  </si>
  <si>
    <t>A modified surface energy balance algorithm for land (SEBAL) model, which has been widely used in the western United States since its development in 1998, was validated in the humid south-eastern United States using daily and monthly evapotranspiration (ET) estimates. Sixteen Landsat 5 Thematic Mapper (TM) images from April 2000 to September 2006 were processed, and the results were compared with energy-budget eddy covariance (EBEC) ET estimates from four US Geological Survey (USGS) stations. The model performed well in terms of Nash-Sutcliffe efficiency (NSE) coefficients (daily = 0.82, monthly = 0.77) and coefficients of determination (R2, daily = 0.83, monthly = 0.77). Root mean square errors (RMSEs, daily = 0.48 mm/day, monthly = 16 mm/month), mean absolute errors (MAEs, daily = 0.32 Â± 0.36 mm/day, monthly = 12 Â± 10 mm/month), mean relative errors (MREs, daily = 7 Â± 8%, monthly = 11 Â± 12%) and mean bias errors (MBEs, daily = 0.05 mm/day, monthly=-2 mm/month) were comparable to the results from similar studies in the western United States. Results from the study support the applicability of the modified SEBAL model in the rapidly growing south-eastern United States as a tool for estimating consumptive water use via remotely sensed methods. Â© 2011 Taylor &amp; Francis.</t>
  </si>
  <si>
    <t>Remote Sensing Letters</t>
  </si>
  <si>
    <t>10.1080/01431161.2011.632655</t>
  </si>
  <si>
    <t>USGS &amp; FAWN (Blue Cypress, Disney Preserve, Starkey, ferris Farm)</t>
  </si>
  <si>
    <t>WET, GRA</t>
  </si>
  <si>
    <t xml:space="preserve"> −82.2762</t>
  </si>
  <si>
    <t>Marsh and Grass</t>
  </si>
  <si>
    <t>SEBAL</t>
  </si>
  <si>
    <t>1SEB</t>
  </si>
  <si>
    <t>Florida Automated Weather Network</t>
  </si>
  <si>
    <t>Landsat 5</t>
  </si>
  <si>
    <t>Multi-scale validation of GLEAM evapotranspiration products over China via ChinaFLUX ET measurements</t>
  </si>
  <si>
    <t>Yang, X., Yong, B., Ren, L., Zhang, Y., Long, D.</t>
  </si>
  <si>
    <t>Land evapotranspiration (ET) is a key component of terrestrial ecosystems, as it is the nexus of hydrological, energy, and carbon cycles. Satellite-based observations are commonly utilized to provide high-resolution, large-scale ET estimates. The ground-based validation of such large-scale estimates is necessary to ensure that remotely sensed ET characteristics are accurate, and to extend their various applications. The Global Land-surface Evaporation Amsterdam Methodology (GLEAM) combines a wide range of multi-satellite observations to estimate daily actual evaporation through a process-based methodology. In this study, we focused on evaluating a daily GLEAM 0.25Â° ET product using in-situ eddy covariance (EC) ET data (2003â_x0080__x0093_2005) as a benchmark at eight sites from the Chinese Flux Observation and Research Network (ChinaFLUX), which contains several biome types (croplands, grasslands, shrublands, savannas, and forests) across China at a range of temporal scales (from daily, to monthly, to annual). The results indicated that the ET products of the Global Land-surface Evaporation Amsterdam Methodology (GLEAM ET) over different time scales can estimate actual ET with reasonable accuracy. GLEAM showed high skill scores for most of the land-cover types except at the Xishuangbanna forest site (XSBN), where significantly systematic bias was detected at each individual temporal scale. Overall, GLEAM ET products were closer to the EC observations at the three grassland sites than at the four forest sites or the cropland site. GLEAM significantly overestimated the EC measurements at the four forest sites and one cropland site, while a slight underestimation occurred at the three grassland sites; there was a year-long systematic overestimation for GLEAM at the four forest sites. The daily GLEAM ET aggregated by monthly and annual data agreed more closely with EC measurements than those taken at the daily timescale. The results also showed a high average correlation coefficient (r) with in-situ EC observations at all sites, at daily (r = 0.71), monthly (r = 0.86), and annual (r = 0.79) time scales in addition to ET season-dependent characteristics for satellite estimation errors. The results presented here contribute to further. Â© 2017 Informa UK Limited, trading as Taylor &amp; Francis Group.</t>
  </si>
  <si>
    <t>International Journal of Remote Sensing</t>
  </si>
  <si>
    <t>10.1080/01431161.2017.1346400</t>
  </si>
  <si>
    <t xml:space="preserve"> 0.25°</t>
  </si>
  <si>
    <t>CBS</t>
  </si>
  <si>
    <t xml:space="preserve">Changbaishan </t>
  </si>
  <si>
    <t>Temperate continental monsoon climate</t>
  </si>
  <si>
    <t>Dwb</t>
  </si>
  <si>
    <t>Typical subtropical monsoon climat</t>
  </si>
  <si>
    <t>DHS</t>
  </si>
  <si>
    <t>Dinghushan</t>
  </si>
  <si>
    <t>Monsoon humid climate of torrid zone of south As</t>
  </si>
  <si>
    <t>XSBN</t>
  </si>
  <si>
    <t xml:space="preserve">Xishuangbanna </t>
  </si>
  <si>
    <t>Typical monsoon humid climate of torrid zone of south Asia</t>
  </si>
  <si>
    <t>Cwa</t>
  </si>
  <si>
    <t>QHB (Qinghai; China)</t>
  </si>
  <si>
    <t>Qinghai</t>
  </si>
  <si>
    <t>Grassland</t>
  </si>
  <si>
    <t>Highland continental climat</t>
  </si>
  <si>
    <t>Dwc</t>
  </si>
  <si>
    <t>NMG</t>
  </si>
  <si>
    <t>Inner Mongolia</t>
  </si>
  <si>
    <t>Temperate semiarid continental climate</t>
  </si>
  <si>
    <t>DX</t>
  </si>
  <si>
    <t>Dangxiong</t>
  </si>
  <si>
    <t>SNO</t>
  </si>
  <si>
    <t>EF</t>
  </si>
  <si>
    <t>ET</t>
  </si>
  <si>
    <t>YC</t>
  </si>
  <si>
    <t>wheat,Maize</t>
  </si>
  <si>
    <t>Temperate semi-humid and monsoon climate</t>
  </si>
  <si>
    <t>A re-examination of two methods for estimating daily evapotranspiration from remotely sensed instantaneous observations</t>
  </si>
  <si>
    <t>Tang, R., Li, Z.-L., Huo, X., Jiang, Y., Tang, B., Wu, H.</t>
  </si>
  <si>
    <t>The significance of estimating land surface evapotranspiration (ET) has been widely recognized in the fields of hydrology, meteorology, agriculture, and global change. This article compares two ET conversion methods, the constant decoupling factor (Î©) method and the constant reference evaporative fraction (EFr) method, that estimate daily ETs from instantaneous values. The daily ET was estimated either by (1) summing multiple half-hourly or hourly ET estimates that were derived through an application of the two ET conversion methods to half-hourly or hourly meteorological variables (i.e. aggregating the ET outputs) or by (2) directly applying the two ET conversion methods to daily meteorological variables (i.e. aggregating the meteorological inputs). The comparison was made using ground-based eddy covariance (EC) system measurements and the moderate resolution imaging spectroradiometer (MODIS)-based latent heat flux (LE) datasets collected from April 2009 to late October 2011 at the Yucheng station over the North China Plain. The results show that both the constant Î© method and the constant EFr method produced daily latent evaporation (LE) estimates that were in agreement with the ground-based EC measurements. When the two methods were applied to the MODIS-based LE datasets that have a small bias of â_x0080__x0093_8Â WÂ mâ_x0088__x0092_2 and an root mean square error (RMSE) &amp;lt;60Â WÂ mâ_x0088__x0092_2, the validation results of the estimated daily LE against the ground-based EC measurements showed a relative bias of &amp;lt;7% and a relative RMSE of &amp;lt;20%. For both ET conversion methods, aggregating the ET outputs produced better agreement with the ground-based EC measurements than directly obtaining the daily ET by aggregating the meteorological inputs did. No significant difference was observed in the model performance between the constant Î© method and the constant EFr method. Â© 2018, Â© 2018 Informa UK Limited, trading as Taylor &amp; Francis Group.</t>
  </si>
  <si>
    <t>10.1080/01431161.2018.1465615</t>
  </si>
  <si>
    <t>2009-092</t>
  </si>
  <si>
    <t>2011-306</t>
  </si>
  <si>
    <t>Yucheng 1</t>
  </si>
  <si>
    <t>36 49 45 N</t>
  </si>
  <si>
    <t>116 34 13 E</t>
  </si>
  <si>
    <t>constant evaporative fraction method</t>
  </si>
  <si>
    <t>constant omega</t>
  </si>
  <si>
    <t>ground based</t>
  </si>
  <si>
    <t>10:30 conversion time</t>
  </si>
  <si>
    <t>constant EF</t>
  </si>
  <si>
    <t>13:30 conversion time</t>
  </si>
  <si>
    <t>1000?</t>
  </si>
  <si>
    <t>MODIS based estimates (Tang and Li 2017d)</t>
  </si>
  <si>
    <t>Integration of two semi-physical models of terrestrial evapotranspiration using the China Meteorological Forcing Dataset</t>
  </si>
  <si>
    <t>Liu, M., Tang, R., Li, Z.-L., Yan, G.</t>
  </si>
  <si>
    <t>Combining surface evaporation and plant transpiration, evapotranspiration (ET) is critical to surface water and heat balances as it links water, carbon cycles and energy exchanges. Many models have been developed and are presently used to estimate terrestrial ET. However, there are large model uncertainties among the different models, which present a problem. By combining meteorological reanalysis data from the China Meteorological Forcing Dataset (CMFD) with remote sensing data and observational data during 2002â_x0080__x0093_2009, two semi-physical models, the modified satellite-based Priestley-Taylor (MS-PT) model and a semi-empirical Penman equation-based (SE-PM) model, are used to estimate ET and are validated using in situ measurements collected at 22 flux tower sites in China. Then support vector machine (SVM) method is used to integrate these two semi-physical models to improve the accuracy of ET estimates for eight different vegetation types separately, as well as all of these types together. The integrated model likely explains 56â_x0080__x0093_94% of the land surface ET changes indicated by the observations collected at the flux tower sites. The ET predictions obtained by driving the models with the reanalysis data (for which the relative bias and the relative root mean square error (RMSE) for all types of the SVM were 6 and 51Â W mâ_x0080__x0093_2, respectively, and the maximum decrease of the relative RMSE for different types is nearly 20Â W mâ_x0080__x0093_2) are less accurate than those obtained by driving the models with the observational data (for which the relative bias and the relative RMSE for all types of the SVM are 4 and 43Â W mâ_x0080__x0093_2, respectively). Compared to the individual semi-physical models, the results produced by the integrated model display significantly decreased bias (less than 5Â W mâ_x0080__x0093_2 for all types) and RMSE (for which the maximum decrease is nearly 71Â W mâ_x0080__x0093_2) in the validation. Â© 2018, Â© 2018 Informa UK Limited, trading as Taylor &amp; Francis Group.</t>
  </si>
  <si>
    <t>10.1080/01431161.2018.1482026</t>
  </si>
  <si>
    <t>N/A</t>
  </si>
  <si>
    <t xml:space="preserve"> from this list (a) Duolun_cropland; (b) Changwu; (c) Guantao; (d) Miyun; (e) Shouxian; (f) Huaining; (g) Laoshan; (h) Daxing; (i) Changbaishan; (j) Kubuqi_populus forest; (k) Dinghushan; (l) Chi-Lan Mountain; (m)Duolun_grassland; (n) Fukang; (o) Dongsu; (p) Yuzhong; (q) Naiman; (r) Xilinhot_steppe; (s) Xilinhot_grassland; (t) Zhangye; (u) Kubuqi_shrubland and (v) Shapotou.</t>
  </si>
  <si>
    <t>MS-PT</t>
  </si>
  <si>
    <t>Priestley-Taylor</t>
  </si>
  <si>
    <t>in-situ</t>
  </si>
  <si>
    <t>SE-PM, MS-PT</t>
  </si>
  <si>
    <t>DNF</t>
  </si>
  <si>
    <t>SHR</t>
  </si>
  <si>
    <t xml:space="preserve">  (a) Duolun_cropland; (b) Changwu; (c) Guantao; (d) Miyun; (e) Shouxian; (f) Huaining; (g) Laoshan; (h) Daxing; (i) Changbaishan; (j) Kubuqi_populus forest; (k) Dinghushan; (l) Chi-Lan Mountain; (m)Duolun_grassland; (n) Fukang; (o) Dongsu; (p) Yuzhong; (q) Naiman; (r) Xilinhot_steppe; (s) Xilinhot_grassland; (t) Zhangye; (u) Kubuqi_shrubland and (v) Shapotou.</t>
  </si>
  <si>
    <t>ALL</t>
  </si>
  <si>
    <t>SE-PM</t>
  </si>
  <si>
    <t>semi-empirical Penman equation-based</t>
  </si>
  <si>
    <t>SVM</t>
  </si>
  <si>
    <t>ML</t>
  </si>
  <si>
    <t>Empirical</t>
  </si>
  <si>
    <t>meteorological reanalysis data from the CMFD</t>
  </si>
  <si>
    <t>SVMall</t>
  </si>
  <si>
    <t>Evaluation of satellite-retrieved evapotranspiration based on a nonparametric approach over an arid region</t>
  </si>
  <si>
    <t>Pan, X., You, C., Liu, Y., Shi, C., Han, S., Yang, Y., Hu, J.</t>
  </si>
  <si>
    <t>Daily evapotranspiration (ET) controlled by latent energy (LE) is an important variable used in the study of hydrology, meteorology, and ecology. A constant solar radiation ratio approach was introduced to the LE retrieval algorithm based on a nonparametric ET approach to upscale instantaneous LE temporally. On the basis of the proposed algorithm, this study retrieved the daily and eight-day LE using Moderate-resolution Imaging Spectroradiometer (MODIS) and China Meteorological Administration Land Data Assimilation System products and evaluated the daily and eight-day LE retrieval by using the ground observations and MOD16 product in Zhangye City during 25 June to 15 September 2012. Results show that the temporal-spatial distribution of retrieved result was reliable. The retrieved daily/eight-day LE could capture the dynamic change of ground observations, whereas the MOD16 LE was invalid. The retrieved daily (eight-day) LE was underestimated at all four (two) sites, with bias, root mean square error, and R2 of â_x0088__x0092_7.9 to â_x0088__x0092_2.2Â W mâ_x0088__x0092_2 (approximately â_x0088__x0092_5Â W mâ_x0088__x0092_2), 19.8 to 39.0Â W mâ_x0088__x0092_2 (approximately 10Â W mâ_x0088__x0092_2), and 0.72 to 0.84 (approximately 0.9), respectively. The proposed approach showed more satisfactory performance than the triangle approach under clear sky condition. The eight-day LE retrieval was considerably better than MOD16 LE and had (no/slight) influence on MOD16 LE (eight-day retrieval). In addition, the accurate estimation of net radiation, soil heat flux, land surface temperature, and air temperature could aid in improving LE retrieval. Future studies would focus on the improvement of the retrieval algorithm, input accuracy, and residuals. Â© 2020, Â© 2020 Informa UK Limited, trading as Taylor &amp; Francis Group.</t>
  </si>
  <si>
    <t>10.1080/01431161.2020.1763505</t>
  </si>
  <si>
    <t>2012-177</t>
  </si>
  <si>
    <t>2012-259</t>
  </si>
  <si>
    <t>oasis-desert ecotone of Zhangye City</t>
  </si>
  <si>
    <t>Zhangye</t>
  </si>
  <si>
    <t>38°51′ N;</t>
  </si>
  <si>
    <t>100°25′ E,</t>
  </si>
  <si>
    <t>arid</t>
  </si>
  <si>
    <t>RS-NP Liu et al. 2012</t>
  </si>
  <si>
    <t>nonparametic approach</t>
  </si>
  <si>
    <t>automatic weather station/CLDAS</t>
  </si>
  <si>
    <t>RS-NP</t>
  </si>
  <si>
    <t>vegetables</t>
  </si>
  <si>
    <t>GOBI</t>
  </si>
  <si>
    <t>BSV</t>
  </si>
  <si>
    <t>desert</t>
  </si>
  <si>
    <t>Desert</t>
  </si>
  <si>
    <t>Triangle (Jiang and Islam 1999, 2001)</t>
  </si>
  <si>
    <t>triangle method</t>
  </si>
  <si>
    <t>Ts-VI</t>
  </si>
  <si>
    <t>Global Land Surface Evapotranspiration Estimation from Meteorological and Satellite Data Using the Support Vector Machine and Semiempirical Algorithm</t>
  </si>
  <si>
    <t>Liu, M., Tang, R., Li, Z.-L., Yao, Y., Yan, G.</t>
  </si>
  <si>
    <t>Evapotranspiration (ET) is the combination process of the surface evaporation and plant transpiration, which occur simultaneously, and it links the terrestrial water cycles, carbon cycles, and energy exchange. In this study, based on the observations from 242 global FLUXnet sites, with daily mean temperature, relative humidity, net radiation, wind speed, incoming shortwave radiation, maximum temperature, minimum temperature, normalized difference vegetation index, altitude, difference in temperature, and observed ET as input data, we used a support vector machine and a semiempirical algorithm to estimate the land surface daily ET at nine different vegetation-type sites. Subsequently, based on the meteorological reanalysis data combined with remote sensing data, we estimated regional land surface ET of China during 1982-2010. The results showed that, for all vegetation-type sites, when the predicted ET was validated with the eddy covariance measurements, the support vector machine algorithm undervalued ET while the semiempirical algorithm overvalued ET. When five indicators and the second classification method were selected, the semiempirical algorithm probably could explain 56%-76% of the land surface ET change, whereas the support vector machine algorithm probably could explain 71%-85%. The regional values of annual daily average ET varied from 5.8 to 110.5 W/m2, and the land surface ET overall trend decreased from the southeast to the northwest in China. Â© 2018 IEEE.</t>
  </si>
  <si>
    <t>IEEE Journal of Selected Topics in Applied Earth Observations and Remote Sensing</t>
  </si>
  <si>
    <t>10.1109/JSTARS.2017.2788462</t>
  </si>
  <si>
    <t>1982-001</t>
  </si>
  <si>
    <t>2008-365</t>
  </si>
  <si>
    <t>china</t>
  </si>
  <si>
    <t>US, CA, BR, CN, MN, RU, TH, AU, JP, KR, BW, ZA, NE, CD, GB, IE, ES, PT, FR, IT, DE, BE, NL, AT, HU, CZ, FI, DK, NL, HU, CH, EE, SE</t>
  </si>
  <si>
    <t>SVM, first classification method</t>
  </si>
  <si>
    <t>China Meteorological Forcing Dataset (Reanalysis)</t>
  </si>
  <si>
    <t>AVHRR</t>
  </si>
  <si>
    <t>Table 3 reports ET and absolute error</t>
  </si>
  <si>
    <t>10.1109/JSTARS.2017.2788471</t>
  </si>
  <si>
    <t>10.1109/JSTARS.2017.2788472</t>
  </si>
  <si>
    <t>SVM, second classification method</t>
  </si>
  <si>
    <t>10.1109/JSTARS.2017.2788473</t>
  </si>
  <si>
    <t>10.1109/JSTARS.2017.2788474</t>
  </si>
  <si>
    <t>10.1109/JSTARS.2017.2788475</t>
  </si>
  <si>
    <t>10.1109/JSTARS.2017.2788476</t>
  </si>
  <si>
    <t>10.1109/JSTARS.2017.2788477</t>
  </si>
  <si>
    <t>10.1109/JSTARS.2017.2788478</t>
  </si>
  <si>
    <t>10.1109/JSTARS.2017.2788479</t>
  </si>
  <si>
    <t>10.1109/JSTARS.2017.2788480</t>
  </si>
  <si>
    <t>reports "uncertainties" in % but definition not clear. mentions calculating bias, but doesnt report results</t>
  </si>
  <si>
    <t>10.1109/JSTARS.2017.2788481</t>
  </si>
  <si>
    <t>10.1109/JSTARS.2017.2788482</t>
  </si>
  <si>
    <t>10.1109/JSTARS.2017.2788483</t>
  </si>
  <si>
    <t>10.1109/JSTARS.2017.2788484</t>
  </si>
  <si>
    <t>10.1109/JSTARS.2017.2788485</t>
  </si>
  <si>
    <t>10.1109/JSTARS.2017.2788486</t>
  </si>
  <si>
    <t>10.1109/JSTARS.2017.2788487</t>
  </si>
  <si>
    <t>10.1109/JSTARS.2017.2788488</t>
  </si>
  <si>
    <t>10.1109/JSTARS.2017.2788489</t>
  </si>
  <si>
    <t>10.1109/JSTARS.2017.2788490</t>
  </si>
  <si>
    <t>10.1109/JSTARS.2017.2788491</t>
  </si>
  <si>
    <t>10.1109/JSTARS.2017.2788492</t>
  </si>
  <si>
    <t>Semi-empirical algorithm</t>
  </si>
  <si>
    <t>10.1109/JSTARS.2017.2788493</t>
  </si>
  <si>
    <t>10.1109/JSTARS.2017.2788494</t>
  </si>
  <si>
    <t>10.1109/JSTARS.2017.2788495</t>
  </si>
  <si>
    <t>10.1109/JSTARS.2017.2788496</t>
  </si>
  <si>
    <t>10.1109/JSTARS.2017.2788497</t>
  </si>
  <si>
    <t>10.1109/JSTARS.2017.2788498</t>
  </si>
  <si>
    <t>10.1109/JSTARS.2017.2788499</t>
  </si>
  <si>
    <t>Remote sensing estimation of urban surface evapotranspiration based on a modified Penman-Monteith model</t>
  </si>
  <si>
    <t>Zhang, Y., Li, L., Qin, K., Wang, Y., Chen, L., Yang, X.</t>
  </si>
  <si>
    <t>To date, remote sensing-based algorithms for inferring urban surface evapotranspiration (ET) remain little studied. Based on the modifications of the remote sensing Penman-Monteith (RS-PM) model, we propose an urban RS-PM model for estimating urban surface ET. Compared with the traditional RS-PM model, our urban RS-PM model is specifically developed for urban areas and is characterized by the following improvements: (1) excluding the interference of impervious surface components in urban areas by replacing the vegetation cover fraction index with land surface component fraction parameters inversed through linear spectral mixture analysis for calculating the area proportions of vegetation and soil; (2) considering the effect of the component fractions of vegetation or soil on all energy components of the surface energy balance by applying the modified multisource parallel model for estimating the component latent heat flux; and (3) optimizing the calculation of the component net radiation flux by considering the component surface characteristics. This urban RSPM model was tested on an urban area of Xuzhou in the eastern Chinese province of Jiangsu. Landsat 8 operational land imager and thermal infrared sensor satellite images acquired between 2014 and 2016, together with their corresponding meteorological data and flux observation data, were used for estimating the ET of the study area for eight dates with the model. The results were validated by the latent heat flux data observed by an open path eddy covariance system. Validation shows the goodness of fit (R2), the root-mean-square error, the mean relative error, and the correlation coefficient (r) between estimated ET and observed ET for the eight dates were 0.8965, 24.14 W â_x0080_¢ m-2, 18.5%, and 0.9546, respectively. The results prove that the urban RS-PM model is effective in estimating ET of urban areas with an acceptable accuracy. Â© 2018 Society of Photo-Optical Instrumentation Engineers (SPIE).</t>
  </si>
  <si>
    <t>Journal of Applied Remote Sensing</t>
  </si>
  <si>
    <t>10.1117/1.JRS.12.046006</t>
  </si>
  <si>
    <t>2014-122</t>
  </si>
  <si>
    <t>2016-307</t>
  </si>
  <si>
    <t>built-up area of Xuzhou</t>
  </si>
  <si>
    <t>Xuzhou</t>
  </si>
  <si>
    <t>(33°43′ to 34°58′N</t>
  </si>
  <si>
    <t>116°22′ to 118°40′E</t>
  </si>
  <si>
    <t>Urban RS-PM</t>
  </si>
  <si>
    <t>Landsat 8</t>
  </si>
  <si>
    <t>RS-PM</t>
  </si>
  <si>
    <t>Application of the GCOM-C global ETindex estimation algorithm in 40 forests located throughout Japan, North America, Australia, and the tropical region</t>
  </si>
  <si>
    <t>Umeno, H., Shinohara, Y., Tasumi, M.</t>
  </si>
  <si>
    <t>Evapotranspiration estimates in forested areas are important not only for water resource management on a regional scale but also to better understand the water cycle on a global scale. The objective of this study was to evaluate the Global Change Observation Mission-Climate (GCOM-C) global Evapotranspiration-index (ETindex) estimation algorithm (GCOM-C ETindex algorithm) applied to forested areas. ETindex, which is the ratio of the actual evapotranspiration to the reference evapotranspiration, is estimated from the actual surface temperature and hypothetical wet and dry surface temperatures, i.e., Ts (wet) and Ts (dry), respectively. Based on the algorithm, evapotranspiration is calculated from thermal satellite images and near-surface weather data. We compared the observed ground-based annual evapotranspiration with the estimated annual evapotranspiration obtained using the GCOM-C ETindex algorithm and thermal images from the Moderate Resolution Imaging Sectroradiometer (MODIS) satellite for 40 forests, with 10 sites in four different areas, including Japan, North America, Australia, and the tropical region. We found that the GCOM-C ETindex algorithm well reproduced annual evapotranspiration for most forests. The root mean square errors (RMSE) for the 40 forests was 239 mm. In Japan, North America, and Australia, the overestimation of summer evapotranspiration was offset by the underestimation of winter evapotranspiration. The accuracy of annual evapotranspiration estimates in forests with low annual mean temperatures (&amp;lt;15 Â°C) was less than that in forests with high annual mean temperatures (â_x0089_¥15 Â°C). Forests with a low annual mean temperature displayed low levels of evapotranspiration in winter. In these forests, the overestimation of summer evapotranspiration was not offset by the underestimation of winter evapotranspiration. The overestimation of Ts (wet) is the primary reason for the overestimation of summer evapotranspiration. Redetermination of the parameters for the Ts (wet) estimates must improve the evapotranspiration estimates in the forested areas, especially the ones with a low annual mean temperature. Â© 2019, Society of Agricultural Meteorology of Japan. All rights reserved.</t>
  </si>
  <si>
    <t>Journal of Agricultural Meteorology</t>
  </si>
  <si>
    <t>10.2480/agrmet.D-18-00052</t>
  </si>
  <si>
    <t>annual</t>
  </si>
  <si>
    <t>Japan</t>
  </si>
  <si>
    <t>JP</t>
  </si>
  <si>
    <t>GCOM-C ETindex</t>
  </si>
  <si>
    <t>Factor</t>
  </si>
  <si>
    <t>reanalyzed global weather data (Mabuchi, 2011).</t>
  </si>
  <si>
    <t>GCOM-C Etindex</t>
  </si>
  <si>
    <t>Australia</t>
  </si>
  <si>
    <t>North America</t>
  </si>
  <si>
    <t>CA, US</t>
  </si>
  <si>
    <t>Tropical Region</t>
  </si>
  <si>
    <t>JP, CA, US, AU, CR, VE, BR, CM, IN, MY</t>
  </si>
  <si>
    <t>Howard river</t>
  </si>
  <si>
    <t>Howard River</t>
  </si>
  <si>
    <t>−12.4942</t>
  </si>
  <si>
    <t>Bn2</t>
  </si>
  <si>
    <t>Delta Junction</t>
  </si>
  <si>
    <t>63°540N</t>
  </si>
  <si>
    <t>145°400W</t>
  </si>
  <si>
    <t>Dsc</t>
  </si>
  <si>
    <t>Prince Albert National Park</t>
  </si>
  <si>
    <t>53.7°N</t>
  </si>
  <si>
    <t>106.2°W</t>
  </si>
  <si>
    <t>DF49</t>
  </si>
  <si>
    <t>Campbell River -near mature</t>
  </si>
  <si>
    <t>49◦520 7.800N,</t>
  </si>
  <si>
    <t>125◦ 200 6.300 5 W</t>
  </si>
  <si>
    <t>HDF00</t>
  </si>
  <si>
    <t>Campbell River -clear cut</t>
  </si>
  <si>
    <t xml:space="preserve">49◦520 1.0800N, </t>
  </si>
  <si>
    <t>125◦ 160 43.8000W</t>
  </si>
  <si>
    <t>HDF88</t>
  </si>
  <si>
    <t>Campbell River -pole/sapling stand</t>
  </si>
  <si>
    <t xml:space="preserve">49◦320 10.4900N, </t>
  </si>
  <si>
    <t>124◦ 540 7.1800W</t>
  </si>
  <si>
    <t>USDA Forest service research natural area</t>
  </si>
  <si>
    <t>USDA Forest Service Research Natural Area</t>
  </si>
  <si>
    <t>44°29′ 56″ N</t>
  </si>
  <si>
    <t>121°37′ 25″ W</t>
  </si>
  <si>
    <t>Dk3</t>
  </si>
  <si>
    <t>Duke Forest Pine</t>
  </si>
  <si>
    <t>35°58′41″N,</t>
  </si>
  <si>
    <t>79°05′39″W</t>
  </si>
  <si>
    <t>Gainesville</t>
  </si>
  <si>
    <t xml:space="preserve">29°44′N, </t>
  </si>
  <si>
    <t>82°9′30″W</t>
  </si>
  <si>
    <t>Upper Rio Orinoco</t>
  </si>
  <si>
    <t xml:space="preserve">3°10′N, </t>
  </si>
  <si>
    <t>65°40′W,</t>
  </si>
  <si>
    <t>VE</t>
  </si>
  <si>
    <t>Af</t>
  </si>
  <si>
    <t>Rebio Jaru</t>
  </si>
  <si>
    <t>10_x0001_4.7060S</t>
  </si>
  <si>
    <t>61_x0001_56.0270 W</t>
  </si>
  <si>
    <t>Pasoh</t>
  </si>
  <si>
    <t xml:space="preserve">2°580N,  </t>
  </si>
  <si>
    <t>102°180E,</t>
  </si>
  <si>
    <t>MY</t>
  </si>
  <si>
    <t>Evaluating the ssebop and rspmpt models for irrigated fields daily evapotranspiration mapping with modis and cmads data</t>
  </si>
  <si>
    <t>Zhuang, Q., Shi, Y., Shao, H., Zhao, G., Chen, D.</t>
  </si>
  <si>
    <t>It is of great convenience to map daily evapotranspiration (ET) by remote sensing for agricultural water management without computing each surface energy component. This study used the operational simplified surface energy balance (SSEBop) and the remote sensing-based Penmanâ_x0080__x0093_ Monteith and Priestlyâ_x0080__x0093_Taylor (RSPMPT) models to compute continuous daily ET over irrigated fields with the MODIS and CMADS data. The estimations were validated with eddy covariance (EC) measurements. Overall, the performance of RSPMPT with locally calibrated parameters was slightly better than that of SSEBop, with higher NSE (0.84 vs. 0.78) and R2 (0.86 vs. 0.81), lower RMSE (0.78 mmÂ·dâ_x0088__x0092_1 vs. 0.90 mmÂ·dâ_x0088__x0092_1 ), although it had higher bias (0.03 mmÂ·dâ_x0088__x0092_1 vs. 0.01 mmÂ·dâ_x0088__x0092_1 ) and PBias (1.41% vs. 0.59%). Due to the consideration of land surface temperature, the SSEBop was more sensitive to ETâ_x0080__x0099_s change caused by irrigation before sowing in March and had a lower PBias (6.7% vs. 39.8%) than RSPMPT. On cloudy days, the SSEBop is more likely to overestimate ET than the RSPMPT. To conclude, driven by MODIS and CMADS data, the two simple models can be easily applied to map daily ET over cropland. The SSEBop is more practical in the absence of measured data to optimize the RSPMPT model parameters. Â© 2021 by the authors. Licensee MDPI, Basel, Switzerland.</t>
  </si>
  <si>
    <t>Agriculture (Switzerland)</t>
  </si>
  <si>
    <t>10.3390/agriculture11050424</t>
  </si>
  <si>
    <t>Maize</t>
  </si>
  <si>
    <t>RSPMPT-CMADS</t>
  </si>
  <si>
    <t>CMADS datasets</t>
  </si>
  <si>
    <t>SSEBop, RSPMPT</t>
  </si>
  <si>
    <t>SSEBop-CMADS</t>
  </si>
  <si>
    <t>SSEBop</t>
  </si>
  <si>
    <t>10.3390/agriculture11050427</t>
  </si>
  <si>
    <t>4 months</t>
  </si>
  <si>
    <t>Nov-Feb</t>
  </si>
  <si>
    <t>March</t>
  </si>
  <si>
    <t>2 months</t>
  </si>
  <si>
    <t>Apr-May</t>
  </si>
  <si>
    <t>3 months</t>
  </si>
  <si>
    <t>June-Aug</t>
  </si>
  <si>
    <t>Sept-Oct</t>
  </si>
  <si>
    <t>SSEBop-Global ET</t>
  </si>
  <si>
    <t>Regional daily ET estimates based on the gap-filling method of surface conductance</t>
  </si>
  <si>
    <t>Xu, J., Wu, B., Yan, N., Tan, S.</t>
  </si>
  <si>
    <t>Remote sensing allows regional evapotranspiration (ET) values to be obtained. Surface conductance is a key variable in estimating ET and controls surface flux interactions between the underlying surface and atmosphere. Limited by the influence of clouds, ET can only be estimated on cloud-free days. In this study, a gap-filling method is proposed to acquire daily surface conductance, which was coupled into a Penman-Monteith (P-M) equation, to estimate the regional daily ET over the Hai River Basin. The gap-filling method is coupled with the canopy conductance, surface conductance and a simple time extension method, which provides more mechanisms and is more comprehensive. Field observations, including eddy covariance (EC) fluxes and meteorological elements from automatic weather station (AWS), were collected from two sites for calibration and validation. One site is located in Guantao County, which is cropped in a circular pattern with winter wheat and summer maize. The other site is located in Miyun County, which has orchard and summer maize crops. The P-M equation was inverted to the computed surface conductance at the field scale, and latent heat fluxes from EC were processed and converted to daily ET. The results show that the surface conductance model used in the gap-filling method performs well compared with the inverted surface conductance, which suggests that the model used here is reasonable. In addition, the relationship between the results estimated from the gap-filling method and EC measurements is more pronounced than that between the other method and the EC measurements. The R2 values improve from 0.68 to 0.75 at the Guantao site and from 0.79 to 0.88 at the Miyun site. The improvement mainly occurs during the growing crop season, according to the temporal variations in the results. Â© 2018 by the authors.</t>
  </si>
  <si>
    <t>Remote Sensing</t>
  </si>
  <si>
    <t>10.3390/rs10040554</t>
  </si>
  <si>
    <t>2016-001</t>
  </si>
  <si>
    <t>Guantao (GT)</t>
  </si>
  <si>
    <t>Guantao</t>
  </si>
  <si>
    <t>36.52 N</t>
  </si>
  <si>
    <t>105.13W</t>
  </si>
  <si>
    <t>winter wheat/ summer maize</t>
  </si>
  <si>
    <t>surface conductance model</t>
  </si>
  <si>
    <t>NCEP NOAA Earth System Research Laboratory (https://www.esrl.noaa.gov/psd/data/gridded/data.ncep.reanalysis2.html),</t>
  </si>
  <si>
    <t>P-M</t>
  </si>
  <si>
    <t>Miyun (MY)</t>
  </si>
  <si>
    <t>Miyun</t>
  </si>
  <si>
    <t>40.63 N</t>
  </si>
  <si>
    <t>117.32W</t>
  </si>
  <si>
    <t>orchard/summer maize</t>
  </si>
  <si>
    <t>Bich</t>
  </si>
  <si>
    <t>Field-scale assessment of land and water use change over the California delta using remote sensing</t>
  </si>
  <si>
    <t>Anderson, M., Gao, F., Knipper, K., Hain, C., Dulaney, W., Baldocchi, D., Eichelmann, E., Hemes, K., Yang, Y., Medellin-Azuara, J., Kustas, W.</t>
  </si>
  <si>
    <t>The ability to accurately monitor and anticipate changes in consumptive water use associated with changing land use and land management is critical to developing sustainable water management strategies in water-limited climatic regions. In this paper, we present an application of a remote sensing data fusion technique for developing high spatiotemporal resolution maps of evapotranspiration (ET) at scales that can be associated with changes in land use. The fusion approach combines ET map timeseries developed using an multi-scale energy balance algorithm applied to thermal data from Earth observation platforms with high spatial but low temporal resolution (e.g., Landsat) and with moderate resolution but frequent temporal coverage (e.g., MODIS (Moderate Resolution Imaging Spectroradiometer)). The approach is applied over the Sacramento-San Joaquin Delta region in California-an area critical to both agricultural production and drinking water supply within the state that has recently experienced stresses on water resources due to a multi-year (2012-2017) extreme drought. ET "datacubes" with 30-m resolution and daily timesteps were constructed for the 2015-2016 water years and related to detailed maps of land use developed at the same spatial scale. The ET retrievals are evaluated at flux sites over multiple land covers to establish a metric of accuracy in the annual water use estimates, yielding root-mean-square errors of 1.0, 0.8, and 0.3 mm day-1 at daily, monthly, and yearly timesteps, respectively, for all sites combined. Annual ET averaged over the Delta changed only 3 mm year-1 between water years, from 822 to 819 mm year-1, translating to an area-integrated total change in consumptive water use of seven thoUSnd acre-feet (TAF). Changes were largest in areas with recorded land-use change between water years-most significantly, fallowing of crop land presumably in response to reductions in water availability and allocations due to the drought. Moreover, the time evolution in water use associated with wetland restoration-an effort aimed at reducing subsidence and carbon emissions within the inner Delta-is assessed using a sample wetland chronosequence. Region-specific matrices of consumptive water use associated with land use changes may be an effective tool for policymakers and farmers to understand how land use conversion could impact consumptive use and demand. Â© 2018 by the authors.</t>
  </si>
  <si>
    <t>10.3390/rs10060889</t>
  </si>
  <si>
    <t>2015-001</t>
  </si>
  <si>
    <t>all</t>
  </si>
  <si>
    <t>Vineyard</t>
  </si>
  <si>
    <t>CFSR</t>
  </si>
  <si>
    <t>CA Delta by Land IQ</t>
  </si>
  <si>
    <t>MODIS, Landsat (STARFM fusion)</t>
  </si>
  <si>
    <t>Myb</t>
  </si>
  <si>
    <t>Mayberry</t>
  </si>
  <si>
    <t>check ref</t>
  </si>
  <si>
    <t>not sure what equation used</t>
  </si>
  <si>
    <t>Sne</t>
  </si>
  <si>
    <t>Sherman</t>
  </si>
  <si>
    <t>Tw1</t>
  </si>
  <si>
    <t>Twitchell - west pond</t>
  </si>
  <si>
    <t>Tw4</t>
  </si>
  <si>
    <t>Twitchell - east end</t>
  </si>
  <si>
    <t>Rice</t>
  </si>
  <si>
    <t>Assessment of multi-source evapotranspiration products over China using eddy covariance observations</t>
  </si>
  <si>
    <t>Li, S., Wang, G., Sun, S., Chen, H., Bai, P., Zhou, S., Huang, Y., Wang, J., Deng, P.</t>
  </si>
  <si>
    <t>As an essential variable in linking water, carbon, and energy cycles, evapotranspiration (ET) is difficult to measure. Remote sensing, reanalysis, and land surface model-based ET products offer comprehensive alternatives at different spatio-temporal intervals, but their performance varies. In this study, we selected four popular ET global products: The Global Land Evaporation Amsterdam Model version 3.0a (GLEAM3.0a), the Modern Era Retrospective-Analysis for Research and Applications-Land (MERRA-Land) project, the Global Land Data Assimilation System version 2.0 with the Noah model (GLDAS2.0-Noah) and the EartH2Observe ensemble (EartH2Observe-En). Then, we comprehensively evaluated the performance of these products over China using a stratification method, six validation criteria, and high-quality eddy covariance (EC) measurements at 12 sites. The aim of this research was to provide important quantitative information to improve and apply the ET models and to inform choices about the appropriate ET product for specific applications. Results showed that, within one stratification, the performance of each ET product based on a certain criterion differed among classifications of this stratification. Furthermore, the optimal ET (OET) among these products was identified by comparing the magnitudes of each criterion. Results suggested that, given a criterion (a stratification classification), the OETs varied among stratification classifications (the selected six criteria). In short, no product consistently performed best, according to the selected validation criterion. Thus, multi-source ET datasets should be employed in future studies to enhance confidence in ET-related conclusions. Â© 2018 by the authors.</t>
  </si>
  <si>
    <t>10.3390/rs10111692</t>
  </si>
  <si>
    <t>0.25x0.25 deg</t>
  </si>
  <si>
    <t>Changbaishan (Cbs)</t>
  </si>
  <si>
    <t>Changbaishan</t>
  </si>
  <si>
    <t>0.25 deg</t>
  </si>
  <si>
    <t>GLEAMv3.0a</t>
  </si>
  <si>
    <t>Dinghusan (Dhs), Xidshuangbanna (Xsbn)</t>
  </si>
  <si>
    <t>Yucheng (Yc), Shouxian (Sx)</t>
  </si>
  <si>
    <t>Haa, Nmg, Dx, Cl, Dl</t>
  </si>
  <si>
    <t>Haibei Shrubland (Has)</t>
  </si>
  <si>
    <t>Haibei Shrubland</t>
  </si>
  <si>
    <t>All above</t>
  </si>
  <si>
    <t>Cubesats enable high spatiotemporal retrievals of crop-water use for precision agriculture</t>
  </si>
  <si>
    <t>Aragon, B., Houborg, R., Tu, K., Fisher, J.B., McCabe, M.</t>
  </si>
  <si>
    <t>Remote sensing based estimation of evapotranspiration (ET) provides a direct accounting of the crop water use. However, the use of satellite data has generally required that a compromise between spatial and temporal resolution is made, i.e., one could obtain low spatial resolution data regularly, or high spatial resolution occasionally. As a consequence, this spatiotemporal trade-off has tended to limit the impact of remote sensing for precision agricultural applications. With the recent emergence of constellations of small CubeSat-based satellite systems, these constraints are rapidly being removed, such that daily 3 m resolution optical data are now a reality for earth observation. Such advances provide an opportunity to develop new earth system monitoring and assessment tools. In this manuscript we evaluate the capacity of CubeSats to advance the estimation of ET via application of the Priestley-Taylor Jet Propulsion Laboratory (PT-JPL) retrieval model. To take advantage of the high-spatiotemporal resolution afforded by these systems, we have integrated a CubeSat derived leaf area index as a forcing variable into PT-JPL, as well as modified key biophysical model parameters. We evaluate model performance over an irrigated farmland in Saudi Arabia using observations from an eddy covariance tower. Crop water use retrievals were also compared against measured irrigation from an in-line flow meter installed within a center-pivot system. To leverage the high spatial resolution of the CubeSat imagery, PT-JPL retrievals were integrated over the source area of the eddy covariance footprint, to allow an equivalent intercomparison. Apart from offering new precision agricultural insights into farm operations and management, the 3 m resolution ET retrievals were shown to explain 86% of the observed variability and provide a relative RMSE of 32.9% for irrigated maize, comparable to previously reported satellite-based retrievals. An observed underestimation was diagnosed as a possible misrepresentation of the local surface moisture status, highlighting the challenge of high-resolution modeling applications for precision agriculture and informing future research directions. Â© 2018 by the authors.</t>
  </si>
  <si>
    <t>10.3390/rs10121867</t>
  </si>
  <si>
    <t>instananeous</t>
  </si>
  <si>
    <t>2016-255</t>
  </si>
  <si>
    <t>2016-348</t>
  </si>
  <si>
    <t>Tawdeehiya farm</t>
  </si>
  <si>
    <t>SA</t>
  </si>
  <si>
    <t>Alfafa, Rhodes grass, Maize</t>
  </si>
  <si>
    <t>varies from &lt;50 to 300m</t>
  </si>
  <si>
    <t>y, predominant wind dir</t>
  </si>
  <si>
    <t>PT-JPL</t>
  </si>
  <si>
    <t>in situ</t>
  </si>
  <si>
    <t>CubeSat, Landsat</t>
  </si>
  <si>
    <t>y, only pred. wind from 0-20 degrees</t>
  </si>
  <si>
    <t>y, only pred. wind 20-40 degrees</t>
  </si>
  <si>
    <t>y, only pred. wind 40-100 degrees</t>
  </si>
  <si>
    <t>An improved spatio-temporal adaptive Data fusion algorithm for evapotranspiration mapping</t>
  </si>
  <si>
    <t>Wang, T., Tang, R., Li, Z.-L., Jiang, Y., Liu, M., Niu, L.</t>
  </si>
  <si>
    <t>Continuous high spatio-temporal resolution monitoring of evapotranspiration (ET) is critical for water resource management and the quantification of irrigation water efficiency at both global and local scales. However, available remote sensing satellites cannot generally provide ET data at both high spatial and temporal resolutions. Data fusion methods have been widely applied to estimate ET at a high spatio-temporal resolution. Nevertheless, most fusion methods applied to ET are initially used to integrate land surface reflectance, the spectral index and land surface temperature, and few studies completely consider the influencing factor of ET. To overcome this limitation, this paper presents an improved ET fusion method, namely, the spatio-temporal adaptive data fusion algorithm for evapotranspiration mapping (SADFAET), by introducing critical surface temperature (the corresponding temperature to decide soil moisture), importing the weights of surface ET-indicative similarity (the influencing factor of ET, which is estimated from remote sensing data) and modifying the spectral similarity (the differences in spectral characteristics of different spatial resolution images) for the enhanced spatial and temporal adaptive reflectance fusion model (ESTARFM). We fused daily Moderate Resolution Imaging Spectroradiometer (MODIS) and periodic Landsat 8 ET data in the SADFAET for the experimental area downstream of the Heihe River basin from April to October 2015. The validation results, based on ground-based ET measurements, indicated that the SADFAET could successfully fuse MODIS and Landsat 8 ET data (mean percent error: -5%), with a root mean square error of 45.7 W/m2, whereas the ESTARFM performed slightly worse, with a root mean square error of 50.6 W/m2. The more physically explainable SADFAET could be a better alternative to the ESTARFM for producing ET at a high spatio-temporal resolution. Â© 2019 by the authors.</t>
  </si>
  <si>
    <t>10.3390/rs11070761</t>
  </si>
  <si>
    <t>2015-103</t>
  </si>
  <si>
    <t>2015-288</t>
  </si>
  <si>
    <t>Populus Euphratica</t>
  </si>
  <si>
    <t>HiWater-Populus Euphratica</t>
  </si>
  <si>
    <t>ESVEP</t>
  </si>
  <si>
    <t>SADFAET</t>
  </si>
  <si>
    <t>Mixed Forest</t>
  </si>
  <si>
    <t>HiWater-Mixed Forest</t>
  </si>
  <si>
    <t>Barre land</t>
  </si>
  <si>
    <t>HiWater-Bareland</t>
  </si>
  <si>
    <t>Cropland</t>
  </si>
  <si>
    <t>HiWater-cropland</t>
  </si>
  <si>
    <t>melon</t>
  </si>
  <si>
    <t>5 sites HiWater</t>
  </si>
  <si>
    <t>Sidaoqiao</t>
  </si>
  <si>
    <t>tamarix</t>
  </si>
  <si>
    <t>SADFAET, improved ESTARFM</t>
  </si>
  <si>
    <t>Fusion of MODIS, Landsat</t>
  </si>
  <si>
    <t>SADFAET, original ESTARFM</t>
  </si>
  <si>
    <t>Synthesizing a regional territorial evapotranspiration dataset for northern china</t>
  </si>
  <si>
    <t>Wang, L., Wu, B., Elnashar, A., Zeng, H., Zhu, W., Yan, N.</t>
  </si>
  <si>
    <t>As a vital role in the processes of the energy balance and hydrological cycles, actual evapotranspiration (ET) is relevant to many agricultural, ecological and water resource management studies. The available global or regional ET products provide ET estimations with various temporal ranges, spatial resolutions and calculation methods (algorithms, inputs and parameterization, etc.), leading to varying degrees of introduced uncertainty. Northern China is the main agriculturally productive region supporting the whole country; thus, understanding the spatial and temporal changes in ET is essential to ensure water resource and food security. We developed a synthesis ET dataset for Northern China at a 1000 m spatial resolution, with a monthly temporal resolution covering a period ranging from 1982 to 2017, using an in-depth assessment of several ET products. Specifically, assessments were performed using in situ measured ET from eddy covariance (EC) observation towers at the site-pixel scale over interannual months under the conditions of different land cover types, climatic zones and elevation levels to select the most optimally performing ET products to be used in the synthesized ET dataset. Eight indicators under 21 conditions were involved in the assessment sheet, while the statistics of the different ET product occurrences and corresponding ratios were analyzed to select the best-performing ET products to build the synthesis ET dataset using the weighted mean method. The weights were determined by the Taylor skill score (TSS), calculated with ET products and EC ET observation data. Based on the assessment results, the Penmanâ_x0080__x0093_Monteithâ_x0080__x0093_Leuning (PML_v2), ETWatch and Operational Simplified Surface Energy Balance (SSEBop) datasets were selected for implementation in the synthesis ET dataset from 2003 to 2017, while Global Land Evaporation Amsterdam Model (GLEAM) v3.3a, complementary relationship (CR) ET, and Numerical Terradynamic Simulation Group (NTSG) datasets were chosen for the synthesis ET dataset from 1982 to 2002. The weighted mean synthesized results from 2003 to 2017 performed well when compared to the in situ measured EC ET values produced under all of the above conditions, while the synthesized results from 1982 to 2002 performed well through the water balance method in Heihe River Basin. These results can provide more stable ET estimations for Northern China, which can contribute to relevant agricultural, ecological and hydrological studies. Â© 2021 by the authors. Licensee MDPI, Basel, Switzerland.</t>
  </si>
  <si>
    <t>10.3390/rs13061076</t>
  </si>
  <si>
    <t>2017-365</t>
  </si>
  <si>
    <t>All stations</t>
  </si>
  <si>
    <t>DNF, MF, CRO, GRA</t>
  </si>
  <si>
    <t>Northern China</t>
  </si>
  <si>
    <t>MOD16A2_C6</t>
  </si>
  <si>
    <t>MODIS16, Running et all 2017</t>
  </si>
  <si>
    <t>PML_v2, SSEBop, GLEAM, NTSG, CR</t>
  </si>
  <si>
    <t>MOD16A2_C5</t>
  </si>
  <si>
    <t>MODIS16, Mu et al 2013</t>
  </si>
  <si>
    <t>PML_V2</t>
  </si>
  <si>
    <t>PML, Zhang et al 2019</t>
  </si>
  <si>
    <t>0.1deg</t>
  </si>
  <si>
    <t>CR</t>
  </si>
  <si>
    <t>CR, Ma et al 2019</t>
  </si>
  <si>
    <t>0.25deg</t>
  </si>
  <si>
    <t>GLEAM 3.3a</t>
  </si>
  <si>
    <t>GLEAM, Miralles et al 2011</t>
  </si>
  <si>
    <t>GLEAM 3.3b</t>
  </si>
  <si>
    <t>GLEAM, Brecht et al 2016</t>
  </si>
  <si>
    <t>NTSG</t>
  </si>
  <si>
    <t>NTSG, Zhang et al 2010</t>
  </si>
  <si>
    <t>0.05deg</t>
  </si>
  <si>
    <t>SEBS</t>
  </si>
  <si>
    <t>SEBS, Chen et al 2019</t>
  </si>
  <si>
    <t>SSEBop, Senay et al 2013</t>
  </si>
  <si>
    <t>ETWatch</t>
  </si>
  <si>
    <t>ETWatch, Wu et al 2020</t>
  </si>
  <si>
    <t>Synthesized product</t>
  </si>
  <si>
    <t>Ensemble</t>
  </si>
  <si>
    <t>Forest stations</t>
  </si>
  <si>
    <t>MF, DNF</t>
  </si>
  <si>
    <t>Grass stations</t>
  </si>
  <si>
    <t>Crop stations</t>
  </si>
  <si>
    <t>Semi-arid statins</t>
  </si>
  <si>
    <t>Semiarid</t>
  </si>
  <si>
    <t>Dry sub-humid stations</t>
  </si>
  <si>
    <t>dry subhumid</t>
  </si>
  <si>
    <t>Humid stations</t>
  </si>
  <si>
    <t>humid</t>
  </si>
  <si>
    <t>&lt;500 m stations</t>
  </si>
  <si>
    <t>&lt;500m</t>
  </si>
  <si>
    <t>500-1500 stations</t>
  </si>
  <si>
    <t>500-1500</t>
  </si>
  <si>
    <t>&gt;1500 stations</t>
  </si>
  <si>
    <t>&gt;1500</t>
  </si>
  <si>
    <t>Validation of global evapotranspiration product (MOD16) using flux tower data in the African savanna, South Africa</t>
  </si>
  <si>
    <t>Ramoelo, A., Majozi, N., Mathieu, R., Jovanovic, N., Nickless, A., Dzikiti, S.</t>
  </si>
  <si>
    <t>Globally, water is an important resource required for the survival of human beings. Water is a scarce resource in the semi-arid environments, including South Africa. In South Africa, several studies have quantified evapotranspiration (ET) in different ecosystems at a local scale. Accurate spatially explicit information on ET is rare in the country mainly due to lack of appropriate tools. In recent years, a remote sensing ET product from the MODerate Resolution Imaging Spectrometer (MOD16) has been developed. However, its accuracy is not known in South African ecosystems. The objective of this study was to validate the MOD16 ET product using data from two eddy covariance flux towers, namely; Skukuza and Malopeni installed in a savanna and woodland ecosystem within the Kruger National Park, South Africa. Eight day cumulative ET data from the flux towers was calculated to coincide with the eight day MOD16 products over a period of 10 years from 2000 to 2010. The Skukuza flux tower results showed inconsistent comparisons with MOD16 ET. The Malopeni site achieved a poorer comparison with MOD16 ET compared to the Skukuza, and due to a shorter measurement period, data validation was performed for 2009 only. The inconsistent comparison of MOD16 and flux tower-based ET can be attributed to, among other things, the parameterization of the Penman-Monteith model, flux tower measurement errors, and flux tower footprint vs. MODIS pixel. MOD16 is important for global inference of ET, but for use in South Africa's integrated water management, a locally parameterized and improved product should be developed. Â© 2014 by the authors.</t>
  </si>
  <si>
    <t>10.3390/rs6087406</t>
  </si>
  <si>
    <t>2000-365</t>
  </si>
  <si>
    <t>broad-leafed Combretum, fine-leafed Acacia</t>
  </si>
  <si>
    <t>~1km</t>
  </si>
  <si>
    <t>n, no footprint modelling because area is homogeneous</t>
  </si>
  <si>
    <t>MOD16A2.105_MERRAGMAO</t>
  </si>
  <si>
    <t>2004-365</t>
  </si>
  <si>
    <t>2010-001</t>
  </si>
  <si>
    <t>Malopeni</t>
  </si>
  <si>
    <t>broad-leafed Colophospermum mopane</t>
  </si>
  <si>
    <t>Evapotranspiration estimate over an almond orchard using Landsat satellite observations</t>
  </si>
  <si>
    <t>He, R., Jin, Y., Kandelous, M.M., Zaccaria, D., Sanden, B.L., Snyder, R.L., Jiang, J., Hopmans, J.W.</t>
  </si>
  <si>
    <t>California growers face challenges with water shortages and there is a strong need to use the least amount of water while optimizing yield. Timely information on evapotranspiration (ET), a dominant component of crop consumptive water use, is critical for growers to tailor irrigation management based on in-field spatial variability and in-season variations.We evaluated the performance of a remote sensing-based approach, Mapping Evapotranspiration at high Resolution with Internalized Calibration (METRIC), in mapping ET over an almond orchard in California, driven by Landsat satellite observations. Reference ET from a network of weather stations over well-watered grass (ETo) was used for the internal calibration and for deriving ET at daily and extended time period, instead of alfalfa based reference evapotranspiration (ETr). Our study showed that METRIC daily ET estimates during Landsat overpass dates agreed well with the field measurements. During 2009-2012, a root mean square error (RMSE) of 0.53 mm/day and a coefficient of determination (R2) of 0.87 were found between METRIC versus observed daily ET. Monthly ET estimates had a higher accuracy, with a RMSE of 12.08 mm/month, a R2 of 0.90, and a relatively small relative mean difference (RMD) of 9.68% during 2009-2012 growing seasons. Net radiation and Normalized Difference Vegetation Index (NDVI) from remote sensing observations were highly correlated with spatial and temporal ET estimates. An empirical model was developed to estimate daily ET using NDVI, net radiation (Rn), and vapor pressure deficit (VPD). The validation showed that the accuracy of this easy-to-use empirical method was slightly lower than that of METRIC but still reasonable, with a RMSE of 0.71 mm/day when compared to ground measurements. The remote sensing based ET estimate will support a variety of State and local interests in water use and irrigation management, for both planning and regulatory/compliance purposes, and it provides the farmers observation-based guidance for site-specific and time-sensitive irrigation management. Â© 2017 by the authors.</t>
  </si>
  <si>
    <t>10.3390/rs9050436</t>
  </si>
  <si>
    <t>&lt;0.005</t>
  </si>
  <si>
    <t>hour</t>
  </si>
  <si>
    <t>60x90</t>
  </si>
  <si>
    <t>Lost Hill, San Joaquin Valley</t>
  </si>
  <si>
    <t>Lost Hill</t>
  </si>
  <si>
    <t>almond orchard (prunisdulcis)</t>
  </si>
  <si>
    <t>50x50</t>
  </si>
  <si>
    <t>n, no footprint modelling, homogenerous area</t>
  </si>
  <si>
    <t>METRIC</t>
  </si>
  <si>
    <t>in situ, CIMIS station</t>
  </si>
  <si>
    <t>Landsat 5 and 7</t>
  </si>
  <si>
    <t>2009-245</t>
  </si>
  <si>
    <t>2010-092</t>
  </si>
  <si>
    <t>2010-245</t>
  </si>
  <si>
    <t>2011-092</t>
  </si>
  <si>
    <t>2011-245</t>
  </si>
  <si>
    <t>2012-092</t>
  </si>
  <si>
    <t>2012-245</t>
  </si>
  <si>
    <t>uses remote sensing??</t>
  </si>
  <si>
    <t>Operational global actual evapotranspiration: Development, evaluation, and dissemination</t>
  </si>
  <si>
    <t>Senay, G.B., Kagone, S., Velpuri, N.M.</t>
  </si>
  <si>
    <t>Satellite-based actual evapotranspiration (ETa) is becoming increasingly reliable and available for various water management and agricultural applications from water budget studies to crop performance monitoring. The Operational Simplified Surface Energy Balance (SSEBop) model is currently used by the US Geological Survey (USGS) Famine Early Warning System Network (FEWS NET) to routinely produce and post multitemporal ETa and ETa anomalies online for drought monitoring and early warning purposes. Implementation of the global SSEBop using the Aqua satelliteâ_x0080__x0099_s Moderate Resolution Imaging Spectroradiometer (MODIS) land surface temperature and global gridded weather datasets is presented. Evaluation of the SSEBop ETa data using 12 eddy covariance (EC) flux tower sites over six continents indicated reasonable performance in capturing seasonality with a correlation coeffcient up to 0.87. However, the modeled ETa seemed to show regional biases whose natures and magnitudes require a comprehensive investigation using complete water budgets and more quality-controlled EC station datasets. While the absolute magnitude of SSEBop ETa would require a one-time bias correction for use in water budget studies to address local or regional conditions, the ETa anomalies can be used without further modifications for drought monitoring. All ETa products are freely available for download from the USGS FEWS NET website. Â© 2020 by the authors. Licensee MDPI, Basel, Switzerland.</t>
  </si>
  <si>
    <t>Sensors (Switzerland)</t>
  </si>
  <si>
    <t>10.3390/s20071915</t>
  </si>
  <si>
    <t>AU-DaP</t>
  </si>
  <si>
    <t>Daly River Savanna</t>
  </si>
  <si>
    <t>GDAS/IWMI, Daymet/WorldClim</t>
  </si>
  <si>
    <t>MODIS Land Cover (MCD12Q1)</t>
  </si>
  <si>
    <t>MODIS (Aqua) v6</t>
  </si>
  <si>
    <t>"deviation" in %</t>
  </si>
  <si>
    <t>AU-Wom</t>
  </si>
  <si>
    <t>Wombat state forest</t>
  </si>
  <si>
    <t>CN-Cng</t>
  </si>
  <si>
    <t>Changling</t>
  </si>
  <si>
    <t>CN-Du2</t>
  </si>
  <si>
    <t>Duolun grassland</t>
  </si>
  <si>
    <t>DE-Obe</t>
  </si>
  <si>
    <t>Oberbarenburg</t>
  </si>
  <si>
    <t>ZA-KRU</t>
  </si>
  <si>
    <t>broadleaf and fine leaf</t>
  </si>
  <si>
    <t>ZM-Mon</t>
  </si>
  <si>
    <t>Mongu</t>
  </si>
  <si>
    <t>ZM</t>
  </si>
  <si>
    <t>SLu</t>
  </si>
  <si>
    <t>San Luis</t>
  </si>
  <si>
    <t>AR</t>
  </si>
  <si>
    <t>Sa3</t>
  </si>
  <si>
    <t>Santarem logged forest</t>
  </si>
  <si>
    <t>Am</t>
  </si>
  <si>
    <t>Evaluation of MOD16 algorithm over irrigated rice paddy using flux tower measurements in Southern Brazil</t>
  </si>
  <si>
    <t>Souza, V.A., Roberti, D.R., Ruhoff, A.L., Zimmer, T., Adamatti, D.S., de GonÃ§alves, L.G.G., Diaz, M.B., Alves, R.C.M., de Moraes, O.L.L.</t>
  </si>
  <si>
    <t>Evapotranspiration (ET) is an important component of the hydrological cycle. Understanding the ET process has become of fundamental importance given the scenario of global change and increasing water use, especially in the agricultural sector. Determining ET over large agricultural areas is a limiting factor due to observational data availability. In this regard, remote sensing data has been used to estimate ET. In this study, we evaluated the Moderate-Resolution Imaging Spectroradiometer (MODIS) land surface ET product estimates (hereafter MOD16 ET - MODIS Global Terrestrial Evapotranspiration Product) over two rice paddy areas in Southern Brazil, through the ET measured using the eddy covariance technique (hereafter EC). The energy balance components were evaluated during fallow and flooded seasons showing latent heat flux dominates in both seasons. The results showed that MOD16 ET underestimated EC measurements. Overall, the RMSE (root mean square error) ranged between 13.40 and 16.35 mm 8-day-1 and percent bias (PBIAS) ranged between -33.7% and -38.7%. We also assessed the ET (measured and estimated) main drivers, with EC yielding higher correlation against observed net radiation (Rn) and global radiation (Rg), followed by air temperature (Temp) and vapor pressure deficit (VPD), whilst MOD16 ET estimates yielded higher correlation against leaf area index (LAI) and fraction of photosynthetically active radiation (fPAR). The MOD16 algorithm was forced with meteorological measurements but the results did not improve as expected, suggesting a low sensitivity to meteorological inputs. Our results indicated when a water layer was present over the soil surface without vegetation (LAI around zero), the largest differences between EC measurements and MOD16 ET were found. In this period, the expected domain of soil evaporation was not observed in MOD16 ET physical processes partition, indicating the algorithm was not able to detect areas with high soil moisture. In general, the MOD16 ET product presented low accuracy when compared against experimental measurements over flooded rice paddy, suggesting more studies are necessary, in order to reduce uncertainties associated to the land cover conditions. Â© 2019 by the authors.</t>
  </si>
  <si>
    <t>Water (Switzerland)</t>
  </si>
  <si>
    <t>10.3390/w11091911</t>
  </si>
  <si>
    <t>PRS</t>
  </si>
  <si>
    <t>Paraíso do Sul</t>
  </si>
  <si>
    <t>rice paddies</t>
  </si>
  <si>
    <t>470x470</t>
  </si>
  <si>
    <t>y, Kljun et al footprint model</t>
  </si>
  <si>
    <t>GMAO MERRA</t>
  </si>
  <si>
    <t>MCD12Q1</t>
  </si>
  <si>
    <t xml:space="preserve">MOD15A2 LAI, MCD43B2/B3 albedo, </t>
  </si>
  <si>
    <t>CAS</t>
  </si>
  <si>
    <t>Cachoeira do Sul</t>
  </si>
  <si>
    <t>200x200</t>
  </si>
  <si>
    <t>fallow</t>
  </si>
  <si>
    <t>Comparison of four different energy balance models for estimating EvapoTranspiration in the Midwestern United States</t>
  </si>
  <si>
    <t>Singh, R.K., Senay, G.B.</t>
  </si>
  <si>
    <t>The development of different energy balance models has allowed users to choose a model based on its suitability in a region. We compared four commonly used models-Mapping EvapoTranspiration at high Resolution with Internalized Calibration (METRIC) model, Surface Energy Balance Algorithm for Land (SEBAL) model, Surface Energy Balance System (SEBS) model, and the Operational Simplified Surface Energy Balance (SSEBop) model-using Landsat images to estimate evapotranspiration (ET) in the Midwestern United States. Our models validation using three AmeriFlux cropland sites at Mead, Nebraska, showed that all four models captured the spatial and temporal variation of ET reasonably well with an R2 of more than 0.81. Both the METRIC and SSEBop models showed a low root mean square error (&amp;lt; 0.93 mmÂ· day-1) and a high Nash-Sutcliffe coefficient of efficiency (&amp;gt; 0.80), whereas the SEBAL and SEBS models resulted in relatively higher bias for estimating daily ET. The empirical equation of daily average net radiation used in the SEBAL and SEBS models for upscaling instantaneous ET to daily ET resulted in underestimation of daily ET, particularly when the daily average net radiation was more than 100 WÂ·m-2. Estimated daily ET for both cropland and grassland had some degree of linearity with METRIC, SEBAL, and SEBS, but linearity was stronger for evaporative fraction. Thus, these ET models have strengths and limitations for applications in water resource management. Â© 2015 by the authors.</t>
  </si>
  <si>
    <t>10.3390/w8010009</t>
  </si>
  <si>
    <t>2001-98</t>
  </si>
  <si>
    <t>2001-290</t>
  </si>
  <si>
    <t>maize</t>
  </si>
  <si>
    <t>In situ (alfalfa RET)</t>
  </si>
  <si>
    <t>METRIC, SSEBop, SEBS, SEBAL</t>
  </si>
  <si>
    <t>maize-soybean rotation</t>
  </si>
  <si>
    <t>GDAS</t>
  </si>
  <si>
    <t>Synthesis of global actual evapotranspiration from 1982 to 2019</t>
  </si>
  <si>
    <t>Elnashar, A., Wang, L., Wu, B., Zhu, W., Zeng, H.</t>
  </si>
  <si>
    <t>As a linkage among water, energy, and carbon cycles, global actual evapotranspiration (ET) plays an essential role in agriculture, water resource management, and climate change. Although it is difficult to estimate ET over a large scale and for a long time, there are several global ET datasets available with uncertainty associated with various assumptions regarding their algorithms, parameters, and inputs. In this study, we propose a long-term synthesized ET product at a kilometer spatial resolution and monthly temporal resolution from 1982 to 2019. Through a site-pixel evaluation of 12 global ET products over different time periods, land surface types, and conditions, the high-performing products were selected for the synthesis of the new dataset using a high-quality flux eddy covariance (EC) covering the entire globe. According to the study results, Penman-Monteith-Leuning (PML), the operational Simplified Surface Energy Balance (SSEBop), the Moderate Resolution Imaging Spectroradiometer (MODIS, MOD16A2105), and the Numerical Terradynamic Simulation Group (NTSG) ET products were chosen to create the synthesized ET set. The proposed product agreed well with flux EC ET over most of the all comparison levels, with a maximum relative mean error (RME) of 13.94 mm (17.13 %) and a maximum relative root mean square error (RRMSE) of 38.61 mm (47.45 %). Furthermore, the product performed better than local ET products over China, the United States, and the African continent and presented an ET estimation across all land cover classes. While no product can perform best in all cases, the proposed ET can be used without looking at other datasets and performing further assessments. Data are available on the Harvard Dataverse public repository through the following Digital Object Identifier (DOI): https://doi.org/10.7910/DVN/ZGOUED (Elnashar et al., 2020), as well as on the Google Earth Engine (GEE) application through this link: https://elnashar.users.earthengine.app/view/synthesizedet (last access: 21 January 2021). Â© Author(s) 2021.</t>
  </si>
  <si>
    <t>Earth System Science Data</t>
  </si>
  <si>
    <t>10.5194/essd-13-447-2021</t>
  </si>
  <si>
    <t>1994-001</t>
  </si>
  <si>
    <t>2019-365</t>
  </si>
  <si>
    <t>AmeriFLUX, FLUXNET, EuroFLux, AsiaFlux, ChinaFlux</t>
  </si>
  <si>
    <t>ENF/EBF/DBF/MF/CSH/OSH/WSA/SAV/GRA/WET/CRO/SNO/BSV/WAT</t>
  </si>
  <si>
    <t>PML</t>
  </si>
  <si>
    <t>GLDAS V21</t>
  </si>
  <si>
    <t>MOD16, SSEBop, PML, NTSG, WaPOR, CR</t>
  </si>
  <si>
    <t>GDAS, PRISM</t>
  </si>
  <si>
    <t>MOD16A2 V105</t>
  </si>
  <si>
    <t>P-M, SC</t>
  </si>
  <si>
    <t>GMAO</t>
  </si>
  <si>
    <t>RS-SEB</t>
  </si>
  <si>
    <t>ERA-Interim</t>
  </si>
  <si>
    <t>MODIS, GLASS, GLAS</t>
  </si>
  <si>
    <t>Modified P-M and P-T</t>
  </si>
  <si>
    <t>NCEP/NCAR Reanalysis</t>
  </si>
  <si>
    <t>P-T, SSF</t>
  </si>
  <si>
    <t>Reanalysi</t>
  </si>
  <si>
    <t>P-T, Soil stress factor (SSF)</t>
  </si>
  <si>
    <t>MOD16A2 V6</t>
  </si>
  <si>
    <t>P-M, Surface Conductance (SC)</t>
  </si>
  <si>
    <t>P-M/surface conductance</t>
  </si>
  <si>
    <t>P-M/water-carbon</t>
  </si>
  <si>
    <t>P-T/complementary relationship</t>
  </si>
  <si>
    <t>PT-T/soil sress factor</t>
  </si>
  <si>
    <t>P-T</t>
  </si>
  <si>
    <t>P-M/SEB</t>
  </si>
  <si>
    <t>WAT</t>
  </si>
  <si>
    <t>P-M/Simplified SEB</t>
  </si>
  <si>
    <t>Arid</t>
  </si>
  <si>
    <t>Dry subhumid</t>
  </si>
  <si>
    <t>Humid</t>
  </si>
  <si>
    <t>500-1500m</t>
  </si>
  <si>
    <t>presented in figure 7</t>
  </si>
  <si>
    <t>&gt;1500m</t>
  </si>
  <si>
    <t>ChinaFLUX, FLUXNET, AsiaFLUX</t>
  </si>
  <si>
    <t>China</t>
  </si>
  <si>
    <t>Others</t>
  </si>
  <si>
    <t>CMFD</t>
  </si>
  <si>
    <t>AmeriFLUX, FLUXNET</t>
  </si>
  <si>
    <t>NASA GDAS</t>
  </si>
  <si>
    <t>FLUXNET, EuroFlux</t>
  </si>
  <si>
    <t>Africa</t>
  </si>
  <si>
    <t>WaPOR</t>
  </si>
  <si>
    <t>MERRA/GEOS5, CHIRPS</t>
  </si>
  <si>
    <t>ESTIMATION OF CROP COEFFICIENTS THROUGH REMOTE SENSING IN THE WO YAQUI IRRIGATION DISTRICT, SONORA, MEXICO</t>
  </si>
  <si>
    <t>Castaneda-Ibanez, CR, Martinez-Menes, M, Pascual-Ramirez, F, Flores-Magdaleno, H, Fernandez-Reynoso, DS, Esparza-Govea, S</t>
  </si>
  <si>
    <t>Traditional estimations of evapotranspiration (ET) are based on the crop coefficient (K-c). This can be disadvantageous when precise estimations of crop water uptake are required in the Irrigation Districts. Using satellite images, it is possible to estimate vegetation indexes (VI), such as the Normalized Difference Vegetation Index (NDVI) and the Soil Adjusted Vegetation Index (SAVI). These indexes enable monitoring crop development and estimating precisely spatial and temporal K-c variability. The objective of this study was to validate the use of VI to estimate K-c and ET of wheat (Triticum aestivum) in the Rio Yaqui Irrigation District, Sonora, Mexico. Validation was carried out with eight images from the sensors TM and ETM+ of the LANDSAT 5 and 7 satellites and measurements of turbulent flux with the Eddy Covariance (EC) technique for the year 2008. ET estimated from VI and measurement with EC showed a high degree of correspondence. For the eight images, the square root of the Root Mean Square Error (RMSE) was 0.69 mm d(-1), the Mean Absolute Error (MAE) 0.62 mm d(-1), the index of agreement (d) 0.91 for NDVI and RMSE of 0.64 mm d(-1), MAE of 0.57 and an index of agreement of 0.92 for SAVI in daily estimations. It is thus concluded that VI allow to estimate spatial and temporal variability of the K-c and ET with precision in extensive agricultural regions.</t>
  </si>
  <si>
    <t>AGROCIENCIA</t>
  </si>
  <si>
    <t>http://www.scielo.org.mx/scielo.php?pid=S1405-31952015000200009&amp;script=sci_abstract&amp;tlng=en</t>
  </si>
  <si>
    <t>40ha</t>
  </si>
  <si>
    <t>Irrigation District 041 Río Yaqui</t>
  </si>
  <si>
    <t>Rio Yaqui</t>
  </si>
  <si>
    <t>MX</t>
  </si>
  <si>
    <t>Wheat</t>
  </si>
  <si>
    <t>NDVI-Kc*RET</t>
  </si>
  <si>
    <t>In situ station</t>
  </si>
  <si>
    <t>2008-039</t>
  </si>
  <si>
    <t>2008-055</t>
  </si>
  <si>
    <t>2008-071</t>
  </si>
  <si>
    <t>2008-087</t>
  </si>
  <si>
    <t>2008-103</t>
  </si>
  <si>
    <t>2008-119</t>
  </si>
  <si>
    <t>2008-135</t>
  </si>
  <si>
    <t>SAVI-Kc*RET</t>
  </si>
  <si>
    <t>Monitoring daily evapotranspiration in Northeast Asia using MODIS and a regional Land Data Assimilation System</t>
  </si>
  <si>
    <t>Jang, K., Kang, S., Lim, Y.-J., Jeong, S., Kim, J., Kimball, J.S., Hong, S.Y.</t>
  </si>
  <si>
    <t>We applied an approach for daily estimation and monitoring of evapotranspiration (ET) over the Northeast Asia monsoon region using satellite remote sensing observations from the Moderate Resolution Imaging Spectroradiometer (MODIS). Frequent cloud cover results in a substantial loss of remote sensing information, limiting the capability of continuous ET monitoring for the monsoon region. Accordingly, we applied and evaluated a stand-alone MODIS ET algorithm for representative regional ecosystem types and an alternative algorithm to facilitate continuous regional ET estimates using surface meteorological inputs from the Korea Land Data Assimilation System (KLDAS) in addition to MODIS land products. The resulting ET calculations showed generally favorable agreement (root-mean-square error &amp;lt; 1.3 mm d -1) with respect to in situ measurements from eight regional flux tower sites. The estimated mean annual ET for 3 years (2006 to 2008) was approximately 362.0 Â± 161.5 mm yr-1 over the Northeast Asia domain. In general, the MODIS and KLDAS-based ET (MODIS-KLDAS ET) results showed favorable performance when compared to tower observations, though the results were overestimated for a forest site by approximately 39.5% and underestimated for a cropland site in South Korea by 0.8%. The MODIS-KLDAS ET data were generally underestimated relative to the MODIS (MOD16) operational global terrestrial ET product for various biome types, excluding cropland; however, MODIS-KLDAS ET showed better agreement than MOD16 ET for forest and cropland sites in South Korea. Our results indicate that MODIS ET estimates are feasible but are limited by satellite optical-infrared remote sensing constraints over cloudy regions, whereas alternative ET estimates using continuous meteorological inputs from operational regional climate systems (e.g., KLDAS) provide accurate ET results and continuous monitoring capability under all-sky conditions. Key Points Stand-alone clear-sky ET estimate using MODIS products was implemented at 1 km Cloudy-sky ET was estimated by combining MODIS and Korean LDAS (KLDAS) MODIS-KLDAS ET showed better performance than MOD16 ET in Northeast Asia Â©2013. American Geophysical Union. All Rights Reserved.</t>
  </si>
  <si>
    <t>Journal of Geophysical Research Atmospheres</t>
  </si>
  <si>
    <t>10.1002/2013JD020639</t>
  </si>
  <si>
    <t>GDK (Gwangneung)</t>
  </si>
  <si>
    <t>Gwangneung</t>
  </si>
  <si>
    <t>KR</t>
  </si>
  <si>
    <t>Quercus sp., Carpinus sp.</t>
  </si>
  <si>
    <t>MODIS-KLDAS ET</t>
  </si>
  <si>
    <t>mu, 2007</t>
  </si>
  <si>
    <t xml:space="preserve">n </t>
  </si>
  <si>
    <t>MODIS (?)+ Under cloudy conditions (ClearPix&lt;5), ancillary meteorological inputs were obtained from KLDAS, including Ta, RH, P1, and R↓S . Korea Land Data Assimilation System (KLDAS)</t>
  </si>
  <si>
    <t>MODIS-ET</t>
  </si>
  <si>
    <t>HFK (Haenam)</t>
  </si>
  <si>
    <t>Haenam</t>
  </si>
  <si>
    <t>CRP</t>
  </si>
  <si>
    <t>Seasonally cultivated crops (paddy rice, bean, sweet potato, Indian millet, and sesame)</t>
  </si>
  <si>
    <t>A simple temperature domain two-source model for estimating agricultural field surface energy fluxes from Landsat images</t>
  </si>
  <si>
    <t>Yao, Y., Liang, S., Yu, J., Chen, J., Liu, S., Lin, Y., Fisher, J.B., McVicar, T.R., Cheng, J., Jia, K., Zhang, X., Xie, X., Jiang, B., Sun, L.</t>
  </si>
  <si>
    <t>A simple and robust satellite-based method for estimating agricultural field to regional surface energy fluxes at a high spatial resolution is important for many applications. We developed a simple temperature domain two-source energy balance (TD-TSEB) model within a hybrid two-source model scheme by coupling â_x0080__x009c_layerâ_x0080__x009d_ and â_x0080__x009c_patchâ_x0080__x009d_ models to estimate surface heat fluxes from Landsat thematic mapper/Enhanced Thematic Mapper Plus (TM/ETM+) imagery. For estimating latent heat flux (LE) of full soil, we proposed a temperature domain residual of the energy balance equation based on a simplified framework of total aerodynamic resistances, which provides a key link between thermal satellite temperature and subsurface moisture status. Additionally, we used a modified Priestley-Taylor model for estimating LE of full vegetation. The proposed method was applied to TM/ETM+ imagery and was validated using the ground-measured data at five crop eddy-covariance tower sites in China. The results showthat TD-TSEB yielded root-mean-square-error values between 24.9 (8.9) and 78.2 (21.4)W/m2 and squared correlation coefficient (R2) values between 0.60 (0.51) and 0.97 (0.90), for the estimated instantaneous (daily) surface net radiation, soil, latent, and sensible heat fluxes at all five sites. The TD-TSEBmodel shows good accuracy for partitioning LE into soil (LEsoil) and canopy (LEcanopy) components with an average bias of 11.1% for the estimated LEsoil/LE ratio at the Daman site. Importantly, the TD-TSEB model produced comparable accuracy but requires fewer forcing data (i.e., no wind speed and roughness length are needed) when compared with two other widely used surface energy balance models. Sensitivity analyses demonstrated that this accurate operational model provides an alternative method for mapping field surface heat fluxes with satisfactory performance. Â© 2017. American Geophysical Union. All Rights Reserved.</t>
  </si>
  <si>
    <t>Journal of Geophysical Research</t>
  </si>
  <si>
    <t>10.1002/2016JD026370</t>
  </si>
  <si>
    <t>30 to 120m</t>
  </si>
  <si>
    <t>orchard and maize</t>
  </si>
  <si>
    <t>30 to 120m depending on u</t>
  </si>
  <si>
    <t>yes</t>
  </si>
  <si>
    <t>TD-TSEB</t>
  </si>
  <si>
    <t>EC flux tower</t>
  </si>
  <si>
    <t>Daxing</t>
  </si>
  <si>
    <t>winter wheat/maize and vegetables</t>
  </si>
  <si>
    <t xml:space="preserve">winter wheat/maize and cotton </t>
  </si>
  <si>
    <t>Hualai</t>
  </si>
  <si>
    <t>2012-153</t>
  </si>
  <si>
    <t>2012-274</t>
  </si>
  <si>
    <t>irrigated maize</t>
  </si>
  <si>
    <t>Overall</t>
  </si>
  <si>
    <t>N95-TSEB</t>
  </si>
  <si>
    <t>mean relative error reported in mm/day</t>
  </si>
  <si>
    <t>relative error vs water balance, mention of EC validation, no numbers presented</t>
  </si>
  <si>
    <t>Guantao 1</t>
  </si>
  <si>
    <t>Investigating water use over the Choptank River Watershed using a multisatellite data fusion approach</t>
  </si>
  <si>
    <t>Sun, L., Anderson, M.C., Gao, F., Hain, C., Alfieri, J.G., Sharifi, A., McCarty, G.W., Yang, Y., Yang, Y., Kustas, W.P., McKee, L.</t>
  </si>
  <si>
    <t>The health of the Chesapeake Bay ecosystem has been declining for several decades due to high levels of nutrients and sediments largely tied to agricultural production systems. Therefore, monitoring of agricultural water use and hydrologic connections between crop lands and Bay tributaries has received increasing attention. Remote sensing retrievals of actual evapotranspiration (ET) can provide valuable information in support of these hydrologic modeling efforts, spatially and temporally describing consumptive water use by crops and natural vegetation and quantifying response to expansion of irrigated area occurring with Bay watershed. In this study, a multisensor satellite data fusion methodology, combined with a multiscale ET retrieval algorithm, was applied over the Choptank River watershed located within the Lower Chesapeake Bay region on the Eastern Shore of Maryland, US to produce daily 30 m resolution ET maps. ET estimates directly retrieved on Landsat satellite overpass dates have high accuracy with relative error (RE) of 9%, as evaluated using flux tower measurements. The fused daily ET time series have reasonable errors of 18% at the daily time step - an improvement from 27% errors using standard Landsat-only interpolation techniques. Annual water consumption by different land cover types was assessed, showing reasonable distributions of water use with cover class. Seasonal patterns in modeled crop transpiration and soil evaporation for dominant crop types were analyzed, and agree well with crop phenology at field scale. Additionally, effects of irrigation occurring during a period of rainfall shortage were captured by the fusion program. These results suggest that the ET fusion system will have utility for water management at field and regional scales over the Eastern Shore. Further efforts are underway to integrate these detailed water use data sets into watershed-scale hydrologic models to improve assessments of water quality and inform best management practices to reduce nutrient and sediment loads to the Chesapeake Bay. Â© 2017. The Authors.</t>
  </si>
  <si>
    <t>10.1002/2017WR020700</t>
  </si>
  <si>
    <t>JLN</t>
  </si>
  <si>
    <t>Choptank</t>
  </si>
  <si>
    <t>39.058743° N</t>
  </si>
  <si>
    <t>75.851282° W</t>
  </si>
  <si>
    <t>ALEXI/disAlexi</t>
  </si>
  <si>
    <t>National Centers for Environmental Prediction (NCEP) Climate Forecast System Reanalysis (CFSR) data set</t>
  </si>
  <si>
    <r>
      <rPr>
        <rFont val="Calibri"/>
        <color theme="1"/>
        <sz val="11.0"/>
      </rPr>
      <t xml:space="preserve">Cropland Data Layer (CDL) products for 2013 and 2014 </t>
    </r>
    <r>
      <rPr>
        <rFont val="Calibri"/>
        <color rgb="FF1155CC"/>
        <sz val="11.0"/>
        <u/>
      </rPr>
      <t>http://nassgeodata.gmu.edu/CropScape/</t>
    </r>
  </si>
  <si>
    <t>DisALEXI</t>
  </si>
  <si>
    <r>
      <rPr>
        <rFont val="Calibri"/>
        <color theme="1"/>
        <sz val="11.0"/>
      </rPr>
      <t xml:space="preserve">Cropland Data Layer (CDL) products for 2013 and 2014 </t>
    </r>
    <r>
      <rPr>
        <rFont val="Calibri"/>
        <color rgb="FF1155CC"/>
        <sz val="11.0"/>
        <u/>
      </rPr>
      <t>http://nassgeodata.gmu.edu/CropScape/</t>
    </r>
  </si>
  <si>
    <t>MODIS/STARFM data fusion</t>
  </si>
  <si>
    <t>MODIS/Landsat</t>
  </si>
  <si>
    <r>
      <rPr>
        <rFont val="Calibri"/>
        <color theme="1"/>
        <sz val="11.0"/>
      </rPr>
      <t xml:space="preserve">Cropland Data Layer (CDL) products for 2013 and 2014 </t>
    </r>
    <r>
      <rPr>
        <rFont val="Calibri"/>
        <color rgb="FF1155CC"/>
        <sz val="11.0"/>
        <u/>
      </rPr>
      <t>http://nassgeodata.gmu.edu/CropScape/</t>
    </r>
  </si>
  <si>
    <t>EC vs field water balance; LAS vs MODIS16</t>
  </si>
  <si>
    <t>Estimation of evapotranspiration over the terrestrial ecosystems in China</t>
  </si>
  <si>
    <t>Li, X., Liang, S., Yuan, W., Yu, G., Cheng, X., Chen, Y., Zhao, T., Feng, J., Ma, Z., Ma, M., Liu, S., Chen, J., Shao, C., Li, S., Zhang, X., Zhang, Z., Sun, G., Chen, S., Ohta, T., Varlagin, A., Miyata, A., Takagi, K., SaiqUS, N., Kato, T.</t>
  </si>
  <si>
    <t>Quantifying regional evapotranspiration (ET) and environmental constraints are particularly important for understanding water and carbon cycles of terrestrial ecosystems. However, a large uncertainty in the regional estimation of ET still remains for the terrestrial ecosystems in China. This study used ET measurements of 34 eddy covariance sites within China and adjacent regions to examine the performance of the revised Remote Sensing-Penman Monteith (RS-PM) model over various ecosystem types including forests, grasslands, wetlands and croplands. No significant systematic error was found in the revised RS-PM model predictions, which explained 61% of the ET variations at all of the validation sites. Regional patterns of ET at a spatial resolution of 10Ã_x0097_10km were quantified using a meteorology dataset from 753 meteorological stations, Modern Era Retrospective-analysis for Research and Applications (MERRA) reanalysis products and satellite data such as the Advanced Very High Resolution Radiometer (AVHRR) leaf area index. ET decreased from the southeast of China toward the northwest. Relatively high ET values were found in the southern China such as Yunnan, Hainan, Fujian and Guangdong Provinces, whereas low ET values occurred in northwestern China such as in the Xinjiang autonomous region. On average, the annual ET presented an increasing trend during the 1982-2009, with relatively low ET in 1985, 1993, 1997, 2000 and 2009. We found that the mean annual ET was higher than world average, ranging spatially between 484 and 521mmyr-1, with a mean value of 500mmyr-1, which accounted for approximately 5Â·6-8Â·3% of the world's total land-surface ET. Â© 2012 John Wiley &amp;amp; Sons, Ltd.</t>
  </si>
  <si>
    <t>Ecohydrology</t>
  </si>
  <si>
    <t>10.1002/eco.1341</t>
  </si>
  <si>
    <t>CN-Du</t>
  </si>
  <si>
    <t>Duolun</t>
  </si>
  <si>
    <t>42.05 N</t>
  </si>
  <si>
    <t>116.67W</t>
  </si>
  <si>
    <t>revised RS-PM</t>
  </si>
  <si>
    <t>interpolation of 700+ stations, MERRA</t>
  </si>
  <si>
    <t>AVHRR + MODIS</t>
  </si>
  <si>
    <t>MSE (Mass paddy;Japan)</t>
  </si>
  <si>
    <t>Mase</t>
  </si>
  <si>
    <t>36.05 N</t>
  </si>
  <si>
    <t>140.03W</t>
  </si>
  <si>
    <t>paddy</t>
  </si>
  <si>
    <t>Yuzhong</t>
  </si>
  <si>
    <t>35.95 N</t>
  </si>
  <si>
    <t>104.13W</t>
  </si>
  <si>
    <t>Jinzhou</t>
  </si>
  <si>
    <t>41.18N</t>
  </si>
  <si>
    <t>121.21W</t>
  </si>
  <si>
    <t>Linze</t>
  </si>
  <si>
    <t>39.35N</t>
  </si>
  <si>
    <t>100.13W</t>
  </si>
  <si>
    <t>Tongyu</t>
  </si>
  <si>
    <t>44.57N</t>
  </si>
  <si>
    <t>122.88W</t>
  </si>
  <si>
    <t>38.86N</t>
  </si>
  <si>
    <t>100.41W</t>
  </si>
  <si>
    <t>42.40N</t>
  </si>
  <si>
    <t>127.09W</t>
  </si>
  <si>
    <t>CN-Anh</t>
  </si>
  <si>
    <t>Anhui Huaining</t>
  </si>
  <si>
    <t>30.48N</t>
  </si>
  <si>
    <t>116.98W</t>
  </si>
  <si>
    <t>CN-Bed</t>
  </si>
  <si>
    <t>Beijing Daxing</t>
  </si>
  <si>
    <t>39.53N</t>
  </si>
  <si>
    <t>116.25W</t>
  </si>
  <si>
    <t>FOR</t>
  </si>
  <si>
    <t>23.17N</t>
  </si>
  <si>
    <t>112.53W</t>
  </si>
  <si>
    <t>JP-Tef</t>
  </si>
  <si>
    <t>Teshio</t>
  </si>
  <si>
    <t>MP</t>
  </si>
  <si>
    <t>45.06N</t>
  </si>
  <si>
    <t>142.11W</t>
  </si>
  <si>
    <t>JP-Tom</t>
  </si>
  <si>
    <t>Tomakomai National Forest</t>
  </si>
  <si>
    <t>42.74N</t>
  </si>
  <si>
    <t>141.52W</t>
  </si>
  <si>
    <t>MBF</t>
  </si>
  <si>
    <t>Moshiri Birch Forest</t>
  </si>
  <si>
    <t>44.38N</t>
  </si>
  <si>
    <t>142.32W</t>
  </si>
  <si>
    <t>26.74N</t>
  </si>
  <si>
    <t>115.07W</t>
  </si>
  <si>
    <t>56.46N</t>
  </si>
  <si>
    <t>32.92W</t>
  </si>
  <si>
    <t>RU-Zot</t>
  </si>
  <si>
    <t>Zotino</t>
  </si>
  <si>
    <t>60.80N</t>
  </si>
  <si>
    <t>89.35W</t>
  </si>
  <si>
    <t>SKT</t>
  </si>
  <si>
    <t>Southern Khentei Taiga</t>
  </si>
  <si>
    <t>48.35N</t>
  </si>
  <si>
    <t>108.65W</t>
  </si>
  <si>
    <t>MN</t>
  </si>
  <si>
    <t>1999-001</t>
  </si>
  <si>
    <t>TKY</t>
  </si>
  <si>
    <t xml:space="preserve">Takayama </t>
  </si>
  <si>
    <t>36.15N</t>
  </si>
  <si>
    <t>137.42W</t>
  </si>
  <si>
    <t>Arou</t>
  </si>
  <si>
    <t>38.04N</t>
  </si>
  <si>
    <t>100.46W</t>
  </si>
  <si>
    <t>Alpine, meadow</t>
  </si>
  <si>
    <t>Changwu</t>
  </si>
  <si>
    <t>35.20N</t>
  </si>
  <si>
    <t>107.67W</t>
  </si>
  <si>
    <t>CN-HaM</t>
  </si>
  <si>
    <t>Haibei Alpine Tibet site</t>
  </si>
  <si>
    <t>37.37N</t>
  </si>
  <si>
    <t>101.18W</t>
  </si>
  <si>
    <t>Dongsu</t>
  </si>
  <si>
    <t>44.09N</t>
  </si>
  <si>
    <t>113.57W</t>
  </si>
  <si>
    <t>DuolunFenced</t>
  </si>
  <si>
    <t>Duolun Fenced</t>
  </si>
  <si>
    <t>42.04N</t>
  </si>
  <si>
    <t>116.29W</t>
  </si>
  <si>
    <t>DuolunGrazed</t>
  </si>
  <si>
    <t>Duolun grazed</t>
  </si>
  <si>
    <t>42.05N</t>
  </si>
  <si>
    <t>116.28W</t>
  </si>
  <si>
    <t>KBU (Kher-lenbayan; Mongolia)</t>
  </si>
  <si>
    <t>Kherlenbayan</t>
  </si>
  <si>
    <t>47.21N</t>
  </si>
  <si>
    <t>108.74W</t>
  </si>
  <si>
    <t>relative volume error</t>
  </si>
  <si>
    <t>Qingyang</t>
  </si>
  <si>
    <t>35.59N</t>
  </si>
  <si>
    <t>107.54W</t>
  </si>
  <si>
    <t>SiziwangFenced</t>
  </si>
  <si>
    <t>Siziwang fenced</t>
  </si>
  <si>
    <t>41.23N</t>
  </si>
  <si>
    <t>111.57W</t>
  </si>
  <si>
    <t>SiziwangGrazed</t>
  </si>
  <si>
    <t>Siziwang grazed</t>
  </si>
  <si>
    <t>41.28N</t>
  </si>
  <si>
    <t>111.68W</t>
  </si>
  <si>
    <t>39.09N</t>
  </si>
  <si>
    <t>100.30W</t>
  </si>
  <si>
    <t>Maqu</t>
  </si>
  <si>
    <t>34.0N</t>
  </si>
  <si>
    <t>102.0W</t>
  </si>
  <si>
    <t>Remote estimation of terrestrial evapotranspiration without using meteorological data</t>
  </si>
  <si>
    <t>Yang, Y., Long, D., Shang, S.</t>
  </si>
  <si>
    <t>We developed a new method to estimate terrestrial evapotranspiration (ET) from satellite data without using meteorological inputs. By analyzing observations from 20 eddy covariance tower sites across continental North America, we found a strong relationship between monthly gross primary production (GPP) and ET (R2 = 0.72-0.97), implying the potential of using the remotely sensed GPP to invert ET. We therefore adopted the Temperature-Greenness model which calculates 16 day GPP using MODIS EVI and LST products to estimate GPP and then to calculate ET by dividing GPP with ecosystem water use efficiency (the ratio of GPP to ET). The proposed method estimated 16 day ET very well by comparison with tower-based measurements (R2 = 0.84, p &amp;lt; 0.001, n = 1290) and provided better ET estimates than the MODIS ET product. This suggests that routine estimation of ET from satellite remote sensing without using fine-resolution meteorological fields is possible and can be very useful for studying water and carbon cycles. Key Points We proposed a remote sensing ET algorithm without using weather data The proposed method estimates ET well across a wide range of bio-climates The proposed method outperforms MODIS ET product in all validation sites Â©2013. American Geophysical Union. All Rights Reserved.</t>
  </si>
  <si>
    <t>Geophysical Research Letters</t>
  </si>
  <si>
    <t>10.1002/grl.50450</t>
  </si>
  <si>
    <t>Ha1</t>
  </si>
  <si>
    <t>Harvard Forest</t>
  </si>
  <si>
    <t>ET = GPP/WUE</t>
  </si>
  <si>
    <t>y (EC tower)</t>
  </si>
  <si>
    <t>no met data used</t>
  </si>
  <si>
    <t>MMS</t>
  </si>
  <si>
    <t>Morgan Monroe State Forest</t>
  </si>
  <si>
    <t>Bar</t>
  </si>
  <si>
    <t>MOz</t>
  </si>
  <si>
    <t xml:space="preserve">Missouri Ozark </t>
  </si>
  <si>
    <t>Me2</t>
  </si>
  <si>
    <t>Metolius mature ponderosa pine</t>
  </si>
  <si>
    <t>NS1</t>
  </si>
  <si>
    <t>UCI-1850 burn site</t>
  </si>
  <si>
    <t>NS2</t>
  </si>
  <si>
    <t>UCI-1930 burn site</t>
  </si>
  <si>
    <t>NS3</t>
  </si>
  <si>
    <t>UCI-1964 burn site</t>
  </si>
  <si>
    <t>NS4</t>
  </si>
  <si>
    <t>UCI-1964 burn site wet</t>
  </si>
  <si>
    <t>NS5</t>
  </si>
  <si>
    <t>UCI-1981 burn site</t>
  </si>
  <si>
    <t>Wrc</t>
  </si>
  <si>
    <t>vergreen Needleleaf Forests: Lands dominated by woody vegetation with a percent cover &gt;60% and height exceeding 2 meters. Almost all trees remain green all year. Canopy is never without green foliage</t>
  </si>
  <si>
    <t xml:space="preserve">Csb </t>
  </si>
  <si>
    <t>Syv</t>
  </si>
  <si>
    <t>Sylvania Wilderness Area</t>
  </si>
  <si>
    <t>LPH</t>
  </si>
  <si>
    <t>Ho1</t>
  </si>
  <si>
    <t xml:space="preserve">Howland Forest </t>
  </si>
  <si>
    <t>NS6</t>
  </si>
  <si>
    <t>UCI-1989 burn site</t>
  </si>
  <si>
    <t>Shrub</t>
  </si>
  <si>
    <t>NS7</t>
  </si>
  <si>
    <t>UCI-1998 burn site</t>
  </si>
  <si>
    <t>Var</t>
  </si>
  <si>
    <t>Vaira Ranch</t>
  </si>
  <si>
    <t>Grass</t>
  </si>
  <si>
    <t>Estimating seasonal evapotranspiration from temporal satellite images</t>
  </si>
  <si>
    <t>Singh, R.K., Liu, S., Tieszen, L.L., Suyker, A.E., Verma, S.B.</t>
  </si>
  <si>
    <t>Estimating seasonal evapotranspiration (ET) has many applications in water resources planning and management, including hydrological and ecological modeling. Availability of satellite remote sensing images is limited due to repeat cycle of satellite or cloud cover. This study was conducted to determine the suitability of different methods namely cubic spline, fixed, and linear for estimating seasonal ET from temporal remotely sensed images. Mapping Evapotranspiration at high Resolution with Internalized Calibration (METRIC) model in conjunction with the wet METRIC (wMETRIC), a modified version of the METRIC model, was used to estimate ET on the days of satellite overpass using eight Landsat images during the 2001 crop growing season in Midwest US. The model-estimated daily ET was in good agreement (R 2 = 0.91) with the eddy covariance tower-measured daily ET. The standard error of daily ET was 0.6 mm (20%) at three validation sites in Nebraska, US. There was no statistically significant difference (P &amp;gt; 0.05) among the cubic spline, fixed, and linear methods for computing seasonal (July-December) ET from temporal ET estimates. Overall, the cubic spline resulted in the lowest standard error of 6 mm (1.67%) for seasonal ET. However, further testing of this method for multiple years is necessary to determine its suitability. Â© 2011 Springer-Verlag.</t>
  </si>
  <si>
    <t>10.1007/s00271-011-0287-z</t>
  </si>
  <si>
    <t>2001-183</t>
  </si>
  <si>
    <t>2001-347</t>
  </si>
  <si>
    <t>irrigated maize/soybean</t>
  </si>
  <si>
    <t>rainfed maize/soybean</t>
  </si>
  <si>
    <t>overall</t>
  </si>
  <si>
    <t>Crop coefficients and actual evapotranspiration of a drip-irrigated Merlot vineyard using multispectral satellite images</t>
  </si>
  <si>
    <t>Carrasco-Benavides, M., Ortega-FarÃ­as, S., Lagos, L.O., Kleissl, J., Morales, L., Poblete-EcheverrÃ­a, C., Allen, R.G.</t>
  </si>
  <si>
    <t>A field experiment was carried out to evaluate the METRIC (mapping evapotranspiration at high resolution with internalized calibration) model to estimate the actual evapotranspiration (ET a) and crop coefficient (K c) of a drip-irrigated Merlot vineyard during the 2007/2008 and 2008/2009 growing seasons. The Merlot vineyard located in the Talca Valley (Chile) was trained on a vertical shoot positioned system. The performance of METRIC was evaluated using measurements of ET a and K c from an eddy covariance (EC) system. METRIC overestimated ET a by about 9 % with a root mean square error (RMSE) and mean absolute error (MAE) of 0.62 and 0.50 mm d -1, respectively. For the main phenological stages of the Merlot vineyard, METRIC overestimated the K c by about 10 % with RMSE = 0.10 and MAE = 0.08. Furthermore, the indexes of agreement were 0.70 for K c and 0. 85 for ET a. Mean values of K c measured from EC were 0.41, 0.53, 0.56, and 0.46, while those estimated by METRIC were 0.46, 0.54, 0.59, and 0.62 for the bud break to flowering, flowering to fruit set, fruit set to veraison, and veraison to harvest stages, respectively. Â© 2012 Springer-Verlag.</t>
  </si>
  <si>
    <t>10.1007/s00271-012-0379-4</t>
  </si>
  <si>
    <t>2007-334</t>
  </si>
  <si>
    <t>2009-67</t>
  </si>
  <si>
    <t>Talca Valley</t>
  </si>
  <si>
    <t>Talca</t>
  </si>
  <si>
    <t>35 250 S</t>
  </si>
  <si>
    <t>71 320 W</t>
  </si>
  <si>
    <t>CL</t>
  </si>
  <si>
    <t>280*520</t>
  </si>
  <si>
    <t xml:space="preserve">y </t>
  </si>
  <si>
    <t>1-SEB</t>
  </si>
  <si>
    <t xml:space="preserve">METRIC </t>
  </si>
  <si>
    <t>Regional estimates of evapotranspiration over Northern China using a remote-sensing-based triangle interpolation method</t>
  </si>
  <si>
    <t>Wang, H., Jia, G.</t>
  </si>
  <si>
    <t>Regional estimates of evapotranspiration (ET) are critical for a wide range of applications. Satellite remote sensing is a promising tool for obtaining reasonable ET spatial distribution data. However, there are at least two major problems that exist in the regional estimation of ET from remote sensing data. One is the conflicting requirements of simple data over a wide region, and accuracy of those data. The second is the lack of regional ET products that cover the entire region of northern China. In this study, we first retrieved the evaporative fraction (EF) by interpolating from the difference of day/night land surface temperature (Î_x0094_T) and the normalized difference vegetation index (NDVI) triangular-shaped scatter space. Then, ET was generated from EF and land surface meteorological data. The estimated eight-day EF and ET results were validated with 14 eddy covariance (EC) flux measurements in the growing season (July-September) for the year 2008 over the study area. The estimated values agreed well with flux tower measurements, and this agreement was highly statistically significant for both EF and ET (p &amp;lt; 0.01), with the correlation coefficient for EF (R 2=0.64) being relatively higher than for ET (R 2=0.57). Validation with EC-measured ET showed the mean RMSE and bias were 0.78 mm d-1 (22.03 W m-2) and 0.31 mm d-1 (8.86 W m-2), respectively. The ET over the study area increased along a clear longitudinal gradient, which was probably controlled by the gradient of precipitation, green vegetation fractions, and the intensity of human activities. The satellite-based estimates adequately captured the spatial and seasonal structure of ET. Overall, our results demonstrate the potential of this simple but practical method for monitoring ET over regions with heterogeneous surface areas. Â© 2013 Chinese National Committee for International Association of Meteorology and Atmospheric Sciences, Institute of Atmospheric Physics, Science Press and Springer-Verlag Berlin Heidelberg.</t>
  </si>
  <si>
    <t>Advances in Atmospheric Sciences</t>
  </si>
  <si>
    <t>10.1007/s00376-013-2294-x</t>
  </si>
  <si>
    <t>Remote-sensing-based Triangle Interpolation Method</t>
  </si>
  <si>
    <t>Triangle Interpolation Method, Wang et al., 2008</t>
  </si>
  <si>
    <t>China Meteorological Data Service system (http://data.cma.gov.cn),</t>
  </si>
  <si>
    <t>MODIS?</t>
  </si>
  <si>
    <t>Wang et al., 2006</t>
  </si>
  <si>
    <t>Triangle Interpolation Method, Wang et al., 2006</t>
  </si>
  <si>
    <t>maize (3), wheat, sunflower</t>
  </si>
  <si>
    <t>Triangle Interpolation Method, Wang et al., 2007</t>
  </si>
  <si>
    <t>GRA,CRO,FOR</t>
  </si>
  <si>
    <t>Triangle Interpolation Method, Wang et al., 2009</t>
  </si>
  <si>
    <t>Evapotranspiration estimation based on MODIS products and surface energy balance algorithms for land (SEBAL) model in Sanjiang Plain, Northeast China</t>
  </si>
  <si>
    <t>Du, J., Song, K., Wang, Z., Zhang, B., Liu, D.</t>
  </si>
  <si>
    <t>In this study, the Surface Energy Balance Algorithms for Land (SEBAL) model and Moderate Resolution Imaging Spectroradiometer (MODIS) products from Terra satellite were combined with meteorological data to estimate evapotranspiration (ET) over the Sanjiang Plain, Northeast China. Land cover/land use was classified by using a recursive partitioning and regression tree with MODIS Normalized Difference Vegetation Index (NDVI) time series data, which were reconstructed based on the Savitzky-Golay filtering approach. The MODIS product Quality Assessment Science Data Sets (QA-SDS) was analyzed and all scenes with valid data covering more than 75% of the Sanjiang Plain were selected for the SEBAL modeling. This provided 12 overpasses during 184-day growing season from May 1st to October 31st, 2006. Daily ET estimated by the SEBAL model was misestimaed at the range of -11.29% to 27.57% compared with that measured by Eddy Covariance system (10.52% on average). The validation results show that seasonal ET from the SEBAL model is comparable to that from ground observation within 8.86% of deviation. Our results reveal that the time series daily ET of different land cover/use increases from vegetation on-going until June or July and then decreases as vegetation senesced. Seasonal ET is lower in dry farmland (average (Ave): 491 mm) and paddy field (Ave: 522 mm) and increases in wetlands to more than 586 mm. As expected, higher seasonal ET values are observed for the Xingkai Lake in the southeastern part of the Sanjiang Plain (Ave: 823 mm), broadleaf forest (Ave: 666 mm) and mixed wood (Ave: 622 mm) in the southern/western Sanjiang Plain. The ET estimation with SEBAL using MODIS products can provide decision support for operational water management issues. Â© 2013 Science Press, Northeast Institute of Geography and Agricultural Ecology, CAS and Springer-Verlag Berlin Heidelberg.</t>
  </si>
  <si>
    <t>10.1007/s11769-013-0587-8</t>
  </si>
  <si>
    <t>2006-125</t>
  </si>
  <si>
    <t>2006-293</t>
  </si>
  <si>
    <t>Sanjiang Mire Wetland Experimental Station (SMWES)</t>
  </si>
  <si>
    <t>Sanjiang Mire Wetland</t>
  </si>
  <si>
    <t>47 35 N</t>
  </si>
  <si>
    <t>133 31E</t>
  </si>
  <si>
    <t>Thirty-one automatic meteorological stations in and around the area were used to parameterize the SEBAL model.</t>
  </si>
  <si>
    <t>own map (Savitzky-Golay algorithm)</t>
  </si>
  <si>
    <t>seasonal</t>
  </si>
  <si>
    <t>Evaluating the performance of two SEB models for estimating ET based on satellite images in arid regions</t>
  </si>
  <si>
    <t>Elkatoury, A., Alazba, A.A., Abdelbary, A.</t>
  </si>
  <si>
    <t>Surface energy balance (SEB) models are one of the most important methods for estimating evapotranspiration (ET). This study was aimed at assessing the applications of two SEB models under arid conditions. This was achieved by integrating in situ meteorological data and Landsat 8 satellite images for two consecutive years (2014 and 2015) for alfalfa cultivation in 2014 and maize cultivation in 2015. The performance of the two SEB models was evaluated by comparing the ET estimated by the SEB models and that measured using an Eddy covariance (EC) instrument. Mapping the ET at high resolution using internalized calibration (METRIC) displayed the best performance in 2014, with a coefficient of determination, R2 of 0.8, followed by the simplified surface energy balance index (S-SEBI) model (with R2 = 0.67). In addition, METRIC showed high efficiency, with a Nash Sutcliffe (NSE) model efficiency coefficient of 0.98, followed by S-SEBI, with an NSE of 0.93. Poor performance was observed in 2015 where the R2 for both METRIC and S-SEBI were 0.3 and 0.45, respectively. In addition, the NSE for METRIC decreased to 0.91. Conversely, the NSE for S-SEBI improved to 0.97. Therefore, the performance of the models was affected by instability due to soil water content (SWC) and low precipitation (62.2Â mm in 2015). However, the performance of METRIC was better than that of S-SEBI. In general, METRIC is considered a good SEB model for arid regions. In addition, S-SEBI could be an adequate model for overcoming the difficulty associated with obtaining meteorological data. Â© 2020, Saudi Society for Geosciences.</t>
  </si>
  <si>
    <t>Arabian Journal of Geosciences</t>
  </si>
  <si>
    <t>10.1007/s12517-019-5019-3</t>
  </si>
  <si>
    <t>2014-029</t>
  </si>
  <si>
    <t>Todhia Arable Farm (TAF), KSA</t>
  </si>
  <si>
    <t>Todhia</t>
  </si>
  <si>
    <t xml:space="preserve">24° 10′ 40 N </t>
  </si>
  <si>
    <t xml:space="preserve"> 48° 02′ 56 E</t>
  </si>
  <si>
    <t>alfalfa/maize</t>
  </si>
  <si>
    <t>NASA (2016) for a weather station</t>
  </si>
  <si>
    <t>S-SEBI, METRIC</t>
  </si>
  <si>
    <t>2014-237</t>
  </si>
  <si>
    <t>2014-173</t>
  </si>
  <si>
    <t>2014-205</t>
  </si>
  <si>
    <t>2014-317</t>
  </si>
  <si>
    <t>S-SEBI</t>
  </si>
  <si>
    <t>2014-013</t>
  </si>
  <si>
    <t>2015-016</t>
  </si>
  <si>
    <t>2015-224</t>
  </si>
  <si>
    <t>Effect of pixel scale on evapotranspiration estimation by remote sensing over oasis areas in north-western China</t>
  </si>
  <si>
    <t>Tian, H., Wen, J., Wang, C., Liu, R., Lu, D.</t>
  </si>
  <si>
    <t>One of the major uncertainties in the remote sensing estimates of regional evapotranspiration (ET) over heterogeneous landscapes is that significant estimation differences between different data scales always exist. It is necessary to predetermine the optimal remote sensing scale under such conditions. In this study, the effect of pixel scale on ET estimation over a typical oasis in north-western China was investigated. By the area-averaging and wavelet multi-resolution analysis aggregation techniques, four "input" up-scaling and "output" up-scaling procedures were implemented, respectively, to determine the optimal data scale. Validation suggested that high-resolution Landsat-based ET estimates could be used as the ground reference data when in situ measurements were not available. The differences between Landsat-based and MODIS-based ET estimates (i. e. the so-called Regional Error Distribution of the latter) showed that 1-km resolution MODIS data overestimated ET over the landscapes where NDVI was less than or equal to ~0. 10; the data underestimated ET over the landscapes where NDVI was greater than or equal to ~0. 40; ET could only be relatively accurately predicted by the data on the surfaces where NDVI ranged from 0. 10 to 0. 40. However, MODIS-based 1-km ET estimates could effectively reveal the predominant spatial distribution trend of regional ET. The results confirmed that the optimal remote sensing scale for modeling ET was approximately 480 m over the study area; land surface heterogeneity could cause significant errors in ET estimation once data scales exceeded this threshold; in addition, MODIS data at 250-m resolution were adequate for correcting the 1-km resolution ET estimates over heterogeneous landscapes. Â© 2012 Springer-Verlag.</t>
  </si>
  <si>
    <t>Environmental Earth Sciences</t>
  </si>
  <si>
    <t>10.1007/s12665-012-1677-0</t>
  </si>
  <si>
    <t>2004-186</t>
  </si>
  <si>
    <t>Jinta Oasis (JTEX2004 experiment) #1 and site #5</t>
  </si>
  <si>
    <t>40.1_x0003_N.</t>
  </si>
  <si>
    <t>98.9_x0003_E/</t>
  </si>
  <si>
    <t>automatic weather stations</t>
  </si>
  <si>
    <t>local</t>
  </si>
  <si>
    <t>2004-181</t>
  </si>
  <si>
    <t>2004-212</t>
  </si>
  <si>
    <t>Dual-model approaches for evapotranspiration analyses over homo- and heterogeneous land surface conditions</t>
  </si>
  <si>
    <t>Byun, K., Liaqat, U.W., Choi, M.</t>
  </si>
  <si>
    <t>Accurate spatio-temporal estimation of evapotranspiration (ET) is fundamental to understand land-atmosphere interactions and hydrological processes. Although various ET models based on remote sensing (RS) techniques have been presented, recent relevant studies suggest that more validation work should be conducted in regions with differences in land and meteorological properties. In this study, two RS-based models, the Surface Energy Balance System (SEBS) and Revised Remote Sensing Penman-Monteith (R-RSPM) model, were assessed over two biogeophysically different catchments on the Korean peninsula: a rice paddy agricultural field and a mixed forest area. We independently applied three approaches considering different scaled applications of a single source energy budget model (SEBS): point scale SEBS (SEBS-P), regional scale SEBS (SEBS-R), and R-RSPM. We incorporated diverse compositions of forcing datasets, Moderate Resolution Imaging Spectroradiometer (MODIS) satellite-based RS data, and Global Land Data Assimilation System (GLDAS) data and in situ meteorological data. Instantaneous flux measurements computed by the three approaches were evaluated with in situ flux measurements based on the eddy covariance (EC) system. The instantaneous net radiation estimates of all approaches were satisfactory, exhibiting strong correlations (0.68-0.99 of R2) with in situ measurements over different topographical sites. For latent heat flux (LE), all three approaches yielded similar trends of results at both cropland (CMC) and mixed forest (SMC) sites indicating that estimates of LE were overestimated. However, considering the serious lack of energy closure exhibited by the EC system in SMC, LE showed reasonable agreement (biases of 11-50W/m2 and Root Mean Square Error (RMSE) of 78-95W/m2) with in situ measurements adjusted by the Bowen ratio (BR) method. For daily ET analyses using the R-RSPM model, instantaneous LE was empirically scaled up to daily ET, and the estimates of ET from all three approaches had good agreement with BR-corrected in situ daily ET, even in SMC (with biases of -0.07 to 0.67mm/day). By comparing H from two different SEBS applications (SEBS-P and SEBS-R), we concluded that GLDAS datasets exhibit robust quality as input data as well as near real time benefits. Through sensitivity analyses of a single source energy budget model (SEBS), canopy height turned out to be one of most critical parameters which can directly result in the misparameterization of roughness height for a tall canopy site. The results of this study support the applicability of RS-based ET models over homo- and heterogeneous regions, and suggest that further studies are required for exploring the accurate parameterization of roughness height over areas of tall and heterogeneous vegetation to improve the performance of SEBS. Â© 2014 Elsevier B.V.</t>
  </si>
  <si>
    <t>Agricultural and Forest Meteorology</t>
  </si>
  <si>
    <t>10.1016/j.agrformet.2014.07.001</t>
  </si>
  <si>
    <t>Cheongmicheon (CMC).</t>
  </si>
  <si>
    <t>Cheongmicheon farmland</t>
  </si>
  <si>
    <t>37.16 N</t>
  </si>
  <si>
    <t>127.65 E</t>
  </si>
  <si>
    <t>SEBS Point (SEBS-P) Scale Application</t>
  </si>
  <si>
    <t>fluxtower</t>
  </si>
  <si>
    <t>SEBS, R-RSPM</t>
  </si>
  <si>
    <t>SEBS Regional (SEBS-R) Scale Application</t>
  </si>
  <si>
    <t>GLDAS</t>
  </si>
  <si>
    <t>Revised RS-PM (R-RSPM) Regional Scale Application</t>
  </si>
  <si>
    <t>Cleugh et al 2007</t>
  </si>
  <si>
    <t>Seolmalcheon (SMC)</t>
  </si>
  <si>
    <t>Seolma choen</t>
  </si>
  <si>
    <t>37.94 N</t>
  </si>
  <si>
    <t>126.95 E</t>
  </si>
  <si>
    <t>Surface energy fluxes in the Northeast Asia ecosystem: SEBS and METRIC models using Landsat satellite images</t>
  </si>
  <si>
    <t>Liaqat, U.W., Choi, M.</t>
  </si>
  <si>
    <t>The reliable assessment of turbulent heat fluxes and evapotranspiration (ET) from the field to regional scales is fundamental to comprehending land-atmosphere interactions and water balance dynamics. In this study, we evaluated two single-source operational methodologies, the Surface Energy Balance System (SEBS) and Mapping Evapotranspiration at high Resolution with Internalized Calibration (METRIC), to scrutinize the surface energy balance components using Landsat TM/ETM+ images collected between 2002 and 2013. Estimations from the models were compared with ground observations from two grassland and two cropland AsiaFlux tower sites. To examine model behaviors adequately, both SEBS and METRIC were parameterized using the same predictions of instantaneous and daily net radiation (RN). The RN estimations were quite promising; the ensemble averaged (from all sites) bias and root mean square error (RMSE) were within 39Wm-2. In terms of the soil heat flux (G) and sensible heat flux (H), both models showed various contrasted outputs at the tower and spatial scales, yielding a maximum difference of 77Wm-2. The estimated G from the albedo-based method (METRIC) had low bias and RMSE within 46Wm-2, whereas that obtained from the fractional vegetation cover based method (SEBS) exceeded 125Wm-2. However, the SEBS model performed better for H estimations, yielded less bias and an RMSE (averaged) within 82Wm-2, compared with errors of 102Wm-2 obtained from METRIC. The slightly higher errors in METRIC were caused by its original design based on internal calibration, which lumped the maximum biases from other variables into the estimated H. The errors in G (SEBS) were almost equal to the errors in H (METRIC) but of the opposite sign. Because the latent heat flux is calculated as a rest-term, the errors in G and H compensate for each other. Therefore, both models performed similarly in consistently overestimating the latent heat flux (LE) and corresponding daily ET because of energy balance misclosure in the eddy covariance flux measurements. Three different closure approaches [least squares linear regression (REG), Bowen ratio (BR), and residual (RE) correction] were used, and both models had daily ET with less bias and RMSE (averaged) within 0.16mmday-1 and 0.62mmday-1, respectively, using REG. Furthermore, a sensitivity analysis suggested that corrections of radiometric to absolute surface temperature are essentially required only for SEBS, whereas the accurate calibration of cold and hot end-points is important for METRIC implementation. These evaluations promote better understanding of the strengths and weaknesses of both models for mapping the surface energy balance at the regional scale and are a step toward an integrated methodology for a wide range of heterogeneous ecosystems. Â© 2015 Elsevier B.V.</t>
  </si>
  <si>
    <t>10.1016/j.agrformet.2015.08.245</t>
  </si>
  <si>
    <t>30 or 100 footprint</t>
  </si>
  <si>
    <t>37.61 N</t>
  </si>
  <si>
    <t>101.33 E</t>
  </si>
  <si>
    <t>cold semi-arid</t>
  </si>
  <si>
    <t>SEBS, METRIC</t>
  </si>
  <si>
    <t>47.21 N</t>
  </si>
  <si>
    <t>108.74 E</t>
  </si>
  <si>
    <t>semi-arid</t>
  </si>
  <si>
    <t>36.07 N</t>
  </si>
  <si>
    <t>140.02 E</t>
  </si>
  <si>
    <t>warm and humid</t>
  </si>
  <si>
    <t>2-3.8</t>
  </si>
  <si>
    <t>CFK (Cheongmicheon; South Korea)</t>
  </si>
  <si>
    <t>Cheongmicheon</t>
  </si>
  <si>
    <t>Average of QHB, KBU, MSE, CFK</t>
  </si>
  <si>
    <t>CN, KR,JP,MN</t>
  </si>
  <si>
    <t>relative error presented</t>
  </si>
  <si>
    <t>only one station compares ET to ET (others compare ET to T)</t>
  </si>
  <si>
    <t>Seasonality of leaf area index and photosynthetic capacity for better estimation of carbon and water fluxes in evergreen conifer forests</t>
  </si>
  <si>
    <t>Wang, R., Chen, J.M., Luo, X., Black, A., Arain, A.</t>
  </si>
  <si>
    <t>Leaf area index (LAI), defined as one half the total leaf area per unit ground area, and Vcmax, representing the maximal carboxylation rate of leaves, are two most significant parameters used in most Terrestrial Biosphere Models (TBMs). The ability of TBMs to simulate gross primary productivity (GPP) and evapotranspiration (ET) for evergreen needle-leave forests (ENF) can be significantly hampered by uncertainties in LAI and Vcmax. Remotely sensed (RS) LAI for ENF is generally underestimated in winter, early spring and late autumn. Although constant Vcmax throughout the growing season is often used in TBMs for GPP and ET modeling, it could vary significantly under leaf aging and stressed conditions. There were recent studies that apply seasonal leaf chlorophyll constraints on GPP modeling for croplands and deciduous forests, but little attention is given to the influence of the seasonality of either LAI or Vcmax on GPP or ET estimations for the ENF biome. In this study, we pay special attention to this biome, with the purpose of investigating if the representations of seasonal LAI and Vmax variations are essential in TBMs. To serve this purpose, the University of Toronto LAI product Version 2 was corrected for its seasonal variation using leaf lifespan and in-situ measurements at eight ENF sites in Canada. Seasonal Vcmax variation was derived from the MERIS Terrestrial Chlorophyll Index (MTCI) through downscaling it to the leaf level using a scheme with a general vertical nitrogen distribution within the canopy. Leaf chlorophyll content (LCC) is thus derived from MTCI and converted to Vcmax using empirical equations. Four model cases with and without considerations of the seasonal LAI and Vcmax variations were tested and compared. Validation against eddy covariance measurements indicates that the case with both LAI and Vcmax variations produced the highest R2, lowest root mean square error (RMSE) and lowest mean absolute error (MAE) for both GPP and ET simulations, and thus outperforms all other cases without considering the variations or with consideration of one of the variations only. In this best case, the simulated daily GPP yields R2 of 0.91, RMSE of 0.91 g C mâ_x0088__x0092_2 and MAE of 0.65 g C mâ_x0088__x0092_2, while the simulated daily ET yields R2 of 0.8, RMSE of 0.52 mm and MAE of 0.34 mm. Most improvements were found in spring and autumn. Not only the correlations between the seasonal trajectories of model simulation and observation were improved, but also the annual total GPP and ET were more accurately estimated. The smallest mean absolute relative bias to eddy covariance measurements is 9% for GPP and 15% for ET, both were found in the best case. Moreover, improvements in GPP were more pronounced than in ET. Our results highlight the significance of considering both seasonal structural and physiological characteristics of leaves in TBMs. Considering the important role that evergreen coniferous forests play in global terrestrial ecosystems, global simulations of GPP and ET in space and time can benefit from the proper representation of seasonal variations in canopy structure and leaf physiology as represented by LAI and Vcmax, respectively. Â© 2019 Elsevier B.V.</t>
  </si>
  <si>
    <t>10.1016/j.agrformet.2019.107708</t>
  </si>
  <si>
    <t>2017-001</t>
  </si>
  <si>
    <t>Canada (CA-OBS;CA-OJP; CA-SJ1; CA-SJ3; CA-TP4;CA-TP3; CA-QFO;CA-QCU) - separate results presented in figure 10</t>
  </si>
  <si>
    <t>42.7068-53.9871</t>
  </si>
  <si>
    <t>−74.0365 -  −105.1177</t>
  </si>
  <si>
    <t xml:space="preserve">optimised </t>
  </si>
  <si>
    <t>BEPS, Terrestrial Biosphere Models (TBMs) (corrected LAI, seasonally variable Vcmax)</t>
  </si>
  <si>
    <t>BEPS</t>
  </si>
  <si>
    <t xml:space="preserve">original </t>
  </si>
  <si>
    <t>BEPS, Terrestrial Biosphere Models (TBMs) (original LAI, constant Vcmax)</t>
  </si>
  <si>
    <t>BEPS, Terrestrial Biosphere Models (TBMs) (seasonally varying Vcmax)</t>
  </si>
  <si>
    <t>Performance of the METRIC model for mapping energy balance components and actual evapotranspiration over a superintensive drip-irrigated olive orchard</t>
  </si>
  <si>
    <t>Ortega-Salazar, S., Ortega-FarÃ­as, S., Kilic, A., Allen, R.</t>
  </si>
  <si>
    <t>A field experiment was performed to evaluate the Mapping Evapotranspiration at High Resolution using Internalized Calibration (METRIC) model that was used for mapping surface energy balance (SEB) components (net radiation (Rni), soil heat flux (Gi), sensible heat flux (Hi), and latent heat flux (LEi)) at times of Landsat satellite overpasses in conjunction with the actual evapotranspiration (ETa) and crop coefficient (Kc) for a superintensive, drip-irrigated olive (Olea europeae L. cv Arbequina) orchard. The orchard is located in the Pencahue Valley, Maule Region, Chile (35 23' LS; 71 44' LW; 96 m above sea level), and the study was conducted on an experimental plot of 21.1 ha during the 2011/2012 and 2012/2013 growing seasons. Model performance was evaluated using measurements of LEi, ETa and Kc that were obtained from an eddy covariance (EC) system. Olive-specific functions for estimating aerodynamic roughness (zom), leaf area index (LAI), and Gi were employed in the METRIC algorithm. In addition, submodels of Rni and Gi were evaluated via ground-truth measurements from a Fritchen-type net radiometer and soil flux plates, respectively. The results indicated that the errors within the METRIC model for the SEB components were between 2% and 5% of the observed values, while those for ETa and Kc were between 4% and 6% of the EC values. In addition, both the root mean square error (RMSE) and mean absolute error (MAE) for the SEB components were less than 46 Wâ_x0088__x0099_mâ_x0088__x0092_2 at the times of satellite overpass. The RMSE and MAE values for the 24-h ETa were 0.42 and 0.31 mmÂ·dayâ_x0088__x0092_1, respectively, while the corresponding values for Kc were 0.09 and 0.02, respectively. The coefficients of variation (CVs) for the SEB components, ETa and Kc were less than 15%, and the largest intraorchard spatial variability occurred for LEi and, thus, ETa. The errors and uncertainties in the SEB and ETa estimates were small enough to warrant application of the METRIC model with olive-specific functions for zom, LAI and Gi to superintensive drip-irrigated olive orchards. Â© 2021 Elsevier B.V.</t>
  </si>
  <si>
    <t>10.1016/j.agwat.2021.106861</t>
  </si>
  <si>
    <t>15 pixels (30*30)</t>
  </si>
  <si>
    <t>2011-345</t>
  </si>
  <si>
    <t>2013-78</t>
  </si>
  <si>
    <t>Pencahue Valley</t>
  </si>
  <si>
    <t>35 23’ LS</t>
  </si>
  <si>
    <t>71 44’ LW;</t>
  </si>
  <si>
    <t>olive</t>
  </si>
  <si>
    <t>Mediterranean,</t>
  </si>
  <si>
    <t>15 pixels from the flux tower into the main wind direction (Fig. 1a). This area was delimited by the flux footprint prediction (FFP) of the turbulent  fluxes using the model proposed by Kljun et al. (2015).</t>
  </si>
  <si>
    <t>Estimation of daily evapotranspiration over Africa using MODIS/Terra and SEVIRI/MSG data</t>
  </si>
  <si>
    <t>Sun, Z., Gebremichael, M., ArdÃ¶, J., Nickless, A., Caquet, B., Merboldh, L., Kutschi, W.</t>
  </si>
  <si>
    <t>Most existing remote sensing-based evapotranspiration (ET) algorithms rely exclusively on polar-orbiting satellites with thermal infrared sensors, and therefore the resulting ET values represent only "instantaneous or snapshot" values. However, daily ET is more meaningful and useful in applications. In this study, daily ET estimates are obtained by combining data from the MODIS sensor aboard the polar-orbiting Terra satellite and the SEVIRI sensor aboard the geostationary-orbiting MSG satellite. The procedure consists of estimating the instantaneous evaporative fraction (EF) based on the MODIS/Terra land data products, and estimating the daily net radiation and daily available energy based on the 30-min SEVIRI/MSG data products. Assuming constant EF during the daytime, daily ET is estimated as the product of the SEVIRI/MSG-based daily available energy and MODIS/Terra-based instantaneous EF. The daily ET estimates are evaluated against flux tower measurements at four validation sites in Africa. Results indicate that the synergistic use of SEVIRI/MSG and MODIS/Terra has the potential to provide reliable estimates of daily ET during wet periods when daily ET exceeds 1. mm/day. The satellite-based daily ET estimates however tend to underestimate ET by 13% to 35%. The daily ET estimation algorithm can further be improved by incorporating a temporal data-filling interpolation technique to estimate the unavailable net radiation information during cloudy sky conditions, and by improving the accuracy of the instantaneous EF. The assumption of constant evaporative fraction during the daytime is reasonable, and does not result in substantial errors in the daily ET estimates. Â© 2012 Elsevier B.V.</t>
  </si>
  <si>
    <t>Atmospheric Research</t>
  </si>
  <si>
    <t>10.1016/j.atmosres.2012.04.005</t>
  </si>
  <si>
    <t>2007-183</t>
  </si>
  <si>
    <t>2007-306</t>
  </si>
  <si>
    <t>wet</t>
  </si>
  <si>
    <t>SD-Dem</t>
  </si>
  <si>
    <t>Acacia</t>
  </si>
  <si>
    <t>Sim-ReSET (Sun et al., 2009)</t>
  </si>
  <si>
    <t>SEVIRI/MSG</t>
  </si>
  <si>
    <t>dry</t>
  </si>
  <si>
    <t>2007-336</t>
  </si>
  <si>
    <t>CG-Tch (Congo)</t>
  </si>
  <si>
    <t>Tchizalamou</t>
  </si>
  <si>
    <t>CO</t>
  </si>
  <si>
    <t>2007-245</t>
  </si>
  <si>
    <t>ZM-MON (Zambia</t>
  </si>
  <si>
    <t>miombo</t>
  </si>
  <si>
    <t>Performance of five surface energy balance models for estimating daily evapotranspiration in high biomass sorghum</t>
  </si>
  <si>
    <t>Wagle, P., Bhattarai, N., Gowda, P.H., Kakani, V.G.</t>
  </si>
  <si>
    <t>Robust evapotranspiration (ET) models are required to predict water USge in a variety of terrestrial ecosystems under different geographical and agrometeorological conditions. As a result, several remote sensing-based surface energy balance (SEB) models have been developed to estimate ET over large regions. However, comparison of the performance of several SEB models at the same site is limited. In addition, none of the SEB models have been evaluated for their ability to predict ET in rain-fed high biomass sorghum grown for biofuel production. In this paper, we evaluated the performance of five widely used single-source SEB models, namely Surface Energy Balance Algorithm for Land (SEBAL), Mapping ET with Internalized Calibration (METRIC), Surface Energy Balance System (SEBS), Simplified Surface Energy Balance Index (S-SEBI), and operational Simplified Surface Energy Balance (SSEBop), for estimating ET over a high biomass sorghum field during the 2012 and 2013 growing seasons. The predicted ET values were compared against eddy covariance (EC) measured ET (ETEC) for 19 cloud-free Landsat image. In general, S-SEBI, SEBAL, and SEBS performed reasonably well for the study period, while METRIC and SSEBop performed poorly. All SEB models substantially overestimated ET under extremely dry conditions as they underestimated sensible heat (H) and overestimated latent heat (LE) fluxes under dry conditions during the partitioning of available energy. METRIC, SEBAL, and SEBS overestimated LE regardless of wet or dry periods. Consequently, predicted seasonal cumulative ET by METRIC, SEBAL, and SEBS were higher than seasonal cumulative ETEC in both seasons. In contrast, S-SEBI and SSEBop substantially underestimated ET under too wet conditions, and predicted seasonal cumulative ET by S-SEBI and SSEBop were lower than seasonal cumulative ETEC in the relatively wetter 2013 growing season. Our results indicate the necessity of inclusion of soil moisture or plant water stress component in SEB models for the improvement of their performance, especially under too dry or wet environments. Â© 2017</t>
  </si>
  <si>
    <t>ISPRS Journal of Photogrammetry and Remote Sensing</t>
  </si>
  <si>
    <t>10.1016/j.isprsjprs.2017.03.022</t>
  </si>
  <si>
    <t>2012-112</t>
  </si>
  <si>
    <t>2013-306</t>
  </si>
  <si>
    <t>Oklahoma State University, South Central Research Station, Chickasha, OK</t>
  </si>
  <si>
    <t>Oklahoma State University, Chickasha</t>
  </si>
  <si>
    <t>35.04_x0001_N</t>
  </si>
  <si>
    <t>97.91_x0001_W</t>
  </si>
  <si>
    <t>Sorghum</t>
  </si>
  <si>
    <t>Dsa</t>
  </si>
  <si>
    <t>Chickasha Mesonet station</t>
  </si>
  <si>
    <t>USGS national land cover database (NLCD; http://www.mrlc.gov/index.php;last)</t>
  </si>
  <si>
    <t>METRIC, SEBS, SEBAL, S-SEBI, SSEBop</t>
  </si>
  <si>
    <t>SSEBI</t>
  </si>
  <si>
    <t>utility of remote sensing-based surface energy balance models to track water stress in rain-fed switchgrass under dry and wet conditions</t>
  </si>
  <si>
    <t>Bhattarai, N., Wagle, P., Gowda, P.H. and Kakani, V.G.</t>
  </si>
  <si>
    <t>The ability of remote sensing-based surface energy balance (SEB) models to track water stress in rain-fed switchgrass (Panicum virgatum L.) has not been explored yet. In this paper, the theoretical framework of crop water stress index (CWSI; 0 = extremely wet or no water stress condition and 1 = extremely dry or no transpiration) was utilized to estimate CWSI in rain-fed switchgrass using Landsat-derived evapotranspiration (ET) from five remote sensing based single-source SEB models, namely Surface Energy Balance Algorithm for Land (SEBAL), Mapping ET with Internalized Calibration (METRIC), Surface Energy Balance System (SEBS), Simplified Surface Energy Balance Index (S-SEBI), and Operational Simplified Surface Energy Balance (SSEBop). CWSI estimates from the five SEB models and a simple regression model that used normalized difference vegetation index (NDVI), near-surface temperature difference, and measured soil moisture (SM) as covariates were compared with those derived from eddy covariance measured ET (CWSIEC) for the 32 Landsat image acquisition dates during the 2011 (dry) and 2013 (wet) growing seasons. Results indicate that most SEB models can predict CWSI reasonably well. For example, the root mean square error (RMSE) ranged from 0.14 (SEBAL) to 0.29 (SSEBop) and the coefficient of determination (R2) ranged from 0.25 (SSEBop) to 0.72 (SEBAL), justifying the added complexity in CWSI modeling as compared to results from the simple regression model (R2 = 0.55, RMSE = 0.16). All SEB models underestimated CWSI in the dry year but the estimates from SEBAL and S-SEBI were within 7% of the mean CWSIEC and explained over 60% of variations in CWSIEC. In the wet year, S-SEBI mostly overestimated CWSI (around 28%), while estimates from METRIC, SEBAL, SEBS, and SSEBop were within 8% of the mean CWSIEC. Overall, SEBAL was the most robust model under all conditions followed by METRIC, whose performance was slightly worse and better than SEBAL in dry and wet years, respectively. Underestimation of CWSI under extremely dry soil conditions and the substantial role of SM in the regression model suggest that integration of SM in SEB models could improve their performances under dry conditions. These insights will provide useful guidance on the broader applicability of SEB models for mapping water stresses in switchgrass under varying geographical and meteorological conditions. Ã‚Â© 2017 International Society for Photogrammetry and Remote Sensing, Inc. (ISPRS)</t>
  </si>
  <si>
    <t>10.1016/j.isprsjprs.2017.10.010</t>
  </si>
  <si>
    <t>2011-149</t>
  </si>
  <si>
    <t>2012-298</t>
  </si>
  <si>
    <t>SSEBop, SEBAL, METRIC, S-SEBI, SEBS</t>
  </si>
  <si>
    <t>Estimation of evapotranspiration in an arid region by remote sensing-A case study in the middle reaches of the Heihe River Basin</t>
  </si>
  <si>
    <t>Li, X., Lua, L., Yangc, W., Chenga, G.</t>
  </si>
  <si>
    <t>Estimating surface evapotranspiration is extremely important for the study of water resources in arid regions. Data from the National Oceanic and Atmospheric Administration's Advanced Very High Resolution Radiometer (NOAA/AVHRR), meteorological observations and data obtained from the Watershed Allied Telemetry Experimental Research (WATER) project in 2008 are applied to the evaporative fraction model to estimate evapotranspiration over the Heihe River Basin. The calculation method for the parameters used in the model and the evapotranspiration estimation results are analyzed and evaluated. The results observed within the oasis and the banks of the river suggest that more evapotranspiration occurs in the inland river basin in the arid region from May to September. Evapotranspiration values for the oasis, where the land surface types and vegetations are highly variable, are relatively small and heterogeneous. In the Gobi desert and other deserts with little vegetation, evapotranspiration remains at its lowest level during this period. These results reinforce the conclusion that rational utilization of water resources in the oasis is essential to manage the water resources in the inland river basin. In the remote sensing-based evapotranspiration model, the accuracy of the parameter estimate directly affects the accuracy of the evapotranspiration results; more accurate parameter values yield more precise values for evapotranspiration. However, when using the evaporative fraction to estimate regional evapotranspiration, better calculation results can be achieved only if evaporative fraction is constant in the daytime. Â© 2011 Elsevier B.V.</t>
  </si>
  <si>
    <t>International Journal of Applied Earth Observation and Geoinformation</t>
  </si>
  <si>
    <t>10.1016/j.jag.2011.09.008</t>
  </si>
  <si>
    <t>2008-126</t>
  </si>
  <si>
    <t>Evaporative fraction model</t>
  </si>
  <si>
    <t xml:space="preserve">nine meteorological stations of Gansu Provincial Meteorological Bureau </t>
  </si>
  <si>
    <t>Environmental and Ecological Science Data in western China (http://westdc.westgis.ac.cn).</t>
  </si>
  <si>
    <t>Advanced Very High Resolution Radiometer (AVHRR)</t>
  </si>
  <si>
    <t>Evaporative fraction</t>
  </si>
  <si>
    <t>2008-155</t>
  </si>
  <si>
    <t>2008-215</t>
  </si>
  <si>
    <t>2008-238</t>
  </si>
  <si>
    <t>2008-274</t>
  </si>
  <si>
    <t>Evaluating five remote sensing based single-source surface energy balance models for estimating daily evapotranspiration in a humid subtropical climate</t>
  </si>
  <si>
    <t>Bhattarai, N., Shaw, S.B., Quackenbush, L.J., Im, J., Niraula, R.</t>
  </si>
  <si>
    <t>In the last two decades, a number of single-source surface energy balance (SEB) models have been proposed for mapping evapotranspiration (ET); however, there is no clear guidance on which models are preferable under different conditions. In this paper, we tested five models-Surface Energy Balance Algorithm for Land (SEBAL), Mapping ET at high Resolution with Internalized Calibration (METRIC), Simplified Surface Energy Balance Index (S-SEBI), Surface Energy Balance System (SEBS), and operational Simplified Surface Energy Balance (SSEBop)â_x0080__x0094_to identify the single-source SEB models most appropriate for use in the humid southeastern United States. ET predictions from these models were compared with measured ET at four sites (marsh, grass, and citrus surfaces) for 149 cloud-free Landsat image acquisition days between 2000 and 2010. The overall model evaluation statistics showed that SEBS generally outperformed the other models in terms of estimating daily ET from different land covers (e.g., the root mean squared error (RMSE) was 0.74 mm dayâ_x0088__x0092_1). SSEBop was consistently the worst performing model and overestimated ET at all sites (RMSE = 1.67 mm dayâ_x0088__x0092_1), while the other models typically fell in between SSEBop and SEBS. However, for short grass conditions, SEBAL, METRIC, and S-SEBI appear to work much better than SEBS. Overall, our study suggests that SEBS may be the best SEB model in humid regions, although it may require modifications to work better over short vegetation. Â© 2016 Elsevier B.V.</t>
  </si>
  <si>
    <t>10.1016/j.jag.2016.01.010</t>
  </si>
  <si>
    <t>Florida Automated Weather Network (FAWN) weather stations (</t>
  </si>
  <si>
    <t>National Land Cover Database (Fry et al., 2011; Homer et al., 2007) and a detailed (30 m) vegetation map (Kautz et al., 2007) w</t>
  </si>
  <si>
    <t>SEBAL, METRIC, S-SEBI, SSEBop, SEBS</t>
  </si>
  <si>
    <t>2004-275</t>
  </si>
  <si>
    <t>BCM</t>
  </si>
  <si>
    <t>Blue Cypress Marsh</t>
  </si>
  <si>
    <t>Marsh</t>
  </si>
  <si>
    <t>2004-183</t>
  </si>
  <si>
    <t>IL1</t>
  </si>
  <si>
    <t>Paspalum notatum long rotational grazing</t>
  </si>
  <si>
    <t>Citrus</t>
  </si>
  <si>
    <t>2000-275</t>
  </si>
  <si>
    <t>Ferris Farm</t>
  </si>
  <si>
    <t>2009-275</t>
  </si>
  <si>
    <t>Reedy Lake</t>
  </si>
  <si>
    <t>warm continental</t>
  </si>
  <si>
    <t>Spatio-temporal patterns of energy exchange and evapotranspiration during an intense drought for drylands in Brazil</t>
  </si>
  <si>
    <t>dos Santos, C.A.C., Mariano, D.A., das Chagas A. do Nascimento, F., da C. Dantas, F.R., de Oliveira, G., Silva, M.T., da Silva, L.L., da Silva, B.B., Bezerra, B.G., Safa, B., de S. Medeiros, S., Neale, C.M.U.</t>
  </si>
  <si>
    <t>The Caatinga biome, located in the northeastern region of Brazil, is the most populated dryland region on the planet and extremely vulnerable to land degradation due to climatological and anthropogenic factors. Energy partitioning substantially influences the local climate and affects the water cycle, which is of utmost importance for the economy and livelihood of the region. Recently, eddy covariance (EC) towers were installed in the area; thus, the scientific community can thoroughly assess the water and energy fluxes over this unique biome. While EC towers have a high degree of accuracy, they only measure energy fluxes over a small land footprint. Given the biome spatial heterogeneity, the use of EC-based techniques has the limitation of not comprehensively representing water and energy fluxes profiles over the entire region. Incorporating remote sensing (RS) data into the landscape analysis is a feasible solution to overcome this issue, given that satellite data can capture the phenomena represented by the EC measurements across large spatial scales. Our research studied the capability of the Surface Energy Balance Algorithm for Land (SEBAL) and MOD16-ET products to represent the EC measurements regarding energy and mass exchange, with an ultimate objective of applying the best approach to assess these fluxes regionally. We applied the SEBAL model using only remote sensing data from the Moderate Resolution Imaging Spectroradiometer (MODIS) sensor. The MOD16-ET model uses a different approach but is also based on MODIS data. Our analysis was based on three years (2014â_x0080__x0093_2016) of data, which was limited to the availability of the EC tower data. We found that for the EC-based measurements, energy balance closure (EBC) achieved an average of 0.84, which is considerably high for the region. This is possibly due to the EC tower being installed on a preserved Caatinga plot, with reduced heterogeneity and higher plant density. When analyzing RS-based products to represent ET profiles in the region, we found that the SEBAL model accurately represented water fluxes during the wet season but not the dry season, whereas the MOD16-ET showed a better agreement with EC-based water fluxes throughout all the seasons. SEBAL inaccuracy in drylands is partially due to the narrow range between the cold and hot pixels in an image, as the algorithm relies on this range for input parameters, especially in the dry season. Therefore, we concluded that MOD16-ET is capable of better-representing water fluxes in the Caatinga region. We analyzed the fluxes regionally and quantified annual ET for the three years. These results are especially relevant for local policymakers on dealing with water and landscape issues in a region where the livelihood and well-being of the population is inextricably bound to water availability. Â© 2019 Elsevier B.V.</t>
  </si>
  <si>
    <t>10.1016/j.jag.2019.101982</t>
  </si>
  <si>
    <t>ESEC-Serido</t>
  </si>
  <si>
    <t>Serido</t>
  </si>
  <si>
    <t>6°34′46.8″S</t>
  </si>
  <si>
    <t>37°14′55.9″ W</t>
  </si>
  <si>
    <t>deciduous xerophytic shrub and trees up to 8–10m in height</t>
  </si>
  <si>
    <t>150-200</t>
  </si>
  <si>
    <t>y (footprint model applied to the measurements was developed by Kljun et al. (2015)</t>
  </si>
  <si>
    <r>
      <rPr>
        <rFont val="Calibri"/>
        <color theme="1"/>
        <sz val="11.0"/>
      </rPr>
      <t xml:space="preserve">National Water Agency (ANA) (snirh.gov.br/hidroweb/publico/apresentacao.jsf) and the National Meteorology Institute (INMET)  </t>
    </r>
    <r>
      <rPr>
        <rFont val="Calibri"/>
        <color rgb="FF1155CC"/>
        <sz val="11.0"/>
        <u/>
      </rPr>
      <t>nmet.gov.br/portal/).</t>
    </r>
  </si>
  <si>
    <r>
      <rPr>
        <rFont val="Calibri"/>
        <color theme="1"/>
        <sz val="11.0"/>
      </rPr>
      <t xml:space="preserve">National Water Agency (ANA) (snirh.gov.br/hidroweb/publico/apresentacao.jsf) and the National Meteorology Institute (INMET)  </t>
    </r>
    <r>
      <rPr>
        <rFont val="Calibri"/>
        <color rgb="FF1155CC"/>
        <sz val="11.0"/>
        <u/>
      </rPr>
      <t>nmet.gov.br/portal/).</t>
    </r>
  </si>
  <si>
    <t>MODIS Mu et al 2011</t>
  </si>
  <si>
    <r>
      <rPr>
        <rFont val="Calibri"/>
        <color theme="1"/>
        <sz val="11.0"/>
      </rPr>
      <t xml:space="preserve">National Water Agency (ANA) (snirh.gov.br/hidroweb/publico/apresentacao.jsf) and the National Meteorology Institute (INMET)  </t>
    </r>
    <r>
      <rPr>
        <rFont val="Calibri"/>
        <color rgb="FF1155CC"/>
        <sz val="11.0"/>
        <u/>
      </rPr>
      <t>nmet.gov.br/portal/).</t>
    </r>
  </si>
  <si>
    <t>Quantifying riparian total evaporation along the Groot Letaba River: A comparison between infilled and spatially downscaled satellite derived total evaporation estimates</t>
  </si>
  <si>
    <t>Gokool, S., Jarmain, C., Riddell, E., Swemmer, A., Lerm, R., Jr., Chetty, K.T.</t>
  </si>
  <si>
    <t>The use of satellite earth observation data for the estimation of evapotranspiration has been well documented and represents a viable approach for the quantification of riparian water use at landscape to regional scales. However, the trade-off between the spatial and temporal resolution associated with imagery can limit the reliability of satellite-based evapotranspiration modelling. This study investigated two approaches to quantify evapotranspiration at a moderate spatial resolution (30 m) on a daily time step, for a perennial river flowing through a semi-arid, savanna landscape. The Surface Energy Balance System (SEBS) Model was used to derive daily evapotranspiration from satellite imagery. The actual crop coefficient (Kcact) and output downscaling with linear regression (ODLR) approaches were then evaluated by comparing their respective estimates against Eddy covariance (ECET) measurements at two locations. Comparisons of ET estimates acquired using the Kcact and ODLR approaches against ECET, yielded RMSE values of; 1.88 and 2.57 mm dâ_x0088__x0092_1 and 1.10 and 2.39 mm dâ_x0088__x0092_1 (for two replicate transects), respectively. The poor performance of these techniques was largely attributed to the SEBS ET estimates used as inputs to these techniques, as SEBS may overestimate evapotranspiration during conditions of water stress. Â© 2017 Elsevier Ltd</t>
  </si>
  <si>
    <t>10.1016/j.jaridenv.2017.07.014</t>
  </si>
  <si>
    <t>2015-169</t>
  </si>
  <si>
    <t>2015-226</t>
  </si>
  <si>
    <t>Lebata transect 1</t>
  </si>
  <si>
    <t>Lebata01</t>
  </si>
  <si>
    <t>23 40 10 S</t>
  </si>
  <si>
    <t>31 1 6 E</t>
  </si>
  <si>
    <t>baresoils 40% , reed 40%, open water 20%</t>
  </si>
  <si>
    <t>SEBS_Kcact</t>
  </si>
  <si>
    <t>2015-234</t>
  </si>
  <si>
    <t>2015-296</t>
  </si>
  <si>
    <t>Lebata transect 2</t>
  </si>
  <si>
    <t>Lebata02</t>
  </si>
  <si>
    <t>23 39 58 S</t>
  </si>
  <si>
    <t>31 1 42 E</t>
  </si>
  <si>
    <t>baresoils 20% , reed 60%, open water 20%</t>
  </si>
  <si>
    <t>SEBS_downscaled Kcact</t>
  </si>
  <si>
    <t>Validation of ETWatch using field measurements at diverse landscapes: A case study in Hai Basin of China</t>
  </si>
  <si>
    <t>Wu, B., Yan, N., Xiong, J., Bastiaanssen, W.G.M., Zhu, W., Stein, A.</t>
  </si>
  <si>
    <t>The latent heat of evapotranspiration (ET) plays an important role for water resource management in water scarcity areas. Compared to the water balance method or to in situ measurements, an operational integrated monitoring method of regional surface ET from remote sensing data is a potentially useful approach to achieve water saving. This study presents new algorithms for the aerodynamic roughness length for complex landscape, for gap filling for cloud days, and for data fusion at different resolutions, based on the Penman-Monteith equation. It also presents an improved algorithm for ET calculation with remotely sensed data for clear days. Algorithms were integrated into the ETWatch. The research objective was to present the enhanced features of the ETWatch algorithm and its validation in the 320,000km 2 Hai Basin in Northern China. This area faces serious over-exploitation of groundwater. ET was modeled and extensive field campaigns were done to collect data on soil moisture depletion, lysimeter measurements, eddy covariance measurements, and water balance calculations at diverse landscapes. The overall deviation for individual fields on a seasonal basis was 12% and decreased to 6% for an annual cycle. For larger areas, the deviation was 3% for an annual cycle. These levels of deviation are within the error bands for in situ measurements. The study concludes that data sets from ETWatch are able to aid consumptive water use reduction management in the study area. Â© 2012 Elsevier B.V.</t>
  </si>
  <si>
    <t>Journal of Hydrology</t>
  </si>
  <si>
    <t>10.1016/j.jhydrol.2012.02.043</t>
  </si>
  <si>
    <t>sum of 10 individual days</t>
  </si>
  <si>
    <t>2003-141</t>
  </si>
  <si>
    <t>2003-151</t>
  </si>
  <si>
    <t>Yucheng 2</t>
  </si>
  <si>
    <t>39.95 N</t>
  </si>
  <si>
    <t>116.6 E</t>
  </si>
  <si>
    <t>Eulerian analytic flux footprint model (Kormann and Meixner, 2001)</t>
  </si>
  <si>
    <t>meteorological data center of the National Meteorological Bureau</t>
  </si>
  <si>
    <t>2004-160</t>
  </si>
  <si>
    <t>2005-131</t>
  </si>
  <si>
    <t>Xiaotanshan</t>
  </si>
  <si>
    <t>40.183 N</t>
  </si>
  <si>
    <t>116.433 E</t>
  </si>
  <si>
    <t>sub-urban</t>
  </si>
  <si>
    <t>36.515 N</t>
  </si>
  <si>
    <t>115.126 E</t>
  </si>
  <si>
    <t>wheat,  maize</t>
  </si>
  <si>
    <t>Luancheng</t>
  </si>
  <si>
    <t>37.88 N</t>
  </si>
  <si>
    <t>114.68 E</t>
  </si>
  <si>
    <t>39.61 N</t>
  </si>
  <si>
    <t>116.43 E</t>
  </si>
  <si>
    <t>Xiaotangshan</t>
  </si>
  <si>
    <t>117.32 E</t>
  </si>
  <si>
    <t>Evapotranspiration and crop coefficients for a super intensive olive orchard. An application of SIMDualKc and METRIC models using ground and satellite observations</t>
  </si>
  <si>
    <t>PaÃ§o, T.A., PÃ´Ã§as, I., Cunha, M., Silvestre, J.C., Santos, F.L., Paredes, P., Pereira, L.S.</t>
  </si>
  <si>
    <t>The estimation of crop evapotranspiration (ETc) from the reference evapotranspiration (ETo) and a standard crop coefficient (Kc) in olive orchards requires that the latter be adjusted to planting density and height. The use of the dual Kc approach may be the best solution because the basal crop coefficient Kcb represents plant transpiration and the evaporation coefficient reproduces the soil coverage conditions and the frequency of wettings. To support related computations for a super intensive olive orchard, the model SIMDualKc was adopted because it uses the dual Kc approach. Alternatively, to consider the physical characteristics of the vegetation, the satellite-based surface energy balance model METRICâ_x0084_¢ - Mapping EvapoTranspiration at high Resolution using Internalized Calibration - was used to estimate ETc and to derive crop coefficients. Both approaches were compared in this study. SIMDualKc model was calibrated and validated using sap-flow measurements of the transpiration for 2011 and 2012. In addition, eddy covariance estimation of ETc was also used. In the current study, METRICâ_x0084_¢ was applied to Landsat images from 2011 to 2012. Adaptations for incomplete cover woody crops were required to parameterize METRIC. It was observed that ETc obtained from both approaches was similar and that crop coefficients derived from both models showed similar patterns throughout the year. Although the two models use distinct approaches, their results are comparable and they are complementary in spatial and temporal scales. Â© 2014 Elsevier B.V.</t>
  </si>
  <si>
    <t>10.1016/j.jhydrol.2014.09.075</t>
  </si>
  <si>
    <t>2012-167</t>
  </si>
  <si>
    <t>2012-244</t>
  </si>
  <si>
    <t>Viana do Alentejo, in Alentejo, Southern Portugal</t>
  </si>
  <si>
    <t>Viana do Alentejo</t>
  </si>
  <si>
    <t>38_x0003_ 240 4600 N</t>
  </si>
  <si>
    <t>7_x0003_ 430 4000 W,</t>
  </si>
  <si>
    <t>Olives</t>
  </si>
  <si>
    <t>SIMDualKc</t>
  </si>
  <si>
    <t>SIMDualKc, METRIC</t>
  </si>
  <si>
    <t>Interannual variability of regional evapotranspiration under precipitation extremes: A case study of the Youngsan River basin in Korea</t>
  </si>
  <si>
    <t>Song, Y., Ryu, Y., Jeon, S.</t>
  </si>
  <si>
    <t>Understanding basin-scale evapotranspiration (ET) is an important issue for the management of regional water resources, especially with the recent trend of intensified precipitation (P). This study assessed the spatial and temporal variations of regional ET in response to P extremes, for various types of land-cover across the Youngsan River basin in Korea.The spatial distribution of monthly P and ET from 2001 to 2009 were estimated using rainfall records from 40 weather stations located across the basin and a satellite-derived, process-based ET model Breathing Earth System Simulator (BESS) (Ryu et al., 2011), respectively. The study periods were focused on the recent years with abnormally large, small and normal P, which were identified from anomalies in the z-sores of long-term (1973-2011) rainfall records. The variation of regional ET was assessed in terms of: (1) the controlling factors, using the statistics of related meteorological and geographical data, (2) a water-energy balance, using Budyko's framework, and (3) the water balance of four selected watersheds in the region, using the partitioning of annual P into ET and riverflow discharge (Q).The total annual ET of this region decreased in abnormally large-P year and increased in small-P year, because the ET in July to August (which accounts for more than 36% of annual ET) was limited by the available energy rather than available water due to the summer monsoon. In terms of land cover types, forests showed larger interannual variability in ET than paddy fields or cropland, with the differences in ET between large and small-P years being 108 and 82mmyr-1, respectively. The sensitivity of annual ET to P extremes was significantly related to the leaf area index (LAI), rather than soil properties, topography, or specific land-cover type (p&amp;lt;0.05, generalized linear model). However, the interannual variations of ET were not large (15-18%) compared to those of annual P (51-62%) and Q (108-232%) during 2002-2009. Thus, vegetation played a consistent role in releasing water back to the regional atmosphere through ET, regardless of P extremes. Â© 2014 Elsevier B.V.</t>
  </si>
  <si>
    <t>10.1016/j.jhydrol.2014.10.048</t>
  </si>
  <si>
    <t>34_x0003_33017.7000N</t>
  </si>
  <si>
    <t>126_x0003_3407.1100E</t>
  </si>
  <si>
    <t>BESS</t>
  </si>
  <si>
    <t>nine meteorological monitoring stations</t>
  </si>
  <si>
    <t>Uncertainty analysis of the Operational Simplified Surface Energy Balance (SSEBop) model at multiple flux tower sites</t>
  </si>
  <si>
    <t>Chen, M., Senay, G.B., Singh, R.K., Verdin, J.P.</t>
  </si>
  <si>
    <t>Evapotranspiration (ET) is an important component of the water cycle - ET from the land surface returns approximately 60% of the global precipitation back to the atmosphere. ET also plays an important role in energy transport among the biosphere, atmosphere, and hydrosphere. Current regional to global and daily to annual ET estimation relies mainly on surface energy balance (SEB) ET models or statistical and empirical methods driven by remote sensing data and various climatological databases. These models have uncertainties due to inevitable input errors, poorly defined parameters, and inadequate model structures. The eddy covariance measurements on water, energy, and carbon fluxes at the AmeriFlux tower sites provide an opportunity to assess the ET modeling uncertainties. In this study, we focused on uncertainty analysis of the Operational Simplified Surface Energy Balance (SSEBop) model for ET estimation at multiple AmeriFlux tower sites with diverse land cover characteristics and climatic conditions. The 8-day composite 1-km MODerate resolution Imaging Spectroradiometer (MODIS) land surface temperature (LST) was used as input land surface temperature for the SSEBop algorithms. The other input data were taken from the AmeriFlux database. Results of statistical analysis indicated that the SSEBop model performed well in estimating ET with an R2 of 0.86 between estimated ET and eddy covariance measurements at 42 AmeriFlux tower sites during 2001-2007. It was encouraging to see that the best performance was observed for croplands, where R2 was 0.92 with a root mean square error of 13 mm/month. The uncertainties or random errors from input variables and parameters of the SSEBop model led to monthly ET estimates with relative errors less than 20% across multiple flux tower sites distributed across different biomes. This uncertainty of the SSEBop model lies within the error range of other SEB models, suggesting systematic error or bias of the SSEBop model is within the normal range. This finding implies that the simplified parameterization of the SSEBop model did not significantly affect the accuracy of the ET estimate while increasing the ease of model setup for operational applications. The sensitivity analysis indicated that the SSEBop model is most sensitive to input variables, land surface temperature (LST) and reference ET (ETo); and parameters, differential temperature (dT), and maximum ET scalar (Kmax), particularly during the non-growing season and in dry areas. In summary, the uncertainty assessment verifies that the SSEBop model is a reliable and robust method for large-area ET estimation. The SSEBop model estimates can be further improved by reducing errors in two input variables (ETo and LST) and two key parameters (Kmax and dT). Â© 2016 The Authors.</t>
  </si>
  <si>
    <t>10.1016/j.jhydrol.2016.02.026</t>
  </si>
  <si>
    <t>2006-336</t>
  </si>
  <si>
    <t>AmeriFlux</t>
  </si>
  <si>
    <t>2003-336</t>
  </si>
  <si>
    <t>2005-336</t>
  </si>
  <si>
    <t>Los</t>
  </si>
  <si>
    <t>Lost Creek</t>
  </si>
  <si>
    <t>Global estimation of evapotranspiration using a leaf area index-based surface energy and water balance model</t>
  </si>
  <si>
    <t>Yan, H., Wang, S.Q., Billesbach, D., Oechel, W., Zhang, J.H., Meyers, T., Martin, T.A., Matamala, R., Baldocchi, D., Bohrer, G., Dragoni, D., Scott, R.</t>
  </si>
  <si>
    <t>Studies of global hydrologic cycles, carbon cycles and climate change are greatly facilitated when global estimates of evapotranspiration (E) are available. We have developed an air-relative-humidity-based two-source (ARTS) E model that simulates the surface energy balance, soil water balance, and environmental constraints on E. It uses remotely sensed leaf area index (L ai) and surface meteorological data to estimate E by: 1) introducing a simple biophysical model for canopy conductance (G c), defined as a constant maximum stomatal conductance g smax of 12.2mms -1 multiplied by air relative humidity (R h) and L ai (G c=g s maxÃ_x0097_R hÃ_x0097_L ai); 2) calculating canopy transpiration with the G c-based Penman-Monteith (PM) E model; 3) calculating soil evaporation from an air-relative-humidity-based model of evapotranspiration (Yan &amp;amp; Shugart, 2010); 4) calculating total E (E 0) as the sum of the canopy transpiration and soil evaporation, assuming the absence of soil water stress; and 5) correcting E 0 for soil water stress using a soil water balance model.This physiological ARTS E model requires no calibration. Evaluation against eddy covariance measurements at 19 flux sites, representing a wide variety of climate and vegetation types, indicates that daily estimated E had a root mean square error=0.77mmd -1, bias=-0.14mmd -1, and coefficient of determination, R 2=0.69. Global, monthly, 0.5Â°-gridded ARTS E simulations from 1984 to 1998, which were forced using Advanced Very High Resolution Radiometer L ai data, Climate Research Unit climate data, and surface radiation budget data, predicted a mean annual land E of 58.4Ã_x0097_10 3km 3. This falls within the range (58Ã_x0097_10 3-85Ã_x0097_10 3km 3) estimated by the Second Global Soil Wetness Project (GSWP-2; Dirmeyer et al., 2006). The ARTS E spatial pattern agrees well with that of the global E estimated by GSWP-2. The global annual ARTS E increased by 15.5mm per decade from 1984 to 1998, comparable to an increase of 9.9mm per decade from the model tree ensemble approach (Jung et al., 2010). These comparisons confirm the effectivity of the ARTS E model to simulate the spatial pattern and climate response of global E. This model is the first of its kind among remote-sensing-based PM E models to provide global land E estimation with consideration of the soil water balance. Â© 2012 Elsevier Inc.</t>
  </si>
  <si>
    <t>10.1016/j.rse.2012.06.004</t>
  </si>
  <si>
    <t>0.5 degree</t>
  </si>
  <si>
    <t>SGP</t>
  </si>
  <si>
    <t>Southern Great Plains</t>
  </si>
  <si>
    <t>–97.49</t>
  </si>
  <si>
    <t>Crop</t>
  </si>
  <si>
    <t>0.5degree</t>
  </si>
  <si>
    <t>ARTS</t>
  </si>
  <si>
    <t>2-source</t>
  </si>
  <si>
    <t>CRU</t>
  </si>
  <si>
    <t>Barrow</t>
  </si>
  <si>
    <t>–156.63</t>
  </si>
  <si>
    <t>Tundra</t>
  </si>
  <si>
    <t>Bartlett</t>
  </si>
  <si>
    <t>–71.29</t>
  </si>
  <si>
    <t>Bondville</t>
  </si>
  <si>
    <t>–88.29</t>
  </si>
  <si>
    <t>Donaldson</t>
  </si>
  <si>
    <t>–82.16</t>
  </si>
  <si>
    <t>FermiA</t>
  </si>
  <si>
    <t>Fermi Agriculture</t>
  </si>
  <si>
    <t>–88.22</t>
  </si>
  <si>
    <t>FermiP</t>
  </si>
  <si>
    <t>Fermi Prairie</t>
  </si>
  <si>
    <t>–88.24</t>
  </si>
  <si>
    <t>MeadI</t>
  </si>
  <si>
    <t>Mead irrigated maize</t>
  </si>
  <si>
    <t>–96.47</t>
  </si>
  <si>
    <t>MeadIR</t>
  </si>
  <si>
    <t>Mead irrigated rotation</t>
  </si>
  <si>
    <t>MeadR</t>
  </si>
  <si>
    <t>Mead rainfed rotation</t>
  </si>
  <si>
    <t>–96.43</t>
  </si>
  <si>
    <t>MetoliusI</t>
  </si>
  <si>
    <t>Metolius Intermediate Pine</t>
  </si>
  <si>
    <t>–121.62</t>
  </si>
  <si>
    <t>MetoliusN</t>
  </si>
  <si>
    <t>Metolius new young pine</t>
  </si>
  <si>
    <t>–121.61</t>
  </si>
  <si>
    <t>Mize</t>
  </si>
  <si>
    <t>–82.24</t>
  </si>
  <si>
    <t>–86.41</t>
  </si>
  <si>
    <t>Morgan</t>
  </si>
  <si>
    <t>Santa</t>
  </si>
  <si>
    <t>–110.87</t>
  </si>
  <si>
    <t>Subtropical</t>
  </si>
  <si>
    <t>Tonzi Ranch Woody Savannah (US-Ton)</t>
  </si>
  <si>
    <t>–120.97</t>
  </si>
  <si>
    <t>Mediterranean</t>
  </si>
  <si>
    <t>Tonzi</t>
  </si>
  <si>
    <t>UMBS</t>
  </si>
  <si>
    <t>–84.71</t>
  </si>
  <si>
    <t>–120.95</t>
  </si>
  <si>
    <t>Vaira</t>
  </si>
  <si>
    <t>WindR</t>
  </si>
  <si>
    <t>Wind River Crane</t>
  </si>
  <si>
    <t>–121.95</t>
  </si>
  <si>
    <t>Seasonal trends of satellite-based evapotranspiration algorithms over a complex ecosystem in East Asia</t>
  </si>
  <si>
    <t>Hwang, K., Choi, M.</t>
  </si>
  <si>
    <t>Accurate land surface evapotranspiration (ET) estimations over a heterogeneous ecosystem are important to understand the interaction between the land surface and atmosphere including practical applications in integrated water resources management. Though numerous studies have been adopted and developed based on remote sensing technology to make a more accurate prediction of regional ET distribution, there has been still degree of uncertainty due to high spatio-temporal variability of the ecohydrologic parameter. This study suggested the revised remote sensing-based Penman-Monteith (Revised RS-PM) model and Trapezoid Interpolation Model (TIM) using only remotely sensed data as input data to assess applicability over complex topography in East Asia. Ground observations at the two flux sites having different land surface conditions were used to evaluate intra-annual seasonality in 2008. Both models represented temporal compatibility yielding biases of -74.25-38.79Wm-2 and Root Mean Square Error (RMSE) values of 68.96-90.90Wm-2 while the models consistently overestimated ET at the forests due to large amount of interception relatively restraining sufficient water supply to the plants. The revised RS-PM showed slight overestimation due to the overvalued Leaf Area Index (LAI) as an input parameter and classified parameterization in transpiration calculation. This algorithm was developed for global mapping of ET so that errors occurring from vegetation parameterization are inevitable. TIM reproduced higher ET than the measurements in a non-growing season since remotely sensed Normalized Difference Vegetation Index (NDVI) as an input parameter could be affected by cloud contamination. In contrast to the dormant season, the revised RS-PM estimated a larger amount of ET distribution than TIM in the growing season. A conservative estimation of TIM was mainly caused by the structural characteristics. Relationships between the land surface temperature and NDVI were contextually used to determine both maximum and minimum limits of the Priestley-Taylor parameters in the image data. Determination of the contextual relationship should be carefully conducted to achieve reliable estimations. Results of a sensitivity analysis shows that the net radiation (RN) plays the most significant role in both models (Â±17-20% for ET by Â±20% change of RN). Variation of LAI impacted ET mostly in the revised RS-PM in a dormant season due to a logarithmic relationship between canopy conductance and LAI. TIM, on the other hand, was barely affected by LAI because of the simple structure of the algorithm including the Priestley-Taylor equation. The results suggest that the models can be applied to a regional scale with heterogeneous topography over long term periods if the input data handling is carefully conducted. In particular, the models can be usefully applied where ground ancillary data are not readily available. Â© 2013 Elsevier Inc.</t>
  </si>
  <si>
    <t>10.1016/j.rse.2013.06.006</t>
  </si>
  <si>
    <t>KoFlux Gwangneung Supersite (GDK)</t>
  </si>
  <si>
    <t>127.15 E</t>
  </si>
  <si>
    <t>RS-PM, TIM</t>
  </si>
  <si>
    <t>KoFlux Haenam site (HFK)</t>
  </si>
  <si>
    <t>126.57E</t>
  </si>
  <si>
    <t>TIM</t>
  </si>
  <si>
    <t>Evaluating Landsat 8 evapotranspiration for water use mapping in the Colorado River Basin</t>
  </si>
  <si>
    <t>Senay, G.B., Friedrichs, M., Singh, R.K., Velpuri, N.M.</t>
  </si>
  <si>
    <t>Evapotranspiration (ET) mapping at the Landsat spatial resolution (100Â m) is essential to fully understand water use and water availability at the field scale. Water use estimates in the Colorado River Basin (CRB), which has diverse ecosystems and complex hydro-climatic regions, will be helpful to water planners and managers. Availability of Landsat 8 images, starting in 2013, provides the opportunity to map ET in the CRB to assess spatial distribution and patterns of water use. The Operational Simplified Surface Energy Balance (SSEBop) model was used with 528 Landsat 8 images to create seamless monthly and annual ET estimates at the inherent 100Â m thermal band resolution. Annual ET values were summarized by land use/land cover classes. Croplands were the largest consumer of â_x0080__x009c_blueâ_x0080__x009d_ water while shrublands consumed the most â_x0080__x009c_greenâ_x0080__x009d_ water. Validation using eddy covariance (EC) flux towers and water balance approaches showed good accuracy levels with R2 ranging from 0.74 to 0.95 and the Nashâ_x0080__x0093_Sutcliffe model efficiency coefficient ranging from 0.66 to 0.91. The root mean square error (and percent bias) ranged from 0.48Â mm (13%) to 0.60Â mm (22%) for daily (days of satellite overpass) ET and from 7.75Â mm (2%) to 13.04Â mm (35%) for monthly ET. The spatial and temporal distribution of ET indicates the utility of Landsat 8 for providing important information about ET dynamics across the landscape. Annual crop water use was estimated for five selected irrigation districts in the Lower CRB where annual ET per district ranged between 681Â mm to 772Â mm. Annual ET by crop type over the Maricopa Stanfield irrigation district ranged from a low of 384Â mm for durum wheat to a high of 990Â mm for alfalfa fields. A rainfall analysis over the five districts suggested that, on average, 69% of the annual ET was met by irrigation. Although the enhanced cloud-masking capability of Landsat 8 based on the cirrus band and utilization of the Fmask algorithm improved the removal of contaminated pixels, the ability to reliably estimate ET over clouded areas remains an important challenge. Overall, the performance of Landsat 8 based ET compared to available EC datasets and water balance estimates for a complex basin such as the CRB demonstrates the potential of using Landsat 8 for annual water use estimation at a national scale. Future efforts will focus on (a) use of consistent methodology across years, (b) integration of multiple sensors to maximize images used, and (c) employing cloud-computing platforms for large scale processing capabilities. Â© 2015</t>
  </si>
  <si>
    <t>10.1016/j.rse.2015.12.043</t>
  </si>
  <si>
    <t xml:space="preserve"> The vegetation at this site consists of native grasses (Digitaria californica, Muhlenbergia porteri, Bouteloua eriopoda, and Aristida spp.), nonnative perennial C4 grasses (mainly Eragrostis ehmanniana Nees), subshrubs (mainly Isocoma tenuisecta Greene), and scattered succulents (Opuntia spp.).</t>
  </si>
  <si>
    <t>California Irrigation Management Information System (CIMIS)</t>
  </si>
  <si>
    <t>Evapotranspiration (ET) mapping at the Landsat spatial resolution (100Â m) is essential to fully understand water use and water availability at the field scale. Water use estimates in the Colorado River Basin (CRB), which has diverse ecosystems and complex hydro-climatic regions, will be helpful to water planners and managers. Availability of Landsat 8 images, starting in 2013, provides the opportunity to map ET in the CRB to assess spatial distribution and patterns of water use. The Operational Simplified Surface Energy Balance (SSEBop) model was used with 528 Landsat 8 images to create seamless monthly and annual ET estimates at the inherent 100Â m thermal band resolution. Annual ET values were summarized by land use/land cover classes. Croplands were the largest consumer of â_x0080__x009c_blueâ_x0080__x009d_ water while shrublands consumed the most â_x0080__x009c_greenâ_x0080__x009d_ water. Validation using eddy covariance (EC) flux towers and water balance approaches showed good accuracy levels with R2 ranging from 0.74 to 0.95 and the Nashâ_x0080__x0093_Sutcliffe model efficiency coefficient ranging from 0.66 to 0.91. The root mean square error (and percent bias) ranged from 0.48Â mm (13%) to 0.60Â mm (22%) for daily (days of satellite overpass) ET and from 7.75Â mm (2%) to 13.04Â mm (35%) for monthly ET. The spatial and temporal distribution of ET indicates the utility of Landsat 8 for providing important information about ET dynamics across the landscape. Annual crop water use was estimated for five selected irrigation districts in the Lower CRB where annual ET per district ranged between 681Â mm to 772Â mm. Annual ET by crop type over the Maricopa Stanfield irrigation district ranged from a low of 384Â mm for durum wheat to a high of 990Â mm for alfalfa fields. A rainfall analysis over the five districts suggested that, on average, 69% of the annual ET was met by irrigation. Although the enhanced cloud-masking capability of Landsat 8 based on the cirrus band and utilization of the Fmask algorithm improved the removal of contaminated pixels, the ability to reliably estimate ET over clouded areas remains an important challenge. Overall, the performance of Landsat 8 based ET compared to available EC datasets and water balance estimates for a complex basin such as the CRB demonstrates the potential of using Landsat 8 for annual water use estimation at a national scale. Future efforts will focus on (a) use of consistent methodology across years, (b) integration of multiple sensors to maximize images used, and (c) employing cloud-computing platforms for large scale processing capabilities. Â© 2016</t>
  </si>
  <si>
    <t>Evapotranspiration (ET) mapping at the Landsat spatial resolution (100Â m) is essential to fully understand water use and water availability at the field scale. Water use estimates in the Colorado River Basin (CRB), which has diverse ecosystems and complex hydro-climatic regions, will be helpful to water planners and managers. Availability of Landsat 8 images, starting in 2013, provides the opportunity to map ET in the CRB to assess spatial distribution and patterns of water use. The Operational Simplified Surface Energy Balance (SSEBop) model was used with 528 Landsat 8 images to create seamless monthly and annual ET estimates at the inherent 100Â m thermal band resolution. Annual ET values were summarized by land use/land cover classes. Croplands were the largest consumer of â_x0080__x009c_blueâ_x0080__x009d_ water while shrublands consumed the most â_x0080__x009c_greenâ_x0080__x009d_ water. Validation using eddy covariance (EC) flux towers and water balance approaches showed good accuracy levels with R2 ranging from 0.74 to 0.95 and the Nashâ_x0080__x0093_Sutcliffe model efficiency coefficient ranging from 0.66 to 0.91. The root mean square error (and percent bias) ranged from 0.48Â mm (13%) to 0.60Â mm (22%) for daily (days of satellite overpass) ET and from 7.75Â mm (2%) to 13.04Â mm (35%) for monthly ET. The spatial and temporal distribution of ET indicates the utility of Landsat 8 for providing important information about ET dynamics across the landscape. Annual crop water use was estimated for five selected irrigation districts in the Lower CRB where annual ET per district ranged between 681Â mm to 772Â mm. Annual ET by crop type over the Maricopa Stanfield irrigation district ranged from a low of 384Â mm for durum wheat to a high of 990Â mm for alfalfa fields. A rainfall analysis over the five districts suggested that, on average, 69% of the annual ET was met by irrigation. Although the enhanced cloud-masking capability of Landsat 8 based on the cirrus band and utilization of the Fmask algorithm improved the removal of contaminated pixels, the ability to reliably estimate ET over clouded areas remains an important challenge. Overall, the performance of Landsat 8 based ET compared to available EC datasets and water balance estimates for a complex basin such as the CRB demonstrates the potential of using Landsat 8 for annual water use estimation at a national scale. Future efforts will focus on (a) use of consistent methodology across years, (b) integration of multiple sensors to maximize images used, and (c) employing cloud-computing platforms for large scale processing capabilities. Â© 2017</t>
  </si>
  <si>
    <t>Kendall Grassland</t>
  </si>
  <si>
    <t>Kendall grassland</t>
  </si>
  <si>
    <t>Evapotranspiration (ET) mapping at the Landsat spatial resolution (100Â m) is essential to fully understand water use and water availability at the field scale. Water use estimates in the Colorado River Basin (CRB), which has diverse ecosystems and complex hydro-climatic regions, will be helpful to water planners and managers. Availability of Landsat 8 images, starting in 2013, provides the opportunity to map ET in the CRB to assess spatial distribution and patterns of water use. The Operational Simplified Surface Energy Balance (SSEBop) model was used with 528 Landsat 8 images to create seamless monthly and annual ET estimates at the inherent 100Â m thermal band resolution. Annual ET values were summarized by land use/land cover classes. Croplands were the largest consumer of â_x0080__x009c_blueâ_x0080__x009d_ water while shrublands consumed the most â_x0080__x009c_greenâ_x0080__x009d_ water. Validation using eddy covariance (EC) flux towers and water balance approaches showed good accuracy levels with R2 ranging from 0.74 to 0.95 and the Nashâ_x0080__x0093_Sutcliffe model efficiency coefficient ranging from 0.66 to 0.91. The root mean square error (and percent bias) ranged from 0.48Â mm (13%) to 0.60Â mm (22%) for daily (days of satellite overpass) ET and from 7.75Â mm (2%) to 13.04Â mm (35%) for monthly ET. The spatial and temporal distribution of ET indicates the utility of Landsat 8 for providing important information about ET dynamics across the landscape. Annual crop water use was estimated for five selected irrigation districts in the Lower CRB where annual ET per district ranged between 681Â mm to 772Â mm. Annual ET by crop type over the Maricopa Stanfield irrigation district ranged from a low of 384Â mm for durum wheat to a high of 990Â mm for alfalfa fields. A rainfall analysis over the five districts suggested that, on average, 69% of the annual ET was met by irrigation. Although the enhanced cloud-masking capability of Landsat 8 based on the cirrus band and utilization of the Fmask algorithm improved the removal of contaminated pixels, the ability to reliably estimate ET over clouded areas remains an important challenge. Overall, the performance of Landsat 8 based ET compared to available EC datasets and water balance estimates for a complex basin such as the CRB demonstrates the potential of using Landsat 8 for annual water use estimation at a national scale. Future efforts will focus on (a) use of consistent methodology across years, (b) integration of multiple sensors to maximize images used, and (c) employing cloud-computing platforms for large scale processing capabilities. Â© 2018</t>
  </si>
  <si>
    <t>KLDAS integrates a physically based land process model with satellite remote sensing and ground-based observation data</t>
  </si>
  <si>
    <t>A three-source satellite algorithm for retrieving all-sky evapotranspiration rate using combined optical and microwave vegetation index at twenty AsiaFlux sites</t>
  </si>
  <si>
    <t>Wang, Y., Li, R., Min, Q., Fu, Y., Wang, Y., Zhong, L., Fu, Y.</t>
  </si>
  <si>
    <t>Evapotranspiration (ET) composed of transpiration from vegetation (ETveg) and evaporation from soil (ETsoil) and interception water (ETint) is a crucial process for driving global water and energy cycle. In this study, a three-source satellite ET algorithm is developed for estimating instantaneous ET rate (ETcal) under clear and non-rainy cloudy sky conditions and is validated at 20 AsiaFlux sites of multiple vegetation types (evergreen and deciduous forests, croplands and grasslands) in East Asia. The ET algorithm is completely independent from ground-based measurements and thus has the potential to be used on regional scale. All-sky surface net radiation flux is derived from satellite products. Satellite optical Normalized Difference Vegetation Index (NDVI) is used to partition the surface available energy into vegetated area and bare soil area. Satellite microwave Emissivity Difference Vegetation Index (EDVI), an indicator of vegetation water content, is utilized to estimate canopy resistance and transpiration from vegetation. Evaporation components from canopy interception water and soil surface are estimated based on Priestley-Taylor method. The estimated evaporation fraction (EF) for all sites can produce a small absolute bias of less than 0.03 (or 8.1%) with a good determination coefficient (R2) larger than 0.42 when validated against the corrected in-situ measured EF on instantaneous and long-term mean scales. Instantaneous ETcal under all sky conditions are found to have a R2 of 0.61, a bias of 16.5 Wm-2 (13.7%) and a root mean square error (RMSE) of 63.6 Wm-2 (52.5%) over all sites, respectively. The performances of this algorithm are better achieved on 16-day (R2 = 0.66, RMSE = 44.1 Wm-2) and monthly (R2 = 0.70, RMSE = 39.1 Wm-2) scales. More importantly, EDVI-based ET method is able to produce ETcal with stable and good accuracy from clear sky to overcast sky (bias &amp;lt; 22 Wm-2 or 18%, RMSE &amp;lt; 77 Wm-2 or 59%). The daily ET and its components (ETveg, ETsoil and ETint) derived from our algorithm are further compared with those from Global Land Evaporation Amsterdam Model (GLEAM) ET products. EDVI-based ET (EDVI-ET) generally shows equal performances with GLEAM-ET when using in-situ ET as reference. EDVI-ETveg shows a fairly good correlation (R2 = 0.21) and an underestimation of -0.32 mm/day compared with GLEAM-ETveg. EDVI-ETint shows a significant correlation (R2 = 0.30) with GLEAM-ETveg after excluding three outlier tropical forest sites. Meanwhile, EDVI-ETsoil shows a fairly good positive correlation (R2 = 0.15) and an overestimation of 0.23 mm/day compared with GLEAM-ETsoil. The results indicate that our method has great potential for regional ET estimation under various cloud conditions when combined with satellite optical and microwave remote sensing. Â© 2019 Elsevier Inc.</t>
  </si>
  <si>
    <t>10.1016/j.rse.2019.111463</t>
  </si>
  <si>
    <t>CLM</t>
  </si>
  <si>
    <t>Chi-Lan Mountain</t>
  </si>
  <si>
    <t>TW</t>
  </si>
  <si>
    <t>EDVI</t>
  </si>
  <si>
    <t>EDVI-ET</t>
  </si>
  <si>
    <t>SKR</t>
  </si>
  <si>
    <t>Sakaerat</t>
  </si>
  <si>
    <t>TH</t>
  </si>
  <si>
    <t>FHK</t>
  </si>
  <si>
    <t>Fuji Hokuroku</t>
  </si>
  <si>
    <t>GCK</t>
  </si>
  <si>
    <t xml:space="preserve">Gwangreung </t>
  </si>
  <si>
    <t>Moshiri Birch Forest Site</t>
  </si>
  <si>
    <t>MKL</t>
  </si>
  <si>
    <t>Mae Klong</t>
  </si>
  <si>
    <t>SMF</t>
  </si>
  <si>
    <t>Seto Mixed Forest Site</t>
  </si>
  <si>
    <t>GDK</t>
  </si>
  <si>
    <t>SMK</t>
  </si>
  <si>
    <t>Seolmacheon</t>
  </si>
  <si>
    <t>MMF</t>
  </si>
  <si>
    <t>Moshiri Mixed Forest</t>
  </si>
  <si>
    <t>IRI</t>
  </si>
  <si>
    <t xml:space="preserve">IRRI </t>
  </si>
  <si>
    <t>PHIL</t>
  </si>
  <si>
    <t>CN, KR, JP, TH, MN</t>
  </si>
  <si>
    <t>YCS</t>
  </si>
  <si>
    <t xml:space="preserve">Yuchen </t>
  </si>
  <si>
    <t>HBG</t>
  </si>
  <si>
    <t>Haibei Potentilla fruticisa</t>
  </si>
  <si>
    <t>exclude because no mean value available to calculate PBIAS/rel error</t>
  </si>
  <si>
    <t>Evaluations of MODIS and microwave based satellite evapotranspiration products under varied cloud conditions over East Asia forests</t>
  </si>
  <si>
    <t>Wang, Y., Li, R., Hu, J., Wang, X., Kabeja, C., Min, Q., Wang, Y.</t>
  </si>
  <si>
    <t>Satellite remote sensing is an important tool to retrieve terrestrial evapotranspiration (ET). Widely-used MOD16 ET product (MOD-ET) is a representative of Penman-Monteith method coupled with MODerate Resolution Imaging Spectroradiometer (MODIS) optic observations. Although MOD-ET has been extensively evaluated over the world, its accuracy under various cloud conditions remains unevaluated. Combining MODIS-observed cloud cover (Frc) and in-situ measurements at sixteen forests sites in East Asia, we evaluated 8-day MOD-ET and its primary MODIS inputs (i.e. LAI, FPAR and albedo) from clear to cloudy sky. A new satellite microwave ET method based on microwave Emissivity Difference Vegetation Index (EDVI-ET) was also compared with MOD-ET. Results showed that the accuracy of MOD-ET was highly variable under the changing Frc over the forests. The largest bias (&gt;30%) in MOD-ET was found under Frc &lt; 10%, while slight increase of Frc (10%â_x0080__x0093_30%) reduced the bias (10%â_x0080__x0093_20%). Further increase of Frc (&gt;30%) deteriorated the bias in MOD-ET (20%â_x0080__x0093_30%). In contrast, EDVI-ET performed stably with lower bias (&lt;13%) under similar sky conditions. A higher Taylor score (0.84) for EDVI-ET was found under Frc of 4% than MOD-ET (0.66), while two ET had close scores (&gt;0.81) under other sky conditions. Further investigation found that MOD-ET over four tropical coastal forests contributed most to the bias, especially under least cloudy sky. A case study at a tropical forest showed that MODIS LAI/FPAR and surface albedo products were overestimated, which could directly cause the overestimation of canopy-scale conductance and the underestimation of net solar radiation in MOD-ET method, respectively. Analysis showed that the bias in MOD-ET was significantly related to the bias in MODIS LAI under various Frc, but it was weakly related to that in MODIS albedo, suggesting that LAI-based conductance might dominate the overestimation of MOD-ET. During a consecutive cloud cover period when fewer reliable MODIS pixels are available, slight increase of clouds partly reduced MODIS-observed signals of LAI/FPAR and increased those of albedo over the tropical forest, resulting in the lower bias in MOD-ET. More clouds reduced surface MODIS albedo and might increase the uncertainty in all-sky shortwave radiation from reanalysis data, which deteriorated MOD-ET accuracy under overcast sky. Our study highlighted the importance of cloud impacts on the satellite ET estimation. Â© 2021 Elsevier Inc.</t>
  </si>
  <si>
    <t>10.1016/j.rse.2021.112606</t>
  </si>
  <si>
    <t>Daily</t>
  </si>
  <si>
    <t>0.2 x 0.1 degree</t>
  </si>
  <si>
    <t>CN, KR, JP, MN, TH</t>
  </si>
  <si>
    <t>MODIS16</t>
  </si>
  <si>
    <t>MODIS16, EDVI-ET</t>
  </si>
  <si>
    <t>Cf</t>
  </si>
  <si>
    <t>Modeling urban evapotranspiration using remote sensing, flux footprints, and artificial intelligence</t>
  </si>
  <si>
    <t>Vulova, S., Meier, F., Rocha, A.D., Quanz, J., Nouri, H., Kleinschmit, B.</t>
  </si>
  <si>
    <t>As climate change progresses, urban areas are increasingly affected by water scarcity and the urban heat island effect. Evapotranspiration (ET) is a crucial component of urban greening initiatives of cities worldwide aimed at mitigating these issues. However, ET estimation methods in urban areas have so far been limited. An expanding number of flux towers in urban environments provide the opportunity to directly measure ET by the eddy covariance method. In this study, we present a novel approach to model urban ET by combining flux footprint modeling, remote sensing and geographic information system (GIS) data, and deep learning and machine learning techniques. This approach facilitates spatio-temporal extrapolation of ET at a half-hourly resolution; we tested this approach with a two-year dataset from two flux towers in Berlin, Germany. The benefit of integrating remote sensing and GIS data into models was investigated by testing four predictor scenarios. Two algorithms (1D convolutional neural networks (CNNs) and random forest (RF)) were compared. The best-performing models were then used to model ET values for the year 2019. The inclusion of GIS data extracted using flux footprints enhanced the predictive accuracy of models, particularly when meteorological data was more limited. The best-performing scenario (meteorological and GIS data) showed an RMSE of 0.0239 mm/h and R2 of 0.840 with RF and an RMSE of 0.0250 mm/h and a R2 of 0.824 with 1D CNN for the more vegetated site. The 2019 ET sum was substantially higher at the site surrounded by more urban greenery (366 mm) than at the inner-city site (223 mm), demonstrating the substantial influence of vegetation on the urban water cycle. The proposed method is highly promising for modeling ET in a heterogeneous urban environment and can support climate change mitigation initiatives of urban areas worldwide. Â© 2021 The Authors</t>
  </si>
  <si>
    <t>Science of the Total Environment</t>
  </si>
  <si>
    <t>10.1016/j.scitotenv.2021.147293</t>
  </si>
  <si>
    <t>training in 2018/2020 and testing in 2019 and vice versa</t>
  </si>
  <si>
    <t>ROTH</t>
  </si>
  <si>
    <t>Rothenburgstraße</t>
  </si>
  <si>
    <t>1*1</t>
  </si>
  <si>
    <t>CNN</t>
  </si>
  <si>
    <t>ourly meteorological data were acquired from the German Meteo_x0002_rological Service (DWD)</t>
  </si>
  <si>
    <t>Harmonized Landsat and Sentinel-2 (HLS) surface reflectance product</t>
  </si>
  <si>
    <t>CNNs, RF</t>
  </si>
  <si>
    <t>RF</t>
  </si>
  <si>
    <t>TUCC</t>
  </si>
  <si>
    <t>TUB Campus Charlottenburg</t>
  </si>
  <si>
    <t>CN, KR, MN, JP</t>
  </si>
  <si>
    <t>Surface energy balance and actual evapotranspiration of the transboundary Indus Basin estimated from satellite measurements and the ETLook model</t>
  </si>
  <si>
    <t>Bastiaanssen, W.G.M., Cheema, M.J.M., Immerzeel, W.W., Miltenburg, I.J., Pelgrum, H.</t>
  </si>
  <si>
    <t>The surface energy fluxes and related evapotranspiration processes across the Indus Basin were estimated for the hydrological year 2007 using satellite measurements. The new ETLook remote sensing model (version 1) infers information on actual Evaporation (E) and actual Transpiration (T) from combined optical and passive microwave sensors, which can observe the land-surface even under persistent overcast conditions. A two-layer Penman-Monteith equation was applied for quantifying soil and canopy evaporation. The novelty of the paper is the computation of E and T across a vast area (116.2 million ha) by using public domain microwave data that can be applied under all weather conditions, and for which no advanced input data are required. The average net radiation for the basin was estimated as being 112 Wm-2. The basin average sensible, latent and soil heat fluxes were estimated to be 80, 32, and 0 Wm-2, respectively. The average evapotranspiration (ET) and evaporative fraction were 1.2 mm d-1 and 0.28, respectively. The basin wide ET was 496 16.8 km3 yr-1. Monte Carlo analysis have indicated 3.4% error at 95% confidence interval for a dominant land use class. Results compared well with previously conducted soil moisture, lysimeter and Bowen ratio measurements at field scale (R2 = 0.70; RMSE = 0.45 mm d-1; RE = -11.5% for annual ET). ET results were also compared against earlier remote sensing and modeling studies for various regions and provinces in Pakistan (R 2 = 0.76; RMSE = 0.29 mmd-1; RE = 6.5% for annual ET). The water balance for all irrigated areas together as one total system in Pakistan and India (26.02 million ha) show a total ET value that is congruent with the ET value from the ETLook surface energy balance computations. An unpublished validation of the same ETLook model for 23 jurisdictional areas covering the entire Australian continent showed satisfactory results given the quality of the watershed data and the diverging physiographic and climatic conditions (R 2 = 0.70; RMSE = 0.31 mmd-1; RE = -2.8% for annual ET). Eight day values of latent heat fluxes in Heibei (China) showed a good resemblance (R2 = 0.92; RMSE = 0.04 mm d-1; RE = 9.5% for annual ET). It is concluded that ETLook is a novel model that can be operationalized furtherespecially after improving the preprocessing of spaceborne soil moisture data. This preprocessing includes (1) downscaling of topsoil moisture from 25 to 1 km pixels, and (2) translation of topsoil moisture into subsoil moisture values. Â© 2012. American Geophysical Union. All Rights Reserved.</t>
  </si>
  <si>
    <t>10.1029/2011WR010482</t>
  </si>
  <si>
    <t>Heibei, Qinghai, China</t>
  </si>
  <si>
    <t>Dw</t>
  </si>
  <si>
    <t>ETLook v1.0</t>
  </si>
  <si>
    <t>A modified surface energy balance algorithm for land (M-SEBAL) based on a trapezoidal framework</t>
  </si>
  <si>
    <t>Long, D., Singh, V.P.</t>
  </si>
  <si>
    <t>The surface energy balance algorithm for land (SEBAL) has been designed and widely used (and misused) worldwide to estimate evapotranspiration across varying spatial and temporal scales using satellite remote sensing over the past 15 yr. It is, however, beset by visual identification of a hot and cold pixel to determine the temperature difference (dT) between the surface and the lower atmosphere, which is assumed to be linearly correlated with surface radiative temperature (T rad) throughout a scene. To reduce ambiguity in flux estimation by SEBAL due to the subjectivity in extreme pixel selection, this study first demonstrates that SEBAL is of a rectangular framework of the contextual relationship between vegetation fraction (f c) and T rad, which can distort the spatial distribution of heat flux retrievals to varying degrees. End members of SEBAL were replaced by a trapezoidal framework of the f c-T rad space in the modified surface energy balance algorithm for land (M-SEBAL). The warm edge of the trapezoidal framework is determined by analytically deriving temperatures of the bare surface with the largest water stress and the fully vegetated surface with the largest water stress implicit in both energy balance and radiation budget equations. Areally averaged air temperature (T a) across a study site is taken to be the cold edge of the trapezoidal framework. Coefficients of the linear relationship between dT and T rad can vary with f c but are assumed essentially invariant for the same f c or within the same f c class in M-SEBAL. SEBAL and M-SEBAL are applied to the soil moisture-atmosphere coupling experiment (SMACEX) site in central Iowa, U.S. Results show that M-SEBAL is capable of reproducing latent heat flux in terms of an overall root-mean-square difference of 41.1 W m -2 and mean absolute percentage difference of 8.9% with reference to eddy covariance tower-based measurements for three landsat thematic mapper/enhanced thematic mapper plus imagery acquisition dates in 2002. The retrieval accuracy of SEBAL is generally lower than M-SEBAL, depending largely on the selected extremes. Spatial distributions of heat flux retrievals from SEBAL are distorted to a certain degree due to its intrinsic rectangular framework. Copyright 2012 by the American Geophysical Union.</t>
  </si>
  <si>
    <t>Meteorologische Zeitschrift</t>
  </si>
  <si>
    <t>10.1029/2011WR010607</t>
  </si>
  <si>
    <t>2002-166</t>
  </si>
  <si>
    <t>2002-189</t>
  </si>
  <si>
    <t>SMACEX campaign</t>
  </si>
  <si>
    <t>Corn and soybean</t>
  </si>
  <si>
    <t>A</t>
  </si>
  <si>
    <t>M-SEBAL</t>
  </si>
  <si>
    <t>EC towers or weather stations</t>
  </si>
  <si>
    <t>SMACEX</t>
  </si>
  <si>
    <t>Landsat TM/ETMþ</t>
  </si>
  <si>
    <t>2002-174</t>
  </si>
  <si>
    <t>2002-182</t>
  </si>
  <si>
    <t>ECOSTRESS: NASA's Next Generation Mission to Measure Evapotranspiration From the International Space Station</t>
  </si>
  <si>
    <t>Fisher, J.B., Lee, B., Purdy, A.J., Halverson, G.H., Dohlen, M.B., Cawse-Nicholson, K., Wang, A., Anderson, R.G., Aragon, B., Arain, M.A., Baldocchi, D.D., Baker, J.M., Barral, H., Bernacchi, C.J., Bernhofer, C., Biraud, S.C., Bohrer, G., Brunsell, N., Cappelaere, B., Castro-Contreras, S., Chun, J., Conrad, B.J., Cremonese, E., Demarty, J., Desai, A.R., De Ligne, A., FoltÃ½novÃ¡, L., Goulden, M.L., Griffis, T.J., GrÃ¼nwald, T., Johnson, M.S., Kang, M., Kelbe, D., Kowalska, N., Lim, J.-H., MaÃ¯nassara, I., McCabe, M.F., Missik, J.E.C., Mohanty, B.P., Moore, C.E., Morillas, L., Morrison, R., Munger, J.W., Posse, G., Richardson, A.D., Russell, E.S., Ryu, Y., Sanchez-Azofeifa, A., Schmidt, M., Schwartz, E., Sharp, I., Å igut, L., Tang, Y., Hulley, G., Anderson, M., Hain, C., French, A., Wood, E., Hook, S.</t>
  </si>
  <si>
    <t>The ECOsystem Spaceborne Thermal Radiometer Experiment on Space Station (ECOSTRESS) was launched to the International Space Station on 29 June 2018 by the National Aeronautics and Space Administration (NASA). The primary science focus of ECOSTRESS is centered on evapotranspiration (ET), which is produced as Level-3 (L3) latent heat flux (LE) data products. These data are generated from the Level-2 land surface temperature and emissivity product (L2_LSTE), in conjunction with ancillary surface and atmospheric data. Here, we provide the first validation (Stage 1, preliminary) of the global ECOSTRESS clear-sky ET product (L3_ET_PT-JPL, Version 6.0) against LE measurements at 82 eddy covariance sites around the world. Overall, the ECOSTRESS ET product performs well against the site measurements (clear-sky instantaneous/time of overpass: r2Â =Â 0.88; overall biasÂ =Â 8%; normalized root-mean-square error, RMSEÂ =Â 6%). ET uncertainty was generally consistent across climate zones, biome types, and times of day (ECOSTRESS samples the diurnal cycle), though temperate sites are overrepresented. The 70-m-high spatial resolution of ECOSTRESS improved correlations by 85%, and RMSE by 62%, relative to 1-km pixels. This paper serves as a reference for the ECOSTRESS L3 ET accuracy and Stage 1 validation status for subsequent science that follows using these data. Â© 2020. The Authors.</t>
  </si>
  <si>
    <t>10.1029/2019WR026058</t>
  </si>
  <si>
    <t>350x350</t>
  </si>
  <si>
    <t>2018-182</t>
  </si>
  <si>
    <t>2019-212</t>
  </si>
  <si>
    <t>Global</t>
  </si>
  <si>
    <t>US, GB, AR, AU, BE, BR, CA, CR, CZ, DE, IT, IL, KE, KR, NE, NZ, SA</t>
  </si>
  <si>
    <t>ECOSTRESS ET_PT-JPL</t>
  </si>
  <si>
    <t>EC station</t>
  </si>
  <si>
    <t>ECOSTRESS</t>
  </si>
  <si>
    <t>are remote sensing evapotranspiration models reliable across south american ecoregions?</t>
  </si>
  <si>
    <t>Melo, D.C.D., Anache, J.A.A., Borges, V.P., Miralles, D.G., Martens, B., Fisher, J.B., Nóbrega, R.L.B., Moreno, A., Cabral, O.M.R., Rodrigues, T.R. and Bezerra, B.</t>
  </si>
  <si>
    <t>Many remote sensing-based evapotranspiration (RSBET) algorithms have been proposed in the past decades and evaluated using flux tower data, mainly over North America and Europe. Model evaluation across South America has been done locally or using only a single algorithm at a time. Here, we provide the first evaluation of multiple RSBET models, at a daily scale, across a wide variety of biomes, climate zones, and land uses in South America. We used meteorological data from 25 flux towers to force four RSBET models: PriestleyÃ¢â‚¬â€œTaylor Jet Propulsion Laboratory (PT-JPL), Global Land Evaporation Amsterdam Model (GLEAM), PenmanÃ¢â‚¬â€œMonteith Mu model (PM-MOD), and PenmanÃ¢â‚¬â€œMonteith Nagler model (PM-VI). (Formula presented.) was predicted satisfactorily by all four models, with correlations consistently higher ((Formula presented.)) for GLEAM and PT-JPL, and PM-MOD and PM-VI presenting overall better responses in terms of percent bias ((Formula presented.) %). As for PM-VI, this outcome is expected, given that the model requires calibration with local data. Model skill seems to be unrelated to land-use but instead presented some dependency on biome and climate, with the models producing the best results for wet to moderately wet environments. Our findings show the suitability of individual models for a number of combinations of land cover types, biomes, and climates. At the same time, no model outperformed the others for all conditions, which emphasizes the need for adapting individual algorithms to take into account intrinsic characteristics of climates and ecosystems in South America. Ã‚Â© 2021. American Geophysical Union. All Rights Reserved.</t>
  </si>
  <si>
    <t>10.1029/2020wr028752</t>
  </si>
  <si>
    <t>CAX</t>
  </si>
  <si>
    <t>BR, CL, AR</t>
  </si>
  <si>
    <t>GLEAM, PT-JPL, MODIS, PM-VI</t>
  </si>
  <si>
    <t>K34</t>
  </si>
  <si>
    <t>K67</t>
  </si>
  <si>
    <t>K77</t>
  </si>
  <si>
    <t>2000-150</t>
  </si>
  <si>
    <t>K83</t>
  </si>
  <si>
    <t>ESEC</t>
  </si>
  <si>
    <t>BS</t>
  </si>
  <si>
    <t>2015-150</t>
  </si>
  <si>
    <t>2016-150</t>
  </si>
  <si>
    <t>CST</t>
  </si>
  <si>
    <t>SJO</t>
  </si>
  <si>
    <t>CAA</t>
  </si>
  <si>
    <t>2003-200</t>
  </si>
  <si>
    <t>BAN</t>
  </si>
  <si>
    <t>RJA</t>
  </si>
  <si>
    <t>2000-050</t>
  </si>
  <si>
    <t>2002-050</t>
  </si>
  <si>
    <t>FNS</t>
  </si>
  <si>
    <t>SIN</t>
  </si>
  <si>
    <t>2012-030</t>
  </si>
  <si>
    <t>FM</t>
  </si>
  <si>
    <t>2017-150</t>
  </si>
  <si>
    <t>NPW</t>
  </si>
  <si>
    <t>EUC</t>
  </si>
  <si>
    <t>2009-100</t>
  </si>
  <si>
    <t>2012-150</t>
  </si>
  <si>
    <t>PDG</t>
  </si>
  <si>
    <t>2005-050</t>
  </si>
  <si>
    <t>2007-150</t>
  </si>
  <si>
    <t>USR</t>
  </si>
  <si>
    <t>2011-30</t>
  </si>
  <si>
    <t>SLU</t>
  </si>
  <si>
    <t>2019-001</t>
  </si>
  <si>
    <t>GRO</t>
  </si>
  <si>
    <t>2015-030</t>
  </si>
  <si>
    <t>MCR</t>
  </si>
  <si>
    <t>2013-030</t>
  </si>
  <si>
    <t>BAL</t>
  </si>
  <si>
    <t>2013-150</t>
  </si>
  <si>
    <t>2019-100</t>
  </si>
  <si>
    <t>SDF</t>
  </si>
  <si>
    <t>2018-100</t>
  </si>
  <si>
    <t>TF1</t>
  </si>
  <si>
    <t>2018-50</t>
  </si>
  <si>
    <t>TF2</t>
  </si>
  <si>
    <t>PM-MOD</t>
  </si>
  <si>
    <t>PM-VI</t>
  </si>
  <si>
    <t>A simple Landsatâ_x0080__x0093_MODIS fusion approach for monitoring seasonal evapotranspiration at 30 m spatial resolution</t>
  </si>
  <si>
    <t>Bhattarai, N., Quackenbush, L.J., Dougherty, M., Marzen, L.J.</t>
  </si>
  <si>
    <t>Persistent cloud-cover in the humid southeastern US and the low temporal resolution of Landsat sensors limit the derivation of seasonal evapotranspiration (ET) maps at moderate spatial resolution. This article introduces a Landsat Moderate Resolution Imaging Spectroradiometer (Landsatâ_x0080__x0093_MODIS) ET fusion model that uses simple linear regression to integrate Landsat-derived reference ET fraction (ETrF) from mapping ET at high resolution with internalized calibration (METRIC) model and the vegetation temperature condition index (VTCI) derived from MODIS images. For a study site in Florida, model-estimated ET and ET estimated using energy budget eddy covariance at a US Geological Survey (USGS) station in Ferris Farm, Florida, were found to be in a good agreement with a root mean squared error of 0.44Â mmÂ dayâ_x0080__x0093_ 1, coefficient of determination (R2) of 0.80, Nashâ_x0080__x0093_Sutcliffe efficiency of 0.79 for daily ET (ETd), and 2% relative error for cumulative seasonal ET during the growing season of 2001. At another study site in Alabama, the model underestimated 2008 annual water balance ET for the Fish River Watershed by 39Â mm or 4%. Comparisons of model-estimated ET with that obtained using a non-fusion Landsat-only approach at both sites indicated that the fusion of Landsat and MODIS ET values reduces potential errors in ET estimation that would otherwise arise due to insufficient availability of cloud-free Landsat images for METRIC processing. Validation results and application of the model in deriving seasonal/annual ET for different land-cover classes in the Fish River Watershed suggested that the fusion model has the potential to be used in continuously monitoring ET for field- to watershed-level agricultural and hydrological applications in the southeastern US. Â© 2014 Taylor &amp; Francis.</t>
  </si>
  <si>
    <t>10.1080/01431161.2014.990645</t>
  </si>
  <si>
    <t>season</t>
  </si>
  <si>
    <t>2001-091</t>
  </si>
  <si>
    <t>2001-220</t>
  </si>
  <si>
    <t>Unknown</t>
  </si>
  <si>
    <t>Ef</t>
  </si>
  <si>
    <t>METRIC, Non-fusion Landsat-only</t>
  </si>
  <si>
    <t>weather station</t>
  </si>
  <si>
    <t>NLCD</t>
  </si>
  <si>
    <t>METRIC, Fusion model</t>
  </si>
  <si>
    <t>Landsat, MODIS</t>
  </si>
  <si>
    <t>Evaluation of remotely sensed actual evapotranspiration products from COMS and MODIS at two different flux tower sites in Korea</t>
  </si>
  <si>
    <t>Baik, J., Choi, M.</t>
  </si>
  <si>
    <t>Estimating the evapotranspiration (ET) is a requirement for water resource management and agricultural productions to understand the interaction between the land surface and the atmosphere. Most remote-sensing-based ET is estimated from polar orbiting satellites having low frequencies of observation. However, observing the continuous spatio-temporal variation of ET from a geostationary satellite to determine water management USge is essential. In this study, we utilized the revised remote-sensing-based Penmanâ_x0080__x0093_Monteith (revised RS-PM) model to estimate ET in three different timescales (instantaneous, daily, and monthly). The data from a polar orbiting satellite, the Moderate Resolution Imaging Spectroradiometer (MODIS), and a geostationary satellite, the Communication, Ocean, and Meteorological Satellite (COMS), were collected from April to December 2011 to force the revised RS-PM model. The estimated ET from COMS and MODIS was compared with measured ET obtained from two different flux tower sites having different land surface characteristics in Korea, i.e. Sulma (SMC) with mixed forest and Cheongmi (CFC) with rice paddy as dominant vegetation. Compared with flux tower measurements, the estimated ET on instantaneous and daily timescales from both satellites was highly overestimated at SMC when compared with the flux tower ET (Bias of 41.19â_x0080__x0093_145.10Â WÂ mâ_x0088__x0092_2 and RMSE of 69.61â_x0080__x0093_188.78Â WÂ mâ_x0088__x0092_2), while estimated ET results were slightly better at the CFC site (Bias of â_x0080__x0093_27.28â_x0080__x0093_13.24Â WÂ mâ_x0088__x0092_2 and RMSE of 45.19â_x0080__x0093_71.82Â WÂ mâ_x0088__x0092_2, respectively). These errors in results were primarily caused due to the overestimated leaf area index that was obtained from satellite products. Nevertheless, the satellite-based ET indicated reasonable agreement with flux tower ET. Monthly average ET from both satellites showed nearly similar patterns during the entire study periods, except for the summer season. The difference between COMS and MODIS estimations during the summer season was mainly propagated due to the difference in the number of acquired satellite images. This study showed that the higher frequency of COMS than MODIS observations makes it more ideal to continuously monitor ET as a geostationary satellite with high spatio-temporal coverage of a geostationary satellite. Â© 2014 Taylor &amp; Francis.</t>
  </si>
  <si>
    <t>10.1080/01431161.2014.998349</t>
  </si>
  <si>
    <t>2011-091</t>
  </si>
  <si>
    <t>Cheongmi (CFC)</t>
  </si>
  <si>
    <t>Revised RS-PM</t>
  </si>
  <si>
    <t>AWS</t>
  </si>
  <si>
    <t>COMS</t>
  </si>
  <si>
    <t>rice</t>
  </si>
  <si>
    <t xml:space="preserve">Dw </t>
  </si>
  <si>
    <t>Sulma (SMC)</t>
  </si>
  <si>
    <t>Integrating two layers of soil moisture parameters into the MOD16 algorithm to improve evapotranspiration estimations</t>
  </si>
  <si>
    <t>Di, S.-C., Li, Z.-L., Tang, R., Wu, H., Tang, B.-H., Lu, J.</t>
  </si>
  <si>
    <t>To integrate soil moisture into the algorithm of the Moderate Resolution Imaging Spectroradiometer (MODIS) global evapotranspiration (ET) project (MOD16), two improvements were implemented: two layers of relative soil moisture parameters were combined with a surface resistance model; and the complementary relationship was replaced with the Penman-Monteith (P-M) method to estimate the dry soil surface evaporation. In the vegetation surface resistance model, a multiplier Rsm1 was added, and the influence of the relative soil moisture in the root zone was accounted for. In the soil surface resistance model, an empirical exponential relationship was used. To calculate the relative soil moisture parameters, soil hydraulic parameters, such as field capacity (Fc), wilting point (Wp), and saturation point (Sp), were estimated according to the soil texture information; these parameters were used as critical values to estimate the relative soil moisture. Both the MOD16 method and improved method were validated using ET flux data collected at nine flux-tower sites in the US from 2000 to 2009. The mean absolute BIAS and the root mean square error (RMSE) decreased from 0.36 to 0.30Â mmÂ dayâ_x0080__x0093_1 and from 1.14 to 0.97Â mm dayâ_x0080__x0093_1, respectively, after integrating the soil moisture parameters. Meanwhile, the mean correlation coefficient (R) for the nine sites increased from 0.54 to 0.70. Therefore, the improved method performed better than the MOD16 method. Furthermore, the uncertainties associated with the MODIS leaf area index (LAI) products, flux-tower measurements, soil texture, soil moisture, and model parameters were analysed. The outlook for future modifications was also discussed. Â© 2015 Taylor &amp; Francis.</t>
  </si>
  <si>
    <t>10.1080/01431161.2015.1040136</t>
  </si>
  <si>
    <t>US-Wkg</t>
  </si>
  <si>
    <t>Ameriflux sites</t>
  </si>
  <si>
    <t>US-ARM</t>
  </si>
  <si>
    <t>US-Aud</t>
  </si>
  <si>
    <t>2004-092</t>
  </si>
  <si>
    <t>US-Bkg</t>
  </si>
  <si>
    <t>2008-304</t>
  </si>
  <si>
    <t>US-Bol</t>
  </si>
  <si>
    <t>Df</t>
  </si>
  <si>
    <t>2002-121</t>
  </si>
  <si>
    <t>US-Goo</t>
  </si>
  <si>
    <t>2009-303</t>
  </si>
  <si>
    <t>US-IB1</t>
  </si>
  <si>
    <t>US-SdH</t>
  </si>
  <si>
    <t>US-Var</t>
  </si>
  <si>
    <t>Cs</t>
  </si>
  <si>
    <t>MOD16 improved</t>
  </si>
  <si>
    <t>Remote sensing-based evapotranspiration algorithm: A case study of all sky conditions on a regional scale</t>
  </si>
  <si>
    <t>Sur, C., Kang, S., Kim, J.-S., Choi, M.</t>
  </si>
  <si>
    <t>Accurate estimation of the land surface evapotranspiration (ET) over a heterogeneous ecosystem is important to understand the interaction between the land surface and the atmosphere with practical applications in integrated water resources management. Although numerous studies have been carried out to develop remote sensing technologies which could achieve more accurate prediction of the regional ET distributions, degrees of uncertainty remain due to the high spatiotemporal variability of the hydrometeorological parameters. A revised remote sensing-based Penman-Monteith algorithm under all sky conditions (Revised RS-PMallsky) is proposed in this study using the MODerate resolution Imaging Spectroradiometer (MODIS) (ETMODIS), and the models capability was assessed over the complex topography of the Korean peninsula. The ground measurements taken at two flux sites with different land cover types in 2012 were employed. The results of ETMODIS represented temporal compatibility yielding biases of-0.18 mm day-1 at Seolmacheon (SMC) site and-0.14 mm day-1 at Cheongmicheon Farmland (CFC) site and root mean square error (RMSE) values of 1.42 mm day-1 at SMC site and 1.26 mm day-1 at CFC site. Overall, ETMODIS was verified to have similar error ranges as those of the previous studies conducted over flat and heterogeneous regions. The results suggest that the revised RS-PM algorithms can be applied on a regional scale with heterogeneous topography over long-term periods if handling of the input data is carefully conducted. Â© 2015 Taylor and Francis.</t>
  </si>
  <si>
    <t>GIScience and Remote Sensing</t>
  </si>
  <si>
    <t>10.1080/15481603.2015.1056288</t>
  </si>
  <si>
    <t>Seolmacheon (SMC)</t>
  </si>
  <si>
    <t>revised RS-PM (Mu et al., 2007)</t>
  </si>
  <si>
    <t>MOD07</t>
  </si>
  <si>
    <t>revised RS-PM (MU et al., 2007)</t>
  </si>
  <si>
    <t>MOD08</t>
  </si>
  <si>
    <t>Cheongmicheon (CFC)</t>
  </si>
  <si>
    <t>Rice paddy</t>
  </si>
  <si>
    <t>MOD09</t>
  </si>
  <si>
    <t>MOD10</t>
  </si>
  <si>
    <t>Multiscale Validation of the 8-day MOD16 Evapotranspiration Product Using Flux Data Collected in China</t>
  </si>
  <si>
    <t>Tang, R., Shao, K., Li, Z.-L., Wu, H., Tang, B.-H., Zhou, G., Zhang, L.</t>
  </si>
  <si>
    <t>Accurate estimates of terrestrial evapotranspiration (ET) are critical and significant to the field for modeling water and energy transfer between the land surface and atmosphere. This paper evaluates the 8-day MOD16 actual ET product using the ground-based eddy covariance (EC) system and large aperture scintillometer (LAS) measurements collected from 2008 to 2011 at seven sites in North and Northwest China. Overall, the 8-day MOD16 ET reproduces the temporal patterns of both the LAS and EC measurements but tends to underestimate and overestimate these measurements at high and low ET levels, respectively. It is also of limited use when surface is irrigated because under such condition significant underestimation is observed. Using the LAS measurements that also include a large source area does not generate a better agreement than using the EC measurements which comprise a small source area. The 8-day MOD16 ET averaged over 3 Ã_x0097_ 3 km2 MODIS pixels agree better with both the EC and LAS measurements than that extracted at the 1 Ã_x0097_ 1 km2 MODIS pixel. For the EC validation, the relative bias and the relative root-mean-square error (RMSE) vary between 5% and -59% and between 35% and 120%, respectively, for the LAS validation, the relative bias and the relative RMSE vary between 6% and -69% and between 55% and 108%, respectively. The agreement between one site and another is not consistent and varies greatly. More validation work is recommended to testing the general applicability of the MOD16 ET product at a large number of sites worldwide. Â© 2008-2012 IEEE.</t>
  </si>
  <si>
    <t>10.1109/JSTARS.2015.2420105</t>
  </si>
  <si>
    <t>2009-091</t>
  </si>
  <si>
    <t>Wheat, maize</t>
  </si>
  <si>
    <t>50x30</t>
  </si>
  <si>
    <t>wheat, maize, cotton</t>
  </si>
  <si>
    <t>1200x800</t>
  </si>
  <si>
    <t>2010-303</t>
  </si>
  <si>
    <t>wheat,maize, vegetable</t>
  </si>
  <si>
    <t>300x200</t>
  </si>
  <si>
    <t>orchard, maize</t>
  </si>
  <si>
    <t>400x250</t>
  </si>
  <si>
    <t>2008-153</t>
  </si>
  <si>
    <t>alphine meadow</t>
  </si>
  <si>
    <t>400x200</t>
  </si>
  <si>
    <t>2011-335</t>
  </si>
  <si>
    <t>Dayekou</t>
  </si>
  <si>
    <t>spruce forest</t>
  </si>
  <si>
    <t>460x450</t>
  </si>
  <si>
    <t>wheat, maize</t>
  </si>
  <si>
    <t>360x360</t>
  </si>
  <si>
    <t>Estimations of regional surface energy fluxes over heterogeneous oasis-desert surfaces in the middle reaches of the heihe river during HiWATER-MUSOEXE</t>
  </si>
  <si>
    <t>Ma, Y., Liu, S., Zhang, F., Zhou, J., Jia, Z., Song, L.</t>
  </si>
  <si>
    <t>The determination of the spatial heterogeneity of the regional evapotranspiration over a complex underlying surface in an oasis-desert region is crucial for water resource management in a river basin and aiding in irrigation decisions. The surface energy balance system (SEBS) model has been widely used to estimate surface energy fluxes. However, the parameterization of surface roughness length for momentum transfer (z0m) and heat transfer (z0h) did not perform well for a complex underlying surface. Moreover, it is difficult to estimate surface soil heat flux, i.e., G0, accurately at the regional scale. In this letter, the parameterization schemes of z0m, z0h, and G0 were optimized. Measurements from 21 sets of eddy covariance systems were used to validate the model performance. The results show that the revised SEBS model root-mean-square errors (RMSEs) of the satellite-based sensible and latent heat fluxes (H and LE) decreased from 97.2 WÂ·m-2 to 56.9 WÂ·m-2 and from 102.9 WÂ·m-2 to 74.8 WÂ·m-2, respectively, at the footprint scale. At the pixel scale, the RMSEs of the revised model estimates of the H and LE were 40.9 WÂ·m-2 and 57.5 WÂ·m-2, respectively. The improved agreements between the estimates and the measurements indicate that the revised SEBS model is appropriate for estimating regional energy fluxes over heterogeneous oasis-desert surfaces. Furthermore, the spatial and temporal patterns of the LE in the middle reaches of the Heihe River were investigated. Â© 2014 IEEE.</t>
  </si>
  <si>
    <t>IEEE Geoscience and Remote Sensing Letters</t>
  </si>
  <si>
    <t>10.1109/LGRS.2014.2356652</t>
  </si>
  <si>
    <t>2012-256</t>
  </si>
  <si>
    <t>HiWATER-MUSOEXE.</t>
  </si>
  <si>
    <t>ASTER</t>
  </si>
  <si>
    <t>Revised SEBS</t>
  </si>
  <si>
    <t>Evapotranspiration estimation using moderate resolution imaging spectroradiometer products through a surface energy balance algorithm for land model in Songnen Plain, China</t>
  </si>
  <si>
    <t>Zeng, L., Song, K., Zhang, B., Li, L., Wang, Z.</t>
  </si>
  <si>
    <t>The Songnen Plain is an important commodity grain product base in China for which a spatiotemporal pattern of actual evapotranspiration (ETa) would provide critical important information to evaluate crop growth status and water use efficiency. ETa over the Songnen Plain in the 2008 growing season (from May to September) was mapped using the moderate resolution imaging spectroradiometer time-series products based on the surface energy balance algorithm for land model and the Penman-Monteith equation. The estimated ET a was validated using eddy covariance surface data. The calculated and observed ETa values were highly consistent with a total difference of 18.26% in the whole growing season. Therefore, the ETa retrieval method based on remote sensing technology could satisfy the requirements for regional ETa estimation over the Songnen Plain. The total ETa over the Songnen Plain in the 2008 growing season ranged from 182.7 to 1002.4 mm, and the average value for the whole study area was 591.1 Â± 122.2 mm (standard deviation). ETa exhibited obvious spatial variation, gradually increasing from low values in the southwest to higher values in the east and northeast. Monthly ETa varied with meteorological conditions, land covers, root-zone soil moisture, and vegetation phenology. Higher monthly ETa values appeared in June, July, and August with a maximum value of 139.5 mm observed in July. The average monthly ETa for water-body, woodland, and wetland was much higher than cropland and grassland during the growing season. Grassland obtained the lowest monthly ETa due to the scarcity of rainfall and lower groundwater level. Â© 2011 Society of Photo-Optical Instrumentation Engineers (SPIE).</t>
  </si>
  <si>
    <t>10.1117/1.3609840</t>
  </si>
  <si>
    <t>2008-128</t>
  </si>
  <si>
    <t>2008-271</t>
  </si>
  <si>
    <t>Songnen Grassland Ecological Experimental Stations</t>
  </si>
  <si>
    <t xml:space="preserve">weather station </t>
  </si>
  <si>
    <t>SEBAL, P-M</t>
  </si>
  <si>
    <t>Evapotranspiration estimation using Landsat-8 data with a two-layer framework</t>
  </si>
  <si>
    <t>Yin, J., Wang, H., Zhan, C., Lu, Y.</t>
  </si>
  <si>
    <t>Evapotranspiration (ET) plays an important role in hydrological cycle by linking land surface and atmosphere through water and energy transfers. Based on the data from the Landsat-8 satellite for typical days with clear sky condition from 2013 to 2016, a two-layer daily ET remote sensing framework was built, which includes four compartments: surface feature parameter estimation, evaporative fraction estimation, daily net radiation estimation, and daily ET extension. Based on the model, evaporation, transpiration, and daily ET in Shahe River Basin were estimated. The estimated daily ET showed a mean absolute percentage error of 8.7% in the plain areas, and 12.1% in the mountainous areas, compared to observations using large aperture scintillometer and eddy covariance system. The method gave higher accuracy than other remote sensing models applied in the same area previously, including the surface energy balance system and the ETWatch. By analyzing the relationship between land use types and surface water/heat fluxes, it was found that the surface energy balance components in the basin have prominent spatialoral features, and the soil component's features are more obvious. It indicated that the proposed two-layer approach is superior to others in terms of simulation accuracy, and applicable to daily scale ET estimations on complex terrains. Â© 2017 Society of Photo-Optical Instrumentation Engineers (SPIE).</t>
  </si>
  <si>
    <t>10.1117/1.JRS.11.016034</t>
  </si>
  <si>
    <t>2013-132</t>
  </si>
  <si>
    <t>2016-253</t>
  </si>
  <si>
    <t>Zhan et al., 2015</t>
  </si>
  <si>
    <t>SEBS-China</t>
  </si>
  <si>
    <t>TDERSS</t>
  </si>
  <si>
    <t>Zhan et al., 2016</t>
  </si>
  <si>
    <t>Orchard and maize</t>
  </si>
  <si>
    <t>meteo station</t>
  </si>
  <si>
    <t>excluding heavy rain contaminated samples</t>
  </si>
  <si>
    <t>average of Xiaotangshan and Miyun</t>
  </si>
  <si>
    <t>Jia et al., 2012</t>
  </si>
  <si>
    <t>Jia et al., 2013</t>
  </si>
  <si>
    <t>Jia et al., 2014</t>
  </si>
  <si>
    <t>Jia et al., 2015</t>
  </si>
  <si>
    <t>Wu et al., 2012</t>
  </si>
  <si>
    <t>MODIS, Landsat</t>
  </si>
  <si>
    <t>A new evapotranspiration model accounting for advection and its validation during SMEX02</t>
  </si>
  <si>
    <t>Yang, Y., Su, H., Zhang, R., Wu, J., Qi, J.</t>
  </si>
  <si>
    <t>Based on the crop water stress index (CWSI) concept, a new model was proposed to account for advection to estimate evapotranspiration. Both local scale evaluation with sites observations and regional scale evaluation with a remote dataset from Landsat 7 ETM+ were carried out to assess the performance of this model. Local scale evaluation indicates that this newly developed model can effectively characterize the daily variations of evapotranspiration and the predicted results show good agreement with the site observations. For all the 6 corn sites, the coefficient of determination (R2) is 0.90 and the root mean square difference (RMSD) is 58.52W/m2. For all the 6 soybean sites, the R2 and RMSD are 0.85 and 49.46W/m2, respectively. Regional scale evaluation shows that the model can capture the spatial variations of evapotranspiration at the Landsat-based scale. Clear spatial patterns were observed at the Landsat-based scale and are closely related to the dominant land covers, corn and soybean. Furthermore, the surface resistance derived from instantaneous CWSI was applied to the Penman-Monteith equation to estimate daily evapotranspiration. Overall, results indicate that this newly developed model is capable of estimating reliable surface heat fluxes using remotely sensed data. Â© 2013 Yongmin Yang et al.</t>
  </si>
  <si>
    <t>Advances in Meteorology</t>
  </si>
  <si>
    <t>10.1155/2013/389568</t>
  </si>
  <si>
    <t>2002-171</t>
  </si>
  <si>
    <t>2002-190</t>
  </si>
  <si>
    <t>WC03</t>
  </si>
  <si>
    <t>Walnut Creek 03</t>
  </si>
  <si>
    <t xml:space="preserve">Walnut Greec catchment </t>
  </si>
  <si>
    <t>soybean</t>
  </si>
  <si>
    <t>CWSI</t>
  </si>
  <si>
    <t>Landsat 7 ETM+</t>
  </si>
  <si>
    <t>A new evapotranspiration model accounting for advection and its validation during SMEX03</t>
  </si>
  <si>
    <t>WC06</t>
  </si>
  <si>
    <t>Walnut Creek 06</t>
  </si>
  <si>
    <t>A new evapotranspiration model accounting for advection and its validation during SMEX04</t>
  </si>
  <si>
    <t>WC13</t>
  </si>
  <si>
    <t>Walnut Creek 13</t>
  </si>
  <si>
    <t>A new evapotranspiration model accounting for advection and its validation during SMEX05</t>
  </si>
  <si>
    <t>WC14</t>
  </si>
  <si>
    <t>Walnut Creek 14</t>
  </si>
  <si>
    <t>A new evapotranspiration model accounting for advection and its validation during SMEX06</t>
  </si>
  <si>
    <t>WC23</t>
  </si>
  <si>
    <t>Walnut Creek 23</t>
  </si>
  <si>
    <t>A new evapotranspiration model accounting for advection and its validation during SMEX07</t>
  </si>
  <si>
    <t>WC24</t>
  </si>
  <si>
    <t>Walnut Creek 24</t>
  </si>
  <si>
    <t>A new evapotranspiration model accounting for advection and its validation during SMEX08</t>
  </si>
  <si>
    <t>WC25</t>
  </si>
  <si>
    <t>Walnut Creek 25</t>
  </si>
  <si>
    <t>A new evapotranspiration model accounting for advection and its validation during SMEX09</t>
  </si>
  <si>
    <t>WC33</t>
  </si>
  <si>
    <t>Walnut Creek 33</t>
  </si>
  <si>
    <t>A new evapotranspiration model accounting for advection and its validation during SMEX10</t>
  </si>
  <si>
    <t>WC151</t>
  </si>
  <si>
    <t>Walnut Creek 151</t>
  </si>
  <si>
    <t>A new evapotranspiration model accounting for advection and its validation during SMEX11</t>
  </si>
  <si>
    <t>WC152</t>
  </si>
  <si>
    <t>Walnut Creek 152</t>
  </si>
  <si>
    <t>A new evapotranspiration model accounting for advection and its validation during SMEX12</t>
  </si>
  <si>
    <t>WC161</t>
  </si>
  <si>
    <t>Walnut Creek 161</t>
  </si>
  <si>
    <t>A new evapotranspiration model accounting for advection and its validation during SMEX13</t>
  </si>
  <si>
    <t>WC162</t>
  </si>
  <si>
    <t>Walnut Creek 162</t>
  </si>
  <si>
    <t>Satellite Retrieval of Surface Evapotranspiration with Nonparametric Approach: Accuracy Assessment over a Semiarid Region</t>
  </si>
  <si>
    <t>Pan, X., Liu, Y., Fan, X.</t>
  </si>
  <si>
    <t>Surface evapotranspiration (ET) is one of the key surface processes. Reliable estimation of regional ET solely from satellite data remains a challenge. This study applies recently proposed nonparametric (NP) approach to retrieve surface ET, in terms of latent heat flux (LE), over a semiarid region. The involved input parameters are surface net radiation, land surface temperature, near-surface air temperature, and soil heat flux, all of which are retrievals or products of the Moderate-Resolution Imaging Spectroradiometer (MODIS). Field observations are used as ground references, which were obtained from six eddy covariance (EC) sites with different land covers including desert, Gobi, village, orchard, vegetable field, and wetland. Our results show that the accuracy of LE retrievals varies with EC sites with a determination of coefficient from 0.02 to 0.76, a bias from -221.56 W/m2 to 143.77 W/m2, a relative error from 8.82% to 48.35%, and a root mean square error from 67.97 W/m2 to 239.55 W/m2. The error mainly resulted from the uncertainties from MODIS products or the retrieval of net radiation and soil heat flux in nonvegetated region. It highlights the importance of accurate retrieval of the input parameters from satellite data, which are the ongoing tasks of remote sensing community. Â© 2016 Xin Pan et al.</t>
  </si>
  <si>
    <t>10.1155/2016/1584316</t>
  </si>
  <si>
    <t>Wetland</t>
  </si>
  <si>
    <t>HiWater-Wetland</t>
  </si>
  <si>
    <t>Vegetated</t>
  </si>
  <si>
    <t>Nonparametric Evapotranspiration Approach</t>
  </si>
  <si>
    <t>HiWATER, THE ec AND AWS</t>
  </si>
  <si>
    <t>Nonparametric apporoach</t>
  </si>
  <si>
    <t>Vegetable</t>
  </si>
  <si>
    <t>HiWater-Vegetable</t>
  </si>
  <si>
    <t>Orchard</t>
  </si>
  <si>
    <t>HiWater-Orchard</t>
  </si>
  <si>
    <t>Village</t>
  </si>
  <si>
    <t>HiWater-Village</t>
  </si>
  <si>
    <t>Nonvegetated</t>
  </si>
  <si>
    <t>Gobi</t>
  </si>
  <si>
    <t>HiWater-Gobi</t>
  </si>
  <si>
    <t>HiWater-Desert</t>
  </si>
  <si>
    <t>Evaluation of the Operational Simplified Surface Energy Balance Model for Pastureland Evapotranspiration Mapping and Drought Monitoring in North Central Kentucky</t>
  </si>
  <si>
    <t>Gebremedhin, M., Ries, I., Senay, G.B., Matisoff, M., AmUSn, I., Sandifer, J., Gyawali, B.</t>
  </si>
  <si>
    <t>The use of remotely sensed evapotranspiration (ET) for field applications in drought monitoring and assessment is gaining momentum, but meeting this need has been hampered by the absence of extensive ground-based measurement stations for ground validation across agricultural zones and natural landscapes. This is particularly crucial for regions more prone to recurring droughts with limited ground monitoring stations. A three-year (2016-2018) flux ET dataset from a pastureland in north central Kentucky was used to validate the Operational Simplified Surface Energy Balance (SSEBop) model at monthly and annual scales. Flux and SSEBop ET track each other in a consistent manner in response to seasonal changes. The mean bias error (MBE), root mean squared error (RMSE), mean absolute percentage error (MAPE), and coefficient of determination (R2) were 5.47, 21.49 mm mon-1, 30.94%, and 0.87, respectively. The model consistently underestimated ET values during winter months and overestimated them during summer months. SSEBop's monthly ET anomaly maps show spatial ET distribution and its accurate representation. This is particularly important in areas where detailed surface meteorological and hydrological data are limited. Overall, the model estimated monthly ET magnitude satisfactorily and captured it seasonally. The SSEBop's functionality for remote ET estimation and anomaly detection, if properly coupled with ground measurements, can significantly enhance SSEBop's ability to monitor drought occurrence and prevalence quickly and accurately. Â© 2020 Maheteme Gebremedhin et al.</t>
  </si>
  <si>
    <t>10.1155/2020/1386468</t>
  </si>
  <si>
    <t>2018-365</t>
  </si>
  <si>
    <t>Kentucky State University</t>
  </si>
  <si>
    <t>−84.9033</t>
  </si>
  <si>
    <t>Comparing evapotranspiration from eddy covariance measurements, water budgets, remote sensing, and land surface models over Canada</t>
  </si>
  <si>
    <t>Wang, S., Pan, M., Mu, Q., Shi, X., Mao, J., BrÃ¼mmer, C., Jassal, R.S., Krishnan, P., Li, J., Andrew Black, T.</t>
  </si>
  <si>
    <t>This study compares six evapotranspiration ET products for Canada's landmass, namely, eddy covariance EC measurements; surface water budget ET; remote sensing ET from MODIS; and land surface model (LSM) ET from the Community Land Model (CLM), the Ecological Assimilation of Land and Climate Observations (EALCO) model, and the Variable Infiltration Capacity model (VIC). The ET climatology over the Canadian landmass is characterized and the advantages and limitations of the datasets are discussed. The EC measurements have limited spatial coverage, making it difficult for model validations at the national scale.Water budget ET has the largest uncertainty because of data quality issues with precipitation in mountainous regions and in the north. MODIS ET shows relatively large uncertainty in cold seasons and sparsely vegetated regions. The LSM products cover the entire landmass and exhibit small differences inETamong them.AnnualET from the LSMs ranges from small negative values to over 600mmacross the landmass, with a countrywide average of 256 Â± 15mm. Seasonally, the countrywide average monthly ET varies from a low of about 3mm in four winter months (November- February) to 67 Â± 7mm in July. The ET uncertainty is scale dependent. Larger regions tend to have smaller uncertainties because of the offset of positive and negative biases within the region. More observation networks and better quality controls are critical to improving ET estimates. Future techniques should also consider a hybrid approach that integrates strengths of the various ET products to help reduce uncertainties in ET estimation. Â© 2015 American Meteorological Society.</t>
  </si>
  <si>
    <t>Journal of Hydrometeorology</t>
  </si>
  <si>
    <t>10.1175/JHM-D-14-0189.1</t>
  </si>
  <si>
    <t>AB-GRL</t>
  </si>
  <si>
    <t>Alberta Grassland</t>
  </si>
  <si>
    <t>MOD16/RS-PM (Mu et al 2011)</t>
  </si>
  <si>
    <t>MERRA GMAO m</t>
  </si>
  <si>
    <t>AB-WPL</t>
  </si>
  <si>
    <t>Alberta Western Peatland</t>
  </si>
  <si>
    <t>1998-001</t>
  </si>
  <si>
    <t>BC-DF49</t>
  </si>
  <si>
    <t>BC-HDF00</t>
  </si>
  <si>
    <t>BC-HDF88</t>
  </si>
  <si>
    <t>MB-NOBS</t>
  </si>
  <si>
    <t>Manitoba</t>
  </si>
  <si>
    <t>NB-OBF</t>
  </si>
  <si>
    <t>New Brunswick</t>
  </si>
  <si>
    <t>ON-EPL</t>
  </si>
  <si>
    <t>Ontario - Peatland</t>
  </si>
  <si>
    <t>ON-OMW</t>
  </si>
  <si>
    <t>Ontario - mixed wood</t>
  </si>
  <si>
    <t>ON-WPP39</t>
  </si>
  <si>
    <t>Ontario White Pine Plantation</t>
  </si>
  <si>
    <t>QC-EOBS</t>
  </si>
  <si>
    <t>Quebec Spruce</t>
  </si>
  <si>
    <t>SK-OA</t>
  </si>
  <si>
    <t>Saskatchewan - Aspen</t>
  </si>
  <si>
    <t>SK-OJP</t>
  </si>
  <si>
    <t>Saskatchewan - Pine</t>
  </si>
  <si>
    <t>SK-SOBS</t>
  </si>
  <si>
    <t>Saskatchewan - Spruce</t>
  </si>
  <si>
    <t>Estimating biomass and yield using metric evapotranspiration and simple growth algorithms</t>
  </si>
  <si>
    <t>Khan, A., StÃ¶ckle, C.O., Nelson, R.L., Peters, T., Adam, J.C., Lamb, B., Chi, J., Waldo, S.</t>
  </si>
  <si>
    <t>Crop models are used to assess crop yield under prescribed scenarios and at scales varying from point to field to region and beyond. The use of models to evaluate the performance of agricultural systems, as they exist in the real world, can be challenging and plagued with constraints. This is due to the difficulty in characterizing the spatial variability across the landscape of crops, soils, weather, management, miscellaneous stress factors, and the initial state of the system. We propose the use of actual evapotranspiration (ETa) estimated from remote sensing images and simple crop growth-transpiration algorithms as an alternative to the use of standalone crop models for real-world yield assessment. In this study, we combined ETa estimates from METRIC (Mapping Evapotranspiration at High Resolution with Internalized Calibration) with simple crop growth algorithms extracted from the CropSyst model to estimate biomass production and yield at high resolution (30 by 30 m). We tested this approach in four dryland agriculture sites in eastern Washington State with contrasting annual precipitation. All sites were equipped with an eddy covariance flux tower for ground ETa estimation. The proposed approach was able to provide good estimates of ETa, seasonal change of aboveground biomass and yields at all sites when compared with observations for a 3-year period, collectively including five different annual crops. Because estimations are made at high resolution, they can be scaled up to field or regional scales. Advantages and limitations of the proposed approach are discussed. Â© 2019 by the American Society of Agronomy.</t>
  </si>
  <si>
    <t>Agronomy Journal</t>
  </si>
  <si>
    <t>10.2134/agronj2018.04.0248</t>
  </si>
  <si>
    <t>2013-092</t>
  </si>
  <si>
    <t>2013-275</t>
  </si>
  <si>
    <t>CFNT</t>
  </si>
  <si>
    <t>spring garbanzo;</t>
  </si>
  <si>
    <t>AgWeatherNet, 2014)</t>
  </si>
  <si>
    <t>2014-062</t>
  </si>
  <si>
    <t>2014-275</t>
  </si>
  <si>
    <t>2015-062</t>
  </si>
  <si>
    <t>2015-214</t>
  </si>
  <si>
    <t>spring canola</t>
  </si>
  <si>
    <t>CFCT</t>
  </si>
  <si>
    <t>LIND</t>
  </si>
  <si>
    <t>Fallow</t>
  </si>
  <si>
    <t>MSMN</t>
  </si>
  <si>
    <t>spring barley</t>
  </si>
  <si>
    <t>spring pea</t>
  </si>
  <si>
    <t>Estimating calibration variability in evapotranspiration derived from a satellite-based energy balance model</t>
  </si>
  <si>
    <t>Dhungel, S., Barber, M.E.</t>
  </si>
  <si>
    <t>Computing evapotranspiration (ET) with satellite-based energy balance models such as METRIC (Mapping EvapoTranspiration at high Resolution with Internalized Calibration) requires internal calibration of sensible heat flux using anchor pixels ("hot" and "cold" pixels). Despite the development of automated anchor pixel selection methods that classify a pool of candidate pixels using the amount of vegetation (normalized difference vegetation index, NDVI) and surface temperature (Ts), final pixel selection still relies heavily on operator experience. Yet, differences in final ET estimates resulting from subjectivity in selecting the final "hot" and "cold" pixel pair (from within the candidate pixel pool) have not yet been investigated. This is likely because surface properties of these candidate pixels, as quantified by NDVI and surface temperature, are generally assumed to have low variability that can be attributed to random noise. In this study, we test the assumption of low variability by first applying an automated calibration pixel selection process to 42 nearly cloud-free Landsat images of the San Joaquin area in California taken between 2013 and 2015. We then compute Ts (vertical near-surface temperature differences) vs. Ts relationships at all pixels that could potentially be used for model calibration in order to explore ET variance between the results from multiple calibration schemes where NDVI and Ts variability is intrinsically negligible. Our results show significant variability in ET (ranging from 5% to 20%) and a high-and statistically consistent-variability in dT values, indicating that there are additional surface properties affecting the calibration process not captured when using only NDVI and Ts. Our findings further highlight the potential for calibration improvements by showing that the dT vs. Ts calibration relationship between the cold anchor pixel (with lowest dT) and the hot anchor pixel (with highest dT) consistently provides the best daily ET estimates. This approach of quantifying ET variability based on candidate pixel selection and the accompanying results illustrate an approach to quantify the biases inadvertently introduced by user subjectivity and can be used to inform improvements on model USbility and performance. Â© 2018 by the authors.</t>
  </si>
  <si>
    <t>10.3390/rs10111695</t>
  </si>
  <si>
    <t>2013-155</t>
  </si>
  <si>
    <t>2013-299</t>
  </si>
  <si>
    <t>Alfalfa</t>
  </si>
  <si>
    <t>CIMIS station 140</t>
  </si>
  <si>
    <t>USGS National Land cover database 2011</t>
  </si>
  <si>
    <t>optimised METRIC: max max</t>
  </si>
  <si>
    <t>optimised METRIC: min cold, max hot</t>
  </si>
  <si>
    <t>optimised METRIC: max cold, min hot</t>
  </si>
  <si>
    <t>2014-126</t>
  </si>
  <si>
    <t>2014-286</t>
  </si>
  <si>
    <t>2015-105</t>
  </si>
  <si>
    <t>2015-305</t>
  </si>
  <si>
    <t>optimised: min cold, max hot</t>
  </si>
  <si>
    <t>Combining electrical resistivity tomography and satellite images for improving evapotranspiration estimates of citrus orchards</t>
  </si>
  <si>
    <t>Vanella, D., RamÃ­rez-Cuesta, J.M., Intrigliolo, D.S., Consoli, S.</t>
  </si>
  <si>
    <t>An adjusted satellite-based model was proposed with the aim of improving spatially distributed evapotranspiration (ET) estimates under plant water stress conditions. Remote sensing data and near surface geophysics information, using electrical resistivity tomography (ERT), were used in a revised version of the original dual crop coefficient (Kc) FAO-56 approach. Sentinel 2-A imagery were used to compute vegetation indices (VIs) required for spatially estimating ET. The potentiality of the ERT technique was exploited for tracking the soil wetting distribution patterns during and after irrigation phases. The ERT-derived information helped to accurately estimate the wet exposed fraction (few) and therefore the water evaporated from the soil surface into the dual Kc FAO-56 approach. Results, validated by site-specific ET measurements (ETEC) obtained using the eddy covariance (EC) technique, showed that ERT-adjusted ET estimates (ETERT) were considerably reduced (15%) when compared with the original dual Kc FAO-56 approach (ETFAO), soil evaporation overestimation being the main reason for these discrepancies. Nevertheless, ETFAO and ETERT showed overestimations of 64% and 40% compared to ETEC. This is because both approaches determine ET under standard conditions without water limitation, whereas EC is able to determine ET even under soil water deficit conditions. From the comparison between ETEC and ETERT, the water stress coefficient was experimentally derived, reaching a mean value for the irrigation season of 0.74. The obtained results highlight how new technologies for soil water status monitoring can be incorporated for improving ET estimations, particularly under drip irrigation conditions. Â© 2019 by the authors.</t>
  </si>
  <si>
    <t>10.3390/rs11040373</t>
  </si>
  <si>
    <t>2017-159</t>
  </si>
  <si>
    <t>2017-261</t>
  </si>
  <si>
    <t>CREA-OFA</t>
  </si>
  <si>
    <t>Lentini</t>
  </si>
  <si>
    <t>Orange orchard</t>
  </si>
  <si>
    <t>FAO56, dual Kc * RET, ERT-adjusted</t>
  </si>
  <si>
    <t>meteorological station</t>
  </si>
  <si>
    <t>Sentinel 2-A</t>
  </si>
  <si>
    <t>ERT</t>
  </si>
  <si>
    <t>FAO56, dual Kc * RET</t>
  </si>
  <si>
    <t>Long-term (1986-2015) crop water use characterization over the Upper Rio Grande Basin of United States and Mexico using Landsat-based evapotranspiration</t>
  </si>
  <si>
    <t>Senay, G.B., Schauer, M., Velpuri, N.M., Singh, R.K., Kagone, S., Friedrichs, M., Litvak, M.E., Douglas-Mankin, K.R.</t>
  </si>
  <si>
    <t>The evaluation of historical water use in the Upper Rio Grande Basin (URGB), United States and Mexico, using Landsat-derived actual evapotranspiration (ETa) from 1986 to 2015 is presented here as the first study of its kind to apply satellite observations to quantify long-term, basin-wide crop consumptive use in a large basin. The rich archive of Landsat imagery combined with the Operational Simplified Surface Energy Balance (SSEBop) model was used to estimate and map ETa across the basin and over irrigated fields for historical characterization of water-use dynamics. Monthly ETa estimates were evaluated using six eddy-covariance (EC) flux towers showing strong correspondence (r2 &amp;gt; 0.80) with reasonable error rates (root mean square error between 6 and 19 mm/month). Detailed spatiotemporal analysis using peak growing season (June-August) ETa over irrigated areas revealed declining regional crop water-use patterns throughout the basin, a trend reinforced through comparisons with gridded ETa from the Max Planck Institute (MPI). The interrelationships among seven agro-hydroclimatic variables (ETa, Normalized Difference Vegetation Index (NDVI), land surface temperature (LST), maximum air temperature (Ta), potential ET (ETo), precipitation, and runoff) are all summarized to support the assessment and context of historical water-use dynamics over 30 years in the URGB. Â© 2019 by the authors.</t>
  </si>
  <si>
    <t>10.3390/rs11131587</t>
  </si>
  <si>
    <t>Seg</t>
  </si>
  <si>
    <t>Sevilleta grassland</t>
  </si>
  <si>
    <t>SSEBop, updated parameters</t>
  </si>
  <si>
    <t>GridMET, TopoWX</t>
  </si>
  <si>
    <t>USDA-NLCD</t>
  </si>
  <si>
    <t>Landsat 7-8</t>
  </si>
  <si>
    <t>Ses</t>
  </si>
  <si>
    <t>Sevilleta shrubland</t>
  </si>
  <si>
    <t>Wjs</t>
  </si>
  <si>
    <t>Juniper Savannah</t>
  </si>
  <si>
    <t>Juniper savannah</t>
  </si>
  <si>
    <t>Mpj</t>
  </si>
  <si>
    <t>Pinyon - Juniper</t>
  </si>
  <si>
    <t>Vcp</t>
  </si>
  <si>
    <t>Jemez Mountains - Pine</t>
  </si>
  <si>
    <t>Ponderosa Pine</t>
  </si>
  <si>
    <t>Vcm</t>
  </si>
  <si>
    <t xml:space="preserve">Jemez Mountains - Conifer </t>
  </si>
  <si>
    <t>Mixed Conifer</t>
  </si>
  <si>
    <t>Regional actual evapotranspiration estimation with land and meteorological variables derived from multi-source satellite data</t>
  </si>
  <si>
    <t>Wu, B., Zhu, W., Yan, N., Xing, Q., Xu, J., Ma, Z., Wang, L.</t>
  </si>
  <si>
    <t>Evapotranspiration (ET) is one of the components in the water cycle and the surface energy balance systems. It is fundamental information for agriculture, water resource management, and climate change research. This study presents a scheme for regional actual evapotranspiration estimation using multi-source satellite data to compute key land and meteorological variables characterizing land surface, soil, vegetation, and the atmospheric boundary layer. The algorithms are validated using ground observations from the Heihe River Basin of northwest China. Monthly data estimates at a resolution of 1 km from the proposed algorithms compared well with ground observation data, with a root mean square error (RMSE) of 0.80 mm and a mean relative error (MRE) of -7.11%. The overall deviation between the average yearly ET derived from the proposed algorithms and ground-based water balance measurements was 9.44% for a small watershed and 1% for the entire basin. This study demonstrates that both accuracy and spatial depiction of actual evapotranspiration estimation can be significantly improved by using multi-source satellite data to measure the required land surface and meteorological variables. This reduces dependence on spatial interpolation of ground-derived meteorological variables which can be problematic, especially in data-sparse regions, and allows the production of region-wide ET datasets. Â© 2020 by the authors.</t>
  </si>
  <si>
    <t>10.3390/rs12020332</t>
  </si>
  <si>
    <t>2008-152</t>
  </si>
  <si>
    <t>Wu et al., 2020</t>
  </si>
  <si>
    <t>Fengyun geostationary meteorological satellite, China National meteorological bureau stations</t>
  </si>
  <si>
    <t>MODIS 1B, AIRS</t>
  </si>
  <si>
    <t>AMSR-E BT, MODIS LST</t>
  </si>
  <si>
    <t>Agriculture, Maize</t>
  </si>
  <si>
    <t>Wu et al., 2021</t>
  </si>
  <si>
    <t>Wu et al., 2022</t>
  </si>
  <si>
    <t>2013-183</t>
  </si>
  <si>
    <t>2013-265</t>
  </si>
  <si>
    <t>Sparse tamarix</t>
  </si>
  <si>
    <t>Wu et al., 2023</t>
  </si>
  <si>
    <t>2012-214</t>
  </si>
  <si>
    <t>Huazhaizi</t>
  </si>
  <si>
    <t>Wu et al., 2024</t>
  </si>
  <si>
    <t>relative error only presented for comparison with LAS</t>
  </si>
  <si>
    <t>Shenshawo</t>
  </si>
  <si>
    <t>Wu et al., 2025</t>
  </si>
  <si>
    <t>Assessing irrigation water use with remote sensingâ_x0080__x0090_based soil water balance at an irrigation scheme level in a semiâ_x0080__x0090_arid region of morocco</t>
  </si>
  <si>
    <t>Kharrou, M.H., Simonneaux, V., Erâ_x0080__x0090_raki, S., Page, M.L., Khabba, S., Chehbouni, A.</t>
  </si>
  <si>
    <t>This study aims to evaluate a remote sensingâ_x0080__x0090_based approach to allow estimation of the temporal and spatial distribution of crop evapotranspiration (ET) and irrigation water requirements over irrigated areas in semiâ_x0080__x0090_arid regions. The method is based on the daily step FAOâ_x0080__x0090_56 Soil Water Balance model combined with a time series of basal crop coefficients and the fractional vegetation cover derived from highâ_x0080__x0090_resolution satellite Normalized Difference Vegetation Index (NDVI) im-agery. The model was first calibrated and validated at plot scale using ET measured by eddyâ_x0080__x0090_covar-iance systems over wheat fields and olive orchards representing the main crops grown in the study area of the Haouz plain (central Morocco). The results showed that the model provided good estimates of ET for wheat and olive trees with a root mean square error (RMSE) of about 0.56 and 0.54 mm/day respectively. The model was then used to compare remotely sensed estimates of irrigation requirements (RSâ_x0080__x0090_IWR) and irrigation water supplied (WS) at plot scale over an irrigation district in the Haouz plain through three growing seasons. The comparison indicated a large spatioâ_x0080__x0090_tem-poral variability in irrigation water demands and supplies; the median values of WS and RSâ_x0080__x0090_IWR were 130 (175), 117 (175) and 118 (112) mm respectively in the 2002â_x0080__x0093_2003, 2005â_x0080__x0093_2006 and 2008â_x0080__x0093_2009 seasons. This could be attributed to inadequate irrigation supply and/or to farmersâ_x0080__x0099_ socioâ_x0080__x0090_economic considerations and management practices. The findings demonstrate the potential for irrigation managers to use remote sensingâ_x0080__x0090_based models to monitor irrigation water USge for efficient and sustainable use of water resources. Â© 2021 by the authors. Licensee MDPI, Basel, Switzerland.</t>
  </si>
  <si>
    <t>10.3390/rs13061133</t>
  </si>
  <si>
    <t>100x400</t>
  </si>
  <si>
    <t>C1</t>
  </si>
  <si>
    <t>MO</t>
  </si>
  <si>
    <t>SAMIR</t>
  </si>
  <si>
    <t>Landsat, FORMOSAT</t>
  </si>
  <si>
    <t>FAO-56</t>
  </si>
  <si>
    <t>100x500</t>
  </si>
  <si>
    <t>C2</t>
  </si>
  <si>
    <t>50x100</t>
  </si>
  <si>
    <t>C3</t>
  </si>
  <si>
    <t>C4</t>
  </si>
  <si>
    <t>Olive</t>
  </si>
  <si>
    <t>V1</t>
  </si>
  <si>
    <t>Tensift - V1</t>
  </si>
  <si>
    <t>SAMIR, Kc</t>
  </si>
  <si>
    <t>V2</t>
  </si>
  <si>
    <t>Tensift - V2</t>
  </si>
  <si>
    <t>100x100</t>
  </si>
  <si>
    <t>V3</t>
  </si>
  <si>
    <t>Tensift - V3</t>
  </si>
  <si>
    <t>400x600</t>
  </si>
  <si>
    <t>V4</t>
  </si>
  <si>
    <t>Tensift - V4</t>
  </si>
  <si>
    <t>Analyzing the suitability of remotely sensed ET for calibrating a watershed model of a mediterranean montane forest</t>
  </si>
  <si>
    <t>Jepsen, S.M., Harmon, T.C., Guan, B.</t>
  </si>
  <si>
    <t>The ability to spatially characterize runoff generation and forest health depends partly on the accuracy and resolution of evapotranspiration (ET) simulated by numerical models. A possible strategy to increase the accuracy and resolution of numerically modeled ET is the use of remotely sensed ET products as an observational basis for parameter estimation (model calibration) of those numerical models. However, the extent to which that calibration strategy leads to a realistic representation of ET, relative to ground conditions, is not well understood. We examined this by comparing the spatiotemporal accuracy of ET from a remote sensing product, MODIS MOD16A2, to that from a watershed model (SWAT) calibrated to flow measured at an outlet streamgage. We examined this in the upper Kings River watershed (3999 km2) of Californiaâ_x0080__x0099_s Sierra Nevada, a snow-influenced watershed in a Mediterranean climate. We assessed ET accuracies against observations from three eddy-covariance flux towers at elevations of 1160-2700 m. The accuracy of ET from the stream-calibrated watershed model surpassed that of MODIS in terms of Nash-Sutcliffe efficiency (+0.36 versus -0.43) and error in elevational trend (+7.7% versus +81%). These results indicate that for this particular experiment, an outlet streamgage would provide a more effective observational basis than remotely sensed ET product for watershed-model parameter estimation. Based on analysis of ET-weather relationships, the relatively large errors we found in MODIS ET may be related to weather-based corrections to water limitation not representative of the hydrology of this snow-influenced, Mediterranean-climate area. Â© 2021 by the authors. Licensee MDPI, Basel, Switzerland.</t>
  </si>
  <si>
    <t>10.3390/rs13071258</t>
  </si>
  <si>
    <t>all years</t>
  </si>
  <si>
    <t>CZ4</t>
  </si>
  <si>
    <t>Sierra CZ4</t>
  </si>
  <si>
    <t>Lodgepole pine</t>
  </si>
  <si>
    <t>5-10m above the tallest tree</t>
  </si>
  <si>
    <t>100-2000</t>
  </si>
  <si>
    <t>MOD16A2</t>
  </si>
  <si>
    <t>P-M Cleugh</t>
  </si>
  <si>
    <t>Corrected MODIS16A2</t>
  </si>
  <si>
    <t>MODIS ET - [(MODIS PET) x regression)]</t>
  </si>
  <si>
    <t>CZ3</t>
  </si>
  <si>
    <t>Sierra CZ3</t>
  </si>
  <si>
    <t>White fir, pine, cedar</t>
  </si>
  <si>
    <t>CZ2</t>
  </si>
  <si>
    <t>Sierra CZ2</t>
  </si>
  <si>
    <t>Ponderosa pine, oak</t>
  </si>
  <si>
    <t>All sites</t>
  </si>
  <si>
    <t>wet years</t>
  </si>
  <si>
    <t>CZ5</t>
  </si>
  <si>
    <t>Sierra CZ5</t>
  </si>
  <si>
    <t>CZ6</t>
  </si>
  <si>
    <t>Sierra CZ6</t>
  </si>
  <si>
    <t>dry years</t>
  </si>
  <si>
    <t>CZ7</t>
  </si>
  <si>
    <t>Sierra CZ7</t>
  </si>
  <si>
    <t>CZ8</t>
  </si>
  <si>
    <t>Sierra CZ8</t>
  </si>
  <si>
    <t>100-2001</t>
  </si>
  <si>
    <t>100-2002</t>
  </si>
  <si>
    <t>Improving the evapotranspiration estimation under cloudy condition by extending the Ts-VI triangle model</t>
  </si>
  <si>
    <t>Li, B., Cui, Y., Geng, X., Li, H.</t>
  </si>
  <si>
    <t>Evapotranspiration (ET) of soil-vegetation system is the main process of the water and energy exchange between the atmosphere and the land surface. Spatio-temporal continuous ET is vitally important to agriculture and ecological applications. Surface temperature and vegetation index (Ts-VI) triangle ET model based on remote sensing land surface temperature (LST) is widely used to monitor the land surface ET. However, a large number of missing data caused by the presence of clouds always reduces the availability of the main parameter LST, thus making the remote sensing-based ET estimation unavailable. In this paper, a method to improve the availability of ET estimates from Ts-VI model is proposed. Firstly, continuous LST product of the time series is obtained using a reconstruction algorithm, and then, the reconstructed LST is applied to the estimate ET using the Ts-VI model. The validation in the Heihe River Basin from 2009 to 2011 showed that the availability of ET estimates is improved from 25 days per year (d/yr) to 141 d/yr. Compared with the in situ data, a very good performance of the estimated ET is found with RMSE 1.23 mm/day and R2 0.6257 at point scale and RMSE 0.32 mm/day and R2 0.8556 at regional scale. This will improve the understanding of the water and energy exchange between the atmosphere and the land surface, especially under cloudy conditions. Â© 2021 by the authors. Licensee MDPI, Basel, Switzerland.</t>
  </si>
  <si>
    <t>10.3390/rs13081516</t>
  </si>
  <si>
    <t xml:space="preserve">China Meteorological Forcing </t>
  </si>
  <si>
    <t xml:space="preserve">MICLCover </t>
  </si>
  <si>
    <t>MODIS13A2, GLASS albedo</t>
  </si>
  <si>
    <t>MODISA1 (V6) LST</t>
  </si>
  <si>
    <t>derived from bias ratio Estimated/Observed -1 = -0.12</t>
  </si>
  <si>
    <t>Assessing the effects of spatial scales on regional evapotranspiration estimation by the sebal model and multiple satellite datasets: A case study in the agro-pastoral ecotone, northwestern china</t>
  </si>
  <si>
    <t>Li, X., Xu, X., Wang, X., Xu, S., Tian, W., Tian, J., He, C.</t>
  </si>
  <si>
    <t>Evapotranspiration (ET) estimation is important for understanding energy exchanges and water cycles. Remote sensing (RS) is the main method used to obtain ET data over large scales. However, owing to surface heterogeneities and different model algorithms, ET estimated from RS products with different spatial resolutions can cause significant uncertainties, whose causes need to be thoroughly analyzed. In this study, the Surface Energy Balance Algorithm for Land (SEBAL) model was selected to explore spatial resolution influences on ET simulations. Three satellite datasets (Landsat Thematic Mapper (TM), Moderate Resolution Imaging Spectroradiometer (MODIS), and Advanced Very High-Resolution Radiometer (AVHRR)) were selected to independently estimate ET in SEBAL model to identify the influence of the spatial scale on ET estimation, and analyze the effects and causes of scale aggregation. Results indicated that: (1) the spatial distributions of ET estimated from the three satellite datasets were similar, with the MODIS-based ET having the largest uncertainty; and (2) aggregating input parameters had limited changes in the net radiation and soil heat fluxes. However, errors in the sensible heat and latent heat fluxes were relatively larger, which were caused by changes in the selection of hot and cold pixels and the NDVI and surface albedo parameters during scale aggregation. The scale errors caused by the model mechanisms were larger than those caused by the land use/cover pattern in the SEBAL model. Overall, this study highlights the impact of spatial scale on ET and provides a better understanding of the scale aggregation effect on ET estimation by RS. Â© 2021 by the authors. Licensee MDPI, Basel, Switzerland.</t>
  </si>
  <si>
    <t>10.3390/rs13081524</t>
  </si>
  <si>
    <t>2011-189</t>
  </si>
  <si>
    <t>YLEOS</t>
  </si>
  <si>
    <t>Yulin</t>
  </si>
  <si>
    <t>shrub mexisted with sparse grass</t>
  </si>
  <si>
    <t>interpolated from 8 meteo stations</t>
  </si>
  <si>
    <t>RESDC 2010 landuse map</t>
  </si>
  <si>
    <t>suitability of earth engine evaporation flux (eeflux) estimation of evapotranspiration in rainfed crops</t>
  </si>
  <si>
    <t>Kadam, S.A., Stöckle, C.O., Liu, M., Gao, Z. and Russell, E.S.</t>
  </si>
  <si>
    <t>This study evaluated evapotranspiration (ET) estimated using the Earth Engine Evapotranspiration Flux (EEFlux), an automated version of the widely used Mapping Evapotranspiration at High Spatial Resolution with Internalized Calibration (METRIC) model, via comparison with ET measured using eddy covariance flux towers at two U.S. sites (St. John, WA, USA and Genesee, ID, USA) and for two years (2018 and 2019). Crops included spring wheat, winter pea, and winter wheat, all grown under rainfed conditions. The performance indices for daily EEFlux ET estimations combined for all sites and years dramatically improved when the cold pixel alfalfa reference ET fraction (ETrF) in METRIC was reduced from 1.05 (typically used for irrigated crops) to 0.85, with further improvement when the periods of early growth and canopy senescence were excluded. Large EEFlux ET overestimation during crop senescence was consistent in all sites and years. The seasonal absolute departure error was 51% (cold pixel ETrF = 1.05) and 23% (cold pixel ETrF = 0.85), the latter reduced to 12% when the early growth and canopy senescence periods were excluded. Departures of 10% are a reasonable expectation for methods of ET estimation, which EEFlux could achieve with more frequent satellite images, better daily weather data sources, automated adjustment of daily ETrF values during crop senescence, and a better understanding of the selection of adequate cold pixel ETrF values for rainfed crops. Ã‚Â© 2021 by the authors. Licensee MDPI, Basel, Switzerland.</t>
  </si>
  <si>
    <t>10.3390/rs13193884</t>
  </si>
  <si>
    <t>2018-117</t>
  </si>
  <si>
    <t>2018-234</t>
  </si>
  <si>
    <t>SZ1</t>
  </si>
  <si>
    <t>St. John, WA On-farm site Zone 1</t>
  </si>
  <si>
    <t>wheat</t>
  </si>
  <si>
    <t>y, footprint model Kljun2015</t>
  </si>
  <si>
    <t>METRIC-EEFlux, adjusted ETrF for dryland</t>
  </si>
  <si>
    <t>NLDAS, gridMET</t>
  </si>
  <si>
    <t>NCLD</t>
  </si>
  <si>
    <t>EEFlux</t>
  </si>
  <si>
    <t>SZ2</t>
  </si>
  <si>
    <t>St. John, WA On-farm site Zone 2</t>
  </si>
  <si>
    <t>wheat, pea</t>
  </si>
  <si>
    <t>SZ3</t>
  </si>
  <si>
    <t>St. John, WA On-farm site Zone 3</t>
  </si>
  <si>
    <t>2017-274</t>
  </si>
  <si>
    <t>2018-203</t>
  </si>
  <si>
    <t>GZ1</t>
  </si>
  <si>
    <t>Genesee, ID On-farm site Zone 1</t>
  </si>
  <si>
    <t>GZ2</t>
  </si>
  <si>
    <t>Genesee, ID On-farm site Zone 2</t>
  </si>
  <si>
    <t>GZ3</t>
  </si>
  <si>
    <t>Genesee, ID On-farm site Zone 3</t>
  </si>
  <si>
    <t>2018-286</t>
  </si>
  <si>
    <t>2019-213</t>
  </si>
  <si>
    <t>2019-116</t>
  </si>
  <si>
    <t>2019-232</t>
  </si>
  <si>
    <t>METRIC-EEFlux</t>
  </si>
  <si>
    <t>excluding early growth and senescence period</t>
  </si>
  <si>
    <t>Operational actual wetland evapotranspiration estimation for South Florida using MODIS imagery</t>
  </si>
  <si>
    <t>Ceron, C.N., Melesse, A.M., Price, R., Dessu, S.B., Kandel, H.P.</t>
  </si>
  <si>
    <t>Evapotranspiration is a reliable indicator of wetland health. Wetlands are an important and valuable ecosystem on the South Florida landscape. Accurate wetland Actual Evapotranspiration (AET) data can be used to evaluate the performance of South Florida's Everglades restoration programs. However, reliable AET measurements rely on scattered point measurements restricting applications over a larger area. The objective of this study was to validate the ability of the Simplified Surface Energy Balance (SSEB) approach and the Simple Method (also called the Abtew Method) to provide large area AET estimates for wetland recovery efforts. The study used Moderate Resolution Imaging Spectroradiometer (MODIS) sensor spectral data and South Florida Water Management District (SFWMD) solar radiation data to derive weekly AET values for South Florida. The SSEB-Simple Method approach provided acceptable results with good agreement with observed values during the critical dry season period, when cloud cover was low (rave (n = 59) = 0.700, pave &lt; 0.0005), but requires further refinement to be viable for yearly estimates because of poor performance during wet season months, mainly because of cloud contamination. The approach can be useful for short-term wetland recovery assessment projects that occur during the dry season and/or long term projects that compare site AET rates from dry season to dry season. Â© 2015 by the authors.</t>
  </si>
  <si>
    <t>10.3390/rs70403613</t>
  </si>
  <si>
    <t>960 (1 pixel)</t>
  </si>
  <si>
    <t>Dry seasons (December, January)</t>
  </si>
  <si>
    <t>TCS</t>
  </si>
  <si>
    <t>Big Cypress - Swamp</t>
  </si>
  <si>
    <t>Tall cypress strand</t>
  </si>
  <si>
    <t>SSEB</t>
  </si>
  <si>
    <t>DBHYDRO stations (solar radiation)</t>
  </si>
  <si>
    <t>MODIS (MOD12)</t>
  </si>
  <si>
    <t>SSEB, Abtew method</t>
  </si>
  <si>
    <t>PiU</t>
  </si>
  <si>
    <t>Big Cypress - Pine Upland</t>
  </si>
  <si>
    <t>Pine upland and cypress domes</t>
  </si>
  <si>
    <t>DSC</t>
  </si>
  <si>
    <t>Big Cypress - Dwarf Cypress</t>
  </si>
  <si>
    <t>Dwarf cypress and sawgrass</t>
  </si>
  <si>
    <t>Big Cypress - Wet Prairie</t>
  </si>
  <si>
    <t>Wet prairie with short (&lt;1 m) sawgrass</t>
  </si>
  <si>
    <t>DCS</t>
  </si>
  <si>
    <t>Big Cypress - Marsh</t>
  </si>
  <si>
    <t>Deep-water marsh with tall (1–2 m) sawgrass  (Dwarf Cypress Swamp)</t>
  </si>
  <si>
    <t>all sites above</t>
  </si>
  <si>
    <t>Wet season (August, September)</t>
  </si>
  <si>
    <t>A revised temporal scaling method to yield better ET estimates at a regional scale</t>
  </si>
  <si>
    <t>Song, Y., Ma, M., Jin, L., Wang, X.</t>
  </si>
  <si>
    <t>This study presents a revised temporal scaling method based on a detection algorithm for the temporal stability of the evaporative fraction (EF) to estimate total daytime evapotranspiration (ET) at a regional scale. The study area is located in the Heihe River Basin, which is the second largest inland river basin in China. The remote sensing data and field observations used in this study were obtained from the Heihe Watershed Allied Telemetry Experimental Research (HiWATER) project. The half-hourly EF values (EFEC) calculated using meteorological observations from an eddy covariance (EC) system and an automatic meteorological station (AMS) represented the diurnal pattern of the EF across the majority of the study area. The remotely sensed instantaneous midday EF (EFASTER), which indicates the spatial distribution of the midday EF over the entire study area, was calculated from an Advanced Spaceborne Thermal Emission and Reflection Radiometer (ASTER) image. The temporal stability of EFEC was examined using a detection algorithm. Intervals with inconsistent EFEC values were distinguished from those with consistent EFEC values; the total daytime ET (from 9:00 to 19:00) within these interval types was integrated separately. Validation of the total daytime ET at the satellite pixel scale was conducted using measurements from17 EC towers. Using the detection algorithm for the temporal stability of the EF and dynamic adjustment, the revised temporal scaling method resulted in a root-mean-square error (RMSE) of 0.54 (mmÂ·d-1), a mean relative error (MRE) of 7.26% and a correlation coefficient (Corr.) of 0.81; all of these values were superior to those of the two other methods (i.e., the constant EF and variable EF methods). The revised method easily extends to other areas and exhibits a superior performance in flat and regularly-irrigated farmlands at the regional scale. Â© 2015 by the authors.</t>
  </si>
  <si>
    <t>10.3390/rs70506433</t>
  </si>
  <si>
    <t>2012-192</t>
  </si>
  <si>
    <t>2012-313</t>
  </si>
  <si>
    <t>3 days</t>
  </si>
  <si>
    <t>HiWater, Heihe basin</t>
  </si>
  <si>
    <t>heterogeneous mix of crops (seed corn, wheat, vegetables, etc.)</t>
  </si>
  <si>
    <t>y, Kormann and Meixner</t>
  </si>
  <si>
    <t>Revised Surface Resistance (Song et al 2012), constant EF to scale instantaneous LE</t>
  </si>
  <si>
    <t>HiWATER AMS stations</t>
  </si>
  <si>
    <t>ASTER L1B</t>
  </si>
  <si>
    <t>Revised Surface Resistance (Song et al 2012), variable EF</t>
  </si>
  <si>
    <t>Revised Surface Resistance (Song et al 2012), Revised variable EF</t>
  </si>
  <si>
    <t>Estimating evapotranspiration of an apple orchard using a remote sensing-based soil water balance</t>
  </si>
  <si>
    <t>Odi-Lara, M., Campos, I., Neale, C.M.U., Ortega-FarÃ­as, S., Poblete-EcheverrÃ­a, C., BalbontÃ­n, C., Calera, A.</t>
  </si>
  <si>
    <t>The main goal of this research was to estimate the actual evapotranspiration (ETc) of a drip-irrigated apple orchard located in the semi-arid region of Talca Valley (Chile) using a remote sensing-based soil water balance model. The methodology to estimate ETc is a modified version of the Food and Agriculture Organization of the United Nations (FAO) dual crop coefficient approach, in which the basal crop coefficient (Kcb) was derived from the soil adjusted vegetation index (SAVI) calculated from satellite images and incorporated into a daily soil water balance in the root zone. A linear relationship between the Kcb and SAVI was developed for the apple orchard Kcb = 1.82Â· SAVI - 0.07 (R2 = 0.95). The methodology was applied during two growing seasons (2010-2011 and 2012-2013), and ETc was evaluated using latent heat fluxes (LE) from an eddy covariance system. The results indicate that the remote sensing-based soil water balance estimated ETc reasonably well over two growing seasons. The root mean square error (RMSE) between the measured and simulated ETc values during 2010-2011 and 2012-2013 were, respectively, 0.78 and 0.74 mmÂ·day-1, which mean a relative error of 25%. The index of agreement (d) values were, respectively, 0.73 and 0.90. In addition, the weekly ETc showed better agreement. The proposed methodology could be considered as a useful tool for scheduling irrigation and driving the estimation of water requirements over large areas for apple orchards. Â© 2016 by the authors.</t>
  </si>
  <si>
    <t>10.3390/rs8030253</t>
  </si>
  <si>
    <t>Maule Region</t>
  </si>
  <si>
    <t>Maule</t>
  </si>
  <si>
    <t>apple orchard</t>
  </si>
  <si>
    <t>y, Laubach et al 1994</t>
  </si>
  <si>
    <t>SAVI-Kc</t>
  </si>
  <si>
    <t>Dual Kc</t>
  </si>
  <si>
    <t>Combining remote sensing and water-balance evapotranspiration estimates for the conterminous United States</t>
  </si>
  <si>
    <t>Reitz, M., Senay, G.B., Sanford, W.E.</t>
  </si>
  <si>
    <t>Evapotranspiration (ET) is a key component of the hydrologic cycle, accounting for ~70% of precipitation in the conterminous U.S. (CONUS), but it has been a challenge to predict accurately across different spatio-temporal scales. The increasing availability of remotely sensed data has led to significant advances in the frequency and spatial resolution of ET estimates, derived from energy balance principles with variables such as temperature used to estimate surface latent heat flux. Although remote sensing methods excel at depicting spatial and temporal variability, estimation of ET independently of other water budget components can lead to inconsistency with other budget terms. Methods that rely on ground-based data better constrain long-term ET, but are unable to provide the same temporal resolution. Here we combine long-term ET estimates from a water-balance approach with the SSEBop (operational Simplified Surface Energy Balance) remote sensing-based ET product for 2000-2015. We test the new combined method, the original SSEBop product, and another remote sensing ET product (MOD16) against monthly measurements from 119 flux towers. The new product showed advantages especially in non-irrigated areas where the new method showed a coefficient of determination R2 of 0.44, compared to 0.41 for SSEBop or 0.35 for MOD16. The resulting monthly data set will be a useful, unique contribution to ET estimation, due to its combination of remote sensing-based variability and ground-based long-term water balance constraints. Â© 2017 by the author.</t>
  </si>
  <si>
    <t>10.3390/rs9121181</t>
  </si>
  <si>
    <t>Oho</t>
  </si>
  <si>
    <t>Oak Openings</t>
  </si>
  <si>
    <t>SSEBop-WB, scaled to ET-WB</t>
  </si>
  <si>
    <t>MOD16, SSEBop, SSEBop-WB</t>
  </si>
  <si>
    <t>PFa</t>
  </si>
  <si>
    <t>Park Falls</t>
  </si>
  <si>
    <t>SRC</t>
  </si>
  <si>
    <t>Santa Rita Creosote</t>
  </si>
  <si>
    <t xml:space="preserve">Bwh  </t>
  </si>
  <si>
    <t>Sta</t>
  </si>
  <si>
    <t>Saratoga</t>
  </si>
  <si>
    <t>Bsh</t>
  </si>
  <si>
    <t>Little Prospect Hill</t>
  </si>
  <si>
    <t>Bwh</t>
  </si>
  <si>
    <t>Implementation of a two-source model for estimating the spatial variability of olive evapotranspiration using satellite images and ground-based climate data</t>
  </si>
  <si>
    <t>Fuentes-PeÃ±ailillo, F., Ortega-FarÃ­as, S., Acevedo-Opazo, C., Fonseca-Luengo, D.</t>
  </si>
  <si>
    <t>A study was carried out to evaluate the potential use of the two-source Shuttleworth and Wallace (SW) model to compute the intra-orchard spatial variability of actual evapotranspiration (ET) of olive trees using satellite images and ground-based climate data. The study was conducted in a drip-irrigated olive orchard using satellite images (Landsat 7 ETM+), which were acquired on clear sky days during the main phenological stages (2009/10 growing season). The performance of the SW model was evaluated using instantaneous latent heat flux (LE) measurements that were obtained from an eddy correlation system. At the time of satellite overpass, the estimated values of net radiation (Rni) and soil heat flux (Gi) were compared with ground measurements from a four-way net radiometer and soil heat flux plates, respectively. The results indicated that the SW model subestimated instantaneous LE (W m-2) and daily ET (mm d-1), with errors of 12% and 10% of observed values, respectively. The root mean square error (RMSE) and mean absolute error (MAE) values for instantaneous LE were 26 and 20 W m-2, while those for daily values of ET were 0.31 and 0.28 mm d-1, respectively. Finally, the submodels computed Rni and Gi with errors of between 4.0% and 8.0% of measured values and with RMSE and MAE between 25 and 39W m-2. Â© 2018 by the authors.</t>
  </si>
  <si>
    <t>10.3390/w10030339</t>
  </si>
  <si>
    <t>2009-035</t>
  </si>
  <si>
    <t>2010-022</t>
  </si>
  <si>
    <t>olive orchard</t>
  </si>
  <si>
    <t>Shuttleworrth-Wallace</t>
  </si>
  <si>
    <t>Two-source Shuttleworth and Wallace</t>
  </si>
  <si>
    <t>Estimating evapotranspiration from an improved two-source energy balance model using aster satellite imagery</t>
  </si>
  <si>
    <t>Zhuang, Q., Wu, B.</t>
  </si>
  <si>
    <t>Reliably estimating the turbulent fluxes of latent and sensible heat at the Earth's surface by remote sensing is important for research on the terrestrial hydrological cycle. This paper presents a practical approach for mapping surface energy fluxes using Advanced Spaceborne Thermal Emission and Reflection Radiometer (ASTER) images from an improved two-source energy balance (TSEB) model. The original TSEB approach may overestimate latent heat flux under vegetative stress conditions, as has also been reported in recent research. We replaced the Priestley-Taylor equation used in the original TSEB model with one that uses plant moisture and temperature constraints based on the PT-JPL model to obtain a more accurate canopy latent heat flux for model solving. The collected ASTER data and field observations employed in this study are over corn fields in arid regions of the Heihe Watershed Allied Telemetry Experimental Research (HiWATER) area, China. The results were validated by measurements from eddy covariance (EC) systems, and the surface energy flux estimates of the improved TSEB model are similar to the ground truth. A comparison of the results from the original and improved TSEB models indicates that the improved method more accurately estimates the sensible and latent heat fluxes, generating more precise daily evapotranspiration (ET) estimate under vegetative stress conditions. Â© 2015 by the authors.</t>
  </si>
  <si>
    <t>10.3390/w7126653</t>
  </si>
  <si>
    <t>2012-224</t>
  </si>
  <si>
    <t>HiWATER, Zhangye Oasis</t>
  </si>
  <si>
    <t>Optimised</t>
  </si>
  <si>
    <t>TSEB</t>
  </si>
  <si>
    <t>TSEB, PT-JPL</t>
  </si>
  <si>
    <t>2012-231</t>
  </si>
  <si>
    <t>2012-247</t>
  </si>
  <si>
    <t>Original</t>
  </si>
  <si>
    <t>The GEWEX LandFlux project: Evaluation of model evaporation using tower-based and globally gridded forcing data</t>
  </si>
  <si>
    <t>McCabe, M.F., Ershadi, A., Jimenez, C., Miralles, D.G., Michel, D., Wood, E.F.</t>
  </si>
  <si>
    <t>Determining the spatial distribution and temporal development of evaporation at regional and global scales is required to improve our understanding of the coupled water and energy cycles and to better monitor any changes in observed trends and variability of linked hydrological processes. With recent international efforts guiding the development of long-term and globally distributed flux estimates, continued product assessments are required to inform upon the selection of suitable model structures and also to establish the appropriateness of these multi-model simulations for global application. In support of the objectives of the Global Energy and Water Cycle Exchanges (GEWEX) LandFlux project, four commonly used evaporation models are evaluated against data from tower-based eddy-covariance observations, distributed across a range of biomes and climate zones. The selected schemes include the Surface Energy Balance System (SEBS) approach, the Priestley-Taylor Jet Propulsion Laboratory (PT-JPL) model, the Penman-Monteith-based Mu model (PM-Mu) and the Global Land Evaporation Amsterdam Model (GLEAM). Here we seek to examine the fidelity of global evaporation simulations by examining the multi-model response to varying sources of forcing data. To do this, we perform parallel and collocated model simulations using tower-based data together with a global-scale grid-based forcing product. Through quantifying the multi-model response to high-quality tower data, a better understanding of the subsequent model response to the coarse-scale globally gridded data that underlies the LandFlux product can be obtained, while also providing a relative evaluation and assessment of model performance. Using surface flux observations from 45 globally distributed eddy-covariance stations as independent metrics of performance, the tower-based analysis indicated that PT-JPL provided the highest overall statistical performance (0.72; 61Wm-2; 0.65), followed closely by GLEAM (0.68; 64Wm-2; 0.62), with values in parentheses representing the R2, RMSD and Nash-Sutcliffe efficiency (NSE), respectively. PM-Mu (0.51; 78Wm-2; 0.45) tended to underestimate fluxes, while SEBS (0.72; 101 Wm-2; 0.24) overestimated values relative to observations. A focused analysis across specific biome types and climate zones showed considerable variability in the performance of all models, with no single model consistently able to outperform any other. Results also indicated that the global gridded data tended to reduce the performance for all of the studied models when compared to the tower data, likely a response to scale mismatch and issues related to forcing quality. Rather than relying on any single model simulation, the spatial and temporal variability at both the tower- and grid-scale highlighted the potential benefits of developing an ensemble or blended evaporation product for global-scale LandFlux applications. Challenges related to the robust assessment of the LandFlux product are also discussed. Â© Author(s) 2016.</t>
  </si>
  <si>
    <t>Geoscientific Model Development</t>
  </si>
  <si>
    <t>10.5194/gmd-9-283-2016</t>
  </si>
  <si>
    <t>3-h</t>
  </si>
  <si>
    <t>0.5 deg</t>
  </si>
  <si>
    <t>1997-001</t>
  </si>
  <si>
    <t>FLUXNET</t>
  </si>
  <si>
    <t>BW, CA, CN, DE, FR, IL, IT, JP, NL, PT, RU, SE, US</t>
  </si>
  <si>
    <t>GIMMS</t>
  </si>
  <si>
    <t>derived from in situ</t>
  </si>
  <si>
    <t>SEBS, PT-JPL, PM-Mu, GLEAM</t>
  </si>
  <si>
    <t>PM-Mu</t>
  </si>
  <si>
    <t>LandFlux</t>
  </si>
  <si>
    <t>Global land-surface evaporation estimated from satellite-based observations</t>
  </si>
  <si>
    <t>Miralles, D.G., Holmes, T.R.H., De Jeu, R.A.M., Gash, J.H., Meesters, A.G.C.A., Dolman, A.J.</t>
  </si>
  <si>
    <t>This paper outlines a new strategy to derive evaporation from satellite observations. The approach uses a variety of satellite-sensor products to estimate daily evaporation at a global scale and 0.25 degree spatial resolution. Central to this methodology is the use of the Priestley and Taylor (PT) evaporation model. The minimalistic PT equation combines a small number of inputs, the majority of which can be detected from space. This reduces the number of variables that need to be modelled. Key distinguishing features of the approach are the use of microwave-derived soil moisture, land surface temperature and vegetation density, as well as the detailed estimation of rainfall interception loss. The modelled evaporation is validated against one year of eddy covariance measurements from 43 stations. The estimated annual totals correlate well with the stations' annual cumulative evaporation (R = 0.80, N = 43) and present a low average bias (-5%). The validation of the daily time series at each individual station shows good model performance in all vegetation types and climate conditions with an average correlation coefficient of RÌ_x0084_ = 0.83, still lower than the RÌ_x0084_ = 0.90 found in the validation of the monthly time series. The first global map of annual evaporation developed through this methodology is also presented. Â© Author(s) 2011.</t>
  </si>
  <si>
    <t>Hydrology and Earth System Sciences</t>
  </si>
  <si>
    <t>10.5194/hess-15-453-2011</t>
  </si>
  <si>
    <t>AT, AU, BE, GB, CA, CH, CN, DE, ES, FI, FR, HU, IT, NL, PT, RU, US</t>
  </si>
  <si>
    <t>SRB, ISCCP, CMORPH</t>
  </si>
  <si>
    <t>LPRM</t>
  </si>
  <si>
    <t>improving operational land surface model canopy evapotranspiration in africa using a direct remote sensing approach</t>
  </si>
  <si>
    <t>Marshall, M., Tu, K., Funk, C., Michaelsen, J., Williams, P., Williams, C., Ardö, J., Boucher, M., Cappelaere, B., De Grandcourt, A. and Nickless, A.</t>
  </si>
  <si>
    <t>Climate change is expected to have the greatest impact on the world's economically poor. In the Sahel, a climatically sensitive region where rain-fed agriculture is the primary livelihood, expected decreases in water supply will increase food insecurity. Studies on climate change and the intensification of the water cycle in sub-Saharan Africa are few. This is due in part to poor calibration of modeled evapotranspiration (ET), a key input in continental-scale hydrologic models. In this study, a remote sensing model of transpiration (the primary component of ET), driven by a time series of vegetation indices, was used to substitute transpiration from the Global Land Data Assimilation System realization of the National Centers for Environmental Prediction, Oregon State University, Air Force, and Hydrology Research Laboratory at National Weather Service Land Surface Model (GNOAH) to improve total ET model estimates for monitoring purposes in sub-Saharan Africa. The performance of the hybrid model was compared against GNOAH ET and the remote sensing method using eight eddy flux towers representing major biomes of sub-Saharan Africa. The greatest improvements in model performance were at humid sites with dense vegetation, while performance at semi-arid sites was poor, but better than the models before hybridization. The reduction in errors using the hybrid model can be attributed to the integration of a simple canopy scheme that depends primarily on low bias surface climate reanalysis data and is driven primarily by a time series of vegetation indices. Ã‚Â© 2013 Author(s).</t>
  </si>
  <si>
    <t>10.5194/hess-17-1079-2013</t>
  </si>
  <si>
    <t>BW-Mal</t>
  </si>
  <si>
    <t>Maun- Mopane Woodland</t>
  </si>
  <si>
    <t>CG-Euc</t>
  </si>
  <si>
    <t>Kissoko Eucalyptus Plantation</t>
  </si>
  <si>
    <t>EBG</t>
  </si>
  <si>
    <t>CG</t>
  </si>
  <si>
    <t>CG-Tch</t>
  </si>
  <si>
    <t>NE-Waf</t>
  </si>
  <si>
    <t>Wankama Fallow</t>
  </si>
  <si>
    <t>NE</t>
  </si>
  <si>
    <t>PT-JPL-GNOAH</t>
  </si>
  <si>
    <t>reports "The mean relative difference (MRD), defined as the ratio of the difference between estimated and measured ET over the measurement value averaged over all samples"</t>
  </si>
  <si>
    <t>Performance of the METRIC model in estimating evapotranspiration fluxes over an irrigated field in Saudi Arabia using Landsat-8 images</t>
  </si>
  <si>
    <t>Madugundu, R., Al-Gaadi, K.A., Tola, E., Hassaballa, A.A., Patil, V.C.</t>
  </si>
  <si>
    <t>Accurate estimation of evapotranspiration (ET) is essential for hydrological modeling and efficient crop water management in hyper-arid climates. In this study, we applied the METRIC algorithm on Landsat-8 images, acquired from June to October 2013, for the mapping of ET of a 50ha center-pivot irrigated alfalfa field in the eastern region of Saudi Arabia. The METRIC-estimated energy balance components and ET were evaluated against the data provided by an eddy covariance (EC) flux tower installed in the field. Results indicated that the METRIC algorithm provided accurate ET estimates over the study area, with RMSE values of 0.13 and 4.15mmd-1. The METRIC algorithm was observed to perform better in full canopy conditions compared to partial canopy conditions. On average, the METRIC algorithm overestimated the hourly ET by 6.6% in comparison to the EC measurements; however, the daily ET was underestimated by 4.2%.</t>
  </si>
  <si>
    <t>10.5194/hess-21-6135-2017</t>
  </si>
  <si>
    <t>Todhia Arable Farm</t>
  </si>
  <si>
    <t>alfalfa</t>
  </si>
  <si>
    <t>y, Gockede et al, 2006)</t>
  </si>
  <si>
    <t>Regional evapotranspiration from an image-based implementation of the Surface Temperature Initiated Closure (STIC1.2) model and its validation across an aridity gradient in the conterminous US</t>
  </si>
  <si>
    <t>Bhattarai, N., Mallick, K., Brunsell, N.A., Sun, G., Jain, M.</t>
  </si>
  <si>
    <t>Recent studies have highlighted the need for improved characterizations of aerodynamic conductance and temperature (gA and T0) in thermal remote-sensing-based surface energy balance (SEB) models to reduce uncertainties in regional-scale evapotranspiration (ET) mapping. By integrating radiometric surface temperature (TR) into the Penman-Monteith (PM) equation and finding analytical solutions of gA and T0, this need was recently addressed by the Surface Temperature Initiated Closure (STIC) model. However, previous implementations of STIC were confined to the ecosystem-scale using flux tower observations of infrared temperature. This study demonstrates the first regional-scale implementation of the most recent version of the STIC model (STIC1.2) that integrates the Moderate Resolution Imaging Spectroradiometer (MODIS) derived TR and ancillary land surface variables in conjunction with NLDAS (North American Land Data Assimilation System) atmospheric variables into a combined structure of the PM and Shuttleworth-Wallace (SW) framework for estimating ET at 1 km Ã_x0097_ 1 km spatial resolution. Evaluation of STIC1.2 at 13 core AmeriFlux sites covering a broad spectrum of climates and biomes across an aridity gradient in the conterminous US suggests that STIC1.2 can provide spatially explicit ET maps with reliable accuracies from dry to wet extremes. When observed ET from one wet, one dry, and one normal precipitation year from all sites were combined, STIC1.2 explained 66% of the variability in observed 8-day cumulative ET with a root mean square error (RMSE) of 7.4 mm/8-day, mean absolute error (MAE) of 5 mm/8-day, and percent bias (PBIAS) of -4 %. These error statistics showed relatively better accuracies than a widely used but previous version of the SEB-based Surface Energy Balance System (SEBS) model, which utilized a simple NDVI-based parameterization of surface roughness (zOM), and the PM-based MOD16 ET. SEBS was found to overestimate (PBIAS = 28%) and MOD16 was found to underestimate ET (PBIAS =26%). The performance of STIC1.2 was better in forest and grassland ecosystems as compared to cropland (20% underestimation) and woody savanna (40% overestimation). Model inter-comparison suggested that ET differences between the models are robustly correlated with gA and associated roughness length estimation uncertainties which are intrinsically connected to TR uncertainties, vapor pressure deficit (DA), and vegetation cover. A consistent performance of STIC1.2 in a broad range of hydrological and biome categories, as well as the capacity to capture spatio-temporal ET signatures across an aridity gradient, points to the potential for this simplified analytical model for near-real-time ET mapping from regional to continental scales. Â© Author(s) 2018.</t>
  </si>
  <si>
    <t>10.5194/hess-22-2311-2018</t>
  </si>
  <si>
    <t>STIC1.2</t>
  </si>
  <si>
    <t>NLDAS, Idaho-GSMD, PRISM</t>
  </si>
  <si>
    <t>normal</t>
  </si>
  <si>
    <t>SRG</t>
  </si>
  <si>
    <t>Santa Rita Grassland</t>
  </si>
  <si>
    <t>NR1</t>
  </si>
  <si>
    <t>Niwot Ridge Forest</t>
  </si>
  <si>
    <t>Kon</t>
  </si>
  <si>
    <t>Konza Prairie</t>
  </si>
  <si>
    <t>KFS</t>
  </si>
  <si>
    <t>Konza Prairie burned</t>
  </si>
  <si>
    <t>North Carolina - clearcut</t>
  </si>
  <si>
    <t>improved</t>
  </si>
  <si>
    <t>SEBS_Chen</t>
  </si>
  <si>
    <t>BESS-STAIR: A framework to estimate daily, 30m, and all-weather crop evapotranspiration using multi-source satellite data for the US Corn Belt</t>
  </si>
  <si>
    <t>Jiang, C., Guan, K., Pan, M., Ryu, Y., Peng, B., Wang, S.</t>
  </si>
  <si>
    <t>With increasing crop water demands and drought threats, mapping and monitoring of cropland evapotranspiration (ET) at high spatial and temporal resolutions become increasingly critical for water management and sustainability. However, estimating ET from satellites for precise water resource management is still challenging due to the limitations in both existing ET models and satellite input data. Specifically, the process of ET is complex and difficult to model, and existing satellite remote-sensing data could not fulfill high resolutions in both space and time. To address the above two issues, this study presents a new high spatiotemporal resolution ET mapping framework, i.e., BESS-STAIR, which integrates a satellite-driven water-carbon-energy coupled biophysical model, BESS (Breathing Earth System Simulator), with a generic and fully automated fusion algorithm, STAIR (SaTallite dAta IntegRation). In this framework, STAIR provides daily 30 m multispectral surface reflectance by fusing Landsat and MODIS satellite data to derive a fine-resolution leaf area index and visible/near-infrared albedo, all of which, along with coarse-resolution meteorological and CO2 data, are used to drive BESS to estimate gap-free 30 m resolution daily ET. We applied BESS-STAIR from 2000 through 2017 in six areas across the US Corn Belt and validated BESSSTAIR ET estimations using flux-tower measurements over 12 sites (85 site years). Results showed that BESS-STAIR daily ET achieved an overall R2 = 0:75, with root mean square error RMSE = 0:93 mm d-1 and relative error RE = 27:9 % when benchmarked with the flux measurements. In addition, BESS-STAIR ET estimations captured the spatial patterns, seasonal cycles, and interannual dynamics well in different sub-regions. The high performance of the BESSSTAIR framework primarily resulted from (1) the implementation of coupled constraints on water, carbon, and energy in BESS, (2) high-quality daily 30 m data from the STAIR fusion algorithm, and (3) BESS's applicability under all-sky conditions. BESS-STAIR is calibration-free and has great potentials to be a reliable tool for water resource management and precision agriculture applications for the US Corn Belt and even worldwide given the global coverage of its input data. Â© 2020 Author(s).</t>
  </si>
  <si>
    <t>10.5194/hess-24-1251-2020</t>
  </si>
  <si>
    <t>BESS-STAIR</t>
  </si>
  <si>
    <t>MERRA, ERA, NOAA</t>
  </si>
  <si>
    <t>CDL</t>
  </si>
  <si>
    <t>BESS-STAIR, VIs-based LAI</t>
  </si>
  <si>
    <t>BESS-STAIR, RTM-based LAI</t>
  </si>
  <si>
    <t>BESS MODIS</t>
  </si>
  <si>
    <t>Application of SEBAL for rice water consumption and productivity estimation through integrating remote sensing and census data in the Sanjiang plain, China</t>
  </si>
  <si>
    <t>Du, J., Song, K., Wang, Z., Li, L.</t>
  </si>
  <si>
    <t>Crop consumptive water use and productivity are key elements to understanding water management performance. This study mapped rice water consumption, yield, and water productivity (WP) in 23 counties from May to October 2006 in the Sanjiang Plain by combining remotely sensed images, agricultural census and meteorological data. The actual evapotranspiration (ETa) was calculated using the Surface Energy Balance Algorithm for Land (SEBAL) model using Moderate Resolution Imaging Spectroradiometer (MODIS) products in 12 snapshots in the growing season. The accuracy evaluation of daily ETa for the SEBAL indicates a relative error ranging from -11.3% to 27.6% compared with the Eddy Covariance system (10.5% on average). The seasonal SEBAL estimated ETa was comparable to that from the ground observation with a relative error of 8.9%. The results indicated that the ETa retrieval method based on remote sensing techniques could satisfy the requirements of regional ETa estimation. The calculated average and maximum water consumption for rice were 446 and 494 mm, respectively. The WP ranged from 1.21 kgÂ·m-3 to 1.94 kgÂ·m-3 in the Sanjiang Plain. A close linear relationship between WP and rice yield was observed (R2 = 0.84), which indicated that the spatial pattern of WP was similar to that of yield, namely high WP associated with the higher yield in the Sanjiang Plain. A comparative analysis of ETa, rice yield and WP maps indicated greater space for improvement of water use efficiency in the Sanjiang Plain. By improving the irrigation schedule, the WP would be increased, which would in turn significantly reduce the irrigation water use and alleviate the water shortage in the Sanjiang Plain.</t>
  </si>
  <si>
    <t>Journal of Food, Agriculture and Environment</t>
  </si>
  <si>
    <t>2006-153</t>
  </si>
  <si>
    <t>2006-275</t>
  </si>
  <si>
    <t>SMWES</t>
  </si>
  <si>
    <t>AWS station</t>
  </si>
  <si>
    <t>Evaluating the use of spatially varying versus bulk average 3D vegetation structural inputs to modelled evapotranspiration within heterogeneous land cover types</t>
  </si>
  <si>
    <t>Sutherland, G., Chasmer, L.E., Petrone, R.M., Kljun, N., Devito, K.J.</t>
  </si>
  <si>
    <t>The Western Boreal Plain of north-central Alberta is prone to water-deficit conditions and is hydrologically sensitive to changes in climate, natural resource extraction and disturbance. Accurate measurement and modelling of the main components of the water balance are important for ecosystem and reclamation management; however, the lack of hydro-meteorological instrumentation found within different land cover types makes quantification of changes to the water balance difficult over large areas. Remote sensing data can provide spatial estimates of land cover distribution and leaf area index (LAI) used as inputs into land surface models. However, land surface models can often suffer from inaccuracies as a result of spatial (coarse pixel) and temporal (discrete acquisition) resolutions, mis-classification and inaccurate representation of LAI using remote sensing data. This study uses high-resolution (1mÃ_x0097_1m) Light Detection and Ranging-derived vegetation parameters (land cover type, LAI and 3D vegetation frictional influences on air movement) as inputs into the Penman-Monteith evapotranspiration (ET) model along with measured hydro-meteorological variables. Comparison with eddy covariance (EC) measurements indicated that spatially explicit ET estimates at 1m resolution (over a 5kmÃ_x0097_5km study area) provided better estimates compared with bulk average ET estimates per land cover type. ET estimates scaled using spatially variable vegetation inputs only underestimated measured fluxes by 2% and 3% at 22Â·5 and 3m EC instrumentation towers, respectively. Bulk averaged ET estimates underestimated measured ET by 5% at the 3m tower and overestimated EC by 7% at the 22Â·5m EC tower. Over coarser scales, the error associated with bulk input parameters can lead to error in overall water balance estimation. Â© 2014 John Wiley &amp; Sons, Ltd.</t>
  </si>
  <si>
    <t>10.1002/eco.1477</t>
  </si>
  <si>
    <t>90 days</t>
  </si>
  <si>
    <t>2008-243</t>
  </si>
  <si>
    <t>Utikuma Region</t>
  </si>
  <si>
    <t>Utikuma</t>
  </si>
  <si>
    <t xml:space="preserve">Forest? </t>
  </si>
  <si>
    <t>56°04′N</t>
  </si>
  <si>
    <t>115°28′W</t>
  </si>
  <si>
    <t>flux footprint was mixed-wood aspen upland, 13% peatland, 10% pond, 12% riparian and 5% regenerating aspen</t>
  </si>
  <si>
    <t>y Kljun et al., 2004)</t>
  </si>
  <si>
    <t>PM - spatially variable inputs</t>
  </si>
  <si>
    <t>EC Tower</t>
  </si>
  <si>
    <t>LIDAR</t>
  </si>
  <si>
    <t>PM - averaged inputs</t>
  </si>
  <si>
    <t>Mapping daily evapotranspiration at field scales over rainfed and irrigated agricultural areas using remote sensing data fusion</t>
  </si>
  <si>
    <t>Continuous monitoring of daily evapotranspiration (ET) at field scale can be achieved by combining thermal infrared remote sensing data information from multiple satellite platforms, given that no single sensor currently exists today with the required spatiotemporal resolution. Here, an integrated approach to field-scale ET mapping is described, combining multi-scale surface energy balance evaluations and a data fusion methodology, namely the Spatial and Temporal Adaptive Reflectance Fusion Model (STARFM), to optimally exploit spatiotemporal characteristics of image datasets collected by the Landsat and Moderate resolution Imaging Spectroradiometer (MODIS) sensors, as well as geostationary platforms. Performance of this methodology is evaluated over adjacent irrigated and rainfed fields, since mixed conditions are the most challenging for data fusion procedures, and in two different climatic regions: a semi-arid site in Bushland, TX and a temperate site in Mead, NE. Daytime-total ET estimates obtained for the Landsat overpass dates suggest that the intrinsic model accuracy is consistent across the different test sites (and on the order of 0.5mmd-1) when contemporaneous Landsat imagery at 30-m resolution is available. Comparisons between tower observations and daily ET datastreams, reconstructed between overpasses by fusing Landsat and MODIS estimates, provide a means for assessing the strengths and limitations of the fused product. At the Mead site, the model performed similarly for both irrigated and rainfed fields, with an accuracy of about 0.9mmd-1. This similarity in performance is likely due to the relatively large size of the fields (â_x0089__x0088_50ha), suggesting that the soil moisture dynamics of the irrigated fields are reasonably well captured at the 1-km MODIS thermal pixel scale. On the other hand, the accuracy of daily retrievals for irrigated fields at the Bushland site was lower than that for the rainfed field (errors of 1.5 and 1.0mmd-1, respectively), likely due to the inability of the model to capture ET spikes right after irrigation events for fields substantially smaller than MODIS data resolution. At this site, the irrigated fields were small (â_x0089__x0088_5ha) compared to the MODIS pixel size, and sparsely distributed over the landscape, so sporadic contributions to ET from soil evaporation due to irrigation were not captured by the 1-km MODIS ET retrievals. However, due the semiarid environment at Bushland, these irrigation-induced spikes in soil evaporation are not long-lived and these underestimations generally affect the irrigation dates only and they do not seem to influence negatively the estimates at the seasonal scale. ET data fusion is expected to perform better over agricultural areas where irrigation is more spatially continuous, resulting in moisture fluxes that are more uniform at the MODIS pixel scale. Overall, the model accurately reproduces the ET temporal dynamics for all the experimental sites, and is able to capture the main differences that were observed between irrigated and rainfed fields at both daily and seasonal time scales. Â© 2013 Elsevier B.V.</t>
  </si>
  <si>
    <t>10.1016/j.agrformet.2013.11.001</t>
  </si>
  <si>
    <t>2008-235</t>
  </si>
  <si>
    <t>Bushland, TX</t>
  </si>
  <si>
    <t>Bushland</t>
  </si>
  <si>
    <t>35◦11 N</t>
  </si>
  <si>
    <t>102◦4 W</t>
  </si>
  <si>
    <t>cotton</t>
  </si>
  <si>
    <t>disAlexi</t>
  </si>
  <si>
    <t>Fifth-Generation Pennsylvania State University/NationalCenter for Atmospheric Research Mesoscale Model; GOES</t>
  </si>
  <si>
    <t>30-m National Land Cover Data (NLCD) map (Homer et al.,2007)</t>
  </si>
  <si>
    <t>2003-127</t>
  </si>
  <si>
    <t>2003-255</t>
  </si>
  <si>
    <t>Mead, NE</t>
  </si>
  <si>
    <t>Mead 3 sites</t>
  </si>
  <si>
    <t>41◦11 N</t>
  </si>
  <si>
    <t>96◦27W</t>
  </si>
  <si>
    <t>corn, soybean</t>
  </si>
  <si>
    <t>Spatially variable evapotranspiration over salt affected pistachio orchards analyzed with satellite remote sensing estimates</t>
  </si>
  <si>
    <t>Jin, Y., He, R., Marino, G., Whiting, M., Kent, E., Sanden, B.L., Culumber, M., Ferguson, L., Little, C., Grattan, S., Paw U, K.T., Lagos, L.O., Snyder, R.L., Zaccaria, D.</t>
  </si>
  <si>
    <t>Recent prolonged droughts in California have emphasized the urgent need to implement more efficient water management practices for high value tree crops. Accurate estimation of evapotranspiration (ET), a main component of consumptive water use, is critical for improving management of micro-irrigated pistachio orchards grown in the San Joaquin Valley of California. We estimated ET of three mature commercial pistachio orchards on non-saline and increasingly saline soils in 2015 and 2016, using the Mapping Evapotranspiration at high Resolution with Internalized Calibration (METRIC) method and Landsat 8 satellite observations. Based on a comparison with field observations at 8 sites, we modified the parameterizations of the momentum roughness length and net radiation for pistachio tree crops and reduced the uncertainty of daily ET estimates. When compared with field data, the recalibrated METRIC ET estimates had an R2 of 0.59, a mean absolute error of 1.1 mm/day, and a RMSE of 1.4 mm/day during Landsat overpass dates (n = 72). The METRIC ET map captured the temporal dynamics and spatial heterogeneity both within and among the orchards. The mean annual crop season estimated ET (mid-March to mid-October in 2016) with remote sensing decreased by 32% from 1064 Â± 99 mm in the non-salt affected control orchard to 725 Â± 82 mm in the orchard with the highest level of soil-water salinity. The ET reduction was consistent with canopy volume differences among the study orchards, as shown by summer Normalized Difference Vegetation Index (NDVI) from Landsat observations, e.g., 0.72 Â± 0.06 in the control vs. 0.52 Â± 0.06 in the most saline orchard. The available energy was controlled mostly by canopy features and explained 64% of daily ET variation among all Landsat pixels and satellite overpass days. The normalized differenced water index (NDWI) could be considered as an important parameter to capture the partitioning of available energy for ET (R2 = 0.38), suggesting that the lower soil osmotic potential in saline orchards further reduced crop ET. Â© 2018 Elsevier B.V.</t>
  </si>
  <si>
    <t>10.1016/j.agrformet.2018.07.004</t>
  </si>
  <si>
    <t>2015-143</t>
  </si>
  <si>
    <t>2016-261</t>
  </si>
  <si>
    <t>Hanford in Kings County, California</t>
  </si>
  <si>
    <t>Hanford</t>
  </si>
  <si>
    <t>36°15′ N</t>
  </si>
  <si>
    <t>119°30′ W</t>
  </si>
  <si>
    <t xml:space="preserve">pistachio orchard </t>
  </si>
  <si>
    <t>80-180</t>
  </si>
  <si>
    <t>the California Irrigation Management Information System (CIMIS),</t>
  </si>
  <si>
    <t>2016-130</t>
  </si>
  <si>
    <t>Lemoore in Kings County, California</t>
  </si>
  <si>
    <t>Lemoore</t>
  </si>
  <si>
    <t>36° 14′ N</t>
  </si>
  <si>
    <t>119° 56′ W</t>
  </si>
  <si>
    <t>80-181</t>
  </si>
  <si>
    <t>80-182</t>
  </si>
  <si>
    <t>Hanford and Lemoore in Kings County, California</t>
  </si>
  <si>
    <t>80-183</t>
  </si>
  <si>
    <t>80-184</t>
  </si>
  <si>
    <t>80-185</t>
  </si>
  <si>
    <t>80-186</t>
  </si>
  <si>
    <t>80-187</t>
  </si>
  <si>
    <t>80-188</t>
  </si>
  <si>
    <t>80-189</t>
  </si>
  <si>
    <t>80-190</t>
  </si>
  <si>
    <t>80-191</t>
  </si>
  <si>
    <t>80-192</t>
  </si>
  <si>
    <t>80-193</t>
  </si>
  <si>
    <t>80-194</t>
  </si>
  <si>
    <t>80-195</t>
  </si>
  <si>
    <t>Comparison of three remote sensing based models to estimate evapotranspiration in an oasis-desert region</t>
  </si>
  <si>
    <t>Lian, J., Huang, M.</t>
  </si>
  <si>
    <t>Regional evapotranspiration (ET) estimation is crucial for regional water resources management and allocation. This paper evaluated the performance of three contextual remote sensing based models for ET estimation (METRIC-Mapping Evapotranspiration at High Resolution with Internalized Calibration; the Ts-VI triangle model; and SSEB-Simplified Surface Energy Balance) in an oasis-desert region during a growing season under advective environmental conditions. The performance of the three models was first assessed using surface fluxes observed at five eddy covariance (EC) flux towers installed in different land-cover types. Comparisons among model outputs were then conducted on a pixel-by-pixel basis for three main land-cover types (farmland, transition zone and desert). For METRIC and SSEB, good correlations were obtained between the modeled versus measured instantaneous latent heat flux (Î»ET), with both R2 values above 0.90. Outliers occurred when available energy was overestimated for the Ts-VI triangle model. Pixel-wise comparisons showed the greatest consistency between the Ts-VI triangle model and METRIC outputs in farmland with an R2 of 0.98 and an RMSE of 13.69Wm-2. Overall, METRIC outperformed both the Ts-VI triangle and SSEB models; the Ts-VI triangle model tended to overestimate and the SSEB to underestimate at higher values of Î»ET. ET estimations by SSEB and the Ts-VI triangle model are more sensitive to the estimated surface temperature and available energy than those from METRIC. Two daily ET extrapolation methods were evaluated with the EC measured daily ET The results indicated that the constant reference ET fraction (ETrF) method could be used over well-watered areas due to the regional advection effect; the constant evaporative fraction (EF) method tended to give better outputs for other areas. Reasonable estimates of ET can be achieved by carefully selecting extreme pixels or edges, and validation is required when applying remote sensing based models, especially the contextual methods. Â© 2015 Elsevier B.V.</t>
  </si>
  <si>
    <t>10.1016/j.agwat.2015.12.001</t>
  </si>
  <si>
    <t>2013-121</t>
  </si>
  <si>
    <t>automatic weather stations (AWS)</t>
  </si>
  <si>
    <t>landsat</t>
  </si>
  <si>
    <t>METRIC, Ts-VI, SSEB</t>
  </si>
  <si>
    <t>2013-122</t>
  </si>
  <si>
    <t>2013-152</t>
  </si>
  <si>
    <t>2013-153</t>
  </si>
  <si>
    <t>2013-182</t>
  </si>
  <si>
    <t>2013-213</t>
  </si>
  <si>
    <t>2013-214</t>
  </si>
  <si>
    <t>2013-244</t>
  </si>
  <si>
    <t>2013-245</t>
  </si>
  <si>
    <t>2013-274</t>
  </si>
  <si>
    <t>Shenshawo, Huazhaizi, and Bajitan</t>
  </si>
  <si>
    <t>Regional evapotranspiration estimates using the relative soil moisture ratio derived from SMAP products</t>
  </si>
  <si>
    <t>Walker, E., GarcÃ­a, G.A., Venturini, V., Carrasco, A.</t>
  </si>
  <si>
    <t>Evapotranspiration (ET) is the main water loss in water balance, particularly in arid and semiarid regions. In the last decades, remote sensing technology has been providing valuable information to monitor ET at large scale. In this study, a modification of the relative evapotranspiration (F) parameter introduced by Venturini et al. (2008) is presented. The surface actual water vapor pressure (e s ) is estimated incorporating surface texture information and the soil moisture (SM) content, as proposed by Deardorff (1978). The introduction of SM content in e s estimation led to a physically meaningful estimation of the traditional F formulation. As a result, the original Venturini et al.'s ET application is simpler, more flexible and robust. The results presented here were calculated from the Soil Moisture Active Passive (SMAP) products with two different spatial resolutions 36 and 3 km, to compute regional ET. The proposed ET model was validated using ground observations from Bowen Ratio stations and Eddy Covariance towers. The ET results with a spatial resolution of 36 km showed good agreement with ground data, with a root mean square error varying from 0.91 to 1.22 mm/d. The recently released SMAP SM product at 3 km produces ET estimates with a root mean square error of 0.63 mm/d for autumn-winter season. The new ET model results were also compared with the well-known ET MYD16A2 product, making evident that the proposed approach outreaches the Moderate Resolution Imaging Spectroradiometer (MODIS) methodology. The preliminary results presented with our simple, flexible, universal and robust ET equation using SMAP SM, are promising. Â© 2019 Elsevier B.V.</t>
  </si>
  <si>
    <t>10.1016/j.agwat.2019.02.009</t>
  </si>
  <si>
    <t>2016-120</t>
  </si>
  <si>
    <t>2016-321</t>
  </si>
  <si>
    <t>AmericaFlux (Minnesota and Illinois)</t>
  </si>
  <si>
    <t>CRO and GRA</t>
  </si>
  <si>
    <t>44.5 and 42.0</t>
  </si>
  <si>
    <t>-93.1 and -88.2</t>
  </si>
  <si>
    <t>Venturini et al.’s model (Venturini et al., 2008),</t>
  </si>
  <si>
    <t>EC stations</t>
  </si>
  <si>
    <t>SMAP (microwave)</t>
  </si>
  <si>
    <t>Venturini 2008</t>
  </si>
  <si>
    <t>Satellite-based NDVI crop coefficients and evapotranspiration with eddy covariance validation for multiple durum wheat fields in the US Southwest</t>
  </si>
  <si>
    <t>French, A.N., Hunsaker, D.J., Sanchez, C.A., Saber, M., Gonzalez, J.R., Anderson, R.</t>
  </si>
  <si>
    <t>A three-year study was conducted to assess the ability of satellite-based vegetation index (VI) images to track evapotranspiration over wheat. While the ability of using VIs, notably with the Normalized Difference Vegetation Index (NDVI), to track vegetation growth has been well established, the operational capability to accurately estimate the crop coefficient (Kc) and crop evapotranspiration (ETc) at farm-scale from spaceborne platforms has not been widely studied. The study evaluated wheat ET over 7 sites between 2016 and 2019 in Yuma and Maricopa, Arizona, US estimated by using Sentinel 2 and Venus satellites to map NDVI time-series for entire wheat cropping seasons, December to June. The basal crop coefficient (Kcb) was modeled by the NDVI time-series and the daily FAO56 reference ETo was obtained by near-by weather network stations. Eddy covariance (EC) stations in each field observed ETc during the same seasonal periods, and applied irrigation amounts were logged. The experiment found that remote sensing of NDVI and modeled Kcb accurately estimated Kc and crop ET during mid-season through senescence in most cases. However, NDVI-based estimation performed less well during early season (&amp;lt;60 days after planting), when observed ETc was highly variable due to frequent rain and irrigation at low crop cover. Mid-season Kc values observed for the seven wheat fields were from 0.92 to 1.14, and end of season Kc values ranged from about 0.20 to 0.40, in close agreement to values reported elsewhere. Seasonal VI-based transpiration and ETc values ranged from 467 to 618 mm, closely agreeing with seasonal EC data, which ranged 499â_x0080__x0093_684 mm. Using the Venus sensor, the study in Maricopa in 2019 revealed that when augmented by a background soil water balance model, water stressed wheat can be detected mid-season with NDVI. This capability is specifically due to the sensor's ability to provide well-calibrated images every 2 days. Findings from this study will help farmers, irrigators, and water managers use and understand the capabilities of visible near infrared remote sensing to track ETc from space. Â© 2020</t>
  </si>
  <si>
    <t>10.1016/j.agwat.2020.106266</t>
  </si>
  <si>
    <t>5-10m</t>
  </si>
  <si>
    <t>2018-353</t>
  </si>
  <si>
    <t>2019-077</t>
  </si>
  <si>
    <t>Initial-develop.</t>
  </si>
  <si>
    <t>Maricopa</t>
  </si>
  <si>
    <t xml:space="preserve">33° 4′ 39″ N; </t>
  </si>
  <si>
    <t>112° 6′ 43″ W</t>
  </si>
  <si>
    <t>VISW French et al., 2018</t>
  </si>
  <si>
    <t>Venus (https://www.theia-land.fr/en/product/venus/)</t>
  </si>
  <si>
    <t>2019-084</t>
  </si>
  <si>
    <t>Mid-season</t>
  </si>
  <si>
    <t>2019-146</t>
  </si>
  <si>
    <t>Late-season</t>
  </si>
  <si>
    <t>All stages</t>
  </si>
  <si>
    <t>Using high-spatiotemporal thermal satellite ET retrievals to monitor water use over California vineyards of different climate, vine variety and trellis design</t>
  </si>
  <si>
    <t>Knipper, K.R., Kustas, W.P., Anderson, M.C., Nieto, H., Alfieri, J.G., Prueger, J.H., Hain, C.R., Gao, F., McKee, L.G., Alsina, M.M., Sanchez, L.</t>
  </si>
  <si>
    <t>Mapping the spatial variability of actual evapotranspiration (ETa) across vineyards is useful for optimizing irrigation scheduling and efficiency, leading to conservation of water resources and more sustainable wine grape production. To support efficient irrigation strategies, we investigate the utility of thermal infrared-based ETa maps over a range of vineyards located throughout California, each representing a unique local climate, trellis design, grape variety, row orientation and management practice. ETa maps are derived by combining the Disaggregated Atmosphere Land Exchange Inverse (ALEXI/DisALEXI) surface energy balance model and the Spatial Temporal Adaptive Reflectance Fusion Model (STARFM) to generate ETa estimates at high spatial (30 m) and temporal (daily) resolution. Model output is evaluated for years 2017 and 2018 over vineyard sites located in Sonoma, Sacramento, and Madera counties in California that are being monitored as part of the Grape Remote sensing Atmospheric Profile and Evapotranspiration eXperiment (GRAPEX). Overall, modeled daily ET estimates compare well with flux tower observations, with average root mean square error (RMSE), mean absolute error (MAE) and mean bias error (MBE) of 0.88 mm dayâ_x0088__x0092_1, 0.70 mm dayâ_x0088__x0092_1, and 0.17 mm dayâ_x0088__x0092_1 respectively, over all four individual vineyard locations, aligning with past GRAPEX studies. Despite general agreement, record wildfires in northern California during 2018 likely resulted in positive model bias, while misrepresentation of leaf area index within a double-trellis designed canopy at the southern-most vineyard resulted in negative model bias. Spatial analysis of monthly total ET highlights the advantages of utilizing a satellite-based approach to characterize the variability in water use within and surrounding the targeted vineyards. A reliable spatial ET product at scale has the potential to improve water allocation and conservation efforts by identifying areas of uneven water use due to variations in soil texture and composition and other environmental or anthropogenic factors. Â© 2020 Elsevier B.V.</t>
  </si>
  <si>
    <t>10.1016/j.agwat.2020.106361</t>
  </si>
  <si>
    <t>BAR012</t>
  </si>
  <si>
    <t>Barrelli</t>
  </si>
  <si>
    <t>Alexi/disAlexi</t>
  </si>
  <si>
    <t>National Centers for Environmental Prediction (NCEP) Climate Forecast System Reanalysis (CFSR) data set (Dee et al., 2013).</t>
  </si>
  <si>
    <t>National Land Cover Dataset (NLCD) (Fry et al., 2011).</t>
  </si>
  <si>
    <t>RIP760</t>
  </si>
  <si>
    <t>Ripperdan760</t>
  </si>
  <si>
    <t>Reconstruction of remotely sensed daily evapotranspiration data in cloudy-sky conditions</t>
  </si>
  <si>
    <t>Song, L., Bateni, S.M., Xu, Y., Xu, T., He, X., Ki, S.J., Liu, S., Ma, M., Yang, Y.</t>
  </si>
  <si>
    <t>The unavailability of thermal infrared satellite observations in cloudy conditions has limited the spatial distribution and temporal coverage of remotely sensed evapotranspiration (ET) data. As a result, a number of approaches have been developed to reconstruct remotely sensed daily ET data in cloudy-sky conditions. Despite the wide application of these approaches, no work has been conducted to compare their performance over a wide variety of climatic and vegetative conditions. In this study, three commonly used ET reconstruction approaches namely, reference ET fraction (EToF), land surface temperature reconstruction (LSTR), and variational data assimilation (VDA) are used to obtain daily ET data under cloudy conditions. The abovementioned three approaches are applied to the Heihe River Basin (HRB) in the northwest of China during the growing season in 2015. The HRB covers an area of approximately 1,432,000 km2 and contains various land covers. The large aperture scintillometer (LAS) and eddy covariance (EC) measurements are used to evaluate performance of the abovementioned three methods over the grassland, cropland, and riparian forest sites in the HRB. The results show that the EToF approach underestimates ET at the grassland and riparian sites in cloudy days because of the negatively biased ET/ETo (where ETo is the reference evapotranspiration) in clear-sky days. The VDA approach overestimates ET in cloudy-sky conditions because of the overpredicted evaporative fraction values. The LSTR approach overestimates ET due to the under-reconstructed LST in cloudy day. The mean absolute percentage difference (MAPD) and root mean square error (RMSE) statistical metrics are used to compare performance of the three approaches The LSTR (MAPD = 43.1% and RMSE = 1.3 mm/day) and VDA (MAPD = 46.7% and RMSE = 1.4 mm/day) approaches slightly outperform EToF (MAPD = 46.6% and RMSE = 1.5 mm/day). The RMSEs of reconstructed ET values by EToF, VDA, and LSTR increase respectively from 1.6, 1.2, and 1.5 (mm/day) to 2.2, 1.9, and 2.0 (mm/day) as the number of consecutive cloudy days increases from 1 to 3. These outcomes suggest that synergistic use of space-borne microwave and thermal infrared LST observations into remote sensing-based ET methods can improve the reconstruction of ET data under cloudy conditions. Â© 2021 Elsevier B.V.</t>
  </si>
  <si>
    <t>10.1016/j.agwat.2021.107000</t>
  </si>
  <si>
    <t>EToF</t>
  </si>
  <si>
    <t>DTD</t>
  </si>
  <si>
    <t>LSTR, DTD (Song et al., 2018)</t>
  </si>
  <si>
    <t>VDA</t>
  </si>
  <si>
    <t>riparian forest</t>
  </si>
  <si>
    <t>satellite-based evapotranspiration of a super-intensive olive orchard: application of metric algorithms</t>
  </si>
  <si>
    <t>Pôças, I., Paço, T.A., Cunha, M., Andrade, J.A., Silvestre, J., Sousa, A., Santos, F.L., Pereira, L.S. and Allen, R.G.</t>
  </si>
  <si>
    <t>METRICÃ¢â€žÂ¢ is a satellite-based surface energy balance model aimed at estimating and mapping crop evapotranspiration (ET). It has been applied to a large range of vegetation types, mostly annual crops. When applied to anisotropic woody canopies, such as olive orchards, extensions are required to algorithms for estimating the leaf area index (LAI), surface temperature, and momentum roughness length (Zom). The computation of the radiometric surface temperature needs to consider a three-source condition, thus differentiating the temperature of the canopy (Tc), of the shaded ground surface (Tshadow), and of the sunlit ground surface (Tsunlit). The estimation of the Zom for tall and incomplete cover is based upon the LAI and crop height using the Perrier equation. The LAI, Zom, and temperature derived from METRIC after these adjustments were tested against field collected data with good results. The application of METRIC to a two year set of Landsat images to estimate ET of a super-intensive olive orchard in Southern Portugal produced good ET estimates that compared well with ground-based ET. The analysis of METRIC performance showed a quantitative improvement of ET estimates when applying the three-source condition for temperature estimation, as well as the Zom computation with the Perrier equation. Results show that METRIC can be used operationally to estimate and mapping ET of super-intensive olive orchards aiming at improving irrigation water use and management. Ã‚Â© 2014 IAgrE.</t>
  </si>
  <si>
    <t>Biosystems Engineering</t>
  </si>
  <si>
    <t>10.1016/j.biosystemseng.2014.06.019</t>
  </si>
  <si>
    <t>2011-143</t>
  </si>
  <si>
    <t>2012-250</t>
  </si>
  <si>
    <t>38_x0003_240N</t>
  </si>
  <si>
    <t>7_x0003_430 W</t>
  </si>
  <si>
    <t>SEB</t>
  </si>
  <si>
    <t>reference weather station</t>
  </si>
  <si>
    <t>CORINE Land Cover 2006</t>
  </si>
  <si>
    <t>Satellite-based crop coefficient and evapotranspiration using surface soil moisture and vegetation indices in Northeast Asia</t>
  </si>
  <si>
    <t>Park, J., Baik, J., Choi, M.</t>
  </si>
  <si>
    <t>Accurate estimation of the crop coefficient (Kc) is crucial for estimating actual crop evapotranspiration (ETa) and planning appropriate irrigation management for efficient crop yield. In this study, satellite-based Kc values were estimated at cropland and mixed forest sites based on the dual crop coefficient approach using merged soil moisture from the European Space Agency as an indicator of evaporation from soil, as well as the Normalized Vegetation Index (NDVI) and the Leaf Area Index (LAI) to explain the effect of transpiration from plants. Comparison of the seasonal patterns and Pearson's correlation coefficient (r) of NDVI, LAI, and surface soil moisture with Kc indicated that it was reasonable to use the three variables as independent variables to estimate Kc. Based on these results, the satellite-based Kc estimated using NDVI, LAI, and soil moisture (Case 1) was compared with the Kc calculated from NDVI and LAI (Case 2) and the flux towers at the significance level of 0.05. The statistical results confirmed that the Kc estimated from Case 1 (Bias: â_x0088__x0092_ 0.012 to 0.053, RMSE: 0.144 to 0.172, and r: 0.463 to 0.800) showed better agreement with the observed Kc than that estimated from Case 2 (Bias: â_x0088__x0092_ 0.058 to 0.088, RMSE: 0.146 to 0.221, and r: 0.434 to 0.788). Among the three variables, soil moisture had the greatest impact on the rice paddy, while the NDVI showed the highest influence on the mixed forest. Based on these results, Kc estimated from Case 1 was multiplied by MODerate resolution Imaging Spectroradiometer (MODIS)-based potential crop evapotranspiration and compared with the latent heat flux from flux towers. ETa showed reasonable bias (cropland: â_x0088__x0092_ 0.224 to 1.364, mixed forest: 0.711 to 1.055), RMSE (cropland: 1.952 to 2.126, mixed forest: 1.085 to 1.878) and r (cropland: 0.529 to 0.832, mixed forest: 0.850 to 0.909) at all of the study sites. After validation of the satellite-based Kc approach under various vegetation types and climate conditions, this approach can be employed not only for developing adequate water and agricultural management plans, but also for analyzing and predicting crop yield productivity and agricultural drought. Â© 2017 Elsevier B.V.</t>
  </si>
  <si>
    <t>Catena</t>
  </si>
  <si>
    <t>10.1016/j.catena.2017.04.013</t>
  </si>
  <si>
    <t>Cheongmi choen (CFC)</t>
  </si>
  <si>
    <t>Cheongmi choen</t>
  </si>
  <si>
    <t>37 09 35 N</t>
  </si>
  <si>
    <t>127 39 10 E</t>
  </si>
  <si>
    <t>paddy rice</t>
  </si>
  <si>
    <t>Flux Footprint Prediction (FFP) model introduced by Kljun et al. (2015).</t>
  </si>
  <si>
    <t>MODIS-PET, Kc</t>
  </si>
  <si>
    <t>36 03 14 N</t>
  </si>
  <si>
    <t>140 01 37 E</t>
  </si>
  <si>
    <t>Paddy</t>
  </si>
  <si>
    <t>Seolma choen (SMC)</t>
  </si>
  <si>
    <t>37 56 20 N</t>
  </si>
  <si>
    <t>126 57 17 E</t>
  </si>
  <si>
    <t>Changbaishan (CBS)</t>
  </si>
  <si>
    <t>41 41 49 N</t>
  </si>
  <si>
    <t xml:space="preserve">127 42 55 E </t>
  </si>
  <si>
    <t>Accuracy comparison of remotely sensed evapotranspiration products and their associated water stress footprints under different land cover types in Korean peninsula</t>
  </si>
  <si>
    <t>Robust spatial information of evapotranspiration from multiple land cover types is deemed critical for several applications in agriculture and water balance studies. Energy balance models, used in association with satellite observations, are beneficial to map spatial variability of evapotranspiration which is mainly governed by different vegetation practices and local environmental conditions. This study utilize the Surface Energy Balance System model to estimate actual evapotranspiration and water scarcity footprints under complex landscape of Korean peninsula using Moderate-Resolution Imaging Spectroradiometer satellite data for a complete hydrological year of 2012. The modeled evapotranspiration was compared with flux tower measurements obtained from a subhumid cropland and temperate forest sites for the accuracy assessment. This accuracy comparison at daily scale had good agreement yielding reasonable coefficient of determination (0.72, 0.51), bias (0.41Â mm dayâ_x0088__x0092_1, 1.01Â mm dayâ_x0088__x0092_1) and root mean squared error (0.92Â mm dayâ_x0088__x0092_1, 1.53Â mm dayâ_x0088__x0092_1) at two observation (cropland, forest) sites, respectively. Furthermore, the monthly aggregated evapotranspiration from Surface Energy Balance System showed promising results than those of obtained from Moderate-Resolution Imaging Spectroradiometer based readymade global evapotranspiration product, i.e., MOD16, when both products were compared with unclosed and closed flux tower measurements. However, the variations in monthly evapotranspiration obtained from both products were significantly controlled by several climate factors and vegetation characteristics. Water stress mapping at regional and monthly scale also revealed strong contrast between the products of two approaches. Highest mean water stress (0.74) was observed for land use areas associated with evergreen forest and under sparsely vegetation condition by using estimated evapotranspiration from Surface Energy Balance System while an extreme mean water stress value of 0.56 by using end product of MOD16 evapotranspiration was raised from cropland regions. Overall, this study revealed the performance and suitability of two distinctive remote sensing approaches for characterizing the footprints of water fluxes in the Korean peninsula and provides a baseline for the policy makers to setup the sustainable use of existing water resources in this and other similar regions. Â© 2016 Elsevier Ltd</t>
  </si>
  <si>
    <t>Journal of Cleaner Production</t>
  </si>
  <si>
    <t>10.1016/j.jclepro.2016.09.022</t>
  </si>
  <si>
    <t>Cheongmicheon farmland (CMC)</t>
  </si>
  <si>
    <t>Estimation of evapotranspiration of “soil-vegetation” system with a scheme combining a dual-source model and satellite data assimilation</t>
  </si>
  <si>
    <t>Cui, Y. and Jia, L.</t>
  </si>
  <si>
    <t>Evapotranspiration (ET) is a key variable linking the energy and water exchanges between the land surface and the atmosphere. The strong energy exchanges between the soil and vegetation in the Ã¢â‚¬Å“soil-vegetationÃ¢â‚¬Â_x009d_ system and the lack of reliable soil moisture products at fine spatial scales, especially for root zone soil moisture, to directly model the effects of water stress on ET estimates, make it difficult to estimate actual ET and its components (soil evaporation Es, vegetation transpiration Tc and rainfall interception Ei). In this paper, we presented a Ã¢â‚¬Å“Soil-VegetationÃ¢â‚¬Â_x009d_ EvapoTranspiration framework (SVET) by combining the dual-source Shuttleworth and Wallace (SW) physical model and satellite soil moisture data assimilation procedure. In the SVET model, net radiation for the soil-vegetation system was first partitioned among soil evaporation, vegetation transpiration and rainfall interception; then, soil moisture was simulated for different soil layers based on the water balance, providing a first guess estimate of soil moisture; after that, simulated soil moisture was improved by assimilating remotely sensed surface soil moisture to reduce the uncertainty of the simulated soil moisture; finally, Es, Tc and Ei estimates were obtained. The ET estimates by the SVET were evaluated against in situ measurements at three stations in the Heihe River Basin with different vegetation cover types (crop, grassland and forest). The overall correlation coefficient (R), root mean square error (RMSE) and bias were 0.931, 0.67 mm dÃ¢Ë†â€™1 and 0. 07 mm dÃ¢Ë†â€™1, respectively. For the ET components, the bias of the estimated ratio of Tc/(Es + Tc) is Ã¢Ë†â€™11.4%. In addition, the SVET model showed outstanding performance, especially over irrigated areas, compared with the results from the original SW model without a soil moisture data assimilation scheme. The SVET model is very promising for applications of water use monitoring of ecosystem, especially for irrigated areas. Ã‚Â© 2021 Elsevier B.V.</t>
  </si>
  <si>
    <t>10.1016/j.jhydrol.2021.127145</t>
  </si>
  <si>
    <t>36_x000e_300N</t>
  </si>
  <si>
    <t>115_x000e_070E</t>
  </si>
  <si>
    <t>Surface Conductance Model</t>
  </si>
  <si>
    <t>Leuning et al 2008</t>
  </si>
  <si>
    <t>NCEP reanalysis data</t>
  </si>
  <si>
    <t>SW</t>
  </si>
  <si>
    <t>40_x000e_370N</t>
  </si>
  <si>
    <t>117_x000e_190E</t>
  </si>
  <si>
    <t>orchard/ maize</t>
  </si>
  <si>
    <t>Leuning et al 2009</t>
  </si>
  <si>
    <t>Leuning et al 2010</t>
  </si>
  <si>
    <t>Leuning et al 2011</t>
  </si>
  <si>
    <t>Leuning et al 2012</t>
  </si>
  <si>
    <t>Leuning et al 2013</t>
  </si>
  <si>
    <t>Leuning et al 2014</t>
  </si>
  <si>
    <t>Leuning et al 2015</t>
  </si>
  <si>
    <t>A Two-source Trapezoid Model for Evapotranspiration (TTME) from satellite imagery</t>
  </si>
  <si>
    <t>This study develops a Two-source Trapezoid Model for Evapotranspiration (TTME) from satellite imagery by interpreting the remotely sensed fractional vegetation cover (f c)-radiative surface temperature (T rad) space and the concept of soil surface moisture availability isopleths superimposed on the space. The theoretical upper boundary condition of TTME is determined by solving for temperatures of the driest bare surface (T s,max) and the driest fully vegetated surface (T c,max) both implicit in radiation budget and energy balance equations. Air temperature (T a) constitutes the lower boundary of TTME. T rad of a pixel within the f c-T rad space is decomposed into temperature components (T c and T s) by interpolating the slope of the theoretical boundaries and interpreting variation in T rad with f c for each isopiestic line going across the pixel. Vegetation transpiration and soil surface evaporation are then separately parameterized. TTME was applied to the Soil Moisture-Atmosphere Coupling Experiment (SMACEX) site in central Iowa, U.S., on three days in 2002 during the period of rapid growth in corn and soybean when three scenes of Landsat Thematic Mapper (TM)/Enhanced Thematic Mapper Plus (ETM +) images and one scene of the Advanced Spaceborne Thermal Emission and Reflection Radiometer (ASTER) image were acquired. Results indicate that TTME is capable of reproducing latent heat flux (LE) with a mean absolute percentage difference (MAPD) of ~10%, and a root mean square difference (RMSD) of 45.6Wm -2 and 63.1Wm -2 for Landsat TM/ETM + and ASTER images, respectively. Comparison of TTME with other one-source and two-source models using the same data set suggests that TTME shows comparable accuracy as the Two-Source Energy Balance (TSEB), but requires relatively fewer inputs and obviates the computation of resistance networks in the modeling domain and the overestimation of vegetation transpiration incurred by using the Priestley-Taylor equation. Sensitivity analysis suggests that TTME is most sensitive to T rad and T a, but not sensitive to a range of meteorological observations and variables and parameters derived/specified. Â© 2012 Elsevier Inc.</t>
  </si>
  <si>
    <t>10.1016/j.rse.2012.02.015</t>
  </si>
  <si>
    <t>Walnut Creek watershed</t>
  </si>
  <si>
    <t>41.87°N and 42.05°N</t>
  </si>
  <si>
    <t>−93.83°W and −93.39°W</t>
  </si>
  <si>
    <t>TTME</t>
  </si>
  <si>
    <t>Two-source Trapezoid Model</t>
  </si>
  <si>
    <t>Aster</t>
  </si>
  <si>
    <t>Temporal upscaling of instantaneous evapotranspiration: An intercomparison of four methods using eddy covariance measurements and MODIS data</t>
  </si>
  <si>
    <t>Tang, R., Li, Z.-L., Sun, X.</t>
  </si>
  <si>
    <t>The quantification of land surface evapotranspiration (ET) at daily or longer time scales is of great significance in modeling the global hydrological cycle, studying climate change, and managing water resources. However, current remote sensing-based ET models can generally only provide snapshots of ET at the time of a satellite overpass and do not satisfy the expectations of hydrologists, irrigation engineers, or water resource managers concerned with practical applications. Four commonly used ET upscaling schemes, namely, the constant reference evaporative fraction (EFr) method, the constant evaporative fraction (EF) method, the constant extraterrestrial solar radiation ratio (Rp) method, and the constant observed global solar radiation ratio (Rg) method, were evaluated in this study using ground-based eddy covariance (EC) measurements and the Moderate Resolution Imaging Spectroradiometer (MODIS) derived estimates from a two-source energy balance model. Analysis was made of both closed and un-closed surface fluxes and of different assumed satellite overpass times from mid-morning to mid-afternoon. Data for the analysis were collected at the Yucheng comprehensive experimental station in Northern China, spanning the period from late April 2009 to late October 2011. The results show that all four upscaling factors from noon to mid-afternoon had a better agreement with their corresponding daily averages. Overall, the EFr (Rg) method had the best (second best) performance of the four upscaling methods. The EF method was found to significantly underestimate the daily latent heat flux (LE) and performed the worst of the four upscaling methods. With the correction of the energy imbalance of EC measurements, the Rg method's performance was improved and outperformed the EFr method in the morning. The presence of clouds either increased or decreased the BIAS but generally increased the root mean square error (RMSE) for all four upscaling methods. When the upscaling methods were applied to convert the instantaneous MODIS remote sensing estimates of ET to daily values, the accuracy of the extrapolated daily ET was controlled by the accuracy of both the remote sensing ET estimates and the upscaling methods themselves. With the insignificantly biased estimates of the instantaneous LE from the N95 model at 101 MODIS overpass times in this study, using the EF method underestimated the daily ET by 11%, while all the remaining three factors overestimated the daily ET by a range of 5%-18%. This study was conducted to provide a scientific basis for developing an operational and more accurate ET-upscaling method with easy access to data in future studies. Â© 2013 Elsevier Inc.</t>
  </si>
  <si>
    <t>10.1016/j.rse.2013.07.001</t>
  </si>
  <si>
    <t>2011-275</t>
  </si>
  <si>
    <t>36.8291° N</t>
  </si>
  <si>
    <t>116.5703° E,</t>
  </si>
  <si>
    <t>4.3/ 2.9</t>
  </si>
  <si>
    <t>A comprehensive evaluation of two MODIS evapotranspiration products over the conterminous United States: Using point and gridded FLUXNET and water balance ET</t>
  </si>
  <si>
    <t>Velpuri, N.M., Senay, G.B., Singh, R.K., Bohms, S., Verdin, J.P.</t>
  </si>
  <si>
    <t>Remote sensing datasets are increasingly being used to provide spatially explicit large scale evapotranspiration (ET) estimates. Extensive evaluation of such large scale estimates is necessary before they can be used in various applications. In this study, two monthly MODIS 1. km ET products, MODIS global ET (MOD16) and Operational Simplified Surface Energy Balance (SSEBop) ET, are validated over the conterminous United States at both point and basin scales. Point scale validation was performed using eddy covariance FLUXNET ET (FLET) data (2001-2007) aggregated by year, land cover, elevation and climate zone. Basin scale validation was performed using annual gridded FLUXNET ET (GFET) and annual basin water balance ET (WBET) data aggregated by various hydrologic unit code (HUC) levels. Point scale validation using monthly data aggregated by years revealed that the MOD16 ET and SSEBop ET products showed overall comparable annual accuracies. For most land cover types, both ET products showed comparable results. However, SSEBop showed higher performance for Grassland and Forest classes; MOD16 showed improved performance in the Woody Savanna class. Accuracy of both the ET products was also found to be comparable over different climate zones. However, SSEBop data showed higher skill score across the climate zones covering the western United States. Validation results at different HUC levels over 2000-2011 using GFET as a reference indicate higher accuracies for MOD16 ET data. MOD16, SSEBop and GFET data were validated against WBET (2000-2009), and results indicate that both MOD16 and SSEBop ET matched the accuracies of the global GFET dataset at different HUC levels. Our results indicate that both MODIS ET products effectively reproduced basin scale ET response (up to 25% uncertainty) compared to CONUS-wide point-based ET response (up to 50-60% uncertainty) illustrating the reliability of MODIS ET products for basin-scale ET estimation. Results from this research would guide the additional parameter refinement required for the MOD16 and SSEBop algorithms in order to further improve their accuracy and performance for agro-hydrologic applications. Â© 2013.</t>
  </si>
  <si>
    <t>10.1016/j.rse.2013.07.013</t>
  </si>
  <si>
    <t>MODIS16, SSEBop</t>
  </si>
  <si>
    <t>Woody savanna</t>
  </si>
  <si>
    <t>WSav</t>
  </si>
  <si>
    <t>Shrubland stations</t>
  </si>
  <si>
    <t>Urban</t>
  </si>
  <si>
    <t>Fort Dix</t>
  </si>
  <si>
    <t>&lt;200m stations</t>
  </si>
  <si>
    <t>&lt;200</t>
  </si>
  <si>
    <t>200-500m stations</t>
  </si>
  <si>
    <t>200-500</t>
  </si>
  <si>
    <t>Bsk stations</t>
  </si>
  <si>
    <t>B</t>
  </si>
  <si>
    <t>Cfa stations</t>
  </si>
  <si>
    <t>C</t>
  </si>
  <si>
    <t>Csa stations</t>
  </si>
  <si>
    <t>Csb stations</t>
  </si>
  <si>
    <t>Dfa stations</t>
  </si>
  <si>
    <t>DFb stations</t>
  </si>
  <si>
    <t>DFb</t>
  </si>
  <si>
    <t>DFc stations</t>
  </si>
  <si>
    <t>DFc</t>
  </si>
  <si>
    <t>SWA</t>
  </si>
  <si>
    <t>an enhanced two-source evapotranspiration model for land (eteml): algorithm and evaluation</t>
  </si>
  <si>
    <t>Yang, Y., Su, H., Zhang, R., Tian, J., Li, L.</t>
  </si>
  <si>
    <t>Satellite remote sensing provides a promising way to estimate regional evapotranspiration (ET) in a spatially distributed manner. In this study, an enhanced two-source evapotranspiration model for land (ETEML) is proposed based on a trapezoid framework of the vegetation fractional cover and land surface temperature (VFC/LST) space. In ETEML, a VFC/LST trapezoid space is theoretically defined for each pixel, and a pixel-wise mixed surface temperature decomposition method is proposed. ETEML is based on a two-source scheme, and the crop water stress index (CWSI) concept is applied to parameterize the soil evaporation and the vegetation transpiration separately. The proposed model was applied to the Soil Moisture-Atmosphere Coupling Experiment (SMACEX) site in central Iowa, USA. Evaluation with a remotely sensed dataset from Landsat was carried out to assess the performance of ETEML. Compared with the tower observations, the mean absolute deviation (MAD) and the root mean square deviation (RMSD) for the ETEML estimated latent heat flux (LE) are, respectively, 49W/m2 and 59W/m2, comparable to retrieval accuracies published in other studies. Comparison between ETEML and variations on a simpler trapezoid interpolation model (TIM1 and TIM2) indicates that ETEML reduces the subjectivity and uncertainties involved in TIM1 and TIM2. Overall, the results suggest that ETEML is promising and can expand the application of the trapezoid framework-based ET modeling approaches to heterogeneous surfaces. Ãƒâ€šÃ‚Â© 2015 Elsevier Inc.</t>
  </si>
  <si>
    <t>10.1016/j.rse.2015.06.020</t>
  </si>
  <si>
    <t>1-2 pixels</t>
  </si>
  <si>
    <t>Walnut creek watershed</t>
  </si>
  <si>
    <t>soybean and corn</t>
  </si>
  <si>
    <t>0.5° latitude by 0.6° longitude</t>
  </si>
  <si>
    <t>ETEML</t>
  </si>
  <si>
    <t>regional data</t>
  </si>
  <si>
    <t>National Snow and Ice Data Center (http://nsidc.org/index.html).</t>
  </si>
  <si>
    <t>Zhang 2009</t>
  </si>
  <si>
    <t>TIM2</t>
  </si>
  <si>
    <t>TIM1</t>
  </si>
  <si>
    <t>Multi-scale evaluation of global gross primary productivity and evapotranspiration products derived from Breathing Earth System Simulator (BESS)</t>
  </si>
  <si>
    <t>Jiang, C., Ryu, Y.</t>
  </si>
  <si>
    <t>Several global gross primary production (GPP) and evapotranspiration (ET) remote sensing products exist, mainly provided by machine-learning (e.g. MPI-BGC) and semi-empirical (e.g. MODIS) approaches. Process-based approaches have the advantage of representing the atmosphere-vegetation-soil system and associated fluxes as an organic integration, but their sophistication results in a lack of high spatiotemporal resolution continuous products. Targeting this gap, we reported a new set of global 8-day composite 1-km resolution GPP and ET products from 2000 to 2015, using a simplified process-based model, the Breathing Earth System Simulator (BESS). BESS couples atmosphere and canopy radiative transfer, photosynthesis and evapotranspiration, and uses MODIS atmosphere and land data and other satellite data sources as inputs. We evaluated BESS products against FLUXNET observations at site scale (total of 113 sites, 742 site years), and against MPI-BGC products at global scale. At site scale, BESS 8-day products agreed with FLUXNET observations with R2Â =Â 0.67 and RMSEÂ =Â 2.58Â gCÂ mâ_x0088__x0092_Â 2Â dâ_x0088__x0092_Â 1 for GPP, and R2Â =Â 0.62 and RMSEÂ =Â 0.78Â mmÂ dâ_x0088__x0092_Â 1 for ET, respectively, and they captured a majority of seasonal variability, about half of spatial variability, and a minority of interannual variability in FLUXNET observations. At global scale, BESS mean annual sum GPP and ET maps agreed with MPI-BGC products with R2Â =Â 0.93 and RMSEÂ =Â 229Â gCÂ mâ_x0088__x0092_Â 2Â yâ_x0088__x0092_Â 1 for GPP, and R2Â =Â 0.90 and RMSEÂ =Â 118Â mmÂ yâ_x0088__x0092_Â 1 for ET, respectively. Over the period of 2001â_x0080__x0093_2011, BESS quantified the mean global GPP and ET as 122Â Â±Â 25Â PgCÂ yâ_x0088__x0092_Â 1 and 65Â Ã_x0097_Â 103Â Â±Â 11Â Ã_x0097_Â 103Â km3Â yâ_x0088__x0092_Â 1, respectively, with a significant ascending GPP trend by 0.27Â PgCÂ yâ_x0088__x0092_Â 2 (pÂ &amp;lt;Â 0.05), similar to MPI-BGC products as well. Overall, BESS GPP and ET estimates were comparable with FLUXNET observations and MPI-BGC products. The process-based BESS can serve as a set of independent GPP and ET products from official MODIS GPP and ET products. Â© 2016 Elsevier Inc.</t>
  </si>
  <si>
    <t>10.1016/j.rse.2016.08.030</t>
  </si>
  <si>
    <t>1991-001</t>
  </si>
  <si>
    <t>1-dimensional atmosphere radiative transfer module, a two-leaf canopy radiative transfer module, and an integrated carbon assimilation – stomatal conductance – energy balancemodule.</t>
  </si>
  <si>
    <t>fromClimate Research Unit (CRU),</t>
  </si>
  <si>
    <t>CSH/OSH</t>
  </si>
  <si>
    <t>WSA/SAV</t>
  </si>
  <si>
    <t>GRA/WET</t>
  </si>
  <si>
    <t>All</t>
  </si>
  <si>
    <t>an optimized two source energy balance model based on complementary concept and canopy conductance</t>
  </si>
  <si>
    <t>Gan, G., Kang, T., Yang, S., Bu, J., Feng, Z. and Gao, Y.</t>
  </si>
  <si>
    <t>In this study, we revised a two source energy balance model (G c -TSEB) that is based on canopy conductance and soil moisture in evapotranspiration (ET) estimation. We estimate soil evaporation (E) using the complementary concept and soil surface temperature, therefore, the revised G c -TSEB requires no soil moisture as input. We tested G c -TSEB at 10 flux sites under various land cover and climate conditions. The flux-calibrated G c -TSEB performed well in ET predictions, with determinant coefficients (R 2 ) larger than 0.9 at most of the sites. The modeled transpiration was highly correlated with the Gross Primary Production, indicating the usefulness of the model in ET partitioning. More importantly, G c -TSEB can be calibrated against the land surface temperature (LST), which is operationally available using remote sensing technique. Overall, daily ET that was predicted by the LST-calibrated G c -TSEB generally matched the trends of the ET measurements at most of the sites, and R 2 range from 0.63 to 0.93, with a median of 0.80, at all sites. Transpiration estimation was highly consistent with the simulations from the flux-calibrated model. Moreover, in vegetated surfaces, soil evaporation was estimated reasonably well using the LST-calibrated G c -TSEB. However, positive biases are prevalent when vegetated fraction is smaller than 0.2, especially in cold regions because of the dramatic differences in evaporation process between summer and winter. To improve model performances, calibrating G c -TSEB model in separated periods and using prior knowledge as constraints proved to be useful. Ã‚Â© 2019 Elsevier Inc.</t>
  </si>
  <si>
    <t>10.1016/j.rse.2019.01.020</t>
  </si>
  <si>
    <t>YK</t>
  </si>
  <si>
    <t>38.86°N</t>
  </si>
  <si>
    <t>100.41°E</t>
  </si>
  <si>
    <t>Gc-TSEB</t>
  </si>
  <si>
    <t>DYK</t>
  </si>
  <si>
    <t>Dayekouguantan</t>
  </si>
  <si>
    <t>38.53°N</t>
  </si>
  <si>
    <t>100.25°E</t>
  </si>
  <si>
    <t>TYC</t>
  </si>
  <si>
    <t>Tongyu crop</t>
  </si>
  <si>
    <t>44.59°N,</t>
  </si>
  <si>
    <t>122.88°E</t>
  </si>
  <si>
    <t>TYG</t>
  </si>
  <si>
    <t>Tongyu grass</t>
  </si>
  <si>
    <t>44.57°N</t>
  </si>
  <si>
    <t>122.93°E</t>
  </si>
  <si>
    <t>39.61°N</t>
  </si>
  <si>
    <t>116.42°E</t>
  </si>
  <si>
    <t>maize/wheat</t>
  </si>
  <si>
    <t>36.51°N</t>
  </si>
  <si>
    <t>115.13°E</t>
  </si>
  <si>
    <t>maize/wheat/cotton</t>
  </si>
  <si>
    <t>40.63°N</t>
  </si>
  <si>
    <t>117.32°E</t>
  </si>
  <si>
    <t>semi-humid</t>
  </si>
  <si>
    <t>26.74°N</t>
  </si>
  <si>
    <t>115.06°E</t>
  </si>
  <si>
    <t>23.17°N</t>
  </si>
  <si>
    <t>112.54°E</t>
  </si>
  <si>
    <t>21.95°N</t>
  </si>
  <si>
    <t>101.20°E</t>
  </si>
  <si>
    <t>reliable estimation of evapotranspiration on agricultural fields predicted by the priestley-taylor model using soil moisture data from ground and remote sensing observations compared with the common land model</t>
  </si>
  <si>
    <t>Choi, M., Woong Kim, T. and Kustas, W.P.</t>
  </si>
  <si>
    <t>Evapotranspiration (ET) is a crucial factor in understanding the hydrological cycle and is essential to many applications in hydrology, ecology and water resources management. However, reliable ET measurements and predictions for a range of temporal and spatial scales are difficult. This study focused on the comparison of ET estimates using a relatively simple model, the Priestley-Taylor (P-T) approach, and the physically based Common Land Model (CLM) using ground and remotely sensed soil moisture data as input. The results from both models were compared directly with hourly eddy covariance measurements at two agricultural field sites during the Soil Moisture-Atmosphere Coupling Experiment (SMACEX) in the corn soybean production region in the Upper Midwest, USA. The P-T model showed a significant overestimation of the potential ET compared to the measurements, with a root mean square error (RMSE) between 115 and 130W m-2. Actual ET was better predicted by the CLM, with the RMSE ranging between 50 and 75 W m-2. However, actual ET from the P-T model constrained with a soil moisture dependency parameterization showed improved results when compared to the measurements, with a significantly reduced bias and RMSE values between 60 and 65 W m-2. This study suggests that even with a simple semi-empirical ET model, similar performance in estimating actual ET for agricultural crops compared to more complex land surface-atmosphere models (i.e. the CLM) can be achieved when constrained with the soil moisture function. This suggests that remote sensing soil moisture estimates from the Advanced Microwave Scanning Radiometer - Earth Observing System (AMSR-E) and others such as the Soil Moisture and Ocean Salinity (SMOS) mission may be effective alternatives under certain environmental conditions for estimating actual ET of agricultural crops using a fairly simple algorithm. Ã‚Â© 2011 Taylor &amp;amp; Francis.</t>
  </si>
  <si>
    <t>10.1080/01431161.2010.489065</t>
  </si>
  <si>
    <t>2002-142</t>
  </si>
  <si>
    <t>41.95_x0002_ N</t>
  </si>
  <si>
    <t>–93.69_x0002_ W</t>
  </si>
  <si>
    <t>ground data</t>
  </si>
  <si>
    <t xml:space="preserve"> Walnut Creek 23</t>
  </si>
  <si>
    <t>41.99_x0002_ N</t>
  </si>
  <si>
    <t>–93.54_x0002_ W</t>
  </si>
  <si>
    <t>CLM, Monin–Obukhov similarity theory</t>
  </si>
  <si>
    <t>a satellite-based energy balance algorithm with reference dry and wet limits</t>
  </si>
  <si>
    <t>Feng, J., Wang, Z.</t>
  </si>
  <si>
    <t>Based on the assumption of a linear relationship between near-surface temperature difference and radiometric surface temperature such as the surface energy balance algorithm for land (SEBAL), a satellite-based energy balance algorithm with reference dry and wet limits (REDRAW) is proposed to estimate evapo-transpiration (ET) for the regional scale. REDRAW supposes that extreme hydrological conditions can be represented by the reference dry and wet limits, which consist of four reference limits: reference bare soil dry limit (RBD), reference vegetated soil dry limit (RVD), reference bare soil wet limit (RBW), and reference vegetated soil wet limit (RVW). These reference limits should be derived geographically and used to estimate actual ET under common hydrological conditions. A comparison is made between REDRAW and a commonly used model, SEBAL, at two sites: the Tongyu in China and the Cabauw in The Netherlands. The performances in both cases show that REDRAW can provide more reliable ET estimation in relatively arid and humid areas. Meanwhile, error analysis shows that estimation of sensible heat flux is sensitive to meteorological data, and further study is needed to make REDRAW more robust to environmental conditions. Ã‚Â© 2013 Copyright Taylor and Francis Group, LLC.</t>
  </si>
  <si>
    <t>10.1080/01431161.2012.748990</t>
  </si>
  <si>
    <t>CRO/GRA</t>
  </si>
  <si>
    <t>44.416◦ N,</t>
  </si>
  <si>
    <t>122.867◦ E,</t>
  </si>
  <si>
    <t>REDRAW</t>
  </si>
  <si>
    <t>51.97◦ N</t>
  </si>
  <si>
    <t>4.93◦ E,</t>
  </si>
  <si>
    <t>A physical-based two-source evapotranspiration model with Moninâ_x0080__x0093_Obukhov similarity theory</t>
  </si>
  <si>
    <t>Khan, M.S., Baik, J., Choi, M.</t>
  </si>
  <si>
    <t>Accurate quantification of energy budget components and its partitioning between canopy and soil is essential for improving water resource management. During the last few decades, several two-source evapotranspiration (ET) models have been developed by exploiting satellite datasets in conjunction with meteorological observations to estimate fluxes at different spatio-temporal scales. However, the complex parameterization scheme intrinsic to those models as well as the need for a large number of input datasets hampers their applications in a broader hydro-meteorological studies. In this study, we formulated a Leaf Area Index (LAI)-based methodology to develop a Two-Source Surface Energy Balance System (TS-SEBS) based on Moninâ_x0080__x0093_Obukhov similarity theory and Su (2002) principles, which uses fewer input datasets from satellite and meteorological observations to obtain fluxes on local as well as regional scales. Specifically, 97 medium-resolution Landsat TM/ETM+ images have been used to validate the TS-SEBS model estimations with (a) Eddy Covariance (EC)-based in-situ flux tower observations and (b) one-source SEBS (Surface Energy Balance System) model estimations in East Asian ecosystems. The mean bias and RMSE were 10.90 and 58.95 Wmâ_x0088__x0092_2 for instantaneous net radiation, 35.14, and 63.35 Wmâ_x0088__x0092_2 for instantaneous net radiation over the soil, and â_x0088__x0092_25.06 and 45.93 Wmâ_x0088__x0092_2 for instantaneous net radiation over the canopy, whereas the ground heat flux showed a mean bias and RMSE of 45.60 and 59.21 Wmâ_x0088__x0092_2, respectively, over six selected sites. The results of sensible heat flux (H) for SEBS revealed its underestimation pattern (mean bias value of â_x0088__x0092_20.68 Wmâ_x0088__x0092_2), whereas TS-SEBS tended to slightly overestimate values (mean bias value of 2.32 Wmâ_x0088__x0092_2) compared with EC observations. The TS-SEBS exhibited relatively better approximations of H (mean RMSE of 57.83 Wmâ_x0088__x0092_2) compared with SEBS (mean RMSE of 79.47 Wmâ_x0088__x0092_2) by reducing the error by ~27%. In terms of spatially distributed estimation of ET, the TS-SEBS outperformed SEBS with a mean normalized standard deviation value of 1.08 compared with 1.25 for SEBS, a reduction of ~14%. A mean Pearsonâ_x0080__x0099_s correlation coefficient value &amp;gt;0.73 was obtained for both selected models based on a Taylor diagram, and these statistics more closely approximate the ground-based EC observations. The better performance of TS-SEBS compared with SEBS is due to the incorporation of improved LAI-based formulations in its structural algorithm to partition fluxes between soil and canopy, incorporation of improved wind speed profile extinction coefficient, and separate calculations of aerodynamic resistance for both soil and canopy components. The proposed methodology in the next-generation TS-SEBS model provides an unprecedented opportunity for quantifying improved energy budgets and partitioning fluxes between soil and canopy in an accurate and computationally efficient approach for better plant-soil-atmosphere interaction studies. Â© 2021 Informa UK Limited, trading as Taylor &amp; Francis Group.</t>
  </si>
  <si>
    <t>10.1080/15481603.2020.1857625</t>
  </si>
  <si>
    <t>SMC</t>
  </si>
  <si>
    <t>methodology of Hsieh, Katul, and Chi (2000).</t>
  </si>
  <si>
    <t>TS-SEBS</t>
  </si>
  <si>
    <t>CMC</t>
  </si>
  <si>
    <t>2.5-3.8</t>
  </si>
  <si>
    <t>Evaluation of OSEB and SEBAL models for energy balance of a crop area in a humid subtropical climate</t>
  </si>
  <si>
    <t>Schirmbeck, J., Fontana, D.C., Roberti, D.R.</t>
  </si>
  <si>
    <t>This study evaluated the adequacy of the One-Source Energy Balance (OSEB) and Surface Energy Balance Algorithm for Land (SEBAL) models to estimate evapotranspiration in grain growing areas with humid subtropical climate in Rio Grande do Sul, southern Brazil. The dataset was obtained from a micrometeorological station (Eddy Covariance) and MODIS (Moderate Resolution Imaging Spectroradiometer) products during 84 observation days between 2009 and 2011. The OSEB and SEBAL models were used to estimate the partition of net radiation (Rn) into the components latent heat flux (LE), sensible heat flux (H), and ground heat flux (G) estimated from the MODIS images while the experimental data measured in situ were used to compare the results. Analyses indicated that the Energy Balance (EB) components were estimated from the MODIS images satisfactorily despite the spatial resolution limitations. Furthermore, the SEBAL model estimated the EB components satisfactorily only for summer crops. There are uncertainties associated with determining the hot and cold pixels due to the region humid subtropical climate and the spatial resolution of the sensor used in the other periods. The OSEB model has the lowest errors and the most adequate partitioning of the EB components throughout the year, and therefore, it is the most suitable for the climatic conditions of Rio Grande do Sul. Â© 2018, Agronomic Institute of Campinas. All rights reserved.</t>
  </si>
  <si>
    <t>Bragantia</t>
  </si>
  <si>
    <t>10.1590/1678-4499.2017208</t>
  </si>
  <si>
    <t>(PRS) Rio Grande do Sul, Brazil</t>
  </si>
  <si>
    <t>–28.6036</t>
  </si>
  <si>
    <t>–53.6736</t>
  </si>
  <si>
    <t>soybean summer crop</t>
  </si>
  <si>
    <t>One-Source Energy Balance</t>
  </si>
  <si>
    <t>radiometric temperature difference between the vegetated surface and air temperatures</t>
  </si>
  <si>
    <t>meteorological stations</t>
  </si>
  <si>
    <t>OSEB, SEBAL</t>
  </si>
  <si>
    <t>–28.6037</t>
  </si>
  <si>
    <t>–53.6737</t>
  </si>
  <si>
    <t>wheat winter crop</t>
  </si>
  <si>
    <t>off season</t>
  </si>
  <si>
    <t>–28.6038</t>
  </si>
  <si>
    <t>–53.6738</t>
  </si>
  <si>
    <t>partial coverage</t>
  </si>
  <si>
    <t>–28.6039</t>
  </si>
  <si>
    <t>–53.6739</t>
  </si>
  <si>
    <t>–28.6040</t>
  </si>
  <si>
    <t>–53.6740</t>
  </si>
  <si>
    <t>paper introducing STIC model</t>
  </si>
  <si>
    <t>–28.6041</t>
  </si>
  <si>
    <t>–53.6741</t>
  </si>
  <si>
    <t>Comparison of remote sensing based multi-source et models over cropland in a Semi-Humid region of China</t>
  </si>
  <si>
    <t>Zhuang, Q., Wang, H., Xu, Y.</t>
  </si>
  <si>
    <t>The estimation of cropland evapotranspiration (ET) is essential for agriculture water management, drought monitoring, and yield forecast. Remote sensing-based multi-source ET models have been widely applied and validated in the semi-arid region of China. However, careful investigation of the models' performances for different crop types (winter wheat and summer maize) over the semi-humid region is still necessary. This study used remote sensing data (Landsat 8 and ASTER) and compared three mainstream multi-source ET models: (i) the two-source energy balance model, i.e., TSEB; (ii) the Penman-Monteith based four-source model, i.e., 4s-PM; (iii) the Priestley Taylor-Jet Propulsion Laboratory ET algorithm, i.e., PT-JPL. The measurements of the eddy-covariance (EC) flux tower located in Guantao county of North China were used to validate the models. The results showed that the TSEB model performed the best in estimating latent heat flux (LE) of maize, with an RMSE of 75.0W/m2 and an R2 of 0.9, and the 4s-PM model had the highest accuracy of LE estimation for wheat, with an RMSE of 61.0 W/m2 and an R2 of 0.91. The LE spatial distribution comparison indicated that the PT-JPL model had more capacity to exhibit crop ET heterogeneity. The major environmental factors affecting ET varied with crop types and crop growth stages. Without taking soil moisture into account, the 4s-PM and TSEB models overestimated LE under water deficit in the maturation stage of wheat. The plant moisture stress based on vegetation index in the PT-JPL model underestimated the evaporation in the maturation stage while the cropland was still wet. Â© 2020 by the authors.</t>
  </si>
  <si>
    <t>Atmosphere</t>
  </si>
  <si>
    <t>10.3390/atmos11040325</t>
  </si>
  <si>
    <t>2013-165</t>
  </si>
  <si>
    <t>2017-192</t>
  </si>
  <si>
    <t>Guantao country</t>
  </si>
  <si>
    <t>Guantao 2</t>
  </si>
  <si>
    <t>36_x000e_300 N,</t>
  </si>
  <si>
    <t>117_x000e_190 E)</t>
  </si>
  <si>
    <t>winter wheat (12)</t>
  </si>
  <si>
    <t>TSEB, 4s-PM, PT-JPL</t>
  </si>
  <si>
    <t>4s-PM</t>
  </si>
  <si>
    <t>summer maize (11)</t>
  </si>
  <si>
    <t>Estimation of vegetation latent heat flux over three forest sites in ChinaFLUX using satellite microwave vegetationwater content index</t>
  </si>
  <si>
    <t>Wang, Y., Li, R., Min, Q., Zhang, L., Yu, G., Bergeron, Y.</t>
  </si>
  <si>
    <t>Latent heat flux (LE) and the corresponding water vapor lost from the Earth's surface to the atmosphere, which is called Evapotranspiration (ET), is one of the key processes in the water cycle and energy balance of the global climate system. Satellite remote sensing is the only feasible technique to estimate LE over a large-scale region. While most of the previous satellite LE methods are based on the optical vegetation index (VI), here we propose a microwave-VI (EDVI) based LE algorithm which can work for both day and night time, and under clear or non-raining conditions. This algorithm is totally driven by multiple-sensor satellite products of vegetation water content index, solar radiation, and cloud properties, with some aid from a reanalysis dataset. The satellite inputs and the performance of this algorithm are validated with in situ measurements at three ChinaFLUX forest sites. Our results show that the selected satellite observations can indeed serve as the inputs for the purpose of estimating ET. The instantaneous estimations of LE (LEcal) from this algorithm show strong positive temporal correlations with the in situ measured LE (LEobs) with the correlation coefficients (R) of 0.56-0.88 in the study years. The mean bias is kept within 16.0% (23.0W/m2) across the three sites. At the monthly scale, the correlations between the retrieval and the in situ measurements are further improved to an R of 0.84-0.95 and the bias is less than 14.3%. The validation results also indicate that EDVI-based LE method can produce stable LEcal under different cloudy skies with good accuracy. Being independent of any in situ measurements as inputs, this algorithm shows great potential for estimating ET under both clear and cloudy skies on a global scale for climate study. Â© 2019 by the authors.</t>
  </si>
  <si>
    <t>10.3390/rs11111359</t>
  </si>
  <si>
    <t>0.15º</t>
  </si>
  <si>
    <t>23 10 N</t>
  </si>
  <si>
    <t>112 34 E</t>
  </si>
  <si>
    <t>subtropical evergreen broad-leaved forest</t>
  </si>
  <si>
    <t>0.15º _x0002_ 0.15º</t>
  </si>
  <si>
    <t>EDVI-based LE Algorithm, EF</t>
  </si>
  <si>
    <t>ERA-20C reanalysis dataset/CERES</t>
  </si>
  <si>
    <t>26 44 N</t>
  </si>
  <si>
    <t>115 03 E</t>
  </si>
  <si>
    <t>subtropical monsoon plantation forest</t>
  </si>
  <si>
    <t>first classification method</t>
  </si>
  <si>
    <t>no relative bias presented</t>
  </si>
  <si>
    <t>42 24 N</t>
  </si>
  <si>
    <t>128 05 E</t>
  </si>
  <si>
    <t>temperate deciduous broad-leaved mixed forest</t>
  </si>
  <si>
    <t>Modelling high-resolution actual evapotranspiration through Sentinel-2 and Sentinel-3 data fusion</t>
  </si>
  <si>
    <t>Guzinski, R., Nieto, H., Sandholt, I., Karamitilios, G.</t>
  </si>
  <si>
    <t>The Sentinel-2 and Sentinel-3 satellite constellation contains most of the spatial, temporal and spectral characteristics required for accurate, field-scale actual evapotranspiration (ET) estimation. The one remaining major challenge is the spatial scale mismatch between the thermal-infrared observations acquired by the Sentinel-3 satellites at around 1 km resolution and the multispectral shortwave observations acquired by the Sentinel-2 satellite at around 20 m resolution. In this study we evaluate a number of approaches for bridging this gap by improving the spatial resolution of the thermal images. The resulting data is then used as input into three ET models, working under different assumptions: TSEB, METRIC and ESVEP. Latent, sensible and ground heat fluxes as well as net radiation produced by the models at 20 m resolution are validated against observations coming from 11 flux towers located in various land covers and climatological conditions. The results show that using the sharpened high-resolution thermal data as input for the TSEB model is a sound approach with relative root mean square error of instantaneous latent heat flux of around 30% in agricultural areas. The proposed methodology is a promising solution to the lack of thermal data with high spatio-temporal resolution required for field-scale ET modelling and can fill this data gap until next generation of thermal satellites are launched. Â© 2020 by the authors.</t>
  </si>
  <si>
    <t>10.3390/RS12091433</t>
  </si>
  <si>
    <t>US, SN, DE, SE, ES, TN</t>
  </si>
  <si>
    <t>ERA5</t>
  </si>
  <si>
    <t>ESA Climate Change Initiative (CCI).</t>
  </si>
  <si>
    <t>SEntinel-2</t>
  </si>
  <si>
    <t>Sea and Land Surface Temperature Radiometer (SLSTR) on board of the Sentinel-3A satellite</t>
  </si>
  <si>
    <t>TESB, METRIC, ESVEP</t>
  </si>
  <si>
    <t>TSEB-PT</t>
  </si>
  <si>
    <t>disTSEB</t>
  </si>
  <si>
    <t>US,DE</t>
  </si>
  <si>
    <t>Savanna stations</t>
  </si>
  <si>
    <t>SN, ES</t>
  </si>
  <si>
    <t>US,SE</t>
  </si>
  <si>
    <t>herbaceous crop</t>
  </si>
  <si>
    <t>herbaceous</t>
  </si>
  <si>
    <t>woody crop</t>
  </si>
  <si>
    <t>Woody</t>
  </si>
  <si>
    <t>semi-arid stations</t>
  </si>
  <si>
    <t>temperate stations</t>
  </si>
  <si>
    <t>temperate</t>
  </si>
  <si>
    <t>SEntinel -2</t>
  </si>
  <si>
    <t>SEntinel -3</t>
  </si>
  <si>
    <t>small feature size</t>
  </si>
  <si>
    <t>large feature size</t>
  </si>
  <si>
    <t>Evaluation of multiple methods for the production of continuous evapotranspiration estimates from tir remote sensing</t>
  </si>
  <si>
    <t>Delogu, E., Olioso, A., AlliÃ¨s, A., Demarty, J., Boulet, G.</t>
  </si>
  <si>
    <t>Continuous daily estimates of evapotranspiration (ET) spatially distributed at plot scale are required to monitor the water loss and manage crop irrigation needs. Remote sensing approaches in the thermal infrared (TIR) domain are relevant to assess actual ET and soil moisture status but due to lengthy return intervals and cloud cover, data acquisition is not continuous over time. This study aims to assess the performances of 6 commonly used as well as two new reference quantities including rainfall as an index of soil moisture availability to reconstruct seasonal ET from sparse estimates and as a function of the revisit frequency. In a first step, instantaneous in situ eddy-covariance flux tower data collected over multiple ecosystems and climatic areas were used as a proxy for perfect retrievals on satellite overpass dates. In a second step, instantaneous estimations at the time of satellite overpass were produced using the Soil Plant Atmosphere and Remote Sensing Evapotranspiration (SPARSE) energy balance model in order to evaluate the errors concurrent to the use of an energy balance model simulating the instantaneous IRT products from the local surface temperature. Significant variability in the performances from site to site was observed particularly for long revisit frequencies over 8 days, suggesting that the revisit frequency necessary to achieve accurate estimates of ET via temporal upscaling needs to be fewer than 8 days whatever the reference quantity used. For shorter return interval, small differences among the interpolation techniques and reference quantities were found. At the seasonal scale, very simple methods using reference quantities such as the global radiation or clear sky radiation appeared relevant and robust against long revisit frequencies. For infra-seasonal studies targeting stress detection and irrigation management, taking the amount of precipitation into account seemed necessary, especially to avoid the underestimation of ET over cloudy days during a long period without data acquisitions. Â© 2021 by the authors. Licensee MDPI, Basel, Switzerland.</t>
  </si>
  <si>
    <t>10.3390/rs13061086</t>
  </si>
  <si>
    <t>Aur W 2006</t>
  </si>
  <si>
    <t>Auradé</t>
  </si>
  <si>
    <t xml:space="preserve">43°54′97″N, </t>
  </si>
  <si>
    <t>01°10′61″E</t>
  </si>
  <si>
    <t>ETAE</t>
  </si>
  <si>
    <t>SPARSE</t>
  </si>
  <si>
    <t>Aur Su 2007</t>
  </si>
  <si>
    <t>sunflower</t>
  </si>
  <si>
    <t>Aur W 2008</t>
  </si>
  <si>
    <t>Lam W 2007</t>
  </si>
  <si>
    <t>Lamasquère</t>
  </si>
  <si>
    <t xml:space="preserve">43°49′65″N, </t>
  </si>
  <si>
    <t>01°23′79″E</t>
  </si>
  <si>
    <t>Lam C 2008</t>
  </si>
  <si>
    <t>Lam W 2009</t>
  </si>
  <si>
    <t>Lam C 2010</t>
  </si>
  <si>
    <t>Lam C 2012</t>
  </si>
  <si>
    <t>Lam C 2014</t>
  </si>
  <si>
    <t>2015-365</t>
  </si>
  <si>
    <t>Lam C 2015</t>
  </si>
  <si>
    <t>Avi P 2005</t>
  </si>
  <si>
    <t>Avignon</t>
  </si>
  <si>
    <t xml:space="preserve">N43,92°; </t>
  </si>
  <si>
    <t>E4,88°</t>
  </si>
  <si>
    <t>peas</t>
  </si>
  <si>
    <t>Avi W 2006</t>
  </si>
  <si>
    <t>Avi So 2007</t>
  </si>
  <si>
    <t>sorghum</t>
  </si>
  <si>
    <t>Avi W 2008</t>
  </si>
  <si>
    <t>Avi W 2012</t>
  </si>
  <si>
    <t>second classification method</t>
  </si>
  <si>
    <t>Wan M 2009</t>
  </si>
  <si>
    <t>Wankama</t>
  </si>
  <si>
    <t>13.6◦ N</t>
  </si>
  <si>
    <t xml:space="preserve">2.6◦ E </t>
  </si>
  <si>
    <t>NI</t>
  </si>
  <si>
    <t>millet</t>
  </si>
  <si>
    <t>Sahelian</t>
  </si>
  <si>
    <t>Wan S 2009</t>
  </si>
  <si>
    <t>Kai W 2012</t>
  </si>
  <si>
    <t>Kairouan</t>
  </si>
  <si>
    <t xml:space="preserve">35°18′17.14″; </t>
  </si>
  <si>
    <t>9°54′56.62″</t>
  </si>
  <si>
    <t>TU</t>
  </si>
  <si>
    <t>Kai Or 2012/15</t>
  </si>
  <si>
    <t>Hao W 2004</t>
  </si>
  <si>
    <t>Haouz plain</t>
  </si>
  <si>
    <t xml:space="preserve">31.67250°N, </t>
  </si>
  <si>
    <t>7.59597°W</t>
  </si>
  <si>
    <t>ETAE+API</t>
  </si>
  <si>
    <t>ETRcs</t>
  </si>
  <si>
    <t>the Priestley–Taylor (P-T) approach, and the physically based Common Land Model (CLM) using ground and remotely sensed soil moisture data as input.</t>
  </si>
  <si>
    <t>ETRg</t>
  </si>
  <si>
    <t>ETRn_FAO</t>
  </si>
  <si>
    <t>ETLEpot</t>
  </si>
  <si>
    <t xml:space="preserve">absolute relative error, only used with non remote sensing data based model validation, validation with METRIC used sapflow measurements </t>
  </si>
  <si>
    <t>PM ( EBEC )</t>
  </si>
  <si>
    <t>ETET0</t>
  </si>
  <si>
    <t>conventional selection of hot and cold pixels</t>
  </si>
  <si>
    <t>cold pixel and hot pixel with lowest dT value</t>
  </si>
  <si>
    <t>cold pixel and hot pixel with highest dT value</t>
  </si>
  <si>
    <t>cold pixel with lowest dT, hot pixel with highest dT</t>
  </si>
  <si>
    <t>cold pixel with highest dT, hot pixel with lowest dT</t>
  </si>
  <si>
    <t>estimating evapotranspiration of mediterranean oak savanna at multiple temporal and spatial resolutions. implications for water resources management</t>
  </si>
  <si>
    <t>Carpintero, E., Anderson, M.C., Andreu, A., Hain, C., Gao, F., Kustas, W.P. and González-Dugo, M.P.</t>
  </si>
  <si>
    <t>Mediterranean oak savanna is composed of a mixture of scattered oak trees, crops, pasture, and shrubs. It is the most widespread agroforestry landscape in Europe, and its conservation faces multiple threats including water scarcity, which has been exacerbated by global warming and greater climate variability. Evapotranspiration (ET) can be used as a proxy of the vegetation water status and response to water shortage conditions, providing relevant information about the ecosystem stability and its hydrological dynamics. This study evaluates a framework to estimate ET at multiple spatial and temporal scales and applies it to the monitoring of the oak savanna vegetation water consumption for the years 2013Ã¢â‚¬â€œ2015. We used a remote sensing-based energy balance model (ALEXI/DisALEXI approach), and the STARFM data fusion technique to provide daily ET estimates at 30 m resolution. The results showed that modeled energy balance components compared well to ground measurements collected by an eddy covariance system, with root mean square error (RMSE) values ranging between 0.60 and 2.18 MJ mÃ¢Ë†â€™2 dÃ¢Ë†â€™1, depending on the sensor dataset (MODIS or Landsat) and the flux. The daily 30 m ET series generated by STARFM presented an RMSE value of 0.67 mm dÃ¢Ë†â€™1, which yielded a slight improvement compared to using MODIS resolution or more simple interpolation approaches with Landsat. However, the major advantage of the high spatio-temporal resolution was found in the analysis of ET dynamics over different vegetation patches that shape the landscape structure and create different microclimates. Fine-scale ET maps (30 m, daily) provide key information difficult to detect at a coarser spatial resolution over heterogeneous landscapes and may assist management decisions at the field and farm scale. Ã‚Â© 2021 by the authors. Licensee MDPI, Basel, Switzerland.</t>
  </si>
  <si>
    <t>10.3390/rs13183701</t>
  </si>
  <si>
    <t>Santa Clotilde</t>
  </si>
  <si>
    <t>38_x000e_120 N, 4_x000e_170 W</t>
  </si>
  <si>
    <t>Hsieh et al.Hsieh et al.</t>
  </si>
  <si>
    <t>several regional meteorological datasets</t>
  </si>
  <si>
    <t>Hsieh et al.</t>
  </si>
  <si>
    <t>Evapotranspiration estimates derived using multi-platform remote sensing in a semiarid region</t>
  </si>
  <si>
    <t>Knipper, K., Hogue, T., Scott, R., Franz, K.</t>
  </si>
  <si>
    <t>Evapotranspiration (ET) is a key component of the water balance, especially in arid and semiarid regions. The current study takes advantage of spatially-distributed, near real-time information provided by satellite remote sensing to develop a regional scale ET product derived from remotely-sensed observations. ET is calculated by scaling PET estimated from Moderate Resolution Imaging Spectroradiometer (MODIS) products with downscaled soil moisture derived using the Soil Moisture Ocean Salinity (SMOS) satellite and a second order polynomial regression formula. The MODis-Soil Moisture ET (MOD-SMET) estimates are validated using four flux tower sites in southern Arizona US, a calibrated empirical ET model, and model output from Version 2 of the North American Land Data Assimilation System (NLDAS-2). Validation against daily eddy covariance ET indicates correlations between 0.63 and 0.83 and root mean square errors (RMSE) between 40 and 96 W/m2. MOD-SMET estimates compare well to the calibrated empirical ET model, with a -0.14 difference in correlation between sites, on average. By comparison, NLDAS-2 models underestimate daily ET compared to both flux towers and MOD-SMET estimates. Our analysis shows the MOD-SMET approach to be effective for estimating ET. Because it requires limited ancillary ground-based data and no site-specific calibration, the method is applicable to regions where ground-based measurements are not available. Â© 2017 by the authors.</t>
  </si>
  <si>
    <t>10.3390/rs9030184</t>
  </si>
  <si>
    <t>Whs</t>
  </si>
  <si>
    <t>Walnut Gulch Lucky Hills Shrub</t>
  </si>
  <si>
    <t>MOD-SMET</t>
  </si>
  <si>
    <t>CMW</t>
  </si>
  <si>
    <t>Charleston–Mesquite</t>
  </si>
  <si>
    <t>E8-ET</t>
  </si>
  <si>
    <t>estimating regional evapotranspiration using a satellitebased wind speed avoiding priestleyÃ¢â‚¬â€œtaylor approach</t>
  </si>
  <si>
    <t>Sun, J., Wang, W., Wang, X. and Huang, D.</t>
  </si>
  <si>
    <t>Wind speed (u) is a significant constraint in the evapotranspiration modeling over the highly heterogeneous regional surface due to its high temporal-spatial variation. In this study, a satellite-based Wind Speed Avoiding PriestleyÃ¢â‚¬â€œTaylor (WAPT) algorithm was proposed to estimate the regional actual evapotranspiration by employing a u-independent theoretical trapezoidal space to determine the pixel PriestleyÃ¢â‚¬â€œTaylor (PT) parameter ÃŽÂ¦. The WAPT model was comprehensively evaluated with hydro-meteorological observations in the arid Heihe River Basin in northwestern China. The results show that the WAPT model can provide reliable latent heat flux estimations with the root-mean-square error (RMSE) of 46.0 W/m2 across 2013Ã¢â‚¬â€œ2018 for 5 long-term observation stations and the RMSE of 49.6 W/m2 in the growing season in 2012 for 21 stations with intensive observations. The estimation by WAPT has a higher precision in the vegetation growing season than in the non-growing season. The estimation by WAPT has a closer agreement with the ground observations for vegetation-covered surfaces (e.g., corn and wetland) than that for dry sites (e.g., Gobi, desert, and desert steppe). Ã‚Â© 2021 by the authors. Licensee MDPI, Basel, Switzerland.</t>
  </si>
  <si>
    <t>10.3390/w13213144</t>
  </si>
  <si>
    <t>WAPT</t>
  </si>
  <si>
    <t>ASTER, Landsat</t>
  </si>
  <si>
    <t>Corn sites</t>
  </si>
  <si>
    <t>Desert steppe</t>
  </si>
  <si>
    <t>Bajitan</t>
  </si>
  <si>
    <t>S4</t>
  </si>
  <si>
    <t>HiWater S4</t>
  </si>
  <si>
    <t>Residential</t>
  </si>
  <si>
    <t>10.3390/w13213145</t>
  </si>
  <si>
    <t>10.3390/w13213146</t>
  </si>
  <si>
    <t>10.3390/w13213147</t>
  </si>
  <si>
    <t>10.3390/w13213148</t>
  </si>
  <si>
    <t>S1</t>
  </si>
  <si>
    <t>HiWater S1</t>
  </si>
  <si>
    <t>10.3390/w13213149</t>
  </si>
  <si>
    <t>S17</t>
  </si>
  <si>
    <t>HiWater S17</t>
  </si>
  <si>
    <t>10.3390/w13213150</t>
  </si>
  <si>
    <t>10.3390/w13213151</t>
  </si>
  <si>
    <t>S2-S3,S5-S16</t>
  </si>
  <si>
    <t>10.3390/w13213152</t>
  </si>
  <si>
    <t>Remote-sensing algorithm for surface evapotranspiration considering landscape and statistical effects on mixed-pixels</t>
  </si>
  <si>
    <t>Peng, Z.Q., Xin, X.Z., Jiao, J.J., Zhou, T., Liu, Q.H.</t>
  </si>
  <si>
    <t>Evapotranspiration (ET) plays an important role in surface-atmosphere interactions. Remote sensing has long been identified as a technology that is capable of monitoring ET. However, spatial problems greatly affect the accuracy of ET retrievals by satellite. The objective of this paper is to reduce the spatial-scale uncertainty produced by surface heterogeneity using Chinese HJ-1B data. Two upscaling schemes with area-weighting aggregation for different steps and variables were applied. One scheme is input parameter upscaling (IPUS), which refers to parameter aggregation, and the other is temperature sharpening and flux aggregation (TSFA). Footprint validation results show that TSFA is more accurate and less uncertain than IPUS, and additional analysis shows that TSFA can capture land surface heterogeneities and integrate the effect of overlooked land types in the mixed pixel. Â© Author(s) 2016.</t>
  </si>
  <si>
    <t>Hydrology and Earth System Sciences Discussions</t>
  </si>
  <si>
    <t>10.5194/hess-2015-491</t>
  </si>
  <si>
    <t>2012-171</t>
  </si>
  <si>
    <t>EC4</t>
  </si>
  <si>
    <t>HiWater -EC4</t>
  </si>
  <si>
    <t>y, Kormann and Meixner 2001</t>
  </si>
  <si>
    <t>IPUS</t>
  </si>
  <si>
    <t>HiWATER-AMS</t>
  </si>
  <si>
    <t>HJ-1B</t>
  </si>
  <si>
    <t>TRFA</t>
  </si>
  <si>
    <t>TSFA</t>
  </si>
  <si>
    <t>EC15</t>
  </si>
  <si>
    <t>HiWater-EC15</t>
  </si>
  <si>
    <t>EC11</t>
  </si>
  <si>
    <t>HiWater-EC11</t>
  </si>
  <si>
    <t>The WACMOS-ET project - Part 1: Tower-scale evaluation of four remote-sensing-based evapotranspiration algorithms</t>
  </si>
  <si>
    <t>Michel, D., JimÃ©nez, C., Miralles, D.G., Jung, M., Hirschi, M., Ershadi, A., Martens, B., Mccabe, M.F., Fisher, J.B., Mu, Q., Seneviratne, S.I., Wood, E.F., FernÃ¡ndez-Prieto, D.</t>
  </si>
  <si>
    <t>The WAter Cycle Multi-mission Observation Strategy - EvapoTranspiration (WACMOS-ET) project has compiled a forcing data set covering the period 2005-2007 that aims to maximize the exploitation of European Earth Observations data sets for evapotranspiration (ET) estimation. The data set was used to run four established ET algorithms: the Priestley-Taylor Jet Propulsion Laboratory model (PT-JPL), the Penman-Monteith algorithm from the MODerate resolution Imaging Spectroradiometer (MODIS) evaporation product (PM-MOD), the Surface Energy Balance System (SEBS) and the Global Land Evaporation Amsterdam Model (GLEAM). In addition, in situ meteorological data from 24 FLUXNET towers were used to force the models, with results from both forcing sets compared to tower-based flux observations. Model performance was assessed on several timescales using both sub-daily and daily forcings. The PT-JPL model and GLEAM provide the best performance for both satellite- and tower-based forcing as well as for the considered temporal resolutions. Simulations using the PM-MOD were mostly underestimated, while the SEBS performance was characterized by a systematic overestimation. In general, all four algorithms produce the best results in wet and moderately wet climate regimes. In dry regimes, the correlation and the absolute agreement with the reference tower ET observations were consistently lower. While ET derived with in situ forcing data agrees best with the tower measurements (R2=0.67), the agreement of the satellite-based ET estimates is only marginally lower (R2=0.58). Results also show similar model performance at daily and sub-daily (3-hourly) resolutions. Overall, our validation experiments against in situ measurements indicate that there is no single best-performing algorithm across all biome and forcing types. An extension of the evaluation to a larger selection of 85 towers (model inputs resampled to a common grid to facilitate global estimates) confirmed the original findings. Â© Author(s) 2016.</t>
  </si>
  <si>
    <t>10.5194/hess-20-803-2016</t>
  </si>
  <si>
    <t>3-hour</t>
  </si>
  <si>
    <t>FLUXNET La Thuile</t>
  </si>
  <si>
    <t>AU, CA, DE, IT, NL, PT, RU, US</t>
  </si>
  <si>
    <t>Station</t>
  </si>
  <si>
    <t>SRB (several sensors), ESA GlobalAlbedo</t>
  </si>
  <si>
    <t>IPMA (several sensors)</t>
  </si>
  <si>
    <t>PT-JPL, MOd16, GLEAM, SEBS</t>
  </si>
  <si>
    <t>ERA-Interim, CMORPH</t>
  </si>
  <si>
    <t>Daily Landsat-scale evapotranspiration estimation over a forested landscape in North Carolina, US, using multi-satellite data fusion</t>
  </si>
  <si>
    <t>Yang, Y., Anderson, M.C., Gao, F., Hain, C.R., Semmens, K.A., Kustas, W.P., Noormets, A., Wynne, R.H., Thomas, V.A., Sun, G.</t>
  </si>
  <si>
    <t>As a primary flux in the global water cycle, evapotranspiration (ET) connects hydrologic and biological processes and is directly affected by water and land management, land use change and climate variability. Satellite remote sensing provides an effective means for diagnosing ET patterns over heterogeneous landscapes; however, limitations on the spatial and temporal resolution of satellite data, combined with the effects of cloud contamination, constrain the amount of detail that a single satellite can provide. In this study, we describe an application of a multi-sensor ET data fusion system over a mixed forested/agricultural landscape in North Carolina, US, during the growing season of 2013. The fusion system ingests ET estimates from the Two-Source Energy Balance Model (TSEB) applied to thermal infrared remote sensing retrievals of land surface temperature from multiple satellite platforms: hourly geostationary satellite data at 4 km resolution, daily 1 km imagery from the Moderate Resolution Imaging Spectroradiometer (MODIS) and biweekly Landsat thermal data sharpened to 30 m. These multiple ET data streams are combined using the Spatial and Temporal Adaptive Reflectance Fusion Model (STARFM) to estimate daily ET at 30m resolution to investigate seasonal water use behavior at the level of individual forest stands and land cover patches. A new method, also exploiting the STARFM algorithm, is used to fill gaps in the Landsat ET retrievals due to cloud cover and/or the scan-line corrector (SLC) failure on Landsat 7. The retrieved daily ET time series agree well with observations at two AmeriFlux eddy covariance flux tower sites in a managed pine plantation within the modeling domain: US-NC2 located in a mid-rotation (20-year-old) loblolly pine stand and USNC3 located in a recently clear-cut and replanted field site. Root mean square errors (RMSEs) for NC2 and NC3 were 0.99 and 1.02mmday-1, respectively, with mean absolute errors of approximately 29% at the daily time step, 12% at the monthly time step and 0.7% over the full study period at the two flux tower sites. Analyses of water use patterns over the plantation indicate increasing seasonal ET with stand age for young to mid-rotation stands up to 20 years, but little dependence on age for older stands. An accounting of consumptive water use by major land cover classes representative of the modeling domain is presented, as well as relative partitioning of ET between evaporation (E) and transpiration (T ) components obtained with the TSEB. The study provides new insights about the effects of management and land use change on water yield over forested landscapes. Â© Author(s) 2017. CC Attribution 3.0 License.</t>
  </si>
  <si>
    <t>10.5194/hess-21-1017-2017</t>
  </si>
  <si>
    <t>DisALEXI, downscaled using STARFM</t>
  </si>
  <si>
    <t>NARR</t>
  </si>
  <si>
    <t>DisALEXI, downscaled using Landsat</t>
  </si>
  <si>
    <t>DisALEXI, downscaled using MODIS</t>
  </si>
  <si>
    <t>GOES</t>
  </si>
  <si>
    <t>NC3</t>
  </si>
  <si>
    <t>North Carolina Site 3</t>
  </si>
  <si>
    <t>Code</t>
  </si>
  <si>
    <t>Description</t>
  </si>
  <si>
    <t>Barren Sparse Vegetation: Lands exposed soil, sand, or rocks and has less than 10% vegetative cover during any time of the year.</t>
  </si>
  <si>
    <t>Croplands: Lands covered with temporary crops followed by harvest and a bare soil period (e.g., single and multiple cropping systems). Note that perennial woody crops will be classified as the appropriate forest or shrub land cover type.</t>
  </si>
  <si>
    <t>Closed Shrublands: Lands with woody vegetation less than 2 meters tall and with shrub canopy cover &gt;60%. The shrub foliage can be either evergreen or deciduous.</t>
  </si>
  <si>
    <t>Cropland/Natural Vegetation Mosaics: Lands with a mosaic of croplands, forest, shrublands, and grasslands in which no one component comprises more than 60% of the landscape.</t>
  </si>
  <si>
    <t>Deciduous Broadleaf Forests: Lands dominated by woody vegetation with a percent cover &gt;60% and height exceeding 2 meters. Consists of broadleaf tree communities with an annual cycle of leaf-on and leaf-off periods.</t>
  </si>
  <si>
    <t>Deciduous Needleleaf Forests: Lands dominated by woody vegetation with a percent cover &gt;60% and height exceeding 2 meters. Consists of seasonal needleleaf tree communities with an annual cycle of leaf-on and leaf-off periods.</t>
  </si>
  <si>
    <t>Evergreen Broadleaf Forests: Lands dominated by woody vegetation with a percent cover &gt;60% and height exceeding 2 meters. Almost all trees and shrubs remain green year round. Canopy is never without green foliage.</t>
  </si>
  <si>
    <t>Evergreen Needleleaf Forests: Lands dominated by woody vegetation with a percent cover &gt;60% and height exceeding 2 meters. Almost all trees remain green all year. Canopy is never without green foliage.</t>
  </si>
  <si>
    <t>Grasslands: Lands with herbaceous types of cover. Tree and shrub cover is less than 10%. Permanent wetlands lands with a permanent mixture of water and herbaceous or woody vegetation. The vegetation can be present in either salt, brackish, or fresh water.</t>
  </si>
  <si>
    <t>Mixed Forests: Lands dominated by trees with a percent cover &gt;60% and height exceeding 2 meters. Consists of tree communities with interspersed mixtures or mosaics of the other four forest types. None of the forest types exceeds 60% of landscape.</t>
  </si>
  <si>
    <t>Open Shrublands: Lands with woody vegetation less than 2 meters tall and with shrub canopy cover between 10-60%. The shrub foliage can be either evergreen or deciduous.</t>
  </si>
  <si>
    <t>Savannas: Lands with herbaceous and other understory systems, and with forest canopy cover between 10-30%. The forest cover height exceeds 2 meters.</t>
  </si>
  <si>
    <t>Snow and Ice: Lands under snow/ice cover most of the year.</t>
  </si>
  <si>
    <t>Urban and Built-Up Lands: Land covered by buildings and other man-made structures.</t>
  </si>
  <si>
    <t>Water Bodies.</t>
  </si>
  <si>
    <t>Permanent Wetlands: Lands with a permanent mixture of water and herbaceous or woody vegetation that cover extensive areas. The vegetation can be present in either salt, brackish, or fresh water.</t>
  </si>
  <si>
    <t>Woody Savannas: Lands with herbaceous and other understory systems, and with forest canopy cover between 30-60%. The forest cover height exceeds 2 meters.</t>
  </si>
  <si>
    <t>Sources:</t>
  </si>
  <si>
    <t>https://fluxnet.org/data/badm-data-templates/igbp-classification/</t>
  </si>
  <si>
    <t>https://climatedataguide.ucar.edu/climate-data/ceres-igbp-land-classification</t>
  </si>
  <si>
    <t>https://ameriflux.lbl.gov/sites/site-search/%23all_metadata%3Dus-oho&amp;sa=D&amp;source=editors&amp;ust=1712565952221177&amp;usg=AOvVaw2V4DsvBSbxO3j690cnmaZn</t>
  </si>
  <si>
    <t>Evergreen needleleaf forests</t>
  </si>
  <si>
    <t>Evergreen broadleaf forests</t>
  </si>
  <si>
    <t>Deciduous needleleaf forests</t>
  </si>
  <si>
    <t>Deciduous broadleaf forests</t>
  </si>
  <si>
    <t>Mixed forests</t>
  </si>
  <si>
    <t>Closed shrublands</t>
  </si>
  <si>
    <t>Open shrublands</t>
  </si>
  <si>
    <t>Woody savannas</t>
  </si>
  <si>
    <t>Savannas</t>
  </si>
  <si>
    <t>Grasslands</t>
  </si>
  <si>
    <t>Permanent wetlands</t>
  </si>
  <si>
    <t>Croplands</t>
  </si>
  <si>
    <t>Urban and built-up lands</t>
  </si>
  <si>
    <t>Cropland/natural vegetation mosaic</t>
  </si>
  <si>
    <t>Permanent snow and ice</t>
  </si>
  <si>
    <t>Barren land</t>
  </si>
  <si>
    <t>Water bodies</t>
  </si>
  <si>
    <t>Tropical rainforest</t>
  </si>
  <si>
    <t>Tropical monsoon</t>
  </si>
  <si>
    <t>Tropical savanna, dry winter</t>
  </si>
  <si>
    <t>As</t>
  </si>
  <si>
    <t>Tropical savanna, dry summer</t>
  </si>
  <si>
    <t>Arid desert</t>
  </si>
  <si>
    <t>Semi-arid steppe</t>
  </si>
  <si>
    <t>Cw</t>
  </si>
  <si>
    <t>Temperate dry winter</t>
  </si>
  <si>
    <t>Temperate no dry season</t>
  </si>
  <si>
    <t>Temperate dry summer</t>
  </si>
  <si>
    <t>Continental dry winter</t>
  </si>
  <si>
    <t>Continental no dry season</t>
  </si>
  <si>
    <t>Ds</t>
  </si>
  <si>
    <t>Continental dry summer</t>
  </si>
  <si>
    <t>Ice cap</t>
  </si>
  <si>
    <t>Site ID</t>
  </si>
  <si>
    <t>Name</t>
  </si>
  <si>
    <t>AmeriFlux BASE Data</t>
  </si>
  <si>
    <t>AmeriFlux FLUXNET Data</t>
  </si>
  <si>
    <t>Vegetation Abbreviation (IGBP)</t>
  </si>
  <si>
    <t>Vegetation Description (IGBP)</t>
  </si>
  <si>
    <t>Climate Class Abbreviation (Koeppen)</t>
  </si>
  <si>
    <t>Climate Class Description (Koeppen)</t>
  </si>
  <si>
    <t>Mean Average Precipitation (mm)</t>
  </si>
  <si>
    <t>Mean Average Temperature (degrees C)</t>
  </si>
  <si>
    <t>Country</t>
  </si>
  <si>
    <t>Latitude (degrees)</t>
  </si>
  <si>
    <t>Longitude (degrees)</t>
  </si>
  <si>
    <t>Years of AmeriFlux BASE Data</t>
  </si>
  <si>
    <t>AmeriFlux BASE DOI</t>
  </si>
  <si>
    <t>Years of AmeriFlux FLUXNET Data</t>
  </si>
  <si>
    <t>AmeriFlux FLUXNET DOI</t>
  </si>
  <si>
    <t>Site Start</t>
  </si>
  <si>
    <t>Site End</t>
  </si>
  <si>
    <t>BASE variables available</t>
  </si>
  <si>
    <t>FLUXNET variables available</t>
  </si>
  <si>
    <t>Bal</t>
  </si>
  <si>
    <t>Balcarce BA</t>
  </si>
  <si>
    <t>Yes</t>
  </si>
  <si>
    <t>No</t>
  </si>
  <si>
    <t>Marine West Coast: mild with no dry season, warm summer</t>
  </si>
  <si>
    <t>Argentina</t>
  </si>
  <si>
    <t>2012, 2013</t>
  </si>
  <si>
    <t>https://doi.org/10.17190/AMF/2315764</t>
  </si>
  <si>
    <t>https://doi.org/</t>
  </si>
  <si>
    <t>CO2, CO2_SIGMA, FC, FC_SSITC_TEST, G, H, H2O, H2O_SIGMA, H_SSITC_TEST, LE, LE_SSITC_TEST, MO_LENGTH, NEE, PA, PPFD_IN, RH, SW_IN, TA, TAU_SSITC_TEST, TS, T_SONIC, T_SONIC_SIGMA, U_SIGMA, USTAR, V_SIGMA, WD, WS, W_SIGMA, ZL</t>
  </si>
  <si>
    <t>CCa</t>
  </si>
  <si>
    <t>Carlos Casares agriculture</t>
  </si>
  <si>
    <t>Humid Subtropical: mild with no dry season, hot summer</t>
  </si>
  <si>
    <t>2012, 2013, 2014, 2015, 2016, 2017, 2018, 2019, 2020</t>
  </si>
  <si>
    <t>https://doi.org/10.17190/AMF/1880910</t>
  </si>
  <si>
    <t>CO2, CO2_MIXING_RATIO, CO2_SIGMA, FC, FETCH_70, FETCH_80, FETCH_90, FETCH_MAX, H, H2O, H2O_MIXING_RATIO, H2O_SIGMA, LE, MO_LENGTH, PA, PPFD_IN, RH, TA, TAU, T_SONIC, T_SONIC_SIGMA, U_SIGMA, USTAR, VPD, V_SIGMA, WD, WS, W_SIGMA, WS_MAX, ZL</t>
  </si>
  <si>
    <t>CCg</t>
  </si>
  <si>
    <t>Carlos Casares grassland</t>
  </si>
  <si>
    <t>2018, 2019, 2020</t>
  </si>
  <si>
    <t>https://doi.org/10.17190/AMF/1865474</t>
  </si>
  <si>
    <t>Cel</t>
  </si>
  <si>
    <t>CELPA Mar Chiquita BA</t>
  </si>
  <si>
    <t>Permanent Wetlands: Lands with a permanent mixture of water and herbaceous or woody vegetation that cover extensive areas. The vegetation can be present in either salt, brackish, or fresh water</t>
  </si>
  <si>
    <t>https://doi.org/10.17190/AMF/2204054</t>
  </si>
  <si>
    <t>CO2, CO2_SIGMA, FC, FC_SSITC_TEST, G, H, H2O, H2O_SIGMA, H_SSITC_TEST, LE, LE_SSITC_TEST, MO_LENGTH, NEE, P, PA, PPFD_IN, RH, SC, SWC, SW_IN, TA, TAU_SSITC_TEST, TS, T_SONIC, T_SONIC_SIGMA, U_SIGMA, USTAR, V_SIGMA, WD, WS, W_SIGMA, ZL</t>
  </si>
  <si>
    <t>Rom</t>
  </si>
  <si>
    <t>Romano Mar Chiquita BA</t>
  </si>
  <si>
    <t>2014, 2015</t>
  </si>
  <si>
    <t>https://doi.org/10.17190/AMF/2315765</t>
  </si>
  <si>
    <t>CO2, CO2_SIGMA, FC, FC_SSITC_TEST, G, H, H2O, H2O_SIGMA, H_SSITC_TEST, LE, LE_SSITC_TEST, MO_LENGTH, NEE, P, PA, PPFD_IN, RH, SW_IN, TA, TAU_SSITC_TEST, TS, T_SONIC, T_SONIC_SIGMA, U_SIGMA, USTAR, V_SIGMA, WD, WS, W_SIGMA, ZL</t>
  </si>
  <si>
    <t>Rio Moat bog</t>
  </si>
  <si>
    <t>2016, 2017, 2018</t>
  </si>
  <si>
    <t>https://doi.org/10.17190/AMF/1543389</t>
  </si>
  <si>
    <t>https://doi.org/10.17190/AMF/1818370</t>
  </si>
  <si>
    <t>CO2, FC, FC_SSITC_TEST, H, H_SSITC_TEST, LE, LE_SSITC_TEST, PA, PPFD_IN, RH, SW_IN, TA, USTAR, WD, WS</t>
  </si>
  <si>
    <t>Rio Pipo bog</t>
  </si>
  <si>
    <t>https://doi.org/10.17190/AMF/1543388</t>
  </si>
  <si>
    <t>FC, FC_SSITC_TEST, H, H_SSITC_TEST, LE, LE_SSITC_TEST, PPFD_IN, RH, SW_IN, TA, USTAR, WD, WS</t>
  </si>
  <si>
    <t>Cax</t>
  </si>
  <si>
    <t>CAX, FLONA Caxiuan茫 micromet tower</t>
  </si>
  <si>
    <t>Tropical rain forest</t>
  </si>
  <si>
    <t>Brazil</t>
  </si>
  <si>
    <t>CMT</t>
  </si>
  <si>
    <t>Capuaba farm Mato Grosso</t>
  </si>
  <si>
    <t>Tropical savanna</t>
  </si>
  <si>
    <t>Caatinga Serra Talhada</t>
  </si>
  <si>
    <t>Steppe: very cold winter</t>
  </si>
  <si>
    <t>https://doi.org/10.17190/AMF/1562386</t>
  </si>
  <si>
    <t>https://doi.org/10.17190/AMF/1902820</t>
  </si>
  <si>
    <t>APAR, CO2, FC, FETCH_90, GPP, H, H2O, H_SSITC_TEST, LE, LE_SSITC_TEST, MO_LENGTH, NEE, NETRAD, P, PA, RH, SC, SH, SLE, SWC, SW_IN, TA, TAU, TAU_SSITC_TEST, TS, T_SONIC, USTAR, VPD, WD, WS, WS_MAX, ZL</t>
  </si>
  <si>
    <t>Cui</t>
  </si>
  <si>
    <t>Micrometeorological studies project in Amazonian mangroves</t>
  </si>
  <si>
    <t>IAB</t>
  </si>
  <si>
    <t>Instituto Arruda Botelho - Wooded Cerrado and Mixed Agriculture</t>
  </si>
  <si>
    <t>Humid Subtropical: dry winter, hot summer</t>
  </si>
  <si>
    <t>Ji1</t>
  </si>
  <si>
    <t>Fazenda Nossa Senhora (FNS)</t>
  </si>
  <si>
    <t>Ji3</t>
  </si>
  <si>
    <t>Ji-Paran谩/RO - Reserva Biol贸gica do Jaru (RBJ)</t>
  </si>
  <si>
    <t>Ma2</t>
  </si>
  <si>
    <t>Manaus - ZF2 K34</t>
  </si>
  <si>
    <t>Ma3</t>
  </si>
  <si>
    <t>ZF3, Colosso farm</t>
  </si>
  <si>
    <t>Cropland/Natural Vegetation Mosaics: Lands with a mosaic of croplands, forest, shrublands, and grasslands in which no one component comprises more than 60% of the landscape</t>
  </si>
  <si>
    <t>Moj</t>
  </si>
  <si>
    <t>Moju/PA, Commercial oil palm plantation</t>
  </si>
  <si>
    <t>Npw</t>
  </si>
  <si>
    <t>Northern Pantanal Wetland</t>
  </si>
  <si>
    <t>2013, 2014, 2015, 2016, 2017</t>
  </si>
  <si>
    <t>https://doi.org/10.17190/AMF/1579716</t>
  </si>
  <si>
    <t>https://doi.org/10.17190/AMF/1881563</t>
  </si>
  <si>
    <t>CH4, CO2, FC, FCH4, G, H, LE, LW_IN, LW_OUT, NETRAD, P, PA, PPFD_IN, PPFD_OUT, RH, SW_IN, SW_OUT, TA, TS, T_SONIC, USTAR, WD, WS, WTD</t>
  </si>
  <si>
    <t>Para铆so do Sul</t>
  </si>
  <si>
    <t>Sa1</t>
  </si>
  <si>
    <t>Santarem-Km67-Primary Forest</t>
  </si>
  <si>
    <t>2002, 2003, 2004, 2005, 2006, 2007, 2008, 2009, 2010, 2011</t>
  </si>
  <si>
    <t>https://doi.org/10.17190/AMF/1245994</t>
  </si>
  <si>
    <t>CO2, FC, H, H2O, LE, NEE, NETRAD, PA, PPFD_IN, RECO, RH, SC, TA, USTAR, VPD, WD, WS</t>
  </si>
  <si>
    <t>Santarem-Km83-Logged Forest</t>
  </si>
  <si>
    <t>2000, 2001, 2002, 2003, 2004</t>
  </si>
  <si>
    <t>https://doi.org/10.17190/AMF/1245995</t>
  </si>
  <si>
    <t>CO2, FC, G, H, H2O, LE, LW_IN, LW_OUT, NEE, NETRAD, P, PA, PPFD_IN, PPFD_OUT, RECO, RH, SC, SWC, SW_IN, SW_OUT, TA, TS, USTAR, VPD, WD, WS</t>
  </si>
  <si>
    <t>SGC</t>
  </si>
  <si>
    <t>S茫o Gabriel da Cachoeira (Balaio Indigenous Reserve, Pico da Neblina National Park)</t>
  </si>
  <si>
    <t>Southern Pantanal Wetland</t>
  </si>
  <si>
    <t>AF1</t>
  </si>
  <si>
    <t>Acadia Research Forest</t>
  </si>
  <si>
    <t>Warm Summer Continental: significant precipitation in all seasons</t>
  </si>
  <si>
    <t>Canada</t>
  </si>
  <si>
    <t>ARB</t>
  </si>
  <si>
    <t>Attawapiskat River Bog</t>
  </si>
  <si>
    <t>2011, 2012, 2013, 2014, 2015</t>
  </si>
  <si>
    <t>https://doi.org/10.17190/AMF/1480319</t>
  </si>
  <si>
    <t>https://doi.org/10.17190/AMF/1902821</t>
  </si>
  <si>
    <t>ALB, CO2, D_SNOW, FC, G, H, LE, LW_IN, LW_OUT, MO_LENGTH, P, PA, RH, SWC, SW_IN, SW_OUT, TA, TAU, TS, T_SONIC, T_SONIC_SIGMA, U_SIGMA, USTAR, VPD, V_SIGMA, WD, WS, W_SIGMA, WTD, ZL</t>
  </si>
  <si>
    <t>ARF</t>
  </si>
  <si>
    <t>Attawapiskat River Fen</t>
  </si>
  <si>
    <t>https://doi.org/10.17190/AMF/1480318</t>
  </si>
  <si>
    <t>https://doi.org/10.17190/AMF/1902822</t>
  </si>
  <si>
    <t>BOU</t>
  </si>
  <si>
    <t>Bouleau Peatland</t>
  </si>
  <si>
    <t>Cwc</t>
  </si>
  <si>
    <t>Temperate Highland: dry winter, cool summer</t>
  </si>
  <si>
    <t>https://doi.org/10.17190/AMF/1987599</t>
  </si>
  <si>
    <t>ALB, CH4, CO2, CO2_MIXING_RATIO, FC, FCH4, FCH4_SSITC_TEST, FC_SSITC_TEST, FETCH_70, FETCH_90, FETCH_MAX, G, GPP, H, H2O, H2O_MIXING_RATIO, H_SSITC_TEST, LE, LE_SSITC_TEST, LW_IN, LW_OUT, MO_LENGTH, NEE, PA, PPFD_IN, P_RAIN, RECO, RH, SW_IN, SW_OUT, TA, TAU, TAU_SSITC_TEST, TS, T_SONIC, USTAR, VPD, WD, WS, WS_MAX, WTD, ZL</t>
  </si>
  <si>
    <t>Ca1</t>
  </si>
  <si>
    <t>British Columbia - 1949 Douglas-fir stand</t>
  </si>
  <si>
    <t>1996, 1997, 1998, 1999, 2000, 2001, 2002, 2003, 2004, 2005, 2006, 2007, 2008, 2009, 2010</t>
  </si>
  <si>
    <t>https://doi.org/10.17190/AMF/1480300</t>
  </si>
  <si>
    <t>https://doi.org/10.17190/AMF/2007163</t>
  </si>
  <si>
    <t>CO2, FC, G, GPP, H, H2O, LE, LW_IN, LW_OUT, NEE, NETRAD, PA, PPFD_BC_IN, PPFD_DIF, PPFD_IN, PPFD_OUT, P_RAIN, RECO, RH, SB, SC, SH, SLE, SWC, SW_IN, SW_OUT, TA, T_BOLE, TS, T_SONIC, USTAR, WD, WS</t>
  </si>
  <si>
    <t>Ca2</t>
  </si>
  <si>
    <t>British Columbia - Clearcut Douglas-fir stand (harvested winter 1999/2000)</t>
  </si>
  <si>
    <t>1999, 2000, 2001, 2002, 2003, 2004, 2005, 2006, 2007, 2008, 2009, 2010</t>
  </si>
  <si>
    <t>https://doi.org/10.17190/AMF/1480301</t>
  </si>
  <si>
    <t>https://doi.org/10.17190/AMF/2007164</t>
  </si>
  <si>
    <t>CO2, FC, G, GPP, H, H2O, LE, NEE, NETRAD, PA, PPFD_IN, PPFD_OUT, P_RAIN, RECO, RH, SB, SC, SH, SLE, SWC, SW_IN, SW_OUT, TA, T_BOLE, TS, USTAR, WD, WS</t>
  </si>
  <si>
    <t>Ca3</t>
  </si>
  <si>
    <t>British Columbia - Pole sapling Douglas-fir stand</t>
  </si>
  <si>
    <t>2001, 2002, 2003, 2004, 2005, 2006, 2007, 2008, 2009, 2010, 2011, 2012, 2013, 2014, 2015, 2016, 2017, 2018, 2019, 2020, 2021, 2022</t>
  </si>
  <si>
    <t>https://doi.org/10.17190/AMF/1480302</t>
  </si>
  <si>
    <t>CO2, FC, G, GPP, H, H2O, LE, LW_IN, LW_OUT, NEE, NETRAD, PA, PPFD_DIF, PPFD_IN, PPFD_OUT, P_RAIN, RECO, RH, SB, SC, SG, SH, SLE, SWC, SW_IN, SW_OUT, TA, T_BOLE, TS, T_SONIC, T_SONIC_SIGMA, U_SIGMA, USTAR, VPD, V_SIGMA, WD, WS, W_SIGMA</t>
  </si>
  <si>
    <t>Cbo</t>
  </si>
  <si>
    <t>Ontario - Mixed Deciduous, Borden Forest Site</t>
  </si>
  <si>
    <t>1994, 1995, 1996, 1997, 1998, 1999, 2000, 2001, 2002, 2003, 2004, 2005, 2006, 2007, 2008, 2009, 2010, 2011, 2012, 2013, 2014, 2015, 2016, 2017, 2018, 2019, 2020</t>
  </si>
  <si>
    <t>https://doi.org/10.17190/AMF/1498755</t>
  </si>
  <si>
    <t>https://doi.org/10.17190/AMF/1854365</t>
  </si>
  <si>
    <t>CO2, CO2_SIGMA, FC, FO3, G, H, H2O, LE, LEAF_WET, LW_IN, LW_OUT, NEE, NETRAD, O3, PA, PPFD_IN, PPFD_OUT, RH, SC, SO2, SWC, SW_IN, SW_OUT, TA, T_BOLE, TS, T_SONIC, USTAR, WD, WS, W_SIGMA</t>
  </si>
  <si>
    <t>CF1</t>
  </si>
  <si>
    <t>Churchill Fen Site 1</t>
  </si>
  <si>
    <t>Subarctic: severe winter, no dry season, cool summer</t>
  </si>
  <si>
    <t>2007, 2008</t>
  </si>
  <si>
    <t>https://doi.org/10.17190/AMF/1660336</t>
  </si>
  <si>
    <t>https://doi.org/10.17190/AMF/2229375</t>
  </si>
  <si>
    <t>CO2, FC, H, H2O, LE, NETRAD, PA, PPFD_IN, P_RAIN, RH, SW_IN, TA, TS, USTAR, WD, WS</t>
  </si>
  <si>
    <t>CF2</t>
  </si>
  <si>
    <t>Churchill Fen Site 2</t>
  </si>
  <si>
    <t>2008, 2009, 2010, 2011</t>
  </si>
  <si>
    <t>https://doi.org/10.17190/AMF/1634879</t>
  </si>
  <si>
    <t>CH4, CO2, FC, FCH4, H, H2O, LE, NETRAD, PA, PPFD_IN, P_RAIN, RH, SW_IN, TA, TS, USTAR, WD, WS</t>
  </si>
  <si>
    <t>CF3</t>
  </si>
  <si>
    <t>Churchill Fen Site 3</t>
  </si>
  <si>
    <t>Cha</t>
  </si>
  <si>
    <t>New Brunswick - Charlie Lake site 01 (immature balsam fir forest to be thinned in year 3)</t>
  </si>
  <si>
    <t>2004, 2005</t>
  </si>
  <si>
    <t>https://doi.org/10.17190/AMF/1436317</t>
  </si>
  <si>
    <t>FC, G, H, LE, NETRAD, PA, PPFD_IN, P_RAIN, RH, SWC, SW_IN, SW_OUT, TA, TS, USTAR, WD, WS</t>
  </si>
  <si>
    <t>DB2</t>
  </si>
  <si>
    <t>Delta Burns Bog 2</t>
  </si>
  <si>
    <t>2019, 2020</t>
  </si>
  <si>
    <t>https://doi.org/10.17190/AMF/1811362</t>
  </si>
  <si>
    <t>https://doi.org/10.17190/AMF/1881564</t>
  </si>
  <si>
    <t>CO2, FC, FCH4, G, H, LE, LW_IN, LW_OUT, NETRAD, P, PA, RH, SW_IN, SW_OUT, TA, TS, T_SONIC, USTAR, WD, WS, WTD</t>
  </si>
  <si>
    <t>DBB</t>
  </si>
  <si>
    <t>Delta Burns Bog</t>
  </si>
  <si>
    <t>Mediterranean: mild with dry, warm summer</t>
  </si>
  <si>
    <t>2014, 2015, 2016, 2017, 2018, 2019, 2020</t>
  </si>
  <si>
    <t>https://doi.org/10.17190/AMF/1543378</t>
  </si>
  <si>
    <t>https://doi.org/10.17190/AMF/1881565</t>
  </si>
  <si>
    <t>DL1</t>
  </si>
  <si>
    <t>Daring Lake - Mixed Tundra</t>
  </si>
  <si>
    <t>DL2</t>
  </si>
  <si>
    <t>Daring Lake - Fen</t>
  </si>
  <si>
    <t>DSM</t>
  </si>
  <si>
    <t>Delta Salt Marsh</t>
  </si>
  <si>
    <t>https://doi.org/10.17190/AMF/1964085</t>
  </si>
  <si>
    <t>ALB, CH4, CO2, COND_WATER, DO, FC, FCH4, G, H, H2O, LE, LW_IN, LW_OUT, NDVI, NEE, NETRAD, P, PA, PPFD_DIF, PPFD_IN, PPFD_OUT, PRI, RH, SC, SCH4, SH, SLE, SW_IN, SW_OUT, TA, TAU, TS, TW, U_SIGMA, USTAR, VPD, V_SIGMA, WD, WS, W_SIGMA, WTD</t>
  </si>
  <si>
    <t>EM1</t>
  </si>
  <si>
    <t>Newdale Manitoba</t>
  </si>
  <si>
    <t>2021, 2022, 2023</t>
  </si>
  <si>
    <t>https://doi.org/10.17190/AMF/2315766</t>
  </si>
  <si>
    <t>ALB, CH4, CO2, FC, FCH4, H, H2O, LE, LW_IN, LW_OUT, NEE, NETRAD, P, PA, PPFD_IN, RH, SC, SCH4, SH, SLE, SW_IN, SW_OUT, TA, TAU, TS, U_SIGMA, USTAR, VPD, V_SIGMA, WD, WS, W_SIGMA</t>
  </si>
  <si>
    <t>EM2</t>
  </si>
  <si>
    <t>Shoal Lake Manitoba</t>
  </si>
  <si>
    <t>https://doi.org/10.17190/AMF/2331380</t>
  </si>
  <si>
    <t>EM3</t>
  </si>
  <si>
    <t>Oak Hammock Marsh Manitoba</t>
  </si>
  <si>
    <t>ER1</t>
  </si>
  <si>
    <t>Elora Research Station</t>
  </si>
  <si>
    <t>2015, 2016, 2017, 2018, 2019, 2020, 2021</t>
  </si>
  <si>
    <t>https://doi.org/10.17190/AMF/1579541</t>
  </si>
  <si>
    <t>2015, 2016, 2017, 2018, 2019, 2020</t>
  </si>
  <si>
    <t>https://doi.org/10.17190/AMF/1832154</t>
  </si>
  <si>
    <t>CO2, CO2_SIGMA, FC, H, H2O, H2O_SIGMA, LE, MO_LENGTH, PA, RH, SW_IN, TA, TAU, T_SONIC, T_SONIC_SIGMA, U_SIGMA, USTAR, VPD, V_SIGMA, WD, WS, W_SIGMA, WS_MAX, ZL</t>
  </si>
  <si>
    <t>ER2</t>
  </si>
  <si>
    <t>Gro</t>
  </si>
  <si>
    <t>Ontario - Groundhog River, Boreal Mixedwood Forest</t>
  </si>
  <si>
    <t>2003, 2004, 2005, 2006, 2007, 2008, 2009, 2010, 2011, 2012, 2013, 2014</t>
  </si>
  <si>
    <t>https://doi.org/10.17190/AMF/1245996</t>
  </si>
  <si>
    <t>https://doi.org/10.17190/AMF/1902823</t>
  </si>
  <si>
    <t>CO2, FC, G, H, H2O, LE, LW_IN, LW_OUT, NEE, NETRAD, P, PA, PPFD_DIF, PPFD_IN, PPFD_OUT, RECO, RH, SC, SH, SLE, SWC, SW_IN, SW_OUT, TA, TS, USTAR, VPD, WD, WS</t>
  </si>
  <si>
    <t>HPC</t>
  </si>
  <si>
    <t>Havikpak Creek</t>
  </si>
  <si>
    <t>https://doi.org/10.17190/AMF/1773392</t>
  </si>
  <si>
    <t>ALB, CH4, CO2, D_SNOW, FC, FCH4, FCH4_SSITC_TEST, FC_SSITC_TEST, GPP, H, H2O, H_SSITC_TEST, LE, LE_SSITC_TEST, LW_IN, LW_OUT, MO_LENGTH, NEE, P, PA, PPFD_IN, PPFD_OUT, RECO, RH, SC, SCH4, SH, SLE, SW_IN, SW_OUT, TA, TS, T_SONIC, USTAR, VPD, V_SIGMA, WD, WS, W_SIGMA, ZL</t>
  </si>
  <si>
    <t>KLP</t>
  </si>
  <si>
    <t>Kinoje Lake Peatland</t>
  </si>
  <si>
    <t>Let</t>
  </si>
  <si>
    <t>Alberta - Mixed Grass Prairie</t>
  </si>
  <si>
    <t>1998, 1999, 2000, 2001, 2002, 2003, 2004, 2005, 2006, 2007, 2008</t>
  </si>
  <si>
    <t>https://doi.org/10.17190/AMF/1436318</t>
  </si>
  <si>
    <t>CO2, G, H, H2O, LE, MO_LENGTH, NEE, NETRAD, PA, PPFD_IN, PPFD_OUT, P_RAIN, RH, SWC, SW_IN, SW_OUT, TA, TAU, TS, USTAR, VPD, WD, WS</t>
  </si>
  <si>
    <t>LP1</t>
  </si>
  <si>
    <t>British Columbia - Mountain pine beetle-attacked lodgepole pine stand</t>
  </si>
  <si>
    <t>Mediterranean: mild with dry, hot summer</t>
  </si>
  <si>
    <t>2007, 2008, 2009, 2010, 2011, 2012, 2013, 2014, 2015, 2016, 2017, 2018, 2019, 2020, 2021, 2022</t>
  </si>
  <si>
    <t>https://doi.org/10.17190/AMF/1660337</t>
  </si>
  <si>
    <t>2007, 2008, 2009, 2010, 2011, 2012, 2013, 2014, 2015, 2016, 2017, 2018, 2019, 2020</t>
  </si>
  <si>
    <t>https://doi.org/10.17190/AMF/1832155</t>
  </si>
  <si>
    <t>CO2, FC, G, GPP, H, H2O, LE, LW_IN, LW_OUT, NEE, NETRAD, P, PA, PPFD_IN, PPFD_OUT, RECO, RH, SC, SWC, SW_IN, SW_OUT, TA, TS, T_SONIC, T_SONIC_SIGMA, USTAR, VPD, WD, WS</t>
  </si>
  <si>
    <t>LuM</t>
  </si>
  <si>
    <t>Luther Marsh Wildlife Management Area</t>
  </si>
  <si>
    <t>Manitoba Agricultural Site 1</t>
  </si>
  <si>
    <t>2009, 2010, 2011</t>
  </si>
  <si>
    <t>https://doi.org/10.17190/AMF/1617701</t>
  </si>
  <si>
    <t>https://doi.org/10.17190/AMF/2007165</t>
  </si>
  <si>
    <t>CO2, FC, G, H, H2O, LE, LW_IN, LW_OUT, NETRAD, PA, PPFD_IN, PPFD_OUT, P_RAIN, RH, SWC, SW_IN, SW_OUT, TA, TS, T_SONIC, USTAR, WD, WS</t>
  </si>
  <si>
    <t>MA2</t>
  </si>
  <si>
    <t>Manitoba Agricultural Site 2</t>
  </si>
  <si>
    <t>https://doi.org/10.17190/AMF/1617702</t>
  </si>
  <si>
    <t>https://doi.org/10.17190/AMF/2007166</t>
  </si>
  <si>
    <t>MA3</t>
  </si>
  <si>
    <t>Manitoba Agricultural Site 3</t>
  </si>
  <si>
    <t>https://doi.org/10.17190/AMF/1617703</t>
  </si>
  <si>
    <t>https://doi.org/10.17190/AMF/2007167</t>
  </si>
  <si>
    <t>Man</t>
  </si>
  <si>
    <t>Manitoba - Northern Old Black Spruce (former BOREAS Northern Study Area)</t>
  </si>
  <si>
    <t>1994, 1995, 1996, 1997, 1998, 1999, 2000, 2001, 2002, 2003, 2004, 2005, 2006, 2007, 2008</t>
  </si>
  <si>
    <t>https://doi.org/10.17190/AMF/1245997</t>
  </si>
  <si>
    <t>CO2, FC, GPP, H, H2O, LE, NEE, NETRAD, PA, PPFD_BC_IN, PPFD_IN, P_RAIN, RECO, RH, SC, TA, TS, USTAR, WD, WS, ZL</t>
  </si>
  <si>
    <t>Mer</t>
  </si>
  <si>
    <t>Ontario - Eastern Peatland, Mer Bleue</t>
  </si>
  <si>
    <t>MR3</t>
  </si>
  <si>
    <t>Mattheis Ranch - E3 South</t>
  </si>
  <si>
    <t>Dwd</t>
  </si>
  <si>
    <t>Subarctic: severe, very cold and dry winter, cool summer</t>
  </si>
  <si>
    <t>2012, 2013, 2014, 2015, 2016</t>
  </si>
  <si>
    <t>https://doi.org/10.17190/AMF/1480320</t>
  </si>
  <si>
    <t>CO2, FC, FC_SSITC_TEST, FETCH_70, FETCH_90, GPP, H, H2O, H_SSITC_TEST, LE, LE_SSITC_TEST, NEE, PA, PPFD_IN, RECO, RH, SC, SH, SLE, TA, TAU, TAU_SSITC_TEST, T_SONIC, USTAR, VPD, WD, WS, WS_MAX</t>
  </si>
  <si>
    <t>MR5</t>
  </si>
  <si>
    <t>Mattheis Ranch - E5 North</t>
  </si>
  <si>
    <t>https://doi.org/10.17190/AMF/1480321</t>
  </si>
  <si>
    <t>Na1</t>
  </si>
  <si>
    <t>New Brunswick - 1967 Balsam Fir - Nashwaak Lake Site 01 (Mature balsam fir forest)</t>
  </si>
  <si>
    <t>2003, 2004, 2005</t>
  </si>
  <si>
    <t>https://doi.org/10.17190/AMF/1436319</t>
  </si>
  <si>
    <t>CO2, D_SNOW, FC, G, H, LE, LW_IN, LW_OUT, NETRAD, P, PA, PPFD_DIF, PPFD_IN, PPFD_OUT, P_RAIN, RH, SWC, SW_IN, SW_OUT, TA, T_BOLE, TS, USTAR, WD, WS</t>
  </si>
  <si>
    <t>2001, 2002, 2003, 2004, 2005</t>
  </si>
  <si>
    <t>https://doi.org/10.17190/AMF/1245998</t>
  </si>
  <si>
    <t>https://doi.org/10.17190/AMF/1902824</t>
  </si>
  <si>
    <t>CO2, FC, H, H2O, LE, NETRAD, P, PPFD_IN, PPFD_OUT, RH, SWC, SW_IN, SW_OUT, TA, TS, USTAR, VPD, WD, WS</t>
  </si>
  <si>
    <t>https://doi.org/10.17190/AMF/1245999</t>
  </si>
  <si>
    <t>https://doi.org/10.17190/AMF/1902825</t>
  </si>
  <si>
    <t>https://doi.org/10.17190/AMF/1246000</t>
  </si>
  <si>
    <t>https://doi.org/10.17190/AMF/1902826</t>
  </si>
  <si>
    <t>https://doi.org/10.17190/AMF/1246001</t>
  </si>
  <si>
    <t>https://doi.org/10.17190/AMF/1902827</t>
  </si>
  <si>
    <t>https://doi.org/10.17190/AMF/1246002</t>
  </si>
  <si>
    <t>https://doi.org/10.17190/AMF/1902828</t>
  </si>
  <si>
    <t>https://doi.org/10.17190/AMF/1246003</t>
  </si>
  <si>
    <t>https://doi.org/10.17190/AMF/1902829</t>
  </si>
  <si>
    <t>https://doi.org/10.17190/AMF/1246004</t>
  </si>
  <si>
    <t>NS8</t>
  </si>
  <si>
    <t>UCI-2003 burn site</t>
  </si>
  <si>
    <t>https://doi.org/10.17190/AMF/1246005</t>
  </si>
  <si>
    <t>APAR, CO2, FAPAR, FC, G, H, H2O, LE, LW_IN, LW_OUT, NEE, NETRAD, P, PA, PPFD_DIF, PPFD_IN, PPFD_OUT, RECO, RH, SC, SH, SLE, SWC, SW_DIF, SW_IN, SW_OUT, TA, TS, USTAR, VPD, WD, WS, ZL</t>
  </si>
  <si>
    <t>Oas</t>
  </si>
  <si>
    <t>Saskatchewan - Western Boreal, Mature Aspen</t>
  </si>
  <si>
    <t>https://doi.org/10.17190/AMF/1375197</t>
  </si>
  <si>
    <t>Obs</t>
  </si>
  <si>
    <t>Saskatchewan - Western Boreal, Mature Black Spruce</t>
  </si>
  <si>
    <t>1997, 1998, 1999, 2000, 2001, 2002, 2003, 2004, 2005, 2006, 2007, 2008, 2009, 2010</t>
  </si>
  <si>
    <t>https://doi.org/10.17190/AMF/1375198</t>
  </si>
  <si>
    <t>Ojp</t>
  </si>
  <si>
    <t>Saskatchewan - Western Boreal, Mature Jack Pine</t>
  </si>
  <si>
    <t>https://doi.org/10.17190/AMF/1375199</t>
  </si>
  <si>
    <t>CO2, D_SNOW, FC, G, GPP, H, LE, LW_IN, LW_OUT, NEE, NETRAD, P, PA, PPFD_DIF, PPFD_IN, PPFD_OUT, RECO, RH, SB, SC, SH, SLE, SWC, SW_IN, SW_OUT, TA, T_BOLE, TS, USTAR, VPD, WD, WS</t>
  </si>
  <si>
    <t>Qc2</t>
  </si>
  <si>
    <t>Quebec - 1975 Harvested Black Spruce (HBS75)</t>
  </si>
  <si>
    <t>2007, 2008, 2009, 2010</t>
  </si>
  <si>
    <t>https://doi.org/10.17190/AMF/1419514</t>
  </si>
  <si>
    <t>CO2, D_SNOW, FC, G, GPP, H, LE, NEE, NETRAD, PA, PPFD_IN, PPFD_OUT, P_RAIN, RECO, RH, SC, SH, SLE, SWC, TA, TS, USTAR, WD, WS</t>
  </si>
  <si>
    <t>Qcu</t>
  </si>
  <si>
    <t>Quebec - Eastern Boreal, Black Spruce/Jack Pine Cutover</t>
  </si>
  <si>
    <t>2001, 2002, 2003, 2004, 2005, 2006, 2007, 2008, 2009, 2010</t>
  </si>
  <si>
    <t>https://doi.org/10.17190/AMF/1246828</t>
  </si>
  <si>
    <t>Qfo</t>
  </si>
  <si>
    <t>Quebec - Eastern Boreal, Mature Black Spruce</t>
  </si>
  <si>
    <t>2003, 2004, 2005, 2006, 2007, 2008, 2009, 2010</t>
  </si>
  <si>
    <t>https://doi.org/10.17190/AMF/1246829</t>
  </si>
  <si>
    <t>https://doi.org/10.17190/AMF/2006960</t>
  </si>
  <si>
    <t>CO2, FC, G, H, LE, LW_IN, LW_OUT, NEE, NETRAD, P, PA, PPFD_DIF, PPFD_IN, PPFD_OUT, RECO, RH, SC, SH, SLE, SWC, SW_IN, SW_OUT, TA, TS, USTAR, VPD, WD, WS</t>
  </si>
  <si>
    <t>RBM</t>
  </si>
  <si>
    <t>Richmond Brackish Marsh</t>
  </si>
  <si>
    <t>RPn</t>
  </si>
  <si>
    <t>Robinsons_Natural_Bog_NL</t>
  </si>
  <si>
    <t>RPp</t>
  </si>
  <si>
    <t>Robinsons_Peatland_Pasture_NL</t>
  </si>
  <si>
    <t>SCB</t>
  </si>
  <si>
    <t>Scotty Creek Bog</t>
  </si>
  <si>
    <t>2014, 2015, 2016, 2017, 2018, 2019</t>
  </si>
  <si>
    <t>https://doi.org/10.17190/AMF/1498754</t>
  </si>
  <si>
    <t>ALB, CO2, D_SNOW, FC, FCH4, FCH4_SSITC_TEST, FC_SSITC_TEST, G, GPP, H, H2O, H_SSITC_TEST, LE, LE_SSITC_TEST, LW_IN, LW_OUT, MO_LENGTH, NEE, PA, P_RAIN, RECO, RH, SC, SCH4, SH, SLE, SW_IN, SW_OUT, TA, TS, USTAR, VPD, V_SIGMA, WD, WS, W_SIGMA, WS_MAX, WTD, ZL</t>
  </si>
  <si>
    <t>SCC</t>
  </si>
  <si>
    <t>Scotty Creek Landscape</t>
  </si>
  <si>
    <t>2013, 2014, 2015, 2016</t>
  </si>
  <si>
    <t>https://doi.org/10.17190/AMF/1480303</t>
  </si>
  <si>
    <t>ALB, CO2, D_SNOW, FC, FCH4, FCH4_SSITC_TEST, FC_SSITC_TEST, G, GPP, H, H2O, H_SSITC_TEST, LE, LE_SSITC_TEST, LW_IN, LW_OUT, MO_LENGTH, NEE, PA, PPFD_IN, PPFD_OUT, P_RAIN, RECO, RH, SC, SCH4, SH, SLE, SWC, SW_IN, SW_OUT, TA, TS, T_SONIC, USTAR, VPD, V_SIGMA, WD, WS, W_SIGMA, WS_MAX, ZL</t>
  </si>
  <si>
    <t>Saskatchewan - Western Boreal, forest burned in 1977</t>
  </si>
  <si>
    <t>2003, 2004, 2005, 2006</t>
  </si>
  <si>
    <t>https://doi.org/10.17190/AMF/1246006</t>
  </si>
  <si>
    <t>https://doi.org/10.17190/AMF/1902831</t>
  </si>
  <si>
    <t>CO2, FC, G, H, H2O, LE, LW_IN, LW_OUT, NEE, NETRAD, PA, PPFD_IN, PPFD_OUT, P_RAIN, RH, SH, SWC, SW_IN, SW_OUT, TA, TS, USTAR, VPD, WD, WS</t>
  </si>
  <si>
    <t>SF2</t>
  </si>
  <si>
    <t>Saskatchewan - Western Boreal, forest burned in 1989</t>
  </si>
  <si>
    <t>2001, 2002, 2003, 2004, 2005, 2006</t>
  </si>
  <si>
    <t>https://doi.org/10.17190/AMF/1246007</t>
  </si>
  <si>
    <t>https://doi.org/10.17190/AMF/2006961</t>
  </si>
  <si>
    <t>CO2, FC, G, H, H2O, LE, LW_IN, LW_OUT, NEE, NETRAD, P, PA, PPFD_IN, PPFD_OUT, RH, SC, SH, SLE, SWC, SW_IN, SW_OUT, TA, TS, USTAR, VPD, WD, WS</t>
  </si>
  <si>
    <t>SF3</t>
  </si>
  <si>
    <t>Saskatchewan - Western Boreal, forest burned in 1998</t>
  </si>
  <si>
    <t>https://doi.org/10.17190/AMF/1246008</t>
  </si>
  <si>
    <t>SJ1</t>
  </si>
  <si>
    <t>Saskatchewan - Western Boreal, Jack Pine forest harvested in 1994</t>
  </si>
  <si>
    <t>2000, 2001, 2002, 2003, 2004, 2005, 2006, 2007, 2008, 2009, 2010</t>
  </si>
  <si>
    <t>https://doi.org/10.17190/AMF/1436320</t>
  </si>
  <si>
    <t>D_SNOW, FC, G, H, LE, LEAF_WET, LW_IN, LW_OUT, NETRAD, PPFD_IN, PPFD_OUT, P_RAIN, RH, SWC, SW_IN, SW_OUT, TA, TS, TSN, USTAR, WD, WS</t>
  </si>
  <si>
    <t>SJ2</t>
  </si>
  <si>
    <t>Saskatchewan - Western Boreal, Jack Pine forest harvested in 2002</t>
  </si>
  <si>
    <t>2002, 2003, 2004, 2005, 2006, 2007, 2008, 2009, 2010</t>
  </si>
  <si>
    <t>https://doi.org/10.17190/AMF/1436321</t>
  </si>
  <si>
    <t>CO2, D_SNOW, FC, G, GPP, H, H2O, LE, LEAF_WET, LW_IN, LW_OUT, NEE, NETRAD, P, PA, PPFD_IN, PPFD_OUT, P_RAIN, RECO, RH, SG, SH, SLE, SWC, SW_IN, SW_OUT, TA, TS, TSN, USTAR, WD, WS</t>
  </si>
  <si>
    <t>SJ3</t>
  </si>
  <si>
    <t>Saskatchewan - Western Boreal, Jack Pine forest harvested in 1975 (BOREAS Young Jack Pine)</t>
  </si>
  <si>
    <t>https://doi.org/10.17190/AMF/1436322</t>
  </si>
  <si>
    <t>D_SNOW, FC, G, GPP, H, LE, LW_IN, LW_OUT, NEE, NETRAD, PPFD_IN, PPFD_OUT, P_RAIN, RECO, RH, SB, SH, SLE, SWC, SW_IN, SW_OUT, TA, T_BOLE, TS, TSN, USTAR, WD, WS</t>
  </si>
  <si>
    <t>Smith Creek</t>
  </si>
  <si>
    <t>https://doi.org/10.17190/AMF/1767830</t>
  </si>
  <si>
    <t>CH4, CO2, FC, FCH4, FCH4_SSITC_TEST, FC_SSITC_TEST, GPP, H, H2O, H_SSITC_TEST, LE, LE_SSITC_TEST, LW_IN, LW_OUT, MO_LENGTH, NEE, PA, PPFD_IN, RECO, RH, SC, SCH4, SH, SLE, SW_IN, SW_OUT, TA, TS, T_SONIC, USTAR, VPD, V_SIGMA, WD, WS, W_SIGMA, ZL</t>
  </si>
  <si>
    <t>Ontario - Turkey Point 2002 Plantation White Pine</t>
  </si>
  <si>
    <t>2002, 2003, 2004, 2005, 2006, 2007, 2008, 2009, 2010, 2011, 2012, 2013, 2014, 2015, 2016, 2017</t>
  </si>
  <si>
    <t>https://doi.org/10.17190/AMF/1246009</t>
  </si>
  <si>
    <t>https://doi.org/10.17190/AMF/2006962</t>
  </si>
  <si>
    <t>CO2, FC, G, GPP, H, H2O, LE, NEE, NETRAD, P, PA, PPFD_IN, PPFD_OUT, P_RAIN, RECO, RH, SC, SH, SWC, SW_IN, TA, TS, USTAR, VPD, V_SIGMA, WD, WS, W_SIGMA</t>
  </si>
  <si>
    <t>TP2</t>
  </si>
  <si>
    <t>Ontario - Turkey Point 1989 Plantation White Pine</t>
  </si>
  <si>
    <t>2002, 2003, 2004, 2005, 2006, 2007, 2008</t>
  </si>
  <si>
    <t>https://doi.org/10.17190/AMF/1246010</t>
  </si>
  <si>
    <t>CO2, FC, G, GPP, H, H2O, LE, NEE, NETRAD, P, PA, PPFD_BC_IN, PPFD_IN, PPFD_OUT, RECO, RH, SC, SH, SWC, SW_IN, TA, TS, USTAR, VPD, V_SIGMA, WD, WS, W_SIGMA</t>
  </si>
  <si>
    <t>TP3</t>
  </si>
  <si>
    <t>Ontario - Turkey Point 1974 Plantation White Pine</t>
  </si>
  <si>
    <t>https://doi.org/10.17190/AMF/1246011</t>
  </si>
  <si>
    <t>https://doi.org/10.17190/AMF/1881566</t>
  </si>
  <si>
    <t>TP4</t>
  </si>
  <si>
    <t>Ontario - Turkey Point 1939 Plantation White Pine</t>
  </si>
  <si>
    <t>https://doi.org/10.17190/AMF/1246012</t>
  </si>
  <si>
    <t>CO2, D_SNOW, FC, G, GPP, H, H2O, LE, LW_IN, LW_OUT, NEE, NETRAD, P, PA, PPFD_BC_IN, PPFD_IN, PPFD_OUT, P_RAIN, RECO, RH, SC, SH, SWC, SW_IN, SW_OUT, TA, TS, USTAR, VPD, V_SIGMA, WD, WS, W_SIGMA, WTD</t>
  </si>
  <si>
    <t>TPD</t>
  </si>
  <si>
    <t>Ontario - Turkey Point Mature Deciduous</t>
  </si>
  <si>
    <t>2012, 2013, 2014, 2015, 2016, 2017</t>
  </si>
  <si>
    <t>https://doi.org/10.17190/AMF/1246152</t>
  </si>
  <si>
    <t>https://doi.org/10.17190/AMF/1881567</t>
  </si>
  <si>
    <t>CO2, D_SNOW, FC, G, GPP, H, H2O, LE, LW_IN, LW_OUT, NEE, NETRAD, P, PA, PPFD_BC_IN, PPFD_IN, PPFD_OUT, P_RAIN, RECO, RH, SC, SH, SWC, SW_IN, SW_OUT, TA, TS, USTAR, VPD, V_SIGMA, WD, WS, W_SIGMA</t>
  </si>
  <si>
    <t>TVC</t>
  </si>
  <si>
    <t>Trail Valley Creek</t>
  </si>
  <si>
    <t>https://doi.org/10.17190/AMF/1767831</t>
  </si>
  <si>
    <t>ALB, CO2, D_SNOW, FC, FCH4, FCH4_SSITC_TEST, FC_SSITC_TEST, GPP, H, H2O, H_SSITC_TEST, LE, LE_SSITC_TEST, LW_IN, LW_OUT, MO_LENGTH, NEE, P, PA, RECO, RH, SC, SCH4, SH, SLE, SW_IN, SW_OUT, TA, T_SONIC, USTAR, VPD, V_SIGMA, WD, WS, W_SIGMA, ZL</t>
  </si>
  <si>
    <t>WP1</t>
  </si>
  <si>
    <t>Alberta - Western Peatland - LaBiche River,Black Spruce/Larch Fen</t>
  </si>
  <si>
    <t>2003, 2004, 2005, 2006, 2007, 2008, 2009</t>
  </si>
  <si>
    <t>https://doi.org/10.17190/AMF/1436323</t>
  </si>
  <si>
    <t>CO2, D_SNOW, FC, GPP, H, H2O, LE, LW_IN, LW_OUT, NEE, NETRAD, PA, PPFD_DIF, PPFD_DIR, PPFD_IN, PPFD_OUT, P_RAIN, RECO, RH, SWC, SW_IN, SW_OUT, TA, TS, USTAR, WD, WS, WTD</t>
  </si>
  <si>
    <t>WP2</t>
  </si>
  <si>
    <t>Alberta - Western Peatland - Poor Fen (Sphagnum moss)</t>
  </si>
  <si>
    <t>2004, 2005, 2006</t>
  </si>
  <si>
    <t>https://doi.org/10.17190/AMF/1436324</t>
  </si>
  <si>
    <t>CO2, D_SNOW, FC, H, H2O, LE, NEE, NETRAD, PA, PPFD_IN, PPFD_OUT, P_RAIN, RH, SW_IN, TA, TS, USTAR, WD, WS, WTD</t>
  </si>
  <si>
    <t>WP3</t>
  </si>
  <si>
    <t>Alberta - Western Peatland - Rich Fen (Carex)</t>
  </si>
  <si>
    <t>https://doi.org/10.17190/AMF/1436325</t>
  </si>
  <si>
    <t>ACF</t>
  </si>
  <si>
    <t>Alerce Costero Forest</t>
  </si>
  <si>
    <t>Chile</t>
  </si>
  <si>
    <t>Senda Darwin Forest</t>
  </si>
  <si>
    <t>2014, 2015, 2016, 2017, 2018, 2019, 2020, 2021, 2022</t>
  </si>
  <si>
    <t>https://doi.org/10.17190/AMF/1902273</t>
  </si>
  <si>
    <t>CO2, CO2_MIXING_RATIO, FC, FETCH_70, FETCH_90, FETCH_MAX, G, GPP, H, H2O, H2O_MIXING_RATIO, LE, LW_IN, LW_OUT, MO_LENGTH, NEE, NETRAD, PA, P_RAIN, RECO, RH, SWC, SW_IN, SW_OUT, TA, TAU, T_CANOPY, TS, T_SONIC, T_SONIC_SIGMA, U_SIGMA, USTAR, V_SIGMA, WD, WS, W_SIGMA, WS_MAX, WTD, ZL</t>
  </si>
  <si>
    <t>SDP</t>
  </si>
  <si>
    <t>Senda Darwin Peatland</t>
  </si>
  <si>
    <t>https://doi.org/10.17190/AMF/1902274</t>
  </si>
  <si>
    <t>GV1</t>
  </si>
  <si>
    <t>Guatavita Station 1</t>
  </si>
  <si>
    <t>Colombia</t>
  </si>
  <si>
    <t>GV2</t>
  </si>
  <si>
    <t>Guatavita Station 2</t>
  </si>
  <si>
    <t>Dos</t>
  </si>
  <si>
    <t>La Selva T2</t>
  </si>
  <si>
    <t>Costa Rica</t>
  </si>
  <si>
    <t>Fsc</t>
  </si>
  <si>
    <t>Filadelfia sugar cane cropland</t>
  </si>
  <si>
    <t>2014, 2015, 2016, 2017, 2018</t>
  </si>
  <si>
    <t>https://doi.org/10.17190/AMF/1829504</t>
  </si>
  <si>
    <t>CO2, CO2_MIXING_RATIO, FC, FC_SSITC_TEST, G, GPP, H, H2O, H2O_MIXING_RATIO, H_SSITC_TEST, LE, LE_SSITC_TEST, LW_IN, LW_OUT, MO_LENGTH, NDVI, NEE, NETRAD, P, PA, P_RAIN, PRI, RECO, SC, SH, SLE, SWC, SW_IN, SW_OUT, SWP, TA, TAU, TAU_SSITC_TEST, TS, T_SONIC, USTAR, VPD, WD, WS, ZL</t>
  </si>
  <si>
    <t>Lse</t>
  </si>
  <si>
    <t>La Selva</t>
  </si>
  <si>
    <t>1997, 1998, 1999</t>
  </si>
  <si>
    <t>https://doi.org/10.17190/AMF/1246013</t>
  </si>
  <si>
    <t>Nmr</t>
  </si>
  <si>
    <t>Nicoya melon-rice cropland</t>
  </si>
  <si>
    <t>SoC</t>
  </si>
  <si>
    <t>Soltis Center</t>
  </si>
  <si>
    <t>https://doi.org/10.17190/AMF/1880911</t>
  </si>
  <si>
    <t>CO2, FC, FETCH_70, FETCH_90, G, H, H2O, LE, LEAF_WET, LW_IN, LW_OUT, NETRAD, P, PA, PPFD_IN, RH, SWC, SW_IN, SW_OUT, TA, TAU, T_CANOPY, TS, T_SONIC, U_SIGMA, USTAR, VPD, V_SIGMA, WD, WS, W_SIGMA, WS_MAX</t>
  </si>
  <si>
    <t>Aog</t>
  </si>
  <si>
    <t>Alamos Old-Growth tropical dry forest</t>
  </si>
  <si>
    <t>Mexico</t>
  </si>
  <si>
    <t>2015, 2016, 2017, 2018</t>
  </si>
  <si>
    <t>https://doi.org/10.17190/AMF/1756414</t>
  </si>
  <si>
    <t>CO2, FC, FC_SSITC_TEST, FETCH_70, FETCH_90, G, H, H2O, H_SSITC_TEST, LE, LE_SSITC_TEST, LW_IN, LW_OUT, MO_LENGTH, PA, PPFD_IN, P_RAIN, RH, SC, SH, SLE, SWC, SW_IN, SW_OUT, TA, TAU, TAU_SSITC_TEST, T_SONIC, USTAR, VPD, WD, WS, WS_MAX, ZL</t>
  </si>
  <si>
    <t>Asf</t>
  </si>
  <si>
    <t>Alamos Mid-Secondary tropical dry forest</t>
  </si>
  <si>
    <t>BRN</t>
  </si>
  <si>
    <t>Bernal</t>
  </si>
  <si>
    <t>Steppe: warm winter</t>
  </si>
  <si>
    <t>CLS</t>
  </si>
  <si>
    <t>Coastal Lagoon, Gulf of California</t>
  </si>
  <si>
    <t>Water Bodies : Oceans, seas, lakes, reservoirs, and rivers. Can be either fresh or salt- water bodies.</t>
  </si>
  <si>
    <t>Desert: warm winter</t>
  </si>
  <si>
    <t>EMg</t>
  </si>
  <si>
    <t>El Mogor</t>
  </si>
  <si>
    <t>2015, 2016, 2017</t>
  </si>
  <si>
    <t>https://doi.org/10.17190/AMF/1717849</t>
  </si>
  <si>
    <t>CO2, FC, FETCH_70, FETCH_90, G, H, H2O, LE, NETRAD, P, PA, PPFD_IN, P_RAIN, RH, SWC, TA, TAU, TS, USTAR, VPD, WD, WS</t>
  </si>
  <si>
    <t>Iit</t>
  </si>
  <si>
    <t>Instituto de Ingenieria y Tecnologia - UACJ</t>
  </si>
  <si>
    <t>Bwk</t>
  </si>
  <si>
    <t>Desert: very cold winter</t>
  </si>
  <si>
    <t>ISD</t>
  </si>
  <si>
    <t>San Isidro</t>
  </si>
  <si>
    <t>Lpa</t>
  </si>
  <si>
    <t>La Paz</t>
  </si>
  <si>
    <t>2004, 2005, 2006, 2007, 2008</t>
  </si>
  <si>
    <t>https://doi.org/10.17190/AMF/1246014</t>
  </si>
  <si>
    <t>Oak</t>
  </si>
  <si>
    <t>Encino, North American monsoon oak savanna</t>
  </si>
  <si>
    <t>PMm</t>
  </si>
  <si>
    <t>Puerto Morelos mangrove</t>
  </si>
  <si>
    <t>2017, 2018</t>
  </si>
  <si>
    <t>https://doi.org/10.17190/AMF/1756415</t>
  </si>
  <si>
    <t>CO2, FC, FC_SSITC_TEST, FETCH_70, FETCH_90, FETCH_FILTER, FETCH_MAX, G, H, H_SSITC_TEST, LE, LE_SSITC_TEST, LW_IN, LW_OUT, MO_LENGTH, NETRAD, PA, PPFD_IN, P_RAIN, RH, SC, SW_IN, SW_OUT, TA, TAU, TAU_SSITC_TEST, TS, T_SONIC, TW, U_SIGMA, USTAR, VPD, V_SIGMA, WD, WS, W_SIGMA, WS_MAX, WTD, ZL</t>
  </si>
  <si>
    <t>Ray</t>
  </si>
  <si>
    <t>Rayon, monsoon subtropical shrubland</t>
  </si>
  <si>
    <t>2007, 2008, 2009, 2010, 2011, 2012</t>
  </si>
  <si>
    <t>https://doi.org/10.17190/AMF/1829505</t>
  </si>
  <si>
    <t>CO2, FC, G, H, H2O, LE, LW_IN, LW_OUT, PA, RH, SWC, SW_IN, SW_OUT, TA, TS, T_SONIC, USTAR, VPD, WD, WS</t>
  </si>
  <si>
    <t>Sgt</t>
  </si>
  <si>
    <t>Sonoran short arid Mangrove</t>
  </si>
  <si>
    <t>Tes</t>
  </si>
  <si>
    <t>Tesopaco, secondary tropical dry forest</t>
  </si>
  <si>
    <t>https://doi.org/10.17190/AMF/1767832</t>
  </si>
  <si>
    <t>2004, 2005, 2006, 2007, 2008, 2009</t>
  </si>
  <si>
    <t>https://doi.org/10.17190/AMF/1832156</t>
  </si>
  <si>
    <t>CO2, FC, G, H, H2O, LE, LW_IN, LW_OUT, PA, P_RAIN, RH, SWC, SW_IN, SW_OUT, TA, T_SONIC, USTAR, VPD, WD, WS</t>
  </si>
  <si>
    <t>PA</t>
  </si>
  <si>
    <t>Barro Colorado Island</t>
  </si>
  <si>
    <t>Panama</t>
  </si>
  <si>
    <t>Bas</t>
  </si>
  <si>
    <t>PE</t>
  </si>
  <si>
    <t>AMG</t>
  </si>
  <si>
    <t>Los Amigos</t>
  </si>
  <si>
    <t>Peru</t>
  </si>
  <si>
    <t>BRE</t>
  </si>
  <si>
    <t>El Breo</t>
  </si>
  <si>
    <t>PAN</t>
  </si>
  <si>
    <t>Panguana</t>
  </si>
  <si>
    <t>QFR</t>
  </si>
  <si>
    <t>Quistococha Forest Reserve</t>
  </si>
  <si>
    <t>2018, 2019</t>
  </si>
  <si>
    <t>https://doi.org/10.17190/AMF/1671889</t>
  </si>
  <si>
    <t>https://doi.org/10.17190/AMF/1832157</t>
  </si>
  <si>
    <t>CH4, CO2, FC, FCH4, H, H2O, LE, NEE, NETRAD, PA, PPFD_IN, RH, SC, SCH4, SH, SLE, SW_IN, TA, TS, T_SONIC, USTAR, WD, WS</t>
  </si>
  <si>
    <t>TNR</t>
  </si>
  <si>
    <t>Tambopata</t>
  </si>
  <si>
    <t>PR</t>
  </si>
  <si>
    <t>xGU</t>
  </si>
  <si>
    <t>NEON Guanica Forest (GUAN)</t>
  </si>
  <si>
    <t>Puerto Rico</t>
  </si>
  <si>
    <t>2018, 2019, 2020, 2021, 2022</t>
  </si>
  <si>
    <t>https://doi.org/10.17190/AMF/1773393</t>
  </si>
  <si>
    <t>CH4, CH4_MIXING_RATIO, CO2, CO2_MIXING_RATIO, FC, FETCH_90, FETCH_MAX, G, H, H2O, H2O_MIXING_RATIO, LE, LW_BC_IN, LW_BC_OUT, LW_IN, LW_OUT, NEE, NETRAD, P, PA, PPFD_BC_IN, PPFD_IN, PPFD_OUT, RH, SC, SH, SLE, SWC, SW_DIF, SW_IN, SW_OUT, TA, T_CANOPY, THROUGHFALL, TS, T_SONIC, T_SONIC_SIGMA, USTAR, VPD, V_SIGMA, WD, WS, WS_MAX</t>
  </si>
  <si>
    <t>xLA</t>
  </si>
  <si>
    <t>NEON Lajas Experimental Station (LAJA)</t>
  </si>
  <si>
    <t>https://doi.org/10.17190/AMF/1773394</t>
  </si>
  <si>
    <t>CH4, CH4_MIXING_RATIO, CO2, CO2_MIXING_RATIO, FC, FETCH_90, FETCH_MAX, G, H, H2O, H2O_MIXING_RATIO, LE, LW_BC_IN, LW_BC_OUT, LW_IN, LW_OUT, NEE, NETRAD, P, PA, PPFD_BC_IN, PPFD_IN, PPFD_OUT, RH, SC, SH, SLE, SWC, SW_DIF, SW_IN, SW_OUT, TA, T_CANOPY, TS, T_SONIC, T_SONIC_SIGMA, USTAR, VPD, V_SIGMA, WD, WS, WS_MAX</t>
  </si>
  <si>
    <t>A03</t>
  </si>
  <si>
    <t>ARM-AMF3-Oliktok</t>
  </si>
  <si>
    <t>USA</t>
  </si>
  <si>
    <t>2014, 2015, 2016, 2017, 2018, 2019, 2020, 2021</t>
  </si>
  <si>
    <t>https://doi.org/10.17190/AMF/1498752</t>
  </si>
  <si>
    <t>ALB, CH4, CO2, FC, FCH4, G, H, H2O, LE, LW_IN, LW_OUT, NEE, NETRAD, PA, PPFD_IN, PPFD_OUT, RH, SWC, SW_IN, SW_OUT, TS, T_SONIC, T_SONIC_SIGMA, U_SIGMA, USTAR, V_SIGMA, WD, WS, W_SIGMA, ZL</t>
  </si>
  <si>
    <t>A10</t>
  </si>
  <si>
    <t>ARM-NSA-Barrow</t>
  </si>
  <si>
    <t>2011, 2012, 2013, 2014, 2015, 2016, 2017, 2018, 2019, 2020</t>
  </si>
  <si>
    <t>https://doi.org/10.17190/AMF/1498753</t>
  </si>
  <si>
    <t>A32</t>
  </si>
  <si>
    <t>ARM-SGP Medford hay pasture</t>
  </si>
  <si>
    <t>https://doi.org/10.17190/AMF/1436327</t>
  </si>
  <si>
    <t>https://doi.org/10.17190/AMF/1881568</t>
  </si>
  <si>
    <t>ALB, CO2, FC, G, H, H2O, LE, LW_IN, LW_OUT, NDVI, NEE, NETRAD, PA, PPFD_IN, PPFD_OUT, P_RAIN, PRI, RH, SWC, SW_DIF, SW_DIR, SW_IN, SW_OUT, TA, T_CANOPY, TS, T_SONIC, T_SONIC_SIGMA, U_SIGMA, USTAR, V_SIGMA, WD, WS, W_SIGMA, ZL</t>
  </si>
  <si>
    <t>A39</t>
  </si>
  <si>
    <t>ARM-SGP-Morrison</t>
  </si>
  <si>
    <t>A74</t>
  </si>
  <si>
    <t>ARM SGP milo field</t>
  </si>
  <si>
    <t>https://doi.org/10.17190/AMF/1436328</t>
  </si>
  <si>
    <t>2016, 2017</t>
  </si>
  <si>
    <t>https://doi.org/10.17190/AMF/2006963</t>
  </si>
  <si>
    <t>AaG</t>
  </si>
  <si>
    <t>Arkansas Grassland</t>
  </si>
  <si>
    <t>Act</t>
  </si>
  <si>
    <t>Acton Lake Flux Tower Site</t>
  </si>
  <si>
    <t>https://doi.org/10.17190/AMF/1846660</t>
  </si>
  <si>
    <t>CH4, CO2, CO2_SIGMA, FC, FCH4, FCH4_SSITC_TEST, FC_SSITC_TEST, FETCH_70, FETCH_90, FETCH_FILTER, FETCH_MAX, H, H2O, H2O_SIGMA, H_SSITC_TEST, LE, LE_SSITC_TEST, MO_LENGTH, NETRAD, P, PA, P_RAIN, RH, SC, SCH4, SH, SLE, TA, TAU, TAU_SSITC_TEST, TS, T_SONIC, TW, U_SIGMA, USTAR, VPD, V_SIGMA, WD, WS, W_SIGMA, WS_MAX, WTD, ZL</t>
  </si>
  <si>
    <t>ADR</t>
  </si>
  <si>
    <t>Amargosa Desert Research Site (ADRS)</t>
  </si>
  <si>
    <t>2011, 2012, 2013, 2014, 2015, 2016, 2017</t>
  </si>
  <si>
    <t>https://doi.org/10.17190/AMF/1418680</t>
  </si>
  <si>
    <t>CO2, FC, FC_SSITC_TEST, FETCH_70, FETCH_90, FETCH_MAX, G, H, H_SSITC_TEST, LE, LE_SSITC_TEST, MO_LENGTH, NETRAD, PA, PPFD_IN, P_RAIN, RH, SWC, TA, TAU, TAU_SSITC_TEST, TS, T_SONIC, T_SONIC_SIGMA, U_SIGMA, USTAR, VPD, V_SIGMA, WD, WS, W_SIGMA, WS_MAX, ZL</t>
  </si>
  <si>
    <t>MPG - Apricot Lane Farms</t>
  </si>
  <si>
    <t>Akn</t>
  </si>
  <si>
    <t>Savannah River Site</t>
  </si>
  <si>
    <t>2011, 2012, 2013, 2014, 2015, 2016, 2017, 2018, 2019, 2020, 2021, 2022</t>
  </si>
  <si>
    <t>https://doi.org/10.17190/AMF/1246141</t>
  </si>
  <si>
    <t>ALB, CO2, CO2_MIXING_RATIO, CO2_SIGMA, FC, FC_SSITC_TEST, FETCH_70, FETCH_80, FETCH_90, FETCH_MAX, H, H2O, H2O_MIXING_RATIO, H2O_SIGMA, H_SSITC_TEST, LE, LE_SSITC_TEST, MO_LENGTH, PA, P_RAIN, RH, SC, SH, SLE, SW_IN, SW_OUT, TA, TAU, TAU_SSITC_TEST, T_SONIC, T_SONIC_SIGMA, U_SIGMA, USTAR, VPD, V_SIGMA, WD, WS, W_SIGMA, WS_MAX, ZL</t>
  </si>
  <si>
    <t>ALQ</t>
  </si>
  <si>
    <t>Allequash Creek Site</t>
  </si>
  <si>
    <t>2015, 2016, 2017, 2018, 2019, 2020, 2021, 2022, 2023</t>
  </si>
  <si>
    <t>https://doi.org/10.17190/AMF/1480323</t>
  </si>
  <si>
    <t>https://doi.org/10.17190/AMF/2006964</t>
  </si>
  <si>
    <t>CH4, CO2, FC, FCH4, FCH4_SSITC_TEST, FC_SSITC_TEST, FETCH_90, FETCH_MAX, GPP, H, H2O, H_SSITC_TEST, LE, LE_SSITC_TEST, LW_IN, LW_OUT, MO_LENGTH, NEE, NETRAD, P, PA, PPFD_IN, RECO, RH, SC, SCH4, SH, SLE, SW_IN, SW_OUT, TA, TW, U_SIGMA, USTAR, VPD, V_SIGMA, WD, WS, W_SIGMA, WTD</t>
  </si>
  <si>
    <t>AMS</t>
  </si>
  <si>
    <t>Argonne Testbed for Multiscale Observational Science (ATMOS)</t>
  </si>
  <si>
    <t>An1</t>
  </si>
  <si>
    <t>Anaktuvuk River Severe Burn</t>
  </si>
  <si>
    <t>2008, 2009, 2010, 2011, 2012, 2013, 2014, 2015, 2016, 2017, 2018, 2019</t>
  </si>
  <si>
    <t>https://doi.org/10.17190/AMF/1246142</t>
  </si>
  <si>
    <t>FC, G, H, LE, LW_IN, LW_OUT, NETRAD, PA, PPFD_IN, PPFD_OUT, RH, SW_IN, SW_OUT, TA, USTAR, WD, WS</t>
  </si>
  <si>
    <t>An2</t>
  </si>
  <si>
    <t>Anaktuvuk River Moderate Burn</t>
  </si>
  <si>
    <t>https://doi.org/10.17190/AMF/1246143</t>
  </si>
  <si>
    <t>An3</t>
  </si>
  <si>
    <t>Anaktuvuk River Unburned</t>
  </si>
  <si>
    <t>https://doi.org/10.17190/AMF/1246144</t>
  </si>
  <si>
    <t>AoL</t>
  </si>
  <si>
    <t>Low Density Apple Orchard</t>
  </si>
  <si>
    <t>AR1</t>
  </si>
  <si>
    <t>ARM USDA UNL OSU Woodward Switchgrass 1</t>
  </si>
  <si>
    <t>Dry Continental: hot summer</t>
  </si>
  <si>
    <t>2009, 2010, 2011, 2012</t>
  </si>
  <si>
    <t>https://doi.org/10.17190/AMF/1246137</t>
  </si>
  <si>
    <t>https://doi.org/10.17190/AMF/2006965</t>
  </si>
  <si>
    <t>CO2, FC, G, H, H2O, LE, LW_IN, LW_OUT, NETRAD, P, PA, PPFD_IN, PPFD_OUT, RH, SWC, SW_IN, SW_OUT, TA, TS, USTAR, VPD, WD, WS</t>
  </si>
  <si>
    <t>AR2</t>
  </si>
  <si>
    <t>ARM USDA UNL OSU Woodward Switchgrass 2</t>
  </si>
  <si>
    <t>https://doi.org/10.17190/AMF/1246138</t>
  </si>
  <si>
    <t>https://doi.org/10.17190/AMF/2006966</t>
  </si>
  <si>
    <t>ARb</t>
  </si>
  <si>
    <t>ARM Southern Great Plains burn site- Lamont</t>
  </si>
  <si>
    <t>2005, 2006</t>
  </si>
  <si>
    <t>https://doi.org/10.17190/AMF/1246025</t>
  </si>
  <si>
    <t>https://doi.org/10.17190/AMF/2006967</t>
  </si>
  <si>
    <t>CO2, FC, G, H, H2O, LE, NETRAD, P, PA, PPFD_IN, RH, SW_IN, TA, USTAR, VPD, WD, WS</t>
  </si>
  <si>
    <t>ARc</t>
  </si>
  <si>
    <t>ARM Southern Great Plains control site- Lamont</t>
  </si>
  <si>
    <t>https://doi.org/10.17190/AMF/1246026</t>
  </si>
  <si>
    <t>https://doi.org/10.17190/AMF/2006968</t>
  </si>
  <si>
    <t>2003, 2004, 2005, 2006, 2007, 2008, 2009, 2010, 2011, 2012, 2013, 2014, 2015, 2016, 2017, 2018, 2019, 2020, 2021, 2022, 2023</t>
  </si>
  <si>
    <t>https://doi.org/10.17190/AMF/1246027</t>
  </si>
  <si>
    <t>2003, 2004, 2005, 2006, 2007, 2008, 2009, 2010, 2011, 2012, 2013, 2014, 2015, 2016, 2017, 2018, 2019, 2020</t>
  </si>
  <si>
    <t>https://doi.org/10.17190/AMF/1854366</t>
  </si>
  <si>
    <t>CO2, FC, FC_SSITC_TEST, FETCH_70, FETCH_80, FETCH_90, FETCH_MAX, G, H, H2O, H_SSITC_TEST, LE, LE_SSITC_TEST, LW_IN, LW_OUT, MO_LENGTH, NETRAD, P, PA, PPFD_IN, PPFD_OUT, RH, SWC, SW_DIF, SW_DIR, SW_IN, SW_OUT, TA, TAU, TAU_SSITC_TEST, T_CANOPY, TS, T_SONIC, T_SONIC_SIGMA, U_SIGMA, USTAR, V_SIGMA, WD, WS, W_SIGMA, WS_MAX</t>
  </si>
  <si>
    <t>ASH</t>
  </si>
  <si>
    <t>USSL San Joaquin Valley Almond High Salinity</t>
  </si>
  <si>
    <t>https://doi.org/10.17190/AMF/1634880</t>
  </si>
  <si>
    <t>CO2, FC, FC_SSITC_TEST, FETCH_70, FETCH_80, FETCH_90, FETCH_FILTER, FETCH_MAX, G, H, H2O, H_SSITC_TEST, LE, LE_SSITC_TEST, NETRAD, PA, RH, SW_IN, TA, TS, T_SONIC, T_SONIC_SIGMA, USTAR, VPD, WD, WS</t>
  </si>
  <si>
    <t>ASL</t>
  </si>
  <si>
    <t>USSL San Joaquin Valley Almond Low Salinity</t>
  </si>
  <si>
    <t>https://doi.org/10.17190/AMF/1617706</t>
  </si>
  <si>
    <t>ASM</t>
  </si>
  <si>
    <t>USSL San Joaquin Valley Almond Medium Salinity</t>
  </si>
  <si>
    <t>https://doi.org/10.17190/AMF/1617709</t>
  </si>
  <si>
    <t>Atq</t>
  </si>
  <si>
    <t>Atqasuk</t>
  </si>
  <si>
    <t>1999, 2000, 2001, 2002, 2003, 2004, 2005, 2006</t>
  </si>
  <si>
    <t>https://doi.org/10.17190/AMF/1246029</t>
  </si>
  <si>
    <t>Audubon Research Ranch</t>
  </si>
  <si>
    <t>https://doi.org/10.17190/AMF/1246028</t>
  </si>
  <si>
    <t>Bartlett Experimental Forest</t>
  </si>
  <si>
    <t>2004, 2005, 2006, 2007, 2008, 2009, 2010, 2011, 2012, 2013, 2014, 2015, 2016, 2017, 2018, 2019, 2020, 2021, 2022</t>
  </si>
  <si>
    <t>https://doi.org/10.17190/AMF/1246030</t>
  </si>
  <si>
    <t>2004, 2005, 2006, 2007, 2008, 2009, 2010, 2011, 2012, 2013, 2014, 2015, 2016, 2017, 2018, 2019, 2020, 2021</t>
  </si>
  <si>
    <t>https://doi.org/10.17190/AMF/2006969</t>
  </si>
  <si>
    <t>CO2, FC, H, LE, NETRAD, P, PA, PPFD_BC_IN, PPFD_DIF, PPFD_DIR, PPFD_IN, PPFD_OUT, RH, SWC, SW_IN, SW_OUT, TA, TS, USTAR, VPD, WD, WS</t>
  </si>
  <si>
    <t>Bd4</t>
  </si>
  <si>
    <t>Burdette Farm Rice Field - 4N</t>
  </si>
  <si>
    <t>Bd5</t>
  </si>
  <si>
    <t>Burdette Farm Rice Field - Seagraves South</t>
  </si>
  <si>
    <t>Bd6</t>
  </si>
  <si>
    <t>Burdette Farm Rice - Seagraves North</t>
  </si>
  <si>
    <t>BdA</t>
  </si>
  <si>
    <t>Burdette Farm Rice Field - AWD</t>
  </si>
  <si>
    <t>BdC</t>
  </si>
  <si>
    <t>Burdette Farm Rice Field - conventional</t>
  </si>
  <si>
    <t>Beo</t>
  </si>
  <si>
    <t>Barrow Environmental Observatory (BEO) tower</t>
  </si>
  <si>
    <t>Bes</t>
  </si>
  <si>
    <t>Barrow-Bes (Biocomplexity Experiment South tower)</t>
  </si>
  <si>
    <t>BgC</t>
  </si>
  <si>
    <t>Big Chico Creek</t>
  </si>
  <si>
    <t>Bi1</t>
  </si>
  <si>
    <t>Bouldin Island Alfalfa</t>
  </si>
  <si>
    <t>2016, 2017, 2018, 2019, 2020, 2021, 2022, 2023</t>
  </si>
  <si>
    <t>https://doi.org/10.17190/AMF/1480317</t>
  </si>
  <si>
    <t>2016, 2017, 2018, 2019, 2020, 2021</t>
  </si>
  <si>
    <t>https://doi.org/10.17190/AMF/1871134</t>
  </si>
  <si>
    <t>CH4, CO2, FC, FCH4, FCH4_SSITC_TEST, FC_SSITC_TEST, G, GPP, H, H2O, H_SSITC_TEST, LE, LE_SSITC_TEST, LW_IN, LW_OUT, MO_LENGTH, NDVI, NETRAD, P, PA, PPFD_IN, PPFD_OUT, PRI, RECO, RH, SPEC_NIR_IN, SPEC_NIR_OUT, SPEC_PRI_REF_IN, SPEC_PRI_REF_OUT, SPEC_PRI_TGT_IN, SPEC_PRI_TGT_OUT, SPEC_RED_IN, SPEC_RED_OUT, SWC, SW_IN, SW_OUT, TA, TAU, TAU_SSITC_TEST, TS, T_SONIC, T_SONIC_SIGMA, USTAR, VPD, V_SIGMA, WD, WS, W_SIGMA, ZL</t>
  </si>
  <si>
    <t>Bi2</t>
  </si>
  <si>
    <t>Bouldin Island corn</t>
  </si>
  <si>
    <t>2017, 2018, 2019, 2020, 2021, 2022, 2023</t>
  </si>
  <si>
    <t>https://doi.org/10.17190/AMF/1419513</t>
  </si>
  <si>
    <t>2017, 2018, 2019, 2020, 2021</t>
  </si>
  <si>
    <t>https://doi.org/10.17190/AMF/1871135</t>
  </si>
  <si>
    <t>CH4, CO2, FC, FCH4, FCH4_SSITC_TEST, FC_SSITC_TEST, G, GPP, H, H2O, H_SSITC_TEST, LE, LE_SSITC_TEST, LW_IN, LW_OUT, MO_LENGTH, NETRAD, P, PA, PPFD_DIF, PPFD_IN, PPFD_OUT, RECO, RH, SPEC_NIR_IN, SPEC_NIR_OUT, SPEC_PRI_REF_IN, SPEC_PRI_REF_OUT, SPEC_PRI_TGT_IN, SPEC_PRI_TGT_OUT, SPEC_RED_IN, SPEC_RED_OUT, SWC, SW_IN, SW_OUT, TA, TAU, TAU_SSITC_TEST, TS, T_SONIC, T_SONIC_SIGMA, USTAR, VPD, V_SIGMA, WD, WS, W_SIGMA, ZL</t>
  </si>
  <si>
    <t>Bkg</t>
  </si>
  <si>
    <t>Brookings</t>
  </si>
  <si>
    <t>Humid Continental: humid with severe winter, no dry season, hot summer</t>
  </si>
  <si>
    <t>2004, 2005, 2006, 2007, 2008, 2009, 2010</t>
  </si>
  <si>
    <t>https://doi.org/10.17190/AMF/1246040</t>
  </si>
  <si>
    <t>Blk</t>
  </si>
  <si>
    <t>Black Hills</t>
  </si>
  <si>
    <t>https://doi.org/10.17190/AMF/1246031</t>
  </si>
  <si>
    <t>Blo</t>
  </si>
  <si>
    <t>Blodgett Forest</t>
  </si>
  <si>
    <t>1997, 1998, 1999, 2000, 2001, 2002, 2003, 2004, 2005, 2006, 2007</t>
  </si>
  <si>
    <t>https://doi.org/10.17190/AMF/1246032</t>
  </si>
  <si>
    <t>FC, G, H, H2O, LE, NETRAD, P, PA, PPFD_IN, RH, TA, USTAR, VPD, WD, WS</t>
  </si>
  <si>
    <t>BMM</t>
  </si>
  <si>
    <t>Bangtail Mountain Meadow</t>
  </si>
  <si>
    <t>2016, 2017, 2018, 2019</t>
  </si>
  <si>
    <t>https://doi.org/10.17190/AMF/1660338</t>
  </si>
  <si>
    <t>ALB, CO2, CO2_SIGMA, FC, FC_SSITC_TEST, G, H, H2O, H2O_SIGMA, LE, LE_SSITC_TEST, LW_IN, LW_OUT, NDVI, NETRAD, P, PPFD_IN, PPFD_OUT, PRI, RH, SPEC_NIR_IN, SPEC_NIR_OUT, SPEC_NIR_REFL, SPEC_PRI_REF_IN, SPEC_PRI_REF_OUT, SPEC_PRI_REF_REFL, SPEC_PRI_TGT_IN, SPEC_PRI_TGT_OUT, SPEC_PRI_TGT_REFL, SPEC_RED_IN, SPEC_RED_OUT, SPEC_RED_REFL, SWC, SW_IN, SW_OUT, TA, TAU, TAU_SSITC_TEST, TS, T_SONIC, T_SONIC_SIGMA, U_SIGMA, USTAR, VPD, V_SIGMA, WD, WS, W_SIGMA, ZL</t>
  </si>
  <si>
    <t>Bn1</t>
  </si>
  <si>
    <t>Bonanza Creek, 1920 Burn site near Delta Junction</t>
  </si>
  <si>
    <t>Dry Continental: cool summer</t>
  </si>
  <si>
    <t>2002, 2003, 2004</t>
  </si>
  <si>
    <t>https://doi.org/10.17190/AMF/1246033</t>
  </si>
  <si>
    <t>Bonanza Creek, 1987 Burn site near Delta Junction</t>
  </si>
  <si>
    <t>https://doi.org/10.17190/AMF/1246034</t>
  </si>
  <si>
    <t>Bn3</t>
  </si>
  <si>
    <t>Bonanza Creek, 1999 Burn site near Delta Junction</t>
  </si>
  <si>
    <t>https://doi.org/10.17190/AMF/1246035</t>
  </si>
  <si>
    <t>Bo1</t>
  </si>
  <si>
    <t>1996, 1997, 1998, 1999, 2000, 2001, 2002, 2003, 2004, 2005, 2006, 2007, 2008</t>
  </si>
  <si>
    <t>https://doi.org/10.17190/AMF/1246036</t>
  </si>
  <si>
    <t>Bo2</t>
  </si>
  <si>
    <t>Bondville (companion site)</t>
  </si>
  <si>
    <t>https://doi.org/10.17190/AMF/1246037</t>
  </si>
  <si>
    <t>Br1</t>
  </si>
  <si>
    <t>Brooks Field Site 10- Ames</t>
  </si>
  <si>
    <t>2005, 2006, 2007, 2008, 2009, 2010, 2011</t>
  </si>
  <si>
    <t>https://doi.org/10.17190/AMF/1246038</t>
  </si>
  <si>
    <t>Br2</t>
  </si>
  <si>
    <t>Brooks Field Site 1011- Ames</t>
  </si>
  <si>
    <t>Br3</t>
  </si>
  <si>
    <t>Brooks Field Site 11- Ames</t>
  </si>
  <si>
    <t>https://doi.org/10.17190/AMF/1246039</t>
  </si>
  <si>
    <t>BRG</t>
  </si>
  <si>
    <t>Bayles Road Grassland Tower</t>
  </si>
  <si>
    <t>2016, 2017, 2018, 2019, 2020</t>
  </si>
  <si>
    <t>https://doi.org/10.17190/AMF/1756416</t>
  </si>
  <si>
    <t>https://doi.org/10.17190/AMF/2006970</t>
  </si>
  <si>
    <t>CO2, FC, G, H, H2O, LE, LW_IN, LW_OUT, P, PA, PPFD_IN, RH, SWC, SW_IN, SW_OUT, TA, TS, T_SONIC, U_SIGMA, USTAR, V_SIGMA, WD, WS, W_SIGMA</t>
  </si>
  <si>
    <t>Brw</t>
  </si>
  <si>
    <t>1998, 1999, 2000, 2001, 2002, 2003, 2004, 2005, 2006, 2007</t>
  </si>
  <si>
    <t>https://doi.org/10.17190/AMF/1246041</t>
  </si>
  <si>
    <t>Bsg</t>
  </si>
  <si>
    <t>Burns Sagebrush</t>
  </si>
  <si>
    <t>https://doi.org/10.17190/AMF/1846661</t>
  </si>
  <si>
    <t>ALB, FC, G, GPP, H, LE, LW_IN, LW_OUT, NEE, NETRAD, P, PA, PPFD_DIF, PPFD_IN, RH, SWC, SW_IN, SW_OUT, TA, TS, T_SONIC, T_SONIC_SIGMA, U_SIGMA, USTAR, WD, WS, W_SIGMA</t>
  </si>
  <si>
    <t>BSM</t>
  </si>
  <si>
    <t>Barnstable Great Marsh</t>
  </si>
  <si>
    <t>BWa</t>
  </si>
  <si>
    <t>INFLUX - NIST Turfgrass Site</t>
  </si>
  <si>
    <t>https://doi.org/10.17190/AMF/2229153</t>
  </si>
  <si>
    <t>FC, FH2O, H, LE, PA, RH, TA, U_SIGMA, USTAR, VPD, V_SIGMA, WD, WS, W_SIGMA, WS_MAX</t>
  </si>
  <si>
    <t>BWb</t>
  </si>
  <si>
    <t>INFLUX - Montgomery County pasture site</t>
  </si>
  <si>
    <t>2022, 2023</t>
  </si>
  <si>
    <t>https://doi.org/10.17190/AMF/2229154</t>
  </si>
  <si>
    <t>BZB</t>
  </si>
  <si>
    <t>Bonanza Creek Thermokarst Bog</t>
  </si>
  <si>
    <t>Subarctic: severe, very cold winter, no dry season, cool summer</t>
  </si>
  <si>
    <t>https://doi.org/10.17190/AMF/1773401</t>
  </si>
  <si>
    <t>2011, 2012, 2013, 2014, 2015, 2016, 2017, 2018, 2019, 2020, 2021</t>
  </si>
  <si>
    <t>https://doi.org/10.17190/AMF/1881569</t>
  </si>
  <si>
    <t>CH4, CO2, D_SNOW, FC, FCH4, G, GPP, H, LE, LW_IN, LW_OUT, NETRAD, P, PA, PPFD_IN, PPFD_OUT, RECO, RH, SG, SWC, SW_IN, SW_OUT, TA, TS, USTAR, VPD, WD, WS</t>
  </si>
  <si>
    <t>BZF</t>
  </si>
  <si>
    <t>Bonanza Creek Rich Fen</t>
  </si>
  <si>
    <t>https://doi.org/10.17190/AMF/1756433</t>
  </si>
  <si>
    <t>https://doi.org/10.17190/AMF/1881570</t>
  </si>
  <si>
    <t>BZL</t>
  </si>
  <si>
    <t>Goldstream Valley Thermokarst Lake</t>
  </si>
  <si>
    <t>BZo</t>
  </si>
  <si>
    <t>Bonanza Creek Old Thermokarst Bog</t>
  </si>
  <si>
    <t>https://doi.org/10.17190/AMF/1846662</t>
  </si>
  <si>
    <t>2018, 2019, 2020, 2021</t>
  </si>
  <si>
    <t>https://doi.org/10.17190/AMF/1881571</t>
  </si>
  <si>
    <t>CH4, CO2, FC, FCH4, G, GPP, H, LE, NETRAD, P, PA, PPFD_IN, RECO, RH, SG, SWC, SW_IN, SW_OUT, TA, TS, USTAR, VPD, WD, WS</t>
  </si>
  <si>
    <t>BZS</t>
  </si>
  <si>
    <t>Bonanza Creek Black Spruce</t>
  </si>
  <si>
    <t>2010, 2011, 2012, 2013, 2014, 2015, 2016, 2017, 2018, 2019, 2020, 2021</t>
  </si>
  <si>
    <t>https://doi.org/10.17190/AMF/1756434</t>
  </si>
  <si>
    <t>https://doi.org/10.17190/AMF/1881572</t>
  </si>
  <si>
    <t>CaV</t>
  </si>
  <si>
    <t>Canaan Valley</t>
  </si>
  <si>
    <t>https://doi.org/10.17190/AMF/1246042</t>
  </si>
  <si>
    <t>CC1</t>
  </si>
  <si>
    <t>Coloma Corn 1</t>
  </si>
  <si>
    <t>https://doi.org/10.17190/AMF/1865475</t>
  </si>
  <si>
    <t>ALB, CO2, FC, FC_SSITC_TEST, G, H, H2O, H_SSITC_TEST, LE, LE_SSITC_TEST, LW_IN, LW_OUT, NETRAD, RH, SWC, SW_IN, SW_OUT, TAU, TAU_SSITC_TEST, T_SONIC, T_SONIC_SIGMA, U_SIGMA, USTAR, VPD, V_SIGMA, WD, WS, W_SIGMA, ZL</t>
  </si>
  <si>
    <t>CC2</t>
  </si>
  <si>
    <t>Coloma Corn 2</t>
  </si>
  <si>
    <t>https://doi.org/10.17190/AMF/1865476</t>
  </si>
  <si>
    <t>ALB, CO2, CO2_SIGMA, FC, FC_SSITC_TEST, H, H2O, H2O_SIGMA, H_SSITC_TEST, LE, LE_SSITC_TEST, LW_IN, LW_OUT, NDVI, NETRAD, P, PRI, RH, SPEC_NIR_IN, SPEC_NIR_OUT, SPEC_NIR_REFL, SPEC_PRI_REF_IN, SPEC_PRI_REF_OUT, SPEC_PRI_REF_REFL, SPEC_PRI_TGT_IN, SPEC_PRI_TGT_OUT, SPEC_PRI_TGT_REFL, SPEC_RED_IN, SPEC_RED_OUT, SPEC_RED_REFL, SWC, SW_IN, SW_OUT, TAU, TAU_SSITC_TEST, TS, T_SONIC, T_SONIC_SIGMA, U_SIGMA, USTAR, VPD, V_SIGMA, WD, WS, W_SIGMA, ZL</t>
  </si>
  <si>
    <t>CdM</t>
  </si>
  <si>
    <t>Cedar Mesa</t>
  </si>
  <si>
    <t>2019, 2020, 2021</t>
  </si>
  <si>
    <t>https://doi.org/10.17190/AMF/1865477</t>
  </si>
  <si>
    <t>CO2, FC, GPP, H, H2O, LE, LW_IN, LW_OUT, NEE, P, PA, PPFD_IN, PPFD_OUT, RECO, RH, SWC, SW_IN, SW_OUT, TA, TS, USTAR, VPD, WD, WS, ZL</t>
  </si>
  <si>
    <t>Ced</t>
  </si>
  <si>
    <t>Cedar Bridge</t>
  </si>
  <si>
    <t>2005, 2006, 2007, 2008, 2009, 2010, 2011, 2012, 2013, 2014</t>
  </si>
  <si>
    <t>https://doi.org/10.17190/AMF/1246043</t>
  </si>
  <si>
    <t>CAF-LTAR Cook East</t>
  </si>
  <si>
    <t>Warm Summer Continental: warm summer</t>
  </si>
  <si>
    <t>https://doi.org/10.17190/AMF/1543382</t>
  </si>
  <si>
    <t>2017, 2018, 2019, 2020</t>
  </si>
  <si>
    <t>https://doi.org/10.17190/AMF/1832158</t>
  </si>
  <si>
    <t>CO2, FC, FC_SSITC_TEST, FETCH_90, FETCH_MAX, H, H_SSITC_TEST, LE, LE_SSITC_TEST, MO_LENGTH, NETRAD, P, PA, PPFD_IN, RH, SWC, TA, TS, T_SONIC, T_SONIC_SIGMA, U_SIGMA, USTAR, VPD, V_SIGMA, WD, WS, W_SIGMA, ZL</t>
  </si>
  <si>
    <t>CAF-LTAR Cook West</t>
  </si>
  <si>
    <t>https://doi.org/10.17190/AMF/1543383</t>
  </si>
  <si>
    <t>https://doi.org/10.17190/AMF/1881573</t>
  </si>
  <si>
    <t>CAF-LTAR Boyd North</t>
  </si>
  <si>
    <t>https://doi.org/10.17190/AMF/1543385</t>
  </si>
  <si>
    <t>https://doi.org/10.17190/AMF/1881574</t>
  </si>
  <si>
    <t>CF4</t>
  </si>
  <si>
    <t>CAF-LTAR Boyd South</t>
  </si>
  <si>
    <t>https://doi.org/10.17190/AMF/1543384</t>
  </si>
  <si>
    <t>https://doi.org/10.17190/AMF/1881575</t>
  </si>
  <si>
    <t>CGG</t>
  </si>
  <si>
    <t>Concord Grazed Grassland</t>
  </si>
  <si>
    <t>2019, 2020, 2021, 2022</t>
  </si>
  <si>
    <t>https://doi.org/10.17190/AMF/1987600</t>
  </si>
  <si>
    <t>CO2, FC, G, H, H2O, LE, NETRAD, P, PA, PPFD_IN, PPFD_OUT, RH, SWC, TA, TS, T_SONIC, U_SIGMA, USTAR, V_SIGMA, WD, WS, W_SIGMA</t>
  </si>
  <si>
    <t>ChR</t>
  </si>
  <si>
    <t>Chestnut Ridge</t>
  </si>
  <si>
    <t>2005, 2006, 2007, 2008, 2009, 2010</t>
  </si>
  <si>
    <t>https://doi.org/10.17190/AMF/1246044</t>
  </si>
  <si>
    <t>CLF</t>
  </si>
  <si>
    <t>Cole Farm</t>
  </si>
  <si>
    <t>https://doi.org/10.17190/AMF/1987601</t>
  </si>
  <si>
    <t>CO2, FC, H, H2O, LE, LW_IN, P, PA, RH, SWC, SW_IN, SW_OUT, TA, TS, USTAR, WD, WS, WTD</t>
  </si>
  <si>
    <t>Cms</t>
  </si>
  <si>
    <t>Central Marsh</t>
  </si>
  <si>
    <t>1999, 2000</t>
  </si>
  <si>
    <t>https://doi.org/10.17190/AMF/1987602</t>
  </si>
  <si>
    <t>CH4, CO2, D_SNOW, FC, FCH4, FO3, G, H, LE, LW_IN, LW_OUT, NETRAD, O3, PA, PPFD_IN, P_RAIN, RH, SW_IN, SW_OUT, TA, T_CANOPY, TS, T_SONIC, USTAR, VPD, WD, WS, WTD</t>
  </si>
  <si>
    <t>Charleston Mesquite Woodland</t>
  </si>
  <si>
    <t>2000, 2001, 2002, 2003, 2004, 2005, 2006, 2007, 2008, 2009, 2010, 2011, 2012, 2013, 2014, 2015, 2016, 2017, 2018, 2019, 2020, 2021</t>
  </si>
  <si>
    <t>https://doi.org/10.17190/AMF/1660339</t>
  </si>
  <si>
    <t>CO2, FC, G, GPP, H, H2O, LE, LW_IN, LW_OUT, NEE, NETRAD, P, PA, PPFD_IN, RECO, RH, SWC, SW_IN, SW_OUT, TA, T_CANOPY, TS, T_SONIC, USTAR, WD, WS</t>
  </si>
  <si>
    <t>Cop</t>
  </si>
  <si>
    <t>Corral Pocket</t>
  </si>
  <si>
    <t>2001, 2002, 2003, 2004, 2005, 2006, 2007</t>
  </si>
  <si>
    <t>https://doi.org/10.17190/AMF/1246129</t>
  </si>
  <si>
    <t>https://doi.org/10.17190/AMF/2006972</t>
  </si>
  <si>
    <t>CO2, FC, G, H, LE, NEE, NETRAD, P, PA, RH, SWC, SW_IN, SW_OUT, TA, TS, USTAR, VPD, WD, WS, ZL</t>
  </si>
  <si>
    <t>CPk</t>
  </si>
  <si>
    <t>Chimney Park</t>
  </si>
  <si>
    <t>2009, 2010, 2011, 2012, 2013</t>
  </si>
  <si>
    <t>https://doi.org/10.17190/AMF/1246150</t>
  </si>
  <si>
    <t>https://doi.org/10.17190/AMF/2006973</t>
  </si>
  <si>
    <t>CRK</t>
  </si>
  <si>
    <t>Davy Crockett National Forest</t>
  </si>
  <si>
    <t>https://doi.org/10.17190/AMF/2204055</t>
  </si>
  <si>
    <t>CO2, FC, G, H, H2O, LE, LW_IN, LW_OUT, MO_LENGTH, NEE, NETRAD, P, PA, PPFD_IN, RH, SH, SWC, SW_IN, SW_OUT, TA, TAU, TS, T_SONIC, U_SIGMA, USTAR, VPD, V_SIGMA, WD, WS, W_SIGMA, WS_MAX, ZL</t>
  </si>
  <si>
    <t>Curtice Walter-Berger cropland</t>
  </si>
  <si>
    <t>2011, 2012, 2013</t>
  </si>
  <si>
    <t>https://doi.org/10.17190/AMF/1246156</t>
  </si>
  <si>
    <t>https://doi.org/10.17190/AMF/2006974</t>
  </si>
  <si>
    <t>CH4, CO2, FC, FCH4, G, H, H2O, LE, LW_IN, LW_OUT, MO_LENGTH, NEE, NETRAD, P, PA, PPFD_IN, RH, SWC, SW_IN, SW_OUT, SWP, TA, TS, T_SONIC, T_SONIC_SIGMA, U_SIGMA, USTAR, V_SIGMA, WD, WS, W_SIGMA, WTD, ZL</t>
  </si>
  <si>
    <t>CS1</t>
  </si>
  <si>
    <t>Central Sands Irrigated Agricultural Field</t>
  </si>
  <si>
    <t>https://doi.org/10.17190/AMF/1617710</t>
  </si>
  <si>
    <t>https://doi.org/10.17190/AMF/1881576</t>
  </si>
  <si>
    <t>CO2, FC, FC_SSITC_TEST, FETCH_90, FETCH_MAX, GPP, H, H2O, H_SSITC_TEST, LE, LE_SSITC_TEST, LW_IN, LW_OUT, MO_LENGTH, NEE, NETRAD, P, PA, RECO, RH, SC, SH, SLE, SW_IN, SW_OUT, TA, USTAR, VPD, WD, WS</t>
  </si>
  <si>
    <t>CS2</t>
  </si>
  <si>
    <t>Tri county school Pine Forest</t>
  </si>
  <si>
    <t>https://doi.org/10.17190/AMF/1617711</t>
  </si>
  <si>
    <t>https://doi.org/10.17190/AMF/1881577</t>
  </si>
  <si>
    <t>CO2, FC, FC_SSITC_TEST, FETCH_90, FETCH_MAX, G, GPP, H, H2O, H_SSITC_TEST, LE, LE_SSITC_TEST, LW_IN, LW_OUT, MO_LENGTH, NEE, NETRAD, PA, RECO, RH, SC, SH, SLE, SWC, SW_IN, SW_OUT, TA, TS, USTAR, VPD, WD, WS</t>
  </si>
  <si>
    <t>CS3</t>
  </si>
  <si>
    <t>https://doi.org/10.17190/AMF/1617713</t>
  </si>
  <si>
    <t>https://doi.org/10.17190/AMF/1881578</t>
  </si>
  <si>
    <t>CS4</t>
  </si>
  <si>
    <t>2020, 2021</t>
  </si>
  <si>
    <t>https://doi.org/10.17190/AMF/1756417</t>
  </si>
  <si>
    <t>https://doi.org/10.17190/AMF/1881579</t>
  </si>
  <si>
    <t>CS5</t>
  </si>
  <si>
    <t>https://doi.org/10.17190/AMF/1846663</t>
  </si>
  <si>
    <t>CO2, FC, FC_SSITC_TEST, FETCH_90, FETCH_MAX, G, GPP, H, H2O, H_SSITC_TEST, LE, LE_SSITC_TEST, LW_IN, LW_OUT, MO_LENGTH, NEE, NETRAD, P, PA, RECO, RH, SC, SH, SLE, SWC, SW_IN, SW_OUT, TA, TS, USTAR, VPD, WD, WS</t>
  </si>
  <si>
    <t>CS6</t>
  </si>
  <si>
    <t>https://doi.org/10.17190/AMF/2001297</t>
  </si>
  <si>
    <t>CS7</t>
  </si>
  <si>
    <t>Central Sands Forest</t>
  </si>
  <si>
    <t>CS8</t>
  </si>
  <si>
    <t>https://doi.org/10.17190/AMF/2001298</t>
  </si>
  <si>
    <t>Cst</t>
  </si>
  <si>
    <t>Crossett Experimental Forest</t>
  </si>
  <si>
    <t>https://doi.org/10.17190/AMF/1902275</t>
  </si>
  <si>
    <t>CO2, FC, FETCH_FILTER, G, H, H2O, LE, LW_IN, LW_OUT, NETRAD, P, PA, PPFD_IN, RH, SC, SWC, SW_IN, SW_OUT, TA, TS, T_SONIC, T_SONIC_SIGMA, U_SIGMA, USTAR, VPD, V_SIGMA, WD, WS, W_SIGMA</t>
  </si>
  <si>
    <t>Ctn</t>
  </si>
  <si>
    <t>Cottonwood</t>
  </si>
  <si>
    <t>2006, 2007, 2008, 2009</t>
  </si>
  <si>
    <t>https://doi.org/10.17190/AMF/1246117</t>
  </si>
  <si>
    <t>CwG</t>
  </si>
  <si>
    <t>Coweeta Grassland</t>
  </si>
  <si>
    <t>Cwt</t>
  </si>
  <si>
    <t>Coweeta</t>
  </si>
  <si>
    <t>https://doi.org/10.17190/AMF/1671890</t>
  </si>
  <si>
    <t>ALB, APAR, CO2, FC, G, GPP, H, H2O, LE, LW_IN, LW_OUT, MO_LENGTH, NEE, NETRAD, PA, RECO, RH, SC, SW_IN, SW_OUT, TA, TAU, T_SONIC, T_SONIC_SIGMA, USTAR, VPD, WD, WS</t>
  </si>
  <si>
    <t>CX1</t>
  </si>
  <si>
    <t>Central Plains Experimental Range 1, Nunn, Colorado</t>
  </si>
  <si>
    <t>CX2</t>
  </si>
  <si>
    <t>Central Plains Experimental Range 2, Nunn, Colorado</t>
  </si>
  <si>
    <t>CZ1</t>
  </si>
  <si>
    <t>Sierra Critical Zone, Sierra Transect, Oak/Pine Woodland, San Joaquin Experimental Range</t>
  </si>
  <si>
    <t>Sierra Critical Zone, Sierra Transect, Ponderosa Pine Forest, Soaproot Saddle</t>
  </si>
  <si>
    <t>2010, 2011, 2012, 2013, 2014, 2015, 2016</t>
  </si>
  <si>
    <t>https://doi.org/10.17190/AMF/1419510</t>
  </si>
  <si>
    <t>FC, G, H, LE, NDVI, NETRAD, RH, SWC, SW_IN, SW_OUT, TA, TS, T_SONIC, USTAR, WD, WS</t>
  </si>
  <si>
    <t>Sierra Critical Zone, Sierra Transect, Sierran Mixed Conifer, P301</t>
  </si>
  <si>
    <t>2008, 2009, 2010, 2011, 2012, 2013, 2014, 2015, 2016</t>
  </si>
  <si>
    <t>https://doi.org/10.17190/AMF/1419512</t>
  </si>
  <si>
    <t>Sierra Critical Zone, Sierra Transect, Subalpine Forest, Shorthair</t>
  </si>
  <si>
    <t>2009, 2010, 2011, 2012, 2013, 2014, 2015, 2016</t>
  </si>
  <si>
    <t>https://doi.org/10.17190/AMF/1419511</t>
  </si>
  <si>
    <t>DBk</t>
  </si>
  <si>
    <t>Berkeley Way West</t>
  </si>
  <si>
    <t>Dwarf Cypress Swamp</t>
  </si>
  <si>
    <t>Dea</t>
  </si>
  <si>
    <t>California UC ANR Desert Research and Extension Center Alfalfa</t>
  </si>
  <si>
    <t>Deu</t>
  </si>
  <si>
    <t>California UC ANR Desert Research and Extension Center Urban Farm Tower</t>
  </si>
  <si>
    <t>DFC</t>
  </si>
  <si>
    <t>US Dairy Forage Research Center, Prairie du Sac</t>
  </si>
  <si>
    <t>https://doi.org/10.17190/AMF/1660340</t>
  </si>
  <si>
    <t>https://doi.org/10.17190/AMF/2006975</t>
  </si>
  <si>
    <t>CH4, CO2, FC, FCH4, FETCH_90, G, H, H2O, LE, LW_IN, LW_OUT, MO_LENGTH, NETRAD, PA, P_RAIN, RH, SC, SCH4, SH, SLE, SWC, SW_IN, SW_OUT, TA, TAU, TS, T_SONIC, U_SIGMA, USTAR, VPD, V_SIGMA, WD, WS, W_SIGMA, ZL</t>
  </si>
  <si>
    <t>DFK</t>
  </si>
  <si>
    <t>Dairy Forage Research Center - Kernza</t>
  </si>
  <si>
    <t>https://doi.org/10.17190/AMF/1825937</t>
  </si>
  <si>
    <t>CO2, FC, FETCH_90, G, H, H2O, LE, LW_IN, LW_OUT, MO_LENGTH, NETRAD, PA, PPFD_IN, RH, SC, SH, SLE, SWC, SW_IN, SW_OUT, TA, TAU, TS, T_SONIC, U_SIGMA, USTAR, VPD, V_SIGMA, WD, WS, W_SIGMA, ZL</t>
  </si>
  <si>
    <t>Dia</t>
  </si>
  <si>
    <t>Diablo</t>
  </si>
  <si>
    <t>2010, 2011, 2012</t>
  </si>
  <si>
    <t>https://doi.org/10.17190/AMF/1246146</t>
  </si>
  <si>
    <t>Dix</t>
  </si>
  <si>
    <t>2005, 2006, 2007, 2008</t>
  </si>
  <si>
    <t>https://doi.org/10.17190/AMF/1246045</t>
  </si>
  <si>
    <t>Dk1</t>
  </si>
  <si>
    <t>Duke Forest-open field</t>
  </si>
  <si>
    <t>2001, 2002, 2003, 2004, 2005, 2006, 2007, 2008</t>
  </si>
  <si>
    <t>https://doi.org/10.17190/AMF/1246046</t>
  </si>
  <si>
    <t>CO2, FC, G, H, H2O, LE, LW_IN, LW_OUT, NETRAD, P, PA, PPFD_IN, RH, SC, SWC, SW_IN, SW_OUT, TA, TS, T_SONIC, T_SONIC_SIGMA, U_SIGMA, USTAR, VPD, V_SIGMA, WD, WS, W_SIGMA</t>
  </si>
  <si>
    <t>Dk2</t>
  </si>
  <si>
    <t>Duke Forest-hardwoods</t>
  </si>
  <si>
    <t>https://doi.org/10.17190/AMF/1246047</t>
  </si>
  <si>
    <t>Duke Forest - loblolly pine</t>
  </si>
  <si>
    <t>https://doi.org/10.17190/AMF/1246048</t>
  </si>
  <si>
    <t>Dmg</t>
  </si>
  <si>
    <t>Dutch Slough Marsh Gilbert Tract</t>
  </si>
  <si>
    <t>https://doi.org/10.17190/AMF/1964086</t>
  </si>
  <si>
    <t>CH4, CO2, FC, FCH4, FCH4_SSITC_TEST, FC_SSITC_TEST, G, GPP, H, H2O, H_SSITC_TEST, LE, LE_SSITC_TEST, LW_IN, LW_OUT, MO_LENGTH, NDVI, NETRAD, P, PA, PPFD_DIF, PPFD_IN, PPFD_OUT, PRI, RECO, RH, SPEC_NIR_IN, SPEC_NIR_OUT, SPEC_RED_IN, SPEC_RED_OUT, SW_IN, SW_OUT, TA, TAU, TAU_SSITC_TEST, TS, T_SONIC, T_SONIC_SIGMA, USTAR, VPD, V_SIGMA, WD, WS, W_SIGMA, WTD, ZL</t>
  </si>
  <si>
    <t>DPP</t>
  </si>
  <si>
    <t>Disney Wilderness Preserve Pine Flatwoods</t>
  </si>
  <si>
    <t>DPW</t>
  </si>
  <si>
    <t>Disney Wilderness Preserve Wetland</t>
  </si>
  <si>
    <t>https://doi.org/10.17190/AMF/1562387</t>
  </si>
  <si>
    <t>CH4, CO2, CO2_SIGMA, FC, FCH4, FCH4_SSITC_TEST, FC_SSITC_TEST, FETCH_70, FETCH_90, FETCH_MAX, H, H2O, H2O_SIGMA, H_SSITC_TEST, LE, LE_SSITC_TEST, MO_LENGTH, PA, RH, SC, SCH4, SH, SLE, SW_IN, TA, TAU, TAU_SSITC_TEST, T_SONIC, T_SONIC_SIGMA, U_SIGMA, USTAR, VPD, V_SIGMA, WD, WS, W_SIGMA, WS_MAX, ZL</t>
  </si>
  <si>
    <t>DS1</t>
  </si>
  <si>
    <t>Staten Corn 1</t>
  </si>
  <si>
    <t>DS2</t>
  </si>
  <si>
    <t>Staten Corn 2</t>
  </si>
  <si>
    <t>DS3</t>
  </si>
  <si>
    <t>Staten Rice 1</t>
  </si>
  <si>
    <t>https://doi.org/10.17190/AMF/1890490</t>
  </si>
  <si>
    <t>https://doi.org/10.17190/AMF/2229376</t>
  </si>
  <si>
    <t>CO2, FC, FC_SSITC_TEST, FETCH_70, FETCH_80, FETCH_90, FETCH_MAX, G, H, H2O, H_SSITC_TEST, LE, LE_SSITC_TEST, LW_IN, LW_OUT, MO_LENGTH, NETRAD, P, PA, PPFD_IN, RH, SWC, SW_IN, SW_OUT, TA, TAU, TAU_SSITC_TEST, TS, T_SONIC, T_SONIC_SIGMA, U_SIGMA, USTAR, V_SIGMA, WD, WS, W_SIGMA, WS_MAX</t>
  </si>
  <si>
    <t>EA4</t>
  </si>
  <si>
    <t>EAA Field Research Park Woodland</t>
  </si>
  <si>
    <t>2021, 2022, 2023, 2024</t>
  </si>
  <si>
    <t>https://doi.org/10.17190/AMF/2315767</t>
  </si>
  <si>
    <t>ALB, CO2, CO2_SIGMA, FC, FC_SSITC_TEST, FETCH_90, FETCH_MAX, G, H, H2O, H2O_SIGMA, H_SSITC_TEST, LE, LE_SSITC_TEST, LW_IN, LW_OUT, MO_LENGTH, NETRAD, P, PA, PPFD_IN, RH, SG, SWC, SW_IN, SW_OUT, TA, TAU, TAU_SSITC_TEST, TS, T_SONIC, T_SONIC_SIGMA, U_SIGMA, USTAR, VPD, V_SIGMA, WD, WS, W_SIGMA, WS_MAX, ZL</t>
  </si>
  <si>
    <t>EA5</t>
  </si>
  <si>
    <t>Uvalde Ranch Mesquite Woodland</t>
  </si>
  <si>
    <t>https://doi.org/10.17190/AMF/2204056</t>
  </si>
  <si>
    <t>CO2, FC, FC_SSITC_TEST, FETCH_90, FETCH_MAX, G, H, H2O, H_SSITC_TEST, LE, LE_SSITC_TEST, MO_LENGTH, NETRAD, P, PA, RH, SWC, SW_IN, TA, TAU, TAU_SSITC_TEST, TS, T_SONIC, T_SONIC_SIGMA, U_SIGMA, USTAR, VPD, V_SIGMA, WD, WS, W_SIGMA, ZL</t>
  </si>
  <si>
    <t>EA6</t>
  </si>
  <si>
    <t>Camp Wood Shield Ranch Oak Savannah</t>
  </si>
  <si>
    <t>2023, 2024</t>
  </si>
  <si>
    <t>https://doi.org/10.17190/AMF/2315768</t>
  </si>
  <si>
    <t>EDN</t>
  </si>
  <si>
    <t>Eden Landing Ecological Reserve</t>
  </si>
  <si>
    <t>https://doi.org/10.17190/AMF/1543381</t>
  </si>
  <si>
    <t>https://doi.org/10.17190/AMF/1832159</t>
  </si>
  <si>
    <t>CH4, CO2, FC, FCH4, H, H2O, LE, LW_IN, LW_OUT, MO_LENGTH, NETRAD, P, PA, PPFD_IN, RH, SW_IN, SW_OUT, TA, TAU, TS, T_SONIC, T_SONIC_SIGMA, USTAR, VPD, V_SIGMA, WD, WS, W_SIGMA, WTD, ZL</t>
  </si>
  <si>
    <t>EKH</t>
  </si>
  <si>
    <t>Elkhorn Slough Hester Marsh</t>
  </si>
  <si>
    <t>EKN</t>
  </si>
  <si>
    <t>Elkhorn Slough North Marsh</t>
  </si>
  <si>
    <t>Cfc</t>
  </si>
  <si>
    <t>Marine West Coast: mild with no dry season, cool summer</t>
  </si>
  <si>
    <t>EKP</t>
  </si>
  <si>
    <t>Elkhorn Slough Porter Marsh</t>
  </si>
  <si>
    <t>EKY</t>
  </si>
  <si>
    <t>Elkhorn Slough Yampah Marsh</t>
  </si>
  <si>
    <t>Elm</t>
  </si>
  <si>
    <t>Everglades (long hydroperiod marsh)</t>
  </si>
  <si>
    <t>2008, 2009, 2010, 2011, 2012, 2013, 2014</t>
  </si>
  <si>
    <t>https://doi.org/10.17190/AMF/1246118</t>
  </si>
  <si>
    <t>EML</t>
  </si>
  <si>
    <t>Eight Mile Lake Permafrost thaw gradient, Healy Alaska.</t>
  </si>
  <si>
    <t>2008, 2009, 2010, 2011, 2012, 2013, 2014, 2015, 2016, 2017, 2018, 2019, 2020</t>
  </si>
  <si>
    <t>https://doi.org/10.17190/AMF/1418678</t>
  </si>
  <si>
    <t>https://doi.org/10.17190/AMF/2007170</t>
  </si>
  <si>
    <t>ALB, CH4, CO2, D_SNOW, FC, FCH4, FCH4_SSITC_TEST, FC_SSITC_TEST, FETCH_70, FETCH_90, FETCH_MAX, GPP, H, H2O, H_SSITC_TEST, LE, LE_SSITC_TEST, LW_IN, LW_OUT, MO_LENGTH, NEE, NETRAD, PA, PPFD_IN, RECO, RH, SC, SWC, SW_IN, SW_OUT, TA, TAU, TAU_SSITC_TEST, TS, T_SONIC, U_SIGMA, USTAR, VPD, V_SIGMA, WD, WS, W_SIGMA, ZL</t>
  </si>
  <si>
    <t>EPM</t>
  </si>
  <si>
    <t>Edwards Plateau Martin</t>
  </si>
  <si>
    <t>Esm</t>
  </si>
  <si>
    <t>Everglades (short hydroperiod marsh)</t>
  </si>
  <si>
    <t>2008, 2009, 2010, 2011, 2012, 2013, 2014, 2015</t>
  </si>
  <si>
    <t>https://doi.org/10.17190/AMF/1246119</t>
  </si>
  <si>
    <t>EvM</t>
  </si>
  <si>
    <t>Everglades Saltwater intrusion marsh</t>
  </si>
  <si>
    <t>2020, 2021, 2022</t>
  </si>
  <si>
    <t>https://doi.org/10.17190/AMF/2229155</t>
  </si>
  <si>
    <t>CH4, CO2, CO2_SIGMA, FC, FCH4, G, GPP, H, H2O, H2O_SIGMA, LE, LW_IN, LW_OUT, MO_LENGTH, NEE, NETRAD, P, PA, PPFD_IN, P_RAIN, RECO, RH, SC, SCH4, SW_IN, SW_OUT, TA, TAU, TS, T_SONIC, T_SONIC_SIGMA, U_SIGMA, USTAR, VPD, V_SIGMA, WD, WS, W_SIGMA, WS_MAX, WTD, ZL</t>
  </si>
  <si>
    <t>FBE</t>
  </si>
  <si>
    <t>Bob Allen Key LTER East</t>
  </si>
  <si>
    <t>Fcr</t>
  </si>
  <si>
    <t>Cascaden Ridge Fire Scar</t>
  </si>
  <si>
    <t>Subarctic: severe, dry winter, cool summer</t>
  </si>
  <si>
    <t>2011, 2012, 2013, 2014</t>
  </si>
  <si>
    <t>https://doi.org/10.17190/AMF/1562388</t>
  </si>
  <si>
    <t>https://doi.org/10.17190/AMF/2007172</t>
  </si>
  <si>
    <t>CO2, FC, FETCH_70, FETCH_80, G, GPP, H, LE, NEE, NETRAD, PA, PPFD_IN, PPFD_OUT, P_RAIN, RECO, RH, SC, SWC, SW_IN, SW_OUT, TA, T_CANOPY, TS, T_SONIC_SIGMA, U_SIGMA, USTAR, V_SIGMA, WD, WS, W_SIGMA</t>
  </si>
  <si>
    <t>Fmf</t>
  </si>
  <si>
    <t>Flagstaff - Managed Forest</t>
  </si>
  <si>
    <t>https://doi.org/10.17190/AMF/1246050</t>
  </si>
  <si>
    <t>https://doi.org/10.17190/AMF/2007173</t>
  </si>
  <si>
    <t>CO2, FC, G, H, H2O, LE, LW_IN, LW_OUT, NEE, NETRAD, P, PA, PPFD_DIF, PPFD_IN, PPFD_OUT, RH, SC, SH, SLE, SWC, SW_IN, SW_OUT, TA, TS, USTAR, VPD, WD, WS</t>
  </si>
  <si>
    <t>Fo1</t>
  </si>
  <si>
    <t>Flux Observations of Carbon from an Airborne Laboratory (FOCAL) Campaign Site 1</t>
  </si>
  <si>
    <t>Fo2</t>
  </si>
  <si>
    <t>Flux Observations of Carbon from an Airborne Laboratory (FOCAL) Campaign Site 2</t>
  </si>
  <si>
    <t>FPe</t>
  </si>
  <si>
    <t>Fort Peck</t>
  </si>
  <si>
    <t>2000, 2001, 2002, 2003, 2004, 2005, 2006, 2007, 2008</t>
  </si>
  <si>
    <t>https://doi.org/10.17190/AMF/1246053</t>
  </si>
  <si>
    <t>FR1</t>
  </si>
  <si>
    <t>Freeman Ranch- Grassland</t>
  </si>
  <si>
    <t>Freeman Ranch- Mesquite Juniper</t>
  </si>
  <si>
    <t>https://doi.org/10.17190/AMF/1246054</t>
  </si>
  <si>
    <t>FR3</t>
  </si>
  <si>
    <t>Freeman Ranch- Woodland</t>
  </si>
  <si>
    <t>2004, 2005, 2006, 2007, 2008, 2009, 2010, 2011, 2012</t>
  </si>
  <si>
    <t>https://doi.org/10.17190/AMF/1246055</t>
  </si>
  <si>
    <t>Flagstaff - Unmanaged Forest</t>
  </si>
  <si>
    <t>https://doi.org/10.17190/AMF/1246051</t>
  </si>
  <si>
    <t>https://doi.org/10.17190/AMF/2007174</t>
  </si>
  <si>
    <t>Fwf</t>
  </si>
  <si>
    <t>Flagstaff - Wildfire</t>
  </si>
  <si>
    <t>https://doi.org/10.17190/AMF/1246052</t>
  </si>
  <si>
    <t>GBT</t>
  </si>
  <si>
    <t>GLEES Brooklyn Tower</t>
  </si>
  <si>
    <t>https://doi.org/10.17190/AMF/1375200</t>
  </si>
  <si>
    <t>GCE</t>
  </si>
  <si>
    <t>Georgia Coastal Ecosystems LTER Flux Tower</t>
  </si>
  <si>
    <t>GL1</t>
  </si>
  <si>
    <t>Stannard Rock</t>
  </si>
  <si>
    <t>2008, 2009, 2010, 2011, 2012, 2013, 2014, 2015, 2016, 2017, 2018, 2019, 2020, 2021, 2022</t>
  </si>
  <si>
    <t>https://doi.org/10.17190/AMF/2204057</t>
  </si>
  <si>
    <t>CO2, FC, H, LE, LW_IN, PA, RH, SW_IN, TA, TAU, T_SONIC, T_SONIC_SIGMA, TW, USTAR, VPD, WD, WS</t>
  </si>
  <si>
    <t>GL2</t>
  </si>
  <si>
    <t>Granite Island</t>
  </si>
  <si>
    <t>GLE</t>
  </si>
  <si>
    <t>GLEES</t>
  </si>
  <si>
    <t>1999, 2000, 2001, 2002, 2003, 2004, 2005, 2006, 2007, 2008, 2009, 2010, 2011, 2012, 2013, 2014, 2015, 2016, 2017, 2018, 2019, 2020</t>
  </si>
  <si>
    <t>https://doi.org/10.17190/AMF/1246056</t>
  </si>
  <si>
    <t>2005, 2006, 2007, 2008, 2009, 2010, 2011, 2012, 2013, 2014, 2015, 2016, 2017, 2018, 2019, 2020</t>
  </si>
  <si>
    <t>https://doi.org/10.17190/AMF/1871136</t>
  </si>
  <si>
    <t>CO2, D_SNOW, FC, G, H, H2O, LE, LW_BC_IN, LW_BC_OUT, LW_IN, LW_OUT, NEE, NETRAD, P, PA, PPFD_IN, PPFD_OUT, RH, SC, SW_BC_IN, SW_BC_OUT, SWC, SW_IN, SW_OUT, TA, TAU, T_CANOPY, TS, TSN, USTAR, VPD, WD, WS, ZL</t>
  </si>
  <si>
    <t>GMF</t>
  </si>
  <si>
    <t>Great Mountain Forest</t>
  </si>
  <si>
    <t>1999, 2000, 2001, 2002, 2003, 2004</t>
  </si>
  <si>
    <t>https://doi.org/10.17190/AMF/1246057</t>
  </si>
  <si>
    <t>Goo</t>
  </si>
  <si>
    <t>Goodwin Creek</t>
  </si>
  <si>
    <t>2002, 2003, 2004, 2005, 2006</t>
  </si>
  <si>
    <t>https://doi.org/10.17190/AMF/1246058</t>
  </si>
  <si>
    <t>FC, G, H, LE, LW_IN, LW_OUT, NETRAD, P, PA, PPFD_IN, PPFD_OUT, RH, SW_IN, SW_OUT, TA, USTAR, VPD, WD, WS</t>
  </si>
  <si>
    <t>Harvard Forest EMS Tower (HFR1)</t>
  </si>
  <si>
    <t>1991, 1992, 1993, 1994, 1995, 1996, 1997, 1998, 1999, 2000, 2001, 2002, 2003, 2004, 2005, 2006, 2007, 2008, 2009, 2010, 2011, 2012, 2013, 2014, 2015, 2016, 2017, 2018, 2019, 2020, 2021, 2022, 2023</t>
  </si>
  <si>
    <t>https://doi.org/10.17190/AMF/1246059</t>
  </si>
  <si>
    <t>1991, 1992, 1993, 1994, 1995, 1996, 1997, 1998, 1999, 2000, 2001, 2002, 2003, 2004, 2005, 2006, 2007, 2008, 2009, 2010, 2011, 2012, 2013, 2014, 2015, 2016, 2017, 2018, 2019, 2020</t>
  </si>
  <si>
    <t>https://doi.org/10.17190/AMF/1871137</t>
  </si>
  <si>
    <t>CO2, FC, FH2O, H, H2O, LE, NETRAD, P, PA, PPFD_DIF, PPFD_DIR, PPFD_IN, PPFD_OUT, RH, SC, SWC, TA, TAU, TS, T_SONIC, T_SONIC_SIGMA, U_SIGMA, USTAR, V_SIGMA, WD, WS, W_SIGMA</t>
  </si>
  <si>
    <t>Ha2</t>
  </si>
  <si>
    <t>Harvard Forest Hemlock Site</t>
  </si>
  <si>
    <t>2004, 2005, 2006, 2007, 2008, 2009, 2010, 2011, 2012, 2013, 2014, 2015, 2016, 2017, 2018, 2019, 2020, 2021, 2022, 2023</t>
  </si>
  <si>
    <t>https://doi.org/10.17190/AMF/1246060</t>
  </si>
  <si>
    <t>ALB, CO2, FC, FETCH_FILTER, FH2O, H, H2O, LE, LW_IN, LW_OUT, NETRAD, PA, PPFD_IN, PPFD_OUT, RH, SC, SW_IN, SW_OUT, TA, TS, T_SONIC, USTAR, VPD, WD, WS</t>
  </si>
  <si>
    <t>HB1</t>
  </si>
  <si>
    <t>North Inlet Crab Haul Creek</t>
  </si>
  <si>
    <t>https://doi.org/10.17190/AMF/1660341</t>
  </si>
  <si>
    <t>https://doi.org/10.17190/AMF/1832160</t>
  </si>
  <si>
    <t>ALB, CH4, CO2, CO2_SIGMA, FC, FCH4, FC_SSITC_TEST, FETCH_70, FETCH_80, FETCH_90, FETCH_MAX, H, H2O, H2O_SIGMA, H_SSITC_TEST, LE, LE_SSITC_TEST, LW_IN, LW_OUT, MO_LENGTH, PA, P_RAIN, RH, SC, SH, SLE, SW_DIF, SW_DIR, SW_IN, SW_OUT, TA, TAU, TAU_SSITC_TEST, TS, T_SONIC, T_SONIC_SIGMA, U_SIGMA, USTAR, VPD, V_SIGMA, WD, WS, W_SIGMA, WS_MAX, ZL</t>
  </si>
  <si>
    <t>HB2</t>
  </si>
  <si>
    <t>Hobcaw Barony Mature Longleaf Pine</t>
  </si>
  <si>
    <t>https://doi.org/10.17190/AMF/1660342</t>
  </si>
  <si>
    <t>https://doi.org/10.17190/AMF/2229377</t>
  </si>
  <si>
    <t>ALB, CO2, CO2_SIGMA, FC, FC_SSITC_TEST, FETCH_70, FETCH_80, FETCH_90, FETCH_MAX, G, H, H2O, H2O_SIGMA, H_SSITC_TEST, LE, LEAF_WET, LE_SSITC_TEST, LW_IN, LW_OUT, MO_LENGTH, NDVI, NETRAD, PA, PPFD_IN, PPFD_OUT, P_RAIN, PRI, RH, SC, SH, SLE, SWC, SW_DIF, SW_DIR, SW_IN, SW_OUT, TA, TAU, TAU_SSITC_TEST, TS, T_SONIC, T_SONIC_SIGMA, U_SIGMA, USTAR, VPD, V_SIGMA, WD, WS, W_SIGMA, WS_MAX, ZL</t>
  </si>
  <si>
    <t>HB3</t>
  </si>
  <si>
    <t>Hobcaw Barony Longleaf Pine Restoration</t>
  </si>
  <si>
    <t>https://doi.org/10.17190/AMF/1660343</t>
  </si>
  <si>
    <t>https://doi.org/10.17190/AMF/2229378</t>
  </si>
  <si>
    <t>ALB, CO2, CO2_SIGMA, FC, FC_SSITC_TEST, FETCH_70, FETCH_80, FETCH_90, FETCH_MAX, G, H, H2O, H2O_SIGMA, H_SSITC_TEST, LE, LEAF_WET, LE_SSITC_TEST, LW_IN, LW_OUT, MO_LENGTH, NDVI, NETRAD, PA, PPFD_IN, PPFD_OUT, P_RAIN, PRI, RH, SC, SH, SLE, SWC, SW_IN, SW_OUT, SWP, TA, TAU, TAU_SSITC_TEST, TS, T_SONIC, T_SONIC_SIGMA, TW, U_SIGMA, USTAR, VPD, V_SIGMA, WD, WS, W_SIGMA, WS_MAX, WTD, ZL</t>
  </si>
  <si>
    <t>HB4</t>
  </si>
  <si>
    <t>Minim Creek Brackish Impoundment</t>
  </si>
  <si>
    <t>https://doi.org/10.17190/AMF/2001299</t>
  </si>
  <si>
    <t>ALB, CH4, CO2, CO2_SIGMA, FC, FCH4, FCH4_SSITC_TEST, FC_SSITC_TEST, FETCH_70, FETCH_80, FETCH_90, FETCH_MAX, H, H2O, H2O_SIGMA, H_SSITC_TEST, LE, LE_SSITC_TEST, LW_IN, LW_OUT, MO_LENGTH, NDVI, NETRAD, PA, P_RAIN, RH, SC, SCH4, SH, SLE, SW_IN, SW_OUT, TA, TAU, TAU_SSITC_TEST, TS, T_SONIC, T_SONIC_SIGMA, TW, U_SIGMA, USTAR, VPD, V_SIGMA, WD, WS, W_SIGMA, WS_MAX, WTD, ZL</t>
  </si>
  <si>
    <t>HBK</t>
  </si>
  <si>
    <t>Hubbard Brook Experimental Forest</t>
  </si>
  <si>
    <t>2016, 2017, 2018, 2019, 2020, 2021, 2022</t>
  </si>
  <si>
    <t>https://doi.org/10.17190/AMF/1634881</t>
  </si>
  <si>
    <t>APAR, CO2, FC, G, H, H2O, LE, LW_IN, LW_OUT, NETRAD, RH, SWC, SW_IN, SW_OUT, SWP, TA, USTAR, VPD, WD, WS, ZL</t>
  </si>
  <si>
    <t>Hn1</t>
  </si>
  <si>
    <t>Hanford 300 Area</t>
  </si>
  <si>
    <t>Hn2</t>
  </si>
  <si>
    <t>Hanford 100H grassland</t>
  </si>
  <si>
    <t>https://doi.org/10.17190/AMF/1562389</t>
  </si>
  <si>
    <t>https://doi.org/10.17190/AMF/1902832</t>
  </si>
  <si>
    <t>CO2, CO2_SIGMA, FC, G, H, H2O, H2O_SIGMA, LE, MO_LENGTH, NETRAD, P, PA, PPFD_IN, RH, SC, SH, SLE, SWC, SW_IN, TA, TAU, TS, T_SONIC, T_SONIC_SIGMA, U_SIGMA, USTAR, V_SIGMA, WD, WS, W_SIGMA</t>
  </si>
  <si>
    <t>Hn3</t>
  </si>
  <si>
    <t>Hanford 100H sagebrush</t>
  </si>
  <si>
    <t>https://doi.org/10.17190/AMF/1543379</t>
  </si>
  <si>
    <t>https://doi.org/10.17190/AMF/1881580</t>
  </si>
  <si>
    <t>ALB, APAR, CO2, CO2_SIGMA, FC, G, H, H2O, H2O_SIGMA, LE, LW_IN, LW_OUT, MO_LENGTH, NETRAD, P, PA, RH, SC, SH, SLE, SWC, SW_IN, SW_OUT, TA, TAU, TS, T_SONIC, T_SONIC_SIGMA, U_SIGMA, USTAR, V_SIGMA, WD, WS, W_SIGMA</t>
  </si>
  <si>
    <t>Howland Forest (main tower)</t>
  </si>
  <si>
    <t>1996, 1997, 1998, 1999, 2000, 2001, 2002, 2003, 2004, 2005, 2006, 2007, 2008, 2009, 2010, 2011, 2012, 2013, 2014, 2015, 2016, 2017, 2018, 2019, 2020, 2021, 2022, 2023</t>
  </si>
  <si>
    <t>https://doi.org/10.17190/AMF/1246061</t>
  </si>
  <si>
    <t>CH4, CO2, FC, FCH4, FCH4_SSITC_TEST, FC_SSITC_TEST, FETCH_70, FETCH_90, FETCH_MAX, G, H, H2O, H_SSITC_TEST, LE, LE_SSITC_TEST, LW_IN, LW_OUT, NEE, NETRAD, P, PA, PPFD_DIF, PPFD_DIR, PPFD_IN, P_RAIN, RH, SWC, SW_IN, SW_OUT, TA, TAU, TS, T_SONIC, USTAR, VPD, WD, WS, WTD, ZL</t>
  </si>
  <si>
    <t>Ho2</t>
  </si>
  <si>
    <t>Howland Forest (west tower)</t>
  </si>
  <si>
    <t>https://doi.org/10.17190/AMF/1246062</t>
  </si>
  <si>
    <t>https://doi.org/10.17190/AMF/1881581</t>
  </si>
  <si>
    <t>CO2, FC, FC_SSITC_TEST, FETCH_70, FETCH_90, FETCH_MAX, H, H2O, H_SSITC_TEST, LE, LE_SSITC_TEST, LW_IN, LW_OUT, NEE, NETRAD, P, PA, PPFD_IN, P_RAIN, RH, SW_IN, SW_OUT, TA, TAU, TS, T_SONIC, USTAR, WD, WS, ZL</t>
  </si>
  <si>
    <t>Ho3</t>
  </si>
  <si>
    <t>Howland Forest (harvest site)</t>
  </si>
  <si>
    <t>https://doi.org/10.17190/AMF/1246063</t>
  </si>
  <si>
    <t>HPY</t>
  </si>
  <si>
    <t>Hawk Property</t>
  </si>
  <si>
    <t>HRA</t>
  </si>
  <si>
    <t>Humnoke Farm Rice Field 鈥?Field A</t>
  </si>
  <si>
    <t>https://doi.org/10.17190/AMF/1543376</t>
  </si>
  <si>
    <t>CH4, CO2, FC, FCH4, FCH4_SSITC_TEST, FC_SSITC_TEST, G, H, H2O, H_SSITC_TEST, LE, LE_SSITC_TEST, LW_IN, LW_OUT, NETRAD, PA, PPFD_IN, PPFD_OUT, P_RAIN, RH, SWC, SW_IN, SW_OUT, TA, TS, T_SONIC, USTAR, WD, WS, WS_MAX, WTD</t>
  </si>
  <si>
    <t>HRC</t>
  </si>
  <si>
    <t>Humnoke Farm Rice Field 鈥?Field C</t>
  </si>
  <si>
    <t>https://doi.org/10.17190/AMF/1543375</t>
  </si>
  <si>
    <t>HRN</t>
  </si>
  <si>
    <t>Humnoke Carr North Rice Field</t>
  </si>
  <si>
    <t>HRP</t>
  </si>
  <si>
    <t>Herring River Phragmites</t>
  </si>
  <si>
    <t>HRS</t>
  </si>
  <si>
    <t>Humnoke Carr South Rice Field</t>
  </si>
  <si>
    <t>Hsm</t>
  </si>
  <si>
    <t>Hill Slough Marsh</t>
  </si>
  <si>
    <t>https://doi.org/10.17190/AMF/1890483</t>
  </si>
  <si>
    <t>CH4, CO2, DO, FC, FCH4, FCH4_SSITC_TEST, FC_SSITC_TEST, G, H, H2O, H_SSITC_TEST, LE, LE_SSITC_TEST, LW_IN, LW_OUT, MO_LENGTH, NDVI, NETRAD, P, PA, PCO2, PPFD_DIF, PPFD_IN, PPFD_OUT, RH, SWC, SW_IN, SW_OUT, TA, TAU, TAU_SSITC_TEST, TS, T_SONIC, T_SONIC_SIGMA, USTAR, VPD, V_SIGMA, WD, WS, W_SIGMA, WTD, ZL</t>
  </si>
  <si>
    <t>HVa</t>
  </si>
  <si>
    <t>Happy Valley</t>
  </si>
  <si>
    <t>1994, 1995</t>
  </si>
  <si>
    <t>https://doi.org/10.17190/AMF/1246064</t>
  </si>
  <si>
    <t>HVs</t>
  </si>
  <si>
    <t>Happy Valley Wet Sedge Tundra</t>
  </si>
  <si>
    <t>https://doi.org/10.17190/AMF/1964087</t>
  </si>
  <si>
    <t>CO2, FC, G, GPP, H, LE, NEE, NETRAD, O3, PA, RECO, RH, SG, SW_IN, SW_OUT, TA, T_CANOPY, TS, USTAR, WD, WS</t>
  </si>
  <si>
    <t>HWB</t>
  </si>
  <si>
    <t>USDA ARS Pasture Sytems and Watershed Management Research Unit- Hawbecker Site</t>
  </si>
  <si>
    <t>https://doi.org/10.17190/AMF/1811363</t>
  </si>
  <si>
    <t>https://doi.org/10.17190/AMF/1881582</t>
  </si>
  <si>
    <t>CO2, CO2_MIXING_RATIO, FC, FC_SSITC_TEST, FETCH_70, FETCH_80, FETCH_90, FETCH_MAX, FH2O, G, H, H2O, H2O_MIXING_RATIO, H_SSITC_TEST, LE, LE_SSITC_TEST, LW_IN, LW_OUT, MO_LENGTH, NETRAD, PA, PPFD_IN, P_RAIN, RH, SC, SH, SLE, SWC, SW_IN, SW_OUT, TA, TAU, TAU_SSITC_TEST, T_CANOPY, TS, T_SONIC, T_SONIC_SIGMA, U_SIGMA, USTAR, V_SIGMA, WD, WD_SIGMA, WS, W_SIGMA, WS_MAX, ZL</t>
  </si>
  <si>
    <t>IB1</t>
  </si>
  <si>
    <t>Fermi National Accelerator Laboratory- Batavia (Agricultural site)</t>
  </si>
  <si>
    <t>2005, 2006, 2007, 2008, 2009, 2010, 2011, 2012, 2013, 2014, 2015, 2016, 2017, 2018</t>
  </si>
  <si>
    <t>https://doi.org/10.17190/AMF/1246065</t>
  </si>
  <si>
    <t>ALB, APAR, FAPAR, FC, G, H, LE, NETRAD, P, PA, PPFD_IN, PPFD_OUT, RH, SWC, SW_IN, SW_OUT, TA, TAU, TS, USTAR, WD, WS, ZL</t>
  </si>
  <si>
    <t>IB2</t>
  </si>
  <si>
    <t>Fermi National Accelerator Laboratory- Batavia (Prairie site)</t>
  </si>
  <si>
    <t>2004, 2005, 2006, 2007, 2008, 2009, 2010, 2011, 2012, 2013, 2014, 2015, 2016, 2017, 2018</t>
  </si>
  <si>
    <t>https://doi.org/10.17190/AMF/1246066</t>
  </si>
  <si>
    <t>ICh</t>
  </si>
  <si>
    <t>Imnavait Creek Watershed Heath Tundra</t>
  </si>
  <si>
    <t>2007, 2008, 2009, 2010, 2011, 2012, 2013, 2014, 2015, 2016, 2017, 2018, 2019, 2020, 2021</t>
  </si>
  <si>
    <t>https://doi.org/10.17190/AMF/1246133</t>
  </si>
  <si>
    <t>https://doi.org/10.17190/AMF/2007175</t>
  </si>
  <si>
    <t>CO2, D_SNOW, FC, FCH4, G, GPP, H, H2O, LE, NETRAD, P, PA, PPFD_IN, PPFD_OUT, RECO, RH, SG, SWC, SW_IN, SW_OUT, TA, TS, USTAR, VPD, WD, WS</t>
  </si>
  <si>
    <t>ICs</t>
  </si>
  <si>
    <t>Imnavait Creek Watershed Wet Sedge Tundra</t>
  </si>
  <si>
    <t>https://doi.org/10.17190/AMF/1246130</t>
  </si>
  <si>
    <t>https://doi.org/10.17190/AMF/1871138</t>
  </si>
  <si>
    <t>CO2, D_SNOW, FC, FCH4, G, GPP, H, LE, NETRAD, P, PA, PPFD_IN, PPFD_OUT, RECO, RH, SG, SWC, SW_IN, SW_OUT, TA, TS, USTAR, VPD, WD, WS</t>
  </si>
  <si>
    <t>ICt</t>
  </si>
  <si>
    <t>Imnavait Creek Watershed Tussock Tundra</t>
  </si>
  <si>
    <t>https://doi.org/10.17190/AMF/1246131</t>
  </si>
  <si>
    <t>https://doi.org/10.17190/AMF/1881583</t>
  </si>
  <si>
    <t>CO2, FC, FCH4, G, GPP, H, LE, NETRAD, P, PA, PPFD_IN, PPFD_OUT, RECO, RH, SG, SWC, SW_IN, SW_OUT, TA, TS, USTAR, VPD, WD, WS</t>
  </si>
  <si>
    <t>INa</t>
  </si>
  <si>
    <t>INFLUX - Cemetery Turfgrass Tower</t>
  </si>
  <si>
    <t>2017, 2018, 2019</t>
  </si>
  <si>
    <t>https://doi.org/10.17190/AMF/2001300</t>
  </si>
  <si>
    <t>INb</t>
  </si>
  <si>
    <t>INFLUX - Golf Course</t>
  </si>
  <si>
    <t>https://doi.org/10.17190/AMF/2001301</t>
  </si>
  <si>
    <t>INc</t>
  </si>
  <si>
    <t>INFLUX - Downtown Indianapolis (Site-3)</t>
  </si>
  <si>
    <t>2020, 2021, 2022, 2023</t>
  </si>
  <si>
    <t>https://doi.org/10.17190/AMF/1987603</t>
  </si>
  <si>
    <t>FC, FH2O, H, LE, MO_LENGTH, PA, RH, TA, TAU, U_SIGMA, USTAR, VPD, V_SIGMA, WD, WS, W_SIGMA, WS_MAX</t>
  </si>
  <si>
    <t>INd</t>
  </si>
  <si>
    <t>INFLUX - Agricultural Site East near Pittsboro</t>
  </si>
  <si>
    <t>https://doi.org/10.17190/AMF/2001302</t>
  </si>
  <si>
    <t>INe</t>
  </si>
  <si>
    <t>INFLUX - Agricultural Site West near Pittsboro</t>
  </si>
  <si>
    <t>https://doi.org/10.17190/AMF/2001303</t>
  </si>
  <si>
    <t>INf</t>
  </si>
  <si>
    <t>INFLUX - East 21st St (Site 2)</t>
  </si>
  <si>
    <t>https://doi.org/10.17190/AMF/2001304</t>
  </si>
  <si>
    <t>CO2, FC, FH2O, H, LE, T_SONIC, USTAR, V_SIGMA, WD, WS</t>
  </si>
  <si>
    <t>INg</t>
  </si>
  <si>
    <t>INFLUX - Wayne Twp Comm (Site-7)</t>
  </si>
  <si>
    <t>2019, 2020, 2021, 2022, 2023</t>
  </si>
  <si>
    <t>https://doi.org/10.17190/AMF/2001305</t>
  </si>
  <si>
    <t>INi</t>
  </si>
  <si>
    <t>INFLUX - Agricultural Site East of Indianapolis (Site-9a)</t>
  </si>
  <si>
    <t>https://doi.org/10.17190/AMF/2001306</t>
  </si>
  <si>
    <t>INj</t>
  </si>
  <si>
    <t>INFLUX - Agricultural Site East of Indianapolis (Site-9b)</t>
  </si>
  <si>
    <t>https://doi.org/10.17190/AMF/2001307</t>
  </si>
  <si>
    <t>INn</t>
  </si>
  <si>
    <t>INFLUX - Agricultural Site West of Indianapolis (Site-14a)</t>
  </si>
  <si>
    <t>https://doi.org/10.17190/AMF/2001308</t>
  </si>
  <si>
    <t>INp</t>
  </si>
  <si>
    <t>INFLUX - Agricultural Site West of Indianapolis (Site-14b)</t>
  </si>
  <si>
    <t>https://doi.org/10.17190/AMF/2001309</t>
  </si>
  <si>
    <t>Ivo</t>
  </si>
  <si>
    <t>2003, 2004, 2005, 2006, 2007, 2008, 2009, 2010, 2011, 2012, 2013, 2014, 2015, 2016</t>
  </si>
  <si>
    <t>https://doi.org/10.17190/AMF/1246067</t>
  </si>
  <si>
    <t>CO2, FC, FCH4, G, H, H2O, LE, LW_IN, LW_OUT, NEE, NETRAD, P, PA, PPFD_IN, PPFD_OUT, P_RAIN, RH, SC, SWC, SW_IN, SW_OUT, TA, TS, USTAR, VPD, WD, WS</t>
  </si>
  <si>
    <t>Jackson Lane - natural</t>
  </si>
  <si>
    <t>JLR</t>
  </si>
  <si>
    <t>Jackson Lane - restored</t>
  </si>
  <si>
    <t>Jo1</t>
  </si>
  <si>
    <t>Jornada Experimental Range Bajada Site</t>
  </si>
  <si>
    <t>2010, 2011, 2012, 2013, 2014, 2015, 2016, 2017, 2018, 2019, 2020</t>
  </si>
  <si>
    <t>https://doi.org/10.17190/AMF/1767833</t>
  </si>
  <si>
    <t>https://doi.org/10.17190/AMF/1902833</t>
  </si>
  <si>
    <t>CH4, CH4_MIXING_RATIO, CO2, CO2_MIXING_RATIO, FC, FCH4, FCH4_SSITC_TEST, FC_SSITC_TEST, FETCH_70, FETCH_80, FETCH_90, FETCH_MAX, FH2O, G, H, H2O, H2O_MIXING_RATIO, H_SSITC_TEST, LE, LEAF_WET, LE_SSITC_TEST, LW_IN, LW_OUT, MO_LENGTH, NETRAD, PA, PPFD_IN, PPFD_OUT, P_RAIN, RH, SWC, SW_IN, SW_OUT, TA, TAU, TAU_SSITC_TEST, TS, T_SONIC, T_SONIC_SIGMA, U_SIGMA, USTAR, V_SIGMA, WD, WD_SIGMA, WS, W_SIGMA, WS_MAX, ZL</t>
  </si>
  <si>
    <t>Jo2</t>
  </si>
  <si>
    <t>Jornada Experimental Range Mixed Shrubland</t>
  </si>
  <si>
    <t>https://doi.org/10.17190/AMF/1617696</t>
  </si>
  <si>
    <t>https://doi.org/10.17190/AMF/1881584</t>
  </si>
  <si>
    <t>CO2, CO2_SIGMA, FC, FC_SSITC_TEST, FETCH_70, FETCH_80, FETCH_90, FETCH_MAX, G, H, H2O, H2O_SIGMA, H_SSITC_TEST, LE, LE_SSITC_TEST, MO_LENGTH, NETRAD, P, PA, PPFD_IN, PPFD_OUT, P_RAIN, RH, SC, SH, SLE, SWC, SW_IN, SW_OUT, TA, TAU, TAU_SSITC_TEST, TS, T_SONIC, T_SONIC_SIGMA, U_SIGMA, USTAR, VPD, V_SIGMA, WD, WS, W_SIGMA, WS_MAX, ZL</t>
  </si>
  <si>
    <t>Jo3</t>
  </si>
  <si>
    <t>Jornada Experimental Range Red Lake Playa</t>
  </si>
  <si>
    <t>JRn</t>
  </si>
  <si>
    <t>WV Jacks Run</t>
  </si>
  <si>
    <t>https://doi.org/10.17190/AMF/1617714</t>
  </si>
  <si>
    <t>CH4, CO2, FC, FCH4, H, LE, NETRAD, PA, RH, TA, USTAR, WD, WS</t>
  </si>
  <si>
    <t>KCM</t>
  </si>
  <si>
    <t>KCMP Tall Tower</t>
  </si>
  <si>
    <t>KFB</t>
  </si>
  <si>
    <t>Konza Prairie LTER (4B)</t>
  </si>
  <si>
    <t>Kansas Field Station</t>
  </si>
  <si>
    <t>2007, 2008, 2009, 2010, 2011, 2012, 2013, 2014, 2015, 2016, 2017, 2018, 2019</t>
  </si>
  <si>
    <t>https://doi.org/10.17190/AMF/1246132</t>
  </si>
  <si>
    <t>https://doi.org/10.17190/AMF/1881585</t>
  </si>
  <si>
    <t>CO2, FC, G, GPP, H, H2O, LE, LW_IN, LW_OUT, NEE, NETRAD, P, PA, PBLH, PPFD_IN, PPFD_OUT, RECO, RH, SC, SH, SLE, SWC, SW_IN, SW_OUT, TA, TAU, TS, USTAR, VPD, WD, WS, ZL</t>
  </si>
  <si>
    <t>KGF</t>
  </si>
  <si>
    <t>Kingman Farm</t>
  </si>
  <si>
    <t>KL1</t>
  </si>
  <si>
    <t>KBS Lux Arbor Reserve Corn</t>
  </si>
  <si>
    <t>2009, 2010, 2011, 2012, 2013, 2014, 2015, 2016, 2017, 2018, 2019, 2020, 2021</t>
  </si>
  <si>
    <t>https://doi.org/10.17190/AMF/1660344</t>
  </si>
  <si>
    <t>CO2, FC, G, H, H2O, LE, PA, RH, SWC, SW_IN, TA, TS, T_SONIC, U_SIGMA, USTAR, VPD, V_SIGMA, WD, WS, W_SIGMA, ZL</t>
  </si>
  <si>
    <t>KL2</t>
  </si>
  <si>
    <t>KBS Lux Arbor Reserve Switchgrass</t>
  </si>
  <si>
    <t>https://doi.org/10.17190/AMF/1644212</t>
  </si>
  <si>
    <t>KL3</t>
  </si>
  <si>
    <t>KBS Lux Arbor Reserve Prairie</t>
  </si>
  <si>
    <t>https://doi.org/10.17190/AMF/1647438</t>
  </si>
  <si>
    <t>KLS</t>
  </si>
  <si>
    <t>Kansas Land Institute</t>
  </si>
  <si>
    <t>2012, 2013, 2014, 2015, 2016, 2017, 2018, 2019</t>
  </si>
  <si>
    <t>https://doi.org/10.17190/AMF/1498745</t>
  </si>
  <si>
    <t>https://doi.org/10.17190/AMF/1854367</t>
  </si>
  <si>
    <t>CO2, FC, G, GPP, H, H2O, LE, LW_IN, LW_OUT, NEE, NETRAD, P, PA, PPFD_IN, PPFD_OUT, RECO, RH, SC, SH, SLE, SWC, SW_IN, SW_OUT, TA, TS, USTAR, VPD, WD, WS, ZL</t>
  </si>
  <si>
    <t>KM1</t>
  </si>
  <si>
    <t>KBS Marshall Farms Corn</t>
  </si>
  <si>
    <t>https://doi.org/10.17190/AMF/1647439</t>
  </si>
  <si>
    <t>KM2</t>
  </si>
  <si>
    <t>KBS Marshall Farms Prairie</t>
  </si>
  <si>
    <t>https://doi.org/10.17190/AMF/1647440</t>
  </si>
  <si>
    <t>KM3</t>
  </si>
  <si>
    <t>KBS Marshall Farms Switchgrass</t>
  </si>
  <si>
    <t>https://doi.org/10.17190/AMF/1660345</t>
  </si>
  <si>
    <t>KM4</t>
  </si>
  <si>
    <t>KBS Marshall Farms Smooth Brome Grass (Ref)</t>
  </si>
  <si>
    <t>https://doi.org/10.17190/AMF/1634882</t>
  </si>
  <si>
    <t>CO2, FC, G, H, H2O, LE, LW_IN, LW_OUT, NETRAD, PA, RH, SWC, SW_IN, SW_OUT, TA, TS, T_SONIC, U_SIGMA, USTAR, VPD, V_SIGMA, WD, WS, W_SIGMA, ZL</t>
  </si>
  <si>
    <t>Konza Prairie LTER (KNZ)</t>
  </si>
  <si>
    <t>2004, 2005, 2006, 2007, 2008, 2009, 2010, 2011, 2012, 2013, 2014, 2015, 2016, 2017, 2018, 2019</t>
  </si>
  <si>
    <t>https://doi.org/10.17190/AMF/1246068</t>
  </si>
  <si>
    <t>https://doi.org/10.17190/AMF/2316062</t>
  </si>
  <si>
    <t>CO2, FC, G, GPP, H, H2O, LE, LW_IN, LW_OUT, NEE, NETRAD, P, PA, PPFD_IN, PPFD_OUT, RECO, RH, SC, SH, SLE, SWC, SW_DIF, SW_IN, SW_OUT, TA, TS, USTAR, VPD, WD, WS, ZL</t>
  </si>
  <si>
    <t>KPL</t>
  </si>
  <si>
    <t>Lily Lake Fen</t>
  </si>
  <si>
    <t>2021, 2022</t>
  </si>
  <si>
    <t>https://doi.org/10.17190/AMF/1865478</t>
  </si>
  <si>
    <t>ALB, CH4, CH4_MIXING_RATIO, CO2, CO2_MIXING_RATIO, FC, FCH4, FCH4_SSITC_TEST, FC_SSITC_TEST, FETCH_70, FETCH_80, FETCH_90, FETCH_MAX, FH2O, G, H, H2O, H2O_MIXING_RATIO, H_SSITC_TEST, LE, LE_SSITC_TEST, LW_IN, LW_OUT, MO_LENGTH, PA, PPFD_IN, P_RAIN, RH, SWC, SW_IN, SW_OUT, TA, TAU, TAU_SSITC_TEST, T_SONIC, T_SONIC_SIGMA, U_SIGMA, USTAR, VPD, V_SIGMA, WD, WD_SIGMA, WS, W_SIGMA, WS_MAX, ZL</t>
  </si>
  <si>
    <t>KS1</t>
  </si>
  <si>
    <t>Kennedy Space Center (slash pine)</t>
  </si>
  <si>
    <t>2002, 2003</t>
  </si>
  <si>
    <t>https://doi.org/10.17190/AMF/1246069</t>
  </si>
  <si>
    <t>https://doi.org/10.17190/AMF/2229379</t>
  </si>
  <si>
    <t>CO2, FC, G, H, H2O, LE, NEE, NETRAD, P, PA, PPFD_IN, RH, SC, TA, USTAR, VPD, WD, WS</t>
  </si>
  <si>
    <t>KS2</t>
  </si>
  <si>
    <t>Kennedy Space Center (scrub oak)</t>
  </si>
  <si>
    <t>https://doi.org/10.17190/AMF/1246070</t>
  </si>
  <si>
    <t>https://doi.org/10.17190/AMF/2229380</t>
  </si>
  <si>
    <t>CO2, FC, G, H, H2O, LE, NEE, NETRAD, P, PA, PPFD_IN, RH, SC, SW_IN, TA, USTAR, VPD, WD, WS</t>
  </si>
  <si>
    <t>KS3</t>
  </si>
  <si>
    <t>Kennedy Space Center (salt marsh)</t>
  </si>
  <si>
    <t>https://doi.org/10.17190/AMF/1562390</t>
  </si>
  <si>
    <t>https://doi.org/10.17190/AMF/1881586</t>
  </si>
  <si>
    <t>CO2, CO2_SIGMA, FC, FC_SSITC_TEST, FETCH_70, FETCH_90, FETCH_MAX, H, H2O, H2O_SIGMA, H_SSITC_TEST, LE, LE_SSITC_TEST, LW_IN, LW_OUT, MO_LENGTH, NETRAD, PA, PPFD_IN, P_RAIN, RH, SC, SH, SLE, SW_IN, SW_OUT, TA, TAU, TAU_SSITC_TEST, T_SONIC, T_SONIC_SIGMA, U_SIGMA, USTAR, VPD, V_SIGMA, WD, WS, W_SIGMA, ZL</t>
  </si>
  <si>
    <t>KS4</t>
  </si>
  <si>
    <t>Kennedy Space Center (Spartina marsh)</t>
  </si>
  <si>
    <t>2017, 2018, 2019, 2020, 2021, 2022</t>
  </si>
  <si>
    <t>https://doi.org/10.17190/AMF/1767834</t>
  </si>
  <si>
    <t>CO2, CO2_SIGMA, FC, FC_SSITC_TEST, FETCH_70, FETCH_90, FETCH_MAX, G, H, H2O, H2O_SIGMA, H_SSITC_TEST, LE, LE_SSITC_TEST, LW_IN, LW_OUT, MO_LENGTH, NETRAD, PA, P_RAIN, RH, SC, SH, SLE, SWC, SW_IN, SW_OUT, TA, TAU, TAU_SSITC_TEST, TS, T_SONIC, T_SONIC_SIGMA, U_SIGMA, USTAR, VPD, V_SIGMA, WD, WS, W_SIGMA, WS_MAX, ZL</t>
  </si>
  <si>
    <t>KUO</t>
  </si>
  <si>
    <t>KUOM tower</t>
  </si>
  <si>
    <t>KUT</t>
  </si>
  <si>
    <t>KUOM Turfgrass Field</t>
  </si>
  <si>
    <t>2005, 2006, 2007, 2008, 2009</t>
  </si>
  <si>
    <t>https://doi.org/10.17190/AMF/1246145</t>
  </si>
  <si>
    <t>Kyv</t>
  </si>
  <si>
    <t>Apple Orchard ARS Kearneysville WV</t>
  </si>
  <si>
    <t>LA1</t>
  </si>
  <si>
    <t>Pointe-aux-Chenes Brackish Marsh</t>
  </si>
  <si>
    <t>2011, 2012</t>
  </si>
  <si>
    <t>https://doi.org/10.17190/AMF/1543386</t>
  </si>
  <si>
    <t>FC, FCH4, FCH4_SSITC_TEST, FC_SSITC_TEST, H, H_SSITC_TEST, LE, LE_SSITC_TEST, MO_LENGTH, PPFD_IN, RH, TA, TS, USTAR, VPD, V_SIGMA, WD, WS</t>
  </si>
  <si>
    <t>LA2</t>
  </si>
  <si>
    <t>Salvador WMA Freshwater Marsh</t>
  </si>
  <si>
    <t>https://doi.org/10.17190/AMF/1543387</t>
  </si>
  <si>
    <t>CH4, CH4_MIXING_RATIO, CO2, CO2_MIXING_RATIO, FC, FCH4, FCH4_SSITC_TEST, FC_SSITC_TEST, FETCH_70, FETCH_80, FETCH_90, FETCH_MAX, H, H2O, H2O_MIXING_RATIO, H_SSITC_TEST, LE, LE_SSITC_TEST, LW_IN, LW_OUT, MO_LENGTH, NETRAD, PA, PPFD_IN, P_RAIN, RH, SW_IN, SW_OUT, TA, TAU, TAU_SSITC_TEST, TS, T_SONIC, U_SIGMA, USTAR, VPD, V_SIGMA, WD, WS, W_SIGMA, WS_MAX, ZL</t>
  </si>
  <si>
    <t>LA3</t>
  </si>
  <si>
    <t>Barataria Bay Saline Marsh</t>
  </si>
  <si>
    <t>https://doi.org/10.17190/AMF/2229156</t>
  </si>
  <si>
    <t>CH4, CH4_MIXING_RATIO, CO2, CO2_MIXING_RATIO, FC, FCH4, FCH4_SSITC_TEST, FC_SSITC_TEST, FETCH_70, FETCH_80, FETCH_90, FETCH_MAX, H, H2O, H2O_MIXING_RATIO, H_SSITC_TEST, LE, LE_SSITC_TEST, LW_IN, LW_OUT, MO_LENGTH, NETRAD, PA, PPFD_IN, P_RAIN, RH, SWC, SW_IN, SW_OUT, TA, TAU, TAU_SSITC_TEST, TS, T_SONIC, U_SIGMA, USTAR, V_SIGMA, WD, WS, W_SIGMA, WS_MAX, ZL</t>
  </si>
  <si>
    <t>LGr</t>
  </si>
  <si>
    <t>Lockney Grassland</t>
  </si>
  <si>
    <t>Lin</t>
  </si>
  <si>
    <t>Lindcove Orange Orchard</t>
  </si>
  <si>
    <t>2009, 2010</t>
  </si>
  <si>
    <t>https://doi.org/10.17190/AMF/1246830</t>
  </si>
  <si>
    <t>https://doi.org/10.17190/AMF/2229381</t>
  </si>
  <si>
    <t>CO2, FC, G, H, H2O, LE, NETRAD, P, PA, PPFD_IN, RH, SWC, TA, TS, USTAR, VPD, WD, WS</t>
  </si>
  <si>
    <t>LL1</t>
  </si>
  <si>
    <t>Longleaf Pine - Baker (Mesic site)</t>
  </si>
  <si>
    <t>2009, 2010, 2011, 2012, 2013, 2014, 2015, 2016, 2017, 2018, 2019, 2020</t>
  </si>
  <si>
    <t>https://doi.org/10.17190/AMF/1773395</t>
  </si>
  <si>
    <t>CO2, CO2_SIGMA, FC, G, GPP, H, H2O, H2O_SIGMA, LE, LW_IN, LW_OUT, NEE, NETRAD, P, PA, PPFD_IN, P_RAIN, RECO, RH, SC, SWC, SW_IN, SW_OUT, TA, TAU, TS, T_SONIC, T_SONIC_SIGMA, U_SIGMA, USTAR, VPD, V_SIGMA, WD, WS, W_SIGMA</t>
  </si>
  <si>
    <t>LL2</t>
  </si>
  <si>
    <t>Longleaf Pine - Dubignion (Intermediate site)</t>
  </si>
  <si>
    <t>2009, 2010, 2011, 2012, 2013, 2014, 2015, 2016, 2017</t>
  </si>
  <si>
    <t>https://doi.org/10.17190/AMF/1773396</t>
  </si>
  <si>
    <t>LL3</t>
  </si>
  <si>
    <t>Longleaf Pine - Red Dirt (Xeric site)</t>
  </si>
  <si>
    <t>https://doi.org/10.17190/AMF/1773397</t>
  </si>
  <si>
    <t>2000, 2001, 2002, 2003, 2004, 2005, 2006, 2007, 2008, 2009, 2010, 2011, 2012, 2013, 2014, 2015, 2016, 2017, 2018, 2019, 2020, 2021, 2022, 2023</t>
  </si>
  <si>
    <t>https://doi.org/10.17190/AMF/1246071</t>
  </si>
  <si>
    <t>CH4, CO2, FC, FCH4, G, GPP, H, H2O, LE, LW_IN, LW_OUT, NEE, NETRAD, P, PA, PPFD_IN, RECO, SC, SCH4, SH, SLE, SW_IN, SW_OUT, TA, T_BOLE, TS, USTAR, VPD, WD, WS, WTD</t>
  </si>
  <si>
    <t>2002, 2003, 2004, 2005</t>
  </si>
  <si>
    <t>https://doi.org/10.17190/AMF/1246072</t>
  </si>
  <si>
    <t>LS1</t>
  </si>
  <si>
    <t>San Pedro River Lewis Springs Sacaton Grassland</t>
  </si>
  <si>
    <t>2002, 2003, 2004, 2005, 2006, 2007</t>
  </si>
  <si>
    <t>https://doi.org/10.17190/AMF/1660346</t>
  </si>
  <si>
    <t>CO2, FC, G, GPP, H, H2O, LE, NEE, NETRAD, P, PA, PPFD_IN, PPFD_OUT, RECO, RH, SWC, TA, TS, T_SONIC, USTAR, WD, WS</t>
  </si>
  <si>
    <t>LS2</t>
  </si>
  <si>
    <t>San Pedro River Lewis Springs Savanna</t>
  </si>
  <si>
    <t>https://doi.org/10.17190/AMF/1660347</t>
  </si>
  <si>
    <t>https://doi.org/10.17190/AMF/2204870</t>
  </si>
  <si>
    <t>CO2, FC, G, GPP, H, H2O, LE, NEE, NETRAD, P, PA, PPFD_IN, PPFD_OUT, RECO, RH, SWC, SW_IN, TA, TS, T_SONIC, USTAR, WD, WS</t>
  </si>
  <si>
    <t>LU1</t>
  </si>
  <si>
    <t>Missouri-Moreau River Basin USDA Certified Organic Farm</t>
  </si>
  <si>
    <t>LWW</t>
  </si>
  <si>
    <t>Little Washita Watershed</t>
  </si>
  <si>
    <t>1997, 1998</t>
  </si>
  <si>
    <t>https://doi.org/10.17190/AMF/1246073</t>
  </si>
  <si>
    <t>FC, G, H, LE, NETRAD, P, PA, PPFD_IN, RH, SW_IN, TA, USTAR, VPD, WD, WS</t>
  </si>
  <si>
    <t>MAC</t>
  </si>
  <si>
    <t>MacArthur Agro-Ecology</t>
  </si>
  <si>
    <t>MBP</t>
  </si>
  <si>
    <t>Marcell Bog Lake Peatland</t>
  </si>
  <si>
    <t>2009, 2010, 2011, 2012, 2013, 2014, 2015, 2016, 2017, 2018, 2019, 2020, 2021, 2022</t>
  </si>
  <si>
    <t>https://doi.org/10.17190/AMF/1767835</t>
  </si>
  <si>
    <t>CH4, CO2, FC, FCH4, H, H2O, LE, PA, PPFD_IN, RH, SW_IN, TA, TS, T_SONIC, USTAR, WD, WS</t>
  </si>
  <si>
    <t>MC1</t>
  </si>
  <si>
    <t>Creston, Montana pivot-irrigated spring wheat</t>
  </si>
  <si>
    <t>https://doi.org/10.17190/AMF/1660348</t>
  </si>
  <si>
    <t>ALB, CO2, CO2_SIGMA, FC, FC_SSITC_TEST, G, H, H2O, H2O_SIGMA, LE, LE_SSITC_TEST, LW_IN, LW_OUT, NETRAD, PPFD_IN, RH, SWC, SW_IN, SW_OUT, TA, TAU, TAU_SSITC_TEST, TS, T_SONIC, T_SONIC_SIGMA, U_SIGMA, USTAR, VPD, V_SIGMA, WD, WS, W_SIGMA, ZL</t>
  </si>
  <si>
    <t>MC2</t>
  </si>
  <si>
    <t>Creston, Montana pivot-irrigated spring wheat 2</t>
  </si>
  <si>
    <t>https://doi.org/10.17190/AMF/1829506</t>
  </si>
  <si>
    <t>ALB, CO2, CO2_SIGMA, FC, FC_SSITC_TEST, G, H, H2O, H2O_SIGMA, H_SSITC_TEST, LE, LE_SSITC_TEST, LW_IN, LW_OUT, NETRAD, PPFD_IN, RH, SWC, SW_IN, SW_OUT, TA, TAU, TAU_SSITC_TEST, TS, T_SONIC, T_SONIC_SIGMA, U_SIGMA, USTAR, VPD, V_SIGMA, WD, WS, W_SIGMA, ZL</t>
  </si>
  <si>
    <t>MCP</t>
  </si>
  <si>
    <t>Moro Cojo Slough, PG&amp;E Treatment Wetland</t>
  </si>
  <si>
    <t>Me1</t>
  </si>
  <si>
    <t>Metolius - Eyerly burn</t>
  </si>
  <si>
    <t>https://doi.org/10.17190/AMF/1246074</t>
  </si>
  <si>
    <t>https://doi.org/10.17190/AMF/1902834</t>
  </si>
  <si>
    <t>CO2, FC, G, H, LE, NETRAD, P, PA, PPFD_DIF, PPFD_IN, RH, SC, SH, SWC, TA, TS, USTAR, VPD, WD, WS</t>
  </si>
  <si>
    <t>2002, 2003, 2004, 2005, 2006, 2007, 2008, 2009, 2010, 2011, 2012, 2013, 2014, 2015, 2016, 2017, 2018, 2019, 2020, 2021, 2022, 2023</t>
  </si>
  <si>
    <t>https://doi.org/10.17190/AMF/1246076</t>
  </si>
  <si>
    <t>2002, 2003, 2004, 2005, 2006, 2007, 2008, 2009, 2010, 2011, 2012, 2013, 2014, 2015, 2016, 2017, 2018, 2019, 2020</t>
  </si>
  <si>
    <t>https://doi.org/10.17190/AMF/1854368</t>
  </si>
  <si>
    <t>ALB, CO2, D_SNOW, FC, G, GPP, H, H2O, LE, LW_IN, LW_OUT, NEE, NETRAD, P, PA, PPFD_DIF, PPFD_DIR, PPFD_IN, RECO, RH, SWC, SW_IN, SW_OUT, TA, TS, T_SONIC, T_SONIC_SIGMA, U_SIGMA, USTAR, V_SIGMA, WD, WS, W_SIGMA, WS_MAX</t>
  </si>
  <si>
    <t>Me3</t>
  </si>
  <si>
    <t>Metolius-second young aged pine</t>
  </si>
  <si>
    <t>https://doi.org/10.17190/AMF/1246077</t>
  </si>
  <si>
    <t>https://doi.org/10.17190/AMF/1902835</t>
  </si>
  <si>
    <t>APAR, CO2, FC, GPP, H, H2O, LE, LW_IN, LW_OUT, NEE, NETRAD, P, PA, PPFD_IN, RECO, RH, SH, SLE, SWC, SW_IN, SW_OUT, TA, TS, USTAR, VPD, WD, WS, ZL</t>
  </si>
  <si>
    <t>Me4</t>
  </si>
  <si>
    <t>Metolius-old aged ponderosa pine</t>
  </si>
  <si>
    <t>1996, 1997, 1998, 1999, 2000</t>
  </si>
  <si>
    <t>https://doi.org/10.17190/AMF/1246078</t>
  </si>
  <si>
    <t>FC, G, H, LE, NETRAD, P, PA, PPFD_IN, RH, SW_IN, TA, TS, USTAR, VPD, WD, WS</t>
  </si>
  <si>
    <t>Me5</t>
  </si>
  <si>
    <t>Metolius-first young aged pine</t>
  </si>
  <si>
    <t>1999, 2000, 2001, 2002</t>
  </si>
  <si>
    <t>https://doi.org/10.17190/AMF/1246079</t>
  </si>
  <si>
    <t>APAR, CO2, FAPAR, FC, G, GPP, H, H2O, LE, LW_IN, LW_OUT, NEE, NETRAD, P, PA, PPFD_DIF, PPFD_IN, PPFD_OUT, RECO, RH, SC, SH, SLE, SWC, SW_DIF, SW_IN, SW_OUT, TA, TS, USTAR, VPD, WD, WS, ZL</t>
  </si>
  <si>
    <t>Me6</t>
  </si>
  <si>
    <t>Metolius Young Pine Burn</t>
  </si>
  <si>
    <t>2010, 2011, 2012, 2013, 2014, 2015, 2016, 2017, 2018, 2019, 2020, 2021, 2022</t>
  </si>
  <si>
    <t>https://doi.org/10.17190/AMF/1246128</t>
  </si>
  <si>
    <t>https://doi.org/10.17190/AMF/2204871</t>
  </si>
  <si>
    <t>ALB, CO2, D_SNOW, FC, G, GPP, H, H2O, LE, LW_IN, LW_OUT, NEE, NETRAD, P, PA, PPFD_IN, RECO, RH, SWC, SW_IN, SW_OUT, TA, TS, T_SONIC, T_SONIC_SIGMA, U_SIGMA, USTAR, V_SIGMA, WD, WS, W_SIGMA</t>
  </si>
  <si>
    <t>Me7</t>
  </si>
  <si>
    <t>Metolius Low Burn Severity Subcanopy</t>
  </si>
  <si>
    <t>https://doi.org/10.17190/AMF/2331381</t>
  </si>
  <si>
    <t>CO2, FC, H, H2O, LE, LW_IN, LW_OUT, NETRAD, PA, PPFD_IN, RH, SW_IN, SW_OUT, TA, T_SONIC, T_SONIC_SIGMA, U_SIGMA, USTAR, V_SIGMA, WD, WS, W_SIGMA, WS_MAX</t>
  </si>
  <si>
    <t>Men</t>
  </si>
  <si>
    <t>Lake Mendota, Center for Limnology Site</t>
  </si>
  <si>
    <t>2012, 2013, 2014, 2015, 2016, 2017, 2018</t>
  </si>
  <si>
    <t>https://doi.org/10.17190/AMF/1433375</t>
  </si>
  <si>
    <t>CO2, FC, H, H2O, LE, LW_IN, P, PA, RH, SW_IN, TA, TW, USTAR, VPD, WD, WS</t>
  </si>
  <si>
    <t>MFs</t>
  </si>
  <si>
    <t>Moore Fields</t>
  </si>
  <si>
    <t>MG1</t>
  </si>
  <si>
    <t>MPG Ranch Rangeland Restoration</t>
  </si>
  <si>
    <t>Warm Summer Continental: dry winters</t>
  </si>
  <si>
    <t>MH1</t>
  </si>
  <si>
    <t>Huntley, Montana irrigated barley site 1</t>
  </si>
  <si>
    <t>https://doi.org/10.17190/AMF/1660349</t>
  </si>
  <si>
    <t>MH2</t>
  </si>
  <si>
    <t>Huntley, Montana irrigated barley site 2</t>
  </si>
  <si>
    <t>https://doi.org/10.17190/AMF/1825938</t>
  </si>
  <si>
    <t>ALB, CO2, FC, G, H, H2O, LE, LW_IN, LW_OUT, NETRAD, P, PPFD_IN, RH, SWC, SW_IN, SW_OUT, TA, TS, T_SONIC, USTAR, VPD, WD, WS, ZL</t>
  </si>
  <si>
    <t>Mi1</t>
  </si>
  <si>
    <t>LTAR UCB (Upper Chesapeake Bay) Miscanthus 1</t>
  </si>
  <si>
    <t>2015, 2016, 2017, 2018, 2019</t>
  </si>
  <si>
    <t>https://doi.org/10.17190/AMF/1865479</t>
  </si>
  <si>
    <t>CO2, CO2_MIXING_RATIO, FC, FETCH_70, FETCH_80, FETCH_90, FETCH_MAX, G, H, H2O, H2O_MIXING_RATIO, LE, MO_LENGTH, NETRAD, PA, PPFD_IN, P_RAIN, SWC, TA, TAU, TS, T_SONIC, T_SONIC_SIGMA, U_SIGMA, USTAR, V_SIGMA, WD, WS, W_SIGMA, WS_MAX, ZL</t>
  </si>
  <si>
    <t>Mi2</t>
  </si>
  <si>
    <t>LTAR UCB (Upper Chesapeake Bay) Miscanthus 2</t>
  </si>
  <si>
    <t>https://doi.org/10.17190/AMF/1865480</t>
  </si>
  <si>
    <t>Mi3</t>
  </si>
  <si>
    <t>LTAR UCB (Upper Chesapeake Bay) Miscanthus 3</t>
  </si>
  <si>
    <t>https://doi.org/10.17190/AMF/1865481</t>
  </si>
  <si>
    <t>Mj1</t>
  </si>
  <si>
    <t>Montana Judith Basin wheat field</t>
  </si>
  <si>
    <t>2013, 2014</t>
  </si>
  <si>
    <t>https://doi.org/10.17190/AMF/1617715</t>
  </si>
  <si>
    <t>ALB, CO2, FC, FC_SSITC_TEST, FETCH_90, FETCH_MAX, G, H, H2O, LE, LW_IN, LW_OUT, NETRAD, PPFD_IN, RH, SWC, SW_IN, SW_OUT, TA, TAU, TS, T_SONIC, T_SONIC_SIGMA, U_SIGMA, USTAR, VPD, V_SIGMA, WD, WS, W_SIGMA, ZL</t>
  </si>
  <si>
    <t>Mj2</t>
  </si>
  <si>
    <t>Montana Judith Basin summer fallow field</t>
  </si>
  <si>
    <t>https://doi.org/10.17190/AMF/1617716</t>
  </si>
  <si>
    <t>ALB, FC, FC_SSITC_TEST, FETCH_90, FETCH_MAX, G, H, H2O, LE, LW_IN, LW_OUT, NETRAD, RH, SWC, SW_IN, SW_OUT, TA, TAU, TS, T_SONIC, T_SONIC_SIGMA, U_SIGMA, USTAR, VPD, V_SIGMA, WD, WS, W_SIGMA, ZL</t>
  </si>
  <si>
    <t>1999, 2000, 2001, 2002, 2003, 2004, 2005, 2006, 2007, 2008, 2009, 2010, 2011, 2012, 2013, 2014, 2015, 2016, 2017, 2018, 2019, 2020, 2021, 2022, 2023</t>
  </si>
  <si>
    <t>https://doi.org/10.17190/AMF/1246080</t>
  </si>
  <si>
    <t>https://doi.org/10.17190/AMF/1854369</t>
  </si>
  <si>
    <t>CO2, FC, G, H, H2O, LE, LW_BC_IN, LW_BC_OUT, LW_IN, LW_OUT, NETRAD, P, PA, PPFD_BC_IN, PPFD_DIF, PPFD_IN, RECO, RH, SW_BC_IN, SW_BC_OUT, SWC, SW_IN, SW_OUT, TA, TS, T_SONIC, T_SONIC_SIGMA, U_SIGMA, USTAR, VPD, V_SIGMA, WD, WS, W_SIGMA</t>
  </si>
  <si>
    <t>MN1</t>
  </si>
  <si>
    <t>Morris: Corn-Soybean with Cover Crops, Strip Tillage</t>
  </si>
  <si>
    <t>MN2</t>
  </si>
  <si>
    <t>Morris: Corn-Soybean-Wheat with Cover Crops, Minimal Tillage</t>
  </si>
  <si>
    <t>MN3</t>
  </si>
  <si>
    <t>Morris: Corn-Soybean, Conventional Tillage</t>
  </si>
  <si>
    <t>Mo1</t>
  </si>
  <si>
    <t>LTAR CMRB Field 1 (CMRB ASP)</t>
  </si>
  <si>
    <t>https://doi.org/10.17190/AMF/1870588</t>
  </si>
  <si>
    <t>https://doi.org/10.17190/AMF/2229382</t>
  </si>
  <si>
    <t>CO2, CO2_MIXING_RATIO, CO2_SIGMA, FC, G, GPP, H, H2O, H2O_MIXING_RATIO, H2O_SIGMA, LE, LW_IN, LW_OUT, MO_LENGTH, NEE, NETRAD, P, PA, PPFD_IN, PPFD_OUT, RECO, RH, SG, SWC, SW_IN, SW_OUT, TA, TAU, TS, T_SONIC, T_SONIC_SIGMA, U_SIGMA, USTAR, VPD, V_SIGMA, WD, WS, W_SIGMA</t>
  </si>
  <si>
    <t>Mo2</t>
  </si>
  <si>
    <t>LTAR CMRB Tucker Prairie (CMRB TP)</t>
  </si>
  <si>
    <t>2018, 2019, 2020, 2021, 2022, 2023</t>
  </si>
  <si>
    <t>https://doi.org/10.17190/AMF/1902276</t>
  </si>
  <si>
    <t>https://doi.org/10.17190/AMF/2229383</t>
  </si>
  <si>
    <t>Mo3</t>
  </si>
  <si>
    <t>LTAR CMRB Field 3 (CMRB BAU)</t>
  </si>
  <si>
    <t>https://doi.org/10.17190/AMF/1870589</t>
  </si>
  <si>
    <t>https://doi.org/10.17190/AMF/2229384</t>
  </si>
  <si>
    <t>Missouri Ozark Site</t>
  </si>
  <si>
    <t>https://doi.org/10.17190/AMF/1246081</t>
  </si>
  <si>
    <t>https://doi.org/10.17190/AMF/1854370</t>
  </si>
  <si>
    <t>CO2, FC, G, H, H2O, LE, LW_IN, LW_OUT, NEE, NETRAD, P, PA, PPFD_IN, PPFD_OUT, RH, SC, SH, SLE, SWC, SW_IN, SW_OUT, TA, TS, USTAR, WD, WS</t>
  </si>
  <si>
    <t>Mountainair Pinyon-Juniper Woodland</t>
  </si>
  <si>
    <t>2008, 2009, 2010, 2011, 2012, 2013, 2014, 2015, 2016, 2017, 2018, 2019, 2020, 2021, 2022, 2023</t>
  </si>
  <si>
    <t>https://doi.org/10.17190/AMF/1246123</t>
  </si>
  <si>
    <t>https://doi.org/10.17190/AMF/1832161</t>
  </si>
  <si>
    <t>CO2, FC, H, H2O, LE, LW_IN, LW_OUT, NETRAD, P, PA, PPFD_IN, RH, SW_IN, SW_OUT, TA, USTAR, VPD, WD, WS</t>
  </si>
  <si>
    <t>MRf</t>
  </si>
  <si>
    <t>Mary's River (Fir) site</t>
  </si>
  <si>
    <t>2006, 2007, 2008, 2009, 2010, 2011</t>
  </si>
  <si>
    <t>https://doi.org/10.17190/AMF/1246049</t>
  </si>
  <si>
    <t>MRM</t>
  </si>
  <si>
    <t>Marsh Resource Meadowlands Mitigation Bank</t>
  </si>
  <si>
    <t>MSR</t>
  </si>
  <si>
    <t>Montana Sun River winter wheat</t>
  </si>
  <si>
    <t>https://doi.org/10.17190/AMF/1617717</t>
  </si>
  <si>
    <t>ALB, APAR, CO2, FAPAR, FC, G, H, H2O, LE, LW_IN, LW_OUT, NDVI, NETRAD, P, PPFD_IN, PPFD_OUT, PRI, RH, SPEC_NIR_IN, SPEC_NIR_OUT, SPEC_NIR_REFL, SPEC_PRI_REF_IN, SPEC_PRI_REF_OUT, SPEC_PRI_REF_REFL, SPEC_PRI_TGT_IN, SPEC_PRI_TGT_OUT, SPEC_PRI_TGT_REFL, SPEC_RED_IN, SPEC_RED_OUT, SPEC_RED_REFL, SWC, SW_IN, SW_OUT, TA, TAU, TS, T_SONIC, T_SONIC_SIGMA, U_SIGMA, USTAR, VPD, V_SIGMA, WD, WS, W_SIGMA</t>
  </si>
  <si>
    <t>MtB</t>
  </si>
  <si>
    <t>Mt Bigelow</t>
  </si>
  <si>
    <t>https://doi.org/10.17190/AMF/1579717</t>
  </si>
  <si>
    <t>CO2, D_SNOW, FC, G, H, H2O, LE, LW_IN, LW_OUT, NETRAD, P, PA, PPFD_IN, PPFD_OUT, RH, SWC, SW_IN, SW_OUT, TA, T_BOLE, TS, T_SONIC, USTAR, VPD, WD, WS</t>
  </si>
  <si>
    <t>MVF</t>
  </si>
  <si>
    <t>Montana Vaughn Fallow</t>
  </si>
  <si>
    <t>https://doi.org/10.17190/AMF/1829507</t>
  </si>
  <si>
    <t>ALB, CO2, CO2_SIGMA, FC, FC_SSITC_TEST, G, H, H2O, H_SSITC_TEST, LE, LE_SSITC_TEST, LW_IN, LW_OUT, NETRAD, P, RH, SW_IN, SW_OUT, TA, TAU, TAU_SSITC_TEST, TS, T_SONIC, T_SONIC_SIGMA, U_SIGMA, USTAR, VPD, V_SIGMA, WD, WS, W_SIGMA, ZL</t>
  </si>
  <si>
    <t>MVW</t>
  </si>
  <si>
    <t>Montana Vaughn Wheat</t>
  </si>
  <si>
    <t>https://doi.org/10.17190/AMF/1829508</t>
  </si>
  <si>
    <t>ALB, CO2, CO2_SIGMA, FC, FC_SSITC_TEST, G, H, H2O, H_SSITC_TEST, LE, LE_SSITC_TEST, LW_IN, LW_OUT, NETRAD, P, PPFD_IN, PPFD_OUT, RH, SWC, SW_IN, SW_OUT, TA, TAU, TAU_SSITC_TEST, TS, T_SONIC, T_SONIC_SIGMA, U_SIGMA, USTAR, VPD, V_SIGMA, WD, WS, W_SIGMA, ZL</t>
  </si>
  <si>
    <t>MWA</t>
  </si>
  <si>
    <t>Jackson Agricultural Field</t>
  </si>
  <si>
    <t>https://doi.org/10.17190/AMF/1782819</t>
  </si>
  <si>
    <t>CO2, CO2_MIXING_RATIO, FC, FC_SSITC_TEST, FETCH_70, FETCH_80, FETCH_90, FETCH_MAX, G, H, H2O, H2O_MIXING_RATIO, H_SSITC_TEST, LE, LE_SSITC_TEST, LW_IN, LW_OUT, MO_LENGTH, PA, RH, SWC, SW_IN, SW_OUT, TA, TAU, TAU_SSITC_TEST, TS, T_SONIC, T_SONIC_SIGMA, U_SIGMA, USTAR, V_SIGMA, WD, WS, W_SIGMA, WS_MAX, ZL</t>
  </si>
  <si>
    <t>MWF</t>
  </si>
  <si>
    <t>Kellogg Experimental Forest</t>
  </si>
  <si>
    <t>https://doi.org/10.17190/AMF/1782820</t>
  </si>
  <si>
    <t>CO2, CO2_MIXING_RATIO, FC, FC_SSITC_TEST, FETCH_70, FETCH_80, FETCH_90, FETCH_MAX, H, H2O, H2O_MIXING_RATIO, H_SSITC_TEST, LE, LE_SSITC_TEST, LW_IN, LW_OUT, MO_LENGTH, P, PA, RH, SW_IN, SW_OUT, TA, TAU, TAU_SSITC_TEST, T_SONIC, T_SONIC_SIGMA, U_SIGMA, USTAR, V_SIGMA, WD, WS, W_SIGMA, WS_MAX, ZL</t>
  </si>
  <si>
    <t>MWS</t>
  </si>
  <si>
    <t>Michigan State University Campus Site - Spartans</t>
  </si>
  <si>
    <t>https://doi.org/10.17190/AMF/1782821</t>
  </si>
  <si>
    <t>CO2, CO2_MIXING_RATIO, FC, FC_SSITC_TEST, FETCH_70, FETCH_80, FETCH_90, FETCH_MAX, H, H2O, H2O_MIXING_RATIO, H_SSITC_TEST, LE, LE_SSITC_TEST, MO_LENGTH, P, PA, RH, SW_IN, SW_OUT, TA, TAU, TAU_SSITC_TEST, T_SONIC, T_SONIC_SIGMA, U_SIGMA, USTAR, V_SIGMA, WD, WS, W_SIGMA, WS_MAX, ZL</t>
  </si>
  <si>
    <t>MWU</t>
  </si>
  <si>
    <t>Battle Creek Area Mathematics and Science Center</t>
  </si>
  <si>
    <t>https://doi.org/10.17190/AMF/1782823</t>
  </si>
  <si>
    <t>CO2, CO2_MIXING_RATIO, FC, FC_SSITC_TEST, FETCH_70, FETCH_80, FETCH_90, FETCH_MAX, H, H2O, H2O_MIXING_RATIO, H_SSITC_TEST, LE, LE_SSITC_TEST, MO_LENGTH, P, PA, PPFD_IN, RH, TA, TAU, TAU_SSITC_TEST, T_SONIC, T_SONIC_SIGMA, U_SIGMA, USTAR, V_SIGMA, WD, WS, W_SIGMA, WS_MAX, ZL</t>
  </si>
  <si>
    <t>MWW</t>
  </si>
  <si>
    <t>Allegan Wetland</t>
  </si>
  <si>
    <t>https://doi.org/10.17190/AMF/1804490</t>
  </si>
  <si>
    <t>CO2, CO2_MIXING_RATIO, FC, FC_SSITC_TEST, FETCH_70, FETCH_80, FETCH_90, FETCH_MAX, H, H2O, H2O_MIXING_RATIO, H_SSITC_TEST, LE, LE_SSITC_TEST, LW_IN, LW_OUT, MO_LENGTH, PA, PPFD_IN, RH, SW_IN, SW_OUT, TA, TAU, TAU_SSITC_TEST, T_SONIC, T_SONIC_SIGMA, TW, U_SIGMA, USTAR, V_SIGMA, WD, WS, W_SIGMA, WS_MAX, ZL</t>
  </si>
  <si>
    <t>Mayberry Wetland</t>
  </si>
  <si>
    <t>2010, 2011, 2012, 2013, 2014, 2015, 2016, 2017, 2018, 2019, 2020, 2021, 2022, 2023</t>
  </si>
  <si>
    <t>https://doi.org/10.17190/AMF/1246139</t>
  </si>
  <si>
    <t>https://doi.org/10.17190/AMF/1871139</t>
  </si>
  <si>
    <t>CH4, CO2, COND_WATER, FC, FCH4, FCH4_SSITC_TEST, FC_SSITC_TEST, GPP, H, H2O, H_SSITC_TEST, LE, LE_SSITC_TEST, LW_IN, LW_OUT, MO_LENGTH, NETRAD, P, PA, PPFD_DIF, PPFD_IN, PPFD_OUT, RECO, RH, SW_IN, SW_OUT, TA, TAU, TAU_SSITC_TEST, TS, T_SONIC, T_SONIC_SIGMA, USTAR, VPD, V_SIGMA, WD, WS, W_SIGMA, WTD, ZL</t>
  </si>
  <si>
    <t>NC_Clearcut</t>
  </si>
  <si>
    <t>2005, 2006, 2007, 2008, 2009, 2010, 2011, 2012</t>
  </si>
  <si>
    <t>https://doi.org/10.17190/AMF/1246082</t>
  </si>
  <si>
    <t>https://doi.org/10.17190/AMF/1902836</t>
  </si>
  <si>
    <t>CO2, FC, G, H, H2O, LE, LW_IN, LW_OUT, MO_LENGTH, NEE, NETRAD, P, PA, PPFD_IN, RH, SC, SWC, SW_IN, SW_OUT, TA, TAU, TS, T_SONIC, U_SIGMA, USTAR, VPD, V_SIGMA, WD, WS, W_SIGMA, WS_MAX, ZL</t>
  </si>
  <si>
    <t>NC_Loblolly Plantation</t>
  </si>
  <si>
    <t>2005, 2006, 2007, 2008, 2009, 2010, 2011, 2012, 2013, 2014, 2015, 2016, 2017, 2018, 2019, 2020, 2021, 2022, 2023</t>
  </si>
  <si>
    <t>https://doi.org/10.17190/AMF/1246083</t>
  </si>
  <si>
    <t>CH4, CO2, FC, FCH4, G, H, H2O, LE, LW_IN, LW_OUT, MO_LENGTH, NEE, NETRAD, P, PA, PPFD_IN, RH, SC, SH, SWC, SW_IN, SW_OUT, TA, TAU, TS, T_SONIC, U_SIGMA, USTAR, VPD, V_SIGMA, WD, WS, W_SIGMA, WS_MAX, WTD, ZL</t>
  </si>
  <si>
    <t>NC_Clearcut#3</t>
  </si>
  <si>
    <t>2013, 2014, 2015, 2016, 2017, 2018, 2019, 2020, 2021</t>
  </si>
  <si>
    <t>https://doi.org/10.17190/AMF/1419506</t>
  </si>
  <si>
    <t>https://doi.org/10.17190/AMF/2204872</t>
  </si>
  <si>
    <t>CO2, FC, G, H, H2O, LE, LW_IN, LW_OUT, MO_LENGTH, NEE, NETRAD, P, PA, PPFD_IN, RH, SC, SH, SWC, SW_IN, SW_OUT, TA, TAU, TS, T_SONIC, U_SIGMA, USTAR, VPD, V_SIGMA, WD, WS, W_SIGMA, WS_MAX, WTD, ZL</t>
  </si>
  <si>
    <t>NC4</t>
  </si>
  <si>
    <t>NC_AlligatorRiver</t>
  </si>
  <si>
    <t>https://doi.org/10.17190/AMF/1480314</t>
  </si>
  <si>
    <t>https://doi.org/10.17190/AMF/1902837</t>
  </si>
  <si>
    <t>Mead - irrigated continuous maize site</t>
  </si>
  <si>
    <t>2001, 2002, 2003, 2004, 2005, 2006, 2007, 2008, 2009, 2010, 2011, 2012, 2013, 2014, 2015, 2016, 2017, 2018, 2019, 2020, 2021, 2022, 2023</t>
  </si>
  <si>
    <t>https://doi.org/10.17190/AMF/1246084</t>
  </si>
  <si>
    <t>2001, 2002, 2003, 2004, 2005, 2006, 2007, 2008, 2009, 2010, 2011, 2012, 2013, 2014, 2015, 2016, 2017, 2018, 2019, 2020</t>
  </si>
  <si>
    <t>https://doi.org/10.17190/AMF/1871140</t>
  </si>
  <si>
    <t>CO2, FAPAR, FC, G, GPP, H, LE, LW_IN, LW_OUT, NEE, NETRAD, P, PA, PPFD_DIF, PPFD_DIR, PPFD_IN, PPFD_OUT, RECO, RH, SC, SWC, SW_IN, SW_OUT, TA, TS, USTAR, WD, WS, ZL</t>
  </si>
  <si>
    <t>Mead - irrigated maize-soybean rotation site</t>
  </si>
  <si>
    <t>https://doi.org/10.17190/AMF/1246085</t>
  </si>
  <si>
    <t>Mead - rainfed maize-soybean rotation site</t>
  </si>
  <si>
    <t>https://doi.org/10.17190/AMF/1246086</t>
  </si>
  <si>
    <t>NGB</t>
  </si>
  <si>
    <t>NGEE Arctic Barrow</t>
  </si>
  <si>
    <t>2012, 2013, 2014, 2015, 2016, 2017, 2018, 2019, 2020, 2021, 2022, 2023</t>
  </si>
  <si>
    <t>https://doi.org/10.17190/AMF/1436326</t>
  </si>
  <si>
    <t>https://doi.org/10.17190/AMF/1832162</t>
  </si>
  <si>
    <t>ALB, CH4, CO2, FC, FCH4, FETCH_90, FETCH_MAX, FH2O, G, H, H2O, LE, LW_IN, LW_OUT, MO_LENGTH, NETRAD, PA, PPFD_IN, PPFD_OUT, RH, SW_IN, SW_OUT, TA, TAU, TS, T_SONIC, T_SONIC_SIGMA, U_SIGMA, USTAR, VPD, V_SIGMA, WD, WS, W_SIGMA, WS_MAX, ZL</t>
  </si>
  <si>
    <t>NGC</t>
  </si>
  <si>
    <t>NGEE Arctic Council</t>
  </si>
  <si>
    <t>https://doi.org/10.17190/AMF/1634883</t>
  </si>
  <si>
    <t>https://doi.org/10.17190/AMF/1902838</t>
  </si>
  <si>
    <t>ALB, CH4, CO2, CO2_SIGMA, FC, FCH4, FETCH_90, FETCH_MAX, FH2O, G, H, H2O, LE, LW_IN, LW_OUT, MO_LENGTH, NETRAD, PA, PPFD_IN, PPFD_OUT, RH, SWC, SW_IN, SW_OUT, TA, TAU, TS, T_SONIC, T_SONIC_SIGMA, U_SIGMA, USTAR, VPD, V_SIGMA, WD, WS, W_SIGMA, WS_MAX, ZL</t>
  </si>
  <si>
    <t>NMj</t>
  </si>
  <si>
    <t>Northern Michigan Jack Pine Stand</t>
  </si>
  <si>
    <t>2001, 2002, 2003</t>
  </si>
  <si>
    <t>https://doi.org/10.17190/AMF/1246087</t>
  </si>
  <si>
    <t>G, H, H2O, LE, P, PA, RH, TA, TS, USTAR, VPD, WD, WS</t>
  </si>
  <si>
    <t>NP1</t>
  </si>
  <si>
    <t>Business-As-Usual Management (mandanh5)</t>
  </si>
  <si>
    <t>NP2</t>
  </si>
  <si>
    <t>ASPirational Management (mandani2)</t>
  </si>
  <si>
    <t>Niwot Ridge Forest (LTER NWT1)</t>
  </si>
  <si>
    <t>1998, 1999, 2000, 2001, 2002, 2003, 2004, 2005, 2006, 2007, 2008, 2009, 2010, 2011, 2012, 2013, 2014, 2015, 2016, 2017, 2018, 2019, 2020, 2021, 2022</t>
  </si>
  <si>
    <t>https://doi.org/10.17190/AMF/1246088</t>
  </si>
  <si>
    <t>1998, 1999, 2000, 2001, 2002, 2003, 2004, 2005, 2006, 2007, 2008, 2009, 2010, 2011, 2012, 2013, 2014, 2015, 2016</t>
  </si>
  <si>
    <t>https://doi.org/10.17190/AMF/1871141</t>
  </si>
  <si>
    <t>CO2, CO2C13, FC, G, H, LE, LEAF_WET, LW_IN, LW_OUT, NETRAD, P, PA, PPFD_IN, PPFD_OUT, RH, SB, SC, SG, SH, SLE, SWC, SW_IN, SW_OUT, TA, TAU, T_BOLE, TS, USTAR, VPD, WD, WS, ZL</t>
  </si>
  <si>
    <t>NR2</t>
  </si>
  <si>
    <t>Niwot Ridge Forest (USGS site)</t>
  </si>
  <si>
    <t>NR3</t>
  </si>
  <si>
    <t>Niwot Ridge Alpine (T-Van West)</t>
  </si>
  <si>
    <t>https://doi.org/10.17190/AMF/1804491</t>
  </si>
  <si>
    <t>CO2, D_SNOW, FC, G, H, H2O, LE, NETRAD, PA, RH, SWC, SW_IN, TA, TS, T_SONIC, USTAR, VPD, WD, WS</t>
  </si>
  <si>
    <t>NR4</t>
  </si>
  <si>
    <t>Niwot Ridge Alpine (T-Van East)</t>
  </si>
  <si>
    <t>https://doi.org/10.17190/AMF/1804492</t>
  </si>
  <si>
    <t>CO2, D_SNOW, FC, G, H, H2O, LE, NETRAD, PA, PPFD_IN, RH, SWC, SW_IN, TA, TS, T_SONIC, USTAR, VPD, WD, WS</t>
  </si>
  <si>
    <t>Nrf</t>
  </si>
  <si>
    <t>Nisqually reference</t>
  </si>
  <si>
    <t>Nrs</t>
  </si>
  <si>
    <t>Nisqually restoring</t>
  </si>
  <si>
    <t>NSW</t>
  </si>
  <si>
    <t>Newman Seasonal Wetlands</t>
  </si>
  <si>
    <t>OF1</t>
  </si>
  <si>
    <t>Osceola Farm Rice Field - SW</t>
  </si>
  <si>
    <t>OF2</t>
  </si>
  <si>
    <t>Osceola Farm Rice Field - NW</t>
  </si>
  <si>
    <t>2004, 2005, 2006, 2007, 2008, 2009, 2010, 2011, 2012, 2013</t>
  </si>
  <si>
    <t>https://doi.org/10.17190/AMF/1246089</t>
  </si>
  <si>
    <t>https://doi.org/10.17190/AMF/2229385</t>
  </si>
  <si>
    <t>CO2, FC, G, H, H2O, LE, LW_IN, LW_OUT, MO_LENGTH, NEE, NETRAD, P, PA, PPFD_BC_IN, PPFD_IN, RH, SC, SWC, SW_IN, SW_OUT, SWP, TA, THROUGHFALL, TS, U_SIGMA, USTAR, V_SIGMA, WD, WS, W_SIGMA, WTD, ZL</t>
  </si>
  <si>
    <t>ONA</t>
  </si>
  <si>
    <t>Florida pine flatwoods</t>
  </si>
  <si>
    <t>https://doi.org/10.17190/AMF/1660350</t>
  </si>
  <si>
    <t>https://doi.org/10.17190/AMF/1832163</t>
  </si>
  <si>
    <t>CH4, CO2, CO2_SIGMA, FC, FCH4, FCH4_SSITC_TEST, FC_SSITC_TEST, FETCH_70, FETCH_80, FETCH_90, FETCH_MAX, G, H, H2O, H2O_SIGMA, H_SSITC_TEST, LE, LE_SSITC_TEST, LW_IN, LW_OUT, MO_LENGTH, NETRAD, PA, PPFD_IN, P_RAIN, RH, SC, SCH4, SH, SLE, SWC, SW_IN, SW_OUT, TA, TAU, TAU_SSITC_TEST, TS, T_SONIC, T_SONIC_SIGMA, U_SIGMA, USTAR, VPD, V_SIGMA, WD, WS, W_SIGMA, WS_MAX, WTD, ZL</t>
  </si>
  <si>
    <t>OPE</t>
  </si>
  <si>
    <t>Optimizing Production Inputs for Economic and Environmental Enhancement (OPE3)</t>
  </si>
  <si>
    <t>https://doi.org/10.17190/AMF/2315769</t>
  </si>
  <si>
    <t>ALB, CO2, CO2_SIGMA, FC, FC_SSITC_TEST, FETCH_90, FETCH_MAX, G, H, H2O, H2O_SIGMA, H_SSITC_TEST, LE, LE_SSITC_TEST, LW_IN, LW_OUT, MO_LENGTH, NETRAD, P, PA, PPFD_IN, RH, SWC, SW_IN, SW_OUT, TA, TAU, TAU_SSITC_TEST, T_CANOPY, TS, T_SONIC, T_SONIC_SIGMA, U_SIGMA, USTAR, VPD, V_SIGMA, WD, WS, W_SIGMA, WS_MAX, ZL</t>
  </si>
  <si>
    <t>ORv</t>
  </si>
  <si>
    <t>Olentangy River Wetland Research Park</t>
  </si>
  <si>
    <t>2011, 2012, 2013, 2014, 2015, 2016</t>
  </si>
  <si>
    <t>https://doi.org/10.17190/AMF/1246135</t>
  </si>
  <si>
    <t>https://doi.org/10.17190/AMF/1832164</t>
  </si>
  <si>
    <t>CH4, CO2, FC, FCH4, H, H2O, LE, LW_IN, LW_OUT, NEE, NETRAD, PA, PPFD_IN, RECO, RH, SC, SW_IN, SW_OUT, TA, TS, USTAR, WD, WS</t>
  </si>
  <si>
    <t>OWC</t>
  </si>
  <si>
    <t>Old Woman Creek</t>
  </si>
  <si>
    <t>https://doi.org/10.17190/AMF/1418679</t>
  </si>
  <si>
    <t>2015, 2016</t>
  </si>
  <si>
    <t>https://doi.org/10.17190/AMF/1871142</t>
  </si>
  <si>
    <t>CH4, CO2, FC, FCH4, GPP, H, H2O, LE, LW_IN, LW_OUT, MO_LENGTH, NEE, NETRAD, P, PA, PPFD_IN, RECO, RH, SW_IN, SW_OUT, TA, TS, USTAR, VPD, WD, WS, WTD</t>
  </si>
  <si>
    <t>PAS</t>
  </si>
  <si>
    <t>Florida, Paspalum notatum pasture</t>
  </si>
  <si>
    <t>https://doi.org/10.17190/AMF/1870590</t>
  </si>
  <si>
    <t>PeA</t>
  </si>
  <si>
    <t>5R Pecan Farm Above Canopy</t>
  </si>
  <si>
    <t>Park Falls/WLEF</t>
  </si>
  <si>
    <t>1995, 1996, 1997, 1998, 1999, 2000, 2001, 2002, 2003, 2004, 2005, 2006, 2007, 2008, 2009, 2010, 2011, 2012, 2013, 2014, 2015, 2016, 2017, 2018, 2019, 2020, 2021, 2022, 2023</t>
  </si>
  <si>
    <t>https://doi.org/10.17190/AMF/1246090</t>
  </si>
  <si>
    <t>CH4, CO2, FC, FCH4, GPP, H, H2O, LE, NEE, P, PA, PPFD_IN, RECO, RH, SC, SCH4, SH, SLE, SWC, TA, TS, USTAR, VPD, WD, WS</t>
  </si>
  <si>
    <t>PFb</t>
  </si>
  <si>
    <t>NW1 Pine-1 CHEESEHEAD 2019</t>
  </si>
  <si>
    <t>https://doi.org/10.17190/AMF/1717850</t>
  </si>
  <si>
    <t>CO2, FC, FC_SSITC_TEST, G, H, H_SSITC_TEST, LE, LE_SSITC_TEST, LW_IN, LW_OUT, MO_LENGTH, NEE, NETRAD, PA, RH, SC, SG, SH, SLE, SWC, SW_IN, SW_OUT, TA, TAU, TAU_SSITC_TEST, TS, T_SONIC, U_SIGMA, USTAR, V_SIGMA, WD, WS, W_SIGMA, ZL</t>
  </si>
  <si>
    <t>PFc</t>
  </si>
  <si>
    <t>NW2 Aspen-1 CHEESEHEAD 2019</t>
  </si>
  <si>
    <t>https://doi.org/10.17190/AMF/1717851</t>
  </si>
  <si>
    <t>PFd</t>
  </si>
  <si>
    <t>NW3 Tussock-1 CHEESEHEAD 2019</t>
  </si>
  <si>
    <t>https://doi.org/10.17190/AMF/1717852</t>
  </si>
  <si>
    <t>PFe</t>
  </si>
  <si>
    <t>NW4 Lake-1 CHEESEHEAD 2019</t>
  </si>
  <si>
    <t>https://doi.org/10.17190/AMF/1717853</t>
  </si>
  <si>
    <t>PFf</t>
  </si>
  <si>
    <t>NW5 Grass-1 CHEESEHEAD 2019</t>
  </si>
  <si>
    <t>https://doi.org/10.17190/AMF/1890484</t>
  </si>
  <si>
    <t>ALB, CO2, FC, FC_SSITC_TEST, G, H, H2O, H_SSITC_TEST, LE, LE_SSITC_TEST, LW_IN, LW_OUT, NDVI, NETRAD, PA, PRI, RH, SPEC_NIR_IN, SPEC_NIR_OUT, SPEC_NIR_REFL, SPEC_PRI_REF_IN, SPEC_PRI_REF_OUT, SPEC_PRI_REF_REFL, SPEC_PRI_TGT_IN, SPEC_PRI_TGT_OUT, SPEC_PRI_TGT_REFL, SPEC_RED_IN, SPEC_RED_OUT, SPEC_RED_REFL, SWC, SW_IN, SW_OUT, TAU, TAU_SSITC_TEST, T_SONIC, U_SIGMA, USTAR, VPD, V_SIGMA, WD, WS, W_SIGMA, ZL</t>
  </si>
  <si>
    <t>PFg</t>
  </si>
  <si>
    <t>NE1 Pine-2 CHEESEHEAD 2019</t>
  </si>
  <si>
    <t>https://doi.org/10.17190/AMF/1717854</t>
  </si>
  <si>
    <t>PFh</t>
  </si>
  <si>
    <t>NE2 Pine-3 CHEESEHEAD 2019</t>
  </si>
  <si>
    <t>https://doi.org/10.17190/AMF/1717855</t>
  </si>
  <si>
    <t>PFi</t>
  </si>
  <si>
    <t>NE3 Hardwood-1 CHEESEHEAD 2019</t>
  </si>
  <si>
    <t>https://doi.org/10.17190/AMF/1717856</t>
  </si>
  <si>
    <t>PFj</t>
  </si>
  <si>
    <t>NE4 Maple-1 CHEESEHEAD 2019</t>
  </si>
  <si>
    <t>https://doi.org/10.17190/AMF/1717857</t>
  </si>
  <si>
    <t>PFk</t>
  </si>
  <si>
    <t>SW1 Aspen-2 CHEESEHEAD 2019</t>
  </si>
  <si>
    <t>https://doi.org/10.17190/AMF/1717858</t>
  </si>
  <si>
    <t>PFL</t>
  </si>
  <si>
    <t>SW2 Aspen-3 CHEESEHEAD 2019</t>
  </si>
  <si>
    <t>https://doi.org/10.17190/AMF/1717859</t>
  </si>
  <si>
    <t>PFm</t>
  </si>
  <si>
    <t>SW3 Hardwood-2 CHEESEHEAD 2019</t>
  </si>
  <si>
    <t>https://doi.org/10.17190/AMF/1717860</t>
  </si>
  <si>
    <t>PFn</t>
  </si>
  <si>
    <t>SW4 Hardwood-3 CHEESEHEAD 2019</t>
  </si>
  <si>
    <t>https://doi.org/10.17190/AMF/1717861</t>
  </si>
  <si>
    <t>PFo</t>
  </si>
  <si>
    <t>SE1 Lake-2 CHEESEHEAD 2019</t>
  </si>
  <si>
    <t>https://doi.org/10.17190/AMF/1880912</t>
  </si>
  <si>
    <t>ALB, CO2, FC, FC_SSITC_TEST, H, H2O, H_SSITC_TEST, LE, LE_SSITC_TEST, LW_IN, LW_OUT, NETRAD, PA, RH, SW_IN, SW_OUT, TA, TAU, TAU_SSITC_TEST, T_SONIC, U_SIGMA, USTAR, VPD, V_SIGMA, WS, W_SIGMA, ZL</t>
  </si>
  <si>
    <t>PFp</t>
  </si>
  <si>
    <t>SE2 Hardwood-4 CHEESEHEAD 2019</t>
  </si>
  <si>
    <t>https://doi.org/10.17190/AMF/1717862</t>
  </si>
  <si>
    <t>PFq</t>
  </si>
  <si>
    <t>SE3 Aspen-4 CHEESEHEAD 2019</t>
  </si>
  <si>
    <t>https://doi.org/10.17190/AMF/1717863</t>
  </si>
  <si>
    <t>PFr</t>
  </si>
  <si>
    <t>SE4 Tussock-2 CHEESEHEAD 2019</t>
  </si>
  <si>
    <t>https://doi.org/10.17190/AMF/1717864</t>
  </si>
  <si>
    <t>PFs</t>
  </si>
  <si>
    <t>SE5 Aspen-5 CHEESEHEAD 2019</t>
  </si>
  <si>
    <t>https://doi.org/10.17190/AMF/1717865</t>
  </si>
  <si>
    <t>PFt</t>
  </si>
  <si>
    <t>SE6 Pine-4 CHEESEHEAD 2019</t>
  </si>
  <si>
    <t>https://doi.org/10.17190/AMF/1717866</t>
  </si>
  <si>
    <t>PHM</t>
  </si>
  <si>
    <t>Plum Island High Marsh</t>
  </si>
  <si>
    <t>2013, 2014, 2015, 2016, 2017, 2018, 2019, 2020</t>
  </si>
  <si>
    <t>https://doi.org/10.17190/AMF/1543377</t>
  </si>
  <si>
    <t>ALB, CO2, CO2_SIGMA, FC, FC_SSITC_TEST, FETCH_FILTER, G, GPP, H, H2O, H2O_SIGMA, H_SSITC_TEST, LE, LE_SSITC_TEST, LW_IN, LW_OUT, MO_LENGTH, NDVI, NEE, NETRAD, PA, PPFD_IN, PPFD_OUT, RECO, RH, SW_IN, SW_OUT, TA, TS, T_SONIC, T_SONIC_SIGMA, U_SIGMA, USTAR, VPD, V_SIGMA, WD, WS, W_SIGMA, WS_MAX, WTD, ZL</t>
  </si>
  <si>
    <t>Pine Upland</t>
  </si>
  <si>
    <t>PLM</t>
  </si>
  <si>
    <t>Plum Island Low Marsh</t>
  </si>
  <si>
    <t>PLo</t>
  </si>
  <si>
    <t>Plum Island Oligohaline Marsh</t>
  </si>
  <si>
    <t>Pnp</t>
  </si>
  <si>
    <t>Lake Mendota, Picnic Point Site</t>
  </si>
  <si>
    <t>https://doi.org/10.17190/AMF/1433376</t>
  </si>
  <si>
    <t>https://doi.org/10.17190/AMF/2229386</t>
  </si>
  <si>
    <t>CO2, COND_WATER, DO, FC, H, H2O, LE, LW_IN, P, PA, PCO2, RH, SW_IN, TA, TW, USTAR, VPD, WD, WS</t>
  </si>
  <si>
    <t>Pon</t>
  </si>
  <si>
    <t>Ponca City</t>
  </si>
  <si>
    <t>1997, 1998, 1999, 2000</t>
  </si>
  <si>
    <t>https://doi.org/10.17190/AMF/1246091</t>
  </si>
  <si>
    <t>Prr</t>
  </si>
  <si>
    <t>Poker Flat Research Range Black Spruce Forest</t>
  </si>
  <si>
    <t>https://doi.org/10.17190/AMF/1246153</t>
  </si>
  <si>
    <t>CO2, D_SNOW, FC, G, GPP, H, H2O, LE, LW_BC_IN, LW_BC_OUT, LW_IN, LW_OUT, PA, PPFD_BC_IN, PPFD_BC_OUT, PPFD_IN, PPFD_OUT, P_RAIN, RECO, RH, SC, SH, SLE, SW_BC_IN, SW_BC_OUT, SWC, SW_IN, SW_OUT, TA, TS, USTAR, WD, WS, ZL</t>
  </si>
  <si>
    <t>PSH</t>
  </si>
  <si>
    <t>USSL San Joaquin Valley Pistachio High</t>
  </si>
  <si>
    <t>https://doi.org/10.17190/AMF/1617719</t>
  </si>
  <si>
    <t>PSL</t>
  </si>
  <si>
    <t>USSL San Joaquin Valley Pistachio Low</t>
  </si>
  <si>
    <t>https://doi.org/10.17190/AMF/1617720</t>
  </si>
  <si>
    <t>PVA</t>
  </si>
  <si>
    <t>PVAMU Research Farm</t>
  </si>
  <si>
    <t>Px1</t>
  </si>
  <si>
    <t>Phoenix, Maryvale Neighborhood Site</t>
  </si>
  <si>
    <t>Px2</t>
  </si>
  <si>
    <t>Phoenix, Encanto Golf Course</t>
  </si>
  <si>
    <t>Px3</t>
  </si>
  <si>
    <t>Phoenix, Desert botanical garden site</t>
  </si>
  <si>
    <t>RC1</t>
  </si>
  <si>
    <t>Cook Agronomy Farm - No Till</t>
  </si>
  <si>
    <t>https://doi.org/10.17190/AMF/1498748</t>
  </si>
  <si>
    <t>CO2, FC, FC_SSITC_TEST, FETCH_70, FETCH_90, FETCH_MAX, H, H_SSITC_TEST, LE, LE_SSITC_TEST, MO_LENGTH, NETRAD, P, PA, PPFD_IN, RH, SC, SH, SLE, TA, TAU, TAU_SSITC_TEST, T_SONIC, T_SONIC_SIGMA, U_SIGMA, USTAR, VPD, V_SIGMA, WD, WS, W_SIGMA, WS_MAX, ZL</t>
  </si>
  <si>
    <t>RC2</t>
  </si>
  <si>
    <t>Cook Agronomy Farm - Conventional Till</t>
  </si>
  <si>
    <t>https://doi.org/10.17190/AMF/1498747</t>
  </si>
  <si>
    <t>RC3</t>
  </si>
  <si>
    <t>WSU Lind Dryland Research Station</t>
  </si>
  <si>
    <t>https://doi.org/10.17190/AMF/1498749</t>
  </si>
  <si>
    <t>RC4</t>
  </si>
  <si>
    <t>Moscow Mountain on-farm site</t>
  </si>
  <si>
    <t>https://doi.org/10.17190/AMF/1498750</t>
  </si>
  <si>
    <t>RC5</t>
  </si>
  <si>
    <t>Moses Lake on-farm site</t>
  </si>
  <si>
    <t>2013, 2014, 2015</t>
  </si>
  <si>
    <t>https://doi.org/10.17190/AMF/1498751</t>
  </si>
  <si>
    <t>RFE</t>
  </si>
  <si>
    <t>RockyFlats - East site</t>
  </si>
  <si>
    <t>RFW</t>
  </si>
  <si>
    <t>RockyFlats - West site</t>
  </si>
  <si>
    <t>RGA</t>
  </si>
  <si>
    <t>Arkansas Corn Farm</t>
  </si>
  <si>
    <t>https://doi.org/10.17190/AMF/1880913</t>
  </si>
  <si>
    <t>https://doi.org/10.17190/AMF/2204873</t>
  </si>
  <si>
    <t>CO2, FC, FC_SSITC_TEST, FETCH_70, FETCH_80, FETCH_90, FETCH_MAX, G, H, H2O, H_SSITC_TEST, LE, LE_SSITC_TEST, LW_IN, LW_OUT, MO_LENGTH, NETRAD, P, PA, PPFD_IN, PPFD_OUT, RH, SWC, SW_IN, SW_OUT, TA, TAU, TAU_SSITC_TEST, TS, T_SONIC, T_SONIC_SIGMA, U_SIGMA, USTAR, V_SIGMA, WD, WS, W_SIGMA, WS_MAX</t>
  </si>
  <si>
    <t>RGB</t>
  </si>
  <si>
    <t>Butte County Rice Farm</t>
  </si>
  <si>
    <t>https://doi.org/10.17190/AMF/1870591</t>
  </si>
  <si>
    <t>https://doi.org/10.17190/AMF/2204874</t>
  </si>
  <si>
    <t>RGF</t>
  </si>
  <si>
    <t>Stanislaus County Forage Farm</t>
  </si>
  <si>
    <t>https://doi.org/10.17190/AMF/2001310</t>
  </si>
  <si>
    <t>RGG</t>
  </si>
  <si>
    <t>Glenn County Rice Farm</t>
  </si>
  <si>
    <t>RGo</t>
  </si>
  <si>
    <t>Glenn County Organic Rice Farm</t>
  </si>
  <si>
    <t>https://doi.org/10.17190/AMF/1880914</t>
  </si>
  <si>
    <t>https://doi.org/10.17190/AMF/2204875</t>
  </si>
  <si>
    <t>RGW</t>
  </si>
  <si>
    <t>Desha County Rice Farm</t>
  </si>
  <si>
    <t>https://doi.org/10.17190/AMF/1880915</t>
  </si>
  <si>
    <t>Rls</t>
  </si>
  <si>
    <t>RCEW Low Sagebrush</t>
  </si>
  <si>
    <t>https://doi.org/10.17190/AMF/1418682</t>
  </si>
  <si>
    <t>https://doi.org/10.17190/AMF/2229387</t>
  </si>
  <si>
    <t>CO2, D_SNOW, FC, FETCH_70, FETCH_90, FETCH_FILTER, FETCH_MAX, G, H, H2O, LE, LW_IN, LW_OUT, MO_LENGTH, NEE, NETRAD, P, PA, PPFD_IN, RH, SC, SLE, SWC, SW_IN, SW_OUT, TA, TAU, TS, T_SONIC, T_SONIC_SIGMA, U_SIGMA, USTAR, V_SIGMA, WD, WS, W_SIGMA, ZL</t>
  </si>
  <si>
    <t>Rms</t>
  </si>
  <si>
    <t>RCEW Mountain Big Sagebrush</t>
  </si>
  <si>
    <t>https://doi.org/10.17190/AMF/1375202</t>
  </si>
  <si>
    <t>https://doi.org/10.17190/AMF/1881587</t>
  </si>
  <si>
    <t>Ro1</t>
  </si>
  <si>
    <t>Rosemount- G21</t>
  </si>
  <si>
    <t>2004, 2005, 2006, 2007, 2008, 2009, 2010, 2011, 2012, 2013, 2014, 2015, 2016</t>
  </si>
  <si>
    <t>https://doi.org/10.17190/AMF/1246092</t>
  </si>
  <si>
    <t>https://doi.org/10.17190/AMF/1881588</t>
  </si>
  <si>
    <t>ALB, CO2, FC, G, GPP, H, H2O, LE, LW_IN, LW_OUT, NEE, NETRAD, P, PA, PPFD_IN, RECO, RH, SC, SH, SLE, SWC, SW_IN, SW_OUT, TA, T_CANOPY, TS, USTAR, VPD, WD, WS, ZL</t>
  </si>
  <si>
    <t>Ro2</t>
  </si>
  <si>
    <t>Rosemount- C7</t>
  </si>
  <si>
    <t>https://doi.org/10.17190/AMF/1418683</t>
  </si>
  <si>
    <t>https://doi.org/10.17190/AMF/2204876</t>
  </si>
  <si>
    <t>ALB, CO2, FC, G, GPP, H, H2O, LE, LW_IN, LW_OUT, NEE, NETRAD, P, PA, PPFD_IN, RECO, RH, SC, SH, SLE, SW_IN, SW_OUT, TA, T_CANOPY, TS, USTAR, VPD, WD, WS, ZL</t>
  </si>
  <si>
    <t>Ro3</t>
  </si>
  <si>
    <t>Rosemount- G19</t>
  </si>
  <si>
    <t>2004, 2005, 2006, 2007</t>
  </si>
  <si>
    <t>https://doi.org/10.17190/AMF/1246093</t>
  </si>
  <si>
    <t>CO2, FC, G, H, H2O, LE, NETRAD, P, PA, PPFD_IN, RH, SW_IN, TA, TS, USTAR, VPD, WS</t>
  </si>
  <si>
    <t>Ro4</t>
  </si>
  <si>
    <t>Rosemount Prairie</t>
  </si>
  <si>
    <t>2014, 2015, 2016, 2017, 2018, 2019, 2020, 2021, 2022, 2023</t>
  </si>
  <si>
    <t>https://doi.org/10.17190/AMF/1419507</t>
  </si>
  <si>
    <t>https://doi.org/10.17190/AMF/1881589</t>
  </si>
  <si>
    <t>Ro5</t>
  </si>
  <si>
    <t>Rosemount I18_South</t>
  </si>
  <si>
    <t>https://doi.org/10.17190/AMF/1419508</t>
  </si>
  <si>
    <t>https://doi.org/10.17190/AMF/1818371</t>
  </si>
  <si>
    <t>Ro6</t>
  </si>
  <si>
    <t>Rosemount I18_North</t>
  </si>
  <si>
    <t>https://doi.org/10.17190/AMF/1419509</t>
  </si>
  <si>
    <t>https://doi.org/10.17190/AMF/1881590</t>
  </si>
  <si>
    <t>Rpf</t>
  </si>
  <si>
    <t>Poker Flat Research Range: Succession from fire scar to deciduous forest</t>
  </si>
  <si>
    <t>https://doi.org/10.17190/AMF/1579540</t>
  </si>
  <si>
    <t>2008, 2009, 2010, 2011, 2012, 2013, 2014, 2015, 2016, 2017, 2018, 2019, 2020, 2021</t>
  </si>
  <si>
    <t>https://doi.org/10.17190/AMF/2229388</t>
  </si>
  <si>
    <t>CO2, D_SNOW, FC, FETCH_80, G, GPP, H, LE, LW_IN, LW_OUT, NEE, NETRAD, P, PA, PPFD_IN, PPFD_OUT, P_RAIN, RECO, RH, SC, SW_BC_IN, SWC, SW_IN, SW_OUT, TA, T_CANOPY, TS, T_SONIC_SIGMA, U_SIGMA, USTAR, V_SIGMA, WD, WS, W_SIGMA</t>
  </si>
  <si>
    <t>RRC</t>
  </si>
  <si>
    <t>Rice Rivers Center Marsh</t>
  </si>
  <si>
    <t>https://doi.org/10.17190/AMF/2331382</t>
  </si>
  <si>
    <t>CH4, CO2, FC, FCH4, H, H2O, LE, MO_LENGTH, NEE, NETRAD, P, PA, PPFD_IN, RH, SC, SCH4, SH, SLE, SWC, SW_IN, TA, TAU, TS, U_SIGMA, USTAR, VPD, V_SIGMA, WD, WS, W_SIGMA, WTD, ZL</t>
  </si>
  <si>
    <t>Rwe</t>
  </si>
  <si>
    <t>RCEW Reynolds Mountain East</t>
  </si>
  <si>
    <t>2003, 2004, 2005, 2006, 2007</t>
  </si>
  <si>
    <t>https://doi.org/10.17190/AMF/1617721</t>
  </si>
  <si>
    <t>https://doi.org/10.17190/AMF/1871143</t>
  </si>
  <si>
    <t>CO2, D_SNOW, FC, FETCH_70, FETCH_90, FETCH_FILTER, FETCH_MAX, G, H, H2O, LE, LW_IN, LW_OUT, MO_LENGTH, NETRAD, PA, RH, SC, SLE, SWC, SW_IN, SW_OUT, TA, TAU, TS, T_SONIC, T_SONIC_SIGMA, U_SIGMA, USTAR, V_SIGMA, WD, WS, W_SIGMA, ZL</t>
  </si>
  <si>
    <t>Rwf</t>
  </si>
  <si>
    <t>RCEW Upper Sheep Prescibed Fire</t>
  </si>
  <si>
    <t>https://doi.org/10.17190/AMF/1617724</t>
  </si>
  <si>
    <t>https://doi.org/10.17190/AMF/1881591</t>
  </si>
  <si>
    <t>Rws</t>
  </si>
  <si>
    <t>Reynolds Creek Wyoming big sagebrush</t>
  </si>
  <si>
    <t>https://doi.org/10.17190/AMF/1375201</t>
  </si>
  <si>
    <t>https://doi.org/10.17190/AMF/1881592</t>
  </si>
  <si>
    <t>Sag</t>
  </si>
  <si>
    <t>Sag River</t>
  </si>
  <si>
    <t>https://doi.org/10.17190/AMF/1987604</t>
  </si>
  <si>
    <t>CH4, CO2, FC, FCH4, FO3, G, GPP, H, LE, NEE, NETRAD, O3, PA, PPFD_IN, P_RAIN, RECO, RH, SW_IN, SW_OUT, TA, T_CANOPY, TS, USTAR, WD, WS</t>
  </si>
  <si>
    <t>SB1</t>
  </si>
  <si>
    <t>Sweet Briar Land-Atmosphere Research Station</t>
  </si>
  <si>
    <t>SB2</t>
  </si>
  <si>
    <t>Sweet Briar Grass</t>
  </si>
  <si>
    <t>SB3</t>
  </si>
  <si>
    <t>Sweet Briar Clearcut</t>
  </si>
  <si>
    <t>SCc</t>
  </si>
  <si>
    <t>Southern California Climate Gradient - Desert Chaparral</t>
  </si>
  <si>
    <t>SCd</t>
  </si>
  <si>
    <t>Southern California Climate Gradient - Sonoran Desert</t>
  </si>
  <si>
    <t>2006, 2007, 2008, 2009, 2010, 2011, 2012, 2013, 2014</t>
  </si>
  <si>
    <t>https://doi.org/10.17190/AMF/1419505</t>
  </si>
  <si>
    <t>SCf</t>
  </si>
  <si>
    <t>Southern California Climate Gradient - Oak/Pine Forest</t>
  </si>
  <si>
    <t>2006, 2007, 2008, 2009, 2010, 2011, 2012, 2013, 2014, 2015</t>
  </si>
  <si>
    <t>https://doi.org/10.17190/AMF/1419503</t>
  </si>
  <si>
    <t>SCg</t>
  </si>
  <si>
    <t>Southern California Climate Gradient - Grassland</t>
  </si>
  <si>
    <t>2006, 2007, 2008, 2009, 2010, 2011, 2012, 2013, 2014, 2015, 2016</t>
  </si>
  <si>
    <t>https://doi.org/10.17190/AMF/1419502</t>
  </si>
  <si>
    <t>SCs</t>
  </si>
  <si>
    <t>Southern California Climate Gradient - Coastal Sage</t>
  </si>
  <si>
    <t>https://doi.org/10.17190/AMF/1419501</t>
  </si>
  <si>
    <t>SCw</t>
  </si>
  <si>
    <t>Southern California Climate Gradient - Pinyon/Juniper Woodland</t>
  </si>
  <si>
    <t>https://doi.org/10.17190/AMF/1419504</t>
  </si>
  <si>
    <t>SdH</t>
  </si>
  <si>
    <t>Nebraska SandHills Dry Valley</t>
  </si>
  <si>
    <t>https://doi.org/10.17190/AMF/1246136</t>
  </si>
  <si>
    <t>SDU</t>
  </si>
  <si>
    <t>South Denver Urban Tower</t>
  </si>
  <si>
    <t>2007, 2008, 2009, 2010, 2011, 2012, 2013, 2014, 2015, 2016, 2017, 2018, 2019, 2020, 2021, 2022, 2023</t>
  </si>
  <si>
    <t>https://doi.org/10.17190/AMF/1246124</t>
  </si>
  <si>
    <t>https://doi.org/10.17190/AMF/1984572</t>
  </si>
  <si>
    <t>https://doi.org/10.17190/AMF/1246125</t>
  </si>
  <si>
    <t>https://doi.org/10.17190/AMF/1984573</t>
  </si>
  <si>
    <t>SFP</t>
  </si>
  <si>
    <t>Sioux Falls Portable</t>
  </si>
  <si>
    <t>2007, 2008, 2009</t>
  </si>
  <si>
    <t>https://doi.org/10.17190/AMF/1246126</t>
  </si>
  <si>
    <t>FC, G, H, LE, LW_IN, LW_OUT, NETRAD, P, PA, PPFD_IN, PPFD_OUT, RH, SWC, SW_IN, SW_OUT, TA, TS, USTAR, VPD, WD, WS</t>
  </si>
  <si>
    <t>SHC</t>
  </si>
  <si>
    <t>Sagehen Creek Field Station</t>
  </si>
  <si>
    <t>Shd</t>
  </si>
  <si>
    <t>Shidler- Oklahoma</t>
  </si>
  <si>
    <t>https://doi.org/10.17190/AMF/1246095</t>
  </si>
  <si>
    <t>SHS</t>
  </si>
  <si>
    <t>Secaucus High School Site</t>
  </si>
  <si>
    <t>Si1</t>
  </si>
  <si>
    <t>Staten Island Fallow</t>
  </si>
  <si>
    <t>Si2</t>
  </si>
  <si>
    <t>Staten Island Flooded</t>
  </si>
  <si>
    <t>San Joaquin (Freshwater Marsh Tower 1)</t>
  </si>
  <si>
    <t>San Joaquin (Freshwater Marsh Tower 2)</t>
  </si>
  <si>
    <t>Skr</t>
  </si>
  <si>
    <t>Shark River Slough (Tower SRS-6) Everglades</t>
  </si>
  <si>
    <t>2004, 2005, 2006, 2007, 2008, 2009, 2010, 2011</t>
  </si>
  <si>
    <t>https://doi.org/10.17190/AMF/1246105</t>
  </si>
  <si>
    <t>Slt</t>
  </si>
  <si>
    <t>Silas Little- New Jersey</t>
  </si>
  <si>
    <t>https://doi.org/10.17190/AMF/1246096</t>
  </si>
  <si>
    <t>SM1</t>
  </si>
  <si>
    <t>Texas SmartFarm Project</t>
  </si>
  <si>
    <t>Snd</t>
  </si>
  <si>
    <t>Sherman Island</t>
  </si>
  <si>
    <t>2007, 2008, 2009, 2010, 2011, 2012, 2013, 2014</t>
  </si>
  <si>
    <t>https://doi.org/10.17190/AMF/1246094</t>
  </si>
  <si>
    <t>Sherman Island Restored Wetland</t>
  </si>
  <si>
    <t>https://doi.org/10.17190/AMF/1418684</t>
  </si>
  <si>
    <t>https://doi.org/10.17190/AMF/1871144</t>
  </si>
  <si>
    <t>CH4, CO2, FC, FCH4, FCH4_SSITC_TEST, FC_SSITC_TEST, G, GPP, H, H2O, H_SSITC_TEST, LE, LE_SSITC_TEST, LW_IN, LW_OUT, MO_LENGTH, NETRAD, P, PA, PPFD_IN, PPFD_OUT, RECO, RH, SW_IN, SW_OUT, TA, TAU, TAU_SSITC_TEST, TS, T_SONIC, T_SONIC_SIGMA, USTAR, VPD, V_SIGMA, WD, WS, W_SIGMA, WTD, ZL</t>
  </si>
  <si>
    <t>Snf</t>
  </si>
  <si>
    <t>Sherman Barn</t>
  </si>
  <si>
    <t>https://doi.org/10.17190/AMF/1579718</t>
  </si>
  <si>
    <t>https://doi.org/10.17190/AMF/1854371</t>
  </si>
  <si>
    <t>CH4, CO2, FC, FCH4, FCH4_SSITC_TEST, FC_SSITC_TEST, G, GPP, H, H2O, H_SSITC_TEST, LE, LE_SSITC_TEST, LW_IN, LW_OUT, MO_LENGTH, NETRAD, P, PA, PPFD_IN, PPFD_OUT, RECO, RH, SPEC_NIR_IN, SPEC_NIR_OUT, SPEC_PRI_REF_IN, SPEC_PRI_REF_OUT, SPEC_PRI_TGT_IN, SPEC_PRI_TGT_OUT, SPEC_RED_IN, SPEC_RED_OUT, SWC, SW_IN, SW_OUT, TA, TAU, TAU_SSITC_TEST, TS, T_SONIC, T_SONIC_SIGMA, USTAR, VPD, V_SIGMA, WD, WS, W_SIGMA, ZL</t>
  </si>
  <si>
    <t>Sky Oaks- Old Stand</t>
  </si>
  <si>
    <t>1997, 1998, 1999, 2000, 2001, 2002, 2003, 2004, 2005, 2006</t>
  </si>
  <si>
    <t>https://doi.org/10.17190/AMF/1246097</t>
  </si>
  <si>
    <t>SO3</t>
  </si>
  <si>
    <t>Sky Oaks- Young Stand</t>
  </si>
  <si>
    <t>https://doi.org/10.17190/AMF/1246098</t>
  </si>
  <si>
    <t>SO4</t>
  </si>
  <si>
    <t>Sky Oaks- New Stand</t>
  </si>
  <si>
    <t>https://doi.org/10.17190/AMF/1246099</t>
  </si>
  <si>
    <t>Slashpine-Austin Cary- 65yrs nat regen</t>
  </si>
  <si>
    <t>2000, 2001, 2002, 2003, 2004, 2005, 2006, 2007, 2008, 2009, 2010, 2011, 2012, 2013, 2014, 2015, 2016, 2017, 2018, 2019, 2020</t>
  </si>
  <si>
    <t>https://doi.org/10.17190/AMF/1246100</t>
  </si>
  <si>
    <t>CO2, CO2_MIXING_RATIO, CO2_SIGMA, FC, FC_SSITC_TEST, FETCH_70, FETCH_80, FETCH_90, FETCH_MAX, G, H, H2O, H2O_MIXING_RATIO, H2O_SIGMA, H_SSITC_TEST, LE, LE_SSITC_TEST, LW_IN, LW_OUT, MO_LENGTH, NETRAD, PA, PPFD_IN, PPFD_OUT, P_RAIN, RH, SC, SH, SLE, SWC, SW_IN, SW_OUT, TA, TAU, TAU_SSITC_TEST, TS, T_SONIC, T_SONIC_SIGMA, U_SIGMA, USTAR, VPD, V_SIGMA, WD, WS, W_SIGMA, WS_MAX, ZL</t>
  </si>
  <si>
    <t>SP2</t>
  </si>
  <si>
    <t>Slashpine-Mize-clearcut-3yr,regen</t>
  </si>
  <si>
    <t>1999, 2000, 2001, 2002, 2003, 2004, 2005, 2006, 2007, 2008</t>
  </si>
  <si>
    <t>https://doi.org/10.17190/AMF/1246101</t>
  </si>
  <si>
    <t>SP3</t>
  </si>
  <si>
    <t>Slashpine-Donaldson-mid-rot- 12yrs</t>
  </si>
  <si>
    <t>https://doi.org/10.17190/AMF/1246102</t>
  </si>
  <si>
    <t>SP4</t>
  </si>
  <si>
    <t>Slashpine-Rayonier-mid-rot- 12yrs</t>
  </si>
  <si>
    <t>https://doi.org/10.17190/AMF/1246103</t>
  </si>
  <si>
    <t>FC, G, H, LE, NEE, NETRAD, P, PPFD_IN, RH, SC, SW_IN, TA, USTAR, VPD, WS</t>
  </si>
  <si>
    <t>https://doi.org/10.17190/AMF/1246127</t>
  </si>
  <si>
    <t>https://doi.org/10.17190/AMF/1871145</t>
  </si>
  <si>
    <t>CO2, FC, G, H, H2O, LE, LW_IN, LW_OUT, NETRAD, P, PA, RH, SWC, SW_IN, SW_OUT, TA, TS, USTAR, VPD, WD, WS</t>
  </si>
  <si>
    <t>https://doi.org/10.17190/AMF/1246154</t>
  </si>
  <si>
    <t>https://doi.org/10.17190/AMF/2204877</t>
  </si>
  <si>
    <t>CO2, FC, G, H, H2O, LE, LW_IN, LW_OUT, NETRAD, P, PA, PPFD_IN, PPFD_OUT, RH, SWC, SW_IN, SW_OUT, TA, TS, T_SONIC, USTAR, WD, WS</t>
  </si>
  <si>
    <t>https://doi.org/10.17190/AMF/1246104</t>
  </si>
  <si>
    <t>CO2, FC, G, H, H2O, LE, LW_IN, LW_OUT, NETRAD, P, PA, PPFD_IN, PPFD_OUT, RH, SWC, SW_IN, SW_OUT, TA, T_CANOPY, TS, T_SONIC, USTAR, WD, WS</t>
  </si>
  <si>
    <t>Srr</t>
  </si>
  <si>
    <t>Suisun marsh - Rush Ranch</t>
  </si>
  <si>
    <t>2014, 2015, 2016, 2017</t>
  </si>
  <si>
    <t>https://doi.org/10.17190/AMF/1418685</t>
  </si>
  <si>
    <t>https://doi.org/10.17190/AMF/2229389</t>
  </si>
  <si>
    <t>CH4, CO2, FC, FCH4, FCH4_SSITC_TEST, FC_SSITC_TEST, G, GPP, H, H2O, H_SSITC_TEST, LE, LE_SSITC_TEST, LW_IN, LW_OUT, MO_LENGTH, NETRAD, PA, PPFD_IN, PPFD_OUT, RECO, RH, SW_IN, SW_OUT, TA, TAU, TAU_SSITC_TEST, TS, T_SONIC, T_SONIC_SIGMA, USTAR, VPD, V_SIGMA, WD, WS, W_SIGMA, WTD, ZL</t>
  </si>
  <si>
    <t>SRS</t>
  </si>
  <si>
    <t>Santa Rita Savanna</t>
  </si>
  <si>
    <t>2011, 2012, 2013, 2014, 2015, 2016, 2017, 2018</t>
  </si>
  <si>
    <t>https://doi.org/10.17190/AMF/1660351</t>
  </si>
  <si>
    <t>https://doi.org/10.17190/AMF/2204878</t>
  </si>
  <si>
    <t>SSH</t>
  </si>
  <si>
    <t>Susquehanna Shale Hills Critical Zone Observatory</t>
  </si>
  <si>
    <t>https://doi.org/10.17190/AMF/1880916</t>
  </si>
  <si>
    <t>CO2, FC, H, H2O, LE, LW_IN, LW_OUT, NETRAD, P, PA, RH, SWC, SW_IN, SW_OUT, TA, TS, USTAR, WD, WS, WTD</t>
  </si>
  <si>
    <t>https://doi.org/10.17190/AMF/1246831</t>
  </si>
  <si>
    <t>CO2, FC, G, H, H2O, LE, PA, PPFD_IN, RH, SWC, TA, TS, USTAR, VPD, WD, WS</t>
  </si>
  <si>
    <t>StJ</t>
  </si>
  <si>
    <t>St Jones Reserve</t>
  </si>
  <si>
    <t>https://doi.org/10.17190/AMF/1480316</t>
  </si>
  <si>
    <t>https://doi.org/10.17190/AMF/2229390</t>
  </si>
  <si>
    <t>CH4, CO2, FC, FCH4, FCH4_SSITC_TEST, FC_SSITC_TEST, FETCH_70, FETCH_90, FETCH_FILTER, FETCH_MAX, H, H2O, H_SSITC_TEST, LE, LE_SSITC_TEST, MO_LENGTH, NDVI, NEE, NETRAD, P, PA, PPFD_IN, PPFD_OUT, PRI, RH, SC, SCH4, SH, SLE, SPEC_NIR_IN, SPEC_NIR_REFL, SPEC_PRI_REF_IN, SPEC_PRI_REF_OUT, SPEC_PRI_TGT_IN, SPEC_PRI_TGT_OUT, SPEC_RED_IN, SPEC_RED_OUT, SWC, TA, TAU, TAU_SSITC_TEST, TS, T_SONIC, U_SIGMA, USTAR, VPD, V_SIGMA, WD, WS, W_SIGMA, WS_MAX, WTD, ZL</t>
  </si>
  <si>
    <t>StS</t>
  </si>
  <si>
    <t>Strawberry Swamp</t>
  </si>
  <si>
    <t>SuM</t>
  </si>
  <si>
    <t>Maui Sugarcane Middle</t>
  </si>
  <si>
    <t>https://doi.org/10.17190/AMF/1246158</t>
  </si>
  <si>
    <t>CO2, FC, G, H, H2O, LE, NEE, NETRAD, RH, SC, SH, SLE, TA, TS, USTAR, VPD, WD, WS, ZL</t>
  </si>
  <si>
    <t>SuS</t>
  </si>
  <si>
    <t>Maui Sugarcane Lee/Sheltered</t>
  </si>
  <si>
    <t>https://doi.org/10.17190/AMF/1246159</t>
  </si>
  <si>
    <t>SuW</t>
  </si>
  <si>
    <t>Maui Sugarcane Windy</t>
  </si>
  <si>
    <t>https://doi.org/10.17190/AMF/1246157</t>
  </si>
  <si>
    <t>https://doi.org/10.17190/AMF/1246106</t>
  </si>
  <si>
    <t>2001, 2002, 2003, 2004, 2005, 2006, 2007, 2008, 2009, 2010, 2011, 2012, 2013, 2014, 2015, 2016, 2017, 2018, 2019, 2020, 2021</t>
  </si>
  <si>
    <t>https://doi.org/10.17190/AMF/2204879</t>
  </si>
  <si>
    <t>CO2, FC, FETCH_90, FETCH_MAX, G, GPP, H, H2O, LE, LW_IN, LW_OUT, NEE, NETRAD, P, PA, PPFD_DIF, PPFD_IN, RECO, RH, SC, SH, SLE, SWC, SW_IN, SW_OUT, TA, THROUGHFALL, TS, USTAR, VPD, WD, WS, ZL</t>
  </si>
  <si>
    <t>TaS</t>
  </si>
  <si>
    <t>Taylor Slough/Panhandle</t>
  </si>
  <si>
    <t>https://doi.org/10.17190/AMF/2331383</t>
  </si>
  <si>
    <t>CO2, CO2_MIXING_RATIO, FC, FC_SSITC_TEST, FETCH_70, FETCH_90, FETCH_MAX, H, H2O, H2O_MIXING_RATIO, H_SSITC_TEST, LE, LE_SSITC_TEST, LW_IN, LW_OUT, MO_LENGTH, PA, RH, SC, SH, SLE, SW_IN, SW_OUT, TA, TAU, TAU_SSITC_TEST, TS, T_SONIC, USTAR, VPD, WD, WS, WS_MAX, ZL</t>
  </si>
  <si>
    <t>Tall Cypress Swamp</t>
  </si>
  <si>
    <t>TEF</t>
  </si>
  <si>
    <t>Tenderfoot Creek Experimental Forest</t>
  </si>
  <si>
    <t>https://doi.org/10.17190/AMF/2315770</t>
  </si>
  <si>
    <t>ALB, CO2_SIGMA, D_SNOW, FC, G, H, H2O_SIGMA, LE, LW_IN, LW_OUT, NETRAD, RH, SWC, SW_IN, SW_OUT, TA, TAU, T_SONIC, U_SIGMA, USTAR, VPD, V_SIGMA, WD, WS, W_SIGMA, ZL</t>
  </si>
  <si>
    <t>TFF</t>
  </si>
  <si>
    <t>Thompson Farm Forest</t>
  </si>
  <si>
    <t>Ton</t>
  </si>
  <si>
    <t>https://doi.org/10.17190/AMF/1245971</t>
  </si>
  <si>
    <t>https://doi.org/10.17190/AMF/2204880</t>
  </si>
  <si>
    <t>CO2, CO2_SIGMA, COND_WATER, FC, G, GPP, H, H2O, H2O_SIGMA, LE, LW_IN, LW_OUT, MO_LENGTH, NEE, NETRAD, P, PA, PPFD_DIF, PPFD_DIR, PPFD_IN, PPFD_OUT, RECO, RH, SC, SWC, SW_IN, SW_OUT, SWP, TA, TAU, TS, T_SONIC, T_SONIC_SIGMA, TW, U_SIGMA, USTAR, VPD, V_SIGMA, WD, WS, W_SIGMA, WTD, ZL</t>
  </si>
  <si>
    <t>TrB</t>
  </si>
  <si>
    <t>Trout Bog</t>
  </si>
  <si>
    <t>https://doi.org/10.17190/AMF/1804493</t>
  </si>
  <si>
    <t>ALB, CH4_MIXING_RATIO, CO2, CO2_MIXING_RATIO, CO2_SIGMA, FC, FCH4, FCH4_SSITC_TEST, FC_SSITC_TEST, FETCH_70, FETCH_90, FETCH_MAX, H, H2O, H2O_MIXING_RATIO, H2O_SIGMA, LE, LE_SSITC_TEST, LW_IN, LW_OUT, NETRAD, SW_IN, SW_OUT, TAU, TAU_SSITC_TEST, T_SONIC, T_SONIC_SIGMA, U_SIGMA, USTAR, V_SIGMA, WS, W_SIGMA, ZL</t>
  </si>
  <si>
    <t>TrS</t>
  </si>
  <si>
    <t>Trout Lake Area South Sparkling Bog</t>
  </si>
  <si>
    <t>https://doi.org/10.17190/AMF/1825939</t>
  </si>
  <si>
    <t>Tur</t>
  </si>
  <si>
    <t>Turner Ranch</t>
  </si>
  <si>
    <t>https://doi.org/10.17190/AMF/1825940</t>
  </si>
  <si>
    <t>ALB, CO2, CO2_SIGMA, FC, FCH4, FCH4_SSITC_TEST, FC_SSITC_TEST, G, H, H2O, H2O_SIGMA, LE, LE_SSITC_TEST, LW_IN, LW_OUT, NETRAD, RH, SWC, SW_IN, SW_OUT, TA, TAU, TAU_SSITC_TEST, TS, T_SONIC, T_SONIC_SIGMA, U_SIGMA, USTAR, VPD, V_SIGMA, WD, WS, W_SIGMA, ZL</t>
  </si>
  <si>
    <t>Twitchell Wetland West Pond</t>
  </si>
  <si>
    <t>https://doi.org/10.17190/AMF/1246147</t>
  </si>
  <si>
    <t>https://doi.org/10.17190/AMF/1832165</t>
  </si>
  <si>
    <t>CH4, CO2, FC, FCH4, FCH4_SSITC_TEST, FC_SSITC_TEST, GPP, H, H2O, H_SSITC_TEST, LE, LE_SSITC_TEST, LW_IN, LW_OUT, MO_LENGTH, NETRAD, PA, PPFD_IN, PPFD_OUT, RECO, RH, SPEC_NIR_IN, SPEC_NIR_OUT, SPEC_RED_IN, SPEC_RED_OUT, SW_IN, SW_OUT, TA, TAU, TAU_SSITC_TEST, TS, T_SONIC, T_SONIC_SIGMA, USTAR, VPD, V_SIGMA, WD, WS, W_SIGMA, WTD, ZL</t>
  </si>
  <si>
    <t>Twitchell Corn</t>
  </si>
  <si>
    <t>https://doi.org/10.17190/AMF/1246148</t>
  </si>
  <si>
    <t>https://doi.org/10.17190/AMF/1881593</t>
  </si>
  <si>
    <t>CO2, FC, G, H, H2O, LE, LW_IN, LW_OUT, NEE, NETRAD, PA, PPFD_IN, PPFD_OUT, RH, SWC, SW_IN, SW_OUT, TA, TS, USTAR, VPD, WD, WS, ZL</t>
  </si>
  <si>
    <t>Twitchell Alfalfa</t>
  </si>
  <si>
    <t>2013, 2014, 2015, 2016, 2017, 2018</t>
  </si>
  <si>
    <t>https://doi.org/10.17190/AMF/1246149</t>
  </si>
  <si>
    <t>https://doi.org/10.17190/AMF/1881594</t>
  </si>
  <si>
    <t>CH4, CO2, FC, FCH4, FCH4_SSITC_TEST, FC_SSITC_TEST, G, GPP, H, H2O, H_SSITC_TEST, LE, LE_SSITC_TEST, LW_IN, LW_OUT, MO_LENGTH, NETRAD, P, PA, PPFD_DIF, PPFD_IN, PPFD_OUT, RECO, RH, SWC, SW_IN, SW_OUT, TA, TAU, TAU_SSITC_TEST, TS, T_SONIC, T_SONIC_SIGMA, USTAR, VPD, V_SIGMA, WD, WS, W_SIGMA, ZL</t>
  </si>
  <si>
    <t>Twitchell East End Wetland</t>
  </si>
  <si>
    <t>2013, 2014, 2015, 2016, 2017, 2018, 2019, 2020, 2021, 2022</t>
  </si>
  <si>
    <t>https://doi.org/10.17190/AMF/1246151</t>
  </si>
  <si>
    <t>https://doi.org/10.17190/AMF/2204881</t>
  </si>
  <si>
    <t>CH4, CO2, FC, FCH4, FCH4_SSITC_TEST, FC_SSITC_TEST, G, GPP, H, H2O, H_SSITC_TEST, LE, LE_SSITC_TEST, LW_IN, LW_OUT, MO_LENGTH, NETRAD, P, PA, PPFD_IN, PPFD_OUT, RECO, RH, SPEC_NIR_IN, SPEC_NIR_OUT, SPEC_RED_IN, SPEC_RED_OUT, SW_IN, SW_OUT, TA, TAU, TAU_SSITC_TEST, TS, T_SONIC, T_SONIC_SIGMA, USTAR, VPD, V_SIGMA, WD, WS, W_SIGMA, WTD, ZL</t>
  </si>
  <si>
    <t>Tw5</t>
  </si>
  <si>
    <t>East Pond Wetland</t>
  </si>
  <si>
    <t>https://doi.org/10.17190/AMF/1543380</t>
  </si>
  <si>
    <t>https://doi.org/10.17190/AMF/1881595</t>
  </si>
  <si>
    <t>https://doi.org/10.17190/AMF/1246140</t>
  </si>
  <si>
    <t>CH4, CO2, FC, FCH4, FCH4_SSITC_TEST, FC_SSITC_TEST, G, GPP, H, H2O, H_SSITC_TEST, LE, LE_SSITC_TEST, MO_LENGTH, NETRAD, P, PA, PPFD_IN, PPFD_OUT, RECO, RH, SW_IN, TA, TAU, TAU_SSITC_TEST, TS, T_SONIC, T_SONIC_SIGMA, USTAR, VPD, V_SIGMA, WD, WS, W_SIGMA, WTD, ZL</t>
  </si>
  <si>
    <t>Tx1</t>
  </si>
  <si>
    <t>Stiles Farm Prairie</t>
  </si>
  <si>
    <t>Tx2</t>
  </si>
  <si>
    <t>Riesel Farm Native Prairie</t>
  </si>
  <si>
    <t>Tx3</t>
  </si>
  <si>
    <t>Riesel Farm Aspirational Agriculture</t>
  </si>
  <si>
    <t>Tx4</t>
  </si>
  <si>
    <t>Riesel Farm Traditional Agriculture</t>
  </si>
  <si>
    <t>Tx5</t>
  </si>
  <si>
    <t>Texas A&amp;M University Farm</t>
  </si>
  <si>
    <t>Tx6</t>
  </si>
  <si>
    <t>La Copita Grassland - Savanna</t>
  </si>
  <si>
    <t>Tx7</t>
  </si>
  <si>
    <t>La Copita Shrubland - Savanna</t>
  </si>
  <si>
    <t>Tx8</t>
  </si>
  <si>
    <t>Danciger Lowland Hardwood Forest</t>
  </si>
  <si>
    <t>Tx9</t>
  </si>
  <si>
    <t>Sargent Unit Salt Marsh</t>
  </si>
  <si>
    <t>Uaf</t>
  </si>
  <si>
    <t>University of Alaska, Fairbanks</t>
  </si>
  <si>
    <t>https://doi.org/10.17190/AMF/1480322</t>
  </si>
  <si>
    <t>CH4, CO2, D_SNOW, FC, FCH4, FETCH_80, G, GPP, H, LE, LW_IN, LW_OUT, NEE, NETRAD, P, PA, PPFD_BC_IN, PPFD_IN, PPFD_OUT, P_RAIN, RECO, RH, SC, SCH4, SWC, SW_IN, SW_OUT, TA, T_BOLE, T_CANOPY, TS, T_SONIC_SIGMA, TW, U_SIGMA, USTAR, V_SIGMA, WD, WS, W_SIGMA, WTD</t>
  </si>
  <si>
    <t>UC1</t>
  </si>
  <si>
    <t>LTAR UCB (Upper Chesapeake Bay) EC1</t>
  </si>
  <si>
    <t>https://doi.org/10.17190/AMF/1865482</t>
  </si>
  <si>
    <t>UC2</t>
  </si>
  <si>
    <t>LTAR UCB (Upper Chesapeake Bay) EC2</t>
  </si>
  <si>
    <t>https://doi.org/10.17190/AMF/1865483</t>
  </si>
  <si>
    <t>UG1</t>
  </si>
  <si>
    <t>East River Riparian</t>
  </si>
  <si>
    <t>UiA</t>
  </si>
  <si>
    <t>University of Illinois Switchgrass</t>
  </si>
  <si>
    <t>https://doi.org/10.17190/AMF/1617725</t>
  </si>
  <si>
    <t>ALB, CO2, FC, FC_SSITC_TEST, FETCH_70, FETCH_90, FETCH_MAX, G, H, H2O, H_SSITC_TEST, LE, LE_SSITC_TEST, LW_IN, LW_OUT, MO_LENGTH, NETRAD, PA, PPFD_IN, PPFD_OUT, RH, SC, SH, SLE, SWC, SW_IN, SW_OUT, TA, TAU, TAU_SSITC_TEST, T_CANOPY, TS, T_SONIC, U_SIGMA, USTAR, VPD, V_SIGMA, WD, WS, W_SIGMA, WS_MAX, ZL</t>
  </si>
  <si>
    <t>UiB</t>
  </si>
  <si>
    <t>University of Illinois Miscanthus</t>
  </si>
  <si>
    <t>https://doi.org/10.17190/AMF/1846664</t>
  </si>
  <si>
    <t>UiC</t>
  </si>
  <si>
    <t>University of Illinois Maize-Soy</t>
  </si>
  <si>
    <t>https://doi.org/10.17190/AMF/1846665</t>
  </si>
  <si>
    <t>UiD</t>
  </si>
  <si>
    <t>University of Illinois Restored Native Prairie</t>
  </si>
  <si>
    <t>https://doi.org/10.17190/AMF/1987605</t>
  </si>
  <si>
    <t>UiE</t>
  </si>
  <si>
    <t>University of Illinois Sorghum-Soy</t>
  </si>
  <si>
    <t>UiF</t>
  </si>
  <si>
    <t>University of Illinois Miscanthus 2</t>
  </si>
  <si>
    <t>UiG</t>
  </si>
  <si>
    <t>University of Illinois Maize-Soy 2</t>
  </si>
  <si>
    <t>ULM</t>
  </si>
  <si>
    <t>ULM Flux Tower</t>
  </si>
  <si>
    <t>UM3</t>
  </si>
  <si>
    <t>Douglas Lake</t>
  </si>
  <si>
    <t>https://doi.org/10.17190/AMF/1480315</t>
  </si>
  <si>
    <t>https://doi.org/10.17190/AMF/1881596</t>
  </si>
  <si>
    <t>CO2, FC, GPP, H, H2O, LE, LW_IN, LW_OUT, MO_LENGTH, NEE, PA, RECO, RH, SC, SW_IN, SW_OUT, TA, USTAR, VPD, WD, WS, WTD</t>
  </si>
  <si>
    <t>Univ. of Mich. Biological Station</t>
  </si>
  <si>
    <t>https://doi.org/10.17190/AMF/1246107</t>
  </si>
  <si>
    <t>https://doi.org/10.17190/AMF/2204882</t>
  </si>
  <si>
    <t>UMd</t>
  </si>
  <si>
    <t>UMBS Disturbance</t>
  </si>
  <si>
    <t>https://doi.org/10.17190/AMF/1246134</t>
  </si>
  <si>
    <t>https://doi.org/10.17190/AMF/1881597</t>
  </si>
  <si>
    <t>CO2, FC, GPP, H, H2O, LE, LW_IN, LW_OUT, NEE, NETRAD, PA, PPFD_DIF, PPFD_IN, RECO, RH, SC, SWC, SW_IN, SW_OUT, TA, TS, USTAR, VPD, WD, WS</t>
  </si>
  <si>
    <t>Upa</t>
  </si>
  <si>
    <t>Upad</t>
  </si>
  <si>
    <t>https://doi.org/10.17190/AMF/1246108</t>
  </si>
  <si>
    <t>FC, G, H, LE, NETRAD, PPFD_IN, SW_IN, TA, TS, USTAR, WD, WS</t>
  </si>
  <si>
    <t>UTB</t>
  </si>
  <si>
    <t>UFLUX Bonneville Salt Flats</t>
  </si>
  <si>
    <t>https://doi.org/10.17190/AMF/2001311</t>
  </si>
  <si>
    <t>ALB, CO2, CO2_SIGMA, FC, FC_SSITC_TEST, FETCH_90, FETCH_MAX, G, H, H2O, H2O_SIGMA, H_SSITC_TEST, LE, LE_SSITC_TEST, LW_IN, LW_OUT, MO_LENGTH, NETRAD, P, PA, PBLH, RH, SG, SWC, SW_IN, SW_OUT, TA, TAU, TAU_SSITC_TEST, TS, T_SONIC, T_SONIC_SIGMA, U_SIGMA, USTAR, VPD, V_SIGMA, WD, WS, W_SIGMA, WS_MAX, ZL</t>
  </si>
  <si>
    <t>UTD</t>
  </si>
  <si>
    <t>UFLUX Dugout Ranch</t>
  </si>
  <si>
    <t>UTM</t>
  </si>
  <si>
    <t>UFLUX Matheson</t>
  </si>
  <si>
    <t>UTN</t>
  </si>
  <si>
    <t>UFLUX Nephi</t>
  </si>
  <si>
    <t>https://doi.org/10.17190/AMF/2204058</t>
  </si>
  <si>
    <t>ALB, CO2, CO2_SIGMA, FC, FC_SSITC_TEST, FETCH_90, FETCH_MAX, H, H2O, H2O_SIGMA, H_SSITC_TEST, LE, LE_SSITC_TEST, LW_IN, LW_OUT, MO_LENGTH, NETRAD, PA, PBLH, RH, SW_IN, SW_OUT, TA, TAU, TAU_SSITC_TEST, T_SONIC, T_SONIC_SIGMA, U_SIGMA, USTAR, VPD, V_SIGMA, WD, WS, W_SIGMA, WS_MAX, ZL</t>
  </si>
  <si>
    <t>UTV</t>
  </si>
  <si>
    <t>UFLUX Desert View</t>
  </si>
  <si>
    <t>UTW</t>
  </si>
  <si>
    <t>UFLUX Wellington</t>
  </si>
  <si>
    <t>Vaira Ranch- Ione</t>
  </si>
  <si>
    <t>https://doi.org/10.17190/AMF/1245984</t>
  </si>
  <si>
    <t>https://doi.org/10.17190/AMF/1993904</t>
  </si>
  <si>
    <t>CO2, CO2_SIGMA, FC, G, GPP, H, H2O, H2O_SIGMA, LE, LW_IN, LW_OUT, MO_LENGTH, NEE, NETRAD, P, PA, PPFD_DIF, PPFD_DIR, PPFD_IN, PPFD_OUT, RECO, RH, SWC, SW_IN, SW_OUT, TA, TAU, TS, T_SONIC, T_SONIC_SIGMA, U_SIGMA, USTAR, VPD, V_SIGMA, WD, WS, W_SIGMA, ZL</t>
  </si>
  <si>
    <t>Valles Caldera Mixed Conifer</t>
  </si>
  <si>
    <t>https://doi.org/10.17190/AMF/1246121</t>
  </si>
  <si>
    <t>https://doi.org/10.17190/AMF/2229391</t>
  </si>
  <si>
    <t>Valles Caldera Ponderosa Pine</t>
  </si>
  <si>
    <t>https://doi.org/10.17190/AMF/1246122</t>
  </si>
  <si>
    <t>https://doi.org/10.17190/AMF/2229392</t>
  </si>
  <si>
    <t>Vcs</t>
  </si>
  <si>
    <t>Valles Caldera Sulphur Springs Mixed Conifer</t>
  </si>
  <si>
    <t>https://doi.org/10.17190/AMF/1418681</t>
  </si>
  <si>
    <t>VFP</t>
  </si>
  <si>
    <t>Virginia Coast Reserve Fowling Point</t>
  </si>
  <si>
    <t>WBW</t>
  </si>
  <si>
    <t>Walker Branch Watershed</t>
  </si>
  <si>
    <t>1995, 1996, 1997, 1998, 1999, 2000, 2001, 2002, 2003, 2004, 2005, 2006, 2007</t>
  </si>
  <si>
    <t>https://doi.org/10.17190/AMF/1246109</t>
  </si>
  <si>
    <t>1998, 1999, 2000, 2001, 2002, 2003, 2004, 2005, 2006, 2007, 2008, 2009, 2010, 2011, 2012, 2013, 2014, 2015, 2016, 2017, 2018, 2019, 2020, 2021, 2022, 2023</t>
  </si>
  <si>
    <t>https://doi.org/10.17190/AMF/1246111</t>
  </si>
  <si>
    <t>CO2, FC, G, GPP, H, H2O, LE, LW_IN, LW_OUT, NEE, NETRAD, P, PA, PPFD_DIF, PPFD_IN, RECO, RH, SC, SH, SLE, SWC, SW_IN, SW_OUT, TA, T_BOLE, TS, USTAR, VPD, WD, WS</t>
  </si>
  <si>
    <t>Wdn</t>
  </si>
  <si>
    <t>Walden</t>
  </si>
  <si>
    <t>2006, 2007, 2008</t>
  </si>
  <si>
    <t>https://doi.org/10.17190/AMF/1246832</t>
  </si>
  <si>
    <t>WEP</t>
  </si>
  <si>
    <t>West Edge Parking Lot</t>
  </si>
  <si>
    <t>Wgr</t>
  </si>
  <si>
    <t>Willamette Grass</t>
  </si>
  <si>
    <t>https://doi.org/10.17190/AMF/1498746</t>
  </si>
  <si>
    <t>ALB, CO2, FC, GPP, H, H2O, LE, LW_IN, LW_OUT, NEE, NETRAD, PA, PPFD_DIF, PPFD_DIR, PPFD_IN, RECO, SW_IN, SW_OUT, TA, U_SIGMA, USTAR, V_SIGMA, WD, WS, W_SIGMA</t>
  </si>
  <si>
    <t>https://doi.org/10.17190/AMF/1246113</t>
  </si>
  <si>
    <t>https://doi.org/10.17190/AMF/1984574</t>
  </si>
  <si>
    <t>Wi0</t>
  </si>
  <si>
    <t>Young red pine (YRP)</t>
  </si>
  <si>
    <t>https://doi.org/10.17190/AMF/1246016</t>
  </si>
  <si>
    <t>https://doi.org/10.17190/AMF/2229393</t>
  </si>
  <si>
    <t>CO2, FC, G, H, H2O, LE, NEE, NETRAD, P, PA, PPFD_IN, RH, TA, TS, USTAR, VPD, WD, WS</t>
  </si>
  <si>
    <t>Wi1</t>
  </si>
  <si>
    <t>Intermediate hardwood (IHW)</t>
  </si>
  <si>
    <t>https://doi.org/10.17190/AMF/1246015</t>
  </si>
  <si>
    <t>https://doi.org/10.17190/AMF/2229394</t>
  </si>
  <si>
    <t>CO2, FC, G, H, H2O, LE, NEE, NETRAD, P, PA, PPFD_IN, RH, SC, TA, TS, USTAR, VPD, WD, WS</t>
  </si>
  <si>
    <t>Wi2</t>
  </si>
  <si>
    <t>Intermediate red pine (IRP)</t>
  </si>
  <si>
    <t>https://doi.org/10.17190/AMF/1246017</t>
  </si>
  <si>
    <t>Wi3</t>
  </si>
  <si>
    <t>Mature hardwood (MHW)</t>
  </si>
  <si>
    <t>https://doi.org/10.17190/AMF/1246018</t>
  </si>
  <si>
    <t>https://doi.org/10.17190/AMF/2229395</t>
  </si>
  <si>
    <t>Wi4</t>
  </si>
  <si>
    <t>Mature red pine (MRP)</t>
  </si>
  <si>
    <t>https://doi.org/10.17190/AMF/1246019</t>
  </si>
  <si>
    <t>https://doi.org/10.17190/AMF/2229396</t>
  </si>
  <si>
    <t>Wi5</t>
  </si>
  <si>
    <t>Mixed young jack pine (MYJP)</t>
  </si>
  <si>
    <t>https://doi.org/10.17190/AMF/1246020</t>
  </si>
  <si>
    <t>https://doi.org/10.17190/AMF/2229397</t>
  </si>
  <si>
    <t>Wi6</t>
  </si>
  <si>
    <t>Pine barrens #1 (PB1)</t>
  </si>
  <si>
    <t>https://doi.org/10.17190/AMF/1246021</t>
  </si>
  <si>
    <t>https://doi.org/10.17190/AMF/2229398</t>
  </si>
  <si>
    <t>Wi7</t>
  </si>
  <si>
    <t>Red pine clearcut (RPCC)</t>
  </si>
  <si>
    <t>https://doi.org/10.17190/AMF/1246022</t>
  </si>
  <si>
    <t>https://doi.org/10.17190/AMF/2229399</t>
  </si>
  <si>
    <t>Wi8</t>
  </si>
  <si>
    <t>Young hardwood clearcut (YHW)</t>
  </si>
  <si>
    <t>https://doi.org/10.17190/AMF/1246023</t>
  </si>
  <si>
    <t>https://doi.org/10.17190/AMF/2229400</t>
  </si>
  <si>
    <t>Wi9</t>
  </si>
  <si>
    <t>Young Jack pine (YJP)</t>
  </si>
  <si>
    <t>https://doi.org/10.17190/AMF/1246024</t>
  </si>
  <si>
    <t>https://doi.org/10.17190/AMF/2229401</t>
  </si>
  <si>
    <t>Willard Juniper Savannah</t>
  </si>
  <si>
    <t>https://doi.org/10.17190/AMF/1246120</t>
  </si>
  <si>
    <t>https://doi.org/10.17190/AMF/1871146</t>
  </si>
  <si>
    <t>Walnut Gulch Kendall Grasslands</t>
  </si>
  <si>
    <t>https://doi.org/10.17190/AMF/1246112</t>
  </si>
  <si>
    <t>https://doi.org/10.17190/AMF/1984575</t>
  </si>
  <si>
    <t>Wlr</t>
  </si>
  <si>
    <t>Walnut River Watershed (Smileyburg)</t>
  </si>
  <si>
    <t>2001, 2002, 2003, 2004</t>
  </si>
  <si>
    <t>https://doi.org/10.17190/AMF/1246115</t>
  </si>
  <si>
    <t>ALB, FC, G, H, LE, NETRAD, P, PA, PPFD_IN, RH, SWC, SW_IN, SW_OUT, TA, TAU, TS, USTAR, WD, WS, ZL</t>
  </si>
  <si>
    <t>Wpp</t>
  </si>
  <si>
    <t>Willamette Poplar</t>
  </si>
  <si>
    <t>https://doi.org/10.17190/AMF/1579719</t>
  </si>
  <si>
    <t>ALB, CO2, FC, GPP, H, H2O, LE, LW_IN, LW_OUT, NEE, NETRAD, P, PA, PPFD_DIF, PPFD_IN, RECO, RH, SW_IN, SW_OUT, TA, T_SONIC, T_SONIC_SIGMA, U_SIGMA, USTAR, V_SIGMA, WD, WS, W_SIGMA</t>
  </si>
  <si>
    <t>WPT</t>
  </si>
  <si>
    <t>Winous Point North Marsh</t>
  </si>
  <si>
    <t>https://doi.org/10.17190/AMF/1246155</t>
  </si>
  <si>
    <t>https://doi.org/10.17190/AMF/2229402</t>
  </si>
  <si>
    <t>CH4, CO2, FC, FCH4, H, H2O, LE, LW_IN, LW_OUT, MO_LENGTH, NEE, NETRAD, P, PA, PPFD_IN, RH, SW_IN, SW_OUT, TA, TS, T_SONIC, T_SONIC_SIGMA, TW, U_SIGMA, USTAR, V_SIGMA, WD, WS, W_SIGMA, WTD, ZL</t>
  </si>
  <si>
    <t>Wind River Crane Site</t>
  </si>
  <si>
    <t>1998, 1999, 2000, 2001, 2002, 2003, 2004, 2005, 2006, 2007, 2008, 2009, 2010, 2011, 2012, 2013, 2014, 2015</t>
  </si>
  <si>
    <t>https://doi.org/10.17190/AMF/1246114</t>
  </si>
  <si>
    <t>WT1</t>
  </si>
  <si>
    <t>Kress, TX no-till cotton and grain sorghum production</t>
  </si>
  <si>
    <t>Wwt</t>
  </si>
  <si>
    <t>Willamette Wheat</t>
  </si>
  <si>
    <t>https://doi.org/10.17190/AMF/1825941</t>
  </si>
  <si>
    <t>ALB, CO2, FC, GPP, H, H2O, LE, LW_IN, LW_OUT, NETRAD, PA, PPFD_IN, RH, SWC, SW_IN, SW_OUT, TA, T_SONIC, T_SONIC_SIGMA, U_SIGMA, USTAR, WD, WS, W_SIGMA</t>
  </si>
  <si>
    <t>xAB</t>
  </si>
  <si>
    <t>NEON Abby Road (ABBY)</t>
  </si>
  <si>
    <t>https://doi.org/10.17190/AMF/1617726</t>
  </si>
  <si>
    <t>https://doi.org/10.17190/AMF/2229403</t>
  </si>
  <si>
    <t>xAE</t>
  </si>
  <si>
    <t>NEON Klemme Range Research Station (OAES)</t>
  </si>
  <si>
    <t>https://doi.org/10.17190/AMF/1671891</t>
  </si>
  <si>
    <t>https://doi.org/10.17190/AMF/1985434</t>
  </si>
  <si>
    <t>xBA</t>
  </si>
  <si>
    <t>NEON Barrow Environmental Observatory (BARR)</t>
  </si>
  <si>
    <t>https://doi.org/10.17190/AMF/1671892</t>
  </si>
  <si>
    <t>https://doi.org/10.17190/AMF/2229404</t>
  </si>
  <si>
    <t>xBL</t>
  </si>
  <si>
    <t>NEON Blandy Experimental Farm (BLAN)</t>
  </si>
  <si>
    <t>https://doi.org/10.17190/AMF/1671893</t>
  </si>
  <si>
    <t>https://doi.org/10.17190/AMF/2229405</t>
  </si>
  <si>
    <t>xBN</t>
  </si>
  <si>
    <t>NEON Caribou Creek - Poker Flats Watershed (BONA)</t>
  </si>
  <si>
    <t>https://doi.org/10.17190/AMF/1617727</t>
  </si>
  <si>
    <t>https://doi.org/10.17190/AMF/2229406</t>
  </si>
  <si>
    <t>xBR</t>
  </si>
  <si>
    <t>NEON Bartlett Experimental Forest (BART)</t>
  </si>
  <si>
    <t>https://doi.org/10.17190/AMF/1579542</t>
  </si>
  <si>
    <t>https://doi.org/10.17190/AMF/1881598</t>
  </si>
  <si>
    <t>xCL</t>
  </si>
  <si>
    <t>NEON LBJ National Grassland (CLBJ)</t>
  </si>
  <si>
    <t>https://doi.org/10.17190/AMF/1671894</t>
  </si>
  <si>
    <t>https://doi.org/10.17190/AMF/1985435</t>
  </si>
  <si>
    <t>xCP</t>
  </si>
  <si>
    <t>NEON Central Plains Experimental Range (CPER)</t>
  </si>
  <si>
    <t>https://doi.org/10.17190/AMF/1579720</t>
  </si>
  <si>
    <t>https://doi.org/10.17190/AMF/1985436</t>
  </si>
  <si>
    <t>xDC</t>
  </si>
  <si>
    <t>NEON Dakota Coteau Field School (DCFS)</t>
  </si>
  <si>
    <t>https://doi.org/10.17190/AMF/1617728</t>
  </si>
  <si>
    <t>https://doi.org/10.17190/AMF/1985437</t>
  </si>
  <si>
    <t>xDJ</t>
  </si>
  <si>
    <t>NEON Delta Junction (DEJU)</t>
  </si>
  <si>
    <t>https://doi.org/10.17190/AMF/1634884</t>
  </si>
  <si>
    <t>https://doi.org/10.17190/AMF/2229407</t>
  </si>
  <si>
    <t>xDL</t>
  </si>
  <si>
    <t>NEON Dead Lake (DELA)</t>
  </si>
  <si>
    <t>https://doi.org/10.17190/AMF/1579721</t>
  </si>
  <si>
    <t>https://doi.org/10.17190/AMF/1985438</t>
  </si>
  <si>
    <t>xDS</t>
  </si>
  <si>
    <t>NEON Disney Wilderness Preserve (DSNY)</t>
  </si>
  <si>
    <t>https://doi.org/10.17190/AMF/1671895</t>
  </si>
  <si>
    <t>https://doi.org/10.17190/AMF/1985439</t>
  </si>
  <si>
    <t>xGR</t>
  </si>
  <si>
    <t>NEON Great Smoky Mountains National Park, Twin Creeks (GRSM)</t>
  </si>
  <si>
    <t>https://doi.org/10.17190/AMF/1634885</t>
  </si>
  <si>
    <t>https://doi.org/10.17190/AMF/1985440</t>
  </si>
  <si>
    <t>xHA</t>
  </si>
  <si>
    <t>NEON Harvard Forest (HARV)</t>
  </si>
  <si>
    <t>https://doi.org/10.17190/AMF/1562391</t>
  </si>
  <si>
    <t>https://doi.org/10.17190/AMF/1985441</t>
  </si>
  <si>
    <t>xHE</t>
  </si>
  <si>
    <t>NEON Healy (HEAL)</t>
  </si>
  <si>
    <t>https://doi.org/10.17190/AMF/1617729</t>
  </si>
  <si>
    <t>https://doi.org/10.17190/AMF/1985442</t>
  </si>
  <si>
    <t>xJE</t>
  </si>
  <si>
    <t>NEON Jones Ecological Research Center (JERC)</t>
  </si>
  <si>
    <t>https://doi.org/10.17190/AMF/1617730</t>
  </si>
  <si>
    <t>https://doi.org/10.17190/AMF/1985443</t>
  </si>
  <si>
    <t>xJR</t>
  </si>
  <si>
    <t>NEON Jornada LTER (JORN)</t>
  </si>
  <si>
    <t>https://doi.org/10.17190/AMF/1617731</t>
  </si>
  <si>
    <t>https://doi.org/10.17190/AMF/2229408</t>
  </si>
  <si>
    <t>xKA</t>
  </si>
  <si>
    <t>NEON Konza Prairie Biological Station - Relocatable (KONA)</t>
  </si>
  <si>
    <t>https://doi.org/10.17190/AMF/1579722</t>
  </si>
  <si>
    <t>https://doi.org/10.17190/AMF/1985444</t>
  </si>
  <si>
    <t>xKZ</t>
  </si>
  <si>
    <t>NEON Konza Prairie Biological Station (KONZ)</t>
  </si>
  <si>
    <t>https://doi.org/10.17190/AMF/1562392</t>
  </si>
  <si>
    <t>https://doi.org/10.17190/AMF/1985445</t>
  </si>
  <si>
    <t>xLE</t>
  </si>
  <si>
    <t>NEON Lenoir Landing (LENO)</t>
  </si>
  <si>
    <t>https://doi.org/10.17190/AMF/1773398</t>
  </si>
  <si>
    <t>xMB</t>
  </si>
  <si>
    <t>NEON Moab (MOAB)</t>
  </si>
  <si>
    <t>https://doi.org/10.17190/AMF/1671896</t>
  </si>
  <si>
    <t>https://doi.org/10.17190/AMF/1985446</t>
  </si>
  <si>
    <t>xML</t>
  </si>
  <si>
    <t>NEON Mountain Lake Biological Station (MLBS)</t>
  </si>
  <si>
    <t>https://doi.org/10.17190/AMF/1671897</t>
  </si>
  <si>
    <t>https://doi.org/10.17190/AMF/1985447</t>
  </si>
  <si>
    <t>xNG</t>
  </si>
  <si>
    <t>NEON Northern Great Plains Research Laboratory (NOGP)</t>
  </si>
  <si>
    <t>https://doi.org/10.17190/AMF/1617732</t>
  </si>
  <si>
    <t>https://doi.org/10.17190/AMF/1985448</t>
  </si>
  <si>
    <t>xNQ</t>
  </si>
  <si>
    <t>NEON Onaqui-Ault (ONAQ)</t>
  </si>
  <si>
    <t>https://doi.org/10.17190/AMF/1617733</t>
  </si>
  <si>
    <t>https://doi.org/10.17190/AMF/1985449</t>
  </si>
  <si>
    <t>xNW</t>
  </si>
  <si>
    <t>NEON Niwot Ridge Mountain Research Station (NIWO)</t>
  </si>
  <si>
    <t>https://doi.org/10.17190/AMF/1671898</t>
  </si>
  <si>
    <t>xPU</t>
  </si>
  <si>
    <t>NEON Pu'u Maka'ala Natural Area Reserve (PUUM)</t>
  </si>
  <si>
    <t>https://doi.org/10.17190/AMF/1773399</t>
  </si>
  <si>
    <t>CH4, CH4_MIXING_RATIO, CO2, CO2_MIXING_RATIO, FC, FETCH_90, FETCH_MAX, G, H, H2O, H2O_MIXING_RATIO, LE, LW_BC_IN, LW_BC_OUT, LW_IN, LW_OUT, NEE, NETRAD, P, PA, PPFD_BC_IN, PPFD_IN, PPFD_OUT, RH, SC, SH, SLE, SW_DIF, SW_IN, SW_OUT, TA, T_CANOPY, THROUGHFALL, T_SONIC, T_SONIC_SIGMA, USTAR, VPD, V_SIGMA, WD, WS, WS_MAX</t>
  </si>
  <si>
    <t>xRM</t>
  </si>
  <si>
    <t>NEON Rocky Mountain National Park, CASTNET (RMNP)</t>
  </si>
  <si>
    <t>https://doi.org/10.17190/AMF/1579723</t>
  </si>
  <si>
    <t>https://doi.org/10.17190/AMF/1985450</t>
  </si>
  <si>
    <t>xRN</t>
  </si>
  <si>
    <t>NEON Oak Ridge National Lab (ORNL)</t>
  </si>
  <si>
    <t>https://doi.org/10.17190/AMF/1773400</t>
  </si>
  <si>
    <t>xSB</t>
  </si>
  <si>
    <t>NEON Ordway-Swisher Biological Station (OSBS)</t>
  </si>
  <si>
    <t>https://doi.org/10.17190/AMF/1671899</t>
  </si>
  <si>
    <t>https://doi.org/10.17190/AMF/1985451</t>
  </si>
  <si>
    <t>xSC</t>
  </si>
  <si>
    <t>NEON Smithsonian Conservation Biology Institute (SCBI)</t>
  </si>
  <si>
    <t>https://doi.org/10.17190/AMF/1671900</t>
  </si>
  <si>
    <t>https://doi.org/10.17190/AMF/2229409</t>
  </si>
  <si>
    <t>xSE</t>
  </si>
  <si>
    <t>NEON Smithsonian Environmental Research Center (SERC)</t>
  </si>
  <si>
    <t>https://doi.org/10.17190/AMF/1617734</t>
  </si>
  <si>
    <t>https://doi.org/10.17190/AMF/1985452</t>
  </si>
  <si>
    <t>xSJ</t>
  </si>
  <si>
    <t>NEON San Joaquin Experimental Range (SJER)</t>
  </si>
  <si>
    <t>https://doi.org/10.17190/AMF/1671901</t>
  </si>
  <si>
    <t>https://doi.org/10.17190/AMF/2229410</t>
  </si>
  <si>
    <t>xSL</t>
  </si>
  <si>
    <t>NEON North Sterling, CO (STER)</t>
  </si>
  <si>
    <t>https://doi.org/10.17190/AMF/1617735</t>
  </si>
  <si>
    <t>https://doi.org/10.17190/AMF/2229411</t>
  </si>
  <si>
    <t>xSP</t>
  </si>
  <si>
    <t>NEON Soaproot Saddle (SOAP)</t>
  </si>
  <si>
    <t>https://doi.org/10.17190/AMF/1617736</t>
  </si>
  <si>
    <t>xSR</t>
  </si>
  <si>
    <t>NEON Santa Rita Experimental Range (SRER)</t>
  </si>
  <si>
    <t>https://doi.org/10.17190/AMF/1579543</t>
  </si>
  <si>
    <t>https://doi.org/10.17190/AMF/1985453</t>
  </si>
  <si>
    <t>xST</t>
  </si>
  <si>
    <t>NEON Steigerwaldt Land Services (STEI)</t>
  </si>
  <si>
    <t>https://doi.org/10.17190/AMF/1617737</t>
  </si>
  <si>
    <t>https://doi.org/10.17190/AMF/1985454</t>
  </si>
  <si>
    <t>xTA</t>
  </si>
  <si>
    <t>NEON Talladega National Forest (TALL)</t>
  </si>
  <si>
    <t>https://doi.org/10.17190/AMF/1671902</t>
  </si>
  <si>
    <t>https://doi.org/10.17190/AMF/1985455</t>
  </si>
  <si>
    <t>xTE</t>
  </si>
  <si>
    <t>NEON Lower Teakettle (TEAK)</t>
  </si>
  <si>
    <t>https://doi.org/10.17190/AMF/1617738</t>
  </si>
  <si>
    <t>xTL</t>
  </si>
  <si>
    <t>NEON Toolik (TOOL)</t>
  </si>
  <si>
    <t>https://doi.org/10.17190/AMF/1617739</t>
  </si>
  <si>
    <t>xTR</t>
  </si>
  <si>
    <t>NEON Treehaven (TREE)</t>
  </si>
  <si>
    <t>https://doi.org/10.17190/AMF/1634886</t>
  </si>
  <si>
    <t>https://doi.org/10.17190/AMF/1985456</t>
  </si>
  <si>
    <t>xUK</t>
  </si>
  <si>
    <t>NEON The University of Kansas Field Station (UKFS)</t>
  </si>
  <si>
    <t>https://doi.org/10.17190/AMF/1617740</t>
  </si>
  <si>
    <t>https://doi.org/10.17190/AMF/1985457</t>
  </si>
  <si>
    <t>xUN</t>
  </si>
  <si>
    <t>NEON University of Notre Dame Environmental Research Center (UNDE)</t>
  </si>
  <si>
    <t>https://doi.org/10.17190/AMF/1617741</t>
  </si>
  <si>
    <t>https://doi.org/10.17190/AMF/1985458</t>
  </si>
  <si>
    <t>xWD</t>
  </si>
  <si>
    <t>NEON Woodworth (WOOD)</t>
  </si>
  <si>
    <t>https://doi.org/10.17190/AMF/1579724</t>
  </si>
  <si>
    <t>https://doi.org/10.17190/AMF/2229412</t>
  </si>
  <si>
    <t>xWR</t>
  </si>
  <si>
    <t>NEON Wind River Experimental Forest (WREF)</t>
  </si>
  <si>
    <t>https://doi.org/10.17190/AMF/1617742</t>
  </si>
  <si>
    <t>xYE</t>
  </si>
  <si>
    <t>NEON Yellowstone Northern Range (Frog Rock) (YELL)</t>
  </si>
  <si>
    <t>https://doi.org/10.17190/AMF/1617743</t>
  </si>
  <si>
    <t>https://doi.org/10.17190/AMF/1985459</t>
  </si>
  <si>
    <t>YK1</t>
  </si>
  <si>
    <t>Yukon-Kuskokwim Delta, Izaviknek-Kingaglia uplands, Burned 2015</t>
  </si>
  <si>
    <t>https://doi.org/10.17190/AMF/2331384</t>
  </si>
  <si>
    <t>ALB, CH4, CH4_MIXING_RATIO, CO2, CO2_MIXING_RATIO, FC, FCH4, FCH4_SSITC_TEST, FC_SSITC_TEST, FH2O, G, GPP, H, H2O, H_SSITC_TEST, LE, LE_SSITC_TEST, LW_IN, LW_OUT, MO_LENGTH, NETRAD, P, PA, PPFD_IN, RECO, RH, SWC, SW_IN, SW_OUT, TA, TAU, TAU_SSITC_TEST, TS, T_SONIC, U_SIGMA, USTAR, VPD, V_SIGMA, WD, WS, W_SIGMA, WS_MAX, ZL</t>
  </si>
  <si>
    <t>YK2</t>
  </si>
  <si>
    <t>Yukon-Kuskokwim Delta, Izaviknek-Kingaglia uplands, Unburned</t>
  </si>
  <si>
    <t>https://doi.org/10.17190/AMF/2331385</t>
  </si>
  <si>
    <t>Ylw</t>
  </si>
  <si>
    <t>Yellow Cab urban</t>
  </si>
  <si>
    <t>YNS</t>
  </si>
  <si>
    <t>North Star Yedoma</t>
  </si>
  <si>
    <t>Country or Area</t>
  </si>
  <si>
    <t>ISO-alpha2 Code</t>
  </si>
  <si>
    <t>Algeria</t>
  </si>
  <si>
    <t>DZ</t>
  </si>
  <si>
    <t>Egypt</t>
  </si>
  <si>
    <t>EG</t>
  </si>
  <si>
    <t>Libya</t>
  </si>
  <si>
    <t>LY</t>
  </si>
  <si>
    <t>Morocco</t>
  </si>
  <si>
    <t>MA</t>
  </si>
  <si>
    <t>Sudan</t>
  </si>
  <si>
    <t>Tunisia</t>
  </si>
  <si>
    <t>TN</t>
  </si>
  <si>
    <t>Western Sahara</t>
  </si>
  <si>
    <t>EH</t>
  </si>
  <si>
    <t>British Indian Ocean Territory</t>
  </si>
  <si>
    <t>IO</t>
  </si>
  <si>
    <t>Burundi</t>
  </si>
  <si>
    <t>BI</t>
  </si>
  <si>
    <t>Comoros</t>
  </si>
  <si>
    <t>KM</t>
  </si>
  <si>
    <t>Djibouti</t>
  </si>
  <si>
    <t>DJ</t>
  </si>
  <si>
    <t>Eritrea</t>
  </si>
  <si>
    <t>ER</t>
  </si>
  <si>
    <t>Ethiopia</t>
  </si>
  <si>
    <t>French Southern Territories</t>
  </si>
  <si>
    <t>TF</t>
  </si>
  <si>
    <t>Kenya</t>
  </si>
  <si>
    <t>KE</t>
  </si>
  <si>
    <t>Madagascar</t>
  </si>
  <si>
    <t>MG</t>
  </si>
  <si>
    <t>Malawi</t>
  </si>
  <si>
    <t>MW</t>
  </si>
  <si>
    <t>Mauritius</t>
  </si>
  <si>
    <t>MU</t>
  </si>
  <si>
    <t>Mayotte</t>
  </si>
  <si>
    <t>YT</t>
  </si>
  <si>
    <t>Mozambique</t>
  </si>
  <si>
    <t>MZ</t>
  </si>
  <si>
    <t>Réunion</t>
  </si>
  <si>
    <t>RE</t>
  </si>
  <si>
    <t>Rwanda</t>
  </si>
  <si>
    <t>RW</t>
  </si>
  <si>
    <t>Seychelles</t>
  </si>
  <si>
    <t>SC</t>
  </si>
  <si>
    <t>Somalia</t>
  </si>
  <si>
    <t>SO</t>
  </si>
  <si>
    <t>South Sudan</t>
  </si>
  <si>
    <t>SS</t>
  </si>
  <si>
    <t>Uganda</t>
  </si>
  <si>
    <t>UG</t>
  </si>
  <si>
    <t>United Republic of Tanzania</t>
  </si>
  <si>
    <t>TZ</t>
  </si>
  <si>
    <t>Zambia</t>
  </si>
  <si>
    <t>Zimbabwe</t>
  </si>
  <si>
    <t>ZW</t>
  </si>
  <si>
    <t>Angola</t>
  </si>
  <si>
    <t>AO</t>
  </si>
  <si>
    <t>Cameroon</t>
  </si>
  <si>
    <t>CM</t>
  </si>
  <si>
    <t>Central African Republic</t>
  </si>
  <si>
    <t>CF</t>
  </si>
  <si>
    <t>Chad</t>
  </si>
  <si>
    <t>TD</t>
  </si>
  <si>
    <t>Congo</t>
  </si>
  <si>
    <t>Democratic Republic of the Congo</t>
  </si>
  <si>
    <t>CD</t>
  </si>
  <si>
    <t>Equatorial Guinea</t>
  </si>
  <si>
    <t>GQ</t>
  </si>
  <si>
    <t>Gabon</t>
  </si>
  <si>
    <t>GA</t>
  </si>
  <si>
    <t>Sao Tome and Principe</t>
  </si>
  <si>
    <t>ST</t>
  </si>
  <si>
    <t>Botswana</t>
  </si>
  <si>
    <t>Eswatini</t>
  </si>
  <si>
    <t>SZ</t>
  </si>
  <si>
    <t>Lesotho</t>
  </si>
  <si>
    <t>LS</t>
  </si>
  <si>
    <t>Namibia</t>
  </si>
  <si>
    <t>NA</t>
  </si>
  <si>
    <t>South Africa</t>
  </si>
  <si>
    <t>Benin</t>
  </si>
  <si>
    <t>BJ</t>
  </si>
  <si>
    <t>Burkina Faso</t>
  </si>
  <si>
    <t>BF</t>
  </si>
  <si>
    <t>Cabo Verde</t>
  </si>
  <si>
    <t>CV</t>
  </si>
  <si>
    <t>Côte d’Ivoire</t>
  </si>
  <si>
    <t>CI</t>
  </si>
  <si>
    <t>Gambia</t>
  </si>
  <si>
    <t>GM</t>
  </si>
  <si>
    <t>Ghana</t>
  </si>
  <si>
    <t>GH</t>
  </si>
  <si>
    <t>Guinea</t>
  </si>
  <si>
    <t>GN</t>
  </si>
  <si>
    <t>Guinea-Bissau</t>
  </si>
  <si>
    <t>GW</t>
  </si>
  <si>
    <t>Liberia</t>
  </si>
  <si>
    <t>LR</t>
  </si>
  <si>
    <t>Mali</t>
  </si>
  <si>
    <t>Mauritania</t>
  </si>
  <si>
    <t>MR</t>
  </si>
  <si>
    <t>Niger</t>
  </si>
  <si>
    <t>Nigeria</t>
  </si>
  <si>
    <t>NG</t>
  </si>
  <si>
    <t>Saint Helena</t>
  </si>
  <si>
    <t>SH</t>
  </si>
  <si>
    <t>Senegal</t>
  </si>
  <si>
    <t>SN</t>
  </si>
  <si>
    <t>Sierra Leone</t>
  </si>
  <si>
    <t>SL</t>
  </si>
  <si>
    <t>Togo</t>
  </si>
  <si>
    <t>TG</t>
  </si>
  <si>
    <t>Anguilla</t>
  </si>
  <si>
    <t>AI</t>
  </si>
  <si>
    <t>Antigua and Barbuda</t>
  </si>
  <si>
    <t>AG</t>
  </si>
  <si>
    <t>Aruba</t>
  </si>
  <si>
    <t>AW</t>
  </si>
  <si>
    <t>Bahamas</t>
  </si>
  <si>
    <t>Barbados</t>
  </si>
  <si>
    <t>BB</t>
  </si>
  <si>
    <t>Bonaire, Sint Eustatius and Saba</t>
  </si>
  <si>
    <t>BQ</t>
  </si>
  <si>
    <t>British Virgin Islands</t>
  </si>
  <si>
    <t>VG</t>
  </si>
  <si>
    <t>Cayman Islands</t>
  </si>
  <si>
    <t>KY</t>
  </si>
  <si>
    <t>Cuba</t>
  </si>
  <si>
    <t>CU</t>
  </si>
  <si>
    <t>Curaçao</t>
  </si>
  <si>
    <t>CW</t>
  </si>
  <si>
    <t>Dominica</t>
  </si>
  <si>
    <t>DM</t>
  </si>
  <si>
    <t>Dominican Republic</t>
  </si>
  <si>
    <t>DO</t>
  </si>
  <si>
    <t>Grenada</t>
  </si>
  <si>
    <t>GD</t>
  </si>
  <si>
    <t>Guadeloupe</t>
  </si>
  <si>
    <t>GP</t>
  </si>
  <si>
    <t>Haiti</t>
  </si>
  <si>
    <t>HT</t>
  </si>
  <si>
    <t>Jamaica</t>
  </si>
  <si>
    <t>JM</t>
  </si>
  <si>
    <t>Martinique</t>
  </si>
  <si>
    <t>MQ</t>
  </si>
  <si>
    <t>Montserrat</t>
  </si>
  <si>
    <t>MS</t>
  </si>
  <si>
    <t>Saint Barthélemy</t>
  </si>
  <si>
    <t>BL</t>
  </si>
  <si>
    <t>Saint Kitts and Nevis</t>
  </si>
  <si>
    <t>KN</t>
  </si>
  <si>
    <t>Saint Lucia</t>
  </si>
  <si>
    <t>LC</t>
  </si>
  <si>
    <t>Saint Martin (French Part)</t>
  </si>
  <si>
    <t>Saint Vincent and the Grenadines</t>
  </si>
  <si>
    <t>VC</t>
  </si>
  <si>
    <t>Sint Maarten (Dutch part)</t>
  </si>
  <si>
    <t>SX</t>
  </si>
  <si>
    <t>Trinidad and Tobago</t>
  </si>
  <si>
    <t>TT</t>
  </si>
  <si>
    <t>Turks and Caicos Islands</t>
  </si>
  <si>
    <t>TC</t>
  </si>
  <si>
    <t>United States Virgin Islands</t>
  </si>
  <si>
    <t>VI</t>
  </si>
  <si>
    <t>Belize</t>
  </si>
  <si>
    <t>BZ</t>
  </si>
  <si>
    <t>El Salvador</t>
  </si>
  <si>
    <t>SV</t>
  </si>
  <si>
    <t>Guatemala</t>
  </si>
  <si>
    <t>GT</t>
  </si>
  <si>
    <t>Honduras</t>
  </si>
  <si>
    <t>HN</t>
  </si>
  <si>
    <t>Nicaragua</t>
  </si>
  <si>
    <t>Bolivia (Plurinational State of)</t>
  </si>
  <si>
    <t>BO</t>
  </si>
  <si>
    <t>Bouvet Island</t>
  </si>
  <si>
    <t>BV</t>
  </si>
  <si>
    <t>Ecuador</t>
  </si>
  <si>
    <t>EC</t>
  </si>
  <si>
    <t>Falkland Islands (Malvinas)</t>
  </si>
  <si>
    <t>FK</t>
  </si>
  <si>
    <t>French Guiana</t>
  </si>
  <si>
    <t>GF</t>
  </si>
  <si>
    <t>Guyana</t>
  </si>
  <si>
    <t>GY</t>
  </si>
  <si>
    <t>Paraguay</t>
  </si>
  <si>
    <t>PY</t>
  </si>
  <si>
    <t>South Georgia and the South Sandwich Islands</t>
  </si>
  <si>
    <t>GS</t>
  </si>
  <si>
    <t>Suriname</t>
  </si>
  <si>
    <t>SR</t>
  </si>
  <si>
    <t>Uruguay</t>
  </si>
  <si>
    <t>UY</t>
  </si>
  <si>
    <t>Venezuela (Bolivarian Republic of)</t>
  </si>
  <si>
    <t>Bermuda</t>
  </si>
  <si>
    <t>BM</t>
  </si>
  <si>
    <t>Greenland</t>
  </si>
  <si>
    <t>GL</t>
  </si>
  <si>
    <t>Saint Pierre and Miquelon</t>
  </si>
  <si>
    <t>United States of America</t>
  </si>
  <si>
    <t>Antarctica</t>
  </si>
  <si>
    <t>AQ</t>
  </si>
  <si>
    <t>Kazakhstan</t>
  </si>
  <si>
    <t>KZ</t>
  </si>
  <si>
    <t>Kyrgyzstan</t>
  </si>
  <si>
    <t>KG</t>
  </si>
  <si>
    <t>Tajikistan</t>
  </si>
  <si>
    <t>TJ</t>
  </si>
  <si>
    <t>Turkmenistan</t>
  </si>
  <si>
    <t>TM</t>
  </si>
  <si>
    <t>Uzbekistan</t>
  </si>
  <si>
    <t>UZ</t>
  </si>
  <si>
    <t>China, Hong Kong Special Administrative Region</t>
  </si>
  <si>
    <t>HK</t>
  </si>
  <si>
    <t>China, Macao Special Administrative Region</t>
  </si>
  <si>
    <t>Democratic People's Republic of Korea</t>
  </si>
  <si>
    <t>KP</t>
  </si>
  <si>
    <t>Mongolia</t>
  </si>
  <si>
    <t>Republic of Korea</t>
  </si>
  <si>
    <t>Brunei Darussalam</t>
  </si>
  <si>
    <t>BN</t>
  </si>
  <si>
    <t>Cambodia</t>
  </si>
  <si>
    <t>KH</t>
  </si>
  <si>
    <t>Indonesia</t>
  </si>
  <si>
    <t>ID</t>
  </si>
  <si>
    <t>Lao People's Democratic Republic</t>
  </si>
  <si>
    <t>LA</t>
  </si>
  <si>
    <t>Malaysia</t>
  </si>
  <si>
    <t>Myanmar</t>
  </si>
  <si>
    <t>MM</t>
  </si>
  <si>
    <t>Philippines</t>
  </si>
  <si>
    <t>PH</t>
  </si>
  <si>
    <t>Singapore</t>
  </si>
  <si>
    <t>SG</t>
  </si>
  <si>
    <t>Thailand</t>
  </si>
  <si>
    <t>Timor-Leste</t>
  </si>
  <si>
    <t>TL</t>
  </si>
  <si>
    <t>Viet Nam</t>
  </si>
  <si>
    <t>VN</t>
  </si>
  <si>
    <t>Afghanistan</t>
  </si>
  <si>
    <t>AF</t>
  </si>
  <si>
    <t>Bangladesh</t>
  </si>
  <si>
    <t>BD</t>
  </si>
  <si>
    <t>Bhutan</t>
  </si>
  <si>
    <t>BT</t>
  </si>
  <si>
    <t>India</t>
  </si>
  <si>
    <t>IN</t>
  </si>
  <si>
    <t>Iran (Islamic Republic of)</t>
  </si>
  <si>
    <t>IR</t>
  </si>
  <si>
    <t>Maldives</t>
  </si>
  <si>
    <t>MV</t>
  </si>
  <si>
    <t>Nepal</t>
  </si>
  <si>
    <t>NP</t>
  </si>
  <si>
    <t>Pakistan</t>
  </si>
  <si>
    <t>PK</t>
  </si>
  <si>
    <t>Sri Lanka</t>
  </si>
  <si>
    <t>LK</t>
  </si>
  <si>
    <t>Armenia</t>
  </si>
  <si>
    <t>AM</t>
  </si>
  <si>
    <t>Azerbaijan</t>
  </si>
  <si>
    <t>AZ</t>
  </si>
  <si>
    <t>Bahrain</t>
  </si>
  <si>
    <t>BH</t>
  </si>
  <si>
    <t>Cyprus</t>
  </si>
  <si>
    <t>CY</t>
  </si>
  <si>
    <t>Georgia</t>
  </si>
  <si>
    <t>GE</t>
  </si>
  <si>
    <t>Iraq</t>
  </si>
  <si>
    <t>IQ</t>
  </si>
  <si>
    <t>Israel</t>
  </si>
  <si>
    <t>IL</t>
  </si>
  <si>
    <t>Jordan</t>
  </si>
  <si>
    <t>JO</t>
  </si>
  <si>
    <t>Kuwait</t>
  </si>
  <si>
    <t>KW</t>
  </si>
  <si>
    <t>Lebanon</t>
  </si>
  <si>
    <t>LB</t>
  </si>
  <si>
    <t>Oman</t>
  </si>
  <si>
    <t>OM</t>
  </si>
  <si>
    <t>Qatar</t>
  </si>
  <si>
    <t>QA</t>
  </si>
  <si>
    <t>Saudi Arabia</t>
  </si>
  <si>
    <t>State of Palestine</t>
  </si>
  <si>
    <t>PS</t>
  </si>
  <si>
    <t>Syrian Arab Republic</t>
  </si>
  <si>
    <t>SY</t>
  </si>
  <si>
    <t>Turkey</t>
  </si>
  <si>
    <t>TR</t>
  </si>
  <si>
    <t>United Arab Emirates</t>
  </si>
  <si>
    <t>AE</t>
  </si>
  <si>
    <t>Yemen</t>
  </si>
  <si>
    <t>YE</t>
  </si>
  <si>
    <t>Belarus</t>
  </si>
  <si>
    <t>BY</t>
  </si>
  <si>
    <t>Bulgaria</t>
  </si>
  <si>
    <t>BG</t>
  </si>
  <si>
    <t>Czechia</t>
  </si>
  <si>
    <t>Hungary</t>
  </si>
  <si>
    <t>HU</t>
  </si>
  <si>
    <t>Poland</t>
  </si>
  <si>
    <t>PL</t>
  </si>
  <si>
    <t>Republic of Moldova</t>
  </si>
  <si>
    <t>MD</t>
  </si>
  <si>
    <t>Romania</t>
  </si>
  <si>
    <t>RO</t>
  </si>
  <si>
    <t>Russian Federation</t>
  </si>
  <si>
    <t>Slovakia</t>
  </si>
  <si>
    <t>SK</t>
  </si>
  <si>
    <t>Ukraine</t>
  </si>
  <si>
    <t>UA</t>
  </si>
  <si>
    <t>Åland Islands</t>
  </si>
  <si>
    <t>AX</t>
  </si>
  <si>
    <t>Guernsey</t>
  </si>
  <si>
    <t>GG</t>
  </si>
  <si>
    <t>Jersey</t>
  </si>
  <si>
    <t>JE</t>
  </si>
  <si>
    <t>Sark</t>
  </si>
  <si>
    <t>Denmark</t>
  </si>
  <si>
    <t>DK</t>
  </si>
  <si>
    <t>Estonia</t>
  </si>
  <si>
    <t>EE</t>
  </si>
  <si>
    <t>Faroe Islands</t>
  </si>
  <si>
    <t>FO</t>
  </si>
  <si>
    <t>Finland</t>
  </si>
  <si>
    <t>Iceland</t>
  </si>
  <si>
    <t>IS</t>
  </si>
  <si>
    <t>Ireland</t>
  </si>
  <si>
    <t>IE</t>
  </si>
  <si>
    <t>Isle of Man</t>
  </si>
  <si>
    <t>IM</t>
  </si>
  <si>
    <t>Latvia</t>
  </si>
  <si>
    <t>LV</t>
  </si>
  <si>
    <t>Lithuania</t>
  </si>
  <si>
    <t>LT</t>
  </si>
  <si>
    <t>Norway</t>
  </si>
  <si>
    <t>NO</t>
  </si>
  <si>
    <t>Svalbard and Jan Mayen Islands</t>
  </si>
  <si>
    <t>SJ</t>
  </si>
  <si>
    <t>Sweden</t>
  </si>
  <si>
    <t>SE</t>
  </si>
  <si>
    <t>United Kingdom of Great Britain and Northern Ireland</t>
  </si>
  <si>
    <t>GB</t>
  </si>
  <si>
    <t>Albania</t>
  </si>
  <si>
    <t>AL</t>
  </si>
  <si>
    <t>Andorra</t>
  </si>
  <si>
    <t>AD</t>
  </si>
  <si>
    <t>Bosnia and Herzegovina</t>
  </si>
  <si>
    <t>BA</t>
  </si>
  <si>
    <t>Croatia</t>
  </si>
  <si>
    <t>HR</t>
  </si>
  <si>
    <t>Gibraltar</t>
  </si>
  <si>
    <t>GI</t>
  </si>
  <si>
    <t>Greece</t>
  </si>
  <si>
    <t>GR</t>
  </si>
  <si>
    <t>Holy See</t>
  </si>
  <si>
    <t>VA</t>
  </si>
  <si>
    <t>Italy</t>
  </si>
  <si>
    <t>Malta</t>
  </si>
  <si>
    <t>MT</t>
  </si>
  <si>
    <t>Montenegro</t>
  </si>
  <si>
    <t>ME</t>
  </si>
  <si>
    <t>North Macedonia</t>
  </si>
  <si>
    <t>MK</t>
  </si>
  <si>
    <t>Portugal</t>
  </si>
  <si>
    <t>San Marino</t>
  </si>
  <si>
    <t>SM</t>
  </si>
  <si>
    <t>Serbia</t>
  </si>
  <si>
    <t>RS</t>
  </si>
  <si>
    <t>Slovenia</t>
  </si>
  <si>
    <t>SI</t>
  </si>
  <si>
    <t>Spain</t>
  </si>
  <si>
    <t>Austria</t>
  </si>
  <si>
    <t>AT</t>
  </si>
  <si>
    <t>Belgium</t>
  </si>
  <si>
    <t>France</t>
  </si>
  <si>
    <t>Germany</t>
  </si>
  <si>
    <t>Liechtenstein</t>
  </si>
  <si>
    <t>LI</t>
  </si>
  <si>
    <t>Luxembourg</t>
  </si>
  <si>
    <t>LU</t>
  </si>
  <si>
    <t>Monaco</t>
  </si>
  <si>
    <t>MC</t>
  </si>
  <si>
    <t>Netherlands</t>
  </si>
  <si>
    <t>Switzerland</t>
  </si>
  <si>
    <t>Christmas Island</t>
  </si>
  <si>
    <t>CX</t>
  </si>
  <si>
    <t>Cocos (Keeling) Islands</t>
  </si>
  <si>
    <t>CC</t>
  </si>
  <si>
    <t>Heard Island and McDonald Islands</t>
  </si>
  <si>
    <t>HM</t>
  </si>
  <si>
    <t>New Zealand</t>
  </si>
  <si>
    <t>NZ</t>
  </si>
  <si>
    <t>Norfolk Island</t>
  </si>
  <si>
    <t>NF</t>
  </si>
  <si>
    <t>Fiji</t>
  </si>
  <si>
    <t>FJ</t>
  </si>
  <si>
    <t>New Caledonia</t>
  </si>
  <si>
    <t>NC</t>
  </si>
  <si>
    <t>Papua New Guinea</t>
  </si>
  <si>
    <t>PG</t>
  </si>
  <si>
    <t>Solomon Islands</t>
  </si>
  <si>
    <t>SB</t>
  </si>
  <si>
    <t>Vanuatu</t>
  </si>
  <si>
    <t>VU</t>
  </si>
  <si>
    <t>Guam</t>
  </si>
  <si>
    <t>GU</t>
  </si>
  <si>
    <t>Kiribati</t>
  </si>
  <si>
    <t>KI</t>
  </si>
  <si>
    <t>Marshall Islands</t>
  </si>
  <si>
    <t>MH</t>
  </si>
  <si>
    <t>Micronesia (Federated States of)</t>
  </si>
  <si>
    <t>Nauru</t>
  </si>
  <si>
    <t>NR</t>
  </si>
  <si>
    <t>Northern Mariana Islands</t>
  </si>
  <si>
    <t>Palau</t>
  </si>
  <si>
    <t>PW</t>
  </si>
  <si>
    <t>United States Minor Outlying Islands</t>
  </si>
  <si>
    <t>UM</t>
  </si>
  <si>
    <t>American Samoa</t>
  </si>
  <si>
    <t>AS</t>
  </si>
  <si>
    <t>Cook Islands</t>
  </si>
  <si>
    <t>CK</t>
  </si>
  <si>
    <t>French Polynesia</t>
  </si>
  <si>
    <t>PF</t>
  </si>
  <si>
    <t>Niue</t>
  </si>
  <si>
    <t>NU</t>
  </si>
  <si>
    <t>Pitcairn</t>
  </si>
  <si>
    <t>PN</t>
  </si>
  <si>
    <t>Samoa</t>
  </si>
  <si>
    <t>WS</t>
  </si>
  <si>
    <t>Tokelau</t>
  </si>
  <si>
    <t>TK</t>
  </si>
  <si>
    <t>Tonga</t>
  </si>
  <si>
    <t>TO</t>
  </si>
  <si>
    <t>Tuvalu</t>
  </si>
  <si>
    <t>TV</t>
  </si>
  <si>
    <t>Wallis and Futuna Islands</t>
  </si>
  <si>
    <t>WF</t>
  </si>
  <si>
    <t>15 pixels from the flux tower into the main wind direction (Fig. 1a). This area was delimited by the flux footprint prediction (FFP) of the turbulent fluxes using the model proposed by Kljun et al. (2015).</t>
  </si>
  <si>
    <t>ParaÃ­so do Sul</t>
  </si>
  <si>
    <t>Jemez Mountains - Conifer</t>
  </si>
  <si>
    <t>Daman irrigated area oasisâ€“desert region/HRB CHINA</t>
  </si>
  <si>
    <t>Xishuangbanna</t>
  </si>
  <si>
    <t>Guantoa country</t>
  </si>
  <si>
    <t>Guantoa</t>
  </si>
  <si>
    <t>Yucheng station</t>
  </si>
  <si>
    <t>mass and energy balance (locally calibrated)</t>
  </si>
  <si>
    <t>LamasquÃ¨re</t>
  </si>
  <si>
    <t>AuradÃ©</t>
  </si>
  <si>
    <t>EDVI-based LE Algorithm</t>
  </si>
  <si>
    <t>0.15Âº</t>
  </si>
  <si>
    <t>0.15Âº _x0002_ 0.15Âº</t>
  </si>
  <si>
    <t>Charlestonâ€“Mesquite</t>
  </si>
  <si>
    <t>RothenburgstraÃŸe</t>
  </si>
  <si>
    <t>Irrigation District 041 RÃ­o Yaqui</t>
  </si>
  <si>
    <t>Missouri Ozark</t>
  </si>
  <si>
    <t>CLM, Moninâ€“Obukhov similarity theory</t>
  </si>
  <si>
    <t>Howland Forest</t>
  </si>
  <si>
    <t>Takayama</t>
  </si>
  <si>
    <t>yucheng</t>
  </si>
  <si>
    <t>Shuttleworth-Wallace Dual-Source Model, with a variant form of Penman-Monteith equation (locally calibrated)</t>
  </si>
  <si>
    <t>Curtice Walter Berger</t>
  </si>
  <si>
    <t>IRRI</t>
  </si>
  <si>
    <t>0.25Â°</t>
  </si>
  <si>
    <t>Yuchen</t>
  </si>
  <si>
    <t>Gwangreung</t>
  </si>
  <si>
    <t>Venturini et al.â€™s model (Venturini et al., 2008),</t>
  </si>
</sst>
</file>

<file path=xl/styles.xml><?xml version="1.0" encoding="utf-8"?>
<styleSheet xmlns="http://schemas.openxmlformats.org/spreadsheetml/2006/main" xmlns:x14ac="http://schemas.microsoft.com/office/spreadsheetml/2009/9/ac" xmlns:mc="http://schemas.openxmlformats.org/markup-compatibility/2006">
  <numFmts count="4">
    <numFmt numFmtId="164" formatCode="0.0"/>
    <numFmt numFmtId="165" formatCode="0.00000"/>
    <numFmt numFmtId="166" formatCode="m, d"/>
    <numFmt numFmtId="167" formatCode="m-d"/>
  </numFmts>
  <fonts count="24">
    <font>
      <sz val="11.0"/>
      <color theme="1"/>
      <name val="Calibri"/>
      <scheme val="minor"/>
    </font>
    <font>
      <sz val="11.0"/>
      <color theme="1"/>
      <name val="Calibri"/>
    </font>
    <font/>
    <font>
      <b/>
      <sz val="11.0"/>
      <color theme="1"/>
      <name val="Calibri"/>
    </font>
    <font>
      <color theme="1"/>
      <name val="Calibri"/>
    </font>
    <font>
      <b/>
      <sz val="11.0"/>
      <color rgb="FF000000"/>
      <name val="Calibri"/>
    </font>
    <font>
      <sz val="11.0"/>
      <color rgb="FF000000"/>
      <name val="Calibri"/>
    </font>
    <font>
      <sz val="11.0"/>
      <color rgb="FF000000"/>
      <name val="&quot;Aptos Narrow&quot;"/>
    </font>
    <font>
      <b/>
      <sz val="11.0"/>
      <color rgb="FF000000"/>
      <name val="&quot;Aptos Narrow&quot;"/>
    </font>
    <font>
      <color rgb="FF000000"/>
      <name val="Calibri"/>
    </font>
    <font>
      <b/>
      <color theme="1"/>
      <name val="Calibri"/>
    </font>
    <font>
      <color rgb="FF374151"/>
      <name val="Calibri"/>
    </font>
    <font>
      <u/>
      <sz val="11.0"/>
      <color theme="10"/>
      <name val="Calibri"/>
    </font>
    <font>
      <u/>
      <sz val="11.0"/>
      <color theme="1"/>
      <name val="Calibri"/>
    </font>
    <font>
      <sz val="11.0"/>
      <color rgb="FF000000"/>
      <name val="Open Sans"/>
    </font>
    <font>
      <strike/>
      <sz val="11.0"/>
      <color theme="1"/>
      <name val="Calibri"/>
    </font>
    <font>
      <sz val="11.0"/>
      <color rgb="FF333333"/>
      <name val="Proxima Nova"/>
    </font>
    <font>
      <sz val="11.0"/>
      <color rgb="FF3D85C6"/>
      <name val="Calibri"/>
    </font>
    <font>
      <sz val="11.0"/>
      <color theme="1"/>
      <name val="Aptos Narrow"/>
    </font>
    <font>
      <sz val="11.0"/>
      <color theme="1"/>
      <name val="&quot;Aptos Narrow&quot;"/>
    </font>
    <font>
      <u/>
      <sz val="11.0"/>
      <color rgb="FF0563C1"/>
      <name val="Calibri"/>
    </font>
    <font>
      <u/>
      <color rgb="FF0563C1"/>
    </font>
    <font>
      <color theme="1"/>
      <name val="Calibri"/>
      <scheme val="minor"/>
    </font>
    <font>
      <u/>
      <sz val="11.0"/>
      <color rgb="FF000000"/>
      <name val="Calibri"/>
    </font>
  </fonts>
  <fills count="14">
    <fill>
      <patternFill patternType="none"/>
    </fill>
    <fill>
      <patternFill patternType="lightGray"/>
    </fill>
    <fill>
      <patternFill patternType="solid">
        <fgColor theme="0"/>
        <bgColor theme="0"/>
      </patternFill>
    </fill>
    <fill>
      <patternFill patternType="solid">
        <fgColor rgb="FFE2EFD9"/>
        <bgColor rgb="FFE2EFD9"/>
      </patternFill>
    </fill>
    <fill>
      <patternFill patternType="solid">
        <fgColor rgb="FFFF0000"/>
        <bgColor rgb="FFFF0000"/>
      </patternFill>
    </fill>
    <fill>
      <patternFill patternType="solid">
        <fgColor rgb="FFFBE4D5"/>
        <bgColor rgb="FFFBE4D5"/>
      </patternFill>
    </fill>
    <fill>
      <patternFill patternType="solid">
        <fgColor rgb="FFDEEAF6"/>
        <bgColor rgb="FFDEEAF6"/>
      </patternFill>
    </fill>
    <fill>
      <patternFill patternType="solid">
        <fgColor rgb="FF00FF00"/>
        <bgColor rgb="FF00FF00"/>
      </patternFill>
    </fill>
    <fill>
      <patternFill patternType="solid">
        <fgColor rgb="FFF4CCCC"/>
        <bgColor rgb="FFF4CCCC"/>
      </patternFill>
    </fill>
    <fill>
      <patternFill patternType="solid">
        <fgColor rgb="FFFEF2CB"/>
        <bgColor rgb="FFFEF2CB"/>
      </patternFill>
    </fill>
    <fill>
      <patternFill patternType="solid">
        <fgColor rgb="FFFFFF00"/>
        <bgColor rgb="FFFFFF00"/>
      </patternFill>
    </fill>
    <fill>
      <patternFill patternType="solid">
        <fgColor rgb="FF63BE7B"/>
        <bgColor rgb="FF63BE7B"/>
      </patternFill>
    </fill>
    <fill>
      <patternFill patternType="solid">
        <fgColor rgb="FFFFFFFF"/>
        <bgColor rgb="FFFFFFFF"/>
      </patternFill>
    </fill>
    <fill>
      <patternFill patternType="solid">
        <fgColor rgb="FFE06666"/>
        <bgColor rgb="FFE06666"/>
      </patternFill>
    </fill>
  </fills>
  <borders count="5">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s>
  <cellStyleXfs count="1">
    <xf borderId="0" fillId="0" fontId="0" numFmtId="0" applyAlignment="1" applyFont="1"/>
  </cellStyleXfs>
  <cellXfs count="130">
    <xf borderId="0" fillId="0" fontId="0" numFmtId="0" xfId="0" applyAlignment="1" applyFont="1">
      <alignment readingOrder="0" shrinkToFit="0" vertical="bottom" wrapText="0"/>
    </xf>
    <xf borderId="1" fillId="0" fontId="1" numFmtId="0" xfId="0" applyBorder="1" applyFont="1"/>
    <xf borderId="1" fillId="2" fontId="1" numFmtId="0" xfId="0" applyBorder="1" applyFill="1" applyFont="1"/>
    <xf borderId="0" fillId="2" fontId="1" numFmtId="0" xfId="0" applyFont="1"/>
    <xf borderId="1" fillId="3" fontId="1" numFmtId="0" xfId="0" applyAlignment="1" applyBorder="1" applyFill="1" applyFont="1">
      <alignment horizontal="center"/>
    </xf>
    <xf borderId="2" fillId="3" fontId="1" numFmtId="0" xfId="0" applyAlignment="1" applyBorder="1" applyFont="1">
      <alignment horizontal="center"/>
    </xf>
    <xf borderId="3" fillId="0" fontId="2" numFmtId="0" xfId="0" applyBorder="1" applyFont="1"/>
    <xf borderId="4" fillId="0" fontId="2" numFmtId="0" xfId="0" applyBorder="1" applyFont="1"/>
    <xf borderId="1" fillId="4" fontId="1" numFmtId="0" xfId="0" applyAlignment="1" applyBorder="1" applyFill="1" applyFont="1">
      <alignment horizontal="center"/>
    </xf>
    <xf borderId="2" fillId="5" fontId="3" numFmtId="0" xfId="0" applyAlignment="1" applyBorder="1" applyFill="1" applyFont="1">
      <alignment horizontal="center"/>
    </xf>
    <xf borderId="2" fillId="5" fontId="1" numFmtId="0" xfId="0" applyAlignment="1" applyBorder="1" applyFont="1">
      <alignment horizontal="center"/>
    </xf>
    <xf borderId="2" fillId="6" fontId="3" numFmtId="0" xfId="0" applyAlignment="1" applyBorder="1" applyFill="1" applyFont="1">
      <alignment horizontal="center"/>
    </xf>
    <xf borderId="2" fillId="7" fontId="3" numFmtId="0" xfId="0" applyAlignment="1" applyBorder="1" applyFill="1" applyFont="1">
      <alignment horizontal="left"/>
    </xf>
    <xf borderId="3" fillId="8" fontId="3" numFmtId="0" xfId="0" applyAlignment="1" applyBorder="1" applyFill="1" applyFont="1">
      <alignment horizontal="center"/>
    </xf>
    <xf borderId="3" fillId="6" fontId="3" numFmtId="0" xfId="0" applyAlignment="1" applyBorder="1" applyFont="1">
      <alignment horizontal="center"/>
    </xf>
    <xf borderId="2" fillId="9" fontId="1" numFmtId="0" xfId="0" applyAlignment="1" applyBorder="1" applyFill="1" applyFont="1">
      <alignment horizontal="center"/>
    </xf>
    <xf borderId="2" fillId="0" fontId="4" numFmtId="0" xfId="0" applyBorder="1" applyFont="1"/>
    <xf borderId="0" fillId="2" fontId="4" numFmtId="0" xfId="0" applyFont="1"/>
    <xf borderId="1" fillId="3" fontId="1" numFmtId="0" xfId="0" applyAlignment="1" applyBorder="1" applyFont="1">
      <alignment textRotation="90" vertical="top"/>
    </xf>
    <xf borderId="1" fillId="4" fontId="1" numFmtId="0" xfId="0" applyAlignment="1" applyBorder="1" applyFont="1">
      <alignment textRotation="90" vertical="top"/>
    </xf>
    <xf borderId="1" fillId="5" fontId="1" numFmtId="0" xfId="0" applyAlignment="1" applyBorder="1" applyFont="1">
      <alignment textRotation="90" vertical="top"/>
    </xf>
    <xf borderId="1" fillId="10" fontId="1" numFmtId="0" xfId="0" applyAlignment="1" applyBorder="1" applyFill="1" applyFont="1">
      <alignment textRotation="90" vertical="top"/>
    </xf>
    <xf borderId="1" fillId="6" fontId="1" numFmtId="0" xfId="0" applyAlignment="1" applyBorder="1" applyFont="1">
      <alignment textRotation="90" vertical="top"/>
    </xf>
    <xf borderId="1" fillId="6" fontId="5" numFmtId="0" xfId="0" applyAlignment="1" applyBorder="1" applyFont="1">
      <alignment textRotation="90" vertical="top"/>
    </xf>
    <xf borderId="1" fillId="11" fontId="1" numFmtId="0" xfId="0" applyAlignment="1" applyBorder="1" applyFill="1" applyFont="1">
      <alignment horizontal="left" textRotation="90" vertical="top"/>
    </xf>
    <xf borderId="1" fillId="7" fontId="1" numFmtId="0" xfId="0" applyAlignment="1" applyBorder="1" applyFont="1">
      <alignment textRotation="90" vertical="top"/>
    </xf>
    <xf borderId="1" fillId="11" fontId="1" numFmtId="0" xfId="0" applyAlignment="1" applyBorder="1" applyFont="1">
      <alignment textRotation="90" vertical="top"/>
    </xf>
    <xf borderId="1" fillId="8" fontId="1" numFmtId="0" xfId="0" applyAlignment="1" applyBorder="1" applyFont="1">
      <alignment textRotation="90" vertical="top"/>
    </xf>
    <xf borderId="1" fillId="9" fontId="1" numFmtId="0" xfId="0" applyAlignment="1" applyBorder="1" applyFont="1">
      <alignment textRotation="90" vertical="top"/>
    </xf>
    <xf borderId="1" fillId="9" fontId="1" numFmtId="0" xfId="0" applyBorder="1" applyFont="1"/>
    <xf borderId="1" fillId="0" fontId="1" numFmtId="0" xfId="0" applyAlignment="1" applyBorder="1" applyFont="1">
      <alignment shrinkToFit="0" textRotation="90" vertical="top" wrapText="1"/>
    </xf>
    <xf borderId="1" fillId="12" fontId="3" numFmtId="0" xfId="0" applyAlignment="1" applyBorder="1" applyFill="1" applyFont="1">
      <alignment textRotation="90" vertical="top"/>
    </xf>
    <xf borderId="1" fillId="2" fontId="3" numFmtId="0" xfId="0" applyAlignment="1" applyBorder="1" applyFont="1">
      <alignment textRotation="90" vertical="top"/>
    </xf>
    <xf borderId="0" fillId="2" fontId="3" numFmtId="0" xfId="0" applyAlignment="1" applyFont="1">
      <alignment textRotation="90" vertical="top"/>
    </xf>
    <xf borderId="1" fillId="3" fontId="1" numFmtId="0" xfId="0" applyBorder="1" applyFont="1"/>
    <xf borderId="1" fillId="4" fontId="1" numFmtId="0" xfId="0" applyBorder="1" applyFont="1"/>
    <xf borderId="1" fillId="5" fontId="1" numFmtId="0" xfId="0" applyBorder="1" applyFont="1"/>
    <xf borderId="1" fillId="10" fontId="1" numFmtId="0" xfId="0" applyBorder="1" applyFont="1"/>
    <xf borderId="1" fillId="6" fontId="1" numFmtId="0" xfId="0" applyBorder="1" applyFont="1"/>
    <xf borderId="1" fillId="6" fontId="6" numFmtId="0" xfId="0" applyBorder="1" applyFont="1"/>
    <xf borderId="1" fillId="11" fontId="1" numFmtId="0" xfId="0" applyBorder="1" applyFont="1"/>
    <xf borderId="1" fillId="7" fontId="1" numFmtId="0" xfId="0" applyBorder="1" applyFont="1"/>
    <xf borderId="1" fillId="7" fontId="7" numFmtId="0" xfId="0" applyAlignment="1" applyBorder="1" applyFont="1">
      <alignment shrinkToFit="0" vertical="bottom" wrapText="0"/>
    </xf>
    <xf borderId="1" fillId="11" fontId="7" numFmtId="0" xfId="0" applyAlignment="1" applyBorder="1" applyFont="1">
      <alignment shrinkToFit="0" vertical="bottom" wrapText="0"/>
    </xf>
    <xf borderId="1" fillId="8" fontId="1" numFmtId="0" xfId="0" applyBorder="1" applyFont="1"/>
    <xf borderId="1" fillId="0" fontId="4" numFmtId="0" xfId="0" applyBorder="1" applyFont="1"/>
    <xf borderId="1" fillId="12" fontId="1" numFmtId="0" xfId="0" applyBorder="1" applyFont="1"/>
    <xf borderId="1" fillId="5" fontId="1" numFmtId="164" xfId="0" applyBorder="1" applyFont="1" applyNumberFormat="1"/>
    <xf borderId="1" fillId="5" fontId="1" numFmtId="2" xfId="0" applyBorder="1" applyFont="1" applyNumberFormat="1"/>
    <xf borderId="1" fillId="7" fontId="8" numFmtId="0" xfId="0" applyAlignment="1" applyBorder="1" applyFont="1">
      <alignment shrinkToFit="0" vertical="bottom" wrapText="0"/>
    </xf>
    <xf borderId="1" fillId="11" fontId="1" numFmtId="0" xfId="0" applyAlignment="1" applyBorder="1" applyFont="1">
      <alignment horizontal="left"/>
    </xf>
    <xf borderId="1" fillId="11" fontId="7" numFmtId="0" xfId="0" applyAlignment="1" applyBorder="1" applyFont="1">
      <alignment horizontal="right" shrinkToFit="0" vertical="bottom" wrapText="0"/>
    </xf>
    <xf borderId="1" fillId="10" fontId="1" numFmtId="164" xfId="0" applyBorder="1" applyFont="1" applyNumberFormat="1"/>
    <xf borderId="1" fillId="6" fontId="4" numFmtId="0" xfId="0" applyBorder="1" applyFont="1"/>
    <xf borderId="1" fillId="5" fontId="4" numFmtId="0" xfId="0" applyBorder="1" applyFont="1"/>
    <xf borderId="1" fillId="6" fontId="1" numFmtId="3" xfId="0" applyBorder="1" applyFont="1" applyNumberFormat="1"/>
    <xf borderId="1" fillId="6" fontId="6" numFmtId="0" xfId="0" applyAlignment="1" applyBorder="1" applyFont="1">
      <alignment shrinkToFit="0" vertical="bottom" wrapText="0"/>
    </xf>
    <xf borderId="1" fillId="6" fontId="1" numFmtId="0" xfId="0" applyAlignment="1" applyBorder="1" applyFont="1">
      <alignment vertical="bottom"/>
    </xf>
    <xf borderId="1" fillId="6" fontId="9" numFmtId="0" xfId="0" applyBorder="1" applyFont="1"/>
    <xf borderId="1" fillId="4" fontId="3" numFmtId="0" xfId="0" applyBorder="1" applyFont="1"/>
    <xf borderId="1" fillId="2" fontId="1" numFmtId="0" xfId="0" applyAlignment="1" applyBorder="1" applyFont="1">
      <alignment vertical="bottom"/>
    </xf>
    <xf borderId="0" fillId="2" fontId="1" numFmtId="0" xfId="0" applyAlignment="1" applyFont="1">
      <alignment vertical="bottom"/>
    </xf>
    <xf borderId="1" fillId="6" fontId="10" numFmtId="0" xfId="0" applyBorder="1" applyFont="1"/>
    <xf borderId="1" fillId="9" fontId="3" numFmtId="0" xfId="0" applyBorder="1" applyFont="1"/>
    <xf borderId="1" fillId="0" fontId="10" numFmtId="0" xfId="0" applyBorder="1" applyFont="1"/>
    <xf borderId="1" fillId="12" fontId="3" numFmtId="0" xfId="0" applyBorder="1" applyFont="1"/>
    <xf borderId="1" fillId="6" fontId="1" numFmtId="0" xfId="0" applyAlignment="1" applyBorder="1" applyFont="1">
      <alignment shrinkToFit="0" vertical="bottom" wrapText="0"/>
    </xf>
    <xf borderId="1" fillId="12" fontId="4" numFmtId="0" xfId="0" applyBorder="1" applyFont="1"/>
    <xf borderId="1" fillId="6" fontId="6" numFmtId="0" xfId="0" applyAlignment="1" applyBorder="1" applyFont="1">
      <alignment horizontal="left"/>
    </xf>
    <xf borderId="1" fillId="5" fontId="3" numFmtId="0" xfId="0" applyBorder="1" applyFont="1"/>
    <xf borderId="1" fillId="2" fontId="3" numFmtId="0" xfId="0" applyBorder="1" applyFont="1"/>
    <xf borderId="0" fillId="2" fontId="3" numFmtId="0" xfId="0" applyFont="1"/>
    <xf borderId="1" fillId="10" fontId="3" numFmtId="0" xfId="0" applyBorder="1" applyFont="1"/>
    <xf borderId="1" fillId="2" fontId="4" numFmtId="0" xfId="0" applyBorder="1" applyFont="1"/>
    <xf borderId="1" fillId="5" fontId="11" numFmtId="0" xfId="0" applyAlignment="1" applyBorder="1" applyFont="1">
      <alignment horizontal="right"/>
    </xf>
    <xf borderId="1" fillId="3" fontId="6" numFmtId="0" xfId="0" applyBorder="1" applyFont="1"/>
    <xf borderId="1" fillId="9" fontId="4" numFmtId="0" xfId="0" applyBorder="1" applyFont="1"/>
    <xf borderId="1" fillId="11" fontId="6" numFmtId="0" xfId="0" applyAlignment="1" applyBorder="1" applyFont="1">
      <alignment horizontal="left"/>
    </xf>
    <xf borderId="1" fillId="5" fontId="1" numFmtId="0" xfId="0" applyAlignment="1" applyBorder="1" applyFont="1">
      <alignment vertical="bottom"/>
    </xf>
    <xf borderId="1" fillId="10" fontId="1" numFmtId="1" xfId="0" applyBorder="1" applyFont="1" applyNumberFormat="1"/>
    <xf borderId="1" fillId="13" fontId="1" numFmtId="0" xfId="0" applyBorder="1" applyFill="1" applyFont="1"/>
    <xf borderId="1" fillId="9" fontId="6" numFmtId="0" xfId="0" applyAlignment="1" applyBorder="1" applyFont="1">
      <alignment horizontal="left"/>
    </xf>
    <xf borderId="1" fillId="3" fontId="12" numFmtId="0" xfId="0" applyBorder="1" applyFont="1"/>
    <xf borderId="1" fillId="10" fontId="1" numFmtId="2" xfId="0" applyBorder="1" applyFont="1" applyNumberFormat="1"/>
    <xf borderId="1" fillId="9" fontId="13" numFmtId="0" xfId="0" applyBorder="1" applyFont="1"/>
    <xf borderId="1" fillId="6" fontId="14" numFmtId="0" xfId="0" applyAlignment="1" applyBorder="1" applyFont="1">
      <alignment horizontal="left"/>
    </xf>
    <xf borderId="1" fillId="10" fontId="3" numFmtId="164" xfId="0" applyBorder="1" applyFont="1" applyNumberFormat="1"/>
    <xf borderId="1" fillId="6" fontId="1" numFmtId="0" xfId="0" applyAlignment="1" applyBorder="1" applyFont="1">
      <alignment horizontal="right" vertical="bottom"/>
    </xf>
    <xf borderId="1" fillId="11" fontId="1" numFmtId="0" xfId="0" applyAlignment="1" applyBorder="1" applyFont="1">
      <alignment horizontal="left" vertical="bottom"/>
    </xf>
    <xf borderId="1" fillId="6" fontId="1" numFmtId="165" xfId="0" applyBorder="1" applyFont="1" applyNumberFormat="1"/>
    <xf borderId="1" fillId="6" fontId="1" numFmtId="166" xfId="0" applyBorder="1" applyFont="1" applyNumberFormat="1"/>
    <xf borderId="1" fillId="11" fontId="1" numFmtId="165" xfId="0" applyAlignment="1" applyBorder="1" applyFont="1" applyNumberFormat="1">
      <alignment horizontal="left"/>
    </xf>
    <xf borderId="1" fillId="2" fontId="15" numFmtId="0" xfId="0" applyBorder="1" applyFont="1"/>
    <xf borderId="0" fillId="2" fontId="15" numFmtId="0" xfId="0" applyFont="1"/>
    <xf borderId="1" fillId="6" fontId="16" numFmtId="0" xfId="0" applyAlignment="1" applyBorder="1" applyFont="1">
      <alignment shrinkToFit="0" wrapText="1"/>
    </xf>
    <xf borderId="1" fillId="10" fontId="4" numFmtId="0" xfId="0" applyBorder="1" applyFont="1"/>
    <xf borderId="1" fillId="5" fontId="1" numFmtId="0" xfId="0" applyAlignment="1" applyBorder="1" applyFont="1">
      <alignment horizontal="center"/>
    </xf>
    <xf borderId="1" fillId="2" fontId="17" numFmtId="0" xfId="0" applyBorder="1" applyFont="1"/>
    <xf borderId="0" fillId="2" fontId="17" numFmtId="0" xfId="0" applyFont="1"/>
    <xf borderId="1" fillId="3" fontId="6" numFmtId="0" xfId="0" applyAlignment="1" applyBorder="1" applyFont="1">
      <alignment shrinkToFit="0" vertical="bottom" wrapText="0"/>
    </xf>
    <xf borderId="1" fillId="3" fontId="1" numFmtId="0" xfId="0" applyAlignment="1" applyBorder="1" applyFont="1">
      <alignment horizontal="right" vertical="bottom"/>
    </xf>
    <xf borderId="1" fillId="3" fontId="1" numFmtId="0" xfId="0" applyAlignment="1" applyBorder="1" applyFont="1">
      <alignment vertical="bottom"/>
    </xf>
    <xf borderId="1" fillId="11" fontId="1" numFmtId="0" xfId="0" applyAlignment="1" applyBorder="1" applyFont="1">
      <alignment vertical="bottom"/>
    </xf>
    <xf borderId="1" fillId="11" fontId="18" numFmtId="0" xfId="0" applyAlignment="1" applyBorder="1" applyFont="1">
      <alignment vertical="bottom"/>
    </xf>
    <xf borderId="1" fillId="9" fontId="1" numFmtId="0" xfId="0" applyAlignment="1" applyBorder="1" applyFont="1">
      <alignment vertical="bottom"/>
    </xf>
    <xf borderId="1" fillId="0" fontId="1" numFmtId="0" xfId="0" applyAlignment="1" applyBorder="1" applyFont="1">
      <alignment vertical="bottom"/>
    </xf>
    <xf borderId="1" fillId="0" fontId="1" numFmtId="0" xfId="0" applyAlignment="1" applyBorder="1" applyFont="1">
      <alignment horizontal="right" vertical="bottom"/>
    </xf>
    <xf borderId="1" fillId="12" fontId="1" numFmtId="0" xfId="0" applyAlignment="1" applyBorder="1" applyFont="1">
      <alignment vertical="bottom"/>
    </xf>
    <xf borderId="1" fillId="10" fontId="3" numFmtId="2" xfId="0" applyBorder="1" applyFont="1" applyNumberFormat="1"/>
    <xf borderId="1" fillId="11" fontId="4" numFmtId="0" xfId="0" applyAlignment="1" applyBorder="1" applyFont="1">
      <alignment horizontal="left"/>
    </xf>
    <xf borderId="1" fillId="11" fontId="19" numFmtId="0" xfId="0" applyAlignment="1" applyBorder="1" applyFont="1">
      <alignment shrinkToFit="0" vertical="bottom" wrapText="0"/>
    </xf>
    <xf borderId="1" fillId="6" fontId="16" numFmtId="0" xfId="0" applyAlignment="1" applyBorder="1" applyFont="1">
      <alignment shrinkToFit="0" vertical="top" wrapText="1"/>
    </xf>
    <xf borderId="1" fillId="5" fontId="1" numFmtId="0" xfId="0" applyAlignment="1" applyBorder="1" applyFont="1">
      <alignment horizontal="right" vertical="bottom"/>
    </xf>
    <xf borderId="1" fillId="9" fontId="1" numFmtId="0" xfId="0" applyAlignment="1" applyBorder="1" applyFont="1">
      <alignment horizontal="right" vertical="bottom"/>
    </xf>
    <xf borderId="1" fillId="9" fontId="1" numFmtId="0" xfId="0" applyAlignment="1" applyBorder="1" applyFont="1">
      <alignment shrinkToFit="0" vertical="bottom" wrapText="0"/>
    </xf>
    <xf borderId="1" fillId="9" fontId="6" numFmtId="0" xfId="0" applyAlignment="1" applyBorder="1" applyFont="1">
      <alignment shrinkToFit="0" vertical="bottom" wrapText="0"/>
    </xf>
    <xf borderId="1" fillId="6" fontId="1" numFmtId="167" xfId="0" applyBorder="1" applyFont="1" applyNumberFormat="1"/>
    <xf borderId="1" fillId="10" fontId="6" numFmtId="164" xfId="0" applyAlignment="1" applyBorder="1" applyFont="1" applyNumberFormat="1">
      <alignment horizontal="right" shrinkToFit="0" vertical="bottom" wrapText="0"/>
    </xf>
    <xf borderId="1" fillId="5" fontId="1" numFmtId="1" xfId="0" applyBorder="1" applyFont="1" applyNumberFormat="1"/>
    <xf borderId="0" fillId="0" fontId="4" numFmtId="0" xfId="0" applyFont="1"/>
    <xf borderId="0" fillId="0" fontId="20" numFmtId="0" xfId="0" applyFont="1"/>
    <xf borderId="0" fillId="0" fontId="21" numFmtId="0" xfId="0" applyFont="1"/>
    <xf borderId="0" fillId="0" fontId="22" numFmtId="0" xfId="0" applyAlignment="1" applyFont="1">
      <alignment readingOrder="0"/>
    </xf>
    <xf borderId="0" fillId="0" fontId="6" numFmtId="0" xfId="0" applyAlignment="1" applyFont="1">
      <alignment shrinkToFit="0" wrapText="0"/>
    </xf>
    <xf borderId="0" fillId="0" fontId="6" numFmtId="0" xfId="0" applyAlignment="1" applyFont="1">
      <alignment horizontal="right" shrinkToFit="0" wrapText="0"/>
    </xf>
    <xf borderId="0" fillId="0" fontId="23" numFmtId="0" xfId="0" applyAlignment="1" applyFont="1">
      <alignment shrinkToFit="0" wrapText="0"/>
    </xf>
    <xf borderId="0" fillId="0" fontId="3" numFmtId="0" xfId="0" applyFont="1"/>
    <xf borderId="0" fillId="0" fontId="1" numFmtId="0" xfId="0" applyFont="1"/>
    <xf borderId="0" fillId="0" fontId="7" numFmtId="0" xfId="0" applyAlignment="1" applyFont="1">
      <alignment shrinkToFit="0" vertical="bottom" wrapText="0"/>
    </xf>
    <xf borderId="0" fillId="0" fontId="7" numFmtId="0" xfId="0" applyAlignment="1" applyFont="1">
      <alignment horizontal="right" shrinkToFit="0" vertical="bottom" wrapText="0"/>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11" Type="http://customschemas.google.com/relationships/workbookmetadata" Target="metadata"/><Relationship Id="rId10" Type="http://schemas.openxmlformats.org/officeDocument/2006/relationships/worksheet" Target="worksheets/sheet6.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20" Type="http://schemas.openxmlformats.org/officeDocument/2006/relationships/hyperlink" Target="http://nassgeodata.gmu.edu/CropScape/" TargetMode="External"/><Relationship Id="rId22" Type="http://schemas.openxmlformats.org/officeDocument/2006/relationships/hyperlink" Target="http://nmet.gov.br/portal/)." TargetMode="External"/><Relationship Id="rId21" Type="http://schemas.openxmlformats.org/officeDocument/2006/relationships/hyperlink" Target="http://nmet.gov.br/portal/)." TargetMode="External"/><Relationship Id="rId24" Type="http://schemas.openxmlformats.org/officeDocument/2006/relationships/drawing" Target="../drawings/drawing1.xml"/><Relationship Id="rId23" Type="http://schemas.openxmlformats.org/officeDocument/2006/relationships/hyperlink" Target="http://nmet.gov.br/portal/)." TargetMode="External"/><Relationship Id="rId1" Type="http://schemas.openxmlformats.org/officeDocument/2006/relationships/comments" Target="../comments1.xml"/><Relationship Id="rId2" Type="http://schemas.openxmlformats.org/officeDocument/2006/relationships/hyperlink" Target="http://www.scielo.org.mx/scielo.php?pid=S1405-31952015000200009&amp;script=sci_abstract&amp;tlng=en" TargetMode="External"/><Relationship Id="rId3" Type="http://schemas.openxmlformats.org/officeDocument/2006/relationships/hyperlink" Target="http://www.scielo.org.mx/scielo.php?pid=S1405-31952015000200009&amp;script=sci_abstract&amp;tlng=en" TargetMode="External"/><Relationship Id="rId4" Type="http://schemas.openxmlformats.org/officeDocument/2006/relationships/hyperlink" Target="http://www.scielo.org.mx/scielo.php?pid=S1405-31952015000200009&amp;script=sci_abstract&amp;tlng=en" TargetMode="External"/><Relationship Id="rId9" Type="http://schemas.openxmlformats.org/officeDocument/2006/relationships/hyperlink" Target="http://www.scielo.org.mx/scielo.php?pid=S1405-31952015000200009&amp;script=sci_abstract&amp;tlng=en" TargetMode="External"/><Relationship Id="rId25" Type="http://schemas.openxmlformats.org/officeDocument/2006/relationships/vmlDrawing" Target="../drawings/vmlDrawing1.vml"/><Relationship Id="rId5" Type="http://schemas.openxmlformats.org/officeDocument/2006/relationships/hyperlink" Target="http://www.scielo.org.mx/scielo.php?pid=S1405-31952015000200009&amp;script=sci_abstract&amp;tlng=en" TargetMode="External"/><Relationship Id="rId6" Type="http://schemas.openxmlformats.org/officeDocument/2006/relationships/hyperlink" Target="http://www.scielo.org.mx/scielo.php?pid=S1405-31952015000200009&amp;script=sci_abstract&amp;tlng=en" TargetMode="External"/><Relationship Id="rId7" Type="http://schemas.openxmlformats.org/officeDocument/2006/relationships/hyperlink" Target="http://www.scielo.org.mx/scielo.php?pid=S1405-31952015000200009&amp;script=sci_abstract&amp;tlng=en" TargetMode="External"/><Relationship Id="rId8" Type="http://schemas.openxmlformats.org/officeDocument/2006/relationships/hyperlink" Target="http://www.scielo.org.mx/scielo.php?pid=S1405-31952015000200009&amp;script=sci_abstract&amp;tlng=en" TargetMode="External"/><Relationship Id="rId11" Type="http://schemas.openxmlformats.org/officeDocument/2006/relationships/hyperlink" Target="http://www.scielo.org.mx/scielo.php?pid=S1405-31952015000200009&amp;script=sci_abstract&amp;tlng=en" TargetMode="External"/><Relationship Id="rId10" Type="http://schemas.openxmlformats.org/officeDocument/2006/relationships/hyperlink" Target="http://www.scielo.org.mx/scielo.php?pid=S1405-31952015000200009&amp;script=sci_abstract&amp;tlng=en" TargetMode="External"/><Relationship Id="rId13" Type="http://schemas.openxmlformats.org/officeDocument/2006/relationships/hyperlink" Target="http://www.scielo.org.mx/scielo.php?pid=S1405-31952015000200009&amp;script=sci_abstract&amp;tlng=en" TargetMode="External"/><Relationship Id="rId12" Type="http://schemas.openxmlformats.org/officeDocument/2006/relationships/hyperlink" Target="http://www.scielo.org.mx/scielo.php?pid=S1405-31952015000200009&amp;script=sci_abstract&amp;tlng=en" TargetMode="External"/><Relationship Id="rId15" Type="http://schemas.openxmlformats.org/officeDocument/2006/relationships/hyperlink" Target="http://www.scielo.org.mx/scielo.php?pid=S1405-31952015000200009&amp;script=sci_abstract&amp;tlng=en" TargetMode="External"/><Relationship Id="rId14" Type="http://schemas.openxmlformats.org/officeDocument/2006/relationships/hyperlink" Target="http://www.scielo.org.mx/scielo.php?pid=S1405-31952015000200009&amp;script=sci_abstract&amp;tlng=en" TargetMode="External"/><Relationship Id="rId17" Type="http://schemas.openxmlformats.org/officeDocument/2006/relationships/hyperlink" Target="http://www.scielo.org.mx/scielo.php?pid=S1405-31952015000200009&amp;script=sci_abstract&amp;tlng=en" TargetMode="External"/><Relationship Id="rId16" Type="http://schemas.openxmlformats.org/officeDocument/2006/relationships/hyperlink" Target="http://www.scielo.org.mx/scielo.php?pid=S1405-31952015000200009&amp;script=sci_abstract&amp;tlng=en" TargetMode="External"/><Relationship Id="rId19" Type="http://schemas.openxmlformats.org/officeDocument/2006/relationships/hyperlink" Target="http://nassgeodata.gmu.edu/CropScape/" TargetMode="External"/><Relationship Id="rId18" Type="http://schemas.openxmlformats.org/officeDocument/2006/relationships/hyperlink" Target="http://nassgeodata.gmu.edu/CropScape/"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climatedataguide.ucar.edu/climate-data/ceres-igbp-land-classification" TargetMode="External"/><Relationship Id="rId2" Type="http://schemas.openxmlformats.org/officeDocument/2006/relationships/hyperlink" Target="https://www.google.com/url?q=https://ameriflux.lbl.gov/sites/site-search/%23all_metadata%3Dus-oho&amp;sa=D&amp;source=editors&amp;ust=1712565952221177&amp;usg=AOvVaw2V4DsvBSbxO3j690cnmaZn" TargetMode="External"/><Relationship Id="rId3"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90" Type="http://schemas.openxmlformats.org/officeDocument/2006/relationships/hyperlink" Target="https://doi.org/" TargetMode="External"/><Relationship Id="rId194" Type="http://schemas.openxmlformats.org/officeDocument/2006/relationships/hyperlink" Target="https://doi.org/" TargetMode="External"/><Relationship Id="rId193" Type="http://schemas.openxmlformats.org/officeDocument/2006/relationships/hyperlink" Target="https://doi.org/10.17190/AMF/1902274" TargetMode="External"/><Relationship Id="rId192" Type="http://schemas.openxmlformats.org/officeDocument/2006/relationships/hyperlink" Target="https://doi.org/" TargetMode="External"/><Relationship Id="rId191" Type="http://schemas.openxmlformats.org/officeDocument/2006/relationships/hyperlink" Target="https://doi.org/10.17190/AMF/1902273" TargetMode="External"/><Relationship Id="rId187" Type="http://schemas.openxmlformats.org/officeDocument/2006/relationships/hyperlink" Target="https://doi.org/10.17190/AMF/1436325" TargetMode="External"/><Relationship Id="rId186" Type="http://schemas.openxmlformats.org/officeDocument/2006/relationships/hyperlink" Target="https://doi.org/" TargetMode="External"/><Relationship Id="rId185" Type="http://schemas.openxmlformats.org/officeDocument/2006/relationships/hyperlink" Target="https://doi.org/10.17190/AMF/1436324" TargetMode="External"/><Relationship Id="rId184" Type="http://schemas.openxmlformats.org/officeDocument/2006/relationships/hyperlink" Target="https://doi.org/" TargetMode="External"/><Relationship Id="rId189" Type="http://schemas.openxmlformats.org/officeDocument/2006/relationships/hyperlink" Target="https://doi.org/" TargetMode="External"/><Relationship Id="rId188" Type="http://schemas.openxmlformats.org/officeDocument/2006/relationships/hyperlink" Target="https://doi.org/" TargetMode="External"/><Relationship Id="rId183" Type="http://schemas.openxmlformats.org/officeDocument/2006/relationships/hyperlink" Target="https://doi.org/10.17190/AMF/1436323" TargetMode="External"/><Relationship Id="rId182" Type="http://schemas.openxmlformats.org/officeDocument/2006/relationships/hyperlink" Target="https://doi.org/" TargetMode="External"/><Relationship Id="rId181" Type="http://schemas.openxmlformats.org/officeDocument/2006/relationships/hyperlink" Target="https://doi.org/10.17190/AMF/1767831" TargetMode="External"/><Relationship Id="rId180" Type="http://schemas.openxmlformats.org/officeDocument/2006/relationships/hyperlink" Target="https://doi.org/10.17190/AMF/1881567" TargetMode="External"/><Relationship Id="rId176" Type="http://schemas.openxmlformats.org/officeDocument/2006/relationships/hyperlink" Target="https://doi.org/10.17190/AMF/1881566" TargetMode="External"/><Relationship Id="rId175" Type="http://schemas.openxmlformats.org/officeDocument/2006/relationships/hyperlink" Target="https://doi.org/10.17190/AMF/1246011" TargetMode="External"/><Relationship Id="rId174" Type="http://schemas.openxmlformats.org/officeDocument/2006/relationships/hyperlink" Target="https://doi.org/" TargetMode="External"/><Relationship Id="rId173" Type="http://schemas.openxmlformats.org/officeDocument/2006/relationships/hyperlink" Target="https://doi.org/10.17190/AMF/1246010" TargetMode="External"/><Relationship Id="rId179" Type="http://schemas.openxmlformats.org/officeDocument/2006/relationships/hyperlink" Target="https://doi.org/10.17190/AMF/1246152" TargetMode="External"/><Relationship Id="rId178" Type="http://schemas.openxmlformats.org/officeDocument/2006/relationships/hyperlink" Target="https://doi.org/" TargetMode="External"/><Relationship Id="rId177" Type="http://schemas.openxmlformats.org/officeDocument/2006/relationships/hyperlink" Target="https://doi.org/10.17190/AMF/1246012" TargetMode="External"/><Relationship Id="rId198" Type="http://schemas.openxmlformats.org/officeDocument/2006/relationships/hyperlink" Target="https://doi.org/" TargetMode="External"/><Relationship Id="rId197" Type="http://schemas.openxmlformats.org/officeDocument/2006/relationships/hyperlink" Target="https://doi.org/" TargetMode="External"/><Relationship Id="rId196" Type="http://schemas.openxmlformats.org/officeDocument/2006/relationships/hyperlink" Target="https://doi.org/" TargetMode="External"/><Relationship Id="rId195" Type="http://schemas.openxmlformats.org/officeDocument/2006/relationships/hyperlink" Target="https://doi.org/" TargetMode="External"/><Relationship Id="rId199" Type="http://schemas.openxmlformats.org/officeDocument/2006/relationships/hyperlink" Target="https://doi.org/" TargetMode="External"/><Relationship Id="rId150" Type="http://schemas.openxmlformats.org/officeDocument/2006/relationships/hyperlink" Target="https://doi.org/" TargetMode="External"/><Relationship Id="rId392" Type="http://schemas.openxmlformats.org/officeDocument/2006/relationships/hyperlink" Target="https://doi.org/10.17190/AMF/1881575" TargetMode="External"/><Relationship Id="rId391" Type="http://schemas.openxmlformats.org/officeDocument/2006/relationships/hyperlink" Target="https://doi.org/10.17190/AMF/1543384" TargetMode="External"/><Relationship Id="rId390" Type="http://schemas.openxmlformats.org/officeDocument/2006/relationships/hyperlink" Target="https://doi.org/10.17190/AMF/1881574" TargetMode="External"/><Relationship Id="rId1" Type="http://schemas.openxmlformats.org/officeDocument/2006/relationships/hyperlink" Target="https://doi.org/10.17190/AMF/2315764" TargetMode="External"/><Relationship Id="rId2" Type="http://schemas.openxmlformats.org/officeDocument/2006/relationships/hyperlink" Target="https://doi.org/" TargetMode="External"/><Relationship Id="rId3" Type="http://schemas.openxmlformats.org/officeDocument/2006/relationships/hyperlink" Target="https://doi.org/10.17190/AMF/1880910" TargetMode="External"/><Relationship Id="rId149" Type="http://schemas.openxmlformats.org/officeDocument/2006/relationships/hyperlink" Target="https://doi.org/" TargetMode="External"/><Relationship Id="rId4" Type="http://schemas.openxmlformats.org/officeDocument/2006/relationships/hyperlink" Target="https://doi.org/" TargetMode="External"/><Relationship Id="rId148" Type="http://schemas.openxmlformats.org/officeDocument/2006/relationships/hyperlink" Target="https://doi.org/" TargetMode="External"/><Relationship Id="rId1090" Type="http://schemas.openxmlformats.org/officeDocument/2006/relationships/hyperlink" Target="https://doi.org/" TargetMode="External"/><Relationship Id="rId1091" Type="http://schemas.openxmlformats.org/officeDocument/2006/relationships/hyperlink" Target="https://doi.org/10.17190/AMF/1246147" TargetMode="External"/><Relationship Id="rId1092" Type="http://schemas.openxmlformats.org/officeDocument/2006/relationships/hyperlink" Target="https://doi.org/10.17190/AMF/1832165" TargetMode="External"/><Relationship Id="rId1093" Type="http://schemas.openxmlformats.org/officeDocument/2006/relationships/hyperlink" Target="https://doi.org/10.17190/AMF/1246148" TargetMode="External"/><Relationship Id="rId1094" Type="http://schemas.openxmlformats.org/officeDocument/2006/relationships/hyperlink" Target="https://doi.org/10.17190/AMF/1881593" TargetMode="External"/><Relationship Id="rId9" Type="http://schemas.openxmlformats.org/officeDocument/2006/relationships/hyperlink" Target="https://doi.org/10.17190/AMF/2315765" TargetMode="External"/><Relationship Id="rId143" Type="http://schemas.openxmlformats.org/officeDocument/2006/relationships/hyperlink" Target="https://doi.org/10.17190/AMF/1246828" TargetMode="External"/><Relationship Id="rId385" Type="http://schemas.openxmlformats.org/officeDocument/2006/relationships/hyperlink" Target="https://doi.org/10.17190/AMF/1543382" TargetMode="External"/><Relationship Id="rId1095" Type="http://schemas.openxmlformats.org/officeDocument/2006/relationships/hyperlink" Target="https://doi.org/10.17190/AMF/1246149" TargetMode="External"/><Relationship Id="rId142" Type="http://schemas.openxmlformats.org/officeDocument/2006/relationships/hyperlink" Target="https://doi.org/" TargetMode="External"/><Relationship Id="rId384" Type="http://schemas.openxmlformats.org/officeDocument/2006/relationships/hyperlink" Target="https://doi.org/" TargetMode="External"/><Relationship Id="rId1096" Type="http://schemas.openxmlformats.org/officeDocument/2006/relationships/hyperlink" Target="https://doi.org/10.17190/AMF/1881594" TargetMode="External"/><Relationship Id="rId141" Type="http://schemas.openxmlformats.org/officeDocument/2006/relationships/hyperlink" Target="https://doi.org/10.17190/AMF/1419514" TargetMode="External"/><Relationship Id="rId383" Type="http://schemas.openxmlformats.org/officeDocument/2006/relationships/hyperlink" Target="https://doi.org/10.17190/AMF/1246043" TargetMode="External"/><Relationship Id="rId1097" Type="http://schemas.openxmlformats.org/officeDocument/2006/relationships/hyperlink" Target="https://doi.org/10.17190/AMF/1246151" TargetMode="External"/><Relationship Id="rId140" Type="http://schemas.openxmlformats.org/officeDocument/2006/relationships/hyperlink" Target="https://doi.org/" TargetMode="External"/><Relationship Id="rId382" Type="http://schemas.openxmlformats.org/officeDocument/2006/relationships/hyperlink" Target="https://doi.org/" TargetMode="External"/><Relationship Id="rId1098" Type="http://schemas.openxmlformats.org/officeDocument/2006/relationships/hyperlink" Target="https://doi.org/10.17190/AMF/2204881" TargetMode="External"/><Relationship Id="rId5" Type="http://schemas.openxmlformats.org/officeDocument/2006/relationships/hyperlink" Target="https://doi.org/10.17190/AMF/1865474" TargetMode="External"/><Relationship Id="rId147" Type="http://schemas.openxmlformats.org/officeDocument/2006/relationships/hyperlink" Target="https://doi.org/" TargetMode="External"/><Relationship Id="rId389" Type="http://schemas.openxmlformats.org/officeDocument/2006/relationships/hyperlink" Target="https://doi.org/10.17190/AMF/1543385" TargetMode="External"/><Relationship Id="rId1099" Type="http://schemas.openxmlformats.org/officeDocument/2006/relationships/hyperlink" Target="https://doi.org/10.17190/AMF/1543380" TargetMode="External"/><Relationship Id="rId6" Type="http://schemas.openxmlformats.org/officeDocument/2006/relationships/hyperlink" Target="https://doi.org/" TargetMode="External"/><Relationship Id="rId146" Type="http://schemas.openxmlformats.org/officeDocument/2006/relationships/hyperlink" Target="https://doi.org/10.17190/AMF/2006960" TargetMode="External"/><Relationship Id="rId388" Type="http://schemas.openxmlformats.org/officeDocument/2006/relationships/hyperlink" Target="https://doi.org/10.17190/AMF/1881573" TargetMode="External"/><Relationship Id="rId7" Type="http://schemas.openxmlformats.org/officeDocument/2006/relationships/hyperlink" Target="https://doi.org/10.17190/AMF/2204054" TargetMode="External"/><Relationship Id="rId145" Type="http://schemas.openxmlformats.org/officeDocument/2006/relationships/hyperlink" Target="https://doi.org/10.17190/AMF/1246829" TargetMode="External"/><Relationship Id="rId387" Type="http://schemas.openxmlformats.org/officeDocument/2006/relationships/hyperlink" Target="https://doi.org/10.17190/AMF/1543383" TargetMode="External"/><Relationship Id="rId8" Type="http://schemas.openxmlformats.org/officeDocument/2006/relationships/hyperlink" Target="https://doi.org/" TargetMode="External"/><Relationship Id="rId144" Type="http://schemas.openxmlformats.org/officeDocument/2006/relationships/hyperlink" Target="https://doi.org/" TargetMode="External"/><Relationship Id="rId386" Type="http://schemas.openxmlformats.org/officeDocument/2006/relationships/hyperlink" Target="https://doi.org/10.17190/AMF/1832158" TargetMode="External"/><Relationship Id="rId381" Type="http://schemas.openxmlformats.org/officeDocument/2006/relationships/hyperlink" Target="https://doi.org/10.17190/AMF/1865477" TargetMode="External"/><Relationship Id="rId380" Type="http://schemas.openxmlformats.org/officeDocument/2006/relationships/hyperlink" Target="https://doi.org/" TargetMode="External"/><Relationship Id="rId139" Type="http://schemas.openxmlformats.org/officeDocument/2006/relationships/hyperlink" Target="https://doi.org/10.17190/AMF/1375199" TargetMode="External"/><Relationship Id="rId138" Type="http://schemas.openxmlformats.org/officeDocument/2006/relationships/hyperlink" Target="https://doi.org/" TargetMode="External"/><Relationship Id="rId137" Type="http://schemas.openxmlformats.org/officeDocument/2006/relationships/hyperlink" Target="https://doi.org/10.17190/AMF/1375198" TargetMode="External"/><Relationship Id="rId379" Type="http://schemas.openxmlformats.org/officeDocument/2006/relationships/hyperlink" Target="https://doi.org/10.17190/AMF/1865476" TargetMode="External"/><Relationship Id="rId1080" Type="http://schemas.openxmlformats.org/officeDocument/2006/relationships/hyperlink" Target="https://doi.org/" TargetMode="External"/><Relationship Id="rId1081" Type="http://schemas.openxmlformats.org/officeDocument/2006/relationships/hyperlink" Target="https://doi.org/" TargetMode="External"/><Relationship Id="rId1082" Type="http://schemas.openxmlformats.org/officeDocument/2006/relationships/hyperlink" Target="https://doi.org/" TargetMode="External"/><Relationship Id="rId1083" Type="http://schemas.openxmlformats.org/officeDocument/2006/relationships/hyperlink" Target="https://doi.org/10.17190/AMF/1245971" TargetMode="External"/><Relationship Id="rId132" Type="http://schemas.openxmlformats.org/officeDocument/2006/relationships/hyperlink" Target="https://doi.org/" TargetMode="External"/><Relationship Id="rId374" Type="http://schemas.openxmlformats.org/officeDocument/2006/relationships/hyperlink" Target="https://doi.org/10.17190/AMF/1881572" TargetMode="External"/><Relationship Id="rId1084" Type="http://schemas.openxmlformats.org/officeDocument/2006/relationships/hyperlink" Target="https://doi.org/10.17190/AMF/2204880" TargetMode="External"/><Relationship Id="rId131" Type="http://schemas.openxmlformats.org/officeDocument/2006/relationships/hyperlink" Target="https://doi.org/10.17190/AMF/1246004" TargetMode="External"/><Relationship Id="rId373" Type="http://schemas.openxmlformats.org/officeDocument/2006/relationships/hyperlink" Target="https://doi.org/10.17190/AMF/1756434" TargetMode="External"/><Relationship Id="rId1085" Type="http://schemas.openxmlformats.org/officeDocument/2006/relationships/hyperlink" Target="https://doi.org/10.17190/AMF/1804493" TargetMode="External"/><Relationship Id="rId130" Type="http://schemas.openxmlformats.org/officeDocument/2006/relationships/hyperlink" Target="https://doi.org/10.17190/AMF/1902829" TargetMode="External"/><Relationship Id="rId372" Type="http://schemas.openxmlformats.org/officeDocument/2006/relationships/hyperlink" Target="https://doi.org/10.17190/AMF/1881571" TargetMode="External"/><Relationship Id="rId1086" Type="http://schemas.openxmlformats.org/officeDocument/2006/relationships/hyperlink" Target="https://doi.org/" TargetMode="External"/><Relationship Id="rId371" Type="http://schemas.openxmlformats.org/officeDocument/2006/relationships/hyperlink" Target="https://doi.org/10.17190/AMF/1846662" TargetMode="External"/><Relationship Id="rId1087" Type="http://schemas.openxmlformats.org/officeDocument/2006/relationships/hyperlink" Target="https://doi.org/10.17190/AMF/1825939" TargetMode="External"/><Relationship Id="rId136" Type="http://schemas.openxmlformats.org/officeDocument/2006/relationships/hyperlink" Target="https://doi.org/" TargetMode="External"/><Relationship Id="rId378" Type="http://schemas.openxmlformats.org/officeDocument/2006/relationships/hyperlink" Target="https://doi.org/" TargetMode="External"/><Relationship Id="rId1088" Type="http://schemas.openxmlformats.org/officeDocument/2006/relationships/hyperlink" Target="https://doi.org/" TargetMode="External"/><Relationship Id="rId135" Type="http://schemas.openxmlformats.org/officeDocument/2006/relationships/hyperlink" Target="https://doi.org/10.17190/AMF/1375197" TargetMode="External"/><Relationship Id="rId377" Type="http://schemas.openxmlformats.org/officeDocument/2006/relationships/hyperlink" Target="https://doi.org/10.17190/AMF/1865475" TargetMode="External"/><Relationship Id="rId1089" Type="http://schemas.openxmlformats.org/officeDocument/2006/relationships/hyperlink" Target="https://doi.org/10.17190/AMF/1825940" TargetMode="External"/><Relationship Id="rId134" Type="http://schemas.openxmlformats.org/officeDocument/2006/relationships/hyperlink" Target="https://doi.org/" TargetMode="External"/><Relationship Id="rId376" Type="http://schemas.openxmlformats.org/officeDocument/2006/relationships/hyperlink" Target="https://doi.org/" TargetMode="External"/><Relationship Id="rId133" Type="http://schemas.openxmlformats.org/officeDocument/2006/relationships/hyperlink" Target="https://doi.org/10.17190/AMF/1246005" TargetMode="External"/><Relationship Id="rId375" Type="http://schemas.openxmlformats.org/officeDocument/2006/relationships/hyperlink" Target="https://doi.org/10.17190/AMF/1246042" TargetMode="External"/><Relationship Id="rId172" Type="http://schemas.openxmlformats.org/officeDocument/2006/relationships/hyperlink" Target="https://doi.org/10.17190/AMF/2006962" TargetMode="External"/><Relationship Id="rId171" Type="http://schemas.openxmlformats.org/officeDocument/2006/relationships/hyperlink" Target="https://doi.org/10.17190/AMF/1246009" TargetMode="External"/><Relationship Id="rId170" Type="http://schemas.openxmlformats.org/officeDocument/2006/relationships/hyperlink" Target="https://doi.org/" TargetMode="External"/><Relationship Id="rId165" Type="http://schemas.openxmlformats.org/officeDocument/2006/relationships/hyperlink" Target="https://doi.org/10.17190/AMF/1436321" TargetMode="External"/><Relationship Id="rId164" Type="http://schemas.openxmlformats.org/officeDocument/2006/relationships/hyperlink" Target="https://doi.org/" TargetMode="External"/><Relationship Id="rId163" Type="http://schemas.openxmlformats.org/officeDocument/2006/relationships/hyperlink" Target="https://doi.org/10.17190/AMF/1436320" TargetMode="External"/><Relationship Id="rId162" Type="http://schemas.openxmlformats.org/officeDocument/2006/relationships/hyperlink" Target="https://doi.org/" TargetMode="External"/><Relationship Id="rId169" Type="http://schemas.openxmlformats.org/officeDocument/2006/relationships/hyperlink" Target="https://doi.org/10.17190/AMF/1767830" TargetMode="External"/><Relationship Id="rId168" Type="http://schemas.openxmlformats.org/officeDocument/2006/relationships/hyperlink" Target="https://doi.org/" TargetMode="External"/><Relationship Id="rId167" Type="http://schemas.openxmlformats.org/officeDocument/2006/relationships/hyperlink" Target="https://doi.org/10.17190/AMF/1436322" TargetMode="External"/><Relationship Id="rId166" Type="http://schemas.openxmlformats.org/officeDocument/2006/relationships/hyperlink" Target="https://doi.org/" TargetMode="External"/><Relationship Id="rId161" Type="http://schemas.openxmlformats.org/officeDocument/2006/relationships/hyperlink" Target="https://doi.org/10.17190/AMF/1246008" TargetMode="External"/><Relationship Id="rId160" Type="http://schemas.openxmlformats.org/officeDocument/2006/relationships/hyperlink" Target="https://doi.org/10.17190/AMF/2006961" TargetMode="External"/><Relationship Id="rId159" Type="http://schemas.openxmlformats.org/officeDocument/2006/relationships/hyperlink" Target="https://doi.org/10.17190/AMF/1246007" TargetMode="External"/><Relationship Id="rId154" Type="http://schemas.openxmlformats.org/officeDocument/2006/relationships/hyperlink" Target="https://doi.org/" TargetMode="External"/><Relationship Id="rId396" Type="http://schemas.openxmlformats.org/officeDocument/2006/relationships/hyperlink" Target="https://doi.org/" TargetMode="External"/><Relationship Id="rId153" Type="http://schemas.openxmlformats.org/officeDocument/2006/relationships/hyperlink" Target="https://doi.org/10.17190/AMF/1498754" TargetMode="External"/><Relationship Id="rId395" Type="http://schemas.openxmlformats.org/officeDocument/2006/relationships/hyperlink" Target="https://doi.org/10.17190/AMF/1246044" TargetMode="External"/><Relationship Id="rId152" Type="http://schemas.openxmlformats.org/officeDocument/2006/relationships/hyperlink" Target="https://doi.org/" TargetMode="External"/><Relationship Id="rId394" Type="http://schemas.openxmlformats.org/officeDocument/2006/relationships/hyperlink" Target="https://doi.org/" TargetMode="External"/><Relationship Id="rId151" Type="http://schemas.openxmlformats.org/officeDocument/2006/relationships/hyperlink" Target="https://doi.org/" TargetMode="External"/><Relationship Id="rId393" Type="http://schemas.openxmlformats.org/officeDocument/2006/relationships/hyperlink" Target="https://doi.org/10.17190/AMF/1987600" TargetMode="External"/><Relationship Id="rId158" Type="http://schemas.openxmlformats.org/officeDocument/2006/relationships/hyperlink" Target="https://doi.org/10.17190/AMF/1902831" TargetMode="External"/><Relationship Id="rId157" Type="http://schemas.openxmlformats.org/officeDocument/2006/relationships/hyperlink" Target="https://doi.org/10.17190/AMF/1246006" TargetMode="External"/><Relationship Id="rId399" Type="http://schemas.openxmlformats.org/officeDocument/2006/relationships/hyperlink" Target="https://doi.org/10.17190/AMF/1987602" TargetMode="External"/><Relationship Id="rId156" Type="http://schemas.openxmlformats.org/officeDocument/2006/relationships/hyperlink" Target="https://doi.org/" TargetMode="External"/><Relationship Id="rId398" Type="http://schemas.openxmlformats.org/officeDocument/2006/relationships/hyperlink" Target="https://doi.org/" TargetMode="External"/><Relationship Id="rId155" Type="http://schemas.openxmlformats.org/officeDocument/2006/relationships/hyperlink" Target="https://doi.org/10.17190/AMF/1480303" TargetMode="External"/><Relationship Id="rId397" Type="http://schemas.openxmlformats.org/officeDocument/2006/relationships/hyperlink" Target="https://doi.org/10.17190/AMF/1987601" TargetMode="External"/><Relationship Id="rId808" Type="http://schemas.openxmlformats.org/officeDocument/2006/relationships/hyperlink" Target="https://doi.org/10.17190/AMF/1871140" TargetMode="External"/><Relationship Id="rId807" Type="http://schemas.openxmlformats.org/officeDocument/2006/relationships/hyperlink" Target="https://doi.org/10.17190/AMF/1246084" TargetMode="External"/><Relationship Id="rId806" Type="http://schemas.openxmlformats.org/officeDocument/2006/relationships/hyperlink" Target="https://doi.org/10.17190/AMF/1902837" TargetMode="External"/><Relationship Id="rId805" Type="http://schemas.openxmlformats.org/officeDocument/2006/relationships/hyperlink" Target="https://doi.org/10.17190/AMF/1480314" TargetMode="External"/><Relationship Id="rId809" Type="http://schemas.openxmlformats.org/officeDocument/2006/relationships/hyperlink" Target="https://doi.org/10.17190/AMF/1246085" TargetMode="External"/><Relationship Id="rId800" Type="http://schemas.openxmlformats.org/officeDocument/2006/relationships/hyperlink" Target="https://doi.org/10.17190/AMF/1902836" TargetMode="External"/><Relationship Id="rId804" Type="http://schemas.openxmlformats.org/officeDocument/2006/relationships/hyperlink" Target="https://doi.org/10.17190/AMF/2204872" TargetMode="External"/><Relationship Id="rId803" Type="http://schemas.openxmlformats.org/officeDocument/2006/relationships/hyperlink" Target="https://doi.org/10.17190/AMF/1419506" TargetMode="External"/><Relationship Id="rId802" Type="http://schemas.openxmlformats.org/officeDocument/2006/relationships/hyperlink" Target="https://doi.org/" TargetMode="External"/><Relationship Id="rId801" Type="http://schemas.openxmlformats.org/officeDocument/2006/relationships/hyperlink" Target="https://doi.org/10.17190/AMF/1246083" TargetMode="External"/><Relationship Id="rId40" Type="http://schemas.openxmlformats.org/officeDocument/2006/relationships/hyperlink" Target="https://doi.org/" TargetMode="External"/><Relationship Id="rId42" Type="http://schemas.openxmlformats.org/officeDocument/2006/relationships/hyperlink" Target="https://doi.org/" TargetMode="External"/><Relationship Id="rId41" Type="http://schemas.openxmlformats.org/officeDocument/2006/relationships/hyperlink" Target="https://doi.org/10.17190/AMF/1245995" TargetMode="External"/><Relationship Id="rId44" Type="http://schemas.openxmlformats.org/officeDocument/2006/relationships/hyperlink" Target="https://doi.org/" TargetMode="External"/><Relationship Id="rId43" Type="http://schemas.openxmlformats.org/officeDocument/2006/relationships/hyperlink" Target="https://doi.org/" TargetMode="External"/><Relationship Id="rId46" Type="http://schemas.openxmlformats.org/officeDocument/2006/relationships/hyperlink" Target="https://doi.org/" TargetMode="External"/><Relationship Id="rId45" Type="http://schemas.openxmlformats.org/officeDocument/2006/relationships/hyperlink" Target="https://doi.org/" TargetMode="External"/><Relationship Id="rId509" Type="http://schemas.openxmlformats.org/officeDocument/2006/relationships/hyperlink" Target="https://doi.org/10.17190/AMF/1562388" TargetMode="External"/><Relationship Id="rId508" Type="http://schemas.openxmlformats.org/officeDocument/2006/relationships/hyperlink" Target="https://doi.org/" TargetMode="External"/><Relationship Id="rId503" Type="http://schemas.openxmlformats.org/officeDocument/2006/relationships/hyperlink" Target="https://doi.org/10.17190/AMF/1246119" TargetMode="External"/><Relationship Id="rId745" Type="http://schemas.openxmlformats.org/officeDocument/2006/relationships/hyperlink" Target="https://doi.org/10.17190/AMF/1825938" TargetMode="External"/><Relationship Id="rId987" Type="http://schemas.openxmlformats.org/officeDocument/2006/relationships/hyperlink" Target="https://doi.org/10.17190/AMF/1419502" TargetMode="External"/><Relationship Id="rId502" Type="http://schemas.openxmlformats.org/officeDocument/2006/relationships/hyperlink" Target="https://doi.org/" TargetMode="External"/><Relationship Id="rId744" Type="http://schemas.openxmlformats.org/officeDocument/2006/relationships/hyperlink" Target="https://doi.org/" TargetMode="External"/><Relationship Id="rId986" Type="http://schemas.openxmlformats.org/officeDocument/2006/relationships/hyperlink" Target="https://doi.org/" TargetMode="External"/><Relationship Id="rId501" Type="http://schemas.openxmlformats.org/officeDocument/2006/relationships/hyperlink" Target="https://doi.org/" TargetMode="External"/><Relationship Id="rId743" Type="http://schemas.openxmlformats.org/officeDocument/2006/relationships/hyperlink" Target="https://doi.org/10.17190/AMF/1660349" TargetMode="External"/><Relationship Id="rId985" Type="http://schemas.openxmlformats.org/officeDocument/2006/relationships/hyperlink" Target="https://doi.org/10.17190/AMF/1419503" TargetMode="External"/><Relationship Id="rId500" Type="http://schemas.openxmlformats.org/officeDocument/2006/relationships/hyperlink" Target="https://doi.org/10.17190/AMF/2007170" TargetMode="External"/><Relationship Id="rId742" Type="http://schemas.openxmlformats.org/officeDocument/2006/relationships/hyperlink" Target="https://doi.org/" TargetMode="External"/><Relationship Id="rId984" Type="http://schemas.openxmlformats.org/officeDocument/2006/relationships/hyperlink" Target="https://doi.org/" TargetMode="External"/><Relationship Id="rId507" Type="http://schemas.openxmlformats.org/officeDocument/2006/relationships/hyperlink" Target="https://doi.org/" TargetMode="External"/><Relationship Id="rId749" Type="http://schemas.openxmlformats.org/officeDocument/2006/relationships/hyperlink" Target="https://doi.org/10.17190/AMF/1865480" TargetMode="External"/><Relationship Id="rId506" Type="http://schemas.openxmlformats.org/officeDocument/2006/relationships/hyperlink" Target="https://doi.org/" TargetMode="External"/><Relationship Id="rId748" Type="http://schemas.openxmlformats.org/officeDocument/2006/relationships/hyperlink" Target="https://doi.org/" TargetMode="External"/><Relationship Id="rId505" Type="http://schemas.openxmlformats.org/officeDocument/2006/relationships/hyperlink" Target="https://doi.org/10.17190/AMF/2229155" TargetMode="External"/><Relationship Id="rId747" Type="http://schemas.openxmlformats.org/officeDocument/2006/relationships/hyperlink" Target="https://doi.org/10.17190/AMF/1865479" TargetMode="External"/><Relationship Id="rId989" Type="http://schemas.openxmlformats.org/officeDocument/2006/relationships/hyperlink" Target="https://doi.org/10.17190/AMF/1419501" TargetMode="External"/><Relationship Id="rId504" Type="http://schemas.openxmlformats.org/officeDocument/2006/relationships/hyperlink" Target="https://doi.org/" TargetMode="External"/><Relationship Id="rId746" Type="http://schemas.openxmlformats.org/officeDocument/2006/relationships/hyperlink" Target="https://doi.org/" TargetMode="External"/><Relationship Id="rId988" Type="http://schemas.openxmlformats.org/officeDocument/2006/relationships/hyperlink" Target="https://doi.org/" TargetMode="External"/><Relationship Id="rId48" Type="http://schemas.openxmlformats.org/officeDocument/2006/relationships/hyperlink" Target="https://doi.org/" TargetMode="External"/><Relationship Id="rId47" Type="http://schemas.openxmlformats.org/officeDocument/2006/relationships/hyperlink" Target="https://doi.org/" TargetMode="External"/><Relationship Id="rId49" Type="http://schemas.openxmlformats.org/officeDocument/2006/relationships/hyperlink" Target="https://doi.org/10.17190/AMF/1480319" TargetMode="External"/><Relationship Id="rId741" Type="http://schemas.openxmlformats.org/officeDocument/2006/relationships/hyperlink" Target="https://doi.org/" TargetMode="External"/><Relationship Id="rId983" Type="http://schemas.openxmlformats.org/officeDocument/2006/relationships/hyperlink" Target="https://doi.org/10.17190/AMF/1419505" TargetMode="External"/><Relationship Id="rId740" Type="http://schemas.openxmlformats.org/officeDocument/2006/relationships/hyperlink" Target="https://doi.org/" TargetMode="External"/><Relationship Id="rId982" Type="http://schemas.openxmlformats.org/officeDocument/2006/relationships/hyperlink" Target="https://doi.org/" TargetMode="External"/><Relationship Id="rId981" Type="http://schemas.openxmlformats.org/officeDocument/2006/relationships/hyperlink" Target="https://doi.org/" TargetMode="External"/><Relationship Id="rId980" Type="http://schemas.openxmlformats.org/officeDocument/2006/relationships/hyperlink" Target="https://doi.org/" TargetMode="External"/><Relationship Id="rId31" Type="http://schemas.openxmlformats.org/officeDocument/2006/relationships/hyperlink" Target="https://doi.org/" TargetMode="External"/><Relationship Id="rId30" Type="http://schemas.openxmlformats.org/officeDocument/2006/relationships/hyperlink" Target="https://doi.org/" TargetMode="External"/><Relationship Id="rId33" Type="http://schemas.openxmlformats.org/officeDocument/2006/relationships/hyperlink" Target="https://doi.org/" TargetMode="External"/><Relationship Id="rId32" Type="http://schemas.openxmlformats.org/officeDocument/2006/relationships/hyperlink" Target="https://doi.org/" TargetMode="External"/><Relationship Id="rId35" Type="http://schemas.openxmlformats.org/officeDocument/2006/relationships/hyperlink" Target="https://doi.org/10.17190/AMF/1579716" TargetMode="External"/><Relationship Id="rId34" Type="http://schemas.openxmlformats.org/officeDocument/2006/relationships/hyperlink" Target="https://doi.org/" TargetMode="External"/><Relationship Id="rId739" Type="http://schemas.openxmlformats.org/officeDocument/2006/relationships/hyperlink" Target="https://doi.org/" TargetMode="External"/><Relationship Id="rId734" Type="http://schemas.openxmlformats.org/officeDocument/2006/relationships/hyperlink" Target="https://doi.org/10.17190/AMF/2204871" TargetMode="External"/><Relationship Id="rId976" Type="http://schemas.openxmlformats.org/officeDocument/2006/relationships/hyperlink" Target="https://doi.org/" TargetMode="External"/><Relationship Id="rId733" Type="http://schemas.openxmlformats.org/officeDocument/2006/relationships/hyperlink" Target="https://doi.org/10.17190/AMF/1246128" TargetMode="External"/><Relationship Id="rId975" Type="http://schemas.openxmlformats.org/officeDocument/2006/relationships/hyperlink" Target="https://doi.org/" TargetMode="External"/><Relationship Id="rId732" Type="http://schemas.openxmlformats.org/officeDocument/2006/relationships/hyperlink" Target="https://doi.org/" TargetMode="External"/><Relationship Id="rId974" Type="http://schemas.openxmlformats.org/officeDocument/2006/relationships/hyperlink" Target="https://doi.org/" TargetMode="External"/><Relationship Id="rId731" Type="http://schemas.openxmlformats.org/officeDocument/2006/relationships/hyperlink" Target="https://doi.org/10.17190/AMF/1246079" TargetMode="External"/><Relationship Id="rId973" Type="http://schemas.openxmlformats.org/officeDocument/2006/relationships/hyperlink" Target="https://doi.org/10.17190/AMF/1987604" TargetMode="External"/><Relationship Id="rId738" Type="http://schemas.openxmlformats.org/officeDocument/2006/relationships/hyperlink" Target="https://doi.org/" TargetMode="External"/><Relationship Id="rId737" Type="http://schemas.openxmlformats.org/officeDocument/2006/relationships/hyperlink" Target="https://doi.org/10.17190/AMF/1433375" TargetMode="External"/><Relationship Id="rId979" Type="http://schemas.openxmlformats.org/officeDocument/2006/relationships/hyperlink" Target="https://doi.org/" TargetMode="External"/><Relationship Id="rId736" Type="http://schemas.openxmlformats.org/officeDocument/2006/relationships/hyperlink" Target="https://doi.org/" TargetMode="External"/><Relationship Id="rId978" Type="http://schemas.openxmlformats.org/officeDocument/2006/relationships/hyperlink" Target="https://doi.org/" TargetMode="External"/><Relationship Id="rId735" Type="http://schemas.openxmlformats.org/officeDocument/2006/relationships/hyperlink" Target="https://doi.org/10.17190/AMF/2331381" TargetMode="External"/><Relationship Id="rId977" Type="http://schemas.openxmlformats.org/officeDocument/2006/relationships/hyperlink" Target="https://doi.org/" TargetMode="External"/><Relationship Id="rId37" Type="http://schemas.openxmlformats.org/officeDocument/2006/relationships/hyperlink" Target="https://doi.org/" TargetMode="External"/><Relationship Id="rId36" Type="http://schemas.openxmlformats.org/officeDocument/2006/relationships/hyperlink" Target="https://doi.org/10.17190/AMF/1881563" TargetMode="External"/><Relationship Id="rId39" Type="http://schemas.openxmlformats.org/officeDocument/2006/relationships/hyperlink" Target="https://doi.org/10.17190/AMF/1245994" TargetMode="External"/><Relationship Id="rId38" Type="http://schemas.openxmlformats.org/officeDocument/2006/relationships/hyperlink" Target="https://doi.org/" TargetMode="External"/><Relationship Id="rId730" Type="http://schemas.openxmlformats.org/officeDocument/2006/relationships/hyperlink" Target="https://doi.org/" TargetMode="External"/><Relationship Id="rId972" Type="http://schemas.openxmlformats.org/officeDocument/2006/relationships/hyperlink" Target="https://doi.org/10.17190/AMF/1881592" TargetMode="External"/><Relationship Id="rId971" Type="http://schemas.openxmlformats.org/officeDocument/2006/relationships/hyperlink" Target="https://doi.org/10.17190/AMF/1375201" TargetMode="External"/><Relationship Id="rId1320" Type="http://schemas.openxmlformats.org/officeDocument/2006/relationships/hyperlink" Target="https://doi.org/" TargetMode="External"/><Relationship Id="rId970" Type="http://schemas.openxmlformats.org/officeDocument/2006/relationships/hyperlink" Target="https://doi.org/10.17190/AMF/1881591" TargetMode="External"/><Relationship Id="rId1321" Type="http://schemas.openxmlformats.org/officeDocument/2006/relationships/drawing" Target="../drawings/drawing4.xml"/><Relationship Id="rId1114" Type="http://schemas.openxmlformats.org/officeDocument/2006/relationships/hyperlink" Target="https://doi.org/" TargetMode="External"/><Relationship Id="rId1115" Type="http://schemas.openxmlformats.org/officeDocument/2006/relationships/hyperlink" Target="https://doi.org/" TargetMode="External"/><Relationship Id="rId20" Type="http://schemas.openxmlformats.org/officeDocument/2006/relationships/hyperlink" Target="https://doi.org/10.17190/AMF/1902820" TargetMode="External"/><Relationship Id="rId1116" Type="http://schemas.openxmlformats.org/officeDocument/2006/relationships/hyperlink" Target="https://doi.org/" TargetMode="External"/><Relationship Id="rId1117" Type="http://schemas.openxmlformats.org/officeDocument/2006/relationships/hyperlink" Target="https://doi.org/" TargetMode="External"/><Relationship Id="rId22" Type="http://schemas.openxmlformats.org/officeDocument/2006/relationships/hyperlink" Target="https://doi.org/" TargetMode="External"/><Relationship Id="rId1118" Type="http://schemas.openxmlformats.org/officeDocument/2006/relationships/hyperlink" Target="https://doi.org/" TargetMode="External"/><Relationship Id="rId21" Type="http://schemas.openxmlformats.org/officeDocument/2006/relationships/hyperlink" Target="https://doi.org/" TargetMode="External"/><Relationship Id="rId1119" Type="http://schemas.openxmlformats.org/officeDocument/2006/relationships/hyperlink" Target="https://doi.org/" TargetMode="External"/><Relationship Id="rId24" Type="http://schemas.openxmlformats.org/officeDocument/2006/relationships/hyperlink" Target="https://doi.org/" TargetMode="External"/><Relationship Id="rId23" Type="http://schemas.openxmlformats.org/officeDocument/2006/relationships/hyperlink" Target="https://doi.org/" TargetMode="External"/><Relationship Id="rId525" Type="http://schemas.openxmlformats.org/officeDocument/2006/relationships/hyperlink" Target="https://doi.org/10.17190/AMF/1246051" TargetMode="External"/><Relationship Id="rId767" Type="http://schemas.openxmlformats.org/officeDocument/2006/relationships/hyperlink" Target="https://doi.org/10.17190/AMF/1902276" TargetMode="External"/><Relationship Id="rId524" Type="http://schemas.openxmlformats.org/officeDocument/2006/relationships/hyperlink" Target="https://doi.org/" TargetMode="External"/><Relationship Id="rId766" Type="http://schemas.openxmlformats.org/officeDocument/2006/relationships/hyperlink" Target="https://doi.org/10.17190/AMF/2229382" TargetMode="External"/><Relationship Id="rId523" Type="http://schemas.openxmlformats.org/officeDocument/2006/relationships/hyperlink" Target="https://doi.org/10.17190/AMF/1246055" TargetMode="External"/><Relationship Id="rId765" Type="http://schemas.openxmlformats.org/officeDocument/2006/relationships/hyperlink" Target="https://doi.org/10.17190/AMF/1870588" TargetMode="External"/><Relationship Id="rId522" Type="http://schemas.openxmlformats.org/officeDocument/2006/relationships/hyperlink" Target="https://doi.org/" TargetMode="External"/><Relationship Id="rId764" Type="http://schemas.openxmlformats.org/officeDocument/2006/relationships/hyperlink" Target="https://doi.org/" TargetMode="External"/><Relationship Id="rId529" Type="http://schemas.openxmlformats.org/officeDocument/2006/relationships/hyperlink" Target="https://doi.org/10.17190/AMF/1375200" TargetMode="External"/><Relationship Id="rId528" Type="http://schemas.openxmlformats.org/officeDocument/2006/relationships/hyperlink" Target="https://doi.org/" TargetMode="External"/><Relationship Id="rId527" Type="http://schemas.openxmlformats.org/officeDocument/2006/relationships/hyperlink" Target="https://doi.org/10.17190/AMF/1246052" TargetMode="External"/><Relationship Id="rId769" Type="http://schemas.openxmlformats.org/officeDocument/2006/relationships/hyperlink" Target="https://doi.org/10.17190/AMF/1870589" TargetMode="External"/><Relationship Id="rId526" Type="http://schemas.openxmlformats.org/officeDocument/2006/relationships/hyperlink" Target="https://doi.org/10.17190/AMF/2007174" TargetMode="External"/><Relationship Id="rId768" Type="http://schemas.openxmlformats.org/officeDocument/2006/relationships/hyperlink" Target="https://doi.org/10.17190/AMF/2229383" TargetMode="External"/><Relationship Id="rId26" Type="http://schemas.openxmlformats.org/officeDocument/2006/relationships/hyperlink" Target="https://doi.org/" TargetMode="External"/><Relationship Id="rId25" Type="http://schemas.openxmlformats.org/officeDocument/2006/relationships/hyperlink" Target="https://doi.org/" TargetMode="External"/><Relationship Id="rId28" Type="http://schemas.openxmlformats.org/officeDocument/2006/relationships/hyperlink" Target="https://doi.org/" TargetMode="External"/><Relationship Id="rId27" Type="http://schemas.openxmlformats.org/officeDocument/2006/relationships/hyperlink" Target="https://doi.org/" TargetMode="External"/><Relationship Id="rId521" Type="http://schemas.openxmlformats.org/officeDocument/2006/relationships/hyperlink" Target="https://doi.org/10.17190/AMF/1246054" TargetMode="External"/><Relationship Id="rId763" Type="http://schemas.openxmlformats.org/officeDocument/2006/relationships/hyperlink" Target="https://doi.org/" TargetMode="External"/><Relationship Id="rId1110" Type="http://schemas.openxmlformats.org/officeDocument/2006/relationships/hyperlink" Target="https://doi.org/" TargetMode="External"/><Relationship Id="rId29" Type="http://schemas.openxmlformats.org/officeDocument/2006/relationships/hyperlink" Target="https://doi.org/" TargetMode="External"/><Relationship Id="rId520" Type="http://schemas.openxmlformats.org/officeDocument/2006/relationships/hyperlink" Target="https://doi.org/" TargetMode="External"/><Relationship Id="rId762" Type="http://schemas.openxmlformats.org/officeDocument/2006/relationships/hyperlink" Target="https://doi.org/" TargetMode="External"/><Relationship Id="rId1111" Type="http://schemas.openxmlformats.org/officeDocument/2006/relationships/hyperlink" Target="https://doi.org/" TargetMode="External"/><Relationship Id="rId761" Type="http://schemas.openxmlformats.org/officeDocument/2006/relationships/hyperlink" Target="https://doi.org/" TargetMode="External"/><Relationship Id="rId1112" Type="http://schemas.openxmlformats.org/officeDocument/2006/relationships/hyperlink" Target="https://doi.org/" TargetMode="External"/><Relationship Id="rId760" Type="http://schemas.openxmlformats.org/officeDocument/2006/relationships/hyperlink" Target="https://doi.org/" TargetMode="External"/><Relationship Id="rId1113" Type="http://schemas.openxmlformats.org/officeDocument/2006/relationships/hyperlink" Target="https://doi.org/" TargetMode="External"/><Relationship Id="rId1103" Type="http://schemas.openxmlformats.org/officeDocument/2006/relationships/hyperlink" Target="https://doi.org/" TargetMode="External"/><Relationship Id="rId1104" Type="http://schemas.openxmlformats.org/officeDocument/2006/relationships/hyperlink" Target="https://doi.org/" TargetMode="External"/><Relationship Id="rId1105" Type="http://schemas.openxmlformats.org/officeDocument/2006/relationships/hyperlink" Target="https://doi.org/" TargetMode="External"/><Relationship Id="rId1106" Type="http://schemas.openxmlformats.org/officeDocument/2006/relationships/hyperlink" Target="https://doi.org/" TargetMode="External"/><Relationship Id="rId11" Type="http://schemas.openxmlformats.org/officeDocument/2006/relationships/hyperlink" Target="https://doi.org/10.17190/AMF/1543389" TargetMode="External"/><Relationship Id="rId1107" Type="http://schemas.openxmlformats.org/officeDocument/2006/relationships/hyperlink" Target="https://doi.org/" TargetMode="External"/><Relationship Id="rId10" Type="http://schemas.openxmlformats.org/officeDocument/2006/relationships/hyperlink" Target="https://doi.org/" TargetMode="External"/><Relationship Id="rId1108" Type="http://schemas.openxmlformats.org/officeDocument/2006/relationships/hyperlink" Target="https://doi.org/" TargetMode="External"/><Relationship Id="rId13" Type="http://schemas.openxmlformats.org/officeDocument/2006/relationships/hyperlink" Target="https://doi.org/10.17190/AMF/1543388" TargetMode="External"/><Relationship Id="rId1109" Type="http://schemas.openxmlformats.org/officeDocument/2006/relationships/hyperlink" Target="https://doi.org/" TargetMode="External"/><Relationship Id="rId12" Type="http://schemas.openxmlformats.org/officeDocument/2006/relationships/hyperlink" Target="https://doi.org/10.17190/AMF/1818370" TargetMode="External"/><Relationship Id="rId519" Type="http://schemas.openxmlformats.org/officeDocument/2006/relationships/hyperlink" Target="https://doi.org/" TargetMode="External"/><Relationship Id="rId514" Type="http://schemas.openxmlformats.org/officeDocument/2006/relationships/hyperlink" Target="https://doi.org/" TargetMode="External"/><Relationship Id="rId756" Type="http://schemas.openxmlformats.org/officeDocument/2006/relationships/hyperlink" Target="https://doi.org/" TargetMode="External"/><Relationship Id="rId998" Type="http://schemas.openxmlformats.org/officeDocument/2006/relationships/hyperlink" Target="https://doi.org/10.17190/AMF/1984572" TargetMode="External"/><Relationship Id="rId513" Type="http://schemas.openxmlformats.org/officeDocument/2006/relationships/hyperlink" Target="https://doi.org/" TargetMode="External"/><Relationship Id="rId755" Type="http://schemas.openxmlformats.org/officeDocument/2006/relationships/hyperlink" Target="https://doi.org/10.17190/AMF/1617716" TargetMode="External"/><Relationship Id="rId997" Type="http://schemas.openxmlformats.org/officeDocument/2006/relationships/hyperlink" Target="https://doi.org/10.17190/AMF/1246124" TargetMode="External"/><Relationship Id="rId512" Type="http://schemas.openxmlformats.org/officeDocument/2006/relationships/hyperlink" Target="https://doi.org/10.17190/AMF/2007173" TargetMode="External"/><Relationship Id="rId754" Type="http://schemas.openxmlformats.org/officeDocument/2006/relationships/hyperlink" Target="https://doi.org/" TargetMode="External"/><Relationship Id="rId996" Type="http://schemas.openxmlformats.org/officeDocument/2006/relationships/hyperlink" Target="https://doi.org/" TargetMode="External"/><Relationship Id="rId511" Type="http://schemas.openxmlformats.org/officeDocument/2006/relationships/hyperlink" Target="https://doi.org/10.17190/AMF/1246050" TargetMode="External"/><Relationship Id="rId753" Type="http://schemas.openxmlformats.org/officeDocument/2006/relationships/hyperlink" Target="https://doi.org/10.17190/AMF/1617715" TargetMode="External"/><Relationship Id="rId995" Type="http://schemas.openxmlformats.org/officeDocument/2006/relationships/hyperlink" Target="https://doi.org/" TargetMode="External"/><Relationship Id="rId518" Type="http://schemas.openxmlformats.org/officeDocument/2006/relationships/hyperlink" Target="https://doi.org/" TargetMode="External"/><Relationship Id="rId517" Type="http://schemas.openxmlformats.org/officeDocument/2006/relationships/hyperlink" Target="https://doi.org/10.17190/AMF/1246053" TargetMode="External"/><Relationship Id="rId759" Type="http://schemas.openxmlformats.org/officeDocument/2006/relationships/hyperlink" Target="https://doi.org/" TargetMode="External"/><Relationship Id="rId516" Type="http://schemas.openxmlformats.org/officeDocument/2006/relationships/hyperlink" Target="https://doi.org/" TargetMode="External"/><Relationship Id="rId758" Type="http://schemas.openxmlformats.org/officeDocument/2006/relationships/hyperlink" Target="https://doi.org/10.17190/AMF/1854369" TargetMode="External"/><Relationship Id="rId515" Type="http://schemas.openxmlformats.org/officeDocument/2006/relationships/hyperlink" Target="https://doi.org/" TargetMode="External"/><Relationship Id="rId757" Type="http://schemas.openxmlformats.org/officeDocument/2006/relationships/hyperlink" Target="https://doi.org/10.17190/AMF/1246080" TargetMode="External"/><Relationship Id="rId999" Type="http://schemas.openxmlformats.org/officeDocument/2006/relationships/hyperlink" Target="https://doi.org/10.17190/AMF/1246125" TargetMode="External"/><Relationship Id="rId15" Type="http://schemas.openxmlformats.org/officeDocument/2006/relationships/hyperlink" Target="https://doi.org/" TargetMode="External"/><Relationship Id="rId990" Type="http://schemas.openxmlformats.org/officeDocument/2006/relationships/hyperlink" Target="https://doi.org/" TargetMode="External"/><Relationship Id="rId14" Type="http://schemas.openxmlformats.org/officeDocument/2006/relationships/hyperlink" Target="https://doi.org/" TargetMode="External"/><Relationship Id="rId17" Type="http://schemas.openxmlformats.org/officeDocument/2006/relationships/hyperlink" Target="https://doi.org/" TargetMode="External"/><Relationship Id="rId16" Type="http://schemas.openxmlformats.org/officeDocument/2006/relationships/hyperlink" Target="https://doi.org/" TargetMode="External"/><Relationship Id="rId19" Type="http://schemas.openxmlformats.org/officeDocument/2006/relationships/hyperlink" Target="https://doi.org/10.17190/AMF/1562386" TargetMode="External"/><Relationship Id="rId510" Type="http://schemas.openxmlformats.org/officeDocument/2006/relationships/hyperlink" Target="https://doi.org/10.17190/AMF/2007172" TargetMode="External"/><Relationship Id="rId752" Type="http://schemas.openxmlformats.org/officeDocument/2006/relationships/hyperlink" Target="https://doi.org/" TargetMode="External"/><Relationship Id="rId994" Type="http://schemas.openxmlformats.org/officeDocument/2006/relationships/hyperlink" Target="https://doi.org/" TargetMode="External"/><Relationship Id="rId18" Type="http://schemas.openxmlformats.org/officeDocument/2006/relationships/hyperlink" Target="https://doi.org/" TargetMode="External"/><Relationship Id="rId751" Type="http://schemas.openxmlformats.org/officeDocument/2006/relationships/hyperlink" Target="https://doi.org/10.17190/AMF/1865481" TargetMode="External"/><Relationship Id="rId993" Type="http://schemas.openxmlformats.org/officeDocument/2006/relationships/hyperlink" Target="https://doi.org/10.17190/AMF/1246136" TargetMode="External"/><Relationship Id="rId1100" Type="http://schemas.openxmlformats.org/officeDocument/2006/relationships/hyperlink" Target="https://doi.org/10.17190/AMF/1881595" TargetMode="External"/><Relationship Id="rId750" Type="http://schemas.openxmlformats.org/officeDocument/2006/relationships/hyperlink" Target="https://doi.org/" TargetMode="External"/><Relationship Id="rId992" Type="http://schemas.openxmlformats.org/officeDocument/2006/relationships/hyperlink" Target="https://doi.org/" TargetMode="External"/><Relationship Id="rId1101" Type="http://schemas.openxmlformats.org/officeDocument/2006/relationships/hyperlink" Target="https://doi.org/10.17190/AMF/1246140" TargetMode="External"/><Relationship Id="rId991" Type="http://schemas.openxmlformats.org/officeDocument/2006/relationships/hyperlink" Target="https://doi.org/10.17190/AMF/1419504" TargetMode="External"/><Relationship Id="rId1102" Type="http://schemas.openxmlformats.org/officeDocument/2006/relationships/hyperlink" Target="https://doi.org/" TargetMode="External"/><Relationship Id="rId84" Type="http://schemas.openxmlformats.org/officeDocument/2006/relationships/hyperlink" Target="https://doi.org/" TargetMode="External"/><Relationship Id="rId83" Type="http://schemas.openxmlformats.org/officeDocument/2006/relationships/hyperlink" Target="https://doi.org/10.17190/AMF/2331380" TargetMode="External"/><Relationship Id="rId86" Type="http://schemas.openxmlformats.org/officeDocument/2006/relationships/hyperlink" Target="https://doi.org/" TargetMode="External"/><Relationship Id="rId85" Type="http://schemas.openxmlformats.org/officeDocument/2006/relationships/hyperlink" Target="https://doi.org/" TargetMode="External"/><Relationship Id="rId88" Type="http://schemas.openxmlformats.org/officeDocument/2006/relationships/hyperlink" Target="https://doi.org/10.17190/AMF/1832154" TargetMode="External"/><Relationship Id="rId87" Type="http://schemas.openxmlformats.org/officeDocument/2006/relationships/hyperlink" Target="https://doi.org/10.17190/AMF/1579541" TargetMode="External"/><Relationship Id="rId89" Type="http://schemas.openxmlformats.org/officeDocument/2006/relationships/hyperlink" Target="https://doi.org/" TargetMode="External"/><Relationship Id="rId709" Type="http://schemas.openxmlformats.org/officeDocument/2006/relationships/hyperlink" Target="https://doi.org/" TargetMode="External"/><Relationship Id="rId708" Type="http://schemas.openxmlformats.org/officeDocument/2006/relationships/hyperlink" Target="https://doi.org/10.17190/AMF/2204870" TargetMode="External"/><Relationship Id="rId707" Type="http://schemas.openxmlformats.org/officeDocument/2006/relationships/hyperlink" Target="https://doi.org/10.17190/AMF/1660347" TargetMode="External"/><Relationship Id="rId949" Type="http://schemas.openxmlformats.org/officeDocument/2006/relationships/hyperlink" Target="https://doi.org/10.17190/AMF/1375202" TargetMode="External"/><Relationship Id="rId706" Type="http://schemas.openxmlformats.org/officeDocument/2006/relationships/hyperlink" Target="https://doi.org/" TargetMode="External"/><Relationship Id="rId948" Type="http://schemas.openxmlformats.org/officeDocument/2006/relationships/hyperlink" Target="https://doi.org/10.17190/AMF/2229387" TargetMode="External"/><Relationship Id="rId80" Type="http://schemas.openxmlformats.org/officeDocument/2006/relationships/hyperlink" Target="https://doi.org/" TargetMode="External"/><Relationship Id="rId82" Type="http://schemas.openxmlformats.org/officeDocument/2006/relationships/hyperlink" Target="https://doi.org/" TargetMode="External"/><Relationship Id="rId81" Type="http://schemas.openxmlformats.org/officeDocument/2006/relationships/hyperlink" Target="https://doi.org/10.17190/AMF/2315766" TargetMode="External"/><Relationship Id="rId701" Type="http://schemas.openxmlformats.org/officeDocument/2006/relationships/hyperlink" Target="https://doi.org/10.17190/AMF/1246071" TargetMode="External"/><Relationship Id="rId943" Type="http://schemas.openxmlformats.org/officeDocument/2006/relationships/hyperlink" Target="https://doi.org/10.17190/AMF/1880914" TargetMode="External"/><Relationship Id="rId700" Type="http://schemas.openxmlformats.org/officeDocument/2006/relationships/hyperlink" Target="https://doi.org/" TargetMode="External"/><Relationship Id="rId942" Type="http://schemas.openxmlformats.org/officeDocument/2006/relationships/hyperlink" Target="https://doi.org/" TargetMode="External"/><Relationship Id="rId941" Type="http://schemas.openxmlformats.org/officeDocument/2006/relationships/hyperlink" Target="https://doi.org/" TargetMode="External"/><Relationship Id="rId940" Type="http://schemas.openxmlformats.org/officeDocument/2006/relationships/hyperlink" Target="https://doi.org/" TargetMode="External"/><Relationship Id="rId705" Type="http://schemas.openxmlformats.org/officeDocument/2006/relationships/hyperlink" Target="https://doi.org/10.17190/AMF/1660346" TargetMode="External"/><Relationship Id="rId947" Type="http://schemas.openxmlformats.org/officeDocument/2006/relationships/hyperlink" Target="https://doi.org/10.17190/AMF/1418682" TargetMode="External"/><Relationship Id="rId704" Type="http://schemas.openxmlformats.org/officeDocument/2006/relationships/hyperlink" Target="https://doi.org/" TargetMode="External"/><Relationship Id="rId946" Type="http://schemas.openxmlformats.org/officeDocument/2006/relationships/hyperlink" Target="https://doi.org/" TargetMode="External"/><Relationship Id="rId703" Type="http://schemas.openxmlformats.org/officeDocument/2006/relationships/hyperlink" Target="https://doi.org/10.17190/AMF/1246072" TargetMode="External"/><Relationship Id="rId945" Type="http://schemas.openxmlformats.org/officeDocument/2006/relationships/hyperlink" Target="https://doi.org/10.17190/AMF/1880915" TargetMode="External"/><Relationship Id="rId702" Type="http://schemas.openxmlformats.org/officeDocument/2006/relationships/hyperlink" Target="https://doi.org/" TargetMode="External"/><Relationship Id="rId944" Type="http://schemas.openxmlformats.org/officeDocument/2006/relationships/hyperlink" Target="https://doi.org/10.17190/AMF/2204875" TargetMode="External"/><Relationship Id="rId73" Type="http://schemas.openxmlformats.org/officeDocument/2006/relationships/hyperlink" Target="https://doi.org/10.17190/AMF/1543378" TargetMode="External"/><Relationship Id="rId72" Type="http://schemas.openxmlformats.org/officeDocument/2006/relationships/hyperlink" Target="https://doi.org/10.17190/AMF/1881564" TargetMode="External"/><Relationship Id="rId75" Type="http://schemas.openxmlformats.org/officeDocument/2006/relationships/hyperlink" Target="https://doi.org/" TargetMode="External"/><Relationship Id="rId74" Type="http://schemas.openxmlformats.org/officeDocument/2006/relationships/hyperlink" Target="https://doi.org/10.17190/AMF/1881565" TargetMode="External"/><Relationship Id="rId77" Type="http://schemas.openxmlformats.org/officeDocument/2006/relationships/hyperlink" Target="https://doi.org/" TargetMode="External"/><Relationship Id="rId76" Type="http://schemas.openxmlformats.org/officeDocument/2006/relationships/hyperlink" Target="https://doi.org/" TargetMode="External"/><Relationship Id="rId79" Type="http://schemas.openxmlformats.org/officeDocument/2006/relationships/hyperlink" Target="https://doi.org/10.17190/AMF/1964085" TargetMode="External"/><Relationship Id="rId78" Type="http://schemas.openxmlformats.org/officeDocument/2006/relationships/hyperlink" Target="https://doi.org/" TargetMode="External"/><Relationship Id="rId939" Type="http://schemas.openxmlformats.org/officeDocument/2006/relationships/hyperlink" Target="https://doi.org/10.17190/AMF/2001310" TargetMode="External"/><Relationship Id="rId938" Type="http://schemas.openxmlformats.org/officeDocument/2006/relationships/hyperlink" Target="https://doi.org/10.17190/AMF/2204874" TargetMode="External"/><Relationship Id="rId937" Type="http://schemas.openxmlformats.org/officeDocument/2006/relationships/hyperlink" Target="https://doi.org/10.17190/AMF/1870591" TargetMode="External"/><Relationship Id="rId71" Type="http://schemas.openxmlformats.org/officeDocument/2006/relationships/hyperlink" Target="https://doi.org/10.17190/AMF/1811362" TargetMode="External"/><Relationship Id="rId70" Type="http://schemas.openxmlformats.org/officeDocument/2006/relationships/hyperlink" Target="https://doi.org/" TargetMode="External"/><Relationship Id="rId932" Type="http://schemas.openxmlformats.org/officeDocument/2006/relationships/hyperlink" Target="https://doi.org/" TargetMode="External"/><Relationship Id="rId931" Type="http://schemas.openxmlformats.org/officeDocument/2006/relationships/hyperlink" Target="https://doi.org/" TargetMode="External"/><Relationship Id="rId930" Type="http://schemas.openxmlformats.org/officeDocument/2006/relationships/hyperlink" Target="https://doi.org/" TargetMode="External"/><Relationship Id="rId936" Type="http://schemas.openxmlformats.org/officeDocument/2006/relationships/hyperlink" Target="https://doi.org/10.17190/AMF/2204873" TargetMode="External"/><Relationship Id="rId935" Type="http://schemas.openxmlformats.org/officeDocument/2006/relationships/hyperlink" Target="https://doi.org/10.17190/AMF/1880913" TargetMode="External"/><Relationship Id="rId934" Type="http://schemas.openxmlformats.org/officeDocument/2006/relationships/hyperlink" Target="https://doi.org/" TargetMode="External"/><Relationship Id="rId933" Type="http://schemas.openxmlformats.org/officeDocument/2006/relationships/hyperlink" Target="https://doi.org/" TargetMode="External"/><Relationship Id="rId62" Type="http://schemas.openxmlformats.org/officeDocument/2006/relationships/hyperlink" Target="https://doi.org/10.17190/AMF/1854365" TargetMode="External"/><Relationship Id="rId1312" Type="http://schemas.openxmlformats.org/officeDocument/2006/relationships/hyperlink" Target="https://doi.org/10.17190/AMF/1985459" TargetMode="External"/><Relationship Id="rId61" Type="http://schemas.openxmlformats.org/officeDocument/2006/relationships/hyperlink" Target="https://doi.org/10.17190/AMF/1498755" TargetMode="External"/><Relationship Id="rId1313" Type="http://schemas.openxmlformats.org/officeDocument/2006/relationships/hyperlink" Target="https://doi.org/10.17190/AMF/2331384" TargetMode="External"/><Relationship Id="rId64" Type="http://schemas.openxmlformats.org/officeDocument/2006/relationships/hyperlink" Target="https://doi.org/10.17190/AMF/2229375" TargetMode="External"/><Relationship Id="rId1314" Type="http://schemas.openxmlformats.org/officeDocument/2006/relationships/hyperlink" Target="https://doi.org/" TargetMode="External"/><Relationship Id="rId63" Type="http://schemas.openxmlformats.org/officeDocument/2006/relationships/hyperlink" Target="https://doi.org/10.17190/AMF/1660336" TargetMode="External"/><Relationship Id="rId1315" Type="http://schemas.openxmlformats.org/officeDocument/2006/relationships/hyperlink" Target="https://doi.org/10.17190/AMF/2331385" TargetMode="External"/><Relationship Id="rId66" Type="http://schemas.openxmlformats.org/officeDocument/2006/relationships/hyperlink" Target="https://doi.org/" TargetMode="External"/><Relationship Id="rId1316" Type="http://schemas.openxmlformats.org/officeDocument/2006/relationships/hyperlink" Target="https://doi.org/" TargetMode="External"/><Relationship Id="rId65" Type="http://schemas.openxmlformats.org/officeDocument/2006/relationships/hyperlink" Target="https://doi.org/10.17190/AMF/1634879" TargetMode="External"/><Relationship Id="rId1317" Type="http://schemas.openxmlformats.org/officeDocument/2006/relationships/hyperlink" Target="https://doi.org/" TargetMode="External"/><Relationship Id="rId68" Type="http://schemas.openxmlformats.org/officeDocument/2006/relationships/hyperlink" Target="https://doi.org/" TargetMode="External"/><Relationship Id="rId1318" Type="http://schemas.openxmlformats.org/officeDocument/2006/relationships/hyperlink" Target="https://doi.org/" TargetMode="External"/><Relationship Id="rId67" Type="http://schemas.openxmlformats.org/officeDocument/2006/relationships/hyperlink" Target="https://doi.org/" TargetMode="External"/><Relationship Id="rId1319" Type="http://schemas.openxmlformats.org/officeDocument/2006/relationships/hyperlink" Target="https://doi.org/" TargetMode="External"/><Relationship Id="rId729" Type="http://schemas.openxmlformats.org/officeDocument/2006/relationships/hyperlink" Target="https://doi.org/10.17190/AMF/1246078" TargetMode="External"/><Relationship Id="rId728" Type="http://schemas.openxmlformats.org/officeDocument/2006/relationships/hyperlink" Target="https://doi.org/10.17190/AMF/1902835" TargetMode="External"/><Relationship Id="rId60" Type="http://schemas.openxmlformats.org/officeDocument/2006/relationships/hyperlink" Target="https://doi.org/" TargetMode="External"/><Relationship Id="rId723" Type="http://schemas.openxmlformats.org/officeDocument/2006/relationships/hyperlink" Target="https://doi.org/10.17190/AMF/1246074" TargetMode="External"/><Relationship Id="rId965" Type="http://schemas.openxmlformats.org/officeDocument/2006/relationships/hyperlink" Target="https://doi.org/10.17190/AMF/2331382" TargetMode="External"/><Relationship Id="rId722" Type="http://schemas.openxmlformats.org/officeDocument/2006/relationships/hyperlink" Target="https://doi.org/" TargetMode="External"/><Relationship Id="rId964" Type="http://schemas.openxmlformats.org/officeDocument/2006/relationships/hyperlink" Target="https://doi.org/10.17190/AMF/2229388" TargetMode="External"/><Relationship Id="rId721" Type="http://schemas.openxmlformats.org/officeDocument/2006/relationships/hyperlink" Target="https://doi.org/" TargetMode="External"/><Relationship Id="rId963" Type="http://schemas.openxmlformats.org/officeDocument/2006/relationships/hyperlink" Target="https://doi.org/10.17190/AMF/1579540" TargetMode="External"/><Relationship Id="rId720" Type="http://schemas.openxmlformats.org/officeDocument/2006/relationships/hyperlink" Target="https://doi.org/" TargetMode="External"/><Relationship Id="rId962" Type="http://schemas.openxmlformats.org/officeDocument/2006/relationships/hyperlink" Target="https://doi.org/10.17190/AMF/1881590" TargetMode="External"/><Relationship Id="rId727" Type="http://schemas.openxmlformats.org/officeDocument/2006/relationships/hyperlink" Target="https://doi.org/10.17190/AMF/1246077" TargetMode="External"/><Relationship Id="rId969" Type="http://schemas.openxmlformats.org/officeDocument/2006/relationships/hyperlink" Target="https://doi.org/10.17190/AMF/1617724" TargetMode="External"/><Relationship Id="rId726" Type="http://schemas.openxmlformats.org/officeDocument/2006/relationships/hyperlink" Target="https://doi.org/10.17190/AMF/1854368" TargetMode="External"/><Relationship Id="rId968" Type="http://schemas.openxmlformats.org/officeDocument/2006/relationships/hyperlink" Target="https://doi.org/10.17190/AMF/1871143" TargetMode="External"/><Relationship Id="rId725" Type="http://schemas.openxmlformats.org/officeDocument/2006/relationships/hyperlink" Target="https://doi.org/10.17190/AMF/1246076" TargetMode="External"/><Relationship Id="rId967" Type="http://schemas.openxmlformats.org/officeDocument/2006/relationships/hyperlink" Target="https://doi.org/10.17190/AMF/1617721" TargetMode="External"/><Relationship Id="rId724" Type="http://schemas.openxmlformats.org/officeDocument/2006/relationships/hyperlink" Target="https://doi.org/10.17190/AMF/1902834" TargetMode="External"/><Relationship Id="rId966" Type="http://schemas.openxmlformats.org/officeDocument/2006/relationships/hyperlink" Target="https://doi.org/" TargetMode="External"/><Relationship Id="rId69" Type="http://schemas.openxmlformats.org/officeDocument/2006/relationships/hyperlink" Target="https://doi.org/10.17190/AMF/1436317" TargetMode="External"/><Relationship Id="rId961" Type="http://schemas.openxmlformats.org/officeDocument/2006/relationships/hyperlink" Target="https://doi.org/10.17190/AMF/1419509" TargetMode="External"/><Relationship Id="rId960" Type="http://schemas.openxmlformats.org/officeDocument/2006/relationships/hyperlink" Target="https://doi.org/10.17190/AMF/1818371" TargetMode="External"/><Relationship Id="rId1310" Type="http://schemas.openxmlformats.org/officeDocument/2006/relationships/hyperlink" Target="https://doi.org/" TargetMode="External"/><Relationship Id="rId1311" Type="http://schemas.openxmlformats.org/officeDocument/2006/relationships/hyperlink" Target="https://doi.org/10.17190/AMF/1617743" TargetMode="External"/><Relationship Id="rId51" Type="http://schemas.openxmlformats.org/officeDocument/2006/relationships/hyperlink" Target="https://doi.org/10.17190/AMF/1480318" TargetMode="External"/><Relationship Id="rId1301" Type="http://schemas.openxmlformats.org/officeDocument/2006/relationships/hyperlink" Target="https://doi.org/10.17190/AMF/1634886" TargetMode="External"/><Relationship Id="rId50" Type="http://schemas.openxmlformats.org/officeDocument/2006/relationships/hyperlink" Target="https://doi.org/10.17190/AMF/1902821" TargetMode="External"/><Relationship Id="rId1302" Type="http://schemas.openxmlformats.org/officeDocument/2006/relationships/hyperlink" Target="https://doi.org/10.17190/AMF/1985456" TargetMode="External"/><Relationship Id="rId53" Type="http://schemas.openxmlformats.org/officeDocument/2006/relationships/hyperlink" Target="https://doi.org/10.17190/AMF/1987599" TargetMode="External"/><Relationship Id="rId1303" Type="http://schemas.openxmlformats.org/officeDocument/2006/relationships/hyperlink" Target="https://doi.org/10.17190/AMF/1617740" TargetMode="External"/><Relationship Id="rId52" Type="http://schemas.openxmlformats.org/officeDocument/2006/relationships/hyperlink" Target="https://doi.org/10.17190/AMF/1902822" TargetMode="External"/><Relationship Id="rId1304" Type="http://schemas.openxmlformats.org/officeDocument/2006/relationships/hyperlink" Target="https://doi.org/10.17190/AMF/1985457" TargetMode="External"/><Relationship Id="rId55" Type="http://schemas.openxmlformats.org/officeDocument/2006/relationships/hyperlink" Target="https://doi.org/10.17190/AMF/1480300" TargetMode="External"/><Relationship Id="rId1305" Type="http://schemas.openxmlformats.org/officeDocument/2006/relationships/hyperlink" Target="https://doi.org/10.17190/AMF/1617741" TargetMode="External"/><Relationship Id="rId54" Type="http://schemas.openxmlformats.org/officeDocument/2006/relationships/hyperlink" Target="https://doi.org/" TargetMode="External"/><Relationship Id="rId1306" Type="http://schemas.openxmlformats.org/officeDocument/2006/relationships/hyperlink" Target="https://doi.org/10.17190/AMF/1985458" TargetMode="External"/><Relationship Id="rId57" Type="http://schemas.openxmlformats.org/officeDocument/2006/relationships/hyperlink" Target="https://doi.org/10.17190/AMF/1480301" TargetMode="External"/><Relationship Id="rId1307" Type="http://schemas.openxmlformats.org/officeDocument/2006/relationships/hyperlink" Target="https://doi.org/10.17190/AMF/1579724" TargetMode="External"/><Relationship Id="rId56" Type="http://schemas.openxmlformats.org/officeDocument/2006/relationships/hyperlink" Target="https://doi.org/10.17190/AMF/2007163" TargetMode="External"/><Relationship Id="rId1308" Type="http://schemas.openxmlformats.org/officeDocument/2006/relationships/hyperlink" Target="https://doi.org/10.17190/AMF/2229412" TargetMode="External"/><Relationship Id="rId1309" Type="http://schemas.openxmlformats.org/officeDocument/2006/relationships/hyperlink" Target="https://doi.org/10.17190/AMF/1617742" TargetMode="External"/><Relationship Id="rId719" Type="http://schemas.openxmlformats.org/officeDocument/2006/relationships/hyperlink" Target="https://doi.org/10.17190/AMF/1829506" TargetMode="External"/><Relationship Id="rId718" Type="http://schemas.openxmlformats.org/officeDocument/2006/relationships/hyperlink" Target="https://doi.org/" TargetMode="External"/><Relationship Id="rId717" Type="http://schemas.openxmlformats.org/officeDocument/2006/relationships/hyperlink" Target="https://doi.org/10.17190/AMF/1660348" TargetMode="External"/><Relationship Id="rId959" Type="http://schemas.openxmlformats.org/officeDocument/2006/relationships/hyperlink" Target="https://doi.org/10.17190/AMF/1419508" TargetMode="External"/><Relationship Id="rId712" Type="http://schemas.openxmlformats.org/officeDocument/2006/relationships/hyperlink" Target="https://doi.org/" TargetMode="External"/><Relationship Id="rId954" Type="http://schemas.openxmlformats.org/officeDocument/2006/relationships/hyperlink" Target="https://doi.org/10.17190/AMF/2204876" TargetMode="External"/><Relationship Id="rId711" Type="http://schemas.openxmlformats.org/officeDocument/2006/relationships/hyperlink" Target="https://doi.org/10.17190/AMF/1246073" TargetMode="External"/><Relationship Id="rId953" Type="http://schemas.openxmlformats.org/officeDocument/2006/relationships/hyperlink" Target="https://doi.org/10.17190/AMF/1418683" TargetMode="External"/><Relationship Id="rId710" Type="http://schemas.openxmlformats.org/officeDocument/2006/relationships/hyperlink" Target="https://doi.org/" TargetMode="External"/><Relationship Id="rId952" Type="http://schemas.openxmlformats.org/officeDocument/2006/relationships/hyperlink" Target="https://doi.org/10.17190/AMF/1881588" TargetMode="External"/><Relationship Id="rId951" Type="http://schemas.openxmlformats.org/officeDocument/2006/relationships/hyperlink" Target="https://doi.org/10.17190/AMF/1246092" TargetMode="External"/><Relationship Id="rId716" Type="http://schemas.openxmlformats.org/officeDocument/2006/relationships/hyperlink" Target="https://doi.org/" TargetMode="External"/><Relationship Id="rId958" Type="http://schemas.openxmlformats.org/officeDocument/2006/relationships/hyperlink" Target="https://doi.org/10.17190/AMF/1881589" TargetMode="External"/><Relationship Id="rId715" Type="http://schemas.openxmlformats.org/officeDocument/2006/relationships/hyperlink" Target="https://doi.org/10.17190/AMF/1767835" TargetMode="External"/><Relationship Id="rId957" Type="http://schemas.openxmlformats.org/officeDocument/2006/relationships/hyperlink" Target="https://doi.org/10.17190/AMF/1419507" TargetMode="External"/><Relationship Id="rId714" Type="http://schemas.openxmlformats.org/officeDocument/2006/relationships/hyperlink" Target="https://doi.org/" TargetMode="External"/><Relationship Id="rId956" Type="http://schemas.openxmlformats.org/officeDocument/2006/relationships/hyperlink" Target="https://doi.org/" TargetMode="External"/><Relationship Id="rId713" Type="http://schemas.openxmlformats.org/officeDocument/2006/relationships/hyperlink" Target="https://doi.org/" TargetMode="External"/><Relationship Id="rId955" Type="http://schemas.openxmlformats.org/officeDocument/2006/relationships/hyperlink" Target="https://doi.org/10.17190/AMF/1246093" TargetMode="External"/><Relationship Id="rId59" Type="http://schemas.openxmlformats.org/officeDocument/2006/relationships/hyperlink" Target="https://doi.org/10.17190/AMF/1480302" TargetMode="External"/><Relationship Id="rId58" Type="http://schemas.openxmlformats.org/officeDocument/2006/relationships/hyperlink" Target="https://doi.org/10.17190/AMF/2007164" TargetMode="External"/><Relationship Id="rId950" Type="http://schemas.openxmlformats.org/officeDocument/2006/relationships/hyperlink" Target="https://doi.org/10.17190/AMF/1881587" TargetMode="External"/><Relationship Id="rId1300" Type="http://schemas.openxmlformats.org/officeDocument/2006/relationships/hyperlink" Target="https://doi.org/" TargetMode="External"/><Relationship Id="rId590" Type="http://schemas.openxmlformats.org/officeDocument/2006/relationships/hyperlink" Target="https://doi.org/" TargetMode="External"/><Relationship Id="rId107" Type="http://schemas.openxmlformats.org/officeDocument/2006/relationships/hyperlink" Target="https://doi.org/10.17190/AMF/1617703" TargetMode="External"/><Relationship Id="rId349" Type="http://schemas.openxmlformats.org/officeDocument/2006/relationships/hyperlink" Target="https://doi.org/" TargetMode="External"/><Relationship Id="rId106" Type="http://schemas.openxmlformats.org/officeDocument/2006/relationships/hyperlink" Target="https://doi.org/10.17190/AMF/2007166" TargetMode="External"/><Relationship Id="rId348" Type="http://schemas.openxmlformats.org/officeDocument/2006/relationships/hyperlink" Target="https://doi.org/" TargetMode="External"/><Relationship Id="rId105" Type="http://schemas.openxmlformats.org/officeDocument/2006/relationships/hyperlink" Target="https://doi.org/10.17190/AMF/1617702" TargetMode="External"/><Relationship Id="rId347" Type="http://schemas.openxmlformats.org/officeDocument/2006/relationships/hyperlink" Target="https://doi.org/10.17190/AMF/1246038" TargetMode="External"/><Relationship Id="rId589" Type="http://schemas.openxmlformats.org/officeDocument/2006/relationships/hyperlink" Target="https://doi.org/10.17190/AMF/1246064" TargetMode="External"/><Relationship Id="rId104" Type="http://schemas.openxmlformats.org/officeDocument/2006/relationships/hyperlink" Target="https://doi.org/10.17190/AMF/2007165" TargetMode="External"/><Relationship Id="rId346" Type="http://schemas.openxmlformats.org/officeDocument/2006/relationships/hyperlink" Target="https://doi.org/" TargetMode="External"/><Relationship Id="rId588" Type="http://schemas.openxmlformats.org/officeDocument/2006/relationships/hyperlink" Target="https://doi.org/" TargetMode="External"/><Relationship Id="rId109" Type="http://schemas.openxmlformats.org/officeDocument/2006/relationships/hyperlink" Target="https://doi.org/10.17190/AMF/1245997" TargetMode="External"/><Relationship Id="rId1170" Type="http://schemas.openxmlformats.org/officeDocument/2006/relationships/hyperlink" Target="https://doi.org/10.17190/AMF/2229392" TargetMode="External"/><Relationship Id="rId108" Type="http://schemas.openxmlformats.org/officeDocument/2006/relationships/hyperlink" Target="https://doi.org/10.17190/AMF/2007167" TargetMode="External"/><Relationship Id="rId1171" Type="http://schemas.openxmlformats.org/officeDocument/2006/relationships/hyperlink" Target="https://doi.org/10.17190/AMF/1418681" TargetMode="External"/><Relationship Id="rId341" Type="http://schemas.openxmlformats.org/officeDocument/2006/relationships/hyperlink" Target="https://doi.org/10.17190/AMF/1246035" TargetMode="External"/><Relationship Id="rId583" Type="http://schemas.openxmlformats.org/officeDocument/2006/relationships/hyperlink" Target="https://doi.org/" TargetMode="External"/><Relationship Id="rId1172" Type="http://schemas.openxmlformats.org/officeDocument/2006/relationships/hyperlink" Target="https://doi.org/" TargetMode="External"/><Relationship Id="rId340" Type="http://schemas.openxmlformats.org/officeDocument/2006/relationships/hyperlink" Target="https://doi.org/" TargetMode="External"/><Relationship Id="rId582" Type="http://schemas.openxmlformats.org/officeDocument/2006/relationships/hyperlink" Target="https://doi.org/" TargetMode="External"/><Relationship Id="rId1173" Type="http://schemas.openxmlformats.org/officeDocument/2006/relationships/hyperlink" Target="https://doi.org/" TargetMode="External"/><Relationship Id="rId581" Type="http://schemas.openxmlformats.org/officeDocument/2006/relationships/hyperlink" Target="https://doi.org/" TargetMode="External"/><Relationship Id="rId1174" Type="http://schemas.openxmlformats.org/officeDocument/2006/relationships/hyperlink" Target="https://doi.org/" TargetMode="External"/><Relationship Id="rId580" Type="http://schemas.openxmlformats.org/officeDocument/2006/relationships/hyperlink" Target="https://doi.org/" TargetMode="External"/><Relationship Id="rId1175" Type="http://schemas.openxmlformats.org/officeDocument/2006/relationships/hyperlink" Target="https://doi.org/10.17190/AMF/1246109" TargetMode="External"/><Relationship Id="rId103" Type="http://schemas.openxmlformats.org/officeDocument/2006/relationships/hyperlink" Target="https://doi.org/10.17190/AMF/1617701" TargetMode="External"/><Relationship Id="rId345" Type="http://schemas.openxmlformats.org/officeDocument/2006/relationships/hyperlink" Target="https://doi.org/10.17190/AMF/1246037" TargetMode="External"/><Relationship Id="rId587" Type="http://schemas.openxmlformats.org/officeDocument/2006/relationships/hyperlink" Target="https://doi.org/10.17190/AMF/1890483" TargetMode="External"/><Relationship Id="rId1176" Type="http://schemas.openxmlformats.org/officeDocument/2006/relationships/hyperlink" Target="https://doi.org/" TargetMode="External"/><Relationship Id="rId102" Type="http://schemas.openxmlformats.org/officeDocument/2006/relationships/hyperlink" Target="https://doi.org/" TargetMode="External"/><Relationship Id="rId344" Type="http://schemas.openxmlformats.org/officeDocument/2006/relationships/hyperlink" Target="https://doi.org/" TargetMode="External"/><Relationship Id="rId586" Type="http://schemas.openxmlformats.org/officeDocument/2006/relationships/hyperlink" Target="https://doi.org/" TargetMode="External"/><Relationship Id="rId1177" Type="http://schemas.openxmlformats.org/officeDocument/2006/relationships/hyperlink" Target="https://doi.org/10.17190/AMF/1246111" TargetMode="External"/><Relationship Id="rId101" Type="http://schemas.openxmlformats.org/officeDocument/2006/relationships/hyperlink" Target="https://doi.org/" TargetMode="External"/><Relationship Id="rId343" Type="http://schemas.openxmlformats.org/officeDocument/2006/relationships/hyperlink" Target="https://doi.org/10.17190/AMF/1246036" TargetMode="External"/><Relationship Id="rId585" Type="http://schemas.openxmlformats.org/officeDocument/2006/relationships/hyperlink" Target="https://doi.org/" TargetMode="External"/><Relationship Id="rId1178" Type="http://schemas.openxmlformats.org/officeDocument/2006/relationships/hyperlink" Target="https://doi.org/" TargetMode="External"/><Relationship Id="rId100" Type="http://schemas.openxmlformats.org/officeDocument/2006/relationships/hyperlink" Target="https://doi.org/10.17190/AMF/1832155" TargetMode="External"/><Relationship Id="rId342" Type="http://schemas.openxmlformats.org/officeDocument/2006/relationships/hyperlink" Target="https://doi.org/" TargetMode="External"/><Relationship Id="rId584" Type="http://schemas.openxmlformats.org/officeDocument/2006/relationships/hyperlink" Target="https://doi.org/" TargetMode="External"/><Relationship Id="rId1179" Type="http://schemas.openxmlformats.org/officeDocument/2006/relationships/hyperlink" Target="https://doi.org/10.17190/AMF/1246832" TargetMode="External"/><Relationship Id="rId1169" Type="http://schemas.openxmlformats.org/officeDocument/2006/relationships/hyperlink" Target="https://doi.org/10.17190/AMF/1246122" TargetMode="External"/><Relationship Id="rId338" Type="http://schemas.openxmlformats.org/officeDocument/2006/relationships/hyperlink" Target="https://doi.org/" TargetMode="External"/><Relationship Id="rId337" Type="http://schemas.openxmlformats.org/officeDocument/2006/relationships/hyperlink" Target="https://doi.org/10.17190/AMF/1246033" TargetMode="External"/><Relationship Id="rId579" Type="http://schemas.openxmlformats.org/officeDocument/2006/relationships/hyperlink" Target="https://doi.org/10.17190/AMF/1543375" TargetMode="External"/><Relationship Id="rId336" Type="http://schemas.openxmlformats.org/officeDocument/2006/relationships/hyperlink" Target="https://doi.org/" TargetMode="External"/><Relationship Id="rId578" Type="http://schemas.openxmlformats.org/officeDocument/2006/relationships/hyperlink" Target="https://doi.org/" TargetMode="External"/><Relationship Id="rId335" Type="http://schemas.openxmlformats.org/officeDocument/2006/relationships/hyperlink" Target="https://doi.org/10.17190/AMF/1660338" TargetMode="External"/><Relationship Id="rId577" Type="http://schemas.openxmlformats.org/officeDocument/2006/relationships/hyperlink" Target="https://doi.org/10.17190/AMF/1543376" TargetMode="External"/><Relationship Id="rId339" Type="http://schemas.openxmlformats.org/officeDocument/2006/relationships/hyperlink" Target="https://doi.org/10.17190/AMF/1246034" TargetMode="External"/><Relationship Id="rId1160" Type="http://schemas.openxmlformats.org/officeDocument/2006/relationships/hyperlink" Target="https://doi.org/" TargetMode="External"/><Relationship Id="rId330" Type="http://schemas.openxmlformats.org/officeDocument/2006/relationships/hyperlink" Target="https://doi.org/" TargetMode="External"/><Relationship Id="rId572" Type="http://schemas.openxmlformats.org/officeDocument/2006/relationships/hyperlink" Target="https://doi.org/10.17190/AMF/1881581" TargetMode="External"/><Relationship Id="rId1161" Type="http://schemas.openxmlformats.org/officeDocument/2006/relationships/hyperlink" Target="https://doi.org/" TargetMode="External"/><Relationship Id="rId571" Type="http://schemas.openxmlformats.org/officeDocument/2006/relationships/hyperlink" Target="https://doi.org/10.17190/AMF/1246062" TargetMode="External"/><Relationship Id="rId1162" Type="http://schemas.openxmlformats.org/officeDocument/2006/relationships/hyperlink" Target="https://doi.org/" TargetMode="External"/><Relationship Id="rId570" Type="http://schemas.openxmlformats.org/officeDocument/2006/relationships/hyperlink" Target="https://doi.org/" TargetMode="External"/><Relationship Id="rId1163" Type="http://schemas.openxmlformats.org/officeDocument/2006/relationships/hyperlink" Target="https://doi.org/" TargetMode="External"/><Relationship Id="rId1164" Type="http://schemas.openxmlformats.org/officeDocument/2006/relationships/hyperlink" Target="https://doi.org/" TargetMode="External"/><Relationship Id="rId334" Type="http://schemas.openxmlformats.org/officeDocument/2006/relationships/hyperlink" Target="https://doi.org/" TargetMode="External"/><Relationship Id="rId576" Type="http://schemas.openxmlformats.org/officeDocument/2006/relationships/hyperlink" Target="https://doi.org/" TargetMode="External"/><Relationship Id="rId1165" Type="http://schemas.openxmlformats.org/officeDocument/2006/relationships/hyperlink" Target="https://doi.org/10.17190/AMF/1245984" TargetMode="External"/><Relationship Id="rId333" Type="http://schemas.openxmlformats.org/officeDocument/2006/relationships/hyperlink" Target="https://doi.org/10.17190/AMF/1246032" TargetMode="External"/><Relationship Id="rId575" Type="http://schemas.openxmlformats.org/officeDocument/2006/relationships/hyperlink" Target="https://doi.org/" TargetMode="External"/><Relationship Id="rId1166" Type="http://schemas.openxmlformats.org/officeDocument/2006/relationships/hyperlink" Target="https://doi.org/10.17190/AMF/1993904" TargetMode="External"/><Relationship Id="rId332" Type="http://schemas.openxmlformats.org/officeDocument/2006/relationships/hyperlink" Target="https://doi.org/" TargetMode="External"/><Relationship Id="rId574" Type="http://schemas.openxmlformats.org/officeDocument/2006/relationships/hyperlink" Target="https://doi.org/" TargetMode="External"/><Relationship Id="rId1167" Type="http://schemas.openxmlformats.org/officeDocument/2006/relationships/hyperlink" Target="https://doi.org/10.17190/AMF/1246121" TargetMode="External"/><Relationship Id="rId331" Type="http://schemas.openxmlformats.org/officeDocument/2006/relationships/hyperlink" Target="https://doi.org/10.17190/AMF/1246031" TargetMode="External"/><Relationship Id="rId573" Type="http://schemas.openxmlformats.org/officeDocument/2006/relationships/hyperlink" Target="https://doi.org/10.17190/AMF/1246063" TargetMode="External"/><Relationship Id="rId1168" Type="http://schemas.openxmlformats.org/officeDocument/2006/relationships/hyperlink" Target="https://doi.org/10.17190/AMF/2229391" TargetMode="External"/><Relationship Id="rId370" Type="http://schemas.openxmlformats.org/officeDocument/2006/relationships/hyperlink" Target="https://doi.org/" TargetMode="External"/><Relationship Id="rId129" Type="http://schemas.openxmlformats.org/officeDocument/2006/relationships/hyperlink" Target="https://doi.org/10.17190/AMF/1246003" TargetMode="External"/><Relationship Id="rId128" Type="http://schemas.openxmlformats.org/officeDocument/2006/relationships/hyperlink" Target="https://doi.org/10.17190/AMF/1902828" TargetMode="External"/><Relationship Id="rId127" Type="http://schemas.openxmlformats.org/officeDocument/2006/relationships/hyperlink" Target="https://doi.org/10.17190/AMF/1246002" TargetMode="External"/><Relationship Id="rId369" Type="http://schemas.openxmlformats.org/officeDocument/2006/relationships/hyperlink" Target="https://doi.org/" TargetMode="External"/><Relationship Id="rId126" Type="http://schemas.openxmlformats.org/officeDocument/2006/relationships/hyperlink" Target="https://doi.org/10.17190/AMF/1902827" TargetMode="External"/><Relationship Id="rId368" Type="http://schemas.openxmlformats.org/officeDocument/2006/relationships/hyperlink" Target="https://doi.org/10.17190/AMF/1881570" TargetMode="External"/><Relationship Id="rId1190" Type="http://schemas.openxmlformats.org/officeDocument/2006/relationships/hyperlink" Target="https://doi.org/10.17190/AMF/2229394" TargetMode="External"/><Relationship Id="rId1191" Type="http://schemas.openxmlformats.org/officeDocument/2006/relationships/hyperlink" Target="https://doi.org/10.17190/AMF/1246017" TargetMode="External"/><Relationship Id="rId1192" Type="http://schemas.openxmlformats.org/officeDocument/2006/relationships/hyperlink" Target="https://doi.org/" TargetMode="External"/><Relationship Id="rId1193" Type="http://schemas.openxmlformats.org/officeDocument/2006/relationships/hyperlink" Target="https://doi.org/10.17190/AMF/1246018" TargetMode="External"/><Relationship Id="rId121" Type="http://schemas.openxmlformats.org/officeDocument/2006/relationships/hyperlink" Target="https://doi.org/10.17190/AMF/1245999" TargetMode="External"/><Relationship Id="rId363" Type="http://schemas.openxmlformats.org/officeDocument/2006/relationships/hyperlink" Target="https://doi.org/10.17190/AMF/2229154" TargetMode="External"/><Relationship Id="rId1194" Type="http://schemas.openxmlformats.org/officeDocument/2006/relationships/hyperlink" Target="https://doi.org/10.17190/AMF/2229395" TargetMode="External"/><Relationship Id="rId120" Type="http://schemas.openxmlformats.org/officeDocument/2006/relationships/hyperlink" Target="https://doi.org/10.17190/AMF/1902824" TargetMode="External"/><Relationship Id="rId362" Type="http://schemas.openxmlformats.org/officeDocument/2006/relationships/hyperlink" Target="https://doi.org/" TargetMode="External"/><Relationship Id="rId1195" Type="http://schemas.openxmlformats.org/officeDocument/2006/relationships/hyperlink" Target="https://doi.org/10.17190/AMF/1246019" TargetMode="External"/><Relationship Id="rId361" Type="http://schemas.openxmlformats.org/officeDocument/2006/relationships/hyperlink" Target="https://doi.org/10.17190/AMF/2229153" TargetMode="External"/><Relationship Id="rId1196" Type="http://schemas.openxmlformats.org/officeDocument/2006/relationships/hyperlink" Target="https://doi.org/10.17190/AMF/2229396" TargetMode="External"/><Relationship Id="rId360" Type="http://schemas.openxmlformats.org/officeDocument/2006/relationships/hyperlink" Target="https://doi.org/" TargetMode="External"/><Relationship Id="rId1197" Type="http://schemas.openxmlformats.org/officeDocument/2006/relationships/hyperlink" Target="https://doi.org/10.17190/AMF/1246020" TargetMode="External"/><Relationship Id="rId125" Type="http://schemas.openxmlformats.org/officeDocument/2006/relationships/hyperlink" Target="https://doi.org/10.17190/AMF/1246001" TargetMode="External"/><Relationship Id="rId367" Type="http://schemas.openxmlformats.org/officeDocument/2006/relationships/hyperlink" Target="https://doi.org/10.17190/AMF/1756433" TargetMode="External"/><Relationship Id="rId1198" Type="http://schemas.openxmlformats.org/officeDocument/2006/relationships/hyperlink" Target="https://doi.org/10.17190/AMF/2229397" TargetMode="External"/><Relationship Id="rId124" Type="http://schemas.openxmlformats.org/officeDocument/2006/relationships/hyperlink" Target="https://doi.org/10.17190/AMF/1902826" TargetMode="External"/><Relationship Id="rId366" Type="http://schemas.openxmlformats.org/officeDocument/2006/relationships/hyperlink" Target="https://doi.org/10.17190/AMF/1881569" TargetMode="External"/><Relationship Id="rId1199" Type="http://schemas.openxmlformats.org/officeDocument/2006/relationships/hyperlink" Target="https://doi.org/10.17190/AMF/1246021" TargetMode="External"/><Relationship Id="rId123" Type="http://schemas.openxmlformats.org/officeDocument/2006/relationships/hyperlink" Target="https://doi.org/10.17190/AMF/1246000" TargetMode="External"/><Relationship Id="rId365" Type="http://schemas.openxmlformats.org/officeDocument/2006/relationships/hyperlink" Target="https://doi.org/10.17190/AMF/1773401" TargetMode="External"/><Relationship Id="rId122" Type="http://schemas.openxmlformats.org/officeDocument/2006/relationships/hyperlink" Target="https://doi.org/10.17190/AMF/1902825" TargetMode="External"/><Relationship Id="rId364" Type="http://schemas.openxmlformats.org/officeDocument/2006/relationships/hyperlink" Target="https://doi.org/" TargetMode="External"/><Relationship Id="rId95" Type="http://schemas.openxmlformats.org/officeDocument/2006/relationships/hyperlink" Target="https://doi.org/" TargetMode="External"/><Relationship Id="rId94" Type="http://schemas.openxmlformats.org/officeDocument/2006/relationships/hyperlink" Target="https://doi.org/" TargetMode="External"/><Relationship Id="rId97" Type="http://schemas.openxmlformats.org/officeDocument/2006/relationships/hyperlink" Target="https://doi.org/10.17190/AMF/1436318" TargetMode="External"/><Relationship Id="rId96" Type="http://schemas.openxmlformats.org/officeDocument/2006/relationships/hyperlink" Target="https://doi.org/" TargetMode="External"/><Relationship Id="rId99" Type="http://schemas.openxmlformats.org/officeDocument/2006/relationships/hyperlink" Target="https://doi.org/10.17190/AMF/1660337" TargetMode="External"/><Relationship Id="rId98" Type="http://schemas.openxmlformats.org/officeDocument/2006/relationships/hyperlink" Target="https://doi.org/" TargetMode="External"/><Relationship Id="rId91" Type="http://schemas.openxmlformats.org/officeDocument/2006/relationships/hyperlink" Target="https://doi.org/10.17190/AMF/1245996" TargetMode="External"/><Relationship Id="rId90" Type="http://schemas.openxmlformats.org/officeDocument/2006/relationships/hyperlink" Target="https://doi.org/" TargetMode="External"/><Relationship Id="rId93" Type="http://schemas.openxmlformats.org/officeDocument/2006/relationships/hyperlink" Target="https://doi.org/10.17190/AMF/1773392" TargetMode="External"/><Relationship Id="rId92" Type="http://schemas.openxmlformats.org/officeDocument/2006/relationships/hyperlink" Target="https://doi.org/10.17190/AMF/1902823" TargetMode="External"/><Relationship Id="rId118" Type="http://schemas.openxmlformats.org/officeDocument/2006/relationships/hyperlink" Target="https://doi.org/" TargetMode="External"/><Relationship Id="rId117" Type="http://schemas.openxmlformats.org/officeDocument/2006/relationships/hyperlink" Target="https://doi.org/10.17190/AMF/1436319" TargetMode="External"/><Relationship Id="rId359" Type="http://schemas.openxmlformats.org/officeDocument/2006/relationships/hyperlink" Target="https://doi.org/" TargetMode="External"/><Relationship Id="rId116" Type="http://schemas.openxmlformats.org/officeDocument/2006/relationships/hyperlink" Target="https://doi.org/" TargetMode="External"/><Relationship Id="rId358" Type="http://schemas.openxmlformats.org/officeDocument/2006/relationships/hyperlink" Target="https://doi.org/" TargetMode="External"/><Relationship Id="rId115" Type="http://schemas.openxmlformats.org/officeDocument/2006/relationships/hyperlink" Target="https://doi.org/10.17190/AMF/1480321" TargetMode="External"/><Relationship Id="rId357" Type="http://schemas.openxmlformats.org/officeDocument/2006/relationships/hyperlink" Target="https://doi.org/10.17190/AMF/1846661" TargetMode="External"/><Relationship Id="rId599" Type="http://schemas.openxmlformats.org/officeDocument/2006/relationships/hyperlink" Target="https://doi.org/10.17190/AMF/1246133" TargetMode="External"/><Relationship Id="rId1180" Type="http://schemas.openxmlformats.org/officeDocument/2006/relationships/hyperlink" Target="https://doi.org/" TargetMode="External"/><Relationship Id="rId1181" Type="http://schemas.openxmlformats.org/officeDocument/2006/relationships/hyperlink" Target="https://doi.org/" TargetMode="External"/><Relationship Id="rId119" Type="http://schemas.openxmlformats.org/officeDocument/2006/relationships/hyperlink" Target="https://doi.org/10.17190/AMF/1245998" TargetMode="External"/><Relationship Id="rId1182" Type="http://schemas.openxmlformats.org/officeDocument/2006/relationships/hyperlink" Target="https://doi.org/" TargetMode="External"/><Relationship Id="rId110" Type="http://schemas.openxmlformats.org/officeDocument/2006/relationships/hyperlink" Target="https://doi.org/" TargetMode="External"/><Relationship Id="rId352" Type="http://schemas.openxmlformats.org/officeDocument/2006/relationships/hyperlink" Target="https://doi.org/" TargetMode="External"/><Relationship Id="rId594" Type="http://schemas.openxmlformats.org/officeDocument/2006/relationships/hyperlink" Target="https://doi.org/10.17190/AMF/1881582" TargetMode="External"/><Relationship Id="rId1183" Type="http://schemas.openxmlformats.org/officeDocument/2006/relationships/hyperlink" Target="https://doi.org/10.17190/AMF/1498746" TargetMode="External"/><Relationship Id="rId351" Type="http://schemas.openxmlformats.org/officeDocument/2006/relationships/hyperlink" Target="https://doi.org/10.17190/AMF/1246039" TargetMode="External"/><Relationship Id="rId593" Type="http://schemas.openxmlformats.org/officeDocument/2006/relationships/hyperlink" Target="https://doi.org/10.17190/AMF/1811363" TargetMode="External"/><Relationship Id="rId1184" Type="http://schemas.openxmlformats.org/officeDocument/2006/relationships/hyperlink" Target="https://doi.org/" TargetMode="External"/><Relationship Id="rId350" Type="http://schemas.openxmlformats.org/officeDocument/2006/relationships/hyperlink" Target="https://doi.org/" TargetMode="External"/><Relationship Id="rId592" Type="http://schemas.openxmlformats.org/officeDocument/2006/relationships/hyperlink" Target="https://doi.org/" TargetMode="External"/><Relationship Id="rId1185" Type="http://schemas.openxmlformats.org/officeDocument/2006/relationships/hyperlink" Target="https://doi.org/10.17190/AMF/1246113" TargetMode="External"/><Relationship Id="rId591" Type="http://schemas.openxmlformats.org/officeDocument/2006/relationships/hyperlink" Target="https://doi.org/10.17190/AMF/1964087" TargetMode="External"/><Relationship Id="rId1186" Type="http://schemas.openxmlformats.org/officeDocument/2006/relationships/hyperlink" Target="https://doi.org/10.17190/AMF/1984574" TargetMode="External"/><Relationship Id="rId114" Type="http://schemas.openxmlformats.org/officeDocument/2006/relationships/hyperlink" Target="https://doi.org/" TargetMode="External"/><Relationship Id="rId356" Type="http://schemas.openxmlformats.org/officeDocument/2006/relationships/hyperlink" Target="https://doi.org/" TargetMode="External"/><Relationship Id="rId598" Type="http://schemas.openxmlformats.org/officeDocument/2006/relationships/hyperlink" Target="https://doi.org/" TargetMode="External"/><Relationship Id="rId1187" Type="http://schemas.openxmlformats.org/officeDocument/2006/relationships/hyperlink" Target="https://doi.org/10.17190/AMF/1246016" TargetMode="External"/><Relationship Id="rId113" Type="http://schemas.openxmlformats.org/officeDocument/2006/relationships/hyperlink" Target="https://doi.org/10.17190/AMF/1480320" TargetMode="External"/><Relationship Id="rId355" Type="http://schemas.openxmlformats.org/officeDocument/2006/relationships/hyperlink" Target="https://doi.org/10.17190/AMF/1246041" TargetMode="External"/><Relationship Id="rId597" Type="http://schemas.openxmlformats.org/officeDocument/2006/relationships/hyperlink" Target="https://doi.org/10.17190/AMF/1246066" TargetMode="External"/><Relationship Id="rId1188" Type="http://schemas.openxmlformats.org/officeDocument/2006/relationships/hyperlink" Target="https://doi.org/10.17190/AMF/2229393" TargetMode="External"/><Relationship Id="rId112" Type="http://schemas.openxmlformats.org/officeDocument/2006/relationships/hyperlink" Target="https://doi.org/" TargetMode="External"/><Relationship Id="rId354" Type="http://schemas.openxmlformats.org/officeDocument/2006/relationships/hyperlink" Target="https://doi.org/10.17190/AMF/2006970" TargetMode="External"/><Relationship Id="rId596" Type="http://schemas.openxmlformats.org/officeDocument/2006/relationships/hyperlink" Target="https://doi.org/" TargetMode="External"/><Relationship Id="rId1189" Type="http://schemas.openxmlformats.org/officeDocument/2006/relationships/hyperlink" Target="https://doi.org/10.17190/AMF/1246015" TargetMode="External"/><Relationship Id="rId111" Type="http://schemas.openxmlformats.org/officeDocument/2006/relationships/hyperlink" Target="https://doi.org/" TargetMode="External"/><Relationship Id="rId353" Type="http://schemas.openxmlformats.org/officeDocument/2006/relationships/hyperlink" Target="https://doi.org/10.17190/AMF/1756416" TargetMode="External"/><Relationship Id="rId595" Type="http://schemas.openxmlformats.org/officeDocument/2006/relationships/hyperlink" Target="https://doi.org/10.17190/AMF/1246065" TargetMode="External"/><Relationship Id="rId1136" Type="http://schemas.openxmlformats.org/officeDocument/2006/relationships/hyperlink" Target="https://doi.org/" TargetMode="External"/><Relationship Id="rId1137" Type="http://schemas.openxmlformats.org/officeDocument/2006/relationships/hyperlink" Target="https://doi.org/" TargetMode="External"/><Relationship Id="rId1138" Type="http://schemas.openxmlformats.org/officeDocument/2006/relationships/hyperlink" Target="https://doi.org/" TargetMode="External"/><Relationship Id="rId1139" Type="http://schemas.openxmlformats.org/officeDocument/2006/relationships/hyperlink" Target="https://doi.org/" TargetMode="External"/><Relationship Id="rId305" Type="http://schemas.openxmlformats.org/officeDocument/2006/relationships/hyperlink" Target="https://doi.org/10.17190/AMF/1246030" TargetMode="External"/><Relationship Id="rId547" Type="http://schemas.openxmlformats.org/officeDocument/2006/relationships/hyperlink" Target="https://doi.org/" TargetMode="External"/><Relationship Id="rId789" Type="http://schemas.openxmlformats.org/officeDocument/2006/relationships/hyperlink" Target="https://doi.org/10.17190/AMF/1782820" TargetMode="External"/><Relationship Id="rId304" Type="http://schemas.openxmlformats.org/officeDocument/2006/relationships/hyperlink" Target="https://doi.org/" TargetMode="External"/><Relationship Id="rId546" Type="http://schemas.openxmlformats.org/officeDocument/2006/relationships/hyperlink" Target="https://doi.org/" TargetMode="External"/><Relationship Id="rId788" Type="http://schemas.openxmlformats.org/officeDocument/2006/relationships/hyperlink" Target="https://doi.org/" TargetMode="External"/><Relationship Id="rId303" Type="http://schemas.openxmlformats.org/officeDocument/2006/relationships/hyperlink" Target="https://doi.org/10.17190/AMF/1246028" TargetMode="External"/><Relationship Id="rId545" Type="http://schemas.openxmlformats.org/officeDocument/2006/relationships/hyperlink" Target="https://doi.org/" TargetMode="External"/><Relationship Id="rId787" Type="http://schemas.openxmlformats.org/officeDocument/2006/relationships/hyperlink" Target="https://doi.org/10.17190/AMF/1782819" TargetMode="External"/><Relationship Id="rId302" Type="http://schemas.openxmlformats.org/officeDocument/2006/relationships/hyperlink" Target="https://doi.org/" TargetMode="External"/><Relationship Id="rId544" Type="http://schemas.openxmlformats.org/officeDocument/2006/relationships/hyperlink" Target="https://doi.org/" TargetMode="External"/><Relationship Id="rId786" Type="http://schemas.openxmlformats.org/officeDocument/2006/relationships/hyperlink" Target="https://doi.org/" TargetMode="External"/><Relationship Id="rId309" Type="http://schemas.openxmlformats.org/officeDocument/2006/relationships/hyperlink" Target="https://doi.org/" TargetMode="External"/><Relationship Id="rId308" Type="http://schemas.openxmlformats.org/officeDocument/2006/relationships/hyperlink" Target="https://doi.org/" TargetMode="External"/><Relationship Id="rId307" Type="http://schemas.openxmlformats.org/officeDocument/2006/relationships/hyperlink" Target="https://doi.org/" TargetMode="External"/><Relationship Id="rId549" Type="http://schemas.openxmlformats.org/officeDocument/2006/relationships/hyperlink" Target="https://doi.org/10.17190/AMF/1246059" TargetMode="External"/><Relationship Id="rId306" Type="http://schemas.openxmlformats.org/officeDocument/2006/relationships/hyperlink" Target="https://doi.org/10.17190/AMF/2006969" TargetMode="External"/><Relationship Id="rId548" Type="http://schemas.openxmlformats.org/officeDocument/2006/relationships/hyperlink" Target="https://doi.org/" TargetMode="External"/><Relationship Id="rId781" Type="http://schemas.openxmlformats.org/officeDocument/2006/relationships/hyperlink" Target="https://doi.org/10.17190/AMF/1579717" TargetMode="External"/><Relationship Id="rId780" Type="http://schemas.openxmlformats.org/officeDocument/2006/relationships/hyperlink" Target="https://doi.org/" TargetMode="External"/><Relationship Id="rId1130" Type="http://schemas.openxmlformats.org/officeDocument/2006/relationships/hyperlink" Target="https://doi.org/" TargetMode="External"/><Relationship Id="rId1131" Type="http://schemas.openxmlformats.org/officeDocument/2006/relationships/hyperlink" Target="https://doi.org/10.17190/AMF/1846664" TargetMode="External"/><Relationship Id="rId301" Type="http://schemas.openxmlformats.org/officeDocument/2006/relationships/hyperlink" Target="https://doi.org/10.17190/AMF/1246029" TargetMode="External"/><Relationship Id="rId543" Type="http://schemas.openxmlformats.org/officeDocument/2006/relationships/hyperlink" Target="https://doi.org/" TargetMode="External"/><Relationship Id="rId785" Type="http://schemas.openxmlformats.org/officeDocument/2006/relationships/hyperlink" Target="https://doi.org/10.17190/AMF/1829508" TargetMode="External"/><Relationship Id="rId1132" Type="http://schemas.openxmlformats.org/officeDocument/2006/relationships/hyperlink" Target="https://doi.org/" TargetMode="External"/><Relationship Id="rId300" Type="http://schemas.openxmlformats.org/officeDocument/2006/relationships/hyperlink" Target="https://doi.org/" TargetMode="External"/><Relationship Id="rId542" Type="http://schemas.openxmlformats.org/officeDocument/2006/relationships/hyperlink" Target="https://doi.org/" TargetMode="External"/><Relationship Id="rId784" Type="http://schemas.openxmlformats.org/officeDocument/2006/relationships/hyperlink" Target="https://doi.org/" TargetMode="External"/><Relationship Id="rId1133" Type="http://schemas.openxmlformats.org/officeDocument/2006/relationships/hyperlink" Target="https://doi.org/10.17190/AMF/1846665" TargetMode="External"/><Relationship Id="rId541" Type="http://schemas.openxmlformats.org/officeDocument/2006/relationships/hyperlink" Target="https://doi.org/10.17190/AMF/1246058" TargetMode="External"/><Relationship Id="rId783" Type="http://schemas.openxmlformats.org/officeDocument/2006/relationships/hyperlink" Target="https://doi.org/10.17190/AMF/1829507" TargetMode="External"/><Relationship Id="rId1134" Type="http://schemas.openxmlformats.org/officeDocument/2006/relationships/hyperlink" Target="https://doi.org/" TargetMode="External"/><Relationship Id="rId540" Type="http://schemas.openxmlformats.org/officeDocument/2006/relationships/hyperlink" Target="https://doi.org/" TargetMode="External"/><Relationship Id="rId782" Type="http://schemas.openxmlformats.org/officeDocument/2006/relationships/hyperlink" Target="https://doi.org/" TargetMode="External"/><Relationship Id="rId1135" Type="http://schemas.openxmlformats.org/officeDocument/2006/relationships/hyperlink" Target="https://doi.org/10.17190/AMF/1987605" TargetMode="External"/><Relationship Id="rId1125" Type="http://schemas.openxmlformats.org/officeDocument/2006/relationships/hyperlink" Target="https://doi.org/10.17190/AMF/1865483" TargetMode="External"/><Relationship Id="rId1126" Type="http://schemas.openxmlformats.org/officeDocument/2006/relationships/hyperlink" Target="https://doi.org/" TargetMode="External"/><Relationship Id="rId1127" Type="http://schemas.openxmlformats.org/officeDocument/2006/relationships/hyperlink" Target="https://doi.org/" TargetMode="External"/><Relationship Id="rId1128" Type="http://schemas.openxmlformats.org/officeDocument/2006/relationships/hyperlink" Target="https://doi.org/" TargetMode="External"/><Relationship Id="rId1129" Type="http://schemas.openxmlformats.org/officeDocument/2006/relationships/hyperlink" Target="https://doi.org/10.17190/AMF/1617725" TargetMode="External"/><Relationship Id="rId536" Type="http://schemas.openxmlformats.org/officeDocument/2006/relationships/hyperlink" Target="https://doi.org/" TargetMode="External"/><Relationship Id="rId778" Type="http://schemas.openxmlformats.org/officeDocument/2006/relationships/hyperlink" Target="https://doi.org/" TargetMode="External"/><Relationship Id="rId535" Type="http://schemas.openxmlformats.org/officeDocument/2006/relationships/hyperlink" Target="https://doi.org/" TargetMode="External"/><Relationship Id="rId777" Type="http://schemas.openxmlformats.org/officeDocument/2006/relationships/hyperlink" Target="https://doi.org/" TargetMode="External"/><Relationship Id="rId534" Type="http://schemas.openxmlformats.org/officeDocument/2006/relationships/hyperlink" Target="https://doi.org/" TargetMode="External"/><Relationship Id="rId776" Type="http://schemas.openxmlformats.org/officeDocument/2006/relationships/hyperlink" Target="https://doi.org/" TargetMode="External"/><Relationship Id="rId533" Type="http://schemas.openxmlformats.org/officeDocument/2006/relationships/hyperlink" Target="https://doi.org/10.17190/AMF/2204057" TargetMode="External"/><Relationship Id="rId775" Type="http://schemas.openxmlformats.org/officeDocument/2006/relationships/hyperlink" Target="https://doi.org/10.17190/AMF/1246049" TargetMode="External"/><Relationship Id="rId539" Type="http://schemas.openxmlformats.org/officeDocument/2006/relationships/hyperlink" Target="https://doi.org/10.17190/AMF/1246057" TargetMode="External"/><Relationship Id="rId538" Type="http://schemas.openxmlformats.org/officeDocument/2006/relationships/hyperlink" Target="https://doi.org/10.17190/AMF/1871136" TargetMode="External"/><Relationship Id="rId537" Type="http://schemas.openxmlformats.org/officeDocument/2006/relationships/hyperlink" Target="https://doi.org/10.17190/AMF/1246056" TargetMode="External"/><Relationship Id="rId779" Type="http://schemas.openxmlformats.org/officeDocument/2006/relationships/hyperlink" Target="https://doi.org/10.17190/AMF/1617717" TargetMode="External"/><Relationship Id="rId770" Type="http://schemas.openxmlformats.org/officeDocument/2006/relationships/hyperlink" Target="https://doi.org/10.17190/AMF/2229384" TargetMode="External"/><Relationship Id="rId1120" Type="http://schemas.openxmlformats.org/officeDocument/2006/relationships/hyperlink" Target="https://doi.org/" TargetMode="External"/><Relationship Id="rId532" Type="http://schemas.openxmlformats.org/officeDocument/2006/relationships/hyperlink" Target="https://doi.org/" TargetMode="External"/><Relationship Id="rId774" Type="http://schemas.openxmlformats.org/officeDocument/2006/relationships/hyperlink" Target="https://doi.org/10.17190/AMF/1832161" TargetMode="External"/><Relationship Id="rId1121" Type="http://schemas.openxmlformats.org/officeDocument/2006/relationships/hyperlink" Target="https://doi.org/10.17190/AMF/1480322" TargetMode="External"/><Relationship Id="rId531" Type="http://schemas.openxmlformats.org/officeDocument/2006/relationships/hyperlink" Target="https://doi.org/" TargetMode="External"/><Relationship Id="rId773" Type="http://schemas.openxmlformats.org/officeDocument/2006/relationships/hyperlink" Target="https://doi.org/10.17190/AMF/1246123" TargetMode="External"/><Relationship Id="rId1122" Type="http://schemas.openxmlformats.org/officeDocument/2006/relationships/hyperlink" Target="https://doi.org/" TargetMode="External"/><Relationship Id="rId530" Type="http://schemas.openxmlformats.org/officeDocument/2006/relationships/hyperlink" Target="https://doi.org/" TargetMode="External"/><Relationship Id="rId772" Type="http://schemas.openxmlformats.org/officeDocument/2006/relationships/hyperlink" Target="https://doi.org/10.17190/AMF/1854370" TargetMode="External"/><Relationship Id="rId1123" Type="http://schemas.openxmlformats.org/officeDocument/2006/relationships/hyperlink" Target="https://doi.org/10.17190/AMF/1865482" TargetMode="External"/><Relationship Id="rId771" Type="http://schemas.openxmlformats.org/officeDocument/2006/relationships/hyperlink" Target="https://doi.org/10.17190/AMF/1246081" TargetMode="External"/><Relationship Id="rId1124" Type="http://schemas.openxmlformats.org/officeDocument/2006/relationships/hyperlink" Target="https://doi.org/" TargetMode="External"/><Relationship Id="rId1158" Type="http://schemas.openxmlformats.org/officeDocument/2006/relationships/hyperlink" Target="https://doi.org/" TargetMode="External"/><Relationship Id="rId1159" Type="http://schemas.openxmlformats.org/officeDocument/2006/relationships/hyperlink" Target="https://doi.org/10.17190/AMF/2204058" TargetMode="External"/><Relationship Id="rId327" Type="http://schemas.openxmlformats.org/officeDocument/2006/relationships/hyperlink" Target="https://doi.org/10.17190/AMF/1419513" TargetMode="External"/><Relationship Id="rId569" Type="http://schemas.openxmlformats.org/officeDocument/2006/relationships/hyperlink" Target="https://doi.org/10.17190/AMF/1246061" TargetMode="External"/><Relationship Id="rId326" Type="http://schemas.openxmlformats.org/officeDocument/2006/relationships/hyperlink" Target="https://doi.org/10.17190/AMF/1871134" TargetMode="External"/><Relationship Id="rId568" Type="http://schemas.openxmlformats.org/officeDocument/2006/relationships/hyperlink" Target="https://doi.org/10.17190/AMF/1881580" TargetMode="External"/><Relationship Id="rId325" Type="http://schemas.openxmlformats.org/officeDocument/2006/relationships/hyperlink" Target="https://doi.org/10.17190/AMF/1480317" TargetMode="External"/><Relationship Id="rId567" Type="http://schemas.openxmlformats.org/officeDocument/2006/relationships/hyperlink" Target="https://doi.org/10.17190/AMF/1543379" TargetMode="External"/><Relationship Id="rId324" Type="http://schemas.openxmlformats.org/officeDocument/2006/relationships/hyperlink" Target="https://doi.org/" TargetMode="External"/><Relationship Id="rId566" Type="http://schemas.openxmlformats.org/officeDocument/2006/relationships/hyperlink" Target="https://doi.org/10.17190/AMF/1902832" TargetMode="External"/><Relationship Id="rId329" Type="http://schemas.openxmlformats.org/officeDocument/2006/relationships/hyperlink" Target="https://doi.org/10.17190/AMF/1246040" TargetMode="External"/><Relationship Id="rId328" Type="http://schemas.openxmlformats.org/officeDocument/2006/relationships/hyperlink" Target="https://doi.org/10.17190/AMF/1871135" TargetMode="External"/><Relationship Id="rId561" Type="http://schemas.openxmlformats.org/officeDocument/2006/relationships/hyperlink" Target="https://doi.org/10.17190/AMF/1634881" TargetMode="External"/><Relationship Id="rId1150" Type="http://schemas.openxmlformats.org/officeDocument/2006/relationships/hyperlink" Target="https://doi.org/10.17190/AMF/1881597" TargetMode="External"/><Relationship Id="rId560" Type="http://schemas.openxmlformats.org/officeDocument/2006/relationships/hyperlink" Target="https://doi.org/" TargetMode="External"/><Relationship Id="rId1151" Type="http://schemas.openxmlformats.org/officeDocument/2006/relationships/hyperlink" Target="https://doi.org/10.17190/AMF/1246108" TargetMode="External"/><Relationship Id="rId1152" Type="http://schemas.openxmlformats.org/officeDocument/2006/relationships/hyperlink" Target="https://doi.org/" TargetMode="External"/><Relationship Id="rId1153" Type="http://schemas.openxmlformats.org/officeDocument/2006/relationships/hyperlink" Target="https://doi.org/10.17190/AMF/2001311" TargetMode="External"/><Relationship Id="rId323" Type="http://schemas.openxmlformats.org/officeDocument/2006/relationships/hyperlink" Target="https://doi.org/" TargetMode="External"/><Relationship Id="rId565" Type="http://schemas.openxmlformats.org/officeDocument/2006/relationships/hyperlink" Target="https://doi.org/10.17190/AMF/1562389" TargetMode="External"/><Relationship Id="rId1154" Type="http://schemas.openxmlformats.org/officeDocument/2006/relationships/hyperlink" Target="https://doi.org/" TargetMode="External"/><Relationship Id="rId322" Type="http://schemas.openxmlformats.org/officeDocument/2006/relationships/hyperlink" Target="https://doi.org/" TargetMode="External"/><Relationship Id="rId564" Type="http://schemas.openxmlformats.org/officeDocument/2006/relationships/hyperlink" Target="https://doi.org/" TargetMode="External"/><Relationship Id="rId1155" Type="http://schemas.openxmlformats.org/officeDocument/2006/relationships/hyperlink" Target="https://doi.org/" TargetMode="External"/><Relationship Id="rId321" Type="http://schemas.openxmlformats.org/officeDocument/2006/relationships/hyperlink" Target="https://doi.org/" TargetMode="External"/><Relationship Id="rId563" Type="http://schemas.openxmlformats.org/officeDocument/2006/relationships/hyperlink" Target="https://doi.org/" TargetMode="External"/><Relationship Id="rId1156" Type="http://schemas.openxmlformats.org/officeDocument/2006/relationships/hyperlink" Target="https://doi.org/" TargetMode="External"/><Relationship Id="rId320" Type="http://schemas.openxmlformats.org/officeDocument/2006/relationships/hyperlink" Target="https://doi.org/" TargetMode="External"/><Relationship Id="rId562" Type="http://schemas.openxmlformats.org/officeDocument/2006/relationships/hyperlink" Target="https://doi.org/" TargetMode="External"/><Relationship Id="rId1157" Type="http://schemas.openxmlformats.org/officeDocument/2006/relationships/hyperlink" Target="https://doi.org/" TargetMode="External"/><Relationship Id="rId1147" Type="http://schemas.openxmlformats.org/officeDocument/2006/relationships/hyperlink" Target="https://doi.org/10.17190/AMF/1246107" TargetMode="External"/><Relationship Id="rId1148" Type="http://schemas.openxmlformats.org/officeDocument/2006/relationships/hyperlink" Target="https://doi.org/10.17190/AMF/2204882" TargetMode="External"/><Relationship Id="rId1149" Type="http://schemas.openxmlformats.org/officeDocument/2006/relationships/hyperlink" Target="https://doi.org/10.17190/AMF/1246134" TargetMode="External"/><Relationship Id="rId316" Type="http://schemas.openxmlformats.org/officeDocument/2006/relationships/hyperlink" Target="https://doi.org/" TargetMode="External"/><Relationship Id="rId558" Type="http://schemas.openxmlformats.org/officeDocument/2006/relationships/hyperlink" Target="https://doi.org/10.17190/AMF/2229378" TargetMode="External"/><Relationship Id="rId315" Type="http://schemas.openxmlformats.org/officeDocument/2006/relationships/hyperlink" Target="https://doi.org/" TargetMode="External"/><Relationship Id="rId557" Type="http://schemas.openxmlformats.org/officeDocument/2006/relationships/hyperlink" Target="https://doi.org/10.17190/AMF/1660343" TargetMode="External"/><Relationship Id="rId799" Type="http://schemas.openxmlformats.org/officeDocument/2006/relationships/hyperlink" Target="https://doi.org/10.17190/AMF/1246082" TargetMode="External"/><Relationship Id="rId314" Type="http://schemas.openxmlformats.org/officeDocument/2006/relationships/hyperlink" Target="https://doi.org/" TargetMode="External"/><Relationship Id="rId556" Type="http://schemas.openxmlformats.org/officeDocument/2006/relationships/hyperlink" Target="https://doi.org/10.17190/AMF/2229377" TargetMode="External"/><Relationship Id="rId798" Type="http://schemas.openxmlformats.org/officeDocument/2006/relationships/hyperlink" Target="https://doi.org/10.17190/AMF/1871139" TargetMode="External"/><Relationship Id="rId313" Type="http://schemas.openxmlformats.org/officeDocument/2006/relationships/hyperlink" Target="https://doi.org/" TargetMode="External"/><Relationship Id="rId555" Type="http://schemas.openxmlformats.org/officeDocument/2006/relationships/hyperlink" Target="https://doi.org/10.17190/AMF/1660342" TargetMode="External"/><Relationship Id="rId797" Type="http://schemas.openxmlformats.org/officeDocument/2006/relationships/hyperlink" Target="https://doi.org/10.17190/AMF/1246139" TargetMode="External"/><Relationship Id="rId319" Type="http://schemas.openxmlformats.org/officeDocument/2006/relationships/hyperlink" Target="https://doi.org/" TargetMode="External"/><Relationship Id="rId318" Type="http://schemas.openxmlformats.org/officeDocument/2006/relationships/hyperlink" Target="https://doi.org/" TargetMode="External"/><Relationship Id="rId317" Type="http://schemas.openxmlformats.org/officeDocument/2006/relationships/hyperlink" Target="https://doi.org/" TargetMode="External"/><Relationship Id="rId559" Type="http://schemas.openxmlformats.org/officeDocument/2006/relationships/hyperlink" Target="https://doi.org/10.17190/AMF/2001299" TargetMode="External"/><Relationship Id="rId550" Type="http://schemas.openxmlformats.org/officeDocument/2006/relationships/hyperlink" Target="https://doi.org/10.17190/AMF/1871137" TargetMode="External"/><Relationship Id="rId792" Type="http://schemas.openxmlformats.org/officeDocument/2006/relationships/hyperlink" Target="https://doi.org/" TargetMode="External"/><Relationship Id="rId791" Type="http://schemas.openxmlformats.org/officeDocument/2006/relationships/hyperlink" Target="https://doi.org/10.17190/AMF/1782821" TargetMode="External"/><Relationship Id="rId1140" Type="http://schemas.openxmlformats.org/officeDocument/2006/relationships/hyperlink" Target="https://doi.org/" TargetMode="External"/><Relationship Id="rId790" Type="http://schemas.openxmlformats.org/officeDocument/2006/relationships/hyperlink" Target="https://doi.org/" TargetMode="External"/><Relationship Id="rId1141" Type="http://schemas.openxmlformats.org/officeDocument/2006/relationships/hyperlink" Target="https://doi.org/" TargetMode="External"/><Relationship Id="rId1142" Type="http://schemas.openxmlformats.org/officeDocument/2006/relationships/hyperlink" Target="https://doi.org/" TargetMode="External"/><Relationship Id="rId312" Type="http://schemas.openxmlformats.org/officeDocument/2006/relationships/hyperlink" Target="https://doi.org/" TargetMode="External"/><Relationship Id="rId554" Type="http://schemas.openxmlformats.org/officeDocument/2006/relationships/hyperlink" Target="https://doi.org/10.17190/AMF/1832160" TargetMode="External"/><Relationship Id="rId796" Type="http://schemas.openxmlformats.org/officeDocument/2006/relationships/hyperlink" Target="https://doi.org/" TargetMode="External"/><Relationship Id="rId1143" Type="http://schemas.openxmlformats.org/officeDocument/2006/relationships/hyperlink" Target="https://doi.org/" TargetMode="External"/><Relationship Id="rId311" Type="http://schemas.openxmlformats.org/officeDocument/2006/relationships/hyperlink" Target="https://doi.org/" TargetMode="External"/><Relationship Id="rId553" Type="http://schemas.openxmlformats.org/officeDocument/2006/relationships/hyperlink" Target="https://doi.org/10.17190/AMF/1660341" TargetMode="External"/><Relationship Id="rId795" Type="http://schemas.openxmlformats.org/officeDocument/2006/relationships/hyperlink" Target="https://doi.org/10.17190/AMF/1804490" TargetMode="External"/><Relationship Id="rId1144" Type="http://schemas.openxmlformats.org/officeDocument/2006/relationships/hyperlink" Target="https://doi.org/" TargetMode="External"/><Relationship Id="rId310" Type="http://schemas.openxmlformats.org/officeDocument/2006/relationships/hyperlink" Target="https://doi.org/" TargetMode="External"/><Relationship Id="rId552" Type="http://schemas.openxmlformats.org/officeDocument/2006/relationships/hyperlink" Target="https://doi.org/" TargetMode="External"/><Relationship Id="rId794" Type="http://schemas.openxmlformats.org/officeDocument/2006/relationships/hyperlink" Target="https://doi.org/" TargetMode="External"/><Relationship Id="rId1145" Type="http://schemas.openxmlformats.org/officeDocument/2006/relationships/hyperlink" Target="https://doi.org/10.17190/AMF/1480315" TargetMode="External"/><Relationship Id="rId551" Type="http://schemas.openxmlformats.org/officeDocument/2006/relationships/hyperlink" Target="https://doi.org/10.17190/AMF/1246060" TargetMode="External"/><Relationship Id="rId793" Type="http://schemas.openxmlformats.org/officeDocument/2006/relationships/hyperlink" Target="https://doi.org/10.17190/AMF/1782823" TargetMode="External"/><Relationship Id="rId1146" Type="http://schemas.openxmlformats.org/officeDocument/2006/relationships/hyperlink" Target="https://doi.org/10.17190/AMF/1881596" TargetMode="External"/><Relationship Id="rId297" Type="http://schemas.openxmlformats.org/officeDocument/2006/relationships/hyperlink" Target="https://doi.org/10.17190/AMF/1617706" TargetMode="External"/><Relationship Id="rId296" Type="http://schemas.openxmlformats.org/officeDocument/2006/relationships/hyperlink" Target="https://doi.org/" TargetMode="External"/><Relationship Id="rId295" Type="http://schemas.openxmlformats.org/officeDocument/2006/relationships/hyperlink" Target="https://doi.org/10.17190/AMF/1634880" TargetMode="External"/><Relationship Id="rId294" Type="http://schemas.openxmlformats.org/officeDocument/2006/relationships/hyperlink" Target="https://doi.org/10.17190/AMF/1854366" TargetMode="External"/><Relationship Id="rId299" Type="http://schemas.openxmlformats.org/officeDocument/2006/relationships/hyperlink" Target="https://doi.org/10.17190/AMF/1617709" TargetMode="External"/><Relationship Id="rId298" Type="http://schemas.openxmlformats.org/officeDocument/2006/relationships/hyperlink" Target="https://doi.org/" TargetMode="External"/><Relationship Id="rId271" Type="http://schemas.openxmlformats.org/officeDocument/2006/relationships/hyperlink" Target="https://doi.org/10.17190/AMF/1246141" TargetMode="External"/><Relationship Id="rId270" Type="http://schemas.openxmlformats.org/officeDocument/2006/relationships/hyperlink" Target="https://doi.org/" TargetMode="External"/><Relationship Id="rId269" Type="http://schemas.openxmlformats.org/officeDocument/2006/relationships/hyperlink" Target="https://doi.org/" TargetMode="External"/><Relationship Id="rId264" Type="http://schemas.openxmlformats.org/officeDocument/2006/relationships/hyperlink" Target="https://doi.org/" TargetMode="External"/><Relationship Id="rId263" Type="http://schemas.openxmlformats.org/officeDocument/2006/relationships/hyperlink" Target="https://doi.org/" TargetMode="External"/><Relationship Id="rId262" Type="http://schemas.openxmlformats.org/officeDocument/2006/relationships/hyperlink" Target="https://doi.org/10.17190/AMF/2006963" TargetMode="External"/><Relationship Id="rId261" Type="http://schemas.openxmlformats.org/officeDocument/2006/relationships/hyperlink" Target="https://doi.org/10.17190/AMF/1436328" TargetMode="External"/><Relationship Id="rId268" Type="http://schemas.openxmlformats.org/officeDocument/2006/relationships/hyperlink" Target="https://doi.org/" TargetMode="External"/><Relationship Id="rId267" Type="http://schemas.openxmlformats.org/officeDocument/2006/relationships/hyperlink" Target="https://doi.org/10.17190/AMF/1418680" TargetMode="External"/><Relationship Id="rId266" Type="http://schemas.openxmlformats.org/officeDocument/2006/relationships/hyperlink" Target="https://doi.org/" TargetMode="External"/><Relationship Id="rId265" Type="http://schemas.openxmlformats.org/officeDocument/2006/relationships/hyperlink" Target="https://doi.org/10.17190/AMF/1846660" TargetMode="External"/><Relationship Id="rId260" Type="http://schemas.openxmlformats.org/officeDocument/2006/relationships/hyperlink" Target="https://doi.org/" TargetMode="External"/><Relationship Id="rId259" Type="http://schemas.openxmlformats.org/officeDocument/2006/relationships/hyperlink" Target="https://doi.org/" TargetMode="External"/><Relationship Id="rId258" Type="http://schemas.openxmlformats.org/officeDocument/2006/relationships/hyperlink" Target="https://doi.org/10.17190/AMF/1881568" TargetMode="External"/><Relationship Id="rId253" Type="http://schemas.openxmlformats.org/officeDocument/2006/relationships/hyperlink" Target="https://doi.org/10.17190/AMF/1498752" TargetMode="External"/><Relationship Id="rId495" Type="http://schemas.openxmlformats.org/officeDocument/2006/relationships/hyperlink" Target="https://doi.org/" TargetMode="External"/><Relationship Id="rId252" Type="http://schemas.openxmlformats.org/officeDocument/2006/relationships/hyperlink" Target="https://doi.org/" TargetMode="External"/><Relationship Id="rId494" Type="http://schemas.openxmlformats.org/officeDocument/2006/relationships/hyperlink" Target="https://doi.org/" TargetMode="External"/><Relationship Id="rId251" Type="http://schemas.openxmlformats.org/officeDocument/2006/relationships/hyperlink" Target="https://doi.org/10.17190/AMF/1773394" TargetMode="External"/><Relationship Id="rId493" Type="http://schemas.openxmlformats.org/officeDocument/2006/relationships/hyperlink" Target="https://doi.org/" TargetMode="External"/><Relationship Id="rId250" Type="http://schemas.openxmlformats.org/officeDocument/2006/relationships/hyperlink" Target="https://doi.org/" TargetMode="External"/><Relationship Id="rId492" Type="http://schemas.openxmlformats.org/officeDocument/2006/relationships/hyperlink" Target="https://doi.org/" TargetMode="External"/><Relationship Id="rId257" Type="http://schemas.openxmlformats.org/officeDocument/2006/relationships/hyperlink" Target="https://doi.org/10.17190/AMF/1436327" TargetMode="External"/><Relationship Id="rId499" Type="http://schemas.openxmlformats.org/officeDocument/2006/relationships/hyperlink" Target="https://doi.org/10.17190/AMF/1418678" TargetMode="External"/><Relationship Id="rId256" Type="http://schemas.openxmlformats.org/officeDocument/2006/relationships/hyperlink" Target="https://doi.org/" TargetMode="External"/><Relationship Id="rId498" Type="http://schemas.openxmlformats.org/officeDocument/2006/relationships/hyperlink" Target="https://doi.org/" TargetMode="External"/><Relationship Id="rId255" Type="http://schemas.openxmlformats.org/officeDocument/2006/relationships/hyperlink" Target="https://doi.org/10.17190/AMF/1498753" TargetMode="External"/><Relationship Id="rId497" Type="http://schemas.openxmlformats.org/officeDocument/2006/relationships/hyperlink" Target="https://doi.org/10.17190/AMF/1246118" TargetMode="External"/><Relationship Id="rId254" Type="http://schemas.openxmlformats.org/officeDocument/2006/relationships/hyperlink" Target="https://doi.org/" TargetMode="External"/><Relationship Id="rId496" Type="http://schemas.openxmlformats.org/officeDocument/2006/relationships/hyperlink" Target="https://doi.org/" TargetMode="External"/><Relationship Id="rId293" Type="http://schemas.openxmlformats.org/officeDocument/2006/relationships/hyperlink" Target="https://doi.org/10.17190/AMF/1246027" TargetMode="External"/><Relationship Id="rId292" Type="http://schemas.openxmlformats.org/officeDocument/2006/relationships/hyperlink" Target="https://doi.org/10.17190/AMF/2006968" TargetMode="External"/><Relationship Id="rId291" Type="http://schemas.openxmlformats.org/officeDocument/2006/relationships/hyperlink" Target="https://doi.org/10.17190/AMF/1246026" TargetMode="External"/><Relationship Id="rId290" Type="http://schemas.openxmlformats.org/officeDocument/2006/relationships/hyperlink" Target="https://doi.org/10.17190/AMF/2006967" TargetMode="External"/><Relationship Id="rId286" Type="http://schemas.openxmlformats.org/officeDocument/2006/relationships/hyperlink" Target="https://doi.org/10.17190/AMF/2006965" TargetMode="External"/><Relationship Id="rId285" Type="http://schemas.openxmlformats.org/officeDocument/2006/relationships/hyperlink" Target="https://doi.org/10.17190/AMF/1246137" TargetMode="External"/><Relationship Id="rId284" Type="http://schemas.openxmlformats.org/officeDocument/2006/relationships/hyperlink" Target="https://doi.org/" TargetMode="External"/><Relationship Id="rId283" Type="http://schemas.openxmlformats.org/officeDocument/2006/relationships/hyperlink" Target="https://doi.org/" TargetMode="External"/><Relationship Id="rId289" Type="http://schemas.openxmlformats.org/officeDocument/2006/relationships/hyperlink" Target="https://doi.org/10.17190/AMF/1246025" TargetMode="External"/><Relationship Id="rId288" Type="http://schemas.openxmlformats.org/officeDocument/2006/relationships/hyperlink" Target="https://doi.org/10.17190/AMF/2006966" TargetMode="External"/><Relationship Id="rId287" Type="http://schemas.openxmlformats.org/officeDocument/2006/relationships/hyperlink" Target="https://doi.org/10.17190/AMF/1246138" TargetMode="External"/><Relationship Id="rId282" Type="http://schemas.openxmlformats.org/officeDocument/2006/relationships/hyperlink" Target="https://doi.org/" TargetMode="External"/><Relationship Id="rId281" Type="http://schemas.openxmlformats.org/officeDocument/2006/relationships/hyperlink" Target="https://doi.org/10.17190/AMF/1246144" TargetMode="External"/><Relationship Id="rId280" Type="http://schemas.openxmlformats.org/officeDocument/2006/relationships/hyperlink" Target="https://doi.org/" TargetMode="External"/><Relationship Id="rId275" Type="http://schemas.openxmlformats.org/officeDocument/2006/relationships/hyperlink" Target="https://doi.org/" TargetMode="External"/><Relationship Id="rId274" Type="http://schemas.openxmlformats.org/officeDocument/2006/relationships/hyperlink" Target="https://doi.org/10.17190/AMF/2006964" TargetMode="External"/><Relationship Id="rId273" Type="http://schemas.openxmlformats.org/officeDocument/2006/relationships/hyperlink" Target="https://doi.org/10.17190/AMF/1480323" TargetMode="External"/><Relationship Id="rId272" Type="http://schemas.openxmlformats.org/officeDocument/2006/relationships/hyperlink" Target="https://doi.org/" TargetMode="External"/><Relationship Id="rId279" Type="http://schemas.openxmlformats.org/officeDocument/2006/relationships/hyperlink" Target="https://doi.org/10.17190/AMF/1246143" TargetMode="External"/><Relationship Id="rId278" Type="http://schemas.openxmlformats.org/officeDocument/2006/relationships/hyperlink" Target="https://doi.org/" TargetMode="External"/><Relationship Id="rId277" Type="http://schemas.openxmlformats.org/officeDocument/2006/relationships/hyperlink" Target="https://doi.org/10.17190/AMF/1246142" TargetMode="External"/><Relationship Id="rId276" Type="http://schemas.openxmlformats.org/officeDocument/2006/relationships/hyperlink" Target="https://doi.org/" TargetMode="External"/><Relationship Id="rId907" Type="http://schemas.openxmlformats.org/officeDocument/2006/relationships/hyperlink" Target="https://doi.org/10.17190/AMF/1246153" TargetMode="External"/><Relationship Id="rId906" Type="http://schemas.openxmlformats.org/officeDocument/2006/relationships/hyperlink" Target="https://doi.org/" TargetMode="External"/><Relationship Id="rId905" Type="http://schemas.openxmlformats.org/officeDocument/2006/relationships/hyperlink" Target="https://doi.org/10.17190/AMF/1246091" TargetMode="External"/><Relationship Id="rId904" Type="http://schemas.openxmlformats.org/officeDocument/2006/relationships/hyperlink" Target="https://doi.org/10.17190/AMF/2229386" TargetMode="External"/><Relationship Id="rId909" Type="http://schemas.openxmlformats.org/officeDocument/2006/relationships/hyperlink" Target="https://doi.org/10.17190/AMF/1617719" TargetMode="External"/><Relationship Id="rId908" Type="http://schemas.openxmlformats.org/officeDocument/2006/relationships/hyperlink" Target="https://doi.org/" TargetMode="External"/><Relationship Id="rId903" Type="http://schemas.openxmlformats.org/officeDocument/2006/relationships/hyperlink" Target="https://doi.org/10.17190/AMF/1433376" TargetMode="External"/><Relationship Id="rId902" Type="http://schemas.openxmlformats.org/officeDocument/2006/relationships/hyperlink" Target="https://doi.org/" TargetMode="External"/><Relationship Id="rId901" Type="http://schemas.openxmlformats.org/officeDocument/2006/relationships/hyperlink" Target="https://doi.org/" TargetMode="External"/><Relationship Id="rId900" Type="http://schemas.openxmlformats.org/officeDocument/2006/relationships/hyperlink" Target="https://doi.org/" TargetMode="External"/><Relationship Id="rId929" Type="http://schemas.openxmlformats.org/officeDocument/2006/relationships/hyperlink" Target="https://doi.org/10.17190/AMF/1498751" TargetMode="External"/><Relationship Id="rId928" Type="http://schemas.openxmlformats.org/officeDocument/2006/relationships/hyperlink" Target="https://doi.org/" TargetMode="External"/><Relationship Id="rId927" Type="http://schemas.openxmlformats.org/officeDocument/2006/relationships/hyperlink" Target="https://doi.org/10.17190/AMF/1498750" TargetMode="External"/><Relationship Id="rId926" Type="http://schemas.openxmlformats.org/officeDocument/2006/relationships/hyperlink" Target="https://doi.org/" TargetMode="External"/><Relationship Id="rId921" Type="http://schemas.openxmlformats.org/officeDocument/2006/relationships/hyperlink" Target="https://doi.org/10.17190/AMF/1498748" TargetMode="External"/><Relationship Id="rId920" Type="http://schemas.openxmlformats.org/officeDocument/2006/relationships/hyperlink" Target="https://doi.org/" TargetMode="External"/><Relationship Id="rId925" Type="http://schemas.openxmlformats.org/officeDocument/2006/relationships/hyperlink" Target="https://doi.org/10.17190/AMF/1498749" TargetMode="External"/><Relationship Id="rId924" Type="http://schemas.openxmlformats.org/officeDocument/2006/relationships/hyperlink" Target="https://doi.org/" TargetMode="External"/><Relationship Id="rId923" Type="http://schemas.openxmlformats.org/officeDocument/2006/relationships/hyperlink" Target="https://doi.org/10.17190/AMF/1498747" TargetMode="External"/><Relationship Id="rId922" Type="http://schemas.openxmlformats.org/officeDocument/2006/relationships/hyperlink" Target="https://doi.org/" TargetMode="External"/><Relationship Id="rId918" Type="http://schemas.openxmlformats.org/officeDocument/2006/relationships/hyperlink" Target="https://doi.org/" TargetMode="External"/><Relationship Id="rId917" Type="http://schemas.openxmlformats.org/officeDocument/2006/relationships/hyperlink" Target="https://doi.org/" TargetMode="External"/><Relationship Id="rId916" Type="http://schemas.openxmlformats.org/officeDocument/2006/relationships/hyperlink" Target="https://doi.org/" TargetMode="External"/><Relationship Id="rId915" Type="http://schemas.openxmlformats.org/officeDocument/2006/relationships/hyperlink" Target="https://doi.org/" TargetMode="External"/><Relationship Id="rId919" Type="http://schemas.openxmlformats.org/officeDocument/2006/relationships/hyperlink" Target="https://doi.org/" TargetMode="External"/><Relationship Id="rId910" Type="http://schemas.openxmlformats.org/officeDocument/2006/relationships/hyperlink" Target="https://doi.org/" TargetMode="External"/><Relationship Id="rId914" Type="http://schemas.openxmlformats.org/officeDocument/2006/relationships/hyperlink" Target="https://doi.org/" TargetMode="External"/><Relationship Id="rId913" Type="http://schemas.openxmlformats.org/officeDocument/2006/relationships/hyperlink" Target="https://doi.org/" TargetMode="External"/><Relationship Id="rId912" Type="http://schemas.openxmlformats.org/officeDocument/2006/relationships/hyperlink" Target="https://doi.org/" TargetMode="External"/><Relationship Id="rId911" Type="http://schemas.openxmlformats.org/officeDocument/2006/relationships/hyperlink" Target="https://doi.org/10.17190/AMF/1617720" TargetMode="External"/><Relationship Id="rId1213" Type="http://schemas.openxmlformats.org/officeDocument/2006/relationships/hyperlink" Target="https://doi.org/10.17190/AMF/1579719" TargetMode="External"/><Relationship Id="rId1214" Type="http://schemas.openxmlformats.org/officeDocument/2006/relationships/hyperlink" Target="https://doi.org/" TargetMode="External"/><Relationship Id="rId1215" Type="http://schemas.openxmlformats.org/officeDocument/2006/relationships/hyperlink" Target="https://doi.org/10.17190/AMF/1246155" TargetMode="External"/><Relationship Id="rId1216" Type="http://schemas.openxmlformats.org/officeDocument/2006/relationships/hyperlink" Target="https://doi.org/10.17190/AMF/2229402" TargetMode="External"/><Relationship Id="rId1217" Type="http://schemas.openxmlformats.org/officeDocument/2006/relationships/hyperlink" Target="https://doi.org/10.17190/AMF/1246114" TargetMode="External"/><Relationship Id="rId1218" Type="http://schemas.openxmlformats.org/officeDocument/2006/relationships/hyperlink" Target="https://doi.org/" TargetMode="External"/><Relationship Id="rId1219" Type="http://schemas.openxmlformats.org/officeDocument/2006/relationships/hyperlink" Target="https://doi.org/" TargetMode="External"/><Relationship Id="rId629" Type="http://schemas.openxmlformats.org/officeDocument/2006/relationships/hyperlink" Target="https://doi.org/10.17190/AMF/1246067" TargetMode="External"/><Relationship Id="rId624" Type="http://schemas.openxmlformats.org/officeDocument/2006/relationships/hyperlink" Target="https://doi.org/" TargetMode="External"/><Relationship Id="rId866" Type="http://schemas.openxmlformats.org/officeDocument/2006/relationships/hyperlink" Target="https://doi.org/" TargetMode="External"/><Relationship Id="rId623" Type="http://schemas.openxmlformats.org/officeDocument/2006/relationships/hyperlink" Target="https://doi.org/10.17190/AMF/2001307" TargetMode="External"/><Relationship Id="rId865" Type="http://schemas.openxmlformats.org/officeDocument/2006/relationships/hyperlink" Target="https://doi.org/10.17190/AMF/1890484" TargetMode="External"/><Relationship Id="rId622" Type="http://schemas.openxmlformats.org/officeDocument/2006/relationships/hyperlink" Target="https://doi.org/" TargetMode="External"/><Relationship Id="rId864" Type="http://schemas.openxmlformats.org/officeDocument/2006/relationships/hyperlink" Target="https://doi.org/" TargetMode="External"/><Relationship Id="rId621" Type="http://schemas.openxmlformats.org/officeDocument/2006/relationships/hyperlink" Target="https://doi.org/10.17190/AMF/2001306" TargetMode="External"/><Relationship Id="rId863" Type="http://schemas.openxmlformats.org/officeDocument/2006/relationships/hyperlink" Target="https://doi.org/10.17190/AMF/1717853" TargetMode="External"/><Relationship Id="rId628" Type="http://schemas.openxmlformats.org/officeDocument/2006/relationships/hyperlink" Target="https://doi.org/" TargetMode="External"/><Relationship Id="rId627" Type="http://schemas.openxmlformats.org/officeDocument/2006/relationships/hyperlink" Target="https://doi.org/10.17190/AMF/2001309" TargetMode="External"/><Relationship Id="rId869" Type="http://schemas.openxmlformats.org/officeDocument/2006/relationships/hyperlink" Target="https://doi.org/10.17190/AMF/1717855" TargetMode="External"/><Relationship Id="rId626" Type="http://schemas.openxmlformats.org/officeDocument/2006/relationships/hyperlink" Target="https://doi.org/" TargetMode="External"/><Relationship Id="rId868" Type="http://schemas.openxmlformats.org/officeDocument/2006/relationships/hyperlink" Target="https://doi.org/" TargetMode="External"/><Relationship Id="rId625" Type="http://schemas.openxmlformats.org/officeDocument/2006/relationships/hyperlink" Target="https://doi.org/10.17190/AMF/2001308" TargetMode="External"/><Relationship Id="rId867" Type="http://schemas.openxmlformats.org/officeDocument/2006/relationships/hyperlink" Target="https://doi.org/10.17190/AMF/1717854" TargetMode="External"/><Relationship Id="rId620" Type="http://schemas.openxmlformats.org/officeDocument/2006/relationships/hyperlink" Target="https://doi.org/" TargetMode="External"/><Relationship Id="rId862" Type="http://schemas.openxmlformats.org/officeDocument/2006/relationships/hyperlink" Target="https://doi.org/" TargetMode="External"/><Relationship Id="rId861" Type="http://schemas.openxmlformats.org/officeDocument/2006/relationships/hyperlink" Target="https://doi.org/10.17190/AMF/1717852" TargetMode="External"/><Relationship Id="rId1210" Type="http://schemas.openxmlformats.org/officeDocument/2006/relationships/hyperlink" Target="https://doi.org/10.17190/AMF/1984575" TargetMode="External"/><Relationship Id="rId860" Type="http://schemas.openxmlformats.org/officeDocument/2006/relationships/hyperlink" Target="https://doi.org/" TargetMode="External"/><Relationship Id="rId1211" Type="http://schemas.openxmlformats.org/officeDocument/2006/relationships/hyperlink" Target="https://doi.org/10.17190/AMF/1246115" TargetMode="External"/><Relationship Id="rId1212" Type="http://schemas.openxmlformats.org/officeDocument/2006/relationships/hyperlink" Target="https://doi.org/" TargetMode="External"/><Relationship Id="rId1202" Type="http://schemas.openxmlformats.org/officeDocument/2006/relationships/hyperlink" Target="https://doi.org/10.17190/AMF/2229399" TargetMode="External"/><Relationship Id="rId1203" Type="http://schemas.openxmlformats.org/officeDocument/2006/relationships/hyperlink" Target="https://doi.org/10.17190/AMF/1246023" TargetMode="External"/><Relationship Id="rId1204" Type="http://schemas.openxmlformats.org/officeDocument/2006/relationships/hyperlink" Target="https://doi.org/10.17190/AMF/2229400" TargetMode="External"/><Relationship Id="rId1205" Type="http://schemas.openxmlformats.org/officeDocument/2006/relationships/hyperlink" Target="https://doi.org/10.17190/AMF/1246024" TargetMode="External"/><Relationship Id="rId1206" Type="http://schemas.openxmlformats.org/officeDocument/2006/relationships/hyperlink" Target="https://doi.org/10.17190/AMF/2229401" TargetMode="External"/><Relationship Id="rId1207" Type="http://schemas.openxmlformats.org/officeDocument/2006/relationships/hyperlink" Target="https://doi.org/10.17190/AMF/1246120" TargetMode="External"/><Relationship Id="rId1208" Type="http://schemas.openxmlformats.org/officeDocument/2006/relationships/hyperlink" Target="https://doi.org/10.17190/AMF/1871146" TargetMode="External"/><Relationship Id="rId1209" Type="http://schemas.openxmlformats.org/officeDocument/2006/relationships/hyperlink" Target="https://doi.org/10.17190/AMF/1246112" TargetMode="External"/><Relationship Id="rId619" Type="http://schemas.openxmlformats.org/officeDocument/2006/relationships/hyperlink" Target="https://doi.org/10.17190/AMF/2001305" TargetMode="External"/><Relationship Id="rId618" Type="http://schemas.openxmlformats.org/officeDocument/2006/relationships/hyperlink" Target="https://doi.org/" TargetMode="External"/><Relationship Id="rId613" Type="http://schemas.openxmlformats.org/officeDocument/2006/relationships/hyperlink" Target="https://doi.org/10.17190/AMF/2001302" TargetMode="External"/><Relationship Id="rId855" Type="http://schemas.openxmlformats.org/officeDocument/2006/relationships/hyperlink" Target="https://doi.org/10.17190/AMF/1246090" TargetMode="External"/><Relationship Id="rId612" Type="http://schemas.openxmlformats.org/officeDocument/2006/relationships/hyperlink" Target="https://doi.org/" TargetMode="External"/><Relationship Id="rId854" Type="http://schemas.openxmlformats.org/officeDocument/2006/relationships/hyperlink" Target="https://doi.org/" TargetMode="External"/><Relationship Id="rId611" Type="http://schemas.openxmlformats.org/officeDocument/2006/relationships/hyperlink" Target="https://doi.org/10.17190/AMF/1987603" TargetMode="External"/><Relationship Id="rId853" Type="http://schemas.openxmlformats.org/officeDocument/2006/relationships/hyperlink" Target="https://doi.org/" TargetMode="External"/><Relationship Id="rId610" Type="http://schemas.openxmlformats.org/officeDocument/2006/relationships/hyperlink" Target="https://doi.org/" TargetMode="External"/><Relationship Id="rId852" Type="http://schemas.openxmlformats.org/officeDocument/2006/relationships/hyperlink" Target="https://doi.org/" TargetMode="External"/><Relationship Id="rId617" Type="http://schemas.openxmlformats.org/officeDocument/2006/relationships/hyperlink" Target="https://doi.org/10.17190/AMF/2001304" TargetMode="External"/><Relationship Id="rId859" Type="http://schemas.openxmlformats.org/officeDocument/2006/relationships/hyperlink" Target="https://doi.org/10.17190/AMF/1717851" TargetMode="External"/><Relationship Id="rId616" Type="http://schemas.openxmlformats.org/officeDocument/2006/relationships/hyperlink" Target="https://doi.org/" TargetMode="External"/><Relationship Id="rId858" Type="http://schemas.openxmlformats.org/officeDocument/2006/relationships/hyperlink" Target="https://doi.org/" TargetMode="External"/><Relationship Id="rId615" Type="http://schemas.openxmlformats.org/officeDocument/2006/relationships/hyperlink" Target="https://doi.org/10.17190/AMF/2001303" TargetMode="External"/><Relationship Id="rId857" Type="http://schemas.openxmlformats.org/officeDocument/2006/relationships/hyperlink" Target="https://doi.org/10.17190/AMF/1717850" TargetMode="External"/><Relationship Id="rId614" Type="http://schemas.openxmlformats.org/officeDocument/2006/relationships/hyperlink" Target="https://doi.org/" TargetMode="External"/><Relationship Id="rId856" Type="http://schemas.openxmlformats.org/officeDocument/2006/relationships/hyperlink" Target="https://doi.org/" TargetMode="External"/><Relationship Id="rId851" Type="http://schemas.openxmlformats.org/officeDocument/2006/relationships/hyperlink" Target="https://doi.org/10.17190/AMF/1870590" TargetMode="External"/><Relationship Id="rId850" Type="http://schemas.openxmlformats.org/officeDocument/2006/relationships/hyperlink" Target="https://doi.org/10.17190/AMF/1871142" TargetMode="External"/><Relationship Id="rId1200" Type="http://schemas.openxmlformats.org/officeDocument/2006/relationships/hyperlink" Target="https://doi.org/10.17190/AMF/2229398" TargetMode="External"/><Relationship Id="rId1201" Type="http://schemas.openxmlformats.org/officeDocument/2006/relationships/hyperlink" Target="https://doi.org/10.17190/AMF/1246022" TargetMode="External"/><Relationship Id="rId1235" Type="http://schemas.openxmlformats.org/officeDocument/2006/relationships/hyperlink" Target="https://doi.org/10.17190/AMF/1671894" TargetMode="External"/><Relationship Id="rId1236" Type="http://schemas.openxmlformats.org/officeDocument/2006/relationships/hyperlink" Target="https://doi.org/10.17190/AMF/1985435" TargetMode="External"/><Relationship Id="rId1237" Type="http://schemas.openxmlformats.org/officeDocument/2006/relationships/hyperlink" Target="https://doi.org/10.17190/AMF/1579720" TargetMode="External"/><Relationship Id="rId1238" Type="http://schemas.openxmlformats.org/officeDocument/2006/relationships/hyperlink" Target="https://doi.org/10.17190/AMF/1985436" TargetMode="External"/><Relationship Id="rId1239" Type="http://schemas.openxmlformats.org/officeDocument/2006/relationships/hyperlink" Target="https://doi.org/10.17190/AMF/1617728" TargetMode="External"/><Relationship Id="rId409" Type="http://schemas.openxmlformats.org/officeDocument/2006/relationships/hyperlink" Target="https://doi.org/10.17190/AMF/1246156" TargetMode="External"/><Relationship Id="rId404" Type="http://schemas.openxmlformats.org/officeDocument/2006/relationships/hyperlink" Target="https://doi.org/10.17190/AMF/2006972" TargetMode="External"/><Relationship Id="rId646" Type="http://schemas.openxmlformats.org/officeDocument/2006/relationships/hyperlink" Target="https://doi.org/" TargetMode="External"/><Relationship Id="rId888" Type="http://schemas.openxmlformats.org/officeDocument/2006/relationships/hyperlink" Target="https://doi.org/" TargetMode="External"/><Relationship Id="rId403" Type="http://schemas.openxmlformats.org/officeDocument/2006/relationships/hyperlink" Target="https://doi.org/10.17190/AMF/1246129" TargetMode="External"/><Relationship Id="rId645" Type="http://schemas.openxmlformats.org/officeDocument/2006/relationships/hyperlink" Target="https://doi.org/" TargetMode="External"/><Relationship Id="rId887" Type="http://schemas.openxmlformats.org/officeDocument/2006/relationships/hyperlink" Target="https://doi.org/10.17190/AMF/1717863" TargetMode="External"/><Relationship Id="rId402" Type="http://schemas.openxmlformats.org/officeDocument/2006/relationships/hyperlink" Target="https://doi.org/" TargetMode="External"/><Relationship Id="rId644" Type="http://schemas.openxmlformats.org/officeDocument/2006/relationships/hyperlink" Target="https://doi.org/" TargetMode="External"/><Relationship Id="rId886" Type="http://schemas.openxmlformats.org/officeDocument/2006/relationships/hyperlink" Target="https://doi.org/" TargetMode="External"/><Relationship Id="rId401" Type="http://schemas.openxmlformats.org/officeDocument/2006/relationships/hyperlink" Target="https://doi.org/10.17190/AMF/1660339" TargetMode="External"/><Relationship Id="rId643" Type="http://schemas.openxmlformats.org/officeDocument/2006/relationships/hyperlink" Target="https://doi.org/" TargetMode="External"/><Relationship Id="rId885" Type="http://schemas.openxmlformats.org/officeDocument/2006/relationships/hyperlink" Target="https://doi.org/10.17190/AMF/1717862" TargetMode="External"/><Relationship Id="rId408" Type="http://schemas.openxmlformats.org/officeDocument/2006/relationships/hyperlink" Target="https://doi.org/" TargetMode="External"/><Relationship Id="rId407" Type="http://schemas.openxmlformats.org/officeDocument/2006/relationships/hyperlink" Target="https://doi.org/10.17190/AMF/2204055" TargetMode="External"/><Relationship Id="rId649" Type="http://schemas.openxmlformats.org/officeDocument/2006/relationships/hyperlink" Target="https://doi.org/" TargetMode="External"/><Relationship Id="rId406" Type="http://schemas.openxmlformats.org/officeDocument/2006/relationships/hyperlink" Target="https://doi.org/10.17190/AMF/2006973" TargetMode="External"/><Relationship Id="rId648" Type="http://schemas.openxmlformats.org/officeDocument/2006/relationships/hyperlink" Target="https://doi.org/10.17190/AMF/1881585" TargetMode="External"/><Relationship Id="rId405" Type="http://schemas.openxmlformats.org/officeDocument/2006/relationships/hyperlink" Target="https://doi.org/10.17190/AMF/1246150" TargetMode="External"/><Relationship Id="rId647" Type="http://schemas.openxmlformats.org/officeDocument/2006/relationships/hyperlink" Target="https://doi.org/10.17190/AMF/1246132" TargetMode="External"/><Relationship Id="rId889" Type="http://schemas.openxmlformats.org/officeDocument/2006/relationships/hyperlink" Target="https://doi.org/10.17190/AMF/1717864" TargetMode="External"/><Relationship Id="rId880" Type="http://schemas.openxmlformats.org/officeDocument/2006/relationships/hyperlink" Target="https://doi.org/" TargetMode="External"/><Relationship Id="rId1230" Type="http://schemas.openxmlformats.org/officeDocument/2006/relationships/hyperlink" Target="https://doi.org/10.17190/AMF/2229405" TargetMode="External"/><Relationship Id="rId400" Type="http://schemas.openxmlformats.org/officeDocument/2006/relationships/hyperlink" Target="https://doi.org/" TargetMode="External"/><Relationship Id="rId642" Type="http://schemas.openxmlformats.org/officeDocument/2006/relationships/hyperlink" Target="https://doi.org/" TargetMode="External"/><Relationship Id="rId884" Type="http://schemas.openxmlformats.org/officeDocument/2006/relationships/hyperlink" Target="https://doi.org/" TargetMode="External"/><Relationship Id="rId1231" Type="http://schemas.openxmlformats.org/officeDocument/2006/relationships/hyperlink" Target="https://doi.org/10.17190/AMF/1617727" TargetMode="External"/><Relationship Id="rId641" Type="http://schemas.openxmlformats.org/officeDocument/2006/relationships/hyperlink" Target="https://doi.org/10.17190/AMF/1617714" TargetMode="External"/><Relationship Id="rId883" Type="http://schemas.openxmlformats.org/officeDocument/2006/relationships/hyperlink" Target="https://doi.org/10.17190/AMF/1880912" TargetMode="External"/><Relationship Id="rId1232" Type="http://schemas.openxmlformats.org/officeDocument/2006/relationships/hyperlink" Target="https://doi.org/10.17190/AMF/2229406" TargetMode="External"/><Relationship Id="rId640" Type="http://schemas.openxmlformats.org/officeDocument/2006/relationships/hyperlink" Target="https://doi.org/" TargetMode="External"/><Relationship Id="rId882" Type="http://schemas.openxmlformats.org/officeDocument/2006/relationships/hyperlink" Target="https://doi.org/" TargetMode="External"/><Relationship Id="rId1233" Type="http://schemas.openxmlformats.org/officeDocument/2006/relationships/hyperlink" Target="https://doi.org/10.17190/AMF/1579542" TargetMode="External"/><Relationship Id="rId881" Type="http://schemas.openxmlformats.org/officeDocument/2006/relationships/hyperlink" Target="https://doi.org/10.17190/AMF/1717861" TargetMode="External"/><Relationship Id="rId1234" Type="http://schemas.openxmlformats.org/officeDocument/2006/relationships/hyperlink" Target="https://doi.org/10.17190/AMF/1881598" TargetMode="External"/><Relationship Id="rId1224" Type="http://schemas.openxmlformats.org/officeDocument/2006/relationships/hyperlink" Target="https://doi.org/10.17190/AMF/2229403" TargetMode="External"/><Relationship Id="rId1225" Type="http://schemas.openxmlformats.org/officeDocument/2006/relationships/hyperlink" Target="https://doi.org/10.17190/AMF/1671891" TargetMode="External"/><Relationship Id="rId1226" Type="http://schemas.openxmlformats.org/officeDocument/2006/relationships/hyperlink" Target="https://doi.org/10.17190/AMF/1985434" TargetMode="External"/><Relationship Id="rId1227" Type="http://schemas.openxmlformats.org/officeDocument/2006/relationships/hyperlink" Target="https://doi.org/10.17190/AMF/1671892" TargetMode="External"/><Relationship Id="rId1228" Type="http://schemas.openxmlformats.org/officeDocument/2006/relationships/hyperlink" Target="https://doi.org/10.17190/AMF/2229404" TargetMode="External"/><Relationship Id="rId1229" Type="http://schemas.openxmlformats.org/officeDocument/2006/relationships/hyperlink" Target="https://doi.org/10.17190/AMF/1671893" TargetMode="External"/><Relationship Id="rId635" Type="http://schemas.openxmlformats.org/officeDocument/2006/relationships/hyperlink" Target="https://doi.org/10.17190/AMF/1767833" TargetMode="External"/><Relationship Id="rId877" Type="http://schemas.openxmlformats.org/officeDocument/2006/relationships/hyperlink" Target="https://doi.org/10.17190/AMF/1717859" TargetMode="External"/><Relationship Id="rId634" Type="http://schemas.openxmlformats.org/officeDocument/2006/relationships/hyperlink" Target="https://doi.org/" TargetMode="External"/><Relationship Id="rId876" Type="http://schemas.openxmlformats.org/officeDocument/2006/relationships/hyperlink" Target="https://doi.org/" TargetMode="External"/><Relationship Id="rId633" Type="http://schemas.openxmlformats.org/officeDocument/2006/relationships/hyperlink" Target="https://doi.org/" TargetMode="External"/><Relationship Id="rId875" Type="http://schemas.openxmlformats.org/officeDocument/2006/relationships/hyperlink" Target="https://doi.org/10.17190/AMF/1717858" TargetMode="External"/><Relationship Id="rId632" Type="http://schemas.openxmlformats.org/officeDocument/2006/relationships/hyperlink" Target="https://doi.org/" TargetMode="External"/><Relationship Id="rId874" Type="http://schemas.openxmlformats.org/officeDocument/2006/relationships/hyperlink" Target="https://doi.org/" TargetMode="External"/><Relationship Id="rId639" Type="http://schemas.openxmlformats.org/officeDocument/2006/relationships/hyperlink" Target="https://doi.org/" TargetMode="External"/><Relationship Id="rId638" Type="http://schemas.openxmlformats.org/officeDocument/2006/relationships/hyperlink" Target="https://doi.org/10.17190/AMF/1881584" TargetMode="External"/><Relationship Id="rId637" Type="http://schemas.openxmlformats.org/officeDocument/2006/relationships/hyperlink" Target="https://doi.org/10.17190/AMF/1617696" TargetMode="External"/><Relationship Id="rId879" Type="http://schemas.openxmlformats.org/officeDocument/2006/relationships/hyperlink" Target="https://doi.org/10.17190/AMF/1717860" TargetMode="External"/><Relationship Id="rId636" Type="http://schemas.openxmlformats.org/officeDocument/2006/relationships/hyperlink" Target="https://doi.org/10.17190/AMF/1902833" TargetMode="External"/><Relationship Id="rId878" Type="http://schemas.openxmlformats.org/officeDocument/2006/relationships/hyperlink" Target="https://doi.org/" TargetMode="External"/><Relationship Id="rId631" Type="http://schemas.openxmlformats.org/officeDocument/2006/relationships/hyperlink" Target="https://doi.org/" TargetMode="External"/><Relationship Id="rId873" Type="http://schemas.openxmlformats.org/officeDocument/2006/relationships/hyperlink" Target="https://doi.org/10.17190/AMF/1717857" TargetMode="External"/><Relationship Id="rId1220" Type="http://schemas.openxmlformats.org/officeDocument/2006/relationships/hyperlink" Target="https://doi.org/" TargetMode="External"/><Relationship Id="rId630" Type="http://schemas.openxmlformats.org/officeDocument/2006/relationships/hyperlink" Target="https://doi.org/" TargetMode="External"/><Relationship Id="rId872" Type="http://schemas.openxmlformats.org/officeDocument/2006/relationships/hyperlink" Target="https://doi.org/" TargetMode="External"/><Relationship Id="rId1221" Type="http://schemas.openxmlformats.org/officeDocument/2006/relationships/hyperlink" Target="https://doi.org/10.17190/AMF/1825941" TargetMode="External"/><Relationship Id="rId871" Type="http://schemas.openxmlformats.org/officeDocument/2006/relationships/hyperlink" Target="https://doi.org/10.17190/AMF/1717856" TargetMode="External"/><Relationship Id="rId1222" Type="http://schemas.openxmlformats.org/officeDocument/2006/relationships/hyperlink" Target="https://doi.org/" TargetMode="External"/><Relationship Id="rId870" Type="http://schemas.openxmlformats.org/officeDocument/2006/relationships/hyperlink" Target="https://doi.org/" TargetMode="External"/><Relationship Id="rId1223" Type="http://schemas.openxmlformats.org/officeDocument/2006/relationships/hyperlink" Target="https://doi.org/10.17190/AMF/1617726" TargetMode="External"/><Relationship Id="rId829" Type="http://schemas.openxmlformats.org/officeDocument/2006/relationships/hyperlink" Target="https://doi.org/10.17190/AMF/1804492" TargetMode="External"/><Relationship Id="rId828" Type="http://schemas.openxmlformats.org/officeDocument/2006/relationships/hyperlink" Target="https://doi.org/" TargetMode="External"/><Relationship Id="rId827" Type="http://schemas.openxmlformats.org/officeDocument/2006/relationships/hyperlink" Target="https://doi.org/10.17190/AMF/1804491" TargetMode="External"/><Relationship Id="rId822" Type="http://schemas.openxmlformats.org/officeDocument/2006/relationships/hyperlink" Target="https://doi.org/" TargetMode="External"/><Relationship Id="rId821" Type="http://schemas.openxmlformats.org/officeDocument/2006/relationships/hyperlink" Target="https://doi.org/" TargetMode="External"/><Relationship Id="rId820" Type="http://schemas.openxmlformats.org/officeDocument/2006/relationships/hyperlink" Target="https://doi.org/" TargetMode="External"/><Relationship Id="rId826" Type="http://schemas.openxmlformats.org/officeDocument/2006/relationships/hyperlink" Target="https://doi.org/" TargetMode="External"/><Relationship Id="rId825" Type="http://schemas.openxmlformats.org/officeDocument/2006/relationships/hyperlink" Target="https://doi.org/" TargetMode="External"/><Relationship Id="rId824" Type="http://schemas.openxmlformats.org/officeDocument/2006/relationships/hyperlink" Target="https://doi.org/10.17190/AMF/1871141" TargetMode="External"/><Relationship Id="rId823" Type="http://schemas.openxmlformats.org/officeDocument/2006/relationships/hyperlink" Target="https://doi.org/10.17190/AMF/1246088" TargetMode="External"/><Relationship Id="rId819" Type="http://schemas.openxmlformats.org/officeDocument/2006/relationships/hyperlink" Target="https://doi.org/" TargetMode="External"/><Relationship Id="rId818" Type="http://schemas.openxmlformats.org/officeDocument/2006/relationships/hyperlink" Target="https://doi.org/" TargetMode="External"/><Relationship Id="rId817" Type="http://schemas.openxmlformats.org/officeDocument/2006/relationships/hyperlink" Target="https://doi.org/10.17190/AMF/1246087" TargetMode="External"/><Relationship Id="rId816" Type="http://schemas.openxmlformats.org/officeDocument/2006/relationships/hyperlink" Target="https://doi.org/10.17190/AMF/1902838" TargetMode="External"/><Relationship Id="rId811" Type="http://schemas.openxmlformats.org/officeDocument/2006/relationships/hyperlink" Target="https://doi.org/10.17190/AMF/1246086" TargetMode="External"/><Relationship Id="rId810" Type="http://schemas.openxmlformats.org/officeDocument/2006/relationships/hyperlink" Target="https://doi.org/" TargetMode="External"/><Relationship Id="rId815" Type="http://schemas.openxmlformats.org/officeDocument/2006/relationships/hyperlink" Target="https://doi.org/10.17190/AMF/1634883" TargetMode="External"/><Relationship Id="rId814" Type="http://schemas.openxmlformats.org/officeDocument/2006/relationships/hyperlink" Target="https://doi.org/10.17190/AMF/1832162" TargetMode="External"/><Relationship Id="rId813" Type="http://schemas.openxmlformats.org/officeDocument/2006/relationships/hyperlink" Target="https://doi.org/10.17190/AMF/1436326" TargetMode="External"/><Relationship Id="rId812" Type="http://schemas.openxmlformats.org/officeDocument/2006/relationships/hyperlink" Target="https://doi.org/" TargetMode="External"/><Relationship Id="rId609" Type="http://schemas.openxmlformats.org/officeDocument/2006/relationships/hyperlink" Target="https://doi.org/10.17190/AMF/2001301" TargetMode="External"/><Relationship Id="rId608" Type="http://schemas.openxmlformats.org/officeDocument/2006/relationships/hyperlink" Target="https://doi.org/" TargetMode="External"/><Relationship Id="rId607" Type="http://schemas.openxmlformats.org/officeDocument/2006/relationships/hyperlink" Target="https://doi.org/10.17190/AMF/2001300" TargetMode="External"/><Relationship Id="rId849" Type="http://schemas.openxmlformats.org/officeDocument/2006/relationships/hyperlink" Target="https://doi.org/10.17190/AMF/1418679" TargetMode="External"/><Relationship Id="rId602" Type="http://schemas.openxmlformats.org/officeDocument/2006/relationships/hyperlink" Target="https://doi.org/10.17190/AMF/1871138" TargetMode="External"/><Relationship Id="rId844" Type="http://schemas.openxmlformats.org/officeDocument/2006/relationships/hyperlink" Target="https://doi.org/10.17190/AMF/1832163" TargetMode="External"/><Relationship Id="rId601" Type="http://schemas.openxmlformats.org/officeDocument/2006/relationships/hyperlink" Target="https://doi.org/10.17190/AMF/1246130" TargetMode="External"/><Relationship Id="rId843" Type="http://schemas.openxmlformats.org/officeDocument/2006/relationships/hyperlink" Target="https://doi.org/10.17190/AMF/1660350" TargetMode="External"/><Relationship Id="rId600" Type="http://schemas.openxmlformats.org/officeDocument/2006/relationships/hyperlink" Target="https://doi.org/10.17190/AMF/2007175" TargetMode="External"/><Relationship Id="rId842" Type="http://schemas.openxmlformats.org/officeDocument/2006/relationships/hyperlink" Target="https://doi.org/10.17190/AMF/2229385" TargetMode="External"/><Relationship Id="rId841" Type="http://schemas.openxmlformats.org/officeDocument/2006/relationships/hyperlink" Target="https://doi.org/10.17190/AMF/1246089" TargetMode="External"/><Relationship Id="rId606" Type="http://schemas.openxmlformats.org/officeDocument/2006/relationships/hyperlink" Target="https://doi.org/" TargetMode="External"/><Relationship Id="rId848" Type="http://schemas.openxmlformats.org/officeDocument/2006/relationships/hyperlink" Target="https://doi.org/10.17190/AMF/1832164" TargetMode="External"/><Relationship Id="rId605" Type="http://schemas.openxmlformats.org/officeDocument/2006/relationships/hyperlink" Target="https://doi.org/" TargetMode="External"/><Relationship Id="rId847" Type="http://schemas.openxmlformats.org/officeDocument/2006/relationships/hyperlink" Target="https://doi.org/10.17190/AMF/1246135" TargetMode="External"/><Relationship Id="rId604" Type="http://schemas.openxmlformats.org/officeDocument/2006/relationships/hyperlink" Target="https://doi.org/10.17190/AMF/1881583" TargetMode="External"/><Relationship Id="rId846" Type="http://schemas.openxmlformats.org/officeDocument/2006/relationships/hyperlink" Target="https://doi.org/" TargetMode="External"/><Relationship Id="rId603" Type="http://schemas.openxmlformats.org/officeDocument/2006/relationships/hyperlink" Target="https://doi.org/10.17190/AMF/1246131" TargetMode="External"/><Relationship Id="rId845" Type="http://schemas.openxmlformats.org/officeDocument/2006/relationships/hyperlink" Target="https://doi.org/10.17190/AMF/2315769" TargetMode="External"/><Relationship Id="rId840" Type="http://schemas.openxmlformats.org/officeDocument/2006/relationships/hyperlink" Target="https://doi.org/" TargetMode="External"/><Relationship Id="rId839" Type="http://schemas.openxmlformats.org/officeDocument/2006/relationships/hyperlink" Target="https://doi.org/" TargetMode="External"/><Relationship Id="rId838" Type="http://schemas.openxmlformats.org/officeDocument/2006/relationships/hyperlink" Target="https://doi.org/" TargetMode="External"/><Relationship Id="rId833" Type="http://schemas.openxmlformats.org/officeDocument/2006/relationships/hyperlink" Target="https://doi.org/" TargetMode="External"/><Relationship Id="rId832" Type="http://schemas.openxmlformats.org/officeDocument/2006/relationships/hyperlink" Target="https://doi.org/" TargetMode="External"/><Relationship Id="rId831" Type="http://schemas.openxmlformats.org/officeDocument/2006/relationships/hyperlink" Target="https://doi.org/" TargetMode="External"/><Relationship Id="rId830" Type="http://schemas.openxmlformats.org/officeDocument/2006/relationships/hyperlink" Target="https://doi.org/" TargetMode="External"/><Relationship Id="rId837" Type="http://schemas.openxmlformats.org/officeDocument/2006/relationships/hyperlink" Target="https://doi.org/" TargetMode="External"/><Relationship Id="rId836" Type="http://schemas.openxmlformats.org/officeDocument/2006/relationships/hyperlink" Target="https://doi.org/" TargetMode="External"/><Relationship Id="rId835" Type="http://schemas.openxmlformats.org/officeDocument/2006/relationships/hyperlink" Target="https://doi.org/" TargetMode="External"/><Relationship Id="rId834" Type="http://schemas.openxmlformats.org/officeDocument/2006/relationships/hyperlink" Target="https://doi.org/" TargetMode="External"/><Relationship Id="rId1059" Type="http://schemas.openxmlformats.org/officeDocument/2006/relationships/hyperlink" Target="https://doi.org/" TargetMode="External"/><Relationship Id="rId228" Type="http://schemas.openxmlformats.org/officeDocument/2006/relationships/hyperlink" Target="https://doi.org/" TargetMode="External"/><Relationship Id="rId227" Type="http://schemas.openxmlformats.org/officeDocument/2006/relationships/hyperlink" Target="https://doi.org/10.17190/AMF/1756415" TargetMode="External"/><Relationship Id="rId469" Type="http://schemas.openxmlformats.org/officeDocument/2006/relationships/hyperlink" Target="https://doi.org/10.17190/AMF/1964086" TargetMode="External"/><Relationship Id="rId226" Type="http://schemas.openxmlformats.org/officeDocument/2006/relationships/hyperlink" Target="https://doi.org/" TargetMode="External"/><Relationship Id="rId468" Type="http://schemas.openxmlformats.org/officeDocument/2006/relationships/hyperlink" Target="https://doi.org/" TargetMode="External"/><Relationship Id="rId225" Type="http://schemas.openxmlformats.org/officeDocument/2006/relationships/hyperlink" Target="https://doi.org/" TargetMode="External"/><Relationship Id="rId467" Type="http://schemas.openxmlformats.org/officeDocument/2006/relationships/hyperlink" Target="https://doi.org/10.17190/AMF/1246048" TargetMode="External"/><Relationship Id="rId1290" Type="http://schemas.openxmlformats.org/officeDocument/2006/relationships/hyperlink" Target="https://doi.org/" TargetMode="External"/><Relationship Id="rId1291" Type="http://schemas.openxmlformats.org/officeDocument/2006/relationships/hyperlink" Target="https://doi.org/10.17190/AMF/1579543" TargetMode="External"/><Relationship Id="rId229" Type="http://schemas.openxmlformats.org/officeDocument/2006/relationships/hyperlink" Target="https://doi.org/10.17190/AMF/1829505" TargetMode="External"/><Relationship Id="rId1050" Type="http://schemas.openxmlformats.org/officeDocument/2006/relationships/hyperlink" Target="https://doi.org/10.17190/AMF/2229389" TargetMode="External"/><Relationship Id="rId1292" Type="http://schemas.openxmlformats.org/officeDocument/2006/relationships/hyperlink" Target="https://doi.org/10.17190/AMF/1985453" TargetMode="External"/><Relationship Id="rId220" Type="http://schemas.openxmlformats.org/officeDocument/2006/relationships/hyperlink" Target="https://doi.org/" TargetMode="External"/><Relationship Id="rId462" Type="http://schemas.openxmlformats.org/officeDocument/2006/relationships/hyperlink" Target="https://doi.org/" TargetMode="External"/><Relationship Id="rId1051" Type="http://schemas.openxmlformats.org/officeDocument/2006/relationships/hyperlink" Target="https://doi.org/10.17190/AMF/1660351" TargetMode="External"/><Relationship Id="rId1293" Type="http://schemas.openxmlformats.org/officeDocument/2006/relationships/hyperlink" Target="https://doi.org/10.17190/AMF/1617737" TargetMode="External"/><Relationship Id="rId461" Type="http://schemas.openxmlformats.org/officeDocument/2006/relationships/hyperlink" Target="https://doi.org/10.17190/AMF/1246045" TargetMode="External"/><Relationship Id="rId1052" Type="http://schemas.openxmlformats.org/officeDocument/2006/relationships/hyperlink" Target="https://doi.org/10.17190/AMF/2204878" TargetMode="External"/><Relationship Id="rId1294" Type="http://schemas.openxmlformats.org/officeDocument/2006/relationships/hyperlink" Target="https://doi.org/10.17190/AMF/1985454" TargetMode="External"/><Relationship Id="rId460" Type="http://schemas.openxmlformats.org/officeDocument/2006/relationships/hyperlink" Target="https://doi.org/" TargetMode="External"/><Relationship Id="rId1053" Type="http://schemas.openxmlformats.org/officeDocument/2006/relationships/hyperlink" Target="https://doi.org/10.17190/AMF/1880916" TargetMode="External"/><Relationship Id="rId1295" Type="http://schemas.openxmlformats.org/officeDocument/2006/relationships/hyperlink" Target="https://doi.org/10.17190/AMF/1671902" TargetMode="External"/><Relationship Id="rId1054" Type="http://schemas.openxmlformats.org/officeDocument/2006/relationships/hyperlink" Target="https://doi.org/" TargetMode="External"/><Relationship Id="rId1296" Type="http://schemas.openxmlformats.org/officeDocument/2006/relationships/hyperlink" Target="https://doi.org/10.17190/AMF/1985455" TargetMode="External"/><Relationship Id="rId224" Type="http://schemas.openxmlformats.org/officeDocument/2006/relationships/hyperlink" Target="https://doi.org/" TargetMode="External"/><Relationship Id="rId466" Type="http://schemas.openxmlformats.org/officeDocument/2006/relationships/hyperlink" Target="https://doi.org/" TargetMode="External"/><Relationship Id="rId1055" Type="http://schemas.openxmlformats.org/officeDocument/2006/relationships/hyperlink" Target="https://doi.org/10.17190/AMF/1246831" TargetMode="External"/><Relationship Id="rId1297" Type="http://schemas.openxmlformats.org/officeDocument/2006/relationships/hyperlink" Target="https://doi.org/10.17190/AMF/1617738" TargetMode="External"/><Relationship Id="rId223" Type="http://schemas.openxmlformats.org/officeDocument/2006/relationships/hyperlink" Target="https://doi.org/10.17190/AMF/1246014" TargetMode="External"/><Relationship Id="rId465" Type="http://schemas.openxmlformats.org/officeDocument/2006/relationships/hyperlink" Target="https://doi.org/10.17190/AMF/1246047" TargetMode="External"/><Relationship Id="rId1056" Type="http://schemas.openxmlformats.org/officeDocument/2006/relationships/hyperlink" Target="https://doi.org/" TargetMode="External"/><Relationship Id="rId1298" Type="http://schemas.openxmlformats.org/officeDocument/2006/relationships/hyperlink" Target="https://doi.org/" TargetMode="External"/><Relationship Id="rId222" Type="http://schemas.openxmlformats.org/officeDocument/2006/relationships/hyperlink" Target="https://doi.org/" TargetMode="External"/><Relationship Id="rId464" Type="http://schemas.openxmlformats.org/officeDocument/2006/relationships/hyperlink" Target="https://doi.org/" TargetMode="External"/><Relationship Id="rId1057" Type="http://schemas.openxmlformats.org/officeDocument/2006/relationships/hyperlink" Target="https://doi.org/10.17190/AMF/1480316" TargetMode="External"/><Relationship Id="rId1299" Type="http://schemas.openxmlformats.org/officeDocument/2006/relationships/hyperlink" Target="https://doi.org/10.17190/AMF/1617739" TargetMode="External"/><Relationship Id="rId221" Type="http://schemas.openxmlformats.org/officeDocument/2006/relationships/hyperlink" Target="https://doi.org/" TargetMode="External"/><Relationship Id="rId463" Type="http://schemas.openxmlformats.org/officeDocument/2006/relationships/hyperlink" Target="https://doi.org/10.17190/AMF/1246046" TargetMode="External"/><Relationship Id="rId1058" Type="http://schemas.openxmlformats.org/officeDocument/2006/relationships/hyperlink" Target="https://doi.org/10.17190/AMF/2229390" TargetMode="External"/><Relationship Id="rId1048" Type="http://schemas.openxmlformats.org/officeDocument/2006/relationships/hyperlink" Target="https://doi.org/" TargetMode="External"/><Relationship Id="rId1049" Type="http://schemas.openxmlformats.org/officeDocument/2006/relationships/hyperlink" Target="https://doi.org/10.17190/AMF/1418685" TargetMode="External"/><Relationship Id="rId217" Type="http://schemas.openxmlformats.org/officeDocument/2006/relationships/hyperlink" Target="https://doi.org/10.17190/AMF/1717849" TargetMode="External"/><Relationship Id="rId459" Type="http://schemas.openxmlformats.org/officeDocument/2006/relationships/hyperlink" Target="https://doi.org/10.17190/AMF/1246146" TargetMode="External"/><Relationship Id="rId216" Type="http://schemas.openxmlformats.org/officeDocument/2006/relationships/hyperlink" Target="https://doi.org/" TargetMode="External"/><Relationship Id="rId458" Type="http://schemas.openxmlformats.org/officeDocument/2006/relationships/hyperlink" Target="https://doi.org/" TargetMode="External"/><Relationship Id="rId215" Type="http://schemas.openxmlformats.org/officeDocument/2006/relationships/hyperlink" Target="https://doi.org/" TargetMode="External"/><Relationship Id="rId457" Type="http://schemas.openxmlformats.org/officeDocument/2006/relationships/hyperlink" Target="https://doi.org/10.17190/AMF/1825937" TargetMode="External"/><Relationship Id="rId699" Type="http://schemas.openxmlformats.org/officeDocument/2006/relationships/hyperlink" Target="https://doi.org/10.17190/AMF/1773397" TargetMode="External"/><Relationship Id="rId214" Type="http://schemas.openxmlformats.org/officeDocument/2006/relationships/hyperlink" Target="https://doi.org/" TargetMode="External"/><Relationship Id="rId456" Type="http://schemas.openxmlformats.org/officeDocument/2006/relationships/hyperlink" Target="https://doi.org/10.17190/AMF/2006975" TargetMode="External"/><Relationship Id="rId698" Type="http://schemas.openxmlformats.org/officeDocument/2006/relationships/hyperlink" Target="https://doi.org/" TargetMode="External"/><Relationship Id="rId219" Type="http://schemas.openxmlformats.org/officeDocument/2006/relationships/hyperlink" Target="https://doi.org/" TargetMode="External"/><Relationship Id="rId1280" Type="http://schemas.openxmlformats.org/officeDocument/2006/relationships/hyperlink" Target="https://doi.org/10.17190/AMF/1985451" TargetMode="External"/><Relationship Id="rId218" Type="http://schemas.openxmlformats.org/officeDocument/2006/relationships/hyperlink" Target="https://doi.org/" TargetMode="External"/><Relationship Id="rId1281" Type="http://schemas.openxmlformats.org/officeDocument/2006/relationships/hyperlink" Target="https://doi.org/10.17190/AMF/1671900" TargetMode="External"/><Relationship Id="rId451" Type="http://schemas.openxmlformats.org/officeDocument/2006/relationships/hyperlink" Target="https://doi.org/" TargetMode="External"/><Relationship Id="rId693" Type="http://schemas.openxmlformats.org/officeDocument/2006/relationships/hyperlink" Target="https://doi.org/10.17190/AMF/1246830" TargetMode="External"/><Relationship Id="rId1040" Type="http://schemas.openxmlformats.org/officeDocument/2006/relationships/hyperlink" Target="https://doi.org/" TargetMode="External"/><Relationship Id="rId1282" Type="http://schemas.openxmlformats.org/officeDocument/2006/relationships/hyperlink" Target="https://doi.org/10.17190/AMF/2229409" TargetMode="External"/><Relationship Id="rId450" Type="http://schemas.openxmlformats.org/officeDocument/2006/relationships/hyperlink" Target="https://doi.org/" TargetMode="External"/><Relationship Id="rId692" Type="http://schemas.openxmlformats.org/officeDocument/2006/relationships/hyperlink" Target="https://doi.org/" TargetMode="External"/><Relationship Id="rId1041" Type="http://schemas.openxmlformats.org/officeDocument/2006/relationships/hyperlink" Target="https://doi.org/10.17190/AMF/1246103" TargetMode="External"/><Relationship Id="rId1283" Type="http://schemas.openxmlformats.org/officeDocument/2006/relationships/hyperlink" Target="https://doi.org/10.17190/AMF/1617734" TargetMode="External"/><Relationship Id="rId691" Type="http://schemas.openxmlformats.org/officeDocument/2006/relationships/hyperlink" Target="https://doi.org/" TargetMode="External"/><Relationship Id="rId1042" Type="http://schemas.openxmlformats.org/officeDocument/2006/relationships/hyperlink" Target="https://doi.org/" TargetMode="External"/><Relationship Id="rId1284" Type="http://schemas.openxmlformats.org/officeDocument/2006/relationships/hyperlink" Target="https://doi.org/10.17190/AMF/1985452" TargetMode="External"/><Relationship Id="rId690" Type="http://schemas.openxmlformats.org/officeDocument/2006/relationships/hyperlink" Target="https://doi.org/" TargetMode="External"/><Relationship Id="rId1043" Type="http://schemas.openxmlformats.org/officeDocument/2006/relationships/hyperlink" Target="https://doi.org/10.17190/AMF/1246127" TargetMode="External"/><Relationship Id="rId1285" Type="http://schemas.openxmlformats.org/officeDocument/2006/relationships/hyperlink" Target="https://doi.org/10.17190/AMF/1671901" TargetMode="External"/><Relationship Id="rId213" Type="http://schemas.openxmlformats.org/officeDocument/2006/relationships/hyperlink" Target="https://doi.org/" TargetMode="External"/><Relationship Id="rId455" Type="http://schemas.openxmlformats.org/officeDocument/2006/relationships/hyperlink" Target="https://doi.org/10.17190/AMF/1660340" TargetMode="External"/><Relationship Id="rId697" Type="http://schemas.openxmlformats.org/officeDocument/2006/relationships/hyperlink" Target="https://doi.org/10.17190/AMF/1773396" TargetMode="External"/><Relationship Id="rId1044" Type="http://schemas.openxmlformats.org/officeDocument/2006/relationships/hyperlink" Target="https://doi.org/10.17190/AMF/1871145" TargetMode="External"/><Relationship Id="rId1286" Type="http://schemas.openxmlformats.org/officeDocument/2006/relationships/hyperlink" Target="https://doi.org/10.17190/AMF/2229410" TargetMode="External"/><Relationship Id="rId212" Type="http://schemas.openxmlformats.org/officeDocument/2006/relationships/hyperlink" Target="https://doi.org/" TargetMode="External"/><Relationship Id="rId454" Type="http://schemas.openxmlformats.org/officeDocument/2006/relationships/hyperlink" Target="https://doi.org/" TargetMode="External"/><Relationship Id="rId696" Type="http://schemas.openxmlformats.org/officeDocument/2006/relationships/hyperlink" Target="https://doi.org/" TargetMode="External"/><Relationship Id="rId1045" Type="http://schemas.openxmlformats.org/officeDocument/2006/relationships/hyperlink" Target="https://doi.org/10.17190/AMF/1246154" TargetMode="External"/><Relationship Id="rId1287" Type="http://schemas.openxmlformats.org/officeDocument/2006/relationships/hyperlink" Target="https://doi.org/10.17190/AMF/1617735" TargetMode="External"/><Relationship Id="rId211" Type="http://schemas.openxmlformats.org/officeDocument/2006/relationships/hyperlink" Target="https://doi.org/" TargetMode="External"/><Relationship Id="rId453" Type="http://schemas.openxmlformats.org/officeDocument/2006/relationships/hyperlink" Target="https://doi.org/" TargetMode="External"/><Relationship Id="rId695" Type="http://schemas.openxmlformats.org/officeDocument/2006/relationships/hyperlink" Target="https://doi.org/10.17190/AMF/1773395" TargetMode="External"/><Relationship Id="rId1046" Type="http://schemas.openxmlformats.org/officeDocument/2006/relationships/hyperlink" Target="https://doi.org/10.17190/AMF/2204877" TargetMode="External"/><Relationship Id="rId1288" Type="http://schemas.openxmlformats.org/officeDocument/2006/relationships/hyperlink" Target="https://doi.org/10.17190/AMF/2229411" TargetMode="External"/><Relationship Id="rId210" Type="http://schemas.openxmlformats.org/officeDocument/2006/relationships/hyperlink" Target="https://doi.org/" TargetMode="External"/><Relationship Id="rId452" Type="http://schemas.openxmlformats.org/officeDocument/2006/relationships/hyperlink" Target="https://doi.org/" TargetMode="External"/><Relationship Id="rId694" Type="http://schemas.openxmlformats.org/officeDocument/2006/relationships/hyperlink" Target="https://doi.org/10.17190/AMF/2229381" TargetMode="External"/><Relationship Id="rId1047" Type="http://schemas.openxmlformats.org/officeDocument/2006/relationships/hyperlink" Target="https://doi.org/10.17190/AMF/1246104" TargetMode="External"/><Relationship Id="rId1289" Type="http://schemas.openxmlformats.org/officeDocument/2006/relationships/hyperlink" Target="https://doi.org/10.17190/AMF/1617736" TargetMode="External"/><Relationship Id="rId491" Type="http://schemas.openxmlformats.org/officeDocument/2006/relationships/hyperlink" Target="https://doi.org/" TargetMode="External"/><Relationship Id="rId490" Type="http://schemas.openxmlformats.org/officeDocument/2006/relationships/hyperlink" Target="https://doi.org/" TargetMode="External"/><Relationship Id="rId249" Type="http://schemas.openxmlformats.org/officeDocument/2006/relationships/hyperlink" Target="https://doi.org/10.17190/AMF/1773393" TargetMode="External"/><Relationship Id="rId248" Type="http://schemas.openxmlformats.org/officeDocument/2006/relationships/hyperlink" Target="https://doi.org/" TargetMode="External"/><Relationship Id="rId247" Type="http://schemas.openxmlformats.org/officeDocument/2006/relationships/hyperlink" Target="https://doi.org/" TargetMode="External"/><Relationship Id="rId489" Type="http://schemas.openxmlformats.org/officeDocument/2006/relationships/hyperlink" Target="https://doi.org/" TargetMode="External"/><Relationship Id="rId1070" Type="http://schemas.openxmlformats.org/officeDocument/2006/relationships/hyperlink" Target="https://doi.org/" TargetMode="External"/><Relationship Id="rId1071" Type="http://schemas.openxmlformats.org/officeDocument/2006/relationships/hyperlink" Target="https://doi.org/" TargetMode="External"/><Relationship Id="rId1072" Type="http://schemas.openxmlformats.org/officeDocument/2006/relationships/hyperlink" Target="https://doi.org/" TargetMode="External"/><Relationship Id="rId242" Type="http://schemas.openxmlformats.org/officeDocument/2006/relationships/hyperlink" Target="https://doi.org/" TargetMode="External"/><Relationship Id="rId484" Type="http://schemas.openxmlformats.org/officeDocument/2006/relationships/hyperlink" Target="https://doi.org/" TargetMode="External"/><Relationship Id="rId1073" Type="http://schemas.openxmlformats.org/officeDocument/2006/relationships/hyperlink" Target="https://doi.org/" TargetMode="External"/><Relationship Id="rId241" Type="http://schemas.openxmlformats.org/officeDocument/2006/relationships/hyperlink" Target="https://doi.org/" TargetMode="External"/><Relationship Id="rId483" Type="http://schemas.openxmlformats.org/officeDocument/2006/relationships/hyperlink" Target="https://doi.org/10.17190/AMF/2204056" TargetMode="External"/><Relationship Id="rId1074" Type="http://schemas.openxmlformats.org/officeDocument/2006/relationships/hyperlink" Target="https://doi.org/" TargetMode="External"/><Relationship Id="rId240" Type="http://schemas.openxmlformats.org/officeDocument/2006/relationships/hyperlink" Target="https://doi.org/" TargetMode="External"/><Relationship Id="rId482" Type="http://schemas.openxmlformats.org/officeDocument/2006/relationships/hyperlink" Target="https://doi.org/" TargetMode="External"/><Relationship Id="rId1075" Type="http://schemas.openxmlformats.org/officeDocument/2006/relationships/hyperlink" Target="https://doi.org/10.17190/AMF/2331383" TargetMode="External"/><Relationship Id="rId481" Type="http://schemas.openxmlformats.org/officeDocument/2006/relationships/hyperlink" Target="https://doi.org/10.17190/AMF/2315767" TargetMode="External"/><Relationship Id="rId1076" Type="http://schemas.openxmlformats.org/officeDocument/2006/relationships/hyperlink" Target="https://doi.org/" TargetMode="External"/><Relationship Id="rId246" Type="http://schemas.openxmlformats.org/officeDocument/2006/relationships/hyperlink" Target="https://doi.org/10.17190/AMF/1832157" TargetMode="External"/><Relationship Id="rId488" Type="http://schemas.openxmlformats.org/officeDocument/2006/relationships/hyperlink" Target="https://doi.org/10.17190/AMF/1832159" TargetMode="External"/><Relationship Id="rId1077" Type="http://schemas.openxmlformats.org/officeDocument/2006/relationships/hyperlink" Target="https://doi.org/" TargetMode="External"/><Relationship Id="rId245" Type="http://schemas.openxmlformats.org/officeDocument/2006/relationships/hyperlink" Target="https://doi.org/10.17190/AMF/1671889" TargetMode="External"/><Relationship Id="rId487" Type="http://schemas.openxmlformats.org/officeDocument/2006/relationships/hyperlink" Target="https://doi.org/10.17190/AMF/1543381" TargetMode="External"/><Relationship Id="rId1078" Type="http://schemas.openxmlformats.org/officeDocument/2006/relationships/hyperlink" Target="https://doi.org/" TargetMode="External"/><Relationship Id="rId244" Type="http://schemas.openxmlformats.org/officeDocument/2006/relationships/hyperlink" Target="https://doi.org/" TargetMode="External"/><Relationship Id="rId486" Type="http://schemas.openxmlformats.org/officeDocument/2006/relationships/hyperlink" Target="https://doi.org/" TargetMode="External"/><Relationship Id="rId1079" Type="http://schemas.openxmlformats.org/officeDocument/2006/relationships/hyperlink" Target="https://doi.org/10.17190/AMF/2315770" TargetMode="External"/><Relationship Id="rId243" Type="http://schemas.openxmlformats.org/officeDocument/2006/relationships/hyperlink" Target="https://doi.org/" TargetMode="External"/><Relationship Id="rId485" Type="http://schemas.openxmlformats.org/officeDocument/2006/relationships/hyperlink" Target="https://doi.org/10.17190/AMF/2315768" TargetMode="External"/><Relationship Id="rId480" Type="http://schemas.openxmlformats.org/officeDocument/2006/relationships/hyperlink" Target="https://doi.org/10.17190/AMF/2229376" TargetMode="External"/><Relationship Id="rId239" Type="http://schemas.openxmlformats.org/officeDocument/2006/relationships/hyperlink" Target="https://doi.org/" TargetMode="External"/><Relationship Id="rId238" Type="http://schemas.openxmlformats.org/officeDocument/2006/relationships/hyperlink" Target="https://doi.org/" TargetMode="External"/><Relationship Id="rId237" Type="http://schemas.openxmlformats.org/officeDocument/2006/relationships/hyperlink" Target="https://doi.org/" TargetMode="External"/><Relationship Id="rId479" Type="http://schemas.openxmlformats.org/officeDocument/2006/relationships/hyperlink" Target="https://doi.org/10.17190/AMF/1890490" TargetMode="External"/><Relationship Id="rId236" Type="http://schemas.openxmlformats.org/officeDocument/2006/relationships/hyperlink" Target="https://doi.org/" TargetMode="External"/><Relationship Id="rId478" Type="http://schemas.openxmlformats.org/officeDocument/2006/relationships/hyperlink" Target="https://doi.org/" TargetMode="External"/><Relationship Id="rId1060" Type="http://schemas.openxmlformats.org/officeDocument/2006/relationships/hyperlink" Target="https://doi.org/" TargetMode="External"/><Relationship Id="rId1061" Type="http://schemas.openxmlformats.org/officeDocument/2006/relationships/hyperlink" Target="https://doi.org/10.17190/AMF/1246158" TargetMode="External"/><Relationship Id="rId231" Type="http://schemas.openxmlformats.org/officeDocument/2006/relationships/hyperlink" Target="https://doi.org/" TargetMode="External"/><Relationship Id="rId473" Type="http://schemas.openxmlformats.org/officeDocument/2006/relationships/hyperlink" Target="https://doi.org/10.17190/AMF/1562387" TargetMode="External"/><Relationship Id="rId1062" Type="http://schemas.openxmlformats.org/officeDocument/2006/relationships/hyperlink" Target="https://doi.org/" TargetMode="External"/><Relationship Id="rId230" Type="http://schemas.openxmlformats.org/officeDocument/2006/relationships/hyperlink" Target="https://doi.org/" TargetMode="External"/><Relationship Id="rId472" Type="http://schemas.openxmlformats.org/officeDocument/2006/relationships/hyperlink" Target="https://doi.org/" TargetMode="External"/><Relationship Id="rId1063" Type="http://schemas.openxmlformats.org/officeDocument/2006/relationships/hyperlink" Target="https://doi.org/10.17190/AMF/1246159" TargetMode="External"/><Relationship Id="rId471" Type="http://schemas.openxmlformats.org/officeDocument/2006/relationships/hyperlink" Target="https://doi.org/" TargetMode="External"/><Relationship Id="rId1064" Type="http://schemas.openxmlformats.org/officeDocument/2006/relationships/hyperlink" Target="https://doi.org/" TargetMode="External"/><Relationship Id="rId470" Type="http://schemas.openxmlformats.org/officeDocument/2006/relationships/hyperlink" Target="https://doi.org/" TargetMode="External"/><Relationship Id="rId1065" Type="http://schemas.openxmlformats.org/officeDocument/2006/relationships/hyperlink" Target="https://doi.org/10.17190/AMF/1246157" TargetMode="External"/><Relationship Id="rId235" Type="http://schemas.openxmlformats.org/officeDocument/2006/relationships/hyperlink" Target="https://doi.org/" TargetMode="External"/><Relationship Id="rId477" Type="http://schemas.openxmlformats.org/officeDocument/2006/relationships/hyperlink" Target="https://doi.org/" TargetMode="External"/><Relationship Id="rId1066" Type="http://schemas.openxmlformats.org/officeDocument/2006/relationships/hyperlink" Target="https://doi.org/" TargetMode="External"/><Relationship Id="rId234" Type="http://schemas.openxmlformats.org/officeDocument/2006/relationships/hyperlink" Target="https://doi.org/10.17190/AMF/1832156" TargetMode="External"/><Relationship Id="rId476" Type="http://schemas.openxmlformats.org/officeDocument/2006/relationships/hyperlink" Target="https://doi.org/" TargetMode="External"/><Relationship Id="rId1067" Type="http://schemas.openxmlformats.org/officeDocument/2006/relationships/hyperlink" Target="https://doi.org/10.17190/AMF/1246106" TargetMode="External"/><Relationship Id="rId233" Type="http://schemas.openxmlformats.org/officeDocument/2006/relationships/hyperlink" Target="https://doi.org/10.17190/AMF/1767832" TargetMode="External"/><Relationship Id="rId475" Type="http://schemas.openxmlformats.org/officeDocument/2006/relationships/hyperlink" Target="https://doi.org/" TargetMode="External"/><Relationship Id="rId1068" Type="http://schemas.openxmlformats.org/officeDocument/2006/relationships/hyperlink" Target="https://doi.org/10.17190/AMF/2204879" TargetMode="External"/><Relationship Id="rId232" Type="http://schemas.openxmlformats.org/officeDocument/2006/relationships/hyperlink" Target="https://doi.org/" TargetMode="External"/><Relationship Id="rId474" Type="http://schemas.openxmlformats.org/officeDocument/2006/relationships/hyperlink" Target="https://doi.org/" TargetMode="External"/><Relationship Id="rId1069" Type="http://schemas.openxmlformats.org/officeDocument/2006/relationships/hyperlink" Target="https://doi.org/" TargetMode="External"/><Relationship Id="rId1015" Type="http://schemas.openxmlformats.org/officeDocument/2006/relationships/hyperlink" Target="https://doi.org/" TargetMode="External"/><Relationship Id="rId1257" Type="http://schemas.openxmlformats.org/officeDocument/2006/relationships/hyperlink" Target="https://doi.org/10.17190/AMF/1579722" TargetMode="External"/><Relationship Id="rId1016" Type="http://schemas.openxmlformats.org/officeDocument/2006/relationships/hyperlink" Target="https://doi.org/" TargetMode="External"/><Relationship Id="rId1258" Type="http://schemas.openxmlformats.org/officeDocument/2006/relationships/hyperlink" Target="https://doi.org/10.17190/AMF/1985444" TargetMode="External"/><Relationship Id="rId1017" Type="http://schemas.openxmlformats.org/officeDocument/2006/relationships/hyperlink" Target="https://doi.org/10.17190/AMF/1246105" TargetMode="External"/><Relationship Id="rId1259" Type="http://schemas.openxmlformats.org/officeDocument/2006/relationships/hyperlink" Target="https://doi.org/10.17190/AMF/1562392" TargetMode="External"/><Relationship Id="rId1018" Type="http://schemas.openxmlformats.org/officeDocument/2006/relationships/hyperlink" Target="https://doi.org/" TargetMode="External"/><Relationship Id="rId1019" Type="http://schemas.openxmlformats.org/officeDocument/2006/relationships/hyperlink" Target="https://doi.org/10.17190/AMF/1246096" TargetMode="External"/><Relationship Id="rId426" Type="http://schemas.openxmlformats.org/officeDocument/2006/relationships/hyperlink" Target="https://doi.org/" TargetMode="External"/><Relationship Id="rId668" Type="http://schemas.openxmlformats.org/officeDocument/2006/relationships/hyperlink" Target="https://doi.org/10.17190/AMF/2316062" TargetMode="External"/><Relationship Id="rId425" Type="http://schemas.openxmlformats.org/officeDocument/2006/relationships/hyperlink" Target="https://doi.org/10.17190/AMF/2001298" TargetMode="External"/><Relationship Id="rId667" Type="http://schemas.openxmlformats.org/officeDocument/2006/relationships/hyperlink" Target="https://doi.org/10.17190/AMF/1246068" TargetMode="External"/><Relationship Id="rId424" Type="http://schemas.openxmlformats.org/officeDocument/2006/relationships/hyperlink" Target="https://doi.org/" TargetMode="External"/><Relationship Id="rId666" Type="http://schemas.openxmlformats.org/officeDocument/2006/relationships/hyperlink" Target="https://doi.org/" TargetMode="External"/><Relationship Id="rId423" Type="http://schemas.openxmlformats.org/officeDocument/2006/relationships/hyperlink" Target="https://doi.org/" TargetMode="External"/><Relationship Id="rId665" Type="http://schemas.openxmlformats.org/officeDocument/2006/relationships/hyperlink" Target="https://doi.org/10.17190/AMF/1634882" TargetMode="External"/><Relationship Id="rId429" Type="http://schemas.openxmlformats.org/officeDocument/2006/relationships/hyperlink" Target="https://doi.org/10.17190/AMF/1246117" TargetMode="External"/><Relationship Id="rId428" Type="http://schemas.openxmlformats.org/officeDocument/2006/relationships/hyperlink" Target="https://doi.org/" TargetMode="External"/><Relationship Id="rId427" Type="http://schemas.openxmlformats.org/officeDocument/2006/relationships/hyperlink" Target="https://doi.org/10.17190/AMF/1902275" TargetMode="External"/><Relationship Id="rId669" Type="http://schemas.openxmlformats.org/officeDocument/2006/relationships/hyperlink" Target="https://doi.org/10.17190/AMF/1865478" TargetMode="External"/><Relationship Id="rId660" Type="http://schemas.openxmlformats.org/officeDocument/2006/relationships/hyperlink" Target="https://doi.org/" TargetMode="External"/><Relationship Id="rId1250" Type="http://schemas.openxmlformats.org/officeDocument/2006/relationships/hyperlink" Target="https://doi.org/10.17190/AMF/1985441" TargetMode="External"/><Relationship Id="rId1251" Type="http://schemas.openxmlformats.org/officeDocument/2006/relationships/hyperlink" Target="https://doi.org/10.17190/AMF/1617729" TargetMode="External"/><Relationship Id="rId1010" Type="http://schemas.openxmlformats.org/officeDocument/2006/relationships/hyperlink" Target="https://doi.org/" TargetMode="External"/><Relationship Id="rId1252" Type="http://schemas.openxmlformats.org/officeDocument/2006/relationships/hyperlink" Target="https://doi.org/10.17190/AMF/1985442" TargetMode="External"/><Relationship Id="rId422" Type="http://schemas.openxmlformats.org/officeDocument/2006/relationships/hyperlink" Target="https://doi.org/" TargetMode="External"/><Relationship Id="rId664" Type="http://schemas.openxmlformats.org/officeDocument/2006/relationships/hyperlink" Target="https://doi.org/" TargetMode="External"/><Relationship Id="rId1011" Type="http://schemas.openxmlformats.org/officeDocument/2006/relationships/hyperlink" Target="https://doi.org/" TargetMode="External"/><Relationship Id="rId1253" Type="http://schemas.openxmlformats.org/officeDocument/2006/relationships/hyperlink" Target="https://doi.org/10.17190/AMF/1617730" TargetMode="External"/><Relationship Id="rId421" Type="http://schemas.openxmlformats.org/officeDocument/2006/relationships/hyperlink" Target="https://doi.org/10.17190/AMF/2001297" TargetMode="External"/><Relationship Id="rId663" Type="http://schemas.openxmlformats.org/officeDocument/2006/relationships/hyperlink" Target="https://doi.org/10.17190/AMF/1660345" TargetMode="External"/><Relationship Id="rId1012" Type="http://schemas.openxmlformats.org/officeDocument/2006/relationships/hyperlink" Target="https://doi.org/" TargetMode="External"/><Relationship Id="rId1254" Type="http://schemas.openxmlformats.org/officeDocument/2006/relationships/hyperlink" Target="https://doi.org/10.17190/AMF/1985443" TargetMode="External"/><Relationship Id="rId420" Type="http://schemas.openxmlformats.org/officeDocument/2006/relationships/hyperlink" Target="https://doi.org/" TargetMode="External"/><Relationship Id="rId662" Type="http://schemas.openxmlformats.org/officeDocument/2006/relationships/hyperlink" Target="https://doi.org/" TargetMode="External"/><Relationship Id="rId1013" Type="http://schemas.openxmlformats.org/officeDocument/2006/relationships/hyperlink" Target="https://doi.org/" TargetMode="External"/><Relationship Id="rId1255" Type="http://schemas.openxmlformats.org/officeDocument/2006/relationships/hyperlink" Target="https://doi.org/10.17190/AMF/1617731" TargetMode="External"/><Relationship Id="rId661" Type="http://schemas.openxmlformats.org/officeDocument/2006/relationships/hyperlink" Target="https://doi.org/10.17190/AMF/1647440" TargetMode="External"/><Relationship Id="rId1014" Type="http://schemas.openxmlformats.org/officeDocument/2006/relationships/hyperlink" Target="https://doi.org/" TargetMode="External"/><Relationship Id="rId1256" Type="http://schemas.openxmlformats.org/officeDocument/2006/relationships/hyperlink" Target="https://doi.org/10.17190/AMF/2229408" TargetMode="External"/><Relationship Id="rId1004" Type="http://schemas.openxmlformats.org/officeDocument/2006/relationships/hyperlink" Target="https://doi.org/" TargetMode="External"/><Relationship Id="rId1246" Type="http://schemas.openxmlformats.org/officeDocument/2006/relationships/hyperlink" Target="https://doi.org/10.17190/AMF/1985439" TargetMode="External"/><Relationship Id="rId1005" Type="http://schemas.openxmlformats.org/officeDocument/2006/relationships/hyperlink" Target="https://doi.org/10.17190/AMF/1246095" TargetMode="External"/><Relationship Id="rId1247" Type="http://schemas.openxmlformats.org/officeDocument/2006/relationships/hyperlink" Target="https://doi.org/10.17190/AMF/1634885" TargetMode="External"/><Relationship Id="rId1006" Type="http://schemas.openxmlformats.org/officeDocument/2006/relationships/hyperlink" Target="https://doi.org/" TargetMode="External"/><Relationship Id="rId1248" Type="http://schemas.openxmlformats.org/officeDocument/2006/relationships/hyperlink" Target="https://doi.org/10.17190/AMF/1985440" TargetMode="External"/><Relationship Id="rId1007" Type="http://schemas.openxmlformats.org/officeDocument/2006/relationships/hyperlink" Target="https://doi.org/" TargetMode="External"/><Relationship Id="rId1249" Type="http://schemas.openxmlformats.org/officeDocument/2006/relationships/hyperlink" Target="https://doi.org/10.17190/AMF/1562391" TargetMode="External"/><Relationship Id="rId1008" Type="http://schemas.openxmlformats.org/officeDocument/2006/relationships/hyperlink" Target="https://doi.org/" TargetMode="External"/><Relationship Id="rId1009" Type="http://schemas.openxmlformats.org/officeDocument/2006/relationships/hyperlink" Target="https://doi.org/" TargetMode="External"/><Relationship Id="rId415" Type="http://schemas.openxmlformats.org/officeDocument/2006/relationships/hyperlink" Target="https://doi.org/10.17190/AMF/1617713" TargetMode="External"/><Relationship Id="rId657" Type="http://schemas.openxmlformats.org/officeDocument/2006/relationships/hyperlink" Target="https://doi.org/10.17190/AMF/1498745" TargetMode="External"/><Relationship Id="rId899" Type="http://schemas.openxmlformats.org/officeDocument/2006/relationships/hyperlink" Target="https://doi.org/" TargetMode="External"/><Relationship Id="rId414" Type="http://schemas.openxmlformats.org/officeDocument/2006/relationships/hyperlink" Target="https://doi.org/10.17190/AMF/1881577" TargetMode="External"/><Relationship Id="rId656" Type="http://schemas.openxmlformats.org/officeDocument/2006/relationships/hyperlink" Target="https://doi.org/" TargetMode="External"/><Relationship Id="rId898" Type="http://schemas.openxmlformats.org/officeDocument/2006/relationships/hyperlink" Target="https://doi.org/" TargetMode="External"/><Relationship Id="rId413" Type="http://schemas.openxmlformats.org/officeDocument/2006/relationships/hyperlink" Target="https://doi.org/10.17190/AMF/1617711" TargetMode="External"/><Relationship Id="rId655" Type="http://schemas.openxmlformats.org/officeDocument/2006/relationships/hyperlink" Target="https://doi.org/10.17190/AMF/1647438" TargetMode="External"/><Relationship Id="rId897" Type="http://schemas.openxmlformats.org/officeDocument/2006/relationships/hyperlink" Target="https://doi.org/" TargetMode="External"/><Relationship Id="rId412" Type="http://schemas.openxmlformats.org/officeDocument/2006/relationships/hyperlink" Target="https://doi.org/10.17190/AMF/1881576" TargetMode="External"/><Relationship Id="rId654" Type="http://schemas.openxmlformats.org/officeDocument/2006/relationships/hyperlink" Target="https://doi.org/" TargetMode="External"/><Relationship Id="rId896" Type="http://schemas.openxmlformats.org/officeDocument/2006/relationships/hyperlink" Target="https://doi.org/" TargetMode="External"/><Relationship Id="rId419" Type="http://schemas.openxmlformats.org/officeDocument/2006/relationships/hyperlink" Target="https://doi.org/10.17190/AMF/1846663" TargetMode="External"/><Relationship Id="rId418" Type="http://schemas.openxmlformats.org/officeDocument/2006/relationships/hyperlink" Target="https://doi.org/10.17190/AMF/1881579" TargetMode="External"/><Relationship Id="rId417" Type="http://schemas.openxmlformats.org/officeDocument/2006/relationships/hyperlink" Target="https://doi.org/10.17190/AMF/1756417" TargetMode="External"/><Relationship Id="rId659" Type="http://schemas.openxmlformats.org/officeDocument/2006/relationships/hyperlink" Target="https://doi.org/10.17190/AMF/1647439" TargetMode="External"/><Relationship Id="rId416" Type="http://schemas.openxmlformats.org/officeDocument/2006/relationships/hyperlink" Target="https://doi.org/10.17190/AMF/1881578" TargetMode="External"/><Relationship Id="rId658" Type="http://schemas.openxmlformats.org/officeDocument/2006/relationships/hyperlink" Target="https://doi.org/10.17190/AMF/1854367" TargetMode="External"/><Relationship Id="rId891" Type="http://schemas.openxmlformats.org/officeDocument/2006/relationships/hyperlink" Target="https://doi.org/10.17190/AMF/1717865" TargetMode="External"/><Relationship Id="rId890" Type="http://schemas.openxmlformats.org/officeDocument/2006/relationships/hyperlink" Target="https://doi.org/" TargetMode="External"/><Relationship Id="rId1240" Type="http://schemas.openxmlformats.org/officeDocument/2006/relationships/hyperlink" Target="https://doi.org/10.17190/AMF/1985437" TargetMode="External"/><Relationship Id="rId1241" Type="http://schemas.openxmlformats.org/officeDocument/2006/relationships/hyperlink" Target="https://doi.org/10.17190/AMF/1634884" TargetMode="External"/><Relationship Id="rId411" Type="http://schemas.openxmlformats.org/officeDocument/2006/relationships/hyperlink" Target="https://doi.org/10.17190/AMF/1617710" TargetMode="External"/><Relationship Id="rId653" Type="http://schemas.openxmlformats.org/officeDocument/2006/relationships/hyperlink" Target="https://doi.org/10.17190/AMF/1644212" TargetMode="External"/><Relationship Id="rId895" Type="http://schemas.openxmlformats.org/officeDocument/2006/relationships/hyperlink" Target="https://doi.org/10.17190/AMF/1543377" TargetMode="External"/><Relationship Id="rId1000" Type="http://schemas.openxmlformats.org/officeDocument/2006/relationships/hyperlink" Target="https://doi.org/10.17190/AMF/1984573" TargetMode="External"/><Relationship Id="rId1242" Type="http://schemas.openxmlformats.org/officeDocument/2006/relationships/hyperlink" Target="https://doi.org/10.17190/AMF/2229407" TargetMode="External"/><Relationship Id="rId410" Type="http://schemas.openxmlformats.org/officeDocument/2006/relationships/hyperlink" Target="https://doi.org/10.17190/AMF/2006974" TargetMode="External"/><Relationship Id="rId652" Type="http://schemas.openxmlformats.org/officeDocument/2006/relationships/hyperlink" Target="https://doi.org/" TargetMode="External"/><Relationship Id="rId894" Type="http://schemas.openxmlformats.org/officeDocument/2006/relationships/hyperlink" Target="https://doi.org/" TargetMode="External"/><Relationship Id="rId1001" Type="http://schemas.openxmlformats.org/officeDocument/2006/relationships/hyperlink" Target="https://doi.org/10.17190/AMF/1246126" TargetMode="External"/><Relationship Id="rId1243" Type="http://schemas.openxmlformats.org/officeDocument/2006/relationships/hyperlink" Target="https://doi.org/10.17190/AMF/1579721" TargetMode="External"/><Relationship Id="rId651" Type="http://schemas.openxmlformats.org/officeDocument/2006/relationships/hyperlink" Target="https://doi.org/10.17190/AMF/1660344" TargetMode="External"/><Relationship Id="rId893" Type="http://schemas.openxmlformats.org/officeDocument/2006/relationships/hyperlink" Target="https://doi.org/10.17190/AMF/1717866" TargetMode="External"/><Relationship Id="rId1002" Type="http://schemas.openxmlformats.org/officeDocument/2006/relationships/hyperlink" Target="https://doi.org/" TargetMode="External"/><Relationship Id="rId1244" Type="http://schemas.openxmlformats.org/officeDocument/2006/relationships/hyperlink" Target="https://doi.org/10.17190/AMF/1985438" TargetMode="External"/><Relationship Id="rId650" Type="http://schemas.openxmlformats.org/officeDocument/2006/relationships/hyperlink" Target="https://doi.org/" TargetMode="External"/><Relationship Id="rId892" Type="http://schemas.openxmlformats.org/officeDocument/2006/relationships/hyperlink" Target="https://doi.org/" TargetMode="External"/><Relationship Id="rId1003" Type="http://schemas.openxmlformats.org/officeDocument/2006/relationships/hyperlink" Target="https://doi.org/" TargetMode="External"/><Relationship Id="rId1245" Type="http://schemas.openxmlformats.org/officeDocument/2006/relationships/hyperlink" Target="https://doi.org/10.17190/AMF/1671895" TargetMode="External"/><Relationship Id="rId1037" Type="http://schemas.openxmlformats.org/officeDocument/2006/relationships/hyperlink" Target="https://doi.org/10.17190/AMF/1246101" TargetMode="External"/><Relationship Id="rId1279" Type="http://schemas.openxmlformats.org/officeDocument/2006/relationships/hyperlink" Target="https://doi.org/10.17190/AMF/1671899" TargetMode="External"/><Relationship Id="rId1038" Type="http://schemas.openxmlformats.org/officeDocument/2006/relationships/hyperlink" Target="https://doi.org/" TargetMode="External"/><Relationship Id="rId1039" Type="http://schemas.openxmlformats.org/officeDocument/2006/relationships/hyperlink" Target="https://doi.org/10.17190/AMF/1246102" TargetMode="External"/><Relationship Id="rId206" Type="http://schemas.openxmlformats.org/officeDocument/2006/relationships/hyperlink" Target="https://doi.org/" TargetMode="External"/><Relationship Id="rId448" Type="http://schemas.openxmlformats.org/officeDocument/2006/relationships/hyperlink" Target="https://doi.org/" TargetMode="External"/><Relationship Id="rId205" Type="http://schemas.openxmlformats.org/officeDocument/2006/relationships/hyperlink" Target="https://doi.org/" TargetMode="External"/><Relationship Id="rId447" Type="http://schemas.openxmlformats.org/officeDocument/2006/relationships/hyperlink" Target="https://doi.org/" TargetMode="External"/><Relationship Id="rId689" Type="http://schemas.openxmlformats.org/officeDocument/2006/relationships/hyperlink" Target="https://doi.org/10.17190/AMF/2229156" TargetMode="External"/><Relationship Id="rId204" Type="http://schemas.openxmlformats.org/officeDocument/2006/relationships/hyperlink" Target="https://doi.org/" TargetMode="External"/><Relationship Id="rId446" Type="http://schemas.openxmlformats.org/officeDocument/2006/relationships/hyperlink" Target="https://doi.org/" TargetMode="External"/><Relationship Id="rId688" Type="http://schemas.openxmlformats.org/officeDocument/2006/relationships/hyperlink" Target="https://doi.org/" TargetMode="External"/><Relationship Id="rId203" Type="http://schemas.openxmlformats.org/officeDocument/2006/relationships/hyperlink" Target="https://doi.org/10.17190/AMF/1246013" TargetMode="External"/><Relationship Id="rId445" Type="http://schemas.openxmlformats.org/officeDocument/2006/relationships/hyperlink" Target="https://doi.org/10.17190/AMF/1419511" TargetMode="External"/><Relationship Id="rId687" Type="http://schemas.openxmlformats.org/officeDocument/2006/relationships/hyperlink" Target="https://doi.org/10.17190/AMF/1543387" TargetMode="External"/><Relationship Id="rId209" Type="http://schemas.openxmlformats.org/officeDocument/2006/relationships/hyperlink" Target="https://doi.org/10.17190/AMF/1756414" TargetMode="External"/><Relationship Id="rId208" Type="http://schemas.openxmlformats.org/officeDocument/2006/relationships/hyperlink" Target="https://doi.org/" TargetMode="External"/><Relationship Id="rId207" Type="http://schemas.openxmlformats.org/officeDocument/2006/relationships/hyperlink" Target="https://doi.org/10.17190/AMF/1880911" TargetMode="External"/><Relationship Id="rId449" Type="http://schemas.openxmlformats.org/officeDocument/2006/relationships/hyperlink" Target="https://doi.org/" TargetMode="External"/><Relationship Id="rId1270" Type="http://schemas.openxmlformats.org/officeDocument/2006/relationships/hyperlink" Target="https://doi.org/10.17190/AMF/1985449" TargetMode="External"/><Relationship Id="rId440" Type="http://schemas.openxmlformats.org/officeDocument/2006/relationships/hyperlink" Target="https://doi.org/" TargetMode="External"/><Relationship Id="rId682" Type="http://schemas.openxmlformats.org/officeDocument/2006/relationships/hyperlink" Target="https://doi.org/" TargetMode="External"/><Relationship Id="rId1271" Type="http://schemas.openxmlformats.org/officeDocument/2006/relationships/hyperlink" Target="https://doi.org/10.17190/AMF/1671898" TargetMode="External"/><Relationship Id="rId681" Type="http://schemas.openxmlformats.org/officeDocument/2006/relationships/hyperlink" Target="https://doi.org/10.17190/AMF/1246145" TargetMode="External"/><Relationship Id="rId1030" Type="http://schemas.openxmlformats.org/officeDocument/2006/relationships/hyperlink" Target="https://doi.org/" TargetMode="External"/><Relationship Id="rId1272" Type="http://schemas.openxmlformats.org/officeDocument/2006/relationships/hyperlink" Target="https://doi.org/" TargetMode="External"/><Relationship Id="rId680" Type="http://schemas.openxmlformats.org/officeDocument/2006/relationships/hyperlink" Target="https://doi.org/" TargetMode="External"/><Relationship Id="rId1031" Type="http://schemas.openxmlformats.org/officeDocument/2006/relationships/hyperlink" Target="https://doi.org/10.17190/AMF/1246098" TargetMode="External"/><Relationship Id="rId1273" Type="http://schemas.openxmlformats.org/officeDocument/2006/relationships/hyperlink" Target="https://doi.org/10.17190/AMF/1773399" TargetMode="External"/><Relationship Id="rId1032" Type="http://schemas.openxmlformats.org/officeDocument/2006/relationships/hyperlink" Target="https://doi.org/" TargetMode="External"/><Relationship Id="rId1274" Type="http://schemas.openxmlformats.org/officeDocument/2006/relationships/hyperlink" Target="https://doi.org/" TargetMode="External"/><Relationship Id="rId202" Type="http://schemas.openxmlformats.org/officeDocument/2006/relationships/hyperlink" Target="https://doi.org/" TargetMode="External"/><Relationship Id="rId444" Type="http://schemas.openxmlformats.org/officeDocument/2006/relationships/hyperlink" Target="https://doi.org/" TargetMode="External"/><Relationship Id="rId686" Type="http://schemas.openxmlformats.org/officeDocument/2006/relationships/hyperlink" Target="https://doi.org/" TargetMode="External"/><Relationship Id="rId1033" Type="http://schemas.openxmlformats.org/officeDocument/2006/relationships/hyperlink" Target="https://doi.org/10.17190/AMF/1246099" TargetMode="External"/><Relationship Id="rId1275" Type="http://schemas.openxmlformats.org/officeDocument/2006/relationships/hyperlink" Target="https://doi.org/10.17190/AMF/1579723" TargetMode="External"/><Relationship Id="rId201" Type="http://schemas.openxmlformats.org/officeDocument/2006/relationships/hyperlink" Target="https://doi.org/10.17190/AMF/1829504" TargetMode="External"/><Relationship Id="rId443" Type="http://schemas.openxmlformats.org/officeDocument/2006/relationships/hyperlink" Target="https://doi.org/10.17190/AMF/1419512" TargetMode="External"/><Relationship Id="rId685" Type="http://schemas.openxmlformats.org/officeDocument/2006/relationships/hyperlink" Target="https://doi.org/10.17190/AMF/1543386" TargetMode="External"/><Relationship Id="rId1034" Type="http://schemas.openxmlformats.org/officeDocument/2006/relationships/hyperlink" Target="https://doi.org/" TargetMode="External"/><Relationship Id="rId1276" Type="http://schemas.openxmlformats.org/officeDocument/2006/relationships/hyperlink" Target="https://doi.org/10.17190/AMF/1985450" TargetMode="External"/><Relationship Id="rId200" Type="http://schemas.openxmlformats.org/officeDocument/2006/relationships/hyperlink" Target="https://doi.org/" TargetMode="External"/><Relationship Id="rId442" Type="http://schemas.openxmlformats.org/officeDocument/2006/relationships/hyperlink" Target="https://doi.org/" TargetMode="External"/><Relationship Id="rId684" Type="http://schemas.openxmlformats.org/officeDocument/2006/relationships/hyperlink" Target="https://doi.org/" TargetMode="External"/><Relationship Id="rId1035" Type="http://schemas.openxmlformats.org/officeDocument/2006/relationships/hyperlink" Target="https://doi.org/10.17190/AMF/1246100" TargetMode="External"/><Relationship Id="rId1277" Type="http://schemas.openxmlformats.org/officeDocument/2006/relationships/hyperlink" Target="https://doi.org/10.17190/AMF/1773400" TargetMode="External"/><Relationship Id="rId441" Type="http://schemas.openxmlformats.org/officeDocument/2006/relationships/hyperlink" Target="https://doi.org/10.17190/AMF/1419510" TargetMode="External"/><Relationship Id="rId683" Type="http://schemas.openxmlformats.org/officeDocument/2006/relationships/hyperlink" Target="https://doi.org/" TargetMode="External"/><Relationship Id="rId1036" Type="http://schemas.openxmlformats.org/officeDocument/2006/relationships/hyperlink" Target="https://doi.org/" TargetMode="External"/><Relationship Id="rId1278" Type="http://schemas.openxmlformats.org/officeDocument/2006/relationships/hyperlink" Target="https://doi.org/" TargetMode="External"/><Relationship Id="rId1026" Type="http://schemas.openxmlformats.org/officeDocument/2006/relationships/hyperlink" Target="https://doi.org/10.17190/AMF/1871144" TargetMode="External"/><Relationship Id="rId1268" Type="http://schemas.openxmlformats.org/officeDocument/2006/relationships/hyperlink" Target="https://doi.org/10.17190/AMF/1985448" TargetMode="External"/><Relationship Id="rId1027" Type="http://schemas.openxmlformats.org/officeDocument/2006/relationships/hyperlink" Target="https://doi.org/10.17190/AMF/1579718" TargetMode="External"/><Relationship Id="rId1269" Type="http://schemas.openxmlformats.org/officeDocument/2006/relationships/hyperlink" Target="https://doi.org/10.17190/AMF/1617733" TargetMode="External"/><Relationship Id="rId1028" Type="http://schemas.openxmlformats.org/officeDocument/2006/relationships/hyperlink" Target="https://doi.org/10.17190/AMF/1854371" TargetMode="External"/><Relationship Id="rId1029" Type="http://schemas.openxmlformats.org/officeDocument/2006/relationships/hyperlink" Target="https://doi.org/10.17190/AMF/1246097" TargetMode="External"/><Relationship Id="rId437" Type="http://schemas.openxmlformats.org/officeDocument/2006/relationships/hyperlink" Target="https://doi.org/" TargetMode="External"/><Relationship Id="rId679" Type="http://schemas.openxmlformats.org/officeDocument/2006/relationships/hyperlink" Target="https://doi.org/" TargetMode="External"/><Relationship Id="rId436" Type="http://schemas.openxmlformats.org/officeDocument/2006/relationships/hyperlink" Target="https://doi.org/" TargetMode="External"/><Relationship Id="rId678" Type="http://schemas.openxmlformats.org/officeDocument/2006/relationships/hyperlink" Target="https://doi.org/" TargetMode="External"/><Relationship Id="rId435" Type="http://schemas.openxmlformats.org/officeDocument/2006/relationships/hyperlink" Target="https://doi.org/" TargetMode="External"/><Relationship Id="rId677" Type="http://schemas.openxmlformats.org/officeDocument/2006/relationships/hyperlink" Target="https://doi.org/10.17190/AMF/1767834" TargetMode="External"/><Relationship Id="rId434" Type="http://schemas.openxmlformats.org/officeDocument/2006/relationships/hyperlink" Target="https://doi.org/" TargetMode="External"/><Relationship Id="rId676" Type="http://schemas.openxmlformats.org/officeDocument/2006/relationships/hyperlink" Target="https://doi.org/10.17190/AMF/1881586" TargetMode="External"/><Relationship Id="rId439" Type="http://schemas.openxmlformats.org/officeDocument/2006/relationships/hyperlink" Target="https://doi.org/" TargetMode="External"/><Relationship Id="rId438" Type="http://schemas.openxmlformats.org/officeDocument/2006/relationships/hyperlink" Target="https://doi.org/" TargetMode="External"/><Relationship Id="rId671" Type="http://schemas.openxmlformats.org/officeDocument/2006/relationships/hyperlink" Target="https://doi.org/10.17190/AMF/1246069" TargetMode="External"/><Relationship Id="rId1260" Type="http://schemas.openxmlformats.org/officeDocument/2006/relationships/hyperlink" Target="https://doi.org/10.17190/AMF/1985445" TargetMode="External"/><Relationship Id="rId670" Type="http://schemas.openxmlformats.org/officeDocument/2006/relationships/hyperlink" Target="https://doi.org/" TargetMode="External"/><Relationship Id="rId1261" Type="http://schemas.openxmlformats.org/officeDocument/2006/relationships/hyperlink" Target="https://doi.org/10.17190/AMF/1773398" TargetMode="External"/><Relationship Id="rId1020" Type="http://schemas.openxmlformats.org/officeDocument/2006/relationships/hyperlink" Target="https://doi.org/" TargetMode="External"/><Relationship Id="rId1262" Type="http://schemas.openxmlformats.org/officeDocument/2006/relationships/hyperlink" Target="https://doi.org/" TargetMode="External"/><Relationship Id="rId1021" Type="http://schemas.openxmlformats.org/officeDocument/2006/relationships/hyperlink" Target="https://doi.org/" TargetMode="External"/><Relationship Id="rId1263" Type="http://schemas.openxmlformats.org/officeDocument/2006/relationships/hyperlink" Target="https://doi.org/10.17190/AMF/1671896" TargetMode="External"/><Relationship Id="rId433" Type="http://schemas.openxmlformats.org/officeDocument/2006/relationships/hyperlink" Target="https://doi.org/10.17190/AMF/1671890" TargetMode="External"/><Relationship Id="rId675" Type="http://schemas.openxmlformats.org/officeDocument/2006/relationships/hyperlink" Target="https://doi.org/10.17190/AMF/1562390" TargetMode="External"/><Relationship Id="rId1022" Type="http://schemas.openxmlformats.org/officeDocument/2006/relationships/hyperlink" Target="https://doi.org/" TargetMode="External"/><Relationship Id="rId1264" Type="http://schemas.openxmlformats.org/officeDocument/2006/relationships/hyperlink" Target="https://doi.org/10.17190/AMF/1985446" TargetMode="External"/><Relationship Id="rId432" Type="http://schemas.openxmlformats.org/officeDocument/2006/relationships/hyperlink" Target="https://doi.org/" TargetMode="External"/><Relationship Id="rId674" Type="http://schemas.openxmlformats.org/officeDocument/2006/relationships/hyperlink" Target="https://doi.org/10.17190/AMF/2229380" TargetMode="External"/><Relationship Id="rId1023" Type="http://schemas.openxmlformats.org/officeDocument/2006/relationships/hyperlink" Target="https://doi.org/10.17190/AMF/1246094" TargetMode="External"/><Relationship Id="rId1265" Type="http://schemas.openxmlformats.org/officeDocument/2006/relationships/hyperlink" Target="https://doi.org/10.17190/AMF/1671897" TargetMode="External"/><Relationship Id="rId431" Type="http://schemas.openxmlformats.org/officeDocument/2006/relationships/hyperlink" Target="https://doi.org/" TargetMode="External"/><Relationship Id="rId673" Type="http://schemas.openxmlformats.org/officeDocument/2006/relationships/hyperlink" Target="https://doi.org/10.17190/AMF/1246070" TargetMode="External"/><Relationship Id="rId1024" Type="http://schemas.openxmlformats.org/officeDocument/2006/relationships/hyperlink" Target="https://doi.org/" TargetMode="External"/><Relationship Id="rId1266" Type="http://schemas.openxmlformats.org/officeDocument/2006/relationships/hyperlink" Target="https://doi.org/10.17190/AMF/1985447" TargetMode="External"/><Relationship Id="rId430" Type="http://schemas.openxmlformats.org/officeDocument/2006/relationships/hyperlink" Target="https://doi.org/" TargetMode="External"/><Relationship Id="rId672" Type="http://schemas.openxmlformats.org/officeDocument/2006/relationships/hyperlink" Target="https://doi.org/10.17190/AMF/2229379" TargetMode="External"/><Relationship Id="rId1025" Type="http://schemas.openxmlformats.org/officeDocument/2006/relationships/hyperlink" Target="https://doi.org/10.17190/AMF/1418684" TargetMode="External"/><Relationship Id="rId1267" Type="http://schemas.openxmlformats.org/officeDocument/2006/relationships/hyperlink" Target="https://doi.org/10.17190/AMF/1617732"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7.0" ySplit="3.0" topLeftCell="H4" activePane="bottomRight" state="frozen"/>
      <selection activeCell="H1" sqref="H1" pane="topRight"/>
      <selection activeCell="A4" sqref="A4" pane="bottomLeft"/>
      <selection activeCell="H4" sqref="H4" pane="bottomRight"/>
    </sheetView>
  </sheetViews>
  <sheetFormatPr customHeight="1" defaultColWidth="14.43" defaultRowHeight="15.0"/>
  <cols>
    <col customWidth="1" min="1" max="1" width="7.86"/>
    <col customWidth="1" min="2" max="2" width="10.29"/>
    <col customWidth="1" min="3" max="3" width="6.0"/>
    <col customWidth="1" min="4" max="4" width="6.43"/>
    <col customWidth="1" min="5" max="5" width="5.43"/>
    <col customWidth="1" min="6" max="7" width="5.0"/>
    <col customWidth="1" min="8" max="8" width="6.29"/>
    <col customWidth="1" min="9" max="9" width="8.0"/>
    <col customWidth="1" min="10" max="10" width="6.43"/>
    <col customWidth="1" min="11" max="19" width="8.71"/>
    <col customWidth="1" min="20" max="20" width="12.57"/>
    <col customWidth="1" min="21" max="21" width="11.29"/>
    <col customWidth="1" min="22" max="23" width="8.71"/>
    <col customWidth="1" min="24" max="24" width="6.57"/>
    <col customWidth="1" min="25" max="25" width="14.0"/>
    <col customWidth="1" min="26" max="26" width="12.14"/>
    <col customWidth="1" min="27" max="27" width="11.86"/>
    <col customWidth="1" min="28" max="28" width="10.57"/>
    <col customWidth="1" min="29" max="29" width="10.71"/>
    <col customWidth="1" min="30" max="31" width="10.14"/>
    <col customWidth="1" min="32" max="33" width="8.71"/>
    <col customWidth="1" min="34" max="34" width="10.43"/>
    <col customWidth="1" min="35" max="35" width="14.71"/>
    <col customWidth="1" min="36" max="36" width="14.57"/>
    <col customWidth="1" min="37" max="38" width="12.86"/>
    <col customWidth="1" min="39" max="40" width="10.14"/>
    <col customWidth="1" min="41" max="56" width="8.71"/>
    <col customWidth="1" min="57" max="57" width="14.14"/>
    <col customWidth="1" min="58" max="58" width="33.43"/>
    <col customWidth="1" min="59" max="59" width="10.14"/>
    <col customWidth="1" min="60" max="67" width="8.71"/>
    <col customWidth="1" min="68" max="69" width="17.29"/>
  </cols>
  <sheetData>
    <row r="1">
      <c r="A1" s="1">
        <v>0.0</v>
      </c>
      <c r="B1" s="1">
        <v>1.0</v>
      </c>
      <c r="C1" s="1">
        <v>2.0</v>
      </c>
      <c r="D1" s="1">
        <v>3.0</v>
      </c>
      <c r="E1" s="1">
        <v>4.0</v>
      </c>
      <c r="F1" s="1">
        <v>5.0</v>
      </c>
      <c r="G1" s="1">
        <v>6.0</v>
      </c>
      <c r="H1" s="1">
        <v>7.0</v>
      </c>
      <c r="I1" s="1">
        <v>8.0</v>
      </c>
      <c r="J1" s="1">
        <v>9.0</v>
      </c>
      <c r="K1" s="1">
        <v>10.0</v>
      </c>
      <c r="L1" s="1">
        <v>11.0</v>
      </c>
      <c r="M1" s="1">
        <v>12.0</v>
      </c>
      <c r="N1" s="1">
        <v>13.0</v>
      </c>
      <c r="O1" s="1">
        <v>14.0</v>
      </c>
      <c r="P1" s="1">
        <v>15.0</v>
      </c>
      <c r="Q1" s="1">
        <v>16.0</v>
      </c>
      <c r="R1" s="1">
        <v>17.0</v>
      </c>
      <c r="S1" s="1">
        <v>18.0</v>
      </c>
      <c r="T1" s="1">
        <v>19.0</v>
      </c>
      <c r="U1" s="1">
        <v>20.0</v>
      </c>
      <c r="V1" s="1">
        <v>21.0</v>
      </c>
      <c r="W1" s="1">
        <v>22.0</v>
      </c>
      <c r="X1" s="1">
        <v>23.0</v>
      </c>
      <c r="Y1" s="1">
        <v>24.0</v>
      </c>
      <c r="Z1" s="1">
        <v>25.0</v>
      </c>
      <c r="AA1" s="1">
        <v>26.0</v>
      </c>
      <c r="AB1" s="1">
        <v>27.0</v>
      </c>
      <c r="AC1" s="1">
        <v>28.0</v>
      </c>
      <c r="AD1" s="1">
        <v>29.0</v>
      </c>
      <c r="AE1" s="1">
        <v>30.0</v>
      </c>
      <c r="AF1" s="1">
        <v>31.0</v>
      </c>
      <c r="AG1" s="1">
        <v>32.0</v>
      </c>
      <c r="AH1" s="1">
        <v>33.0</v>
      </c>
      <c r="AI1" s="1">
        <v>34.0</v>
      </c>
      <c r="AJ1" s="1">
        <v>35.0</v>
      </c>
      <c r="AK1" s="1">
        <v>36.0</v>
      </c>
      <c r="AL1" s="1">
        <v>37.0</v>
      </c>
      <c r="AM1" s="1">
        <v>38.0</v>
      </c>
      <c r="AN1" s="1">
        <v>39.0</v>
      </c>
      <c r="AO1" s="1">
        <v>40.0</v>
      </c>
      <c r="AP1" s="1">
        <v>41.0</v>
      </c>
      <c r="AQ1" s="1">
        <v>42.0</v>
      </c>
      <c r="AR1" s="1">
        <v>43.0</v>
      </c>
      <c r="AS1" s="1">
        <v>44.0</v>
      </c>
      <c r="AT1" s="1">
        <v>45.0</v>
      </c>
      <c r="AU1" s="1">
        <v>46.0</v>
      </c>
      <c r="AV1" s="1">
        <v>47.0</v>
      </c>
      <c r="AW1" s="1">
        <v>48.0</v>
      </c>
      <c r="AX1" s="1">
        <v>49.0</v>
      </c>
      <c r="AY1" s="1">
        <v>50.0</v>
      </c>
      <c r="AZ1" s="1">
        <v>51.0</v>
      </c>
      <c r="BA1" s="1">
        <v>52.0</v>
      </c>
      <c r="BB1" s="1">
        <v>53.0</v>
      </c>
      <c r="BC1" s="1">
        <v>54.0</v>
      </c>
      <c r="BD1" s="1">
        <v>55.0</v>
      </c>
      <c r="BE1" s="1">
        <v>56.0</v>
      </c>
      <c r="BF1" s="1">
        <v>57.0</v>
      </c>
      <c r="BG1" s="1">
        <v>58.0</v>
      </c>
      <c r="BH1" s="1">
        <v>59.0</v>
      </c>
      <c r="BI1" s="1">
        <v>60.0</v>
      </c>
      <c r="BJ1" s="1">
        <v>61.0</v>
      </c>
      <c r="BK1" s="1">
        <v>62.0</v>
      </c>
      <c r="BL1" s="1">
        <v>63.0</v>
      </c>
      <c r="BM1" s="1">
        <v>64.0</v>
      </c>
      <c r="BN1" s="1">
        <v>65.0</v>
      </c>
      <c r="BO1" s="1">
        <v>66.0</v>
      </c>
      <c r="BP1" s="2"/>
      <c r="BQ1" s="3"/>
    </row>
    <row r="2">
      <c r="A2" s="4"/>
      <c r="B2" s="5" t="s">
        <v>0</v>
      </c>
      <c r="C2" s="6"/>
      <c r="D2" s="6"/>
      <c r="E2" s="6"/>
      <c r="F2" s="6"/>
      <c r="G2" s="6"/>
      <c r="H2" s="6"/>
      <c r="I2" s="7"/>
      <c r="J2" s="8"/>
      <c r="K2" s="9" t="s">
        <v>1</v>
      </c>
      <c r="L2" s="6"/>
      <c r="M2" s="6"/>
      <c r="N2" s="6"/>
      <c r="O2" s="6"/>
      <c r="P2" s="7"/>
      <c r="Q2" s="10" t="s">
        <v>2</v>
      </c>
      <c r="R2" s="6"/>
      <c r="S2" s="6"/>
      <c r="T2" s="6"/>
      <c r="U2" s="6"/>
      <c r="V2" s="6"/>
      <c r="W2" s="7"/>
      <c r="X2" s="11" t="s">
        <v>3</v>
      </c>
      <c r="Y2" s="6"/>
      <c r="Z2" s="6"/>
      <c r="AA2" s="6"/>
      <c r="AB2" s="6"/>
      <c r="AC2" s="6"/>
      <c r="AD2" s="6"/>
      <c r="AE2" s="6"/>
      <c r="AF2" s="6"/>
      <c r="AG2" s="6"/>
      <c r="AH2" s="7"/>
      <c r="AI2" s="12" t="s">
        <v>4</v>
      </c>
      <c r="AJ2" s="6"/>
      <c r="AK2" s="6"/>
      <c r="AL2" s="6"/>
      <c r="AM2" s="6"/>
      <c r="AN2" s="6"/>
      <c r="AO2" s="6"/>
      <c r="AP2" s="7"/>
      <c r="AQ2" s="13" t="s">
        <v>5</v>
      </c>
      <c r="AR2" s="6"/>
      <c r="AS2" s="6"/>
      <c r="AT2" s="6"/>
      <c r="AU2" s="7"/>
      <c r="AV2" s="14" t="s">
        <v>6</v>
      </c>
      <c r="AW2" s="6"/>
      <c r="AX2" s="6"/>
      <c r="AY2" s="7"/>
      <c r="AZ2" s="15" t="s">
        <v>7</v>
      </c>
      <c r="BA2" s="6"/>
      <c r="BB2" s="6"/>
      <c r="BC2" s="6"/>
      <c r="BD2" s="6"/>
      <c r="BE2" s="6"/>
      <c r="BF2" s="6"/>
      <c r="BG2" s="6"/>
      <c r="BH2" s="6"/>
      <c r="BI2" s="6"/>
      <c r="BJ2" s="6"/>
      <c r="BK2" s="6"/>
      <c r="BL2" s="7"/>
      <c r="BM2" s="16"/>
      <c r="BN2" s="6"/>
      <c r="BO2" s="6"/>
      <c r="BP2" s="7"/>
      <c r="BQ2" s="17"/>
    </row>
    <row r="3" ht="165.0" customHeight="1">
      <c r="A3" s="18" t="s">
        <v>8</v>
      </c>
      <c r="B3" s="18" t="s">
        <v>9</v>
      </c>
      <c r="C3" s="18" t="s">
        <v>10</v>
      </c>
      <c r="D3" s="18" t="s">
        <v>11</v>
      </c>
      <c r="E3" s="18" t="s">
        <v>12</v>
      </c>
      <c r="F3" s="18" t="s">
        <v>13</v>
      </c>
      <c r="G3" s="18" t="s">
        <v>14</v>
      </c>
      <c r="H3" s="18" t="s">
        <v>15</v>
      </c>
      <c r="I3" s="18" t="s">
        <v>16</v>
      </c>
      <c r="J3" s="19" t="s">
        <v>17</v>
      </c>
      <c r="K3" s="20" t="s">
        <v>18</v>
      </c>
      <c r="L3" s="20" t="s">
        <v>19</v>
      </c>
      <c r="M3" s="20" t="s">
        <v>20</v>
      </c>
      <c r="N3" s="20" t="s">
        <v>21</v>
      </c>
      <c r="O3" s="20" t="s">
        <v>22</v>
      </c>
      <c r="P3" s="21" t="s">
        <v>23</v>
      </c>
      <c r="Q3" s="20" t="s">
        <v>24</v>
      </c>
      <c r="R3" s="20" t="s">
        <v>25</v>
      </c>
      <c r="S3" s="20" t="s">
        <v>26</v>
      </c>
      <c r="T3" s="20" t="s">
        <v>27</v>
      </c>
      <c r="U3" s="20" t="s">
        <v>28</v>
      </c>
      <c r="V3" s="20" t="s">
        <v>29</v>
      </c>
      <c r="W3" s="20" t="s">
        <v>30</v>
      </c>
      <c r="X3" s="22" t="s">
        <v>31</v>
      </c>
      <c r="Y3" s="22" t="s">
        <v>32</v>
      </c>
      <c r="Z3" s="22" t="s">
        <v>33</v>
      </c>
      <c r="AA3" s="22" t="s">
        <v>34</v>
      </c>
      <c r="AB3" s="22" t="s">
        <v>35</v>
      </c>
      <c r="AC3" s="22" t="s">
        <v>36</v>
      </c>
      <c r="AD3" s="23" t="s">
        <v>37</v>
      </c>
      <c r="AE3" s="22" t="s">
        <v>38</v>
      </c>
      <c r="AF3" s="22" t="s">
        <v>39</v>
      </c>
      <c r="AG3" s="22" t="s">
        <v>40</v>
      </c>
      <c r="AH3" s="22" t="s">
        <v>41</v>
      </c>
      <c r="AI3" s="24" t="s">
        <v>42</v>
      </c>
      <c r="AJ3" s="24" t="s">
        <v>43</v>
      </c>
      <c r="AK3" s="25" t="s">
        <v>44</v>
      </c>
      <c r="AL3" s="26" t="s">
        <v>45</v>
      </c>
      <c r="AM3" s="25" t="s">
        <v>46</v>
      </c>
      <c r="AN3" s="26" t="s">
        <v>47</v>
      </c>
      <c r="AO3" s="25" t="s">
        <v>48</v>
      </c>
      <c r="AP3" s="26" t="s">
        <v>49</v>
      </c>
      <c r="AQ3" s="27" t="s">
        <v>50</v>
      </c>
      <c r="AR3" s="27" t="s">
        <v>51</v>
      </c>
      <c r="AS3" s="27" t="s">
        <v>52</v>
      </c>
      <c r="AT3" s="27" t="s">
        <v>53</v>
      </c>
      <c r="AU3" s="27" t="s">
        <v>54</v>
      </c>
      <c r="AV3" s="22" t="s">
        <v>55</v>
      </c>
      <c r="AW3" s="22" t="s">
        <v>56</v>
      </c>
      <c r="AX3" s="22" t="s">
        <v>57</v>
      </c>
      <c r="AY3" s="22" t="s">
        <v>58</v>
      </c>
      <c r="AZ3" s="28" t="s">
        <v>59</v>
      </c>
      <c r="BA3" s="28" t="s">
        <v>60</v>
      </c>
      <c r="BB3" s="28" t="s">
        <v>61</v>
      </c>
      <c r="BC3" s="28" t="s">
        <v>62</v>
      </c>
      <c r="BD3" s="28" t="s">
        <v>63</v>
      </c>
      <c r="BE3" s="28" t="s">
        <v>64</v>
      </c>
      <c r="BF3" s="28" t="s">
        <v>65</v>
      </c>
      <c r="BG3" s="28" t="s">
        <v>66</v>
      </c>
      <c r="BH3" s="28" t="s">
        <v>67</v>
      </c>
      <c r="BI3" s="29" t="s">
        <v>68</v>
      </c>
      <c r="BJ3" s="28" t="s">
        <v>69</v>
      </c>
      <c r="BK3" s="28" t="s">
        <v>70</v>
      </c>
      <c r="BL3" s="28" t="s">
        <v>71</v>
      </c>
      <c r="BM3" s="30" t="s">
        <v>72</v>
      </c>
      <c r="BN3" s="30" t="s">
        <v>73</v>
      </c>
      <c r="BO3" s="31" t="s">
        <v>74</v>
      </c>
      <c r="BP3" s="32" t="s">
        <v>75</v>
      </c>
      <c r="BQ3" s="33"/>
    </row>
    <row r="4">
      <c r="A4" s="34">
        <v>1.0</v>
      </c>
      <c r="B4" s="34">
        <v>101662.0</v>
      </c>
      <c r="C4" s="34" t="s">
        <v>76</v>
      </c>
      <c r="D4" s="34" t="s">
        <v>77</v>
      </c>
      <c r="E4" s="34" t="s">
        <v>78</v>
      </c>
      <c r="F4" s="34">
        <v>2013.0</v>
      </c>
      <c r="G4" s="34" t="s">
        <v>79</v>
      </c>
      <c r="H4" s="34" t="s">
        <v>80</v>
      </c>
      <c r="I4" s="34" t="s">
        <v>81</v>
      </c>
      <c r="J4" s="35"/>
      <c r="K4" s="36"/>
      <c r="L4" s="36"/>
      <c r="M4" s="36"/>
      <c r="N4" s="36">
        <v>4.0</v>
      </c>
      <c r="O4" s="36"/>
      <c r="P4" s="37">
        <v>13.1</v>
      </c>
      <c r="Q4" s="36"/>
      <c r="R4" s="36" t="s">
        <v>82</v>
      </c>
      <c r="S4" s="36">
        <v>30.0</v>
      </c>
      <c r="T4" s="36" t="s">
        <v>83</v>
      </c>
      <c r="U4" s="36" t="s">
        <v>84</v>
      </c>
      <c r="V4" s="36">
        <v>5.0</v>
      </c>
      <c r="W4" s="36"/>
      <c r="X4" s="38">
        <v>8.0</v>
      </c>
      <c r="Y4" s="38" t="s">
        <v>85</v>
      </c>
      <c r="Z4" s="38"/>
      <c r="AA4" s="38" t="s">
        <v>86</v>
      </c>
      <c r="AB4" s="38"/>
      <c r="AC4" s="38"/>
      <c r="AD4" s="39" t="s">
        <v>87</v>
      </c>
      <c r="AE4" s="38"/>
      <c r="AF4" s="38"/>
      <c r="AG4" s="38"/>
      <c r="AH4" s="38">
        <v>2.0</v>
      </c>
      <c r="AI4" s="40"/>
      <c r="AJ4" s="40"/>
      <c r="AK4" s="41"/>
      <c r="AL4" s="40"/>
      <c r="AM4" s="42"/>
      <c r="AN4" s="43"/>
      <c r="AO4" s="42"/>
      <c r="AP4" s="43"/>
      <c r="AQ4" s="44" t="str">
        <f t="shared" ref="AQ4:AQ142" si="1">AA4</f>
        <v>CRO</v>
      </c>
      <c r="AR4" s="44"/>
      <c r="AS4" s="44"/>
      <c r="AT4" s="44"/>
      <c r="AU4" s="44" t="str">
        <f t="shared" ref="AU4:AU965" si="2">AP4</f>
        <v/>
      </c>
      <c r="AV4" s="38">
        <v>3.0</v>
      </c>
      <c r="AW4" s="38"/>
      <c r="AX4" s="38">
        <v>100.0</v>
      </c>
      <c r="AY4" s="38"/>
      <c r="AZ4" s="29">
        <v>30.0</v>
      </c>
      <c r="BA4" s="29"/>
      <c r="BB4" s="29">
        <v>1.0</v>
      </c>
      <c r="BC4" s="29"/>
      <c r="BD4" s="29" t="s">
        <v>88</v>
      </c>
      <c r="BE4" s="29" t="s">
        <v>89</v>
      </c>
      <c r="BF4" s="29" t="s">
        <v>90</v>
      </c>
      <c r="BG4" s="29" t="s">
        <v>91</v>
      </c>
      <c r="BH4" s="29" t="s">
        <v>92</v>
      </c>
      <c r="BI4" s="29" t="s">
        <v>68</v>
      </c>
      <c r="BJ4" s="29"/>
      <c r="BK4" s="29" t="s">
        <v>93</v>
      </c>
      <c r="BL4" s="29" t="s">
        <v>94</v>
      </c>
      <c r="BM4" s="45">
        <v>1.0</v>
      </c>
      <c r="BN4" s="45">
        <v>1.0</v>
      </c>
      <c r="BO4" s="46" t="s">
        <v>95</v>
      </c>
      <c r="BP4" s="2"/>
      <c r="BQ4" s="3"/>
    </row>
    <row r="5">
      <c r="A5" s="34">
        <v>2.0</v>
      </c>
      <c r="B5" s="34">
        <v>101662.0</v>
      </c>
      <c r="C5" s="34" t="s">
        <v>76</v>
      </c>
      <c r="D5" s="34" t="s">
        <v>77</v>
      </c>
      <c r="E5" s="34" t="s">
        <v>78</v>
      </c>
      <c r="F5" s="34">
        <v>2013.0</v>
      </c>
      <c r="G5" s="34" t="s">
        <v>79</v>
      </c>
      <c r="H5" s="34" t="s">
        <v>80</v>
      </c>
      <c r="I5" s="34" t="s">
        <v>81</v>
      </c>
      <c r="J5" s="35"/>
      <c r="K5" s="36"/>
      <c r="L5" s="36"/>
      <c r="M5" s="47">
        <v>-0.15</v>
      </c>
      <c r="N5" s="48">
        <f>M5*11.57407407</f>
        <v>-1.736111111</v>
      </c>
      <c r="O5" s="36"/>
      <c r="P5" s="37">
        <v>8.0</v>
      </c>
      <c r="Q5" s="36" t="s">
        <v>96</v>
      </c>
      <c r="R5" s="36" t="s">
        <v>96</v>
      </c>
      <c r="S5" s="36">
        <v>30.0</v>
      </c>
      <c r="T5" s="36" t="s">
        <v>97</v>
      </c>
      <c r="U5" s="36" t="s">
        <v>98</v>
      </c>
      <c r="V5" s="36">
        <v>5.0</v>
      </c>
      <c r="W5" s="36"/>
      <c r="X5" s="38">
        <v>8.0</v>
      </c>
      <c r="Y5" s="38" t="s">
        <v>85</v>
      </c>
      <c r="Z5" s="38"/>
      <c r="AA5" s="38" t="s">
        <v>86</v>
      </c>
      <c r="AB5" s="38"/>
      <c r="AC5" s="38"/>
      <c r="AD5" s="39" t="s">
        <v>87</v>
      </c>
      <c r="AE5" s="38"/>
      <c r="AF5" s="38"/>
      <c r="AG5" s="38"/>
      <c r="AH5" s="38">
        <v>2.0</v>
      </c>
      <c r="AI5" s="40"/>
      <c r="AJ5" s="40"/>
      <c r="AK5" s="41" t="s">
        <v>99</v>
      </c>
      <c r="AL5" s="40"/>
      <c r="AM5" s="49"/>
      <c r="AN5" s="43"/>
      <c r="AO5" s="42"/>
      <c r="AP5" s="43"/>
      <c r="AQ5" s="44" t="str">
        <f t="shared" si="1"/>
        <v>CRO</v>
      </c>
      <c r="AR5" s="44"/>
      <c r="AS5" s="44"/>
      <c r="AT5" s="44"/>
      <c r="AU5" s="44" t="str">
        <f t="shared" si="2"/>
        <v/>
      </c>
      <c r="AV5" s="38">
        <v>3.0</v>
      </c>
      <c r="AW5" s="38"/>
      <c r="AX5" s="38">
        <v>100.0</v>
      </c>
      <c r="AY5" s="38"/>
      <c r="AZ5" s="29">
        <v>30.0</v>
      </c>
      <c r="BA5" s="29"/>
      <c r="BB5" s="29">
        <v>1.0</v>
      </c>
      <c r="BC5" s="29"/>
      <c r="BD5" s="29" t="s">
        <v>88</v>
      </c>
      <c r="BE5" s="29" t="s">
        <v>89</v>
      </c>
      <c r="BF5" s="29" t="s">
        <v>90</v>
      </c>
      <c r="BG5" s="29" t="s">
        <v>91</v>
      </c>
      <c r="BH5" s="29" t="s">
        <v>92</v>
      </c>
      <c r="BI5" s="29" t="s">
        <v>68</v>
      </c>
      <c r="BJ5" s="29"/>
      <c r="BK5" s="29" t="s">
        <v>93</v>
      </c>
      <c r="BL5" s="29" t="s">
        <v>100</v>
      </c>
      <c r="BM5" s="45">
        <v>1.0</v>
      </c>
      <c r="BN5" s="45">
        <v>1.0</v>
      </c>
      <c r="BO5" s="46"/>
      <c r="BP5" s="2"/>
      <c r="BQ5" s="3"/>
    </row>
    <row r="6">
      <c r="A6" s="34">
        <v>3.0</v>
      </c>
      <c r="B6" s="34">
        <v>101662.0</v>
      </c>
      <c r="C6" s="34" t="s">
        <v>76</v>
      </c>
      <c r="D6" s="34" t="s">
        <v>77</v>
      </c>
      <c r="E6" s="34" t="s">
        <v>78</v>
      </c>
      <c r="F6" s="34">
        <v>2013.0</v>
      </c>
      <c r="G6" s="34" t="s">
        <v>79</v>
      </c>
      <c r="H6" s="34" t="s">
        <v>80</v>
      </c>
      <c r="I6" s="34" t="s">
        <v>81</v>
      </c>
      <c r="J6" s="35"/>
      <c r="K6" s="36">
        <v>-41.0</v>
      </c>
      <c r="L6" s="36"/>
      <c r="M6" s="36"/>
      <c r="N6" s="36"/>
      <c r="O6" s="36"/>
      <c r="P6" s="37">
        <v>19.4</v>
      </c>
      <c r="Q6" s="36" t="s">
        <v>96</v>
      </c>
      <c r="R6" s="36" t="s">
        <v>96</v>
      </c>
      <c r="S6" s="36">
        <v>30.0</v>
      </c>
      <c r="T6" s="36" t="s">
        <v>101</v>
      </c>
      <c r="U6" s="36" t="s">
        <v>102</v>
      </c>
      <c r="V6" s="36"/>
      <c r="W6" s="36" t="s">
        <v>88</v>
      </c>
      <c r="X6" s="38">
        <v>1.0</v>
      </c>
      <c r="Y6" s="38" t="s">
        <v>103</v>
      </c>
      <c r="Z6" s="38" t="s">
        <v>103</v>
      </c>
      <c r="AA6" s="38" t="s">
        <v>86</v>
      </c>
      <c r="AB6" s="38" t="s">
        <v>104</v>
      </c>
      <c r="AC6" s="38" t="s">
        <v>105</v>
      </c>
      <c r="AD6" s="39" t="s">
        <v>87</v>
      </c>
      <c r="AE6" s="38"/>
      <c r="AF6" s="38" t="s">
        <v>106</v>
      </c>
      <c r="AG6" s="38"/>
      <c r="AH6" s="38">
        <v>2.0</v>
      </c>
      <c r="AI6" s="50">
        <v>41.98380985</v>
      </c>
      <c r="AJ6" s="50">
        <v>-93.75497316</v>
      </c>
      <c r="AK6" s="41" t="s">
        <v>86</v>
      </c>
      <c r="AL6" s="40" t="s">
        <v>86</v>
      </c>
      <c r="AM6" s="49">
        <v>323.0</v>
      </c>
      <c r="AN6" s="51">
        <v>323.0</v>
      </c>
      <c r="AO6" s="42" t="s">
        <v>107</v>
      </c>
      <c r="AP6" s="43" t="s">
        <v>108</v>
      </c>
      <c r="AQ6" s="44" t="str">
        <f t="shared" si="1"/>
        <v>CRO</v>
      </c>
      <c r="AR6" s="44">
        <f t="shared" ref="AR6:AR814" si="3">AM6</f>
        <v>323</v>
      </c>
      <c r="AS6" s="44" t="s">
        <v>109</v>
      </c>
      <c r="AT6" s="44" t="str">
        <f t="shared" ref="AT6:AT31" si="4">LEFT(AP6,2)</f>
        <v>Df</v>
      </c>
      <c r="AU6" s="44" t="str">
        <f t="shared" si="2"/>
        <v>Dfa</v>
      </c>
      <c r="AV6" s="38">
        <v>3.0</v>
      </c>
      <c r="AW6" s="38"/>
      <c r="AX6" s="38">
        <v>100.0</v>
      </c>
      <c r="AY6" s="38"/>
      <c r="AZ6" s="29">
        <v>30.0</v>
      </c>
      <c r="BA6" s="29"/>
      <c r="BB6" s="29">
        <v>1.0</v>
      </c>
      <c r="BC6" s="29"/>
      <c r="BD6" s="29" t="s">
        <v>88</v>
      </c>
      <c r="BE6" s="29" t="s">
        <v>89</v>
      </c>
      <c r="BF6" s="29" t="s">
        <v>90</v>
      </c>
      <c r="BG6" s="29" t="s">
        <v>91</v>
      </c>
      <c r="BH6" s="29" t="s">
        <v>92</v>
      </c>
      <c r="BI6" s="29" t="s">
        <v>68</v>
      </c>
      <c r="BJ6" s="29"/>
      <c r="BK6" s="29" t="s">
        <v>93</v>
      </c>
      <c r="BL6" s="29" t="s">
        <v>100</v>
      </c>
      <c r="BM6" s="45">
        <v>1.0</v>
      </c>
      <c r="BN6" s="45">
        <v>1.0</v>
      </c>
      <c r="BO6" s="46"/>
      <c r="BP6" s="2"/>
      <c r="BQ6" s="3"/>
    </row>
    <row r="7">
      <c r="A7" s="34">
        <v>4.0</v>
      </c>
      <c r="B7" s="34">
        <v>101662.0</v>
      </c>
      <c r="C7" s="34" t="s">
        <v>76</v>
      </c>
      <c r="D7" s="34" t="s">
        <v>77</v>
      </c>
      <c r="E7" s="34" t="s">
        <v>78</v>
      </c>
      <c r="F7" s="34">
        <v>2013.0</v>
      </c>
      <c r="G7" s="34" t="s">
        <v>79</v>
      </c>
      <c r="H7" s="34" t="s">
        <v>80</v>
      </c>
      <c r="I7" s="34" t="s">
        <v>81</v>
      </c>
      <c r="J7" s="35"/>
      <c r="K7" s="36">
        <v>-17.4</v>
      </c>
      <c r="L7" s="36"/>
      <c r="M7" s="36"/>
      <c r="N7" s="36"/>
      <c r="O7" s="36"/>
      <c r="P7" s="37">
        <v>14.6</v>
      </c>
      <c r="Q7" s="36" t="s">
        <v>96</v>
      </c>
      <c r="R7" s="36" t="s">
        <v>96</v>
      </c>
      <c r="S7" s="36">
        <v>30.0</v>
      </c>
      <c r="T7" s="36" t="s">
        <v>110</v>
      </c>
      <c r="U7" s="36" t="s">
        <v>111</v>
      </c>
      <c r="V7" s="36"/>
      <c r="W7" s="36" t="s">
        <v>88</v>
      </c>
      <c r="X7" s="38">
        <v>1.0</v>
      </c>
      <c r="Y7" s="38" t="s">
        <v>112</v>
      </c>
      <c r="Z7" s="38" t="s">
        <v>112</v>
      </c>
      <c r="AA7" s="38" t="s">
        <v>86</v>
      </c>
      <c r="AB7" s="38" t="s">
        <v>113</v>
      </c>
      <c r="AC7" s="38" t="s">
        <v>114</v>
      </c>
      <c r="AD7" s="39" t="s">
        <v>87</v>
      </c>
      <c r="AE7" s="38"/>
      <c r="AF7" s="38" t="s">
        <v>115</v>
      </c>
      <c r="AG7" s="38"/>
      <c r="AH7" s="38" t="s">
        <v>116</v>
      </c>
      <c r="AI7" s="50">
        <v>41.93289579</v>
      </c>
      <c r="AJ7" s="50">
        <v>-93.75331502</v>
      </c>
      <c r="AK7" s="41" t="s">
        <v>86</v>
      </c>
      <c r="AL7" s="40" t="s">
        <v>86</v>
      </c>
      <c r="AM7" s="49">
        <v>323.0</v>
      </c>
      <c r="AN7" s="51">
        <v>323.0</v>
      </c>
      <c r="AO7" s="42" t="s">
        <v>107</v>
      </c>
      <c r="AP7" s="43" t="s">
        <v>108</v>
      </c>
      <c r="AQ7" s="44" t="str">
        <f t="shared" si="1"/>
        <v>CRO</v>
      </c>
      <c r="AR7" s="44">
        <f t="shared" si="3"/>
        <v>323</v>
      </c>
      <c r="AS7" s="44" t="s">
        <v>109</v>
      </c>
      <c r="AT7" s="44" t="str">
        <f t="shared" si="4"/>
        <v>Df</v>
      </c>
      <c r="AU7" s="44" t="str">
        <f t="shared" si="2"/>
        <v>Dfa</v>
      </c>
      <c r="AV7" s="38">
        <v>3.0</v>
      </c>
      <c r="AW7" s="38"/>
      <c r="AX7" s="38">
        <v>100.0</v>
      </c>
      <c r="AY7" s="38"/>
      <c r="AZ7" s="29">
        <v>30.0</v>
      </c>
      <c r="BA7" s="29"/>
      <c r="BB7" s="29">
        <v>1.0</v>
      </c>
      <c r="BC7" s="29"/>
      <c r="BD7" s="29" t="s">
        <v>88</v>
      </c>
      <c r="BE7" s="29" t="s">
        <v>89</v>
      </c>
      <c r="BF7" s="29" t="s">
        <v>90</v>
      </c>
      <c r="BG7" s="29" t="s">
        <v>91</v>
      </c>
      <c r="BH7" s="29" t="s">
        <v>92</v>
      </c>
      <c r="BI7" s="29" t="s">
        <v>68</v>
      </c>
      <c r="BJ7" s="29"/>
      <c r="BK7" s="29" t="s">
        <v>93</v>
      </c>
      <c r="BL7" s="29" t="s">
        <v>100</v>
      </c>
      <c r="BM7" s="45">
        <v>1.0</v>
      </c>
      <c r="BN7" s="45">
        <v>1.0</v>
      </c>
      <c r="BO7" s="46"/>
      <c r="BP7" s="2"/>
      <c r="BQ7" s="3"/>
    </row>
    <row r="8">
      <c r="A8" s="34">
        <v>5.0</v>
      </c>
      <c r="B8" s="34">
        <v>101662.0</v>
      </c>
      <c r="C8" s="34" t="s">
        <v>76</v>
      </c>
      <c r="D8" s="34" t="s">
        <v>77</v>
      </c>
      <c r="E8" s="34" t="s">
        <v>78</v>
      </c>
      <c r="F8" s="34">
        <v>2013.0</v>
      </c>
      <c r="G8" s="34" t="s">
        <v>79</v>
      </c>
      <c r="H8" s="34" t="s">
        <v>80</v>
      </c>
      <c r="I8" s="34" t="s">
        <v>81</v>
      </c>
      <c r="J8" s="35"/>
      <c r="K8" s="36">
        <v>6.8</v>
      </c>
      <c r="L8" s="36"/>
      <c r="M8" s="36"/>
      <c r="N8" s="36"/>
      <c r="O8" s="36"/>
      <c r="P8" s="37">
        <v>8.2</v>
      </c>
      <c r="Q8" s="36" t="s">
        <v>96</v>
      </c>
      <c r="R8" s="36" t="s">
        <v>96</v>
      </c>
      <c r="S8" s="36">
        <v>30.0</v>
      </c>
      <c r="T8" s="36" t="s">
        <v>117</v>
      </c>
      <c r="U8" s="36" t="s">
        <v>118</v>
      </c>
      <c r="V8" s="36"/>
      <c r="W8" s="36" t="s">
        <v>88</v>
      </c>
      <c r="X8" s="38">
        <v>1.0</v>
      </c>
      <c r="Y8" s="38" t="s">
        <v>119</v>
      </c>
      <c r="Z8" s="38" t="s">
        <v>119</v>
      </c>
      <c r="AA8" s="38" t="s">
        <v>86</v>
      </c>
      <c r="AB8" s="38" t="s">
        <v>120</v>
      </c>
      <c r="AC8" s="38" t="s">
        <v>121</v>
      </c>
      <c r="AD8" s="39" t="s">
        <v>87</v>
      </c>
      <c r="AE8" s="38"/>
      <c r="AF8" s="38" t="s">
        <v>115</v>
      </c>
      <c r="AG8" s="38"/>
      <c r="AH8" s="38" t="s">
        <v>116</v>
      </c>
      <c r="AI8" s="50">
        <v>41.99291298</v>
      </c>
      <c r="AJ8" s="50">
        <v>-93.52857874</v>
      </c>
      <c r="AK8" s="41" t="s">
        <v>86</v>
      </c>
      <c r="AL8" s="40" t="s">
        <v>86</v>
      </c>
      <c r="AM8" s="49">
        <v>299.0</v>
      </c>
      <c r="AN8" s="51">
        <v>299.0</v>
      </c>
      <c r="AO8" s="42" t="s">
        <v>107</v>
      </c>
      <c r="AP8" s="43" t="s">
        <v>108</v>
      </c>
      <c r="AQ8" s="44" t="str">
        <f t="shared" si="1"/>
        <v>CRO</v>
      </c>
      <c r="AR8" s="44">
        <f t="shared" si="3"/>
        <v>299</v>
      </c>
      <c r="AS8" s="44" t="s">
        <v>109</v>
      </c>
      <c r="AT8" s="44" t="str">
        <f t="shared" si="4"/>
        <v>Df</v>
      </c>
      <c r="AU8" s="44" t="str">
        <f t="shared" si="2"/>
        <v>Dfa</v>
      </c>
      <c r="AV8" s="38">
        <v>3.0</v>
      </c>
      <c r="AW8" s="38"/>
      <c r="AX8" s="38">
        <v>100.0</v>
      </c>
      <c r="AY8" s="38"/>
      <c r="AZ8" s="29">
        <v>30.0</v>
      </c>
      <c r="BA8" s="29"/>
      <c r="BB8" s="29">
        <v>1.0</v>
      </c>
      <c r="BC8" s="29"/>
      <c r="BD8" s="29" t="s">
        <v>88</v>
      </c>
      <c r="BE8" s="29" t="s">
        <v>89</v>
      </c>
      <c r="BF8" s="29" t="s">
        <v>90</v>
      </c>
      <c r="BG8" s="29" t="s">
        <v>91</v>
      </c>
      <c r="BH8" s="29" t="s">
        <v>92</v>
      </c>
      <c r="BI8" s="29" t="s">
        <v>68</v>
      </c>
      <c r="BJ8" s="29"/>
      <c r="BK8" s="29" t="s">
        <v>93</v>
      </c>
      <c r="BL8" s="29" t="s">
        <v>100</v>
      </c>
      <c r="BM8" s="45">
        <v>1.0</v>
      </c>
      <c r="BN8" s="45">
        <v>1.0</v>
      </c>
      <c r="BO8" s="46"/>
      <c r="BP8" s="2"/>
      <c r="BQ8" s="3"/>
    </row>
    <row r="9">
      <c r="A9" s="34">
        <v>6.0</v>
      </c>
      <c r="B9" s="34">
        <v>101662.0</v>
      </c>
      <c r="C9" s="34" t="s">
        <v>76</v>
      </c>
      <c r="D9" s="34" t="s">
        <v>77</v>
      </c>
      <c r="E9" s="34" t="s">
        <v>78</v>
      </c>
      <c r="F9" s="34">
        <v>2013.0</v>
      </c>
      <c r="G9" s="34" t="s">
        <v>79</v>
      </c>
      <c r="H9" s="34" t="s">
        <v>80</v>
      </c>
      <c r="I9" s="34" t="s">
        <v>81</v>
      </c>
      <c r="J9" s="35"/>
      <c r="K9" s="36">
        <v>-10.9</v>
      </c>
      <c r="L9" s="36"/>
      <c r="M9" s="36"/>
      <c r="N9" s="36"/>
      <c r="O9" s="36"/>
      <c r="P9" s="37">
        <v>14.4</v>
      </c>
      <c r="Q9" s="36" t="s">
        <v>96</v>
      </c>
      <c r="R9" s="36" t="s">
        <v>96</v>
      </c>
      <c r="S9" s="36">
        <v>30.0</v>
      </c>
      <c r="T9" s="36" t="s">
        <v>122</v>
      </c>
      <c r="U9" s="36" t="s">
        <v>123</v>
      </c>
      <c r="V9" s="36"/>
      <c r="W9" s="36" t="s">
        <v>88</v>
      </c>
      <c r="X9" s="38">
        <v>1.0</v>
      </c>
      <c r="Y9" s="38" t="s">
        <v>124</v>
      </c>
      <c r="Z9" s="38" t="s">
        <v>124</v>
      </c>
      <c r="AA9" s="38" t="s">
        <v>86</v>
      </c>
      <c r="AB9" s="38" t="s">
        <v>125</v>
      </c>
      <c r="AC9" s="38" t="s">
        <v>126</v>
      </c>
      <c r="AD9" s="39" t="s">
        <v>87</v>
      </c>
      <c r="AE9" s="38"/>
      <c r="AF9" s="38" t="s">
        <v>115</v>
      </c>
      <c r="AG9" s="38"/>
      <c r="AH9" s="38" t="s">
        <v>116</v>
      </c>
      <c r="AI9" s="50">
        <v>41.94226863</v>
      </c>
      <c r="AJ9" s="50">
        <v>-93.53937428</v>
      </c>
      <c r="AK9" s="41" t="s">
        <v>86</v>
      </c>
      <c r="AL9" s="40" t="s">
        <v>86</v>
      </c>
      <c r="AM9" s="49">
        <v>263.0</v>
      </c>
      <c r="AN9" s="51">
        <v>263.0</v>
      </c>
      <c r="AO9" s="42" t="s">
        <v>107</v>
      </c>
      <c r="AP9" s="43" t="s">
        <v>108</v>
      </c>
      <c r="AQ9" s="44" t="str">
        <f t="shared" si="1"/>
        <v>CRO</v>
      </c>
      <c r="AR9" s="44">
        <f t="shared" si="3"/>
        <v>263</v>
      </c>
      <c r="AS9" s="44" t="s">
        <v>109</v>
      </c>
      <c r="AT9" s="44" t="str">
        <f t="shared" si="4"/>
        <v>Df</v>
      </c>
      <c r="AU9" s="44" t="str">
        <f t="shared" si="2"/>
        <v>Dfa</v>
      </c>
      <c r="AV9" s="38">
        <v>3.0</v>
      </c>
      <c r="AW9" s="38"/>
      <c r="AX9" s="38">
        <v>100.0</v>
      </c>
      <c r="AY9" s="38"/>
      <c r="AZ9" s="29">
        <v>30.0</v>
      </c>
      <c r="BA9" s="29"/>
      <c r="BB9" s="29">
        <v>1.0</v>
      </c>
      <c r="BC9" s="29"/>
      <c r="BD9" s="29" t="s">
        <v>88</v>
      </c>
      <c r="BE9" s="29" t="s">
        <v>89</v>
      </c>
      <c r="BF9" s="29" t="s">
        <v>90</v>
      </c>
      <c r="BG9" s="29" t="s">
        <v>91</v>
      </c>
      <c r="BH9" s="29" t="s">
        <v>92</v>
      </c>
      <c r="BI9" s="29" t="s">
        <v>68</v>
      </c>
      <c r="BJ9" s="29"/>
      <c r="BK9" s="29" t="s">
        <v>93</v>
      </c>
      <c r="BL9" s="29" t="s">
        <v>100</v>
      </c>
      <c r="BM9" s="45">
        <v>1.0</v>
      </c>
      <c r="BN9" s="45">
        <v>1.0</v>
      </c>
      <c r="BO9" s="46"/>
      <c r="BP9" s="2"/>
      <c r="BQ9" s="3"/>
    </row>
    <row r="10">
      <c r="A10" s="34">
        <v>7.0</v>
      </c>
      <c r="B10" s="34">
        <v>101662.0</v>
      </c>
      <c r="C10" s="34" t="s">
        <v>76</v>
      </c>
      <c r="D10" s="34" t="s">
        <v>77</v>
      </c>
      <c r="E10" s="34" t="s">
        <v>78</v>
      </c>
      <c r="F10" s="34">
        <v>2013.0</v>
      </c>
      <c r="G10" s="34" t="s">
        <v>79</v>
      </c>
      <c r="H10" s="34" t="s">
        <v>80</v>
      </c>
      <c r="I10" s="34" t="s">
        <v>81</v>
      </c>
      <c r="J10" s="35"/>
      <c r="K10" s="36">
        <v>-21.8</v>
      </c>
      <c r="L10" s="36"/>
      <c r="M10" s="36"/>
      <c r="N10" s="36"/>
      <c r="O10" s="36"/>
      <c r="P10" s="37">
        <v>12.1</v>
      </c>
      <c r="Q10" s="36" t="s">
        <v>96</v>
      </c>
      <c r="R10" s="36" t="s">
        <v>96</v>
      </c>
      <c r="S10" s="36">
        <v>30.0</v>
      </c>
      <c r="T10" s="36" t="s">
        <v>127</v>
      </c>
      <c r="U10" s="36" t="s">
        <v>128</v>
      </c>
      <c r="V10" s="36"/>
      <c r="W10" s="36" t="s">
        <v>88</v>
      </c>
      <c r="X10" s="38">
        <v>1.0</v>
      </c>
      <c r="Y10" s="38" t="s">
        <v>129</v>
      </c>
      <c r="Z10" s="38" t="s">
        <v>129</v>
      </c>
      <c r="AA10" s="38" t="s">
        <v>86</v>
      </c>
      <c r="AB10" s="38" t="s">
        <v>130</v>
      </c>
      <c r="AC10" s="38" t="s">
        <v>131</v>
      </c>
      <c r="AD10" s="39" t="s">
        <v>87</v>
      </c>
      <c r="AE10" s="38"/>
      <c r="AF10" s="38" t="s">
        <v>115</v>
      </c>
      <c r="AG10" s="38"/>
      <c r="AH10" s="38" t="s">
        <v>116</v>
      </c>
      <c r="AI10" s="50">
        <v>41.975341</v>
      </c>
      <c r="AJ10" s="50">
        <v>-93.64431294</v>
      </c>
      <c r="AK10" s="41" t="s">
        <v>86</v>
      </c>
      <c r="AL10" s="40" t="s">
        <v>86</v>
      </c>
      <c r="AM10" s="49">
        <v>309.0</v>
      </c>
      <c r="AN10" s="51">
        <v>309.0</v>
      </c>
      <c r="AO10" s="42" t="s">
        <v>107</v>
      </c>
      <c r="AP10" s="43" t="s">
        <v>108</v>
      </c>
      <c r="AQ10" s="44" t="str">
        <f t="shared" si="1"/>
        <v>CRO</v>
      </c>
      <c r="AR10" s="44">
        <f t="shared" si="3"/>
        <v>309</v>
      </c>
      <c r="AS10" s="44" t="s">
        <v>109</v>
      </c>
      <c r="AT10" s="44" t="str">
        <f t="shared" si="4"/>
        <v>Df</v>
      </c>
      <c r="AU10" s="44" t="str">
        <f t="shared" si="2"/>
        <v>Dfa</v>
      </c>
      <c r="AV10" s="38">
        <v>3.0</v>
      </c>
      <c r="AW10" s="38"/>
      <c r="AX10" s="38">
        <v>100.0</v>
      </c>
      <c r="AY10" s="38"/>
      <c r="AZ10" s="29">
        <v>30.0</v>
      </c>
      <c r="BA10" s="29"/>
      <c r="BB10" s="29">
        <v>1.0</v>
      </c>
      <c r="BC10" s="29"/>
      <c r="BD10" s="29" t="s">
        <v>88</v>
      </c>
      <c r="BE10" s="29" t="s">
        <v>89</v>
      </c>
      <c r="BF10" s="29" t="s">
        <v>90</v>
      </c>
      <c r="BG10" s="29" t="s">
        <v>91</v>
      </c>
      <c r="BH10" s="29" t="s">
        <v>92</v>
      </c>
      <c r="BI10" s="29" t="s">
        <v>68</v>
      </c>
      <c r="BJ10" s="29"/>
      <c r="BK10" s="29" t="s">
        <v>93</v>
      </c>
      <c r="BL10" s="29" t="s">
        <v>100</v>
      </c>
      <c r="BM10" s="45">
        <v>1.0</v>
      </c>
      <c r="BN10" s="45">
        <v>1.0</v>
      </c>
      <c r="BO10" s="46"/>
      <c r="BP10" s="2"/>
      <c r="BQ10" s="3"/>
    </row>
    <row r="11">
      <c r="A11" s="34">
        <v>8.0</v>
      </c>
      <c r="B11" s="34">
        <v>101662.0</v>
      </c>
      <c r="C11" s="34" t="s">
        <v>76</v>
      </c>
      <c r="D11" s="34" t="s">
        <v>77</v>
      </c>
      <c r="E11" s="34" t="s">
        <v>78</v>
      </c>
      <c r="F11" s="34">
        <v>2013.0</v>
      </c>
      <c r="G11" s="34" t="s">
        <v>79</v>
      </c>
      <c r="H11" s="34" t="s">
        <v>80</v>
      </c>
      <c r="I11" s="34" t="s">
        <v>81</v>
      </c>
      <c r="J11" s="35"/>
      <c r="K11" s="36">
        <v>-21.0</v>
      </c>
      <c r="L11" s="36"/>
      <c r="M11" s="36"/>
      <c r="N11" s="36"/>
      <c r="O11" s="36"/>
      <c r="P11" s="37">
        <v>15.0</v>
      </c>
      <c r="Q11" s="36" t="s">
        <v>96</v>
      </c>
      <c r="R11" s="36" t="s">
        <v>96</v>
      </c>
      <c r="S11" s="36">
        <v>30.0</v>
      </c>
      <c r="T11" s="36" t="s">
        <v>132</v>
      </c>
      <c r="U11" s="36" t="s">
        <v>133</v>
      </c>
      <c r="V11" s="36"/>
      <c r="W11" s="36" t="s">
        <v>88</v>
      </c>
      <c r="X11" s="38">
        <v>1.0</v>
      </c>
      <c r="Y11" s="38" t="s">
        <v>134</v>
      </c>
      <c r="Z11" s="38" t="s">
        <v>134</v>
      </c>
      <c r="AA11" s="38" t="s">
        <v>86</v>
      </c>
      <c r="AB11" s="38" t="s">
        <v>135</v>
      </c>
      <c r="AC11" s="38" t="s">
        <v>136</v>
      </c>
      <c r="AD11" s="39" t="s">
        <v>87</v>
      </c>
      <c r="AE11" s="38"/>
      <c r="AF11" s="38" t="s">
        <v>115</v>
      </c>
      <c r="AG11" s="38"/>
      <c r="AH11" s="38" t="s">
        <v>116</v>
      </c>
      <c r="AI11" s="50">
        <v>41.93781824</v>
      </c>
      <c r="AJ11" s="50">
        <v>-93.6631318</v>
      </c>
      <c r="AK11" s="41" t="s">
        <v>86</v>
      </c>
      <c r="AL11" s="40" t="s">
        <v>86</v>
      </c>
      <c r="AM11" s="49">
        <v>320.0</v>
      </c>
      <c r="AN11" s="51">
        <v>320.0</v>
      </c>
      <c r="AO11" s="42" t="s">
        <v>107</v>
      </c>
      <c r="AP11" s="43" t="s">
        <v>108</v>
      </c>
      <c r="AQ11" s="44" t="str">
        <f t="shared" si="1"/>
        <v>CRO</v>
      </c>
      <c r="AR11" s="44">
        <f t="shared" si="3"/>
        <v>320</v>
      </c>
      <c r="AS11" s="44" t="s">
        <v>109</v>
      </c>
      <c r="AT11" s="44" t="str">
        <f t="shared" si="4"/>
        <v>Df</v>
      </c>
      <c r="AU11" s="44" t="str">
        <f t="shared" si="2"/>
        <v>Dfa</v>
      </c>
      <c r="AV11" s="38">
        <v>3.0</v>
      </c>
      <c r="AW11" s="38"/>
      <c r="AX11" s="38">
        <v>100.0</v>
      </c>
      <c r="AY11" s="38"/>
      <c r="AZ11" s="29">
        <v>30.0</v>
      </c>
      <c r="BA11" s="29"/>
      <c r="BB11" s="29">
        <v>1.0</v>
      </c>
      <c r="BC11" s="29"/>
      <c r="BD11" s="29" t="s">
        <v>88</v>
      </c>
      <c r="BE11" s="29" t="s">
        <v>89</v>
      </c>
      <c r="BF11" s="29" t="s">
        <v>90</v>
      </c>
      <c r="BG11" s="29" t="s">
        <v>91</v>
      </c>
      <c r="BH11" s="29" t="s">
        <v>92</v>
      </c>
      <c r="BI11" s="29" t="s">
        <v>68</v>
      </c>
      <c r="BJ11" s="29"/>
      <c r="BK11" s="29" t="s">
        <v>93</v>
      </c>
      <c r="BL11" s="29" t="s">
        <v>100</v>
      </c>
      <c r="BM11" s="45">
        <v>1.0</v>
      </c>
      <c r="BN11" s="45">
        <v>1.0</v>
      </c>
      <c r="BO11" s="46"/>
      <c r="BP11" s="2"/>
      <c r="BQ11" s="3"/>
    </row>
    <row r="12">
      <c r="A12" s="34">
        <v>9.0</v>
      </c>
      <c r="B12" s="34">
        <v>101662.0</v>
      </c>
      <c r="C12" s="34" t="s">
        <v>76</v>
      </c>
      <c r="D12" s="34" t="s">
        <v>77</v>
      </c>
      <c r="E12" s="34" t="s">
        <v>78</v>
      </c>
      <c r="F12" s="34">
        <v>2013.0</v>
      </c>
      <c r="G12" s="34" t="s">
        <v>79</v>
      </c>
      <c r="H12" s="34" t="s">
        <v>80</v>
      </c>
      <c r="I12" s="34" t="s">
        <v>81</v>
      </c>
      <c r="J12" s="35"/>
      <c r="K12" s="36">
        <v>-21.0</v>
      </c>
      <c r="L12" s="36"/>
      <c r="M12" s="36"/>
      <c r="N12" s="36"/>
      <c r="O12" s="36"/>
      <c r="P12" s="37">
        <v>17.8</v>
      </c>
      <c r="Q12" s="36" t="s">
        <v>96</v>
      </c>
      <c r="R12" s="36" t="s">
        <v>96</v>
      </c>
      <c r="S12" s="36">
        <v>30.0</v>
      </c>
      <c r="T12" s="36" t="s">
        <v>137</v>
      </c>
      <c r="U12" s="36" t="s">
        <v>138</v>
      </c>
      <c r="V12" s="36"/>
      <c r="W12" s="36" t="s">
        <v>88</v>
      </c>
      <c r="X12" s="38">
        <v>1.0</v>
      </c>
      <c r="Y12" s="38" t="s">
        <v>139</v>
      </c>
      <c r="Z12" s="38" t="s">
        <v>139</v>
      </c>
      <c r="AA12" s="38" t="s">
        <v>86</v>
      </c>
      <c r="AB12" s="38" t="s">
        <v>140</v>
      </c>
      <c r="AC12" s="38" t="s">
        <v>141</v>
      </c>
      <c r="AD12" s="39" t="s">
        <v>87</v>
      </c>
      <c r="AE12" s="38"/>
      <c r="AF12" s="38" t="s">
        <v>106</v>
      </c>
      <c r="AG12" s="38"/>
      <c r="AH12" s="38">
        <v>2.0</v>
      </c>
      <c r="AI12" s="50">
        <v>41.93414103</v>
      </c>
      <c r="AJ12" s="50">
        <v>-93.66270304</v>
      </c>
      <c r="AK12" s="41" t="s">
        <v>86</v>
      </c>
      <c r="AL12" s="40" t="s">
        <v>86</v>
      </c>
      <c r="AM12" s="49">
        <v>316.0</v>
      </c>
      <c r="AN12" s="51">
        <v>316.0</v>
      </c>
      <c r="AO12" s="42" t="s">
        <v>107</v>
      </c>
      <c r="AP12" s="43" t="s">
        <v>108</v>
      </c>
      <c r="AQ12" s="44" t="str">
        <f t="shared" si="1"/>
        <v>CRO</v>
      </c>
      <c r="AR12" s="44">
        <f t="shared" si="3"/>
        <v>316</v>
      </c>
      <c r="AS12" s="44" t="s">
        <v>109</v>
      </c>
      <c r="AT12" s="44" t="str">
        <f t="shared" si="4"/>
        <v>Df</v>
      </c>
      <c r="AU12" s="44" t="str">
        <f t="shared" si="2"/>
        <v>Dfa</v>
      </c>
      <c r="AV12" s="38">
        <v>3.0</v>
      </c>
      <c r="AW12" s="38"/>
      <c r="AX12" s="38">
        <v>100.0</v>
      </c>
      <c r="AY12" s="38"/>
      <c r="AZ12" s="29">
        <v>30.0</v>
      </c>
      <c r="BA12" s="29"/>
      <c r="BB12" s="29">
        <v>1.0</v>
      </c>
      <c r="BC12" s="29"/>
      <c r="BD12" s="29" t="s">
        <v>88</v>
      </c>
      <c r="BE12" s="29" t="s">
        <v>89</v>
      </c>
      <c r="BF12" s="29" t="s">
        <v>90</v>
      </c>
      <c r="BG12" s="29" t="s">
        <v>91</v>
      </c>
      <c r="BH12" s="29" t="s">
        <v>92</v>
      </c>
      <c r="BI12" s="29" t="s">
        <v>68</v>
      </c>
      <c r="BJ12" s="29"/>
      <c r="BK12" s="29" t="s">
        <v>93</v>
      </c>
      <c r="BL12" s="29" t="s">
        <v>100</v>
      </c>
      <c r="BM12" s="45">
        <v>1.0</v>
      </c>
      <c r="BN12" s="45">
        <v>1.0</v>
      </c>
      <c r="BO12" s="46"/>
      <c r="BP12" s="2"/>
      <c r="BQ12" s="3"/>
    </row>
    <row r="13">
      <c r="A13" s="34">
        <v>10.0</v>
      </c>
      <c r="B13" s="34">
        <v>101662.0</v>
      </c>
      <c r="C13" s="34" t="s">
        <v>76</v>
      </c>
      <c r="D13" s="34" t="s">
        <v>77</v>
      </c>
      <c r="E13" s="34" t="s">
        <v>78</v>
      </c>
      <c r="F13" s="34">
        <v>2013.0</v>
      </c>
      <c r="G13" s="34" t="s">
        <v>79</v>
      </c>
      <c r="H13" s="34" t="s">
        <v>80</v>
      </c>
      <c r="I13" s="34" t="s">
        <v>81</v>
      </c>
      <c r="J13" s="35"/>
      <c r="K13" s="36">
        <v>-15.8</v>
      </c>
      <c r="L13" s="36"/>
      <c r="M13" s="36"/>
      <c r="N13" s="36"/>
      <c r="O13" s="36"/>
      <c r="P13" s="37">
        <v>12.3</v>
      </c>
      <c r="Q13" s="36" t="s">
        <v>96</v>
      </c>
      <c r="R13" s="36" t="s">
        <v>96</v>
      </c>
      <c r="S13" s="36">
        <v>30.0</v>
      </c>
      <c r="T13" s="36" t="s">
        <v>142</v>
      </c>
      <c r="U13" s="36" t="s">
        <v>143</v>
      </c>
      <c r="V13" s="36"/>
      <c r="W13" s="36" t="s">
        <v>88</v>
      </c>
      <c r="X13" s="38">
        <v>1.0</v>
      </c>
      <c r="Y13" s="38" t="s">
        <v>144</v>
      </c>
      <c r="Z13" s="38" t="s">
        <v>144</v>
      </c>
      <c r="AA13" s="38" t="s">
        <v>86</v>
      </c>
      <c r="AB13" s="38" t="s">
        <v>145</v>
      </c>
      <c r="AC13" s="38" t="s">
        <v>146</v>
      </c>
      <c r="AD13" s="39" t="s">
        <v>87</v>
      </c>
      <c r="AE13" s="38"/>
      <c r="AF13" s="38" t="s">
        <v>106</v>
      </c>
      <c r="AG13" s="38"/>
      <c r="AH13" s="38">
        <v>2.0</v>
      </c>
      <c r="AI13" s="50">
        <v>41.93548368</v>
      </c>
      <c r="AJ13" s="50">
        <v>-93.66405839</v>
      </c>
      <c r="AK13" s="41" t="s">
        <v>86</v>
      </c>
      <c r="AL13" s="40" t="s">
        <v>86</v>
      </c>
      <c r="AM13" s="49">
        <v>318.0</v>
      </c>
      <c r="AN13" s="51">
        <v>318.0</v>
      </c>
      <c r="AO13" s="42" t="s">
        <v>107</v>
      </c>
      <c r="AP13" s="43" t="s">
        <v>108</v>
      </c>
      <c r="AQ13" s="44" t="str">
        <f t="shared" si="1"/>
        <v>CRO</v>
      </c>
      <c r="AR13" s="44">
        <f t="shared" si="3"/>
        <v>318</v>
      </c>
      <c r="AS13" s="44" t="s">
        <v>109</v>
      </c>
      <c r="AT13" s="44" t="str">
        <f t="shared" si="4"/>
        <v>Df</v>
      </c>
      <c r="AU13" s="44" t="str">
        <f t="shared" si="2"/>
        <v>Dfa</v>
      </c>
      <c r="AV13" s="38">
        <v>3.0</v>
      </c>
      <c r="AW13" s="38"/>
      <c r="AX13" s="38">
        <v>100.0</v>
      </c>
      <c r="AY13" s="38"/>
      <c r="AZ13" s="29">
        <v>30.0</v>
      </c>
      <c r="BA13" s="29"/>
      <c r="BB13" s="29">
        <v>1.0</v>
      </c>
      <c r="BC13" s="29"/>
      <c r="BD13" s="29" t="s">
        <v>88</v>
      </c>
      <c r="BE13" s="29" t="s">
        <v>89</v>
      </c>
      <c r="BF13" s="29" t="s">
        <v>90</v>
      </c>
      <c r="BG13" s="29" t="s">
        <v>91</v>
      </c>
      <c r="BH13" s="29" t="s">
        <v>92</v>
      </c>
      <c r="BI13" s="29" t="s">
        <v>68</v>
      </c>
      <c r="BJ13" s="29"/>
      <c r="BK13" s="29" t="s">
        <v>93</v>
      </c>
      <c r="BL13" s="29" t="s">
        <v>100</v>
      </c>
      <c r="BM13" s="45">
        <v>1.0</v>
      </c>
      <c r="BN13" s="45">
        <v>1.0</v>
      </c>
      <c r="BO13" s="46"/>
      <c r="BP13" s="2"/>
      <c r="BQ13" s="3"/>
    </row>
    <row r="14">
      <c r="A14" s="34">
        <v>11.0</v>
      </c>
      <c r="B14" s="34">
        <v>101662.0</v>
      </c>
      <c r="C14" s="34" t="s">
        <v>76</v>
      </c>
      <c r="D14" s="34" t="s">
        <v>77</v>
      </c>
      <c r="E14" s="34" t="s">
        <v>78</v>
      </c>
      <c r="F14" s="34">
        <v>2013.0</v>
      </c>
      <c r="G14" s="34" t="s">
        <v>79</v>
      </c>
      <c r="H14" s="34" t="s">
        <v>80</v>
      </c>
      <c r="I14" s="34" t="s">
        <v>81</v>
      </c>
      <c r="J14" s="35"/>
      <c r="K14" s="36">
        <v>-17.9</v>
      </c>
      <c r="L14" s="36"/>
      <c r="M14" s="36"/>
      <c r="N14" s="36"/>
      <c r="O14" s="36"/>
      <c r="P14" s="37">
        <v>12.3</v>
      </c>
      <c r="Q14" s="36" t="s">
        <v>96</v>
      </c>
      <c r="R14" s="36" t="s">
        <v>96</v>
      </c>
      <c r="S14" s="36">
        <v>30.0</v>
      </c>
      <c r="T14" s="36" t="s">
        <v>83</v>
      </c>
      <c r="U14" s="36" t="s">
        <v>147</v>
      </c>
      <c r="V14" s="36"/>
      <c r="W14" s="36" t="s">
        <v>88</v>
      </c>
      <c r="X14" s="38">
        <v>1.0</v>
      </c>
      <c r="Y14" s="38" t="s">
        <v>103</v>
      </c>
      <c r="Z14" s="38" t="s">
        <v>103</v>
      </c>
      <c r="AA14" s="38" t="s">
        <v>86</v>
      </c>
      <c r="AB14" s="38" t="s">
        <v>104</v>
      </c>
      <c r="AC14" s="38" t="s">
        <v>105</v>
      </c>
      <c r="AD14" s="39" t="s">
        <v>87</v>
      </c>
      <c r="AE14" s="38"/>
      <c r="AF14" s="38" t="s">
        <v>106</v>
      </c>
      <c r="AG14" s="38"/>
      <c r="AH14" s="38">
        <v>2.0</v>
      </c>
      <c r="AI14" s="50">
        <v>41.98380985</v>
      </c>
      <c r="AJ14" s="50">
        <v>-93.75497316</v>
      </c>
      <c r="AK14" s="41" t="s">
        <v>86</v>
      </c>
      <c r="AL14" s="40" t="s">
        <v>86</v>
      </c>
      <c r="AM14" s="49">
        <v>323.0</v>
      </c>
      <c r="AN14" s="51">
        <v>323.0</v>
      </c>
      <c r="AO14" s="42" t="s">
        <v>107</v>
      </c>
      <c r="AP14" s="43" t="s">
        <v>108</v>
      </c>
      <c r="AQ14" s="44" t="str">
        <f t="shared" si="1"/>
        <v>CRO</v>
      </c>
      <c r="AR14" s="44">
        <f t="shared" si="3"/>
        <v>323</v>
      </c>
      <c r="AS14" s="44" t="s">
        <v>109</v>
      </c>
      <c r="AT14" s="44" t="str">
        <f t="shared" si="4"/>
        <v>Df</v>
      </c>
      <c r="AU14" s="44" t="str">
        <f t="shared" si="2"/>
        <v>Dfa</v>
      </c>
      <c r="AV14" s="38">
        <v>3.0</v>
      </c>
      <c r="AW14" s="38"/>
      <c r="AX14" s="38">
        <v>100.0</v>
      </c>
      <c r="AY14" s="38"/>
      <c r="AZ14" s="29">
        <v>30.0</v>
      </c>
      <c r="BA14" s="29"/>
      <c r="BB14" s="29">
        <v>1.0</v>
      </c>
      <c r="BC14" s="29"/>
      <c r="BD14" s="29" t="s">
        <v>88</v>
      </c>
      <c r="BE14" s="29" t="s">
        <v>89</v>
      </c>
      <c r="BF14" s="29" t="s">
        <v>90</v>
      </c>
      <c r="BG14" s="29" t="s">
        <v>91</v>
      </c>
      <c r="BH14" s="29" t="s">
        <v>92</v>
      </c>
      <c r="BI14" s="29" t="s">
        <v>68</v>
      </c>
      <c r="BJ14" s="29"/>
      <c r="BK14" s="29" t="s">
        <v>148</v>
      </c>
      <c r="BL14" s="29" t="s">
        <v>148</v>
      </c>
      <c r="BM14" s="45">
        <v>1.0</v>
      </c>
      <c r="BN14" s="45">
        <v>1.0</v>
      </c>
      <c r="BO14" s="46"/>
      <c r="BP14" s="2"/>
      <c r="BQ14" s="3"/>
    </row>
    <row r="15">
      <c r="A15" s="34">
        <v>12.0</v>
      </c>
      <c r="B15" s="34">
        <v>101662.0</v>
      </c>
      <c r="C15" s="34" t="s">
        <v>76</v>
      </c>
      <c r="D15" s="34" t="s">
        <v>77</v>
      </c>
      <c r="E15" s="34" t="s">
        <v>78</v>
      </c>
      <c r="F15" s="34">
        <v>2013.0</v>
      </c>
      <c r="G15" s="34" t="s">
        <v>79</v>
      </c>
      <c r="H15" s="34" t="s">
        <v>80</v>
      </c>
      <c r="I15" s="34" t="s">
        <v>81</v>
      </c>
      <c r="J15" s="35"/>
      <c r="K15" s="36">
        <v>-24.3</v>
      </c>
      <c r="L15" s="36"/>
      <c r="M15" s="36"/>
      <c r="N15" s="36"/>
      <c r="O15" s="36"/>
      <c r="P15" s="37">
        <v>13.9</v>
      </c>
      <c r="Q15" s="36" t="s">
        <v>96</v>
      </c>
      <c r="R15" s="36" t="s">
        <v>96</v>
      </c>
      <c r="S15" s="36">
        <v>30.0</v>
      </c>
      <c r="T15" s="36" t="s">
        <v>97</v>
      </c>
      <c r="U15" s="36" t="s">
        <v>149</v>
      </c>
      <c r="V15" s="36"/>
      <c r="W15" s="36" t="s">
        <v>88</v>
      </c>
      <c r="X15" s="38">
        <v>1.0</v>
      </c>
      <c r="Y15" s="38" t="s">
        <v>112</v>
      </c>
      <c r="Z15" s="38" t="s">
        <v>112</v>
      </c>
      <c r="AA15" s="38" t="s">
        <v>86</v>
      </c>
      <c r="AB15" s="38" t="s">
        <v>113</v>
      </c>
      <c r="AC15" s="38" t="s">
        <v>114</v>
      </c>
      <c r="AD15" s="39" t="s">
        <v>87</v>
      </c>
      <c r="AE15" s="38"/>
      <c r="AF15" s="38" t="s">
        <v>115</v>
      </c>
      <c r="AG15" s="38"/>
      <c r="AH15" s="38" t="s">
        <v>116</v>
      </c>
      <c r="AI15" s="50">
        <v>41.93289579</v>
      </c>
      <c r="AJ15" s="50">
        <v>-93.75331502</v>
      </c>
      <c r="AK15" s="41" t="s">
        <v>86</v>
      </c>
      <c r="AL15" s="40" t="s">
        <v>86</v>
      </c>
      <c r="AM15" s="49">
        <v>323.0</v>
      </c>
      <c r="AN15" s="51">
        <v>323.0</v>
      </c>
      <c r="AO15" s="42" t="s">
        <v>107</v>
      </c>
      <c r="AP15" s="43" t="s">
        <v>108</v>
      </c>
      <c r="AQ15" s="44" t="str">
        <f t="shared" si="1"/>
        <v>CRO</v>
      </c>
      <c r="AR15" s="44">
        <f t="shared" si="3"/>
        <v>323</v>
      </c>
      <c r="AS15" s="44" t="str">
        <f t="shared" ref="AS15:AS142" si="5">LEFT(AO15,1)</f>
        <v>D</v>
      </c>
      <c r="AT15" s="44" t="str">
        <f t="shared" si="4"/>
        <v>Df</v>
      </c>
      <c r="AU15" s="44" t="str">
        <f t="shared" si="2"/>
        <v>Dfa</v>
      </c>
      <c r="AV15" s="38">
        <v>3.0</v>
      </c>
      <c r="AW15" s="38"/>
      <c r="AX15" s="38">
        <v>100.0</v>
      </c>
      <c r="AY15" s="38"/>
      <c r="AZ15" s="29">
        <v>30.0</v>
      </c>
      <c r="BA15" s="29"/>
      <c r="BB15" s="29">
        <v>1.0</v>
      </c>
      <c r="BC15" s="29"/>
      <c r="BD15" s="29" t="s">
        <v>88</v>
      </c>
      <c r="BE15" s="29" t="s">
        <v>89</v>
      </c>
      <c r="BF15" s="29" t="s">
        <v>90</v>
      </c>
      <c r="BG15" s="29" t="s">
        <v>91</v>
      </c>
      <c r="BH15" s="29" t="s">
        <v>92</v>
      </c>
      <c r="BI15" s="29" t="s">
        <v>68</v>
      </c>
      <c r="BJ15" s="29"/>
      <c r="BK15" s="29" t="s">
        <v>148</v>
      </c>
      <c r="BL15" s="29" t="s">
        <v>148</v>
      </c>
      <c r="BM15" s="45">
        <v>1.0</v>
      </c>
      <c r="BN15" s="45">
        <v>1.0</v>
      </c>
      <c r="BO15" s="46"/>
      <c r="BP15" s="2"/>
      <c r="BQ15" s="3"/>
    </row>
    <row r="16">
      <c r="A16" s="34">
        <v>13.0</v>
      </c>
      <c r="B16" s="34">
        <v>101662.0</v>
      </c>
      <c r="C16" s="34" t="s">
        <v>76</v>
      </c>
      <c r="D16" s="34" t="s">
        <v>77</v>
      </c>
      <c r="E16" s="34" t="s">
        <v>78</v>
      </c>
      <c r="F16" s="34">
        <v>2013.0</v>
      </c>
      <c r="G16" s="34" t="s">
        <v>79</v>
      </c>
      <c r="H16" s="34" t="s">
        <v>80</v>
      </c>
      <c r="I16" s="34" t="s">
        <v>81</v>
      </c>
      <c r="J16" s="35"/>
      <c r="K16" s="36">
        <v>8.6</v>
      </c>
      <c r="L16" s="36"/>
      <c r="M16" s="36"/>
      <c r="N16" s="36"/>
      <c r="O16" s="36"/>
      <c r="P16" s="37">
        <v>8.6</v>
      </c>
      <c r="Q16" s="36" t="s">
        <v>96</v>
      </c>
      <c r="R16" s="36" t="s">
        <v>96</v>
      </c>
      <c r="S16" s="36">
        <v>30.0</v>
      </c>
      <c r="T16" s="36" t="s">
        <v>150</v>
      </c>
      <c r="U16" s="36" t="s">
        <v>151</v>
      </c>
      <c r="V16" s="36"/>
      <c r="W16" s="36" t="s">
        <v>88</v>
      </c>
      <c r="X16" s="38">
        <v>1.0</v>
      </c>
      <c r="Y16" s="38" t="s">
        <v>119</v>
      </c>
      <c r="Z16" s="38" t="s">
        <v>119</v>
      </c>
      <c r="AA16" s="38" t="s">
        <v>86</v>
      </c>
      <c r="AB16" s="38" t="s">
        <v>120</v>
      </c>
      <c r="AC16" s="38" t="s">
        <v>121</v>
      </c>
      <c r="AD16" s="39" t="s">
        <v>87</v>
      </c>
      <c r="AE16" s="38"/>
      <c r="AF16" s="38" t="s">
        <v>115</v>
      </c>
      <c r="AG16" s="38"/>
      <c r="AH16" s="38" t="s">
        <v>116</v>
      </c>
      <c r="AI16" s="50">
        <v>41.99291298</v>
      </c>
      <c r="AJ16" s="50">
        <v>-93.52857874</v>
      </c>
      <c r="AK16" s="41" t="s">
        <v>86</v>
      </c>
      <c r="AL16" s="40" t="s">
        <v>86</v>
      </c>
      <c r="AM16" s="49">
        <v>299.0</v>
      </c>
      <c r="AN16" s="51">
        <v>299.0</v>
      </c>
      <c r="AO16" s="42" t="s">
        <v>107</v>
      </c>
      <c r="AP16" s="43" t="s">
        <v>108</v>
      </c>
      <c r="AQ16" s="44" t="str">
        <f t="shared" si="1"/>
        <v>CRO</v>
      </c>
      <c r="AR16" s="44">
        <f t="shared" si="3"/>
        <v>299</v>
      </c>
      <c r="AS16" s="44" t="str">
        <f t="shared" si="5"/>
        <v>D</v>
      </c>
      <c r="AT16" s="44" t="str">
        <f t="shared" si="4"/>
        <v>Df</v>
      </c>
      <c r="AU16" s="44" t="str">
        <f t="shared" si="2"/>
        <v>Dfa</v>
      </c>
      <c r="AV16" s="38">
        <v>3.0</v>
      </c>
      <c r="AW16" s="38"/>
      <c r="AX16" s="38">
        <v>100.0</v>
      </c>
      <c r="AY16" s="38"/>
      <c r="AZ16" s="29">
        <v>30.0</v>
      </c>
      <c r="BA16" s="29"/>
      <c r="BB16" s="29">
        <v>1.0</v>
      </c>
      <c r="BC16" s="29"/>
      <c r="BD16" s="29" t="s">
        <v>88</v>
      </c>
      <c r="BE16" s="29" t="s">
        <v>89</v>
      </c>
      <c r="BF16" s="29" t="s">
        <v>90</v>
      </c>
      <c r="BG16" s="29" t="s">
        <v>91</v>
      </c>
      <c r="BH16" s="29" t="s">
        <v>92</v>
      </c>
      <c r="BI16" s="29" t="s">
        <v>68</v>
      </c>
      <c r="BJ16" s="29"/>
      <c r="BK16" s="29" t="s">
        <v>148</v>
      </c>
      <c r="BL16" s="29" t="s">
        <v>148</v>
      </c>
      <c r="BM16" s="45">
        <v>1.0</v>
      </c>
      <c r="BN16" s="45">
        <v>1.0</v>
      </c>
      <c r="BO16" s="46"/>
      <c r="BP16" s="2"/>
      <c r="BQ16" s="3"/>
    </row>
    <row r="17">
      <c r="A17" s="34">
        <v>14.0</v>
      </c>
      <c r="B17" s="34">
        <v>101662.0</v>
      </c>
      <c r="C17" s="34" t="s">
        <v>76</v>
      </c>
      <c r="D17" s="34" t="s">
        <v>77</v>
      </c>
      <c r="E17" s="34" t="s">
        <v>78</v>
      </c>
      <c r="F17" s="34">
        <v>2013.0</v>
      </c>
      <c r="G17" s="34" t="s">
        <v>79</v>
      </c>
      <c r="H17" s="34" t="s">
        <v>80</v>
      </c>
      <c r="I17" s="34" t="s">
        <v>81</v>
      </c>
      <c r="J17" s="35"/>
      <c r="K17" s="36">
        <v>-5.6</v>
      </c>
      <c r="L17" s="36"/>
      <c r="M17" s="36"/>
      <c r="N17" s="36"/>
      <c r="O17" s="36"/>
      <c r="P17" s="37">
        <v>11.5</v>
      </c>
      <c r="Q17" s="36" t="s">
        <v>96</v>
      </c>
      <c r="R17" s="36" t="s">
        <v>96</v>
      </c>
      <c r="S17" s="36">
        <v>30.0</v>
      </c>
      <c r="T17" s="36" t="s">
        <v>152</v>
      </c>
      <c r="U17" s="36" t="s">
        <v>153</v>
      </c>
      <c r="V17" s="36"/>
      <c r="W17" s="36" t="s">
        <v>88</v>
      </c>
      <c r="X17" s="38">
        <v>1.0</v>
      </c>
      <c r="Y17" s="38" t="s">
        <v>124</v>
      </c>
      <c r="Z17" s="38" t="s">
        <v>124</v>
      </c>
      <c r="AA17" s="38" t="s">
        <v>86</v>
      </c>
      <c r="AB17" s="38" t="s">
        <v>125</v>
      </c>
      <c r="AC17" s="38" t="s">
        <v>126</v>
      </c>
      <c r="AD17" s="39" t="s">
        <v>87</v>
      </c>
      <c r="AE17" s="38"/>
      <c r="AF17" s="38" t="s">
        <v>115</v>
      </c>
      <c r="AG17" s="38"/>
      <c r="AH17" s="38" t="s">
        <v>116</v>
      </c>
      <c r="AI17" s="50">
        <v>41.94226863</v>
      </c>
      <c r="AJ17" s="50">
        <v>-93.53937428</v>
      </c>
      <c r="AK17" s="41" t="s">
        <v>86</v>
      </c>
      <c r="AL17" s="40" t="s">
        <v>86</v>
      </c>
      <c r="AM17" s="49">
        <v>263.0</v>
      </c>
      <c r="AN17" s="51">
        <v>263.0</v>
      </c>
      <c r="AO17" s="42" t="s">
        <v>107</v>
      </c>
      <c r="AP17" s="43" t="s">
        <v>108</v>
      </c>
      <c r="AQ17" s="44" t="str">
        <f t="shared" si="1"/>
        <v>CRO</v>
      </c>
      <c r="AR17" s="44">
        <f t="shared" si="3"/>
        <v>263</v>
      </c>
      <c r="AS17" s="44" t="str">
        <f t="shared" si="5"/>
        <v>D</v>
      </c>
      <c r="AT17" s="44" t="str">
        <f t="shared" si="4"/>
        <v>Df</v>
      </c>
      <c r="AU17" s="44" t="str">
        <f t="shared" si="2"/>
        <v>Dfa</v>
      </c>
      <c r="AV17" s="38">
        <v>3.0</v>
      </c>
      <c r="AW17" s="38"/>
      <c r="AX17" s="38">
        <v>100.0</v>
      </c>
      <c r="AY17" s="38"/>
      <c r="AZ17" s="29">
        <v>30.0</v>
      </c>
      <c r="BA17" s="29"/>
      <c r="BB17" s="29">
        <v>1.0</v>
      </c>
      <c r="BC17" s="29"/>
      <c r="BD17" s="29" t="s">
        <v>88</v>
      </c>
      <c r="BE17" s="29" t="s">
        <v>89</v>
      </c>
      <c r="BF17" s="29" t="s">
        <v>90</v>
      </c>
      <c r="BG17" s="29" t="s">
        <v>91</v>
      </c>
      <c r="BH17" s="29" t="s">
        <v>92</v>
      </c>
      <c r="BI17" s="29" t="s">
        <v>68</v>
      </c>
      <c r="BJ17" s="29"/>
      <c r="BK17" s="29" t="s">
        <v>148</v>
      </c>
      <c r="BL17" s="29" t="s">
        <v>148</v>
      </c>
      <c r="BM17" s="45">
        <v>1.0</v>
      </c>
      <c r="BN17" s="45">
        <v>1.0</v>
      </c>
      <c r="BO17" s="46"/>
      <c r="BP17" s="2"/>
      <c r="BQ17" s="3"/>
    </row>
    <row r="18">
      <c r="A18" s="34">
        <v>15.0</v>
      </c>
      <c r="B18" s="34">
        <v>101662.0</v>
      </c>
      <c r="C18" s="34" t="s">
        <v>76</v>
      </c>
      <c r="D18" s="34" t="s">
        <v>77</v>
      </c>
      <c r="E18" s="34" t="s">
        <v>78</v>
      </c>
      <c r="F18" s="34">
        <v>2013.0</v>
      </c>
      <c r="G18" s="34" t="s">
        <v>79</v>
      </c>
      <c r="H18" s="34" t="s">
        <v>80</v>
      </c>
      <c r="I18" s="34" t="s">
        <v>81</v>
      </c>
      <c r="J18" s="35"/>
      <c r="K18" s="36">
        <v>-12.1</v>
      </c>
      <c r="L18" s="36"/>
      <c r="M18" s="36"/>
      <c r="N18" s="36"/>
      <c r="O18" s="36"/>
      <c r="P18" s="37">
        <v>9.6</v>
      </c>
      <c r="Q18" s="36" t="s">
        <v>96</v>
      </c>
      <c r="R18" s="36" t="s">
        <v>96</v>
      </c>
      <c r="S18" s="36">
        <v>30.0</v>
      </c>
      <c r="T18" s="36" t="s">
        <v>154</v>
      </c>
      <c r="U18" s="36" t="s">
        <v>155</v>
      </c>
      <c r="V18" s="36"/>
      <c r="W18" s="36" t="s">
        <v>88</v>
      </c>
      <c r="X18" s="38">
        <v>1.0</v>
      </c>
      <c r="Y18" s="38" t="s">
        <v>129</v>
      </c>
      <c r="Z18" s="38" t="s">
        <v>129</v>
      </c>
      <c r="AA18" s="38" t="s">
        <v>86</v>
      </c>
      <c r="AB18" s="38" t="s">
        <v>130</v>
      </c>
      <c r="AC18" s="38" t="s">
        <v>131</v>
      </c>
      <c r="AD18" s="39" t="s">
        <v>87</v>
      </c>
      <c r="AE18" s="38"/>
      <c r="AF18" s="38" t="s">
        <v>115</v>
      </c>
      <c r="AG18" s="38"/>
      <c r="AH18" s="38" t="s">
        <v>116</v>
      </c>
      <c r="AI18" s="50">
        <v>41.975341</v>
      </c>
      <c r="AJ18" s="50">
        <v>-93.64431294</v>
      </c>
      <c r="AK18" s="41" t="s">
        <v>86</v>
      </c>
      <c r="AL18" s="40" t="s">
        <v>86</v>
      </c>
      <c r="AM18" s="49">
        <v>309.0</v>
      </c>
      <c r="AN18" s="51">
        <v>309.0</v>
      </c>
      <c r="AO18" s="42" t="s">
        <v>107</v>
      </c>
      <c r="AP18" s="43" t="s">
        <v>108</v>
      </c>
      <c r="AQ18" s="44" t="str">
        <f t="shared" si="1"/>
        <v>CRO</v>
      </c>
      <c r="AR18" s="44">
        <f t="shared" si="3"/>
        <v>309</v>
      </c>
      <c r="AS18" s="44" t="str">
        <f t="shared" si="5"/>
        <v>D</v>
      </c>
      <c r="AT18" s="44" t="str">
        <f t="shared" si="4"/>
        <v>Df</v>
      </c>
      <c r="AU18" s="44" t="str">
        <f t="shared" si="2"/>
        <v>Dfa</v>
      </c>
      <c r="AV18" s="38">
        <v>3.0</v>
      </c>
      <c r="AW18" s="38"/>
      <c r="AX18" s="38">
        <v>100.0</v>
      </c>
      <c r="AY18" s="38"/>
      <c r="AZ18" s="29">
        <v>30.0</v>
      </c>
      <c r="BA18" s="29"/>
      <c r="BB18" s="29">
        <v>1.0</v>
      </c>
      <c r="BC18" s="29"/>
      <c r="BD18" s="29" t="s">
        <v>88</v>
      </c>
      <c r="BE18" s="29" t="s">
        <v>89</v>
      </c>
      <c r="BF18" s="29" t="s">
        <v>90</v>
      </c>
      <c r="BG18" s="29" t="s">
        <v>91</v>
      </c>
      <c r="BH18" s="29" t="s">
        <v>92</v>
      </c>
      <c r="BI18" s="29" t="s">
        <v>68</v>
      </c>
      <c r="BJ18" s="29"/>
      <c r="BK18" s="29" t="s">
        <v>148</v>
      </c>
      <c r="BL18" s="29" t="s">
        <v>148</v>
      </c>
      <c r="BM18" s="45">
        <v>1.0</v>
      </c>
      <c r="BN18" s="45">
        <v>1.0</v>
      </c>
      <c r="BO18" s="46"/>
      <c r="BP18" s="2"/>
      <c r="BQ18" s="3"/>
    </row>
    <row r="19">
      <c r="A19" s="34">
        <v>16.0</v>
      </c>
      <c r="B19" s="34">
        <v>101662.0</v>
      </c>
      <c r="C19" s="34" t="s">
        <v>76</v>
      </c>
      <c r="D19" s="34" t="s">
        <v>77</v>
      </c>
      <c r="E19" s="34" t="s">
        <v>78</v>
      </c>
      <c r="F19" s="34">
        <v>2013.0</v>
      </c>
      <c r="G19" s="34" t="s">
        <v>79</v>
      </c>
      <c r="H19" s="34" t="s">
        <v>80</v>
      </c>
      <c r="I19" s="34" t="s">
        <v>81</v>
      </c>
      <c r="J19" s="35"/>
      <c r="K19" s="36">
        <v>-5.2</v>
      </c>
      <c r="L19" s="36"/>
      <c r="M19" s="36"/>
      <c r="N19" s="36"/>
      <c r="O19" s="36"/>
      <c r="P19" s="37">
        <v>12.0</v>
      </c>
      <c r="Q19" s="36" t="s">
        <v>96</v>
      </c>
      <c r="R19" s="36" t="s">
        <v>96</v>
      </c>
      <c r="S19" s="36">
        <v>30.0</v>
      </c>
      <c r="T19" s="36" t="s">
        <v>156</v>
      </c>
      <c r="U19" s="36" t="s">
        <v>157</v>
      </c>
      <c r="V19" s="36"/>
      <c r="W19" s="36" t="s">
        <v>88</v>
      </c>
      <c r="X19" s="38">
        <v>1.0</v>
      </c>
      <c r="Y19" s="38" t="s">
        <v>134</v>
      </c>
      <c r="Z19" s="38" t="s">
        <v>134</v>
      </c>
      <c r="AA19" s="38" t="s">
        <v>86</v>
      </c>
      <c r="AB19" s="38" t="s">
        <v>135</v>
      </c>
      <c r="AC19" s="38" t="s">
        <v>136</v>
      </c>
      <c r="AD19" s="39" t="s">
        <v>87</v>
      </c>
      <c r="AE19" s="38"/>
      <c r="AF19" s="38" t="s">
        <v>115</v>
      </c>
      <c r="AG19" s="38"/>
      <c r="AH19" s="38" t="s">
        <v>116</v>
      </c>
      <c r="AI19" s="50">
        <v>41.93781824</v>
      </c>
      <c r="AJ19" s="50">
        <v>-93.6631318</v>
      </c>
      <c r="AK19" s="41" t="s">
        <v>86</v>
      </c>
      <c r="AL19" s="40" t="s">
        <v>86</v>
      </c>
      <c r="AM19" s="49">
        <v>320.0</v>
      </c>
      <c r="AN19" s="51">
        <v>320.0</v>
      </c>
      <c r="AO19" s="42" t="s">
        <v>107</v>
      </c>
      <c r="AP19" s="43" t="s">
        <v>108</v>
      </c>
      <c r="AQ19" s="44" t="str">
        <f t="shared" si="1"/>
        <v>CRO</v>
      </c>
      <c r="AR19" s="44">
        <f t="shared" si="3"/>
        <v>320</v>
      </c>
      <c r="AS19" s="44" t="str">
        <f t="shared" si="5"/>
        <v>D</v>
      </c>
      <c r="AT19" s="44" t="str">
        <f t="shared" si="4"/>
        <v>Df</v>
      </c>
      <c r="AU19" s="44" t="str">
        <f t="shared" si="2"/>
        <v>Dfa</v>
      </c>
      <c r="AV19" s="38">
        <v>3.0</v>
      </c>
      <c r="AW19" s="38"/>
      <c r="AX19" s="38">
        <v>100.0</v>
      </c>
      <c r="AY19" s="38"/>
      <c r="AZ19" s="29">
        <v>30.0</v>
      </c>
      <c r="BA19" s="29"/>
      <c r="BB19" s="29">
        <v>1.0</v>
      </c>
      <c r="BC19" s="29"/>
      <c r="BD19" s="29" t="s">
        <v>88</v>
      </c>
      <c r="BE19" s="29" t="s">
        <v>89</v>
      </c>
      <c r="BF19" s="29" t="s">
        <v>90</v>
      </c>
      <c r="BG19" s="29" t="s">
        <v>91</v>
      </c>
      <c r="BH19" s="29" t="s">
        <v>92</v>
      </c>
      <c r="BI19" s="29" t="s">
        <v>68</v>
      </c>
      <c r="BJ19" s="29"/>
      <c r="BK19" s="29" t="s">
        <v>148</v>
      </c>
      <c r="BL19" s="29" t="s">
        <v>148</v>
      </c>
      <c r="BM19" s="45">
        <v>1.0</v>
      </c>
      <c r="BN19" s="45">
        <v>1.0</v>
      </c>
      <c r="BO19" s="46"/>
      <c r="BP19" s="2"/>
      <c r="BQ19" s="3"/>
    </row>
    <row r="20">
      <c r="A20" s="34">
        <v>17.0</v>
      </c>
      <c r="B20" s="34">
        <v>101662.0</v>
      </c>
      <c r="C20" s="34" t="s">
        <v>76</v>
      </c>
      <c r="D20" s="34" t="s">
        <v>77</v>
      </c>
      <c r="E20" s="34" t="s">
        <v>78</v>
      </c>
      <c r="F20" s="34">
        <v>2013.0</v>
      </c>
      <c r="G20" s="34" t="s">
        <v>79</v>
      </c>
      <c r="H20" s="34" t="s">
        <v>80</v>
      </c>
      <c r="I20" s="34" t="s">
        <v>81</v>
      </c>
      <c r="J20" s="35"/>
      <c r="K20" s="36">
        <v>5.9</v>
      </c>
      <c r="L20" s="36"/>
      <c r="M20" s="36"/>
      <c r="N20" s="36"/>
      <c r="O20" s="36"/>
      <c r="P20" s="37">
        <v>9.7</v>
      </c>
      <c r="Q20" s="36" t="s">
        <v>96</v>
      </c>
      <c r="R20" s="36" t="s">
        <v>96</v>
      </c>
      <c r="S20" s="36">
        <v>30.0</v>
      </c>
      <c r="T20" s="36" t="s">
        <v>158</v>
      </c>
      <c r="U20" s="36" t="s">
        <v>159</v>
      </c>
      <c r="V20" s="36"/>
      <c r="W20" s="36" t="s">
        <v>88</v>
      </c>
      <c r="X20" s="38">
        <v>1.0</v>
      </c>
      <c r="Y20" s="38" t="s">
        <v>139</v>
      </c>
      <c r="Z20" s="38" t="s">
        <v>139</v>
      </c>
      <c r="AA20" s="38" t="s">
        <v>86</v>
      </c>
      <c r="AB20" s="38" t="s">
        <v>140</v>
      </c>
      <c r="AC20" s="38" t="s">
        <v>141</v>
      </c>
      <c r="AD20" s="39" t="s">
        <v>87</v>
      </c>
      <c r="AE20" s="38"/>
      <c r="AF20" s="38" t="s">
        <v>106</v>
      </c>
      <c r="AG20" s="38"/>
      <c r="AH20" s="38">
        <v>2.0</v>
      </c>
      <c r="AI20" s="50">
        <v>41.93414103</v>
      </c>
      <c r="AJ20" s="50">
        <v>-93.66270304</v>
      </c>
      <c r="AK20" s="41" t="s">
        <v>86</v>
      </c>
      <c r="AL20" s="40" t="s">
        <v>86</v>
      </c>
      <c r="AM20" s="49">
        <v>316.0</v>
      </c>
      <c r="AN20" s="51">
        <v>316.0</v>
      </c>
      <c r="AO20" s="42" t="s">
        <v>107</v>
      </c>
      <c r="AP20" s="43" t="s">
        <v>108</v>
      </c>
      <c r="AQ20" s="44" t="str">
        <f t="shared" si="1"/>
        <v>CRO</v>
      </c>
      <c r="AR20" s="44">
        <f t="shared" si="3"/>
        <v>316</v>
      </c>
      <c r="AS20" s="44" t="str">
        <f t="shared" si="5"/>
        <v>D</v>
      </c>
      <c r="AT20" s="44" t="str">
        <f t="shared" si="4"/>
        <v>Df</v>
      </c>
      <c r="AU20" s="44" t="str">
        <f t="shared" si="2"/>
        <v>Dfa</v>
      </c>
      <c r="AV20" s="38">
        <v>3.0</v>
      </c>
      <c r="AW20" s="38"/>
      <c r="AX20" s="38">
        <v>100.0</v>
      </c>
      <c r="AY20" s="38"/>
      <c r="AZ20" s="29">
        <v>30.0</v>
      </c>
      <c r="BA20" s="29"/>
      <c r="BB20" s="29">
        <v>1.0</v>
      </c>
      <c r="BC20" s="29"/>
      <c r="BD20" s="29" t="s">
        <v>88</v>
      </c>
      <c r="BE20" s="29" t="s">
        <v>89</v>
      </c>
      <c r="BF20" s="29" t="s">
        <v>90</v>
      </c>
      <c r="BG20" s="29" t="s">
        <v>91</v>
      </c>
      <c r="BH20" s="29" t="s">
        <v>92</v>
      </c>
      <c r="BI20" s="29" t="s">
        <v>68</v>
      </c>
      <c r="BJ20" s="29"/>
      <c r="BK20" s="29" t="s">
        <v>148</v>
      </c>
      <c r="BL20" s="29" t="s">
        <v>148</v>
      </c>
      <c r="BM20" s="45">
        <v>1.0</v>
      </c>
      <c r="BN20" s="45">
        <v>1.0</v>
      </c>
      <c r="BO20" s="46"/>
      <c r="BP20" s="2"/>
      <c r="BQ20" s="3"/>
    </row>
    <row r="21">
      <c r="A21" s="34">
        <v>18.0</v>
      </c>
      <c r="B21" s="34">
        <v>101662.0</v>
      </c>
      <c r="C21" s="34" t="s">
        <v>76</v>
      </c>
      <c r="D21" s="34" t="s">
        <v>77</v>
      </c>
      <c r="E21" s="34" t="s">
        <v>78</v>
      </c>
      <c r="F21" s="34">
        <v>2013.0</v>
      </c>
      <c r="G21" s="34" t="s">
        <v>79</v>
      </c>
      <c r="H21" s="34" t="s">
        <v>80</v>
      </c>
      <c r="I21" s="34" t="s">
        <v>81</v>
      </c>
      <c r="J21" s="35"/>
      <c r="K21" s="36">
        <v>-4.3</v>
      </c>
      <c r="L21" s="36"/>
      <c r="M21" s="36"/>
      <c r="N21" s="36"/>
      <c r="O21" s="36"/>
      <c r="P21" s="37">
        <v>10.1</v>
      </c>
      <c r="Q21" s="36" t="s">
        <v>96</v>
      </c>
      <c r="R21" s="36" t="s">
        <v>96</v>
      </c>
      <c r="S21" s="36">
        <v>30.0</v>
      </c>
      <c r="T21" s="36" t="s">
        <v>160</v>
      </c>
      <c r="U21" s="36" t="s">
        <v>161</v>
      </c>
      <c r="V21" s="36"/>
      <c r="W21" s="36" t="s">
        <v>88</v>
      </c>
      <c r="X21" s="38">
        <v>1.0</v>
      </c>
      <c r="Y21" s="38" t="s">
        <v>144</v>
      </c>
      <c r="Z21" s="38" t="s">
        <v>144</v>
      </c>
      <c r="AA21" s="38" t="s">
        <v>86</v>
      </c>
      <c r="AB21" s="38" t="s">
        <v>145</v>
      </c>
      <c r="AC21" s="38" t="s">
        <v>146</v>
      </c>
      <c r="AD21" s="39" t="s">
        <v>87</v>
      </c>
      <c r="AE21" s="38"/>
      <c r="AF21" s="38" t="s">
        <v>106</v>
      </c>
      <c r="AG21" s="38"/>
      <c r="AH21" s="38">
        <v>2.0</v>
      </c>
      <c r="AI21" s="50">
        <v>41.93548368</v>
      </c>
      <c r="AJ21" s="50">
        <v>-93.66405839</v>
      </c>
      <c r="AK21" s="41" t="s">
        <v>86</v>
      </c>
      <c r="AL21" s="40" t="s">
        <v>86</v>
      </c>
      <c r="AM21" s="49">
        <v>318.0</v>
      </c>
      <c r="AN21" s="51">
        <v>318.0</v>
      </c>
      <c r="AO21" s="42" t="s">
        <v>107</v>
      </c>
      <c r="AP21" s="43" t="s">
        <v>108</v>
      </c>
      <c r="AQ21" s="44" t="str">
        <f t="shared" si="1"/>
        <v>CRO</v>
      </c>
      <c r="AR21" s="44">
        <f t="shared" si="3"/>
        <v>318</v>
      </c>
      <c r="AS21" s="44" t="str">
        <f t="shared" si="5"/>
        <v>D</v>
      </c>
      <c r="AT21" s="44" t="str">
        <f t="shared" si="4"/>
        <v>Df</v>
      </c>
      <c r="AU21" s="44" t="str">
        <f t="shared" si="2"/>
        <v>Dfa</v>
      </c>
      <c r="AV21" s="38">
        <v>3.0</v>
      </c>
      <c r="AW21" s="38"/>
      <c r="AX21" s="38">
        <v>100.0</v>
      </c>
      <c r="AY21" s="38"/>
      <c r="AZ21" s="29">
        <v>30.0</v>
      </c>
      <c r="BA21" s="29"/>
      <c r="BB21" s="29">
        <v>1.0</v>
      </c>
      <c r="BC21" s="29"/>
      <c r="BD21" s="29" t="s">
        <v>88</v>
      </c>
      <c r="BE21" s="29" t="s">
        <v>89</v>
      </c>
      <c r="BF21" s="29" t="s">
        <v>90</v>
      </c>
      <c r="BG21" s="29" t="s">
        <v>91</v>
      </c>
      <c r="BH21" s="29" t="s">
        <v>92</v>
      </c>
      <c r="BI21" s="29" t="s">
        <v>68</v>
      </c>
      <c r="BJ21" s="29"/>
      <c r="BK21" s="29" t="s">
        <v>148</v>
      </c>
      <c r="BL21" s="29" t="s">
        <v>148</v>
      </c>
      <c r="BM21" s="45">
        <v>1.0</v>
      </c>
      <c r="BN21" s="45">
        <v>1.0</v>
      </c>
      <c r="BO21" s="46"/>
      <c r="BP21" s="2"/>
      <c r="BQ21" s="3"/>
    </row>
    <row r="22">
      <c r="A22" s="34">
        <v>19.0</v>
      </c>
      <c r="B22" s="34">
        <v>102849.0</v>
      </c>
      <c r="C22" s="34" t="s">
        <v>76</v>
      </c>
      <c r="D22" s="34" t="s">
        <v>162</v>
      </c>
      <c r="E22" s="34" t="s">
        <v>163</v>
      </c>
      <c r="F22" s="34">
        <v>2019.0</v>
      </c>
      <c r="G22" s="34" t="s">
        <v>164</v>
      </c>
      <c r="H22" s="34" t="s">
        <v>165</v>
      </c>
      <c r="I22" s="34" t="s">
        <v>166</v>
      </c>
      <c r="J22" s="35"/>
      <c r="K22" s="36"/>
      <c r="L22" s="36"/>
      <c r="M22" s="36">
        <v>1.58</v>
      </c>
      <c r="N22" s="48">
        <f t="shared" ref="N22:N23" si="6">M22*11.57407407</f>
        <v>18.28703703</v>
      </c>
      <c r="O22" s="47">
        <f>7.74*11.57407407</f>
        <v>89.5833333</v>
      </c>
      <c r="P22" s="52">
        <f t="shared" ref="P22:P23" si="7">N22/O22*100</f>
        <v>20.41343669</v>
      </c>
      <c r="Q22" s="36" t="s">
        <v>96</v>
      </c>
      <c r="R22" s="36" t="s">
        <v>82</v>
      </c>
      <c r="S22" s="36">
        <v>30.0</v>
      </c>
      <c r="T22" s="36" t="s">
        <v>167</v>
      </c>
      <c r="U22" s="36" t="s">
        <v>168</v>
      </c>
      <c r="V22" s="36"/>
      <c r="W22" s="36" t="s">
        <v>169</v>
      </c>
      <c r="X22" s="38">
        <v>1.0</v>
      </c>
      <c r="Y22" s="38" t="s">
        <v>170</v>
      </c>
      <c r="Z22" s="38" t="s">
        <v>171</v>
      </c>
      <c r="AA22" s="38" t="s">
        <v>86</v>
      </c>
      <c r="AB22" s="38" t="s">
        <v>172</v>
      </c>
      <c r="AC22" s="38" t="s">
        <v>173</v>
      </c>
      <c r="AD22" s="39" t="s">
        <v>87</v>
      </c>
      <c r="AE22" s="53"/>
      <c r="AF22" s="38" t="s">
        <v>174</v>
      </c>
      <c r="AG22" s="38"/>
      <c r="AH22" s="38">
        <v>5.0</v>
      </c>
      <c r="AI22" s="50">
        <v>38.29</v>
      </c>
      <c r="AJ22" s="50">
        <v>-121.12</v>
      </c>
      <c r="AK22" s="41" t="s">
        <v>86</v>
      </c>
      <c r="AL22" s="40" t="s">
        <v>86</v>
      </c>
      <c r="AM22" s="49">
        <v>40.0</v>
      </c>
      <c r="AN22" s="51">
        <v>40.0</v>
      </c>
      <c r="AO22" s="42" t="s">
        <v>175</v>
      </c>
      <c r="AP22" s="43" t="s">
        <v>175</v>
      </c>
      <c r="AQ22" s="44" t="str">
        <f t="shared" si="1"/>
        <v>CRO</v>
      </c>
      <c r="AR22" s="44">
        <f t="shared" si="3"/>
        <v>40</v>
      </c>
      <c r="AS22" s="44" t="str">
        <f t="shared" si="5"/>
        <v>C</v>
      </c>
      <c r="AT22" s="44" t="str">
        <f t="shared" si="4"/>
        <v>Cs</v>
      </c>
      <c r="AU22" s="44" t="str">
        <f t="shared" si="2"/>
        <v>Csa</v>
      </c>
      <c r="AV22" s="38">
        <v>1.0</v>
      </c>
      <c r="AW22" s="38">
        <v>1.0</v>
      </c>
      <c r="AX22" s="38"/>
      <c r="AY22" s="38"/>
      <c r="AZ22" s="29">
        <v>30.0</v>
      </c>
      <c r="BA22" s="29"/>
      <c r="BB22" s="29">
        <v>1.0</v>
      </c>
      <c r="BC22" s="29"/>
      <c r="BD22" s="29" t="s">
        <v>88</v>
      </c>
      <c r="BE22" s="29" t="s">
        <v>89</v>
      </c>
      <c r="BF22" s="29" t="s">
        <v>176</v>
      </c>
      <c r="BG22" s="29" t="s">
        <v>91</v>
      </c>
      <c r="BH22" s="29" t="s">
        <v>92</v>
      </c>
      <c r="BI22" s="29" t="s">
        <v>177</v>
      </c>
      <c r="BJ22" s="29" t="s">
        <v>178</v>
      </c>
      <c r="BK22" s="29" t="s">
        <v>148</v>
      </c>
      <c r="BL22" s="29" t="s">
        <v>179</v>
      </c>
      <c r="BM22" s="45">
        <v>1.0</v>
      </c>
      <c r="BN22" s="45">
        <v>1.0</v>
      </c>
      <c r="BO22" s="46" t="s">
        <v>176</v>
      </c>
      <c r="BP22" s="2"/>
      <c r="BQ22" s="3"/>
    </row>
    <row r="23">
      <c r="A23" s="34">
        <v>20.0</v>
      </c>
      <c r="B23" s="34">
        <v>102849.0</v>
      </c>
      <c r="C23" s="34" t="s">
        <v>76</v>
      </c>
      <c r="D23" s="34" t="s">
        <v>162</v>
      </c>
      <c r="E23" s="34" t="s">
        <v>163</v>
      </c>
      <c r="F23" s="34">
        <v>2019.0</v>
      </c>
      <c r="G23" s="34" t="s">
        <v>164</v>
      </c>
      <c r="H23" s="34" t="s">
        <v>165</v>
      </c>
      <c r="I23" s="34" t="s">
        <v>166</v>
      </c>
      <c r="J23" s="35"/>
      <c r="K23" s="36"/>
      <c r="L23" s="36"/>
      <c r="M23" s="36">
        <v>-0.46</v>
      </c>
      <c r="N23" s="48">
        <f t="shared" si="6"/>
        <v>-5.324074072</v>
      </c>
      <c r="O23" s="47">
        <f>9.96*11.57407407</f>
        <v>115.2777777</v>
      </c>
      <c r="P23" s="52">
        <f t="shared" si="7"/>
        <v>-4.618473896</v>
      </c>
      <c r="Q23" s="36" t="s">
        <v>96</v>
      </c>
      <c r="R23" s="36" t="s">
        <v>82</v>
      </c>
      <c r="S23" s="36">
        <v>30.0</v>
      </c>
      <c r="T23" s="36" t="s">
        <v>167</v>
      </c>
      <c r="U23" s="36" t="s">
        <v>168</v>
      </c>
      <c r="V23" s="36"/>
      <c r="W23" s="36" t="s">
        <v>169</v>
      </c>
      <c r="X23" s="38">
        <v>1.0</v>
      </c>
      <c r="Y23" s="38" t="s">
        <v>170</v>
      </c>
      <c r="Z23" s="38" t="s">
        <v>171</v>
      </c>
      <c r="AA23" s="38" t="s">
        <v>86</v>
      </c>
      <c r="AB23" s="38" t="s">
        <v>172</v>
      </c>
      <c r="AC23" s="38" t="s">
        <v>173</v>
      </c>
      <c r="AD23" s="39" t="s">
        <v>87</v>
      </c>
      <c r="AE23" s="53"/>
      <c r="AF23" s="38" t="s">
        <v>174</v>
      </c>
      <c r="AG23" s="38"/>
      <c r="AH23" s="38">
        <v>5.0</v>
      </c>
      <c r="AI23" s="50">
        <v>38.29</v>
      </c>
      <c r="AJ23" s="50">
        <v>-121.12</v>
      </c>
      <c r="AK23" s="41" t="s">
        <v>86</v>
      </c>
      <c r="AL23" s="40" t="s">
        <v>86</v>
      </c>
      <c r="AM23" s="49">
        <v>40.0</v>
      </c>
      <c r="AN23" s="51">
        <v>40.0</v>
      </c>
      <c r="AO23" s="42" t="s">
        <v>175</v>
      </c>
      <c r="AP23" s="43" t="s">
        <v>175</v>
      </c>
      <c r="AQ23" s="44" t="str">
        <f t="shared" si="1"/>
        <v>CRO</v>
      </c>
      <c r="AR23" s="44">
        <f t="shared" si="3"/>
        <v>40</v>
      </c>
      <c r="AS23" s="44" t="str">
        <f t="shared" si="5"/>
        <v>C</v>
      </c>
      <c r="AT23" s="44" t="str">
        <f t="shared" si="4"/>
        <v>Cs</v>
      </c>
      <c r="AU23" s="44" t="str">
        <f t="shared" si="2"/>
        <v>Csa</v>
      </c>
      <c r="AV23" s="38">
        <v>2.0</v>
      </c>
      <c r="AW23" s="38">
        <v>1.0</v>
      </c>
      <c r="AX23" s="38"/>
      <c r="AY23" s="38"/>
      <c r="AZ23" s="29">
        <v>30.0</v>
      </c>
      <c r="BA23" s="29"/>
      <c r="BB23" s="29">
        <v>1.0</v>
      </c>
      <c r="BC23" s="29"/>
      <c r="BD23" s="29" t="s">
        <v>88</v>
      </c>
      <c r="BE23" s="29" t="s">
        <v>89</v>
      </c>
      <c r="BF23" s="29" t="s">
        <v>176</v>
      </c>
      <c r="BG23" s="29" t="s">
        <v>91</v>
      </c>
      <c r="BH23" s="29" t="s">
        <v>92</v>
      </c>
      <c r="BI23" s="29" t="s">
        <v>177</v>
      </c>
      <c r="BJ23" s="29" t="s">
        <v>178</v>
      </c>
      <c r="BK23" s="29" t="s">
        <v>148</v>
      </c>
      <c r="BL23" s="29" t="s">
        <v>179</v>
      </c>
      <c r="BM23" s="45">
        <v>1.0</v>
      </c>
      <c r="BN23" s="45">
        <v>1.0</v>
      </c>
      <c r="BO23" s="46" t="s">
        <v>176</v>
      </c>
      <c r="BP23" s="2"/>
      <c r="BQ23" s="3"/>
    </row>
    <row r="24">
      <c r="A24" s="34">
        <v>21.0</v>
      </c>
      <c r="B24" s="34">
        <v>102849.0</v>
      </c>
      <c r="C24" s="34" t="s">
        <v>76</v>
      </c>
      <c r="D24" s="34" t="s">
        <v>162</v>
      </c>
      <c r="E24" s="34" t="s">
        <v>163</v>
      </c>
      <c r="F24" s="34">
        <v>2019.0</v>
      </c>
      <c r="G24" s="34" t="s">
        <v>164</v>
      </c>
      <c r="H24" s="34" t="s">
        <v>165</v>
      </c>
      <c r="I24" s="34" t="s">
        <v>166</v>
      </c>
      <c r="J24" s="35"/>
      <c r="K24" s="36">
        <v>-0.12</v>
      </c>
      <c r="L24" s="36">
        <v>4.16</v>
      </c>
      <c r="M24" s="54"/>
      <c r="N24" s="48"/>
      <c r="O24" s="47"/>
      <c r="P24" s="52">
        <f t="shared" ref="P24:P26" si="8">K24*100/L24</f>
        <v>-2.884615385</v>
      </c>
      <c r="Q24" s="36" t="s">
        <v>96</v>
      </c>
      <c r="R24" s="36" t="s">
        <v>96</v>
      </c>
      <c r="S24" s="36">
        <v>30.0</v>
      </c>
      <c r="T24" s="36" t="s">
        <v>167</v>
      </c>
      <c r="U24" s="36" t="s">
        <v>168</v>
      </c>
      <c r="V24" s="36"/>
      <c r="W24" s="36" t="s">
        <v>169</v>
      </c>
      <c r="X24" s="38">
        <v>1.0</v>
      </c>
      <c r="Y24" s="38" t="s">
        <v>170</v>
      </c>
      <c r="Z24" s="38" t="s">
        <v>171</v>
      </c>
      <c r="AA24" s="38" t="s">
        <v>86</v>
      </c>
      <c r="AB24" s="38" t="s">
        <v>172</v>
      </c>
      <c r="AC24" s="38" t="s">
        <v>173</v>
      </c>
      <c r="AD24" s="39" t="s">
        <v>87</v>
      </c>
      <c r="AE24" s="53"/>
      <c r="AF24" s="38" t="s">
        <v>174</v>
      </c>
      <c r="AG24" s="38"/>
      <c r="AH24" s="38">
        <v>5.0</v>
      </c>
      <c r="AI24" s="50">
        <v>38.29</v>
      </c>
      <c r="AJ24" s="50">
        <v>-121.12</v>
      </c>
      <c r="AK24" s="41" t="s">
        <v>86</v>
      </c>
      <c r="AL24" s="40" t="s">
        <v>86</v>
      </c>
      <c r="AM24" s="49">
        <v>40.0</v>
      </c>
      <c r="AN24" s="51">
        <v>40.0</v>
      </c>
      <c r="AO24" s="42" t="s">
        <v>175</v>
      </c>
      <c r="AP24" s="43" t="s">
        <v>175</v>
      </c>
      <c r="AQ24" s="44" t="str">
        <f t="shared" si="1"/>
        <v>CRO</v>
      </c>
      <c r="AR24" s="44">
        <f t="shared" si="3"/>
        <v>40</v>
      </c>
      <c r="AS24" s="44" t="str">
        <f t="shared" si="5"/>
        <v>C</v>
      </c>
      <c r="AT24" s="44" t="str">
        <f t="shared" si="4"/>
        <v>Cs</v>
      </c>
      <c r="AU24" s="44" t="str">
        <f t="shared" si="2"/>
        <v>Csa</v>
      </c>
      <c r="AV24" s="38"/>
      <c r="AW24" s="38"/>
      <c r="AX24" s="38"/>
      <c r="AY24" s="38"/>
      <c r="AZ24" s="29">
        <v>30.0</v>
      </c>
      <c r="BA24" s="29"/>
      <c r="BB24" s="29">
        <v>1.0</v>
      </c>
      <c r="BC24" s="29"/>
      <c r="BD24" s="29" t="s">
        <v>88</v>
      </c>
      <c r="BE24" s="29" t="s">
        <v>89</v>
      </c>
      <c r="BF24" s="29" t="s">
        <v>176</v>
      </c>
      <c r="BG24" s="29" t="s">
        <v>91</v>
      </c>
      <c r="BH24" s="29" t="s">
        <v>92</v>
      </c>
      <c r="BI24" s="29" t="s">
        <v>177</v>
      </c>
      <c r="BJ24" s="29" t="s">
        <v>178</v>
      </c>
      <c r="BK24" s="29" t="s">
        <v>148</v>
      </c>
      <c r="BL24" s="29" t="s">
        <v>180</v>
      </c>
      <c r="BM24" s="45">
        <v>1.0</v>
      </c>
      <c r="BN24" s="45">
        <v>1.0</v>
      </c>
      <c r="BO24" s="46" t="s">
        <v>176</v>
      </c>
      <c r="BP24" s="2"/>
      <c r="BQ24" s="3"/>
    </row>
    <row r="25">
      <c r="A25" s="34">
        <v>22.0</v>
      </c>
      <c r="B25" s="34">
        <v>102849.0</v>
      </c>
      <c r="C25" s="34" t="s">
        <v>76</v>
      </c>
      <c r="D25" s="34" t="s">
        <v>162</v>
      </c>
      <c r="E25" s="34" t="s">
        <v>163</v>
      </c>
      <c r="F25" s="34">
        <v>2019.0</v>
      </c>
      <c r="G25" s="34" t="s">
        <v>164</v>
      </c>
      <c r="H25" s="34" t="s">
        <v>165</v>
      </c>
      <c r="I25" s="34" t="s">
        <v>166</v>
      </c>
      <c r="J25" s="35"/>
      <c r="K25" s="36">
        <v>-0.02</v>
      </c>
      <c r="L25" s="36">
        <v>3.55</v>
      </c>
      <c r="M25" s="54"/>
      <c r="N25" s="48"/>
      <c r="O25" s="47"/>
      <c r="P25" s="52">
        <f t="shared" si="8"/>
        <v>-0.5633802817</v>
      </c>
      <c r="Q25" s="36" t="s">
        <v>96</v>
      </c>
      <c r="R25" s="36" t="s">
        <v>96</v>
      </c>
      <c r="S25" s="36">
        <v>30.0</v>
      </c>
      <c r="T25" s="36" t="s">
        <v>167</v>
      </c>
      <c r="U25" s="36" t="s">
        <v>168</v>
      </c>
      <c r="V25" s="36"/>
      <c r="W25" s="36" t="s">
        <v>169</v>
      </c>
      <c r="X25" s="38">
        <v>1.0</v>
      </c>
      <c r="Y25" s="38" t="s">
        <v>170</v>
      </c>
      <c r="Z25" s="38" t="s">
        <v>171</v>
      </c>
      <c r="AA25" s="38" t="s">
        <v>86</v>
      </c>
      <c r="AB25" s="38" t="s">
        <v>172</v>
      </c>
      <c r="AC25" s="38" t="s">
        <v>173</v>
      </c>
      <c r="AD25" s="39" t="s">
        <v>87</v>
      </c>
      <c r="AE25" s="53"/>
      <c r="AF25" s="38" t="s">
        <v>174</v>
      </c>
      <c r="AG25" s="38"/>
      <c r="AH25" s="38">
        <v>5.0</v>
      </c>
      <c r="AI25" s="50">
        <v>38.29</v>
      </c>
      <c r="AJ25" s="50">
        <v>-121.12</v>
      </c>
      <c r="AK25" s="41" t="s">
        <v>86</v>
      </c>
      <c r="AL25" s="40" t="s">
        <v>86</v>
      </c>
      <c r="AM25" s="49">
        <v>40.0</v>
      </c>
      <c r="AN25" s="51">
        <v>40.0</v>
      </c>
      <c r="AO25" s="42" t="s">
        <v>175</v>
      </c>
      <c r="AP25" s="43" t="s">
        <v>175</v>
      </c>
      <c r="AQ25" s="44" t="str">
        <f t="shared" si="1"/>
        <v>CRO</v>
      </c>
      <c r="AR25" s="44">
        <f t="shared" si="3"/>
        <v>40</v>
      </c>
      <c r="AS25" s="44" t="str">
        <f t="shared" si="5"/>
        <v>C</v>
      </c>
      <c r="AT25" s="44" t="str">
        <f t="shared" si="4"/>
        <v>Cs</v>
      </c>
      <c r="AU25" s="44" t="str">
        <f t="shared" si="2"/>
        <v>Csa</v>
      </c>
      <c r="AV25" s="38"/>
      <c r="AW25" s="38"/>
      <c r="AX25" s="38"/>
      <c r="AY25" s="38"/>
      <c r="AZ25" s="29">
        <v>30.0</v>
      </c>
      <c r="BA25" s="29"/>
      <c r="BB25" s="29">
        <v>1.0</v>
      </c>
      <c r="BC25" s="29"/>
      <c r="BD25" s="29" t="s">
        <v>88</v>
      </c>
      <c r="BE25" s="29" t="s">
        <v>89</v>
      </c>
      <c r="BF25" s="29" t="s">
        <v>176</v>
      </c>
      <c r="BG25" s="29" t="s">
        <v>91</v>
      </c>
      <c r="BH25" s="29" t="s">
        <v>92</v>
      </c>
      <c r="BI25" s="29" t="s">
        <v>177</v>
      </c>
      <c r="BJ25" s="29" t="s">
        <v>178</v>
      </c>
      <c r="BK25" s="29" t="s">
        <v>148</v>
      </c>
      <c r="BL25" s="29" t="s">
        <v>181</v>
      </c>
      <c r="BM25" s="45">
        <v>1.0</v>
      </c>
      <c r="BN25" s="45">
        <v>1.0</v>
      </c>
      <c r="BO25" s="46" t="s">
        <v>176</v>
      </c>
      <c r="BP25" s="2"/>
      <c r="BQ25" s="3"/>
    </row>
    <row r="26">
      <c r="A26" s="34">
        <v>23.0</v>
      </c>
      <c r="B26" s="34">
        <v>102849.0</v>
      </c>
      <c r="C26" s="34" t="s">
        <v>76</v>
      </c>
      <c r="D26" s="34" t="s">
        <v>162</v>
      </c>
      <c r="E26" s="34" t="s">
        <v>163</v>
      </c>
      <c r="F26" s="34">
        <v>2019.0</v>
      </c>
      <c r="G26" s="34" t="s">
        <v>164</v>
      </c>
      <c r="H26" s="34" t="s">
        <v>165</v>
      </c>
      <c r="I26" s="34" t="s">
        <v>166</v>
      </c>
      <c r="J26" s="35"/>
      <c r="K26" s="36">
        <v>-0.59</v>
      </c>
      <c r="L26" s="36">
        <v>26.74</v>
      </c>
      <c r="M26" s="54"/>
      <c r="N26" s="48"/>
      <c r="O26" s="47"/>
      <c r="P26" s="52">
        <f t="shared" si="8"/>
        <v>-2.206432311</v>
      </c>
      <c r="Q26" s="36" t="s">
        <v>182</v>
      </c>
      <c r="R26" s="36" t="s">
        <v>182</v>
      </c>
      <c r="S26" s="36">
        <v>30.0</v>
      </c>
      <c r="T26" s="36" t="s">
        <v>167</v>
      </c>
      <c r="U26" s="36" t="s">
        <v>168</v>
      </c>
      <c r="V26" s="36"/>
      <c r="W26" s="36" t="s">
        <v>169</v>
      </c>
      <c r="X26" s="38">
        <v>1.0</v>
      </c>
      <c r="Y26" s="38" t="s">
        <v>170</v>
      </c>
      <c r="Z26" s="38" t="s">
        <v>171</v>
      </c>
      <c r="AA26" s="38" t="s">
        <v>86</v>
      </c>
      <c r="AB26" s="38" t="s">
        <v>172</v>
      </c>
      <c r="AC26" s="38" t="s">
        <v>173</v>
      </c>
      <c r="AD26" s="39" t="s">
        <v>87</v>
      </c>
      <c r="AE26" s="53"/>
      <c r="AF26" s="38" t="s">
        <v>174</v>
      </c>
      <c r="AG26" s="38"/>
      <c r="AH26" s="38">
        <v>5.0</v>
      </c>
      <c r="AI26" s="50">
        <v>38.29</v>
      </c>
      <c r="AJ26" s="50">
        <v>-121.12</v>
      </c>
      <c r="AK26" s="41" t="s">
        <v>86</v>
      </c>
      <c r="AL26" s="40" t="s">
        <v>86</v>
      </c>
      <c r="AM26" s="49">
        <v>40.0</v>
      </c>
      <c r="AN26" s="51">
        <v>40.0</v>
      </c>
      <c r="AO26" s="42" t="s">
        <v>175</v>
      </c>
      <c r="AP26" s="43" t="s">
        <v>175</v>
      </c>
      <c r="AQ26" s="44" t="str">
        <f t="shared" si="1"/>
        <v>CRO</v>
      </c>
      <c r="AR26" s="44">
        <f t="shared" si="3"/>
        <v>40</v>
      </c>
      <c r="AS26" s="44" t="str">
        <f t="shared" si="5"/>
        <v>C</v>
      </c>
      <c r="AT26" s="44" t="str">
        <f t="shared" si="4"/>
        <v>Cs</v>
      </c>
      <c r="AU26" s="44" t="str">
        <f t="shared" si="2"/>
        <v>Csa</v>
      </c>
      <c r="AV26" s="38"/>
      <c r="AW26" s="38"/>
      <c r="AX26" s="38"/>
      <c r="AY26" s="38"/>
      <c r="AZ26" s="29">
        <v>30.0</v>
      </c>
      <c r="BA26" s="29"/>
      <c r="BB26" s="29">
        <v>1.0</v>
      </c>
      <c r="BC26" s="29"/>
      <c r="BD26" s="29" t="s">
        <v>88</v>
      </c>
      <c r="BE26" s="29" t="s">
        <v>89</v>
      </c>
      <c r="BF26" s="29" t="s">
        <v>176</v>
      </c>
      <c r="BG26" s="29" t="s">
        <v>91</v>
      </c>
      <c r="BH26" s="29" t="s">
        <v>92</v>
      </c>
      <c r="BI26" s="29" t="s">
        <v>177</v>
      </c>
      <c r="BJ26" s="29" t="s">
        <v>178</v>
      </c>
      <c r="BK26" s="29" t="s">
        <v>148</v>
      </c>
      <c r="BL26" s="29" t="s">
        <v>181</v>
      </c>
      <c r="BM26" s="45">
        <v>1.0</v>
      </c>
      <c r="BN26" s="45">
        <v>1.0</v>
      </c>
      <c r="BO26" s="46" t="s">
        <v>176</v>
      </c>
      <c r="BP26" s="2"/>
      <c r="BQ26" s="3"/>
    </row>
    <row r="27">
      <c r="A27" s="34">
        <v>24.0</v>
      </c>
      <c r="B27" s="34">
        <v>102849.0</v>
      </c>
      <c r="C27" s="34" t="s">
        <v>76</v>
      </c>
      <c r="D27" s="34" t="s">
        <v>162</v>
      </c>
      <c r="E27" s="34" t="s">
        <v>163</v>
      </c>
      <c r="F27" s="34">
        <v>2019.0</v>
      </c>
      <c r="G27" s="34" t="s">
        <v>164</v>
      </c>
      <c r="H27" s="34" t="s">
        <v>165</v>
      </c>
      <c r="I27" s="34" t="s">
        <v>166</v>
      </c>
      <c r="J27" s="35"/>
      <c r="K27" s="36"/>
      <c r="L27" s="36"/>
      <c r="M27" s="36">
        <v>2.38</v>
      </c>
      <c r="N27" s="48">
        <f t="shared" ref="N27:N28" si="9">M27*11.57407407</f>
        <v>27.54629629</v>
      </c>
      <c r="O27" s="47">
        <f>7.16*11.57407407</f>
        <v>82.87037034</v>
      </c>
      <c r="P27" s="52">
        <f t="shared" ref="P27:P28" si="10">N27/O27*100</f>
        <v>33.24022346</v>
      </c>
      <c r="Q27" s="36" t="s">
        <v>96</v>
      </c>
      <c r="R27" s="36" t="s">
        <v>82</v>
      </c>
      <c r="S27" s="36">
        <v>30.0</v>
      </c>
      <c r="T27" s="36" t="s">
        <v>167</v>
      </c>
      <c r="U27" s="36" t="s">
        <v>168</v>
      </c>
      <c r="V27" s="36"/>
      <c r="W27" s="36" t="s">
        <v>169</v>
      </c>
      <c r="X27" s="38">
        <v>1.0</v>
      </c>
      <c r="Y27" s="38" t="s">
        <v>183</v>
      </c>
      <c r="Z27" s="38" t="s">
        <v>184</v>
      </c>
      <c r="AA27" s="38" t="s">
        <v>86</v>
      </c>
      <c r="AB27" s="38" t="s">
        <v>172</v>
      </c>
      <c r="AC27" s="38" t="s">
        <v>173</v>
      </c>
      <c r="AD27" s="39" t="s">
        <v>87</v>
      </c>
      <c r="AE27" s="53"/>
      <c r="AF27" s="38" t="s">
        <v>174</v>
      </c>
      <c r="AG27" s="38"/>
      <c r="AH27" s="38">
        <v>5.0</v>
      </c>
      <c r="AI27" s="50">
        <v>38.29</v>
      </c>
      <c r="AJ27" s="50">
        <v>-121.12</v>
      </c>
      <c r="AK27" s="41" t="s">
        <v>86</v>
      </c>
      <c r="AL27" s="40" t="s">
        <v>86</v>
      </c>
      <c r="AM27" s="49">
        <v>40.0</v>
      </c>
      <c r="AN27" s="51">
        <v>40.0</v>
      </c>
      <c r="AO27" s="42" t="s">
        <v>175</v>
      </c>
      <c r="AP27" s="43" t="s">
        <v>175</v>
      </c>
      <c r="AQ27" s="44" t="str">
        <f t="shared" si="1"/>
        <v>CRO</v>
      </c>
      <c r="AR27" s="44">
        <f t="shared" si="3"/>
        <v>40</v>
      </c>
      <c r="AS27" s="44" t="str">
        <f t="shared" si="5"/>
        <v>C</v>
      </c>
      <c r="AT27" s="44" t="str">
        <f t="shared" si="4"/>
        <v>Cs</v>
      </c>
      <c r="AU27" s="44" t="str">
        <f t="shared" si="2"/>
        <v>Csa</v>
      </c>
      <c r="AV27" s="38">
        <v>1.0</v>
      </c>
      <c r="AW27" s="38">
        <v>1.0</v>
      </c>
      <c r="AX27" s="38"/>
      <c r="AY27" s="38"/>
      <c r="AZ27" s="29">
        <v>30.0</v>
      </c>
      <c r="BA27" s="29"/>
      <c r="BB27" s="29">
        <v>1.0</v>
      </c>
      <c r="BC27" s="29"/>
      <c r="BD27" s="29" t="s">
        <v>88</v>
      </c>
      <c r="BE27" s="29" t="s">
        <v>89</v>
      </c>
      <c r="BF27" s="29" t="s">
        <v>176</v>
      </c>
      <c r="BG27" s="29" t="s">
        <v>91</v>
      </c>
      <c r="BH27" s="29" t="s">
        <v>92</v>
      </c>
      <c r="BI27" s="29" t="s">
        <v>177</v>
      </c>
      <c r="BJ27" s="29" t="s">
        <v>178</v>
      </c>
      <c r="BK27" s="29" t="s">
        <v>148</v>
      </c>
      <c r="BL27" s="29" t="s">
        <v>179</v>
      </c>
      <c r="BM27" s="45">
        <v>1.0</v>
      </c>
      <c r="BN27" s="45">
        <v>1.0</v>
      </c>
      <c r="BO27" s="46" t="s">
        <v>176</v>
      </c>
      <c r="BP27" s="2"/>
      <c r="BQ27" s="3"/>
    </row>
    <row r="28">
      <c r="A28" s="34">
        <v>25.0</v>
      </c>
      <c r="B28" s="34">
        <v>102849.0</v>
      </c>
      <c r="C28" s="34" t="s">
        <v>76</v>
      </c>
      <c r="D28" s="34" t="s">
        <v>162</v>
      </c>
      <c r="E28" s="34" t="s">
        <v>163</v>
      </c>
      <c r="F28" s="34">
        <v>2019.0</v>
      </c>
      <c r="G28" s="34" t="s">
        <v>164</v>
      </c>
      <c r="H28" s="34" t="s">
        <v>165</v>
      </c>
      <c r="I28" s="34" t="s">
        <v>166</v>
      </c>
      <c r="J28" s="35"/>
      <c r="K28" s="36"/>
      <c r="L28" s="36"/>
      <c r="M28" s="36">
        <v>0.17</v>
      </c>
      <c r="N28" s="48">
        <f t="shared" si="9"/>
        <v>1.967592592</v>
      </c>
      <c r="O28" s="47">
        <f>9.38*11.57407407</f>
        <v>108.5648148</v>
      </c>
      <c r="P28" s="52">
        <f t="shared" si="10"/>
        <v>1.812366738</v>
      </c>
      <c r="Q28" s="36" t="s">
        <v>96</v>
      </c>
      <c r="R28" s="36" t="s">
        <v>82</v>
      </c>
      <c r="S28" s="36">
        <v>30.0</v>
      </c>
      <c r="T28" s="36" t="s">
        <v>167</v>
      </c>
      <c r="U28" s="36" t="s">
        <v>168</v>
      </c>
      <c r="V28" s="36"/>
      <c r="W28" s="36" t="s">
        <v>169</v>
      </c>
      <c r="X28" s="38">
        <v>1.0</v>
      </c>
      <c r="Y28" s="38" t="s">
        <v>183</v>
      </c>
      <c r="Z28" s="38" t="s">
        <v>184</v>
      </c>
      <c r="AA28" s="38" t="s">
        <v>86</v>
      </c>
      <c r="AB28" s="38" t="s">
        <v>172</v>
      </c>
      <c r="AC28" s="38" t="s">
        <v>173</v>
      </c>
      <c r="AD28" s="39" t="s">
        <v>87</v>
      </c>
      <c r="AE28" s="53"/>
      <c r="AF28" s="38" t="s">
        <v>174</v>
      </c>
      <c r="AG28" s="38"/>
      <c r="AH28" s="38">
        <v>5.0</v>
      </c>
      <c r="AI28" s="50">
        <v>38.29</v>
      </c>
      <c r="AJ28" s="50">
        <v>-121.12</v>
      </c>
      <c r="AK28" s="41" t="s">
        <v>86</v>
      </c>
      <c r="AL28" s="40" t="s">
        <v>86</v>
      </c>
      <c r="AM28" s="49">
        <v>40.0</v>
      </c>
      <c r="AN28" s="51">
        <v>40.0</v>
      </c>
      <c r="AO28" s="42" t="s">
        <v>175</v>
      </c>
      <c r="AP28" s="43" t="s">
        <v>175</v>
      </c>
      <c r="AQ28" s="44" t="str">
        <f t="shared" si="1"/>
        <v>CRO</v>
      </c>
      <c r="AR28" s="44">
        <f t="shared" si="3"/>
        <v>40</v>
      </c>
      <c r="AS28" s="44" t="str">
        <f t="shared" si="5"/>
        <v>C</v>
      </c>
      <c r="AT28" s="44" t="str">
        <f t="shared" si="4"/>
        <v>Cs</v>
      </c>
      <c r="AU28" s="44" t="str">
        <f t="shared" si="2"/>
        <v>Csa</v>
      </c>
      <c r="AV28" s="38">
        <v>2.0</v>
      </c>
      <c r="AW28" s="38">
        <v>1.0</v>
      </c>
      <c r="AX28" s="38"/>
      <c r="AY28" s="38"/>
      <c r="AZ28" s="29">
        <v>30.0</v>
      </c>
      <c r="BA28" s="29"/>
      <c r="BB28" s="29">
        <v>1.0</v>
      </c>
      <c r="BC28" s="29"/>
      <c r="BD28" s="29" t="s">
        <v>88</v>
      </c>
      <c r="BE28" s="29" t="s">
        <v>89</v>
      </c>
      <c r="BF28" s="29" t="s">
        <v>176</v>
      </c>
      <c r="BG28" s="29" t="s">
        <v>91</v>
      </c>
      <c r="BH28" s="29" t="s">
        <v>92</v>
      </c>
      <c r="BI28" s="29" t="s">
        <v>177</v>
      </c>
      <c r="BJ28" s="29" t="s">
        <v>178</v>
      </c>
      <c r="BK28" s="29" t="s">
        <v>148</v>
      </c>
      <c r="BL28" s="29" t="s">
        <v>179</v>
      </c>
      <c r="BM28" s="45">
        <v>1.0</v>
      </c>
      <c r="BN28" s="45">
        <v>1.0</v>
      </c>
      <c r="BO28" s="46" t="s">
        <v>176</v>
      </c>
      <c r="BP28" s="2"/>
      <c r="BQ28" s="3"/>
    </row>
    <row r="29">
      <c r="A29" s="34">
        <v>26.0</v>
      </c>
      <c r="B29" s="34">
        <v>102849.0</v>
      </c>
      <c r="C29" s="34" t="s">
        <v>76</v>
      </c>
      <c r="D29" s="34" t="s">
        <v>162</v>
      </c>
      <c r="E29" s="34" t="s">
        <v>163</v>
      </c>
      <c r="F29" s="34">
        <v>2019.0</v>
      </c>
      <c r="G29" s="34" t="s">
        <v>164</v>
      </c>
      <c r="H29" s="34" t="s">
        <v>165</v>
      </c>
      <c r="I29" s="34" t="s">
        <v>166</v>
      </c>
      <c r="J29" s="35"/>
      <c r="K29" s="36">
        <v>0.23</v>
      </c>
      <c r="L29" s="36">
        <v>3.71</v>
      </c>
      <c r="M29" s="54"/>
      <c r="N29" s="48">
        <f t="shared" ref="N29:N31" si="11">K29*11.57407407</f>
        <v>2.662037036</v>
      </c>
      <c r="O29" s="47">
        <f>3.71*11.57407407</f>
        <v>42.9398148</v>
      </c>
      <c r="P29" s="52">
        <f t="shared" ref="P29:P31" si="12">K29*100/L29</f>
        <v>6.199460916</v>
      </c>
      <c r="Q29" s="36" t="s">
        <v>96</v>
      </c>
      <c r="R29" s="36" t="s">
        <v>96</v>
      </c>
      <c r="S29" s="36">
        <v>30.0</v>
      </c>
      <c r="T29" s="36" t="s">
        <v>167</v>
      </c>
      <c r="U29" s="36" t="s">
        <v>168</v>
      </c>
      <c r="V29" s="36"/>
      <c r="W29" s="36" t="s">
        <v>169</v>
      </c>
      <c r="X29" s="38">
        <v>1.0</v>
      </c>
      <c r="Y29" s="38" t="s">
        <v>183</v>
      </c>
      <c r="Z29" s="38" t="s">
        <v>184</v>
      </c>
      <c r="AA29" s="38" t="s">
        <v>86</v>
      </c>
      <c r="AB29" s="38" t="s">
        <v>172</v>
      </c>
      <c r="AC29" s="38" t="s">
        <v>173</v>
      </c>
      <c r="AD29" s="39" t="s">
        <v>87</v>
      </c>
      <c r="AE29" s="53"/>
      <c r="AF29" s="38" t="s">
        <v>174</v>
      </c>
      <c r="AG29" s="38"/>
      <c r="AH29" s="38">
        <v>5.0</v>
      </c>
      <c r="AI29" s="50">
        <v>38.29</v>
      </c>
      <c r="AJ29" s="50">
        <v>-121.12</v>
      </c>
      <c r="AK29" s="41" t="s">
        <v>86</v>
      </c>
      <c r="AL29" s="40" t="s">
        <v>86</v>
      </c>
      <c r="AM29" s="49">
        <v>40.0</v>
      </c>
      <c r="AN29" s="51">
        <v>40.0</v>
      </c>
      <c r="AO29" s="42" t="s">
        <v>175</v>
      </c>
      <c r="AP29" s="43" t="s">
        <v>175</v>
      </c>
      <c r="AQ29" s="44" t="str">
        <f t="shared" si="1"/>
        <v>CRO</v>
      </c>
      <c r="AR29" s="44">
        <f t="shared" si="3"/>
        <v>40</v>
      </c>
      <c r="AS29" s="44" t="str">
        <f t="shared" si="5"/>
        <v>C</v>
      </c>
      <c r="AT29" s="44" t="str">
        <f t="shared" si="4"/>
        <v>Cs</v>
      </c>
      <c r="AU29" s="44" t="str">
        <f t="shared" si="2"/>
        <v>Csa</v>
      </c>
      <c r="AV29" s="38"/>
      <c r="AW29" s="38"/>
      <c r="AX29" s="38"/>
      <c r="AY29" s="38"/>
      <c r="AZ29" s="29">
        <v>30.0</v>
      </c>
      <c r="BA29" s="29"/>
      <c r="BB29" s="29">
        <v>1.0</v>
      </c>
      <c r="BC29" s="29"/>
      <c r="BD29" s="29" t="s">
        <v>88</v>
      </c>
      <c r="BE29" s="29" t="s">
        <v>89</v>
      </c>
      <c r="BF29" s="29" t="s">
        <v>176</v>
      </c>
      <c r="BG29" s="29" t="s">
        <v>91</v>
      </c>
      <c r="BH29" s="29" t="s">
        <v>92</v>
      </c>
      <c r="BI29" s="29" t="s">
        <v>177</v>
      </c>
      <c r="BJ29" s="29" t="s">
        <v>178</v>
      </c>
      <c r="BK29" s="29" t="s">
        <v>148</v>
      </c>
      <c r="BL29" s="29" t="s">
        <v>180</v>
      </c>
      <c r="BM29" s="45">
        <v>1.0</v>
      </c>
      <c r="BN29" s="45">
        <v>1.0</v>
      </c>
      <c r="BO29" s="46" t="s">
        <v>176</v>
      </c>
      <c r="BP29" s="2"/>
      <c r="BQ29" s="3"/>
    </row>
    <row r="30">
      <c r="A30" s="34">
        <v>27.0</v>
      </c>
      <c r="B30" s="34">
        <v>102849.0</v>
      </c>
      <c r="C30" s="34" t="s">
        <v>76</v>
      </c>
      <c r="D30" s="34" t="s">
        <v>162</v>
      </c>
      <c r="E30" s="34" t="s">
        <v>163</v>
      </c>
      <c r="F30" s="34">
        <v>2019.0</v>
      </c>
      <c r="G30" s="34" t="s">
        <v>164</v>
      </c>
      <c r="H30" s="34" t="s">
        <v>165</v>
      </c>
      <c r="I30" s="34" t="s">
        <v>166</v>
      </c>
      <c r="J30" s="35"/>
      <c r="K30" s="36">
        <v>0.14</v>
      </c>
      <c r="L30" s="36">
        <v>3.35</v>
      </c>
      <c r="M30" s="54"/>
      <c r="N30" s="48">
        <f t="shared" si="11"/>
        <v>1.62037037</v>
      </c>
      <c r="O30" s="47">
        <f>3.35*11.57407407</f>
        <v>38.77314813</v>
      </c>
      <c r="P30" s="52">
        <f t="shared" si="12"/>
        <v>4.179104478</v>
      </c>
      <c r="Q30" s="36" t="s">
        <v>96</v>
      </c>
      <c r="R30" s="36" t="s">
        <v>96</v>
      </c>
      <c r="S30" s="36">
        <v>30.0</v>
      </c>
      <c r="T30" s="36" t="s">
        <v>167</v>
      </c>
      <c r="U30" s="36" t="s">
        <v>168</v>
      </c>
      <c r="V30" s="36"/>
      <c r="W30" s="36" t="s">
        <v>169</v>
      </c>
      <c r="X30" s="38">
        <v>1.0</v>
      </c>
      <c r="Y30" s="38" t="s">
        <v>183</v>
      </c>
      <c r="Z30" s="38" t="s">
        <v>184</v>
      </c>
      <c r="AA30" s="38" t="s">
        <v>86</v>
      </c>
      <c r="AB30" s="38" t="s">
        <v>172</v>
      </c>
      <c r="AC30" s="38" t="s">
        <v>173</v>
      </c>
      <c r="AD30" s="39" t="s">
        <v>87</v>
      </c>
      <c r="AE30" s="53"/>
      <c r="AF30" s="38" t="s">
        <v>174</v>
      </c>
      <c r="AG30" s="38"/>
      <c r="AH30" s="38">
        <v>5.0</v>
      </c>
      <c r="AI30" s="50">
        <v>38.29</v>
      </c>
      <c r="AJ30" s="50">
        <v>-121.12</v>
      </c>
      <c r="AK30" s="41" t="s">
        <v>86</v>
      </c>
      <c r="AL30" s="40" t="s">
        <v>86</v>
      </c>
      <c r="AM30" s="49">
        <v>40.0</v>
      </c>
      <c r="AN30" s="51">
        <v>40.0</v>
      </c>
      <c r="AO30" s="42" t="s">
        <v>175</v>
      </c>
      <c r="AP30" s="43" t="s">
        <v>175</v>
      </c>
      <c r="AQ30" s="44" t="str">
        <f t="shared" si="1"/>
        <v>CRO</v>
      </c>
      <c r="AR30" s="44">
        <f t="shared" si="3"/>
        <v>40</v>
      </c>
      <c r="AS30" s="44" t="str">
        <f t="shared" si="5"/>
        <v>C</v>
      </c>
      <c r="AT30" s="44" t="str">
        <f t="shared" si="4"/>
        <v>Cs</v>
      </c>
      <c r="AU30" s="44" t="str">
        <f t="shared" si="2"/>
        <v>Csa</v>
      </c>
      <c r="AV30" s="38"/>
      <c r="AW30" s="38"/>
      <c r="AX30" s="38"/>
      <c r="AY30" s="38"/>
      <c r="AZ30" s="29">
        <v>30.0</v>
      </c>
      <c r="BA30" s="29"/>
      <c r="BB30" s="29">
        <v>1.0</v>
      </c>
      <c r="BC30" s="29"/>
      <c r="BD30" s="29" t="s">
        <v>88</v>
      </c>
      <c r="BE30" s="29" t="s">
        <v>89</v>
      </c>
      <c r="BF30" s="29" t="s">
        <v>176</v>
      </c>
      <c r="BG30" s="29" t="s">
        <v>91</v>
      </c>
      <c r="BH30" s="29" t="s">
        <v>92</v>
      </c>
      <c r="BI30" s="29" t="s">
        <v>177</v>
      </c>
      <c r="BJ30" s="29" t="s">
        <v>178</v>
      </c>
      <c r="BK30" s="29" t="s">
        <v>148</v>
      </c>
      <c r="BL30" s="29" t="s">
        <v>181</v>
      </c>
      <c r="BM30" s="45">
        <v>1.0</v>
      </c>
      <c r="BN30" s="45">
        <v>1.0</v>
      </c>
      <c r="BO30" s="46" t="s">
        <v>176</v>
      </c>
      <c r="BP30" s="2"/>
      <c r="BQ30" s="3"/>
    </row>
    <row r="31">
      <c r="A31" s="34">
        <v>28.0</v>
      </c>
      <c r="B31" s="34">
        <v>102849.0</v>
      </c>
      <c r="C31" s="34" t="s">
        <v>76</v>
      </c>
      <c r="D31" s="34" t="s">
        <v>162</v>
      </c>
      <c r="E31" s="34" t="s">
        <v>163</v>
      </c>
      <c r="F31" s="34">
        <v>2019.0</v>
      </c>
      <c r="G31" s="34" t="s">
        <v>164</v>
      </c>
      <c r="H31" s="34" t="s">
        <v>165</v>
      </c>
      <c r="I31" s="34" t="s">
        <v>166</v>
      </c>
      <c r="J31" s="35"/>
      <c r="K31" s="36">
        <v>0.81</v>
      </c>
      <c r="L31" s="36">
        <v>26.74</v>
      </c>
      <c r="M31" s="54"/>
      <c r="N31" s="48">
        <f t="shared" si="11"/>
        <v>9.374999997</v>
      </c>
      <c r="O31" s="47">
        <f>26.74*11.57407407</f>
        <v>309.4907406</v>
      </c>
      <c r="P31" s="52">
        <f t="shared" si="12"/>
        <v>3.029169783</v>
      </c>
      <c r="Q31" s="36" t="s">
        <v>182</v>
      </c>
      <c r="R31" s="36" t="s">
        <v>182</v>
      </c>
      <c r="S31" s="36">
        <v>30.0</v>
      </c>
      <c r="T31" s="36" t="s">
        <v>167</v>
      </c>
      <c r="U31" s="36" t="s">
        <v>168</v>
      </c>
      <c r="V31" s="36"/>
      <c r="W31" s="36" t="s">
        <v>169</v>
      </c>
      <c r="X31" s="38">
        <v>1.0</v>
      </c>
      <c r="Y31" s="38" t="s">
        <v>183</v>
      </c>
      <c r="Z31" s="38" t="s">
        <v>184</v>
      </c>
      <c r="AA31" s="38" t="s">
        <v>86</v>
      </c>
      <c r="AB31" s="38" t="s">
        <v>172</v>
      </c>
      <c r="AC31" s="38" t="s">
        <v>173</v>
      </c>
      <c r="AD31" s="39" t="s">
        <v>87</v>
      </c>
      <c r="AE31" s="53"/>
      <c r="AF31" s="38" t="s">
        <v>174</v>
      </c>
      <c r="AG31" s="38"/>
      <c r="AH31" s="38">
        <v>5.0</v>
      </c>
      <c r="AI31" s="50">
        <v>38.29</v>
      </c>
      <c r="AJ31" s="50">
        <v>-121.12</v>
      </c>
      <c r="AK31" s="41" t="s">
        <v>86</v>
      </c>
      <c r="AL31" s="40" t="s">
        <v>86</v>
      </c>
      <c r="AM31" s="49">
        <v>40.0</v>
      </c>
      <c r="AN31" s="51">
        <v>40.0</v>
      </c>
      <c r="AO31" s="42" t="s">
        <v>175</v>
      </c>
      <c r="AP31" s="43" t="s">
        <v>175</v>
      </c>
      <c r="AQ31" s="44" t="str">
        <f t="shared" si="1"/>
        <v>CRO</v>
      </c>
      <c r="AR31" s="44">
        <f t="shared" si="3"/>
        <v>40</v>
      </c>
      <c r="AS31" s="44" t="str">
        <f t="shared" si="5"/>
        <v>C</v>
      </c>
      <c r="AT31" s="44" t="str">
        <f t="shared" si="4"/>
        <v>Cs</v>
      </c>
      <c r="AU31" s="44" t="str">
        <f t="shared" si="2"/>
        <v>Csa</v>
      </c>
      <c r="AV31" s="38"/>
      <c r="AW31" s="38"/>
      <c r="AX31" s="38"/>
      <c r="AY31" s="38"/>
      <c r="AZ31" s="29">
        <v>30.0</v>
      </c>
      <c r="BA31" s="29"/>
      <c r="BB31" s="29">
        <v>1.0</v>
      </c>
      <c r="BC31" s="29"/>
      <c r="BD31" s="29" t="s">
        <v>88</v>
      </c>
      <c r="BE31" s="29" t="s">
        <v>89</v>
      </c>
      <c r="BF31" s="29" t="s">
        <v>176</v>
      </c>
      <c r="BG31" s="29" t="s">
        <v>91</v>
      </c>
      <c r="BH31" s="29" t="s">
        <v>92</v>
      </c>
      <c r="BI31" s="29" t="s">
        <v>177</v>
      </c>
      <c r="BJ31" s="29" t="s">
        <v>178</v>
      </c>
      <c r="BK31" s="29" t="s">
        <v>148</v>
      </c>
      <c r="BL31" s="29" t="s">
        <v>181</v>
      </c>
      <c r="BM31" s="45">
        <v>1.0</v>
      </c>
      <c r="BN31" s="45">
        <v>1.0</v>
      </c>
      <c r="BO31" s="46" t="s">
        <v>176</v>
      </c>
      <c r="BP31" s="2"/>
      <c r="BQ31" s="3"/>
    </row>
    <row r="32">
      <c r="A32" s="34">
        <v>29.0</v>
      </c>
      <c r="B32" s="34">
        <v>102849.0</v>
      </c>
      <c r="C32" s="34" t="s">
        <v>76</v>
      </c>
      <c r="D32" s="34" t="s">
        <v>162</v>
      </c>
      <c r="E32" s="34" t="s">
        <v>163</v>
      </c>
      <c r="F32" s="34">
        <v>2019.0</v>
      </c>
      <c r="G32" s="34" t="s">
        <v>164</v>
      </c>
      <c r="H32" s="34" t="s">
        <v>165</v>
      </c>
      <c r="I32" s="34" t="s">
        <v>166</v>
      </c>
      <c r="J32" s="35"/>
      <c r="K32" s="36"/>
      <c r="L32" s="36"/>
      <c r="M32" s="36">
        <v>1.98</v>
      </c>
      <c r="N32" s="48">
        <f t="shared" ref="N32:N33" si="13">M32*11.57407407</f>
        <v>22.91666666</v>
      </c>
      <c r="O32" s="47">
        <f>7.45*11.57407407</f>
        <v>86.22685182</v>
      </c>
      <c r="P32" s="52">
        <f t="shared" ref="P32:P33" si="14">N32/O32*100</f>
        <v>26.57718121</v>
      </c>
      <c r="Q32" s="36" t="s">
        <v>96</v>
      </c>
      <c r="R32" s="36" t="s">
        <v>82</v>
      </c>
      <c r="S32" s="36">
        <v>30.0</v>
      </c>
      <c r="T32" s="36" t="s">
        <v>167</v>
      </c>
      <c r="U32" s="36" t="s">
        <v>168</v>
      </c>
      <c r="V32" s="36"/>
      <c r="W32" s="36" t="s">
        <v>169</v>
      </c>
      <c r="X32" s="38">
        <v>2.0</v>
      </c>
      <c r="Y32" s="38" t="s">
        <v>185</v>
      </c>
      <c r="Z32" s="38"/>
      <c r="AA32" s="38" t="s">
        <v>86</v>
      </c>
      <c r="AB32" s="38" t="s">
        <v>172</v>
      </c>
      <c r="AC32" s="38" t="s">
        <v>173</v>
      </c>
      <c r="AD32" s="39" t="s">
        <v>87</v>
      </c>
      <c r="AE32" s="53"/>
      <c r="AF32" s="38" t="s">
        <v>174</v>
      </c>
      <c r="AG32" s="38"/>
      <c r="AH32" s="38">
        <v>5.0</v>
      </c>
      <c r="AI32" s="50"/>
      <c r="AJ32" s="50"/>
      <c r="AK32" s="41"/>
      <c r="AL32" s="40"/>
      <c r="AM32" s="49"/>
      <c r="AN32" s="51"/>
      <c r="AO32" s="42"/>
      <c r="AP32" s="43"/>
      <c r="AQ32" s="44" t="str">
        <f t="shared" si="1"/>
        <v>CRO</v>
      </c>
      <c r="AR32" s="44" t="str">
        <f t="shared" si="3"/>
        <v/>
      </c>
      <c r="AS32" s="44" t="str">
        <f t="shared" si="5"/>
        <v/>
      </c>
      <c r="AT32" s="44"/>
      <c r="AU32" s="44" t="str">
        <f t="shared" si="2"/>
        <v/>
      </c>
      <c r="AV32" s="38">
        <v>1.0</v>
      </c>
      <c r="AW32" s="38">
        <v>1.0</v>
      </c>
      <c r="AX32" s="38"/>
      <c r="AY32" s="38"/>
      <c r="AZ32" s="29">
        <v>30.0</v>
      </c>
      <c r="BA32" s="29"/>
      <c r="BB32" s="29">
        <v>1.0</v>
      </c>
      <c r="BC32" s="29"/>
      <c r="BD32" s="29" t="s">
        <v>88</v>
      </c>
      <c r="BE32" s="29" t="s">
        <v>89</v>
      </c>
      <c r="BF32" s="29" t="s">
        <v>176</v>
      </c>
      <c r="BG32" s="29" t="s">
        <v>91</v>
      </c>
      <c r="BH32" s="29" t="s">
        <v>92</v>
      </c>
      <c r="BI32" s="29" t="s">
        <v>177</v>
      </c>
      <c r="BJ32" s="29" t="s">
        <v>178</v>
      </c>
      <c r="BK32" s="29" t="s">
        <v>148</v>
      </c>
      <c r="BL32" s="29" t="s">
        <v>179</v>
      </c>
      <c r="BM32" s="45">
        <v>1.0</v>
      </c>
      <c r="BN32" s="45">
        <v>1.0</v>
      </c>
      <c r="BO32" s="46" t="s">
        <v>176</v>
      </c>
      <c r="BP32" s="2"/>
      <c r="BQ32" s="3"/>
    </row>
    <row r="33">
      <c r="A33" s="34">
        <v>30.0</v>
      </c>
      <c r="B33" s="34">
        <v>102849.0</v>
      </c>
      <c r="C33" s="34" t="s">
        <v>76</v>
      </c>
      <c r="D33" s="34" t="s">
        <v>162</v>
      </c>
      <c r="E33" s="34" t="s">
        <v>163</v>
      </c>
      <c r="F33" s="34">
        <v>2019.0</v>
      </c>
      <c r="G33" s="34" t="s">
        <v>164</v>
      </c>
      <c r="H33" s="34" t="s">
        <v>165</v>
      </c>
      <c r="I33" s="34" t="s">
        <v>166</v>
      </c>
      <c r="J33" s="35"/>
      <c r="K33" s="36"/>
      <c r="L33" s="36"/>
      <c r="M33" s="36">
        <v>-0.15</v>
      </c>
      <c r="N33" s="48">
        <f t="shared" si="13"/>
        <v>-1.736111111</v>
      </c>
      <c r="O33" s="47">
        <f>9.67*11.57407407</f>
        <v>111.9212963</v>
      </c>
      <c r="P33" s="52">
        <f t="shared" si="14"/>
        <v>-1.551189245</v>
      </c>
      <c r="Q33" s="36" t="s">
        <v>96</v>
      </c>
      <c r="R33" s="36" t="s">
        <v>82</v>
      </c>
      <c r="S33" s="36">
        <v>30.0</v>
      </c>
      <c r="T33" s="36" t="s">
        <v>167</v>
      </c>
      <c r="U33" s="36" t="s">
        <v>168</v>
      </c>
      <c r="V33" s="36"/>
      <c r="W33" s="36" t="s">
        <v>169</v>
      </c>
      <c r="X33" s="38">
        <v>2.0</v>
      </c>
      <c r="Y33" s="38" t="s">
        <v>185</v>
      </c>
      <c r="Z33" s="38"/>
      <c r="AA33" s="38" t="s">
        <v>86</v>
      </c>
      <c r="AB33" s="38" t="s">
        <v>172</v>
      </c>
      <c r="AC33" s="38" t="s">
        <v>173</v>
      </c>
      <c r="AD33" s="39" t="s">
        <v>87</v>
      </c>
      <c r="AE33" s="53"/>
      <c r="AF33" s="38" t="s">
        <v>174</v>
      </c>
      <c r="AG33" s="38"/>
      <c r="AH33" s="38">
        <v>5.0</v>
      </c>
      <c r="AI33" s="50"/>
      <c r="AJ33" s="50"/>
      <c r="AK33" s="41"/>
      <c r="AL33" s="40"/>
      <c r="AM33" s="49"/>
      <c r="AN33" s="51"/>
      <c r="AO33" s="42"/>
      <c r="AP33" s="43"/>
      <c r="AQ33" s="44" t="str">
        <f t="shared" si="1"/>
        <v>CRO</v>
      </c>
      <c r="AR33" s="44" t="str">
        <f t="shared" si="3"/>
        <v/>
      </c>
      <c r="AS33" s="44" t="str">
        <f t="shared" si="5"/>
        <v/>
      </c>
      <c r="AT33" s="44"/>
      <c r="AU33" s="44" t="str">
        <f t="shared" si="2"/>
        <v/>
      </c>
      <c r="AV33" s="38">
        <v>2.0</v>
      </c>
      <c r="AW33" s="38">
        <v>1.0</v>
      </c>
      <c r="AX33" s="38"/>
      <c r="AY33" s="38"/>
      <c r="AZ33" s="29">
        <v>30.0</v>
      </c>
      <c r="BA33" s="29"/>
      <c r="BB33" s="29">
        <v>1.0</v>
      </c>
      <c r="BC33" s="29"/>
      <c r="BD33" s="29" t="s">
        <v>88</v>
      </c>
      <c r="BE33" s="29" t="s">
        <v>89</v>
      </c>
      <c r="BF33" s="29" t="s">
        <v>176</v>
      </c>
      <c r="BG33" s="29" t="s">
        <v>91</v>
      </c>
      <c r="BH33" s="29" t="s">
        <v>92</v>
      </c>
      <c r="BI33" s="29" t="s">
        <v>177</v>
      </c>
      <c r="BJ33" s="29" t="s">
        <v>178</v>
      </c>
      <c r="BK33" s="29" t="s">
        <v>148</v>
      </c>
      <c r="BL33" s="29" t="s">
        <v>179</v>
      </c>
      <c r="BM33" s="45">
        <v>1.0</v>
      </c>
      <c r="BN33" s="45">
        <v>1.0</v>
      </c>
      <c r="BO33" s="46" t="s">
        <v>176</v>
      </c>
      <c r="BP33" s="2"/>
      <c r="BQ33" s="3"/>
    </row>
    <row r="34">
      <c r="A34" s="34">
        <v>31.0</v>
      </c>
      <c r="B34" s="34">
        <v>102849.0</v>
      </c>
      <c r="C34" s="34" t="s">
        <v>76</v>
      </c>
      <c r="D34" s="34" t="s">
        <v>162</v>
      </c>
      <c r="E34" s="34" t="s">
        <v>163</v>
      </c>
      <c r="F34" s="34">
        <v>2019.0</v>
      </c>
      <c r="G34" s="34" t="s">
        <v>164</v>
      </c>
      <c r="H34" s="34" t="s">
        <v>165</v>
      </c>
      <c r="I34" s="34" t="s">
        <v>166</v>
      </c>
      <c r="J34" s="35"/>
      <c r="K34" s="36">
        <v>0.05</v>
      </c>
      <c r="L34" s="36">
        <v>3.94</v>
      </c>
      <c r="M34" s="54"/>
      <c r="N34" s="48">
        <f t="shared" ref="N34:N36" si="15">K34*11.57407407</f>
        <v>0.5787037035</v>
      </c>
      <c r="O34" s="47">
        <f>3.94*11.57407407</f>
        <v>45.60185184</v>
      </c>
      <c r="P34" s="52">
        <f t="shared" ref="P34:P36" si="16">K34*100/L34</f>
        <v>1.269035533</v>
      </c>
      <c r="Q34" s="36" t="s">
        <v>96</v>
      </c>
      <c r="R34" s="36" t="s">
        <v>96</v>
      </c>
      <c r="S34" s="36">
        <v>30.0</v>
      </c>
      <c r="T34" s="36" t="s">
        <v>167</v>
      </c>
      <c r="U34" s="36" t="s">
        <v>168</v>
      </c>
      <c r="V34" s="36"/>
      <c r="W34" s="36" t="s">
        <v>169</v>
      </c>
      <c r="X34" s="38">
        <v>2.0</v>
      </c>
      <c r="Y34" s="38" t="s">
        <v>185</v>
      </c>
      <c r="Z34" s="38"/>
      <c r="AA34" s="38" t="s">
        <v>86</v>
      </c>
      <c r="AB34" s="38" t="s">
        <v>172</v>
      </c>
      <c r="AC34" s="38" t="s">
        <v>173</v>
      </c>
      <c r="AD34" s="39" t="s">
        <v>87</v>
      </c>
      <c r="AE34" s="53"/>
      <c r="AF34" s="38" t="s">
        <v>174</v>
      </c>
      <c r="AG34" s="38"/>
      <c r="AH34" s="38">
        <v>5.0</v>
      </c>
      <c r="AI34" s="50"/>
      <c r="AJ34" s="50"/>
      <c r="AK34" s="41"/>
      <c r="AL34" s="40"/>
      <c r="AM34" s="49"/>
      <c r="AN34" s="51"/>
      <c r="AO34" s="42"/>
      <c r="AP34" s="43"/>
      <c r="AQ34" s="44" t="str">
        <f t="shared" si="1"/>
        <v>CRO</v>
      </c>
      <c r="AR34" s="44" t="str">
        <f t="shared" si="3"/>
        <v/>
      </c>
      <c r="AS34" s="44" t="str">
        <f t="shared" si="5"/>
        <v/>
      </c>
      <c r="AT34" s="44"/>
      <c r="AU34" s="44" t="str">
        <f t="shared" si="2"/>
        <v/>
      </c>
      <c r="AV34" s="38"/>
      <c r="AW34" s="38"/>
      <c r="AX34" s="38"/>
      <c r="AY34" s="38"/>
      <c r="AZ34" s="29">
        <v>30.0</v>
      </c>
      <c r="BA34" s="29"/>
      <c r="BB34" s="29">
        <v>1.0</v>
      </c>
      <c r="BC34" s="29"/>
      <c r="BD34" s="29" t="s">
        <v>88</v>
      </c>
      <c r="BE34" s="29" t="s">
        <v>89</v>
      </c>
      <c r="BF34" s="29" t="s">
        <v>176</v>
      </c>
      <c r="BG34" s="29" t="s">
        <v>91</v>
      </c>
      <c r="BH34" s="29" t="s">
        <v>92</v>
      </c>
      <c r="BI34" s="29" t="s">
        <v>177</v>
      </c>
      <c r="BJ34" s="29" t="s">
        <v>178</v>
      </c>
      <c r="BK34" s="29" t="s">
        <v>148</v>
      </c>
      <c r="BL34" s="29" t="s">
        <v>180</v>
      </c>
      <c r="BM34" s="45">
        <v>1.0</v>
      </c>
      <c r="BN34" s="45">
        <v>1.0</v>
      </c>
      <c r="BO34" s="46" t="s">
        <v>176</v>
      </c>
      <c r="BP34" s="2"/>
      <c r="BQ34" s="3"/>
    </row>
    <row r="35">
      <c r="A35" s="34">
        <v>32.0</v>
      </c>
      <c r="B35" s="34">
        <v>102849.0</v>
      </c>
      <c r="C35" s="34" t="s">
        <v>76</v>
      </c>
      <c r="D35" s="34" t="s">
        <v>162</v>
      </c>
      <c r="E35" s="34" t="s">
        <v>163</v>
      </c>
      <c r="F35" s="34">
        <v>2019.0</v>
      </c>
      <c r="G35" s="34" t="s">
        <v>164</v>
      </c>
      <c r="H35" s="34" t="s">
        <v>165</v>
      </c>
      <c r="I35" s="34" t="s">
        <v>166</v>
      </c>
      <c r="J35" s="35"/>
      <c r="K35" s="36">
        <v>0.06</v>
      </c>
      <c r="L35" s="36">
        <v>3.45</v>
      </c>
      <c r="M35" s="54"/>
      <c r="N35" s="48">
        <f t="shared" si="15"/>
        <v>0.6944444442</v>
      </c>
      <c r="O35" s="47">
        <f>3.45*11.57407407</f>
        <v>39.93055554</v>
      </c>
      <c r="P35" s="52">
        <f t="shared" si="16"/>
        <v>1.739130435</v>
      </c>
      <c r="Q35" s="36" t="s">
        <v>96</v>
      </c>
      <c r="R35" s="36" t="s">
        <v>96</v>
      </c>
      <c r="S35" s="36">
        <v>30.0</v>
      </c>
      <c r="T35" s="36" t="s">
        <v>167</v>
      </c>
      <c r="U35" s="36" t="s">
        <v>168</v>
      </c>
      <c r="V35" s="36"/>
      <c r="W35" s="36" t="s">
        <v>169</v>
      </c>
      <c r="X35" s="38">
        <v>2.0</v>
      </c>
      <c r="Y35" s="38" t="s">
        <v>185</v>
      </c>
      <c r="Z35" s="38"/>
      <c r="AA35" s="38" t="s">
        <v>86</v>
      </c>
      <c r="AB35" s="38" t="s">
        <v>172</v>
      </c>
      <c r="AC35" s="38" t="s">
        <v>173</v>
      </c>
      <c r="AD35" s="39" t="s">
        <v>87</v>
      </c>
      <c r="AE35" s="53"/>
      <c r="AF35" s="38" t="s">
        <v>174</v>
      </c>
      <c r="AG35" s="38"/>
      <c r="AH35" s="38">
        <v>5.0</v>
      </c>
      <c r="AI35" s="50"/>
      <c r="AJ35" s="50"/>
      <c r="AK35" s="41"/>
      <c r="AL35" s="40"/>
      <c r="AM35" s="49"/>
      <c r="AN35" s="51"/>
      <c r="AO35" s="42"/>
      <c r="AP35" s="43"/>
      <c r="AQ35" s="44" t="str">
        <f t="shared" si="1"/>
        <v>CRO</v>
      </c>
      <c r="AR35" s="44" t="str">
        <f t="shared" si="3"/>
        <v/>
      </c>
      <c r="AS35" s="44" t="str">
        <f t="shared" si="5"/>
        <v/>
      </c>
      <c r="AT35" s="44"/>
      <c r="AU35" s="44" t="str">
        <f t="shared" si="2"/>
        <v/>
      </c>
      <c r="AV35" s="38"/>
      <c r="AW35" s="38"/>
      <c r="AX35" s="38"/>
      <c r="AY35" s="38"/>
      <c r="AZ35" s="29">
        <v>30.0</v>
      </c>
      <c r="BA35" s="29"/>
      <c r="BB35" s="29">
        <v>1.0</v>
      </c>
      <c r="BC35" s="29"/>
      <c r="BD35" s="29" t="s">
        <v>88</v>
      </c>
      <c r="BE35" s="29" t="s">
        <v>89</v>
      </c>
      <c r="BF35" s="29" t="s">
        <v>176</v>
      </c>
      <c r="BG35" s="29" t="s">
        <v>91</v>
      </c>
      <c r="BH35" s="29" t="s">
        <v>92</v>
      </c>
      <c r="BI35" s="29" t="s">
        <v>177</v>
      </c>
      <c r="BJ35" s="29" t="s">
        <v>178</v>
      </c>
      <c r="BK35" s="29" t="s">
        <v>148</v>
      </c>
      <c r="BL35" s="29" t="s">
        <v>181</v>
      </c>
      <c r="BM35" s="45">
        <v>1.0</v>
      </c>
      <c r="BN35" s="45">
        <v>1.0</v>
      </c>
      <c r="BO35" s="46" t="s">
        <v>176</v>
      </c>
      <c r="BP35" s="2"/>
      <c r="BQ35" s="3"/>
    </row>
    <row r="36">
      <c r="A36" s="34">
        <v>33.0</v>
      </c>
      <c r="B36" s="34">
        <v>102849.0</v>
      </c>
      <c r="C36" s="34" t="s">
        <v>76</v>
      </c>
      <c r="D36" s="34" t="s">
        <v>162</v>
      </c>
      <c r="E36" s="34" t="s">
        <v>163</v>
      </c>
      <c r="F36" s="34">
        <v>2019.0</v>
      </c>
      <c r="G36" s="34" t="s">
        <v>164</v>
      </c>
      <c r="H36" s="34" t="s">
        <v>165</v>
      </c>
      <c r="I36" s="34" t="s">
        <v>166</v>
      </c>
      <c r="J36" s="35"/>
      <c r="K36" s="36">
        <v>0.07</v>
      </c>
      <c r="L36" s="36">
        <v>26.74</v>
      </c>
      <c r="M36" s="54"/>
      <c r="N36" s="48">
        <f t="shared" si="15"/>
        <v>0.8101851849</v>
      </c>
      <c r="O36" s="47">
        <f>26.74*11.57407407</f>
        <v>309.4907406</v>
      </c>
      <c r="P36" s="52">
        <f t="shared" si="16"/>
        <v>0.2617801047</v>
      </c>
      <c r="Q36" s="36" t="s">
        <v>182</v>
      </c>
      <c r="R36" s="36" t="s">
        <v>182</v>
      </c>
      <c r="S36" s="36">
        <v>30.0</v>
      </c>
      <c r="T36" s="36" t="s">
        <v>167</v>
      </c>
      <c r="U36" s="36" t="s">
        <v>168</v>
      </c>
      <c r="V36" s="36"/>
      <c r="W36" s="36" t="s">
        <v>169</v>
      </c>
      <c r="X36" s="38">
        <v>2.0</v>
      </c>
      <c r="Y36" s="38" t="s">
        <v>185</v>
      </c>
      <c r="Z36" s="38"/>
      <c r="AA36" s="38" t="s">
        <v>86</v>
      </c>
      <c r="AB36" s="38" t="s">
        <v>172</v>
      </c>
      <c r="AC36" s="38" t="s">
        <v>173</v>
      </c>
      <c r="AD36" s="39" t="s">
        <v>87</v>
      </c>
      <c r="AE36" s="53"/>
      <c r="AF36" s="38" t="s">
        <v>174</v>
      </c>
      <c r="AG36" s="38"/>
      <c r="AH36" s="38">
        <v>5.0</v>
      </c>
      <c r="AI36" s="50"/>
      <c r="AJ36" s="50"/>
      <c r="AK36" s="41"/>
      <c r="AL36" s="40"/>
      <c r="AM36" s="49"/>
      <c r="AN36" s="51"/>
      <c r="AO36" s="42"/>
      <c r="AP36" s="43"/>
      <c r="AQ36" s="44" t="str">
        <f t="shared" si="1"/>
        <v>CRO</v>
      </c>
      <c r="AR36" s="44" t="str">
        <f t="shared" si="3"/>
        <v/>
      </c>
      <c r="AS36" s="44" t="str">
        <f t="shared" si="5"/>
        <v/>
      </c>
      <c r="AT36" s="44"/>
      <c r="AU36" s="44" t="str">
        <f t="shared" si="2"/>
        <v/>
      </c>
      <c r="AV36" s="38"/>
      <c r="AW36" s="38"/>
      <c r="AX36" s="38"/>
      <c r="AY36" s="38"/>
      <c r="AZ36" s="29">
        <v>30.0</v>
      </c>
      <c r="BA36" s="29"/>
      <c r="BB36" s="29">
        <v>1.0</v>
      </c>
      <c r="BC36" s="29"/>
      <c r="BD36" s="29" t="s">
        <v>88</v>
      </c>
      <c r="BE36" s="29" t="s">
        <v>89</v>
      </c>
      <c r="BF36" s="29" t="s">
        <v>176</v>
      </c>
      <c r="BG36" s="29" t="s">
        <v>91</v>
      </c>
      <c r="BH36" s="29" t="s">
        <v>92</v>
      </c>
      <c r="BI36" s="29" t="s">
        <v>177</v>
      </c>
      <c r="BJ36" s="29" t="s">
        <v>178</v>
      </c>
      <c r="BK36" s="29" t="s">
        <v>148</v>
      </c>
      <c r="BL36" s="29" t="s">
        <v>181</v>
      </c>
      <c r="BM36" s="45">
        <v>1.0</v>
      </c>
      <c r="BN36" s="45">
        <v>1.0</v>
      </c>
      <c r="BO36" s="46" t="s">
        <v>176</v>
      </c>
      <c r="BP36" s="2"/>
      <c r="BQ36" s="3"/>
    </row>
    <row r="37">
      <c r="A37" s="34">
        <v>34.0</v>
      </c>
      <c r="B37" s="34">
        <v>102699.0</v>
      </c>
      <c r="C37" s="34" t="s">
        <v>76</v>
      </c>
      <c r="D37" s="34" t="s">
        <v>186</v>
      </c>
      <c r="E37" s="34" t="s">
        <v>187</v>
      </c>
      <c r="F37" s="34">
        <v>2019.0</v>
      </c>
      <c r="G37" s="34" t="s">
        <v>188</v>
      </c>
      <c r="H37" s="34" t="s">
        <v>189</v>
      </c>
      <c r="I37" s="34" t="s">
        <v>190</v>
      </c>
      <c r="J37" s="35"/>
      <c r="K37" s="36">
        <v>24.21</v>
      </c>
      <c r="L37" s="36"/>
      <c r="M37" s="36"/>
      <c r="N37" s="36"/>
      <c r="O37" s="36"/>
      <c r="P37" s="37">
        <v>49.71</v>
      </c>
      <c r="Q37" s="36" t="s">
        <v>191</v>
      </c>
      <c r="R37" s="36" t="s">
        <v>191</v>
      </c>
      <c r="S37" s="36" t="s">
        <v>192</v>
      </c>
      <c r="T37" s="36" t="s">
        <v>193</v>
      </c>
      <c r="U37" s="36" t="s">
        <v>194</v>
      </c>
      <c r="V37" s="36"/>
      <c r="W37" s="36" t="s">
        <v>169</v>
      </c>
      <c r="X37" s="38">
        <v>1.0</v>
      </c>
      <c r="Y37" s="38" t="s">
        <v>195</v>
      </c>
      <c r="Z37" s="38" t="s">
        <v>196</v>
      </c>
      <c r="AA37" s="38" t="s">
        <v>197</v>
      </c>
      <c r="AB37" s="38">
        <v>117.269</v>
      </c>
      <c r="AC37" s="38">
        <v>28.908</v>
      </c>
      <c r="AD37" s="38" t="s">
        <v>198</v>
      </c>
      <c r="AE37" s="38">
        <v>110.8</v>
      </c>
      <c r="AF37" s="38" t="s">
        <v>199</v>
      </c>
      <c r="AG37" s="38"/>
      <c r="AH37" s="38"/>
      <c r="AI37" s="50">
        <v>28.908</v>
      </c>
      <c r="AJ37" s="50">
        <v>117.269</v>
      </c>
      <c r="AK37" s="41" t="s">
        <v>200</v>
      </c>
      <c r="AL37" s="40" t="s">
        <v>200</v>
      </c>
      <c r="AM37" s="49">
        <v>23.0</v>
      </c>
      <c r="AN37" s="51">
        <v>23.0</v>
      </c>
      <c r="AO37" s="42" t="s">
        <v>201</v>
      </c>
      <c r="AP37" s="43" t="s">
        <v>201</v>
      </c>
      <c r="AQ37" s="44" t="str">
        <f t="shared" si="1"/>
        <v>ENF</v>
      </c>
      <c r="AR37" s="44">
        <f t="shared" si="3"/>
        <v>23</v>
      </c>
      <c r="AS37" s="44" t="str">
        <f t="shared" si="5"/>
        <v>C</v>
      </c>
      <c r="AT37" s="44" t="str">
        <f t="shared" ref="AT37:AT965" si="17">LEFT(AP37,2)</f>
        <v>Cf</v>
      </c>
      <c r="AU37" s="44" t="str">
        <f t="shared" si="2"/>
        <v>Cfa</v>
      </c>
      <c r="AV37" s="38">
        <v>1.0</v>
      </c>
      <c r="AW37" s="38"/>
      <c r="AX37" s="38"/>
      <c r="AY37" s="38" t="s">
        <v>92</v>
      </c>
      <c r="AZ37" s="29" t="s">
        <v>192</v>
      </c>
      <c r="BA37" s="29"/>
      <c r="BB37" s="29">
        <v>2.0</v>
      </c>
      <c r="BC37" s="29" t="s">
        <v>202</v>
      </c>
      <c r="BD37" s="29" t="s">
        <v>88</v>
      </c>
      <c r="BE37" s="29"/>
      <c r="BF37" s="29"/>
      <c r="BG37" s="29" t="s">
        <v>203</v>
      </c>
      <c r="BH37" s="29" t="s">
        <v>92</v>
      </c>
      <c r="BI37" s="29"/>
      <c r="BJ37" s="29"/>
      <c r="BK37" s="29"/>
      <c r="BL37" s="29"/>
      <c r="BM37" s="45">
        <v>1.0</v>
      </c>
      <c r="BN37" s="45">
        <v>1.0</v>
      </c>
      <c r="BO37" s="46" t="s">
        <v>202</v>
      </c>
      <c r="BP37" s="2"/>
      <c r="BQ37" s="3"/>
    </row>
    <row r="38">
      <c r="A38" s="34">
        <v>35.0</v>
      </c>
      <c r="B38" s="34">
        <v>103203.0</v>
      </c>
      <c r="C38" s="34" t="s">
        <v>76</v>
      </c>
      <c r="D38" s="34" t="s">
        <v>204</v>
      </c>
      <c r="E38" s="34" t="s">
        <v>205</v>
      </c>
      <c r="F38" s="34">
        <v>2018.0</v>
      </c>
      <c r="G38" s="34" t="s">
        <v>206</v>
      </c>
      <c r="H38" s="34" t="s">
        <v>207</v>
      </c>
      <c r="I38" s="34" t="s">
        <v>208</v>
      </c>
      <c r="J38" s="35"/>
      <c r="K38" s="36">
        <v>-2.27</v>
      </c>
      <c r="L38" s="36"/>
      <c r="M38" s="36"/>
      <c r="N38" s="36"/>
      <c r="O38" s="36"/>
      <c r="P38" s="37">
        <v>-40.58</v>
      </c>
      <c r="Q38" s="36" t="s">
        <v>209</v>
      </c>
      <c r="R38" s="36" t="s">
        <v>209</v>
      </c>
      <c r="S38" s="36">
        <v>1000.0</v>
      </c>
      <c r="T38" s="36" t="s">
        <v>210</v>
      </c>
      <c r="U38" s="36" t="s">
        <v>211</v>
      </c>
      <c r="V38" s="36">
        <v>12.0</v>
      </c>
      <c r="W38" s="36" t="s">
        <v>212</v>
      </c>
      <c r="X38" s="38">
        <v>1.0</v>
      </c>
      <c r="Y38" s="38" t="s">
        <v>213</v>
      </c>
      <c r="Z38" s="38" t="s">
        <v>213</v>
      </c>
      <c r="AA38" s="38" t="s">
        <v>214</v>
      </c>
      <c r="AB38" s="38" t="s">
        <v>215</v>
      </c>
      <c r="AC38" s="38" t="s">
        <v>216</v>
      </c>
      <c r="AD38" s="38" t="s">
        <v>198</v>
      </c>
      <c r="AE38" s="38"/>
      <c r="AF38" s="38" t="s">
        <v>217</v>
      </c>
      <c r="AG38" s="38"/>
      <c r="AH38" s="38">
        <v>3.0</v>
      </c>
      <c r="AI38" s="50">
        <v>41.08</v>
      </c>
      <c r="AJ38" s="50">
        <v>121.54</v>
      </c>
      <c r="AK38" s="41" t="s">
        <v>86</v>
      </c>
      <c r="AL38" s="40" t="s">
        <v>86</v>
      </c>
      <c r="AM38" s="49">
        <v>10.0</v>
      </c>
      <c r="AN38" s="51">
        <v>10.0</v>
      </c>
      <c r="AO38" s="42" t="s">
        <v>218</v>
      </c>
      <c r="AP38" s="43" t="s">
        <v>218</v>
      </c>
      <c r="AQ38" s="44" t="str">
        <f t="shared" si="1"/>
        <v>WET</v>
      </c>
      <c r="AR38" s="44">
        <f t="shared" si="3"/>
        <v>10</v>
      </c>
      <c r="AS38" s="44" t="str">
        <f t="shared" si="5"/>
        <v>D</v>
      </c>
      <c r="AT38" s="44" t="str">
        <f t="shared" si="17"/>
        <v>Dw</v>
      </c>
      <c r="AU38" s="44" t="str">
        <f t="shared" si="2"/>
        <v>Dwa</v>
      </c>
      <c r="AV38" s="38"/>
      <c r="AW38" s="38"/>
      <c r="AX38" s="38">
        <v>3000.0</v>
      </c>
      <c r="AY38" s="38" t="s">
        <v>88</v>
      </c>
      <c r="AZ38" s="29">
        <v>1000.0</v>
      </c>
      <c r="BA38" s="29"/>
      <c r="BB38" s="29">
        <v>2.0</v>
      </c>
      <c r="BC38" s="29" t="s">
        <v>219</v>
      </c>
      <c r="BD38" s="29" t="s">
        <v>88</v>
      </c>
      <c r="BE38" s="29"/>
      <c r="BF38" s="29"/>
      <c r="BG38" s="29" t="s">
        <v>220</v>
      </c>
      <c r="BH38" s="29" t="s">
        <v>92</v>
      </c>
      <c r="BI38" s="29"/>
      <c r="BJ38" s="29"/>
      <c r="BK38" s="29"/>
      <c r="BL38" s="29"/>
      <c r="BM38" s="45">
        <v>1.0</v>
      </c>
      <c r="BN38" s="45">
        <v>1.0</v>
      </c>
      <c r="BO38" s="46" t="s">
        <v>219</v>
      </c>
      <c r="BP38" s="2"/>
      <c r="BQ38" s="3"/>
    </row>
    <row r="39">
      <c r="A39" s="34">
        <v>36.0</v>
      </c>
      <c r="B39" s="34">
        <v>103203.0</v>
      </c>
      <c r="C39" s="34" t="s">
        <v>76</v>
      </c>
      <c r="D39" s="34" t="s">
        <v>204</v>
      </c>
      <c r="E39" s="34" t="s">
        <v>205</v>
      </c>
      <c r="F39" s="34">
        <v>2018.0</v>
      </c>
      <c r="G39" s="34" t="s">
        <v>206</v>
      </c>
      <c r="H39" s="34" t="s">
        <v>207</v>
      </c>
      <c r="I39" s="34" t="s">
        <v>208</v>
      </c>
      <c r="J39" s="35"/>
      <c r="K39" s="36">
        <v>1.77</v>
      </c>
      <c r="L39" s="36"/>
      <c r="M39" s="36"/>
      <c r="N39" s="36"/>
      <c r="O39" s="36"/>
      <c r="P39" s="37">
        <v>7.82</v>
      </c>
      <c r="Q39" s="36" t="s">
        <v>209</v>
      </c>
      <c r="R39" s="36" t="s">
        <v>209</v>
      </c>
      <c r="S39" s="36">
        <v>1000.0</v>
      </c>
      <c r="T39" s="36" t="s">
        <v>221</v>
      </c>
      <c r="U39" s="36" t="s">
        <v>222</v>
      </c>
      <c r="V39" s="36">
        <v>12.0</v>
      </c>
      <c r="W39" s="36" t="s">
        <v>223</v>
      </c>
      <c r="X39" s="38">
        <v>1.0</v>
      </c>
      <c r="Y39" s="38" t="s">
        <v>213</v>
      </c>
      <c r="Z39" s="38" t="s">
        <v>213</v>
      </c>
      <c r="AA39" s="38" t="s">
        <v>214</v>
      </c>
      <c r="AB39" s="38" t="s">
        <v>215</v>
      </c>
      <c r="AC39" s="38" t="s">
        <v>216</v>
      </c>
      <c r="AD39" s="38" t="s">
        <v>198</v>
      </c>
      <c r="AE39" s="38"/>
      <c r="AF39" s="38" t="s">
        <v>217</v>
      </c>
      <c r="AG39" s="38"/>
      <c r="AH39" s="38">
        <v>3.0</v>
      </c>
      <c r="AI39" s="50">
        <v>41.08</v>
      </c>
      <c r="AJ39" s="50">
        <v>121.54</v>
      </c>
      <c r="AK39" s="41" t="s">
        <v>86</v>
      </c>
      <c r="AL39" s="40" t="s">
        <v>86</v>
      </c>
      <c r="AM39" s="49">
        <v>10.0</v>
      </c>
      <c r="AN39" s="51">
        <v>10.0</v>
      </c>
      <c r="AO39" s="42" t="s">
        <v>218</v>
      </c>
      <c r="AP39" s="43" t="s">
        <v>218</v>
      </c>
      <c r="AQ39" s="44" t="str">
        <f t="shared" si="1"/>
        <v>WET</v>
      </c>
      <c r="AR39" s="44">
        <f t="shared" si="3"/>
        <v>10</v>
      </c>
      <c r="AS39" s="44" t="str">
        <f t="shared" si="5"/>
        <v>D</v>
      </c>
      <c r="AT39" s="44" t="str">
        <f t="shared" si="17"/>
        <v>Dw</v>
      </c>
      <c r="AU39" s="44" t="str">
        <f t="shared" si="2"/>
        <v>Dwa</v>
      </c>
      <c r="AV39" s="38"/>
      <c r="AW39" s="38"/>
      <c r="AX39" s="38">
        <v>3000.0</v>
      </c>
      <c r="AY39" s="38" t="s">
        <v>88</v>
      </c>
      <c r="AZ39" s="29">
        <v>1000.0</v>
      </c>
      <c r="BA39" s="29"/>
      <c r="BB39" s="29">
        <v>2.0</v>
      </c>
      <c r="BC39" s="29" t="s">
        <v>219</v>
      </c>
      <c r="BD39" s="29" t="s">
        <v>88</v>
      </c>
      <c r="BE39" s="29"/>
      <c r="BF39" s="29"/>
      <c r="BG39" s="29" t="s">
        <v>220</v>
      </c>
      <c r="BH39" s="29" t="s">
        <v>92</v>
      </c>
      <c r="BI39" s="29"/>
      <c r="BJ39" s="29"/>
      <c r="BK39" s="29"/>
      <c r="BL39" s="29"/>
      <c r="BM39" s="45">
        <v>1.0</v>
      </c>
      <c r="BN39" s="45">
        <v>1.0</v>
      </c>
      <c r="BO39" s="46" t="s">
        <v>219</v>
      </c>
      <c r="BP39" s="2"/>
      <c r="BQ39" s="3"/>
    </row>
    <row r="40">
      <c r="A40" s="34">
        <v>37.0</v>
      </c>
      <c r="B40" s="34">
        <v>103203.0</v>
      </c>
      <c r="C40" s="34" t="s">
        <v>76</v>
      </c>
      <c r="D40" s="34" t="s">
        <v>204</v>
      </c>
      <c r="E40" s="34" t="s">
        <v>205</v>
      </c>
      <c r="F40" s="34">
        <v>2018.0</v>
      </c>
      <c r="G40" s="34" t="s">
        <v>206</v>
      </c>
      <c r="H40" s="34" t="s">
        <v>207</v>
      </c>
      <c r="I40" s="34" t="s">
        <v>208</v>
      </c>
      <c r="J40" s="35"/>
      <c r="K40" s="36">
        <v>3.53</v>
      </c>
      <c r="L40" s="36"/>
      <c r="M40" s="36"/>
      <c r="N40" s="36"/>
      <c r="O40" s="36"/>
      <c r="P40" s="37">
        <v>-49.13</v>
      </c>
      <c r="Q40" s="36" t="s">
        <v>209</v>
      </c>
      <c r="R40" s="36" t="s">
        <v>209</v>
      </c>
      <c r="S40" s="36">
        <v>1000.0</v>
      </c>
      <c r="T40" s="36" t="s">
        <v>224</v>
      </c>
      <c r="U40" s="36" t="s">
        <v>225</v>
      </c>
      <c r="V40" s="36">
        <v>8.0</v>
      </c>
      <c r="W40" s="36" t="s">
        <v>226</v>
      </c>
      <c r="X40" s="38">
        <v>1.0</v>
      </c>
      <c r="Y40" s="38" t="s">
        <v>213</v>
      </c>
      <c r="Z40" s="38" t="s">
        <v>213</v>
      </c>
      <c r="AA40" s="38" t="s">
        <v>214</v>
      </c>
      <c r="AB40" s="38" t="s">
        <v>215</v>
      </c>
      <c r="AC40" s="38" t="s">
        <v>216</v>
      </c>
      <c r="AD40" s="38" t="s">
        <v>198</v>
      </c>
      <c r="AE40" s="38"/>
      <c r="AF40" s="38" t="s">
        <v>217</v>
      </c>
      <c r="AG40" s="38"/>
      <c r="AH40" s="38">
        <v>3.0</v>
      </c>
      <c r="AI40" s="50">
        <v>41.08</v>
      </c>
      <c r="AJ40" s="50">
        <v>121.54</v>
      </c>
      <c r="AK40" s="41" t="s">
        <v>86</v>
      </c>
      <c r="AL40" s="40" t="s">
        <v>86</v>
      </c>
      <c r="AM40" s="49">
        <v>10.0</v>
      </c>
      <c r="AN40" s="51">
        <v>10.0</v>
      </c>
      <c r="AO40" s="42" t="s">
        <v>218</v>
      </c>
      <c r="AP40" s="43" t="s">
        <v>218</v>
      </c>
      <c r="AQ40" s="44" t="str">
        <f t="shared" si="1"/>
        <v>WET</v>
      </c>
      <c r="AR40" s="44">
        <f t="shared" si="3"/>
        <v>10</v>
      </c>
      <c r="AS40" s="44" t="str">
        <f t="shared" si="5"/>
        <v>D</v>
      </c>
      <c r="AT40" s="44" t="str">
        <f t="shared" si="17"/>
        <v>Dw</v>
      </c>
      <c r="AU40" s="44" t="str">
        <f t="shared" si="2"/>
        <v>Dwa</v>
      </c>
      <c r="AV40" s="38"/>
      <c r="AW40" s="38"/>
      <c r="AX40" s="38">
        <v>3000.0</v>
      </c>
      <c r="AY40" s="38" t="s">
        <v>88</v>
      </c>
      <c r="AZ40" s="29">
        <v>1000.0</v>
      </c>
      <c r="BA40" s="29"/>
      <c r="BB40" s="29">
        <v>2.0</v>
      </c>
      <c r="BC40" s="29" t="s">
        <v>219</v>
      </c>
      <c r="BD40" s="29" t="s">
        <v>88</v>
      </c>
      <c r="BE40" s="29"/>
      <c r="BF40" s="29"/>
      <c r="BG40" s="29" t="s">
        <v>220</v>
      </c>
      <c r="BH40" s="29" t="s">
        <v>92</v>
      </c>
      <c r="BI40" s="29"/>
      <c r="BJ40" s="29"/>
      <c r="BK40" s="29"/>
      <c r="BL40" s="29"/>
      <c r="BM40" s="45">
        <v>1.0</v>
      </c>
      <c r="BN40" s="45">
        <v>1.0</v>
      </c>
      <c r="BO40" s="46" t="s">
        <v>219</v>
      </c>
      <c r="BP40" s="2"/>
      <c r="BQ40" s="3"/>
    </row>
    <row r="41">
      <c r="A41" s="34">
        <v>38.0</v>
      </c>
      <c r="B41" s="34">
        <v>103203.0</v>
      </c>
      <c r="C41" s="34" t="s">
        <v>76</v>
      </c>
      <c r="D41" s="34" t="s">
        <v>204</v>
      </c>
      <c r="E41" s="34" t="s">
        <v>205</v>
      </c>
      <c r="F41" s="34">
        <v>2018.0</v>
      </c>
      <c r="G41" s="34" t="s">
        <v>206</v>
      </c>
      <c r="H41" s="34" t="s">
        <v>207</v>
      </c>
      <c r="I41" s="34" t="s">
        <v>208</v>
      </c>
      <c r="J41" s="35"/>
      <c r="K41" s="36">
        <v>-1.07</v>
      </c>
      <c r="L41" s="36"/>
      <c r="M41" s="36"/>
      <c r="N41" s="36"/>
      <c r="O41" s="36"/>
      <c r="P41" s="37">
        <v>-8.62</v>
      </c>
      <c r="Q41" s="36" t="s">
        <v>209</v>
      </c>
      <c r="R41" s="36" t="s">
        <v>209</v>
      </c>
      <c r="S41" s="36">
        <v>1000.0</v>
      </c>
      <c r="T41" s="36" t="s">
        <v>210</v>
      </c>
      <c r="U41" s="36" t="s">
        <v>225</v>
      </c>
      <c r="V41" s="36">
        <v>32.0</v>
      </c>
      <c r="W41" s="36" t="s">
        <v>227</v>
      </c>
      <c r="X41" s="38">
        <v>1.0</v>
      </c>
      <c r="Y41" s="38" t="s">
        <v>213</v>
      </c>
      <c r="Z41" s="38" t="s">
        <v>213</v>
      </c>
      <c r="AA41" s="38" t="s">
        <v>214</v>
      </c>
      <c r="AB41" s="38" t="s">
        <v>215</v>
      </c>
      <c r="AC41" s="38" t="s">
        <v>216</v>
      </c>
      <c r="AD41" s="38" t="s">
        <v>198</v>
      </c>
      <c r="AE41" s="38"/>
      <c r="AF41" s="38" t="s">
        <v>217</v>
      </c>
      <c r="AG41" s="38"/>
      <c r="AH41" s="38">
        <v>3.0</v>
      </c>
      <c r="AI41" s="50">
        <v>41.08</v>
      </c>
      <c r="AJ41" s="50">
        <v>121.54</v>
      </c>
      <c r="AK41" s="41" t="s">
        <v>86</v>
      </c>
      <c r="AL41" s="40" t="s">
        <v>86</v>
      </c>
      <c r="AM41" s="49">
        <v>10.0</v>
      </c>
      <c r="AN41" s="51">
        <v>10.0</v>
      </c>
      <c r="AO41" s="42" t="s">
        <v>218</v>
      </c>
      <c r="AP41" s="43" t="s">
        <v>218</v>
      </c>
      <c r="AQ41" s="44" t="str">
        <f t="shared" si="1"/>
        <v>WET</v>
      </c>
      <c r="AR41" s="44">
        <f t="shared" si="3"/>
        <v>10</v>
      </c>
      <c r="AS41" s="44" t="str">
        <f t="shared" si="5"/>
        <v>D</v>
      </c>
      <c r="AT41" s="44" t="str">
        <f t="shared" si="17"/>
        <v>Dw</v>
      </c>
      <c r="AU41" s="44" t="str">
        <f t="shared" si="2"/>
        <v>Dwa</v>
      </c>
      <c r="AV41" s="38"/>
      <c r="AW41" s="38"/>
      <c r="AX41" s="38">
        <v>3000.0</v>
      </c>
      <c r="AY41" s="38" t="s">
        <v>88</v>
      </c>
      <c r="AZ41" s="29">
        <v>1000.0</v>
      </c>
      <c r="BA41" s="29"/>
      <c r="BB41" s="29">
        <v>2.0</v>
      </c>
      <c r="BC41" s="29" t="s">
        <v>219</v>
      </c>
      <c r="BD41" s="29" t="s">
        <v>88</v>
      </c>
      <c r="BE41" s="29"/>
      <c r="BF41" s="29"/>
      <c r="BG41" s="29" t="s">
        <v>220</v>
      </c>
      <c r="BH41" s="29" t="s">
        <v>92</v>
      </c>
      <c r="BI41" s="29"/>
      <c r="BJ41" s="29"/>
      <c r="BK41" s="29"/>
      <c r="BL41" s="29"/>
      <c r="BM41" s="45">
        <v>1.0</v>
      </c>
      <c r="BN41" s="45">
        <v>1.0</v>
      </c>
      <c r="BO41" s="46" t="s">
        <v>219</v>
      </c>
      <c r="BP41" s="2"/>
      <c r="BQ41" s="3"/>
    </row>
    <row r="42">
      <c r="A42" s="34">
        <v>39.0</v>
      </c>
      <c r="B42" s="34">
        <v>103770.0</v>
      </c>
      <c r="C42" s="34" t="s">
        <v>76</v>
      </c>
      <c r="D42" s="34" t="s">
        <v>228</v>
      </c>
      <c r="E42" s="34" t="s">
        <v>229</v>
      </c>
      <c r="F42" s="34">
        <v>2016.0</v>
      </c>
      <c r="G42" s="34" t="s">
        <v>230</v>
      </c>
      <c r="H42" s="34" t="s">
        <v>231</v>
      </c>
      <c r="I42" s="34" t="s">
        <v>232</v>
      </c>
      <c r="J42" s="35"/>
      <c r="K42" s="36">
        <v>-0.19</v>
      </c>
      <c r="L42" s="36"/>
      <c r="M42" s="36"/>
      <c r="N42" s="36"/>
      <c r="O42" s="36"/>
      <c r="P42" s="37">
        <v>-9.6</v>
      </c>
      <c r="Q42" s="36" t="s">
        <v>96</v>
      </c>
      <c r="R42" s="36" t="s">
        <v>209</v>
      </c>
      <c r="S42" s="36">
        <v>1000.0</v>
      </c>
      <c r="T42" s="36" t="s">
        <v>233</v>
      </c>
      <c r="U42" s="36" t="s">
        <v>234</v>
      </c>
      <c r="V42" s="36">
        <v>31.0</v>
      </c>
      <c r="W42" s="36" t="s">
        <v>169</v>
      </c>
      <c r="X42" s="38">
        <v>1.0</v>
      </c>
      <c r="Y42" s="38" t="s">
        <v>235</v>
      </c>
      <c r="Z42" s="38" t="s">
        <v>236</v>
      </c>
      <c r="AA42" s="38" t="s">
        <v>86</v>
      </c>
      <c r="AB42" s="55">
        <v>4168567.0</v>
      </c>
      <c r="AC42" s="55">
        <v>310121.0</v>
      </c>
      <c r="AD42" s="38" t="s">
        <v>237</v>
      </c>
      <c r="AE42" s="53"/>
      <c r="AF42" s="38" t="s">
        <v>238</v>
      </c>
      <c r="AG42" s="38"/>
      <c r="AH42" s="38"/>
      <c r="AI42" s="50">
        <v>37.646</v>
      </c>
      <c r="AJ42" s="50">
        <v>12.8523</v>
      </c>
      <c r="AK42" s="41" t="s">
        <v>86</v>
      </c>
      <c r="AL42" s="40" t="s">
        <v>86</v>
      </c>
      <c r="AM42" s="49">
        <v>122.0</v>
      </c>
      <c r="AN42" s="51">
        <v>122.0</v>
      </c>
      <c r="AO42" s="42" t="s">
        <v>175</v>
      </c>
      <c r="AP42" s="43" t="s">
        <v>175</v>
      </c>
      <c r="AQ42" s="44" t="str">
        <f t="shared" si="1"/>
        <v>CRO</v>
      </c>
      <c r="AR42" s="44">
        <f t="shared" si="3"/>
        <v>122</v>
      </c>
      <c r="AS42" s="44" t="str">
        <f t="shared" si="5"/>
        <v>C</v>
      </c>
      <c r="AT42" s="44" t="str">
        <f t="shared" si="17"/>
        <v>Cs</v>
      </c>
      <c r="AU42" s="44" t="str">
        <f t="shared" si="2"/>
        <v>Csa</v>
      </c>
      <c r="AV42" s="38"/>
      <c r="AW42" s="38"/>
      <c r="AX42" s="38">
        <v>3000.0</v>
      </c>
      <c r="AY42" s="38" t="s">
        <v>88</v>
      </c>
      <c r="AZ42" s="29">
        <v>1000.0</v>
      </c>
      <c r="BA42" s="29"/>
      <c r="BB42" s="29">
        <v>1.0</v>
      </c>
      <c r="BC42" s="29"/>
      <c r="BD42" s="29" t="s">
        <v>88</v>
      </c>
      <c r="BE42" s="29" t="s">
        <v>89</v>
      </c>
      <c r="BF42" s="29" t="s">
        <v>239</v>
      </c>
      <c r="BG42" s="29" t="s">
        <v>220</v>
      </c>
      <c r="BH42" s="29" t="s">
        <v>88</v>
      </c>
      <c r="BI42" s="29" t="s">
        <v>240</v>
      </c>
      <c r="BJ42" s="29"/>
      <c r="BK42" s="29" t="s">
        <v>148</v>
      </c>
      <c r="BL42" s="29" t="s">
        <v>148</v>
      </c>
      <c r="BM42" s="45">
        <v>1.0</v>
      </c>
      <c r="BN42" s="45">
        <v>1.0</v>
      </c>
      <c r="BO42" s="46" t="s">
        <v>241</v>
      </c>
      <c r="BP42" s="2"/>
      <c r="BQ42" s="3"/>
    </row>
    <row r="43">
      <c r="A43" s="34">
        <v>40.0</v>
      </c>
      <c r="B43" s="34">
        <v>103770.0</v>
      </c>
      <c r="C43" s="34" t="s">
        <v>76</v>
      </c>
      <c r="D43" s="34" t="s">
        <v>228</v>
      </c>
      <c r="E43" s="34" t="s">
        <v>229</v>
      </c>
      <c r="F43" s="34">
        <v>2016.0</v>
      </c>
      <c r="G43" s="34" t="s">
        <v>230</v>
      </c>
      <c r="H43" s="34" t="s">
        <v>231</v>
      </c>
      <c r="I43" s="34" t="s">
        <v>232</v>
      </c>
      <c r="J43" s="35"/>
      <c r="K43" s="36">
        <v>0.19</v>
      </c>
      <c r="L43" s="36"/>
      <c r="M43" s="36"/>
      <c r="N43" s="36"/>
      <c r="O43" s="36"/>
      <c r="P43" s="37">
        <v>13.77</v>
      </c>
      <c r="Q43" s="36" t="s">
        <v>96</v>
      </c>
      <c r="R43" s="36" t="s">
        <v>209</v>
      </c>
      <c r="S43" s="36">
        <v>1000.0</v>
      </c>
      <c r="T43" s="36" t="s">
        <v>242</v>
      </c>
      <c r="U43" s="36" t="s">
        <v>243</v>
      </c>
      <c r="V43" s="36">
        <v>19.0</v>
      </c>
      <c r="W43" s="36" t="s">
        <v>169</v>
      </c>
      <c r="X43" s="38">
        <v>1.0</v>
      </c>
      <c r="Y43" s="38" t="s">
        <v>235</v>
      </c>
      <c r="Z43" s="38" t="s">
        <v>236</v>
      </c>
      <c r="AA43" s="38" t="s">
        <v>86</v>
      </c>
      <c r="AB43" s="55">
        <v>37.646</v>
      </c>
      <c r="AC43" s="55">
        <v>12.8523</v>
      </c>
      <c r="AD43" s="38" t="s">
        <v>237</v>
      </c>
      <c r="AE43" s="53"/>
      <c r="AF43" s="38" t="s">
        <v>238</v>
      </c>
      <c r="AG43" s="38"/>
      <c r="AH43" s="38"/>
      <c r="AI43" s="50">
        <v>37.646</v>
      </c>
      <c r="AJ43" s="50">
        <v>12.8523</v>
      </c>
      <c r="AK43" s="41" t="s">
        <v>86</v>
      </c>
      <c r="AL43" s="40" t="s">
        <v>86</v>
      </c>
      <c r="AM43" s="49">
        <v>122.0</v>
      </c>
      <c r="AN43" s="51">
        <v>122.0</v>
      </c>
      <c r="AO43" s="42" t="s">
        <v>175</v>
      </c>
      <c r="AP43" s="43" t="s">
        <v>175</v>
      </c>
      <c r="AQ43" s="44" t="str">
        <f t="shared" si="1"/>
        <v>CRO</v>
      </c>
      <c r="AR43" s="44">
        <f t="shared" si="3"/>
        <v>122</v>
      </c>
      <c r="AS43" s="44" t="str">
        <f t="shared" si="5"/>
        <v>C</v>
      </c>
      <c r="AT43" s="44" t="str">
        <f t="shared" si="17"/>
        <v>Cs</v>
      </c>
      <c r="AU43" s="44" t="str">
        <f t="shared" si="2"/>
        <v>Csa</v>
      </c>
      <c r="AV43" s="38"/>
      <c r="AW43" s="38"/>
      <c r="AX43" s="38">
        <v>3000.0</v>
      </c>
      <c r="AY43" s="38" t="s">
        <v>88</v>
      </c>
      <c r="AZ43" s="29">
        <v>1000.0</v>
      </c>
      <c r="BA43" s="29"/>
      <c r="BB43" s="29">
        <v>1.0</v>
      </c>
      <c r="BC43" s="29"/>
      <c r="BD43" s="29" t="s">
        <v>88</v>
      </c>
      <c r="BE43" s="29" t="s">
        <v>89</v>
      </c>
      <c r="BF43" s="29" t="s">
        <v>239</v>
      </c>
      <c r="BG43" s="29" t="s">
        <v>220</v>
      </c>
      <c r="BH43" s="29" t="s">
        <v>88</v>
      </c>
      <c r="BI43" s="29" t="s">
        <v>240</v>
      </c>
      <c r="BJ43" s="29"/>
      <c r="BK43" s="29" t="s">
        <v>148</v>
      </c>
      <c r="BL43" s="29" t="s">
        <v>148</v>
      </c>
      <c r="BM43" s="45">
        <v>1.0</v>
      </c>
      <c r="BN43" s="45">
        <v>1.0</v>
      </c>
      <c r="BO43" s="46"/>
      <c r="BP43" s="2"/>
      <c r="BQ43" s="3"/>
    </row>
    <row r="44">
      <c r="A44" s="34">
        <v>41.0</v>
      </c>
      <c r="B44" s="34">
        <v>103770.0</v>
      </c>
      <c r="C44" s="34" t="s">
        <v>76</v>
      </c>
      <c r="D44" s="34" t="s">
        <v>228</v>
      </c>
      <c r="E44" s="34" t="s">
        <v>229</v>
      </c>
      <c r="F44" s="34">
        <v>2016.0</v>
      </c>
      <c r="G44" s="34" t="s">
        <v>230</v>
      </c>
      <c r="H44" s="34" t="s">
        <v>231</v>
      </c>
      <c r="I44" s="34" t="s">
        <v>232</v>
      </c>
      <c r="J44" s="35"/>
      <c r="K44" s="36">
        <v>0.13</v>
      </c>
      <c r="L44" s="36"/>
      <c r="M44" s="36"/>
      <c r="N44" s="36"/>
      <c r="O44" s="36"/>
      <c r="P44" s="37">
        <v>7.45</v>
      </c>
      <c r="Q44" s="36" t="s">
        <v>96</v>
      </c>
      <c r="R44" s="36" t="s">
        <v>209</v>
      </c>
      <c r="S44" s="36">
        <v>1000.0</v>
      </c>
      <c r="T44" s="36" t="s">
        <v>167</v>
      </c>
      <c r="U44" s="36" t="s">
        <v>244</v>
      </c>
      <c r="V44" s="36">
        <v>38.0</v>
      </c>
      <c r="W44" s="36" t="s">
        <v>169</v>
      </c>
      <c r="X44" s="38">
        <v>1.0</v>
      </c>
      <c r="Y44" s="38" t="s">
        <v>235</v>
      </c>
      <c r="Z44" s="38" t="s">
        <v>236</v>
      </c>
      <c r="AA44" s="38" t="s">
        <v>86</v>
      </c>
      <c r="AB44" s="55">
        <v>4168567.0</v>
      </c>
      <c r="AC44" s="55">
        <v>310121.0</v>
      </c>
      <c r="AD44" s="38" t="s">
        <v>237</v>
      </c>
      <c r="AE44" s="53"/>
      <c r="AF44" s="38" t="s">
        <v>238</v>
      </c>
      <c r="AG44" s="38"/>
      <c r="AH44" s="38"/>
      <c r="AI44" s="50">
        <v>37.646</v>
      </c>
      <c r="AJ44" s="50">
        <v>12.8523</v>
      </c>
      <c r="AK44" s="41" t="s">
        <v>86</v>
      </c>
      <c r="AL44" s="40" t="s">
        <v>86</v>
      </c>
      <c r="AM44" s="49">
        <v>122.0</v>
      </c>
      <c r="AN44" s="51">
        <v>122.0</v>
      </c>
      <c r="AO44" s="42" t="s">
        <v>175</v>
      </c>
      <c r="AP44" s="43" t="s">
        <v>175</v>
      </c>
      <c r="AQ44" s="44" t="str">
        <f t="shared" si="1"/>
        <v>CRO</v>
      </c>
      <c r="AR44" s="44">
        <f t="shared" si="3"/>
        <v>122</v>
      </c>
      <c r="AS44" s="44" t="str">
        <f t="shared" si="5"/>
        <v>C</v>
      </c>
      <c r="AT44" s="44" t="str">
        <f t="shared" si="17"/>
        <v>Cs</v>
      </c>
      <c r="AU44" s="44" t="str">
        <f t="shared" si="2"/>
        <v>Csa</v>
      </c>
      <c r="AV44" s="38"/>
      <c r="AW44" s="38"/>
      <c r="AX44" s="38">
        <v>3000.0</v>
      </c>
      <c r="AY44" s="38" t="s">
        <v>88</v>
      </c>
      <c r="AZ44" s="29">
        <v>1000.0</v>
      </c>
      <c r="BA44" s="29"/>
      <c r="BB44" s="29">
        <v>1.0</v>
      </c>
      <c r="BC44" s="29"/>
      <c r="BD44" s="29" t="s">
        <v>88</v>
      </c>
      <c r="BE44" s="29" t="s">
        <v>89</v>
      </c>
      <c r="BF44" s="29" t="s">
        <v>239</v>
      </c>
      <c r="BG44" s="29" t="s">
        <v>220</v>
      </c>
      <c r="BH44" s="29" t="s">
        <v>88</v>
      </c>
      <c r="BI44" s="29" t="s">
        <v>240</v>
      </c>
      <c r="BJ44" s="29"/>
      <c r="BK44" s="29" t="s">
        <v>148</v>
      </c>
      <c r="BL44" s="29" t="s">
        <v>148</v>
      </c>
      <c r="BM44" s="45">
        <v>1.0</v>
      </c>
      <c r="BN44" s="45">
        <v>1.0</v>
      </c>
      <c r="BO44" s="46"/>
      <c r="BP44" s="2"/>
      <c r="BQ44" s="3"/>
    </row>
    <row r="45">
      <c r="A45" s="34">
        <v>42.0</v>
      </c>
      <c r="B45" s="34">
        <v>103770.0</v>
      </c>
      <c r="C45" s="34" t="s">
        <v>76</v>
      </c>
      <c r="D45" s="34" t="s">
        <v>228</v>
      </c>
      <c r="E45" s="34" t="s">
        <v>229</v>
      </c>
      <c r="F45" s="34">
        <v>2016.0</v>
      </c>
      <c r="G45" s="34" t="s">
        <v>230</v>
      </c>
      <c r="H45" s="34" t="s">
        <v>231</v>
      </c>
      <c r="I45" s="34" t="s">
        <v>232</v>
      </c>
      <c r="J45" s="35"/>
      <c r="K45" s="36">
        <v>-0.11</v>
      </c>
      <c r="L45" s="36"/>
      <c r="M45" s="36"/>
      <c r="N45" s="36"/>
      <c r="O45" s="36"/>
      <c r="P45" s="37">
        <v>-5.67</v>
      </c>
      <c r="Q45" s="36" t="s">
        <v>96</v>
      </c>
      <c r="R45" s="36" t="s">
        <v>209</v>
      </c>
      <c r="S45" s="36">
        <v>1000.0</v>
      </c>
      <c r="T45" s="36" t="s">
        <v>245</v>
      </c>
      <c r="U45" s="36" t="s">
        <v>246</v>
      </c>
      <c r="V45" s="36">
        <v>40.0</v>
      </c>
      <c r="W45" s="36" t="s">
        <v>169</v>
      </c>
      <c r="X45" s="38">
        <v>1.0</v>
      </c>
      <c r="Y45" s="38" t="s">
        <v>235</v>
      </c>
      <c r="Z45" s="38" t="s">
        <v>236</v>
      </c>
      <c r="AA45" s="38" t="s">
        <v>86</v>
      </c>
      <c r="AB45" s="55">
        <v>4168567.0</v>
      </c>
      <c r="AC45" s="55">
        <v>310121.0</v>
      </c>
      <c r="AD45" s="38" t="s">
        <v>237</v>
      </c>
      <c r="AE45" s="53"/>
      <c r="AF45" s="38" t="s">
        <v>238</v>
      </c>
      <c r="AG45" s="38"/>
      <c r="AH45" s="38"/>
      <c r="AI45" s="50">
        <v>37.646</v>
      </c>
      <c r="AJ45" s="50">
        <v>12.8523</v>
      </c>
      <c r="AK45" s="41" t="s">
        <v>86</v>
      </c>
      <c r="AL45" s="40" t="s">
        <v>86</v>
      </c>
      <c r="AM45" s="49">
        <v>122.0</v>
      </c>
      <c r="AN45" s="51">
        <v>122.0</v>
      </c>
      <c r="AO45" s="42" t="s">
        <v>175</v>
      </c>
      <c r="AP45" s="43" t="s">
        <v>175</v>
      </c>
      <c r="AQ45" s="44" t="str">
        <f t="shared" si="1"/>
        <v>CRO</v>
      </c>
      <c r="AR45" s="44">
        <f t="shared" si="3"/>
        <v>122</v>
      </c>
      <c r="AS45" s="44" t="str">
        <f t="shared" si="5"/>
        <v>C</v>
      </c>
      <c r="AT45" s="44" t="str">
        <f t="shared" si="17"/>
        <v>Cs</v>
      </c>
      <c r="AU45" s="44" t="str">
        <f t="shared" si="2"/>
        <v>Csa</v>
      </c>
      <c r="AV45" s="38"/>
      <c r="AW45" s="38"/>
      <c r="AX45" s="38">
        <v>3000.0</v>
      </c>
      <c r="AY45" s="38" t="s">
        <v>88</v>
      </c>
      <c r="AZ45" s="29">
        <v>1000.0</v>
      </c>
      <c r="BA45" s="29"/>
      <c r="BB45" s="29">
        <v>1.0</v>
      </c>
      <c r="BC45" s="29"/>
      <c r="BD45" s="29" t="s">
        <v>88</v>
      </c>
      <c r="BE45" s="29" t="s">
        <v>89</v>
      </c>
      <c r="BF45" s="29" t="s">
        <v>239</v>
      </c>
      <c r="BG45" s="29" t="s">
        <v>220</v>
      </c>
      <c r="BH45" s="29" t="s">
        <v>88</v>
      </c>
      <c r="BI45" s="29" t="s">
        <v>240</v>
      </c>
      <c r="BJ45" s="29"/>
      <c r="BK45" s="29" t="s">
        <v>148</v>
      </c>
      <c r="BL45" s="29" t="s">
        <v>148</v>
      </c>
      <c r="BM45" s="45">
        <v>1.0</v>
      </c>
      <c r="BN45" s="45">
        <v>1.0</v>
      </c>
      <c r="BO45" s="46"/>
      <c r="BP45" s="2"/>
      <c r="BQ45" s="3"/>
    </row>
    <row r="46">
      <c r="A46" s="34">
        <v>43.0</v>
      </c>
      <c r="B46" s="34">
        <v>103770.0</v>
      </c>
      <c r="C46" s="34" t="s">
        <v>76</v>
      </c>
      <c r="D46" s="34" t="s">
        <v>228</v>
      </c>
      <c r="E46" s="34" t="s">
        <v>229</v>
      </c>
      <c r="F46" s="34">
        <v>2016.0</v>
      </c>
      <c r="G46" s="34" t="s">
        <v>230</v>
      </c>
      <c r="H46" s="34" t="s">
        <v>231</v>
      </c>
      <c r="I46" s="34" t="s">
        <v>232</v>
      </c>
      <c r="J46" s="35"/>
      <c r="K46" s="36">
        <v>-0.02</v>
      </c>
      <c r="L46" s="36"/>
      <c r="M46" s="36"/>
      <c r="N46" s="36"/>
      <c r="O46" s="36"/>
      <c r="P46" s="37">
        <v>-0.83</v>
      </c>
      <c r="Q46" s="36" t="s">
        <v>96</v>
      </c>
      <c r="R46" s="36" t="s">
        <v>209</v>
      </c>
      <c r="S46" s="36">
        <v>1000.0</v>
      </c>
      <c r="T46" s="36" t="s">
        <v>233</v>
      </c>
      <c r="U46" s="36" t="s">
        <v>246</v>
      </c>
      <c r="V46" s="36">
        <v>128.0</v>
      </c>
      <c r="W46" s="36" t="s">
        <v>169</v>
      </c>
      <c r="X46" s="38">
        <v>1.0</v>
      </c>
      <c r="Y46" s="38" t="s">
        <v>235</v>
      </c>
      <c r="Z46" s="38" t="s">
        <v>236</v>
      </c>
      <c r="AA46" s="38" t="s">
        <v>86</v>
      </c>
      <c r="AB46" s="55">
        <v>4168567.0</v>
      </c>
      <c r="AC46" s="55">
        <v>310121.0</v>
      </c>
      <c r="AD46" s="38" t="s">
        <v>237</v>
      </c>
      <c r="AE46" s="53"/>
      <c r="AF46" s="38" t="s">
        <v>238</v>
      </c>
      <c r="AG46" s="38"/>
      <c r="AH46" s="38"/>
      <c r="AI46" s="50">
        <v>37.646</v>
      </c>
      <c r="AJ46" s="50">
        <v>12.8523</v>
      </c>
      <c r="AK46" s="41" t="s">
        <v>86</v>
      </c>
      <c r="AL46" s="40" t="s">
        <v>86</v>
      </c>
      <c r="AM46" s="49">
        <v>122.0</v>
      </c>
      <c r="AN46" s="51">
        <v>122.0</v>
      </c>
      <c r="AO46" s="42" t="s">
        <v>175</v>
      </c>
      <c r="AP46" s="43" t="s">
        <v>175</v>
      </c>
      <c r="AQ46" s="44" t="str">
        <f t="shared" si="1"/>
        <v>CRO</v>
      </c>
      <c r="AR46" s="44">
        <f t="shared" si="3"/>
        <v>122</v>
      </c>
      <c r="AS46" s="44" t="str">
        <f t="shared" si="5"/>
        <v>C</v>
      </c>
      <c r="AT46" s="44" t="str">
        <f t="shared" si="17"/>
        <v>Cs</v>
      </c>
      <c r="AU46" s="44" t="str">
        <f t="shared" si="2"/>
        <v>Csa</v>
      </c>
      <c r="AV46" s="38"/>
      <c r="AW46" s="38"/>
      <c r="AX46" s="38">
        <v>3000.0</v>
      </c>
      <c r="AY46" s="38" t="s">
        <v>88</v>
      </c>
      <c r="AZ46" s="29">
        <v>1000.0</v>
      </c>
      <c r="BA46" s="29"/>
      <c r="BB46" s="29">
        <v>1.0</v>
      </c>
      <c r="BC46" s="29"/>
      <c r="BD46" s="29" t="s">
        <v>88</v>
      </c>
      <c r="BE46" s="29" t="s">
        <v>89</v>
      </c>
      <c r="BF46" s="29" t="s">
        <v>239</v>
      </c>
      <c r="BG46" s="29" t="s">
        <v>220</v>
      </c>
      <c r="BH46" s="29" t="s">
        <v>88</v>
      </c>
      <c r="BI46" s="29" t="s">
        <v>240</v>
      </c>
      <c r="BJ46" s="29"/>
      <c r="BK46" s="29" t="s">
        <v>148</v>
      </c>
      <c r="BL46" s="29" t="s">
        <v>148</v>
      </c>
      <c r="BM46" s="45">
        <v>1.0</v>
      </c>
      <c r="BN46" s="45">
        <v>1.0</v>
      </c>
      <c r="BO46" s="46"/>
      <c r="BP46" s="2"/>
      <c r="BQ46" s="3"/>
    </row>
    <row r="47">
      <c r="A47" s="34">
        <v>44.0</v>
      </c>
      <c r="B47" s="34">
        <v>103770.0</v>
      </c>
      <c r="C47" s="34" t="s">
        <v>76</v>
      </c>
      <c r="D47" s="34" t="s">
        <v>228</v>
      </c>
      <c r="E47" s="34" t="s">
        <v>229</v>
      </c>
      <c r="F47" s="34">
        <v>2016.0</v>
      </c>
      <c r="G47" s="34" t="s">
        <v>230</v>
      </c>
      <c r="H47" s="34" t="s">
        <v>231</v>
      </c>
      <c r="I47" s="34" t="s">
        <v>232</v>
      </c>
      <c r="J47" s="35"/>
      <c r="K47" s="36">
        <v>-0.75</v>
      </c>
      <c r="L47" s="36"/>
      <c r="M47" s="36"/>
      <c r="N47" s="36"/>
      <c r="O47" s="36"/>
      <c r="P47" s="37">
        <v>-38.58</v>
      </c>
      <c r="Q47" s="36" t="s">
        <v>96</v>
      </c>
      <c r="R47" s="36" t="s">
        <v>209</v>
      </c>
      <c r="S47" s="36">
        <v>1000.0</v>
      </c>
      <c r="T47" s="36" t="s">
        <v>233</v>
      </c>
      <c r="U47" s="36" t="s">
        <v>234</v>
      </c>
      <c r="V47" s="36">
        <v>31.0</v>
      </c>
      <c r="W47" s="36" t="s">
        <v>169</v>
      </c>
      <c r="X47" s="38">
        <v>1.0</v>
      </c>
      <c r="Y47" s="38" t="s">
        <v>235</v>
      </c>
      <c r="Z47" s="38" t="s">
        <v>236</v>
      </c>
      <c r="AA47" s="38" t="s">
        <v>86</v>
      </c>
      <c r="AB47" s="55">
        <v>4168567.0</v>
      </c>
      <c r="AC47" s="55">
        <v>310121.0</v>
      </c>
      <c r="AD47" s="38" t="s">
        <v>237</v>
      </c>
      <c r="AE47" s="53"/>
      <c r="AF47" s="38" t="s">
        <v>238</v>
      </c>
      <c r="AG47" s="38"/>
      <c r="AH47" s="38"/>
      <c r="AI47" s="50">
        <v>37.646</v>
      </c>
      <c r="AJ47" s="50">
        <v>12.8523</v>
      </c>
      <c r="AK47" s="41" t="s">
        <v>86</v>
      </c>
      <c r="AL47" s="40" t="s">
        <v>86</v>
      </c>
      <c r="AM47" s="49">
        <v>122.0</v>
      </c>
      <c r="AN47" s="51">
        <v>122.0</v>
      </c>
      <c r="AO47" s="42" t="s">
        <v>175</v>
      </c>
      <c r="AP47" s="43" t="s">
        <v>175</v>
      </c>
      <c r="AQ47" s="44" t="str">
        <f t="shared" si="1"/>
        <v>CRO</v>
      </c>
      <c r="AR47" s="44">
        <f t="shared" si="3"/>
        <v>122</v>
      </c>
      <c r="AS47" s="44" t="str">
        <f t="shared" si="5"/>
        <v>C</v>
      </c>
      <c r="AT47" s="44" t="str">
        <f t="shared" si="17"/>
        <v>Cs</v>
      </c>
      <c r="AU47" s="44" t="str">
        <f t="shared" si="2"/>
        <v>Csa</v>
      </c>
      <c r="AV47" s="38"/>
      <c r="AW47" s="38"/>
      <c r="AX47" s="38">
        <v>3000.0</v>
      </c>
      <c r="AY47" s="38" t="s">
        <v>88</v>
      </c>
      <c r="AZ47" s="29">
        <v>1000.0</v>
      </c>
      <c r="BA47" s="29"/>
      <c r="BB47" s="29">
        <v>2.0</v>
      </c>
      <c r="BC47" s="29" t="s">
        <v>247</v>
      </c>
      <c r="BD47" s="29" t="s">
        <v>88</v>
      </c>
      <c r="BE47" s="29"/>
      <c r="BF47" s="29"/>
      <c r="BG47" s="29" t="s">
        <v>220</v>
      </c>
      <c r="BH47" s="29" t="s">
        <v>92</v>
      </c>
      <c r="BI47" s="29"/>
      <c r="BJ47" s="29"/>
      <c r="BK47" s="29"/>
      <c r="BL47" s="29"/>
      <c r="BM47" s="45">
        <v>1.0</v>
      </c>
      <c r="BN47" s="45">
        <v>1.0</v>
      </c>
      <c r="BO47" s="46"/>
      <c r="BP47" s="2"/>
      <c r="BQ47" s="3"/>
    </row>
    <row r="48">
      <c r="A48" s="34">
        <v>45.0</v>
      </c>
      <c r="B48" s="34">
        <v>103770.0</v>
      </c>
      <c r="C48" s="34" t="s">
        <v>76</v>
      </c>
      <c r="D48" s="34" t="s">
        <v>228</v>
      </c>
      <c r="E48" s="34" t="s">
        <v>229</v>
      </c>
      <c r="F48" s="34">
        <v>2016.0</v>
      </c>
      <c r="G48" s="34" t="s">
        <v>230</v>
      </c>
      <c r="H48" s="34" t="s">
        <v>231</v>
      </c>
      <c r="I48" s="34" t="s">
        <v>232</v>
      </c>
      <c r="J48" s="35"/>
      <c r="K48" s="36">
        <v>-0.26</v>
      </c>
      <c r="L48" s="36"/>
      <c r="M48" s="36"/>
      <c r="N48" s="36"/>
      <c r="O48" s="36"/>
      <c r="P48" s="37">
        <v>-19.48</v>
      </c>
      <c r="Q48" s="36" t="s">
        <v>96</v>
      </c>
      <c r="R48" s="36" t="s">
        <v>209</v>
      </c>
      <c r="S48" s="36">
        <v>1000.0</v>
      </c>
      <c r="T48" s="36" t="s">
        <v>242</v>
      </c>
      <c r="U48" s="36" t="s">
        <v>243</v>
      </c>
      <c r="V48" s="36">
        <v>19.0</v>
      </c>
      <c r="W48" s="36" t="s">
        <v>169</v>
      </c>
      <c r="X48" s="38">
        <v>1.0</v>
      </c>
      <c r="Y48" s="38" t="s">
        <v>235</v>
      </c>
      <c r="Z48" s="38" t="s">
        <v>236</v>
      </c>
      <c r="AA48" s="38" t="s">
        <v>86</v>
      </c>
      <c r="AB48" s="55">
        <v>4168567.0</v>
      </c>
      <c r="AC48" s="55">
        <v>310121.0</v>
      </c>
      <c r="AD48" s="38" t="s">
        <v>237</v>
      </c>
      <c r="AE48" s="53"/>
      <c r="AF48" s="38" t="s">
        <v>238</v>
      </c>
      <c r="AG48" s="38"/>
      <c r="AH48" s="38"/>
      <c r="AI48" s="50">
        <v>37.646</v>
      </c>
      <c r="AJ48" s="50">
        <v>12.8523</v>
      </c>
      <c r="AK48" s="41" t="s">
        <v>86</v>
      </c>
      <c r="AL48" s="40" t="s">
        <v>86</v>
      </c>
      <c r="AM48" s="49">
        <v>122.0</v>
      </c>
      <c r="AN48" s="51">
        <v>122.0</v>
      </c>
      <c r="AO48" s="42" t="s">
        <v>175</v>
      </c>
      <c r="AP48" s="43" t="s">
        <v>175</v>
      </c>
      <c r="AQ48" s="44" t="str">
        <f t="shared" si="1"/>
        <v>CRO</v>
      </c>
      <c r="AR48" s="44">
        <f t="shared" si="3"/>
        <v>122</v>
      </c>
      <c r="AS48" s="44" t="str">
        <f t="shared" si="5"/>
        <v>C</v>
      </c>
      <c r="AT48" s="44" t="str">
        <f t="shared" si="17"/>
        <v>Cs</v>
      </c>
      <c r="AU48" s="44" t="str">
        <f t="shared" si="2"/>
        <v>Csa</v>
      </c>
      <c r="AV48" s="38"/>
      <c r="AW48" s="38"/>
      <c r="AX48" s="38">
        <v>3000.0</v>
      </c>
      <c r="AY48" s="38" t="s">
        <v>88</v>
      </c>
      <c r="AZ48" s="29">
        <v>1000.0</v>
      </c>
      <c r="BA48" s="29"/>
      <c r="BB48" s="29">
        <v>2.0</v>
      </c>
      <c r="BC48" s="29" t="s">
        <v>247</v>
      </c>
      <c r="BD48" s="29" t="s">
        <v>88</v>
      </c>
      <c r="BE48" s="29"/>
      <c r="BF48" s="29"/>
      <c r="BG48" s="29" t="s">
        <v>220</v>
      </c>
      <c r="BH48" s="29" t="s">
        <v>92</v>
      </c>
      <c r="BI48" s="29"/>
      <c r="BJ48" s="29"/>
      <c r="BK48" s="29"/>
      <c r="BL48" s="29"/>
      <c r="BM48" s="45">
        <v>1.0</v>
      </c>
      <c r="BN48" s="45">
        <v>1.0</v>
      </c>
      <c r="BO48" s="46"/>
      <c r="BP48" s="2"/>
      <c r="BQ48" s="3"/>
    </row>
    <row r="49">
      <c r="A49" s="34">
        <v>46.0</v>
      </c>
      <c r="B49" s="34">
        <v>103770.0</v>
      </c>
      <c r="C49" s="34" t="s">
        <v>76</v>
      </c>
      <c r="D49" s="34" t="s">
        <v>228</v>
      </c>
      <c r="E49" s="34" t="s">
        <v>229</v>
      </c>
      <c r="F49" s="34">
        <v>2016.0</v>
      </c>
      <c r="G49" s="34" t="s">
        <v>230</v>
      </c>
      <c r="H49" s="34" t="s">
        <v>231</v>
      </c>
      <c r="I49" s="34" t="s">
        <v>232</v>
      </c>
      <c r="J49" s="35"/>
      <c r="K49" s="36">
        <v>-0.5</v>
      </c>
      <c r="L49" s="36"/>
      <c r="M49" s="36"/>
      <c r="N49" s="36"/>
      <c r="O49" s="36"/>
      <c r="P49" s="37">
        <v>-29.26</v>
      </c>
      <c r="Q49" s="36" t="s">
        <v>96</v>
      </c>
      <c r="R49" s="36" t="s">
        <v>209</v>
      </c>
      <c r="S49" s="36">
        <v>1000.0</v>
      </c>
      <c r="T49" s="36" t="s">
        <v>167</v>
      </c>
      <c r="U49" s="36" t="s">
        <v>244</v>
      </c>
      <c r="V49" s="36">
        <v>38.0</v>
      </c>
      <c r="W49" s="36" t="s">
        <v>169</v>
      </c>
      <c r="X49" s="38">
        <v>1.0</v>
      </c>
      <c r="Y49" s="38" t="s">
        <v>235</v>
      </c>
      <c r="Z49" s="38" t="s">
        <v>236</v>
      </c>
      <c r="AA49" s="38" t="s">
        <v>86</v>
      </c>
      <c r="AB49" s="55">
        <v>4168567.0</v>
      </c>
      <c r="AC49" s="55">
        <v>310121.0</v>
      </c>
      <c r="AD49" s="38" t="s">
        <v>237</v>
      </c>
      <c r="AE49" s="53"/>
      <c r="AF49" s="38" t="s">
        <v>238</v>
      </c>
      <c r="AG49" s="38"/>
      <c r="AH49" s="38"/>
      <c r="AI49" s="50">
        <v>37.646</v>
      </c>
      <c r="AJ49" s="50">
        <v>12.8523</v>
      </c>
      <c r="AK49" s="41" t="s">
        <v>86</v>
      </c>
      <c r="AL49" s="40" t="s">
        <v>86</v>
      </c>
      <c r="AM49" s="49">
        <v>122.0</v>
      </c>
      <c r="AN49" s="51">
        <v>122.0</v>
      </c>
      <c r="AO49" s="42" t="s">
        <v>175</v>
      </c>
      <c r="AP49" s="43" t="s">
        <v>175</v>
      </c>
      <c r="AQ49" s="44" t="str">
        <f t="shared" si="1"/>
        <v>CRO</v>
      </c>
      <c r="AR49" s="44">
        <f t="shared" si="3"/>
        <v>122</v>
      </c>
      <c r="AS49" s="44" t="str">
        <f t="shared" si="5"/>
        <v>C</v>
      </c>
      <c r="AT49" s="44" t="str">
        <f t="shared" si="17"/>
        <v>Cs</v>
      </c>
      <c r="AU49" s="44" t="str">
        <f t="shared" si="2"/>
        <v>Csa</v>
      </c>
      <c r="AV49" s="38"/>
      <c r="AW49" s="38"/>
      <c r="AX49" s="38">
        <v>3000.0</v>
      </c>
      <c r="AY49" s="38" t="s">
        <v>88</v>
      </c>
      <c r="AZ49" s="29">
        <v>1000.0</v>
      </c>
      <c r="BA49" s="29"/>
      <c r="BB49" s="29">
        <v>2.0</v>
      </c>
      <c r="BC49" s="29" t="s">
        <v>247</v>
      </c>
      <c r="BD49" s="29" t="s">
        <v>88</v>
      </c>
      <c r="BE49" s="29"/>
      <c r="BF49" s="29"/>
      <c r="BG49" s="29" t="s">
        <v>220</v>
      </c>
      <c r="BH49" s="29" t="s">
        <v>92</v>
      </c>
      <c r="BI49" s="29"/>
      <c r="BJ49" s="29"/>
      <c r="BK49" s="29"/>
      <c r="BL49" s="29"/>
      <c r="BM49" s="45">
        <v>1.0</v>
      </c>
      <c r="BN49" s="45">
        <v>1.0</v>
      </c>
      <c r="BO49" s="46"/>
      <c r="BP49" s="2"/>
      <c r="BQ49" s="3"/>
    </row>
    <row r="50">
      <c r="A50" s="34">
        <v>47.0</v>
      </c>
      <c r="B50" s="34">
        <v>103770.0</v>
      </c>
      <c r="C50" s="34" t="s">
        <v>76</v>
      </c>
      <c r="D50" s="34" t="s">
        <v>228</v>
      </c>
      <c r="E50" s="34" t="s">
        <v>229</v>
      </c>
      <c r="F50" s="34">
        <v>2016.0</v>
      </c>
      <c r="G50" s="34" t="s">
        <v>230</v>
      </c>
      <c r="H50" s="34" t="s">
        <v>231</v>
      </c>
      <c r="I50" s="34" t="s">
        <v>232</v>
      </c>
      <c r="J50" s="35"/>
      <c r="K50" s="36">
        <v>-0.8</v>
      </c>
      <c r="L50" s="36"/>
      <c r="M50" s="36"/>
      <c r="N50" s="36"/>
      <c r="O50" s="36"/>
      <c r="P50" s="37">
        <v>-40.28</v>
      </c>
      <c r="Q50" s="36" t="s">
        <v>96</v>
      </c>
      <c r="R50" s="36" t="s">
        <v>209</v>
      </c>
      <c r="S50" s="36">
        <v>1000.0</v>
      </c>
      <c r="T50" s="36" t="s">
        <v>245</v>
      </c>
      <c r="U50" s="36" t="s">
        <v>246</v>
      </c>
      <c r="V50" s="36">
        <v>40.0</v>
      </c>
      <c r="W50" s="36" t="s">
        <v>169</v>
      </c>
      <c r="X50" s="38">
        <v>1.0</v>
      </c>
      <c r="Y50" s="38" t="s">
        <v>235</v>
      </c>
      <c r="Z50" s="38" t="s">
        <v>236</v>
      </c>
      <c r="AA50" s="38" t="s">
        <v>86</v>
      </c>
      <c r="AB50" s="55">
        <v>4168567.0</v>
      </c>
      <c r="AC50" s="55">
        <v>310121.0</v>
      </c>
      <c r="AD50" s="38" t="s">
        <v>237</v>
      </c>
      <c r="AE50" s="53"/>
      <c r="AF50" s="38" t="s">
        <v>238</v>
      </c>
      <c r="AG50" s="38"/>
      <c r="AH50" s="38"/>
      <c r="AI50" s="50">
        <v>37.646</v>
      </c>
      <c r="AJ50" s="50">
        <v>12.8523</v>
      </c>
      <c r="AK50" s="41" t="s">
        <v>86</v>
      </c>
      <c r="AL50" s="40" t="s">
        <v>86</v>
      </c>
      <c r="AM50" s="49">
        <v>122.0</v>
      </c>
      <c r="AN50" s="51">
        <v>122.0</v>
      </c>
      <c r="AO50" s="42" t="s">
        <v>175</v>
      </c>
      <c r="AP50" s="43" t="s">
        <v>175</v>
      </c>
      <c r="AQ50" s="44" t="str">
        <f t="shared" si="1"/>
        <v>CRO</v>
      </c>
      <c r="AR50" s="44">
        <f t="shared" si="3"/>
        <v>122</v>
      </c>
      <c r="AS50" s="44" t="str">
        <f t="shared" si="5"/>
        <v>C</v>
      </c>
      <c r="AT50" s="44" t="str">
        <f t="shared" si="17"/>
        <v>Cs</v>
      </c>
      <c r="AU50" s="44" t="str">
        <f t="shared" si="2"/>
        <v>Csa</v>
      </c>
      <c r="AV50" s="38"/>
      <c r="AW50" s="38"/>
      <c r="AX50" s="38">
        <v>3000.0</v>
      </c>
      <c r="AY50" s="38" t="s">
        <v>88</v>
      </c>
      <c r="AZ50" s="29">
        <v>1000.0</v>
      </c>
      <c r="BA50" s="29"/>
      <c r="BB50" s="29">
        <v>2.0</v>
      </c>
      <c r="BC50" s="29" t="s">
        <v>247</v>
      </c>
      <c r="BD50" s="29" t="s">
        <v>88</v>
      </c>
      <c r="BE50" s="29"/>
      <c r="BF50" s="29"/>
      <c r="BG50" s="29" t="s">
        <v>220</v>
      </c>
      <c r="BH50" s="29" t="s">
        <v>92</v>
      </c>
      <c r="BI50" s="29"/>
      <c r="BJ50" s="29"/>
      <c r="BK50" s="29"/>
      <c r="BL50" s="29"/>
      <c r="BM50" s="45">
        <v>1.0</v>
      </c>
      <c r="BN50" s="45">
        <v>1.0</v>
      </c>
      <c r="BO50" s="46"/>
      <c r="BP50" s="2"/>
      <c r="BQ50" s="3"/>
    </row>
    <row r="51">
      <c r="A51" s="34">
        <v>48.0</v>
      </c>
      <c r="B51" s="34">
        <v>103770.0</v>
      </c>
      <c r="C51" s="34" t="s">
        <v>76</v>
      </c>
      <c r="D51" s="34" t="s">
        <v>228</v>
      </c>
      <c r="E51" s="34" t="s">
        <v>229</v>
      </c>
      <c r="F51" s="34">
        <v>2016.0</v>
      </c>
      <c r="G51" s="34" t="s">
        <v>230</v>
      </c>
      <c r="H51" s="34" t="s">
        <v>231</v>
      </c>
      <c r="I51" s="34" t="s">
        <v>232</v>
      </c>
      <c r="J51" s="35"/>
      <c r="K51" s="36">
        <v>-0.62</v>
      </c>
      <c r="L51" s="36"/>
      <c r="M51" s="36"/>
      <c r="N51" s="36"/>
      <c r="O51" s="36"/>
      <c r="P51" s="37">
        <v>-34.41</v>
      </c>
      <c r="Q51" s="36" t="s">
        <v>96</v>
      </c>
      <c r="R51" s="36" t="s">
        <v>209</v>
      </c>
      <c r="S51" s="36">
        <v>1000.0</v>
      </c>
      <c r="T51" s="36" t="s">
        <v>233</v>
      </c>
      <c r="U51" s="36" t="s">
        <v>246</v>
      </c>
      <c r="V51" s="36">
        <v>128.0</v>
      </c>
      <c r="W51" s="36" t="s">
        <v>169</v>
      </c>
      <c r="X51" s="38">
        <v>1.0</v>
      </c>
      <c r="Y51" s="38" t="s">
        <v>235</v>
      </c>
      <c r="Z51" s="38" t="s">
        <v>236</v>
      </c>
      <c r="AA51" s="38" t="s">
        <v>86</v>
      </c>
      <c r="AB51" s="55">
        <v>4168567.0</v>
      </c>
      <c r="AC51" s="55">
        <v>310121.0</v>
      </c>
      <c r="AD51" s="38" t="s">
        <v>237</v>
      </c>
      <c r="AE51" s="53"/>
      <c r="AF51" s="38" t="s">
        <v>238</v>
      </c>
      <c r="AG51" s="38"/>
      <c r="AH51" s="38"/>
      <c r="AI51" s="50">
        <v>37.646</v>
      </c>
      <c r="AJ51" s="50">
        <v>12.8523</v>
      </c>
      <c r="AK51" s="41" t="s">
        <v>86</v>
      </c>
      <c r="AL51" s="40" t="s">
        <v>86</v>
      </c>
      <c r="AM51" s="49">
        <v>122.0</v>
      </c>
      <c r="AN51" s="51">
        <v>122.0</v>
      </c>
      <c r="AO51" s="42" t="s">
        <v>175</v>
      </c>
      <c r="AP51" s="43" t="s">
        <v>175</v>
      </c>
      <c r="AQ51" s="44" t="str">
        <f t="shared" si="1"/>
        <v>CRO</v>
      </c>
      <c r="AR51" s="44">
        <f t="shared" si="3"/>
        <v>122</v>
      </c>
      <c r="AS51" s="44" t="str">
        <f t="shared" si="5"/>
        <v>C</v>
      </c>
      <c r="AT51" s="44" t="str">
        <f t="shared" si="17"/>
        <v>Cs</v>
      </c>
      <c r="AU51" s="44" t="str">
        <f t="shared" si="2"/>
        <v>Csa</v>
      </c>
      <c r="AV51" s="38"/>
      <c r="AW51" s="38"/>
      <c r="AX51" s="38">
        <v>3000.0</v>
      </c>
      <c r="AY51" s="38" t="s">
        <v>88</v>
      </c>
      <c r="AZ51" s="29">
        <v>1000.0</v>
      </c>
      <c r="BA51" s="29"/>
      <c r="BB51" s="29">
        <v>2.0</v>
      </c>
      <c r="BC51" s="29" t="s">
        <v>247</v>
      </c>
      <c r="BD51" s="29" t="s">
        <v>88</v>
      </c>
      <c r="BE51" s="29"/>
      <c r="BF51" s="29"/>
      <c r="BG51" s="29" t="s">
        <v>220</v>
      </c>
      <c r="BH51" s="29" t="s">
        <v>92</v>
      </c>
      <c r="BI51" s="29"/>
      <c r="BJ51" s="29"/>
      <c r="BK51" s="29"/>
      <c r="BL51" s="29"/>
      <c r="BM51" s="45">
        <v>1.0</v>
      </c>
      <c r="BN51" s="45">
        <v>1.0</v>
      </c>
      <c r="BO51" s="46"/>
      <c r="BP51" s="2"/>
      <c r="BQ51" s="3"/>
    </row>
    <row r="52">
      <c r="A52" s="34">
        <v>50.0</v>
      </c>
      <c r="B52" s="34">
        <v>104191.0</v>
      </c>
      <c r="C52" s="34" t="s">
        <v>76</v>
      </c>
      <c r="D52" s="34" t="s">
        <v>248</v>
      </c>
      <c r="E52" s="34" t="s">
        <v>249</v>
      </c>
      <c r="F52" s="34">
        <v>2021.0</v>
      </c>
      <c r="G52" s="34" t="s">
        <v>250</v>
      </c>
      <c r="H52" s="34" t="s">
        <v>251</v>
      </c>
      <c r="I52" s="34" t="s">
        <v>252</v>
      </c>
      <c r="J52" s="35"/>
      <c r="K52" s="36">
        <v>-1.25</v>
      </c>
      <c r="L52" s="36"/>
      <c r="M52" s="36"/>
      <c r="N52" s="36"/>
      <c r="O52" s="36"/>
      <c r="P52" s="37">
        <v>-23.0</v>
      </c>
      <c r="Q52" s="36" t="s">
        <v>96</v>
      </c>
      <c r="R52" s="36" t="s">
        <v>96</v>
      </c>
      <c r="S52" s="36" t="s">
        <v>253</v>
      </c>
      <c r="T52" s="36" t="s">
        <v>254</v>
      </c>
      <c r="U52" s="36" t="s">
        <v>255</v>
      </c>
      <c r="V52" s="36"/>
      <c r="W52" s="36" t="s">
        <v>88</v>
      </c>
      <c r="X52" s="38">
        <v>1.0</v>
      </c>
      <c r="Y52" s="53" t="s">
        <v>256</v>
      </c>
      <c r="Z52" s="38" t="s">
        <v>257</v>
      </c>
      <c r="AA52" s="38" t="s">
        <v>86</v>
      </c>
      <c r="AB52" s="38" t="s">
        <v>258</v>
      </c>
      <c r="AC52" s="38" t="s">
        <v>259</v>
      </c>
      <c r="AD52" s="38" t="s">
        <v>198</v>
      </c>
      <c r="AE52" s="53"/>
      <c r="AF52" s="38" t="s">
        <v>260</v>
      </c>
      <c r="AG52" s="38"/>
      <c r="AH52" s="38"/>
      <c r="AI52" s="50">
        <v>38.875</v>
      </c>
      <c r="AJ52" s="50">
        <v>100.375</v>
      </c>
      <c r="AK52" s="41" t="s">
        <v>86</v>
      </c>
      <c r="AL52" s="40" t="s">
        <v>86</v>
      </c>
      <c r="AM52" s="49">
        <v>1554.0</v>
      </c>
      <c r="AN52" s="51">
        <v>1554.0</v>
      </c>
      <c r="AO52" s="42" t="s">
        <v>261</v>
      </c>
      <c r="AP52" s="43" t="s">
        <v>261</v>
      </c>
      <c r="AQ52" s="44" t="str">
        <f t="shared" si="1"/>
        <v>CRO</v>
      </c>
      <c r="AR52" s="44">
        <f t="shared" si="3"/>
        <v>1554</v>
      </c>
      <c r="AS52" s="44" t="str">
        <f t="shared" si="5"/>
        <v>B</v>
      </c>
      <c r="AT52" s="44" t="str">
        <f t="shared" si="17"/>
        <v>BW</v>
      </c>
      <c r="AU52" s="44" t="str">
        <f t="shared" si="2"/>
        <v>BWk</v>
      </c>
      <c r="AV52" s="38"/>
      <c r="AW52" s="38"/>
      <c r="AX52" s="38"/>
      <c r="AY52" s="38"/>
      <c r="AZ52" s="29" t="s">
        <v>253</v>
      </c>
      <c r="BA52" s="29">
        <v>2.0</v>
      </c>
      <c r="BB52" s="29">
        <v>1.0</v>
      </c>
      <c r="BC52" s="29" t="s">
        <v>262</v>
      </c>
      <c r="BD52" s="29" t="s">
        <v>88</v>
      </c>
      <c r="BE52" s="29" t="s">
        <v>263</v>
      </c>
      <c r="BF52" s="29" t="s">
        <v>264</v>
      </c>
      <c r="BG52" s="29" t="s">
        <v>91</v>
      </c>
      <c r="BH52" s="29"/>
      <c r="BI52" s="29" t="s">
        <v>265</v>
      </c>
      <c r="BJ52" s="29" t="s">
        <v>266</v>
      </c>
      <c r="BK52" s="29" t="s">
        <v>148</v>
      </c>
      <c r="BL52" s="29" t="s">
        <v>148</v>
      </c>
      <c r="BM52" s="45">
        <v>1.0</v>
      </c>
      <c r="BN52" s="45">
        <v>1.0</v>
      </c>
      <c r="BO52" s="46" t="s">
        <v>267</v>
      </c>
      <c r="BP52" s="2"/>
      <c r="BQ52" s="3"/>
    </row>
    <row r="53">
      <c r="A53" s="34">
        <v>51.0</v>
      </c>
      <c r="B53" s="34">
        <v>104191.0</v>
      </c>
      <c r="C53" s="34" t="s">
        <v>76</v>
      </c>
      <c r="D53" s="34" t="s">
        <v>248</v>
      </c>
      <c r="E53" s="34" t="s">
        <v>249</v>
      </c>
      <c r="F53" s="34">
        <v>2021.0</v>
      </c>
      <c r="G53" s="34" t="s">
        <v>250</v>
      </c>
      <c r="H53" s="34" t="s">
        <v>251</v>
      </c>
      <c r="I53" s="34" t="s">
        <v>252</v>
      </c>
      <c r="J53" s="35"/>
      <c r="K53" s="36"/>
      <c r="L53" s="36"/>
      <c r="M53" s="36"/>
      <c r="N53" s="36">
        <v>-46.3</v>
      </c>
      <c r="O53" s="36"/>
      <c r="P53" s="37">
        <v>-8.7</v>
      </c>
      <c r="Q53" s="36"/>
      <c r="R53" s="36" t="s">
        <v>82</v>
      </c>
      <c r="S53" s="36" t="s">
        <v>268</v>
      </c>
      <c r="T53" s="36" t="s">
        <v>254</v>
      </c>
      <c r="U53" s="36" t="s">
        <v>255</v>
      </c>
      <c r="V53" s="36"/>
      <c r="W53" s="36" t="s">
        <v>88</v>
      </c>
      <c r="X53" s="38">
        <v>1.0</v>
      </c>
      <c r="Y53" s="53" t="s">
        <v>256</v>
      </c>
      <c r="Z53" s="38" t="s">
        <v>257</v>
      </c>
      <c r="AA53" s="38" t="s">
        <v>86</v>
      </c>
      <c r="AB53" s="38" t="s">
        <v>258</v>
      </c>
      <c r="AC53" s="38" t="s">
        <v>259</v>
      </c>
      <c r="AD53" s="38" t="s">
        <v>198</v>
      </c>
      <c r="AE53" s="53"/>
      <c r="AF53" s="38" t="s">
        <v>260</v>
      </c>
      <c r="AG53" s="38"/>
      <c r="AH53" s="38"/>
      <c r="AI53" s="50">
        <v>38.875</v>
      </c>
      <c r="AJ53" s="50">
        <v>100.375</v>
      </c>
      <c r="AK53" s="41" t="s">
        <v>86</v>
      </c>
      <c r="AL53" s="40" t="s">
        <v>86</v>
      </c>
      <c r="AM53" s="49">
        <v>1554.0</v>
      </c>
      <c r="AN53" s="51">
        <v>1554.0</v>
      </c>
      <c r="AO53" s="42" t="s">
        <v>261</v>
      </c>
      <c r="AP53" s="43" t="s">
        <v>261</v>
      </c>
      <c r="AQ53" s="44" t="str">
        <f t="shared" si="1"/>
        <v>CRO</v>
      </c>
      <c r="AR53" s="44">
        <f t="shared" si="3"/>
        <v>1554</v>
      </c>
      <c r="AS53" s="44" t="str">
        <f t="shared" si="5"/>
        <v>B</v>
      </c>
      <c r="AT53" s="44" t="str">
        <f t="shared" si="17"/>
        <v>BW</v>
      </c>
      <c r="AU53" s="44" t="str">
        <f t="shared" si="2"/>
        <v>BWk</v>
      </c>
      <c r="AV53" s="38"/>
      <c r="AW53" s="38"/>
      <c r="AX53" s="38"/>
      <c r="AY53" s="38"/>
      <c r="AZ53" s="29" t="s">
        <v>268</v>
      </c>
      <c r="BA53" s="29">
        <v>2.0</v>
      </c>
      <c r="BB53" s="29">
        <v>1.0</v>
      </c>
      <c r="BC53" s="29" t="s">
        <v>262</v>
      </c>
      <c r="BD53" s="29" t="s">
        <v>88</v>
      </c>
      <c r="BE53" s="29" t="s">
        <v>263</v>
      </c>
      <c r="BF53" s="29" t="s">
        <v>264</v>
      </c>
      <c r="BG53" s="29" t="s">
        <v>91</v>
      </c>
      <c r="BH53" s="29"/>
      <c r="BI53" s="29" t="s">
        <v>265</v>
      </c>
      <c r="BJ53" s="29" t="s">
        <v>266</v>
      </c>
      <c r="BK53" s="29" t="s">
        <v>148</v>
      </c>
      <c r="BL53" s="29" t="s">
        <v>148</v>
      </c>
      <c r="BM53" s="45"/>
      <c r="BN53" s="45"/>
      <c r="BO53" s="46"/>
      <c r="BP53" s="2"/>
      <c r="BQ53" s="3"/>
    </row>
    <row r="54">
      <c r="A54" s="34">
        <v>52.0</v>
      </c>
      <c r="B54" s="34">
        <v>104191.0</v>
      </c>
      <c r="C54" s="34" t="s">
        <v>76</v>
      </c>
      <c r="D54" s="34" t="s">
        <v>248</v>
      </c>
      <c r="E54" s="34" t="s">
        <v>249</v>
      </c>
      <c r="F54" s="34">
        <v>2021.0</v>
      </c>
      <c r="G54" s="34" t="s">
        <v>250</v>
      </c>
      <c r="H54" s="34" t="s">
        <v>251</v>
      </c>
      <c r="I54" s="34" t="s">
        <v>252</v>
      </c>
      <c r="J54" s="35"/>
      <c r="K54" s="36">
        <v>-0.6</v>
      </c>
      <c r="L54" s="36"/>
      <c r="M54" s="36"/>
      <c r="N54" s="36"/>
      <c r="O54" s="36"/>
      <c r="P54" s="37">
        <v>-7.1</v>
      </c>
      <c r="Q54" s="36" t="s">
        <v>96</v>
      </c>
      <c r="R54" s="36" t="s">
        <v>96</v>
      </c>
      <c r="S54" s="36" t="s">
        <v>268</v>
      </c>
      <c r="T54" s="36" t="s">
        <v>254</v>
      </c>
      <c r="U54" s="36" t="s">
        <v>255</v>
      </c>
      <c r="V54" s="36"/>
      <c r="W54" s="36" t="s">
        <v>88</v>
      </c>
      <c r="X54" s="38">
        <v>1.0</v>
      </c>
      <c r="Y54" s="53" t="s">
        <v>256</v>
      </c>
      <c r="Z54" s="38" t="s">
        <v>257</v>
      </c>
      <c r="AA54" s="38" t="s">
        <v>86</v>
      </c>
      <c r="AB54" s="38" t="s">
        <v>258</v>
      </c>
      <c r="AC54" s="38" t="s">
        <v>259</v>
      </c>
      <c r="AD54" s="38" t="s">
        <v>198</v>
      </c>
      <c r="AE54" s="53"/>
      <c r="AF54" s="38" t="s">
        <v>260</v>
      </c>
      <c r="AG54" s="38"/>
      <c r="AH54" s="38"/>
      <c r="AI54" s="50">
        <v>38.875</v>
      </c>
      <c r="AJ54" s="50">
        <v>100.375</v>
      </c>
      <c r="AK54" s="41" t="s">
        <v>86</v>
      </c>
      <c r="AL54" s="40" t="s">
        <v>86</v>
      </c>
      <c r="AM54" s="49">
        <v>1554.0</v>
      </c>
      <c r="AN54" s="51">
        <v>1554.0</v>
      </c>
      <c r="AO54" s="42" t="s">
        <v>261</v>
      </c>
      <c r="AP54" s="43" t="s">
        <v>261</v>
      </c>
      <c r="AQ54" s="44" t="str">
        <f t="shared" si="1"/>
        <v>CRO</v>
      </c>
      <c r="AR54" s="44">
        <f t="shared" si="3"/>
        <v>1554</v>
      </c>
      <c r="AS54" s="44" t="str">
        <f t="shared" si="5"/>
        <v>B</v>
      </c>
      <c r="AT54" s="44" t="str">
        <f t="shared" si="17"/>
        <v>BW</v>
      </c>
      <c r="AU54" s="44" t="str">
        <f t="shared" si="2"/>
        <v>BWk</v>
      </c>
      <c r="AV54" s="38"/>
      <c r="AW54" s="38"/>
      <c r="AX54" s="38"/>
      <c r="AY54" s="38"/>
      <c r="AZ54" s="29" t="s">
        <v>268</v>
      </c>
      <c r="BA54" s="29"/>
      <c r="BB54" s="29">
        <v>1.0</v>
      </c>
      <c r="BC54" s="29" t="s">
        <v>269</v>
      </c>
      <c r="BD54" s="29" t="s">
        <v>88</v>
      </c>
      <c r="BE54" s="29" t="s">
        <v>263</v>
      </c>
      <c r="BF54" s="29" t="s">
        <v>270</v>
      </c>
      <c r="BG54" s="29" t="s">
        <v>220</v>
      </c>
      <c r="BH54" s="29"/>
      <c r="BI54" s="29"/>
      <c r="BJ54" s="29"/>
      <c r="BK54" s="29"/>
      <c r="BL54" s="29"/>
      <c r="BM54" s="45"/>
      <c r="BN54" s="45"/>
      <c r="BO54" s="46"/>
      <c r="BP54" s="2"/>
      <c r="BQ54" s="3"/>
    </row>
    <row r="55">
      <c r="A55" s="34">
        <v>53.0</v>
      </c>
      <c r="B55" s="34">
        <v>104191.0</v>
      </c>
      <c r="C55" s="34" t="s">
        <v>76</v>
      </c>
      <c r="D55" s="34" t="s">
        <v>248</v>
      </c>
      <c r="E55" s="34" t="s">
        <v>249</v>
      </c>
      <c r="F55" s="34">
        <v>2021.0</v>
      </c>
      <c r="G55" s="34" t="s">
        <v>250</v>
      </c>
      <c r="H55" s="34" t="s">
        <v>251</v>
      </c>
      <c r="I55" s="34" t="s">
        <v>252</v>
      </c>
      <c r="J55" s="35"/>
      <c r="K55" s="36">
        <v>-3.77</v>
      </c>
      <c r="L55" s="36"/>
      <c r="M55" s="36"/>
      <c r="N55" s="36"/>
      <c r="O55" s="36"/>
      <c r="P55" s="37">
        <v>-76.6</v>
      </c>
      <c r="Q55" s="36" t="s">
        <v>96</v>
      </c>
      <c r="R55" s="36" t="s">
        <v>96</v>
      </c>
      <c r="S55" s="36" t="s">
        <v>271</v>
      </c>
      <c r="T55" s="36" t="s">
        <v>254</v>
      </c>
      <c r="U55" s="36" t="s">
        <v>255</v>
      </c>
      <c r="V55" s="36"/>
      <c r="W55" s="36" t="s">
        <v>88</v>
      </c>
      <c r="X55" s="38">
        <v>1.0</v>
      </c>
      <c r="Y55" s="53" t="s">
        <v>256</v>
      </c>
      <c r="Z55" s="38" t="s">
        <v>257</v>
      </c>
      <c r="AA55" s="38" t="s">
        <v>86</v>
      </c>
      <c r="AB55" s="38" t="s">
        <v>258</v>
      </c>
      <c r="AC55" s="38" t="s">
        <v>259</v>
      </c>
      <c r="AD55" s="38" t="s">
        <v>198</v>
      </c>
      <c r="AE55" s="53"/>
      <c r="AF55" s="38" t="s">
        <v>260</v>
      </c>
      <c r="AG55" s="38"/>
      <c r="AH55" s="38"/>
      <c r="AI55" s="50">
        <v>38.875</v>
      </c>
      <c r="AJ55" s="50">
        <v>100.375</v>
      </c>
      <c r="AK55" s="41" t="s">
        <v>86</v>
      </c>
      <c r="AL55" s="40" t="s">
        <v>86</v>
      </c>
      <c r="AM55" s="49">
        <v>1554.0</v>
      </c>
      <c r="AN55" s="51">
        <v>1554.0</v>
      </c>
      <c r="AO55" s="42" t="s">
        <v>261</v>
      </c>
      <c r="AP55" s="43" t="s">
        <v>261</v>
      </c>
      <c r="AQ55" s="44" t="str">
        <f t="shared" si="1"/>
        <v>CRO</v>
      </c>
      <c r="AR55" s="44">
        <f t="shared" si="3"/>
        <v>1554</v>
      </c>
      <c r="AS55" s="44" t="str">
        <f t="shared" si="5"/>
        <v>B</v>
      </c>
      <c r="AT55" s="44" t="str">
        <f t="shared" si="17"/>
        <v>BW</v>
      </c>
      <c r="AU55" s="44" t="str">
        <f t="shared" si="2"/>
        <v>BWk</v>
      </c>
      <c r="AV55" s="38"/>
      <c r="AW55" s="38"/>
      <c r="AX55" s="38"/>
      <c r="AY55" s="38"/>
      <c r="AZ55" s="29" t="s">
        <v>271</v>
      </c>
      <c r="BA55" s="29"/>
      <c r="BB55" s="29">
        <v>2.0</v>
      </c>
      <c r="BC55" s="29" t="s">
        <v>202</v>
      </c>
      <c r="BD55" s="29" t="s">
        <v>88</v>
      </c>
      <c r="BE55" s="29"/>
      <c r="BF55" s="29" t="s">
        <v>272</v>
      </c>
      <c r="BG55" s="29" t="s">
        <v>203</v>
      </c>
      <c r="BH55" s="29"/>
      <c r="BI55" s="29"/>
      <c r="BJ55" s="29"/>
      <c r="BK55" s="29"/>
      <c r="BL55" s="29"/>
      <c r="BM55" s="45"/>
      <c r="BN55" s="45"/>
      <c r="BO55" s="46"/>
      <c r="BP55" s="2"/>
      <c r="BQ55" s="3"/>
    </row>
    <row r="56">
      <c r="A56" s="34">
        <v>54.0</v>
      </c>
      <c r="B56" s="34">
        <v>104191.0</v>
      </c>
      <c r="C56" s="34" t="s">
        <v>76</v>
      </c>
      <c r="D56" s="34" t="s">
        <v>248</v>
      </c>
      <c r="E56" s="34" t="s">
        <v>249</v>
      </c>
      <c r="F56" s="34">
        <v>2021.0</v>
      </c>
      <c r="G56" s="34" t="s">
        <v>250</v>
      </c>
      <c r="H56" s="34" t="s">
        <v>251</v>
      </c>
      <c r="I56" s="34" t="s">
        <v>252</v>
      </c>
      <c r="J56" s="35"/>
      <c r="K56" s="36">
        <v>-1.18</v>
      </c>
      <c r="L56" s="36"/>
      <c r="M56" s="36"/>
      <c r="N56" s="36"/>
      <c r="O56" s="36"/>
      <c r="P56" s="37">
        <v>-20.1</v>
      </c>
      <c r="Q56" s="36" t="s">
        <v>96</v>
      </c>
      <c r="R56" s="36" t="s">
        <v>96</v>
      </c>
      <c r="S56" s="36" t="s">
        <v>268</v>
      </c>
      <c r="T56" s="36" t="s">
        <v>273</v>
      </c>
      <c r="U56" s="36" t="s">
        <v>274</v>
      </c>
      <c r="V56" s="36"/>
      <c r="W56" s="36" t="s">
        <v>88</v>
      </c>
      <c r="X56" s="38">
        <v>1.0</v>
      </c>
      <c r="Y56" s="38" t="s">
        <v>275</v>
      </c>
      <c r="Z56" s="38" t="s">
        <v>275</v>
      </c>
      <c r="AA56" s="38" t="s">
        <v>86</v>
      </c>
      <c r="AB56" s="38" t="s">
        <v>276</v>
      </c>
      <c r="AC56" s="38" t="s">
        <v>277</v>
      </c>
      <c r="AD56" s="38" t="s">
        <v>198</v>
      </c>
      <c r="AE56" s="38"/>
      <c r="AF56" s="38" t="s">
        <v>260</v>
      </c>
      <c r="AG56" s="38"/>
      <c r="AH56" s="38"/>
      <c r="AI56" s="50">
        <v>38.86</v>
      </c>
      <c r="AJ56" s="50">
        <v>100.37</v>
      </c>
      <c r="AK56" s="41" t="s">
        <v>86</v>
      </c>
      <c r="AL56" s="40" t="s">
        <v>86</v>
      </c>
      <c r="AM56" s="49">
        <v>1561.0</v>
      </c>
      <c r="AN56" s="51">
        <v>1561.0</v>
      </c>
      <c r="AO56" s="42" t="s">
        <v>261</v>
      </c>
      <c r="AP56" s="43" t="s">
        <v>261</v>
      </c>
      <c r="AQ56" s="44" t="str">
        <f t="shared" si="1"/>
        <v>CRO</v>
      </c>
      <c r="AR56" s="44">
        <f t="shared" si="3"/>
        <v>1561</v>
      </c>
      <c r="AS56" s="44" t="str">
        <f t="shared" si="5"/>
        <v>B</v>
      </c>
      <c r="AT56" s="44" t="str">
        <f t="shared" si="17"/>
        <v>BW</v>
      </c>
      <c r="AU56" s="44" t="str">
        <f t="shared" si="2"/>
        <v>BWk</v>
      </c>
      <c r="AV56" s="38"/>
      <c r="AW56" s="38"/>
      <c r="AX56" s="38"/>
      <c r="AY56" s="38"/>
      <c r="AZ56" s="29" t="s">
        <v>268</v>
      </c>
      <c r="BA56" s="29">
        <v>2.0</v>
      </c>
      <c r="BB56" s="29">
        <v>1.0</v>
      </c>
      <c r="BC56" s="29" t="s">
        <v>262</v>
      </c>
      <c r="BD56" s="29" t="s">
        <v>88</v>
      </c>
      <c r="BE56" s="29" t="s">
        <v>263</v>
      </c>
      <c r="BF56" s="29" t="s">
        <v>264</v>
      </c>
      <c r="BG56" s="29" t="s">
        <v>91</v>
      </c>
      <c r="BH56" s="29"/>
      <c r="BI56" s="29" t="s">
        <v>265</v>
      </c>
      <c r="BJ56" s="29" t="s">
        <v>266</v>
      </c>
      <c r="BK56" s="29" t="s">
        <v>148</v>
      </c>
      <c r="BL56" s="29" t="s">
        <v>148</v>
      </c>
      <c r="BM56" s="45"/>
      <c r="BN56" s="45"/>
      <c r="BO56" s="46"/>
      <c r="BP56" s="2"/>
      <c r="BQ56" s="3"/>
    </row>
    <row r="57">
      <c r="A57" s="34">
        <v>55.0</v>
      </c>
      <c r="B57" s="34">
        <v>104191.0</v>
      </c>
      <c r="C57" s="34" t="s">
        <v>76</v>
      </c>
      <c r="D57" s="34" t="s">
        <v>248</v>
      </c>
      <c r="E57" s="34" t="s">
        <v>249</v>
      </c>
      <c r="F57" s="34">
        <v>2021.0</v>
      </c>
      <c r="G57" s="34" t="s">
        <v>250</v>
      </c>
      <c r="H57" s="34" t="s">
        <v>251</v>
      </c>
      <c r="I57" s="34" t="s">
        <v>252</v>
      </c>
      <c r="J57" s="35"/>
      <c r="K57" s="36"/>
      <c r="L57" s="36"/>
      <c r="M57" s="36"/>
      <c r="N57" s="36">
        <v>-48.5</v>
      </c>
      <c r="O57" s="36"/>
      <c r="P57" s="37">
        <v>-22.6</v>
      </c>
      <c r="Q57" s="36"/>
      <c r="R57" s="36" t="s">
        <v>82</v>
      </c>
      <c r="S57" s="36" t="s">
        <v>268</v>
      </c>
      <c r="T57" s="36" t="s">
        <v>273</v>
      </c>
      <c r="U57" s="36" t="s">
        <v>274</v>
      </c>
      <c r="V57" s="36"/>
      <c r="W57" s="36" t="s">
        <v>88</v>
      </c>
      <c r="X57" s="38">
        <v>1.0</v>
      </c>
      <c r="Y57" s="38" t="s">
        <v>275</v>
      </c>
      <c r="Z57" s="38" t="s">
        <v>275</v>
      </c>
      <c r="AA57" s="38" t="s">
        <v>86</v>
      </c>
      <c r="AB57" s="38" t="s">
        <v>276</v>
      </c>
      <c r="AC57" s="38" t="s">
        <v>277</v>
      </c>
      <c r="AD57" s="38" t="s">
        <v>198</v>
      </c>
      <c r="AE57" s="38"/>
      <c r="AF57" s="38" t="s">
        <v>260</v>
      </c>
      <c r="AG57" s="38"/>
      <c r="AH57" s="38"/>
      <c r="AI57" s="50">
        <v>38.86</v>
      </c>
      <c r="AJ57" s="50">
        <v>100.37</v>
      </c>
      <c r="AK57" s="41" t="s">
        <v>86</v>
      </c>
      <c r="AL57" s="40" t="s">
        <v>86</v>
      </c>
      <c r="AM57" s="49">
        <v>1561.0</v>
      </c>
      <c r="AN57" s="51">
        <v>1561.0</v>
      </c>
      <c r="AO57" s="42" t="s">
        <v>261</v>
      </c>
      <c r="AP57" s="43" t="s">
        <v>261</v>
      </c>
      <c r="AQ57" s="44" t="str">
        <f t="shared" si="1"/>
        <v>CRO</v>
      </c>
      <c r="AR57" s="44">
        <f t="shared" si="3"/>
        <v>1561</v>
      </c>
      <c r="AS57" s="44" t="str">
        <f t="shared" si="5"/>
        <v>B</v>
      </c>
      <c r="AT57" s="44" t="str">
        <f t="shared" si="17"/>
        <v>BW</v>
      </c>
      <c r="AU57" s="44" t="str">
        <f t="shared" si="2"/>
        <v>BWk</v>
      </c>
      <c r="AV57" s="38"/>
      <c r="AW57" s="38"/>
      <c r="AX57" s="38"/>
      <c r="AY57" s="38"/>
      <c r="AZ57" s="29" t="s">
        <v>268</v>
      </c>
      <c r="BA57" s="29">
        <v>2.0</v>
      </c>
      <c r="BB57" s="29">
        <v>1.0</v>
      </c>
      <c r="BC57" s="29" t="s">
        <v>262</v>
      </c>
      <c r="BD57" s="29" t="s">
        <v>88</v>
      </c>
      <c r="BE57" s="29" t="s">
        <v>263</v>
      </c>
      <c r="BF57" s="29" t="s">
        <v>264</v>
      </c>
      <c r="BG57" s="29" t="s">
        <v>91</v>
      </c>
      <c r="BH57" s="29"/>
      <c r="BI57" s="29" t="s">
        <v>265</v>
      </c>
      <c r="BJ57" s="29" t="s">
        <v>266</v>
      </c>
      <c r="BK57" s="29" t="s">
        <v>148</v>
      </c>
      <c r="BL57" s="29" t="s">
        <v>148</v>
      </c>
      <c r="BM57" s="45"/>
      <c r="BN57" s="45"/>
      <c r="BO57" s="46"/>
      <c r="BP57" s="2"/>
      <c r="BQ57" s="3"/>
    </row>
    <row r="58">
      <c r="A58" s="34">
        <v>56.0</v>
      </c>
      <c r="B58" s="34">
        <v>104191.0</v>
      </c>
      <c r="C58" s="34" t="s">
        <v>76</v>
      </c>
      <c r="D58" s="34" t="s">
        <v>248</v>
      </c>
      <c r="E58" s="34" t="s">
        <v>249</v>
      </c>
      <c r="F58" s="34">
        <v>2021.0</v>
      </c>
      <c r="G58" s="34" t="s">
        <v>250</v>
      </c>
      <c r="H58" s="34" t="s">
        <v>251</v>
      </c>
      <c r="I58" s="34" t="s">
        <v>252</v>
      </c>
      <c r="J58" s="35"/>
      <c r="K58" s="36">
        <v>-1.18</v>
      </c>
      <c r="L58" s="36"/>
      <c r="M58" s="36"/>
      <c r="N58" s="36"/>
      <c r="O58" s="36"/>
      <c r="P58" s="37">
        <v>-19.6</v>
      </c>
      <c r="Q58" s="36" t="s">
        <v>96</v>
      </c>
      <c r="R58" s="36" t="s">
        <v>96</v>
      </c>
      <c r="S58" s="36" t="s">
        <v>268</v>
      </c>
      <c r="T58" s="36" t="s">
        <v>273</v>
      </c>
      <c r="U58" s="36" t="s">
        <v>274</v>
      </c>
      <c r="V58" s="36"/>
      <c r="W58" s="36" t="s">
        <v>88</v>
      </c>
      <c r="X58" s="38">
        <v>1.0</v>
      </c>
      <c r="Y58" s="38" t="s">
        <v>275</v>
      </c>
      <c r="Z58" s="38" t="s">
        <v>275</v>
      </c>
      <c r="AA58" s="38" t="s">
        <v>86</v>
      </c>
      <c r="AB58" s="38" t="s">
        <v>276</v>
      </c>
      <c r="AC58" s="38" t="s">
        <v>277</v>
      </c>
      <c r="AD58" s="38" t="s">
        <v>198</v>
      </c>
      <c r="AE58" s="38"/>
      <c r="AF58" s="38" t="s">
        <v>260</v>
      </c>
      <c r="AG58" s="38"/>
      <c r="AH58" s="38"/>
      <c r="AI58" s="50">
        <v>38.86</v>
      </c>
      <c r="AJ58" s="50">
        <v>100.37</v>
      </c>
      <c r="AK58" s="41" t="s">
        <v>86</v>
      </c>
      <c r="AL58" s="40" t="s">
        <v>86</v>
      </c>
      <c r="AM58" s="49">
        <v>1561.0</v>
      </c>
      <c r="AN58" s="51">
        <v>1561.0</v>
      </c>
      <c r="AO58" s="42" t="s">
        <v>261</v>
      </c>
      <c r="AP58" s="43" t="s">
        <v>261</v>
      </c>
      <c r="AQ58" s="44" t="str">
        <f t="shared" si="1"/>
        <v>CRO</v>
      </c>
      <c r="AR58" s="44">
        <f t="shared" si="3"/>
        <v>1561</v>
      </c>
      <c r="AS58" s="44" t="str">
        <f t="shared" si="5"/>
        <v>B</v>
      </c>
      <c r="AT58" s="44" t="str">
        <f t="shared" si="17"/>
        <v>BW</v>
      </c>
      <c r="AU58" s="44" t="str">
        <f t="shared" si="2"/>
        <v>BWk</v>
      </c>
      <c r="AV58" s="38"/>
      <c r="AW58" s="38"/>
      <c r="AX58" s="38"/>
      <c r="AY58" s="38"/>
      <c r="AZ58" s="29" t="s">
        <v>268</v>
      </c>
      <c r="BA58" s="29"/>
      <c r="BB58" s="29">
        <v>1.0</v>
      </c>
      <c r="BC58" s="29" t="s">
        <v>269</v>
      </c>
      <c r="BD58" s="29" t="s">
        <v>88</v>
      </c>
      <c r="BE58" s="29" t="s">
        <v>263</v>
      </c>
      <c r="BF58" s="29" t="s">
        <v>278</v>
      </c>
      <c r="BG58" s="29" t="s">
        <v>220</v>
      </c>
      <c r="BH58" s="29"/>
      <c r="BI58" s="29"/>
      <c r="BJ58" s="29"/>
      <c r="BK58" s="29"/>
      <c r="BL58" s="29"/>
      <c r="BM58" s="45"/>
      <c r="BN58" s="45"/>
      <c r="BO58" s="46"/>
      <c r="BP58" s="2"/>
      <c r="BQ58" s="3"/>
    </row>
    <row r="59">
      <c r="A59" s="34">
        <v>57.0</v>
      </c>
      <c r="B59" s="34">
        <v>104191.0</v>
      </c>
      <c r="C59" s="34" t="s">
        <v>76</v>
      </c>
      <c r="D59" s="34" t="s">
        <v>248</v>
      </c>
      <c r="E59" s="34" t="s">
        <v>249</v>
      </c>
      <c r="F59" s="34">
        <v>2021.0</v>
      </c>
      <c r="G59" s="34" t="s">
        <v>250</v>
      </c>
      <c r="H59" s="34" t="s">
        <v>251</v>
      </c>
      <c r="I59" s="34" t="s">
        <v>252</v>
      </c>
      <c r="J59" s="35"/>
      <c r="K59" s="36">
        <v>-3.95</v>
      </c>
      <c r="L59" s="36"/>
      <c r="M59" s="36"/>
      <c r="N59" s="36"/>
      <c r="O59" s="36"/>
      <c r="P59" s="37">
        <v>-74.1</v>
      </c>
      <c r="Q59" s="36" t="s">
        <v>96</v>
      </c>
      <c r="R59" s="36" t="s">
        <v>96</v>
      </c>
      <c r="S59" s="36" t="s">
        <v>271</v>
      </c>
      <c r="T59" s="36" t="s">
        <v>273</v>
      </c>
      <c r="U59" s="36" t="s">
        <v>274</v>
      </c>
      <c r="V59" s="36"/>
      <c r="W59" s="36" t="s">
        <v>88</v>
      </c>
      <c r="X59" s="38">
        <v>1.0</v>
      </c>
      <c r="Y59" s="38" t="s">
        <v>275</v>
      </c>
      <c r="Z59" s="38" t="s">
        <v>275</v>
      </c>
      <c r="AA59" s="38" t="s">
        <v>86</v>
      </c>
      <c r="AB59" s="38" t="s">
        <v>276</v>
      </c>
      <c r="AC59" s="38" t="s">
        <v>277</v>
      </c>
      <c r="AD59" s="38" t="s">
        <v>198</v>
      </c>
      <c r="AE59" s="38"/>
      <c r="AF59" s="38" t="s">
        <v>260</v>
      </c>
      <c r="AG59" s="38"/>
      <c r="AH59" s="38"/>
      <c r="AI59" s="50">
        <v>38.86</v>
      </c>
      <c r="AJ59" s="50">
        <v>100.37</v>
      </c>
      <c r="AK59" s="41" t="s">
        <v>86</v>
      </c>
      <c r="AL59" s="40" t="s">
        <v>86</v>
      </c>
      <c r="AM59" s="49">
        <v>1561.0</v>
      </c>
      <c r="AN59" s="51">
        <v>1561.0</v>
      </c>
      <c r="AO59" s="42" t="s">
        <v>261</v>
      </c>
      <c r="AP59" s="43" t="s">
        <v>261</v>
      </c>
      <c r="AQ59" s="44" t="str">
        <f t="shared" si="1"/>
        <v>CRO</v>
      </c>
      <c r="AR59" s="44">
        <f t="shared" si="3"/>
        <v>1561</v>
      </c>
      <c r="AS59" s="44" t="str">
        <f t="shared" si="5"/>
        <v>B</v>
      </c>
      <c r="AT59" s="44" t="str">
        <f t="shared" si="17"/>
        <v>BW</v>
      </c>
      <c r="AU59" s="44" t="str">
        <f t="shared" si="2"/>
        <v>BWk</v>
      </c>
      <c r="AV59" s="38"/>
      <c r="AW59" s="38"/>
      <c r="AX59" s="38"/>
      <c r="AY59" s="38"/>
      <c r="AZ59" s="29" t="s">
        <v>271</v>
      </c>
      <c r="BA59" s="29"/>
      <c r="BB59" s="29">
        <v>2.0</v>
      </c>
      <c r="BC59" s="29" t="s">
        <v>202</v>
      </c>
      <c r="BD59" s="29" t="s">
        <v>88</v>
      </c>
      <c r="BE59" s="29"/>
      <c r="BF59" s="29" t="s">
        <v>272</v>
      </c>
      <c r="BG59" s="29" t="s">
        <v>203</v>
      </c>
      <c r="BH59" s="29"/>
      <c r="BI59" s="29"/>
      <c r="BJ59" s="29"/>
      <c r="BK59" s="29"/>
      <c r="BL59" s="29"/>
      <c r="BM59" s="45"/>
      <c r="BN59" s="45"/>
      <c r="BO59" s="46"/>
      <c r="BP59" s="2"/>
      <c r="BQ59" s="3"/>
    </row>
    <row r="60">
      <c r="A60" s="34">
        <v>58.0</v>
      </c>
      <c r="B60" s="34">
        <v>101448.0</v>
      </c>
      <c r="C60" s="34" t="s">
        <v>76</v>
      </c>
      <c r="D60" s="34" t="s">
        <v>279</v>
      </c>
      <c r="E60" s="34" t="s">
        <v>280</v>
      </c>
      <c r="F60" s="34">
        <v>2014.0</v>
      </c>
      <c r="G60" s="34" t="s">
        <v>281</v>
      </c>
      <c r="H60" s="34" t="s">
        <v>282</v>
      </c>
      <c r="I60" s="34" t="s">
        <v>283</v>
      </c>
      <c r="J60" s="35"/>
      <c r="K60" s="36"/>
      <c r="L60" s="36"/>
      <c r="M60" s="36"/>
      <c r="N60" s="36">
        <v>13.66</v>
      </c>
      <c r="O60" s="36">
        <v>60.44</v>
      </c>
      <c r="P60" s="37">
        <v>17.0</v>
      </c>
      <c r="Q60" s="36"/>
      <c r="R60" s="36" t="s">
        <v>209</v>
      </c>
      <c r="S60" s="36">
        <v>1000.0</v>
      </c>
      <c r="T60" s="36" t="s">
        <v>284</v>
      </c>
      <c r="U60" s="36" t="s">
        <v>285</v>
      </c>
      <c r="V60" s="36">
        <v>230.0</v>
      </c>
      <c r="W60" s="36" t="s">
        <v>169</v>
      </c>
      <c r="X60" s="38">
        <v>1.0</v>
      </c>
      <c r="Y60" s="38" t="s">
        <v>286</v>
      </c>
      <c r="Z60" s="38" t="s">
        <v>287</v>
      </c>
      <c r="AA60" s="38" t="s">
        <v>288</v>
      </c>
      <c r="AB60" s="38">
        <v>31.59</v>
      </c>
      <c r="AC60" s="38" t="s">
        <v>289</v>
      </c>
      <c r="AD60" s="56" t="s">
        <v>87</v>
      </c>
      <c r="AE60" s="38">
        <v>1469.0</v>
      </c>
      <c r="AF60" s="38"/>
      <c r="AG60" s="38" t="s">
        <v>290</v>
      </c>
      <c r="AH60" s="38">
        <v>5.0</v>
      </c>
      <c r="AI60" s="50">
        <v>31.5907</v>
      </c>
      <c r="AJ60" s="50">
        <v>-110.51</v>
      </c>
      <c r="AK60" s="41" t="s">
        <v>291</v>
      </c>
      <c r="AL60" s="40" t="s">
        <v>292</v>
      </c>
      <c r="AM60" s="49">
        <v>1473.0</v>
      </c>
      <c r="AN60" s="51">
        <v>1473.0</v>
      </c>
      <c r="AO60" s="42" t="s">
        <v>293</v>
      </c>
      <c r="AP60" s="43" t="s">
        <v>293</v>
      </c>
      <c r="AQ60" s="44" t="str">
        <f t="shared" si="1"/>
        <v>GRA</v>
      </c>
      <c r="AR60" s="44">
        <f t="shared" si="3"/>
        <v>1473</v>
      </c>
      <c r="AS60" s="44" t="str">
        <f t="shared" si="5"/>
        <v>B</v>
      </c>
      <c r="AT60" s="44" t="str">
        <f t="shared" si="17"/>
        <v>BS</v>
      </c>
      <c r="AU60" s="44" t="str">
        <f t="shared" si="2"/>
        <v>BSk</v>
      </c>
      <c r="AV60" s="38">
        <v>3.0</v>
      </c>
      <c r="AW60" s="38"/>
      <c r="AX60" s="38"/>
      <c r="AY60" s="38" t="s">
        <v>92</v>
      </c>
      <c r="AZ60" s="29">
        <v>1000.0</v>
      </c>
      <c r="BA60" s="29"/>
      <c r="BB60" s="29">
        <v>1.0</v>
      </c>
      <c r="BC60" s="29" t="s">
        <v>294</v>
      </c>
      <c r="BD60" s="29" t="s">
        <v>92</v>
      </c>
      <c r="BE60" s="29"/>
      <c r="BF60" s="29" t="s">
        <v>294</v>
      </c>
      <c r="BG60" s="29" t="s">
        <v>220</v>
      </c>
      <c r="BH60" s="29" t="s">
        <v>92</v>
      </c>
      <c r="BI60" s="29" t="s">
        <v>148</v>
      </c>
      <c r="BJ60" s="29"/>
      <c r="BK60" s="29" t="s">
        <v>148</v>
      </c>
      <c r="BL60" s="29"/>
      <c r="BM60" s="45">
        <v>1.0</v>
      </c>
      <c r="BN60" s="45">
        <v>1.0</v>
      </c>
      <c r="BO60" s="46" t="s">
        <v>294</v>
      </c>
      <c r="BP60" s="2"/>
      <c r="BQ60" s="3"/>
    </row>
    <row r="61">
      <c r="A61" s="34">
        <v>59.0</v>
      </c>
      <c r="B61" s="34">
        <v>101448.0</v>
      </c>
      <c r="C61" s="34" t="s">
        <v>76</v>
      </c>
      <c r="D61" s="34" t="s">
        <v>279</v>
      </c>
      <c r="E61" s="34" t="s">
        <v>280</v>
      </c>
      <c r="F61" s="34">
        <v>2014.0</v>
      </c>
      <c r="G61" s="34" t="s">
        <v>281</v>
      </c>
      <c r="H61" s="34" t="s">
        <v>282</v>
      </c>
      <c r="I61" s="34" t="s">
        <v>283</v>
      </c>
      <c r="J61" s="35"/>
      <c r="K61" s="36"/>
      <c r="L61" s="36"/>
      <c r="M61" s="36"/>
      <c r="N61" s="36">
        <v>27.72</v>
      </c>
      <c r="O61" s="36">
        <v>122.26</v>
      </c>
      <c r="P61" s="37">
        <v>26.0</v>
      </c>
      <c r="Q61" s="36"/>
      <c r="R61" s="36" t="s">
        <v>209</v>
      </c>
      <c r="S61" s="36">
        <v>1000.0</v>
      </c>
      <c r="T61" s="36" t="s">
        <v>295</v>
      </c>
      <c r="U61" s="36" t="s">
        <v>285</v>
      </c>
      <c r="V61" s="36">
        <v>138.0</v>
      </c>
      <c r="W61" s="36" t="s">
        <v>169</v>
      </c>
      <c r="X61" s="38">
        <v>1.0</v>
      </c>
      <c r="Y61" s="38" t="s">
        <v>296</v>
      </c>
      <c r="Z61" s="38" t="s">
        <v>297</v>
      </c>
      <c r="AA61" s="38" t="s">
        <v>200</v>
      </c>
      <c r="AB61" s="38">
        <v>29.95</v>
      </c>
      <c r="AC61" s="38" t="s">
        <v>298</v>
      </c>
      <c r="AD61" s="56" t="s">
        <v>87</v>
      </c>
      <c r="AE61" s="53"/>
      <c r="AF61" s="38"/>
      <c r="AG61" s="57" t="s">
        <v>299</v>
      </c>
      <c r="AH61" s="38">
        <v>7.0</v>
      </c>
      <c r="AI61" s="50">
        <v>29.95</v>
      </c>
      <c r="AJ61" s="50">
        <v>-97.99</v>
      </c>
      <c r="AK61" s="41" t="s">
        <v>200</v>
      </c>
      <c r="AL61" s="40" t="s">
        <v>200</v>
      </c>
      <c r="AM61" s="49">
        <v>260.0</v>
      </c>
      <c r="AN61" s="51">
        <v>260.0</v>
      </c>
      <c r="AO61" s="42" t="s">
        <v>201</v>
      </c>
      <c r="AP61" s="43" t="s">
        <v>201</v>
      </c>
      <c r="AQ61" s="44" t="str">
        <f t="shared" si="1"/>
        <v>WSA</v>
      </c>
      <c r="AR61" s="44">
        <f t="shared" si="3"/>
        <v>260</v>
      </c>
      <c r="AS61" s="44" t="str">
        <f t="shared" si="5"/>
        <v>C</v>
      </c>
      <c r="AT61" s="44" t="str">
        <f t="shared" si="17"/>
        <v>Cf</v>
      </c>
      <c r="AU61" s="44" t="str">
        <f t="shared" si="2"/>
        <v>Cfa</v>
      </c>
      <c r="AV61" s="38">
        <v>3.0</v>
      </c>
      <c r="AW61" s="38"/>
      <c r="AX61" s="38"/>
      <c r="AY61" s="38" t="s">
        <v>92</v>
      </c>
      <c r="AZ61" s="29">
        <v>1000.0</v>
      </c>
      <c r="BA61" s="29"/>
      <c r="BB61" s="29">
        <v>1.0</v>
      </c>
      <c r="BC61" s="29" t="s">
        <v>294</v>
      </c>
      <c r="BD61" s="29" t="s">
        <v>92</v>
      </c>
      <c r="BE61" s="29"/>
      <c r="BF61" s="29" t="s">
        <v>294</v>
      </c>
      <c r="BG61" s="29" t="s">
        <v>220</v>
      </c>
      <c r="BH61" s="29" t="s">
        <v>92</v>
      </c>
      <c r="BI61" s="29" t="s">
        <v>148</v>
      </c>
      <c r="BJ61" s="29"/>
      <c r="BK61" s="29" t="s">
        <v>148</v>
      </c>
      <c r="BL61" s="29"/>
      <c r="BM61" s="45"/>
      <c r="BN61" s="45"/>
      <c r="BO61" s="46"/>
      <c r="BP61" s="2"/>
      <c r="BQ61" s="3"/>
    </row>
    <row r="62">
      <c r="A62" s="34">
        <v>60.0</v>
      </c>
      <c r="B62" s="34">
        <v>101448.0</v>
      </c>
      <c r="C62" s="34" t="s">
        <v>76</v>
      </c>
      <c r="D62" s="34" t="s">
        <v>279</v>
      </c>
      <c r="E62" s="34" t="s">
        <v>280</v>
      </c>
      <c r="F62" s="34">
        <v>2014.0</v>
      </c>
      <c r="G62" s="34" t="s">
        <v>281</v>
      </c>
      <c r="H62" s="34" t="s">
        <v>282</v>
      </c>
      <c r="I62" s="34" t="s">
        <v>283</v>
      </c>
      <c r="J62" s="35"/>
      <c r="K62" s="36"/>
      <c r="L62" s="36"/>
      <c r="M62" s="36"/>
      <c r="N62" s="36">
        <v>3.44</v>
      </c>
      <c r="O62" s="36">
        <v>56.16</v>
      </c>
      <c r="P62" s="37">
        <v>6.0</v>
      </c>
      <c r="Q62" s="36"/>
      <c r="R62" s="36" t="s">
        <v>209</v>
      </c>
      <c r="S62" s="36">
        <v>1000.0</v>
      </c>
      <c r="T62" s="36" t="s">
        <v>295</v>
      </c>
      <c r="U62" s="36" t="s">
        <v>285</v>
      </c>
      <c r="V62" s="36">
        <v>138.0</v>
      </c>
      <c r="W62" s="36" t="s">
        <v>169</v>
      </c>
      <c r="X62" s="38">
        <v>1.0</v>
      </c>
      <c r="Y62" s="38" t="s">
        <v>300</v>
      </c>
      <c r="Z62" s="38" t="s">
        <v>301</v>
      </c>
      <c r="AA62" s="38" t="s">
        <v>200</v>
      </c>
      <c r="AB62" s="38">
        <v>31.82</v>
      </c>
      <c r="AC62" s="38" t="s">
        <v>302</v>
      </c>
      <c r="AD62" s="56" t="s">
        <v>87</v>
      </c>
      <c r="AE62" s="38">
        <v>1120.0</v>
      </c>
      <c r="AF62" s="38"/>
      <c r="AG62" s="38" t="s">
        <v>303</v>
      </c>
      <c r="AH62" s="38">
        <v>7.0</v>
      </c>
      <c r="AI62" s="50">
        <v>31.8214</v>
      </c>
      <c r="AJ62" s="50">
        <v>-110.867</v>
      </c>
      <c r="AK62" s="41" t="s">
        <v>291</v>
      </c>
      <c r="AL62" s="40" t="s">
        <v>291</v>
      </c>
      <c r="AM62" s="49">
        <v>1118.0</v>
      </c>
      <c r="AN62" s="51">
        <v>1118.0</v>
      </c>
      <c r="AO62" s="42" t="s">
        <v>304</v>
      </c>
      <c r="AP62" s="43" t="s">
        <v>304</v>
      </c>
      <c r="AQ62" s="44" t="str">
        <f t="shared" si="1"/>
        <v>WSA</v>
      </c>
      <c r="AR62" s="44">
        <f t="shared" si="3"/>
        <v>1118</v>
      </c>
      <c r="AS62" s="44" t="str">
        <f t="shared" si="5"/>
        <v>B</v>
      </c>
      <c r="AT62" s="44" t="str">
        <f t="shared" si="17"/>
        <v>BS</v>
      </c>
      <c r="AU62" s="44" t="str">
        <f t="shared" si="2"/>
        <v>BSh</v>
      </c>
      <c r="AV62" s="38">
        <v>3.0</v>
      </c>
      <c r="AW62" s="38"/>
      <c r="AX62" s="38"/>
      <c r="AY62" s="38" t="s">
        <v>92</v>
      </c>
      <c r="AZ62" s="29">
        <v>1000.0</v>
      </c>
      <c r="BA62" s="29"/>
      <c r="BB62" s="29">
        <v>1.0</v>
      </c>
      <c r="BC62" s="29" t="s">
        <v>294</v>
      </c>
      <c r="BD62" s="29" t="s">
        <v>92</v>
      </c>
      <c r="BE62" s="29"/>
      <c r="BF62" s="29" t="s">
        <v>294</v>
      </c>
      <c r="BG62" s="29" t="s">
        <v>220</v>
      </c>
      <c r="BH62" s="29" t="s">
        <v>92</v>
      </c>
      <c r="BI62" s="29" t="s">
        <v>148</v>
      </c>
      <c r="BJ62" s="29"/>
      <c r="BK62" s="29" t="s">
        <v>148</v>
      </c>
      <c r="BL62" s="29"/>
      <c r="BM62" s="45"/>
      <c r="BN62" s="45"/>
      <c r="BO62" s="46"/>
      <c r="BP62" s="2"/>
      <c r="BQ62" s="3"/>
    </row>
    <row r="63">
      <c r="A63" s="34">
        <v>61.0</v>
      </c>
      <c r="B63" s="34">
        <v>101448.0</v>
      </c>
      <c r="C63" s="34" t="s">
        <v>76</v>
      </c>
      <c r="D63" s="34" t="s">
        <v>279</v>
      </c>
      <c r="E63" s="34" t="s">
        <v>280</v>
      </c>
      <c r="F63" s="34">
        <v>2014.0</v>
      </c>
      <c r="G63" s="34" t="s">
        <v>281</v>
      </c>
      <c r="H63" s="34" t="s">
        <v>282</v>
      </c>
      <c r="I63" s="34" t="s">
        <v>283</v>
      </c>
      <c r="J63" s="35"/>
      <c r="K63" s="36"/>
      <c r="L63" s="36"/>
      <c r="M63" s="36"/>
      <c r="N63" s="36">
        <v>9.26</v>
      </c>
      <c r="O63" s="36">
        <v>81.91</v>
      </c>
      <c r="P63" s="37">
        <v>11.0</v>
      </c>
      <c r="Q63" s="36"/>
      <c r="R63" s="36" t="s">
        <v>209</v>
      </c>
      <c r="S63" s="36">
        <v>1000.0</v>
      </c>
      <c r="T63" s="36" t="s">
        <v>295</v>
      </c>
      <c r="U63" s="36" t="s">
        <v>285</v>
      </c>
      <c r="V63" s="36">
        <v>138.0</v>
      </c>
      <c r="W63" s="36" t="s">
        <v>169</v>
      </c>
      <c r="X63" s="38">
        <v>1.0</v>
      </c>
      <c r="Y63" s="38" t="s">
        <v>305</v>
      </c>
      <c r="Z63" s="38" t="s">
        <v>306</v>
      </c>
      <c r="AA63" s="38" t="s">
        <v>291</v>
      </c>
      <c r="AB63" s="38">
        <v>33.37</v>
      </c>
      <c r="AC63" s="38" t="s">
        <v>307</v>
      </c>
      <c r="AD63" s="56" t="s">
        <v>87</v>
      </c>
      <c r="AE63" s="38">
        <v>1394.0</v>
      </c>
      <c r="AF63" s="38"/>
      <c r="AG63" s="38" t="s">
        <v>299</v>
      </c>
      <c r="AH63" s="38" t="s">
        <v>308</v>
      </c>
      <c r="AI63" s="50">
        <v>33.37</v>
      </c>
      <c r="AJ63" s="50">
        <v>-116.62</v>
      </c>
      <c r="AK63" s="41" t="s">
        <v>292</v>
      </c>
      <c r="AL63" s="40" t="s">
        <v>292</v>
      </c>
      <c r="AM63" s="49">
        <v>1383.0</v>
      </c>
      <c r="AN63" s="51">
        <v>1383.0</v>
      </c>
      <c r="AO63" s="42" t="s">
        <v>175</v>
      </c>
      <c r="AP63" s="43" t="s">
        <v>175</v>
      </c>
      <c r="AQ63" s="44" t="str">
        <f t="shared" si="1"/>
        <v>CSH</v>
      </c>
      <c r="AR63" s="44">
        <f t="shared" si="3"/>
        <v>1383</v>
      </c>
      <c r="AS63" s="44" t="str">
        <f t="shared" si="5"/>
        <v>C</v>
      </c>
      <c r="AT63" s="44" t="str">
        <f t="shared" si="17"/>
        <v>Cs</v>
      </c>
      <c r="AU63" s="44" t="str">
        <f t="shared" si="2"/>
        <v>Csa</v>
      </c>
      <c r="AV63" s="38">
        <v>3.0</v>
      </c>
      <c r="AW63" s="38"/>
      <c r="AX63" s="38"/>
      <c r="AY63" s="38" t="s">
        <v>92</v>
      </c>
      <c r="AZ63" s="29">
        <v>1000.0</v>
      </c>
      <c r="BA63" s="29"/>
      <c r="BB63" s="29">
        <v>1.0</v>
      </c>
      <c r="BC63" s="29" t="s">
        <v>294</v>
      </c>
      <c r="BD63" s="29" t="s">
        <v>92</v>
      </c>
      <c r="BE63" s="29"/>
      <c r="BF63" s="29" t="s">
        <v>294</v>
      </c>
      <c r="BG63" s="29" t="s">
        <v>220</v>
      </c>
      <c r="BH63" s="29" t="s">
        <v>92</v>
      </c>
      <c r="BI63" s="29" t="s">
        <v>148</v>
      </c>
      <c r="BJ63" s="29"/>
      <c r="BK63" s="29" t="s">
        <v>148</v>
      </c>
      <c r="BL63" s="29"/>
      <c r="BM63" s="45"/>
      <c r="BN63" s="45"/>
      <c r="BO63" s="46"/>
      <c r="BP63" s="2"/>
      <c r="BQ63" s="3"/>
    </row>
    <row r="64">
      <c r="A64" s="34">
        <v>62.0</v>
      </c>
      <c r="B64" s="34">
        <v>101448.0</v>
      </c>
      <c r="C64" s="34" t="s">
        <v>76</v>
      </c>
      <c r="D64" s="34" t="s">
        <v>279</v>
      </c>
      <c r="E64" s="34" t="s">
        <v>280</v>
      </c>
      <c r="F64" s="34">
        <v>2014.0</v>
      </c>
      <c r="G64" s="34" t="s">
        <v>281</v>
      </c>
      <c r="H64" s="34" t="s">
        <v>282</v>
      </c>
      <c r="I64" s="34" t="s">
        <v>283</v>
      </c>
      <c r="J64" s="35"/>
      <c r="K64" s="36"/>
      <c r="L64" s="36"/>
      <c r="M64" s="36"/>
      <c r="N64" s="36">
        <v>13.32</v>
      </c>
      <c r="O64" s="36">
        <v>72.11</v>
      </c>
      <c r="P64" s="37">
        <v>20.0</v>
      </c>
      <c r="Q64" s="36"/>
      <c r="R64" s="36" t="s">
        <v>209</v>
      </c>
      <c r="S64" s="36">
        <v>1000.0</v>
      </c>
      <c r="T64" s="36" t="s">
        <v>284</v>
      </c>
      <c r="U64" s="36" t="s">
        <v>285</v>
      </c>
      <c r="V64" s="36">
        <v>230.0</v>
      </c>
      <c r="W64" s="36" t="s">
        <v>169</v>
      </c>
      <c r="X64" s="38">
        <v>1.0</v>
      </c>
      <c r="Y64" s="38" t="s">
        <v>309</v>
      </c>
      <c r="Z64" s="38" t="s">
        <v>310</v>
      </c>
      <c r="AA64" s="38" t="s">
        <v>200</v>
      </c>
      <c r="AB64" s="38">
        <v>38.43</v>
      </c>
      <c r="AC64" s="38" t="s">
        <v>311</v>
      </c>
      <c r="AD64" s="56" t="s">
        <v>87</v>
      </c>
      <c r="AE64" s="38">
        <v>177.0</v>
      </c>
      <c r="AF64" s="38" t="s">
        <v>312</v>
      </c>
      <c r="AG64" s="38" t="s">
        <v>175</v>
      </c>
      <c r="AH64" s="38">
        <v>23.0</v>
      </c>
      <c r="AI64" s="50">
        <v>38.4309</v>
      </c>
      <c r="AJ64" s="50">
        <v>-120.966</v>
      </c>
      <c r="AK64" s="41" t="s">
        <v>313</v>
      </c>
      <c r="AL64" s="40" t="s">
        <v>313</v>
      </c>
      <c r="AM64" s="49">
        <v>171.0</v>
      </c>
      <c r="AN64" s="51">
        <v>171.0</v>
      </c>
      <c r="AO64" s="42" t="s">
        <v>175</v>
      </c>
      <c r="AP64" s="43" t="s">
        <v>175</v>
      </c>
      <c r="AQ64" s="44" t="str">
        <f t="shared" si="1"/>
        <v>WSA</v>
      </c>
      <c r="AR64" s="44">
        <f t="shared" si="3"/>
        <v>171</v>
      </c>
      <c r="AS64" s="44" t="str">
        <f t="shared" si="5"/>
        <v>C</v>
      </c>
      <c r="AT64" s="44" t="str">
        <f t="shared" si="17"/>
        <v>Cs</v>
      </c>
      <c r="AU64" s="44" t="str">
        <f t="shared" si="2"/>
        <v>Csa</v>
      </c>
      <c r="AV64" s="38">
        <v>3.0</v>
      </c>
      <c r="AW64" s="38"/>
      <c r="AX64" s="38"/>
      <c r="AY64" s="38" t="s">
        <v>92</v>
      </c>
      <c r="AZ64" s="29">
        <v>1000.0</v>
      </c>
      <c r="BA64" s="29"/>
      <c r="BB64" s="29">
        <v>1.0</v>
      </c>
      <c r="BC64" s="29" t="s">
        <v>294</v>
      </c>
      <c r="BD64" s="29" t="s">
        <v>92</v>
      </c>
      <c r="BE64" s="29"/>
      <c r="BF64" s="29" t="s">
        <v>294</v>
      </c>
      <c r="BG64" s="29" t="s">
        <v>220</v>
      </c>
      <c r="BH64" s="29" t="s">
        <v>92</v>
      </c>
      <c r="BI64" s="29" t="s">
        <v>148</v>
      </c>
      <c r="BJ64" s="29"/>
      <c r="BK64" s="29" t="s">
        <v>148</v>
      </c>
      <c r="BL64" s="29"/>
      <c r="BM64" s="45"/>
      <c r="BN64" s="45"/>
      <c r="BO64" s="46"/>
      <c r="BP64" s="2"/>
      <c r="BQ64" s="3"/>
    </row>
    <row r="65">
      <c r="A65" s="34">
        <v>63.0</v>
      </c>
      <c r="B65" s="34">
        <v>101448.0</v>
      </c>
      <c r="C65" s="34" t="s">
        <v>76</v>
      </c>
      <c r="D65" s="34" t="s">
        <v>279</v>
      </c>
      <c r="E65" s="34" t="s">
        <v>280</v>
      </c>
      <c r="F65" s="34">
        <v>2014.0</v>
      </c>
      <c r="G65" s="34" t="s">
        <v>281</v>
      </c>
      <c r="H65" s="34" t="s">
        <v>282</v>
      </c>
      <c r="I65" s="34" t="s">
        <v>283</v>
      </c>
      <c r="J65" s="35"/>
      <c r="K65" s="36"/>
      <c r="L65" s="36"/>
      <c r="M65" s="36"/>
      <c r="N65" s="36">
        <v>2.83</v>
      </c>
      <c r="O65" s="36">
        <v>44.28</v>
      </c>
      <c r="P65" s="37">
        <v>2.0</v>
      </c>
      <c r="Q65" s="36"/>
      <c r="R65" s="36" t="s">
        <v>209</v>
      </c>
      <c r="S65" s="36">
        <v>1000.0</v>
      </c>
      <c r="T65" s="36" t="s">
        <v>295</v>
      </c>
      <c r="U65" s="36" t="s">
        <v>285</v>
      </c>
      <c r="V65" s="36">
        <v>138.0</v>
      </c>
      <c r="W65" s="36" t="s">
        <v>169</v>
      </c>
      <c r="X65" s="38">
        <v>1.0</v>
      </c>
      <c r="Y65" s="38" t="s">
        <v>314</v>
      </c>
      <c r="Z65" s="38" t="s">
        <v>315</v>
      </c>
      <c r="AA65" s="38" t="s">
        <v>288</v>
      </c>
      <c r="AB65" s="38">
        <v>31.74</v>
      </c>
      <c r="AC65" s="38" t="s">
        <v>316</v>
      </c>
      <c r="AD65" s="56" t="s">
        <v>87</v>
      </c>
      <c r="AE65" s="38">
        <v>1531.0</v>
      </c>
      <c r="AF65" s="38"/>
      <c r="AG65" s="38" t="s">
        <v>303</v>
      </c>
      <c r="AH65" s="38">
        <v>7.0</v>
      </c>
      <c r="AI65" s="50">
        <v>31.74</v>
      </c>
      <c r="AJ65" s="50">
        <v>-109.94</v>
      </c>
      <c r="AK65" s="41" t="s">
        <v>291</v>
      </c>
      <c r="AL65" s="40" t="s">
        <v>291</v>
      </c>
      <c r="AM65" s="49">
        <v>1525.0</v>
      </c>
      <c r="AN65" s="51">
        <v>1525.0</v>
      </c>
      <c r="AO65" s="42" t="s">
        <v>293</v>
      </c>
      <c r="AP65" s="43" t="s">
        <v>293</v>
      </c>
      <c r="AQ65" s="44" t="str">
        <f t="shared" si="1"/>
        <v>GRA</v>
      </c>
      <c r="AR65" s="44">
        <f t="shared" si="3"/>
        <v>1525</v>
      </c>
      <c r="AS65" s="44" t="str">
        <f t="shared" si="5"/>
        <v>B</v>
      </c>
      <c r="AT65" s="44" t="str">
        <f t="shared" si="17"/>
        <v>BS</v>
      </c>
      <c r="AU65" s="44" t="str">
        <f t="shared" si="2"/>
        <v>BSk</v>
      </c>
      <c r="AV65" s="38">
        <v>3.0</v>
      </c>
      <c r="AW65" s="38"/>
      <c r="AX65" s="38"/>
      <c r="AY65" s="38" t="s">
        <v>92</v>
      </c>
      <c r="AZ65" s="29">
        <v>1000.0</v>
      </c>
      <c r="BA65" s="29"/>
      <c r="BB65" s="29">
        <v>1.0</v>
      </c>
      <c r="BC65" s="29" t="s">
        <v>294</v>
      </c>
      <c r="BD65" s="29" t="s">
        <v>92</v>
      </c>
      <c r="BE65" s="29"/>
      <c r="BF65" s="29" t="s">
        <v>294</v>
      </c>
      <c r="BG65" s="29" t="s">
        <v>220</v>
      </c>
      <c r="BH65" s="29" t="s">
        <v>92</v>
      </c>
      <c r="BI65" s="29" t="s">
        <v>148</v>
      </c>
      <c r="BJ65" s="29"/>
      <c r="BK65" s="29" t="s">
        <v>148</v>
      </c>
      <c r="BL65" s="29"/>
      <c r="BM65" s="45"/>
      <c r="BN65" s="45"/>
      <c r="BO65" s="46"/>
      <c r="BP65" s="2"/>
      <c r="BQ65" s="3"/>
    </row>
    <row r="66">
      <c r="A66" s="34">
        <v>64.0</v>
      </c>
      <c r="B66" s="34">
        <v>101448.0</v>
      </c>
      <c r="C66" s="34" t="s">
        <v>76</v>
      </c>
      <c r="D66" s="34" t="s">
        <v>279</v>
      </c>
      <c r="E66" s="34" t="s">
        <v>280</v>
      </c>
      <c r="F66" s="34">
        <v>2014.0</v>
      </c>
      <c r="G66" s="34" t="s">
        <v>281</v>
      </c>
      <c r="H66" s="34" t="s">
        <v>282</v>
      </c>
      <c r="I66" s="34" t="s">
        <v>283</v>
      </c>
      <c r="J66" s="35"/>
      <c r="K66" s="36"/>
      <c r="L66" s="36"/>
      <c r="M66" s="36"/>
      <c r="N66" s="36">
        <v>2.27</v>
      </c>
      <c r="O66" s="36">
        <v>97.87</v>
      </c>
      <c r="P66" s="37">
        <v>2.0</v>
      </c>
      <c r="Q66" s="36"/>
      <c r="R66" s="36" t="s">
        <v>209</v>
      </c>
      <c r="S66" s="36">
        <v>1000.0</v>
      </c>
      <c r="T66" s="36" t="s">
        <v>317</v>
      </c>
      <c r="U66" s="36" t="s">
        <v>285</v>
      </c>
      <c r="V66" s="36">
        <v>92.0</v>
      </c>
      <c r="W66" s="36" t="s">
        <v>169</v>
      </c>
      <c r="X66" s="38">
        <v>1.0</v>
      </c>
      <c r="Y66" s="38" t="s">
        <v>318</v>
      </c>
      <c r="Z66" s="38" t="s">
        <v>319</v>
      </c>
      <c r="AA66" s="38" t="s">
        <v>200</v>
      </c>
      <c r="AB66" s="38">
        <v>35.14</v>
      </c>
      <c r="AC66" s="38" t="s">
        <v>320</v>
      </c>
      <c r="AD66" s="56" t="s">
        <v>87</v>
      </c>
      <c r="AE66" s="53"/>
      <c r="AF66" s="38"/>
      <c r="AG66" s="57" t="s">
        <v>290</v>
      </c>
      <c r="AH66" s="38">
        <v>23.0</v>
      </c>
      <c r="AI66" s="50">
        <v>35.14</v>
      </c>
      <c r="AJ66" s="50">
        <v>-111.73</v>
      </c>
      <c r="AK66" s="41" t="s">
        <v>200</v>
      </c>
      <c r="AL66" s="40" t="s">
        <v>200</v>
      </c>
      <c r="AM66" s="49">
        <v>2198.0</v>
      </c>
      <c r="AN66" s="51">
        <v>2198.0</v>
      </c>
      <c r="AO66" s="42" t="s">
        <v>321</v>
      </c>
      <c r="AP66" s="43" t="s">
        <v>321</v>
      </c>
      <c r="AQ66" s="44" t="str">
        <f t="shared" si="1"/>
        <v>WSA</v>
      </c>
      <c r="AR66" s="44">
        <f t="shared" si="3"/>
        <v>2198</v>
      </c>
      <c r="AS66" s="44" t="str">
        <f t="shared" si="5"/>
        <v>D</v>
      </c>
      <c r="AT66" s="44" t="str">
        <f t="shared" si="17"/>
        <v>Ds</v>
      </c>
      <c r="AU66" s="44" t="str">
        <f t="shared" si="2"/>
        <v>Dsb</v>
      </c>
      <c r="AV66" s="38">
        <v>3.0</v>
      </c>
      <c r="AW66" s="38"/>
      <c r="AX66" s="38"/>
      <c r="AY66" s="38" t="s">
        <v>92</v>
      </c>
      <c r="AZ66" s="29">
        <v>1000.0</v>
      </c>
      <c r="BA66" s="29"/>
      <c r="BB66" s="29">
        <v>1.0</v>
      </c>
      <c r="BC66" s="29" t="s">
        <v>294</v>
      </c>
      <c r="BD66" s="29" t="s">
        <v>92</v>
      </c>
      <c r="BE66" s="29"/>
      <c r="BF66" s="29" t="s">
        <v>294</v>
      </c>
      <c r="BG66" s="29" t="s">
        <v>220</v>
      </c>
      <c r="BH66" s="29" t="s">
        <v>92</v>
      </c>
      <c r="BI66" s="29" t="s">
        <v>148</v>
      </c>
      <c r="BJ66" s="29"/>
      <c r="BK66" s="29" t="s">
        <v>148</v>
      </c>
      <c r="BL66" s="29"/>
      <c r="BM66" s="45"/>
      <c r="BN66" s="45"/>
      <c r="BO66" s="46"/>
      <c r="BP66" s="2"/>
      <c r="BQ66" s="3"/>
    </row>
    <row r="67">
      <c r="A67" s="34">
        <v>65.0</v>
      </c>
      <c r="B67" s="34">
        <v>101448.0</v>
      </c>
      <c r="C67" s="34" t="s">
        <v>76</v>
      </c>
      <c r="D67" s="34" t="s">
        <v>279</v>
      </c>
      <c r="E67" s="34" t="s">
        <v>280</v>
      </c>
      <c r="F67" s="34">
        <v>2014.0</v>
      </c>
      <c r="G67" s="34" t="s">
        <v>281</v>
      </c>
      <c r="H67" s="34" t="s">
        <v>282</v>
      </c>
      <c r="I67" s="34" t="s">
        <v>283</v>
      </c>
      <c r="J67" s="35"/>
      <c r="K67" s="36"/>
      <c r="L67" s="36"/>
      <c r="M67" s="36"/>
      <c r="N67" s="36">
        <v>5.73</v>
      </c>
      <c r="O67" s="36">
        <v>82.03</v>
      </c>
      <c r="P67" s="37">
        <v>7.0</v>
      </c>
      <c r="Q67" s="36"/>
      <c r="R67" s="36" t="s">
        <v>209</v>
      </c>
      <c r="S67" s="36">
        <v>1000.0</v>
      </c>
      <c r="T67" s="36" t="s">
        <v>317</v>
      </c>
      <c r="U67" s="36" t="s">
        <v>285</v>
      </c>
      <c r="V67" s="36">
        <v>92.0</v>
      </c>
      <c r="W67" s="36" t="s">
        <v>169</v>
      </c>
      <c r="X67" s="38">
        <v>1.0</v>
      </c>
      <c r="Y67" s="38" t="s">
        <v>322</v>
      </c>
      <c r="Z67" s="38" t="s">
        <v>323</v>
      </c>
      <c r="AA67" s="38" t="s">
        <v>313</v>
      </c>
      <c r="AB67" s="38">
        <v>35.09</v>
      </c>
      <c r="AC67" s="38" t="s">
        <v>324</v>
      </c>
      <c r="AD67" s="56" t="s">
        <v>87</v>
      </c>
      <c r="AE67" s="53"/>
      <c r="AF67" s="38"/>
      <c r="AG67" s="57" t="s">
        <v>290</v>
      </c>
      <c r="AH67" s="38">
        <v>23.0</v>
      </c>
      <c r="AI67" s="50">
        <v>35.09</v>
      </c>
      <c r="AJ67" s="50">
        <v>-111.76</v>
      </c>
      <c r="AK67" s="41" t="s">
        <v>200</v>
      </c>
      <c r="AL67" s="40" t="s">
        <v>200</v>
      </c>
      <c r="AM67" s="49">
        <v>2229.0</v>
      </c>
      <c r="AN67" s="51">
        <v>2229.0</v>
      </c>
      <c r="AO67" s="42" t="s">
        <v>321</v>
      </c>
      <c r="AP67" s="43" t="s">
        <v>321</v>
      </c>
      <c r="AQ67" s="44" t="str">
        <f t="shared" si="1"/>
        <v>SAV</v>
      </c>
      <c r="AR67" s="44">
        <f t="shared" si="3"/>
        <v>2229</v>
      </c>
      <c r="AS67" s="44" t="str">
        <f t="shared" si="5"/>
        <v>D</v>
      </c>
      <c r="AT67" s="44" t="str">
        <f t="shared" si="17"/>
        <v>Ds</v>
      </c>
      <c r="AU67" s="44" t="str">
        <f t="shared" si="2"/>
        <v>Dsb</v>
      </c>
      <c r="AV67" s="38">
        <v>3.0</v>
      </c>
      <c r="AW67" s="38"/>
      <c r="AX67" s="38"/>
      <c r="AY67" s="38" t="s">
        <v>92</v>
      </c>
      <c r="AZ67" s="29">
        <v>1000.0</v>
      </c>
      <c r="BA67" s="29"/>
      <c r="BB67" s="29">
        <v>1.0</v>
      </c>
      <c r="BC67" s="29" t="s">
        <v>294</v>
      </c>
      <c r="BD67" s="29" t="s">
        <v>92</v>
      </c>
      <c r="BE67" s="29"/>
      <c r="BF67" s="29" t="s">
        <v>294</v>
      </c>
      <c r="BG67" s="29" t="s">
        <v>220</v>
      </c>
      <c r="BH67" s="29" t="s">
        <v>92</v>
      </c>
      <c r="BI67" s="29" t="s">
        <v>148</v>
      </c>
      <c r="BJ67" s="29"/>
      <c r="BK67" s="29" t="s">
        <v>148</v>
      </c>
      <c r="BL67" s="29"/>
      <c r="BM67" s="45"/>
      <c r="BN67" s="45"/>
      <c r="BO67" s="46"/>
      <c r="BP67" s="2"/>
      <c r="BQ67" s="3"/>
    </row>
    <row r="68">
      <c r="A68" s="34">
        <v>66.0</v>
      </c>
      <c r="B68" s="34">
        <v>101448.0</v>
      </c>
      <c r="C68" s="34" t="s">
        <v>76</v>
      </c>
      <c r="D68" s="34" t="s">
        <v>279</v>
      </c>
      <c r="E68" s="34" t="s">
        <v>280</v>
      </c>
      <c r="F68" s="34">
        <v>2014.0</v>
      </c>
      <c r="G68" s="34" t="s">
        <v>281</v>
      </c>
      <c r="H68" s="34" t="s">
        <v>282</v>
      </c>
      <c r="I68" s="34" t="s">
        <v>283</v>
      </c>
      <c r="J68" s="35"/>
      <c r="K68" s="36"/>
      <c r="L68" s="36"/>
      <c r="M68" s="36"/>
      <c r="N68" s="36">
        <v>3.88</v>
      </c>
      <c r="O68" s="36">
        <v>67.21</v>
      </c>
      <c r="P68" s="37">
        <v>6.0</v>
      </c>
      <c r="Q68" s="36"/>
      <c r="R68" s="36" t="s">
        <v>209</v>
      </c>
      <c r="S68" s="36">
        <v>1000.0</v>
      </c>
      <c r="T68" s="36" t="s">
        <v>317</v>
      </c>
      <c r="U68" s="36" t="s">
        <v>285</v>
      </c>
      <c r="V68" s="36">
        <v>92.0</v>
      </c>
      <c r="W68" s="36" t="s">
        <v>169</v>
      </c>
      <c r="X68" s="38">
        <v>1.0</v>
      </c>
      <c r="Y68" s="38" t="s">
        <v>325</v>
      </c>
      <c r="Z68" s="38" t="s">
        <v>326</v>
      </c>
      <c r="AA68" s="38" t="s">
        <v>200</v>
      </c>
      <c r="AB68" s="38">
        <v>35.45</v>
      </c>
      <c r="AC68" s="38" t="s">
        <v>327</v>
      </c>
      <c r="AD68" s="56" t="s">
        <v>87</v>
      </c>
      <c r="AE68" s="53"/>
      <c r="AF68" s="38"/>
      <c r="AG68" s="57" t="s">
        <v>290</v>
      </c>
      <c r="AH68" s="38">
        <v>23.0</v>
      </c>
      <c r="AI68" s="50">
        <v>35.45</v>
      </c>
      <c r="AJ68" s="50">
        <v>-111.77</v>
      </c>
      <c r="AK68" s="41" t="s">
        <v>197</v>
      </c>
      <c r="AL68" s="40" t="s">
        <v>197</v>
      </c>
      <c r="AM68" s="49">
        <v>2301.0</v>
      </c>
      <c r="AN68" s="51">
        <v>2301.0</v>
      </c>
      <c r="AO68" s="42" t="s">
        <v>321</v>
      </c>
      <c r="AP68" s="43" t="s">
        <v>321</v>
      </c>
      <c r="AQ68" s="44" t="str">
        <f t="shared" si="1"/>
        <v>WSA</v>
      </c>
      <c r="AR68" s="44">
        <f t="shared" si="3"/>
        <v>2301</v>
      </c>
      <c r="AS68" s="44" t="str">
        <f t="shared" si="5"/>
        <v>D</v>
      </c>
      <c r="AT68" s="44" t="str">
        <f t="shared" si="17"/>
        <v>Ds</v>
      </c>
      <c r="AU68" s="44" t="str">
        <f t="shared" si="2"/>
        <v>Dsb</v>
      </c>
      <c r="AV68" s="38">
        <v>3.0</v>
      </c>
      <c r="AW68" s="38"/>
      <c r="AX68" s="38"/>
      <c r="AY68" s="38" t="s">
        <v>92</v>
      </c>
      <c r="AZ68" s="29">
        <v>1000.0</v>
      </c>
      <c r="BA68" s="29"/>
      <c r="BB68" s="29">
        <v>1.0</v>
      </c>
      <c r="BC68" s="29" t="s">
        <v>294</v>
      </c>
      <c r="BD68" s="29" t="s">
        <v>92</v>
      </c>
      <c r="BE68" s="29"/>
      <c r="BF68" s="29" t="s">
        <v>294</v>
      </c>
      <c r="BG68" s="29" t="s">
        <v>220</v>
      </c>
      <c r="BH68" s="29" t="s">
        <v>92</v>
      </c>
      <c r="BI68" s="29" t="s">
        <v>148</v>
      </c>
      <c r="BJ68" s="29"/>
      <c r="BK68" s="29" t="s">
        <v>148</v>
      </c>
      <c r="BL68" s="29"/>
      <c r="BM68" s="45"/>
      <c r="BN68" s="45"/>
      <c r="BO68" s="46"/>
      <c r="BP68" s="2"/>
      <c r="BQ68" s="3"/>
    </row>
    <row r="69">
      <c r="A69" s="34">
        <v>67.0</v>
      </c>
      <c r="B69" s="34">
        <v>101448.0</v>
      </c>
      <c r="C69" s="34" t="s">
        <v>76</v>
      </c>
      <c r="D69" s="34" t="s">
        <v>279</v>
      </c>
      <c r="E69" s="34" t="s">
        <v>280</v>
      </c>
      <c r="F69" s="34">
        <v>2014.0</v>
      </c>
      <c r="G69" s="34" t="s">
        <v>281</v>
      </c>
      <c r="H69" s="34" t="s">
        <v>282</v>
      </c>
      <c r="I69" s="34" t="s">
        <v>283</v>
      </c>
      <c r="J69" s="35"/>
      <c r="K69" s="36"/>
      <c r="L69" s="36"/>
      <c r="M69" s="36"/>
      <c r="N69" s="36">
        <v>6.29</v>
      </c>
      <c r="O69" s="36">
        <v>198.05</v>
      </c>
      <c r="P69" s="37">
        <v>3.0</v>
      </c>
      <c r="Q69" s="36"/>
      <c r="R69" s="36" t="s">
        <v>209</v>
      </c>
      <c r="S69" s="36">
        <v>1000.0</v>
      </c>
      <c r="T69" s="36" t="s">
        <v>328</v>
      </c>
      <c r="U69" s="36" t="s">
        <v>329</v>
      </c>
      <c r="V69" s="36">
        <v>92.0</v>
      </c>
      <c r="W69" s="36" t="s">
        <v>169</v>
      </c>
      <c r="X69" s="38">
        <v>1.0</v>
      </c>
      <c r="Y69" s="38" t="s">
        <v>330</v>
      </c>
      <c r="Z69" s="38" t="s">
        <v>331</v>
      </c>
      <c r="AA69" s="38" t="s">
        <v>200</v>
      </c>
      <c r="AB69" s="38" t="s">
        <v>332</v>
      </c>
      <c r="AC69" s="38" t="s">
        <v>333</v>
      </c>
      <c r="AD69" s="56" t="s">
        <v>334</v>
      </c>
      <c r="AE69" s="38">
        <v>90.0</v>
      </c>
      <c r="AF69" s="38"/>
      <c r="AG69" s="38" t="s">
        <v>335</v>
      </c>
      <c r="AH69" s="38">
        <v>50.0</v>
      </c>
      <c r="AI69" s="50">
        <v>-21.62</v>
      </c>
      <c r="AJ69" s="50">
        <v>-47.65</v>
      </c>
      <c r="AK69" s="41" t="s">
        <v>336</v>
      </c>
      <c r="AL69" s="40" t="s">
        <v>336</v>
      </c>
      <c r="AM69" s="49">
        <v>664.0</v>
      </c>
      <c r="AN69" s="51">
        <v>664.0</v>
      </c>
      <c r="AO69" s="42" t="s">
        <v>335</v>
      </c>
      <c r="AP69" s="43" t="s">
        <v>335</v>
      </c>
      <c r="AQ69" s="44" t="str">
        <f t="shared" si="1"/>
        <v>WSA</v>
      </c>
      <c r="AR69" s="44">
        <f t="shared" si="3"/>
        <v>664</v>
      </c>
      <c r="AS69" s="44" t="str">
        <f t="shared" si="5"/>
        <v>A</v>
      </c>
      <c r="AT69" s="44" t="str">
        <f t="shared" si="17"/>
        <v>Aw</v>
      </c>
      <c r="AU69" s="44" t="str">
        <f t="shared" si="2"/>
        <v>Aw</v>
      </c>
      <c r="AV69" s="38">
        <v>3.0</v>
      </c>
      <c r="AW69" s="38"/>
      <c r="AX69" s="38"/>
      <c r="AY69" s="38" t="s">
        <v>92</v>
      </c>
      <c r="AZ69" s="29">
        <v>1000.0</v>
      </c>
      <c r="BA69" s="29"/>
      <c r="BB69" s="29">
        <v>1.0</v>
      </c>
      <c r="BC69" s="29" t="s">
        <v>294</v>
      </c>
      <c r="BD69" s="29" t="s">
        <v>92</v>
      </c>
      <c r="BE69" s="29"/>
      <c r="BF69" s="29" t="s">
        <v>294</v>
      </c>
      <c r="BG69" s="29" t="s">
        <v>220</v>
      </c>
      <c r="BH69" s="29" t="s">
        <v>92</v>
      </c>
      <c r="BI69" s="29" t="s">
        <v>148</v>
      </c>
      <c r="BJ69" s="29"/>
      <c r="BK69" s="29" t="s">
        <v>148</v>
      </c>
      <c r="BL69" s="29"/>
      <c r="BM69" s="45"/>
      <c r="BN69" s="45"/>
      <c r="BO69" s="46"/>
      <c r="BP69" s="2"/>
      <c r="BQ69" s="3"/>
    </row>
    <row r="70">
      <c r="A70" s="34">
        <v>68.0</v>
      </c>
      <c r="B70" s="34">
        <v>101448.0</v>
      </c>
      <c r="C70" s="34" t="s">
        <v>76</v>
      </c>
      <c r="D70" s="34" t="s">
        <v>279</v>
      </c>
      <c r="E70" s="34" t="s">
        <v>280</v>
      </c>
      <c r="F70" s="34">
        <v>2014.0</v>
      </c>
      <c r="G70" s="34" t="s">
        <v>281</v>
      </c>
      <c r="H70" s="34" t="s">
        <v>282</v>
      </c>
      <c r="I70" s="34" t="s">
        <v>283</v>
      </c>
      <c r="J70" s="35"/>
      <c r="K70" s="36"/>
      <c r="L70" s="36"/>
      <c r="M70" s="36"/>
      <c r="N70" s="36">
        <v>0.34</v>
      </c>
      <c r="O70" s="36">
        <v>199.01</v>
      </c>
      <c r="P70" s="37">
        <v>1.0</v>
      </c>
      <c r="Q70" s="36"/>
      <c r="R70" s="36" t="s">
        <v>209</v>
      </c>
      <c r="S70" s="36">
        <v>1000.0</v>
      </c>
      <c r="T70" s="36" t="s">
        <v>284</v>
      </c>
      <c r="U70" s="36" t="s">
        <v>285</v>
      </c>
      <c r="V70" s="36">
        <v>230.0</v>
      </c>
      <c r="W70" s="36" t="s">
        <v>169</v>
      </c>
      <c r="X70" s="38">
        <v>1.0</v>
      </c>
      <c r="Y70" s="38" t="s">
        <v>337</v>
      </c>
      <c r="Z70" s="38" t="s">
        <v>338</v>
      </c>
      <c r="AA70" s="38" t="s">
        <v>200</v>
      </c>
      <c r="AB70" s="38" t="s">
        <v>339</v>
      </c>
      <c r="AC70" s="38">
        <v>131.15</v>
      </c>
      <c r="AD70" s="56" t="s">
        <v>340</v>
      </c>
      <c r="AE70" s="53"/>
      <c r="AF70" s="38"/>
      <c r="AG70" s="38"/>
      <c r="AH70" s="38" t="s">
        <v>308</v>
      </c>
      <c r="AI70" s="50">
        <v>-12.49</v>
      </c>
      <c r="AJ70" s="50">
        <v>131.15</v>
      </c>
      <c r="AK70" s="41" t="s">
        <v>336</v>
      </c>
      <c r="AL70" s="40" t="s">
        <v>336</v>
      </c>
      <c r="AM70" s="49">
        <v>37.0</v>
      </c>
      <c r="AN70" s="51">
        <v>37.0</v>
      </c>
      <c r="AO70" s="42" t="s">
        <v>335</v>
      </c>
      <c r="AP70" s="43" t="s">
        <v>335</v>
      </c>
      <c r="AQ70" s="44" t="str">
        <f t="shared" si="1"/>
        <v>WSA</v>
      </c>
      <c r="AR70" s="44">
        <f t="shared" si="3"/>
        <v>37</v>
      </c>
      <c r="AS70" s="44" t="str">
        <f t="shared" si="5"/>
        <v>A</v>
      </c>
      <c r="AT70" s="44" t="str">
        <f t="shared" si="17"/>
        <v>Aw</v>
      </c>
      <c r="AU70" s="44" t="str">
        <f t="shared" si="2"/>
        <v>Aw</v>
      </c>
      <c r="AV70" s="38">
        <v>3.0</v>
      </c>
      <c r="AW70" s="38"/>
      <c r="AX70" s="38"/>
      <c r="AY70" s="38" t="s">
        <v>92</v>
      </c>
      <c r="AZ70" s="29">
        <v>1000.0</v>
      </c>
      <c r="BA70" s="29"/>
      <c r="BB70" s="29">
        <v>1.0</v>
      </c>
      <c r="BC70" s="29" t="s">
        <v>294</v>
      </c>
      <c r="BD70" s="29" t="s">
        <v>92</v>
      </c>
      <c r="BE70" s="29"/>
      <c r="BF70" s="29" t="s">
        <v>294</v>
      </c>
      <c r="BG70" s="29" t="s">
        <v>220</v>
      </c>
      <c r="BH70" s="29" t="s">
        <v>92</v>
      </c>
      <c r="BI70" s="29" t="s">
        <v>148</v>
      </c>
      <c r="BJ70" s="29"/>
      <c r="BK70" s="29" t="s">
        <v>148</v>
      </c>
      <c r="BL70" s="29"/>
      <c r="BM70" s="45"/>
      <c r="BN70" s="45"/>
      <c r="BO70" s="46"/>
      <c r="BP70" s="2"/>
      <c r="BQ70" s="3"/>
    </row>
    <row r="71">
      <c r="A71" s="34">
        <v>69.0</v>
      </c>
      <c r="B71" s="34">
        <v>101448.0</v>
      </c>
      <c r="C71" s="34" t="s">
        <v>76</v>
      </c>
      <c r="D71" s="34" t="s">
        <v>279</v>
      </c>
      <c r="E71" s="34" t="s">
        <v>280</v>
      </c>
      <c r="F71" s="34">
        <v>2014.0</v>
      </c>
      <c r="G71" s="34" t="s">
        <v>281</v>
      </c>
      <c r="H71" s="34" t="s">
        <v>282</v>
      </c>
      <c r="I71" s="34" t="s">
        <v>283</v>
      </c>
      <c r="J71" s="35"/>
      <c r="K71" s="36"/>
      <c r="L71" s="36"/>
      <c r="M71" s="36"/>
      <c r="N71" s="36">
        <v>4.96</v>
      </c>
      <c r="O71" s="36">
        <v>242.03</v>
      </c>
      <c r="P71" s="37">
        <v>4.0</v>
      </c>
      <c r="Q71" s="36"/>
      <c r="R71" s="36" t="s">
        <v>209</v>
      </c>
      <c r="S71" s="36">
        <v>1000.0</v>
      </c>
      <c r="T71" s="36" t="s">
        <v>341</v>
      </c>
      <c r="U71" s="36" t="s">
        <v>342</v>
      </c>
      <c r="V71" s="36">
        <v>92.0</v>
      </c>
      <c r="W71" s="36" t="s">
        <v>169</v>
      </c>
      <c r="X71" s="38">
        <v>1.0</v>
      </c>
      <c r="Y71" s="38" t="s">
        <v>343</v>
      </c>
      <c r="Z71" s="38" t="s">
        <v>344</v>
      </c>
      <c r="AA71" s="38" t="s">
        <v>200</v>
      </c>
      <c r="AB71" s="38" t="s">
        <v>345</v>
      </c>
      <c r="AC71" s="38">
        <v>131.31</v>
      </c>
      <c r="AD71" s="56" t="s">
        <v>340</v>
      </c>
      <c r="AE71" s="53"/>
      <c r="AF71" s="38"/>
      <c r="AG71" s="38"/>
      <c r="AH71" s="38" t="s">
        <v>308</v>
      </c>
      <c r="AI71" s="50">
        <v>-12.54</v>
      </c>
      <c r="AJ71" s="50">
        <v>131.31</v>
      </c>
      <c r="AK71" s="41" t="s">
        <v>214</v>
      </c>
      <c r="AL71" s="40" t="s">
        <v>214</v>
      </c>
      <c r="AM71" s="49">
        <v>2.0</v>
      </c>
      <c r="AN71" s="51">
        <v>2.0</v>
      </c>
      <c r="AO71" s="42" t="s">
        <v>335</v>
      </c>
      <c r="AP71" s="43" t="s">
        <v>335</v>
      </c>
      <c r="AQ71" s="44" t="str">
        <f t="shared" si="1"/>
        <v>WSA</v>
      </c>
      <c r="AR71" s="44">
        <f t="shared" si="3"/>
        <v>2</v>
      </c>
      <c r="AS71" s="44" t="str">
        <f t="shared" si="5"/>
        <v>A</v>
      </c>
      <c r="AT71" s="44" t="str">
        <f t="shared" si="17"/>
        <v>Aw</v>
      </c>
      <c r="AU71" s="44" t="str">
        <f t="shared" si="2"/>
        <v>Aw</v>
      </c>
      <c r="AV71" s="38">
        <v>3.0</v>
      </c>
      <c r="AW71" s="38"/>
      <c r="AX71" s="38"/>
      <c r="AY71" s="38" t="s">
        <v>92</v>
      </c>
      <c r="AZ71" s="29">
        <v>1000.0</v>
      </c>
      <c r="BA71" s="29"/>
      <c r="BB71" s="29">
        <v>1.0</v>
      </c>
      <c r="BC71" s="29" t="s">
        <v>294</v>
      </c>
      <c r="BD71" s="29" t="s">
        <v>92</v>
      </c>
      <c r="BE71" s="29"/>
      <c r="BF71" s="29" t="s">
        <v>294</v>
      </c>
      <c r="BG71" s="29" t="s">
        <v>220</v>
      </c>
      <c r="BH71" s="29" t="s">
        <v>92</v>
      </c>
      <c r="BI71" s="29" t="s">
        <v>148</v>
      </c>
      <c r="BJ71" s="29"/>
      <c r="BK71" s="29" t="s">
        <v>148</v>
      </c>
      <c r="BL71" s="29"/>
      <c r="BM71" s="45"/>
      <c r="BN71" s="45"/>
      <c r="BO71" s="46"/>
      <c r="BP71" s="2"/>
      <c r="BQ71" s="3"/>
    </row>
    <row r="72">
      <c r="A72" s="34">
        <v>70.0</v>
      </c>
      <c r="B72" s="34">
        <v>101448.0</v>
      </c>
      <c r="C72" s="34" t="s">
        <v>76</v>
      </c>
      <c r="D72" s="34" t="s">
        <v>279</v>
      </c>
      <c r="E72" s="34" t="s">
        <v>280</v>
      </c>
      <c r="F72" s="34">
        <v>2014.0</v>
      </c>
      <c r="G72" s="34" t="s">
        <v>281</v>
      </c>
      <c r="H72" s="34" t="s">
        <v>282</v>
      </c>
      <c r="I72" s="34" t="s">
        <v>283</v>
      </c>
      <c r="J72" s="35"/>
      <c r="K72" s="36"/>
      <c r="L72" s="36"/>
      <c r="M72" s="36"/>
      <c r="N72" s="36">
        <v>0.09</v>
      </c>
      <c r="O72" s="36">
        <v>95.71</v>
      </c>
      <c r="P72" s="37">
        <v>1.0</v>
      </c>
      <c r="Q72" s="36"/>
      <c r="R72" s="36" t="s">
        <v>209</v>
      </c>
      <c r="S72" s="36">
        <v>1000.0</v>
      </c>
      <c r="T72" s="36" t="s">
        <v>295</v>
      </c>
      <c r="U72" s="36" t="s">
        <v>285</v>
      </c>
      <c r="V72" s="36">
        <v>138.0</v>
      </c>
      <c r="W72" s="36" t="s">
        <v>169</v>
      </c>
      <c r="X72" s="38">
        <v>1.0</v>
      </c>
      <c r="Y72" s="38" t="s">
        <v>346</v>
      </c>
      <c r="Z72" s="38" t="s">
        <v>347</v>
      </c>
      <c r="AA72" s="38" t="s">
        <v>313</v>
      </c>
      <c r="AB72" s="38">
        <v>39.94</v>
      </c>
      <c r="AC72" s="38" t="s">
        <v>348</v>
      </c>
      <c r="AD72" s="56" t="s">
        <v>349</v>
      </c>
      <c r="AE72" s="38"/>
      <c r="AF72" s="38"/>
      <c r="AG72" s="38" t="s">
        <v>299</v>
      </c>
      <c r="AH72" s="38" t="s">
        <v>308</v>
      </c>
      <c r="AI72" s="50">
        <v>39.94</v>
      </c>
      <c r="AJ72" s="50">
        <v>-5.77</v>
      </c>
      <c r="AK72" s="41" t="s">
        <v>313</v>
      </c>
      <c r="AL72" s="40" t="s">
        <v>313</v>
      </c>
      <c r="AM72" s="49">
        <v>270.0</v>
      </c>
      <c r="AN72" s="51">
        <v>270.0</v>
      </c>
      <c r="AO72" s="42" t="s">
        <v>175</v>
      </c>
      <c r="AP72" s="43" t="s">
        <v>175</v>
      </c>
      <c r="AQ72" s="44" t="str">
        <f t="shared" si="1"/>
        <v>SAV</v>
      </c>
      <c r="AR72" s="44">
        <f t="shared" si="3"/>
        <v>270</v>
      </c>
      <c r="AS72" s="44" t="str">
        <f t="shared" si="5"/>
        <v>C</v>
      </c>
      <c r="AT72" s="44" t="str">
        <f t="shared" si="17"/>
        <v>Cs</v>
      </c>
      <c r="AU72" s="44" t="str">
        <f t="shared" si="2"/>
        <v>Csa</v>
      </c>
      <c r="AV72" s="38">
        <v>3.0</v>
      </c>
      <c r="AW72" s="38"/>
      <c r="AX72" s="38"/>
      <c r="AY72" s="38" t="s">
        <v>92</v>
      </c>
      <c r="AZ72" s="29">
        <v>1000.0</v>
      </c>
      <c r="BA72" s="29"/>
      <c r="BB72" s="29">
        <v>1.0</v>
      </c>
      <c r="BC72" s="29" t="s">
        <v>294</v>
      </c>
      <c r="BD72" s="29" t="s">
        <v>92</v>
      </c>
      <c r="BE72" s="29"/>
      <c r="BF72" s="29" t="s">
        <v>294</v>
      </c>
      <c r="BG72" s="29" t="s">
        <v>220</v>
      </c>
      <c r="BH72" s="29" t="s">
        <v>92</v>
      </c>
      <c r="BI72" s="29" t="s">
        <v>148</v>
      </c>
      <c r="BJ72" s="29"/>
      <c r="BK72" s="29" t="s">
        <v>148</v>
      </c>
      <c r="BL72" s="29"/>
      <c r="BM72" s="45"/>
      <c r="BN72" s="45"/>
      <c r="BO72" s="46"/>
      <c r="BP72" s="2"/>
      <c r="BQ72" s="3"/>
    </row>
    <row r="73">
      <c r="A73" s="34">
        <v>71.0</v>
      </c>
      <c r="B73" s="34">
        <v>101448.0</v>
      </c>
      <c r="C73" s="34" t="s">
        <v>76</v>
      </c>
      <c r="D73" s="34" t="s">
        <v>279</v>
      </c>
      <c r="E73" s="34" t="s">
        <v>280</v>
      </c>
      <c r="F73" s="34">
        <v>2014.0</v>
      </c>
      <c r="G73" s="34" t="s">
        <v>281</v>
      </c>
      <c r="H73" s="34" t="s">
        <v>282</v>
      </c>
      <c r="I73" s="34" t="s">
        <v>283</v>
      </c>
      <c r="J73" s="35"/>
      <c r="K73" s="36"/>
      <c r="L73" s="36"/>
      <c r="M73" s="36"/>
      <c r="N73" s="36">
        <v>19.11</v>
      </c>
      <c r="O73" s="36">
        <v>99.21</v>
      </c>
      <c r="P73" s="37">
        <v>19.0</v>
      </c>
      <c r="Q73" s="36"/>
      <c r="R73" s="36" t="s">
        <v>209</v>
      </c>
      <c r="S73" s="36">
        <v>1000.0</v>
      </c>
      <c r="T73" s="36" t="s">
        <v>350</v>
      </c>
      <c r="U73" s="36" t="s">
        <v>351</v>
      </c>
      <c r="V73" s="36">
        <v>138.0</v>
      </c>
      <c r="W73" s="36" t="s">
        <v>169</v>
      </c>
      <c r="X73" s="38">
        <v>1.0</v>
      </c>
      <c r="Y73" s="38" t="s">
        <v>352</v>
      </c>
      <c r="Z73" s="38" t="s">
        <v>353</v>
      </c>
      <c r="AA73" s="38" t="s">
        <v>288</v>
      </c>
      <c r="AB73" s="38">
        <v>13.28</v>
      </c>
      <c r="AC73" s="38">
        <v>30.48</v>
      </c>
      <c r="AD73" s="56" t="s">
        <v>354</v>
      </c>
      <c r="AE73" s="53"/>
      <c r="AF73" s="38"/>
      <c r="AG73" s="38"/>
      <c r="AH73" s="38" t="s">
        <v>308</v>
      </c>
      <c r="AI73" s="50">
        <v>13.28</v>
      </c>
      <c r="AJ73" s="50">
        <v>30.48</v>
      </c>
      <c r="AK73" s="41" t="s">
        <v>288</v>
      </c>
      <c r="AL73" s="40" t="s">
        <v>288</v>
      </c>
      <c r="AM73" s="49">
        <v>541.0</v>
      </c>
      <c r="AN73" s="51">
        <v>541.0</v>
      </c>
      <c r="AO73" s="42" t="s">
        <v>355</v>
      </c>
      <c r="AP73" s="43" t="s">
        <v>355</v>
      </c>
      <c r="AQ73" s="44" t="str">
        <f t="shared" si="1"/>
        <v>GRA</v>
      </c>
      <c r="AR73" s="44">
        <f t="shared" si="3"/>
        <v>541</v>
      </c>
      <c r="AS73" s="44" t="str">
        <f t="shared" si="5"/>
        <v>B</v>
      </c>
      <c r="AT73" s="44" t="str">
        <f t="shared" si="17"/>
        <v>BW</v>
      </c>
      <c r="AU73" s="44" t="str">
        <f t="shared" si="2"/>
        <v>BWh</v>
      </c>
      <c r="AV73" s="38">
        <v>3.0</v>
      </c>
      <c r="AW73" s="38"/>
      <c r="AX73" s="38"/>
      <c r="AY73" s="38" t="s">
        <v>92</v>
      </c>
      <c r="AZ73" s="29">
        <v>1000.0</v>
      </c>
      <c r="BA73" s="29"/>
      <c r="BB73" s="29">
        <v>1.0</v>
      </c>
      <c r="BC73" s="29" t="s">
        <v>294</v>
      </c>
      <c r="BD73" s="29" t="s">
        <v>92</v>
      </c>
      <c r="BE73" s="29"/>
      <c r="BF73" s="29" t="s">
        <v>294</v>
      </c>
      <c r="BG73" s="29" t="s">
        <v>220</v>
      </c>
      <c r="BH73" s="29" t="s">
        <v>92</v>
      </c>
      <c r="BI73" s="29" t="s">
        <v>148</v>
      </c>
      <c r="BJ73" s="29"/>
      <c r="BK73" s="29" t="s">
        <v>148</v>
      </c>
      <c r="BL73" s="29"/>
      <c r="BM73" s="45"/>
      <c r="BN73" s="45"/>
      <c r="BO73" s="46"/>
      <c r="BP73" s="2"/>
      <c r="BQ73" s="3"/>
    </row>
    <row r="74">
      <c r="A74" s="34">
        <v>72.0</v>
      </c>
      <c r="B74" s="34">
        <v>101448.0</v>
      </c>
      <c r="C74" s="34" t="s">
        <v>76</v>
      </c>
      <c r="D74" s="34" t="s">
        <v>279</v>
      </c>
      <c r="E74" s="34" t="s">
        <v>280</v>
      </c>
      <c r="F74" s="34">
        <v>2014.0</v>
      </c>
      <c r="G74" s="34" t="s">
        <v>281</v>
      </c>
      <c r="H74" s="34" t="s">
        <v>282</v>
      </c>
      <c r="I74" s="34" t="s">
        <v>283</v>
      </c>
      <c r="J74" s="35"/>
      <c r="K74" s="36"/>
      <c r="L74" s="36"/>
      <c r="M74" s="36"/>
      <c r="N74" s="36">
        <v>35.34</v>
      </c>
      <c r="O74" s="36">
        <v>86.93</v>
      </c>
      <c r="P74" s="37">
        <v>45.0</v>
      </c>
      <c r="Q74" s="36"/>
      <c r="R74" s="36" t="s">
        <v>209</v>
      </c>
      <c r="S74" s="36">
        <v>1000.0</v>
      </c>
      <c r="T74" s="36" t="s">
        <v>356</v>
      </c>
      <c r="U74" s="36" t="s">
        <v>357</v>
      </c>
      <c r="V74" s="36">
        <v>92.0</v>
      </c>
      <c r="W74" s="36" t="s">
        <v>169</v>
      </c>
      <c r="X74" s="38">
        <v>1.0</v>
      </c>
      <c r="Y74" s="38" t="s">
        <v>358</v>
      </c>
      <c r="Z74" s="38" t="s">
        <v>359</v>
      </c>
      <c r="AA74" s="38" t="s">
        <v>200</v>
      </c>
      <c r="AB74" s="38" t="s">
        <v>360</v>
      </c>
      <c r="AC74" s="38">
        <v>23.56</v>
      </c>
      <c r="AD74" s="56" t="s">
        <v>361</v>
      </c>
      <c r="AE74" s="38"/>
      <c r="AF74" s="38"/>
      <c r="AG74" s="38" t="s">
        <v>290</v>
      </c>
      <c r="AH74" s="38">
        <v>13.5</v>
      </c>
      <c r="AI74" s="50">
        <v>-19.92</v>
      </c>
      <c r="AJ74" s="50">
        <v>23.56</v>
      </c>
      <c r="AK74" s="41" t="s">
        <v>362</v>
      </c>
      <c r="AL74" s="40" t="s">
        <v>362</v>
      </c>
      <c r="AM74" s="49">
        <v>948.0</v>
      </c>
      <c r="AN74" s="51">
        <v>948.0</v>
      </c>
      <c r="AO74" s="42" t="s">
        <v>304</v>
      </c>
      <c r="AP74" s="43" t="s">
        <v>304</v>
      </c>
      <c r="AQ74" s="44" t="str">
        <f t="shared" si="1"/>
        <v>WSA</v>
      </c>
      <c r="AR74" s="44">
        <f t="shared" si="3"/>
        <v>948</v>
      </c>
      <c r="AS74" s="44" t="str">
        <f t="shared" si="5"/>
        <v>B</v>
      </c>
      <c r="AT74" s="44" t="str">
        <f t="shared" si="17"/>
        <v>BS</v>
      </c>
      <c r="AU74" s="44" t="str">
        <f t="shared" si="2"/>
        <v>BSh</v>
      </c>
      <c r="AV74" s="38">
        <v>3.0</v>
      </c>
      <c r="AW74" s="38"/>
      <c r="AX74" s="38"/>
      <c r="AY74" s="38" t="s">
        <v>92</v>
      </c>
      <c r="AZ74" s="29">
        <v>1000.0</v>
      </c>
      <c r="BA74" s="29"/>
      <c r="BB74" s="29">
        <v>1.0</v>
      </c>
      <c r="BC74" s="29" t="s">
        <v>294</v>
      </c>
      <c r="BD74" s="29" t="s">
        <v>92</v>
      </c>
      <c r="BE74" s="29"/>
      <c r="BF74" s="29" t="s">
        <v>294</v>
      </c>
      <c r="BG74" s="29" t="s">
        <v>220</v>
      </c>
      <c r="BH74" s="29" t="s">
        <v>92</v>
      </c>
      <c r="BI74" s="29" t="s">
        <v>148</v>
      </c>
      <c r="BJ74" s="29"/>
      <c r="BK74" s="29" t="s">
        <v>148</v>
      </c>
      <c r="BL74" s="29"/>
      <c r="BM74" s="45"/>
      <c r="BN74" s="45"/>
      <c r="BO74" s="46"/>
      <c r="BP74" s="2"/>
      <c r="BQ74" s="3"/>
    </row>
    <row r="75">
      <c r="A75" s="34">
        <v>73.0</v>
      </c>
      <c r="B75" s="34">
        <v>101448.0</v>
      </c>
      <c r="C75" s="34" t="s">
        <v>76</v>
      </c>
      <c r="D75" s="34" t="s">
        <v>279</v>
      </c>
      <c r="E75" s="34" t="s">
        <v>280</v>
      </c>
      <c r="F75" s="34">
        <v>2014.0</v>
      </c>
      <c r="G75" s="34" t="s">
        <v>281</v>
      </c>
      <c r="H75" s="34" t="s">
        <v>282</v>
      </c>
      <c r="I75" s="34" t="s">
        <v>283</v>
      </c>
      <c r="J75" s="35"/>
      <c r="K75" s="36"/>
      <c r="L75" s="36"/>
      <c r="M75" s="36"/>
      <c r="N75" s="36">
        <v>13.77</v>
      </c>
      <c r="O75" s="36">
        <v>68.98</v>
      </c>
      <c r="P75" s="37">
        <v>14.0</v>
      </c>
      <c r="Q75" s="36"/>
      <c r="R75" s="36" t="s">
        <v>209</v>
      </c>
      <c r="S75" s="36">
        <v>1000.0</v>
      </c>
      <c r="T75" s="36" t="s">
        <v>328</v>
      </c>
      <c r="U75" s="36" t="s">
        <v>363</v>
      </c>
      <c r="V75" s="36">
        <v>138.0</v>
      </c>
      <c r="W75" s="36" t="s">
        <v>169</v>
      </c>
      <c r="X75" s="38">
        <v>1.0</v>
      </c>
      <c r="Y75" s="38" t="s">
        <v>364</v>
      </c>
      <c r="Z75" s="38" t="s">
        <v>365</v>
      </c>
      <c r="AA75" s="38" t="s">
        <v>313</v>
      </c>
      <c r="AB75" s="38" t="s">
        <v>366</v>
      </c>
      <c r="AC75" s="38">
        <v>31.49</v>
      </c>
      <c r="AD75" s="56" t="s">
        <v>367</v>
      </c>
      <c r="AE75" s="38"/>
      <c r="AF75" s="38"/>
      <c r="AG75" s="38" t="s">
        <v>299</v>
      </c>
      <c r="AH75" s="38" t="s">
        <v>308</v>
      </c>
      <c r="AI75" s="50">
        <v>-25.02</v>
      </c>
      <c r="AJ75" s="50">
        <v>31.49</v>
      </c>
      <c r="AK75" s="41" t="s">
        <v>313</v>
      </c>
      <c r="AL75" s="40" t="s">
        <v>313</v>
      </c>
      <c r="AM75" s="49">
        <v>368.0</v>
      </c>
      <c r="AN75" s="51">
        <v>368.0</v>
      </c>
      <c r="AO75" s="42" t="s">
        <v>304</v>
      </c>
      <c r="AP75" s="43" t="s">
        <v>304</v>
      </c>
      <c r="AQ75" s="44" t="str">
        <f t="shared" si="1"/>
        <v>SAV</v>
      </c>
      <c r="AR75" s="44">
        <f t="shared" si="3"/>
        <v>368</v>
      </c>
      <c r="AS75" s="44" t="str">
        <f t="shared" si="5"/>
        <v>B</v>
      </c>
      <c r="AT75" s="44" t="str">
        <f t="shared" si="17"/>
        <v>BS</v>
      </c>
      <c r="AU75" s="44" t="str">
        <f t="shared" si="2"/>
        <v>BSh</v>
      </c>
      <c r="AV75" s="38">
        <v>3.0</v>
      </c>
      <c r="AW75" s="38"/>
      <c r="AX75" s="38"/>
      <c r="AY75" s="38" t="s">
        <v>92</v>
      </c>
      <c r="AZ75" s="29">
        <v>1000.0</v>
      </c>
      <c r="BA75" s="29"/>
      <c r="BB75" s="29">
        <v>1.0</v>
      </c>
      <c r="BC75" s="29" t="s">
        <v>294</v>
      </c>
      <c r="BD75" s="29" t="s">
        <v>92</v>
      </c>
      <c r="BE75" s="29"/>
      <c r="BF75" s="29" t="s">
        <v>294</v>
      </c>
      <c r="BG75" s="29" t="s">
        <v>220</v>
      </c>
      <c r="BH75" s="29" t="s">
        <v>92</v>
      </c>
      <c r="BI75" s="29" t="s">
        <v>148</v>
      </c>
      <c r="BJ75" s="29"/>
      <c r="BK75" s="29" t="s">
        <v>148</v>
      </c>
      <c r="BL75" s="29"/>
      <c r="BM75" s="45"/>
      <c r="BN75" s="45"/>
      <c r="BO75" s="46"/>
      <c r="BP75" s="2"/>
      <c r="BQ75" s="3"/>
    </row>
    <row r="76">
      <c r="A76" s="34">
        <v>74.0</v>
      </c>
      <c r="B76" s="34">
        <v>101448.0</v>
      </c>
      <c r="C76" s="34" t="s">
        <v>76</v>
      </c>
      <c r="D76" s="34" t="s">
        <v>279</v>
      </c>
      <c r="E76" s="34" t="s">
        <v>280</v>
      </c>
      <c r="F76" s="34">
        <v>2014.0</v>
      </c>
      <c r="G76" s="34" t="s">
        <v>281</v>
      </c>
      <c r="H76" s="34" t="s">
        <v>282</v>
      </c>
      <c r="I76" s="34" t="s">
        <v>283</v>
      </c>
      <c r="J76" s="35"/>
      <c r="K76" s="36"/>
      <c r="L76" s="36"/>
      <c r="M76" s="36"/>
      <c r="N76" s="36">
        <v>25.23</v>
      </c>
      <c r="O76" s="36">
        <v>74.22</v>
      </c>
      <c r="P76" s="37">
        <v>20.0</v>
      </c>
      <c r="Q76" s="36"/>
      <c r="R76" s="36" t="s">
        <v>209</v>
      </c>
      <c r="S76" s="36">
        <v>1000.0</v>
      </c>
      <c r="T76" s="36" t="s">
        <v>328</v>
      </c>
      <c r="U76" s="36" t="s">
        <v>285</v>
      </c>
      <c r="V76" s="36">
        <v>276.0</v>
      </c>
      <c r="W76" s="36" t="s">
        <v>169</v>
      </c>
      <c r="X76" s="38">
        <v>1.0</v>
      </c>
      <c r="Y76" s="38" t="s">
        <v>368</v>
      </c>
      <c r="Z76" s="38" t="s">
        <v>369</v>
      </c>
      <c r="AA76" s="38" t="s">
        <v>370</v>
      </c>
      <c r="AB76" s="38">
        <v>45.81</v>
      </c>
      <c r="AC76" s="38" t="s">
        <v>371</v>
      </c>
      <c r="AD76" s="56" t="s">
        <v>87</v>
      </c>
      <c r="AE76" s="38">
        <v>520.0</v>
      </c>
      <c r="AF76" s="38"/>
      <c r="AG76" s="38" t="s">
        <v>107</v>
      </c>
      <c r="AH76" s="38">
        <v>30.0</v>
      </c>
      <c r="AI76" s="50">
        <v>45.81</v>
      </c>
      <c r="AJ76" s="50">
        <v>-90.08</v>
      </c>
      <c r="AK76" s="41" t="s">
        <v>370</v>
      </c>
      <c r="AL76" s="40" t="s">
        <v>370</v>
      </c>
      <c r="AM76" s="49">
        <v>512.0</v>
      </c>
      <c r="AN76" s="51">
        <v>512.0</v>
      </c>
      <c r="AO76" s="42" t="s">
        <v>372</v>
      </c>
      <c r="AP76" s="43" t="s">
        <v>107</v>
      </c>
      <c r="AQ76" s="44" t="str">
        <f t="shared" si="1"/>
        <v>DBF</v>
      </c>
      <c r="AR76" s="44">
        <f t="shared" si="3"/>
        <v>512</v>
      </c>
      <c r="AS76" s="44" t="str">
        <f t="shared" si="5"/>
        <v>D</v>
      </c>
      <c r="AT76" s="44" t="str">
        <f t="shared" si="17"/>
        <v>Df</v>
      </c>
      <c r="AU76" s="44" t="str">
        <f t="shared" si="2"/>
        <v>Dfb</v>
      </c>
      <c r="AV76" s="38">
        <v>3.0</v>
      </c>
      <c r="AW76" s="38"/>
      <c r="AX76" s="38"/>
      <c r="AY76" s="38" t="s">
        <v>92</v>
      </c>
      <c r="AZ76" s="29">
        <v>1000.0</v>
      </c>
      <c r="BA76" s="29"/>
      <c r="BB76" s="29">
        <v>1.0</v>
      </c>
      <c r="BC76" s="29" t="s">
        <v>294</v>
      </c>
      <c r="BD76" s="29" t="s">
        <v>92</v>
      </c>
      <c r="BE76" s="29"/>
      <c r="BF76" s="29" t="s">
        <v>294</v>
      </c>
      <c r="BG76" s="29" t="s">
        <v>220</v>
      </c>
      <c r="BH76" s="29" t="s">
        <v>92</v>
      </c>
      <c r="BI76" s="29" t="s">
        <v>148</v>
      </c>
      <c r="BJ76" s="29"/>
      <c r="BK76" s="29" t="s">
        <v>148</v>
      </c>
      <c r="BL76" s="29"/>
      <c r="BM76" s="45"/>
      <c r="BN76" s="45"/>
      <c r="BO76" s="46"/>
      <c r="BP76" s="2"/>
      <c r="BQ76" s="3"/>
    </row>
    <row r="77">
      <c r="A77" s="34">
        <v>75.0</v>
      </c>
      <c r="B77" s="34">
        <v>101448.0</v>
      </c>
      <c r="C77" s="34" t="s">
        <v>76</v>
      </c>
      <c r="D77" s="34" t="s">
        <v>279</v>
      </c>
      <c r="E77" s="34" t="s">
        <v>280</v>
      </c>
      <c r="F77" s="34">
        <v>2014.0</v>
      </c>
      <c r="G77" s="34" t="s">
        <v>281</v>
      </c>
      <c r="H77" s="34" t="s">
        <v>282</v>
      </c>
      <c r="I77" s="34" t="s">
        <v>283</v>
      </c>
      <c r="J77" s="35"/>
      <c r="K77" s="36"/>
      <c r="L77" s="36"/>
      <c r="M77" s="36"/>
      <c r="N77" s="36">
        <v>17.11</v>
      </c>
      <c r="O77" s="36">
        <v>64.29</v>
      </c>
      <c r="P77" s="37">
        <v>23.0</v>
      </c>
      <c r="Q77" s="36"/>
      <c r="R77" s="36" t="s">
        <v>209</v>
      </c>
      <c r="S77" s="36">
        <v>1000.0</v>
      </c>
      <c r="T77" s="36" t="s">
        <v>284</v>
      </c>
      <c r="U77" s="36" t="s">
        <v>285</v>
      </c>
      <c r="V77" s="36">
        <v>230.0</v>
      </c>
      <c r="W77" s="36" t="s">
        <v>169</v>
      </c>
      <c r="X77" s="38">
        <v>1.0</v>
      </c>
      <c r="Y77" s="38" t="s">
        <v>373</v>
      </c>
      <c r="Z77" s="38" t="s">
        <v>374</v>
      </c>
      <c r="AA77" s="38" t="s">
        <v>370</v>
      </c>
      <c r="AB77" s="38">
        <v>51.08</v>
      </c>
      <c r="AC77" s="38">
        <v>10.45</v>
      </c>
      <c r="AD77" s="56" t="s">
        <v>375</v>
      </c>
      <c r="AE77" s="53"/>
      <c r="AF77" s="38"/>
      <c r="AG77" s="38"/>
      <c r="AH77" s="38">
        <v>42.0</v>
      </c>
      <c r="AI77" s="50">
        <v>51.08</v>
      </c>
      <c r="AJ77" s="50">
        <v>10.45</v>
      </c>
      <c r="AK77" s="41" t="s">
        <v>370</v>
      </c>
      <c r="AL77" s="40" t="s">
        <v>370</v>
      </c>
      <c r="AM77" s="49">
        <v>453.0</v>
      </c>
      <c r="AN77" s="51">
        <v>453.0</v>
      </c>
      <c r="AO77" s="42" t="s">
        <v>372</v>
      </c>
      <c r="AP77" s="43" t="s">
        <v>376</v>
      </c>
      <c r="AQ77" s="44" t="str">
        <f t="shared" si="1"/>
        <v>DBF</v>
      </c>
      <c r="AR77" s="44">
        <f t="shared" si="3"/>
        <v>453</v>
      </c>
      <c r="AS77" s="44" t="str">
        <f t="shared" si="5"/>
        <v>D</v>
      </c>
      <c r="AT77" s="44" t="str">
        <f t="shared" si="17"/>
        <v>Cf</v>
      </c>
      <c r="AU77" s="44" t="str">
        <f t="shared" si="2"/>
        <v>Cfb</v>
      </c>
      <c r="AV77" s="38">
        <v>3.0</v>
      </c>
      <c r="AW77" s="38"/>
      <c r="AX77" s="38"/>
      <c r="AY77" s="38" t="s">
        <v>92</v>
      </c>
      <c r="AZ77" s="29">
        <v>1000.0</v>
      </c>
      <c r="BA77" s="29"/>
      <c r="BB77" s="29">
        <v>1.0</v>
      </c>
      <c r="BC77" s="29" t="s">
        <v>294</v>
      </c>
      <c r="BD77" s="29" t="s">
        <v>92</v>
      </c>
      <c r="BE77" s="29"/>
      <c r="BF77" s="29" t="s">
        <v>294</v>
      </c>
      <c r="BG77" s="29" t="s">
        <v>220</v>
      </c>
      <c r="BH77" s="29" t="s">
        <v>92</v>
      </c>
      <c r="BI77" s="29" t="s">
        <v>148</v>
      </c>
      <c r="BJ77" s="29"/>
      <c r="BK77" s="29" t="s">
        <v>148</v>
      </c>
      <c r="BL77" s="29"/>
      <c r="BM77" s="45"/>
      <c r="BN77" s="45"/>
      <c r="BO77" s="46"/>
      <c r="BP77" s="2"/>
      <c r="BQ77" s="3"/>
    </row>
    <row r="78">
      <c r="A78" s="34">
        <v>76.0</v>
      </c>
      <c r="B78" s="34">
        <v>101448.0</v>
      </c>
      <c r="C78" s="34" t="s">
        <v>76</v>
      </c>
      <c r="D78" s="34" t="s">
        <v>279</v>
      </c>
      <c r="E78" s="34" t="s">
        <v>280</v>
      </c>
      <c r="F78" s="34">
        <v>2014.0</v>
      </c>
      <c r="G78" s="34" t="s">
        <v>281</v>
      </c>
      <c r="H78" s="34" t="s">
        <v>282</v>
      </c>
      <c r="I78" s="34" t="s">
        <v>283</v>
      </c>
      <c r="J78" s="35"/>
      <c r="K78" s="36"/>
      <c r="L78" s="36"/>
      <c r="M78" s="36"/>
      <c r="N78" s="36">
        <v>11.88</v>
      </c>
      <c r="O78" s="36">
        <v>99.61</v>
      </c>
      <c r="P78" s="37">
        <v>15.0</v>
      </c>
      <c r="Q78" s="36"/>
      <c r="R78" s="36" t="s">
        <v>209</v>
      </c>
      <c r="S78" s="36">
        <v>1000.0</v>
      </c>
      <c r="T78" s="36" t="s">
        <v>328</v>
      </c>
      <c r="U78" s="36" t="s">
        <v>363</v>
      </c>
      <c r="V78" s="36">
        <v>138.0</v>
      </c>
      <c r="W78" s="36" t="s">
        <v>169</v>
      </c>
      <c r="X78" s="38">
        <v>1.0</v>
      </c>
      <c r="Y78" s="38" t="s">
        <v>377</v>
      </c>
      <c r="Z78" s="38" t="s">
        <v>378</v>
      </c>
      <c r="AA78" s="38" t="s">
        <v>370</v>
      </c>
      <c r="AB78" s="38">
        <v>45.56</v>
      </c>
      <c r="AC78" s="38" t="s">
        <v>379</v>
      </c>
      <c r="AD78" s="56" t="s">
        <v>87</v>
      </c>
      <c r="AE78" s="38">
        <v>234.0</v>
      </c>
      <c r="AF78" s="38"/>
      <c r="AG78" s="38" t="s">
        <v>107</v>
      </c>
      <c r="AH78" s="38">
        <v>46.0</v>
      </c>
      <c r="AI78" s="50">
        <v>45.56</v>
      </c>
      <c r="AJ78" s="50">
        <v>-84.71</v>
      </c>
      <c r="AK78" s="41" t="s">
        <v>370</v>
      </c>
      <c r="AL78" s="40" t="s">
        <v>370</v>
      </c>
      <c r="AM78" s="49">
        <v>237.0</v>
      </c>
      <c r="AN78" s="51">
        <v>237.0</v>
      </c>
      <c r="AO78" s="42" t="s">
        <v>372</v>
      </c>
      <c r="AP78" s="43" t="s">
        <v>107</v>
      </c>
      <c r="AQ78" s="44" t="str">
        <f t="shared" si="1"/>
        <v>DBF</v>
      </c>
      <c r="AR78" s="44">
        <f t="shared" si="3"/>
        <v>237</v>
      </c>
      <c r="AS78" s="44" t="str">
        <f t="shared" si="5"/>
        <v>D</v>
      </c>
      <c r="AT78" s="44" t="str">
        <f t="shared" si="17"/>
        <v>Df</v>
      </c>
      <c r="AU78" s="44" t="str">
        <f t="shared" si="2"/>
        <v>Dfb</v>
      </c>
      <c r="AV78" s="38">
        <v>3.0</v>
      </c>
      <c r="AW78" s="38"/>
      <c r="AX78" s="38"/>
      <c r="AY78" s="38" t="s">
        <v>92</v>
      </c>
      <c r="AZ78" s="29">
        <v>1000.0</v>
      </c>
      <c r="BA78" s="29"/>
      <c r="BB78" s="29">
        <v>1.0</v>
      </c>
      <c r="BC78" s="29" t="s">
        <v>294</v>
      </c>
      <c r="BD78" s="29" t="s">
        <v>92</v>
      </c>
      <c r="BE78" s="29"/>
      <c r="BF78" s="29" t="s">
        <v>294</v>
      </c>
      <c r="BG78" s="29" t="s">
        <v>220</v>
      </c>
      <c r="BH78" s="29" t="s">
        <v>92</v>
      </c>
      <c r="BI78" s="29" t="s">
        <v>148</v>
      </c>
      <c r="BJ78" s="29"/>
      <c r="BK78" s="29" t="s">
        <v>148</v>
      </c>
      <c r="BL78" s="29"/>
      <c r="BM78" s="45"/>
      <c r="BN78" s="45"/>
      <c r="BO78" s="46"/>
      <c r="BP78" s="2"/>
      <c r="BQ78" s="3"/>
    </row>
    <row r="79">
      <c r="A79" s="34">
        <v>77.0</v>
      </c>
      <c r="B79" s="34">
        <v>101448.0</v>
      </c>
      <c r="C79" s="34" t="s">
        <v>76</v>
      </c>
      <c r="D79" s="34" t="s">
        <v>279</v>
      </c>
      <c r="E79" s="34" t="s">
        <v>280</v>
      </c>
      <c r="F79" s="34">
        <v>2014.0</v>
      </c>
      <c r="G79" s="34" t="s">
        <v>281</v>
      </c>
      <c r="H79" s="34" t="s">
        <v>282</v>
      </c>
      <c r="I79" s="34" t="s">
        <v>283</v>
      </c>
      <c r="J79" s="35"/>
      <c r="K79" s="36"/>
      <c r="L79" s="36"/>
      <c r="M79" s="36"/>
      <c r="N79" s="36">
        <v>20.69</v>
      </c>
      <c r="O79" s="36">
        <v>62.93</v>
      </c>
      <c r="P79" s="37">
        <v>37.0</v>
      </c>
      <c r="Q79" s="36"/>
      <c r="R79" s="36" t="s">
        <v>209</v>
      </c>
      <c r="S79" s="36">
        <v>1000.0</v>
      </c>
      <c r="T79" s="36" t="s">
        <v>284</v>
      </c>
      <c r="U79" s="36" t="s">
        <v>285</v>
      </c>
      <c r="V79" s="36">
        <v>230.0</v>
      </c>
      <c r="W79" s="36" t="s">
        <v>169</v>
      </c>
      <c r="X79" s="38">
        <v>1.0</v>
      </c>
      <c r="Y79" s="38" t="s">
        <v>380</v>
      </c>
      <c r="Z79" s="38" t="s">
        <v>381</v>
      </c>
      <c r="AA79" s="38" t="s">
        <v>370</v>
      </c>
      <c r="AB79" s="38">
        <v>48.67</v>
      </c>
      <c r="AC79" s="38">
        <v>7.06</v>
      </c>
      <c r="AD79" s="56" t="s">
        <v>382</v>
      </c>
      <c r="AE79" s="53"/>
      <c r="AF79" s="38"/>
      <c r="AG79" s="38"/>
      <c r="AH79" s="38">
        <v>22.0</v>
      </c>
      <c r="AI79" s="50">
        <v>48.67</v>
      </c>
      <c r="AJ79" s="50">
        <v>7.06</v>
      </c>
      <c r="AK79" s="41" t="s">
        <v>370</v>
      </c>
      <c r="AL79" s="40" t="s">
        <v>370</v>
      </c>
      <c r="AM79" s="49">
        <v>319.0</v>
      </c>
      <c r="AN79" s="51">
        <v>319.0</v>
      </c>
      <c r="AO79" s="42" t="s">
        <v>376</v>
      </c>
      <c r="AP79" s="43" t="s">
        <v>376</v>
      </c>
      <c r="AQ79" s="44" t="str">
        <f t="shared" si="1"/>
        <v>DBF</v>
      </c>
      <c r="AR79" s="44">
        <f t="shared" si="3"/>
        <v>319</v>
      </c>
      <c r="AS79" s="44" t="str">
        <f t="shared" si="5"/>
        <v>C</v>
      </c>
      <c r="AT79" s="44" t="str">
        <f t="shared" si="17"/>
        <v>Cf</v>
      </c>
      <c r="AU79" s="44" t="str">
        <f t="shared" si="2"/>
        <v>Cfb</v>
      </c>
      <c r="AV79" s="38">
        <v>3.0</v>
      </c>
      <c r="AW79" s="38"/>
      <c r="AX79" s="38"/>
      <c r="AY79" s="38" t="s">
        <v>92</v>
      </c>
      <c r="AZ79" s="29">
        <v>1000.0</v>
      </c>
      <c r="BA79" s="29"/>
      <c r="BB79" s="29">
        <v>1.0</v>
      </c>
      <c r="BC79" s="29" t="s">
        <v>294</v>
      </c>
      <c r="BD79" s="29" t="s">
        <v>92</v>
      </c>
      <c r="BE79" s="29"/>
      <c r="BF79" s="29" t="s">
        <v>294</v>
      </c>
      <c r="BG79" s="29" t="s">
        <v>220</v>
      </c>
      <c r="BH79" s="29" t="s">
        <v>92</v>
      </c>
      <c r="BI79" s="29" t="s">
        <v>148</v>
      </c>
      <c r="BJ79" s="29"/>
      <c r="BK79" s="29" t="s">
        <v>148</v>
      </c>
      <c r="BL79" s="29"/>
      <c r="BM79" s="45"/>
      <c r="BN79" s="45"/>
      <c r="BO79" s="46"/>
      <c r="BP79" s="2"/>
      <c r="BQ79" s="3"/>
    </row>
    <row r="80">
      <c r="A80" s="34">
        <v>78.0</v>
      </c>
      <c r="B80" s="34">
        <v>101448.0</v>
      </c>
      <c r="C80" s="34" t="s">
        <v>76</v>
      </c>
      <c r="D80" s="34" t="s">
        <v>279</v>
      </c>
      <c r="E80" s="34" t="s">
        <v>280</v>
      </c>
      <c r="F80" s="34">
        <v>2014.0</v>
      </c>
      <c r="G80" s="34" t="s">
        <v>281</v>
      </c>
      <c r="H80" s="34" t="s">
        <v>282</v>
      </c>
      <c r="I80" s="34" t="s">
        <v>283</v>
      </c>
      <c r="J80" s="35"/>
      <c r="K80" s="36"/>
      <c r="L80" s="36"/>
      <c r="M80" s="36"/>
      <c r="N80" s="36">
        <v>-24.27</v>
      </c>
      <c r="O80" s="36">
        <v>107.3</v>
      </c>
      <c r="P80" s="37">
        <v>12.0</v>
      </c>
      <c r="Q80" s="36"/>
      <c r="R80" s="36" t="s">
        <v>209</v>
      </c>
      <c r="S80" s="36">
        <v>1000.0</v>
      </c>
      <c r="T80" s="36" t="s">
        <v>193</v>
      </c>
      <c r="U80" s="36" t="s">
        <v>285</v>
      </c>
      <c r="V80" s="36">
        <v>184.0</v>
      </c>
      <c r="W80" s="36" t="s">
        <v>169</v>
      </c>
      <c r="X80" s="38">
        <v>1.0</v>
      </c>
      <c r="Y80" s="38" t="s">
        <v>383</v>
      </c>
      <c r="Z80" s="38" t="s">
        <v>384</v>
      </c>
      <c r="AA80" s="38" t="s">
        <v>288</v>
      </c>
      <c r="AB80" s="38">
        <v>51.97</v>
      </c>
      <c r="AC80" s="38">
        <v>4.93</v>
      </c>
      <c r="AD80" s="56" t="s">
        <v>385</v>
      </c>
      <c r="AE80" s="38"/>
      <c r="AF80" s="38"/>
      <c r="AG80" s="38" t="s">
        <v>386</v>
      </c>
      <c r="AH80" s="38" t="s">
        <v>308</v>
      </c>
      <c r="AI80" s="50">
        <v>51.97</v>
      </c>
      <c r="AJ80" s="50">
        <v>4.93</v>
      </c>
      <c r="AK80" s="41" t="s">
        <v>313</v>
      </c>
      <c r="AL80" s="40" t="s">
        <v>313</v>
      </c>
      <c r="AM80" s="49">
        <v>-1.0</v>
      </c>
      <c r="AN80" s="51">
        <v>-1.0</v>
      </c>
      <c r="AO80" s="42" t="s">
        <v>376</v>
      </c>
      <c r="AP80" s="43" t="s">
        <v>376</v>
      </c>
      <c r="AQ80" s="44" t="str">
        <f t="shared" si="1"/>
        <v>GRA</v>
      </c>
      <c r="AR80" s="44">
        <f t="shared" si="3"/>
        <v>-1</v>
      </c>
      <c r="AS80" s="44" t="str">
        <f t="shared" si="5"/>
        <v>C</v>
      </c>
      <c r="AT80" s="44" t="str">
        <f t="shared" si="17"/>
        <v>Cf</v>
      </c>
      <c r="AU80" s="44" t="str">
        <f t="shared" si="2"/>
        <v>Cfb</v>
      </c>
      <c r="AV80" s="38">
        <v>3.0</v>
      </c>
      <c r="AW80" s="38"/>
      <c r="AX80" s="38"/>
      <c r="AY80" s="38" t="s">
        <v>92</v>
      </c>
      <c r="AZ80" s="29">
        <v>1000.0</v>
      </c>
      <c r="BA80" s="29"/>
      <c r="BB80" s="29">
        <v>1.0</v>
      </c>
      <c r="BC80" s="29" t="s">
        <v>294</v>
      </c>
      <c r="BD80" s="29" t="s">
        <v>92</v>
      </c>
      <c r="BE80" s="29"/>
      <c r="BF80" s="29" t="s">
        <v>294</v>
      </c>
      <c r="BG80" s="29" t="s">
        <v>220</v>
      </c>
      <c r="BH80" s="29" t="s">
        <v>92</v>
      </c>
      <c r="BI80" s="29" t="s">
        <v>148</v>
      </c>
      <c r="BJ80" s="29"/>
      <c r="BK80" s="29" t="s">
        <v>148</v>
      </c>
      <c r="BL80" s="29"/>
      <c r="BM80" s="45"/>
      <c r="BN80" s="45"/>
      <c r="BO80" s="46"/>
      <c r="BP80" s="2"/>
      <c r="BQ80" s="3"/>
    </row>
    <row r="81">
      <c r="A81" s="34">
        <v>79.0</v>
      </c>
      <c r="B81" s="34">
        <v>101448.0</v>
      </c>
      <c r="C81" s="34" t="s">
        <v>76</v>
      </c>
      <c r="D81" s="34" t="s">
        <v>279</v>
      </c>
      <c r="E81" s="34" t="s">
        <v>280</v>
      </c>
      <c r="F81" s="34">
        <v>2014.0</v>
      </c>
      <c r="G81" s="34" t="s">
        <v>281</v>
      </c>
      <c r="H81" s="34" t="s">
        <v>282</v>
      </c>
      <c r="I81" s="34" t="s">
        <v>283</v>
      </c>
      <c r="J81" s="35"/>
      <c r="K81" s="36"/>
      <c r="L81" s="36"/>
      <c r="M81" s="36"/>
      <c r="N81" s="36">
        <v>16.93</v>
      </c>
      <c r="O81" s="36">
        <v>65.22</v>
      </c>
      <c r="P81" s="37">
        <v>31.0</v>
      </c>
      <c r="Q81" s="36"/>
      <c r="R81" s="36" t="s">
        <v>209</v>
      </c>
      <c r="S81" s="36">
        <v>1000.0</v>
      </c>
      <c r="T81" s="36" t="s">
        <v>284</v>
      </c>
      <c r="U81" s="36" t="s">
        <v>285</v>
      </c>
      <c r="V81" s="36">
        <v>230.0</v>
      </c>
      <c r="W81" s="36" t="s">
        <v>169</v>
      </c>
      <c r="X81" s="38">
        <v>1.0</v>
      </c>
      <c r="Y81" s="38" t="s">
        <v>214</v>
      </c>
      <c r="Z81" s="38" t="s">
        <v>387</v>
      </c>
      <c r="AA81" s="38" t="s">
        <v>197</v>
      </c>
      <c r="AB81" s="38">
        <v>50.45</v>
      </c>
      <c r="AC81" s="38">
        <v>11.45</v>
      </c>
      <c r="AD81" s="56" t="s">
        <v>375</v>
      </c>
      <c r="AE81" s="38"/>
      <c r="AF81" s="38"/>
      <c r="AG81" s="38" t="s">
        <v>386</v>
      </c>
      <c r="AH81" s="38">
        <v>25.0</v>
      </c>
      <c r="AI81" s="50">
        <v>50.45</v>
      </c>
      <c r="AJ81" s="50">
        <v>11.45</v>
      </c>
      <c r="AK81" s="41" t="s">
        <v>197</v>
      </c>
      <c r="AL81" s="40" t="s">
        <v>197</v>
      </c>
      <c r="AM81" s="49">
        <v>768.0</v>
      </c>
      <c r="AN81" s="51">
        <v>768.0</v>
      </c>
      <c r="AO81" s="42" t="s">
        <v>372</v>
      </c>
      <c r="AP81" s="43" t="s">
        <v>107</v>
      </c>
      <c r="AQ81" s="44" t="str">
        <f t="shared" si="1"/>
        <v>ENF</v>
      </c>
      <c r="AR81" s="44">
        <f t="shared" si="3"/>
        <v>768</v>
      </c>
      <c r="AS81" s="44" t="str">
        <f t="shared" si="5"/>
        <v>D</v>
      </c>
      <c r="AT81" s="44" t="str">
        <f t="shared" si="17"/>
        <v>Df</v>
      </c>
      <c r="AU81" s="44" t="str">
        <f t="shared" si="2"/>
        <v>Dfb</v>
      </c>
      <c r="AV81" s="38">
        <v>3.0</v>
      </c>
      <c r="AW81" s="38"/>
      <c r="AX81" s="38"/>
      <c r="AY81" s="38" t="s">
        <v>92</v>
      </c>
      <c r="AZ81" s="29">
        <v>1000.0</v>
      </c>
      <c r="BA81" s="29"/>
      <c r="BB81" s="29">
        <v>1.0</v>
      </c>
      <c r="BC81" s="29" t="s">
        <v>294</v>
      </c>
      <c r="BD81" s="29" t="s">
        <v>92</v>
      </c>
      <c r="BE81" s="29"/>
      <c r="BF81" s="29" t="s">
        <v>294</v>
      </c>
      <c r="BG81" s="29" t="s">
        <v>220</v>
      </c>
      <c r="BH81" s="29" t="s">
        <v>92</v>
      </c>
      <c r="BI81" s="29" t="s">
        <v>148</v>
      </c>
      <c r="BJ81" s="29"/>
      <c r="BK81" s="29" t="s">
        <v>148</v>
      </c>
      <c r="BL81" s="29"/>
      <c r="BM81" s="45"/>
      <c r="BN81" s="45"/>
      <c r="BO81" s="46"/>
      <c r="BP81" s="2"/>
      <c r="BQ81" s="3"/>
    </row>
    <row r="82">
      <c r="A82" s="34">
        <v>80.0</v>
      </c>
      <c r="B82" s="34">
        <v>101448.0</v>
      </c>
      <c r="C82" s="34" t="s">
        <v>76</v>
      </c>
      <c r="D82" s="34" t="s">
        <v>279</v>
      </c>
      <c r="E82" s="34" t="s">
        <v>280</v>
      </c>
      <c r="F82" s="34">
        <v>2014.0</v>
      </c>
      <c r="G82" s="34" t="s">
        <v>281</v>
      </c>
      <c r="H82" s="34" t="s">
        <v>282</v>
      </c>
      <c r="I82" s="34" t="s">
        <v>283</v>
      </c>
      <c r="J82" s="35"/>
      <c r="K82" s="36"/>
      <c r="L82" s="36"/>
      <c r="M82" s="36"/>
      <c r="N82" s="36">
        <v>14.64</v>
      </c>
      <c r="O82" s="36">
        <v>61.13</v>
      </c>
      <c r="P82" s="37">
        <v>27.0</v>
      </c>
      <c r="Q82" s="36"/>
      <c r="R82" s="36" t="s">
        <v>209</v>
      </c>
      <c r="S82" s="36">
        <v>1000.0</v>
      </c>
      <c r="T82" s="36" t="s">
        <v>295</v>
      </c>
      <c r="U82" s="36" t="s">
        <v>285</v>
      </c>
      <c r="V82" s="36">
        <v>138.0</v>
      </c>
      <c r="W82" s="36" t="s">
        <v>169</v>
      </c>
      <c r="X82" s="38">
        <v>1.0</v>
      </c>
      <c r="Y82" s="38" t="s">
        <v>388</v>
      </c>
      <c r="Z82" s="38" t="s">
        <v>389</v>
      </c>
      <c r="AA82" s="38" t="s">
        <v>288</v>
      </c>
      <c r="AB82" s="38">
        <v>51.27</v>
      </c>
      <c r="AC82" s="38">
        <v>10.66</v>
      </c>
      <c r="AD82" s="56" t="s">
        <v>375</v>
      </c>
      <c r="AE82" s="38"/>
      <c r="AF82" s="38"/>
      <c r="AG82" s="38" t="s">
        <v>386</v>
      </c>
      <c r="AH82" s="38" t="s">
        <v>308</v>
      </c>
      <c r="AI82" s="50">
        <v>51.27</v>
      </c>
      <c r="AJ82" s="50">
        <v>10.66</v>
      </c>
      <c r="AK82" s="41" t="s">
        <v>86</v>
      </c>
      <c r="AL82" s="40" t="s">
        <v>86</v>
      </c>
      <c r="AM82" s="49">
        <v>276.0</v>
      </c>
      <c r="AN82" s="51">
        <v>276.0</v>
      </c>
      <c r="AO82" s="42" t="s">
        <v>376</v>
      </c>
      <c r="AP82" s="43" t="s">
        <v>376</v>
      </c>
      <c r="AQ82" s="44" t="str">
        <f t="shared" si="1"/>
        <v>GRA</v>
      </c>
      <c r="AR82" s="44">
        <f t="shared" si="3"/>
        <v>276</v>
      </c>
      <c r="AS82" s="44" t="str">
        <f t="shared" si="5"/>
        <v>C</v>
      </c>
      <c r="AT82" s="44" t="str">
        <f t="shared" si="17"/>
        <v>Cf</v>
      </c>
      <c r="AU82" s="44" t="str">
        <f t="shared" si="2"/>
        <v>Cfb</v>
      </c>
      <c r="AV82" s="38">
        <v>3.0</v>
      </c>
      <c r="AW82" s="38"/>
      <c r="AX82" s="38"/>
      <c r="AY82" s="38" t="s">
        <v>92</v>
      </c>
      <c r="AZ82" s="29">
        <v>1000.0</v>
      </c>
      <c r="BA82" s="29"/>
      <c r="BB82" s="29">
        <v>1.0</v>
      </c>
      <c r="BC82" s="29" t="s">
        <v>294</v>
      </c>
      <c r="BD82" s="29" t="s">
        <v>92</v>
      </c>
      <c r="BE82" s="29"/>
      <c r="BF82" s="29" t="s">
        <v>294</v>
      </c>
      <c r="BG82" s="29" t="s">
        <v>220</v>
      </c>
      <c r="BH82" s="29" t="s">
        <v>92</v>
      </c>
      <c r="BI82" s="29" t="s">
        <v>148</v>
      </c>
      <c r="BJ82" s="29"/>
      <c r="BK82" s="29" t="s">
        <v>148</v>
      </c>
      <c r="BL82" s="29"/>
      <c r="BM82" s="45"/>
      <c r="BN82" s="45"/>
      <c r="BO82" s="46"/>
      <c r="BP82" s="2"/>
      <c r="BQ82" s="3"/>
    </row>
    <row r="83">
      <c r="A83" s="34">
        <v>81.0</v>
      </c>
      <c r="B83" s="34">
        <v>101448.0</v>
      </c>
      <c r="C83" s="34" t="s">
        <v>76</v>
      </c>
      <c r="D83" s="34" t="s">
        <v>279</v>
      </c>
      <c r="E83" s="34" t="s">
        <v>280</v>
      </c>
      <c r="F83" s="34">
        <v>2014.0</v>
      </c>
      <c r="G83" s="34" t="s">
        <v>281</v>
      </c>
      <c r="H83" s="34" t="s">
        <v>282</v>
      </c>
      <c r="I83" s="34" t="s">
        <v>283</v>
      </c>
      <c r="J83" s="35"/>
      <c r="K83" s="36"/>
      <c r="L83" s="36"/>
      <c r="M83" s="36"/>
      <c r="N83" s="36">
        <v>-11.87</v>
      </c>
      <c r="O83" s="36">
        <v>70.47</v>
      </c>
      <c r="P83" s="37">
        <v>17.0</v>
      </c>
      <c r="Q83" s="36"/>
      <c r="R83" s="36" t="s">
        <v>209</v>
      </c>
      <c r="S83" s="36">
        <v>1000.0</v>
      </c>
      <c r="T83" s="36" t="s">
        <v>317</v>
      </c>
      <c r="U83" s="36" t="s">
        <v>194</v>
      </c>
      <c r="V83" s="36">
        <v>92.0</v>
      </c>
      <c r="W83" s="36" t="s">
        <v>169</v>
      </c>
      <c r="X83" s="38">
        <v>1.0</v>
      </c>
      <c r="Y83" s="38" t="s">
        <v>390</v>
      </c>
      <c r="Z83" s="38" t="s">
        <v>391</v>
      </c>
      <c r="AA83" s="38" t="s">
        <v>288</v>
      </c>
      <c r="AB83" s="38">
        <v>50.95</v>
      </c>
      <c r="AC83" s="38">
        <v>13.51</v>
      </c>
      <c r="AD83" s="56" t="s">
        <v>375</v>
      </c>
      <c r="AE83" s="53"/>
      <c r="AF83" s="38"/>
      <c r="AG83" s="38"/>
      <c r="AH83" s="38">
        <v>5.0</v>
      </c>
      <c r="AI83" s="50">
        <v>50.95</v>
      </c>
      <c r="AJ83" s="50">
        <v>13.51</v>
      </c>
      <c r="AK83" s="41" t="s">
        <v>197</v>
      </c>
      <c r="AL83" s="40" t="s">
        <v>197</v>
      </c>
      <c r="AM83" s="49">
        <v>375.0</v>
      </c>
      <c r="AN83" s="51">
        <v>375.0</v>
      </c>
      <c r="AO83" s="42" t="s">
        <v>372</v>
      </c>
      <c r="AP83" s="43" t="s">
        <v>107</v>
      </c>
      <c r="AQ83" s="44" t="str">
        <f t="shared" si="1"/>
        <v>GRA</v>
      </c>
      <c r="AR83" s="44">
        <f t="shared" si="3"/>
        <v>375</v>
      </c>
      <c r="AS83" s="44" t="str">
        <f t="shared" si="5"/>
        <v>D</v>
      </c>
      <c r="AT83" s="44" t="str">
        <f t="shared" si="17"/>
        <v>Df</v>
      </c>
      <c r="AU83" s="44" t="str">
        <f t="shared" si="2"/>
        <v>Dfb</v>
      </c>
      <c r="AV83" s="38">
        <v>3.0</v>
      </c>
      <c r="AW83" s="38"/>
      <c r="AX83" s="38"/>
      <c r="AY83" s="38" t="s">
        <v>92</v>
      </c>
      <c r="AZ83" s="29">
        <v>1000.0</v>
      </c>
      <c r="BA83" s="29"/>
      <c r="BB83" s="29">
        <v>1.0</v>
      </c>
      <c r="BC83" s="29" t="s">
        <v>294</v>
      </c>
      <c r="BD83" s="29" t="s">
        <v>92</v>
      </c>
      <c r="BE83" s="29"/>
      <c r="BF83" s="29" t="s">
        <v>294</v>
      </c>
      <c r="BG83" s="29" t="s">
        <v>220</v>
      </c>
      <c r="BH83" s="29" t="s">
        <v>92</v>
      </c>
      <c r="BI83" s="29" t="s">
        <v>148</v>
      </c>
      <c r="BJ83" s="29"/>
      <c r="BK83" s="29" t="s">
        <v>148</v>
      </c>
      <c r="BL83" s="29"/>
      <c r="BM83" s="45"/>
      <c r="BN83" s="45"/>
      <c r="BO83" s="46"/>
      <c r="BP83" s="2"/>
      <c r="BQ83" s="3"/>
    </row>
    <row r="84">
      <c r="A84" s="34">
        <v>82.0</v>
      </c>
      <c r="B84" s="34">
        <v>101448.0</v>
      </c>
      <c r="C84" s="34" t="s">
        <v>76</v>
      </c>
      <c r="D84" s="34" t="s">
        <v>279</v>
      </c>
      <c r="E84" s="34" t="s">
        <v>280</v>
      </c>
      <c r="F84" s="34">
        <v>2014.0</v>
      </c>
      <c r="G84" s="34" t="s">
        <v>281</v>
      </c>
      <c r="H84" s="34" t="s">
        <v>282</v>
      </c>
      <c r="I84" s="34" t="s">
        <v>283</v>
      </c>
      <c r="J84" s="35"/>
      <c r="K84" s="36"/>
      <c r="L84" s="36"/>
      <c r="M84" s="36"/>
      <c r="N84" s="36">
        <v>12.57</v>
      </c>
      <c r="O84" s="36">
        <v>54.21</v>
      </c>
      <c r="P84" s="37">
        <v>25.0</v>
      </c>
      <c r="Q84" s="36"/>
      <c r="R84" s="36" t="s">
        <v>209</v>
      </c>
      <c r="S84" s="36">
        <v>1000.0</v>
      </c>
      <c r="T84" s="36" t="s">
        <v>328</v>
      </c>
      <c r="U84" s="36" t="s">
        <v>194</v>
      </c>
      <c r="V84" s="36">
        <v>230.0</v>
      </c>
      <c r="W84" s="36" t="s">
        <v>169</v>
      </c>
      <c r="X84" s="38">
        <v>1.0</v>
      </c>
      <c r="Y84" s="38" t="s">
        <v>392</v>
      </c>
      <c r="Z84" s="38" t="s">
        <v>393</v>
      </c>
      <c r="AA84" s="38" t="s">
        <v>370</v>
      </c>
      <c r="AB84" s="38">
        <v>53.63</v>
      </c>
      <c r="AC84" s="38" t="s">
        <v>394</v>
      </c>
      <c r="AD84" s="56" t="s">
        <v>395</v>
      </c>
      <c r="AE84" s="38">
        <v>530.0</v>
      </c>
      <c r="AF84" s="38"/>
      <c r="AG84" s="38" t="s">
        <v>372</v>
      </c>
      <c r="AH84" s="38" t="s">
        <v>308</v>
      </c>
      <c r="AI84" s="50">
        <v>53.63</v>
      </c>
      <c r="AJ84" s="50">
        <v>-106.2</v>
      </c>
      <c r="AK84" s="41" t="s">
        <v>370</v>
      </c>
      <c r="AL84" s="40" t="s">
        <v>370</v>
      </c>
      <c r="AM84" s="49">
        <v>596.0</v>
      </c>
      <c r="AN84" s="51">
        <v>596.0</v>
      </c>
      <c r="AO84" s="42" t="s">
        <v>372</v>
      </c>
      <c r="AP84" s="43" t="s">
        <v>107</v>
      </c>
      <c r="AQ84" s="44" t="str">
        <f t="shared" si="1"/>
        <v>DBF</v>
      </c>
      <c r="AR84" s="44">
        <f t="shared" si="3"/>
        <v>596</v>
      </c>
      <c r="AS84" s="44" t="str">
        <f t="shared" si="5"/>
        <v>D</v>
      </c>
      <c r="AT84" s="44" t="str">
        <f t="shared" si="17"/>
        <v>Df</v>
      </c>
      <c r="AU84" s="44" t="str">
        <f t="shared" si="2"/>
        <v>Dfb</v>
      </c>
      <c r="AV84" s="38">
        <v>3.0</v>
      </c>
      <c r="AW84" s="38"/>
      <c r="AX84" s="38"/>
      <c r="AY84" s="38" t="s">
        <v>92</v>
      </c>
      <c r="AZ84" s="29">
        <v>1000.0</v>
      </c>
      <c r="BA84" s="29"/>
      <c r="BB84" s="29">
        <v>1.0</v>
      </c>
      <c r="BC84" s="29" t="s">
        <v>294</v>
      </c>
      <c r="BD84" s="29" t="s">
        <v>92</v>
      </c>
      <c r="BE84" s="29"/>
      <c r="BF84" s="29" t="s">
        <v>294</v>
      </c>
      <c r="BG84" s="29" t="s">
        <v>220</v>
      </c>
      <c r="BH84" s="29" t="s">
        <v>92</v>
      </c>
      <c r="BI84" s="29" t="s">
        <v>148</v>
      </c>
      <c r="BJ84" s="29"/>
      <c r="BK84" s="29" t="s">
        <v>148</v>
      </c>
      <c r="BL84" s="29"/>
      <c r="BM84" s="45"/>
      <c r="BN84" s="45"/>
      <c r="BO84" s="46"/>
      <c r="BP84" s="2"/>
      <c r="BQ84" s="3"/>
    </row>
    <row r="85">
      <c r="A85" s="34">
        <v>83.0</v>
      </c>
      <c r="B85" s="34">
        <v>101448.0</v>
      </c>
      <c r="C85" s="34" t="s">
        <v>76</v>
      </c>
      <c r="D85" s="34" t="s">
        <v>279</v>
      </c>
      <c r="E85" s="34" t="s">
        <v>280</v>
      </c>
      <c r="F85" s="34">
        <v>2014.0</v>
      </c>
      <c r="G85" s="34" t="s">
        <v>281</v>
      </c>
      <c r="H85" s="34" t="s">
        <v>282</v>
      </c>
      <c r="I85" s="34" t="s">
        <v>283</v>
      </c>
      <c r="J85" s="35"/>
      <c r="K85" s="36"/>
      <c r="L85" s="36"/>
      <c r="M85" s="36"/>
      <c r="N85" s="36">
        <v>4.39</v>
      </c>
      <c r="O85" s="36">
        <v>61.37</v>
      </c>
      <c r="P85" s="37">
        <v>10.0</v>
      </c>
      <c r="Q85" s="36"/>
      <c r="R85" s="36" t="s">
        <v>209</v>
      </c>
      <c r="S85" s="36">
        <v>1000.0</v>
      </c>
      <c r="T85" s="36" t="s">
        <v>328</v>
      </c>
      <c r="U85" s="36" t="s">
        <v>194</v>
      </c>
      <c r="V85" s="36">
        <v>230.0</v>
      </c>
      <c r="W85" s="36" t="s">
        <v>169</v>
      </c>
      <c r="X85" s="38">
        <v>1.0</v>
      </c>
      <c r="Y85" s="38" t="s">
        <v>396</v>
      </c>
      <c r="Z85" s="38" t="s">
        <v>397</v>
      </c>
      <c r="AA85" s="38" t="s">
        <v>288</v>
      </c>
      <c r="AB85" s="38">
        <v>49.709</v>
      </c>
      <c r="AC85" s="38" t="s">
        <v>398</v>
      </c>
      <c r="AD85" s="56" t="s">
        <v>395</v>
      </c>
      <c r="AE85" s="38">
        <v>960.0</v>
      </c>
      <c r="AF85" s="38" t="s">
        <v>399</v>
      </c>
      <c r="AG85" s="38" t="s">
        <v>107</v>
      </c>
      <c r="AH85" s="38">
        <v>5.0</v>
      </c>
      <c r="AI85" s="50">
        <v>49.709</v>
      </c>
      <c r="AJ85" s="50">
        <v>-112.94</v>
      </c>
      <c r="AK85" s="41" t="s">
        <v>288</v>
      </c>
      <c r="AL85" s="40" t="s">
        <v>288</v>
      </c>
      <c r="AM85" s="49">
        <v>935.0</v>
      </c>
      <c r="AN85" s="51">
        <v>935.0</v>
      </c>
      <c r="AO85" s="42" t="s">
        <v>293</v>
      </c>
      <c r="AP85" s="43" t="s">
        <v>293</v>
      </c>
      <c r="AQ85" s="44" t="str">
        <f t="shared" si="1"/>
        <v>GRA</v>
      </c>
      <c r="AR85" s="44">
        <f t="shared" si="3"/>
        <v>935</v>
      </c>
      <c r="AS85" s="44" t="str">
        <f t="shared" si="5"/>
        <v>B</v>
      </c>
      <c r="AT85" s="44" t="str">
        <f t="shared" si="17"/>
        <v>BS</v>
      </c>
      <c r="AU85" s="44" t="str">
        <f t="shared" si="2"/>
        <v>BSk</v>
      </c>
      <c r="AV85" s="38">
        <v>3.0</v>
      </c>
      <c r="AW85" s="38"/>
      <c r="AX85" s="38"/>
      <c r="AY85" s="38" t="s">
        <v>92</v>
      </c>
      <c r="AZ85" s="29">
        <v>1000.0</v>
      </c>
      <c r="BA85" s="29"/>
      <c r="BB85" s="29">
        <v>1.0</v>
      </c>
      <c r="BC85" s="29" t="s">
        <v>294</v>
      </c>
      <c r="BD85" s="29" t="s">
        <v>92</v>
      </c>
      <c r="BE85" s="29"/>
      <c r="BF85" s="29" t="s">
        <v>294</v>
      </c>
      <c r="BG85" s="29" t="s">
        <v>220</v>
      </c>
      <c r="BH85" s="29" t="s">
        <v>92</v>
      </c>
      <c r="BI85" s="29" t="s">
        <v>148</v>
      </c>
      <c r="BJ85" s="29"/>
      <c r="BK85" s="29" t="s">
        <v>148</v>
      </c>
      <c r="BL85" s="29"/>
      <c r="BM85" s="45"/>
      <c r="BN85" s="45"/>
      <c r="BO85" s="46"/>
      <c r="BP85" s="2"/>
      <c r="BQ85" s="3"/>
    </row>
    <row r="86">
      <c r="A86" s="34">
        <v>84.0</v>
      </c>
      <c r="B86" s="34">
        <v>101448.0</v>
      </c>
      <c r="C86" s="34" t="s">
        <v>76</v>
      </c>
      <c r="D86" s="34" t="s">
        <v>279</v>
      </c>
      <c r="E86" s="34" t="s">
        <v>280</v>
      </c>
      <c r="F86" s="34">
        <v>2014.0</v>
      </c>
      <c r="G86" s="34" t="s">
        <v>281</v>
      </c>
      <c r="H86" s="34" t="s">
        <v>282</v>
      </c>
      <c r="I86" s="34" t="s">
        <v>283</v>
      </c>
      <c r="J86" s="35"/>
      <c r="K86" s="36"/>
      <c r="L86" s="36"/>
      <c r="M86" s="36"/>
      <c r="N86" s="36">
        <v>8.41</v>
      </c>
      <c r="O86" s="36">
        <v>87.69</v>
      </c>
      <c r="P86" s="37">
        <v>20.0</v>
      </c>
      <c r="Q86" s="36"/>
      <c r="R86" s="36" t="s">
        <v>209</v>
      </c>
      <c r="S86" s="36">
        <v>1000.0</v>
      </c>
      <c r="T86" s="36" t="s">
        <v>328</v>
      </c>
      <c r="U86" s="36" t="s">
        <v>285</v>
      </c>
      <c r="V86" s="36">
        <v>276.0</v>
      </c>
      <c r="W86" s="36" t="s">
        <v>169</v>
      </c>
      <c r="X86" s="38">
        <v>1.0</v>
      </c>
      <c r="Y86" s="38" t="s">
        <v>400</v>
      </c>
      <c r="Z86" s="38" t="s">
        <v>401</v>
      </c>
      <c r="AA86" s="38" t="s">
        <v>197</v>
      </c>
      <c r="AB86" s="38">
        <v>52.17</v>
      </c>
      <c r="AC86" s="38">
        <v>5.74</v>
      </c>
      <c r="AD86" s="53" t="s">
        <v>385</v>
      </c>
      <c r="AE86" s="38"/>
      <c r="AF86" s="38"/>
      <c r="AG86" s="38" t="s">
        <v>386</v>
      </c>
      <c r="AH86" s="38">
        <v>52.0</v>
      </c>
      <c r="AI86" s="50">
        <v>52.17</v>
      </c>
      <c r="AJ86" s="50">
        <v>5.74</v>
      </c>
      <c r="AK86" s="41" t="s">
        <v>197</v>
      </c>
      <c r="AL86" s="40" t="s">
        <v>197</v>
      </c>
      <c r="AM86" s="49">
        <v>33.0</v>
      </c>
      <c r="AN86" s="51">
        <v>33.0</v>
      </c>
      <c r="AO86" s="42" t="s">
        <v>376</v>
      </c>
      <c r="AP86" s="43" t="s">
        <v>376</v>
      </c>
      <c r="AQ86" s="44" t="str">
        <f t="shared" si="1"/>
        <v>ENF</v>
      </c>
      <c r="AR86" s="44">
        <f t="shared" si="3"/>
        <v>33</v>
      </c>
      <c r="AS86" s="44" t="str">
        <f t="shared" si="5"/>
        <v>C</v>
      </c>
      <c r="AT86" s="44" t="str">
        <f t="shared" si="17"/>
        <v>Cf</v>
      </c>
      <c r="AU86" s="44" t="str">
        <f t="shared" si="2"/>
        <v>Cfb</v>
      </c>
      <c r="AV86" s="38">
        <v>3.0</v>
      </c>
      <c r="AW86" s="38"/>
      <c r="AX86" s="38"/>
      <c r="AY86" s="38" t="s">
        <v>92</v>
      </c>
      <c r="AZ86" s="29">
        <v>1000.0</v>
      </c>
      <c r="BA86" s="29"/>
      <c r="BB86" s="29">
        <v>1.0</v>
      </c>
      <c r="BC86" s="29" t="s">
        <v>294</v>
      </c>
      <c r="BD86" s="29" t="s">
        <v>92</v>
      </c>
      <c r="BE86" s="29"/>
      <c r="BF86" s="29" t="s">
        <v>294</v>
      </c>
      <c r="BG86" s="29" t="s">
        <v>220</v>
      </c>
      <c r="BH86" s="29" t="s">
        <v>92</v>
      </c>
      <c r="BI86" s="29" t="s">
        <v>148</v>
      </c>
      <c r="BJ86" s="29"/>
      <c r="BK86" s="29" t="s">
        <v>148</v>
      </c>
      <c r="BL86" s="29"/>
      <c r="BM86" s="45"/>
      <c r="BN86" s="45"/>
      <c r="BO86" s="46"/>
      <c r="BP86" s="2"/>
      <c r="BQ86" s="3"/>
    </row>
    <row r="87">
      <c r="A87" s="34">
        <v>85.0</v>
      </c>
      <c r="B87" s="34">
        <v>101448.0</v>
      </c>
      <c r="C87" s="34" t="s">
        <v>76</v>
      </c>
      <c r="D87" s="34" t="s">
        <v>279</v>
      </c>
      <c r="E87" s="34" t="s">
        <v>280</v>
      </c>
      <c r="F87" s="34">
        <v>2014.0</v>
      </c>
      <c r="G87" s="34" t="s">
        <v>281</v>
      </c>
      <c r="H87" s="34" t="s">
        <v>282</v>
      </c>
      <c r="I87" s="34" t="s">
        <v>283</v>
      </c>
      <c r="J87" s="35"/>
      <c r="K87" s="36"/>
      <c r="L87" s="36"/>
      <c r="M87" s="36"/>
      <c r="N87" s="36">
        <v>11.62</v>
      </c>
      <c r="O87" s="36">
        <v>74.37</v>
      </c>
      <c r="P87" s="37">
        <v>14.0</v>
      </c>
      <c r="Q87" s="36"/>
      <c r="R87" s="36" t="s">
        <v>209</v>
      </c>
      <c r="S87" s="36">
        <v>1000.0</v>
      </c>
      <c r="T87" s="36" t="s">
        <v>295</v>
      </c>
      <c r="U87" s="36" t="s">
        <v>194</v>
      </c>
      <c r="V87" s="36">
        <v>92.0</v>
      </c>
      <c r="W87" s="36" t="s">
        <v>169</v>
      </c>
      <c r="X87" s="38">
        <v>1.0</v>
      </c>
      <c r="Y87" s="38" t="s">
        <v>402</v>
      </c>
      <c r="Z87" s="38" t="s">
        <v>403</v>
      </c>
      <c r="AA87" s="38" t="s">
        <v>197</v>
      </c>
      <c r="AB87" s="38">
        <v>53.628</v>
      </c>
      <c r="AC87" s="38" t="s">
        <v>404</v>
      </c>
      <c r="AD87" s="53" t="s">
        <v>395</v>
      </c>
      <c r="AE87" s="38">
        <v>536.0</v>
      </c>
      <c r="AF87" s="38"/>
      <c r="AG87" s="38" t="s">
        <v>372</v>
      </c>
      <c r="AH87" s="38" t="s">
        <v>308</v>
      </c>
      <c r="AI87" s="50">
        <v>53.628</v>
      </c>
      <c r="AJ87" s="50">
        <v>-106.198</v>
      </c>
      <c r="AK87" s="41" t="s">
        <v>370</v>
      </c>
      <c r="AL87" s="40" t="s">
        <v>370</v>
      </c>
      <c r="AM87" s="49">
        <v>595.0</v>
      </c>
      <c r="AN87" s="51">
        <v>595.0</v>
      </c>
      <c r="AO87" s="42" t="s">
        <v>372</v>
      </c>
      <c r="AP87" s="43" t="s">
        <v>107</v>
      </c>
      <c r="AQ87" s="44" t="str">
        <f t="shared" si="1"/>
        <v>ENF</v>
      </c>
      <c r="AR87" s="44">
        <f t="shared" si="3"/>
        <v>595</v>
      </c>
      <c r="AS87" s="44" t="str">
        <f t="shared" si="5"/>
        <v>D</v>
      </c>
      <c r="AT87" s="44" t="str">
        <f t="shared" si="17"/>
        <v>Df</v>
      </c>
      <c r="AU87" s="44" t="str">
        <f t="shared" si="2"/>
        <v>Dfb</v>
      </c>
      <c r="AV87" s="38">
        <v>3.0</v>
      </c>
      <c r="AW87" s="38"/>
      <c r="AX87" s="38"/>
      <c r="AY87" s="38" t="s">
        <v>92</v>
      </c>
      <c r="AZ87" s="29">
        <v>1000.0</v>
      </c>
      <c r="BA87" s="29"/>
      <c r="BB87" s="29">
        <v>1.0</v>
      </c>
      <c r="BC87" s="29" t="s">
        <v>294</v>
      </c>
      <c r="BD87" s="29" t="s">
        <v>92</v>
      </c>
      <c r="BE87" s="29"/>
      <c r="BF87" s="29" t="s">
        <v>294</v>
      </c>
      <c r="BG87" s="29" t="s">
        <v>220</v>
      </c>
      <c r="BH87" s="29" t="s">
        <v>92</v>
      </c>
      <c r="BI87" s="29" t="s">
        <v>148</v>
      </c>
      <c r="BJ87" s="29"/>
      <c r="BK87" s="29" t="s">
        <v>148</v>
      </c>
      <c r="BL87" s="29"/>
      <c r="BM87" s="45"/>
      <c r="BN87" s="45"/>
      <c r="BO87" s="45"/>
      <c r="BP87" s="2"/>
      <c r="BQ87" s="3"/>
    </row>
    <row r="88">
      <c r="A88" s="34">
        <v>86.0</v>
      </c>
      <c r="B88" s="34">
        <v>101448.0</v>
      </c>
      <c r="C88" s="34" t="s">
        <v>76</v>
      </c>
      <c r="D88" s="34" t="s">
        <v>279</v>
      </c>
      <c r="E88" s="34" t="s">
        <v>280</v>
      </c>
      <c r="F88" s="34">
        <v>2014.0</v>
      </c>
      <c r="G88" s="34" t="s">
        <v>281</v>
      </c>
      <c r="H88" s="34" t="s">
        <v>282</v>
      </c>
      <c r="I88" s="34" t="s">
        <v>283</v>
      </c>
      <c r="J88" s="35"/>
      <c r="K88" s="36"/>
      <c r="L88" s="36"/>
      <c r="M88" s="36"/>
      <c r="N88" s="36">
        <v>-35.58</v>
      </c>
      <c r="O88" s="36">
        <v>152.9</v>
      </c>
      <c r="P88" s="37">
        <v>23.0</v>
      </c>
      <c r="Q88" s="36"/>
      <c r="R88" s="36" t="s">
        <v>209</v>
      </c>
      <c r="S88" s="36">
        <v>1000.0</v>
      </c>
      <c r="T88" s="36" t="s">
        <v>295</v>
      </c>
      <c r="U88" s="36" t="s">
        <v>194</v>
      </c>
      <c r="V88" s="36">
        <v>92.0</v>
      </c>
      <c r="W88" s="36" t="s">
        <v>169</v>
      </c>
      <c r="X88" s="38">
        <v>1.0</v>
      </c>
      <c r="Y88" s="38" t="s">
        <v>405</v>
      </c>
      <c r="Z88" s="38" t="s">
        <v>406</v>
      </c>
      <c r="AA88" s="38" t="s">
        <v>197</v>
      </c>
      <c r="AB88" s="38">
        <v>42.661</v>
      </c>
      <c r="AC88" s="38" t="s">
        <v>407</v>
      </c>
      <c r="AD88" s="53" t="s">
        <v>395</v>
      </c>
      <c r="AE88" s="38">
        <v>265.0</v>
      </c>
      <c r="AF88" s="38"/>
      <c r="AG88" s="38" t="s">
        <v>107</v>
      </c>
      <c r="AH88" s="38">
        <v>10.0</v>
      </c>
      <c r="AI88" s="50">
        <v>42.661</v>
      </c>
      <c r="AJ88" s="50">
        <v>-80.559</v>
      </c>
      <c r="AK88" s="41" t="s">
        <v>86</v>
      </c>
      <c r="AL88" s="40" t="s">
        <v>86</v>
      </c>
      <c r="AM88" s="49">
        <v>205.0</v>
      </c>
      <c r="AN88" s="51">
        <v>205.0</v>
      </c>
      <c r="AO88" s="42" t="s">
        <v>372</v>
      </c>
      <c r="AP88" s="43" t="s">
        <v>107</v>
      </c>
      <c r="AQ88" s="44" t="str">
        <f t="shared" si="1"/>
        <v>ENF</v>
      </c>
      <c r="AR88" s="44">
        <f t="shared" si="3"/>
        <v>205</v>
      </c>
      <c r="AS88" s="44" t="str">
        <f t="shared" si="5"/>
        <v>D</v>
      </c>
      <c r="AT88" s="44" t="str">
        <f t="shared" si="17"/>
        <v>Df</v>
      </c>
      <c r="AU88" s="44" t="str">
        <f t="shared" si="2"/>
        <v>Dfb</v>
      </c>
      <c r="AV88" s="38">
        <v>3.0</v>
      </c>
      <c r="AW88" s="38"/>
      <c r="AX88" s="38"/>
      <c r="AY88" s="38" t="s">
        <v>92</v>
      </c>
      <c r="AZ88" s="29">
        <v>1000.0</v>
      </c>
      <c r="BA88" s="29"/>
      <c r="BB88" s="29">
        <v>1.0</v>
      </c>
      <c r="BC88" s="29" t="s">
        <v>294</v>
      </c>
      <c r="BD88" s="29" t="s">
        <v>92</v>
      </c>
      <c r="BE88" s="29"/>
      <c r="BF88" s="29" t="s">
        <v>294</v>
      </c>
      <c r="BG88" s="29" t="s">
        <v>220</v>
      </c>
      <c r="BH88" s="29" t="s">
        <v>92</v>
      </c>
      <c r="BI88" s="29" t="s">
        <v>148</v>
      </c>
      <c r="BJ88" s="29"/>
      <c r="BK88" s="29" t="s">
        <v>148</v>
      </c>
      <c r="BL88" s="29"/>
      <c r="BM88" s="45"/>
      <c r="BN88" s="45"/>
      <c r="BO88" s="45"/>
      <c r="BP88" s="2"/>
      <c r="BQ88" s="3"/>
    </row>
    <row r="89">
      <c r="A89" s="34">
        <v>87.0</v>
      </c>
      <c r="B89" s="34">
        <v>101448.0</v>
      </c>
      <c r="C89" s="34" t="s">
        <v>76</v>
      </c>
      <c r="D89" s="34" t="s">
        <v>279</v>
      </c>
      <c r="E89" s="34" t="s">
        <v>280</v>
      </c>
      <c r="F89" s="34">
        <v>2014.0</v>
      </c>
      <c r="G89" s="34" t="s">
        <v>281</v>
      </c>
      <c r="H89" s="34" t="s">
        <v>282</v>
      </c>
      <c r="I89" s="34" t="s">
        <v>283</v>
      </c>
      <c r="J89" s="35"/>
      <c r="K89" s="36"/>
      <c r="L89" s="36"/>
      <c r="M89" s="36"/>
      <c r="N89" s="36">
        <v>-2.82</v>
      </c>
      <c r="O89" s="36">
        <v>16.53</v>
      </c>
      <c r="P89" s="37">
        <v>18.0</v>
      </c>
      <c r="Q89" s="36"/>
      <c r="R89" s="36" t="s">
        <v>209</v>
      </c>
      <c r="S89" s="36">
        <v>1000.0</v>
      </c>
      <c r="T89" s="36" t="s">
        <v>295</v>
      </c>
      <c r="U89" s="36" t="s">
        <v>285</v>
      </c>
      <c r="V89" s="36">
        <v>138.0</v>
      </c>
      <c r="W89" s="36" t="s">
        <v>169</v>
      </c>
      <c r="X89" s="38">
        <v>1.0</v>
      </c>
      <c r="Y89" s="38" t="s">
        <v>408</v>
      </c>
      <c r="Z89" s="38" t="s">
        <v>409</v>
      </c>
      <c r="AA89" s="38" t="s">
        <v>214</v>
      </c>
      <c r="AB89" s="38">
        <v>68.486</v>
      </c>
      <c r="AC89" s="38" t="s">
        <v>410</v>
      </c>
      <c r="AD89" s="58" t="s">
        <v>87</v>
      </c>
      <c r="AE89" s="38">
        <v>568.0</v>
      </c>
      <c r="AF89" s="38"/>
      <c r="AG89" s="38" t="s">
        <v>411</v>
      </c>
      <c r="AH89" s="38" t="s">
        <v>308</v>
      </c>
      <c r="AI89" s="50">
        <v>68.486</v>
      </c>
      <c r="AJ89" s="50">
        <v>-155.75</v>
      </c>
      <c r="AK89" s="41" t="s">
        <v>292</v>
      </c>
      <c r="AL89" s="40" t="s">
        <v>292</v>
      </c>
      <c r="AM89" s="49"/>
      <c r="AN89" s="43"/>
      <c r="AO89" s="42" t="s">
        <v>412</v>
      </c>
      <c r="AP89" s="43" t="s">
        <v>372</v>
      </c>
      <c r="AQ89" s="44" t="str">
        <f t="shared" si="1"/>
        <v>WET</v>
      </c>
      <c r="AR89" s="44" t="str">
        <f t="shared" si="3"/>
        <v/>
      </c>
      <c r="AS89" s="44" t="str">
        <f t="shared" si="5"/>
        <v>D</v>
      </c>
      <c r="AT89" s="44" t="str">
        <f t="shared" si="17"/>
        <v>Df</v>
      </c>
      <c r="AU89" s="44" t="str">
        <f t="shared" si="2"/>
        <v>Dfc</v>
      </c>
      <c r="AV89" s="38">
        <v>3.0</v>
      </c>
      <c r="AW89" s="38"/>
      <c r="AX89" s="38"/>
      <c r="AY89" s="38" t="s">
        <v>92</v>
      </c>
      <c r="AZ89" s="29">
        <v>1000.0</v>
      </c>
      <c r="BA89" s="29"/>
      <c r="BB89" s="29">
        <v>1.0</v>
      </c>
      <c r="BC89" s="29" t="s">
        <v>294</v>
      </c>
      <c r="BD89" s="29" t="s">
        <v>92</v>
      </c>
      <c r="BE89" s="29"/>
      <c r="BF89" s="29" t="s">
        <v>294</v>
      </c>
      <c r="BG89" s="29" t="s">
        <v>220</v>
      </c>
      <c r="BH89" s="29" t="s">
        <v>92</v>
      </c>
      <c r="BI89" s="29" t="s">
        <v>148</v>
      </c>
      <c r="BJ89" s="29"/>
      <c r="BK89" s="29" t="s">
        <v>148</v>
      </c>
      <c r="BL89" s="29"/>
      <c r="BM89" s="45"/>
      <c r="BN89" s="45"/>
      <c r="BO89" s="45"/>
      <c r="BP89" s="2"/>
      <c r="BQ89" s="3"/>
    </row>
    <row r="90">
      <c r="A90" s="34">
        <v>88.0</v>
      </c>
      <c r="B90" s="34">
        <v>101448.0</v>
      </c>
      <c r="C90" s="34" t="s">
        <v>76</v>
      </c>
      <c r="D90" s="34" t="s">
        <v>279</v>
      </c>
      <c r="E90" s="34" t="s">
        <v>280</v>
      </c>
      <c r="F90" s="34">
        <v>2014.0</v>
      </c>
      <c r="G90" s="34" t="s">
        <v>281</v>
      </c>
      <c r="H90" s="34" t="s">
        <v>282</v>
      </c>
      <c r="I90" s="34" t="s">
        <v>283</v>
      </c>
      <c r="J90" s="35"/>
      <c r="K90" s="36"/>
      <c r="L90" s="36"/>
      <c r="M90" s="36"/>
      <c r="N90" s="36">
        <v>10.1</v>
      </c>
      <c r="O90" s="36">
        <v>93.2</v>
      </c>
      <c r="P90" s="37">
        <v>11.0</v>
      </c>
      <c r="Q90" s="36"/>
      <c r="R90" s="36" t="s">
        <v>209</v>
      </c>
      <c r="S90" s="36">
        <v>1000.0</v>
      </c>
      <c r="T90" s="36" t="s">
        <v>356</v>
      </c>
      <c r="U90" s="36" t="s">
        <v>351</v>
      </c>
      <c r="V90" s="36">
        <v>4646.0</v>
      </c>
      <c r="W90" s="36" t="s">
        <v>169</v>
      </c>
      <c r="X90" s="38">
        <v>30.0</v>
      </c>
      <c r="Y90" s="38" t="s">
        <v>413</v>
      </c>
      <c r="Z90" s="38"/>
      <c r="AA90" s="38"/>
      <c r="AB90" s="38"/>
      <c r="AC90" s="38"/>
      <c r="AD90" s="53" t="s">
        <v>414</v>
      </c>
      <c r="AE90" s="38"/>
      <c r="AF90" s="38"/>
      <c r="AG90" s="38"/>
      <c r="AH90" s="38"/>
      <c r="AI90" s="50"/>
      <c r="AJ90" s="50"/>
      <c r="AK90" s="41"/>
      <c r="AL90" s="40"/>
      <c r="AM90" s="49"/>
      <c r="AN90" s="43"/>
      <c r="AO90" s="42"/>
      <c r="AP90" s="43"/>
      <c r="AQ90" s="44" t="str">
        <f t="shared" si="1"/>
        <v/>
      </c>
      <c r="AR90" s="44" t="str">
        <f t="shared" si="3"/>
        <v/>
      </c>
      <c r="AS90" s="44" t="str">
        <f t="shared" si="5"/>
        <v/>
      </c>
      <c r="AT90" s="44" t="str">
        <f t="shared" si="17"/>
        <v/>
      </c>
      <c r="AU90" s="44" t="str">
        <f t="shared" si="2"/>
        <v/>
      </c>
      <c r="AV90" s="38">
        <v>3.0</v>
      </c>
      <c r="AW90" s="38"/>
      <c r="AX90" s="38"/>
      <c r="AY90" s="38" t="s">
        <v>92</v>
      </c>
      <c r="AZ90" s="29">
        <v>1000.0</v>
      </c>
      <c r="BA90" s="29"/>
      <c r="BB90" s="29">
        <v>1.0</v>
      </c>
      <c r="BC90" s="29" t="s">
        <v>294</v>
      </c>
      <c r="BD90" s="29" t="s">
        <v>92</v>
      </c>
      <c r="BE90" s="29"/>
      <c r="BF90" s="29" t="s">
        <v>294</v>
      </c>
      <c r="BG90" s="29" t="s">
        <v>220</v>
      </c>
      <c r="BH90" s="29" t="s">
        <v>92</v>
      </c>
      <c r="BI90" s="29" t="s">
        <v>148</v>
      </c>
      <c r="BJ90" s="29"/>
      <c r="BK90" s="29" t="s">
        <v>148</v>
      </c>
      <c r="BL90" s="29"/>
      <c r="BM90" s="45"/>
      <c r="BN90" s="45"/>
      <c r="BO90" s="45"/>
      <c r="BP90" s="2"/>
      <c r="BQ90" s="3"/>
    </row>
    <row r="91">
      <c r="A91" s="34">
        <v>89.0</v>
      </c>
      <c r="B91" s="34">
        <v>101358.0</v>
      </c>
      <c r="C91" s="34" t="s">
        <v>415</v>
      </c>
      <c r="D91" s="34" t="s">
        <v>416</v>
      </c>
      <c r="E91" s="34" t="s">
        <v>417</v>
      </c>
      <c r="F91" s="34">
        <v>2015.0</v>
      </c>
      <c r="G91" s="34" t="s">
        <v>418</v>
      </c>
      <c r="H91" s="34" t="s">
        <v>282</v>
      </c>
      <c r="I91" s="34" t="s">
        <v>419</v>
      </c>
      <c r="J91" s="35"/>
      <c r="K91" s="36">
        <v>-0.39</v>
      </c>
      <c r="L91" s="36">
        <v>1.96</v>
      </c>
      <c r="M91" s="36"/>
      <c r="N91" s="36"/>
      <c r="O91" s="36"/>
      <c r="P91" s="52">
        <f t="shared" ref="P91:P120" si="18">K91/L91*100</f>
        <v>-19.89795918</v>
      </c>
      <c r="Q91" s="36" t="s">
        <v>96</v>
      </c>
      <c r="R91" s="36" t="s">
        <v>96</v>
      </c>
      <c r="S91" s="36">
        <v>5000.0</v>
      </c>
      <c r="T91" s="36" t="s">
        <v>233</v>
      </c>
      <c r="U91" s="36" t="s">
        <v>234</v>
      </c>
      <c r="V91" s="36">
        <v>36.0</v>
      </c>
      <c r="W91" s="36" t="s">
        <v>169</v>
      </c>
      <c r="X91" s="38">
        <v>1.0</v>
      </c>
      <c r="Y91" s="38" t="s">
        <v>420</v>
      </c>
      <c r="Z91" s="38" t="s">
        <v>421</v>
      </c>
      <c r="AA91" s="38" t="s">
        <v>86</v>
      </c>
      <c r="AB91" s="38">
        <v>47.286</v>
      </c>
      <c r="AC91" s="38">
        <v>7.734</v>
      </c>
      <c r="AD91" s="53" t="s">
        <v>422</v>
      </c>
      <c r="AE91" s="53"/>
      <c r="AF91" s="38" t="s">
        <v>423</v>
      </c>
      <c r="AG91" s="38"/>
      <c r="AH91" s="38"/>
      <c r="AI91" s="50">
        <v>47.2863</v>
      </c>
      <c r="AJ91" s="50">
        <v>7.7343</v>
      </c>
      <c r="AK91" s="41" t="s">
        <v>86</v>
      </c>
      <c r="AL91" s="40" t="s">
        <v>86</v>
      </c>
      <c r="AM91" s="49">
        <v>451.0</v>
      </c>
      <c r="AN91" s="51">
        <v>451.0</v>
      </c>
      <c r="AO91" s="42" t="s">
        <v>376</v>
      </c>
      <c r="AP91" s="43" t="s">
        <v>376</v>
      </c>
      <c r="AQ91" s="44" t="str">
        <f t="shared" si="1"/>
        <v>CRO</v>
      </c>
      <c r="AR91" s="44">
        <f t="shared" si="3"/>
        <v>451</v>
      </c>
      <c r="AS91" s="44" t="str">
        <f t="shared" si="5"/>
        <v>C</v>
      </c>
      <c r="AT91" s="44" t="str">
        <f t="shared" si="17"/>
        <v>Cf</v>
      </c>
      <c r="AU91" s="44" t="str">
        <f t="shared" si="2"/>
        <v>Cfb</v>
      </c>
      <c r="AV91" s="38"/>
      <c r="AW91" s="38"/>
      <c r="AX91" s="38"/>
      <c r="AY91" s="38" t="s">
        <v>92</v>
      </c>
      <c r="AZ91" s="29">
        <v>5000.0</v>
      </c>
      <c r="BA91" s="29">
        <v>1.0</v>
      </c>
      <c r="BB91" s="29"/>
      <c r="BC91" s="29"/>
      <c r="BD91" s="29" t="s">
        <v>88</v>
      </c>
      <c r="BE91" s="29"/>
      <c r="BF91" s="29" t="s">
        <v>424</v>
      </c>
      <c r="BG91" s="29" t="s">
        <v>220</v>
      </c>
      <c r="BH91" s="29" t="s">
        <v>88</v>
      </c>
      <c r="BI91" s="29" t="s">
        <v>425</v>
      </c>
      <c r="BJ91" s="29"/>
      <c r="BK91" s="29"/>
      <c r="BL91" s="29"/>
      <c r="BM91" s="45">
        <v>1.0</v>
      </c>
      <c r="BN91" s="45">
        <v>1.0</v>
      </c>
      <c r="BO91" s="45" t="s">
        <v>426</v>
      </c>
      <c r="BP91" s="2"/>
      <c r="BQ91" s="3"/>
    </row>
    <row r="92">
      <c r="A92" s="34">
        <v>90.0</v>
      </c>
      <c r="B92" s="34">
        <v>101358.0</v>
      </c>
      <c r="C92" s="34" t="s">
        <v>415</v>
      </c>
      <c r="D92" s="34" t="s">
        <v>427</v>
      </c>
      <c r="E92" s="34" t="s">
        <v>417</v>
      </c>
      <c r="F92" s="34">
        <v>2015.0</v>
      </c>
      <c r="G92" s="34" t="s">
        <v>418</v>
      </c>
      <c r="H92" s="34" t="s">
        <v>282</v>
      </c>
      <c r="I92" s="34" t="s">
        <v>419</v>
      </c>
      <c r="J92" s="35"/>
      <c r="K92" s="36">
        <v>0.26</v>
      </c>
      <c r="L92" s="36">
        <v>1.11</v>
      </c>
      <c r="M92" s="36"/>
      <c r="N92" s="36"/>
      <c r="O92" s="36"/>
      <c r="P92" s="52">
        <f t="shared" si="18"/>
        <v>23.42342342</v>
      </c>
      <c r="Q92" s="36" t="s">
        <v>96</v>
      </c>
      <c r="R92" s="36" t="s">
        <v>96</v>
      </c>
      <c r="S92" s="36">
        <v>5000.0</v>
      </c>
      <c r="T92" s="36" t="s">
        <v>233</v>
      </c>
      <c r="U92" s="36" t="s">
        <v>234</v>
      </c>
      <c r="V92" s="36">
        <v>35.0</v>
      </c>
      <c r="W92" s="36" t="s">
        <v>169</v>
      </c>
      <c r="X92" s="38">
        <v>1.0</v>
      </c>
      <c r="Y92" s="38" t="s">
        <v>428</v>
      </c>
      <c r="Z92" s="38" t="s">
        <v>429</v>
      </c>
      <c r="AA92" s="38" t="s">
        <v>86</v>
      </c>
      <c r="AB92" s="38">
        <v>50.893</v>
      </c>
      <c r="AC92" s="38">
        <v>13.523</v>
      </c>
      <c r="AD92" s="53" t="s">
        <v>375</v>
      </c>
      <c r="AE92" s="53"/>
      <c r="AF92" s="38" t="s">
        <v>430</v>
      </c>
      <c r="AG92" s="38"/>
      <c r="AH92" s="38"/>
      <c r="AI92" s="50">
        <v>50.8929</v>
      </c>
      <c r="AJ92" s="50">
        <v>13.5225</v>
      </c>
      <c r="AK92" s="41" t="s">
        <v>86</v>
      </c>
      <c r="AL92" s="40" t="s">
        <v>86</v>
      </c>
      <c r="AM92" s="49">
        <v>479.0</v>
      </c>
      <c r="AN92" s="51">
        <v>479.0</v>
      </c>
      <c r="AO92" s="42" t="s">
        <v>372</v>
      </c>
      <c r="AP92" s="43" t="s">
        <v>107</v>
      </c>
      <c r="AQ92" s="44" t="str">
        <f t="shared" si="1"/>
        <v>CRO</v>
      </c>
      <c r="AR92" s="44">
        <f t="shared" si="3"/>
        <v>479</v>
      </c>
      <c r="AS92" s="44" t="str">
        <f t="shared" si="5"/>
        <v>D</v>
      </c>
      <c r="AT92" s="44" t="str">
        <f t="shared" si="17"/>
        <v>Df</v>
      </c>
      <c r="AU92" s="44" t="str">
        <f t="shared" si="2"/>
        <v>Dfb</v>
      </c>
      <c r="AV92" s="38"/>
      <c r="AW92" s="38"/>
      <c r="AX92" s="38"/>
      <c r="AY92" s="38" t="s">
        <v>92</v>
      </c>
      <c r="AZ92" s="29">
        <v>5000.0</v>
      </c>
      <c r="BA92" s="29">
        <v>1.0</v>
      </c>
      <c r="BB92" s="29"/>
      <c r="BC92" s="29"/>
      <c r="BD92" s="29" t="s">
        <v>88</v>
      </c>
      <c r="BE92" s="29"/>
      <c r="BF92" s="29" t="s">
        <v>424</v>
      </c>
      <c r="BG92" s="29" t="s">
        <v>220</v>
      </c>
      <c r="BH92" s="29" t="s">
        <v>88</v>
      </c>
      <c r="BI92" s="29" t="s">
        <v>425</v>
      </c>
      <c r="BJ92" s="29"/>
      <c r="BK92" s="29"/>
      <c r="BL92" s="29"/>
      <c r="BM92" s="45"/>
      <c r="BN92" s="45"/>
      <c r="BO92" s="45" t="s">
        <v>426</v>
      </c>
      <c r="BP92" s="2"/>
      <c r="BQ92" s="3"/>
    </row>
    <row r="93">
      <c r="A93" s="34">
        <v>91.0</v>
      </c>
      <c r="B93" s="34">
        <v>101358.0</v>
      </c>
      <c r="C93" s="34" t="s">
        <v>415</v>
      </c>
      <c r="D93" s="34" t="s">
        <v>431</v>
      </c>
      <c r="E93" s="34" t="s">
        <v>417</v>
      </c>
      <c r="F93" s="34">
        <v>2015.0</v>
      </c>
      <c r="G93" s="34" t="s">
        <v>418</v>
      </c>
      <c r="H93" s="34" t="s">
        <v>282</v>
      </c>
      <c r="I93" s="34" t="s">
        <v>419</v>
      </c>
      <c r="J93" s="35"/>
      <c r="K93" s="36">
        <v>0.04</v>
      </c>
      <c r="L93" s="36">
        <v>1.55</v>
      </c>
      <c r="M93" s="36"/>
      <c r="N93" s="36"/>
      <c r="O93" s="36"/>
      <c r="P93" s="52">
        <f t="shared" si="18"/>
        <v>2.580645161</v>
      </c>
      <c r="Q93" s="36" t="s">
        <v>96</v>
      </c>
      <c r="R93" s="36" t="s">
        <v>96</v>
      </c>
      <c r="S93" s="36">
        <v>5000.0</v>
      </c>
      <c r="T93" s="36" t="s">
        <v>233</v>
      </c>
      <c r="U93" s="36" t="s">
        <v>234</v>
      </c>
      <c r="V93" s="36">
        <v>36.0</v>
      </c>
      <c r="W93" s="36" t="s">
        <v>169</v>
      </c>
      <c r="X93" s="38">
        <v>1.0</v>
      </c>
      <c r="Y93" s="38" t="s">
        <v>432</v>
      </c>
      <c r="Z93" s="38" t="s">
        <v>433</v>
      </c>
      <c r="AA93" s="38" t="s">
        <v>288</v>
      </c>
      <c r="AB93" s="38">
        <v>46.015</v>
      </c>
      <c r="AC93" s="38">
        <v>11.046</v>
      </c>
      <c r="AD93" s="53" t="s">
        <v>237</v>
      </c>
      <c r="AE93" s="38"/>
      <c r="AF93" s="38" t="s">
        <v>434</v>
      </c>
      <c r="AG93" s="38" t="s">
        <v>376</v>
      </c>
      <c r="AH93" s="38"/>
      <c r="AI93" s="50">
        <v>46.015</v>
      </c>
      <c r="AJ93" s="50">
        <v>11.046</v>
      </c>
      <c r="AK93" s="41" t="s">
        <v>362</v>
      </c>
      <c r="AL93" s="40" t="s">
        <v>362</v>
      </c>
      <c r="AM93" s="49">
        <v>1561.0</v>
      </c>
      <c r="AN93" s="51">
        <v>1561.0</v>
      </c>
      <c r="AO93" s="42" t="s">
        <v>372</v>
      </c>
      <c r="AP93" s="43" t="s">
        <v>107</v>
      </c>
      <c r="AQ93" s="44" t="str">
        <f t="shared" si="1"/>
        <v>GRA</v>
      </c>
      <c r="AR93" s="44">
        <f t="shared" si="3"/>
        <v>1561</v>
      </c>
      <c r="AS93" s="44" t="str">
        <f t="shared" si="5"/>
        <v>D</v>
      </c>
      <c r="AT93" s="44" t="str">
        <f t="shared" si="17"/>
        <v>Df</v>
      </c>
      <c r="AU93" s="44" t="str">
        <f t="shared" si="2"/>
        <v>Dfb</v>
      </c>
      <c r="AV93" s="38"/>
      <c r="AW93" s="38"/>
      <c r="AX93" s="38"/>
      <c r="AY93" s="38" t="s">
        <v>92</v>
      </c>
      <c r="AZ93" s="29">
        <v>5000.0</v>
      </c>
      <c r="BA93" s="29">
        <v>1.0</v>
      </c>
      <c r="BB93" s="29"/>
      <c r="BC93" s="29"/>
      <c r="BD93" s="29" t="s">
        <v>88</v>
      </c>
      <c r="BE93" s="29"/>
      <c r="BF93" s="29" t="s">
        <v>424</v>
      </c>
      <c r="BG93" s="29" t="s">
        <v>220</v>
      </c>
      <c r="BH93" s="29" t="s">
        <v>88</v>
      </c>
      <c r="BI93" s="29" t="s">
        <v>425</v>
      </c>
      <c r="BJ93" s="29"/>
      <c r="BK93" s="29"/>
      <c r="BL93" s="29"/>
      <c r="BM93" s="45">
        <v>1.0</v>
      </c>
      <c r="BN93" s="45">
        <v>1.0</v>
      </c>
      <c r="BO93" s="45" t="s">
        <v>426</v>
      </c>
      <c r="BP93" s="2"/>
      <c r="BQ93" s="3"/>
    </row>
    <row r="94">
      <c r="A94" s="34">
        <v>92.0</v>
      </c>
      <c r="B94" s="34">
        <v>101358.0</v>
      </c>
      <c r="C94" s="34" t="s">
        <v>415</v>
      </c>
      <c r="D94" s="34" t="s">
        <v>435</v>
      </c>
      <c r="E94" s="34" t="s">
        <v>417</v>
      </c>
      <c r="F94" s="34">
        <v>2015.0</v>
      </c>
      <c r="G94" s="34" t="s">
        <v>418</v>
      </c>
      <c r="H94" s="34" t="s">
        <v>282</v>
      </c>
      <c r="I94" s="34" t="s">
        <v>419</v>
      </c>
      <c r="J94" s="35"/>
      <c r="K94" s="36">
        <v>0.33</v>
      </c>
      <c r="L94" s="36">
        <v>1.39</v>
      </c>
      <c r="M94" s="36"/>
      <c r="N94" s="36"/>
      <c r="O94" s="36"/>
      <c r="P94" s="52">
        <f t="shared" si="18"/>
        <v>23.74100719</v>
      </c>
      <c r="Q94" s="36" t="s">
        <v>96</v>
      </c>
      <c r="R94" s="36" t="s">
        <v>96</v>
      </c>
      <c r="S94" s="36">
        <v>5000.0</v>
      </c>
      <c r="T94" s="36" t="s">
        <v>233</v>
      </c>
      <c r="U94" s="36" t="s">
        <v>234</v>
      </c>
      <c r="V94" s="36">
        <v>31.0</v>
      </c>
      <c r="W94" s="36" t="s">
        <v>169</v>
      </c>
      <c r="X94" s="38">
        <v>1.0</v>
      </c>
      <c r="Y94" s="38" t="s">
        <v>436</v>
      </c>
      <c r="Z94" s="38" t="s">
        <v>384</v>
      </c>
      <c r="AA94" s="38" t="s">
        <v>288</v>
      </c>
      <c r="AB94" s="38">
        <v>51.971</v>
      </c>
      <c r="AC94" s="38">
        <v>4.927</v>
      </c>
      <c r="AD94" s="53" t="s">
        <v>385</v>
      </c>
      <c r="AE94" s="38"/>
      <c r="AF94" s="38" t="s">
        <v>434</v>
      </c>
      <c r="AG94" s="38" t="s">
        <v>376</v>
      </c>
      <c r="AH94" s="38"/>
      <c r="AI94" s="50">
        <v>51.971</v>
      </c>
      <c r="AJ94" s="50">
        <v>4.927</v>
      </c>
      <c r="AK94" s="41" t="s">
        <v>313</v>
      </c>
      <c r="AL94" s="40" t="s">
        <v>313</v>
      </c>
      <c r="AM94" s="49">
        <v>-1.0</v>
      </c>
      <c r="AN94" s="51">
        <v>-1.0</v>
      </c>
      <c r="AO94" s="42" t="s">
        <v>376</v>
      </c>
      <c r="AP94" s="43" t="s">
        <v>376</v>
      </c>
      <c r="AQ94" s="44" t="str">
        <f t="shared" si="1"/>
        <v>GRA</v>
      </c>
      <c r="AR94" s="44">
        <f t="shared" si="3"/>
        <v>-1</v>
      </c>
      <c r="AS94" s="44" t="str">
        <f t="shared" si="5"/>
        <v>C</v>
      </c>
      <c r="AT94" s="44" t="str">
        <f t="shared" si="17"/>
        <v>Cf</v>
      </c>
      <c r="AU94" s="44" t="str">
        <f t="shared" si="2"/>
        <v>Cfb</v>
      </c>
      <c r="AV94" s="38"/>
      <c r="AW94" s="38"/>
      <c r="AX94" s="38"/>
      <c r="AY94" s="38" t="s">
        <v>92</v>
      </c>
      <c r="AZ94" s="29">
        <v>5000.0</v>
      </c>
      <c r="BA94" s="29">
        <v>1.0</v>
      </c>
      <c r="BB94" s="29"/>
      <c r="BC94" s="29"/>
      <c r="BD94" s="29" t="s">
        <v>88</v>
      </c>
      <c r="BE94" s="29"/>
      <c r="BF94" s="29" t="s">
        <v>424</v>
      </c>
      <c r="BG94" s="29" t="s">
        <v>220</v>
      </c>
      <c r="BH94" s="29" t="s">
        <v>88</v>
      </c>
      <c r="BI94" s="29" t="s">
        <v>425</v>
      </c>
      <c r="BJ94" s="29"/>
      <c r="BK94" s="29"/>
      <c r="BL94" s="29"/>
      <c r="BM94" s="45">
        <v>1.0</v>
      </c>
      <c r="BN94" s="45">
        <v>1.0</v>
      </c>
      <c r="BO94" s="45" t="s">
        <v>426</v>
      </c>
      <c r="BP94" s="2"/>
      <c r="BQ94" s="3"/>
    </row>
    <row r="95">
      <c r="A95" s="34">
        <v>93.0</v>
      </c>
      <c r="B95" s="34">
        <v>101358.0</v>
      </c>
      <c r="C95" s="34" t="s">
        <v>415</v>
      </c>
      <c r="D95" s="34" t="s">
        <v>437</v>
      </c>
      <c r="E95" s="34" t="s">
        <v>417</v>
      </c>
      <c r="F95" s="34">
        <v>2015.0</v>
      </c>
      <c r="G95" s="34" t="s">
        <v>418</v>
      </c>
      <c r="H95" s="34" t="s">
        <v>282</v>
      </c>
      <c r="I95" s="34" t="s">
        <v>419</v>
      </c>
      <c r="J95" s="35"/>
      <c r="K95" s="36">
        <v>0.07</v>
      </c>
      <c r="L95" s="36">
        <v>0.66</v>
      </c>
      <c r="M95" s="36"/>
      <c r="N95" s="36"/>
      <c r="O95" s="36"/>
      <c r="P95" s="52">
        <f t="shared" si="18"/>
        <v>10.60606061</v>
      </c>
      <c r="Q95" s="36" t="s">
        <v>96</v>
      </c>
      <c r="R95" s="36" t="s">
        <v>96</v>
      </c>
      <c r="S95" s="36">
        <v>5000.0</v>
      </c>
      <c r="T95" s="36" t="s">
        <v>233</v>
      </c>
      <c r="U95" s="36" t="s">
        <v>234</v>
      </c>
      <c r="V95" s="36">
        <v>36.0</v>
      </c>
      <c r="W95" s="36" t="s">
        <v>169</v>
      </c>
      <c r="X95" s="38">
        <v>1.0</v>
      </c>
      <c r="Y95" s="38" t="s">
        <v>438</v>
      </c>
      <c r="Z95" s="38" t="s">
        <v>439</v>
      </c>
      <c r="AA95" s="38" t="s">
        <v>292</v>
      </c>
      <c r="AB95" s="38">
        <v>36.835</v>
      </c>
      <c r="AC95" s="38">
        <v>-2.251</v>
      </c>
      <c r="AD95" s="53" t="s">
        <v>349</v>
      </c>
      <c r="AE95" s="53"/>
      <c r="AF95" s="38" t="s">
        <v>440</v>
      </c>
      <c r="AG95" s="38"/>
      <c r="AH95" s="38"/>
      <c r="AI95" s="50">
        <v>36.835</v>
      </c>
      <c r="AJ95" s="50">
        <v>-2.251</v>
      </c>
      <c r="AK95" s="41" t="s">
        <v>292</v>
      </c>
      <c r="AL95" s="40" t="s">
        <v>292</v>
      </c>
      <c r="AM95" s="49">
        <v>56.0</v>
      </c>
      <c r="AN95" s="51">
        <v>56.0</v>
      </c>
      <c r="AO95" s="42" t="s">
        <v>355</v>
      </c>
      <c r="AP95" s="43" t="s">
        <v>355</v>
      </c>
      <c r="AQ95" s="44" t="str">
        <f t="shared" si="1"/>
        <v>OSH</v>
      </c>
      <c r="AR95" s="44">
        <f t="shared" si="3"/>
        <v>56</v>
      </c>
      <c r="AS95" s="44" t="str">
        <f t="shared" si="5"/>
        <v>B</v>
      </c>
      <c r="AT95" s="44" t="str">
        <f t="shared" si="17"/>
        <v>BW</v>
      </c>
      <c r="AU95" s="44" t="str">
        <f t="shared" si="2"/>
        <v>BWh</v>
      </c>
      <c r="AV95" s="38"/>
      <c r="AW95" s="38"/>
      <c r="AX95" s="38"/>
      <c r="AY95" s="38" t="s">
        <v>92</v>
      </c>
      <c r="AZ95" s="29">
        <v>5000.0</v>
      </c>
      <c r="BA95" s="29">
        <v>1.0</v>
      </c>
      <c r="BB95" s="29"/>
      <c r="BC95" s="29"/>
      <c r="BD95" s="29" t="s">
        <v>88</v>
      </c>
      <c r="BE95" s="29"/>
      <c r="BF95" s="29" t="s">
        <v>424</v>
      </c>
      <c r="BG95" s="29" t="s">
        <v>220</v>
      </c>
      <c r="BH95" s="29" t="s">
        <v>88</v>
      </c>
      <c r="BI95" s="29" t="s">
        <v>425</v>
      </c>
      <c r="BJ95" s="29"/>
      <c r="BK95" s="29"/>
      <c r="BL95" s="29"/>
      <c r="BM95" s="45">
        <v>1.0</v>
      </c>
      <c r="BN95" s="45">
        <v>1.0</v>
      </c>
      <c r="BO95" s="45" t="s">
        <v>426</v>
      </c>
      <c r="BP95" s="2"/>
      <c r="BQ95" s="3"/>
    </row>
    <row r="96">
      <c r="A96" s="34">
        <v>94.0</v>
      </c>
      <c r="B96" s="34">
        <v>101358.0</v>
      </c>
      <c r="C96" s="34" t="s">
        <v>415</v>
      </c>
      <c r="D96" s="34" t="s">
        <v>441</v>
      </c>
      <c r="E96" s="34" t="s">
        <v>417</v>
      </c>
      <c r="F96" s="34">
        <v>2015.0</v>
      </c>
      <c r="G96" s="34" t="s">
        <v>418</v>
      </c>
      <c r="H96" s="34" t="s">
        <v>282</v>
      </c>
      <c r="I96" s="34" t="s">
        <v>419</v>
      </c>
      <c r="J96" s="35"/>
      <c r="K96" s="36">
        <v>-0.03</v>
      </c>
      <c r="L96" s="36">
        <v>0.84</v>
      </c>
      <c r="M96" s="36"/>
      <c r="N96" s="36"/>
      <c r="O96" s="36"/>
      <c r="P96" s="52">
        <f t="shared" si="18"/>
        <v>-3.571428571</v>
      </c>
      <c r="Q96" s="36" t="s">
        <v>96</v>
      </c>
      <c r="R96" s="36" t="s">
        <v>96</v>
      </c>
      <c r="S96" s="36">
        <v>5000.0</v>
      </c>
      <c r="T96" s="36" t="s">
        <v>233</v>
      </c>
      <c r="U96" s="36" t="s">
        <v>234</v>
      </c>
      <c r="V96" s="36">
        <v>36.0</v>
      </c>
      <c r="W96" s="36" t="s">
        <v>169</v>
      </c>
      <c r="X96" s="38">
        <v>1.0</v>
      </c>
      <c r="Y96" s="38" t="s">
        <v>442</v>
      </c>
      <c r="Z96" s="38" t="s">
        <v>443</v>
      </c>
      <c r="AA96" s="38" t="s">
        <v>292</v>
      </c>
      <c r="AB96" s="38">
        <v>36.927</v>
      </c>
      <c r="AC96" s="38">
        <v>-2.752</v>
      </c>
      <c r="AD96" s="53" t="s">
        <v>349</v>
      </c>
      <c r="AE96" s="53"/>
      <c r="AF96" s="38" t="s">
        <v>444</v>
      </c>
      <c r="AG96" s="38"/>
      <c r="AH96" s="38"/>
      <c r="AI96" s="50">
        <v>36.927</v>
      </c>
      <c r="AJ96" s="50">
        <v>-2.752</v>
      </c>
      <c r="AK96" s="41" t="s">
        <v>292</v>
      </c>
      <c r="AL96" s="40" t="s">
        <v>292</v>
      </c>
      <c r="AM96" s="49">
        <v>1612.0</v>
      </c>
      <c r="AN96" s="51">
        <v>1612.0</v>
      </c>
      <c r="AO96" s="42" t="s">
        <v>445</v>
      </c>
      <c r="AP96" s="43" t="s">
        <v>175</v>
      </c>
      <c r="AQ96" s="44" t="str">
        <f t="shared" si="1"/>
        <v>OSH</v>
      </c>
      <c r="AR96" s="44">
        <f t="shared" si="3"/>
        <v>1612</v>
      </c>
      <c r="AS96" s="44" t="str">
        <f t="shared" si="5"/>
        <v>C</v>
      </c>
      <c r="AT96" s="44" t="str">
        <f t="shared" si="17"/>
        <v>Cs</v>
      </c>
      <c r="AU96" s="44" t="str">
        <f t="shared" si="2"/>
        <v>Csa</v>
      </c>
      <c r="AV96" s="38"/>
      <c r="AW96" s="38"/>
      <c r="AX96" s="38"/>
      <c r="AY96" s="38" t="s">
        <v>92</v>
      </c>
      <c r="AZ96" s="29">
        <v>5000.0</v>
      </c>
      <c r="BA96" s="29">
        <v>1.0</v>
      </c>
      <c r="BB96" s="29"/>
      <c r="BC96" s="29"/>
      <c r="BD96" s="29" t="s">
        <v>88</v>
      </c>
      <c r="BE96" s="29"/>
      <c r="BF96" s="29" t="s">
        <v>424</v>
      </c>
      <c r="BG96" s="29" t="s">
        <v>220</v>
      </c>
      <c r="BH96" s="29" t="s">
        <v>88</v>
      </c>
      <c r="BI96" s="29" t="s">
        <v>425</v>
      </c>
      <c r="BJ96" s="29"/>
      <c r="BK96" s="29"/>
      <c r="BL96" s="29"/>
      <c r="BM96" s="45">
        <v>1.0</v>
      </c>
      <c r="BN96" s="45">
        <v>1.0</v>
      </c>
      <c r="BO96" s="45" t="s">
        <v>426</v>
      </c>
      <c r="BP96" s="2"/>
      <c r="BQ96" s="3"/>
    </row>
    <row r="97">
      <c r="A97" s="34">
        <v>95.0</v>
      </c>
      <c r="B97" s="34">
        <v>101358.0</v>
      </c>
      <c r="C97" s="34" t="s">
        <v>415</v>
      </c>
      <c r="D97" s="34" t="s">
        <v>446</v>
      </c>
      <c r="E97" s="34" t="s">
        <v>417</v>
      </c>
      <c r="F97" s="34">
        <v>2015.0</v>
      </c>
      <c r="G97" s="34" t="s">
        <v>418</v>
      </c>
      <c r="H97" s="34" t="s">
        <v>282</v>
      </c>
      <c r="I97" s="34" t="s">
        <v>419</v>
      </c>
      <c r="J97" s="35"/>
      <c r="K97" s="36">
        <v>-0.93</v>
      </c>
      <c r="L97" s="36">
        <v>2.19</v>
      </c>
      <c r="M97" s="36"/>
      <c r="N97" s="36"/>
      <c r="O97" s="36"/>
      <c r="P97" s="52">
        <f t="shared" si="18"/>
        <v>-42.46575342</v>
      </c>
      <c r="Q97" s="36" t="s">
        <v>96</v>
      </c>
      <c r="R97" s="36" t="s">
        <v>96</v>
      </c>
      <c r="S97" s="36">
        <v>5000.0</v>
      </c>
      <c r="T97" s="36" t="s">
        <v>233</v>
      </c>
      <c r="U97" s="36" t="s">
        <v>234</v>
      </c>
      <c r="V97" s="36">
        <v>33.0</v>
      </c>
      <c r="W97" s="36" t="s">
        <v>169</v>
      </c>
      <c r="X97" s="38">
        <v>1.0</v>
      </c>
      <c r="Y97" s="38" t="s">
        <v>447</v>
      </c>
      <c r="Z97" s="38" t="s">
        <v>347</v>
      </c>
      <c r="AA97" s="38" t="s">
        <v>313</v>
      </c>
      <c r="AB97" s="38">
        <v>39.942</v>
      </c>
      <c r="AC97" s="38">
        <v>-5.773</v>
      </c>
      <c r="AD97" s="53" t="s">
        <v>349</v>
      </c>
      <c r="AE97" s="53"/>
      <c r="AF97" s="38" t="s">
        <v>448</v>
      </c>
      <c r="AG97" s="38"/>
      <c r="AH97" s="38"/>
      <c r="AI97" s="50">
        <v>39.942</v>
      </c>
      <c r="AJ97" s="50">
        <v>-5.773</v>
      </c>
      <c r="AK97" s="41" t="s">
        <v>313</v>
      </c>
      <c r="AL97" s="40" t="s">
        <v>86</v>
      </c>
      <c r="AM97" s="49">
        <v>267.0</v>
      </c>
      <c r="AN97" s="51">
        <v>267.0</v>
      </c>
      <c r="AO97" s="42" t="s">
        <v>175</v>
      </c>
      <c r="AP97" s="43" t="s">
        <v>175</v>
      </c>
      <c r="AQ97" s="44" t="str">
        <f t="shared" si="1"/>
        <v>SAV</v>
      </c>
      <c r="AR97" s="44">
        <f t="shared" si="3"/>
        <v>267</v>
      </c>
      <c r="AS97" s="44" t="str">
        <f t="shared" si="5"/>
        <v>C</v>
      </c>
      <c r="AT97" s="44" t="str">
        <f t="shared" si="17"/>
        <v>Cs</v>
      </c>
      <c r="AU97" s="44" t="str">
        <f t="shared" si="2"/>
        <v>Csa</v>
      </c>
      <c r="AV97" s="38"/>
      <c r="AW97" s="38"/>
      <c r="AX97" s="38"/>
      <c r="AY97" s="38" t="s">
        <v>92</v>
      </c>
      <c r="AZ97" s="29">
        <v>5000.0</v>
      </c>
      <c r="BA97" s="29">
        <v>1.0</v>
      </c>
      <c r="BB97" s="29"/>
      <c r="BC97" s="29"/>
      <c r="BD97" s="29" t="s">
        <v>88</v>
      </c>
      <c r="BE97" s="29"/>
      <c r="BF97" s="29" t="s">
        <v>424</v>
      </c>
      <c r="BG97" s="29" t="s">
        <v>220</v>
      </c>
      <c r="BH97" s="29" t="s">
        <v>88</v>
      </c>
      <c r="BI97" s="29" t="s">
        <v>425</v>
      </c>
      <c r="BJ97" s="29"/>
      <c r="BK97" s="29"/>
      <c r="BL97" s="29"/>
      <c r="BM97" s="45">
        <v>1.0</v>
      </c>
      <c r="BN97" s="45">
        <v>1.0</v>
      </c>
      <c r="BO97" s="45" t="s">
        <v>426</v>
      </c>
      <c r="BP97" s="2"/>
      <c r="BQ97" s="3"/>
    </row>
    <row r="98">
      <c r="A98" s="34">
        <v>96.0</v>
      </c>
      <c r="B98" s="34">
        <v>101358.0</v>
      </c>
      <c r="C98" s="34" t="s">
        <v>415</v>
      </c>
      <c r="D98" s="34" t="s">
        <v>449</v>
      </c>
      <c r="E98" s="34" t="s">
        <v>417</v>
      </c>
      <c r="F98" s="34">
        <v>2015.0</v>
      </c>
      <c r="G98" s="34" t="s">
        <v>418</v>
      </c>
      <c r="H98" s="34" t="s">
        <v>282</v>
      </c>
      <c r="I98" s="34" t="s">
        <v>419</v>
      </c>
      <c r="J98" s="35"/>
      <c r="K98" s="36">
        <v>0.64</v>
      </c>
      <c r="L98" s="36">
        <v>0.93</v>
      </c>
      <c r="M98" s="36"/>
      <c r="N98" s="36"/>
      <c r="O98" s="36"/>
      <c r="P98" s="52">
        <f t="shared" si="18"/>
        <v>68.8172043</v>
      </c>
      <c r="Q98" s="36" t="s">
        <v>96</v>
      </c>
      <c r="R98" s="36" t="s">
        <v>96</v>
      </c>
      <c r="S98" s="36">
        <v>5000.0</v>
      </c>
      <c r="T98" s="36" t="s">
        <v>233</v>
      </c>
      <c r="U98" s="36" t="s">
        <v>234</v>
      </c>
      <c r="V98" s="36">
        <v>36.0</v>
      </c>
      <c r="W98" s="36" t="s">
        <v>169</v>
      </c>
      <c r="X98" s="38">
        <v>1.0</v>
      </c>
      <c r="Y98" s="38" t="s">
        <v>450</v>
      </c>
      <c r="Z98" s="38" t="s">
        <v>451</v>
      </c>
      <c r="AA98" s="38" t="s">
        <v>452</v>
      </c>
      <c r="AB98" s="38">
        <v>51.309</v>
      </c>
      <c r="AC98" s="38">
        <v>4.521</v>
      </c>
      <c r="AD98" s="53" t="s">
        <v>453</v>
      </c>
      <c r="AE98" s="38"/>
      <c r="AF98" s="38" t="s">
        <v>454</v>
      </c>
      <c r="AG98" s="38" t="s">
        <v>376</v>
      </c>
      <c r="AH98" s="38"/>
      <c r="AI98" s="50">
        <v>51.309</v>
      </c>
      <c r="AJ98" s="50">
        <v>4.521</v>
      </c>
      <c r="AK98" s="41" t="s">
        <v>452</v>
      </c>
      <c r="AL98" s="40" t="s">
        <v>452</v>
      </c>
      <c r="AM98" s="49">
        <v>22.0</v>
      </c>
      <c r="AN98" s="51">
        <v>22.0</v>
      </c>
      <c r="AO98" s="42" t="s">
        <v>376</v>
      </c>
      <c r="AP98" s="43" t="s">
        <v>376</v>
      </c>
      <c r="AQ98" s="44" t="str">
        <f t="shared" si="1"/>
        <v>MF</v>
      </c>
      <c r="AR98" s="44">
        <f t="shared" si="3"/>
        <v>22</v>
      </c>
      <c r="AS98" s="44" t="str">
        <f t="shared" si="5"/>
        <v>C</v>
      </c>
      <c r="AT98" s="44" t="str">
        <f t="shared" si="17"/>
        <v>Cf</v>
      </c>
      <c r="AU98" s="44" t="str">
        <f t="shared" si="2"/>
        <v>Cfb</v>
      </c>
      <c r="AV98" s="38"/>
      <c r="AW98" s="38"/>
      <c r="AX98" s="38"/>
      <c r="AY98" s="38" t="s">
        <v>92</v>
      </c>
      <c r="AZ98" s="29">
        <v>5000.0</v>
      </c>
      <c r="BA98" s="29">
        <v>1.0</v>
      </c>
      <c r="BB98" s="29"/>
      <c r="BC98" s="29"/>
      <c r="BD98" s="29" t="s">
        <v>88</v>
      </c>
      <c r="BE98" s="29"/>
      <c r="BF98" s="29" t="s">
        <v>424</v>
      </c>
      <c r="BG98" s="29" t="s">
        <v>220</v>
      </c>
      <c r="BH98" s="29" t="s">
        <v>88</v>
      </c>
      <c r="BI98" s="29" t="s">
        <v>425</v>
      </c>
      <c r="BJ98" s="29"/>
      <c r="BK98" s="29"/>
      <c r="BL98" s="29"/>
      <c r="BM98" s="45">
        <v>1.0</v>
      </c>
      <c r="BN98" s="45">
        <v>1.0</v>
      </c>
      <c r="BO98" s="45" t="s">
        <v>426</v>
      </c>
      <c r="BP98" s="2"/>
      <c r="BQ98" s="3"/>
    </row>
    <row r="99">
      <c r="A99" s="34">
        <v>97.0</v>
      </c>
      <c r="B99" s="34">
        <v>101358.0</v>
      </c>
      <c r="C99" s="34" t="s">
        <v>415</v>
      </c>
      <c r="D99" s="34" t="s">
        <v>455</v>
      </c>
      <c r="E99" s="34" t="s">
        <v>417</v>
      </c>
      <c r="F99" s="34">
        <v>2015.0</v>
      </c>
      <c r="G99" s="34" t="s">
        <v>418</v>
      </c>
      <c r="H99" s="34" t="s">
        <v>282</v>
      </c>
      <c r="I99" s="34" t="s">
        <v>419</v>
      </c>
      <c r="J99" s="35"/>
      <c r="K99" s="36">
        <v>0.84</v>
      </c>
      <c r="L99" s="36">
        <v>1.27</v>
      </c>
      <c r="M99" s="36"/>
      <c r="N99" s="36"/>
      <c r="O99" s="36"/>
      <c r="P99" s="52">
        <f t="shared" si="18"/>
        <v>66.14173228</v>
      </c>
      <c r="Q99" s="36" t="s">
        <v>96</v>
      </c>
      <c r="R99" s="36" t="s">
        <v>96</v>
      </c>
      <c r="S99" s="36">
        <v>5000.0</v>
      </c>
      <c r="T99" s="36" t="s">
        <v>233</v>
      </c>
      <c r="U99" s="36" t="s">
        <v>234</v>
      </c>
      <c r="V99" s="36">
        <v>27.0</v>
      </c>
      <c r="W99" s="36" t="s">
        <v>169</v>
      </c>
      <c r="X99" s="38">
        <v>1.0</v>
      </c>
      <c r="Y99" s="38" t="s">
        <v>456</v>
      </c>
      <c r="Z99" s="38" t="s">
        <v>457</v>
      </c>
      <c r="AA99" s="38" t="s">
        <v>370</v>
      </c>
      <c r="AB99" s="38">
        <v>41.849</v>
      </c>
      <c r="AC99" s="38">
        <v>13.588</v>
      </c>
      <c r="AD99" s="53" t="s">
        <v>237</v>
      </c>
      <c r="AE99" s="38"/>
      <c r="AF99" s="38" t="s">
        <v>458</v>
      </c>
      <c r="AG99" s="38" t="s">
        <v>201</v>
      </c>
      <c r="AH99" s="38"/>
      <c r="AI99" s="50">
        <v>41.849</v>
      </c>
      <c r="AJ99" s="50">
        <v>13.588</v>
      </c>
      <c r="AK99" s="41" t="s">
        <v>370</v>
      </c>
      <c r="AL99" s="40" t="s">
        <v>370</v>
      </c>
      <c r="AM99" s="49">
        <v>1526.0</v>
      </c>
      <c r="AN99" s="51">
        <v>1526.0</v>
      </c>
      <c r="AO99" s="42" t="s">
        <v>321</v>
      </c>
      <c r="AP99" s="43" t="s">
        <v>445</v>
      </c>
      <c r="AQ99" s="44" t="str">
        <f t="shared" si="1"/>
        <v>DBF</v>
      </c>
      <c r="AR99" s="44">
        <f t="shared" si="3"/>
        <v>1526</v>
      </c>
      <c r="AS99" s="44" t="str">
        <f t="shared" si="5"/>
        <v>D</v>
      </c>
      <c r="AT99" s="44" t="str">
        <f t="shared" si="17"/>
        <v>Cs</v>
      </c>
      <c r="AU99" s="44" t="str">
        <f t="shared" si="2"/>
        <v>Csb</v>
      </c>
      <c r="AV99" s="38"/>
      <c r="AW99" s="38"/>
      <c r="AX99" s="38"/>
      <c r="AY99" s="38" t="s">
        <v>92</v>
      </c>
      <c r="AZ99" s="29">
        <v>5000.0</v>
      </c>
      <c r="BA99" s="29">
        <v>1.0</v>
      </c>
      <c r="BB99" s="29"/>
      <c r="BC99" s="29"/>
      <c r="BD99" s="29" t="s">
        <v>88</v>
      </c>
      <c r="BE99" s="29"/>
      <c r="BF99" s="29" t="s">
        <v>424</v>
      </c>
      <c r="BG99" s="29" t="s">
        <v>220</v>
      </c>
      <c r="BH99" s="29" t="s">
        <v>88</v>
      </c>
      <c r="BI99" s="29" t="s">
        <v>425</v>
      </c>
      <c r="BJ99" s="29"/>
      <c r="BK99" s="29"/>
      <c r="BL99" s="29"/>
      <c r="BM99" s="45">
        <v>1.0</v>
      </c>
      <c r="BN99" s="45">
        <v>1.0</v>
      </c>
      <c r="BO99" s="45" t="s">
        <v>426</v>
      </c>
      <c r="BP99" s="2"/>
      <c r="BQ99" s="3"/>
    </row>
    <row r="100">
      <c r="A100" s="34">
        <v>98.0</v>
      </c>
      <c r="B100" s="34">
        <v>101358.0</v>
      </c>
      <c r="C100" s="34" t="s">
        <v>415</v>
      </c>
      <c r="D100" s="34" t="s">
        <v>459</v>
      </c>
      <c r="E100" s="34" t="s">
        <v>417</v>
      </c>
      <c r="F100" s="34">
        <v>2015.0</v>
      </c>
      <c r="G100" s="34" t="s">
        <v>418</v>
      </c>
      <c r="H100" s="34" t="s">
        <v>282</v>
      </c>
      <c r="I100" s="34" t="s">
        <v>419</v>
      </c>
      <c r="J100" s="35"/>
      <c r="K100" s="36">
        <v>1.11</v>
      </c>
      <c r="L100" s="36">
        <v>1.64</v>
      </c>
      <c r="M100" s="36"/>
      <c r="N100" s="36"/>
      <c r="O100" s="36"/>
      <c r="P100" s="52">
        <f t="shared" si="18"/>
        <v>67.68292683</v>
      </c>
      <c r="Q100" s="36" t="s">
        <v>96</v>
      </c>
      <c r="R100" s="36" t="s">
        <v>96</v>
      </c>
      <c r="S100" s="36">
        <v>5000.0</v>
      </c>
      <c r="T100" s="36" t="s">
        <v>233</v>
      </c>
      <c r="U100" s="36" t="s">
        <v>234</v>
      </c>
      <c r="V100" s="36">
        <v>31.0</v>
      </c>
      <c r="W100" s="36" t="s">
        <v>169</v>
      </c>
      <c r="X100" s="38">
        <v>1.0</v>
      </c>
      <c r="Y100" s="38" t="s">
        <v>460</v>
      </c>
      <c r="Z100" s="38" t="s">
        <v>461</v>
      </c>
      <c r="AA100" s="38" t="s">
        <v>370</v>
      </c>
      <c r="AB100" s="38">
        <v>42.39</v>
      </c>
      <c r="AC100" s="38">
        <v>11.921</v>
      </c>
      <c r="AD100" s="53" t="s">
        <v>237</v>
      </c>
      <c r="AE100" s="38"/>
      <c r="AF100" s="38" t="s">
        <v>462</v>
      </c>
      <c r="AG100" s="38" t="s">
        <v>175</v>
      </c>
      <c r="AH100" s="38"/>
      <c r="AI100" s="50">
        <v>42.39</v>
      </c>
      <c r="AJ100" s="50">
        <v>11.921</v>
      </c>
      <c r="AK100" s="41" t="s">
        <v>200</v>
      </c>
      <c r="AL100" s="40" t="s">
        <v>200</v>
      </c>
      <c r="AM100" s="49">
        <v>160.0</v>
      </c>
      <c r="AN100" s="51">
        <v>160.0</v>
      </c>
      <c r="AO100" s="42" t="s">
        <v>175</v>
      </c>
      <c r="AP100" s="43" t="s">
        <v>175</v>
      </c>
      <c r="AQ100" s="44" t="str">
        <f t="shared" si="1"/>
        <v>DBF</v>
      </c>
      <c r="AR100" s="44">
        <f t="shared" si="3"/>
        <v>160</v>
      </c>
      <c r="AS100" s="44" t="str">
        <f t="shared" si="5"/>
        <v>C</v>
      </c>
      <c r="AT100" s="44" t="str">
        <f t="shared" si="17"/>
        <v>Cs</v>
      </c>
      <c r="AU100" s="44" t="str">
        <f t="shared" si="2"/>
        <v>Csa</v>
      </c>
      <c r="AV100" s="38"/>
      <c r="AW100" s="38"/>
      <c r="AX100" s="38"/>
      <c r="AY100" s="38" t="s">
        <v>92</v>
      </c>
      <c r="AZ100" s="29">
        <v>5000.0</v>
      </c>
      <c r="BA100" s="29">
        <v>1.0</v>
      </c>
      <c r="BB100" s="29"/>
      <c r="BC100" s="29"/>
      <c r="BD100" s="29" t="s">
        <v>88</v>
      </c>
      <c r="BE100" s="29"/>
      <c r="BF100" s="29" t="s">
        <v>424</v>
      </c>
      <c r="BG100" s="29" t="s">
        <v>220</v>
      </c>
      <c r="BH100" s="29" t="s">
        <v>88</v>
      </c>
      <c r="BI100" s="29" t="s">
        <v>425</v>
      </c>
      <c r="BJ100" s="29"/>
      <c r="BK100" s="29"/>
      <c r="BL100" s="29"/>
      <c r="BM100" s="45">
        <v>1.0</v>
      </c>
      <c r="BN100" s="45">
        <v>1.0</v>
      </c>
      <c r="BO100" s="45" t="s">
        <v>426</v>
      </c>
      <c r="BP100" s="2"/>
      <c r="BQ100" s="3"/>
    </row>
    <row r="101">
      <c r="A101" s="34">
        <v>99.0</v>
      </c>
      <c r="B101" s="34">
        <v>101358.0</v>
      </c>
      <c r="C101" s="34" t="s">
        <v>415</v>
      </c>
      <c r="D101" s="34" t="s">
        <v>463</v>
      </c>
      <c r="E101" s="34" t="s">
        <v>417</v>
      </c>
      <c r="F101" s="34">
        <v>2015.0</v>
      </c>
      <c r="G101" s="34" t="s">
        <v>418</v>
      </c>
      <c r="H101" s="34" t="s">
        <v>282</v>
      </c>
      <c r="I101" s="34" t="s">
        <v>419</v>
      </c>
      <c r="J101" s="35"/>
      <c r="K101" s="36">
        <v>0.19</v>
      </c>
      <c r="L101" s="36">
        <v>0.93</v>
      </c>
      <c r="M101" s="36"/>
      <c r="N101" s="36"/>
      <c r="O101" s="36"/>
      <c r="P101" s="52">
        <f t="shared" si="18"/>
        <v>20.43010753</v>
      </c>
      <c r="Q101" s="36" t="s">
        <v>96</v>
      </c>
      <c r="R101" s="36" t="s">
        <v>96</v>
      </c>
      <c r="S101" s="36">
        <v>5000.0</v>
      </c>
      <c r="T101" s="36" t="s">
        <v>233</v>
      </c>
      <c r="U101" s="36" t="s">
        <v>234</v>
      </c>
      <c r="V101" s="36">
        <v>31.0</v>
      </c>
      <c r="W101" s="36" t="s">
        <v>169</v>
      </c>
      <c r="X101" s="38">
        <v>1.0</v>
      </c>
      <c r="Y101" s="38" t="s">
        <v>464</v>
      </c>
      <c r="Z101" s="38" t="s">
        <v>465</v>
      </c>
      <c r="AA101" s="38" t="s">
        <v>336</v>
      </c>
      <c r="AB101" s="38">
        <v>43.741</v>
      </c>
      <c r="AC101" s="38">
        <v>3.596</v>
      </c>
      <c r="AD101" s="53" t="s">
        <v>382</v>
      </c>
      <c r="AE101" s="53"/>
      <c r="AF101" s="38" t="s">
        <v>466</v>
      </c>
      <c r="AG101" s="38"/>
      <c r="AH101" s="38"/>
      <c r="AI101" s="50">
        <v>43.741</v>
      </c>
      <c r="AJ101" s="50">
        <v>3.596</v>
      </c>
      <c r="AK101" s="41" t="s">
        <v>197</v>
      </c>
      <c r="AL101" s="40" t="s">
        <v>197</v>
      </c>
      <c r="AM101" s="49">
        <v>270.0</v>
      </c>
      <c r="AN101" s="51">
        <v>270.0</v>
      </c>
      <c r="AO101" s="42" t="s">
        <v>175</v>
      </c>
      <c r="AP101" s="43" t="s">
        <v>175</v>
      </c>
      <c r="AQ101" s="44" t="str">
        <f t="shared" si="1"/>
        <v>EBF</v>
      </c>
      <c r="AR101" s="44">
        <f t="shared" si="3"/>
        <v>270</v>
      </c>
      <c r="AS101" s="44" t="str">
        <f t="shared" si="5"/>
        <v>C</v>
      </c>
      <c r="AT101" s="44" t="str">
        <f t="shared" si="17"/>
        <v>Cs</v>
      </c>
      <c r="AU101" s="44" t="str">
        <f t="shared" si="2"/>
        <v>Csa</v>
      </c>
      <c r="AV101" s="38"/>
      <c r="AW101" s="38"/>
      <c r="AX101" s="38"/>
      <c r="AY101" s="38" t="s">
        <v>92</v>
      </c>
      <c r="AZ101" s="29">
        <v>5000.0</v>
      </c>
      <c r="BA101" s="29">
        <v>1.0</v>
      </c>
      <c r="BB101" s="29"/>
      <c r="BC101" s="29"/>
      <c r="BD101" s="29" t="s">
        <v>88</v>
      </c>
      <c r="BE101" s="29"/>
      <c r="BF101" s="29" t="s">
        <v>424</v>
      </c>
      <c r="BG101" s="29" t="s">
        <v>220</v>
      </c>
      <c r="BH101" s="29" t="s">
        <v>88</v>
      </c>
      <c r="BI101" s="29" t="s">
        <v>425</v>
      </c>
      <c r="BJ101" s="29"/>
      <c r="BK101" s="29"/>
      <c r="BL101" s="29"/>
      <c r="BM101" s="45">
        <v>1.0</v>
      </c>
      <c r="BN101" s="45">
        <v>1.0</v>
      </c>
      <c r="BO101" s="45" t="s">
        <v>426</v>
      </c>
      <c r="BP101" s="2"/>
      <c r="BQ101" s="3"/>
    </row>
    <row r="102">
      <c r="A102" s="34">
        <v>100.0</v>
      </c>
      <c r="B102" s="34">
        <v>101358.0</v>
      </c>
      <c r="C102" s="34" t="s">
        <v>415</v>
      </c>
      <c r="D102" s="34" t="s">
        <v>467</v>
      </c>
      <c r="E102" s="34" t="s">
        <v>417</v>
      </c>
      <c r="F102" s="34">
        <v>2015.0</v>
      </c>
      <c r="G102" s="34" t="s">
        <v>418</v>
      </c>
      <c r="H102" s="34" t="s">
        <v>282</v>
      </c>
      <c r="I102" s="34" t="s">
        <v>419</v>
      </c>
      <c r="J102" s="35"/>
      <c r="K102" s="36">
        <v>0.61</v>
      </c>
      <c r="L102" s="36">
        <v>0.83</v>
      </c>
      <c r="M102" s="36"/>
      <c r="N102" s="36"/>
      <c r="O102" s="36"/>
      <c r="P102" s="52">
        <f t="shared" si="18"/>
        <v>73.4939759</v>
      </c>
      <c r="Q102" s="36" t="s">
        <v>96</v>
      </c>
      <c r="R102" s="36" t="s">
        <v>96</v>
      </c>
      <c r="S102" s="36">
        <v>5000.0</v>
      </c>
      <c r="T102" s="36" t="s">
        <v>233</v>
      </c>
      <c r="U102" s="36" t="s">
        <v>234</v>
      </c>
      <c r="V102" s="36">
        <v>36.0</v>
      </c>
      <c r="W102" s="36" t="s">
        <v>169</v>
      </c>
      <c r="X102" s="38">
        <v>1.0</v>
      </c>
      <c r="Y102" s="38" t="s">
        <v>468</v>
      </c>
      <c r="Z102" s="38" t="s">
        <v>469</v>
      </c>
      <c r="AA102" s="38" t="s">
        <v>197</v>
      </c>
      <c r="AB102" s="38">
        <v>49.505</v>
      </c>
      <c r="AC102" s="38">
        <v>18.541</v>
      </c>
      <c r="AD102" s="53" t="s">
        <v>470</v>
      </c>
      <c r="AE102" s="53"/>
      <c r="AF102" s="38" t="s">
        <v>471</v>
      </c>
      <c r="AG102" s="38"/>
      <c r="AH102" s="38"/>
      <c r="AI102" s="50">
        <v>49.505</v>
      </c>
      <c r="AJ102" s="50">
        <v>18.541</v>
      </c>
      <c r="AK102" s="41" t="s">
        <v>197</v>
      </c>
      <c r="AL102" s="40" t="s">
        <v>197</v>
      </c>
      <c r="AM102" s="49">
        <v>799.0</v>
      </c>
      <c r="AN102" s="51">
        <v>799.0</v>
      </c>
      <c r="AO102" s="42" t="s">
        <v>372</v>
      </c>
      <c r="AP102" s="43" t="s">
        <v>107</v>
      </c>
      <c r="AQ102" s="44" t="str">
        <f t="shared" si="1"/>
        <v>ENF</v>
      </c>
      <c r="AR102" s="44">
        <f t="shared" si="3"/>
        <v>799</v>
      </c>
      <c r="AS102" s="44" t="str">
        <f t="shared" si="5"/>
        <v>D</v>
      </c>
      <c r="AT102" s="44" t="str">
        <f t="shared" si="17"/>
        <v>Df</v>
      </c>
      <c r="AU102" s="44" t="str">
        <f t="shared" si="2"/>
        <v>Dfb</v>
      </c>
      <c r="AV102" s="38"/>
      <c r="AW102" s="38"/>
      <c r="AX102" s="38"/>
      <c r="AY102" s="38" t="s">
        <v>92</v>
      </c>
      <c r="AZ102" s="29">
        <v>5000.0</v>
      </c>
      <c r="BA102" s="29">
        <v>1.0</v>
      </c>
      <c r="BB102" s="29"/>
      <c r="BC102" s="29"/>
      <c r="BD102" s="29" t="s">
        <v>88</v>
      </c>
      <c r="BE102" s="29"/>
      <c r="BF102" s="29" t="s">
        <v>424</v>
      </c>
      <c r="BG102" s="29" t="s">
        <v>220</v>
      </c>
      <c r="BH102" s="29" t="s">
        <v>88</v>
      </c>
      <c r="BI102" s="29" t="s">
        <v>425</v>
      </c>
      <c r="BJ102" s="29"/>
      <c r="BK102" s="29"/>
      <c r="BL102" s="29"/>
      <c r="BM102" s="45">
        <v>1.0</v>
      </c>
      <c r="BN102" s="45">
        <v>1.0</v>
      </c>
      <c r="BO102" s="45" t="s">
        <v>426</v>
      </c>
      <c r="BP102" s="2"/>
      <c r="BQ102" s="3"/>
    </row>
    <row r="103">
      <c r="A103" s="34">
        <v>101.0</v>
      </c>
      <c r="B103" s="34">
        <v>101358.0</v>
      </c>
      <c r="C103" s="34" t="s">
        <v>415</v>
      </c>
      <c r="D103" s="34" t="s">
        <v>472</v>
      </c>
      <c r="E103" s="34" t="s">
        <v>417</v>
      </c>
      <c r="F103" s="34">
        <v>2015.0</v>
      </c>
      <c r="G103" s="34" t="s">
        <v>418</v>
      </c>
      <c r="H103" s="34" t="s">
        <v>282</v>
      </c>
      <c r="I103" s="34" t="s">
        <v>419</v>
      </c>
      <c r="J103" s="35"/>
      <c r="K103" s="36">
        <v>0.52</v>
      </c>
      <c r="L103" s="36">
        <v>1.11</v>
      </c>
      <c r="M103" s="36"/>
      <c r="N103" s="36"/>
      <c r="O103" s="36"/>
      <c r="P103" s="52">
        <f t="shared" si="18"/>
        <v>46.84684685</v>
      </c>
      <c r="Q103" s="36" t="s">
        <v>96</v>
      </c>
      <c r="R103" s="36" t="s">
        <v>96</v>
      </c>
      <c r="S103" s="36">
        <v>5000.0</v>
      </c>
      <c r="T103" s="36" t="s">
        <v>233</v>
      </c>
      <c r="U103" s="36" t="s">
        <v>234</v>
      </c>
      <c r="V103" s="36">
        <v>36.0</v>
      </c>
      <c r="W103" s="36" t="s">
        <v>169</v>
      </c>
      <c r="X103" s="38">
        <v>1.0</v>
      </c>
      <c r="Y103" s="38" t="s">
        <v>473</v>
      </c>
      <c r="Z103" s="38" t="s">
        <v>474</v>
      </c>
      <c r="AA103" s="38" t="s">
        <v>197</v>
      </c>
      <c r="AB103" s="38">
        <v>50.964</v>
      </c>
      <c r="AC103" s="38">
        <v>13.567</v>
      </c>
      <c r="AD103" s="53" t="s">
        <v>375</v>
      </c>
      <c r="AE103" s="53"/>
      <c r="AF103" s="38" t="s">
        <v>471</v>
      </c>
      <c r="AG103" s="38"/>
      <c r="AH103" s="38"/>
      <c r="AI103" s="50">
        <v>50.964</v>
      </c>
      <c r="AJ103" s="50">
        <v>13.567</v>
      </c>
      <c r="AK103" s="41" t="s">
        <v>197</v>
      </c>
      <c r="AL103" s="40" t="s">
        <v>452</v>
      </c>
      <c r="AM103" s="49">
        <v>385.0</v>
      </c>
      <c r="AN103" s="51">
        <v>385.0</v>
      </c>
      <c r="AO103" s="42" t="s">
        <v>372</v>
      </c>
      <c r="AP103" s="43" t="s">
        <v>107</v>
      </c>
      <c r="AQ103" s="44" t="str">
        <f t="shared" si="1"/>
        <v>ENF</v>
      </c>
      <c r="AR103" s="44">
        <f t="shared" si="3"/>
        <v>385</v>
      </c>
      <c r="AS103" s="44" t="str">
        <f t="shared" si="5"/>
        <v>D</v>
      </c>
      <c r="AT103" s="44" t="str">
        <f t="shared" si="17"/>
        <v>Df</v>
      </c>
      <c r="AU103" s="44" t="str">
        <f t="shared" si="2"/>
        <v>Dfb</v>
      </c>
      <c r="AV103" s="38"/>
      <c r="AW103" s="38"/>
      <c r="AX103" s="38"/>
      <c r="AY103" s="38" t="s">
        <v>92</v>
      </c>
      <c r="AZ103" s="29">
        <v>5000.0</v>
      </c>
      <c r="BA103" s="29">
        <v>1.0</v>
      </c>
      <c r="BB103" s="29"/>
      <c r="BC103" s="29"/>
      <c r="BD103" s="29" t="s">
        <v>88</v>
      </c>
      <c r="BE103" s="29"/>
      <c r="BF103" s="29" t="s">
        <v>424</v>
      </c>
      <c r="BG103" s="29" t="s">
        <v>220</v>
      </c>
      <c r="BH103" s="29" t="s">
        <v>88</v>
      </c>
      <c r="BI103" s="29" t="s">
        <v>425</v>
      </c>
      <c r="BJ103" s="29"/>
      <c r="BK103" s="29"/>
      <c r="BL103" s="29"/>
      <c r="BM103" s="45">
        <v>1.0</v>
      </c>
      <c r="BN103" s="45">
        <v>1.0</v>
      </c>
      <c r="BO103" s="45" t="s">
        <v>426</v>
      </c>
      <c r="BP103" s="2"/>
      <c r="BQ103" s="3"/>
    </row>
    <row r="104">
      <c r="A104" s="34">
        <v>102.0</v>
      </c>
      <c r="B104" s="34">
        <v>101358.0</v>
      </c>
      <c r="C104" s="34" t="s">
        <v>415</v>
      </c>
      <c r="D104" s="34" t="s">
        <v>475</v>
      </c>
      <c r="E104" s="34" t="s">
        <v>417</v>
      </c>
      <c r="F104" s="34">
        <v>2015.0</v>
      </c>
      <c r="G104" s="34" t="s">
        <v>418</v>
      </c>
      <c r="H104" s="34" t="s">
        <v>282</v>
      </c>
      <c r="I104" s="34" t="s">
        <v>419</v>
      </c>
      <c r="J104" s="35"/>
      <c r="K104" s="36">
        <v>0.29</v>
      </c>
      <c r="L104" s="36">
        <v>1.78</v>
      </c>
      <c r="M104" s="36"/>
      <c r="N104" s="36"/>
      <c r="O104" s="36"/>
      <c r="P104" s="52">
        <f t="shared" si="18"/>
        <v>16.29213483</v>
      </c>
      <c r="Q104" s="36" t="s">
        <v>96</v>
      </c>
      <c r="R104" s="36" t="s">
        <v>96</v>
      </c>
      <c r="S104" s="36">
        <v>5000.0</v>
      </c>
      <c r="T104" s="36" t="s">
        <v>233</v>
      </c>
      <c r="U104" s="36" t="s">
        <v>234</v>
      </c>
      <c r="V104" s="36">
        <v>34.0</v>
      </c>
      <c r="W104" s="36" t="s">
        <v>169</v>
      </c>
      <c r="X104" s="38">
        <v>1.0</v>
      </c>
      <c r="Y104" s="38" t="s">
        <v>476</v>
      </c>
      <c r="Z104" s="38" t="s">
        <v>477</v>
      </c>
      <c r="AA104" s="38" t="s">
        <v>197</v>
      </c>
      <c r="AB104" s="38">
        <v>43.728</v>
      </c>
      <c r="AC104" s="38">
        <v>10.284</v>
      </c>
      <c r="AD104" s="38" t="s">
        <v>237</v>
      </c>
      <c r="AE104" s="38"/>
      <c r="AF104" s="38" t="s">
        <v>478</v>
      </c>
      <c r="AG104" s="38" t="s">
        <v>175</v>
      </c>
      <c r="AH104" s="38"/>
      <c r="AI104" s="50">
        <v>43.728</v>
      </c>
      <c r="AJ104" s="50">
        <v>10.284</v>
      </c>
      <c r="AK104" s="41" t="s">
        <v>197</v>
      </c>
      <c r="AL104" s="40" t="s">
        <v>197</v>
      </c>
      <c r="AM104" s="49">
        <v>12.0</v>
      </c>
      <c r="AN104" s="51">
        <v>12.0</v>
      </c>
      <c r="AO104" s="42" t="s">
        <v>175</v>
      </c>
      <c r="AP104" s="43" t="s">
        <v>175</v>
      </c>
      <c r="AQ104" s="44" t="str">
        <f t="shared" si="1"/>
        <v>ENF</v>
      </c>
      <c r="AR104" s="44">
        <f t="shared" si="3"/>
        <v>12</v>
      </c>
      <c r="AS104" s="44" t="str">
        <f t="shared" si="5"/>
        <v>C</v>
      </c>
      <c r="AT104" s="44" t="str">
        <f t="shared" si="17"/>
        <v>Cs</v>
      </c>
      <c r="AU104" s="44" t="str">
        <f t="shared" si="2"/>
        <v>Csa</v>
      </c>
      <c r="AV104" s="38"/>
      <c r="AW104" s="38"/>
      <c r="AX104" s="38"/>
      <c r="AY104" s="38" t="s">
        <v>92</v>
      </c>
      <c r="AZ104" s="29">
        <v>5000.0</v>
      </c>
      <c r="BA104" s="29">
        <v>1.0</v>
      </c>
      <c r="BB104" s="29"/>
      <c r="BC104" s="29"/>
      <c r="BD104" s="29" t="s">
        <v>88</v>
      </c>
      <c r="BE104" s="29"/>
      <c r="BF104" s="29" t="s">
        <v>424</v>
      </c>
      <c r="BG104" s="29" t="s">
        <v>220</v>
      </c>
      <c r="BH104" s="29" t="s">
        <v>88</v>
      </c>
      <c r="BI104" s="29" t="s">
        <v>425</v>
      </c>
      <c r="BJ104" s="29"/>
      <c r="BK104" s="29"/>
      <c r="BL104" s="29"/>
      <c r="BM104" s="45">
        <v>1.0</v>
      </c>
      <c r="BN104" s="45">
        <v>1.0</v>
      </c>
      <c r="BO104" s="45" t="s">
        <v>426</v>
      </c>
      <c r="BP104" s="2"/>
      <c r="BQ104" s="3"/>
    </row>
    <row r="105">
      <c r="A105" s="34">
        <v>103.0</v>
      </c>
      <c r="B105" s="34">
        <v>101358.0</v>
      </c>
      <c r="C105" s="34" t="s">
        <v>415</v>
      </c>
      <c r="D105" s="34" t="s">
        <v>479</v>
      </c>
      <c r="E105" s="34" t="s">
        <v>417</v>
      </c>
      <c r="F105" s="34">
        <v>2015.0</v>
      </c>
      <c r="G105" s="34" t="s">
        <v>418</v>
      </c>
      <c r="H105" s="34" t="s">
        <v>282</v>
      </c>
      <c r="I105" s="34" t="s">
        <v>419</v>
      </c>
      <c r="J105" s="35"/>
      <c r="K105" s="36">
        <v>0.26</v>
      </c>
      <c r="L105" s="36">
        <v>1.03</v>
      </c>
      <c r="M105" s="36"/>
      <c r="N105" s="36"/>
      <c r="O105" s="36"/>
      <c r="P105" s="52">
        <f t="shared" si="18"/>
        <v>25.24271845</v>
      </c>
      <c r="Q105" s="36" t="s">
        <v>96</v>
      </c>
      <c r="R105" s="36" t="s">
        <v>96</v>
      </c>
      <c r="S105" s="36">
        <v>1000.0</v>
      </c>
      <c r="T105" s="36" t="s">
        <v>233</v>
      </c>
      <c r="U105" s="36" t="s">
        <v>234</v>
      </c>
      <c r="V105" s="36">
        <v>33.0</v>
      </c>
      <c r="W105" s="36" t="s">
        <v>169</v>
      </c>
      <c r="X105" s="38">
        <v>1.0</v>
      </c>
      <c r="Y105" s="38" t="s">
        <v>480</v>
      </c>
      <c r="Z105" s="38" t="s">
        <v>481</v>
      </c>
      <c r="AA105" s="38" t="s">
        <v>197</v>
      </c>
      <c r="AB105" s="38">
        <v>56.462</v>
      </c>
      <c r="AC105" s="38">
        <v>32.922</v>
      </c>
      <c r="AD105" s="38" t="s">
        <v>482</v>
      </c>
      <c r="AE105" s="38"/>
      <c r="AF105" s="38" t="s">
        <v>483</v>
      </c>
      <c r="AG105" s="38" t="s">
        <v>107</v>
      </c>
      <c r="AH105" s="38"/>
      <c r="AI105" s="50">
        <v>56.462</v>
      </c>
      <c r="AJ105" s="50">
        <v>32.922</v>
      </c>
      <c r="AK105" s="41" t="s">
        <v>452</v>
      </c>
      <c r="AL105" s="40" t="s">
        <v>452</v>
      </c>
      <c r="AM105" s="49">
        <v>275.0</v>
      </c>
      <c r="AN105" s="51">
        <v>275.0</v>
      </c>
      <c r="AO105" s="42" t="s">
        <v>372</v>
      </c>
      <c r="AP105" s="43" t="s">
        <v>107</v>
      </c>
      <c r="AQ105" s="44" t="str">
        <f t="shared" si="1"/>
        <v>ENF</v>
      </c>
      <c r="AR105" s="44">
        <f t="shared" si="3"/>
        <v>275</v>
      </c>
      <c r="AS105" s="44" t="str">
        <f t="shared" si="5"/>
        <v>D</v>
      </c>
      <c r="AT105" s="44" t="str">
        <f t="shared" si="17"/>
        <v>Df</v>
      </c>
      <c r="AU105" s="44" t="str">
        <f t="shared" si="2"/>
        <v>Dfb</v>
      </c>
      <c r="AV105" s="38"/>
      <c r="AW105" s="38"/>
      <c r="AX105" s="38"/>
      <c r="AY105" s="38" t="s">
        <v>92</v>
      </c>
      <c r="AZ105" s="29">
        <v>1000.0</v>
      </c>
      <c r="BA105" s="29">
        <v>1.0</v>
      </c>
      <c r="BB105" s="29"/>
      <c r="BC105" s="29"/>
      <c r="BD105" s="29" t="s">
        <v>88</v>
      </c>
      <c r="BE105" s="29"/>
      <c r="BF105" s="29" t="s">
        <v>424</v>
      </c>
      <c r="BG105" s="29" t="s">
        <v>220</v>
      </c>
      <c r="BH105" s="29" t="s">
        <v>88</v>
      </c>
      <c r="BI105" s="29" t="s">
        <v>425</v>
      </c>
      <c r="BJ105" s="29"/>
      <c r="BK105" s="29"/>
      <c r="BL105" s="29"/>
      <c r="BM105" s="45">
        <v>1.0</v>
      </c>
      <c r="BN105" s="45">
        <v>1.0</v>
      </c>
      <c r="BO105" s="45" t="s">
        <v>426</v>
      </c>
      <c r="BP105" s="2"/>
      <c r="BQ105" s="3"/>
    </row>
    <row r="106">
      <c r="A106" s="34">
        <v>104.0</v>
      </c>
      <c r="B106" s="34">
        <v>101358.0</v>
      </c>
      <c r="C106" s="34" t="s">
        <v>415</v>
      </c>
      <c r="D106" s="34" t="s">
        <v>416</v>
      </c>
      <c r="E106" s="34" t="s">
        <v>417</v>
      </c>
      <c r="F106" s="34">
        <v>2015.0</v>
      </c>
      <c r="G106" s="34" t="s">
        <v>418</v>
      </c>
      <c r="H106" s="34" t="s">
        <v>282</v>
      </c>
      <c r="I106" s="34" t="s">
        <v>419</v>
      </c>
      <c r="J106" s="35"/>
      <c r="K106" s="36">
        <v>-0.1</v>
      </c>
      <c r="L106" s="36">
        <v>1.96</v>
      </c>
      <c r="M106" s="36"/>
      <c r="N106" s="36"/>
      <c r="O106" s="36"/>
      <c r="P106" s="52">
        <f t="shared" si="18"/>
        <v>-5.102040816</v>
      </c>
      <c r="Q106" s="36" t="s">
        <v>96</v>
      </c>
      <c r="R106" s="36" t="s">
        <v>209</v>
      </c>
      <c r="S106" s="36">
        <v>1000.0</v>
      </c>
      <c r="T106" s="36" t="s">
        <v>233</v>
      </c>
      <c r="U106" s="36" t="s">
        <v>234</v>
      </c>
      <c r="V106" s="36">
        <v>36.0</v>
      </c>
      <c r="W106" s="36" t="s">
        <v>169</v>
      </c>
      <c r="X106" s="38">
        <v>1.0</v>
      </c>
      <c r="Y106" s="38" t="s">
        <v>420</v>
      </c>
      <c r="Z106" s="38" t="s">
        <v>421</v>
      </c>
      <c r="AA106" s="38" t="s">
        <v>86</v>
      </c>
      <c r="AB106" s="38">
        <v>47.286</v>
      </c>
      <c r="AC106" s="38">
        <v>7.734</v>
      </c>
      <c r="AD106" s="38" t="s">
        <v>484</v>
      </c>
      <c r="AE106" s="53"/>
      <c r="AF106" s="38" t="s">
        <v>423</v>
      </c>
      <c r="AG106" s="38"/>
      <c r="AH106" s="38"/>
      <c r="AI106" s="50">
        <v>47.2863</v>
      </c>
      <c r="AJ106" s="50">
        <v>7.7343</v>
      </c>
      <c r="AK106" s="41" t="s">
        <v>86</v>
      </c>
      <c r="AL106" s="40" t="s">
        <v>86</v>
      </c>
      <c r="AM106" s="49">
        <v>451.0</v>
      </c>
      <c r="AN106" s="51">
        <v>451.0</v>
      </c>
      <c r="AO106" s="42" t="s">
        <v>376</v>
      </c>
      <c r="AP106" s="43" t="s">
        <v>376</v>
      </c>
      <c r="AQ106" s="44" t="str">
        <f t="shared" si="1"/>
        <v>CRO</v>
      </c>
      <c r="AR106" s="44">
        <f t="shared" si="3"/>
        <v>451</v>
      </c>
      <c r="AS106" s="44" t="str">
        <f t="shared" si="5"/>
        <v>C</v>
      </c>
      <c r="AT106" s="44" t="str">
        <f t="shared" si="17"/>
        <v>Cf</v>
      </c>
      <c r="AU106" s="44" t="str">
        <f t="shared" si="2"/>
        <v>Cfb</v>
      </c>
      <c r="AV106" s="38"/>
      <c r="AW106" s="38"/>
      <c r="AX106" s="38"/>
      <c r="AY106" s="38" t="s">
        <v>92</v>
      </c>
      <c r="AZ106" s="29">
        <v>1000.0</v>
      </c>
      <c r="BA106" s="29">
        <v>1.0</v>
      </c>
      <c r="BB106" s="29"/>
      <c r="BC106" s="29"/>
      <c r="BD106" s="29" t="s">
        <v>88</v>
      </c>
      <c r="BE106" s="29"/>
      <c r="BF106" s="29" t="s">
        <v>219</v>
      </c>
      <c r="BG106" s="29" t="s">
        <v>220</v>
      </c>
      <c r="BH106" s="29" t="s">
        <v>88</v>
      </c>
      <c r="BI106" s="29" t="s">
        <v>485</v>
      </c>
      <c r="BJ106" s="29"/>
      <c r="BK106" s="29"/>
      <c r="BL106" s="29"/>
      <c r="BM106" s="45">
        <v>1.0</v>
      </c>
      <c r="BN106" s="45">
        <v>1.0</v>
      </c>
      <c r="BO106" s="45" t="s">
        <v>426</v>
      </c>
      <c r="BP106" s="2"/>
      <c r="BQ106" s="3"/>
    </row>
    <row r="107">
      <c r="A107" s="34">
        <v>105.0</v>
      </c>
      <c r="B107" s="34">
        <v>101358.0</v>
      </c>
      <c r="C107" s="34" t="s">
        <v>415</v>
      </c>
      <c r="D107" s="34" t="s">
        <v>427</v>
      </c>
      <c r="E107" s="34" t="s">
        <v>417</v>
      </c>
      <c r="F107" s="34">
        <v>2015.0</v>
      </c>
      <c r="G107" s="34" t="s">
        <v>418</v>
      </c>
      <c r="H107" s="34" t="s">
        <v>282</v>
      </c>
      <c r="I107" s="34" t="s">
        <v>419</v>
      </c>
      <c r="J107" s="35"/>
      <c r="K107" s="36">
        <v>0.27</v>
      </c>
      <c r="L107" s="36">
        <v>1.11</v>
      </c>
      <c r="M107" s="36"/>
      <c r="N107" s="36"/>
      <c r="O107" s="36"/>
      <c r="P107" s="52">
        <f t="shared" si="18"/>
        <v>24.32432432</v>
      </c>
      <c r="Q107" s="36" t="s">
        <v>96</v>
      </c>
      <c r="R107" s="36" t="s">
        <v>209</v>
      </c>
      <c r="S107" s="36">
        <v>1000.0</v>
      </c>
      <c r="T107" s="36" t="s">
        <v>233</v>
      </c>
      <c r="U107" s="36" t="s">
        <v>234</v>
      </c>
      <c r="V107" s="36">
        <v>35.0</v>
      </c>
      <c r="W107" s="36" t="s">
        <v>169</v>
      </c>
      <c r="X107" s="38">
        <v>1.0</v>
      </c>
      <c r="Y107" s="38" t="s">
        <v>428</v>
      </c>
      <c r="Z107" s="38" t="s">
        <v>429</v>
      </c>
      <c r="AA107" s="38" t="s">
        <v>86</v>
      </c>
      <c r="AB107" s="38">
        <v>50.893</v>
      </c>
      <c r="AC107" s="38">
        <v>13.523</v>
      </c>
      <c r="AD107" s="38" t="s">
        <v>375</v>
      </c>
      <c r="AE107" s="53"/>
      <c r="AF107" s="38" t="s">
        <v>430</v>
      </c>
      <c r="AG107" s="38"/>
      <c r="AH107" s="38"/>
      <c r="AI107" s="50">
        <v>50.8929</v>
      </c>
      <c r="AJ107" s="50">
        <v>13.5225</v>
      </c>
      <c r="AK107" s="41" t="s">
        <v>86</v>
      </c>
      <c r="AL107" s="40" t="s">
        <v>86</v>
      </c>
      <c r="AM107" s="49">
        <v>479.0</v>
      </c>
      <c r="AN107" s="51">
        <v>479.0</v>
      </c>
      <c r="AO107" s="42" t="s">
        <v>372</v>
      </c>
      <c r="AP107" s="43" t="s">
        <v>107</v>
      </c>
      <c r="AQ107" s="44" t="str">
        <f t="shared" si="1"/>
        <v>CRO</v>
      </c>
      <c r="AR107" s="44">
        <f t="shared" si="3"/>
        <v>479</v>
      </c>
      <c r="AS107" s="44" t="str">
        <f t="shared" si="5"/>
        <v>D</v>
      </c>
      <c r="AT107" s="44" t="str">
        <f t="shared" si="17"/>
        <v>Df</v>
      </c>
      <c r="AU107" s="44" t="str">
        <f t="shared" si="2"/>
        <v>Dfb</v>
      </c>
      <c r="AV107" s="38"/>
      <c r="AW107" s="38"/>
      <c r="AX107" s="38"/>
      <c r="AY107" s="38" t="s">
        <v>92</v>
      </c>
      <c r="AZ107" s="29">
        <v>1000.0</v>
      </c>
      <c r="BA107" s="29">
        <v>1.0</v>
      </c>
      <c r="BB107" s="29"/>
      <c r="BC107" s="29"/>
      <c r="BD107" s="29" t="s">
        <v>88</v>
      </c>
      <c r="BE107" s="29"/>
      <c r="BF107" s="29" t="s">
        <v>219</v>
      </c>
      <c r="BG107" s="29" t="s">
        <v>220</v>
      </c>
      <c r="BH107" s="29" t="s">
        <v>88</v>
      </c>
      <c r="BI107" s="29" t="s">
        <v>485</v>
      </c>
      <c r="BJ107" s="29"/>
      <c r="BK107" s="29"/>
      <c r="BL107" s="29"/>
      <c r="BM107" s="45"/>
      <c r="BN107" s="45"/>
      <c r="BO107" s="45" t="s">
        <v>426</v>
      </c>
      <c r="BP107" s="2"/>
      <c r="BQ107" s="3"/>
    </row>
    <row r="108">
      <c r="A108" s="34">
        <v>106.0</v>
      </c>
      <c r="B108" s="34">
        <v>101358.0</v>
      </c>
      <c r="C108" s="34" t="s">
        <v>415</v>
      </c>
      <c r="D108" s="34" t="s">
        <v>431</v>
      </c>
      <c r="E108" s="34" t="s">
        <v>417</v>
      </c>
      <c r="F108" s="34">
        <v>2015.0</v>
      </c>
      <c r="G108" s="34" t="s">
        <v>418</v>
      </c>
      <c r="H108" s="34" t="s">
        <v>282</v>
      </c>
      <c r="I108" s="34" t="s">
        <v>419</v>
      </c>
      <c r="J108" s="35"/>
      <c r="K108" s="36">
        <v>0.03</v>
      </c>
      <c r="L108" s="36">
        <v>1.55</v>
      </c>
      <c r="M108" s="36"/>
      <c r="N108" s="36"/>
      <c r="O108" s="36"/>
      <c r="P108" s="52">
        <f t="shared" si="18"/>
        <v>1.935483871</v>
      </c>
      <c r="Q108" s="36" t="s">
        <v>96</v>
      </c>
      <c r="R108" s="36" t="s">
        <v>209</v>
      </c>
      <c r="S108" s="36">
        <v>1000.0</v>
      </c>
      <c r="T108" s="36" t="s">
        <v>233</v>
      </c>
      <c r="U108" s="36" t="s">
        <v>234</v>
      </c>
      <c r="V108" s="36">
        <v>36.0</v>
      </c>
      <c r="W108" s="36" t="s">
        <v>169</v>
      </c>
      <c r="X108" s="38">
        <v>1.0</v>
      </c>
      <c r="Y108" s="38" t="s">
        <v>432</v>
      </c>
      <c r="Z108" s="38" t="s">
        <v>433</v>
      </c>
      <c r="AA108" s="38" t="s">
        <v>288</v>
      </c>
      <c r="AB108" s="38">
        <v>46.015</v>
      </c>
      <c r="AC108" s="38">
        <v>11.046</v>
      </c>
      <c r="AD108" s="38" t="s">
        <v>237</v>
      </c>
      <c r="AE108" s="38"/>
      <c r="AF108" s="38" t="s">
        <v>434</v>
      </c>
      <c r="AG108" s="38" t="s">
        <v>376</v>
      </c>
      <c r="AH108" s="38"/>
      <c r="AI108" s="50">
        <v>46.015</v>
      </c>
      <c r="AJ108" s="50">
        <v>11.046</v>
      </c>
      <c r="AK108" s="41" t="s">
        <v>362</v>
      </c>
      <c r="AL108" s="40" t="s">
        <v>362</v>
      </c>
      <c r="AM108" s="49">
        <v>1561.0</v>
      </c>
      <c r="AN108" s="51">
        <v>1561.0</v>
      </c>
      <c r="AO108" s="42" t="s">
        <v>372</v>
      </c>
      <c r="AP108" s="43" t="s">
        <v>107</v>
      </c>
      <c r="AQ108" s="44" t="str">
        <f t="shared" si="1"/>
        <v>GRA</v>
      </c>
      <c r="AR108" s="44">
        <f t="shared" si="3"/>
        <v>1561</v>
      </c>
      <c r="AS108" s="44" t="str">
        <f t="shared" si="5"/>
        <v>D</v>
      </c>
      <c r="AT108" s="44" t="str">
        <f t="shared" si="17"/>
        <v>Df</v>
      </c>
      <c r="AU108" s="44" t="str">
        <f t="shared" si="2"/>
        <v>Dfb</v>
      </c>
      <c r="AV108" s="38"/>
      <c r="AW108" s="38"/>
      <c r="AX108" s="38"/>
      <c r="AY108" s="38" t="s">
        <v>92</v>
      </c>
      <c r="AZ108" s="29">
        <v>1000.0</v>
      </c>
      <c r="BA108" s="29">
        <v>1.0</v>
      </c>
      <c r="BB108" s="29"/>
      <c r="BC108" s="29"/>
      <c r="BD108" s="29" t="s">
        <v>88</v>
      </c>
      <c r="BE108" s="29"/>
      <c r="BF108" s="29" t="s">
        <v>219</v>
      </c>
      <c r="BG108" s="29" t="s">
        <v>220</v>
      </c>
      <c r="BH108" s="29" t="s">
        <v>88</v>
      </c>
      <c r="BI108" s="29" t="s">
        <v>485</v>
      </c>
      <c r="BJ108" s="29"/>
      <c r="BK108" s="29"/>
      <c r="BL108" s="29"/>
      <c r="BM108" s="45">
        <v>1.0</v>
      </c>
      <c r="BN108" s="45">
        <v>1.0</v>
      </c>
      <c r="BO108" s="45" t="s">
        <v>426</v>
      </c>
      <c r="BP108" s="2"/>
      <c r="BQ108" s="3"/>
    </row>
    <row r="109">
      <c r="A109" s="34">
        <v>107.0</v>
      </c>
      <c r="B109" s="34">
        <v>101358.0</v>
      </c>
      <c r="C109" s="34" t="s">
        <v>415</v>
      </c>
      <c r="D109" s="34" t="s">
        <v>435</v>
      </c>
      <c r="E109" s="34" t="s">
        <v>417</v>
      </c>
      <c r="F109" s="34">
        <v>2015.0</v>
      </c>
      <c r="G109" s="34" t="s">
        <v>418</v>
      </c>
      <c r="H109" s="34" t="s">
        <v>282</v>
      </c>
      <c r="I109" s="34" t="s">
        <v>419</v>
      </c>
      <c r="J109" s="35"/>
      <c r="K109" s="36">
        <v>0.04</v>
      </c>
      <c r="L109" s="36">
        <v>1.39</v>
      </c>
      <c r="M109" s="36"/>
      <c r="N109" s="36"/>
      <c r="O109" s="36"/>
      <c r="P109" s="52">
        <f t="shared" si="18"/>
        <v>2.877697842</v>
      </c>
      <c r="Q109" s="36" t="s">
        <v>96</v>
      </c>
      <c r="R109" s="36" t="s">
        <v>209</v>
      </c>
      <c r="S109" s="36">
        <v>1000.0</v>
      </c>
      <c r="T109" s="36" t="s">
        <v>233</v>
      </c>
      <c r="U109" s="36" t="s">
        <v>234</v>
      </c>
      <c r="V109" s="36">
        <v>31.0</v>
      </c>
      <c r="W109" s="36" t="s">
        <v>169</v>
      </c>
      <c r="X109" s="38">
        <v>1.0</v>
      </c>
      <c r="Y109" s="38" t="s">
        <v>436</v>
      </c>
      <c r="Z109" s="38" t="s">
        <v>384</v>
      </c>
      <c r="AA109" s="38" t="s">
        <v>288</v>
      </c>
      <c r="AB109" s="38">
        <v>51.971</v>
      </c>
      <c r="AC109" s="38">
        <v>4.927</v>
      </c>
      <c r="AD109" s="38" t="s">
        <v>385</v>
      </c>
      <c r="AE109" s="38"/>
      <c r="AF109" s="38" t="s">
        <v>434</v>
      </c>
      <c r="AG109" s="38" t="s">
        <v>376</v>
      </c>
      <c r="AH109" s="38"/>
      <c r="AI109" s="50">
        <v>51.971</v>
      </c>
      <c r="AJ109" s="50">
        <v>4.927</v>
      </c>
      <c r="AK109" s="41" t="s">
        <v>313</v>
      </c>
      <c r="AL109" s="40" t="s">
        <v>313</v>
      </c>
      <c r="AM109" s="49">
        <v>-1.0</v>
      </c>
      <c r="AN109" s="51">
        <v>-1.0</v>
      </c>
      <c r="AO109" s="42" t="s">
        <v>376</v>
      </c>
      <c r="AP109" s="43" t="s">
        <v>376</v>
      </c>
      <c r="AQ109" s="44" t="str">
        <f t="shared" si="1"/>
        <v>GRA</v>
      </c>
      <c r="AR109" s="44">
        <f t="shared" si="3"/>
        <v>-1</v>
      </c>
      <c r="AS109" s="44" t="str">
        <f t="shared" si="5"/>
        <v>C</v>
      </c>
      <c r="AT109" s="44" t="str">
        <f t="shared" si="17"/>
        <v>Cf</v>
      </c>
      <c r="AU109" s="44" t="str">
        <f t="shared" si="2"/>
        <v>Cfb</v>
      </c>
      <c r="AV109" s="38"/>
      <c r="AW109" s="38"/>
      <c r="AX109" s="38"/>
      <c r="AY109" s="38" t="s">
        <v>92</v>
      </c>
      <c r="AZ109" s="29">
        <v>1000.0</v>
      </c>
      <c r="BA109" s="29">
        <v>1.0</v>
      </c>
      <c r="BB109" s="29"/>
      <c r="BC109" s="29"/>
      <c r="BD109" s="29" t="s">
        <v>88</v>
      </c>
      <c r="BE109" s="29"/>
      <c r="BF109" s="29" t="s">
        <v>219</v>
      </c>
      <c r="BG109" s="29" t="s">
        <v>220</v>
      </c>
      <c r="BH109" s="29" t="s">
        <v>88</v>
      </c>
      <c r="BI109" s="29" t="s">
        <v>485</v>
      </c>
      <c r="BJ109" s="29"/>
      <c r="BK109" s="29"/>
      <c r="BL109" s="29"/>
      <c r="BM109" s="45">
        <v>1.0</v>
      </c>
      <c r="BN109" s="45">
        <v>1.0</v>
      </c>
      <c r="BO109" s="45" t="s">
        <v>426</v>
      </c>
      <c r="BP109" s="2"/>
      <c r="BQ109" s="3"/>
    </row>
    <row r="110">
      <c r="A110" s="34">
        <v>108.0</v>
      </c>
      <c r="B110" s="34">
        <v>101358.0</v>
      </c>
      <c r="C110" s="34" t="s">
        <v>415</v>
      </c>
      <c r="D110" s="34" t="s">
        <v>437</v>
      </c>
      <c r="E110" s="34" t="s">
        <v>417</v>
      </c>
      <c r="F110" s="34">
        <v>2015.0</v>
      </c>
      <c r="G110" s="34" t="s">
        <v>418</v>
      </c>
      <c r="H110" s="34" t="s">
        <v>282</v>
      </c>
      <c r="I110" s="34" t="s">
        <v>419</v>
      </c>
      <c r="J110" s="35"/>
      <c r="K110" s="36">
        <v>-0.4</v>
      </c>
      <c r="L110" s="36">
        <v>0.66</v>
      </c>
      <c r="M110" s="36"/>
      <c r="N110" s="36"/>
      <c r="O110" s="36"/>
      <c r="P110" s="52">
        <f t="shared" si="18"/>
        <v>-60.60606061</v>
      </c>
      <c r="Q110" s="36" t="s">
        <v>96</v>
      </c>
      <c r="R110" s="36" t="s">
        <v>209</v>
      </c>
      <c r="S110" s="36">
        <v>1000.0</v>
      </c>
      <c r="T110" s="36" t="s">
        <v>233</v>
      </c>
      <c r="U110" s="36" t="s">
        <v>234</v>
      </c>
      <c r="V110" s="36">
        <v>36.0</v>
      </c>
      <c r="W110" s="36" t="s">
        <v>169</v>
      </c>
      <c r="X110" s="38">
        <v>1.0</v>
      </c>
      <c r="Y110" s="38" t="s">
        <v>438</v>
      </c>
      <c r="Z110" s="38" t="s">
        <v>439</v>
      </c>
      <c r="AA110" s="38" t="s">
        <v>292</v>
      </c>
      <c r="AB110" s="38">
        <v>36.835</v>
      </c>
      <c r="AC110" s="38">
        <v>-2.251</v>
      </c>
      <c r="AD110" s="38" t="s">
        <v>349</v>
      </c>
      <c r="AE110" s="53"/>
      <c r="AF110" s="38" t="s">
        <v>440</v>
      </c>
      <c r="AG110" s="38"/>
      <c r="AH110" s="38"/>
      <c r="AI110" s="50">
        <v>36.835</v>
      </c>
      <c r="AJ110" s="50">
        <v>-2.251</v>
      </c>
      <c r="AK110" s="41" t="s">
        <v>292</v>
      </c>
      <c r="AL110" s="40" t="s">
        <v>292</v>
      </c>
      <c r="AM110" s="49">
        <v>56.0</v>
      </c>
      <c r="AN110" s="51">
        <v>56.0</v>
      </c>
      <c r="AO110" s="42" t="s">
        <v>355</v>
      </c>
      <c r="AP110" s="43" t="s">
        <v>355</v>
      </c>
      <c r="AQ110" s="44" t="str">
        <f t="shared" si="1"/>
        <v>OSH</v>
      </c>
      <c r="AR110" s="44">
        <f t="shared" si="3"/>
        <v>56</v>
      </c>
      <c r="AS110" s="44" t="str">
        <f t="shared" si="5"/>
        <v>B</v>
      </c>
      <c r="AT110" s="44" t="str">
        <f t="shared" si="17"/>
        <v>BW</v>
      </c>
      <c r="AU110" s="44" t="str">
        <f t="shared" si="2"/>
        <v>BWh</v>
      </c>
      <c r="AV110" s="38"/>
      <c r="AW110" s="38"/>
      <c r="AX110" s="38"/>
      <c r="AY110" s="38" t="s">
        <v>92</v>
      </c>
      <c r="AZ110" s="29">
        <v>1000.0</v>
      </c>
      <c r="BA110" s="29">
        <v>1.0</v>
      </c>
      <c r="BB110" s="29"/>
      <c r="BC110" s="29"/>
      <c r="BD110" s="29" t="s">
        <v>88</v>
      </c>
      <c r="BE110" s="29"/>
      <c r="BF110" s="29" t="s">
        <v>219</v>
      </c>
      <c r="BG110" s="29" t="s">
        <v>220</v>
      </c>
      <c r="BH110" s="29" t="s">
        <v>88</v>
      </c>
      <c r="BI110" s="29" t="s">
        <v>485</v>
      </c>
      <c r="BJ110" s="29"/>
      <c r="BK110" s="29"/>
      <c r="BL110" s="29"/>
      <c r="BM110" s="45">
        <v>1.0</v>
      </c>
      <c r="BN110" s="45">
        <v>1.0</v>
      </c>
      <c r="BO110" s="45" t="s">
        <v>426</v>
      </c>
      <c r="BP110" s="2"/>
      <c r="BQ110" s="3"/>
    </row>
    <row r="111">
      <c r="A111" s="34">
        <v>109.0</v>
      </c>
      <c r="B111" s="34">
        <v>101358.0</v>
      </c>
      <c r="C111" s="34" t="s">
        <v>415</v>
      </c>
      <c r="D111" s="34" t="s">
        <v>441</v>
      </c>
      <c r="E111" s="34" t="s">
        <v>417</v>
      </c>
      <c r="F111" s="34">
        <v>2015.0</v>
      </c>
      <c r="G111" s="34" t="s">
        <v>418</v>
      </c>
      <c r="H111" s="34" t="s">
        <v>282</v>
      </c>
      <c r="I111" s="34" t="s">
        <v>419</v>
      </c>
      <c r="J111" s="35"/>
      <c r="K111" s="36">
        <v>-0.04</v>
      </c>
      <c r="L111" s="36">
        <v>0.84</v>
      </c>
      <c r="M111" s="36"/>
      <c r="N111" s="36"/>
      <c r="O111" s="36"/>
      <c r="P111" s="52">
        <f t="shared" si="18"/>
        <v>-4.761904762</v>
      </c>
      <c r="Q111" s="36" t="s">
        <v>96</v>
      </c>
      <c r="R111" s="36" t="s">
        <v>209</v>
      </c>
      <c r="S111" s="36">
        <v>1000.0</v>
      </c>
      <c r="T111" s="36" t="s">
        <v>233</v>
      </c>
      <c r="U111" s="36" t="s">
        <v>234</v>
      </c>
      <c r="V111" s="36">
        <v>36.0</v>
      </c>
      <c r="W111" s="36" t="s">
        <v>169</v>
      </c>
      <c r="X111" s="38">
        <v>1.0</v>
      </c>
      <c r="Y111" s="38" t="s">
        <v>442</v>
      </c>
      <c r="Z111" s="38" t="s">
        <v>443</v>
      </c>
      <c r="AA111" s="38" t="s">
        <v>292</v>
      </c>
      <c r="AB111" s="38">
        <v>36.927</v>
      </c>
      <c r="AC111" s="38">
        <v>-2.752</v>
      </c>
      <c r="AD111" s="38" t="s">
        <v>349</v>
      </c>
      <c r="AE111" s="53"/>
      <c r="AF111" s="38" t="s">
        <v>444</v>
      </c>
      <c r="AG111" s="38"/>
      <c r="AH111" s="38"/>
      <c r="AI111" s="50">
        <v>36.927</v>
      </c>
      <c r="AJ111" s="50">
        <v>-2.752</v>
      </c>
      <c r="AK111" s="41" t="s">
        <v>292</v>
      </c>
      <c r="AL111" s="40" t="s">
        <v>292</v>
      </c>
      <c r="AM111" s="49">
        <v>1612.0</v>
      </c>
      <c r="AN111" s="51">
        <v>1612.0</v>
      </c>
      <c r="AO111" s="42" t="s">
        <v>445</v>
      </c>
      <c r="AP111" s="43" t="s">
        <v>175</v>
      </c>
      <c r="AQ111" s="44" t="str">
        <f t="shared" si="1"/>
        <v>OSH</v>
      </c>
      <c r="AR111" s="44">
        <f t="shared" si="3"/>
        <v>1612</v>
      </c>
      <c r="AS111" s="44" t="str">
        <f t="shared" si="5"/>
        <v>C</v>
      </c>
      <c r="AT111" s="44" t="str">
        <f t="shared" si="17"/>
        <v>Cs</v>
      </c>
      <c r="AU111" s="44" t="str">
        <f t="shared" si="2"/>
        <v>Csa</v>
      </c>
      <c r="AV111" s="38"/>
      <c r="AW111" s="38"/>
      <c r="AX111" s="38"/>
      <c r="AY111" s="38" t="s">
        <v>92</v>
      </c>
      <c r="AZ111" s="29">
        <v>1000.0</v>
      </c>
      <c r="BA111" s="29">
        <v>1.0</v>
      </c>
      <c r="BB111" s="29"/>
      <c r="BC111" s="29"/>
      <c r="BD111" s="29" t="s">
        <v>88</v>
      </c>
      <c r="BE111" s="29"/>
      <c r="BF111" s="29" t="s">
        <v>219</v>
      </c>
      <c r="BG111" s="29" t="s">
        <v>220</v>
      </c>
      <c r="BH111" s="29" t="s">
        <v>88</v>
      </c>
      <c r="BI111" s="29" t="s">
        <v>485</v>
      </c>
      <c r="BJ111" s="29"/>
      <c r="BK111" s="29"/>
      <c r="BL111" s="29"/>
      <c r="BM111" s="45">
        <v>1.0</v>
      </c>
      <c r="BN111" s="45">
        <v>1.0</v>
      </c>
      <c r="BO111" s="45" t="s">
        <v>426</v>
      </c>
      <c r="BP111" s="2"/>
      <c r="BQ111" s="3"/>
    </row>
    <row r="112">
      <c r="A112" s="34">
        <v>110.0</v>
      </c>
      <c r="B112" s="34">
        <v>101358.0</v>
      </c>
      <c r="C112" s="34" t="s">
        <v>415</v>
      </c>
      <c r="D112" s="34" t="s">
        <v>446</v>
      </c>
      <c r="E112" s="34" t="s">
        <v>417</v>
      </c>
      <c r="F112" s="34">
        <v>2015.0</v>
      </c>
      <c r="G112" s="34" t="s">
        <v>418</v>
      </c>
      <c r="H112" s="34" t="s">
        <v>282</v>
      </c>
      <c r="I112" s="34" t="s">
        <v>419</v>
      </c>
      <c r="J112" s="35"/>
      <c r="K112" s="36">
        <v>-0.45</v>
      </c>
      <c r="L112" s="36">
        <v>2.19</v>
      </c>
      <c r="M112" s="36"/>
      <c r="N112" s="36"/>
      <c r="O112" s="36"/>
      <c r="P112" s="52">
        <f t="shared" si="18"/>
        <v>-20.54794521</v>
      </c>
      <c r="Q112" s="36" t="s">
        <v>96</v>
      </c>
      <c r="R112" s="36" t="s">
        <v>209</v>
      </c>
      <c r="S112" s="36">
        <v>1000.0</v>
      </c>
      <c r="T112" s="36" t="s">
        <v>233</v>
      </c>
      <c r="U112" s="36" t="s">
        <v>234</v>
      </c>
      <c r="V112" s="36">
        <v>33.0</v>
      </c>
      <c r="W112" s="36" t="s">
        <v>169</v>
      </c>
      <c r="X112" s="38">
        <v>1.0</v>
      </c>
      <c r="Y112" s="38" t="s">
        <v>447</v>
      </c>
      <c r="Z112" s="38" t="s">
        <v>347</v>
      </c>
      <c r="AA112" s="38" t="s">
        <v>313</v>
      </c>
      <c r="AB112" s="38">
        <v>39.942</v>
      </c>
      <c r="AC112" s="38">
        <v>-5.773</v>
      </c>
      <c r="AD112" s="38" t="s">
        <v>349</v>
      </c>
      <c r="AE112" s="53"/>
      <c r="AF112" s="38" t="s">
        <v>448</v>
      </c>
      <c r="AG112" s="38"/>
      <c r="AH112" s="38"/>
      <c r="AI112" s="50">
        <v>39.942</v>
      </c>
      <c r="AJ112" s="50">
        <v>-5.773</v>
      </c>
      <c r="AK112" s="41" t="s">
        <v>313</v>
      </c>
      <c r="AL112" s="40" t="s">
        <v>86</v>
      </c>
      <c r="AM112" s="49">
        <v>267.0</v>
      </c>
      <c r="AN112" s="51">
        <v>267.0</v>
      </c>
      <c r="AO112" s="42" t="s">
        <v>175</v>
      </c>
      <c r="AP112" s="43" t="s">
        <v>175</v>
      </c>
      <c r="AQ112" s="44" t="str">
        <f t="shared" si="1"/>
        <v>SAV</v>
      </c>
      <c r="AR112" s="44">
        <f t="shared" si="3"/>
        <v>267</v>
      </c>
      <c r="AS112" s="44" t="str">
        <f t="shared" si="5"/>
        <v>C</v>
      </c>
      <c r="AT112" s="44" t="str">
        <f t="shared" si="17"/>
        <v>Cs</v>
      </c>
      <c r="AU112" s="44" t="str">
        <f t="shared" si="2"/>
        <v>Csa</v>
      </c>
      <c r="AV112" s="38"/>
      <c r="AW112" s="38"/>
      <c r="AX112" s="38"/>
      <c r="AY112" s="38" t="s">
        <v>92</v>
      </c>
      <c r="AZ112" s="29">
        <v>1000.0</v>
      </c>
      <c r="BA112" s="29">
        <v>1.0</v>
      </c>
      <c r="BB112" s="29"/>
      <c r="BC112" s="29"/>
      <c r="BD112" s="29" t="s">
        <v>88</v>
      </c>
      <c r="BE112" s="29"/>
      <c r="BF112" s="29" t="s">
        <v>219</v>
      </c>
      <c r="BG112" s="29" t="s">
        <v>220</v>
      </c>
      <c r="BH112" s="29" t="s">
        <v>88</v>
      </c>
      <c r="BI112" s="29" t="s">
        <v>485</v>
      </c>
      <c r="BJ112" s="29"/>
      <c r="BK112" s="29"/>
      <c r="BL112" s="29"/>
      <c r="BM112" s="45">
        <v>1.0</v>
      </c>
      <c r="BN112" s="45">
        <v>1.0</v>
      </c>
      <c r="BO112" s="45" t="s">
        <v>426</v>
      </c>
      <c r="BP112" s="2"/>
      <c r="BQ112" s="3"/>
    </row>
    <row r="113">
      <c r="A113" s="34">
        <v>111.0</v>
      </c>
      <c r="B113" s="34">
        <v>101358.0</v>
      </c>
      <c r="C113" s="34" t="s">
        <v>415</v>
      </c>
      <c r="D113" s="34" t="s">
        <v>449</v>
      </c>
      <c r="E113" s="34" t="s">
        <v>417</v>
      </c>
      <c r="F113" s="34">
        <v>2015.0</v>
      </c>
      <c r="G113" s="34" t="s">
        <v>418</v>
      </c>
      <c r="H113" s="34" t="s">
        <v>282</v>
      </c>
      <c r="I113" s="34" t="s">
        <v>419</v>
      </c>
      <c r="J113" s="35"/>
      <c r="K113" s="36">
        <v>0.23</v>
      </c>
      <c r="L113" s="36">
        <v>0.93</v>
      </c>
      <c r="M113" s="36"/>
      <c r="N113" s="36"/>
      <c r="O113" s="36"/>
      <c r="P113" s="52">
        <f t="shared" si="18"/>
        <v>24.7311828</v>
      </c>
      <c r="Q113" s="36" t="s">
        <v>96</v>
      </c>
      <c r="R113" s="36" t="s">
        <v>209</v>
      </c>
      <c r="S113" s="36">
        <v>1000.0</v>
      </c>
      <c r="T113" s="36" t="s">
        <v>233</v>
      </c>
      <c r="U113" s="36" t="s">
        <v>234</v>
      </c>
      <c r="V113" s="36">
        <v>36.0</v>
      </c>
      <c r="W113" s="36" t="s">
        <v>169</v>
      </c>
      <c r="X113" s="38">
        <v>1.0</v>
      </c>
      <c r="Y113" s="38" t="s">
        <v>450</v>
      </c>
      <c r="Z113" s="38" t="s">
        <v>451</v>
      </c>
      <c r="AA113" s="38" t="s">
        <v>452</v>
      </c>
      <c r="AB113" s="38">
        <v>51.309</v>
      </c>
      <c r="AC113" s="38">
        <v>4.521</v>
      </c>
      <c r="AD113" s="38" t="s">
        <v>453</v>
      </c>
      <c r="AE113" s="38"/>
      <c r="AF113" s="38" t="s">
        <v>454</v>
      </c>
      <c r="AG113" s="38" t="s">
        <v>376</v>
      </c>
      <c r="AH113" s="38"/>
      <c r="AI113" s="50">
        <v>51.309</v>
      </c>
      <c r="AJ113" s="50">
        <v>4.521</v>
      </c>
      <c r="AK113" s="41" t="s">
        <v>452</v>
      </c>
      <c r="AL113" s="40" t="s">
        <v>452</v>
      </c>
      <c r="AM113" s="49">
        <v>22.0</v>
      </c>
      <c r="AN113" s="51">
        <v>22.0</v>
      </c>
      <c r="AO113" s="42" t="s">
        <v>376</v>
      </c>
      <c r="AP113" s="43" t="s">
        <v>376</v>
      </c>
      <c r="AQ113" s="44" t="str">
        <f t="shared" si="1"/>
        <v>MF</v>
      </c>
      <c r="AR113" s="44">
        <f t="shared" si="3"/>
        <v>22</v>
      </c>
      <c r="AS113" s="44" t="str">
        <f t="shared" si="5"/>
        <v>C</v>
      </c>
      <c r="AT113" s="44" t="str">
        <f t="shared" si="17"/>
        <v>Cf</v>
      </c>
      <c r="AU113" s="44" t="str">
        <f t="shared" si="2"/>
        <v>Cfb</v>
      </c>
      <c r="AV113" s="38"/>
      <c r="AW113" s="38"/>
      <c r="AX113" s="38"/>
      <c r="AY113" s="38" t="s">
        <v>92</v>
      </c>
      <c r="AZ113" s="29">
        <v>1000.0</v>
      </c>
      <c r="BA113" s="29">
        <v>1.0</v>
      </c>
      <c r="BB113" s="29"/>
      <c r="BC113" s="29"/>
      <c r="BD113" s="29" t="s">
        <v>88</v>
      </c>
      <c r="BE113" s="29"/>
      <c r="BF113" s="29" t="s">
        <v>219</v>
      </c>
      <c r="BG113" s="29" t="s">
        <v>220</v>
      </c>
      <c r="BH113" s="29" t="s">
        <v>88</v>
      </c>
      <c r="BI113" s="29" t="s">
        <v>485</v>
      </c>
      <c r="BJ113" s="29"/>
      <c r="BK113" s="29"/>
      <c r="BL113" s="29"/>
      <c r="BM113" s="45">
        <v>1.0</v>
      </c>
      <c r="BN113" s="45">
        <v>1.0</v>
      </c>
      <c r="BO113" s="45" t="s">
        <v>426</v>
      </c>
      <c r="BP113" s="2"/>
      <c r="BQ113" s="3"/>
    </row>
    <row r="114">
      <c r="A114" s="34">
        <v>112.0</v>
      </c>
      <c r="B114" s="34">
        <v>101358.0</v>
      </c>
      <c r="C114" s="34" t="s">
        <v>415</v>
      </c>
      <c r="D114" s="34" t="s">
        <v>455</v>
      </c>
      <c r="E114" s="34" t="s">
        <v>417</v>
      </c>
      <c r="F114" s="34">
        <v>2015.0</v>
      </c>
      <c r="G114" s="34" t="s">
        <v>418</v>
      </c>
      <c r="H114" s="34" t="s">
        <v>282</v>
      </c>
      <c r="I114" s="34" t="s">
        <v>419</v>
      </c>
      <c r="J114" s="35"/>
      <c r="K114" s="36">
        <v>0.4</v>
      </c>
      <c r="L114" s="36">
        <v>1.27</v>
      </c>
      <c r="M114" s="36"/>
      <c r="N114" s="36"/>
      <c r="O114" s="36"/>
      <c r="P114" s="52">
        <f t="shared" si="18"/>
        <v>31.49606299</v>
      </c>
      <c r="Q114" s="36" t="s">
        <v>96</v>
      </c>
      <c r="R114" s="36" t="s">
        <v>209</v>
      </c>
      <c r="S114" s="36">
        <v>1000.0</v>
      </c>
      <c r="T114" s="36" t="s">
        <v>233</v>
      </c>
      <c r="U114" s="36" t="s">
        <v>234</v>
      </c>
      <c r="V114" s="36">
        <v>27.0</v>
      </c>
      <c r="W114" s="36" t="s">
        <v>169</v>
      </c>
      <c r="X114" s="38">
        <v>1.0</v>
      </c>
      <c r="Y114" s="38" t="s">
        <v>456</v>
      </c>
      <c r="Z114" s="38" t="s">
        <v>457</v>
      </c>
      <c r="AA114" s="38" t="s">
        <v>370</v>
      </c>
      <c r="AB114" s="38">
        <v>41.849</v>
      </c>
      <c r="AC114" s="38">
        <v>13.588</v>
      </c>
      <c r="AD114" s="38" t="s">
        <v>237</v>
      </c>
      <c r="AE114" s="38"/>
      <c r="AF114" s="38" t="s">
        <v>458</v>
      </c>
      <c r="AG114" s="38" t="s">
        <v>201</v>
      </c>
      <c r="AH114" s="38"/>
      <c r="AI114" s="50">
        <v>41.849</v>
      </c>
      <c r="AJ114" s="50">
        <v>13.588</v>
      </c>
      <c r="AK114" s="41" t="s">
        <v>370</v>
      </c>
      <c r="AL114" s="40" t="s">
        <v>370</v>
      </c>
      <c r="AM114" s="49">
        <v>1526.0</v>
      </c>
      <c r="AN114" s="51">
        <v>1526.0</v>
      </c>
      <c r="AO114" s="42" t="s">
        <v>321</v>
      </c>
      <c r="AP114" s="43" t="s">
        <v>445</v>
      </c>
      <c r="AQ114" s="44" t="str">
        <f t="shared" si="1"/>
        <v>DBF</v>
      </c>
      <c r="AR114" s="44">
        <f t="shared" si="3"/>
        <v>1526</v>
      </c>
      <c r="AS114" s="44" t="str">
        <f t="shared" si="5"/>
        <v>D</v>
      </c>
      <c r="AT114" s="44" t="str">
        <f t="shared" si="17"/>
        <v>Cs</v>
      </c>
      <c r="AU114" s="44" t="str">
        <f t="shared" si="2"/>
        <v>Csb</v>
      </c>
      <c r="AV114" s="38"/>
      <c r="AW114" s="38"/>
      <c r="AX114" s="38"/>
      <c r="AY114" s="38" t="s">
        <v>92</v>
      </c>
      <c r="AZ114" s="29">
        <v>1000.0</v>
      </c>
      <c r="BA114" s="29">
        <v>1.0</v>
      </c>
      <c r="BB114" s="29"/>
      <c r="BC114" s="29"/>
      <c r="BD114" s="29" t="s">
        <v>88</v>
      </c>
      <c r="BE114" s="29"/>
      <c r="BF114" s="29" t="s">
        <v>219</v>
      </c>
      <c r="BG114" s="29" t="s">
        <v>220</v>
      </c>
      <c r="BH114" s="29" t="s">
        <v>88</v>
      </c>
      <c r="BI114" s="29" t="s">
        <v>485</v>
      </c>
      <c r="BJ114" s="29"/>
      <c r="BK114" s="29"/>
      <c r="BL114" s="29"/>
      <c r="BM114" s="45">
        <v>1.0</v>
      </c>
      <c r="BN114" s="45">
        <v>1.0</v>
      </c>
      <c r="BO114" s="45" t="s">
        <v>426</v>
      </c>
      <c r="BP114" s="2"/>
      <c r="BQ114" s="3"/>
    </row>
    <row r="115">
      <c r="A115" s="34">
        <v>113.0</v>
      </c>
      <c r="B115" s="34">
        <v>101358.0</v>
      </c>
      <c r="C115" s="34" t="s">
        <v>415</v>
      </c>
      <c r="D115" s="34" t="s">
        <v>459</v>
      </c>
      <c r="E115" s="34" t="s">
        <v>417</v>
      </c>
      <c r="F115" s="34">
        <v>2015.0</v>
      </c>
      <c r="G115" s="34" t="s">
        <v>418</v>
      </c>
      <c r="H115" s="34" t="s">
        <v>282</v>
      </c>
      <c r="I115" s="34" t="s">
        <v>419</v>
      </c>
      <c r="J115" s="35"/>
      <c r="K115" s="36">
        <v>0.11</v>
      </c>
      <c r="L115" s="36">
        <v>1.64</v>
      </c>
      <c r="M115" s="36"/>
      <c r="N115" s="36"/>
      <c r="O115" s="36"/>
      <c r="P115" s="52">
        <f t="shared" si="18"/>
        <v>6.707317073</v>
      </c>
      <c r="Q115" s="36" t="s">
        <v>96</v>
      </c>
      <c r="R115" s="36" t="s">
        <v>209</v>
      </c>
      <c r="S115" s="36">
        <v>1000.0</v>
      </c>
      <c r="T115" s="36" t="s">
        <v>233</v>
      </c>
      <c r="U115" s="36" t="s">
        <v>234</v>
      </c>
      <c r="V115" s="36">
        <v>31.0</v>
      </c>
      <c r="W115" s="36" t="s">
        <v>169</v>
      </c>
      <c r="X115" s="38">
        <v>1.0</v>
      </c>
      <c r="Y115" s="38" t="s">
        <v>460</v>
      </c>
      <c r="Z115" s="38" t="s">
        <v>461</v>
      </c>
      <c r="AA115" s="38" t="s">
        <v>370</v>
      </c>
      <c r="AB115" s="38">
        <v>42.39</v>
      </c>
      <c r="AC115" s="38">
        <v>11.921</v>
      </c>
      <c r="AD115" s="38" t="s">
        <v>237</v>
      </c>
      <c r="AE115" s="38"/>
      <c r="AF115" s="38" t="s">
        <v>462</v>
      </c>
      <c r="AG115" s="38" t="s">
        <v>175</v>
      </c>
      <c r="AH115" s="38"/>
      <c r="AI115" s="50">
        <v>42.39</v>
      </c>
      <c r="AJ115" s="50">
        <v>11.921</v>
      </c>
      <c r="AK115" s="41" t="s">
        <v>200</v>
      </c>
      <c r="AL115" s="40" t="s">
        <v>200</v>
      </c>
      <c r="AM115" s="49">
        <v>160.0</v>
      </c>
      <c r="AN115" s="51">
        <v>160.0</v>
      </c>
      <c r="AO115" s="42" t="s">
        <v>175</v>
      </c>
      <c r="AP115" s="43" t="s">
        <v>175</v>
      </c>
      <c r="AQ115" s="44" t="str">
        <f t="shared" si="1"/>
        <v>DBF</v>
      </c>
      <c r="AR115" s="44">
        <f t="shared" si="3"/>
        <v>160</v>
      </c>
      <c r="AS115" s="44" t="str">
        <f t="shared" si="5"/>
        <v>C</v>
      </c>
      <c r="AT115" s="44" t="str">
        <f t="shared" si="17"/>
        <v>Cs</v>
      </c>
      <c r="AU115" s="44" t="str">
        <f t="shared" si="2"/>
        <v>Csa</v>
      </c>
      <c r="AV115" s="38"/>
      <c r="AW115" s="38"/>
      <c r="AX115" s="38"/>
      <c r="AY115" s="38" t="s">
        <v>92</v>
      </c>
      <c r="AZ115" s="29">
        <v>1000.0</v>
      </c>
      <c r="BA115" s="29">
        <v>1.0</v>
      </c>
      <c r="BB115" s="29"/>
      <c r="BC115" s="29"/>
      <c r="BD115" s="29" t="s">
        <v>88</v>
      </c>
      <c r="BE115" s="29"/>
      <c r="BF115" s="29" t="s">
        <v>219</v>
      </c>
      <c r="BG115" s="29" t="s">
        <v>220</v>
      </c>
      <c r="BH115" s="29" t="s">
        <v>88</v>
      </c>
      <c r="BI115" s="29" t="s">
        <v>485</v>
      </c>
      <c r="BJ115" s="29"/>
      <c r="BK115" s="29"/>
      <c r="BL115" s="29"/>
      <c r="BM115" s="45">
        <v>1.0</v>
      </c>
      <c r="BN115" s="45">
        <v>1.0</v>
      </c>
      <c r="BO115" s="45" t="s">
        <v>426</v>
      </c>
      <c r="BP115" s="2"/>
      <c r="BQ115" s="3"/>
    </row>
    <row r="116">
      <c r="A116" s="34">
        <v>114.0</v>
      </c>
      <c r="B116" s="34">
        <v>101358.0</v>
      </c>
      <c r="C116" s="34" t="s">
        <v>415</v>
      </c>
      <c r="D116" s="34" t="s">
        <v>463</v>
      </c>
      <c r="E116" s="34" t="s">
        <v>417</v>
      </c>
      <c r="F116" s="34">
        <v>2015.0</v>
      </c>
      <c r="G116" s="34" t="s">
        <v>418</v>
      </c>
      <c r="H116" s="34" t="s">
        <v>282</v>
      </c>
      <c r="I116" s="34" t="s">
        <v>419</v>
      </c>
      <c r="J116" s="35"/>
      <c r="K116" s="36">
        <v>0.51</v>
      </c>
      <c r="L116" s="36">
        <v>0.93</v>
      </c>
      <c r="M116" s="36"/>
      <c r="N116" s="36"/>
      <c r="O116" s="36"/>
      <c r="P116" s="52">
        <f t="shared" si="18"/>
        <v>54.83870968</v>
      </c>
      <c r="Q116" s="36" t="s">
        <v>96</v>
      </c>
      <c r="R116" s="36" t="s">
        <v>209</v>
      </c>
      <c r="S116" s="36">
        <v>1000.0</v>
      </c>
      <c r="T116" s="36" t="s">
        <v>233</v>
      </c>
      <c r="U116" s="36" t="s">
        <v>234</v>
      </c>
      <c r="V116" s="36">
        <v>31.0</v>
      </c>
      <c r="W116" s="36" t="s">
        <v>169</v>
      </c>
      <c r="X116" s="38">
        <v>1.0</v>
      </c>
      <c r="Y116" s="38" t="s">
        <v>464</v>
      </c>
      <c r="Z116" s="38" t="s">
        <v>465</v>
      </c>
      <c r="AA116" s="38" t="s">
        <v>336</v>
      </c>
      <c r="AB116" s="38">
        <v>43.741</v>
      </c>
      <c r="AC116" s="38">
        <v>3.596</v>
      </c>
      <c r="AD116" s="38" t="s">
        <v>382</v>
      </c>
      <c r="AE116" s="53"/>
      <c r="AF116" s="38" t="s">
        <v>466</v>
      </c>
      <c r="AG116" s="38"/>
      <c r="AH116" s="38"/>
      <c r="AI116" s="50">
        <v>43.741</v>
      </c>
      <c r="AJ116" s="50">
        <v>3.596</v>
      </c>
      <c r="AK116" s="41" t="s">
        <v>197</v>
      </c>
      <c r="AL116" s="40" t="s">
        <v>197</v>
      </c>
      <c r="AM116" s="49">
        <v>270.0</v>
      </c>
      <c r="AN116" s="51">
        <v>270.0</v>
      </c>
      <c r="AO116" s="42" t="s">
        <v>175</v>
      </c>
      <c r="AP116" s="43" t="s">
        <v>175</v>
      </c>
      <c r="AQ116" s="44" t="str">
        <f t="shared" si="1"/>
        <v>EBF</v>
      </c>
      <c r="AR116" s="44">
        <f t="shared" si="3"/>
        <v>270</v>
      </c>
      <c r="AS116" s="44" t="str">
        <f t="shared" si="5"/>
        <v>C</v>
      </c>
      <c r="AT116" s="44" t="str">
        <f t="shared" si="17"/>
        <v>Cs</v>
      </c>
      <c r="AU116" s="44" t="str">
        <f t="shared" si="2"/>
        <v>Csa</v>
      </c>
      <c r="AV116" s="38"/>
      <c r="AW116" s="38"/>
      <c r="AX116" s="38"/>
      <c r="AY116" s="38" t="s">
        <v>92</v>
      </c>
      <c r="AZ116" s="29">
        <v>1000.0</v>
      </c>
      <c r="BA116" s="29">
        <v>1.0</v>
      </c>
      <c r="BB116" s="29"/>
      <c r="BC116" s="29"/>
      <c r="BD116" s="29" t="s">
        <v>88</v>
      </c>
      <c r="BE116" s="29"/>
      <c r="BF116" s="29" t="s">
        <v>219</v>
      </c>
      <c r="BG116" s="29" t="s">
        <v>220</v>
      </c>
      <c r="BH116" s="29" t="s">
        <v>88</v>
      </c>
      <c r="BI116" s="29" t="s">
        <v>485</v>
      </c>
      <c r="BJ116" s="29"/>
      <c r="BK116" s="29"/>
      <c r="BL116" s="29"/>
      <c r="BM116" s="45">
        <v>1.0</v>
      </c>
      <c r="BN116" s="45">
        <v>1.0</v>
      </c>
      <c r="BO116" s="45" t="s">
        <v>426</v>
      </c>
      <c r="BP116" s="2"/>
      <c r="BQ116" s="3"/>
    </row>
    <row r="117">
      <c r="A117" s="34">
        <v>115.0</v>
      </c>
      <c r="B117" s="34">
        <v>101358.0</v>
      </c>
      <c r="C117" s="34" t="s">
        <v>415</v>
      </c>
      <c r="D117" s="34" t="s">
        <v>467</v>
      </c>
      <c r="E117" s="34" t="s">
        <v>417</v>
      </c>
      <c r="F117" s="34">
        <v>2015.0</v>
      </c>
      <c r="G117" s="34" t="s">
        <v>418</v>
      </c>
      <c r="H117" s="34" t="s">
        <v>282</v>
      </c>
      <c r="I117" s="34" t="s">
        <v>419</v>
      </c>
      <c r="J117" s="35"/>
      <c r="K117" s="36">
        <v>0.54</v>
      </c>
      <c r="L117" s="36">
        <v>0.83</v>
      </c>
      <c r="M117" s="36"/>
      <c r="N117" s="36"/>
      <c r="O117" s="36"/>
      <c r="P117" s="52">
        <f t="shared" si="18"/>
        <v>65.06024096</v>
      </c>
      <c r="Q117" s="36" t="s">
        <v>96</v>
      </c>
      <c r="R117" s="36" t="s">
        <v>209</v>
      </c>
      <c r="S117" s="36">
        <v>1000.0</v>
      </c>
      <c r="T117" s="36" t="s">
        <v>233</v>
      </c>
      <c r="U117" s="36" t="s">
        <v>234</v>
      </c>
      <c r="V117" s="36">
        <v>36.0</v>
      </c>
      <c r="W117" s="36" t="s">
        <v>169</v>
      </c>
      <c r="X117" s="38">
        <v>1.0</v>
      </c>
      <c r="Y117" s="38" t="s">
        <v>468</v>
      </c>
      <c r="Z117" s="38" t="s">
        <v>469</v>
      </c>
      <c r="AA117" s="38" t="s">
        <v>197</v>
      </c>
      <c r="AB117" s="38">
        <v>49.505</v>
      </c>
      <c r="AC117" s="38">
        <v>18.541</v>
      </c>
      <c r="AD117" s="38" t="s">
        <v>470</v>
      </c>
      <c r="AE117" s="53"/>
      <c r="AF117" s="38" t="s">
        <v>471</v>
      </c>
      <c r="AG117" s="38"/>
      <c r="AH117" s="38"/>
      <c r="AI117" s="50">
        <v>49.505</v>
      </c>
      <c r="AJ117" s="50">
        <v>18.541</v>
      </c>
      <c r="AK117" s="41" t="s">
        <v>197</v>
      </c>
      <c r="AL117" s="40" t="s">
        <v>197</v>
      </c>
      <c r="AM117" s="49">
        <v>799.0</v>
      </c>
      <c r="AN117" s="51">
        <v>799.0</v>
      </c>
      <c r="AO117" s="42" t="s">
        <v>372</v>
      </c>
      <c r="AP117" s="43" t="s">
        <v>107</v>
      </c>
      <c r="AQ117" s="44" t="str">
        <f t="shared" si="1"/>
        <v>ENF</v>
      </c>
      <c r="AR117" s="44">
        <f t="shared" si="3"/>
        <v>799</v>
      </c>
      <c r="AS117" s="44" t="str">
        <f t="shared" si="5"/>
        <v>D</v>
      </c>
      <c r="AT117" s="44" t="str">
        <f t="shared" si="17"/>
        <v>Df</v>
      </c>
      <c r="AU117" s="44" t="str">
        <f t="shared" si="2"/>
        <v>Dfb</v>
      </c>
      <c r="AV117" s="38"/>
      <c r="AW117" s="38"/>
      <c r="AX117" s="38"/>
      <c r="AY117" s="38" t="s">
        <v>92</v>
      </c>
      <c r="AZ117" s="29">
        <v>1000.0</v>
      </c>
      <c r="BA117" s="29">
        <v>1.0</v>
      </c>
      <c r="BB117" s="29"/>
      <c r="BC117" s="29"/>
      <c r="BD117" s="29" t="s">
        <v>88</v>
      </c>
      <c r="BE117" s="29"/>
      <c r="BF117" s="29" t="s">
        <v>219</v>
      </c>
      <c r="BG117" s="29" t="s">
        <v>220</v>
      </c>
      <c r="BH117" s="29" t="s">
        <v>88</v>
      </c>
      <c r="BI117" s="29" t="s">
        <v>485</v>
      </c>
      <c r="BJ117" s="29"/>
      <c r="BK117" s="29"/>
      <c r="BL117" s="29"/>
      <c r="BM117" s="45">
        <v>1.0</v>
      </c>
      <c r="BN117" s="45">
        <v>1.0</v>
      </c>
      <c r="BO117" s="45" t="s">
        <v>426</v>
      </c>
      <c r="BP117" s="2"/>
      <c r="BQ117" s="3"/>
    </row>
    <row r="118">
      <c r="A118" s="34">
        <v>116.0</v>
      </c>
      <c r="B118" s="34">
        <v>101358.0</v>
      </c>
      <c r="C118" s="34" t="s">
        <v>415</v>
      </c>
      <c r="D118" s="34" t="s">
        <v>472</v>
      </c>
      <c r="E118" s="34" t="s">
        <v>417</v>
      </c>
      <c r="F118" s="34">
        <v>2015.0</v>
      </c>
      <c r="G118" s="34" t="s">
        <v>418</v>
      </c>
      <c r="H118" s="34" t="s">
        <v>282</v>
      </c>
      <c r="I118" s="34" t="s">
        <v>419</v>
      </c>
      <c r="J118" s="35"/>
      <c r="K118" s="36">
        <v>0.44</v>
      </c>
      <c r="L118" s="36">
        <v>1.11</v>
      </c>
      <c r="M118" s="36"/>
      <c r="N118" s="36"/>
      <c r="O118" s="36"/>
      <c r="P118" s="52">
        <f t="shared" si="18"/>
        <v>39.63963964</v>
      </c>
      <c r="Q118" s="36" t="s">
        <v>96</v>
      </c>
      <c r="R118" s="36" t="s">
        <v>209</v>
      </c>
      <c r="S118" s="36">
        <v>1000.0</v>
      </c>
      <c r="T118" s="36" t="s">
        <v>233</v>
      </c>
      <c r="U118" s="36" t="s">
        <v>234</v>
      </c>
      <c r="V118" s="36">
        <v>36.0</v>
      </c>
      <c r="W118" s="36" t="s">
        <v>169</v>
      </c>
      <c r="X118" s="38">
        <v>1.0</v>
      </c>
      <c r="Y118" s="38" t="s">
        <v>473</v>
      </c>
      <c r="Z118" s="38" t="s">
        <v>474</v>
      </c>
      <c r="AA118" s="38" t="s">
        <v>197</v>
      </c>
      <c r="AB118" s="38">
        <v>50.964</v>
      </c>
      <c r="AC118" s="38">
        <v>13.567</v>
      </c>
      <c r="AD118" s="38" t="s">
        <v>375</v>
      </c>
      <c r="AE118" s="53"/>
      <c r="AF118" s="38" t="s">
        <v>471</v>
      </c>
      <c r="AG118" s="38"/>
      <c r="AH118" s="38"/>
      <c r="AI118" s="50">
        <v>50.964</v>
      </c>
      <c r="AJ118" s="50">
        <v>13.567</v>
      </c>
      <c r="AK118" s="41" t="s">
        <v>197</v>
      </c>
      <c r="AL118" s="40" t="s">
        <v>452</v>
      </c>
      <c r="AM118" s="49">
        <v>385.0</v>
      </c>
      <c r="AN118" s="51">
        <v>385.0</v>
      </c>
      <c r="AO118" s="42" t="s">
        <v>372</v>
      </c>
      <c r="AP118" s="43" t="s">
        <v>107</v>
      </c>
      <c r="AQ118" s="44" t="str">
        <f t="shared" si="1"/>
        <v>ENF</v>
      </c>
      <c r="AR118" s="44">
        <f t="shared" si="3"/>
        <v>385</v>
      </c>
      <c r="AS118" s="44" t="str">
        <f t="shared" si="5"/>
        <v>D</v>
      </c>
      <c r="AT118" s="44" t="str">
        <f t="shared" si="17"/>
        <v>Df</v>
      </c>
      <c r="AU118" s="44" t="str">
        <f t="shared" si="2"/>
        <v>Dfb</v>
      </c>
      <c r="AV118" s="38"/>
      <c r="AW118" s="38"/>
      <c r="AX118" s="38"/>
      <c r="AY118" s="38" t="s">
        <v>92</v>
      </c>
      <c r="AZ118" s="29">
        <v>1000.0</v>
      </c>
      <c r="BA118" s="29">
        <v>1.0</v>
      </c>
      <c r="BB118" s="29"/>
      <c r="BC118" s="29"/>
      <c r="BD118" s="29" t="s">
        <v>88</v>
      </c>
      <c r="BE118" s="29"/>
      <c r="BF118" s="29" t="s">
        <v>219</v>
      </c>
      <c r="BG118" s="29" t="s">
        <v>220</v>
      </c>
      <c r="BH118" s="29" t="s">
        <v>88</v>
      </c>
      <c r="BI118" s="29" t="s">
        <v>485</v>
      </c>
      <c r="BJ118" s="29"/>
      <c r="BK118" s="29"/>
      <c r="BL118" s="29"/>
      <c r="BM118" s="45">
        <v>1.0</v>
      </c>
      <c r="BN118" s="45">
        <v>1.0</v>
      </c>
      <c r="BO118" s="45" t="s">
        <v>426</v>
      </c>
      <c r="BP118" s="2"/>
      <c r="BQ118" s="3"/>
    </row>
    <row r="119">
      <c r="A119" s="34">
        <v>117.0</v>
      </c>
      <c r="B119" s="34">
        <v>101358.0</v>
      </c>
      <c r="C119" s="34" t="s">
        <v>415</v>
      </c>
      <c r="D119" s="34" t="s">
        <v>475</v>
      </c>
      <c r="E119" s="34" t="s">
        <v>417</v>
      </c>
      <c r="F119" s="34">
        <v>2015.0</v>
      </c>
      <c r="G119" s="34" t="s">
        <v>418</v>
      </c>
      <c r="H119" s="34" t="s">
        <v>282</v>
      </c>
      <c r="I119" s="34" t="s">
        <v>419</v>
      </c>
      <c r="J119" s="35"/>
      <c r="K119" s="36">
        <v>-1.11</v>
      </c>
      <c r="L119" s="36">
        <v>1.78</v>
      </c>
      <c r="M119" s="36"/>
      <c r="N119" s="36"/>
      <c r="O119" s="36"/>
      <c r="P119" s="52">
        <f t="shared" si="18"/>
        <v>-62.35955056</v>
      </c>
      <c r="Q119" s="36" t="s">
        <v>96</v>
      </c>
      <c r="R119" s="36" t="s">
        <v>209</v>
      </c>
      <c r="S119" s="36">
        <v>1000.0</v>
      </c>
      <c r="T119" s="36" t="s">
        <v>233</v>
      </c>
      <c r="U119" s="36" t="s">
        <v>234</v>
      </c>
      <c r="V119" s="36">
        <v>34.0</v>
      </c>
      <c r="W119" s="36" t="s">
        <v>169</v>
      </c>
      <c r="X119" s="38">
        <v>1.0</v>
      </c>
      <c r="Y119" s="38" t="s">
        <v>476</v>
      </c>
      <c r="Z119" s="38" t="s">
        <v>477</v>
      </c>
      <c r="AA119" s="38" t="s">
        <v>197</v>
      </c>
      <c r="AB119" s="38">
        <v>43.728</v>
      </c>
      <c r="AC119" s="38">
        <v>10.284</v>
      </c>
      <c r="AD119" s="38" t="s">
        <v>237</v>
      </c>
      <c r="AE119" s="38"/>
      <c r="AF119" s="38" t="s">
        <v>478</v>
      </c>
      <c r="AG119" s="38" t="s">
        <v>175</v>
      </c>
      <c r="AH119" s="38"/>
      <c r="AI119" s="50">
        <v>43.728</v>
      </c>
      <c r="AJ119" s="50">
        <v>10.284</v>
      </c>
      <c r="AK119" s="41" t="s">
        <v>197</v>
      </c>
      <c r="AL119" s="40" t="s">
        <v>197</v>
      </c>
      <c r="AM119" s="49">
        <v>12.0</v>
      </c>
      <c r="AN119" s="51">
        <v>12.0</v>
      </c>
      <c r="AO119" s="42" t="s">
        <v>175</v>
      </c>
      <c r="AP119" s="43" t="s">
        <v>175</v>
      </c>
      <c r="AQ119" s="44" t="str">
        <f t="shared" si="1"/>
        <v>ENF</v>
      </c>
      <c r="AR119" s="44">
        <f t="shared" si="3"/>
        <v>12</v>
      </c>
      <c r="AS119" s="44" t="str">
        <f t="shared" si="5"/>
        <v>C</v>
      </c>
      <c r="AT119" s="44" t="str">
        <f t="shared" si="17"/>
        <v>Cs</v>
      </c>
      <c r="AU119" s="44" t="str">
        <f t="shared" si="2"/>
        <v>Csa</v>
      </c>
      <c r="AV119" s="38"/>
      <c r="AW119" s="38"/>
      <c r="AX119" s="38"/>
      <c r="AY119" s="38" t="s">
        <v>92</v>
      </c>
      <c r="AZ119" s="29">
        <v>1000.0</v>
      </c>
      <c r="BA119" s="29">
        <v>1.0</v>
      </c>
      <c r="BB119" s="29"/>
      <c r="BC119" s="29"/>
      <c r="BD119" s="29" t="s">
        <v>88</v>
      </c>
      <c r="BE119" s="29"/>
      <c r="BF119" s="29" t="s">
        <v>219</v>
      </c>
      <c r="BG119" s="29" t="s">
        <v>220</v>
      </c>
      <c r="BH119" s="29" t="s">
        <v>88</v>
      </c>
      <c r="BI119" s="29" t="s">
        <v>485</v>
      </c>
      <c r="BJ119" s="29"/>
      <c r="BK119" s="29"/>
      <c r="BL119" s="29"/>
      <c r="BM119" s="45">
        <v>1.0</v>
      </c>
      <c r="BN119" s="45">
        <v>1.0</v>
      </c>
      <c r="BO119" s="45" t="s">
        <v>426</v>
      </c>
      <c r="BP119" s="2"/>
      <c r="BQ119" s="3"/>
    </row>
    <row r="120">
      <c r="A120" s="34">
        <v>118.0</v>
      </c>
      <c r="B120" s="34">
        <v>101358.0</v>
      </c>
      <c r="C120" s="34" t="s">
        <v>415</v>
      </c>
      <c r="D120" s="34" t="s">
        <v>479</v>
      </c>
      <c r="E120" s="34" t="s">
        <v>417</v>
      </c>
      <c r="F120" s="34">
        <v>2015.0</v>
      </c>
      <c r="G120" s="34" t="s">
        <v>418</v>
      </c>
      <c r="H120" s="34" t="s">
        <v>282</v>
      </c>
      <c r="I120" s="34" t="s">
        <v>419</v>
      </c>
      <c r="J120" s="35"/>
      <c r="K120" s="36">
        <v>0.22</v>
      </c>
      <c r="L120" s="36">
        <v>1.03</v>
      </c>
      <c r="M120" s="36"/>
      <c r="N120" s="36"/>
      <c r="O120" s="36"/>
      <c r="P120" s="52">
        <f t="shared" si="18"/>
        <v>21.3592233</v>
      </c>
      <c r="Q120" s="36" t="s">
        <v>96</v>
      </c>
      <c r="R120" s="36" t="s">
        <v>209</v>
      </c>
      <c r="S120" s="36">
        <v>1000.0</v>
      </c>
      <c r="T120" s="36" t="s">
        <v>233</v>
      </c>
      <c r="U120" s="36" t="s">
        <v>234</v>
      </c>
      <c r="V120" s="36">
        <v>33.0</v>
      </c>
      <c r="W120" s="36" t="s">
        <v>169</v>
      </c>
      <c r="X120" s="38">
        <v>1.0</v>
      </c>
      <c r="Y120" s="38" t="s">
        <v>480</v>
      </c>
      <c r="Z120" s="38" t="s">
        <v>481</v>
      </c>
      <c r="AA120" s="38" t="s">
        <v>197</v>
      </c>
      <c r="AB120" s="38">
        <v>56.462</v>
      </c>
      <c r="AC120" s="38">
        <v>32.922</v>
      </c>
      <c r="AD120" s="38" t="s">
        <v>482</v>
      </c>
      <c r="AE120" s="38"/>
      <c r="AF120" s="38" t="s">
        <v>483</v>
      </c>
      <c r="AG120" s="38" t="s">
        <v>107</v>
      </c>
      <c r="AH120" s="38"/>
      <c r="AI120" s="50">
        <v>56.462</v>
      </c>
      <c r="AJ120" s="50">
        <v>32.922</v>
      </c>
      <c r="AK120" s="41" t="s">
        <v>452</v>
      </c>
      <c r="AL120" s="40" t="s">
        <v>452</v>
      </c>
      <c r="AM120" s="49">
        <v>275.0</v>
      </c>
      <c r="AN120" s="51">
        <v>275.0</v>
      </c>
      <c r="AO120" s="42" t="s">
        <v>372</v>
      </c>
      <c r="AP120" s="43" t="s">
        <v>107</v>
      </c>
      <c r="AQ120" s="44" t="str">
        <f t="shared" si="1"/>
        <v>ENF</v>
      </c>
      <c r="AR120" s="44">
        <f t="shared" si="3"/>
        <v>275</v>
      </c>
      <c r="AS120" s="44" t="str">
        <f t="shared" si="5"/>
        <v>D</v>
      </c>
      <c r="AT120" s="44" t="str">
        <f t="shared" si="17"/>
        <v>Df</v>
      </c>
      <c r="AU120" s="44" t="str">
        <f t="shared" si="2"/>
        <v>Dfb</v>
      </c>
      <c r="AV120" s="38"/>
      <c r="AW120" s="38"/>
      <c r="AX120" s="38"/>
      <c r="AY120" s="38" t="s">
        <v>92</v>
      </c>
      <c r="AZ120" s="29">
        <v>1000.0</v>
      </c>
      <c r="BA120" s="29">
        <v>1.0</v>
      </c>
      <c r="BB120" s="29"/>
      <c r="BC120" s="29"/>
      <c r="BD120" s="29" t="s">
        <v>88</v>
      </c>
      <c r="BE120" s="29"/>
      <c r="BF120" s="29" t="s">
        <v>219</v>
      </c>
      <c r="BG120" s="29" t="s">
        <v>220</v>
      </c>
      <c r="BH120" s="29" t="s">
        <v>88</v>
      </c>
      <c r="BI120" s="29" t="s">
        <v>485</v>
      </c>
      <c r="BJ120" s="29"/>
      <c r="BK120" s="29"/>
      <c r="BL120" s="29"/>
      <c r="BM120" s="45">
        <v>1.0</v>
      </c>
      <c r="BN120" s="45">
        <v>1.0</v>
      </c>
      <c r="BO120" s="45" t="s">
        <v>426</v>
      </c>
      <c r="BP120" s="2"/>
      <c r="BQ120" s="3"/>
    </row>
    <row r="121">
      <c r="A121" s="34">
        <v>119.0</v>
      </c>
      <c r="B121" s="34">
        <v>103105.0</v>
      </c>
      <c r="C121" s="34" t="s">
        <v>415</v>
      </c>
      <c r="D121" s="34" t="s">
        <v>486</v>
      </c>
      <c r="E121" s="34" t="s">
        <v>487</v>
      </c>
      <c r="F121" s="34">
        <v>2018.0</v>
      </c>
      <c r="G121" s="34" t="s">
        <v>488</v>
      </c>
      <c r="H121" s="34" t="s">
        <v>282</v>
      </c>
      <c r="I121" s="34" t="s">
        <v>489</v>
      </c>
      <c r="J121" s="59"/>
      <c r="K121" s="36"/>
      <c r="L121" s="36"/>
      <c r="M121" s="36"/>
      <c r="N121" s="36">
        <v>8.56</v>
      </c>
      <c r="O121" s="36"/>
      <c r="P121" s="37">
        <v>29.0</v>
      </c>
      <c r="Q121" s="36" t="s">
        <v>96</v>
      </c>
      <c r="R121" s="36" t="s">
        <v>490</v>
      </c>
      <c r="S121" s="36">
        <v>250.0</v>
      </c>
      <c r="T121" s="36" t="s">
        <v>295</v>
      </c>
      <c r="U121" s="36" t="s">
        <v>246</v>
      </c>
      <c r="V121" s="36"/>
      <c r="W121" s="36" t="s">
        <v>169</v>
      </c>
      <c r="X121" s="38">
        <v>1.0</v>
      </c>
      <c r="Y121" s="38" t="s">
        <v>491</v>
      </c>
      <c r="Z121" s="38" t="s">
        <v>492</v>
      </c>
      <c r="AA121" s="38" t="s">
        <v>86</v>
      </c>
      <c r="AB121" s="38">
        <v>50.5516</v>
      </c>
      <c r="AC121" s="38">
        <v>4.7461</v>
      </c>
      <c r="AD121" s="38" t="s">
        <v>453</v>
      </c>
      <c r="AE121" s="38"/>
      <c r="AF121" s="38"/>
      <c r="AG121" s="38"/>
      <c r="AH121" s="38"/>
      <c r="AI121" s="50">
        <v>50.5516</v>
      </c>
      <c r="AJ121" s="50">
        <v>4.7461</v>
      </c>
      <c r="AK121" s="41" t="s">
        <v>86</v>
      </c>
      <c r="AL121" s="40" t="s">
        <v>86</v>
      </c>
      <c r="AM121" s="49">
        <v>166.0</v>
      </c>
      <c r="AN121" s="51">
        <v>166.0</v>
      </c>
      <c r="AO121" s="42" t="s">
        <v>376</v>
      </c>
      <c r="AP121" s="43" t="s">
        <v>376</v>
      </c>
      <c r="AQ121" s="44" t="str">
        <f t="shared" si="1"/>
        <v>CRO</v>
      </c>
      <c r="AR121" s="44">
        <f t="shared" si="3"/>
        <v>166</v>
      </c>
      <c r="AS121" s="44" t="str">
        <f t="shared" si="5"/>
        <v>C</v>
      </c>
      <c r="AT121" s="44" t="str">
        <f t="shared" si="17"/>
        <v>Cf</v>
      </c>
      <c r="AU121" s="44" t="str">
        <f t="shared" si="2"/>
        <v>Cfb</v>
      </c>
      <c r="AV121" s="38"/>
      <c r="AW121" s="38"/>
      <c r="AX121" s="38"/>
      <c r="AY121" s="38" t="s">
        <v>88</v>
      </c>
      <c r="AZ121" s="29">
        <v>250.0</v>
      </c>
      <c r="BA121" s="29">
        <v>1.0</v>
      </c>
      <c r="BB121" s="29">
        <v>1.0</v>
      </c>
      <c r="BC121" s="29"/>
      <c r="BD121" s="29" t="s">
        <v>88</v>
      </c>
      <c r="BE121" s="29"/>
      <c r="BF121" s="29" t="s">
        <v>493</v>
      </c>
      <c r="BG121" s="29" t="s">
        <v>220</v>
      </c>
      <c r="BH121" s="29" t="s">
        <v>88</v>
      </c>
      <c r="BI121" s="29" t="s">
        <v>494</v>
      </c>
      <c r="BJ121" s="29"/>
      <c r="BK121" s="29" t="s">
        <v>148</v>
      </c>
      <c r="BL121" s="29" t="s">
        <v>148</v>
      </c>
      <c r="BM121" s="45">
        <v>1.0</v>
      </c>
      <c r="BN121" s="45">
        <v>1.0</v>
      </c>
      <c r="BO121" s="45" t="s">
        <v>495</v>
      </c>
      <c r="BP121" s="2"/>
      <c r="BQ121" s="3"/>
    </row>
    <row r="122">
      <c r="A122" s="34">
        <v>120.0</v>
      </c>
      <c r="B122" s="34">
        <v>103105.0</v>
      </c>
      <c r="C122" s="34" t="s">
        <v>415</v>
      </c>
      <c r="D122" s="34" t="s">
        <v>486</v>
      </c>
      <c r="E122" s="34" t="s">
        <v>487</v>
      </c>
      <c r="F122" s="34">
        <v>2018.0</v>
      </c>
      <c r="G122" s="34" t="s">
        <v>488</v>
      </c>
      <c r="H122" s="34" t="s">
        <v>282</v>
      </c>
      <c r="I122" s="34" t="s">
        <v>489</v>
      </c>
      <c r="J122" s="59"/>
      <c r="K122" s="36"/>
      <c r="L122" s="36"/>
      <c r="M122" s="36"/>
      <c r="N122" s="36">
        <v>-8.35</v>
      </c>
      <c r="O122" s="36"/>
      <c r="P122" s="37">
        <v>-15.0</v>
      </c>
      <c r="Q122" s="36" t="s">
        <v>96</v>
      </c>
      <c r="R122" s="36" t="s">
        <v>490</v>
      </c>
      <c r="S122" s="36">
        <v>250.0</v>
      </c>
      <c r="T122" s="36" t="s">
        <v>295</v>
      </c>
      <c r="U122" s="36" t="s">
        <v>246</v>
      </c>
      <c r="V122" s="36"/>
      <c r="W122" s="36" t="s">
        <v>169</v>
      </c>
      <c r="X122" s="38">
        <v>1.0</v>
      </c>
      <c r="Y122" s="38" t="s">
        <v>420</v>
      </c>
      <c r="Z122" s="38" t="s">
        <v>421</v>
      </c>
      <c r="AA122" s="38" t="s">
        <v>86</v>
      </c>
      <c r="AB122" s="38">
        <v>47.2863</v>
      </c>
      <c r="AC122" s="38">
        <v>7.7343</v>
      </c>
      <c r="AD122" s="53" t="s">
        <v>422</v>
      </c>
      <c r="AE122" s="53"/>
      <c r="AF122" s="38"/>
      <c r="AG122" s="38"/>
      <c r="AH122" s="38"/>
      <c r="AI122" s="50">
        <v>47.2863</v>
      </c>
      <c r="AJ122" s="50">
        <v>7.7343</v>
      </c>
      <c r="AK122" s="41" t="s">
        <v>86</v>
      </c>
      <c r="AL122" s="40" t="s">
        <v>86</v>
      </c>
      <c r="AM122" s="49">
        <v>451.0</v>
      </c>
      <c r="AN122" s="51">
        <v>451.0</v>
      </c>
      <c r="AO122" s="42" t="s">
        <v>376</v>
      </c>
      <c r="AP122" s="43" t="s">
        <v>376</v>
      </c>
      <c r="AQ122" s="44" t="str">
        <f t="shared" si="1"/>
        <v>CRO</v>
      </c>
      <c r="AR122" s="44">
        <f t="shared" si="3"/>
        <v>451</v>
      </c>
      <c r="AS122" s="44" t="str">
        <f t="shared" si="5"/>
        <v>C</v>
      </c>
      <c r="AT122" s="44" t="str">
        <f t="shared" si="17"/>
        <v>Cf</v>
      </c>
      <c r="AU122" s="44" t="str">
        <f t="shared" si="2"/>
        <v>Cfb</v>
      </c>
      <c r="AV122" s="38"/>
      <c r="AW122" s="38"/>
      <c r="AX122" s="38"/>
      <c r="AY122" s="38" t="s">
        <v>88</v>
      </c>
      <c r="AZ122" s="29">
        <v>250.0</v>
      </c>
      <c r="BA122" s="29">
        <v>1.0</v>
      </c>
      <c r="BB122" s="29">
        <v>1.0</v>
      </c>
      <c r="BC122" s="29"/>
      <c r="BD122" s="29" t="s">
        <v>88</v>
      </c>
      <c r="BE122" s="29"/>
      <c r="BF122" s="29" t="s">
        <v>493</v>
      </c>
      <c r="BG122" s="29" t="s">
        <v>220</v>
      </c>
      <c r="BH122" s="29" t="s">
        <v>88</v>
      </c>
      <c r="BI122" s="29" t="s">
        <v>494</v>
      </c>
      <c r="BJ122" s="29"/>
      <c r="BK122" s="29" t="s">
        <v>148</v>
      </c>
      <c r="BL122" s="29" t="s">
        <v>148</v>
      </c>
      <c r="BM122" s="45">
        <v>1.0</v>
      </c>
      <c r="BN122" s="45">
        <v>1.0</v>
      </c>
      <c r="BO122" s="45" t="s">
        <v>495</v>
      </c>
      <c r="BP122" s="2"/>
      <c r="BQ122" s="3"/>
    </row>
    <row r="123">
      <c r="A123" s="34">
        <v>121.0</v>
      </c>
      <c r="B123" s="34">
        <v>103105.0</v>
      </c>
      <c r="C123" s="34" t="s">
        <v>415</v>
      </c>
      <c r="D123" s="34" t="s">
        <v>486</v>
      </c>
      <c r="E123" s="34" t="s">
        <v>487</v>
      </c>
      <c r="F123" s="34">
        <v>2018.0</v>
      </c>
      <c r="G123" s="34" t="s">
        <v>488</v>
      </c>
      <c r="H123" s="34" t="s">
        <v>282</v>
      </c>
      <c r="I123" s="34" t="s">
        <v>489</v>
      </c>
      <c r="J123" s="59"/>
      <c r="K123" s="36"/>
      <c r="L123" s="36"/>
      <c r="M123" s="36"/>
      <c r="N123" s="36">
        <v>-6.73</v>
      </c>
      <c r="O123" s="36"/>
      <c r="P123" s="37">
        <v>-15.0</v>
      </c>
      <c r="Q123" s="36" t="s">
        <v>96</v>
      </c>
      <c r="R123" s="36" t="s">
        <v>490</v>
      </c>
      <c r="S123" s="36">
        <v>250.0</v>
      </c>
      <c r="T123" s="36" t="s">
        <v>193</v>
      </c>
      <c r="U123" s="36" t="s">
        <v>194</v>
      </c>
      <c r="V123" s="36"/>
      <c r="W123" s="36" t="s">
        <v>169</v>
      </c>
      <c r="X123" s="38">
        <v>1.0</v>
      </c>
      <c r="Y123" s="38" t="s">
        <v>496</v>
      </c>
      <c r="Z123" s="38" t="s">
        <v>497</v>
      </c>
      <c r="AA123" s="38" t="s">
        <v>86</v>
      </c>
      <c r="AB123" s="38">
        <v>36.95</v>
      </c>
      <c r="AC123" s="38">
        <v>116.6</v>
      </c>
      <c r="AD123" s="53" t="s">
        <v>198</v>
      </c>
      <c r="AE123" s="53"/>
      <c r="AF123" s="38"/>
      <c r="AG123" s="38"/>
      <c r="AH123" s="38"/>
      <c r="AI123" s="50">
        <v>36.95</v>
      </c>
      <c r="AJ123" s="50">
        <v>116.6</v>
      </c>
      <c r="AK123" s="41" t="s">
        <v>86</v>
      </c>
      <c r="AL123" s="40" t="s">
        <v>86</v>
      </c>
      <c r="AM123" s="49">
        <v>22.0</v>
      </c>
      <c r="AN123" s="51">
        <v>22.0</v>
      </c>
      <c r="AO123" s="42" t="s">
        <v>218</v>
      </c>
      <c r="AP123" s="43" t="s">
        <v>218</v>
      </c>
      <c r="AQ123" s="44" t="str">
        <f t="shared" si="1"/>
        <v>CRO</v>
      </c>
      <c r="AR123" s="44">
        <f t="shared" si="3"/>
        <v>22</v>
      </c>
      <c r="AS123" s="44" t="str">
        <f t="shared" si="5"/>
        <v>D</v>
      </c>
      <c r="AT123" s="44" t="str">
        <f t="shared" si="17"/>
        <v>Dw</v>
      </c>
      <c r="AU123" s="44" t="str">
        <f t="shared" si="2"/>
        <v>Dwa</v>
      </c>
      <c r="AV123" s="38"/>
      <c r="AW123" s="38"/>
      <c r="AX123" s="38"/>
      <c r="AY123" s="38" t="s">
        <v>88</v>
      </c>
      <c r="AZ123" s="29">
        <v>250.0</v>
      </c>
      <c r="BA123" s="29">
        <v>1.0</v>
      </c>
      <c r="BB123" s="29">
        <v>1.0</v>
      </c>
      <c r="BC123" s="29"/>
      <c r="BD123" s="29" t="s">
        <v>88</v>
      </c>
      <c r="BE123" s="29"/>
      <c r="BF123" s="29" t="s">
        <v>493</v>
      </c>
      <c r="BG123" s="29" t="s">
        <v>220</v>
      </c>
      <c r="BH123" s="29" t="s">
        <v>88</v>
      </c>
      <c r="BI123" s="29" t="s">
        <v>494</v>
      </c>
      <c r="BJ123" s="29"/>
      <c r="BK123" s="29" t="s">
        <v>148</v>
      </c>
      <c r="BL123" s="29" t="s">
        <v>148</v>
      </c>
      <c r="BM123" s="45">
        <v>1.0</v>
      </c>
      <c r="BN123" s="45">
        <v>1.0</v>
      </c>
      <c r="BO123" s="45" t="s">
        <v>495</v>
      </c>
      <c r="BP123" s="2"/>
      <c r="BQ123" s="3"/>
    </row>
    <row r="124">
      <c r="A124" s="34">
        <v>122.0</v>
      </c>
      <c r="B124" s="34">
        <v>103105.0</v>
      </c>
      <c r="C124" s="34" t="s">
        <v>415</v>
      </c>
      <c r="D124" s="34" t="s">
        <v>486</v>
      </c>
      <c r="E124" s="34" t="s">
        <v>487</v>
      </c>
      <c r="F124" s="34">
        <v>2018.0</v>
      </c>
      <c r="G124" s="34" t="s">
        <v>488</v>
      </c>
      <c r="H124" s="34" t="s">
        <v>282</v>
      </c>
      <c r="I124" s="34" t="s">
        <v>489</v>
      </c>
      <c r="J124" s="59"/>
      <c r="K124" s="36"/>
      <c r="L124" s="36"/>
      <c r="M124" s="36"/>
      <c r="N124" s="36">
        <v>6.49</v>
      </c>
      <c r="O124" s="36"/>
      <c r="P124" s="37">
        <v>23.0</v>
      </c>
      <c r="Q124" s="36" t="s">
        <v>96</v>
      </c>
      <c r="R124" s="36" t="s">
        <v>490</v>
      </c>
      <c r="S124" s="36">
        <v>250.0</v>
      </c>
      <c r="T124" s="36" t="s">
        <v>328</v>
      </c>
      <c r="U124" s="36" t="s">
        <v>246</v>
      </c>
      <c r="V124" s="36"/>
      <c r="W124" s="36" t="s">
        <v>169</v>
      </c>
      <c r="X124" s="38">
        <v>1.0</v>
      </c>
      <c r="Y124" s="38" t="s">
        <v>498</v>
      </c>
      <c r="Z124" s="38" t="s">
        <v>499</v>
      </c>
      <c r="AA124" s="38" t="s">
        <v>86</v>
      </c>
      <c r="AB124" s="38">
        <v>51.1001</v>
      </c>
      <c r="AC124" s="38">
        <v>10.9143</v>
      </c>
      <c r="AD124" s="53" t="s">
        <v>375</v>
      </c>
      <c r="AE124" s="53"/>
      <c r="AF124" s="38" t="s">
        <v>500</v>
      </c>
      <c r="AG124" s="38"/>
      <c r="AH124" s="38"/>
      <c r="AI124" s="50">
        <v>51.1001</v>
      </c>
      <c r="AJ124" s="50">
        <v>10.9143</v>
      </c>
      <c r="AK124" s="41" t="s">
        <v>86</v>
      </c>
      <c r="AL124" s="40" t="s">
        <v>86</v>
      </c>
      <c r="AM124" s="49">
        <v>158.0</v>
      </c>
      <c r="AN124" s="51">
        <v>158.0</v>
      </c>
      <c r="AO124" s="42" t="s">
        <v>376</v>
      </c>
      <c r="AP124" s="43" t="s">
        <v>376</v>
      </c>
      <c r="AQ124" s="44" t="str">
        <f t="shared" si="1"/>
        <v>CRO</v>
      </c>
      <c r="AR124" s="44">
        <f t="shared" si="3"/>
        <v>158</v>
      </c>
      <c r="AS124" s="44" t="str">
        <f t="shared" si="5"/>
        <v>C</v>
      </c>
      <c r="AT124" s="44" t="str">
        <f t="shared" si="17"/>
        <v>Cf</v>
      </c>
      <c r="AU124" s="44" t="str">
        <f t="shared" si="2"/>
        <v>Cfb</v>
      </c>
      <c r="AV124" s="38"/>
      <c r="AW124" s="38"/>
      <c r="AX124" s="38"/>
      <c r="AY124" s="38" t="s">
        <v>88</v>
      </c>
      <c r="AZ124" s="29">
        <v>250.0</v>
      </c>
      <c r="BA124" s="29">
        <v>1.0</v>
      </c>
      <c r="BB124" s="29">
        <v>1.0</v>
      </c>
      <c r="BC124" s="29"/>
      <c r="BD124" s="29" t="s">
        <v>88</v>
      </c>
      <c r="BE124" s="29"/>
      <c r="BF124" s="29" t="s">
        <v>493</v>
      </c>
      <c r="BG124" s="29" t="s">
        <v>220</v>
      </c>
      <c r="BH124" s="29" t="s">
        <v>88</v>
      </c>
      <c r="BI124" s="29" t="s">
        <v>494</v>
      </c>
      <c r="BJ124" s="29"/>
      <c r="BK124" s="29" t="s">
        <v>148</v>
      </c>
      <c r="BL124" s="29" t="s">
        <v>148</v>
      </c>
      <c r="BM124" s="45">
        <v>1.0</v>
      </c>
      <c r="BN124" s="45">
        <v>1.0</v>
      </c>
      <c r="BO124" s="45" t="s">
        <v>495</v>
      </c>
      <c r="BP124" s="2"/>
      <c r="BQ124" s="3"/>
    </row>
    <row r="125">
      <c r="A125" s="34">
        <v>123.0</v>
      </c>
      <c r="B125" s="34">
        <v>103105.0</v>
      </c>
      <c r="C125" s="34" t="s">
        <v>415</v>
      </c>
      <c r="D125" s="34" t="s">
        <v>486</v>
      </c>
      <c r="E125" s="34" t="s">
        <v>487</v>
      </c>
      <c r="F125" s="34">
        <v>2018.0</v>
      </c>
      <c r="G125" s="34" t="s">
        <v>488</v>
      </c>
      <c r="H125" s="34" t="s">
        <v>282</v>
      </c>
      <c r="I125" s="34" t="s">
        <v>489</v>
      </c>
      <c r="J125" s="59"/>
      <c r="K125" s="36"/>
      <c r="L125" s="36"/>
      <c r="M125" s="36"/>
      <c r="N125" s="36">
        <v>10.11</v>
      </c>
      <c r="O125" s="36"/>
      <c r="P125" s="37">
        <v>39.0</v>
      </c>
      <c r="Q125" s="36" t="s">
        <v>96</v>
      </c>
      <c r="R125" s="36" t="s">
        <v>490</v>
      </c>
      <c r="S125" s="36">
        <v>250.0</v>
      </c>
      <c r="T125" s="36" t="s">
        <v>295</v>
      </c>
      <c r="U125" s="36" t="s">
        <v>246</v>
      </c>
      <c r="V125" s="36"/>
      <c r="W125" s="36" t="s">
        <v>169</v>
      </c>
      <c r="X125" s="38">
        <v>1.0</v>
      </c>
      <c r="Y125" s="38" t="s">
        <v>428</v>
      </c>
      <c r="Z125" s="38" t="s">
        <v>501</v>
      </c>
      <c r="AA125" s="38" t="s">
        <v>86</v>
      </c>
      <c r="AB125" s="38">
        <v>50.8929</v>
      </c>
      <c r="AC125" s="38">
        <v>13.5225</v>
      </c>
      <c r="AD125" s="53" t="s">
        <v>375</v>
      </c>
      <c r="AE125" s="53"/>
      <c r="AF125" s="38" t="s">
        <v>502</v>
      </c>
      <c r="AG125" s="38"/>
      <c r="AH125" s="38"/>
      <c r="AI125" s="50">
        <v>50.8929</v>
      </c>
      <c r="AJ125" s="50">
        <v>13.5225</v>
      </c>
      <c r="AK125" s="41" t="s">
        <v>86</v>
      </c>
      <c r="AL125" s="40" t="s">
        <v>86</v>
      </c>
      <c r="AM125" s="49">
        <v>479.0</v>
      </c>
      <c r="AN125" s="51">
        <v>479.0</v>
      </c>
      <c r="AO125" s="42" t="s">
        <v>372</v>
      </c>
      <c r="AP125" s="43" t="s">
        <v>107</v>
      </c>
      <c r="AQ125" s="44" t="str">
        <f t="shared" si="1"/>
        <v>CRO</v>
      </c>
      <c r="AR125" s="44">
        <f t="shared" si="3"/>
        <v>479</v>
      </c>
      <c r="AS125" s="44" t="str">
        <f t="shared" si="5"/>
        <v>D</v>
      </c>
      <c r="AT125" s="44" t="str">
        <f t="shared" si="17"/>
        <v>Df</v>
      </c>
      <c r="AU125" s="44" t="str">
        <f t="shared" si="2"/>
        <v>Dfb</v>
      </c>
      <c r="AV125" s="38"/>
      <c r="AW125" s="38"/>
      <c r="AX125" s="38"/>
      <c r="AY125" s="38" t="s">
        <v>88</v>
      </c>
      <c r="AZ125" s="29">
        <v>250.0</v>
      </c>
      <c r="BA125" s="29">
        <v>1.0</v>
      </c>
      <c r="BB125" s="29">
        <v>1.0</v>
      </c>
      <c r="BC125" s="29"/>
      <c r="BD125" s="29" t="s">
        <v>88</v>
      </c>
      <c r="BE125" s="29"/>
      <c r="BF125" s="29" t="s">
        <v>493</v>
      </c>
      <c r="BG125" s="29" t="s">
        <v>220</v>
      </c>
      <c r="BH125" s="29" t="s">
        <v>88</v>
      </c>
      <c r="BI125" s="29" t="s">
        <v>494</v>
      </c>
      <c r="BJ125" s="29"/>
      <c r="BK125" s="29" t="s">
        <v>148</v>
      </c>
      <c r="BL125" s="29" t="s">
        <v>148</v>
      </c>
      <c r="BM125" s="45">
        <v>1.0</v>
      </c>
      <c r="BN125" s="45">
        <v>1.0</v>
      </c>
      <c r="BO125" s="45" t="s">
        <v>495</v>
      </c>
      <c r="BP125" s="2"/>
      <c r="BQ125" s="3"/>
    </row>
    <row r="126">
      <c r="A126" s="34">
        <v>124.0</v>
      </c>
      <c r="B126" s="34">
        <v>103105.0</v>
      </c>
      <c r="C126" s="34" t="s">
        <v>415</v>
      </c>
      <c r="D126" s="34" t="s">
        <v>486</v>
      </c>
      <c r="E126" s="34" t="s">
        <v>487</v>
      </c>
      <c r="F126" s="34">
        <v>2018.0</v>
      </c>
      <c r="G126" s="34" t="s">
        <v>488</v>
      </c>
      <c r="H126" s="34" t="s">
        <v>282</v>
      </c>
      <c r="I126" s="34" t="s">
        <v>489</v>
      </c>
      <c r="J126" s="59"/>
      <c r="K126" s="36"/>
      <c r="L126" s="36"/>
      <c r="M126" s="36"/>
      <c r="N126" s="36">
        <v>-9.81</v>
      </c>
      <c r="O126" s="36"/>
      <c r="P126" s="37">
        <v>-18.0</v>
      </c>
      <c r="Q126" s="36" t="s">
        <v>96</v>
      </c>
      <c r="R126" s="36" t="s">
        <v>490</v>
      </c>
      <c r="S126" s="36">
        <v>250.0</v>
      </c>
      <c r="T126" s="36" t="s">
        <v>233</v>
      </c>
      <c r="U126" s="36" t="s">
        <v>246</v>
      </c>
      <c r="V126" s="36"/>
      <c r="W126" s="36" t="s">
        <v>169</v>
      </c>
      <c r="X126" s="38">
        <v>1.0</v>
      </c>
      <c r="Y126" s="38" t="s">
        <v>503</v>
      </c>
      <c r="Z126" s="38" t="s">
        <v>504</v>
      </c>
      <c r="AA126" s="38" t="s">
        <v>86</v>
      </c>
      <c r="AB126" s="38">
        <v>50.8659</v>
      </c>
      <c r="AC126" s="38">
        <v>6.4472</v>
      </c>
      <c r="AD126" s="53" t="s">
        <v>375</v>
      </c>
      <c r="AE126" s="53"/>
      <c r="AF126" s="38"/>
      <c r="AG126" s="38"/>
      <c r="AH126" s="38"/>
      <c r="AI126" s="50">
        <v>50.8659</v>
      </c>
      <c r="AJ126" s="50">
        <v>6.4472</v>
      </c>
      <c r="AK126" s="41" t="s">
        <v>86</v>
      </c>
      <c r="AL126" s="40" t="s">
        <v>505</v>
      </c>
      <c r="AM126" s="49">
        <v>101.0</v>
      </c>
      <c r="AN126" s="51">
        <v>101.0</v>
      </c>
      <c r="AO126" s="42" t="s">
        <v>376</v>
      </c>
      <c r="AP126" s="43" t="s">
        <v>376</v>
      </c>
      <c r="AQ126" s="44" t="str">
        <f t="shared" si="1"/>
        <v>CRO</v>
      </c>
      <c r="AR126" s="44">
        <f t="shared" si="3"/>
        <v>101</v>
      </c>
      <c r="AS126" s="44" t="str">
        <f t="shared" si="5"/>
        <v>C</v>
      </c>
      <c r="AT126" s="44" t="str">
        <f t="shared" si="17"/>
        <v>Cf</v>
      </c>
      <c r="AU126" s="44" t="str">
        <f t="shared" si="2"/>
        <v>Cfb</v>
      </c>
      <c r="AV126" s="38"/>
      <c r="AW126" s="38"/>
      <c r="AX126" s="38"/>
      <c r="AY126" s="38" t="s">
        <v>88</v>
      </c>
      <c r="AZ126" s="29">
        <v>250.0</v>
      </c>
      <c r="BA126" s="29">
        <v>1.0</v>
      </c>
      <c r="BB126" s="29">
        <v>1.0</v>
      </c>
      <c r="BC126" s="29"/>
      <c r="BD126" s="29" t="s">
        <v>88</v>
      </c>
      <c r="BE126" s="29"/>
      <c r="BF126" s="29" t="s">
        <v>493</v>
      </c>
      <c r="BG126" s="29" t="s">
        <v>220</v>
      </c>
      <c r="BH126" s="29" t="s">
        <v>88</v>
      </c>
      <c r="BI126" s="29" t="s">
        <v>494</v>
      </c>
      <c r="BJ126" s="29"/>
      <c r="BK126" s="29" t="s">
        <v>148</v>
      </c>
      <c r="BL126" s="29" t="s">
        <v>148</v>
      </c>
      <c r="BM126" s="45">
        <v>1.0</v>
      </c>
      <c r="BN126" s="45">
        <v>1.0</v>
      </c>
      <c r="BO126" s="46" t="s">
        <v>495</v>
      </c>
      <c r="BP126" s="2"/>
      <c r="BQ126" s="3"/>
    </row>
    <row r="127">
      <c r="A127" s="34">
        <v>125.0</v>
      </c>
      <c r="B127" s="34">
        <v>103105.0</v>
      </c>
      <c r="C127" s="34" t="s">
        <v>415</v>
      </c>
      <c r="D127" s="34" t="s">
        <v>486</v>
      </c>
      <c r="E127" s="34" t="s">
        <v>487</v>
      </c>
      <c r="F127" s="34">
        <v>2018.0</v>
      </c>
      <c r="G127" s="34" t="s">
        <v>488</v>
      </c>
      <c r="H127" s="34" t="s">
        <v>282</v>
      </c>
      <c r="I127" s="34" t="s">
        <v>489</v>
      </c>
      <c r="J127" s="59"/>
      <c r="K127" s="36"/>
      <c r="L127" s="36"/>
      <c r="M127" s="36"/>
      <c r="N127" s="36">
        <v>-8.92</v>
      </c>
      <c r="O127" s="36"/>
      <c r="P127" s="37">
        <v>-20.0</v>
      </c>
      <c r="Q127" s="36" t="s">
        <v>96</v>
      </c>
      <c r="R127" s="36" t="s">
        <v>490</v>
      </c>
      <c r="S127" s="36">
        <v>250.0</v>
      </c>
      <c r="T127" s="36" t="s">
        <v>506</v>
      </c>
      <c r="U127" s="36" t="s">
        <v>507</v>
      </c>
      <c r="V127" s="36"/>
      <c r="W127" s="36" t="s">
        <v>169</v>
      </c>
      <c r="X127" s="38">
        <v>1.0</v>
      </c>
      <c r="Y127" s="38" t="s">
        <v>508</v>
      </c>
      <c r="Z127" s="38" t="s">
        <v>509</v>
      </c>
      <c r="AA127" s="38" t="s">
        <v>86</v>
      </c>
      <c r="AB127" s="38">
        <v>50.8706</v>
      </c>
      <c r="AC127" s="38">
        <v>6.4497</v>
      </c>
      <c r="AD127" s="53" t="s">
        <v>375</v>
      </c>
      <c r="AE127" s="53"/>
      <c r="AF127" s="38"/>
      <c r="AG127" s="38"/>
      <c r="AH127" s="38"/>
      <c r="AI127" s="50">
        <v>50.8706</v>
      </c>
      <c r="AJ127" s="50">
        <v>6.4497</v>
      </c>
      <c r="AK127" s="41" t="s">
        <v>86</v>
      </c>
      <c r="AL127" s="40" t="s">
        <v>86</v>
      </c>
      <c r="AM127" s="49">
        <v>102.0</v>
      </c>
      <c r="AN127" s="51">
        <v>102.0</v>
      </c>
      <c r="AO127" s="42" t="s">
        <v>376</v>
      </c>
      <c r="AP127" s="43" t="s">
        <v>376</v>
      </c>
      <c r="AQ127" s="44" t="str">
        <f t="shared" si="1"/>
        <v>CRO</v>
      </c>
      <c r="AR127" s="44">
        <f t="shared" si="3"/>
        <v>102</v>
      </c>
      <c r="AS127" s="44" t="str">
        <f t="shared" si="5"/>
        <v>C</v>
      </c>
      <c r="AT127" s="44" t="str">
        <f t="shared" si="17"/>
        <v>Cf</v>
      </c>
      <c r="AU127" s="44" t="str">
        <f t="shared" si="2"/>
        <v>Cfb</v>
      </c>
      <c r="AV127" s="38"/>
      <c r="AW127" s="38"/>
      <c r="AX127" s="38"/>
      <c r="AY127" s="38" t="s">
        <v>88</v>
      </c>
      <c r="AZ127" s="29">
        <v>250.0</v>
      </c>
      <c r="BA127" s="29">
        <v>1.0</v>
      </c>
      <c r="BB127" s="29">
        <v>1.0</v>
      </c>
      <c r="BC127" s="29"/>
      <c r="BD127" s="29" t="s">
        <v>88</v>
      </c>
      <c r="BE127" s="29"/>
      <c r="BF127" s="29" t="s">
        <v>493</v>
      </c>
      <c r="BG127" s="29" t="s">
        <v>220</v>
      </c>
      <c r="BH127" s="29" t="s">
        <v>88</v>
      </c>
      <c r="BI127" s="29" t="s">
        <v>494</v>
      </c>
      <c r="BJ127" s="29"/>
      <c r="BK127" s="29" t="s">
        <v>148</v>
      </c>
      <c r="BL127" s="29" t="s">
        <v>148</v>
      </c>
      <c r="BM127" s="45">
        <v>1.0</v>
      </c>
      <c r="BN127" s="45">
        <v>1.0</v>
      </c>
      <c r="BO127" s="46" t="s">
        <v>495</v>
      </c>
      <c r="BP127" s="2"/>
      <c r="BQ127" s="3"/>
    </row>
    <row r="128">
      <c r="A128" s="34">
        <v>126.0</v>
      </c>
      <c r="B128" s="34">
        <v>103105.0</v>
      </c>
      <c r="C128" s="34" t="s">
        <v>415</v>
      </c>
      <c r="D128" s="34" t="s">
        <v>486</v>
      </c>
      <c r="E128" s="34" t="s">
        <v>487</v>
      </c>
      <c r="F128" s="34">
        <v>2018.0</v>
      </c>
      <c r="G128" s="34" t="s">
        <v>488</v>
      </c>
      <c r="H128" s="34" t="s">
        <v>282</v>
      </c>
      <c r="I128" s="34" t="s">
        <v>489</v>
      </c>
      <c r="J128" s="59">
        <v>1.0</v>
      </c>
      <c r="K128" s="36"/>
      <c r="L128" s="36"/>
      <c r="M128" s="36"/>
      <c r="N128" s="36">
        <v>11.54</v>
      </c>
      <c r="O128" s="36"/>
      <c r="P128" s="37">
        <v>65.0</v>
      </c>
      <c r="Q128" s="36" t="s">
        <v>96</v>
      </c>
      <c r="R128" s="36" t="s">
        <v>490</v>
      </c>
      <c r="S128" s="36">
        <v>250.0</v>
      </c>
      <c r="T128" s="36" t="s">
        <v>328</v>
      </c>
      <c r="U128" s="36" t="s">
        <v>363</v>
      </c>
      <c r="V128" s="36"/>
      <c r="W128" s="36" t="s">
        <v>169</v>
      </c>
      <c r="X128" s="38">
        <v>1.0</v>
      </c>
      <c r="Y128" s="38" t="s">
        <v>510</v>
      </c>
      <c r="Z128" s="38" t="s">
        <v>511</v>
      </c>
      <c r="AA128" s="38" t="s">
        <v>86</v>
      </c>
      <c r="AB128" s="38">
        <v>60.8986</v>
      </c>
      <c r="AC128" s="38">
        <v>23.5135</v>
      </c>
      <c r="AD128" s="53" t="s">
        <v>512</v>
      </c>
      <c r="AE128" s="53"/>
      <c r="AF128" s="38"/>
      <c r="AG128" s="38"/>
      <c r="AH128" s="38"/>
      <c r="AI128" s="50">
        <v>60.8986</v>
      </c>
      <c r="AJ128" s="50">
        <v>23.5135</v>
      </c>
      <c r="AK128" s="41" t="s">
        <v>313</v>
      </c>
      <c r="AL128" s="40" t="s">
        <v>313</v>
      </c>
      <c r="AM128" s="49"/>
      <c r="AN128" s="43"/>
      <c r="AO128" s="42" t="s">
        <v>372</v>
      </c>
      <c r="AP128" s="43" t="s">
        <v>107</v>
      </c>
      <c r="AQ128" s="44" t="str">
        <f t="shared" si="1"/>
        <v>CRO</v>
      </c>
      <c r="AR128" s="44" t="str">
        <f t="shared" si="3"/>
        <v/>
      </c>
      <c r="AS128" s="44" t="str">
        <f t="shared" si="5"/>
        <v>D</v>
      </c>
      <c r="AT128" s="44" t="str">
        <f t="shared" si="17"/>
        <v>Df</v>
      </c>
      <c r="AU128" s="44" t="str">
        <f t="shared" si="2"/>
        <v>Dfb</v>
      </c>
      <c r="AV128" s="38"/>
      <c r="AW128" s="38"/>
      <c r="AX128" s="38"/>
      <c r="AY128" s="38" t="s">
        <v>88</v>
      </c>
      <c r="AZ128" s="29">
        <v>250.0</v>
      </c>
      <c r="BA128" s="29">
        <v>1.0</v>
      </c>
      <c r="BB128" s="29">
        <v>1.0</v>
      </c>
      <c r="BC128" s="29"/>
      <c r="BD128" s="29" t="s">
        <v>88</v>
      </c>
      <c r="BE128" s="29"/>
      <c r="BF128" s="29" t="s">
        <v>493</v>
      </c>
      <c r="BG128" s="29" t="s">
        <v>220</v>
      </c>
      <c r="BH128" s="29" t="s">
        <v>88</v>
      </c>
      <c r="BI128" s="29" t="s">
        <v>494</v>
      </c>
      <c r="BJ128" s="29"/>
      <c r="BK128" s="29" t="s">
        <v>148</v>
      </c>
      <c r="BL128" s="29" t="s">
        <v>148</v>
      </c>
      <c r="BM128" s="45">
        <v>1.0</v>
      </c>
      <c r="BN128" s="45">
        <v>1.0</v>
      </c>
      <c r="BO128" s="46" t="s">
        <v>495</v>
      </c>
      <c r="BP128" s="2"/>
      <c r="BQ128" s="3"/>
    </row>
    <row r="129">
      <c r="A129" s="34">
        <v>127.0</v>
      </c>
      <c r="B129" s="34">
        <v>103105.0</v>
      </c>
      <c r="C129" s="34" t="s">
        <v>415</v>
      </c>
      <c r="D129" s="34" t="s">
        <v>486</v>
      </c>
      <c r="E129" s="34" t="s">
        <v>487</v>
      </c>
      <c r="F129" s="34">
        <v>2018.0</v>
      </c>
      <c r="G129" s="34" t="s">
        <v>488</v>
      </c>
      <c r="H129" s="34" t="s">
        <v>282</v>
      </c>
      <c r="I129" s="34" t="s">
        <v>489</v>
      </c>
      <c r="J129" s="59"/>
      <c r="K129" s="36"/>
      <c r="L129" s="36"/>
      <c r="M129" s="36"/>
      <c r="N129" s="36">
        <v>-2.18</v>
      </c>
      <c r="O129" s="36"/>
      <c r="P129" s="37">
        <v>-6.0</v>
      </c>
      <c r="Q129" s="36" t="s">
        <v>96</v>
      </c>
      <c r="R129" s="36" t="s">
        <v>490</v>
      </c>
      <c r="S129" s="36">
        <v>250.0</v>
      </c>
      <c r="T129" s="36" t="s">
        <v>295</v>
      </c>
      <c r="U129" s="36" t="s">
        <v>246</v>
      </c>
      <c r="V129" s="36"/>
      <c r="W129" s="36" t="s">
        <v>169</v>
      </c>
      <c r="X129" s="38">
        <v>1.0</v>
      </c>
      <c r="Y129" s="38" t="s">
        <v>513</v>
      </c>
      <c r="Z129" s="38" t="s">
        <v>514</v>
      </c>
      <c r="AA129" s="38" t="s">
        <v>86</v>
      </c>
      <c r="AB129" s="38">
        <v>48.8442</v>
      </c>
      <c r="AC129" s="38">
        <v>1.9519</v>
      </c>
      <c r="AD129" s="53" t="s">
        <v>382</v>
      </c>
      <c r="AE129" s="53"/>
      <c r="AF129" s="38"/>
      <c r="AG129" s="38"/>
      <c r="AH129" s="38"/>
      <c r="AI129" s="50">
        <v>48.8442</v>
      </c>
      <c r="AJ129" s="50">
        <v>1.9519</v>
      </c>
      <c r="AK129" s="41" t="s">
        <v>86</v>
      </c>
      <c r="AL129" s="40" t="s">
        <v>86</v>
      </c>
      <c r="AM129" s="49">
        <v>121.0</v>
      </c>
      <c r="AN129" s="51">
        <v>121.0</v>
      </c>
      <c r="AO129" s="42" t="s">
        <v>376</v>
      </c>
      <c r="AP129" s="43" t="s">
        <v>376</v>
      </c>
      <c r="AQ129" s="44" t="str">
        <f t="shared" si="1"/>
        <v>CRO</v>
      </c>
      <c r="AR129" s="44">
        <f t="shared" si="3"/>
        <v>121</v>
      </c>
      <c r="AS129" s="44" t="str">
        <f t="shared" si="5"/>
        <v>C</v>
      </c>
      <c r="AT129" s="44" t="str">
        <f t="shared" si="17"/>
        <v>Cf</v>
      </c>
      <c r="AU129" s="44" t="str">
        <f t="shared" si="2"/>
        <v>Cfb</v>
      </c>
      <c r="AV129" s="38"/>
      <c r="AW129" s="38"/>
      <c r="AX129" s="38"/>
      <c r="AY129" s="38" t="s">
        <v>88</v>
      </c>
      <c r="AZ129" s="29">
        <v>250.0</v>
      </c>
      <c r="BA129" s="29">
        <v>1.0</v>
      </c>
      <c r="BB129" s="29">
        <v>1.0</v>
      </c>
      <c r="BC129" s="29"/>
      <c r="BD129" s="29" t="s">
        <v>88</v>
      </c>
      <c r="BE129" s="29"/>
      <c r="BF129" s="29" t="s">
        <v>493</v>
      </c>
      <c r="BG129" s="29" t="s">
        <v>220</v>
      </c>
      <c r="BH129" s="29" t="s">
        <v>88</v>
      </c>
      <c r="BI129" s="29" t="s">
        <v>494</v>
      </c>
      <c r="BJ129" s="29"/>
      <c r="BK129" s="29" t="s">
        <v>148</v>
      </c>
      <c r="BL129" s="29" t="s">
        <v>148</v>
      </c>
      <c r="BM129" s="45">
        <v>1.0</v>
      </c>
      <c r="BN129" s="45">
        <v>1.0</v>
      </c>
      <c r="BO129" s="46" t="s">
        <v>495</v>
      </c>
      <c r="BP129" s="60"/>
      <c r="BQ129" s="61"/>
    </row>
    <row r="130">
      <c r="A130" s="34">
        <v>128.0</v>
      </c>
      <c r="B130" s="34">
        <v>103105.0</v>
      </c>
      <c r="C130" s="34" t="s">
        <v>415</v>
      </c>
      <c r="D130" s="34" t="s">
        <v>486</v>
      </c>
      <c r="E130" s="34" t="s">
        <v>487</v>
      </c>
      <c r="F130" s="34">
        <v>2018.0</v>
      </c>
      <c r="G130" s="34" t="s">
        <v>488</v>
      </c>
      <c r="H130" s="34" t="s">
        <v>282</v>
      </c>
      <c r="I130" s="34" t="s">
        <v>489</v>
      </c>
      <c r="J130" s="59"/>
      <c r="K130" s="36"/>
      <c r="L130" s="36"/>
      <c r="M130" s="36"/>
      <c r="N130" s="36">
        <v>-0.46</v>
      </c>
      <c r="O130" s="36"/>
      <c r="P130" s="37">
        <v>-1.0</v>
      </c>
      <c r="Q130" s="36" t="s">
        <v>96</v>
      </c>
      <c r="R130" s="36" t="s">
        <v>490</v>
      </c>
      <c r="S130" s="36">
        <v>250.0</v>
      </c>
      <c r="T130" s="36" t="s">
        <v>295</v>
      </c>
      <c r="U130" s="36" t="s">
        <v>507</v>
      </c>
      <c r="V130" s="36"/>
      <c r="W130" s="36" t="s">
        <v>169</v>
      </c>
      <c r="X130" s="38">
        <v>1.0</v>
      </c>
      <c r="Y130" s="38" t="s">
        <v>515</v>
      </c>
      <c r="Z130" s="38" t="s">
        <v>516</v>
      </c>
      <c r="AA130" s="38" t="s">
        <v>86</v>
      </c>
      <c r="AB130" s="38">
        <v>40.5238</v>
      </c>
      <c r="AC130" s="38">
        <v>14.9574</v>
      </c>
      <c r="AD130" s="53" t="s">
        <v>237</v>
      </c>
      <c r="AE130" s="38"/>
      <c r="AF130" s="38"/>
      <c r="AG130" s="38"/>
      <c r="AH130" s="38"/>
      <c r="AI130" s="50">
        <v>40.5238</v>
      </c>
      <c r="AJ130" s="50">
        <v>14.9574</v>
      </c>
      <c r="AK130" s="41" t="s">
        <v>86</v>
      </c>
      <c r="AL130" s="40" t="s">
        <v>86</v>
      </c>
      <c r="AM130" s="49">
        <v>9.0</v>
      </c>
      <c r="AN130" s="51">
        <v>9.0</v>
      </c>
      <c r="AO130" s="42" t="s">
        <v>175</v>
      </c>
      <c r="AP130" s="43" t="s">
        <v>175</v>
      </c>
      <c r="AQ130" s="44" t="str">
        <f t="shared" si="1"/>
        <v>CRO</v>
      </c>
      <c r="AR130" s="44">
        <f t="shared" si="3"/>
        <v>9</v>
      </c>
      <c r="AS130" s="44" t="str">
        <f t="shared" si="5"/>
        <v>C</v>
      </c>
      <c r="AT130" s="44" t="str">
        <f t="shared" si="17"/>
        <v>Cs</v>
      </c>
      <c r="AU130" s="44" t="str">
        <f t="shared" si="2"/>
        <v>Csa</v>
      </c>
      <c r="AV130" s="38"/>
      <c r="AW130" s="38"/>
      <c r="AX130" s="38"/>
      <c r="AY130" s="38" t="s">
        <v>88</v>
      </c>
      <c r="AZ130" s="29">
        <v>250.0</v>
      </c>
      <c r="BA130" s="29">
        <v>1.0</v>
      </c>
      <c r="BB130" s="29">
        <v>1.0</v>
      </c>
      <c r="BC130" s="29"/>
      <c r="BD130" s="29" t="s">
        <v>88</v>
      </c>
      <c r="BE130" s="29"/>
      <c r="BF130" s="29" t="s">
        <v>493</v>
      </c>
      <c r="BG130" s="29" t="s">
        <v>220</v>
      </c>
      <c r="BH130" s="29" t="s">
        <v>88</v>
      </c>
      <c r="BI130" s="29" t="s">
        <v>494</v>
      </c>
      <c r="BJ130" s="29"/>
      <c r="BK130" s="29" t="s">
        <v>148</v>
      </c>
      <c r="BL130" s="29" t="s">
        <v>148</v>
      </c>
      <c r="BM130" s="45">
        <v>1.0</v>
      </c>
      <c r="BN130" s="45">
        <v>1.0</v>
      </c>
      <c r="BO130" s="46" t="s">
        <v>495</v>
      </c>
      <c r="BP130" s="2"/>
      <c r="BQ130" s="3"/>
    </row>
    <row r="131">
      <c r="A131" s="34">
        <v>129.0</v>
      </c>
      <c r="B131" s="34">
        <v>103105.0</v>
      </c>
      <c r="C131" s="34" t="s">
        <v>415</v>
      </c>
      <c r="D131" s="34" t="s">
        <v>486</v>
      </c>
      <c r="E131" s="34" t="s">
        <v>487</v>
      </c>
      <c r="F131" s="34">
        <v>2018.0</v>
      </c>
      <c r="G131" s="34" t="s">
        <v>488</v>
      </c>
      <c r="H131" s="34" t="s">
        <v>282</v>
      </c>
      <c r="I131" s="34" t="s">
        <v>489</v>
      </c>
      <c r="J131" s="59"/>
      <c r="K131" s="36"/>
      <c r="L131" s="36"/>
      <c r="M131" s="36"/>
      <c r="N131" s="36">
        <v>7.07</v>
      </c>
      <c r="O131" s="36"/>
      <c r="P131" s="37">
        <v>21.0</v>
      </c>
      <c r="Q131" s="36" t="s">
        <v>96</v>
      </c>
      <c r="R131" s="36" t="s">
        <v>490</v>
      </c>
      <c r="S131" s="36">
        <v>250.0</v>
      </c>
      <c r="T131" s="36" t="s">
        <v>233</v>
      </c>
      <c r="U131" s="36" t="s">
        <v>244</v>
      </c>
      <c r="V131" s="36"/>
      <c r="W131" s="36" t="s">
        <v>169</v>
      </c>
      <c r="X131" s="38">
        <v>1.0</v>
      </c>
      <c r="Y131" s="38" t="s">
        <v>517</v>
      </c>
      <c r="Z131" s="38" t="s">
        <v>518</v>
      </c>
      <c r="AA131" s="38" t="s">
        <v>86</v>
      </c>
      <c r="AB131" s="38">
        <v>42.3772</v>
      </c>
      <c r="AC131" s="38">
        <v>12.026</v>
      </c>
      <c r="AD131" s="53" t="s">
        <v>237</v>
      </c>
      <c r="AE131" s="38"/>
      <c r="AF131" s="38"/>
      <c r="AG131" s="38"/>
      <c r="AH131" s="38"/>
      <c r="AI131" s="50">
        <v>42.3772</v>
      </c>
      <c r="AJ131" s="50">
        <v>12.026</v>
      </c>
      <c r="AK131" s="41" t="s">
        <v>86</v>
      </c>
      <c r="AL131" s="40" t="s">
        <v>86</v>
      </c>
      <c r="AM131" s="49">
        <v>203.0</v>
      </c>
      <c r="AN131" s="51">
        <v>203.0</v>
      </c>
      <c r="AO131" s="42" t="s">
        <v>175</v>
      </c>
      <c r="AP131" s="43" t="s">
        <v>175</v>
      </c>
      <c r="AQ131" s="44" t="str">
        <f t="shared" si="1"/>
        <v>CRO</v>
      </c>
      <c r="AR131" s="44">
        <f t="shared" si="3"/>
        <v>203</v>
      </c>
      <c r="AS131" s="44" t="str">
        <f t="shared" si="5"/>
        <v>C</v>
      </c>
      <c r="AT131" s="44" t="str">
        <f t="shared" si="17"/>
        <v>Cs</v>
      </c>
      <c r="AU131" s="44" t="str">
        <f t="shared" si="2"/>
        <v>Csa</v>
      </c>
      <c r="AV131" s="38"/>
      <c r="AW131" s="38"/>
      <c r="AX131" s="38"/>
      <c r="AY131" s="38" t="s">
        <v>88</v>
      </c>
      <c r="AZ131" s="29">
        <v>250.0</v>
      </c>
      <c r="BA131" s="29">
        <v>1.0</v>
      </c>
      <c r="BB131" s="29">
        <v>1.0</v>
      </c>
      <c r="BC131" s="29"/>
      <c r="BD131" s="29" t="s">
        <v>88</v>
      </c>
      <c r="BE131" s="29"/>
      <c r="BF131" s="29" t="s">
        <v>493</v>
      </c>
      <c r="BG131" s="29" t="s">
        <v>220</v>
      </c>
      <c r="BH131" s="29" t="s">
        <v>88</v>
      </c>
      <c r="BI131" s="29" t="s">
        <v>494</v>
      </c>
      <c r="BJ131" s="29"/>
      <c r="BK131" s="29" t="s">
        <v>148</v>
      </c>
      <c r="BL131" s="29" t="s">
        <v>148</v>
      </c>
      <c r="BM131" s="45">
        <v>1.0</v>
      </c>
      <c r="BN131" s="45">
        <v>1.0</v>
      </c>
      <c r="BO131" s="46" t="s">
        <v>495</v>
      </c>
      <c r="BP131" s="2"/>
      <c r="BQ131" s="3"/>
    </row>
    <row r="132">
      <c r="A132" s="34">
        <v>130.0</v>
      </c>
      <c r="B132" s="34">
        <v>103105.0</v>
      </c>
      <c r="C132" s="34" t="s">
        <v>415</v>
      </c>
      <c r="D132" s="34" t="s">
        <v>486</v>
      </c>
      <c r="E132" s="34" t="s">
        <v>487</v>
      </c>
      <c r="F132" s="34">
        <v>2018.0</v>
      </c>
      <c r="G132" s="34" t="s">
        <v>488</v>
      </c>
      <c r="H132" s="34" t="s">
        <v>282</v>
      </c>
      <c r="I132" s="34" t="s">
        <v>489</v>
      </c>
      <c r="J132" s="59"/>
      <c r="K132" s="36"/>
      <c r="L132" s="36"/>
      <c r="M132" s="36"/>
      <c r="N132" s="36">
        <v>-1.19</v>
      </c>
      <c r="O132" s="36"/>
      <c r="P132" s="37">
        <v>-3.0</v>
      </c>
      <c r="Q132" s="36" t="s">
        <v>96</v>
      </c>
      <c r="R132" s="36" t="s">
        <v>490</v>
      </c>
      <c r="S132" s="36">
        <v>250.0</v>
      </c>
      <c r="T132" s="36" t="s">
        <v>193</v>
      </c>
      <c r="U132" s="36" t="s">
        <v>243</v>
      </c>
      <c r="V132" s="36"/>
      <c r="W132" s="36" t="s">
        <v>169</v>
      </c>
      <c r="X132" s="38">
        <v>1.0</v>
      </c>
      <c r="Y132" s="38" t="s">
        <v>519</v>
      </c>
      <c r="Z132" s="38" t="s">
        <v>520</v>
      </c>
      <c r="AA132" s="38" t="s">
        <v>86</v>
      </c>
      <c r="AB132" s="38">
        <v>36.6058</v>
      </c>
      <c r="AC132" s="38">
        <v>-97.48888</v>
      </c>
      <c r="AD132" s="58" t="s">
        <v>87</v>
      </c>
      <c r="AE132" s="38">
        <v>314.0</v>
      </c>
      <c r="AF132" s="38"/>
      <c r="AG132" s="38" t="s">
        <v>201</v>
      </c>
      <c r="AH132" s="38"/>
      <c r="AI132" s="50">
        <v>36.6058</v>
      </c>
      <c r="AJ132" s="50">
        <v>-97.4884</v>
      </c>
      <c r="AK132" s="41" t="s">
        <v>86</v>
      </c>
      <c r="AL132" s="40" t="s">
        <v>86</v>
      </c>
      <c r="AM132" s="49">
        <v>322.0</v>
      </c>
      <c r="AN132" s="51">
        <v>322.0</v>
      </c>
      <c r="AO132" s="42" t="s">
        <v>201</v>
      </c>
      <c r="AP132" s="43" t="s">
        <v>201</v>
      </c>
      <c r="AQ132" s="44" t="str">
        <f t="shared" si="1"/>
        <v>CRO</v>
      </c>
      <c r="AR132" s="44">
        <f t="shared" si="3"/>
        <v>322</v>
      </c>
      <c r="AS132" s="44" t="str">
        <f t="shared" si="5"/>
        <v>C</v>
      </c>
      <c r="AT132" s="44" t="str">
        <f t="shared" si="17"/>
        <v>Cf</v>
      </c>
      <c r="AU132" s="44" t="str">
        <f t="shared" si="2"/>
        <v>Cfa</v>
      </c>
      <c r="AV132" s="38"/>
      <c r="AW132" s="38"/>
      <c r="AX132" s="38"/>
      <c r="AY132" s="38" t="s">
        <v>88</v>
      </c>
      <c r="AZ132" s="29">
        <v>250.0</v>
      </c>
      <c r="BA132" s="29">
        <v>1.0</v>
      </c>
      <c r="BB132" s="29">
        <v>1.0</v>
      </c>
      <c r="BC132" s="29"/>
      <c r="BD132" s="29" t="s">
        <v>88</v>
      </c>
      <c r="BE132" s="29"/>
      <c r="BF132" s="29" t="s">
        <v>493</v>
      </c>
      <c r="BG132" s="29" t="s">
        <v>220</v>
      </c>
      <c r="BH132" s="29" t="s">
        <v>88</v>
      </c>
      <c r="BI132" s="29" t="s">
        <v>494</v>
      </c>
      <c r="BJ132" s="29"/>
      <c r="BK132" s="29" t="s">
        <v>148</v>
      </c>
      <c r="BL132" s="29" t="s">
        <v>148</v>
      </c>
      <c r="BM132" s="45">
        <v>1.0</v>
      </c>
      <c r="BN132" s="45">
        <v>1.0</v>
      </c>
      <c r="BO132" s="46" t="s">
        <v>495</v>
      </c>
      <c r="BP132" s="2"/>
      <c r="BQ132" s="3"/>
    </row>
    <row r="133">
      <c r="A133" s="34">
        <v>131.0</v>
      </c>
      <c r="B133" s="34">
        <v>103105.0</v>
      </c>
      <c r="C133" s="34" t="s">
        <v>415</v>
      </c>
      <c r="D133" s="34" t="s">
        <v>486</v>
      </c>
      <c r="E133" s="34" t="s">
        <v>487</v>
      </c>
      <c r="F133" s="34">
        <v>2018.0</v>
      </c>
      <c r="G133" s="34" t="s">
        <v>488</v>
      </c>
      <c r="H133" s="34" t="s">
        <v>282</v>
      </c>
      <c r="I133" s="34" t="s">
        <v>489</v>
      </c>
      <c r="J133" s="59"/>
      <c r="K133" s="36"/>
      <c r="L133" s="36"/>
      <c r="M133" s="36"/>
      <c r="N133" s="36">
        <v>-8.41</v>
      </c>
      <c r="O133" s="36"/>
      <c r="P133" s="37">
        <v>-16.0</v>
      </c>
      <c r="Q133" s="36" t="s">
        <v>96</v>
      </c>
      <c r="R133" s="36" t="s">
        <v>490</v>
      </c>
      <c r="S133" s="36">
        <v>250.0</v>
      </c>
      <c r="T133" s="36" t="s">
        <v>233</v>
      </c>
      <c r="U133" s="36" t="s">
        <v>244</v>
      </c>
      <c r="V133" s="36"/>
      <c r="W133" s="36" t="s">
        <v>169</v>
      </c>
      <c r="X133" s="38">
        <v>1.0</v>
      </c>
      <c r="Y133" s="38" t="s">
        <v>521</v>
      </c>
      <c r="Z133" s="38" t="s">
        <v>522</v>
      </c>
      <c r="AA133" s="38" t="s">
        <v>86</v>
      </c>
      <c r="AB133" s="38">
        <v>41.6285</v>
      </c>
      <c r="AC133" s="38">
        <v>-83.3471</v>
      </c>
      <c r="AD133" s="58" t="s">
        <v>87</v>
      </c>
      <c r="AE133" s="53"/>
      <c r="AF133" s="38"/>
      <c r="AG133" s="57" t="s">
        <v>108</v>
      </c>
      <c r="AH133" s="38"/>
      <c r="AI133" s="50">
        <v>41.6285</v>
      </c>
      <c r="AJ133" s="50">
        <v>-83.3471</v>
      </c>
      <c r="AK133" s="41" t="s">
        <v>86</v>
      </c>
      <c r="AL133" s="40" t="s">
        <v>86</v>
      </c>
      <c r="AM133" s="49">
        <v>178.0</v>
      </c>
      <c r="AN133" s="51">
        <v>178.0</v>
      </c>
      <c r="AO133" s="42" t="s">
        <v>107</v>
      </c>
      <c r="AP133" s="43" t="s">
        <v>108</v>
      </c>
      <c r="AQ133" s="44" t="str">
        <f t="shared" si="1"/>
        <v>CRO</v>
      </c>
      <c r="AR133" s="44">
        <f t="shared" si="3"/>
        <v>178</v>
      </c>
      <c r="AS133" s="44" t="str">
        <f t="shared" si="5"/>
        <v>D</v>
      </c>
      <c r="AT133" s="44" t="str">
        <f t="shared" si="17"/>
        <v>Df</v>
      </c>
      <c r="AU133" s="44" t="str">
        <f t="shared" si="2"/>
        <v>Dfa</v>
      </c>
      <c r="AV133" s="38"/>
      <c r="AW133" s="38"/>
      <c r="AX133" s="38"/>
      <c r="AY133" s="38" t="s">
        <v>88</v>
      </c>
      <c r="AZ133" s="29">
        <v>250.0</v>
      </c>
      <c r="BA133" s="29">
        <v>1.0</v>
      </c>
      <c r="BB133" s="29">
        <v>1.0</v>
      </c>
      <c r="BC133" s="29"/>
      <c r="BD133" s="29" t="s">
        <v>88</v>
      </c>
      <c r="BE133" s="29"/>
      <c r="BF133" s="29" t="s">
        <v>493</v>
      </c>
      <c r="BG133" s="29" t="s">
        <v>220</v>
      </c>
      <c r="BH133" s="29" t="s">
        <v>88</v>
      </c>
      <c r="BI133" s="29" t="s">
        <v>494</v>
      </c>
      <c r="BJ133" s="29"/>
      <c r="BK133" s="29" t="s">
        <v>148</v>
      </c>
      <c r="BL133" s="29" t="s">
        <v>148</v>
      </c>
      <c r="BM133" s="45">
        <v>1.0</v>
      </c>
      <c r="BN133" s="45">
        <v>1.0</v>
      </c>
      <c r="BO133" s="46" t="s">
        <v>495</v>
      </c>
      <c r="BP133" s="2"/>
      <c r="BQ133" s="3"/>
    </row>
    <row r="134">
      <c r="A134" s="34">
        <v>132.0</v>
      </c>
      <c r="B134" s="34">
        <v>103105.0</v>
      </c>
      <c r="C134" s="34" t="s">
        <v>415</v>
      </c>
      <c r="D134" s="34" t="s">
        <v>486</v>
      </c>
      <c r="E134" s="34" t="s">
        <v>487</v>
      </c>
      <c r="F134" s="34">
        <v>2018.0</v>
      </c>
      <c r="G134" s="34" t="s">
        <v>488</v>
      </c>
      <c r="H134" s="34" t="s">
        <v>282</v>
      </c>
      <c r="I134" s="34" t="s">
        <v>489</v>
      </c>
      <c r="J134" s="59"/>
      <c r="K134" s="36"/>
      <c r="L134" s="36"/>
      <c r="M134" s="36"/>
      <c r="N134" s="36">
        <v>-2.77</v>
      </c>
      <c r="O134" s="36"/>
      <c r="P134" s="37">
        <v>-5.0</v>
      </c>
      <c r="Q134" s="36" t="s">
        <v>96</v>
      </c>
      <c r="R134" s="36" t="s">
        <v>490</v>
      </c>
      <c r="S134" s="36">
        <v>250.0</v>
      </c>
      <c r="T134" s="36" t="s">
        <v>328</v>
      </c>
      <c r="U134" s="36" t="s">
        <v>244</v>
      </c>
      <c r="V134" s="36"/>
      <c r="W134" s="36" t="s">
        <v>169</v>
      </c>
      <c r="X134" s="38">
        <v>1.0</v>
      </c>
      <c r="Y134" s="38" t="s">
        <v>523</v>
      </c>
      <c r="Z134" s="38" t="s">
        <v>524</v>
      </c>
      <c r="AA134" s="38" t="s">
        <v>86</v>
      </c>
      <c r="AB134" s="38">
        <v>41.1651</v>
      </c>
      <c r="AC134" s="38">
        <v>-96.4766</v>
      </c>
      <c r="AD134" s="58" t="s">
        <v>87</v>
      </c>
      <c r="AE134" s="38">
        <v>361.0</v>
      </c>
      <c r="AF134" s="38" t="s">
        <v>525</v>
      </c>
      <c r="AG134" s="38" t="s">
        <v>108</v>
      </c>
      <c r="AH134" s="38"/>
      <c r="AI134" s="50">
        <v>41.1651</v>
      </c>
      <c r="AJ134" s="50">
        <v>-96.4766</v>
      </c>
      <c r="AK134" s="41" t="s">
        <v>86</v>
      </c>
      <c r="AL134" s="40" t="s">
        <v>86</v>
      </c>
      <c r="AM134" s="49">
        <v>356.0</v>
      </c>
      <c r="AN134" s="51">
        <v>356.0</v>
      </c>
      <c r="AO134" s="42" t="s">
        <v>107</v>
      </c>
      <c r="AP134" s="43" t="s">
        <v>108</v>
      </c>
      <c r="AQ134" s="44" t="str">
        <f t="shared" si="1"/>
        <v>CRO</v>
      </c>
      <c r="AR134" s="44">
        <f t="shared" si="3"/>
        <v>356</v>
      </c>
      <c r="AS134" s="44" t="str">
        <f t="shared" si="5"/>
        <v>D</v>
      </c>
      <c r="AT134" s="44" t="str">
        <f t="shared" si="17"/>
        <v>Df</v>
      </c>
      <c r="AU134" s="44" t="str">
        <f t="shared" si="2"/>
        <v>Dfa</v>
      </c>
      <c r="AV134" s="38"/>
      <c r="AW134" s="38"/>
      <c r="AX134" s="38"/>
      <c r="AY134" s="38" t="s">
        <v>88</v>
      </c>
      <c r="AZ134" s="29">
        <v>250.0</v>
      </c>
      <c r="BA134" s="29">
        <v>1.0</v>
      </c>
      <c r="BB134" s="29">
        <v>1.0</v>
      </c>
      <c r="BC134" s="29"/>
      <c r="BD134" s="29" t="s">
        <v>88</v>
      </c>
      <c r="BE134" s="29"/>
      <c r="BF134" s="29" t="s">
        <v>493</v>
      </c>
      <c r="BG134" s="29" t="s">
        <v>220</v>
      </c>
      <c r="BH134" s="29" t="s">
        <v>88</v>
      </c>
      <c r="BI134" s="29" t="s">
        <v>494</v>
      </c>
      <c r="BJ134" s="29"/>
      <c r="BK134" s="29" t="s">
        <v>148</v>
      </c>
      <c r="BL134" s="29" t="s">
        <v>148</v>
      </c>
      <c r="BM134" s="45">
        <v>1.0</v>
      </c>
      <c r="BN134" s="45">
        <v>1.0</v>
      </c>
      <c r="BO134" s="46" t="s">
        <v>495</v>
      </c>
      <c r="BP134" s="2"/>
      <c r="BQ134" s="3"/>
    </row>
    <row r="135">
      <c r="A135" s="34">
        <v>133.0</v>
      </c>
      <c r="B135" s="34">
        <v>103105.0</v>
      </c>
      <c r="C135" s="34" t="s">
        <v>415</v>
      </c>
      <c r="D135" s="34" t="s">
        <v>486</v>
      </c>
      <c r="E135" s="34" t="s">
        <v>487</v>
      </c>
      <c r="F135" s="34">
        <v>2018.0</v>
      </c>
      <c r="G135" s="34" t="s">
        <v>488</v>
      </c>
      <c r="H135" s="34" t="s">
        <v>282</v>
      </c>
      <c r="I135" s="34" t="s">
        <v>489</v>
      </c>
      <c r="J135" s="59"/>
      <c r="K135" s="36"/>
      <c r="L135" s="36"/>
      <c r="M135" s="36"/>
      <c r="N135" s="36">
        <v>-4.07</v>
      </c>
      <c r="O135" s="36"/>
      <c r="P135" s="37">
        <v>-8.0</v>
      </c>
      <c r="Q135" s="36" t="s">
        <v>96</v>
      </c>
      <c r="R135" s="36" t="s">
        <v>490</v>
      </c>
      <c r="S135" s="36">
        <v>250.0</v>
      </c>
      <c r="T135" s="36" t="s">
        <v>328</v>
      </c>
      <c r="U135" s="36" t="s">
        <v>244</v>
      </c>
      <c r="V135" s="36"/>
      <c r="W135" s="36" t="s">
        <v>169</v>
      </c>
      <c r="X135" s="38">
        <v>1.0</v>
      </c>
      <c r="Y135" s="38" t="s">
        <v>526</v>
      </c>
      <c r="Z135" s="38" t="s">
        <v>527</v>
      </c>
      <c r="AA135" s="38" t="s">
        <v>86</v>
      </c>
      <c r="AB135" s="38">
        <v>41.1649</v>
      </c>
      <c r="AC135" s="38">
        <v>-96.4701</v>
      </c>
      <c r="AD135" s="58" t="s">
        <v>87</v>
      </c>
      <c r="AE135" s="38">
        <v>362.0</v>
      </c>
      <c r="AF135" s="38" t="s">
        <v>528</v>
      </c>
      <c r="AG135" s="38" t="s">
        <v>108</v>
      </c>
      <c r="AH135" s="38"/>
      <c r="AI135" s="50">
        <v>41.1649</v>
      </c>
      <c r="AJ135" s="50">
        <v>-96.4701</v>
      </c>
      <c r="AK135" s="41" t="s">
        <v>86</v>
      </c>
      <c r="AL135" s="40" t="s">
        <v>86</v>
      </c>
      <c r="AM135" s="49">
        <v>355.0</v>
      </c>
      <c r="AN135" s="51">
        <v>355.0</v>
      </c>
      <c r="AO135" s="42" t="s">
        <v>107</v>
      </c>
      <c r="AP135" s="43" t="s">
        <v>108</v>
      </c>
      <c r="AQ135" s="44" t="str">
        <f t="shared" si="1"/>
        <v>CRO</v>
      </c>
      <c r="AR135" s="44">
        <f t="shared" si="3"/>
        <v>355</v>
      </c>
      <c r="AS135" s="44" t="str">
        <f t="shared" si="5"/>
        <v>D</v>
      </c>
      <c r="AT135" s="44" t="str">
        <f t="shared" si="17"/>
        <v>Df</v>
      </c>
      <c r="AU135" s="44" t="str">
        <f t="shared" si="2"/>
        <v>Dfa</v>
      </c>
      <c r="AV135" s="38"/>
      <c r="AW135" s="38"/>
      <c r="AX135" s="38"/>
      <c r="AY135" s="38" t="s">
        <v>88</v>
      </c>
      <c r="AZ135" s="29">
        <v>250.0</v>
      </c>
      <c r="BA135" s="29">
        <v>1.0</v>
      </c>
      <c r="BB135" s="29">
        <v>1.0</v>
      </c>
      <c r="BC135" s="29"/>
      <c r="BD135" s="29" t="s">
        <v>88</v>
      </c>
      <c r="BE135" s="29"/>
      <c r="BF135" s="29" t="s">
        <v>493</v>
      </c>
      <c r="BG135" s="29" t="s">
        <v>220</v>
      </c>
      <c r="BH135" s="29" t="s">
        <v>88</v>
      </c>
      <c r="BI135" s="29" t="s">
        <v>494</v>
      </c>
      <c r="BJ135" s="29"/>
      <c r="BK135" s="29" t="s">
        <v>148</v>
      </c>
      <c r="BL135" s="29" t="s">
        <v>148</v>
      </c>
      <c r="BM135" s="45">
        <v>1.0</v>
      </c>
      <c r="BN135" s="45">
        <v>1.0</v>
      </c>
      <c r="BO135" s="46" t="s">
        <v>495</v>
      </c>
      <c r="BP135" s="2"/>
      <c r="BQ135" s="3"/>
    </row>
    <row r="136">
      <c r="A136" s="34">
        <v>134.0</v>
      </c>
      <c r="B136" s="34">
        <v>103105.0</v>
      </c>
      <c r="C136" s="34" t="s">
        <v>415</v>
      </c>
      <c r="D136" s="34" t="s">
        <v>486</v>
      </c>
      <c r="E136" s="34" t="s">
        <v>487</v>
      </c>
      <c r="F136" s="34">
        <v>2018.0</v>
      </c>
      <c r="G136" s="34" t="s">
        <v>488</v>
      </c>
      <c r="H136" s="34" t="s">
        <v>282</v>
      </c>
      <c r="I136" s="34" t="s">
        <v>489</v>
      </c>
      <c r="J136" s="59"/>
      <c r="K136" s="36"/>
      <c r="L136" s="36"/>
      <c r="M136" s="36"/>
      <c r="N136" s="36">
        <v>-2.73</v>
      </c>
      <c r="O136" s="36"/>
      <c r="P136" s="37">
        <v>-6.0</v>
      </c>
      <c r="Q136" s="36" t="s">
        <v>96</v>
      </c>
      <c r="R136" s="36" t="s">
        <v>490</v>
      </c>
      <c r="S136" s="36">
        <v>250.0</v>
      </c>
      <c r="T136" s="36" t="s">
        <v>328</v>
      </c>
      <c r="U136" s="36" t="s">
        <v>244</v>
      </c>
      <c r="V136" s="36"/>
      <c r="W136" s="36" t="s">
        <v>169</v>
      </c>
      <c r="X136" s="38">
        <v>1.0</v>
      </c>
      <c r="Y136" s="38" t="s">
        <v>529</v>
      </c>
      <c r="Z136" s="38" t="s">
        <v>530</v>
      </c>
      <c r="AA136" s="38" t="s">
        <v>86</v>
      </c>
      <c r="AB136" s="38">
        <v>41.1797</v>
      </c>
      <c r="AC136" s="38">
        <v>-96.4397</v>
      </c>
      <c r="AD136" s="58" t="s">
        <v>87</v>
      </c>
      <c r="AE136" s="38">
        <v>363.0</v>
      </c>
      <c r="AF136" s="38" t="s">
        <v>528</v>
      </c>
      <c r="AG136" s="38" t="s">
        <v>108</v>
      </c>
      <c r="AH136" s="38"/>
      <c r="AI136" s="50">
        <v>41.1797</v>
      </c>
      <c r="AJ136" s="50">
        <v>-96.4397</v>
      </c>
      <c r="AK136" s="41" t="s">
        <v>86</v>
      </c>
      <c r="AL136" s="40" t="s">
        <v>86</v>
      </c>
      <c r="AM136" s="49">
        <v>359.0</v>
      </c>
      <c r="AN136" s="51">
        <v>359.0</v>
      </c>
      <c r="AO136" s="42" t="s">
        <v>107</v>
      </c>
      <c r="AP136" s="43" t="s">
        <v>108</v>
      </c>
      <c r="AQ136" s="44" t="str">
        <f t="shared" si="1"/>
        <v>CRO</v>
      </c>
      <c r="AR136" s="44">
        <f t="shared" si="3"/>
        <v>359</v>
      </c>
      <c r="AS136" s="44" t="str">
        <f t="shared" si="5"/>
        <v>D</v>
      </c>
      <c r="AT136" s="44" t="str">
        <f t="shared" si="17"/>
        <v>Df</v>
      </c>
      <c r="AU136" s="44" t="str">
        <f t="shared" si="2"/>
        <v>Dfa</v>
      </c>
      <c r="AV136" s="38"/>
      <c r="AW136" s="38"/>
      <c r="AX136" s="38"/>
      <c r="AY136" s="38" t="s">
        <v>88</v>
      </c>
      <c r="AZ136" s="29">
        <v>250.0</v>
      </c>
      <c r="BA136" s="29">
        <v>1.0</v>
      </c>
      <c r="BB136" s="29">
        <v>1.0</v>
      </c>
      <c r="BC136" s="29"/>
      <c r="BD136" s="29" t="s">
        <v>88</v>
      </c>
      <c r="BE136" s="29"/>
      <c r="BF136" s="29" t="s">
        <v>493</v>
      </c>
      <c r="BG136" s="29" t="s">
        <v>220</v>
      </c>
      <c r="BH136" s="29" t="s">
        <v>88</v>
      </c>
      <c r="BI136" s="29" t="s">
        <v>494</v>
      </c>
      <c r="BJ136" s="29"/>
      <c r="BK136" s="29" t="s">
        <v>148</v>
      </c>
      <c r="BL136" s="29" t="s">
        <v>148</v>
      </c>
      <c r="BM136" s="45">
        <v>1.0</v>
      </c>
      <c r="BN136" s="45">
        <v>1.0</v>
      </c>
      <c r="BO136" s="46" t="s">
        <v>495</v>
      </c>
      <c r="BP136" s="2"/>
      <c r="BQ136" s="3"/>
    </row>
    <row r="137">
      <c r="A137" s="34">
        <v>135.0</v>
      </c>
      <c r="B137" s="34">
        <v>103105.0</v>
      </c>
      <c r="C137" s="34" t="s">
        <v>415</v>
      </c>
      <c r="D137" s="34" t="s">
        <v>486</v>
      </c>
      <c r="E137" s="34" t="s">
        <v>487</v>
      </c>
      <c r="F137" s="34">
        <v>2018.0</v>
      </c>
      <c r="G137" s="34" t="s">
        <v>488</v>
      </c>
      <c r="H137" s="34" t="s">
        <v>282</v>
      </c>
      <c r="I137" s="34" t="s">
        <v>489</v>
      </c>
      <c r="J137" s="59"/>
      <c r="K137" s="36"/>
      <c r="L137" s="36"/>
      <c r="M137" s="36"/>
      <c r="N137" s="36">
        <v>-9.87</v>
      </c>
      <c r="O137" s="36"/>
      <c r="P137" s="37">
        <v>-16.0</v>
      </c>
      <c r="Q137" s="36" t="s">
        <v>96</v>
      </c>
      <c r="R137" s="36" t="s">
        <v>490</v>
      </c>
      <c r="S137" s="36">
        <v>250.0</v>
      </c>
      <c r="T137" s="36" t="s">
        <v>242</v>
      </c>
      <c r="U137" s="36" t="s">
        <v>243</v>
      </c>
      <c r="V137" s="36"/>
      <c r="W137" s="36" t="s">
        <v>169</v>
      </c>
      <c r="X137" s="38">
        <v>1.0</v>
      </c>
      <c r="Y137" s="38" t="s">
        <v>531</v>
      </c>
      <c r="Z137" s="38" t="s">
        <v>532</v>
      </c>
      <c r="AA137" s="38" t="s">
        <v>86</v>
      </c>
      <c r="AB137" s="38">
        <v>38.1047</v>
      </c>
      <c r="AC137" s="38">
        <v>-121.6433</v>
      </c>
      <c r="AD137" s="58" t="s">
        <v>87</v>
      </c>
      <c r="AE137" s="38">
        <v>-5.0</v>
      </c>
      <c r="AF137" s="38"/>
      <c r="AG137" s="38" t="s">
        <v>175</v>
      </c>
      <c r="AH137" s="38"/>
      <c r="AI137" s="50">
        <v>38.1047</v>
      </c>
      <c r="AJ137" s="50">
        <v>-121.6433</v>
      </c>
      <c r="AK137" s="41" t="s">
        <v>86</v>
      </c>
      <c r="AL137" s="40" t="s">
        <v>86</v>
      </c>
      <c r="AM137" s="49">
        <v>-6.0</v>
      </c>
      <c r="AN137" s="51">
        <v>-6.0</v>
      </c>
      <c r="AO137" s="42" t="s">
        <v>175</v>
      </c>
      <c r="AP137" s="43" t="s">
        <v>175</v>
      </c>
      <c r="AQ137" s="44" t="str">
        <f t="shared" si="1"/>
        <v>CRO</v>
      </c>
      <c r="AR137" s="44">
        <f t="shared" si="3"/>
        <v>-6</v>
      </c>
      <c r="AS137" s="44" t="str">
        <f t="shared" si="5"/>
        <v>C</v>
      </c>
      <c r="AT137" s="44" t="str">
        <f t="shared" si="17"/>
        <v>Cs</v>
      </c>
      <c r="AU137" s="44" t="str">
        <f t="shared" si="2"/>
        <v>Csa</v>
      </c>
      <c r="AV137" s="38"/>
      <c r="AW137" s="38"/>
      <c r="AX137" s="38"/>
      <c r="AY137" s="38" t="s">
        <v>88</v>
      </c>
      <c r="AZ137" s="29">
        <v>250.0</v>
      </c>
      <c r="BA137" s="29">
        <v>1.0</v>
      </c>
      <c r="BB137" s="29">
        <v>1.0</v>
      </c>
      <c r="BC137" s="29"/>
      <c r="BD137" s="29" t="s">
        <v>88</v>
      </c>
      <c r="BE137" s="29"/>
      <c r="BF137" s="29" t="s">
        <v>493</v>
      </c>
      <c r="BG137" s="29" t="s">
        <v>220</v>
      </c>
      <c r="BH137" s="29" t="s">
        <v>88</v>
      </c>
      <c r="BI137" s="29" t="s">
        <v>494</v>
      </c>
      <c r="BJ137" s="29"/>
      <c r="BK137" s="29" t="s">
        <v>148</v>
      </c>
      <c r="BL137" s="29" t="s">
        <v>148</v>
      </c>
      <c r="BM137" s="45">
        <v>1.0</v>
      </c>
      <c r="BN137" s="45">
        <v>1.0</v>
      </c>
      <c r="BO137" s="46" t="s">
        <v>495</v>
      </c>
      <c r="BP137" s="2"/>
      <c r="BQ137" s="3"/>
    </row>
    <row r="138">
      <c r="A138" s="34">
        <v>136.0</v>
      </c>
      <c r="B138" s="34">
        <v>103105.0</v>
      </c>
      <c r="C138" s="34" t="s">
        <v>415</v>
      </c>
      <c r="D138" s="34" t="s">
        <v>486</v>
      </c>
      <c r="E138" s="34" t="s">
        <v>487</v>
      </c>
      <c r="F138" s="34">
        <v>2018.0</v>
      </c>
      <c r="G138" s="34" t="s">
        <v>488</v>
      </c>
      <c r="H138" s="34" t="s">
        <v>282</v>
      </c>
      <c r="I138" s="34" t="s">
        <v>489</v>
      </c>
      <c r="J138" s="59"/>
      <c r="K138" s="36"/>
      <c r="L138" s="36"/>
      <c r="M138" s="36"/>
      <c r="N138" s="36">
        <v>-0.8</v>
      </c>
      <c r="O138" s="36"/>
      <c r="P138" s="37">
        <v>-1.0</v>
      </c>
      <c r="Q138" s="36" t="s">
        <v>96</v>
      </c>
      <c r="R138" s="36" t="s">
        <v>490</v>
      </c>
      <c r="S138" s="36">
        <v>250.0</v>
      </c>
      <c r="T138" s="36" t="s">
        <v>167</v>
      </c>
      <c r="U138" s="36" t="s">
        <v>246</v>
      </c>
      <c r="V138" s="36"/>
      <c r="W138" s="36" t="s">
        <v>169</v>
      </c>
      <c r="X138" s="38">
        <v>1.0</v>
      </c>
      <c r="Y138" s="38" t="s">
        <v>533</v>
      </c>
      <c r="Z138" s="38" t="s">
        <v>534</v>
      </c>
      <c r="AA138" s="38" t="s">
        <v>86</v>
      </c>
      <c r="AB138" s="38">
        <v>38.1159</v>
      </c>
      <c r="AC138" s="38">
        <v>-121.6467</v>
      </c>
      <c r="AD138" s="58" t="s">
        <v>87</v>
      </c>
      <c r="AE138" s="38">
        <v>-4.0</v>
      </c>
      <c r="AF138" s="38" t="s">
        <v>535</v>
      </c>
      <c r="AG138" s="38" t="s">
        <v>175</v>
      </c>
      <c r="AH138" s="38"/>
      <c r="AI138" s="50">
        <v>38.1159</v>
      </c>
      <c r="AJ138" s="50">
        <v>-121.6467</v>
      </c>
      <c r="AK138" s="41" t="s">
        <v>86</v>
      </c>
      <c r="AL138" s="40" t="s">
        <v>86</v>
      </c>
      <c r="AM138" s="49">
        <v>-3.0</v>
      </c>
      <c r="AN138" s="51">
        <v>-3.0</v>
      </c>
      <c r="AO138" s="42" t="s">
        <v>175</v>
      </c>
      <c r="AP138" s="43" t="s">
        <v>175</v>
      </c>
      <c r="AQ138" s="44" t="str">
        <f t="shared" si="1"/>
        <v>CRO</v>
      </c>
      <c r="AR138" s="44">
        <f t="shared" si="3"/>
        <v>-3</v>
      </c>
      <c r="AS138" s="44" t="str">
        <f t="shared" si="5"/>
        <v>C</v>
      </c>
      <c r="AT138" s="44" t="str">
        <f t="shared" si="17"/>
        <v>Cs</v>
      </c>
      <c r="AU138" s="44" t="str">
        <f t="shared" si="2"/>
        <v>Csa</v>
      </c>
      <c r="AV138" s="38"/>
      <c r="AW138" s="38"/>
      <c r="AX138" s="38"/>
      <c r="AY138" s="38" t="s">
        <v>88</v>
      </c>
      <c r="AZ138" s="29">
        <v>250.0</v>
      </c>
      <c r="BA138" s="29">
        <v>1.0</v>
      </c>
      <c r="BB138" s="29">
        <v>1.0</v>
      </c>
      <c r="BC138" s="29"/>
      <c r="BD138" s="29" t="s">
        <v>88</v>
      </c>
      <c r="BE138" s="29"/>
      <c r="BF138" s="29" t="s">
        <v>493</v>
      </c>
      <c r="BG138" s="29" t="s">
        <v>220</v>
      </c>
      <c r="BH138" s="29" t="s">
        <v>88</v>
      </c>
      <c r="BI138" s="29" t="s">
        <v>494</v>
      </c>
      <c r="BJ138" s="29"/>
      <c r="BK138" s="29" t="s">
        <v>148</v>
      </c>
      <c r="BL138" s="29" t="s">
        <v>148</v>
      </c>
      <c r="BM138" s="45">
        <v>1.0</v>
      </c>
      <c r="BN138" s="45">
        <v>1.0</v>
      </c>
      <c r="BO138" s="46" t="s">
        <v>495</v>
      </c>
      <c r="BP138" s="2"/>
      <c r="BQ138" s="3"/>
    </row>
    <row r="139">
      <c r="A139" s="34">
        <v>137.0</v>
      </c>
      <c r="B139" s="34">
        <v>103105.0</v>
      </c>
      <c r="C139" s="34" t="s">
        <v>415</v>
      </c>
      <c r="D139" s="34" t="s">
        <v>486</v>
      </c>
      <c r="E139" s="34" t="s">
        <v>487</v>
      </c>
      <c r="F139" s="34">
        <v>2018.0</v>
      </c>
      <c r="G139" s="34" t="s">
        <v>488</v>
      </c>
      <c r="H139" s="34" t="s">
        <v>282</v>
      </c>
      <c r="I139" s="34" t="s">
        <v>489</v>
      </c>
      <c r="J139" s="59"/>
      <c r="K139" s="36"/>
      <c r="L139" s="36"/>
      <c r="M139" s="36"/>
      <c r="N139" s="36">
        <v>12.12</v>
      </c>
      <c r="O139" s="36"/>
      <c r="P139" s="37">
        <v>14.0</v>
      </c>
      <c r="Q139" s="36" t="s">
        <v>96</v>
      </c>
      <c r="R139" s="36" t="s">
        <v>490</v>
      </c>
      <c r="S139" s="36">
        <v>250.0</v>
      </c>
      <c r="T139" s="36" t="s">
        <v>536</v>
      </c>
      <c r="U139" s="36" t="s">
        <v>246</v>
      </c>
      <c r="V139" s="36"/>
      <c r="W139" s="36" t="s">
        <v>169</v>
      </c>
      <c r="X139" s="38">
        <v>1.0</v>
      </c>
      <c r="Y139" s="38" t="s">
        <v>537</v>
      </c>
      <c r="Z139" s="38" t="s">
        <v>538</v>
      </c>
      <c r="AA139" s="38" t="s">
        <v>86</v>
      </c>
      <c r="AB139" s="38">
        <v>38.1087</v>
      </c>
      <c r="AC139" s="38">
        <v>-121.653</v>
      </c>
      <c r="AD139" s="58" t="s">
        <v>87</v>
      </c>
      <c r="AE139" s="38">
        <v>-7.0</v>
      </c>
      <c r="AF139" s="38"/>
      <c r="AG139" s="38" t="s">
        <v>175</v>
      </c>
      <c r="AH139" s="38"/>
      <c r="AI139" s="50">
        <v>38.1087</v>
      </c>
      <c r="AJ139" s="50">
        <v>-121.653</v>
      </c>
      <c r="AK139" s="41" t="s">
        <v>86</v>
      </c>
      <c r="AL139" s="40" t="s">
        <v>86</v>
      </c>
      <c r="AM139" s="49">
        <v>-10.0</v>
      </c>
      <c r="AN139" s="51">
        <v>-10.0</v>
      </c>
      <c r="AO139" s="42" t="s">
        <v>175</v>
      </c>
      <c r="AP139" s="43" t="s">
        <v>175</v>
      </c>
      <c r="AQ139" s="44" t="str">
        <f t="shared" si="1"/>
        <v>CRO</v>
      </c>
      <c r="AR139" s="44">
        <f t="shared" si="3"/>
        <v>-10</v>
      </c>
      <c r="AS139" s="44" t="str">
        <f t="shared" si="5"/>
        <v>C</v>
      </c>
      <c r="AT139" s="44" t="str">
        <f t="shared" si="17"/>
        <v>Cs</v>
      </c>
      <c r="AU139" s="44" t="str">
        <f t="shared" si="2"/>
        <v>Csa</v>
      </c>
      <c r="AV139" s="38"/>
      <c r="AW139" s="38"/>
      <c r="AX139" s="38"/>
      <c r="AY139" s="38" t="s">
        <v>88</v>
      </c>
      <c r="AZ139" s="29">
        <v>250.0</v>
      </c>
      <c r="BA139" s="29">
        <v>1.0</v>
      </c>
      <c r="BB139" s="29">
        <v>1.0</v>
      </c>
      <c r="BC139" s="29"/>
      <c r="BD139" s="29" t="s">
        <v>88</v>
      </c>
      <c r="BE139" s="29"/>
      <c r="BF139" s="29" t="s">
        <v>493</v>
      </c>
      <c r="BG139" s="29" t="s">
        <v>220</v>
      </c>
      <c r="BH139" s="29" t="s">
        <v>88</v>
      </c>
      <c r="BI139" s="29" t="s">
        <v>494</v>
      </c>
      <c r="BJ139" s="29"/>
      <c r="BK139" s="29" t="s">
        <v>148</v>
      </c>
      <c r="BL139" s="29" t="s">
        <v>148</v>
      </c>
      <c r="BM139" s="45">
        <v>1.0</v>
      </c>
      <c r="BN139" s="45">
        <v>1.0</v>
      </c>
      <c r="BO139" s="46" t="s">
        <v>495</v>
      </c>
      <c r="BP139" s="2"/>
      <c r="BQ139" s="3"/>
    </row>
    <row r="140">
      <c r="A140" s="34">
        <v>138.0</v>
      </c>
      <c r="B140" s="34">
        <v>103105.0</v>
      </c>
      <c r="C140" s="34" t="s">
        <v>415</v>
      </c>
      <c r="D140" s="34" t="s">
        <v>486</v>
      </c>
      <c r="E140" s="34" t="s">
        <v>487</v>
      </c>
      <c r="F140" s="34">
        <v>2018.0</v>
      </c>
      <c r="G140" s="34" t="s">
        <v>488</v>
      </c>
      <c r="H140" s="34" t="s">
        <v>282</v>
      </c>
      <c r="I140" s="34" t="s">
        <v>539</v>
      </c>
      <c r="J140" s="59"/>
      <c r="K140" s="36"/>
      <c r="L140" s="36"/>
      <c r="M140" s="36"/>
      <c r="N140" s="36">
        <v>-0.55</v>
      </c>
      <c r="O140" s="36"/>
      <c r="P140" s="37">
        <v>3.0</v>
      </c>
      <c r="Q140" s="36" t="s">
        <v>96</v>
      </c>
      <c r="R140" s="36" t="s">
        <v>490</v>
      </c>
      <c r="S140" s="36">
        <v>250.0</v>
      </c>
      <c r="T140" s="36" t="s">
        <v>328</v>
      </c>
      <c r="U140" s="36" t="s">
        <v>246</v>
      </c>
      <c r="V140" s="36"/>
      <c r="W140" s="36" t="s">
        <v>169</v>
      </c>
      <c r="X140" s="38">
        <v>19.0</v>
      </c>
      <c r="Y140" s="38" t="s">
        <v>540</v>
      </c>
      <c r="Z140" s="38"/>
      <c r="AA140" s="38" t="s">
        <v>86</v>
      </c>
      <c r="AB140" s="38"/>
      <c r="AC140" s="38"/>
      <c r="AD140" s="62" t="s">
        <v>541</v>
      </c>
      <c r="AE140" s="38"/>
      <c r="AF140" s="38"/>
      <c r="AG140" s="38"/>
      <c r="AH140" s="38"/>
      <c r="AI140" s="40"/>
      <c r="AJ140" s="40"/>
      <c r="AK140" s="41"/>
      <c r="AL140" s="40"/>
      <c r="AM140" s="49"/>
      <c r="AN140" s="43"/>
      <c r="AO140" s="42"/>
      <c r="AP140" s="43"/>
      <c r="AQ140" s="44" t="str">
        <f t="shared" si="1"/>
        <v>CRO</v>
      </c>
      <c r="AR140" s="44" t="str">
        <f t="shared" si="3"/>
        <v/>
      </c>
      <c r="AS140" s="44" t="str">
        <f t="shared" si="5"/>
        <v/>
      </c>
      <c r="AT140" s="44" t="str">
        <f t="shared" si="17"/>
        <v/>
      </c>
      <c r="AU140" s="44" t="str">
        <f t="shared" si="2"/>
        <v/>
      </c>
      <c r="AV140" s="38"/>
      <c r="AW140" s="38"/>
      <c r="AX140" s="38"/>
      <c r="AY140" s="38" t="s">
        <v>88</v>
      </c>
      <c r="AZ140" s="29">
        <v>250.0</v>
      </c>
      <c r="BA140" s="29">
        <v>1.0</v>
      </c>
      <c r="BB140" s="29">
        <v>1.0</v>
      </c>
      <c r="BC140" s="63"/>
      <c r="BD140" s="63" t="s">
        <v>88</v>
      </c>
      <c r="BE140" s="63"/>
      <c r="BF140" s="63" t="s">
        <v>493</v>
      </c>
      <c r="BG140" s="63" t="s">
        <v>220</v>
      </c>
      <c r="BH140" s="63" t="s">
        <v>88</v>
      </c>
      <c r="BI140" s="63" t="s">
        <v>494</v>
      </c>
      <c r="BJ140" s="63"/>
      <c r="BK140" s="63" t="s">
        <v>148</v>
      </c>
      <c r="BL140" s="63" t="s">
        <v>148</v>
      </c>
      <c r="BM140" s="64">
        <v>1.0</v>
      </c>
      <c r="BN140" s="64">
        <v>1.0</v>
      </c>
      <c r="BO140" s="65" t="s">
        <v>495</v>
      </c>
      <c r="BP140" s="2"/>
      <c r="BQ140" s="3"/>
    </row>
    <row r="141">
      <c r="A141" s="34">
        <v>139.0</v>
      </c>
      <c r="B141" s="34">
        <v>102536.0</v>
      </c>
      <c r="C141" s="34" t="s">
        <v>415</v>
      </c>
      <c r="D141" s="34" t="s">
        <v>542</v>
      </c>
      <c r="E141" s="34" t="s">
        <v>543</v>
      </c>
      <c r="F141" s="34">
        <v>2020.0</v>
      </c>
      <c r="G141" s="34" t="s">
        <v>544</v>
      </c>
      <c r="H141" s="34" t="s">
        <v>282</v>
      </c>
      <c r="I141" s="34" t="s">
        <v>545</v>
      </c>
      <c r="J141" s="59"/>
      <c r="K141" s="36">
        <v>0.63</v>
      </c>
      <c r="L141" s="36">
        <v>3.39</v>
      </c>
      <c r="M141" s="36"/>
      <c r="N141" s="36"/>
      <c r="O141" s="36"/>
      <c r="P141" s="52">
        <f t="shared" ref="P141:P142" si="19">K141/L141*100</f>
        <v>18.5840708</v>
      </c>
      <c r="Q141" s="36" t="s">
        <v>96</v>
      </c>
      <c r="R141" s="36" t="s">
        <v>96</v>
      </c>
      <c r="S141" s="36">
        <v>30.0</v>
      </c>
      <c r="T141" s="36" t="s">
        <v>341</v>
      </c>
      <c r="U141" s="36" t="s">
        <v>243</v>
      </c>
      <c r="V141" s="36">
        <v>48.0</v>
      </c>
      <c r="W141" s="36" t="s">
        <v>169</v>
      </c>
      <c r="X141" s="38">
        <v>1.0</v>
      </c>
      <c r="Y141" s="38" t="s">
        <v>546</v>
      </c>
      <c r="Z141" s="38" t="s">
        <v>547</v>
      </c>
      <c r="AA141" s="38" t="s">
        <v>197</v>
      </c>
      <c r="AB141" s="38" t="s">
        <v>548</v>
      </c>
      <c r="AC141" s="38" t="s">
        <v>549</v>
      </c>
      <c r="AD141" s="58" t="s">
        <v>87</v>
      </c>
      <c r="AE141" s="38">
        <v>5.0</v>
      </c>
      <c r="AF141" s="38" t="s">
        <v>550</v>
      </c>
      <c r="AG141" s="38" t="s">
        <v>201</v>
      </c>
      <c r="AH141" s="38"/>
      <c r="AI141" s="50">
        <v>35.8118</v>
      </c>
      <c r="AJ141" s="50">
        <v>-76.7119</v>
      </c>
      <c r="AK141" s="41" t="s">
        <v>197</v>
      </c>
      <c r="AL141" s="40" t="s">
        <v>197</v>
      </c>
      <c r="AM141" s="49">
        <v>26.0</v>
      </c>
      <c r="AN141" s="51">
        <v>26.0</v>
      </c>
      <c r="AO141" s="42" t="s">
        <v>201</v>
      </c>
      <c r="AP141" s="43" t="s">
        <v>201</v>
      </c>
      <c r="AQ141" s="44" t="str">
        <f t="shared" si="1"/>
        <v>ENF</v>
      </c>
      <c r="AR141" s="44">
        <f t="shared" si="3"/>
        <v>26</v>
      </c>
      <c r="AS141" s="44" t="str">
        <f t="shared" si="5"/>
        <v>C</v>
      </c>
      <c r="AT141" s="44" t="str">
        <f t="shared" si="17"/>
        <v>Cf</v>
      </c>
      <c r="AU141" s="44" t="str">
        <f t="shared" si="2"/>
        <v>Cfa</v>
      </c>
      <c r="AV141" s="38"/>
      <c r="AW141" s="38"/>
      <c r="AX141" s="38"/>
      <c r="AY141" s="38"/>
      <c r="AZ141" s="29">
        <v>30.0</v>
      </c>
      <c r="BA141" s="29"/>
      <c r="BB141" s="29">
        <v>1.0</v>
      </c>
      <c r="BC141" s="29" t="s">
        <v>551</v>
      </c>
      <c r="BD141" s="29"/>
      <c r="BE141" s="29"/>
      <c r="BF141" s="29" t="s">
        <v>552</v>
      </c>
      <c r="BG141" s="29" t="s">
        <v>91</v>
      </c>
      <c r="BH141" s="29" t="s">
        <v>88</v>
      </c>
      <c r="BI141" s="63" t="s">
        <v>553</v>
      </c>
      <c r="BJ141" s="29" t="s">
        <v>554</v>
      </c>
      <c r="BK141" s="29" t="s">
        <v>180</v>
      </c>
      <c r="BL141" s="29" t="s">
        <v>180</v>
      </c>
      <c r="BM141" s="45">
        <v>1.0</v>
      </c>
      <c r="BN141" s="45">
        <v>1.0</v>
      </c>
      <c r="BO141" s="46" t="s">
        <v>555</v>
      </c>
      <c r="BP141" s="2"/>
      <c r="BQ141" s="3"/>
    </row>
    <row r="142">
      <c r="A142" s="34">
        <v>140.0</v>
      </c>
      <c r="B142" s="34">
        <v>102536.0</v>
      </c>
      <c r="C142" s="34" t="s">
        <v>415</v>
      </c>
      <c r="D142" s="34" t="s">
        <v>542</v>
      </c>
      <c r="E142" s="34" t="s">
        <v>543</v>
      </c>
      <c r="F142" s="34">
        <v>2020.0</v>
      </c>
      <c r="G142" s="34" t="s">
        <v>544</v>
      </c>
      <c r="H142" s="34" t="s">
        <v>282</v>
      </c>
      <c r="I142" s="34" t="s">
        <v>545</v>
      </c>
      <c r="J142" s="35"/>
      <c r="K142" s="36">
        <v>0.39</v>
      </c>
      <c r="L142" s="36">
        <v>3.58</v>
      </c>
      <c r="M142" s="36"/>
      <c r="N142" s="36"/>
      <c r="O142" s="36"/>
      <c r="P142" s="52">
        <f t="shared" si="19"/>
        <v>10.89385475</v>
      </c>
      <c r="Q142" s="36" t="s">
        <v>96</v>
      </c>
      <c r="R142" s="36" t="s">
        <v>96</v>
      </c>
      <c r="S142" s="36">
        <v>30.0</v>
      </c>
      <c r="T142" s="36" t="s">
        <v>341</v>
      </c>
      <c r="U142" s="36" t="s">
        <v>243</v>
      </c>
      <c r="V142" s="36">
        <v>60.0</v>
      </c>
      <c r="W142" s="36" t="s">
        <v>169</v>
      </c>
      <c r="X142" s="38">
        <v>1.0</v>
      </c>
      <c r="Y142" s="38" t="s">
        <v>556</v>
      </c>
      <c r="Z142" s="38" t="s">
        <v>557</v>
      </c>
      <c r="AA142" s="38" t="s">
        <v>197</v>
      </c>
      <c r="AB142" s="38" t="s">
        <v>558</v>
      </c>
      <c r="AC142" s="38" t="s">
        <v>559</v>
      </c>
      <c r="AD142" s="58" t="s">
        <v>87</v>
      </c>
      <c r="AE142" s="38">
        <v>5.0</v>
      </c>
      <c r="AF142" s="38" t="s">
        <v>550</v>
      </c>
      <c r="AG142" s="66" t="s">
        <v>560</v>
      </c>
      <c r="AH142" s="38"/>
      <c r="AI142" s="50">
        <v>35.803</v>
      </c>
      <c r="AJ142" s="50">
        <v>-76.6685</v>
      </c>
      <c r="AK142" s="41" t="s">
        <v>197</v>
      </c>
      <c r="AL142" s="40" t="s">
        <v>197</v>
      </c>
      <c r="AM142" s="49">
        <v>9.0</v>
      </c>
      <c r="AN142" s="51">
        <v>9.0</v>
      </c>
      <c r="AO142" s="42" t="s">
        <v>201</v>
      </c>
      <c r="AP142" s="43" t="s">
        <v>201</v>
      </c>
      <c r="AQ142" s="44" t="str">
        <f t="shared" si="1"/>
        <v>ENF</v>
      </c>
      <c r="AR142" s="44">
        <f t="shared" si="3"/>
        <v>9</v>
      </c>
      <c r="AS142" s="44" t="str">
        <f t="shared" si="5"/>
        <v>C</v>
      </c>
      <c r="AT142" s="44" t="str">
        <f t="shared" si="17"/>
        <v>Cf</v>
      </c>
      <c r="AU142" s="44" t="str">
        <f t="shared" si="2"/>
        <v>Cfa</v>
      </c>
      <c r="AV142" s="38"/>
      <c r="AW142" s="38"/>
      <c r="AX142" s="38"/>
      <c r="AY142" s="38"/>
      <c r="AZ142" s="29">
        <v>30.0</v>
      </c>
      <c r="BA142" s="29"/>
      <c r="BB142" s="29">
        <v>1.0</v>
      </c>
      <c r="BC142" s="29" t="s">
        <v>551</v>
      </c>
      <c r="BD142" s="29"/>
      <c r="BE142" s="29"/>
      <c r="BF142" s="29" t="s">
        <v>552</v>
      </c>
      <c r="BG142" s="29" t="s">
        <v>91</v>
      </c>
      <c r="BH142" s="29" t="s">
        <v>88</v>
      </c>
      <c r="BI142" s="29" t="s">
        <v>553</v>
      </c>
      <c r="BJ142" s="29" t="s">
        <v>561</v>
      </c>
      <c r="BK142" s="29" t="s">
        <v>180</v>
      </c>
      <c r="BL142" s="29" t="s">
        <v>180</v>
      </c>
      <c r="BM142" s="45">
        <v>1.0</v>
      </c>
      <c r="BN142" s="45">
        <v>1.0</v>
      </c>
      <c r="BO142" s="46" t="s">
        <v>555</v>
      </c>
      <c r="BP142" s="2"/>
      <c r="BQ142" s="3"/>
    </row>
    <row r="143">
      <c r="A143" s="34">
        <v>142.0</v>
      </c>
      <c r="B143" s="34">
        <v>102094.0</v>
      </c>
      <c r="C143" s="34" t="s">
        <v>415</v>
      </c>
      <c r="D143" s="34" t="s">
        <v>562</v>
      </c>
      <c r="E143" s="34" t="s">
        <v>563</v>
      </c>
      <c r="F143" s="34">
        <v>2011.0</v>
      </c>
      <c r="G143" s="34" t="s">
        <v>564</v>
      </c>
      <c r="H143" s="34" t="s">
        <v>565</v>
      </c>
      <c r="I143" s="34" t="s">
        <v>566</v>
      </c>
      <c r="J143" s="59"/>
      <c r="K143" s="36">
        <v>0.05</v>
      </c>
      <c r="L143" s="36"/>
      <c r="M143" s="36"/>
      <c r="N143" s="36"/>
      <c r="O143" s="36"/>
      <c r="P143" s="52">
        <v>7.0</v>
      </c>
      <c r="Q143" s="36" t="s">
        <v>96</v>
      </c>
      <c r="R143" s="36" t="s">
        <v>96</v>
      </c>
      <c r="S143" s="36">
        <v>30.0</v>
      </c>
      <c r="T143" s="36" t="s">
        <v>356</v>
      </c>
      <c r="U143" s="36" t="s">
        <v>194</v>
      </c>
      <c r="V143" s="36"/>
      <c r="W143" s="36" t="s">
        <v>169</v>
      </c>
      <c r="X143" s="38">
        <v>4.0</v>
      </c>
      <c r="Y143" s="38" t="s">
        <v>567</v>
      </c>
      <c r="Z143" s="38"/>
      <c r="AA143" s="38" t="s">
        <v>568</v>
      </c>
      <c r="AB143" s="38">
        <v>27.6953</v>
      </c>
      <c r="AC143" s="38" t="s">
        <v>569</v>
      </c>
      <c r="AD143" s="58" t="s">
        <v>87</v>
      </c>
      <c r="AE143" s="38"/>
      <c r="AF143" s="38" t="s">
        <v>570</v>
      </c>
      <c r="AG143" s="38"/>
      <c r="AH143" s="38"/>
      <c r="AI143" s="50"/>
      <c r="AJ143" s="50"/>
      <c r="AK143" s="41"/>
      <c r="AL143" s="40"/>
      <c r="AM143" s="49"/>
      <c r="AN143" s="51"/>
      <c r="AO143" s="42"/>
      <c r="AP143" s="43"/>
      <c r="AQ143" s="44"/>
      <c r="AR143" s="44" t="str">
        <f t="shared" si="3"/>
        <v/>
      </c>
      <c r="AS143" s="44"/>
      <c r="AT143" s="44" t="str">
        <f t="shared" si="17"/>
        <v/>
      </c>
      <c r="AU143" s="44" t="str">
        <f t="shared" si="2"/>
        <v/>
      </c>
      <c r="AV143" s="38"/>
      <c r="AW143" s="38"/>
      <c r="AX143" s="38"/>
      <c r="AY143" s="38"/>
      <c r="AZ143" s="29">
        <v>30.0</v>
      </c>
      <c r="BA143" s="29"/>
      <c r="BB143" s="29">
        <v>1.0</v>
      </c>
      <c r="BC143" s="29"/>
      <c r="BD143" s="29" t="s">
        <v>88</v>
      </c>
      <c r="BE143" s="29"/>
      <c r="BF143" s="29" t="s">
        <v>571</v>
      </c>
      <c r="BG143" s="29" t="s">
        <v>572</v>
      </c>
      <c r="BH143" s="29"/>
      <c r="BI143" s="29" t="s">
        <v>573</v>
      </c>
      <c r="BJ143" s="29"/>
      <c r="BK143" s="29" t="s">
        <v>574</v>
      </c>
      <c r="BL143" s="29"/>
      <c r="BM143" s="45">
        <v>1.0</v>
      </c>
      <c r="BN143" s="45">
        <v>1.0</v>
      </c>
      <c r="BO143" s="46" t="s">
        <v>571</v>
      </c>
      <c r="BP143" s="2"/>
      <c r="BQ143" s="3"/>
    </row>
    <row r="144">
      <c r="A144" s="34">
        <v>143.0</v>
      </c>
      <c r="B144" s="34">
        <v>102094.0</v>
      </c>
      <c r="C144" s="34" t="s">
        <v>415</v>
      </c>
      <c r="D144" s="34" t="s">
        <v>562</v>
      </c>
      <c r="E144" s="34" t="s">
        <v>563</v>
      </c>
      <c r="F144" s="34">
        <v>2011.0</v>
      </c>
      <c r="G144" s="34" t="s">
        <v>564</v>
      </c>
      <c r="H144" s="34" t="s">
        <v>565</v>
      </c>
      <c r="I144" s="34" t="s">
        <v>566</v>
      </c>
      <c r="J144" s="59"/>
      <c r="K144" s="36">
        <v>-2.0</v>
      </c>
      <c r="L144" s="36"/>
      <c r="M144" s="36"/>
      <c r="N144" s="36"/>
      <c r="O144" s="36"/>
      <c r="P144" s="52">
        <v>11.0</v>
      </c>
      <c r="Q144" s="36" t="s">
        <v>191</v>
      </c>
      <c r="R144" s="36" t="s">
        <v>191</v>
      </c>
      <c r="S144" s="36">
        <v>30.0</v>
      </c>
      <c r="T144" s="36" t="s">
        <v>356</v>
      </c>
      <c r="U144" s="36" t="s">
        <v>194</v>
      </c>
      <c r="V144" s="36"/>
      <c r="W144" s="36" t="s">
        <v>169</v>
      </c>
      <c r="X144" s="38">
        <v>4.0</v>
      </c>
      <c r="Y144" s="38" t="s">
        <v>567</v>
      </c>
      <c r="Z144" s="38"/>
      <c r="AA144" s="38" t="s">
        <v>568</v>
      </c>
      <c r="AB144" s="38">
        <v>27.6953</v>
      </c>
      <c r="AC144" s="38" t="s">
        <v>569</v>
      </c>
      <c r="AD144" s="58" t="s">
        <v>87</v>
      </c>
      <c r="AE144" s="38"/>
      <c r="AF144" s="38" t="s">
        <v>570</v>
      </c>
      <c r="AG144" s="38"/>
      <c r="AH144" s="38"/>
      <c r="AI144" s="50"/>
      <c r="AJ144" s="50"/>
      <c r="AK144" s="41"/>
      <c r="AL144" s="40"/>
      <c r="AM144" s="49"/>
      <c r="AN144" s="51"/>
      <c r="AO144" s="42"/>
      <c r="AP144" s="43"/>
      <c r="AQ144" s="44"/>
      <c r="AR144" s="44" t="str">
        <f t="shared" si="3"/>
        <v/>
      </c>
      <c r="AS144" s="44"/>
      <c r="AT144" s="44" t="str">
        <f t="shared" si="17"/>
        <v/>
      </c>
      <c r="AU144" s="44" t="str">
        <f t="shared" si="2"/>
        <v/>
      </c>
      <c r="AV144" s="38"/>
      <c r="AW144" s="38"/>
      <c r="AX144" s="38"/>
      <c r="AY144" s="38"/>
      <c r="AZ144" s="29">
        <v>30.0</v>
      </c>
      <c r="BA144" s="29"/>
      <c r="BB144" s="29">
        <v>1.0</v>
      </c>
      <c r="BC144" s="29"/>
      <c r="BD144" s="29" t="s">
        <v>88</v>
      </c>
      <c r="BE144" s="29"/>
      <c r="BF144" s="29" t="s">
        <v>571</v>
      </c>
      <c r="BG144" s="29" t="s">
        <v>572</v>
      </c>
      <c r="BH144" s="29"/>
      <c r="BI144" s="29" t="s">
        <v>573</v>
      </c>
      <c r="BJ144" s="29"/>
      <c r="BK144" s="29" t="s">
        <v>574</v>
      </c>
      <c r="BL144" s="29"/>
      <c r="BM144" s="45">
        <v>1.0</v>
      </c>
      <c r="BN144" s="45">
        <v>1.0</v>
      </c>
      <c r="BO144" s="46" t="s">
        <v>571</v>
      </c>
      <c r="BP144" s="2"/>
      <c r="BQ144" s="3"/>
    </row>
    <row r="145">
      <c r="A145" s="34">
        <v>145.0</v>
      </c>
      <c r="B145" s="34">
        <v>103407.0</v>
      </c>
      <c r="C145" s="34" t="s">
        <v>415</v>
      </c>
      <c r="D145" s="34" t="s">
        <v>575</v>
      </c>
      <c r="E145" s="34" t="s">
        <v>576</v>
      </c>
      <c r="F145" s="34">
        <v>2017.0</v>
      </c>
      <c r="G145" s="34" t="s">
        <v>577</v>
      </c>
      <c r="H145" s="34" t="s">
        <v>578</v>
      </c>
      <c r="I145" s="34" t="s">
        <v>579</v>
      </c>
      <c r="J145" s="35"/>
      <c r="K145" s="36"/>
      <c r="L145" s="36">
        <v>1.79</v>
      </c>
      <c r="M145" s="36"/>
      <c r="N145" s="36"/>
      <c r="O145" s="36"/>
      <c r="P145" s="37">
        <v>44.51</v>
      </c>
      <c r="Q145" s="36" t="s">
        <v>96</v>
      </c>
      <c r="R145" s="36" t="s">
        <v>96</v>
      </c>
      <c r="S145" s="36" t="s">
        <v>580</v>
      </c>
      <c r="T145" s="36" t="s">
        <v>193</v>
      </c>
      <c r="U145" s="36" t="s">
        <v>194</v>
      </c>
      <c r="V145" s="36"/>
      <c r="W145" s="36"/>
      <c r="X145" s="38">
        <v>1.0</v>
      </c>
      <c r="Y145" s="38" t="s">
        <v>581</v>
      </c>
      <c r="Z145" s="38" t="s">
        <v>582</v>
      </c>
      <c r="AA145" s="38" t="s">
        <v>452</v>
      </c>
      <c r="AB145" s="38">
        <v>42.6</v>
      </c>
      <c r="AC145" s="38">
        <v>128.08</v>
      </c>
      <c r="AD145" s="53" t="s">
        <v>198</v>
      </c>
      <c r="AE145" s="53"/>
      <c r="AF145" s="38" t="s">
        <v>199</v>
      </c>
      <c r="AG145" s="66" t="s">
        <v>583</v>
      </c>
      <c r="AH145" s="38"/>
      <c r="AI145" s="50">
        <v>42.6</v>
      </c>
      <c r="AJ145" s="50">
        <v>128.08</v>
      </c>
      <c r="AK145" s="41" t="s">
        <v>370</v>
      </c>
      <c r="AL145" s="40" t="s">
        <v>370</v>
      </c>
      <c r="AM145" s="49">
        <v>524.0</v>
      </c>
      <c r="AN145" s="51">
        <v>524.0</v>
      </c>
      <c r="AO145" s="42" t="s">
        <v>584</v>
      </c>
      <c r="AP145" s="43" t="s">
        <v>584</v>
      </c>
      <c r="AQ145" s="44" t="str">
        <f t="shared" ref="AQ145:AQ169" si="20">AA145</f>
        <v>MF</v>
      </c>
      <c r="AR145" s="44">
        <f t="shared" si="3"/>
        <v>524</v>
      </c>
      <c r="AS145" s="44" t="str">
        <f t="shared" ref="AS145:AS169" si="21">LEFT(AO145,1)</f>
        <v>D</v>
      </c>
      <c r="AT145" s="44" t="str">
        <f t="shared" si="17"/>
        <v>Dw</v>
      </c>
      <c r="AU145" s="44" t="str">
        <f t="shared" si="2"/>
        <v>Dwb</v>
      </c>
      <c r="AV145" s="38"/>
      <c r="AW145" s="38"/>
      <c r="AX145" s="38"/>
      <c r="AY145" s="38"/>
      <c r="AZ145" s="29" t="s">
        <v>580</v>
      </c>
      <c r="BA145" s="29"/>
      <c r="BB145" s="29">
        <v>2.0</v>
      </c>
      <c r="BC145" s="29" t="s">
        <v>202</v>
      </c>
      <c r="BD145" s="29" t="s">
        <v>88</v>
      </c>
      <c r="BE145" s="29"/>
      <c r="BF145" s="29" t="s">
        <v>202</v>
      </c>
      <c r="BG145" s="29" t="s">
        <v>203</v>
      </c>
      <c r="BH145" s="29"/>
      <c r="BI145" s="29"/>
      <c r="BJ145" s="29"/>
      <c r="BK145" s="29"/>
      <c r="BL145" s="29"/>
      <c r="BM145" s="67">
        <v>1.0</v>
      </c>
      <c r="BN145" s="67">
        <v>1.0</v>
      </c>
      <c r="BO145" s="46" t="s">
        <v>202</v>
      </c>
      <c r="BP145" s="2"/>
      <c r="BQ145" s="3"/>
    </row>
    <row r="146">
      <c r="A146" s="34">
        <v>146.0</v>
      </c>
      <c r="B146" s="34">
        <v>103407.0</v>
      </c>
      <c r="C146" s="34" t="s">
        <v>415</v>
      </c>
      <c r="D146" s="34" t="s">
        <v>575</v>
      </c>
      <c r="E146" s="34" t="s">
        <v>576</v>
      </c>
      <c r="F146" s="34">
        <v>2017.0</v>
      </c>
      <c r="G146" s="34" t="s">
        <v>577</v>
      </c>
      <c r="H146" s="34" t="s">
        <v>578</v>
      </c>
      <c r="I146" s="34" t="s">
        <v>579</v>
      </c>
      <c r="J146" s="35"/>
      <c r="K146" s="36"/>
      <c r="L146" s="36">
        <v>2.38</v>
      </c>
      <c r="M146" s="36"/>
      <c r="N146" s="36"/>
      <c r="O146" s="36"/>
      <c r="P146" s="37">
        <v>27.4</v>
      </c>
      <c r="Q146" s="36" t="s">
        <v>96</v>
      </c>
      <c r="R146" s="36" t="s">
        <v>96</v>
      </c>
      <c r="S146" s="36" t="s">
        <v>580</v>
      </c>
      <c r="T146" s="36" t="s">
        <v>193</v>
      </c>
      <c r="U146" s="36" t="s">
        <v>194</v>
      </c>
      <c r="V146" s="36"/>
      <c r="W146" s="36"/>
      <c r="X146" s="38">
        <v>1.0</v>
      </c>
      <c r="Y146" s="38" t="s">
        <v>195</v>
      </c>
      <c r="Z146" s="68" t="s">
        <v>196</v>
      </c>
      <c r="AA146" s="38" t="s">
        <v>197</v>
      </c>
      <c r="AB146" s="38">
        <v>26.73</v>
      </c>
      <c r="AC146" s="38">
        <v>115.05</v>
      </c>
      <c r="AD146" s="38" t="s">
        <v>198</v>
      </c>
      <c r="AE146" s="38">
        <v>102.0</v>
      </c>
      <c r="AF146" s="38" t="s">
        <v>199</v>
      </c>
      <c r="AG146" s="38" t="s">
        <v>585</v>
      </c>
      <c r="AH146" s="38"/>
      <c r="AI146" s="50">
        <v>26.73</v>
      </c>
      <c r="AJ146" s="50">
        <v>115.05</v>
      </c>
      <c r="AK146" s="41" t="s">
        <v>197</v>
      </c>
      <c r="AL146" s="40" t="s">
        <v>197</v>
      </c>
      <c r="AM146" s="49">
        <v>115.0</v>
      </c>
      <c r="AN146" s="51">
        <v>115.0</v>
      </c>
      <c r="AO146" s="42" t="s">
        <v>201</v>
      </c>
      <c r="AP146" s="43" t="s">
        <v>201</v>
      </c>
      <c r="AQ146" s="44" t="str">
        <f t="shared" si="20"/>
        <v>ENF</v>
      </c>
      <c r="AR146" s="44">
        <f t="shared" si="3"/>
        <v>115</v>
      </c>
      <c r="AS146" s="44" t="str">
        <f t="shared" si="21"/>
        <v>C</v>
      </c>
      <c r="AT146" s="44" t="str">
        <f t="shared" si="17"/>
        <v>Cf</v>
      </c>
      <c r="AU146" s="44" t="str">
        <f t="shared" si="2"/>
        <v>Cfa</v>
      </c>
      <c r="AV146" s="38"/>
      <c r="AW146" s="38"/>
      <c r="AX146" s="38"/>
      <c r="AY146" s="38"/>
      <c r="AZ146" s="29" t="s">
        <v>580</v>
      </c>
      <c r="BA146" s="29"/>
      <c r="BB146" s="29">
        <v>2.0</v>
      </c>
      <c r="BC146" s="29" t="s">
        <v>202</v>
      </c>
      <c r="BD146" s="29" t="s">
        <v>88</v>
      </c>
      <c r="BE146" s="29"/>
      <c r="BF146" s="29" t="s">
        <v>202</v>
      </c>
      <c r="BG146" s="29" t="s">
        <v>203</v>
      </c>
      <c r="BH146" s="29"/>
      <c r="BI146" s="29"/>
      <c r="BJ146" s="29"/>
      <c r="BK146" s="29"/>
      <c r="BL146" s="29"/>
      <c r="BM146" s="67">
        <v>1.0</v>
      </c>
      <c r="BN146" s="67">
        <v>1.0</v>
      </c>
      <c r="BO146" s="46" t="s">
        <v>202</v>
      </c>
      <c r="BP146" s="2"/>
      <c r="BQ146" s="3"/>
    </row>
    <row r="147">
      <c r="A147" s="34">
        <v>147.0</v>
      </c>
      <c r="B147" s="34">
        <v>103407.0</v>
      </c>
      <c r="C147" s="34" t="s">
        <v>415</v>
      </c>
      <c r="D147" s="34" t="s">
        <v>575</v>
      </c>
      <c r="E147" s="34" t="s">
        <v>576</v>
      </c>
      <c r="F147" s="34">
        <v>2017.0</v>
      </c>
      <c r="G147" s="34" t="s">
        <v>577</v>
      </c>
      <c r="H147" s="34" t="s">
        <v>578</v>
      </c>
      <c r="I147" s="34" t="s">
        <v>579</v>
      </c>
      <c r="J147" s="35"/>
      <c r="K147" s="36"/>
      <c r="L147" s="36">
        <v>2.68</v>
      </c>
      <c r="M147" s="36"/>
      <c r="N147" s="36"/>
      <c r="O147" s="36"/>
      <c r="P147" s="37">
        <v>39.02</v>
      </c>
      <c r="Q147" s="36" t="s">
        <v>96</v>
      </c>
      <c r="R147" s="36" t="s">
        <v>96</v>
      </c>
      <c r="S147" s="36" t="s">
        <v>580</v>
      </c>
      <c r="T147" s="36" t="s">
        <v>193</v>
      </c>
      <c r="U147" s="36" t="s">
        <v>194</v>
      </c>
      <c r="V147" s="36"/>
      <c r="W147" s="36"/>
      <c r="X147" s="38">
        <v>1.0</v>
      </c>
      <c r="Y147" s="38" t="s">
        <v>586</v>
      </c>
      <c r="Z147" s="38" t="s">
        <v>587</v>
      </c>
      <c r="AA147" s="38" t="s">
        <v>336</v>
      </c>
      <c r="AB147" s="38">
        <v>23.27</v>
      </c>
      <c r="AC147" s="38">
        <v>112.57</v>
      </c>
      <c r="AD147" s="53" t="s">
        <v>198</v>
      </c>
      <c r="AE147" s="53"/>
      <c r="AF147" s="38" t="s">
        <v>199</v>
      </c>
      <c r="AG147" s="66" t="s">
        <v>588</v>
      </c>
      <c r="AH147" s="38"/>
      <c r="AI147" s="50">
        <v>23.27</v>
      </c>
      <c r="AJ147" s="50">
        <v>112.57</v>
      </c>
      <c r="AK147" s="41" t="s">
        <v>336</v>
      </c>
      <c r="AL147" s="40" t="s">
        <v>336</v>
      </c>
      <c r="AM147" s="49">
        <v>303.0</v>
      </c>
      <c r="AN147" s="51">
        <v>303.0</v>
      </c>
      <c r="AO147" s="42" t="s">
        <v>201</v>
      </c>
      <c r="AP147" s="43" t="s">
        <v>201</v>
      </c>
      <c r="AQ147" s="44" t="str">
        <f t="shared" si="20"/>
        <v>EBF</v>
      </c>
      <c r="AR147" s="44">
        <f t="shared" si="3"/>
        <v>303</v>
      </c>
      <c r="AS147" s="44" t="str">
        <f t="shared" si="21"/>
        <v>C</v>
      </c>
      <c r="AT147" s="44" t="str">
        <f t="shared" si="17"/>
        <v>Cf</v>
      </c>
      <c r="AU147" s="44" t="str">
        <f t="shared" si="2"/>
        <v>Cfa</v>
      </c>
      <c r="AV147" s="38"/>
      <c r="AW147" s="38"/>
      <c r="AX147" s="38"/>
      <c r="AY147" s="38"/>
      <c r="AZ147" s="29" t="s">
        <v>580</v>
      </c>
      <c r="BA147" s="29"/>
      <c r="BB147" s="29">
        <v>2.0</v>
      </c>
      <c r="BC147" s="29" t="s">
        <v>202</v>
      </c>
      <c r="BD147" s="29" t="s">
        <v>88</v>
      </c>
      <c r="BE147" s="29"/>
      <c r="BF147" s="29" t="s">
        <v>202</v>
      </c>
      <c r="BG147" s="29" t="s">
        <v>203</v>
      </c>
      <c r="BH147" s="29"/>
      <c r="BI147" s="29"/>
      <c r="BJ147" s="29"/>
      <c r="BK147" s="29"/>
      <c r="BL147" s="29"/>
      <c r="BM147" s="67">
        <v>1.0</v>
      </c>
      <c r="BN147" s="67">
        <v>1.0</v>
      </c>
      <c r="BO147" s="46" t="s">
        <v>202</v>
      </c>
      <c r="BP147" s="2"/>
      <c r="BQ147" s="3"/>
    </row>
    <row r="148">
      <c r="A148" s="34">
        <v>148.0</v>
      </c>
      <c r="B148" s="34">
        <v>103407.0</v>
      </c>
      <c r="C148" s="34" t="s">
        <v>415</v>
      </c>
      <c r="D148" s="34" t="s">
        <v>575</v>
      </c>
      <c r="E148" s="34" t="s">
        <v>576</v>
      </c>
      <c r="F148" s="34">
        <v>2017.0</v>
      </c>
      <c r="G148" s="34" t="s">
        <v>577</v>
      </c>
      <c r="H148" s="34" t="s">
        <v>578</v>
      </c>
      <c r="I148" s="34" t="s">
        <v>579</v>
      </c>
      <c r="J148" s="35"/>
      <c r="K148" s="36"/>
      <c r="L148" s="36">
        <v>2.48</v>
      </c>
      <c r="M148" s="36"/>
      <c r="N148" s="36"/>
      <c r="O148" s="36"/>
      <c r="P148" s="37">
        <v>38.02</v>
      </c>
      <c r="Q148" s="36" t="s">
        <v>96</v>
      </c>
      <c r="R148" s="36" t="s">
        <v>96</v>
      </c>
      <c r="S148" s="36" t="s">
        <v>580</v>
      </c>
      <c r="T148" s="36" t="s">
        <v>193</v>
      </c>
      <c r="U148" s="36" t="s">
        <v>194</v>
      </c>
      <c r="V148" s="36"/>
      <c r="W148" s="36"/>
      <c r="X148" s="38">
        <v>1.0</v>
      </c>
      <c r="Y148" s="38" t="s">
        <v>589</v>
      </c>
      <c r="Z148" s="38" t="s">
        <v>590</v>
      </c>
      <c r="AA148" s="38" t="s">
        <v>336</v>
      </c>
      <c r="AB148" s="38">
        <v>21.95</v>
      </c>
      <c r="AC148" s="38">
        <v>101.2</v>
      </c>
      <c r="AD148" s="53" t="s">
        <v>198</v>
      </c>
      <c r="AE148" s="38">
        <v>756.0</v>
      </c>
      <c r="AF148" s="38" t="s">
        <v>199</v>
      </c>
      <c r="AG148" s="38" t="s">
        <v>591</v>
      </c>
      <c r="AH148" s="38"/>
      <c r="AI148" s="50">
        <v>21.95</v>
      </c>
      <c r="AJ148" s="50">
        <v>101.2</v>
      </c>
      <c r="AK148" s="41" t="s">
        <v>336</v>
      </c>
      <c r="AL148" s="40" t="s">
        <v>336</v>
      </c>
      <c r="AM148" s="49">
        <v>732.0</v>
      </c>
      <c r="AN148" s="51">
        <v>732.0</v>
      </c>
      <c r="AO148" s="42" t="s">
        <v>592</v>
      </c>
      <c r="AP148" s="43" t="s">
        <v>592</v>
      </c>
      <c r="AQ148" s="44" t="str">
        <f t="shared" si="20"/>
        <v>EBF</v>
      </c>
      <c r="AR148" s="44">
        <f t="shared" si="3"/>
        <v>732</v>
      </c>
      <c r="AS148" s="44" t="str">
        <f t="shared" si="21"/>
        <v>C</v>
      </c>
      <c r="AT148" s="44" t="str">
        <f t="shared" si="17"/>
        <v>Cw</v>
      </c>
      <c r="AU148" s="44" t="str">
        <f t="shared" si="2"/>
        <v>Cwa</v>
      </c>
      <c r="AV148" s="38"/>
      <c r="AW148" s="38"/>
      <c r="AX148" s="38"/>
      <c r="AY148" s="38"/>
      <c r="AZ148" s="29" t="s">
        <v>580</v>
      </c>
      <c r="BA148" s="29"/>
      <c r="BB148" s="29">
        <v>2.0</v>
      </c>
      <c r="BC148" s="29" t="s">
        <v>202</v>
      </c>
      <c r="BD148" s="29" t="s">
        <v>88</v>
      </c>
      <c r="BE148" s="29"/>
      <c r="BF148" s="29" t="s">
        <v>202</v>
      </c>
      <c r="BG148" s="29" t="s">
        <v>203</v>
      </c>
      <c r="BH148" s="29"/>
      <c r="BI148" s="29"/>
      <c r="BJ148" s="29"/>
      <c r="BK148" s="29"/>
      <c r="BL148" s="29"/>
      <c r="BM148" s="67">
        <v>1.0</v>
      </c>
      <c r="BN148" s="67">
        <v>1.0</v>
      </c>
      <c r="BO148" s="46" t="s">
        <v>202</v>
      </c>
      <c r="BP148" s="2"/>
      <c r="BQ148" s="3"/>
    </row>
    <row r="149">
      <c r="A149" s="34">
        <v>149.0</v>
      </c>
      <c r="B149" s="34">
        <v>103407.0</v>
      </c>
      <c r="C149" s="34" t="s">
        <v>415</v>
      </c>
      <c r="D149" s="34" t="s">
        <v>575</v>
      </c>
      <c r="E149" s="34" t="s">
        <v>576</v>
      </c>
      <c r="F149" s="34">
        <v>2017.0</v>
      </c>
      <c r="G149" s="34" t="s">
        <v>577</v>
      </c>
      <c r="H149" s="34" t="s">
        <v>578</v>
      </c>
      <c r="I149" s="34" t="s">
        <v>579</v>
      </c>
      <c r="J149" s="35"/>
      <c r="K149" s="36"/>
      <c r="L149" s="36">
        <v>1.33</v>
      </c>
      <c r="M149" s="36"/>
      <c r="N149" s="36"/>
      <c r="O149" s="36"/>
      <c r="P149" s="37">
        <v>-7.33</v>
      </c>
      <c r="Q149" s="36" t="s">
        <v>96</v>
      </c>
      <c r="R149" s="36" t="s">
        <v>96</v>
      </c>
      <c r="S149" s="36" t="s">
        <v>580</v>
      </c>
      <c r="T149" s="36" t="s">
        <v>193</v>
      </c>
      <c r="U149" s="36" t="s">
        <v>194</v>
      </c>
      <c r="V149" s="36"/>
      <c r="W149" s="36"/>
      <c r="X149" s="38">
        <v>1.0</v>
      </c>
      <c r="Y149" s="38" t="s">
        <v>593</v>
      </c>
      <c r="Z149" s="38" t="s">
        <v>594</v>
      </c>
      <c r="AA149" s="38" t="s">
        <v>288</v>
      </c>
      <c r="AB149" s="38">
        <v>37.62</v>
      </c>
      <c r="AC149" s="38">
        <v>101.29</v>
      </c>
      <c r="AD149" s="53" t="s">
        <v>198</v>
      </c>
      <c r="AE149" s="38">
        <v>3216.0</v>
      </c>
      <c r="AF149" s="38" t="s">
        <v>595</v>
      </c>
      <c r="AG149" s="38" t="s">
        <v>596</v>
      </c>
      <c r="AH149" s="38"/>
      <c r="AI149" s="50">
        <v>37.62</v>
      </c>
      <c r="AJ149" s="50">
        <v>101.29</v>
      </c>
      <c r="AK149" s="41" t="s">
        <v>288</v>
      </c>
      <c r="AL149" s="40" t="s">
        <v>288</v>
      </c>
      <c r="AM149" s="49">
        <v>3188.0</v>
      </c>
      <c r="AN149" s="51">
        <v>3188.0</v>
      </c>
      <c r="AO149" s="42" t="s">
        <v>597</v>
      </c>
      <c r="AP149" s="43" t="s">
        <v>597</v>
      </c>
      <c r="AQ149" s="44" t="str">
        <f t="shared" si="20"/>
        <v>GRA</v>
      </c>
      <c r="AR149" s="44">
        <f t="shared" si="3"/>
        <v>3188</v>
      </c>
      <c r="AS149" s="44" t="str">
        <f t="shared" si="21"/>
        <v>D</v>
      </c>
      <c r="AT149" s="44" t="str">
        <f t="shared" si="17"/>
        <v>Dw</v>
      </c>
      <c r="AU149" s="44" t="str">
        <f t="shared" si="2"/>
        <v>Dwc</v>
      </c>
      <c r="AV149" s="38"/>
      <c r="AW149" s="38"/>
      <c r="AX149" s="38"/>
      <c r="AY149" s="38"/>
      <c r="AZ149" s="29" t="s">
        <v>580</v>
      </c>
      <c r="BA149" s="29"/>
      <c r="BB149" s="29">
        <v>2.0</v>
      </c>
      <c r="BC149" s="29" t="s">
        <v>202</v>
      </c>
      <c r="BD149" s="29" t="s">
        <v>88</v>
      </c>
      <c r="BE149" s="29"/>
      <c r="BF149" s="29" t="s">
        <v>202</v>
      </c>
      <c r="BG149" s="29" t="s">
        <v>203</v>
      </c>
      <c r="BH149" s="29"/>
      <c r="BI149" s="29"/>
      <c r="BJ149" s="29"/>
      <c r="BK149" s="29"/>
      <c r="BL149" s="29"/>
      <c r="BM149" s="67">
        <v>1.0</v>
      </c>
      <c r="BN149" s="67">
        <v>1.0</v>
      </c>
      <c r="BO149" s="46" t="s">
        <v>202</v>
      </c>
      <c r="BP149" s="2"/>
      <c r="BQ149" s="3"/>
    </row>
    <row r="150">
      <c r="A150" s="34">
        <v>150.0</v>
      </c>
      <c r="B150" s="34">
        <v>103407.0</v>
      </c>
      <c r="C150" s="34" t="s">
        <v>415</v>
      </c>
      <c r="D150" s="34" t="s">
        <v>575</v>
      </c>
      <c r="E150" s="34" t="s">
        <v>576</v>
      </c>
      <c r="F150" s="34">
        <v>2017.0</v>
      </c>
      <c r="G150" s="34" t="s">
        <v>577</v>
      </c>
      <c r="H150" s="34" t="s">
        <v>578</v>
      </c>
      <c r="I150" s="34" t="s">
        <v>579</v>
      </c>
      <c r="J150" s="35"/>
      <c r="K150" s="36"/>
      <c r="L150" s="36">
        <v>0.73</v>
      </c>
      <c r="M150" s="36"/>
      <c r="N150" s="36"/>
      <c r="O150" s="36"/>
      <c r="P150" s="37">
        <v>-9.94</v>
      </c>
      <c r="Q150" s="36" t="s">
        <v>96</v>
      </c>
      <c r="R150" s="36" t="s">
        <v>96</v>
      </c>
      <c r="S150" s="36" t="s">
        <v>580</v>
      </c>
      <c r="T150" s="36" t="s">
        <v>193</v>
      </c>
      <c r="U150" s="36" t="s">
        <v>194</v>
      </c>
      <c r="V150" s="36"/>
      <c r="W150" s="36"/>
      <c r="X150" s="38">
        <v>1.0</v>
      </c>
      <c r="Y150" s="38" t="s">
        <v>598</v>
      </c>
      <c r="Z150" s="38" t="s">
        <v>599</v>
      </c>
      <c r="AA150" s="38" t="s">
        <v>288</v>
      </c>
      <c r="AB150" s="38">
        <v>44.5</v>
      </c>
      <c r="AC150" s="38">
        <v>117.17</v>
      </c>
      <c r="AD150" s="53" t="s">
        <v>87</v>
      </c>
      <c r="AE150" s="38">
        <v>1189.0</v>
      </c>
      <c r="AF150" s="38" t="s">
        <v>595</v>
      </c>
      <c r="AG150" s="38" t="s">
        <v>600</v>
      </c>
      <c r="AH150" s="38"/>
      <c r="AI150" s="50">
        <v>44.5</v>
      </c>
      <c r="AJ150" s="50">
        <v>-117.17</v>
      </c>
      <c r="AK150" s="41" t="s">
        <v>292</v>
      </c>
      <c r="AL150" s="40" t="s">
        <v>292</v>
      </c>
      <c r="AM150" s="49">
        <v>841.0</v>
      </c>
      <c r="AN150" s="51">
        <v>841.0</v>
      </c>
      <c r="AO150" s="42" t="s">
        <v>293</v>
      </c>
      <c r="AP150" s="43" t="s">
        <v>293</v>
      </c>
      <c r="AQ150" s="44" t="str">
        <f t="shared" si="20"/>
        <v>GRA</v>
      </c>
      <c r="AR150" s="44">
        <f t="shared" si="3"/>
        <v>841</v>
      </c>
      <c r="AS150" s="44" t="str">
        <f t="shared" si="21"/>
        <v>B</v>
      </c>
      <c r="AT150" s="44" t="str">
        <f t="shared" si="17"/>
        <v>BS</v>
      </c>
      <c r="AU150" s="44" t="str">
        <f t="shared" si="2"/>
        <v>BSk</v>
      </c>
      <c r="AV150" s="38"/>
      <c r="AW150" s="38"/>
      <c r="AX150" s="38"/>
      <c r="AY150" s="38"/>
      <c r="AZ150" s="29" t="s">
        <v>580</v>
      </c>
      <c r="BA150" s="29"/>
      <c r="BB150" s="29">
        <v>2.0</v>
      </c>
      <c r="BC150" s="29" t="s">
        <v>202</v>
      </c>
      <c r="BD150" s="29" t="s">
        <v>88</v>
      </c>
      <c r="BE150" s="29"/>
      <c r="BF150" s="29" t="s">
        <v>202</v>
      </c>
      <c r="BG150" s="29" t="s">
        <v>203</v>
      </c>
      <c r="BH150" s="29"/>
      <c r="BI150" s="29"/>
      <c r="BJ150" s="29"/>
      <c r="BK150" s="29"/>
      <c r="BL150" s="29"/>
      <c r="BM150" s="67">
        <v>1.0</v>
      </c>
      <c r="BN150" s="67">
        <v>1.0</v>
      </c>
      <c r="BO150" s="46" t="s">
        <v>202</v>
      </c>
      <c r="BP150" s="2"/>
      <c r="BQ150" s="3"/>
    </row>
    <row r="151" ht="17.25" customHeight="1">
      <c r="A151" s="34">
        <v>151.0</v>
      </c>
      <c r="B151" s="34">
        <v>103407.0</v>
      </c>
      <c r="C151" s="34" t="s">
        <v>415</v>
      </c>
      <c r="D151" s="34" t="s">
        <v>575</v>
      </c>
      <c r="E151" s="34" t="s">
        <v>576</v>
      </c>
      <c r="F151" s="34">
        <v>2017.0</v>
      </c>
      <c r="G151" s="34" t="s">
        <v>577</v>
      </c>
      <c r="H151" s="34" t="s">
        <v>578</v>
      </c>
      <c r="I151" s="34" t="s">
        <v>579</v>
      </c>
      <c r="J151" s="35"/>
      <c r="K151" s="36"/>
      <c r="L151" s="36">
        <v>1.27</v>
      </c>
      <c r="M151" s="36"/>
      <c r="N151" s="36"/>
      <c r="O151" s="36"/>
      <c r="P151" s="37">
        <v>-15.39</v>
      </c>
      <c r="Q151" s="36" t="s">
        <v>96</v>
      </c>
      <c r="R151" s="36" t="s">
        <v>96</v>
      </c>
      <c r="S151" s="36" t="s">
        <v>580</v>
      </c>
      <c r="T151" s="36" t="s">
        <v>193</v>
      </c>
      <c r="U151" s="36" t="s">
        <v>194</v>
      </c>
      <c r="V151" s="36"/>
      <c r="W151" s="36"/>
      <c r="X151" s="38">
        <v>1.0</v>
      </c>
      <c r="Y151" s="38" t="s">
        <v>601</v>
      </c>
      <c r="Z151" s="38" t="s">
        <v>602</v>
      </c>
      <c r="AA151" s="38" t="s">
        <v>288</v>
      </c>
      <c r="AB151" s="38">
        <v>30.85</v>
      </c>
      <c r="AC151" s="38">
        <v>91.42</v>
      </c>
      <c r="AD151" s="53" t="s">
        <v>198</v>
      </c>
      <c r="AE151" s="53"/>
      <c r="AF151" s="38" t="s">
        <v>595</v>
      </c>
      <c r="AG151" s="57"/>
      <c r="AH151" s="38"/>
      <c r="AI151" s="50">
        <v>30.85</v>
      </c>
      <c r="AJ151" s="50">
        <v>91.42</v>
      </c>
      <c r="AK151" s="41" t="s">
        <v>603</v>
      </c>
      <c r="AL151" s="40" t="s">
        <v>603</v>
      </c>
      <c r="AM151" s="49">
        <v>5495.0</v>
      </c>
      <c r="AN151" s="51">
        <v>5495.0</v>
      </c>
      <c r="AO151" s="42" t="s">
        <v>604</v>
      </c>
      <c r="AP151" s="43" t="s">
        <v>605</v>
      </c>
      <c r="AQ151" s="44" t="str">
        <f t="shared" si="20"/>
        <v>GRA</v>
      </c>
      <c r="AR151" s="44">
        <f t="shared" si="3"/>
        <v>5495</v>
      </c>
      <c r="AS151" s="44" t="str">
        <f t="shared" si="21"/>
        <v>E</v>
      </c>
      <c r="AT151" s="44" t="str">
        <f t="shared" si="17"/>
        <v>ET</v>
      </c>
      <c r="AU151" s="44" t="str">
        <f t="shared" si="2"/>
        <v>ET</v>
      </c>
      <c r="AV151" s="38"/>
      <c r="AW151" s="38"/>
      <c r="AX151" s="38"/>
      <c r="AY151" s="38"/>
      <c r="AZ151" s="29" t="s">
        <v>580</v>
      </c>
      <c r="BA151" s="29"/>
      <c r="BB151" s="29">
        <v>2.0</v>
      </c>
      <c r="BC151" s="29" t="s">
        <v>202</v>
      </c>
      <c r="BD151" s="29" t="s">
        <v>88</v>
      </c>
      <c r="BE151" s="29"/>
      <c r="BF151" s="29" t="s">
        <v>202</v>
      </c>
      <c r="BG151" s="29" t="s">
        <v>203</v>
      </c>
      <c r="BH151" s="29"/>
      <c r="BI151" s="29"/>
      <c r="BJ151" s="29"/>
      <c r="BK151" s="29"/>
      <c r="BL151" s="29"/>
      <c r="BM151" s="67">
        <v>1.0</v>
      </c>
      <c r="BN151" s="67">
        <v>1.0</v>
      </c>
      <c r="BO151" s="46" t="s">
        <v>202</v>
      </c>
      <c r="BP151" s="2"/>
      <c r="BQ151" s="3"/>
    </row>
    <row r="152" ht="13.5" customHeight="1">
      <c r="A152" s="34">
        <v>152.0</v>
      </c>
      <c r="B152" s="34">
        <v>103407.0</v>
      </c>
      <c r="C152" s="34" t="s">
        <v>415</v>
      </c>
      <c r="D152" s="34" t="s">
        <v>575</v>
      </c>
      <c r="E152" s="34" t="s">
        <v>576</v>
      </c>
      <c r="F152" s="34">
        <v>2017.0</v>
      </c>
      <c r="G152" s="34" t="s">
        <v>577</v>
      </c>
      <c r="H152" s="34" t="s">
        <v>578</v>
      </c>
      <c r="I152" s="34" t="s">
        <v>579</v>
      </c>
      <c r="J152" s="35"/>
      <c r="K152" s="36"/>
      <c r="L152" s="36">
        <v>1.76</v>
      </c>
      <c r="M152" s="36"/>
      <c r="N152" s="36"/>
      <c r="O152" s="36"/>
      <c r="P152" s="37">
        <v>11.73</v>
      </c>
      <c r="Q152" s="36" t="s">
        <v>96</v>
      </c>
      <c r="R152" s="36" t="s">
        <v>96</v>
      </c>
      <c r="S152" s="36" t="s">
        <v>580</v>
      </c>
      <c r="T152" s="36" t="s">
        <v>193</v>
      </c>
      <c r="U152" s="36" t="s">
        <v>194</v>
      </c>
      <c r="V152" s="36"/>
      <c r="W152" s="36"/>
      <c r="X152" s="38">
        <v>1.0</v>
      </c>
      <c r="Y152" s="38" t="s">
        <v>606</v>
      </c>
      <c r="Z152" s="38" t="s">
        <v>497</v>
      </c>
      <c r="AA152" s="38" t="s">
        <v>86</v>
      </c>
      <c r="AB152" s="38">
        <v>36.95</v>
      </c>
      <c r="AC152" s="38">
        <v>116.6</v>
      </c>
      <c r="AD152" s="53" t="s">
        <v>198</v>
      </c>
      <c r="AE152" s="38">
        <v>28.0</v>
      </c>
      <c r="AF152" s="38" t="s">
        <v>607</v>
      </c>
      <c r="AG152" s="38" t="s">
        <v>608</v>
      </c>
      <c r="AH152" s="38"/>
      <c r="AI152" s="50">
        <v>36.95</v>
      </c>
      <c r="AJ152" s="50">
        <v>116.6</v>
      </c>
      <c r="AK152" s="41" t="s">
        <v>86</v>
      </c>
      <c r="AL152" s="40" t="s">
        <v>86</v>
      </c>
      <c r="AM152" s="49">
        <v>22.0</v>
      </c>
      <c r="AN152" s="51">
        <v>22.0</v>
      </c>
      <c r="AO152" s="42" t="s">
        <v>218</v>
      </c>
      <c r="AP152" s="43" t="s">
        <v>218</v>
      </c>
      <c r="AQ152" s="44" t="str">
        <f t="shared" si="20"/>
        <v>CRO</v>
      </c>
      <c r="AR152" s="44">
        <f t="shared" si="3"/>
        <v>22</v>
      </c>
      <c r="AS152" s="44" t="str">
        <f t="shared" si="21"/>
        <v>D</v>
      </c>
      <c r="AT152" s="44" t="str">
        <f t="shared" si="17"/>
        <v>Dw</v>
      </c>
      <c r="AU152" s="44" t="str">
        <f t="shared" si="2"/>
        <v>Dwa</v>
      </c>
      <c r="AV152" s="38"/>
      <c r="AW152" s="38"/>
      <c r="AX152" s="38"/>
      <c r="AY152" s="38"/>
      <c r="AZ152" s="29" t="s">
        <v>580</v>
      </c>
      <c r="BA152" s="29"/>
      <c r="BB152" s="29">
        <v>2.0</v>
      </c>
      <c r="BC152" s="29" t="s">
        <v>202</v>
      </c>
      <c r="BD152" s="29" t="s">
        <v>88</v>
      </c>
      <c r="BE152" s="29"/>
      <c r="BF152" s="29" t="s">
        <v>202</v>
      </c>
      <c r="BG152" s="29" t="s">
        <v>203</v>
      </c>
      <c r="BH152" s="29"/>
      <c r="BI152" s="29"/>
      <c r="BJ152" s="29"/>
      <c r="BK152" s="29"/>
      <c r="BL152" s="29"/>
      <c r="BM152" s="67">
        <v>1.0</v>
      </c>
      <c r="BN152" s="67">
        <v>1.0</v>
      </c>
      <c r="BO152" s="46" t="s">
        <v>202</v>
      </c>
      <c r="BP152" s="2"/>
      <c r="BQ152" s="3"/>
    </row>
    <row r="153">
      <c r="A153" s="34">
        <v>153.0</v>
      </c>
      <c r="B153" s="34">
        <v>102893.0</v>
      </c>
      <c r="C153" s="34" t="s">
        <v>76</v>
      </c>
      <c r="D153" s="34" t="s">
        <v>609</v>
      </c>
      <c r="E153" s="34" t="s">
        <v>610</v>
      </c>
      <c r="F153" s="34">
        <v>2019.0</v>
      </c>
      <c r="G153" s="34" t="s">
        <v>611</v>
      </c>
      <c r="H153" s="34" t="s">
        <v>578</v>
      </c>
      <c r="I153" s="34" t="s">
        <v>612</v>
      </c>
      <c r="J153" s="35"/>
      <c r="K153" s="69"/>
      <c r="L153" s="69"/>
      <c r="M153" s="69"/>
      <c r="N153" s="36">
        <v>-3.7</v>
      </c>
      <c r="O153" s="69"/>
      <c r="P153" s="37">
        <v>-5.2</v>
      </c>
      <c r="Q153" s="69"/>
      <c r="R153" s="36" t="s">
        <v>96</v>
      </c>
      <c r="S153" s="69"/>
      <c r="T153" s="36" t="s">
        <v>613</v>
      </c>
      <c r="U153" s="36" t="s">
        <v>614</v>
      </c>
      <c r="V153" s="36"/>
      <c r="W153" s="69"/>
      <c r="X153" s="38">
        <v>1.0</v>
      </c>
      <c r="Y153" s="38" t="s">
        <v>497</v>
      </c>
      <c r="Z153" s="38" t="s">
        <v>615</v>
      </c>
      <c r="AA153" s="38" t="s">
        <v>86</v>
      </c>
      <c r="AB153" s="38" t="s">
        <v>616</v>
      </c>
      <c r="AC153" s="38" t="s">
        <v>617</v>
      </c>
      <c r="AD153" s="53" t="s">
        <v>198</v>
      </c>
      <c r="AE153" s="38"/>
      <c r="AF153" s="38" t="s">
        <v>260</v>
      </c>
      <c r="AG153" s="38"/>
      <c r="AH153" s="38"/>
      <c r="AI153" s="50">
        <v>36.8291</v>
      </c>
      <c r="AJ153" s="50">
        <v>116.5703</v>
      </c>
      <c r="AK153" s="41" t="s">
        <v>86</v>
      </c>
      <c r="AL153" s="40" t="s">
        <v>86</v>
      </c>
      <c r="AM153" s="49">
        <v>26.0</v>
      </c>
      <c r="AN153" s="51">
        <v>26.0</v>
      </c>
      <c r="AO153" s="42" t="s">
        <v>218</v>
      </c>
      <c r="AP153" s="43" t="s">
        <v>218</v>
      </c>
      <c r="AQ153" s="44" t="str">
        <f t="shared" si="20"/>
        <v>CRO</v>
      </c>
      <c r="AR153" s="44">
        <f t="shared" si="3"/>
        <v>26</v>
      </c>
      <c r="AS153" s="44" t="str">
        <f t="shared" si="21"/>
        <v>D</v>
      </c>
      <c r="AT153" s="44" t="str">
        <f t="shared" si="17"/>
        <v>Dw</v>
      </c>
      <c r="AU153" s="44" t="str">
        <f t="shared" si="2"/>
        <v>Dwa</v>
      </c>
      <c r="AV153" s="38">
        <v>3.0</v>
      </c>
      <c r="AW153" s="38"/>
      <c r="AX153" s="38"/>
      <c r="AY153" s="38"/>
      <c r="AZ153" s="29"/>
      <c r="BA153" s="29"/>
      <c r="BB153" s="29">
        <v>1.0</v>
      </c>
      <c r="BC153" s="29" t="s">
        <v>618</v>
      </c>
      <c r="BD153" s="29" t="s">
        <v>88</v>
      </c>
      <c r="BE153" s="29" t="s">
        <v>619</v>
      </c>
      <c r="BF153" s="29" t="s">
        <v>618</v>
      </c>
      <c r="BG153" s="29" t="s">
        <v>220</v>
      </c>
      <c r="BH153" s="29" t="s">
        <v>88</v>
      </c>
      <c r="BI153" s="29" t="s">
        <v>620</v>
      </c>
      <c r="BJ153" s="29"/>
      <c r="BK153" s="29"/>
      <c r="BL153" s="29"/>
      <c r="BM153" s="67">
        <v>1.0</v>
      </c>
      <c r="BN153" s="67">
        <v>1.0</v>
      </c>
      <c r="BO153" s="46" t="s">
        <v>621</v>
      </c>
      <c r="BP153" s="2"/>
      <c r="BQ153" s="3"/>
    </row>
    <row r="154">
      <c r="A154" s="34">
        <v>154.0</v>
      </c>
      <c r="B154" s="34">
        <v>102893.0</v>
      </c>
      <c r="C154" s="34" t="s">
        <v>76</v>
      </c>
      <c r="D154" s="34" t="s">
        <v>609</v>
      </c>
      <c r="E154" s="34" t="s">
        <v>610</v>
      </c>
      <c r="F154" s="34">
        <v>2019.0</v>
      </c>
      <c r="G154" s="34" t="s">
        <v>611</v>
      </c>
      <c r="H154" s="34" t="s">
        <v>578</v>
      </c>
      <c r="I154" s="34" t="s">
        <v>612</v>
      </c>
      <c r="J154" s="35"/>
      <c r="K154" s="36"/>
      <c r="L154" s="36"/>
      <c r="M154" s="36"/>
      <c r="N154" s="36">
        <v>-3.0</v>
      </c>
      <c r="O154" s="36"/>
      <c r="P154" s="37">
        <v>-4.2</v>
      </c>
      <c r="Q154" s="36"/>
      <c r="R154" s="36" t="s">
        <v>96</v>
      </c>
      <c r="S154" s="36"/>
      <c r="T154" s="36" t="s">
        <v>613</v>
      </c>
      <c r="U154" s="36" t="s">
        <v>614</v>
      </c>
      <c r="V154" s="36"/>
      <c r="W154" s="36"/>
      <c r="X154" s="38">
        <v>1.0</v>
      </c>
      <c r="Y154" s="38" t="s">
        <v>497</v>
      </c>
      <c r="Z154" s="38" t="s">
        <v>615</v>
      </c>
      <c r="AA154" s="38" t="s">
        <v>86</v>
      </c>
      <c r="AB154" s="38" t="s">
        <v>616</v>
      </c>
      <c r="AC154" s="38" t="s">
        <v>617</v>
      </c>
      <c r="AD154" s="53" t="s">
        <v>198</v>
      </c>
      <c r="AE154" s="38"/>
      <c r="AF154" s="38" t="s">
        <v>260</v>
      </c>
      <c r="AG154" s="38"/>
      <c r="AH154" s="38"/>
      <c r="AI154" s="50">
        <v>36.8291</v>
      </c>
      <c r="AJ154" s="50">
        <v>116.5703</v>
      </c>
      <c r="AK154" s="41" t="s">
        <v>86</v>
      </c>
      <c r="AL154" s="40" t="s">
        <v>86</v>
      </c>
      <c r="AM154" s="49">
        <v>26.0</v>
      </c>
      <c r="AN154" s="51">
        <v>26.0</v>
      </c>
      <c r="AO154" s="42" t="s">
        <v>218</v>
      </c>
      <c r="AP154" s="43" t="s">
        <v>218</v>
      </c>
      <c r="AQ154" s="44" t="str">
        <f t="shared" si="20"/>
        <v>CRO</v>
      </c>
      <c r="AR154" s="44">
        <f t="shared" si="3"/>
        <v>26</v>
      </c>
      <c r="AS154" s="44" t="str">
        <f t="shared" si="21"/>
        <v>D</v>
      </c>
      <c r="AT154" s="44" t="str">
        <f t="shared" si="17"/>
        <v>Dw</v>
      </c>
      <c r="AU154" s="44" t="str">
        <f t="shared" si="2"/>
        <v>Dwa</v>
      </c>
      <c r="AV154" s="38">
        <v>3.0</v>
      </c>
      <c r="AW154" s="38"/>
      <c r="AX154" s="38"/>
      <c r="AY154" s="38"/>
      <c r="AZ154" s="29"/>
      <c r="BA154" s="29"/>
      <c r="BB154" s="29">
        <v>1.0</v>
      </c>
      <c r="BC154" s="29" t="s">
        <v>618</v>
      </c>
      <c r="BD154" s="29" t="s">
        <v>88</v>
      </c>
      <c r="BE154" s="29" t="s">
        <v>622</v>
      </c>
      <c r="BF154" s="29" t="s">
        <v>618</v>
      </c>
      <c r="BG154" s="29" t="s">
        <v>220</v>
      </c>
      <c r="BH154" s="29" t="s">
        <v>88</v>
      </c>
      <c r="BI154" s="29" t="s">
        <v>620</v>
      </c>
      <c r="BJ154" s="29"/>
      <c r="BK154" s="29"/>
      <c r="BL154" s="29"/>
      <c r="BM154" s="67"/>
      <c r="BN154" s="67"/>
      <c r="BO154" s="46" t="s">
        <v>621</v>
      </c>
      <c r="BP154" s="2"/>
      <c r="BQ154" s="3"/>
    </row>
    <row r="155">
      <c r="A155" s="34">
        <v>155.0</v>
      </c>
      <c r="B155" s="34">
        <v>102893.0</v>
      </c>
      <c r="C155" s="34" t="s">
        <v>76</v>
      </c>
      <c r="D155" s="34" t="s">
        <v>609</v>
      </c>
      <c r="E155" s="34" t="s">
        <v>610</v>
      </c>
      <c r="F155" s="34">
        <v>2019.0</v>
      </c>
      <c r="G155" s="34" t="s">
        <v>611</v>
      </c>
      <c r="H155" s="34" t="s">
        <v>578</v>
      </c>
      <c r="I155" s="34" t="s">
        <v>612</v>
      </c>
      <c r="J155" s="35"/>
      <c r="K155" s="36"/>
      <c r="L155" s="36"/>
      <c r="M155" s="36"/>
      <c r="N155" s="36">
        <v>-6.4</v>
      </c>
      <c r="O155" s="36"/>
      <c r="P155" s="37">
        <v>-9.3</v>
      </c>
      <c r="Q155" s="36"/>
      <c r="R155" s="36" t="s">
        <v>96</v>
      </c>
      <c r="S155" s="36"/>
      <c r="T155" s="36" t="s">
        <v>613</v>
      </c>
      <c r="U155" s="36" t="s">
        <v>614</v>
      </c>
      <c r="V155" s="36"/>
      <c r="W155" s="36"/>
      <c r="X155" s="38">
        <v>1.0</v>
      </c>
      <c r="Y155" s="38" t="s">
        <v>497</v>
      </c>
      <c r="Z155" s="38" t="s">
        <v>615</v>
      </c>
      <c r="AA155" s="38" t="s">
        <v>86</v>
      </c>
      <c r="AB155" s="38" t="s">
        <v>616</v>
      </c>
      <c r="AC155" s="38" t="s">
        <v>617</v>
      </c>
      <c r="AD155" s="53" t="s">
        <v>198</v>
      </c>
      <c r="AE155" s="38"/>
      <c r="AF155" s="38" t="s">
        <v>260</v>
      </c>
      <c r="AG155" s="38"/>
      <c r="AH155" s="38"/>
      <c r="AI155" s="50">
        <v>36.8291</v>
      </c>
      <c r="AJ155" s="50">
        <v>116.5703</v>
      </c>
      <c r="AK155" s="41" t="s">
        <v>86</v>
      </c>
      <c r="AL155" s="40" t="s">
        <v>86</v>
      </c>
      <c r="AM155" s="49">
        <v>26.0</v>
      </c>
      <c r="AN155" s="51">
        <v>26.0</v>
      </c>
      <c r="AO155" s="42" t="s">
        <v>218</v>
      </c>
      <c r="AP155" s="43" t="s">
        <v>218</v>
      </c>
      <c r="AQ155" s="44" t="str">
        <f t="shared" si="20"/>
        <v>CRO</v>
      </c>
      <c r="AR155" s="44">
        <f t="shared" si="3"/>
        <v>26</v>
      </c>
      <c r="AS155" s="44" t="str">
        <f t="shared" si="21"/>
        <v>D</v>
      </c>
      <c r="AT155" s="44" t="str">
        <f t="shared" si="17"/>
        <v>Dw</v>
      </c>
      <c r="AU155" s="44" t="str">
        <f t="shared" si="2"/>
        <v>Dwa</v>
      </c>
      <c r="AV155" s="38">
        <v>3.0</v>
      </c>
      <c r="AW155" s="38"/>
      <c r="AX155" s="38"/>
      <c r="AY155" s="38"/>
      <c r="AZ155" s="29"/>
      <c r="BA155" s="29"/>
      <c r="BB155" s="29">
        <v>1.0</v>
      </c>
      <c r="BC155" s="29" t="s">
        <v>618</v>
      </c>
      <c r="BD155" s="29" t="s">
        <v>88</v>
      </c>
      <c r="BE155" s="29" t="s">
        <v>619</v>
      </c>
      <c r="BF155" s="29" t="s">
        <v>618</v>
      </c>
      <c r="BG155" s="29" t="s">
        <v>220</v>
      </c>
      <c r="BH155" s="29" t="s">
        <v>88</v>
      </c>
      <c r="BI155" s="29" t="s">
        <v>620</v>
      </c>
      <c r="BJ155" s="29"/>
      <c r="BK155" s="29"/>
      <c r="BL155" s="29"/>
      <c r="BM155" s="67"/>
      <c r="BN155" s="67"/>
      <c r="BO155" s="46" t="s">
        <v>623</v>
      </c>
      <c r="BP155" s="2"/>
      <c r="BQ155" s="3"/>
    </row>
    <row r="156">
      <c r="A156" s="34">
        <v>156.0</v>
      </c>
      <c r="B156" s="34">
        <v>102893.0</v>
      </c>
      <c r="C156" s="34" t="s">
        <v>76</v>
      </c>
      <c r="D156" s="34" t="s">
        <v>609</v>
      </c>
      <c r="E156" s="34" t="s">
        <v>610</v>
      </c>
      <c r="F156" s="34">
        <v>2019.0</v>
      </c>
      <c r="G156" s="34" t="s">
        <v>611</v>
      </c>
      <c r="H156" s="34" t="s">
        <v>578</v>
      </c>
      <c r="I156" s="34" t="s">
        <v>612</v>
      </c>
      <c r="J156" s="35"/>
      <c r="K156" s="36"/>
      <c r="L156" s="36"/>
      <c r="M156" s="36"/>
      <c r="N156" s="36">
        <v>-7.1</v>
      </c>
      <c r="O156" s="36"/>
      <c r="P156" s="37">
        <v>-10.4</v>
      </c>
      <c r="Q156" s="36"/>
      <c r="R156" s="36" t="s">
        <v>96</v>
      </c>
      <c r="S156" s="36"/>
      <c r="T156" s="36" t="s">
        <v>613</v>
      </c>
      <c r="U156" s="36" t="s">
        <v>614</v>
      </c>
      <c r="V156" s="36"/>
      <c r="W156" s="36"/>
      <c r="X156" s="38">
        <v>1.0</v>
      </c>
      <c r="Y156" s="38" t="s">
        <v>497</v>
      </c>
      <c r="Z156" s="38" t="s">
        <v>615</v>
      </c>
      <c r="AA156" s="38" t="s">
        <v>86</v>
      </c>
      <c r="AB156" s="38" t="s">
        <v>616</v>
      </c>
      <c r="AC156" s="38" t="s">
        <v>617</v>
      </c>
      <c r="AD156" s="53" t="s">
        <v>198</v>
      </c>
      <c r="AE156" s="38"/>
      <c r="AF156" s="38" t="s">
        <v>260</v>
      </c>
      <c r="AG156" s="38"/>
      <c r="AH156" s="38"/>
      <c r="AI156" s="50">
        <v>36.8291</v>
      </c>
      <c r="AJ156" s="50">
        <v>116.5703</v>
      </c>
      <c r="AK156" s="41" t="s">
        <v>86</v>
      </c>
      <c r="AL156" s="40" t="s">
        <v>86</v>
      </c>
      <c r="AM156" s="49">
        <v>26.0</v>
      </c>
      <c r="AN156" s="51">
        <v>26.0</v>
      </c>
      <c r="AO156" s="42" t="s">
        <v>218</v>
      </c>
      <c r="AP156" s="43" t="s">
        <v>218</v>
      </c>
      <c r="AQ156" s="44" t="str">
        <f t="shared" si="20"/>
        <v>CRO</v>
      </c>
      <c r="AR156" s="44">
        <f t="shared" si="3"/>
        <v>26</v>
      </c>
      <c r="AS156" s="44" t="str">
        <f t="shared" si="21"/>
        <v>D</v>
      </c>
      <c r="AT156" s="44" t="str">
        <f t="shared" si="17"/>
        <v>Dw</v>
      </c>
      <c r="AU156" s="44" t="str">
        <f t="shared" si="2"/>
        <v>Dwa</v>
      </c>
      <c r="AV156" s="38">
        <v>3.0</v>
      </c>
      <c r="AW156" s="38"/>
      <c r="AX156" s="38"/>
      <c r="AY156" s="38"/>
      <c r="AZ156" s="29"/>
      <c r="BA156" s="29"/>
      <c r="BB156" s="29">
        <v>1.0</v>
      </c>
      <c r="BC156" s="29" t="s">
        <v>618</v>
      </c>
      <c r="BD156" s="29" t="s">
        <v>88</v>
      </c>
      <c r="BE156" s="29" t="s">
        <v>622</v>
      </c>
      <c r="BF156" s="29" t="s">
        <v>618</v>
      </c>
      <c r="BG156" s="29" t="s">
        <v>220</v>
      </c>
      <c r="BH156" s="29" t="s">
        <v>88</v>
      </c>
      <c r="BI156" s="29" t="s">
        <v>620</v>
      </c>
      <c r="BJ156" s="29"/>
      <c r="BK156" s="29"/>
      <c r="BL156" s="29"/>
      <c r="BM156" s="67"/>
      <c r="BN156" s="67"/>
      <c r="BO156" s="46" t="s">
        <v>623</v>
      </c>
      <c r="BP156" s="2"/>
      <c r="BQ156" s="3"/>
    </row>
    <row r="157">
      <c r="A157" s="34">
        <v>157.0</v>
      </c>
      <c r="B157" s="34">
        <v>102893.0</v>
      </c>
      <c r="C157" s="34" t="s">
        <v>76</v>
      </c>
      <c r="D157" s="34" t="s">
        <v>609</v>
      </c>
      <c r="E157" s="34" t="s">
        <v>610</v>
      </c>
      <c r="F157" s="34">
        <v>2019.0</v>
      </c>
      <c r="G157" s="34" t="s">
        <v>611</v>
      </c>
      <c r="H157" s="34" t="s">
        <v>578</v>
      </c>
      <c r="I157" s="34" t="s">
        <v>612</v>
      </c>
      <c r="J157" s="35"/>
      <c r="K157" s="36"/>
      <c r="L157" s="36"/>
      <c r="M157" s="36"/>
      <c r="N157" s="36">
        <v>3.2</v>
      </c>
      <c r="O157" s="36"/>
      <c r="P157" s="37">
        <v>4.4</v>
      </c>
      <c r="Q157" s="36"/>
      <c r="R157" s="36" t="s">
        <v>96</v>
      </c>
      <c r="S157" s="36"/>
      <c r="T157" s="36" t="s">
        <v>613</v>
      </c>
      <c r="U157" s="36" t="s">
        <v>614</v>
      </c>
      <c r="V157" s="36"/>
      <c r="W157" s="36"/>
      <c r="X157" s="38">
        <v>1.0</v>
      </c>
      <c r="Y157" s="38" t="s">
        <v>497</v>
      </c>
      <c r="Z157" s="38" t="s">
        <v>615</v>
      </c>
      <c r="AA157" s="38" t="s">
        <v>86</v>
      </c>
      <c r="AB157" s="38" t="s">
        <v>616</v>
      </c>
      <c r="AC157" s="38" t="s">
        <v>617</v>
      </c>
      <c r="AD157" s="53" t="s">
        <v>198</v>
      </c>
      <c r="AE157" s="38"/>
      <c r="AF157" s="38" t="s">
        <v>260</v>
      </c>
      <c r="AG157" s="38"/>
      <c r="AH157" s="38"/>
      <c r="AI157" s="50">
        <v>36.8291</v>
      </c>
      <c r="AJ157" s="50">
        <v>116.5703</v>
      </c>
      <c r="AK157" s="41" t="s">
        <v>86</v>
      </c>
      <c r="AL157" s="40" t="s">
        <v>86</v>
      </c>
      <c r="AM157" s="49">
        <v>26.0</v>
      </c>
      <c r="AN157" s="51">
        <v>26.0</v>
      </c>
      <c r="AO157" s="42" t="s">
        <v>218</v>
      </c>
      <c r="AP157" s="43" t="s">
        <v>218</v>
      </c>
      <c r="AQ157" s="44" t="str">
        <f t="shared" si="20"/>
        <v>CRO</v>
      </c>
      <c r="AR157" s="44">
        <f t="shared" si="3"/>
        <v>26</v>
      </c>
      <c r="AS157" s="44" t="str">
        <f t="shared" si="21"/>
        <v>D</v>
      </c>
      <c r="AT157" s="44" t="str">
        <f t="shared" si="17"/>
        <v>Dw</v>
      </c>
      <c r="AU157" s="44" t="str">
        <f t="shared" si="2"/>
        <v>Dwa</v>
      </c>
      <c r="AV157" s="38">
        <v>3.0</v>
      </c>
      <c r="AW157" s="38"/>
      <c r="AX157" s="38"/>
      <c r="AY157" s="38"/>
      <c r="AZ157" s="29"/>
      <c r="BA157" s="29"/>
      <c r="BB157" s="29">
        <v>1.0</v>
      </c>
      <c r="BC157" s="29" t="s">
        <v>618</v>
      </c>
      <c r="BD157" s="29" t="s">
        <v>88</v>
      </c>
      <c r="BE157" s="29" t="s">
        <v>619</v>
      </c>
      <c r="BF157" s="29" t="s">
        <v>618</v>
      </c>
      <c r="BG157" s="29" t="s">
        <v>220</v>
      </c>
      <c r="BH157" s="29" t="s">
        <v>88</v>
      </c>
      <c r="BI157" s="29" t="s">
        <v>620</v>
      </c>
      <c r="BJ157" s="29"/>
      <c r="BK157" s="29"/>
      <c r="BL157" s="29"/>
      <c r="BM157" s="67"/>
      <c r="BN157" s="67"/>
      <c r="BO157" s="46" t="s">
        <v>621</v>
      </c>
      <c r="BP157" s="2"/>
      <c r="BQ157" s="3"/>
    </row>
    <row r="158">
      <c r="A158" s="34">
        <v>158.0</v>
      </c>
      <c r="B158" s="34">
        <v>102893.0</v>
      </c>
      <c r="C158" s="34" t="s">
        <v>76</v>
      </c>
      <c r="D158" s="34" t="s">
        <v>609</v>
      </c>
      <c r="E158" s="34" t="s">
        <v>610</v>
      </c>
      <c r="F158" s="34">
        <v>2019.0</v>
      </c>
      <c r="G158" s="34" t="s">
        <v>611</v>
      </c>
      <c r="H158" s="34" t="s">
        <v>578</v>
      </c>
      <c r="I158" s="34" t="s">
        <v>612</v>
      </c>
      <c r="J158" s="35"/>
      <c r="K158" s="36"/>
      <c r="L158" s="36"/>
      <c r="M158" s="36"/>
      <c r="N158" s="36">
        <v>4.2</v>
      </c>
      <c r="O158" s="36"/>
      <c r="P158" s="37">
        <v>5.8</v>
      </c>
      <c r="Q158" s="36"/>
      <c r="R158" s="36" t="s">
        <v>96</v>
      </c>
      <c r="S158" s="36"/>
      <c r="T158" s="36" t="s">
        <v>613</v>
      </c>
      <c r="U158" s="36" t="s">
        <v>614</v>
      </c>
      <c r="V158" s="36"/>
      <c r="W158" s="36"/>
      <c r="X158" s="38">
        <v>1.0</v>
      </c>
      <c r="Y158" s="38" t="s">
        <v>497</v>
      </c>
      <c r="Z158" s="38" t="s">
        <v>615</v>
      </c>
      <c r="AA158" s="38" t="s">
        <v>86</v>
      </c>
      <c r="AB158" s="38" t="s">
        <v>616</v>
      </c>
      <c r="AC158" s="38" t="s">
        <v>617</v>
      </c>
      <c r="AD158" s="53" t="s">
        <v>198</v>
      </c>
      <c r="AE158" s="38"/>
      <c r="AF158" s="38" t="s">
        <v>260</v>
      </c>
      <c r="AG158" s="38"/>
      <c r="AH158" s="38"/>
      <c r="AI158" s="50">
        <v>36.8291</v>
      </c>
      <c r="AJ158" s="50">
        <v>116.5703</v>
      </c>
      <c r="AK158" s="41" t="s">
        <v>86</v>
      </c>
      <c r="AL158" s="40" t="s">
        <v>86</v>
      </c>
      <c r="AM158" s="49">
        <v>26.0</v>
      </c>
      <c r="AN158" s="51">
        <v>26.0</v>
      </c>
      <c r="AO158" s="42" t="s">
        <v>218</v>
      </c>
      <c r="AP158" s="43" t="s">
        <v>218</v>
      </c>
      <c r="AQ158" s="44" t="str">
        <f t="shared" si="20"/>
        <v>CRO</v>
      </c>
      <c r="AR158" s="44">
        <f t="shared" si="3"/>
        <v>26</v>
      </c>
      <c r="AS158" s="44" t="str">
        <f t="shared" si="21"/>
        <v>D</v>
      </c>
      <c r="AT158" s="44" t="str">
        <f t="shared" si="17"/>
        <v>Dw</v>
      </c>
      <c r="AU158" s="44" t="str">
        <f t="shared" si="2"/>
        <v>Dwa</v>
      </c>
      <c r="AV158" s="38">
        <v>3.0</v>
      </c>
      <c r="AW158" s="38"/>
      <c r="AX158" s="38"/>
      <c r="AY158" s="38"/>
      <c r="AZ158" s="29"/>
      <c r="BA158" s="29"/>
      <c r="BB158" s="29">
        <v>1.0</v>
      </c>
      <c r="BC158" s="29" t="s">
        <v>618</v>
      </c>
      <c r="BD158" s="29" t="s">
        <v>88</v>
      </c>
      <c r="BE158" s="29" t="s">
        <v>622</v>
      </c>
      <c r="BF158" s="29" t="s">
        <v>618</v>
      </c>
      <c r="BG158" s="29" t="s">
        <v>220</v>
      </c>
      <c r="BH158" s="29" t="s">
        <v>88</v>
      </c>
      <c r="BI158" s="29" t="s">
        <v>620</v>
      </c>
      <c r="BJ158" s="29"/>
      <c r="BK158" s="29"/>
      <c r="BL158" s="29"/>
      <c r="BM158" s="67"/>
      <c r="BN158" s="67"/>
      <c r="BO158" s="46" t="s">
        <v>621</v>
      </c>
      <c r="BP158" s="2"/>
      <c r="BQ158" s="3"/>
    </row>
    <row r="159">
      <c r="A159" s="34">
        <v>159.0</v>
      </c>
      <c r="B159" s="34">
        <v>102893.0</v>
      </c>
      <c r="C159" s="34" t="s">
        <v>76</v>
      </c>
      <c r="D159" s="34" t="s">
        <v>609</v>
      </c>
      <c r="E159" s="34" t="s">
        <v>610</v>
      </c>
      <c r="F159" s="34">
        <v>2019.0</v>
      </c>
      <c r="G159" s="34" t="s">
        <v>611</v>
      </c>
      <c r="H159" s="34" t="s">
        <v>578</v>
      </c>
      <c r="I159" s="34" t="s">
        <v>612</v>
      </c>
      <c r="J159" s="35"/>
      <c r="K159" s="36"/>
      <c r="L159" s="36"/>
      <c r="M159" s="36"/>
      <c r="N159" s="36">
        <v>-0.2</v>
      </c>
      <c r="O159" s="36"/>
      <c r="P159" s="37">
        <v>-0.2</v>
      </c>
      <c r="Q159" s="36"/>
      <c r="R159" s="36" t="s">
        <v>96</v>
      </c>
      <c r="S159" s="36"/>
      <c r="T159" s="36" t="s">
        <v>613</v>
      </c>
      <c r="U159" s="36" t="s">
        <v>614</v>
      </c>
      <c r="V159" s="36"/>
      <c r="W159" s="36"/>
      <c r="X159" s="38">
        <v>1.0</v>
      </c>
      <c r="Y159" s="38" t="s">
        <v>497</v>
      </c>
      <c r="Z159" s="38" t="s">
        <v>615</v>
      </c>
      <c r="AA159" s="38" t="s">
        <v>86</v>
      </c>
      <c r="AB159" s="38" t="s">
        <v>616</v>
      </c>
      <c r="AC159" s="38" t="s">
        <v>617</v>
      </c>
      <c r="AD159" s="53" t="s">
        <v>198</v>
      </c>
      <c r="AE159" s="38"/>
      <c r="AF159" s="38" t="s">
        <v>260</v>
      </c>
      <c r="AG159" s="38"/>
      <c r="AH159" s="38"/>
      <c r="AI159" s="50">
        <v>36.8291</v>
      </c>
      <c r="AJ159" s="50">
        <v>116.5703</v>
      </c>
      <c r="AK159" s="41" t="s">
        <v>86</v>
      </c>
      <c r="AL159" s="40" t="s">
        <v>86</v>
      </c>
      <c r="AM159" s="49">
        <v>26.0</v>
      </c>
      <c r="AN159" s="51">
        <v>26.0</v>
      </c>
      <c r="AO159" s="42" t="s">
        <v>218</v>
      </c>
      <c r="AP159" s="43" t="s">
        <v>218</v>
      </c>
      <c r="AQ159" s="44" t="str">
        <f t="shared" si="20"/>
        <v>CRO</v>
      </c>
      <c r="AR159" s="44">
        <f t="shared" si="3"/>
        <v>26</v>
      </c>
      <c r="AS159" s="44" t="str">
        <f t="shared" si="21"/>
        <v>D</v>
      </c>
      <c r="AT159" s="44" t="str">
        <f t="shared" si="17"/>
        <v>Dw</v>
      </c>
      <c r="AU159" s="44" t="str">
        <f t="shared" si="2"/>
        <v>Dwa</v>
      </c>
      <c r="AV159" s="38">
        <v>3.0</v>
      </c>
      <c r="AW159" s="38"/>
      <c r="AX159" s="38"/>
      <c r="AY159" s="38"/>
      <c r="AZ159" s="29"/>
      <c r="BA159" s="29"/>
      <c r="BB159" s="29">
        <v>1.0</v>
      </c>
      <c r="BC159" s="29" t="s">
        <v>618</v>
      </c>
      <c r="BD159" s="29" t="s">
        <v>88</v>
      </c>
      <c r="BE159" s="29" t="s">
        <v>619</v>
      </c>
      <c r="BF159" s="29" t="s">
        <v>618</v>
      </c>
      <c r="BG159" s="29" t="s">
        <v>220</v>
      </c>
      <c r="BH159" s="29" t="s">
        <v>88</v>
      </c>
      <c r="BI159" s="29" t="s">
        <v>620</v>
      </c>
      <c r="BJ159" s="29"/>
      <c r="BK159" s="29"/>
      <c r="BL159" s="29"/>
      <c r="BM159" s="67"/>
      <c r="BN159" s="67"/>
      <c r="BO159" s="46" t="s">
        <v>623</v>
      </c>
      <c r="BP159" s="2"/>
      <c r="BQ159" s="3"/>
    </row>
    <row r="160">
      <c r="A160" s="34">
        <v>160.0</v>
      </c>
      <c r="B160" s="34">
        <v>102893.0</v>
      </c>
      <c r="C160" s="34" t="s">
        <v>76</v>
      </c>
      <c r="D160" s="34" t="s">
        <v>609</v>
      </c>
      <c r="E160" s="34" t="s">
        <v>610</v>
      </c>
      <c r="F160" s="34">
        <v>2019.0</v>
      </c>
      <c r="G160" s="34" t="s">
        <v>611</v>
      </c>
      <c r="H160" s="34" t="s">
        <v>578</v>
      </c>
      <c r="I160" s="34" t="s">
        <v>612</v>
      </c>
      <c r="J160" s="35"/>
      <c r="K160" s="36"/>
      <c r="L160" s="36"/>
      <c r="M160" s="36"/>
      <c r="N160" s="36">
        <v>-0.9</v>
      </c>
      <c r="O160" s="36"/>
      <c r="P160" s="37">
        <v>-1.3</v>
      </c>
      <c r="Q160" s="36"/>
      <c r="R160" s="36" t="s">
        <v>96</v>
      </c>
      <c r="S160" s="36"/>
      <c r="T160" s="36" t="s">
        <v>613</v>
      </c>
      <c r="U160" s="36" t="s">
        <v>614</v>
      </c>
      <c r="V160" s="36"/>
      <c r="W160" s="36"/>
      <c r="X160" s="38">
        <v>1.0</v>
      </c>
      <c r="Y160" s="38" t="s">
        <v>497</v>
      </c>
      <c r="Z160" s="38" t="s">
        <v>615</v>
      </c>
      <c r="AA160" s="38" t="s">
        <v>86</v>
      </c>
      <c r="AB160" s="38" t="s">
        <v>616</v>
      </c>
      <c r="AC160" s="38" t="s">
        <v>617</v>
      </c>
      <c r="AD160" s="53" t="s">
        <v>198</v>
      </c>
      <c r="AE160" s="38"/>
      <c r="AF160" s="38" t="s">
        <v>260</v>
      </c>
      <c r="AG160" s="38"/>
      <c r="AH160" s="38"/>
      <c r="AI160" s="50">
        <v>36.8291</v>
      </c>
      <c r="AJ160" s="50">
        <v>116.5703</v>
      </c>
      <c r="AK160" s="41" t="s">
        <v>86</v>
      </c>
      <c r="AL160" s="40" t="s">
        <v>86</v>
      </c>
      <c r="AM160" s="49">
        <v>26.0</v>
      </c>
      <c r="AN160" s="51">
        <v>26.0</v>
      </c>
      <c r="AO160" s="42" t="s">
        <v>218</v>
      </c>
      <c r="AP160" s="43" t="s">
        <v>218</v>
      </c>
      <c r="AQ160" s="44" t="str">
        <f t="shared" si="20"/>
        <v>CRO</v>
      </c>
      <c r="AR160" s="44">
        <f t="shared" si="3"/>
        <v>26</v>
      </c>
      <c r="AS160" s="44" t="str">
        <f t="shared" si="21"/>
        <v>D</v>
      </c>
      <c r="AT160" s="44" t="str">
        <f t="shared" si="17"/>
        <v>Dw</v>
      </c>
      <c r="AU160" s="44" t="str">
        <f t="shared" si="2"/>
        <v>Dwa</v>
      </c>
      <c r="AV160" s="38">
        <v>3.0</v>
      </c>
      <c r="AW160" s="38"/>
      <c r="AX160" s="38"/>
      <c r="AY160" s="38"/>
      <c r="AZ160" s="29"/>
      <c r="BA160" s="29"/>
      <c r="BB160" s="29">
        <v>1.0</v>
      </c>
      <c r="BC160" s="29" t="s">
        <v>618</v>
      </c>
      <c r="BD160" s="29" t="s">
        <v>88</v>
      </c>
      <c r="BE160" s="29" t="s">
        <v>622</v>
      </c>
      <c r="BF160" s="29" t="s">
        <v>618</v>
      </c>
      <c r="BG160" s="29" t="s">
        <v>220</v>
      </c>
      <c r="BH160" s="29" t="s">
        <v>88</v>
      </c>
      <c r="BI160" s="29" t="s">
        <v>620</v>
      </c>
      <c r="BJ160" s="29"/>
      <c r="BK160" s="29"/>
      <c r="BL160" s="29"/>
      <c r="BM160" s="67"/>
      <c r="BN160" s="67"/>
      <c r="BO160" s="46" t="s">
        <v>623</v>
      </c>
      <c r="BP160" s="2"/>
      <c r="BQ160" s="3"/>
    </row>
    <row r="161">
      <c r="A161" s="34">
        <v>161.0</v>
      </c>
      <c r="B161" s="34">
        <v>102893.0</v>
      </c>
      <c r="C161" s="34" t="s">
        <v>76</v>
      </c>
      <c r="D161" s="34" t="s">
        <v>609</v>
      </c>
      <c r="E161" s="34" t="s">
        <v>610</v>
      </c>
      <c r="F161" s="34">
        <v>2019.0</v>
      </c>
      <c r="G161" s="34" t="s">
        <v>611</v>
      </c>
      <c r="H161" s="34" t="s">
        <v>578</v>
      </c>
      <c r="I161" s="34" t="s">
        <v>612</v>
      </c>
      <c r="J161" s="35"/>
      <c r="K161" s="36"/>
      <c r="L161" s="36"/>
      <c r="M161" s="36"/>
      <c r="N161" s="36">
        <v>9.3</v>
      </c>
      <c r="O161" s="36"/>
      <c r="P161" s="37">
        <v>6.5</v>
      </c>
      <c r="Q161" s="36"/>
      <c r="R161" s="36" t="s">
        <v>96</v>
      </c>
      <c r="S161" s="36">
        <v>1000.0</v>
      </c>
      <c r="T161" s="36" t="s">
        <v>613</v>
      </c>
      <c r="U161" s="36" t="s">
        <v>614</v>
      </c>
      <c r="V161" s="36"/>
      <c r="W161" s="36"/>
      <c r="X161" s="38">
        <v>1.0</v>
      </c>
      <c r="Y161" s="38" t="s">
        <v>497</v>
      </c>
      <c r="Z161" s="38" t="s">
        <v>615</v>
      </c>
      <c r="AA161" s="38" t="s">
        <v>86</v>
      </c>
      <c r="AB161" s="38" t="s">
        <v>616</v>
      </c>
      <c r="AC161" s="38" t="s">
        <v>617</v>
      </c>
      <c r="AD161" s="53" t="s">
        <v>198</v>
      </c>
      <c r="AE161" s="38"/>
      <c r="AF161" s="38" t="s">
        <v>260</v>
      </c>
      <c r="AG161" s="38"/>
      <c r="AH161" s="38"/>
      <c r="AI161" s="50">
        <v>36.8291</v>
      </c>
      <c r="AJ161" s="50">
        <v>116.5703</v>
      </c>
      <c r="AK161" s="41" t="s">
        <v>86</v>
      </c>
      <c r="AL161" s="40" t="s">
        <v>86</v>
      </c>
      <c r="AM161" s="49">
        <v>26.0</v>
      </c>
      <c r="AN161" s="51">
        <v>26.0</v>
      </c>
      <c r="AO161" s="42" t="s">
        <v>218</v>
      </c>
      <c r="AP161" s="43" t="s">
        <v>218</v>
      </c>
      <c r="AQ161" s="44" t="str">
        <f t="shared" si="20"/>
        <v>CRO</v>
      </c>
      <c r="AR161" s="44">
        <f t="shared" si="3"/>
        <v>26</v>
      </c>
      <c r="AS161" s="44" t="str">
        <f t="shared" si="21"/>
        <v>D</v>
      </c>
      <c r="AT161" s="44" t="str">
        <f t="shared" si="17"/>
        <v>Dw</v>
      </c>
      <c r="AU161" s="44" t="str">
        <f t="shared" si="2"/>
        <v>Dwa</v>
      </c>
      <c r="AV161" s="38">
        <v>3.0</v>
      </c>
      <c r="AW161" s="38"/>
      <c r="AX161" s="38"/>
      <c r="AY161" s="38"/>
      <c r="AZ161" s="29" t="s">
        <v>624</v>
      </c>
      <c r="BA161" s="29"/>
      <c r="BB161" s="29">
        <v>2.0</v>
      </c>
      <c r="BC161" s="29" t="s">
        <v>625</v>
      </c>
      <c r="BD161" s="29" t="s">
        <v>88</v>
      </c>
      <c r="BE161" s="29"/>
      <c r="BF161" s="29"/>
      <c r="BG161" s="29" t="s">
        <v>220</v>
      </c>
      <c r="BH161" s="29"/>
      <c r="BI161" s="29"/>
      <c r="BJ161" s="29"/>
      <c r="BK161" s="29" t="s">
        <v>148</v>
      </c>
      <c r="BL161" s="29"/>
      <c r="BM161" s="67"/>
      <c r="BN161" s="67"/>
      <c r="BO161" s="46"/>
      <c r="BP161" s="2"/>
      <c r="BQ161" s="3"/>
    </row>
    <row r="162">
      <c r="A162" s="34">
        <v>162.0</v>
      </c>
      <c r="B162" s="34">
        <v>102893.0</v>
      </c>
      <c r="C162" s="34" t="s">
        <v>76</v>
      </c>
      <c r="D162" s="34" t="s">
        <v>609</v>
      </c>
      <c r="E162" s="34" t="s">
        <v>610</v>
      </c>
      <c r="F162" s="34">
        <v>2019.0</v>
      </c>
      <c r="G162" s="34" t="s">
        <v>611</v>
      </c>
      <c r="H162" s="34" t="s">
        <v>578</v>
      </c>
      <c r="I162" s="34" t="s">
        <v>612</v>
      </c>
      <c r="J162" s="35"/>
      <c r="K162" s="36"/>
      <c r="L162" s="36"/>
      <c r="M162" s="36"/>
      <c r="N162" s="36">
        <v>0.7</v>
      </c>
      <c r="O162" s="36"/>
      <c r="P162" s="37">
        <v>0.5</v>
      </c>
      <c r="Q162" s="36"/>
      <c r="R162" s="36" t="s">
        <v>96</v>
      </c>
      <c r="S162" s="36">
        <v>1000.0</v>
      </c>
      <c r="T162" s="36" t="s">
        <v>613</v>
      </c>
      <c r="U162" s="36" t="s">
        <v>614</v>
      </c>
      <c r="V162" s="36"/>
      <c r="W162" s="36"/>
      <c r="X162" s="38">
        <v>1.0</v>
      </c>
      <c r="Y162" s="38" t="s">
        <v>497</v>
      </c>
      <c r="Z162" s="38" t="s">
        <v>615</v>
      </c>
      <c r="AA162" s="38" t="s">
        <v>86</v>
      </c>
      <c r="AB162" s="38" t="s">
        <v>616</v>
      </c>
      <c r="AC162" s="38" t="s">
        <v>617</v>
      </c>
      <c r="AD162" s="53" t="s">
        <v>198</v>
      </c>
      <c r="AE162" s="38"/>
      <c r="AF162" s="38" t="s">
        <v>260</v>
      </c>
      <c r="AG162" s="38"/>
      <c r="AH162" s="38"/>
      <c r="AI162" s="50">
        <v>36.8291</v>
      </c>
      <c r="AJ162" s="50">
        <v>116.5703</v>
      </c>
      <c r="AK162" s="41" t="s">
        <v>86</v>
      </c>
      <c r="AL162" s="40" t="s">
        <v>86</v>
      </c>
      <c r="AM162" s="49">
        <v>26.0</v>
      </c>
      <c r="AN162" s="51">
        <v>26.0</v>
      </c>
      <c r="AO162" s="42" t="s">
        <v>218</v>
      </c>
      <c r="AP162" s="43" t="s">
        <v>218</v>
      </c>
      <c r="AQ162" s="44" t="str">
        <f t="shared" si="20"/>
        <v>CRO</v>
      </c>
      <c r="AR162" s="44">
        <f t="shared" si="3"/>
        <v>26</v>
      </c>
      <c r="AS162" s="44" t="str">
        <f t="shared" si="21"/>
        <v>D</v>
      </c>
      <c r="AT162" s="44" t="str">
        <f t="shared" si="17"/>
        <v>Dw</v>
      </c>
      <c r="AU162" s="44" t="str">
        <f t="shared" si="2"/>
        <v>Dwa</v>
      </c>
      <c r="AV162" s="38">
        <v>3.0</v>
      </c>
      <c r="AW162" s="38"/>
      <c r="AX162" s="38"/>
      <c r="AY162" s="38"/>
      <c r="AZ162" s="29" t="s">
        <v>624</v>
      </c>
      <c r="BA162" s="29"/>
      <c r="BB162" s="29">
        <v>2.0</v>
      </c>
      <c r="BC162" s="29" t="s">
        <v>625</v>
      </c>
      <c r="BD162" s="29" t="s">
        <v>88</v>
      </c>
      <c r="BE162" s="29"/>
      <c r="BF162" s="29"/>
      <c r="BG162" s="29" t="s">
        <v>220</v>
      </c>
      <c r="BH162" s="29"/>
      <c r="BI162" s="29"/>
      <c r="BJ162" s="29"/>
      <c r="BK162" s="29" t="s">
        <v>148</v>
      </c>
      <c r="BL162" s="29"/>
      <c r="BM162" s="67"/>
      <c r="BN162" s="67"/>
      <c r="BO162" s="46"/>
      <c r="BP162" s="2"/>
      <c r="BQ162" s="3"/>
    </row>
    <row r="163">
      <c r="A163" s="34">
        <v>163.0</v>
      </c>
      <c r="B163" s="34">
        <v>102890.0</v>
      </c>
      <c r="C163" s="34" t="s">
        <v>76</v>
      </c>
      <c r="D163" s="34" t="s">
        <v>626</v>
      </c>
      <c r="E163" s="34" t="s">
        <v>627</v>
      </c>
      <c r="F163" s="34">
        <v>2019.0</v>
      </c>
      <c r="G163" s="34" t="s">
        <v>628</v>
      </c>
      <c r="H163" s="34" t="s">
        <v>578</v>
      </c>
      <c r="I163" s="34" t="s">
        <v>629</v>
      </c>
      <c r="J163" s="35"/>
      <c r="K163" s="36"/>
      <c r="L163" s="36"/>
      <c r="M163" s="36"/>
      <c r="N163" s="36"/>
      <c r="O163" s="36"/>
      <c r="P163" s="37">
        <v>12.0</v>
      </c>
      <c r="Q163" s="36"/>
      <c r="R163" s="36" t="s">
        <v>96</v>
      </c>
      <c r="S163" s="36">
        <v>3000.0</v>
      </c>
      <c r="T163" s="36"/>
      <c r="U163" s="36"/>
      <c r="V163" s="36"/>
      <c r="W163" s="36"/>
      <c r="X163" s="38" t="s">
        <v>630</v>
      </c>
      <c r="Y163" s="38" t="s">
        <v>631</v>
      </c>
      <c r="Z163" s="38"/>
      <c r="AA163" s="38" t="s">
        <v>86</v>
      </c>
      <c r="AB163" s="38"/>
      <c r="AC163" s="38"/>
      <c r="AD163" s="53" t="s">
        <v>198</v>
      </c>
      <c r="AE163" s="38"/>
      <c r="AF163" s="38"/>
      <c r="AG163" s="38"/>
      <c r="AH163" s="38"/>
      <c r="AI163" s="50"/>
      <c r="AJ163" s="50"/>
      <c r="AK163" s="41"/>
      <c r="AL163" s="40"/>
      <c r="AM163" s="49"/>
      <c r="AN163" s="43"/>
      <c r="AO163" s="42"/>
      <c r="AP163" s="43"/>
      <c r="AQ163" s="44" t="str">
        <f t="shared" si="20"/>
        <v>CRO</v>
      </c>
      <c r="AR163" s="44" t="str">
        <f t="shared" si="3"/>
        <v/>
      </c>
      <c r="AS163" s="44" t="str">
        <f t="shared" si="21"/>
        <v/>
      </c>
      <c r="AT163" s="44" t="str">
        <f t="shared" si="17"/>
        <v/>
      </c>
      <c r="AU163" s="44" t="str">
        <f t="shared" si="2"/>
        <v/>
      </c>
      <c r="AV163" s="38"/>
      <c r="AW163" s="38"/>
      <c r="AX163" s="38"/>
      <c r="AY163" s="38"/>
      <c r="AZ163" s="29">
        <v>1000.0</v>
      </c>
      <c r="BA163" s="29"/>
      <c r="BB163" s="29">
        <v>1.0</v>
      </c>
      <c r="BC163" s="29" t="s">
        <v>632</v>
      </c>
      <c r="BD163" s="29"/>
      <c r="BE163" s="29"/>
      <c r="BF163" s="29" t="s">
        <v>633</v>
      </c>
      <c r="BG163" s="29" t="s">
        <v>203</v>
      </c>
      <c r="BH163" s="29" t="s">
        <v>88</v>
      </c>
      <c r="BI163" s="29" t="s">
        <v>634</v>
      </c>
      <c r="BJ163" s="29"/>
      <c r="BK163" s="29" t="s">
        <v>148</v>
      </c>
      <c r="BL163" s="29"/>
      <c r="BM163" s="45">
        <v>1.0</v>
      </c>
      <c r="BN163" s="45">
        <v>1.0</v>
      </c>
      <c r="BO163" s="46" t="s">
        <v>635</v>
      </c>
      <c r="BP163" s="2"/>
      <c r="BQ163" s="3"/>
    </row>
    <row r="164">
      <c r="A164" s="34">
        <v>164.0</v>
      </c>
      <c r="B164" s="34">
        <v>102890.0</v>
      </c>
      <c r="C164" s="34" t="s">
        <v>76</v>
      </c>
      <c r="D164" s="34" t="s">
        <v>626</v>
      </c>
      <c r="E164" s="34" t="s">
        <v>627</v>
      </c>
      <c r="F164" s="34">
        <v>2019.0</v>
      </c>
      <c r="G164" s="34" t="s">
        <v>628</v>
      </c>
      <c r="H164" s="34" t="s">
        <v>578</v>
      </c>
      <c r="I164" s="34" t="s">
        <v>629</v>
      </c>
      <c r="J164" s="35"/>
      <c r="K164" s="36"/>
      <c r="L164" s="36"/>
      <c r="M164" s="36"/>
      <c r="N164" s="36"/>
      <c r="O164" s="36"/>
      <c r="P164" s="37">
        <v>20.0</v>
      </c>
      <c r="Q164" s="36"/>
      <c r="R164" s="36" t="s">
        <v>96</v>
      </c>
      <c r="S164" s="36">
        <v>3000.0</v>
      </c>
      <c r="T164" s="36"/>
      <c r="U164" s="36"/>
      <c r="V164" s="36"/>
      <c r="W164" s="36"/>
      <c r="X164" s="38" t="s">
        <v>630</v>
      </c>
      <c r="Y164" s="38" t="s">
        <v>631</v>
      </c>
      <c r="Z164" s="38"/>
      <c r="AA164" s="38" t="s">
        <v>370</v>
      </c>
      <c r="AB164" s="38"/>
      <c r="AC164" s="38"/>
      <c r="AD164" s="53" t="s">
        <v>198</v>
      </c>
      <c r="AE164" s="38"/>
      <c r="AF164" s="38"/>
      <c r="AG164" s="38"/>
      <c r="AH164" s="38"/>
      <c r="AI164" s="50"/>
      <c r="AJ164" s="50"/>
      <c r="AK164" s="41"/>
      <c r="AL164" s="40"/>
      <c r="AM164" s="49"/>
      <c r="AN164" s="43"/>
      <c r="AO164" s="42"/>
      <c r="AP164" s="43"/>
      <c r="AQ164" s="44" t="str">
        <f t="shared" si="20"/>
        <v>DBF</v>
      </c>
      <c r="AR164" s="44" t="str">
        <f t="shared" si="3"/>
        <v/>
      </c>
      <c r="AS164" s="44" t="str">
        <f t="shared" si="21"/>
        <v/>
      </c>
      <c r="AT164" s="44" t="str">
        <f t="shared" si="17"/>
        <v/>
      </c>
      <c r="AU164" s="44" t="str">
        <f t="shared" si="2"/>
        <v/>
      </c>
      <c r="AV164" s="38"/>
      <c r="AW164" s="38"/>
      <c r="AX164" s="38"/>
      <c r="AY164" s="38"/>
      <c r="AZ164" s="29">
        <v>1000.0</v>
      </c>
      <c r="BA164" s="29"/>
      <c r="BB164" s="29">
        <v>1.0</v>
      </c>
      <c r="BC164" s="29" t="s">
        <v>632</v>
      </c>
      <c r="BD164" s="29"/>
      <c r="BE164" s="29"/>
      <c r="BF164" s="29" t="s">
        <v>633</v>
      </c>
      <c r="BG164" s="29" t="s">
        <v>203</v>
      </c>
      <c r="BH164" s="29" t="s">
        <v>88</v>
      </c>
      <c r="BI164" s="29" t="s">
        <v>634</v>
      </c>
      <c r="BJ164" s="29"/>
      <c r="BK164" s="29" t="s">
        <v>148</v>
      </c>
      <c r="BL164" s="29"/>
      <c r="BM164" s="45"/>
      <c r="BN164" s="45"/>
      <c r="BO164" s="46"/>
      <c r="BP164" s="2"/>
      <c r="BQ164" s="3"/>
    </row>
    <row r="165">
      <c r="A165" s="34">
        <v>165.0</v>
      </c>
      <c r="B165" s="34">
        <v>102890.0</v>
      </c>
      <c r="C165" s="34" t="s">
        <v>76</v>
      </c>
      <c r="D165" s="34" t="s">
        <v>626</v>
      </c>
      <c r="E165" s="34" t="s">
        <v>627</v>
      </c>
      <c r="F165" s="34">
        <v>2019.0</v>
      </c>
      <c r="G165" s="34" t="s">
        <v>628</v>
      </c>
      <c r="H165" s="34" t="s">
        <v>578</v>
      </c>
      <c r="I165" s="34" t="s">
        <v>629</v>
      </c>
      <c r="J165" s="35"/>
      <c r="K165" s="36"/>
      <c r="L165" s="36"/>
      <c r="M165" s="36"/>
      <c r="N165" s="36"/>
      <c r="O165" s="36"/>
      <c r="P165" s="37">
        <v>18.0</v>
      </c>
      <c r="Q165" s="36"/>
      <c r="R165" s="36" t="s">
        <v>96</v>
      </c>
      <c r="S165" s="36">
        <v>3000.0</v>
      </c>
      <c r="T165" s="36"/>
      <c r="U165" s="36"/>
      <c r="V165" s="36"/>
      <c r="W165" s="36"/>
      <c r="X165" s="38" t="s">
        <v>630</v>
      </c>
      <c r="Y165" s="38" t="s">
        <v>631</v>
      </c>
      <c r="Z165" s="38"/>
      <c r="AA165" s="38" t="s">
        <v>636</v>
      </c>
      <c r="AB165" s="38"/>
      <c r="AC165" s="38"/>
      <c r="AD165" s="53" t="s">
        <v>198</v>
      </c>
      <c r="AE165" s="38"/>
      <c r="AF165" s="38"/>
      <c r="AG165" s="38"/>
      <c r="AH165" s="38"/>
      <c r="AI165" s="50"/>
      <c r="AJ165" s="50"/>
      <c r="AK165" s="41"/>
      <c r="AL165" s="40"/>
      <c r="AM165" s="49"/>
      <c r="AN165" s="43"/>
      <c r="AO165" s="42"/>
      <c r="AP165" s="43"/>
      <c r="AQ165" s="44" t="str">
        <f t="shared" si="20"/>
        <v>DNF</v>
      </c>
      <c r="AR165" s="44" t="str">
        <f t="shared" si="3"/>
        <v/>
      </c>
      <c r="AS165" s="44" t="str">
        <f t="shared" si="21"/>
        <v/>
      </c>
      <c r="AT165" s="44" t="str">
        <f t="shared" si="17"/>
        <v/>
      </c>
      <c r="AU165" s="44" t="str">
        <f t="shared" si="2"/>
        <v/>
      </c>
      <c r="AV165" s="38"/>
      <c r="AW165" s="38"/>
      <c r="AX165" s="38"/>
      <c r="AY165" s="38"/>
      <c r="AZ165" s="29">
        <v>1000.0</v>
      </c>
      <c r="BA165" s="29"/>
      <c r="BB165" s="29">
        <v>1.0</v>
      </c>
      <c r="BC165" s="29" t="s">
        <v>632</v>
      </c>
      <c r="BD165" s="29"/>
      <c r="BE165" s="29"/>
      <c r="BF165" s="29" t="s">
        <v>633</v>
      </c>
      <c r="BG165" s="29" t="s">
        <v>203</v>
      </c>
      <c r="BH165" s="29" t="s">
        <v>88</v>
      </c>
      <c r="BI165" s="29" t="s">
        <v>634</v>
      </c>
      <c r="BJ165" s="29"/>
      <c r="BK165" s="29" t="s">
        <v>148</v>
      </c>
      <c r="BL165" s="29"/>
      <c r="BM165" s="45"/>
      <c r="BN165" s="45"/>
      <c r="BO165" s="46"/>
      <c r="BP165" s="2"/>
      <c r="BQ165" s="3"/>
    </row>
    <row r="166">
      <c r="A166" s="34">
        <v>166.0</v>
      </c>
      <c r="B166" s="34">
        <v>102890.0</v>
      </c>
      <c r="C166" s="34" t="s">
        <v>76</v>
      </c>
      <c r="D166" s="34" t="s">
        <v>626</v>
      </c>
      <c r="E166" s="34" t="s">
        <v>627</v>
      </c>
      <c r="F166" s="34">
        <v>2019.0</v>
      </c>
      <c r="G166" s="34" t="s">
        <v>628</v>
      </c>
      <c r="H166" s="34" t="s">
        <v>578</v>
      </c>
      <c r="I166" s="34" t="s">
        <v>629</v>
      </c>
      <c r="J166" s="35"/>
      <c r="K166" s="36"/>
      <c r="L166" s="36"/>
      <c r="M166" s="36"/>
      <c r="N166" s="36"/>
      <c r="O166" s="36"/>
      <c r="P166" s="37">
        <v>29.0</v>
      </c>
      <c r="Q166" s="36"/>
      <c r="R166" s="36" t="s">
        <v>96</v>
      </c>
      <c r="S166" s="36">
        <v>3000.0</v>
      </c>
      <c r="T166" s="36"/>
      <c r="U166" s="36"/>
      <c r="V166" s="36"/>
      <c r="W166" s="36"/>
      <c r="X166" s="38" t="s">
        <v>630</v>
      </c>
      <c r="Y166" s="38" t="s">
        <v>631</v>
      </c>
      <c r="Z166" s="38"/>
      <c r="AA166" s="38" t="s">
        <v>336</v>
      </c>
      <c r="AB166" s="38"/>
      <c r="AC166" s="38"/>
      <c r="AD166" s="53" t="s">
        <v>198</v>
      </c>
      <c r="AE166" s="38"/>
      <c r="AF166" s="38"/>
      <c r="AG166" s="38"/>
      <c r="AH166" s="38"/>
      <c r="AI166" s="50"/>
      <c r="AJ166" s="50"/>
      <c r="AK166" s="41"/>
      <c r="AL166" s="40"/>
      <c r="AM166" s="49"/>
      <c r="AN166" s="43"/>
      <c r="AO166" s="42"/>
      <c r="AP166" s="43"/>
      <c r="AQ166" s="44" t="str">
        <f t="shared" si="20"/>
        <v>EBF</v>
      </c>
      <c r="AR166" s="44" t="str">
        <f t="shared" si="3"/>
        <v/>
      </c>
      <c r="AS166" s="44" t="str">
        <f t="shared" si="21"/>
        <v/>
      </c>
      <c r="AT166" s="44" t="str">
        <f t="shared" si="17"/>
        <v/>
      </c>
      <c r="AU166" s="44" t="str">
        <f t="shared" si="2"/>
        <v/>
      </c>
      <c r="AV166" s="38"/>
      <c r="AW166" s="38"/>
      <c r="AX166" s="38"/>
      <c r="AY166" s="38"/>
      <c r="AZ166" s="29">
        <v>1000.0</v>
      </c>
      <c r="BA166" s="29"/>
      <c r="BB166" s="29">
        <v>1.0</v>
      </c>
      <c r="BC166" s="29" t="s">
        <v>632</v>
      </c>
      <c r="BD166" s="29"/>
      <c r="BE166" s="29"/>
      <c r="BF166" s="29" t="s">
        <v>633</v>
      </c>
      <c r="BG166" s="29" t="s">
        <v>203</v>
      </c>
      <c r="BH166" s="29" t="s">
        <v>88</v>
      </c>
      <c r="BI166" s="29" t="s">
        <v>634</v>
      </c>
      <c r="BJ166" s="29"/>
      <c r="BK166" s="29" t="s">
        <v>148</v>
      </c>
      <c r="BL166" s="29"/>
      <c r="BM166" s="45"/>
      <c r="BN166" s="45"/>
      <c r="BO166" s="46"/>
      <c r="BP166" s="2"/>
      <c r="BQ166" s="3"/>
    </row>
    <row r="167">
      <c r="A167" s="34">
        <v>167.0</v>
      </c>
      <c r="B167" s="34">
        <v>102890.0</v>
      </c>
      <c r="C167" s="34" t="s">
        <v>76</v>
      </c>
      <c r="D167" s="34" t="s">
        <v>626</v>
      </c>
      <c r="E167" s="34" t="s">
        <v>627</v>
      </c>
      <c r="F167" s="34">
        <v>2019.0</v>
      </c>
      <c r="G167" s="34" t="s">
        <v>628</v>
      </c>
      <c r="H167" s="34" t="s">
        <v>578</v>
      </c>
      <c r="I167" s="34" t="s">
        <v>629</v>
      </c>
      <c r="J167" s="35"/>
      <c r="K167" s="36"/>
      <c r="L167" s="36"/>
      <c r="M167" s="36"/>
      <c r="N167" s="36"/>
      <c r="O167" s="36"/>
      <c r="P167" s="37">
        <v>38.0</v>
      </c>
      <c r="Q167" s="36"/>
      <c r="R167" s="36" t="s">
        <v>96</v>
      </c>
      <c r="S167" s="36">
        <v>3000.0</v>
      </c>
      <c r="T167" s="36"/>
      <c r="U167" s="36"/>
      <c r="V167" s="36"/>
      <c r="W167" s="36"/>
      <c r="X167" s="38" t="s">
        <v>630</v>
      </c>
      <c r="Y167" s="38" t="s">
        <v>631</v>
      </c>
      <c r="Z167" s="38"/>
      <c r="AA167" s="38" t="s">
        <v>197</v>
      </c>
      <c r="AB167" s="38"/>
      <c r="AC167" s="38"/>
      <c r="AD167" s="53" t="s">
        <v>198</v>
      </c>
      <c r="AE167" s="38"/>
      <c r="AF167" s="38"/>
      <c r="AG167" s="38"/>
      <c r="AH167" s="38"/>
      <c r="AI167" s="50"/>
      <c r="AJ167" s="50"/>
      <c r="AK167" s="41"/>
      <c r="AL167" s="40"/>
      <c r="AM167" s="49"/>
      <c r="AN167" s="43"/>
      <c r="AO167" s="42"/>
      <c r="AP167" s="43"/>
      <c r="AQ167" s="44" t="str">
        <f t="shared" si="20"/>
        <v>ENF</v>
      </c>
      <c r="AR167" s="44" t="str">
        <f t="shared" si="3"/>
        <v/>
      </c>
      <c r="AS167" s="44" t="str">
        <f t="shared" si="21"/>
        <v/>
      </c>
      <c r="AT167" s="44" t="str">
        <f t="shared" si="17"/>
        <v/>
      </c>
      <c r="AU167" s="44" t="str">
        <f t="shared" si="2"/>
        <v/>
      </c>
      <c r="AV167" s="38"/>
      <c r="AW167" s="38"/>
      <c r="AX167" s="38"/>
      <c r="AY167" s="38"/>
      <c r="AZ167" s="29">
        <v>1000.0</v>
      </c>
      <c r="BA167" s="29"/>
      <c r="BB167" s="29">
        <v>1.0</v>
      </c>
      <c r="BC167" s="29" t="s">
        <v>632</v>
      </c>
      <c r="BD167" s="29"/>
      <c r="BE167" s="29"/>
      <c r="BF167" s="29" t="s">
        <v>633</v>
      </c>
      <c r="BG167" s="29" t="s">
        <v>203</v>
      </c>
      <c r="BH167" s="29" t="s">
        <v>88</v>
      </c>
      <c r="BI167" s="29" t="s">
        <v>634</v>
      </c>
      <c r="BJ167" s="29"/>
      <c r="BK167" s="29" t="s">
        <v>148</v>
      </c>
      <c r="BL167" s="29"/>
      <c r="BM167" s="45"/>
      <c r="BN167" s="45"/>
      <c r="BO167" s="46"/>
      <c r="BP167" s="2"/>
      <c r="BQ167" s="3"/>
    </row>
    <row r="168">
      <c r="A168" s="34">
        <v>168.0</v>
      </c>
      <c r="B168" s="34">
        <v>102890.0</v>
      </c>
      <c r="C168" s="34" t="s">
        <v>76</v>
      </c>
      <c r="D168" s="34" t="s">
        <v>626</v>
      </c>
      <c r="E168" s="34" t="s">
        <v>627</v>
      </c>
      <c r="F168" s="34">
        <v>2019.0</v>
      </c>
      <c r="G168" s="34" t="s">
        <v>628</v>
      </c>
      <c r="H168" s="34" t="s">
        <v>578</v>
      </c>
      <c r="I168" s="34" t="s">
        <v>629</v>
      </c>
      <c r="J168" s="35"/>
      <c r="K168" s="36"/>
      <c r="L168" s="36"/>
      <c r="M168" s="36"/>
      <c r="N168" s="36"/>
      <c r="O168" s="36"/>
      <c r="P168" s="37">
        <v>13.0</v>
      </c>
      <c r="Q168" s="36"/>
      <c r="R168" s="36" t="s">
        <v>96</v>
      </c>
      <c r="S168" s="36">
        <v>3000.0</v>
      </c>
      <c r="T168" s="36"/>
      <c r="U168" s="36"/>
      <c r="V168" s="36"/>
      <c r="W168" s="36"/>
      <c r="X168" s="38" t="s">
        <v>630</v>
      </c>
      <c r="Y168" s="38" t="s">
        <v>631</v>
      </c>
      <c r="Z168" s="38"/>
      <c r="AA168" s="38" t="s">
        <v>452</v>
      </c>
      <c r="AB168" s="38"/>
      <c r="AC168" s="38"/>
      <c r="AD168" s="53" t="s">
        <v>198</v>
      </c>
      <c r="AE168" s="38"/>
      <c r="AF168" s="38"/>
      <c r="AG168" s="38"/>
      <c r="AH168" s="38"/>
      <c r="AI168" s="50"/>
      <c r="AJ168" s="50"/>
      <c r="AK168" s="41"/>
      <c r="AL168" s="40"/>
      <c r="AM168" s="49"/>
      <c r="AN168" s="43"/>
      <c r="AO168" s="42"/>
      <c r="AP168" s="43"/>
      <c r="AQ168" s="44" t="str">
        <f t="shared" si="20"/>
        <v>MF</v>
      </c>
      <c r="AR168" s="44" t="str">
        <f t="shared" si="3"/>
        <v/>
      </c>
      <c r="AS168" s="44" t="str">
        <f t="shared" si="21"/>
        <v/>
      </c>
      <c r="AT168" s="44" t="str">
        <f t="shared" si="17"/>
        <v/>
      </c>
      <c r="AU168" s="44" t="str">
        <f t="shared" si="2"/>
        <v/>
      </c>
      <c r="AV168" s="38"/>
      <c r="AW168" s="38"/>
      <c r="AX168" s="38"/>
      <c r="AY168" s="38"/>
      <c r="AZ168" s="29">
        <v>1000.0</v>
      </c>
      <c r="BA168" s="29"/>
      <c r="BB168" s="29">
        <v>1.0</v>
      </c>
      <c r="BC168" s="29" t="s">
        <v>632</v>
      </c>
      <c r="BD168" s="29"/>
      <c r="BE168" s="29"/>
      <c r="BF168" s="29" t="s">
        <v>633</v>
      </c>
      <c r="BG168" s="29" t="s">
        <v>203</v>
      </c>
      <c r="BH168" s="29" t="s">
        <v>88</v>
      </c>
      <c r="BI168" s="29" t="s">
        <v>634</v>
      </c>
      <c r="BJ168" s="29"/>
      <c r="BK168" s="29" t="s">
        <v>148</v>
      </c>
      <c r="BL168" s="29"/>
      <c r="BM168" s="45"/>
      <c r="BN168" s="45"/>
      <c r="BO168" s="46"/>
      <c r="BP168" s="2"/>
      <c r="BQ168" s="3"/>
    </row>
    <row r="169">
      <c r="A169" s="34">
        <v>169.0</v>
      </c>
      <c r="B169" s="34">
        <v>102890.0</v>
      </c>
      <c r="C169" s="34" t="s">
        <v>76</v>
      </c>
      <c r="D169" s="34" t="s">
        <v>626</v>
      </c>
      <c r="E169" s="34" t="s">
        <v>627</v>
      </c>
      <c r="F169" s="34">
        <v>2019.0</v>
      </c>
      <c r="G169" s="34" t="s">
        <v>628</v>
      </c>
      <c r="H169" s="34" t="s">
        <v>578</v>
      </c>
      <c r="I169" s="34" t="s">
        <v>629</v>
      </c>
      <c r="J169" s="35"/>
      <c r="K169" s="36"/>
      <c r="L169" s="36"/>
      <c r="M169" s="36"/>
      <c r="N169" s="36"/>
      <c r="O169" s="36"/>
      <c r="P169" s="37">
        <v>10.0</v>
      </c>
      <c r="Q169" s="36"/>
      <c r="R169" s="36" t="s">
        <v>96</v>
      </c>
      <c r="S169" s="36">
        <v>3000.0</v>
      </c>
      <c r="T169" s="36"/>
      <c r="U169" s="36"/>
      <c r="V169" s="36"/>
      <c r="W169" s="36"/>
      <c r="X169" s="38" t="s">
        <v>630</v>
      </c>
      <c r="Y169" s="38" t="s">
        <v>631</v>
      </c>
      <c r="Z169" s="38"/>
      <c r="AA169" s="38" t="s">
        <v>288</v>
      </c>
      <c r="AB169" s="38"/>
      <c r="AC169" s="38"/>
      <c r="AD169" s="53" t="s">
        <v>198</v>
      </c>
      <c r="AE169" s="38"/>
      <c r="AF169" s="38"/>
      <c r="AG169" s="38"/>
      <c r="AH169" s="38"/>
      <c r="AI169" s="50"/>
      <c r="AJ169" s="50"/>
      <c r="AK169" s="41"/>
      <c r="AL169" s="40"/>
      <c r="AM169" s="49"/>
      <c r="AN169" s="43"/>
      <c r="AO169" s="42"/>
      <c r="AP169" s="43"/>
      <c r="AQ169" s="44" t="str">
        <f t="shared" si="20"/>
        <v>GRA</v>
      </c>
      <c r="AR169" s="44" t="str">
        <f t="shared" si="3"/>
        <v/>
      </c>
      <c r="AS169" s="44" t="str">
        <f t="shared" si="21"/>
        <v/>
      </c>
      <c r="AT169" s="44" t="str">
        <f t="shared" si="17"/>
        <v/>
      </c>
      <c r="AU169" s="44" t="str">
        <f t="shared" si="2"/>
        <v/>
      </c>
      <c r="AV169" s="38"/>
      <c r="AW169" s="38"/>
      <c r="AX169" s="38"/>
      <c r="AY169" s="38"/>
      <c r="AZ169" s="29">
        <v>1000.0</v>
      </c>
      <c r="BA169" s="29"/>
      <c r="BB169" s="29">
        <v>1.0</v>
      </c>
      <c r="BC169" s="29" t="s">
        <v>632</v>
      </c>
      <c r="BD169" s="29"/>
      <c r="BE169" s="29"/>
      <c r="BF169" s="29" t="s">
        <v>633</v>
      </c>
      <c r="BG169" s="29" t="s">
        <v>203</v>
      </c>
      <c r="BH169" s="29" t="s">
        <v>88</v>
      </c>
      <c r="BI169" s="29" t="s">
        <v>634</v>
      </c>
      <c r="BJ169" s="29"/>
      <c r="BK169" s="29" t="s">
        <v>148</v>
      </c>
      <c r="BL169" s="29"/>
      <c r="BM169" s="45"/>
      <c r="BN169" s="45"/>
      <c r="BO169" s="46"/>
      <c r="BP169" s="2"/>
      <c r="BQ169" s="3"/>
    </row>
    <row r="170">
      <c r="A170" s="34">
        <v>170.0</v>
      </c>
      <c r="B170" s="34">
        <v>102890.0</v>
      </c>
      <c r="C170" s="34" t="s">
        <v>76</v>
      </c>
      <c r="D170" s="34" t="s">
        <v>626</v>
      </c>
      <c r="E170" s="34" t="s">
        <v>627</v>
      </c>
      <c r="F170" s="34">
        <v>2019.0</v>
      </c>
      <c r="G170" s="34" t="s">
        <v>628</v>
      </c>
      <c r="H170" s="34" t="s">
        <v>578</v>
      </c>
      <c r="I170" s="34" t="s">
        <v>629</v>
      </c>
      <c r="J170" s="35"/>
      <c r="K170" s="36"/>
      <c r="L170" s="36"/>
      <c r="M170" s="36"/>
      <c r="N170" s="36"/>
      <c r="O170" s="36"/>
      <c r="P170" s="37">
        <v>2.0</v>
      </c>
      <c r="Q170" s="36"/>
      <c r="R170" s="36" t="s">
        <v>96</v>
      </c>
      <c r="S170" s="36">
        <v>3000.0</v>
      </c>
      <c r="T170" s="36"/>
      <c r="U170" s="36"/>
      <c r="V170" s="36"/>
      <c r="W170" s="36"/>
      <c r="X170" s="38" t="s">
        <v>630</v>
      </c>
      <c r="Y170" s="38" t="s">
        <v>631</v>
      </c>
      <c r="Z170" s="38"/>
      <c r="AA170" s="38" t="s">
        <v>637</v>
      </c>
      <c r="AB170" s="38"/>
      <c r="AC170" s="38"/>
      <c r="AD170" s="53" t="s">
        <v>198</v>
      </c>
      <c r="AE170" s="38"/>
      <c r="AF170" s="38"/>
      <c r="AG170" s="38"/>
      <c r="AH170" s="38"/>
      <c r="AI170" s="50"/>
      <c r="AJ170" s="50"/>
      <c r="AK170" s="41"/>
      <c r="AL170" s="40"/>
      <c r="AM170" s="49"/>
      <c r="AN170" s="43"/>
      <c r="AO170" s="42"/>
      <c r="AP170" s="43"/>
      <c r="AQ170" s="44"/>
      <c r="AR170" s="44" t="str">
        <f t="shared" si="3"/>
        <v/>
      </c>
      <c r="AS170" s="44"/>
      <c r="AT170" s="44" t="str">
        <f t="shared" si="17"/>
        <v/>
      </c>
      <c r="AU170" s="44" t="str">
        <f t="shared" si="2"/>
        <v/>
      </c>
      <c r="AV170" s="38"/>
      <c r="AW170" s="38"/>
      <c r="AX170" s="38"/>
      <c r="AY170" s="38"/>
      <c r="AZ170" s="29">
        <v>1000.0</v>
      </c>
      <c r="BA170" s="29"/>
      <c r="BB170" s="29">
        <v>1.0</v>
      </c>
      <c r="BC170" s="29" t="s">
        <v>632</v>
      </c>
      <c r="BD170" s="29"/>
      <c r="BE170" s="29"/>
      <c r="BF170" s="29" t="s">
        <v>633</v>
      </c>
      <c r="BG170" s="29" t="s">
        <v>203</v>
      </c>
      <c r="BH170" s="29" t="s">
        <v>88</v>
      </c>
      <c r="BI170" s="29" t="s">
        <v>634</v>
      </c>
      <c r="BJ170" s="29"/>
      <c r="BK170" s="29" t="s">
        <v>148</v>
      </c>
      <c r="BL170" s="29"/>
      <c r="BM170" s="45"/>
      <c r="BN170" s="45"/>
      <c r="BO170" s="46"/>
      <c r="BP170" s="2"/>
      <c r="BQ170" s="3"/>
    </row>
    <row r="171">
      <c r="A171" s="34">
        <v>171.0</v>
      </c>
      <c r="B171" s="34">
        <v>102890.0</v>
      </c>
      <c r="C171" s="34" t="s">
        <v>76</v>
      </c>
      <c r="D171" s="34" t="s">
        <v>626</v>
      </c>
      <c r="E171" s="34" t="s">
        <v>627</v>
      </c>
      <c r="F171" s="34">
        <v>2019.0</v>
      </c>
      <c r="G171" s="34" t="s">
        <v>628</v>
      </c>
      <c r="H171" s="34" t="s">
        <v>578</v>
      </c>
      <c r="I171" s="34" t="s">
        <v>629</v>
      </c>
      <c r="J171" s="35"/>
      <c r="K171" s="36"/>
      <c r="L171" s="36"/>
      <c r="M171" s="36"/>
      <c r="N171" s="36"/>
      <c r="O171" s="36"/>
      <c r="P171" s="37">
        <v>5.0</v>
      </c>
      <c r="Q171" s="36"/>
      <c r="R171" s="36" t="s">
        <v>96</v>
      </c>
      <c r="S171" s="36">
        <v>3000.0</v>
      </c>
      <c r="T171" s="36"/>
      <c r="U171" s="36"/>
      <c r="V171" s="36"/>
      <c r="W171" s="36"/>
      <c r="X171" s="38">
        <v>22.0</v>
      </c>
      <c r="Y171" s="38" t="s">
        <v>638</v>
      </c>
      <c r="Z171" s="38"/>
      <c r="AA171" s="38" t="s">
        <v>639</v>
      </c>
      <c r="AB171" s="38"/>
      <c r="AC171" s="38"/>
      <c r="AD171" s="53" t="s">
        <v>198</v>
      </c>
      <c r="AE171" s="38"/>
      <c r="AF171" s="38"/>
      <c r="AG171" s="38"/>
      <c r="AH171" s="38"/>
      <c r="AI171" s="50"/>
      <c r="AJ171" s="50"/>
      <c r="AK171" s="41"/>
      <c r="AL171" s="40"/>
      <c r="AM171" s="49"/>
      <c r="AN171" s="43"/>
      <c r="AO171" s="42"/>
      <c r="AP171" s="43"/>
      <c r="AQ171" s="44"/>
      <c r="AR171" s="44" t="str">
        <f t="shared" si="3"/>
        <v/>
      </c>
      <c r="AS171" s="44"/>
      <c r="AT171" s="44" t="str">
        <f t="shared" si="17"/>
        <v/>
      </c>
      <c r="AU171" s="44" t="str">
        <f t="shared" si="2"/>
        <v/>
      </c>
      <c r="AV171" s="38"/>
      <c r="AW171" s="38"/>
      <c r="AX171" s="38"/>
      <c r="AY171" s="38"/>
      <c r="AZ171" s="29">
        <v>1000.0</v>
      </c>
      <c r="BA171" s="29"/>
      <c r="BB171" s="29">
        <v>1.0</v>
      </c>
      <c r="BC171" s="29" t="s">
        <v>632</v>
      </c>
      <c r="BD171" s="29"/>
      <c r="BE171" s="29"/>
      <c r="BF171" s="29" t="s">
        <v>633</v>
      </c>
      <c r="BG171" s="29" t="s">
        <v>203</v>
      </c>
      <c r="BH171" s="29" t="s">
        <v>88</v>
      </c>
      <c r="BI171" s="29" t="s">
        <v>634</v>
      </c>
      <c r="BJ171" s="29"/>
      <c r="BK171" s="29" t="s">
        <v>148</v>
      </c>
      <c r="BL171" s="29"/>
      <c r="BM171" s="45"/>
      <c r="BN171" s="45"/>
      <c r="BO171" s="46"/>
      <c r="BP171" s="2"/>
      <c r="BQ171" s="3"/>
    </row>
    <row r="172">
      <c r="A172" s="34">
        <v>172.0</v>
      </c>
      <c r="B172" s="34">
        <v>102890.0</v>
      </c>
      <c r="C172" s="34" t="s">
        <v>76</v>
      </c>
      <c r="D172" s="34" t="s">
        <v>626</v>
      </c>
      <c r="E172" s="34" t="s">
        <v>627</v>
      </c>
      <c r="F172" s="34">
        <v>2019.0</v>
      </c>
      <c r="G172" s="34" t="s">
        <v>628</v>
      </c>
      <c r="H172" s="34" t="s">
        <v>578</v>
      </c>
      <c r="I172" s="34" t="s">
        <v>629</v>
      </c>
      <c r="J172" s="35"/>
      <c r="K172" s="36"/>
      <c r="L172" s="36"/>
      <c r="M172" s="36"/>
      <c r="N172" s="36"/>
      <c r="O172" s="36"/>
      <c r="P172" s="37">
        <v>10.0</v>
      </c>
      <c r="Q172" s="36"/>
      <c r="R172" s="36" t="s">
        <v>96</v>
      </c>
      <c r="S172" s="36">
        <v>3000.0</v>
      </c>
      <c r="T172" s="36"/>
      <c r="U172" s="36"/>
      <c r="V172" s="36"/>
      <c r="W172" s="36"/>
      <c r="X172" s="38" t="s">
        <v>630</v>
      </c>
      <c r="Y172" s="38" t="s">
        <v>631</v>
      </c>
      <c r="Z172" s="38"/>
      <c r="AA172" s="38" t="s">
        <v>86</v>
      </c>
      <c r="AB172" s="38"/>
      <c r="AC172" s="38"/>
      <c r="AD172" s="53" t="s">
        <v>198</v>
      </c>
      <c r="AE172" s="38"/>
      <c r="AF172" s="38"/>
      <c r="AG172" s="38"/>
      <c r="AH172" s="38"/>
      <c r="AI172" s="50"/>
      <c r="AJ172" s="50"/>
      <c r="AK172" s="41"/>
      <c r="AL172" s="40"/>
      <c r="AM172" s="49"/>
      <c r="AN172" s="43"/>
      <c r="AO172" s="42"/>
      <c r="AP172" s="43"/>
      <c r="AQ172" s="44" t="str">
        <f t="shared" ref="AQ172:AQ178" si="22">AA172</f>
        <v>CRO</v>
      </c>
      <c r="AR172" s="44" t="str">
        <f t="shared" si="3"/>
        <v/>
      </c>
      <c r="AS172" s="44"/>
      <c r="AT172" s="44" t="str">
        <f t="shared" si="17"/>
        <v/>
      </c>
      <c r="AU172" s="44" t="str">
        <f t="shared" si="2"/>
        <v/>
      </c>
      <c r="AV172" s="38"/>
      <c r="AW172" s="38"/>
      <c r="AX172" s="38"/>
      <c r="AY172" s="38"/>
      <c r="AZ172" s="29">
        <v>1000.0</v>
      </c>
      <c r="BA172" s="29"/>
      <c r="BB172" s="29">
        <v>1.0</v>
      </c>
      <c r="BC172" s="29" t="s">
        <v>640</v>
      </c>
      <c r="BD172" s="29"/>
      <c r="BE172" s="29"/>
      <c r="BF172" s="29" t="s">
        <v>641</v>
      </c>
      <c r="BG172" s="29" t="s">
        <v>220</v>
      </c>
      <c r="BH172" s="29" t="s">
        <v>88</v>
      </c>
      <c r="BI172" s="29" t="s">
        <v>634</v>
      </c>
      <c r="BJ172" s="29"/>
      <c r="BK172" s="29" t="s">
        <v>148</v>
      </c>
      <c r="BL172" s="29"/>
      <c r="BM172" s="45"/>
      <c r="BN172" s="45"/>
      <c r="BO172" s="46"/>
      <c r="BP172" s="2"/>
      <c r="BQ172" s="3"/>
    </row>
    <row r="173">
      <c r="A173" s="34">
        <v>173.0</v>
      </c>
      <c r="B173" s="34">
        <v>102890.0</v>
      </c>
      <c r="C173" s="34" t="s">
        <v>76</v>
      </c>
      <c r="D173" s="34" t="s">
        <v>626</v>
      </c>
      <c r="E173" s="34" t="s">
        <v>627</v>
      </c>
      <c r="F173" s="34">
        <v>2019.0</v>
      </c>
      <c r="G173" s="34" t="s">
        <v>628</v>
      </c>
      <c r="H173" s="34" t="s">
        <v>578</v>
      </c>
      <c r="I173" s="34" t="s">
        <v>629</v>
      </c>
      <c r="J173" s="35"/>
      <c r="K173" s="36"/>
      <c r="L173" s="36"/>
      <c r="M173" s="36"/>
      <c r="N173" s="36"/>
      <c r="O173" s="36"/>
      <c r="P173" s="37">
        <v>35.0</v>
      </c>
      <c r="Q173" s="36"/>
      <c r="R173" s="36" t="s">
        <v>96</v>
      </c>
      <c r="S173" s="36">
        <v>3000.0</v>
      </c>
      <c r="T173" s="36"/>
      <c r="U173" s="36"/>
      <c r="V173" s="36"/>
      <c r="W173" s="36"/>
      <c r="X173" s="38" t="s">
        <v>630</v>
      </c>
      <c r="Y173" s="38" t="s">
        <v>631</v>
      </c>
      <c r="Z173" s="38"/>
      <c r="AA173" s="38" t="s">
        <v>370</v>
      </c>
      <c r="AB173" s="38"/>
      <c r="AC173" s="38"/>
      <c r="AD173" s="53" t="s">
        <v>198</v>
      </c>
      <c r="AE173" s="38"/>
      <c r="AF173" s="38"/>
      <c r="AG173" s="38"/>
      <c r="AH173" s="38"/>
      <c r="AI173" s="50"/>
      <c r="AJ173" s="50"/>
      <c r="AK173" s="41"/>
      <c r="AL173" s="40"/>
      <c r="AM173" s="49"/>
      <c r="AN173" s="43"/>
      <c r="AO173" s="42"/>
      <c r="AP173" s="43"/>
      <c r="AQ173" s="44" t="str">
        <f t="shared" si="22"/>
        <v>DBF</v>
      </c>
      <c r="AR173" s="44" t="str">
        <f t="shared" si="3"/>
        <v/>
      </c>
      <c r="AS173" s="44"/>
      <c r="AT173" s="44" t="str">
        <f t="shared" si="17"/>
        <v/>
      </c>
      <c r="AU173" s="44" t="str">
        <f t="shared" si="2"/>
        <v/>
      </c>
      <c r="AV173" s="38"/>
      <c r="AW173" s="38"/>
      <c r="AX173" s="38"/>
      <c r="AY173" s="38"/>
      <c r="AZ173" s="29">
        <v>1000.0</v>
      </c>
      <c r="BA173" s="29"/>
      <c r="BB173" s="29">
        <v>1.0</v>
      </c>
      <c r="BC173" s="29" t="s">
        <v>640</v>
      </c>
      <c r="BD173" s="29"/>
      <c r="BE173" s="29"/>
      <c r="BF173" s="29" t="s">
        <v>641</v>
      </c>
      <c r="BG173" s="29" t="s">
        <v>220</v>
      </c>
      <c r="BH173" s="29" t="s">
        <v>88</v>
      </c>
      <c r="BI173" s="29" t="s">
        <v>634</v>
      </c>
      <c r="BJ173" s="29"/>
      <c r="BK173" s="29" t="s">
        <v>148</v>
      </c>
      <c r="BL173" s="29"/>
      <c r="BM173" s="45"/>
      <c r="BN173" s="45"/>
      <c r="BO173" s="46"/>
      <c r="BP173" s="2"/>
      <c r="BQ173" s="3"/>
    </row>
    <row r="174">
      <c r="A174" s="34">
        <v>174.0</v>
      </c>
      <c r="B174" s="34">
        <v>102890.0</v>
      </c>
      <c r="C174" s="34" t="s">
        <v>76</v>
      </c>
      <c r="D174" s="34" t="s">
        <v>626</v>
      </c>
      <c r="E174" s="34" t="s">
        <v>627</v>
      </c>
      <c r="F174" s="34">
        <v>2019.0</v>
      </c>
      <c r="G174" s="34" t="s">
        <v>628</v>
      </c>
      <c r="H174" s="34" t="s">
        <v>578</v>
      </c>
      <c r="I174" s="34" t="s">
        <v>629</v>
      </c>
      <c r="J174" s="35"/>
      <c r="K174" s="36"/>
      <c r="L174" s="36"/>
      <c r="M174" s="36"/>
      <c r="N174" s="36"/>
      <c r="O174" s="36"/>
      <c r="P174" s="37">
        <v>9.0</v>
      </c>
      <c r="Q174" s="36"/>
      <c r="R174" s="36" t="s">
        <v>96</v>
      </c>
      <c r="S174" s="36">
        <v>3000.0</v>
      </c>
      <c r="T174" s="36"/>
      <c r="U174" s="36"/>
      <c r="V174" s="36"/>
      <c r="W174" s="36"/>
      <c r="X174" s="38" t="s">
        <v>630</v>
      </c>
      <c r="Y174" s="38" t="s">
        <v>631</v>
      </c>
      <c r="Z174" s="38"/>
      <c r="AA174" s="38" t="s">
        <v>636</v>
      </c>
      <c r="AB174" s="38"/>
      <c r="AC174" s="38"/>
      <c r="AD174" s="53" t="s">
        <v>198</v>
      </c>
      <c r="AE174" s="38"/>
      <c r="AF174" s="38"/>
      <c r="AG174" s="38"/>
      <c r="AH174" s="38"/>
      <c r="AI174" s="50"/>
      <c r="AJ174" s="50"/>
      <c r="AK174" s="41"/>
      <c r="AL174" s="40"/>
      <c r="AM174" s="49"/>
      <c r="AN174" s="43"/>
      <c r="AO174" s="42"/>
      <c r="AP174" s="43"/>
      <c r="AQ174" s="44" t="str">
        <f t="shared" si="22"/>
        <v>DNF</v>
      </c>
      <c r="AR174" s="44" t="str">
        <f t="shared" si="3"/>
        <v/>
      </c>
      <c r="AS174" s="44"/>
      <c r="AT174" s="44" t="str">
        <f t="shared" si="17"/>
        <v/>
      </c>
      <c r="AU174" s="44" t="str">
        <f t="shared" si="2"/>
        <v/>
      </c>
      <c r="AV174" s="38"/>
      <c r="AW174" s="38"/>
      <c r="AX174" s="38"/>
      <c r="AY174" s="38"/>
      <c r="AZ174" s="29">
        <v>1000.0</v>
      </c>
      <c r="BA174" s="29"/>
      <c r="BB174" s="29">
        <v>1.0</v>
      </c>
      <c r="BC174" s="29" t="s">
        <v>640</v>
      </c>
      <c r="BD174" s="29"/>
      <c r="BE174" s="29"/>
      <c r="BF174" s="29" t="s">
        <v>641</v>
      </c>
      <c r="BG174" s="29" t="s">
        <v>220</v>
      </c>
      <c r="BH174" s="29" t="s">
        <v>88</v>
      </c>
      <c r="BI174" s="29" t="s">
        <v>634</v>
      </c>
      <c r="BJ174" s="29"/>
      <c r="BK174" s="29" t="s">
        <v>148</v>
      </c>
      <c r="BL174" s="29"/>
      <c r="BM174" s="45"/>
      <c r="BN174" s="45"/>
      <c r="BO174" s="46"/>
      <c r="BP174" s="2"/>
      <c r="BQ174" s="3"/>
    </row>
    <row r="175">
      <c r="A175" s="34">
        <v>175.0</v>
      </c>
      <c r="B175" s="34">
        <v>102890.0</v>
      </c>
      <c r="C175" s="34" t="s">
        <v>76</v>
      </c>
      <c r="D175" s="34" t="s">
        <v>626</v>
      </c>
      <c r="E175" s="34" t="s">
        <v>627</v>
      </c>
      <c r="F175" s="34">
        <v>2019.0</v>
      </c>
      <c r="G175" s="34" t="s">
        <v>628</v>
      </c>
      <c r="H175" s="34" t="s">
        <v>578</v>
      </c>
      <c r="I175" s="34" t="s">
        <v>629</v>
      </c>
      <c r="J175" s="35"/>
      <c r="K175" s="36"/>
      <c r="L175" s="36"/>
      <c r="M175" s="36"/>
      <c r="N175" s="36"/>
      <c r="O175" s="36"/>
      <c r="P175" s="37">
        <v>30.0</v>
      </c>
      <c r="Q175" s="36"/>
      <c r="R175" s="36" t="s">
        <v>96</v>
      </c>
      <c r="S175" s="36">
        <v>3000.0</v>
      </c>
      <c r="T175" s="36"/>
      <c r="U175" s="36"/>
      <c r="V175" s="36"/>
      <c r="W175" s="36"/>
      <c r="X175" s="38" t="s">
        <v>630</v>
      </c>
      <c r="Y175" s="38" t="s">
        <v>631</v>
      </c>
      <c r="Z175" s="38"/>
      <c r="AA175" s="38" t="s">
        <v>336</v>
      </c>
      <c r="AB175" s="38"/>
      <c r="AC175" s="38"/>
      <c r="AD175" s="53" t="s">
        <v>198</v>
      </c>
      <c r="AE175" s="38"/>
      <c r="AF175" s="38"/>
      <c r="AG175" s="38"/>
      <c r="AH175" s="38"/>
      <c r="AI175" s="50"/>
      <c r="AJ175" s="50"/>
      <c r="AK175" s="41"/>
      <c r="AL175" s="40"/>
      <c r="AM175" s="49"/>
      <c r="AN175" s="43"/>
      <c r="AO175" s="42"/>
      <c r="AP175" s="43"/>
      <c r="AQ175" s="44" t="str">
        <f t="shared" si="22"/>
        <v>EBF</v>
      </c>
      <c r="AR175" s="44" t="str">
        <f t="shared" si="3"/>
        <v/>
      </c>
      <c r="AS175" s="44"/>
      <c r="AT175" s="44" t="str">
        <f t="shared" si="17"/>
        <v/>
      </c>
      <c r="AU175" s="44" t="str">
        <f t="shared" si="2"/>
        <v/>
      </c>
      <c r="AV175" s="38"/>
      <c r="AW175" s="38"/>
      <c r="AX175" s="38"/>
      <c r="AY175" s="38"/>
      <c r="AZ175" s="29">
        <v>1000.0</v>
      </c>
      <c r="BA175" s="29"/>
      <c r="BB175" s="29">
        <v>1.0</v>
      </c>
      <c r="BC175" s="29" t="s">
        <v>640</v>
      </c>
      <c r="BD175" s="29"/>
      <c r="BE175" s="29"/>
      <c r="BF175" s="29" t="s">
        <v>641</v>
      </c>
      <c r="BG175" s="29" t="s">
        <v>220</v>
      </c>
      <c r="BH175" s="29" t="s">
        <v>88</v>
      </c>
      <c r="BI175" s="29" t="s">
        <v>634</v>
      </c>
      <c r="BJ175" s="29"/>
      <c r="BK175" s="29" t="s">
        <v>148</v>
      </c>
      <c r="BL175" s="29"/>
      <c r="BM175" s="45"/>
      <c r="BN175" s="45"/>
      <c r="BO175" s="46"/>
      <c r="BP175" s="2"/>
      <c r="BQ175" s="3"/>
    </row>
    <row r="176">
      <c r="A176" s="34">
        <v>176.0</v>
      </c>
      <c r="B176" s="34">
        <v>102890.0</v>
      </c>
      <c r="C176" s="34" t="s">
        <v>76</v>
      </c>
      <c r="D176" s="34" t="s">
        <v>626</v>
      </c>
      <c r="E176" s="34" t="s">
        <v>627</v>
      </c>
      <c r="F176" s="34">
        <v>2019.0</v>
      </c>
      <c r="G176" s="34" t="s">
        <v>628</v>
      </c>
      <c r="H176" s="34" t="s">
        <v>578</v>
      </c>
      <c r="I176" s="34" t="s">
        <v>629</v>
      </c>
      <c r="J176" s="35"/>
      <c r="K176" s="36"/>
      <c r="L176" s="36"/>
      <c r="M176" s="36"/>
      <c r="N176" s="36"/>
      <c r="O176" s="36"/>
      <c r="P176" s="37">
        <v>2.0</v>
      </c>
      <c r="Q176" s="36"/>
      <c r="R176" s="36" t="s">
        <v>96</v>
      </c>
      <c r="S176" s="36">
        <v>3000.0</v>
      </c>
      <c r="T176" s="36"/>
      <c r="U176" s="36"/>
      <c r="V176" s="36"/>
      <c r="W176" s="36"/>
      <c r="X176" s="38" t="s">
        <v>630</v>
      </c>
      <c r="Y176" s="38" t="s">
        <v>631</v>
      </c>
      <c r="Z176" s="38"/>
      <c r="AA176" s="38" t="s">
        <v>197</v>
      </c>
      <c r="AB176" s="38"/>
      <c r="AC176" s="38"/>
      <c r="AD176" s="53" t="s">
        <v>198</v>
      </c>
      <c r="AE176" s="38"/>
      <c r="AF176" s="38"/>
      <c r="AG176" s="38"/>
      <c r="AH176" s="38"/>
      <c r="AI176" s="50"/>
      <c r="AJ176" s="50"/>
      <c r="AK176" s="41"/>
      <c r="AL176" s="40"/>
      <c r="AM176" s="49"/>
      <c r="AN176" s="43"/>
      <c r="AO176" s="42"/>
      <c r="AP176" s="43"/>
      <c r="AQ176" s="44" t="str">
        <f t="shared" si="22"/>
        <v>ENF</v>
      </c>
      <c r="AR176" s="44" t="str">
        <f t="shared" si="3"/>
        <v/>
      </c>
      <c r="AS176" s="44"/>
      <c r="AT176" s="44" t="str">
        <f t="shared" si="17"/>
        <v/>
      </c>
      <c r="AU176" s="44" t="str">
        <f t="shared" si="2"/>
        <v/>
      </c>
      <c r="AV176" s="38"/>
      <c r="AW176" s="38"/>
      <c r="AX176" s="38"/>
      <c r="AY176" s="38"/>
      <c r="AZ176" s="29">
        <v>1000.0</v>
      </c>
      <c r="BA176" s="29"/>
      <c r="BB176" s="29">
        <v>1.0</v>
      </c>
      <c r="BC176" s="29" t="s">
        <v>640</v>
      </c>
      <c r="BD176" s="29"/>
      <c r="BE176" s="29"/>
      <c r="BF176" s="29" t="s">
        <v>641</v>
      </c>
      <c r="BG176" s="29" t="s">
        <v>220</v>
      </c>
      <c r="BH176" s="29" t="s">
        <v>88</v>
      </c>
      <c r="BI176" s="29" t="s">
        <v>634</v>
      </c>
      <c r="BJ176" s="29"/>
      <c r="BK176" s="29" t="s">
        <v>148</v>
      </c>
      <c r="BL176" s="29"/>
      <c r="BM176" s="45"/>
      <c r="BN176" s="45"/>
      <c r="BO176" s="46"/>
      <c r="BP176" s="2"/>
      <c r="BQ176" s="3"/>
    </row>
    <row r="177">
      <c r="A177" s="34">
        <v>177.0</v>
      </c>
      <c r="B177" s="34">
        <v>102890.0</v>
      </c>
      <c r="C177" s="34" t="s">
        <v>76</v>
      </c>
      <c r="D177" s="34" t="s">
        <v>626</v>
      </c>
      <c r="E177" s="34" t="s">
        <v>627</v>
      </c>
      <c r="F177" s="34">
        <v>2019.0</v>
      </c>
      <c r="G177" s="34" t="s">
        <v>628</v>
      </c>
      <c r="H177" s="34" t="s">
        <v>578</v>
      </c>
      <c r="I177" s="34" t="s">
        <v>629</v>
      </c>
      <c r="J177" s="35"/>
      <c r="K177" s="36"/>
      <c r="L177" s="36"/>
      <c r="M177" s="36"/>
      <c r="N177" s="36"/>
      <c r="O177" s="36"/>
      <c r="P177" s="37">
        <v>8.0</v>
      </c>
      <c r="Q177" s="36"/>
      <c r="R177" s="36" t="s">
        <v>96</v>
      </c>
      <c r="S177" s="36">
        <v>3000.0</v>
      </c>
      <c r="T177" s="36"/>
      <c r="U177" s="36"/>
      <c r="V177" s="36"/>
      <c r="W177" s="36"/>
      <c r="X177" s="38" t="s">
        <v>630</v>
      </c>
      <c r="Y177" s="38" t="s">
        <v>631</v>
      </c>
      <c r="Z177" s="38"/>
      <c r="AA177" s="38" t="s">
        <v>452</v>
      </c>
      <c r="AB177" s="38"/>
      <c r="AC177" s="38"/>
      <c r="AD177" s="53" t="s">
        <v>198</v>
      </c>
      <c r="AE177" s="38"/>
      <c r="AF177" s="38"/>
      <c r="AG177" s="38"/>
      <c r="AH177" s="38"/>
      <c r="AI177" s="50"/>
      <c r="AJ177" s="50"/>
      <c r="AK177" s="41"/>
      <c r="AL177" s="40"/>
      <c r="AM177" s="49"/>
      <c r="AN177" s="43"/>
      <c r="AO177" s="42"/>
      <c r="AP177" s="43"/>
      <c r="AQ177" s="44" t="str">
        <f t="shared" si="22"/>
        <v>MF</v>
      </c>
      <c r="AR177" s="44" t="str">
        <f t="shared" si="3"/>
        <v/>
      </c>
      <c r="AS177" s="44"/>
      <c r="AT177" s="44" t="str">
        <f t="shared" si="17"/>
        <v/>
      </c>
      <c r="AU177" s="44" t="str">
        <f t="shared" si="2"/>
        <v/>
      </c>
      <c r="AV177" s="38"/>
      <c r="AW177" s="38"/>
      <c r="AX177" s="38"/>
      <c r="AY177" s="38"/>
      <c r="AZ177" s="29">
        <v>1000.0</v>
      </c>
      <c r="BA177" s="29"/>
      <c r="BB177" s="29">
        <v>1.0</v>
      </c>
      <c r="BC177" s="29" t="s">
        <v>640</v>
      </c>
      <c r="BD177" s="29"/>
      <c r="BE177" s="29"/>
      <c r="BF177" s="29" t="s">
        <v>641</v>
      </c>
      <c r="BG177" s="29" t="s">
        <v>220</v>
      </c>
      <c r="BH177" s="29" t="s">
        <v>88</v>
      </c>
      <c r="BI177" s="29" t="s">
        <v>634</v>
      </c>
      <c r="BJ177" s="29"/>
      <c r="BK177" s="29" t="s">
        <v>148</v>
      </c>
      <c r="BL177" s="29"/>
      <c r="BM177" s="45"/>
      <c r="BN177" s="45"/>
      <c r="BO177" s="46"/>
      <c r="BP177" s="2"/>
      <c r="BQ177" s="3"/>
    </row>
    <row r="178">
      <c r="A178" s="34">
        <v>178.0</v>
      </c>
      <c r="B178" s="34">
        <v>102890.0</v>
      </c>
      <c r="C178" s="34" t="s">
        <v>76</v>
      </c>
      <c r="D178" s="34" t="s">
        <v>626</v>
      </c>
      <c r="E178" s="34" t="s">
        <v>627</v>
      </c>
      <c r="F178" s="34">
        <v>2019.0</v>
      </c>
      <c r="G178" s="34" t="s">
        <v>628</v>
      </c>
      <c r="H178" s="34" t="s">
        <v>578</v>
      </c>
      <c r="I178" s="34" t="s">
        <v>629</v>
      </c>
      <c r="J178" s="35"/>
      <c r="K178" s="36"/>
      <c r="L178" s="36"/>
      <c r="M178" s="36"/>
      <c r="N178" s="36"/>
      <c r="O178" s="36"/>
      <c r="P178" s="37">
        <v>18.0</v>
      </c>
      <c r="Q178" s="36"/>
      <c r="R178" s="36" t="s">
        <v>96</v>
      </c>
      <c r="S178" s="36">
        <v>3000.0</v>
      </c>
      <c r="T178" s="36"/>
      <c r="U178" s="36"/>
      <c r="V178" s="36"/>
      <c r="W178" s="36"/>
      <c r="X178" s="38" t="s">
        <v>630</v>
      </c>
      <c r="Y178" s="38" t="s">
        <v>631</v>
      </c>
      <c r="Z178" s="38"/>
      <c r="AA178" s="38" t="s">
        <v>288</v>
      </c>
      <c r="AB178" s="38"/>
      <c r="AC178" s="38"/>
      <c r="AD178" s="53" t="s">
        <v>198</v>
      </c>
      <c r="AE178" s="38"/>
      <c r="AF178" s="38"/>
      <c r="AG178" s="38"/>
      <c r="AH178" s="38"/>
      <c r="AI178" s="50"/>
      <c r="AJ178" s="50"/>
      <c r="AK178" s="41"/>
      <c r="AL178" s="40"/>
      <c r="AM178" s="49"/>
      <c r="AN178" s="43"/>
      <c r="AO178" s="42"/>
      <c r="AP178" s="43"/>
      <c r="AQ178" s="44" t="str">
        <f t="shared" si="22"/>
        <v>GRA</v>
      </c>
      <c r="AR178" s="44" t="str">
        <f t="shared" si="3"/>
        <v/>
      </c>
      <c r="AS178" s="44"/>
      <c r="AT178" s="44" t="str">
        <f t="shared" si="17"/>
        <v/>
      </c>
      <c r="AU178" s="44" t="str">
        <f t="shared" si="2"/>
        <v/>
      </c>
      <c r="AV178" s="38"/>
      <c r="AW178" s="38"/>
      <c r="AX178" s="38"/>
      <c r="AY178" s="38"/>
      <c r="AZ178" s="29">
        <v>1000.0</v>
      </c>
      <c r="BA178" s="29"/>
      <c r="BB178" s="29">
        <v>1.0</v>
      </c>
      <c r="BC178" s="29" t="s">
        <v>640</v>
      </c>
      <c r="BD178" s="29"/>
      <c r="BE178" s="29"/>
      <c r="BF178" s="29" t="s">
        <v>641</v>
      </c>
      <c r="BG178" s="29" t="s">
        <v>220</v>
      </c>
      <c r="BH178" s="29" t="s">
        <v>88</v>
      </c>
      <c r="BI178" s="29" t="s">
        <v>634</v>
      </c>
      <c r="BJ178" s="29"/>
      <c r="BK178" s="29" t="s">
        <v>148</v>
      </c>
      <c r="BL178" s="29"/>
      <c r="BM178" s="45"/>
      <c r="BN178" s="45"/>
      <c r="BO178" s="46"/>
      <c r="BP178" s="2"/>
      <c r="BQ178" s="3"/>
    </row>
    <row r="179">
      <c r="A179" s="34">
        <v>179.0</v>
      </c>
      <c r="B179" s="34">
        <v>102890.0</v>
      </c>
      <c r="C179" s="34" t="s">
        <v>76</v>
      </c>
      <c r="D179" s="34" t="s">
        <v>626</v>
      </c>
      <c r="E179" s="34" t="s">
        <v>627</v>
      </c>
      <c r="F179" s="34">
        <v>2019.0</v>
      </c>
      <c r="G179" s="34" t="s">
        <v>628</v>
      </c>
      <c r="H179" s="34" t="s">
        <v>578</v>
      </c>
      <c r="I179" s="34" t="s">
        <v>629</v>
      </c>
      <c r="J179" s="35"/>
      <c r="K179" s="36"/>
      <c r="L179" s="36"/>
      <c r="M179" s="36"/>
      <c r="N179" s="36"/>
      <c r="O179" s="36"/>
      <c r="P179" s="37">
        <v>72.0</v>
      </c>
      <c r="Q179" s="36"/>
      <c r="R179" s="36" t="s">
        <v>96</v>
      </c>
      <c r="S179" s="36">
        <v>3000.0</v>
      </c>
      <c r="T179" s="36"/>
      <c r="U179" s="36"/>
      <c r="V179" s="36"/>
      <c r="W179" s="36"/>
      <c r="X179" s="38" t="s">
        <v>630</v>
      </c>
      <c r="Y179" s="38" t="s">
        <v>631</v>
      </c>
      <c r="Z179" s="38"/>
      <c r="AA179" s="38" t="s">
        <v>637</v>
      </c>
      <c r="AB179" s="38"/>
      <c r="AC179" s="38"/>
      <c r="AD179" s="53" t="s">
        <v>198</v>
      </c>
      <c r="AE179" s="38"/>
      <c r="AF179" s="38"/>
      <c r="AG179" s="38"/>
      <c r="AH179" s="38"/>
      <c r="AI179" s="50"/>
      <c r="AJ179" s="50"/>
      <c r="AK179" s="41"/>
      <c r="AL179" s="40"/>
      <c r="AM179" s="49"/>
      <c r="AN179" s="43"/>
      <c r="AO179" s="42"/>
      <c r="AP179" s="43"/>
      <c r="AQ179" s="44"/>
      <c r="AR179" s="44" t="str">
        <f t="shared" si="3"/>
        <v/>
      </c>
      <c r="AS179" s="44"/>
      <c r="AT179" s="44" t="str">
        <f t="shared" si="17"/>
        <v/>
      </c>
      <c r="AU179" s="44" t="str">
        <f t="shared" si="2"/>
        <v/>
      </c>
      <c r="AV179" s="38"/>
      <c r="AW179" s="38"/>
      <c r="AX179" s="38"/>
      <c r="AY179" s="38"/>
      <c r="AZ179" s="29">
        <v>1000.0</v>
      </c>
      <c r="BA179" s="29"/>
      <c r="BB179" s="29">
        <v>1.0</v>
      </c>
      <c r="BC179" s="29" t="s">
        <v>640</v>
      </c>
      <c r="BD179" s="29"/>
      <c r="BE179" s="29"/>
      <c r="BF179" s="29" t="s">
        <v>641</v>
      </c>
      <c r="BG179" s="29" t="s">
        <v>220</v>
      </c>
      <c r="BH179" s="29" t="s">
        <v>88</v>
      </c>
      <c r="BI179" s="29" t="s">
        <v>634</v>
      </c>
      <c r="BJ179" s="29"/>
      <c r="BK179" s="29" t="s">
        <v>148</v>
      </c>
      <c r="BL179" s="29"/>
      <c r="BM179" s="45"/>
      <c r="BN179" s="45"/>
      <c r="BO179" s="46"/>
      <c r="BP179" s="2"/>
      <c r="BQ179" s="3"/>
    </row>
    <row r="180">
      <c r="A180" s="34">
        <v>180.0</v>
      </c>
      <c r="B180" s="34">
        <v>102890.0</v>
      </c>
      <c r="C180" s="34" t="s">
        <v>76</v>
      </c>
      <c r="D180" s="34" t="s">
        <v>626</v>
      </c>
      <c r="E180" s="34" t="s">
        <v>627</v>
      </c>
      <c r="F180" s="34">
        <v>2019.0</v>
      </c>
      <c r="G180" s="34" t="s">
        <v>628</v>
      </c>
      <c r="H180" s="34" t="s">
        <v>578</v>
      </c>
      <c r="I180" s="34" t="s">
        <v>629</v>
      </c>
      <c r="J180" s="35"/>
      <c r="K180" s="36"/>
      <c r="L180" s="36"/>
      <c r="M180" s="36"/>
      <c r="N180" s="36"/>
      <c r="O180" s="36"/>
      <c r="P180" s="37">
        <v>4.0</v>
      </c>
      <c r="Q180" s="36"/>
      <c r="R180" s="36" t="s">
        <v>96</v>
      </c>
      <c r="S180" s="36">
        <v>3000.0</v>
      </c>
      <c r="T180" s="36"/>
      <c r="U180" s="36"/>
      <c r="V180" s="36"/>
      <c r="W180" s="36"/>
      <c r="X180" s="38">
        <v>22.0</v>
      </c>
      <c r="Y180" s="38" t="s">
        <v>638</v>
      </c>
      <c r="Z180" s="38"/>
      <c r="AA180" s="38" t="s">
        <v>639</v>
      </c>
      <c r="AB180" s="38"/>
      <c r="AC180" s="38"/>
      <c r="AD180" s="53" t="s">
        <v>198</v>
      </c>
      <c r="AE180" s="38"/>
      <c r="AF180" s="38"/>
      <c r="AG180" s="38"/>
      <c r="AH180" s="38"/>
      <c r="AI180" s="50"/>
      <c r="AJ180" s="50"/>
      <c r="AK180" s="41"/>
      <c r="AL180" s="40"/>
      <c r="AM180" s="49"/>
      <c r="AN180" s="43"/>
      <c r="AO180" s="42"/>
      <c r="AP180" s="43"/>
      <c r="AQ180" s="44"/>
      <c r="AR180" s="44" t="str">
        <f t="shared" si="3"/>
        <v/>
      </c>
      <c r="AS180" s="44"/>
      <c r="AT180" s="44" t="str">
        <f t="shared" si="17"/>
        <v/>
      </c>
      <c r="AU180" s="44" t="str">
        <f t="shared" si="2"/>
        <v/>
      </c>
      <c r="AV180" s="38"/>
      <c r="AW180" s="38"/>
      <c r="AX180" s="38"/>
      <c r="AY180" s="38"/>
      <c r="AZ180" s="29">
        <v>1000.0</v>
      </c>
      <c r="BA180" s="29"/>
      <c r="BB180" s="29">
        <v>1.0</v>
      </c>
      <c r="BC180" s="29" t="s">
        <v>640</v>
      </c>
      <c r="BD180" s="29"/>
      <c r="BE180" s="29"/>
      <c r="BF180" s="29" t="s">
        <v>641</v>
      </c>
      <c r="BG180" s="29" t="s">
        <v>220</v>
      </c>
      <c r="BH180" s="29" t="s">
        <v>88</v>
      </c>
      <c r="BI180" s="29" t="s">
        <v>634</v>
      </c>
      <c r="BJ180" s="29"/>
      <c r="BK180" s="29" t="s">
        <v>148</v>
      </c>
      <c r="BL180" s="29"/>
      <c r="BM180" s="45"/>
      <c r="BN180" s="45"/>
      <c r="BO180" s="46"/>
      <c r="BP180" s="2"/>
      <c r="BQ180" s="3"/>
    </row>
    <row r="181">
      <c r="A181" s="34">
        <v>181.0</v>
      </c>
      <c r="B181" s="34">
        <v>102890.0</v>
      </c>
      <c r="C181" s="34" t="s">
        <v>76</v>
      </c>
      <c r="D181" s="34" t="s">
        <v>626</v>
      </c>
      <c r="E181" s="34" t="s">
        <v>627</v>
      </c>
      <c r="F181" s="34">
        <v>2019.0</v>
      </c>
      <c r="G181" s="34" t="s">
        <v>628</v>
      </c>
      <c r="H181" s="34" t="s">
        <v>578</v>
      </c>
      <c r="I181" s="34" t="s">
        <v>629</v>
      </c>
      <c r="J181" s="35"/>
      <c r="K181" s="36"/>
      <c r="L181" s="36"/>
      <c r="M181" s="36"/>
      <c r="N181" s="36"/>
      <c r="O181" s="36"/>
      <c r="P181" s="37">
        <v>2.0</v>
      </c>
      <c r="Q181" s="36"/>
      <c r="R181" s="36" t="s">
        <v>96</v>
      </c>
      <c r="S181" s="36">
        <v>3000.0</v>
      </c>
      <c r="T181" s="36"/>
      <c r="U181" s="36"/>
      <c r="V181" s="36"/>
      <c r="W181" s="36"/>
      <c r="X181" s="38" t="s">
        <v>630</v>
      </c>
      <c r="Y181" s="38" t="s">
        <v>631</v>
      </c>
      <c r="Z181" s="38"/>
      <c r="AA181" s="38" t="s">
        <v>86</v>
      </c>
      <c r="AB181" s="38"/>
      <c r="AC181" s="38"/>
      <c r="AD181" s="53" t="s">
        <v>198</v>
      </c>
      <c r="AE181" s="38"/>
      <c r="AF181" s="38"/>
      <c r="AG181" s="38"/>
      <c r="AH181" s="38"/>
      <c r="AI181" s="50"/>
      <c r="AJ181" s="50"/>
      <c r="AK181" s="41"/>
      <c r="AL181" s="40"/>
      <c r="AM181" s="49"/>
      <c r="AN181" s="43"/>
      <c r="AO181" s="42"/>
      <c r="AP181" s="43"/>
      <c r="AQ181" s="44" t="str">
        <f t="shared" ref="AQ181:AQ187" si="23">AA181</f>
        <v>CRO</v>
      </c>
      <c r="AR181" s="44" t="str">
        <f t="shared" si="3"/>
        <v/>
      </c>
      <c r="AS181" s="44"/>
      <c r="AT181" s="44" t="str">
        <f t="shared" si="17"/>
        <v/>
      </c>
      <c r="AU181" s="44" t="str">
        <f t="shared" si="2"/>
        <v/>
      </c>
      <c r="AV181" s="38"/>
      <c r="AW181" s="38"/>
      <c r="AX181" s="38"/>
      <c r="AY181" s="38"/>
      <c r="AZ181" s="29">
        <v>1000.0</v>
      </c>
      <c r="BA181" s="29"/>
      <c r="BB181" s="29">
        <v>1.0</v>
      </c>
      <c r="BC181" s="29" t="s">
        <v>642</v>
      </c>
      <c r="BD181" s="29"/>
      <c r="BE181" s="29"/>
      <c r="BF181" s="29" t="s">
        <v>643</v>
      </c>
      <c r="BG181" s="29" t="s">
        <v>644</v>
      </c>
      <c r="BH181" s="29" t="s">
        <v>88</v>
      </c>
      <c r="BI181" s="29" t="s">
        <v>634</v>
      </c>
      <c r="BJ181" s="29"/>
      <c r="BK181" s="29" t="s">
        <v>148</v>
      </c>
      <c r="BL181" s="29"/>
      <c r="BM181" s="45"/>
      <c r="BN181" s="45"/>
      <c r="BO181" s="46"/>
      <c r="BP181" s="2"/>
      <c r="BQ181" s="3"/>
    </row>
    <row r="182">
      <c r="A182" s="34">
        <v>182.0</v>
      </c>
      <c r="B182" s="34">
        <v>102890.0</v>
      </c>
      <c r="C182" s="34" t="s">
        <v>76</v>
      </c>
      <c r="D182" s="34" t="s">
        <v>626</v>
      </c>
      <c r="E182" s="34" t="s">
        <v>627</v>
      </c>
      <c r="F182" s="34">
        <v>2019.0</v>
      </c>
      <c r="G182" s="34" t="s">
        <v>628</v>
      </c>
      <c r="H182" s="34" t="s">
        <v>578</v>
      </c>
      <c r="I182" s="34" t="s">
        <v>629</v>
      </c>
      <c r="J182" s="35"/>
      <c r="K182" s="36"/>
      <c r="L182" s="36"/>
      <c r="M182" s="36"/>
      <c r="N182" s="36"/>
      <c r="O182" s="36"/>
      <c r="P182" s="37">
        <v>6.0</v>
      </c>
      <c r="Q182" s="36"/>
      <c r="R182" s="36" t="s">
        <v>96</v>
      </c>
      <c r="S182" s="36">
        <v>3000.0</v>
      </c>
      <c r="T182" s="36"/>
      <c r="U182" s="36"/>
      <c r="V182" s="36"/>
      <c r="W182" s="36"/>
      <c r="X182" s="38" t="s">
        <v>630</v>
      </c>
      <c r="Y182" s="38" t="s">
        <v>631</v>
      </c>
      <c r="Z182" s="38"/>
      <c r="AA182" s="38" t="s">
        <v>370</v>
      </c>
      <c r="AB182" s="38"/>
      <c r="AC182" s="38"/>
      <c r="AD182" s="53" t="s">
        <v>198</v>
      </c>
      <c r="AE182" s="38"/>
      <c r="AF182" s="38"/>
      <c r="AG182" s="38"/>
      <c r="AH182" s="38"/>
      <c r="AI182" s="50"/>
      <c r="AJ182" s="50"/>
      <c r="AK182" s="41"/>
      <c r="AL182" s="40"/>
      <c r="AM182" s="49"/>
      <c r="AN182" s="43"/>
      <c r="AO182" s="42"/>
      <c r="AP182" s="43"/>
      <c r="AQ182" s="44" t="str">
        <f t="shared" si="23"/>
        <v>DBF</v>
      </c>
      <c r="AR182" s="44" t="str">
        <f t="shared" si="3"/>
        <v/>
      </c>
      <c r="AS182" s="44"/>
      <c r="AT182" s="44" t="str">
        <f t="shared" si="17"/>
        <v/>
      </c>
      <c r="AU182" s="44" t="str">
        <f t="shared" si="2"/>
        <v/>
      </c>
      <c r="AV182" s="38"/>
      <c r="AW182" s="38"/>
      <c r="AX182" s="38"/>
      <c r="AY182" s="38"/>
      <c r="AZ182" s="29">
        <v>1000.0</v>
      </c>
      <c r="BA182" s="29"/>
      <c r="BB182" s="29">
        <v>1.0</v>
      </c>
      <c r="BC182" s="29" t="s">
        <v>642</v>
      </c>
      <c r="BD182" s="29"/>
      <c r="BE182" s="29"/>
      <c r="BF182" s="29" t="s">
        <v>643</v>
      </c>
      <c r="BG182" s="29" t="s">
        <v>644</v>
      </c>
      <c r="BH182" s="29" t="s">
        <v>88</v>
      </c>
      <c r="BI182" s="29" t="s">
        <v>634</v>
      </c>
      <c r="BJ182" s="29"/>
      <c r="BK182" s="29" t="s">
        <v>148</v>
      </c>
      <c r="BL182" s="29"/>
      <c r="BM182" s="45"/>
      <c r="BN182" s="45"/>
      <c r="BO182" s="46"/>
      <c r="BP182" s="2"/>
      <c r="BQ182" s="3"/>
    </row>
    <row r="183">
      <c r="A183" s="34">
        <v>183.0</v>
      </c>
      <c r="B183" s="34">
        <v>102890.0</v>
      </c>
      <c r="C183" s="34" t="s">
        <v>76</v>
      </c>
      <c r="D183" s="34" t="s">
        <v>626</v>
      </c>
      <c r="E183" s="34" t="s">
        <v>627</v>
      </c>
      <c r="F183" s="34">
        <v>2019.0</v>
      </c>
      <c r="G183" s="34" t="s">
        <v>628</v>
      </c>
      <c r="H183" s="34" t="s">
        <v>578</v>
      </c>
      <c r="I183" s="34" t="s">
        <v>629</v>
      </c>
      <c r="J183" s="35"/>
      <c r="K183" s="36"/>
      <c r="L183" s="36"/>
      <c r="M183" s="36"/>
      <c r="N183" s="36"/>
      <c r="O183" s="36"/>
      <c r="P183" s="37">
        <v>3.0</v>
      </c>
      <c r="Q183" s="36"/>
      <c r="R183" s="36" t="s">
        <v>96</v>
      </c>
      <c r="S183" s="36">
        <v>3000.0</v>
      </c>
      <c r="T183" s="36"/>
      <c r="U183" s="36"/>
      <c r="V183" s="36"/>
      <c r="W183" s="36"/>
      <c r="X183" s="38" t="s">
        <v>630</v>
      </c>
      <c r="Y183" s="38" t="s">
        <v>631</v>
      </c>
      <c r="Z183" s="38"/>
      <c r="AA183" s="38" t="s">
        <v>636</v>
      </c>
      <c r="AB183" s="38"/>
      <c r="AC183" s="38"/>
      <c r="AD183" s="53" t="s">
        <v>198</v>
      </c>
      <c r="AE183" s="38"/>
      <c r="AF183" s="38"/>
      <c r="AG183" s="38"/>
      <c r="AH183" s="38"/>
      <c r="AI183" s="50"/>
      <c r="AJ183" s="50"/>
      <c r="AK183" s="41"/>
      <c r="AL183" s="40"/>
      <c r="AM183" s="49"/>
      <c r="AN183" s="43"/>
      <c r="AO183" s="42"/>
      <c r="AP183" s="43"/>
      <c r="AQ183" s="44" t="str">
        <f t="shared" si="23"/>
        <v>DNF</v>
      </c>
      <c r="AR183" s="44" t="str">
        <f t="shared" si="3"/>
        <v/>
      </c>
      <c r="AS183" s="44"/>
      <c r="AT183" s="44" t="str">
        <f t="shared" si="17"/>
        <v/>
      </c>
      <c r="AU183" s="44" t="str">
        <f t="shared" si="2"/>
        <v/>
      </c>
      <c r="AV183" s="38"/>
      <c r="AW183" s="38"/>
      <c r="AX183" s="38"/>
      <c r="AY183" s="38"/>
      <c r="AZ183" s="29">
        <v>1000.0</v>
      </c>
      <c r="BA183" s="29"/>
      <c r="BB183" s="29">
        <v>1.0</v>
      </c>
      <c r="BC183" s="29" t="s">
        <v>642</v>
      </c>
      <c r="BD183" s="29"/>
      <c r="BE183" s="29"/>
      <c r="BF183" s="29" t="s">
        <v>643</v>
      </c>
      <c r="BG183" s="29" t="s">
        <v>644</v>
      </c>
      <c r="BH183" s="29" t="s">
        <v>88</v>
      </c>
      <c r="BI183" s="29" t="s">
        <v>634</v>
      </c>
      <c r="BJ183" s="29"/>
      <c r="BK183" s="29" t="s">
        <v>148</v>
      </c>
      <c r="BL183" s="29"/>
      <c r="BM183" s="45"/>
      <c r="BN183" s="45"/>
      <c r="BO183" s="46"/>
      <c r="BP183" s="2"/>
      <c r="BQ183" s="3"/>
    </row>
    <row r="184">
      <c r="A184" s="34">
        <v>184.0</v>
      </c>
      <c r="B184" s="34">
        <v>102890.0</v>
      </c>
      <c r="C184" s="34" t="s">
        <v>76</v>
      </c>
      <c r="D184" s="34" t="s">
        <v>626</v>
      </c>
      <c r="E184" s="34" t="s">
        <v>627</v>
      </c>
      <c r="F184" s="34">
        <v>2019.0</v>
      </c>
      <c r="G184" s="34" t="s">
        <v>628</v>
      </c>
      <c r="H184" s="34" t="s">
        <v>578</v>
      </c>
      <c r="I184" s="34" t="s">
        <v>629</v>
      </c>
      <c r="J184" s="35"/>
      <c r="K184" s="36"/>
      <c r="L184" s="36"/>
      <c r="M184" s="36"/>
      <c r="N184" s="36"/>
      <c r="O184" s="36"/>
      <c r="P184" s="37">
        <v>3.0</v>
      </c>
      <c r="Q184" s="36"/>
      <c r="R184" s="36" t="s">
        <v>96</v>
      </c>
      <c r="S184" s="36">
        <v>3000.0</v>
      </c>
      <c r="T184" s="36"/>
      <c r="U184" s="36"/>
      <c r="V184" s="36"/>
      <c r="W184" s="36"/>
      <c r="X184" s="38" t="s">
        <v>630</v>
      </c>
      <c r="Y184" s="38" t="s">
        <v>631</v>
      </c>
      <c r="Z184" s="38"/>
      <c r="AA184" s="38" t="s">
        <v>336</v>
      </c>
      <c r="AB184" s="38"/>
      <c r="AC184" s="38"/>
      <c r="AD184" s="53" t="s">
        <v>198</v>
      </c>
      <c r="AE184" s="38"/>
      <c r="AF184" s="38"/>
      <c r="AG184" s="38"/>
      <c r="AH184" s="38"/>
      <c r="AI184" s="50"/>
      <c r="AJ184" s="50"/>
      <c r="AK184" s="41"/>
      <c r="AL184" s="40"/>
      <c r="AM184" s="49"/>
      <c r="AN184" s="43"/>
      <c r="AO184" s="42"/>
      <c r="AP184" s="43"/>
      <c r="AQ184" s="44" t="str">
        <f t="shared" si="23"/>
        <v>EBF</v>
      </c>
      <c r="AR184" s="44" t="str">
        <f t="shared" si="3"/>
        <v/>
      </c>
      <c r="AS184" s="44"/>
      <c r="AT184" s="44" t="str">
        <f t="shared" si="17"/>
        <v/>
      </c>
      <c r="AU184" s="44" t="str">
        <f t="shared" si="2"/>
        <v/>
      </c>
      <c r="AV184" s="38"/>
      <c r="AW184" s="38"/>
      <c r="AX184" s="38"/>
      <c r="AY184" s="38"/>
      <c r="AZ184" s="29">
        <v>1000.0</v>
      </c>
      <c r="BA184" s="29"/>
      <c r="BB184" s="29">
        <v>1.0</v>
      </c>
      <c r="BC184" s="29" t="s">
        <v>642</v>
      </c>
      <c r="BD184" s="29"/>
      <c r="BE184" s="29"/>
      <c r="BF184" s="29" t="s">
        <v>643</v>
      </c>
      <c r="BG184" s="29" t="s">
        <v>644</v>
      </c>
      <c r="BH184" s="29" t="s">
        <v>88</v>
      </c>
      <c r="BI184" s="29" t="s">
        <v>634</v>
      </c>
      <c r="BJ184" s="29"/>
      <c r="BK184" s="29" t="s">
        <v>148</v>
      </c>
      <c r="BL184" s="29"/>
      <c r="BM184" s="45"/>
      <c r="BN184" s="45"/>
      <c r="BO184" s="46"/>
      <c r="BP184" s="2"/>
      <c r="BQ184" s="3"/>
    </row>
    <row r="185">
      <c r="A185" s="34">
        <v>185.0</v>
      </c>
      <c r="B185" s="34">
        <v>102890.0</v>
      </c>
      <c r="C185" s="34" t="s">
        <v>76</v>
      </c>
      <c r="D185" s="34" t="s">
        <v>626</v>
      </c>
      <c r="E185" s="34" t="s">
        <v>627</v>
      </c>
      <c r="F185" s="34">
        <v>2019.0</v>
      </c>
      <c r="G185" s="34" t="s">
        <v>628</v>
      </c>
      <c r="H185" s="34" t="s">
        <v>578</v>
      </c>
      <c r="I185" s="34" t="s">
        <v>629</v>
      </c>
      <c r="J185" s="35"/>
      <c r="K185" s="36"/>
      <c r="L185" s="36"/>
      <c r="M185" s="36"/>
      <c r="N185" s="36"/>
      <c r="O185" s="36"/>
      <c r="P185" s="37">
        <v>2.0</v>
      </c>
      <c r="Q185" s="36"/>
      <c r="R185" s="36" t="s">
        <v>96</v>
      </c>
      <c r="S185" s="36">
        <v>3000.0</v>
      </c>
      <c r="T185" s="36"/>
      <c r="U185" s="36"/>
      <c r="V185" s="36"/>
      <c r="W185" s="36"/>
      <c r="X185" s="38" t="s">
        <v>630</v>
      </c>
      <c r="Y185" s="38" t="s">
        <v>631</v>
      </c>
      <c r="Z185" s="38"/>
      <c r="AA185" s="38" t="s">
        <v>197</v>
      </c>
      <c r="AB185" s="38"/>
      <c r="AC185" s="38"/>
      <c r="AD185" s="53" t="s">
        <v>198</v>
      </c>
      <c r="AE185" s="38"/>
      <c r="AF185" s="38"/>
      <c r="AG185" s="38"/>
      <c r="AH185" s="38"/>
      <c r="AI185" s="50"/>
      <c r="AJ185" s="50"/>
      <c r="AK185" s="41"/>
      <c r="AL185" s="40"/>
      <c r="AM185" s="49"/>
      <c r="AN185" s="43"/>
      <c r="AO185" s="42"/>
      <c r="AP185" s="43"/>
      <c r="AQ185" s="44" t="str">
        <f t="shared" si="23"/>
        <v>ENF</v>
      </c>
      <c r="AR185" s="44" t="str">
        <f t="shared" si="3"/>
        <v/>
      </c>
      <c r="AS185" s="44"/>
      <c r="AT185" s="44" t="str">
        <f t="shared" si="17"/>
        <v/>
      </c>
      <c r="AU185" s="44" t="str">
        <f t="shared" si="2"/>
        <v/>
      </c>
      <c r="AV185" s="38"/>
      <c r="AW185" s="38"/>
      <c r="AX185" s="38"/>
      <c r="AY185" s="38"/>
      <c r="AZ185" s="29">
        <v>1000.0</v>
      </c>
      <c r="BA185" s="29"/>
      <c r="BB185" s="29">
        <v>1.0</v>
      </c>
      <c r="BC185" s="29" t="s">
        <v>642</v>
      </c>
      <c r="BD185" s="29"/>
      <c r="BE185" s="29"/>
      <c r="BF185" s="29" t="s">
        <v>643</v>
      </c>
      <c r="BG185" s="29" t="s">
        <v>644</v>
      </c>
      <c r="BH185" s="29" t="s">
        <v>88</v>
      </c>
      <c r="BI185" s="29" t="s">
        <v>634</v>
      </c>
      <c r="BJ185" s="29"/>
      <c r="BK185" s="29" t="s">
        <v>148</v>
      </c>
      <c r="BL185" s="29"/>
      <c r="BM185" s="45"/>
      <c r="BN185" s="45"/>
      <c r="BO185" s="46"/>
      <c r="BP185" s="70"/>
      <c r="BQ185" s="71"/>
    </row>
    <row r="186">
      <c r="A186" s="34">
        <v>186.0</v>
      </c>
      <c r="B186" s="34">
        <v>102890.0</v>
      </c>
      <c r="C186" s="34" t="s">
        <v>76</v>
      </c>
      <c r="D186" s="34" t="s">
        <v>626</v>
      </c>
      <c r="E186" s="34" t="s">
        <v>627</v>
      </c>
      <c r="F186" s="34">
        <v>2019.0</v>
      </c>
      <c r="G186" s="34" t="s">
        <v>628</v>
      </c>
      <c r="H186" s="34" t="s">
        <v>578</v>
      </c>
      <c r="I186" s="34" t="s">
        <v>629</v>
      </c>
      <c r="J186" s="35"/>
      <c r="K186" s="36"/>
      <c r="L186" s="36"/>
      <c r="M186" s="36"/>
      <c r="N186" s="36"/>
      <c r="O186" s="36"/>
      <c r="P186" s="37">
        <v>2.0</v>
      </c>
      <c r="Q186" s="36"/>
      <c r="R186" s="36" t="s">
        <v>96</v>
      </c>
      <c r="S186" s="36">
        <v>3000.0</v>
      </c>
      <c r="T186" s="36"/>
      <c r="U186" s="36"/>
      <c r="V186" s="36"/>
      <c r="W186" s="36"/>
      <c r="X186" s="38" t="s">
        <v>630</v>
      </c>
      <c r="Y186" s="38" t="s">
        <v>631</v>
      </c>
      <c r="Z186" s="38"/>
      <c r="AA186" s="38" t="s">
        <v>452</v>
      </c>
      <c r="AB186" s="38"/>
      <c r="AC186" s="38"/>
      <c r="AD186" s="53" t="s">
        <v>198</v>
      </c>
      <c r="AE186" s="38"/>
      <c r="AF186" s="38"/>
      <c r="AG186" s="38"/>
      <c r="AH186" s="38"/>
      <c r="AI186" s="50"/>
      <c r="AJ186" s="50"/>
      <c r="AK186" s="41"/>
      <c r="AL186" s="40"/>
      <c r="AM186" s="49"/>
      <c r="AN186" s="43"/>
      <c r="AO186" s="42"/>
      <c r="AP186" s="43"/>
      <c r="AQ186" s="44" t="str">
        <f t="shared" si="23"/>
        <v>MF</v>
      </c>
      <c r="AR186" s="44" t="str">
        <f t="shared" si="3"/>
        <v/>
      </c>
      <c r="AS186" s="44"/>
      <c r="AT186" s="44" t="str">
        <f t="shared" si="17"/>
        <v/>
      </c>
      <c r="AU186" s="44" t="str">
        <f t="shared" si="2"/>
        <v/>
      </c>
      <c r="AV186" s="38"/>
      <c r="AW186" s="38"/>
      <c r="AX186" s="38"/>
      <c r="AY186" s="38"/>
      <c r="AZ186" s="29">
        <v>1000.0</v>
      </c>
      <c r="BA186" s="29"/>
      <c r="BB186" s="29">
        <v>1.0</v>
      </c>
      <c r="BC186" s="29" t="s">
        <v>642</v>
      </c>
      <c r="BD186" s="29"/>
      <c r="BE186" s="29"/>
      <c r="BF186" s="29" t="s">
        <v>643</v>
      </c>
      <c r="BG186" s="29" t="s">
        <v>644</v>
      </c>
      <c r="BH186" s="29" t="s">
        <v>88</v>
      </c>
      <c r="BI186" s="29" t="s">
        <v>634</v>
      </c>
      <c r="BJ186" s="29"/>
      <c r="BK186" s="29" t="s">
        <v>148</v>
      </c>
      <c r="BL186" s="29"/>
      <c r="BM186" s="45"/>
      <c r="BN186" s="45"/>
      <c r="BO186" s="46"/>
      <c r="BP186" s="2"/>
      <c r="BQ186" s="3"/>
    </row>
    <row r="187">
      <c r="A187" s="34">
        <v>187.0</v>
      </c>
      <c r="B187" s="34">
        <v>102890.0</v>
      </c>
      <c r="C187" s="34" t="s">
        <v>76</v>
      </c>
      <c r="D187" s="34" t="s">
        <v>626</v>
      </c>
      <c r="E187" s="34" t="s">
        <v>627</v>
      </c>
      <c r="F187" s="34">
        <v>2019.0</v>
      </c>
      <c r="G187" s="34" t="s">
        <v>628</v>
      </c>
      <c r="H187" s="34" t="s">
        <v>578</v>
      </c>
      <c r="I187" s="34" t="s">
        <v>629</v>
      </c>
      <c r="J187" s="35"/>
      <c r="K187" s="36"/>
      <c r="L187" s="36"/>
      <c r="M187" s="36"/>
      <c r="N187" s="36"/>
      <c r="O187" s="36"/>
      <c r="P187" s="37">
        <v>5.0</v>
      </c>
      <c r="Q187" s="36"/>
      <c r="R187" s="36" t="s">
        <v>96</v>
      </c>
      <c r="S187" s="36">
        <v>3000.0</v>
      </c>
      <c r="T187" s="36"/>
      <c r="U187" s="36"/>
      <c r="V187" s="36"/>
      <c r="W187" s="36"/>
      <c r="X187" s="38" t="s">
        <v>630</v>
      </c>
      <c r="Y187" s="38" t="s">
        <v>631</v>
      </c>
      <c r="Z187" s="38"/>
      <c r="AA187" s="38" t="s">
        <v>288</v>
      </c>
      <c r="AB187" s="38"/>
      <c r="AC187" s="38"/>
      <c r="AD187" s="53" t="s">
        <v>198</v>
      </c>
      <c r="AE187" s="38"/>
      <c r="AF187" s="38"/>
      <c r="AG187" s="38"/>
      <c r="AH187" s="38"/>
      <c r="AI187" s="50"/>
      <c r="AJ187" s="50"/>
      <c r="AK187" s="41"/>
      <c r="AL187" s="40"/>
      <c r="AM187" s="49"/>
      <c r="AN187" s="43"/>
      <c r="AO187" s="42"/>
      <c r="AP187" s="43"/>
      <c r="AQ187" s="44" t="str">
        <f t="shared" si="23"/>
        <v>GRA</v>
      </c>
      <c r="AR187" s="44" t="str">
        <f t="shared" si="3"/>
        <v/>
      </c>
      <c r="AS187" s="44"/>
      <c r="AT187" s="44" t="str">
        <f t="shared" si="17"/>
        <v/>
      </c>
      <c r="AU187" s="44" t="str">
        <f t="shared" si="2"/>
        <v/>
      </c>
      <c r="AV187" s="38"/>
      <c r="AW187" s="38"/>
      <c r="AX187" s="38"/>
      <c r="AY187" s="38"/>
      <c r="AZ187" s="29">
        <v>1000.0</v>
      </c>
      <c r="BA187" s="29"/>
      <c r="BB187" s="29">
        <v>1.0</v>
      </c>
      <c r="BC187" s="29" t="s">
        <v>642</v>
      </c>
      <c r="BD187" s="29"/>
      <c r="BE187" s="29"/>
      <c r="BF187" s="29" t="s">
        <v>643</v>
      </c>
      <c r="BG187" s="29" t="s">
        <v>644</v>
      </c>
      <c r="BH187" s="29" t="s">
        <v>88</v>
      </c>
      <c r="BI187" s="29" t="s">
        <v>634</v>
      </c>
      <c r="BJ187" s="29"/>
      <c r="BK187" s="29" t="s">
        <v>148</v>
      </c>
      <c r="BL187" s="29"/>
      <c r="BM187" s="45"/>
      <c r="BN187" s="45"/>
      <c r="BO187" s="46"/>
      <c r="BP187" s="2"/>
      <c r="BQ187" s="3"/>
    </row>
    <row r="188">
      <c r="A188" s="34">
        <v>188.0</v>
      </c>
      <c r="B188" s="34">
        <v>102890.0</v>
      </c>
      <c r="C188" s="34" t="s">
        <v>76</v>
      </c>
      <c r="D188" s="34" t="s">
        <v>626</v>
      </c>
      <c r="E188" s="34" t="s">
        <v>627</v>
      </c>
      <c r="F188" s="34">
        <v>2019.0</v>
      </c>
      <c r="G188" s="34" t="s">
        <v>628</v>
      </c>
      <c r="H188" s="34" t="s">
        <v>578</v>
      </c>
      <c r="I188" s="34" t="s">
        <v>629</v>
      </c>
      <c r="J188" s="35"/>
      <c r="K188" s="36"/>
      <c r="L188" s="36"/>
      <c r="M188" s="36"/>
      <c r="N188" s="36"/>
      <c r="O188" s="36"/>
      <c r="P188" s="37">
        <v>4.0</v>
      </c>
      <c r="Q188" s="36"/>
      <c r="R188" s="36" t="s">
        <v>96</v>
      </c>
      <c r="S188" s="36">
        <v>3000.0</v>
      </c>
      <c r="T188" s="36"/>
      <c r="U188" s="36"/>
      <c r="V188" s="36"/>
      <c r="W188" s="36"/>
      <c r="X188" s="38" t="s">
        <v>630</v>
      </c>
      <c r="Y188" s="38" t="s">
        <v>631</v>
      </c>
      <c r="Z188" s="38"/>
      <c r="AA188" s="38" t="s">
        <v>637</v>
      </c>
      <c r="AB188" s="38"/>
      <c r="AC188" s="38"/>
      <c r="AD188" s="53" t="s">
        <v>198</v>
      </c>
      <c r="AE188" s="38"/>
      <c r="AF188" s="38"/>
      <c r="AG188" s="38"/>
      <c r="AH188" s="38"/>
      <c r="AI188" s="50"/>
      <c r="AJ188" s="50"/>
      <c r="AK188" s="41"/>
      <c r="AL188" s="40"/>
      <c r="AM188" s="49"/>
      <c r="AN188" s="43"/>
      <c r="AO188" s="42"/>
      <c r="AP188" s="43"/>
      <c r="AQ188" s="44"/>
      <c r="AR188" s="44" t="str">
        <f t="shared" si="3"/>
        <v/>
      </c>
      <c r="AS188" s="44"/>
      <c r="AT188" s="44" t="str">
        <f t="shared" si="17"/>
        <v/>
      </c>
      <c r="AU188" s="44" t="str">
        <f t="shared" si="2"/>
        <v/>
      </c>
      <c r="AV188" s="38"/>
      <c r="AW188" s="38"/>
      <c r="AX188" s="38"/>
      <c r="AY188" s="38"/>
      <c r="AZ188" s="29">
        <v>1000.0</v>
      </c>
      <c r="BA188" s="29"/>
      <c r="BB188" s="29">
        <v>1.0</v>
      </c>
      <c r="BC188" s="29" t="s">
        <v>642</v>
      </c>
      <c r="BD188" s="29"/>
      <c r="BE188" s="29"/>
      <c r="BF188" s="29" t="s">
        <v>643</v>
      </c>
      <c r="BG188" s="29" t="s">
        <v>644</v>
      </c>
      <c r="BH188" s="29" t="s">
        <v>88</v>
      </c>
      <c r="BI188" s="29" t="s">
        <v>634</v>
      </c>
      <c r="BJ188" s="29"/>
      <c r="BK188" s="29" t="s">
        <v>148</v>
      </c>
      <c r="BL188" s="29"/>
      <c r="BM188" s="45"/>
      <c r="BN188" s="45"/>
      <c r="BO188" s="46"/>
      <c r="BP188" s="2"/>
      <c r="BQ188" s="3"/>
    </row>
    <row r="189">
      <c r="A189" s="34">
        <v>189.0</v>
      </c>
      <c r="B189" s="34">
        <v>102890.0</v>
      </c>
      <c r="C189" s="34" t="s">
        <v>76</v>
      </c>
      <c r="D189" s="34" t="s">
        <v>626</v>
      </c>
      <c r="E189" s="34" t="s">
        <v>627</v>
      </c>
      <c r="F189" s="34">
        <v>2019.0</v>
      </c>
      <c r="G189" s="34" t="s">
        <v>628</v>
      </c>
      <c r="H189" s="34" t="s">
        <v>578</v>
      </c>
      <c r="I189" s="34" t="s">
        <v>629</v>
      </c>
      <c r="J189" s="35"/>
      <c r="K189" s="36"/>
      <c r="L189" s="36"/>
      <c r="M189" s="36"/>
      <c r="N189" s="36"/>
      <c r="O189" s="36"/>
      <c r="P189" s="37">
        <v>4.0</v>
      </c>
      <c r="Q189" s="36"/>
      <c r="R189" s="36" t="s">
        <v>96</v>
      </c>
      <c r="S189" s="36">
        <v>3000.0</v>
      </c>
      <c r="T189" s="36"/>
      <c r="U189" s="36"/>
      <c r="V189" s="36"/>
      <c r="W189" s="36"/>
      <c r="X189" s="38">
        <v>22.0</v>
      </c>
      <c r="Y189" s="38" t="s">
        <v>638</v>
      </c>
      <c r="Z189" s="38"/>
      <c r="AA189" s="38" t="s">
        <v>639</v>
      </c>
      <c r="AB189" s="38"/>
      <c r="AC189" s="38"/>
      <c r="AD189" s="53" t="s">
        <v>198</v>
      </c>
      <c r="AE189" s="38"/>
      <c r="AF189" s="38"/>
      <c r="AG189" s="38"/>
      <c r="AH189" s="38"/>
      <c r="AI189" s="50"/>
      <c r="AJ189" s="50"/>
      <c r="AK189" s="41"/>
      <c r="AL189" s="40"/>
      <c r="AM189" s="49"/>
      <c r="AN189" s="43"/>
      <c r="AO189" s="42"/>
      <c r="AP189" s="43"/>
      <c r="AQ189" s="44"/>
      <c r="AR189" s="44" t="str">
        <f t="shared" si="3"/>
        <v/>
      </c>
      <c r="AS189" s="44"/>
      <c r="AT189" s="44" t="str">
        <f t="shared" si="17"/>
        <v/>
      </c>
      <c r="AU189" s="44" t="str">
        <f t="shared" si="2"/>
        <v/>
      </c>
      <c r="AV189" s="38"/>
      <c r="AW189" s="38"/>
      <c r="AX189" s="38"/>
      <c r="AY189" s="38"/>
      <c r="AZ189" s="29">
        <v>1000.0</v>
      </c>
      <c r="BA189" s="29"/>
      <c r="BB189" s="29">
        <v>1.0</v>
      </c>
      <c r="BC189" s="29" t="s">
        <v>642</v>
      </c>
      <c r="BD189" s="29"/>
      <c r="BE189" s="29"/>
      <c r="BF189" s="29" t="s">
        <v>643</v>
      </c>
      <c r="BG189" s="29" t="s">
        <v>644</v>
      </c>
      <c r="BH189" s="29" t="s">
        <v>88</v>
      </c>
      <c r="BI189" s="29" t="s">
        <v>634</v>
      </c>
      <c r="BJ189" s="29"/>
      <c r="BK189" s="29" t="s">
        <v>148</v>
      </c>
      <c r="BL189" s="29"/>
      <c r="BM189" s="45"/>
      <c r="BN189" s="45"/>
      <c r="BO189" s="46"/>
      <c r="BP189" s="2"/>
      <c r="BQ189" s="3"/>
    </row>
    <row r="190">
      <c r="A190" s="34">
        <v>190.0</v>
      </c>
      <c r="B190" s="34">
        <v>102890.0</v>
      </c>
      <c r="C190" s="34" t="s">
        <v>76</v>
      </c>
      <c r="D190" s="34" t="s">
        <v>626</v>
      </c>
      <c r="E190" s="34" t="s">
        <v>627</v>
      </c>
      <c r="F190" s="34">
        <v>2019.0</v>
      </c>
      <c r="G190" s="34" t="s">
        <v>628</v>
      </c>
      <c r="H190" s="34" t="s">
        <v>578</v>
      </c>
      <c r="I190" s="34" t="s">
        <v>629</v>
      </c>
      <c r="J190" s="35"/>
      <c r="K190" s="36"/>
      <c r="L190" s="36"/>
      <c r="M190" s="36"/>
      <c r="N190" s="36"/>
      <c r="O190" s="36"/>
      <c r="P190" s="37">
        <v>3.0</v>
      </c>
      <c r="Q190" s="36"/>
      <c r="R190" s="36" t="s">
        <v>96</v>
      </c>
      <c r="S190" s="36">
        <v>3000.0</v>
      </c>
      <c r="T190" s="36"/>
      <c r="U190" s="36"/>
      <c r="V190" s="36"/>
      <c r="W190" s="36"/>
      <c r="X190" s="38" t="s">
        <v>630</v>
      </c>
      <c r="Y190" s="38" t="s">
        <v>631</v>
      </c>
      <c r="Z190" s="38"/>
      <c r="AA190" s="38" t="s">
        <v>86</v>
      </c>
      <c r="AB190" s="38"/>
      <c r="AC190" s="38"/>
      <c r="AD190" s="53" t="s">
        <v>198</v>
      </c>
      <c r="AE190" s="38"/>
      <c r="AF190" s="38"/>
      <c r="AG190" s="38"/>
      <c r="AH190" s="38"/>
      <c r="AI190" s="50"/>
      <c r="AJ190" s="50"/>
      <c r="AK190" s="41"/>
      <c r="AL190" s="40"/>
      <c r="AM190" s="49"/>
      <c r="AN190" s="43"/>
      <c r="AO190" s="42"/>
      <c r="AP190" s="43"/>
      <c r="AQ190" s="44" t="str">
        <f t="shared" ref="AQ190:AQ196" si="24">AA190</f>
        <v>CRO</v>
      </c>
      <c r="AR190" s="44" t="str">
        <f t="shared" si="3"/>
        <v/>
      </c>
      <c r="AS190" s="44"/>
      <c r="AT190" s="44" t="str">
        <f t="shared" si="17"/>
        <v/>
      </c>
      <c r="AU190" s="44" t="str">
        <f t="shared" si="2"/>
        <v/>
      </c>
      <c r="AV190" s="38"/>
      <c r="AW190" s="38"/>
      <c r="AX190" s="38"/>
      <c r="AY190" s="38"/>
      <c r="AZ190" s="29">
        <v>1000.0</v>
      </c>
      <c r="BA190" s="29"/>
      <c r="BB190" s="29">
        <v>1.0</v>
      </c>
      <c r="BC190" s="29" t="s">
        <v>632</v>
      </c>
      <c r="BD190" s="29"/>
      <c r="BE190" s="29"/>
      <c r="BF190" s="29" t="s">
        <v>633</v>
      </c>
      <c r="BG190" s="29" t="s">
        <v>203</v>
      </c>
      <c r="BH190" s="29" t="s">
        <v>92</v>
      </c>
      <c r="BI190" s="29" t="s">
        <v>645</v>
      </c>
      <c r="BJ190" s="29"/>
      <c r="BK190" s="29" t="s">
        <v>148</v>
      </c>
      <c r="BL190" s="29"/>
      <c r="BM190" s="45"/>
      <c r="BN190" s="45"/>
      <c r="BO190" s="46"/>
      <c r="BP190" s="2"/>
      <c r="BQ190" s="3"/>
    </row>
    <row r="191">
      <c r="A191" s="34">
        <v>191.0</v>
      </c>
      <c r="B191" s="34">
        <v>102890.0</v>
      </c>
      <c r="C191" s="34" t="s">
        <v>76</v>
      </c>
      <c r="D191" s="34" t="s">
        <v>626</v>
      </c>
      <c r="E191" s="34" t="s">
        <v>627</v>
      </c>
      <c r="F191" s="34">
        <v>2019.0</v>
      </c>
      <c r="G191" s="34" t="s">
        <v>628</v>
      </c>
      <c r="H191" s="34" t="s">
        <v>578</v>
      </c>
      <c r="I191" s="34" t="s">
        <v>629</v>
      </c>
      <c r="J191" s="35"/>
      <c r="K191" s="36"/>
      <c r="L191" s="36"/>
      <c r="M191" s="36"/>
      <c r="N191" s="36"/>
      <c r="O191" s="36"/>
      <c r="P191" s="37">
        <v>16.0</v>
      </c>
      <c r="Q191" s="36"/>
      <c r="R191" s="36" t="s">
        <v>96</v>
      </c>
      <c r="S191" s="36">
        <v>3000.0</v>
      </c>
      <c r="T191" s="36"/>
      <c r="U191" s="36"/>
      <c r="V191" s="36"/>
      <c r="W191" s="36"/>
      <c r="X191" s="38" t="s">
        <v>630</v>
      </c>
      <c r="Y191" s="38" t="s">
        <v>631</v>
      </c>
      <c r="Z191" s="38"/>
      <c r="AA191" s="38" t="s">
        <v>370</v>
      </c>
      <c r="AB191" s="38"/>
      <c r="AC191" s="38"/>
      <c r="AD191" s="53" t="s">
        <v>198</v>
      </c>
      <c r="AE191" s="38"/>
      <c r="AF191" s="38"/>
      <c r="AG191" s="38"/>
      <c r="AH191" s="38"/>
      <c r="AI191" s="50"/>
      <c r="AJ191" s="50"/>
      <c r="AK191" s="41"/>
      <c r="AL191" s="40"/>
      <c r="AM191" s="49"/>
      <c r="AN191" s="43"/>
      <c r="AO191" s="42"/>
      <c r="AP191" s="43"/>
      <c r="AQ191" s="44" t="str">
        <f t="shared" si="24"/>
        <v>DBF</v>
      </c>
      <c r="AR191" s="44" t="str">
        <f t="shared" si="3"/>
        <v/>
      </c>
      <c r="AS191" s="44"/>
      <c r="AT191" s="44" t="str">
        <f t="shared" si="17"/>
        <v/>
      </c>
      <c r="AU191" s="44" t="str">
        <f t="shared" si="2"/>
        <v/>
      </c>
      <c r="AV191" s="38"/>
      <c r="AW191" s="38"/>
      <c r="AX191" s="38"/>
      <c r="AY191" s="38"/>
      <c r="AZ191" s="29">
        <v>1000.0</v>
      </c>
      <c r="BA191" s="29"/>
      <c r="BB191" s="29">
        <v>1.0</v>
      </c>
      <c r="BC191" s="29" t="s">
        <v>632</v>
      </c>
      <c r="BD191" s="29"/>
      <c r="BE191" s="29"/>
      <c r="BF191" s="29" t="s">
        <v>633</v>
      </c>
      <c r="BG191" s="29" t="s">
        <v>203</v>
      </c>
      <c r="BH191" s="29" t="s">
        <v>92</v>
      </c>
      <c r="BI191" s="29" t="s">
        <v>645</v>
      </c>
      <c r="BJ191" s="29"/>
      <c r="BK191" s="29" t="s">
        <v>148</v>
      </c>
      <c r="BL191" s="29"/>
      <c r="BM191" s="45"/>
      <c r="BN191" s="45"/>
      <c r="BO191" s="46"/>
      <c r="BP191" s="2"/>
      <c r="BQ191" s="3"/>
    </row>
    <row r="192">
      <c r="A192" s="34">
        <v>192.0</v>
      </c>
      <c r="B192" s="34">
        <v>102890.0</v>
      </c>
      <c r="C192" s="34" t="s">
        <v>76</v>
      </c>
      <c r="D192" s="34" t="s">
        <v>626</v>
      </c>
      <c r="E192" s="34" t="s">
        <v>627</v>
      </c>
      <c r="F192" s="34">
        <v>2019.0</v>
      </c>
      <c r="G192" s="34" t="s">
        <v>628</v>
      </c>
      <c r="H192" s="34" t="s">
        <v>578</v>
      </c>
      <c r="I192" s="34" t="s">
        <v>629</v>
      </c>
      <c r="J192" s="35"/>
      <c r="K192" s="36"/>
      <c r="L192" s="36"/>
      <c r="M192" s="36"/>
      <c r="N192" s="36"/>
      <c r="O192" s="36"/>
      <c r="P192" s="37">
        <v>24.0</v>
      </c>
      <c r="Q192" s="36"/>
      <c r="R192" s="36" t="s">
        <v>96</v>
      </c>
      <c r="S192" s="36">
        <v>3000.0</v>
      </c>
      <c r="T192" s="36"/>
      <c r="U192" s="36"/>
      <c r="V192" s="36"/>
      <c r="W192" s="36"/>
      <c r="X192" s="38" t="s">
        <v>630</v>
      </c>
      <c r="Y192" s="38" t="s">
        <v>631</v>
      </c>
      <c r="Z192" s="38"/>
      <c r="AA192" s="38" t="s">
        <v>636</v>
      </c>
      <c r="AB192" s="38"/>
      <c r="AC192" s="38"/>
      <c r="AD192" s="53" t="s">
        <v>198</v>
      </c>
      <c r="AE192" s="38"/>
      <c r="AF192" s="38"/>
      <c r="AG192" s="38"/>
      <c r="AH192" s="38"/>
      <c r="AI192" s="50"/>
      <c r="AJ192" s="50"/>
      <c r="AK192" s="41"/>
      <c r="AL192" s="40"/>
      <c r="AM192" s="49"/>
      <c r="AN192" s="43"/>
      <c r="AO192" s="42"/>
      <c r="AP192" s="43"/>
      <c r="AQ192" s="44" t="str">
        <f t="shared" si="24"/>
        <v>DNF</v>
      </c>
      <c r="AR192" s="44" t="str">
        <f t="shared" si="3"/>
        <v/>
      </c>
      <c r="AS192" s="44"/>
      <c r="AT192" s="44" t="str">
        <f t="shared" si="17"/>
        <v/>
      </c>
      <c r="AU192" s="44" t="str">
        <f t="shared" si="2"/>
        <v/>
      </c>
      <c r="AV192" s="38"/>
      <c r="AW192" s="38"/>
      <c r="AX192" s="38"/>
      <c r="AY192" s="38"/>
      <c r="AZ192" s="29">
        <v>1000.0</v>
      </c>
      <c r="BA192" s="29"/>
      <c r="BB192" s="29">
        <v>1.0</v>
      </c>
      <c r="BC192" s="29" t="s">
        <v>632</v>
      </c>
      <c r="BD192" s="29"/>
      <c r="BE192" s="29"/>
      <c r="BF192" s="29" t="s">
        <v>633</v>
      </c>
      <c r="BG192" s="29" t="s">
        <v>203</v>
      </c>
      <c r="BH192" s="29" t="s">
        <v>92</v>
      </c>
      <c r="BI192" s="29" t="s">
        <v>645</v>
      </c>
      <c r="BJ192" s="29"/>
      <c r="BK192" s="29" t="s">
        <v>148</v>
      </c>
      <c r="BL192" s="29"/>
      <c r="BM192" s="45"/>
      <c r="BN192" s="45"/>
      <c r="BO192" s="46"/>
      <c r="BP192" s="2"/>
      <c r="BQ192" s="3"/>
    </row>
    <row r="193">
      <c r="A193" s="34">
        <v>193.0</v>
      </c>
      <c r="B193" s="34">
        <v>102890.0</v>
      </c>
      <c r="C193" s="34" t="s">
        <v>76</v>
      </c>
      <c r="D193" s="34" t="s">
        <v>626</v>
      </c>
      <c r="E193" s="34" t="s">
        <v>627</v>
      </c>
      <c r="F193" s="34">
        <v>2019.0</v>
      </c>
      <c r="G193" s="34" t="s">
        <v>628</v>
      </c>
      <c r="H193" s="34" t="s">
        <v>578</v>
      </c>
      <c r="I193" s="34" t="s">
        <v>629</v>
      </c>
      <c r="J193" s="35"/>
      <c r="K193" s="36"/>
      <c r="L193" s="36"/>
      <c r="M193" s="36"/>
      <c r="N193" s="36"/>
      <c r="O193" s="36"/>
      <c r="P193" s="37">
        <v>13.0</v>
      </c>
      <c r="Q193" s="36"/>
      <c r="R193" s="36" t="s">
        <v>96</v>
      </c>
      <c r="S193" s="36">
        <v>3000.0</v>
      </c>
      <c r="T193" s="36"/>
      <c r="U193" s="36"/>
      <c r="V193" s="36"/>
      <c r="W193" s="36"/>
      <c r="X193" s="38" t="s">
        <v>630</v>
      </c>
      <c r="Y193" s="38" t="s">
        <v>631</v>
      </c>
      <c r="Z193" s="38"/>
      <c r="AA193" s="38" t="s">
        <v>336</v>
      </c>
      <c r="AB193" s="38"/>
      <c r="AC193" s="38"/>
      <c r="AD193" s="53" t="s">
        <v>198</v>
      </c>
      <c r="AE193" s="38"/>
      <c r="AF193" s="38"/>
      <c r="AG193" s="38"/>
      <c r="AH193" s="38"/>
      <c r="AI193" s="50"/>
      <c r="AJ193" s="50"/>
      <c r="AK193" s="41"/>
      <c r="AL193" s="40"/>
      <c r="AM193" s="49"/>
      <c r="AN193" s="43"/>
      <c r="AO193" s="42"/>
      <c r="AP193" s="43"/>
      <c r="AQ193" s="44" t="str">
        <f t="shared" si="24"/>
        <v>EBF</v>
      </c>
      <c r="AR193" s="44" t="str">
        <f t="shared" si="3"/>
        <v/>
      </c>
      <c r="AS193" s="44"/>
      <c r="AT193" s="44" t="str">
        <f t="shared" si="17"/>
        <v/>
      </c>
      <c r="AU193" s="44" t="str">
        <f t="shared" si="2"/>
        <v/>
      </c>
      <c r="AV193" s="38"/>
      <c r="AW193" s="38"/>
      <c r="AX193" s="38"/>
      <c r="AY193" s="38"/>
      <c r="AZ193" s="29">
        <v>1000.0</v>
      </c>
      <c r="BA193" s="29"/>
      <c r="BB193" s="29">
        <v>1.0</v>
      </c>
      <c r="BC193" s="29" t="s">
        <v>632</v>
      </c>
      <c r="BD193" s="29"/>
      <c r="BE193" s="29"/>
      <c r="BF193" s="29" t="s">
        <v>633</v>
      </c>
      <c r="BG193" s="29" t="s">
        <v>203</v>
      </c>
      <c r="BH193" s="29" t="s">
        <v>92</v>
      </c>
      <c r="BI193" s="29" t="s">
        <v>645</v>
      </c>
      <c r="BJ193" s="29"/>
      <c r="BK193" s="29" t="s">
        <v>148</v>
      </c>
      <c r="BL193" s="29"/>
      <c r="BM193" s="45"/>
      <c r="BN193" s="45"/>
      <c r="BO193" s="46"/>
      <c r="BP193" s="2"/>
      <c r="BQ193" s="3"/>
    </row>
    <row r="194">
      <c r="A194" s="34">
        <v>194.0</v>
      </c>
      <c r="B194" s="34">
        <v>102890.0</v>
      </c>
      <c r="C194" s="34" t="s">
        <v>76</v>
      </c>
      <c r="D194" s="34" t="s">
        <v>626</v>
      </c>
      <c r="E194" s="34" t="s">
        <v>627</v>
      </c>
      <c r="F194" s="34">
        <v>2019.0</v>
      </c>
      <c r="G194" s="34" t="s">
        <v>628</v>
      </c>
      <c r="H194" s="34" t="s">
        <v>578</v>
      </c>
      <c r="I194" s="34" t="s">
        <v>629</v>
      </c>
      <c r="J194" s="35"/>
      <c r="K194" s="36"/>
      <c r="L194" s="36"/>
      <c r="M194" s="36"/>
      <c r="N194" s="36"/>
      <c r="O194" s="36"/>
      <c r="P194" s="37">
        <v>86.0</v>
      </c>
      <c r="Q194" s="36"/>
      <c r="R194" s="36" t="s">
        <v>96</v>
      </c>
      <c r="S194" s="36">
        <v>3000.0</v>
      </c>
      <c r="T194" s="36"/>
      <c r="U194" s="36"/>
      <c r="V194" s="36"/>
      <c r="W194" s="36"/>
      <c r="X194" s="38" t="s">
        <v>630</v>
      </c>
      <c r="Y194" s="38" t="s">
        <v>631</v>
      </c>
      <c r="Z194" s="38"/>
      <c r="AA194" s="38" t="s">
        <v>197</v>
      </c>
      <c r="AB194" s="38"/>
      <c r="AC194" s="38"/>
      <c r="AD194" s="53" t="s">
        <v>198</v>
      </c>
      <c r="AE194" s="38"/>
      <c r="AF194" s="38"/>
      <c r="AG194" s="38"/>
      <c r="AH194" s="38"/>
      <c r="AI194" s="50"/>
      <c r="AJ194" s="50"/>
      <c r="AK194" s="41"/>
      <c r="AL194" s="40"/>
      <c r="AM194" s="49"/>
      <c r="AN194" s="43"/>
      <c r="AO194" s="42"/>
      <c r="AP194" s="43"/>
      <c r="AQ194" s="44" t="str">
        <f t="shared" si="24"/>
        <v>ENF</v>
      </c>
      <c r="AR194" s="44" t="str">
        <f t="shared" si="3"/>
        <v/>
      </c>
      <c r="AS194" s="44"/>
      <c r="AT194" s="44" t="str">
        <f t="shared" si="17"/>
        <v/>
      </c>
      <c r="AU194" s="44" t="str">
        <f t="shared" si="2"/>
        <v/>
      </c>
      <c r="AV194" s="38"/>
      <c r="AW194" s="38"/>
      <c r="AX194" s="38"/>
      <c r="AY194" s="38"/>
      <c r="AZ194" s="29">
        <v>1000.0</v>
      </c>
      <c r="BA194" s="29"/>
      <c r="BB194" s="29">
        <v>1.0</v>
      </c>
      <c r="BC194" s="29" t="s">
        <v>632</v>
      </c>
      <c r="BD194" s="29"/>
      <c r="BE194" s="29"/>
      <c r="BF194" s="29" t="s">
        <v>633</v>
      </c>
      <c r="BG194" s="29" t="s">
        <v>203</v>
      </c>
      <c r="BH194" s="29" t="s">
        <v>92</v>
      </c>
      <c r="BI194" s="29" t="s">
        <v>645</v>
      </c>
      <c r="BJ194" s="29"/>
      <c r="BK194" s="29" t="s">
        <v>148</v>
      </c>
      <c r="BL194" s="29"/>
      <c r="BM194" s="45"/>
      <c r="BN194" s="45"/>
      <c r="BO194" s="46"/>
      <c r="BP194" s="2"/>
      <c r="BQ194" s="3"/>
    </row>
    <row r="195">
      <c r="A195" s="34">
        <v>195.0</v>
      </c>
      <c r="B195" s="34">
        <v>102890.0</v>
      </c>
      <c r="C195" s="34" t="s">
        <v>76</v>
      </c>
      <c r="D195" s="34" t="s">
        <v>626</v>
      </c>
      <c r="E195" s="34" t="s">
        <v>627</v>
      </c>
      <c r="F195" s="34">
        <v>2019.0</v>
      </c>
      <c r="G195" s="34" t="s">
        <v>628</v>
      </c>
      <c r="H195" s="34" t="s">
        <v>578</v>
      </c>
      <c r="I195" s="34" t="s">
        <v>629</v>
      </c>
      <c r="J195" s="35"/>
      <c r="K195" s="36"/>
      <c r="L195" s="36"/>
      <c r="M195" s="36"/>
      <c r="N195" s="36"/>
      <c r="O195" s="36"/>
      <c r="P195" s="37">
        <v>4.0</v>
      </c>
      <c r="Q195" s="36"/>
      <c r="R195" s="36" t="s">
        <v>96</v>
      </c>
      <c r="S195" s="36">
        <v>3000.0</v>
      </c>
      <c r="T195" s="36"/>
      <c r="U195" s="36"/>
      <c r="V195" s="36"/>
      <c r="W195" s="36"/>
      <c r="X195" s="38" t="s">
        <v>630</v>
      </c>
      <c r="Y195" s="38" t="s">
        <v>631</v>
      </c>
      <c r="Z195" s="38"/>
      <c r="AA195" s="38" t="s">
        <v>452</v>
      </c>
      <c r="AB195" s="38"/>
      <c r="AC195" s="38"/>
      <c r="AD195" s="53" t="s">
        <v>198</v>
      </c>
      <c r="AE195" s="38"/>
      <c r="AF195" s="38"/>
      <c r="AG195" s="38"/>
      <c r="AH195" s="38"/>
      <c r="AI195" s="50"/>
      <c r="AJ195" s="50"/>
      <c r="AK195" s="41"/>
      <c r="AL195" s="40"/>
      <c r="AM195" s="49"/>
      <c r="AN195" s="43"/>
      <c r="AO195" s="42"/>
      <c r="AP195" s="43"/>
      <c r="AQ195" s="44" t="str">
        <f t="shared" si="24"/>
        <v>MF</v>
      </c>
      <c r="AR195" s="44" t="str">
        <f t="shared" si="3"/>
        <v/>
      </c>
      <c r="AS195" s="44"/>
      <c r="AT195" s="44" t="str">
        <f t="shared" si="17"/>
        <v/>
      </c>
      <c r="AU195" s="44" t="str">
        <f t="shared" si="2"/>
        <v/>
      </c>
      <c r="AV195" s="38"/>
      <c r="AW195" s="38"/>
      <c r="AX195" s="38"/>
      <c r="AY195" s="38"/>
      <c r="AZ195" s="29">
        <v>1000.0</v>
      </c>
      <c r="BA195" s="29"/>
      <c r="BB195" s="29">
        <v>1.0</v>
      </c>
      <c r="BC195" s="29" t="s">
        <v>632</v>
      </c>
      <c r="BD195" s="29"/>
      <c r="BE195" s="29"/>
      <c r="BF195" s="29" t="s">
        <v>633</v>
      </c>
      <c r="BG195" s="29" t="s">
        <v>203</v>
      </c>
      <c r="BH195" s="29" t="s">
        <v>92</v>
      </c>
      <c r="BI195" s="29" t="s">
        <v>645</v>
      </c>
      <c r="BJ195" s="29"/>
      <c r="BK195" s="29" t="s">
        <v>148</v>
      </c>
      <c r="BL195" s="29"/>
      <c r="BM195" s="45"/>
      <c r="BN195" s="45"/>
      <c r="BO195" s="46"/>
      <c r="BP195" s="2"/>
      <c r="BQ195" s="3"/>
    </row>
    <row r="196">
      <c r="A196" s="34">
        <v>196.0</v>
      </c>
      <c r="B196" s="34">
        <v>102890.0</v>
      </c>
      <c r="C196" s="34" t="s">
        <v>76</v>
      </c>
      <c r="D196" s="34" t="s">
        <v>626</v>
      </c>
      <c r="E196" s="34" t="s">
        <v>627</v>
      </c>
      <c r="F196" s="34">
        <v>2019.0</v>
      </c>
      <c r="G196" s="34" t="s">
        <v>628</v>
      </c>
      <c r="H196" s="34" t="s">
        <v>578</v>
      </c>
      <c r="I196" s="34" t="s">
        <v>629</v>
      </c>
      <c r="J196" s="35"/>
      <c r="K196" s="36"/>
      <c r="L196" s="36"/>
      <c r="M196" s="36"/>
      <c r="N196" s="36"/>
      <c r="O196" s="36"/>
      <c r="P196" s="37">
        <v>11.0</v>
      </c>
      <c r="Q196" s="36"/>
      <c r="R196" s="36" t="s">
        <v>96</v>
      </c>
      <c r="S196" s="36">
        <v>3000.0</v>
      </c>
      <c r="T196" s="36"/>
      <c r="U196" s="36"/>
      <c r="V196" s="36"/>
      <c r="W196" s="36"/>
      <c r="X196" s="38" t="s">
        <v>630</v>
      </c>
      <c r="Y196" s="38" t="s">
        <v>631</v>
      </c>
      <c r="Z196" s="38"/>
      <c r="AA196" s="38" t="s">
        <v>288</v>
      </c>
      <c r="AB196" s="38"/>
      <c r="AC196" s="38"/>
      <c r="AD196" s="53" t="s">
        <v>198</v>
      </c>
      <c r="AE196" s="38"/>
      <c r="AF196" s="38"/>
      <c r="AG196" s="38"/>
      <c r="AH196" s="38"/>
      <c r="AI196" s="50"/>
      <c r="AJ196" s="50"/>
      <c r="AK196" s="41"/>
      <c r="AL196" s="40"/>
      <c r="AM196" s="49"/>
      <c r="AN196" s="43"/>
      <c r="AO196" s="42"/>
      <c r="AP196" s="43"/>
      <c r="AQ196" s="44" t="str">
        <f t="shared" si="24"/>
        <v>GRA</v>
      </c>
      <c r="AR196" s="44" t="str">
        <f t="shared" si="3"/>
        <v/>
      </c>
      <c r="AS196" s="44"/>
      <c r="AT196" s="44" t="str">
        <f t="shared" si="17"/>
        <v/>
      </c>
      <c r="AU196" s="44" t="str">
        <f t="shared" si="2"/>
        <v/>
      </c>
      <c r="AV196" s="38"/>
      <c r="AW196" s="38"/>
      <c r="AX196" s="38"/>
      <c r="AY196" s="38"/>
      <c r="AZ196" s="29">
        <v>1000.0</v>
      </c>
      <c r="BA196" s="29"/>
      <c r="BB196" s="29">
        <v>1.0</v>
      </c>
      <c r="BC196" s="29" t="s">
        <v>632</v>
      </c>
      <c r="BD196" s="29"/>
      <c r="BE196" s="29"/>
      <c r="BF196" s="29" t="s">
        <v>633</v>
      </c>
      <c r="BG196" s="29" t="s">
        <v>203</v>
      </c>
      <c r="BH196" s="29" t="s">
        <v>92</v>
      </c>
      <c r="BI196" s="29" t="s">
        <v>645</v>
      </c>
      <c r="BJ196" s="29"/>
      <c r="BK196" s="29" t="s">
        <v>148</v>
      </c>
      <c r="BL196" s="29"/>
      <c r="BM196" s="45"/>
      <c r="BN196" s="45"/>
      <c r="BO196" s="46"/>
      <c r="BP196" s="2"/>
      <c r="BQ196" s="3"/>
    </row>
    <row r="197">
      <c r="A197" s="34">
        <v>197.0</v>
      </c>
      <c r="B197" s="34">
        <v>102890.0</v>
      </c>
      <c r="C197" s="34" t="s">
        <v>76</v>
      </c>
      <c r="D197" s="34" t="s">
        <v>626</v>
      </c>
      <c r="E197" s="34" t="s">
        <v>627</v>
      </c>
      <c r="F197" s="34">
        <v>2019.0</v>
      </c>
      <c r="G197" s="34" t="s">
        <v>628</v>
      </c>
      <c r="H197" s="34" t="s">
        <v>578</v>
      </c>
      <c r="I197" s="34" t="s">
        <v>629</v>
      </c>
      <c r="J197" s="35"/>
      <c r="K197" s="36"/>
      <c r="L197" s="36"/>
      <c r="M197" s="36"/>
      <c r="N197" s="36"/>
      <c r="O197" s="36"/>
      <c r="P197" s="37">
        <v>35.0</v>
      </c>
      <c r="Q197" s="36"/>
      <c r="R197" s="36" t="s">
        <v>96</v>
      </c>
      <c r="S197" s="36">
        <v>3000.0</v>
      </c>
      <c r="T197" s="36"/>
      <c r="U197" s="36"/>
      <c r="V197" s="36"/>
      <c r="W197" s="36"/>
      <c r="X197" s="38" t="s">
        <v>630</v>
      </c>
      <c r="Y197" s="38" t="s">
        <v>631</v>
      </c>
      <c r="Z197" s="38"/>
      <c r="AA197" s="38" t="s">
        <v>637</v>
      </c>
      <c r="AB197" s="38"/>
      <c r="AC197" s="38"/>
      <c r="AD197" s="53" t="s">
        <v>198</v>
      </c>
      <c r="AE197" s="38"/>
      <c r="AF197" s="38"/>
      <c r="AG197" s="38"/>
      <c r="AH197" s="38"/>
      <c r="AI197" s="50"/>
      <c r="AJ197" s="50"/>
      <c r="AK197" s="41"/>
      <c r="AL197" s="40"/>
      <c r="AM197" s="49"/>
      <c r="AN197" s="43"/>
      <c r="AO197" s="42"/>
      <c r="AP197" s="43"/>
      <c r="AQ197" s="44"/>
      <c r="AR197" s="44" t="str">
        <f t="shared" si="3"/>
        <v/>
      </c>
      <c r="AS197" s="44"/>
      <c r="AT197" s="44" t="str">
        <f t="shared" si="17"/>
        <v/>
      </c>
      <c r="AU197" s="44" t="str">
        <f t="shared" si="2"/>
        <v/>
      </c>
      <c r="AV197" s="38"/>
      <c r="AW197" s="38"/>
      <c r="AX197" s="38"/>
      <c r="AY197" s="38"/>
      <c r="AZ197" s="29">
        <v>1000.0</v>
      </c>
      <c r="BA197" s="29"/>
      <c r="BB197" s="29">
        <v>1.0</v>
      </c>
      <c r="BC197" s="29" t="s">
        <v>632</v>
      </c>
      <c r="BD197" s="29"/>
      <c r="BE197" s="29"/>
      <c r="BF197" s="29" t="s">
        <v>633</v>
      </c>
      <c r="BG197" s="29" t="s">
        <v>203</v>
      </c>
      <c r="BH197" s="29" t="s">
        <v>92</v>
      </c>
      <c r="BI197" s="29" t="s">
        <v>645</v>
      </c>
      <c r="BJ197" s="29"/>
      <c r="BK197" s="29" t="s">
        <v>148</v>
      </c>
      <c r="BL197" s="29"/>
      <c r="BM197" s="45"/>
      <c r="BN197" s="45"/>
      <c r="BO197" s="46"/>
      <c r="BP197" s="2"/>
      <c r="BQ197" s="3"/>
    </row>
    <row r="198">
      <c r="A198" s="34">
        <v>198.0</v>
      </c>
      <c r="B198" s="34">
        <v>102890.0</v>
      </c>
      <c r="C198" s="34" t="s">
        <v>76</v>
      </c>
      <c r="D198" s="34" t="s">
        <v>626</v>
      </c>
      <c r="E198" s="34" t="s">
        <v>627</v>
      </c>
      <c r="F198" s="34">
        <v>2019.0</v>
      </c>
      <c r="G198" s="34" t="s">
        <v>628</v>
      </c>
      <c r="H198" s="34" t="s">
        <v>578</v>
      </c>
      <c r="I198" s="34" t="s">
        <v>629</v>
      </c>
      <c r="J198" s="35"/>
      <c r="K198" s="36"/>
      <c r="L198" s="36"/>
      <c r="M198" s="36"/>
      <c r="N198" s="36"/>
      <c r="O198" s="36"/>
      <c r="P198" s="37">
        <v>11.0</v>
      </c>
      <c r="Q198" s="36"/>
      <c r="R198" s="36" t="s">
        <v>96</v>
      </c>
      <c r="S198" s="36">
        <v>3000.0</v>
      </c>
      <c r="T198" s="36"/>
      <c r="U198" s="36"/>
      <c r="V198" s="36"/>
      <c r="W198" s="36"/>
      <c r="X198" s="38">
        <v>22.0</v>
      </c>
      <c r="Y198" s="38" t="s">
        <v>638</v>
      </c>
      <c r="Z198" s="38"/>
      <c r="AA198" s="38" t="s">
        <v>639</v>
      </c>
      <c r="AB198" s="38"/>
      <c r="AC198" s="38"/>
      <c r="AD198" s="53" t="s">
        <v>198</v>
      </c>
      <c r="AE198" s="38"/>
      <c r="AF198" s="38"/>
      <c r="AG198" s="38"/>
      <c r="AH198" s="38"/>
      <c r="AI198" s="50"/>
      <c r="AJ198" s="50"/>
      <c r="AK198" s="41"/>
      <c r="AL198" s="40"/>
      <c r="AM198" s="49"/>
      <c r="AN198" s="43"/>
      <c r="AO198" s="42"/>
      <c r="AP198" s="43"/>
      <c r="AQ198" s="44"/>
      <c r="AR198" s="44" t="str">
        <f t="shared" si="3"/>
        <v/>
      </c>
      <c r="AS198" s="44"/>
      <c r="AT198" s="44" t="str">
        <f t="shared" si="17"/>
        <v/>
      </c>
      <c r="AU198" s="44" t="str">
        <f t="shared" si="2"/>
        <v/>
      </c>
      <c r="AV198" s="38"/>
      <c r="AW198" s="38"/>
      <c r="AX198" s="38"/>
      <c r="AY198" s="38"/>
      <c r="AZ198" s="29">
        <v>1000.0</v>
      </c>
      <c r="BA198" s="29"/>
      <c r="BB198" s="29">
        <v>1.0</v>
      </c>
      <c r="BC198" s="29" t="s">
        <v>632</v>
      </c>
      <c r="BD198" s="29"/>
      <c r="BE198" s="29"/>
      <c r="BF198" s="29" t="s">
        <v>633</v>
      </c>
      <c r="BG198" s="29" t="s">
        <v>203</v>
      </c>
      <c r="BH198" s="29" t="s">
        <v>92</v>
      </c>
      <c r="BI198" s="29" t="s">
        <v>645</v>
      </c>
      <c r="BJ198" s="29"/>
      <c r="BK198" s="29" t="s">
        <v>148</v>
      </c>
      <c r="BL198" s="29"/>
      <c r="BM198" s="45"/>
      <c r="BN198" s="45"/>
      <c r="BO198" s="46"/>
      <c r="BP198" s="2"/>
      <c r="BQ198" s="3"/>
    </row>
    <row r="199">
      <c r="A199" s="34">
        <v>199.0</v>
      </c>
      <c r="B199" s="34">
        <v>102890.0</v>
      </c>
      <c r="C199" s="34" t="s">
        <v>76</v>
      </c>
      <c r="D199" s="34" t="s">
        <v>626</v>
      </c>
      <c r="E199" s="34" t="s">
        <v>627</v>
      </c>
      <c r="F199" s="34">
        <v>2019.0</v>
      </c>
      <c r="G199" s="34" t="s">
        <v>628</v>
      </c>
      <c r="H199" s="34" t="s">
        <v>578</v>
      </c>
      <c r="I199" s="34" t="s">
        <v>629</v>
      </c>
      <c r="J199" s="35"/>
      <c r="K199" s="36"/>
      <c r="L199" s="36"/>
      <c r="M199" s="36"/>
      <c r="N199" s="36"/>
      <c r="O199" s="36"/>
      <c r="P199" s="37">
        <v>6.0</v>
      </c>
      <c r="Q199" s="36"/>
      <c r="R199" s="36" t="s">
        <v>96</v>
      </c>
      <c r="S199" s="36">
        <v>3000.0</v>
      </c>
      <c r="T199" s="36"/>
      <c r="U199" s="36"/>
      <c r="V199" s="36"/>
      <c r="W199" s="36"/>
      <c r="X199" s="38" t="s">
        <v>630</v>
      </c>
      <c r="Y199" s="38" t="s">
        <v>631</v>
      </c>
      <c r="Z199" s="38"/>
      <c r="AA199" s="38" t="s">
        <v>86</v>
      </c>
      <c r="AB199" s="38"/>
      <c r="AC199" s="38"/>
      <c r="AD199" s="53" t="s">
        <v>198</v>
      </c>
      <c r="AE199" s="38"/>
      <c r="AF199" s="38"/>
      <c r="AG199" s="38"/>
      <c r="AH199" s="38"/>
      <c r="AI199" s="50"/>
      <c r="AJ199" s="50"/>
      <c r="AK199" s="41"/>
      <c r="AL199" s="40"/>
      <c r="AM199" s="49"/>
      <c r="AN199" s="43"/>
      <c r="AO199" s="42"/>
      <c r="AP199" s="43"/>
      <c r="AQ199" s="44" t="str">
        <f t="shared" ref="AQ199:AQ205" si="25">AA199</f>
        <v>CRO</v>
      </c>
      <c r="AR199" s="44" t="str">
        <f t="shared" si="3"/>
        <v/>
      </c>
      <c r="AS199" s="44"/>
      <c r="AT199" s="44" t="str">
        <f t="shared" si="17"/>
        <v/>
      </c>
      <c r="AU199" s="44" t="str">
        <f t="shared" si="2"/>
        <v/>
      </c>
      <c r="AV199" s="38"/>
      <c r="AW199" s="38"/>
      <c r="AX199" s="38"/>
      <c r="AY199" s="38"/>
      <c r="AZ199" s="29">
        <v>1000.0</v>
      </c>
      <c r="BA199" s="29"/>
      <c r="BB199" s="29">
        <v>1.0</v>
      </c>
      <c r="BC199" s="29" t="s">
        <v>640</v>
      </c>
      <c r="BD199" s="29"/>
      <c r="BE199" s="29"/>
      <c r="BF199" s="29" t="s">
        <v>641</v>
      </c>
      <c r="BG199" s="29" t="s">
        <v>220</v>
      </c>
      <c r="BH199" s="29" t="s">
        <v>92</v>
      </c>
      <c r="BI199" s="29" t="s">
        <v>645</v>
      </c>
      <c r="BJ199" s="29"/>
      <c r="BK199" s="29" t="s">
        <v>148</v>
      </c>
      <c r="BL199" s="29"/>
      <c r="BM199" s="45"/>
      <c r="BN199" s="45"/>
      <c r="BO199" s="46"/>
      <c r="BP199" s="2"/>
      <c r="BQ199" s="3"/>
    </row>
    <row r="200">
      <c r="A200" s="34">
        <v>200.0</v>
      </c>
      <c r="B200" s="34">
        <v>102890.0</v>
      </c>
      <c r="C200" s="34" t="s">
        <v>76</v>
      </c>
      <c r="D200" s="34" t="s">
        <v>626</v>
      </c>
      <c r="E200" s="34" t="s">
        <v>627</v>
      </c>
      <c r="F200" s="34">
        <v>2019.0</v>
      </c>
      <c r="G200" s="34" t="s">
        <v>628</v>
      </c>
      <c r="H200" s="34" t="s">
        <v>578</v>
      </c>
      <c r="I200" s="34" t="s">
        <v>629</v>
      </c>
      <c r="J200" s="35"/>
      <c r="K200" s="36"/>
      <c r="L200" s="36"/>
      <c r="M200" s="36"/>
      <c r="N200" s="36"/>
      <c r="O200" s="36"/>
      <c r="P200" s="37">
        <v>15.0</v>
      </c>
      <c r="Q200" s="36"/>
      <c r="R200" s="36" t="s">
        <v>96</v>
      </c>
      <c r="S200" s="36">
        <v>3000.0</v>
      </c>
      <c r="T200" s="36"/>
      <c r="U200" s="36"/>
      <c r="V200" s="36"/>
      <c r="W200" s="36"/>
      <c r="X200" s="38" t="s">
        <v>630</v>
      </c>
      <c r="Y200" s="38" t="s">
        <v>631</v>
      </c>
      <c r="Z200" s="38"/>
      <c r="AA200" s="38" t="s">
        <v>370</v>
      </c>
      <c r="AB200" s="38"/>
      <c r="AC200" s="38"/>
      <c r="AD200" s="53" t="s">
        <v>198</v>
      </c>
      <c r="AE200" s="38"/>
      <c r="AF200" s="38"/>
      <c r="AG200" s="38"/>
      <c r="AH200" s="38"/>
      <c r="AI200" s="50"/>
      <c r="AJ200" s="50"/>
      <c r="AK200" s="41"/>
      <c r="AL200" s="40"/>
      <c r="AM200" s="49"/>
      <c r="AN200" s="43"/>
      <c r="AO200" s="42"/>
      <c r="AP200" s="43"/>
      <c r="AQ200" s="44" t="str">
        <f t="shared" si="25"/>
        <v>DBF</v>
      </c>
      <c r="AR200" s="44" t="str">
        <f t="shared" si="3"/>
        <v/>
      </c>
      <c r="AS200" s="44"/>
      <c r="AT200" s="44" t="str">
        <f t="shared" si="17"/>
        <v/>
      </c>
      <c r="AU200" s="44" t="str">
        <f t="shared" si="2"/>
        <v/>
      </c>
      <c r="AV200" s="38"/>
      <c r="AW200" s="38"/>
      <c r="AX200" s="38"/>
      <c r="AY200" s="38"/>
      <c r="AZ200" s="29">
        <v>1000.0</v>
      </c>
      <c r="BA200" s="29"/>
      <c r="BB200" s="29">
        <v>1.0</v>
      </c>
      <c r="BC200" s="29" t="s">
        <v>640</v>
      </c>
      <c r="BD200" s="29"/>
      <c r="BE200" s="29"/>
      <c r="BF200" s="29" t="s">
        <v>641</v>
      </c>
      <c r="BG200" s="29" t="s">
        <v>220</v>
      </c>
      <c r="BH200" s="29" t="s">
        <v>92</v>
      </c>
      <c r="BI200" s="29" t="s">
        <v>645</v>
      </c>
      <c r="BJ200" s="29"/>
      <c r="BK200" s="29" t="s">
        <v>148</v>
      </c>
      <c r="BL200" s="29"/>
      <c r="BM200" s="45"/>
      <c r="BN200" s="45"/>
      <c r="BO200" s="46"/>
      <c r="BP200" s="2"/>
      <c r="BQ200" s="3"/>
    </row>
    <row r="201">
      <c r="A201" s="34">
        <v>201.0</v>
      </c>
      <c r="B201" s="34">
        <v>102890.0</v>
      </c>
      <c r="C201" s="34" t="s">
        <v>76</v>
      </c>
      <c r="D201" s="34" t="s">
        <v>626</v>
      </c>
      <c r="E201" s="34" t="s">
        <v>627</v>
      </c>
      <c r="F201" s="34">
        <v>2019.0</v>
      </c>
      <c r="G201" s="34" t="s">
        <v>628</v>
      </c>
      <c r="H201" s="34" t="s">
        <v>578</v>
      </c>
      <c r="I201" s="34" t="s">
        <v>629</v>
      </c>
      <c r="J201" s="35"/>
      <c r="K201" s="36"/>
      <c r="L201" s="36"/>
      <c r="M201" s="36"/>
      <c r="N201" s="36"/>
      <c r="O201" s="36"/>
      <c r="P201" s="37">
        <v>20.0</v>
      </c>
      <c r="Q201" s="36"/>
      <c r="R201" s="36" t="s">
        <v>96</v>
      </c>
      <c r="S201" s="36">
        <v>3000.0</v>
      </c>
      <c r="T201" s="36"/>
      <c r="U201" s="36"/>
      <c r="V201" s="36"/>
      <c r="W201" s="36"/>
      <c r="X201" s="38" t="s">
        <v>630</v>
      </c>
      <c r="Y201" s="38" t="s">
        <v>631</v>
      </c>
      <c r="Z201" s="38"/>
      <c r="AA201" s="38" t="s">
        <v>636</v>
      </c>
      <c r="AB201" s="38"/>
      <c r="AC201" s="38"/>
      <c r="AD201" s="53" t="s">
        <v>198</v>
      </c>
      <c r="AE201" s="38"/>
      <c r="AF201" s="38"/>
      <c r="AG201" s="38"/>
      <c r="AH201" s="38"/>
      <c r="AI201" s="50"/>
      <c r="AJ201" s="50"/>
      <c r="AK201" s="41"/>
      <c r="AL201" s="40"/>
      <c r="AM201" s="49"/>
      <c r="AN201" s="43"/>
      <c r="AO201" s="42"/>
      <c r="AP201" s="43"/>
      <c r="AQ201" s="44" t="str">
        <f t="shared" si="25"/>
        <v>DNF</v>
      </c>
      <c r="AR201" s="44" t="str">
        <f t="shared" si="3"/>
        <v/>
      </c>
      <c r="AS201" s="44"/>
      <c r="AT201" s="44" t="str">
        <f t="shared" si="17"/>
        <v/>
      </c>
      <c r="AU201" s="44" t="str">
        <f t="shared" si="2"/>
        <v/>
      </c>
      <c r="AV201" s="38"/>
      <c r="AW201" s="38"/>
      <c r="AX201" s="38"/>
      <c r="AY201" s="38"/>
      <c r="AZ201" s="29">
        <v>1000.0</v>
      </c>
      <c r="BA201" s="29"/>
      <c r="BB201" s="29">
        <v>1.0</v>
      </c>
      <c r="BC201" s="29" t="s">
        <v>640</v>
      </c>
      <c r="BD201" s="29"/>
      <c r="BE201" s="29"/>
      <c r="BF201" s="29" t="s">
        <v>641</v>
      </c>
      <c r="BG201" s="29" t="s">
        <v>220</v>
      </c>
      <c r="BH201" s="29" t="s">
        <v>92</v>
      </c>
      <c r="BI201" s="29" t="s">
        <v>645</v>
      </c>
      <c r="BJ201" s="29"/>
      <c r="BK201" s="29" t="s">
        <v>148</v>
      </c>
      <c r="BL201" s="29"/>
      <c r="BM201" s="45"/>
      <c r="BN201" s="45"/>
      <c r="BO201" s="46"/>
      <c r="BP201" s="2"/>
      <c r="BQ201" s="3"/>
    </row>
    <row r="202">
      <c r="A202" s="34">
        <v>202.0</v>
      </c>
      <c r="B202" s="34">
        <v>102890.0</v>
      </c>
      <c r="C202" s="34" t="s">
        <v>76</v>
      </c>
      <c r="D202" s="34" t="s">
        <v>626</v>
      </c>
      <c r="E202" s="34" t="s">
        <v>627</v>
      </c>
      <c r="F202" s="34">
        <v>2019.0</v>
      </c>
      <c r="G202" s="34" t="s">
        <v>628</v>
      </c>
      <c r="H202" s="34" t="s">
        <v>578</v>
      </c>
      <c r="I202" s="34" t="s">
        <v>629</v>
      </c>
      <c r="J202" s="35"/>
      <c r="K202" s="36"/>
      <c r="L202" s="36"/>
      <c r="M202" s="36"/>
      <c r="N202" s="36"/>
      <c r="O202" s="36"/>
      <c r="P202" s="37">
        <v>28.0</v>
      </c>
      <c r="Q202" s="36"/>
      <c r="R202" s="36" t="s">
        <v>96</v>
      </c>
      <c r="S202" s="36">
        <v>3000.0</v>
      </c>
      <c r="T202" s="36"/>
      <c r="U202" s="36"/>
      <c r="V202" s="36"/>
      <c r="W202" s="36"/>
      <c r="X202" s="38" t="s">
        <v>630</v>
      </c>
      <c r="Y202" s="38" t="s">
        <v>631</v>
      </c>
      <c r="Z202" s="38"/>
      <c r="AA202" s="38" t="s">
        <v>336</v>
      </c>
      <c r="AB202" s="38"/>
      <c r="AC202" s="38"/>
      <c r="AD202" s="53" t="s">
        <v>198</v>
      </c>
      <c r="AE202" s="38"/>
      <c r="AF202" s="38"/>
      <c r="AG202" s="38"/>
      <c r="AH202" s="38"/>
      <c r="AI202" s="50"/>
      <c r="AJ202" s="50"/>
      <c r="AK202" s="41"/>
      <c r="AL202" s="40"/>
      <c r="AM202" s="49"/>
      <c r="AN202" s="43"/>
      <c r="AO202" s="42"/>
      <c r="AP202" s="43"/>
      <c r="AQ202" s="44" t="str">
        <f t="shared" si="25"/>
        <v>EBF</v>
      </c>
      <c r="AR202" s="44" t="str">
        <f t="shared" si="3"/>
        <v/>
      </c>
      <c r="AS202" s="44"/>
      <c r="AT202" s="44" t="str">
        <f t="shared" si="17"/>
        <v/>
      </c>
      <c r="AU202" s="44" t="str">
        <f t="shared" si="2"/>
        <v/>
      </c>
      <c r="AV202" s="38"/>
      <c r="AW202" s="38"/>
      <c r="AX202" s="38"/>
      <c r="AY202" s="38"/>
      <c r="AZ202" s="29">
        <v>1000.0</v>
      </c>
      <c r="BA202" s="29"/>
      <c r="BB202" s="29">
        <v>1.0</v>
      </c>
      <c r="BC202" s="29" t="s">
        <v>640</v>
      </c>
      <c r="BD202" s="29"/>
      <c r="BE202" s="29"/>
      <c r="BF202" s="29" t="s">
        <v>641</v>
      </c>
      <c r="BG202" s="29" t="s">
        <v>220</v>
      </c>
      <c r="BH202" s="29" t="s">
        <v>92</v>
      </c>
      <c r="BI202" s="29" t="s">
        <v>645</v>
      </c>
      <c r="BJ202" s="29"/>
      <c r="BK202" s="29" t="s">
        <v>148</v>
      </c>
      <c r="BL202" s="29"/>
      <c r="BM202" s="45"/>
      <c r="BN202" s="45"/>
      <c r="BO202" s="46"/>
      <c r="BP202" s="2"/>
      <c r="BQ202" s="3"/>
    </row>
    <row r="203">
      <c r="A203" s="34">
        <v>203.0</v>
      </c>
      <c r="B203" s="34">
        <v>102890.0</v>
      </c>
      <c r="C203" s="34" t="s">
        <v>76</v>
      </c>
      <c r="D203" s="34" t="s">
        <v>626</v>
      </c>
      <c r="E203" s="34" t="s">
        <v>627</v>
      </c>
      <c r="F203" s="34">
        <v>2019.0</v>
      </c>
      <c r="G203" s="34" t="s">
        <v>628</v>
      </c>
      <c r="H203" s="34" t="s">
        <v>578</v>
      </c>
      <c r="I203" s="34" t="s">
        <v>629</v>
      </c>
      <c r="J203" s="35"/>
      <c r="K203" s="36"/>
      <c r="L203" s="36"/>
      <c r="M203" s="36"/>
      <c r="N203" s="36"/>
      <c r="O203" s="36"/>
      <c r="P203" s="37">
        <v>101.0</v>
      </c>
      <c r="Q203" s="36"/>
      <c r="R203" s="36" t="s">
        <v>96</v>
      </c>
      <c r="S203" s="36">
        <v>3000.0</v>
      </c>
      <c r="T203" s="36"/>
      <c r="U203" s="36"/>
      <c r="V203" s="36"/>
      <c r="W203" s="36"/>
      <c r="X203" s="38" t="s">
        <v>630</v>
      </c>
      <c r="Y203" s="38" t="s">
        <v>631</v>
      </c>
      <c r="Z203" s="38"/>
      <c r="AA203" s="38" t="s">
        <v>197</v>
      </c>
      <c r="AB203" s="38"/>
      <c r="AC203" s="38"/>
      <c r="AD203" s="53" t="s">
        <v>198</v>
      </c>
      <c r="AE203" s="38"/>
      <c r="AF203" s="38"/>
      <c r="AG203" s="38"/>
      <c r="AH203" s="38"/>
      <c r="AI203" s="50"/>
      <c r="AJ203" s="50"/>
      <c r="AK203" s="41"/>
      <c r="AL203" s="40"/>
      <c r="AM203" s="49"/>
      <c r="AN203" s="43"/>
      <c r="AO203" s="42"/>
      <c r="AP203" s="43"/>
      <c r="AQ203" s="44" t="str">
        <f t="shared" si="25"/>
        <v>ENF</v>
      </c>
      <c r="AR203" s="44" t="str">
        <f t="shared" si="3"/>
        <v/>
      </c>
      <c r="AS203" s="44"/>
      <c r="AT203" s="44" t="str">
        <f t="shared" si="17"/>
        <v/>
      </c>
      <c r="AU203" s="44" t="str">
        <f t="shared" si="2"/>
        <v/>
      </c>
      <c r="AV203" s="38"/>
      <c r="AW203" s="38"/>
      <c r="AX203" s="38"/>
      <c r="AY203" s="38"/>
      <c r="AZ203" s="29">
        <v>1000.0</v>
      </c>
      <c r="BA203" s="29"/>
      <c r="BB203" s="29">
        <v>1.0</v>
      </c>
      <c r="BC203" s="29" t="s">
        <v>640</v>
      </c>
      <c r="BD203" s="29"/>
      <c r="BE203" s="29"/>
      <c r="BF203" s="29" t="s">
        <v>641</v>
      </c>
      <c r="BG203" s="29" t="s">
        <v>220</v>
      </c>
      <c r="BH203" s="29" t="s">
        <v>92</v>
      </c>
      <c r="BI203" s="29" t="s">
        <v>645</v>
      </c>
      <c r="BJ203" s="29"/>
      <c r="BK203" s="29" t="s">
        <v>148</v>
      </c>
      <c r="BL203" s="29"/>
      <c r="BM203" s="45"/>
      <c r="BN203" s="45"/>
      <c r="BO203" s="46"/>
      <c r="BP203" s="2"/>
      <c r="BQ203" s="3"/>
    </row>
    <row r="204">
      <c r="A204" s="34">
        <v>204.0</v>
      </c>
      <c r="B204" s="34">
        <v>102890.0</v>
      </c>
      <c r="C204" s="34" t="s">
        <v>76</v>
      </c>
      <c r="D204" s="34" t="s">
        <v>626</v>
      </c>
      <c r="E204" s="34" t="s">
        <v>627</v>
      </c>
      <c r="F204" s="34">
        <v>2019.0</v>
      </c>
      <c r="G204" s="34" t="s">
        <v>628</v>
      </c>
      <c r="H204" s="34" t="s">
        <v>578</v>
      </c>
      <c r="I204" s="34" t="s">
        <v>629</v>
      </c>
      <c r="J204" s="35"/>
      <c r="K204" s="36"/>
      <c r="L204" s="36"/>
      <c r="M204" s="36"/>
      <c r="N204" s="36"/>
      <c r="O204" s="36"/>
      <c r="P204" s="37">
        <v>3.0</v>
      </c>
      <c r="Q204" s="36"/>
      <c r="R204" s="36" t="s">
        <v>96</v>
      </c>
      <c r="S204" s="36">
        <v>3000.0</v>
      </c>
      <c r="T204" s="36"/>
      <c r="U204" s="36"/>
      <c r="V204" s="36"/>
      <c r="W204" s="36"/>
      <c r="X204" s="38" t="s">
        <v>630</v>
      </c>
      <c r="Y204" s="38" t="s">
        <v>631</v>
      </c>
      <c r="Z204" s="38"/>
      <c r="AA204" s="38" t="s">
        <v>452</v>
      </c>
      <c r="AB204" s="38"/>
      <c r="AC204" s="38"/>
      <c r="AD204" s="53" t="s">
        <v>198</v>
      </c>
      <c r="AE204" s="38"/>
      <c r="AF204" s="38"/>
      <c r="AG204" s="38"/>
      <c r="AH204" s="38"/>
      <c r="AI204" s="50"/>
      <c r="AJ204" s="50"/>
      <c r="AK204" s="41"/>
      <c r="AL204" s="40"/>
      <c r="AM204" s="49"/>
      <c r="AN204" s="43"/>
      <c r="AO204" s="42"/>
      <c r="AP204" s="43"/>
      <c r="AQ204" s="44" t="str">
        <f t="shared" si="25"/>
        <v>MF</v>
      </c>
      <c r="AR204" s="44" t="str">
        <f t="shared" si="3"/>
        <v/>
      </c>
      <c r="AS204" s="44"/>
      <c r="AT204" s="44" t="str">
        <f t="shared" si="17"/>
        <v/>
      </c>
      <c r="AU204" s="44" t="str">
        <f t="shared" si="2"/>
        <v/>
      </c>
      <c r="AV204" s="38"/>
      <c r="AW204" s="38"/>
      <c r="AX204" s="38"/>
      <c r="AY204" s="38"/>
      <c r="AZ204" s="29">
        <v>1000.0</v>
      </c>
      <c r="BA204" s="29"/>
      <c r="BB204" s="29">
        <v>1.0</v>
      </c>
      <c r="BC204" s="29" t="s">
        <v>640</v>
      </c>
      <c r="BD204" s="29"/>
      <c r="BE204" s="29"/>
      <c r="BF204" s="29" t="s">
        <v>641</v>
      </c>
      <c r="BG204" s="29" t="s">
        <v>220</v>
      </c>
      <c r="BH204" s="29" t="s">
        <v>92</v>
      </c>
      <c r="BI204" s="29" t="s">
        <v>645</v>
      </c>
      <c r="BJ204" s="29"/>
      <c r="BK204" s="29" t="s">
        <v>148</v>
      </c>
      <c r="BL204" s="29"/>
      <c r="BM204" s="45"/>
      <c r="BN204" s="45"/>
      <c r="BO204" s="46"/>
      <c r="BP204" s="2"/>
      <c r="BQ204" s="3"/>
    </row>
    <row r="205">
      <c r="A205" s="34">
        <v>205.0</v>
      </c>
      <c r="B205" s="34">
        <v>102890.0</v>
      </c>
      <c r="C205" s="34" t="s">
        <v>76</v>
      </c>
      <c r="D205" s="34" t="s">
        <v>626</v>
      </c>
      <c r="E205" s="34" t="s">
        <v>627</v>
      </c>
      <c r="F205" s="34">
        <v>2019.0</v>
      </c>
      <c r="G205" s="34" t="s">
        <v>628</v>
      </c>
      <c r="H205" s="34" t="s">
        <v>578</v>
      </c>
      <c r="I205" s="34" t="s">
        <v>629</v>
      </c>
      <c r="J205" s="35"/>
      <c r="K205" s="36"/>
      <c r="L205" s="36"/>
      <c r="M205" s="36"/>
      <c r="N205" s="36"/>
      <c r="O205" s="36"/>
      <c r="P205" s="37">
        <v>39.0</v>
      </c>
      <c r="Q205" s="36"/>
      <c r="R205" s="36" t="s">
        <v>96</v>
      </c>
      <c r="S205" s="36">
        <v>3000.0</v>
      </c>
      <c r="T205" s="36"/>
      <c r="U205" s="36"/>
      <c r="V205" s="36"/>
      <c r="W205" s="36"/>
      <c r="X205" s="38" t="s">
        <v>630</v>
      </c>
      <c r="Y205" s="38" t="s">
        <v>631</v>
      </c>
      <c r="Z205" s="38"/>
      <c r="AA205" s="38" t="s">
        <v>288</v>
      </c>
      <c r="AB205" s="38"/>
      <c r="AC205" s="38"/>
      <c r="AD205" s="53" t="s">
        <v>198</v>
      </c>
      <c r="AE205" s="38"/>
      <c r="AF205" s="38"/>
      <c r="AG205" s="38"/>
      <c r="AH205" s="38"/>
      <c r="AI205" s="50"/>
      <c r="AJ205" s="50"/>
      <c r="AK205" s="41"/>
      <c r="AL205" s="40"/>
      <c r="AM205" s="49"/>
      <c r="AN205" s="43"/>
      <c r="AO205" s="42"/>
      <c r="AP205" s="43"/>
      <c r="AQ205" s="44" t="str">
        <f t="shared" si="25"/>
        <v>GRA</v>
      </c>
      <c r="AR205" s="44" t="str">
        <f t="shared" si="3"/>
        <v/>
      </c>
      <c r="AS205" s="44"/>
      <c r="AT205" s="44" t="str">
        <f t="shared" si="17"/>
        <v/>
      </c>
      <c r="AU205" s="44" t="str">
        <f t="shared" si="2"/>
        <v/>
      </c>
      <c r="AV205" s="38"/>
      <c r="AW205" s="38"/>
      <c r="AX205" s="38"/>
      <c r="AY205" s="38"/>
      <c r="AZ205" s="29">
        <v>1000.0</v>
      </c>
      <c r="BA205" s="29"/>
      <c r="BB205" s="29">
        <v>1.0</v>
      </c>
      <c r="BC205" s="29" t="s">
        <v>640</v>
      </c>
      <c r="BD205" s="29"/>
      <c r="BE205" s="29"/>
      <c r="BF205" s="29" t="s">
        <v>641</v>
      </c>
      <c r="BG205" s="29" t="s">
        <v>220</v>
      </c>
      <c r="BH205" s="29" t="s">
        <v>92</v>
      </c>
      <c r="BI205" s="29" t="s">
        <v>645</v>
      </c>
      <c r="BJ205" s="29"/>
      <c r="BK205" s="29" t="s">
        <v>148</v>
      </c>
      <c r="BL205" s="29"/>
      <c r="BM205" s="45"/>
      <c r="BN205" s="45"/>
      <c r="BO205" s="46"/>
      <c r="BP205" s="2"/>
      <c r="BQ205" s="3"/>
    </row>
    <row r="206">
      <c r="A206" s="34">
        <v>206.0</v>
      </c>
      <c r="B206" s="34">
        <v>102890.0</v>
      </c>
      <c r="C206" s="34" t="s">
        <v>76</v>
      </c>
      <c r="D206" s="34" t="s">
        <v>626</v>
      </c>
      <c r="E206" s="34" t="s">
        <v>627</v>
      </c>
      <c r="F206" s="34">
        <v>2019.0</v>
      </c>
      <c r="G206" s="34" t="s">
        <v>628</v>
      </c>
      <c r="H206" s="34" t="s">
        <v>578</v>
      </c>
      <c r="I206" s="34" t="s">
        <v>629</v>
      </c>
      <c r="J206" s="35"/>
      <c r="K206" s="36"/>
      <c r="L206" s="36"/>
      <c r="M206" s="36"/>
      <c r="N206" s="36"/>
      <c r="O206" s="36"/>
      <c r="P206" s="37">
        <v>3.0</v>
      </c>
      <c r="Q206" s="36"/>
      <c r="R206" s="36" t="s">
        <v>96</v>
      </c>
      <c r="S206" s="36">
        <v>3000.0</v>
      </c>
      <c r="T206" s="36"/>
      <c r="U206" s="36"/>
      <c r="V206" s="36"/>
      <c r="W206" s="36"/>
      <c r="X206" s="38" t="s">
        <v>630</v>
      </c>
      <c r="Y206" s="38" t="s">
        <v>631</v>
      </c>
      <c r="Z206" s="38"/>
      <c r="AA206" s="38" t="s">
        <v>637</v>
      </c>
      <c r="AB206" s="38"/>
      <c r="AC206" s="38"/>
      <c r="AD206" s="53" t="s">
        <v>198</v>
      </c>
      <c r="AE206" s="38"/>
      <c r="AF206" s="38"/>
      <c r="AG206" s="38"/>
      <c r="AH206" s="38"/>
      <c r="AI206" s="50"/>
      <c r="AJ206" s="50"/>
      <c r="AK206" s="41"/>
      <c r="AL206" s="40"/>
      <c r="AM206" s="49"/>
      <c r="AN206" s="43"/>
      <c r="AO206" s="42"/>
      <c r="AP206" s="43"/>
      <c r="AQ206" s="44"/>
      <c r="AR206" s="44" t="str">
        <f t="shared" si="3"/>
        <v/>
      </c>
      <c r="AS206" s="44"/>
      <c r="AT206" s="44" t="str">
        <f t="shared" si="17"/>
        <v/>
      </c>
      <c r="AU206" s="44" t="str">
        <f t="shared" si="2"/>
        <v/>
      </c>
      <c r="AV206" s="38"/>
      <c r="AW206" s="38"/>
      <c r="AX206" s="38"/>
      <c r="AY206" s="38"/>
      <c r="AZ206" s="29">
        <v>1000.0</v>
      </c>
      <c r="BA206" s="29"/>
      <c r="BB206" s="29">
        <v>1.0</v>
      </c>
      <c r="BC206" s="29" t="s">
        <v>640</v>
      </c>
      <c r="BD206" s="29"/>
      <c r="BE206" s="29"/>
      <c r="BF206" s="29" t="s">
        <v>641</v>
      </c>
      <c r="BG206" s="29" t="s">
        <v>220</v>
      </c>
      <c r="BH206" s="29" t="s">
        <v>92</v>
      </c>
      <c r="BI206" s="29" t="s">
        <v>645</v>
      </c>
      <c r="BJ206" s="29"/>
      <c r="BK206" s="29" t="s">
        <v>148</v>
      </c>
      <c r="BL206" s="29"/>
      <c r="BM206" s="45"/>
      <c r="BN206" s="45"/>
      <c r="BO206" s="46"/>
      <c r="BP206" s="2"/>
      <c r="BQ206" s="3"/>
    </row>
    <row r="207">
      <c r="A207" s="34">
        <v>207.0</v>
      </c>
      <c r="B207" s="34">
        <v>102890.0</v>
      </c>
      <c r="C207" s="34" t="s">
        <v>76</v>
      </c>
      <c r="D207" s="34" t="s">
        <v>626</v>
      </c>
      <c r="E207" s="34" t="s">
        <v>627</v>
      </c>
      <c r="F207" s="34">
        <v>2019.0</v>
      </c>
      <c r="G207" s="34" t="s">
        <v>628</v>
      </c>
      <c r="H207" s="34" t="s">
        <v>578</v>
      </c>
      <c r="I207" s="34" t="s">
        <v>629</v>
      </c>
      <c r="J207" s="35"/>
      <c r="K207" s="36"/>
      <c r="L207" s="36"/>
      <c r="M207" s="36"/>
      <c r="N207" s="36"/>
      <c r="O207" s="36"/>
      <c r="P207" s="37">
        <v>17.0</v>
      </c>
      <c r="Q207" s="36"/>
      <c r="R207" s="36" t="s">
        <v>96</v>
      </c>
      <c r="S207" s="36">
        <v>3000.0</v>
      </c>
      <c r="T207" s="36"/>
      <c r="U207" s="36"/>
      <c r="V207" s="36"/>
      <c r="W207" s="36"/>
      <c r="X207" s="38">
        <v>22.0</v>
      </c>
      <c r="Y207" s="38" t="s">
        <v>638</v>
      </c>
      <c r="Z207" s="38"/>
      <c r="AA207" s="38" t="s">
        <v>639</v>
      </c>
      <c r="AB207" s="38"/>
      <c r="AC207" s="38"/>
      <c r="AD207" s="53" t="s">
        <v>198</v>
      </c>
      <c r="AE207" s="38"/>
      <c r="AF207" s="38"/>
      <c r="AG207" s="38"/>
      <c r="AH207" s="38"/>
      <c r="AI207" s="50"/>
      <c r="AJ207" s="50"/>
      <c r="AK207" s="41"/>
      <c r="AL207" s="40"/>
      <c r="AM207" s="49"/>
      <c r="AN207" s="43"/>
      <c r="AO207" s="42"/>
      <c r="AP207" s="43"/>
      <c r="AQ207" s="44"/>
      <c r="AR207" s="44" t="str">
        <f t="shared" si="3"/>
        <v/>
      </c>
      <c r="AS207" s="44"/>
      <c r="AT207" s="44" t="str">
        <f t="shared" si="17"/>
        <v/>
      </c>
      <c r="AU207" s="44" t="str">
        <f t="shared" si="2"/>
        <v/>
      </c>
      <c r="AV207" s="38"/>
      <c r="AW207" s="38"/>
      <c r="AX207" s="38"/>
      <c r="AY207" s="38"/>
      <c r="AZ207" s="29">
        <v>1000.0</v>
      </c>
      <c r="BA207" s="29"/>
      <c r="BB207" s="29">
        <v>1.0</v>
      </c>
      <c r="BC207" s="29" t="s">
        <v>640</v>
      </c>
      <c r="BD207" s="29"/>
      <c r="BE207" s="29"/>
      <c r="BF207" s="29" t="s">
        <v>641</v>
      </c>
      <c r="BG207" s="29" t="s">
        <v>220</v>
      </c>
      <c r="BH207" s="29" t="s">
        <v>92</v>
      </c>
      <c r="BI207" s="29" t="s">
        <v>645</v>
      </c>
      <c r="BJ207" s="29"/>
      <c r="BK207" s="29" t="s">
        <v>148</v>
      </c>
      <c r="BL207" s="29"/>
      <c r="BM207" s="45"/>
      <c r="BN207" s="45"/>
      <c r="BO207" s="46"/>
      <c r="BP207" s="2"/>
      <c r="BQ207" s="3"/>
    </row>
    <row r="208">
      <c r="A208" s="34">
        <v>208.0</v>
      </c>
      <c r="B208" s="34">
        <v>102890.0</v>
      </c>
      <c r="C208" s="34" t="s">
        <v>76</v>
      </c>
      <c r="D208" s="34" t="s">
        <v>626</v>
      </c>
      <c r="E208" s="34" t="s">
        <v>627</v>
      </c>
      <c r="F208" s="34">
        <v>2019.0</v>
      </c>
      <c r="G208" s="34" t="s">
        <v>628</v>
      </c>
      <c r="H208" s="34" t="s">
        <v>578</v>
      </c>
      <c r="I208" s="34" t="s">
        <v>629</v>
      </c>
      <c r="J208" s="35"/>
      <c r="K208" s="36"/>
      <c r="L208" s="36"/>
      <c r="M208" s="36"/>
      <c r="N208" s="36"/>
      <c r="O208" s="36"/>
      <c r="P208" s="37">
        <v>4.0</v>
      </c>
      <c r="Q208" s="36"/>
      <c r="R208" s="36" t="s">
        <v>96</v>
      </c>
      <c r="S208" s="36">
        <v>3000.0</v>
      </c>
      <c r="T208" s="36"/>
      <c r="U208" s="36"/>
      <c r="V208" s="36"/>
      <c r="W208" s="36"/>
      <c r="X208" s="38" t="s">
        <v>630</v>
      </c>
      <c r="Y208" s="38" t="s">
        <v>631</v>
      </c>
      <c r="Z208" s="38"/>
      <c r="AA208" s="38" t="s">
        <v>86</v>
      </c>
      <c r="AB208" s="38"/>
      <c r="AC208" s="38"/>
      <c r="AD208" s="53" t="s">
        <v>198</v>
      </c>
      <c r="AE208" s="38"/>
      <c r="AF208" s="38"/>
      <c r="AG208" s="38"/>
      <c r="AH208" s="38"/>
      <c r="AI208" s="50"/>
      <c r="AJ208" s="50"/>
      <c r="AK208" s="41"/>
      <c r="AL208" s="40"/>
      <c r="AM208" s="49"/>
      <c r="AN208" s="43"/>
      <c r="AO208" s="42"/>
      <c r="AP208" s="43"/>
      <c r="AQ208" s="44" t="str">
        <f t="shared" ref="AQ208:AQ214" si="26">AA208</f>
        <v>CRO</v>
      </c>
      <c r="AR208" s="44" t="str">
        <f t="shared" si="3"/>
        <v/>
      </c>
      <c r="AS208" s="44"/>
      <c r="AT208" s="44" t="str">
        <f t="shared" si="17"/>
        <v/>
      </c>
      <c r="AU208" s="44" t="str">
        <f t="shared" si="2"/>
        <v/>
      </c>
      <c r="AV208" s="38"/>
      <c r="AW208" s="38"/>
      <c r="AX208" s="38"/>
      <c r="AY208" s="38"/>
      <c r="AZ208" s="29">
        <v>1000.0</v>
      </c>
      <c r="BA208" s="29"/>
      <c r="BB208" s="29">
        <v>1.0</v>
      </c>
      <c r="BC208" s="29" t="s">
        <v>642</v>
      </c>
      <c r="BD208" s="29"/>
      <c r="BE208" s="29"/>
      <c r="BF208" s="29" t="s">
        <v>643</v>
      </c>
      <c r="BG208" s="29" t="s">
        <v>644</v>
      </c>
      <c r="BH208" s="29" t="s">
        <v>92</v>
      </c>
      <c r="BI208" s="29" t="s">
        <v>645</v>
      </c>
      <c r="BJ208" s="29"/>
      <c r="BK208" s="29" t="s">
        <v>148</v>
      </c>
      <c r="BL208" s="29"/>
      <c r="BM208" s="45"/>
      <c r="BN208" s="45"/>
      <c r="BO208" s="46"/>
      <c r="BP208" s="2"/>
      <c r="BQ208" s="3"/>
    </row>
    <row r="209">
      <c r="A209" s="34">
        <v>209.0</v>
      </c>
      <c r="B209" s="34">
        <v>102890.0</v>
      </c>
      <c r="C209" s="34" t="s">
        <v>76</v>
      </c>
      <c r="D209" s="34" t="s">
        <v>626</v>
      </c>
      <c r="E209" s="34" t="s">
        <v>627</v>
      </c>
      <c r="F209" s="34">
        <v>2019.0</v>
      </c>
      <c r="G209" s="34" t="s">
        <v>628</v>
      </c>
      <c r="H209" s="34" t="s">
        <v>578</v>
      </c>
      <c r="I209" s="34" t="s">
        <v>629</v>
      </c>
      <c r="J209" s="35"/>
      <c r="K209" s="36"/>
      <c r="L209" s="36"/>
      <c r="M209" s="36"/>
      <c r="N209" s="36"/>
      <c r="O209" s="36"/>
      <c r="P209" s="37">
        <v>6.0</v>
      </c>
      <c r="Q209" s="36"/>
      <c r="R209" s="36" t="s">
        <v>96</v>
      </c>
      <c r="S209" s="36">
        <v>3000.0</v>
      </c>
      <c r="T209" s="36"/>
      <c r="U209" s="36"/>
      <c r="V209" s="36"/>
      <c r="W209" s="36"/>
      <c r="X209" s="38" t="s">
        <v>630</v>
      </c>
      <c r="Y209" s="38" t="s">
        <v>631</v>
      </c>
      <c r="Z209" s="38"/>
      <c r="AA209" s="38" t="s">
        <v>370</v>
      </c>
      <c r="AB209" s="38"/>
      <c r="AC209" s="38"/>
      <c r="AD209" s="53" t="s">
        <v>198</v>
      </c>
      <c r="AE209" s="38"/>
      <c r="AF209" s="38"/>
      <c r="AG209" s="38"/>
      <c r="AH209" s="38"/>
      <c r="AI209" s="50"/>
      <c r="AJ209" s="50"/>
      <c r="AK209" s="41"/>
      <c r="AL209" s="40"/>
      <c r="AM209" s="49"/>
      <c r="AN209" s="43"/>
      <c r="AO209" s="42"/>
      <c r="AP209" s="43"/>
      <c r="AQ209" s="44" t="str">
        <f t="shared" si="26"/>
        <v>DBF</v>
      </c>
      <c r="AR209" s="44" t="str">
        <f t="shared" si="3"/>
        <v/>
      </c>
      <c r="AS209" s="44"/>
      <c r="AT209" s="44" t="str">
        <f t="shared" si="17"/>
        <v/>
      </c>
      <c r="AU209" s="44" t="str">
        <f t="shared" si="2"/>
        <v/>
      </c>
      <c r="AV209" s="38"/>
      <c r="AW209" s="38"/>
      <c r="AX209" s="38"/>
      <c r="AY209" s="38"/>
      <c r="AZ209" s="29">
        <v>1000.0</v>
      </c>
      <c r="BA209" s="29"/>
      <c r="BB209" s="29">
        <v>1.0</v>
      </c>
      <c r="BC209" s="29" t="s">
        <v>642</v>
      </c>
      <c r="BD209" s="29"/>
      <c r="BE209" s="29"/>
      <c r="BF209" s="29" t="s">
        <v>643</v>
      </c>
      <c r="BG209" s="29" t="s">
        <v>644</v>
      </c>
      <c r="BH209" s="29" t="s">
        <v>92</v>
      </c>
      <c r="BI209" s="29" t="s">
        <v>645</v>
      </c>
      <c r="BJ209" s="29"/>
      <c r="BK209" s="29" t="s">
        <v>148</v>
      </c>
      <c r="BL209" s="29"/>
      <c r="BM209" s="45"/>
      <c r="BN209" s="45"/>
      <c r="BO209" s="46"/>
      <c r="BP209" s="2"/>
      <c r="BQ209" s="3"/>
    </row>
    <row r="210">
      <c r="A210" s="34">
        <v>210.0</v>
      </c>
      <c r="B210" s="34">
        <v>102890.0</v>
      </c>
      <c r="C210" s="34" t="s">
        <v>76</v>
      </c>
      <c r="D210" s="34" t="s">
        <v>626</v>
      </c>
      <c r="E210" s="34" t="s">
        <v>627</v>
      </c>
      <c r="F210" s="34">
        <v>2019.0</v>
      </c>
      <c r="G210" s="34" t="s">
        <v>628</v>
      </c>
      <c r="H210" s="34" t="s">
        <v>578</v>
      </c>
      <c r="I210" s="34" t="s">
        <v>629</v>
      </c>
      <c r="J210" s="35"/>
      <c r="K210" s="36"/>
      <c r="L210" s="36"/>
      <c r="M210" s="36"/>
      <c r="N210" s="36"/>
      <c r="O210" s="36"/>
      <c r="P210" s="37">
        <v>4.0</v>
      </c>
      <c r="Q210" s="36"/>
      <c r="R210" s="36" t="s">
        <v>96</v>
      </c>
      <c r="S210" s="36">
        <v>3000.0</v>
      </c>
      <c r="T210" s="36"/>
      <c r="U210" s="36"/>
      <c r="V210" s="36"/>
      <c r="W210" s="36"/>
      <c r="X210" s="38" t="s">
        <v>630</v>
      </c>
      <c r="Y210" s="38" t="s">
        <v>631</v>
      </c>
      <c r="Z210" s="38"/>
      <c r="AA210" s="38" t="s">
        <v>636</v>
      </c>
      <c r="AB210" s="38"/>
      <c r="AC210" s="38"/>
      <c r="AD210" s="53" t="s">
        <v>198</v>
      </c>
      <c r="AE210" s="38"/>
      <c r="AF210" s="38"/>
      <c r="AG210" s="38"/>
      <c r="AH210" s="38"/>
      <c r="AI210" s="50"/>
      <c r="AJ210" s="50"/>
      <c r="AK210" s="41"/>
      <c r="AL210" s="40"/>
      <c r="AM210" s="49"/>
      <c r="AN210" s="43"/>
      <c r="AO210" s="42"/>
      <c r="AP210" s="43"/>
      <c r="AQ210" s="44" t="str">
        <f t="shared" si="26"/>
        <v>DNF</v>
      </c>
      <c r="AR210" s="44" t="str">
        <f t="shared" si="3"/>
        <v/>
      </c>
      <c r="AS210" s="44"/>
      <c r="AT210" s="44" t="str">
        <f t="shared" si="17"/>
        <v/>
      </c>
      <c r="AU210" s="44" t="str">
        <f t="shared" si="2"/>
        <v/>
      </c>
      <c r="AV210" s="38"/>
      <c r="AW210" s="38"/>
      <c r="AX210" s="38"/>
      <c r="AY210" s="38"/>
      <c r="AZ210" s="29">
        <v>1000.0</v>
      </c>
      <c r="BA210" s="29"/>
      <c r="BB210" s="29">
        <v>1.0</v>
      </c>
      <c r="BC210" s="29" t="s">
        <v>642</v>
      </c>
      <c r="BD210" s="29"/>
      <c r="BE210" s="29"/>
      <c r="BF210" s="29" t="s">
        <v>643</v>
      </c>
      <c r="BG210" s="29" t="s">
        <v>644</v>
      </c>
      <c r="BH210" s="29" t="s">
        <v>92</v>
      </c>
      <c r="BI210" s="29" t="s">
        <v>645</v>
      </c>
      <c r="BJ210" s="29"/>
      <c r="BK210" s="29" t="s">
        <v>148</v>
      </c>
      <c r="BL210" s="29"/>
      <c r="BM210" s="45"/>
      <c r="BN210" s="45"/>
      <c r="BO210" s="46"/>
      <c r="BP210" s="2"/>
      <c r="BQ210" s="3"/>
    </row>
    <row r="211">
      <c r="A211" s="34">
        <v>211.0</v>
      </c>
      <c r="B211" s="34">
        <v>102890.0</v>
      </c>
      <c r="C211" s="34" t="s">
        <v>76</v>
      </c>
      <c r="D211" s="34" t="s">
        <v>626</v>
      </c>
      <c r="E211" s="34" t="s">
        <v>627</v>
      </c>
      <c r="F211" s="34">
        <v>2019.0</v>
      </c>
      <c r="G211" s="34" t="s">
        <v>628</v>
      </c>
      <c r="H211" s="34" t="s">
        <v>578</v>
      </c>
      <c r="I211" s="34" t="s">
        <v>629</v>
      </c>
      <c r="J211" s="35"/>
      <c r="K211" s="36"/>
      <c r="L211" s="36"/>
      <c r="M211" s="36"/>
      <c r="N211" s="36"/>
      <c r="O211" s="36"/>
      <c r="P211" s="37">
        <v>7.0</v>
      </c>
      <c r="Q211" s="36"/>
      <c r="R211" s="36" t="s">
        <v>96</v>
      </c>
      <c r="S211" s="36">
        <v>3000.0</v>
      </c>
      <c r="T211" s="36"/>
      <c r="U211" s="36"/>
      <c r="V211" s="36"/>
      <c r="W211" s="36"/>
      <c r="X211" s="38" t="s">
        <v>630</v>
      </c>
      <c r="Y211" s="38" t="s">
        <v>631</v>
      </c>
      <c r="Z211" s="38"/>
      <c r="AA211" s="38" t="s">
        <v>336</v>
      </c>
      <c r="AB211" s="38"/>
      <c r="AC211" s="38"/>
      <c r="AD211" s="53" t="s">
        <v>198</v>
      </c>
      <c r="AE211" s="38"/>
      <c r="AF211" s="38"/>
      <c r="AG211" s="38"/>
      <c r="AH211" s="38"/>
      <c r="AI211" s="50"/>
      <c r="AJ211" s="50"/>
      <c r="AK211" s="41"/>
      <c r="AL211" s="40"/>
      <c r="AM211" s="49"/>
      <c r="AN211" s="43"/>
      <c r="AO211" s="42"/>
      <c r="AP211" s="43"/>
      <c r="AQ211" s="44" t="str">
        <f t="shared" si="26"/>
        <v>EBF</v>
      </c>
      <c r="AR211" s="44" t="str">
        <f t="shared" si="3"/>
        <v/>
      </c>
      <c r="AS211" s="44"/>
      <c r="AT211" s="44" t="str">
        <f t="shared" si="17"/>
        <v/>
      </c>
      <c r="AU211" s="44" t="str">
        <f t="shared" si="2"/>
        <v/>
      </c>
      <c r="AV211" s="38"/>
      <c r="AW211" s="38"/>
      <c r="AX211" s="38"/>
      <c r="AY211" s="38"/>
      <c r="AZ211" s="29">
        <v>1000.0</v>
      </c>
      <c r="BA211" s="29"/>
      <c r="BB211" s="29">
        <v>1.0</v>
      </c>
      <c r="BC211" s="29" t="s">
        <v>642</v>
      </c>
      <c r="BD211" s="29"/>
      <c r="BE211" s="29"/>
      <c r="BF211" s="29" t="s">
        <v>643</v>
      </c>
      <c r="BG211" s="29" t="s">
        <v>644</v>
      </c>
      <c r="BH211" s="29" t="s">
        <v>92</v>
      </c>
      <c r="BI211" s="29" t="s">
        <v>645</v>
      </c>
      <c r="BJ211" s="29"/>
      <c r="BK211" s="29" t="s">
        <v>148</v>
      </c>
      <c r="BL211" s="29"/>
      <c r="BM211" s="45"/>
      <c r="BN211" s="45"/>
      <c r="BO211" s="46"/>
      <c r="BP211" s="2"/>
      <c r="BQ211" s="3"/>
    </row>
    <row r="212">
      <c r="A212" s="34">
        <v>212.0</v>
      </c>
      <c r="B212" s="34">
        <v>102890.0</v>
      </c>
      <c r="C212" s="34" t="s">
        <v>76</v>
      </c>
      <c r="D212" s="34" t="s">
        <v>626</v>
      </c>
      <c r="E212" s="34" t="s">
        <v>627</v>
      </c>
      <c r="F212" s="34">
        <v>2019.0</v>
      </c>
      <c r="G212" s="34" t="s">
        <v>628</v>
      </c>
      <c r="H212" s="34" t="s">
        <v>578</v>
      </c>
      <c r="I212" s="34" t="s">
        <v>629</v>
      </c>
      <c r="J212" s="35"/>
      <c r="K212" s="36"/>
      <c r="L212" s="36"/>
      <c r="M212" s="36"/>
      <c r="N212" s="36"/>
      <c r="O212" s="36"/>
      <c r="P212" s="37">
        <v>1.0</v>
      </c>
      <c r="Q212" s="36"/>
      <c r="R212" s="36" t="s">
        <v>96</v>
      </c>
      <c r="S212" s="36">
        <v>3000.0</v>
      </c>
      <c r="T212" s="36"/>
      <c r="U212" s="36"/>
      <c r="V212" s="36"/>
      <c r="W212" s="36"/>
      <c r="X212" s="38" t="s">
        <v>630</v>
      </c>
      <c r="Y212" s="38" t="s">
        <v>631</v>
      </c>
      <c r="Z212" s="38"/>
      <c r="AA212" s="38" t="s">
        <v>197</v>
      </c>
      <c r="AB212" s="38"/>
      <c r="AC212" s="38"/>
      <c r="AD212" s="53" t="s">
        <v>198</v>
      </c>
      <c r="AE212" s="38"/>
      <c r="AF212" s="38"/>
      <c r="AG212" s="38"/>
      <c r="AH212" s="38"/>
      <c r="AI212" s="50"/>
      <c r="AJ212" s="50"/>
      <c r="AK212" s="41"/>
      <c r="AL212" s="40"/>
      <c r="AM212" s="49"/>
      <c r="AN212" s="43"/>
      <c r="AO212" s="42"/>
      <c r="AP212" s="43"/>
      <c r="AQ212" s="44" t="str">
        <f t="shared" si="26"/>
        <v>ENF</v>
      </c>
      <c r="AR212" s="44" t="str">
        <f t="shared" si="3"/>
        <v/>
      </c>
      <c r="AS212" s="44"/>
      <c r="AT212" s="44" t="str">
        <f t="shared" si="17"/>
        <v/>
      </c>
      <c r="AU212" s="44" t="str">
        <f t="shared" si="2"/>
        <v/>
      </c>
      <c r="AV212" s="38"/>
      <c r="AW212" s="38"/>
      <c r="AX212" s="38"/>
      <c r="AY212" s="38"/>
      <c r="AZ212" s="29">
        <v>1000.0</v>
      </c>
      <c r="BA212" s="29"/>
      <c r="BB212" s="29">
        <v>1.0</v>
      </c>
      <c r="BC212" s="29" t="s">
        <v>642</v>
      </c>
      <c r="BD212" s="29"/>
      <c r="BE212" s="29"/>
      <c r="BF212" s="29" t="s">
        <v>643</v>
      </c>
      <c r="BG212" s="29" t="s">
        <v>644</v>
      </c>
      <c r="BH212" s="29" t="s">
        <v>92</v>
      </c>
      <c r="BI212" s="29" t="s">
        <v>645</v>
      </c>
      <c r="BJ212" s="29"/>
      <c r="BK212" s="29" t="s">
        <v>148</v>
      </c>
      <c r="BL212" s="29"/>
      <c r="BM212" s="45"/>
      <c r="BN212" s="45"/>
      <c r="BO212" s="46"/>
      <c r="BP212" s="2"/>
      <c r="BQ212" s="3"/>
    </row>
    <row r="213">
      <c r="A213" s="34">
        <v>213.0</v>
      </c>
      <c r="B213" s="34">
        <v>102890.0</v>
      </c>
      <c r="C213" s="34" t="s">
        <v>76</v>
      </c>
      <c r="D213" s="34" t="s">
        <v>626</v>
      </c>
      <c r="E213" s="34" t="s">
        <v>627</v>
      </c>
      <c r="F213" s="34">
        <v>2019.0</v>
      </c>
      <c r="G213" s="34" t="s">
        <v>628</v>
      </c>
      <c r="H213" s="34" t="s">
        <v>578</v>
      </c>
      <c r="I213" s="34" t="s">
        <v>629</v>
      </c>
      <c r="J213" s="35"/>
      <c r="K213" s="36"/>
      <c r="L213" s="36"/>
      <c r="M213" s="36"/>
      <c r="N213" s="36"/>
      <c r="O213" s="36"/>
      <c r="P213" s="37">
        <v>2.0</v>
      </c>
      <c r="Q213" s="36"/>
      <c r="R213" s="36" t="s">
        <v>96</v>
      </c>
      <c r="S213" s="36">
        <v>3000.0</v>
      </c>
      <c r="T213" s="36"/>
      <c r="U213" s="36"/>
      <c r="V213" s="36"/>
      <c r="W213" s="36"/>
      <c r="X213" s="38" t="s">
        <v>630</v>
      </c>
      <c r="Y213" s="38" t="s">
        <v>631</v>
      </c>
      <c r="Z213" s="38"/>
      <c r="AA213" s="38" t="s">
        <v>452</v>
      </c>
      <c r="AB213" s="38"/>
      <c r="AC213" s="38"/>
      <c r="AD213" s="53" t="s">
        <v>198</v>
      </c>
      <c r="AE213" s="38"/>
      <c r="AF213" s="38"/>
      <c r="AG213" s="38"/>
      <c r="AH213" s="38"/>
      <c r="AI213" s="50"/>
      <c r="AJ213" s="50"/>
      <c r="AK213" s="41"/>
      <c r="AL213" s="40"/>
      <c r="AM213" s="49"/>
      <c r="AN213" s="43"/>
      <c r="AO213" s="42"/>
      <c r="AP213" s="43"/>
      <c r="AQ213" s="44" t="str">
        <f t="shared" si="26"/>
        <v>MF</v>
      </c>
      <c r="AR213" s="44" t="str">
        <f t="shared" si="3"/>
        <v/>
      </c>
      <c r="AS213" s="44"/>
      <c r="AT213" s="44" t="str">
        <f t="shared" si="17"/>
        <v/>
      </c>
      <c r="AU213" s="44" t="str">
        <f t="shared" si="2"/>
        <v/>
      </c>
      <c r="AV213" s="38"/>
      <c r="AW213" s="38"/>
      <c r="AX213" s="38"/>
      <c r="AY213" s="38"/>
      <c r="AZ213" s="29">
        <v>1000.0</v>
      </c>
      <c r="BA213" s="29"/>
      <c r="BB213" s="29">
        <v>1.0</v>
      </c>
      <c r="BC213" s="29" t="s">
        <v>642</v>
      </c>
      <c r="BD213" s="29"/>
      <c r="BE213" s="29"/>
      <c r="BF213" s="29" t="s">
        <v>643</v>
      </c>
      <c r="BG213" s="29" t="s">
        <v>644</v>
      </c>
      <c r="BH213" s="29" t="s">
        <v>92</v>
      </c>
      <c r="BI213" s="29" t="s">
        <v>645</v>
      </c>
      <c r="BJ213" s="29"/>
      <c r="BK213" s="29" t="s">
        <v>148</v>
      </c>
      <c r="BL213" s="29"/>
      <c r="BM213" s="45"/>
      <c r="BN213" s="45"/>
      <c r="BO213" s="46"/>
      <c r="BP213" s="2"/>
      <c r="BQ213" s="3"/>
    </row>
    <row r="214">
      <c r="A214" s="34">
        <v>214.0</v>
      </c>
      <c r="B214" s="34">
        <v>102890.0</v>
      </c>
      <c r="C214" s="34" t="s">
        <v>76</v>
      </c>
      <c r="D214" s="34" t="s">
        <v>626</v>
      </c>
      <c r="E214" s="34" t="s">
        <v>627</v>
      </c>
      <c r="F214" s="34">
        <v>2019.0</v>
      </c>
      <c r="G214" s="34" t="s">
        <v>628</v>
      </c>
      <c r="H214" s="34" t="s">
        <v>578</v>
      </c>
      <c r="I214" s="34" t="s">
        <v>629</v>
      </c>
      <c r="J214" s="35"/>
      <c r="K214" s="36"/>
      <c r="L214" s="36"/>
      <c r="M214" s="36"/>
      <c r="N214" s="36"/>
      <c r="O214" s="36"/>
      <c r="P214" s="37">
        <v>10.0</v>
      </c>
      <c r="Q214" s="36"/>
      <c r="R214" s="36" t="s">
        <v>96</v>
      </c>
      <c r="S214" s="36">
        <v>3000.0</v>
      </c>
      <c r="T214" s="36"/>
      <c r="U214" s="36"/>
      <c r="V214" s="36"/>
      <c r="W214" s="36"/>
      <c r="X214" s="38" t="s">
        <v>630</v>
      </c>
      <c r="Y214" s="38" t="s">
        <v>631</v>
      </c>
      <c r="Z214" s="38"/>
      <c r="AA214" s="38" t="s">
        <v>288</v>
      </c>
      <c r="AB214" s="38"/>
      <c r="AC214" s="38"/>
      <c r="AD214" s="53" t="s">
        <v>198</v>
      </c>
      <c r="AE214" s="38"/>
      <c r="AF214" s="38"/>
      <c r="AG214" s="38"/>
      <c r="AH214" s="38"/>
      <c r="AI214" s="50"/>
      <c r="AJ214" s="50"/>
      <c r="AK214" s="41"/>
      <c r="AL214" s="40"/>
      <c r="AM214" s="49"/>
      <c r="AN214" s="43"/>
      <c r="AO214" s="42"/>
      <c r="AP214" s="43"/>
      <c r="AQ214" s="44" t="str">
        <f t="shared" si="26"/>
        <v>GRA</v>
      </c>
      <c r="AR214" s="44" t="str">
        <f t="shared" si="3"/>
        <v/>
      </c>
      <c r="AS214" s="44"/>
      <c r="AT214" s="44" t="str">
        <f t="shared" si="17"/>
        <v/>
      </c>
      <c r="AU214" s="44" t="str">
        <f t="shared" si="2"/>
        <v/>
      </c>
      <c r="AV214" s="38"/>
      <c r="AW214" s="38"/>
      <c r="AX214" s="38"/>
      <c r="AY214" s="38"/>
      <c r="AZ214" s="29">
        <v>1000.0</v>
      </c>
      <c r="BA214" s="29"/>
      <c r="BB214" s="29">
        <v>1.0</v>
      </c>
      <c r="BC214" s="29" t="s">
        <v>642</v>
      </c>
      <c r="BD214" s="29"/>
      <c r="BE214" s="29"/>
      <c r="BF214" s="29" t="s">
        <v>643</v>
      </c>
      <c r="BG214" s="29" t="s">
        <v>644</v>
      </c>
      <c r="BH214" s="29" t="s">
        <v>92</v>
      </c>
      <c r="BI214" s="29" t="s">
        <v>645</v>
      </c>
      <c r="BJ214" s="29"/>
      <c r="BK214" s="29" t="s">
        <v>148</v>
      </c>
      <c r="BL214" s="29"/>
      <c r="BM214" s="45"/>
      <c r="BN214" s="45"/>
      <c r="BO214" s="46"/>
      <c r="BP214" s="2"/>
      <c r="BQ214" s="3"/>
    </row>
    <row r="215">
      <c r="A215" s="34">
        <v>215.0</v>
      </c>
      <c r="B215" s="34">
        <v>102890.0</v>
      </c>
      <c r="C215" s="34" t="s">
        <v>76</v>
      </c>
      <c r="D215" s="34" t="s">
        <v>626</v>
      </c>
      <c r="E215" s="34" t="s">
        <v>627</v>
      </c>
      <c r="F215" s="34">
        <v>2019.0</v>
      </c>
      <c r="G215" s="34" t="s">
        <v>628</v>
      </c>
      <c r="H215" s="34" t="s">
        <v>578</v>
      </c>
      <c r="I215" s="34" t="s">
        <v>629</v>
      </c>
      <c r="J215" s="35"/>
      <c r="K215" s="36"/>
      <c r="L215" s="36"/>
      <c r="M215" s="36"/>
      <c r="N215" s="36"/>
      <c r="O215" s="36"/>
      <c r="P215" s="37">
        <v>15.0</v>
      </c>
      <c r="Q215" s="36"/>
      <c r="R215" s="36" t="s">
        <v>96</v>
      </c>
      <c r="S215" s="36">
        <v>3000.0</v>
      </c>
      <c r="T215" s="36"/>
      <c r="U215" s="36"/>
      <c r="V215" s="36"/>
      <c r="W215" s="36"/>
      <c r="X215" s="38" t="s">
        <v>630</v>
      </c>
      <c r="Y215" s="38" t="s">
        <v>631</v>
      </c>
      <c r="Z215" s="38"/>
      <c r="AA215" s="38" t="s">
        <v>637</v>
      </c>
      <c r="AB215" s="38"/>
      <c r="AC215" s="38"/>
      <c r="AD215" s="53" t="s">
        <v>198</v>
      </c>
      <c r="AE215" s="38"/>
      <c r="AF215" s="38"/>
      <c r="AG215" s="38"/>
      <c r="AH215" s="38"/>
      <c r="AI215" s="50"/>
      <c r="AJ215" s="50"/>
      <c r="AK215" s="41"/>
      <c r="AL215" s="40"/>
      <c r="AM215" s="49"/>
      <c r="AN215" s="43"/>
      <c r="AO215" s="42"/>
      <c r="AP215" s="43"/>
      <c r="AQ215" s="44"/>
      <c r="AR215" s="44" t="str">
        <f t="shared" si="3"/>
        <v/>
      </c>
      <c r="AS215" s="44"/>
      <c r="AT215" s="44" t="str">
        <f t="shared" si="17"/>
        <v/>
      </c>
      <c r="AU215" s="44" t="str">
        <f t="shared" si="2"/>
        <v/>
      </c>
      <c r="AV215" s="38"/>
      <c r="AW215" s="38"/>
      <c r="AX215" s="38"/>
      <c r="AY215" s="38"/>
      <c r="AZ215" s="29">
        <v>1000.0</v>
      </c>
      <c r="BA215" s="29"/>
      <c r="BB215" s="29">
        <v>1.0</v>
      </c>
      <c r="BC215" s="29" t="s">
        <v>642</v>
      </c>
      <c r="BD215" s="29"/>
      <c r="BE215" s="29"/>
      <c r="BF215" s="29" t="s">
        <v>643</v>
      </c>
      <c r="BG215" s="29" t="s">
        <v>644</v>
      </c>
      <c r="BH215" s="29" t="s">
        <v>92</v>
      </c>
      <c r="BI215" s="29" t="s">
        <v>645</v>
      </c>
      <c r="BJ215" s="29"/>
      <c r="BK215" s="29" t="s">
        <v>148</v>
      </c>
      <c r="BL215" s="29"/>
      <c r="BM215" s="45"/>
      <c r="BN215" s="45"/>
      <c r="BO215" s="46"/>
      <c r="BP215" s="2"/>
      <c r="BQ215" s="3"/>
    </row>
    <row r="216">
      <c r="A216" s="34">
        <v>216.0</v>
      </c>
      <c r="B216" s="34">
        <v>102890.0</v>
      </c>
      <c r="C216" s="34" t="s">
        <v>76</v>
      </c>
      <c r="D216" s="34" t="s">
        <v>626</v>
      </c>
      <c r="E216" s="34" t="s">
        <v>627</v>
      </c>
      <c r="F216" s="34">
        <v>2019.0</v>
      </c>
      <c r="G216" s="34" t="s">
        <v>628</v>
      </c>
      <c r="H216" s="34" t="s">
        <v>578</v>
      </c>
      <c r="I216" s="34" t="s">
        <v>629</v>
      </c>
      <c r="J216" s="35"/>
      <c r="K216" s="36"/>
      <c r="L216" s="36"/>
      <c r="M216" s="36"/>
      <c r="N216" s="36"/>
      <c r="O216" s="36"/>
      <c r="P216" s="37">
        <v>6.0</v>
      </c>
      <c r="Q216" s="36"/>
      <c r="R216" s="36" t="s">
        <v>96</v>
      </c>
      <c r="S216" s="36">
        <v>3000.0</v>
      </c>
      <c r="T216" s="36"/>
      <c r="U216" s="36"/>
      <c r="V216" s="36"/>
      <c r="W216" s="36"/>
      <c r="X216" s="38">
        <v>22.0</v>
      </c>
      <c r="Y216" s="38" t="s">
        <v>638</v>
      </c>
      <c r="Z216" s="38"/>
      <c r="AA216" s="38" t="s">
        <v>639</v>
      </c>
      <c r="AB216" s="38"/>
      <c r="AC216" s="38"/>
      <c r="AD216" s="53" t="s">
        <v>198</v>
      </c>
      <c r="AE216" s="38"/>
      <c r="AF216" s="38"/>
      <c r="AG216" s="38"/>
      <c r="AH216" s="38"/>
      <c r="AI216" s="50"/>
      <c r="AJ216" s="50"/>
      <c r="AK216" s="41"/>
      <c r="AL216" s="40"/>
      <c r="AM216" s="49"/>
      <c r="AN216" s="43"/>
      <c r="AO216" s="42"/>
      <c r="AP216" s="43"/>
      <c r="AQ216" s="44"/>
      <c r="AR216" s="44" t="str">
        <f t="shared" si="3"/>
        <v/>
      </c>
      <c r="AS216" s="44"/>
      <c r="AT216" s="44" t="str">
        <f t="shared" si="17"/>
        <v/>
      </c>
      <c r="AU216" s="44" t="str">
        <f t="shared" si="2"/>
        <v/>
      </c>
      <c r="AV216" s="38"/>
      <c r="AW216" s="38"/>
      <c r="AX216" s="38"/>
      <c r="AY216" s="38"/>
      <c r="AZ216" s="29">
        <v>1000.0</v>
      </c>
      <c r="BA216" s="29"/>
      <c r="BB216" s="29">
        <v>1.0</v>
      </c>
      <c r="BC216" s="29" t="s">
        <v>642</v>
      </c>
      <c r="BD216" s="29"/>
      <c r="BE216" s="29"/>
      <c r="BF216" s="29" t="s">
        <v>643</v>
      </c>
      <c r="BG216" s="29" t="s">
        <v>644</v>
      </c>
      <c r="BH216" s="29" t="s">
        <v>92</v>
      </c>
      <c r="BI216" s="29" t="s">
        <v>645</v>
      </c>
      <c r="BJ216" s="29"/>
      <c r="BK216" s="29" t="s">
        <v>148</v>
      </c>
      <c r="BL216" s="29"/>
      <c r="BM216" s="45"/>
      <c r="BN216" s="45"/>
      <c r="BO216" s="46"/>
      <c r="BP216" s="2"/>
      <c r="BQ216" s="3"/>
    </row>
    <row r="217">
      <c r="A217" s="34">
        <v>217.0</v>
      </c>
      <c r="B217" s="34">
        <v>102890.0</v>
      </c>
      <c r="C217" s="34" t="s">
        <v>76</v>
      </c>
      <c r="D217" s="34" t="s">
        <v>626</v>
      </c>
      <c r="E217" s="34" t="s">
        <v>627</v>
      </c>
      <c r="F217" s="34">
        <v>2019.0</v>
      </c>
      <c r="G217" s="34" t="s">
        <v>628</v>
      </c>
      <c r="H217" s="34" t="s">
        <v>578</v>
      </c>
      <c r="I217" s="34" t="s">
        <v>629</v>
      </c>
      <c r="J217" s="35"/>
      <c r="K217" s="36"/>
      <c r="L217" s="36"/>
      <c r="M217" s="36"/>
      <c r="N217" s="36"/>
      <c r="O217" s="36"/>
      <c r="P217" s="37">
        <v>10.0</v>
      </c>
      <c r="Q217" s="36"/>
      <c r="R217" s="36" t="s">
        <v>96</v>
      </c>
      <c r="S217" s="36">
        <v>3000.0</v>
      </c>
      <c r="T217" s="36"/>
      <c r="U217" s="36"/>
      <c r="V217" s="36"/>
      <c r="W217" s="36"/>
      <c r="X217" s="38" t="s">
        <v>630</v>
      </c>
      <c r="Y217" s="38" t="s">
        <v>631</v>
      </c>
      <c r="Z217" s="38"/>
      <c r="AA217" s="38" t="s">
        <v>86</v>
      </c>
      <c r="AB217" s="38"/>
      <c r="AC217" s="38"/>
      <c r="AD217" s="53" t="s">
        <v>198</v>
      </c>
      <c r="AE217" s="38"/>
      <c r="AF217" s="38"/>
      <c r="AG217" s="38"/>
      <c r="AH217" s="38"/>
      <c r="AI217" s="50"/>
      <c r="AJ217" s="50"/>
      <c r="AK217" s="41"/>
      <c r="AL217" s="40"/>
      <c r="AM217" s="49"/>
      <c r="AN217" s="43"/>
      <c r="AO217" s="42"/>
      <c r="AP217" s="43"/>
      <c r="AQ217" s="44" t="str">
        <f t="shared" ref="AQ217:AQ223" si="27">AA217</f>
        <v>CRO</v>
      </c>
      <c r="AR217" s="44" t="str">
        <f t="shared" si="3"/>
        <v/>
      </c>
      <c r="AS217" s="44"/>
      <c r="AT217" s="44" t="str">
        <f t="shared" si="17"/>
        <v/>
      </c>
      <c r="AU217" s="44" t="str">
        <f t="shared" si="2"/>
        <v/>
      </c>
      <c r="AV217" s="38"/>
      <c r="AW217" s="38"/>
      <c r="AX217" s="38"/>
      <c r="AY217" s="38"/>
      <c r="AZ217" s="29">
        <v>1000.0</v>
      </c>
      <c r="BA217" s="29"/>
      <c r="BB217" s="29">
        <v>1.0</v>
      </c>
      <c r="BC217" s="29" t="s">
        <v>646</v>
      </c>
      <c r="BD217" s="29"/>
      <c r="BE217" s="29"/>
      <c r="BF217" s="29" t="s">
        <v>643</v>
      </c>
      <c r="BG217" s="29" t="s">
        <v>644</v>
      </c>
      <c r="BH217" s="29" t="s">
        <v>92</v>
      </c>
      <c r="BI217" s="29" t="s">
        <v>645</v>
      </c>
      <c r="BJ217" s="29"/>
      <c r="BK217" s="29" t="s">
        <v>148</v>
      </c>
      <c r="BL217" s="29"/>
      <c r="BM217" s="45"/>
      <c r="BN217" s="45"/>
      <c r="BO217" s="46"/>
      <c r="BP217" s="2"/>
      <c r="BQ217" s="3"/>
    </row>
    <row r="218">
      <c r="A218" s="34">
        <v>218.0</v>
      </c>
      <c r="B218" s="34">
        <v>102890.0</v>
      </c>
      <c r="C218" s="34" t="s">
        <v>76</v>
      </c>
      <c r="D218" s="34" t="s">
        <v>626</v>
      </c>
      <c r="E218" s="34" t="s">
        <v>627</v>
      </c>
      <c r="F218" s="34">
        <v>2019.0</v>
      </c>
      <c r="G218" s="34" t="s">
        <v>628</v>
      </c>
      <c r="H218" s="34" t="s">
        <v>578</v>
      </c>
      <c r="I218" s="34" t="s">
        <v>629</v>
      </c>
      <c r="J218" s="35"/>
      <c r="K218" s="36"/>
      <c r="L218" s="36"/>
      <c r="M218" s="36"/>
      <c r="N218" s="36"/>
      <c r="O218" s="36"/>
      <c r="P218" s="37">
        <v>25.0</v>
      </c>
      <c r="Q218" s="36"/>
      <c r="R218" s="36" t="s">
        <v>96</v>
      </c>
      <c r="S218" s="36">
        <v>3000.0</v>
      </c>
      <c r="T218" s="36"/>
      <c r="U218" s="36"/>
      <c r="V218" s="36"/>
      <c r="W218" s="36"/>
      <c r="X218" s="38" t="s">
        <v>630</v>
      </c>
      <c r="Y218" s="38" t="s">
        <v>631</v>
      </c>
      <c r="Z218" s="38"/>
      <c r="AA218" s="38" t="s">
        <v>370</v>
      </c>
      <c r="AB218" s="38"/>
      <c r="AC218" s="38"/>
      <c r="AD218" s="53" t="s">
        <v>198</v>
      </c>
      <c r="AE218" s="38"/>
      <c r="AF218" s="38"/>
      <c r="AG218" s="38"/>
      <c r="AH218" s="38"/>
      <c r="AI218" s="50"/>
      <c r="AJ218" s="50"/>
      <c r="AK218" s="41"/>
      <c r="AL218" s="40"/>
      <c r="AM218" s="49"/>
      <c r="AN218" s="43"/>
      <c r="AO218" s="42"/>
      <c r="AP218" s="43"/>
      <c r="AQ218" s="44" t="str">
        <f t="shared" si="27"/>
        <v>DBF</v>
      </c>
      <c r="AR218" s="44" t="str">
        <f t="shared" si="3"/>
        <v/>
      </c>
      <c r="AS218" s="44"/>
      <c r="AT218" s="44" t="str">
        <f t="shared" si="17"/>
        <v/>
      </c>
      <c r="AU218" s="44" t="str">
        <f t="shared" si="2"/>
        <v/>
      </c>
      <c r="AV218" s="38"/>
      <c r="AW218" s="38"/>
      <c r="AX218" s="38"/>
      <c r="AY218" s="38"/>
      <c r="AZ218" s="29">
        <v>1000.0</v>
      </c>
      <c r="BA218" s="29"/>
      <c r="BB218" s="29">
        <v>1.0</v>
      </c>
      <c r="BC218" s="29" t="s">
        <v>646</v>
      </c>
      <c r="BD218" s="29"/>
      <c r="BE218" s="29"/>
      <c r="BF218" s="29" t="s">
        <v>643</v>
      </c>
      <c r="BG218" s="29" t="s">
        <v>644</v>
      </c>
      <c r="BH218" s="29" t="s">
        <v>92</v>
      </c>
      <c r="BI218" s="29" t="s">
        <v>645</v>
      </c>
      <c r="BJ218" s="29"/>
      <c r="BK218" s="29" t="s">
        <v>148</v>
      </c>
      <c r="BL218" s="29"/>
      <c r="BM218" s="45"/>
      <c r="BN218" s="45"/>
      <c r="BO218" s="46"/>
      <c r="BP218" s="2"/>
      <c r="BQ218" s="3"/>
    </row>
    <row r="219">
      <c r="A219" s="34">
        <v>219.0</v>
      </c>
      <c r="B219" s="34">
        <v>102890.0</v>
      </c>
      <c r="C219" s="34" t="s">
        <v>76</v>
      </c>
      <c r="D219" s="34" t="s">
        <v>626</v>
      </c>
      <c r="E219" s="34" t="s">
        <v>627</v>
      </c>
      <c r="F219" s="34">
        <v>2019.0</v>
      </c>
      <c r="G219" s="34" t="s">
        <v>628</v>
      </c>
      <c r="H219" s="34" t="s">
        <v>578</v>
      </c>
      <c r="I219" s="34" t="s">
        <v>629</v>
      </c>
      <c r="J219" s="35"/>
      <c r="K219" s="36"/>
      <c r="L219" s="36"/>
      <c r="M219" s="36"/>
      <c r="N219" s="36"/>
      <c r="O219" s="36"/>
      <c r="P219" s="37">
        <v>7.0</v>
      </c>
      <c r="Q219" s="36"/>
      <c r="R219" s="36" t="s">
        <v>96</v>
      </c>
      <c r="S219" s="36">
        <v>3000.0</v>
      </c>
      <c r="T219" s="36"/>
      <c r="U219" s="36"/>
      <c r="V219" s="36"/>
      <c r="W219" s="36"/>
      <c r="X219" s="38" t="s">
        <v>630</v>
      </c>
      <c r="Y219" s="38" t="s">
        <v>631</v>
      </c>
      <c r="Z219" s="38"/>
      <c r="AA219" s="38" t="s">
        <v>636</v>
      </c>
      <c r="AB219" s="38"/>
      <c r="AC219" s="38"/>
      <c r="AD219" s="53" t="s">
        <v>198</v>
      </c>
      <c r="AE219" s="38"/>
      <c r="AF219" s="38"/>
      <c r="AG219" s="38"/>
      <c r="AH219" s="38"/>
      <c r="AI219" s="50"/>
      <c r="AJ219" s="50"/>
      <c r="AK219" s="41"/>
      <c r="AL219" s="40"/>
      <c r="AM219" s="49"/>
      <c r="AN219" s="43"/>
      <c r="AO219" s="42"/>
      <c r="AP219" s="43"/>
      <c r="AQ219" s="44" t="str">
        <f t="shared" si="27"/>
        <v>DNF</v>
      </c>
      <c r="AR219" s="44" t="str">
        <f t="shared" si="3"/>
        <v/>
      </c>
      <c r="AS219" s="44"/>
      <c r="AT219" s="44" t="str">
        <f t="shared" si="17"/>
        <v/>
      </c>
      <c r="AU219" s="44" t="str">
        <f t="shared" si="2"/>
        <v/>
      </c>
      <c r="AV219" s="38"/>
      <c r="AW219" s="38"/>
      <c r="AX219" s="38"/>
      <c r="AY219" s="38"/>
      <c r="AZ219" s="29">
        <v>1000.0</v>
      </c>
      <c r="BA219" s="29"/>
      <c r="BB219" s="29">
        <v>1.0</v>
      </c>
      <c r="BC219" s="29" t="s">
        <v>646</v>
      </c>
      <c r="BD219" s="29"/>
      <c r="BE219" s="29"/>
      <c r="BF219" s="29" t="s">
        <v>643</v>
      </c>
      <c r="BG219" s="29" t="s">
        <v>644</v>
      </c>
      <c r="BH219" s="29" t="s">
        <v>92</v>
      </c>
      <c r="BI219" s="29" t="s">
        <v>645</v>
      </c>
      <c r="BJ219" s="29"/>
      <c r="BK219" s="29" t="s">
        <v>148</v>
      </c>
      <c r="BL219" s="29"/>
      <c r="BM219" s="45"/>
      <c r="BN219" s="45"/>
      <c r="BO219" s="46"/>
      <c r="BP219" s="2"/>
      <c r="BQ219" s="3"/>
    </row>
    <row r="220">
      <c r="A220" s="34">
        <v>220.0</v>
      </c>
      <c r="B220" s="34">
        <v>102890.0</v>
      </c>
      <c r="C220" s="34" t="s">
        <v>76</v>
      </c>
      <c r="D220" s="34" t="s">
        <v>626</v>
      </c>
      <c r="E220" s="34" t="s">
        <v>627</v>
      </c>
      <c r="F220" s="34">
        <v>2019.0</v>
      </c>
      <c r="G220" s="34" t="s">
        <v>628</v>
      </c>
      <c r="H220" s="34" t="s">
        <v>578</v>
      </c>
      <c r="I220" s="34" t="s">
        <v>629</v>
      </c>
      <c r="J220" s="35"/>
      <c r="K220" s="36"/>
      <c r="L220" s="36"/>
      <c r="M220" s="36"/>
      <c r="N220" s="36"/>
      <c r="O220" s="36"/>
      <c r="P220" s="37">
        <v>24.0</v>
      </c>
      <c r="Q220" s="36"/>
      <c r="R220" s="36" t="s">
        <v>96</v>
      </c>
      <c r="S220" s="36">
        <v>3000.0</v>
      </c>
      <c r="T220" s="36"/>
      <c r="U220" s="36"/>
      <c r="V220" s="36"/>
      <c r="W220" s="36"/>
      <c r="X220" s="38" t="s">
        <v>630</v>
      </c>
      <c r="Y220" s="38" t="s">
        <v>631</v>
      </c>
      <c r="Z220" s="38"/>
      <c r="AA220" s="38" t="s">
        <v>336</v>
      </c>
      <c r="AB220" s="38"/>
      <c r="AC220" s="38"/>
      <c r="AD220" s="53" t="s">
        <v>198</v>
      </c>
      <c r="AE220" s="38"/>
      <c r="AF220" s="38"/>
      <c r="AG220" s="38"/>
      <c r="AH220" s="38"/>
      <c r="AI220" s="50"/>
      <c r="AJ220" s="50"/>
      <c r="AK220" s="41"/>
      <c r="AL220" s="40"/>
      <c r="AM220" s="49"/>
      <c r="AN220" s="43"/>
      <c r="AO220" s="42"/>
      <c r="AP220" s="43"/>
      <c r="AQ220" s="44" t="str">
        <f t="shared" si="27"/>
        <v>EBF</v>
      </c>
      <c r="AR220" s="44" t="str">
        <f t="shared" si="3"/>
        <v/>
      </c>
      <c r="AS220" s="44"/>
      <c r="AT220" s="44" t="str">
        <f t="shared" si="17"/>
        <v/>
      </c>
      <c r="AU220" s="44" t="str">
        <f t="shared" si="2"/>
        <v/>
      </c>
      <c r="AV220" s="38"/>
      <c r="AW220" s="38"/>
      <c r="AX220" s="38"/>
      <c r="AY220" s="38"/>
      <c r="AZ220" s="29">
        <v>1000.0</v>
      </c>
      <c r="BA220" s="29"/>
      <c r="BB220" s="29">
        <v>1.0</v>
      </c>
      <c r="BC220" s="29" t="s">
        <v>646</v>
      </c>
      <c r="BD220" s="29"/>
      <c r="BE220" s="29"/>
      <c r="BF220" s="29" t="s">
        <v>643</v>
      </c>
      <c r="BG220" s="29" t="s">
        <v>644</v>
      </c>
      <c r="BH220" s="29" t="s">
        <v>92</v>
      </c>
      <c r="BI220" s="29" t="s">
        <v>645</v>
      </c>
      <c r="BJ220" s="29"/>
      <c r="BK220" s="29" t="s">
        <v>148</v>
      </c>
      <c r="BL220" s="29"/>
      <c r="BM220" s="45"/>
      <c r="BN220" s="45"/>
      <c r="BO220" s="46"/>
      <c r="BP220" s="2"/>
      <c r="BQ220" s="3"/>
    </row>
    <row r="221">
      <c r="A221" s="34">
        <v>221.0</v>
      </c>
      <c r="B221" s="34">
        <v>102890.0</v>
      </c>
      <c r="C221" s="34" t="s">
        <v>76</v>
      </c>
      <c r="D221" s="34" t="s">
        <v>626</v>
      </c>
      <c r="E221" s="34" t="s">
        <v>627</v>
      </c>
      <c r="F221" s="34">
        <v>2019.0</v>
      </c>
      <c r="G221" s="34" t="s">
        <v>628</v>
      </c>
      <c r="H221" s="34" t="s">
        <v>578</v>
      </c>
      <c r="I221" s="34" t="s">
        <v>629</v>
      </c>
      <c r="J221" s="35"/>
      <c r="K221" s="36"/>
      <c r="L221" s="36"/>
      <c r="M221" s="36"/>
      <c r="N221" s="36"/>
      <c r="O221" s="36"/>
      <c r="P221" s="37">
        <v>8.0</v>
      </c>
      <c r="Q221" s="36"/>
      <c r="R221" s="36" t="s">
        <v>96</v>
      </c>
      <c r="S221" s="36">
        <v>3000.0</v>
      </c>
      <c r="T221" s="36"/>
      <c r="U221" s="36"/>
      <c r="V221" s="36"/>
      <c r="W221" s="36"/>
      <c r="X221" s="38" t="s">
        <v>630</v>
      </c>
      <c r="Y221" s="38" t="s">
        <v>631</v>
      </c>
      <c r="Z221" s="38"/>
      <c r="AA221" s="38" t="s">
        <v>197</v>
      </c>
      <c r="AB221" s="38"/>
      <c r="AC221" s="38"/>
      <c r="AD221" s="53" t="s">
        <v>198</v>
      </c>
      <c r="AE221" s="38"/>
      <c r="AF221" s="38"/>
      <c r="AG221" s="38"/>
      <c r="AH221" s="38"/>
      <c r="AI221" s="50"/>
      <c r="AJ221" s="50"/>
      <c r="AK221" s="41"/>
      <c r="AL221" s="40"/>
      <c r="AM221" s="49"/>
      <c r="AN221" s="43"/>
      <c r="AO221" s="42"/>
      <c r="AP221" s="43"/>
      <c r="AQ221" s="44" t="str">
        <f t="shared" si="27"/>
        <v>ENF</v>
      </c>
      <c r="AR221" s="44" t="str">
        <f t="shared" si="3"/>
        <v/>
      </c>
      <c r="AS221" s="44"/>
      <c r="AT221" s="44" t="str">
        <f t="shared" si="17"/>
        <v/>
      </c>
      <c r="AU221" s="44" t="str">
        <f t="shared" si="2"/>
        <v/>
      </c>
      <c r="AV221" s="38"/>
      <c r="AW221" s="38"/>
      <c r="AX221" s="38"/>
      <c r="AY221" s="38"/>
      <c r="AZ221" s="29">
        <v>1000.0</v>
      </c>
      <c r="BA221" s="29"/>
      <c r="BB221" s="29">
        <v>1.0</v>
      </c>
      <c r="BC221" s="29" t="s">
        <v>646</v>
      </c>
      <c r="BD221" s="29"/>
      <c r="BE221" s="29"/>
      <c r="BF221" s="29" t="s">
        <v>643</v>
      </c>
      <c r="BG221" s="29" t="s">
        <v>644</v>
      </c>
      <c r="BH221" s="29" t="s">
        <v>92</v>
      </c>
      <c r="BI221" s="29" t="s">
        <v>645</v>
      </c>
      <c r="BJ221" s="29"/>
      <c r="BK221" s="29" t="s">
        <v>148</v>
      </c>
      <c r="BL221" s="29"/>
      <c r="BM221" s="45"/>
      <c r="BN221" s="45"/>
      <c r="BO221" s="46"/>
      <c r="BP221" s="2"/>
      <c r="BQ221" s="3"/>
    </row>
    <row r="222">
      <c r="A222" s="34">
        <v>222.0</v>
      </c>
      <c r="B222" s="34">
        <v>102890.0</v>
      </c>
      <c r="C222" s="34" t="s">
        <v>76</v>
      </c>
      <c r="D222" s="34" t="s">
        <v>626</v>
      </c>
      <c r="E222" s="34" t="s">
        <v>627</v>
      </c>
      <c r="F222" s="34">
        <v>2019.0</v>
      </c>
      <c r="G222" s="34" t="s">
        <v>628</v>
      </c>
      <c r="H222" s="34" t="s">
        <v>578</v>
      </c>
      <c r="I222" s="34" t="s">
        <v>629</v>
      </c>
      <c r="J222" s="35"/>
      <c r="K222" s="36"/>
      <c r="L222" s="36"/>
      <c r="M222" s="36"/>
      <c r="N222" s="36"/>
      <c r="O222" s="36"/>
      <c r="P222" s="37">
        <v>9.0</v>
      </c>
      <c r="Q222" s="36"/>
      <c r="R222" s="36" t="s">
        <v>96</v>
      </c>
      <c r="S222" s="36">
        <v>3000.0</v>
      </c>
      <c r="T222" s="36"/>
      <c r="U222" s="36"/>
      <c r="V222" s="36"/>
      <c r="W222" s="36"/>
      <c r="X222" s="38" t="s">
        <v>630</v>
      </c>
      <c r="Y222" s="38" t="s">
        <v>631</v>
      </c>
      <c r="Z222" s="38"/>
      <c r="AA222" s="38" t="s">
        <v>452</v>
      </c>
      <c r="AB222" s="38"/>
      <c r="AC222" s="38"/>
      <c r="AD222" s="53" t="s">
        <v>198</v>
      </c>
      <c r="AE222" s="38"/>
      <c r="AF222" s="38"/>
      <c r="AG222" s="38"/>
      <c r="AH222" s="38"/>
      <c r="AI222" s="50"/>
      <c r="AJ222" s="50"/>
      <c r="AK222" s="41"/>
      <c r="AL222" s="40"/>
      <c r="AM222" s="49"/>
      <c r="AN222" s="43"/>
      <c r="AO222" s="42"/>
      <c r="AP222" s="43"/>
      <c r="AQ222" s="44" t="str">
        <f t="shared" si="27"/>
        <v>MF</v>
      </c>
      <c r="AR222" s="44" t="str">
        <f t="shared" si="3"/>
        <v/>
      </c>
      <c r="AS222" s="44"/>
      <c r="AT222" s="44" t="str">
        <f t="shared" si="17"/>
        <v/>
      </c>
      <c r="AU222" s="44" t="str">
        <f t="shared" si="2"/>
        <v/>
      </c>
      <c r="AV222" s="38"/>
      <c r="AW222" s="38"/>
      <c r="AX222" s="38"/>
      <c r="AY222" s="38"/>
      <c r="AZ222" s="29">
        <v>1000.0</v>
      </c>
      <c r="BA222" s="29"/>
      <c r="BB222" s="29">
        <v>1.0</v>
      </c>
      <c r="BC222" s="29" t="s">
        <v>646</v>
      </c>
      <c r="BD222" s="29"/>
      <c r="BE222" s="29"/>
      <c r="BF222" s="29" t="s">
        <v>643</v>
      </c>
      <c r="BG222" s="29" t="s">
        <v>644</v>
      </c>
      <c r="BH222" s="29" t="s">
        <v>92</v>
      </c>
      <c r="BI222" s="29" t="s">
        <v>645</v>
      </c>
      <c r="BJ222" s="29"/>
      <c r="BK222" s="29" t="s">
        <v>148</v>
      </c>
      <c r="BL222" s="29"/>
      <c r="BM222" s="45"/>
      <c r="BN222" s="45"/>
      <c r="BO222" s="46"/>
      <c r="BP222" s="2"/>
      <c r="BQ222" s="3"/>
    </row>
    <row r="223">
      <c r="A223" s="34">
        <v>223.0</v>
      </c>
      <c r="B223" s="34">
        <v>102890.0</v>
      </c>
      <c r="C223" s="34" t="s">
        <v>76</v>
      </c>
      <c r="D223" s="34" t="s">
        <v>626</v>
      </c>
      <c r="E223" s="34" t="s">
        <v>627</v>
      </c>
      <c r="F223" s="34">
        <v>2019.0</v>
      </c>
      <c r="G223" s="34" t="s">
        <v>628</v>
      </c>
      <c r="H223" s="34" t="s">
        <v>578</v>
      </c>
      <c r="I223" s="34" t="s">
        <v>629</v>
      </c>
      <c r="J223" s="35"/>
      <c r="K223" s="36"/>
      <c r="L223" s="36"/>
      <c r="M223" s="36"/>
      <c r="N223" s="36"/>
      <c r="O223" s="36"/>
      <c r="P223" s="37">
        <v>9.0</v>
      </c>
      <c r="Q223" s="36"/>
      <c r="R223" s="36" t="s">
        <v>96</v>
      </c>
      <c r="S223" s="36">
        <v>3000.0</v>
      </c>
      <c r="T223" s="36"/>
      <c r="U223" s="36"/>
      <c r="V223" s="36"/>
      <c r="W223" s="36"/>
      <c r="X223" s="38" t="s">
        <v>630</v>
      </c>
      <c r="Y223" s="38" t="s">
        <v>631</v>
      </c>
      <c r="Z223" s="38"/>
      <c r="AA223" s="38" t="s">
        <v>288</v>
      </c>
      <c r="AB223" s="38"/>
      <c r="AC223" s="38"/>
      <c r="AD223" s="53" t="s">
        <v>198</v>
      </c>
      <c r="AE223" s="38"/>
      <c r="AF223" s="38"/>
      <c r="AG223" s="38"/>
      <c r="AH223" s="38"/>
      <c r="AI223" s="50"/>
      <c r="AJ223" s="50"/>
      <c r="AK223" s="41"/>
      <c r="AL223" s="40"/>
      <c r="AM223" s="49"/>
      <c r="AN223" s="43"/>
      <c r="AO223" s="42"/>
      <c r="AP223" s="43"/>
      <c r="AQ223" s="44" t="str">
        <f t="shared" si="27"/>
        <v>GRA</v>
      </c>
      <c r="AR223" s="44" t="str">
        <f t="shared" si="3"/>
        <v/>
      </c>
      <c r="AS223" s="44"/>
      <c r="AT223" s="44" t="str">
        <f t="shared" si="17"/>
        <v/>
      </c>
      <c r="AU223" s="44" t="str">
        <f t="shared" si="2"/>
        <v/>
      </c>
      <c r="AV223" s="38"/>
      <c r="AW223" s="38"/>
      <c r="AX223" s="38"/>
      <c r="AY223" s="38"/>
      <c r="AZ223" s="29">
        <v>1000.0</v>
      </c>
      <c r="BA223" s="29"/>
      <c r="BB223" s="29">
        <v>1.0</v>
      </c>
      <c r="BC223" s="29" t="s">
        <v>646</v>
      </c>
      <c r="BD223" s="29"/>
      <c r="BE223" s="29"/>
      <c r="BF223" s="29" t="s">
        <v>643</v>
      </c>
      <c r="BG223" s="29" t="s">
        <v>644</v>
      </c>
      <c r="BH223" s="29" t="s">
        <v>92</v>
      </c>
      <c r="BI223" s="29" t="s">
        <v>645</v>
      </c>
      <c r="BJ223" s="29"/>
      <c r="BK223" s="29" t="s">
        <v>148</v>
      </c>
      <c r="BL223" s="29"/>
      <c r="BM223" s="45"/>
      <c r="BN223" s="45"/>
      <c r="BO223" s="46"/>
      <c r="BP223" s="2"/>
      <c r="BQ223" s="3"/>
    </row>
    <row r="224">
      <c r="A224" s="34">
        <v>224.0</v>
      </c>
      <c r="B224" s="34">
        <v>102890.0</v>
      </c>
      <c r="C224" s="34" t="s">
        <v>76</v>
      </c>
      <c r="D224" s="34" t="s">
        <v>626</v>
      </c>
      <c r="E224" s="34" t="s">
        <v>627</v>
      </c>
      <c r="F224" s="34">
        <v>2019.0</v>
      </c>
      <c r="G224" s="34" t="s">
        <v>628</v>
      </c>
      <c r="H224" s="34" t="s">
        <v>578</v>
      </c>
      <c r="I224" s="34" t="s">
        <v>629</v>
      </c>
      <c r="J224" s="35"/>
      <c r="K224" s="36"/>
      <c r="L224" s="36"/>
      <c r="M224" s="36"/>
      <c r="N224" s="36"/>
      <c r="O224" s="36"/>
      <c r="P224" s="37">
        <v>10.0</v>
      </c>
      <c r="Q224" s="36"/>
      <c r="R224" s="36" t="s">
        <v>96</v>
      </c>
      <c r="S224" s="36">
        <v>3000.0</v>
      </c>
      <c r="T224" s="36"/>
      <c r="U224" s="36"/>
      <c r="V224" s="36"/>
      <c r="W224" s="36"/>
      <c r="X224" s="38" t="s">
        <v>630</v>
      </c>
      <c r="Y224" s="38" t="s">
        <v>631</v>
      </c>
      <c r="Z224" s="38"/>
      <c r="AA224" s="38" t="s">
        <v>637</v>
      </c>
      <c r="AB224" s="38"/>
      <c r="AC224" s="38"/>
      <c r="AD224" s="53" t="s">
        <v>198</v>
      </c>
      <c r="AE224" s="38"/>
      <c r="AF224" s="38"/>
      <c r="AG224" s="38"/>
      <c r="AH224" s="38"/>
      <c r="AI224" s="50"/>
      <c r="AJ224" s="50"/>
      <c r="AK224" s="41"/>
      <c r="AL224" s="40"/>
      <c r="AM224" s="49"/>
      <c r="AN224" s="43"/>
      <c r="AO224" s="42"/>
      <c r="AP224" s="43"/>
      <c r="AQ224" s="44"/>
      <c r="AR224" s="44" t="str">
        <f t="shared" si="3"/>
        <v/>
      </c>
      <c r="AS224" s="44"/>
      <c r="AT224" s="44" t="str">
        <f t="shared" si="17"/>
        <v/>
      </c>
      <c r="AU224" s="44" t="str">
        <f t="shared" si="2"/>
        <v/>
      </c>
      <c r="AV224" s="38"/>
      <c r="AW224" s="38"/>
      <c r="AX224" s="38"/>
      <c r="AY224" s="38"/>
      <c r="AZ224" s="29">
        <v>1000.0</v>
      </c>
      <c r="BA224" s="29"/>
      <c r="BB224" s="29">
        <v>1.0</v>
      </c>
      <c r="BC224" s="29" t="s">
        <v>646</v>
      </c>
      <c r="BD224" s="29"/>
      <c r="BE224" s="29"/>
      <c r="BF224" s="29" t="s">
        <v>643</v>
      </c>
      <c r="BG224" s="29" t="s">
        <v>644</v>
      </c>
      <c r="BH224" s="29" t="s">
        <v>92</v>
      </c>
      <c r="BI224" s="29" t="s">
        <v>645</v>
      </c>
      <c r="BJ224" s="29"/>
      <c r="BK224" s="29" t="s">
        <v>148</v>
      </c>
      <c r="BL224" s="29"/>
      <c r="BM224" s="45"/>
      <c r="BN224" s="45"/>
      <c r="BO224" s="46"/>
      <c r="BP224" s="2"/>
      <c r="BQ224" s="3"/>
    </row>
    <row r="225">
      <c r="A225" s="34">
        <v>225.0</v>
      </c>
      <c r="B225" s="34">
        <v>102890.0</v>
      </c>
      <c r="C225" s="34" t="s">
        <v>76</v>
      </c>
      <c r="D225" s="34" t="s">
        <v>626</v>
      </c>
      <c r="E225" s="34" t="s">
        <v>627</v>
      </c>
      <c r="F225" s="34">
        <v>2019.0</v>
      </c>
      <c r="G225" s="34" t="s">
        <v>628</v>
      </c>
      <c r="H225" s="34" t="s">
        <v>578</v>
      </c>
      <c r="I225" s="34" t="s">
        <v>629</v>
      </c>
      <c r="J225" s="35"/>
      <c r="K225" s="36"/>
      <c r="L225" s="36"/>
      <c r="M225" s="36"/>
      <c r="N225" s="36"/>
      <c r="O225" s="36"/>
      <c r="P225" s="37">
        <v>6.0</v>
      </c>
      <c r="Q225" s="36"/>
      <c r="R225" s="36" t="s">
        <v>96</v>
      </c>
      <c r="S225" s="36">
        <v>3000.0</v>
      </c>
      <c r="T225" s="36"/>
      <c r="U225" s="36"/>
      <c r="V225" s="36"/>
      <c r="W225" s="36"/>
      <c r="X225" s="38">
        <v>22.0</v>
      </c>
      <c r="Y225" s="38" t="s">
        <v>638</v>
      </c>
      <c r="Z225" s="38"/>
      <c r="AA225" s="38"/>
      <c r="AB225" s="38"/>
      <c r="AC225" s="38"/>
      <c r="AD225" s="53" t="s">
        <v>198</v>
      </c>
      <c r="AE225" s="38"/>
      <c r="AF225" s="38"/>
      <c r="AG225" s="38"/>
      <c r="AH225" s="38"/>
      <c r="AI225" s="50"/>
      <c r="AJ225" s="50"/>
      <c r="AK225" s="41"/>
      <c r="AL225" s="40"/>
      <c r="AM225" s="49"/>
      <c r="AN225" s="43"/>
      <c r="AO225" s="42"/>
      <c r="AP225" s="43"/>
      <c r="AQ225" s="44" t="str">
        <f t="shared" ref="AQ225:AQ227" si="28">AA225</f>
        <v/>
      </c>
      <c r="AR225" s="44" t="str">
        <f t="shared" si="3"/>
        <v/>
      </c>
      <c r="AS225" s="44"/>
      <c r="AT225" s="44" t="str">
        <f t="shared" si="17"/>
        <v/>
      </c>
      <c r="AU225" s="44" t="str">
        <f t="shared" si="2"/>
        <v/>
      </c>
      <c r="AV225" s="38"/>
      <c r="AW225" s="38"/>
      <c r="AX225" s="38"/>
      <c r="AY225" s="38"/>
      <c r="AZ225" s="29">
        <v>1000.0</v>
      </c>
      <c r="BA225" s="29"/>
      <c r="BB225" s="29">
        <v>1.0</v>
      </c>
      <c r="BC225" s="29" t="s">
        <v>646</v>
      </c>
      <c r="BD225" s="29"/>
      <c r="BE225" s="29"/>
      <c r="BF225" s="29" t="s">
        <v>643</v>
      </c>
      <c r="BG225" s="29" t="s">
        <v>644</v>
      </c>
      <c r="BH225" s="29" t="s">
        <v>92</v>
      </c>
      <c r="BI225" s="29" t="s">
        <v>645</v>
      </c>
      <c r="BJ225" s="29"/>
      <c r="BK225" s="29" t="s">
        <v>148</v>
      </c>
      <c r="BL225" s="29"/>
      <c r="BM225" s="45"/>
      <c r="BN225" s="45"/>
      <c r="BO225" s="46"/>
      <c r="BP225" s="2"/>
      <c r="BQ225" s="3"/>
    </row>
    <row r="226">
      <c r="A226" s="34">
        <v>226.0</v>
      </c>
      <c r="B226" s="34">
        <v>102295.0</v>
      </c>
      <c r="C226" s="34" t="s">
        <v>76</v>
      </c>
      <c r="D226" s="34" t="s">
        <v>647</v>
      </c>
      <c r="E226" s="34" t="s">
        <v>648</v>
      </c>
      <c r="F226" s="34">
        <v>2020.0</v>
      </c>
      <c r="G226" s="34" t="s">
        <v>649</v>
      </c>
      <c r="H226" s="34" t="s">
        <v>578</v>
      </c>
      <c r="I226" s="34" t="s">
        <v>650</v>
      </c>
      <c r="J226" s="35"/>
      <c r="K226" s="36"/>
      <c r="L226" s="36"/>
      <c r="M226" s="36"/>
      <c r="N226" s="36">
        <v>-2.2</v>
      </c>
      <c r="O226" s="36"/>
      <c r="P226" s="37">
        <v>1.1</v>
      </c>
      <c r="Q226" s="36"/>
      <c r="R226" s="36" t="s">
        <v>96</v>
      </c>
      <c r="S226" s="36">
        <v>1000.0</v>
      </c>
      <c r="T226" s="36" t="s">
        <v>651</v>
      </c>
      <c r="U226" s="36" t="s">
        <v>652</v>
      </c>
      <c r="V226" s="36"/>
      <c r="W226" s="36"/>
      <c r="X226" s="38">
        <v>1.0</v>
      </c>
      <c r="Y226" s="38" t="s">
        <v>653</v>
      </c>
      <c r="Z226" s="38" t="s">
        <v>654</v>
      </c>
      <c r="AA226" s="38" t="s">
        <v>214</v>
      </c>
      <c r="AB226" s="38" t="s">
        <v>655</v>
      </c>
      <c r="AC226" s="38" t="s">
        <v>656</v>
      </c>
      <c r="AD226" s="53" t="s">
        <v>198</v>
      </c>
      <c r="AE226" s="38">
        <v>1519.0</v>
      </c>
      <c r="AF226" s="38"/>
      <c r="AG226" s="38" t="s">
        <v>657</v>
      </c>
      <c r="AH226" s="38"/>
      <c r="AI226" s="50">
        <v>38.51</v>
      </c>
      <c r="AJ226" s="50">
        <v>100.25</v>
      </c>
      <c r="AK226" s="41" t="s">
        <v>197</v>
      </c>
      <c r="AL226" s="40" t="s">
        <v>197</v>
      </c>
      <c r="AM226" s="49">
        <v>3162.0</v>
      </c>
      <c r="AN226" s="51">
        <v>3162.0</v>
      </c>
      <c r="AO226" s="42" t="s">
        <v>597</v>
      </c>
      <c r="AP226" s="43" t="s">
        <v>597</v>
      </c>
      <c r="AQ226" s="44" t="str">
        <f t="shared" si="28"/>
        <v>WET</v>
      </c>
      <c r="AR226" s="44">
        <f t="shared" si="3"/>
        <v>3162</v>
      </c>
      <c r="AS226" s="44" t="str">
        <f t="shared" ref="AS226:AS233" si="29">LEFT(AO226,1)</f>
        <v>D</v>
      </c>
      <c r="AT226" s="44" t="str">
        <f t="shared" si="17"/>
        <v>Dw</v>
      </c>
      <c r="AU226" s="44" t="str">
        <f t="shared" si="2"/>
        <v>Dwc</v>
      </c>
      <c r="AV226" s="38"/>
      <c r="AW226" s="38"/>
      <c r="AX226" s="38"/>
      <c r="AY226" s="38"/>
      <c r="AZ226" s="29" t="s">
        <v>624</v>
      </c>
      <c r="BA226" s="29"/>
      <c r="BB226" s="29">
        <v>1.0</v>
      </c>
      <c r="BC226" s="29" t="s">
        <v>658</v>
      </c>
      <c r="BD226" s="29" t="s">
        <v>88</v>
      </c>
      <c r="BE226" s="29"/>
      <c r="BF226" s="29" t="s">
        <v>659</v>
      </c>
      <c r="BG226" s="29" t="s">
        <v>644</v>
      </c>
      <c r="BH226" s="29" t="s">
        <v>88</v>
      </c>
      <c r="BI226" s="29" t="s">
        <v>660</v>
      </c>
      <c r="BJ226" s="29"/>
      <c r="BK226" s="29" t="s">
        <v>148</v>
      </c>
      <c r="BL226" s="29" t="s">
        <v>148</v>
      </c>
      <c r="BM226" s="45">
        <v>1.0</v>
      </c>
      <c r="BN226" s="45">
        <v>1.0</v>
      </c>
      <c r="BO226" s="46" t="s">
        <v>661</v>
      </c>
      <c r="BP226" s="2"/>
      <c r="BQ226" s="3"/>
    </row>
    <row r="227" ht="15.75" customHeight="1">
      <c r="A227" s="34">
        <v>227.0</v>
      </c>
      <c r="B227" s="34">
        <v>102295.0</v>
      </c>
      <c r="C227" s="34" t="s">
        <v>76</v>
      </c>
      <c r="D227" s="34" t="s">
        <v>647</v>
      </c>
      <c r="E227" s="34" t="s">
        <v>648</v>
      </c>
      <c r="F227" s="34">
        <v>2020.0</v>
      </c>
      <c r="G227" s="34" t="s">
        <v>649</v>
      </c>
      <c r="H227" s="34" t="s">
        <v>578</v>
      </c>
      <c r="I227" s="34" t="s">
        <v>650</v>
      </c>
      <c r="J227" s="35"/>
      <c r="K227" s="36"/>
      <c r="L227" s="36"/>
      <c r="M227" s="36"/>
      <c r="N227" s="36">
        <v>-7.9</v>
      </c>
      <c r="O227" s="36"/>
      <c r="P227" s="37">
        <v>3.5</v>
      </c>
      <c r="Q227" s="36"/>
      <c r="R227" s="36" t="s">
        <v>96</v>
      </c>
      <c r="S227" s="36">
        <v>1000.0</v>
      </c>
      <c r="T227" s="36" t="s">
        <v>651</v>
      </c>
      <c r="U227" s="36" t="s">
        <v>652</v>
      </c>
      <c r="V227" s="36"/>
      <c r="W227" s="36"/>
      <c r="X227" s="38">
        <v>1.0</v>
      </c>
      <c r="Y227" s="38" t="s">
        <v>653</v>
      </c>
      <c r="Z227" s="38" t="s">
        <v>654</v>
      </c>
      <c r="AA227" s="38" t="s">
        <v>86</v>
      </c>
      <c r="AB227" s="38" t="s">
        <v>655</v>
      </c>
      <c r="AC227" s="38" t="s">
        <v>656</v>
      </c>
      <c r="AD227" s="53" t="s">
        <v>198</v>
      </c>
      <c r="AE227" s="38">
        <v>1519.0</v>
      </c>
      <c r="AF227" s="38" t="s">
        <v>662</v>
      </c>
      <c r="AG227" s="38" t="s">
        <v>657</v>
      </c>
      <c r="AH227" s="38"/>
      <c r="AI227" s="50">
        <v>38.51</v>
      </c>
      <c r="AJ227" s="50">
        <v>100.25</v>
      </c>
      <c r="AK227" s="41" t="s">
        <v>197</v>
      </c>
      <c r="AL227" s="40" t="s">
        <v>197</v>
      </c>
      <c r="AM227" s="49">
        <v>3162.0</v>
      </c>
      <c r="AN227" s="51">
        <v>3162.0</v>
      </c>
      <c r="AO227" s="42" t="s">
        <v>597</v>
      </c>
      <c r="AP227" s="43" t="s">
        <v>597</v>
      </c>
      <c r="AQ227" s="44" t="str">
        <f t="shared" si="28"/>
        <v>CRO</v>
      </c>
      <c r="AR227" s="44">
        <f t="shared" si="3"/>
        <v>3162</v>
      </c>
      <c r="AS227" s="44" t="str">
        <f t="shared" si="29"/>
        <v>D</v>
      </c>
      <c r="AT227" s="44" t="str">
        <f t="shared" si="17"/>
        <v>Dw</v>
      </c>
      <c r="AU227" s="44" t="str">
        <f t="shared" si="2"/>
        <v>Dwc</v>
      </c>
      <c r="AV227" s="38"/>
      <c r="AW227" s="38"/>
      <c r="AX227" s="38"/>
      <c r="AY227" s="38"/>
      <c r="AZ227" s="29" t="s">
        <v>624</v>
      </c>
      <c r="BA227" s="29"/>
      <c r="BB227" s="29">
        <v>1.0</v>
      </c>
      <c r="BC227" s="29" t="s">
        <v>658</v>
      </c>
      <c r="BD227" s="29" t="s">
        <v>88</v>
      </c>
      <c r="BE227" s="29"/>
      <c r="BF227" s="29" t="s">
        <v>659</v>
      </c>
      <c r="BG227" s="29" t="s">
        <v>644</v>
      </c>
      <c r="BH227" s="29" t="s">
        <v>88</v>
      </c>
      <c r="BI227" s="29" t="s">
        <v>660</v>
      </c>
      <c r="BJ227" s="29"/>
      <c r="BK227" s="29" t="s">
        <v>148</v>
      </c>
      <c r="BL227" s="29" t="s">
        <v>148</v>
      </c>
      <c r="BM227" s="45"/>
      <c r="BN227" s="45"/>
      <c r="BO227" s="46"/>
      <c r="BP227" s="2"/>
      <c r="BQ227" s="3"/>
    </row>
    <row r="228" ht="15.75" customHeight="1">
      <c r="A228" s="34">
        <v>228.0</v>
      </c>
      <c r="B228" s="34">
        <v>102295.0</v>
      </c>
      <c r="C228" s="34" t="s">
        <v>76</v>
      </c>
      <c r="D228" s="34" t="s">
        <v>647</v>
      </c>
      <c r="E228" s="34" t="s">
        <v>648</v>
      </c>
      <c r="F228" s="34">
        <v>2020.0</v>
      </c>
      <c r="G228" s="34" t="s">
        <v>649</v>
      </c>
      <c r="H228" s="34" t="s">
        <v>578</v>
      </c>
      <c r="I228" s="34" t="s">
        <v>650</v>
      </c>
      <c r="J228" s="35"/>
      <c r="K228" s="36"/>
      <c r="L228" s="36"/>
      <c r="M228" s="36"/>
      <c r="N228" s="36">
        <v>-4.0</v>
      </c>
      <c r="O228" s="36"/>
      <c r="P228" s="37">
        <v>8.0</v>
      </c>
      <c r="Q228" s="36"/>
      <c r="R228" s="36" t="s">
        <v>96</v>
      </c>
      <c r="S228" s="36">
        <v>1000.0</v>
      </c>
      <c r="T228" s="36" t="s">
        <v>651</v>
      </c>
      <c r="U228" s="36" t="s">
        <v>652</v>
      </c>
      <c r="V228" s="36"/>
      <c r="W228" s="36"/>
      <c r="X228" s="38">
        <v>1.0</v>
      </c>
      <c r="Y228" s="38" t="s">
        <v>653</v>
      </c>
      <c r="Z228" s="38" t="s">
        <v>654</v>
      </c>
      <c r="AA228" s="38" t="s">
        <v>663</v>
      </c>
      <c r="AB228" s="38" t="s">
        <v>655</v>
      </c>
      <c r="AC228" s="38" t="s">
        <v>656</v>
      </c>
      <c r="AD228" s="53" t="s">
        <v>198</v>
      </c>
      <c r="AE228" s="38">
        <v>1519.0</v>
      </c>
      <c r="AF228" s="38"/>
      <c r="AG228" s="38" t="s">
        <v>657</v>
      </c>
      <c r="AH228" s="38"/>
      <c r="AI228" s="50">
        <v>38.51</v>
      </c>
      <c r="AJ228" s="50">
        <v>100.25</v>
      </c>
      <c r="AK228" s="41" t="s">
        <v>197</v>
      </c>
      <c r="AL228" s="40" t="s">
        <v>197</v>
      </c>
      <c r="AM228" s="49">
        <v>3162.0</v>
      </c>
      <c r="AN228" s="51">
        <v>3162.0</v>
      </c>
      <c r="AO228" s="42" t="s">
        <v>597</v>
      </c>
      <c r="AP228" s="43" t="s">
        <v>597</v>
      </c>
      <c r="AQ228" s="44" t="s">
        <v>664</v>
      </c>
      <c r="AR228" s="44">
        <f t="shared" si="3"/>
        <v>3162</v>
      </c>
      <c r="AS228" s="44" t="str">
        <f t="shared" si="29"/>
        <v>D</v>
      </c>
      <c r="AT228" s="44" t="str">
        <f t="shared" si="17"/>
        <v>Dw</v>
      </c>
      <c r="AU228" s="44" t="str">
        <f t="shared" si="2"/>
        <v>Dwc</v>
      </c>
      <c r="AV228" s="38"/>
      <c r="AW228" s="38"/>
      <c r="AX228" s="38"/>
      <c r="AY228" s="38"/>
      <c r="AZ228" s="29" t="s">
        <v>624</v>
      </c>
      <c r="BA228" s="29"/>
      <c r="BB228" s="29">
        <v>1.0</v>
      </c>
      <c r="BC228" s="29" t="s">
        <v>658</v>
      </c>
      <c r="BD228" s="29" t="s">
        <v>88</v>
      </c>
      <c r="BE228" s="29"/>
      <c r="BF228" s="29" t="s">
        <v>659</v>
      </c>
      <c r="BG228" s="29" t="s">
        <v>644</v>
      </c>
      <c r="BH228" s="29" t="s">
        <v>88</v>
      </c>
      <c r="BI228" s="29" t="s">
        <v>660</v>
      </c>
      <c r="BJ228" s="29"/>
      <c r="BK228" s="29" t="s">
        <v>148</v>
      </c>
      <c r="BL228" s="29" t="s">
        <v>148</v>
      </c>
      <c r="BM228" s="45"/>
      <c r="BN228" s="45"/>
      <c r="BO228" s="46"/>
      <c r="BP228" s="2"/>
      <c r="BQ228" s="3"/>
    </row>
    <row r="229" ht="15.75" customHeight="1">
      <c r="A229" s="34">
        <v>229.0</v>
      </c>
      <c r="B229" s="34">
        <v>102295.0</v>
      </c>
      <c r="C229" s="34" t="s">
        <v>76</v>
      </c>
      <c r="D229" s="34" t="s">
        <v>647</v>
      </c>
      <c r="E229" s="34" t="s">
        <v>648</v>
      </c>
      <c r="F229" s="34">
        <v>2020.0</v>
      </c>
      <c r="G229" s="34" t="s">
        <v>649</v>
      </c>
      <c r="H229" s="34" t="s">
        <v>578</v>
      </c>
      <c r="I229" s="34" t="s">
        <v>650</v>
      </c>
      <c r="J229" s="35"/>
      <c r="K229" s="36"/>
      <c r="L229" s="36"/>
      <c r="M229" s="36"/>
      <c r="N229" s="36">
        <v>-5.3</v>
      </c>
      <c r="O229" s="36"/>
      <c r="P229" s="37">
        <v>9.8</v>
      </c>
      <c r="Q229" s="36"/>
      <c r="R229" s="36" t="s">
        <v>96</v>
      </c>
      <c r="S229" s="36">
        <v>1000.0</v>
      </c>
      <c r="T229" s="36" t="s">
        <v>651</v>
      </c>
      <c r="U229" s="36" t="s">
        <v>652</v>
      </c>
      <c r="V229" s="36"/>
      <c r="W229" s="36"/>
      <c r="X229" s="38">
        <v>1.0</v>
      </c>
      <c r="Y229" s="38" t="s">
        <v>653</v>
      </c>
      <c r="Z229" s="38" t="s">
        <v>654</v>
      </c>
      <c r="AA229" s="38" t="s">
        <v>665</v>
      </c>
      <c r="AB229" s="38" t="s">
        <v>655</v>
      </c>
      <c r="AC229" s="38" t="s">
        <v>656</v>
      </c>
      <c r="AD229" s="53" t="s">
        <v>198</v>
      </c>
      <c r="AE229" s="38">
        <v>1519.0</v>
      </c>
      <c r="AF229" s="38" t="s">
        <v>666</v>
      </c>
      <c r="AG229" s="38" t="s">
        <v>657</v>
      </c>
      <c r="AH229" s="38"/>
      <c r="AI229" s="50">
        <v>38.51</v>
      </c>
      <c r="AJ229" s="50">
        <v>100.25</v>
      </c>
      <c r="AK229" s="41" t="s">
        <v>197</v>
      </c>
      <c r="AL229" s="40" t="s">
        <v>197</v>
      </c>
      <c r="AM229" s="49">
        <v>3162.0</v>
      </c>
      <c r="AN229" s="51">
        <v>3162.0</v>
      </c>
      <c r="AO229" s="42" t="s">
        <v>597</v>
      </c>
      <c r="AP229" s="43" t="s">
        <v>597</v>
      </c>
      <c r="AQ229" s="44" t="s">
        <v>664</v>
      </c>
      <c r="AR229" s="44">
        <f t="shared" si="3"/>
        <v>3162</v>
      </c>
      <c r="AS229" s="44" t="str">
        <f t="shared" si="29"/>
        <v>D</v>
      </c>
      <c r="AT229" s="44" t="str">
        <f t="shared" si="17"/>
        <v>Dw</v>
      </c>
      <c r="AU229" s="44" t="str">
        <f t="shared" si="2"/>
        <v>Dwc</v>
      </c>
      <c r="AV229" s="38"/>
      <c r="AW229" s="38"/>
      <c r="AX229" s="38"/>
      <c r="AY229" s="38"/>
      <c r="AZ229" s="29" t="s">
        <v>624</v>
      </c>
      <c r="BA229" s="29"/>
      <c r="BB229" s="29">
        <v>1.0</v>
      </c>
      <c r="BC229" s="29" t="s">
        <v>658</v>
      </c>
      <c r="BD229" s="29" t="s">
        <v>88</v>
      </c>
      <c r="BE229" s="29"/>
      <c r="BF229" s="29" t="s">
        <v>659</v>
      </c>
      <c r="BG229" s="29" t="s">
        <v>644</v>
      </c>
      <c r="BH229" s="29" t="s">
        <v>88</v>
      </c>
      <c r="BI229" s="29" t="s">
        <v>660</v>
      </c>
      <c r="BJ229" s="29"/>
      <c r="BK229" s="29" t="s">
        <v>148</v>
      </c>
      <c r="BL229" s="29" t="s">
        <v>148</v>
      </c>
      <c r="BM229" s="45"/>
      <c r="BN229" s="45"/>
      <c r="BO229" s="46"/>
      <c r="BP229" s="2"/>
      <c r="BQ229" s="3"/>
    </row>
    <row r="230" ht="15.75" customHeight="1">
      <c r="A230" s="34">
        <v>230.0</v>
      </c>
      <c r="B230" s="34">
        <v>102295.0</v>
      </c>
      <c r="C230" s="34" t="s">
        <v>76</v>
      </c>
      <c r="D230" s="34" t="s">
        <v>647</v>
      </c>
      <c r="E230" s="34" t="s">
        <v>648</v>
      </c>
      <c r="F230" s="34">
        <v>2020.0</v>
      </c>
      <c r="G230" s="34" t="s">
        <v>649</v>
      </c>
      <c r="H230" s="34" t="s">
        <v>578</v>
      </c>
      <c r="I230" s="34" t="s">
        <v>650</v>
      </c>
      <c r="J230" s="35"/>
      <c r="K230" s="36"/>
      <c r="L230" s="36"/>
      <c r="M230" s="36"/>
      <c r="N230" s="36">
        <v>149.7</v>
      </c>
      <c r="O230" s="36"/>
      <c r="P230" s="37">
        <v>72.1</v>
      </c>
      <c r="Q230" s="36"/>
      <c r="R230" s="36" t="s">
        <v>96</v>
      </c>
      <c r="S230" s="36">
        <v>1000.0</v>
      </c>
      <c r="T230" s="36" t="s">
        <v>651</v>
      </c>
      <c r="U230" s="36" t="s">
        <v>652</v>
      </c>
      <c r="V230" s="36"/>
      <c r="W230" s="36"/>
      <c r="X230" s="38">
        <v>1.0</v>
      </c>
      <c r="Y230" s="38" t="s">
        <v>653</v>
      </c>
      <c r="Z230" s="38" t="s">
        <v>654</v>
      </c>
      <c r="AA230" s="38" t="s">
        <v>214</v>
      </c>
      <c r="AB230" s="38" t="s">
        <v>655</v>
      </c>
      <c r="AC230" s="38" t="s">
        <v>656</v>
      </c>
      <c r="AD230" s="53" t="s">
        <v>198</v>
      </c>
      <c r="AE230" s="38">
        <v>1519.0</v>
      </c>
      <c r="AF230" s="38"/>
      <c r="AG230" s="38" t="s">
        <v>657</v>
      </c>
      <c r="AH230" s="38"/>
      <c r="AI230" s="50">
        <v>38.51</v>
      </c>
      <c r="AJ230" s="50">
        <v>100.25</v>
      </c>
      <c r="AK230" s="41" t="s">
        <v>197</v>
      </c>
      <c r="AL230" s="40" t="s">
        <v>197</v>
      </c>
      <c r="AM230" s="49">
        <v>3162.0</v>
      </c>
      <c r="AN230" s="51">
        <v>3162.0</v>
      </c>
      <c r="AO230" s="42" t="s">
        <v>597</v>
      </c>
      <c r="AP230" s="43" t="s">
        <v>597</v>
      </c>
      <c r="AQ230" s="44" t="str">
        <f t="shared" ref="AQ230:AQ231" si="30">AA230</f>
        <v>WET</v>
      </c>
      <c r="AR230" s="44">
        <f t="shared" si="3"/>
        <v>3162</v>
      </c>
      <c r="AS230" s="44" t="str">
        <f t="shared" si="29"/>
        <v>D</v>
      </c>
      <c r="AT230" s="44" t="str">
        <f t="shared" si="17"/>
        <v>Dw</v>
      </c>
      <c r="AU230" s="44" t="str">
        <f t="shared" si="2"/>
        <v>Dwc</v>
      </c>
      <c r="AV230" s="38"/>
      <c r="AW230" s="38"/>
      <c r="AX230" s="38"/>
      <c r="AY230" s="38"/>
      <c r="AZ230" s="29" t="s">
        <v>624</v>
      </c>
      <c r="BA230" s="29"/>
      <c r="BB230" s="29">
        <v>1.0</v>
      </c>
      <c r="BC230" s="29" t="s">
        <v>667</v>
      </c>
      <c r="BD230" s="29" t="s">
        <v>88</v>
      </c>
      <c r="BE230" s="29"/>
      <c r="BF230" s="29" t="s">
        <v>668</v>
      </c>
      <c r="BG230" s="29" t="s">
        <v>669</v>
      </c>
      <c r="BH230" s="29" t="s">
        <v>88</v>
      </c>
      <c r="BI230" s="29" t="s">
        <v>660</v>
      </c>
      <c r="BJ230" s="29"/>
      <c r="BK230" s="29" t="s">
        <v>148</v>
      </c>
      <c r="BL230" s="29" t="s">
        <v>148</v>
      </c>
      <c r="BM230" s="45"/>
      <c r="BN230" s="45"/>
      <c r="BO230" s="46"/>
      <c r="BP230" s="2"/>
      <c r="BQ230" s="3"/>
    </row>
    <row r="231" ht="15.75" customHeight="1">
      <c r="A231" s="34">
        <v>231.0</v>
      </c>
      <c r="B231" s="34">
        <v>102295.0</v>
      </c>
      <c r="C231" s="34" t="s">
        <v>76</v>
      </c>
      <c r="D231" s="34" t="s">
        <v>647</v>
      </c>
      <c r="E231" s="34" t="s">
        <v>648</v>
      </c>
      <c r="F231" s="34">
        <v>2020.0</v>
      </c>
      <c r="G231" s="34" t="s">
        <v>649</v>
      </c>
      <c r="H231" s="34" t="s">
        <v>578</v>
      </c>
      <c r="I231" s="34" t="s">
        <v>650</v>
      </c>
      <c r="J231" s="35"/>
      <c r="K231" s="36"/>
      <c r="L231" s="36"/>
      <c r="M231" s="36"/>
      <c r="N231" s="36">
        <v>154.5</v>
      </c>
      <c r="O231" s="36"/>
      <c r="P231" s="37">
        <v>68.3</v>
      </c>
      <c r="Q231" s="36"/>
      <c r="R231" s="36" t="s">
        <v>96</v>
      </c>
      <c r="S231" s="36">
        <v>1000.0</v>
      </c>
      <c r="T231" s="36" t="s">
        <v>651</v>
      </c>
      <c r="U231" s="36" t="s">
        <v>652</v>
      </c>
      <c r="V231" s="36"/>
      <c r="W231" s="36"/>
      <c r="X231" s="38">
        <v>1.0</v>
      </c>
      <c r="Y231" s="38" t="s">
        <v>653</v>
      </c>
      <c r="Z231" s="38" t="s">
        <v>654</v>
      </c>
      <c r="AA231" s="38" t="s">
        <v>86</v>
      </c>
      <c r="AB231" s="38" t="s">
        <v>655</v>
      </c>
      <c r="AC231" s="38" t="s">
        <v>656</v>
      </c>
      <c r="AD231" s="53" t="s">
        <v>198</v>
      </c>
      <c r="AE231" s="38">
        <v>1519.0</v>
      </c>
      <c r="AF231" s="38" t="s">
        <v>662</v>
      </c>
      <c r="AG231" s="38" t="s">
        <v>657</v>
      </c>
      <c r="AH231" s="38"/>
      <c r="AI231" s="50">
        <v>38.51</v>
      </c>
      <c r="AJ231" s="50">
        <v>100.25</v>
      </c>
      <c r="AK231" s="41" t="s">
        <v>197</v>
      </c>
      <c r="AL231" s="40" t="s">
        <v>197</v>
      </c>
      <c r="AM231" s="49">
        <v>3162.0</v>
      </c>
      <c r="AN231" s="51">
        <v>3162.0</v>
      </c>
      <c r="AO231" s="42" t="s">
        <v>597</v>
      </c>
      <c r="AP231" s="43" t="s">
        <v>597</v>
      </c>
      <c r="AQ231" s="44" t="str">
        <f t="shared" si="30"/>
        <v>CRO</v>
      </c>
      <c r="AR231" s="44">
        <f t="shared" si="3"/>
        <v>3162</v>
      </c>
      <c r="AS231" s="44" t="str">
        <f t="shared" si="29"/>
        <v>D</v>
      </c>
      <c r="AT231" s="44" t="str">
        <f t="shared" si="17"/>
        <v>Dw</v>
      </c>
      <c r="AU231" s="44" t="str">
        <f t="shared" si="2"/>
        <v>Dwc</v>
      </c>
      <c r="AV231" s="38"/>
      <c r="AW231" s="38"/>
      <c r="AX231" s="38"/>
      <c r="AY231" s="38"/>
      <c r="AZ231" s="29" t="s">
        <v>624</v>
      </c>
      <c r="BA231" s="29"/>
      <c r="BB231" s="29">
        <v>1.0</v>
      </c>
      <c r="BC231" s="29" t="s">
        <v>667</v>
      </c>
      <c r="BD231" s="29" t="s">
        <v>88</v>
      </c>
      <c r="BE231" s="29"/>
      <c r="BF231" s="29" t="s">
        <v>668</v>
      </c>
      <c r="BG231" s="29" t="s">
        <v>669</v>
      </c>
      <c r="BH231" s="29" t="s">
        <v>88</v>
      </c>
      <c r="BI231" s="29" t="s">
        <v>660</v>
      </c>
      <c r="BJ231" s="29"/>
      <c r="BK231" s="29" t="s">
        <v>148</v>
      </c>
      <c r="BL231" s="29" t="s">
        <v>148</v>
      </c>
      <c r="BM231" s="45"/>
      <c r="BN231" s="45"/>
      <c r="BO231" s="46"/>
      <c r="BP231" s="2"/>
      <c r="BQ231" s="3"/>
    </row>
    <row r="232" ht="15.75" customHeight="1">
      <c r="A232" s="34">
        <v>232.0</v>
      </c>
      <c r="B232" s="34">
        <v>102295.0</v>
      </c>
      <c r="C232" s="34" t="s">
        <v>76</v>
      </c>
      <c r="D232" s="34" t="s">
        <v>647</v>
      </c>
      <c r="E232" s="34" t="s">
        <v>648</v>
      </c>
      <c r="F232" s="34">
        <v>2020.0</v>
      </c>
      <c r="G232" s="34" t="s">
        <v>649</v>
      </c>
      <c r="H232" s="34" t="s">
        <v>578</v>
      </c>
      <c r="I232" s="34" t="s">
        <v>650</v>
      </c>
      <c r="J232" s="35"/>
      <c r="K232" s="36"/>
      <c r="L232" s="36"/>
      <c r="M232" s="36"/>
      <c r="N232" s="36">
        <v>89.1</v>
      </c>
      <c r="O232" s="36"/>
      <c r="P232" s="72">
        <v>189.6</v>
      </c>
      <c r="Q232" s="36"/>
      <c r="R232" s="36" t="s">
        <v>96</v>
      </c>
      <c r="S232" s="36">
        <v>1000.0</v>
      </c>
      <c r="T232" s="36" t="s">
        <v>651</v>
      </c>
      <c r="U232" s="36" t="s">
        <v>652</v>
      </c>
      <c r="V232" s="36"/>
      <c r="W232" s="36"/>
      <c r="X232" s="38">
        <v>1.0</v>
      </c>
      <c r="Y232" s="38" t="s">
        <v>653</v>
      </c>
      <c r="Z232" s="38" t="s">
        <v>654</v>
      </c>
      <c r="AA232" s="38" t="s">
        <v>663</v>
      </c>
      <c r="AB232" s="38" t="s">
        <v>655</v>
      </c>
      <c r="AC232" s="38" t="s">
        <v>656</v>
      </c>
      <c r="AD232" s="53" t="s">
        <v>198</v>
      </c>
      <c r="AE232" s="38">
        <v>1519.0</v>
      </c>
      <c r="AF232" s="38"/>
      <c r="AG232" s="38" t="s">
        <v>657</v>
      </c>
      <c r="AH232" s="38"/>
      <c r="AI232" s="50">
        <v>38.51</v>
      </c>
      <c r="AJ232" s="50">
        <v>100.25</v>
      </c>
      <c r="AK232" s="41" t="s">
        <v>197</v>
      </c>
      <c r="AL232" s="40" t="s">
        <v>197</v>
      </c>
      <c r="AM232" s="49">
        <v>3162.0</v>
      </c>
      <c r="AN232" s="51">
        <v>3162.0</v>
      </c>
      <c r="AO232" s="42" t="s">
        <v>597</v>
      </c>
      <c r="AP232" s="43" t="s">
        <v>597</v>
      </c>
      <c r="AQ232" s="44" t="s">
        <v>664</v>
      </c>
      <c r="AR232" s="44">
        <f t="shared" si="3"/>
        <v>3162</v>
      </c>
      <c r="AS232" s="44" t="str">
        <f t="shared" si="29"/>
        <v>D</v>
      </c>
      <c r="AT232" s="44" t="str">
        <f t="shared" si="17"/>
        <v>Dw</v>
      </c>
      <c r="AU232" s="44" t="str">
        <f t="shared" si="2"/>
        <v>Dwc</v>
      </c>
      <c r="AV232" s="38"/>
      <c r="AW232" s="38"/>
      <c r="AX232" s="38"/>
      <c r="AY232" s="38"/>
      <c r="AZ232" s="29" t="s">
        <v>624</v>
      </c>
      <c r="BA232" s="29"/>
      <c r="BB232" s="29">
        <v>1.0</v>
      </c>
      <c r="BC232" s="29" t="s">
        <v>667</v>
      </c>
      <c r="BD232" s="29" t="s">
        <v>88</v>
      </c>
      <c r="BE232" s="29"/>
      <c r="BF232" s="29" t="s">
        <v>668</v>
      </c>
      <c r="BG232" s="29" t="s">
        <v>669</v>
      </c>
      <c r="BH232" s="29" t="s">
        <v>88</v>
      </c>
      <c r="BI232" s="29" t="s">
        <v>660</v>
      </c>
      <c r="BJ232" s="29"/>
      <c r="BK232" s="29" t="s">
        <v>148</v>
      </c>
      <c r="BL232" s="29" t="s">
        <v>148</v>
      </c>
      <c r="BM232" s="45"/>
      <c r="BN232" s="45"/>
      <c r="BO232" s="46"/>
      <c r="BP232" s="2"/>
      <c r="BQ232" s="3"/>
    </row>
    <row r="233" ht="15.75" customHeight="1">
      <c r="A233" s="34">
        <v>233.0</v>
      </c>
      <c r="B233" s="34">
        <v>102295.0</v>
      </c>
      <c r="C233" s="34" t="s">
        <v>76</v>
      </c>
      <c r="D233" s="34" t="s">
        <v>647</v>
      </c>
      <c r="E233" s="34" t="s">
        <v>648</v>
      </c>
      <c r="F233" s="34">
        <v>2020.0</v>
      </c>
      <c r="G233" s="34" t="s">
        <v>649</v>
      </c>
      <c r="H233" s="34" t="s">
        <v>578</v>
      </c>
      <c r="I233" s="34" t="s">
        <v>650</v>
      </c>
      <c r="J233" s="35"/>
      <c r="K233" s="36"/>
      <c r="L233" s="36"/>
      <c r="M233" s="36"/>
      <c r="N233" s="36">
        <v>19.5</v>
      </c>
      <c r="O233" s="36"/>
      <c r="P233" s="37">
        <v>36.3</v>
      </c>
      <c r="Q233" s="36"/>
      <c r="R233" s="36" t="s">
        <v>96</v>
      </c>
      <c r="S233" s="36">
        <v>1000.0</v>
      </c>
      <c r="T233" s="36" t="s">
        <v>651</v>
      </c>
      <c r="U233" s="36" t="s">
        <v>652</v>
      </c>
      <c r="V233" s="36"/>
      <c r="W233" s="36"/>
      <c r="X233" s="38">
        <v>1.0</v>
      </c>
      <c r="Y233" s="38" t="s">
        <v>653</v>
      </c>
      <c r="Z233" s="38" t="s">
        <v>654</v>
      </c>
      <c r="AA233" s="38" t="s">
        <v>665</v>
      </c>
      <c r="AB233" s="38" t="s">
        <v>655</v>
      </c>
      <c r="AC233" s="38" t="s">
        <v>656</v>
      </c>
      <c r="AD233" s="53" t="s">
        <v>198</v>
      </c>
      <c r="AE233" s="38">
        <v>1519.0</v>
      </c>
      <c r="AF233" s="38" t="s">
        <v>666</v>
      </c>
      <c r="AG233" s="38" t="s">
        <v>657</v>
      </c>
      <c r="AH233" s="38"/>
      <c r="AI233" s="50">
        <v>38.51</v>
      </c>
      <c r="AJ233" s="50">
        <v>100.25</v>
      </c>
      <c r="AK233" s="41" t="s">
        <v>197</v>
      </c>
      <c r="AL233" s="40" t="s">
        <v>197</v>
      </c>
      <c r="AM233" s="49">
        <v>3162.0</v>
      </c>
      <c r="AN233" s="51">
        <v>3162.0</v>
      </c>
      <c r="AO233" s="42" t="s">
        <v>597</v>
      </c>
      <c r="AP233" s="43" t="s">
        <v>597</v>
      </c>
      <c r="AQ233" s="44" t="s">
        <v>664</v>
      </c>
      <c r="AR233" s="44">
        <f t="shared" si="3"/>
        <v>3162</v>
      </c>
      <c r="AS233" s="44" t="str">
        <f t="shared" si="29"/>
        <v>D</v>
      </c>
      <c r="AT233" s="44" t="str">
        <f t="shared" si="17"/>
        <v>Dw</v>
      </c>
      <c r="AU233" s="44" t="str">
        <f t="shared" si="2"/>
        <v>Dwc</v>
      </c>
      <c r="AV233" s="38"/>
      <c r="AW233" s="38"/>
      <c r="AX233" s="38"/>
      <c r="AY233" s="38"/>
      <c r="AZ233" s="29" t="s">
        <v>624</v>
      </c>
      <c r="BA233" s="29"/>
      <c r="BB233" s="29">
        <v>1.0</v>
      </c>
      <c r="BC233" s="29" t="s">
        <v>667</v>
      </c>
      <c r="BD233" s="29" t="s">
        <v>88</v>
      </c>
      <c r="BE233" s="29"/>
      <c r="BF233" s="29" t="s">
        <v>668</v>
      </c>
      <c r="BG233" s="29" t="s">
        <v>669</v>
      </c>
      <c r="BH233" s="29" t="s">
        <v>88</v>
      </c>
      <c r="BI233" s="29" t="s">
        <v>660</v>
      </c>
      <c r="BJ233" s="29"/>
      <c r="BK233" s="29" t="s">
        <v>148</v>
      </c>
      <c r="BL233" s="29" t="s">
        <v>148</v>
      </c>
      <c r="BM233" s="45"/>
      <c r="BN233" s="45"/>
      <c r="BO233" s="46"/>
      <c r="BP233" s="2"/>
      <c r="BQ233" s="3"/>
    </row>
    <row r="234">
      <c r="A234" s="34">
        <v>235.0</v>
      </c>
      <c r="B234" s="34">
        <v>103301.0</v>
      </c>
      <c r="C234" s="34" t="s">
        <v>415</v>
      </c>
      <c r="D234" s="34" t="s">
        <v>670</v>
      </c>
      <c r="E234" s="34" t="s">
        <v>671</v>
      </c>
      <c r="F234" s="34">
        <v>2018.0</v>
      </c>
      <c r="G234" s="34" t="s">
        <v>672</v>
      </c>
      <c r="H234" s="34" t="s">
        <v>673</v>
      </c>
      <c r="I234" s="34" t="s">
        <v>674</v>
      </c>
      <c r="J234" s="35"/>
      <c r="K234" s="36"/>
      <c r="L234" s="36"/>
      <c r="M234" s="36"/>
      <c r="N234" s="36">
        <v>9.86</v>
      </c>
      <c r="O234" s="36"/>
      <c r="P234" s="37">
        <v>9.0</v>
      </c>
      <c r="Q234" s="36"/>
      <c r="R234" s="36" t="s">
        <v>490</v>
      </c>
      <c r="S234" s="36"/>
      <c r="T234" s="36" t="s">
        <v>675</v>
      </c>
      <c r="U234" s="36" t="s">
        <v>676</v>
      </c>
      <c r="V234" s="36">
        <v>9144.0</v>
      </c>
      <c r="W234" s="36"/>
      <c r="X234" s="38">
        <v>35.0</v>
      </c>
      <c r="Y234" s="38"/>
      <c r="Z234" s="38"/>
      <c r="AA234" s="38" t="s">
        <v>86</v>
      </c>
      <c r="AB234" s="38" t="s">
        <v>677</v>
      </c>
      <c r="AC234" s="38"/>
      <c r="AD234" s="53" t="s">
        <v>678</v>
      </c>
      <c r="AE234" s="38"/>
      <c r="AF234" s="38"/>
      <c r="AG234" s="38"/>
      <c r="AH234" s="38"/>
      <c r="AI234" s="50"/>
      <c r="AJ234" s="50"/>
      <c r="AK234" s="41"/>
      <c r="AL234" s="40"/>
      <c r="AM234" s="49"/>
      <c r="AN234" s="43"/>
      <c r="AO234" s="42"/>
      <c r="AP234" s="43"/>
      <c r="AQ234" s="44" t="str">
        <f t="shared" ref="AQ234:AQ239" si="31">AA234</f>
        <v>CRO</v>
      </c>
      <c r="AR234" s="44" t="str">
        <f t="shared" si="3"/>
        <v/>
      </c>
      <c r="AS234" s="44"/>
      <c r="AT234" s="44" t="str">
        <f t="shared" si="17"/>
        <v/>
      </c>
      <c r="AU234" s="44" t="str">
        <f t="shared" si="2"/>
        <v/>
      </c>
      <c r="AV234" s="38"/>
      <c r="AW234" s="38"/>
      <c r="AX234" s="38"/>
      <c r="AY234" s="38"/>
      <c r="AZ234" s="29">
        <v>1000.0</v>
      </c>
      <c r="BA234" s="29"/>
      <c r="BB234" s="29">
        <v>1.0</v>
      </c>
      <c r="BC234" s="29"/>
      <c r="BD234" s="29" t="s">
        <v>88</v>
      </c>
      <c r="BE234" s="29"/>
      <c r="BF234" s="29" t="s">
        <v>679</v>
      </c>
      <c r="BG234" s="29" t="s">
        <v>644</v>
      </c>
      <c r="BH234" s="29" t="s">
        <v>92</v>
      </c>
      <c r="BI234" s="29" t="s">
        <v>680</v>
      </c>
      <c r="BJ234" s="29"/>
      <c r="BK234" s="29" t="s">
        <v>681</v>
      </c>
      <c r="BL234" s="29"/>
      <c r="BM234" s="45">
        <v>1.0</v>
      </c>
      <c r="BN234" s="45">
        <v>1.0</v>
      </c>
      <c r="BO234" s="46" t="s">
        <v>642</v>
      </c>
      <c r="BP234" s="2"/>
      <c r="BQ234" s="3"/>
    </row>
    <row r="235" ht="15.75" customHeight="1">
      <c r="A235" s="34">
        <v>236.0</v>
      </c>
      <c r="B235" s="34">
        <v>103301.0</v>
      </c>
      <c r="C235" s="34" t="s">
        <v>415</v>
      </c>
      <c r="D235" s="34" t="s">
        <v>670</v>
      </c>
      <c r="E235" s="34" t="s">
        <v>671</v>
      </c>
      <c r="F235" s="34">
        <v>2018.0</v>
      </c>
      <c r="G235" s="34" t="s">
        <v>672</v>
      </c>
      <c r="H235" s="34" t="s">
        <v>673</v>
      </c>
      <c r="I235" s="34" t="s">
        <v>674</v>
      </c>
      <c r="J235" s="35"/>
      <c r="K235" s="36"/>
      <c r="L235" s="36"/>
      <c r="M235" s="36"/>
      <c r="N235" s="36">
        <v>0.6</v>
      </c>
      <c r="O235" s="36"/>
      <c r="P235" s="37">
        <v>1.0</v>
      </c>
      <c r="Q235" s="36"/>
      <c r="R235" s="36" t="s">
        <v>490</v>
      </c>
      <c r="S235" s="36"/>
      <c r="T235" s="36" t="s">
        <v>675</v>
      </c>
      <c r="U235" s="36" t="s">
        <v>676</v>
      </c>
      <c r="V235" s="36">
        <v>13166.0</v>
      </c>
      <c r="W235" s="36"/>
      <c r="X235" s="38">
        <v>28.0</v>
      </c>
      <c r="Y235" s="38"/>
      <c r="Z235" s="38"/>
      <c r="AA235" s="38" t="s">
        <v>370</v>
      </c>
      <c r="AB235" s="38" t="s">
        <v>677</v>
      </c>
      <c r="AC235" s="38"/>
      <c r="AD235" s="53"/>
      <c r="AE235" s="38"/>
      <c r="AF235" s="38"/>
      <c r="AG235" s="38"/>
      <c r="AH235" s="38"/>
      <c r="AI235" s="50"/>
      <c r="AJ235" s="50"/>
      <c r="AK235" s="41"/>
      <c r="AL235" s="40"/>
      <c r="AM235" s="49"/>
      <c r="AN235" s="43"/>
      <c r="AO235" s="42"/>
      <c r="AP235" s="43"/>
      <c r="AQ235" s="44" t="str">
        <f t="shared" si="31"/>
        <v>DBF</v>
      </c>
      <c r="AR235" s="44" t="str">
        <f t="shared" si="3"/>
        <v/>
      </c>
      <c r="AS235" s="44"/>
      <c r="AT235" s="44" t="str">
        <f t="shared" si="17"/>
        <v/>
      </c>
      <c r="AU235" s="44" t="str">
        <f t="shared" si="2"/>
        <v/>
      </c>
      <c r="AV235" s="38"/>
      <c r="AW235" s="38"/>
      <c r="AX235" s="38"/>
      <c r="AY235" s="38"/>
      <c r="AZ235" s="29">
        <v>1000.0</v>
      </c>
      <c r="BA235" s="29"/>
      <c r="BB235" s="29">
        <v>1.0</v>
      </c>
      <c r="BC235" s="29"/>
      <c r="BD235" s="29" t="s">
        <v>88</v>
      </c>
      <c r="BE235" s="29"/>
      <c r="BF235" s="29" t="s">
        <v>679</v>
      </c>
      <c r="BG235" s="29" t="s">
        <v>644</v>
      </c>
      <c r="BH235" s="29" t="s">
        <v>92</v>
      </c>
      <c r="BI235" s="29" t="s">
        <v>680</v>
      </c>
      <c r="BJ235" s="29"/>
      <c r="BK235" s="29" t="s">
        <v>681</v>
      </c>
      <c r="BL235" s="29"/>
      <c r="BM235" s="45"/>
      <c r="BN235" s="45"/>
      <c r="BO235" s="46"/>
      <c r="BP235" s="2"/>
      <c r="BQ235" s="3"/>
    </row>
    <row r="236" ht="15.75" customHeight="1">
      <c r="A236" s="34">
        <v>237.0</v>
      </c>
      <c r="B236" s="34">
        <v>103301.0</v>
      </c>
      <c r="C236" s="34" t="s">
        <v>415</v>
      </c>
      <c r="D236" s="34" t="s">
        <v>670</v>
      </c>
      <c r="E236" s="34" t="s">
        <v>671</v>
      </c>
      <c r="F236" s="34">
        <v>2018.0</v>
      </c>
      <c r="G236" s="34" t="s">
        <v>672</v>
      </c>
      <c r="H236" s="34" t="s">
        <v>673</v>
      </c>
      <c r="I236" s="34" t="s">
        <v>674</v>
      </c>
      <c r="J236" s="35"/>
      <c r="K236" s="36"/>
      <c r="L236" s="36"/>
      <c r="M236" s="36"/>
      <c r="N236" s="36">
        <v>19.26</v>
      </c>
      <c r="O236" s="36"/>
      <c r="P236" s="37">
        <v>33.0</v>
      </c>
      <c r="Q236" s="36"/>
      <c r="R236" s="36" t="s">
        <v>490</v>
      </c>
      <c r="S236" s="36"/>
      <c r="T236" s="36" t="s">
        <v>675</v>
      </c>
      <c r="U236" s="36" t="s">
        <v>676</v>
      </c>
      <c r="V236" s="36">
        <v>630.0</v>
      </c>
      <c r="W236" s="36"/>
      <c r="X236" s="38">
        <v>4.0</v>
      </c>
      <c r="Y236" s="38"/>
      <c r="Z236" s="38"/>
      <c r="AA236" s="38" t="s">
        <v>636</v>
      </c>
      <c r="AB236" s="38" t="s">
        <v>677</v>
      </c>
      <c r="AC236" s="38"/>
      <c r="AD236" s="53"/>
      <c r="AE236" s="38"/>
      <c r="AF236" s="38"/>
      <c r="AG236" s="38"/>
      <c r="AH236" s="38"/>
      <c r="AI236" s="50"/>
      <c r="AJ236" s="50"/>
      <c r="AK236" s="41"/>
      <c r="AL236" s="40"/>
      <c r="AM236" s="49"/>
      <c r="AN236" s="43"/>
      <c r="AO236" s="42"/>
      <c r="AP236" s="43"/>
      <c r="AQ236" s="44" t="str">
        <f t="shared" si="31"/>
        <v>DNF</v>
      </c>
      <c r="AR236" s="44" t="str">
        <f t="shared" si="3"/>
        <v/>
      </c>
      <c r="AS236" s="44"/>
      <c r="AT236" s="44" t="str">
        <f t="shared" si="17"/>
        <v/>
      </c>
      <c r="AU236" s="44" t="str">
        <f t="shared" si="2"/>
        <v/>
      </c>
      <c r="AV236" s="38"/>
      <c r="AW236" s="38"/>
      <c r="AX236" s="38"/>
      <c r="AY236" s="38"/>
      <c r="AZ236" s="29">
        <v>1000.0</v>
      </c>
      <c r="BA236" s="29"/>
      <c r="BB236" s="29">
        <v>1.0</v>
      </c>
      <c r="BC236" s="29"/>
      <c r="BD236" s="29" t="s">
        <v>88</v>
      </c>
      <c r="BE236" s="29"/>
      <c r="BF236" s="29" t="s">
        <v>679</v>
      </c>
      <c r="BG236" s="29" t="s">
        <v>644</v>
      </c>
      <c r="BH236" s="29" t="s">
        <v>92</v>
      </c>
      <c r="BI236" s="29" t="s">
        <v>680</v>
      </c>
      <c r="BJ236" s="29"/>
      <c r="BK236" s="29" t="s">
        <v>681</v>
      </c>
      <c r="BL236" s="29"/>
      <c r="BM236" s="45"/>
      <c r="BN236" s="45"/>
      <c r="BO236" s="46"/>
      <c r="BP236" s="2"/>
      <c r="BQ236" s="3"/>
    </row>
    <row r="237" ht="15.75" customHeight="1">
      <c r="A237" s="34">
        <v>238.0</v>
      </c>
      <c r="B237" s="34">
        <v>103301.0</v>
      </c>
      <c r="C237" s="34" t="s">
        <v>415</v>
      </c>
      <c r="D237" s="34" t="s">
        <v>670</v>
      </c>
      <c r="E237" s="34" t="s">
        <v>671</v>
      </c>
      <c r="F237" s="34">
        <v>2018.0</v>
      </c>
      <c r="G237" s="34" t="s">
        <v>672</v>
      </c>
      <c r="H237" s="34" t="s">
        <v>673</v>
      </c>
      <c r="I237" s="34" t="s">
        <v>674</v>
      </c>
      <c r="J237" s="35"/>
      <c r="K237" s="36"/>
      <c r="L237" s="36"/>
      <c r="M237" s="36"/>
      <c r="N237" s="36">
        <v>15.2</v>
      </c>
      <c r="O237" s="36"/>
      <c r="P237" s="37">
        <v>9.0</v>
      </c>
      <c r="Q237" s="36"/>
      <c r="R237" s="36" t="s">
        <v>490</v>
      </c>
      <c r="S237" s="36"/>
      <c r="T237" s="36" t="s">
        <v>675</v>
      </c>
      <c r="U237" s="36" t="s">
        <v>676</v>
      </c>
      <c r="V237" s="36">
        <v>40114.0</v>
      </c>
      <c r="W237" s="36"/>
      <c r="X237" s="38">
        <v>19.0</v>
      </c>
      <c r="Y237" s="38"/>
      <c r="Z237" s="38"/>
      <c r="AA237" s="38" t="s">
        <v>336</v>
      </c>
      <c r="AB237" s="38" t="s">
        <v>677</v>
      </c>
      <c r="AC237" s="38"/>
      <c r="AD237" s="53"/>
      <c r="AE237" s="38"/>
      <c r="AF237" s="38"/>
      <c r="AG237" s="38"/>
      <c r="AH237" s="38"/>
      <c r="AI237" s="50"/>
      <c r="AJ237" s="50"/>
      <c r="AK237" s="41"/>
      <c r="AL237" s="40"/>
      <c r="AM237" s="49"/>
      <c r="AN237" s="43"/>
      <c r="AO237" s="42"/>
      <c r="AP237" s="43"/>
      <c r="AQ237" s="44" t="str">
        <f t="shared" si="31"/>
        <v>EBF</v>
      </c>
      <c r="AR237" s="44" t="str">
        <f t="shared" si="3"/>
        <v/>
      </c>
      <c r="AS237" s="44"/>
      <c r="AT237" s="44" t="str">
        <f t="shared" si="17"/>
        <v/>
      </c>
      <c r="AU237" s="44" t="str">
        <f t="shared" si="2"/>
        <v/>
      </c>
      <c r="AV237" s="38"/>
      <c r="AW237" s="38"/>
      <c r="AX237" s="38"/>
      <c r="AY237" s="38"/>
      <c r="AZ237" s="29">
        <v>1000.0</v>
      </c>
      <c r="BA237" s="29"/>
      <c r="BB237" s="29">
        <v>1.0</v>
      </c>
      <c r="BC237" s="29"/>
      <c r="BD237" s="29" t="s">
        <v>88</v>
      </c>
      <c r="BE237" s="29"/>
      <c r="BF237" s="29" t="s">
        <v>679</v>
      </c>
      <c r="BG237" s="29" t="s">
        <v>644</v>
      </c>
      <c r="BH237" s="29" t="s">
        <v>92</v>
      </c>
      <c r="BI237" s="29" t="s">
        <v>680</v>
      </c>
      <c r="BJ237" s="29"/>
      <c r="BK237" s="29" t="s">
        <v>681</v>
      </c>
      <c r="BL237" s="29"/>
      <c r="BM237" s="45"/>
      <c r="BN237" s="45"/>
      <c r="BO237" s="46"/>
      <c r="BP237" s="2"/>
      <c r="BQ237" s="3"/>
    </row>
    <row r="238" ht="15.75" customHeight="1">
      <c r="A238" s="34">
        <v>239.0</v>
      </c>
      <c r="B238" s="34">
        <v>103301.0</v>
      </c>
      <c r="C238" s="34" t="s">
        <v>415</v>
      </c>
      <c r="D238" s="34" t="s">
        <v>670</v>
      </c>
      <c r="E238" s="34" t="s">
        <v>671</v>
      </c>
      <c r="F238" s="34">
        <v>2018.0</v>
      </c>
      <c r="G238" s="34" t="s">
        <v>672</v>
      </c>
      <c r="H238" s="34" t="s">
        <v>673</v>
      </c>
      <c r="I238" s="34" t="s">
        <v>674</v>
      </c>
      <c r="J238" s="35"/>
      <c r="K238" s="36"/>
      <c r="L238" s="36"/>
      <c r="M238" s="36"/>
      <c r="N238" s="36">
        <v>-25.33</v>
      </c>
      <c r="O238" s="36"/>
      <c r="P238" s="37">
        <v>-25.0</v>
      </c>
      <c r="Q238" s="36"/>
      <c r="R238" s="36" t="s">
        <v>490</v>
      </c>
      <c r="S238" s="36"/>
      <c r="T238" s="36" t="s">
        <v>675</v>
      </c>
      <c r="U238" s="36" t="s">
        <v>676</v>
      </c>
      <c r="V238" s="36">
        <v>30939.0</v>
      </c>
      <c r="W238" s="36"/>
      <c r="X238" s="38">
        <v>62.0</v>
      </c>
      <c r="Y238" s="38"/>
      <c r="Z238" s="38"/>
      <c r="AA238" s="38" t="s">
        <v>197</v>
      </c>
      <c r="AB238" s="38" t="s">
        <v>677</v>
      </c>
      <c r="AC238" s="38"/>
      <c r="AD238" s="53"/>
      <c r="AE238" s="38"/>
      <c r="AF238" s="38"/>
      <c r="AG238" s="38"/>
      <c r="AH238" s="38"/>
      <c r="AI238" s="50"/>
      <c r="AJ238" s="50"/>
      <c r="AK238" s="41"/>
      <c r="AL238" s="40"/>
      <c r="AM238" s="49"/>
      <c r="AN238" s="43"/>
      <c r="AO238" s="42"/>
      <c r="AP238" s="43"/>
      <c r="AQ238" s="44" t="str">
        <f t="shared" si="31"/>
        <v>ENF</v>
      </c>
      <c r="AR238" s="44" t="str">
        <f t="shared" si="3"/>
        <v/>
      </c>
      <c r="AS238" s="44"/>
      <c r="AT238" s="44" t="str">
        <f t="shared" si="17"/>
        <v/>
      </c>
      <c r="AU238" s="44" t="str">
        <f t="shared" si="2"/>
        <v/>
      </c>
      <c r="AV238" s="38"/>
      <c r="AW238" s="38"/>
      <c r="AX238" s="38"/>
      <c r="AY238" s="38"/>
      <c r="AZ238" s="29">
        <v>1000.0</v>
      </c>
      <c r="BA238" s="29"/>
      <c r="BB238" s="29">
        <v>1.0</v>
      </c>
      <c r="BC238" s="29"/>
      <c r="BD238" s="29" t="s">
        <v>88</v>
      </c>
      <c r="BE238" s="29"/>
      <c r="BF238" s="29" t="s">
        <v>679</v>
      </c>
      <c r="BG238" s="29" t="s">
        <v>644</v>
      </c>
      <c r="BH238" s="29" t="s">
        <v>92</v>
      </c>
      <c r="BI238" s="29" t="s">
        <v>680</v>
      </c>
      <c r="BJ238" s="29"/>
      <c r="BK238" s="29" t="s">
        <v>681</v>
      </c>
      <c r="BL238" s="29"/>
      <c r="BM238" s="45"/>
      <c r="BN238" s="45"/>
      <c r="BO238" s="46"/>
      <c r="BP238" s="2"/>
      <c r="BQ238" s="3"/>
    </row>
    <row r="239" ht="15.75" customHeight="1">
      <c r="A239" s="34">
        <v>240.0</v>
      </c>
      <c r="B239" s="34">
        <v>103301.0</v>
      </c>
      <c r="C239" s="34" t="s">
        <v>415</v>
      </c>
      <c r="D239" s="34" t="s">
        <v>670</v>
      </c>
      <c r="E239" s="34" t="s">
        <v>671</v>
      </c>
      <c r="F239" s="34">
        <v>2018.0</v>
      </c>
      <c r="G239" s="34" t="s">
        <v>672</v>
      </c>
      <c r="H239" s="34" t="s">
        <v>673</v>
      </c>
      <c r="I239" s="34" t="s">
        <v>674</v>
      </c>
      <c r="J239" s="35"/>
      <c r="K239" s="36"/>
      <c r="L239" s="36"/>
      <c r="M239" s="36"/>
      <c r="N239" s="36">
        <v>-12.65</v>
      </c>
      <c r="O239" s="36"/>
      <c r="P239" s="37">
        <v>-14.0</v>
      </c>
      <c r="Q239" s="36"/>
      <c r="R239" s="36" t="s">
        <v>490</v>
      </c>
      <c r="S239" s="36"/>
      <c r="T239" s="36" t="s">
        <v>675</v>
      </c>
      <c r="U239" s="36" t="s">
        <v>676</v>
      </c>
      <c r="V239" s="36">
        <v>3659.0</v>
      </c>
      <c r="W239" s="36"/>
      <c r="X239" s="38">
        <v>11.0</v>
      </c>
      <c r="Y239" s="38"/>
      <c r="Z239" s="38"/>
      <c r="AA239" s="38" t="s">
        <v>452</v>
      </c>
      <c r="AB239" s="38" t="s">
        <v>677</v>
      </c>
      <c r="AC239" s="38"/>
      <c r="AD239" s="53"/>
      <c r="AE239" s="38"/>
      <c r="AF239" s="38"/>
      <c r="AG239" s="38"/>
      <c r="AH239" s="38"/>
      <c r="AI239" s="50"/>
      <c r="AJ239" s="50"/>
      <c r="AK239" s="41"/>
      <c r="AL239" s="40"/>
      <c r="AM239" s="49"/>
      <c r="AN239" s="43"/>
      <c r="AO239" s="42"/>
      <c r="AP239" s="43"/>
      <c r="AQ239" s="44" t="str">
        <f t="shared" si="31"/>
        <v>MF</v>
      </c>
      <c r="AR239" s="44" t="str">
        <f t="shared" si="3"/>
        <v/>
      </c>
      <c r="AS239" s="44"/>
      <c r="AT239" s="44" t="str">
        <f t="shared" si="17"/>
        <v/>
      </c>
      <c r="AU239" s="44" t="str">
        <f t="shared" si="2"/>
        <v/>
      </c>
      <c r="AV239" s="38"/>
      <c r="AW239" s="38"/>
      <c r="AX239" s="38"/>
      <c r="AY239" s="38"/>
      <c r="AZ239" s="29">
        <v>1000.0</v>
      </c>
      <c r="BA239" s="29"/>
      <c r="BB239" s="29">
        <v>1.0</v>
      </c>
      <c r="BC239" s="29"/>
      <c r="BD239" s="29" t="s">
        <v>88</v>
      </c>
      <c r="BE239" s="29"/>
      <c r="BF239" s="29" t="s">
        <v>679</v>
      </c>
      <c r="BG239" s="29" t="s">
        <v>644</v>
      </c>
      <c r="BH239" s="29" t="s">
        <v>92</v>
      </c>
      <c r="BI239" s="29" t="s">
        <v>680</v>
      </c>
      <c r="BJ239" s="29"/>
      <c r="BK239" s="29" t="s">
        <v>681</v>
      </c>
      <c r="BL239" s="29"/>
      <c r="BM239" s="45"/>
      <c r="BN239" s="45"/>
      <c r="BO239" s="46"/>
      <c r="BP239" s="2" t="s">
        <v>682</v>
      </c>
      <c r="BQ239" s="3"/>
    </row>
    <row r="240" ht="15.75" customHeight="1">
      <c r="A240" s="34">
        <v>241.0</v>
      </c>
      <c r="B240" s="34">
        <v>103301.0</v>
      </c>
      <c r="C240" s="34" t="s">
        <v>415</v>
      </c>
      <c r="D240" s="34" t="s">
        <v>670</v>
      </c>
      <c r="E240" s="34" t="s">
        <v>671</v>
      </c>
      <c r="F240" s="34">
        <v>2018.0</v>
      </c>
      <c r="G240" s="34" t="s">
        <v>672</v>
      </c>
      <c r="H240" s="34" t="s">
        <v>673</v>
      </c>
      <c r="I240" s="34" t="s">
        <v>674</v>
      </c>
      <c r="J240" s="35"/>
      <c r="K240" s="36"/>
      <c r="L240" s="36"/>
      <c r="M240" s="36"/>
      <c r="N240" s="36">
        <v>8.65</v>
      </c>
      <c r="O240" s="36"/>
      <c r="P240" s="37">
        <v>13.0</v>
      </c>
      <c r="Q240" s="36"/>
      <c r="R240" s="36" t="s">
        <v>490</v>
      </c>
      <c r="S240" s="36"/>
      <c r="T240" s="36" t="s">
        <v>675</v>
      </c>
      <c r="U240" s="36" t="s">
        <v>676</v>
      </c>
      <c r="V240" s="36">
        <v>4026.0</v>
      </c>
      <c r="W240" s="36"/>
      <c r="X240" s="38">
        <v>17.0</v>
      </c>
      <c r="Y240" s="38"/>
      <c r="Z240" s="38"/>
      <c r="AA240" s="38" t="s">
        <v>637</v>
      </c>
      <c r="AB240" s="38" t="s">
        <v>677</v>
      </c>
      <c r="AC240" s="38"/>
      <c r="AD240" s="53"/>
      <c r="AE240" s="38"/>
      <c r="AF240" s="38"/>
      <c r="AG240" s="38"/>
      <c r="AH240" s="38"/>
      <c r="AI240" s="50"/>
      <c r="AJ240" s="50"/>
      <c r="AK240" s="41"/>
      <c r="AL240" s="40"/>
      <c r="AM240" s="49"/>
      <c r="AN240" s="43"/>
      <c r="AO240" s="42"/>
      <c r="AP240" s="43"/>
      <c r="AQ240" s="44" t="s">
        <v>292</v>
      </c>
      <c r="AR240" s="44" t="str">
        <f t="shared" si="3"/>
        <v/>
      </c>
      <c r="AS240" s="44"/>
      <c r="AT240" s="44" t="str">
        <f t="shared" si="17"/>
        <v/>
      </c>
      <c r="AU240" s="44" t="str">
        <f t="shared" si="2"/>
        <v/>
      </c>
      <c r="AV240" s="38"/>
      <c r="AW240" s="38"/>
      <c r="AX240" s="38"/>
      <c r="AY240" s="38"/>
      <c r="AZ240" s="29">
        <v>1000.0</v>
      </c>
      <c r="BA240" s="29"/>
      <c r="BB240" s="29">
        <v>1.0</v>
      </c>
      <c r="BC240" s="29"/>
      <c r="BD240" s="29" t="s">
        <v>88</v>
      </c>
      <c r="BE240" s="29"/>
      <c r="BF240" s="29" t="s">
        <v>679</v>
      </c>
      <c r="BG240" s="29" t="s">
        <v>644</v>
      </c>
      <c r="BH240" s="29" t="s">
        <v>92</v>
      </c>
      <c r="BI240" s="29" t="s">
        <v>680</v>
      </c>
      <c r="BJ240" s="29"/>
      <c r="BK240" s="29" t="s">
        <v>681</v>
      </c>
      <c r="BL240" s="29"/>
      <c r="BM240" s="45"/>
      <c r="BN240" s="45"/>
      <c r="BO240" s="46"/>
      <c r="BP240" s="2"/>
      <c r="BQ240" s="3"/>
    </row>
    <row r="241" ht="15.75" customHeight="1">
      <c r="A241" s="34">
        <v>242.0</v>
      </c>
      <c r="B241" s="34">
        <v>103301.0</v>
      </c>
      <c r="C241" s="34" t="s">
        <v>415</v>
      </c>
      <c r="D241" s="34" t="s">
        <v>670</v>
      </c>
      <c r="E241" s="34" t="s">
        <v>671</v>
      </c>
      <c r="F241" s="34">
        <v>2018.0</v>
      </c>
      <c r="G241" s="34" t="s">
        <v>672</v>
      </c>
      <c r="H241" s="34" t="s">
        <v>673</v>
      </c>
      <c r="I241" s="34" t="s">
        <v>674</v>
      </c>
      <c r="J241" s="35"/>
      <c r="K241" s="36"/>
      <c r="L241" s="36"/>
      <c r="M241" s="36"/>
      <c r="N241" s="36">
        <v>19.96</v>
      </c>
      <c r="O241" s="36"/>
      <c r="P241" s="37">
        <v>31.0</v>
      </c>
      <c r="Q241" s="36"/>
      <c r="R241" s="36" t="s">
        <v>490</v>
      </c>
      <c r="S241" s="36"/>
      <c r="T241" s="36" t="s">
        <v>675</v>
      </c>
      <c r="U241" s="36" t="s">
        <v>676</v>
      </c>
      <c r="V241" s="36">
        <v>4049.0</v>
      </c>
      <c r="W241" s="36"/>
      <c r="X241" s="38">
        <v>9.0</v>
      </c>
      <c r="Y241" s="38"/>
      <c r="Z241" s="38"/>
      <c r="AA241" s="38" t="s">
        <v>313</v>
      </c>
      <c r="AB241" s="38" t="s">
        <v>677</v>
      </c>
      <c r="AC241" s="38"/>
      <c r="AD241" s="53"/>
      <c r="AE241" s="38"/>
      <c r="AF241" s="38"/>
      <c r="AG241" s="38"/>
      <c r="AH241" s="38"/>
      <c r="AI241" s="50"/>
      <c r="AJ241" s="50"/>
      <c r="AK241" s="41"/>
      <c r="AL241" s="40"/>
      <c r="AM241" s="49"/>
      <c r="AN241" s="43"/>
      <c r="AO241" s="42"/>
      <c r="AP241" s="43"/>
      <c r="AQ241" s="44" t="str">
        <f t="shared" ref="AQ241:AQ251" si="32">AA241</f>
        <v>SAV</v>
      </c>
      <c r="AR241" s="44" t="str">
        <f t="shared" si="3"/>
        <v/>
      </c>
      <c r="AS241" s="44"/>
      <c r="AT241" s="44" t="str">
        <f t="shared" si="17"/>
        <v/>
      </c>
      <c r="AU241" s="44" t="str">
        <f t="shared" si="2"/>
        <v/>
      </c>
      <c r="AV241" s="38"/>
      <c r="AW241" s="38"/>
      <c r="AX241" s="38"/>
      <c r="AY241" s="38"/>
      <c r="AZ241" s="29">
        <v>1000.0</v>
      </c>
      <c r="BA241" s="29"/>
      <c r="BB241" s="29">
        <v>1.0</v>
      </c>
      <c r="BC241" s="29"/>
      <c r="BD241" s="29" t="s">
        <v>88</v>
      </c>
      <c r="BE241" s="29"/>
      <c r="BF241" s="29" t="s">
        <v>679</v>
      </c>
      <c r="BG241" s="29" t="s">
        <v>644</v>
      </c>
      <c r="BH241" s="29" t="s">
        <v>92</v>
      </c>
      <c r="BI241" s="29" t="s">
        <v>680</v>
      </c>
      <c r="BJ241" s="29"/>
      <c r="BK241" s="29" t="s">
        <v>681</v>
      </c>
      <c r="BL241" s="29"/>
      <c r="BM241" s="45"/>
      <c r="BN241" s="45"/>
      <c r="BO241" s="46"/>
      <c r="BP241" s="2"/>
      <c r="BQ241" s="3"/>
    </row>
    <row r="242" ht="15.75" customHeight="1">
      <c r="A242" s="34">
        <v>243.0</v>
      </c>
      <c r="B242" s="34">
        <v>103301.0</v>
      </c>
      <c r="C242" s="34" t="s">
        <v>415</v>
      </c>
      <c r="D242" s="34" t="s">
        <v>670</v>
      </c>
      <c r="E242" s="34" t="s">
        <v>671</v>
      </c>
      <c r="F242" s="34">
        <v>2018.0</v>
      </c>
      <c r="G242" s="34" t="s">
        <v>672</v>
      </c>
      <c r="H242" s="34" t="s">
        <v>673</v>
      </c>
      <c r="I242" s="34" t="s">
        <v>674</v>
      </c>
      <c r="J242" s="35"/>
      <c r="K242" s="36"/>
      <c r="L242" s="36"/>
      <c r="M242" s="36"/>
      <c r="N242" s="36">
        <v>2.25</v>
      </c>
      <c r="O242" s="36"/>
      <c r="P242" s="37">
        <v>3.0</v>
      </c>
      <c r="Q242" s="36"/>
      <c r="R242" s="36" t="s">
        <v>490</v>
      </c>
      <c r="S242" s="36"/>
      <c r="T242" s="36" t="s">
        <v>675</v>
      </c>
      <c r="U242" s="36" t="s">
        <v>676</v>
      </c>
      <c r="V242" s="36">
        <v>18736.0</v>
      </c>
      <c r="W242" s="36"/>
      <c r="X242" s="38">
        <v>57.0</v>
      </c>
      <c r="Y242" s="38"/>
      <c r="Z242" s="38"/>
      <c r="AA242" s="38" t="s">
        <v>288</v>
      </c>
      <c r="AB242" s="38" t="s">
        <v>677</v>
      </c>
      <c r="AC242" s="38"/>
      <c r="AD242" s="53"/>
      <c r="AE242" s="38"/>
      <c r="AF242" s="38"/>
      <c r="AG242" s="38"/>
      <c r="AH242" s="38"/>
      <c r="AI242" s="50"/>
      <c r="AJ242" s="50"/>
      <c r="AK242" s="41"/>
      <c r="AL242" s="40"/>
      <c r="AM242" s="49"/>
      <c r="AN242" s="43"/>
      <c r="AO242" s="42"/>
      <c r="AP242" s="43"/>
      <c r="AQ242" s="44" t="str">
        <f t="shared" si="32"/>
        <v>GRA</v>
      </c>
      <c r="AR242" s="44" t="str">
        <f t="shared" si="3"/>
        <v/>
      </c>
      <c r="AS242" s="44"/>
      <c r="AT242" s="44" t="str">
        <f t="shared" si="17"/>
        <v/>
      </c>
      <c r="AU242" s="44" t="str">
        <f t="shared" si="2"/>
        <v/>
      </c>
      <c r="AV242" s="38"/>
      <c r="AW242" s="38"/>
      <c r="AX242" s="38"/>
      <c r="AY242" s="38"/>
      <c r="AZ242" s="29">
        <v>1000.0</v>
      </c>
      <c r="BA242" s="29"/>
      <c r="BB242" s="29">
        <v>1.0</v>
      </c>
      <c r="BC242" s="29"/>
      <c r="BD242" s="29" t="s">
        <v>88</v>
      </c>
      <c r="BE242" s="29"/>
      <c r="BF242" s="29" t="s">
        <v>679</v>
      </c>
      <c r="BG242" s="29" t="s">
        <v>644</v>
      </c>
      <c r="BH242" s="29" t="s">
        <v>92</v>
      </c>
      <c r="BI242" s="29" t="s">
        <v>680</v>
      </c>
      <c r="BJ242" s="29"/>
      <c r="BK242" s="29" t="s">
        <v>681</v>
      </c>
      <c r="BL242" s="29"/>
      <c r="BM242" s="45"/>
      <c r="BN242" s="45"/>
      <c r="BO242" s="46"/>
      <c r="BP242" s="2"/>
      <c r="BQ242" s="3"/>
    </row>
    <row r="243" ht="15.75" customHeight="1">
      <c r="A243" s="34">
        <v>244.0</v>
      </c>
      <c r="B243" s="34">
        <v>103301.0</v>
      </c>
      <c r="C243" s="34" t="s">
        <v>76</v>
      </c>
      <c r="D243" s="34" t="s">
        <v>670</v>
      </c>
      <c r="E243" s="34" t="s">
        <v>671</v>
      </c>
      <c r="F243" s="34">
        <v>2018.0</v>
      </c>
      <c r="G243" s="34" t="s">
        <v>672</v>
      </c>
      <c r="H243" s="34" t="s">
        <v>673</v>
      </c>
      <c r="I243" s="34" t="s">
        <v>683</v>
      </c>
      <c r="J243" s="35"/>
      <c r="K243" s="36"/>
      <c r="L243" s="36"/>
      <c r="M243" s="36"/>
      <c r="N243" s="36">
        <v>-11.35</v>
      </c>
      <c r="O243" s="36"/>
      <c r="P243" s="37">
        <v>-12.0</v>
      </c>
      <c r="Q243" s="36"/>
      <c r="R243" s="36" t="s">
        <v>490</v>
      </c>
      <c r="S243" s="36"/>
      <c r="T243" s="36" t="s">
        <v>675</v>
      </c>
      <c r="U243" s="36" t="s">
        <v>676</v>
      </c>
      <c r="V243" s="36">
        <v>88365.0</v>
      </c>
      <c r="W243" s="36"/>
      <c r="X243" s="38">
        <v>242.0</v>
      </c>
      <c r="Y243" s="38"/>
      <c r="Z243" s="38"/>
      <c r="AA243" s="38"/>
      <c r="AB243" s="38"/>
      <c r="AC243" s="38"/>
      <c r="AD243" s="38" t="s">
        <v>198</v>
      </c>
      <c r="AE243" s="38"/>
      <c r="AF243" s="38"/>
      <c r="AG243" s="38"/>
      <c r="AH243" s="38"/>
      <c r="AI243" s="50"/>
      <c r="AJ243" s="50"/>
      <c r="AK243" s="41"/>
      <c r="AL243" s="40"/>
      <c r="AM243" s="49"/>
      <c r="AN243" s="43"/>
      <c r="AO243" s="42"/>
      <c r="AP243" s="43"/>
      <c r="AQ243" s="44" t="str">
        <f t="shared" si="32"/>
        <v/>
      </c>
      <c r="AR243" s="44" t="str">
        <f t="shared" si="3"/>
        <v/>
      </c>
      <c r="AS243" s="44"/>
      <c r="AT243" s="44" t="str">
        <f t="shared" si="17"/>
        <v/>
      </c>
      <c r="AU243" s="44" t="str">
        <f t="shared" si="2"/>
        <v/>
      </c>
      <c r="AV243" s="38"/>
      <c r="AW243" s="38"/>
      <c r="AX243" s="38"/>
      <c r="AY243" s="38"/>
      <c r="AZ243" s="29">
        <v>1000.0</v>
      </c>
      <c r="BA243" s="29"/>
      <c r="BB243" s="29">
        <v>1.0</v>
      </c>
      <c r="BC243" s="29"/>
      <c r="BD243" s="29" t="s">
        <v>88</v>
      </c>
      <c r="BE243" s="29"/>
      <c r="BF243" s="29" t="s">
        <v>679</v>
      </c>
      <c r="BG243" s="29" t="s">
        <v>644</v>
      </c>
      <c r="BH243" s="29" t="s">
        <v>92</v>
      </c>
      <c r="BI243" s="29" t="s">
        <v>680</v>
      </c>
      <c r="BJ243" s="29"/>
      <c r="BK243" s="29" t="s">
        <v>681</v>
      </c>
      <c r="BL243" s="29"/>
      <c r="BM243" s="45"/>
      <c r="BN243" s="45"/>
      <c r="BO243" s="46"/>
      <c r="BP243" s="73"/>
      <c r="BQ243" s="17"/>
    </row>
    <row r="244" ht="15.75" customHeight="1">
      <c r="A244" s="34">
        <v>245.0</v>
      </c>
      <c r="B244" s="34">
        <v>103301.0</v>
      </c>
      <c r="C244" s="34" t="s">
        <v>76</v>
      </c>
      <c r="D244" s="34" t="s">
        <v>670</v>
      </c>
      <c r="E244" s="34" t="s">
        <v>671</v>
      </c>
      <c r="F244" s="34">
        <v>2018.0</v>
      </c>
      <c r="G244" s="34" t="s">
        <v>672</v>
      </c>
      <c r="H244" s="34" t="s">
        <v>673</v>
      </c>
      <c r="I244" s="34" t="s">
        <v>684</v>
      </c>
      <c r="J244" s="35"/>
      <c r="K244" s="36"/>
      <c r="L244" s="36"/>
      <c r="M244" s="36"/>
      <c r="N244" s="36">
        <v>0.88</v>
      </c>
      <c r="O244" s="36"/>
      <c r="P244" s="37">
        <v>1.0</v>
      </c>
      <c r="Q244" s="36"/>
      <c r="R244" s="36" t="s">
        <v>490</v>
      </c>
      <c r="S244" s="36"/>
      <c r="T244" s="36" t="s">
        <v>675</v>
      </c>
      <c r="U244" s="36" t="s">
        <v>676</v>
      </c>
      <c r="V244" s="36">
        <v>9144.0</v>
      </c>
      <c r="W244" s="36"/>
      <c r="X244" s="38">
        <v>35.0</v>
      </c>
      <c r="Y244" s="38"/>
      <c r="Z244" s="38"/>
      <c r="AA244" s="38" t="s">
        <v>86</v>
      </c>
      <c r="AB244" s="38" t="s">
        <v>677</v>
      </c>
      <c r="AC244" s="38"/>
      <c r="AD244" s="53"/>
      <c r="AE244" s="38"/>
      <c r="AF244" s="38"/>
      <c r="AG244" s="38"/>
      <c r="AH244" s="38"/>
      <c r="AI244" s="50"/>
      <c r="AJ244" s="50"/>
      <c r="AK244" s="41"/>
      <c r="AL244" s="40"/>
      <c r="AM244" s="49"/>
      <c r="AN244" s="43"/>
      <c r="AO244" s="42"/>
      <c r="AP244" s="43"/>
      <c r="AQ244" s="44" t="str">
        <f t="shared" si="32"/>
        <v>CRO</v>
      </c>
      <c r="AR244" s="44" t="str">
        <f t="shared" si="3"/>
        <v/>
      </c>
      <c r="AS244" s="44"/>
      <c r="AT244" s="44" t="str">
        <f t="shared" si="17"/>
        <v/>
      </c>
      <c r="AU244" s="44" t="str">
        <f t="shared" si="2"/>
        <v/>
      </c>
      <c r="AV244" s="38"/>
      <c r="AW244" s="38"/>
      <c r="AX244" s="38"/>
      <c r="AY244" s="38"/>
      <c r="AZ244" s="29">
        <v>1000.0</v>
      </c>
      <c r="BA244" s="29"/>
      <c r="BB244" s="29">
        <v>1.0</v>
      </c>
      <c r="BC244" s="29"/>
      <c r="BD244" s="29" t="s">
        <v>88</v>
      </c>
      <c r="BE244" s="29"/>
      <c r="BF244" s="29" t="s">
        <v>685</v>
      </c>
      <c r="BG244" s="29" t="s">
        <v>644</v>
      </c>
      <c r="BH244" s="29" t="s">
        <v>92</v>
      </c>
      <c r="BI244" s="29" t="s">
        <v>680</v>
      </c>
      <c r="BJ244" s="29"/>
      <c r="BK244" s="29" t="s">
        <v>681</v>
      </c>
      <c r="BL244" s="29"/>
      <c r="BM244" s="45"/>
      <c r="BN244" s="45"/>
      <c r="BO244" s="46"/>
      <c r="BP244" s="2"/>
      <c r="BQ244" s="3"/>
    </row>
    <row r="245" ht="15.75" customHeight="1">
      <c r="A245" s="34">
        <v>246.0</v>
      </c>
      <c r="B245" s="34">
        <v>103301.0</v>
      </c>
      <c r="C245" s="34" t="s">
        <v>76</v>
      </c>
      <c r="D245" s="34" t="s">
        <v>670</v>
      </c>
      <c r="E245" s="34" t="s">
        <v>671</v>
      </c>
      <c r="F245" s="34">
        <v>2018.0</v>
      </c>
      <c r="G245" s="34" t="s">
        <v>672</v>
      </c>
      <c r="H245" s="34" t="s">
        <v>673</v>
      </c>
      <c r="I245" s="34" t="s">
        <v>686</v>
      </c>
      <c r="J245" s="35"/>
      <c r="K245" s="36"/>
      <c r="L245" s="36"/>
      <c r="M245" s="36"/>
      <c r="N245" s="36">
        <v>-0.91</v>
      </c>
      <c r="O245" s="36"/>
      <c r="P245" s="37">
        <v>-1.0</v>
      </c>
      <c r="Q245" s="36"/>
      <c r="R245" s="36" t="s">
        <v>490</v>
      </c>
      <c r="S245" s="36"/>
      <c r="T245" s="36" t="s">
        <v>675</v>
      </c>
      <c r="U245" s="36" t="s">
        <v>676</v>
      </c>
      <c r="V245" s="36">
        <v>13166.0</v>
      </c>
      <c r="W245" s="36"/>
      <c r="X245" s="38">
        <v>28.0</v>
      </c>
      <c r="Y245" s="38"/>
      <c r="Z245" s="38"/>
      <c r="AA245" s="38" t="s">
        <v>370</v>
      </c>
      <c r="AB245" s="38" t="s">
        <v>677</v>
      </c>
      <c r="AC245" s="38"/>
      <c r="AD245" s="53"/>
      <c r="AE245" s="38"/>
      <c r="AF245" s="38"/>
      <c r="AG245" s="38"/>
      <c r="AH245" s="38"/>
      <c r="AI245" s="50"/>
      <c r="AJ245" s="50"/>
      <c r="AK245" s="41"/>
      <c r="AL245" s="40"/>
      <c r="AM245" s="49"/>
      <c r="AN245" s="43"/>
      <c r="AO245" s="42"/>
      <c r="AP245" s="43"/>
      <c r="AQ245" s="44" t="str">
        <f t="shared" si="32"/>
        <v>DBF</v>
      </c>
      <c r="AR245" s="44" t="str">
        <f t="shared" si="3"/>
        <v/>
      </c>
      <c r="AS245" s="44"/>
      <c r="AT245" s="44" t="str">
        <f t="shared" si="17"/>
        <v/>
      </c>
      <c r="AU245" s="44" t="str">
        <f t="shared" si="2"/>
        <v/>
      </c>
      <c r="AV245" s="38"/>
      <c r="AW245" s="38"/>
      <c r="AX245" s="38"/>
      <c r="AY245" s="38"/>
      <c r="AZ245" s="29">
        <v>1000.0</v>
      </c>
      <c r="BA245" s="29"/>
      <c r="BB245" s="29">
        <v>1.0</v>
      </c>
      <c r="BC245" s="29"/>
      <c r="BD245" s="29" t="s">
        <v>88</v>
      </c>
      <c r="BE245" s="29"/>
      <c r="BF245" s="29" t="s">
        <v>685</v>
      </c>
      <c r="BG245" s="29" t="s">
        <v>644</v>
      </c>
      <c r="BH245" s="29" t="s">
        <v>92</v>
      </c>
      <c r="BI245" s="29" t="s">
        <v>680</v>
      </c>
      <c r="BJ245" s="29"/>
      <c r="BK245" s="29" t="s">
        <v>681</v>
      </c>
      <c r="BL245" s="29"/>
      <c r="BM245" s="45"/>
      <c r="BN245" s="45"/>
      <c r="BO245" s="46"/>
      <c r="BP245" s="2"/>
      <c r="BQ245" s="3"/>
    </row>
    <row r="246" ht="15.75" customHeight="1">
      <c r="A246" s="34">
        <v>247.0</v>
      </c>
      <c r="B246" s="34">
        <v>103301.0</v>
      </c>
      <c r="C246" s="34" t="s">
        <v>76</v>
      </c>
      <c r="D246" s="34" t="s">
        <v>670</v>
      </c>
      <c r="E246" s="34" t="s">
        <v>671</v>
      </c>
      <c r="F246" s="34">
        <v>2018.0</v>
      </c>
      <c r="G246" s="34" t="s">
        <v>672</v>
      </c>
      <c r="H246" s="34" t="s">
        <v>673</v>
      </c>
      <c r="I246" s="34" t="s">
        <v>687</v>
      </c>
      <c r="J246" s="35"/>
      <c r="K246" s="36"/>
      <c r="L246" s="36"/>
      <c r="M246" s="36"/>
      <c r="N246" s="36">
        <v>-0.94</v>
      </c>
      <c r="O246" s="36"/>
      <c r="P246" s="37">
        <v>-2.0</v>
      </c>
      <c r="Q246" s="36"/>
      <c r="R246" s="36" t="s">
        <v>490</v>
      </c>
      <c r="S246" s="36"/>
      <c r="T246" s="36" t="s">
        <v>675</v>
      </c>
      <c r="U246" s="36" t="s">
        <v>676</v>
      </c>
      <c r="V246" s="36">
        <v>630.0</v>
      </c>
      <c r="W246" s="36"/>
      <c r="X246" s="38">
        <v>4.0</v>
      </c>
      <c r="Y246" s="38"/>
      <c r="Z246" s="38"/>
      <c r="AA246" s="38" t="s">
        <v>636</v>
      </c>
      <c r="AB246" s="38" t="s">
        <v>677</v>
      </c>
      <c r="AC246" s="38"/>
      <c r="AD246" s="53"/>
      <c r="AE246" s="38"/>
      <c r="AF246" s="38"/>
      <c r="AG246" s="38"/>
      <c r="AH246" s="38"/>
      <c r="AI246" s="50"/>
      <c r="AJ246" s="50"/>
      <c r="AK246" s="41"/>
      <c r="AL246" s="40"/>
      <c r="AM246" s="49"/>
      <c r="AN246" s="43"/>
      <c r="AO246" s="42"/>
      <c r="AP246" s="43"/>
      <c r="AQ246" s="44" t="str">
        <f t="shared" si="32"/>
        <v>DNF</v>
      </c>
      <c r="AR246" s="44" t="str">
        <f t="shared" si="3"/>
        <v/>
      </c>
      <c r="AS246" s="44"/>
      <c r="AT246" s="44" t="str">
        <f t="shared" si="17"/>
        <v/>
      </c>
      <c r="AU246" s="44" t="str">
        <f t="shared" si="2"/>
        <v/>
      </c>
      <c r="AV246" s="38"/>
      <c r="AW246" s="38"/>
      <c r="AX246" s="38"/>
      <c r="AY246" s="38"/>
      <c r="AZ246" s="29">
        <v>1000.0</v>
      </c>
      <c r="BA246" s="29"/>
      <c r="BB246" s="29">
        <v>1.0</v>
      </c>
      <c r="BC246" s="29"/>
      <c r="BD246" s="29" t="s">
        <v>88</v>
      </c>
      <c r="BE246" s="29"/>
      <c r="BF246" s="29" t="s">
        <v>685</v>
      </c>
      <c r="BG246" s="29" t="s">
        <v>644</v>
      </c>
      <c r="BH246" s="29" t="s">
        <v>92</v>
      </c>
      <c r="BI246" s="29" t="s">
        <v>680</v>
      </c>
      <c r="BJ246" s="29"/>
      <c r="BK246" s="29" t="s">
        <v>681</v>
      </c>
      <c r="BL246" s="29"/>
      <c r="BM246" s="45"/>
      <c r="BN246" s="45"/>
      <c r="BO246" s="46"/>
      <c r="BP246" s="2"/>
      <c r="BQ246" s="3"/>
    </row>
    <row r="247" ht="15.75" customHeight="1">
      <c r="A247" s="34">
        <v>248.0</v>
      </c>
      <c r="B247" s="34">
        <v>103301.0</v>
      </c>
      <c r="C247" s="34" t="s">
        <v>76</v>
      </c>
      <c r="D247" s="34" t="s">
        <v>670</v>
      </c>
      <c r="E247" s="34" t="s">
        <v>671</v>
      </c>
      <c r="F247" s="34">
        <v>2018.0</v>
      </c>
      <c r="G247" s="34" t="s">
        <v>672</v>
      </c>
      <c r="H247" s="34" t="s">
        <v>673</v>
      </c>
      <c r="I247" s="34" t="s">
        <v>688</v>
      </c>
      <c r="J247" s="35"/>
      <c r="K247" s="36"/>
      <c r="L247" s="36"/>
      <c r="M247" s="36"/>
      <c r="N247" s="36">
        <v>-0.19</v>
      </c>
      <c r="O247" s="36"/>
      <c r="P247" s="37">
        <v>0.0</v>
      </c>
      <c r="Q247" s="36"/>
      <c r="R247" s="36" t="s">
        <v>490</v>
      </c>
      <c r="S247" s="36"/>
      <c r="T247" s="36" t="s">
        <v>675</v>
      </c>
      <c r="U247" s="36" t="s">
        <v>676</v>
      </c>
      <c r="V247" s="36">
        <v>40114.0</v>
      </c>
      <c r="W247" s="36"/>
      <c r="X247" s="38">
        <v>19.0</v>
      </c>
      <c r="Y247" s="38"/>
      <c r="Z247" s="38"/>
      <c r="AA247" s="38" t="s">
        <v>336</v>
      </c>
      <c r="AB247" s="38" t="s">
        <v>677</v>
      </c>
      <c r="AC247" s="38"/>
      <c r="AD247" s="53"/>
      <c r="AE247" s="38"/>
      <c r="AF247" s="38"/>
      <c r="AG247" s="38"/>
      <c r="AH247" s="38"/>
      <c r="AI247" s="50"/>
      <c r="AJ247" s="50"/>
      <c r="AK247" s="41"/>
      <c r="AL247" s="40"/>
      <c r="AM247" s="49"/>
      <c r="AN247" s="43"/>
      <c r="AO247" s="42"/>
      <c r="AP247" s="43"/>
      <c r="AQ247" s="44" t="str">
        <f t="shared" si="32"/>
        <v>EBF</v>
      </c>
      <c r="AR247" s="44" t="str">
        <f t="shared" si="3"/>
        <v/>
      </c>
      <c r="AS247" s="44"/>
      <c r="AT247" s="44" t="str">
        <f t="shared" si="17"/>
        <v/>
      </c>
      <c r="AU247" s="44" t="str">
        <f t="shared" si="2"/>
        <v/>
      </c>
      <c r="AV247" s="38"/>
      <c r="AW247" s="38"/>
      <c r="AX247" s="38"/>
      <c r="AY247" s="38"/>
      <c r="AZ247" s="29">
        <v>1000.0</v>
      </c>
      <c r="BA247" s="29"/>
      <c r="BB247" s="29">
        <v>1.0</v>
      </c>
      <c r="BC247" s="29"/>
      <c r="BD247" s="29" t="s">
        <v>88</v>
      </c>
      <c r="BE247" s="29"/>
      <c r="BF247" s="29" t="s">
        <v>685</v>
      </c>
      <c r="BG247" s="29" t="s">
        <v>644</v>
      </c>
      <c r="BH247" s="29" t="s">
        <v>92</v>
      </c>
      <c r="BI247" s="29" t="s">
        <v>680</v>
      </c>
      <c r="BJ247" s="29"/>
      <c r="BK247" s="29" t="s">
        <v>681</v>
      </c>
      <c r="BL247" s="29"/>
      <c r="BM247" s="45"/>
      <c r="BN247" s="45"/>
      <c r="BO247" s="46"/>
      <c r="BP247" s="2"/>
      <c r="BQ247" s="3"/>
    </row>
    <row r="248" ht="15.75" customHeight="1">
      <c r="A248" s="34">
        <v>249.0</v>
      </c>
      <c r="B248" s="34">
        <v>103301.0</v>
      </c>
      <c r="C248" s="34" t="s">
        <v>76</v>
      </c>
      <c r="D248" s="34" t="s">
        <v>670</v>
      </c>
      <c r="E248" s="34" t="s">
        <v>671</v>
      </c>
      <c r="F248" s="34">
        <v>2018.0</v>
      </c>
      <c r="G248" s="34" t="s">
        <v>672</v>
      </c>
      <c r="H248" s="34" t="s">
        <v>673</v>
      </c>
      <c r="I248" s="34" t="s">
        <v>689</v>
      </c>
      <c r="J248" s="35"/>
      <c r="K248" s="36"/>
      <c r="L248" s="36"/>
      <c r="M248" s="36"/>
      <c r="N248" s="36">
        <v>-1.07</v>
      </c>
      <c r="O248" s="36"/>
      <c r="P248" s="37">
        <v>-1.0</v>
      </c>
      <c r="Q248" s="36"/>
      <c r="R248" s="36" t="s">
        <v>490</v>
      </c>
      <c r="S248" s="36"/>
      <c r="T248" s="36" t="s">
        <v>675</v>
      </c>
      <c r="U248" s="36" t="s">
        <v>676</v>
      </c>
      <c r="V248" s="36">
        <v>30939.0</v>
      </c>
      <c r="W248" s="36"/>
      <c r="X248" s="38">
        <v>62.0</v>
      </c>
      <c r="Y248" s="38"/>
      <c r="Z248" s="38"/>
      <c r="AA248" s="38" t="s">
        <v>197</v>
      </c>
      <c r="AB248" s="38" t="s">
        <v>677</v>
      </c>
      <c r="AC248" s="38"/>
      <c r="AD248" s="53"/>
      <c r="AE248" s="38"/>
      <c r="AF248" s="38"/>
      <c r="AG248" s="38"/>
      <c r="AH248" s="38"/>
      <c r="AI248" s="50"/>
      <c r="AJ248" s="50"/>
      <c r="AK248" s="41"/>
      <c r="AL248" s="40"/>
      <c r="AM248" s="49"/>
      <c r="AN248" s="43"/>
      <c r="AO248" s="42"/>
      <c r="AP248" s="43"/>
      <c r="AQ248" s="44" t="str">
        <f t="shared" si="32"/>
        <v>ENF</v>
      </c>
      <c r="AR248" s="44" t="str">
        <f t="shared" si="3"/>
        <v/>
      </c>
      <c r="AS248" s="44"/>
      <c r="AT248" s="44" t="str">
        <f t="shared" si="17"/>
        <v/>
      </c>
      <c r="AU248" s="44" t="str">
        <f t="shared" si="2"/>
        <v/>
      </c>
      <c r="AV248" s="38"/>
      <c r="AW248" s="38"/>
      <c r="AX248" s="38"/>
      <c r="AY248" s="38"/>
      <c r="AZ248" s="29">
        <v>1000.0</v>
      </c>
      <c r="BA248" s="29"/>
      <c r="BB248" s="29">
        <v>1.0</v>
      </c>
      <c r="BC248" s="29"/>
      <c r="BD248" s="29" t="s">
        <v>88</v>
      </c>
      <c r="BE248" s="29"/>
      <c r="BF248" s="29" t="s">
        <v>685</v>
      </c>
      <c r="BG248" s="29" t="s">
        <v>644</v>
      </c>
      <c r="BH248" s="29" t="s">
        <v>92</v>
      </c>
      <c r="BI248" s="29" t="s">
        <v>680</v>
      </c>
      <c r="BJ248" s="29"/>
      <c r="BK248" s="29" t="s">
        <v>681</v>
      </c>
      <c r="BL248" s="29"/>
      <c r="BM248" s="45"/>
      <c r="BN248" s="45"/>
      <c r="BO248" s="46"/>
      <c r="BP248" s="2"/>
      <c r="BQ248" s="3"/>
    </row>
    <row r="249" ht="15.75" customHeight="1">
      <c r="A249" s="34">
        <v>250.0</v>
      </c>
      <c r="B249" s="34">
        <v>103301.0</v>
      </c>
      <c r="C249" s="34" t="s">
        <v>76</v>
      </c>
      <c r="D249" s="34" t="s">
        <v>670</v>
      </c>
      <c r="E249" s="34" t="s">
        <v>671</v>
      </c>
      <c r="F249" s="34">
        <v>2018.0</v>
      </c>
      <c r="G249" s="34" t="s">
        <v>672</v>
      </c>
      <c r="H249" s="34" t="s">
        <v>673</v>
      </c>
      <c r="I249" s="34" t="s">
        <v>690</v>
      </c>
      <c r="J249" s="35"/>
      <c r="K249" s="36"/>
      <c r="L249" s="36"/>
      <c r="M249" s="36"/>
      <c r="N249" s="36">
        <v>-0.71</v>
      </c>
      <c r="O249" s="36"/>
      <c r="P249" s="37">
        <v>-1.0</v>
      </c>
      <c r="Q249" s="36"/>
      <c r="R249" s="36" t="s">
        <v>490</v>
      </c>
      <c r="S249" s="36"/>
      <c r="T249" s="36" t="s">
        <v>675</v>
      </c>
      <c r="U249" s="36" t="s">
        <v>676</v>
      </c>
      <c r="V249" s="36">
        <v>3659.0</v>
      </c>
      <c r="W249" s="36"/>
      <c r="X249" s="38">
        <v>11.0</v>
      </c>
      <c r="Y249" s="38"/>
      <c r="Z249" s="38"/>
      <c r="AA249" s="38" t="s">
        <v>452</v>
      </c>
      <c r="AB249" s="38" t="s">
        <v>677</v>
      </c>
      <c r="AC249" s="38"/>
      <c r="AD249" s="53"/>
      <c r="AE249" s="38"/>
      <c r="AF249" s="38"/>
      <c r="AG249" s="38"/>
      <c r="AH249" s="38"/>
      <c r="AI249" s="50"/>
      <c r="AJ249" s="50"/>
      <c r="AK249" s="41"/>
      <c r="AL249" s="40"/>
      <c r="AM249" s="49"/>
      <c r="AN249" s="43"/>
      <c r="AO249" s="42"/>
      <c r="AP249" s="43"/>
      <c r="AQ249" s="44" t="str">
        <f t="shared" si="32"/>
        <v>MF</v>
      </c>
      <c r="AR249" s="44" t="str">
        <f t="shared" si="3"/>
        <v/>
      </c>
      <c r="AS249" s="44"/>
      <c r="AT249" s="44" t="str">
        <f t="shared" si="17"/>
        <v/>
      </c>
      <c r="AU249" s="44" t="str">
        <f t="shared" si="2"/>
        <v/>
      </c>
      <c r="AV249" s="38"/>
      <c r="AW249" s="38"/>
      <c r="AX249" s="38"/>
      <c r="AY249" s="38"/>
      <c r="AZ249" s="29">
        <v>1000.0</v>
      </c>
      <c r="BA249" s="29"/>
      <c r="BB249" s="29">
        <v>1.0</v>
      </c>
      <c r="BC249" s="29"/>
      <c r="BD249" s="29" t="s">
        <v>88</v>
      </c>
      <c r="BE249" s="29"/>
      <c r="BF249" s="29" t="s">
        <v>685</v>
      </c>
      <c r="BG249" s="29" t="s">
        <v>644</v>
      </c>
      <c r="BH249" s="29" t="s">
        <v>92</v>
      </c>
      <c r="BI249" s="29" t="s">
        <v>680</v>
      </c>
      <c r="BJ249" s="29"/>
      <c r="BK249" s="29" t="s">
        <v>681</v>
      </c>
      <c r="BL249" s="29"/>
      <c r="BM249" s="45"/>
      <c r="BN249" s="45"/>
      <c r="BO249" s="46"/>
      <c r="BP249" s="2"/>
      <c r="BQ249" s="3"/>
    </row>
    <row r="250" ht="15.75" customHeight="1">
      <c r="A250" s="34">
        <v>251.0</v>
      </c>
      <c r="B250" s="34">
        <v>103301.0</v>
      </c>
      <c r="C250" s="34" t="s">
        <v>76</v>
      </c>
      <c r="D250" s="34" t="s">
        <v>670</v>
      </c>
      <c r="E250" s="34" t="s">
        <v>671</v>
      </c>
      <c r="F250" s="34">
        <v>2018.0</v>
      </c>
      <c r="G250" s="34" t="s">
        <v>672</v>
      </c>
      <c r="H250" s="34" t="s">
        <v>673</v>
      </c>
      <c r="I250" s="34" t="s">
        <v>691</v>
      </c>
      <c r="J250" s="35"/>
      <c r="K250" s="36"/>
      <c r="L250" s="36"/>
      <c r="M250" s="36"/>
      <c r="N250" s="36">
        <v>-0.82</v>
      </c>
      <c r="O250" s="36"/>
      <c r="P250" s="37">
        <v>-1.0</v>
      </c>
      <c r="Q250" s="36"/>
      <c r="R250" s="36" t="s">
        <v>490</v>
      </c>
      <c r="S250" s="36"/>
      <c r="T250" s="36" t="s">
        <v>675</v>
      </c>
      <c r="U250" s="36" t="s">
        <v>676</v>
      </c>
      <c r="V250" s="36">
        <v>4026.0</v>
      </c>
      <c r="W250" s="36"/>
      <c r="X250" s="38">
        <v>17.0</v>
      </c>
      <c r="Y250" s="38"/>
      <c r="Z250" s="38"/>
      <c r="AA250" s="38" t="s">
        <v>292</v>
      </c>
      <c r="AB250" s="38" t="s">
        <v>677</v>
      </c>
      <c r="AC250" s="38"/>
      <c r="AD250" s="53"/>
      <c r="AE250" s="38"/>
      <c r="AF250" s="38"/>
      <c r="AG250" s="38"/>
      <c r="AH250" s="38"/>
      <c r="AI250" s="50"/>
      <c r="AJ250" s="50"/>
      <c r="AK250" s="41"/>
      <c r="AL250" s="40"/>
      <c r="AM250" s="49"/>
      <c r="AN250" s="43"/>
      <c r="AO250" s="42"/>
      <c r="AP250" s="43"/>
      <c r="AQ250" s="44" t="str">
        <f t="shared" si="32"/>
        <v>OSH</v>
      </c>
      <c r="AR250" s="44" t="str">
        <f t="shared" si="3"/>
        <v/>
      </c>
      <c r="AS250" s="44"/>
      <c r="AT250" s="44" t="str">
        <f t="shared" si="17"/>
        <v/>
      </c>
      <c r="AU250" s="44" t="str">
        <f t="shared" si="2"/>
        <v/>
      </c>
      <c r="AV250" s="38"/>
      <c r="AW250" s="38"/>
      <c r="AX250" s="38"/>
      <c r="AY250" s="38"/>
      <c r="AZ250" s="29">
        <v>1000.0</v>
      </c>
      <c r="BA250" s="29"/>
      <c r="BB250" s="29">
        <v>1.0</v>
      </c>
      <c r="BC250" s="29"/>
      <c r="BD250" s="29" t="s">
        <v>88</v>
      </c>
      <c r="BE250" s="29"/>
      <c r="BF250" s="29" t="s">
        <v>685</v>
      </c>
      <c r="BG250" s="29" t="s">
        <v>644</v>
      </c>
      <c r="BH250" s="29" t="s">
        <v>92</v>
      </c>
      <c r="BI250" s="29" t="s">
        <v>680</v>
      </c>
      <c r="BJ250" s="29"/>
      <c r="BK250" s="29" t="s">
        <v>681</v>
      </c>
      <c r="BL250" s="29"/>
      <c r="BM250" s="45"/>
      <c r="BN250" s="45"/>
      <c r="BO250" s="46"/>
      <c r="BP250" s="2"/>
      <c r="BQ250" s="3"/>
    </row>
    <row r="251" ht="15.75" customHeight="1">
      <c r="A251" s="34">
        <v>252.0</v>
      </c>
      <c r="B251" s="34">
        <v>103301.0</v>
      </c>
      <c r="C251" s="34" t="s">
        <v>76</v>
      </c>
      <c r="D251" s="34" t="s">
        <v>670</v>
      </c>
      <c r="E251" s="34" t="s">
        <v>671</v>
      </c>
      <c r="F251" s="34">
        <v>2018.0</v>
      </c>
      <c r="G251" s="34" t="s">
        <v>672</v>
      </c>
      <c r="H251" s="34" t="s">
        <v>673</v>
      </c>
      <c r="I251" s="34" t="s">
        <v>692</v>
      </c>
      <c r="J251" s="35"/>
      <c r="K251" s="36"/>
      <c r="L251" s="36"/>
      <c r="M251" s="36"/>
      <c r="N251" s="36">
        <v>-0.12</v>
      </c>
      <c r="O251" s="36"/>
      <c r="P251" s="37">
        <v>0.0</v>
      </c>
      <c r="Q251" s="36"/>
      <c r="R251" s="36" t="s">
        <v>490</v>
      </c>
      <c r="S251" s="36"/>
      <c r="T251" s="36" t="s">
        <v>675</v>
      </c>
      <c r="U251" s="36" t="s">
        <v>676</v>
      </c>
      <c r="V251" s="36">
        <v>4049.0</v>
      </c>
      <c r="W251" s="36"/>
      <c r="X251" s="38">
        <v>9.0</v>
      </c>
      <c r="Y251" s="38"/>
      <c r="Z251" s="38"/>
      <c r="AA251" s="38" t="s">
        <v>313</v>
      </c>
      <c r="AB251" s="38" t="s">
        <v>677</v>
      </c>
      <c r="AC251" s="38"/>
      <c r="AD251" s="53"/>
      <c r="AE251" s="38"/>
      <c r="AF251" s="38"/>
      <c r="AG251" s="38"/>
      <c r="AH251" s="38"/>
      <c r="AI251" s="50"/>
      <c r="AJ251" s="50"/>
      <c r="AK251" s="41"/>
      <c r="AL251" s="40"/>
      <c r="AM251" s="49"/>
      <c r="AN251" s="43"/>
      <c r="AO251" s="42"/>
      <c r="AP251" s="43"/>
      <c r="AQ251" s="44" t="str">
        <f t="shared" si="32"/>
        <v>SAV</v>
      </c>
      <c r="AR251" s="44" t="str">
        <f t="shared" si="3"/>
        <v/>
      </c>
      <c r="AS251" s="44"/>
      <c r="AT251" s="44" t="str">
        <f t="shared" si="17"/>
        <v/>
      </c>
      <c r="AU251" s="44" t="str">
        <f t="shared" si="2"/>
        <v/>
      </c>
      <c r="AV251" s="38"/>
      <c r="AW251" s="38"/>
      <c r="AX251" s="38"/>
      <c r="AY251" s="38"/>
      <c r="AZ251" s="29">
        <v>1000.0</v>
      </c>
      <c r="BA251" s="29"/>
      <c r="BB251" s="29">
        <v>1.0</v>
      </c>
      <c r="BC251" s="29"/>
      <c r="BD251" s="29" t="s">
        <v>88</v>
      </c>
      <c r="BE251" s="29"/>
      <c r="BF251" s="29" t="s">
        <v>685</v>
      </c>
      <c r="BG251" s="29" t="s">
        <v>644</v>
      </c>
      <c r="BH251" s="29" t="s">
        <v>92</v>
      </c>
      <c r="BI251" s="29" t="s">
        <v>680</v>
      </c>
      <c r="BJ251" s="29"/>
      <c r="BK251" s="29" t="s">
        <v>681</v>
      </c>
      <c r="BL251" s="29"/>
      <c r="BM251" s="45"/>
      <c r="BN251" s="45"/>
      <c r="BO251" s="46"/>
      <c r="BP251" s="2"/>
      <c r="BQ251" s="3"/>
    </row>
    <row r="252" ht="15.75" customHeight="1">
      <c r="A252" s="34">
        <v>253.0</v>
      </c>
      <c r="B252" s="34">
        <v>103301.0</v>
      </c>
      <c r="C252" s="34" t="s">
        <v>76</v>
      </c>
      <c r="D252" s="34" t="s">
        <v>670</v>
      </c>
      <c r="E252" s="34" t="s">
        <v>671</v>
      </c>
      <c r="F252" s="34">
        <v>2018.0</v>
      </c>
      <c r="G252" s="34" t="s">
        <v>672</v>
      </c>
      <c r="H252" s="34" t="s">
        <v>673</v>
      </c>
      <c r="I252" s="34" t="s">
        <v>693</v>
      </c>
      <c r="J252" s="35"/>
      <c r="K252" s="36"/>
      <c r="L252" s="36"/>
      <c r="M252" s="36"/>
      <c r="N252" s="36">
        <v>0.11</v>
      </c>
      <c r="O252" s="36"/>
      <c r="P252" s="37">
        <v>0.0</v>
      </c>
      <c r="Q252" s="36"/>
      <c r="R252" s="36" t="s">
        <v>490</v>
      </c>
      <c r="S252" s="36"/>
      <c r="T252" s="36" t="s">
        <v>675</v>
      </c>
      <c r="U252" s="36" t="s">
        <v>676</v>
      </c>
      <c r="V252" s="36">
        <v>18736.0</v>
      </c>
      <c r="W252" s="36"/>
      <c r="X252" s="38">
        <v>57.0</v>
      </c>
      <c r="Y252" s="38"/>
      <c r="Z252" s="38"/>
      <c r="AA252" s="38" t="s">
        <v>288</v>
      </c>
      <c r="AB252" s="38"/>
      <c r="AC252" s="38"/>
      <c r="AD252" s="38" t="s">
        <v>198</v>
      </c>
      <c r="AE252" s="38"/>
      <c r="AF252" s="38"/>
      <c r="AG252" s="38"/>
      <c r="AH252" s="38"/>
      <c r="AI252" s="50"/>
      <c r="AJ252" s="50"/>
      <c r="AK252" s="41"/>
      <c r="AL252" s="40"/>
      <c r="AM252" s="49"/>
      <c r="AN252" s="43"/>
      <c r="AO252" s="42"/>
      <c r="AP252" s="43"/>
      <c r="AQ252" s="44" t="s">
        <v>288</v>
      </c>
      <c r="AR252" s="44" t="str">
        <f t="shared" si="3"/>
        <v/>
      </c>
      <c r="AS252" s="44"/>
      <c r="AT252" s="44" t="str">
        <f t="shared" si="17"/>
        <v/>
      </c>
      <c r="AU252" s="44" t="str">
        <f t="shared" si="2"/>
        <v/>
      </c>
      <c r="AV252" s="38"/>
      <c r="AW252" s="38"/>
      <c r="AX252" s="38"/>
      <c r="AY252" s="38"/>
      <c r="AZ252" s="29">
        <v>1000.0</v>
      </c>
      <c r="BA252" s="29"/>
      <c r="BB252" s="29">
        <v>1.0</v>
      </c>
      <c r="BC252" s="29"/>
      <c r="BD252" s="29" t="s">
        <v>88</v>
      </c>
      <c r="BE252" s="29"/>
      <c r="BF252" s="29" t="s">
        <v>685</v>
      </c>
      <c r="BG252" s="29" t="s">
        <v>644</v>
      </c>
      <c r="BH252" s="29" t="s">
        <v>92</v>
      </c>
      <c r="BI252" s="29" t="s">
        <v>680</v>
      </c>
      <c r="BJ252" s="29"/>
      <c r="BK252" s="29" t="s">
        <v>681</v>
      </c>
      <c r="BL252" s="29"/>
      <c r="BM252" s="45"/>
      <c r="BN252" s="45"/>
      <c r="BO252" s="46"/>
      <c r="BP252" s="2" t="s">
        <v>694</v>
      </c>
      <c r="BQ252" s="3"/>
    </row>
    <row r="253" ht="15.75" customHeight="1">
      <c r="A253" s="34">
        <v>254.0</v>
      </c>
      <c r="B253" s="34">
        <v>103301.0</v>
      </c>
      <c r="C253" s="34" t="s">
        <v>76</v>
      </c>
      <c r="D253" s="34" t="s">
        <v>670</v>
      </c>
      <c r="E253" s="34" t="s">
        <v>671</v>
      </c>
      <c r="F253" s="34">
        <v>2018.0</v>
      </c>
      <c r="G253" s="34" t="s">
        <v>672</v>
      </c>
      <c r="H253" s="34" t="s">
        <v>673</v>
      </c>
      <c r="I253" s="34" t="s">
        <v>695</v>
      </c>
      <c r="J253" s="35"/>
      <c r="K253" s="36"/>
      <c r="L253" s="36"/>
      <c r="M253" s="36"/>
      <c r="N253" s="36">
        <v>-0.81</v>
      </c>
      <c r="O253" s="36"/>
      <c r="P253" s="37">
        <v>-1.0</v>
      </c>
      <c r="Q253" s="36"/>
      <c r="R253" s="36" t="s">
        <v>490</v>
      </c>
      <c r="S253" s="36"/>
      <c r="T253" s="36" t="s">
        <v>675</v>
      </c>
      <c r="U253" s="36" t="s">
        <v>676</v>
      </c>
      <c r="V253" s="36">
        <v>88365.0</v>
      </c>
      <c r="W253" s="36"/>
      <c r="X253" s="38">
        <v>242.0</v>
      </c>
      <c r="Y253" s="38"/>
      <c r="Z253" s="38"/>
      <c r="AA253" s="38"/>
      <c r="AB253" s="38"/>
      <c r="AC253" s="38"/>
      <c r="AD253" s="38" t="s">
        <v>198</v>
      </c>
      <c r="AE253" s="38"/>
      <c r="AF253" s="38"/>
      <c r="AG253" s="38"/>
      <c r="AH253" s="38"/>
      <c r="AI253" s="50"/>
      <c r="AJ253" s="50"/>
      <c r="AK253" s="41"/>
      <c r="AL253" s="40"/>
      <c r="AM253" s="49"/>
      <c r="AN253" s="43"/>
      <c r="AO253" s="42"/>
      <c r="AP253" s="43"/>
      <c r="AQ253" s="44" t="str">
        <f t="shared" ref="AQ253:AQ347" si="33">AA253</f>
        <v/>
      </c>
      <c r="AR253" s="44" t="str">
        <f t="shared" si="3"/>
        <v/>
      </c>
      <c r="AS253" s="44"/>
      <c r="AT253" s="44" t="str">
        <f t="shared" si="17"/>
        <v/>
      </c>
      <c r="AU253" s="44" t="str">
        <f t="shared" si="2"/>
        <v/>
      </c>
      <c r="AV253" s="38"/>
      <c r="AW253" s="38"/>
      <c r="AX253" s="38"/>
      <c r="AY253" s="38"/>
      <c r="AZ253" s="29">
        <v>1000.0</v>
      </c>
      <c r="BA253" s="29"/>
      <c r="BB253" s="29">
        <v>1.0</v>
      </c>
      <c r="BC253" s="29"/>
      <c r="BD253" s="29" t="s">
        <v>88</v>
      </c>
      <c r="BE253" s="29"/>
      <c r="BF253" s="29" t="s">
        <v>685</v>
      </c>
      <c r="BG253" s="29" t="s">
        <v>644</v>
      </c>
      <c r="BH253" s="29" t="s">
        <v>92</v>
      </c>
      <c r="BI253" s="29" t="s">
        <v>680</v>
      </c>
      <c r="BJ253" s="29"/>
      <c r="BK253" s="29" t="s">
        <v>681</v>
      </c>
      <c r="BL253" s="29"/>
      <c r="BM253" s="45"/>
      <c r="BN253" s="45"/>
      <c r="BO253" s="46"/>
      <c r="BP253" s="2"/>
      <c r="BQ253" s="3"/>
    </row>
    <row r="254" ht="15.75" customHeight="1">
      <c r="A254" s="34">
        <v>255.0</v>
      </c>
      <c r="B254" s="34">
        <v>103301.0</v>
      </c>
      <c r="C254" s="34" t="s">
        <v>76</v>
      </c>
      <c r="D254" s="34" t="s">
        <v>670</v>
      </c>
      <c r="E254" s="34" t="s">
        <v>671</v>
      </c>
      <c r="F254" s="34">
        <v>2018.0</v>
      </c>
      <c r="G254" s="34" t="s">
        <v>672</v>
      </c>
      <c r="H254" s="34" t="s">
        <v>673</v>
      </c>
      <c r="I254" s="34" t="s">
        <v>696</v>
      </c>
      <c r="J254" s="35"/>
      <c r="K254" s="36"/>
      <c r="L254" s="36"/>
      <c r="M254" s="36"/>
      <c r="N254" s="36">
        <v>0.74</v>
      </c>
      <c r="O254" s="36"/>
      <c r="P254" s="37">
        <v>-1.0</v>
      </c>
      <c r="Q254" s="36"/>
      <c r="R254" s="36" t="s">
        <v>490</v>
      </c>
      <c r="S254" s="36"/>
      <c r="T254" s="36" t="s">
        <v>675</v>
      </c>
      <c r="U254" s="36" t="s">
        <v>676</v>
      </c>
      <c r="V254" s="36">
        <v>9144.0</v>
      </c>
      <c r="W254" s="36"/>
      <c r="X254" s="38">
        <v>35.0</v>
      </c>
      <c r="Y254" s="38"/>
      <c r="Z254" s="38"/>
      <c r="AA254" s="38" t="s">
        <v>86</v>
      </c>
      <c r="AB254" s="38" t="s">
        <v>677</v>
      </c>
      <c r="AC254" s="38"/>
      <c r="AD254" s="53"/>
      <c r="AE254" s="38"/>
      <c r="AF254" s="38"/>
      <c r="AG254" s="38"/>
      <c r="AH254" s="38"/>
      <c r="AI254" s="50"/>
      <c r="AJ254" s="50"/>
      <c r="AK254" s="41"/>
      <c r="AL254" s="40"/>
      <c r="AM254" s="49"/>
      <c r="AN254" s="43"/>
      <c r="AO254" s="42"/>
      <c r="AP254" s="43"/>
      <c r="AQ254" s="44" t="str">
        <f t="shared" si="33"/>
        <v>CRO</v>
      </c>
      <c r="AR254" s="44" t="str">
        <f t="shared" si="3"/>
        <v/>
      </c>
      <c r="AS254" s="44"/>
      <c r="AT254" s="44" t="str">
        <f t="shared" si="17"/>
        <v/>
      </c>
      <c r="AU254" s="44" t="str">
        <f t="shared" si="2"/>
        <v/>
      </c>
      <c r="AV254" s="38"/>
      <c r="AW254" s="38"/>
      <c r="AX254" s="38"/>
      <c r="AY254" s="38"/>
      <c r="AZ254" s="29">
        <v>1000.0</v>
      </c>
      <c r="BA254" s="29"/>
      <c r="BB254" s="29">
        <v>1.0</v>
      </c>
      <c r="BC254" s="29"/>
      <c r="BD254" s="29" t="s">
        <v>88</v>
      </c>
      <c r="BE254" s="29"/>
      <c r="BF254" s="29" t="s">
        <v>642</v>
      </c>
      <c r="BG254" s="29" t="s">
        <v>644</v>
      </c>
      <c r="BH254" s="29" t="s">
        <v>92</v>
      </c>
      <c r="BI254" s="29" t="s">
        <v>680</v>
      </c>
      <c r="BJ254" s="29"/>
      <c r="BK254" s="29" t="s">
        <v>681</v>
      </c>
      <c r="BL254" s="29"/>
      <c r="BM254" s="45"/>
      <c r="BN254" s="45"/>
      <c r="BO254" s="46"/>
      <c r="BP254" s="2"/>
      <c r="BQ254" s="3"/>
    </row>
    <row r="255" ht="15.75" customHeight="1">
      <c r="A255" s="34">
        <v>256.0</v>
      </c>
      <c r="B255" s="34">
        <v>103301.0</v>
      </c>
      <c r="C255" s="34" t="s">
        <v>76</v>
      </c>
      <c r="D255" s="34" t="s">
        <v>670</v>
      </c>
      <c r="E255" s="34" t="s">
        <v>671</v>
      </c>
      <c r="F255" s="34">
        <v>2018.0</v>
      </c>
      <c r="G255" s="34" t="s">
        <v>672</v>
      </c>
      <c r="H255" s="34" t="s">
        <v>673</v>
      </c>
      <c r="I255" s="34" t="s">
        <v>697</v>
      </c>
      <c r="J255" s="35"/>
      <c r="K255" s="36"/>
      <c r="L255" s="36"/>
      <c r="M255" s="36"/>
      <c r="N255" s="36">
        <v>0.78</v>
      </c>
      <c r="O255" s="36"/>
      <c r="P255" s="37">
        <v>-1.0</v>
      </c>
      <c r="Q255" s="36"/>
      <c r="R255" s="36" t="s">
        <v>490</v>
      </c>
      <c r="S255" s="36"/>
      <c r="T255" s="36" t="s">
        <v>675</v>
      </c>
      <c r="U255" s="36" t="s">
        <v>676</v>
      </c>
      <c r="V255" s="36">
        <v>13166.0</v>
      </c>
      <c r="W255" s="36"/>
      <c r="X255" s="38">
        <v>28.0</v>
      </c>
      <c r="Y255" s="38"/>
      <c r="Z255" s="38"/>
      <c r="AA255" s="38" t="s">
        <v>370</v>
      </c>
      <c r="AB255" s="38" t="s">
        <v>677</v>
      </c>
      <c r="AC255" s="38"/>
      <c r="AD255" s="53"/>
      <c r="AE255" s="38"/>
      <c r="AF255" s="38"/>
      <c r="AG255" s="38"/>
      <c r="AH255" s="38"/>
      <c r="AI255" s="50"/>
      <c r="AJ255" s="50"/>
      <c r="AK255" s="41"/>
      <c r="AL255" s="40"/>
      <c r="AM255" s="49"/>
      <c r="AN255" s="43"/>
      <c r="AO255" s="42"/>
      <c r="AP255" s="43"/>
      <c r="AQ255" s="44" t="str">
        <f t="shared" si="33"/>
        <v>DBF</v>
      </c>
      <c r="AR255" s="44" t="str">
        <f t="shared" si="3"/>
        <v/>
      </c>
      <c r="AS255" s="44"/>
      <c r="AT255" s="44" t="str">
        <f t="shared" si="17"/>
        <v/>
      </c>
      <c r="AU255" s="44" t="str">
        <f t="shared" si="2"/>
        <v/>
      </c>
      <c r="AV255" s="38"/>
      <c r="AW255" s="38"/>
      <c r="AX255" s="38"/>
      <c r="AY255" s="38"/>
      <c r="AZ255" s="29">
        <v>1000.0</v>
      </c>
      <c r="BA255" s="29"/>
      <c r="BB255" s="29">
        <v>1.0</v>
      </c>
      <c r="BC255" s="29"/>
      <c r="BD255" s="29" t="s">
        <v>88</v>
      </c>
      <c r="BE255" s="29"/>
      <c r="BF255" s="29" t="s">
        <v>642</v>
      </c>
      <c r="BG255" s="29" t="s">
        <v>644</v>
      </c>
      <c r="BH255" s="29" t="s">
        <v>92</v>
      </c>
      <c r="BI255" s="29" t="s">
        <v>680</v>
      </c>
      <c r="BJ255" s="29"/>
      <c r="BK255" s="29" t="s">
        <v>681</v>
      </c>
      <c r="BL255" s="29"/>
      <c r="BM255" s="45"/>
      <c r="BN255" s="45"/>
      <c r="BO255" s="46"/>
      <c r="BP255" s="2"/>
      <c r="BQ255" s="3"/>
    </row>
    <row r="256" ht="15.75" customHeight="1">
      <c r="A256" s="34">
        <v>257.0</v>
      </c>
      <c r="B256" s="34">
        <v>103301.0</v>
      </c>
      <c r="C256" s="34" t="s">
        <v>76</v>
      </c>
      <c r="D256" s="34" t="s">
        <v>670</v>
      </c>
      <c r="E256" s="34" t="s">
        <v>671</v>
      </c>
      <c r="F256" s="34">
        <v>2018.0</v>
      </c>
      <c r="G256" s="34" t="s">
        <v>672</v>
      </c>
      <c r="H256" s="34" t="s">
        <v>673</v>
      </c>
      <c r="I256" s="34" t="s">
        <v>698</v>
      </c>
      <c r="J256" s="35"/>
      <c r="K256" s="36"/>
      <c r="L256" s="36"/>
      <c r="M256" s="36"/>
      <c r="N256" s="36">
        <v>0.85</v>
      </c>
      <c r="O256" s="36"/>
      <c r="P256" s="37">
        <v>-3.0</v>
      </c>
      <c r="Q256" s="36"/>
      <c r="R256" s="36" t="s">
        <v>490</v>
      </c>
      <c r="S256" s="36"/>
      <c r="T256" s="36" t="s">
        <v>675</v>
      </c>
      <c r="U256" s="36" t="s">
        <v>676</v>
      </c>
      <c r="V256" s="36">
        <v>630.0</v>
      </c>
      <c r="W256" s="36"/>
      <c r="X256" s="38">
        <v>4.0</v>
      </c>
      <c r="Y256" s="38"/>
      <c r="Z256" s="38"/>
      <c r="AA256" s="38" t="s">
        <v>636</v>
      </c>
      <c r="AB256" s="38" t="s">
        <v>677</v>
      </c>
      <c r="AC256" s="38"/>
      <c r="AD256" s="53"/>
      <c r="AE256" s="38"/>
      <c r="AF256" s="38"/>
      <c r="AG256" s="38"/>
      <c r="AH256" s="38"/>
      <c r="AI256" s="50"/>
      <c r="AJ256" s="50"/>
      <c r="AK256" s="41"/>
      <c r="AL256" s="40"/>
      <c r="AM256" s="49"/>
      <c r="AN256" s="43"/>
      <c r="AO256" s="42"/>
      <c r="AP256" s="43"/>
      <c r="AQ256" s="44" t="str">
        <f t="shared" si="33"/>
        <v>DNF</v>
      </c>
      <c r="AR256" s="44" t="str">
        <f t="shared" si="3"/>
        <v/>
      </c>
      <c r="AS256" s="44"/>
      <c r="AT256" s="44" t="str">
        <f t="shared" si="17"/>
        <v/>
      </c>
      <c r="AU256" s="44" t="str">
        <f t="shared" si="2"/>
        <v/>
      </c>
      <c r="AV256" s="38"/>
      <c r="AW256" s="38"/>
      <c r="AX256" s="38"/>
      <c r="AY256" s="38"/>
      <c r="AZ256" s="29">
        <v>1000.0</v>
      </c>
      <c r="BA256" s="29"/>
      <c r="BB256" s="29">
        <v>1.0</v>
      </c>
      <c r="BC256" s="29"/>
      <c r="BD256" s="29" t="s">
        <v>88</v>
      </c>
      <c r="BE256" s="29"/>
      <c r="BF256" s="29" t="s">
        <v>642</v>
      </c>
      <c r="BG256" s="29" t="s">
        <v>644</v>
      </c>
      <c r="BH256" s="29" t="s">
        <v>92</v>
      </c>
      <c r="BI256" s="29" t="s">
        <v>680</v>
      </c>
      <c r="BJ256" s="29"/>
      <c r="BK256" s="29" t="s">
        <v>681</v>
      </c>
      <c r="BL256" s="29"/>
      <c r="BM256" s="45"/>
      <c r="BN256" s="45"/>
      <c r="BO256" s="46"/>
      <c r="BP256" s="2"/>
      <c r="BQ256" s="3"/>
    </row>
    <row r="257" ht="15.75" customHeight="1">
      <c r="A257" s="34">
        <v>258.0</v>
      </c>
      <c r="B257" s="34">
        <v>103301.0</v>
      </c>
      <c r="C257" s="34" t="s">
        <v>76</v>
      </c>
      <c r="D257" s="34" t="s">
        <v>670</v>
      </c>
      <c r="E257" s="34" t="s">
        <v>671</v>
      </c>
      <c r="F257" s="34">
        <v>2018.0</v>
      </c>
      <c r="G257" s="34" t="s">
        <v>672</v>
      </c>
      <c r="H257" s="34" t="s">
        <v>673</v>
      </c>
      <c r="I257" s="34" t="s">
        <v>699</v>
      </c>
      <c r="J257" s="35"/>
      <c r="K257" s="36"/>
      <c r="L257" s="36"/>
      <c r="M257" s="36"/>
      <c r="N257" s="36">
        <v>0.81</v>
      </c>
      <c r="O257" s="36"/>
      <c r="P257" s="37">
        <v>0.0</v>
      </c>
      <c r="Q257" s="36"/>
      <c r="R257" s="36" t="s">
        <v>490</v>
      </c>
      <c r="S257" s="36"/>
      <c r="T257" s="36" t="s">
        <v>675</v>
      </c>
      <c r="U257" s="36" t="s">
        <v>676</v>
      </c>
      <c r="V257" s="36">
        <v>40114.0</v>
      </c>
      <c r="W257" s="36"/>
      <c r="X257" s="38">
        <v>19.0</v>
      </c>
      <c r="Y257" s="38"/>
      <c r="Z257" s="38"/>
      <c r="AA257" s="38" t="s">
        <v>336</v>
      </c>
      <c r="AB257" s="38" t="s">
        <v>677</v>
      </c>
      <c r="AC257" s="38"/>
      <c r="AD257" s="53"/>
      <c r="AE257" s="38"/>
      <c r="AF257" s="38"/>
      <c r="AG257" s="38"/>
      <c r="AH257" s="38"/>
      <c r="AI257" s="50"/>
      <c r="AJ257" s="50"/>
      <c r="AK257" s="41"/>
      <c r="AL257" s="40"/>
      <c r="AM257" s="49"/>
      <c r="AN257" s="43"/>
      <c r="AO257" s="42"/>
      <c r="AP257" s="43"/>
      <c r="AQ257" s="44" t="str">
        <f t="shared" si="33"/>
        <v>EBF</v>
      </c>
      <c r="AR257" s="44" t="str">
        <f t="shared" si="3"/>
        <v/>
      </c>
      <c r="AS257" s="44"/>
      <c r="AT257" s="44" t="str">
        <f t="shared" si="17"/>
        <v/>
      </c>
      <c r="AU257" s="44" t="str">
        <f t="shared" si="2"/>
        <v/>
      </c>
      <c r="AV257" s="38"/>
      <c r="AW257" s="38"/>
      <c r="AX257" s="38"/>
      <c r="AY257" s="38"/>
      <c r="AZ257" s="29">
        <v>1000.0</v>
      </c>
      <c r="BA257" s="29"/>
      <c r="BB257" s="29">
        <v>1.0</v>
      </c>
      <c r="BC257" s="29"/>
      <c r="BD257" s="29" t="s">
        <v>88</v>
      </c>
      <c r="BE257" s="29"/>
      <c r="BF257" s="29" t="s">
        <v>642</v>
      </c>
      <c r="BG257" s="29" t="s">
        <v>644</v>
      </c>
      <c r="BH257" s="29" t="s">
        <v>92</v>
      </c>
      <c r="BI257" s="29" t="s">
        <v>680</v>
      </c>
      <c r="BJ257" s="29"/>
      <c r="BK257" s="29" t="s">
        <v>681</v>
      </c>
      <c r="BL257" s="29"/>
      <c r="BM257" s="45"/>
      <c r="BN257" s="45"/>
      <c r="BO257" s="46"/>
      <c r="BP257" s="2"/>
      <c r="BQ257" s="3"/>
    </row>
    <row r="258" ht="15.75" customHeight="1">
      <c r="A258" s="34">
        <v>259.0</v>
      </c>
      <c r="B258" s="34">
        <v>103301.0</v>
      </c>
      <c r="C258" s="34" t="s">
        <v>76</v>
      </c>
      <c r="D258" s="34" t="s">
        <v>670</v>
      </c>
      <c r="E258" s="34" t="s">
        <v>671</v>
      </c>
      <c r="F258" s="34">
        <v>2018.0</v>
      </c>
      <c r="G258" s="34" t="s">
        <v>672</v>
      </c>
      <c r="H258" s="34" t="s">
        <v>673</v>
      </c>
      <c r="I258" s="34" t="s">
        <v>700</v>
      </c>
      <c r="J258" s="35"/>
      <c r="K258" s="36"/>
      <c r="L258" s="36"/>
      <c r="M258" s="36"/>
      <c r="N258" s="36">
        <v>0.71</v>
      </c>
      <c r="O258" s="36"/>
      <c r="P258" s="37">
        <v>-3.0</v>
      </c>
      <c r="Q258" s="36"/>
      <c r="R258" s="36" t="s">
        <v>490</v>
      </c>
      <c r="S258" s="36"/>
      <c r="T258" s="36" t="s">
        <v>675</v>
      </c>
      <c r="U258" s="36" t="s">
        <v>676</v>
      </c>
      <c r="V258" s="36">
        <v>30939.0</v>
      </c>
      <c r="W258" s="36"/>
      <c r="X258" s="38">
        <v>62.0</v>
      </c>
      <c r="Y258" s="38"/>
      <c r="Z258" s="38"/>
      <c r="AA258" s="38" t="s">
        <v>197</v>
      </c>
      <c r="AB258" s="38" t="s">
        <v>677</v>
      </c>
      <c r="AC258" s="38"/>
      <c r="AD258" s="53"/>
      <c r="AE258" s="38"/>
      <c r="AF258" s="38"/>
      <c r="AG258" s="38"/>
      <c r="AH258" s="38"/>
      <c r="AI258" s="50"/>
      <c r="AJ258" s="50"/>
      <c r="AK258" s="41"/>
      <c r="AL258" s="40"/>
      <c r="AM258" s="49"/>
      <c r="AN258" s="43"/>
      <c r="AO258" s="42"/>
      <c r="AP258" s="43"/>
      <c r="AQ258" s="44" t="str">
        <f t="shared" si="33"/>
        <v>ENF</v>
      </c>
      <c r="AR258" s="44" t="str">
        <f t="shared" si="3"/>
        <v/>
      </c>
      <c r="AS258" s="44"/>
      <c r="AT258" s="44" t="str">
        <f t="shared" si="17"/>
        <v/>
      </c>
      <c r="AU258" s="44" t="str">
        <f t="shared" si="2"/>
        <v/>
      </c>
      <c r="AV258" s="38"/>
      <c r="AW258" s="38"/>
      <c r="AX258" s="38"/>
      <c r="AY258" s="38"/>
      <c r="AZ258" s="29">
        <v>1000.0</v>
      </c>
      <c r="BA258" s="29"/>
      <c r="BB258" s="29">
        <v>1.0</v>
      </c>
      <c r="BC258" s="29"/>
      <c r="BD258" s="29" t="s">
        <v>88</v>
      </c>
      <c r="BE258" s="29"/>
      <c r="BF258" s="29" t="s">
        <v>642</v>
      </c>
      <c r="BG258" s="29" t="s">
        <v>644</v>
      </c>
      <c r="BH258" s="29" t="s">
        <v>92</v>
      </c>
      <c r="BI258" s="29" t="s">
        <v>680</v>
      </c>
      <c r="BJ258" s="29"/>
      <c r="BK258" s="29" t="s">
        <v>681</v>
      </c>
      <c r="BL258" s="29"/>
      <c r="BM258" s="45"/>
      <c r="BN258" s="45"/>
      <c r="BO258" s="46"/>
      <c r="BP258" s="2"/>
      <c r="BQ258" s="3"/>
    </row>
    <row r="259" ht="15.75" customHeight="1">
      <c r="A259" s="34">
        <v>260.0</v>
      </c>
      <c r="B259" s="34">
        <v>103301.0</v>
      </c>
      <c r="C259" s="34" t="s">
        <v>76</v>
      </c>
      <c r="D259" s="34" t="s">
        <v>670</v>
      </c>
      <c r="E259" s="34" t="s">
        <v>671</v>
      </c>
      <c r="F259" s="34">
        <v>2018.0</v>
      </c>
      <c r="G259" s="34" t="s">
        <v>672</v>
      </c>
      <c r="H259" s="34" t="s">
        <v>673</v>
      </c>
      <c r="I259" s="34" t="s">
        <v>701</v>
      </c>
      <c r="J259" s="35"/>
      <c r="K259" s="36"/>
      <c r="L259" s="36"/>
      <c r="M259" s="36"/>
      <c r="N259" s="36">
        <v>0.79</v>
      </c>
      <c r="O259" s="36"/>
      <c r="P259" s="37">
        <v>-2.0</v>
      </c>
      <c r="Q259" s="36"/>
      <c r="R259" s="36" t="s">
        <v>490</v>
      </c>
      <c r="S259" s="36"/>
      <c r="T259" s="36" t="s">
        <v>675</v>
      </c>
      <c r="U259" s="36" t="s">
        <v>676</v>
      </c>
      <c r="V259" s="36">
        <v>3659.0</v>
      </c>
      <c r="W259" s="36"/>
      <c r="X259" s="38">
        <v>11.0</v>
      </c>
      <c r="Y259" s="38"/>
      <c r="Z259" s="38"/>
      <c r="AA259" s="38" t="s">
        <v>452</v>
      </c>
      <c r="AB259" s="38" t="s">
        <v>677</v>
      </c>
      <c r="AC259" s="38"/>
      <c r="AD259" s="53"/>
      <c r="AE259" s="38"/>
      <c r="AF259" s="38"/>
      <c r="AG259" s="38"/>
      <c r="AH259" s="38"/>
      <c r="AI259" s="50"/>
      <c r="AJ259" s="50"/>
      <c r="AK259" s="41"/>
      <c r="AL259" s="40"/>
      <c r="AM259" s="49"/>
      <c r="AN259" s="43"/>
      <c r="AO259" s="42"/>
      <c r="AP259" s="43"/>
      <c r="AQ259" s="44" t="str">
        <f t="shared" si="33"/>
        <v>MF</v>
      </c>
      <c r="AR259" s="44" t="str">
        <f t="shared" si="3"/>
        <v/>
      </c>
      <c r="AS259" s="44"/>
      <c r="AT259" s="44" t="str">
        <f t="shared" si="17"/>
        <v/>
      </c>
      <c r="AU259" s="44" t="str">
        <f t="shared" si="2"/>
        <v/>
      </c>
      <c r="AV259" s="38"/>
      <c r="AW259" s="38"/>
      <c r="AX259" s="38"/>
      <c r="AY259" s="38"/>
      <c r="AZ259" s="29">
        <v>1000.0</v>
      </c>
      <c r="BA259" s="29"/>
      <c r="BB259" s="29">
        <v>1.0</v>
      </c>
      <c r="BC259" s="29"/>
      <c r="BD259" s="29" t="s">
        <v>88</v>
      </c>
      <c r="BE259" s="29"/>
      <c r="BF259" s="29" t="s">
        <v>642</v>
      </c>
      <c r="BG259" s="29" t="s">
        <v>644</v>
      </c>
      <c r="BH259" s="29" t="s">
        <v>92</v>
      </c>
      <c r="BI259" s="29" t="s">
        <v>680</v>
      </c>
      <c r="BJ259" s="29"/>
      <c r="BK259" s="29" t="s">
        <v>681</v>
      </c>
      <c r="BL259" s="29"/>
      <c r="BM259" s="45"/>
      <c r="BN259" s="45"/>
      <c r="BO259" s="46"/>
      <c r="BP259" s="2"/>
      <c r="BQ259" s="3"/>
    </row>
    <row r="260" ht="15.75" customHeight="1">
      <c r="A260" s="34">
        <v>261.0</v>
      </c>
      <c r="B260" s="34">
        <v>103301.0</v>
      </c>
      <c r="C260" s="34" t="s">
        <v>76</v>
      </c>
      <c r="D260" s="34" t="s">
        <v>670</v>
      </c>
      <c r="E260" s="34" t="s">
        <v>671</v>
      </c>
      <c r="F260" s="34">
        <v>2018.0</v>
      </c>
      <c r="G260" s="34" t="s">
        <v>672</v>
      </c>
      <c r="H260" s="34" t="s">
        <v>673</v>
      </c>
      <c r="I260" s="34" t="s">
        <v>702</v>
      </c>
      <c r="J260" s="35"/>
      <c r="K260" s="36"/>
      <c r="L260" s="36"/>
      <c r="M260" s="36"/>
      <c r="N260" s="36">
        <v>0.71</v>
      </c>
      <c r="O260" s="36"/>
      <c r="P260" s="37">
        <v>-1.0</v>
      </c>
      <c r="Q260" s="36"/>
      <c r="R260" s="36" t="s">
        <v>490</v>
      </c>
      <c r="S260" s="36"/>
      <c r="T260" s="36" t="s">
        <v>675</v>
      </c>
      <c r="U260" s="36" t="s">
        <v>676</v>
      </c>
      <c r="V260" s="36">
        <v>4026.0</v>
      </c>
      <c r="W260" s="36"/>
      <c r="X260" s="38">
        <v>17.0</v>
      </c>
      <c r="Y260" s="38"/>
      <c r="Z260" s="38"/>
      <c r="AA260" s="38" t="s">
        <v>292</v>
      </c>
      <c r="AB260" s="38" t="s">
        <v>677</v>
      </c>
      <c r="AC260" s="38"/>
      <c r="AD260" s="53"/>
      <c r="AE260" s="38"/>
      <c r="AF260" s="38"/>
      <c r="AG260" s="38"/>
      <c r="AH260" s="38"/>
      <c r="AI260" s="50"/>
      <c r="AJ260" s="50"/>
      <c r="AK260" s="41"/>
      <c r="AL260" s="40"/>
      <c r="AM260" s="49"/>
      <c r="AN260" s="43"/>
      <c r="AO260" s="42"/>
      <c r="AP260" s="43"/>
      <c r="AQ260" s="44" t="str">
        <f t="shared" si="33"/>
        <v>OSH</v>
      </c>
      <c r="AR260" s="44" t="str">
        <f t="shared" si="3"/>
        <v/>
      </c>
      <c r="AS260" s="44"/>
      <c r="AT260" s="44" t="str">
        <f t="shared" si="17"/>
        <v/>
      </c>
      <c r="AU260" s="44" t="str">
        <f t="shared" si="2"/>
        <v/>
      </c>
      <c r="AV260" s="38"/>
      <c r="AW260" s="38"/>
      <c r="AX260" s="38"/>
      <c r="AY260" s="38"/>
      <c r="AZ260" s="29">
        <v>1000.0</v>
      </c>
      <c r="BA260" s="29"/>
      <c r="BB260" s="29">
        <v>1.0</v>
      </c>
      <c r="BC260" s="29"/>
      <c r="BD260" s="29" t="s">
        <v>88</v>
      </c>
      <c r="BE260" s="29"/>
      <c r="BF260" s="29" t="s">
        <v>642</v>
      </c>
      <c r="BG260" s="29" t="s">
        <v>644</v>
      </c>
      <c r="BH260" s="29" t="s">
        <v>92</v>
      </c>
      <c r="BI260" s="29" t="s">
        <v>680</v>
      </c>
      <c r="BJ260" s="29"/>
      <c r="BK260" s="29" t="s">
        <v>681</v>
      </c>
      <c r="BL260" s="29"/>
      <c r="BM260" s="45"/>
      <c r="BN260" s="45"/>
      <c r="BO260" s="46"/>
      <c r="BP260" s="2"/>
      <c r="BQ260" s="3"/>
    </row>
    <row r="261" ht="15.75" customHeight="1">
      <c r="A261" s="34">
        <v>262.0</v>
      </c>
      <c r="B261" s="34">
        <v>103301.0</v>
      </c>
      <c r="C261" s="34" t="s">
        <v>76</v>
      </c>
      <c r="D261" s="34" t="s">
        <v>670</v>
      </c>
      <c r="E261" s="34" t="s">
        <v>671</v>
      </c>
      <c r="F261" s="34">
        <v>2018.0</v>
      </c>
      <c r="G261" s="34" t="s">
        <v>672</v>
      </c>
      <c r="H261" s="34" t="s">
        <v>673</v>
      </c>
      <c r="I261" s="34" t="s">
        <v>703</v>
      </c>
      <c r="J261" s="35"/>
      <c r="K261" s="36"/>
      <c r="L261" s="36"/>
      <c r="M261" s="36"/>
      <c r="N261" s="36">
        <v>0.85</v>
      </c>
      <c r="O261" s="36"/>
      <c r="P261" s="37">
        <v>-2.0</v>
      </c>
      <c r="Q261" s="36"/>
      <c r="R261" s="36" t="s">
        <v>490</v>
      </c>
      <c r="S261" s="36"/>
      <c r="T261" s="36" t="s">
        <v>675</v>
      </c>
      <c r="U261" s="36" t="s">
        <v>676</v>
      </c>
      <c r="V261" s="36">
        <v>4049.0</v>
      </c>
      <c r="W261" s="36"/>
      <c r="X261" s="38">
        <v>9.0</v>
      </c>
      <c r="Y261" s="38"/>
      <c r="Z261" s="38"/>
      <c r="AA261" s="38" t="s">
        <v>313</v>
      </c>
      <c r="AB261" s="38" t="s">
        <v>677</v>
      </c>
      <c r="AC261" s="38"/>
      <c r="AD261" s="53"/>
      <c r="AE261" s="38"/>
      <c r="AF261" s="38"/>
      <c r="AG261" s="38"/>
      <c r="AH261" s="38"/>
      <c r="AI261" s="50"/>
      <c r="AJ261" s="50"/>
      <c r="AK261" s="41"/>
      <c r="AL261" s="40"/>
      <c r="AM261" s="49"/>
      <c r="AN261" s="43"/>
      <c r="AO261" s="42"/>
      <c r="AP261" s="43"/>
      <c r="AQ261" s="44" t="str">
        <f t="shared" si="33"/>
        <v>SAV</v>
      </c>
      <c r="AR261" s="44" t="str">
        <f t="shared" si="3"/>
        <v/>
      </c>
      <c r="AS261" s="44"/>
      <c r="AT261" s="44" t="str">
        <f t="shared" si="17"/>
        <v/>
      </c>
      <c r="AU261" s="44" t="str">
        <f t="shared" si="2"/>
        <v/>
      </c>
      <c r="AV261" s="38"/>
      <c r="AW261" s="38"/>
      <c r="AX261" s="38"/>
      <c r="AY261" s="38"/>
      <c r="AZ261" s="29">
        <v>1000.0</v>
      </c>
      <c r="BA261" s="29"/>
      <c r="BB261" s="29">
        <v>1.0</v>
      </c>
      <c r="BC261" s="29"/>
      <c r="BD261" s="29" t="s">
        <v>88</v>
      </c>
      <c r="BE261" s="29"/>
      <c r="BF261" s="29" t="s">
        <v>642</v>
      </c>
      <c r="BG261" s="29" t="s">
        <v>644</v>
      </c>
      <c r="BH261" s="29" t="s">
        <v>92</v>
      </c>
      <c r="BI261" s="29" t="s">
        <v>680</v>
      </c>
      <c r="BJ261" s="29"/>
      <c r="BK261" s="29" t="s">
        <v>681</v>
      </c>
      <c r="BL261" s="29"/>
      <c r="BM261" s="45"/>
      <c r="BN261" s="45"/>
      <c r="BO261" s="46"/>
      <c r="BP261" s="2"/>
      <c r="BQ261" s="3"/>
    </row>
    <row r="262" ht="15.75" customHeight="1">
      <c r="A262" s="34">
        <v>263.0</v>
      </c>
      <c r="B262" s="34">
        <v>103301.0</v>
      </c>
      <c r="C262" s="34" t="s">
        <v>76</v>
      </c>
      <c r="D262" s="34" t="s">
        <v>670</v>
      </c>
      <c r="E262" s="34" t="s">
        <v>671</v>
      </c>
      <c r="F262" s="34">
        <v>2018.0</v>
      </c>
      <c r="G262" s="34" t="s">
        <v>672</v>
      </c>
      <c r="H262" s="34" t="s">
        <v>673</v>
      </c>
      <c r="I262" s="34" t="s">
        <v>704</v>
      </c>
      <c r="J262" s="35"/>
      <c r="K262" s="36"/>
      <c r="L262" s="36"/>
      <c r="M262" s="36"/>
      <c r="N262" s="36">
        <v>0.72</v>
      </c>
      <c r="O262" s="36"/>
      <c r="P262" s="37">
        <v>0.0</v>
      </c>
      <c r="Q262" s="36"/>
      <c r="R262" s="36" t="s">
        <v>490</v>
      </c>
      <c r="S262" s="36"/>
      <c r="T262" s="36" t="s">
        <v>675</v>
      </c>
      <c r="U262" s="36" t="s">
        <v>676</v>
      </c>
      <c r="V262" s="36">
        <v>18736.0</v>
      </c>
      <c r="W262" s="36"/>
      <c r="X262" s="38">
        <v>57.0</v>
      </c>
      <c r="Y262" s="38"/>
      <c r="Z262" s="38"/>
      <c r="AA262" s="38" t="s">
        <v>288</v>
      </c>
      <c r="AB262" s="38" t="s">
        <v>677</v>
      </c>
      <c r="AC262" s="38"/>
      <c r="AD262" s="53"/>
      <c r="AE262" s="38"/>
      <c r="AF262" s="38"/>
      <c r="AG262" s="38"/>
      <c r="AH262" s="38"/>
      <c r="AI262" s="50"/>
      <c r="AJ262" s="50"/>
      <c r="AK262" s="41"/>
      <c r="AL262" s="40"/>
      <c r="AM262" s="49"/>
      <c r="AN262" s="43"/>
      <c r="AO262" s="42"/>
      <c r="AP262" s="43"/>
      <c r="AQ262" s="44" t="str">
        <f t="shared" si="33"/>
        <v>GRA</v>
      </c>
      <c r="AR262" s="44" t="str">
        <f t="shared" si="3"/>
        <v/>
      </c>
      <c r="AS262" s="44"/>
      <c r="AT262" s="44" t="str">
        <f t="shared" si="17"/>
        <v/>
      </c>
      <c r="AU262" s="44" t="str">
        <f t="shared" si="2"/>
        <v/>
      </c>
      <c r="AV262" s="38"/>
      <c r="AW262" s="38"/>
      <c r="AX262" s="38"/>
      <c r="AY262" s="38"/>
      <c r="AZ262" s="29">
        <v>1000.0</v>
      </c>
      <c r="BA262" s="29"/>
      <c r="BB262" s="29">
        <v>1.0</v>
      </c>
      <c r="BC262" s="29"/>
      <c r="BD262" s="29" t="s">
        <v>88</v>
      </c>
      <c r="BE262" s="29"/>
      <c r="BF262" s="29" t="s">
        <v>642</v>
      </c>
      <c r="BG262" s="29" t="s">
        <v>644</v>
      </c>
      <c r="BH262" s="29" t="s">
        <v>92</v>
      </c>
      <c r="BI262" s="29" t="s">
        <v>680</v>
      </c>
      <c r="BJ262" s="29"/>
      <c r="BK262" s="29" t="s">
        <v>681</v>
      </c>
      <c r="BL262" s="29"/>
      <c r="BM262" s="45"/>
      <c r="BN262" s="45"/>
      <c r="BO262" s="46"/>
      <c r="BP262" s="2"/>
      <c r="BQ262" s="3"/>
    </row>
    <row r="263" ht="15.75" customHeight="1">
      <c r="A263" s="34">
        <v>264.0</v>
      </c>
      <c r="B263" s="34">
        <v>103301.0</v>
      </c>
      <c r="C263" s="34" t="s">
        <v>76</v>
      </c>
      <c r="D263" s="34" t="s">
        <v>670</v>
      </c>
      <c r="E263" s="34" t="s">
        <v>671</v>
      </c>
      <c r="F263" s="34">
        <v>2018.0</v>
      </c>
      <c r="G263" s="34" t="s">
        <v>672</v>
      </c>
      <c r="H263" s="34" t="s">
        <v>673</v>
      </c>
      <c r="I263" s="34" t="s">
        <v>705</v>
      </c>
      <c r="J263" s="35"/>
      <c r="K263" s="36"/>
      <c r="L263" s="36"/>
      <c r="M263" s="36"/>
      <c r="N263" s="36">
        <v>0.71</v>
      </c>
      <c r="O263" s="36"/>
      <c r="P263" s="37">
        <v>-3.0</v>
      </c>
      <c r="Q263" s="36"/>
      <c r="R263" s="36" t="s">
        <v>490</v>
      </c>
      <c r="S263" s="36"/>
      <c r="T263" s="36" t="s">
        <v>675</v>
      </c>
      <c r="U263" s="36" t="s">
        <v>676</v>
      </c>
      <c r="V263" s="36">
        <v>88365.0</v>
      </c>
      <c r="W263" s="36"/>
      <c r="X263" s="38">
        <v>242.0</v>
      </c>
      <c r="Y263" s="38"/>
      <c r="Z263" s="38"/>
      <c r="AA263" s="38"/>
      <c r="AB263" s="38"/>
      <c r="AC263" s="38"/>
      <c r="AD263" s="38" t="s">
        <v>198</v>
      </c>
      <c r="AE263" s="38"/>
      <c r="AF263" s="38"/>
      <c r="AG263" s="38"/>
      <c r="AH263" s="38"/>
      <c r="AI263" s="50"/>
      <c r="AJ263" s="50"/>
      <c r="AK263" s="41"/>
      <c r="AL263" s="40"/>
      <c r="AM263" s="49"/>
      <c r="AN263" s="43"/>
      <c r="AO263" s="42"/>
      <c r="AP263" s="43"/>
      <c r="AQ263" s="44" t="str">
        <f t="shared" si="33"/>
        <v/>
      </c>
      <c r="AR263" s="44" t="str">
        <f t="shared" si="3"/>
        <v/>
      </c>
      <c r="AS263" s="44"/>
      <c r="AT263" s="44" t="str">
        <f t="shared" si="17"/>
        <v/>
      </c>
      <c r="AU263" s="44" t="str">
        <f t="shared" si="2"/>
        <v/>
      </c>
      <c r="AV263" s="38"/>
      <c r="AW263" s="38"/>
      <c r="AX263" s="38"/>
      <c r="AY263" s="38"/>
      <c r="AZ263" s="29">
        <v>1000.0</v>
      </c>
      <c r="BA263" s="29"/>
      <c r="BB263" s="29">
        <v>1.0</v>
      </c>
      <c r="BC263" s="29"/>
      <c r="BD263" s="29" t="s">
        <v>88</v>
      </c>
      <c r="BE263" s="29"/>
      <c r="BF263" s="29" t="s">
        <v>642</v>
      </c>
      <c r="BG263" s="29" t="s">
        <v>644</v>
      </c>
      <c r="BH263" s="29" t="s">
        <v>92</v>
      </c>
      <c r="BI263" s="29" t="s">
        <v>680</v>
      </c>
      <c r="BJ263" s="29"/>
      <c r="BK263" s="29" t="s">
        <v>681</v>
      </c>
      <c r="BL263" s="29"/>
      <c r="BM263" s="45"/>
      <c r="BN263" s="45"/>
      <c r="BO263" s="46"/>
      <c r="BP263" s="2"/>
      <c r="BQ263" s="3"/>
    </row>
    <row r="264" ht="15.75" customHeight="1">
      <c r="A264" s="34">
        <v>265.0</v>
      </c>
      <c r="B264" s="34">
        <v>103301.0</v>
      </c>
      <c r="C264" s="34" t="s">
        <v>76</v>
      </c>
      <c r="D264" s="34" t="s">
        <v>670</v>
      </c>
      <c r="E264" s="34" t="s">
        <v>671</v>
      </c>
      <c r="F264" s="34">
        <v>2018.0</v>
      </c>
      <c r="G264" s="34" t="s">
        <v>672</v>
      </c>
      <c r="H264" s="34" t="s">
        <v>673</v>
      </c>
      <c r="I264" s="34" t="s">
        <v>706</v>
      </c>
      <c r="J264" s="35"/>
      <c r="K264" s="36"/>
      <c r="L264" s="36"/>
      <c r="M264" s="36"/>
      <c r="N264" s="36">
        <v>6.25</v>
      </c>
      <c r="O264" s="36"/>
      <c r="P264" s="37">
        <v>6.0</v>
      </c>
      <c r="Q264" s="36"/>
      <c r="R264" s="36" t="s">
        <v>490</v>
      </c>
      <c r="S264" s="36"/>
      <c r="T264" s="36" t="s">
        <v>675</v>
      </c>
      <c r="U264" s="36" t="s">
        <v>676</v>
      </c>
      <c r="V264" s="36">
        <v>9144.0</v>
      </c>
      <c r="W264" s="36"/>
      <c r="X264" s="38">
        <v>35.0</v>
      </c>
      <c r="Y264" s="38"/>
      <c r="Z264" s="38"/>
      <c r="AA264" s="38" t="s">
        <v>86</v>
      </c>
      <c r="AB264" s="38" t="s">
        <v>677</v>
      </c>
      <c r="AC264" s="38"/>
      <c r="AD264" s="53"/>
      <c r="AE264" s="38"/>
      <c r="AF264" s="38"/>
      <c r="AG264" s="38"/>
      <c r="AH264" s="38"/>
      <c r="AI264" s="50"/>
      <c r="AJ264" s="50"/>
      <c r="AK264" s="41"/>
      <c r="AL264" s="40"/>
      <c r="AM264" s="49"/>
      <c r="AN264" s="43"/>
      <c r="AO264" s="42"/>
      <c r="AP264" s="43"/>
      <c r="AQ264" s="44" t="str">
        <f t="shared" si="33"/>
        <v>CRO</v>
      </c>
      <c r="AR264" s="44" t="str">
        <f t="shared" si="3"/>
        <v/>
      </c>
      <c r="AS264" s="44"/>
      <c r="AT264" s="44" t="str">
        <f t="shared" si="17"/>
        <v/>
      </c>
      <c r="AU264" s="44" t="str">
        <f t="shared" si="2"/>
        <v/>
      </c>
      <c r="AV264" s="38"/>
      <c r="AW264" s="38"/>
      <c r="AX264" s="38"/>
      <c r="AY264" s="38"/>
      <c r="AZ264" s="29">
        <v>1000.0</v>
      </c>
      <c r="BA264" s="29"/>
      <c r="BB264" s="29">
        <v>1.0</v>
      </c>
      <c r="BC264" s="29"/>
      <c r="BD264" s="29" t="s">
        <v>88</v>
      </c>
      <c r="BE264" s="29"/>
      <c r="BF264" s="29" t="s">
        <v>707</v>
      </c>
      <c r="BG264" s="29" t="s">
        <v>644</v>
      </c>
      <c r="BH264" s="29" t="s">
        <v>92</v>
      </c>
      <c r="BI264" s="29" t="s">
        <v>680</v>
      </c>
      <c r="BJ264" s="29"/>
      <c r="BK264" s="29" t="s">
        <v>681</v>
      </c>
      <c r="BL264" s="29"/>
      <c r="BM264" s="45"/>
      <c r="BN264" s="45"/>
      <c r="BO264" s="46"/>
      <c r="BP264" s="2"/>
      <c r="BQ264" s="3"/>
    </row>
    <row r="265" ht="15.75" customHeight="1">
      <c r="A265" s="34">
        <v>266.0</v>
      </c>
      <c r="B265" s="34">
        <v>103301.0</v>
      </c>
      <c r="C265" s="34" t="s">
        <v>76</v>
      </c>
      <c r="D265" s="34" t="s">
        <v>670</v>
      </c>
      <c r="E265" s="34" t="s">
        <v>671</v>
      </c>
      <c r="F265" s="34">
        <v>2018.0</v>
      </c>
      <c r="G265" s="34" t="s">
        <v>672</v>
      </c>
      <c r="H265" s="34" t="s">
        <v>673</v>
      </c>
      <c r="I265" s="34" t="s">
        <v>708</v>
      </c>
      <c r="J265" s="35"/>
      <c r="K265" s="36"/>
      <c r="L265" s="36"/>
      <c r="M265" s="36"/>
      <c r="N265" s="36">
        <v>15.68</v>
      </c>
      <c r="O265" s="36"/>
      <c r="P265" s="37">
        <v>16.0</v>
      </c>
      <c r="Q265" s="36"/>
      <c r="R265" s="36" t="s">
        <v>490</v>
      </c>
      <c r="S265" s="36"/>
      <c r="T265" s="36" t="s">
        <v>675</v>
      </c>
      <c r="U265" s="36" t="s">
        <v>676</v>
      </c>
      <c r="V265" s="36">
        <v>13166.0</v>
      </c>
      <c r="W265" s="36"/>
      <c r="X265" s="38">
        <v>28.0</v>
      </c>
      <c r="Y265" s="38"/>
      <c r="Z265" s="38"/>
      <c r="AA265" s="38" t="s">
        <v>370</v>
      </c>
      <c r="AB265" s="38" t="s">
        <v>677</v>
      </c>
      <c r="AC265" s="38"/>
      <c r="AD265" s="53"/>
      <c r="AE265" s="38"/>
      <c r="AF265" s="38"/>
      <c r="AG265" s="38"/>
      <c r="AH265" s="38"/>
      <c r="AI265" s="50"/>
      <c r="AJ265" s="50"/>
      <c r="AK265" s="41"/>
      <c r="AL265" s="40"/>
      <c r="AM265" s="49"/>
      <c r="AN265" s="43"/>
      <c r="AO265" s="42"/>
      <c r="AP265" s="43"/>
      <c r="AQ265" s="44" t="str">
        <f t="shared" si="33"/>
        <v>DBF</v>
      </c>
      <c r="AR265" s="44" t="str">
        <f t="shared" si="3"/>
        <v/>
      </c>
      <c r="AS265" s="44"/>
      <c r="AT265" s="44" t="str">
        <f t="shared" si="17"/>
        <v/>
      </c>
      <c r="AU265" s="44" t="str">
        <f t="shared" si="2"/>
        <v/>
      </c>
      <c r="AV265" s="38"/>
      <c r="AW265" s="38"/>
      <c r="AX265" s="38"/>
      <c r="AY265" s="38"/>
      <c r="AZ265" s="29">
        <v>1000.0</v>
      </c>
      <c r="BA265" s="29"/>
      <c r="BB265" s="29">
        <v>1.0</v>
      </c>
      <c r="BC265" s="29"/>
      <c r="BD265" s="29" t="s">
        <v>88</v>
      </c>
      <c r="BE265" s="29"/>
      <c r="BF265" s="29" t="s">
        <v>707</v>
      </c>
      <c r="BG265" s="29" t="s">
        <v>644</v>
      </c>
      <c r="BH265" s="29" t="s">
        <v>92</v>
      </c>
      <c r="BI265" s="29" t="s">
        <v>680</v>
      </c>
      <c r="BJ265" s="29"/>
      <c r="BK265" s="29" t="s">
        <v>681</v>
      </c>
      <c r="BL265" s="29"/>
      <c r="BM265" s="45"/>
      <c r="BN265" s="45"/>
      <c r="BO265" s="46"/>
      <c r="BP265" s="2"/>
      <c r="BQ265" s="3"/>
    </row>
    <row r="266" ht="15.75" customHeight="1">
      <c r="A266" s="34">
        <v>267.0</v>
      </c>
      <c r="B266" s="34">
        <v>103301.0</v>
      </c>
      <c r="C266" s="34" t="s">
        <v>76</v>
      </c>
      <c r="D266" s="34" t="s">
        <v>670</v>
      </c>
      <c r="E266" s="34" t="s">
        <v>671</v>
      </c>
      <c r="F266" s="34">
        <v>2018.0</v>
      </c>
      <c r="G266" s="34" t="s">
        <v>672</v>
      </c>
      <c r="H266" s="34" t="s">
        <v>673</v>
      </c>
      <c r="I266" s="34" t="s">
        <v>709</v>
      </c>
      <c r="J266" s="35"/>
      <c r="K266" s="36"/>
      <c r="L266" s="36"/>
      <c r="M266" s="36"/>
      <c r="N266" s="36">
        <v>11.77</v>
      </c>
      <c r="O266" s="36"/>
      <c r="P266" s="37">
        <v>19.0</v>
      </c>
      <c r="Q266" s="36"/>
      <c r="R266" s="36" t="s">
        <v>490</v>
      </c>
      <c r="S266" s="36"/>
      <c r="T266" s="36" t="s">
        <v>675</v>
      </c>
      <c r="U266" s="36" t="s">
        <v>676</v>
      </c>
      <c r="V266" s="36">
        <v>630.0</v>
      </c>
      <c r="W266" s="36"/>
      <c r="X266" s="38">
        <v>4.0</v>
      </c>
      <c r="Y266" s="38"/>
      <c r="Z266" s="38"/>
      <c r="AA266" s="38" t="s">
        <v>636</v>
      </c>
      <c r="AB266" s="38" t="s">
        <v>677</v>
      </c>
      <c r="AC266" s="38"/>
      <c r="AD266" s="53"/>
      <c r="AE266" s="38"/>
      <c r="AF266" s="38"/>
      <c r="AG266" s="38"/>
      <c r="AH266" s="38"/>
      <c r="AI266" s="50"/>
      <c r="AJ266" s="50"/>
      <c r="AK266" s="41"/>
      <c r="AL266" s="40"/>
      <c r="AM266" s="49"/>
      <c r="AN266" s="43"/>
      <c r="AO266" s="42"/>
      <c r="AP266" s="43"/>
      <c r="AQ266" s="44" t="str">
        <f t="shared" si="33"/>
        <v>DNF</v>
      </c>
      <c r="AR266" s="44" t="str">
        <f t="shared" si="3"/>
        <v/>
      </c>
      <c r="AS266" s="44"/>
      <c r="AT266" s="44" t="str">
        <f t="shared" si="17"/>
        <v/>
      </c>
      <c r="AU266" s="44" t="str">
        <f t="shared" si="2"/>
        <v/>
      </c>
      <c r="AV266" s="38"/>
      <c r="AW266" s="38"/>
      <c r="AX266" s="38"/>
      <c r="AY266" s="38"/>
      <c r="AZ266" s="29">
        <v>1000.0</v>
      </c>
      <c r="BA266" s="29"/>
      <c r="BB266" s="29">
        <v>1.0</v>
      </c>
      <c r="BC266" s="29"/>
      <c r="BD266" s="29" t="s">
        <v>88</v>
      </c>
      <c r="BE266" s="29"/>
      <c r="BF266" s="29" t="s">
        <v>707</v>
      </c>
      <c r="BG266" s="29" t="s">
        <v>644</v>
      </c>
      <c r="BH266" s="29" t="s">
        <v>92</v>
      </c>
      <c r="BI266" s="29" t="s">
        <v>680</v>
      </c>
      <c r="BJ266" s="29"/>
      <c r="BK266" s="29" t="s">
        <v>681</v>
      </c>
      <c r="BL266" s="29"/>
      <c r="BM266" s="45"/>
      <c r="BN266" s="45"/>
      <c r="BO266" s="46"/>
      <c r="BP266" s="2"/>
      <c r="BQ266" s="3"/>
    </row>
    <row r="267" ht="15.75" customHeight="1">
      <c r="A267" s="34">
        <v>268.0</v>
      </c>
      <c r="B267" s="34">
        <v>103301.0</v>
      </c>
      <c r="C267" s="34" t="s">
        <v>76</v>
      </c>
      <c r="D267" s="34" t="s">
        <v>670</v>
      </c>
      <c r="E267" s="34" t="s">
        <v>671</v>
      </c>
      <c r="F267" s="34">
        <v>2018.0</v>
      </c>
      <c r="G267" s="34" t="s">
        <v>672</v>
      </c>
      <c r="H267" s="34" t="s">
        <v>673</v>
      </c>
      <c r="I267" s="34" t="s">
        <v>710</v>
      </c>
      <c r="J267" s="35"/>
      <c r="K267" s="36"/>
      <c r="L267" s="36"/>
      <c r="M267" s="36"/>
      <c r="N267" s="36">
        <v>10.12</v>
      </c>
      <c r="O267" s="36"/>
      <c r="P267" s="37">
        <v>7.0</v>
      </c>
      <c r="Q267" s="36"/>
      <c r="R267" s="36" t="s">
        <v>490</v>
      </c>
      <c r="S267" s="36"/>
      <c r="T267" s="36" t="s">
        <v>675</v>
      </c>
      <c r="U267" s="36" t="s">
        <v>676</v>
      </c>
      <c r="V267" s="36">
        <v>40114.0</v>
      </c>
      <c r="W267" s="36"/>
      <c r="X267" s="38">
        <v>19.0</v>
      </c>
      <c r="Y267" s="38"/>
      <c r="Z267" s="38"/>
      <c r="AA267" s="38" t="s">
        <v>336</v>
      </c>
      <c r="AB267" s="38" t="s">
        <v>677</v>
      </c>
      <c r="AC267" s="38"/>
      <c r="AD267" s="53"/>
      <c r="AE267" s="38"/>
      <c r="AF267" s="38"/>
      <c r="AG267" s="38"/>
      <c r="AH267" s="38"/>
      <c r="AI267" s="50"/>
      <c r="AJ267" s="50"/>
      <c r="AK267" s="41"/>
      <c r="AL267" s="40"/>
      <c r="AM267" s="49"/>
      <c r="AN267" s="43"/>
      <c r="AO267" s="42"/>
      <c r="AP267" s="43"/>
      <c r="AQ267" s="44" t="str">
        <f t="shared" si="33"/>
        <v>EBF</v>
      </c>
      <c r="AR267" s="44" t="str">
        <f t="shared" si="3"/>
        <v/>
      </c>
      <c r="AS267" s="44"/>
      <c r="AT267" s="44" t="str">
        <f t="shared" si="17"/>
        <v/>
      </c>
      <c r="AU267" s="44" t="str">
        <f t="shared" si="2"/>
        <v/>
      </c>
      <c r="AV267" s="38"/>
      <c r="AW267" s="38"/>
      <c r="AX267" s="38"/>
      <c r="AY267" s="38"/>
      <c r="AZ267" s="29">
        <v>1000.0</v>
      </c>
      <c r="BA267" s="29"/>
      <c r="BB267" s="29">
        <v>1.0</v>
      </c>
      <c r="BC267" s="29"/>
      <c r="BD267" s="29" t="s">
        <v>88</v>
      </c>
      <c r="BE267" s="29"/>
      <c r="BF267" s="29" t="s">
        <v>707</v>
      </c>
      <c r="BG267" s="29" t="s">
        <v>644</v>
      </c>
      <c r="BH267" s="29" t="s">
        <v>92</v>
      </c>
      <c r="BI267" s="29" t="s">
        <v>680</v>
      </c>
      <c r="BJ267" s="29"/>
      <c r="BK267" s="29" t="s">
        <v>681</v>
      </c>
      <c r="BL267" s="29"/>
      <c r="BM267" s="45"/>
      <c r="BN267" s="45"/>
      <c r="BO267" s="46"/>
      <c r="BP267" s="2"/>
      <c r="BQ267" s="3"/>
    </row>
    <row r="268" ht="15.75" customHeight="1">
      <c r="A268" s="34">
        <v>269.0</v>
      </c>
      <c r="B268" s="34">
        <v>103301.0</v>
      </c>
      <c r="C268" s="34" t="s">
        <v>76</v>
      </c>
      <c r="D268" s="34" t="s">
        <v>670</v>
      </c>
      <c r="E268" s="34" t="s">
        <v>671</v>
      </c>
      <c r="F268" s="34">
        <v>2018.0</v>
      </c>
      <c r="G268" s="34" t="s">
        <v>672</v>
      </c>
      <c r="H268" s="34" t="s">
        <v>673</v>
      </c>
      <c r="I268" s="34" t="s">
        <v>711</v>
      </c>
      <c r="J268" s="35"/>
      <c r="K268" s="36"/>
      <c r="L268" s="36"/>
      <c r="M268" s="36"/>
      <c r="N268" s="36">
        <v>8.94</v>
      </c>
      <c r="O268" s="36"/>
      <c r="P268" s="37">
        <v>11.0</v>
      </c>
      <c r="Q268" s="36"/>
      <c r="R268" s="36" t="s">
        <v>490</v>
      </c>
      <c r="S268" s="36"/>
      <c r="T268" s="36" t="s">
        <v>675</v>
      </c>
      <c r="U268" s="36" t="s">
        <v>676</v>
      </c>
      <c r="V268" s="36">
        <v>30939.0</v>
      </c>
      <c r="W268" s="36"/>
      <c r="X268" s="38">
        <v>62.0</v>
      </c>
      <c r="Y268" s="38"/>
      <c r="Z268" s="38"/>
      <c r="AA268" s="38" t="s">
        <v>197</v>
      </c>
      <c r="AB268" s="38" t="s">
        <v>677</v>
      </c>
      <c r="AC268" s="38"/>
      <c r="AD268" s="53"/>
      <c r="AE268" s="38"/>
      <c r="AF268" s="38"/>
      <c r="AG268" s="38"/>
      <c r="AH268" s="38"/>
      <c r="AI268" s="50"/>
      <c r="AJ268" s="50"/>
      <c r="AK268" s="41"/>
      <c r="AL268" s="40"/>
      <c r="AM268" s="49"/>
      <c r="AN268" s="43"/>
      <c r="AO268" s="42"/>
      <c r="AP268" s="43"/>
      <c r="AQ268" s="44" t="str">
        <f t="shared" si="33"/>
        <v>ENF</v>
      </c>
      <c r="AR268" s="44" t="str">
        <f t="shared" si="3"/>
        <v/>
      </c>
      <c r="AS268" s="44"/>
      <c r="AT268" s="44" t="str">
        <f t="shared" si="17"/>
        <v/>
      </c>
      <c r="AU268" s="44" t="str">
        <f t="shared" si="2"/>
        <v/>
      </c>
      <c r="AV268" s="38"/>
      <c r="AW268" s="38"/>
      <c r="AX268" s="38"/>
      <c r="AY268" s="38"/>
      <c r="AZ268" s="29">
        <v>1000.0</v>
      </c>
      <c r="BA268" s="29"/>
      <c r="BB268" s="29">
        <v>1.0</v>
      </c>
      <c r="BC268" s="29"/>
      <c r="BD268" s="29" t="s">
        <v>88</v>
      </c>
      <c r="BE268" s="29"/>
      <c r="BF268" s="29" t="s">
        <v>707</v>
      </c>
      <c r="BG268" s="29" t="s">
        <v>644</v>
      </c>
      <c r="BH268" s="29" t="s">
        <v>92</v>
      </c>
      <c r="BI268" s="29" t="s">
        <v>680</v>
      </c>
      <c r="BJ268" s="29"/>
      <c r="BK268" s="29" t="s">
        <v>681</v>
      </c>
      <c r="BL268" s="29"/>
      <c r="BM268" s="45"/>
      <c r="BN268" s="45"/>
      <c r="BO268" s="46"/>
      <c r="BP268" s="2"/>
      <c r="BQ268" s="3"/>
    </row>
    <row r="269" ht="15.75" customHeight="1">
      <c r="A269" s="34">
        <v>270.0</v>
      </c>
      <c r="B269" s="34">
        <v>103301.0</v>
      </c>
      <c r="C269" s="34" t="s">
        <v>76</v>
      </c>
      <c r="D269" s="34" t="s">
        <v>670</v>
      </c>
      <c r="E269" s="34" t="s">
        <v>671</v>
      </c>
      <c r="F269" s="34">
        <v>2018.0</v>
      </c>
      <c r="G269" s="34" t="s">
        <v>672</v>
      </c>
      <c r="H269" s="34" t="s">
        <v>673</v>
      </c>
      <c r="I269" s="34" t="s">
        <v>712</v>
      </c>
      <c r="J269" s="35"/>
      <c r="K269" s="36"/>
      <c r="L269" s="36"/>
      <c r="M269" s="36"/>
      <c r="N269" s="36">
        <v>13.58</v>
      </c>
      <c r="O269" s="36"/>
      <c r="P269" s="37">
        <v>16.0</v>
      </c>
      <c r="Q269" s="36"/>
      <c r="R269" s="36" t="s">
        <v>490</v>
      </c>
      <c r="S269" s="36"/>
      <c r="T269" s="36" t="s">
        <v>675</v>
      </c>
      <c r="U269" s="36" t="s">
        <v>676</v>
      </c>
      <c r="V269" s="36">
        <v>3659.0</v>
      </c>
      <c r="W269" s="36"/>
      <c r="X269" s="38">
        <v>11.0</v>
      </c>
      <c r="Y269" s="38"/>
      <c r="Z269" s="38"/>
      <c r="AA269" s="38" t="s">
        <v>452</v>
      </c>
      <c r="AB269" s="38" t="s">
        <v>677</v>
      </c>
      <c r="AC269" s="38"/>
      <c r="AD269" s="53"/>
      <c r="AE269" s="38"/>
      <c r="AF269" s="38"/>
      <c r="AG269" s="38"/>
      <c r="AH269" s="38"/>
      <c r="AI269" s="50"/>
      <c r="AJ269" s="50"/>
      <c r="AK269" s="41"/>
      <c r="AL269" s="40"/>
      <c r="AM269" s="49"/>
      <c r="AN269" s="43"/>
      <c r="AO269" s="42"/>
      <c r="AP269" s="43"/>
      <c r="AQ269" s="44" t="str">
        <f t="shared" si="33"/>
        <v>MF</v>
      </c>
      <c r="AR269" s="44" t="str">
        <f t="shared" si="3"/>
        <v/>
      </c>
      <c r="AS269" s="44"/>
      <c r="AT269" s="44" t="str">
        <f t="shared" si="17"/>
        <v/>
      </c>
      <c r="AU269" s="44" t="str">
        <f t="shared" si="2"/>
        <v/>
      </c>
      <c r="AV269" s="38"/>
      <c r="AW269" s="38"/>
      <c r="AX269" s="38"/>
      <c r="AY269" s="38"/>
      <c r="AZ269" s="29">
        <v>1000.0</v>
      </c>
      <c r="BA269" s="29"/>
      <c r="BB269" s="29">
        <v>1.0</v>
      </c>
      <c r="BC269" s="29"/>
      <c r="BD269" s="29" t="s">
        <v>88</v>
      </c>
      <c r="BE269" s="29"/>
      <c r="BF269" s="29" t="s">
        <v>707</v>
      </c>
      <c r="BG269" s="29" t="s">
        <v>644</v>
      </c>
      <c r="BH269" s="29" t="s">
        <v>92</v>
      </c>
      <c r="BI269" s="29" t="s">
        <v>680</v>
      </c>
      <c r="BJ269" s="29"/>
      <c r="BK269" s="29" t="s">
        <v>681</v>
      </c>
      <c r="BL269" s="29"/>
      <c r="BM269" s="45"/>
      <c r="BN269" s="45"/>
      <c r="BO269" s="46"/>
      <c r="BP269" s="2"/>
      <c r="BQ269" s="3"/>
    </row>
    <row r="270" ht="15.75" customHeight="1">
      <c r="A270" s="34">
        <v>271.0</v>
      </c>
      <c r="B270" s="34">
        <v>103301.0</v>
      </c>
      <c r="C270" s="34" t="s">
        <v>76</v>
      </c>
      <c r="D270" s="34" t="s">
        <v>670</v>
      </c>
      <c r="E270" s="34" t="s">
        <v>671</v>
      </c>
      <c r="F270" s="34">
        <v>2018.0</v>
      </c>
      <c r="G270" s="34" t="s">
        <v>672</v>
      </c>
      <c r="H270" s="34" t="s">
        <v>673</v>
      </c>
      <c r="I270" s="34" t="s">
        <v>713</v>
      </c>
      <c r="J270" s="35"/>
      <c r="K270" s="36"/>
      <c r="L270" s="36"/>
      <c r="M270" s="36"/>
      <c r="N270" s="36">
        <v>12.02</v>
      </c>
      <c r="O270" s="36"/>
      <c r="P270" s="37">
        <v>20.0</v>
      </c>
      <c r="Q270" s="36"/>
      <c r="R270" s="36" t="s">
        <v>490</v>
      </c>
      <c r="S270" s="36"/>
      <c r="T270" s="36" t="s">
        <v>675</v>
      </c>
      <c r="U270" s="36" t="s">
        <v>676</v>
      </c>
      <c r="V270" s="36">
        <v>4026.0</v>
      </c>
      <c r="W270" s="36"/>
      <c r="X270" s="38">
        <v>17.0</v>
      </c>
      <c r="Y270" s="38"/>
      <c r="Z270" s="38"/>
      <c r="AA270" s="38" t="s">
        <v>292</v>
      </c>
      <c r="AB270" s="38" t="s">
        <v>677</v>
      </c>
      <c r="AC270" s="38"/>
      <c r="AD270" s="53"/>
      <c r="AE270" s="38"/>
      <c r="AF270" s="38"/>
      <c r="AG270" s="38"/>
      <c r="AH270" s="38"/>
      <c r="AI270" s="50"/>
      <c r="AJ270" s="50"/>
      <c r="AK270" s="41"/>
      <c r="AL270" s="40"/>
      <c r="AM270" s="49"/>
      <c r="AN270" s="43"/>
      <c r="AO270" s="42"/>
      <c r="AP270" s="43"/>
      <c r="AQ270" s="44" t="str">
        <f t="shared" si="33"/>
        <v>OSH</v>
      </c>
      <c r="AR270" s="44" t="str">
        <f t="shared" si="3"/>
        <v/>
      </c>
      <c r="AS270" s="44"/>
      <c r="AT270" s="44" t="str">
        <f t="shared" si="17"/>
        <v/>
      </c>
      <c r="AU270" s="44" t="str">
        <f t="shared" si="2"/>
        <v/>
      </c>
      <c r="AV270" s="38"/>
      <c r="AW270" s="38"/>
      <c r="AX270" s="38"/>
      <c r="AY270" s="38"/>
      <c r="AZ270" s="29">
        <v>1000.0</v>
      </c>
      <c r="BA270" s="29"/>
      <c r="BB270" s="29">
        <v>1.0</v>
      </c>
      <c r="BC270" s="29"/>
      <c r="BD270" s="29" t="s">
        <v>88</v>
      </c>
      <c r="BE270" s="29"/>
      <c r="BF270" s="29" t="s">
        <v>707</v>
      </c>
      <c r="BG270" s="29" t="s">
        <v>644</v>
      </c>
      <c r="BH270" s="29" t="s">
        <v>92</v>
      </c>
      <c r="BI270" s="29" t="s">
        <v>680</v>
      </c>
      <c r="BJ270" s="29"/>
      <c r="BK270" s="29" t="s">
        <v>681</v>
      </c>
      <c r="BL270" s="29"/>
      <c r="BM270" s="45"/>
      <c r="BN270" s="45"/>
      <c r="BO270" s="46"/>
      <c r="BP270" s="2"/>
      <c r="BQ270" s="3"/>
    </row>
    <row r="271" ht="15.75" customHeight="1">
      <c r="A271" s="34">
        <v>272.0</v>
      </c>
      <c r="B271" s="34">
        <v>103301.0</v>
      </c>
      <c r="C271" s="34" t="s">
        <v>76</v>
      </c>
      <c r="D271" s="34" t="s">
        <v>670</v>
      </c>
      <c r="E271" s="34" t="s">
        <v>671</v>
      </c>
      <c r="F271" s="34">
        <v>2018.0</v>
      </c>
      <c r="G271" s="34" t="s">
        <v>672</v>
      </c>
      <c r="H271" s="34" t="s">
        <v>673</v>
      </c>
      <c r="I271" s="34" t="s">
        <v>714</v>
      </c>
      <c r="J271" s="35"/>
      <c r="K271" s="36"/>
      <c r="L271" s="36"/>
      <c r="M271" s="36"/>
      <c r="N271" s="36">
        <v>18.41</v>
      </c>
      <c r="O271" s="36"/>
      <c r="P271" s="37">
        <v>20.0</v>
      </c>
      <c r="Q271" s="36"/>
      <c r="R271" s="36" t="s">
        <v>490</v>
      </c>
      <c r="S271" s="36"/>
      <c r="T271" s="36" t="s">
        <v>675</v>
      </c>
      <c r="U271" s="36" t="s">
        <v>676</v>
      </c>
      <c r="V271" s="36">
        <v>4049.0</v>
      </c>
      <c r="W271" s="36"/>
      <c r="X271" s="38">
        <v>9.0</v>
      </c>
      <c r="Y271" s="38"/>
      <c r="Z271" s="38"/>
      <c r="AA271" s="38" t="s">
        <v>313</v>
      </c>
      <c r="AB271" s="38" t="s">
        <v>677</v>
      </c>
      <c r="AC271" s="38"/>
      <c r="AD271" s="53"/>
      <c r="AE271" s="38"/>
      <c r="AF271" s="38"/>
      <c r="AG271" s="38"/>
      <c r="AH271" s="38"/>
      <c r="AI271" s="50"/>
      <c r="AJ271" s="50"/>
      <c r="AK271" s="41"/>
      <c r="AL271" s="40"/>
      <c r="AM271" s="49"/>
      <c r="AN271" s="43"/>
      <c r="AO271" s="42"/>
      <c r="AP271" s="43"/>
      <c r="AQ271" s="44" t="str">
        <f t="shared" si="33"/>
        <v>SAV</v>
      </c>
      <c r="AR271" s="44" t="str">
        <f t="shared" si="3"/>
        <v/>
      </c>
      <c r="AS271" s="44"/>
      <c r="AT271" s="44" t="str">
        <f t="shared" si="17"/>
        <v/>
      </c>
      <c r="AU271" s="44" t="str">
        <f t="shared" si="2"/>
        <v/>
      </c>
      <c r="AV271" s="38"/>
      <c r="AW271" s="38"/>
      <c r="AX271" s="38"/>
      <c r="AY271" s="38"/>
      <c r="AZ271" s="29">
        <v>1000.0</v>
      </c>
      <c r="BA271" s="29"/>
      <c r="BB271" s="29">
        <v>1.0</v>
      </c>
      <c r="BC271" s="29"/>
      <c r="BD271" s="29" t="s">
        <v>88</v>
      </c>
      <c r="BE271" s="29"/>
      <c r="BF271" s="29" t="s">
        <v>707</v>
      </c>
      <c r="BG271" s="29" t="s">
        <v>644</v>
      </c>
      <c r="BH271" s="29" t="s">
        <v>92</v>
      </c>
      <c r="BI271" s="29" t="s">
        <v>680</v>
      </c>
      <c r="BJ271" s="29"/>
      <c r="BK271" s="29" t="s">
        <v>681</v>
      </c>
      <c r="BL271" s="29"/>
      <c r="BM271" s="45"/>
      <c r="BN271" s="45"/>
      <c r="BO271" s="46"/>
      <c r="BP271" s="2"/>
      <c r="BQ271" s="3"/>
    </row>
    <row r="272" ht="15.75" customHeight="1">
      <c r="A272" s="34">
        <v>273.0</v>
      </c>
      <c r="B272" s="34">
        <v>103301.0</v>
      </c>
      <c r="C272" s="34" t="s">
        <v>76</v>
      </c>
      <c r="D272" s="34" t="s">
        <v>670</v>
      </c>
      <c r="E272" s="34" t="s">
        <v>671</v>
      </c>
      <c r="F272" s="34">
        <v>2018.0</v>
      </c>
      <c r="G272" s="34" t="s">
        <v>672</v>
      </c>
      <c r="H272" s="34" t="s">
        <v>673</v>
      </c>
      <c r="I272" s="34" t="s">
        <v>714</v>
      </c>
      <c r="J272" s="35"/>
      <c r="K272" s="36"/>
      <c r="L272" s="36"/>
      <c r="M272" s="36"/>
      <c r="N272" s="36">
        <v>7.76</v>
      </c>
      <c r="O272" s="74"/>
      <c r="P272" s="37">
        <v>9.0</v>
      </c>
      <c r="Q272" s="36"/>
      <c r="R272" s="36" t="s">
        <v>490</v>
      </c>
      <c r="S272" s="36"/>
      <c r="T272" s="36" t="s">
        <v>675</v>
      </c>
      <c r="U272" s="36" t="s">
        <v>676</v>
      </c>
      <c r="V272" s="36">
        <v>18736.0</v>
      </c>
      <c r="W272" s="36"/>
      <c r="X272" s="38">
        <v>57.0</v>
      </c>
      <c r="Y272" s="38"/>
      <c r="Z272" s="38"/>
      <c r="AA272" s="38" t="s">
        <v>288</v>
      </c>
      <c r="AB272" s="38" t="s">
        <v>677</v>
      </c>
      <c r="AC272" s="38"/>
      <c r="AD272" s="53"/>
      <c r="AE272" s="38"/>
      <c r="AF272" s="38"/>
      <c r="AG272" s="38"/>
      <c r="AH272" s="38"/>
      <c r="AI272" s="50"/>
      <c r="AJ272" s="50"/>
      <c r="AK272" s="41"/>
      <c r="AL272" s="40"/>
      <c r="AM272" s="49"/>
      <c r="AN272" s="43"/>
      <c r="AO272" s="42"/>
      <c r="AP272" s="43"/>
      <c r="AQ272" s="44" t="str">
        <f t="shared" si="33"/>
        <v>GRA</v>
      </c>
      <c r="AR272" s="44" t="str">
        <f t="shared" si="3"/>
        <v/>
      </c>
      <c r="AS272" s="44"/>
      <c r="AT272" s="44" t="str">
        <f t="shared" si="17"/>
        <v/>
      </c>
      <c r="AU272" s="44" t="str">
        <f t="shared" si="2"/>
        <v/>
      </c>
      <c r="AV272" s="38"/>
      <c r="AW272" s="38"/>
      <c r="AX272" s="38"/>
      <c r="AY272" s="38"/>
      <c r="AZ272" s="29">
        <v>1000.0</v>
      </c>
      <c r="BA272" s="29"/>
      <c r="BB272" s="29">
        <v>1.0</v>
      </c>
      <c r="BC272" s="29"/>
      <c r="BD272" s="29" t="s">
        <v>88</v>
      </c>
      <c r="BE272" s="29"/>
      <c r="BF272" s="29" t="s">
        <v>707</v>
      </c>
      <c r="BG272" s="29" t="s">
        <v>644</v>
      </c>
      <c r="BH272" s="29" t="s">
        <v>92</v>
      </c>
      <c r="BI272" s="29" t="s">
        <v>680</v>
      </c>
      <c r="BJ272" s="29"/>
      <c r="BK272" s="29" t="s">
        <v>681</v>
      </c>
      <c r="BL272" s="29"/>
      <c r="BM272" s="45"/>
      <c r="BN272" s="45"/>
      <c r="BO272" s="46"/>
      <c r="BP272" s="73"/>
      <c r="BQ272" s="17"/>
    </row>
    <row r="273" ht="15.75" customHeight="1">
      <c r="A273" s="34">
        <v>274.0</v>
      </c>
      <c r="B273" s="34">
        <v>103301.0</v>
      </c>
      <c r="C273" s="34" t="s">
        <v>76</v>
      </c>
      <c r="D273" s="34" t="s">
        <v>670</v>
      </c>
      <c r="E273" s="34" t="s">
        <v>671</v>
      </c>
      <c r="F273" s="34">
        <v>2018.0</v>
      </c>
      <c r="G273" s="34" t="s">
        <v>672</v>
      </c>
      <c r="H273" s="34" t="s">
        <v>673</v>
      </c>
      <c r="I273" s="34" t="s">
        <v>714</v>
      </c>
      <c r="J273" s="35"/>
      <c r="K273" s="36"/>
      <c r="L273" s="36"/>
      <c r="M273" s="36"/>
      <c r="N273" s="36">
        <v>10.23</v>
      </c>
      <c r="O273" s="74"/>
      <c r="P273" s="37">
        <v>11.0</v>
      </c>
      <c r="Q273" s="36"/>
      <c r="R273" s="36" t="s">
        <v>490</v>
      </c>
      <c r="S273" s="36"/>
      <c r="T273" s="36" t="s">
        <v>675</v>
      </c>
      <c r="U273" s="36" t="s">
        <v>676</v>
      </c>
      <c r="V273" s="36">
        <v>88365.0</v>
      </c>
      <c r="W273" s="36"/>
      <c r="X273" s="38">
        <v>242.0</v>
      </c>
      <c r="Y273" s="38"/>
      <c r="Z273" s="38"/>
      <c r="AA273" s="38"/>
      <c r="AB273" s="38"/>
      <c r="AC273" s="38"/>
      <c r="AD273" s="38" t="s">
        <v>198</v>
      </c>
      <c r="AE273" s="38"/>
      <c r="AF273" s="38"/>
      <c r="AG273" s="38"/>
      <c r="AH273" s="38"/>
      <c r="AI273" s="50"/>
      <c r="AJ273" s="50"/>
      <c r="AK273" s="41"/>
      <c r="AL273" s="40"/>
      <c r="AM273" s="49"/>
      <c r="AN273" s="43"/>
      <c r="AO273" s="42"/>
      <c r="AP273" s="43"/>
      <c r="AQ273" s="44" t="str">
        <f t="shared" si="33"/>
        <v/>
      </c>
      <c r="AR273" s="44" t="str">
        <f t="shared" si="3"/>
        <v/>
      </c>
      <c r="AS273" s="44"/>
      <c r="AT273" s="44" t="str">
        <f t="shared" si="17"/>
        <v/>
      </c>
      <c r="AU273" s="44" t="str">
        <f t="shared" si="2"/>
        <v/>
      </c>
      <c r="AV273" s="38"/>
      <c r="AW273" s="38"/>
      <c r="AX273" s="38"/>
      <c r="AY273" s="38"/>
      <c r="AZ273" s="29">
        <v>1000.0</v>
      </c>
      <c r="BA273" s="29"/>
      <c r="BB273" s="29">
        <v>1.0</v>
      </c>
      <c r="BC273" s="29"/>
      <c r="BD273" s="29" t="s">
        <v>88</v>
      </c>
      <c r="BE273" s="29"/>
      <c r="BF273" s="29" t="s">
        <v>707</v>
      </c>
      <c r="BG273" s="29" t="s">
        <v>644</v>
      </c>
      <c r="BH273" s="29" t="s">
        <v>92</v>
      </c>
      <c r="BI273" s="29" t="s">
        <v>680</v>
      </c>
      <c r="BJ273" s="29"/>
      <c r="BK273" s="29" t="s">
        <v>681</v>
      </c>
      <c r="BL273" s="29"/>
      <c r="BM273" s="45"/>
      <c r="BN273" s="45"/>
      <c r="BO273" s="46"/>
      <c r="BP273" s="2"/>
      <c r="BQ273" s="3"/>
    </row>
    <row r="274" ht="15.75" customHeight="1">
      <c r="A274" s="34">
        <v>275.0</v>
      </c>
      <c r="B274" s="34">
        <v>103084.0</v>
      </c>
      <c r="C274" s="34" t="s">
        <v>415</v>
      </c>
      <c r="D274" s="34" t="s">
        <v>715</v>
      </c>
      <c r="E274" s="34" t="s">
        <v>716</v>
      </c>
      <c r="F274" s="75">
        <v>2018.0</v>
      </c>
      <c r="G274" s="34" t="s">
        <v>717</v>
      </c>
      <c r="H274" s="34" t="s">
        <v>718</v>
      </c>
      <c r="I274" s="34" t="s">
        <v>719</v>
      </c>
      <c r="J274" s="35"/>
      <c r="K274" s="36"/>
      <c r="L274" s="36"/>
      <c r="M274" s="36"/>
      <c r="N274" s="36">
        <v>4.4175</v>
      </c>
      <c r="O274" s="36">
        <v>128.25</v>
      </c>
      <c r="P274" s="37">
        <v>4.48243934</v>
      </c>
      <c r="Q274" s="36"/>
      <c r="R274" s="36" t="s">
        <v>82</v>
      </c>
      <c r="S274" s="36">
        <v>30.0</v>
      </c>
      <c r="T274" s="36" t="s">
        <v>720</v>
      </c>
      <c r="U274" s="36" t="s">
        <v>721</v>
      </c>
      <c r="V274" s="36">
        <v>8.0</v>
      </c>
      <c r="W274" s="36"/>
      <c r="X274" s="38">
        <v>1.0</v>
      </c>
      <c r="Y274" s="38" t="s">
        <v>722</v>
      </c>
      <c r="Z274" s="38" t="s">
        <v>723</v>
      </c>
      <c r="AA274" s="38" t="s">
        <v>505</v>
      </c>
      <c r="AB274" s="38" t="s">
        <v>724</v>
      </c>
      <c r="AC274" s="38" t="s">
        <v>725</v>
      </c>
      <c r="AD274" s="53" t="s">
        <v>198</v>
      </c>
      <c r="AE274" s="38"/>
      <c r="AF274" s="38"/>
      <c r="AG274" s="38"/>
      <c r="AH274" s="38"/>
      <c r="AI274" s="50">
        <v>33.95</v>
      </c>
      <c r="AJ274" s="50">
        <v>117.6</v>
      </c>
      <c r="AK274" s="41" t="s">
        <v>86</v>
      </c>
      <c r="AL274" s="40" t="s">
        <v>86</v>
      </c>
      <c r="AM274" s="49">
        <v>98.0</v>
      </c>
      <c r="AN274" s="51">
        <v>98.0</v>
      </c>
      <c r="AO274" s="42" t="s">
        <v>592</v>
      </c>
      <c r="AP274" s="43" t="s">
        <v>592</v>
      </c>
      <c r="AQ274" s="44" t="str">
        <f t="shared" si="33"/>
        <v>URB</v>
      </c>
      <c r="AR274" s="44">
        <f t="shared" si="3"/>
        <v>98</v>
      </c>
      <c r="AS274" s="44" t="str">
        <f>LEFT(AO274,1)</f>
        <v>C</v>
      </c>
      <c r="AT274" s="44" t="str">
        <f t="shared" si="17"/>
        <v>Cw</v>
      </c>
      <c r="AU274" s="44" t="str">
        <f t="shared" si="2"/>
        <v>Cwa</v>
      </c>
      <c r="AV274" s="38"/>
      <c r="AW274" s="38"/>
      <c r="AX274" s="38"/>
      <c r="AY274" s="38"/>
      <c r="AZ274" s="29">
        <v>30.0</v>
      </c>
      <c r="BA274" s="29">
        <v>1.0</v>
      </c>
      <c r="BB274" s="29">
        <v>1.0</v>
      </c>
      <c r="BC274" s="29"/>
      <c r="BD274" s="29" t="s">
        <v>92</v>
      </c>
      <c r="BE274" s="29"/>
      <c r="BF274" s="29" t="s">
        <v>726</v>
      </c>
      <c r="BG274" s="29" t="s">
        <v>220</v>
      </c>
      <c r="BH274" s="29"/>
      <c r="BI274" s="29"/>
      <c r="BJ274" s="29" t="s">
        <v>727</v>
      </c>
      <c r="BK274" s="29"/>
      <c r="BL274" s="29" t="s">
        <v>727</v>
      </c>
      <c r="BM274" s="45">
        <v>1.0</v>
      </c>
      <c r="BN274" s="45">
        <v>1.0</v>
      </c>
      <c r="BO274" s="46" t="s">
        <v>728</v>
      </c>
      <c r="BP274" s="2"/>
      <c r="BQ274" s="3"/>
    </row>
    <row r="275" ht="15.75" customHeight="1">
      <c r="A275" s="34">
        <v>276.0</v>
      </c>
      <c r="B275" s="34">
        <v>102956.0</v>
      </c>
      <c r="C275" s="34" t="s">
        <v>415</v>
      </c>
      <c r="D275" s="34" t="s">
        <v>729</v>
      </c>
      <c r="E275" s="34" t="s">
        <v>730</v>
      </c>
      <c r="F275" s="34">
        <v>2019.0</v>
      </c>
      <c r="G275" s="34" t="s">
        <v>731</v>
      </c>
      <c r="H275" s="34" t="s">
        <v>732</v>
      </c>
      <c r="I275" s="34" t="s">
        <v>733</v>
      </c>
      <c r="J275" s="35"/>
      <c r="K275" s="36">
        <v>96.0</v>
      </c>
      <c r="L275" s="36">
        <v>780.3</v>
      </c>
      <c r="M275" s="36"/>
      <c r="N275" s="36"/>
      <c r="O275" s="36"/>
      <c r="P275" s="52">
        <f t="shared" ref="P275:P278" si="34">K275/L275*100</f>
        <v>12.3029604</v>
      </c>
      <c r="Q275" s="54" t="s">
        <v>734</v>
      </c>
      <c r="R275" s="54" t="s">
        <v>13</v>
      </c>
      <c r="S275" s="36">
        <v>1000.0</v>
      </c>
      <c r="T275" s="36" t="s">
        <v>328</v>
      </c>
      <c r="U275" s="36" t="s">
        <v>342</v>
      </c>
      <c r="V275" s="36"/>
      <c r="W275" s="36"/>
      <c r="X275" s="38">
        <v>10.0</v>
      </c>
      <c r="Y275" s="38" t="s">
        <v>735</v>
      </c>
      <c r="Z275" s="38"/>
      <c r="AA275" s="38"/>
      <c r="AB275" s="38"/>
      <c r="AC275" s="38"/>
      <c r="AD275" s="53" t="s">
        <v>736</v>
      </c>
      <c r="AE275" s="38"/>
      <c r="AF275" s="38"/>
      <c r="AG275" s="38"/>
      <c r="AH275" s="38"/>
      <c r="AI275" s="40"/>
      <c r="AJ275" s="40"/>
      <c r="AK275" s="41"/>
      <c r="AL275" s="40"/>
      <c r="AM275" s="49"/>
      <c r="AN275" s="43"/>
      <c r="AO275" s="42"/>
      <c r="AP275" s="43"/>
      <c r="AQ275" s="44" t="str">
        <f t="shared" si="33"/>
        <v/>
      </c>
      <c r="AR275" s="44" t="str">
        <f t="shared" si="3"/>
        <v/>
      </c>
      <c r="AS275" s="44"/>
      <c r="AT275" s="44" t="str">
        <f t="shared" si="17"/>
        <v/>
      </c>
      <c r="AU275" s="44" t="str">
        <f t="shared" si="2"/>
        <v/>
      </c>
      <c r="AV275" s="38"/>
      <c r="AW275" s="38"/>
      <c r="AX275" s="38"/>
      <c r="AY275" s="38"/>
      <c r="AZ275" s="29">
        <v>1000.0</v>
      </c>
      <c r="BA275" s="29">
        <v>1.0</v>
      </c>
      <c r="BB275" s="29">
        <v>1.0</v>
      </c>
      <c r="BC275" s="76"/>
      <c r="BD275" s="29" t="s">
        <v>88</v>
      </c>
      <c r="BE275" s="29"/>
      <c r="BF275" s="76" t="s">
        <v>737</v>
      </c>
      <c r="BG275" s="76" t="s">
        <v>738</v>
      </c>
      <c r="BH275" s="29"/>
      <c r="BI275" s="29" t="s">
        <v>739</v>
      </c>
      <c r="BJ275" s="29"/>
      <c r="BK275" s="29"/>
      <c r="BL275" s="29" t="s">
        <v>148</v>
      </c>
      <c r="BM275" s="45">
        <v>1.0</v>
      </c>
      <c r="BN275" s="45">
        <v>1.0</v>
      </c>
      <c r="BO275" s="46" t="s">
        <v>740</v>
      </c>
      <c r="BP275" s="2"/>
      <c r="BQ275" s="3"/>
    </row>
    <row r="276" ht="15.75" customHeight="1">
      <c r="A276" s="34">
        <v>277.0</v>
      </c>
      <c r="B276" s="34">
        <v>102956.0</v>
      </c>
      <c r="C276" s="34" t="s">
        <v>415</v>
      </c>
      <c r="D276" s="34" t="s">
        <v>729</v>
      </c>
      <c r="E276" s="34" t="s">
        <v>730</v>
      </c>
      <c r="F276" s="34">
        <v>2019.0</v>
      </c>
      <c r="G276" s="34" t="s">
        <v>731</v>
      </c>
      <c r="H276" s="34" t="s">
        <v>732</v>
      </c>
      <c r="I276" s="34" t="s">
        <v>733</v>
      </c>
      <c r="J276" s="35"/>
      <c r="K276" s="36">
        <v>70.0</v>
      </c>
      <c r="L276" s="36">
        <v>1045.9</v>
      </c>
      <c r="M276" s="36"/>
      <c r="N276" s="36"/>
      <c r="O276" s="36"/>
      <c r="P276" s="52">
        <f t="shared" si="34"/>
        <v>6.692800459</v>
      </c>
      <c r="Q276" s="54" t="s">
        <v>734</v>
      </c>
      <c r="R276" s="54" t="s">
        <v>13</v>
      </c>
      <c r="S276" s="36">
        <v>1000.0</v>
      </c>
      <c r="T276" s="36" t="s">
        <v>328</v>
      </c>
      <c r="U276" s="36" t="s">
        <v>342</v>
      </c>
      <c r="V276" s="36"/>
      <c r="W276" s="36"/>
      <c r="X276" s="38">
        <v>10.0</v>
      </c>
      <c r="Y276" s="38" t="s">
        <v>741</v>
      </c>
      <c r="Z276" s="38"/>
      <c r="AA276" s="38"/>
      <c r="AB276" s="38"/>
      <c r="AC276" s="38"/>
      <c r="AD276" s="53" t="s">
        <v>340</v>
      </c>
      <c r="AE276" s="38"/>
      <c r="AF276" s="38"/>
      <c r="AG276" s="38"/>
      <c r="AH276" s="38"/>
      <c r="AI276" s="40"/>
      <c r="AJ276" s="40"/>
      <c r="AK276" s="41"/>
      <c r="AL276" s="40"/>
      <c r="AM276" s="49"/>
      <c r="AN276" s="43"/>
      <c r="AO276" s="42"/>
      <c r="AP276" s="43"/>
      <c r="AQ276" s="44" t="str">
        <f t="shared" si="33"/>
        <v/>
      </c>
      <c r="AR276" s="44" t="str">
        <f t="shared" si="3"/>
        <v/>
      </c>
      <c r="AS276" s="44"/>
      <c r="AT276" s="44" t="str">
        <f t="shared" si="17"/>
        <v/>
      </c>
      <c r="AU276" s="44" t="str">
        <f t="shared" si="2"/>
        <v/>
      </c>
      <c r="AV276" s="38"/>
      <c r="AW276" s="38"/>
      <c r="AX276" s="38"/>
      <c r="AY276" s="38"/>
      <c r="AZ276" s="29">
        <v>1000.0</v>
      </c>
      <c r="BA276" s="29">
        <v>1.0</v>
      </c>
      <c r="BB276" s="29">
        <v>1.0</v>
      </c>
      <c r="BC276" s="76"/>
      <c r="BD276" s="29" t="s">
        <v>88</v>
      </c>
      <c r="BE276" s="29"/>
      <c r="BF276" s="76" t="s">
        <v>737</v>
      </c>
      <c r="BG276" s="76" t="s">
        <v>738</v>
      </c>
      <c r="BH276" s="29"/>
      <c r="BI276" s="29" t="s">
        <v>739</v>
      </c>
      <c r="BJ276" s="29"/>
      <c r="BK276" s="29"/>
      <c r="BL276" s="29" t="s">
        <v>148</v>
      </c>
      <c r="BM276" s="45">
        <v>1.0</v>
      </c>
      <c r="BN276" s="45">
        <v>1.0</v>
      </c>
      <c r="BO276" s="46" t="s">
        <v>740</v>
      </c>
      <c r="BP276" s="2"/>
      <c r="BQ276" s="3"/>
    </row>
    <row r="277" ht="15.75" customHeight="1">
      <c r="A277" s="34">
        <v>278.0</v>
      </c>
      <c r="B277" s="34">
        <v>102956.0</v>
      </c>
      <c r="C277" s="34" t="s">
        <v>415</v>
      </c>
      <c r="D277" s="34" t="s">
        <v>729</v>
      </c>
      <c r="E277" s="34" t="s">
        <v>730</v>
      </c>
      <c r="F277" s="34">
        <v>2019.0</v>
      </c>
      <c r="G277" s="34" t="s">
        <v>731</v>
      </c>
      <c r="H277" s="34" t="s">
        <v>732</v>
      </c>
      <c r="I277" s="34" t="s">
        <v>733</v>
      </c>
      <c r="J277" s="35"/>
      <c r="K277" s="36">
        <v>224.0</v>
      </c>
      <c r="L277" s="36">
        <v>585.2</v>
      </c>
      <c r="M277" s="36"/>
      <c r="N277" s="36"/>
      <c r="O277" s="36"/>
      <c r="P277" s="52">
        <f t="shared" si="34"/>
        <v>38.27751196</v>
      </c>
      <c r="Q277" s="54" t="s">
        <v>734</v>
      </c>
      <c r="R277" s="54" t="s">
        <v>13</v>
      </c>
      <c r="S277" s="36">
        <v>1000.0</v>
      </c>
      <c r="T277" s="36" t="s">
        <v>328</v>
      </c>
      <c r="U277" s="36" t="s">
        <v>342</v>
      </c>
      <c r="V277" s="36"/>
      <c r="W277" s="36"/>
      <c r="X277" s="38">
        <v>10.0</v>
      </c>
      <c r="Y277" s="38" t="s">
        <v>742</v>
      </c>
      <c r="Z277" s="38"/>
      <c r="AA277" s="38"/>
      <c r="AB277" s="38"/>
      <c r="AC277" s="38"/>
      <c r="AD277" s="53" t="s">
        <v>743</v>
      </c>
      <c r="AE277" s="38"/>
      <c r="AF277" s="38"/>
      <c r="AG277" s="38"/>
      <c r="AH277" s="38"/>
      <c r="AI277" s="40"/>
      <c r="AJ277" s="40"/>
      <c r="AK277" s="41"/>
      <c r="AL277" s="40"/>
      <c r="AM277" s="49"/>
      <c r="AN277" s="43"/>
      <c r="AO277" s="42"/>
      <c r="AP277" s="43"/>
      <c r="AQ277" s="44" t="str">
        <f t="shared" si="33"/>
        <v/>
      </c>
      <c r="AR277" s="44" t="str">
        <f t="shared" si="3"/>
        <v/>
      </c>
      <c r="AS277" s="44"/>
      <c r="AT277" s="44" t="str">
        <f t="shared" si="17"/>
        <v/>
      </c>
      <c r="AU277" s="44" t="str">
        <f t="shared" si="2"/>
        <v/>
      </c>
      <c r="AV277" s="38"/>
      <c r="AW277" s="38"/>
      <c r="AX277" s="38"/>
      <c r="AY277" s="38"/>
      <c r="AZ277" s="29">
        <v>1000.0</v>
      </c>
      <c r="BA277" s="29">
        <v>1.0</v>
      </c>
      <c r="BB277" s="29">
        <v>1.0</v>
      </c>
      <c r="BC277" s="76"/>
      <c r="BD277" s="29" t="s">
        <v>88</v>
      </c>
      <c r="BE277" s="29"/>
      <c r="BF277" s="76" t="s">
        <v>737</v>
      </c>
      <c r="BG277" s="76" t="s">
        <v>738</v>
      </c>
      <c r="BH277" s="76"/>
      <c r="BI277" s="76" t="s">
        <v>739</v>
      </c>
      <c r="BJ277" s="76"/>
      <c r="BK277" s="29"/>
      <c r="BL277" s="29" t="s">
        <v>148</v>
      </c>
      <c r="BM277" s="45">
        <v>1.0</v>
      </c>
      <c r="BN277" s="45">
        <v>1.0</v>
      </c>
      <c r="BO277" s="46" t="s">
        <v>740</v>
      </c>
      <c r="BP277" s="2" t="s">
        <v>682</v>
      </c>
      <c r="BQ277" s="3"/>
    </row>
    <row r="278" ht="15.75" customHeight="1">
      <c r="A278" s="34">
        <v>279.0</v>
      </c>
      <c r="B278" s="34">
        <v>102956.0</v>
      </c>
      <c r="C278" s="34" t="s">
        <v>415</v>
      </c>
      <c r="D278" s="34" t="s">
        <v>729</v>
      </c>
      <c r="E278" s="34" t="s">
        <v>730</v>
      </c>
      <c r="F278" s="34">
        <v>2019.0</v>
      </c>
      <c r="G278" s="34" t="s">
        <v>731</v>
      </c>
      <c r="H278" s="34" t="s">
        <v>732</v>
      </c>
      <c r="I278" s="34" t="s">
        <v>733</v>
      </c>
      <c r="J278" s="35"/>
      <c r="K278" s="36">
        <v>48.0</v>
      </c>
      <c r="L278" s="36">
        <v>1315.4</v>
      </c>
      <c r="M278" s="36"/>
      <c r="N278" s="36"/>
      <c r="O278" s="36"/>
      <c r="P278" s="52">
        <f t="shared" si="34"/>
        <v>3.649080128</v>
      </c>
      <c r="Q278" s="54" t="s">
        <v>734</v>
      </c>
      <c r="R278" s="54" t="s">
        <v>13</v>
      </c>
      <c r="S278" s="36">
        <v>1000.0</v>
      </c>
      <c r="T278" s="36" t="s">
        <v>328</v>
      </c>
      <c r="U278" s="36" t="s">
        <v>342</v>
      </c>
      <c r="V278" s="36"/>
      <c r="W278" s="36"/>
      <c r="X278" s="38">
        <v>10.0</v>
      </c>
      <c r="Y278" s="38" t="s">
        <v>744</v>
      </c>
      <c r="Z278" s="38"/>
      <c r="AA278" s="38"/>
      <c r="AB278" s="38"/>
      <c r="AC278" s="38"/>
      <c r="AD278" s="53" t="s">
        <v>745</v>
      </c>
      <c r="AE278" s="38"/>
      <c r="AF278" s="38"/>
      <c r="AG278" s="38"/>
      <c r="AH278" s="38"/>
      <c r="AI278" s="40"/>
      <c r="AJ278" s="40"/>
      <c r="AK278" s="41"/>
      <c r="AL278" s="40"/>
      <c r="AM278" s="49"/>
      <c r="AN278" s="43"/>
      <c r="AO278" s="42"/>
      <c r="AP278" s="43"/>
      <c r="AQ278" s="44" t="str">
        <f t="shared" si="33"/>
        <v/>
      </c>
      <c r="AR278" s="44" t="str">
        <f t="shared" si="3"/>
        <v/>
      </c>
      <c r="AS278" s="44"/>
      <c r="AT278" s="44" t="str">
        <f t="shared" si="17"/>
        <v/>
      </c>
      <c r="AU278" s="44" t="str">
        <f t="shared" si="2"/>
        <v/>
      </c>
      <c r="AV278" s="38"/>
      <c r="AW278" s="38"/>
      <c r="AX278" s="38"/>
      <c r="AY278" s="38"/>
      <c r="AZ278" s="29">
        <v>1000.0</v>
      </c>
      <c r="BA278" s="29">
        <v>1.0</v>
      </c>
      <c r="BB278" s="29">
        <v>1.0</v>
      </c>
      <c r="BC278" s="76"/>
      <c r="BD278" s="29" t="s">
        <v>88</v>
      </c>
      <c r="BE278" s="29"/>
      <c r="BF278" s="76" t="s">
        <v>737</v>
      </c>
      <c r="BG278" s="76" t="s">
        <v>738</v>
      </c>
      <c r="BH278" s="76"/>
      <c r="BI278" s="76" t="s">
        <v>739</v>
      </c>
      <c r="BJ278" s="76"/>
      <c r="BK278" s="29"/>
      <c r="BL278" s="29" t="s">
        <v>148</v>
      </c>
      <c r="BM278" s="45">
        <v>1.0</v>
      </c>
      <c r="BN278" s="45">
        <v>1.0</v>
      </c>
      <c r="BO278" s="46" t="s">
        <v>740</v>
      </c>
      <c r="BP278" s="2"/>
      <c r="BQ278" s="3"/>
    </row>
    <row r="279" ht="15.75" customHeight="1">
      <c r="A279" s="34">
        <v>280.0</v>
      </c>
      <c r="B279" s="34">
        <v>102956.0</v>
      </c>
      <c r="C279" s="34" t="s">
        <v>76</v>
      </c>
      <c r="D279" s="34" t="s">
        <v>729</v>
      </c>
      <c r="E279" s="34" t="s">
        <v>730</v>
      </c>
      <c r="F279" s="34">
        <v>2019.0</v>
      </c>
      <c r="G279" s="34" t="s">
        <v>731</v>
      </c>
      <c r="H279" s="34" t="s">
        <v>732</v>
      </c>
      <c r="I279" s="34" t="s">
        <v>733</v>
      </c>
      <c r="J279" s="35"/>
      <c r="K279" s="36">
        <v>-48.0</v>
      </c>
      <c r="L279" s="36">
        <v>1110.0</v>
      </c>
      <c r="M279" s="36"/>
      <c r="N279" s="36"/>
      <c r="O279" s="36"/>
      <c r="P279" s="37">
        <v>-4.0</v>
      </c>
      <c r="Q279" s="54" t="s">
        <v>734</v>
      </c>
      <c r="R279" s="54" t="s">
        <v>13</v>
      </c>
      <c r="S279" s="36">
        <v>1000.0</v>
      </c>
      <c r="T279" s="36" t="s">
        <v>328</v>
      </c>
      <c r="U279" s="36" t="s">
        <v>342</v>
      </c>
      <c r="V279" s="36"/>
      <c r="W279" s="36"/>
      <c r="X279" s="38">
        <v>1.0</v>
      </c>
      <c r="Y279" s="38" t="s">
        <v>746</v>
      </c>
      <c r="Z279" s="38" t="s">
        <v>747</v>
      </c>
      <c r="AA279" s="38" t="s">
        <v>336</v>
      </c>
      <c r="AB279" s="38" t="s">
        <v>748</v>
      </c>
      <c r="AC279" s="38">
        <v>131.15325</v>
      </c>
      <c r="AD279" s="53" t="s">
        <v>340</v>
      </c>
      <c r="AE279" s="53"/>
      <c r="AF279" s="38"/>
      <c r="AG279" s="38"/>
      <c r="AH279" s="38"/>
      <c r="AI279" s="50">
        <v>-12.4942</v>
      </c>
      <c r="AJ279" s="50">
        <v>131.15325</v>
      </c>
      <c r="AK279" s="41" t="s">
        <v>336</v>
      </c>
      <c r="AL279" s="40" t="s">
        <v>336</v>
      </c>
      <c r="AM279" s="49">
        <v>37.0</v>
      </c>
      <c r="AN279" s="51">
        <v>37.0</v>
      </c>
      <c r="AO279" s="42" t="s">
        <v>335</v>
      </c>
      <c r="AP279" s="43" t="s">
        <v>335</v>
      </c>
      <c r="AQ279" s="44" t="str">
        <f t="shared" si="33"/>
        <v>EBF</v>
      </c>
      <c r="AR279" s="44">
        <f t="shared" si="3"/>
        <v>37</v>
      </c>
      <c r="AS279" s="44" t="str">
        <f t="shared" ref="AS279:AS333" si="35">LEFT(AO279,1)</f>
        <v>A</v>
      </c>
      <c r="AT279" s="44" t="str">
        <f t="shared" si="17"/>
        <v>Aw</v>
      </c>
      <c r="AU279" s="44" t="str">
        <f t="shared" si="2"/>
        <v>Aw</v>
      </c>
      <c r="AV279" s="38"/>
      <c r="AW279" s="38"/>
      <c r="AX279" s="38"/>
      <c r="AY279" s="38"/>
      <c r="AZ279" s="29">
        <v>1000.0</v>
      </c>
      <c r="BA279" s="29">
        <v>1.0</v>
      </c>
      <c r="BB279" s="29">
        <v>1.0</v>
      </c>
      <c r="BC279" s="76"/>
      <c r="BD279" s="29" t="s">
        <v>88</v>
      </c>
      <c r="BE279" s="29"/>
      <c r="BF279" s="76" t="s">
        <v>737</v>
      </c>
      <c r="BG279" s="76" t="s">
        <v>738</v>
      </c>
      <c r="BH279" s="76"/>
      <c r="BI279" s="76" t="s">
        <v>739</v>
      </c>
      <c r="BJ279" s="76"/>
      <c r="BK279" s="29"/>
      <c r="BL279" s="29" t="s">
        <v>148</v>
      </c>
      <c r="BM279" s="45">
        <v>1.0</v>
      </c>
      <c r="BN279" s="45"/>
      <c r="BO279" s="46"/>
      <c r="BP279" s="2"/>
      <c r="BQ279" s="3"/>
    </row>
    <row r="280" ht="15.75" customHeight="1">
      <c r="A280" s="34">
        <v>281.0</v>
      </c>
      <c r="B280" s="34">
        <v>102956.0</v>
      </c>
      <c r="C280" s="34" t="s">
        <v>76</v>
      </c>
      <c r="D280" s="34" t="s">
        <v>729</v>
      </c>
      <c r="E280" s="34" t="s">
        <v>730</v>
      </c>
      <c r="F280" s="34">
        <v>2019.0</v>
      </c>
      <c r="G280" s="34" t="s">
        <v>731</v>
      </c>
      <c r="H280" s="34" t="s">
        <v>732</v>
      </c>
      <c r="I280" s="34" t="s">
        <v>733</v>
      </c>
      <c r="J280" s="35">
        <v>1.0</v>
      </c>
      <c r="K280" s="36">
        <v>-100.0</v>
      </c>
      <c r="L280" s="36">
        <v>284.0</v>
      </c>
      <c r="M280" s="36"/>
      <c r="N280" s="36"/>
      <c r="O280" s="36"/>
      <c r="P280" s="37">
        <v>-35.0</v>
      </c>
      <c r="Q280" s="54" t="s">
        <v>734</v>
      </c>
      <c r="R280" s="54" t="s">
        <v>13</v>
      </c>
      <c r="S280" s="36">
        <v>1000.0</v>
      </c>
      <c r="T280" s="36" t="s">
        <v>328</v>
      </c>
      <c r="U280" s="36" t="s">
        <v>342</v>
      </c>
      <c r="V280" s="36"/>
      <c r="W280" s="36"/>
      <c r="X280" s="38">
        <v>1.0</v>
      </c>
      <c r="Y280" s="38" t="s">
        <v>749</v>
      </c>
      <c r="Z280" s="38" t="s">
        <v>750</v>
      </c>
      <c r="AA280" s="38" t="s">
        <v>370</v>
      </c>
      <c r="AB280" s="38" t="s">
        <v>751</v>
      </c>
      <c r="AC280" s="38" t="s">
        <v>752</v>
      </c>
      <c r="AD280" s="58" t="s">
        <v>87</v>
      </c>
      <c r="AE280" s="38">
        <v>410.0</v>
      </c>
      <c r="AF280" s="38"/>
      <c r="AG280" s="38" t="s">
        <v>753</v>
      </c>
      <c r="AH280" s="38"/>
      <c r="AI280" s="50">
        <v>63.9198</v>
      </c>
      <c r="AJ280" s="50">
        <v>-145.3782</v>
      </c>
      <c r="AK280" s="41" t="s">
        <v>291</v>
      </c>
      <c r="AL280" s="40" t="s">
        <v>291</v>
      </c>
      <c r="AM280" s="49"/>
      <c r="AN280" s="43"/>
      <c r="AO280" s="42" t="s">
        <v>412</v>
      </c>
      <c r="AP280" s="43" t="s">
        <v>372</v>
      </c>
      <c r="AQ280" s="44" t="str">
        <f t="shared" si="33"/>
        <v>DBF</v>
      </c>
      <c r="AR280" s="44" t="str">
        <f t="shared" si="3"/>
        <v/>
      </c>
      <c r="AS280" s="44" t="str">
        <f t="shared" si="35"/>
        <v>D</v>
      </c>
      <c r="AT280" s="44" t="str">
        <f t="shared" si="17"/>
        <v>Df</v>
      </c>
      <c r="AU280" s="44" t="str">
        <f t="shared" si="2"/>
        <v>Dfc</v>
      </c>
      <c r="AV280" s="38"/>
      <c r="AW280" s="38"/>
      <c r="AX280" s="38"/>
      <c r="AY280" s="38"/>
      <c r="AZ280" s="29">
        <v>1000.0</v>
      </c>
      <c r="BA280" s="29">
        <v>1.0</v>
      </c>
      <c r="BB280" s="29">
        <v>1.0</v>
      </c>
      <c r="BC280" s="76"/>
      <c r="BD280" s="29" t="s">
        <v>88</v>
      </c>
      <c r="BE280" s="29"/>
      <c r="BF280" s="76" t="s">
        <v>737</v>
      </c>
      <c r="BG280" s="76" t="s">
        <v>738</v>
      </c>
      <c r="BH280" s="76"/>
      <c r="BI280" s="76" t="s">
        <v>739</v>
      </c>
      <c r="BJ280" s="76"/>
      <c r="BK280" s="29"/>
      <c r="BL280" s="29" t="s">
        <v>148</v>
      </c>
      <c r="BM280" s="45">
        <v>1.0</v>
      </c>
      <c r="BN280" s="45"/>
      <c r="BO280" s="46"/>
      <c r="BP280" s="2"/>
      <c r="BQ280" s="3"/>
    </row>
    <row r="281" ht="15.75" customHeight="1">
      <c r="A281" s="34">
        <v>282.0</v>
      </c>
      <c r="B281" s="34">
        <v>102956.0</v>
      </c>
      <c r="C281" s="34" t="s">
        <v>76</v>
      </c>
      <c r="D281" s="34" t="s">
        <v>729</v>
      </c>
      <c r="E281" s="34" t="s">
        <v>730</v>
      </c>
      <c r="F281" s="34">
        <v>2019.0</v>
      </c>
      <c r="G281" s="34" t="s">
        <v>731</v>
      </c>
      <c r="H281" s="34" t="s">
        <v>732</v>
      </c>
      <c r="I281" s="34" t="s">
        <v>733</v>
      </c>
      <c r="J281" s="35"/>
      <c r="K281" s="36">
        <v>571.0</v>
      </c>
      <c r="L281" s="36">
        <v>418.0</v>
      </c>
      <c r="M281" s="36"/>
      <c r="N281" s="36"/>
      <c r="O281" s="36"/>
      <c r="P281" s="72">
        <v>137.0</v>
      </c>
      <c r="Q281" s="54" t="s">
        <v>734</v>
      </c>
      <c r="R281" s="54" t="s">
        <v>13</v>
      </c>
      <c r="S281" s="36">
        <v>1000.0</v>
      </c>
      <c r="T281" s="36" t="s">
        <v>328</v>
      </c>
      <c r="U281" s="36" t="s">
        <v>342</v>
      </c>
      <c r="V281" s="36"/>
      <c r="W281" s="36"/>
      <c r="X281" s="38">
        <v>1.0</v>
      </c>
      <c r="Y281" s="38" t="s">
        <v>754</v>
      </c>
      <c r="Z281" s="38" t="s">
        <v>754</v>
      </c>
      <c r="AA281" s="38" t="s">
        <v>370</v>
      </c>
      <c r="AB281" s="38" t="s">
        <v>755</v>
      </c>
      <c r="AC281" s="38" t="s">
        <v>756</v>
      </c>
      <c r="AD281" s="53" t="s">
        <v>395</v>
      </c>
      <c r="AE281" s="38">
        <v>601.0</v>
      </c>
      <c r="AF281" s="38"/>
      <c r="AG281" s="38"/>
      <c r="AH281" s="38"/>
      <c r="AI281" s="50">
        <v>53.7</v>
      </c>
      <c r="AJ281" s="50">
        <v>-106.2</v>
      </c>
      <c r="AK281" s="41" t="s">
        <v>370</v>
      </c>
      <c r="AL281" s="40" t="s">
        <v>370</v>
      </c>
      <c r="AM281" s="49">
        <v>581.0</v>
      </c>
      <c r="AN281" s="51">
        <v>581.0</v>
      </c>
      <c r="AO281" s="42" t="s">
        <v>372</v>
      </c>
      <c r="AP281" s="43" t="s">
        <v>107</v>
      </c>
      <c r="AQ281" s="44" t="str">
        <f t="shared" si="33"/>
        <v>DBF</v>
      </c>
      <c r="AR281" s="44">
        <f t="shared" si="3"/>
        <v>581</v>
      </c>
      <c r="AS281" s="44" t="str">
        <f t="shared" si="35"/>
        <v>D</v>
      </c>
      <c r="AT281" s="44" t="str">
        <f t="shared" si="17"/>
        <v>Df</v>
      </c>
      <c r="AU281" s="44" t="str">
        <f t="shared" si="2"/>
        <v>Dfb</v>
      </c>
      <c r="AV281" s="38"/>
      <c r="AW281" s="38"/>
      <c r="AX281" s="38"/>
      <c r="AY281" s="38"/>
      <c r="AZ281" s="29">
        <v>1000.0</v>
      </c>
      <c r="BA281" s="29">
        <v>1.0</v>
      </c>
      <c r="BB281" s="29">
        <v>1.0</v>
      </c>
      <c r="BC281" s="76"/>
      <c r="BD281" s="29" t="s">
        <v>88</v>
      </c>
      <c r="BE281" s="29"/>
      <c r="BF281" s="76" t="s">
        <v>737</v>
      </c>
      <c r="BG281" s="76" t="s">
        <v>738</v>
      </c>
      <c r="BH281" s="76"/>
      <c r="BI281" s="76" t="s">
        <v>739</v>
      </c>
      <c r="BJ281" s="76"/>
      <c r="BK281" s="29"/>
      <c r="BL281" s="29" t="s">
        <v>148</v>
      </c>
      <c r="BM281" s="45">
        <v>1.0</v>
      </c>
      <c r="BN281" s="45"/>
      <c r="BO281" s="46"/>
      <c r="BP281" s="2" t="s">
        <v>682</v>
      </c>
      <c r="BQ281" s="3"/>
    </row>
    <row r="282" ht="15.75" customHeight="1">
      <c r="A282" s="34">
        <v>283.0</v>
      </c>
      <c r="B282" s="34">
        <v>102956.0</v>
      </c>
      <c r="C282" s="34" t="s">
        <v>76</v>
      </c>
      <c r="D282" s="34" t="s">
        <v>729</v>
      </c>
      <c r="E282" s="34" t="s">
        <v>730</v>
      </c>
      <c r="F282" s="34">
        <v>2019.0</v>
      </c>
      <c r="G282" s="34" t="s">
        <v>731</v>
      </c>
      <c r="H282" s="34" t="s">
        <v>732</v>
      </c>
      <c r="I282" s="34" t="s">
        <v>733</v>
      </c>
      <c r="J282" s="35"/>
      <c r="K282" s="36">
        <v>295.0</v>
      </c>
      <c r="L282" s="36">
        <v>413.0</v>
      </c>
      <c r="M282" s="36"/>
      <c r="N282" s="36"/>
      <c r="O282" s="36"/>
      <c r="P282" s="37">
        <v>71.0</v>
      </c>
      <c r="Q282" s="54" t="s">
        <v>734</v>
      </c>
      <c r="R282" s="54" t="s">
        <v>13</v>
      </c>
      <c r="S282" s="36">
        <v>1000.0</v>
      </c>
      <c r="T282" s="36" t="s">
        <v>328</v>
      </c>
      <c r="U282" s="36" t="s">
        <v>342</v>
      </c>
      <c r="V282" s="36"/>
      <c r="W282" s="36"/>
      <c r="X282" s="38">
        <v>1.0</v>
      </c>
      <c r="Y282" s="38" t="s">
        <v>757</v>
      </c>
      <c r="Z282" s="38" t="s">
        <v>758</v>
      </c>
      <c r="AA282" s="38" t="s">
        <v>197</v>
      </c>
      <c r="AB282" s="38" t="s">
        <v>759</v>
      </c>
      <c r="AC282" s="68" t="s">
        <v>760</v>
      </c>
      <c r="AD282" s="53" t="s">
        <v>395</v>
      </c>
      <c r="AE282" s="38">
        <v>350.0</v>
      </c>
      <c r="AF282" s="38"/>
      <c r="AG282" s="38"/>
      <c r="AH282" s="38"/>
      <c r="AI282" s="50">
        <v>49.52078</v>
      </c>
      <c r="AJ282" s="77">
        <v>-125.20063005</v>
      </c>
      <c r="AK282" s="41" t="s">
        <v>197</v>
      </c>
      <c r="AL282" s="40" t="s">
        <v>197</v>
      </c>
      <c r="AM282" s="49">
        <v>948.0</v>
      </c>
      <c r="AN282" s="51">
        <v>948.0</v>
      </c>
      <c r="AO282" s="42" t="s">
        <v>376</v>
      </c>
      <c r="AP282" s="43" t="s">
        <v>445</v>
      </c>
      <c r="AQ282" s="44" t="str">
        <f t="shared" si="33"/>
        <v>ENF</v>
      </c>
      <c r="AR282" s="44">
        <f t="shared" si="3"/>
        <v>948</v>
      </c>
      <c r="AS282" s="44" t="str">
        <f t="shared" si="35"/>
        <v>C</v>
      </c>
      <c r="AT282" s="44" t="str">
        <f t="shared" si="17"/>
        <v>Cs</v>
      </c>
      <c r="AU282" s="44" t="str">
        <f t="shared" si="2"/>
        <v>Csb</v>
      </c>
      <c r="AV282" s="38"/>
      <c r="AW282" s="38"/>
      <c r="AX282" s="38"/>
      <c r="AY282" s="38"/>
      <c r="AZ282" s="29">
        <v>1000.0</v>
      </c>
      <c r="BA282" s="29">
        <v>1.0</v>
      </c>
      <c r="BB282" s="29">
        <v>1.0</v>
      </c>
      <c r="BC282" s="76"/>
      <c r="BD282" s="29" t="s">
        <v>88</v>
      </c>
      <c r="BE282" s="29"/>
      <c r="BF282" s="76" t="s">
        <v>737</v>
      </c>
      <c r="BG282" s="76" t="s">
        <v>738</v>
      </c>
      <c r="BH282" s="76"/>
      <c r="BI282" s="76" t="s">
        <v>739</v>
      </c>
      <c r="BJ282" s="76"/>
      <c r="BK282" s="29"/>
      <c r="BL282" s="29" t="s">
        <v>148</v>
      </c>
      <c r="BM282" s="45">
        <v>1.0</v>
      </c>
      <c r="BN282" s="45"/>
      <c r="BO282" s="46"/>
      <c r="BP282" s="2"/>
      <c r="BQ282" s="3"/>
    </row>
    <row r="283" ht="15.75" customHeight="1">
      <c r="A283" s="34">
        <v>284.0</v>
      </c>
      <c r="B283" s="34">
        <v>102956.0</v>
      </c>
      <c r="C283" s="34" t="s">
        <v>76</v>
      </c>
      <c r="D283" s="34" t="s">
        <v>729</v>
      </c>
      <c r="E283" s="34" t="s">
        <v>730</v>
      </c>
      <c r="F283" s="34">
        <v>2019.0</v>
      </c>
      <c r="G283" s="34" t="s">
        <v>731</v>
      </c>
      <c r="H283" s="34" t="s">
        <v>732</v>
      </c>
      <c r="I283" s="34" t="s">
        <v>733</v>
      </c>
      <c r="J283" s="35"/>
      <c r="K283" s="36">
        <v>374.0</v>
      </c>
      <c r="L283" s="36">
        <v>285.0</v>
      </c>
      <c r="M283" s="36"/>
      <c r="N283" s="36"/>
      <c r="O283" s="36"/>
      <c r="P283" s="72">
        <v>131.0</v>
      </c>
      <c r="Q283" s="54" t="s">
        <v>734</v>
      </c>
      <c r="R283" s="54" t="s">
        <v>13</v>
      </c>
      <c r="S283" s="36">
        <v>1000.0</v>
      </c>
      <c r="T283" s="36" t="s">
        <v>328</v>
      </c>
      <c r="U283" s="36" t="s">
        <v>342</v>
      </c>
      <c r="V283" s="36"/>
      <c r="W283" s="36"/>
      <c r="X283" s="38">
        <v>1.0</v>
      </c>
      <c r="Y283" s="38" t="s">
        <v>761</v>
      </c>
      <c r="Z283" s="38" t="s">
        <v>762</v>
      </c>
      <c r="AA283" s="38" t="s">
        <v>197</v>
      </c>
      <c r="AB283" s="38" t="s">
        <v>763</v>
      </c>
      <c r="AC283" s="68" t="s">
        <v>764</v>
      </c>
      <c r="AD283" s="53" t="s">
        <v>395</v>
      </c>
      <c r="AE283" s="38">
        <v>175.0</v>
      </c>
      <c r="AF283" s="38"/>
      <c r="AG283" s="38"/>
      <c r="AH283" s="38"/>
      <c r="AI283" s="50">
        <v>49.520108</v>
      </c>
      <c r="AJ283" s="77">
        <v>-125.160438</v>
      </c>
      <c r="AK283" s="41" t="s">
        <v>197</v>
      </c>
      <c r="AL283" s="40" t="s">
        <v>197</v>
      </c>
      <c r="AM283" s="49">
        <v>612.0</v>
      </c>
      <c r="AN283" s="51">
        <v>612.0</v>
      </c>
      <c r="AO283" s="42" t="s">
        <v>445</v>
      </c>
      <c r="AP283" s="43" t="s">
        <v>445</v>
      </c>
      <c r="AQ283" s="44" t="str">
        <f t="shared" si="33"/>
        <v>ENF</v>
      </c>
      <c r="AR283" s="44">
        <f t="shared" si="3"/>
        <v>612</v>
      </c>
      <c r="AS283" s="44" t="str">
        <f t="shared" si="35"/>
        <v>C</v>
      </c>
      <c r="AT283" s="44" t="str">
        <f t="shared" si="17"/>
        <v>Cs</v>
      </c>
      <c r="AU283" s="44" t="str">
        <f t="shared" si="2"/>
        <v>Csb</v>
      </c>
      <c r="AV283" s="38"/>
      <c r="AW283" s="38"/>
      <c r="AX283" s="38"/>
      <c r="AY283" s="38"/>
      <c r="AZ283" s="29">
        <v>1000.0</v>
      </c>
      <c r="BA283" s="29">
        <v>1.0</v>
      </c>
      <c r="BB283" s="29">
        <v>1.0</v>
      </c>
      <c r="BC283" s="76"/>
      <c r="BD283" s="29" t="s">
        <v>88</v>
      </c>
      <c r="BE283" s="29"/>
      <c r="BF283" s="76" t="s">
        <v>737</v>
      </c>
      <c r="BG283" s="76" t="s">
        <v>738</v>
      </c>
      <c r="BH283" s="76"/>
      <c r="BI283" s="76" t="s">
        <v>739</v>
      </c>
      <c r="BJ283" s="76"/>
      <c r="BK283" s="29"/>
      <c r="BL283" s="29" t="s">
        <v>148</v>
      </c>
      <c r="BM283" s="45">
        <v>1.0</v>
      </c>
      <c r="BN283" s="45"/>
      <c r="BO283" s="46"/>
      <c r="BP283" s="2" t="s">
        <v>682</v>
      </c>
      <c r="BQ283" s="3"/>
    </row>
    <row r="284" ht="15.75" customHeight="1">
      <c r="A284" s="34">
        <v>285.0</v>
      </c>
      <c r="B284" s="34">
        <v>102956.0</v>
      </c>
      <c r="C284" s="34" t="s">
        <v>76</v>
      </c>
      <c r="D284" s="34" t="s">
        <v>729</v>
      </c>
      <c r="E284" s="34" t="s">
        <v>730</v>
      </c>
      <c r="F284" s="34">
        <v>2019.0</v>
      </c>
      <c r="G284" s="34" t="s">
        <v>731</v>
      </c>
      <c r="H284" s="34" t="s">
        <v>732</v>
      </c>
      <c r="I284" s="34" t="s">
        <v>733</v>
      </c>
      <c r="J284" s="35"/>
      <c r="K284" s="36">
        <v>306.0</v>
      </c>
      <c r="L284" s="36">
        <v>418.0</v>
      </c>
      <c r="M284" s="36"/>
      <c r="N284" s="36"/>
      <c r="O284" s="36"/>
      <c r="P284" s="37">
        <v>73.0</v>
      </c>
      <c r="Q284" s="54" t="s">
        <v>734</v>
      </c>
      <c r="R284" s="54" t="s">
        <v>13</v>
      </c>
      <c r="S284" s="36">
        <v>1000.0</v>
      </c>
      <c r="T284" s="36" t="s">
        <v>328</v>
      </c>
      <c r="U284" s="36" t="s">
        <v>342</v>
      </c>
      <c r="V284" s="36"/>
      <c r="W284" s="36"/>
      <c r="X284" s="38">
        <v>1.0</v>
      </c>
      <c r="Y284" s="38" t="s">
        <v>765</v>
      </c>
      <c r="Z284" s="38" t="s">
        <v>766</v>
      </c>
      <c r="AA284" s="38" t="s">
        <v>197</v>
      </c>
      <c r="AB284" s="38" t="s">
        <v>767</v>
      </c>
      <c r="AC284" s="38" t="s">
        <v>768</v>
      </c>
      <c r="AD284" s="53" t="s">
        <v>395</v>
      </c>
      <c r="AE284" s="38">
        <v>170.0</v>
      </c>
      <c r="AF284" s="38"/>
      <c r="AG284" s="38"/>
      <c r="AH284" s="38"/>
      <c r="AI284" s="50">
        <v>49.3201049</v>
      </c>
      <c r="AJ284" s="50">
        <v>-124.540718</v>
      </c>
      <c r="AK284" s="41" t="s">
        <v>197</v>
      </c>
      <c r="AL284" s="40" t="s">
        <v>197</v>
      </c>
      <c r="AM284" s="49">
        <v>146.0</v>
      </c>
      <c r="AN284" s="51">
        <v>146.0</v>
      </c>
      <c r="AO284" s="42" t="s">
        <v>445</v>
      </c>
      <c r="AP284" s="43" t="s">
        <v>445</v>
      </c>
      <c r="AQ284" s="44" t="str">
        <f t="shared" si="33"/>
        <v>ENF</v>
      </c>
      <c r="AR284" s="44">
        <f t="shared" si="3"/>
        <v>146</v>
      </c>
      <c r="AS284" s="44" t="str">
        <f t="shared" si="35"/>
        <v>C</v>
      </c>
      <c r="AT284" s="44" t="str">
        <f t="shared" si="17"/>
        <v>Cs</v>
      </c>
      <c r="AU284" s="44" t="str">
        <f t="shared" si="2"/>
        <v>Csb</v>
      </c>
      <c r="AV284" s="38"/>
      <c r="AW284" s="38"/>
      <c r="AX284" s="38"/>
      <c r="AY284" s="38"/>
      <c r="AZ284" s="29">
        <v>1000.0</v>
      </c>
      <c r="BA284" s="29">
        <v>1.0</v>
      </c>
      <c r="BB284" s="29">
        <v>1.0</v>
      </c>
      <c r="BC284" s="76"/>
      <c r="BD284" s="29" t="s">
        <v>88</v>
      </c>
      <c r="BE284" s="29"/>
      <c r="BF284" s="76" t="s">
        <v>737</v>
      </c>
      <c r="BG284" s="76" t="s">
        <v>738</v>
      </c>
      <c r="BH284" s="76"/>
      <c r="BI284" s="76" t="s">
        <v>739</v>
      </c>
      <c r="BJ284" s="76"/>
      <c r="BK284" s="29"/>
      <c r="BL284" s="29" t="s">
        <v>148</v>
      </c>
      <c r="BM284" s="45">
        <v>1.0</v>
      </c>
      <c r="BN284" s="45"/>
      <c r="BO284" s="46"/>
      <c r="BP284" s="2" t="s">
        <v>682</v>
      </c>
      <c r="BQ284" s="3"/>
    </row>
    <row r="285" ht="15.75" customHeight="1">
      <c r="A285" s="34">
        <v>286.0</v>
      </c>
      <c r="B285" s="34">
        <v>102956.0</v>
      </c>
      <c r="C285" s="34" t="s">
        <v>76</v>
      </c>
      <c r="D285" s="34" t="s">
        <v>729</v>
      </c>
      <c r="E285" s="34" t="s">
        <v>730</v>
      </c>
      <c r="F285" s="34">
        <v>2019.0</v>
      </c>
      <c r="G285" s="34" t="s">
        <v>731</v>
      </c>
      <c r="H285" s="34" t="s">
        <v>732</v>
      </c>
      <c r="I285" s="34" t="s">
        <v>733</v>
      </c>
      <c r="J285" s="35"/>
      <c r="K285" s="36">
        <v>363.0</v>
      </c>
      <c r="L285" s="36">
        <v>415.0</v>
      </c>
      <c r="M285" s="36"/>
      <c r="N285" s="36"/>
      <c r="O285" s="36"/>
      <c r="P285" s="37">
        <v>87.0</v>
      </c>
      <c r="Q285" s="54" t="s">
        <v>734</v>
      </c>
      <c r="R285" s="54" t="s">
        <v>13</v>
      </c>
      <c r="S285" s="36">
        <v>1000.0</v>
      </c>
      <c r="T285" s="36" t="s">
        <v>328</v>
      </c>
      <c r="U285" s="36" t="s">
        <v>342</v>
      </c>
      <c r="V285" s="36"/>
      <c r="W285" s="36"/>
      <c r="X285" s="38">
        <v>1.0</v>
      </c>
      <c r="Y285" s="38" t="s">
        <v>769</v>
      </c>
      <c r="Z285" s="38" t="s">
        <v>770</v>
      </c>
      <c r="AA285" s="38" t="s">
        <v>197</v>
      </c>
      <c r="AB285" s="38" t="s">
        <v>771</v>
      </c>
      <c r="AC285" s="38" t="s">
        <v>772</v>
      </c>
      <c r="AD285" s="53" t="s">
        <v>87</v>
      </c>
      <c r="AE285" s="38">
        <v>941.0</v>
      </c>
      <c r="AF285" s="38"/>
      <c r="AG285" s="38" t="s">
        <v>445</v>
      </c>
      <c r="AH285" s="38"/>
      <c r="AI285" s="50">
        <v>44.2956</v>
      </c>
      <c r="AJ285" s="50">
        <v>-121.3725</v>
      </c>
      <c r="AK285" s="41" t="s">
        <v>291</v>
      </c>
      <c r="AL285" s="40" t="s">
        <v>291</v>
      </c>
      <c r="AM285" s="49">
        <v>925.0</v>
      </c>
      <c r="AN285" s="51">
        <v>925.0</v>
      </c>
      <c r="AO285" s="42" t="s">
        <v>293</v>
      </c>
      <c r="AP285" s="43" t="s">
        <v>293</v>
      </c>
      <c r="AQ285" s="44" t="str">
        <f t="shared" si="33"/>
        <v>ENF</v>
      </c>
      <c r="AR285" s="44">
        <f t="shared" si="3"/>
        <v>925</v>
      </c>
      <c r="AS285" s="44" t="str">
        <f t="shared" si="35"/>
        <v>B</v>
      </c>
      <c r="AT285" s="44" t="str">
        <f t="shared" si="17"/>
        <v>BS</v>
      </c>
      <c r="AU285" s="44" t="str">
        <f t="shared" si="2"/>
        <v>BSk</v>
      </c>
      <c r="AV285" s="38"/>
      <c r="AW285" s="38"/>
      <c r="AX285" s="38"/>
      <c r="AY285" s="38"/>
      <c r="AZ285" s="29">
        <v>1000.0</v>
      </c>
      <c r="BA285" s="29">
        <v>1.0</v>
      </c>
      <c r="BB285" s="29">
        <v>1.0</v>
      </c>
      <c r="BC285" s="76"/>
      <c r="BD285" s="29" t="s">
        <v>88</v>
      </c>
      <c r="BE285" s="29"/>
      <c r="BF285" s="76" t="s">
        <v>737</v>
      </c>
      <c r="BG285" s="76" t="s">
        <v>738</v>
      </c>
      <c r="BH285" s="76"/>
      <c r="BI285" s="76" t="s">
        <v>739</v>
      </c>
      <c r="BJ285" s="76"/>
      <c r="BK285" s="29"/>
      <c r="BL285" s="29" t="s">
        <v>148</v>
      </c>
      <c r="BM285" s="45">
        <v>1.0</v>
      </c>
      <c r="BN285" s="45"/>
      <c r="BO285" s="46"/>
      <c r="BP285" s="2" t="s">
        <v>682</v>
      </c>
      <c r="BQ285" s="3"/>
    </row>
    <row r="286" ht="15.75" customHeight="1">
      <c r="A286" s="34">
        <v>287.0</v>
      </c>
      <c r="B286" s="34">
        <v>102956.0</v>
      </c>
      <c r="C286" s="34" t="s">
        <v>76</v>
      </c>
      <c r="D286" s="34" t="s">
        <v>729</v>
      </c>
      <c r="E286" s="34" t="s">
        <v>730</v>
      </c>
      <c r="F286" s="34">
        <v>2019.0</v>
      </c>
      <c r="G286" s="34" t="s">
        <v>731</v>
      </c>
      <c r="H286" s="34" t="s">
        <v>732</v>
      </c>
      <c r="I286" s="34" t="s">
        <v>733</v>
      </c>
      <c r="J286" s="35"/>
      <c r="K286" s="36">
        <v>101.0</v>
      </c>
      <c r="L286" s="36">
        <v>782.0</v>
      </c>
      <c r="M286" s="36"/>
      <c r="N286" s="36"/>
      <c r="O286" s="36"/>
      <c r="P286" s="37">
        <v>13.0</v>
      </c>
      <c r="Q286" s="54" t="s">
        <v>734</v>
      </c>
      <c r="R286" s="54" t="s">
        <v>13</v>
      </c>
      <c r="S286" s="36">
        <v>1000.0</v>
      </c>
      <c r="T286" s="36" t="s">
        <v>328</v>
      </c>
      <c r="U286" s="36" t="s">
        <v>342</v>
      </c>
      <c r="V286" s="36"/>
      <c r="W286" s="36"/>
      <c r="X286" s="38">
        <v>1.0</v>
      </c>
      <c r="Y286" s="38" t="s">
        <v>773</v>
      </c>
      <c r="Z286" s="38" t="s">
        <v>774</v>
      </c>
      <c r="AA286" s="38" t="s">
        <v>197</v>
      </c>
      <c r="AB286" s="38" t="s">
        <v>775</v>
      </c>
      <c r="AC286" s="38" t="s">
        <v>776</v>
      </c>
      <c r="AD286" s="53" t="s">
        <v>87</v>
      </c>
      <c r="AE286" s="53"/>
      <c r="AF286" s="38"/>
      <c r="AG286" s="57"/>
      <c r="AH286" s="38"/>
      <c r="AI286" s="50">
        <v>35.5841</v>
      </c>
      <c r="AJ286" s="50">
        <v>-79.0539</v>
      </c>
      <c r="AK286" s="41" t="s">
        <v>197</v>
      </c>
      <c r="AL286" s="40" t="s">
        <v>197</v>
      </c>
      <c r="AM286" s="49">
        <v>53.0</v>
      </c>
      <c r="AN286" s="51">
        <v>53.0</v>
      </c>
      <c r="AO286" s="42" t="s">
        <v>201</v>
      </c>
      <c r="AP286" s="43" t="s">
        <v>201</v>
      </c>
      <c r="AQ286" s="44" t="str">
        <f t="shared" si="33"/>
        <v>ENF</v>
      </c>
      <c r="AR286" s="44">
        <f t="shared" si="3"/>
        <v>53</v>
      </c>
      <c r="AS286" s="44" t="str">
        <f t="shared" si="35"/>
        <v>C</v>
      </c>
      <c r="AT286" s="44" t="str">
        <f t="shared" si="17"/>
        <v>Cf</v>
      </c>
      <c r="AU286" s="44" t="str">
        <f t="shared" si="2"/>
        <v>Cfa</v>
      </c>
      <c r="AV286" s="38"/>
      <c r="AW286" s="38"/>
      <c r="AX286" s="38"/>
      <c r="AY286" s="38"/>
      <c r="AZ286" s="29">
        <v>1000.0</v>
      </c>
      <c r="BA286" s="29">
        <v>1.0</v>
      </c>
      <c r="BB286" s="29">
        <v>1.0</v>
      </c>
      <c r="BC286" s="76"/>
      <c r="BD286" s="29" t="s">
        <v>88</v>
      </c>
      <c r="BE286" s="29"/>
      <c r="BF286" s="76" t="s">
        <v>737</v>
      </c>
      <c r="BG286" s="76" t="s">
        <v>738</v>
      </c>
      <c r="BH286" s="76"/>
      <c r="BI286" s="76" t="s">
        <v>739</v>
      </c>
      <c r="BJ286" s="76"/>
      <c r="BK286" s="29"/>
      <c r="BL286" s="29" t="s">
        <v>148</v>
      </c>
      <c r="BM286" s="45">
        <v>1.0</v>
      </c>
      <c r="BN286" s="45"/>
      <c r="BO286" s="46"/>
      <c r="BP286" s="2" t="s">
        <v>682</v>
      </c>
      <c r="BQ286" s="3"/>
    </row>
    <row r="287" ht="15.75" customHeight="1">
      <c r="A287" s="34">
        <v>288.0</v>
      </c>
      <c r="B287" s="34">
        <v>102956.0</v>
      </c>
      <c r="C287" s="34" t="s">
        <v>76</v>
      </c>
      <c r="D287" s="34" t="s">
        <v>729</v>
      </c>
      <c r="E287" s="34" t="s">
        <v>730</v>
      </c>
      <c r="F287" s="34">
        <v>2019.0</v>
      </c>
      <c r="G287" s="34" t="s">
        <v>731</v>
      </c>
      <c r="H287" s="34" t="s">
        <v>732</v>
      </c>
      <c r="I287" s="34" t="s">
        <v>733</v>
      </c>
      <c r="J287" s="35"/>
      <c r="K287" s="36">
        <v>-79.0</v>
      </c>
      <c r="L287" s="36">
        <v>1126.0</v>
      </c>
      <c r="M287" s="36"/>
      <c r="N287" s="36"/>
      <c r="O287" s="36"/>
      <c r="P287" s="37">
        <v>-7.0</v>
      </c>
      <c r="Q287" s="54" t="s">
        <v>734</v>
      </c>
      <c r="R287" s="54" t="s">
        <v>13</v>
      </c>
      <c r="S287" s="36">
        <v>1000.0</v>
      </c>
      <c r="T287" s="36" t="s">
        <v>328</v>
      </c>
      <c r="U287" s="36" t="s">
        <v>342</v>
      </c>
      <c r="V287" s="36"/>
      <c r="W287" s="36"/>
      <c r="X287" s="38">
        <v>1.0</v>
      </c>
      <c r="Y287" s="38" t="s">
        <v>777</v>
      </c>
      <c r="Z287" s="38" t="s">
        <v>777</v>
      </c>
      <c r="AA287" s="38" t="s">
        <v>197</v>
      </c>
      <c r="AB287" s="38" t="s">
        <v>778</v>
      </c>
      <c r="AC287" s="38" t="s">
        <v>779</v>
      </c>
      <c r="AD287" s="58" t="s">
        <v>87</v>
      </c>
      <c r="AE287" s="53"/>
      <c r="AF287" s="38"/>
      <c r="AG287" s="57"/>
      <c r="AH287" s="38"/>
      <c r="AI287" s="50">
        <v>29.44</v>
      </c>
      <c r="AJ287" s="50">
        <v>-82.93</v>
      </c>
      <c r="AK287" s="41" t="s">
        <v>200</v>
      </c>
      <c r="AL287" s="40" t="s">
        <v>200</v>
      </c>
      <c r="AM287" s="49">
        <v>33.0</v>
      </c>
      <c r="AN287" s="51">
        <v>33.0</v>
      </c>
      <c r="AO287" s="42" t="s">
        <v>201</v>
      </c>
      <c r="AP287" s="43" t="s">
        <v>201</v>
      </c>
      <c r="AQ287" s="44" t="str">
        <f t="shared" si="33"/>
        <v>ENF</v>
      </c>
      <c r="AR287" s="44">
        <f t="shared" si="3"/>
        <v>33</v>
      </c>
      <c r="AS287" s="44" t="str">
        <f t="shared" si="35"/>
        <v>C</v>
      </c>
      <c r="AT287" s="44" t="str">
        <f t="shared" si="17"/>
        <v>Cf</v>
      </c>
      <c r="AU287" s="44" t="str">
        <f t="shared" si="2"/>
        <v>Cfa</v>
      </c>
      <c r="AV287" s="38"/>
      <c r="AW287" s="38"/>
      <c r="AX287" s="38"/>
      <c r="AY287" s="38"/>
      <c r="AZ287" s="29">
        <v>1000.0</v>
      </c>
      <c r="BA287" s="29">
        <v>1.0</v>
      </c>
      <c r="BB287" s="29">
        <v>1.0</v>
      </c>
      <c r="BC287" s="76"/>
      <c r="BD287" s="29" t="s">
        <v>88</v>
      </c>
      <c r="BE287" s="29"/>
      <c r="BF287" s="76" t="s">
        <v>737</v>
      </c>
      <c r="BG287" s="76" t="s">
        <v>738</v>
      </c>
      <c r="BH287" s="76"/>
      <c r="BI287" s="76" t="s">
        <v>739</v>
      </c>
      <c r="BJ287" s="76"/>
      <c r="BK287" s="29"/>
      <c r="BL287" s="29" t="s">
        <v>148</v>
      </c>
      <c r="BM287" s="45">
        <v>1.0</v>
      </c>
      <c r="BN287" s="45"/>
      <c r="BO287" s="46"/>
      <c r="BP287" s="2" t="s">
        <v>682</v>
      </c>
      <c r="BQ287" s="3"/>
    </row>
    <row r="288" ht="15.75" customHeight="1">
      <c r="A288" s="34">
        <v>289.0</v>
      </c>
      <c r="B288" s="34">
        <v>102956.0</v>
      </c>
      <c r="C288" s="34" t="s">
        <v>76</v>
      </c>
      <c r="D288" s="34" t="s">
        <v>729</v>
      </c>
      <c r="E288" s="34" t="s">
        <v>730</v>
      </c>
      <c r="F288" s="34">
        <v>2019.0</v>
      </c>
      <c r="G288" s="34" t="s">
        <v>731</v>
      </c>
      <c r="H288" s="34" t="s">
        <v>732</v>
      </c>
      <c r="I288" s="34" t="s">
        <v>733</v>
      </c>
      <c r="J288" s="35"/>
      <c r="K288" s="36">
        <v>11.0</v>
      </c>
      <c r="L288" s="36">
        <v>1492.0</v>
      </c>
      <c r="M288" s="36"/>
      <c r="N288" s="36"/>
      <c r="O288" s="36"/>
      <c r="P288" s="37">
        <v>1.0</v>
      </c>
      <c r="Q288" s="54" t="s">
        <v>734</v>
      </c>
      <c r="R288" s="54" t="s">
        <v>13</v>
      </c>
      <c r="S288" s="36">
        <v>1000.0</v>
      </c>
      <c r="T288" s="36" t="s">
        <v>328</v>
      </c>
      <c r="U288" s="36" t="s">
        <v>342</v>
      </c>
      <c r="V288" s="36"/>
      <c r="W288" s="36"/>
      <c r="X288" s="38">
        <v>1.0</v>
      </c>
      <c r="Y288" s="38" t="s">
        <v>780</v>
      </c>
      <c r="Z288" s="38" t="s">
        <v>780</v>
      </c>
      <c r="AA288" s="38" t="s">
        <v>336</v>
      </c>
      <c r="AB288" s="38" t="s">
        <v>781</v>
      </c>
      <c r="AC288" s="38" t="s">
        <v>782</v>
      </c>
      <c r="AD288" s="53" t="s">
        <v>783</v>
      </c>
      <c r="AE288" s="38">
        <v>105.0</v>
      </c>
      <c r="AF288" s="38"/>
      <c r="AG288" s="38"/>
      <c r="AH288" s="38"/>
      <c r="AI288" s="50">
        <v>3.1</v>
      </c>
      <c r="AJ288" s="50">
        <v>-65.4</v>
      </c>
      <c r="AK288" s="41" t="s">
        <v>336</v>
      </c>
      <c r="AL288" s="40" t="s">
        <v>336</v>
      </c>
      <c r="AM288" s="49">
        <v>138.0</v>
      </c>
      <c r="AN288" s="51">
        <v>138.0</v>
      </c>
      <c r="AO288" s="42" t="s">
        <v>784</v>
      </c>
      <c r="AP288" s="43" t="s">
        <v>784</v>
      </c>
      <c r="AQ288" s="44" t="str">
        <f t="shared" si="33"/>
        <v>EBF</v>
      </c>
      <c r="AR288" s="44">
        <f t="shared" si="3"/>
        <v>138</v>
      </c>
      <c r="AS288" s="44" t="str">
        <f t="shared" si="35"/>
        <v>A</v>
      </c>
      <c r="AT288" s="44" t="str">
        <f t="shared" si="17"/>
        <v>Af</v>
      </c>
      <c r="AU288" s="44" t="str">
        <f t="shared" si="2"/>
        <v>Af</v>
      </c>
      <c r="AV288" s="38"/>
      <c r="AW288" s="38"/>
      <c r="AX288" s="38"/>
      <c r="AY288" s="38"/>
      <c r="AZ288" s="29">
        <v>1000.0</v>
      </c>
      <c r="BA288" s="29">
        <v>1.0</v>
      </c>
      <c r="BB288" s="29">
        <v>1.0</v>
      </c>
      <c r="BC288" s="76"/>
      <c r="BD288" s="29" t="s">
        <v>88</v>
      </c>
      <c r="BE288" s="29"/>
      <c r="BF288" s="76" t="s">
        <v>737</v>
      </c>
      <c r="BG288" s="76" t="s">
        <v>738</v>
      </c>
      <c r="BH288" s="76"/>
      <c r="BI288" s="76" t="s">
        <v>739</v>
      </c>
      <c r="BJ288" s="76"/>
      <c r="BK288" s="29"/>
      <c r="BL288" s="29" t="s">
        <v>148</v>
      </c>
      <c r="BM288" s="45">
        <v>1.0</v>
      </c>
      <c r="BN288" s="45"/>
      <c r="BO288" s="46"/>
      <c r="BP288" s="2" t="s">
        <v>682</v>
      </c>
      <c r="BQ288" s="3"/>
    </row>
    <row r="289" ht="15.75" customHeight="1">
      <c r="A289" s="34">
        <v>290.0</v>
      </c>
      <c r="B289" s="34">
        <v>102956.0</v>
      </c>
      <c r="C289" s="34" t="s">
        <v>76</v>
      </c>
      <c r="D289" s="34" t="s">
        <v>729</v>
      </c>
      <c r="E289" s="34" t="s">
        <v>730</v>
      </c>
      <c r="F289" s="34">
        <v>2019.0</v>
      </c>
      <c r="G289" s="34" t="s">
        <v>731</v>
      </c>
      <c r="H289" s="34" t="s">
        <v>732</v>
      </c>
      <c r="I289" s="34" t="s">
        <v>733</v>
      </c>
      <c r="J289" s="35"/>
      <c r="K289" s="36">
        <v>286.0</v>
      </c>
      <c r="L289" s="36">
        <v>1359.0</v>
      </c>
      <c r="M289" s="36"/>
      <c r="N289" s="36"/>
      <c r="O289" s="36"/>
      <c r="P289" s="37">
        <v>21.0</v>
      </c>
      <c r="Q289" s="54" t="s">
        <v>734</v>
      </c>
      <c r="R289" s="54" t="s">
        <v>13</v>
      </c>
      <c r="S289" s="36">
        <v>1000.0</v>
      </c>
      <c r="T289" s="36" t="s">
        <v>328</v>
      </c>
      <c r="U289" s="36" t="s">
        <v>342</v>
      </c>
      <c r="V289" s="36"/>
      <c r="W289" s="36"/>
      <c r="X289" s="38">
        <v>1.0</v>
      </c>
      <c r="Y289" s="38" t="s">
        <v>785</v>
      </c>
      <c r="Z289" s="38" t="s">
        <v>785</v>
      </c>
      <c r="AA289" s="38" t="s">
        <v>336</v>
      </c>
      <c r="AB289" s="38" t="s">
        <v>786</v>
      </c>
      <c r="AC289" s="68" t="s">
        <v>787</v>
      </c>
      <c r="AD289" s="53" t="s">
        <v>334</v>
      </c>
      <c r="AE289" s="38">
        <v>145.0</v>
      </c>
      <c r="AF289" s="38"/>
      <c r="AG289" s="38"/>
      <c r="AH289" s="38"/>
      <c r="AI289" s="50">
        <v>-10.4706</v>
      </c>
      <c r="AJ289" s="77">
        <v>-61.56027</v>
      </c>
      <c r="AK289" s="41" t="s">
        <v>336</v>
      </c>
      <c r="AL289" s="40" t="s">
        <v>336</v>
      </c>
      <c r="AM289" s="49">
        <v>220.0</v>
      </c>
      <c r="AN289" s="51">
        <v>220.0</v>
      </c>
      <c r="AO289" s="42" t="s">
        <v>335</v>
      </c>
      <c r="AP289" s="43" t="s">
        <v>335</v>
      </c>
      <c r="AQ289" s="44" t="str">
        <f t="shared" si="33"/>
        <v>EBF</v>
      </c>
      <c r="AR289" s="44">
        <f t="shared" si="3"/>
        <v>220</v>
      </c>
      <c r="AS289" s="44" t="str">
        <f t="shared" si="35"/>
        <v>A</v>
      </c>
      <c r="AT289" s="44" t="str">
        <f t="shared" si="17"/>
        <v>Aw</v>
      </c>
      <c r="AU289" s="44" t="str">
        <f t="shared" si="2"/>
        <v>Aw</v>
      </c>
      <c r="AV289" s="38"/>
      <c r="AW289" s="38"/>
      <c r="AX289" s="38"/>
      <c r="AY289" s="38"/>
      <c r="AZ289" s="29">
        <v>1000.0</v>
      </c>
      <c r="BA289" s="29">
        <v>1.0</v>
      </c>
      <c r="BB289" s="29">
        <v>1.0</v>
      </c>
      <c r="BC289" s="76"/>
      <c r="BD289" s="29" t="s">
        <v>88</v>
      </c>
      <c r="BE289" s="29"/>
      <c r="BF289" s="76" t="s">
        <v>737</v>
      </c>
      <c r="BG289" s="76" t="s">
        <v>738</v>
      </c>
      <c r="BH289" s="76"/>
      <c r="BI289" s="76" t="s">
        <v>739</v>
      </c>
      <c r="BJ289" s="76"/>
      <c r="BK289" s="29"/>
      <c r="BL289" s="29" t="s">
        <v>148</v>
      </c>
      <c r="BM289" s="45">
        <v>1.0</v>
      </c>
      <c r="BN289" s="45"/>
      <c r="BO289" s="46"/>
      <c r="BP289" s="2" t="s">
        <v>682</v>
      </c>
      <c r="BQ289" s="3"/>
    </row>
    <row r="290" ht="15.75" customHeight="1">
      <c r="A290" s="34">
        <v>291.0</v>
      </c>
      <c r="B290" s="34">
        <v>102956.0</v>
      </c>
      <c r="C290" s="34" t="s">
        <v>76</v>
      </c>
      <c r="D290" s="34" t="s">
        <v>729</v>
      </c>
      <c r="E290" s="34" t="s">
        <v>730</v>
      </c>
      <c r="F290" s="34">
        <v>2019.0</v>
      </c>
      <c r="G290" s="34" t="s">
        <v>731</v>
      </c>
      <c r="H290" s="34" t="s">
        <v>732</v>
      </c>
      <c r="I290" s="34" t="s">
        <v>733</v>
      </c>
      <c r="J290" s="35"/>
      <c r="K290" s="36">
        <v>-102.0</v>
      </c>
      <c r="L290" s="36">
        <v>1318.0</v>
      </c>
      <c r="M290" s="36"/>
      <c r="N290" s="36"/>
      <c r="O290" s="36"/>
      <c r="P290" s="37">
        <v>-8.0</v>
      </c>
      <c r="Q290" s="54" t="s">
        <v>734</v>
      </c>
      <c r="R290" s="54" t="s">
        <v>13</v>
      </c>
      <c r="S290" s="36">
        <v>1000.0</v>
      </c>
      <c r="T290" s="36" t="s">
        <v>328</v>
      </c>
      <c r="U290" s="36" t="s">
        <v>342</v>
      </c>
      <c r="V290" s="36"/>
      <c r="W290" s="36"/>
      <c r="X290" s="38">
        <v>1.0</v>
      </c>
      <c r="Y290" s="38" t="s">
        <v>788</v>
      </c>
      <c r="Z290" s="38" t="s">
        <v>788</v>
      </c>
      <c r="AA290" s="38" t="s">
        <v>336</v>
      </c>
      <c r="AB290" s="38" t="s">
        <v>789</v>
      </c>
      <c r="AC290" s="38" t="s">
        <v>790</v>
      </c>
      <c r="AD290" s="53" t="s">
        <v>791</v>
      </c>
      <c r="AE290" s="38"/>
      <c r="AF290" s="38"/>
      <c r="AG290" s="38"/>
      <c r="AH290" s="38"/>
      <c r="AI290" s="50">
        <v>2.58</v>
      </c>
      <c r="AJ290" s="50">
        <v>102.18</v>
      </c>
      <c r="AK290" s="41" t="s">
        <v>336</v>
      </c>
      <c r="AL290" s="40" t="s">
        <v>336</v>
      </c>
      <c r="AM290" s="49">
        <v>334.0</v>
      </c>
      <c r="AN290" s="51">
        <v>334.0</v>
      </c>
      <c r="AO290" s="42" t="s">
        <v>784</v>
      </c>
      <c r="AP290" s="43" t="s">
        <v>784</v>
      </c>
      <c r="AQ290" s="44" t="str">
        <f t="shared" si="33"/>
        <v>EBF</v>
      </c>
      <c r="AR290" s="44">
        <f t="shared" si="3"/>
        <v>334</v>
      </c>
      <c r="AS290" s="44" t="str">
        <f t="shared" si="35"/>
        <v>A</v>
      </c>
      <c r="AT290" s="44" t="str">
        <f t="shared" si="17"/>
        <v>Af</v>
      </c>
      <c r="AU290" s="44" t="str">
        <f t="shared" si="2"/>
        <v>Af</v>
      </c>
      <c r="AV290" s="38"/>
      <c r="AW290" s="38"/>
      <c r="AX290" s="38"/>
      <c r="AY290" s="38"/>
      <c r="AZ290" s="29">
        <v>1000.0</v>
      </c>
      <c r="BA290" s="29">
        <v>1.0</v>
      </c>
      <c r="BB290" s="29">
        <v>1.0</v>
      </c>
      <c r="BC290" s="76"/>
      <c r="BD290" s="29" t="s">
        <v>88</v>
      </c>
      <c r="BE290" s="29"/>
      <c r="BF290" s="76" t="s">
        <v>737</v>
      </c>
      <c r="BG290" s="76" t="s">
        <v>738</v>
      </c>
      <c r="BH290" s="76"/>
      <c r="BI290" s="76" t="s">
        <v>739</v>
      </c>
      <c r="BJ290" s="76"/>
      <c r="BK290" s="29"/>
      <c r="BL290" s="29" t="s">
        <v>148</v>
      </c>
      <c r="BM290" s="45">
        <v>1.0</v>
      </c>
      <c r="BN290" s="45"/>
      <c r="BO290" s="46"/>
      <c r="BP290" s="2" t="s">
        <v>682</v>
      </c>
      <c r="BQ290" s="3"/>
    </row>
    <row r="291" ht="15.75" customHeight="1">
      <c r="A291" s="34">
        <v>292.0</v>
      </c>
      <c r="B291" s="34">
        <v>104172.0</v>
      </c>
      <c r="C291" s="34" t="s">
        <v>415</v>
      </c>
      <c r="D291" s="34" t="s">
        <v>792</v>
      </c>
      <c r="E291" s="34" t="s">
        <v>793</v>
      </c>
      <c r="F291" s="34">
        <v>2021.0</v>
      </c>
      <c r="G291" s="34" t="s">
        <v>794</v>
      </c>
      <c r="H291" s="34" t="s">
        <v>795</v>
      </c>
      <c r="I291" s="34" t="s">
        <v>796</v>
      </c>
      <c r="J291" s="35"/>
      <c r="K291" s="36">
        <v>0.03</v>
      </c>
      <c r="L291" s="36"/>
      <c r="M291" s="36"/>
      <c r="N291" s="36"/>
      <c r="O291" s="36"/>
      <c r="P291" s="37">
        <v>1.41</v>
      </c>
      <c r="Q291" s="36" t="s">
        <v>96</v>
      </c>
      <c r="R291" s="36" t="s">
        <v>96</v>
      </c>
      <c r="S291" s="36">
        <v>500.0</v>
      </c>
      <c r="T291" s="36" t="s">
        <v>167</v>
      </c>
      <c r="U291" s="36" t="s">
        <v>168</v>
      </c>
      <c r="V291" s="36">
        <f t="shared" ref="V291:V294" si="36">4*365</f>
        <v>1460</v>
      </c>
      <c r="W291" s="36"/>
      <c r="X291" s="38">
        <v>1.0</v>
      </c>
      <c r="Y291" s="53" t="s">
        <v>256</v>
      </c>
      <c r="Z291" s="38" t="s">
        <v>257</v>
      </c>
      <c r="AA291" s="38" t="s">
        <v>86</v>
      </c>
      <c r="AB291" s="38" t="s">
        <v>258</v>
      </c>
      <c r="AC291" s="38" t="s">
        <v>259</v>
      </c>
      <c r="AD291" s="53" t="s">
        <v>198</v>
      </c>
      <c r="AE291" s="53"/>
      <c r="AF291" s="38" t="s">
        <v>797</v>
      </c>
      <c r="AG291" s="57"/>
      <c r="AH291" s="38">
        <v>10.0</v>
      </c>
      <c r="AI291" s="50">
        <v>38.875</v>
      </c>
      <c r="AJ291" s="50">
        <v>100.375</v>
      </c>
      <c r="AK291" s="41" t="s">
        <v>86</v>
      </c>
      <c r="AL291" s="40" t="s">
        <v>86</v>
      </c>
      <c r="AM291" s="49">
        <v>1554.0</v>
      </c>
      <c r="AN291" s="51">
        <v>1554.0</v>
      </c>
      <c r="AO291" s="42" t="s">
        <v>261</v>
      </c>
      <c r="AP291" s="43" t="s">
        <v>261</v>
      </c>
      <c r="AQ291" s="44" t="str">
        <f t="shared" si="33"/>
        <v>CRO</v>
      </c>
      <c r="AR291" s="44">
        <f t="shared" si="3"/>
        <v>1554</v>
      </c>
      <c r="AS291" s="44" t="str">
        <f t="shared" si="35"/>
        <v>B</v>
      </c>
      <c r="AT291" s="44" t="str">
        <f t="shared" si="17"/>
        <v>BW</v>
      </c>
      <c r="AU291" s="44" t="str">
        <f t="shared" si="2"/>
        <v>BWk</v>
      </c>
      <c r="AV291" s="38">
        <v>3.0</v>
      </c>
      <c r="AW291" s="38"/>
      <c r="AX291" s="38"/>
      <c r="AY291" s="38"/>
      <c r="AZ291" s="29">
        <v>500.0</v>
      </c>
      <c r="BA291" s="29"/>
      <c r="BB291" s="29">
        <v>1.0</v>
      </c>
      <c r="BC291" s="29" t="s">
        <v>798</v>
      </c>
      <c r="BD291" s="29" t="s">
        <v>88</v>
      </c>
      <c r="BE291" s="29"/>
      <c r="BF291" s="76" t="s">
        <v>798</v>
      </c>
      <c r="BG291" s="76" t="s">
        <v>220</v>
      </c>
      <c r="BH291" s="76"/>
      <c r="BI291" s="76" t="s">
        <v>799</v>
      </c>
      <c r="BJ291" s="76"/>
      <c r="BK291" s="29"/>
      <c r="BL291" s="29" t="s">
        <v>148</v>
      </c>
      <c r="BM291" s="45">
        <v>1.0</v>
      </c>
      <c r="BN291" s="45">
        <v>1.0</v>
      </c>
      <c r="BO291" s="46" t="s">
        <v>800</v>
      </c>
      <c r="BP291" s="2" t="s">
        <v>682</v>
      </c>
      <c r="BQ291" s="3"/>
    </row>
    <row r="292" ht="15.75" customHeight="1">
      <c r="A292" s="34">
        <v>293.0</v>
      </c>
      <c r="B292" s="34">
        <v>104172.0</v>
      </c>
      <c r="C292" s="34" t="s">
        <v>415</v>
      </c>
      <c r="D292" s="34" t="s">
        <v>792</v>
      </c>
      <c r="E292" s="34" t="s">
        <v>793</v>
      </c>
      <c r="F292" s="34">
        <v>2021.0</v>
      </c>
      <c r="G292" s="34" t="s">
        <v>794</v>
      </c>
      <c r="H292" s="34" t="s">
        <v>795</v>
      </c>
      <c r="I292" s="34" t="s">
        <v>796</v>
      </c>
      <c r="J292" s="35"/>
      <c r="K292" s="36">
        <v>0.01</v>
      </c>
      <c r="L292" s="36"/>
      <c r="M292" s="36"/>
      <c r="N292" s="36"/>
      <c r="O292" s="36"/>
      <c r="P292" s="37">
        <v>0.59</v>
      </c>
      <c r="Q292" s="36" t="s">
        <v>96</v>
      </c>
      <c r="R292" s="36" t="s">
        <v>96</v>
      </c>
      <c r="S292" s="36">
        <v>500.0</v>
      </c>
      <c r="T292" s="36" t="s">
        <v>167</v>
      </c>
      <c r="U292" s="36" t="s">
        <v>168</v>
      </c>
      <c r="V292" s="36">
        <f t="shared" si="36"/>
        <v>1460</v>
      </c>
      <c r="W292" s="36"/>
      <c r="X292" s="38">
        <v>1.0</v>
      </c>
      <c r="Y292" s="53" t="s">
        <v>256</v>
      </c>
      <c r="Z292" s="38" t="s">
        <v>257</v>
      </c>
      <c r="AA292" s="38" t="s">
        <v>86</v>
      </c>
      <c r="AB292" s="38" t="s">
        <v>258</v>
      </c>
      <c r="AC292" s="38" t="s">
        <v>259</v>
      </c>
      <c r="AD292" s="53" t="s">
        <v>198</v>
      </c>
      <c r="AE292" s="53"/>
      <c r="AF292" s="38" t="s">
        <v>797</v>
      </c>
      <c r="AG292" s="57"/>
      <c r="AH292" s="38">
        <v>10.0</v>
      </c>
      <c r="AI292" s="50">
        <v>38.875</v>
      </c>
      <c r="AJ292" s="50">
        <v>100.375</v>
      </c>
      <c r="AK292" s="41" t="s">
        <v>86</v>
      </c>
      <c r="AL292" s="40" t="s">
        <v>86</v>
      </c>
      <c r="AM292" s="49">
        <v>1554.0</v>
      </c>
      <c r="AN292" s="51">
        <v>1554.0</v>
      </c>
      <c r="AO292" s="42" t="s">
        <v>261</v>
      </c>
      <c r="AP292" s="43" t="s">
        <v>261</v>
      </c>
      <c r="AQ292" s="44" t="str">
        <f t="shared" si="33"/>
        <v>CRO</v>
      </c>
      <c r="AR292" s="44">
        <f t="shared" si="3"/>
        <v>1554</v>
      </c>
      <c r="AS292" s="44" t="str">
        <f t="shared" si="35"/>
        <v>B</v>
      </c>
      <c r="AT292" s="44" t="str">
        <f t="shared" si="17"/>
        <v>BW</v>
      </c>
      <c r="AU292" s="44" t="str">
        <f t="shared" si="2"/>
        <v>BWk</v>
      </c>
      <c r="AV292" s="38">
        <v>3.0</v>
      </c>
      <c r="AW292" s="38"/>
      <c r="AX292" s="38"/>
      <c r="AY292" s="38"/>
      <c r="AZ292" s="29">
        <v>500.0</v>
      </c>
      <c r="BA292" s="29"/>
      <c r="BB292" s="29">
        <v>1.0</v>
      </c>
      <c r="BC292" s="29" t="s">
        <v>801</v>
      </c>
      <c r="BD292" s="29" t="s">
        <v>88</v>
      </c>
      <c r="BE292" s="29"/>
      <c r="BF292" s="29" t="s">
        <v>802</v>
      </c>
      <c r="BG292" s="29" t="s">
        <v>572</v>
      </c>
      <c r="BH292" s="76"/>
      <c r="BI292" s="76" t="s">
        <v>799</v>
      </c>
      <c r="BJ292" s="76"/>
      <c r="BK292" s="29"/>
      <c r="BL292" s="29" t="s">
        <v>148</v>
      </c>
      <c r="BM292" s="45">
        <v>1.0</v>
      </c>
      <c r="BN292" s="45">
        <v>1.0</v>
      </c>
      <c r="BO292" s="46" t="s">
        <v>800</v>
      </c>
      <c r="BP292" s="2" t="s">
        <v>682</v>
      </c>
      <c r="BQ292" s="3"/>
    </row>
    <row r="293" ht="15.75" customHeight="1">
      <c r="A293" s="34">
        <v>294.0</v>
      </c>
      <c r="B293" s="34">
        <v>104172.0</v>
      </c>
      <c r="C293" s="34" t="s">
        <v>415</v>
      </c>
      <c r="D293" s="34" t="s">
        <v>792</v>
      </c>
      <c r="E293" s="34" t="s">
        <v>793</v>
      </c>
      <c r="F293" s="34">
        <v>2021.0</v>
      </c>
      <c r="G293" s="34" t="s">
        <v>794</v>
      </c>
      <c r="H293" s="34" t="s">
        <v>795</v>
      </c>
      <c r="I293" s="34" t="s">
        <v>796</v>
      </c>
      <c r="J293" s="35"/>
      <c r="K293" s="36">
        <v>0.86</v>
      </c>
      <c r="L293" s="36"/>
      <c r="M293" s="36"/>
      <c r="N293" s="36"/>
      <c r="O293" s="36"/>
      <c r="P293" s="37">
        <v>1.35</v>
      </c>
      <c r="Q293" s="36" t="s">
        <v>191</v>
      </c>
      <c r="R293" s="36" t="s">
        <v>191</v>
      </c>
      <c r="S293" s="36">
        <v>500.0</v>
      </c>
      <c r="T293" s="36" t="s">
        <v>167</v>
      </c>
      <c r="U293" s="36" t="s">
        <v>168</v>
      </c>
      <c r="V293" s="36">
        <f t="shared" si="36"/>
        <v>1460</v>
      </c>
      <c r="W293" s="36"/>
      <c r="X293" s="38">
        <v>1.0</v>
      </c>
      <c r="Y293" s="53" t="s">
        <v>256</v>
      </c>
      <c r="Z293" s="38" t="s">
        <v>257</v>
      </c>
      <c r="AA293" s="38" t="s">
        <v>86</v>
      </c>
      <c r="AB293" s="38" t="s">
        <v>258</v>
      </c>
      <c r="AC293" s="38" t="s">
        <v>259</v>
      </c>
      <c r="AD293" s="53" t="s">
        <v>198</v>
      </c>
      <c r="AE293" s="53"/>
      <c r="AF293" s="38" t="s">
        <v>797</v>
      </c>
      <c r="AG293" s="57"/>
      <c r="AH293" s="38">
        <v>10.0</v>
      </c>
      <c r="AI293" s="50">
        <v>38.875</v>
      </c>
      <c r="AJ293" s="50">
        <v>100.375</v>
      </c>
      <c r="AK293" s="41" t="s">
        <v>86</v>
      </c>
      <c r="AL293" s="40" t="s">
        <v>86</v>
      </c>
      <c r="AM293" s="49">
        <v>1554.0</v>
      </c>
      <c r="AN293" s="51">
        <v>1554.0</v>
      </c>
      <c r="AO293" s="42" t="s">
        <v>261</v>
      </c>
      <c r="AP293" s="43" t="s">
        <v>261</v>
      </c>
      <c r="AQ293" s="44" t="str">
        <f t="shared" si="33"/>
        <v>CRO</v>
      </c>
      <c r="AR293" s="44">
        <f t="shared" si="3"/>
        <v>1554</v>
      </c>
      <c r="AS293" s="44" t="str">
        <f t="shared" si="35"/>
        <v>B</v>
      </c>
      <c r="AT293" s="44" t="str">
        <f t="shared" si="17"/>
        <v>BW</v>
      </c>
      <c r="AU293" s="44" t="str">
        <f t="shared" si="2"/>
        <v>BWk</v>
      </c>
      <c r="AV293" s="38">
        <v>3.0</v>
      </c>
      <c r="AW293" s="38"/>
      <c r="AX293" s="38"/>
      <c r="AY293" s="38"/>
      <c r="AZ293" s="29">
        <v>500.0</v>
      </c>
      <c r="BA293" s="29"/>
      <c r="BB293" s="29">
        <v>1.0</v>
      </c>
      <c r="BC293" s="29" t="s">
        <v>798</v>
      </c>
      <c r="BD293" s="29" t="s">
        <v>88</v>
      </c>
      <c r="BE293" s="29"/>
      <c r="BF293" s="76" t="s">
        <v>798</v>
      </c>
      <c r="BG293" s="76" t="s">
        <v>220</v>
      </c>
      <c r="BH293" s="76"/>
      <c r="BI293" s="76" t="s">
        <v>799</v>
      </c>
      <c r="BJ293" s="76"/>
      <c r="BK293" s="29"/>
      <c r="BL293" s="29" t="s">
        <v>148</v>
      </c>
      <c r="BM293" s="45">
        <v>1.0</v>
      </c>
      <c r="BN293" s="45">
        <v>1.0</v>
      </c>
      <c r="BO293" s="46" t="s">
        <v>800</v>
      </c>
      <c r="BP293" s="2" t="s">
        <v>682</v>
      </c>
      <c r="BQ293" s="3"/>
    </row>
    <row r="294" ht="15.75" customHeight="1">
      <c r="A294" s="34">
        <v>295.0</v>
      </c>
      <c r="B294" s="34">
        <v>104172.0</v>
      </c>
      <c r="C294" s="34" t="s">
        <v>415</v>
      </c>
      <c r="D294" s="34" t="s">
        <v>792</v>
      </c>
      <c r="E294" s="34" t="s">
        <v>793</v>
      </c>
      <c r="F294" s="34">
        <v>2021.0</v>
      </c>
      <c r="G294" s="34" t="s">
        <v>794</v>
      </c>
      <c r="H294" s="34" t="s">
        <v>795</v>
      </c>
      <c r="I294" s="34" t="s">
        <v>796</v>
      </c>
      <c r="J294" s="35"/>
      <c r="K294" s="36">
        <v>0.34</v>
      </c>
      <c r="L294" s="36"/>
      <c r="M294" s="36"/>
      <c r="N294" s="36"/>
      <c r="O294" s="36"/>
      <c r="P294" s="37">
        <v>0.53</v>
      </c>
      <c r="Q294" s="36" t="s">
        <v>191</v>
      </c>
      <c r="R294" s="36" t="s">
        <v>191</v>
      </c>
      <c r="S294" s="36">
        <v>500.0</v>
      </c>
      <c r="T294" s="36" t="s">
        <v>167</v>
      </c>
      <c r="U294" s="36" t="s">
        <v>168</v>
      </c>
      <c r="V294" s="36">
        <f t="shared" si="36"/>
        <v>1460</v>
      </c>
      <c r="W294" s="36"/>
      <c r="X294" s="38">
        <v>1.0</v>
      </c>
      <c r="Y294" s="53" t="s">
        <v>256</v>
      </c>
      <c r="Z294" s="38" t="s">
        <v>257</v>
      </c>
      <c r="AA294" s="38" t="s">
        <v>86</v>
      </c>
      <c r="AB294" s="38" t="s">
        <v>258</v>
      </c>
      <c r="AC294" s="38" t="s">
        <v>259</v>
      </c>
      <c r="AD294" s="53" t="s">
        <v>198</v>
      </c>
      <c r="AE294" s="53"/>
      <c r="AF294" s="38" t="s">
        <v>797</v>
      </c>
      <c r="AG294" s="57"/>
      <c r="AH294" s="38">
        <v>10.0</v>
      </c>
      <c r="AI294" s="50">
        <v>38.875</v>
      </c>
      <c r="AJ294" s="50">
        <v>100.375</v>
      </c>
      <c r="AK294" s="41" t="s">
        <v>86</v>
      </c>
      <c r="AL294" s="40" t="s">
        <v>86</v>
      </c>
      <c r="AM294" s="49">
        <v>1554.0</v>
      </c>
      <c r="AN294" s="51">
        <v>1554.0</v>
      </c>
      <c r="AO294" s="42" t="s">
        <v>261</v>
      </c>
      <c r="AP294" s="43" t="s">
        <v>261</v>
      </c>
      <c r="AQ294" s="44" t="str">
        <f t="shared" si="33"/>
        <v>CRO</v>
      </c>
      <c r="AR294" s="44">
        <f t="shared" si="3"/>
        <v>1554</v>
      </c>
      <c r="AS294" s="44" t="str">
        <f t="shared" si="35"/>
        <v>B</v>
      </c>
      <c r="AT294" s="44" t="str">
        <f t="shared" si="17"/>
        <v>BW</v>
      </c>
      <c r="AU294" s="44" t="str">
        <f t="shared" si="2"/>
        <v>BWk</v>
      </c>
      <c r="AV294" s="38">
        <v>3.0</v>
      </c>
      <c r="AW294" s="38"/>
      <c r="AX294" s="38"/>
      <c r="AY294" s="38"/>
      <c r="AZ294" s="29">
        <v>500.0</v>
      </c>
      <c r="BA294" s="29"/>
      <c r="BB294" s="29">
        <v>1.0</v>
      </c>
      <c r="BC294" s="29" t="s">
        <v>801</v>
      </c>
      <c r="BD294" s="29" t="s">
        <v>88</v>
      </c>
      <c r="BE294" s="29"/>
      <c r="BF294" s="29" t="s">
        <v>802</v>
      </c>
      <c r="BG294" s="29" t="s">
        <v>572</v>
      </c>
      <c r="BH294" s="76"/>
      <c r="BI294" s="76" t="s">
        <v>799</v>
      </c>
      <c r="BJ294" s="76"/>
      <c r="BK294" s="29"/>
      <c r="BL294" s="29" t="s">
        <v>148</v>
      </c>
      <c r="BM294" s="45">
        <v>1.0</v>
      </c>
      <c r="BN294" s="45">
        <v>1.0</v>
      </c>
      <c r="BO294" s="46" t="s">
        <v>800</v>
      </c>
      <c r="BP294" s="2" t="s">
        <v>682</v>
      </c>
      <c r="BQ294" s="3"/>
    </row>
    <row r="295" ht="15.75" customHeight="1">
      <c r="A295" s="34">
        <v>296.0</v>
      </c>
      <c r="B295" s="34">
        <v>104172.0</v>
      </c>
      <c r="C295" s="34" t="s">
        <v>76</v>
      </c>
      <c r="D295" s="34" t="s">
        <v>792</v>
      </c>
      <c r="E295" s="34" t="s">
        <v>793</v>
      </c>
      <c r="F295" s="34">
        <v>2021.0</v>
      </c>
      <c r="G295" s="34" t="s">
        <v>794</v>
      </c>
      <c r="H295" s="34" t="s">
        <v>795</v>
      </c>
      <c r="I295" s="34" t="s">
        <v>803</v>
      </c>
      <c r="J295" s="35"/>
      <c r="K295" s="36">
        <v>12.2</v>
      </c>
      <c r="L295" s="36"/>
      <c r="M295" s="36"/>
      <c r="N295" s="36"/>
      <c r="O295" s="36"/>
      <c r="P295" s="37">
        <v>34.9</v>
      </c>
      <c r="Q295" s="36" t="s">
        <v>804</v>
      </c>
      <c r="R295" s="78" t="s">
        <v>804</v>
      </c>
      <c r="S295" s="36">
        <v>500.0</v>
      </c>
      <c r="T295" s="36" t="s">
        <v>167</v>
      </c>
      <c r="U295" s="36" t="s">
        <v>168</v>
      </c>
      <c r="V295" s="36">
        <f>122*4</f>
        <v>488</v>
      </c>
      <c r="W295" s="36" t="s">
        <v>805</v>
      </c>
      <c r="X295" s="38">
        <v>1.0</v>
      </c>
      <c r="Y295" s="53" t="s">
        <v>256</v>
      </c>
      <c r="Z295" s="38" t="s">
        <v>257</v>
      </c>
      <c r="AA295" s="38" t="s">
        <v>86</v>
      </c>
      <c r="AB295" s="38" t="s">
        <v>258</v>
      </c>
      <c r="AC295" s="38" t="s">
        <v>259</v>
      </c>
      <c r="AD295" s="53" t="s">
        <v>198</v>
      </c>
      <c r="AE295" s="53"/>
      <c r="AF295" s="38" t="s">
        <v>797</v>
      </c>
      <c r="AG295" s="57"/>
      <c r="AH295" s="38">
        <v>10.0</v>
      </c>
      <c r="AI295" s="50">
        <v>38.875</v>
      </c>
      <c r="AJ295" s="50">
        <v>100.375</v>
      </c>
      <c r="AK295" s="41" t="s">
        <v>86</v>
      </c>
      <c r="AL295" s="40" t="s">
        <v>86</v>
      </c>
      <c r="AM295" s="49">
        <v>1554.0</v>
      </c>
      <c r="AN295" s="51">
        <v>1554.0</v>
      </c>
      <c r="AO295" s="42" t="s">
        <v>261</v>
      </c>
      <c r="AP295" s="43" t="s">
        <v>261</v>
      </c>
      <c r="AQ295" s="44" t="str">
        <f t="shared" si="33"/>
        <v>CRO</v>
      </c>
      <c r="AR295" s="44">
        <f t="shared" si="3"/>
        <v>1554</v>
      </c>
      <c r="AS295" s="44" t="str">
        <f t="shared" si="35"/>
        <v>B</v>
      </c>
      <c r="AT295" s="44" t="str">
        <f t="shared" si="17"/>
        <v>BW</v>
      </c>
      <c r="AU295" s="44" t="str">
        <f t="shared" si="2"/>
        <v>BWk</v>
      </c>
      <c r="AV295" s="38">
        <v>3.0</v>
      </c>
      <c r="AW295" s="38"/>
      <c r="AX295" s="38"/>
      <c r="AY295" s="38"/>
      <c r="AZ295" s="29">
        <v>500.0</v>
      </c>
      <c r="BA295" s="29"/>
      <c r="BB295" s="29">
        <v>1.0</v>
      </c>
      <c r="BC295" s="29" t="s">
        <v>798</v>
      </c>
      <c r="BD295" s="29" t="s">
        <v>88</v>
      </c>
      <c r="BE295" s="29"/>
      <c r="BF295" s="29" t="s">
        <v>798</v>
      </c>
      <c r="BG295" s="29" t="s">
        <v>220</v>
      </c>
      <c r="BH295" s="29"/>
      <c r="BI295" s="29" t="s">
        <v>799</v>
      </c>
      <c r="BJ295" s="29"/>
      <c r="BK295" s="29"/>
      <c r="BL295" s="29" t="s">
        <v>148</v>
      </c>
      <c r="BM295" s="45"/>
      <c r="BN295" s="45"/>
      <c r="BO295" s="46"/>
      <c r="BP295" s="2" t="s">
        <v>682</v>
      </c>
      <c r="BQ295" s="3"/>
    </row>
    <row r="296" ht="15.75" customHeight="1">
      <c r="A296" s="34">
        <v>297.0</v>
      </c>
      <c r="B296" s="34">
        <v>104172.0</v>
      </c>
      <c r="C296" s="34" t="s">
        <v>76</v>
      </c>
      <c r="D296" s="34" t="s">
        <v>792</v>
      </c>
      <c r="E296" s="34" t="s">
        <v>793</v>
      </c>
      <c r="F296" s="34">
        <v>2021.0</v>
      </c>
      <c r="G296" s="34" t="s">
        <v>794</v>
      </c>
      <c r="H296" s="34" t="s">
        <v>795</v>
      </c>
      <c r="I296" s="34" t="s">
        <v>803</v>
      </c>
      <c r="J296" s="35"/>
      <c r="K296" s="36">
        <v>40.7</v>
      </c>
      <c r="L296" s="36"/>
      <c r="M296" s="36"/>
      <c r="N296" s="36"/>
      <c r="O296" s="36"/>
      <c r="P296" s="37">
        <v>39.8</v>
      </c>
      <c r="Q296" s="36" t="s">
        <v>191</v>
      </c>
      <c r="R296" s="78" t="s">
        <v>191</v>
      </c>
      <c r="S296" s="36">
        <v>500.0</v>
      </c>
      <c r="T296" s="36" t="s">
        <v>167</v>
      </c>
      <c r="U296" s="36" t="s">
        <v>168</v>
      </c>
      <c r="V296" s="36">
        <f>31*4</f>
        <v>124</v>
      </c>
      <c r="W296" s="36" t="s">
        <v>806</v>
      </c>
      <c r="X296" s="38">
        <v>1.0</v>
      </c>
      <c r="Y296" s="53" t="s">
        <v>256</v>
      </c>
      <c r="Z296" s="38" t="s">
        <v>257</v>
      </c>
      <c r="AA296" s="38" t="s">
        <v>86</v>
      </c>
      <c r="AB296" s="38" t="s">
        <v>258</v>
      </c>
      <c r="AC296" s="38" t="s">
        <v>259</v>
      </c>
      <c r="AD296" s="53" t="s">
        <v>198</v>
      </c>
      <c r="AE296" s="53"/>
      <c r="AF296" s="38" t="s">
        <v>797</v>
      </c>
      <c r="AG296" s="57"/>
      <c r="AH296" s="38">
        <v>10.0</v>
      </c>
      <c r="AI296" s="50">
        <v>38.875</v>
      </c>
      <c r="AJ296" s="50">
        <v>100.375</v>
      </c>
      <c r="AK296" s="41" t="s">
        <v>86</v>
      </c>
      <c r="AL296" s="40" t="s">
        <v>86</v>
      </c>
      <c r="AM296" s="49">
        <v>1554.0</v>
      </c>
      <c r="AN296" s="51">
        <v>1554.0</v>
      </c>
      <c r="AO296" s="42" t="s">
        <v>261</v>
      </c>
      <c r="AP296" s="43" t="s">
        <v>261</v>
      </c>
      <c r="AQ296" s="44" t="str">
        <f t="shared" si="33"/>
        <v>CRO</v>
      </c>
      <c r="AR296" s="44">
        <f t="shared" si="3"/>
        <v>1554</v>
      </c>
      <c r="AS296" s="44" t="str">
        <f t="shared" si="35"/>
        <v>B</v>
      </c>
      <c r="AT296" s="44" t="str">
        <f t="shared" si="17"/>
        <v>BW</v>
      </c>
      <c r="AU296" s="44" t="str">
        <f t="shared" si="2"/>
        <v>BWk</v>
      </c>
      <c r="AV296" s="38">
        <v>3.0</v>
      </c>
      <c r="AW296" s="38"/>
      <c r="AX296" s="38"/>
      <c r="AY296" s="38"/>
      <c r="AZ296" s="29">
        <v>500.0</v>
      </c>
      <c r="BA296" s="29"/>
      <c r="BB296" s="29">
        <v>1.0</v>
      </c>
      <c r="BC296" s="29" t="s">
        <v>798</v>
      </c>
      <c r="BD296" s="29" t="s">
        <v>88</v>
      </c>
      <c r="BE296" s="29"/>
      <c r="BF296" s="29" t="s">
        <v>798</v>
      </c>
      <c r="BG296" s="29" t="s">
        <v>220</v>
      </c>
      <c r="BH296" s="29"/>
      <c r="BI296" s="29" t="s">
        <v>799</v>
      </c>
      <c r="BJ296" s="29"/>
      <c r="BK296" s="29"/>
      <c r="BL296" s="29" t="s">
        <v>148</v>
      </c>
      <c r="BM296" s="45"/>
      <c r="BN296" s="45"/>
      <c r="BO296" s="46"/>
      <c r="BP296" s="2" t="s">
        <v>682</v>
      </c>
      <c r="BQ296" s="3"/>
    </row>
    <row r="297" ht="15.75" customHeight="1">
      <c r="A297" s="34">
        <v>298.0</v>
      </c>
      <c r="B297" s="34">
        <v>104172.0</v>
      </c>
      <c r="C297" s="34" t="s">
        <v>76</v>
      </c>
      <c r="D297" s="34" t="s">
        <v>792</v>
      </c>
      <c r="E297" s="34" t="s">
        <v>793</v>
      </c>
      <c r="F297" s="34">
        <v>2021.0</v>
      </c>
      <c r="G297" s="34" t="s">
        <v>794</v>
      </c>
      <c r="H297" s="34" t="s">
        <v>795</v>
      </c>
      <c r="I297" s="34" t="s">
        <v>803</v>
      </c>
      <c r="J297" s="35"/>
      <c r="K297" s="36">
        <v>53.6</v>
      </c>
      <c r="L297" s="36"/>
      <c r="M297" s="36"/>
      <c r="N297" s="36"/>
      <c r="O297" s="36"/>
      <c r="P297" s="37">
        <v>2.1</v>
      </c>
      <c r="Q297" s="36" t="s">
        <v>807</v>
      </c>
      <c r="R297" s="78" t="s">
        <v>807</v>
      </c>
      <c r="S297" s="36">
        <v>500.0</v>
      </c>
      <c r="T297" s="36" t="s">
        <v>167</v>
      </c>
      <c r="U297" s="36" t="s">
        <v>168</v>
      </c>
      <c r="V297" s="36">
        <f>61*4</f>
        <v>244</v>
      </c>
      <c r="W297" s="36" t="s">
        <v>808</v>
      </c>
      <c r="X297" s="38">
        <v>1.0</v>
      </c>
      <c r="Y297" s="53" t="s">
        <v>256</v>
      </c>
      <c r="Z297" s="38" t="s">
        <v>257</v>
      </c>
      <c r="AA297" s="38" t="s">
        <v>86</v>
      </c>
      <c r="AB297" s="38" t="s">
        <v>258</v>
      </c>
      <c r="AC297" s="38" t="s">
        <v>259</v>
      </c>
      <c r="AD297" s="53" t="s">
        <v>198</v>
      </c>
      <c r="AE297" s="53"/>
      <c r="AF297" s="38" t="s">
        <v>797</v>
      </c>
      <c r="AG297" s="57"/>
      <c r="AH297" s="38">
        <v>10.0</v>
      </c>
      <c r="AI297" s="50">
        <v>38.875</v>
      </c>
      <c r="AJ297" s="50">
        <v>100.375</v>
      </c>
      <c r="AK297" s="41" t="s">
        <v>86</v>
      </c>
      <c r="AL297" s="40" t="s">
        <v>86</v>
      </c>
      <c r="AM297" s="49">
        <v>1554.0</v>
      </c>
      <c r="AN297" s="51">
        <v>1554.0</v>
      </c>
      <c r="AO297" s="42" t="s">
        <v>261</v>
      </c>
      <c r="AP297" s="43" t="s">
        <v>261</v>
      </c>
      <c r="AQ297" s="44" t="str">
        <f t="shared" si="33"/>
        <v>CRO</v>
      </c>
      <c r="AR297" s="44">
        <f t="shared" si="3"/>
        <v>1554</v>
      </c>
      <c r="AS297" s="44" t="str">
        <f t="shared" si="35"/>
        <v>B</v>
      </c>
      <c r="AT297" s="44" t="str">
        <f t="shared" si="17"/>
        <v>BW</v>
      </c>
      <c r="AU297" s="44" t="str">
        <f t="shared" si="2"/>
        <v>BWk</v>
      </c>
      <c r="AV297" s="38">
        <v>3.0</v>
      </c>
      <c r="AW297" s="38"/>
      <c r="AX297" s="38"/>
      <c r="AY297" s="38"/>
      <c r="AZ297" s="29">
        <v>500.0</v>
      </c>
      <c r="BA297" s="29"/>
      <c r="BB297" s="29">
        <v>1.0</v>
      </c>
      <c r="BC297" s="29" t="s">
        <v>798</v>
      </c>
      <c r="BD297" s="29" t="s">
        <v>88</v>
      </c>
      <c r="BE297" s="29"/>
      <c r="BF297" s="29" t="s">
        <v>798</v>
      </c>
      <c r="BG297" s="29" t="s">
        <v>220</v>
      </c>
      <c r="BH297" s="29"/>
      <c r="BI297" s="29" t="s">
        <v>799</v>
      </c>
      <c r="BJ297" s="29"/>
      <c r="BK297" s="29"/>
      <c r="BL297" s="29" t="s">
        <v>148</v>
      </c>
      <c r="BM297" s="45"/>
      <c r="BN297" s="45"/>
      <c r="BO297" s="46"/>
      <c r="BP297" s="2" t="s">
        <v>682</v>
      </c>
      <c r="BQ297" s="3"/>
    </row>
    <row r="298" ht="15.75" customHeight="1">
      <c r="A298" s="34">
        <v>299.0</v>
      </c>
      <c r="B298" s="34">
        <v>104172.0</v>
      </c>
      <c r="C298" s="34" t="s">
        <v>76</v>
      </c>
      <c r="D298" s="34" t="s">
        <v>792</v>
      </c>
      <c r="E298" s="34" t="s">
        <v>793</v>
      </c>
      <c r="F298" s="34">
        <v>2021.0</v>
      </c>
      <c r="G298" s="34" t="s">
        <v>794</v>
      </c>
      <c r="H298" s="34" t="s">
        <v>795</v>
      </c>
      <c r="I298" s="34" t="s">
        <v>803</v>
      </c>
      <c r="J298" s="35"/>
      <c r="K298" s="36">
        <v>143.4</v>
      </c>
      <c r="L298" s="36"/>
      <c r="M298" s="36"/>
      <c r="N298" s="36"/>
      <c r="O298" s="36"/>
      <c r="P298" s="37">
        <v>-6.3</v>
      </c>
      <c r="Q298" s="36" t="s">
        <v>809</v>
      </c>
      <c r="R298" s="78" t="s">
        <v>809</v>
      </c>
      <c r="S298" s="36">
        <v>500.0</v>
      </c>
      <c r="T298" s="36" t="s">
        <v>167</v>
      </c>
      <c r="U298" s="36" t="s">
        <v>168</v>
      </c>
      <c r="V298" s="36">
        <f>91*4</f>
        <v>364</v>
      </c>
      <c r="W298" s="36" t="s">
        <v>810</v>
      </c>
      <c r="X298" s="38">
        <v>1.0</v>
      </c>
      <c r="Y298" s="53" t="s">
        <v>256</v>
      </c>
      <c r="Z298" s="38" t="s">
        <v>257</v>
      </c>
      <c r="AA298" s="38" t="s">
        <v>86</v>
      </c>
      <c r="AB298" s="38" t="s">
        <v>258</v>
      </c>
      <c r="AC298" s="38" t="s">
        <v>259</v>
      </c>
      <c r="AD298" s="53" t="s">
        <v>198</v>
      </c>
      <c r="AE298" s="53"/>
      <c r="AF298" s="38" t="s">
        <v>797</v>
      </c>
      <c r="AG298" s="57"/>
      <c r="AH298" s="38">
        <v>10.0</v>
      </c>
      <c r="AI298" s="50">
        <v>38.875</v>
      </c>
      <c r="AJ298" s="50">
        <v>100.375</v>
      </c>
      <c r="AK298" s="41" t="s">
        <v>86</v>
      </c>
      <c r="AL298" s="40" t="s">
        <v>86</v>
      </c>
      <c r="AM298" s="49">
        <v>1554.0</v>
      </c>
      <c r="AN298" s="51">
        <v>1554.0</v>
      </c>
      <c r="AO298" s="42" t="s">
        <v>261</v>
      </c>
      <c r="AP298" s="43" t="s">
        <v>261</v>
      </c>
      <c r="AQ298" s="44" t="str">
        <f t="shared" si="33"/>
        <v>CRO</v>
      </c>
      <c r="AR298" s="44">
        <f t="shared" si="3"/>
        <v>1554</v>
      </c>
      <c r="AS298" s="44" t="str">
        <f t="shared" si="35"/>
        <v>B</v>
      </c>
      <c r="AT298" s="44" t="str">
        <f t="shared" si="17"/>
        <v>BW</v>
      </c>
      <c r="AU298" s="44" t="str">
        <f t="shared" si="2"/>
        <v>BWk</v>
      </c>
      <c r="AV298" s="38">
        <v>3.0</v>
      </c>
      <c r="AW298" s="38"/>
      <c r="AX298" s="38"/>
      <c r="AY298" s="38"/>
      <c r="AZ298" s="29">
        <v>500.0</v>
      </c>
      <c r="BA298" s="29"/>
      <c r="BB298" s="29">
        <v>1.0</v>
      </c>
      <c r="BC298" s="29" t="s">
        <v>798</v>
      </c>
      <c r="BD298" s="29" t="s">
        <v>88</v>
      </c>
      <c r="BE298" s="29"/>
      <c r="BF298" s="29" t="s">
        <v>798</v>
      </c>
      <c r="BG298" s="29" t="s">
        <v>220</v>
      </c>
      <c r="BH298" s="29"/>
      <c r="BI298" s="29" t="s">
        <v>799</v>
      </c>
      <c r="BJ298" s="29"/>
      <c r="BK298" s="29"/>
      <c r="BL298" s="29" t="s">
        <v>148</v>
      </c>
      <c r="BM298" s="45"/>
      <c r="BN298" s="45"/>
      <c r="BO298" s="46"/>
      <c r="BP298" s="2"/>
      <c r="BQ298" s="3"/>
    </row>
    <row r="299" ht="15.75" customHeight="1">
      <c r="A299" s="34">
        <v>300.0</v>
      </c>
      <c r="B299" s="34">
        <v>104172.0</v>
      </c>
      <c r="C299" s="34" t="s">
        <v>76</v>
      </c>
      <c r="D299" s="34" t="s">
        <v>792</v>
      </c>
      <c r="E299" s="34" t="s">
        <v>793</v>
      </c>
      <c r="F299" s="34">
        <v>2021.0</v>
      </c>
      <c r="G299" s="34" t="s">
        <v>794</v>
      </c>
      <c r="H299" s="34" t="s">
        <v>795</v>
      </c>
      <c r="I299" s="34" t="s">
        <v>803</v>
      </c>
      <c r="J299" s="35"/>
      <c r="K299" s="36">
        <v>66.5</v>
      </c>
      <c r="L299" s="36"/>
      <c r="M299" s="36"/>
      <c r="N299" s="36"/>
      <c r="O299" s="36"/>
      <c r="P299" s="37">
        <v>1.5</v>
      </c>
      <c r="Q299" s="36" t="s">
        <v>807</v>
      </c>
      <c r="R299" s="78" t="s">
        <v>807</v>
      </c>
      <c r="S299" s="36">
        <v>500.0</v>
      </c>
      <c r="T299" s="36" t="s">
        <v>167</v>
      </c>
      <c r="U299" s="36" t="s">
        <v>168</v>
      </c>
      <c r="V299" s="36">
        <f>61*4</f>
        <v>244</v>
      </c>
      <c r="W299" s="36" t="s">
        <v>811</v>
      </c>
      <c r="X299" s="38">
        <v>1.0</v>
      </c>
      <c r="Y299" s="53" t="s">
        <v>256</v>
      </c>
      <c r="Z299" s="38" t="s">
        <v>257</v>
      </c>
      <c r="AA299" s="38" t="s">
        <v>86</v>
      </c>
      <c r="AB299" s="38" t="s">
        <v>258</v>
      </c>
      <c r="AC299" s="38" t="s">
        <v>259</v>
      </c>
      <c r="AD299" s="53" t="s">
        <v>198</v>
      </c>
      <c r="AE299" s="53"/>
      <c r="AF299" s="38" t="s">
        <v>797</v>
      </c>
      <c r="AG299" s="57"/>
      <c r="AH299" s="38">
        <v>10.0</v>
      </c>
      <c r="AI299" s="50">
        <v>38.875</v>
      </c>
      <c r="AJ299" s="50">
        <v>100.375</v>
      </c>
      <c r="AK299" s="41" t="s">
        <v>86</v>
      </c>
      <c r="AL299" s="40" t="s">
        <v>86</v>
      </c>
      <c r="AM299" s="49">
        <v>1554.0</v>
      </c>
      <c r="AN299" s="51">
        <v>1554.0</v>
      </c>
      <c r="AO299" s="42" t="s">
        <v>261</v>
      </c>
      <c r="AP299" s="43" t="s">
        <v>261</v>
      </c>
      <c r="AQ299" s="44" t="str">
        <f t="shared" si="33"/>
        <v>CRO</v>
      </c>
      <c r="AR299" s="44">
        <f t="shared" si="3"/>
        <v>1554</v>
      </c>
      <c r="AS299" s="44" t="str">
        <f t="shared" si="35"/>
        <v>B</v>
      </c>
      <c r="AT299" s="44" t="str">
        <f t="shared" si="17"/>
        <v>BW</v>
      </c>
      <c r="AU299" s="44" t="str">
        <f t="shared" si="2"/>
        <v>BWk</v>
      </c>
      <c r="AV299" s="38">
        <v>3.0</v>
      </c>
      <c r="AW299" s="38"/>
      <c r="AX299" s="38"/>
      <c r="AY299" s="38"/>
      <c r="AZ299" s="29">
        <v>500.0</v>
      </c>
      <c r="BA299" s="29"/>
      <c r="BB299" s="29">
        <v>1.0</v>
      </c>
      <c r="BC299" s="29" t="s">
        <v>798</v>
      </c>
      <c r="BD299" s="29" t="s">
        <v>88</v>
      </c>
      <c r="BE299" s="29"/>
      <c r="BF299" s="29" t="s">
        <v>798</v>
      </c>
      <c r="BG299" s="29" t="s">
        <v>220</v>
      </c>
      <c r="BH299" s="29"/>
      <c r="BI299" s="29" t="s">
        <v>799</v>
      </c>
      <c r="BJ299" s="29"/>
      <c r="BK299" s="29"/>
      <c r="BL299" s="29" t="s">
        <v>148</v>
      </c>
      <c r="BM299" s="45"/>
      <c r="BN299" s="45"/>
      <c r="BO299" s="46"/>
      <c r="BP299" s="2"/>
      <c r="BQ299" s="3"/>
    </row>
    <row r="300" ht="15.75" customHeight="1">
      <c r="A300" s="34">
        <v>301.0</v>
      </c>
      <c r="B300" s="34">
        <v>104172.0</v>
      </c>
      <c r="C300" s="34" t="s">
        <v>76</v>
      </c>
      <c r="D300" s="34" t="s">
        <v>792</v>
      </c>
      <c r="E300" s="34" t="s">
        <v>793</v>
      </c>
      <c r="F300" s="34">
        <v>2021.0</v>
      </c>
      <c r="G300" s="34" t="s">
        <v>794</v>
      </c>
      <c r="H300" s="34" t="s">
        <v>795</v>
      </c>
      <c r="I300" s="34" t="s">
        <v>803</v>
      </c>
      <c r="J300" s="35"/>
      <c r="K300" s="36">
        <v>12.2</v>
      </c>
      <c r="L300" s="36"/>
      <c r="M300" s="36"/>
      <c r="N300" s="36"/>
      <c r="O300" s="36"/>
      <c r="P300" s="37">
        <v>-28.0</v>
      </c>
      <c r="Q300" s="36" t="s">
        <v>804</v>
      </c>
      <c r="R300" s="78" t="s">
        <v>804</v>
      </c>
      <c r="S300" s="36">
        <v>500.0</v>
      </c>
      <c r="T300" s="36" t="s">
        <v>167</v>
      </c>
      <c r="U300" s="36" t="s">
        <v>168</v>
      </c>
      <c r="V300" s="36">
        <f>122*4</f>
        <v>488</v>
      </c>
      <c r="W300" s="36" t="s">
        <v>805</v>
      </c>
      <c r="X300" s="38">
        <v>1.0</v>
      </c>
      <c r="Y300" s="53" t="s">
        <v>256</v>
      </c>
      <c r="Z300" s="38" t="s">
        <v>257</v>
      </c>
      <c r="AA300" s="38" t="s">
        <v>86</v>
      </c>
      <c r="AB300" s="38" t="s">
        <v>258</v>
      </c>
      <c r="AC300" s="38" t="s">
        <v>259</v>
      </c>
      <c r="AD300" s="53" t="s">
        <v>198</v>
      </c>
      <c r="AE300" s="53"/>
      <c r="AF300" s="38" t="s">
        <v>797</v>
      </c>
      <c r="AG300" s="57"/>
      <c r="AH300" s="38">
        <v>10.0</v>
      </c>
      <c r="AI300" s="50">
        <v>38.875</v>
      </c>
      <c r="AJ300" s="50">
        <v>100.375</v>
      </c>
      <c r="AK300" s="41" t="s">
        <v>86</v>
      </c>
      <c r="AL300" s="40" t="s">
        <v>86</v>
      </c>
      <c r="AM300" s="49">
        <v>1554.0</v>
      </c>
      <c r="AN300" s="51">
        <v>1554.0</v>
      </c>
      <c r="AO300" s="42" t="s">
        <v>261</v>
      </c>
      <c r="AP300" s="43" t="s">
        <v>261</v>
      </c>
      <c r="AQ300" s="44" t="str">
        <f t="shared" si="33"/>
        <v>CRO</v>
      </c>
      <c r="AR300" s="44">
        <f t="shared" si="3"/>
        <v>1554</v>
      </c>
      <c r="AS300" s="44" t="str">
        <f t="shared" si="35"/>
        <v>B</v>
      </c>
      <c r="AT300" s="44" t="str">
        <f t="shared" si="17"/>
        <v>BW</v>
      </c>
      <c r="AU300" s="44" t="str">
        <f t="shared" si="2"/>
        <v>BWk</v>
      </c>
      <c r="AV300" s="38">
        <v>3.0</v>
      </c>
      <c r="AW300" s="38"/>
      <c r="AX300" s="38"/>
      <c r="AY300" s="38"/>
      <c r="AZ300" s="29">
        <v>500.0</v>
      </c>
      <c r="BA300" s="29"/>
      <c r="BB300" s="29">
        <v>1.0</v>
      </c>
      <c r="BC300" s="29" t="s">
        <v>801</v>
      </c>
      <c r="BD300" s="29" t="s">
        <v>88</v>
      </c>
      <c r="BE300" s="29"/>
      <c r="BF300" s="29" t="s">
        <v>802</v>
      </c>
      <c r="BG300" s="29" t="s">
        <v>572</v>
      </c>
      <c r="BH300" s="29"/>
      <c r="BI300" s="29" t="s">
        <v>799</v>
      </c>
      <c r="BJ300" s="29"/>
      <c r="BK300" s="29"/>
      <c r="BL300" s="29" t="s">
        <v>148</v>
      </c>
      <c r="BM300" s="45"/>
      <c r="BN300" s="45"/>
      <c r="BO300" s="46"/>
      <c r="BP300" s="2"/>
      <c r="BQ300" s="3"/>
    </row>
    <row r="301" ht="15.75" customHeight="1">
      <c r="A301" s="34">
        <v>302.0</v>
      </c>
      <c r="B301" s="34">
        <v>104172.0</v>
      </c>
      <c r="C301" s="34" t="s">
        <v>76</v>
      </c>
      <c r="D301" s="34" t="s">
        <v>792</v>
      </c>
      <c r="E301" s="34" t="s">
        <v>793</v>
      </c>
      <c r="F301" s="34">
        <v>2021.0</v>
      </c>
      <c r="G301" s="34" t="s">
        <v>794</v>
      </c>
      <c r="H301" s="34" t="s">
        <v>795</v>
      </c>
      <c r="I301" s="34" t="s">
        <v>803</v>
      </c>
      <c r="J301" s="35"/>
      <c r="K301" s="36">
        <v>40.7</v>
      </c>
      <c r="L301" s="36"/>
      <c r="M301" s="36"/>
      <c r="N301" s="36"/>
      <c r="O301" s="36"/>
      <c r="P301" s="37">
        <v>6.7</v>
      </c>
      <c r="Q301" s="36" t="s">
        <v>191</v>
      </c>
      <c r="R301" s="78" t="s">
        <v>191</v>
      </c>
      <c r="S301" s="36">
        <v>500.0</v>
      </c>
      <c r="T301" s="36" t="s">
        <v>167</v>
      </c>
      <c r="U301" s="36" t="s">
        <v>168</v>
      </c>
      <c r="V301" s="36">
        <f>31*4</f>
        <v>124</v>
      </c>
      <c r="W301" s="36" t="s">
        <v>806</v>
      </c>
      <c r="X301" s="38">
        <v>1.0</v>
      </c>
      <c r="Y301" s="53" t="s">
        <v>256</v>
      </c>
      <c r="Z301" s="38" t="s">
        <v>257</v>
      </c>
      <c r="AA301" s="38" t="s">
        <v>86</v>
      </c>
      <c r="AB301" s="38" t="s">
        <v>258</v>
      </c>
      <c r="AC301" s="38" t="s">
        <v>259</v>
      </c>
      <c r="AD301" s="53" t="s">
        <v>198</v>
      </c>
      <c r="AE301" s="53"/>
      <c r="AF301" s="38" t="s">
        <v>797</v>
      </c>
      <c r="AG301" s="57"/>
      <c r="AH301" s="38">
        <v>10.0</v>
      </c>
      <c r="AI301" s="50">
        <v>38.875</v>
      </c>
      <c r="AJ301" s="50">
        <v>100.375</v>
      </c>
      <c r="AK301" s="41" t="s">
        <v>86</v>
      </c>
      <c r="AL301" s="40" t="s">
        <v>86</v>
      </c>
      <c r="AM301" s="49">
        <v>1554.0</v>
      </c>
      <c r="AN301" s="51">
        <v>1554.0</v>
      </c>
      <c r="AO301" s="42" t="s">
        <v>261</v>
      </c>
      <c r="AP301" s="43" t="s">
        <v>261</v>
      </c>
      <c r="AQ301" s="44" t="str">
        <f t="shared" si="33"/>
        <v>CRO</v>
      </c>
      <c r="AR301" s="44">
        <f t="shared" si="3"/>
        <v>1554</v>
      </c>
      <c r="AS301" s="44" t="str">
        <f t="shared" si="35"/>
        <v>B</v>
      </c>
      <c r="AT301" s="44" t="str">
        <f t="shared" si="17"/>
        <v>BW</v>
      </c>
      <c r="AU301" s="44" t="str">
        <f t="shared" si="2"/>
        <v>BWk</v>
      </c>
      <c r="AV301" s="38">
        <v>3.0</v>
      </c>
      <c r="AW301" s="38"/>
      <c r="AX301" s="38"/>
      <c r="AY301" s="38"/>
      <c r="AZ301" s="29">
        <v>500.0</v>
      </c>
      <c r="BA301" s="29"/>
      <c r="BB301" s="29">
        <v>1.0</v>
      </c>
      <c r="BC301" s="29" t="s">
        <v>801</v>
      </c>
      <c r="BD301" s="29" t="s">
        <v>88</v>
      </c>
      <c r="BE301" s="29"/>
      <c r="BF301" s="29" t="s">
        <v>802</v>
      </c>
      <c r="BG301" s="29" t="s">
        <v>572</v>
      </c>
      <c r="BH301" s="29"/>
      <c r="BI301" s="29" t="s">
        <v>799</v>
      </c>
      <c r="BJ301" s="29"/>
      <c r="BK301" s="29"/>
      <c r="BL301" s="29" t="s">
        <v>148</v>
      </c>
      <c r="BM301" s="45"/>
      <c r="BN301" s="45"/>
      <c r="BO301" s="46"/>
      <c r="BP301" s="2"/>
      <c r="BQ301" s="3"/>
    </row>
    <row r="302" ht="15.75" customHeight="1">
      <c r="A302" s="34">
        <v>303.0</v>
      </c>
      <c r="B302" s="34">
        <v>104172.0</v>
      </c>
      <c r="C302" s="34" t="s">
        <v>76</v>
      </c>
      <c r="D302" s="34" t="s">
        <v>792</v>
      </c>
      <c r="E302" s="34" t="s">
        <v>793</v>
      </c>
      <c r="F302" s="34">
        <v>2021.0</v>
      </c>
      <c r="G302" s="34" t="s">
        <v>794</v>
      </c>
      <c r="H302" s="34" t="s">
        <v>795</v>
      </c>
      <c r="I302" s="34" t="s">
        <v>803</v>
      </c>
      <c r="J302" s="35"/>
      <c r="K302" s="36">
        <v>53.6</v>
      </c>
      <c r="L302" s="36"/>
      <c r="M302" s="36"/>
      <c r="N302" s="36"/>
      <c r="O302" s="36"/>
      <c r="P302" s="37">
        <v>19.4</v>
      </c>
      <c r="Q302" s="36" t="s">
        <v>807</v>
      </c>
      <c r="R302" s="78" t="s">
        <v>807</v>
      </c>
      <c r="S302" s="36">
        <v>500.0</v>
      </c>
      <c r="T302" s="36" t="s">
        <v>167</v>
      </c>
      <c r="U302" s="36" t="s">
        <v>168</v>
      </c>
      <c r="V302" s="36">
        <f>61*4</f>
        <v>244</v>
      </c>
      <c r="W302" s="36" t="s">
        <v>808</v>
      </c>
      <c r="X302" s="38">
        <v>1.0</v>
      </c>
      <c r="Y302" s="53" t="s">
        <v>256</v>
      </c>
      <c r="Z302" s="38" t="s">
        <v>257</v>
      </c>
      <c r="AA302" s="38" t="s">
        <v>86</v>
      </c>
      <c r="AB302" s="38" t="s">
        <v>258</v>
      </c>
      <c r="AC302" s="38" t="s">
        <v>259</v>
      </c>
      <c r="AD302" s="53" t="s">
        <v>198</v>
      </c>
      <c r="AE302" s="53"/>
      <c r="AF302" s="38" t="s">
        <v>797</v>
      </c>
      <c r="AG302" s="57"/>
      <c r="AH302" s="38">
        <v>10.0</v>
      </c>
      <c r="AI302" s="50">
        <v>38.875</v>
      </c>
      <c r="AJ302" s="50">
        <v>100.375</v>
      </c>
      <c r="AK302" s="41" t="s">
        <v>86</v>
      </c>
      <c r="AL302" s="40" t="s">
        <v>86</v>
      </c>
      <c r="AM302" s="49">
        <v>1554.0</v>
      </c>
      <c r="AN302" s="51">
        <v>1554.0</v>
      </c>
      <c r="AO302" s="42" t="s">
        <v>261</v>
      </c>
      <c r="AP302" s="43" t="s">
        <v>261</v>
      </c>
      <c r="AQ302" s="44" t="str">
        <f t="shared" si="33"/>
        <v>CRO</v>
      </c>
      <c r="AR302" s="44">
        <f t="shared" si="3"/>
        <v>1554</v>
      </c>
      <c r="AS302" s="44" t="str">
        <f t="shared" si="35"/>
        <v>B</v>
      </c>
      <c r="AT302" s="44" t="str">
        <f t="shared" si="17"/>
        <v>BW</v>
      </c>
      <c r="AU302" s="44" t="str">
        <f t="shared" si="2"/>
        <v>BWk</v>
      </c>
      <c r="AV302" s="38">
        <v>3.0</v>
      </c>
      <c r="AW302" s="38"/>
      <c r="AX302" s="38"/>
      <c r="AY302" s="38"/>
      <c r="AZ302" s="29">
        <v>500.0</v>
      </c>
      <c r="BA302" s="29"/>
      <c r="BB302" s="29">
        <v>1.0</v>
      </c>
      <c r="BC302" s="29" t="s">
        <v>801</v>
      </c>
      <c r="BD302" s="29" t="s">
        <v>88</v>
      </c>
      <c r="BE302" s="29"/>
      <c r="BF302" s="29" t="s">
        <v>802</v>
      </c>
      <c r="BG302" s="29" t="s">
        <v>572</v>
      </c>
      <c r="BH302" s="29"/>
      <c r="BI302" s="29" t="s">
        <v>799</v>
      </c>
      <c r="BJ302" s="29"/>
      <c r="BK302" s="29"/>
      <c r="BL302" s="29" t="s">
        <v>148</v>
      </c>
      <c r="BM302" s="45"/>
      <c r="BN302" s="45"/>
      <c r="BO302" s="46"/>
      <c r="BP302" s="2"/>
      <c r="BQ302" s="3"/>
    </row>
    <row r="303" ht="15.75" customHeight="1">
      <c r="A303" s="34">
        <v>304.0</v>
      </c>
      <c r="B303" s="34">
        <v>104172.0</v>
      </c>
      <c r="C303" s="34" t="s">
        <v>76</v>
      </c>
      <c r="D303" s="34" t="s">
        <v>792</v>
      </c>
      <c r="E303" s="34" t="s">
        <v>793</v>
      </c>
      <c r="F303" s="34">
        <v>2021.0</v>
      </c>
      <c r="G303" s="34" t="s">
        <v>794</v>
      </c>
      <c r="H303" s="34" t="s">
        <v>795</v>
      </c>
      <c r="I303" s="34" t="s">
        <v>803</v>
      </c>
      <c r="J303" s="35"/>
      <c r="K303" s="36">
        <v>143.4</v>
      </c>
      <c r="L303" s="36"/>
      <c r="M303" s="36"/>
      <c r="N303" s="36"/>
      <c r="O303" s="36"/>
      <c r="P303" s="37">
        <v>-5.3</v>
      </c>
      <c r="Q303" s="36" t="s">
        <v>809</v>
      </c>
      <c r="R303" s="78" t="s">
        <v>809</v>
      </c>
      <c r="S303" s="36">
        <v>500.0</v>
      </c>
      <c r="T303" s="36" t="s">
        <v>167</v>
      </c>
      <c r="U303" s="36" t="s">
        <v>168</v>
      </c>
      <c r="V303" s="36">
        <f>91*4</f>
        <v>364</v>
      </c>
      <c r="W303" s="36" t="s">
        <v>810</v>
      </c>
      <c r="X303" s="38">
        <v>1.0</v>
      </c>
      <c r="Y303" s="53" t="s">
        <v>256</v>
      </c>
      <c r="Z303" s="38" t="s">
        <v>257</v>
      </c>
      <c r="AA303" s="38" t="s">
        <v>86</v>
      </c>
      <c r="AB303" s="38" t="s">
        <v>258</v>
      </c>
      <c r="AC303" s="38" t="s">
        <v>259</v>
      </c>
      <c r="AD303" s="53" t="s">
        <v>198</v>
      </c>
      <c r="AE303" s="53"/>
      <c r="AF303" s="38" t="s">
        <v>797</v>
      </c>
      <c r="AG303" s="57"/>
      <c r="AH303" s="38">
        <v>10.0</v>
      </c>
      <c r="AI303" s="50">
        <v>38.875</v>
      </c>
      <c r="AJ303" s="50">
        <v>100.375</v>
      </c>
      <c r="AK303" s="41" t="s">
        <v>86</v>
      </c>
      <c r="AL303" s="40" t="s">
        <v>86</v>
      </c>
      <c r="AM303" s="49">
        <v>1554.0</v>
      </c>
      <c r="AN303" s="51">
        <v>1554.0</v>
      </c>
      <c r="AO303" s="42" t="s">
        <v>261</v>
      </c>
      <c r="AP303" s="43" t="s">
        <v>261</v>
      </c>
      <c r="AQ303" s="44" t="str">
        <f t="shared" si="33"/>
        <v>CRO</v>
      </c>
      <c r="AR303" s="44">
        <f t="shared" si="3"/>
        <v>1554</v>
      </c>
      <c r="AS303" s="44" t="str">
        <f t="shared" si="35"/>
        <v>B</v>
      </c>
      <c r="AT303" s="44" t="str">
        <f t="shared" si="17"/>
        <v>BW</v>
      </c>
      <c r="AU303" s="44" t="str">
        <f t="shared" si="2"/>
        <v>BWk</v>
      </c>
      <c r="AV303" s="38">
        <v>3.0</v>
      </c>
      <c r="AW303" s="38"/>
      <c r="AX303" s="38"/>
      <c r="AY303" s="38"/>
      <c r="AZ303" s="29">
        <v>500.0</v>
      </c>
      <c r="BA303" s="29"/>
      <c r="BB303" s="29">
        <v>1.0</v>
      </c>
      <c r="BC303" s="29" t="s">
        <v>801</v>
      </c>
      <c r="BD303" s="29" t="s">
        <v>88</v>
      </c>
      <c r="BE303" s="29"/>
      <c r="BF303" s="29" t="s">
        <v>802</v>
      </c>
      <c r="BG303" s="29" t="s">
        <v>572</v>
      </c>
      <c r="BH303" s="29"/>
      <c r="BI303" s="29" t="s">
        <v>799</v>
      </c>
      <c r="BJ303" s="29"/>
      <c r="BK303" s="29"/>
      <c r="BL303" s="29" t="s">
        <v>148</v>
      </c>
      <c r="BM303" s="45"/>
      <c r="BN303" s="45"/>
      <c r="BO303" s="46"/>
      <c r="BP303" s="2"/>
      <c r="BQ303" s="3"/>
    </row>
    <row r="304" ht="15.75" customHeight="1">
      <c r="A304" s="34">
        <v>305.0</v>
      </c>
      <c r="B304" s="34">
        <v>104172.0</v>
      </c>
      <c r="C304" s="34" t="s">
        <v>76</v>
      </c>
      <c r="D304" s="34" t="s">
        <v>792</v>
      </c>
      <c r="E304" s="34" t="s">
        <v>793</v>
      </c>
      <c r="F304" s="34">
        <v>2021.0</v>
      </c>
      <c r="G304" s="34" t="s">
        <v>794</v>
      </c>
      <c r="H304" s="34" t="s">
        <v>795</v>
      </c>
      <c r="I304" s="34" t="s">
        <v>803</v>
      </c>
      <c r="J304" s="35"/>
      <c r="K304" s="36">
        <v>66.5</v>
      </c>
      <c r="L304" s="36"/>
      <c r="M304" s="36"/>
      <c r="N304" s="36"/>
      <c r="O304" s="36"/>
      <c r="P304" s="37">
        <v>12.8</v>
      </c>
      <c r="Q304" s="36" t="s">
        <v>807</v>
      </c>
      <c r="R304" s="78" t="s">
        <v>807</v>
      </c>
      <c r="S304" s="36">
        <v>500.0</v>
      </c>
      <c r="T304" s="36" t="s">
        <v>167</v>
      </c>
      <c r="U304" s="36" t="s">
        <v>168</v>
      </c>
      <c r="V304" s="36">
        <f>61*4</f>
        <v>244</v>
      </c>
      <c r="W304" s="36" t="s">
        <v>811</v>
      </c>
      <c r="X304" s="38">
        <v>1.0</v>
      </c>
      <c r="Y304" s="53" t="s">
        <v>256</v>
      </c>
      <c r="Z304" s="38" t="s">
        <v>257</v>
      </c>
      <c r="AA304" s="38" t="s">
        <v>86</v>
      </c>
      <c r="AB304" s="38" t="s">
        <v>258</v>
      </c>
      <c r="AC304" s="38" t="s">
        <v>259</v>
      </c>
      <c r="AD304" s="53" t="s">
        <v>198</v>
      </c>
      <c r="AE304" s="53"/>
      <c r="AF304" s="38" t="s">
        <v>797</v>
      </c>
      <c r="AG304" s="57"/>
      <c r="AH304" s="38">
        <v>10.0</v>
      </c>
      <c r="AI304" s="50">
        <v>38.875</v>
      </c>
      <c r="AJ304" s="50">
        <v>100.375</v>
      </c>
      <c r="AK304" s="41" t="s">
        <v>86</v>
      </c>
      <c r="AL304" s="40" t="s">
        <v>86</v>
      </c>
      <c r="AM304" s="49">
        <v>1554.0</v>
      </c>
      <c r="AN304" s="51">
        <v>1554.0</v>
      </c>
      <c r="AO304" s="42" t="s">
        <v>261</v>
      </c>
      <c r="AP304" s="43" t="s">
        <v>261</v>
      </c>
      <c r="AQ304" s="44" t="str">
        <f t="shared" si="33"/>
        <v>CRO</v>
      </c>
      <c r="AR304" s="44">
        <f t="shared" si="3"/>
        <v>1554</v>
      </c>
      <c r="AS304" s="44" t="str">
        <f t="shared" si="35"/>
        <v>B</v>
      </c>
      <c r="AT304" s="44" t="str">
        <f t="shared" si="17"/>
        <v>BW</v>
      </c>
      <c r="AU304" s="44" t="str">
        <f t="shared" si="2"/>
        <v>BWk</v>
      </c>
      <c r="AV304" s="38">
        <v>3.0</v>
      </c>
      <c r="AW304" s="38"/>
      <c r="AX304" s="38"/>
      <c r="AY304" s="38"/>
      <c r="AZ304" s="29">
        <v>500.0</v>
      </c>
      <c r="BA304" s="29"/>
      <c r="BB304" s="29">
        <v>1.0</v>
      </c>
      <c r="BC304" s="29" t="s">
        <v>801</v>
      </c>
      <c r="BD304" s="29" t="s">
        <v>88</v>
      </c>
      <c r="BE304" s="29"/>
      <c r="BF304" s="29" t="s">
        <v>802</v>
      </c>
      <c r="BG304" s="29" t="s">
        <v>572</v>
      </c>
      <c r="BH304" s="29"/>
      <c r="BI304" s="29" t="s">
        <v>799</v>
      </c>
      <c r="BJ304" s="29"/>
      <c r="BK304" s="29"/>
      <c r="BL304" s="29" t="s">
        <v>148</v>
      </c>
      <c r="BM304" s="45"/>
      <c r="BN304" s="45"/>
      <c r="BO304" s="46"/>
      <c r="BP304" s="2"/>
      <c r="BQ304" s="3"/>
    </row>
    <row r="305" ht="15.75" customHeight="1">
      <c r="A305" s="34">
        <v>306.0</v>
      </c>
      <c r="B305" s="34">
        <v>104172.0</v>
      </c>
      <c r="C305" s="34" t="s">
        <v>76</v>
      </c>
      <c r="D305" s="34" t="s">
        <v>792</v>
      </c>
      <c r="E305" s="34" t="s">
        <v>793</v>
      </c>
      <c r="F305" s="34">
        <v>2021.0</v>
      </c>
      <c r="G305" s="34" t="s">
        <v>794</v>
      </c>
      <c r="H305" s="34" t="s">
        <v>795</v>
      </c>
      <c r="I305" s="34" t="s">
        <v>803</v>
      </c>
      <c r="J305" s="35"/>
      <c r="K305" s="36">
        <v>12.2</v>
      </c>
      <c r="L305" s="36"/>
      <c r="M305" s="36"/>
      <c r="N305" s="36"/>
      <c r="O305" s="36"/>
      <c r="P305" s="37">
        <v>70.3</v>
      </c>
      <c r="Q305" s="36" t="s">
        <v>804</v>
      </c>
      <c r="R305" s="78" t="s">
        <v>804</v>
      </c>
      <c r="S305" s="36">
        <v>500.0</v>
      </c>
      <c r="T305" s="36" t="s">
        <v>167</v>
      </c>
      <c r="U305" s="36" t="s">
        <v>168</v>
      </c>
      <c r="V305" s="36">
        <f>122*4</f>
        <v>488</v>
      </c>
      <c r="W305" s="36" t="s">
        <v>805</v>
      </c>
      <c r="X305" s="38">
        <v>1.0</v>
      </c>
      <c r="Y305" s="53" t="s">
        <v>256</v>
      </c>
      <c r="Z305" s="38" t="s">
        <v>257</v>
      </c>
      <c r="AA305" s="38" t="s">
        <v>86</v>
      </c>
      <c r="AB305" s="38" t="s">
        <v>258</v>
      </c>
      <c r="AC305" s="38" t="s">
        <v>259</v>
      </c>
      <c r="AD305" s="53" t="s">
        <v>198</v>
      </c>
      <c r="AE305" s="53"/>
      <c r="AF305" s="38" t="s">
        <v>797</v>
      </c>
      <c r="AG305" s="57"/>
      <c r="AH305" s="38">
        <v>10.0</v>
      </c>
      <c r="AI305" s="50">
        <v>38.875</v>
      </c>
      <c r="AJ305" s="50">
        <v>100.375</v>
      </c>
      <c r="AK305" s="41" t="s">
        <v>86</v>
      </c>
      <c r="AL305" s="40" t="s">
        <v>86</v>
      </c>
      <c r="AM305" s="49">
        <v>1554.0</v>
      </c>
      <c r="AN305" s="51">
        <v>1554.0</v>
      </c>
      <c r="AO305" s="42" t="s">
        <v>261</v>
      </c>
      <c r="AP305" s="43" t="s">
        <v>261</v>
      </c>
      <c r="AQ305" s="44" t="str">
        <f t="shared" si="33"/>
        <v>CRO</v>
      </c>
      <c r="AR305" s="44">
        <f t="shared" si="3"/>
        <v>1554</v>
      </c>
      <c r="AS305" s="44" t="str">
        <f t="shared" si="35"/>
        <v>B</v>
      </c>
      <c r="AT305" s="44" t="str">
        <f t="shared" si="17"/>
        <v>BW</v>
      </c>
      <c r="AU305" s="44" t="str">
        <f t="shared" si="2"/>
        <v>BWk</v>
      </c>
      <c r="AV305" s="38">
        <v>3.0</v>
      </c>
      <c r="AW305" s="38"/>
      <c r="AX305" s="38"/>
      <c r="AY305" s="38"/>
      <c r="AZ305" s="29">
        <v>500.0</v>
      </c>
      <c r="BA305" s="29"/>
      <c r="BB305" s="29">
        <v>2.0</v>
      </c>
      <c r="BC305" s="29" t="s">
        <v>812</v>
      </c>
      <c r="BD305" s="29" t="s">
        <v>88</v>
      </c>
      <c r="BE305" s="29"/>
      <c r="BF305" s="29" t="s">
        <v>802</v>
      </c>
      <c r="BG305" s="29" t="s">
        <v>572</v>
      </c>
      <c r="BH305" s="29"/>
      <c r="BI305" s="29"/>
      <c r="BJ305" s="29"/>
      <c r="BK305" s="29"/>
      <c r="BL305" s="29"/>
      <c r="BM305" s="45"/>
      <c r="BN305" s="45"/>
      <c r="BO305" s="46"/>
      <c r="BP305" s="2"/>
      <c r="BQ305" s="3"/>
    </row>
    <row r="306" ht="15.75" customHeight="1">
      <c r="A306" s="34">
        <v>307.0</v>
      </c>
      <c r="B306" s="34">
        <v>104172.0</v>
      </c>
      <c r="C306" s="34" t="s">
        <v>76</v>
      </c>
      <c r="D306" s="34" t="s">
        <v>792</v>
      </c>
      <c r="E306" s="34" t="s">
        <v>793</v>
      </c>
      <c r="F306" s="34">
        <v>2021.0</v>
      </c>
      <c r="G306" s="34" t="s">
        <v>794</v>
      </c>
      <c r="H306" s="34" t="s">
        <v>795</v>
      </c>
      <c r="I306" s="34" t="s">
        <v>803</v>
      </c>
      <c r="J306" s="35"/>
      <c r="K306" s="36">
        <v>40.7</v>
      </c>
      <c r="L306" s="36"/>
      <c r="M306" s="36"/>
      <c r="N306" s="36"/>
      <c r="O306" s="36"/>
      <c r="P306" s="37">
        <v>85.4</v>
      </c>
      <c r="Q306" s="36" t="s">
        <v>191</v>
      </c>
      <c r="R306" s="78" t="s">
        <v>191</v>
      </c>
      <c r="S306" s="36">
        <v>500.0</v>
      </c>
      <c r="T306" s="36" t="s">
        <v>167</v>
      </c>
      <c r="U306" s="36" t="s">
        <v>168</v>
      </c>
      <c r="V306" s="36">
        <f>31*4</f>
        <v>124</v>
      </c>
      <c r="W306" s="36" t="s">
        <v>806</v>
      </c>
      <c r="X306" s="38">
        <v>1.0</v>
      </c>
      <c r="Y306" s="53" t="s">
        <v>256</v>
      </c>
      <c r="Z306" s="38" t="s">
        <v>257</v>
      </c>
      <c r="AA306" s="38" t="s">
        <v>86</v>
      </c>
      <c r="AB306" s="38" t="s">
        <v>258</v>
      </c>
      <c r="AC306" s="38" t="s">
        <v>259</v>
      </c>
      <c r="AD306" s="53" t="s">
        <v>198</v>
      </c>
      <c r="AE306" s="53"/>
      <c r="AF306" s="38" t="s">
        <v>797</v>
      </c>
      <c r="AG306" s="57"/>
      <c r="AH306" s="38">
        <v>10.0</v>
      </c>
      <c r="AI306" s="50">
        <v>38.875</v>
      </c>
      <c r="AJ306" s="50">
        <v>100.375</v>
      </c>
      <c r="AK306" s="41" t="s">
        <v>86</v>
      </c>
      <c r="AL306" s="40" t="s">
        <v>86</v>
      </c>
      <c r="AM306" s="49">
        <v>1554.0</v>
      </c>
      <c r="AN306" s="51">
        <v>1554.0</v>
      </c>
      <c r="AO306" s="42" t="s">
        <v>261</v>
      </c>
      <c r="AP306" s="43" t="s">
        <v>261</v>
      </c>
      <c r="AQ306" s="44" t="str">
        <f t="shared" si="33"/>
        <v>CRO</v>
      </c>
      <c r="AR306" s="44">
        <f t="shared" si="3"/>
        <v>1554</v>
      </c>
      <c r="AS306" s="44" t="str">
        <f t="shared" si="35"/>
        <v>B</v>
      </c>
      <c r="AT306" s="44" t="str">
        <f t="shared" si="17"/>
        <v>BW</v>
      </c>
      <c r="AU306" s="44" t="str">
        <f t="shared" si="2"/>
        <v>BWk</v>
      </c>
      <c r="AV306" s="38">
        <v>3.0</v>
      </c>
      <c r="AW306" s="38"/>
      <c r="AX306" s="38"/>
      <c r="AY306" s="38"/>
      <c r="AZ306" s="29">
        <v>500.0</v>
      </c>
      <c r="BA306" s="29"/>
      <c r="BB306" s="29">
        <v>2.0</v>
      </c>
      <c r="BC306" s="29" t="s">
        <v>812</v>
      </c>
      <c r="BD306" s="29" t="s">
        <v>88</v>
      </c>
      <c r="BE306" s="29"/>
      <c r="BF306" s="29" t="s">
        <v>802</v>
      </c>
      <c r="BG306" s="29" t="s">
        <v>572</v>
      </c>
      <c r="BH306" s="29"/>
      <c r="BI306" s="29"/>
      <c r="BJ306" s="29"/>
      <c r="BK306" s="29"/>
      <c r="BL306" s="29"/>
      <c r="BM306" s="45"/>
      <c r="BN306" s="45"/>
      <c r="BO306" s="46"/>
      <c r="BP306" s="2"/>
      <c r="BQ306" s="3"/>
    </row>
    <row r="307" ht="15.75" customHeight="1">
      <c r="A307" s="34">
        <v>308.0</v>
      </c>
      <c r="B307" s="34">
        <v>104172.0</v>
      </c>
      <c r="C307" s="34" t="s">
        <v>76</v>
      </c>
      <c r="D307" s="34" t="s">
        <v>792</v>
      </c>
      <c r="E307" s="34" t="s">
        <v>793</v>
      </c>
      <c r="F307" s="34">
        <v>2021.0</v>
      </c>
      <c r="G307" s="34" t="s">
        <v>794</v>
      </c>
      <c r="H307" s="34" t="s">
        <v>795</v>
      </c>
      <c r="I307" s="34" t="s">
        <v>803</v>
      </c>
      <c r="J307" s="35"/>
      <c r="K307" s="36">
        <v>53.6</v>
      </c>
      <c r="L307" s="36"/>
      <c r="M307" s="36"/>
      <c r="N307" s="36"/>
      <c r="O307" s="36"/>
      <c r="P307" s="37">
        <v>41.5</v>
      </c>
      <c r="Q307" s="36" t="s">
        <v>807</v>
      </c>
      <c r="R307" s="78" t="s">
        <v>807</v>
      </c>
      <c r="S307" s="36">
        <v>500.0</v>
      </c>
      <c r="T307" s="36" t="s">
        <v>167</v>
      </c>
      <c r="U307" s="36" t="s">
        <v>168</v>
      </c>
      <c r="V307" s="36">
        <f>61*4</f>
        <v>244</v>
      </c>
      <c r="W307" s="36" t="s">
        <v>808</v>
      </c>
      <c r="X307" s="38">
        <v>1.0</v>
      </c>
      <c r="Y307" s="53" t="s">
        <v>256</v>
      </c>
      <c r="Z307" s="38" t="s">
        <v>257</v>
      </c>
      <c r="AA307" s="38" t="s">
        <v>86</v>
      </c>
      <c r="AB307" s="38" t="s">
        <v>258</v>
      </c>
      <c r="AC307" s="38" t="s">
        <v>259</v>
      </c>
      <c r="AD307" s="53" t="s">
        <v>198</v>
      </c>
      <c r="AE307" s="53"/>
      <c r="AF307" s="38" t="s">
        <v>797</v>
      </c>
      <c r="AG307" s="57"/>
      <c r="AH307" s="38">
        <v>10.0</v>
      </c>
      <c r="AI307" s="50">
        <v>38.875</v>
      </c>
      <c r="AJ307" s="50">
        <v>100.375</v>
      </c>
      <c r="AK307" s="41" t="s">
        <v>86</v>
      </c>
      <c r="AL307" s="40" t="s">
        <v>86</v>
      </c>
      <c r="AM307" s="49">
        <v>1554.0</v>
      </c>
      <c r="AN307" s="51">
        <v>1554.0</v>
      </c>
      <c r="AO307" s="42" t="s">
        <v>261</v>
      </c>
      <c r="AP307" s="43" t="s">
        <v>261</v>
      </c>
      <c r="AQ307" s="44" t="str">
        <f t="shared" si="33"/>
        <v>CRO</v>
      </c>
      <c r="AR307" s="44">
        <f t="shared" si="3"/>
        <v>1554</v>
      </c>
      <c r="AS307" s="44" t="str">
        <f t="shared" si="35"/>
        <v>B</v>
      </c>
      <c r="AT307" s="44" t="str">
        <f t="shared" si="17"/>
        <v>BW</v>
      </c>
      <c r="AU307" s="44" t="str">
        <f t="shared" si="2"/>
        <v>BWk</v>
      </c>
      <c r="AV307" s="38">
        <v>3.0</v>
      </c>
      <c r="AW307" s="38"/>
      <c r="AX307" s="38"/>
      <c r="AY307" s="38"/>
      <c r="AZ307" s="29">
        <v>500.0</v>
      </c>
      <c r="BA307" s="29"/>
      <c r="BB307" s="29">
        <v>2.0</v>
      </c>
      <c r="BC307" s="29" t="s">
        <v>812</v>
      </c>
      <c r="BD307" s="29" t="s">
        <v>88</v>
      </c>
      <c r="BE307" s="29"/>
      <c r="BF307" s="29" t="s">
        <v>802</v>
      </c>
      <c r="BG307" s="29" t="s">
        <v>572</v>
      </c>
      <c r="BH307" s="29"/>
      <c r="BI307" s="29"/>
      <c r="BJ307" s="29"/>
      <c r="BK307" s="29"/>
      <c r="BL307" s="29"/>
      <c r="BM307" s="45"/>
      <c r="BN307" s="45"/>
      <c r="BO307" s="46"/>
      <c r="BP307" s="2"/>
      <c r="BQ307" s="3"/>
    </row>
    <row r="308" ht="15.75" customHeight="1">
      <c r="A308" s="34">
        <v>309.0</v>
      </c>
      <c r="B308" s="34">
        <v>104172.0</v>
      </c>
      <c r="C308" s="34" t="s">
        <v>76</v>
      </c>
      <c r="D308" s="34" t="s">
        <v>792</v>
      </c>
      <c r="E308" s="34" t="s">
        <v>793</v>
      </c>
      <c r="F308" s="34">
        <v>2021.0</v>
      </c>
      <c r="G308" s="34" t="s">
        <v>794</v>
      </c>
      <c r="H308" s="34" t="s">
        <v>795</v>
      </c>
      <c r="I308" s="34" t="s">
        <v>803</v>
      </c>
      <c r="J308" s="35"/>
      <c r="K308" s="36">
        <v>143.4</v>
      </c>
      <c r="L308" s="36"/>
      <c r="M308" s="36"/>
      <c r="N308" s="36"/>
      <c r="O308" s="36"/>
      <c r="P308" s="37">
        <v>2.8</v>
      </c>
      <c r="Q308" s="36" t="s">
        <v>809</v>
      </c>
      <c r="R308" s="78" t="s">
        <v>809</v>
      </c>
      <c r="S308" s="36">
        <v>500.0</v>
      </c>
      <c r="T308" s="36" t="s">
        <v>167</v>
      </c>
      <c r="U308" s="36" t="s">
        <v>168</v>
      </c>
      <c r="V308" s="36">
        <f>91*4</f>
        <v>364</v>
      </c>
      <c r="W308" s="36" t="s">
        <v>810</v>
      </c>
      <c r="X308" s="38">
        <v>1.0</v>
      </c>
      <c r="Y308" s="53" t="s">
        <v>256</v>
      </c>
      <c r="Z308" s="38" t="s">
        <v>257</v>
      </c>
      <c r="AA308" s="38" t="s">
        <v>86</v>
      </c>
      <c r="AB308" s="38" t="s">
        <v>258</v>
      </c>
      <c r="AC308" s="38" t="s">
        <v>259</v>
      </c>
      <c r="AD308" s="53" t="s">
        <v>198</v>
      </c>
      <c r="AE308" s="53"/>
      <c r="AF308" s="38" t="s">
        <v>797</v>
      </c>
      <c r="AG308" s="57"/>
      <c r="AH308" s="38">
        <v>10.0</v>
      </c>
      <c r="AI308" s="50">
        <v>38.875</v>
      </c>
      <c r="AJ308" s="50">
        <v>100.375</v>
      </c>
      <c r="AK308" s="41" t="s">
        <v>86</v>
      </c>
      <c r="AL308" s="40" t="s">
        <v>86</v>
      </c>
      <c r="AM308" s="49">
        <v>1554.0</v>
      </c>
      <c r="AN308" s="51">
        <v>1554.0</v>
      </c>
      <c r="AO308" s="42" t="s">
        <v>261</v>
      </c>
      <c r="AP308" s="43" t="s">
        <v>261</v>
      </c>
      <c r="AQ308" s="44" t="str">
        <f t="shared" si="33"/>
        <v>CRO</v>
      </c>
      <c r="AR308" s="44">
        <f t="shared" si="3"/>
        <v>1554</v>
      </c>
      <c r="AS308" s="44" t="str">
        <f t="shared" si="35"/>
        <v>B</v>
      </c>
      <c r="AT308" s="44" t="str">
        <f t="shared" si="17"/>
        <v>BW</v>
      </c>
      <c r="AU308" s="44" t="str">
        <f t="shared" si="2"/>
        <v>BWk</v>
      </c>
      <c r="AV308" s="38">
        <v>3.0</v>
      </c>
      <c r="AW308" s="38"/>
      <c r="AX308" s="38"/>
      <c r="AY308" s="38"/>
      <c r="AZ308" s="29">
        <v>500.0</v>
      </c>
      <c r="BA308" s="29"/>
      <c r="BB308" s="29">
        <v>2.0</v>
      </c>
      <c r="BC308" s="29" t="s">
        <v>812</v>
      </c>
      <c r="BD308" s="29" t="s">
        <v>88</v>
      </c>
      <c r="BE308" s="29"/>
      <c r="BF308" s="29" t="s">
        <v>802</v>
      </c>
      <c r="BG308" s="29" t="s">
        <v>572</v>
      </c>
      <c r="BH308" s="29"/>
      <c r="BI308" s="29"/>
      <c r="BJ308" s="29"/>
      <c r="BK308" s="29"/>
      <c r="BL308" s="29"/>
      <c r="BM308" s="45"/>
      <c r="BN308" s="45"/>
      <c r="BO308" s="46"/>
      <c r="BP308" s="2"/>
      <c r="BQ308" s="3"/>
    </row>
    <row r="309" ht="15.75" customHeight="1">
      <c r="A309" s="34">
        <v>310.0</v>
      </c>
      <c r="B309" s="34">
        <v>104172.0</v>
      </c>
      <c r="C309" s="34" t="s">
        <v>76</v>
      </c>
      <c r="D309" s="34" t="s">
        <v>792</v>
      </c>
      <c r="E309" s="34" t="s">
        <v>793</v>
      </c>
      <c r="F309" s="34">
        <v>2021.0</v>
      </c>
      <c r="G309" s="34" t="s">
        <v>794</v>
      </c>
      <c r="H309" s="34" t="s">
        <v>795</v>
      </c>
      <c r="I309" s="34" t="s">
        <v>803</v>
      </c>
      <c r="J309" s="35"/>
      <c r="K309" s="36">
        <v>66.5</v>
      </c>
      <c r="L309" s="36"/>
      <c r="M309" s="36"/>
      <c r="N309" s="36"/>
      <c r="O309" s="36"/>
      <c r="P309" s="37">
        <v>38.5</v>
      </c>
      <c r="Q309" s="36" t="s">
        <v>807</v>
      </c>
      <c r="R309" s="78" t="s">
        <v>807</v>
      </c>
      <c r="S309" s="36">
        <v>500.0</v>
      </c>
      <c r="T309" s="36" t="s">
        <v>167</v>
      </c>
      <c r="U309" s="36" t="s">
        <v>168</v>
      </c>
      <c r="V309" s="36">
        <f>61*4</f>
        <v>244</v>
      </c>
      <c r="W309" s="36" t="s">
        <v>811</v>
      </c>
      <c r="X309" s="38">
        <v>1.0</v>
      </c>
      <c r="Y309" s="53" t="s">
        <v>256</v>
      </c>
      <c r="Z309" s="38" t="s">
        <v>257</v>
      </c>
      <c r="AA309" s="38" t="s">
        <v>86</v>
      </c>
      <c r="AB309" s="38" t="s">
        <v>258</v>
      </c>
      <c r="AC309" s="38" t="s">
        <v>259</v>
      </c>
      <c r="AD309" s="53" t="s">
        <v>198</v>
      </c>
      <c r="AE309" s="53"/>
      <c r="AF309" s="38" t="s">
        <v>797</v>
      </c>
      <c r="AG309" s="57"/>
      <c r="AH309" s="38">
        <v>10.0</v>
      </c>
      <c r="AI309" s="50">
        <v>38.875</v>
      </c>
      <c r="AJ309" s="50">
        <v>100.375</v>
      </c>
      <c r="AK309" s="41" t="s">
        <v>86</v>
      </c>
      <c r="AL309" s="40" t="s">
        <v>86</v>
      </c>
      <c r="AM309" s="49">
        <v>1554.0</v>
      </c>
      <c r="AN309" s="51">
        <v>1554.0</v>
      </c>
      <c r="AO309" s="42" t="s">
        <v>261</v>
      </c>
      <c r="AP309" s="43" t="s">
        <v>261</v>
      </c>
      <c r="AQ309" s="44" t="str">
        <f t="shared" si="33"/>
        <v>CRO</v>
      </c>
      <c r="AR309" s="44">
        <f t="shared" si="3"/>
        <v>1554</v>
      </c>
      <c r="AS309" s="44" t="str">
        <f t="shared" si="35"/>
        <v>B</v>
      </c>
      <c r="AT309" s="44" t="str">
        <f t="shared" si="17"/>
        <v>BW</v>
      </c>
      <c r="AU309" s="44" t="str">
        <f t="shared" si="2"/>
        <v>BWk</v>
      </c>
      <c r="AV309" s="38">
        <v>3.0</v>
      </c>
      <c r="AW309" s="38"/>
      <c r="AX309" s="38"/>
      <c r="AY309" s="38"/>
      <c r="AZ309" s="29">
        <v>500.0</v>
      </c>
      <c r="BA309" s="29"/>
      <c r="BB309" s="29">
        <v>2.0</v>
      </c>
      <c r="BC309" s="29" t="s">
        <v>812</v>
      </c>
      <c r="BD309" s="29" t="s">
        <v>88</v>
      </c>
      <c r="BE309" s="29"/>
      <c r="BF309" s="29" t="s">
        <v>802</v>
      </c>
      <c r="BG309" s="29" t="s">
        <v>572</v>
      </c>
      <c r="BH309" s="29"/>
      <c r="BI309" s="29"/>
      <c r="BJ309" s="29"/>
      <c r="BK309" s="29"/>
      <c r="BL309" s="29"/>
      <c r="BM309" s="45"/>
      <c r="BN309" s="45"/>
      <c r="BO309" s="46"/>
      <c r="BP309" s="2"/>
      <c r="BQ309" s="3"/>
    </row>
    <row r="310" ht="15.75" customHeight="1">
      <c r="A310" s="34">
        <v>311.0</v>
      </c>
      <c r="B310" s="34">
        <v>104172.0</v>
      </c>
      <c r="C310" s="34" t="s">
        <v>76</v>
      </c>
      <c r="D310" s="34" t="s">
        <v>792</v>
      </c>
      <c r="E310" s="34" t="s">
        <v>793</v>
      </c>
      <c r="F310" s="34">
        <v>2021.0</v>
      </c>
      <c r="G310" s="34" t="s">
        <v>794</v>
      </c>
      <c r="H310" s="34" t="s">
        <v>795</v>
      </c>
      <c r="I310" s="34" t="s">
        <v>803</v>
      </c>
      <c r="J310" s="35"/>
      <c r="K310" s="36"/>
      <c r="L310" s="36"/>
      <c r="M310" s="36"/>
      <c r="N310" s="36"/>
      <c r="O310" s="36"/>
      <c r="P310" s="37">
        <v>3.3</v>
      </c>
      <c r="Q310" s="36" t="s">
        <v>96</v>
      </c>
      <c r="R310" s="36" t="s">
        <v>96</v>
      </c>
      <c r="S310" s="36">
        <v>500.0</v>
      </c>
      <c r="T310" s="36" t="s">
        <v>167</v>
      </c>
      <c r="U310" s="36" t="s">
        <v>168</v>
      </c>
      <c r="V310" s="36">
        <v>805.0</v>
      </c>
      <c r="W310" s="36"/>
      <c r="X310" s="38">
        <v>1.0</v>
      </c>
      <c r="Y310" s="53" t="s">
        <v>256</v>
      </c>
      <c r="Z310" s="38" t="s">
        <v>257</v>
      </c>
      <c r="AA310" s="38" t="s">
        <v>86</v>
      </c>
      <c r="AB310" s="38" t="s">
        <v>258</v>
      </c>
      <c r="AC310" s="38" t="s">
        <v>259</v>
      </c>
      <c r="AD310" s="53" t="s">
        <v>198</v>
      </c>
      <c r="AE310" s="53"/>
      <c r="AF310" s="38" t="s">
        <v>797</v>
      </c>
      <c r="AG310" s="57"/>
      <c r="AH310" s="38">
        <v>10.0</v>
      </c>
      <c r="AI310" s="50">
        <v>38.875</v>
      </c>
      <c r="AJ310" s="50">
        <v>100.375</v>
      </c>
      <c r="AK310" s="41" t="s">
        <v>86</v>
      </c>
      <c r="AL310" s="40" t="s">
        <v>86</v>
      </c>
      <c r="AM310" s="49">
        <v>1554.0</v>
      </c>
      <c r="AN310" s="51">
        <v>1554.0</v>
      </c>
      <c r="AO310" s="42" t="s">
        <v>261</v>
      </c>
      <c r="AP310" s="43" t="s">
        <v>261</v>
      </c>
      <c r="AQ310" s="44" t="str">
        <f t="shared" si="33"/>
        <v>CRO</v>
      </c>
      <c r="AR310" s="44">
        <f t="shared" si="3"/>
        <v>1554</v>
      </c>
      <c r="AS310" s="44" t="str">
        <f t="shared" si="35"/>
        <v>B</v>
      </c>
      <c r="AT310" s="44" t="str">
        <f t="shared" si="17"/>
        <v>BW</v>
      </c>
      <c r="AU310" s="44" t="str">
        <f t="shared" si="2"/>
        <v>BWk</v>
      </c>
      <c r="AV310" s="38">
        <v>3.0</v>
      </c>
      <c r="AW310" s="38"/>
      <c r="AX310" s="38"/>
      <c r="AY310" s="38"/>
      <c r="AZ310" s="29">
        <v>500.0</v>
      </c>
      <c r="BA310" s="29"/>
      <c r="BB310" s="29">
        <v>1.0</v>
      </c>
      <c r="BC310" s="29" t="s">
        <v>798</v>
      </c>
      <c r="BD310" s="29" t="s">
        <v>88</v>
      </c>
      <c r="BE310" s="29"/>
      <c r="BF310" s="29" t="s">
        <v>798</v>
      </c>
      <c r="BG310" s="29" t="s">
        <v>220</v>
      </c>
      <c r="BH310" s="29"/>
      <c r="BI310" s="29" t="s">
        <v>799</v>
      </c>
      <c r="BJ310" s="29"/>
      <c r="BK310" s="29"/>
      <c r="BL310" s="29" t="s">
        <v>148</v>
      </c>
      <c r="BM310" s="45"/>
      <c r="BN310" s="45"/>
      <c r="BO310" s="46"/>
      <c r="BP310" s="73"/>
      <c r="BQ310" s="17"/>
    </row>
    <row r="311" ht="15.75" customHeight="1">
      <c r="A311" s="34">
        <v>312.0</v>
      </c>
      <c r="B311" s="34">
        <v>104172.0</v>
      </c>
      <c r="C311" s="34" t="s">
        <v>76</v>
      </c>
      <c r="D311" s="34" t="s">
        <v>792</v>
      </c>
      <c r="E311" s="34" t="s">
        <v>793</v>
      </c>
      <c r="F311" s="34">
        <v>2021.0</v>
      </c>
      <c r="G311" s="34" t="s">
        <v>794</v>
      </c>
      <c r="H311" s="34" t="s">
        <v>795</v>
      </c>
      <c r="I311" s="34" t="s">
        <v>803</v>
      </c>
      <c r="J311" s="35"/>
      <c r="K311" s="36"/>
      <c r="L311" s="36"/>
      <c r="M311" s="36"/>
      <c r="N311" s="36"/>
      <c r="O311" s="36"/>
      <c r="P311" s="37">
        <v>-2.2</v>
      </c>
      <c r="Q311" s="36" t="s">
        <v>96</v>
      </c>
      <c r="R311" s="36" t="s">
        <v>96</v>
      </c>
      <c r="S311" s="36">
        <v>500.0</v>
      </c>
      <c r="T311" s="36" t="s">
        <v>167</v>
      </c>
      <c r="U311" s="36" t="s">
        <v>168</v>
      </c>
      <c r="V311" s="36">
        <v>656.0</v>
      </c>
      <c r="W311" s="36"/>
      <c r="X311" s="38">
        <v>1.0</v>
      </c>
      <c r="Y311" s="53" t="s">
        <v>256</v>
      </c>
      <c r="Z311" s="38" t="s">
        <v>257</v>
      </c>
      <c r="AA311" s="38" t="s">
        <v>86</v>
      </c>
      <c r="AB311" s="38" t="s">
        <v>258</v>
      </c>
      <c r="AC311" s="38" t="s">
        <v>259</v>
      </c>
      <c r="AD311" s="53" t="s">
        <v>198</v>
      </c>
      <c r="AE311" s="53"/>
      <c r="AF311" s="38" t="s">
        <v>797</v>
      </c>
      <c r="AG311" s="57"/>
      <c r="AH311" s="38">
        <v>10.0</v>
      </c>
      <c r="AI311" s="50">
        <v>38.875</v>
      </c>
      <c r="AJ311" s="50">
        <v>100.375</v>
      </c>
      <c r="AK311" s="41" t="s">
        <v>86</v>
      </c>
      <c r="AL311" s="40" t="s">
        <v>86</v>
      </c>
      <c r="AM311" s="49">
        <v>1554.0</v>
      </c>
      <c r="AN311" s="51">
        <v>1554.0</v>
      </c>
      <c r="AO311" s="42" t="s">
        <v>261</v>
      </c>
      <c r="AP311" s="43" t="s">
        <v>261</v>
      </c>
      <c r="AQ311" s="44" t="str">
        <f t="shared" si="33"/>
        <v>CRO</v>
      </c>
      <c r="AR311" s="44">
        <f t="shared" si="3"/>
        <v>1554</v>
      </c>
      <c r="AS311" s="44" t="str">
        <f t="shared" si="35"/>
        <v>B</v>
      </c>
      <c r="AT311" s="44" t="str">
        <f t="shared" si="17"/>
        <v>BW</v>
      </c>
      <c r="AU311" s="44" t="str">
        <f t="shared" si="2"/>
        <v>BWk</v>
      </c>
      <c r="AV311" s="38">
        <v>3.0</v>
      </c>
      <c r="AW311" s="38"/>
      <c r="AX311" s="38"/>
      <c r="AY311" s="38"/>
      <c r="AZ311" s="29">
        <v>500.0</v>
      </c>
      <c r="BA311" s="29"/>
      <c r="BB311" s="29">
        <v>1.0</v>
      </c>
      <c r="BC311" s="29" t="s">
        <v>798</v>
      </c>
      <c r="BD311" s="29" t="s">
        <v>88</v>
      </c>
      <c r="BE311" s="29"/>
      <c r="BF311" s="29" t="s">
        <v>798</v>
      </c>
      <c r="BG311" s="29" t="s">
        <v>220</v>
      </c>
      <c r="BH311" s="29"/>
      <c r="BI311" s="29" t="s">
        <v>799</v>
      </c>
      <c r="BJ311" s="29"/>
      <c r="BK311" s="29"/>
      <c r="BL311" s="29" t="s">
        <v>148</v>
      </c>
      <c r="BM311" s="45"/>
      <c r="BN311" s="45"/>
      <c r="BO311" s="46"/>
      <c r="BP311" s="2"/>
      <c r="BQ311" s="3"/>
    </row>
    <row r="312" ht="15.75" customHeight="1">
      <c r="A312" s="34">
        <v>313.0</v>
      </c>
      <c r="B312" s="34">
        <v>104172.0</v>
      </c>
      <c r="C312" s="34" t="s">
        <v>76</v>
      </c>
      <c r="D312" s="34" t="s">
        <v>792</v>
      </c>
      <c r="E312" s="34" t="s">
        <v>793</v>
      </c>
      <c r="F312" s="34">
        <v>2021.0</v>
      </c>
      <c r="G312" s="34" t="s">
        <v>794</v>
      </c>
      <c r="H312" s="34" t="s">
        <v>795</v>
      </c>
      <c r="I312" s="34" t="s">
        <v>803</v>
      </c>
      <c r="J312" s="35"/>
      <c r="K312" s="36"/>
      <c r="L312" s="36"/>
      <c r="M312" s="36"/>
      <c r="N312" s="36"/>
      <c r="O312" s="36"/>
      <c r="P312" s="37">
        <v>4.4</v>
      </c>
      <c r="Q312" s="36" t="s">
        <v>96</v>
      </c>
      <c r="R312" s="36" t="s">
        <v>96</v>
      </c>
      <c r="S312" s="36">
        <v>500.0</v>
      </c>
      <c r="T312" s="36" t="s">
        <v>167</v>
      </c>
      <c r="U312" s="36" t="s">
        <v>168</v>
      </c>
      <c r="V312" s="36">
        <v>805.0</v>
      </c>
      <c r="W312" s="36"/>
      <c r="X312" s="38">
        <v>1.0</v>
      </c>
      <c r="Y312" s="53" t="s">
        <v>256</v>
      </c>
      <c r="Z312" s="38" t="s">
        <v>257</v>
      </c>
      <c r="AA312" s="38" t="s">
        <v>86</v>
      </c>
      <c r="AB312" s="38" t="s">
        <v>258</v>
      </c>
      <c r="AC312" s="38" t="s">
        <v>259</v>
      </c>
      <c r="AD312" s="53" t="s">
        <v>198</v>
      </c>
      <c r="AE312" s="53"/>
      <c r="AF312" s="38" t="s">
        <v>797</v>
      </c>
      <c r="AG312" s="57"/>
      <c r="AH312" s="38">
        <v>10.0</v>
      </c>
      <c r="AI312" s="50">
        <v>38.875</v>
      </c>
      <c r="AJ312" s="50">
        <v>100.375</v>
      </c>
      <c r="AK312" s="41" t="s">
        <v>86</v>
      </c>
      <c r="AL312" s="40" t="s">
        <v>86</v>
      </c>
      <c r="AM312" s="49">
        <v>1554.0</v>
      </c>
      <c r="AN312" s="51">
        <v>1554.0</v>
      </c>
      <c r="AO312" s="42" t="s">
        <v>261</v>
      </c>
      <c r="AP312" s="43" t="s">
        <v>261</v>
      </c>
      <c r="AQ312" s="44" t="str">
        <f t="shared" si="33"/>
        <v>CRO</v>
      </c>
      <c r="AR312" s="44">
        <f t="shared" si="3"/>
        <v>1554</v>
      </c>
      <c r="AS312" s="44" t="str">
        <f t="shared" si="35"/>
        <v>B</v>
      </c>
      <c r="AT312" s="44" t="str">
        <f t="shared" si="17"/>
        <v>BW</v>
      </c>
      <c r="AU312" s="44" t="str">
        <f t="shared" si="2"/>
        <v>BWk</v>
      </c>
      <c r="AV312" s="38">
        <v>3.0</v>
      </c>
      <c r="AW312" s="38"/>
      <c r="AX312" s="38"/>
      <c r="AY312" s="38"/>
      <c r="AZ312" s="29">
        <v>500.0</v>
      </c>
      <c r="BA312" s="29"/>
      <c r="BB312" s="29">
        <v>1.0</v>
      </c>
      <c r="BC312" s="29" t="s">
        <v>801</v>
      </c>
      <c r="BD312" s="29" t="s">
        <v>88</v>
      </c>
      <c r="BE312" s="29"/>
      <c r="BF312" s="29" t="s">
        <v>802</v>
      </c>
      <c r="BG312" s="29" t="s">
        <v>572</v>
      </c>
      <c r="BH312" s="29"/>
      <c r="BI312" s="29" t="s">
        <v>799</v>
      </c>
      <c r="BJ312" s="29"/>
      <c r="BK312" s="29"/>
      <c r="BL312" s="29"/>
      <c r="BM312" s="45"/>
      <c r="BN312" s="45"/>
      <c r="BO312" s="46"/>
      <c r="BP312" s="2"/>
      <c r="BQ312" s="3"/>
    </row>
    <row r="313" ht="15.75" customHeight="1">
      <c r="A313" s="34">
        <v>314.0</v>
      </c>
      <c r="B313" s="34">
        <v>104172.0</v>
      </c>
      <c r="C313" s="34" t="s">
        <v>76</v>
      </c>
      <c r="D313" s="34" t="s">
        <v>792</v>
      </c>
      <c r="E313" s="34" t="s">
        <v>793</v>
      </c>
      <c r="F313" s="34">
        <v>2021.0</v>
      </c>
      <c r="G313" s="34" t="s">
        <v>794</v>
      </c>
      <c r="H313" s="34" t="s">
        <v>795</v>
      </c>
      <c r="I313" s="34" t="s">
        <v>803</v>
      </c>
      <c r="J313" s="35"/>
      <c r="K313" s="36"/>
      <c r="L313" s="36"/>
      <c r="M313" s="36"/>
      <c r="N313" s="36"/>
      <c r="O313" s="36"/>
      <c r="P313" s="37">
        <v>-6.5</v>
      </c>
      <c r="Q313" s="36" t="s">
        <v>96</v>
      </c>
      <c r="R313" s="36" t="s">
        <v>96</v>
      </c>
      <c r="S313" s="36">
        <v>500.0</v>
      </c>
      <c r="T313" s="36" t="s">
        <v>167</v>
      </c>
      <c r="U313" s="36" t="s">
        <v>168</v>
      </c>
      <c r="V313" s="36">
        <v>656.0</v>
      </c>
      <c r="W313" s="36"/>
      <c r="X313" s="38">
        <v>1.0</v>
      </c>
      <c r="Y313" s="53" t="s">
        <v>256</v>
      </c>
      <c r="Z313" s="38" t="s">
        <v>257</v>
      </c>
      <c r="AA313" s="38" t="s">
        <v>86</v>
      </c>
      <c r="AB313" s="38" t="s">
        <v>258</v>
      </c>
      <c r="AC313" s="38" t="s">
        <v>259</v>
      </c>
      <c r="AD313" s="53" t="s">
        <v>198</v>
      </c>
      <c r="AE313" s="53"/>
      <c r="AF313" s="38" t="s">
        <v>797</v>
      </c>
      <c r="AG313" s="57"/>
      <c r="AH313" s="38">
        <v>10.0</v>
      </c>
      <c r="AI313" s="50">
        <v>38.875</v>
      </c>
      <c r="AJ313" s="50">
        <v>100.375</v>
      </c>
      <c r="AK313" s="41" t="s">
        <v>86</v>
      </c>
      <c r="AL313" s="40" t="s">
        <v>86</v>
      </c>
      <c r="AM313" s="49">
        <v>1554.0</v>
      </c>
      <c r="AN313" s="51">
        <v>1554.0</v>
      </c>
      <c r="AO313" s="42" t="s">
        <v>261</v>
      </c>
      <c r="AP313" s="43" t="s">
        <v>261</v>
      </c>
      <c r="AQ313" s="44" t="str">
        <f t="shared" si="33"/>
        <v>CRO</v>
      </c>
      <c r="AR313" s="44">
        <f t="shared" si="3"/>
        <v>1554</v>
      </c>
      <c r="AS313" s="44" t="str">
        <f t="shared" si="35"/>
        <v>B</v>
      </c>
      <c r="AT313" s="44" t="str">
        <f t="shared" si="17"/>
        <v>BW</v>
      </c>
      <c r="AU313" s="44" t="str">
        <f t="shared" si="2"/>
        <v>BWk</v>
      </c>
      <c r="AV313" s="38">
        <v>3.0</v>
      </c>
      <c r="AW313" s="38"/>
      <c r="AX313" s="38"/>
      <c r="AY313" s="38"/>
      <c r="AZ313" s="29">
        <v>500.0</v>
      </c>
      <c r="BA313" s="29"/>
      <c r="BB313" s="29">
        <v>1.0</v>
      </c>
      <c r="BC313" s="29" t="s">
        <v>801</v>
      </c>
      <c r="BD313" s="29" t="s">
        <v>88</v>
      </c>
      <c r="BE313" s="29"/>
      <c r="BF313" s="29" t="s">
        <v>801</v>
      </c>
      <c r="BG313" s="29" t="s">
        <v>572</v>
      </c>
      <c r="BH313" s="29"/>
      <c r="BI313" s="76" t="s">
        <v>799</v>
      </c>
      <c r="BJ313" s="29"/>
      <c r="BK313" s="29"/>
      <c r="BL313" s="29"/>
      <c r="BM313" s="45"/>
      <c r="BN313" s="45"/>
      <c r="BO313" s="46"/>
      <c r="BP313" s="2"/>
      <c r="BQ313" s="3"/>
    </row>
    <row r="314" ht="15.75" customHeight="1">
      <c r="A314" s="34">
        <v>315.0</v>
      </c>
      <c r="B314" s="34">
        <v>103258.0</v>
      </c>
      <c r="C314" s="34" t="s">
        <v>415</v>
      </c>
      <c r="D314" s="34" t="s">
        <v>813</v>
      </c>
      <c r="E314" s="34" t="s">
        <v>814</v>
      </c>
      <c r="F314" s="34">
        <v>2018.0</v>
      </c>
      <c r="G314" s="34" t="s">
        <v>815</v>
      </c>
      <c r="H314" s="34" t="s">
        <v>816</v>
      </c>
      <c r="I314" s="34" t="s">
        <v>817</v>
      </c>
      <c r="J314" s="35"/>
      <c r="K314" s="36"/>
      <c r="L314" s="36">
        <v>-0.42</v>
      </c>
      <c r="M314" s="36"/>
      <c r="N314" s="36"/>
      <c r="O314" s="36"/>
      <c r="P314" s="37">
        <v>-22.1</v>
      </c>
      <c r="Q314" s="36" t="s">
        <v>96</v>
      </c>
      <c r="R314" s="36" t="s">
        <v>96</v>
      </c>
      <c r="S314" s="36">
        <v>1000.0</v>
      </c>
      <c r="T314" s="36" t="s">
        <v>818</v>
      </c>
      <c r="U314" s="36" t="s">
        <v>168</v>
      </c>
      <c r="V314" s="36">
        <v>365.0</v>
      </c>
      <c r="W314" s="36"/>
      <c r="X314" s="38">
        <v>1.0</v>
      </c>
      <c r="Y314" s="38" t="s">
        <v>819</v>
      </c>
      <c r="Z314" s="38" t="s">
        <v>820</v>
      </c>
      <c r="AA314" s="38" t="s">
        <v>86</v>
      </c>
      <c r="AB314" s="38" t="s">
        <v>821</v>
      </c>
      <c r="AC314" s="38" t="s">
        <v>822</v>
      </c>
      <c r="AD314" s="53" t="s">
        <v>198</v>
      </c>
      <c r="AE314" s="53"/>
      <c r="AF314" s="38" t="s">
        <v>823</v>
      </c>
      <c r="AG314" s="38"/>
      <c r="AH314" s="38"/>
      <c r="AI314" s="50">
        <v>36.515</v>
      </c>
      <c r="AJ314" s="50">
        <v>115.126</v>
      </c>
      <c r="AK314" s="41" t="s">
        <v>86</v>
      </c>
      <c r="AL314" s="40" t="s">
        <v>86</v>
      </c>
      <c r="AM314" s="49">
        <v>42.0</v>
      </c>
      <c r="AN314" s="51">
        <v>42.0</v>
      </c>
      <c r="AO314" s="42" t="s">
        <v>293</v>
      </c>
      <c r="AP314" s="43" t="s">
        <v>293</v>
      </c>
      <c r="AQ314" s="44" t="str">
        <f t="shared" si="33"/>
        <v>CRO</v>
      </c>
      <c r="AR314" s="44">
        <f t="shared" si="3"/>
        <v>42</v>
      </c>
      <c r="AS314" s="44" t="str">
        <f t="shared" si="35"/>
        <v>B</v>
      </c>
      <c r="AT314" s="44" t="str">
        <f t="shared" si="17"/>
        <v>BS</v>
      </c>
      <c r="AU314" s="44" t="str">
        <f t="shared" si="2"/>
        <v>BSk</v>
      </c>
      <c r="AV314" s="38"/>
      <c r="AW314" s="38"/>
      <c r="AX314" s="38"/>
      <c r="AY314" s="38"/>
      <c r="AZ314" s="29">
        <v>1000.0</v>
      </c>
      <c r="BA314" s="29"/>
      <c r="BB314" s="29">
        <v>1.0</v>
      </c>
      <c r="BC314" s="29" t="s">
        <v>824</v>
      </c>
      <c r="BD314" s="29" t="s">
        <v>88</v>
      </c>
      <c r="BE314" s="29" t="s">
        <v>89</v>
      </c>
      <c r="BF314" s="29" t="s">
        <v>824</v>
      </c>
      <c r="BG314" s="29" t="s">
        <v>220</v>
      </c>
      <c r="BH314" s="29" t="s">
        <v>92</v>
      </c>
      <c r="BI314" s="29" t="s">
        <v>825</v>
      </c>
      <c r="BJ314" s="29"/>
      <c r="BK314" s="29" t="s">
        <v>148</v>
      </c>
      <c r="BL314" s="29" t="s">
        <v>148</v>
      </c>
      <c r="BM314" s="45">
        <v>1.0</v>
      </c>
      <c r="BN314" s="45">
        <v>1.0</v>
      </c>
      <c r="BO314" s="46" t="s">
        <v>826</v>
      </c>
      <c r="BP314" s="2"/>
      <c r="BQ314" s="3"/>
    </row>
    <row r="315" ht="15.75" customHeight="1">
      <c r="A315" s="34">
        <v>316.0</v>
      </c>
      <c r="B315" s="34">
        <v>103258.0</v>
      </c>
      <c r="C315" s="34" t="s">
        <v>415</v>
      </c>
      <c r="D315" s="34" t="s">
        <v>813</v>
      </c>
      <c r="E315" s="34" t="s">
        <v>814</v>
      </c>
      <c r="F315" s="34">
        <v>2018.0</v>
      </c>
      <c r="G315" s="34" t="s">
        <v>815</v>
      </c>
      <c r="H315" s="34" t="s">
        <v>816</v>
      </c>
      <c r="I315" s="34" t="s">
        <v>817</v>
      </c>
      <c r="J315" s="35"/>
      <c r="K315" s="36"/>
      <c r="L315" s="36">
        <v>-0.07</v>
      </c>
      <c r="M315" s="36"/>
      <c r="N315" s="36"/>
      <c r="O315" s="36"/>
      <c r="P315" s="52">
        <v>-4.2</v>
      </c>
      <c r="Q315" s="36" t="s">
        <v>96</v>
      </c>
      <c r="R315" s="36" t="s">
        <v>96</v>
      </c>
      <c r="S315" s="36">
        <v>1000.0</v>
      </c>
      <c r="T315" s="36" t="s">
        <v>818</v>
      </c>
      <c r="U315" s="36" t="s">
        <v>168</v>
      </c>
      <c r="V315" s="36">
        <v>365.0</v>
      </c>
      <c r="W315" s="36"/>
      <c r="X315" s="38">
        <v>1.0</v>
      </c>
      <c r="Y315" s="38" t="s">
        <v>827</v>
      </c>
      <c r="Z315" s="38" t="s">
        <v>828</v>
      </c>
      <c r="AA315" s="38" t="s">
        <v>86</v>
      </c>
      <c r="AB315" s="38" t="s">
        <v>829</v>
      </c>
      <c r="AC315" s="38" t="s">
        <v>830</v>
      </c>
      <c r="AD315" s="53" t="s">
        <v>198</v>
      </c>
      <c r="AE315" s="38"/>
      <c r="AF315" s="38" t="s">
        <v>831</v>
      </c>
      <c r="AG315" s="38"/>
      <c r="AH315" s="38"/>
      <c r="AI315" s="50">
        <v>40.63</v>
      </c>
      <c r="AJ315" s="50">
        <v>117.32</v>
      </c>
      <c r="AK315" s="41" t="s">
        <v>288</v>
      </c>
      <c r="AL315" s="40" t="s">
        <v>288</v>
      </c>
      <c r="AM315" s="49">
        <v>364.0</v>
      </c>
      <c r="AN315" s="51">
        <v>364.0</v>
      </c>
      <c r="AO315" s="42" t="s">
        <v>218</v>
      </c>
      <c r="AP315" s="43" t="s">
        <v>218</v>
      </c>
      <c r="AQ315" s="44" t="str">
        <f t="shared" si="33"/>
        <v>CRO</v>
      </c>
      <c r="AR315" s="44">
        <f t="shared" si="3"/>
        <v>364</v>
      </c>
      <c r="AS315" s="44" t="str">
        <f t="shared" si="35"/>
        <v>D</v>
      </c>
      <c r="AT315" s="44" t="str">
        <f t="shared" si="17"/>
        <v>Dw</v>
      </c>
      <c r="AU315" s="44" t="str">
        <f t="shared" si="2"/>
        <v>Dwa</v>
      </c>
      <c r="AV315" s="38"/>
      <c r="AW315" s="38"/>
      <c r="AX315" s="38"/>
      <c r="AY315" s="38"/>
      <c r="AZ315" s="29">
        <v>1000.0</v>
      </c>
      <c r="BA315" s="29"/>
      <c r="BB315" s="29">
        <v>1.0</v>
      </c>
      <c r="BC315" s="29" t="s">
        <v>824</v>
      </c>
      <c r="BD315" s="29" t="s">
        <v>88</v>
      </c>
      <c r="BE315" s="29" t="s">
        <v>89</v>
      </c>
      <c r="BF315" s="29" t="s">
        <v>824</v>
      </c>
      <c r="BG315" s="29" t="s">
        <v>220</v>
      </c>
      <c r="BH315" s="29" t="s">
        <v>92</v>
      </c>
      <c r="BI315" s="29" t="s">
        <v>825</v>
      </c>
      <c r="BJ315" s="29"/>
      <c r="BK315" s="29" t="s">
        <v>148</v>
      </c>
      <c r="BL315" s="29" t="s">
        <v>148</v>
      </c>
      <c r="BM315" s="45"/>
      <c r="BN315" s="45"/>
      <c r="BO315" s="46"/>
      <c r="BP315" s="2"/>
      <c r="BQ315" s="3"/>
    </row>
    <row r="316" ht="15.75" customHeight="1">
      <c r="A316" s="34">
        <v>317.0</v>
      </c>
      <c r="B316" s="34">
        <v>103258.0</v>
      </c>
      <c r="C316" s="34" t="s">
        <v>415</v>
      </c>
      <c r="D316" s="34" t="s">
        <v>813</v>
      </c>
      <c r="E316" s="34" t="s">
        <v>814</v>
      </c>
      <c r="F316" s="34">
        <v>2018.0</v>
      </c>
      <c r="G316" s="34" t="s">
        <v>815</v>
      </c>
      <c r="H316" s="34" t="s">
        <v>816</v>
      </c>
      <c r="I316" s="34" t="s">
        <v>817</v>
      </c>
      <c r="J316" s="35"/>
      <c r="K316" s="36"/>
      <c r="L316" s="36">
        <v>-0.38</v>
      </c>
      <c r="M316" s="36"/>
      <c r="N316" s="36"/>
      <c r="O316" s="36"/>
      <c r="P316" s="52">
        <v>-22.5</v>
      </c>
      <c r="Q316" s="36" t="s">
        <v>96</v>
      </c>
      <c r="R316" s="36" t="s">
        <v>191</v>
      </c>
      <c r="S316" s="36">
        <v>1000.0</v>
      </c>
      <c r="T316" s="36" t="s">
        <v>818</v>
      </c>
      <c r="U316" s="36" t="s">
        <v>168</v>
      </c>
      <c r="V316" s="36">
        <v>12.0</v>
      </c>
      <c r="W316" s="36"/>
      <c r="X316" s="38">
        <v>1.0</v>
      </c>
      <c r="Y316" s="38" t="s">
        <v>819</v>
      </c>
      <c r="Z316" s="38" t="s">
        <v>820</v>
      </c>
      <c r="AA316" s="38" t="s">
        <v>86</v>
      </c>
      <c r="AB316" s="38" t="s">
        <v>821</v>
      </c>
      <c r="AC316" s="38" t="s">
        <v>822</v>
      </c>
      <c r="AD316" s="53" t="s">
        <v>198</v>
      </c>
      <c r="AE316" s="53"/>
      <c r="AF316" s="38" t="s">
        <v>823</v>
      </c>
      <c r="AG316" s="38"/>
      <c r="AH316" s="38"/>
      <c r="AI316" s="50">
        <v>36.515</v>
      </c>
      <c r="AJ316" s="50">
        <v>115.126</v>
      </c>
      <c r="AK316" s="41" t="s">
        <v>86</v>
      </c>
      <c r="AL316" s="40" t="s">
        <v>86</v>
      </c>
      <c r="AM316" s="49">
        <v>42.0</v>
      </c>
      <c r="AN316" s="51">
        <v>42.0</v>
      </c>
      <c r="AO316" s="42" t="s">
        <v>293</v>
      </c>
      <c r="AP316" s="43" t="s">
        <v>293</v>
      </c>
      <c r="AQ316" s="44" t="str">
        <f t="shared" si="33"/>
        <v>CRO</v>
      </c>
      <c r="AR316" s="44">
        <f t="shared" si="3"/>
        <v>42</v>
      </c>
      <c r="AS316" s="44" t="str">
        <f t="shared" si="35"/>
        <v>B</v>
      </c>
      <c r="AT316" s="44" t="str">
        <f t="shared" si="17"/>
        <v>BS</v>
      </c>
      <c r="AU316" s="44" t="str">
        <f t="shared" si="2"/>
        <v>BSk</v>
      </c>
      <c r="AV316" s="38"/>
      <c r="AW316" s="38"/>
      <c r="AX316" s="38"/>
      <c r="AY316" s="38"/>
      <c r="AZ316" s="29">
        <v>1000.0</v>
      </c>
      <c r="BA316" s="29"/>
      <c r="BB316" s="29">
        <v>1.0</v>
      </c>
      <c r="BC316" s="29" t="s">
        <v>824</v>
      </c>
      <c r="BD316" s="29" t="s">
        <v>88</v>
      </c>
      <c r="BE316" s="29" t="s">
        <v>89</v>
      </c>
      <c r="BF316" s="29" t="s">
        <v>824</v>
      </c>
      <c r="BG316" s="29" t="s">
        <v>220</v>
      </c>
      <c r="BH316" s="29" t="s">
        <v>92</v>
      </c>
      <c r="BI316" s="29" t="s">
        <v>825</v>
      </c>
      <c r="BJ316" s="29"/>
      <c r="BK316" s="29" t="s">
        <v>148</v>
      </c>
      <c r="BL316" s="29" t="s">
        <v>148</v>
      </c>
      <c r="BM316" s="45"/>
      <c r="BN316" s="45"/>
      <c r="BO316" s="46"/>
      <c r="BP316" s="2"/>
      <c r="BQ316" s="3"/>
    </row>
    <row r="317" ht="15.75" customHeight="1">
      <c r="A317" s="34">
        <v>318.0</v>
      </c>
      <c r="B317" s="34">
        <v>103258.0</v>
      </c>
      <c r="C317" s="34" t="s">
        <v>415</v>
      </c>
      <c r="D317" s="34" t="s">
        <v>813</v>
      </c>
      <c r="E317" s="34" t="s">
        <v>814</v>
      </c>
      <c r="F317" s="34">
        <v>2018.0</v>
      </c>
      <c r="G317" s="34" t="s">
        <v>815</v>
      </c>
      <c r="H317" s="34" t="s">
        <v>816</v>
      </c>
      <c r="I317" s="34" t="s">
        <v>817</v>
      </c>
      <c r="J317" s="35"/>
      <c r="K317" s="36"/>
      <c r="L317" s="36">
        <v>-0.06</v>
      </c>
      <c r="M317" s="36"/>
      <c r="N317" s="36"/>
      <c r="O317" s="36"/>
      <c r="P317" s="52">
        <v>-3.1</v>
      </c>
      <c r="Q317" s="36" t="s">
        <v>96</v>
      </c>
      <c r="R317" s="36" t="s">
        <v>191</v>
      </c>
      <c r="S317" s="36">
        <v>1000.0</v>
      </c>
      <c r="T317" s="36" t="s">
        <v>818</v>
      </c>
      <c r="U317" s="36" t="s">
        <v>168</v>
      </c>
      <c r="V317" s="36">
        <v>12.0</v>
      </c>
      <c r="W317" s="36"/>
      <c r="X317" s="38">
        <v>1.0</v>
      </c>
      <c r="Y317" s="38" t="s">
        <v>827</v>
      </c>
      <c r="Z317" s="38" t="s">
        <v>828</v>
      </c>
      <c r="AA317" s="38" t="s">
        <v>86</v>
      </c>
      <c r="AB317" s="38" t="s">
        <v>829</v>
      </c>
      <c r="AC317" s="38" t="s">
        <v>830</v>
      </c>
      <c r="AD317" s="53" t="s">
        <v>198</v>
      </c>
      <c r="AE317" s="38"/>
      <c r="AF317" s="38" t="s">
        <v>831</v>
      </c>
      <c r="AG317" s="38"/>
      <c r="AH317" s="38"/>
      <c r="AI317" s="50">
        <v>40.63</v>
      </c>
      <c r="AJ317" s="50">
        <v>117.32</v>
      </c>
      <c r="AK317" s="41" t="s">
        <v>288</v>
      </c>
      <c r="AL317" s="40" t="s">
        <v>288</v>
      </c>
      <c r="AM317" s="49">
        <v>364.0</v>
      </c>
      <c r="AN317" s="51">
        <v>364.0</v>
      </c>
      <c r="AO317" s="42" t="s">
        <v>218</v>
      </c>
      <c r="AP317" s="43" t="s">
        <v>218</v>
      </c>
      <c r="AQ317" s="44" t="str">
        <f t="shared" si="33"/>
        <v>CRO</v>
      </c>
      <c r="AR317" s="44">
        <f t="shared" si="3"/>
        <v>364</v>
      </c>
      <c r="AS317" s="44" t="str">
        <f t="shared" si="35"/>
        <v>D</v>
      </c>
      <c r="AT317" s="44" t="str">
        <f t="shared" si="17"/>
        <v>Dw</v>
      </c>
      <c r="AU317" s="44" t="str">
        <f t="shared" si="2"/>
        <v>Dwa</v>
      </c>
      <c r="AV317" s="38"/>
      <c r="AW317" s="38"/>
      <c r="AX317" s="38"/>
      <c r="AY317" s="38"/>
      <c r="AZ317" s="29">
        <v>1000.0</v>
      </c>
      <c r="BA317" s="29"/>
      <c r="BB317" s="29">
        <v>1.0</v>
      </c>
      <c r="BC317" s="29" t="s">
        <v>824</v>
      </c>
      <c r="BD317" s="29" t="s">
        <v>88</v>
      </c>
      <c r="BE317" s="29" t="s">
        <v>89</v>
      </c>
      <c r="BF317" s="29" t="s">
        <v>824</v>
      </c>
      <c r="BG317" s="29" t="s">
        <v>220</v>
      </c>
      <c r="BH317" s="29" t="s">
        <v>92</v>
      </c>
      <c r="BI317" s="29" t="s">
        <v>825</v>
      </c>
      <c r="BJ317" s="29"/>
      <c r="BK317" s="29" t="s">
        <v>148</v>
      </c>
      <c r="BL317" s="29" t="s">
        <v>148</v>
      </c>
      <c r="BM317" s="45"/>
      <c r="BN317" s="45"/>
      <c r="BO317" s="46"/>
      <c r="BP317" s="2"/>
      <c r="BQ317" s="3"/>
    </row>
    <row r="318" ht="15.75" customHeight="1">
      <c r="A318" s="34">
        <v>319.0</v>
      </c>
      <c r="B318" s="34">
        <v>103258.0</v>
      </c>
      <c r="C318" s="34" t="s">
        <v>415</v>
      </c>
      <c r="D318" s="34" t="s">
        <v>813</v>
      </c>
      <c r="E318" s="34" t="s">
        <v>814</v>
      </c>
      <c r="F318" s="34">
        <v>2018.0</v>
      </c>
      <c r="G318" s="34" t="s">
        <v>815</v>
      </c>
      <c r="H318" s="34" t="s">
        <v>816</v>
      </c>
      <c r="I318" s="34" t="s">
        <v>817</v>
      </c>
      <c r="J318" s="35"/>
      <c r="K318" s="36"/>
      <c r="L318" s="36">
        <v>-0.26</v>
      </c>
      <c r="M318" s="36"/>
      <c r="N318" s="36"/>
      <c r="O318" s="36"/>
      <c r="P318" s="52">
        <v>-12.5</v>
      </c>
      <c r="Q318" s="36" t="s">
        <v>96</v>
      </c>
      <c r="R318" s="36" t="s">
        <v>96</v>
      </c>
      <c r="S318" s="36">
        <v>1000.0</v>
      </c>
      <c r="T318" s="36" t="s">
        <v>818</v>
      </c>
      <c r="U318" s="36" t="s">
        <v>168</v>
      </c>
      <c r="V318" s="36">
        <v>365.0</v>
      </c>
      <c r="W318" s="36"/>
      <c r="X318" s="38">
        <v>1.0</v>
      </c>
      <c r="Y318" s="38" t="s">
        <v>819</v>
      </c>
      <c r="Z318" s="38" t="s">
        <v>820</v>
      </c>
      <c r="AA318" s="38" t="s">
        <v>86</v>
      </c>
      <c r="AB318" s="38" t="s">
        <v>821</v>
      </c>
      <c r="AC318" s="38" t="s">
        <v>822</v>
      </c>
      <c r="AD318" s="53" t="s">
        <v>198</v>
      </c>
      <c r="AE318" s="53"/>
      <c r="AF318" s="38" t="s">
        <v>823</v>
      </c>
      <c r="AG318" s="38"/>
      <c r="AH318" s="38"/>
      <c r="AI318" s="50">
        <v>36.515</v>
      </c>
      <c r="AJ318" s="50">
        <v>115.126</v>
      </c>
      <c r="AK318" s="41" t="s">
        <v>86</v>
      </c>
      <c r="AL318" s="40" t="s">
        <v>86</v>
      </c>
      <c r="AM318" s="49">
        <v>42.0</v>
      </c>
      <c r="AN318" s="51">
        <v>42.0</v>
      </c>
      <c r="AO318" s="42" t="s">
        <v>293</v>
      </c>
      <c r="AP318" s="43" t="s">
        <v>293</v>
      </c>
      <c r="AQ318" s="44" t="str">
        <f t="shared" si="33"/>
        <v>CRO</v>
      </c>
      <c r="AR318" s="44">
        <f t="shared" si="3"/>
        <v>42</v>
      </c>
      <c r="AS318" s="44" t="str">
        <f t="shared" si="35"/>
        <v>B</v>
      </c>
      <c r="AT318" s="44" t="str">
        <f t="shared" si="17"/>
        <v>BS</v>
      </c>
      <c r="AU318" s="44" t="str">
        <f t="shared" si="2"/>
        <v>BSk</v>
      </c>
      <c r="AV318" s="38"/>
      <c r="AW318" s="38"/>
      <c r="AX318" s="38"/>
      <c r="AY318" s="38"/>
      <c r="AZ318" s="29">
        <v>1000.0</v>
      </c>
      <c r="BA318" s="29"/>
      <c r="BB318" s="29">
        <v>1.0</v>
      </c>
      <c r="BC318" s="29" t="s">
        <v>824</v>
      </c>
      <c r="BD318" s="29" t="s">
        <v>88</v>
      </c>
      <c r="BE318" s="29" t="s">
        <v>263</v>
      </c>
      <c r="BF318" s="29" t="s">
        <v>824</v>
      </c>
      <c r="BG318" s="29" t="s">
        <v>220</v>
      </c>
      <c r="BH318" s="29" t="s">
        <v>92</v>
      </c>
      <c r="BI318" s="29" t="s">
        <v>825</v>
      </c>
      <c r="BJ318" s="29"/>
      <c r="BK318" s="29" t="s">
        <v>148</v>
      </c>
      <c r="BL318" s="29" t="s">
        <v>148</v>
      </c>
      <c r="BM318" s="45"/>
      <c r="BN318" s="45"/>
      <c r="BO318" s="46"/>
      <c r="BP318" s="2"/>
      <c r="BQ318" s="3"/>
    </row>
    <row r="319" ht="15.75" customHeight="1">
      <c r="A319" s="34">
        <v>320.0</v>
      </c>
      <c r="B319" s="34">
        <v>103258.0</v>
      </c>
      <c r="C319" s="34" t="s">
        <v>415</v>
      </c>
      <c r="D319" s="34" t="s">
        <v>813</v>
      </c>
      <c r="E319" s="34" t="s">
        <v>814</v>
      </c>
      <c r="F319" s="34">
        <v>2018.0</v>
      </c>
      <c r="G319" s="34" t="s">
        <v>815</v>
      </c>
      <c r="H319" s="34" t="s">
        <v>816</v>
      </c>
      <c r="I319" s="34" t="s">
        <v>817</v>
      </c>
      <c r="J319" s="35"/>
      <c r="K319" s="36"/>
      <c r="L319" s="36">
        <v>-0.05</v>
      </c>
      <c r="M319" s="36"/>
      <c r="N319" s="36"/>
      <c r="O319" s="36"/>
      <c r="P319" s="52">
        <v>-3.3</v>
      </c>
      <c r="Q319" s="36" t="s">
        <v>96</v>
      </c>
      <c r="R319" s="36" t="s">
        <v>96</v>
      </c>
      <c r="S319" s="36">
        <v>1000.0</v>
      </c>
      <c r="T319" s="36" t="s">
        <v>818</v>
      </c>
      <c r="U319" s="36" t="s">
        <v>168</v>
      </c>
      <c r="V319" s="36">
        <v>365.0</v>
      </c>
      <c r="W319" s="36"/>
      <c r="X319" s="38">
        <v>1.0</v>
      </c>
      <c r="Y319" s="38" t="s">
        <v>827</v>
      </c>
      <c r="Z319" s="38" t="s">
        <v>828</v>
      </c>
      <c r="AA319" s="38" t="s">
        <v>86</v>
      </c>
      <c r="AB319" s="38" t="s">
        <v>829</v>
      </c>
      <c r="AC319" s="38" t="s">
        <v>830</v>
      </c>
      <c r="AD319" s="53" t="s">
        <v>198</v>
      </c>
      <c r="AE319" s="38"/>
      <c r="AF319" s="38" t="s">
        <v>831</v>
      </c>
      <c r="AG319" s="38"/>
      <c r="AH319" s="38"/>
      <c r="AI319" s="50">
        <v>40.63</v>
      </c>
      <c r="AJ319" s="50">
        <v>117.32</v>
      </c>
      <c r="AK319" s="41" t="s">
        <v>288</v>
      </c>
      <c r="AL319" s="40" t="s">
        <v>288</v>
      </c>
      <c r="AM319" s="49">
        <v>364.0</v>
      </c>
      <c r="AN319" s="51">
        <v>364.0</v>
      </c>
      <c r="AO319" s="42" t="s">
        <v>218</v>
      </c>
      <c r="AP319" s="43" t="s">
        <v>218</v>
      </c>
      <c r="AQ319" s="44" t="str">
        <f t="shared" si="33"/>
        <v>CRO</v>
      </c>
      <c r="AR319" s="44">
        <f t="shared" si="3"/>
        <v>364</v>
      </c>
      <c r="AS319" s="44" t="str">
        <f t="shared" si="35"/>
        <v>D</v>
      </c>
      <c r="AT319" s="44" t="str">
        <f t="shared" si="17"/>
        <v>Dw</v>
      </c>
      <c r="AU319" s="44" t="str">
        <f t="shared" si="2"/>
        <v>Dwa</v>
      </c>
      <c r="AV319" s="38"/>
      <c r="AW319" s="38"/>
      <c r="AX319" s="38"/>
      <c r="AY319" s="38"/>
      <c r="AZ319" s="29">
        <v>1000.0</v>
      </c>
      <c r="BA319" s="29"/>
      <c r="BB319" s="29">
        <v>1.0</v>
      </c>
      <c r="BC319" s="29" t="s">
        <v>824</v>
      </c>
      <c r="BD319" s="29" t="s">
        <v>88</v>
      </c>
      <c r="BE319" s="29" t="s">
        <v>263</v>
      </c>
      <c r="BF319" s="29" t="s">
        <v>824</v>
      </c>
      <c r="BG319" s="29" t="s">
        <v>220</v>
      </c>
      <c r="BH319" s="29" t="s">
        <v>92</v>
      </c>
      <c r="BI319" s="29" t="s">
        <v>825</v>
      </c>
      <c r="BJ319" s="29"/>
      <c r="BK319" s="29" t="s">
        <v>148</v>
      </c>
      <c r="BL319" s="29" t="s">
        <v>148</v>
      </c>
      <c r="BM319" s="45"/>
      <c r="BN319" s="45"/>
      <c r="BO319" s="46"/>
      <c r="BP319" s="2"/>
      <c r="BQ319" s="3"/>
    </row>
    <row r="320" ht="15.75" customHeight="1">
      <c r="A320" s="34">
        <v>321.0</v>
      </c>
      <c r="B320" s="34">
        <v>103258.0</v>
      </c>
      <c r="C320" s="34" t="s">
        <v>415</v>
      </c>
      <c r="D320" s="34" t="s">
        <v>813</v>
      </c>
      <c r="E320" s="34" t="s">
        <v>814</v>
      </c>
      <c r="F320" s="34">
        <v>2018.0</v>
      </c>
      <c r="G320" s="34" t="s">
        <v>815</v>
      </c>
      <c r="H320" s="34" t="s">
        <v>816</v>
      </c>
      <c r="I320" s="34" t="s">
        <v>817</v>
      </c>
      <c r="J320" s="35"/>
      <c r="K320" s="36"/>
      <c r="L320" s="36">
        <v>-0.27</v>
      </c>
      <c r="M320" s="36"/>
      <c r="N320" s="36"/>
      <c r="O320" s="36"/>
      <c r="P320" s="52">
        <v>-14.6</v>
      </c>
      <c r="Q320" s="36" t="s">
        <v>96</v>
      </c>
      <c r="R320" s="36" t="s">
        <v>191</v>
      </c>
      <c r="S320" s="36">
        <v>1000.0</v>
      </c>
      <c r="T320" s="36" t="s">
        <v>818</v>
      </c>
      <c r="U320" s="36" t="s">
        <v>168</v>
      </c>
      <c r="V320" s="36">
        <v>12.0</v>
      </c>
      <c r="W320" s="36"/>
      <c r="X320" s="38">
        <v>1.0</v>
      </c>
      <c r="Y320" s="38" t="s">
        <v>819</v>
      </c>
      <c r="Z320" s="38" t="s">
        <v>820</v>
      </c>
      <c r="AA320" s="38" t="s">
        <v>86</v>
      </c>
      <c r="AB320" s="38" t="s">
        <v>821</v>
      </c>
      <c r="AC320" s="38" t="s">
        <v>822</v>
      </c>
      <c r="AD320" s="53" t="s">
        <v>198</v>
      </c>
      <c r="AE320" s="53"/>
      <c r="AF320" s="38" t="s">
        <v>823</v>
      </c>
      <c r="AG320" s="38"/>
      <c r="AH320" s="38"/>
      <c r="AI320" s="50">
        <v>36.515</v>
      </c>
      <c r="AJ320" s="50">
        <v>115.126</v>
      </c>
      <c r="AK320" s="41" t="s">
        <v>86</v>
      </c>
      <c r="AL320" s="40" t="s">
        <v>86</v>
      </c>
      <c r="AM320" s="49">
        <v>42.0</v>
      </c>
      <c r="AN320" s="51">
        <v>42.0</v>
      </c>
      <c r="AO320" s="42" t="s">
        <v>293</v>
      </c>
      <c r="AP320" s="43" t="s">
        <v>293</v>
      </c>
      <c r="AQ320" s="44" t="str">
        <f t="shared" si="33"/>
        <v>CRO</v>
      </c>
      <c r="AR320" s="44">
        <f t="shared" si="3"/>
        <v>42</v>
      </c>
      <c r="AS320" s="44" t="str">
        <f t="shared" si="35"/>
        <v>B</v>
      </c>
      <c r="AT320" s="44" t="str">
        <f t="shared" si="17"/>
        <v>BS</v>
      </c>
      <c r="AU320" s="44" t="str">
        <f t="shared" si="2"/>
        <v>BSk</v>
      </c>
      <c r="AV320" s="38"/>
      <c r="AW320" s="38"/>
      <c r="AX320" s="38"/>
      <c r="AY320" s="38"/>
      <c r="AZ320" s="29">
        <v>1000.0</v>
      </c>
      <c r="BA320" s="29"/>
      <c r="BB320" s="29">
        <v>1.0</v>
      </c>
      <c r="BC320" s="29" t="s">
        <v>824</v>
      </c>
      <c r="BD320" s="29" t="s">
        <v>88</v>
      </c>
      <c r="BE320" s="29" t="s">
        <v>263</v>
      </c>
      <c r="BF320" s="29" t="s">
        <v>824</v>
      </c>
      <c r="BG320" s="29" t="s">
        <v>220</v>
      </c>
      <c r="BH320" s="29" t="s">
        <v>92</v>
      </c>
      <c r="BI320" s="29" t="s">
        <v>825</v>
      </c>
      <c r="BJ320" s="29"/>
      <c r="BK320" s="29" t="s">
        <v>148</v>
      </c>
      <c r="BL320" s="29" t="s">
        <v>148</v>
      </c>
      <c r="BM320" s="45"/>
      <c r="BN320" s="45"/>
      <c r="BO320" s="46"/>
      <c r="BP320" s="2"/>
      <c r="BQ320" s="3"/>
    </row>
    <row r="321" ht="15.75" customHeight="1">
      <c r="A321" s="34">
        <v>322.0</v>
      </c>
      <c r="B321" s="34">
        <v>103258.0</v>
      </c>
      <c r="C321" s="34" t="s">
        <v>415</v>
      </c>
      <c r="D321" s="34" t="s">
        <v>813</v>
      </c>
      <c r="E321" s="34" t="s">
        <v>814</v>
      </c>
      <c r="F321" s="34">
        <v>2018.0</v>
      </c>
      <c r="G321" s="34" t="s">
        <v>815</v>
      </c>
      <c r="H321" s="34" t="s">
        <v>816</v>
      </c>
      <c r="I321" s="34" t="s">
        <v>817</v>
      </c>
      <c r="J321" s="35"/>
      <c r="K321" s="36"/>
      <c r="L321" s="36">
        <v>-0.05</v>
      </c>
      <c r="M321" s="36"/>
      <c r="N321" s="36"/>
      <c r="O321" s="36"/>
      <c r="P321" s="52">
        <v>-2.8</v>
      </c>
      <c r="Q321" s="36" t="s">
        <v>96</v>
      </c>
      <c r="R321" s="36" t="s">
        <v>191</v>
      </c>
      <c r="S321" s="36">
        <v>1000.0</v>
      </c>
      <c r="T321" s="36" t="s">
        <v>818</v>
      </c>
      <c r="U321" s="36" t="s">
        <v>168</v>
      </c>
      <c r="V321" s="36">
        <v>12.0</v>
      </c>
      <c r="W321" s="36"/>
      <c r="X321" s="38">
        <v>1.0</v>
      </c>
      <c r="Y321" s="38" t="s">
        <v>827</v>
      </c>
      <c r="Z321" s="38" t="s">
        <v>828</v>
      </c>
      <c r="AA321" s="38" t="s">
        <v>86</v>
      </c>
      <c r="AB321" s="38" t="s">
        <v>829</v>
      </c>
      <c r="AC321" s="38" t="s">
        <v>830</v>
      </c>
      <c r="AD321" s="53" t="s">
        <v>198</v>
      </c>
      <c r="AE321" s="38"/>
      <c r="AF321" s="38" t="s">
        <v>831</v>
      </c>
      <c r="AG321" s="38"/>
      <c r="AH321" s="38"/>
      <c r="AI321" s="50">
        <v>40.63</v>
      </c>
      <c r="AJ321" s="50">
        <v>117.32</v>
      </c>
      <c r="AK321" s="41" t="s">
        <v>288</v>
      </c>
      <c r="AL321" s="40" t="s">
        <v>288</v>
      </c>
      <c r="AM321" s="49">
        <v>364.0</v>
      </c>
      <c r="AN321" s="51">
        <v>364.0</v>
      </c>
      <c r="AO321" s="42" t="s">
        <v>218</v>
      </c>
      <c r="AP321" s="43" t="s">
        <v>218</v>
      </c>
      <c r="AQ321" s="44" t="str">
        <f t="shared" si="33"/>
        <v>CRO</v>
      </c>
      <c r="AR321" s="44">
        <f t="shared" si="3"/>
        <v>364</v>
      </c>
      <c r="AS321" s="44" t="str">
        <f t="shared" si="35"/>
        <v>D</v>
      </c>
      <c r="AT321" s="44" t="str">
        <f t="shared" si="17"/>
        <v>Dw</v>
      </c>
      <c r="AU321" s="44" t="str">
        <f t="shared" si="2"/>
        <v>Dwa</v>
      </c>
      <c r="AV321" s="38"/>
      <c r="AW321" s="38"/>
      <c r="AX321" s="38"/>
      <c r="AY321" s="38"/>
      <c r="AZ321" s="29">
        <v>1000.0</v>
      </c>
      <c r="BA321" s="29"/>
      <c r="BB321" s="29">
        <v>1.0</v>
      </c>
      <c r="BC321" s="29" t="s">
        <v>824</v>
      </c>
      <c r="BD321" s="29" t="s">
        <v>88</v>
      </c>
      <c r="BE321" s="29" t="s">
        <v>263</v>
      </c>
      <c r="BF321" s="29" t="s">
        <v>824</v>
      </c>
      <c r="BG321" s="29" t="s">
        <v>220</v>
      </c>
      <c r="BH321" s="29" t="s">
        <v>92</v>
      </c>
      <c r="BI321" s="29" t="s">
        <v>825</v>
      </c>
      <c r="BJ321" s="29"/>
      <c r="BK321" s="29" t="s">
        <v>148</v>
      </c>
      <c r="BL321" s="29" t="s">
        <v>148</v>
      </c>
      <c r="BM321" s="45"/>
      <c r="BN321" s="45"/>
      <c r="BO321" s="46"/>
      <c r="BP321" s="2"/>
      <c r="BQ321" s="3"/>
    </row>
    <row r="322" ht="15.75" customHeight="1">
      <c r="A322" s="34">
        <v>323.0</v>
      </c>
      <c r="B322" s="34">
        <v>103196.0</v>
      </c>
      <c r="C322" s="34" t="s">
        <v>832</v>
      </c>
      <c r="D322" s="34" t="s">
        <v>833</v>
      </c>
      <c r="E322" s="34" t="s">
        <v>834</v>
      </c>
      <c r="F322" s="34">
        <v>2018.0</v>
      </c>
      <c r="G322" s="34" t="s">
        <v>835</v>
      </c>
      <c r="H322" s="34" t="s">
        <v>816</v>
      </c>
      <c r="I322" s="34" t="s">
        <v>836</v>
      </c>
      <c r="J322" s="35"/>
      <c r="K322" s="36">
        <v>0.11</v>
      </c>
      <c r="L322" s="36">
        <v>3.44</v>
      </c>
      <c r="M322" s="36"/>
      <c r="N322" s="36"/>
      <c r="O322" s="36"/>
      <c r="P322" s="52">
        <f t="shared" ref="P322:P334" si="37">K322*100/L322</f>
        <v>3.197674419</v>
      </c>
      <c r="Q322" s="36" t="s">
        <v>96</v>
      </c>
      <c r="R322" s="36" t="s">
        <v>209</v>
      </c>
      <c r="S322" s="36">
        <v>90.0</v>
      </c>
      <c r="T322" s="36" t="s">
        <v>837</v>
      </c>
      <c r="U322" s="36" t="s">
        <v>168</v>
      </c>
      <c r="V322" s="36"/>
      <c r="W322" s="36" t="s">
        <v>838</v>
      </c>
      <c r="X322" s="38">
        <v>1.0</v>
      </c>
      <c r="Y322" s="38" t="s">
        <v>170</v>
      </c>
      <c r="Z322" s="38" t="s">
        <v>171</v>
      </c>
      <c r="AA322" s="38" t="s">
        <v>86</v>
      </c>
      <c r="AB322" s="38">
        <v>38.2894</v>
      </c>
      <c r="AC322" s="38">
        <v>-121.1178</v>
      </c>
      <c r="AD322" s="39" t="s">
        <v>87</v>
      </c>
      <c r="AE322" s="53"/>
      <c r="AF322" s="38" t="s">
        <v>839</v>
      </c>
      <c r="AG322" s="38"/>
      <c r="AH322" s="38">
        <v>5.0</v>
      </c>
      <c r="AI322" s="50">
        <v>38.2894</v>
      </c>
      <c r="AJ322" s="50">
        <v>-121.1178</v>
      </c>
      <c r="AK322" s="41" t="s">
        <v>86</v>
      </c>
      <c r="AL322" s="40" t="s">
        <v>86</v>
      </c>
      <c r="AM322" s="49">
        <v>36.0</v>
      </c>
      <c r="AN322" s="51">
        <v>36.0</v>
      </c>
      <c r="AO322" s="42" t="s">
        <v>175</v>
      </c>
      <c r="AP322" s="43" t="s">
        <v>175</v>
      </c>
      <c r="AQ322" s="44" t="str">
        <f t="shared" si="33"/>
        <v>CRO</v>
      </c>
      <c r="AR322" s="44">
        <f t="shared" si="3"/>
        <v>36</v>
      </c>
      <c r="AS322" s="44" t="str">
        <f t="shared" si="35"/>
        <v>C</v>
      </c>
      <c r="AT322" s="44" t="str">
        <f t="shared" si="17"/>
        <v>Cs</v>
      </c>
      <c r="AU322" s="44" t="str">
        <f t="shared" si="2"/>
        <v>Csa</v>
      </c>
      <c r="AV322" s="38">
        <v>2.0</v>
      </c>
      <c r="AW322" s="38"/>
      <c r="AX322" s="38"/>
      <c r="AY322" s="38" t="s">
        <v>92</v>
      </c>
      <c r="AZ322" s="29">
        <v>30.0</v>
      </c>
      <c r="BA322" s="29">
        <v>1.0</v>
      </c>
      <c r="BB322" s="29">
        <v>1.0</v>
      </c>
      <c r="BC322" s="29"/>
      <c r="BD322" s="29" t="s">
        <v>88</v>
      </c>
      <c r="BE322" s="29" t="s">
        <v>263</v>
      </c>
      <c r="BF322" s="29" t="s">
        <v>176</v>
      </c>
      <c r="BG322" s="29" t="s">
        <v>91</v>
      </c>
      <c r="BH322" s="29" t="s">
        <v>92</v>
      </c>
      <c r="BI322" s="29" t="s">
        <v>840</v>
      </c>
      <c r="BJ322" s="29" t="s">
        <v>841</v>
      </c>
      <c r="BK322" s="29" t="s">
        <v>842</v>
      </c>
      <c r="BL322" s="29" t="s">
        <v>842</v>
      </c>
      <c r="BM322" s="45">
        <v>1.0</v>
      </c>
      <c r="BN322" s="45">
        <v>1.0</v>
      </c>
      <c r="BO322" s="46" t="s">
        <v>95</v>
      </c>
      <c r="BP322" s="2"/>
      <c r="BQ322" s="3"/>
    </row>
    <row r="323" ht="15.75" customHeight="1">
      <c r="A323" s="34">
        <v>324.0</v>
      </c>
      <c r="B323" s="34">
        <v>103196.0</v>
      </c>
      <c r="C323" s="34" t="s">
        <v>832</v>
      </c>
      <c r="D323" s="34" t="s">
        <v>833</v>
      </c>
      <c r="E323" s="34" t="s">
        <v>834</v>
      </c>
      <c r="F323" s="34">
        <v>2018.0</v>
      </c>
      <c r="G323" s="34" t="s">
        <v>835</v>
      </c>
      <c r="H323" s="34" t="s">
        <v>816</v>
      </c>
      <c r="I323" s="34" t="s">
        <v>836</v>
      </c>
      <c r="J323" s="35"/>
      <c r="K323" s="36">
        <v>0.1</v>
      </c>
      <c r="L323" s="36">
        <v>3.35</v>
      </c>
      <c r="M323" s="36"/>
      <c r="N323" s="36"/>
      <c r="O323" s="36"/>
      <c r="P323" s="52">
        <f t="shared" si="37"/>
        <v>2.985074627</v>
      </c>
      <c r="Q323" s="36" t="s">
        <v>96</v>
      </c>
      <c r="R323" s="36" t="s">
        <v>96</v>
      </c>
      <c r="S323" s="36">
        <v>90.0</v>
      </c>
      <c r="T323" s="36" t="s">
        <v>837</v>
      </c>
      <c r="U323" s="36" t="s">
        <v>168</v>
      </c>
      <c r="V323" s="36"/>
      <c r="W323" s="36" t="s">
        <v>838</v>
      </c>
      <c r="X323" s="38">
        <v>1.0</v>
      </c>
      <c r="Y323" s="38" t="s">
        <v>183</v>
      </c>
      <c r="Z323" s="38" t="s">
        <v>184</v>
      </c>
      <c r="AA323" s="38" t="s">
        <v>86</v>
      </c>
      <c r="AB323" s="38">
        <v>38.2805</v>
      </c>
      <c r="AC323" s="38">
        <v>-121.1176</v>
      </c>
      <c r="AD323" s="39" t="s">
        <v>87</v>
      </c>
      <c r="AE323" s="53"/>
      <c r="AF323" s="38" t="s">
        <v>839</v>
      </c>
      <c r="AG323" s="38"/>
      <c r="AH323" s="38">
        <v>5.0</v>
      </c>
      <c r="AI323" s="50">
        <v>38.2805</v>
      </c>
      <c r="AJ323" s="50">
        <v>-121.1176</v>
      </c>
      <c r="AK323" s="41" t="s">
        <v>86</v>
      </c>
      <c r="AL323" s="40" t="s">
        <v>86</v>
      </c>
      <c r="AM323" s="49">
        <v>37.0</v>
      </c>
      <c r="AN323" s="51">
        <v>37.0</v>
      </c>
      <c r="AO323" s="42" t="s">
        <v>175</v>
      </c>
      <c r="AP323" s="43" t="s">
        <v>175</v>
      </c>
      <c r="AQ323" s="44" t="str">
        <f t="shared" si="33"/>
        <v>CRO</v>
      </c>
      <c r="AR323" s="44">
        <f t="shared" si="3"/>
        <v>37</v>
      </c>
      <c r="AS323" s="44" t="str">
        <f t="shared" si="35"/>
        <v>C</v>
      </c>
      <c r="AT323" s="44" t="str">
        <f t="shared" si="17"/>
        <v>Cs</v>
      </c>
      <c r="AU323" s="44" t="str">
        <f t="shared" si="2"/>
        <v>Csa</v>
      </c>
      <c r="AV323" s="38">
        <v>2.0</v>
      </c>
      <c r="AW323" s="38"/>
      <c r="AX323" s="38"/>
      <c r="AY323" s="38" t="s">
        <v>92</v>
      </c>
      <c r="AZ323" s="29">
        <v>30.0</v>
      </c>
      <c r="BA323" s="29">
        <v>1.0</v>
      </c>
      <c r="BB323" s="29">
        <v>1.0</v>
      </c>
      <c r="BC323" s="29"/>
      <c r="BD323" s="29" t="s">
        <v>88</v>
      </c>
      <c r="BE323" s="29" t="s">
        <v>263</v>
      </c>
      <c r="BF323" s="29" t="s">
        <v>176</v>
      </c>
      <c r="BG323" s="29" t="s">
        <v>91</v>
      </c>
      <c r="BH323" s="29" t="s">
        <v>92</v>
      </c>
      <c r="BI323" s="29" t="s">
        <v>840</v>
      </c>
      <c r="BJ323" s="29" t="s">
        <v>841</v>
      </c>
      <c r="BK323" s="29" t="s">
        <v>842</v>
      </c>
      <c r="BL323" s="29" t="s">
        <v>842</v>
      </c>
      <c r="BM323" s="45">
        <v>1.0</v>
      </c>
      <c r="BN323" s="45">
        <v>1.0</v>
      </c>
      <c r="BO323" s="46" t="s">
        <v>95</v>
      </c>
      <c r="BP323" s="2"/>
      <c r="BQ323" s="3"/>
    </row>
    <row r="324" ht="15.75" customHeight="1">
      <c r="A324" s="34">
        <v>325.0</v>
      </c>
      <c r="B324" s="34">
        <v>103196.0</v>
      </c>
      <c r="C324" s="34" t="s">
        <v>832</v>
      </c>
      <c r="D324" s="34" t="s">
        <v>833</v>
      </c>
      <c r="E324" s="34" t="s">
        <v>834</v>
      </c>
      <c r="F324" s="34">
        <v>2018.0</v>
      </c>
      <c r="G324" s="34" t="s">
        <v>835</v>
      </c>
      <c r="H324" s="34" t="s">
        <v>816</v>
      </c>
      <c r="I324" s="34" t="s">
        <v>836</v>
      </c>
      <c r="J324" s="35"/>
      <c r="K324" s="36">
        <v>0.1</v>
      </c>
      <c r="L324" s="36">
        <v>3.11</v>
      </c>
      <c r="M324" s="36"/>
      <c r="N324" s="36"/>
      <c r="O324" s="36"/>
      <c r="P324" s="52">
        <f t="shared" si="37"/>
        <v>3.215434084</v>
      </c>
      <c r="Q324" s="36" t="s">
        <v>96</v>
      </c>
      <c r="R324" s="36" t="s">
        <v>96</v>
      </c>
      <c r="S324" s="36">
        <v>90.0</v>
      </c>
      <c r="T324" s="36" t="s">
        <v>837</v>
      </c>
      <c r="U324" s="36" t="s">
        <v>168</v>
      </c>
      <c r="V324" s="36"/>
      <c r="W324" s="36" t="s">
        <v>838</v>
      </c>
      <c r="X324" s="38">
        <v>1.0</v>
      </c>
      <c r="Y324" s="38" t="s">
        <v>843</v>
      </c>
      <c r="Z324" s="38" t="s">
        <v>844</v>
      </c>
      <c r="AA324" s="38" t="s">
        <v>214</v>
      </c>
      <c r="AB324" s="38">
        <v>38.0498</v>
      </c>
      <c r="AC324" s="38">
        <v>-121.765</v>
      </c>
      <c r="AD324" s="39" t="s">
        <v>87</v>
      </c>
      <c r="AE324" s="38">
        <v>-4.0</v>
      </c>
      <c r="AF324" s="38"/>
      <c r="AG324" s="38" t="s">
        <v>175</v>
      </c>
      <c r="AH324" s="38" t="s">
        <v>845</v>
      </c>
      <c r="AI324" s="50">
        <v>38.0498</v>
      </c>
      <c r="AJ324" s="50">
        <v>-121.765</v>
      </c>
      <c r="AK324" s="41" t="s">
        <v>86</v>
      </c>
      <c r="AL324" s="40" t="s">
        <v>86</v>
      </c>
      <c r="AM324" s="49">
        <v>-5.0</v>
      </c>
      <c r="AN324" s="51">
        <v>-5.0</v>
      </c>
      <c r="AO324" s="42" t="s">
        <v>175</v>
      </c>
      <c r="AP324" s="43" t="s">
        <v>175</v>
      </c>
      <c r="AQ324" s="44" t="str">
        <f t="shared" si="33"/>
        <v>WET</v>
      </c>
      <c r="AR324" s="44">
        <f t="shared" si="3"/>
        <v>-5</v>
      </c>
      <c r="AS324" s="44" t="str">
        <f t="shared" si="35"/>
        <v>C</v>
      </c>
      <c r="AT324" s="44" t="str">
        <f t="shared" si="17"/>
        <v>Cs</v>
      </c>
      <c r="AU324" s="44" t="str">
        <f t="shared" si="2"/>
        <v>Csa</v>
      </c>
      <c r="AV324" s="38">
        <v>2.0</v>
      </c>
      <c r="AW324" s="38"/>
      <c r="AX324" s="38"/>
      <c r="AY324" s="38" t="s">
        <v>92</v>
      </c>
      <c r="AZ324" s="29">
        <v>30.0</v>
      </c>
      <c r="BA324" s="29">
        <v>1.0</v>
      </c>
      <c r="BB324" s="29">
        <v>1.0</v>
      </c>
      <c r="BC324" s="29"/>
      <c r="BD324" s="29" t="s">
        <v>88</v>
      </c>
      <c r="BE324" s="29" t="s">
        <v>263</v>
      </c>
      <c r="BF324" s="29" t="s">
        <v>176</v>
      </c>
      <c r="BG324" s="29" t="s">
        <v>91</v>
      </c>
      <c r="BH324" s="29" t="s">
        <v>92</v>
      </c>
      <c r="BI324" s="29" t="s">
        <v>840</v>
      </c>
      <c r="BJ324" s="29" t="s">
        <v>841</v>
      </c>
      <c r="BK324" s="29" t="s">
        <v>842</v>
      </c>
      <c r="BL324" s="29" t="s">
        <v>842</v>
      </c>
      <c r="BM324" s="45">
        <v>1.0</v>
      </c>
      <c r="BN324" s="45">
        <v>1.0</v>
      </c>
      <c r="BO324" s="46" t="s">
        <v>95</v>
      </c>
      <c r="BP324" s="2" t="s">
        <v>846</v>
      </c>
      <c r="BQ324" s="3"/>
    </row>
    <row r="325" ht="15.75" customHeight="1">
      <c r="A325" s="34">
        <v>326.0</v>
      </c>
      <c r="B325" s="34">
        <v>103196.0</v>
      </c>
      <c r="C325" s="34" t="s">
        <v>832</v>
      </c>
      <c r="D325" s="34" t="s">
        <v>833</v>
      </c>
      <c r="E325" s="34" t="s">
        <v>834</v>
      </c>
      <c r="F325" s="34">
        <v>2018.0</v>
      </c>
      <c r="G325" s="34" t="s">
        <v>835</v>
      </c>
      <c r="H325" s="34" t="s">
        <v>816</v>
      </c>
      <c r="I325" s="34" t="s">
        <v>836</v>
      </c>
      <c r="J325" s="35"/>
      <c r="K325" s="36">
        <v>-0.31</v>
      </c>
      <c r="L325" s="36">
        <v>3.7</v>
      </c>
      <c r="M325" s="36"/>
      <c r="N325" s="36"/>
      <c r="O325" s="36"/>
      <c r="P325" s="52">
        <f t="shared" si="37"/>
        <v>-8.378378378</v>
      </c>
      <c r="Q325" s="36" t="s">
        <v>96</v>
      </c>
      <c r="R325" s="36" t="s">
        <v>96</v>
      </c>
      <c r="S325" s="36">
        <v>90.0</v>
      </c>
      <c r="T325" s="36" t="s">
        <v>837</v>
      </c>
      <c r="U325" s="36" t="s">
        <v>168</v>
      </c>
      <c r="V325" s="36"/>
      <c r="W325" s="36" t="s">
        <v>838</v>
      </c>
      <c r="X325" s="38">
        <v>1.0</v>
      </c>
      <c r="Y325" s="38" t="s">
        <v>847</v>
      </c>
      <c r="Z325" s="38" t="s">
        <v>848</v>
      </c>
      <c r="AA325" s="38" t="s">
        <v>214</v>
      </c>
      <c r="AB325" s="38">
        <v>38.0369</v>
      </c>
      <c r="AC325" s="38">
        <v>-121.7547</v>
      </c>
      <c r="AD325" s="39" t="s">
        <v>87</v>
      </c>
      <c r="AE325" s="38">
        <v>-5.0</v>
      </c>
      <c r="AF325" s="38"/>
      <c r="AG325" s="38" t="s">
        <v>175</v>
      </c>
      <c r="AH325" s="38" t="s">
        <v>845</v>
      </c>
      <c r="AI325" s="50">
        <v>38.0369</v>
      </c>
      <c r="AJ325" s="50">
        <v>-121.7547</v>
      </c>
      <c r="AK325" s="41" t="s">
        <v>86</v>
      </c>
      <c r="AL325" s="40" t="s">
        <v>86</v>
      </c>
      <c r="AM325" s="49">
        <v>-4.0</v>
      </c>
      <c r="AN325" s="51">
        <v>-4.0</v>
      </c>
      <c r="AO325" s="42" t="s">
        <v>175</v>
      </c>
      <c r="AP325" s="43" t="s">
        <v>175</v>
      </c>
      <c r="AQ325" s="44" t="str">
        <f t="shared" si="33"/>
        <v>WET</v>
      </c>
      <c r="AR325" s="44">
        <f t="shared" si="3"/>
        <v>-4</v>
      </c>
      <c r="AS325" s="44" t="str">
        <f t="shared" si="35"/>
        <v>C</v>
      </c>
      <c r="AT325" s="44" t="str">
        <f t="shared" si="17"/>
        <v>Cs</v>
      </c>
      <c r="AU325" s="44" t="str">
        <f t="shared" si="2"/>
        <v>Csa</v>
      </c>
      <c r="AV325" s="38">
        <v>2.0</v>
      </c>
      <c r="AW325" s="38"/>
      <c r="AX325" s="38"/>
      <c r="AY325" s="38" t="s">
        <v>92</v>
      </c>
      <c r="AZ325" s="29">
        <v>30.0</v>
      </c>
      <c r="BA325" s="29">
        <v>1.0</v>
      </c>
      <c r="BB325" s="29">
        <v>1.0</v>
      </c>
      <c r="BC325" s="29"/>
      <c r="BD325" s="29" t="s">
        <v>88</v>
      </c>
      <c r="BE325" s="29" t="s">
        <v>263</v>
      </c>
      <c r="BF325" s="29" t="s">
        <v>176</v>
      </c>
      <c r="BG325" s="29" t="s">
        <v>91</v>
      </c>
      <c r="BH325" s="29" t="s">
        <v>92</v>
      </c>
      <c r="BI325" s="29" t="s">
        <v>840</v>
      </c>
      <c r="BJ325" s="29" t="s">
        <v>841</v>
      </c>
      <c r="BK325" s="29" t="s">
        <v>842</v>
      </c>
      <c r="BL325" s="29" t="s">
        <v>842</v>
      </c>
      <c r="BM325" s="45">
        <v>1.0</v>
      </c>
      <c r="BN325" s="45">
        <v>1.0</v>
      </c>
      <c r="BO325" s="46" t="s">
        <v>95</v>
      </c>
      <c r="BP325" s="2"/>
      <c r="BQ325" s="3"/>
    </row>
    <row r="326" ht="15.75" customHeight="1">
      <c r="A326" s="34">
        <v>327.0</v>
      </c>
      <c r="B326" s="34">
        <v>103196.0</v>
      </c>
      <c r="C326" s="34" t="s">
        <v>832</v>
      </c>
      <c r="D326" s="34" t="s">
        <v>833</v>
      </c>
      <c r="E326" s="34" t="s">
        <v>834</v>
      </c>
      <c r="F326" s="34">
        <v>2018.0</v>
      </c>
      <c r="G326" s="34" t="s">
        <v>835</v>
      </c>
      <c r="H326" s="34" t="s">
        <v>816</v>
      </c>
      <c r="I326" s="34" t="s">
        <v>836</v>
      </c>
      <c r="J326" s="35"/>
      <c r="K326" s="36">
        <v>-0.11</v>
      </c>
      <c r="L326" s="36">
        <v>3.03</v>
      </c>
      <c r="M326" s="36"/>
      <c r="N326" s="36"/>
      <c r="O326" s="36"/>
      <c r="P326" s="52">
        <f t="shared" si="37"/>
        <v>-3.630363036</v>
      </c>
      <c r="Q326" s="36" t="s">
        <v>96</v>
      </c>
      <c r="R326" s="36" t="s">
        <v>96</v>
      </c>
      <c r="S326" s="36">
        <v>90.0</v>
      </c>
      <c r="T326" s="36" t="s">
        <v>837</v>
      </c>
      <c r="U326" s="36" t="s">
        <v>168</v>
      </c>
      <c r="V326" s="36"/>
      <c r="W326" s="36" t="s">
        <v>838</v>
      </c>
      <c r="X326" s="38">
        <v>1.0</v>
      </c>
      <c r="Y326" s="38" t="s">
        <v>849</v>
      </c>
      <c r="Z326" s="38" t="s">
        <v>850</v>
      </c>
      <c r="AA326" s="38" t="s">
        <v>214</v>
      </c>
      <c r="AB326" s="38">
        <v>38.1073</v>
      </c>
      <c r="AC326" s="38">
        <v>-121.6468</v>
      </c>
      <c r="AD326" s="39" t="s">
        <v>87</v>
      </c>
      <c r="AE326" s="38">
        <v>-5.0</v>
      </c>
      <c r="AF326" s="38"/>
      <c r="AG326" s="38" t="s">
        <v>175</v>
      </c>
      <c r="AH326" s="38" t="s">
        <v>845</v>
      </c>
      <c r="AI326" s="50">
        <v>38.1073</v>
      </c>
      <c r="AJ326" s="50">
        <v>-121.6468</v>
      </c>
      <c r="AK326" s="41" t="s">
        <v>86</v>
      </c>
      <c r="AL326" s="40" t="s">
        <v>86</v>
      </c>
      <c r="AM326" s="49">
        <v>-9.0</v>
      </c>
      <c r="AN326" s="51">
        <v>-9.0</v>
      </c>
      <c r="AO326" s="42" t="s">
        <v>175</v>
      </c>
      <c r="AP326" s="43" t="s">
        <v>175</v>
      </c>
      <c r="AQ326" s="44" t="str">
        <f t="shared" si="33"/>
        <v>WET</v>
      </c>
      <c r="AR326" s="44">
        <f t="shared" si="3"/>
        <v>-9</v>
      </c>
      <c r="AS326" s="44" t="str">
        <f t="shared" si="35"/>
        <v>C</v>
      </c>
      <c r="AT326" s="44" t="str">
        <f t="shared" si="17"/>
        <v>Cs</v>
      </c>
      <c r="AU326" s="44" t="str">
        <f t="shared" si="2"/>
        <v>Csa</v>
      </c>
      <c r="AV326" s="38">
        <v>2.0</v>
      </c>
      <c r="AW326" s="38"/>
      <c r="AX326" s="38"/>
      <c r="AY326" s="38" t="s">
        <v>92</v>
      </c>
      <c r="AZ326" s="29">
        <v>30.0</v>
      </c>
      <c r="BA326" s="29">
        <v>1.0</v>
      </c>
      <c r="BB326" s="29">
        <v>1.0</v>
      </c>
      <c r="BC326" s="29"/>
      <c r="BD326" s="29" t="s">
        <v>88</v>
      </c>
      <c r="BE326" s="29" t="s">
        <v>263</v>
      </c>
      <c r="BF326" s="29" t="s">
        <v>176</v>
      </c>
      <c r="BG326" s="29" t="s">
        <v>91</v>
      </c>
      <c r="BH326" s="29" t="s">
        <v>92</v>
      </c>
      <c r="BI326" s="29" t="s">
        <v>840</v>
      </c>
      <c r="BJ326" s="29" t="s">
        <v>841</v>
      </c>
      <c r="BK326" s="29" t="s">
        <v>842</v>
      </c>
      <c r="BL326" s="29" t="s">
        <v>842</v>
      </c>
      <c r="BM326" s="45">
        <v>1.0</v>
      </c>
      <c r="BN326" s="45">
        <v>1.0</v>
      </c>
      <c r="BO326" s="46" t="s">
        <v>95</v>
      </c>
      <c r="BP326" s="2"/>
      <c r="BQ326" s="3"/>
    </row>
    <row r="327" ht="15.75" customHeight="1">
      <c r="A327" s="34">
        <v>328.0</v>
      </c>
      <c r="B327" s="34">
        <v>103196.0</v>
      </c>
      <c r="C327" s="34" t="s">
        <v>832</v>
      </c>
      <c r="D327" s="34" t="s">
        <v>833</v>
      </c>
      <c r="E327" s="34" t="s">
        <v>834</v>
      </c>
      <c r="F327" s="34">
        <v>2018.0</v>
      </c>
      <c r="G327" s="34" t="s">
        <v>835</v>
      </c>
      <c r="H327" s="34" t="s">
        <v>816</v>
      </c>
      <c r="I327" s="34" t="s">
        <v>836</v>
      </c>
      <c r="J327" s="35"/>
      <c r="K327" s="36">
        <v>-0.39</v>
      </c>
      <c r="L327" s="36">
        <v>2.77</v>
      </c>
      <c r="M327" s="36"/>
      <c r="N327" s="36"/>
      <c r="O327" s="36"/>
      <c r="P327" s="52">
        <f t="shared" si="37"/>
        <v>-14.07942238</v>
      </c>
      <c r="Q327" s="36" t="s">
        <v>96</v>
      </c>
      <c r="R327" s="36" t="s">
        <v>96</v>
      </c>
      <c r="S327" s="36">
        <v>90.0</v>
      </c>
      <c r="T327" s="36" t="s">
        <v>837</v>
      </c>
      <c r="U327" s="36" t="s">
        <v>168</v>
      </c>
      <c r="V327" s="36"/>
      <c r="W327" s="36" t="s">
        <v>838</v>
      </c>
      <c r="X327" s="38">
        <v>1.0</v>
      </c>
      <c r="Y327" s="38" t="s">
        <v>533</v>
      </c>
      <c r="Z327" s="38" t="s">
        <v>534</v>
      </c>
      <c r="AA327" s="38" t="s">
        <v>86</v>
      </c>
      <c r="AB327" s="38">
        <v>38.1151</v>
      </c>
      <c r="AC327" s="38">
        <v>-121.6468</v>
      </c>
      <c r="AD327" s="39" t="s">
        <v>87</v>
      </c>
      <c r="AE327" s="38">
        <v>-4.0</v>
      </c>
      <c r="AF327" s="38" t="s">
        <v>535</v>
      </c>
      <c r="AG327" s="38" t="s">
        <v>175</v>
      </c>
      <c r="AH327" s="38" t="s">
        <v>845</v>
      </c>
      <c r="AI327" s="50">
        <v>38.1159</v>
      </c>
      <c r="AJ327" s="50">
        <v>-121.6467</v>
      </c>
      <c r="AK327" s="41" t="s">
        <v>86</v>
      </c>
      <c r="AL327" s="40" t="s">
        <v>86</v>
      </c>
      <c r="AM327" s="49">
        <v>-3.0</v>
      </c>
      <c r="AN327" s="51">
        <v>-3.0</v>
      </c>
      <c r="AO327" s="42" t="s">
        <v>175</v>
      </c>
      <c r="AP327" s="43" t="s">
        <v>175</v>
      </c>
      <c r="AQ327" s="44" t="str">
        <f t="shared" si="33"/>
        <v>CRO</v>
      </c>
      <c r="AR327" s="44">
        <f t="shared" si="3"/>
        <v>-3</v>
      </c>
      <c r="AS327" s="44" t="str">
        <f t="shared" si="35"/>
        <v>C</v>
      </c>
      <c r="AT327" s="44" t="str">
        <f t="shared" si="17"/>
        <v>Cs</v>
      </c>
      <c r="AU327" s="44" t="str">
        <f t="shared" si="2"/>
        <v>Csa</v>
      </c>
      <c r="AV327" s="38">
        <v>2.0</v>
      </c>
      <c r="AW327" s="38"/>
      <c r="AX327" s="38"/>
      <c r="AY327" s="38" t="s">
        <v>92</v>
      </c>
      <c r="AZ327" s="29">
        <v>30.0</v>
      </c>
      <c r="BA327" s="29">
        <v>1.0</v>
      </c>
      <c r="BB327" s="29">
        <v>1.0</v>
      </c>
      <c r="BC327" s="29"/>
      <c r="BD327" s="29" t="s">
        <v>88</v>
      </c>
      <c r="BE327" s="29" t="s">
        <v>263</v>
      </c>
      <c r="BF327" s="29" t="s">
        <v>176</v>
      </c>
      <c r="BG327" s="29" t="s">
        <v>91</v>
      </c>
      <c r="BH327" s="29" t="s">
        <v>92</v>
      </c>
      <c r="BI327" s="29" t="s">
        <v>840</v>
      </c>
      <c r="BJ327" s="29" t="s">
        <v>841</v>
      </c>
      <c r="BK327" s="29" t="s">
        <v>842</v>
      </c>
      <c r="BL327" s="29" t="s">
        <v>842</v>
      </c>
      <c r="BM327" s="45">
        <v>1.0</v>
      </c>
      <c r="BN327" s="45">
        <v>1.0</v>
      </c>
      <c r="BO327" s="46" t="s">
        <v>95</v>
      </c>
      <c r="BP327" s="2"/>
      <c r="BQ327" s="3"/>
    </row>
    <row r="328" ht="15.75" customHeight="1">
      <c r="A328" s="34">
        <v>329.0</v>
      </c>
      <c r="B328" s="34">
        <v>103196.0</v>
      </c>
      <c r="C328" s="34" t="s">
        <v>832</v>
      </c>
      <c r="D328" s="34" t="s">
        <v>833</v>
      </c>
      <c r="E328" s="34" t="s">
        <v>834</v>
      </c>
      <c r="F328" s="34">
        <v>2018.0</v>
      </c>
      <c r="G328" s="34" t="s">
        <v>835</v>
      </c>
      <c r="H328" s="34" t="s">
        <v>816</v>
      </c>
      <c r="I328" s="34" t="s">
        <v>836</v>
      </c>
      <c r="J328" s="35"/>
      <c r="K328" s="36">
        <v>0.16</v>
      </c>
      <c r="L328" s="36">
        <v>3.57</v>
      </c>
      <c r="M328" s="36"/>
      <c r="N328" s="36"/>
      <c r="O328" s="36"/>
      <c r="P328" s="52">
        <f t="shared" si="37"/>
        <v>4.481792717</v>
      </c>
      <c r="Q328" s="36" t="s">
        <v>96</v>
      </c>
      <c r="R328" s="36" t="s">
        <v>96</v>
      </c>
      <c r="S328" s="36">
        <v>90.0</v>
      </c>
      <c r="T328" s="36" t="s">
        <v>837</v>
      </c>
      <c r="U328" s="36" t="s">
        <v>168</v>
      </c>
      <c r="V328" s="36"/>
      <c r="W328" s="36" t="s">
        <v>838</v>
      </c>
      <c r="X328" s="38">
        <v>1.0</v>
      </c>
      <c r="Y328" s="38" t="s">
        <v>851</v>
      </c>
      <c r="Z328" s="38" t="s">
        <v>852</v>
      </c>
      <c r="AA328" s="38" t="s">
        <v>214</v>
      </c>
      <c r="AB328" s="38">
        <v>38.1028</v>
      </c>
      <c r="AC328" s="38">
        <v>-121.6413</v>
      </c>
      <c r="AD328" s="39" t="s">
        <v>87</v>
      </c>
      <c r="AE328" s="38">
        <v>-5.0</v>
      </c>
      <c r="AF328" s="38"/>
      <c r="AG328" s="38" t="s">
        <v>175</v>
      </c>
      <c r="AH328" s="38" t="s">
        <v>845</v>
      </c>
      <c r="AI328" s="50">
        <v>38.1028</v>
      </c>
      <c r="AJ328" s="50">
        <v>-121.6413</v>
      </c>
      <c r="AK328" s="41" t="s">
        <v>86</v>
      </c>
      <c r="AL328" s="40" t="s">
        <v>86</v>
      </c>
      <c r="AM328" s="49">
        <v>-5.0</v>
      </c>
      <c r="AN328" s="51">
        <v>-5.0</v>
      </c>
      <c r="AO328" s="42" t="s">
        <v>175</v>
      </c>
      <c r="AP328" s="43" t="s">
        <v>175</v>
      </c>
      <c r="AQ328" s="44" t="str">
        <f t="shared" si="33"/>
        <v>WET</v>
      </c>
      <c r="AR328" s="44">
        <f t="shared" si="3"/>
        <v>-5</v>
      </c>
      <c r="AS328" s="44" t="str">
        <f t="shared" si="35"/>
        <v>C</v>
      </c>
      <c r="AT328" s="44" t="str">
        <f t="shared" si="17"/>
        <v>Cs</v>
      </c>
      <c r="AU328" s="44" t="str">
        <f t="shared" si="2"/>
        <v>Csa</v>
      </c>
      <c r="AV328" s="38">
        <v>2.0</v>
      </c>
      <c r="AW328" s="38"/>
      <c r="AX328" s="38"/>
      <c r="AY328" s="38" t="s">
        <v>92</v>
      </c>
      <c r="AZ328" s="29">
        <v>30.0</v>
      </c>
      <c r="BA328" s="29">
        <v>1.0</v>
      </c>
      <c r="BB328" s="29">
        <v>1.0</v>
      </c>
      <c r="BC328" s="29"/>
      <c r="BD328" s="29" t="s">
        <v>88</v>
      </c>
      <c r="BE328" s="29" t="s">
        <v>263</v>
      </c>
      <c r="BF328" s="29" t="s">
        <v>176</v>
      </c>
      <c r="BG328" s="29" t="s">
        <v>91</v>
      </c>
      <c r="BH328" s="29" t="s">
        <v>92</v>
      </c>
      <c r="BI328" s="29" t="s">
        <v>840</v>
      </c>
      <c r="BJ328" s="29" t="s">
        <v>841</v>
      </c>
      <c r="BK328" s="29" t="s">
        <v>842</v>
      </c>
      <c r="BL328" s="29" t="s">
        <v>842</v>
      </c>
      <c r="BM328" s="45">
        <v>1.0</v>
      </c>
      <c r="BN328" s="45">
        <v>1.0</v>
      </c>
      <c r="BO328" s="46" t="s">
        <v>95</v>
      </c>
      <c r="BP328" s="2"/>
      <c r="BQ328" s="3"/>
    </row>
    <row r="329" ht="15.75" customHeight="1">
      <c r="A329" s="34">
        <v>330.0</v>
      </c>
      <c r="B329" s="34">
        <v>103196.0</v>
      </c>
      <c r="C329" s="34" t="s">
        <v>832</v>
      </c>
      <c r="D329" s="34" t="s">
        <v>833</v>
      </c>
      <c r="E329" s="34" t="s">
        <v>834</v>
      </c>
      <c r="F329" s="34">
        <v>2018.0</v>
      </c>
      <c r="G329" s="34" t="s">
        <v>835</v>
      </c>
      <c r="H329" s="34" t="s">
        <v>816</v>
      </c>
      <c r="I329" s="34" t="s">
        <v>836</v>
      </c>
      <c r="J329" s="35"/>
      <c r="K329" s="36">
        <v>0.48</v>
      </c>
      <c r="L329" s="36">
        <v>2.96</v>
      </c>
      <c r="M329" s="36"/>
      <c r="N329" s="36"/>
      <c r="O329" s="36"/>
      <c r="P329" s="52">
        <f t="shared" si="37"/>
        <v>16.21621622</v>
      </c>
      <c r="Q329" s="36" t="s">
        <v>96</v>
      </c>
      <c r="R329" s="36" t="s">
        <v>96</v>
      </c>
      <c r="S329" s="36">
        <v>90.0</v>
      </c>
      <c r="T329" s="36" t="s">
        <v>837</v>
      </c>
      <c r="U329" s="36" t="s">
        <v>168</v>
      </c>
      <c r="V329" s="36"/>
      <c r="W329" s="36" t="s">
        <v>838</v>
      </c>
      <c r="X329" s="38">
        <v>1.0</v>
      </c>
      <c r="Y329" s="38" t="s">
        <v>537</v>
      </c>
      <c r="Z329" s="38" t="s">
        <v>538</v>
      </c>
      <c r="AA329" s="38" t="s">
        <v>86</v>
      </c>
      <c r="AB329" s="38">
        <v>38.1087</v>
      </c>
      <c r="AC329" s="38">
        <v>-121.653</v>
      </c>
      <c r="AD329" s="38" t="s">
        <v>87</v>
      </c>
      <c r="AE329" s="38">
        <v>-14.0</v>
      </c>
      <c r="AF329" s="38" t="s">
        <v>853</v>
      </c>
      <c r="AG329" s="38" t="s">
        <v>175</v>
      </c>
      <c r="AH329" s="38">
        <v>3.05</v>
      </c>
      <c r="AI329" s="50">
        <v>38.1087</v>
      </c>
      <c r="AJ329" s="50">
        <v>-121.653</v>
      </c>
      <c r="AK329" s="41" t="s">
        <v>86</v>
      </c>
      <c r="AL329" s="40" t="s">
        <v>86</v>
      </c>
      <c r="AM329" s="49">
        <v>-10.0</v>
      </c>
      <c r="AN329" s="51">
        <v>-10.0</v>
      </c>
      <c r="AO329" s="42" t="s">
        <v>175</v>
      </c>
      <c r="AP329" s="43" t="s">
        <v>175</v>
      </c>
      <c r="AQ329" s="44" t="str">
        <f t="shared" si="33"/>
        <v>CRO</v>
      </c>
      <c r="AR329" s="44">
        <f t="shared" si="3"/>
        <v>-10</v>
      </c>
      <c r="AS329" s="44" t="str">
        <f t="shared" si="35"/>
        <v>C</v>
      </c>
      <c r="AT329" s="44" t="str">
        <f t="shared" si="17"/>
        <v>Cs</v>
      </c>
      <c r="AU329" s="44" t="str">
        <f t="shared" si="2"/>
        <v>Csa</v>
      </c>
      <c r="AV329" s="38">
        <v>2.0</v>
      </c>
      <c r="AW329" s="38"/>
      <c r="AX329" s="38"/>
      <c r="AY329" s="38" t="s">
        <v>92</v>
      </c>
      <c r="AZ329" s="29">
        <v>30.0</v>
      </c>
      <c r="BA329" s="29">
        <v>1.0</v>
      </c>
      <c r="BB329" s="29">
        <v>1.0</v>
      </c>
      <c r="BC329" s="29"/>
      <c r="BD329" s="29" t="s">
        <v>88</v>
      </c>
      <c r="BE329" s="29" t="s">
        <v>263</v>
      </c>
      <c r="BF329" s="29" t="s">
        <v>176</v>
      </c>
      <c r="BG329" s="29" t="s">
        <v>91</v>
      </c>
      <c r="BH329" s="29" t="s">
        <v>92</v>
      </c>
      <c r="BI329" s="29" t="s">
        <v>840</v>
      </c>
      <c r="BJ329" s="29" t="s">
        <v>841</v>
      </c>
      <c r="BK329" s="29" t="s">
        <v>842</v>
      </c>
      <c r="BL329" s="29" t="s">
        <v>842</v>
      </c>
      <c r="BM329" s="45">
        <v>1.0</v>
      </c>
      <c r="BN329" s="45">
        <v>1.0</v>
      </c>
      <c r="BO329" s="46" t="s">
        <v>95</v>
      </c>
      <c r="BP329" s="2"/>
      <c r="BQ329" s="3"/>
    </row>
    <row r="330" ht="15.75" customHeight="1">
      <c r="A330" s="34">
        <v>331.0</v>
      </c>
      <c r="B330" s="34">
        <v>103196.0</v>
      </c>
      <c r="C330" s="34" t="s">
        <v>832</v>
      </c>
      <c r="D330" s="34" t="s">
        <v>833</v>
      </c>
      <c r="E330" s="34" t="s">
        <v>834</v>
      </c>
      <c r="F330" s="34">
        <v>2018.0</v>
      </c>
      <c r="G330" s="34" t="s">
        <v>835</v>
      </c>
      <c r="H330" s="34" t="s">
        <v>816</v>
      </c>
      <c r="I330" s="34" t="s">
        <v>836</v>
      </c>
      <c r="J330" s="35"/>
      <c r="K330" s="36">
        <v>0.08</v>
      </c>
      <c r="L330" s="36">
        <v>3.1</v>
      </c>
      <c r="M330" s="36"/>
      <c r="N330" s="36"/>
      <c r="O330" s="36"/>
      <c r="P330" s="52">
        <f t="shared" si="37"/>
        <v>2.580645161</v>
      </c>
      <c r="Q330" s="36" t="s">
        <v>96</v>
      </c>
      <c r="R330" s="36" t="s">
        <v>96</v>
      </c>
      <c r="S330" s="36">
        <v>90.0</v>
      </c>
      <c r="T330" s="36" t="s">
        <v>837</v>
      </c>
      <c r="U330" s="36" t="s">
        <v>168</v>
      </c>
      <c r="V330" s="36"/>
      <c r="W330" s="36" t="s">
        <v>838</v>
      </c>
      <c r="X330" s="38">
        <v>8.0</v>
      </c>
      <c r="Y330" s="38"/>
      <c r="Z330" s="38"/>
      <c r="AA330" s="38"/>
      <c r="AB330" s="38"/>
      <c r="AC330" s="38"/>
      <c r="AD330" s="39" t="s">
        <v>87</v>
      </c>
      <c r="AE330" s="38"/>
      <c r="AF330" s="38"/>
      <c r="AG330" s="38"/>
      <c r="AH330" s="38"/>
      <c r="AI330" s="50"/>
      <c r="AJ330" s="50"/>
      <c r="AK330" s="41"/>
      <c r="AL330" s="40"/>
      <c r="AM330" s="49"/>
      <c r="AN330" s="43"/>
      <c r="AO330" s="42"/>
      <c r="AP330" s="43"/>
      <c r="AQ330" s="44" t="str">
        <f t="shared" si="33"/>
        <v/>
      </c>
      <c r="AR330" s="44" t="str">
        <f t="shared" si="3"/>
        <v/>
      </c>
      <c r="AS330" s="44" t="str">
        <f t="shared" si="35"/>
        <v/>
      </c>
      <c r="AT330" s="44" t="str">
        <f t="shared" si="17"/>
        <v/>
      </c>
      <c r="AU330" s="44" t="str">
        <f t="shared" si="2"/>
        <v/>
      </c>
      <c r="AV330" s="38"/>
      <c r="AW330" s="38"/>
      <c r="AX330" s="38"/>
      <c r="AY330" s="38" t="s">
        <v>92</v>
      </c>
      <c r="AZ330" s="29">
        <v>30.0</v>
      </c>
      <c r="BA330" s="29">
        <v>1.0</v>
      </c>
      <c r="BB330" s="29">
        <v>1.0</v>
      </c>
      <c r="BC330" s="29"/>
      <c r="BD330" s="29" t="s">
        <v>88</v>
      </c>
      <c r="BE330" s="29" t="s">
        <v>263</v>
      </c>
      <c r="BF330" s="29" t="s">
        <v>176</v>
      </c>
      <c r="BG330" s="29" t="s">
        <v>91</v>
      </c>
      <c r="BH330" s="29" t="s">
        <v>92</v>
      </c>
      <c r="BI330" s="29" t="s">
        <v>840</v>
      </c>
      <c r="BJ330" s="29" t="s">
        <v>841</v>
      </c>
      <c r="BK330" s="29" t="s">
        <v>842</v>
      </c>
      <c r="BL330" s="29" t="s">
        <v>842</v>
      </c>
      <c r="BM330" s="45">
        <v>1.0</v>
      </c>
      <c r="BN330" s="45">
        <v>1.0</v>
      </c>
      <c r="BO330" s="46" t="s">
        <v>95</v>
      </c>
      <c r="BP330" s="2"/>
      <c r="BQ330" s="3"/>
    </row>
    <row r="331" ht="15.75" customHeight="1">
      <c r="A331" s="34">
        <v>332.0</v>
      </c>
      <c r="B331" s="34">
        <v>103196.0</v>
      </c>
      <c r="C331" s="34" t="s">
        <v>832</v>
      </c>
      <c r="D331" s="34" t="s">
        <v>833</v>
      </c>
      <c r="E331" s="34" t="s">
        <v>834</v>
      </c>
      <c r="F331" s="34">
        <v>2018.0</v>
      </c>
      <c r="G331" s="34" t="s">
        <v>835</v>
      </c>
      <c r="H331" s="34" t="s">
        <v>816</v>
      </c>
      <c r="I331" s="34" t="s">
        <v>836</v>
      </c>
      <c r="J331" s="35"/>
      <c r="K331" s="36">
        <v>0.09</v>
      </c>
      <c r="L331" s="36">
        <v>3.18</v>
      </c>
      <c r="M331" s="36"/>
      <c r="N331" s="36"/>
      <c r="O331" s="36"/>
      <c r="P331" s="52">
        <f t="shared" si="37"/>
        <v>2.830188679</v>
      </c>
      <c r="Q331" s="36" t="s">
        <v>96</v>
      </c>
      <c r="R331" s="36" t="s">
        <v>182</v>
      </c>
      <c r="S331" s="36">
        <v>90.0</v>
      </c>
      <c r="T331" s="36" t="s">
        <v>837</v>
      </c>
      <c r="U331" s="36" t="s">
        <v>168</v>
      </c>
      <c r="V331" s="36"/>
      <c r="W331" s="36" t="s">
        <v>838</v>
      </c>
      <c r="X331" s="38">
        <v>8.0</v>
      </c>
      <c r="Y331" s="38"/>
      <c r="Z331" s="38"/>
      <c r="AA331" s="38"/>
      <c r="AB331" s="38"/>
      <c r="AC331" s="38"/>
      <c r="AD331" s="39" t="s">
        <v>87</v>
      </c>
      <c r="AE331" s="38"/>
      <c r="AF331" s="38"/>
      <c r="AG331" s="38"/>
      <c r="AH331" s="38"/>
      <c r="AI331" s="50"/>
      <c r="AJ331" s="50"/>
      <c r="AK331" s="41"/>
      <c r="AL331" s="40"/>
      <c r="AM331" s="49"/>
      <c r="AN331" s="43"/>
      <c r="AO331" s="42"/>
      <c r="AP331" s="43"/>
      <c r="AQ331" s="44" t="str">
        <f t="shared" si="33"/>
        <v/>
      </c>
      <c r="AR331" s="44" t="str">
        <f t="shared" si="3"/>
        <v/>
      </c>
      <c r="AS331" s="44" t="str">
        <f t="shared" si="35"/>
        <v/>
      </c>
      <c r="AT331" s="44" t="str">
        <f t="shared" si="17"/>
        <v/>
      </c>
      <c r="AU331" s="44" t="str">
        <f t="shared" si="2"/>
        <v/>
      </c>
      <c r="AV331" s="38"/>
      <c r="AW331" s="38"/>
      <c r="AX331" s="38"/>
      <c r="AY331" s="38" t="s">
        <v>92</v>
      </c>
      <c r="AZ331" s="29">
        <v>30.0</v>
      </c>
      <c r="BA331" s="29">
        <v>1.0</v>
      </c>
      <c r="BB331" s="29">
        <v>1.0</v>
      </c>
      <c r="BC331" s="29"/>
      <c r="BD331" s="29" t="s">
        <v>88</v>
      </c>
      <c r="BE331" s="29" t="s">
        <v>263</v>
      </c>
      <c r="BF331" s="29" t="s">
        <v>176</v>
      </c>
      <c r="BG331" s="29" t="s">
        <v>91</v>
      </c>
      <c r="BH331" s="29" t="s">
        <v>92</v>
      </c>
      <c r="BI331" s="29" t="s">
        <v>840</v>
      </c>
      <c r="BJ331" s="29" t="s">
        <v>841</v>
      </c>
      <c r="BK331" s="29" t="s">
        <v>842</v>
      </c>
      <c r="BL331" s="29" t="s">
        <v>842</v>
      </c>
      <c r="BM331" s="45">
        <v>1.0</v>
      </c>
      <c r="BN331" s="45">
        <v>1.0</v>
      </c>
      <c r="BO331" s="46" t="s">
        <v>95</v>
      </c>
      <c r="BP331" s="2"/>
      <c r="BQ331" s="3"/>
    </row>
    <row r="332" ht="15.75" customHeight="1">
      <c r="A332" s="34">
        <v>333.0</v>
      </c>
      <c r="B332" s="34">
        <v>103196.0</v>
      </c>
      <c r="C332" s="34" t="s">
        <v>832</v>
      </c>
      <c r="D332" s="34" t="s">
        <v>833</v>
      </c>
      <c r="E332" s="34" t="s">
        <v>834</v>
      </c>
      <c r="F332" s="34">
        <v>2018.0</v>
      </c>
      <c r="G332" s="34" t="s">
        <v>835</v>
      </c>
      <c r="H332" s="34" t="s">
        <v>816</v>
      </c>
      <c r="I332" s="34" t="s">
        <v>836</v>
      </c>
      <c r="J332" s="35"/>
      <c r="K332" s="36">
        <v>0.08</v>
      </c>
      <c r="L332" s="36">
        <v>3.19</v>
      </c>
      <c r="M332" s="36"/>
      <c r="N332" s="36"/>
      <c r="O332" s="36"/>
      <c r="P332" s="52">
        <f t="shared" si="37"/>
        <v>2.507836991</v>
      </c>
      <c r="Q332" s="36" t="s">
        <v>96</v>
      </c>
      <c r="R332" s="36" t="s">
        <v>191</v>
      </c>
      <c r="S332" s="36">
        <v>90.0</v>
      </c>
      <c r="T332" s="36" t="s">
        <v>837</v>
      </c>
      <c r="U332" s="36" t="s">
        <v>168</v>
      </c>
      <c r="V332" s="36"/>
      <c r="W332" s="36" t="s">
        <v>838</v>
      </c>
      <c r="X332" s="38">
        <v>8.0</v>
      </c>
      <c r="Y332" s="38"/>
      <c r="Z332" s="38"/>
      <c r="AA332" s="38"/>
      <c r="AB332" s="38"/>
      <c r="AC332" s="38"/>
      <c r="AD332" s="39" t="s">
        <v>87</v>
      </c>
      <c r="AE332" s="38"/>
      <c r="AF332" s="38"/>
      <c r="AG332" s="38"/>
      <c r="AH332" s="38"/>
      <c r="AI332" s="50"/>
      <c r="AJ332" s="50"/>
      <c r="AK332" s="41"/>
      <c r="AL332" s="40"/>
      <c r="AM332" s="49"/>
      <c r="AN332" s="43"/>
      <c r="AO332" s="42"/>
      <c r="AP332" s="43"/>
      <c r="AQ332" s="44" t="str">
        <f t="shared" si="33"/>
        <v/>
      </c>
      <c r="AR332" s="44" t="str">
        <f t="shared" si="3"/>
        <v/>
      </c>
      <c r="AS332" s="44" t="str">
        <f t="shared" si="35"/>
        <v/>
      </c>
      <c r="AT332" s="44" t="str">
        <f t="shared" si="17"/>
        <v/>
      </c>
      <c r="AU332" s="44" t="str">
        <f t="shared" si="2"/>
        <v/>
      </c>
      <c r="AV332" s="38"/>
      <c r="AW332" s="38"/>
      <c r="AX332" s="38"/>
      <c r="AY332" s="38" t="s">
        <v>92</v>
      </c>
      <c r="AZ332" s="29">
        <v>30.0</v>
      </c>
      <c r="BA332" s="29">
        <v>1.0</v>
      </c>
      <c r="BB332" s="29">
        <v>1.0</v>
      </c>
      <c r="BC332" s="29"/>
      <c r="BD332" s="29" t="s">
        <v>88</v>
      </c>
      <c r="BE332" s="29" t="s">
        <v>263</v>
      </c>
      <c r="BF332" s="29" t="s">
        <v>176</v>
      </c>
      <c r="BG332" s="29" t="s">
        <v>91</v>
      </c>
      <c r="BH332" s="29" t="s">
        <v>92</v>
      </c>
      <c r="BI332" s="29" t="s">
        <v>840</v>
      </c>
      <c r="BJ332" s="29" t="s">
        <v>841</v>
      </c>
      <c r="BK332" s="29" t="s">
        <v>842</v>
      </c>
      <c r="BL332" s="29" t="s">
        <v>842</v>
      </c>
      <c r="BM332" s="45">
        <v>1.0</v>
      </c>
      <c r="BN332" s="45">
        <v>1.0</v>
      </c>
      <c r="BO332" s="46" t="s">
        <v>95</v>
      </c>
      <c r="BP332" s="2"/>
      <c r="BQ332" s="3"/>
    </row>
    <row r="333" ht="15.75" customHeight="1">
      <c r="A333" s="34">
        <v>334.0</v>
      </c>
      <c r="B333" s="34">
        <v>103196.0</v>
      </c>
      <c r="C333" s="34" t="s">
        <v>832</v>
      </c>
      <c r="D333" s="34" t="s">
        <v>833</v>
      </c>
      <c r="E333" s="34" t="s">
        <v>834</v>
      </c>
      <c r="F333" s="34">
        <v>2018.0</v>
      </c>
      <c r="G333" s="34" t="s">
        <v>835</v>
      </c>
      <c r="H333" s="34" t="s">
        <v>816</v>
      </c>
      <c r="I333" s="34" t="s">
        <v>836</v>
      </c>
      <c r="J333" s="35"/>
      <c r="K333" s="36">
        <v>0.07</v>
      </c>
      <c r="L333" s="36">
        <v>3.02</v>
      </c>
      <c r="M333" s="36"/>
      <c r="N333" s="36"/>
      <c r="O333" s="36"/>
      <c r="P333" s="52">
        <f t="shared" si="37"/>
        <v>2.317880795</v>
      </c>
      <c r="Q333" s="36" t="s">
        <v>96</v>
      </c>
      <c r="R333" s="36" t="s">
        <v>13</v>
      </c>
      <c r="S333" s="36">
        <v>90.0</v>
      </c>
      <c r="T333" s="36" t="s">
        <v>837</v>
      </c>
      <c r="U333" s="36" t="s">
        <v>168</v>
      </c>
      <c r="V333" s="36"/>
      <c r="W333" s="36" t="s">
        <v>838</v>
      </c>
      <c r="X333" s="38">
        <v>8.0</v>
      </c>
      <c r="Y333" s="38"/>
      <c r="Z333" s="38"/>
      <c r="AA333" s="38"/>
      <c r="AB333" s="38"/>
      <c r="AC333" s="38"/>
      <c r="AD333" s="39" t="s">
        <v>87</v>
      </c>
      <c r="AE333" s="38"/>
      <c r="AF333" s="38"/>
      <c r="AG333" s="38"/>
      <c r="AH333" s="38"/>
      <c r="AI333" s="50"/>
      <c r="AJ333" s="50"/>
      <c r="AK333" s="41"/>
      <c r="AL333" s="40"/>
      <c r="AM333" s="49"/>
      <c r="AN333" s="43"/>
      <c r="AO333" s="42"/>
      <c r="AP333" s="43"/>
      <c r="AQ333" s="44" t="str">
        <f t="shared" si="33"/>
        <v/>
      </c>
      <c r="AR333" s="44" t="str">
        <f t="shared" si="3"/>
        <v/>
      </c>
      <c r="AS333" s="44" t="str">
        <f t="shared" si="35"/>
        <v/>
      </c>
      <c r="AT333" s="44" t="str">
        <f t="shared" si="17"/>
        <v/>
      </c>
      <c r="AU333" s="44" t="str">
        <f t="shared" si="2"/>
        <v/>
      </c>
      <c r="AV333" s="38"/>
      <c r="AW333" s="38"/>
      <c r="AX333" s="38"/>
      <c r="AY333" s="38" t="s">
        <v>92</v>
      </c>
      <c r="AZ333" s="29">
        <v>30.0</v>
      </c>
      <c r="BA333" s="29">
        <v>1.0</v>
      </c>
      <c r="BB333" s="29">
        <v>1.0</v>
      </c>
      <c r="BC333" s="29"/>
      <c r="BD333" s="29" t="s">
        <v>88</v>
      </c>
      <c r="BE333" s="29" t="s">
        <v>263</v>
      </c>
      <c r="BF333" s="29" t="s">
        <v>176</v>
      </c>
      <c r="BG333" s="29" t="s">
        <v>91</v>
      </c>
      <c r="BH333" s="29" t="s">
        <v>92</v>
      </c>
      <c r="BI333" s="29" t="s">
        <v>840</v>
      </c>
      <c r="BJ333" s="29" t="s">
        <v>841</v>
      </c>
      <c r="BK333" s="29" t="s">
        <v>842</v>
      </c>
      <c r="BL333" s="29" t="s">
        <v>842</v>
      </c>
      <c r="BM333" s="45">
        <v>1.0</v>
      </c>
      <c r="BN333" s="45">
        <v>1.0</v>
      </c>
      <c r="BO333" s="46" t="s">
        <v>95</v>
      </c>
      <c r="BP333" s="2"/>
      <c r="BQ333" s="3"/>
    </row>
    <row r="334" ht="15.75" customHeight="1">
      <c r="A334" s="34">
        <v>335.0</v>
      </c>
      <c r="B334" s="34">
        <v>103196.0</v>
      </c>
      <c r="C334" s="34" t="s">
        <v>832</v>
      </c>
      <c r="D334" s="34" t="s">
        <v>833</v>
      </c>
      <c r="E334" s="34" t="s">
        <v>834</v>
      </c>
      <c r="F334" s="34">
        <v>2018.0</v>
      </c>
      <c r="G334" s="34" t="s">
        <v>835</v>
      </c>
      <c r="H334" s="34" t="s">
        <v>816</v>
      </c>
      <c r="I334" s="34" t="s">
        <v>836</v>
      </c>
      <c r="J334" s="35"/>
      <c r="K334" s="36">
        <v>0.24</v>
      </c>
      <c r="L334" s="36">
        <v>3.1</v>
      </c>
      <c r="M334" s="36"/>
      <c r="N334" s="36"/>
      <c r="O334" s="36"/>
      <c r="P334" s="52">
        <f t="shared" si="37"/>
        <v>7.741935484</v>
      </c>
      <c r="Q334" s="36" t="s">
        <v>96</v>
      </c>
      <c r="R334" s="36" t="s">
        <v>96</v>
      </c>
      <c r="S334" s="36">
        <v>90.0</v>
      </c>
      <c r="T334" s="36" t="s">
        <v>837</v>
      </c>
      <c r="U334" s="36" t="s">
        <v>168</v>
      </c>
      <c r="V334" s="36"/>
      <c r="W334" s="36" t="s">
        <v>838</v>
      </c>
      <c r="X334" s="38">
        <v>8.0</v>
      </c>
      <c r="Y334" s="38"/>
      <c r="Z334" s="38"/>
      <c r="AA334" s="38"/>
      <c r="AB334" s="38"/>
      <c r="AC334" s="38"/>
      <c r="AD334" s="39" t="s">
        <v>87</v>
      </c>
      <c r="AE334" s="38"/>
      <c r="AF334" s="38"/>
      <c r="AG334" s="38"/>
      <c r="AH334" s="38"/>
      <c r="AI334" s="50"/>
      <c r="AJ334" s="50"/>
      <c r="AK334" s="41"/>
      <c r="AL334" s="40"/>
      <c r="AM334" s="49"/>
      <c r="AN334" s="43"/>
      <c r="AO334" s="42"/>
      <c r="AP334" s="43"/>
      <c r="AQ334" s="44" t="str">
        <f t="shared" si="33"/>
        <v/>
      </c>
      <c r="AR334" s="44" t="str">
        <f t="shared" si="3"/>
        <v/>
      </c>
      <c r="AS334" s="44"/>
      <c r="AT334" s="44" t="str">
        <f t="shared" si="17"/>
        <v/>
      </c>
      <c r="AU334" s="44" t="str">
        <f t="shared" si="2"/>
        <v/>
      </c>
      <c r="AV334" s="38"/>
      <c r="AW334" s="38"/>
      <c r="AX334" s="38"/>
      <c r="AY334" s="38" t="s">
        <v>92</v>
      </c>
      <c r="AZ334" s="29">
        <v>30.0</v>
      </c>
      <c r="BA334" s="29">
        <v>1.0</v>
      </c>
      <c r="BB334" s="29">
        <v>1.0</v>
      </c>
      <c r="BC334" s="29"/>
      <c r="BD334" s="29" t="s">
        <v>88</v>
      </c>
      <c r="BE334" s="29" t="s">
        <v>89</v>
      </c>
      <c r="BF334" s="29" t="s">
        <v>176</v>
      </c>
      <c r="BG334" s="29" t="s">
        <v>91</v>
      </c>
      <c r="BH334" s="29" t="s">
        <v>92</v>
      </c>
      <c r="BI334" s="29" t="s">
        <v>840</v>
      </c>
      <c r="BJ334" s="29" t="s">
        <v>841</v>
      </c>
      <c r="BK334" s="29" t="s">
        <v>842</v>
      </c>
      <c r="BL334" s="29" t="s">
        <v>842</v>
      </c>
      <c r="BM334" s="45">
        <v>1.0</v>
      </c>
      <c r="BN334" s="45">
        <v>1.0</v>
      </c>
      <c r="BO334" s="46" t="s">
        <v>95</v>
      </c>
      <c r="BP334" s="2"/>
      <c r="BQ334" s="3"/>
    </row>
    <row r="335" ht="15.75" customHeight="1">
      <c r="A335" s="34">
        <v>336.0</v>
      </c>
      <c r="B335" s="34">
        <v>103044.0</v>
      </c>
      <c r="C335" s="34" t="s">
        <v>832</v>
      </c>
      <c r="D335" s="34" t="s">
        <v>854</v>
      </c>
      <c r="E335" s="34" t="s">
        <v>855</v>
      </c>
      <c r="F335" s="34">
        <v>2018.0</v>
      </c>
      <c r="G335" s="34" t="s">
        <v>856</v>
      </c>
      <c r="H335" s="34" t="s">
        <v>816</v>
      </c>
      <c r="I335" s="34" t="s">
        <v>857</v>
      </c>
      <c r="J335" s="35"/>
      <c r="K335" s="36">
        <v>12.89</v>
      </c>
      <c r="L335" s="47">
        <f t="shared" ref="L335:L342" si="38">K335*100/P335</f>
        <v>36.51558074</v>
      </c>
      <c r="M335" s="36"/>
      <c r="N335" s="36"/>
      <c r="O335" s="36"/>
      <c r="P335" s="37">
        <v>35.3</v>
      </c>
      <c r="Q335" s="36" t="s">
        <v>191</v>
      </c>
      <c r="R335" s="36" t="s">
        <v>191</v>
      </c>
      <c r="S335" s="36" t="s">
        <v>858</v>
      </c>
      <c r="T335" s="36" t="s">
        <v>193</v>
      </c>
      <c r="U335" s="36" t="s">
        <v>194</v>
      </c>
      <c r="V335" s="36"/>
      <c r="W335" s="36" t="s">
        <v>838</v>
      </c>
      <c r="X335" s="38">
        <v>1.0</v>
      </c>
      <c r="Y335" s="38" t="s">
        <v>859</v>
      </c>
      <c r="Z335" s="38" t="s">
        <v>860</v>
      </c>
      <c r="AA335" s="38" t="s">
        <v>452</v>
      </c>
      <c r="AB335" s="38">
        <v>42.4</v>
      </c>
      <c r="AC335" s="38">
        <v>128.1</v>
      </c>
      <c r="AD335" s="38" t="s">
        <v>198</v>
      </c>
      <c r="AE335" s="53"/>
      <c r="AF335" s="38"/>
      <c r="AG335" s="57"/>
      <c r="AH335" s="38"/>
      <c r="AI335" s="50">
        <v>42.4</v>
      </c>
      <c r="AJ335" s="50">
        <v>128.1</v>
      </c>
      <c r="AK335" s="41" t="s">
        <v>370</v>
      </c>
      <c r="AL335" s="40" t="s">
        <v>370</v>
      </c>
      <c r="AM335" s="49">
        <v>741.0</v>
      </c>
      <c r="AN335" s="51">
        <v>741.0</v>
      </c>
      <c r="AO335" s="42" t="s">
        <v>584</v>
      </c>
      <c r="AP335" s="43" t="s">
        <v>584</v>
      </c>
      <c r="AQ335" s="44" t="str">
        <f t="shared" si="33"/>
        <v>MF</v>
      </c>
      <c r="AR335" s="44">
        <f t="shared" si="3"/>
        <v>741</v>
      </c>
      <c r="AS335" s="44" t="str">
        <f t="shared" ref="AS335:AS336" si="39">LEFT(AO335,1)</f>
        <v>D</v>
      </c>
      <c r="AT335" s="44" t="str">
        <f t="shared" si="17"/>
        <v>Dw</v>
      </c>
      <c r="AU335" s="44" t="str">
        <f t="shared" si="2"/>
        <v>Dwb</v>
      </c>
      <c r="AV335" s="38"/>
      <c r="AW335" s="38"/>
      <c r="AX335" s="38"/>
      <c r="AY335" s="38" t="s">
        <v>92</v>
      </c>
      <c r="AZ335" s="29" t="s">
        <v>861</v>
      </c>
      <c r="BA335" s="29">
        <v>1.0</v>
      </c>
      <c r="BB335" s="29">
        <v>2.0</v>
      </c>
      <c r="BC335" s="29" t="s">
        <v>862</v>
      </c>
      <c r="BD335" s="29" t="s">
        <v>88</v>
      </c>
      <c r="BE335" s="29"/>
      <c r="BF335" s="29" t="s">
        <v>202</v>
      </c>
      <c r="BG335" s="29" t="s">
        <v>203</v>
      </c>
      <c r="BH335" s="29" t="s">
        <v>92</v>
      </c>
      <c r="BI335" s="29"/>
      <c r="BJ335" s="29"/>
      <c r="BK335" s="29"/>
      <c r="BL335" s="29"/>
      <c r="BM335" s="45">
        <v>1.0</v>
      </c>
      <c r="BN335" s="45">
        <v>1.0</v>
      </c>
      <c r="BO335" s="46" t="s">
        <v>202</v>
      </c>
      <c r="BP335" s="2"/>
      <c r="BQ335" s="3"/>
    </row>
    <row r="336" ht="15.75" customHeight="1">
      <c r="A336" s="34">
        <v>337.0</v>
      </c>
      <c r="B336" s="34">
        <v>103044.0</v>
      </c>
      <c r="C336" s="34" t="s">
        <v>832</v>
      </c>
      <c r="D336" s="34" t="s">
        <v>854</v>
      </c>
      <c r="E336" s="34" t="s">
        <v>855</v>
      </c>
      <c r="F336" s="34">
        <v>2018.0</v>
      </c>
      <c r="G336" s="34" t="s">
        <v>856</v>
      </c>
      <c r="H336" s="34" t="s">
        <v>816</v>
      </c>
      <c r="I336" s="34" t="s">
        <v>857</v>
      </c>
      <c r="J336" s="35"/>
      <c r="K336" s="36">
        <v>20.26</v>
      </c>
      <c r="L336" s="47">
        <f t="shared" si="38"/>
        <v>51.525941</v>
      </c>
      <c r="M336" s="36"/>
      <c r="N336" s="36"/>
      <c r="O336" s="36"/>
      <c r="P336" s="37">
        <v>39.32</v>
      </c>
      <c r="Q336" s="36" t="s">
        <v>191</v>
      </c>
      <c r="R336" s="36" t="s">
        <v>191</v>
      </c>
      <c r="S336" s="36" t="s">
        <v>858</v>
      </c>
      <c r="T336" s="36" t="s">
        <v>193</v>
      </c>
      <c r="U336" s="36" t="s">
        <v>194</v>
      </c>
      <c r="V336" s="36"/>
      <c r="W336" s="36" t="s">
        <v>838</v>
      </c>
      <c r="X336" s="38">
        <v>1.0</v>
      </c>
      <c r="Y336" s="38" t="s">
        <v>195</v>
      </c>
      <c r="Z336" s="38" t="s">
        <v>196</v>
      </c>
      <c r="AA336" s="38" t="s">
        <v>197</v>
      </c>
      <c r="AB336" s="38">
        <v>26.74</v>
      </c>
      <c r="AC336" s="38">
        <v>115.06</v>
      </c>
      <c r="AD336" s="38" t="s">
        <v>198</v>
      </c>
      <c r="AE336" s="38">
        <v>110.8</v>
      </c>
      <c r="AF336" s="38" t="s">
        <v>199</v>
      </c>
      <c r="AG336" s="38"/>
      <c r="AH336" s="38"/>
      <c r="AI336" s="50">
        <v>26.74</v>
      </c>
      <c r="AJ336" s="50">
        <v>115.06</v>
      </c>
      <c r="AK336" s="41" t="s">
        <v>200</v>
      </c>
      <c r="AL336" s="40" t="s">
        <v>200</v>
      </c>
      <c r="AM336" s="49">
        <v>110.0</v>
      </c>
      <c r="AN336" s="51">
        <v>110.0</v>
      </c>
      <c r="AO336" s="42" t="s">
        <v>201</v>
      </c>
      <c r="AP336" s="43" t="s">
        <v>201</v>
      </c>
      <c r="AQ336" s="44" t="str">
        <f t="shared" si="33"/>
        <v>ENF</v>
      </c>
      <c r="AR336" s="44">
        <f t="shared" si="3"/>
        <v>110</v>
      </c>
      <c r="AS336" s="44" t="str">
        <f t="shared" si="39"/>
        <v>C</v>
      </c>
      <c r="AT336" s="44" t="str">
        <f t="shared" si="17"/>
        <v>Cf</v>
      </c>
      <c r="AU336" s="44" t="str">
        <f t="shared" si="2"/>
        <v>Cfa</v>
      </c>
      <c r="AV336" s="38"/>
      <c r="AW336" s="38"/>
      <c r="AX336" s="38"/>
      <c r="AY336" s="38" t="s">
        <v>92</v>
      </c>
      <c r="AZ336" s="29" t="s">
        <v>861</v>
      </c>
      <c r="BA336" s="29">
        <v>1.0</v>
      </c>
      <c r="BB336" s="29">
        <v>2.0</v>
      </c>
      <c r="BC336" s="29" t="s">
        <v>862</v>
      </c>
      <c r="BD336" s="29" t="s">
        <v>88</v>
      </c>
      <c r="BE336" s="29"/>
      <c r="BF336" s="29" t="s">
        <v>202</v>
      </c>
      <c r="BG336" s="29" t="s">
        <v>203</v>
      </c>
      <c r="BH336" s="29" t="s">
        <v>92</v>
      </c>
      <c r="BI336" s="29"/>
      <c r="BJ336" s="29"/>
      <c r="BK336" s="29"/>
      <c r="BL336" s="29"/>
      <c r="BM336" s="45">
        <v>1.0</v>
      </c>
      <c r="BN336" s="45">
        <v>1.0</v>
      </c>
      <c r="BO336" s="46" t="s">
        <v>202</v>
      </c>
      <c r="BP336" s="2" t="s">
        <v>682</v>
      </c>
      <c r="BQ336" s="3"/>
    </row>
    <row r="337" ht="15.75" customHeight="1">
      <c r="A337" s="34">
        <v>338.0</v>
      </c>
      <c r="B337" s="34">
        <v>103044.0</v>
      </c>
      <c r="C337" s="34" t="s">
        <v>832</v>
      </c>
      <c r="D337" s="34" t="s">
        <v>854</v>
      </c>
      <c r="E337" s="34" t="s">
        <v>855</v>
      </c>
      <c r="F337" s="34">
        <v>2018.0</v>
      </c>
      <c r="G337" s="34" t="s">
        <v>856</v>
      </c>
      <c r="H337" s="34" t="s">
        <v>816</v>
      </c>
      <c r="I337" s="34" t="s">
        <v>857</v>
      </c>
      <c r="J337" s="35"/>
      <c r="K337" s="36">
        <v>25.24</v>
      </c>
      <c r="L337" s="47">
        <f t="shared" si="38"/>
        <v>52.70411359</v>
      </c>
      <c r="M337" s="36"/>
      <c r="N337" s="36"/>
      <c r="O337" s="36"/>
      <c r="P337" s="37">
        <v>47.89</v>
      </c>
      <c r="Q337" s="36" t="s">
        <v>191</v>
      </c>
      <c r="R337" s="36" t="s">
        <v>191</v>
      </c>
      <c r="S337" s="36" t="s">
        <v>858</v>
      </c>
      <c r="T337" s="36" t="s">
        <v>193</v>
      </c>
      <c r="U337" s="36" t="s">
        <v>194</v>
      </c>
      <c r="V337" s="36"/>
      <c r="W337" s="36" t="s">
        <v>838</v>
      </c>
      <c r="X337" s="38">
        <v>2.0</v>
      </c>
      <c r="Y337" s="38" t="s">
        <v>863</v>
      </c>
      <c r="Z337" s="38"/>
      <c r="AA337" s="38" t="s">
        <v>336</v>
      </c>
      <c r="AB337" s="38"/>
      <c r="AC337" s="38"/>
      <c r="AD337" s="38" t="s">
        <v>198</v>
      </c>
      <c r="AE337" s="53"/>
      <c r="AF337" s="38"/>
      <c r="AG337" s="38"/>
      <c r="AH337" s="38"/>
      <c r="AI337" s="50"/>
      <c r="AJ337" s="50"/>
      <c r="AK337" s="41"/>
      <c r="AL337" s="40"/>
      <c r="AM337" s="49"/>
      <c r="AN337" s="43"/>
      <c r="AO337" s="42"/>
      <c r="AP337" s="43"/>
      <c r="AQ337" s="44" t="str">
        <f t="shared" si="33"/>
        <v>EBF</v>
      </c>
      <c r="AR337" s="44" t="str">
        <f t="shared" si="3"/>
        <v/>
      </c>
      <c r="AS337" s="44"/>
      <c r="AT337" s="44" t="str">
        <f t="shared" si="17"/>
        <v/>
      </c>
      <c r="AU337" s="44" t="str">
        <f t="shared" si="2"/>
        <v/>
      </c>
      <c r="AV337" s="38"/>
      <c r="AW337" s="38"/>
      <c r="AX337" s="38"/>
      <c r="AY337" s="38" t="s">
        <v>92</v>
      </c>
      <c r="AZ337" s="29" t="s">
        <v>861</v>
      </c>
      <c r="BA337" s="29">
        <v>1.0</v>
      </c>
      <c r="BB337" s="29">
        <v>2.0</v>
      </c>
      <c r="BC337" s="29" t="s">
        <v>862</v>
      </c>
      <c r="BD337" s="29" t="s">
        <v>88</v>
      </c>
      <c r="BE337" s="29"/>
      <c r="BF337" s="29" t="s">
        <v>202</v>
      </c>
      <c r="BG337" s="29" t="s">
        <v>203</v>
      </c>
      <c r="BH337" s="29" t="s">
        <v>92</v>
      </c>
      <c r="BI337" s="29"/>
      <c r="BJ337" s="29"/>
      <c r="BK337" s="29"/>
      <c r="BL337" s="29"/>
      <c r="BM337" s="45">
        <v>1.0</v>
      </c>
      <c r="BN337" s="45">
        <v>1.0</v>
      </c>
      <c r="BO337" s="46" t="s">
        <v>202</v>
      </c>
      <c r="BP337" s="2"/>
      <c r="BQ337" s="3"/>
    </row>
    <row r="338" ht="15.75" customHeight="1">
      <c r="A338" s="34">
        <v>339.0</v>
      </c>
      <c r="B338" s="34">
        <v>103044.0</v>
      </c>
      <c r="C338" s="34" t="s">
        <v>832</v>
      </c>
      <c r="D338" s="34" t="s">
        <v>854</v>
      </c>
      <c r="E338" s="34" t="s">
        <v>855</v>
      </c>
      <c r="F338" s="34">
        <v>2018.0</v>
      </c>
      <c r="G338" s="34" t="s">
        <v>856</v>
      </c>
      <c r="H338" s="34" t="s">
        <v>816</v>
      </c>
      <c r="I338" s="34" t="s">
        <v>857</v>
      </c>
      <c r="J338" s="35"/>
      <c r="K338" s="36">
        <v>-1.1</v>
      </c>
      <c r="L338" s="47">
        <f t="shared" si="38"/>
        <v>55.55555556</v>
      </c>
      <c r="M338" s="36"/>
      <c r="N338" s="36"/>
      <c r="O338" s="36"/>
      <c r="P338" s="37">
        <v>-1.98</v>
      </c>
      <c r="Q338" s="36" t="s">
        <v>191</v>
      </c>
      <c r="R338" s="36" t="s">
        <v>191</v>
      </c>
      <c r="S338" s="36" t="s">
        <v>858</v>
      </c>
      <c r="T338" s="36" t="s">
        <v>193</v>
      </c>
      <c r="U338" s="36" t="s">
        <v>507</v>
      </c>
      <c r="V338" s="36"/>
      <c r="W338" s="36" t="s">
        <v>838</v>
      </c>
      <c r="X338" s="38">
        <v>2.0</v>
      </c>
      <c r="Y338" s="38" t="s">
        <v>864</v>
      </c>
      <c r="Z338" s="38"/>
      <c r="AA338" s="38" t="s">
        <v>86</v>
      </c>
      <c r="AB338" s="38"/>
      <c r="AC338" s="38"/>
      <c r="AD338" s="38" t="s">
        <v>198</v>
      </c>
      <c r="AE338" s="38"/>
      <c r="AF338" s="38"/>
      <c r="AG338" s="38"/>
      <c r="AH338" s="38"/>
      <c r="AI338" s="50"/>
      <c r="AJ338" s="50"/>
      <c r="AK338" s="41"/>
      <c r="AL338" s="40"/>
      <c r="AM338" s="49"/>
      <c r="AN338" s="51"/>
      <c r="AO338" s="42"/>
      <c r="AP338" s="43"/>
      <c r="AQ338" s="44" t="str">
        <f t="shared" si="33"/>
        <v>CRO</v>
      </c>
      <c r="AR338" s="44" t="str">
        <f t="shared" si="3"/>
        <v/>
      </c>
      <c r="AS338" s="44"/>
      <c r="AT338" s="44" t="str">
        <f t="shared" si="17"/>
        <v/>
      </c>
      <c r="AU338" s="44" t="str">
        <f t="shared" si="2"/>
        <v/>
      </c>
      <c r="AV338" s="38"/>
      <c r="AW338" s="38"/>
      <c r="AX338" s="38"/>
      <c r="AY338" s="38" t="s">
        <v>92</v>
      </c>
      <c r="AZ338" s="29" t="s">
        <v>861</v>
      </c>
      <c r="BA338" s="29">
        <v>1.0</v>
      </c>
      <c r="BB338" s="29">
        <v>2.0</v>
      </c>
      <c r="BC338" s="29" t="s">
        <v>862</v>
      </c>
      <c r="BD338" s="29" t="s">
        <v>88</v>
      </c>
      <c r="BE338" s="29"/>
      <c r="BF338" s="29" t="s">
        <v>202</v>
      </c>
      <c r="BG338" s="29" t="s">
        <v>203</v>
      </c>
      <c r="BH338" s="29" t="s">
        <v>92</v>
      </c>
      <c r="BI338" s="29"/>
      <c r="BJ338" s="29"/>
      <c r="BK338" s="29"/>
      <c r="BL338" s="29"/>
      <c r="BM338" s="45">
        <v>1.0</v>
      </c>
      <c r="BN338" s="45">
        <v>1.0</v>
      </c>
      <c r="BO338" s="46" t="s">
        <v>202</v>
      </c>
      <c r="BP338" s="2"/>
      <c r="BQ338" s="3"/>
    </row>
    <row r="339" ht="15.75" customHeight="1">
      <c r="A339" s="34">
        <v>340.0</v>
      </c>
      <c r="B339" s="34">
        <v>103044.0</v>
      </c>
      <c r="C339" s="34" t="s">
        <v>832</v>
      </c>
      <c r="D339" s="34" t="s">
        <v>854</v>
      </c>
      <c r="E339" s="34" t="s">
        <v>855</v>
      </c>
      <c r="F339" s="34">
        <v>2018.0</v>
      </c>
      <c r="G339" s="34" t="s">
        <v>856</v>
      </c>
      <c r="H339" s="34" t="s">
        <v>816</v>
      </c>
      <c r="I339" s="34" t="s">
        <v>857</v>
      </c>
      <c r="J339" s="35"/>
      <c r="K339" s="36">
        <v>-4.34</v>
      </c>
      <c r="L339" s="47">
        <f t="shared" si="38"/>
        <v>33.35895465</v>
      </c>
      <c r="M339" s="36"/>
      <c r="N339" s="36"/>
      <c r="O339" s="36"/>
      <c r="P339" s="37">
        <v>-13.01</v>
      </c>
      <c r="Q339" s="36" t="s">
        <v>191</v>
      </c>
      <c r="R339" s="36" t="s">
        <v>191</v>
      </c>
      <c r="S339" s="36" t="s">
        <v>858</v>
      </c>
      <c r="T339" s="36" t="s">
        <v>284</v>
      </c>
      <c r="U339" s="36" t="s">
        <v>507</v>
      </c>
      <c r="V339" s="36"/>
      <c r="W339" s="36" t="s">
        <v>838</v>
      </c>
      <c r="X339" s="38">
        <v>5.0</v>
      </c>
      <c r="Y339" s="38" t="s">
        <v>865</v>
      </c>
      <c r="Z339" s="38"/>
      <c r="AA339" s="38" t="s">
        <v>288</v>
      </c>
      <c r="AB339" s="38"/>
      <c r="AC339" s="38"/>
      <c r="AD339" s="38" t="s">
        <v>198</v>
      </c>
      <c r="AE339" s="53"/>
      <c r="AF339" s="38"/>
      <c r="AG339" s="38"/>
      <c r="AH339" s="38"/>
      <c r="AI339" s="50"/>
      <c r="AJ339" s="50"/>
      <c r="AK339" s="41"/>
      <c r="AL339" s="40"/>
      <c r="AM339" s="49"/>
      <c r="AN339" s="43"/>
      <c r="AO339" s="42"/>
      <c r="AP339" s="43"/>
      <c r="AQ339" s="44" t="str">
        <f t="shared" si="33"/>
        <v>GRA</v>
      </c>
      <c r="AR339" s="44" t="str">
        <f t="shared" si="3"/>
        <v/>
      </c>
      <c r="AS339" s="44"/>
      <c r="AT339" s="44" t="str">
        <f t="shared" si="17"/>
        <v/>
      </c>
      <c r="AU339" s="44" t="str">
        <f t="shared" si="2"/>
        <v/>
      </c>
      <c r="AV339" s="38"/>
      <c r="AW339" s="38"/>
      <c r="AX339" s="38"/>
      <c r="AY339" s="38" t="s">
        <v>92</v>
      </c>
      <c r="AZ339" s="29" t="s">
        <v>861</v>
      </c>
      <c r="BA339" s="29">
        <v>1.0</v>
      </c>
      <c r="BB339" s="29">
        <v>2.0</v>
      </c>
      <c r="BC339" s="29" t="s">
        <v>862</v>
      </c>
      <c r="BD339" s="29" t="s">
        <v>88</v>
      </c>
      <c r="BE339" s="29"/>
      <c r="BF339" s="29" t="s">
        <v>202</v>
      </c>
      <c r="BG339" s="29" t="s">
        <v>203</v>
      </c>
      <c r="BH339" s="29" t="s">
        <v>92</v>
      </c>
      <c r="BI339" s="29"/>
      <c r="BJ339" s="29"/>
      <c r="BK339" s="29"/>
      <c r="BL339" s="29"/>
      <c r="BM339" s="45">
        <v>1.0</v>
      </c>
      <c r="BN339" s="45">
        <v>1.0</v>
      </c>
      <c r="BO339" s="46" t="s">
        <v>202</v>
      </c>
      <c r="BP339" s="2"/>
      <c r="BQ339" s="3"/>
    </row>
    <row r="340" ht="15.75" customHeight="1">
      <c r="A340" s="34">
        <v>341.0</v>
      </c>
      <c r="B340" s="34">
        <v>103044.0</v>
      </c>
      <c r="C340" s="34" t="s">
        <v>832</v>
      </c>
      <c r="D340" s="34" t="s">
        <v>854</v>
      </c>
      <c r="E340" s="34" t="s">
        <v>855</v>
      </c>
      <c r="F340" s="34">
        <v>2018.0</v>
      </c>
      <c r="G340" s="34" t="s">
        <v>856</v>
      </c>
      <c r="H340" s="34" t="s">
        <v>816</v>
      </c>
      <c r="I340" s="34" t="s">
        <v>857</v>
      </c>
      <c r="J340" s="35"/>
      <c r="K340" s="36">
        <v>-9.51</v>
      </c>
      <c r="L340" s="47">
        <f t="shared" si="38"/>
        <v>46.57198825</v>
      </c>
      <c r="M340" s="36"/>
      <c r="N340" s="36"/>
      <c r="O340" s="36"/>
      <c r="P340" s="37">
        <v>-20.42</v>
      </c>
      <c r="Q340" s="36" t="s">
        <v>191</v>
      </c>
      <c r="R340" s="36" t="s">
        <v>191</v>
      </c>
      <c r="S340" s="36" t="s">
        <v>858</v>
      </c>
      <c r="T340" s="36" t="s">
        <v>193</v>
      </c>
      <c r="U340" s="36" t="s">
        <v>194</v>
      </c>
      <c r="V340" s="36"/>
      <c r="W340" s="36" t="s">
        <v>838</v>
      </c>
      <c r="X340" s="38">
        <v>1.0</v>
      </c>
      <c r="Y340" s="38" t="s">
        <v>866</v>
      </c>
      <c r="Z340" s="38" t="s">
        <v>867</v>
      </c>
      <c r="AA340" s="38" t="s">
        <v>214</v>
      </c>
      <c r="AB340" s="38">
        <v>37.61</v>
      </c>
      <c r="AC340" s="38">
        <v>101.33</v>
      </c>
      <c r="AD340" s="38" t="s">
        <v>198</v>
      </c>
      <c r="AE340" s="53"/>
      <c r="AF340" s="38"/>
      <c r="AG340" s="57"/>
      <c r="AH340" s="38"/>
      <c r="AI340" s="50">
        <v>37.61</v>
      </c>
      <c r="AJ340" s="50">
        <v>101.33</v>
      </c>
      <c r="AK340" s="41" t="s">
        <v>288</v>
      </c>
      <c r="AL340" s="40" t="s">
        <v>288</v>
      </c>
      <c r="AM340" s="49">
        <v>3201.0</v>
      </c>
      <c r="AN340" s="51">
        <v>3201.0</v>
      </c>
      <c r="AO340" s="42" t="s">
        <v>597</v>
      </c>
      <c r="AP340" s="43" t="s">
        <v>597</v>
      </c>
      <c r="AQ340" s="44" t="str">
        <f t="shared" si="33"/>
        <v>WET</v>
      </c>
      <c r="AR340" s="44">
        <f t="shared" si="3"/>
        <v>3201</v>
      </c>
      <c r="AS340" s="44" t="str">
        <f>LEFT(AO340,1)</f>
        <v>D</v>
      </c>
      <c r="AT340" s="44" t="str">
        <f t="shared" si="17"/>
        <v>Dw</v>
      </c>
      <c r="AU340" s="44" t="str">
        <f t="shared" si="2"/>
        <v>Dwc</v>
      </c>
      <c r="AV340" s="38"/>
      <c r="AW340" s="38"/>
      <c r="AX340" s="38"/>
      <c r="AY340" s="38" t="s">
        <v>92</v>
      </c>
      <c r="AZ340" s="29" t="s">
        <v>861</v>
      </c>
      <c r="BA340" s="29">
        <v>1.0</v>
      </c>
      <c r="BB340" s="29">
        <v>2.0</v>
      </c>
      <c r="BC340" s="29" t="s">
        <v>862</v>
      </c>
      <c r="BD340" s="29" t="s">
        <v>88</v>
      </c>
      <c r="BE340" s="29"/>
      <c r="BF340" s="29" t="s">
        <v>202</v>
      </c>
      <c r="BG340" s="29" t="s">
        <v>203</v>
      </c>
      <c r="BH340" s="29" t="s">
        <v>92</v>
      </c>
      <c r="BI340" s="29"/>
      <c r="BJ340" s="29"/>
      <c r="BK340" s="29"/>
      <c r="BL340" s="29"/>
      <c r="BM340" s="45">
        <v>1.0</v>
      </c>
      <c r="BN340" s="45">
        <v>1.0</v>
      </c>
      <c r="BO340" s="46" t="s">
        <v>202</v>
      </c>
      <c r="BP340" s="2"/>
      <c r="BQ340" s="3"/>
    </row>
    <row r="341" ht="15.75" customHeight="1">
      <c r="A341" s="34">
        <v>342.0</v>
      </c>
      <c r="B341" s="34">
        <v>103044.0</v>
      </c>
      <c r="C341" s="34" t="s">
        <v>832</v>
      </c>
      <c r="D341" s="34" t="s">
        <v>854</v>
      </c>
      <c r="E341" s="34" t="s">
        <v>855</v>
      </c>
      <c r="F341" s="34">
        <v>2018.0</v>
      </c>
      <c r="G341" s="34" t="s">
        <v>856</v>
      </c>
      <c r="H341" s="34" t="s">
        <v>816</v>
      </c>
      <c r="I341" s="34" t="s">
        <v>857</v>
      </c>
      <c r="J341" s="35"/>
      <c r="K341" s="36">
        <v>4.14</v>
      </c>
      <c r="L341" s="47">
        <f t="shared" si="38"/>
        <v>43.67088608</v>
      </c>
      <c r="M341" s="36"/>
      <c r="N341" s="36"/>
      <c r="O341" s="36"/>
      <c r="P341" s="37">
        <v>9.48</v>
      </c>
      <c r="Q341" s="36" t="s">
        <v>191</v>
      </c>
      <c r="R341" s="36" t="s">
        <v>191</v>
      </c>
      <c r="S341" s="36" t="s">
        <v>858</v>
      </c>
      <c r="T341" s="36" t="s">
        <v>284</v>
      </c>
      <c r="U341" s="36" t="s">
        <v>507</v>
      </c>
      <c r="V341" s="36"/>
      <c r="W341" s="36" t="s">
        <v>838</v>
      </c>
      <c r="X341" s="38">
        <v>12.0</v>
      </c>
      <c r="Y341" s="38" t="s">
        <v>868</v>
      </c>
      <c r="Z341" s="38"/>
      <c r="AA341" s="38"/>
      <c r="AB341" s="38"/>
      <c r="AC341" s="38"/>
      <c r="AD341" s="38" t="s">
        <v>198</v>
      </c>
      <c r="AE341" s="38"/>
      <c r="AF341" s="38"/>
      <c r="AG341" s="38"/>
      <c r="AH341" s="38"/>
      <c r="AI341" s="50"/>
      <c r="AJ341" s="50"/>
      <c r="AK341" s="41"/>
      <c r="AL341" s="40"/>
      <c r="AM341" s="49"/>
      <c r="AN341" s="43"/>
      <c r="AO341" s="42"/>
      <c r="AP341" s="43"/>
      <c r="AQ341" s="44" t="str">
        <f t="shared" si="33"/>
        <v/>
      </c>
      <c r="AR341" s="44" t="str">
        <f t="shared" si="3"/>
        <v/>
      </c>
      <c r="AS341" s="44"/>
      <c r="AT341" s="44" t="str">
        <f t="shared" si="17"/>
        <v/>
      </c>
      <c r="AU341" s="44" t="str">
        <f t="shared" si="2"/>
        <v/>
      </c>
      <c r="AV341" s="38"/>
      <c r="AW341" s="38"/>
      <c r="AX341" s="38"/>
      <c r="AY341" s="38" t="s">
        <v>92</v>
      </c>
      <c r="AZ341" s="29" t="s">
        <v>861</v>
      </c>
      <c r="BA341" s="29">
        <v>1.0</v>
      </c>
      <c r="BB341" s="29">
        <v>2.0</v>
      </c>
      <c r="BC341" s="29" t="s">
        <v>862</v>
      </c>
      <c r="BD341" s="29" t="s">
        <v>88</v>
      </c>
      <c r="BE341" s="29"/>
      <c r="BF341" s="29" t="s">
        <v>202</v>
      </c>
      <c r="BG341" s="29" t="s">
        <v>203</v>
      </c>
      <c r="BH341" s="29" t="s">
        <v>92</v>
      </c>
      <c r="BI341" s="29"/>
      <c r="BJ341" s="29"/>
      <c r="BK341" s="29"/>
      <c r="BL341" s="29"/>
      <c r="BM341" s="45">
        <v>1.0</v>
      </c>
      <c r="BN341" s="45">
        <v>1.0</v>
      </c>
      <c r="BO341" s="46" t="s">
        <v>202</v>
      </c>
      <c r="BP341" s="2"/>
      <c r="BQ341" s="3"/>
    </row>
    <row r="342" ht="15.75" customHeight="1">
      <c r="A342" s="34">
        <v>343.0</v>
      </c>
      <c r="B342" s="34">
        <v>103044.0</v>
      </c>
      <c r="C342" s="34" t="s">
        <v>832</v>
      </c>
      <c r="D342" s="34" t="s">
        <v>854</v>
      </c>
      <c r="E342" s="34" t="s">
        <v>855</v>
      </c>
      <c r="F342" s="34">
        <v>2018.0</v>
      </c>
      <c r="G342" s="34" t="s">
        <v>856</v>
      </c>
      <c r="H342" s="34" t="s">
        <v>816</v>
      </c>
      <c r="I342" s="34" t="s">
        <v>857</v>
      </c>
      <c r="J342" s="35"/>
      <c r="K342" s="36">
        <v>50.04</v>
      </c>
      <c r="L342" s="47">
        <f t="shared" si="38"/>
        <v>521.25</v>
      </c>
      <c r="M342" s="36"/>
      <c r="N342" s="36"/>
      <c r="O342" s="36"/>
      <c r="P342" s="37">
        <v>9.6</v>
      </c>
      <c r="Q342" s="36" t="s">
        <v>13</v>
      </c>
      <c r="R342" s="36" t="s">
        <v>13</v>
      </c>
      <c r="S342" s="36" t="s">
        <v>858</v>
      </c>
      <c r="T342" s="36" t="s">
        <v>284</v>
      </c>
      <c r="U342" s="36" t="s">
        <v>507</v>
      </c>
      <c r="V342" s="36"/>
      <c r="W342" s="36" t="s">
        <v>838</v>
      </c>
      <c r="X342" s="38">
        <v>12.0</v>
      </c>
      <c r="Y342" s="38" t="s">
        <v>868</v>
      </c>
      <c r="Z342" s="38"/>
      <c r="AA342" s="38"/>
      <c r="AB342" s="38"/>
      <c r="AC342" s="38"/>
      <c r="AD342" s="38" t="s">
        <v>198</v>
      </c>
      <c r="AE342" s="38"/>
      <c r="AF342" s="38"/>
      <c r="AG342" s="38"/>
      <c r="AH342" s="38"/>
      <c r="AI342" s="50"/>
      <c r="AJ342" s="50"/>
      <c r="AK342" s="41"/>
      <c r="AL342" s="40"/>
      <c r="AM342" s="49"/>
      <c r="AN342" s="43"/>
      <c r="AO342" s="42"/>
      <c r="AP342" s="43"/>
      <c r="AQ342" s="44" t="str">
        <f t="shared" si="33"/>
        <v/>
      </c>
      <c r="AR342" s="44" t="str">
        <f t="shared" si="3"/>
        <v/>
      </c>
      <c r="AS342" s="44"/>
      <c r="AT342" s="44" t="str">
        <f t="shared" si="17"/>
        <v/>
      </c>
      <c r="AU342" s="44" t="str">
        <f t="shared" si="2"/>
        <v/>
      </c>
      <c r="AV342" s="38"/>
      <c r="AW342" s="38"/>
      <c r="AX342" s="38"/>
      <c r="AY342" s="38" t="s">
        <v>92</v>
      </c>
      <c r="AZ342" s="29" t="s">
        <v>861</v>
      </c>
      <c r="BA342" s="29">
        <v>1.0</v>
      </c>
      <c r="BB342" s="29">
        <v>2.0</v>
      </c>
      <c r="BC342" s="29" t="s">
        <v>862</v>
      </c>
      <c r="BD342" s="29" t="s">
        <v>88</v>
      </c>
      <c r="BE342" s="29"/>
      <c r="BF342" s="29" t="s">
        <v>202</v>
      </c>
      <c r="BG342" s="29" t="s">
        <v>203</v>
      </c>
      <c r="BH342" s="29" t="s">
        <v>92</v>
      </c>
      <c r="BI342" s="29"/>
      <c r="BJ342" s="29"/>
      <c r="BK342" s="29"/>
      <c r="BL342" s="29"/>
      <c r="BM342" s="45">
        <v>1.0</v>
      </c>
      <c r="BN342" s="45">
        <v>1.0</v>
      </c>
      <c r="BO342" s="46" t="s">
        <v>202</v>
      </c>
      <c r="BP342" s="2"/>
      <c r="BQ342" s="3"/>
    </row>
    <row r="343" ht="15.75" customHeight="1">
      <c r="A343" s="34">
        <v>344.0</v>
      </c>
      <c r="B343" s="34">
        <v>103018.0</v>
      </c>
      <c r="C343" s="34" t="s">
        <v>832</v>
      </c>
      <c r="D343" s="34" t="s">
        <v>869</v>
      </c>
      <c r="E343" s="34" t="s">
        <v>870</v>
      </c>
      <c r="F343" s="34">
        <v>2018.0</v>
      </c>
      <c r="G343" s="34" t="s">
        <v>871</v>
      </c>
      <c r="H343" s="34" t="s">
        <v>816</v>
      </c>
      <c r="I343" s="34" t="s">
        <v>872</v>
      </c>
      <c r="J343" s="35"/>
      <c r="K343" s="36"/>
      <c r="L343" s="36"/>
      <c r="M343" s="36"/>
      <c r="N343" s="36">
        <v>-135.9</v>
      </c>
      <c r="O343" s="36"/>
      <c r="P343" s="37">
        <v>-47.3</v>
      </c>
      <c r="Q343" s="36"/>
      <c r="R343" s="36" t="s">
        <v>873</v>
      </c>
      <c r="S343" s="36">
        <v>3.0</v>
      </c>
      <c r="T343" s="36" t="s">
        <v>874</v>
      </c>
      <c r="U343" s="36" t="s">
        <v>875</v>
      </c>
      <c r="V343" s="36">
        <v>12.0</v>
      </c>
      <c r="W343" s="36" t="s">
        <v>88</v>
      </c>
      <c r="X343" s="38">
        <v>1.0</v>
      </c>
      <c r="Y343" s="38" t="s">
        <v>876</v>
      </c>
      <c r="Z343" s="38" t="s">
        <v>876</v>
      </c>
      <c r="AA343" s="38" t="s">
        <v>86</v>
      </c>
      <c r="AB343" s="38">
        <v>24.175</v>
      </c>
      <c r="AC343" s="38">
        <v>48.0667</v>
      </c>
      <c r="AD343" s="38" t="s">
        <v>877</v>
      </c>
      <c r="AE343" s="38"/>
      <c r="AF343" s="38" t="s">
        <v>878</v>
      </c>
      <c r="AG343" s="38"/>
      <c r="AH343" s="38">
        <v>3.8</v>
      </c>
      <c r="AI343" s="50">
        <v>24.175</v>
      </c>
      <c r="AJ343" s="50">
        <v>48.0667</v>
      </c>
      <c r="AK343" s="41" t="s">
        <v>664</v>
      </c>
      <c r="AL343" s="40" t="s">
        <v>664</v>
      </c>
      <c r="AM343" s="49">
        <v>361.0</v>
      </c>
      <c r="AN343" s="51">
        <v>361.0</v>
      </c>
      <c r="AO343" s="42" t="s">
        <v>355</v>
      </c>
      <c r="AP343" s="43" t="s">
        <v>355</v>
      </c>
      <c r="AQ343" s="44" t="str">
        <f t="shared" si="33"/>
        <v>CRO</v>
      </c>
      <c r="AR343" s="44">
        <f t="shared" si="3"/>
        <v>361</v>
      </c>
      <c r="AS343" s="44" t="str">
        <f t="shared" ref="AS343:AS351" si="40">LEFT(AO343,1)</f>
        <v>B</v>
      </c>
      <c r="AT343" s="44" t="str">
        <f t="shared" si="17"/>
        <v>BW</v>
      </c>
      <c r="AU343" s="44" t="str">
        <f t="shared" si="2"/>
        <v>BWh</v>
      </c>
      <c r="AV343" s="38">
        <v>3.0</v>
      </c>
      <c r="AW343" s="38"/>
      <c r="AX343" s="38" t="s">
        <v>879</v>
      </c>
      <c r="AY343" s="38" t="s">
        <v>880</v>
      </c>
      <c r="AZ343" s="29">
        <v>3.0</v>
      </c>
      <c r="BA343" s="29">
        <v>1.0</v>
      </c>
      <c r="BB343" s="29">
        <v>1.0</v>
      </c>
      <c r="BC343" s="29"/>
      <c r="BD343" s="29" t="s">
        <v>88</v>
      </c>
      <c r="BE343" s="29" t="s">
        <v>89</v>
      </c>
      <c r="BF343" s="29" t="s">
        <v>881</v>
      </c>
      <c r="BG343" s="29" t="s">
        <v>203</v>
      </c>
      <c r="BH343" s="29" t="s">
        <v>88</v>
      </c>
      <c r="BI343" s="29" t="s">
        <v>882</v>
      </c>
      <c r="BJ343" s="29"/>
      <c r="BK343" s="29" t="s">
        <v>883</v>
      </c>
      <c r="BL343" s="29"/>
      <c r="BM343" s="45">
        <v>1.0</v>
      </c>
      <c r="BN343" s="45">
        <v>1.0</v>
      </c>
      <c r="BO343" s="46" t="s">
        <v>881</v>
      </c>
      <c r="BP343" s="2"/>
      <c r="BQ343" s="3"/>
    </row>
    <row r="344" ht="15.75" customHeight="1">
      <c r="A344" s="34">
        <v>345.0</v>
      </c>
      <c r="B344" s="34">
        <v>103018.0</v>
      </c>
      <c r="C344" s="34" t="s">
        <v>832</v>
      </c>
      <c r="D344" s="34" t="s">
        <v>869</v>
      </c>
      <c r="E344" s="34" t="s">
        <v>870</v>
      </c>
      <c r="F344" s="34">
        <v>2018.0</v>
      </c>
      <c r="G344" s="34" t="s">
        <v>871</v>
      </c>
      <c r="H344" s="34" t="s">
        <v>816</v>
      </c>
      <c r="I344" s="34" t="s">
        <v>872</v>
      </c>
      <c r="J344" s="35"/>
      <c r="K344" s="36"/>
      <c r="L344" s="36"/>
      <c r="M344" s="36"/>
      <c r="N344" s="36">
        <v>-66.0</v>
      </c>
      <c r="O344" s="36"/>
      <c r="P344" s="37">
        <v>-22.9</v>
      </c>
      <c r="Q344" s="36"/>
      <c r="R344" s="36" t="s">
        <v>873</v>
      </c>
      <c r="S344" s="36">
        <v>3.0</v>
      </c>
      <c r="T344" s="36" t="s">
        <v>874</v>
      </c>
      <c r="U344" s="36" t="s">
        <v>875</v>
      </c>
      <c r="V344" s="36">
        <v>12.0</v>
      </c>
      <c r="W344" s="36" t="s">
        <v>88</v>
      </c>
      <c r="X344" s="38">
        <v>1.0</v>
      </c>
      <c r="Y344" s="38" t="s">
        <v>876</v>
      </c>
      <c r="Z344" s="38" t="s">
        <v>876</v>
      </c>
      <c r="AA344" s="38" t="s">
        <v>86</v>
      </c>
      <c r="AB344" s="38">
        <v>24.175</v>
      </c>
      <c r="AC344" s="38">
        <v>48.0667</v>
      </c>
      <c r="AD344" s="38" t="s">
        <v>877</v>
      </c>
      <c r="AE344" s="38"/>
      <c r="AF344" s="38" t="s">
        <v>878</v>
      </c>
      <c r="AG344" s="38"/>
      <c r="AH344" s="38">
        <v>3.8</v>
      </c>
      <c r="AI344" s="50">
        <v>24.175</v>
      </c>
      <c r="AJ344" s="50">
        <v>48.0667</v>
      </c>
      <c r="AK344" s="41" t="s">
        <v>664</v>
      </c>
      <c r="AL344" s="40" t="s">
        <v>664</v>
      </c>
      <c r="AM344" s="49">
        <v>361.0</v>
      </c>
      <c r="AN344" s="51">
        <v>361.0</v>
      </c>
      <c r="AO344" s="42" t="s">
        <v>355</v>
      </c>
      <c r="AP344" s="43" t="s">
        <v>355</v>
      </c>
      <c r="AQ344" s="44" t="str">
        <f t="shared" si="33"/>
        <v>CRO</v>
      </c>
      <c r="AR344" s="44">
        <f t="shared" si="3"/>
        <v>361</v>
      </c>
      <c r="AS344" s="44" t="str">
        <f t="shared" si="40"/>
        <v>B</v>
      </c>
      <c r="AT344" s="44" t="str">
        <f t="shared" si="17"/>
        <v>BW</v>
      </c>
      <c r="AU344" s="44" t="str">
        <f t="shared" si="2"/>
        <v>BWh</v>
      </c>
      <c r="AV344" s="38">
        <v>3.0</v>
      </c>
      <c r="AW344" s="38"/>
      <c r="AX344" s="38" t="s">
        <v>879</v>
      </c>
      <c r="AY344" s="38" t="s">
        <v>880</v>
      </c>
      <c r="AZ344" s="29">
        <v>3.0</v>
      </c>
      <c r="BA344" s="29">
        <v>1.0</v>
      </c>
      <c r="BB344" s="29">
        <v>1.0</v>
      </c>
      <c r="BC344" s="29"/>
      <c r="BD344" s="29" t="s">
        <v>88</v>
      </c>
      <c r="BE344" s="29" t="s">
        <v>263</v>
      </c>
      <c r="BF344" s="29" t="s">
        <v>881</v>
      </c>
      <c r="BG344" s="29" t="s">
        <v>203</v>
      </c>
      <c r="BH344" s="29" t="s">
        <v>88</v>
      </c>
      <c r="BI344" s="29" t="s">
        <v>882</v>
      </c>
      <c r="BJ344" s="29"/>
      <c r="BK344" s="29" t="s">
        <v>883</v>
      </c>
      <c r="BL344" s="29"/>
      <c r="BM344" s="45">
        <v>1.0</v>
      </c>
      <c r="BN344" s="45">
        <v>1.0</v>
      </c>
      <c r="BO344" s="46" t="s">
        <v>881</v>
      </c>
      <c r="BP344" s="2"/>
      <c r="BQ344" s="3"/>
    </row>
    <row r="345" ht="15.75" customHeight="1">
      <c r="A345" s="34">
        <v>346.0</v>
      </c>
      <c r="B345" s="34">
        <v>103018.0</v>
      </c>
      <c r="C345" s="34" t="s">
        <v>832</v>
      </c>
      <c r="D345" s="34" t="s">
        <v>869</v>
      </c>
      <c r="E345" s="34" t="s">
        <v>870</v>
      </c>
      <c r="F345" s="34">
        <v>2018.0</v>
      </c>
      <c r="G345" s="34" t="s">
        <v>871</v>
      </c>
      <c r="H345" s="34" t="s">
        <v>816</v>
      </c>
      <c r="I345" s="34" t="s">
        <v>872</v>
      </c>
      <c r="J345" s="35"/>
      <c r="K345" s="36"/>
      <c r="L345" s="36"/>
      <c r="M345" s="36"/>
      <c r="N345" s="36">
        <v>-115.0</v>
      </c>
      <c r="O345" s="36"/>
      <c r="P345" s="37">
        <v>-39.6</v>
      </c>
      <c r="Q345" s="36"/>
      <c r="R345" s="36" t="s">
        <v>873</v>
      </c>
      <c r="S345" s="36">
        <v>3.0</v>
      </c>
      <c r="T345" s="36" t="s">
        <v>874</v>
      </c>
      <c r="U345" s="36" t="s">
        <v>875</v>
      </c>
      <c r="V345" s="36">
        <v>12.0</v>
      </c>
      <c r="W345" s="36" t="s">
        <v>88</v>
      </c>
      <c r="X345" s="38">
        <v>1.0</v>
      </c>
      <c r="Y345" s="38" t="s">
        <v>876</v>
      </c>
      <c r="Z345" s="38" t="s">
        <v>876</v>
      </c>
      <c r="AA345" s="38" t="s">
        <v>86</v>
      </c>
      <c r="AB345" s="38">
        <v>24.175</v>
      </c>
      <c r="AC345" s="38">
        <v>48.0667</v>
      </c>
      <c r="AD345" s="38" t="s">
        <v>877</v>
      </c>
      <c r="AE345" s="38"/>
      <c r="AF345" s="38" t="s">
        <v>878</v>
      </c>
      <c r="AG345" s="38"/>
      <c r="AH345" s="38">
        <v>3.8</v>
      </c>
      <c r="AI345" s="50">
        <v>24.175</v>
      </c>
      <c r="AJ345" s="50">
        <v>48.0667</v>
      </c>
      <c r="AK345" s="41" t="s">
        <v>664</v>
      </c>
      <c r="AL345" s="40" t="s">
        <v>664</v>
      </c>
      <c r="AM345" s="49">
        <v>361.0</v>
      </c>
      <c r="AN345" s="51">
        <v>361.0</v>
      </c>
      <c r="AO345" s="42" t="s">
        <v>355</v>
      </c>
      <c r="AP345" s="43" t="s">
        <v>355</v>
      </c>
      <c r="AQ345" s="44" t="str">
        <f t="shared" si="33"/>
        <v>CRO</v>
      </c>
      <c r="AR345" s="44">
        <f t="shared" si="3"/>
        <v>361</v>
      </c>
      <c r="AS345" s="44" t="str">
        <f t="shared" si="40"/>
        <v>B</v>
      </c>
      <c r="AT345" s="44" t="str">
        <f t="shared" si="17"/>
        <v>BW</v>
      </c>
      <c r="AU345" s="44" t="str">
        <f t="shared" si="2"/>
        <v>BWh</v>
      </c>
      <c r="AV345" s="38">
        <v>3.0</v>
      </c>
      <c r="AW345" s="38"/>
      <c r="AX345" s="38" t="s">
        <v>879</v>
      </c>
      <c r="AY345" s="38" t="s">
        <v>884</v>
      </c>
      <c r="AZ345" s="29">
        <v>3.0</v>
      </c>
      <c r="BA345" s="29">
        <v>1.0</v>
      </c>
      <c r="BB345" s="29">
        <v>1.0</v>
      </c>
      <c r="BC345" s="29"/>
      <c r="BD345" s="29" t="s">
        <v>88</v>
      </c>
      <c r="BE345" s="29" t="s">
        <v>263</v>
      </c>
      <c r="BF345" s="29" t="s">
        <v>881</v>
      </c>
      <c r="BG345" s="29" t="s">
        <v>203</v>
      </c>
      <c r="BH345" s="29" t="s">
        <v>88</v>
      </c>
      <c r="BI345" s="29" t="s">
        <v>882</v>
      </c>
      <c r="BJ345" s="29"/>
      <c r="BK345" s="29" t="s">
        <v>883</v>
      </c>
      <c r="BL345" s="29"/>
      <c r="BM345" s="45">
        <v>1.0</v>
      </c>
      <c r="BN345" s="45">
        <v>1.0</v>
      </c>
      <c r="BO345" s="46" t="s">
        <v>881</v>
      </c>
      <c r="BP345" s="2"/>
      <c r="BQ345" s="3"/>
    </row>
    <row r="346" ht="15.75" customHeight="1">
      <c r="A346" s="34">
        <v>347.0</v>
      </c>
      <c r="B346" s="34">
        <v>103018.0</v>
      </c>
      <c r="C346" s="34" t="s">
        <v>832</v>
      </c>
      <c r="D346" s="34" t="s">
        <v>869</v>
      </c>
      <c r="E346" s="34" t="s">
        <v>870</v>
      </c>
      <c r="F346" s="34">
        <v>2018.0</v>
      </c>
      <c r="G346" s="34" t="s">
        <v>871</v>
      </c>
      <c r="H346" s="34" t="s">
        <v>816</v>
      </c>
      <c r="I346" s="34" t="s">
        <v>872</v>
      </c>
      <c r="J346" s="35"/>
      <c r="K346" s="36"/>
      <c r="L346" s="36"/>
      <c r="M346" s="36"/>
      <c r="N346" s="36">
        <v>-47.9</v>
      </c>
      <c r="O346" s="36"/>
      <c r="P346" s="37">
        <v>-23.7</v>
      </c>
      <c r="Q346" s="36"/>
      <c r="R346" s="36" t="s">
        <v>873</v>
      </c>
      <c r="S346" s="36">
        <v>3.0</v>
      </c>
      <c r="T346" s="36" t="s">
        <v>874</v>
      </c>
      <c r="U346" s="36" t="s">
        <v>875</v>
      </c>
      <c r="V346" s="36">
        <v>12.0</v>
      </c>
      <c r="W346" s="36" t="s">
        <v>88</v>
      </c>
      <c r="X346" s="38">
        <v>1.0</v>
      </c>
      <c r="Y346" s="38" t="s">
        <v>876</v>
      </c>
      <c r="Z346" s="38" t="s">
        <v>876</v>
      </c>
      <c r="AA346" s="38" t="s">
        <v>86</v>
      </c>
      <c r="AB346" s="38">
        <v>24.175</v>
      </c>
      <c r="AC346" s="38">
        <v>48.0667</v>
      </c>
      <c r="AD346" s="38" t="s">
        <v>877</v>
      </c>
      <c r="AE346" s="38"/>
      <c r="AF346" s="38" t="s">
        <v>878</v>
      </c>
      <c r="AG346" s="38"/>
      <c r="AH346" s="38">
        <v>3.8</v>
      </c>
      <c r="AI346" s="50">
        <v>24.175</v>
      </c>
      <c r="AJ346" s="50">
        <v>48.0667</v>
      </c>
      <c r="AK346" s="41" t="s">
        <v>664</v>
      </c>
      <c r="AL346" s="40" t="s">
        <v>664</v>
      </c>
      <c r="AM346" s="49">
        <v>361.0</v>
      </c>
      <c r="AN346" s="51">
        <v>361.0</v>
      </c>
      <c r="AO346" s="42" t="s">
        <v>355</v>
      </c>
      <c r="AP346" s="43" t="s">
        <v>355</v>
      </c>
      <c r="AQ346" s="44" t="str">
        <f t="shared" si="33"/>
        <v>CRO</v>
      </c>
      <c r="AR346" s="44">
        <f t="shared" si="3"/>
        <v>361</v>
      </c>
      <c r="AS346" s="44" t="str">
        <f t="shared" si="40"/>
        <v>B</v>
      </c>
      <c r="AT346" s="44" t="str">
        <f t="shared" si="17"/>
        <v>BW</v>
      </c>
      <c r="AU346" s="44" t="str">
        <f t="shared" si="2"/>
        <v>BWh</v>
      </c>
      <c r="AV346" s="38">
        <v>3.0</v>
      </c>
      <c r="AW346" s="38"/>
      <c r="AX346" s="38" t="s">
        <v>879</v>
      </c>
      <c r="AY346" s="38" t="s">
        <v>885</v>
      </c>
      <c r="AZ346" s="29">
        <v>3.0</v>
      </c>
      <c r="BA346" s="29">
        <v>1.0</v>
      </c>
      <c r="BB346" s="29">
        <v>1.0</v>
      </c>
      <c r="BC346" s="29"/>
      <c r="BD346" s="29" t="s">
        <v>88</v>
      </c>
      <c r="BE346" s="29" t="s">
        <v>263</v>
      </c>
      <c r="BF346" s="29" t="s">
        <v>881</v>
      </c>
      <c r="BG346" s="29" t="s">
        <v>203</v>
      </c>
      <c r="BH346" s="29" t="s">
        <v>88</v>
      </c>
      <c r="BI346" s="29" t="s">
        <v>882</v>
      </c>
      <c r="BJ346" s="29"/>
      <c r="BK346" s="29" t="s">
        <v>883</v>
      </c>
      <c r="BL346" s="29"/>
      <c r="BM346" s="45">
        <v>1.0</v>
      </c>
      <c r="BN346" s="45">
        <v>1.0</v>
      </c>
      <c r="BO346" s="46" t="s">
        <v>881</v>
      </c>
      <c r="BP346" s="2"/>
      <c r="BQ346" s="3"/>
    </row>
    <row r="347" ht="15.75" customHeight="1">
      <c r="A347" s="34">
        <v>348.0</v>
      </c>
      <c r="B347" s="34">
        <v>103018.0</v>
      </c>
      <c r="C347" s="34" t="s">
        <v>832</v>
      </c>
      <c r="D347" s="34" t="s">
        <v>869</v>
      </c>
      <c r="E347" s="34" t="s">
        <v>870</v>
      </c>
      <c r="F347" s="34">
        <v>2018.0</v>
      </c>
      <c r="G347" s="34" t="s">
        <v>871</v>
      </c>
      <c r="H347" s="34" t="s">
        <v>816</v>
      </c>
      <c r="I347" s="34" t="s">
        <v>872</v>
      </c>
      <c r="J347" s="35"/>
      <c r="K347" s="36"/>
      <c r="L347" s="36"/>
      <c r="M347" s="36"/>
      <c r="N347" s="36">
        <v>-23.2</v>
      </c>
      <c r="O347" s="36"/>
      <c r="P347" s="37">
        <v>-9.6</v>
      </c>
      <c r="Q347" s="36"/>
      <c r="R347" s="36" t="s">
        <v>873</v>
      </c>
      <c r="S347" s="36">
        <v>3.0</v>
      </c>
      <c r="T347" s="36" t="s">
        <v>874</v>
      </c>
      <c r="U347" s="36" t="s">
        <v>875</v>
      </c>
      <c r="V347" s="36">
        <v>12.0</v>
      </c>
      <c r="W347" s="36" t="s">
        <v>88</v>
      </c>
      <c r="X347" s="38">
        <v>1.0</v>
      </c>
      <c r="Y347" s="38" t="s">
        <v>876</v>
      </c>
      <c r="Z347" s="38" t="s">
        <v>876</v>
      </c>
      <c r="AA347" s="38" t="s">
        <v>86</v>
      </c>
      <c r="AB347" s="38">
        <v>24.175</v>
      </c>
      <c r="AC347" s="38">
        <v>48.0667</v>
      </c>
      <c r="AD347" s="38" t="s">
        <v>877</v>
      </c>
      <c r="AE347" s="38"/>
      <c r="AF347" s="38" t="s">
        <v>878</v>
      </c>
      <c r="AG347" s="38"/>
      <c r="AH347" s="38">
        <v>3.8</v>
      </c>
      <c r="AI347" s="50">
        <v>24.175</v>
      </c>
      <c r="AJ347" s="50">
        <v>48.0667</v>
      </c>
      <c r="AK347" s="41" t="s">
        <v>664</v>
      </c>
      <c r="AL347" s="40" t="s">
        <v>664</v>
      </c>
      <c r="AM347" s="49">
        <v>361.0</v>
      </c>
      <c r="AN347" s="51">
        <v>361.0</v>
      </c>
      <c r="AO347" s="42" t="s">
        <v>355</v>
      </c>
      <c r="AP347" s="43" t="s">
        <v>355</v>
      </c>
      <c r="AQ347" s="44" t="str">
        <f t="shared" si="33"/>
        <v>CRO</v>
      </c>
      <c r="AR347" s="44">
        <f t="shared" si="3"/>
        <v>361</v>
      </c>
      <c r="AS347" s="44" t="str">
        <f t="shared" si="40"/>
        <v>B</v>
      </c>
      <c r="AT347" s="44" t="str">
        <f t="shared" si="17"/>
        <v>BW</v>
      </c>
      <c r="AU347" s="44" t="str">
        <f t="shared" si="2"/>
        <v>BWh</v>
      </c>
      <c r="AV347" s="38">
        <v>3.0</v>
      </c>
      <c r="AW347" s="38"/>
      <c r="AX347" s="38" t="s">
        <v>879</v>
      </c>
      <c r="AY347" s="38" t="s">
        <v>886</v>
      </c>
      <c r="AZ347" s="29">
        <v>3.0</v>
      </c>
      <c r="BA347" s="29">
        <v>1.0</v>
      </c>
      <c r="BB347" s="29">
        <v>1.0</v>
      </c>
      <c r="BC347" s="29"/>
      <c r="BD347" s="29" t="s">
        <v>88</v>
      </c>
      <c r="BE347" s="29" t="s">
        <v>263</v>
      </c>
      <c r="BF347" s="29" t="s">
        <v>881</v>
      </c>
      <c r="BG347" s="29" t="s">
        <v>203</v>
      </c>
      <c r="BH347" s="29" t="s">
        <v>88</v>
      </c>
      <c r="BI347" s="29" t="s">
        <v>882</v>
      </c>
      <c r="BJ347" s="29"/>
      <c r="BK347" s="29" t="s">
        <v>883</v>
      </c>
      <c r="BL347" s="29"/>
      <c r="BM347" s="45">
        <v>1.0</v>
      </c>
      <c r="BN347" s="45">
        <v>1.0</v>
      </c>
      <c r="BO347" s="46" t="s">
        <v>881</v>
      </c>
      <c r="BP347" s="2"/>
      <c r="BQ347" s="3"/>
    </row>
    <row r="348" ht="15.75" customHeight="1">
      <c r="A348" s="34">
        <v>349.0</v>
      </c>
      <c r="B348" s="34">
        <v>102877.0</v>
      </c>
      <c r="C348" s="34" t="s">
        <v>832</v>
      </c>
      <c r="D348" s="34" t="s">
        <v>887</v>
      </c>
      <c r="E348" s="34" t="s">
        <v>888</v>
      </c>
      <c r="F348" s="34">
        <v>2019.0</v>
      </c>
      <c r="G348" s="34" t="s">
        <v>889</v>
      </c>
      <c r="H348" s="34" t="s">
        <v>816</v>
      </c>
      <c r="I348" s="34" t="s">
        <v>890</v>
      </c>
      <c r="J348" s="35"/>
      <c r="K348" s="36"/>
      <c r="L348" s="36">
        <v>160.7</v>
      </c>
      <c r="M348" s="36"/>
      <c r="N348" s="36">
        <v>-16.0</v>
      </c>
      <c r="O348" s="36"/>
      <c r="P348" s="37">
        <v>-12.0</v>
      </c>
      <c r="Q348" s="36"/>
      <c r="R348" s="36" t="s">
        <v>873</v>
      </c>
      <c r="S348" s="36">
        <v>30.0</v>
      </c>
      <c r="T348" s="36" t="s">
        <v>891</v>
      </c>
      <c r="U348" s="36" t="s">
        <v>892</v>
      </c>
      <c r="V348" s="36">
        <v>10.0</v>
      </c>
      <c r="W348" s="36" t="s">
        <v>838</v>
      </c>
      <c r="X348" s="38">
        <v>1.0</v>
      </c>
      <c r="Y348" s="38" t="s">
        <v>893</v>
      </c>
      <c r="Z348" s="38" t="s">
        <v>894</v>
      </c>
      <c r="AA348" s="38"/>
      <c r="AB348" s="38">
        <v>41.9932</v>
      </c>
      <c r="AC348" s="38">
        <v>101.1239</v>
      </c>
      <c r="AD348" s="38" t="s">
        <v>198</v>
      </c>
      <c r="AE348" s="38">
        <v>876.0</v>
      </c>
      <c r="AF348" s="38" t="s">
        <v>893</v>
      </c>
      <c r="AG348" s="38"/>
      <c r="AH348" s="38">
        <v>22.0</v>
      </c>
      <c r="AI348" s="50">
        <v>41.9932</v>
      </c>
      <c r="AJ348" s="50">
        <v>101.1239</v>
      </c>
      <c r="AK348" s="41" t="s">
        <v>288</v>
      </c>
      <c r="AL348" s="40" t="s">
        <v>288</v>
      </c>
      <c r="AM348" s="49">
        <v>935.0</v>
      </c>
      <c r="AN348" s="51">
        <v>935.0</v>
      </c>
      <c r="AO348" s="42" t="s">
        <v>261</v>
      </c>
      <c r="AP348" s="43" t="s">
        <v>261</v>
      </c>
      <c r="AQ348" s="44" t="s">
        <v>370</v>
      </c>
      <c r="AR348" s="44">
        <f t="shared" si="3"/>
        <v>935</v>
      </c>
      <c r="AS348" s="44" t="str">
        <f t="shared" si="40"/>
        <v>B</v>
      </c>
      <c r="AT348" s="44" t="str">
        <f t="shared" si="17"/>
        <v>BW</v>
      </c>
      <c r="AU348" s="44" t="str">
        <f t="shared" si="2"/>
        <v>BWk</v>
      </c>
      <c r="AV348" s="38"/>
      <c r="AW348" s="38"/>
      <c r="AX348" s="38"/>
      <c r="AY348" s="38"/>
      <c r="AZ348" s="29">
        <v>30.0</v>
      </c>
      <c r="BA348" s="29">
        <v>1.0</v>
      </c>
      <c r="BB348" s="29">
        <v>1.0</v>
      </c>
      <c r="BC348" s="29"/>
      <c r="BD348" s="29" t="s">
        <v>88</v>
      </c>
      <c r="BE348" s="29"/>
      <c r="BF348" s="29" t="s">
        <v>895</v>
      </c>
      <c r="BG348" s="29" t="s">
        <v>220</v>
      </c>
      <c r="BH348" s="29" t="s">
        <v>88</v>
      </c>
      <c r="BI348" s="29" t="s">
        <v>882</v>
      </c>
      <c r="BJ348" s="29"/>
      <c r="BK348" s="29" t="s">
        <v>180</v>
      </c>
      <c r="BL348" s="29"/>
      <c r="BM348" s="45">
        <v>1.0</v>
      </c>
      <c r="BN348" s="45">
        <v>1.0</v>
      </c>
      <c r="BO348" s="46" t="s">
        <v>896</v>
      </c>
      <c r="BP348" s="2"/>
      <c r="BQ348" s="3"/>
    </row>
    <row r="349" ht="15.75" customHeight="1">
      <c r="A349" s="34">
        <v>350.0</v>
      </c>
      <c r="B349" s="34">
        <v>102877.0</v>
      </c>
      <c r="C349" s="34" t="s">
        <v>832</v>
      </c>
      <c r="D349" s="34" t="s">
        <v>887</v>
      </c>
      <c r="E349" s="34" t="s">
        <v>888</v>
      </c>
      <c r="F349" s="34">
        <v>2019.0</v>
      </c>
      <c r="G349" s="34" t="s">
        <v>889</v>
      </c>
      <c r="H349" s="34" t="s">
        <v>816</v>
      </c>
      <c r="I349" s="34" t="s">
        <v>890</v>
      </c>
      <c r="J349" s="35"/>
      <c r="K349" s="36"/>
      <c r="L349" s="36">
        <v>155.4</v>
      </c>
      <c r="M349" s="36"/>
      <c r="N349" s="36">
        <v>-1.2</v>
      </c>
      <c r="O349" s="36"/>
      <c r="P349" s="37">
        <v>-3.0</v>
      </c>
      <c r="Q349" s="36"/>
      <c r="R349" s="36" t="s">
        <v>873</v>
      </c>
      <c r="S349" s="36">
        <v>30.0</v>
      </c>
      <c r="T349" s="36" t="s">
        <v>891</v>
      </c>
      <c r="U349" s="36" t="s">
        <v>892</v>
      </c>
      <c r="V349" s="36">
        <v>10.0</v>
      </c>
      <c r="W349" s="36" t="s">
        <v>838</v>
      </c>
      <c r="X349" s="38">
        <v>1.0</v>
      </c>
      <c r="Y349" s="38" t="s">
        <v>897</v>
      </c>
      <c r="Z349" s="38" t="s">
        <v>898</v>
      </c>
      <c r="AA349" s="38" t="s">
        <v>452</v>
      </c>
      <c r="AB349" s="38">
        <v>41.9903</v>
      </c>
      <c r="AC349" s="38">
        <v>101.1335</v>
      </c>
      <c r="AD349" s="38" t="s">
        <v>198</v>
      </c>
      <c r="AE349" s="38">
        <v>874.0</v>
      </c>
      <c r="AF349" s="38"/>
      <c r="AG349" s="38"/>
      <c r="AH349" s="38">
        <v>22.0</v>
      </c>
      <c r="AI349" s="50">
        <v>41.9903</v>
      </c>
      <c r="AJ349" s="50">
        <v>101.1335</v>
      </c>
      <c r="AK349" s="41" t="s">
        <v>288</v>
      </c>
      <c r="AL349" s="40" t="s">
        <v>288</v>
      </c>
      <c r="AM349" s="49">
        <v>935.0</v>
      </c>
      <c r="AN349" s="51">
        <v>935.0</v>
      </c>
      <c r="AO349" s="42" t="s">
        <v>261</v>
      </c>
      <c r="AP349" s="43" t="s">
        <v>261</v>
      </c>
      <c r="AQ349" s="44" t="str">
        <f t="shared" ref="AQ349:AQ352" si="41">AA349</f>
        <v>MF</v>
      </c>
      <c r="AR349" s="44">
        <f t="shared" si="3"/>
        <v>935</v>
      </c>
      <c r="AS349" s="44" t="str">
        <f t="shared" si="40"/>
        <v>B</v>
      </c>
      <c r="AT349" s="44" t="str">
        <f t="shared" si="17"/>
        <v>BW</v>
      </c>
      <c r="AU349" s="44" t="str">
        <f t="shared" si="2"/>
        <v>BWk</v>
      </c>
      <c r="AV349" s="38"/>
      <c r="AW349" s="38"/>
      <c r="AX349" s="38"/>
      <c r="AY349" s="38"/>
      <c r="AZ349" s="29">
        <v>30.0</v>
      </c>
      <c r="BA349" s="29">
        <v>1.0</v>
      </c>
      <c r="BB349" s="29">
        <v>1.0</v>
      </c>
      <c r="BC349" s="29"/>
      <c r="BD349" s="29" t="s">
        <v>88</v>
      </c>
      <c r="BE349" s="29"/>
      <c r="BF349" s="29" t="s">
        <v>895</v>
      </c>
      <c r="BG349" s="29" t="s">
        <v>220</v>
      </c>
      <c r="BH349" s="29" t="s">
        <v>88</v>
      </c>
      <c r="BI349" s="29" t="s">
        <v>882</v>
      </c>
      <c r="BJ349" s="29"/>
      <c r="BK349" s="29" t="s">
        <v>180</v>
      </c>
      <c r="BL349" s="29"/>
      <c r="BM349" s="45">
        <v>1.0</v>
      </c>
      <c r="BN349" s="45">
        <v>1.0</v>
      </c>
      <c r="BO349" s="46" t="s">
        <v>896</v>
      </c>
      <c r="BP349" s="2"/>
      <c r="BQ349" s="3"/>
    </row>
    <row r="350" ht="15.75" customHeight="1">
      <c r="A350" s="34">
        <v>351.0</v>
      </c>
      <c r="B350" s="34">
        <v>102877.0</v>
      </c>
      <c r="C350" s="34" t="s">
        <v>832</v>
      </c>
      <c r="D350" s="34" t="s">
        <v>887</v>
      </c>
      <c r="E350" s="34" t="s">
        <v>888</v>
      </c>
      <c r="F350" s="34">
        <v>2019.0</v>
      </c>
      <c r="G350" s="34" t="s">
        <v>889</v>
      </c>
      <c r="H350" s="34" t="s">
        <v>816</v>
      </c>
      <c r="I350" s="34" t="s">
        <v>890</v>
      </c>
      <c r="J350" s="35"/>
      <c r="K350" s="36"/>
      <c r="L350" s="36">
        <v>70.5</v>
      </c>
      <c r="M350" s="36"/>
      <c r="N350" s="36">
        <v>16.2</v>
      </c>
      <c r="O350" s="36"/>
      <c r="P350" s="37">
        <v>22.0</v>
      </c>
      <c r="Q350" s="36"/>
      <c r="R350" s="36" t="s">
        <v>873</v>
      </c>
      <c r="S350" s="36">
        <v>30.0</v>
      </c>
      <c r="T350" s="36" t="s">
        <v>891</v>
      </c>
      <c r="U350" s="36" t="s">
        <v>892</v>
      </c>
      <c r="V350" s="36">
        <v>10.0</v>
      </c>
      <c r="W350" s="36" t="s">
        <v>838</v>
      </c>
      <c r="X350" s="38">
        <v>1.0</v>
      </c>
      <c r="Y350" s="38" t="s">
        <v>899</v>
      </c>
      <c r="Z350" s="38" t="s">
        <v>900</v>
      </c>
      <c r="AA350" s="38" t="s">
        <v>664</v>
      </c>
      <c r="AB350" s="38">
        <v>41.9993</v>
      </c>
      <c r="AC350" s="38">
        <v>101.1326</v>
      </c>
      <c r="AD350" s="38" t="s">
        <v>198</v>
      </c>
      <c r="AE350" s="38">
        <v>878.0</v>
      </c>
      <c r="AF350" s="38"/>
      <c r="AG350" s="38"/>
      <c r="AH350" s="38">
        <v>3.5</v>
      </c>
      <c r="AI350" s="50">
        <v>41.9993</v>
      </c>
      <c r="AJ350" s="50">
        <v>101.1326</v>
      </c>
      <c r="AK350" s="41" t="s">
        <v>288</v>
      </c>
      <c r="AL350" s="40" t="s">
        <v>288</v>
      </c>
      <c r="AM350" s="49">
        <v>932.0</v>
      </c>
      <c r="AN350" s="51">
        <v>932.0</v>
      </c>
      <c r="AO350" s="42" t="s">
        <v>261</v>
      </c>
      <c r="AP350" s="43" t="s">
        <v>261</v>
      </c>
      <c r="AQ350" s="44" t="str">
        <f t="shared" si="41"/>
        <v>BSV</v>
      </c>
      <c r="AR350" s="44">
        <f t="shared" si="3"/>
        <v>932</v>
      </c>
      <c r="AS350" s="44" t="str">
        <f t="shared" si="40"/>
        <v>B</v>
      </c>
      <c r="AT350" s="44" t="str">
        <f t="shared" si="17"/>
        <v>BW</v>
      </c>
      <c r="AU350" s="44" t="str">
        <f t="shared" si="2"/>
        <v>BWk</v>
      </c>
      <c r="AV350" s="38"/>
      <c r="AW350" s="38"/>
      <c r="AX350" s="38"/>
      <c r="AY350" s="38"/>
      <c r="AZ350" s="29">
        <v>30.0</v>
      </c>
      <c r="BA350" s="29">
        <v>1.0</v>
      </c>
      <c r="BB350" s="29">
        <v>1.0</v>
      </c>
      <c r="BC350" s="29"/>
      <c r="BD350" s="29" t="s">
        <v>88</v>
      </c>
      <c r="BE350" s="29"/>
      <c r="BF350" s="29" t="s">
        <v>895</v>
      </c>
      <c r="BG350" s="29" t="s">
        <v>220</v>
      </c>
      <c r="BH350" s="29" t="s">
        <v>88</v>
      </c>
      <c r="BI350" s="29" t="s">
        <v>882</v>
      </c>
      <c r="BJ350" s="29"/>
      <c r="BK350" s="29" t="s">
        <v>180</v>
      </c>
      <c r="BL350" s="29"/>
      <c r="BM350" s="45">
        <v>1.0</v>
      </c>
      <c r="BN350" s="45">
        <v>1.0</v>
      </c>
      <c r="BO350" s="46" t="s">
        <v>896</v>
      </c>
      <c r="BP350" s="2"/>
      <c r="BQ350" s="3"/>
    </row>
    <row r="351" ht="15.75" customHeight="1">
      <c r="A351" s="34">
        <v>352.0</v>
      </c>
      <c r="B351" s="34">
        <v>102877.0</v>
      </c>
      <c r="C351" s="34" t="s">
        <v>832</v>
      </c>
      <c r="D351" s="34" t="s">
        <v>887</v>
      </c>
      <c r="E351" s="34" t="s">
        <v>888</v>
      </c>
      <c r="F351" s="34">
        <v>2019.0</v>
      </c>
      <c r="G351" s="34" t="s">
        <v>889</v>
      </c>
      <c r="H351" s="34" t="s">
        <v>816</v>
      </c>
      <c r="I351" s="34" t="s">
        <v>890</v>
      </c>
      <c r="J351" s="35"/>
      <c r="K351" s="36"/>
      <c r="L351" s="36">
        <v>135.1</v>
      </c>
      <c r="M351" s="36"/>
      <c r="N351" s="36">
        <v>-14.8</v>
      </c>
      <c r="O351" s="36"/>
      <c r="P351" s="37">
        <v>-14.0</v>
      </c>
      <c r="Q351" s="36"/>
      <c r="R351" s="36" t="s">
        <v>873</v>
      </c>
      <c r="S351" s="36">
        <v>30.0</v>
      </c>
      <c r="T351" s="36" t="s">
        <v>891</v>
      </c>
      <c r="U351" s="36" t="s">
        <v>892</v>
      </c>
      <c r="V351" s="36">
        <v>10.0</v>
      </c>
      <c r="W351" s="36" t="s">
        <v>838</v>
      </c>
      <c r="X351" s="38">
        <v>1.0</v>
      </c>
      <c r="Y351" s="38" t="s">
        <v>901</v>
      </c>
      <c r="Z351" s="38" t="s">
        <v>902</v>
      </c>
      <c r="AA351" s="38" t="s">
        <v>86</v>
      </c>
      <c r="AB351" s="38">
        <v>42.0048</v>
      </c>
      <c r="AC351" s="38">
        <v>101.1338</v>
      </c>
      <c r="AD351" s="38" t="s">
        <v>198</v>
      </c>
      <c r="AE351" s="53"/>
      <c r="AF351" s="38" t="s">
        <v>903</v>
      </c>
      <c r="AG351" s="57"/>
      <c r="AH351" s="38">
        <v>3.5</v>
      </c>
      <c r="AI351" s="50">
        <v>42.0048</v>
      </c>
      <c r="AJ351" s="50">
        <v>101.1338</v>
      </c>
      <c r="AK351" s="41" t="s">
        <v>288</v>
      </c>
      <c r="AL351" s="40" t="s">
        <v>288</v>
      </c>
      <c r="AM351" s="49">
        <v>928.0</v>
      </c>
      <c r="AN351" s="51">
        <v>928.0</v>
      </c>
      <c r="AO351" s="42" t="s">
        <v>261</v>
      </c>
      <c r="AP351" s="43" t="s">
        <v>261</v>
      </c>
      <c r="AQ351" s="44" t="str">
        <f t="shared" si="41"/>
        <v>CRO</v>
      </c>
      <c r="AR351" s="44">
        <f t="shared" si="3"/>
        <v>928</v>
      </c>
      <c r="AS351" s="44" t="str">
        <f t="shared" si="40"/>
        <v>B</v>
      </c>
      <c r="AT351" s="44" t="str">
        <f t="shared" si="17"/>
        <v>BW</v>
      </c>
      <c r="AU351" s="44" t="str">
        <f t="shared" si="2"/>
        <v>BWk</v>
      </c>
      <c r="AV351" s="38"/>
      <c r="AW351" s="38"/>
      <c r="AX351" s="38"/>
      <c r="AY351" s="38"/>
      <c r="AZ351" s="29">
        <v>30.0</v>
      </c>
      <c r="BA351" s="29">
        <v>1.0</v>
      </c>
      <c r="BB351" s="29">
        <v>1.0</v>
      </c>
      <c r="BC351" s="29"/>
      <c r="BD351" s="29" t="s">
        <v>88</v>
      </c>
      <c r="BE351" s="29"/>
      <c r="BF351" s="29" t="s">
        <v>895</v>
      </c>
      <c r="BG351" s="29" t="s">
        <v>220</v>
      </c>
      <c r="BH351" s="29" t="s">
        <v>88</v>
      </c>
      <c r="BI351" s="29" t="s">
        <v>882</v>
      </c>
      <c r="BJ351" s="29"/>
      <c r="BK351" s="29" t="s">
        <v>180</v>
      </c>
      <c r="BL351" s="29"/>
      <c r="BM351" s="45">
        <v>1.0</v>
      </c>
      <c r="BN351" s="45">
        <v>1.0</v>
      </c>
      <c r="BO351" s="46" t="s">
        <v>896</v>
      </c>
      <c r="BP351" s="2"/>
      <c r="BQ351" s="3"/>
    </row>
    <row r="352" ht="15.75" customHeight="1">
      <c r="A352" s="34">
        <v>353.0</v>
      </c>
      <c r="B352" s="34">
        <v>102877.0</v>
      </c>
      <c r="C352" s="34" t="s">
        <v>832</v>
      </c>
      <c r="D352" s="34" t="s">
        <v>887</v>
      </c>
      <c r="E352" s="34" t="s">
        <v>888</v>
      </c>
      <c r="F352" s="34">
        <v>2019.0</v>
      </c>
      <c r="G352" s="34" t="s">
        <v>889</v>
      </c>
      <c r="H352" s="34" t="s">
        <v>816</v>
      </c>
      <c r="I352" s="34" t="s">
        <v>890</v>
      </c>
      <c r="J352" s="35"/>
      <c r="K352" s="36"/>
      <c r="L352" s="36">
        <v>147.8</v>
      </c>
      <c r="M352" s="36"/>
      <c r="N352" s="36">
        <v>-8.7</v>
      </c>
      <c r="O352" s="36"/>
      <c r="P352" s="37">
        <v>-5.0</v>
      </c>
      <c r="Q352" s="36"/>
      <c r="R352" s="36" t="s">
        <v>873</v>
      </c>
      <c r="S352" s="36">
        <v>30.0</v>
      </c>
      <c r="T352" s="36" t="s">
        <v>891</v>
      </c>
      <c r="U352" s="36" t="s">
        <v>892</v>
      </c>
      <c r="V352" s="36">
        <v>10.0</v>
      </c>
      <c r="W352" s="36" t="s">
        <v>838</v>
      </c>
      <c r="X352" s="38">
        <v>5.0</v>
      </c>
      <c r="Y352" s="38" t="s">
        <v>904</v>
      </c>
      <c r="Z352" s="38"/>
      <c r="AA352" s="38"/>
      <c r="AB352" s="38"/>
      <c r="AC352" s="38"/>
      <c r="AD352" s="38" t="s">
        <v>198</v>
      </c>
      <c r="AE352" s="38"/>
      <c r="AF352" s="38"/>
      <c r="AG352" s="38"/>
      <c r="AH352" s="38"/>
      <c r="AI352" s="50"/>
      <c r="AJ352" s="50"/>
      <c r="AK352" s="41"/>
      <c r="AL352" s="40"/>
      <c r="AM352" s="49"/>
      <c r="AN352" s="43"/>
      <c r="AO352" s="42"/>
      <c r="AP352" s="43"/>
      <c r="AQ352" s="44" t="str">
        <f t="shared" si="41"/>
        <v/>
      </c>
      <c r="AR352" s="44" t="str">
        <f t="shared" si="3"/>
        <v/>
      </c>
      <c r="AS352" s="44"/>
      <c r="AT352" s="44" t="str">
        <f t="shared" si="17"/>
        <v/>
      </c>
      <c r="AU352" s="44" t="str">
        <f t="shared" si="2"/>
        <v/>
      </c>
      <c r="AV352" s="38"/>
      <c r="AW352" s="38"/>
      <c r="AX352" s="38"/>
      <c r="AY352" s="38"/>
      <c r="AZ352" s="29">
        <v>30.0</v>
      </c>
      <c r="BA352" s="29">
        <v>1.0</v>
      </c>
      <c r="BB352" s="29">
        <v>1.0</v>
      </c>
      <c r="BC352" s="29"/>
      <c r="BD352" s="29" t="s">
        <v>88</v>
      </c>
      <c r="BE352" s="29"/>
      <c r="BF352" s="29" t="s">
        <v>895</v>
      </c>
      <c r="BG352" s="29" t="s">
        <v>220</v>
      </c>
      <c r="BH352" s="29" t="s">
        <v>88</v>
      </c>
      <c r="BI352" s="29" t="s">
        <v>882</v>
      </c>
      <c r="BJ352" s="29"/>
      <c r="BK352" s="29" t="s">
        <v>180</v>
      </c>
      <c r="BL352" s="29"/>
      <c r="BM352" s="45">
        <v>1.0</v>
      </c>
      <c r="BN352" s="45">
        <v>1.0</v>
      </c>
      <c r="BO352" s="46" t="s">
        <v>896</v>
      </c>
      <c r="BP352" s="2"/>
      <c r="BQ352" s="3"/>
    </row>
    <row r="353" ht="15.75" customHeight="1">
      <c r="A353" s="34">
        <v>354.0</v>
      </c>
      <c r="B353" s="34">
        <v>102877.0</v>
      </c>
      <c r="C353" s="34" t="s">
        <v>832</v>
      </c>
      <c r="D353" s="34" t="s">
        <v>887</v>
      </c>
      <c r="E353" s="34" t="s">
        <v>888</v>
      </c>
      <c r="F353" s="34">
        <v>2019.0</v>
      </c>
      <c r="G353" s="34" t="s">
        <v>889</v>
      </c>
      <c r="H353" s="34" t="s">
        <v>816</v>
      </c>
      <c r="I353" s="34" t="s">
        <v>890</v>
      </c>
      <c r="J353" s="35"/>
      <c r="K353" s="36"/>
      <c r="L353" s="36">
        <v>250.0</v>
      </c>
      <c r="M353" s="36"/>
      <c r="N353" s="36">
        <v>-27.5</v>
      </c>
      <c r="O353" s="36"/>
      <c r="P353" s="79">
        <v>-11.0</v>
      </c>
      <c r="Q353" s="36"/>
      <c r="R353" s="36" t="s">
        <v>873</v>
      </c>
      <c r="S353" s="36">
        <v>30.0</v>
      </c>
      <c r="T353" s="36" t="s">
        <v>891</v>
      </c>
      <c r="U353" s="36" t="s">
        <v>892</v>
      </c>
      <c r="V353" s="36">
        <v>10.0</v>
      </c>
      <c r="W353" s="36" t="s">
        <v>838</v>
      </c>
      <c r="X353" s="38">
        <v>1.0</v>
      </c>
      <c r="Y353" s="38" t="s">
        <v>905</v>
      </c>
      <c r="Z353" s="38" t="s">
        <v>905</v>
      </c>
      <c r="AA353" s="38"/>
      <c r="AB353" s="38">
        <v>42.0012</v>
      </c>
      <c r="AC353" s="38">
        <v>101.1374</v>
      </c>
      <c r="AD353" s="38" t="s">
        <v>198</v>
      </c>
      <c r="AE353" s="38">
        <v>873.0</v>
      </c>
      <c r="AF353" s="38" t="s">
        <v>906</v>
      </c>
      <c r="AG353" s="38"/>
      <c r="AH353" s="38">
        <v>22.5</v>
      </c>
      <c r="AI353" s="50">
        <v>42.0012</v>
      </c>
      <c r="AJ353" s="50">
        <v>101.1374</v>
      </c>
      <c r="AK353" s="41" t="s">
        <v>288</v>
      </c>
      <c r="AL353" s="40" t="s">
        <v>288</v>
      </c>
      <c r="AM353" s="49">
        <v>932.0</v>
      </c>
      <c r="AN353" s="51">
        <v>932.0</v>
      </c>
      <c r="AO353" s="42" t="s">
        <v>261</v>
      </c>
      <c r="AP353" s="43" t="s">
        <v>261</v>
      </c>
      <c r="AQ353" s="80" t="s">
        <v>288</v>
      </c>
      <c r="AR353" s="44">
        <f t="shared" si="3"/>
        <v>932</v>
      </c>
      <c r="AS353" s="44" t="str">
        <f t="shared" ref="AS353:AS357" si="42">LEFT(AO353,1)</f>
        <v>B</v>
      </c>
      <c r="AT353" s="44" t="str">
        <f t="shared" si="17"/>
        <v>BW</v>
      </c>
      <c r="AU353" s="44" t="str">
        <f t="shared" si="2"/>
        <v>BWk</v>
      </c>
      <c r="AV353" s="38"/>
      <c r="AW353" s="38"/>
      <c r="AX353" s="38"/>
      <c r="AY353" s="38"/>
      <c r="AZ353" s="29">
        <v>30.0</v>
      </c>
      <c r="BA353" s="29">
        <v>1.0</v>
      </c>
      <c r="BB353" s="29">
        <v>1.0</v>
      </c>
      <c r="BC353" s="29"/>
      <c r="BD353" s="29" t="s">
        <v>88</v>
      </c>
      <c r="BE353" s="29"/>
      <c r="BF353" s="81" t="s">
        <v>907</v>
      </c>
      <c r="BG353" s="29" t="s">
        <v>220</v>
      </c>
      <c r="BH353" s="29" t="s">
        <v>88</v>
      </c>
      <c r="BI353" s="29" t="s">
        <v>882</v>
      </c>
      <c r="BJ353" s="29"/>
      <c r="BK353" s="29" t="s">
        <v>908</v>
      </c>
      <c r="BL353" s="29" t="s">
        <v>908</v>
      </c>
      <c r="BM353" s="45">
        <v>1.0</v>
      </c>
      <c r="BN353" s="45">
        <v>1.0</v>
      </c>
      <c r="BO353" s="46"/>
      <c r="BP353" s="2"/>
      <c r="BQ353" s="3"/>
    </row>
    <row r="354" ht="15.75" customHeight="1">
      <c r="A354" s="34">
        <v>355.0</v>
      </c>
      <c r="B354" s="34">
        <v>102877.0</v>
      </c>
      <c r="C354" s="34" t="s">
        <v>832</v>
      </c>
      <c r="D354" s="34" t="s">
        <v>887</v>
      </c>
      <c r="E354" s="34" t="s">
        <v>888</v>
      </c>
      <c r="F354" s="34">
        <v>2019.0</v>
      </c>
      <c r="G354" s="34" t="s">
        <v>889</v>
      </c>
      <c r="H354" s="34" t="s">
        <v>816</v>
      </c>
      <c r="I354" s="34" t="s">
        <v>890</v>
      </c>
      <c r="J354" s="35"/>
      <c r="K354" s="36"/>
      <c r="L354" s="36">
        <v>174.2</v>
      </c>
      <c r="M354" s="36"/>
      <c r="N354" s="36">
        <v>-18.3</v>
      </c>
      <c r="O354" s="36"/>
      <c r="P354" s="79">
        <v>-11.0</v>
      </c>
      <c r="Q354" s="36"/>
      <c r="R354" s="36" t="s">
        <v>873</v>
      </c>
      <c r="S354" s="36">
        <v>30.0</v>
      </c>
      <c r="T354" s="36" t="s">
        <v>891</v>
      </c>
      <c r="U354" s="36" t="s">
        <v>892</v>
      </c>
      <c r="V354" s="36">
        <v>10.0</v>
      </c>
      <c r="W354" s="36" t="s">
        <v>838</v>
      </c>
      <c r="X354" s="38">
        <v>1.0</v>
      </c>
      <c r="Y354" s="38" t="s">
        <v>893</v>
      </c>
      <c r="Z354" s="38" t="s">
        <v>894</v>
      </c>
      <c r="AA354" s="38"/>
      <c r="AB354" s="38">
        <v>41.9932</v>
      </c>
      <c r="AC354" s="38">
        <v>101.1239</v>
      </c>
      <c r="AD354" s="38" t="s">
        <v>198</v>
      </c>
      <c r="AE354" s="38">
        <v>876.0</v>
      </c>
      <c r="AF354" s="38" t="s">
        <v>893</v>
      </c>
      <c r="AG354" s="38"/>
      <c r="AH354" s="38">
        <v>22.0</v>
      </c>
      <c r="AI354" s="50">
        <v>41.9932</v>
      </c>
      <c r="AJ354" s="50">
        <v>101.1239</v>
      </c>
      <c r="AK354" s="41" t="s">
        <v>288</v>
      </c>
      <c r="AL354" s="40" t="s">
        <v>288</v>
      </c>
      <c r="AM354" s="49">
        <v>935.0</v>
      </c>
      <c r="AN354" s="51">
        <v>935.0</v>
      </c>
      <c r="AO354" s="42" t="s">
        <v>261</v>
      </c>
      <c r="AP354" s="43" t="s">
        <v>261</v>
      </c>
      <c r="AQ354" s="80" t="s">
        <v>288</v>
      </c>
      <c r="AR354" s="44">
        <f t="shared" si="3"/>
        <v>935</v>
      </c>
      <c r="AS354" s="44" t="str">
        <f t="shared" si="42"/>
        <v>B</v>
      </c>
      <c r="AT354" s="44" t="str">
        <f t="shared" si="17"/>
        <v>BW</v>
      </c>
      <c r="AU354" s="44" t="str">
        <f t="shared" si="2"/>
        <v>BWk</v>
      </c>
      <c r="AV354" s="38"/>
      <c r="AW354" s="38"/>
      <c r="AX354" s="38"/>
      <c r="AY354" s="38"/>
      <c r="AZ354" s="29">
        <v>30.0</v>
      </c>
      <c r="BA354" s="29">
        <v>1.0</v>
      </c>
      <c r="BB354" s="29">
        <v>1.0</v>
      </c>
      <c r="BC354" s="29"/>
      <c r="BD354" s="29" t="s">
        <v>88</v>
      </c>
      <c r="BE354" s="29"/>
      <c r="BF354" s="81" t="s">
        <v>907</v>
      </c>
      <c r="BG354" s="29" t="s">
        <v>220</v>
      </c>
      <c r="BH354" s="29" t="s">
        <v>88</v>
      </c>
      <c r="BI354" s="29" t="s">
        <v>882</v>
      </c>
      <c r="BJ354" s="29"/>
      <c r="BK354" s="29" t="s">
        <v>908</v>
      </c>
      <c r="BL354" s="29" t="s">
        <v>908</v>
      </c>
      <c r="BM354" s="45">
        <v>1.0</v>
      </c>
      <c r="BN354" s="45">
        <v>1.0</v>
      </c>
      <c r="BO354" s="46"/>
      <c r="BP354" s="2"/>
      <c r="BQ354" s="3"/>
    </row>
    <row r="355" ht="15.75" customHeight="1">
      <c r="A355" s="34">
        <v>356.0</v>
      </c>
      <c r="B355" s="34">
        <v>102877.0</v>
      </c>
      <c r="C355" s="34" t="s">
        <v>832</v>
      </c>
      <c r="D355" s="34" t="s">
        <v>887</v>
      </c>
      <c r="E355" s="34" t="s">
        <v>888</v>
      </c>
      <c r="F355" s="34">
        <v>2019.0</v>
      </c>
      <c r="G355" s="34" t="s">
        <v>889</v>
      </c>
      <c r="H355" s="34" t="s">
        <v>816</v>
      </c>
      <c r="I355" s="34" t="s">
        <v>890</v>
      </c>
      <c r="J355" s="35"/>
      <c r="K355" s="36"/>
      <c r="L355" s="36">
        <v>179.6</v>
      </c>
      <c r="M355" s="36"/>
      <c r="N355" s="36">
        <v>-19.5</v>
      </c>
      <c r="O355" s="36"/>
      <c r="P355" s="79">
        <v>-11.0</v>
      </c>
      <c r="Q355" s="36"/>
      <c r="R355" s="36" t="s">
        <v>873</v>
      </c>
      <c r="S355" s="36">
        <v>30.0</v>
      </c>
      <c r="T355" s="36" t="s">
        <v>891</v>
      </c>
      <c r="U355" s="36" t="s">
        <v>892</v>
      </c>
      <c r="V355" s="36">
        <v>10.0</v>
      </c>
      <c r="W355" s="36" t="s">
        <v>838</v>
      </c>
      <c r="X355" s="38">
        <v>1.0</v>
      </c>
      <c r="Y355" s="38" t="s">
        <v>897</v>
      </c>
      <c r="Z355" s="38" t="s">
        <v>898</v>
      </c>
      <c r="AA355" s="38" t="s">
        <v>452</v>
      </c>
      <c r="AB355" s="38">
        <v>41.9903</v>
      </c>
      <c r="AC355" s="38">
        <v>101.1335</v>
      </c>
      <c r="AD355" s="38" t="s">
        <v>198</v>
      </c>
      <c r="AE355" s="38">
        <v>874.0</v>
      </c>
      <c r="AF355" s="38"/>
      <c r="AG355" s="38"/>
      <c r="AH355" s="38">
        <v>22.0</v>
      </c>
      <c r="AI355" s="50">
        <v>41.9903</v>
      </c>
      <c r="AJ355" s="50">
        <v>101.1335</v>
      </c>
      <c r="AK355" s="41" t="s">
        <v>288</v>
      </c>
      <c r="AL355" s="40" t="s">
        <v>288</v>
      </c>
      <c r="AM355" s="49">
        <v>935.0</v>
      </c>
      <c r="AN355" s="51">
        <v>935.0</v>
      </c>
      <c r="AO355" s="42" t="s">
        <v>261</v>
      </c>
      <c r="AP355" s="43" t="s">
        <v>261</v>
      </c>
      <c r="AQ355" s="44" t="str">
        <f t="shared" ref="AQ355:AQ359" si="43">AA355</f>
        <v>MF</v>
      </c>
      <c r="AR355" s="44">
        <f t="shared" si="3"/>
        <v>935</v>
      </c>
      <c r="AS355" s="44" t="str">
        <f t="shared" si="42"/>
        <v>B</v>
      </c>
      <c r="AT355" s="44" t="str">
        <f t="shared" si="17"/>
        <v>BW</v>
      </c>
      <c r="AU355" s="44" t="str">
        <f t="shared" si="2"/>
        <v>BWk</v>
      </c>
      <c r="AV355" s="38"/>
      <c r="AW355" s="38"/>
      <c r="AX355" s="38"/>
      <c r="AY355" s="38"/>
      <c r="AZ355" s="29">
        <v>30.0</v>
      </c>
      <c r="BA355" s="29">
        <v>1.0</v>
      </c>
      <c r="BB355" s="29">
        <v>1.0</v>
      </c>
      <c r="BC355" s="29"/>
      <c r="BD355" s="29" t="s">
        <v>88</v>
      </c>
      <c r="BE355" s="29"/>
      <c r="BF355" s="81" t="s">
        <v>907</v>
      </c>
      <c r="BG355" s="29" t="s">
        <v>220</v>
      </c>
      <c r="BH355" s="29" t="s">
        <v>88</v>
      </c>
      <c r="BI355" s="29" t="s">
        <v>882</v>
      </c>
      <c r="BJ355" s="29"/>
      <c r="BK355" s="29" t="s">
        <v>908</v>
      </c>
      <c r="BL355" s="29" t="s">
        <v>908</v>
      </c>
      <c r="BM355" s="45">
        <v>1.0</v>
      </c>
      <c r="BN355" s="45">
        <v>1.0</v>
      </c>
      <c r="BO355" s="46"/>
      <c r="BP355" s="2"/>
      <c r="BQ355" s="3"/>
    </row>
    <row r="356" ht="15.75" customHeight="1">
      <c r="A356" s="34">
        <v>357.0</v>
      </c>
      <c r="B356" s="34">
        <v>102877.0</v>
      </c>
      <c r="C356" s="34" t="s">
        <v>832</v>
      </c>
      <c r="D356" s="34" t="s">
        <v>887</v>
      </c>
      <c r="E356" s="34" t="s">
        <v>888</v>
      </c>
      <c r="F356" s="34">
        <v>2019.0</v>
      </c>
      <c r="G356" s="34" t="s">
        <v>889</v>
      </c>
      <c r="H356" s="34" t="s">
        <v>816</v>
      </c>
      <c r="I356" s="34" t="s">
        <v>890</v>
      </c>
      <c r="J356" s="35"/>
      <c r="K356" s="36"/>
      <c r="L356" s="36">
        <v>81.9</v>
      </c>
      <c r="M356" s="36"/>
      <c r="N356" s="36">
        <v>18.0</v>
      </c>
      <c r="O356" s="36"/>
      <c r="P356" s="79">
        <v>22.0</v>
      </c>
      <c r="Q356" s="36"/>
      <c r="R356" s="36" t="s">
        <v>873</v>
      </c>
      <c r="S356" s="36">
        <v>30.0</v>
      </c>
      <c r="T356" s="36" t="s">
        <v>891</v>
      </c>
      <c r="U356" s="36" t="s">
        <v>892</v>
      </c>
      <c r="V356" s="36">
        <v>10.0</v>
      </c>
      <c r="W356" s="36" t="s">
        <v>838</v>
      </c>
      <c r="X356" s="38">
        <v>1.0</v>
      </c>
      <c r="Y356" s="38" t="s">
        <v>899</v>
      </c>
      <c r="Z356" s="38" t="s">
        <v>900</v>
      </c>
      <c r="AA356" s="38" t="s">
        <v>664</v>
      </c>
      <c r="AB356" s="38">
        <v>41.9993</v>
      </c>
      <c r="AC356" s="38">
        <v>101.1326</v>
      </c>
      <c r="AD356" s="38" t="s">
        <v>198</v>
      </c>
      <c r="AE356" s="38">
        <v>878.0</v>
      </c>
      <c r="AF356" s="38"/>
      <c r="AG356" s="38"/>
      <c r="AH356" s="38">
        <v>3.5</v>
      </c>
      <c r="AI356" s="50">
        <v>41.9993</v>
      </c>
      <c r="AJ356" s="50">
        <v>101.1326</v>
      </c>
      <c r="AK356" s="41" t="s">
        <v>288</v>
      </c>
      <c r="AL356" s="40" t="s">
        <v>288</v>
      </c>
      <c r="AM356" s="49">
        <v>932.0</v>
      </c>
      <c r="AN356" s="51">
        <v>932.0</v>
      </c>
      <c r="AO356" s="42" t="s">
        <v>261</v>
      </c>
      <c r="AP356" s="43" t="s">
        <v>261</v>
      </c>
      <c r="AQ356" s="44" t="str">
        <f t="shared" si="43"/>
        <v>BSV</v>
      </c>
      <c r="AR356" s="44">
        <f t="shared" si="3"/>
        <v>932</v>
      </c>
      <c r="AS356" s="44" t="str">
        <f t="shared" si="42"/>
        <v>B</v>
      </c>
      <c r="AT356" s="44" t="str">
        <f t="shared" si="17"/>
        <v>BW</v>
      </c>
      <c r="AU356" s="44" t="str">
        <f t="shared" si="2"/>
        <v>BWk</v>
      </c>
      <c r="AV356" s="38"/>
      <c r="AW356" s="38"/>
      <c r="AX356" s="38"/>
      <c r="AY356" s="38"/>
      <c r="AZ356" s="29">
        <v>30.0</v>
      </c>
      <c r="BA356" s="29">
        <v>1.0</v>
      </c>
      <c r="BB356" s="29">
        <v>1.0</v>
      </c>
      <c r="BC356" s="29"/>
      <c r="BD356" s="29" t="s">
        <v>88</v>
      </c>
      <c r="BE356" s="29"/>
      <c r="BF356" s="81" t="s">
        <v>907</v>
      </c>
      <c r="BG356" s="29" t="s">
        <v>220</v>
      </c>
      <c r="BH356" s="29" t="s">
        <v>88</v>
      </c>
      <c r="BI356" s="29" t="s">
        <v>882</v>
      </c>
      <c r="BJ356" s="29"/>
      <c r="BK356" s="29" t="s">
        <v>908</v>
      </c>
      <c r="BL356" s="29" t="s">
        <v>908</v>
      </c>
      <c r="BM356" s="45">
        <v>1.0</v>
      </c>
      <c r="BN356" s="45">
        <v>1.0</v>
      </c>
      <c r="BO356" s="46"/>
      <c r="BP356" s="2"/>
      <c r="BQ356" s="3"/>
    </row>
    <row r="357" ht="15.75" customHeight="1">
      <c r="A357" s="34">
        <v>358.0</v>
      </c>
      <c r="B357" s="34">
        <v>102877.0</v>
      </c>
      <c r="C357" s="34" t="s">
        <v>832</v>
      </c>
      <c r="D357" s="34" t="s">
        <v>887</v>
      </c>
      <c r="E357" s="34" t="s">
        <v>888</v>
      </c>
      <c r="F357" s="34">
        <v>2019.0</v>
      </c>
      <c r="G357" s="34" t="s">
        <v>889</v>
      </c>
      <c r="H357" s="34" t="s">
        <v>816</v>
      </c>
      <c r="I357" s="34" t="s">
        <v>890</v>
      </c>
      <c r="J357" s="35"/>
      <c r="K357" s="36"/>
      <c r="L357" s="36">
        <v>155.1</v>
      </c>
      <c r="M357" s="36"/>
      <c r="N357" s="36">
        <v>-18.6</v>
      </c>
      <c r="O357" s="36"/>
      <c r="P357" s="79">
        <v>-12.0</v>
      </c>
      <c r="Q357" s="36"/>
      <c r="R357" s="36" t="s">
        <v>873</v>
      </c>
      <c r="S357" s="36">
        <v>30.0</v>
      </c>
      <c r="T357" s="36" t="s">
        <v>891</v>
      </c>
      <c r="U357" s="36" t="s">
        <v>892</v>
      </c>
      <c r="V357" s="36">
        <v>10.0</v>
      </c>
      <c r="W357" s="36" t="s">
        <v>838</v>
      </c>
      <c r="X357" s="38">
        <v>1.0</v>
      </c>
      <c r="Y357" s="38" t="s">
        <v>901</v>
      </c>
      <c r="Z357" s="38" t="s">
        <v>902</v>
      </c>
      <c r="AA357" s="38" t="s">
        <v>86</v>
      </c>
      <c r="AB357" s="38">
        <v>42.0048</v>
      </c>
      <c r="AC357" s="38">
        <v>101.1338</v>
      </c>
      <c r="AD357" s="38" t="s">
        <v>198</v>
      </c>
      <c r="AE357" s="53"/>
      <c r="AF357" s="38" t="s">
        <v>903</v>
      </c>
      <c r="AG357" s="57"/>
      <c r="AH357" s="38">
        <v>3.5</v>
      </c>
      <c r="AI357" s="50">
        <v>42.0048</v>
      </c>
      <c r="AJ357" s="50">
        <v>101.1338</v>
      </c>
      <c r="AK357" s="41" t="s">
        <v>288</v>
      </c>
      <c r="AL357" s="40" t="s">
        <v>288</v>
      </c>
      <c r="AM357" s="49">
        <v>928.0</v>
      </c>
      <c r="AN357" s="51">
        <v>928.0</v>
      </c>
      <c r="AO357" s="42" t="s">
        <v>261</v>
      </c>
      <c r="AP357" s="43" t="s">
        <v>261</v>
      </c>
      <c r="AQ357" s="44" t="str">
        <f t="shared" si="43"/>
        <v>CRO</v>
      </c>
      <c r="AR357" s="44">
        <f t="shared" si="3"/>
        <v>928</v>
      </c>
      <c r="AS357" s="44" t="str">
        <f t="shared" si="42"/>
        <v>B</v>
      </c>
      <c r="AT357" s="44" t="str">
        <f t="shared" si="17"/>
        <v>BW</v>
      </c>
      <c r="AU357" s="44" t="str">
        <f t="shared" si="2"/>
        <v>BWk</v>
      </c>
      <c r="AV357" s="38"/>
      <c r="AW357" s="38"/>
      <c r="AX357" s="38"/>
      <c r="AY357" s="38"/>
      <c r="AZ357" s="29">
        <v>30.0</v>
      </c>
      <c r="BA357" s="29">
        <v>1.0</v>
      </c>
      <c r="BB357" s="29">
        <v>1.0</v>
      </c>
      <c r="BC357" s="29"/>
      <c r="BD357" s="29" t="s">
        <v>88</v>
      </c>
      <c r="BE357" s="29"/>
      <c r="BF357" s="81" t="s">
        <v>907</v>
      </c>
      <c r="BG357" s="29" t="s">
        <v>220</v>
      </c>
      <c r="BH357" s="29" t="s">
        <v>88</v>
      </c>
      <c r="BI357" s="29" t="s">
        <v>882</v>
      </c>
      <c r="BJ357" s="29"/>
      <c r="BK357" s="29" t="s">
        <v>908</v>
      </c>
      <c r="BL357" s="29" t="s">
        <v>908</v>
      </c>
      <c r="BM357" s="45">
        <v>1.0</v>
      </c>
      <c r="BN357" s="45">
        <v>1.0</v>
      </c>
      <c r="BO357" s="46"/>
      <c r="BP357" s="2"/>
      <c r="BQ357" s="3"/>
    </row>
    <row r="358" ht="15.75" customHeight="1">
      <c r="A358" s="34">
        <v>359.0</v>
      </c>
      <c r="B358" s="34">
        <v>102877.0</v>
      </c>
      <c r="C358" s="34" t="s">
        <v>832</v>
      </c>
      <c r="D358" s="34" t="s">
        <v>887</v>
      </c>
      <c r="E358" s="34" t="s">
        <v>888</v>
      </c>
      <c r="F358" s="34">
        <v>2019.0</v>
      </c>
      <c r="G358" s="34" t="s">
        <v>889</v>
      </c>
      <c r="H358" s="34" t="s">
        <v>816</v>
      </c>
      <c r="I358" s="34" t="s">
        <v>890</v>
      </c>
      <c r="J358" s="35"/>
      <c r="K358" s="36"/>
      <c r="L358" s="36">
        <v>168.2</v>
      </c>
      <c r="M358" s="36"/>
      <c r="N358" s="36">
        <v>-13.1</v>
      </c>
      <c r="O358" s="36"/>
      <c r="P358" s="79">
        <v>-5.0</v>
      </c>
      <c r="Q358" s="36"/>
      <c r="R358" s="36" t="s">
        <v>873</v>
      </c>
      <c r="S358" s="36">
        <v>30.0</v>
      </c>
      <c r="T358" s="36" t="s">
        <v>891</v>
      </c>
      <c r="U358" s="36" t="s">
        <v>892</v>
      </c>
      <c r="V358" s="36">
        <v>10.0</v>
      </c>
      <c r="W358" s="36" t="s">
        <v>838</v>
      </c>
      <c r="X358" s="38">
        <v>5.0</v>
      </c>
      <c r="Y358" s="38" t="s">
        <v>904</v>
      </c>
      <c r="Z358" s="38"/>
      <c r="AA358" s="38"/>
      <c r="AB358" s="38"/>
      <c r="AC358" s="38"/>
      <c r="AD358" s="38" t="s">
        <v>198</v>
      </c>
      <c r="AE358" s="38"/>
      <c r="AF358" s="38"/>
      <c r="AG358" s="38"/>
      <c r="AH358" s="38"/>
      <c r="AI358" s="50"/>
      <c r="AJ358" s="50"/>
      <c r="AK358" s="41"/>
      <c r="AL358" s="40"/>
      <c r="AM358" s="49"/>
      <c r="AN358" s="43"/>
      <c r="AO358" s="42"/>
      <c r="AP358" s="43"/>
      <c r="AQ358" s="44" t="str">
        <f t="shared" si="43"/>
        <v/>
      </c>
      <c r="AR358" s="44" t="str">
        <f t="shared" si="3"/>
        <v/>
      </c>
      <c r="AS358" s="44"/>
      <c r="AT358" s="44" t="str">
        <f t="shared" si="17"/>
        <v/>
      </c>
      <c r="AU358" s="44" t="str">
        <f t="shared" si="2"/>
        <v/>
      </c>
      <c r="AV358" s="38"/>
      <c r="AW358" s="38"/>
      <c r="AX358" s="38"/>
      <c r="AY358" s="38"/>
      <c r="AZ358" s="29">
        <v>30.0</v>
      </c>
      <c r="BA358" s="29">
        <v>1.0</v>
      </c>
      <c r="BB358" s="29">
        <v>1.0</v>
      </c>
      <c r="BC358" s="29"/>
      <c r="BD358" s="29" t="s">
        <v>88</v>
      </c>
      <c r="BE358" s="29" t="s">
        <v>263</v>
      </c>
      <c r="BF358" s="81" t="s">
        <v>907</v>
      </c>
      <c r="BG358" s="29" t="s">
        <v>220</v>
      </c>
      <c r="BH358" s="29" t="s">
        <v>88</v>
      </c>
      <c r="BI358" s="29" t="s">
        <v>882</v>
      </c>
      <c r="BJ358" s="29"/>
      <c r="BK358" s="29" t="s">
        <v>908</v>
      </c>
      <c r="BL358" s="29" t="s">
        <v>908</v>
      </c>
      <c r="BM358" s="45">
        <v>1.0</v>
      </c>
      <c r="BN358" s="45">
        <v>1.0</v>
      </c>
      <c r="BO358" s="46"/>
      <c r="BP358" s="2"/>
      <c r="BQ358" s="3"/>
    </row>
    <row r="359" ht="15.75" customHeight="1">
      <c r="A359" s="34">
        <v>360.0</v>
      </c>
      <c r="B359" s="34">
        <v>102877.0</v>
      </c>
      <c r="C359" s="34" t="s">
        <v>832</v>
      </c>
      <c r="D359" s="34" t="s">
        <v>887</v>
      </c>
      <c r="E359" s="34" t="s">
        <v>888</v>
      </c>
      <c r="F359" s="34">
        <v>2019.0</v>
      </c>
      <c r="G359" s="34" t="s">
        <v>889</v>
      </c>
      <c r="H359" s="34" t="s">
        <v>816</v>
      </c>
      <c r="I359" s="34" t="s">
        <v>890</v>
      </c>
      <c r="J359" s="35"/>
      <c r="K359" s="36"/>
      <c r="L359" s="36">
        <v>168.2</v>
      </c>
      <c r="M359" s="36"/>
      <c r="N359" s="36">
        <v>-18.6</v>
      </c>
      <c r="O359" s="36"/>
      <c r="P359" s="79">
        <f>N359*100/L359</f>
        <v>-11.05826397</v>
      </c>
      <c r="Q359" s="36"/>
      <c r="R359" s="36" t="s">
        <v>873</v>
      </c>
      <c r="S359" s="36">
        <v>30.0</v>
      </c>
      <c r="T359" s="36" t="s">
        <v>891</v>
      </c>
      <c r="U359" s="36" t="s">
        <v>892</v>
      </c>
      <c r="V359" s="36">
        <v>10.0</v>
      </c>
      <c r="W359" s="36" t="s">
        <v>838</v>
      </c>
      <c r="X359" s="38">
        <v>5.0</v>
      </c>
      <c r="Y359" s="38" t="s">
        <v>904</v>
      </c>
      <c r="Z359" s="38"/>
      <c r="AA359" s="38"/>
      <c r="AB359" s="38"/>
      <c r="AC359" s="38"/>
      <c r="AD359" s="38" t="s">
        <v>198</v>
      </c>
      <c r="AE359" s="38"/>
      <c r="AF359" s="38"/>
      <c r="AG359" s="38"/>
      <c r="AH359" s="38"/>
      <c r="AI359" s="50"/>
      <c r="AJ359" s="50"/>
      <c r="AK359" s="41"/>
      <c r="AL359" s="40"/>
      <c r="AM359" s="49"/>
      <c r="AN359" s="43"/>
      <c r="AO359" s="42"/>
      <c r="AP359" s="43"/>
      <c r="AQ359" s="44" t="str">
        <f t="shared" si="43"/>
        <v/>
      </c>
      <c r="AR359" s="44" t="str">
        <f t="shared" si="3"/>
        <v/>
      </c>
      <c r="AS359" s="44"/>
      <c r="AT359" s="44" t="str">
        <f t="shared" si="17"/>
        <v/>
      </c>
      <c r="AU359" s="44" t="str">
        <f t="shared" si="2"/>
        <v/>
      </c>
      <c r="AV359" s="38"/>
      <c r="AW359" s="38"/>
      <c r="AX359" s="38"/>
      <c r="AY359" s="38"/>
      <c r="AZ359" s="29">
        <v>30.0</v>
      </c>
      <c r="BA359" s="29">
        <v>1.0</v>
      </c>
      <c r="BB359" s="29">
        <v>1.0</v>
      </c>
      <c r="BC359" s="29"/>
      <c r="BD359" s="29" t="s">
        <v>88</v>
      </c>
      <c r="BE359" s="29" t="s">
        <v>89</v>
      </c>
      <c r="BF359" s="81" t="s">
        <v>909</v>
      </c>
      <c r="BG359" s="29" t="s">
        <v>220</v>
      </c>
      <c r="BH359" s="29" t="s">
        <v>88</v>
      </c>
      <c r="BI359" s="29" t="s">
        <v>882</v>
      </c>
      <c r="BJ359" s="29"/>
      <c r="BK359" s="29" t="s">
        <v>908</v>
      </c>
      <c r="BL359" s="29"/>
      <c r="BM359" s="45">
        <v>1.0</v>
      </c>
      <c r="BN359" s="45">
        <v>1.0</v>
      </c>
      <c r="BO359" s="46"/>
      <c r="BP359" s="2"/>
      <c r="BQ359" s="3"/>
    </row>
    <row r="360" ht="15.75" customHeight="1">
      <c r="A360" s="34">
        <v>361.0</v>
      </c>
      <c r="B360" s="34">
        <v>104247.0</v>
      </c>
      <c r="C360" s="34" t="s">
        <v>832</v>
      </c>
      <c r="D360" s="34" t="s">
        <v>910</v>
      </c>
      <c r="E360" s="34" t="s">
        <v>911</v>
      </c>
      <c r="F360" s="34">
        <v>2021.0</v>
      </c>
      <c r="G360" s="34" t="s">
        <v>912</v>
      </c>
      <c r="H360" s="34" t="s">
        <v>816</v>
      </c>
      <c r="I360" s="34" t="s">
        <v>913</v>
      </c>
      <c r="J360" s="35"/>
      <c r="K360" s="36">
        <v>-15.39</v>
      </c>
      <c r="L360" s="36">
        <f t="shared" ref="L360:L379" si="44">K360*100/P360</f>
        <v>48.25964252</v>
      </c>
      <c r="M360" s="36"/>
      <c r="N360" s="36"/>
      <c r="O360" s="36"/>
      <c r="P360" s="37">
        <v>-31.89</v>
      </c>
      <c r="Q360" s="36" t="s">
        <v>191</v>
      </c>
      <c r="R360" s="36" t="s">
        <v>191</v>
      </c>
      <c r="S360" s="36">
        <v>500.0</v>
      </c>
      <c r="T360" s="36" t="s">
        <v>284</v>
      </c>
      <c r="U360" s="36" t="s">
        <v>914</v>
      </c>
      <c r="V360" s="36">
        <v>689.0</v>
      </c>
      <c r="W360" s="36" t="s">
        <v>838</v>
      </c>
      <c r="X360" s="38">
        <v>18.0</v>
      </c>
      <c r="Y360" s="38" t="s">
        <v>915</v>
      </c>
      <c r="Z360" s="38"/>
      <c r="AA360" s="38" t="s">
        <v>916</v>
      </c>
      <c r="AB360" s="38" t="s">
        <v>917</v>
      </c>
      <c r="AC360" s="38"/>
      <c r="AD360" s="38" t="s">
        <v>198</v>
      </c>
      <c r="AE360" s="38"/>
      <c r="AF360" s="38"/>
      <c r="AG360" s="38"/>
      <c r="AH360" s="38"/>
      <c r="AI360" s="50"/>
      <c r="AJ360" s="50"/>
      <c r="AK360" s="41"/>
      <c r="AL360" s="40"/>
      <c r="AM360" s="49"/>
      <c r="AN360" s="43"/>
      <c r="AO360" s="42"/>
      <c r="AP360" s="43"/>
      <c r="AQ360" s="44"/>
      <c r="AR360" s="44" t="str">
        <f t="shared" si="3"/>
        <v/>
      </c>
      <c r="AS360" s="44"/>
      <c r="AT360" s="44" t="str">
        <f t="shared" si="17"/>
        <v/>
      </c>
      <c r="AU360" s="44" t="str">
        <f t="shared" si="2"/>
        <v/>
      </c>
      <c r="AV360" s="38"/>
      <c r="AW360" s="38"/>
      <c r="AX360" s="38"/>
      <c r="AY360" s="38"/>
      <c r="AZ360" s="29">
        <v>500.0</v>
      </c>
      <c r="BA360" s="29">
        <v>1.0</v>
      </c>
      <c r="BB360" s="29">
        <v>2.0</v>
      </c>
      <c r="BC360" s="29" t="s">
        <v>918</v>
      </c>
      <c r="BD360" s="29" t="s">
        <v>88</v>
      </c>
      <c r="BE360" s="29"/>
      <c r="BF360" s="29" t="s">
        <v>919</v>
      </c>
      <c r="BG360" s="29" t="s">
        <v>220</v>
      </c>
      <c r="BH360" s="29"/>
      <c r="BI360" s="29"/>
      <c r="BJ360" s="29"/>
      <c r="BK360" s="29"/>
      <c r="BL360" s="29"/>
      <c r="BM360" s="45">
        <v>1.0</v>
      </c>
      <c r="BN360" s="45">
        <v>1.0</v>
      </c>
      <c r="BO360" s="46" t="s">
        <v>920</v>
      </c>
      <c r="BP360" s="2"/>
      <c r="BQ360" s="3"/>
    </row>
    <row r="361" ht="15.75" customHeight="1">
      <c r="A361" s="34">
        <v>362.0</v>
      </c>
      <c r="B361" s="34">
        <v>104247.0</v>
      </c>
      <c r="C361" s="34" t="s">
        <v>832</v>
      </c>
      <c r="D361" s="34" t="s">
        <v>910</v>
      </c>
      <c r="E361" s="34" t="s">
        <v>911</v>
      </c>
      <c r="F361" s="34">
        <v>2021.0</v>
      </c>
      <c r="G361" s="34" t="s">
        <v>912</v>
      </c>
      <c r="H361" s="34" t="s">
        <v>816</v>
      </c>
      <c r="I361" s="34" t="s">
        <v>913</v>
      </c>
      <c r="J361" s="35"/>
      <c r="K361" s="36">
        <v>-4.65</v>
      </c>
      <c r="L361" s="36">
        <f t="shared" si="44"/>
        <v>43.49859682</v>
      </c>
      <c r="M361" s="36"/>
      <c r="N361" s="36"/>
      <c r="O361" s="36"/>
      <c r="P361" s="37">
        <v>-10.69</v>
      </c>
      <c r="Q361" s="36" t="s">
        <v>191</v>
      </c>
      <c r="R361" s="36" t="s">
        <v>191</v>
      </c>
      <c r="S361" s="36">
        <v>1000.0</v>
      </c>
      <c r="T361" s="36" t="s">
        <v>284</v>
      </c>
      <c r="U361" s="36" t="s">
        <v>914</v>
      </c>
      <c r="V361" s="36">
        <v>709.0</v>
      </c>
      <c r="W361" s="36" t="s">
        <v>838</v>
      </c>
      <c r="X361" s="38">
        <v>18.0</v>
      </c>
      <c r="Y361" s="38" t="s">
        <v>915</v>
      </c>
      <c r="Z361" s="38"/>
      <c r="AA361" s="38" t="s">
        <v>916</v>
      </c>
      <c r="AB361" s="38" t="s">
        <v>917</v>
      </c>
      <c r="AC361" s="38"/>
      <c r="AD361" s="38" t="s">
        <v>198</v>
      </c>
      <c r="AE361" s="38"/>
      <c r="AF361" s="38"/>
      <c r="AG361" s="38"/>
      <c r="AH361" s="38"/>
      <c r="AI361" s="50"/>
      <c r="AJ361" s="50"/>
      <c r="AK361" s="41"/>
      <c r="AL361" s="40"/>
      <c r="AM361" s="49"/>
      <c r="AN361" s="43"/>
      <c r="AO361" s="42"/>
      <c r="AP361" s="43"/>
      <c r="AQ361" s="44"/>
      <c r="AR361" s="44" t="str">
        <f t="shared" si="3"/>
        <v/>
      </c>
      <c r="AS361" s="44"/>
      <c r="AT361" s="44" t="str">
        <f t="shared" si="17"/>
        <v/>
      </c>
      <c r="AU361" s="44" t="str">
        <f t="shared" si="2"/>
        <v/>
      </c>
      <c r="AV361" s="38"/>
      <c r="AW361" s="38"/>
      <c r="AX361" s="38"/>
      <c r="AY361" s="38"/>
      <c r="AZ361" s="29">
        <v>1000.0</v>
      </c>
      <c r="BA361" s="29">
        <v>1.0</v>
      </c>
      <c r="BB361" s="29">
        <v>2.0</v>
      </c>
      <c r="BC361" s="29" t="s">
        <v>921</v>
      </c>
      <c r="BD361" s="29" t="s">
        <v>88</v>
      </c>
      <c r="BE361" s="29"/>
      <c r="BF361" s="29" t="s">
        <v>922</v>
      </c>
      <c r="BG361" s="29" t="s">
        <v>220</v>
      </c>
      <c r="BH361" s="29"/>
      <c r="BI361" s="29"/>
      <c r="BJ361" s="29"/>
      <c r="BK361" s="29"/>
      <c r="BL361" s="29"/>
      <c r="BM361" s="45">
        <v>1.0</v>
      </c>
      <c r="BN361" s="45">
        <v>1.0</v>
      </c>
      <c r="BO361" s="46" t="s">
        <v>920</v>
      </c>
      <c r="BP361" s="2"/>
      <c r="BQ361" s="3"/>
    </row>
    <row r="362" ht="15.75" customHeight="1">
      <c r="A362" s="34">
        <v>363.0</v>
      </c>
      <c r="B362" s="34">
        <v>104247.0</v>
      </c>
      <c r="C362" s="34" t="s">
        <v>832</v>
      </c>
      <c r="D362" s="34" t="s">
        <v>910</v>
      </c>
      <c r="E362" s="34" t="s">
        <v>911</v>
      </c>
      <c r="F362" s="34">
        <v>2021.0</v>
      </c>
      <c r="G362" s="34" t="s">
        <v>912</v>
      </c>
      <c r="H362" s="34" t="s">
        <v>816</v>
      </c>
      <c r="I362" s="34" t="s">
        <v>913</v>
      </c>
      <c r="J362" s="35"/>
      <c r="K362" s="36">
        <v>-1.21</v>
      </c>
      <c r="L362" s="36">
        <f t="shared" si="44"/>
        <v>44.81481481</v>
      </c>
      <c r="M362" s="36"/>
      <c r="N362" s="36"/>
      <c r="O362" s="36"/>
      <c r="P362" s="37">
        <v>-2.7</v>
      </c>
      <c r="Q362" s="36" t="s">
        <v>191</v>
      </c>
      <c r="R362" s="36" t="s">
        <v>191</v>
      </c>
      <c r="S362" s="36">
        <v>500.0</v>
      </c>
      <c r="T362" s="36" t="s">
        <v>284</v>
      </c>
      <c r="U362" s="36" t="s">
        <v>914</v>
      </c>
      <c r="V362" s="36">
        <v>757.0</v>
      </c>
      <c r="W362" s="36" t="s">
        <v>838</v>
      </c>
      <c r="X362" s="38">
        <v>18.0</v>
      </c>
      <c r="Y362" s="38" t="s">
        <v>915</v>
      </c>
      <c r="Z362" s="38"/>
      <c r="AA362" s="38" t="s">
        <v>916</v>
      </c>
      <c r="AB362" s="38" t="s">
        <v>917</v>
      </c>
      <c r="AC362" s="38"/>
      <c r="AD362" s="38" t="s">
        <v>198</v>
      </c>
      <c r="AE362" s="38"/>
      <c r="AF362" s="38"/>
      <c r="AG362" s="38"/>
      <c r="AH362" s="38"/>
      <c r="AI362" s="50"/>
      <c r="AJ362" s="50"/>
      <c r="AK362" s="41"/>
      <c r="AL362" s="40"/>
      <c r="AM362" s="49"/>
      <c r="AN362" s="43"/>
      <c r="AO362" s="42"/>
      <c r="AP362" s="43"/>
      <c r="AQ362" s="44"/>
      <c r="AR362" s="44" t="str">
        <f t="shared" si="3"/>
        <v/>
      </c>
      <c r="AS362" s="44"/>
      <c r="AT362" s="44" t="str">
        <f t="shared" si="17"/>
        <v/>
      </c>
      <c r="AU362" s="44" t="str">
        <f t="shared" si="2"/>
        <v/>
      </c>
      <c r="AV362" s="38"/>
      <c r="AW362" s="38"/>
      <c r="AX362" s="38"/>
      <c r="AY362" s="38"/>
      <c r="AZ362" s="29">
        <v>500.0</v>
      </c>
      <c r="BA362" s="29">
        <v>1.0</v>
      </c>
      <c r="BB362" s="29">
        <v>2.0</v>
      </c>
      <c r="BC362" s="29" t="s">
        <v>923</v>
      </c>
      <c r="BD362" s="29" t="s">
        <v>88</v>
      </c>
      <c r="BE362" s="29"/>
      <c r="BF362" s="29" t="s">
        <v>924</v>
      </c>
      <c r="BG362" s="29" t="s">
        <v>203</v>
      </c>
      <c r="BH362" s="29"/>
      <c r="BI362" s="29"/>
      <c r="BJ362" s="29"/>
      <c r="BK362" s="29"/>
      <c r="BL362" s="29"/>
      <c r="BM362" s="45">
        <v>1.0</v>
      </c>
      <c r="BN362" s="45">
        <v>1.0</v>
      </c>
      <c r="BO362" s="46" t="s">
        <v>920</v>
      </c>
      <c r="BP362" s="2"/>
      <c r="BQ362" s="3"/>
    </row>
    <row r="363" ht="15.75" customHeight="1">
      <c r="A363" s="34">
        <v>364.0</v>
      </c>
      <c r="B363" s="34">
        <v>104247.0</v>
      </c>
      <c r="C363" s="34" t="s">
        <v>832</v>
      </c>
      <c r="D363" s="34" t="s">
        <v>910</v>
      </c>
      <c r="E363" s="34" t="s">
        <v>911</v>
      </c>
      <c r="F363" s="34">
        <v>2021.0</v>
      </c>
      <c r="G363" s="34" t="s">
        <v>912</v>
      </c>
      <c r="H363" s="34" t="s">
        <v>816</v>
      </c>
      <c r="I363" s="34" t="s">
        <v>913</v>
      </c>
      <c r="J363" s="35"/>
      <c r="K363" s="36">
        <v>-7.48</v>
      </c>
      <c r="L363" s="36">
        <f t="shared" si="44"/>
        <v>48.85695624</v>
      </c>
      <c r="M363" s="36"/>
      <c r="N363" s="36"/>
      <c r="O363" s="36"/>
      <c r="P363" s="37">
        <v>-15.31</v>
      </c>
      <c r="Q363" s="36" t="s">
        <v>191</v>
      </c>
      <c r="R363" s="36" t="s">
        <v>191</v>
      </c>
      <c r="S363" s="36" t="s">
        <v>925</v>
      </c>
      <c r="T363" s="36" t="s">
        <v>284</v>
      </c>
      <c r="U363" s="36" t="s">
        <v>914</v>
      </c>
      <c r="V363" s="36">
        <v>611.0</v>
      </c>
      <c r="W363" s="36" t="s">
        <v>838</v>
      </c>
      <c r="X363" s="38">
        <v>18.0</v>
      </c>
      <c r="Y363" s="38" t="s">
        <v>915</v>
      </c>
      <c r="Z363" s="38"/>
      <c r="AA363" s="38" t="s">
        <v>916</v>
      </c>
      <c r="AB363" s="38" t="s">
        <v>917</v>
      </c>
      <c r="AC363" s="38"/>
      <c r="AD363" s="38" t="s">
        <v>198</v>
      </c>
      <c r="AE363" s="38"/>
      <c r="AF363" s="38"/>
      <c r="AG363" s="38"/>
      <c r="AH363" s="38"/>
      <c r="AI363" s="50"/>
      <c r="AJ363" s="50"/>
      <c r="AK363" s="41"/>
      <c r="AL363" s="40"/>
      <c r="AM363" s="49"/>
      <c r="AN363" s="43"/>
      <c r="AO363" s="42"/>
      <c r="AP363" s="43"/>
      <c r="AQ363" s="44"/>
      <c r="AR363" s="44" t="str">
        <f t="shared" si="3"/>
        <v/>
      </c>
      <c r="AS363" s="44"/>
      <c r="AT363" s="44" t="str">
        <f t="shared" si="17"/>
        <v/>
      </c>
      <c r="AU363" s="44" t="str">
        <f t="shared" si="2"/>
        <v/>
      </c>
      <c r="AV363" s="38"/>
      <c r="AW363" s="38"/>
      <c r="AX363" s="38"/>
      <c r="AY363" s="38"/>
      <c r="AZ363" s="29" t="s">
        <v>925</v>
      </c>
      <c r="BA363" s="29">
        <v>1.0</v>
      </c>
      <c r="BB363" s="29">
        <v>2.0</v>
      </c>
      <c r="BC363" s="29" t="s">
        <v>926</v>
      </c>
      <c r="BD363" s="29" t="s">
        <v>88</v>
      </c>
      <c r="BE363" s="29"/>
      <c r="BF363" s="29" t="s">
        <v>927</v>
      </c>
      <c r="BG363" s="29" t="s">
        <v>203</v>
      </c>
      <c r="BH363" s="29"/>
      <c r="BI363" s="29"/>
      <c r="BJ363" s="29"/>
      <c r="BK363" s="29"/>
      <c r="BL363" s="29"/>
      <c r="BM363" s="45">
        <v>1.0</v>
      </c>
      <c r="BN363" s="45">
        <v>1.0</v>
      </c>
      <c r="BO363" s="46" t="s">
        <v>920</v>
      </c>
      <c r="BP363" s="2"/>
      <c r="BQ363" s="3"/>
    </row>
    <row r="364" ht="15.75" customHeight="1">
      <c r="A364" s="34">
        <v>365.0</v>
      </c>
      <c r="B364" s="34">
        <v>104247.0</v>
      </c>
      <c r="C364" s="34" t="s">
        <v>832</v>
      </c>
      <c r="D364" s="34" t="s">
        <v>910</v>
      </c>
      <c r="E364" s="34" t="s">
        <v>911</v>
      </c>
      <c r="F364" s="34">
        <v>2021.0</v>
      </c>
      <c r="G364" s="34" t="s">
        <v>912</v>
      </c>
      <c r="H364" s="34" t="s">
        <v>816</v>
      </c>
      <c r="I364" s="34" t="s">
        <v>913</v>
      </c>
      <c r="J364" s="35"/>
      <c r="K364" s="36">
        <v>-3.88</v>
      </c>
      <c r="L364" s="36">
        <f t="shared" si="44"/>
        <v>46.24553039</v>
      </c>
      <c r="M364" s="36"/>
      <c r="N364" s="36"/>
      <c r="O364" s="36"/>
      <c r="P364" s="37">
        <v>-8.39</v>
      </c>
      <c r="Q364" s="36" t="s">
        <v>191</v>
      </c>
      <c r="R364" s="36" t="s">
        <v>191</v>
      </c>
      <c r="S364" s="36" t="s">
        <v>928</v>
      </c>
      <c r="T364" s="36" t="s">
        <v>284</v>
      </c>
      <c r="U364" s="36" t="s">
        <v>914</v>
      </c>
      <c r="V364" s="36">
        <v>737.0</v>
      </c>
      <c r="W364" s="36" t="s">
        <v>838</v>
      </c>
      <c r="X364" s="38">
        <v>18.0</v>
      </c>
      <c r="Y364" s="38" t="s">
        <v>915</v>
      </c>
      <c r="Z364" s="38"/>
      <c r="AA364" s="38" t="s">
        <v>916</v>
      </c>
      <c r="AB364" s="38" t="s">
        <v>917</v>
      </c>
      <c r="AC364" s="38"/>
      <c r="AD364" s="38" t="s">
        <v>198</v>
      </c>
      <c r="AE364" s="38"/>
      <c r="AF364" s="38"/>
      <c r="AG364" s="38"/>
      <c r="AH364" s="38"/>
      <c r="AI364" s="50"/>
      <c r="AJ364" s="50"/>
      <c r="AK364" s="41"/>
      <c r="AL364" s="40"/>
      <c r="AM364" s="49"/>
      <c r="AN364" s="43"/>
      <c r="AO364" s="42"/>
      <c r="AP364" s="43"/>
      <c r="AQ364" s="44"/>
      <c r="AR364" s="44" t="str">
        <f t="shared" si="3"/>
        <v/>
      </c>
      <c r="AS364" s="44"/>
      <c r="AT364" s="44" t="str">
        <f t="shared" si="17"/>
        <v/>
      </c>
      <c r="AU364" s="44" t="str">
        <f t="shared" si="2"/>
        <v/>
      </c>
      <c r="AV364" s="38"/>
      <c r="AW364" s="38"/>
      <c r="AX364" s="38"/>
      <c r="AY364" s="38"/>
      <c r="AZ364" s="29" t="s">
        <v>928</v>
      </c>
      <c r="BA364" s="29">
        <v>1.0</v>
      </c>
      <c r="BB364" s="29">
        <v>2.0</v>
      </c>
      <c r="BC364" s="29" t="s">
        <v>929</v>
      </c>
      <c r="BD364" s="29" t="s">
        <v>88</v>
      </c>
      <c r="BE364" s="29"/>
      <c r="BF364" s="29" t="s">
        <v>930</v>
      </c>
      <c r="BG364" s="29" t="s">
        <v>203</v>
      </c>
      <c r="BH364" s="29"/>
      <c r="BI364" s="29"/>
      <c r="BJ364" s="29"/>
      <c r="BK364" s="29"/>
      <c r="BL364" s="29"/>
      <c r="BM364" s="45">
        <v>1.0</v>
      </c>
      <c r="BN364" s="45">
        <v>1.0</v>
      </c>
      <c r="BO364" s="46" t="s">
        <v>920</v>
      </c>
      <c r="BP364" s="2"/>
      <c r="BQ364" s="3"/>
    </row>
    <row r="365" ht="15.75" customHeight="1">
      <c r="A365" s="34">
        <v>366.0</v>
      </c>
      <c r="B365" s="34">
        <v>104247.0</v>
      </c>
      <c r="C365" s="34" t="s">
        <v>832</v>
      </c>
      <c r="D365" s="34" t="s">
        <v>910</v>
      </c>
      <c r="E365" s="34" t="s">
        <v>911</v>
      </c>
      <c r="F365" s="34">
        <v>2021.0</v>
      </c>
      <c r="G365" s="34" t="s">
        <v>912</v>
      </c>
      <c r="H365" s="34" t="s">
        <v>816</v>
      </c>
      <c r="I365" s="34" t="s">
        <v>913</v>
      </c>
      <c r="J365" s="35"/>
      <c r="K365" s="36">
        <v>-2.54</v>
      </c>
      <c r="L365" s="36">
        <f t="shared" si="44"/>
        <v>43.05084746</v>
      </c>
      <c r="M365" s="36"/>
      <c r="N365" s="36"/>
      <c r="O365" s="36"/>
      <c r="P365" s="37">
        <v>-5.9</v>
      </c>
      <c r="Q365" s="36" t="s">
        <v>191</v>
      </c>
      <c r="R365" s="36" t="s">
        <v>191</v>
      </c>
      <c r="S365" s="36" t="s">
        <v>928</v>
      </c>
      <c r="T365" s="36" t="s">
        <v>284</v>
      </c>
      <c r="U365" s="36" t="s">
        <v>914</v>
      </c>
      <c r="V365" s="36">
        <v>712.0</v>
      </c>
      <c r="W365" s="36" t="s">
        <v>838</v>
      </c>
      <c r="X365" s="38">
        <v>18.0</v>
      </c>
      <c r="Y365" s="38" t="s">
        <v>915</v>
      </c>
      <c r="Z365" s="38"/>
      <c r="AA365" s="38" t="s">
        <v>916</v>
      </c>
      <c r="AB365" s="38" t="s">
        <v>917</v>
      </c>
      <c r="AC365" s="38"/>
      <c r="AD365" s="38" t="s">
        <v>198</v>
      </c>
      <c r="AE365" s="38"/>
      <c r="AF365" s="38"/>
      <c r="AG365" s="38"/>
      <c r="AH365" s="38"/>
      <c r="AI365" s="50"/>
      <c r="AJ365" s="50"/>
      <c r="AK365" s="41"/>
      <c r="AL365" s="40"/>
      <c r="AM365" s="49"/>
      <c r="AN365" s="43"/>
      <c r="AO365" s="42"/>
      <c r="AP365" s="43"/>
      <c r="AQ365" s="44"/>
      <c r="AR365" s="44" t="str">
        <f t="shared" si="3"/>
        <v/>
      </c>
      <c r="AS365" s="44"/>
      <c r="AT365" s="44" t="str">
        <f t="shared" si="17"/>
        <v/>
      </c>
      <c r="AU365" s="44" t="str">
        <f t="shared" si="2"/>
        <v/>
      </c>
      <c r="AV365" s="38"/>
      <c r="AW365" s="38"/>
      <c r="AX365" s="38"/>
      <c r="AY365" s="38"/>
      <c r="AZ365" s="29" t="s">
        <v>928</v>
      </c>
      <c r="BA365" s="29">
        <v>1.0</v>
      </c>
      <c r="BB365" s="29">
        <v>2.0</v>
      </c>
      <c r="BC365" s="29" t="s">
        <v>931</v>
      </c>
      <c r="BD365" s="29" t="s">
        <v>88</v>
      </c>
      <c r="BE365" s="29"/>
      <c r="BF365" s="29" t="s">
        <v>932</v>
      </c>
      <c r="BG365" s="29" t="s">
        <v>203</v>
      </c>
      <c r="BH365" s="29"/>
      <c r="BI365" s="29"/>
      <c r="BJ365" s="29"/>
      <c r="BK365" s="29"/>
      <c r="BL365" s="29"/>
      <c r="BM365" s="45">
        <v>1.0</v>
      </c>
      <c r="BN365" s="45">
        <v>1.0</v>
      </c>
      <c r="BO365" s="46" t="s">
        <v>920</v>
      </c>
      <c r="BP365" s="2"/>
      <c r="BQ365" s="3"/>
    </row>
    <row r="366" ht="15.75" customHeight="1">
      <c r="A366" s="34">
        <v>367.0</v>
      </c>
      <c r="B366" s="34">
        <v>104247.0</v>
      </c>
      <c r="C366" s="34" t="s">
        <v>832</v>
      </c>
      <c r="D366" s="34" t="s">
        <v>910</v>
      </c>
      <c r="E366" s="34" t="s">
        <v>911</v>
      </c>
      <c r="F366" s="34">
        <v>2021.0</v>
      </c>
      <c r="G366" s="34" t="s">
        <v>912</v>
      </c>
      <c r="H366" s="34" t="s">
        <v>816</v>
      </c>
      <c r="I366" s="34" t="s">
        <v>913</v>
      </c>
      <c r="J366" s="35"/>
      <c r="K366" s="36">
        <v>4.21</v>
      </c>
      <c r="L366" s="36">
        <f t="shared" si="44"/>
        <v>42.39677744</v>
      </c>
      <c r="M366" s="36"/>
      <c r="N366" s="36"/>
      <c r="O366" s="36"/>
      <c r="P366" s="37">
        <v>9.93</v>
      </c>
      <c r="Q366" s="36" t="s">
        <v>191</v>
      </c>
      <c r="R366" s="36" t="s">
        <v>191</v>
      </c>
      <c r="S366" s="36">
        <v>8000.0</v>
      </c>
      <c r="T366" s="36" t="s">
        <v>284</v>
      </c>
      <c r="U366" s="36" t="s">
        <v>914</v>
      </c>
      <c r="V366" s="36">
        <v>697.0</v>
      </c>
      <c r="W366" s="36" t="s">
        <v>838</v>
      </c>
      <c r="X366" s="38">
        <v>18.0</v>
      </c>
      <c r="Y366" s="38" t="s">
        <v>915</v>
      </c>
      <c r="Z366" s="38"/>
      <c r="AA366" s="38" t="s">
        <v>916</v>
      </c>
      <c r="AB366" s="38" t="s">
        <v>917</v>
      </c>
      <c r="AC366" s="38"/>
      <c r="AD366" s="38" t="s">
        <v>198</v>
      </c>
      <c r="AE366" s="38"/>
      <c r="AF366" s="38"/>
      <c r="AG366" s="38"/>
      <c r="AH366" s="38"/>
      <c r="AI366" s="50"/>
      <c r="AJ366" s="50"/>
      <c r="AK366" s="41"/>
      <c r="AL366" s="40"/>
      <c r="AM366" s="49"/>
      <c r="AN366" s="43"/>
      <c r="AO366" s="42"/>
      <c r="AP366" s="43"/>
      <c r="AQ366" s="44"/>
      <c r="AR366" s="44" t="str">
        <f t="shared" si="3"/>
        <v/>
      </c>
      <c r="AS366" s="44"/>
      <c r="AT366" s="44" t="str">
        <f t="shared" si="17"/>
        <v/>
      </c>
      <c r="AU366" s="44" t="str">
        <f t="shared" si="2"/>
        <v/>
      </c>
      <c r="AV366" s="38"/>
      <c r="AW366" s="38"/>
      <c r="AX366" s="38"/>
      <c r="AY366" s="38"/>
      <c r="AZ366" s="29">
        <v>8000.0</v>
      </c>
      <c r="BA366" s="29">
        <v>1.0</v>
      </c>
      <c r="BB366" s="29">
        <v>2.0</v>
      </c>
      <c r="BC366" s="29" t="s">
        <v>933</v>
      </c>
      <c r="BD366" s="29" t="s">
        <v>88</v>
      </c>
      <c r="BE366" s="29"/>
      <c r="BF366" s="29" t="s">
        <v>934</v>
      </c>
      <c r="BG366" s="29" t="s">
        <v>203</v>
      </c>
      <c r="BH366" s="29"/>
      <c r="BI366" s="29"/>
      <c r="BJ366" s="29"/>
      <c r="BK366" s="29"/>
      <c r="BL366" s="29"/>
      <c r="BM366" s="45">
        <v>1.0</v>
      </c>
      <c r="BN366" s="45">
        <v>1.0</v>
      </c>
      <c r="BO366" s="46" t="s">
        <v>920</v>
      </c>
      <c r="BP366" s="2"/>
      <c r="BQ366" s="3"/>
    </row>
    <row r="367" ht="15.75" customHeight="1">
      <c r="A367" s="34">
        <v>368.0</v>
      </c>
      <c r="B367" s="34">
        <v>104247.0</v>
      </c>
      <c r="C367" s="34" t="s">
        <v>832</v>
      </c>
      <c r="D367" s="34" t="s">
        <v>910</v>
      </c>
      <c r="E367" s="34" t="s">
        <v>911</v>
      </c>
      <c r="F367" s="34">
        <v>2021.0</v>
      </c>
      <c r="G367" s="34" t="s">
        <v>912</v>
      </c>
      <c r="H367" s="34" t="s">
        <v>816</v>
      </c>
      <c r="I367" s="34" t="s">
        <v>913</v>
      </c>
      <c r="J367" s="35"/>
      <c r="K367" s="36">
        <v>-14.75</v>
      </c>
      <c r="L367" s="36">
        <f t="shared" si="44"/>
        <v>48.07692308</v>
      </c>
      <c r="M367" s="36"/>
      <c r="N367" s="36"/>
      <c r="O367" s="36"/>
      <c r="P367" s="37">
        <v>-30.68</v>
      </c>
      <c r="Q367" s="36" t="s">
        <v>191</v>
      </c>
      <c r="R367" s="36" t="s">
        <v>191</v>
      </c>
      <c r="S367" s="36" t="s">
        <v>935</v>
      </c>
      <c r="T367" s="36" t="s">
        <v>284</v>
      </c>
      <c r="U367" s="36" t="s">
        <v>914</v>
      </c>
      <c r="V367" s="36">
        <v>685.0</v>
      </c>
      <c r="W367" s="36" t="s">
        <v>838</v>
      </c>
      <c r="X367" s="38">
        <v>18.0</v>
      </c>
      <c r="Y367" s="38" t="s">
        <v>915</v>
      </c>
      <c r="Z367" s="38"/>
      <c r="AA367" s="38" t="s">
        <v>916</v>
      </c>
      <c r="AB367" s="38" t="s">
        <v>917</v>
      </c>
      <c r="AC367" s="38"/>
      <c r="AD367" s="38" t="s">
        <v>198</v>
      </c>
      <c r="AE367" s="38"/>
      <c r="AF367" s="38"/>
      <c r="AG367" s="38"/>
      <c r="AH367" s="38"/>
      <c r="AI367" s="50"/>
      <c r="AJ367" s="50"/>
      <c r="AK367" s="41"/>
      <c r="AL367" s="40"/>
      <c r="AM367" s="49"/>
      <c r="AN367" s="43"/>
      <c r="AO367" s="42"/>
      <c r="AP367" s="43"/>
      <c r="AQ367" s="44"/>
      <c r="AR367" s="44" t="str">
        <f t="shared" si="3"/>
        <v/>
      </c>
      <c r="AS367" s="44"/>
      <c r="AT367" s="44" t="str">
        <f t="shared" si="17"/>
        <v/>
      </c>
      <c r="AU367" s="44" t="str">
        <f t="shared" si="2"/>
        <v/>
      </c>
      <c r="AV367" s="38"/>
      <c r="AW367" s="38"/>
      <c r="AX367" s="38"/>
      <c r="AY367" s="38"/>
      <c r="AZ367" s="29" t="s">
        <v>935</v>
      </c>
      <c r="BA367" s="29">
        <v>1.0</v>
      </c>
      <c r="BB367" s="29">
        <v>2.0</v>
      </c>
      <c r="BC367" s="29" t="s">
        <v>936</v>
      </c>
      <c r="BD367" s="29" t="s">
        <v>88</v>
      </c>
      <c r="BE367" s="29"/>
      <c r="BF367" s="29" t="s">
        <v>937</v>
      </c>
      <c r="BG367" s="29" t="s">
        <v>572</v>
      </c>
      <c r="BH367" s="29"/>
      <c r="BI367" s="29"/>
      <c r="BJ367" s="29"/>
      <c r="BK367" s="29"/>
      <c r="BL367" s="29"/>
      <c r="BM367" s="45">
        <v>1.0</v>
      </c>
      <c r="BN367" s="45">
        <v>1.0</v>
      </c>
      <c r="BO367" s="46" t="s">
        <v>920</v>
      </c>
      <c r="BP367" s="2"/>
      <c r="BQ367" s="3"/>
    </row>
    <row r="368" ht="15.75" customHeight="1">
      <c r="A368" s="34">
        <v>369.0</v>
      </c>
      <c r="B368" s="34">
        <v>104247.0</v>
      </c>
      <c r="C368" s="34" t="s">
        <v>832</v>
      </c>
      <c r="D368" s="34" t="s">
        <v>910</v>
      </c>
      <c r="E368" s="34" t="s">
        <v>911</v>
      </c>
      <c r="F368" s="34">
        <v>2021.0</v>
      </c>
      <c r="G368" s="34" t="s">
        <v>912</v>
      </c>
      <c r="H368" s="34" t="s">
        <v>816</v>
      </c>
      <c r="I368" s="34" t="s">
        <v>913</v>
      </c>
      <c r="J368" s="35"/>
      <c r="K368" s="36">
        <v>-5.81</v>
      </c>
      <c r="L368" s="36">
        <f t="shared" si="44"/>
        <v>53.44986201</v>
      </c>
      <c r="M368" s="36"/>
      <c r="N368" s="36"/>
      <c r="O368" s="36"/>
      <c r="P368" s="37">
        <v>-10.87</v>
      </c>
      <c r="Q368" s="36" t="s">
        <v>191</v>
      </c>
      <c r="R368" s="36" t="s">
        <v>191</v>
      </c>
      <c r="S368" s="36">
        <v>1000.0</v>
      </c>
      <c r="T368" s="36" t="s">
        <v>284</v>
      </c>
      <c r="U368" s="36" t="s">
        <v>914</v>
      </c>
      <c r="V368" s="36">
        <v>566.0</v>
      </c>
      <c r="W368" s="36" t="s">
        <v>838</v>
      </c>
      <c r="X368" s="38">
        <v>18.0</v>
      </c>
      <c r="Y368" s="38" t="s">
        <v>915</v>
      </c>
      <c r="Z368" s="38"/>
      <c r="AA368" s="38" t="s">
        <v>916</v>
      </c>
      <c r="AB368" s="38" t="s">
        <v>917</v>
      </c>
      <c r="AC368" s="38"/>
      <c r="AD368" s="38" t="s">
        <v>198</v>
      </c>
      <c r="AE368" s="38"/>
      <c r="AF368" s="38"/>
      <c r="AG368" s="38"/>
      <c r="AH368" s="38"/>
      <c r="AI368" s="50"/>
      <c r="AJ368" s="50"/>
      <c r="AK368" s="41"/>
      <c r="AL368" s="40"/>
      <c r="AM368" s="49"/>
      <c r="AN368" s="43"/>
      <c r="AO368" s="42"/>
      <c r="AP368" s="43"/>
      <c r="AQ368" s="44"/>
      <c r="AR368" s="44" t="str">
        <f t="shared" si="3"/>
        <v/>
      </c>
      <c r="AS368" s="44"/>
      <c r="AT368" s="44" t="str">
        <f t="shared" si="17"/>
        <v/>
      </c>
      <c r="AU368" s="44" t="str">
        <f t="shared" si="2"/>
        <v/>
      </c>
      <c r="AV368" s="38"/>
      <c r="AW368" s="38"/>
      <c r="AX368" s="38"/>
      <c r="AY368" s="38"/>
      <c r="AZ368" s="29">
        <v>1000.0</v>
      </c>
      <c r="BA368" s="29">
        <v>1.0</v>
      </c>
      <c r="BB368" s="29">
        <v>2.0</v>
      </c>
      <c r="BC368" s="29" t="s">
        <v>802</v>
      </c>
      <c r="BD368" s="29" t="s">
        <v>88</v>
      </c>
      <c r="BE368" s="29"/>
      <c r="BF368" s="29" t="s">
        <v>938</v>
      </c>
      <c r="BG368" s="29" t="s">
        <v>572</v>
      </c>
      <c r="BH368" s="29"/>
      <c r="BI368" s="29"/>
      <c r="BJ368" s="29"/>
      <c r="BK368" s="29"/>
      <c r="BL368" s="29"/>
      <c r="BM368" s="45">
        <v>1.0</v>
      </c>
      <c r="BN368" s="45">
        <v>1.0</v>
      </c>
      <c r="BO368" s="46" t="s">
        <v>920</v>
      </c>
      <c r="BP368" s="2" t="s">
        <v>682</v>
      </c>
      <c r="BQ368" s="3"/>
    </row>
    <row r="369" ht="15.75" customHeight="1">
      <c r="A369" s="34">
        <v>370.0</v>
      </c>
      <c r="B369" s="34">
        <v>104247.0</v>
      </c>
      <c r="C369" s="34" t="s">
        <v>832</v>
      </c>
      <c r="D369" s="34" t="s">
        <v>910</v>
      </c>
      <c r="E369" s="34" t="s">
        <v>911</v>
      </c>
      <c r="F369" s="34">
        <v>2021.0</v>
      </c>
      <c r="G369" s="34" t="s">
        <v>912</v>
      </c>
      <c r="H369" s="34" t="s">
        <v>816</v>
      </c>
      <c r="I369" s="34" t="s">
        <v>913</v>
      </c>
      <c r="J369" s="35"/>
      <c r="K369" s="36">
        <v>-2.53</v>
      </c>
      <c r="L369" s="36">
        <f t="shared" si="44"/>
        <v>43.69602763</v>
      </c>
      <c r="M369" s="36"/>
      <c r="N369" s="36"/>
      <c r="O369" s="36"/>
      <c r="P369" s="37">
        <v>-5.79</v>
      </c>
      <c r="Q369" s="36" t="s">
        <v>191</v>
      </c>
      <c r="R369" s="36" t="s">
        <v>191</v>
      </c>
      <c r="S369" s="36">
        <v>1000.0</v>
      </c>
      <c r="T369" s="36" t="s">
        <v>284</v>
      </c>
      <c r="U369" s="36" t="s">
        <v>914</v>
      </c>
      <c r="V369" s="36">
        <v>698.0</v>
      </c>
      <c r="W369" s="36" t="s">
        <v>838</v>
      </c>
      <c r="X369" s="38">
        <v>18.0</v>
      </c>
      <c r="Y369" s="38" t="s">
        <v>915</v>
      </c>
      <c r="Z369" s="38"/>
      <c r="AA369" s="38" t="s">
        <v>916</v>
      </c>
      <c r="AB369" s="38" t="s">
        <v>917</v>
      </c>
      <c r="AC369" s="38"/>
      <c r="AD369" s="38" t="s">
        <v>198</v>
      </c>
      <c r="AE369" s="38"/>
      <c r="AF369" s="38"/>
      <c r="AG369" s="38"/>
      <c r="AH369" s="38"/>
      <c r="AI369" s="50"/>
      <c r="AJ369" s="50"/>
      <c r="AK369" s="41"/>
      <c r="AL369" s="40"/>
      <c r="AM369" s="49"/>
      <c r="AN369" s="43"/>
      <c r="AO369" s="42"/>
      <c r="AP369" s="43"/>
      <c r="AQ369" s="44"/>
      <c r="AR369" s="44" t="str">
        <f t="shared" si="3"/>
        <v/>
      </c>
      <c r="AS369" s="44"/>
      <c r="AT369" s="44" t="str">
        <f t="shared" si="17"/>
        <v/>
      </c>
      <c r="AU369" s="44" t="str">
        <f t="shared" si="2"/>
        <v/>
      </c>
      <c r="AV369" s="38"/>
      <c r="AW369" s="38"/>
      <c r="AX369" s="38"/>
      <c r="AY369" s="38"/>
      <c r="AZ369" s="29">
        <v>1000.0</v>
      </c>
      <c r="BA369" s="29">
        <v>1.0</v>
      </c>
      <c r="BB369" s="29">
        <v>2.0</v>
      </c>
      <c r="BC369" s="29" t="s">
        <v>939</v>
      </c>
      <c r="BD369" s="29" t="s">
        <v>88</v>
      </c>
      <c r="BE369" s="29"/>
      <c r="BF369" s="29" t="s">
        <v>940</v>
      </c>
      <c r="BG369" s="29" t="s">
        <v>220</v>
      </c>
      <c r="BH369" s="29"/>
      <c r="BI369" s="29"/>
      <c r="BJ369" s="29"/>
      <c r="BK369" s="29"/>
      <c r="BL369" s="29"/>
      <c r="BM369" s="45">
        <v>1.0</v>
      </c>
      <c r="BN369" s="45">
        <v>1.0</v>
      </c>
      <c r="BO369" s="46" t="s">
        <v>920</v>
      </c>
      <c r="BP369" s="2" t="s">
        <v>682</v>
      </c>
      <c r="BQ369" s="3"/>
    </row>
    <row r="370" ht="15.75" customHeight="1">
      <c r="A370" s="34">
        <v>371.0</v>
      </c>
      <c r="B370" s="34">
        <v>104247.0</v>
      </c>
      <c r="C370" s="34" t="s">
        <v>832</v>
      </c>
      <c r="D370" s="34" t="s">
        <v>910</v>
      </c>
      <c r="E370" s="34" t="s">
        <v>911</v>
      </c>
      <c r="F370" s="34">
        <v>2021.0</v>
      </c>
      <c r="G370" s="34" t="s">
        <v>912</v>
      </c>
      <c r="H370" s="34" t="s">
        <v>816</v>
      </c>
      <c r="I370" s="34" t="s">
        <v>913</v>
      </c>
      <c r="J370" s="35"/>
      <c r="K370" s="36">
        <v>-5.23</v>
      </c>
      <c r="L370" s="36">
        <f t="shared" si="44"/>
        <v>43.58333333</v>
      </c>
      <c r="M370" s="36"/>
      <c r="N370" s="36"/>
      <c r="O370" s="36"/>
      <c r="P370" s="37">
        <v>-12.0</v>
      </c>
      <c r="Q370" s="36" t="s">
        <v>191</v>
      </c>
      <c r="R370" s="36" t="s">
        <v>191</v>
      </c>
      <c r="S370" s="36"/>
      <c r="T370" s="36" t="s">
        <v>284</v>
      </c>
      <c r="U370" s="36" t="s">
        <v>914</v>
      </c>
      <c r="V370" s="36">
        <v>359.0</v>
      </c>
      <c r="W370" s="36" t="s">
        <v>838</v>
      </c>
      <c r="X370" s="38">
        <v>18.0</v>
      </c>
      <c r="Y370" s="38" t="s">
        <v>915</v>
      </c>
      <c r="Z370" s="38"/>
      <c r="AA370" s="38" t="s">
        <v>916</v>
      </c>
      <c r="AB370" s="38" t="s">
        <v>917</v>
      </c>
      <c r="AC370" s="38"/>
      <c r="AD370" s="38" t="s">
        <v>198</v>
      </c>
      <c r="AE370" s="38"/>
      <c r="AF370" s="38"/>
      <c r="AG370" s="38"/>
      <c r="AH370" s="38"/>
      <c r="AI370" s="50"/>
      <c r="AJ370" s="50"/>
      <c r="AK370" s="41"/>
      <c r="AL370" s="40"/>
      <c r="AM370" s="49"/>
      <c r="AN370" s="43"/>
      <c r="AO370" s="42"/>
      <c r="AP370" s="43"/>
      <c r="AQ370" s="44"/>
      <c r="AR370" s="44" t="str">
        <f t="shared" si="3"/>
        <v/>
      </c>
      <c r="AS370" s="44"/>
      <c r="AT370" s="44" t="str">
        <f t="shared" si="17"/>
        <v/>
      </c>
      <c r="AU370" s="44" t="str">
        <f t="shared" si="2"/>
        <v/>
      </c>
      <c r="AV370" s="38"/>
      <c r="AW370" s="38"/>
      <c r="AX370" s="38"/>
      <c r="AY370" s="38"/>
      <c r="AZ370" s="29">
        <v>1000.0</v>
      </c>
      <c r="BA370" s="29">
        <v>1.0</v>
      </c>
      <c r="BB370" s="29">
        <v>1.0</v>
      </c>
      <c r="BC370" s="29" t="s">
        <v>941</v>
      </c>
      <c r="BD370" s="29" t="s">
        <v>92</v>
      </c>
      <c r="BE370" s="29"/>
      <c r="BF370" s="29" t="s">
        <v>942</v>
      </c>
      <c r="BG370" s="29" t="s">
        <v>644</v>
      </c>
      <c r="BH370" s="29"/>
      <c r="BI370" s="29"/>
      <c r="BJ370" s="29"/>
      <c r="BK370" s="29"/>
      <c r="BL370" s="29"/>
      <c r="BM370" s="45">
        <v>1.0</v>
      </c>
      <c r="BN370" s="45">
        <v>1.0</v>
      </c>
      <c r="BO370" s="46" t="s">
        <v>920</v>
      </c>
      <c r="BP370" s="2" t="s">
        <v>682</v>
      </c>
      <c r="BQ370" s="3"/>
    </row>
    <row r="371" ht="15.75" customHeight="1">
      <c r="A371" s="34">
        <v>372.0</v>
      </c>
      <c r="B371" s="34">
        <v>104247.0</v>
      </c>
      <c r="C371" s="34" t="s">
        <v>832</v>
      </c>
      <c r="D371" s="34" t="s">
        <v>910</v>
      </c>
      <c r="E371" s="34" t="s">
        <v>911</v>
      </c>
      <c r="F371" s="34">
        <v>2021.0</v>
      </c>
      <c r="G371" s="34" t="s">
        <v>912</v>
      </c>
      <c r="H371" s="34" t="s">
        <v>816</v>
      </c>
      <c r="I371" s="34" t="s">
        <v>913</v>
      </c>
      <c r="J371" s="35"/>
      <c r="K371" s="36">
        <v>0.04</v>
      </c>
      <c r="L371" s="36">
        <f t="shared" si="44"/>
        <v>44.44444444</v>
      </c>
      <c r="M371" s="36"/>
      <c r="N371" s="36"/>
      <c r="O371" s="36"/>
      <c r="P371" s="37">
        <v>0.09</v>
      </c>
      <c r="Q371" s="36" t="s">
        <v>191</v>
      </c>
      <c r="R371" s="36" t="s">
        <v>191</v>
      </c>
      <c r="S371" s="36"/>
      <c r="T371" s="36" t="s">
        <v>284</v>
      </c>
      <c r="U371" s="36" t="s">
        <v>914</v>
      </c>
      <c r="V371" s="36">
        <v>103.0</v>
      </c>
      <c r="W371" s="36" t="s">
        <v>838</v>
      </c>
      <c r="X371" s="38">
        <v>3.0</v>
      </c>
      <c r="Y371" s="38" t="s">
        <v>943</v>
      </c>
      <c r="Z371" s="38"/>
      <c r="AA371" s="38" t="s">
        <v>944</v>
      </c>
      <c r="AB371" s="38" t="s">
        <v>917</v>
      </c>
      <c r="AC371" s="38"/>
      <c r="AD371" s="38" t="s">
        <v>198</v>
      </c>
      <c r="AE371" s="38"/>
      <c r="AF371" s="38"/>
      <c r="AG371" s="38"/>
      <c r="AH371" s="38"/>
      <c r="AI371" s="50"/>
      <c r="AJ371" s="50"/>
      <c r="AK371" s="41"/>
      <c r="AL371" s="40"/>
      <c r="AM371" s="49"/>
      <c r="AN371" s="43"/>
      <c r="AO371" s="42"/>
      <c r="AP371" s="43"/>
      <c r="AQ371" s="44"/>
      <c r="AR371" s="44" t="str">
        <f t="shared" si="3"/>
        <v/>
      </c>
      <c r="AS371" s="44"/>
      <c r="AT371" s="44" t="str">
        <f t="shared" si="17"/>
        <v/>
      </c>
      <c r="AU371" s="44" t="str">
        <f t="shared" si="2"/>
        <v/>
      </c>
      <c r="AV371" s="38"/>
      <c r="AW371" s="38"/>
      <c r="AX371" s="38"/>
      <c r="AY371" s="38"/>
      <c r="AZ371" s="29">
        <v>1000.0</v>
      </c>
      <c r="BA371" s="29">
        <v>1.0</v>
      </c>
      <c r="BB371" s="29">
        <v>1.0</v>
      </c>
      <c r="BC371" s="29" t="s">
        <v>941</v>
      </c>
      <c r="BD371" s="29" t="s">
        <v>92</v>
      </c>
      <c r="BE371" s="29"/>
      <c r="BF371" s="29" t="s">
        <v>942</v>
      </c>
      <c r="BG371" s="29" t="s">
        <v>644</v>
      </c>
      <c r="BH371" s="29"/>
      <c r="BI371" s="29"/>
      <c r="BJ371" s="29"/>
      <c r="BK371" s="29"/>
      <c r="BL371" s="29"/>
      <c r="BM371" s="45">
        <v>1.0</v>
      </c>
      <c r="BN371" s="45">
        <v>1.0</v>
      </c>
      <c r="BO371" s="46" t="s">
        <v>920</v>
      </c>
      <c r="BP371" s="2" t="s">
        <v>682</v>
      </c>
      <c r="BQ371" s="3"/>
    </row>
    <row r="372" ht="15.75" customHeight="1">
      <c r="A372" s="34">
        <v>373.0</v>
      </c>
      <c r="B372" s="34">
        <v>104247.0</v>
      </c>
      <c r="C372" s="34" t="s">
        <v>832</v>
      </c>
      <c r="D372" s="34" t="s">
        <v>910</v>
      </c>
      <c r="E372" s="34" t="s">
        <v>911</v>
      </c>
      <c r="F372" s="34">
        <v>2021.0</v>
      </c>
      <c r="G372" s="34" t="s">
        <v>912</v>
      </c>
      <c r="H372" s="34" t="s">
        <v>816</v>
      </c>
      <c r="I372" s="34" t="s">
        <v>913</v>
      </c>
      <c r="J372" s="35"/>
      <c r="K372" s="36">
        <v>-9.07</v>
      </c>
      <c r="L372" s="36">
        <f t="shared" si="44"/>
        <v>44.15774099</v>
      </c>
      <c r="M372" s="36"/>
      <c r="N372" s="36"/>
      <c r="O372" s="36"/>
      <c r="P372" s="37">
        <v>-20.54</v>
      </c>
      <c r="Q372" s="36" t="s">
        <v>191</v>
      </c>
      <c r="R372" s="36" t="s">
        <v>191</v>
      </c>
      <c r="S372" s="36"/>
      <c r="T372" s="36" t="s">
        <v>284</v>
      </c>
      <c r="U372" s="36" t="s">
        <v>914</v>
      </c>
      <c r="V372" s="36">
        <v>180.0</v>
      </c>
      <c r="W372" s="36" t="s">
        <v>838</v>
      </c>
      <c r="X372" s="38">
        <v>9.0</v>
      </c>
      <c r="Y372" s="38" t="s">
        <v>945</v>
      </c>
      <c r="Z372" s="38"/>
      <c r="AA372" s="38" t="s">
        <v>288</v>
      </c>
      <c r="AB372" s="38" t="s">
        <v>917</v>
      </c>
      <c r="AC372" s="38"/>
      <c r="AD372" s="38" t="s">
        <v>198</v>
      </c>
      <c r="AE372" s="38"/>
      <c r="AF372" s="38"/>
      <c r="AG372" s="38"/>
      <c r="AH372" s="38"/>
      <c r="AI372" s="50"/>
      <c r="AJ372" s="50"/>
      <c r="AK372" s="41"/>
      <c r="AL372" s="40"/>
      <c r="AM372" s="49"/>
      <c r="AN372" s="43"/>
      <c r="AO372" s="42"/>
      <c r="AP372" s="43"/>
      <c r="AQ372" s="44" t="str">
        <f t="shared" ref="AQ372:AQ447" si="45">AA372</f>
        <v>GRA</v>
      </c>
      <c r="AR372" s="44" t="str">
        <f t="shared" si="3"/>
        <v/>
      </c>
      <c r="AS372" s="44"/>
      <c r="AT372" s="44" t="str">
        <f t="shared" si="17"/>
        <v/>
      </c>
      <c r="AU372" s="44" t="str">
        <f t="shared" si="2"/>
        <v/>
      </c>
      <c r="AV372" s="38"/>
      <c r="AW372" s="38"/>
      <c r="AX372" s="38"/>
      <c r="AY372" s="38"/>
      <c r="AZ372" s="29">
        <v>1000.0</v>
      </c>
      <c r="BA372" s="29">
        <v>1.0</v>
      </c>
      <c r="BB372" s="29">
        <v>1.0</v>
      </c>
      <c r="BC372" s="29" t="s">
        <v>941</v>
      </c>
      <c r="BD372" s="29" t="s">
        <v>92</v>
      </c>
      <c r="BE372" s="29"/>
      <c r="BF372" s="29" t="s">
        <v>942</v>
      </c>
      <c r="BG372" s="29" t="s">
        <v>644</v>
      </c>
      <c r="BH372" s="29"/>
      <c r="BI372" s="29"/>
      <c r="BJ372" s="29"/>
      <c r="BK372" s="29"/>
      <c r="BL372" s="29"/>
      <c r="BM372" s="45">
        <v>1.0</v>
      </c>
      <c r="BN372" s="45">
        <v>1.0</v>
      </c>
      <c r="BO372" s="46" t="s">
        <v>920</v>
      </c>
      <c r="BP372" s="2" t="s">
        <v>682</v>
      </c>
      <c r="BQ372" s="3"/>
    </row>
    <row r="373" ht="15.75" customHeight="1">
      <c r="A373" s="34">
        <v>374.0</v>
      </c>
      <c r="B373" s="34">
        <v>104247.0</v>
      </c>
      <c r="C373" s="34" t="s">
        <v>832</v>
      </c>
      <c r="D373" s="34" t="s">
        <v>910</v>
      </c>
      <c r="E373" s="34" t="s">
        <v>911</v>
      </c>
      <c r="F373" s="34">
        <v>2021.0</v>
      </c>
      <c r="G373" s="34" t="s">
        <v>912</v>
      </c>
      <c r="H373" s="34" t="s">
        <v>816</v>
      </c>
      <c r="I373" s="34" t="s">
        <v>913</v>
      </c>
      <c r="J373" s="35"/>
      <c r="K373" s="36">
        <v>-3.39</v>
      </c>
      <c r="L373" s="36">
        <f t="shared" si="44"/>
        <v>50.22222222</v>
      </c>
      <c r="M373" s="36"/>
      <c r="N373" s="36"/>
      <c r="O373" s="36"/>
      <c r="P373" s="37">
        <v>-6.75</v>
      </c>
      <c r="Q373" s="36" t="s">
        <v>191</v>
      </c>
      <c r="R373" s="36" t="s">
        <v>191</v>
      </c>
      <c r="S373" s="36"/>
      <c r="T373" s="36" t="s">
        <v>284</v>
      </c>
      <c r="U373" s="36" t="s">
        <v>914</v>
      </c>
      <c r="V373" s="36">
        <v>73.0</v>
      </c>
      <c r="W373" s="36" t="s">
        <v>838</v>
      </c>
      <c r="X373" s="38">
        <v>6.0</v>
      </c>
      <c r="Y373" s="38" t="s">
        <v>946</v>
      </c>
      <c r="Z373" s="38"/>
      <c r="AA373" s="38" t="s">
        <v>86</v>
      </c>
      <c r="AB373" s="38" t="s">
        <v>917</v>
      </c>
      <c r="AC373" s="38"/>
      <c r="AD373" s="38" t="s">
        <v>198</v>
      </c>
      <c r="AE373" s="38"/>
      <c r="AF373" s="38"/>
      <c r="AG373" s="38"/>
      <c r="AH373" s="38"/>
      <c r="AI373" s="50"/>
      <c r="AJ373" s="50"/>
      <c r="AK373" s="41"/>
      <c r="AL373" s="40"/>
      <c r="AM373" s="49"/>
      <c r="AN373" s="43"/>
      <c r="AO373" s="42"/>
      <c r="AP373" s="43"/>
      <c r="AQ373" s="44" t="str">
        <f t="shared" si="45"/>
        <v>CRO</v>
      </c>
      <c r="AR373" s="44" t="str">
        <f t="shared" si="3"/>
        <v/>
      </c>
      <c r="AS373" s="44"/>
      <c r="AT373" s="44" t="str">
        <f t="shared" si="17"/>
        <v/>
      </c>
      <c r="AU373" s="44" t="str">
        <f t="shared" si="2"/>
        <v/>
      </c>
      <c r="AV373" s="38"/>
      <c r="AW373" s="38"/>
      <c r="AX373" s="38"/>
      <c r="AY373" s="38"/>
      <c r="AZ373" s="29">
        <v>1000.0</v>
      </c>
      <c r="BA373" s="29">
        <v>1.0</v>
      </c>
      <c r="BB373" s="29">
        <v>1.0</v>
      </c>
      <c r="BC373" s="29" t="s">
        <v>941</v>
      </c>
      <c r="BD373" s="29" t="s">
        <v>92</v>
      </c>
      <c r="BE373" s="29"/>
      <c r="BF373" s="29" t="s">
        <v>942</v>
      </c>
      <c r="BG373" s="29" t="s">
        <v>644</v>
      </c>
      <c r="BH373" s="29"/>
      <c r="BI373" s="29"/>
      <c r="BJ373" s="29"/>
      <c r="BK373" s="29"/>
      <c r="BL373" s="29"/>
      <c r="BM373" s="45">
        <v>1.0</v>
      </c>
      <c r="BN373" s="45">
        <v>1.0</v>
      </c>
      <c r="BO373" s="46" t="s">
        <v>920</v>
      </c>
      <c r="BP373" s="2" t="s">
        <v>682</v>
      </c>
      <c r="BQ373" s="3"/>
    </row>
    <row r="374" ht="15.75" customHeight="1">
      <c r="A374" s="34">
        <v>375.0</v>
      </c>
      <c r="B374" s="34">
        <v>104247.0</v>
      </c>
      <c r="C374" s="34" t="s">
        <v>832</v>
      </c>
      <c r="D374" s="34" t="s">
        <v>910</v>
      </c>
      <c r="E374" s="34" t="s">
        <v>911</v>
      </c>
      <c r="F374" s="34">
        <v>2021.0</v>
      </c>
      <c r="G374" s="34" t="s">
        <v>912</v>
      </c>
      <c r="H374" s="34" t="s">
        <v>816</v>
      </c>
      <c r="I374" s="34" t="s">
        <v>913</v>
      </c>
      <c r="J374" s="35"/>
      <c r="K374" s="36">
        <v>-4.29</v>
      </c>
      <c r="L374" s="36">
        <f t="shared" si="44"/>
        <v>46.68117519</v>
      </c>
      <c r="M374" s="36"/>
      <c r="N374" s="36"/>
      <c r="O374" s="36"/>
      <c r="P374" s="37">
        <v>-9.19</v>
      </c>
      <c r="Q374" s="36" t="s">
        <v>191</v>
      </c>
      <c r="R374" s="36" t="s">
        <v>191</v>
      </c>
      <c r="S374" s="36"/>
      <c r="T374" s="36" t="s">
        <v>284</v>
      </c>
      <c r="U374" s="36" t="s">
        <v>914</v>
      </c>
      <c r="V374" s="36">
        <v>157.0</v>
      </c>
      <c r="W374" s="36" t="s">
        <v>838</v>
      </c>
      <c r="X374" s="38" t="s">
        <v>630</v>
      </c>
      <c r="Y374" s="38" t="s">
        <v>947</v>
      </c>
      <c r="Z374" s="38"/>
      <c r="AA374" s="38"/>
      <c r="AB374" s="38" t="s">
        <v>917</v>
      </c>
      <c r="AC374" s="38"/>
      <c r="AD374" s="38" t="s">
        <v>198</v>
      </c>
      <c r="AE374" s="38"/>
      <c r="AF374" s="38"/>
      <c r="AG374" s="38" t="s">
        <v>948</v>
      </c>
      <c r="AH374" s="38"/>
      <c r="AI374" s="50"/>
      <c r="AJ374" s="50"/>
      <c r="AK374" s="41"/>
      <c r="AL374" s="40"/>
      <c r="AM374" s="49"/>
      <c r="AN374" s="43"/>
      <c r="AO374" s="42"/>
      <c r="AP374" s="43"/>
      <c r="AQ374" s="44" t="str">
        <f t="shared" si="45"/>
        <v/>
      </c>
      <c r="AR374" s="44" t="str">
        <f t="shared" si="3"/>
        <v/>
      </c>
      <c r="AS374" s="44"/>
      <c r="AT374" s="44" t="str">
        <f t="shared" si="17"/>
        <v/>
      </c>
      <c r="AU374" s="44" t="str">
        <f t="shared" si="2"/>
        <v/>
      </c>
      <c r="AV374" s="38"/>
      <c r="AW374" s="38"/>
      <c r="AX374" s="38"/>
      <c r="AY374" s="38"/>
      <c r="AZ374" s="29">
        <v>1000.0</v>
      </c>
      <c r="BA374" s="29">
        <v>1.0</v>
      </c>
      <c r="BB374" s="29">
        <v>1.0</v>
      </c>
      <c r="BC374" s="29" t="s">
        <v>941</v>
      </c>
      <c r="BD374" s="29" t="s">
        <v>92</v>
      </c>
      <c r="BE374" s="29"/>
      <c r="BF374" s="29" t="s">
        <v>942</v>
      </c>
      <c r="BG374" s="29" t="s">
        <v>644</v>
      </c>
      <c r="BH374" s="29"/>
      <c r="BI374" s="29"/>
      <c r="BJ374" s="29"/>
      <c r="BK374" s="29"/>
      <c r="BL374" s="29"/>
      <c r="BM374" s="45">
        <v>1.0</v>
      </c>
      <c r="BN374" s="45">
        <v>1.0</v>
      </c>
      <c r="BO374" s="46" t="s">
        <v>920</v>
      </c>
      <c r="BP374" s="2" t="s">
        <v>682</v>
      </c>
      <c r="BQ374" s="3"/>
    </row>
    <row r="375" ht="15.75" customHeight="1">
      <c r="A375" s="34">
        <v>376.0</v>
      </c>
      <c r="B375" s="34">
        <v>104247.0</v>
      </c>
      <c r="C375" s="34" t="s">
        <v>832</v>
      </c>
      <c r="D375" s="34" t="s">
        <v>910</v>
      </c>
      <c r="E375" s="34" t="s">
        <v>911</v>
      </c>
      <c r="F375" s="34">
        <v>2021.0</v>
      </c>
      <c r="G375" s="34" t="s">
        <v>912</v>
      </c>
      <c r="H375" s="34" t="s">
        <v>816</v>
      </c>
      <c r="I375" s="34" t="s">
        <v>913</v>
      </c>
      <c r="J375" s="35"/>
      <c r="K375" s="36">
        <v>-15.56</v>
      </c>
      <c r="L375" s="36">
        <f t="shared" si="44"/>
        <v>55.2949538</v>
      </c>
      <c r="M375" s="36"/>
      <c r="N375" s="36"/>
      <c r="O375" s="36"/>
      <c r="P375" s="37">
        <v>-28.14</v>
      </c>
      <c r="Q375" s="36" t="s">
        <v>191</v>
      </c>
      <c r="R375" s="36" t="s">
        <v>191</v>
      </c>
      <c r="S375" s="36"/>
      <c r="T375" s="36" t="s">
        <v>284</v>
      </c>
      <c r="U375" s="36" t="s">
        <v>914</v>
      </c>
      <c r="V375" s="36">
        <v>96.0</v>
      </c>
      <c r="W375" s="36" t="s">
        <v>838</v>
      </c>
      <c r="X375" s="38" t="s">
        <v>630</v>
      </c>
      <c r="Y375" s="38" t="s">
        <v>949</v>
      </c>
      <c r="Z375" s="38"/>
      <c r="AA375" s="38"/>
      <c r="AB375" s="38" t="s">
        <v>917</v>
      </c>
      <c r="AC375" s="38"/>
      <c r="AD375" s="38" t="s">
        <v>198</v>
      </c>
      <c r="AE375" s="38"/>
      <c r="AF375" s="38"/>
      <c r="AG375" s="38" t="s">
        <v>950</v>
      </c>
      <c r="AH375" s="38"/>
      <c r="AI375" s="50"/>
      <c r="AJ375" s="50"/>
      <c r="AK375" s="41"/>
      <c r="AL375" s="40"/>
      <c r="AM375" s="49"/>
      <c r="AN375" s="43"/>
      <c r="AO375" s="42"/>
      <c r="AP375" s="43"/>
      <c r="AQ375" s="44" t="str">
        <f t="shared" si="45"/>
        <v/>
      </c>
      <c r="AR375" s="44" t="str">
        <f t="shared" si="3"/>
        <v/>
      </c>
      <c r="AS375" s="44"/>
      <c r="AT375" s="44" t="str">
        <f t="shared" si="17"/>
        <v/>
      </c>
      <c r="AU375" s="44" t="str">
        <f t="shared" si="2"/>
        <v/>
      </c>
      <c r="AV375" s="38"/>
      <c r="AW375" s="38"/>
      <c r="AX375" s="38"/>
      <c r="AY375" s="38"/>
      <c r="AZ375" s="29">
        <v>1000.0</v>
      </c>
      <c r="BA375" s="29">
        <v>1.0</v>
      </c>
      <c r="BB375" s="29">
        <v>1.0</v>
      </c>
      <c r="BC375" s="29" t="s">
        <v>941</v>
      </c>
      <c r="BD375" s="29" t="s">
        <v>92</v>
      </c>
      <c r="BE375" s="29"/>
      <c r="BF375" s="29" t="s">
        <v>942</v>
      </c>
      <c r="BG375" s="29" t="s">
        <v>644</v>
      </c>
      <c r="BH375" s="29"/>
      <c r="BI375" s="29"/>
      <c r="BJ375" s="29"/>
      <c r="BK375" s="29"/>
      <c r="BL375" s="29"/>
      <c r="BM375" s="45">
        <v>1.0</v>
      </c>
      <c r="BN375" s="45">
        <v>1.0</v>
      </c>
      <c r="BO375" s="46" t="s">
        <v>920</v>
      </c>
      <c r="BP375" s="2" t="s">
        <v>682</v>
      </c>
      <c r="BQ375" s="3"/>
    </row>
    <row r="376" ht="15.75" customHeight="1">
      <c r="A376" s="34">
        <v>377.0</v>
      </c>
      <c r="B376" s="34">
        <v>104247.0</v>
      </c>
      <c r="C376" s="34" t="s">
        <v>832</v>
      </c>
      <c r="D376" s="34" t="s">
        <v>910</v>
      </c>
      <c r="E376" s="34" t="s">
        <v>911</v>
      </c>
      <c r="F376" s="34">
        <v>2021.0</v>
      </c>
      <c r="G376" s="34" t="s">
        <v>912</v>
      </c>
      <c r="H376" s="34" t="s">
        <v>816</v>
      </c>
      <c r="I376" s="34" t="s">
        <v>913</v>
      </c>
      <c r="J376" s="35"/>
      <c r="K376" s="36">
        <v>0.04</v>
      </c>
      <c r="L376" s="36">
        <f t="shared" si="44"/>
        <v>44.44444444</v>
      </c>
      <c r="M376" s="36"/>
      <c r="N376" s="36"/>
      <c r="O376" s="36"/>
      <c r="P376" s="37">
        <v>0.09</v>
      </c>
      <c r="Q376" s="36" t="s">
        <v>191</v>
      </c>
      <c r="R376" s="36" t="s">
        <v>191</v>
      </c>
      <c r="S376" s="36"/>
      <c r="T376" s="36" t="s">
        <v>284</v>
      </c>
      <c r="U376" s="36" t="s">
        <v>914</v>
      </c>
      <c r="V376" s="36">
        <v>103.0</v>
      </c>
      <c r="W376" s="36" t="s">
        <v>838</v>
      </c>
      <c r="X376" s="38" t="s">
        <v>630</v>
      </c>
      <c r="Y376" s="38" t="s">
        <v>951</v>
      </c>
      <c r="Z376" s="38"/>
      <c r="AA376" s="38"/>
      <c r="AB376" s="38" t="s">
        <v>917</v>
      </c>
      <c r="AC376" s="38"/>
      <c r="AD376" s="38" t="s">
        <v>198</v>
      </c>
      <c r="AE376" s="38"/>
      <c r="AF376" s="38"/>
      <c r="AG376" s="38" t="s">
        <v>952</v>
      </c>
      <c r="AH376" s="38"/>
      <c r="AI376" s="50"/>
      <c r="AJ376" s="50"/>
      <c r="AK376" s="41"/>
      <c r="AL376" s="40"/>
      <c r="AM376" s="49"/>
      <c r="AN376" s="43"/>
      <c r="AO376" s="42"/>
      <c r="AP376" s="43"/>
      <c r="AQ376" s="44" t="str">
        <f t="shared" si="45"/>
        <v/>
      </c>
      <c r="AR376" s="44" t="str">
        <f t="shared" si="3"/>
        <v/>
      </c>
      <c r="AS376" s="44"/>
      <c r="AT376" s="44" t="str">
        <f t="shared" si="17"/>
        <v/>
      </c>
      <c r="AU376" s="44" t="str">
        <f t="shared" si="2"/>
        <v/>
      </c>
      <c r="AV376" s="38"/>
      <c r="AW376" s="38"/>
      <c r="AX376" s="38"/>
      <c r="AY376" s="38"/>
      <c r="AZ376" s="29">
        <v>1000.0</v>
      </c>
      <c r="BA376" s="29">
        <v>1.0</v>
      </c>
      <c r="BB376" s="29">
        <v>1.0</v>
      </c>
      <c r="BC376" s="29" t="s">
        <v>941</v>
      </c>
      <c r="BD376" s="29" t="s">
        <v>92</v>
      </c>
      <c r="BE376" s="29"/>
      <c r="BF376" s="29" t="s">
        <v>942</v>
      </c>
      <c r="BG376" s="29" t="s">
        <v>644</v>
      </c>
      <c r="BH376" s="29"/>
      <c r="BI376" s="29"/>
      <c r="BJ376" s="29"/>
      <c r="BK376" s="29"/>
      <c r="BL376" s="29"/>
      <c r="BM376" s="45">
        <v>1.0</v>
      </c>
      <c r="BN376" s="45">
        <v>1.0</v>
      </c>
      <c r="BO376" s="46" t="s">
        <v>920</v>
      </c>
      <c r="BP376" s="2"/>
      <c r="BQ376" s="3"/>
    </row>
    <row r="377" ht="15.75" customHeight="1">
      <c r="A377" s="34">
        <v>378.0</v>
      </c>
      <c r="B377" s="34">
        <v>104247.0</v>
      </c>
      <c r="C377" s="34" t="s">
        <v>832</v>
      </c>
      <c r="D377" s="34" t="s">
        <v>910</v>
      </c>
      <c r="E377" s="34" t="s">
        <v>911</v>
      </c>
      <c r="F377" s="34">
        <v>2021.0</v>
      </c>
      <c r="G377" s="34" t="s">
        <v>912</v>
      </c>
      <c r="H377" s="34" t="s">
        <v>816</v>
      </c>
      <c r="I377" s="34" t="s">
        <v>913</v>
      </c>
      <c r="J377" s="35"/>
      <c r="K377" s="36">
        <v>-2.52</v>
      </c>
      <c r="L377" s="36">
        <f t="shared" si="44"/>
        <v>48.46153846</v>
      </c>
      <c r="M377" s="36"/>
      <c r="N377" s="36"/>
      <c r="O377" s="36"/>
      <c r="P377" s="37">
        <v>-5.2</v>
      </c>
      <c r="Q377" s="36" t="s">
        <v>191</v>
      </c>
      <c r="R377" s="36" t="s">
        <v>191</v>
      </c>
      <c r="S377" s="36"/>
      <c r="T377" s="36" t="s">
        <v>284</v>
      </c>
      <c r="U377" s="36" t="s">
        <v>914</v>
      </c>
      <c r="V377" s="36">
        <v>126.0</v>
      </c>
      <c r="W377" s="36" t="s">
        <v>838</v>
      </c>
      <c r="X377" s="38" t="s">
        <v>630</v>
      </c>
      <c r="Y377" s="38" t="s">
        <v>953</v>
      </c>
      <c r="Z377" s="38"/>
      <c r="AA377" s="38"/>
      <c r="AB377" s="38" t="s">
        <v>917</v>
      </c>
      <c r="AC377" s="38"/>
      <c r="AD377" s="38" t="s">
        <v>198</v>
      </c>
      <c r="AE377" s="38" t="s">
        <v>954</v>
      </c>
      <c r="AF377" s="38"/>
      <c r="AG377" s="38"/>
      <c r="AH377" s="38"/>
      <c r="AI377" s="50"/>
      <c r="AJ377" s="50"/>
      <c r="AK377" s="41"/>
      <c r="AL377" s="40"/>
      <c r="AM377" s="49"/>
      <c r="AN377" s="43"/>
      <c r="AO377" s="42"/>
      <c r="AP377" s="43"/>
      <c r="AQ377" s="44" t="str">
        <f t="shared" si="45"/>
        <v/>
      </c>
      <c r="AR377" s="44" t="str">
        <f t="shared" si="3"/>
        <v/>
      </c>
      <c r="AS377" s="44"/>
      <c r="AT377" s="44" t="str">
        <f t="shared" si="17"/>
        <v/>
      </c>
      <c r="AU377" s="44" t="str">
        <f t="shared" si="2"/>
        <v/>
      </c>
      <c r="AV377" s="38"/>
      <c r="AW377" s="38"/>
      <c r="AX377" s="38"/>
      <c r="AY377" s="38"/>
      <c r="AZ377" s="29">
        <v>1000.0</v>
      </c>
      <c r="BA377" s="29">
        <v>1.0</v>
      </c>
      <c r="BB377" s="29">
        <v>1.0</v>
      </c>
      <c r="BC377" s="29" t="s">
        <v>941</v>
      </c>
      <c r="BD377" s="29" t="s">
        <v>92</v>
      </c>
      <c r="BE377" s="29"/>
      <c r="BF377" s="29" t="s">
        <v>942</v>
      </c>
      <c r="BG377" s="29" t="s">
        <v>644</v>
      </c>
      <c r="BH377" s="29"/>
      <c r="BI377" s="29"/>
      <c r="BJ377" s="29"/>
      <c r="BK377" s="29"/>
      <c r="BL377" s="29"/>
      <c r="BM377" s="45">
        <v>1.0</v>
      </c>
      <c r="BN377" s="45">
        <v>1.0</v>
      </c>
      <c r="BO377" s="46" t="s">
        <v>920</v>
      </c>
      <c r="BP377" s="2" t="s">
        <v>682</v>
      </c>
      <c r="BQ377" s="3"/>
    </row>
    <row r="378" ht="15.75" customHeight="1">
      <c r="A378" s="34">
        <v>379.0</v>
      </c>
      <c r="B378" s="34">
        <v>104247.0</v>
      </c>
      <c r="C378" s="34" t="s">
        <v>832</v>
      </c>
      <c r="D378" s="34" t="s">
        <v>910</v>
      </c>
      <c r="E378" s="34" t="s">
        <v>911</v>
      </c>
      <c r="F378" s="34">
        <v>2021.0</v>
      </c>
      <c r="G378" s="34" t="s">
        <v>912</v>
      </c>
      <c r="H378" s="34" t="s">
        <v>816</v>
      </c>
      <c r="I378" s="34" t="s">
        <v>913</v>
      </c>
      <c r="J378" s="35"/>
      <c r="K378" s="36">
        <v>-2.04</v>
      </c>
      <c r="L378" s="36">
        <f t="shared" si="44"/>
        <v>39.76608187</v>
      </c>
      <c r="M378" s="36"/>
      <c r="N378" s="36"/>
      <c r="O378" s="36"/>
      <c r="P378" s="37">
        <v>-5.13</v>
      </c>
      <c r="Q378" s="36" t="s">
        <v>191</v>
      </c>
      <c r="R378" s="36" t="s">
        <v>191</v>
      </c>
      <c r="S378" s="36"/>
      <c r="T378" s="36" t="s">
        <v>284</v>
      </c>
      <c r="U378" s="36" t="s">
        <v>914</v>
      </c>
      <c r="V378" s="36">
        <v>116.0</v>
      </c>
      <c r="W378" s="36" t="s">
        <v>838</v>
      </c>
      <c r="X378" s="38" t="s">
        <v>630</v>
      </c>
      <c r="Y378" s="38" t="s">
        <v>955</v>
      </c>
      <c r="Z378" s="38"/>
      <c r="AA378" s="38"/>
      <c r="AB378" s="38" t="s">
        <v>917</v>
      </c>
      <c r="AC378" s="38"/>
      <c r="AD378" s="38" t="s">
        <v>198</v>
      </c>
      <c r="AE378" s="38" t="s">
        <v>956</v>
      </c>
      <c r="AF378" s="38"/>
      <c r="AG378" s="38"/>
      <c r="AH378" s="38"/>
      <c r="AI378" s="50"/>
      <c r="AJ378" s="50"/>
      <c r="AK378" s="41"/>
      <c r="AL378" s="40"/>
      <c r="AM378" s="49"/>
      <c r="AN378" s="43"/>
      <c r="AO378" s="42"/>
      <c r="AP378" s="43"/>
      <c r="AQ378" s="44" t="str">
        <f t="shared" si="45"/>
        <v/>
      </c>
      <c r="AR378" s="44" t="str">
        <f t="shared" si="3"/>
        <v/>
      </c>
      <c r="AS378" s="44"/>
      <c r="AT378" s="44" t="str">
        <f t="shared" si="17"/>
        <v/>
      </c>
      <c r="AU378" s="44" t="str">
        <f t="shared" si="2"/>
        <v/>
      </c>
      <c r="AV378" s="38"/>
      <c r="AW378" s="38"/>
      <c r="AX378" s="38"/>
      <c r="AY378" s="38"/>
      <c r="AZ378" s="29">
        <v>1000.0</v>
      </c>
      <c r="BA378" s="29">
        <v>1.0</v>
      </c>
      <c r="BB378" s="29">
        <v>1.0</v>
      </c>
      <c r="BC378" s="29" t="s">
        <v>941</v>
      </c>
      <c r="BD378" s="29" t="s">
        <v>92</v>
      </c>
      <c r="BE378" s="29"/>
      <c r="BF378" s="29" t="s">
        <v>942</v>
      </c>
      <c r="BG378" s="29" t="s">
        <v>644</v>
      </c>
      <c r="BH378" s="29"/>
      <c r="BI378" s="29"/>
      <c r="BJ378" s="29"/>
      <c r="BK378" s="29"/>
      <c r="BL378" s="29"/>
      <c r="BM378" s="45">
        <v>1.0</v>
      </c>
      <c r="BN378" s="45">
        <v>1.0</v>
      </c>
      <c r="BO378" s="46" t="s">
        <v>920</v>
      </c>
      <c r="BP378" s="2" t="s">
        <v>682</v>
      </c>
      <c r="BQ378" s="3"/>
    </row>
    <row r="379" ht="15.75" customHeight="1">
      <c r="A379" s="34">
        <v>380.0</v>
      </c>
      <c r="B379" s="34">
        <v>104247.0</v>
      </c>
      <c r="C379" s="34" t="s">
        <v>832</v>
      </c>
      <c r="D379" s="34" t="s">
        <v>910</v>
      </c>
      <c r="E379" s="34" t="s">
        <v>911</v>
      </c>
      <c r="F379" s="34">
        <v>2021.0</v>
      </c>
      <c r="G379" s="34" t="s">
        <v>912</v>
      </c>
      <c r="H379" s="34" t="s">
        <v>816</v>
      </c>
      <c r="I379" s="34" t="s">
        <v>913</v>
      </c>
      <c r="J379" s="35"/>
      <c r="K379" s="36">
        <v>-11.59</v>
      </c>
      <c r="L379" s="36">
        <f t="shared" si="44"/>
        <v>42.97367445</v>
      </c>
      <c r="M379" s="36"/>
      <c r="N379" s="36"/>
      <c r="O379" s="36"/>
      <c r="P379" s="37">
        <v>-26.97</v>
      </c>
      <c r="Q379" s="36" t="s">
        <v>191</v>
      </c>
      <c r="R379" s="36" t="s">
        <v>191</v>
      </c>
      <c r="S379" s="36"/>
      <c r="T379" s="36" t="s">
        <v>284</v>
      </c>
      <c r="U379" s="36" t="s">
        <v>914</v>
      </c>
      <c r="V379" s="36">
        <v>114.0</v>
      </c>
      <c r="W379" s="36" t="s">
        <v>838</v>
      </c>
      <c r="X379" s="38" t="s">
        <v>630</v>
      </c>
      <c r="Y379" s="38" t="s">
        <v>957</v>
      </c>
      <c r="Z379" s="38"/>
      <c r="AA379" s="38"/>
      <c r="AB379" s="38" t="s">
        <v>917</v>
      </c>
      <c r="AC379" s="38"/>
      <c r="AD379" s="38" t="s">
        <v>198</v>
      </c>
      <c r="AE379" s="38" t="s">
        <v>958</v>
      </c>
      <c r="AF379" s="38"/>
      <c r="AG379" s="38"/>
      <c r="AH379" s="38"/>
      <c r="AI379" s="50"/>
      <c r="AJ379" s="50"/>
      <c r="AK379" s="41"/>
      <c r="AL379" s="40"/>
      <c r="AM379" s="49"/>
      <c r="AN379" s="43"/>
      <c r="AO379" s="42"/>
      <c r="AP379" s="43"/>
      <c r="AQ379" s="44" t="str">
        <f t="shared" si="45"/>
        <v/>
      </c>
      <c r="AR379" s="44" t="str">
        <f t="shared" si="3"/>
        <v/>
      </c>
      <c r="AS379" s="44"/>
      <c r="AT379" s="44" t="str">
        <f t="shared" si="17"/>
        <v/>
      </c>
      <c r="AU379" s="44" t="str">
        <f t="shared" si="2"/>
        <v/>
      </c>
      <c r="AV379" s="38"/>
      <c r="AW379" s="38"/>
      <c r="AX379" s="38"/>
      <c r="AY379" s="38"/>
      <c r="AZ379" s="29">
        <v>1000.0</v>
      </c>
      <c r="BA379" s="29">
        <v>1.0</v>
      </c>
      <c r="BB379" s="29">
        <v>1.0</v>
      </c>
      <c r="BC379" s="29" t="s">
        <v>941</v>
      </c>
      <c r="BD379" s="29" t="s">
        <v>92</v>
      </c>
      <c r="BE379" s="29"/>
      <c r="BF379" s="29" t="s">
        <v>942</v>
      </c>
      <c r="BG379" s="29" t="s">
        <v>644</v>
      </c>
      <c r="BH379" s="29"/>
      <c r="BI379" s="29"/>
      <c r="BJ379" s="29"/>
      <c r="BK379" s="29"/>
      <c r="BL379" s="29"/>
      <c r="BM379" s="45">
        <v>1.0</v>
      </c>
      <c r="BN379" s="45">
        <v>1.0</v>
      </c>
      <c r="BO379" s="46" t="s">
        <v>920</v>
      </c>
      <c r="BP379" s="2" t="s">
        <v>682</v>
      </c>
      <c r="BQ379" s="3"/>
    </row>
    <row r="380" ht="15.75" customHeight="1">
      <c r="A380" s="34">
        <v>381.0</v>
      </c>
      <c r="B380" s="34">
        <v>101462.0</v>
      </c>
      <c r="C380" s="34" t="s">
        <v>832</v>
      </c>
      <c r="D380" s="34" t="s">
        <v>959</v>
      </c>
      <c r="E380" s="34" t="s">
        <v>960</v>
      </c>
      <c r="F380" s="34">
        <v>2014.0</v>
      </c>
      <c r="G380" s="34" t="s">
        <v>961</v>
      </c>
      <c r="H380" s="34" t="s">
        <v>816</v>
      </c>
      <c r="I380" s="34" t="s">
        <v>962</v>
      </c>
      <c r="J380" s="35"/>
      <c r="K380" s="36">
        <v>3.08</v>
      </c>
      <c r="L380" s="36"/>
      <c r="M380" s="36"/>
      <c r="N380" s="36"/>
      <c r="O380" s="36"/>
      <c r="P380" s="37">
        <v>33.33</v>
      </c>
      <c r="Q380" s="36" t="s">
        <v>209</v>
      </c>
      <c r="R380" s="36" t="s">
        <v>209</v>
      </c>
      <c r="S380" s="36">
        <v>1000.0</v>
      </c>
      <c r="T380" s="36" t="s">
        <v>356</v>
      </c>
      <c r="U380" s="36" t="s">
        <v>963</v>
      </c>
      <c r="V380" s="36">
        <v>18.0</v>
      </c>
      <c r="W380" s="36" t="s">
        <v>838</v>
      </c>
      <c r="X380" s="38">
        <v>1.0</v>
      </c>
      <c r="Y380" s="38" t="s">
        <v>365</v>
      </c>
      <c r="Z380" s="38" t="s">
        <v>365</v>
      </c>
      <c r="AA380" s="38" t="s">
        <v>313</v>
      </c>
      <c r="AB380" s="38">
        <v>-25.0197</v>
      </c>
      <c r="AC380" s="38">
        <v>31.4969</v>
      </c>
      <c r="AD380" s="38" t="s">
        <v>367</v>
      </c>
      <c r="AE380" s="38">
        <v>365.0</v>
      </c>
      <c r="AF380" s="38" t="s">
        <v>964</v>
      </c>
      <c r="AG380" s="38"/>
      <c r="AH380" s="38">
        <v>16.0</v>
      </c>
      <c r="AI380" s="50">
        <v>-25.0197</v>
      </c>
      <c r="AJ380" s="50">
        <v>31.4969</v>
      </c>
      <c r="AK380" s="41" t="s">
        <v>313</v>
      </c>
      <c r="AL380" s="40" t="s">
        <v>313</v>
      </c>
      <c r="AM380" s="49">
        <v>362.0</v>
      </c>
      <c r="AN380" s="51">
        <v>362.0</v>
      </c>
      <c r="AO380" s="42" t="s">
        <v>304</v>
      </c>
      <c r="AP380" s="43" t="s">
        <v>304</v>
      </c>
      <c r="AQ380" s="44" t="str">
        <f t="shared" si="45"/>
        <v>SAV</v>
      </c>
      <c r="AR380" s="44">
        <f t="shared" si="3"/>
        <v>362</v>
      </c>
      <c r="AS380" s="44" t="str">
        <f t="shared" ref="AS380:AS447" si="46">LEFT(AO380,1)</f>
        <v>B</v>
      </c>
      <c r="AT380" s="44" t="str">
        <f t="shared" si="17"/>
        <v>BS</v>
      </c>
      <c r="AU380" s="44" t="str">
        <f t="shared" si="2"/>
        <v>BSh</v>
      </c>
      <c r="AV380" s="38"/>
      <c r="AW380" s="38"/>
      <c r="AX380" s="38" t="s">
        <v>965</v>
      </c>
      <c r="AY380" s="38" t="s">
        <v>966</v>
      </c>
      <c r="AZ380" s="29">
        <v>1000.0</v>
      </c>
      <c r="BA380" s="29">
        <v>1.0</v>
      </c>
      <c r="BB380" s="29">
        <v>2.0</v>
      </c>
      <c r="BC380" s="29" t="s">
        <v>967</v>
      </c>
      <c r="BD380" s="29" t="s">
        <v>88</v>
      </c>
      <c r="BE380" s="29"/>
      <c r="BF380" s="29" t="s">
        <v>219</v>
      </c>
      <c r="BG380" s="29" t="s">
        <v>220</v>
      </c>
      <c r="BH380" s="29"/>
      <c r="BI380" s="29"/>
      <c r="BJ380" s="29"/>
      <c r="BK380" s="29"/>
      <c r="BL380" s="29"/>
      <c r="BM380" s="45">
        <v>1.0</v>
      </c>
      <c r="BN380" s="45">
        <v>1.0</v>
      </c>
      <c r="BO380" s="46" t="s">
        <v>219</v>
      </c>
      <c r="BP380" s="2" t="s">
        <v>682</v>
      </c>
      <c r="BQ380" s="3"/>
    </row>
    <row r="381" ht="15.75" customHeight="1">
      <c r="A381" s="34">
        <v>382.0</v>
      </c>
      <c r="B381" s="34">
        <v>101462.0</v>
      </c>
      <c r="C381" s="34" t="s">
        <v>832</v>
      </c>
      <c r="D381" s="34" t="s">
        <v>959</v>
      </c>
      <c r="E381" s="34" t="s">
        <v>960</v>
      </c>
      <c r="F381" s="34">
        <v>2014.0</v>
      </c>
      <c r="G381" s="34" t="s">
        <v>961</v>
      </c>
      <c r="H381" s="34" t="s">
        <v>816</v>
      </c>
      <c r="I381" s="34" t="s">
        <v>962</v>
      </c>
      <c r="J381" s="35"/>
      <c r="K381" s="36">
        <v>0.58</v>
      </c>
      <c r="L381" s="36"/>
      <c r="M381" s="36"/>
      <c r="N381" s="36"/>
      <c r="O381" s="36"/>
      <c r="P381" s="37">
        <v>6.63</v>
      </c>
      <c r="Q381" s="36" t="s">
        <v>209</v>
      </c>
      <c r="R381" s="36" t="s">
        <v>209</v>
      </c>
      <c r="S381" s="36">
        <v>1000.0</v>
      </c>
      <c r="T381" s="36" t="s">
        <v>328</v>
      </c>
      <c r="U381" s="36" t="s">
        <v>357</v>
      </c>
      <c r="V381" s="36">
        <v>26.0</v>
      </c>
      <c r="W381" s="36" t="s">
        <v>838</v>
      </c>
      <c r="X381" s="38">
        <v>1.0</v>
      </c>
      <c r="Y381" s="38" t="s">
        <v>365</v>
      </c>
      <c r="Z381" s="38" t="s">
        <v>365</v>
      </c>
      <c r="AA381" s="38" t="s">
        <v>313</v>
      </c>
      <c r="AB381" s="38">
        <v>-25.0197</v>
      </c>
      <c r="AC381" s="38">
        <v>31.4969</v>
      </c>
      <c r="AD381" s="38" t="s">
        <v>367</v>
      </c>
      <c r="AE381" s="38">
        <v>365.0</v>
      </c>
      <c r="AF381" s="38" t="s">
        <v>964</v>
      </c>
      <c r="AG381" s="38"/>
      <c r="AH381" s="38">
        <v>16.0</v>
      </c>
      <c r="AI381" s="50">
        <v>-25.0197</v>
      </c>
      <c r="AJ381" s="50">
        <v>31.4969</v>
      </c>
      <c r="AK381" s="41" t="s">
        <v>313</v>
      </c>
      <c r="AL381" s="40" t="s">
        <v>313</v>
      </c>
      <c r="AM381" s="49">
        <v>362.0</v>
      </c>
      <c r="AN381" s="51">
        <v>362.0</v>
      </c>
      <c r="AO381" s="42" t="s">
        <v>304</v>
      </c>
      <c r="AP381" s="43" t="s">
        <v>304</v>
      </c>
      <c r="AQ381" s="44" t="str">
        <f t="shared" si="45"/>
        <v>SAV</v>
      </c>
      <c r="AR381" s="44">
        <f t="shared" si="3"/>
        <v>362</v>
      </c>
      <c r="AS381" s="44" t="str">
        <f t="shared" si="46"/>
        <v>B</v>
      </c>
      <c r="AT381" s="44" t="str">
        <f t="shared" si="17"/>
        <v>BS</v>
      </c>
      <c r="AU381" s="44" t="str">
        <f t="shared" si="2"/>
        <v>BSh</v>
      </c>
      <c r="AV381" s="38"/>
      <c r="AW381" s="38"/>
      <c r="AX381" s="38" t="s">
        <v>965</v>
      </c>
      <c r="AY381" s="38" t="s">
        <v>966</v>
      </c>
      <c r="AZ381" s="29">
        <v>1000.0</v>
      </c>
      <c r="BA381" s="29">
        <v>1.0</v>
      </c>
      <c r="BB381" s="29">
        <v>2.0</v>
      </c>
      <c r="BC381" s="29" t="s">
        <v>967</v>
      </c>
      <c r="BD381" s="29" t="s">
        <v>88</v>
      </c>
      <c r="BE381" s="29"/>
      <c r="BF381" s="29" t="s">
        <v>219</v>
      </c>
      <c r="BG381" s="29" t="s">
        <v>220</v>
      </c>
      <c r="BH381" s="29"/>
      <c r="BI381" s="29"/>
      <c r="BJ381" s="29"/>
      <c r="BK381" s="29"/>
      <c r="BL381" s="29"/>
      <c r="BM381" s="45">
        <v>1.0</v>
      </c>
      <c r="BN381" s="45">
        <v>1.0</v>
      </c>
      <c r="BO381" s="46" t="s">
        <v>219</v>
      </c>
      <c r="BP381" s="2" t="s">
        <v>682</v>
      </c>
      <c r="BQ381" s="3"/>
    </row>
    <row r="382" ht="15.75" customHeight="1">
      <c r="A382" s="34">
        <v>383.0</v>
      </c>
      <c r="B382" s="34">
        <v>101462.0</v>
      </c>
      <c r="C382" s="34" t="s">
        <v>832</v>
      </c>
      <c r="D382" s="34" t="s">
        <v>959</v>
      </c>
      <c r="E382" s="34" t="s">
        <v>960</v>
      </c>
      <c r="F382" s="34">
        <v>2014.0</v>
      </c>
      <c r="G382" s="34" t="s">
        <v>961</v>
      </c>
      <c r="H382" s="34" t="s">
        <v>816</v>
      </c>
      <c r="I382" s="34" t="s">
        <v>962</v>
      </c>
      <c r="J382" s="35"/>
      <c r="K382" s="36">
        <v>-0.31</v>
      </c>
      <c r="L382" s="36"/>
      <c r="M382" s="36"/>
      <c r="N382" s="36"/>
      <c r="O382" s="36"/>
      <c r="P382" s="37">
        <v>-3.02</v>
      </c>
      <c r="Q382" s="36" t="s">
        <v>209</v>
      </c>
      <c r="R382" s="36" t="s">
        <v>209</v>
      </c>
      <c r="S382" s="36">
        <v>1000.0</v>
      </c>
      <c r="T382" s="36" t="s">
        <v>193</v>
      </c>
      <c r="U382" s="36" t="s">
        <v>363</v>
      </c>
      <c r="V382" s="36">
        <v>32.0</v>
      </c>
      <c r="W382" s="36" t="s">
        <v>838</v>
      </c>
      <c r="X382" s="38">
        <v>1.0</v>
      </c>
      <c r="Y382" s="38" t="s">
        <v>365</v>
      </c>
      <c r="Z382" s="38" t="s">
        <v>365</v>
      </c>
      <c r="AA382" s="38" t="s">
        <v>313</v>
      </c>
      <c r="AB382" s="38">
        <v>-25.0197</v>
      </c>
      <c r="AC382" s="38">
        <v>31.4969</v>
      </c>
      <c r="AD382" s="38" t="s">
        <v>367</v>
      </c>
      <c r="AE382" s="38">
        <v>365.0</v>
      </c>
      <c r="AF382" s="38" t="s">
        <v>964</v>
      </c>
      <c r="AG382" s="38"/>
      <c r="AH382" s="38">
        <v>16.0</v>
      </c>
      <c r="AI382" s="50">
        <v>-25.0197</v>
      </c>
      <c r="AJ382" s="50">
        <v>31.4969</v>
      </c>
      <c r="AK382" s="41" t="s">
        <v>313</v>
      </c>
      <c r="AL382" s="40" t="s">
        <v>313</v>
      </c>
      <c r="AM382" s="49">
        <v>362.0</v>
      </c>
      <c r="AN382" s="51">
        <v>362.0</v>
      </c>
      <c r="AO382" s="42" t="s">
        <v>304</v>
      </c>
      <c r="AP382" s="43" t="s">
        <v>304</v>
      </c>
      <c r="AQ382" s="44" t="str">
        <f t="shared" si="45"/>
        <v>SAV</v>
      </c>
      <c r="AR382" s="44">
        <f t="shared" si="3"/>
        <v>362</v>
      </c>
      <c r="AS382" s="44" t="str">
        <f t="shared" si="46"/>
        <v>B</v>
      </c>
      <c r="AT382" s="44" t="str">
        <f t="shared" si="17"/>
        <v>BS</v>
      </c>
      <c r="AU382" s="44" t="str">
        <f t="shared" si="2"/>
        <v>BSh</v>
      </c>
      <c r="AV382" s="38"/>
      <c r="AW382" s="38"/>
      <c r="AX382" s="38" t="s">
        <v>965</v>
      </c>
      <c r="AY382" s="38" t="s">
        <v>966</v>
      </c>
      <c r="AZ382" s="29">
        <v>1000.0</v>
      </c>
      <c r="BA382" s="29">
        <v>1.0</v>
      </c>
      <c r="BB382" s="29">
        <v>2.0</v>
      </c>
      <c r="BC382" s="29" t="s">
        <v>967</v>
      </c>
      <c r="BD382" s="29" t="s">
        <v>88</v>
      </c>
      <c r="BE382" s="29"/>
      <c r="BF382" s="29" t="s">
        <v>219</v>
      </c>
      <c r="BG382" s="29" t="s">
        <v>220</v>
      </c>
      <c r="BH382" s="29"/>
      <c r="BI382" s="29"/>
      <c r="BJ382" s="29"/>
      <c r="BK382" s="29"/>
      <c r="BL382" s="29"/>
      <c r="BM382" s="45">
        <v>1.0</v>
      </c>
      <c r="BN382" s="45">
        <v>1.0</v>
      </c>
      <c r="BO382" s="46" t="s">
        <v>219</v>
      </c>
      <c r="BP382" s="2" t="s">
        <v>682</v>
      </c>
      <c r="BQ382" s="3"/>
    </row>
    <row r="383" ht="15.75" customHeight="1">
      <c r="A383" s="34">
        <v>384.0</v>
      </c>
      <c r="B383" s="34">
        <v>101462.0</v>
      </c>
      <c r="C383" s="34" t="s">
        <v>832</v>
      </c>
      <c r="D383" s="34" t="s">
        <v>959</v>
      </c>
      <c r="E383" s="34" t="s">
        <v>960</v>
      </c>
      <c r="F383" s="34">
        <v>2014.0</v>
      </c>
      <c r="G383" s="34" t="s">
        <v>961</v>
      </c>
      <c r="H383" s="34" t="s">
        <v>816</v>
      </c>
      <c r="I383" s="34" t="s">
        <v>962</v>
      </c>
      <c r="J383" s="35"/>
      <c r="K383" s="36">
        <v>2.85</v>
      </c>
      <c r="L383" s="36"/>
      <c r="M383" s="36"/>
      <c r="N383" s="36"/>
      <c r="O383" s="36"/>
      <c r="P383" s="37">
        <v>22.38</v>
      </c>
      <c r="Q383" s="36" t="s">
        <v>209</v>
      </c>
      <c r="R383" s="36" t="s">
        <v>209</v>
      </c>
      <c r="S383" s="36">
        <v>1000.0</v>
      </c>
      <c r="T383" s="36" t="s">
        <v>295</v>
      </c>
      <c r="U383" s="36" t="s">
        <v>968</v>
      </c>
      <c r="V383" s="36">
        <v>37.0</v>
      </c>
      <c r="W383" s="36" t="s">
        <v>838</v>
      </c>
      <c r="X383" s="38">
        <v>1.0</v>
      </c>
      <c r="Y383" s="38" t="s">
        <v>365</v>
      </c>
      <c r="Z383" s="38" t="s">
        <v>365</v>
      </c>
      <c r="AA383" s="38" t="s">
        <v>313</v>
      </c>
      <c r="AB383" s="38">
        <v>-25.0197</v>
      </c>
      <c r="AC383" s="38">
        <v>31.4969</v>
      </c>
      <c r="AD383" s="38" t="s">
        <v>367</v>
      </c>
      <c r="AE383" s="38">
        <v>365.0</v>
      </c>
      <c r="AF383" s="38" t="s">
        <v>964</v>
      </c>
      <c r="AG383" s="38"/>
      <c r="AH383" s="38">
        <v>16.0</v>
      </c>
      <c r="AI383" s="50">
        <v>-25.0197</v>
      </c>
      <c r="AJ383" s="50">
        <v>31.4969</v>
      </c>
      <c r="AK383" s="41" t="s">
        <v>313</v>
      </c>
      <c r="AL383" s="40" t="s">
        <v>313</v>
      </c>
      <c r="AM383" s="49">
        <v>362.0</v>
      </c>
      <c r="AN383" s="51">
        <v>362.0</v>
      </c>
      <c r="AO383" s="42" t="s">
        <v>304</v>
      </c>
      <c r="AP383" s="43" t="s">
        <v>304</v>
      </c>
      <c r="AQ383" s="44" t="str">
        <f t="shared" si="45"/>
        <v>SAV</v>
      </c>
      <c r="AR383" s="44">
        <f t="shared" si="3"/>
        <v>362</v>
      </c>
      <c r="AS383" s="44" t="str">
        <f t="shared" si="46"/>
        <v>B</v>
      </c>
      <c r="AT383" s="44" t="str">
        <f t="shared" si="17"/>
        <v>BS</v>
      </c>
      <c r="AU383" s="44" t="str">
        <f t="shared" si="2"/>
        <v>BSh</v>
      </c>
      <c r="AV383" s="38"/>
      <c r="AW383" s="38"/>
      <c r="AX383" s="38" t="s">
        <v>965</v>
      </c>
      <c r="AY383" s="38" t="s">
        <v>966</v>
      </c>
      <c r="AZ383" s="29">
        <v>1000.0</v>
      </c>
      <c r="BA383" s="29">
        <v>1.0</v>
      </c>
      <c r="BB383" s="29">
        <v>2.0</v>
      </c>
      <c r="BC383" s="29" t="s">
        <v>967</v>
      </c>
      <c r="BD383" s="29" t="s">
        <v>88</v>
      </c>
      <c r="BE383" s="29"/>
      <c r="BF383" s="29" t="s">
        <v>219</v>
      </c>
      <c r="BG383" s="29" t="s">
        <v>220</v>
      </c>
      <c r="BH383" s="29"/>
      <c r="BI383" s="29"/>
      <c r="BJ383" s="29"/>
      <c r="BK383" s="29"/>
      <c r="BL383" s="29"/>
      <c r="BM383" s="45">
        <v>1.0</v>
      </c>
      <c r="BN383" s="45">
        <v>1.0</v>
      </c>
      <c r="BO383" s="46" t="s">
        <v>219</v>
      </c>
      <c r="BP383" s="2" t="s">
        <v>682</v>
      </c>
      <c r="BQ383" s="3"/>
    </row>
    <row r="384" ht="15.75" customHeight="1">
      <c r="A384" s="34">
        <v>385.0</v>
      </c>
      <c r="B384" s="34">
        <v>101462.0</v>
      </c>
      <c r="C384" s="34" t="s">
        <v>832</v>
      </c>
      <c r="D384" s="34" t="s">
        <v>959</v>
      </c>
      <c r="E384" s="34" t="s">
        <v>960</v>
      </c>
      <c r="F384" s="34">
        <v>2014.0</v>
      </c>
      <c r="G384" s="34" t="s">
        <v>961</v>
      </c>
      <c r="H384" s="34" t="s">
        <v>816</v>
      </c>
      <c r="I384" s="34" t="s">
        <v>962</v>
      </c>
      <c r="J384" s="35"/>
      <c r="K384" s="36">
        <v>-0.24</v>
      </c>
      <c r="L384" s="36"/>
      <c r="M384" s="36"/>
      <c r="N384" s="36"/>
      <c r="O384" s="36"/>
      <c r="P384" s="37">
        <v>-3.2</v>
      </c>
      <c r="Q384" s="36" t="s">
        <v>209</v>
      </c>
      <c r="R384" s="36" t="s">
        <v>209</v>
      </c>
      <c r="S384" s="36">
        <v>1000.0</v>
      </c>
      <c r="T384" s="36" t="s">
        <v>317</v>
      </c>
      <c r="U384" s="36" t="s">
        <v>194</v>
      </c>
      <c r="V384" s="36">
        <v>26.0</v>
      </c>
      <c r="W384" s="36" t="s">
        <v>838</v>
      </c>
      <c r="X384" s="38">
        <v>1.0</v>
      </c>
      <c r="Y384" s="38" t="s">
        <v>365</v>
      </c>
      <c r="Z384" s="38" t="s">
        <v>365</v>
      </c>
      <c r="AA384" s="38" t="s">
        <v>313</v>
      </c>
      <c r="AB384" s="38">
        <v>-25.0197</v>
      </c>
      <c r="AC384" s="38">
        <v>31.4969</v>
      </c>
      <c r="AD384" s="38" t="s">
        <v>367</v>
      </c>
      <c r="AE384" s="38">
        <v>365.0</v>
      </c>
      <c r="AF384" s="38" t="s">
        <v>964</v>
      </c>
      <c r="AG384" s="38"/>
      <c r="AH384" s="38">
        <v>16.0</v>
      </c>
      <c r="AI384" s="50">
        <v>-25.0197</v>
      </c>
      <c r="AJ384" s="50">
        <v>31.4969</v>
      </c>
      <c r="AK384" s="41" t="s">
        <v>313</v>
      </c>
      <c r="AL384" s="40" t="s">
        <v>313</v>
      </c>
      <c r="AM384" s="49">
        <v>362.0</v>
      </c>
      <c r="AN384" s="51">
        <v>362.0</v>
      </c>
      <c r="AO384" s="42" t="s">
        <v>304</v>
      </c>
      <c r="AP384" s="43" t="s">
        <v>304</v>
      </c>
      <c r="AQ384" s="44" t="str">
        <f t="shared" si="45"/>
        <v>SAV</v>
      </c>
      <c r="AR384" s="44">
        <f t="shared" si="3"/>
        <v>362</v>
      </c>
      <c r="AS384" s="44" t="str">
        <f t="shared" si="46"/>
        <v>B</v>
      </c>
      <c r="AT384" s="44" t="str">
        <f t="shared" si="17"/>
        <v>BS</v>
      </c>
      <c r="AU384" s="44" t="str">
        <f t="shared" si="2"/>
        <v>BSh</v>
      </c>
      <c r="AV384" s="38"/>
      <c r="AW384" s="38"/>
      <c r="AX384" s="38" t="s">
        <v>965</v>
      </c>
      <c r="AY384" s="38" t="s">
        <v>966</v>
      </c>
      <c r="AZ384" s="29">
        <v>1000.0</v>
      </c>
      <c r="BA384" s="29">
        <v>1.0</v>
      </c>
      <c r="BB384" s="29">
        <v>2.0</v>
      </c>
      <c r="BC384" s="29" t="s">
        <v>967</v>
      </c>
      <c r="BD384" s="29" t="s">
        <v>88</v>
      </c>
      <c r="BE384" s="29"/>
      <c r="BF384" s="29" t="s">
        <v>219</v>
      </c>
      <c r="BG384" s="29" t="s">
        <v>220</v>
      </c>
      <c r="BH384" s="29"/>
      <c r="BI384" s="29"/>
      <c r="BJ384" s="29"/>
      <c r="BK384" s="29"/>
      <c r="BL384" s="29"/>
      <c r="BM384" s="45">
        <v>1.0</v>
      </c>
      <c r="BN384" s="45">
        <v>1.0</v>
      </c>
      <c r="BO384" s="46" t="s">
        <v>219</v>
      </c>
      <c r="BP384" s="2" t="s">
        <v>682</v>
      </c>
      <c r="BQ384" s="3"/>
    </row>
    <row r="385" ht="15.75" customHeight="1">
      <c r="A385" s="34">
        <v>386.0</v>
      </c>
      <c r="B385" s="34">
        <v>101462.0</v>
      </c>
      <c r="C385" s="34" t="s">
        <v>832</v>
      </c>
      <c r="D385" s="34" t="s">
        <v>959</v>
      </c>
      <c r="E385" s="34" t="s">
        <v>960</v>
      </c>
      <c r="F385" s="34">
        <v>2014.0</v>
      </c>
      <c r="G385" s="34" t="s">
        <v>961</v>
      </c>
      <c r="H385" s="34" t="s">
        <v>816</v>
      </c>
      <c r="I385" s="34" t="s">
        <v>962</v>
      </c>
      <c r="J385" s="35"/>
      <c r="K385" s="36">
        <v>-12.11</v>
      </c>
      <c r="L385" s="36"/>
      <c r="M385" s="36"/>
      <c r="N385" s="36"/>
      <c r="O385" s="36"/>
      <c r="P385" s="37">
        <v>-55.71</v>
      </c>
      <c r="Q385" s="36" t="s">
        <v>209</v>
      </c>
      <c r="R385" s="36" t="s">
        <v>209</v>
      </c>
      <c r="S385" s="36">
        <v>1000.0</v>
      </c>
      <c r="T385" s="36" t="s">
        <v>350</v>
      </c>
      <c r="U385" s="36" t="s">
        <v>342</v>
      </c>
      <c r="V385" s="36">
        <v>32.0</v>
      </c>
      <c r="W385" s="36" t="s">
        <v>838</v>
      </c>
      <c r="X385" s="38">
        <v>1.0</v>
      </c>
      <c r="Y385" s="38" t="s">
        <v>365</v>
      </c>
      <c r="Z385" s="38" t="s">
        <v>365</v>
      </c>
      <c r="AA385" s="38" t="s">
        <v>313</v>
      </c>
      <c r="AB385" s="38">
        <v>-25.0197</v>
      </c>
      <c r="AC385" s="38">
        <v>31.4969</v>
      </c>
      <c r="AD385" s="38" t="s">
        <v>367</v>
      </c>
      <c r="AE385" s="38">
        <v>365.0</v>
      </c>
      <c r="AF385" s="38" t="s">
        <v>964</v>
      </c>
      <c r="AG385" s="38"/>
      <c r="AH385" s="38">
        <v>16.0</v>
      </c>
      <c r="AI385" s="50">
        <v>-25.0197</v>
      </c>
      <c r="AJ385" s="50">
        <v>31.4969</v>
      </c>
      <c r="AK385" s="41" t="s">
        <v>313</v>
      </c>
      <c r="AL385" s="40" t="s">
        <v>313</v>
      </c>
      <c r="AM385" s="49">
        <v>362.0</v>
      </c>
      <c r="AN385" s="51">
        <v>362.0</v>
      </c>
      <c r="AO385" s="42" t="s">
        <v>304</v>
      </c>
      <c r="AP385" s="43" t="s">
        <v>304</v>
      </c>
      <c r="AQ385" s="44" t="str">
        <f t="shared" si="45"/>
        <v>SAV</v>
      </c>
      <c r="AR385" s="44">
        <f t="shared" si="3"/>
        <v>362</v>
      </c>
      <c r="AS385" s="44" t="str">
        <f t="shared" si="46"/>
        <v>B</v>
      </c>
      <c r="AT385" s="44" t="str">
        <f t="shared" si="17"/>
        <v>BS</v>
      </c>
      <c r="AU385" s="44" t="str">
        <f t="shared" si="2"/>
        <v>BSh</v>
      </c>
      <c r="AV385" s="38"/>
      <c r="AW385" s="38"/>
      <c r="AX385" s="38" t="s">
        <v>965</v>
      </c>
      <c r="AY385" s="38" t="s">
        <v>966</v>
      </c>
      <c r="AZ385" s="29">
        <v>1000.0</v>
      </c>
      <c r="BA385" s="29">
        <v>1.0</v>
      </c>
      <c r="BB385" s="29">
        <v>2.0</v>
      </c>
      <c r="BC385" s="29" t="s">
        <v>967</v>
      </c>
      <c r="BD385" s="29" t="s">
        <v>88</v>
      </c>
      <c r="BE385" s="29"/>
      <c r="BF385" s="29" t="s">
        <v>219</v>
      </c>
      <c r="BG385" s="29" t="s">
        <v>220</v>
      </c>
      <c r="BH385" s="29"/>
      <c r="BI385" s="29"/>
      <c r="BJ385" s="29"/>
      <c r="BK385" s="29"/>
      <c r="BL385" s="29"/>
      <c r="BM385" s="45">
        <v>1.0</v>
      </c>
      <c r="BN385" s="45">
        <v>1.0</v>
      </c>
      <c r="BO385" s="46" t="s">
        <v>219</v>
      </c>
      <c r="BP385" s="2"/>
      <c r="BQ385" s="3"/>
    </row>
    <row r="386" ht="15.75" customHeight="1">
      <c r="A386" s="34">
        <v>387.0</v>
      </c>
      <c r="B386" s="34">
        <v>101462.0</v>
      </c>
      <c r="C386" s="34" t="s">
        <v>832</v>
      </c>
      <c r="D386" s="34" t="s">
        <v>959</v>
      </c>
      <c r="E386" s="34" t="s">
        <v>960</v>
      </c>
      <c r="F386" s="34">
        <v>2014.0</v>
      </c>
      <c r="G386" s="34" t="s">
        <v>961</v>
      </c>
      <c r="H386" s="34" t="s">
        <v>816</v>
      </c>
      <c r="I386" s="34" t="s">
        <v>962</v>
      </c>
      <c r="J386" s="35"/>
      <c r="K386" s="36">
        <v>-9.47</v>
      </c>
      <c r="L386" s="36"/>
      <c r="M386" s="36"/>
      <c r="N386" s="36"/>
      <c r="O386" s="36"/>
      <c r="P386" s="37">
        <v>-51.68</v>
      </c>
      <c r="Q386" s="36" t="s">
        <v>209</v>
      </c>
      <c r="R386" s="36" t="s">
        <v>209</v>
      </c>
      <c r="S386" s="36">
        <v>1000.0</v>
      </c>
      <c r="T386" s="36" t="s">
        <v>506</v>
      </c>
      <c r="U386" s="36" t="s">
        <v>676</v>
      </c>
      <c r="V386" s="36">
        <v>34.0</v>
      </c>
      <c r="W386" s="36" t="s">
        <v>838</v>
      </c>
      <c r="X386" s="38">
        <v>1.0</v>
      </c>
      <c r="Y386" s="38" t="s">
        <v>365</v>
      </c>
      <c r="Z386" s="38" t="s">
        <v>365</v>
      </c>
      <c r="AA386" s="38" t="s">
        <v>313</v>
      </c>
      <c r="AB386" s="38">
        <v>-25.0197</v>
      </c>
      <c r="AC386" s="38">
        <v>31.4969</v>
      </c>
      <c r="AD386" s="38" t="s">
        <v>367</v>
      </c>
      <c r="AE386" s="38">
        <v>365.0</v>
      </c>
      <c r="AF386" s="38" t="s">
        <v>964</v>
      </c>
      <c r="AG386" s="38"/>
      <c r="AH386" s="38">
        <v>16.0</v>
      </c>
      <c r="AI386" s="50">
        <v>-25.0197</v>
      </c>
      <c r="AJ386" s="50">
        <v>31.4969</v>
      </c>
      <c r="AK386" s="41" t="s">
        <v>313</v>
      </c>
      <c r="AL386" s="40" t="s">
        <v>313</v>
      </c>
      <c r="AM386" s="49">
        <v>362.0</v>
      </c>
      <c r="AN386" s="51">
        <v>362.0</v>
      </c>
      <c r="AO386" s="42" t="s">
        <v>304</v>
      </c>
      <c r="AP386" s="43" t="s">
        <v>304</v>
      </c>
      <c r="AQ386" s="44" t="str">
        <f t="shared" si="45"/>
        <v>SAV</v>
      </c>
      <c r="AR386" s="44">
        <f t="shared" si="3"/>
        <v>362</v>
      </c>
      <c r="AS386" s="44" t="str">
        <f t="shared" si="46"/>
        <v>B</v>
      </c>
      <c r="AT386" s="44" t="str">
        <f t="shared" si="17"/>
        <v>BS</v>
      </c>
      <c r="AU386" s="44" t="str">
        <f t="shared" si="2"/>
        <v>BSh</v>
      </c>
      <c r="AV386" s="38"/>
      <c r="AW386" s="38"/>
      <c r="AX386" s="38" t="s">
        <v>965</v>
      </c>
      <c r="AY386" s="38" t="s">
        <v>966</v>
      </c>
      <c r="AZ386" s="29">
        <v>1000.0</v>
      </c>
      <c r="BA386" s="29">
        <v>1.0</v>
      </c>
      <c r="BB386" s="29">
        <v>2.0</v>
      </c>
      <c r="BC386" s="29" t="s">
        <v>967</v>
      </c>
      <c r="BD386" s="29" t="s">
        <v>88</v>
      </c>
      <c r="BE386" s="29"/>
      <c r="BF386" s="29" t="s">
        <v>219</v>
      </c>
      <c r="BG386" s="29" t="s">
        <v>220</v>
      </c>
      <c r="BH386" s="29"/>
      <c r="BI386" s="29"/>
      <c r="BJ386" s="29"/>
      <c r="BK386" s="29"/>
      <c r="BL386" s="29"/>
      <c r="BM386" s="45">
        <v>1.0</v>
      </c>
      <c r="BN386" s="45">
        <v>1.0</v>
      </c>
      <c r="BO386" s="46" t="s">
        <v>219</v>
      </c>
      <c r="BP386" s="2" t="s">
        <v>682</v>
      </c>
      <c r="BQ386" s="3"/>
    </row>
    <row r="387" ht="15.75" customHeight="1">
      <c r="A387" s="34">
        <v>388.0</v>
      </c>
      <c r="B387" s="34">
        <v>101462.0</v>
      </c>
      <c r="C387" s="34" t="s">
        <v>832</v>
      </c>
      <c r="D387" s="34" t="s">
        <v>959</v>
      </c>
      <c r="E387" s="34" t="s">
        <v>960</v>
      </c>
      <c r="F387" s="34">
        <v>2014.0</v>
      </c>
      <c r="G387" s="34" t="s">
        <v>961</v>
      </c>
      <c r="H387" s="34" t="s">
        <v>816</v>
      </c>
      <c r="I387" s="34" t="s">
        <v>962</v>
      </c>
      <c r="J387" s="35"/>
      <c r="K387" s="36">
        <v>-6.46</v>
      </c>
      <c r="L387" s="36"/>
      <c r="M387" s="36"/>
      <c r="N387" s="36"/>
      <c r="O387" s="36"/>
      <c r="P387" s="37">
        <v>-29.5</v>
      </c>
      <c r="Q387" s="36" t="s">
        <v>209</v>
      </c>
      <c r="R387" s="36" t="s">
        <v>209</v>
      </c>
      <c r="S387" s="36">
        <v>1000.0</v>
      </c>
      <c r="T387" s="36" t="s">
        <v>536</v>
      </c>
      <c r="U387" s="36" t="s">
        <v>351</v>
      </c>
      <c r="V387" s="36">
        <v>36.0</v>
      </c>
      <c r="W387" s="36" t="s">
        <v>838</v>
      </c>
      <c r="X387" s="38">
        <v>1.0</v>
      </c>
      <c r="Y387" s="38" t="s">
        <v>365</v>
      </c>
      <c r="Z387" s="38" t="s">
        <v>365</v>
      </c>
      <c r="AA387" s="38" t="s">
        <v>313</v>
      </c>
      <c r="AB387" s="38">
        <v>-25.0197</v>
      </c>
      <c r="AC387" s="38">
        <v>31.4969</v>
      </c>
      <c r="AD387" s="38" t="s">
        <v>367</v>
      </c>
      <c r="AE387" s="38">
        <v>365.0</v>
      </c>
      <c r="AF387" s="38" t="s">
        <v>964</v>
      </c>
      <c r="AG387" s="38"/>
      <c r="AH387" s="38">
        <v>16.0</v>
      </c>
      <c r="AI387" s="50">
        <v>-25.0197</v>
      </c>
      <c r="AJ387" s="50">
        <v>31.4969</v>
      </c>
      <c r="AK387" s="41" t="s">
        <v>313</v>
      </c>
      <c r="AL387" s="40" t="s">
        <v>313</v>
      </c>
      <c r="AM387" s="49">
        <v>362.0</v>
      </c>
      <c r="AN387" s="51">
        <v>362.0</v>
      </c>
      <c r="AO387" s="42" t="s">
        <v>304</v>
      </c>
      <c r="AP387" s="43" t="s">
        <v>304</v>
      </c>
      <c r="AQ387" s="44" t="str">
        <f t="shared" si="45"/>
        <v>SAV</v>
      </c>
      <c r="AR387" s="44">
        <f t="shared" si="3"/>
        <v>362</v>
      </c>
      <c r="AS387" s="44" t="str">
        <f t="shared" si="46"/>
        <v>B</v>
      </c>
      <c r="AT387" s="44" t="str">
        <f t="shared" si="17"/>
        <v>BS</v>
      </c>
      <c r="AU387" s="44" t="str">
        <f t="shared" si="2"/>
        <v>BSh</v>
      </c>
      <c r="AV387" s="38"/>
      <c r="AW387" s="38"/>
      <c r="AX387" s="38" t="s">
        <v>965</v>
      </c>
      <c r="AY387" s="38" t="s">
        <v>966</v>
      </c>
      <c r="AZ387" s="29">
        <v>1000.0</v>
      </c>
      <c r="BA387" s="29">
        <v>1.0</v>
      </c>
      <c r="BB387" s="29">
        <v>2.0</v>
      </c>
      <c r="BC387" s="29" t="s">
        <v>967</v>
      </c>
      <c r="BD387" s="29" t="s">
        <v>88</v>
      </c>
      <c r="BE387" s="29"/>
      <c r="BF387" s="29" t="s">
        <v>219</v>
      </c>
      <c r="BG387" s="29" t="s">
        <v>220</v>
      </c>
      <c r="BH387" s="29"/>
      <c r="BI387" s="29"/>
      <c r="BJ387" s="29"/>
      <c r="BK387" s="29"/>
      <c r="BL387" s="29"/>
      <c r="BM387" s="45">
        <v>1.0</v>
      </c>
      <c r="BN387" s="45">
        <v>1.0</v>
      </c>
      <c r="BO387" s="46" t="s">
        <v>219</v>
      </c>
      <c r="BP387" s="2" t="s">
        <v>682</v>
      </c>
      <c r="BQ387" s="3"/>
    </row>
    <row r="388" ht="15.75" customHeight="1">
      <c r="A388" s="34">
        <v>389.0</v>
      </c>
      <c r="B388" s="34">
        <v>101462.0</v>
      </c>
      <c r="C388" s="34" t="s">
        <v>832</v>
      </c>
      <c r="D388" s="34" t="s">
        <v>959</v>
      </c>
      <c r="E388" s="34" t="s">
        <v>960</v>
      </c>
      <c r="F388" s="34">
        <v>2014.0</v>
      </c>
      <c r="G388" s="34" t="s">
        <v>961</v>
      </c>
      <c r="H388" s="34" t="s">
        <v>816</v>
      </c>
      <c r="I388" s="34" t="s">
        <v>962</v>
      </c>
      <c r="J388" s="35"/>
      <c r="K388" s="36">
        <v>-2.57</v>
      </c>
      <c r="L388" s="36"/>
      <c r="M388" s="36"/>
      <c r="N388" s="36"/>
      <c r="O388" s="36"/>
      <c r="P388" s="37">
        <v>-16.44</v>
      </c>
      <c r="Q388" s="36" t="s">
        <v>209</v>
      </c>
      <c r="R388" s="36" t="s">
        <v>209</v>
      </c>
      <c r="S388" s="36">
        <v>1000.0</v>
      </c>
      <c r="T388" s="36" t="s">
        <v>969</v>
      </c>
      <c r="U388" s="36" t="s">
        <v>507</v>
      </c>
      <c r="V388" s="36">
        <v>44.0</v>
      </c>
      <c r="W388" s="36" t="s">
        <v>838</v>
      </c>
      <c r="X388" s="38">
        <v>1.0</v>
      </c>
      <c r="Y388" s="38" t="s">
        <v>365</v>
      </c>
      <c r="Z388" s="38" t="s">
        <v>365</v>
      </c>
      <c r="AA388" s="38" t="s">
        <v>313</v>
      </c>
      <c r="AB388" s="38">
        <v>-25.0197</v>
      </c>
      <c r="AC388" s="38">
        <v>31.4969</v>
      </c>
      <c r="AD388" s="38" t="s">
        <v>367</v>
      </c>
      <c r="AE388" s="38">
        <v>365.0</v>
      </c>
      <c r="AF388" s="38" t="s">
        <v>964</v>
      </c>
      <c r="AG388" s="38"/>
      <c r="AH388" s="38">
        <v>16.0</v>
      </c>
      <c r="AI388" s="50">
        <v>-25.0197</v>
      </c>
      <c r="AJ388" s="50">
        <v>31.4969</v>
      </c>
      <c r="AK388" s="41" t="s">
        <v>313</v>
      </c>
      <c r="AL388" s="40" t="s">
        <v>313</v>
      </c>
      <c r="AM388" s="49">
        <v>362.0</v>
      </c>
      <c r="AN388" s="51">
        <v>362.0</v>
      </c>
      <c r="AO388" s="42" t="s">
        <v>304</v>
      </c>
      <c r="AP388" s="43" t="s">
        <v>304</v>
      </c>
      <c r="AQ388" s="44" t="str">
        <f t="shared" si="45"/>
        <v>SAV</v>
      </c>
      <c r="AR388" s="44">
        <f t="shared" si="3"/>
        <v>362</v>
      </c>
      <c r="AS388" s="44" t="str">
        <f t="shared" si="46"/>
        <v>B</v>
      </c>
      <c r="AT388" s="44" t="str">
        <f t="shared" si="17"/>
        <v>BS</v>
      </c>
      <c r="AU388" s="44" t="str">
        <f t="shared" si="2"/>
        <v>BSh</v>
      </c>
      <c r="AV388" s="38"/>
      <c r="AW388" s="38"/>
      <c r="AX388" s="38" t="s">
        <v>965</v>
      </c>
      <c r="AY388" s="38" t="s">
        <v>966</v>
      </c>
      <c r="AZ388" s="29">
        <v>1000.0</v>
      </c>
      <c r="BA388" s="29">
        <v>1.0</v>
      </c>
      <c r="BB388" s="29">
        <v>2.0</v>
      </c>
      <c r="BC388" s="29" t="s">
        <v>967</v>
      </c>
      <c r="BD388" s="29" t="s">
        <v>88</v>
      </c>
      <c r="BE388" s="29"/>
      <c r="BF388" s="29" t="s">
        <v>219</v>
      </c>
      <c r="BG388" s="29" t="s">
        <v>220</v>
      </c>
      <c r="BH388" s="29"/>
      <c r="BI388" s="29"/>
      <c r="BJ388" s="29"/>
      <c r="BK388" s="29"/>
      <c r="BL388" s="29"/>
      <c r="BM388" s="45">
        <v>1.0</v>
      </c>
      <c r="BN388" s="45">
        <v>1.0</v>
      </c>
      <c r="BO388" s="46" t="s">
        <v>219</v>
      </c>
      <c r="BP388" s="2"/>
      <c r="BQ388" s="3"/>
    </row>
    <row r="389" ht="15.75" customHeight="1">
      <c r="A389" s="34">
        <v>390.0</v>
      </c>
      <c r="B389" s="34">
        <v>101462.0</v>
      </c>
      <c r="C389" s="34" t="s">
        <v>832</v>
      </c>
      <c r="D389" s="34" t="s">
        <v>959</v>
      </c>
      <c r="E389" s="34" t="s">
        <v>960</v>
      </c>
      <c r="F389" s="34">
        <v>2014.0</v>
      </c>
      <c r="G389" s="34" t="s">
        <v>961</v>
      </c>
      <c r="H389" s="34" t="s">
        <v>816</v>
      </c>
      <c r="I389" s="34" t="s">
        <v>962</v>
      </c>
      <c r="J389" s="35"/>
      <c r="K389" s="36">
        <v>1.18</v>
      </c>
      <c r="L389" s="36"/>
      <c r="M389" s="36"/>
      <c r="N389" s="36"/>
      <c r="O389" s="36"/>
      <c r="P389" s="37">
        <v>21.2</v>
      </c>
      <c r="Q389" s="36" t="s">
        <v>209</v>
      </c>
      <c r="R389" s="36" t="s">
        <v>209</v>
      </c>
      <c r="S389" s="36">
        <v>1000.0</v>
      </c>
      <c r="T389" s="36" t="s">
        <v>536</v>
      </c>
      <c r="U389" s="36" t="s">
        <v>351</v>
      </c>
      <c r="V389" s="36">
        <v>35.0</v>
      </c>
      <c r="W389" s="36" t="s">
        <v>838</v>
      </c>
      <c r="X389" s="38">
        <v>1.0</v>
      </c>
      <c r="Y389" s="38" t="s">
        <v>970</v>
      </c>
      <c r="Z389" s="38" t="s">
        <v>970</v>
      </c>
      <c r="AA389" s="38" t="s">
        <v>313</v>
      </c>
      <c r="AB389" s="38">
        <v>-23.8325</v>
      </c>
      <c r="AC389" s="38">
        <v>31.2145</v>
      </c>
      <c r="AD389" s="38" t="s">
        <v>367</v>
      </c>
      <c r="AE389" s="38">
        <v>384.0</v>
      </c>
      <c r="AF389" s="38" t="s">
        <v>971</v>
      </c>
      <c r="AG389" s="38"/>
      <c r="AH389" s="38">
        <v>7.0</v>
      </c>
      <c r="AI389" s="50">
        <v>-23.8325</v>
      </c>
      <c r="AJ389" s="50">
        <v>31.2145</v>
      </c>
      <c r="AK389" s="41" t="s">
        <v>288</v>
      </c>
      <c r="AL389" s="40" t="s">
        <v>288</v>
      </c>
      <c r="AM389" s="49">
        <v>383.0</v>
      </c>
      <c r="AN389" s="51">
        <v>383.0</v>
      </c>
      <c r="AO389" s="42" t="s">
        <v>304</v>
      </c>
      <c r="AP389" s="43" t="s">
        <v>304</v>
      </c>
      <c r="AQ389" s="44" t="str">
        <f t="shared" si="45"/>
        <v>SAV</v>
      </c>
      <c r="AR389" s="44">
        <f t="shared" si="3"/>
        <v>383</v>
      </c>
      <c r="AS389" s="44" t="str">
        <f t="shared" si="46"/>
        <v>B</v>
      </c>
      <c r="AT389" s="44" t="str">
        <f t="shared" si="17"/>
        <v>BS</v>
      </c>
      <c r="AU389" s="44" t="str">
        <f t="shared" si="2"/>
        <v>BSh</v>
      </c>
      <c r="AV389" s="38"/>
      <c r="AW389" s="38"/>
      <c r="AX389" s="38" t="s">
        <v>965</v>
      </c>
      <c r="AY389" s="38" t="s">
        <v>966</v>
      </c>
      <c r="AZ389" s="29">
        <v>1000.0</v>
      </c>
      <c r="BA389" s="29">
        <v>1.0</v>
      </c>
      <c r="BB389" s="29">
        <v>2.0</v>
      </c>
      <c r="BC389" s="29" t="s">
        <v>967</v>
      </c>
      <c r="BD389" s="29" t="s">
        <v>88</v>
      </c>
      <c r="BE389" s="29"/>
      <c r="BF389" s="29" t="s">
        <v>219</v>
      </c>
      <c r="BG389" s="29" t="s">
        <v>220</v>
      </c>
      <c r="BH389" s="29"/>
      <c r="BI389" s="29"/>
      <c r="BJ389" s="29"/>
      <c r="BK389" s="29"/>
      <c r="BL389" s="29"/>
      <c r="BM389" s="45">
        <v>1.0</v>
      </c>
      <c r="BN389" s="45">
        <v>1.0</v>
      </c>
      <c r="BO389" s="46" t="s">
        <v>219</v>
      </c>
      <c r="BP389" s="2"/>
      <c r="BQ389" s="3"/>
    </row>
    <row r="390" ht="15.75" customHeight="1">
      <c r="A390" s="34">
        <v>391.0</v>
      </c>
      <c r="B390" s="34">
        <v>103509.0</v>
      </c>
      <c r="C390" s="34" t="s">
        <v>832</v>
      </c>
      <c r="D390" s="34" t="s">
        <v>972</v>
      </c>
      <c r="E390" s="34" t="s">
        <v>973</v>
      </c>
      <c r="F390" s="34">
        <v>2017.0</v>
      </c>
      <c r="G390" s="34" t="s">
        <v>974</v>
      </c>
      <c r="H390" s="34" t="s">
        <v>816</v>
      </c>
      <c r="I390" s="34" t="s">
        <v>975</v>
      </c>
      <c r="J390" s="35"/>
      <c r="K390" s="36" t="s">
        <v>976</v>
      </c>
      <c r="L390" s="36"/>
      <c r="M390" s="36"/>
      <c r="N390" s="36"/>
      <c r="O390" s="36"/>
      <c r="P390" s="37">
        <v>27.91</v>
      </c>
      <c r="Q390" s="36" t="s">
        <v>977</v>
      </c>
      <c r="R390" s="36" t="s">
        <v>873</v>
      </c>
      <c r="S390" s="36" t="s">
        <v>978</v>
      </c>
      <c r="T390" s="36" t="s">
        <v>536</v>
      </c>
      <c r="U390" s="36" t="s">
        <v>351</v>
      </c>
      <c r="V390" s="36">
        <v>14.0</v>
      </c>
      <c r="W390" s="36" t="s">
        <v>838</v>
      </c>
      <c r="X390" s="38">
        <v>1.0</v>
      </c>
      <c r="Y390" s="38" t="s">
        <v>979</v>
      </c>
      <c r="Z390" s="38" t="s">
        <v>980</v>
      </c>
      <c r="AA390" s="38" t="s">
        <v>86</v>
      </c>
      <c r="AB390" s="38">
        <v>35.51</v>
      </c>
      <c r="AC390" s="38">
        <v>119.667</v>
      </c>
      <c r="AD390" s="39" t="s">
        <v>87</v>
      </c>
      <c r="AE390" s="38">
        <v>70.0</v>
      </c>
      <c r="AF390" s="38" t="s">
        <v>981</v>
      </c>
      <c r="AG390" s="38" t="s">
        <v>303</v>
      </c>
      <c r="AH390" s="38">
        <v>9.0</v>
      </c>
      <c r="AI390" s="50">
        <v>35.51</v>
      </c>
      <c r="AJ390" s="50">
        <v>-119.667</v>
      </c>
      <c r="AK390" s="41" t="s">
        <v>86</v>
      </c>
      <c r="AL390" s="40" t="s">
        <v>86</v>
      </c>
      <c r="AM390" s="49">
        <v>108.0</v>
      </c>
      <c r="AN390" s="51">
        <v>108.0</v>
      </c>
      <c r="AO390" s="42" t="s">
        <v>355</v>
      </c>
      <c r="AP390" s="43" t="s">
        <v>355</v>
      </c>
      <c r="AQ390" s="44" t="str">
        <f t="shared" si="45"/>
        <v>CRO</v>
      </c>
      <c r="AR390" s="44">
        <f t="shared" si="3"/>
        <v>108</v>
      </c>
      <c r="AS390" s="44" t="str">
        <f t="shared" si="46"/>
        <v>B</v>
      </c>
      <c r="AT390" s="44" t="str">
        <f t="shared" si="17"/>
        <v>BW</v>
      </c>
      <c r="AU390" s="44" t="str">
        <f t="shared" si="2"/>
        <v>BWh</v>
      </c>
      <c r="AV390" s="38"/>
      <c r="AW390" s="38"/>
      <c r="AX390" s="38" t="s">
        <v>982</v>
      </c>
      <c r="AY390" s="38" t="s">
        <v>983</v>
      </c>
      <c r="AZ390" s="29">
        <v>30.0</v>
      </c>
      <c r="BA390" s="29">
        <v>1.0</v>
      </c>
      <c r="BB390" s="29">
        <v>1.0</v>
      </c>
      <c r="BC390" s="29"/>
      <c r="BD390" s="29" t="s">
        <v>88</v>
      </c>
      <c r="BE390" s="29" t="s">
        <v>89</v>
      </c>
      <c r="BF390" s="29" t="s">
        <v>984</v>
      </c>
      <c r="BG390" s="29" t="s">
        <v>572</v>
      </c>
      <c r="BH390" s="29" t="s">
        <v>88</v>
      </c>
      <c r="BI390" s="29" t="s">
        <v>985</v>
      </c>
      <c r="BJ390" s="29"/>
      <c r="BK390" s="29" t="s">
        <v>986</v>
      </c>
      <c r="BL390" s="29" t="s">
        <v>986</v>
      </c>
      <c r="BM390" s="45">
        <v>1.0</v>
      </c>
      <c r="BN390" s="45">
        <v>1.0</v>
      </c>
      <c r="BO390" s="46" t="s">
        <v>984</v>
      </c>
      <c r="BP390" s="2"/>
      <c r="BQ390" s="3"/>
    </row>
    <row r="391" ht="15.75" customHeight="1">
      <c r="A391" s="34">
        <v>392.0</v>
      </c>
      <c r="B391" s="34">
        <v>103509.0</v>
      </c>
      <c r="C391" s="34" t="s">
        <v>832</v>
      </c>
      <c r="D391" s="34" t="s">
        <v>972</v>
      </c>
      <c r="E391" s="34" t="s">
        <v>973</v>
      </c>
      <c r="F391" s="34">
        <v>2017.0</v>
      </c>
      <c r="G391" s="34" t="s">
        <v>974</v>
      </c>
      <c r="H391" s="34" t="s">
        <v>816</v>
      </c>
      <c r="I391" s="34" t="s">
        <v>975</v>
      </c>
      <c r="J391" s="35"/>
      <c r="K391" s="36">
        <v>0.02</v>
      </c>
      <c r="L391" s="36"/>
      <c r="M391" s="36"/>
      <c r="N391" s="36"/>
      <c r="O391" s="36"/>
      <c r="P391" s="37">
        <v>16.7</v>
      </c>
      <c r="Q391" s="36" t="s">
        <v>977</v>
      </c>
      <c r="R391" s="36" t="s">
        <v>873</v>
      </c>
      <c r="S391" s="36" t="s">
        <v>978</v>
      </c>
      <c r="T391" s="36" t="s">
        <v>969</v>
      </c>
      <c r="U391" s="36" t="s">
        <v>507</v>
      </c>
      <c r="V391" s="36">
        <v>11.0</v>
      </c>
      <c r="W391" s="36" t="s">
        <v>838</v>
      </c>
      <c r="X391" s="38">
        <v>1.0</v>
      </c>
      <c r="Y391" s="38" t="s">
        <v>979</v>
      </c>
      <c r="Z391" s="38" t="s">
        <v>980</v>
      </c>
      <c r="AA391" s="38" t="s">
        <v>86</v>
      </c>
      <c r="AB391" s="38">
        <v>35.51</v>
      </c>
      <c r="AC391" s="38">
        <v>119.667</v>
      </c>
      <c r="AD391" s="39" t="s">
        <v>87</v>
      </c>
      <c r="AE391" s="38">
        <v>70.0</v>
      </c>
      <c r="AF391" s="38" t="s">
        <v>981</v>
      </c>
      <c r="AG391" s="38" t="s">
        <v>303</v>
      </c>
      <c r="AH391" s="38">
        <v>9.0</v>
      </c>
      <c r="AI391" s="50">
        <v>35.51</v>
      </c>
      <c r="AJ391" s="50">
        <v>-119.667</v>
      </c>
      <c r="AK391" s="41" t="s">
        <v>86</v>
      </c>
      <c r="AL391" s="40" t="s">
        <v>86</v>
      </c>
      <c r="AM391" s="49">
        <v>108.0</v>
      </c>
      <c r="AN391" s="51">
        <v>108.0</v>
      </c>
      <c r="AO391" s="42" t="s">
        <v>355</v>
      </c>
      <c r="AP391" s="43" t="s">
        <v>355</v>
      </c>
      <c r="AQ391" s="44" t="str">
        <f t="shared" si="45"/>
        <v>CRO</v>
      </c>
      <c r="AR391" s="44">
        <f t="shared" si="3"/>
        <v>108</v>
      </c>
      <c r="AS391" s="44" t="str">
        <f t="shared" si="46"/>
        <v>B</v>
      </c>
      <c r="AT391" s="44" t="str">
        <f t="shared" si="17"/>
        <v>BW</v>
      </c>
      <c r="AU391" s="44" t="str">
        <f t="shared" si="2"/>
        <v>BWh</v>
      </c>
      <c r="AV391" s="38"/>
      <c r="AW391" s="38"/>
      <c r="AX391" s="38" t="s">
        <v>982</v>
      </c>
      <c r="AY391" s="38" t="s">
        <v>983</v>
      </c>
      <c r="AZ391" s="29">
        <v>30.0</v>
      </c>
      <c r="BA391" s="29">
        <v>1.0</v>
      </c>
      <c r="BB391" s="29">
        <v>1.0</v>
      </c>
      <c r="BC391" s="29"/>
      <c r="BD391" s="29" t="s">
        <v>88</v>
      </c>
      <c r="BE391" s="29" t="s">
        <v>89</v>
      </c>
      <c r="BF391" s="29" t="s">
        <v>984</v>
      </c>
      <c r="BG391" s="29" t="s">
        <v>572</v>
      </c>
      <c r="BH391" s="29" t="s">
        <v>88</v>
      </c>
      <c r="BI391" s="29" t="s">
        <v>985</v>
      </c>
      <c r="BJ391" s="29"/>
      <c r="BK391" s="29" t="s">
        <v>986</v>
      </c>
      <c r="BL391" s="29" t="s">
        <v>986</v>
      </c>
      <c r="BM391" s="45"/>
      <c r="BN391" s="45"/>
      <c r="BO391" s="46"/>
      <c r="BP391" s="2"/>
      <c r="BQ391" s="3"/>
    </row>
    <row r="392" ht="15.75" customHeight="1">
      <c r="A392" s="34">
        <v>393.0</v>
      </c>
      <c r="B392" s="34">
        <v>103509.0</v>
      </c>
      <c r="C392" s="34" t="s">
        <v>832</v>
      </c>
      <c r="D392" s="34" t="s">
        <v>972</v>
      </c>
      <c r="E392" s="34" t="s">
        <v>973</v>
      </c>
      <c r="F392" s="34">
        <v>2017.0</v>
      </c>
      <c r="G392" s="34" t="s">
        <v>974</v>
      </c>
      <c r="H392" s="34" t="s">
        <v>816</v>
      </c>
      <c r="I392" s="34" t="s">
        <v>975</v>
      </c>
      <c r="J392" s="35"/>
      <c r="K392" s="36">
        <v>0.04</v>
      </c>
      <c r="L392" s="36"/>
      <c r="M392" s="36"/>
      <c r="N392" s="36"/>
      <c r="O392" s="36"/>
      <c r="P392" s="37">
        <v>28.47</v>
      </c>
      <c r="Q392" s="36" t="s">
        <v>977</v>
      </c>
      <c r="R392" s="36" t="s">
        <v>873</v>
      </c>
      <c r="S392" s="36" t="s">
        <v>978</v>
      </c>
      <c r="T392" s="36" t="s">
        <v>233</v>
      </c>
      <c r="U392" s="36" t="s">
        <v>234</v>
      </c>
      <c r="V392" s="36">
        <v>10.0</v>
      </c>
      <c r="W392" s="36" t="s">
        <v>838</v>
      </c>
      <c r="X392" s="38">
        <v>1.0</v>
      </c>
      <c r="Y392" s="38" t="s">
        <v>979</v>
      </c>
      <c r="Z392" s="38" t="s">
        <v>980</v>
      </c>
      <c r="AA392" s="38" t="s">
        <v>86</v>
      </c>
      <c r="AB392" s="38">
        <v>35.51</v>
      </c>
      <c r="AC392" s="38">
        <v>119.667</v>
      </c>
      <c r="AD392" s="39" t="s">
        <v>87</v>
      </c>
      <c r="AE392" s="38">
        <v>70.0</v>
      </c>
      <c r="AF392" s="38" t="s">
        <v>981</v>
      </c>
      <c r="AG392" s="38" t="s">
        <v>303</v>
      </c>
      <c r="AH392" s="38">
        <v>9.0</v>
      </c>
      <c r="AI392" s="50">
        <v>35.51</v>
      </c>
      <c r="AJ392" s="50">
        <v>-119.667</v>
      </c>
      <c r="AK392" s="41" t="s">
        <v>86</v>
      </c>
      <c r="AL392" s="40" t="s">
        <v>86</v>
      </c>
      <c r="AM392" s="49">
        <v>108.0</v>
      </c>
      <c r="AN392" s="51">
        <v>108.0</v>
      </c>
      <c r="AO392" s="42" t="s">
        <v>355</v>
      </c>
      <c r="AP392" s="43" t="s">
        <v>355</v>
      </c>
      <c r="AQ392" s="44" t="str">
        <f t="shared" si="45"/>
        <v>CRO</v>
      </c>
      <c r="AR392" s="44">
        <f t="shared" si="3"/>
        <v>108</v>
      </c>
      <c r="AS392" s="44" t="str">
        <f t="shared" si="46"/>
        <v>B</v>
      </c>
      <c r="AT392" s="44" t="str">
        <f t="shared" si="17"/>
        <v>BW</v>
      </c>
      <c r="AU392" s="44" t="str">
        <f t="shared" si="2"/>
        <v>BWh</v>
      </c>
      <c r="AV392" s="38"/>
      <c r="AW392" s="38"/>
      <c r="AX392" s="38" t="s">
        <v>982</v>
      </c>
      <c r="AY392" s="38" t="s">
        <v>983</v>
      </c>
      <c r="AZ392" s="29">
        <v>30.0</v>
      </c>
      <c r="BA392" s="29">
        <v>1.0</v>
      </c>
      <c r="BB392" s="29">
        <v>1.0</v>
      </c>
      <c r="BC392" s="29"/>
      <c r="BD392" s="29" t="s">
        <v>88</v>
      </c>
      <c r="BE392" s="29" t="s">
        <v>89</v>
      </c>
      <c r="BF392" s="29" t="s">
        <v>984</v>
      </c>
      <c r="BG392" s="29" t="s">
        <v>572</v>
      </c>
      <c r="BH392" s="29" t="s">
        <v>88</v>
      </c>
      <c r="BI392" s="29" t="s">
        <v>985</v>
      </c>
      <c r="BJ392" s="29"/>
      <c r="BK392" s="29" t="s">
        <v>986</v>
      </c>
      <c r="BL392" s="29" t="s">
        <v>986</v>
      </c>
      <c r="BM392" s="45"/>
      <c r="BN392" s="45"/>
      <c r="BO392" s="46"/>
      <c r="BP392" s="2"/>
      <c r="BQ392" s="3"/>
    </row>
    <row r="393" ht="15.75" customHeight="1">
      <c r="A393" s="34">
        <v>394.0</v>
      </c>
      <c r="B393" s="34">
        <v>103509.0</v>
      </c>
      <c r="C393" s="34" t="s">
        <v>832</v>
      </c>
      <c r="D393" s="34" t="s">
        <v>972</v>
      </c>
      <c r="E393" s="34" t="s">
        <v>973</v>
      </c>
      <c r="F393" s="34">
        <v>2017.0</v>
      </c>
      <c r="G393" s="34" t="s">
        <v>974</v>
      </c>
      <c r="H393" s="34" t="s">
        <v>816</v>
      </c>
      <c r="I393" s="34" t="s">
        <v>975</v>
      </c>
      <c r="J393" s="35"/>
      <c r="K393" s="36">
        <v>-0.06</v>
      </c>
      <c r="L393" s="36"/>
      <c r="M393" s="36"/>
      <c r="N393" s="36"/>
      <c r="O393" s="36"/>
      <c r="P393" s="37">
        <v>-13.02</v>
      </c>
      <c r="Q393" s="36" t="s">
        <v>977</v>
      </c>
      <c r="R393" s="36" t="s">
        <v>873</v>
      </c>
      <c r="S393" s="36" t="s">
        <v>978</v>
      </c>
      <c r="T393" s="36" t="s">
        <v>242</v>
      </c>
      <c r="U393" s="36" t="s">
        <v>243</v>
      </c>
      <c r="V393" s="36">
        <v>11.0</v>
      </c>
      <c r="W393" s="36" t="s">
        <v>838</v>
      </c>
      <c r="X393" s="38">
        <v>1.0</v>
      </c>
      <c r="Y393" s="38" t="s">
        <v>979</v>
      </c>
      <c r="Z393" s="38" t="s">
        <v>980</v>
      </c>
      <c r="AA393" s="38" t="s">
        <v>86</v>
      </c>
      <c r="AB393" s="38">
        <v>35.51</v>
      </c>
      <c r="AC393" s="38">
        <v>119.667</v>
      </c>
      <c r="AD393" s="39" t="s">
        <v>87</v>
      </c>
      <c r="AE393" s="38">
        <v>70.0</v>
      </c>
      <c r="AF393" s="38" t="s">
        <v>981</v>
      </c>
      <c r="AG393" s="38" t="s">
        <v>303</v>
      </c>
      <c r="AH393" s="38">
        <v>9.0</v>
      </c>
      <c r="AI393" s="50">
        <v>35.51</v>
      </c>
      <c r="AJ393" s="50">
        <v>-119.667</v>
      </c>
      <c r="AK393" s="41" t="s">
        <v>86</v>
      </c>
      <c r="AL393" s="40" t="s">
        <v>86</v>
      </c>
      <c r="AM393" s="49">
        <v>108.0</v>
      </c>
      <c r="AN393" s="51">
        <v>108.0</v>
      </c>
      <c r="AO393" s="42" t="s">
        <v>355</v>
      </c>
      <c r="AP393" s="43" t="s">
        <v>355</v>
      </c>
      <c r="AQ393" s="44" t="str">
        <f t="shared" si="45"/>
        <v>CRO</v>
      </c>
      <c r="AR393" s="44">
        <f t="shared" si="3"/>
        <v>108</v>
      </c>
      <c r="AS393" s="44" t="str">
        <f t="shared" si="46"/>
        <v>B</v>
      </c>
      <c r="AT393" s="44" t="str">
        <f t="shared" si="17"/>
        <v>BW</v>
      </c>
      <c r="AU393" s="44" t="str">
        <f t="shared" si="2"/>
        <v>BWh</v>
      </c>
      <c r="AV393" s="38"/>
      <c r="AW393" s="38"/>
      <c r="AX393" s="38" t="s">
        <v>982</v>
      </c>
      <c r="AY393" s="38" t="s">
        <v>983</v>
      </c>
      <c r="AZ393" s="29">
        <v>30.0</v>
      </c>
      <c r="BA393" s="29">
        <v>1.0</v>
      </c>
      <c r="BB393" s="29">
        <v>1.0</v>
      </c>
      <c r="BC393" s="29"/>
      <c r="BD393" s="29" t="s">
        <v>88</v>
      </c>
      <c r="BE393" s="29" t="s">
        <v>89</v>
      </c>
      <c r="BF393" s="29" t="s">
        <v>984</v>
      </c>
      <c r="BG393" s="29" t="s">
        <v>572</v>
      </c>
      <c r="BH393" s="29" t="s">
        <v>88</v>
      </c>
      <c r="BI393" s="29" t="s">
        <v>985</v>
      </c>
      <c r="BJ393" s="29"/>
      <c r="BK393" s="29" t="s">
        <v>986</v>
      </c>
      <c r="BL393" s="29" t="s">
        <v>986</v>
      </c>
      <c r="BM393" s="45"/>
      <c r="BN393" s="45"/>
      <c r="BO393" s="46"/>
      <c r="BP393" s="2"/>
      <c r="BQ393" s="3"/>
    </row>
    <row r="394" ht="15.75" customHeight="1">
      <c r="A394" s="34">
        <v>395.0</v>
      </c>
      <c r="B394" s="34">
        <v>103509.0</v>
      </c>
      <c r="C394" s="34" t="s">
        <v>832</v>
      </c>
      <c r="D394" s="34" t="s">
        <v>972</v>
      </c>
      <c r="E394" s="34" t="s">
        <v>973</v>
      </c>
      <c r="F394" s="34">
        <v>2017.0</v>
      </c>
      <c r="G394" s="34" t="s">
        <v>974</v>
      </c>
      <c r="H394" s="34" t="s">
        <v>816</v>
      </c>
      <c r="I394" s="34" t="s">
        <v>975</v>
      </c>
      <c r="J394" s="35"/>
      <c r="K394" s="36" t="s">
        <v>976</v>
      </c>
      <c r="L394" s="36"/>
      <c r="M394" s="36"/>
      <c r="N394" s="36"/>
      <c r="O394" s="36"/>
      <c r="P394" s="37">
        <v>21.79</v>
      </c>
      <c r="Q394" s="36" t="s">
        <v>977</v>
      </c>
      <c r="R394" s="36" t="s">
        <v>873</v>
      </c>
      <c r="S394" s="36" t="s">
        <v>978</v>
      </c>
      <c r="T394" s="36" t="s">
        <v>536</v>
      </c>
      <c r="U394" s="36" t="s">
        <v>243</v>
      </c>
      <c r="V394" s="36">
        <v>46.0</v>
      </c>
      <c r="W394" s="36" t="s">
        <v>838</v>
      </c>
      <c r="X394" s="38">
        <v>1.0</v>
      </c>
      <c r="Y394" s="38" t="s">
        <v>979</v>
      </c>
      <c r="Z394" s="38" t="s">
        <v>980</v>
      </c>
      <c r="AA394" s="38" t="s">
        <v>86</v>
      </c>
      <c r="AB394" s="38">
        <v>35.51</v>
      </c>
      <c r="AC394" s="38">
        <v>119.667</v>
      </c>
      <c r="AD394" s="39" t="s">
        <v>87</v>
      </c>
      <c r="AE394" s="38">
        <v>70.0</v>
      </c>
      <c r="AF394" s="38" t="s">
        <v>981</v>
      </c>
      <c r="AG394" s="38" t="s">
        <v>303</v>
      </c>
      <c r="AH394" s="38">
        <v>9.0</v>
      </c>
      <c r="AI394" s="50">
        <v>35.51</v>
      </c>
      <c r="AJ394" s="50">
        <v>-119.667</v>
      </c>
      <c r="AK394" s="41" t="s">
        <v>86</v>
      </c>
      <c r="AL394" s="40" t="s">
        <v>86</v>
      </c>
      <c r="AM394" s="49">
        <v>108.0</v>
      </c>
      <c r="AN394" s="51">
        <v>108.0</v>
      </c>
      <c r="AO394" s="42" t="s">
        <v>355</v>
      </c>
      <c r="AP394" s="43" t="s">
        <v>355</v>
      </c>
      <c r="AQ394" s="44" t="str">
        <f t="shared" si="45"/>
        <v>CRO</v>
      </c>
      <c r="AR394" s="44">
        <f t="shared" si="3"/>
        <v>108</v>
      </c>
      <c r="AS394" s="44" t="str">
        <f t="shared" si="46"/>
        <v>B</v>
      </c>
      <c r="AT394" s="44" t="str">
        <f t="shared" si="17"/>
        <v>BW</v>
      </c>
      <c r="AU394" s="44" t="str">
        <f t="shared" si="2"/>
        <v>BWh</v>
      </c>
      <c r="AV394" s="38"/>
      <c r="AW394" s="38"/>
      <c r="AX394" s="38" t="s">
        <v>982</v>
      </c>
      <c r="AY394" s="38" t="s">
        <v>983</v>
      </c>
      <c r="AZ394" s="29">
        <v>30.0</v>
      </c>
      <c r="BA394" s="29">
        <v>1.0</v>
      </c>
      <c r="BB394" s="29">
        <v>1.0</v>
      </c>
      <c r="BC394" s="29"/>
      <c r="BD394" s="29" t="s">
        <v>88</v>
      </c>
      <c r="BE394" s="29" t="s">
        <v>89</v>
      </c>
      <c r="BF394" s="29" t="s">
        <v>984</v>
      </c>
      <c r="BG394" s="29" t="s">
        <v>572</v>
      </c>
      <c r="BH394" s="29" t="s">
        <v>88</v>
      </c>
      <c r="BI394" s="29" t="s">
        <v>985</v>
      </c>
      <c r="BJ394" s="29"/>
      <c r="BK394" s="29" t="s">
        <v>986</v>
      </c>
      <c r="BL394" s="29" t="s">
        <v>986</v>
      </c>
      <c r="BM394" s="45"/>
      <c r="BN394" s="45"/>
      <c r="BO394" s="46"/>
      <c r="BP394" s="2"/>
      <c r="BQ394" s="3"/>
    </row>
    <row r="395" ht="15.75" customHeight="1">
      <c r="A395" s="34">
        <v>396.0</v>
      </c>
      <c r="B395" s="34">
        <v>103509.0</v>
      </c>
      <c r="C395" s="34" t="s">
        <v>832</v>
      </c>
      <c r="D395" s="34" t="s">
        <v>972</v>
      </c>
      <c r="E395" s="34" t="s">
        <v>973</v>
      </c>
      <c r="F395" s="34">
        <v>2017.0</v>
      </c>
      <c r="G395" s="34" t="s">
        <v>974</v>
      </c>
      <c r="H395" s="34" t="s">
        <v>816</v>
      </c>
      <c r="I395" s="34" t="s">
        <v>975</v>
      </c>
      <c r="J395" s="35"/>
      <c r="K395" s="36">
        <v>-0.02</v>
      </c>
      <c r="L395" s="36"/>
      <c r="M395" s="36"/>
      <c r="N395" s="36"/>
      <c r="O395" s="36"/>
      <c r="P395" s="37">
        <v>-6.38</v>
      </c>
      <c r="Q395" s="36" t="s">
        <v>977</v>
      </c>
      <c r="R395" s="36" t="s">
        <v>873</v>
      </c>
      <c r="S395" s="36" t="s">
        <v>978</v>
      </c>
      <c r="T395" s="36" t="s">
        <v>613</v>
      </c>
      <c r="U395" s="36" t="s">
        <v>987</v>
      </c>
      <c r="V395" s="36">
        <v>9.0</v>
      </c>
      <c r="W395" s="36" t="s">
        <v>88</v>
      </c>
      <c r="X395" s="38">
        <v>1.0</v>
      </c>
      <c r="Y395" s="38" t="s">
        <v>979</v>
      </c>
      <c r="Z395" s="38" t="s">
        <v>980</v>
      </c>
      <c r="AA395" s="38" t="s">
        <v>86</v>
      </c>
      <c r="AB395" s="38">
        <v>35.51</v>
      </c>
      <c r="AC395" s="38">
        <v>119.667</v>
      </c>
      <c r="AD395" s="39" t="s">
        <v>87</v>
      </c>
      <c r="AE395" s="38">
        <v>70.0</v>
      </c>
      <c r="AF395" s="38" t="s">
        <v>981</v>
      </c>
      <c r="AG395" s="38" t="s">
        <v>303</v>
      </c>
      <c r="AH395" s="38">
        <v>9.0</v>
      </c>
      <c r="AI395" s="50">
        <v>35.51</v>
      </c>
      <c r="AJ395" s="50">
        <v>-119.667</v>
      </c>
      <c r="AK395" s="41" t="s">
        <v>86</v>
      </c>
      <c r="AL395" s="40" t="s">
        <v>86</v>
      </c>
      <c r="AM395" s="49">
        <v>108.0</v>
      </c>
      <c r="AN395" s="51">
        <v>108.0</v>
      </c>
      <c r="AO395" s="42" t="s">
        <v>355</v>
      </c>
      <c r="AP395" s="43" t="s">
        <v>355</v>
      </c>
      <c r="AQ395" s="44" t="str">
        <f t="shared" si="45"/>
        <v>CRO</v>
      </c>
      <c r="AR395" s="44">
        <f t="shared" si="3"/>
        <v>108</v>
      </c>
      <c r="AS395" s="44" t="str">
        <f t="shared" si="46"/>
        <v>B</v>
      </c>
      <c r="AT395" s="44" t="str">
        <f t="shared" si="17"/>
        <v>BW</v>
      </c>
      <c r="AU395" s="44" t="str">
        <f t="shared" si="2"/>
        <v>BWh</v>
      </c>
      <c r="AV395" s="38"/>
      <c r="AW395" s="38"/>
      <c r="AX395" s="38" t="s">
        <v>982</v>
      </c>
      <c r="AY395" s="38" t="s">
        <v>983</v>
      </c>
      <c r="AZ395" s="29">
        <v>30.0</v>
      </c>
      <c r="BA395" s="29">
        <v>1.0</v>
      </c>
      <c r="BB395" s="29">
        <v>1.0</v>
      </c>
      <c r="BC395" s="29"/>
      <c r="BD395" s="29" t="s">
        <v>88</v>
      </c>
      <c r="BE395" s="29" t="s">
        <v>89</v>
      </c>
      <c r="BF395" s="29" t="s">
        <v>984</v>
      </c>
      <c r="BG395" s="29" t="s">
        <v>572</v>
      </c>
      <c r="BH395" s="29" t="s">
        <v>88</v>
      </c>
      <c r="BI395" s="29" t="s">
        <v>985</v>
      </c>
      <c r="BJ395" s="29"/>
      <c r="BK395" s="29" t="s">
        <v>986</v>
      </c>
      <c r="BL395" s="29" t="s">
        <v>986</v>
      </c>
      <c r="BM395" s="45"/>
      <c r="BN395" s="45"/>
      <c r="BO395" s="46"/>
      <c r="BP395" s="2"/>
      <c r="BQ395" s="3"/>
    </row>
    <row r="396" ht="15.75" customHeight="1">
      <c r="A396" s="34">
        <v>397.0</v>
      </c>
      <c r="B396" s="34">
        <v>103509.0</v>
      </c>
      <c r="C396" s="34" t="s">
        <v>832</v>
      </c>
      <c r="D396" s="34" t="s">
        <v>972</v>
      </c>
      <c r="E396" s="34" t="s">
        <v>973</v>
      </c>
      <c r="F396" s="34">
        <v>2017.0</v>
      </c>
      <c r="G396" s="34" t="s">
        <v>974</v>
      </c>
      <c r="H396" s="34" t="s">
        <v>816</v>
      </c>
      <c r="I396" s="34" t="s">
        <v>975</v>
      </c>
      <c r="J396" s="35"/>
      <c r="K396" s="36">
        <v>0.05</v>
      </c>
      <c r="L396" s="36"/>
      <c r="M396" s="36"/>
      <c r="N396" s="36"/>
      <c r="O396" s="36"/>
      <c r="P396" s="37">
        <v>12.64</v>
      </c>
      <c r="Q396" s="36" t="s">
        <v>977</v>
      </c>
      <c r="R396" s="36" t="s">
        <v>873</v>
      </c>
      <c r="S396" s="36" t="s">
        <v>978</v>
      </c>
      <c r="T396" s="36" t="s">
        <v>988</v>
      </c>
      <c r="U396" s="36" t="s">
        <v>989</v>
      </c>
      <c r="V396" s="36">
        <v>9.0</v>
      </c>
      <c r="W396" s="36" t="s">
        <v>88</v>
      </c>
      <c r="X396" s="38">
        <v>1.0</v>
      </c>
      <c r="Y396" s="38" t="s">
        <v>979</v>
      </c>
      <c r="Z396" s="38" t="s">
        <v>980</v>
      </c>
      <c r="AA396" s="38" t="s">
        <v>86</v>
      </c>
      <c r="AB396" s="38">
        <v>35.51</v>
      </c>
      <c r="AC396" s="38">
        <v>119.667</v>
      </c>
      <c r="AD396" s="39" t="s">
        <v>87</v>
      </c>
      <c r="AE396" s="38">
        <v>70.0</v>
      </c>
      <c r="AF396" s="38" t="s">
        <v>981</v>
      </c>
      <c r="AG396" s="38" t="s">
        <v>303</v>
      </c>
      <c r="AH396" s="38">
        <v>9.0</v>
      </c>
      <c r="AI396" s="50">
        <v>35.51</v>
      </c>
      <c r="AJ396" s="50">
        <v>-119.667</v>
      </c>
      <c r="AK396" s="41" t="s">
        <v>86</v>
      </c>
      <c r="AL396" s="40" t="s">
        <v>86</v>
      </c>
      <c r="AM396" s="49">
        <v>108.0</v>
      </c>
      <c r="AN396" s="51">
        <v>108.0</v>
      </c>
      <c r="AO396" s="42" t="s">
        <v>355</v>
      </c>
      <c r="AP396" s="43" t="s">
        <v>355</v>
      </c>
      <c r="AQ396" s="44" t="str">
        <f t="shared" si="45"/>
        <v>CRO</v>
      </c>
      <c r="AR396" s="44">
        <f t="shared" si="3"/>
        <v>108</v>
      </c>
      <c r="AS396" s="44" t="str">
        <f t="shared" si="46"/>
        <v>B</v>
      </c>
      <c r="AT396" s="44" t="str">
        <f t="shared" si="17"/>
        <v>BW</v>
      </c>
      <c r="AU396" s="44" t="str">
        <f t="shared" si="2"/>
        <v>BWh</v>
      </c>
      <c r="AV396" s="38"/>
      <c r="AW396" s="38"/>
      <c r="AX396" s="38" t="s">
        <v>982</v>
      </c>
      <c r="AY396" s="38" t="s">
        <v>983</v>
      </c>
      <c r="AZ396" s="29">
        <v>30.0</v>
      </c>
      <c r="BA396" s="29">
        <v>1.0</v>
      </c>
      <c r="BB396" s="29">
        <v>1.0</v>
      </c>
      <c r="BC396" s="29"/>
      <c r="BD396" s="29" t="s">
        <v>88</v>
      </c>
      <c r="BE396" s="29" t="s">
        <v>89</v>
      </c>
      <c r="BF396" s="29" t="s">
        <v>984</v>
      </c>
      <c r="BG396" s="29" t="s">
        <v>572</v>
      </c>
      <c r="BH396" s="29" t="s">
        <v>88</v>
      </c>
      <c r="BI396" s="29" t="s">
        <v>985</v>
      </c>
      <c r="BJ396" s="29"/>
      <c r="BK396" s="29" t="s">
        <v>986</v>
      </c>
      <c r="BL396" s="29" t="s">
        <v>986</v>
      </c>
      <c r="BM396" s="45"/>
      <c r="BN396" s="45"/>
      <c r="BO396" s="46"/>
      <c r="BP396" s="2"/>
      <c r="BQ396" s="3"/>
    </row>
    <row r="397" ht="15.75" customHeight="1">
      <c r="A397" s="34">
        <v>398.0</v>
      </c>
      <c r="B397" s="34">
        <v>103509.0</v>
      </c>
      <c r="C397" s="34" t="s">
        <v>832</v>
      </c>
      <c r="D397" s="34" t="s">
        <v>972</v>
      </c>
      <c r="E397" s="34" t="s">
        <v>973</v>
      </c>
      <c r="F397" s="34">
        <v>2017.0</v>
      </c>
      <c r="G397" s="34" t="s">
        <v>974</v>
      </c>
      <c r="H397" s="34" t="s">
        <v>816</v>
      </c>
      <c r="I397" s="34" t="s">
        <v>975</v>
      </c>
      <c r="J397" s="35"/>
      <c r="K397" s="36">
        <v>0.01</v>
      </c>
      <c r="L397" s="36"/>
      <c r="M397" s="36"/>
      <c r="N397" s="36"/>
      <c r="O397" s="36"/>
      <c r="P397" s="37">
        <v>15.93</v>
      </c>
      <c r="Q397" s="36" t="s">
        <v>977</v>
      </c>
      <c r="R397" s="36" t="s">
        <v>873</v>
      </c>
      <c r="S397" s="36" t="s">
        <v>978</v>
      </c>
      <c r="T397" s="36" t="s">
        <v>990</v>
      </c>
      <c r="U397" s="36" t="s">
        <v>991</v>
      </c>
      <c r="V397" s="36">
        <v>8.0</v>
      </c>
      <c r="W397" s="36" t="s">
        <v>88</v>
      </c>
      <c r="X397" s="38">
        <v>1.0</v>
      </c>
      <c r="Y397" s="38" t="s">
        <v>979</v>
      </c>
      <c r="Z397" s="38" t="s">
        <v>980</v>
      </c>
      <c r="AA397" s="38" t="s">
        <v>86</v>
      </c>
      <c r="AB397" s="38">
        <v>35.51</v>
      </c>
      <c r="AC397" s="38">
        <v>119.667</v>
      </c>
      <c r="AD397" s="39" t="s">
        <v>87</v>
      </c>
      <c r="AE397" s="38">
        <v>70.0</v>
      </c>
      <c r="AF397" s="38" t="s">
        <v>981</v>
      </c>
      <c r="AG397" s="38" t="s">
        <v>303</v>
      </c>
      <c r="AH397" s="38">
        <v>9.0</v>
      </c>
      <c r="AI397" s="50">
        <v>35.51</v>
      </c>
      <c r="AJ397" s="50">
        <v>-119.667</v>
      </c>
      <c r="AK397" s="41" t="s">
        <v>86</v>
      </c>
      <c r="AL397" s="40" t="s">
        <v>86</v>
      </c>
      <c r="AM397" s="49">
        <v>108.0</v>
      </c>
      <c r="AN397" s="51">
        <v>108.0</v>
      </c>
      <c r="AO397" s="42" t="s">
        <v>355</v>
      </c>
      <c r="AP397" s="43" t="s">
        <v>355</v>
      </c>
      <c r="AQ397" s="44" t="str">
        <f t="shared" si="45"/>
        <v>CRO</v>
      </c>
      <c r="AR397" s="44">
        <f t="shared" si="3"/>
        <v>108</v>
      </c>
      <c r="AS397" s="44" t="str">
        <f t="shared" si="46"/>
        <v>B</v>
      </c>
      <c r="AT397" s="44" t="str">
        <f t="shared" si="17"/>
        <v>BW</v>
      </c>
      <c r="AU397" s="44" t="str">
        <f t="shared" si="2"/>
        <v>BWh</v>
      </c>
      <c r="AV397" s="38"/>
      <c r="AW397" s="38"/>
      <c r="AX397" s="38" t="s">
        <v>982</v>
      </c>
      <c r="AY397" s="38" t="s">
        <v>983</v>
      </c>
      <c r="AZ397" s="29">
        <v>30.0</v>
      </c>
      <c r="BA397" s="29">
        <v>1.0</v>
      </c>
      <c r="BB397" s="29">
        <v>1.0</v>
      </c>
      <c r="BC397" s="29"/>
      <c r="BD397" s="29" t="s">
        <v>88</v>
      </c>
      <c r="BE397" s="29" t="s">
        <v>89</v>
      </c>
      <c r="BF397" s="29" t="s">
        <v>984</v>
      </c>
      <c r="BG397" s="29" t="s">
        <v>572</v>
      </c>
      <c r="BH397" s="29" t="s">
        <v>88</v>
      </c>
      <c r="BI397" s="29" t="s">
        <v>985</v>
      </c>
      <c r="BJ397" s="29"/>
      <c r="BK397" s="29" t="s">
        <v>986</v>
      </c>
      <c r="BL397" s="29" t="s">
        <v>986</v>
      </c>
      <c r="BM397" s="45"/>
      <c r="BN397" s="45"/>
      <c r="BO397" s="46"/>
      <c r="BP397" s="2"/>
      <c r="BQ397" s="3"/>
    </row>
    <row r="398" ht="15.75" customHeight="1">
      <c r="A398" s="34">
        <v>399.0</v>
      </c>
      <c r="B398" s="34">
        <v>103509.0</v>
      </c>
      <c r="C398" s="34" t="s">
        <v>832</v>
      </c>
      <c r="D398" s="34" t="s">
        <v>972</v>
      </c>
      <c r="E398" s="34" t="s">
        <v>973</v>
      </c>
      <c r="F398" s="34">
        <v>2017.0</v>
      </c>
      <c r="G398" s="34" t="s">
        <v>974</v>
      </c>
      <c r="H398" s="34" t="s">
        <v>816</v>
      </c>
      <c r="I398" s="34" t="s">
        <v>975</v>
      </c>
      <c r="J398" s="35"/>
      <c r="K398" s="36">
        <v>-0.06</v>
      </c>
      <c r="L398" s="36"/>
      <c r="M398" s="36"/>
      <c r="N398" s="36"/>
      <c r="O398" s="36"/>
      <c r="P398" s="37">
        <v>-10.8</v>
      </c>
      <c r="Q398" s="36" t="s">
        <v>977</v>
      </c>
      <c r="R398" s="36" t="s">
        <v>873</v>
      </c>
      <c r="S398" s="36" t="s">
        <v>978</v>
      </c>
      <c r="T398" s="36" t="s">
        <v>992</v>
      </c>
      <c r="U398" s="36" t="s">
        <v>993</v>
      </c>
      <c r="V398" s="36">
        <v>8.0</v>
      </c>
      <c r="W398" s="36" t="s">
        <v>88</v>
      </c>
      <c r="X398" s="38">
        <v>1.0</v>
      </c>
      <c r="Y398" s="38" t="s">
        <v>979</v>
      </c>
      <c r="Z398" s="38" t="s">
        <v>980</v>
      </c>
      <c r="AA398" s="38" t="s">
        <v>86</v>
      </c>
      <c r="AB398" s="38">
        <v>35.51</v>
      </c>
      <c r="AC398" s="38">
        <v>119.667</v>
      </c>
      <c r="AD398" s="39" t="s">
        <v>87</v>
      </c>
      <c r="AE398" s="38">
        <v>70.0</v>
      </c>
      <c r="AF398" s="38" t="s">
        <v>981</v>
      </c>
      <c r="AG398" s="38" t="s">
        <v>303</v>
      </c>
      <c r="AH398" s="38">
        <v>9.0</v>
      </c>
      <c r="AI398" s="50">
        <v>35.51</v>
      </c>
      <c r="AJ398" s="50">
        <v>-119.667</v>
      </c>
      <c r="AK398" s="41" t="s">
        <v>86</v>
      </c>
      <c r="AL398" s="40" t="s">
        <v>86</v>
      </c>
      <c r="AM398" s="49">
        <v>108.0</v>
      </c>
      <c r="AN398" s="51">
        <v>108.0</v>
      </c>
      <c r="AO398" s="42" t="s">
        <v>355</v>
      </c>
      <c r="AP398" s="43" t="s">
        <v>355</v>
      </c>
      <c r="AQ398" s="44" t="str">
        <f t="shared" si="45"/>
        <v>CRO</v>
      </c>
      <c r="AR398" s="44">
        <f t="shared" si="3"/>
        <v>108</v>
      </c>
      <c r="AS398" s="44" t="str">
        <f t="shared" si="46"/>
        <v>B</v>
      </c>
      <c r="AT398" s="44" t="str">
        <f t="shared" si="17"/>
        <v>BW</v>
      </c>
      <c r="AU398" s="44" t="str">
        <f t="shared" si="2"/>
        <v>BWh</v>
      </c>
      <c r="AV398" s="38"/>
      <c r="AW398" s="38"/>
      <c r="AX398" s="38" t="s">
        <v>982</v>
      </c>
      <c r="AY398" s="38" t="s">
        <v>983</v>
      </c>
      <c r="AZ398" s="29">
        <v>30.0</v>
      </c>
      <c r="BA398" s="29">
        <v>1.0</v>
      </c>
      <c r="BB398" s="29">
        <v>1.0</v>
      </c>
      <c r="BC398" s="29"/>
      <c r="BD398" s="29" t="s">
        <v>88</v>
      </c>
      <c r="BE398" s="29" t="s">
        <v>89</v>
      </c>
      <c r="BF398" s="29" t="s">
        <v>984</v>
      </c>
      <c r="BG398" s="29" t="s">
        <v>572</v>
      </c>
      <c r="BH398" s="29" t="s">
        <v>88</v>
      </c>
      <c r="BI398" s="29" t="s">
        <v>985</v>
      </c>
      <c r="BJ398" s="29"/>
      <c r="BK398" s="29" t="s">
        <v>986</v>
      </c>
      <c r="BL398" s="29" t="s">
        <v>986</v>
      </c>
      <c r="BM398" s="45"/>
      <c r="BN398" s="45"/>
      <c r="BO398" s="46"/>
      <c r="BP398" s="2"/>
      <c r="BQ398" s="3"/>
    </row>
    <row r="399" ht="15.75" customHeight="1">
      <c r="A399" s="34">
        <v>400.0</v>
      </c>
      <c r="B399" s="34">
        <v>103509.0</v>
      </c>
      <c r="C399" s="34" t="s">
        <v>832</v>
      </c>
      <c r="D399" s="34" t="s">
        <v>972</v>
      </c>
      <c r="E399" s="34" t="s">
        <v>973</v>
      </c>
      <c r="F399" s="34">
        <v>2017.0</v>
      </c>
      <c r="G399" s="34" t="s">
        <v>974</v>
      </c>
      <c r="H399" s="34" t="s">
        <v>816</v>
      </c>
      <c r="I399" s="34" t="s">
        <v>975</v>
      </c>
      <c r="J399" s="35"/>
      <c r="K399" s="36" t="s">
        <v>976</v>
      </c>
      <c r="L399" s="36"/>
      <c r="M399" s="36"/>
      <c r="N399" s="36"/>
      <c r="O399" s="36"/>
      <c r="P399" s="37">
        <v>11.32</v>
      </c>
      <c r="Q399" s="36" t="s">
        <v>977</v>
      </c>
      <c r="R399" s="36" t="s">
        <v>873</v>
      </c>
      <c r="S399" s="36" t="s">
        <v>978</v>
      </c>
      <c r="T399" s="36" t="s">
        <v>613</v>
      </c>
      <c r="U399" s="36" t="s">
        <v>993</v>
      </c>
      <c r="V399" s="36">
        <v>34.0</v>
      </c>
      <c r="W399" s="36" t="s">
        <v>88</v>
      </c>
      <c r="X399" s="38">
        <v>1.0</v>
      </c>
      <c r="Y399" s="38" t="s">
        <v>979</v>
      </c>
      <c r="Z399" s="38" t="s">
        <v>980</v>
      </c>
      <c r="AA399" s="38" t="s">
        <v>86</v>
      </c>
      <c r="AB399" s="38">
        <v>35.51</v>
      </c>
      <c r="AC399" s="38">
        <v>119.667</v>
      </c>
      <c r="AD399" s="39" t="s">
        <v>87</v>
      </c>
      <c r="AE399" s="38">
        <v>70.0</v>
      </c>
      <c r="AF399" s="38" t="s">
        <v>981</v>
      </c>
      <c r="AG399" s="38" t="s">
        <v>303</v>
      </c>
      <c r="AH399" s="38">
        <v>9.0</v>
      </c>
      <c r="AI399" s="50">
        <v>35.51</v>
      </c>
      <c r="AJ399" s="50">
        <v>-119.667</v>
      </c>
      <c r="AK399" s="41" t="s">
        <v>86</v>
      </c>
      <c r="AL399" s="40" t="s">
        <v>86</v>
      </c>
      <c r="AM399" s="49">
        <v>108.0</v>
      </c>
      <c r="AN399" s="51">
        <v>108.0</v>
      </c>
      <c r="AO399" s="42" t="s">
        <v>355</v>
      </c>
      <c r="AP399" s="43" t="s">
        <v>355</v>
      </c>
      <c r="AQ399" s="44" t="str">
        <f t="shared" si="45"/>
        <v>CRO</v>
      </c>
      <c r="AR399" s="44">
        <f t="shared" si="3"/>
        <v>108</v>
      </c>
      <c r="AS399" s="44" t="str">
        <f t="shared" si="46"/>
        <v>B</v>
      </c>
      <c r="AT399" s="44" t="str">
        <f t="shared" si="17"/>
        <v>BW</v>
      </c>
      <c r="AU399" s="44" t="str">
        <f t="shared" si="2"/>
        <v>BWh</v>
      </c>
      <c r="AV399" s="38"/>
      <c r="AW399" s="38"/>
      <c r="AX399" s="38" t="s">
        <v>982</v>
      </c>
      <c r="AY399" s="38" t="s">
        <v>983</v>
      </c>
      <c r="AZ399" s="29">
        <v>30.0</v>
      </c>
      <c r="BA399" s="29">
        <v>1.0</v>
      </c>
      <c r="BB399" s="29">
        <v>1.0</v>
      </c>
      <c r="BC399" s="29"/>
      <c r="BD399" s="29" t="s">
        <v>88</v>
      </c>
      <c r="BE399" s="29" t="s">
        <v>89</v>
      </c>
      <c r="BF399" s="29" t="s">
        <v>984</v>
      </c>
      <c r="BG399" s="29" t="s">
        <v>572</v>
      </c>
      <c r="BH399" s="29" t="s">
        <v>88</v>
      </c>
      <c r="BI399" s="29" t="s">
        <v>985</v>
      </c>
      <c r="BJ399" s="29"/>
      <c r="BK399" s="29" t="s">
        <v>986</v>
      </c>
      <c r="BL399" s="29" t="s">
        <v>986</v>
      </c>
      <c r="BM399" s="45"/>
      <c r="BN399" s="45"/>
      <c r="BO399" s="46"/>
      <c r="BP399" s="2"/>
      <c r="BQ399" s="3"/>
    </row>
    <row r="400" ht="15.75" customHeight="1">
      <c r="A400" s="34">
        <v>401.0</v>
      </c>
      <c r="B400" s="34">
        <v>103509.0</v>
      </c>
      <c r="C400" s="34" t="s">
        <v>832</v>
      </c>
      <c r="D400" s="34" t="s">
        <v>972</v>
      </c>
      <c r="E400" s="34" t="s">
        <v>973</v>
      </c>
      <c r="F400" s="34">
        <v>2017.0</v>
      </c>
      <c r="G400" s="34" t="s">
        <v>974</v>
      </c>
      <c r="H400" s="34" t="s">
        <v>816</v>
      </c>
      <c r="I400" s="34" t="s">
        <v>975</v>
      </c>
      <c r="J400" s="35"/>
      <c r="K400" s="36">
        <v>-0.02</v>
      </c>
      <c r="L400" s="36"/>
      <c r="M400" s="36"/>
      <c r="N400" s="36"/>
      <c r="O400" s="36"/>
      <c r="P400" s="37">
        <v>-31.82</v>
      </c>
      <c r="Q400" s="36" t="s">
        <v>96</v>
      </c>
      <c r="R400" s="36" t="s">
        <v>96</v>
      </c>
      <c r="S400" s="36" t="s">
        <v>978</v>
      </c>
      <c r="T400" s="36" t="s">
        <v>536</v>
      </c>
      <c r="U400" s="36" t="s">
        <v>351</v>
      </c>
      <c r="V400" s="36">
        <v>14.0</v>
      </c>
      <c r="W400" s="36" t="s">
        <v>838</v>
      </c>
      <c r="X400" s="38">
        <v>1.0</v>
      </c>
      <c r="Y400" s="38" t="s">
        <v>979</v>
      </c>
      <c r="Z400" s="38" t="s">
        <v>980</v>
      </c>
      <c r="AA400" s="38" t="s">
        <v>86</v>
      </c>
      <c r="AB400" s="38">
        <v>35.51</v>
      </c>
      <c r="AC400" s="38">
        <v>119.667</v>
      </c>
      <c r="AD400" s="39" t="s">
        <v>87</v>
      </c>
      <c r="AE400" s="38">
        <v>70.0</v>
      </c>
      <c r="AF400" s="38" t="s">
        <v>981</v>
      </c>
      <c r="AG400" s="38" t="s">
        <v>303</v>
      </c>
      <c r="AH400" s="38">
        <v>9.0</v>
      </c>
      <c r="AI400" s="50">
        <v>35.51</v>
      </c>
      <c r="AJ400" s="50">
        <v>-119.667</v>
      </c>
      <c r="AK400" s="41" t="s">
        <v>86</v>
      </c>
      <c r="AL400" s="40" t="s">
        <v>86</v>
      </c>
      <c r="AM400" s="49">
        <v>108.0</v>
      </c>
      <c r="AN400" s="51">
        <v>108.0</v>
      </c>
      <c r="AO400" s="42" t="s">
        <v>355</v>
      </c>
      <c r="AP400" s="43" t="s">
        <v>355</v>
      </c>
      <c r="AQ400" s="44" t="str">
        <f t="shared" si="45"/>
        <v>CRO</v>
      </c>
      <c r="AR400" s="44">
        <f t="shared" si="3"/>
        <v>108</v>
      </c>
      <c r="AS400" s="44" t="str">
        <f t="shared" si="46"/>
        <v>B</v>
      </c>
      <c r="AT400" s="44" t="str">
        <f t="shared" si="17"/>
        <v>BW</v>
      </c>
      <c r="AU400" s="44" t="str">
        <f t="shared" si="2"/>
        <v>BWh</v>
      </c>
      <c r="AV400" s="38"/>
      <c r="AW400" s="38"/>
      <c r="AX400" s="38" t="s">
        <v>982</v>
      </c>
      <c r="AY400" s="38" t="s">
        <v>983</v>
      </c>
      <c r="AZ400" s="29">
        <v>30.0</v>
      </c>
      <c r="BA400" s="29">
        <v>1.0</v>
      </c>
      <c r="BB400" s="29">
        <v>1.0</v>
      </c>
      <c r="BC400" s="29"/>
      <c r="BD400" s="29" t="s">
        <v>88</v>
      </c>
      <c r="BE400" s="29" t="s">
        <v>89</v>
      </c>
      <c r="BF400" s="29" t="s">
        <v>984</v>
      </c>
      <c r="BG400" s="29" t="s">
        <v>572</v>
      </c>
      <c r="BH400" s="29" t="s">
        <v>88</v>
      </c>
      <c r="BI400" s="29" t="s">
        <v>985</v>
      </c>
      <c r="BJ400" s="29"/>
      <c r="BK400" s="29" t="s">
        <v>986</v>
      </c>
      <c r="BL400" s="29" t="s">
        <v>986</v>
      </c>
      <c r="BM400" s="45"/>
      <c r="BN400" s="45"/>
      <c r="BO400" s="46"/>
      <c r="BP400" s="2"/>
      <c r="BQ400" s="3"/>
    </row>
    <row r="401" ht="15.75" customHeight="1">
      <c r="A401" s="34">
        <v>402.0</v>
      </c>
      <c r="B401" s="34">
        <v>103509.0</v>
      </c>
      <c r="C401" s="34" t="s">
        <v>832</v>
      </c>
      <c r="D401" s="34" t="s">
        <v>972</v>
      </c>
      <c r="E401" s="34" t="s">
        <v>973</v>
      </c>
      <c r="F401" s="34">
        <v>2017.0</v>
      </c>
      <c r="G401" s="34" t="s">
        <v>974</v>
      </c>
      <c r="H401" s="34" t="s">
        <v>816</v>
      </c>
      <c r="I401" s="34" t="s">
        <v>975</v>
      </c>
      <c r="J401" s="35"/>
      <c r="K401" s="36">
        <v>-0.32</v>
      </c>
      <c r="L401" s="36"/>
      <c r="M401" s="36"/>
      <c r="N401" s="36"/>
      <c r="O401" s="36"/>
      <c r="P401" s="37">
        <v>-11.69</v>
      </c>
      <c r="Q401" s="36" t="s">
        <v>96</v>
      </c>
      <c r="R401" s="36" t="s">
        <v>96</v>
      </c>
      <c r="S401" s="36" t="s">
        <v>978</v>
      </c>
      <c r="T401" s="36" t="s">
        <v>969</v>
      </c>
      <c r="U401" s="36" t="s">
        <v>507</v>
      </c>
      <c r="V401" s="36">
        <v>11.0</v>
      </c>
      <c r="W401" s="36" t="s">
        <v>838</v>
      </c>
      <c r="X401" s="38">
        <v>1.0</v>
      </c>
      <c r="Y401" s="38" t="s">
        <v>979</v>
      </c>
      <c r="Z401" s="38" t="s">
        <v>980</v>
      </c>
      <c r="AA401" s="38" t="s">
        <v>86</v>
      </c>
      <c r="AB401" s="38">
        <v>35.51</v>
      </c>
      <c r="AC401" s="38">
        <v>119.667</v>
      </c>
      <c r="AD401" s="39" t="s">
        <v>87</v>
      </c>
      <c r="AE401" s="38">
        <v>70.0</v>
      </c>
      <c r="AF401" s="38" t="s">
        <v>981</v>
      </c>
      <c r="AG401" s="38" t="s">
        <v>303</v>
      </c>
      <c r="AH401" s="38">
        <v>9.0</v>
      </c>
      <c r="AI401" s="50">
        <v>35.51</v>
      </c>
      <c r="AJ401" s="50">
        <v>-119.667</v>
      </c>
      <c r="AK401" s="41" t="s">
        <v>86</v>
      </c>
      <c r="AL401" s="40" t="s">
        <v>86</v>
      </c>
      <c r="AM401" s="49">
        <v>108.0</v>
      </c>
      <c r="AN401" s="51">
        <v>108.0</v>
      </c>
      <c r="AO401" s="42" t="s">
        <v>355</v>
      </c>
      <c r="AP401" s="43" t="s">
        <v>355</v>
      </c>
      <c r="AQ401" s="44" t="str">
        <f t="shared" si="45"/>
        <v>CRO</v>
      </c>
      <c r="AR401" s="44">
        <f t="shared" si="3"/>
        <v>108</v>
      </c>
      <c r="AS401" s="44" t="str">
        <f t="shared" si="46"/>
        <v>B</v>
      </c>
      <c r="AT401" s="44" t="str">
        <f t="shared" si="17"/>
        <v>BW</v>
      </c>
      <c r="AU401" s="44" t="str">
        <f t="shared" si="2"/>
        <v>BWh</v>
      </c>
      <c r="AV401" s="38"/>
      <c r="AW401" s="38"/>
      <c r="AX401" s="38" t="s">
        <v>982</v>
      </c>
      <c r="AY401" s="38" t="s">
        <v>983</v>
      </c>
      <c r="AZ401" s="29">
        <v>30.0</v>
      </c>
      <c r="BA401" s="29">
        <v>1.0</v>
      </c>
      <c r="BB401" s="29">
        <v>1.0</v>
      </c>
      <c r="BC401" s="29"/>
      <c r="BD401" s="29" t="s">
        <v>88</v>
      </c>
      <c r="BE401" s="29" t="s">
        <v>89</v>
      </c>
      <c r="BF401" s="29" t="s">
        <v>984</v>
      </c>
      <c r="BG401" s="29" t="s">
        <v>572</v>
      </c>
      <c r="BH401" s="29" t="s">
        <v>88</v>
      </c>
      <c r="BI401" s="29" t="s">
        <v>985</v>
      </c>
      <c r="BJ401" s="29"/>
      <c r="BK401" s="29" t="s">
        <v>986</v>
      </c>
      <c r="BL401" s="29" t="s">
        <v>986</v>
      </c>
      <c r="BM401" s="45"/>
      <c r="BN401" s="45"/>
      <c r="BO401" s="46"/>
      <c r="BP401" s="2"/>
      <c r="BQ401" s="3"/>
    </row>
    <row r="402" ht="15.75" customHeight="1">
      <c r="A402" s="34">
        <v>403.0</v>
      </c>
      <c r="B402" s="34">
        <v>103509.0</v>
      </c>
      <c r="C402" s="34" t="s">
        <v>832</v>
      </c>
      <c r="D402" s="34" t="s">
        <v>972</v>
      </c>
      <c r="E402" s="34" t="s">
        <v>973</v>
      </c>
      <c r="F402" s="34">
        <v>2017.0</v>
      </c>
      <c r="G402" s="34" t="s">
        <v>974</v>
      </c>
      <c r="H402" s="34" t="s">
        <v>816</v>
      </c>
      <c r="I402" s="34" t="s">
        <v>975</v>
      </c>
      <c r="J402" s="35"/>
      <c r="K402" s="36">
        <v>0.37</v>
      </c>
      <c r="L402" s="36"/>
      <c r="M402" s="36"/>
      <c r="N402" s="36"/>
      <c r="O402" s="36"/>
      <c r="P402" s="37">
        <v>27.31</v>
      </c>
      <c r="Q402" s="36" t="s">
        <v>96</v>
      </c>
      <c r="R402" s="36" t="s">
        <v>96</v>
      </c>
      <c r="S402" s="36" t="s">
        <v>978</v>
      </c>
      <c r="T402" s="36" t="s">
        <v>233</v>
      </c>
      <c r="U402" s="36" t="s">
        <v>234</v>
      </c>
      <c r="V402" s="36">
        <v>10.0</v>
      </c>
      <c r="W402" s="36" t="s">
        <v>838</v>
      </c>
      <c r="X402" s="38">
        <v>1.0</v>
      </c>
      <c r="Y402" s="38" t="s">
        <v>979</v>
      </c>
      <c r="Z402" s="38" t="s">
        <v>980</v>
      </c>
      <c r="AA402" s="38" t="s">
        <v>86</v>
      </c>
      <c r="AB402" s="38">
        <v>35.51</v>
      </c>
      <c r="AC402" s="38">
        <v>119.667</v>
      </c>
      <c r="AD402" s="39" t="s">
        <v>87</v>
      </c>
      <c r="AE402" s="38">
        <v>70.0</v>
      </c>
      <c r="AF402" s="38" t="s">
        <v>981</v>
      </c>
      <c r="AG402" s="38" t="s">
        <v>303</v>
      </c>
      <c r="AH402" s="38">
        <v>9.0</v>
      </c>
      <c r="AI402" s="50">
        <v>35.51</v>
      </c>
      <c r="AJ402" s="50">
        <v>-119.667</v>
      </c>
      <c r="AK402" s="41" t="s">
        <v>86</v>
      </c>
      <c r="AL402" s="40" t="s">
        <v>86</v>
      </c>
      <c r="AM402" s="49">
        <v>108.0</v>
      </c>
      <c r="AN402" s="51">
        <v>108.0</v>
      </c>
      <c r="AO402" s="42" t="s">
        <v>355</v>
      </c>
      <c r="AP402" s="43" t="s">
        <v>355</v>
      </c>
      <c r="AQ402" s="44" t="str">
        <f t="shared" si="45"/>
        <v>CRO</v>
      </c>
      <c r="AR402" s="44">
        <f t="shared" si="3"/>
        <v>108</v>
      </c>
      <c r="AS402" s="44" t="str">
        <f t="shared" si="46"/>
        <v>B</v>
      </c>
      <c r="AT402" s="44" t="str">
        <f t="shared" si="17"/>
        <v>BW</v>
      </c>
      <c r="AU402" s="44" t="str">
        <f t="shared" si="2"/>
        <v>BWh</v>
      </c>
      <c r="AV402" s="38"/>
      <c r="AW402" s="38"/>
      <c r="AX402" s="38" t="s">
        <v>982</v>
      </c>
      <c r="AY402" s="38" t="s">
        <v>983</v>
      </c>
      <c r="AZ402" s="29">
        <v>30.0</v>
      </c>
      <c r="BA402" s="29">
        <v>1.0</v>
      </c>
      <c r="BB402" s="29">
        <v>1.0</v>
      </c>
      <c r="BC402" s="29"/>
      <c r="BD402" s="29" t="s">
        <v>88</v>
      </c>
      <c r="BE402" s="29" t="s">
        <v>89</v>
      </c>
      <c r="BF402" s="29" t="s">
        <v>984</v>
      </c>
      <c r="BG402" s="29" t="s">
        <v>572</v>
      </c>
      <c r="BH402" s="29" t="s">
        <v>88</v>
      </c>
      <c r="BI402" s="29" t="s">
        <v>985</v>
      </c>
      <c r="BJ402" s="29"/>
      <c r="BK402" s="29" t="s">
        <v>986</v>
      </c>
      <c r="BL402" s="29" t="s">
        <v>986</v>
      </c>
      <c r="BM402" s="45"/>
      <c r="BN402" s="45"/>
      <c r="BO402" s="46"/>
      <c r="BP402" s="2"/>
      <c r="BQ402" s="3"/>
    </row>
    <row r="403" ht="15.75" customHeight="1">
      <c r="A403" s="34">
        <v>404.0</v>
      </c>
      <c r="B403" s="34">
        <v>103509.0</v>
      </c>
      <c r="C403" s="34" t="s">
        <v>832</v>
      </c>
      <c r="D403" s="34" t="s">
        <v>972</v>
      </c>
      <c r="E403" s="34" t="s">
        <v>973</v>
      </c>
      <c r="F403" s="34">
        <v>2017.0</v>
      </c>
      <c r="G403" s="34" t="s">
        <v>974</v>
      </c>
      <c r="H403" s="34" t="s">
        <v>816</v>
      </c>
      <c r="I403" s="34" t="s">
        <v>975</v>
      </c>
      <c r="J403" s="35"/>
      <c r="K403" s="36">
        <v>0.27</v>
      </c>
      <c r="L403" s="36"/>
      <c r="M403" s="36"/>
      <c r="N403" s="36"/>
      <c r="O403" s="36"/>
      <c r="P403" s="37">
        <v>13.67</v>
      </c>
      <c r="Q403" s="36" t="s">
        <v>96</v>
      </c>
      <c r="R403" s="36" t="s">
        <v>96</v>
      </c>
      <c r="S403" s="36" t="s">
        <v>978</v>
      </c>
      <c r="T403" s="36" t="s">
        <v>242</v>
      </c>
      <c r="U403" s="36" t="s">
        <v>243</v>
      </c>
      <c r="V403" s="36">
        <v>11.0</v>
      </c>
      <c r="W403" s="36" t="s">
        <v>838</v>
      </c>
      <c r="X403" s="38">
        <v>1.0</v>
      </c>
      <c r="Y403" s="38" t="s">
        <v>979</v>
      </c>
      <c r="Z403" s="38" t="s">
        <v>980</v>
      </c>
      <c r="AA403" s="38" t="s">
        <v>86</v>
      </c>
      <c r="AB403" s="38">
        <v>35.51</v>
      </c>
      <c r="AC403" s="38">
        <v>119.667</v>
      </c>
      <c r="AD403" s="39" t="s">
        <v>87</v>
      </c>
      <c r="AE403" s="38">
        <v>70.0</v>
      </c>
      <c r="AF403" s="38" t="s">
        <v>981</v>
      </c>
      <c r="AG403" s="38" t="s">
        <v>303</v>
      </c>
      <c r="AH403" s="38">
        <v>9.0</v>
      </c>
      <c r="AI403" s="50">
        <v>35.51</v>
      </c>
      <c r="AJ403" s="50">
        <v>-119.667</v>
      </c>
      <c r="AK403" s="41" t="s">
        <v>86</v>
      </c>
      <c r="AL403" s="40" t="s">
        <v>86</v>
      </c>
      <c r="AM403" s="49">
        <v>108.0</v>
      </c>
      <c r="AN403" s="51">
        <v>108.0</v>
      </c>
      <c r="AO403" s="42" t="s">
        <v>355</v>
      </c>
      <c r="AP403" s="43" t="s">
        <v>355</v>
      </c>
      <c r="AQ403" s="44" t="str">
        <f t="shared" si="45"/>
        <v>CRO</v>
      </c>
      <c r="AR403" s="44">
        <f t="shared" si="3"/>
        <v>108</v>
      </c>
      <c r="AS403" s="44" t="str">
        <f t="shared" si="46"/>
        <v>B</v>
      </c>
      <c r="AT403" s="44" t="str">
        <f t="shared" si="17"/>
        <v>BW</v>
      </c>
      <c r="AU403" s="44" t="str">
        <f t="shared" si="2"/>
        <v>BWh</v>
      </c>
      <c r="AV403" s="38"/>
      <c r="AW403" s="38"/>
      <c r="AX403" s="38" t="s">
        <v>982</v>
      </c>
      <c r="AY403" s="38" t="s">
        <v>983</v>
      </c>
      <c r="AZ403" s="29">
        <v>30.0</v>
      </c>
      <c r="BA403" s="29">
        <v>1.0</v>
      </c>
      <c r="BB403" s="29">
        <v>1.0</v>
      </c>
      <c r="BC403" s="29"/>
      <c r="BD403" s="29" t="s">
        <v>88</v>
      </c>
      <c r="BE403" s="29" t="s">
        <v>89</v>
      </c>
      <c r="BF403" s="29" t="s">
        <v>984</v>
      </c>
      <c r="BG403" s="29" t="s">
        <v>572</v>
      </c>
      <c r="BH403" s="29" t="s">
        <v>88</v>
      </c>
      <c r="BI403" s="29" t="s">
        <v>985</v>
      </c>
      <c r="BJ403" s="29"/>
      <c r="BK403" s="29" t="s">
        <v>986</v>
      </c>
      <c r="BL403" s="29" t="s">
        <v>986</v>
      </c>
      <c r="BM403" s="45"/>
      <c r="BN403" s="45"/>
      <c r="BO403" s="46"/>
      <c r="BP403" s="2"/>
      <c r="BQ403" s="3"/>
    </row>
    <row r="404" ht="15.75" customHeight="1">
      <c r="A404" s="34">
        <v>405.0</v>
      </c>
      <c r="B404" s="34">
        <v>103509.0</v>
      </c>
      <c r="C404" s="34" t="s">
        <v>832</v>
      </c>
      <c r="D404" s="34" t="s">
        <v>972</v>
      </c>
      <c r="E404" s="34" t="s">
        <v>973</v>
      </c>
      <c r="F404" s="34">
        <v>2017.0</v>
      </c>
      <c r="G404" s="34" t="s">
        <v>974</v>
      </c>
      <c r="H404" s="34" t="s">
        <v>816</v>
      </c>
      <c r="I404" s="34" t="s">
        <v>975</v>
      </c>
      <c r="J404" s="35"/>
      <c r="K404" s="36">
        <v>0.06</v>
      </c>
      <c r="L404" s="36"/>
      <c r="M404" s="36"/>
      <c r="N404" s="36"/>
      <c r="O404" s="36"/>
      <c r="P404" s="37">
        <v>21.68</v>
      </c>
      <c r="Q404" s="36" t="s">
        <v>96</v>
      </c>
      <c r="R404" s="36" t="s">
        <v>96</v>
      </c>
      <c r="S404" s="36" t="s">
        <v>978</v>
      </c>
      <c r="T404" s="36" t="s">
        <v>536</v>
      </c>
      <c r="U404" s="36" t="s">
        <v>243</v>
      </c>
      <c r="V404" s="36">
        <v>46.0</v>
      </c>
      <c r="W404" s="36" t="s">
        <v>838</v>
      </c>
      <c r="X404" s="38">
        <v>1.0</v>
      </c>
      <c r="Y404" s="38" t="s">
        <v>979</v>
      </c>
      <c r="Z404" s="38" t="s">
        <v>980</v>
      </c>
      <c r="AA404" s="38" t="s">
        <v>86</v>
      </c>
      <c r="AB404" s="38">
        <v>35.51</v>
      </c>
      <c r="AC404" s="38">
        <v>119.667</v>
      </c>
      <c r="AD404" s="39" t="s">
        <v>87</v>
      </c>
      <c r="AE404" s="38">
        <v>70.0</v>
      </c>
      <c r="AF404" s="38" t="s">
        <v>981</v>
      </c>
      <c r="AG404" s="38" t="s">
        <v>303</v>
      </c>
      <c r="AH404" s="38">
        <v>9.0</v>
      </c>
      <c r="AI404" s="50">
        <v>35.51</v>
      </c>
      <c r="AJ404" s="50">
        <v>-119.667</v>
      </c>
      <c r="AK404" s="41" t="s">
        <v>86</v>
      </c>
      <c r="AL404" s="40" t="s">
        <v>86</v>
      </c>
      <c r="AM404" s="49">
        <v>108.0</v>
      </c>
      <c r="AN404" s="51">
        <v>108.0</v>
      </c>
      <c r="AO404" s="42" t="s">
        <v>355</v>
      </c>
      <c r="AP404" s="43" t="s">
        <v>355</v>
      </c>
      <c r="AQ404" s="44" t="str">
        <f t="shared" si="45"/>
        <v>CRO</v>
      </c>
      <c r="AR404" s="44">
        <f t="shared" si="3"/>
        <v>108</v>
      </c>
      <c r="AS404" s="44" t="str">
        <f t="shared" si="46"/>
        <v>B</v>
      </c>
      <c r="AT404" s="44" t="str">
        <f t="shared" si="17"/>
        <v>BW</v>
      </c>
      <c r="AU404" s="44" t="str">
        <f t="shared" si="2"/>
        <v>BWh</v>
      </c>
      <c r="AV404" s="38"/>
      <c r="AW404" s="38"/>
      <c r="AX404" s="38" t="s">
        <v>982</v>
      </c>
      <c r="AY404" s="38" t="s">
        <v>983</v>
      </c>
      <c r="AZ404" s="29">
        <v>30.0</v>
      </c>
      <c r="BA404" s="29">
        <v>1.0</v>
      </c>
      <c r="BB404" s="29">
        <v>1.0</v>
      </c>
      <c r="BC404" s="29"/>
      <c r="BD404" s="29" t="s">
        <v>88</v>
      </c>
      <c r="BE404" s="29" t="s">
        <v>89</v>
      </c>
      <c r="BF404" s="29" t="s">
        <v>984</v>
      </c>
      <c r="BG404" s="29" t="s">
        <v>572</v>
      </c>
      <c r="BH404" s="29" t="s">
        <v>88</v>
      </c>
      <c r="BI404" s="29" t="s">
        <v>985</v>
      </c>
      <c r="BJ404" s="29"/>
      <c r="BK404" s="29" t="s">
        <v>986</v>
      </c>
      <c r="BL404" s="29" t="s">
        <v>986</v>
      </c>
      <c r="BM404" s="45"/>
      <c r="BN404" s="45"/>
      <c r="BO404" s="46"/>
      <c r="BP404" s="2" t="s">
        <v>994</v>
      </c>
      <c r="BQ404" s="3"/>
    </row>
    <row r="405" ht="15.75" customHeight="1">
      <c r="A405" s="34">
        <v>406.0</v>
      </c>
      <c r="B405" s="34">
        <v>103509.0</v>
      </c>
      <c r="C405" s="34" t="s">
        <v>832</v>
      </c>
      <c r="D405" s="34" t="s">
        <v>972</v>
      </c>
      <c r="E405" s="34" t="s">
        <v>973</v>
      </c>
      <c r="F405" s="34">
        <v>2017.0</v>
      </c>
      <c r="G405" s="34" t="s">
        <v>974</v>
      </c>
      <c r="H405" s="34" t="s">
        <v>816</v>
      </c>
      <c r="I405" s="34" t="s">
        <v>975</v>
      </c>
      <c r="J405" s="35"/>
      <c r="K405" s="36">
        <v>-0.16</v>
      </c>
      <c r="L405" s="36"/>
      <c r="M405" s="36"/>
      <c r="N405" s="36"/>
      <c r="O405" s="36"/>
      <c r="P405" s="37">
        <v>-7.56</v>
      </c>
      <c r="Q405" s="36" t="s">
        <v>96</v>
      </c>
      <c r="R405" s="36" t="s">
        <v>96</v>
      </c>
      <c r="S405" s="36" t="s">
        <v>978</v>
      </c>
      <c r="T405" s="36" t="s">
        <v>613</v>
      </c>
      <c r="U405" s="36" t="s">
        <v>987</v>
      </c>
      <c r="V405" s="36">
        <v>9.0</v>
      </c>
      <c r="W405" s="36" t="s">
        <v>88</v>
      </c>
      <c r="X405" s="38">
        <v>1.0</v>
      </c>
      <c r="Y405" s="38" t="s">
        <v>979</v>
      </c>
      <c r="Z405" s="38" t="s">
        <v>980</v>
      </c>
      <c r="AA405" s="38" t="s">
        <v>86</v>
      </c>
      <c r="AB405" s="38">
        <v>35.51</v>
      </c>
      <c r="AC405" s="38">
        <v>119.667</v>
      </c>
      <c r="AD405" s="39" t="s">
        <v>87</v>
      </c>
      <c r="AE405" s="38">
        <v>70.0</v>
      </c>
      <c r="AF405" s="38" t="s">
        <v>981</v>
      </c>
      <c r="AG405" s="38" t="s">
        <v>303</v>
      </c>
      <c r="AH405" s="38">
        <v>9.0</v>
      </c>
      <c r="AI405" s="50">
        <v>35.51</v>
      </c>
      <c r="AJ405" s="50">
        <v>-119.667</v>
      </c>
      <c r="AK405" s="41" t="s">
        <v>86</v>
      </c>
      <c r="AL405" s="40" t="s">
        <v>86</v>
      </c>
      <c r="AM405" s="49">
        <v>108.0</v>
      </c>
      <c r="AN405" s="51">
        <v>108.0</v>
      </c>
      <c r="AO405" s="42" t="s">
        <v>355</v>
      </c>
      <c r="AP405" s="43" t="s">
        <v>355</v>
      </c>
      <c r="AQ405" s="44" t="str">
        <f t="shared" si="45"/>
        <v>CRO</v>
      </c>
      <c r="AR405" s="44">
        <f t="shared" si="3"/>
        <v>108</v>
      </c>
      <c r="AS405" s="44" t="str">
        <f t="shared" si="46"/>
        <v>B</v>
      </c>
      <c r="AT405" s="44" t="str">
        <f t="shared" si="17"/>
        <v>BW</v>
      </c>
      <c r="AU405" s="44" t="str">
        <f t="shared" si="2"/>
        <v>BWh</v>
      </c>
      <c r="AV405" s="38"/>
      <c r="AW405" s="38"/>
      <c r="AX405" s="38" t="s">
        <v>982</v>
      </c>
      <c r="AY405" s="38" t="s">
        <v>983</v>
      </c>
      <c r="AZ405" s="29">
        <v>30.0</v>
      </c>
      <c r="BA405" s="29">
        <v>1.0</v>
      </c>
      <c r="BB405" s="29">
        <v>1.0</v>
      </c>
      <c r="BC405" s="29"/>
      <c r="BD405" s="29" t="s">
        <v>88</v>
      </c>
      <c r="BE405" s="29" t="s">
        <v>89</v>
      </c>
      <c r="BF405" s="29" t="s">
        <v>984</v>
      </c>
      <c r="BG405" s="29" t="s">
        <v>572</v>
      </c>
      <c r="BH405" s="29" t="s">
        <v>88</v>
      </c>
      <c r="BI405" s="29" t="s">
        <v>985</v>
      </c>
      <c r="BJ405" s="29"/>
      <c r="BK405" s="29" t="s">
        <v>986</v>
      </c>
      <c r="BL405" s="29" t="s">
        <v>986</v>
      </c>
      <c r="BM405" s="45"/>
      <c r="BN405" s="45"/>
      <c r="BO405" s="46"/>
      <c r="BP405" s="2" t="s">
        <v>994</v>
      </c>
      <c r="BQ405" s="3"/>
    </row>
    <row r="406" ht="15.75" customHeight="1">
      <c r="A406" s="34">
        <v>407.0</v>
      </c>
      <c r="B406" s="34">
        <v>103509.0</v>
      </c>
      <c r="C406" s="34" t="s">
        <v>832</v>
      </c>
      <c r="D406" s="34" t="s">
        <v>972</v>
      </c>
      <c r="E406" s="34" t="s">
        <v>973</v>
      </c>
      <c r="F406" s="34">
        <v>2017.0</v>
      </c>
      <c r="G406" s="34" t="s">
        <v>974</v>
      </c>
      <c r="H406" s="34" t="s">
        <v>816</v>
      </c>
      <c r="I406" s="34" t="s">
        <v>975</v>
      </c>
      <c r="J406" s="35"/>
      <c r="K406" s="36">
        <v>-0.06</v>
      </c>
      <c r="L406" s="36"/>
      <c r="M406" s="36"/>
      <c r="N406" s="36"/>
      <c r="O406" s="36"/>
      <c r="P406" s="37">
        <v>-6.46</v>
      </c>
      <c r="Q406" s="36" t="s">
        <v>96</v>
      </c>
      <c r="R406" s="36" t="s">
        <v>96</v>
      </c>
      <c r="S406" s="36" t="s">
        <v>978</v>
      </c>
      <c r="T406" s="36" t="s">
        <v>988</v>
      </c>
      <c r="U406" s="36" t="s">
        <v>989</v>
      </c>
      <c r="V406" s="36">
        <v>9.0</v>
      </c>
      <c r="W406" s="36" t="s">
        <v>88</v>
      </c>
      <c r="X406" s="38">
        <v>1.0</v>
      </c>
      <c r="Y406" s="38" t="s">
        <v>979</v>
      </c>
      <c r="Z406" s="38" t="s">
        <v>980</v>
      </c>
      <c r="AA406" s="38" t="s">
        <v>86</v>
      </c>
      <c r="AB406" s="38">
        <v>35.51</v>
      </c>
      <c r="AC406" s="38">
        <v>119.667</v>
      </c>
      <c r="AD406" s="39" t="s">
        <v>87</v>
      </c>
      <c r="AE406" s="38">
        <v>70.0</v>
      </c>
      <c r="AF406" s="38" t="s">
        <v>981</v>
      </c>
      <c r="AG406" s="38" t="s">
        <v>303</v>
      </c>
      <c r="AH406" s="38">
        <v>9.0</v>
      </c>
      <c r="AI406" s="50">
        <v>35.51</v>
      </c>
      <c r="AJ406" s="50">
        <v>-119.667</v>
      </c>
      <c r="AK406" s="41" t="s">
        <v>86</v>
      </c>
      <c r="AL406" s="40" t="s">
        <v>86</v>
      </c>
      <c r="AM406" s="49">
        <v>108.0</v>
      </c>
      <c r="AN406" s="51">
        <v>108.0</v>
      </c>
      <c r="AO406" s="42" t="s">
        <v>355</v>
      </c>
      <c r="AP406" s="43" t="s">
        <v>355</v>
      </c>
      <c r="AQ406" s="44" t="str">
        <f t="shared" si="45"/>
        <v>CRO</v>
      </c>
      <c r="AR406" s="44">
        <f t="shared" si="3"/>
        <v>108</v>
      </c>
      <c r="AS406" s="44" t="str">
        <f t="shared" si="46"/>
        <v>B</v>
      </c>
      <c r="AT406" s="44" t="str">
        <f t="shared" si="17"/>
        <v>BW</v>
      </c>
      <c r="AU406" s="44" t="str">
        <f t="shared" si="2"/>
        <v>BWh</v>
      </c>
      <c r="AV406" s="38"/>
      <c r="AW406" s="38"/>
      <c r="AX406" s="38" t="s">
        <v>982</v>
      </c>
      <c r="AY406" s="38" t="s">
        <v>983</v>
      </c>
      <c r="AZ406" s="29">
        <v>30.0</v>
      </c>
      <c r="BA406" s="29">
        <v>1.0</v>
      </c>
      <c r="BB406" s="29">
        <v>1.0</v>
      </c>
      <c r="BC406" s="29"/>
      <c r="BD406" s="29" t="s">
        <v>88</v>
      </c>
      <c r="BE406" s="29" t="s">
        <v>89</v>
      </c>
      <c r="BF406" s="29" t="s">
        <v>984</v>
      </c>
      <c r="BG406" s="29" t="s">
        <v>572</v>
      </c>
      <c r="BH406" s="29" t="s">
        <v>88</v>
      </c>
      <c r="BI406" s="29" t="s">
        <v>985</v>
      </c>
      <c r="BJ406" s="29"/>
      <c r="BK406" s="29" t="s">
        <v>986</v>
      </c>
      <c r="BL406" s="29" t="s">
        <v>986</v>
      </c>
      <c r="BM406" s="45"/>
      <c r="BN406" s="45"/>
      <c r="BO406" s="46"/>
      <c r="BP406" s="2" t="s">
        <v>994</v>
      </c>
      <c r="BQ406" s="3"/>
    </row>
    <row r="407" ht="15.75" customHeight="1">
      <c r="A407" s="34">
        <v>408.0</v>
      </c>
      <c r="B407" s="34">
        <v>103509.0</v>
      </c>
      <c r="C407" s="34" t="s">
        <v>832</v>
      </c>
      <c r="D407" s="34" t="s">
        <v>972</v>
      </c>
      <c r="E407" s="34" t="s">
        <v>973</v>
      </c>
      <c r="F407" s="34">
        <v>2017.0</v>
      </c>
      <c r="G407" s="34" t="s">
        <v>974</v>
      </c>
      <c r="H407" s="34" t="s">
        <v>816</v>
      </c>
      <c r="I407" s="34" t="s">
        <v>975</v>
      </c>
      <c r="J407" s="35"/>
      <c r="K407" s="36">
        <v>0.13</v>
      </c>
      <c r="L407" s="36"/>
      <c r="M407" s="36"/>
      <c r="N407" s="36"/>
      <c r="O407" s="36"/>
      <c r="P407" s="37">
        <v>8.31</v>
      </c>
      <c r="Q407" s="36" t="s">
        <v>96</v>
      </c>
      <c r="R407" s="36" t="s">
        <v>96</v>
      </c>
      <c r="S407" s="36" t="s">
        <v>978</v>
      </c>
      <c r="T407" s="36" t="s">
        <v>990</v>
      </c>
      <c r="U407" s="36" t="s">
        <v>991</v>
      </c>
      <c r="V407" s="36">
        <v>8.0</v>
      </c>
      <c r="W407" s="36" t="s">
        <v>88</v>
      </c>
      <c r="X407" s="38">
        <v>1.0</v>
      </c>
      <c r="Y407" s="38" t="s">
        <v>979</v>
      </c>
      <c r="Z407" s="38" t="s">
        <v>980</v>
      </c>
      <c r="AA407" s="38" t="s">
        <v>86</v>
      </c>
      <c r="AB407" s="38">
        <v>35.51</v>
      </c>
      <c r="AC407" s="38">
        <v>119.667</v>
      </c>
      <c r="AD407" s="39" t="s">
        <v>87</v>
      </c>
      <c r="AE407" s="38">
        <v>70.0</v>
      </c>
      <c r="AF407" s="38" t="s">
        <v>981</v>
      </c>
      <c r="AG407" s="38" t="s">
        <v>303</v>
      </c>
      <c r="AH407" s="38">
        <v>9.0</v>
      </c>
      <c r="AI407" s="50">
        <v>35.51</v>
      </c>
      <c r="AJ407" s="50">
        <v>-119.667</v>
      </c>
      <c r="AK407" s="41" t="s">
        <v>86</v>
      </c>
      <c r="AL407" s="40" t="s">
        <v>86</v>
      </c>
      <c r="AM407" s="49">
        <v>108.0</v>
      </c>
      <c r="AN407" s="51">
        <v>108.0</v>
      </c>
      <c r="AO407" s="42" t="s">
        <v>355</v>
      </c>
      <c r="AP407" s="43" t="s">
        <v>355</v>
      </c>
      <c r="AQ407" s="44" t="str">
        <f t="shared" si="45"/>
        <v>CRO</v>
      </c>
      <c r="AR407" s="44">
        <f t="shared" si="3"/>
        <v>108</v>
      </c>
      <c r="AS407" s="44" t="str">
        <f t="shared" si="46"/>
        <v>B</v>
      </c>
      <c r="AT407" s="44" t="str">
        <f t="shared" si="17"/>
        <v>BW</v>
      </c>
      <c r="AU407" s="44" t="str">
        <f t="shared" si="2"/>
        <v>BWh</v>
      </c>
      <c r="AV407" s="38"/>
      <c r="AW407" s="38"/>
      <c r="AX407" s="38" t="s">
        <v>982</v>
      </c>
      <c r="AY407" s="38" t="s">
        <v>983</v>
      </c>
      <c r="AZ407" s="29">
        <v>30.0</v>
      </c>
      <c r="BA407" s="29">
        <v>1.0</v>
      </c>
      <c r="BB407" s="29">
        <v>1.0</v>
      </c>
      <c r="BC407" s="29"/>
      <c r="BD407" s="29" t="s">
        <v>88</v>
      </c>
      <c r="BE407" s="29" t="s">
        <v>89</v>
      </c>
      <c r="BF407" s="29" t="s">
        <v>984</v>
      </c>
      <c r="BG407" s="29" t="s">
        <v>572</v>
      </c>
      <c r="BH407" s="29" t="s">
        <v>88</v>
      </c>
      <c r="BI407" s="29" t="s">
        <v>985</v>
      </c>
      <c r="BJ407" s="29"/>
      <c r="BK407" s="29" t="s">
        <v>986</v>
      </c>
      <c r="BL407" s="29" t="s">
        <v>986</v>
      </c>
      <c r="BM407" s="45"/>
      <c r="BN407" s="45"/>
      <c r="BO407" s="46"/>
      <c r="BP407" s="2" t="s">
        <v>994</v>
      </c>
      <c r="BQ407" s="3"/>
    </row>
    <row r="408" ht="15.75" customHeight="1">
      <c r="A408" s="34">
        <v>409.0</v>
      </c>
      <c r="B408" s="34">
        <v>103509.0</v>
      </c>
      <c r="C408" s="34" t="s">
        <v>832</v>
      </c>
      <c r="D408" s="34" t="s">
        <v>972</v>
      </c>
      <c r="E408" s="34" t="s">
        <v>973</v>
      </c>
      <c r="F408" s="34">
        <v>2017.0</v>
      </c>
      <c r="G408" s="34" t="s">
        <v>974</v>
      </c>
      <c r="H408" s="34" t="s">
        <v>816</v>
      </c>
      <c r="I408" s="34" t="s">
        <v>975</v>
      </c>
      <c r="J408" s="35"/>
      <c r="K408" s="36">
        <v>0.26</v>
      </c>
      <c r="L408" s="36"/>
      <c r="M408" s="36"/>
      <c r="N408" s="36"/>
      <c r="O408" s="36"/>
      <c r="P408" s="37">
        <v>9.73</v>
      </c>
      <c r="Q408" s="36" t="s">
        <v>96</v>
      </c>
      <c r="R408" s="36" t="s">
        <v>96</v>
      </c>
      <c r="S408" s="36" t="s">
        <v>978</v>
      </c>
      <c r="T408" s="36" t="s">
        <v>242</v>
      </c>
      <c r="U408" s="36" t="s">
        <v>243</v>
      </c>
      <c r="V408" s="36">
        <v>8.0</v>
      </c>
      <c r="W408" s="36" t="s">
        <v>88</v>
      </c>
      <c r="X408" s="38">
        <v>1.0</v>
      </c>
      <c r="Y408" s="38" t="s">
        <v>979</v>
      </c>
      <c r="Z408" s="38" t="s">
        <v>980</v>
      </c>
      <c r="AA408" s="38" t="s">
        <v>86</v>
      </c>
      <c r="AB408" s="38">
        <v>35.51</v>
      </c>
      <c r="AC408" s="38">
        <v>119.667</v>
      </c>
      <c r="AD408" s="39" t="s">
        <v>87</v>
      </c>
      <c r="AE408" s="38">
        <v>70.0</v>
      </c>
      <c r="AF408" s="38" t="s">
        <v>981</v>
      </c>
      <c r="AG408" s="38" t="s">
        <v>303</v>
      </c>
      <c r="AH408" s="38">
        <v>9.0</v>
      </c>
      <c r="AI408" s="50">
        <v>35.51</v>
      </c>
      <c r="AJ408" s="50">
        <v>-119.667</v>
      </c>
      <c r="AK408" s="41" t="s">
        <v>86</v>
      </c>
      <c r="AL408" s="40" t="s">
        <v>86</v>
      </c>
      <c r="AM408" s="49">
        <v>108.0</v>
      </c>
      <c r="AN408" s="51">
        <v>108.0</v>
      </c>
      <c r="AO408" s="42" t="s">
        <v>355</v>
      </c>
      <c r="AP408" s="43" t="s">
        <v>355</v>
      </c>
      <c r="AQ408" s="44" t="str">
        <f t="shared" si="45"/>
        <v>CRO</v>
      </c>
      <c r="AR408" s="44">
        <f t="shared" si="3"/>
        <v>108</v>
      </c>
      <c r="AS408" s="44" t="str">
        <f t="shared" si="46"/>
        <v>B</v>
      </c>
      <c r="AT408" s="44" t="str">
        <f t="shared" si="17"/>
        <v>BW</v>
      </c>
      <c r="AU408" s="44" t="str">
        <f t="shared" si="2"/>
        <v>BWh</v>
      </c>
      <c r="AV408" s="38"/>
      <c r="AW408" s="38"/>
      <c r="AX408" s="38" t="s">
        <v>982</v>
      </c>
      <c r="AY408" s="38" t="s">
        <v>983</v>
      </c>
      <c r="AZ408" s="29">
        <v>30.0</v>
      </c>
      <c r="BA408" s="29">
        <v>1.0</v>
      </c>
      <c r="BB408" s="29">
        <v>1.0</v>
      </c>
      <c r="BC408" s="29"/>
      <c r="BD408" s="29" t="s">
        <v>88</v>
      </c>
      <c r="BE408" s="29" t="s">
        <v>89</v>
      </c>
      <c r="BF408" s="29" t="s">
        <v>984</v>
      </c>
      <c r="BG408" s="29" t="s">
        <v>572</v>
      </c>
      <c r="BH408" s="29" t="s">
        <v>88</v>
      </c>
      <c r="BI408" s="29" t="s">
        <v>985</v>
      </c>
      <c r="BJ408" s="29"/>
      <c r="BK408" s="29" t="s">
        <v>986</v>
      </c>
      <c r="BL408" s="29" t="s">
        <v>986</v>
      </c>
      <c r="BM408" s="45"/>
      <c r="BN408" s="45"/>
      <c r="BO408" s="46"/>
      <c r="BP408" s="2" t="s">
        <v>994</v>
      </c>
      <c r="BQ408" s="3"/>
    </row>
    <row r="409" ht="15.75" customHeight="1">
      <c r="A409" s="34">
        <v>410.0</v>
      </c>
      <c r="B409" s="34">
        <v>103509.0</v>
      </c>
      <c r="C409" s="34" t="s">
        <v>832</v>
      </c>
      <c r="D409" s="34" t="s">
        <v>972</v>
      </c>
      <c r="E409" s="34" t="s">
        <v>973</v>
      </c>
      <c r="F409" s="34">
        <v>2017.0</v>
      </c>
      <c r="G409" s="34" t="s">
        <v>974</v>
      </c>
      <c r="H409" s="34" t="s">
        <v>816</v>
      </c>
      <c r="I409" s="34" t="s">
        <v>975</v>
      </c>
      <c r="J409" s="35"/>
      <c r="K409" s="36">
        <v>0.03</v>
      </c>
      <c r="L409" s="36"/>
      <c r="M409" s="36"/>
      <c r="N409" s="36"/>
      <c r="O409" s="36"/>
      <c r="P409" s="37">
        <v>7.96</v>
      </c>
      <c r="Q409" s="36" t="s">
        <v>96</v>
      </c>
      <c r="R409" s="36" t="s">
        <v>96</v>
      </c>
      <c r="S409" s="36" t="s">
        <v>978</v>
      </c>
      <c r="T409" s="36" t="s">
        <v>613</v>
      </c>
      <c r="U409" s="36" t="s">
        <v>987</v>
      </c>
      <c r="V409" s="36">
        <v>34.0</v>
      </c>
      <c r="W409" s="36" t="s">
        <v>88</v>
      </c>
      <c r="X409" s="38">
        <v>1.0</v>
      </c>
      <c r="Y409" s="38" t="s">
        <v>979</v>
      </c>
      <c r="Z409" s="38" t="s">
        <v>980</v>
      </c>
      <c r="AA409" s="38" t="s">
        <v>86</v>
      </c>
      <c r="AB409" s="38">
        <v>35.51</v>
      </c>
      <c r="AC409" s="38">
        <v>119.667</v>
      </c>
      <c r="AD409" s="39" t="s">
        <v>87</v>
      </c>
      <c r="AE409" s="38">
        <v>70.0</v>
      </c>
      <c r="AF409" s="38" t="s">
        <v>981</v>
      </c>
      <c r="AG409" s="38" t="s">
        <v>303</v>
      </c>
      <c r="AH409" s="38">
        <v>9.0</v>
      </c>
      <c r="AI409" s="50">
        <v>35.51</v>
      </c>
      <c r="AJ409" s="50">
        <v>-119.667</v>
      </c>
      <c r="AK409" s="41" t="s">
        <v>86</v>
      </c>
      <c r="AL409" s="40" t="s">
        <v>86</v>
      </c>
      <c r="AM409" s="49">
        <v>108.0</v>
      </c>
      <c r="AN409" s="51">
        <v>108.0</v>
      </c>
      <c r="AO409" s="42" t="s">
        <v>355</v>
      </c>
      <c r="AP409" s="43" t="s">
        <v>355</v>
      </c>
      <c r="AQ409" s="44" t="str">
        <f t="shared" si="45"/>
        <v>CRO</v>
      </c>
      <c r="AR409" s="44">
        <f t="shared" si="3"/>
        <v>108</v>
      </c>
      <c r="AS409" s="44" t="str">
        <f t="shared" si="46"/>
        <v>B</v>
      </c>
      <c r="AT409" s="44" t="str">
        <f t="shared" si="17"/>
        <v>BW</v>
      </c>
      <c r="AU409" s="44" t="str">
        <f t="shared" si="2"/>
        <v>BWh</v>
      </c>
      <c r="AV409" s="38"/>
      <c r="AW409" s="38"/>
      <c r="AX409" s="38" t="s">
        <v>982</v>
      </c>
      <c r="AY409" s="38" t="s">
        <v>983</v>
      </c>
      <c r="AZ409" s="29">
        <v>30.0</v>
      </c>
      <c r="BA409" s="29">
        <v>1.0</v>
      </c>
      <c r="BB409" s="29">
        <v>1.0</v>
      </c>
      <c r="BC409" s="29"/>
      <c r="BD409" s="29" t="s">
        <v>88</v>
      </c>
      <c r="BE409" s="29" t="s">
        <v>89</v>
      </c>
      <c r="BF409" s="29" t="s">
        <v>984</v>
      </c>
      <c r="BG409" s="29" t="s">
        <v>572</v>
      </c>
      <c r="BH409" s="29" t="s">
        <v>88</v>
      </c>
      <c r="BI409" s="29" t="s">
        <v>985</v>
      </c>
      <c r="BJ409" s="29"/>
      <c r="BK409" s="29" t="s">
        <v>986</v>
      </c>
      <c r="BL409" s="29" t="s">
        <v>986</v>
      </c>
      <c r="BM409" s="45"/>
      <c r="BN409" s="45"/>
      <c r="BO409" s="46"/>
      <c r="BP409" s="2" t="s">
        <v>994</v>
      </c>
      <c r="BQ409" s="3"/>
    </row>
    <row r="410" ht="15.75" customHeight="1">
      <c r="A410" s="34">
        <v>411.0</v>
      </c>
      <c r="B410" s="34">
        <v>103509.0</v>
      </c>
      <c r="C410" s="34" t="s">
        <v>832</v>
      </c>
      <c r="D410" s="34" t="s">
        <v>972</v>
      </c>
      <c r="E410" s="34" t="s">
        <v>973</v>
      </c>
      <c r="F410" s="34">
        <v>2017.0</v>
      </c>
      <c r="G410" s="34" t="s">
        <v>974</v>
      </c>
      <c r="H410" s="34" t="s">
        <v>816</v>
      </c>
      <c r="I410" s="34" t="s">
        <v>975</v>
      </c>
      <c r="J410" s="35"/>
      <c r="K410" s="36">
        <v>-0.28</v>
      </c>
      <c r="L410" s="36"/>
      <c r="M410" s="36"/>
      <c r="N410" s="36"/>
      <c r="O410" s="36"/>
      <c r="P410" s="37">
        <v>-7.09</v>
      </c>
      <c r="Q410" s="36" t="s">
        <v>96</v>
      </c>
      <c r="R410" s="36" t="s">
        <v>96</v>
      </c>
      <c r="S410" s="36" t="s">
        <v>978</v>
      </c>
      <c r="T410" s="36" t="s">
        <v>613</v>
      </c>
      <c r="U410" s="36" t="s">
        <v>987</v>
      </c>
      <c r="V410" s="36">
        <v>183.0</v>
      </c>
      <c r="W410" s="36" t="s">
        <v>88</v>
      </c>
      <c r="X410" s="38">
        <v>1.0</v>
      </c>
      <c r="Y410" s="38" t="s">
        <v>979</v>
      </c>
      <c r="Z410" s="38" t="s">
        <v>980</v>
      </c>
      <c r="AA410" s="38" t="s">
        <v>86</v>
      </c>
      <c r="AB410" s="38">
        <v>35.51</v>
      </c>
      <c r="AC410" s="38">
        <v>119.667</v>
      </c>
      <c r="AD410" s="39" t="s">
        <v>87</v>
      </c>
      <c r="AE410" s="38">
        <v>70.0</v>
      </c>
      <c r="AF410" s="38" t="s">
        <v>981</v>
      </c>
      <c r="AG410" s="38" t="s">
        <v>303</v>
      </c>
      <c r="AH410" s="38">
        <v>9.0</v>
      </c>
      <c r="AI410" s="50">
        <v>35.51</v>
      </c>
      <c r="AJ410" s="50">
        <v>-119.667</v>
      </c>
      <c r="AK410" s="41" t="s">
        <v>86</v>
      </c>
      <c r="AL410" s="40" t="s">
        <v>86</v>
      </c>
      <c r="AM410" s="49">
        <v>108.0</v>
      </c>
      <c r="AN410" s="51">
        <v>108.0</v>
      </c>
      <c r="AO410" s="42" t="s">
        <v>355</v>
      </c>
      <c r="AP410" s="43" t="s">
        <v>355</v>
      </c>
      <c r="AQ410" s="44" t="str">
        <f t="shared" si="45"/>
        <v>CRO</v>
      </c>
      <c r="AR410" s="44">
        <f t="shared" si="3"/>
        <v>108</v>
      </c>
      <c r="AS410" s="44" t="str">
        <f t="shared" si="46"/>
        <v>B</v>
      </c>
      <c r="AT410" s="44" t="str">
        <f t="shared" si="17"/>
        <v>BW</v>
      </c>
      <c r="AU410" s="44" t="str">
        <f t="shared" si="2"/>
        <v>BWh</v>
      </c>
      <c r="AV410" s="38"/>
      <c r="AW410" s="38"/>
      <c r="AX410" s="38" t="s">
        <v>982</v>
      </c>
      <c r="AY410" s="38" t="s">
        <v>983</v>
      </c>
      <c r="AZ410" s="29">
        <v>30.0</v>
      </c>
      <c r="BA410" s="29">
        <v>1.0</v>
      </c>
      <c r="BB410" s="29">
        <v>1.0</v>
      </c>
      <c r="BC410" s="29"/>
      <c r="BD410" s="29" t="s">
        <v>88</v>
      </c>
      <c r="BE410" s="29" t="s">
        <v>89</v>
      </c>
      <c r="BF410" s="29" t="s">
        <v>984</v>
      </c>
      <c r="BG410" s="29" t="s">
        <v>572</v>
      </c>
      <c r="BH410" s="29" t="s">
        <v>88</v>
      </c>
      <c r="BI410" s="29" t="s">
        <v>985</v>
      </c>
      <c r="BJ410" s="29"/>
      <c r="BK410" s="29" t="s">
        <v>986</v>
      </c>
      <c r="BL410" s="29" t="s">
        <v>986</v>
      </c>
      <c r="BM410" s="45"/>
      <c r="BN410" s="45"/>
      <c r="BO410" s="46"/>
      <c r="BP410" s="2" t="s">
        <v>994</v>
      </c>
      <c r="BQ410" s="3"/>
    </row>
    <row r="411" ht="15.75" customHeight="1">
      <c r="A411" s="34">
        <v>412.0</v>
      </c>
      <c r="B411" s="34">
        <v>103509.0</v>
      </c>
      <c r="C411" s="34" t="s">
        <v>832</v>
      </c>
      <c r="D411" s="34" t="s">
        <v>972</v>
      </c>
      <c r="E411" s="34" t="s">
        <v>973</v>
      </c>
      <c r="F411" s="34">
        <v>2017.0</v>
      </c>
      <c r="G411" s="34" t="s">
        <v>974</v>
      </c>
      <c r="H411" s="34" t="s">
        <v>816</v>
      </c>
      <c r="I411" s="34" t="s">
        <v>975</v>
      </c>
      <c r="J411" s="35"/>
      <c r="K411" s="36">
        <v>-0.06</v>
      </c>
      <c r="L411" s="36"/>
      <c r="M411" s="36"/>
      <c r="N411" s="36"/>
      <c r="O411" s="36"/>
      <c r="P411" s="37">
        <v>-8.27</v>
      </c>
      <c r="Q411" s="36" t="s">
        <v>96</v>
      </c>
      <c r="R411" s="36" t="s">
        <v>96</v>
      </c>
      <c r="S411" s="36" t="s">
        <v>978</v>
      </c>
      <c r="T411" s="36" t="s">
        <v>988</v>
      </c>
      <c r="U411" s="36" t="s">
        <v>989</v>
      </c>
      <c r="V411" s="36">
        <v>183.0</v>
      </c>
      <c r="W411" s="36" t="s">
        <v>88</v>
      </c>
      <c r="X411" s="38">
        <v>1.0</v>
      </c>
      <c r="Y411" s="38" t="s">
        <v>979</v>
      </c>
      <c r="Z411" s="38" t="s">
        <v>980</v>
      </c>
      <c r="AA411" s="38" t="s">
        <v>86</v>
      </c>
      <c r="AB411" s="38">
        <v>35.51</v>
      </c>
      <c r="AC411" s="38">
        <v>119.667</v>
      </c>
      <c r="AD411" s="39" t="s">
        <v>87</v>
      </c>
      <c r="AE411" s="38">
        <v>70.0</v>
      </c>
      <c r="AF411" s="38" t="s">
        <v>981</v>
      </c>
      <c r="AG411" s="38" t="s">
        <v>303</v>
      </c>
      <c r="AH411" s="38">
        <v>9.0</v>
      </c>
      <c r="AI411" s="50">
        <v>35.51</v>
      </c>
      <c r="AJ411" s="50">
        <v>-119.667</v>
      </c>
      <c r="AK411" s="41" t="s">
        <v>86</v>
      </c>
      <c r="AL411" s="40" t="s">
        <v>86</v>
      </c>
      <c r="AM411" s="49">
        <v>108.0</v>
      </c>
      <c r="AN411" s="51">
        <v>108.0</v>
      </c>
      <c r="AO411" s="42" t="s">
        <v>355</v>
      </c>
      <c r="AP411" s="43" t="s">
        <v>355</v>
      </c>
      <c r="AQ411" s="44" t="str">
        <f t="shared" si="45"/>
        <v>CRO</v>
      </c>
      <c r="AR411" s="44">
        <f t="shared" si="3"/>
        <v>108</v>
      </c>
      <c r="AS411" s="44" t="str">
        <f t="shared" si="46"/>
        <v>B</v>
      </c>
      <c r="AT411" s="44" t="str">
        <f t="shared" si="17"/>
        <v>BW</v>
      </c>
      <c r="AU411" s="44" t="str">
        <f t="shared" si="2"/>
        <v>BWh</v>
      </c>
      <c r="AV411" s="38"/>
      <c r="AW411" s="38"/>
      <c r="AX411" s="38" t="s">
        <v>982</v>
      </c>
      <c r="AY411" s="38" t="s">
        <v>983</v>
      </c>
      <c r="AZ411" s="29">
        <v>30.0</v>
      </c>
      <c r="BA411" s="29">
        <v>1.0</v>
      </c>
      <c r="BB411" s="29">
        <v>1.0</v>
      </c>
      <c r="BC411" s="29"/>
      <c r="BD411" s="29" t="s">
        <v>88</v>
      </c>
      <c r="BE411" s="29" t="s">
        <v>89</v>
      </c>
      <c r="BF411" s="29" t="s">
        <v>984</v>
      </c>
      <c r="BG411" s="29" t="s">
        <v>572</v>
      </c>
      <c r="BH411" s="29" t="s">
        <v>88</v>
      </c>
      <c r="BI411" s="29" t="s">
        <v>985</v>
      </c>
      <c r="BJ411" s="29"/>
      <c r="BK411" s="29" t="s">
        <v>986</v>
      </c>
      <c r="BL411" s="29" t="s">
        <v>986</v>
      </c>
      <c r="BM411" s="45"/>
      <c r="BN411" s="45"/>
      <c r="BO411" s="46"/>
      <c r="BP411" s="2" t="s">
        <v>994</v>
      </c>
      <c r="BQ411" s="3"/>
    </row>
    <row r="412" ht="15.75" customHeight="1">
      <c r="A412" s="34">
        <v>413.0</v>
      </c>
      <c r="B412" s="34">
        <v>103509.0</v>
      </c>
      <c r="C412" s="34" t="s">
        <v>832</v>
      </c>
      <c r="D412" s="34" t="s">
        <v>972</v>
      </c>
      <c r="E412" s="34" t="s">
        <v>973</v>
      </c>
      <c r="F412" s="34">
        <v>2017.0</v>
      </c>
      <c r="G412" s="34" t="s">
        <v>974</v>
      </c>
      <c r="H412" s="34" t="s">
        <v>816</v>
      </c>
      <c r="I412" s="34" t="s">
        <v>975</v>
      </c>
      <c r="J412" s="35"/>
      <c r="K412" s="36">
        <v>0.12</v>
      </c>
      <c r="L412" s="36"/>
      <c r="M412" s="36"/>
      <c r="N412" s="36"/>
      <c r="O412" s="36"/>
      <c r="P412" s="37">
        <v>8.32</v>
      </c>
      <c r="Q412" s="36" t="s">
        <v>96</v>
      </c>
      <c r="R412" s="36" t="s">
        <v>96</v>
      </c>
      <c r="S412" s="36" t="s">
        <v>978</v>
      </c>
      <c r="T412" s="36" t="s">
        <v>990</v>
      </c>
      <c r="U412" s="36" t="s">
        <v>991</v>
      </c>
      <c r="V412" s="36">
        <v>183.0</v>
      </c>
      <c r="W412" s="36" t="s">
        <v>88</v>
      </c>
      <c r="X412" s="38">
        <v>1.0</v>
      </c>
      <c r="Y412" s="38" t="s">
        <v>979</v>
      </c>
      <c r="Z412" s="38" t="s">
        <v>980</v>
      </c>
      <c r="AA412" s="38" t="s">
        <v>86</v>
      </c>
      <c r="AB412" s="38">
        <v>35.51</v>
      </c>
      <c r="AC412" s="38">
        <v>119.667</v>
      </c>
      <c r="AD412" s="39" t="s">
        <v>87</v>
      </c>
      <c r="AE412" s="38">
        <v>70.0</v>
      </c>
      <c r="AF412" s="38" t="s">
        <v>981</v>
      </c>
      <c r="AG412" s="38" t="s">
        <v>303</v>
      </c>
      <c r="AH412" s="38">
        <v>9.0</v>
      </c>
      <c r="AI412" s="50">
        <v>35.51</v>
      </c>
      <c r="AJ412" s="50">
        <v>-119.667</v>
      </c>
      <c r="AK412" s="41" t="s">
        <v>86</v>
      </c>
      <c r="AL412" s="40" t="s">
        <v>86</v>
      </c>
      <c r="AM412" s="49">
        <v>108.0</v>
      </c>
      <c r="AN412" s="51">
        <v>108.0</v>
      </c>
      <c r="AO412" s="42" t="s">
        <v>355</v>
      </c>
      <c r="AP412" s="43" t="s">
        <v>355</v>
      </c>
      <c r="AQ412" s="44" t="str">
        <f t="shared" si="45"/>
        <v>CRO</v>
      </c>
      <c r="AR412" s="44">
        <f t="shared" si="3"/>
        <v>108</v>
      </c>
      <c r="AS412" s="44" t="str">
        <f t="shared" si="46"/>
        <v>B</v>
      </c>
      <c r="AT412" s="44" t="str">
        <f t="shared" si="17"/>
        <v>BW</v>
      </c>
      <c r="AU412" s="44" t="str">
        <f t="shared" si="2"/>
        <v>BWh</v>
      </c>
      <c r="AV412" s="38"/>
      <c r="AW412" s="38"/>
      <c r="AX412" s="38" t="s">
        <v>982</v>
      </c>
      <c r="AY412" s="38" t="s">
        <v>983</v>
      </c>
      <c r="AZ412" s="29">
        <v>30.0</v>
      </c>
      <c r="BA412" s="29">
        <v>1.0</v>
      </c>
      <c r="BB412" s="29">
        <v>1.0</v>
      </c>
      <c r="BC412" s="29"/>
      <c r="BD412" s="29" t="s">
        <v>88</v>
      </c>
      <c r="BE412" s="29" t="s">
        <v>89</v>
      </c>
      <c r="BF412" s="29" t="s">
        <v>984</v>
      </c>
      <c r="BG412" s="29" t="s">
        <v>572</v>
      </c>
      <c r="BH412" s="29" t="s">
        <v>88</v>
      </c>
      <c r="BI412" s="29" t="s">
        <v>985</v>
      </c>
      <c r="BJ412" s="29"/>
      <c r="BK412" s="29" t="s">
        <v>986</v>
      </c>
      <c r="BL412" s="29" t="s">
        <v>986</v>
      </c>
      <c r="BM412" s="45"/>
      <c r="BN412" s="45"/>
      <c r="BO412" s="46"/>
      <c r="BP412" s="2" t="s">
        <v>682</v>
      </c>
      <c r="BQ412" s="3"/>
    </row>
    <row r="413" ht="15.75" customHeight="1">
      <c r="A413" s="34">
        <v>414.0</v>
      </c>
      <c r="B413" s="34">
        <v>103509.0</v>
      </c>
      <c r="C413" s="34" t="s">
        <v>832</v>
      </c>
      <c r="D413" s="34" t="s">
        <v>972</v>
      </c>
      <c r="E413" s="34" t="s">
        <v>973</v>
      </c>
      <c r="F413" s="34">
        <v>2017.0</v>
      </c>
      <c r="G413" s="34" t="s">
        <v>974</v>
      </c>
      <c r="H413" s="34" t="s">
        <v>816</v>
      </c>
      <c r="I413" s="34" t="s">
        <v>975</v>
      </c>
      <c r="J413" s="35"/>
      <c r="K413" s="36">
        <v>0.04</v>
      </c>
      <c r="L413" s="36"/>
      <c r="M413" s="36"/>
      <c r="N413" s="36"/>
      <c r="O413" s="36"/>
      <c r="P413" s="37">
        <v>8.31</v>
      </c>
      <c r="Q413" s="36" t="s">
        <v>96</v>
      </c>
      <c r="R413" s="36" t="s">
        <v>96</v>
      </c>
      <c r="S413" s="36" t="s">
        <v>978</v>
      </c>
      <c r="T413" s="36" t="s">
        <v>242</v>
      </c>
      <c r="U413" s="36" t="s">
        <v>243</v>
      </c>
      <c r="V413" s="36">
        <v>183.0</v>
      </c>
      <c r="W413" s="36" t="s">
        <v>88</v>
      </c>
      <c r="X413" s="38">
        <v>1.0</v>
      </c>
      <c r="Y413" s="38" t="s">
        <v>979</v>
      </c>
      <c r="Z413" s="38" t="s">
        <v>980</v>
      </c>
      <c r="AA413" s="38" t="s">
        <v>86</v>
      </c>
      <c r="AB413" s="38">
        <v>35.51</v>
      </c>
      <c r="AC413" s="38">
        <v>119.667</v>
      </c>
      <c r="AD413" s="39" t="s">
        <v>87</v>
      </c>
      <c r="AE413" s="38">
        <v>70.0</v>
      </c>
      <c r="AF413" s="38" t="s">
        <v>981</v>
      </c>
      <c r="AG413" s="38" t="s">
        <v>303</v>
      </c>
      <c r="AH413" s="38">
        <v>9.0</v>
      </c>
      <c r="AI413" s="50">
        <v>35.51</v>
      </c>
      <c r="AJ413" s="50">
        <v>-119.667</v>
      </c>
      <c r="AK413" s="41" t="s">
        <v>86</v>
      </c>
      <c r="AL413" s="40" t="s">
        <v>86</v>
      </c>
      <c r="AM413" s="49">
        <v>108.0</v>
      </c>
      <c r="AN413" s="51">
        <v>108.0</v>
      </c>
      <c r="AO413" s="42" t="s">
        <v>355</v>
      </c>
      <c r="AP413" s="43" t="s">
        <v>355</v>
      </c>
      <c r="AQ413" s="44" t="str">
        <f t="shared" si="45"/>
        <v>CRO</v>
      </c>
      <c r="AR413" s="44">
        <f t="shared" si="3"/>
        <v>108</v>
      </c>
      <c r="AS413" s="44" t="str">
        <f t="shared" si="46"/>
        <v>B</v>
      </c>
      <c r="AT413" s="44" t="str">
        <f t="shared" si="17"/>
        <v>BW</v>
      </c>
      <c r="AU413" s="44" t="str">
        <f t="shared" si="2"/>
        <v>BWh</v>
      </c>
      <c r="AV413" s="38"/>
      <c r="AW413" s="38"/>
      <c r="AX413" s="38" t="s">
        <v>982</v>
      </c>
      <c r="AY413" s="38" t="s">
        <v>983</v>
      </c>
      <c r="AZ413" s="29">
        <v>30.0</v>
      </c>
      <c r="BA413" s="29">
        <v>1.0</v>
      </c>
      <c r="BB413" s="29">
        <v>1.0</v>
      </c>
      <c r="BC413" s="29"/>
      <c r="BD413" s="29" t="s">
        <v>88</v>
      </c>
      <c r="BE413" s="29" t="s">
        <v>89</v>
      </c>
      <c r="BF413" s="29" t="s">
        <v>984</v>
      </c>
      <c r="BG413" s="29" t="s">
        <v>572</v>
      </c>
      <c r="BH413" s="29" t="s">
        <v>88</v>
      </c>
      <c r="BI413" s="29" t="s">
        <v>985</v>
      </c>
      <c r="BJ413" s="29"/>
      <c r="BK413" s="29" t="s">
        <v>986</v>
      </c>
      <c r="BL413" s="29" t="s">
        <v>986</v>
      </c>
      <c r="BM413" s="45"/>
      <c r="BN413" s="45"/>
      <c r="BO413" s="46"/>
      <c r="BP413" s="2"/>
      <c r="BQ413" s="3"/>
    </row>
    <row r="414" ht="15.75" customHeight="1">
      <c r="A414" s="34">
        <v>415.0</v>
      </c>
      <c r="B414" s="34">
        <v>103509.0</v>
      </c>
      <c r="C414" s="34" t="s">
        <v>832</v>
      </c>
      <c r="D414" s="34" t="s">
        <v>972</v>
      </c>
      <c r="E414" s="34" t="s">
        <v>973</v>
      </c>
      <c r="F414" s="34">
        <v>2017.0</v>
      </c>
      <c r="G414" s="34" t="s">
        <v>974</v>
      </c>
      <c r="H414" s="34" t="s">
        <v>816</v>
      </c>
      <c r="I414" s="34" t="s">
        <v>975</v>
      </c>
      <c r="J414" s="35"/>
      <c r="K414" s="36">
        <v>-0.05</v>
      </c>
      <c r="L414" s="36"/>
      <c r="M414" s="36"/>
      <c r="N414" s="36"/>
      <c r="O414" s="36"/>
      <c r="P414" s="37">
        <v>-8.0</v>
      </c>
      <c r="Q414" s="36" t="s">
        <v>96</v>
      </c>
      <c r="R414" s="36" t="s">
        <v>96</v>
      </c>
      <c r="S414" s="36" t="s">
        <v>978</v>
      </c>
      <c r="T414" s="36" t="s">
        <v>613</v>
      </c>
      <c r="U414" s="36" t="s">
        <v>993</v>
      </c>
      <c r="V414" s="36">
        <v>732.0</v>
      </c>
      <c r="W414" s="36" t="s">
        <v>88</v>
      </c>
      <c r="X414" s="38">
        <v>1.0</v>
      </c>
      <c r="Y414" s="38" t="s">
        <v>979</v>
      </c>
      <c r="Z414" s="38" t="s">
        <v>980</v>
      </c>
      <c r="AA414" s="38" t="s">
        <v>86</v>
      </c>
      <c r="AB414" s="38">
        <v>35.51</v>
      </c>
      <c r="AC414" s="38">
        <v>119.667</v>
      </c>
      <c r="AD414" s="39" t="s">
        <v>87</v>
      </c>
      <c r="AE414" s="38">
        <v>70.0</v>
      </c>
      <c r="AF414" s="38" t="s">
        <v>981</v>
      </c>
      <c r="AG414" s="38" t="s">
        <v>303</v>
      </c>
      <c r="AH414" s="38">
        <v>9.0</v>
      </c>
      <c r="AI414" s="50">
        <v>35.51</v>
      </c>
      <c r="AJ414" s="50">
        <v>-119.667</v>
      </c>
      <c r="AK414" s="41" t="s">
        <v>86</v>
      </c>
      <c r="AL414" s="40" t="s">
        <v>86</v>
      </c>
      <c r="AM414" s="49">
        <v>108.0</v>
      </c>
      <c r="AN414" s="51">
        <v>108.0</v>
      </c>
      <c r="AO414" s="42" t="s">
        <v>355</v>
      </c>
      <c r="AP414" s="43" t="s">
        <v>355</v>
      </c>
      <c r="AQ414" s="44" t="str">
        <f t="shared" si="45"/>
        <v>CRO</v>
      </c>
      <c r="AR414" s="44">
        <f t="shared" si="3"/>
        <v>108</v>
      </c>
      <c r="AS414" s="44" t="str">
        <f t="shared" si="46"/>
        <v>B</v>
      </c>
      <c r="AT414" s="44" t="str">
        <f t="shared" si="17"/>
        <v>BW</v>
      </c>
      <c r="AU414" s="44" t="str">
        <f t="shared" si="2"/>
        <v>BWh</v>
      </c>
      <c r="AV414" s="38"/>
      <c r="AW414" s="38"/>
      <c r="AX414" s="38" t="s">
        <v>982</v>
      </c>
      <c r="AY414" s="38" t="s">
        <v>983</v>
      </c>
      <c r="AZ414" s="29">
        <v>30.0</v>
      </c>
      <c r="BA414" s="29">
        <v>1.0</v>
      </c>
      <c r="BB414" s="29">
        <v>1.0</v>
      </c>
      <c r="BC414" s="29"/>
      <c r="BD414" s="29" t="s">
        <v>88</v>
      </c>
      <c r="BE414" s="29" t="s">
        <v>89</v>
      </c>
      <c r="BF414" s="29" t="s">
        <v>984</v>
      </c>
      <c r="BG414" s="29" t="s">
        <v>572</v>
      </c>
      <c r="BH414" s="29" t="s">
        <v>88</v>
      </c>
      <c r="BI414" s="29" t="s">
        <v>985</v>
      </c>
      <c r="BJ414" s="29"/>
      <c r="BK414" s="29" t="s">
        <v>986</v>
      </c>
      <c r="BL414" s="29" t="s">
        <v>986</v>
      </c>
      <c r="BM414" s="45"/>
      <c r="BN414" s="45"/>
      <c r="BO414" s="46"/>
      <c r="BP414" s="2"/>
      <c r="BQ414" s="3"/>
    </row>
    <row r="415" ht="15.75" customHeight="1">
      <c r="A415" s="34">
        <v>416.0</v>
      </c>
      <c r="B415" s="34">
        <v>102486.0</v>
      </c>
      <c r="C415" s="34" t="s">
        <v>832</v>
      </c>
      <c r="D415" s="34" t="s">
        <v>995</v>
      </c>
      <c r="E415" s="34" t="s">
        <v>996</v>
      </c>
      <c r="F415" s="34">
        <v>2020.0</v>
      </c>
      <c r="G415" s="34" t="s">
        <v>997</v>
      </c>
      <c r="H415" s="34" t="s">
        <v>998</v>
      </c>
      <c r="I415" s="34" t="s">
        <v>999</v>
      </c>
      <c r="J415" s="35"/>
      <c r="K415" s="36">
        <v>26.5</v>
      </c>
      <c r="L415" s="36">
        <v>63.2</v>
      </c>
      <c r="M415" s="36"/>
      <c r="N415" s="36"/>
      <c r="O415" s="36"/>
      <c r="P415" s="37">
        <v>42.0</v>
      </c>
      <c r="Q415" s="36" t="s">
        <v>191</v>
      </c>
      <c r="R415" s="36" t="s">
        <v>191</v>
      </c>
      <c r="S415" s="36">
        <v>1000.0</v>
      </c>
      <c r="T415" s="36" t="s">
        <v>193</v>
      </c>
      <c r="U415" s="36" t="s">
        <v>246</v>
      </c>
      <c r="V415" s="36"/>
      <c r="W415" s="36" t="s">
        <v>838</v>
      </c>
      <c r="X415" s="38">
        <v>1.0</v>
      </c>
      <c r="Y415" s="38" t="s">
        <v>1000</v>
      </c>
      <c r="Z415" s="38" t="s">
        <v>1001</v>
      </c>
      <c r="AA415" s="38" t="s">
        <v>288</v>
      </c>
      <c r="AB415" s="38">
        <v>-14.0633</v>
      </c>
      <c r="AC415" s="38">
        <v>131.3181</v>
      </c>
      <c r="AD415" s="38" t="s">
        <v>340</v>
      </c>
      <c r="AE415" s="38">
        <v>73.0</v>
      </c>
      <c r="AF415" s="38"/>
      <c r="AG415" s="38"/>
      <c r="AH415" s="38"/>
      <c r="AI415" s="50">
        <v>-14.0633</v>
      </c>
      <c r="AJ415" s="50">
        <v>131.3181</v>
      </c>
      <c r="AK415" s="41" t="s">
        <v>86</v>
      </c>
      <c r="AL415" s="40" t="s">
        <v>86</v>
      </c>
      <c r="AM415" s="49">
        <v>70.0</v>
      </c>
      <c r="AN415" s="51">
        <v>70.0</v>
      </c>
      <c r="AO415" s="42" t="s">
        <v>335</v>
      </c>
      <c r="AP415" s="43" t="s">
        <v>335</v>
      </c>
      <c r="AQ415" s="44" t="str">
        <f t="shared" si="45"/>
        <v>GRA</v>
      </c>
      <c r="AR415" s="44">
        <f t="shared" si="3"/>
        <v>70</v>
      </c>
      <c r="AS415" s="44" t="str">
        <f t="shared" si="46"/>
        <v>A</v>
      </c>
      <c r="AT415" s="44" t="str">
        <f t="shared" si="17"/>
        <v>Aw</v>
      </c>
      <c r="AU415" s="44" t="str">
        <f t="shared" si="2"/>
        <v>Aw</v>
      </c>
      <c r="AV415" s="38">
        <v>2.0</v>
      </c>
      <c r="AW415" s="38"/>
      <c r="AX415" s="38"/>
      <c r="AY415" s="38"/>
      <c r="AZ415" s="29">
        <v>1000.0</v>
      </c>
      <c r="BA415" s="29">
        <v>1.0</v>
      </c>
      <c r="BB415" s="29">
        <v>1.0</v>
      </c>
      <c r="BC415" s="29" t="s">
        <v>802</v>
      </c>
      <c r="BD415" s="29" t="s">
        <v>88</v>
      </c>
      <c r="BE415" s="29" t="s">
        <v>89</v>
      </c>
      <c r="BF415" s="29" t="s">
        <v>802</v>
      </c>
      <c r="BG415" s="29" t="s">
        <v>572</v>
      </c>
      <c r="BH415" s="29" t="s">
        <v>92</v>
      </c>
      <c r="BI415" s="29" t="s">
        <v>1002</v>
      </c>
      <c r="BJ415" s="29" t="s">
        <v>1003</v>
      </c>
      <c r="BK415" s="29" t="s">
        <v>1004</v>
      </c>
      <c r="BL415" s="29" t="s">
        <v>1004</v>
      </c>
      <c r="BM415" s="45">
        <v>1.0</v>
      </c>
      <c r="BN415" s="45">
        <v>1.0</v>
      </c>
      <c r="BO415" s="46" t="s">
        <v>802</v>
      </c>
      <c r="BP415" s="2" t="s">
        <v>1005</v>
      </c>
      <c r="BQ415" s="3"/>
    </row>
    <row r="416" ht="15.75" customHeight="1">
      <c r="A416" s="34">
        <v>417.0</v>
      </c>
      <c r="B416" s="34">
        <v>102486.0</v>
      </c>
      <c r="C416" s="34" t="s">
        <v>832</v>
      </c>
      <c r="D416" s="34" t="s">
        <v>995</v>
      </c>
      <c r="E416" s="34" t="s">
        <v>996</v>
      </c>
      <c r="F416" s="34">
        <v>2020.0</v>
      </c>
      <c r="G416" s="34" t="s">
        <v>997</v>
      </c>
      <c r="H416" s="34" t="s">
        <v>998</v>
      </c>
      <c r="I416" s="34" t="s">
        <v>999</v>
      </c>
      <c r="J416" s="35"/>
      <c r="K416" s="36">
        <v>-7.6</v>
      </c>
      <c r="L416" s="36">
        <v>85.4</v>
      </c>
      <c r="M416" s="36"/>
      <c r="N416" s="36"/>
      <c r="O416" s="36"/>
      <c r="P416" s="37">
        <v>-9.0</v>
      </c>
      <c r="Q416" s="36" t="s">
        <v>191</v>
      </c>
      <c r="R416" s="36" t="s">
        <v>191</v>
      </c>
      <c r="S416" s="36">
        <v>1000.0</v>
      </c>
      <c r="T416" s="36" t="s">
        <v>193</v>
      </c>
      <c r="U416" s="36" t="s">
        <v>246</v>
      </c>
      <c r="V416" s="36"/>
      <c r="W416" s="36" t="s">
        <v>838</v>
      </c>
      <c r="X416" s="38">
        <v>1.0</v>
      </c>
      <c r="Y416" s="38" t="s">
        <v>1006</v>
      </c>
      <c r="Z416" s="38" t="s">
        <v>1007</v>
      </c>
      <c r="AA416" s="38" t="s">
        <v>336</v>
      </c>
      <c r="AB416" s="38">
        <v>-37.4222</v>
      </c>
      <c r="AC416" s="38">
        <v>144.0944</v>
      </c>
      <c r="AD416" s="38" t="s">
        <v>340</v>
      </c>
      <c r="AE416" s="38">
        <v>705.0</v>
      </c>
      <c r="AF416" s="38"/>
      <c r="AG416" s="38"/>
      <c r="AH416" s="38"/>
      <c r="AI416" s="50">
        <v>-37.4222</v>
      </c>
      <c r="AJ416" s="50">
        <v>144.0944</v>
      </c>
      <c r="AK416" s="41" t="s">
        <v>336</v>
      </c>
      <c r="AL416" s="40" t="s">
        <v>336</v>
      </c>
      <c r="AM416" s="49">
        <v>715.0</v>
      </c>
      <c r="AN416" s="51">
        <v>715.0</v>
      </c>
      <c r="AO416" s="42" t="s">
        <v>376</v>
      </c>
      <c r="AP416" s="43" t="s">
        <v>376</v>
      </c>
      <c r="AQ416" s="44" t="str">
        <f t="shared" si="45"/>
        <v>EBF</v>
      </c>
      <c r="AR416" s="44">
        <f t="shared" si="3"/>
        <v>715</v>
      </c>
      <c r="AS416" s="44" t="str">
        <f t="shared" si="46"/>
        <v>C</v>
      </c>
      <c r="AT416" s="44" t="str">
        <f t="shared" si="17"/>
        <v>Cf</v>
      </c>
      <c r="AU416" s="44" t="str">
        <f t="shared" si="2"/>
        <v>Cfb</v>
      </c>
      <c r="AV416" s="38">
        <v>2.0</v>
      </c>
      <c r="AW416" s="38"/>
      <c r="AX416" s="38"/>
      <c r="AY416" s="38"/>
      <c r="AZ416" s="29">
        <v>1000.0</v>
      </c>
      <c r="BA416" s="29">
        <v>1.0</v>
      </c>
      <c r="BB416" s="29">
        <v>1.0</v>
      </c>
      <c r="BC416" s="29" t="s">
        <v>802</v>
      </c>
      <c r="BD416" s="29" t="s">
        <v>88</v>
      </c>
      <c r="BE416" s="29" t="s">
        <v>89</v>
      </c>
      <c r="BF416" s="29" t="s">
        <v>802</v>
      </c>
      <c r="BG416" s="29" t="s">
        <v>572</v>
      </c>
      <c r="BH416" s="29" t="s">
        <v>92</v>
      </c>
      <c r="BI416" s="29" t="s">
        <v>1002</v>
      </c>
      <c r="BJ416" s="29" t="s">
        <v>1003</v>
      </c>
      <c r="BK416" s="29" t="s">
        <v>1004</v>
      </c>
      <c r="BL416" s="29" t="s">
        <v>1004</v>
      </c>
      <c r="BM416" s="45"/>
      <c r="BN416" s="45"/>
      <c r="BO416" s="46"/>
      <c r="BP416" s="2" t="s">
        <v>1005</v>
      </c>
      <c r="BQ416" s="3"/>
    </row>
    <row r="417" ht="15.75" customHeight="1">
      <c r="A417" s="34">
        <v>418.0</v>
      </c>
      <c r="B417" s="34">
        <v>102486.0</v>
      </c>
      <c r="C417" s="34" t="s">
        <v>832</v>
      </c>
      <c r="D417" s="34" t="s">
        <v>995</v>
      </c>
      <c r="E417" s="34" t="s">
        <v>996</v>
      </c>
      <c r="F417" s="34">
        <v>2020.0</v>
      </c>
      <c r="G417" s="34" t="s">
        <v>997</v>
      </c>
      <c r="H417" s="34" t="s">
        <v>998</v>
      </c>
      <c r="I417" s="34" t="s">
        <v>999</v>
      </c>
      <c r="J417" s="35"/>
      <c r="K417" s="36">
        <v>-1.7</v>
      </c>
      <c r="L417" s="36">
        <v>54.7</v>
      </c>
      <c r="M417" s="36"/>
      <c r="N417" s="36"/>
      <c r="O417" s="36"/>
      <c r="P417" s="37">
        <v>-3.0</v>
      </c>
      <c r="Q417" s="36" t="s">
        <v>191</v>
      </c>
      <c r="R417" s="36" t="s">
        <v>191</v>
      </c>
      <c r="S417" s="36">
        <v>1000.0</v>
      </c>
      <c r="T417" s="36" t="s">
        <v>193</v>
      </c>
      <c r="U417" s="36" t="s">
        <v>246</v>
      </c>
      <c r="V417" s="36"/>
      <c r="W417" s="36" t="s">
        <v>838</v>
      </c>
      <c r="X417" s="38">
        <v>1.0</v>
      </c>
      <c r="Y417" s="38" t="s">
        <v>402</v>
      </c>
      <c r="Z417" s="38" t="s">
        <v>403</v>
      </c>
      <c r="AA417" s="38" t="s">
        <v>197</v>
      </c>
      <c r="AB417" s="38">
        <v>54.485</v>
      </c>
      <c r="AC417" s="38">
        <v>-105.8176</v>
      </c>
      <c r="AD417" s="38" t="s">
        <v>395</v>
      </c>
      <c r="AE417" s="38">
        <v>536.0</v>
      </c>
      <c r="AF417" s="38"/>
      <c r="AG417" s="38" t="s">
        <v>372</v>
      </c>
      <c r="AH417" s="38"/>
      <c r="AI417" s="50">
        <v>54.485</v>
      </c>
      <c r="AJ417" s="50">
        <v>-105.8176</v>
      </c>
      <c r="AK417" s="41" t="s">
        <v>200</v>
      </c>
      <c r="AL417" s="40" t="s">
        <v>200</v>
      </c>
      <c r="AM417" s="49">
        <v>567.0</v>
      </c>
      <c r="AN417" s="51">
        <v>567.0</v>
      </c>
      <c r="AO417" s="42" t="s">
        <v>372</v>
      </c>
      <c r="AP417" s="43" t="s">
        <v>372</v>
      </c>
      <c r="AQ417" s="44" t="str">
        <f t="shared" si="45"/>
        <v>ENF</v>
      </c>
      <c r="AR417" s="44">
        <f t="shared" si="3"/>
        <v>567</v>
      </c>
      <c r="AS417" s="44" t="str">
        <f t="shared" si="46"/>
        <v>D</v>
      </c>
      <c r="AT417" s="44" t="str">
        <f t="shared" si="17"/>
        <v>Df</v>
      </c>
      <c r="AU417" s="44" t="str">
        <f t="shared" si="2"/>
        <v>Dfc</v>
      </c>
      <c r="AV417" s="38">
        <v>2.0</v>
      </c>
      <c r="AW417" s="38"/>
      <c r="AX417" s="38"/>
      <c r="AY417" s="38"/>
      <c r="AZ417" s="29">
        <v>1000.0</v>
      </c>
      <c r="BA417" s="29">
        <v>1.0</v>
      </c>
      <c r="BB417" s="29">
        <v>1.0</v>
      </c>
      <c r="BC417" s="29" t="s">
        <v>802</v>
      </c>
      <c r="BD417" s="29" t="s">
        <v>88</v>
      </c>
      <c r="BE417" s="29" t="s">
        <v>89</v>
      </c>
      <c r="BF417" s="29" t="s">
        <v>802</v>
      </c>
      <c r="BG417" s="29" t="s">
        <v>572</v>
      </c>
      <c r="BH417" s="29" t="s">
        <v>92</v>
      </c>
      <c r="BI417" s="29" t="s">
        <v>1002</v>
      </c>
      <c r="BJ417" s="29" t="s">
        <v>1003</v>
      </c>
      <c r="BK417" s="29" t="s">
        <v>1004</v>
      </c>
      <c r="BL417" s="29" t="s">
        <v>1004</v>
      </c>
      <c r="BM417" s="45"/>
      <c r="BN417" s="45"/>
      <c r="BO417" s="46"/>
      <c r="BP417" s="2" t="s">
        <v>1005</v>
      </c>
      <c r="BQ417" s="3"/>
    </row>
    <row r="418" ht="15.75" customHeight="1">
      <c r="A418" s="34">
        <v>419.0</v>
      </c>
      <c r="B418" s="34">
        <v>102486.0</v>
      </c>
      <c r="C418" s="34" t="s">
        <v>832</v>
      </c>
      <c r="D418" s="34" t="s">
        <v>995</v>
      </c>
      <c r="E418" s="34" t="s">
        <v>996</v>
      </c>
      <c r="F418" s="34">
        <v>2020.0</v>
      </c>
      <c r="G418" s="34" t="s">
        <v>997</v>
      </c>
      <c r="H418" s="34" t="s">
        <v>998</v>
      </c>
      <c r="I418" s="34" t="s">
        <v>999</v>
      </c>
      <c r="J418" s="35"/>
      <c r="K418" s="36">
        <v>-25.6</v>
      </c>
      <c r="L418" s="36">
        <v>76.9</v>
      </c>
      <c r="M418" s="36"/>
      <c r="N418" s="36"/>
      <c r="O418" s="36"/>
      <c r="P418" s="37">
        <v>-33.0</v>
      </c>
      <c r="Q418" s="36" t="s">
        <v>191</v>
      </c>
      <c r="R418" s="36" t="s">
        <v>191</v>
      </c>
      <c r="S418" s="36">
        <v>1000.0</v>
      </c>
      <c r="T418" s="36" t="s">
        <v>193</v>
      </c>
      <c r="U418" s="36" t="s">
        <v>246</v>
      </c>
      <c r="V418" s="36"/>
      <c r="W418" s="36" t="s">
        <v>838</v>
      </c>
      <c r="X418" s="38">
        <v>1.0</v>
      </c>
      <c r="Y418" s="38" t="s">
        <v>523</v>
      </c>
      <c r="Z418" s="38" t="s">
        <v>524</v>
      </c>
      <c r="AA418" s="38" t="s">
        <v>86</v>
      </c>
      <c r="AB418" s="38">
        <v>41.1651</v>
      </c>
      <c r="AC418" s="38">
        <v>-96.4766</v>
      </c>
      <c r="AD418" s="38" t="s">
        <v>87</v>
      </c>
      <c r="AE418" s="38">
        <v>361.0</v>
      </c>
      <c r="AF418" s="38" t="s">
        <v>525</v>
      </c>
      <c r="AG418" s="38" t="s">
        <v>108</v>
      </c>
      <c r="AH418" s="38"/>
      <c r="AI418" s="50">
        <v>41.1651</v>
      </c>
      <c r="AJ418" s="50">
        <v>-96.4766</v>
      </c>
      <c r="AK418" s="41" t="s">
        <v>86</v>
      </c>
      <c r="AL418" s="40" t="s">
        <v>86</v>
      </c>
      <c r="AM418" s="49">
        <v>356.0</v>
      </c>
      <c r="AN418" s="51">
        <v>356.0</v>
      </c>
      <c r="AO418" s="42" t="s">
        <v>107</v>
      </c>
      <c r="AP418" s="43" t="s">
        <v>108</v>
      </c>
      <c r="AQ418" s="44" t="str">
        <f t="shared" si="45"/>
        <v>CRO</v>
      </c>
      <c r="AR418" s="44">
        <f t="shared" si="3"/>
        <v>356</v>
      </c>
      <c r="AS418" s="44" t="str">
        <f t="shared" si="46"/>
        <v>D</v>
      </c>
      <c r="AT418" s="44" t="str">
        <f t="shared" si="17"/>
        <v>Df</v>
      </c>
      <c r="AU418" s="44" t="str">
        <f t="shared" si="2"/>
        <v>Dfa</v>
      </c>
      <c r="AV418" s="38">
        <v>2.0</v>
      </c>
      <c r="AW418" s="38"/>
      <c r="AX418" s="38"/>
      <c r="AY418" s="38"/>
      <c r="AZ418" s="29">
        <v>1000.0</v>
      </c>
      <c r="BA418" s="29">
        <v>1.0</v>
      </c>
      <c r="BB418" s="29">
        <v>1.0</v>
      </c>
      <c r="BC418" s="29" t="s">
        <v>802</v>
      </c>
      <c r="BD418" s="29" t="s">
        <v>88</v>
      </c>
      <c r="BE418" s="29" t="s">
        <v>89</v>
      </c>
      <c r="BF418" s="29" t="s">
        <v>802</v>
      </c>
      <c r="BG418" s="29" t="s">
        <v>572</v>
      </c>
      <c r="BH418" s="29" t="s">
        <v>92</v>
      </c>
      <c r="BI418" s="29" t="s">
        <v>1002</v>
      </c>
      <c r="BJ418" s="29" t="s">
        <v>1003</v>
      </c>
      <c r="BK418" s="29" t="s">
        <v>1004</v>
      </c>
      <c r="BL418" s="29" t="s">
        <v>1004</v>
      </c>
      <c r="BM418" s="45"/>
      <c r="BN418" s="45"/>
      <c r="BO418" s="46"/>
      <c r="BP418" s="2"/>
      <c r="BQ418" s="3"/>
    </row>
    <row r="419" ht="15.75" customHeight="1">
      <c r="A419" s="34">
        <v>420.0</v>
      </c>
      <c r="B419" s="34">
        <v>102486.0</v>
      </c>
      <c r="C419" s="34" t="s">
        <v>832</v>
      </c>
      <c r="D419" s="34" t="s">
        <v>995</v>
      </c>
      <c r="E419" s="34" t="s">
        <v>996</v>
      </c>
      <c r="F419" s="34">
        <v>2020.0</v>
      </c>
      <c r="G419" s="34" t="s">
        <v>997</v>
      </c>
      <c r="H419" s="34" t="s">
        <v>998</v>
      </c>
      <c r="I419" s="34" t="s">
        <v>999</v>
      </c>
      <c r="J419" s="35"/>
      <c r="K419" s="36">
        <v>-15.1</v>
      </c>
      <c r="L419" s="36">
        <v>38.0</v>
      </c>
      <c r="M419" s="36"/>
      <c r="N419" s="36"/>
      <c r="O419" s="36"/>
      <c r="P419" s="37">
        <v>-40.0</v>
      </c>
      <c r="Q419" s="36" t="s">
        <v>191</v>
      </c>
      <c r="R419" s="36" t="s">
        <v>191</v>
      </c>
      <c r="S419" s="36">
        <v>1000.0</v>
      </c>
      <c r="T419" s="36" t="s">
        <v>193</v>
      </c>
      <c r="U419" s="36" t="s">
        <v>246</v>
      </c>
      <c r="V419" s="36"/>
      <c r="W419" s="36" t="s">
        <v>838</v>
      </c>
      <c r="X419" s="38">
        <v>1.0</v>
      </c>
      <c r="Y419" s="38" t="s">
        <v>1008</v>
      </c>
      <c r="Z419" s="38" t="s">
        <v>1009</v>
      </c>
      <c r="AA419" s="38" t="s">
        <v>288</v>
      </c>
      <c r="AB419" s="38">
        <v>44.5934</v>
      </c>
      <c r="AC419" s="38">
        <v>123.5092</v>
      </c>
      <c r="AD419" s="38" t="s">
        <v>198</v>
      </c>
      <c r="AE419" s="53"/>
      <c r="AF419" s="38"/>
      <c r="AG419" s="57"/>
      <c r="AH419" s="38"/>
      <c r="AI419" s="50">
        <v>44.5934</v>
      </c>
      <c r="AJ419" s="50">
        <v>123.5092</v>
      </c>
      <c r="AK419" s="41" t="s">
        <v>288</v>
      </c>
      <c r="AL419" s="40" t="s">
        <v>288</v>
      </c>
      <c r="AM419" s="49">
        <v>143.0</v>
      </c>
      <c r="AN419" s="51">
        <v>143.0</v>
      </c>
      <c r="AO419" s="42" t="s">
        <v>218</v>
      </c>
      <c r="AP419" s="43" t="s">
        <v>218</v>
      </c>
      <c r="AQ419" s="44" t="str">
        <f t="shared" si="45"/>
        <v>GRA</v>
      </c>
      <c r="AR419" s="44">
        <f t="shared" si="3"/>
        <v>143</v>
      </c>
      <c r="AS419" s="44" t="str">
        <f t="shared" si="46"/>
        <v>D</v>
      </c>
      <c r="AT419" s="44" t="str">
        <f t="shared" si="17"/>
        <v>Dw</v>
      </c>
      <c r="AU419" s="44" t="str">
        <f t="shared" si="2"/>
        <v>Dwa</v>
      </c>
      <c r="AV419" s="38">
        <v>2.0</v>
      </c>
      <c r="AW419" s="38"/>
      <c r="AX419" s="38"/>
      <c r="AY419" s="38"/>
      <c r="AZ419" s="29">
        <v>1000.0</v>
      </c>
      <c r="BA419" s="29">
        <v>1.0</v>
      </c>
      <c r="BB419" s="29">
        <v>1.0</v>
      </c>
      <c r="BC419" s="29" t="s">
        <v>802</v>
      </c>
      <c r="BD419" s="29" t="s">
        <v>88</v>
      </c>
      <c r="BE419" s="29" t="s">
        <v>89</v>
      </c>
      <c r="BF419" s="29" t="s">
        <v>802</v>
      </c>
      <c r="BG419" s="29" t="s">
        <v>572</v>
      </c>
      <c r="BH419" s="29" t="s">
        <v>92</v>
      </c>
      <c r="BI419" s="29" t="s">
        <v>1002</v>
      </c>
      <c r="BJ419" s="29" t="s">
        <v>1003</v>
      </c>
      <c r="BK419" s="29" t="s">
        <v>1004</v>
      </c>
      <c r="BL419" s="29" t="s">
        <v>1004</v>
      </c>
      <c r="BM419" s="45"/>
      <c r="BN419" s="45"/>
      <c r="BO419" s="46"/>
      <c r="BP419" s="2"/>
      <c r="BQ419" s="3"/>
    </row>
    <row r="420" ht="15.75" customHeight="1">
      <c r="A420" s="34">
        <v>421.0</v>
      </c>
      <c r="B420" s="34">
        <v>102486.0</v>
      </c>
      <c r="C420" s="34" t="s">
        <v>832</v>
      </c>
      <c r="D420" s="34" t="s">
        <v>995</v>
      </c>
      <c r="E420" s="34" t="s">
        <v>996</v>
      </c>
      <c r="F420" s="34">
        <v>2020.0</v>
      </c>
      <c r="G420" s="34" t="s">
        <v>997</v>
      </c>
      <c r="H420" s="34" t="s">
        <v>998</v>
      </c>
      <c r="I420" s="34" t="s">
        <v>999</v>
      </c>
      <c r="J420" s="35"/>
      <c r="K420" s="36">
        <v>-10.8</v>
      </c>
      <c r="L420" s="36">
        <v>49.1</v>
      </c>
      <c r="M420" s="36"/>
      <c r="N420" s="36"/>
      <c r="O420" s="36"/>
      <c r="P420" s="37">
        <v>-22.0</v>
      </c>
      <c r="Q420" s="36" t="s">
        <v>191</v>
      </c>
      <c r="R420" s="36" t="s">
        <v>191</v>
      </c>
      <c r="S420" s="36">
        <v>1000.0</v>
      </c>
      <c r="T420" s="36" t="s">
        <v>193</v>
      </c>
      <c r="U420" s="36" t="s">
        <v>246</v>
      </c>
      <c r="V420" s="36"/>
      <c r="W420" s="36" t="s">
        <v>838</v>
      </c>
      <c r="X420" s="38">
        <v>1.0</v>
      </c>
      <c r="Y420" s="38" t="s">
        <v>1010</v>
      </c>
      <c r="Z420" s="38" t="s">
        <v>1011</v>
      </c>
      <c r="AA420" s="38" t="s">
        <v>288</v>
      </c>
      <c r="AB420" s="38">
        <v>42.0467</v>
      </c>
      <c r="AC420" s="38">
        <v>116.2836</v>
      </c>
      <c r="AD420" s="38" t="s">
        <v>198</v>
      </c>
      <c r="AE420" s="53"/>
      <c r="AF420" s="38"/>
      <c r="AG420" s="57"/>
      <c r="AH420" s="38"/>
      <c r="AI420" s="50">
        <v>42.0467</v>
      </c>
      <c r="AJ420" s="50">
        <v>116.2836</v>
      </c>
      <c r="AK420" s="41" t="s">
        <v>288</v>
      </c>
      <c r="AL420" s="40" t="s">
        <v>288</v>
      </c>
      <c r="AM420" s="49">
        <v>1321.0</v>
      </c>
      <c r="AN420" s="51">
        <v>1321.0</v>
      </c>
      <c r="AO420" s="42" t="s">
        <v>584</v>
      </c>
      <c r="AP420" s="43" t="s">
        <v>584</v>
      </c>
      <c r="AQ420" s="44" t="str">
        <f t="shared" si="45"/>
        <v>GRA</v>
      </c>
      <c r="AR420" s="44">
        <f t="shared" si="3"/>
        <v>1321</v>
      </c>
      <c r="AS420" s="44" t="str">
        <f t="shared" si="46"/>
        <v>D</v>
      </c>
      <c r="AT420" s="44" t="str">
        <f t="shared" si="17"/>
        <v>Dw</v>
      </c>
      <c r="AU420" s="44" t="str">
        <f t="shared" si="2"/>
        <v>Dwb</v>
      </c>
      <c r="AV420" s="38">
        <v>2.0</v>
      </c>
      <c r="AW420" s="38"/>
      <c r="AX420" s="38"/>
      <c r="AY420" s="38"/>
      <c r="AZ420" s="29">
        <v>1000.0</v>
      </c>
      <c r="BA420" s="29">
        <v>1.0</v>
      </c>
      <c r="BB420" s="29">
        <v>1.0</v>
      </c>
      <c r="BC420" s="29" t="s">
        <v>802</v>
      </c>
      <c r="BD420" s="29" t="s">
        <v>88</v>
      </c>
      <c r="BE420" s="29" t="s">
        <v>89</v>
      </c>
      <c r="BF420" s="29" t="s">
        <v>802</v>
      </c>
      <c r="BG420" s="29" t="s">
        <v>572</v>
      </c>
      <c r="BH420" s="29" t="s">
        <v>92</v>
      </c>
      <c r="BI420" s="29" t="s">
        <v>1002</v>
      </c>
      <c r="BJ420" s="29" t="s">
        <v>1003</v>
      </c>
      <c r="BK420" s="29" t="s">
        <v>1004</v>
      </c>
      <c r="BL420" s="29" t="s">
        <v>1004</v>
      </c>
      <c r="BM420" s="45"/>
      <c r="BN420" s="45"/>
      <c r="BO420" s="46"/>
      <c r="BP420" s="2"/>
      <c r="BQ420" s="3"/>
    </row>
    <row r="421" ht="15.75" customHeight="1">
      <c r="A421" s="34">
        <v>422.0</v>
      </c>
      <c r="B421" s="34">
        <v>102486.0</v>
      </c>
      <c r="C421" s="34" t="s">
        <v>832</v>
      </c>
      <c r="D421" s="34" t="s">
        <v>995</v>
      </c>
      <c r="E421" s="34" t="s">
        <v>996</v>
      </c>
      <c r="F421" s="34">
        <v>2020.0</v>
      </c>
      <c r="G421" s="34" t="s">
        <v>997</v>
      </c>
      <c r="H421" s="34" t="s">
        <v>998</v>
      </c>
      <c r="I421" s="34" t="s">
        <v>999</v>
      </c>
      <c r="J421" s="35"/>
      <c r="K421" s="36">
        <v>-7.8</v>
      </c>
      <c r="L421" s="36">
        <v>40.4</v>
      </c>
      <c r="M421" s="36"/>
      <c r="N421" s="36"/>
      <c r="O421" s="36"/>
      <c r="P421" s="37">
        <v>-19.0</v>
      </c>
      <c r="Q421" s="36" t="s">
        <v>191</v>
      </c>
      <c r="R421" s="36" t="s">
        <v>191</v>
      </c>
      <c r="S421" s="36">
        <v>1000.0</v>
      </c>
      <c r="T421" s="36" t="s">
        <v>193</v>
      </c>
      <c r="U421" s="36" t="s">
        <v>246</v>
      </c>
      <c r="V421" s="36"/>
      <c r="W421" s="36" t="s">
        <v>838</v>
      </c>
      <c r="X421" s="38">
        <v>1.0</v>
      </c>
      <c r="Y421" s="38" t="s">
        <v>1012</v>
      </c>
      <c r="Z421" s="38" t="s">
        <v>1013</v>
      </c>
      <c r="AA421" s="38" t="s">
        <v>197</v>
      </c>
      <c r="AB421" s="38">
        <v>50.7867</v>
      </c>
      <c r="AC421" s="38">
        <v>13.7213</v>
      </c>
      <c r="AD421" s="38" t="s">
        <v>375</v>
      </c>
      <c r="AE421" s="53"/>
      <c r="AF421" s="38"/>
      <c r="AG421" s="57"/>
      <c r="AH421" s="38"/>
      <c r="AI421" s="50">
        <v>50.7867</v>
      </c>
      <c r="AJ421" s="50">
        <v>13.7213</v>
      </c>
      <c r="AK421" s="41" t="s">
        <v>197</v>
      </c>
      <c r="AL421" s="40" t="s">
        <v>197</v>
      </c>
      <c r="AM421" s="49">
        <v>746.0</v>
      </c>
      <c r="AN421" s="51">
        <v>746.0</v>
      </c>
      <c r="AO421" s="42" t="s">
        <v>372</v>
      </c>
      <c r="AP421" s="43" t="s">
        <v>107</v>
      </c>
      <c r="AQ421" s="44" t="str">
        <f t="shared" si="45"/>
        <v>ENF</v>
      </c>
      <c r="AR421" s="44">
        <f t="shared" si="3"/>
        <v>746</v>
      </c>
      <c r="AS421" s="44" t="str">
        <f t="shared" si="46"/>
        <v>D</v>
      </c>
      <c r="AT421" s="44" t="str">
        <f t="shared" si="17"/>
        <v>Df</v>
      </c>
      <c r="AU421" s="44" t="str">
        <f t="shared" si="2"/>
        <v>Dfb</v>
      </c>
      <c r="AV421" s="38">
        <v>2.0</v>
      </c>
      <c r="AW421" s="38"/>
      <c r="AX421" s="38"/>
      <c r="AY421" s="38"/>
      <c r="AZ421" s="29">
        <v>1000.0</v>
      </c>
      <c r="BA421" s="29">
        <v>1.0</v>
      </c>
      <c r="BB421" s="29">
        <v>1.0</v>
      </c>
      <c r="BC421" s="29" t="s">
        <v>802</v>
      </c>
      <c r="BD421" s="29" t="s">
        <v>88</v>
      </c>
      <c r="BE421" s="29" t="s">
        <v>89</v>
      </c>
      <c r="BF421" s="29" t="s">
        <v>802</v>
      </c>
      <c r="BG421" s="29" t="s">
        <v>572</v>
      </c>
      <c r="BH421" s="29" t="s">
        <v>92</v>
      </c>
      <c r="BI421" s="29" t="s">
        <v>1002</v>
      </c>
      <c r="BJ421" s="29" t="s">
        <v>1003</v>
      </c>
      <c r="BK421" s="29" t="s">
        <v>1004</v>
      </c>
      <c r="BL421" s="29" t="s">
        <v>1004</v>
      </c>
      <c r="BM421" s="45"/>
      <c r="BN421" s="45"/>
      <c r="BO421" s="46"/>
      <c r="BP421" s="2" t="s">
        <v>682</v>
      </c>
      <c r="BQ421" s="3"/>
    </row>
    <row r="422" ht="15.75" customHeight="1">
      <c r="A422" s="34">
        <v>423.0</v>
      </c>
      <c r="B422" s="34">
        <v>102486.0</v>
      </c>
      <c r="C422" s="34" t="s">
        <v>832</v>
      </c>
      <c r="D422" s="34" t="s">
        <v>995</v>
      </c>
      <c r="E422" s="34" t="s">
        <v>996</v>
      </c>
      <c r="F422" s="34">
        <v>2020.0</v>
      </c>
      <c r="G422" s="34" t="s">
        <v>997</v>
      </c>
      <c r="H422" s="34" t="s">
        <v>998</v>
      </c>
      <c r="I422" s="34" t="s">
        <v>999</v>
      </c>
      <c r="J422" s="35"/>
      <c r="K422" s="36">
        <v>-13.8</v>
      </c>
      <c r="L422" s="36">
        <v>41.7</v>
      </c>
      <c r="M422" s="36"/>
      <c r="N422" s="36"/>
      <c r="O422" s="36"/>
      <c r="P422" s="37">
        <v>-33.0</v>
      </c>
      <c r="Q422" s="36" t="s">
        <v>191</v>
      </c>
      <c r="R422" s="36" t="s">
        <v>191</v>
      </c>
      <c r="S422" s="36">
        <v>1000.0</v>
      </c>
      <c r="T422" s="36" t="s">
        <v>193</v>
      </c>
      <c r="U422" s="36" t="s">
        <v>246</v>
      </c>
      <c r="V422" s="36"/>
      <c r="W422" s="36" t="s">
        <v>838</v>
      </c>
      <c r="X422" s="38">
        <v>1.0</v>
      </c>
      <c r="Y422" s="38" t="s">
        <v>508</v>
      </c>
      <c r="Z422" s="38" t="s">
        <v>509</v>
      </c>
      <c r="AA422" s="38" t="s">
        <v>86</v>
      </c>
      <c r="AB422" s="38">
        <v>50.8706</v>
      </c>
      <c r="AC422" s="38">
        <v>6.4497</v>
      </c>
      <c r="AD422" s="38" t="s">
        <v>375</v>
      </c>
      <c r="AE422" s="53"/>
      <c r="AF422" s="38"/>
      <c r="AG422" s="57"/>
      <c r="AH422" s="38"/>
      <c r="AI422" s="50">
        <v>50.8706</v>
      </c>
      <c r="AJ422" s="50">
        <v>6.4497</v>
      </c>
      <c r="AK422" s="41" t="s">
        <v>86</v>
      </c>
      <c r="AL422" s="40" t="s">
        <v>86</v>
      </c>
      <c r="AM422" s="49">
        <v>102.0</v>
      </c>
      <c r="AN422" s="51">
        <v>102.0</v>
      </c>
      <c r="AO422" s="42" t="s">
        <v>376</v>
      </c>
      <c r="AP422" s="43" t="s">
        <v>376</v>
      </c>
      <c r="AQ422" s="44" t="str">
        <f t="shared" si="45"/>
        <v>CRO</v>
      </c>
      <c r="AR422" s="44">
        <f t="shared" si="3"/>
        <v>102</v>
      </c>
      <c r="AS422" s="44" t="str">
        <f t="shared" si="46"/>
        <v>C</v>
      </c>
      <c r="AT422" s="44" t="str">
        <f t="shared" si="17"/>
        <v>Cf</v>
      </c>
      <c r="AU422" s="44" t="str">
        <f t="shared" si="2"/>
        <v>Cfb</v>
      </c>
      <c r="AV422" s="38">
        <v>2.0</v>
      </c>
      <c r="AW422" s="38"/>
      <c r="AX422" s="38"/>
      <c r="AY422" s="38"/>
      <c r="AZ422" s="29">
        <v>1000.0</v>
      </c>
      <c r="BA422" s="29">
        <v>1.0</v>
      </c>
      <c r="BB422" s="29">
        <v>1.0</v>
      </c>
      <c r="BC422" s="29" t="s">
        <v>802</v>
      </c>
      <c r="BD422" s="29" t="s">
        <v>88</v>
      </c>
      <c r="BE422" s="29" t="s">
        <v>89</v>
      </c>
      <c r="BF422" s="29" t="s">
        <v>802</v>
      </c>
      <c r="BG422" s="29" t="s">
        <v>572</v>
      </c>
      <c r="BH422" s="29" t="s">
        <v>92</v>
      </c>
      <c r="BI422" s="29" t="s">
        <v>1002</v>
      </c>
      <c r="BJ422" s="29" t="s">
        <v>1003</v>
      </c>
      <c r="BK422" s="29" t="s">
        <v>1004</v>
      </c>
      <c r="BL422" s="29" t="s">
        <v>1004</v>
      </c>
      <c r="BM422" s="45"/>
      <c r="BN422" s="45"/>
      <c r="BO422" s="46"/>
      <c r="BP422" s="2"/>
      <c r="BQ422" s="3"/>
    </row>
    <row r="423" ht="15.75" customHeight="1">
      <c r="A423" s="34">
        <v>424.0</v>
      </c>
      <c r="B423" s="34">
        <v>102486.0</v>
      </c>
      <c r="C423" s="34" t="s">
        <v>832</v>
      </c>
      <c r="D423" s="34" t="s">
        <v>995</v>
      </c>
      <c r="E423" s="34" t="s">
        <v>996</v>
      </c>
      <c r="F423" s="34">
        <v>2020.0</v>
      </c>
      <c r="G423" s="34" t="s">
        <v>997</v>
      </c>
      <c r="H423" s="34" t="s">
        <v>998</v>
      </c>
      <c r="I423" s="34" t="s">
        <v>999</v>
      </c>
      <c r="J423" s="35"/>
      <c r="K423" s="36">
        <v>7.0</v>
      </c>
      <c r="L423" s="36">
        <v>37.7</v>
      </c>
      <c r="M423" s="36"/>
      <c r="N423" s="36"/>
      <c r="O423" s="36"/>
      <c r="P423" s="37">
        <v>18.0</v>
      </c>
      <c r="Q423" s="36" t="s">
        <v>191</v>
      </c>
      <c r="R423" s="36" t="s">
        <v>191</v>
      </c>
      <c r="S423" s="36">
        <v>1000.0</v>
      </c>
      <c r="T423" s="36" t="s">
        <v>193</v>
      </c>
      <c r="U423" s="36" t="s">
        <v>246</v>
      </c>
      <c r="V423" s="36"/>
      <c r="W423" s="36" t="s">
        <v>838</v>
      </c>
      <c r="X423" s="38">
        <v>1.0</v>
      </c>
      <c r="Y423" s="38" t="s">
        <v>1014</v>
      </c>
      <c r="Z423" s="38" t="s">
        <v>365</v>
      </c>
      <c r="AA423" s="38" t="s">
        <v>313</v>
      </c>
      <c r="AB423" s="38">
        <v>-25.0197</v>
      </c>
      <c r="AC423" s="38">
        <v>31.4969</v>
      </c>
      <c r="AD423" s="38" t="s">
        <v>367</v>
      </c>
      <c r="AE423" s="38">
        <v>359.0</v>
      </c>
      <c r="AF423" s="38" t="s">
        <v>1015</v>
      </c>
      <c r="AG423" s="38"/>
      <c r="AH423" s="38"/>
      <c r="AI423" s="50">
        <v>-25.0197</v>
      </c>
      <c r="AJ423" s="50">
        <v>31.4969</v>
      </c>
      <c r="AK423" s="41" t="s">
        <v>313</v>
      </c>
      <c r="AL423" s="40" t="s">
        <v>313</v>
      </c>
      <c r="AM423" s="49">
        <v>362.0</v>
      </c>
      <c r="AN423" s="51">
        <v>362.0</v>
      </c>
      <c r="AO423" s="42" t="s">
        <v>304</v>
      </c>
      <c r="AP423" s="43" t="s">
        <v>304</v>
      </c>
      <c r="AQ423" s="44" t="str">
        <f t="shared" si="45"/>
        <v>SAV</v>
      </c>
      <c r="AR423" s="44">
        <f t="shared" si="3"/>
        <v>362</v>
      </c>
      <c r="AS423" s="44" t="str">
        <f t="shared" si="46"/>
        <v>B</v>
      </c>
      <c r="AT423" s="44" t="str">
        <f t="shared" si="17"/>
        <v>BS</v>
      </c>
      <c r="AU423" s="44" t="str">
        <f t="shared" si="2"/>
        <v>BSh</v>
      </c>
      <c r="AV423" s="38">
        <v>2.0</v>
      </c>
      <c r="AW423" s="38"/>
      <c r="AX423" s="38"/>
      <c r="AY423" s="38"/>
      <c r="AZ423" s="29">
        <v>1000.0</v>
      </c>
      <c r="BA423" s="29">
        <v>1.0</v>
      </c>
      <c r="BB423" s="29">
        <v>1.0</v>
      </c>
      <c r="BC423" s="29" t="s">
        <v>802</v>
      </c>
      <c r="BD423" s="29" t="s">
        <v>88</v>
      </c>
      <c r="BE423" s="29" t="s">
        <v>89</v>
      </c>
      <c r="BF423" s="29" t="s">
        <v>802</v>
      </c>
      <c r="BG423" s="29" t="s">
        <v>572</v>
      </c>
      <c r="BH423" s="29" t="s">
        <v>92</v>
      </c>
      <c r="BI423" s="29" t="s">
        <v>1002</v>
      </c>
      <c r="BJ423" s="29" t="s">
        <v>1003</v>
      </c>
      <c r="BK423" s="29" t="s">
        <v>1004</v>
      </c>
      <c r="BL423" s="29" t="s">
        <v>1004</v>
      </c>
      <c r="BM423" s="45"/>
      <c r="BN423" s="45"/>
      <c r="BO423" s="46"/>
      <c r="BP423" s="2"/>
      <c r="BQ423" s="3"/>
    </row>
    <row r="424" ht="15.75" customHeight="1">
      <c r="A424" s="34">
        <v>425.0</v>
      </c>
      <c r="B424" s="34">
        <v>102486.0</v>
      </c>
      <c r="C424" s="34" t="s">
        <v>832</v>
      </c>
      <c r="D424" s="34" t="s">
        <v>995</v>
      </c>
      <c r="E424" s="34" t="s">
        <v>996</v>
      </c>
      <c r="F424" s="34">
        <v>2020.0</v>
      </c>
      <c r="G424" s="34" t="s">
        <v>997</v>
      </c>
      <c r="H424" s="34" t="s">
        <v>998</v>
      </c>
      <c r="I424" s="34" t="s">
        <v>999</v>
      </c>
      <c r="J424" s="35"/>
      <c r="K424" s="36">
        <v>17.5</v>
      </c>
      <c r="L424" s="36">
        <v>35.1</v>
      </c>
      <c r="M424" s="36"/>
      <c r="N424" s="36"/>
      <c r="O424" s="36"/>
      <c r="P424" s="37">
        <v>50.0</v>
      </c>
      <c r="Q424" s="36" t="s">
        <v>191</v>
      </c>
      <c r="R424" s="36" t="s">
        <v>191</v>
      </c>
      <c r="S424" s="36">
        <v>1000.0</v>
      </c>
      <c r="T424" s="36" t="s">
        <v>193</v>
      </c>
      <c r="U424" s="36" t="s">
        <v>246</v>
      </c>
      <c r="V424" s="36"/>
      <c r="W424" s="36" t="s">
        <v>838</v>
      </c>
      <c r="X424" s="38">
        <v>1.0</v>
      </c>
      <c r="Y424" s="38" t="s">
        <v>1016</v>
      </c>
      <c r="Z424" s="38" t="s">
        <v>1017</v>
      </c>
      <c r="AA424" s="38" t="s">
        <v>370</v>
      </c>
      <c r="AB424" s="38">
        <v>-15.4378</v>
      </c>
      <c r="AC424" s="38">
        <v>23.2528</v>
      </c>
      <c r="AD424" s="38" t="s">
        <v>1018</v>
      </c>
      <c r="AE424" s="38">
        <v>1053.0</v>
      </c>
      <c r="AF424" s="38"/>
      <c r="AG424" s="38"/>
      <c r="AH424" s="38"/>
      <c r="AI424" s="50">
        <v>-15.4378</v>
      </c>
      <c r="AJ424" s="50">
        <v>23.2528</v>
      </c>
      <c r="AK424" s="41" t="s">
        <v>292</v>
      </c>
      <c r="AL424" s="40" t="s">
        <v>292</v>
      </c>
      <c r="AM424" s="49">
        <v>1087.0</v>
      </c>
      <c r="AN424" s="51">
        <v>1087.0</v>
      </c>
      <c r="AO424" s="42" t="s">
        <v>592</v>
      </c>
      <c r="AP424" s="43" t="s">
        <v>592</v>
      </c>
      <c r="AQ424" s="44" t="str">
        <f t="shared" si="45"/>
        <v>DBF</v>
      </c>
      <c r="AR424" s="44">
        <f t="shared" si="3"/>
        <v>1087</v>
      </c>
      <c r="AS424" s="44" t="str">
        <f t="shared" si="46"/>
        <v>C</v>
      </c>
      <c r="AT424" s="44" t="str">
        <f t="shared" si="17"/>
        <v>Cw</v>
      </c>
      <c r="AU424" s="44" t="str">
        <f t="shared" si="2"/>
        <v>Cwa</v>
      </c>
      <c r="AV424" s="38">
        <v>2.0</v>
      </c>
      <c r="AW424" s="38"/>
      <c r="AX424" s="38"/>
      <c r="AY424" s="38"/>
      <c r="AZ424" s="29">
        <v>1000.0</v>
      </c>
      <c r="BA424" s="29">
        <v>1.0</v>
      </c>
      <c r="BB424" s="29">
        <v>1.0</v>
      </c>
      <c r="BC424" s="29" t="s">
        <v>802</v>
      </c>
      <c r="BD424" s="29" t="s">
        <v>88</v>
      </c>
      <c r="BE424" s="29" t="s">
        <v>89</v>
      </c>
      <c r="BF424" s="29" t="s">
        <v>802</v>
      </c>
      <c r="BG424" s="29" t="s">
        <v>572</v>
      </c>
      <c r="BH424" s="29" t="s">
        <v>92</v>
      </c>
      <c r="BI424" s="29" t="s">
        <v>1002</v>
      </c>
      <c r="BJ424" s="29" t="s">
        <v>1003</v>
      </c>
      <c r="BK424" s="29" t="s">
        <v>1004</v>
      </c>
      <c r="BL424" s="29" t="s">
        <v>1004</v>
      </c>
      <c r="BM424" s="45"/>
      <c r="BN424" s="45"/>
      <c r="BO424" s="46"/>
      <c r="BP424" s="2"/>
      <c r="BQ424" s="3"/>
    </row>
    <row r="425" ht="15.75" customHeight="1">
      <c r="A425" s="34">
        <v>426.0</v>
      </c>
      <c r="B425" s="34">
        <v>102486.0</v>
      </c>
      <c r="C425" s="34" t="s">
        <v>832</v>
      </c>
      <c r="D425" s="34" t="s">
        <v>995</v>
      </c>
      <c r="E425" s="34" t="s">
        <v>996</v>
      </c>
      <c r="F425" s="34">
        <v>2020.0</v>
      </c>
      <c r="G425" s="34" t="s">
        <v>997</v>
      </c>
      <c r="H425" s="34" t="s">
        <v>998</v>
      </c>
      <c r="I425" s="34" t="s">
        <v>999</v>
      </c>
      <c r="J425" s="35"/>
      <c r="K425" s="36">
        <v>4.5</v>
      </c>
      <c r="L425" s="36">
        <v>54.6</v>
      </c>
      <c r="M425" s="36"/>
      <c r="N425" s="36"/>
      <c r="O425" s="36"/>
      <c r="P425" s="37">
        <v>8.0</v>
      </c>
      <c r="Q425" s="36" t="s">
        <v>191</v>
      </c>
      <c r="R425" s="36" t="s">
        <v>191</v>
      </c>
      <c r="S425" s="36">
        <v>1000.0</v>
      </c>
      <c r="T425" s="36" t="s">
        <v>193</v>
      </c>
      <c r="U425" s="36" t="s">
        <v>246</v>
      </c>
      <c r="V425" s="36"/>
      <c r="W425" s="36" t="s">
        <v>838</v>
      </c>
      <c r="X425" s="38">
        <v>1.0</v>
      </c>
      <c r="Y425" s="38" t="s">
        <v>1019</v>
      </c>
      <c r="Z425" s="38" t="s">
        <v>1020</v>
      </c>
      <c r="AA425" s="38" t="s">
        <v>452</v>
      </c>
      <c r="AB425" s="38">
        <v>-33.4648</v>
      </c>
      <c r="AC425" s="38">
        <v>-66.4598</v>
      </c>
      <c r="AD425" s="38" t="s">
        <v>1021</v>
      </c>
      <c r="AE425" s="38">
        <v>496.0</v>
      </c>
      <c r="AF425" s="38"/>
      <c r="AG425" s="38"/>
      <c r="AH425" s="38"/>
      <c r="AI425" s="50">
        <v>-33.4648</v>
      </c>
      <c r="AJ425" s="50">
        <v>-66.4598</v>
      </c>
      <c r="AK425" s="41" t="s">
        <v>292</v>
      </c>
      <c r="AL425" s="40" t="s">
        <v>292</v>
      </c>
      <c r="AM425" s="49">
        <v>506.0</v>
      </c>
      <c r="AN425" s="51">
        <v>506.0</v>
      </c>
      <c r="AO425" s="42" t="s">
        <v>304</v>
      </c>
      <c r="AP425" s="43" t="s">
        <v>304</v>
      </c>
      <c r="AQ425" s="44" t="str">
        <f t="shared" si="45"/>
        <v>MF</v>
      </c>
      <c r="AR425" s="44">
        <f t="shared" si="3"/>
        <v>506</v>
      </c>
      <c r="AS425" s="44" t="str">
        <f t="shared" si="46"/>
        <v>B</v>
      </c>
      <c r="AT425" s="44" t="str">
        <f t="shared" si="17"/>
        <v>BS</v>
      </c>
      <c r="AU425" s="44" t="str">
        <f t="shared" si="2"/>
        <v>BSh</v>
      </c>
      <c r="AV425" s="38">
        <v>2.0</v>
      </c>
      <c r="AW425" s="38"/>
      <c r="AX425" s="38"/>
      <c r="AY425" s="38"/>
      <c r="AZ425" s="29">
        <v>1000.0</v>
      </c>
      <c r="BA425" s="29">
        <v>1.0</v>
      </c>
      <c r="BB425" s="29">
        <v>1.0</v>
      </c>
      <c r="BC425" s="29" t="s">
        <v>802</v>
      </c>
      <c r="BD425" s="29" t="s">
        <v>88</v>
      </c>
      <c r="BE425" s="29" t="s">
        <v>89</v>
      </c>
      <c r="BF425" s="29" t="s">
        <v>802</v>
      </c>
      <c r="BG425" s="29" t="s">
        <v>572</v>
      </c>
      <c r="BH425" s="29" t="s">
        <v>92</v>
      </c>
      <c r="BI425" s="29" t="s">
        <v>1002</v>
      </c>
      <c r="BJ425" s="29" t="s">
        <v>1003</v>
      </c>
      <c r="BK425" s="29" t="s">
        <v>1004</v>
      </c>
      <c r="BL425" s="29" t="s">
        <v>1004</v>
      </c>
      <c r="BM425" s="45"/>
      <c r="BN425" s="45"/>
      <c r="BO425" s="46"/>
      <c r="BP425" s="2"/>
      <c r="BQ425" s="3"/>
    </row>
    <row r="426" ht="15.75" customHeight="1">
      <c r="A426" s="34">
        <v>427.0</v>
      </c>
      <c r="B426" s="34">
        <v>102486.0</v>
      </c>
      <c r="C426" s="34" t="s">
        <v>832</v>
      </c>
      <c r="D426" s="34" t="s">
        <v>995</v>
      </c>
      <c r="E426" s="34" t="s">
        <v>996</v>
      </c>
      <c r="F426" s="34">
        <v>2020.0</v>
      </c>
      <c r="G426" s="34" t="s">
        <v>997</v>
      </c>
      <c r="H426" s="34" t="s">
        <v>998</v>
      </c>
      <c r="I426" s="34" t="s">
        <v>999</v>
      </c>
      <c r="J426" s="35"/>
      <c r="K426" s="36">
        <v>-1.2</v>
      </c>
      <c r="L426" s="36">
        <v>106.0</v>
      </c>
      <c r="M426" s="36"/>
      <c r="N426" s="36"/>
      <c r="O426" s="36"/>
      <c r="P426" s="37">
        <v>-1.0</v>
      </c>
      <c r="Q426" s="36" t="s">
        <v>191</v>
      </c>
      <c r="R426" s="36" t="s">
        <v>191</v>
      </c>
      <c r="S426" s="36">
        <v>1000.0</v>
      </c>
      <c r="T426" s="36" t="s">
        <v>193</v>
      </c>
      <c r="U426" s="36" t="s">
        <v>246</v>
      </c>
      <c r="V426" s="36"/>
      <c r="W426" s="36" t="s">
        <v>838</v>
      </c>
      <c r="X426" s="38">
        <v>1.0</v>
      </c>
      <c r="Y426" s="38" t="s">
        <v>1022</v>
      </c>
      <c r="Z426" s="38" t="s">
        <v>1023</v>
      </c>
      <c r="AA426" s="38" t="s">
        <v>336</v>
      </c>
      <c r="AB426" s="38">
        <v>-3.018</v>
      </c>
      <c r="AC426" s="38">
        <v>-54.9714</v>
      </c>
      <c r="AD426" s="38" t="s">
        <v>334</v>
      </c>
      <c r="AE426" s="38">
        <v>100.0</v>
      </c>
      <c r="AF426" s="38"/>
      <c r="AG426" s="38" t="s">
        <v>1024</v>
      </c>
      <c r="AH426" s="38"/>
      <c r="AI426" s="50">
        <v>-3.018</v>
      </c>
      <c r="AJ426" s="50">
        <v>-54.9714</v>
      </c>
      <c r="AK426" s="41" t="s">
        <v>336</v>
      </c>
      <c r="AL426" s="40" t="s">
        <v>336</v>
      </c>
      <c r="AM426" s="49">
        <v>181.0</v>
      </c>
      <c r="AN426" s="51">
        <v>181.0</v>
      </c>
      <c r="AO426" s="42" t="s">
        <v>1024</v>
      </c>
      <c r="AP426" s="43" t="s">
        <v>1024</v>
      </c>
      <c r="AQ426" s="44" t="str">
        <f t="shared" si="45"/>
        <v>EBF</v>
      </c>
      <c r="AR426" s="44">
        <f t="shared" si="3"/>
        <v>181</v>
      </c>
      <c r="AS426" s="44" t="str">
        <f t="shared" si="46"/>
        <v>A</v>
      </c>
      <c r="AT426" s="44" t="str">
        <f t="shared" si="17"/>
        <v>Am</v>
      </c>
      <c r="AU426" s="44" t="str">
        <f t="shared" si="2"/>
        <v>Am</v>
      </c>
      <c r="AV426" s="38">
        <v>2.0</v>
      </c>
      <c r="AW426" s="38"/>
      <c r="AX426" s="38"/>
      <c r="AY426" s="38"/>
      <c r="AZ426" s="29">
        <v>1000.0</v>
      </c>
      <c r="BA426" s="29">
        <v>1.0</v>
      </c>
      <c r="BB426" s="29">
        <v>1.0</v>
      </c>
      <c r="BC426" s="29" t="s">
        <v>802</v>
      </c>
      <c r="BD426" s="29" t="s">
        <v>88</v>
      </c>
      <c r="BE426" s="29" t="s">
        <v>89</v>
      </c>
      <c r="BF426" s="29" t="s">
        <v>802</v>
      </c>
      <c r="BG426" s="29" t="s">
        <v>572</v>
      </c>
      <c r="BH426" s="29" t="s">
        <v>92</v>
      </c>
      <c r="BI426" s="29" t="s">
        <v>1002</v>
      </c>
      <c r="BJ426" s="29" t="s">
        <v>1003</v>
      </c>
      <c r="BK426" s="29" t="s">
        <v>1004</v>
      </c>
      <c r="BL426" s="29" t="s">
        <v>1004</v>
      </c>
      <c r="BM426" s="45"/>
      <c r="BN426" s="45"/>
      <c r="BO426" s="46"/>
      <c r="BP426" s="2"/>
      <c r="BQ426" s="3"/>
    </row>
    <row r="427" ht="15.75" customHeight="1">
      <c r="A427" s="34">
        <v>428.0</v>
      </c>
      <c r="B427" s="34">
        <v>102960.0</v>
      </c>
      <c r="C427" s="34" t="s">
        <v>832</v>
      </c>
      <c r="D427" s="34" t="s">
        <v>1025</v>
      </c>
      <c r="E427" s="34" t="s">
        <v>1026</v>
      </c>
      <c r="F427" s="34">
        <v>2019.0</v>
      </c>
      <c r="G427" s="34" t="s">
        <v>1027</v>
      </c>
      <c r="H427" s="34" t="s">
        <v>1028</v>
      </c>
      <c r="I427" s="34" t="s">
        <v>1029</v>
      </c>
      <c r="J427" s="35"/>
      <c r="K427" s="36">
        <v>-8.77</v>
      </c>
      <c r="L427" s="36"/>
      <c r="M427" s="36"/>
      <c r="N427" s="36"/>
      <c r="O427" s="36"/>
      <c r="P427" s="37">
        <v>-38.7</v>
      </c>
      <c r="Q427" s="36" t="s">
        <v>209</v>
      </c>
      <c r="R427" s="36" t="s">
        <v>209</v>
      </c>
      <c r="S427" s="36">
        <v>1000.0</v>
      </c>
      <c r="T427" s="36" t="s">
        <v>193</v>
      </c>
      <c r="U427" s="36" t="s">
        <v>968</v>
      </c>
      <c r="V427" s="36"/>
      <c r="W427" s="36" t="s">
        <v>838</v>
      </c>
      <c r="X427" s="38">
        <v>1.0</v>
      </c>
      <c r="Y427" s="38" t="s">
        <v>1030</v>
      </c>
      <c r="Z427" s="38" t="s">
        <v>1031</v>
      </c>
      <c r="AA427" s="38" t="s">
        <v>86</v>
      </c>
      <c r="AB427" s="38">
        <v>-29.744333</v>
      </c>
      <c r="AC427" s="38">
        <v>53.149944</v>
      </c>
      <c r="AD427" s="38" t="s">
        <v>334</v>
      </c>
      <c r="AE427" s="38">
        <v>108.0</v>
      </c>
      <c r="AF427" s="38" t="s">
        <v>1032</v>
      </c>
      <c r="AG427" s="38"/>
      <c r="AH427" s="38"/>
      <c r="AI427" s="50">
        <v>-29.744333</v>
      </c>
      <c r="AJ427" s="50">
        <v>-53.149944</v>
      </c>
      <c r="AK427" s="41" t="s">
        <v>86</v>
      </c>
      <c r="AL427" s="40" t="s">
        <v>86</v>
      </c>
      <c r="AM427" s="49">
        <v>35.0</v>
      </c>
      <c r="AN427" s="51">
        <v>35.0</v>
      </c>
      <c r="AO427" s="42" t="s">
        <v>201</v>
      </c>
      <c r="AP427" s="43" t="s">
        <v>201</v>
      </c>
      <c r="AQ427" s="44" t="str">
        <f t="shared" si="45"/>
        <v>CRO</v>
      </c>
      <c r="AR427" s="44">
        <f t="shared" si="3"/>
        <v>35</v>
      </c>
      <c r="AS427" s="44" t="str">
        <f t="shared" si="46"/>
        <v>C</v>
      </c>
      <c r="AT427" s="44" t="str">
        <f t="shared" si="17"/>
        <v>Cf</v>
      </c>
      <c r="AU427" s="44" t="str">
        <f t="shared" si="2"/>
        <v>Cfa</v>
      </c>
      <c r="AV427" s="38">
        <v>3.0</v>
      </c>
      <c r="AW427" s="38"/>
      <c r="AX427" s="38" t="s">
        <v>1033</v>
      </c>
      <c r="AY427" s="38" t="s">
        <v>1034</v>
      </c>
      <c r="AZ427" s="29">
        <v>1000.0</v>
      </c>
      <c r="BA427" s="29">
        <v>1.0</v>
      </c>
      <c r="BB427" s="29">
        <v>1.0</v>
      </c>
      <c r="BC427" s="29" t="s">
        <v>219</v>
      </c>
      <c r="BD427" s="29" t="s">
        <v>88</v>
      </c>
      <c r="BE427" s="29"/>
      <c r="BF427" s="29" t="s">
        <v>219</v>
      </c>
      <c r="BG427" s="29" t="s">
        <v>220</v>
      </c>
      <c r="BH427" s="29" t="s">
        <v>92</v>
      </c>
      <c r="BI427" s="29" t="s">
        <v>1035</v>
      </c>
      <c r="BJ427" s="29" t="s">
        <v>1036</v>
      </c>
      <c r="BK427" s="29" t="s">
        <v>1037</v>
      </c>
      <c r="BL427" s="29"/>
      <c r="BM427" s="45">
        <v>1.0</v>
      </c>
      <c r="BN427" s="45">
        <v>1.0</v>
      </c>
      <c r="BO427" s="46" t="s">
        <v>219</v>
      </c>
      <c r="BP427" s="2"/>
      <c r="BQ427" s="3"/>
    </row>
    <row r="428" ht="15.75" customHeight="1">
      <c r="A428" s="34">
        <v>429.0</v>
      </c>
      <c r="B428" s="34">
        <v>102960.0</v>
      </c>
      <c r="C428" s="34" t="s">
        <v>832</v>
      </c>
      <c r="D428" s="34" t="s">
        <v>1025</v>
      </c>
      <c r="E428" s="34" t="s">
        <v>1026</v>
      </c>
      <c r="F428" s="34">
        <v>2019.0</v>
      </c>
      <c r="G428" s="34" t="s">
        <v>1027</v>
      </c>
      <c r="H428" s="34" t="s">
        <v>1028</v>
      </c>
      <c r="I428" s="34" t="s">
        <v>1029</v>
      </c>
      <c r="J428" s="35"/>
      <c r="K428" s="36">
        <v>-8.26</v>
      </c>
      <c r="L428" s="36"/>
      <c r="M428" s="36"/>
      <c r="N428" s="36"/>
      <c r="O428" s="36"/>
      <c r="P428" s="37">
        <v>-33.7</v>
      </c>
      <c r="Q428" s="36" t="s">
        <v>209</v>
      </c>
      <c r="R428" s="36" t="s">
        <v>209</v>
      </c>
      <c r="S428" s="36">
        <v>1000.0</v>
      </c>
      <c r="T428" s="36" t="s">
        <v>233</v>
      </c>
      <c r="U428" s="36" t="s">
        <v>246</v>
      </c>
      <c r="V428" s="36"/>
      <c r="W428" s="36" t="s">
        <v>838</v>
      </c>
      <c r="X428" s="38">
        <v>1.0</v>
      </c>
      <c r="Y428" s="38" t="s">
        <v>1038</v>
      </c>
      <c r="Z428" s="38" t="s">
        <v>1039</v>
      </c>
      <c r="AA428" s="38" t="s">
        <v>86</v>
      </c>
      <c r="AB428" s="38">
        <v>-30.277108</v>
      </c>
      <c r="AC428" s="38">
        <v>53.147847</v>
      </c>
      <c r="AD428" s="38" t="s">
        <v>334</v>
      </c>
      <c r="AE428" s="38">
        <v>40.5</v>
      </c>
      <c r="AF428" s="38" t="s">
        <v>1032</v>
      </c>
      <c r="AG428" s="38"/>
      <c r="AH428" s="38"/>
      <c r="AI428" s="50">
        <v>-30.277108</v>
      </c>
      <c r="AJ428" s="50">
        <v>-53.147847</v>
      </c>
      <c r="AK428" s="41" t="s">
        <v>86</v>
      </c>
      <c r="AL428" s="40" t="s">
        <v>86</v>
      </c>
      <c r="AM428" s="49">
        <v>41.0</v>
      </c>
      <c r="AN428" s="51">
        <v>41.0</v>
      </c>
      <c r="AO428" s="42" t="s">
        <v>201</v>
      </c>
      <c r="AP428" s="43" t="s">
        <v>201</v>
      </c>
      <c r="AQ428" s="44" t="str">
        <f t="shared" si="45"/>
        <v>CRO</v>
      </c>
      <c r="AR428" s="44">
        <f t="shared" si="3"/>
        <v>41</v>
      </c>
      <c r="AS428" s="44" t="str">
        <f t="shared" si="46"/>
        <v>C</v>
      </c>
      <c r="AT428" s="44" t="str">
        <f t="shared" si="17"/>
        <v>Cf</v>
      </c>
      <c r="AU428" s="44" t="str">
        <f t="shared" si="2"/>
        <v>Cfa</v>
      </c>
      <c r="AV428" s="38">
        <v>3.0</v>
      </c>
      <c r="AW428" s="38"/>
      <c r="AX428" s="38" t="s">
        <v>1040</v>
      </c>
      <c r="AY428" s="38" t="s">
        <v>1034</v>
      </c>
      <c r="AZ428" s="29">
        <v>1000.0</v>
      </c>
      <c r="BA428" s="29">
        <v>1.0</v>
      </c>
      <c r="BB428" s="29">
        <v>1.0</v>
      </c>
      <c r="BC428" s="29" t="s">
        <v>219</v>
      </c>
      <c r="BD428" s="29" t="s">
        <v>88</v>
      </c>
      <c r="BE428" s="29"/>
      <c r="BF428" s="29" t="s">
        <v>219</v>
      </c>
      <c r="BG428" s="29" t="s">
        <v>220</v>
      </c>
      <c r="BH428" s="29" t="s">
        <v>92</v>
      </c>
      <c r="BI428" s="29" t="s">
        <v>1035</v>
      </c>
      <c r="BJ428" s="29" t="s">
        <v>1036</v>
      </c>
      <c r="BK428" s="29" t="s">
        <v>1037</v>
      </c>
      <c r="BL428" s="29"/>
      <c r="BM428" s="45"/>
      <c r="BN428" s="45"/>
      <c r="BO428" s="46"/>
      <c r="BP428" s="2"/>
      <c r="BQ428" s="3"/>
    </row>
    <row r="429" ht="15.75" customHeight="1">
      <c r="A429" s="34">
        <v>430.0</v>
      </c>
      <c r="B429" s="34">
        <v>102960.0</v>
      </c>
      <c r="C429" s="34" t="s">
        <v>832</v>
      </c>
      <c r="D429" s="34" t="s">
        <v>1025</v>
      </c>
      <c r="E429" s="34" t="s">
        <v>1026</v>
      </c>
      <c r="F429" s="34">
        <v>2019.0</v>
      </c>
      <c r="G429" s="34" t="s">
        <v>1027</v>
      </c>
      <c r="H429" s="34" t="s">
        <v>1028</v>
      </c>
      <c r="I429" s="34" t="s">
        <v>1029</v>
      </c>
      <c r="J429" s="35"/>
      <c r="K429" s="36">
        <v>-4.62</v>
      </c>
      <c r="L429" s="36"/>
      <c r="M429" s="36"/>
      <c r="N429" s="36"/>
      <c r="O429" s="36"/>
      <c r="P429" s="37">
        <v>-20.7</v>
      </c>
      <c r="Q429" s="36" t="s">
        <v>209</v>
      </c>
      <c r="R429" s="36" t="s">
        <v>209</v>
      </c>
      <c r="S429" s="36">
        <v>1000.0</v>
      </c>
      <c r="T429" s="36" t="s">
        <v>233</v>
      </c>
      <c r="U429" s="36" t="s">
        <v>234</v>
      </c>
      <c r="V429" s="36"/>
      <c r="W429" s="36" t="s">
        <v>838</v>
      </c>
      <c r="X429" s="38">
        <v>1.0</v>
      </c>
      <c r="Y429" s="38" t="s">
        <v>1038</v>
      </c>
      <c r="Z429" s="38" t="s">
        <v>1039</v>
      </c>
      <c r="AA429" s="38" t="s">
        <v>86</v>
      </c>
      <c r="AB429" s="38">
        <v>-30.277108</v>
      </c>
      <c r="AC429" s="38">
        <v>53.147847</v>
      </c>
      <c r="AD429" s="38" t="s">
        <v>334</v>
      </c>
      <c r="AE429" s="38">
        <v>40.5</v>
      </c>
      <c r="AF429" s="38" t="s">
        <v>1032</v>
      </c>
      <c r="AG429" s="38"/>
      <c r="AH429" s="38"/>
      <c r="AI429" s="50">
        <v>-30.277108</v>
      </c>
      <c r="AJ429" s="50">
        <v>-53.147847</v>
      </c>
      <c r="AK429" s="41" t="s">
        <v>86</v>
      </c>
      <c r="AL429" s="40" t="s">
        <v>86</v>
      </c>
      <c r="AM429" s="49">
        <v>41.0</v>
      </c>
      <c r="AN429" s="51">
        <v>41.0</v>
      </c>
      <c r="AO429" s="42" t="s">
        <v>201</v>
      </c>
      <c r="AP429" s="43" t="s">
        <v>201</v>
      </c>
      <c r="AQ429" s="44" t="str">
        <f t="shared" si="45"/>
        <v>CRO</v>
      </c>
      <c r="AR429" s="44">
        <f t="shared" si="3"/>
        <v>41</v>
      </c>
      <c r="AS429" s="44" t="str">
        <f t="shared" si="46"/>
        <v>C</v>
      </c>
      <c r="AT429" s="44" t="str">
        <f t="shared" si="17"/>
        <v>Cf</v>
      </c>
      <c r="AU429" s="44" t="str">
        <f t="shared" si="2"/>
        <v>Cfa</v>
      </c>
      <c r="AV429" s="38">
        <v>3.0</v>
      </c>
      <c r="AW429" s="38"/>
      <c r="AX429" s="38" t="s">
        <v>1040</v>
      </c>
      <c r="AY429" s="38" t="s">
        <v>1034</v>
      </c>
      <c r="AZ429" s="29">
        <v>1000.0</v>
      </c>
      <c r="BA429" s="29">
        <v>1.0</v>
      </c>
      <c r="BB429" s="29">
        <v>1.0</v>
      </c>
      <c r="BC429" s="29" t="s">
        <v>219</v>
      </c>
      <c r="BD429" s="29" t="s">
        <v>88</v>
      </c>
      <c r="BE429" s="29"/>
      <c r="BF429" s="29" t="s">
        <v>219</v>
      </c>
      <c r="BG429" s="29" t="s">
        <v>220</v>
      </c>
      <c r="BH429" s="29" t="s">
        <v>92</v>
      </c>
      <c r="BI429" s="29" t="s">
        <v>1035</v>
      </c>
      <c r="BJ429" s="29" t="s">
        <v>1036</v>
      </c>
      <c r="BK429" s="29" t="s">
        <v>1037</v>
      </c>
      <c r="BL429" s="29"/>
      <c r="BM429" s="45"/>
      <c r="BN429" s="45"/>
      <c r="BO429" s="46"/>
      <c r="BP429" s="2" t="s">
        <v>682</v>
      </c>
      <c r="BQ429" s="3"/>
    </row>
    <row r="430" ht="15.75" customHeight="1">
      <c r="A430" s="34">
        <v>431.0</v>
      </c>
      <c r="B430" s="34">
        <v>102960.0</v>
      </c>
      <c r="C430" s="34" t="s">
        <v>832</v>
      </c>
      <c r="D430" s="34" t="s">
        <v>1025</v>
      </c>
      <c r="E430" s="34" t="s">
        <v>1026</v>
      </c>
      <c r="F430" s="34">
        <v>2019.0</v>
      </c>
      <c r="G430" s="34" t="s">
        <v>1027</v>
      </c>
      <c r="H430" s="34" t="s">
        <v>1028</v>
      </c>
      <c r="I430" s="34" t="s">
        <v>1029</v>
      </c>
      <c r="J430" s="35"/>
      <c r="K430" s="36">
        <v>-9.83</v>
      </c>
      <c r="L430" s="36"/>
      <c r="M430" s="36"/>
      <c r="N430" s="36"/>
      <c r="O430" s="36"/>
      <c r="P430" s="37">
        <v>-43.0</v>
      </c>
      <c r="Q430" s="36" t="s">
        <v>209</v>
      </c>
      <c r="R430" s="36" t="s">
        <v>209</v>
      </c>
      <c r="S430" s="36">
        <v>1000.0</v>
      </c>
      <c r="T430" s="36" t="s">
        <v>242</v>
      </c>
      <c r="U430" s="36" t="s">
        <v>243</v>
      </c>
      <c r="V430" s="36"/>
      <c r="W430" s="36" t="s">
        <v>838</v>
      </c>
      <c r="X430" s="38">
        <v>1.0</v>
      </c>
      <c r="Y430" s="38" t="s">
        <v>1038</v>
      </c>
      <c r="Z430" s="38" t="s">
        <v>1039</v>
      </c>
      <c r="AA430" s="38" t="s">
        <v>86</v>
      </c>
      <c r="AB430" s="38">
        <v>-30.277108</v>
      </c>
      <c r="AC430" s="38">
        <v>53.147847</v>
      </c>
      <c r="AD430" s="38" t="s">
        <v>334</v>
      </c>
      <c r="AE430" s="38">
        <v>40.5</v>
      </c>
      <c r="AF430" s="38" t="s">
        <v>1032</v>
      </c>
      <c r="AG430" s="38"/>
      <c r="AH430" s="38"/>
      <c r="AI430" s="50">
        <v>-30.277108</v>
      </c>
      <c r="AJ430" s="50">
        <v>-53.147847</v>
      </c>
      <c r="AK430" s="41" t="s">
        <v>86</v>
      </c>
      <c r="AL430" s="40" t="s">
        <v>86</v>
      </c>
      <c r="AM430" s="49">
        <v>41.0</v>
      </c>
      <c r="AN430" s="51">
        <v>41.0</v>
      </c>
      <c r="AO430" s="42" t="s">
        <v>201</v>
      </c>
      <c r="AP430" s="43" t="s">
        <v>201</v>
      </c>
      <c r="AQ430" s="44" t="str">
        <f t="shared" si="45"/>
        <v>CRO</v>
      </c>
      <c r="AR430" s="44">
        <f t="shared" si="3"/>
        <v>41</v>
      </c>
      <c r="AS430" s="44" t="str">
        <f t="shared" si="46"/>
        <v>C</v>
      </c>
      <c r="AT430" s="44" t="str">
        <f t="shared" si="17"/>
        <v>Cf</v>
      </c>
      <c r="AU430" s="44" t="str">
        <f t="shared" si="2"/>
        <v>Cfa</v>
      </c>
      <c r="AV430" s="38">
        <v>3.0</v>
      </c>
      <c r="AW430" s="38"/>
      <c r="AX430" s="38" t="s">
        <v>1040</v>
      </c>
      <c r="AY430" s="38" t="s">
        <v>1034</v>
      </c>
      <c r="AZ430" s="29">
        <v>1000.0</v>
      </c>
      <c r="BA430" s="29">
        <v>1.0</v>
      </c>
      <c r="BB430" s="29">
        <v>1.0</v>
      </c>
      <c r="BC430" s="29" t="s">
        <v>219</v>
      </c>
      <c r="BD430" s="29" t="s">
        <v>88</v>
      </c>
      <c r="BE430" s="29"/>
      <c r="BF430" s="29" t="s">
        <v>219</v>
      </c>
      <c r="BG430" s="29" t="s">
        <v>220</v>
      </c>
      <c r="BH430" s="29" t="s">
        <v>92</v>
      </c>
      <c r="BI430" s="29" t="s">
        <v>1035</v>
      </c>
      <c r="BJ430" s="29" t="s">
        <v>1036</v>
      </c>
      <c r="BK430" s="29" t="s">
        <v>1037</v>
      </c>
      <c r="BL430" s="29"/>
      <c r="BM430" s="45"/>
      <c r="BN430" s="45"/>
      <c r="BO430" s="46"/>
      <c r="BP430" s="73"/>
      <c r="BQ430" s="17"/>
    </row>
    <row r="431" ht="15.75" customHeight="1">
      <c r="A431" s="34">
        <v>432.0</v>
      </c>
      <c r="B431" s="34">
        <v>102960.0</v>
      </c>
      <c r="C431" s="34" t="s">
        <v>832</v>
      </c>
      <c r="D431" s="34" t="s">
        <v>1025</v>
      </c>
      <c r="E431" s="34" t="s">
        <v>1026</v>
      </c>
      <c r="F431" s="34">
        <v>2019.0</v>
      </c>
      <c r="G431" s="34" t="s">
        <v>1027</v>
      </c>
      <c r="H431" s="34" t="s">
        <v>1028</v>
      </c>
      <c r="I431" s="34" t="s">
        <v>1029</v>
      </c>
      <c r="J431" s="35"/>
      <c r="K431" s="36">
        <v>-8.99</v>
      </c>
      <c r="L431" s="36"/>
      <c r="M431" s="36"/>
      <c r="N431" s="36"/>
      <c r="O431" s="36"/>
      <c r="P431" s="37">
        <v>-34.8</v>
      </c>
      <c r="Q431" s="36" t="s">
        <v>209</v>
      </c>
      <c r="R431" s="36" t="s">
        <v>209</v>
      </c>
      <c r="S431" s="36">
        <v>1000.0</v>
      </c>
      <c r="T431" s="36" t="s">
        <v>167</v>
      </c>
      <c r="U431" s="36" t="s">
        <v>244</v>
      </c>
      <c r="V431" s="36"/>
      <c r="W431" s="36" t="s">
        <v>838</v>
      </c>
      <c r="X431" s="38">
        <v>1.0</v>
      </c>
      <c r="Y431" s="38" t="s">
        <v>1038</v>
      </c>
      <c r="Z431" s="38" t="s">
        <v>1039</v>
      </c>
      <c r="AA431" s="38" t="s">
        <v>86</v>
      </c>
      <c r="AB431" s="38">
        <v>-30.277108</v>
      </c>
      <c r="AC431" s="38">
        <v>53.147847</v>
      </c>
      <c r="AD431" s="38" t="s">
        <v>334</v>
      </c>
      <c r="AE431" s="38">
        <v>40.5</v>
      </c>
      <c r="AF431" s="38" t="s">
        <v>1032</v>
      </c>
      <c r="AG431" s="38"/>
      <c r="AH431" s="38"/>
      <c r="AI431" s="50">
        <v>-30.277108</v>
      </c>
      <c r="AJ431" s="50">
        <v>-53.147847</v>
      </c>
      <c r="AK431" s="41" t="s">
        <v>86</v>
      </c>
      <c r="AL431" s="40" t="s">
        <v>86</v>
      </c>
      <c r="AM431" s="49">
        <v>41.0</v>
      </c>
      <c r="AN431" s="51">
        <v>41.0</v>
      </c>
      <c r="AO431" s="42" t="s">
        <v>201</v>
      </c>
      <c r="AP431" s="43" t="s">
        <v>201</v>
      </c>
      <c r="AQ431" s="44" t="str">
        <f t="shared" si="45"/>
        <v>CRO</v>
      </c>
      <c r="AR431" s="44">
        <f t="shared" si="3"/>
        <v>41</v>
      </c>
      <c r="AS431" s="44" t="str">
        <f t="shared" si="46"/>
        <v>C</v>
      </c>
      <c r="AT431" s="44" t="str">
        <f t="shared" si="17"/>
        <v>Cf</v>
      </c>
      <c r="AU431" s="44" t="str">
        <f t="shared" si="2"/>
        <v>Cfa</v>
      </c>
      <c r="AV431" s="38">
        <v>3.0</v>
      </c>
      <c r="AW431" s="38"/>
      <c r="AX431" s="38" t="s">
        <v>1040</v>
      </c>
      <c r="AY431" s="38" t="s">
        <v>1034</v>
      </c>
      <c r="AZ431" s="29">
        <v>1000.0</v>
      </c>
      <c r="BA431" s="29">
        <v>1.0</v>
      </c>
      <c r="BB431" s="29">
        <v>1.0</v>
      </c>
      <c r="BC431" s="29" t="s">
        <v>219</v>
      </c>
      <c r="BD431" s="29" t="s">
        <v>88</v>
      </c>
      <c r="BE431" s="29"/>
      <c r="BF431" s="29" t="s">
        <v>219</v>
      </c>
      <c r="BG431" s="29" t="s">
        <v>220</v>
      </c>
      <c r="BH431" s="29" t="s">
        <v>92</v>
      </c>
      <c r="BI431" s="29" t="s">
        <v>1035</v>
      </c>
      <c r="BJ431" s="29" t="s">
        <v>1036</v>
      </c>
      <c r="BK431" s="29" t="s">
        <v>1037</v>
      </c>
      <c r="BL431" s="29"/>
      <c r="BM431" s="45"/>
      <c r="BN431" s="45"/>
      <c r="BO431" s="46"/>
      <c r="BP431" s="2"/>
      <c r="BQ431" s="3"/>
    </row>
    <row r="432" ht="15.75" customHeight="1">
      <c r="A432" s="34">
        <v>433.0</v>
      </c>
      <c r="B432" s="34">
        <v>102960.0</v>
      </c>
      <c r="C432" s="34" t="s">
        <v>832</v>
      </c>
      <c r="D432" s="34" t="s">
        <v>1025</v>
      </c>
      <c r="E432" s="34" t="s">
        <v>1026</v>
      </c>
      <c r="F432" s="34">
        <v>2019.0</v>
      </c>
      <c r="G432" s="34" t="s">
        <v>1027</v>
      </c>
      <c r="H432" s="34" t="s">
        <v>1028</v>
      </c>
      <c r="I432" s="34" t="s">
        <v>1029</v>
      </c>
      <c r="J432" s="35"/>
      <c r="K432" s="36">
        <v>-9.58</v>
      </c>
      <c r="L432" s="36"/>
      <c r="M432" s="36"/>
      <c r="N432" s="36"/>
      <c r="O432" s="36"/>
      <c r="P432" s="37">
        <v>-35.6</v>
      </c>
      <c r="Q432" s="36" t="s">
        <v>209</v>
      </c>
      <c r="R432" s="36" t="s">
        <v>209</v>
      </c>
      <c r="S432" s="36">
        <v>1000.0</v>
      </c>
      <c r="T432" s="36" t="s">
        <v>245</v>
      </c>
      <c r="U432" s="36" t="s">
        <v>246</v>
      </c>
      <c r="V432" s="36"/>
      <c r="W432" s="36" t="s">
        <v>838</v>
      </c>
      <c r="X432" s="38">
        <v>1.0</v>
      </c>
      <c r="Y432" s="38" t="s">
        <v>1038</v>
      </c>
      <c r="Z432" s="38" t="s">
        <v>1039</v>
      </c>
      <c r="AA432" s="38" t="s">
        <v>86</v>
      </c>
      <c r="AB432" s="38">
        <v>-30.277108</v>
      </c>
      <c r="AC432" s="38">
        <v>53.147847</v>
      </c>
      <c r="AD432" s="38" t="s">
        <v>334</v>
      </c>
      <c r="AE432" s="38">
        <v>40.5</v>
      </c>
      <c r="AF432" s="38" t="s">
        <v>1032</v>
      </c>
      <c r="AG432" s="38"/>
      <c r="AH432" s="38"/>
      <c r="AI432" s="50">
        <v>-30.277108</v>
      </c>
      <c r="AJ432" s="50">
        <v>-53.147847</v>
      </c>
      <c r="AK432" s="41" t="s">
        <v>86</v>
      </c>
      <c r="AL432" s="40" t="s">
        <v>86</v>
      </c>
      <c r="AM432" s="49">
        <v>41.0</v>
      </c>
      <c r="AN432" s="51">
        <v>41.0</v>
      </c>
      <c r="AO432" s="42" t="s">
        <v>201</v>
      </c>
      <c r="AP432" s="43" t="s">
        <v>201</v>
      </c>
      <c r="AQ432" s="44" t="str">
        <f t="shared" si="45"/>
        <v>CRO</v>
      </c>
      <c r="AR432" s="44">
        <f t="shared" si="3"/>
        <v>41</v>
      </c>
      <c r="AS432" s="44" t="str">
        <f t="shared" si="46"/>
        <v>C</v>
      </c>
      <c r="AT432" s="44" t="str">
        <f t="shared" si="17"/>
        <v>Cf</v>
      </c>
      <c r="AU432" s="44" t="str">
        <f t="shared" si="2"/>
        <v>Cfa</v>
      </c>
      <c r="AV432" s="38">
        <v>3.0</v>
      </c>
      <c r="AW432" s="38"/>
      <c r="AX432" s="38" t="s">
        <v>1040</v>
      </c>
      <c r="AY432" s="38" t="s">
        <v>1034</v>
      </c>
      <c r="AZ432" s="29">
        <v>1000.0</v>
      </c>
      <c r="BA432" s="29">
        <v>1.0</v>
      </c>
      <c r="BB432" s="29">
        <v>1.0</v>
      </c>
      <c r="BC432" s="29" t="s">
        <v>219</v>
      </c>
      <c r="BD432" s="29" t="s">
        <v>88</v>
      </c>
      <c r="BE432" s="29"/>
      <c r="BF432" s="29" t="s">
        <v>219</v>
      </c>
      <c r="BG432" s="29" t="s">
        <v>220</v>
      </c>
      <c r="BH432" s="29" t="s">
        <v>92</v>
      </c>
      <c r="BI432" s="29" t="s">
        <v>1035</v>
      </c>
      <c r="BJ432" s="29" t="s">
        <v>1036</v>
      </c>
      <c r="BK432" s="29" t="s">
        <v>1037</v>
      </c>
      <c r="BL432" s="29"/>
      <c r="BM432" s="45"/>
      <c r="BN432" s="45"/>
      <c r="BO432" s="46"/>
      <c r="BP432" s="2"/>
      <c r="BQ432" s="3"/>
    </row>
    <row r="433" ht="15.75" customHeight="1">
      <c r="A433" s="34">
        <v>434.0</v>
      </c>
      <c r="B433" s="34">
        <v>102960.0</v>
      </c>
      <c r="C433" s="34" t="s">
        <v>832</v>
      </c>
      <c r="D433" s="34" t="s">
        <v>1025</v>
      </c>
      <c r="E433" s="34" t="s">
        <v>1026</v>
      </c>
      <c r="F433" s="34">
        <v>2019.0</v>
      </c>
      <c r="G433" s="34" t="s">
        <v>1027</v>
      </c>
      <c r="H433" s="34" t="s">
        <v>1028</v>
      </c>
      <c r="I433" s="34" t="s">
        <v>1029</v>
      </c>
      <c r="J433" s="35"/>
      <c r="K433" s="36">
        <v>-6.93</v>
      </c>
      <c r="L433" s="36"/>
      <c r="M433" s="36"/>
      <c r="N433" s="36"/>
      <c r="O433" s="36"/>
      <c r="P433" s="37">
        <v>-43.3</v>
      </c>
      <c r="Q433" s="36" t="s">
        <v>209</v>
      </c>
      <c r="R433" s="36" t="s">
        <v>209</v>
      </c>
      <c r="S433" s="36">
        <v>1000.0</v>
      </c>
      <c r="T433" s="36" t="s">
        <v>233</v>
      </c>
      <c r="U433" s="36" t="s">
        <v>246</v>
      </c>
      <c r="V433" s="36"/>
      <c r="W433" s="36" t="s">
        <v>92</v>
      </c>
      <c r="X433" s="38">
        <v>1.0</v>
      </c>
      <c r="Y433" s="38" t="s">
        <v>1038</v>
      </c>
      <c r="Z433" s="38" t="s">
        <v>1039</v>
      </c>
      <c r="AA433" s="38" t="s">
        <v>86</v>
      </c>
      <c r="AB433" s="38">
        <v>-30.277108</v>
      </c>
      <c r="AC433" s="38">
        <v>53.147847</v>
      </c>
      <c r="AD433" s="38" t="s">
        <v>334</v>
      </c>
      <c r="AE433" s="38">
        <v>40.5</v>
      </c>
      <c r="AF433" s="38" t="s">
        <v>1041</v>
      </c>
      <c r="AG433" s="38"/>
      <c r="AH433" s="38"/>
      <c r="AI433" s="50">
        <v>-30.277108</v>
      </c>
      <c r="AJ433" s="50">
        <v>-53.147847</v>
      </c>
      <c r="AK433" s="41" t="s">
        <v>86</v>
      </c>
      <c r="AL433" s="40" t="s">
        <v>86</v>
      </c>
      <c r="AM433" s="49">
        <v>41.0</v>
      </c>
      <c r="AN433" s="51">
        <v>41.0</v>
      </c>
      <c r="AO433" s="42" t="s">
        <v>201</v>
      </c>
      <c r="AP433" s="43" t="s">
        <v>201</v>
      </c>
      <c r="AQ433" s="44" t="str">
        <f t="shared" si="45"/>
        <v>CRO</v>
      </c>
      <c r="AR433" s="44">
        <f t="shared" si="3"/>
        <v>41</v>
      </c>
      <c r="AS433" s="44" t="str">
        <f t="shared" si="46"/>
        <v>C</v>
      </c>
      <c r="AT433" s="44" t="str">
        <f t="shared" si="17"/>
        <v>Cf</v>
      </c>
      <c r="AU433" s="44" t="str">
        <f t="shared" si="2"/>
        <v>Cfa</v>
      </c>
      <c r="AV433" s="38">
        <v>3.0</v>
      </c>
      <c r="AW433" s="38"/>
      <c r="AX433" s="38" t="s">
        <v>1040</v>
      </c>
      <c r="AY433" s="38" t="s">
        <v>1034</v>
      </c>
      <c r="AZ433" s="29">
        <v>1000.0</v>
      </c>
      <c r="BA433" s="29">
        <v>1.0</v>
      </c>
      <c r="BB433" s="29">
        <v>1.0</v>
      </c>
      <c r="BC433" s="29" t="s">
        <v>219</v>
      </c>
      <c r="BD433" s="29" t="s">
        <v>88</v>
      </c>
      <c r="BE433" s="29"/>
      <c r="BF433" s="29" t="s">
        <v>219</v>
      </c>
      <c r="BG433" s="29" t="s">
        <v>220</v>
      </c>
      <c r="BH433" s="29" t="s">
        <v>92</v>
      </c>
      <c r="BI433" s="29" t="s">
        <v>1035</v>
      </c>
      <c r="BJ433" s="29" t="s">
        <v>1036</v>
      </c>
      <c r="BK433" s="29" t="s">
        <v>1037</v>
      </c>
      <c r="BL433" s="29"/>
      <c r="BM433" s="45"/>
      <c r="BN433" s="45"/>
      <c r="BO433" s="46"/>
      <c r="BP433" s="2"/>
      <c r="BQ433" s="3"/>
    </row>
    <row r="434" ht="15.75" customHeight="1">
      <c r="A434" s="34">
        <v>435.0</v>
      </c>
      <c r="B434" s="34">
        <v>102960.0</v>
      </c>
      <c r="C434" s="34" t="s">
        <v>832</v>
      </c>
      <c r="D434" s="34" t="s">
        <v>1025</v>
      </c>
      <c r="E434" s="34" t="s">
        <v>1026</v>
      </c>
      <c r="F434" s="34">
        <v>2019.0</v>
      </c>
      <c r="G434" s="34" t="s">
        <v>1027</v>
      </c>
      <c r="H434" s="34" t="s">
        <v>1028</v>
      </c>
      <c r="I434" s="34" t="s">
        <v>1029</v>
      </c>
      <c r="J434" s="35"/>
      <c r="K434" s="36">
        <v>-10.22</v>
      </c>
      <c r="L434" s="36"/>
      <c r="M434" s="36"/>
      <c r="N434" s="36"/>
      <c r="O434" s="36"/>
      <c r="P434" s="37">
        <v>-27.6</v>
      </c>
      <c r="Q434" s="36" t="s">
        <v>209</v>
      </c>
      <c r="R434" s="36" t="s">
        <v>209</v>
      </c>
      <c r="S434" s="36">
        <v>1000.0</v>
      </c>
      <c r="T434" s="36" t="s">
        <v>233</v>
      </c>
      <c r="U434" s="36" t="s">
        <v>246</v>
      </c>
      <c r="V434" s="36"/>
      <c r="W434" s="36" t="s">
        <v>88</v>
      </c>
      <c r="X434" s="38">
        <v>1.0</v>
      </c>
      <c r="Y434" s="38" t="s">
        <v>1038</v>
      </c>
      <c r="Z434" s="38" t="s">
        <v>1039</v>
      </c>
      <c r="AA434" s="38" t="s">
        <v>86</v>
      </c>
      <c r="AB434" s="38">
        <v>-30.277108</v>
      </c>
      <c r="AC434" s="38">
        <v>53.147847</v>
      </c>
      <c r="AD434" s="38" t="s">
        <v>334</v>
      </c>
      <c r="AE434" s="38">
        <v>40.5</v>
      </c>
      <c r="AF434" s="38" t="s">
        <v>1032</v>
      </c>
      <c r="AG434" s="38"/>
      <c r="AH434" s="38"/>
      <c r="AI434" s="50">
        <v>-30.277108</v>
      </c>
      <c r="AJ434" s="50">
        <v>-53.147847</v>
      </c>
      <c r="AK434" s="41" t="s">
        <v>86</v>
      </c>
      <c r="AL434" s="40" t="s">
        <v>86</v>
      </c>
      <c r="AM434" s="49">
        <v>41.0</v>
      </c>
      <c r="AN434" s="51">
        <v>41.0</v>
      </c>
      <c r="AO434" s="42" t="s">
        <v>201</v>
      </c>
      <c r="AP434" s="43" t="s">
        <v>201</v>
      </c>
      <c r="AQ434" s="44" t="str">
        <f t="shared" si="45"/>
        <v>CRO</v>
      </c>
      <c r="AR434" s="44">
        <f t="shared" si="3"/>
        <v>41</v>
      </c>
      <c r="AS434" s="44" t="str">
        <f t="shared" si="46"/>
        <v>C</v>
      </c>
      <c r="AT434" s="44" t="str">
        <f t="shared" si="17"/>
        <v>Cf</v>
      </c>
      <c r="AU434" s="44" t="str">
        <f t="shared" si="2"/>
        <v>Cfa</v>
      </c>
      <c r="AV434" s="38">
        <v>3.0</v>
      </c>
      <c r="AW434" s="38"/>
      <c r="AX434" s="38" t="s">
        <v>1040</v>
      </c>
      <c r="AY434" s="38" t="s">
        <v>1034</v>
      </c>
      <c r="AZ434" s="29">
        <v>1000.0</v>
      </c>
      <c r="BA434" s="29">
        <v>1.0</v>
      </c>
      <c r="BB434" s="29">
        <v>1.0</v>
      </c>
      <c r="BC434" s="29" t="s">
        <v>219</v>
      </c>
      <c r="BD434" s="29" t="s">
        <v>88</v>
      </c>
      <c r="BE434" s="29"/>
      <c r="BF434" s="29" t="s">
        <v>219</v>
      </c>
      <c r="BG434" s="29" t="s">
        <v>220</v>
      </c>
      <c r="BH434" s="29" t="s">
        <v>92</v>
      </c>
      <c r="BI434" s="29" t="s">
        <v>1035</v>
      </c>
      <c r="BJ434" s="29" t="s">
        <v>1036</v>
      </c>
      <c r="BK434" s="29" t="s">
        <v>1037</v>
      </c>
      <c r="BL434" s="29"/>
      <c r="BM434" s="45"/>
      <c r="BN434" s="45"/>
      <c r="BO434" s="46"/>
      <c r="BP434" s="2"/>
      <c r="BQ434" s="3"/>
    </row>
    <row r="435" ht="15.75" customHeight="1">
      <c r="A435" s="34">
        <v>436.0</v>
      </c>
      <c r="B435" s="34">
        <v>102960.0</v>
      </c>
      <c r="C435" s="34" t="s">
        <v>832</v>
      </c>
      <c r="D435" s="34" t="s">
        <v>1025</v>
      </c>
      <c r="E435" s="34" t="s">
        <v>1026</v>
      </c>
      <c r="F435" s="34">
        <v>2019.0</v>
      </c>
      <c r="G435" s="34" t="s">
        <v>1027</v>
      </c>
      <c r="H435" s="34" t="s">
        <v>1028</v>
      </c>
      <c r="I435" s="34" t="s">
        <v>1029</v>
      </c>
      <c r="J435" s="35"/>
      <c r="K435" s="36">
        <v>-6.88</v>
      </c>
      <c r="L435" s="36"/>
      <c r="M435" s="36"/>
      <c r="N435" s="36"/>
      <c r="O435" s="36"/>
      <c r="P435" s="37">
        <v>-44.2</v>
      </c>
      <c r="Q435" s="36" t="s">
        <v>209</v>
      </c>
      <c r="R435" s="36" t="s">
        <v>209</v>
      </c>
      <c r="S435" s="36">
        <v>1000.0</v>
      </c>
      <c r="T435" s="36" t="s">
        <v>193</v>
      </c>
      <c r="U435" s="36" t="s">
        <v>968</v>
      </c>
      <c r="V435" s="36"/>
      <c r="W435" s="36" t="s">
        <v>92</v>
      </c>
      <c r="X435" s="38">
        <v>1.0</v>
      </c>
      <c r="Y435" s="38" t="s">
        <v>1030</v>
      </c>
      <c r="Z435" s="38" t="s">
        <v>1031</v>
      </c>
      <c r="AA435" s="38" t="s">
        <v>86</v>
      </c>
      <c r="AB435" s="38">
        <v>-29.744333</v>
      </c>
      <c r="AC435" s="38">
        <v>53.149944</v>
      </c>
      <c r="AD435" s="38" t="s">
        <v>334</v>
      </c>
      <c r="AE435" s="38">
        <v>108.0</v>
      </c>
      <c r="AF435" s="38" t="s">
        <v>1041</v>
      </c>
      <c r="AG435" s="38"/>
      <c r="AH435" s="38"/>
      <c r="AI435" s="50">
        <v>-29.744333</v>
      </c>
      <c r="AJ435" s="50">
        <v>-53.149944</v>
      </c>
      <c r="AK435" s="41" t="s">
        <v>86</v>
      </c>
      <c r="AL435" s="40" t="s">
        <v>86</v>
      </c>
      <c r="AM435" s="49">
        <v>35.0</v>
      </c>
      <c r="AN435" s="51">
        <v>35.0</v>
      </c>
      <c r="AO435" s="42" t="s">
        <v>201</v>
      </c>
      <c r="AP435" s="43" t="s">
        <v>201</v>
      </c>
      <c r="AQ435" s="44" t="str">
        <f t="shared" si="45"/>
        <v>CRO</v>
      </c>
      <c r="AR435" s="44">
        <f t="shared" si="3"/>
        <v>35</v>
      </c>
      <c r="AS435" s="44" t="str">
        <f t="shared" si="46"/>
        <v>C</v>
      </c>
      <c r="AT435" s="44" t="str">
        <f t="shared" si="17"/>
        <v>Cf</v>
      </c>
      <c r="AU435" s="44" t="str">
        <f t="shared" si="2"/>
        <v>Cfa</v>
      </c>
      <c r="AV435" s="38">
        <v>3.0</v>
      </c>
      <c r="AW435" s="38"/>
      <c r="AX435" s="38" t="s">
        <v>1033</v>
      </c>
      <c r="AY435" s="38" t="s">
        <v>1034</v>
      </c>
      <c r="AZ435" s="29">
        <v>1000.0</v>
      </c>
      <c r="BA435" s="29">
        <v>1.0</v>
      </c>
      <c r="BB435" s="29">
        <v>1.0</v>
      </c>
      <c r="BC435" s="29" t="s">
        <v>219</v>
      </c>
      <c r="BD435" s="29" t="s">
        <v>88</v>
      </c>
      <c r="BE435" s="29"/>
      <c r="BF435" s="29" t="s">
        <v>219</v>
      </c>
      <c r="BG435" s="29" t="s">
        <v>220</v>
      </c>
      <c r="BH435" s="29" t="s">
        <v>92</v>
      </c>
      <c r="BI435" s="29" t="s">
        <v>1035</v>
      </c>
      <c r="BJ435" s="29" t="s">
        <v>1036</v>
      </c>
      <c r="BK435" s="29" t="s">
        <v>1037</v>
      </c>
      <c r="BL435" s="29"/>
      <c r="BM435" s="45"/>
      <c r="BN435" s="45"/>
      <c r="BO435" s="46"/>
      <c r="BP435" s="2" t="s">
        <v>1005</v>
      </c>
      <c r="BQ435" s="3"/>
    </row>
    <row r="436" ht="15.75" customHeight="1">
      <c r="A436" s="34">
        <v>437.0</v>
      </c>
      <c r="B436" s="34">
        <v>102960.0</v>
      </c>
      <c r="C436" s="34" t="s">
        <v>832</v>
      </c>
      <c r="D436" s="34" t="s">
        <v>1025</v>
      </c>
      <c r="E436" s="34" t="s">
        <v>1026</v>
      </c>
      <c r="F436" s="34">
        <v>2019.0</v>
      </c>
      <c r="G436" s="34" t="s">
        <v>1027</v>
      </c>
      <c r="H436" s="34" t="s">
        <v>1028</v>
      </c>
      <c r="I436" s="34" t="s">
        <v>1029</v>
      </c>
      <c r="J436" s="35"/>
      <c r="K436" s="36">
        <v>-12.14</v>
      </c>
      <c r="L436" s="36"/>
      <c r="M436" s="36"/>
      <c r="N436" s="36"/>
      <c r="O436" s="36"/>
      <c r="P436" s="37">
        <v>-34.2</v>
      </c>
      <c r="Q436" s="36" t="s">
        <v>209</v>
      </c>
      <c r="R436" s="36" t="s">
        <v>209</v>
      </c>
      <c r="S436" s="36">
        <v>1000.0</v>
      </c>
      <c r="T436" s="36" t="s">
        <v>193</v>
      </c>
      <c r="U436" s="36" t="s">
        <v>968</v>
      </c>
      <c r="V436" s="36"/>
      <c r="W436" s="36" t="s">
        <v>88</v>
      </c>
      <c r="X436" s="38">
        <v>1.0</v>
      </c>
      <c r="Y436" s="38" t="s">
        <v>1030</v>
      </c>
      <c r="Z436" s="38" t="s">
        <v>1031</v>
      </c>
      <c r="AA436" s="38" t="s">
        <v>86</v>
      </c>
      <c r="AB436" s="38">
        <v>-29.744333</v>
      </c>
      <c r="AC436" s="38">
        <v>53.149944</v>
      </c>
      <c r="AD436" s="38" t="s">
        <v>334</v>
      </c>
      <c r="AE436" s="38">
        <v>108.0</v>
      </c>
      <c r="AF436" s="38" t="s">
        <v>1032</v>
      </c>
      <c r="AG436" s="38"/>
      <c r="AH436" s="38"/>
      <c r="AI436" s="50">
        <v>-29.744333</v>
      </c>
      <c r="AJ436" s="50">
        <v>-53.149944</v>
      </c>
      <c r="AK436" s="41" t="s">
        <v>86</v>
      </c>
      <c r="AL436" s="40" t="s">
        <v>86</v>
      </c>
      <c r="AM436" s="49">
        <v>35.0</v>
      </c>
      <c r="AN436" s="51">
        <v>35.0</v>
      </c>
      <c r="AO436" s="42" t="s">
        <v>201</v>
      </c>
      <c r="AP436" s="43" t="s">
        <v>201</v>
      </c>
      <c r="AQ436" s="44" t="str">
        <f t="shared" si="45"/>
        <v>CRO</v>
      </c>
      <c r="AR436" s="44">
        <f t="shared" si="3"/>
        <v>35</v>
      </c>
      <c r="AS436" s="44" t="str">
        <f t="shared" si="46"/>
        <v>C</v>
      </c>
      <c r="AT436" s="44" t="str">
        <f t="shared" si="17"/>
        <v>Cf</v>
      </c>
      <c r="AU436" s="44" t="str">
        <f t="shared" si="2"/>
        <v>Cfa</v>
      </c>
      <c r="AV436" s="38">
        <v>3.0</v>
      </c>
      <c r="AW436" s="38"/>
      <c r="AX436" s="38" t="s">
        <v>1033</v>
      </c>
      <c r="AY436" s="38" t="s">
        <v>1034</v>
      </c>
      <c r="AZ436" s="29">
        <v>1000.0</v>
      </c>
      <c r="BA436" s="29">
        <v>1.0</v>
      </c>
      <c r="BB436" s="29">
        <v>1.0</v>
      </c>
      <c r="BC436" s="29" t="s">
        <v>219</v>
      </c>
      <c r="BD436" s="29" t="s">
        <v>88</v>
      </c>
      <c r="BE436" s="29"/>
      <c r="BF436" s="29" t="s">
        <v>219</v>
      </c>
      <c r="BG436" s="29" t="s">
        <v>220</v>
      </c>
      <c r="BH436" s="29" t="s">
        <v>92</v>
      </c>
      <c r="BI436" s="29" t="s">
        <v>1035</v>
      </c>
      <c r="BJ436" s="29" t="s">
        <v>1036</v>
      </c>
      <c r="BK436" s="29" t="s">
        <v>1037</v>
      </c>
      <c r="BL436" s="29"/>
      <c r="BM436" s="45"/>
      <c r="BN436" s="45"/>
      <c r="BO436" s="46"/>
      <c r="BP436" s="2"/>
      <c r="BQ436" s="3"/>
    </row>
    <row r="437" ht="15.75" customHeight="1">
      <c r="A437" s="34">
        <v>438.0</v>
      </c>
      <c r="B437" s="34">
        <v>103854.0</v>
      </c>
      <c r="C437" s="34" t="s">
        <v>832</v>
      </c>
      <c r="D437" s="34" t="s">
        <v>1042</v>
      </c>
      <c r="E437" s="34" t="s">
        <v>1043</v>
      </c>
      <c r="F437" s="34">
        <v>2016.0</v>
      </c>
      <c r="G437" s="34" t="s">
        <v>1044</v>
      </c>
      <c r="H437" s="34" t="s">
        <v>1028</v>
      </c>
      <c r="I437" s="34" t="s">
        <v>1045</v>
      </c>
      <c r="J437" s="35"/>
      <c r="K437" s="36">
        <v>0.1</v>
      </c>
      <c r="L437" s="36"/>
      <c r="M437" s="36"/>
      <c r="N437" s="36"/>
      <c r="O437" s="36"/>
      <c r="P437" s="37">
        <v>2.53</v>
      </c>
      <c r="Q437" s="36" t="s">
        <v>96</v>
      </c>
      <c r="R437" s="36" t="s">
        <v>96</v>
      </c>
      <c r="S437" s="36">
        <v>30.0</v>
      </c>
      <c r="T437" s="36" t="s">
        <v>1046</v>
      </c>
      <c r="U437" s="36" t="s">
        <v>1047</v>
      </c>
      <c r="V437" s="36">
        <v>8.0</v>
      </c>
      <c r="W437" s="36" t="s">
        <v>88</v>
      </c>
      <c r="X437" s="38">
        <v>1.0</v>
      </c>
      <c r="Y437" s="38" t="s">
        <v>523</v>
      </c>
      <c r="Z437" s="38" t="s">
        <v>524</v>
      </c>
      <c r="AA437" s="38" t="s">
        <v>86</v>
      </c>
      <c r="AB437" s="38">
        <v>41.165056</v>
      </c>
      <c r="AC437" s="38">
        <v>96.476639</v>
      </c>
      <c r="AD437" s="38" t="s">
        <v>87</v>
      </c>
      <c r="AE437" s="38">
        <v>361.0</v>
      </c>
      <c r="AF437" s="38" t="s">
        <v>1048</v>
      </c>
      <c r="AG437" s="38" t="s">
        <v>108</v>
      </c>
      <c r="AH437" s="38"/>
      <c r="AI437" s="50">
        <v>41.1651</v>
      </c>
      <c r="AJ437" s="50">
        <v>-96.4766</v>
      </c>
      <c r="AK437" s="41" t="s">
        <v>86</v>
      </c>
      <c r="AL437" s="40" t="s">
        <v>86</v>
      </c>
      <c r="AM437" s="49">
        <v>356.0</v>
      </c>
      <c r="AN437" s="51">
        <v>356.0</v>
      </c>
      <c r="AO437" s="42" t="s">
        <v>107</v>
      </c>
      <c r="AP437" s="43" t="s">
        <v>108</v>
      </c>
      <c r="AQ437" s="44" t="str">
        <f t="shared" si="45"/>
        <v>CRO</v>
      </c>
      <c r="AR437" s="44">
        <f t="shared" si="3"/>
        <v>356</v>
      </c>
      <c r="AS437" s="44" t="str">
        <f t="shared" si="46"/>
        <v>D</v>
      </c>
      <c r="AT437" s="44" t="str">
        <f t="shared" si="17"/>
        <v>Df</v>
      </c>
      <c r="AU437" s="44" t="str">
        <f t="shared" si="2"/>
        <v>Dfa</v>
      </c>
      <c r="AV437" s="38"/>
      <c r="AW437" s="38"/>
      <c r="AX437" s="38"/>
      <c r="AY437" s="38" t="s">
        <v>92</v>
      </c>
      <c r="AZ437" s="29">
        <v>30.0</v>
      </c>
      <c r="BA437" s="29">
        <v>1.0</v>
      </c>
      <c r="BB437" s="29">
        <v>1.0</v>
      </c>
      <c r="BC437" s="29"/>
      <c r="BD437" s="29" t="s">
        <v>88</v>
      </c>
      <c r="BE437" s="29" t="s">
        <v>89</v>
      </c>
      <c r="BF437" s="29" t="s">
        <v>984</v>
      </c>
      <c r="BG437" s="29" t="s">
        <v>572</v>
      </c>
      <c r="BH437" s="29" t="s">
        <v>88</v>
      </c>
      <c r="BI437" s="29" t="s">
        <v>1049</v>
      </c>
      <c r="BJ437" s="29"/>
      <c r="BK437" s="29" t="s">
        <v>180</v>
      </c>
      <c r="BL437" s="29" t="s">
        <v>180</v>
      </c>
      <c r="BM437" s="45">
        <v>1.0</v>
      </c>
      <c r="BN437" s="45">
        <v>1.0</v>
      </c>
      <c r="BO437" s="46" t="s">
        <v>1050</v>
      </c>
      <c r="BP437" s="2"/>
      <c r="BQ437" s="3"/>
    </row>
    <row r="438" ht="15.75" customHeight="1">
      <c r="A438" s="34">
        <v>439.0</v>
      </c>
      <c r="B438" s="34">
        <v>103854.0</v>
      </c>
      <c r="C438" s="34" t="s">
        <v>832</v>
      </c>
      <c r="D438" s="34" t="s">
        <v>1042</v>
      </c>
      <c r="E438" s="34" t="s">
        <v>1043</v>
      </c>
      <c r="F438" s="34">
        <v>2016.0</v>
      </c>
      <c r="G438" s="34" t="s">
        <v>1044</v>
      </c>
      <c r="H438" s="34" t="s">
        <v>1028</v>
      </c>
      <c r="I438" s="34" t="s">
        <v>1045</v>
      </c>
      <c r="J438" s="35"/>
      <c r="K438" s="36">
        <v>0.46</v>
      </c>
      <c r="L438" s="36"/>
      <c r="M438" s="36"/>
      <c r="N438" s="36"/>
      <c r="O438" s="36"/>
      <c r="P438" s="37">
        <v>12.71</v>
      </c>
      <c r="Q438" s="36" t="s">
        <v>96</v>
      </c>
      <c r="R438" s="36" t="s">
        <v>96</v>
      </c>
      <c r="S438" s="36">
        <v>30.0</v>
      </c>
      <c r="T438" s="36" t="s">
        <v>1046</v>
      </c>
      <c r="U438" s="36" t="s">
        <v>1047</v>
      </c>
      <c r="V438" s="36">
        <v>8.0</v>
      </c>
      <c r="W438" s="36" t="s">
        <v>88</v>
      </c>
      <c r="X438" s="38">
        <v>1.0</v>
      </c>
      <c r="Y438" s="38" t="s">
        <v>526</v>
      </c>
      <c r="Z438" s="38" t="s">
        <v>527</v>
      </c>
      <c r="AA438" s="38" t="s">
        <v>86</v>
      </c>
      <c r="AB438" s="38">
        <v>41.164861</v>
      </c>
      <c r="AC438" s="38">
        <v>96.470083</v>
      </c>
      <c r="AD438" s="38" t="s">
        <v>87</v>
      </c>
      <c r="AE438" s="38">
        <v>362.0</v>
      </c>
      <c r="AF438" s="38" t="s">
        <v>1051</v>
      </c>
      <c r="AG438" s="38" t="s">
        <v>108</v>
      </c>
      <c r="AH438" s="38"/>
      <c r="AI438" s="50">
        <v>41.1649</v>
      </c>
      <c r="AJ438" s="50">
        <v>-96.470083</v>
      </c>
      <c r="AK438" s="41" t="s">
        <v>86</v>
      </c>
      <c r="AL438" s="40" t="s">
        <v>86</v>
      </c>
      <c r="AM438" s="49">
        <v>355.0</v>
      </c>
      <c r="AN438" s="51">
        <v>355.0</v>
      </c>
      <c r="AO438" s="42" t="s">
        <v>107</v>
      </c>
      <c r="AP438" s="43" t="s">
        <v>108</v>
      </c>
      <c r="AQ438" s="44" t="str">
        <f t="shared" si="45"/>
        <v>CRO</v>
      </c>
      <c r="AR438" s="44">
        <f t="shared" si="3"/>
        <v>355</v>
      </c>
      <c r="AS438" s="44" t="str">
        <f t="shared" si="46"/>
        <v>D</v>
      </c>
      <c r="AT438" s="44" t="str">
        <f t="shared" si="17"/>
        <v>Df</v>
      </c>
      <c r="AU438" s="44" t="str">
        <f t="shared" si="2"/>
        <v>Dfa</v>
      </c>
      <c r="AV438" s="38"/>
      <c r="AW438" s="38"/>
      <c r="AX438" s="38"/>
      <c r="AY438" s="38" t="s">
        <v>92</v>
      </c>
      <c r="AZ438" s="29">
        <v>30.0</v>
      </c>
      <c r="BA438" s="29">
        <v>1.0</v>
      </c>
      <c r="BB438" s="29">
        <v>1.0</v>
      </c>
      <c r="BC438" s="29"/>
      <c r="BD438" s="29" t="s">
        <v>88</v>
      </c>
      <c r="BE438" s="29" t="s">
        <v>89</v>
      </c>
      <c r="BF438" s="29" t="s">
        <v>984</v>
      </c>
      <c r="BG438" s="29" t="s">
        <v>572</v>
      </c>
      <c r="BH438" s="29" t="s">
        <v>88</v>
      </c>
      <c r="BI438" s="29" t="s">
        <v>1049</v>
      </c>
      <c r="BJ438" s="29"/>
      <c r="BK438" s="29" t="s">
        <v>180</v>
      </c>
      <c r="BL438" s="29" t="s">
        <v>180</v>
      </c>
      <c r="BM438" s="45">
        <v>1.0</v>
      </c>
      <c r="BN438" s="45">
        <v>1.0</v>
      </c>
      <c r="BO438" s="46" t="s">
        <v>1050</v>
      </c>
      <c r="BP438" s="2"/>
      <c r="BQ438" s="3"/>
    </row>
    <row r="439" ht="15.75" customHeight="1">
      <c r="A439" s="34">
        <v>440.0</v>
      </c>
      <c r="B439" s="34">
        <v>103854.0</v>
      </c>
      <c r="C439" s="34" t="s">
        <v>832</v>
      </c>
      <c r="D439" s="34" t="s">
        <v>1042</v>
      </c>
      <c r="E439" s="34" t="s">
        <v>1043</v>
      </c>
      <c r="F439" s="34">
        <v>2016.0</v>
      </c>
      <c r="G439" s="34" t="s">
        <v>1044</v>
      </c>
      <c r="H439" s="34" t="s">
        <v>1028</v>
      </c>
      <c r="I439" s="34" t="s">
        <v>1045</v>
      </c>
      <c r="J439" s="35"/>
      <c r="K439" s="36">
        <v>0.45</v>
      </c>
      <c r="L439" s="36"/>
      <c r="M439" s="36"/>
      <c r="N439" s="36"/>
      <c r="O439" s="36"/>
      <c r="P439" s="37">
        <v>13.71</v>
      </c>
      <c r="Q439" s="36" t="s">
        <v>96</v>
      </c>
      <c r="R439" s="36" t="s">
        <v>96</v>
      </c>
      <c r="S439" s="36">
        <v>30.0</v>
      </c>
      <c r="T439" s="36" t="s">
        <v>1046</v>
      </c>
      <c r="U439" s="36" t="s">
        <v>1047</v>
      </c>
      <c r="V439" s="36">
        <v>8.0</v>
      </c>
      <c r="W439" s="36" t="s">
        <v>88</v>
      </c>
      <c r="X439" s="38">
        <v>1.0</v>
      </c>
      <c r="Y439" s="38" t="s">
        <v>529</v>
      </c>
      <c r="Z439" s="38" t="s">
        <v>530</v>
      </c>
      <c r="AA439" s="38" t="s">
        <v>86</v>
      </c>
      <c r="AB439" s="38">
        <v>41.179667</v>
      </c>
      <c r="AC439" s="38">
        <v>96.439639</v>
      </c>
      <c r="AD439" s="38" t="s">
        <v>87</v>
      </c>
      <c r="AE439" s="38">
        <v>363.0</v>
      </c>
      <c r="AF439" s="38" t="s">
        <v>1051</v>
      </c>
      <c r="AG439" s="38" t="s">
        <v>108</v>
      </c>
      <c r="AH439" s="38"/>
      <c r="AI439" s="50">
        <v>41.1797</v>
      </c>
      <c r="AJ439" s="50">
        <v>-96.439639</v>
      </c>
      <c r="AK439" s="41" t="s">
        <v>86</v>
      </c>
      <c r="AL439" s="40" t="s">
        <v>86</v>
      </c>
      <c r="AM439" s="49">
        <v>359.0</v>
      </c>
      <c r="AN439" s="51">
        <v>359.0</v>
      </c>
      <c r="AO439" s="42" t="s">
        <v>107</v>
      </c>
      <c r="AP439" s="43" t="s">
        <v>108</v>
      </c>
      <c r="AQ439" s="44" t="str">
        <f t="shared" si="45"/>
        <v>CRO</v>
      </c>
      <c r="AR439" s="44">
        <f t="shared" si="3"/>
        <v>359</v>
      </c>
      <c r="AS439" s="44" t="str">
        <f t="shared" si="46"/>
        <v>D</v>
      </c>
      <c r="AT439" s="44" t="str">
        <f t="shared" si="17"/>
        <v>Df</v>
      </c>
      <c r="AU439" s="44" t="str">
        <f t="shared" si="2"/>
        <v>Dfa</v>
      </c>
      <c r="AV439" s="38"/>
      <c r="AW439" s="38"/>
      <c r="AX439" s="38"/>
      <c r="AY439" s="38" t="s">
        <v>92</v>
      </c>
      <c r="AZ439" s="29">
        <v>30.0</v>
      </c>
      <c r="BA439" s="29">
        <v>1.0</v>
      </c>
      <c r="BB439" s="29">
        <v>1.0</v>
      </c>
      <c r="BC439" s="29"/>
      <c r="BD439" s="29" t="s">
        <v>88</v>
      </c>
      <c r="BE439" s="29" t="s">
        <v>89</v>
      </c>
      <c r="BF439" s="29" t="s">
        <v>984</v>
      </c>
      <c r="BG439" s="29" t="s">
        <v>572</v>
      </c>
      <c r="BH439" s="29" t="s">
        <v>88</v>
      </c>
      <c r="BI439" s="29" t="s">
        <v>1049</v>
      </c>
      <c r="BJ439" s="29"/>
      <c r="BK439" s="29" t="s">
        <v>180</v>
      </c>
      <c r="BL439" s="29" t="s">
        <v>180</v>
      </c>
      <c r="BM439" s="45">
        <v>1.0</v>
      </c>
      <c r="BN439" s="45">
        <v>1.0</v>
      </c>
      <c r="BO439" s="46" t="s">
        <v>1050</v>
      </c>
      <c r="BP439" s="2"/>
      <c r="BQ439" s="3"/>
    </row>
    <row r="440" ht="15.75" customHeight="1">
      <c r="A440" s="34">
        <v>441.0</v>
      </c>
      <c r="B440" s="34">
        <v>103854.0</v>
      </c>
      <c r="C440" s="34" t="s">
        <v>832</v>
      </c>
      <c r="D440" s="34" t="s">
        <v>1042</v>
      </c>
      <c r="E440" s="34" t="s">
        <v>1043</v>
      </c>
      <c r="F440" s="34">
        <v>2016.0</v>
      </c>
      <c r="G440" s="34" t="s">
        <v>1044</v>
      </c>
      <c r="H440" s="34" t="s">
        <v>1028</v>
      </c>
      <c r="I440" s="34" t="s">
        <v>1045</v>
      </c>
      <c r="J440" s="35"/>
      <c r="K440" s="36">
        <v>-1.86</v>
      </c>
      <c r="L440" s="36"/>
      <c r="M440" s="36"/>
      <c r="N440" s="36"/>
      <c r="O440" s="36"/>
      <c r="P440" s="37">
        <v>-47.21</v>
      </c>
      <c r="Q440" s="36" t="s">
        <v>96</v>
      </c>
      <c r="R440" s="36" t="s">
        <v>96</v>
      </c>
      <c r="S440" s="36">
        <v>30.0</v>
      </c>
      <c r="T440" s="36" t="s">
        <v>1046</v>
      </c>
      <c r="U440" s="36" t="s">
        <v>1047</v>
      </c>
      <c r="V440" s="36">
        <v>8.0</v>
      </c>
      <c r="W440" s="36" t="s">
        <v>88</v>
      </c>
      <c r="X440" s="38">
        <v>1.0</v>
      </c>
      <c r="Y440" s="38" t="s">
        <v>523</v>
      </c>
      <c r="Z440" s="38" t="s">
        <v>524</v>
      </c>
      <c r="AA440" s="38" t="s">
        <v>86</v>
      </c>
      <c r="AB440" s="38">
        <v>41.165056</v>
      </c>
      <c r="AC440" s="38">
        <v>96.476639</v>
      </c>
      <c r="AD440" s="38" t="s">
        <v>87</v>
      </c>
      <c r="AE440" s="38">
        <v>361.0</v>
      </c>
      <c r="AF440" s="38" t="s">
        <v>1048</v>
      </c>
      <c r="AG440" s="38" t="s">
        <v>108</v>
      </c>
      <c r="AH440" s="38"/>
      <c r="AI440" s="50">
        <v>41.1651</v>
      </c>
      <c r="AJ440" s="50">
        <v>-96.4766</v>
      </c>
      <c r="AK440" s="41" t="s">
        <v>86</v>
      </c>
      <c r="AL440" s="40" t="s">
        <v>86</v>
      </c>
      <c r="AM440" s="49">
        <v>356.0</v>
      </c>
      <c r="AN440" s="51">
        <v>356.0</v>
      </c>
      <c r="AO440" s="42" t="s">
        <v>107</v>
      </c>
      <c r="AP440" s="43" t="s">
        <v>108</v>
      </c>
      <c r="AQ440" s="44" t="str">
        <f t="shared" si="45"/>
        <v>CRO</v>
      </c>
      <c r="AR440" s="44">
        <f t="shared" si="3"/>
        <v>356</v>
      </c>
      <c r="AS440" s="44" t="str">
        <f t="shared" si="46"/>
        <v>D</v>
      </c>
      <c r="AT440" s="44" t="str">
        <f t="shared" si="17"/>
        <v>Df</v>
      </c>
      <c r="AU440" s="44" t="str">
        <f t="shared" si="2"/>
        <v>Dfa</v>
      </c>
      <c r="AV440" s="38"/>
      <c r="AW440" s="38"/>
      <c r="AX440" s="38"/>
      <c r="AY440" s="38" t="s">
        <v>92</v>
      </c>
      <c r="AZ440" s="29">
        <v>30.0</v>
      </c>
      <c r="BA440" s="29">
        <v>1.0</v>
      </c>
      <c r="BB440" s="29">
        <v>1.0</v>
      </c>
      <c r="BC440" s="29"/>
      <c r="BD440" s="29" t="s">
        <v>88</v>
      </c>
      <c r="BE440" s="29" t="s">
        <v>89</v>
      </c>
      <c r="BF440" s="29" t="s">
        <v>571</v>
      </c>
      <c r="BG440" s="29" t="s">
        <v>572</v>
      </c>
      <c r="BH440" s="29" t="s">
        <v>92</v>
      </c>
      <c r="BI440" s="29" t="s">
        <v>1052</v>
      </c>
      <c r="BJ440" s="29"/>
      <c r="BK440" s="29" t="s">
        <v>180</v>
      </c>
      <c r="BL440" s="29" t="s">
        <v>180</v>
      </c>
      <c r="BM440" s="45">
        <v>1.0</v>
      </c>
      <c r="BN440" s="45">
        <v>1.0</v>
      </c>
      <c r="BO440" s="46" t="s">
        <v>1050</v>
      </c>
      <c r="BP440" s="2"/>
      <c r="BQ440" s="3"/>
    </row>
    <row r="441" ht="15.75" customHeight="1">
      <c r="A441" s="34">
        <v>442.0</v>
      </c>
      <c r="B441" s="34">
        <v>103854.0</v>
      </c>
      <c r="C441" s="34" t="s">
        <v>832</v>
      </c>
      <c r="D441" s="34" t="s">
        <v>1042</v>
      </c>
      <c r="E441" s="34" t="s">
        <v>1043</v>
      </c>
      <c r="F441" s="34">
        <v>2016.0</v>
      </c>
      <c r="G441" s="34" t="s">
        <v>1044</v>
      </c>
      <c r="H441" s="34" t="s">
        <v>1028</v>
      </c>
      <c r="I441" s="34" t="s">
        <v>1045</v>
      </c>
      <c r="J441" s="35"/>
      <c r="K441" s="36">
        <v>-1.67</v>
      </c>
      <c r="L441" s="36"/>
      <c r="M441" s="36"/>
      <c r="N441" s="36"/>
      <c r="O441" s="36"/>
      <c r="P441" s="37">
        <v>-46.4</v>
      </c>
      <c r="Q441" s="36" t="s">
        <v>96</v>
      </c>
      <c r="R441" s="36" t="s">
        <v>96</v>
      </c>
      <c r="S441" s="36">
        <v>30.0</v>
      </c>
      <c r="T441" s="36" t="s">
        <v>1046</v>
      </c>
      <c r="U441" s="36" t="s">
        <v>1047</v>
      </c>
      <c r="V441" s="36">
        <v>8.0</v>
      </c>
      <c r="W441" s="36" t="s">
        <v>88</v>
      </c>
      <c r="X441" s="38">
        <v>1.0</v>
      </c>
      <c r="Y441" s="38" t="s">
        <v>526</v>
      </c>
      <c r="Z441" s="38" t="s">
        <v>527</v>
      </c>
      <c r="AA441" s="38" t="s">
        <v>86</v>
      </c>
      <c r="AB441" s="38">
        <v>41.164861</v>
      </c>
      <c r="AC441" s="38">
        <v>96.470083</v>
      </c>
      <c r="AD441" s="38" t="s">
        <v>87</v>
      </c>
      <c r="AE441" s="38">
        <v>362.0</v>
      </c>
      <c r="AF441" s="38" t="s">
        <v>1051</v>
      </c>
      <c r="AG441" s="38" t="s">
        <v>108</v>
      </c>
      <c r="AH441" s="38"/>
      <c r="AI441" s="50">
        <v>41.1649</v>
      </c>
      <c r="AJ441" s="50">
        <v>-96.470083</v>
      </c>
      <c r="AK441" s="41" t="s">
        <v>86</v>
      </c>
      <c r="AL441" s="40" t="s">
        <v>86</v>
      </c>
      <c r="AM441" s="49">
        <v>355.0</v>
      </c>
      <c r="AN441" s="51">
        <v>355.0</v>
      </c>
      <c r="AO441" s="42" t="s">
        <v>107</v>
      </c>
      <c r="AP441" s="43" t="s">
        <v>108</v>
      </c>
      <c r="AQ441" s="44" t="str">
        <f t="shared" si="45"/>
        <v>CRO</v>
      </c>
      <c r="AR441" s="44">
        <f t="shared" si="3"/>
        <v>355</v>
      </c>
      <c r="AS441" s="44" t="str">
        <f t="shared" si="46"/>
        <v>D</v>
      </c>
      <c r="AT441" s="44" t="str">
        <f t="shared" si="17"/>
        <v>Df</v>
      </c>
      <c r="AU441" s="44" t="str">
        <f t="shared" si="2"/>
        <v>Dfa</v>
      </c>
      <c r="AV441" s="38"/>
      <c r="AW441" s="38"/>
      <c r="AX441" s="38"/>
      <c r="AY441" s="38" t="s">
        <v>92</v>
      </c>
      <c r="AZ441" s="29">
        <v>30.0</v>
      </c>
      <c r="BA441" s="29">
        <v>1.0</v>
      </c>
      <c r="BB441" s="29">
        <v>1.0</v>
      </c>
      <c r="BC441" s="29"/>
      <c r="BD441" s="29" t="s">
        <v>88</v>
      </c>
      <c r="BE441" s="29" t="s">
        <v>89</v>
      </c>
      <c r="BF441" s="29" t="s">
        <v>571</v>
      </c>
      <c r="BG441" s="29" t="s">
        <v>572</v>
      </c>
      <c r="BH441" s="29" t="s">
        <v>92</v>
      </c>
      <c r="BI441" s="29" t="s">
        <v>1052</v>
      </c>
      <c r="BJ441" s="29"/>
      <c r="BK441" s="29" t="s">
        <v>180</v>
      </c>
      <c r="BL441" s="29" t="s">
        <v>180</v>
      </c>
      <c r="BM441" s="45">
        <v>1.0</v>
      </c>
      <c r="BN441" s="45">
        <v>1.0</v>
      </c>
      <c r="BO441" s="46" t="s">
        <v>1050</v>
      </c>
      <c r="BP441" s="2"/>
      <c r="BQ441" s="3"/>
    </row>
    <row r="442" ht="15.75" customHeight="1">
      <c r="A442" s="34">
        <v>443.0</v>
      </c>
      <c r="B442" s="34">
        <v>103854.0</v>
      </c>
      <c r="C442" s="34" t="s">
        <v>832</v>
      </c>
      <c r="D442" s="34" t="s">
        <v>1042</v>
      </c>
      <c r="E442" s="34" t="s">
        <v>1043</v>
      </c>
      <c r="F442" s="34">
        <v>2016.0</v>
      </c>
      <c r="G442" s="34" t="s">
        <v>1044</v>
      </c>
      <c r="H442" s="34" t="s">
        <v>1028</v>
      </c>
      <c r="I442" s="34" t="s">
        <v>1045</v>
      </c>
      <c r="J442" s="35"/>
      <c r="K442" s="36">
        <v>-1.29</v>
      </c>
      <c r="L442" s="36"/>
      <c r="M442" s="36"/>
      <c r="N442" s="36"/>
      <c r="O442" s="36"/>
      <c r="P442" s="37">
        <v>-39.59</v>
      </c>
      <c r="Q442" s="36" t="s">
        <v>96</v>
      </c>
      <c r="R442" s="36" t="s">
        <v>96</v>
      </c>
      <c r="S442" s="36">
        <v>30.0</v>
      </c>
      <c r="T442" s="36" t="s">
        <v>1046</v>
      </c>
      <c r="U442" s="36" t="s">
        <v>1047</v>
      </c>
      <c r="V442" s="36">
        <v>8.0</v>
      </c>
      <c r="W442" s="36" t="s">
        <v>88</v>
      </c>
      <c r="X442" s="38">
        <v>1.0</v>
      </c>
      <c r="Y442" s="38" t="s">
        <v>529</v>
      </c>
      <c r="Z442" s="38" t="s">
        <v>530</v>
      </c>
      <c r="AA442" s="38" t="s">
        <v>86</v>
      </c>
      <c r="AB442" s="38">
        <v>41.179667</v>
      </c>
      <c r="AC442" s="38">
        <v>96.439639</v>
      </c>
      <c r="AD442" s="38" t="s">
        <v>87</v>
      </c>
      <c r="AE442" s="38">
        <v>363.0</v>
      </c>
      <c r="AF442" s="38" t="s">
        <v>1051</v>
      </c>
      <c r="AG442" s="38" t="s">
        <v>108</v>
      </c>
      <c r="AH442" s="38"/>
      <c r="AI442" s="50">
        <v>41.1797</v>
      </c>
      <c r="AJ442" s="50">
        <v>-96.439639</v>
      </c>
      <c r="AK442" s="41" t="s">
        <v>86</v>
      </c>
      <c r="AL442" s="40" t="s">
        <v>86</v>
      </c>
      <c r="AM442" s="49">
        <v>359.0</v>
      </c>
      <c r="AN442" s="51">
        <v>359.0</v>
      </c>
      <c r="AO442" s="42" t="s">
        <v>107</v>
      </c>
      <c r="AP442" s="43" t="s">
        <v>108</v>
      </c>
      <c r="AQ442" s="44" t="str">
        <f t="shared" si="45"/>
        <v>CRO</v>
      </c>
      <c r="AR442" s="44">
        <f t="shared" si="3"/>
        <v>359</v>
      </c>
      <c r="AS442" s="44" t="str">
        <f t="shared" si="46"/>
        <v>D</v>
      </c>
      <c r="AT442" s="44" t="str">
        <f t="shared" si="17"/>
        <v>Df</v>
      </c>
      <c r="AU442" s="44" t="str">
        <f t="shared" si="2"/>
        <v>Dfa</v>
      </c>
      <c r="AV442" s="38"/>
      <c r="AW442" s="38"/>
      <c r="AX442" s="38"/>
      <c r="AY442" s="38" t="s">
        <v>92</v>
      </c>
      <c r="AZ442" s="29">
        <v>30.0</v>
      </c>
      <c r="BA442" s="29">
        <v>1.0</v>
      </c>
      <c r="BB442" s="29">
        <v>1.0</v>
      </c>
      <c r="BC442" s="29"/>
      <c r="BD442" s="29" t="s">
        <v>88</v>
      </c>
      <c r="BE442" s="29" t="s">
        <v>89</v>
      </c>
      <c r="BF442" s="29" t="s">
        <v>571</v>
      </c>
      <c r="BG442" s="29" t="s">
        <v>572</v>
      </c>
      <c r="BH442" s="29" t="s">
        <v>92</v>
      </c>
      <c r="BI442" s="29" t="s">
        <v>1052</v>
      </c>
      <c r="BJ442" s="29"/>
      <c r="BK442" s="29" t="s">
        <v>180</v>
      </c>
      <c r="BL442" s="29" t="s">
        <v>180</v>
      </c>
      <c r="BM442" s="45">
        <v>1.0</v>
      </c>
      <c r="BN442" s="45">
        <v>1.0</v>
      </c>
      <c r="BO442" s="46" t="s">
        <v>1050</v>
      </c>
      <c r="BP442" s="2"/>
      <c r="BQ442" s="3"/>
    </row>
    <row r="443" ht="15.75" customHeight="1">
      <c r="A443" s="34">
        <v>444.0</v>
      </c>
      <c r="B443" s="34">
        <v>103854.0</v>
      </c>
      <c r="C443" s="34" t="s">
        <v>832</v>
      </c>
      <c r="D443" s="34" t="s">
        <v>1042</v>
      </c>
      <c r="E443" s="34" t="s">
        <v>1043</v>
      </c>
      <c r="F443" s="34">
        <v>2016.0</v>
      </c>
      <c r="G443" s="34" t="s">
        <v>1044</v>
      </c>
      <c r="H443" s="34" t="s">
        <v>1028</v>
      </c>
      <c r="I443" s="34" t="s">
        <v>1045</v>
      </c>
      <c r="J443" s="35"/>
      <c r="K443" s="36">
        <v>-1.22</v>
      </c>
      <c r="L443" s="36"/>
      <c r="M443" s="36"/>
      <c r="N443" s="36"/>
      <c r="O443" s="36"/>
      <c r="P443" s="37">
        <v>-31.11</v>
      </c>
      <c r="Q443" s="36" t="s">
        <v>96</v>
      </c>
      <c r="R443" s="36" t="s">
        <v>96</v>
      </c>
      <c r="S443" s="36">
        <v>30.0</v>
      </c>
      <c r="T443" s="36" t="s">
        <v>1046</v>
      </c>
      <c r="U443" s="36" t="s">
        <v>1047</v>
      </c>
      <c r="V443" s="36">
        <v>8.0</v>
      </c>
      <c r="W443" s="36" t="s">
        <v>88</v>
      </c>
      <c r="X443" s="38">
        <v>1.0</v>
      </c>
      <c r="Y443" s="38" t="s">
        <v>523</v>
      </c>
      <c r="Z443" s="38" t="s">
        <v>524</v>
      </c>
      <c r="AA443" s="38" t="s">
        <v>86</v>
      </c>
      <c r="AB443" s="38">
        <v>41.165056</v>
      </c>
      <c r="AC443" s="38">
        <v>96.476639</v>
      </c>
      <c r="AD443" s="38" t="s">
        <v>87</v>
      </c>
      <c r="AE443" s="38">
        <v>361.0</v>
      </c>
      <c r="AF443" s="38" t="s">
        <v>1048</v>
      </c>
      <c r="AG443" s="38" t="s">
        <v>108</v>
      </c>
      <c r="AH443" s="38"/>
      <c r="AI443" s="50">
        <v>41.1651</v>
      </c>
      <c r="AJ443" s="50">
        <v>-96.4766</v>
      </c>
      <c r="AK443" s="41" t="s">
        <v>86</v>
      </c>
      <c r="AL443" s="40" t="s">
        <v>86</v>
      </c>
      <c r="AM443" s="49">
        <v>356.0</v>
      </c>
      <c r="AN443" s="51">
        <v>356.0</v>
      </c>
      <c r="AO443" s="42" t="s">
        <v>107</v>
      </c>
      <c r="AP443" s="43" t="s">
        <v>108</v>
      </c>
      <c r="AQ443" s="44" t="str">
        <f t="shared" si="45"/>
        <v>CRO</v>
      </c>
      <c r="AR443" s="44">
        <f t="shared" si="3"/>
        <v>356</v>
      </c>
      <c r="AS443" s="44" t="str">
        <f t="shared" si="46"/>
        <v>D</v>
      </c>
      <c r="AT443" s="44" t="str">
        <f t="shared" si="17"/>
        <v>Df</v>
      </c>
      <c r="AU443" s="44" t="str">
        <f t="shared" si="2"/>
        <v>Dfa</v>
      </c>
      <c r="AV443" s="38"/>
      <c r="AW443" s="38"/>
      <c r="AX443" s="38"/>
      <c r="AY443" s="38" t="s">
        <v>92</v>
      </c>
      <c r="AZ443" s="29">
        <v>30.0</v>
      </c>
      <c r="BA443" s="29">
        <v>1.0</v>
      </c>
      <c r="BB443" s="29">
        <v>1.0</v>
      </c>
      <c r="BC443" s="29"/>
      <c r="BD443" s="29" t="s">
        <v>88</v>
      </c>
      <c r="BE443" s="29" t="s">
        <v>89</v>
      </c>
      <c r="BF443" s="29" t="s">
        <v>936</v>
      </c>
      <c r="BG443" s="29" t="s">
        <v>572</v>
      </c>
      <c r="BH443" s="29" t="s">
        <v>92</v>
      </c>
      <c r="BI443" s="29" t="s">
        <v>1052</v>
      </c>
      <c r="BJ443" s="29"/>
      <c r="BK443" s="29" t="s">
        <v>180</v>
      </c>
      <c r="BL443" s="29" t="s">
        <v>180</v>
      </c>
      <c r="BM443" s="45">
        <v>1.0</v>
      </c>
      <c r="BN443" s="45">
        <v>1.0</v>
      </c>
      <c r="BO443" s="46" t="s">
        <v>1050</v>
      </c>
      <c r="BP443" s="2"/>
      <c r="BQ443" s="3"/>
    </row>
    <row r="444" ht="15.75" customHeight="1">
      <c r="A444" s="34">
        <v>445.0</v>
      </c>
      <c r="B444" s="34">
        <v>103854.0</v>
      </c>
      <c r="C444" s="34" t="s">
        <v>832</v>
      </c>
      <c r="D444" s="34" t="s">
        <v>1042</v>
      </c>
      <c r="E444" s="34" t="s">
        <v>1043</v>
      </c>
      <c r="F444" s="34">
        <v>2016.0</v>
      </c>
      <c r="G444" s="34" t="s">
        <v>1044</v>
      </c>
      <c r="H444" s="34" t="s">
        <v>1028</v>
      </c>
      <c r="I444" s="34" t="s">
        <v>1045</v>
      </c>
      <c r="J444" s="35"/>
      <c r="K444" s="36">
        <v>-0.96</v>
      </c>
      <c r="L444" s="36"/>
      <c r="M444" s="36"/>
      <c r="N444" s="36"/>
      <c r="O444" s="36"/>
      <c r="P444" s="37">
        <v>-26.77</v>
      </c>
      <c r="Q444" s="36" t="s">
        <v>96</v>
      </c>
      <c r="R444" s="36" t="s">
        <v>96</v>
      </c>
      <c r="S444" s="36">
        <v>30.0</v>
      </c>
      <c r="T444" s="36" t="s">
        <v>1046</v>
      </c>
      <c r="U444" s="36" t="s">
        <v>1047</v>
      </c>
      <c r="V444" s="36">
        <v>8.0</v>
      </c>
      <c r="W444" s="36" t="s">
        <v>88</v>
      </c>
      <c r="X444" s="38">
        <v>1.0</v>
      </c>
      <c r="Y444" s="38" t="s">
        <v>526</v>
      </c>
      <c r="Z444" s="38" t="s">
        <v>527</v>
      </c>
      <c r="AA444" s="38" t="s">
        <v>86</v>
      </c>
      <c r="AB444" s="38">
        <v>41.164861</v>
      </c>
      <c r="AC444" s="38">
        <v>96.470083</v>
      </c>
      <c r="AD444" s="38" t="s">
        <v>87</v>
      </c>
      <c r="AE444" s="38">
        <v>362.0</v>
      </c>
      <c r="AF444" s="38" t="s">
        <v>1051</v>
      </c>
      <c r="AG444" s="38" t="s">
        <v>108</v>
      </c>
      <c r="AH444" s="38"/>
      <c r="AI444" s="50">
        <v>41.1649</v>
      </c>
      <c r="AJ444" s="50">
        <v>-96.470083</v>
      </c>
      <c r="AK444" s="41" t="s">
        <v>86</v>
      </c>
      <c r="AL444" s="40" t="s">
        <v>86</v>
      </c>
      <c r="AM444" s="49">
        <v>355.0</v>
      </c>
      <c r="AN444" s="51">
        <v>355.0</v>
      </c>
      <c r="AO444" s="42" t="s">
        <v>107</v>
      </c>
      <c r="AP444" s="43" t="s">
        <v>108</v>
      </c>
      <c r="AQ444" s="44" t="str">
        <f t="shared" si="45"/>
        <v>CRO</v>
      </c>
      <c r="AR444" s="44">
        <f t="shared" si="3"/>
        <v>355</v>
      </c>
      <c r="AS444" s="44" t="str">
        <f t="shared" si="46"/>
        <v>D</v>
      </c>
      <c r="AT444" s="44" t="str">
        <f t="shared" si="17"/>
        <v>Df</v>
      </c>
      <c r="AU444" s="44" t="str">
        <f t="shared" si="2"/>
        <v>Dfa</v>
      </c>
      <c r="AV444" s="38"/>
      <c r="AW444" s="38"/>
      <c r="AX444" s="38"/>
      <c r="AY444" s="38" t="s">
        <v>92</v>
      </c>
      <c r="AZ444" s="29">
        <v>30.0</v>
      </c>
      <c r="BA444" s="29">
        <v>1.0</v>
      </c>
      <c r="BB444" s="29">
        <v>1.0</v>
      </c>
      <c r="BC444" s="29"/>
      <c r="BD444" s="29" t="s">
        <v>88</v>
      </c>
      <c r="BE444" s="29" t="s">
        <v>89</v>
      </c>
      <c r="BF444" s="29" t="s">
        <v>936</v>
      </c>
      <c r="BG444" s="29" t="s">
        <v>572</v>
      </c>
      <c r="BH444" s="29" t="s">
        <v>92</v>
      </c>
      <c r="BI444" s="29" t="s">
        <v>1052</v>
      </c>
      <c r="BJ444" s="29"/>
      <c r="BK444" s="29" t="s">
        <v>180</v>
      </c>
      <c r="BL444" s="29" t="s">
        <v>180</v>
      </c>
      <c r="BM444" s="45">
        <v>1.0</v>
      </c>
      <c r="BN444" s="45">
        <v>1.0</v>
      </c>
      <c r="BO444" s="46" t="s">
        <v>1050</v>
      </c>
      <c r="BP444" s="2"/>
      <c r="BQ444" s="3"/>
    </row>
    <row r="445" ht="15.75" customHeight="1">
      <c r="A445" s="34">
        <v>446.0</v>
      </c>
      <c r="B445" s="34">
        <v>103854.0</v>
      </c>
      <c r="C445" s="34" t="s">
        <v>832</v>
      </c>
      <c r="D445" s="34" t="s">
        <v>1042</v>
      </c>
      <c r="E445" s="34" t="s">
        <v>1043</v>
      </c>
      <c r="F445" s="34">
        <v>2016.0</v>
      </c>
      <c r="G445" s="34" t="s">
        <v>1044</v>
      </c>
      <c r="H445" s="34" t="s">
        <v>1028</v>
      </c>
      <c r="I445" s="34" t="s">
        <v>1045</v>
      </c>
      <c r="J445" s="35"/>
      <c r="K445" s="36">
        <v>-0.85</v>
      </c>
      <c r="L445" s="36"/>
      <c r="M445" s="36"/>
      <c r="N445" s="36"/>
      <c r="O445" s="36"/>
      <c r="P445" s="37">
        <v>-25.99</v>
      </c>
      <c r="Q445" s="36" t="s">
        <v>96</v>
      </c>
      <c r="R445" s="36" t="s">
        <v>96</v>
      </c>
      <c r="S445" s="36">
        <v>30.0</v>
      </c>
      <c r="T445" s="36" t="s">
        <v>1046</v>
      </c>
      <c r="U445" s="36" t="s">
        <v>1047</v>
      </c>
      <c r="V445" s="36">
        <v>8.0</v>
      </c>
      <c r="W445" s="36" t="s">
        <v>88</v>
      </c>
      <c r="X445" s="38">
        <v>1.0</v>
      </c>
      <c r="Y445" s="38" t="s">
        <v>529</v>
      </c>
      <c r="Z445" s="38" t="s">
        <v>530</v>
      </c>
      <c r="AA445" s="38" t="s">
        <v>86</v>
      </c>
      <c r="AB445" s="38">
        <v>41.179667</v>
      </c>
      <c r="AC445" s="38">
        <v>96.439639</v>
      </c>
      <c r="AD445" s="38" t="s">
        <v>87</v>
      </c>
      <c r="AE445" s="38">
        <v>363.0</v>
      </c>
      <c r="AF445" s="38" t="s">
        <v>1051</v>
      </c>
      <c r="AG445" s="38" t="s">
        <v>108</v>
      </c>
      <c r="AH445" s="38"/>
      <c r="AI445" s="50">
        <v>41.1797</v>
      </c>
      <c r="AJ445" s="50">
        <v>-96.439639</v>
      </c>
      <c r="AK445" s="41" t="s">
        <v>86</v>
      </c>
      <c r="AL445" s="40" t="s">
        <v>86</v>
      </c>
      <c r="AM445" s="49">
        <v>359.0</v>
      </c>
      <c r="AN445" s="51">
        <v>359.0</v>
      </c>
      <c r="AO445" s="42" t="s">
        <v>107</v>
      </c>
      <c r="AP445" s="43" t="s">
        <v>108</v>
      </c>
      <c r="AQ445" s="44" t="str">
        <f t="shared" si="45"/>
        <v>CRO</v>
      </c>
      <c r="AR445" s="44">
        <f t="shared" si="3"/>
        <v>359</v>
      </c>
      <c r="AS445" s="44" t="str">
        <f t="shared" si="46"/>
        <v>D</v>
      </c>
      <c r="AT445" s="44" t="str">
        <f t="shared" si="17"/>
        <v>Df</v>
      </c>
      <c r="AU445" s="44" t="str">
        <f t="shared" si="2"/>
        <v>Dfa</v>
      </c>
      <c r="AV445" s="38"/>
      <c r="AW445" s="38"/>
      <c r="AX445" s="38"/>
      <c r="AY445" s="38" t="s">
        <v>92</v>
      </c>
      <c r="AZ445" s="29">
        <v>30.0</v>
      </c>
      <c r="BA445" s="29">
        <v>1.0</v>
      </c>
      <c r="BB445" s="29">
        <v>1.0</v>
      </c>
      <c r="BC445" s="29"/>
      <c r="BD445" s="29" t="s">
        <v>88</v>
      </c>
      <c r="BE445" s="29" t="s">
        <v>89</v>
      </c>
      <c r="BF445" s="29" t="s">
        <v>936</v>
      </c>
      <c r="BG445" s="29" t="s">
        <v>572</v>
      </c>
      <c r="BH445" s="29" t="s">
        <v>92</v>
      </c>
      <c r="BI445" s="29" t="s">
        <v>1052</v>
      </c>
      <c r="BJ445" s="29"/>
      <c r="BK445" s="29" t="s">
        <v>180</v>
      </c>
      <c r="BL445" s="29" t="s">
        <v>180</v>
      </c>
      <c r="BM445" s="45">
        <v>1.0</v>
      </c>
      <c r="BN445" s="45">
        <v>1.0</v>
      </c>
      <c r="BO445" s="46" t="s">
        <v>1050</v>
      </c>
      <c r="BP445" s="2"/>
      <c r="BQ445" s="3"/>
    </row>
    <row r="446" ht="15.75" customHeight="1">
      <c r="A446" s="34">
        <v>447.0</v>
      </c>
      <c r="B446" s="34">
        <v>103854.0</v>
      </c>
      <c r="C446" s="34" t="s">
        <v>832</v>
      </c>
      <c r="D446" s="34" t="s">
        <v>1042</v>
      </c>
      <c r="E446" s="34" t="s">
        <v>1043</v>
      </c>
      <c r="F446" s="34">
        <v>2016.0</v>
      </c>
      <c r="G446" s="34" t="s">
        <v>1044</v>
      </c>
      <c r="H446" s="34" t="s">
        <v>1028</v>
      </c>
      <c r="I446" s="34" t="s">
        <v>1045</v>
      </c>
      <c r="J446" s="35"/>
      <c r="K446" s="36">
        <v>-0.5</v>
      </c>
      <c r="L446" s="36"/>
      <c r="M446" s="36"/>
      <c r="N446" s="36"/>
      <c r="O446" s="36"/>
      <c r="P446" s="37">
        <v>-12.63</v>
      </c>
      <c r="Q446" s="36" t="s">
        <v>96</v>
      </c>
      <c r="R446" s="36" t="s">
        <v>96</v>
      </c>
      <c r="S446" s="36">
        <v>30.0</v>
      </c>
      <c r="T446" s="36" t="s">
        <v>1046</v>
      </c>
      <c r="U446" s="36" t="s">
        <v>1047</v>
      </c>
      <c r="V446" s="36">
        <v>8.0</v>
      </c>
      <c r="W446" s="36" t="s">
        <v>88</v>
      </c>
      <c r="X446" s="38">
        <v>1.0</v>
      </c>
      <c r="Y446" s="38" t="s">
        <v>523</v>
      </c>
      <c r="Z446" s="38" t="s">
        <v>524</v>
      </c>
      <c r="AA446" s="38" t="s">
        <v>86</v>
      </c>
      <c r="AB446" s="38">
        <v>41.165056</v>
      </c>
      <c r="AC446" s="38">
        <v>96.476639</v>
      </c>
      <c r="AD446" s="38" t="s">
        <v>87</v>
      </c>
      <c r="AE446" s="38">
        <v>361.0</v>
      </c>
      <c r="AF446" s="38" t="s">
        <v>1048</v>
      </c>
      <c r="AG446" s="38" t="s">
        <v>108</v>
      </c>
      <c r="AH446" s="38"/>
      <c r="AI446" s="50">
        <v>41.1651</v>
      </c>
      <c r="AJ446" s="50">
        <v>-96.4766</v>
      </c>
      <c r="AK446" s="41" t="s">
        <v>86</v>
      </c>
      <c r="AL446" s="40" t="s">
        <v>86</v>
      </c>
      <c r="AM446" s="49">
        <v>356.0</v>
      </c>
      <c r="AN446" s="51">
        <v>356.0</v>
      </c>
      <c r="AO446" s="42" t="s">
        <v>107</v>
      </c>
      <c r="AP446" s="43" t="s">
        <v>108</v>
      </c>
      <c r="AQ446" s="44" t="str">
        <f t="shared" si="45"/>
        <v>CRO</v>
      </c>
      <c r="AR446" s="44">
        <f t="shared" si="3"/>
        <v>356</v>
      </c>
      <c r="AS446" s="44" t="str">
        <f t="shared" si="46"/>
        <v>D</v>
      </c>
      <c r="AT446" s="44" t="str">
        <f t="shared" si="17"/>
        <v>Df</v>
      </c>
      <c r="AU446" s="44" t="str">
        <f t="shared" si="2"/>
        <v>Dfa</v>
      </c>
      <c r="AV446" s="38"/>
      <c r="AW446" s="38"/>
      <c r="AX446" s="38"/>
      <c r="AY446" s="38" t="s">
        <v>92</v>
      </c>
      <c r="AZ446" s="29">
        <v>30.0</v>
      </c>
      <c r="BA446" s="29">
        <v>1.0</v>
      </c>
      <c r="BB446" s="29">
        <v>1.0</v>
      </c>
      <c r="BC446" s="29"/>
      <c r="BD446" s="29" t="s">
        <v>88</v>
      </c>
      <c r="BE446" s="29" t="s">
        <v>89</v>
      </c>
      <c r="BF446" s="29" t="s">
        <v>802</v>
      </c>
      <c r="BG446" s="29" t="s">
        <v>572</v>
      </c>
      <c r="BH446" s="29" t="s">
        <v>92</v>
      </c>
      <c r="BI446" s="29" t="s">
        <v>1052</v>
      </c>
      <c r="BJ446" s="29"/>
      <c r="BK446" s="29" t="s">
        <v>180</v>
      </c>
      <c r="BL446" s="29" t="s">
        <v>180</v>
      </c>
      <c r="BM446" s="45">
        <v>1.0</v>
      </c>
      <c r="BN446" s="45">
        <v>1.0</v>
      </c>
      <c r="BO446" s="46" t="s">
        <v>1050</v>
      </c>
      <c r="BP446" s="73"/>
      <c r="BQ446" s="17"/>
    </row>
    <row r="447" ht="15.75" customHeight="1">
      <c r="A447" s="34">
        <v>448.0</v>
      </c>
      <c r="B447" s="34">
        <v>103854.0</v>
      </c>
      <c r="C447" s="34" t="s">
        <v>832</v>
      </c>
      <c r="D447" s="34" t="s">
        <v>1042</v>
      </c>
      <c r="E447" s="34" t="s">
        <v>1043</v>
      </c>
      <c r="F447" s="34">
        <v>2016.0</v>
      </c>
      <c r="G447" s="34" t="s">
        <v>1044</v>
      </c>
      <c r="H447" s="34" t="s">
        <v>1028</v>
      </c>
      <c r="I447" s="34" t="s">
        <v>1045</v>
      </c>
      <c r="J447" s="35"/>
      <c r="K447" s="36">
        <v>-0.22</v>
      </c>
      <c r="L447" s="36"/>
      <c r="M447" s="36"/>
      <c r="N447" s="36"/>
      <c r="O447" s="36"/>
      <c r="P447" s="37">
        <v>-6.18</v>
      </c>
      <c r="Q447" s="36" t="s">
        <v>96</v>
      </c>
      <c r="R447" s="36" t="s">
        <v>96</v>
      </c>
      <c r="S447" s="36">
        <v>30.0</v>
      </c>
      <c r="T447" s="36" t="s">
        <v>1046</v>
      </c>
      <c r="U447" s="36" t="s">
        <v>1047</v>
      </c>
      <c r="V447" s="36">
        <v>8.0</v>
      </c>
      <c r="W447" s="36" t="s">
        <v>88</v>
      </c>
      <c r="X447" s="38">
        <v>1.0</v>
      </c>
      <c r="Y447" s="38" t="s">
        <v>526</v>
      </c>
      <c r="Z447" s="38" t="s">
        <v>527</v>
      </c>
      <c r="AA447" s="38" t="s">
        <v>86</v>
      </c>
      <c r="AB447" s="38">
        <v>41.164861</v>
      </c>
      <c r="AC447" s="38">
        <v>96.470083</v>
      </c>
      <c r="AD447" s="38" t="s">
        <v>87</v>
      </c>
      <c r="AE447" s="38">
        <v>362.0</v>
      </c>
      <c r="AF447" s="38" t="s">
        <v>1051</v>
      </c>
      <c r="AG447" s="38" t="s">
        <v>108</v>
      </c>
      <c r="AH447" s="38"/>
      <c r="AI447" s="50">
        <v>41.1649</v>
      </c>
      <c r="AJ447" s="50">
        <v>-96.470083</v>
      </c>
      <c r="AK447" s="41" t="s">
        <v>86</v>
      </c>
      <c r="AL447" s="40" t="s">
        <v>86</v>
      </c>
      <c r="AM447" s="49">
        <v>355.0</v>
      </c>
      <c r="AN447" s="51">
        <v>355.0</v>
      </c>
      <c r="AO447" s="42" t="s">
        <v>107</v>
      </c>
      <c r="AP447" s="43" t="s">
        <v>108</v>
      </c>
      <c r="AQ447" s="44" t="str">
        <f t="shared" si="45"/>
        <v>CRO</v>
      </c>
      <c r="AR447" s="44">
        <f t="shared" si="3"/>
        <v>355</v>
      </c>
      <c r="AS447" s="44" t="str">
        <f t="shared" si="46"/>
        <v>D</v>
      </c>
      <c r="AT447" s="44" t="str">
        <f t="shared" si="17"/>
        <v>Df</v>
      </c>
      <c r="AU447" s="44" t="str">
        <f t="shared" si="2"/>
        <v>Dfa</v>
      </c>
      <c r="AV447" s="38"/>
      <c r="AW447" s="38"/>
      <c r="AX447" s="38"/>
      <c r="AY447" s="38" t="s">
        <v>92</v>
      </c>
      <c r="AZ447" s="29">
        <v>30.0</v>
      </c>
      <c r="BA447" s="29">
        <v>1.0</v>
      </c>
      <c r="BB447" s="29">
        <v>1.0</v>
      </c>
      <c r="BC447" s="29"/>
      <c r="BD447" s="29" t="s">
        <v>88</v>
      </c>
      <c r="BE447" s="29" t="s">
        <v>89</v>
      </c>
      <c r="BF447" s="29" t="s">
        <v>802</v>
      </c>
      <c r="BG447" s="29" t="s">
        <v>572</v>
      </c>
      <c r="BH447" s="29" t="s">
        <v>92</v>
      </c>
      <c r="BI447" s="29" t="s">
        <v>1052</v>
      </c>
      <c r="BJ447" s="29"/>
      <c r="BK447" s="29" t="s">
        <v>180</v>
      </c>
      <c r="BL447" s="29" t="s">
        <v>180</v>
      </c>
      <c r="BM447" s="45">
        <v>1.0</v>
      </c>
      <c r="BN447" s="45">
        <v>1.0</v>
      </c>
      <c r="BO447" s="46" t="s">
        <v>1050</v>
      </c>
      <c r="BP447" s="2"/>
      <c r="BQ447" s="3"/>
    </row>
    <row r="448" ht="15.75" customHeight="1">
      <c r="A448" s="34">
        <v>449.0</v>
      </c>
      <c r="B448" s="34">
        <v>104278.0</v>
      </c>
      <c r="C448" s="34" t="s">
        <v>832</v>
      </c>
      <c r="D448" s="34" t="s">
        <v>1053</v>
      </c>
      <c r="E448" s="34" t="s">
        <v>1054</v>
      </c>
      <c r="F448" s="34">
        <v>2021.0</v>
      </c>
      <c r="G448" s="34" t="s">
        <v>1055</v>
      </c>
      <c r="H448" s="34" t="s">
        <v>1056</v>
      </c>
      <c r="I448" s="34" t="s">
        <v>1057</v>
      </c>
      <c r="J448" s="35"/>
      <c r="K448" s="36">
        <v>1.28</v>
      </c>
      <c r="L448" s="36"/>
      <c r="M448" s="36"/>
      <c r="N448" s="36"/>
      <c r="O448" s="36"/>
      <c r="P448" s="37">
        <v>2.77</v>
      </c>
      <c r="Q448" s="36" t="s">
        <v>191</v>
      </c>
      <c r="R448" s="36" t="s">
        <v>191</v>
      </c>
      <c r="S448" s="36">
        <v>500.0</v>
      </c>
      <c r="T448" s="36" t="s">
        <v>1058</v>
      </c>
      <c r="U448" s="36" t="s">
        <v>1059</v>
      </c>
      <c r="V448" s="36">
        <v>35658.0</v>
      </c>
      <c r="W448" s="36"/>
      <c r="X448" s="38">
        <v>645.0</v>
      </c>
      <c r="Y448" s="38" t="s">
        <v>1060</v>
      </c>
      <c r="Z448" s="38"/>
      <c r="AA448" s="38" t="s">
        <v>1061</v>
      </c>
      <c r="AB448" s="38"/>
      <c r="AC448" s="38"/>
      <c r="AD448" s="38"/>
      <c r="AE448" s="38"/>
      <c r="AF448" s="38"/>
      <c r="AG448" s="38"/>
      <c r="AH448" s="38"/>
      <c r="AI448" s="50"/>
      <c r="AJ448" s="50"/>
      <c r="AK448" s="41"/>
      <c r="AL448" s="50"/>
      <c r="AM448" s="49"/>
      <c r="AN448" s="43"/>
      <c r="AO448" s="42"/>
      <c r="AP448" s="43"/>
      <c r="AQ448" s="44"/>
      <c r="AR448" s="44" t="str">
        <f t="shared" si="3"/>
        <v/>
      </c>
      <c r="AS448" s="44"/>
      <c r="AT448" s="44" t="str">
        <f t="shared" si="17"/>
        <v/>
      </c>
      <c r="AU448" s="44" t="str">
        <f t="shared" si="2"/>
        <v/>
      </c>
      <c r="AV448" s="38"/>
      <c r="AW448" s="38"/>
      <c r="AX448" s="38"/>
      <c r="AY448" s="38"/>
      <c r="AZ448" s="29">
        <v>500.0</v>
      </c>
      <c r="BA448" s="29">
        <v>1.0</v>
      </c>
      <c r="BB448" s="29">
        <v>2.0</v>
      </c>
      <c r="BC448" s="29" t="s">
        <v>1062</v>
      </c>
      <c r="BD448" s="29"/>
      <c r="BE448" s="29"/>
      <c r="BF448" s="29" t="s">
        <v>1062</v>
      </c>
      <c r="BG448" s="29" t="s">
        <v>220</v>
      </c>
      <c r="BH448" s="29" t="s">
        <v>92</v>
      </c>
      <c r="BI448" s="29" t="s">
        <v>1063</v>
      </c>
      <c r="BJ448" s="29"/>
      <c r="BK448" s="29" t="s">
        <v>148</v>
      </c>
      <c r="BL448" s="29"/>
      <c r="BM448" s="45">
        <v>1.0</v>
      </c>
      <c r="BN448" s="45">
        <v>1.0</v>
      </c>
      <c r="BO448" s="46" t="s">
        <v>1064</v>
      </c>
      <c r="BP448" s="2"/>
      <c r="BQ448" s="3"/>
    </row>
    <row r="449" ht="15.75" customHeight="1">
      <c r="A449" s="34">
        <v>450.0</v>
      </c>
      <c r="B449" s="34">
        <v>104278.0</v>
      </c>
      <c r="C449" s="34" t="s">
        <v>832</v>
      </c>
      <c r="D449" s="34" t="s">
        <v>1053</v>
      </c>
      <c r="E449" s="34" t="s">
        <v>1054</v>
      </c>
      <c r="F449" s="34">
        <v>2021.0</v>
      </c>
      <c r="G449" s="34" t="s">
        <v>1055</v>
      </c>
      <c r="H449" s="34" t="s">
        <v>1056</v>
      </c>
      <c r="I449" s="34" t="s">
        <v>1057</v>
      </c>
      <c r="J449" s="35"/>
      <c r="K449" s="36">
        <v>3.79</v>
      </c>
      <c r="L449" s="36"/>
      <c r="M449" s="36"/>
      <c r="N449" s="36"/>
      <c r="O449" s="36"/>
      <c r="P449" s="37">
        <v>7.51</v>
      </c>
      <c r="Q449" s="36" t="s">
        <v>191</v>
      </c>
      <c r="R449" s="36" t="s">
        <v>191</v>
      </c>
      <c r="S449" s="36">
        <v>1000.0</v>
      </c>
      <c r="T449" s="36" t="s">
        <v>1058</v>
      </c>
      <c r="U449" s="36" t="s">
        <v>1059</v>
      </c>
      <c r="V449" s="36">
        <v>30966.0</v>
      </c>
      <c r="W449" s="36"/>
      <c r="X449" s="38">
        <v>645.0</v>
      </c>
      <c r="Y449" s="38" t="s">
        <v>1060</v>
      </c>
      <c r="Z449" s="38"/>
      <c r="AA449" s="38" t="s">
        <v>1061</v>
      </c>
      <c r="AB449" s="38"/>
      <c r="AC449" s="38"/>
      <c r="AD449" s="38"/>
      <c r="AE449" s="38"/>
      <c r="AF449" s="38"/>
      <c r="AG449" s="38"/>
      <c r="AH449" s="38"/>
      <c r="AI449" s="50"/>
      <c r="AJ449" s="50"/>
      <c r="AK449" s="41"/>
      <c r="AL449" s="50"/>
      <c r="AM449" s="49"/>
      <c r="AN449" s="43"/>
      <c r="AO449" s="42"/>
      <c r="AP449" s="43"/>
      <c r="AQ449" s="44"/>
      <c r="AR449" s="44" t="str">
        <f t="shared" si="3"/>
        <v/>
      </c>
      <c r="AS449" s="44"/>
      <c r="AT449" s="44" t="str">
        <f t="shared" si="17"/>
        <v/>
      </c>
      <c r="AU449" s="44" t="str">
        <f t="shared" si="2"/>
        <v/>
      </c>
      <c r="AV449" s="38"/>
      <c r="AW449" s="38"/>
      <c r="AX449" s="38"/>
      <c r="AY449" s="38"/>
      <c r="AZ449" s="29">
        <v>1000.0</v>
      </c>
      <c r="BA449" s="29">
        <v>1.0</v>
      </c>
      <c r="BB449" s="29">
        <v>2.0</v>
      </c>
      <c r="BC449" s="29" t="s">
        <v>802</v>
      </c>
      <c r="BD449" s="29"/>
      <c r="BE449" s="29"/>
      <c r="BF449" s="29" t="s">
        <v>826</v>
      </c>
      <c r="BG449" s="29" t="s">
        <v>220</v>
      </c>
      <c r="BH449" s="29" t="s">
        <v>92</v>
      </c>
      <c r="BI449" s="29" t="s">
        <v>1065</v>
      </c>
      <c r="BJ449" s="29"/>
      <c r="BK449" s="29" t="s">
        <v>148</v>
      </c>
      <c r="BL449" s="29"/>
      <c r="BM449" s="45">
        <v>1.0</v>
      </c>
      <c r="BN449" s="45">
        <v>1.0</v>
      </c>
      <c r="BO449" s="46" t="s">
        <v>1064</v>
      </c>
      <c r="BP449" s="2"/>
      <c r="BQ449" s="3"/>
    </row>
    <row r="450" ht="15.75" customHeight="1">
      <c r="A450" s="34">
        <v>451.0</v>
      </c>
      <c r="B450" s="34">
        <v>104278.0</v>
      </c>
      <c r="C450" s="34" t="s">
        <v>832</v>
      </c>
      <c r="D450" s="34" t="s">
        <v>1053</v>
      </c>
      <c r="E450" s="34" t="s">
        <v>1054</v>
      </c>
      <c r="F450" s="34">
        <v>2021.0</v>
      </c>
      <c r="G450" s="34" t="s">
        <v>1055</v>
      </c>
      <c r="H450" s="34" t="s">
        <v>1056</v>
      </c>
      <c r="I450" s="34" t="s">
        <v>1057</v>
      </c>
      <c r="J450" s="35"/>
      <c r="K450" s="36">
        <v>1.26</v>
      </c>
      <c r="L450" s="36"/>
      <c r="M450" s="36"/>
      <c r="N450" s="36"/>
      <c r="O450" s="36"/>
      <c r="P450" s="37">
        <v>2.8</v>
      </c>
      <c r="Q450" s="36" t="s">
        <v>191</v>
      </c>
      <c r="R450" s="36" t="s">
        <v>191</v>
      </c>
      <c r="S450" s="36">
        <v>1000.0</v>
      </c>
      <c r="T450" s="36" t="s">
        <v>1058</v>
      </c>
      <c r="U450" s="36" t="s">
        <v>1059</v>
      </c>
      <c r="V450" s="36">
        <v>33636.0</v>
      </c>
      <c r="W450" s="36"/>
      <c r="X450" s="38">
        <v>645.0</v>
      </c>
      <c r="Y450" s="38" t="s">
        <v>1060</v>
      </c>
      <c r="Z450" s="38"/>
      <c r="AA450" s="38" t="s">
        <v>1061</v>
      </c>
      <c r="AB450" s="38"/>
      <c r="AC450" s="38"/>
      <c r="AD450" s="38"/>
      <c r="AE450" s="38"/>
      <c r="AF450" s="38"/>
      <c r="AG450" s="38"/>
      <c r="AH450" s="38"/>
      <c r="AI450" s="50"/>
      <c r="AJ450" s="50"/>
      <c r="AK450" s="41"/>
      <c r="AL450" s="50"/>
      <c r="AM450" s="49"/>
      <c r="AN450" s="43"/>
      <c r="AO450" s="42"/>
      <c r="AP450" s="43"/>
      <c r="AQ450" s="44"/>
      <c r="AR450" s="44" t="str">
        <f t="shared" si="3"/>
        <v/>
      </c>
      <c r="AS450" s="44"/>
      <c r="AT450" s="44" t="str">
        <f t="shared" si="17"/>
        <v/>
      </c>
      <c r="AU450" s="44" t="str">
        <f t="shared" si="2"/>
        <v/>
      </c>
      <c r="AV450" s="38"/>
      <c r="AW450" s="38"/>
      <c r="AX450" s="38"/>
      <c r="AY450" s="38"/>
      <c r="AZ450" s="29">
        <v>1000.0</v>
      </c>
      <c r="BA450" s="29">
        <v>1.0</v>
      </c>
      <c r="BB450" s="29">
        <v>2.0</v>
      </c>
      <c r="BC450" s="29" t="s">
        <v>1066</v>
      </c>
      <c r="BD450" s="29"/>
      <c r="BE450" s="29"/>
      <c r="BF450" s="29" t="s">
        <v>1067</v>
      </c>
      <c r="BG450" s="29" t="s">
        <v>220</v>
      </c>
      <c r="BH450" s="29" t="s">
        <v>92</v>
      </c>
      <c r="BI450" s="29" t="s">
        <v>1068</v>
      </c>
      <c r="BJ450" s="29"/>
      <c r="BK450" s="29" t="s">
        <v>148</v>
      </c>
      <c r="BL450" s="29"/>
      <c r="BM450" s="45">
        <v>1.0</v>
      </c>
      <c r="BN450" s="45">
        <v>1.0</v>
      </c>
      <c r="BO450" s="46" t="s">
        <v>1064</v>
      </c>
      <c r="BP450" s="2"/>
      <c r="BQ450" s="3"/>
    </row>
    <row r="451" ht="15.75" customHeight="1">
      <c r="A451" s="34">
        <v>452.0</v>
      </c>
      <c r="B451" s="34">
        <v>104278.0</v>
      </c>
      <c r="C451" s="34" t="s">
        <v>832</v>
      </c>
      <c r="D451" s="34" t="s">
        <v>1053</v>
      </c>
      <c r="E451" s="34" t="s">
        <v>1054</v>
      </c>
      <c r="F451" s="34">
        <v>2021.0</v>
      </c>
      <c r="G451" s="34" t="s">
        <v>1055</v>
      </c>
      <c r="H451" s="34" t="s">
        <v>1056</v>
      </c>
      <c r="I451" s="34" t="s">
        <v>1057</v>
      </c>
      <c r="J451" s="35"/>
      <c r="K451" s="36">
        <v>-1.3</v>
      </c>
      <c r="L451" s="36"/>
      <c r="M451" s="36"/>
      <c r="N451" s="36"/>
      <c r="O451" s="36"/>
      <c r="P451" s="37">
        <v>-2.59</v>
      </c>
      <c r="Q451" s="36" t="s">
        <v>191</v>
      </c>
      <c r="R451" s="36" t="s">
        <v>191</v>
      </c>
      <c r="S451" s="36">
        <v>5000.0</v>
      </c>
      <c r="T451" s="36" t="s">
        <v>1058</v>
      </c>
      <c r="U451" s="36" t="s">
        <v>1059</v>
      </c>
      <c r="V451" s="36">
        <v>30064.0</v>
      </c>
      <c r="W451" s="36"/>
      <c r="X451" s="38">
        <v>645.0</v>
      </c>
      <c r="Y451" s="38" t="s">
        <v>1060</v>
      </c>
      <c r="Z451" s="38"/>
      <c r="AA451" s="38" t="s">
        <v>1061</v>
      </c>
      <c r="AB451" s="38"/>
      <c r="AC451" s="38"/>
      <c r="AD451" s="38"/>
      <c r="AE451" s="38"/>
      <c r="AF451" s="38"/>
      <c r="AG451" s="38"/>
      <c r="AH451" s="38"/>
      <c r="AI451" s="50"/>
      <c r="AJ451" s="50"/>
      <c r="AK451" s="41"/>
      <c r="AL451" s="50"/>
      <c r="AM451" s="49"/>
      <c r="AN451" s="43"/>
      <c r="AO451" s="42"/>
      <c r="AP451" s="43"/>
      <c r="AQ451" s="44"/>
      <c r="AR451" s="44" t="str">
        <f t="shared" si="3"/>
        <v/>
      </c>
      <c r="AS451" s="44"/>
      <c r="AT451" s="44" t="str">
        <f t="shared" si="17"/>
        <v/>
      </c>
      <c r="AU451" s="44" t="str">
        <f t="shared" si="2"/>
        <v/>
      </c>
      <c r="AV451" s="38"/>
      <c r="AW451" s="38"/>
      <c r="AX451" s="38"/>
      <c r="AY451" s="38"/>
      <c r="AZ451" s="29">
        <v>5000.0</v>
      </c>
      <c r="BA451" s="29">
        <v>1.0</v>
      </c>
      <c r="BB451" s="29">
        <v>2.0</v>
      </c>
      <c r="BC451" s="29" t="s">
        <v>936</v>
      </c>
      <c r="BD451" s="29"/>
      <c r="BE451" s="29"/>
      <c r="BF451" s="29" t="s">
        <v>1069</v>
      </c>
      <c r="BG451" s="29" t="s">
        <v>572</v>
      </c>
      <c r="BH451" s="29" t="s">
        <v>92</v>
      </c>
      <c r="BI451" s="29" t="s">
        <v>1070</v>
      </c>
      <c r="BJ451" s="29"/>
      <c r="BK451" s="29" t="s">
        <v>1071</v>
      </c>
      <c r="BL451" s="29"/>
      <c r="BM451" s="45">
        <v>1.0</v>
      </c>
      <c r="BN451" s="45">
        <v>1.0</v>
      </c>
      <c r="BO451" s="46" t="s">
        <v>1064</v>
      </c>
      <c r="BP451" s="2"/>
      <c r="BQ451" s="3"/>
    </row>
    <row r="452" ht="15.75" customHeight="1">
      <c r="A452" s="34">
        <v>453.0</v>
      </c>
      <c r="B452" s="34">
        <v>104278.0</v>
      </c>
      <c r="C452" s="34" t="s">
        <v>832</v>
      </c>
      <c r="D452" s="34" t="s">
        <v>1053</v>
      </c>
      <c r="E452" s="34" t="s">
        <v>1054</v>
      </c>
      <c r="F452" s="34">
        <v>2021.0</v>
      </c>
      <c r="G452" s="34" t="s">
        <v>1055</v>
      </c>
      <c r="H452" s="34" t="s">
        <v>1056</v>
      </c>
      <c r="I452" s="34" t="s">
        <v>1057</v>
      </c>
      <c r="J452" s="35"/>
      <c r="K452" s="36">
        <v>5.51</v>
      </c>
      <c r="L452" s="36"/>
      <c r="M452" s="36"/>
      <c r="N452" s="36"/>
      <c r="O452" s="36"/>
      <c r="P452" s="37">
        <v>12.27</v>
      </c>
      <c r="Q452" s="36" t="s">
        <v>191</v>
      </c>
      <c r="R452" s="36" t="s">
        <v>191</v>
      </c>
      <c r="S452" s="36">
        <v>8000.0</v>
      </c>
      <c r="T452" s="36" t="s">
        <v>1058</v>
      </c>
      <c r="U452" s="36" t="s">
        <v>1059</v>
      </c>
      <c r="V452" s="36">
        <v>34954.0</v>
      </c>
      <c r="W452" s="36"/>
      <c r="X452" s="38">
        <v>645.0</v>
      </c>
      <c r="Y452" s="38" t="s">
        <v>1060</v>
      </c>
      <c r="Z452" s="38"/>
      <c r="AA452" s="38" t="s">
        <v>1061</v>
      </c>
      <c r="AB452" s="38"/>
      <c r="AC452" s="38"/>
      <c r="AD452" s="38"/>
      <c r="AE452" s="38"/>
      <c r="AF452" s="38"/>
      <c r="AG452" s="38"/>
      <c r="AH452" s="38"/>
      <c r="AI452" s="50"/>
      <c r="AJ452" s="50"/>
      <c r="AK452" s="41"/>
      <c r="AL452" s="50"/>
      <c r="AM452" s="49"/>
      <c r="AN452" s="43"/>
      <c r="AO452" s="42"/>
      <c r="AP452" s="43"/>
      <c r="AQ452" s="44"/>
      <c r="AR452" s="44" t="str">
        <f t="shared" si="3"/>
        <v/>
      </c>
      <c r="AS452" s="44"/>
      <c r="AT452" s="44" t="str">
        <f t="shared" si="17"/>
        <v/>
      </c>
      <c r="AU452" s="44" t="str">
        <f t="shared" si="2"/>
        <v/>
      </c>
      <c r="AV452" s="38"/>
      <c r="AW452" s="38"/>
      <c r="AX452" s="38"/>
      <c r="AY452" s="38"/>
      <c r="AZ452" s="29">
        <v>8000.0</v>
      </c>
      <c r="BA452" s="29">
        <v>1.0</v>
      </c>
      <c r="BB452" s="29">
        <v>2.0</v>
      </c>
      <c r="BC452" s="29" t="s">
        <v>933</v>
      </c>
      <c r="BD452" s="29"/>
      <c r="BE452" s="29"/>
      <c r="BF452" s="29" t="s">
        <v>1072</v>
      </c>
      <c r="BG452" s="29" t="s">
        <v>220</v>
      </c>
      <c r="BH452" s="29" t="s">
        <v>92</v>
      </c>
      <c r="BI452" s="29" t="s">
        <v>1073</v>
      </c>
      <c r="BJ452" s="29"/>
      <c r="BK452" s="29" t="s">
        <v>681</v>
      </c>
      <c r="BL452" s="29"/>
      <c r="BM452" s="45">
        <v>1.0</v>
      </c>
      <c r="BN452" s="45">
        <v>1.0</v>
      </c>
      <c r="BO452" s="46" t="s">
        <v>1064</v>
      </c>
      <c r="BP452" s="2"/>
      <c r="BQ452" s="3"/>
    </row>
    <row r="453" ht="15.75" customHeight="1">
      <c r="A453" s="34">
        <v>454.0</v>
      </c>
      <c r="B453" s="34">
        <v>104278.0</v>
      </c>
      <c r="C453" s="34" t="s">
        <v>832</v>
      </c>
      <c r="D453" s="34" t="s">
        <v>1053</v>
      </c>
      <c r="E453" s="34" t="s">
        <v>1054</v>
      </c>
      <c r="F453" s="34">
        <v>2021.0</v>
      </c>
      <c r="G453" s="34" t="s">
        <v>1055</v>
      </c>
      <c r="H453" s="34" t="s">
        <v>1056</v>
      </c>
      <c r="I453" s="34" t="s">
        <v>1057</v>
      </c>
      <c r="J453" s="35"/>
      <c r="K453" s="36">
        <v>3.03</v>
      </c>
      <c r="L453" s="36"/>
      <c r="M453" s="36"/>
      <c r="N453" s="36"/>
      <c r="O453" s="36"/>
      <c r="P453" s="37">
        <v>6.53</v>
      </c>
      <c r="Q453" s="36" t="s">
        <v>191</v>
      </c>
      <c r="R453" s="36" t="s">
        <v>191</v>
      </c>
      <c r="S453" s="36" t="s">
        <v>928</v>
      </c>
      <c r="T453" s="36" t="s">
        <v>1058</v>
      </c>
      <c r="U453" s="36" t="s">
        <v>1059</v>
      </c>
      <c r="V453" s="36">
        <v>3882.0</v>
      </c>
      <c r="W453" s="36"/>
      <c r="X453" s="38">
        <v>645.0</v>
      </c>
      <c r="Y453" s="38" t="s">
        <v>1060</v>
      </c>
      <c r="Z453" s="38"/>
      <c r="AA453" s="38" t="s">
        <v>1061</v>
      </c>
      <c r="AB453" s="38"/>
      <c r="AC453" s="38"/>
      <c r="AD453" s="38"/>
      <c r="AE453" s="38"/>
      <c r="AF453" s="38"/>
      <c r="AG453" s="38"/>
      <c r="AH453" s="38"/>
      <c r="AI453" s="50"/>
      <c r="AJ453" s="50"/>
      <c r="AK453" s="41"/>
      <c r="AL453" s="50"/>
      <c r="AM453" s="49"/>
      <c r="AN453" s="43"/>
      <c r="AO453" s="42"/>
      <c r="AP453" s="43"/>
      <c r="AQ453" s="44"/>
      <c r="AR453" s="44" t="str">
        <f t="shared" si="3"/>
        <v/>
      </c>
      <c r="AS453" s="44"/>
      <c r="AT453" s="44" t="str">
        <f t="shared" si="17"/>
        <v/>
      </c>
      <c r="AU453" s="44" t="str">
        <f t="shared" si="2"/>
        <v/>
      </c>
      <c r="AV453" s="38"/>
      <c r="AW453" s="38"/>
      <c r="AX453" s="38"/>
      <c r="AY453" s="38"/>
      <c r="AZ453" s="29" t="s">
        <v>928</v>
      </c>
      <c r="BA453" s="29">
        <v>1.0</v>
      </c>
      <c r="BB453" s="29">
        <v>2.0</v>
      </c>
      <c r="BC453" s="29" t="s">
        <v>929</v>
      </c>
      <c r="BD453" s="29"/>
      <c r="BE453" s="29"/>
      <c r="BF453" s="29" t="s">
        <v>1074</v>
      </c>
      <c r="BG453" s="29" t="s">
        <v>203</v>
      </c>
      <c r="BH453" s="29" t="s">
        <v>92</v>
      </c>
      <c r="BI453" s="29" t="s">
        <v>1075</v>
      </c>
      <c r="BJ453" s="29"/>
      <c r="BK453" s="29"/>
      <c r="BL453" s="29"/>
      <c r="BM453" s="45"/>
      <c r="BN453" s="45"/>
      <c r="BO453" s="46"/>
      <c r="BP453" s="2"/>
      <c r="BQ453" s="3"/>
    </row>
    <row r="454" ht="15.75" customHeight="1">
      <c r="A454" s="34">
        <v>455.0</v>
      </c>
      <c r="B454" s="34">
        <v>104278.0</v>
      </c>
      <c r="C454" s="34" t="s">
        <v>832</v>
      </c>
      <c r="D454" s="34" t="s">
        <v>1053</v>
      </c>
      <c r="E454" s="34" t="s">
        <v>1054</v>
      </c>
      <c r="F454" s="34">
        <v>2021.0</v>
      </c>
      <c r="G454" s="34" t="s">
        <v>1055</v>
      </c>
      <c r="H454" s="34" t="s">
        <v>1056</v>
      </c>
      <c r="I454" s="34" t="s">
        <v>1057</v>
      </c>
      <c r="J454" s="35"/>
      <c r="K454" s="36">
        <v>4.2</v>
      </c>
      <c r="L454" s="36"/>
      <c r="M454" s="36"/>
      <c r="N454" s="36"/>
      <c r="O454" s="36"/>
      <c r="P454" s="37">
        <v>9.06</v>
      </c>
      <c r="Q454" s="36" t="s">
        <v>191</v>
      </c>
      <c r="R454" s="36" t="s">
        <v>191</v>
      </c>
      <c r="S454" s="36" t="s">
        <v>928</v>
      </c>
      <c r="T454" s="36" t="s">
        <v>1058</v>
      </c>
      <c r="U454" s="36" t="s">
        <v>1059</v>
      </c>
      <c r="V454" s="36">
        <v>34656.0</v>
      </c>
      <c r="W454" s="36"/>
      <c r="X454" s="38">
        <v>645.0</v>
      </c>
      <c r="Y454" s="38" t="s">
        <v>1060</v>
      </c>
      <c r="Z454" s="38"/>
      <c r="AA454" s="38" t="s">
        <v>1061</v>
      </c>
      <c r="AB454" s="38"/>
      <c r="AC454" s="38"/>
      <c r="AD454" s="38"/>
      <c r="AE454" s="38"/>
      <c r="AF454" s="38"/>
      <c r="AG454" s="38"/>
      <c r="AH454" s="38"/>
      <c r="AI454" s="50"/>
      <c r="AJ454" s="50"/>
      <c r="AK454" s="41"/>
      <c r="AL454" s="50"/>
      <c r="AM454" s="49"/>
      <c r="AN454" s="43"/>
      <c r="AO454" s="42"/>
      <c r="AP454" s="43"/>
      <c r="AQ454" s="44"/>
      <c r="AR454" s="44" t="str">
        <f t="shared" si="3"/>
        <v/>
      </c>
      <c r="AS454" s="44"/>
      <c r="AT454" s="44" t="str">
        <f t="shared" si="17"/>
        <v/>
      </c>
      <c r="AU454" s="44" t="str">
        <f t="shared" si="2"/>
        <v/>
      </c>
      <c r="AV454" s="38"/>
      <c r="AW454" s="38"/>
      <c r="AX454" s="38"/>
      <c r="AY454" s="38"/>
      <c r="AZ454" s="29" t="s">
        <v>928</v>
      </c>
      <c r="BA454" s="29">
        <v>1.0</v>
      </c>
      <c r="BB454" s="29">
        <v>2.0</v>
      </c>
      <c r="BC454" s="29" t="s">
        <v>931</v>
      </c>
      <c r="BD454" s="29"/>
      <c r="BE454" s="29"/>
      <c r="BF454" s="29" t="s">
        <v>1076</v>
      </c>
      <c r="BG454" s="29" t="s">
        <v>203</v>
      </c>
      <c r="BH454" s="29" t="s">
        <v>92</v>
      </c>
      <c r="BI454" s="29" t="s">
        <v>1075</v>
      </c>
      <c r="BJ454" s="29"/>
      <c r="BK454" s="29"/>
      <c r="BL454" s="29"/>
      <c r="BM454" s="45"/>
      <c r="BN454" s="45"/>
      <c r="BO454" s="46"/>
      <c r="BP454" s="2"/>
      <c r="BQ454" s="3"/>
    </row>
    <row r="455" ht="15.75" customHeight="1">
      <c r="A455" s="34">
        <v>456.0</v>
      </c>
      <c r="B455" s="34">
        <v>104278.0</v>
      </c>
      <c r="C455" s="34" t="s">
        <v>832</v>
      </c>
      <c r="D455" s="34" t="s">
        <v>1053</v>
      </c>
      <c r="E455" s="34" t="s">
        <v>1054</v>
      </c>
      <c r="F455" s="34">
        <v>2021.0</v>
      </c>
      <c r="G455" s="34" t="s">
        <v>1055</v>
      </c>
      <c r="H455" s="34" t="s">
        <v>1056</v>
      </c>
      <c r="I455" s="34" t="s">
        <v>1057</v>
      </c>
      <c r="J455" s="35"/>
      <c r="K455" s="36">
        <v>-9.48</v>
      </c>
      <c r="L455" s="36"/>
      <c r="M455" s="36"/>
      <c r="N455" s="36"/>
      <c r="O455" s="36"/>
      <c r="P455" s="37">
        <v>-19.2</v>
      </c>
      <c r="Q455" s="36" t="s">
        <v>191</v>
      </c>
      <c r="R455" s="36" t="s">
        <v>191</v>
      </c>
      <c r="S455" s="36">
        <v>500.0</v>
      </c>
      <c r="T455" s="36" t="s">
        <v>1058</v>
      </c>
      <c r="U455" s="36" t="s">
        <v>1059</v>
      </c>
      <c r="V455" s="36">
        <v>31545.0</v>
      </c>
      <c r="W455" s="36"/>
      <c r="X455" s="38">
        <v>645.0</v>
      </c>
      <c r="Y455" s="38" t="s">
        <v>1060</v>
      </c>
      <c r="Z455" s="38"/>
      <c r="AA455" s="38" t="s">
        <v>1061</v>
      </c>
      <c r="AB455" s="38"/>
      <c r="AC455" s="38"/>
      <c r="AD455" s="38"/>
      <c r="AE455" s="38"/>
      <c r="AF455" s="38"/>
      <c r="AG455" s="38"/>
      <c r="AH455" s="38"/>
      <c r="AI455" s="50"/>
      <c r="AJ455" s="50"/>
      <c r="AK455" s="41"/>
      <c r="AL455" s="50"/>
      <c r="AM455" s="49"/>
      <c r="AN455" s="43"/>
      <c r="AO455" s="42"/>
      <c r="AP455" s="43"/>
      <c r="AQ455" s="44"/>
      <c r="AR455" s="44" t="str">
        <f t="shared" si="3"/>
        <v/>
      </c>
      <c r="AS455" s="44"/>
      <c r="AT455" s="44" t="str">
        <f t="shared" si="17"/>
        <v/>
      </c>
      <c r="AU455" s="44" t="str">
        <f t="shared" si="2"/>
        <v/>
      </c>
      <c r="AV455" s="38"/>
      <c r="AW455" s="38"/>
      <c r="AX455" s="38"/>
      <c r="AY455" s="38"/>
      <c r="AZ455" s="29">
        <v>500.0</v>
      </c>
      <c r="BA455" s="29">
        <v>1.0</v>
      </c>
      <c r="BB455" s="29">
        <v>2.0</v>
      </c>
      <c r="BC455" s="29" t="s">
        <v>1077</v>
      </c>
      <c r="BD455" s="29"/>
      <c r="BE455" s="29"/>
      <c r="BF455" s="29" t="s">
        <v>1078</v>
      </c>
      <c r="BG455" s="29" t="s">
        <v>220</v>
      </c>
      <c r="BH455" s="29" t="s">
        <v>92</v>
      </c>
      <c r="BI455" s="29" t="s">
        <v>1068</v>
      </c>
      <c r="BJ455" s="29"/>
      <c r="BK455" s="29" t="s">
        <v>148</v>
      </c>
      <c r="BL455" s="29"/>
      <c r="BM455" s="45"/>
      <c r="BN455" s="45"/>
      <c r="BO455" s="46"/>
      <c r="BP455" s="2"/>
      <c r="BQ455" s="3"/>
    </row>
    <row r="456" ht="15.75" customHeight="1">
      <c r="A456" s="34">
        <v>457.0</v>
      </c>
      <c r="B456" s="34">
        <v>104278.0</v>
      </c>
      <c r="C456" s="34" t="s">
        <v>832</v>
      </c>
      <c r="D456" s="34" t="s">
        <v>1053</v>
      </c>
      <c r="E456" s="34" t="s">
        <v>1054</v>
      </c>
      <c r="F456" s="34">
        <v>2021.0</v>
      </c>
      <c r="G456" s="34" t="s">
        <v>1055</v>
      </c>
      <c r="H456" s="34" t="s">
        <v>1056</v>
      </c>
      <c r="I456" s="34" t="s">
        <v>1057</v>
      </c>
      <c r="J456" s="35"/>
      <c r="K456" s="36">
        <v>1.0</v>
      </c>
      <c r="L456" s="36"/>
      <c r="M456" s="36"/>
      <c r="N456" s="36"/>
      <c r="O456" s="36"/>
      <c r="P456" s="37">
        <v>2.13</v>
      </c>
      <c r="Q456" s="36" t="s">
        <v>191</v>
      </c>
      <c r="R456" s="36" t="s">
        <v>13</v>
      </c>
      <c r="S456" s="36">
        <v>500.0</v>
      </c>
      <c r="T456" s="36" t="s">
        <v>1058</v>
      </c>
      <c r="U456" s="36" t="s">
        <v>1059</v>
      </c>
      <c r="V456" s="36">
        <v>2819.0</v>
      </c>
      <c r="W456" s="36"/>
      <c r="X456" s="38">
        <v>645.0</v>
      </c>
      <c r="Y456" s="38" t="s">
        <v>1060</v>
      </c>
      <c r="Z456" s="38"/>
      <c r="AA456" s="38" t="s">
        <v>1061</v>
      </c>
      <c r="AB456" s="38"/>
      <c r="AC456" s="38"/>
      <c r="AD456" s="38"/>
      <c r="AE456" s="38"/>
      <c r="AF456" s="38"/>
      <c r="AG456" s="38"/>
      <c r="AH456" s="38"/>
      <c r="AI456" s="50"/>
      <c r="AJ456" s="50"/>
      <c r="AK456" s="41"/>
      <c r="AL456" s="50"/>
      <c r="AM456" s="49"/>
      <c r="AN456" s="43"/>
      <c r="AO456" s="42"/>
      <c r="AP456" s="43"/>
      <c r="AQ456" s="44"/>
      <c r="AR456" s="44" t="str">
        <f t="shared" si="3"/>
        <v/>
      </c>
      <c r="AS456" s="44"/>
      <c r="AT456" s="44" t="str">
        <f t="shared" si="17"/>
        <v/>
      </c>
      <c r="AU456" s="44" t="str">
        <f t="shared" si="2"/>
        <v/>
      </c>
      <c r="AV456" s="38"/>
      <c r="AW456" s="38"/>
      <c r="AX456" s="38"/>
      <c r="AY456" s="38"/>
      <c r="AZ456" s="29">
        <v>500.0</v>
      </c>
      <c r="BA456" s="29">
        <v>1.0</v>
      </c>
      <c r="BB456" s="29">
        <v>2.0</v>
      </c>
      <c r="BC456" s="29" t="s">
        <v>1062</v>
      </c>
      <c r="BD456" s="29"/>
      <c r="BE456" s="29"/>
      <c r="BF456" s="29" t="s">
        <v>1062</v>
      </c>
      <c r="BG456" s="29" t="s">
        <v>220</v>
      </c>
      <c r="BH456" s="29" t="s">
        <v>92</v>
      </c>
      <c r="BI456" s="29" t="s">
        <v>1063</v>
      </c>
      <c r="BJ456" s="29"/>
      <c r="BK456" s="29" t="s">
        <v>148</v>
      </c>
      <c r="BL456" s="29"/>
      <c r="BM456" s="45"/>
      <c r="BN456" s="45"/>
      <c r="BO456" s="46"/>
      <c r="BP456" s="2"/>
      <c r="BQ456" s="3"/>
    </row>
    <row r="457" ht="15.75" customHeight="1">
      <c r="A457" s="34">
        <v>458.0</v>
      </c>
      <c r="B457" s="34">
        <v>104278.0</v>
      </c>
      <c r="C457" s="34" t="s">
        <v>832</v>
      </c>
      <c r="D457" s="34" t="s">
        <v>1053</v>
      </c>
      <c r="E457" s="34" t="s">
        <v>1054</v>
      </c>
      <c r="F457" s="34">
        <v>2021.0</v>
      </c>
      <c r="G457" s="34" t="s">
        <v>1055</v>
      </c>
      <c r="H457" s="34" t="s">
        <v>1056</v>
      </c>
      <c r="I457" s="34" t="s">
        <v>1057</v>
      </c>
      <c r="J457" s="35"/>
      <c r="K457" s="36">
        <v>3.43</v>
      </c>
      <c r="L457" s="36"/>
      <c r="M457" s="36"/>
      <c r="N457" s="36"/>
      <c r="O457" s="36"/>
      <c r="P457" s="37">
        <v>6.71</v>
      </c>
      <c r="Q457" s="36" t="s">
        <v>191</v>
      </c>
      <c r="R457" s="36" t="s">
        <v>13</v>
      </c>
      <c r="S457" s="36">
        <v>1000.0</v>
      </c>
      <c r="T457" s="36" t="s">
        <v>1058</v>
      </c>
      <c r="U457" s="36" t="s">
        <v>1059</v>
      </c>
      <c r="V457" s="36">
        <v>2727.0</v>
      </c>
      <c r="W457" s="36"/>
      <c r="X457" s="38">
        <v>645.0</v>
      </c>
      <c r="Y457" s="38" t="s">
        <v>1060</v>
      </c>
      <c r="Z457" s="38"/>
      <c r="AA457" s="38" t="s">
        <v>1061</v>
      </c>
      <c r="AB457" s="38"/>
      <c r="AC457" s="38"/>
      <c r="AD457" s="38"/>
      <c r="AE457" s="38"/>
      <c r="AF457" s="38"/>
      <c r="AG457" s="38"/>
      <c r="AH457" s="38"/>
      <c r="AI457" s="50"/>
      <c r="AJ457" s="50"/>
      <c r="AK457" s="41"/>
      <c r="AL457" s="50"/>
      <c r="AM457" s="49"/>
      <c r="AN457" s="43"/>
      <c r="AO457" s="42"/>
      <c r="AP457" s="43"/>
      <c r="AQ457" s="44"/>
      <c r="AR457" s="44" t="str">
        <f t="shared" si="3"/>
        <v/>
      </c>
      <c r="AS457" s="44"/>
      <c r="AT457" s="44" t="str">
        <f t="shared" si="17"/>
        <v/>
      </c>
      <c r="AU457" s="44" t="str">
        <f t="shared" si="2"/>
        <v/>
      </c>
      <c r="AV457" s="38"/>
      <c r="AW457" s="38"/>
      <c r="AX457" s="38"/>
      <c r="AY457" s="38"/>
      <c r="AZ457" s="29">
        <v>1000.0</v>
      </c>
      <c r="BA457" s="29">
        <v>1.0</v>
      </c>
      <c r="BB457" s="29">
        <v>2.0</v>
      </c>
      <c r="BC457" s="29" t="s">
        <v>802</v>
      </c>
      <c r="BD457" s="29"/>
      <c r="BE457" s="29"/>
      <c r="BF457" s="29" t="s">
        <v>826</v>
      </c>
      <c r="BG457" s="29" t="s">
        <v>220</v>
      </c>
      <c r="BH457" s="29" t="s">
        <v>92</v>
      </c>
      <c r="BI457" s="29" t="s">
        <v>1065</v>
      </c>
      <c r="BJ457" s="29"/>
      <c r="BK457" s="29" t="s">
        <v>148</v>
      </c>
      <c r="BL457" s="29"/>
      <c r="BM457" s="45"/>
      <c r="BN457" s="45"/>
      <c r="BO457" s="46"/>
      <c r="BP457" s="2"/>
      <c r="BQ457" s="3"/>
    </row>
    <row r="458" ht="15.75" customHeight="1">
      <c r="A458" s="34">
        <v>459.0</v>
      </c>
      <c r="B458" s="34">
        <v>104278.0</v>
      </c>
      <c r="C458" s="34" t="s">
        <v>832</v>
      </c>
      <c r="D458" s="34" t="s">
        <v>1053</v>
      </c>
      <c r="E458" s="34" t="s">
        <v>1054</v>
      </c>
      <c r="F458" s="34">
        <v>2021.0</v>
      </c>
      <c r="G458" s="34" t="s">
        <v>1055</v>
      </c>
      <c r="H458" s="34" t="s">
        <v>1056</v>
      </c>
      <c r="I458" s="34" t="s">
        <v>1057</v>
      </c>
      <c r="J458" s="35"/>
      <c r="K458" s="36">
        <v>1.56</v>
      </c>
      <c r="L458" s="36"/>
      <c r="M458" s="36"/>
      <c r="N458" s="36"/>
      <c r="O458" s="36"/>
      <c r="P458" s="37">
        <v>3.42</v>
      </c>
      <c r="Q458" s="36" t="s">
        <v>191</v>
      </c>
      <c r="R458" s="36" t="s">
        <v>13</v>
      </c>
      <c r="S458" s="36">
        <v>1000.0</v>
      </c>
      <c r="T458" s="36" t="s">
        <v>1058</v>
      </c>
      <c r="U458" s="36" t="s">
        <v>1059</v>
      </c>
      <c r="V458" s="36">
        <v>2505.0</v>
      </c>
      <c r="W458" s="36"/>
      <c r="X458" s="38">
        <v>645.0</v>
      </c>
      <c r="Y458" s="38" t="s">
        <v>1060</v>
      </c>
      <c r="Z458" s="38"/>
      <c r="AA458" s="38" t="s">
        <v>1061</v>
      </c>
      <c r="AB458" s="38"/>
      <c r="AC458" s="38"/>
      <c r="AD458" s="38"/>
      <c r="AE458" s="38"/>
      <c r="AF458" s="38"/>
      <c r="AG458" s="38"/>
      <c r="AH458" s="38"/>
      <c r="AI458" s="50"/>
      <c r="AJ458" s="50"/>
      <c r="AK458" s="41"/>
      <c r="AL458" s="50"/>
      <c r="AM458" s="49"/>
      <c r="AN458" s="43"/>
      <c r="AO458" s="42"/>
      <c r="AP458" s="43"/>
      <c r="AQ458" s="44"/>
      <c r="AR458" s="44" t="str">
        <f t="shared" si="3"/>
        <v/>
      </c>
      <c r="AS458" s="44"/>
      <c r="AT458" s="44" t="str">
        <f t="shared" si="17"/>
        <v/>
      </c>
      <c r="AU458" s="44" t="str">
        <f t="shared" si="2"/>
        <v/>
      </c>
      <c r="AV458" s="38"/>
      <c r="AW458" s="38"/>
      <c r="AX458" s="38"/>
      <c r="AY458" s="38"/>
      <c r="AZ458" s="29">
        <v>1000.0</v>
      </c>
      <c r="BA458" s="29">
        <v>1.0</v>
      </c>
      <c r="BB458" s="29">
        <v>2.0</v>
      </c>
      <c r="BC458" s="29" t="s">
        <v>1066</v>
      </c>
      <c r="BD458" s="29"/>
      <c r="BE458" s="29"/>
      <c r="BF458" s="29" t="s">
        <v>1067</v>
      </c>
      <c r="BG458" s="29" t="s">
        <v>220</v>
      </c>
      <c r="BH458" s="29" t="s">
        <v>92</v>
      </c>
      <c r="BI458" s="29" t="s">
        <v>1068</v>
      </c>
      <c r="BJ458" s="29"/>
      <c r="BK458" s="29" t="s">
        <v>148</v>
      </c>
      <c r="BL458" s="29"/>
      <c r="BM458" s="45"/>
      <c r="BN458" s="45"/>
      <c r="BO458" s="46"/>
      <c r="BP458" s="2"/>
      <c r="BQ458" s="3"/>
    </row>
    <row r="459" ht="15.75" customHeight="1">
      <c r="A459" s="34">
        <v>460.0</v>
      </c>
      <c r="B459" s="34">
        <v>104278.0</v>
      </c>
      <c r="C459" s="34" t="s">
        <v>832</v>
      </c>
      <c r="D459" s="34" t="s">
        <v>1053</v>
      </c>
      <c r="E459" s="34" t="s">
        <v>1054</v>
      </c>
      <c r="F459" s="34">
        <v>2021.0</v>
      </c>
      <c r="G459" s="34" t="s">
        <v>1055</v>
      </c>
      <c r="H459" s="34" t="s">
        <v>1056</v>
      </c>
      <c r="I459" s="34" t="s">
        <v>1057</v>
      </c>
      <c r="J459" s="35"/>
      <c r="K459" s="36">
        <v>-1.71</v>
      </c>
      <c r="L459" s="36"/>
      <c r="M459" s="36"/>
      <c r="N459" s="36"/>
      <c r="O459" s="36"/>
      <c r="P459" s="37">
        <v>-3.38</v>
      </c>
      <c r="Q459" s="36" t="s">
        <v>191</v>
      </c>
      <c r="R459" s="36" t="s">
        <v>13</v>
      </c>
      <c r="S459" s="36">
        <v>5000.0</v>
      </c>
      <c r="T459" s="36" t="s">
        <v>1058</v>
      </c>
      <c r="U459" s="36" t="s">
        <v>1059</v>
      </c>
      <c r="V459" s="36">
        <v>2727.0</v>
      </c>
      <c r="W459" s="36"/>
      <c r="X459" s="38">
        <v>645.0</v>
      </c>
      <c r="Y459" s="38" t="s">
        <v>1060</v>
      </c>
      <c r="Z459" s="38"/>
      <c r="AA459" s="38" t="s">
        <v>1061</v>
      </c>
      <c r="AB459" s="38"/>
      <c r="AC459" s="38"/>
      <c r="AD459" s="38"/>
      <c r="AE459" s="38"/>
      <c r="AF459" s="38"/>
      <c r="AG459" s="38"/>
      <c r="AH459" s="38"/>
      <c r="AI459" s="50"/>
      <c r="AJ459" s="50"/>
      <c r="AK459" s="41"/>
      <c r="AL459" s="50"/>
      <c r="AM459" s="49"/>
      <c r="AN459" s="43"/>
      <c r="AO459" s="42"/>
      <c r="AP459" s="43"/>
      <c r="AQ459" s="44"/>
      <c r="AR459" s="44" t="str">
        <f t="shared" si="3"/>
        <v/>
      </c>
      <c r="AS459" s="44"/>
      <c r="AT459" s="44" t="str">
        <f t="shared" si="17"/>
        <v/>
      </c>
      <c r="AU459" s="44" t="str">
        <f t="shared" si="2"/>
        <v/>
      </c>
      <c r="AV459" s="38"/>
      <c r="AW459" s="38"/>
      <c r="AX459" s="38"/>
      <c r="AY459" s="38"/>
      <c r="AZ459" s="29">
        <v>5000.0</v>
      </c>
      <c r="BA459" s="29">
        <v>1.0</v>
      </c>
      <c r="BB459" s="29">
        <v>2.0</v>
      </c>
      <c r="BC459" s="29" t="s">
        <v>936</v>
      </c>
      <c r="BD459" s="29"/>
      <c r="BE459" s="29"/>
      <c r="BF459" s="29" t="s">
        <v>1069</v>
      </c>
      <c r="BG459" s="29" t="s">
        <v>572</v>
      </c>
      <c r="BH459" s="29" t="s">
        <v>92</v>
      </c>
      <c r="BI459" s="29" t="s">
        <v>1070</v>
      </c>
      <c r="BJ459" s="29"/>
      <c r="BK459" s="29" t="s">
        <v>1071</v>
      </c>
      <c r="BL459" s="29"/>
      <c r="BM459" s="45"/>
      <c r="BN459" s="45"/>
      <c r="BO459" s="46"/>
      <c r="BP459" s="2"/>
      <c r="BQ459" s="3"/>
    </row>
    <row r="460" ht="15.75" customHeight="1">
      <c r="A460" s="34">
        <v>461.0</v>
      </c>
      <c r="B460" s="34">
        <v>104278.0</v>
      </c>
      <c r="C460" s="34" t="s">
        <v>832</v>
      </c>
      <c r="D460" s="34" t="s">
        <v>1053</v>
      </c>
      <c r="E460" s="34" t="s">
        <v>1054</v>
      </c>
      <c r="F460" s="34">
        <v>2021.0</v>
      </c>
      <c r="G460" s="34" t="s">
        <v>1055</v>
      </c>
      <c r="H460" s="34" t="s">
        <v>1056</v>
      </c>
      <c r="I460" s="34" t="s">
        <v>1057</v>
      </c>
      <c r="J460" s="35"/>
      <c r="K460" s="36">
        <v>5.36</v>
      </c>
      <c r="L460" s="36"/>
      <c r="M460" s="36"/>
      <c r="N460" s="36"/>
      <c r="O460" s="36"/>
      <c r="P460" s="37">
        <v>11.8</v>
      </c>
      <c r="Q460" s="36" t="s">
        <v>191</v>
      </c>
      <c r="R460" s="36" t="s">
        <v>13</v>
      </c>
      <c r="S460" s="36">
        <v>8000.0</v>
      </c>
      <c r="T460" s="36" t="s">
        <v>1058</v>
      </c>
      <c r="U460" s="36" t="s">
        <v>1059</v>
      </c>
      <c r="V460" s="36">
        <v>2613.0</v>
      </c>
      <c r="W460" s="36"/>
      <c r="X460" s="38">
        <v>645.0</v>
      </c>
      <c r="Y460" s="38" t="s">
        <v>1060</v>
      </c>
      <c r="Z460" s="38"/>
      <c r="AA460" s="38" t="s">
        <v>1061</v>
      </c>
      <c r="AB460" s="38"/>
      <c r="AC460" s="38"/>
      <c r="AD460" s="38"/>
      <c r="AE460" s="38"/>
      <c r="AF460" s="38"/>
      <c r="AG460" s="38"/>
      <c r="AH460" s="38"/>
      <c r="AI460" s="50"/>
      <c r="AJ460" s="50"/>
      <c r="AK460" s="41"/>
      <c r="AL460" s="50"/>
      <c r="AM460" s="49"/>
      <c r="AN460" s="43"/>
      <c r="AO460" s="42"/>
      <c r="AP460" s="43"/>
      <c r="AQ460" s="44"/>
      <c r="AR460" s="44" t="str">
        <f t="shared" si="3"/>
        <v/>
      </c>
      <c r="AS460" s="44"/>
      <c r="AT460" s="44" t="str">
        <f t="shared" si="17"/>
        <v/>
      </c>
      <c r="AU460" s="44" t="str">
        <f t="shared" si="2"/>
        <v/>
      </c>
      <c r="AV460" s="38"/>
      <c r="AW460" s="38"/>
      <c r="AX460" s="38"/>
      <c r="AY460" s="38"/>
      <c r="AZ460" s="29">
        <v>8000.0</v>
      </c>
      <c r="BA460" s="29">
        <v>1.0</v>
      </c>
      <c r="BB460" s="29">
        <v>2.0</v>
      </c>
      <c r="BC460" s="29" t="s">
        <v>933</v>
      </c>
      <c r="BD460" s="29"/>
      <c r="BE460" s="29"/>
      <c r="BF460" s="29" t="s">
        <v>1072</v>
      </c>
      <c r="BG460" s="29" t="s">
        <v>220</v>
      </c>
      <c r="BH460" s="29" t="s">
        <v>92</v>
      </c>
      <c r="BI460" s="29" t="s">
        <v>1073</v>
      </c>
      <c r="BJ460" s="29"/>
      <c r="BK460" s="29" t="s">
        <v>681</v>
      </c>
      <c r="BL460" s="29"/>
      <c r="BM460" s="45"/>
      <c r="BN460" s="45"/>
      <c r="BO460" s="46"/>
      <c r="BP460" s="2"/>
      <c r="BQ460" s="3"/>
    </row>
    <row r="461" ht="15.75" customHeight="1">
      <c r="A461" s="34">
        <v>462.0</v>
      </c>
      <c r="B461" s="34">
        <v>104278.0</v>
      </c>
      <c r="C461" s="34" t="s">
        <v>832</v>
      </c>
      <c r="D461" s="34" t="s">
        <v>1053</v>
      </c>
      <c r="E461" s="34" t="s">
        <v>1054</v>
      </c>
      <c r="F461" s="34">
        <v>2021.0</v>
      </c>
      <c r="G461" s="34" t="s">
        <v>1055</v>
      </c>
      <c r="H461" s="34" t="s">
        <v>1056</v>
      </c>
      <c r="I461" s="34" t="s">
        <v>1057</v>
      </c>
      <c r="J461" s="35"/>
      <c r="K461" s="36">
        <v>2.82</v>
      </c>
      <c r="L461" s="36"/>
      <c r="M461" s="36"/>
      <c r="N461" s="36"/>
      <c r="O461" s="36"/>
      <c r="P461" s="37">
        <v>5.98</v>
      </c>
      <c r="Q461" s="36" t="s">
        <v>191</v>
      </c>
      <c r="R461" s="36" t="s">
        <v>13</v>
      </c>
      <c r="S461" s="36" t="s">
        <v>928</v>
      </c>
      <c r="T461" s="36" t="s">
        <v>1058</v>
      </c>
      <c r="U461" s="36" t="s">
        <v>1059</v>
      </c>
      <c r="V461" s="36">
        <v>3099.0</v>
      </c>
      <c r="W461" s="36"/>
      <c r="X461" s="38">
        <v>645.0</v>
      </c>
      <c r="Y461" s="38" t="s">
        <v>1060</v>
      </c>
      <c r="Z461" s="38"/>
      <c r="AA461" s="38" t="s">
        <v>1061</v>
      </c>
      <c r="AB461" s="38"/>
      <c r="AC461" s="38"/>
      <c r="AD461" s="38"/>
      <c r="AE461" s="38"/>
      <c r="AF461" s="38"/>
      <c r="AG461" s="38"/>
      <c r="AH461" s="38"/>
      <c r="AI461" s="50"/>
      <c r="AJ461" s="50"/>
      <c r="AK461" s="41"/>
      <c r="AL461" s="50"/>
      <c r="AM461" s="49"/>
      <c r="AN461" s="43"/>
      <c r="AO461" s="42"/>
      <c r="AP461" s="43"/>
      <c r="AQ461" s="44"/>
      <c r="AR461" s="44" t="str">
        <f t="shared" si="3"/>
        <v/>
      </c>
      <c r="AS461" s="44"/>
      <c r="AT461" s="44" t="str">
        <f t="shared" si="17"/>
        <v/>
      </c>
      <c r="AU461" s="44" t="str">
        <f t="shared" si="2"/>
        <v/>
      </c>
      <c r="AV461" s="38"/>
      <c r="AW461" s="38"/>
      <c r="AX461" s="38"/>
      <c r="AY461" s="38"/>
      <c r="AZ461" s="29" t="s">
        <v>928</v>
      </c>
      <c r="BA461" s="29">
        <v>1.0</v>
      </c>
      <c r="BB461" s="29">
        <v>2.0</v>
      </c>
      <c r="BC461" s="29" t="s">
        <v>929</v>
      </c>
      <c r="BD461" s="29"/>
      <c r="BE461" s="29"/>
      <c r="BF461" s="29" t="s">
        <v>1074</v>
      </c>
      <c r="BG461" s="29" t="s">
        <v>203</v>
      </c>
      <c r="BH461" s="29" t="s">
        <v>92</v>
      </c>
      <c r="BI461" s="29" t="s">
        <v>1075</v>
      </c>
      <c r="BJ461" s="29"/>
      <c r="BK461" s="29"/>
      <c r="BL461" s="29"/>
      <c r="BM461" s="45"/>
      <c r="BN461" s="45"/>
      <c r="BO461" s="46"/>
      <c r="BP461" s="2"/>
      <c r="BQ461" s="3"/>
    </row>
    <row r="462" ht="15.75" customHeight="1">
      <c r="A462" s="34">
        <v>463.0</v>
      </c>
      <c r="B462" s="34">
        <v>104278.0</v>
      </c>
      <c r="C462" s="34" t="s">
        <v>832</v>
      </c>
      <c r="D462" s="34" t="s">
        <v>1053</v>
      </c>
      <c r="E462" s="34" t="s">
        <v>1054</v>
      </c>
      <c r="F462" s="34">
        <v>2021.0</v>
      </c>
      <c r="G462" s="34" t="s">
        <v>1055</v>
      </c>
      <c r="H462" s="34" t="s">
        <v>1056</v>
      </c>
      <c r="I462" s="34" t="s">
        <v>1057</v>
      </c>
      <c r="J462" s="35"/>
      <c r="K462" s="36">
        <v>4.4</v>
      </c>
      <c r="L462" s="36"/>
      <c r="M462" s="36"/>
      <c r="N462" s="36"/>
      <c r="O462" s="36"/>
      <c r="P462" s="37">
        <v>9.37</v>
      </c>
      <c r="Q462" s="36" t="s">
        <v>191</v>
      </c>
      <c r="R462" s="36" t="s">
        <v>13</v>
      </c>
      <c r="S462" s="36" t="s">
        <v>928</v>
      </c>
      <c r="T462" s="36" t="s">
        <v>1058</v>
      </c>
      <c r="U462" s="36" t="s">
        <v>1059</v>
      </c>
      <c r="V462" s="36">
        <v>2669.0</v>
      </c>
      <c r="W462" s="36"/>
      <c r="X462" s="38">
        <v>645.0</v>
      </c>
      <c r="Y462" s="38" t="s">
        <v>1060</v>
      </c>
      <c r="Z462" s="38"/>
      <c r="AA462" s="38" t="s">
        <v>1061</v>
      </c>
      <c r="AB462" s="38"/>
      <c r="AC462" s="38"/>
      <c r="AD462" s="38"/>
      <c r="AE462" s="38"/>
      <c r="AF462" s="38"/>
      <c r="AG462" s="38"/>
      <c r="AH462" s="38"/>
      <c r="AI462" s="50"/>
      <c r="AJ462" s="50"/>
      <c r="AK462" s="41"/>
      <c r="AL462" s="50"/>
      <c r="AM462" s="49"/>
      <c r="AN462" s="43"/>
      <c r="AO462" s="42"/>
      <c r="AP462" s="43"/>
      <c r="AQ462" s="44"/>
      <c r="AR462" s="44" t="str">
        <f t="shared" si="3"/>
        <v/>
      </c>
      <c r="AS462" s="44"/>
      <c r="AT462" s="44" t="str">
        <f t="shared" si="17"/>
        <v/>
      </c>
      <c r="AU462" s="44" t="str">
        <f t="shared" si="2"/>
        <v/>
      </c>
      <c r="AV462" s="38"/>
      <c r="AW462" s="38"/>
      <c r="AX462" s="38"/>
      <c r="AY462" s="38"/>
      <c r="AZ462" s="29" t="s">
        <v>928</v>
      </c>
      <c r="BA462" s="29">
        <v>1.0</v>
      </c>
      <c r="BB462" s="29">
        <v>2.0</v>
      </c>
      <c r="BC462" s="29" t="s">
        <v>931</v>
      </c>
      <c r="BD462" s="29"/>
      <c r="BE462" s="29"/>
      <c r="BF462" s="29" t="s">
        <v>1076</v>
      </c>
      <c r="BG462" s="29" t="s">
        <v>203</v>
      </c>
      <c r="BH462" s="29" t="s">
        <v>92</v>
      </c>
      <c r="BI462" s="29" t="s">
        <v>1075</v>
      </c>
      <c r="BJ462" s="29"/>
      <c r="BK462" s="29"/>
      <c r="BL462" s="29"/>
      <c r="BM462" s="45"/>
      <c r="BN462" s="45"/>
      <c r="BO462" s="46"/>
      <c r="BP462" s="2"/>
      <c r="BQ462" s="3"/>
    </row>
    <row r="463" ht="15.75" customHeight="1">
      <c r="A463" s="34">
        <v>464.0</v>
      </c>
      <c r="B463" s="34">
        <v>104278.0</v>
      </c>
      <c r="C463" s="34" t="s">
        <v>832</v>
      </c>
      <c r="D463" s="34" t="s">
        <v>1053</v>
      </c>
      <c r="E463" s="34" t="s">
        <v>1054</v>
      </c>
      <c r="F463" s="34">
        <v>2021.0</v>
      </c>
      <c r="G463" s="34" t="s">
        <v>1055</v>
      </c>
      <c r="H463" s="34" t="s">
        <v>1056</v>
      </c>
      <c r="I463" s="34" t="s">
        <v>1057</v>
      </c>
      <c r="J463" s="35"/>
      <c r="K463" s="36">
        <v>-9.56</v>
      </c>
      <c r="L463" s="36"/>
      <c r="M463" s="36"/>
      <c r="N463" s="36"/>
      <c r="O463" s="36"/>
      <c r="P463" s="37">
        <v>-19.01</v>
      </c>
      <c r="Q463" s="36" t="s">
        <v>191</v>
      </c>
      <c r="R463" s="36" t="s">
        <v>13</v>
      </c>
      <c r="S463" s="36">
        <v>500.0</v>
      </c>
      <c r="T463" s="36" t="s">
        <v>1058</v>
      </c>
      <c r="U463" s="36" t="s">
        <v>1059</v>
      </c>
      <c r="V463" s="36">
        <v>2852.0</v>
      </c>
      <c r="W463" s="36"/>
      <c r="X463" s="38">
        <v>645.0</v>
      </c>
      <c r="Y463" s="38" t="s">
        <v>1060</v>
      </c>
      <c r="Z463" s="38"/>
      <c r="AA463" s="38" t="s">
        <v>1061</v>
      </c>
      <c r="AB463" s="38"/>
      <c r="AC463" s="38"/>
      <c r="AD463" s="38"/>
      <c r="AE463" s="38"/>
      <c r="AF463" s="38"/>
      <c r="AG463" s="38"/>
      <c r="AH463" s="38"/>
      <c r="AI463" s="50"/>
      <c r="AJ463" s="50"/>
      <c r="AK463" s="41"/>
      <c r="AL463" s="50"/>
      <c r="AM463" s="49"/>
      <c r="AN463" s="43"/>
      <c r="AO463" s="42"/>
      <c r="AP463" s="43"/>
      <c r="AQ463" s="44"/>
      <c r="AR463" s="44" t="str">
        <f t="shared" si="3"/>
        <v/>
      </c>
      <c r="AS463" s="44"/>
      <c r="AT463" s="44" t="str">
        <f t="shared" si="17"/>
        <v/>
      </c>
      <c r="AU463" s="44" t="str">
        <f t="shared" si="2"/>
        <v/>
      </c>
      <c r="AV463" s="38"/>
      <c r="AW463" s="38"/>
      <c r="AX463" s="38"/>
      <c r="AY463" s="38"/>
      <c r="AZ463" s="29">
        <v>500.0</v>
      </c>
      <c r="BA463" s="29">
        <v>1.0</v>
      </c>
      <c r="BB463" s="29">
        <v>2.0</v>
      </c>
      <c r="BC463" s="29" t="s">
        <v>1077</v>
      </c>
      <c r="BD463" s="29"/>
      <c r="BE463" s="29"/>
      <c r="BF463" s="29" t="s">
        <v>1078</v>
      </c>
      <c r="BG463" s="29" t="s">
        <v>220</v>
      </c>
      <c r="BH463" s="29" t="s">
        <v>92</v>
      </c>
      <c r="BI463" s="29" t="s">
        <v>1068</v>
      </c>
      <c r="BJ463" s="29"/>
      <c r="BK463" s="29" t="s">
        <v>148</v>
      </c>
      <c r="BL463" s="29"/>
      <c r="BM463" s="45"/>
      <c r="BN463" s="45"/>
      <c r="BO463" s="46"/>
      <c r="BP463" s="2"/>
      <c r="BQ463" s="3"/>
    </row>
    <row r="464" ht="15.75" customHeight="1">
      <c r="A464" s="34">
        <v>465.0</v>
      </c>
      <c r="B464" s="34">
        <v>104278.0</v>
      </c>
      <c r="C464" s="34" t="s">
        <v>832</v>
      </c>
      <c r="D464" s="34" t="s">
        <v>1053</v>
      </c>
      <c r="E464" s="34" t="s">
        <v>1054</v>
      </c>
      <c r="F464" s="34">
        <v>2021.0</v>
      </c>
      <c r="G464" s="34" t="s">
        <v>1055</v>
      </c>
      <c r="H464" s="34" t="s">
        <v>1056</v>
      </c>
      <c r="I464" s="34" t="s">
        <v>1057</v>
      </c>
      <c r="J464" s="35"/>
      <c r="K464" s="36">
        <v>-0.9</v>
      </c>
      <c r="L464" s="36"/>
      <c r="M464" s="36"/>
      <c r="N464" s="36"/>
      <c r="O464" s="36"/>
      <c r="P464" s="37">
        <v>-1.71</v>
      </c>
      <c r="Q464" s="36" t="s">
        <v>191</v>
      </c>
      <c r="R464" s="36" t="s">
        <v>191</v>
      </c>
      <c r="S464" s="36">
        <v>500.0</v>
      </c>
      <c r="T464" s="36" t="s">
        <v>1058</v>
      </c>
      <c r="U464" s="36" t="s">
        <v>1059</v>
      </c>
      <c r="V464" s="36">
        <v>4574.0</v>
      </c>
      <c r="W464" s="36"/>
      <c r="X464" s="38">
        <v>89.0</v>
      </c>
      <c r="Y464" s="38" t="s">
        <v>1060</v>
      </c>
      <c r="Z464" s="38"/>
      <c r="AA464" s="38" t="s">
        <v>86</v>
      </c>
      <c r="AB464" s="38"/>
      <c r="AC464" s="38"/>
      <c r="AD464" s="38"/>
      <c r="AE464" s="38"/>
      <c r="AF464" s="38"/>
      <c r="AG464" s="38"/>
      <c r="AH464" s="38"/>
      <c r="AI464" s="50"/>
      <c r="AJ464" s="50"/>
      <c r="AK464" s="41"/>
      <c r="AL464" s="50"/>
      <c r="AM464" s="49"/>
      <c r="AN464" s="43"/>
      <c r="AO464" s="42"/>
      <c r="AP464" s="43"/>
      <c r="AQ464" s="44" t="str">
        <f t="shared" ref="AQ464:AQ623" si="47">AA464</f>
        <v>CRO</v>
      </c>
      <c r="AR464" s="44" t="str">
        <f t="shared" si="3"/>
        <v/>
      </c>
      <c r="AS464" s="44"/>
      <c r="AT464" s="44" t="str">
        <f t="shared" si="17"/>
        <v/>
      </c>
      <c r="AU464" s="44" t="str">
        <f t="shared" si="2"/>
        <v/>
      </c>
      <c r="AV464" s="38"/>
      <c r="AW464" s="38"/>
      <c r="AX464" s="38"/>
      <c r="AY464" s="38"/>
      <c r="AZ464" s="29">
        <v>500.0</v>
      </c>
      <c r="BA464" s="29">
        <v>1.0</v>
      </c>
      <c r="BB464" s="29">
        <v>2.0</v>
      </c>
      <c r="BC464" s="29" t="s">
        <v>1062</v>
      </c>
      <c r="BD464" s="29"/>
      <c r="BE464" s="29"/>
      <c r="BF464" s="29" t="s">
        <v>1062</v>
      </c>
      <c r="BG464" s="29" t="s">
        <v>220</v>
      </c>
      <c r="BH464" s="29" t="s">
        <v>92</v>
      </c>
      <c r="BI464" s="29" t="s">
        <v>1063</v>
      </c>
      <c r="BJ464" s="29"/>
      <c r="BK464" s="29" t="s">
        <v>148</v>
      </c>
      <c r="BL464" s="29"/>
      <c r="BM464" s="45"/>
      <c r="BN464" s="45"/>
      <c r="BO464" s="46"/>
      <c r="BP464" s="2"/>
      <c r="BQ464" s="3"/>
    </row>
    <row r="465" ht="15.75" customHeight="1">
      <c r="A465" s="34">
        <v>466.0</v>
      </c>
      <c r="B465" s="34">
        <v>104278.0</v>
      </c>
      <c r="C465" s="34" t="s">
        <v>832</v>
      </c>
      <c r="D465" s="34" t="s">
        <v>1053</v>
      </c>
      <c r="E465" s="34" t="s">
        <v>1054</v>
      </c>
      <c r="F465" s="34">
        <v>2021.0</v>
      </c>
      <c r="G465" s="34" t="s">
        <v>1055</v>
      </c>
      <c r="H465" s="34" t="s">
        <v>1056</v>
      </c>
      <c r="I465" s="34" t="s">
        <v>1057</v>
      </c>
      <c r="J465" s="35"/>
      <c r="K465" s="36">
        <v>0.11</v>
      </c>
      <c r="L465" s="36"/>
      <c r="M465" s="36"/>
      <c r="N465" s="36"/>
      <c r="O465" s="36"/>
      <c r="P465" s="37">
        <v>0.2</v>
      </c>
      <c r="Q465" s="36" t="s">
        <v>191</v>
      </c>
      <c r="R465" s="36" t="s">
        <v>191</v>
      </c>
      <c r="S465" s="36">
        <v>1000.0</v>
      </c>
      <c r="T465" s="36" t="s">
        <v>1058</v>
      </c>
      <c r="U465" s="36" t="s">
        <v>1059</v>
      </c>
      <c r="V465" s="36">
        <v>4135.0</v>
      </c>
      <c r="W465" s="36"/>
      <c r="X465" s="38">
        <v>89.0</v>
      </c>
      <c r="Y465" s="38" t="s">
        <v>1060</v>
      </c>
      <c r="Z465" s="38"/>
      <c r="AA465" s="38" t="s">
        <v>86</v>
      </c>
      <c r="AB465" s="38"/>
      <c r="AC465" s="38"/>
      <c r="AD465" s="38"/>
      <c r="AE465" s="38"/>
      <c r="AF465" s="38"/>
      <c r="AG465" s="38"/>
      <c r="AH465" s="38"/>
      <c r="AI465" s="50"/>
      <c r="AJ465" s="50"/>
      <c r="AK465" s="41"/>
      <c r="AL465" s="50"/>
      <c r="AM465" s="49"/>
      <c r="AN465" s="43"/>
      <c r="AO465" s="42"/>
      <c r="AP465" s="43"/>
      <c r="AQ465" s="44" t="str">
        <f t="shared" si="47"/>
        <v>CRO</v>
      </c>
      <c r="AR465" s="44" t="str">
        <f t="shared" si="3"/>
        <v/>
      </c>
      <c r="AS465" s="44"/>
      <c r="AT465" s="44" t="str">
        <f t="shared" si="17"/>
        <v/>
      </c>
      <c r="AU465" s="44" t="str">
        <f t="shared" si="2"/>
        <v/>
      </c>
      <c r="AV465" s="38"/>
      <c r="AW465" s="38"/>
      <c r="AX465" s="38"/>
      <c r="AY465" s="38"/>
      <c r="AZ465" s="29">
        <v>1000.0</v>
      </c>
      <c r="BA465" s="29">
        <v>1.0</v>
      </c>
      <c r="BB465" s="29">
        <v>2.0</v>
      </c>
      <c r="BC465" s="29" t="s">
        <v>802</v>
      </c>
      <c r="BD465" s="29"/>
      <c r="BE465" s="29"/>
      <c r="BF465" s="29" t="s">
        <v>826</v>
      </c>
      <c r="BG465" s="29" t="s">
        <v>220</v>
      </c>
      <c r="BH465" s="29" t="s">
        <v>92</v>
      </c>
      <c r="BI465" s="29" t="s">
        <v>1065</v>
      </c>
      <c r="BJ465" s="29"/>
      <c r="BK465" s="29" t="s">
        <v>148</v>
      </c>
      <c r="BL465" s="29"/>
      <c r="BM465" s="45"/>
      <c r="BN465" s="45"/>
      <c r="BO465" s="46"/>
      <c r="BP465" s="2"/>
      <c r="BQ465" s="3"/>
    </row>
    <row r="466" ht="15.75" customHeight="1">
      <c r="A466" s="34">
        <v>467.0</v>
      </c>
      <c r="B466" s="34">
        <v>104278.0</v>
      </c>
      <c r="C466" s="34" t="s">
        <v>832</v>
      </c>
      <c r="D466" s="34" t="s">
        <v>1053</v>
      </c>
      <c r="E466" s="34" t="s">
        <v>1054</v>
      </c>
      <c r="F466" s="34">
        <v>2021.0</v>
      </c>
      <c r="G466" s="34" t="s">
        <v>1055</v>
      </c>
      <c r="H466" s="34" t="s">
        <v>1056</v>
      </c>
      <c r="I466" s="34" t="s">
        <v>1057</v>
      </c>
      <c r="J466" s="35"/>
      <c r="K466" s="36">
        <v>-1.17</v>
      </c>
      <c r="L466" s="36"/>
      <c r="M466" s="36"/>
      <c r="N466" s="36"/>
      <c r="O466" s="36"/>
      <c r="P466" s="37">
        <v>-2.3</v>
      </c>
      <c r="Q466" s="36" t="s">
        <v>191</v>
      </c>
      <c r="R466" s="36" t="s">
        <v>191</v>
      </c>
      <c r="S466" s="36">
        <v>1000.0</v>
      </c>
      <c r="T466" s="36" t="s">
        <v>1058</v>
      </c>
      <c r="U466" s="36" t="s">
        <v>1059</v>
      </c>
      <c r="V466" s="36">
        <v>4221.0</v>
      </c>
      <c r="W466" s="36"/>
      <c r="X466" s="38">
        <v>89.0</v>
      </c>
      <c r="Y466" s="38" t="s">
        <v>1060</v>
      </c>
      <c r="Z466" s="38"/>
      <c r="AA466" s="38" t="s">
        <v>86</v>
      </c>
      <c r="AB466" s="38"/>
      <c r="AC466" s="38"/>
      <c r="AD466" s="38"/>
      <c r="AE466" s="38"/>
      <c r="AF466" s="38"/>
      <c r="AG466" s="38"/>
      <c r="AH466" s="38"/>
      <c r="AI466" s="50"/>
      <c r="AJ466" s="50"/>
      <c r="AK466" s="41"/>
      <c r="AL466" s="50"/>
      <c r="AM466" s="49"/>
      <c r="AN466" s="43"/>
      <c r="AO466" s="42"/>
      <c r="AP466" s="43"/>
      <c r="AQ466" s="44" t="str">
        <f t="shared" si="47"/>
        <v>CRO</v>
      </c>
      <c r="AR466" s="44" t="str">
        <f t="shared" si="3"/>
        <v/>
      </c>
      <c r="AS466" s="44"/>
      <c r="AT466" s="44" t="str">
        <f t="shared" si="17"/>
        <v/>
      </c>
      <c r="AU466" s="44" t="str">
        <f t="shared" si="2"/>
        <v/>
      </c>
      <c r="AV466" s="38"/>
      <c r="AW466" s="38"/>
      <c r="AX466" s="38"/>
      <c r="AY466" s="38"/>
      <c r="AZ466" s="29">
        <v>1000.0</v>
      </c>
      <c r="BA466" s="29">
        <v>1.0</v>
      </c>
      <c r="BB466" s="29">
        <v>2.0</v>
      </c>
      <c r="BC466" s="29" t="s">
        <v>1066</v>
      </c>
      <c r="BD466" s="29"/>
      <c r="BE466" s="29"/>
      <c r="BF466" s="29" t="s">
        <v>1067</v>
      </c>
      <c r="BG466" s="29" t="s">
        <v>220</v>
      </c>
      <c r="BH466" s="29" t="s">
        <v>92</v>
      </c>
      <c r="BI466" s="29" t="s">
        <v>1068</v>
      </c>
      <c r="BJ466" s="29"/>
      <c r="BK466" s="29" t="s">
        <v>148</v>
      </c>
      <c r="BL466" s="29"/>
      <c r="BM466" s="45"/>
      <c r="BN466" s="45"/>
      <c r="BO466" s="46"/>
      <c r="BP466" s="2"/>
      <c r="BQ466" s="3"/>
    </row>
    <row r="467" ht="15.75" customHeight="1">
      <c r="A467" s="34">
        <v>468.0</v>
      </c>
      <c r="B467" s="34">
        <v>104278.0</v>
      </c>
      <c r="C467" s="34" t="s">
        <v>832</v>
      </c>
      <c r="D467" s="34" t="s">
        <v>1053</v>
      </c>
      <c r="E467" s="34" t="s">
        <v>1054</v>
      </c>
      <c r="F467" s="34">
        <v>2021.0</v>
      </c>
      <c r="G467" s="34" t="s">
        <v>1055</v>
      </c>
      <c r="H467" s="34" t="s">
        <v>1056</v>
      </c>
      <c r="I467" s="34" t="s">
        <v>1057</v>
      </c>
      <c r="J467" s="35"/>
      <c r="K467" s="36">
        <v>-8.06</v>
      </c>
      <c r="L467" s="36"/>
      <c r="M467" s="36"/>
      <c r="N467" s="36"/>
      <c r="O467" s="36"/>
      <c r="P467" s="37">
        <v>-14.25</v>
      </c>
      <c r="Q467" s="36" t="s">
        <v>191</v>
      </c>
      <c r="R467" s="36" t="s">
        <v>191</v>
      </c>
      <c r="S467" s="36">
        <v>5000.0</v>
      </c>
      <c r="T467" s="36" t="s">
        <v>1058</v>
      </c>
      <c r="U467" s="36" t="s">
        <v>1059</v>
      </c>
      <c r="V467" s="36">
        <v>3832.0</v>
      </c>
      <c r="W467" s="36"/>
      <c r="X467" s="38">
        <v>89.0</v>
      </c>
      <c r="Y467" s="38" t="s">
        <v>1060</v>
      </c>
      <c r="Z467" s="38"/>
      <c r="AA467" s="38" t="s">
        <v>86</v>
      </c>
      <c r="AB467" s="38"/>
      <c r="AC467" s="38"/>
      <c r="AD467" s="38"/>
      <c r="AE467" s="38"/>
      <c r="AF467" s="38"/>
      <c r="AG467" s="38"/>
      <c r="AH467" s="38"/>
      <c r="AI467" s="50"/>
      <c r="AJ467" s="50"/>
      <c r="AK467" s="41"/>
      <c r="AL467" s="50"/>
      <c r="AM467" s="49"/>
      <c r="AN467" s="43"/>
      <c r="AO467" s="42"/>
      <c r="AP467" s="43"/>
      <c r="AQ467" s="44" t="str">
        <f t="shared" si="47"/>
        <v>CRO</v>
      </c>
      <c r="AR467" s="44" t="str">
        <f t="shared" si="3"/>
        <v/>
      </c>
      <c r="AS467" s="44"/>
      <c r="AT467" s="44" t="str">
        <f t="shared" si="17"/>
        <v/>
      </c>
      <c r="AU467" s="44" t="str">
        <f t="shared" si="2"/>
        <v/>
      </c>
      <c r="AV467" s="38"/>
      <c r="AW467" s="38"/>
      <c r="AX467" s="38"/>
      <c r="AY467" s="38"/>
      <c r="AZ467" s="29">
        <v>5000.0</v>
      </c>
      <c r="BA467" s="29">
        <v>1.0</v>
      </c>
      <c r="BB467" s="29">
        <v>2.0</v>
      </c>
      <c r="BC467" s="29" t="s">
        <v>936</v>
      </c>
      <c r="BD467" s="29"/>
      <c r="BE467" s="29"/>
      <c r="BF467" s="29" t="s">
        <v>1069</v>
      </c>
      <c r="BG467" s="29" t="s">
        <v>572</v>
      </c>
      <c r="BH467" s="29" t="s">
        <v>92</v>
      </c>
      <c r="BI467" s="29" t="s">
        <v>1070</v>
      </c>
      <c r="BJ467" s="29"/>
      <c r="BK467" s="29" t="s">
        <v>1071</v>
      </c>
      <c r="BL467" s="29"/>
      <c r="BM467" s="45"/>
      <c r="BN467" s="45"/>
      <c r="BO467" s="46"/>
      <c r="BP467" s="2"/>
      <c r="BQ467" s="3"/>
    </row>
    <row r="468" ht="15.75" customHeight="1">
      <c r="A468" s="34">
        <v>469.0</v>
      </c>
      <c r="B468" s="34">
        <v>104278.0</v>
      </c>
      <c r="C468" s="34" t="s">
        <v>832</v>
      </c>
      <c r="D468" s="34" t="s">
        <v>1053</v>
      </c>
      <c r="E468" s="34" t="s">
        <v>1054</v>
      </c>
      <c r="F468" s="34">
        <v>2021.0</v>
      </c>
      <c r="G468" s="34" t="s">
        <v>1055</v>
      </c>
      <c r="H468" s="34" t="s">
        <v>1056</v>
      </c>
      <c r="I468" s="34" t="s">
        <v>1057</v>
      </c>
      <c r="J468" s="35"/>
      <c r="K468" s="36">
        <v>3.16</v>
      </c>
      <c r="L468" s="36"/>
      <c r="M468" s="36"/>
      <c r="N468" s="36"/>
      <c r="O468" s="36"/>
      <c r="P468" s="37">
        <v>6.3</v>
      </c>
      <c r="Q468" s="36" t="s">
        <v>191</v>
      </c>
      <c r="R468" s="36" t="s">
        <v>191</v>
      </c>
      <c r="S468" s="36">
        <v>8000.0</v>
      </c>
      <c r="T468" s="36" t="s">
        <v>1058</v>
      </c>
      <c r="U468" s="36" t="s">
        <v>1059</v>
      </c>
      <c r="V468" s="36">
        <v>4354.0</v>
      </c>
      <c r="W468" s="36"/>
      <c r="X468" s="38">
        <v>89.0</v>
      </c>
      <c r="Y468" s="38" t="s">
        <v>1060</v>
      </c>
      <c r="Z468" s="38"/>
      <c r="AA468" s="38" t="s">
        <v>86</v>
      </c>
      <c r="AB468" s="38"/>
      <c r="AC468" s="38"/>
      <c r="AD468" s="38"/>
      <c r="AE468" s="38"/>
      <c r="AF468" s="38"/>
      <c r="AG468" s="38"/>
      <c r="AH468" s="38"/>
      <c r="AI468" s="50"/>
      <c r="AJ468" s="50"/>
      <c r="AK468" s="41"/>
      <c r="AL468" s="50"/>
      <c r="AM468" s="49"/>
      <c r="AN468" s="43"/>
      <c r="AO468" s="42"/>
      <c r="AP468" s="43"/>
      <c r="AQ468" s="44" t="str">
        <f t="shared" si="47"/>
        <v>CRO</v>
      </c>
      <c r="AR468" s="44" t="str">
        <f t="shared" si="3"/>
        <v/>
      </c>
      <c r="AS468" s="44"/>
      <c r="AT468" s="44" t="str">
        <f t="shared" si="17"/>
        <v/>
      </c>
      <c r="AU468" s="44" t="str">
        <f t="shared" si="2"/>
        <v/>
      </c>
      <c r="AV468" s="38"/>
      <c r="AW468" s="38"/>
      <c r="AX468" s="38"/>
      <c r="AY468" s="38"/>
      <c r="AZ468" s="29">
        <v>8000.0</v>
      </c>
      <c r="BA468" s="29">
        <v>1.0</v>
      </c>
      <c r="BB468" s="29">
        <v>2.0</v>
      </c>
      <c r="BC468" s="29" t="s">
        <v>933</v>
      </c>
      <c r="BD468" s="29"/>
      <c r="BE468" s="29"/>
      <c r="BF468" s="29" t="s">
        <v>1072</v>
      </c>
      <c r="BG468" s="29" t="s">
        <v>220</v>
      </c>
      <c r="BH468" s="29" t="s">
        <v>92</v>
      </c>
      <c r="BI468" s="29" t="s">
        <v>1073</v>
      </c>
      <c r="BJ468" s="29"/>
      <c r="BK468" s="29" t="s">
        <v>681</v>
      </c>
      <c r="BL468" s="29"/>
      <c r="BM468" s="45"/>
      <c r="BN468" s="45"/>
      <c r="BO468" s="46"/>
      <c r="BP468" s="2"/>
      <c r="BQ468" s="3"/>
    </row>
    <row r="469" ht="15.75" customHeight="1">
      <c r="A469" s="34">
        <v>470.0</v>
      </c>
      <c r="B469" s="34">
        <v>104278.0</v>
      </c>
      <c r="C469" s="34" t="s">
        <v>832</v>
      </c>
      <c r="D469" s="34" t="s">
        <v>1053</v>
      </c>
      <c r="E469" s="34" t="s">
        <v>1054</v>
      </c>
      <c r="F469" s="34">
        <v>2021.0</v>
      </c>
      <c r="G469" s="34" t="s">
        <v>1055</v>
      </c>
      <c r="H469" s="34" t="s">
        <v>1056</v>
      </c>
      <c r="I469" s="34" t="s">
        <v>1057</v>
      </c>
      <c r="J469" s="35"/>
      <c r="K469" s="36">
        <v>1.44</v>
      </c>
      <c r="L469" s="36"/>
      <c r="M469" s="36"/>
      <c r="N469" s="36"/>
      <c r="O469" s="36"/>
      <c r="P469" s="37">
        <v>2.79</v>
      </c>
      <c r="Q469" s="36" t="s">
        <v>191</v>
      </c>
      <c r="R469" s="36" t="s">
        <v>191</v>
      </c>
      <c r="S469" s="36" t="s">
        <v>928</v>
      </c>
      <c r="T469" s="36" t="s">
        <v>1058</v>
      </c>
      <c r="U469" s="36" t="s">
        <v>1059</v>
      </c>
      <c r="V469" s="36">
        <v>5107.0</v>
      </c>
      <c r="W469" s="36"/>
      <c r="X469" s="38">
        <v>89.0</v>
      </c>
      <c r="Y469" s="38" t="s">
        <v>1060</v>
      </c>
      <c r="Z469" s="38"/>
      <c r="AA469" s="38" t="s">
        <v>86</v>
      </c>
      <c r="AB469" s="38"/>
      <c r="AC469" s="38"/>
      <c r="AD469" s="38"/>
      <c r="AE469" s="38"/>
      <c r="AF469" s="38"/>
      <c r="AG469" s="38"/>
      <c r="AH469" s="38"/>
      <c r="AI469" s="50"/>
      <c r="AJ469" s="50"/>
      <c r="AK469" s="41"/>
      <c r="AL469" s="50"/>
      <c r="AM469" s="49"/>
      <c r="AN469" s="43"/>
      <c r="AO469" s="42"/>
      <c r="AP469" s="43"/>
      <c r="AQ469" s="44" t="str">
        <f t="shared" si="47"/>
        <v>CRO</v>
      </c>
      <c r="AR469" s="44" t="str">
        <f t="shared" si="3"/>
        <v/>
      </c>
      <c r="AS469" s="44"/>
      <c r="AT469" s="44" t="str">
        <f t="shared" si="17"/>
        <v/>
      </c>
      <c r="AU469" s="44" t="str">
        <f t="shared" si="2"/>
        <v/>
      </c>
      <c r="AV469" s="38"/>
      <c r="AW469" s="38"/>
      <c r="AX469" s="38"/>
      <c r="AY469" s="38"/>
      <c r="AZ469" s="29" t="s">
        <v>928</v>
      </c>
      <c r="BA469" s="29">
        <v>1.0</v>
      </c>
      <c r="BB469" s="29">
        <v>2.0</v>
      </c>
      <c r="BC469" s="29" t="s">
        <v>929</v>
      </c>
      <c r="BD469" s="29"/>
      <c r="BE469" s="29"/>
      <c r="BF469" s="29" t="s">
        <v>1074</v>
      </c>
      <c r="BG469" s="29" t="s">
        <v>203</v>
      </c>
      <c r="BH469" s="29" t="s">
        <v>92</v>
      </c>
      <c r="BI469" s="29" t="s">
        <v>1075</v>
      </c>
      <c r="BJ469" s="29"/>
      <c r="BK469" s="29"/>
      <c r="BL469" s="29"/>
      <c r="BM469" s="45"/>
      <c r="BN469" s="45"/>
      <c r="BO469" s="46"/>
      <c r="BP469" s="2"/>
      <c r="BQ469" s="3"/>
    </row>
    <row r="470" ht="15.75" customHeight="1">
      <c r="A470" s="34">
        <v>471.0</v>
      </c>
      <c r="B470" s="34">
        <v>104278.0</v>
      </c>
      <c r="C470" s="34" t="s">
        <v>832</v>
      </c>
      <c r="D470" s="34" t="s">
        <v>1053</v>
      </c>
      <c r="E470" s="34" t="s">
        <v>1054</v>
      </c>
      <c r="F470" s="34">
        <v>2021.0</v>
      </c>
      <c r="G470" s="34" t="s">
        <v>1055</v>
      </c>
      <c r="H470" s="34" t="s">
        <v>1056</v>
      </c>
      <c r="I470" s="34" t="s">
        <v>1057</v>
      </c>
      <c r="J470" s="35"/>
      <c r="K470" s="36">
        <v>3.12</v>
      </c>
      <c r="L470" s="36"/>
      <c r="M470" s="36"/>
      <c r="N470" s="36"/>
      <c r="O470" s="36"/>
      <c r="P470" s="37">
        <v>6.1</v>
      </c>
      <c r="Q470" s="36" t="s">
        <v>191</v>
      </c>
      <c r="R470" s="36" t="s">
        <v>191</v>
      </c>
      <c r="S470" s="36" t="s">
        <v>928</v>
      </c>
      <c r="T470" s="36" t="s">
        <v>1058</v>
      </c>
      <c r="U470" s="36" t="s">
        <v>1059</v>
      </c>
      <c r="V470" s="36">
        <v>4411.0</v>
      </c>
      <c r="W470" s="36"/>
      <c r="X470" s="38">
        <v>89.0</v>
      </c>
      <c r="Y470" s="38" t="s">
        <v>1060</v>
      </c>
      <c r="Z470" s="38"/>
      <c r="AA470" s="38" t="s">
        <v>86</v>
      </c>
      <c r="AB470" s="38"/>
      <c r="AC470" s="38"/>
      <c r="AD470" s="38"/>
      <c r="AE470" s="38"/>
      <c r="AF470" s="38"/>
      <c r="AG470" s="38"/>
      <c r="AH470" s="38"/>
      <c r="AI470" s="50"/>
      <c r="AJ470" s="50"/>
      <c r="AK470" s="41"/>
      <c r="AL470" s="50"/>
      <c r="AM470" s="49"/>
      <c r="AN470" s="43"/>
      <c r="AO470" s="42"/>
      <c r="AP470" s="43"/>
      <c r="AQ470" s="44" t="str">
        <f t="shared" si="47"/>
        <v>CRO</v>
      </c>
      <c r="AR470" s="44" t="str">
        <f t="shared" si="3"/>
        <v/>
      </c>
      <c r="AS470" s="44"/>
      <c r="AT470" s="44" t="str">
        <f t="shared" si="17"/>
        <v/>
      </c>
      <c r="AU470" s="44" t="str">
        <f t="shared" si="2"/>
        <v/>
      </c>
      <c r="AV470" s="38"/>
      <c r="AW470" s="38"/>
      <c r="AX470" s="38"/>
      <c r="AY470" s="38"/>
      <c r="AZ470" s="29" t="s">
        <v>928</v>
      </c>
      <c r="BA470" s="29">
        <v>1.0</v>
      </c>
      <c r="BB470" s="29">
        <v>2.0</v>
      </c>
      <c r="BC470" s="29" t="s">
        <v>931</v>
      </c>
      <c r="BD470" s="29"/>
      <c r="BE470" s="29"/>
      <c r="BF470" s="29" t="s">
        <v>1076</v>
      </c>
      <c r="BG470" s="29" t="s">
        <v>203</v>
      </c>
      <c r="BH470" s="29" t="s">
        <v>92</v>
      </c>
      <c r="BI470" s="29" t="s">
        <v>1075</v>
      </c>
      <c r="BJ470" s="29"/>
      <c r="BK470" s="29"/>
      <c r="BL470" s="29"/>
      <c r="BM470" s="45"/>
      <c r="BN470" s="45"/>
      <c r="BO470" s="46"/>
      <c r="BP470" s="2"/>
      <c r="BQ470" s="3"/>
    </row>
    <row r="471" ht="15.75" customHeight="1">
      <c r="A471" s="34">
        <v>472.0</v>
      </c>
      <c r="B471" s="34">
        <v>104278.0</v>
      </c>
      <c r="C471" s="34" t="s">
        <v>832</v>
      </c>
      <c r="D471" s="34" t="s">
        <v>1053</v>
      </c>
      <c r="E471" s="34" t="s">
        <v>1054</v>
      </c>
      <c r="F471" s="34">
        <v>2021.0</v>
      </c>
      <c r="G471" s="34" t="s">
        <v>1055</v>
      </c>
      <c r="H471" s="34" t="s">
        <v>1056</v>
      </c>
      <c r="I471" s="34" t="s">
        <v>1057</v>
      </c>
      <c r="J471" s="35"/>
      <c r="K471" s="36">
        <v>-14.21</v>
      </c>
      <c r="L471" s="36"/>
      <c r="M471" s="36"/>
      <c r="N471" s="36"/>
      <c r="O471" s="36"/>
      <c r="P471" s="37">
        <v>-25.07</v>
      </c>
      <c r="Q471" s="36" t="s">
        <v>191</v>
      </c>
      <c r="R471" s="36" t="s">
        <v>191</v>
      </c>
      <c r="S471" s="36">
        <v>500.0</v>
      </c>
      <c r="T471" s="36" t="s">
        <v>1058</v>
      </c>
      <c r="U471" s="36" t="s">
        <v>1059</v>
      </c>
      <c r="V471" s="36">
        <v>4170.0</v>
      </c>
      <c r="W471" s="36"/>
      <c r="X471" s="38">
        <v>89.0</v>
      </c>
      <c r="Y471" s="38" t="s">
        <v>1060</v>
      </c>
      <c r="Z471" s="38"/>
      <c r="AA471" s="38" t="s">
        <v>86</v>
      </c>
      <c r="AB471" s="38"/>
      <c r="AC471" s="38"/>
      <c r="AD471" s="38"/>
      <c r="AE471" s="38"/>
      <c r="AF471" s="38"/>
      <c r="AG471" s="38"/>
      <c r="AH471" s="38"/>
      <c r="AI471" s="50"/>
      <c r="AJ471" s="50"/>
      <c r="AK471" s="41"/>
      <c r="AL471" s="50"/>
      <c r="AM471" s="49"/>
      <c r="AN471" s="43"/>
      <c r="AO471" s="42"/>
      <c r="AP471" s="43"/>
      <c r="AQ471" s="44" t="str">
        <f t="shared" si="47"/>
        <v>CRO</v>
      </c>
      <c r="AR471" s="44" t="str">
        <f t="shared" si="3"/>
        <v/>
      </c>
      <c r="AS471" s="44"/>
      <c r="AT471" s="44" t="str">
        <f t="shared" si="17"/>
        <v/>
      </c>
      <c r="AU471" s="44" t="str">
        <f t="shared" si="2"/>
        <v/>
      </c>
      <c r="AV471" s="38"/>
      <c r="AW471" s="38"/>
      <c r="AX471" s="38"/>
      <c r="AY471" s="38"/>
      <c r="AZ471" s="29">
        <v>500.0</v>
      </c>
      <c r="BA471" s="29">
        <v>1.0</v>
      </c>
      <c r="BB471" s="29">
        <v>2.0</v>
      </c>
      <c r="BC471" s="29" t="s">
        <v>1077</v>
      </c>
      <c r="BD471" s="29"/>
      <c r="BE471" s="29"/>
      <c r="BF471" s="29" t="s">
        <v>1078</v>
      </c>
      <c r="BG471" s="29" t="s">
        <v>220</v>
      </c>
      <c r="BH471" s="29" t="s">
        <v>92</v>
      </c>
      <c r="BI471" s="29" t="s">
        <v>1068</v>
      </c>
      <c r="BJ471" s="29"/>
      <c r="BK471" s="29" t="s">
        <v>148</v>
      </c>
      <c r="BL471" s="29"/>
      <c r="BM471" s="45"/>
      <c r="BN471" s="45"/>
      <c r="BO471" s="46"/>
      <c r="BP471" s="2"/>
      <c r="BQ471" s="3"/>
    </row>
    <row r="472" ht="15.75" customHeight="1">
      <c r="A472" s="34">
        <v>473.0</v>
      </c>
      <c r="B472" s="34">
        <v>104278.0</v>
      </c>
      <c r="C472" s="34" t="s">
        <v>832</v>
      </c>
      <c r="D472" s="34" t="s">
        <v>1053</v>
      </c>
      <c r="E472" s="34" t="s">
        <v>1054</v>
      </c>
      <c r="F472" s="34">
        <v>2021.0</v>
      </c>
      <c r="G472" s="34" t="s">
        <v>1055</v>
      </c>
      <c r="H472" s="34" t="s">
        <v>1056</v>
      </c>
      <c r="I472" s="34" t="s">
        <v>1057</v>
      </c>
      <c r="J472" s="35"/>
      <c r="K472" s="36">
        <v>-0.95</v>
      </c>
      <c r="L472" s="36"/>
      <c r="M472" s="36"/>
      <c r="N472" s="36"/>
      <c r="O472" s="36"/>
      <c r="P472" s="37">
        <v>-2.1</v>
      </c>
      <c r="Q472" s="36" t="s">
        <v>191</v>
      </c>
      <c r="R472" s="36" t="s">
        <v>191</v>
      </c>
      <c r="S472" s="36">
        <v>500.0</v>
      </c>
      <c r="T472" s="36" t="s">
        <v>1058</v>
      </c>
      <c r="U472" s="36" t="s">
        <v>1059</v>
      </c>
      <c r="V472" s="36">
        <v>8308.0</v>
      </c>
      <c r="W472" s="36"/>
      <c r="X472" s="38">
        <v>128.0</v>
      </c>
      <c r="Y472" s="38" t="s">
        <v>1060</v>
      </c>
      <c r="Z472" s="38"/>
      <c r="AA472" s="38" t="s">
        <v>288</v>
      </c>
      <c r="AB472" s="38"/>
      <c r="AC472" s="38"/>
      <c r="AD472" s="38"/>
      <c r="AE472" s="38"/>
      <c r="AF472" s="38"/>
      <c r="AG472" s="38"/>
      <c r="AH472" s="38"/>
      <c r="AI472" s="50"/>
      <c r="AJ472" s="50"/>
      <c r="AK472" s="41"/>
      <c r="AL472" s="50"/>
      <c r="AM472" s="49"/>
      <c r="AN472" s="43"/>
      <c r="AO472" s="42"/>
      <c r="AP472" s="43"/>
      <c r="AQ472" s="44" t="str">
        <f t="shared" si="47"/>
        <v>GRA</v>
      </c>
      <c r="AR472" s="44" t="str">
        <f t="shared" si="3"/>
        <v/>
      </c>
      <c r="AS472" s="44"/>
      <c r="AT472" s="44" t="str">
        <f t="shared" si="17"/>
        <v/>
      </c>
      <c r="AU472" s="44" t="str">
        <f t="shared" si="2"/>
        <v/>
      </c>
      <c r="AV472" s="38"/>
      <c r="AW472" s="38"/>
      <c r="AX472" s="38"/>
      <c r="AY472" s="38"/>
      <c r="AZ472" s="29">
        <v>500.0</v>
      </c>
      <c r="BA472" s="29">
        <v>1.0</v>
      </c>
      <c r="BB472" s="29">
        <v>2.0</v>
      </c>
      <c r="BC472" s="29" t="s">
        <v>1062</v>
      </c>
      <c r="BD472" s="29"/>
      <c r="BE472" s="29"/>
      <c r="BF472" s="29" t="s">
        <v>1062</v>
      </c>
      <c r="BG472" s="29" t="s">
        <v>220</v>
      </c>
      <c r="BH472" s="29" t="s">
        <v>92</v>
      </c>
      <c r="BI472" s="29" t="s">
        <v>1063</v>
      </c>
      <c r="BJ472" s="29"/>
      <c r="BK472" s="29" t="s">
        <v>148</v>
      </c>
      <c r="BL472" s="29"/>
      <c r="BM472" s="45"/>
      <c r="BN472" s="45"/>
      <c r="BO472" s="46"/>
      <c r="BP472" s="2"/>
      <c r="BQ472" s="3"/>
    </row>
    <row r="473" ht="15.75" customHeight="1">
      <c r="A473" s="34">
        <v>474.0</v>
      </c>
      <c r="B473" s="34">
        <v>104278.0</v>
      </c>
      <c r="C473" s="34" t="s">
        <v>832</v>
      </c>
      <c r="D473" s="34" t="s">
        <v>1053</v>
      </c>
      <c r="E473" s="34" t="s">
        <v>1054</v>
      </c>
      <c r="F473" s="34">
        <v>2021.0</v>
      </c>
      <c r="G473" s="34" t="s">
        <v>1055</v>
      </c>
      <c r="H473" s="34" t="s">
        <v>1056</v>
      </c>
      <c r="I473" s="34" t="s">
        <v>1057</v>
      </c>
      <c r="J473" s="35"/>
      <c r="K473" s="36">
        <v>0.81</v>
      </c>
      <c r="L473" s="36"/>
      <c r="M473" s="36"/>
      <c r="N473" s="36"/>
      <c r="O473" s="36"/>
      <c r="P473" s="37">
        <v>1.58</v>
      </c>
      <c r="Q473" s="36" t="s">
        <v>191</v>
      </c>
      <c r="R473" s="36" t="s">
        <v>191</v>
      </c>
      <c r="S473" s="36">
        <v>1000.0</v>
      </c>
      <c r="T473" s="36" t="s">
        <v>1058</v>
      </c>
      <c r="U473" s="36" t="s">
        <v>1059</v>
      </c>
      <c r="V473" s="36">
        <v>6876.0</v>
      </c>
      <c r="W473" s="36"/>
      <c r="X473" s="38">
        <v>128.0</v>
      </c>
      <c r="Y473" s="38" t="s">
        <v>1060</v>
      </c>
      <c r="Z473" s="38"/>
      <c r="AA473" s="38" t="s">
        <v>288</v>
      </c>
      <c r="AB473" s="38"/>
      <c r="AC473" s="38"/>
      <c r="AD473" s="38"/>
      <c r="AE473" s="38"/>
      <c r="AF473" s="38"/>
      <c r="AG473" s="38"/>
      <c r="AH473" s="38"/>
      <c r="AI473" s="50"/>
      <c r="AJ473" s="50"/>
      <c r="AK473" s="41"/>
      <c r="AL473" s="50"/>
      <c r="AM473" s="49"/>
      <c r="AN473" s="43"/>
      <c r="AO473" s="42"/>
      <c r="AP473" s="43"/>
      <c r="AQ473" s="44" t="str">
        <f t="shared" si="47"/>
        <v>GRA</v>
      </c>
      <c r="AR473" s="44" t="str">
        <f t="shared" si="3"/>
        <v/>
      </c>
      <c r="AS473" s="44"/>
      <c r="AT473" s="44" t="str">
        <f t="shared" si="17"/>
        <v/>
      </c>
      <c r="AU473" s="44" t="str">
        <f t="shared" si="2"/>
        <v/>
      </c>
      <c r="AV473" s="38"/>
      <c r="AW473" s="38"/>
      <c r="AX473" s="38"/>
      <c r="AY473" s="38"/>
      <c r="AZ473" s="29">
        <v>1000.0</v>
      </c>
      <c r="BA473" s="29">
        <v>1.0</v>
      </c>
      <c r="BB473" s="29">
        <v>2.0</v>
      </c>
      <c r="BC473" s="29" t="s">
        <v>802</v>
      </c>
      <c r="BD473" s="29"/>
      <c r="BE473" s="29"/>
      <c r="BF473" s="29" t="s">
        <v>826</v>
      </c>
      <c r="BG473" s="29" t="s">
        <v>220</v>
      </c>
      <c r="BH473" s="29" t="s">
        <v>92</v>
      </c>
      <c r="BI473" s="29" t="s">
        <v>1065</v>
      </c>
      <c r="BJ473" s="29"/>
      <c r="BK473" s="29" t="s">
        <v>148</v>
      </c>
      <c r="BL473" s="29"/>
      <c r="BM473" s="45"/>
      <c r="BN473" s="45"/>
      <c r="BO473" s="46"/>
      <c r="BP473" s="2"/>
      <c r="BQ473" s="3"/>
    </row>
    <row r="474" ht="15.75" customHeight="1">
      <c r="A474" s="34">
        <v>475.0</v>
      </c>
      <c r="B474" s="34">
        <v>104278.0</v>
      </c>
      <c r="C474" s="34" t="s">
        <v>832</v>
      </c>
      <c r="D474" s="34" t="s">
        <v>1053</v>
      </c>
      <c r="E474" s="34" t="s">
        <v>1054</v>
      </c>
      <c r="F474" s="34">
        <v>2021.0</v>
      </c>
      <c r="G474" s="34" t="s">
        <v>1055</v>
      </c>
      <c r="H474" s="34" t="s">
        <v>1056</v>
      </c>
      <c r="I474" s="34" t="s">
        <v>1057</v>
      </c>
      <c r="J474" s="35"/>
      <c r="K474" s="36">
        <v>-2.62</v>
      </c>
      <c r="L474" s="36"/>
      <c r="M474" s="36"/>
      <c r="N474" s="36"/>
      <c r="O474" s="36"/>
      <c r="P474" s="37">
        <v>-5.93</v>
      </c>
      <c r="Q474" s="36" t="s">
        <v>191</v>
      </c>
      <c r="R474" s="36" t="s">
        <v>191</v>
      </c>
      <c r="S474" s="36">
        <v>1000.0</v>
      </c>
      <c r="T474" s="36" t="s">
        <v>1058</v>
      </c>
      <c r="U474" s="36" t="s">
        <v>1059</v>
      </c>
      <c r="V474" s="36">
        <v>7618.0</v>
      </c>
      <c r="W474" s="36"/>
      <c r="X474" s="38">
        <v>128.0</v>
      </c>
      <c r="Y474" s="38" t="s">
        <v>1060</v>
      </c>
      <c r="Z474" s="38"/>
      <c r="AA474" s="38" t="s">
        <v>288</v>
      </c>
      <c r="AB474" s="38"/>
      <c r="AC474" s="38"/>
      <c r="AD474" s="38"/>
      <c r="AE474" s="38"/>
      <c r="AF474" s="38"/>
      <c r="AG474" s="38"/>
      <c r="AH474" s="38"/>
      <c r="AI474" s="50"/>
      <c r="AJ474" s="50"/>
      <c r="AK474" s="41"/>
      <c r="AL474" s="50"/>
      <c r="AM474" s="49"/>
      <c r="AN474" s="43"/>
      <c r="AO474" s="42"/>
      <c r="AP474" s="43"/>
      <c r="AQ474" s="44" t="str">
        <f t="shared" si="47"/>
        <v>GRA</v>
      </c>
      <c r="AR474" s="44" t="str">
        <f t="shared" si="3"/>
        <v/>
      </c>
      <c r="AS474" s="44"/>
      <c r="AT474" s="44" t="str">
        <f t="shared" si="17"/>
        <v/>
      </c>
      <c r="AU474" s="44" t="str">
        <f t="shared" si="2"/>
        <v/>
      </c>
      <c r="AV474" s="38"/>
      <c r="AW474" s="38"/>
      <c r="AX474" s="38"/>
      <c r="AY474" s="38"/>
      <c r="AZ474" s="29">
        <v>1000.0</v>
      </c>
      <c r="BA474" s="29">
        <v>1.0</v>
      </c>
      <c r="BB474" s="29">
        <v>2.0</v>
      </c>
      <c r="BC474" s="29" t="s">
        <v>1066</v>
      </c>
      <c r="BD474" s="29"/>
      <c r="BE474" s="29"/>
      <c r="BF474" s="29" t="s">
        <v>1067</v>
      </c>
      <c r="BG474" s="29" t="s">
        <v>220</v>
      </c>
      <c r="BH474" s="29" t="s">
        <v>92</v>
      </c>
      <c r="BI474" s="29" t="s">
        <v>1068</v>
      </c>
      <c r="BJ474" s="29"/>
      <c r="BK474" s="29" t="s">
        <v>148</v>
      </c>
      <c r="BL474" s="29"/>
      <c r="BM474" s="45"/>
      <c r="BN474" s="45"/>
      <c r="BO474" s="46"/>
      <c r="BP474" s="2"/>
      <c r="BQ474" s="3"/>
    </row>
    <row r="475" ht="15.75" customHeight="1">
      <c r="A475" s="34">
        <v>476.0</v>
      </c>
      <c r="B475" s="34">
        <v>104278.0</v>
      </c>
      <c r="C475" s="34" t="s">
        <v>832</v>
      </c>
      <c r="D475" s="34" t="s">
        <v>1053</v>
      </c>
      <c r="E475" s="34" t="s">
        <v>1054</v>
      </c>
      <c r="F475" s="34">
        <v>2021.0</v>
      </c>
      <c r="G475" s="34" t="s">
        <v>1055</v>
      </c>
      <c r="H475" s="34" t="s">
        <v>1056</v>
      </c>
      <c r="I475" s="34" t="s">
        <v>1057</v>
      </c>
      <c r="J475" s="35"/>
      <c r="K475" s="36">
        <v>-4.47</v>
      </c>
      <c r="L475" s="36"/>
      <c r="M475" s="36"/>
      <c r="N475" s="36"/>
      <c r="O475" s="36"/>
      <c r="P475" s="37">
        <v>-9.5</v>
      </c>
      <c r="Q475" s="36" t="s">
        <v>191</v>
      </c>
      <c r="R475" s="36" t="s">
        <v>191</v>
      </c>
      <c r="S475" s="36">
        <v>5000.0</v>
      </c>
      <c r="T475" s="36" t="s">
        <v>1058</v>
      </c>
      <c r="U475" s="36" t="s">
        <v>1059</v>
      </c>
      <c r="V475" s="36">
        <v>6589.0</v>
      </c>
      <c r="W475" s="36"/>
      <c r="X475" s="38">
        <v>128.0</v>
      </c>
      <c r="Y475" s="38" t="s">
        <v>1060</v>
      </c>
      <c r="Z475" s="38"/>
      <c r="AA475" s="38" t="s">
        <v>288</v>
      </c>
      <c r="AB475" s="38"/>
      <c r="AC475" s="38"/>
      <c r="AD475" s="38"/>
      <c r="AE475" s="38"/>
      <c r="AF475" s="38"/>
      <c r="AG475" s="38"/>
      <c r="AH475" s="38"/>
      <c r="AI475" s="50"/>
      <c r="AJ475" s="50"/>
      <c r="AK475" s="41"/>
      <c r="AL475" s="50"/>
      <c r="AM475" s="49"/>
      <c r="AN475" s="43"/>
      <c r="AO475" s="42"/>
      <c r="AP475" s="43"/>
      <c r="AQ475" s="44" t="str">
        <f t="shared" si="47"/>
        <v>GRA</v>
      </c>
      <c r="AR475" s="44" t="str">
        <f t="shared" si="3"/>
        <v/>
      </c>
      <c r="AS475" s="44"/>
      <c r="AT475" s="44" t="str">
        <f t="shared" si="17"/>
        <v/>
      </c>
      <c r="AU475" s="44" t="str">
        <f t="shared" si="2"/>
        <v/>
      </c>
      <c r="AV475" s="38"/>
      <c r="AW475" s="38"/>
      <c r="AX475" s="38"/>
      <c r="AY475" s="38"/>
      <c r="AZ475" s="29">
        <v>5000.0</v>
      </c>
      <c r="BA475" s="29">
        <v>1.0</v>
      </c>
      <c r="BB475" s="29">
        <v>2.0</v>
      </c>
      <c r="BC475" s="29" t="s">
        <v>936</v>
      </c>
      <c r="BD475" s="29"/>
      <c r="BE475" s="29"/>
      <c r="BF475" s="29" t="s">
        <v>1069</v>
      </c>
      <c r="BG475" s="29" t="s">
        <v>572</v>
      </c>
      <c r="BH475" s="29" t="s">
        <v>92</v>
      </c>
      <c r="BI475" s="29" t="s">
        <v>1070</v>
      </c>
      <c r="BJ475" s="29"/>
      <c r="BK475" s="29" t="s">
        <v>1071</v>
      </c>
      <c r="BL475" s="29"/>
      <c r="BM475" s="45"/>
      <c r="BN475" s="45"/>
      <c r="BO475" s="46"/>
      <c r="BP475" s="2" t="s">
        <v>682</v>
      </c>
      <c r="BQ475" s="3"/>
    </row>
    <row r="476" ht="15.75" customHeight="1">
      <c r="A476" s="34">
        <v>477.0</v>
      </c>
      <c r="B476" s="34">
        <v>104278.0</v>
      </c>
      <c r="C476" s="34" t="s">
        <v>832</v>
      </c>
      <c r="D476" s="34" t="s">
        <v>1053</v>
      </c>
      <c r="E476" s="34" t="s">
        <v>1054</v>
      </c>
      <c r="F476" s="34">
        <v>2021.0</v>
      </c>
      <c r="G476" s="34" t="s">
        <v>1055</v>
      </c>
      <c r="H476" s="34" t="s">
        <v>1056</v>
      </c>
      <c r="I476" s="34" t="s">
        <v>1057</v>
      </c>
      <c r="J476" s="35"/>
      <c r="K476" s="36">
        <v>5.19</v>
      </c>
      <c r="L476" s="36"/>
      <c r="M476" s="36"/>
      <c r="N476" s="36"/>
      <c r="O476" s="36"/>
      <c r="P476" s="37">
        <v>11.82</v>
      </c>
      <c r="Q476" s="36" t="s">
        <v>191</v>
      </c>
      <c r="R476" s="36" t="s">
        <v>191</v>
      </c>
      <c r="S476" s="36">
        <v>8000.0</v>
      </c>
      <c r="T476" s="36" t="s">
        <v>1058</v>
      </c>
      <c r="U476" s="36" t="s">
        <v>1059</v>
      </c>
      <c r="V476" s="36">
        <v>8339.0</v>
      </c>
      <c r="W476" s="36"/>
      <c r="X476" s="38">
        <v>128.0</v>
      </c>
      <c r="Y476" s="38" t="s">
        <v>1060</v>
      </c>
      <c r="Z476" s="38"/>
      <c r="AA476" s="38" t="s">
        <v>288</v>
      </c>
      <c r="AB476" s="38"/>
      <c r="AC476" s="38"/>
      <c r="AD476" s="38"/>
      <c r="AE476" s="38"/>
      <c r="AF476" s="38"/>
      <c r="AG476" s="38"/>
      <c r="AH476" s="38"/>
      <c r="AI476" s="50"/>
      <c r="AJ476" s="50"/>
      <c r="AK476" s="41"/>
      <c r="AL476" s="50"/>
      <c r="AM476" s="49"/>
      <c r="AN476" s="43"/>
      <c r="AO476" s="42"/>
      <c r="AP476" s="43"/>
      <c r="AQ476" s="44" t="str">
        <f t="shared" si="47"/>
        <v>GRA</v>
      </c>
      <c r="AR476" s="44" t="str">
        <f t="shared" si="3"/>
        <v/>
      </c>
      <c r="AS476" s="44"/>
      <c r="AT476" s="44" t="str">
        <f t="shared" si="17"/>
        <v/>
      </c>
      <c r="AU476" s="44" t="str">
        <f t="shared" si="2"/>
        <v/>
      </c>
      <c r="AV476" s="38"/>
      <c r="AW476" s="38"/>
      <c r="AX476" s="38"/>
      <c r="AY476" s="38"/>
      <c r="AZ476" s="29">
        <v>8000.0</v>
      </c>
      <c r="BA476" s="29">
        <v>1.0</v>
      </c>
      <c r="BB476" s="29">
        <v>2.0</v>
      </c>
      <c r="BC476" s="29" t="s">
        <v>933</v>
      </c>
      <c r="BD476" s="29"/>
      <c r="BE476" s="29"/>
      <c r="BF476" s="29" t="s">
        <v>1072</v>
      </c>
      <c r="BG476" s="29" t="s">
        <v>220</v>
      </c>
      <c r="BH476" s="29" t="s">
        <v>92</v>
      </c>
      <c r="BI476" s="29" t="s">
        <v>1073</v>
      </c>
      <c r="BJ476" s="29"/>
      <c r="BK476" s="29" t="s">
        <v>681</v>
      </c>
      <c r="BL476" s="29"/>
      <c r="BM476" s="45"/>
      <c r="BN476" s="45"/>
      <c r="BO476" s="46"/>
      <c r="BP476" s="2"/>
      <c r="BQ476" s="3"/>
    </row>
    <row r="477" ht="15.75" customHeight="1">
      <c r="A477" s="34">
        <v>478.0</v>
      </c>
      <c r="B477" s="34">
        <v>104278.0</v>
      </c>
      <c r="C477" s="34" t="s">
        <v>832</v>
      </c>
      <c r="D477" s="34" t="s">
        <v>1053</v>
      </c>
      <c r="E477" s="34" t="s">
        <v>1054</v>
      </c>
      <c r="F477" s="34">
        <v>2021.0</v>
      </c>
      <c r="G477" s="34" t="s">
        <v>1055</v>
      </c>
      <c r="H477" s="34" t="s">
        <v>1056</v>
      </c>
      <c r="I477" s="34" t="s">
        <v>1057</v>
      </c>
      <c r="J477" s="35"/>
      <c r="K477" s="36">
        <v>0.22</v>
      </c>
      <c r="L477" s="36"/>
      <c r="M477" s="36"/>
      <c r="N477" s="36"/>
      <c r="O477" s="36"/>
      <c r="P477" s="37">
        <v>0.49</v>
      </c>
      <c r="Q477" s="36" t="s">
        <v>191</v>
      </c>
      <c r="R477" s="36" t="s">
        <v>191</v>
      </c>
      <c r="S477" s="36" t="s">
        <v>928</v>
      </c>
      <c r="T477" s="36" t="s">
        <v>1058</v>
      </c>
      <c r="U477" s="36" t="s">
        <v>1059</v>
      </c>
      <c r="V477" s="36">
        <v>8680.0</v>
      </c>
      <c r="W477" s="36"/>
      <c r="X477" s="38">
        <v>128.0</v>
      </c>
      <c r="Y477" s="38" t="s">
        <v>1060</v>
      </c>
      <c r="Z477" s="38"/>
      <c r="AA477" s="38" t="s">
        <v>288</v>
      </c>
      <c r="AB477" s="38"/>
      <c r="AC477" s="38"/>
      <c r="AD477" s="38"/>
      <c r="AE477" s="38"/>
      <c r="AF477" s="38"/>
      <c r="AG477" s="38"/>
      <c r="AH477" s="38"/>
      <c r="AI477" s="50"/>
      <c r="AJ477" s="50"/>
      <c r="AK477" s="41"/>
      <c r="AL477" s="50"/>
      <c r="AM477" s="49"/>
      <c r="AN477" s="43"/>
      <c r="AO477" s="42"/>
      <c r="AP477" s="43"/>
      <c r="AQ477" s="44" t="str">
        <f t="shared" si="47"/>
        <v>GRA</v>
      </c>
      <c r="AR477" s="44" t="str">
        <f t="shared" si="3"/>
        <v/>
      </c>
      <c r="AS477" s="44"/>
      <c r="AT477" s="44" t="str">
        <f t="shared" si="17"/>
        <v/>
      </c>
      <c r="AU477" s="44" t="str">
        <f t="shared" si="2"/>
        <v/>
      </c>
      <c r="AV477" s="38"/>
      <c r="AW477" s="38"/>
      <c r="AX477" s="38"/>
      <c r="AY477" s="38"/>
      <c r="AZ477" s="29" t="s">
        <v>928</v>
      </c>
      <c r="BA477" s="29">
        <v>1.0</v>
      </c>
      <c r="BB477" s="29">
        <v>2.0</v>
      </c>
      <c r="BC477" s="29" t="s">
        <v>929</v>
      </c>
      <c r="BD477" s="29"/>
      <c r="BE477" s="29"/>
      <c r="BF477" s="29" t="s">
        <v>1074</v>
      </c>
      <c r="BG477" s="29" t="s">
        <v>203</v>
      </c>
      <c r="BH477" s="29" t="s">
        <v>92</v>
      </c>
      <c r="BI477" s="29" t="s">
        <v>1075</v>
      </c>
      <c r="BJ477" s="29"/>
      <c r="BK477" s="29"/>
      <c r="BL477" s="29"/>
      <c r="BM477" s="45"/>
      <c r="BN477" s="45"/>
      <c r="BO477" s="46"/>
      <c r="BP477" s="2"/>
      <c r="BQ477" s="3"/>
    </row>
    <row r="478" ht="15.75" customHeight="1">
      <c r="A478" s="34">
        <v>479.0</v>
      </c>
      <c r="B478" s="34">
        <v>104278.0</v>
      </c>
      <c r="C478" s="34" t="s">
        <v>832</v>
      </c>
      <c r="D478" s="34" t="s">
        <v>1053</v>
      </c>
      <c r="E478" s="34" t="s">
        <v>1054</v>
      </c>
      <c r="F478" s="34">
        <v>2021.0</v>
      </c>
      <c r="G478" s="34" t="s">
        <v>1055</v>
      </c>
      <c r="H478" s="34" t="s">
        <v>1056</v>
      </c>
      <c r="I478" s="34" t="s">
        <v>1057</v>
      </c>
      <c r="J478" s="35"/>
      <c r="K478" s="36">
        <v>1.23</v>
      </c>
      <c r="L478" s="36"/>
      <c r="M478" s="36"/>
      <c r="N478" s="36"/>
      <c r="O478" s="36"/>
      <c r="P478" s="37">
        <v>2.69</v>
      </c>
      <c r="Q478" s="36" t="s">
        <v>191</v>
      </c>
      <c r="R478" s="36" t="s">
        <v>191</v>
      </c>
      <c r="S478" s="36" t="s">
        <v>928</v>
      </c>
      <c r="T478" s="36" t="s">
        <v>1058</v>
      </c>
      <c r="U478" s="36" t="s">
        <v>1059</v>
      </c>
      <c r="V478" s="36">
        <v>7773.0</v>
      </c>
      <c r="W478" s="36"/>
      <c r="X478" s="38">
        <v>128.0</v>
      </c>
      <c r="Y478" s="38" t="s">
        <v>1060</v>
      </c>
      <c r="Z478" s="38"/>
      <c r="AA478" s="38" t="s">
        <v>288</v>
      </c>
      <c r="AB478" s="38"/>
      <c r="AC478" s="38"/>
      <c r="AD478" s="38"/>
      <c r="AE478" s="38"/>
      <c r="AF478" s="38"/>
      <c r="AG478" s="38"/>
      <c r="AH478" s="38"/>
      <c r="AI478" s="50"/>
      <c r="AJ478" s="50"/>
      <c r="AK478" s="41"/>
      <c r="AL478" s="50"/>
      <c r="AM478" s="49"/>
      <c r="AN478" s="43"/>
      <c r="AO478" s="42"/>
      <c r="AP478" s="43"/>
      <c r="AQ478" s="44" t="str">
        <f t="shared" si="47"/>
        <v>GRA</v>
      </c>
      <c r="AR478" s="44" t="str">
        <f t="shared" si="3"/>
        <v/>
      </c>
      <c r="AS478" s="44"/>
      <c r="AT478" s="44" t="str">
        <f t="shared" si="17"/>
        <v/>
      </c>
      <c r="AU478" s="44" t="str">
        <f t="shared" si="2"/>
        <v/>
      </c>
      <c r="AV478" s="38"/>
      <c r="AW478" s="38"/>
      <c r="AX478" s="38"/>
      <c r="AY478" s="38"/>
      <c r="AZ478" s="29" t="s">
        <v>928</v>
      </c>
      <c r="BA478" s="29">
        <v>1.0</v>
      </c>
      <c r="BB478" s="29">
        <v>2.0</v>
      </c>
      <c r="BC478" s="29" t="s">
        <v>931</v>
      </c>
      <c r="BD478" s="29"/>
      <c r="BE478" s="29"/>
      <c r="BF478" s="29" t="s">
        <v>1076</v>
      </c>
      <c r="BG478" s="29" t="s">
        <v>203</v>
      </c>
      <c r="BH478" s="29" t="s">
        <v>92</v>
      </c>
      <c r="BI478" s="29" t="s">
        <v>1075</v>
      </c>
      <c r="BJ478" s="29"/>
      <c r="BK478" s="29"/>
      <c r="BL478" s="29"/>
      <c r="BM478" s="45"/>
      <c r="BN478" s="45"/>
      <c r="BO478" s="46"/>
      <c r="BP478" s="2"/>
      <c r="BQ478" s="3"/>
    </row>
    <row r="479" ht="15.75" customHeight="1">
      <c r="A479" s="34">
        <v>480.0</v>
      </c>
      <c r="B479" s="34">
        <v>104278.0</v>
      </c>
      <c r="C479" s="34" t="s">
        <v>832</v>
      </c>
      <c r="D479" s="34" t="s">
        <v>1053</v>
      </c>
      <c r="E479" s="34" t="s">
        <v>1054</v>
      </c>
      <c r="F479" s="34">
        <v>2021.0</v>
      </c>
      <c r="G479" s="34" t="s">
        <v>1055</v>
      </c>
      <c r="H479" s="34" t="s">
        <v>1056</v>
      </c>
      <c r="I479" s="34" t="s">
        <v>1057</v>
      </c>
      <c r="J479" s="35"/>
      <c r="K479" s="36">
        <v>-11.4</v>
      </c>
      <c r="L479" s="36"/>
      <c r="M479" s="36"/>
      <c r="N479" s="36"/>
      <c r="O479" s="36"/>
      <c r="P479" s="37">
        <v>-23.46</v>
      </c>
      <c r="Q479" s="36" t="s">
        <v>191</v>
      </c>
      <c r="R479" s="36" t="s">
        <v>191</v>
      </c>
      <c r="S479" s="36">
        <v>500.0</v>
      </c>
      <c r="T479" s="36" t="s">
        <v>1058</v>
      </c>
      <c r="U479" s="36" t="s">
        <v>1059</v>
      </c>
      <c r="V479" s="36">
        <v>7478.0</v>
      </c>
      <c r="W479" s="36"/>
      <c r="X479" s="38">
        <v>128.0</v>
      </c>
      <c r="Y479" s="38" t="s">
        <v>1060</v>
      </c>
      <c r="Z479" s="38"/>
      <c r="AA479" s="38" t="s">
        <v>288</v>
      </c>
      <c r="AB479" s="38"/>
      <c r="AC479" s="38"/>
      <c r="AD479" s="38"/>
      <c r="AE479" s="38"/>
      <c r="AF479" s="38"/>
      <c r="AG479" s="38"/>
      <c r="AH479" s="38"/>
      <c r="AI479" s="50"/>
      <c r="AJ479" s="50"/>
      <c r="AK479" s="41"/>
      <c r="AL479" s="50"/>
      <c r="AM479" s="49"/>
      <c r="AN479" s="43"/>
      <c r="AO479" s="42"/>
      <c r="AP479" s="43"/>
      <c r="AQ479" s="44" t="str">
        <f t="shared" si="47"/>
        <v>GRA</v>
      </c>
      <c r="AR479" s="44" t="str">
        <f t="shared" si="3"/>
        <v/>
      </c>
      <c r="AS479" s="44"/>
      <c r="AT479" s="44" t="str">
        <f t="shared" si="17"/>
        <v/>
      </c>
      <c r="AU479" s="44" t="str">
        <f t="shared" si="2"/>
        <v/>
      </c>
      <c r="AV479" s="38"/>
      <c r="AW479" s="38"/>
      <c r="AX479" s="38"/>
      <c r="AY479" s="38"/>
      <c r="AZ479" s="29">
        <v>500.0</v>
      </c>
      <c r="BA479" s="29">
        <v>1.0</v>
      </c>
      <c r="BB479" s="29">
        <v>2.0</v>
      </c>
      <c r="BC479" s="29" t="s">
        <v>1077</v>
      </c>
      <c r="BD479" s="29"/>
      <c r="BE479" s="29"/>
      <c r="BF479" s="29" t="s">
        <v>1078</v>
      </c>
      <c r="BG479" s="29" t="s">
        <v>220</v>
      </c>
      <c r="BH479" s="29" t="s">
        <v>92</v>
      </c>
      <c r="BI479" s="29" t="s">
        <v>1068</v>
      </c>
      <c r="BJ479" s="29"/>
      <c r="BK479" s="29" t="s">
        <v>148</v>
      </c>
      <c r="BL479" s="29"/>
      <c r="BM479" s="45"/>
      <c r="BN479" s="45"/>
      <c r="BO479" s="46"/>
      <c r="BP479" s="2"/>
      <c r="BQ479" s="3"/>
    </row>
    <row r="480" ht="15.75" customHeight="1">
      <c r="A480" s="34">
        <v>481.0</v>
      </c>
      <c r="B480" s="34">
        <v>104278.0</v>
      </c>
      <c r="C480" s="34" t="s">
        <v>832</v>
      </c>
      <c r="D480" s="34" t="s">
        <v>1053</v>
      </c>
      <c r="E480" s="34" t="s">
        <v>1054</v>
      </c>
      <c r="F480" s="34">
        <v>2021.0</v>
      </c>
      <c r="G480" s="34" t="s">
        <v>1055</v>
      </c>
      <c r="H480" s="34" t="s">
        <v>1056</v>
      </c>
      <c r="I480" s="34" t="s">
        <v>1057</v>
      </c>
      <c r="J480" s="35"/>
      <c r="K480" s="36">
        <v>3.07</v>
      </c>
      <c r="L480" s="36"/>
      <c r="M480" s="36"/>
      <c r="N480" s="36"/>
      <c r="O480" s="36"/>
      <c r="P480" s="37">
        <v>6.89</v>
      </c>
      <c r="Q480" s="36" t="s">
        <v>191</v>
      </c>
      <c r="R480" s="36" t="s">
        <v>191</v>
      </c>
      <c r="S480" s="36">
        <v>500.0</v>
      </c>
      <c r="T480" s="36" t="s">
        <v>1058</v>
      </c>
      <c r="U480" s="36" t="s">
        <v>1059</v>
      </c>
      <c r="V480" s="36">
        <v>19336.0</v>
      </c>
      <c r="W480" s="36"/>
      <c r="X480" s="38">
        <v>349.0</v>
      </c>
      <c r="Y480" s="38" t="s">
        <v>1060</v>
      </c>
      <c r="Z480" s="38"/>
      <c r="AA480" s="38" t="s">
        <v>452</v>
      </c>
      <c r="AB480" s="38"/>
      <c r="AC480" s="38"/>
      <c r="AD480" s="38"/>
      <c r="AE480" s="38"/>
      <c r="AF480" s="38"/>
      <c r="AG480" s="38"/>
      <c r="AH480" s="38"/>
      <c r="AI480" s="50"/>
      <c r="AJ480" s="50"/>
      <c r="AK480" s="41"/>
      <c r="AL480" s="50"/>
      <c r="AM480" s="49"/>
      <c r="AN480" s="43"/>
      <c r="AO480" s="42"/>
      <c r="AP480" s="43"/>
      <c r="AQ480" s="44" t="str">
        <f t="shared" si="47"/>
        <v>MF</v>
      </c>
      <c r="AR480" s="44" t="str">
        <f t="shared" si="3"/>
        <v/>
      </c>
      <c r="AS480" s="44"/>
      <c r="AT480" s="44" t="str">
        <f t="shared" si="17"/>
        <v/>
      </c>
      <c r="AU480" s="44" t="str">
        <f t="shared" si="2"/>
        <v/>
      </c>
      <c r="AV480" s="38"/>
      <c r="AW480" s="38"/>
      <c r="AX480" s="38"/>
      <c r="AY480" s="38"/>
      <c r="AZ480" s="29">
        <v>500.0</v>
      </c>
      <c r="BA480" s="29">
        <v>1.0</v>
      </c>
      <c r="BB480" s="29">
        <v>2.0</v>
      </c>
      <c r="BC480" s="29" t="s">
        <v>1062</v>
      </c>
      <c r="BD480" s="29"/>
      <c r="BE480" s="29"/>
      <c r="BF480" s="29" t="s">
        <v>1062</v>
      </c>
      <c r="BG480" s="29" t="s">
        <v>220</v>
      </c>
      <c r="BH480" s="29" t="s">
        <v>92</v>
      </c>
      <c r="BI480" s="29" t="s">
        <v>1063</v>
      </c>
      <c r="BJ480" s="29"/>
      <c r="BK480" s="29" t="s">
        <v>148</v>
      </c>
      <c r="BL480" s="29"/>
      <c r="BM480" s="45"/>
      <c r="BN480" s="45"/>
      <c r="BO480" s="46"/>
      <c r="BP480" s="2" t="s">
        <v>1079</v>
      </c>
      <c r="BQ480" s="3"/>
    </row>
    <row r="481" ht="15.75" customHeight="1">
      <c r="A481" s="34">
        <v>482.0</v>
      </c>
      <c r="B481" s="34">
        <v>104278.0</v>
      </c>
      <c r="C481" s="34" t="s">
        <v>832</v>
      </c>
      <c r="D481" s="34" t="s">
        <v>1053</v>
      </c>
      <c r="E481" s="34" t="s">
        <v>1054</v>
      </c>
      <c r="F481" s="34">
        <v>2021.0</v>
      </c>
      <c r="G481" s="34" t="s">
        <v>1055</v>
      </c>
      <c r="H481" s="34" t="s">
        <v>1056</v>
      </c>
      <c r="I481" s="34" t="s">
        <v>1057</v>
      </c>
      <c r="J481" s="35"/>
      <c r="K481" s="36">
        <v>6.77</v>
      </c>
      <c r="L481" s="36"/>
      <c r="M481" s="36"/>
      <c r="N481" s="36"/>
      <c r="O481" s="36"/>
      <c r="P481" s="37">
        <v>14.08</v>
      </c>
      <c r="Q481" s="36" t="s">
        <v>191</v>
      </c>
      <c r="R481" s="36" t="s">
        <v>191</v>
      </c>
      <c r="S481" s="36">
        <v>1000.0</v>
      </c>
      <c r="T481" s="36" t="s">
        <v>1058</v>
      </c>
      <c r="U481" s="36" t="s">
        <v>1059</v>
      </c>
      <c r="V481" s="36">
        <v>16930.0</v>
      </c>
      <c r="W481" s="36"/>
      <c r="X481" s="38">
        <v>349.0</v>
      </c>
      <c r="Y481" s="38" t="s">
        <v>1060</v>
      </c>
      <c r="Z481" s="38"/>
      <c r="AA481" s="38" t="s">
        <v>452</v>
      </c>
      <c r="AB481" s="38"/>
      <c r="AC481" s="38"/>
      <c r="AD481" s="38"/>
      <c r="AE481" s="38"/>
      <c r="AF481" s="38"/>
      <c r="AG481" s="38"/>
      <c r="AH481" s="38"/>
      <c r="AI481" s="50"/>
      <c r="AJ481" s="50"/>
      <c r="AK481" s="41"/>
      <c r="AL481" s="50"/>
      <c r="AM481" s="49"/>
      <c r="AN481" s="43"/>
      <c r="AO481" s="42"/>
      <c r="AP481" s="43"/>
      <c r="AQ481" s="44" t="str">
        <f t="shared" si="47"/>
        <v>MF</v>
      </c>
      <c r="AR481" s="44" t="str">
        <f t="shared" si="3"/>
        <v/>
      </c>
      <c r="AS481" s="44"/>
      <c r="AT481" s="44" t="str">
        <f t="shared" si="17"/>
        <v/>
      </c>
      <c r="AU481" s="44" t="str">
        <f t="shared" si="2"/>
        <v/>
      </c>
      <c r="AV481" s="38"/>
      <c r="AW481" s="38"/>
      <c r="AX481" s="38"/>
      <c r="AY481" s="38"/>
      <c r="AZ481" s="29">
        <v>1000.0</v>
      </c>
      <c r="BA481" s="29">
        <v>1.0</v>
      </c>
      <c r="BB481" s="29">
        <v>2.0</v>
      </c>
      <c r="BC481" s="29" t="s">
        <v>802</v>
      </c>
      <c r="BD481" s="29"/>
      <c r="BE481" s="29"/>
      <c r="BF481" s="29" t="s">
        <v>826</v>
      </c>
      <c r="BG481" s="29" t="s">
        <v>220</v>
      </c>
      <c r="BH481" s="29" t="s">
        <v>92</v>
      </c>
      <c r="BI481" s="29" t="s">
        <v>1065</v>
      </c>
      <c r="BJ481" s="29"/>
      <c r="BK481" s="29" t="s">
        <v>148</v>
      </c>
      <c r="BL481" s="29"/>
      <c r="BM481" s="45"/>
      <c r="BN481" s="45"/>
      <c r="BO481" s="46"/>
      <c r="BP481" s="2" t="s">
        <v>1079</v>
      </c>
      <c r="BQ481" s="3"/>
    </row>
    <row r="482" ht="15.75" customHeight="1">
      <c r="A482" s="34">
        <v>483.0</v>
      </c>
      <c r="B482" s="34">
        <v>104278.0</v>
      </c>
      <c r="C482" s="34" t="s">
        <v>832</v>
      </c>
      <c r="D482" s="34" t="s">
        <v>1053</v>
      </c>
      <c r="E482" s="34" t="s">
        <v>1054</v>
      </c>
      <c r="F482" s="34">
        <v>2021.0</v>
      </c>
      <c r="G482" s="34" t="s">
        <v>1055</v>
      </c>
      <c r="H482" s="34" t="s">
        <v>1056</v>
      </c>
      <c r="I482" s="34" t="s">
        <v>1057</v>
      </c>
      <c r="J482" s="35"/>
      <c r="K482" s="36">
        <v>3.47</v>
      </c>
      <c r="L482" s="36"/>
      <c r="M482" s="36"/>
      <c r="N482" s="36"/>
      <c r="O482" s="36"/>
      <c r="P482" s="37">
        <v>7.88</v>
      </c>
      <c r="Q482" s="36" t="s">
        <v>191</v>
      </c>
      <c r="R482" s="36" t="s">
        <v>191</v>
      </c>
      <c r="S482" s="36">
        <v>1000.0</v>
      </c>
      <c r="T482" s="36" t="s">
        <v>1058</v>
      </c>
      <c r="U482" s="36" t="s">
        <v>1059</v>
      </c>
      <c r="V482" s="36">
        <v>18660.0</v>
      </c>
      <c r="W482" s="36"/>
      <c r="X482" s="38">
        <v>349.0</v>
      </c>
      <c r="Y482" s="38" t="s">
        <v>1060</v>
      </c>
      <c r="Z482" s="38"/>
      <c r="AA482" s="38" t="s">
        <v>452</v>
      </c>
      <c r="AB482" s="38"/>
      <c r="AC482" s="38"/>
      <c r="AD482" s="38"/>
      <c r="AE482" s="38"/>
      <c r="AF482" s="38"/>
      <c r="AG482" s="38"/>
      <c r="AH482" s="38"/>
      <c r="AI482" s="50"/>
      <c r="AJ482" s="50"/>
      <c r="AK482" s="41"/>
      <c r="AL482" s="50"/>
      <c r="AM482" s="49"/>
      <c r="AN482" s="43"/>
      <c r="AO482" s="42"/>
      <c r="AP482" s="43"/>
      <c r="AQ482" s="44" t="str">
        <f t="shared" si="47"/>
        <v>MF</v>
      </c>
      <c r="AR482" s="44" t="str">
        <f t="shared" si="3"/>
        <v/>
      </c>
      <c r="AS482" s="44"/>
      <c r="AT482" s="44" t="str">
        <f t="shared" si="17"/>
        <v/>
      </c>
      <c r="AU482" s="44" t="str">
        <f t="shared" si="2"/>
        <v/>
      </c>
      <c r="AV482" s="38"/>
      <c r="AW482" s="38"/>
      <c r="AX482" s="38"/>
      <c r="AY482" s="38"/>
      <c r="AZ482" s="29">
        <v>1000.0</v>
      </c>
      <c r="BA482" s="29">
        <v>1.0</v>
      </c>
      <c r="BB482" s="29">
        <v>2.0</v>
      </c>
      <c r="BC482" s="29" t="s">
        <v>1066</v>
      </c>
      <c r="BD482" s="29"/>
      <c r="BE482" s="29"/>
      <c r="BF482" s="29" t="s">
        <v>1067</v>
      </c>
      <c r="BG482" s="29" t="s">
        <v>220</v>
      </c>
      <c r="BH482" s="29" t="s">
        <v>92</v>
      </c>
      <c r="BI482" s="29" t="s">
        <v>1068</v>
      </c>
      <c r="BJ482" s="29"/>
      <c r="BK482" s="29" t="s">
        <v>148</v>
      </c>
      <c r="BL482" s="29"/>
      <c r="BM482" s="45"/>
      <c r="BN482" s="45"/>
      <c r="BO482" s="46"/>
      <c r="BP482" s="2" t="s">
        <v>1080</v>
      </c>
      <c r="BQ482" s="3"/>
    </row>
    <row r="483" ht="15.75" customHeight="1">
      <c r="A483" s="34">
        <v>484.0</v>
      </c>
      <c r="B483" s="34">
        <v>104278.0</v>
      </c>
      <c r="C483" s="34" t="s">
        <v>832</v>
      </c>
      <c r="D483" s="34" t="s">
        <v>1053</v>
      </c>
      <c r="E483" s="34" t="s">
        <v>1054</v>
      </c>
      <c r="F483" s="34">
        <v>2021.0</v>
      </c>
      <c r="G483" s="34" t="s">
        <v>1055</v>
      </c>
      <c r="H483" s="34" t="s">
        <v>1056</v>
      </c>
      <c r="I483" s="34" t="s">
        <v>1057</v>
      </c>
      <c r="J483" s="35"/>
      <c r="K483" s="36">
        <v>2.48</v>
      </c>
      <c r="L483" s="36"/>
      <c r="M483" s="36"/>
      <c r="N483" s="36"/>
      <c r="O483" s="36"/>
      <c r="P483" s="37">
        <v>5.07</v>
      </c>
      <c r="Q483" s="36" t="s">
        <v>191</v>
      </c>
      <c r="R483" s="36" t="s">
        <v>191</v>
      </c>
      <c r="S483" s="36">
        <v>5000.0</v>
      </c>
      <c r="T483" s="36" t="s">
        <v>1058</v>
      </c>
      <c r="U483" s="36" t="s">
        <v>1059</v>
      </c>
      <c r="V483" s="36">
        <v>16919.0</v>
      </c>
      <c r="W483" s="36"/>
      <c r="X483" s="38">
        <v>349.0</v>
      </c>
      <c r="Y483" s="38" t="s">
        <v>1060</v>
      </c>
      <c r="Z483" s="38"/>
      <c r="AA483" s="38" t="s">
        <v>452</v>
      </c>
      <c r="AB483" s="38"/>
      <c r="AC483" s="38"/>
      <c r="AD483" s="38"/>
      <c r="AE483" s="38"/>
      <c r="AF483" s="38"/>
      <c r="AG483" s="38"/>
      <c r="AH483" s="38"/>
      <c r="AI483" s="50"/>
      <c r="AJ483" s="50"/>
      <c r="AK483" s="41"/>
      <c r="AL483" s="50"/>
      <c r="AM483" s="49"/>
      <c r="AN483" s="43"/>
      <c r="AO483" s="42"/>
      <c r="AP483" s="43"/>
      <c r="AQ483" s="44" t="str">
        <f t="shared" si="47"/>
        <v>MF</v>
      </c>
      <c r="AR483" s="44" t="str">
        <f t="shared" si="3"/>
        <v/>
      </c>
      <c r="AS483" s="44"/>
      <c r="AT483" s="44" t="str">
        <f t="shared" si="17"/>
        <v/>
      </c>
      <c r="AU483" s="44" t="str">
        <f t="shared" si="2"/>
        <v/>
      </c>
      <c r="AV483" s="38"/>
      <c r="AW483" s="38"/>
      <c r="AX483" s="38"/>
      <c r="AY483" s="38"/>
      <c r="AZ483" s="29">
        <v>5000.0</v>
      </c>
      <c r="BA483" s="29">
        <v>1.0</v>
      </c>
      <c r="BB483" s="29">
        <v>2.0</v>
      </c>
      <c r="BC483" s="29" t="s">
        <v>936</v>
      </c>
      <c r="BD483" s="29"/>
      <c r="BE483" s="29"/>
      <c r="BF483" s="29" t="s">
        <v>1069</v>
      </c>
      <c r="BG483" s="29" t="s">
        <v>572</v>
      </c>
      <c r="BH483" s="29" t="s">
        <v>92</v>
      </c>
      <c r="BI483" s="29" t="s">
        <v>1070</v>
      </c>
      <c r="BJ483" s="29"/>
      <c r="BK483" s="29" t="s">
        <v>1071</v>
      </c>
      <c r="BL483" s="29"/>
      <c r="BM483" s="45"/>
      <c r="BN483" s="45"/>
      <c r="BO483" s="46"/>
      <c r="BP483" s="2" t="s">
        <v>1081</v>
      </c>
      <c r="BQ483" s="3"/>
    </row>
    <row r="484" ht="15.75" customHeight="1">
      <c r="A484" s="34">
        <v>485.0</v>
      </c>
      <c r="B484" s="34">
        <v>104278.0</v>
      </c>
      <c r="C484" s="34" t="s">
        <v>832</v>
      </c>
      <c r="D484" s="34" t="s">
        <v>1053</v>
      </c>
      <c r="E484" s="34" t="s">
        <v>1054</v>
      </c>
      <c r="F484" s="34">
        <v>2021.0</v>
      </c>
      <c r="G484" s="34" t="s">
        <v>1055</v>
      </c>
      <c r="H484" s="34" t="s">
        <v>1056</v>
      </c>
      <c r="I484" s="34" t="s">
        <v>1057</v>
      </c>
      <c r="J484" s="35"/>
      <c r="K484" s="36">
        <v>6.97</v>
      </c>
      <c r="L484" s="36"/>
      <c r="M484" s="36"/>
      <c r="N484" s="36"/>
      <c r="O484" s="36"/>
      <c r="P484" s="37">
        <v>15.8</v>
      </c>
      <c r="Q484" s="36" t="s">
        <v>191</v>
      </c>
      <c r="R484" s="36" t="s">
        <v>191</v>
      </c>
      <c r="S484" s="36">
        <v>8000.0</v>
      </c>
      <c r="T484" s="36" t="s">
        <v>1058</v>
      </c>
      <c r="U484" s="36" t="s">
        <v>1059</v>
      </c>
      <c r="V484" s="36">
        <v>19302.0</v>
      </c>
      <c r="W484" s="36"/>
      <c r="X484" s="38">
        <v>349.0</v>
      </c>
      <c r="Y484" s="38" t="s">
        <v>1060</v>
      </c>
      <c r="Z484" s="38"/>
      <c r="AA484" s="38" t="s">
        <v>452</v>
      </c>
      <c r="AB484" s="38"/>
      <c r="AC484" s="38"/>
      <c r="AD484" s="38"/>
      <c r="AE484" s="38"/>
      <c r="AF484" s="38"/>
      <c r="AG484" s="38"/>
      <c r="AH484" s="38"/>
      <c r="AI484" s="50"/>
      <c r="AJ484" s="50"/>
      <c r="AK484" s="41"/>
      <c r="AL484" s="50"/>
      <c r="AM484" s="49"/>
      <c r="AN484" s="43"/>
      <c r="AO484" s="42"/>
      <c r="AP484" s="43"/>
      <c r="AQ484" s="44" t="str">
        <f t="shared" si="47"/>
        <v>MF</v>
      </c>
      <c r="AR484" s="44" t="str">
        <f t="shared" si="3"/>
        <v/>
      </c>
      <c r="AS484" s="44"/>
      <c r="AT484" s="44" t="str">
        <f t="shared" si="17"/>
        <v/>
      </c>
      <c r="AU484" s="44" t="str">
        <f t="shared" si="2"/>
        <v/>
      </c>
      <c r="AV484" s="38"/>
      <c r="AW484" s="38"/>
      <c r="AX484" s="38"/>
      <c r="AY484" s="38"/>
      <c r="AZ484" s="29">
        <v>8000.0</v>
      </c>
      <c r="BA484" s="29">
        <v>1.0</v>
      </c>
      <c r="BB484" s="29">
        <v>2.0</v>
      </c>
      <c r="BC484" s="29" t="s">
        <v>933</v>
      </c>
      <c r="BD484" s="29"/>
      <c r="BE484" s="29"/>
      <c r="BF484" s="29" t="s">
        <v>1072</v>
      </c>
      <c r="BG484" s="29" t="s">
        <v>220</v>
      </c>
      <c r="BH484" s="29" t="s">
        <v>92</v>
      </c>
      <c r="BI484" s="29" t="s">
        <v>1073</v>
      </c>
      <c r="BJ484" s="29"/>
      <c r="BK484" s="29" t="s">
        <v>681</v>
      </c>
      <c r="BL484" s="29"/>
      <c r="BM484" s="45"/>
      <c r="BN484" s="45"/>
      <c r="BO484" s="46"/>
      <c r="BP484" s="2" t="s">
        <v>1082</v>
      </c>
      <c r="BQ484" s="3"/>
    </row>
    <row r="485" ht="15.75" customHeight="1">
      <c r="A485" s="34">
        <v>486.0</v>
      </c>
      <c r="B485" s="34">
        <v>104278.0</v>
      </c>
      <c r="C485" s="34" t="s">
        <v>832</v>
      </c>
      <c r="D485" s="34" t="s">
        <v>1053</v>
      </c>
      <c r="E485" s="34" t="s">
        <v>1054</v>
      </c>
      <c r="F485" s="34">
        <v>2021.0</v>
      </c>
      <c r="G485" s="34" t="s">
        <v>1055</v>
      </c>
      <c r="H485" s="34" t="s">
        <v>1056</v>
      </c>
      <c r="I485" s="34" t="s">
        <v>1057</v>
      </c>
      <c r="J485" s="35"/>
      <c r="K485" s="36">
        <v>5.58</v>
      </c>
      <c r="L485" s="36"/>
      <c r="M485" s="36"/>
      <c r="N485" s="36"/>
      <c r="O485" s="36"/>
      <c r="P485" s="37">
        <v>12.37</v>
      </c>
      <c r="Q485" s="36" t="s">
        <v>191</v>
      </c>
      <c r="R485" s="36" t="s">
        <v>191</v>
      </c>
      <c r="S485" s="36" t="s">
        <v>928</v>
      </c>
      <c r="T485" s="36" t="s">
        <v>1058</v>
      </c>
      <c r="U485" s="36" t="s">
        <v>1059</v>
      </c>
      <c r="V485" s="36">
        <v>21399.0</v>
      </c>
      <c r="W485" s="36"/>
      <c r="X485" s="38">
        <v>349.0</v>
      </c>
      <c r="Y485" s="38" t="s">
        <v>1060</v>
      </c>
      <c r="Z485" s="38"/>
      <c r="AA485" s="38" t="s">
        <v>452</v>
      </c>
      <c r="AB485" s="38"/>
      <c r="AC485" s="38"/>
      <c r="AD485" s="38"/>
      <c r="AE485" s="38"/>
      <c r="AF485" s="38"/>
      <c r="AG485" s="38"/>
      <c r="AH485" s="38"/>
      <c r="AI485" s="50"/>
      <c r="AJ485" s="50"/>
      <c r="AK485" s="41"/>
      <c r="AL485" s="50"/>
      <c r="AM485" s="49"/>
      <c r="AN485" s="43"/>
      <c r="AO485" s="42"/>
      <c r="AP485" s="43"/>
      <c r="AQ485" s="44" t="str">
        <f t="shared" si="47"/>
        <v>MF</v>
      </c>
      <c r="AR485" s="44" t="str">
        <f t="shared" si="3"/>
        <v/>
      </c>
      <c r="AS485" s="44"/>
      <c r="AT485" s="44" t="str">
        <f t="shared" si="17"/>
        <v/>
      </c>
      <c r="AU485" s="44" t="str">
        <f t="shared" si="2"/>
        <v/>
      </c>
      <c r="AV485" s="38"/>
      <c r="AW485" s="38"/>
      <c r="AX485" s="38"/>
      <c r="AY485" s="38"/>
      <c r="AZ485" s="29" t="s">
        <v>928</v>
      </c>
      <c r="BA485" s="29">
        <v>1.0</v>
      </c>
      <c r="BB485" s="29">
        <v>2.0</v>
      </c>
      <c r="BC485" s="29" t="s">
        <v>929</v>
      </c>
      <c r="BD485" s="29"/>
      <c r="BE485" s="29"/>
      <c r="BF485" s="29" t="s">
        <v>1074</v>
      </c>
      <c r="BG485" s="29" t="s">
        <v>203</v>
      </c>
      <c r="BH485" s="29" t="s">
        <v>92</v>
      </c>
      <c r="BI485" s="29" t="s">
        <v>1075</v>
      </c>
      <c r="BJ485" s="29"/>
      <c r="BK485" s="29"/>
      <c r="BL485" s="29"/>
      <c r="BM485" s="45"/>
      <c r="BN485" s="45"/>
      <c r="BO485" s="46"/>
      <c r="BP485" s="2" t="s">
        <v>1082</v>
      </c>
      <c r="BQ485" s="3"/>
    </row>
    <row r="486" ht="15.75" customHeight="1">
      <c r="A486" s="34">
        <v>487.0</v>
      </c>
      <c r="B486" s="34">
        <v>104278.0</v>
      </c>
      <c r="C486" s="34" t="s">
        <v>832</v>
      </c>
      <c r="D486" s="34" t="s">
        <v>1053</v>
      </c>
      <c r="E486" s="34" t="s">
        <v>1054</v>
      </c>
      <c r="F486" s="34">
        <v>2021.0</v>
      </c>
      <c r="G486" s="34" t="s">
        <v>1055</v>
      </c>
      <c r="H486" s="34" t="s">
        <v>1056</v>
      </c>
      <c r="I486" s="34" t="s">
        <v>1057</v>
      </c>
      <c r="J486" s="35"/>
      <c r="K486" s="36">
        <v>6.05</v>
      </c>
      <c r="L486" s="36"/>
      <c r="M486" s="36"/>
      <c r="N486" s="36"/>
      <c r="O486" s="36"/>
      <c r="P486" s="37">
        <v>13.33</v>
      </c>
      <c r="Q486" s="36" t="s">
        <v>191</v>
      </c>
      <c r="R486" s="36" t="s">
        <v>191</v>
      </c>
      <c r="S486" s="36" t="s">
        <v>928</v>
      </c>
      <c r="T486" s="36" t="s">
        <v>1058</v>
      </c>
      <c r="U486" s="36" t="s">
        <v>1059</v>
      </c>
      <c r="V486" s="36">
        <v>19247.0</v>
      </c>
      <c r="W486" s="36"/>
      <c r="X486" s="38">
        <v>349.0</v>
      </c>
      <c r="Y486" s="38" t="s">
        <v>1060</v>
      </c>
      <c r="Z486" s="38"/>
      <c r="AA486" s="38" t="s">
        <v>452</v>
      </c>
      <c r="AB486" s="38"/>
      <c r="AC486" s="38"/>
      <c r="AD486" s="38"/>
      <c r="AE486" s="38"/>
      <c r="AF486" s="38"/>
      <c r="AG486" s="38"/>
      <c r="AH486" s="38"/>
      <c r="AI486" s="50"/>
      <c r="AJ486" s="50"/>
      <c r="AK486" s="41"/>
      <c r="AL486" s="50"/>
      <c r="AM486" s="49"/>
      <c r="AN486" s="43"/>
      <c r="AO486" s="42"/>
      <c r="AP486" s="43"/>
      <c r="AQ486" s="44" t="str">
        <f t="shared" si="47"/>
        <v>MF</v>
      </c>
      <c r="AR486" s="44" t="str">
        <f t="shared" si="3"/>
        <v/>
      </c>
      <c r="AS486" s="44"/>
      <c r="AT486" s="44" t="str">
        <f t="shared" si="17"/>
        <v/>
      </c>
      <c r="AU486" s="44" t="str">
        <f t="shared" si="2"/>
        <v/>
      </c>
      <c r="AV486" s="38"/>
      <c r="AW486" s="38"/>
      <c r="AX486" s="38"/>
      <c r="AY486" s="38"/>
      <c r="AZ486" s="29" t="s">
        <v>928</v>
      </c>
      <c r="BA486" s="29">
        <v>1.0</v>
      </c>
      <c r="BB486" s="29">
        <v>2.0</v>
      </c>
      <c r="BC486" s="29" t="s">
        <v>931</v>
      </c>
      <c r="BD486" s="29"/>
      <c r="BE486" s="29"/>
      <c r="BF486" s="29" t="s">
        <v>1076</v>
      </c>
      <c r="BG486" s="29" t="s">
        <v>203</v>
      </c>
      <c r="BH486" s="29" t="s">
        <v>92</v>
      </c>
      <c r="BI486" s="29" t="s">
        <v>1075</v>
      </c>
      <c r="BJ486" s="29"/>
      <c r="BK486" s="29"/>
      <c r="BL486" s="29"/>
      <c r="BM486" s="45"/>
      <c r="BN486" s="45"/>
      <c r="BO486" s="46"/>
      <c r="BP486" s="2" t="s">
        <v>1083</v>
      </c>
      <c r="BQ486" s="3"/>
    </row>
    <row r="487" ht="15.75" customHeight="1">
      <c r="A487" s="34">
        <v>488.0</v>
      </c>
      <c r="B487" s="34">
        <v>104278.0</v>
      </c>
      <c r="C487" s="34" t="s">
        <v>832</v>
      </c>
      <c r="D487" s="34" t="s">
        <v>1053</v>
      </c>
      <c r="E487" s="34" t="s">
        <v>1054</v>
      </c>
      <c r="F487" s="34">
        <v>2021.0</v>
      </c>
      <c r="G487" s="34" t="s">
        <v>1055</v>
      </c>
      <c r="H487" s="34" t="s">
        <v>1056</v>
      </c>
      <c r="I487" s="34" t="s">
        <v>1057</v>
      </c>
      <c r="J487" s="35"/>
      <c r="K487" s="36">
        <v>-7.55</v>
      </c>
      <c r="L487" s="36"/>
      <c r="M487" s="36"/>
      <c r="N487" s="36"/>
      <c r="O487" s="36"/>
      <c r="P487" s="37">
        <v>-15.94</v>
      </c>
      <c r="Q487" s="36" t="s">
        <v>191</v>
      </c>
      <c r="R487" s="36" t="s">
        <v>191</v>
      </c>
      <c r="S487" s="36">
        <v>500.0</v>
      </c>
      <c r="T487" s="36" t="s">
        <v>1058</v>
      </c>
      <c r="U487" s="36" t="s">
        <v>1059</v>
      </c>
      <c r="V487" s="36">
        <v>17063.0</v>
      </c>
      <c r="W487" s="36"/>
      <c r="X487" s="38">
        <v>349.0</v>
      </c>
      <c r="Y487" s="38" t="s">
        <v>1060</v>
      </c>
      <c r="Z487" s="38"/>
      <c r="AA487" s="38" t="s">
        <v>452</v>
      </c>
      <c r="AB487" s="38"/>
      <c r="AC487" s="38"/>
      <c r="AD487" s="38"/>
      <c r="AE487" s="38"/>
      <c r="AF487" s="38"/>
      <c r="AG487" s="38"/>
      <c r="AH487" s="38"/>
      <c r="AI487" s="50"/>
      <c r="AJ487" s="50"/>
      <c r="AK487" s="41"/>
      <c r="AL487" s="50"/>
      <c r="AM487" s="49"/>
      <c r="AN487" s="43"/>
      <c r="AO487" s="42"/>
      <c r="AP487" s="43"/>
      <c r="AQ487" s="44" t="str">
        <f t="shared" si="47"/>
        <v>MF</v>
      </c>
      <c r="AR487" s="44" t="str">
        <f t="shared" si="3"/>
        <v/>
      </c>
      <c r="AS487" s="44"/>
      <c r="AT487" s="44" t="str">
        <f t="shared" si="17"/>
        <v/>
      </c>
      <c r="AU487" s="44" t="str">
        <f t="shared" si="2"/>
        <v/>
      </c>
      <c r="AV487" s="38"/>
      <c r="AW487" s="38"/>
      <c r="AX487" s="38"/>
      <c r="AY487" s="38"/>
      <c r="AZ487" s="29">
        <v>500.0</v>
      </c>
      <c r="BA487" s="29">
        <v>1.0</v>
      </c>
      <c r="BB487" s="29">
        <v>2.0</v>
      </c>
      <c r="BC487" s="29" t="s">
        <v>1077</v>
      </c>
      <c r="BD487" s="29"/>
      <c r="BE487" s="29"/>
      <c r="BF487" s="29" t="s">
        <v>1078</v>
      </c>
      <c r="BG487" s="29" t="s">
        <v>220</v>
      </c>
      <c r="BH487" s="29" t="s">
        <v>92</v>
      </c>
      <c r="BI487" s="29" t="s">
        <v>1068</v>
      </c>
      <c r="BJ487" s="29"/>
      <c r="BK487" s="29" t="s">
        <v>148</v>
      </c>
      <c r="BL487" s="29"/>
      <c r="BM487" s="45"/>
      <c r="BN487" s="45"/>
      <c r="BO487" s="46"/>
      <c r="BP487" s="2" t="s">
        <v>1084</v>
      </c>
      <c r="BQ487" s="3"/>
    </row>
    <row r="488" ht="15.75" customHeight="1">
      <c r="A488" s="34">
        <v>489.0</v>
      </c>
      <c r="B488" s="34">
        <v>104278.0</v>
      </c>
      <c r="C488" s="34" t="s">
        <v>832</v>
      </c>
      <c r="D488" s="34" t="s">
        <v>1053</v>
      </c>
      <c r="E488" s="34" t="s">
        <v>1054</v>
      </c>
      <c r="F488" s="34">
        <v>2021.0</v>
      </c>
      <c r="G488" s="34" t="s">
        <v>1055</v>
      </c>
      <c r="H488" s="34" t="s">
        <v>1056</v>
      </c>
      <c r="I488" s="34" t="s">
        <v>1057</v>
      </c>
      <c r="J488" s="35"/>
      <c r="K488" s="36">
        <v>-0.79</v>
      </c>
      <c r="L488" s="36"/>
      <c r="M488" s="36"/>
      <c r="N488" s="36"/>
      <c r="O488" s="36"/>
      <c r="P488" s="37">
        <v>-1.57</v>
      </c>
      <c r="Q488" s="36" t="s">
        <v>191</v>
      </c>
      <c r="R488" s="36" t="s">
        <v>191</v>
      </c>
      <c r="S488" s="36">
        <v>500.0</v>
      </c>
      <c r="T488" s="36" t="s">
        <v>1058</v>
      </c>
      <c r="U488" s="36" t="s">
        <v>1059</v>
      </c>
      <c r="V488" s="36">
        <v>3264.0</v>
      </c>
      <c r="W488" s="36"/>
      <c r="X488" s="38">
        <v>73.0</v>
      </c>
      <c r="Y488" s="38" t="s">
        <v>1060</v>
      </c>
      <c r="Z488" s="38"/>
      <c r="AA488" s="38" t="s">
        <v>1085</v>
      </c>
      <c r="AB488" s="38"/>
      <c r="AC488" s="38"/>
      <c r="AD488" s="38"/>
      <c r="AE488" s="38"/>
      <c r="AF488" s="38"/>
      <c r="AG488" s="38"/>
      <c r="AH488" s="38"/>
      <c r="AI488" s="50"/>
      <c r="AJ488" s="50"/>
      <c r="AK488" s="41"/>
      <c r="AL488" s="50"/>
      <c r="AM488" s="49"/>
      <c r="AN488" s="43"/>
      <c r="AO488" s="42"/>
      <c r="AP488" s="43"/>
      <c r="AQ488" s="44" t="str">
        <f t="shared" si="47"/>
        <v>WAT</v>
      </c>
      <c r="AR488" s="44" t="str">
        <f t="shared" si="3"/>
        <v/>
      </c>
      <c r="AS488" s="44"/>
      <c r="AT488" s="44" t="str">
        <f t="shared" si="17"/>
        <v/>
      </c>
      <c r="AU488" s="44" t="str">
        <f t="shared" si="2"/>
        <v/>
      </c>
      <c r="AV488" s="38"/>
      <c r="AW488" s="38"/>
      <c r="AX488" s="38"/>
      <c r="AY488" s="38"/>
      <c r="AZ488" s="29">
        <v>500.0</v>
      </c>
      <c r="BA488" s="29">
        <v>1.0</v>
      </c>
      <c r="BB488" s="29">
        <v>2.0</v>
      </c>
      <c r="BC488" s="29" t="s">
        <v>1062</v>
      </c>
      <c r="BD488" s="29"/>
      <c r="BE488" s="29"/>
      <c r="BF488" s="29" t="s">
        <v>1062</v>
      </c>
      <c r="BG488" s="29" t="s">
        <v>220</v>
      </c>
      <c r="BH488" s="29" t="s">
        <v>92</v>
      </c>
      <c r="BI488" s="29" t="s">
        <v>1063</v>
      </c>
      <c r="BJ488" s="29"/>
      <c r="BK488" s="29" t="s">
        <v>148</v>
      </c>
      <c r="BL488" s="29"/>
      <c r="BM488" s="45"/>
      <c r="BN488" s="45"/>
      <c r="BO488" s="46"/>
      <c r="BP488" s="2" t="s">
        <v>1086</v>
      </c>
      <c r="BQ488" s="3"/>
    </row>
    <row r="489" ht="15.75" customHeight="1">
      <c r="A489" s="34">
        <v>490.0</v>
      </c>
      <c r="B489" s="34">
        <v>104278.0</v>
      </c>
      <c r="C489" s="34" t="s">
        <v>832</v>
      </c>
      <c r="D489" s="34" t="s">
        <v>1053</v>
      </c>
      <c r="E489" s="34" t="s">
        <v>1054</v>
      </c>
      <c r="F489" s="34">
        <v>2021.0</v>
      </c>
      <c r="G489" s="34" t="s">
        <v>1055</v>
      </c>
      <c r="H489" s="34" t="s">
        <v>1056</v>
      </c>
      <c r="I489" s="34" t="s">
        <v>1057</v>
      </c>
      <c r="J489" s="35"/>
      <c r="K489" s="36">
        <v>-1.33</v>
      </c>
      <c r="L489" s="36"/>
      <c r="M489" s="36"/>
      <c r="N489" s="36"/>
      <c r="O489" s="36"/>
      <c r="P489" s="37">
        <v>-2.38</v>
      </c>
      <c r="Q489" s="36" t="s">
        <v>191</v>
      </c>
      <c r="R489" s="36" t="s">
        <v>191</v>
      </c>
      <c r="S489" s="36">
        <v>1000.0</v>
      </c>
      <c r="T489" s="36" t="s">
        <v>1058</v>
      </c>
      <c r="U489" s="36" t="s">
        <v>1059</v>
      </c>
      <c r="V489" s="36">
        <v>2919.0</v>
      </c>
      <c r="W489" s="36"/>
      <c r="X489" s="38">
        <v>73.0</v>
      </c>
      <c r="Y489" s="38" t="s">
        <v>1060</v>
      </c>
      <c r="Z489" s="38"/>
      <c r="AA489" s="38" t="s">
        <v>1085</v>
      </c>
      <c r="AB489" s="38"/>
      <c r="AC489" s="38"/>
      <c r="AD489" s="38"/>
      <c r="AE489" s="38"/>
      <c r="AF489" s="38"/>
      <c r="AG489" s="38"/>
      <c r="AH489" s="38"/>
      <c r="AI489" s="50"/>
      <c r="AJ489" s="50"/>
      <c r="AK489" s="41"/>
      <c r="AL489" s="50"/>
      <c r="AM489" s="49"/>
      <c r="AN489" s="43"/>
      <c r="AO489" s="42"/>
      <c r="AP489" s="43"/>
      <c r="AQ489" s="44" t="str">
        <f t="shared" si="47"/>
        <v>WAT</v>
      </c>
      <c r="AR489" s="44" t="str">
        <f t="shared" si="3"/>
        <v/>
      </c>
      <c r="AS489" s="44"/>
      <c r="AT489" s="44" t="str">
        <f t="shared" si="17"/>
        <v/>
      </c>
      <c r="AU489" s="44" t="str">
        <f t="shared" si="2"/>
        <v/>
      </c>
      <c r="AV489" s="38"/>
      <c r="AW489" s="38"/>
      <c r="AX489" s="38"/>
      <c r="AY489" s="38"/>
      <c r="AZ489" s="29">
        <v>1000.0</v>
      </c>
      <c r="BA489" s="29">
        <v>1.0</v>
      </c>
      <c r="BB489" s="29">
        <v>2.0</v>
      </c>
      <c r="BC489" s="29" t="s">
        <v>802</v>
      </c>
      <c r="BD489" s="29"/>
      <c r="BE489" s="29"/>
      <c r="BF489" s="29" t="s">
        <v>826</v>
      </c>
      <c r="BG489" s="29" t="s">
        <v>220</v>
      </c>
      <c r="BH489" s="29" t="s">
        <v>92</v>
      </c>
      <c r="BI489" s="29" t="s">
        <v>1065</v>
      </c>
      <c r="BJ489" s="29"/>
      <c r="BK489" s="29" t="s">
        <v>148</v>
      </c>
      <c r="BL489" s="29"/>
      <c r="BM489" s="45"/>
      <c r="BN489" s="45"/>
      <c r="BO489" s="46"/>
      <c r="BP489" s="2" t="s">
        <v>1084</v>
      </c>
      <c r="BQ489" s="3"/>
    </row>
    <row r="490" ht="15.75" customHeight="1">
      <c r="A490" s="34">
        <v>491.0</v>
      </c>
      <c r="B490" s="34">
        <v>104278.0</v>
      </c>
      <c r="C490" s="34" t="s">
        <v>832</v>
      </c>
      <c r="D490" s="34" t="s">
        <v>1053</v>
      </c>
      <c r="E490" s="34" t="s">
        <v>1054</v>
      </c>
      <c r="F490" s="34">
        <v>2021.0</v>
      </c>
      <c r="G490" s="34" t="s">
        <v>1055</v>
      </c>
      <c r="H490" s="34" t="s">
        <v>1056</v>
      </c>
      <c r="I490" s="34" t="s">
        <v>1057</v>
      </c>
      <c r="J490" s="35"/>
      <c r="K490" s="36">
        <v>1.07</v>
      </c>
      <c r="L490" s="36"/>
      <c r="M490" s="36"/>
      <c r="N490" s="36"/>
      <c r="O490" s="36"/>
      <c r="P490" s="37">
        <v>2.3</v>
      </c>
      <c r="Q490" s="36" t="s">
        <v>191</v>
      </c>
      <c r="R490" s="36" t="s">
        <v>191</v>
      </c>
      <c r="S490" s="36">
        <v>1000.0</v>
      </c>
      <c r="T490" s="36" t="s">
        <v>1058</v>
      </c>
      <c r="U490" s="36" t="s">
        <v>1059</v>
      </c>
      <c r="V490" s="36">
        <v>2979.0</v>
      </c>
      <c r="W490" s="36"/>
      <c r="X490" s="38">
        <v>73.0</v>
      </c>
      <c r="Y490" s="38" t="s">
        <v>1060</v>
      </c>
      <c r="Z490" s="38"/>
      <c r="AA490" s="38" t="s">
        <v>1085</v>
      </c>
      <c r="AB490" s="38"/>
      <c r="AC490" s="38"/>
      <c r="AD490" s="38"/>
      <c r="AE490" s="38"/>
      <c r="AF490" s="38"/>
      <c r="AG490" s="38"/>
      <c r="AH490" s="38"/>
      <c r="AI490" s="50"/>
      <c r="AJ490" s="50"/>
      <c r="AK490" s="41"/>
      <c r="AL490" s="50"/>
      <c r="AM490" s="49"/>
      <c r="AN490" s="43"/>
      <c r="AO490" s="42"/>
      <c r="AP490" s="43"/>
      <c r="AQ490" s="44" t="str">
        <f t="shared" si="47"/>
        <v>WAT</v>
      </c>
      <c r="AR490" s="44" t="str">
        <f t="shared" si="3"/>
        <v/>
      </c>
      <c r="AS490" s="44"/>
      <c r="AT490" s="44" t="str">
        <f t="shared" si="17"/>
        <v/>
      </c>
      <c r="AU490" s="44" t="str">
        <f t="shared" si="2"/>
        <v/>
      </c>
      <c r="AV490" s="38"/>
      <c r="AW490" s="38"/>
      <c r="AX490" s="38"/>
      <c r="AY490" s="38"/>
      <c r="AZ490" s="29">
        <v>1000.0</v>
      </c>
      <c r="BA490" s="29">
        <v>1.0</v>
      </c>
      <c r="BB490" s="29">
        <v>2.0</v>
      </c>
      <c r="BC490" s="29" t="s">
        <v>1066</v>
      </c>
      <c r="BD490" s="29"/>
      <c r="BE490" s="29"/>
      <c r="BF490" s="29" t="s">
        <v>1067</v>
      </c>
      <c r="BG490" s="29" t="s">
        <v>220</v>
      </c>
      <c r="BH490" s="29" t="s">
        <v>92</v>
      </c>
      <c r="BI490" s="29" t="s">
        <v>1068</v>
      </c>
      <c r="BJ490" s="29"/>
      <c r="BK490" s="29" t="s">
        <v>148</v>
      </c>
      <c r="BL490" s="29"/>
      <c r="BM490" s="45"/>
      <c r="BN490" s="45"/>
      <c r="BO490" s="46"/>
      <c r="BP490" s="2"/>
      <c r="BQ490" s="3"/>
    </row>
    <row r="491" ht="15.75" customHeight="1">
      <c r="A491" s="34">
        <v>492.0</v>
      </c>
      <c r="B491" s="34">
        <v>104278.0</v>
      </c>
      <c r="C491" s="34" t="s">
        <v>832</v>
      </c>
      <c r="D491" s="34" t="s">
        <v>1053</v>
      </c>
      <c r="E491" s="34" t="s">
        <v>1054</v>
      </c>
      <c r="F491" s="34">
        <v>2021.0</v>
      </c>
      <c r="G491" s="34" t="s">
        <v>1055</v>
      </c>
      <c r="H491" s="34" t="s">
        <v>1056</v>
      </c>
      <c r="I491" s="34" t="s">
        <v>1057</v>
      </c>
      <c r="J491" s="35"/>
      <c r="K491" s="36">
        <v>-8.34</v>
      </c>
      <c r="L491" s="36"/>
      <c r="M491" s="36"/>
      <c r="N491" s="36"/>
      <c r="O491" s="36"/>
      <c r="P491" s="37">
        <v>-14.5</v>
      </c>
      <c r="Q491" s="36" t="s">
        <v>191</v>
      </c>
      <c r="R491" s="36" t="s">
        <v>191</v>
      </c>
      <c r="S491" s="36">
        <v>5000.0</v>
      </c>
      <c r="T491" s="36" t="s">
        <v>1058</v>
      </c>
      <c r="U491" s="36" t="s">
        <v>1059</v>
      </c>
      <c r="V491" s="36">
        <v>2547.0</v>
      </c>
      <c r="W491" s="36"/>
      <c r="X491" s="38">
        <v>73.0</v>
      </c>
      <c r="Y491" s="38" t="s">
        <v>1060</v>
      </c>
      <c r="Z491" s="38"/>
      <c r="AA491" s="38" t="s">
        <v>1085</v>
      </c>
      <c r="AB491" s="38"/>
      <c r="AC491" s="38"/>
      <c r="AD491" s="38"/>
      <c r="AE491" s="38"/>
      <c r="AF491" s="38"/>
      <c r="AG491" s="38"/>
      <c r="AH491" s="38"/>
      <c r="AI491" s="50"/>
      <c r="AJ491" s="50"/>
      <c r="AK491" s="41"/>
      <c r="AL491" s="50"/>
      <c r="AM491" s="49"/>
      <c r="AN491" s="43"/>
      <c r="AO491" s="42"/>
      <c r="AP491" s="43"/>
      <c r="AQ491" s="44" t="str">
        <f t="shared" si="47"/>
        <v>WAT</v>
      </c>
      <c r="AR491" s="44" t="str">
        <f t="shared" si="3"/>
        <v/>
      </c>
      <c r="AS491" s="44"/>
      <c r="AT491" s="44" t="str">
        <f t="shared" si="17"/>
        <v/>
      </c>
      <c r="AU491" s="44" t="str">
        <f t="shared" si="2"/>
        <v/>
      </c>
      <c r="AV491" s="38"/>
      <c r="AW491" s="38"/>
      <c r="AX491" s="38"/>
      <c r="AY491" s="38"/>
      <c r="AZ491" s="29">
        <v>5000.0</v>
      </c>
      <c r="BA491" s="29">
        <v>1.0</v>
      </c>
      <c r="BB491" s="29">
        <v>2.0</v>
      </c>
      <c r="BC491" s="29" t="s">
        <v>936</v>
      </c>
      <c r="BD491" s="29"/>
      <c r="BE491" s="29"/>
      <c r="BF491" s="29" t="s">
        <v>1069</v>
      </c>
      <c r="BG491" s="29" t="s">
        <v>572</v>
      </c>
      <c r="BH491" s="29" t="s">
        <v>92</v>
      </c>
      <c r="BI491" s="29" t="s">
        <v>1070</v>
      </c>
      <c r="BJ491" s="29"/>
      <c r="BK491" s="29" t="s">
        <v>1071</v>
      </c>
      <c r="BL491" s="29"/>
      <c r="BM491" s="45"/>
      <c r="BN491" s="45"/>
      <c r="BO491" s="46"/>
      <c r="BP491" s="2"/>
      <c r="BQ491" s="3"/>
    </row>
    <row r="492" ht="15.75" customHeight="1">
      <c r="A492" s="34">
        <v>493.0</v>
      </c>
      <c r="B492" s="34">
        <v>104278.0</v>
      </c>
      <c r="C492" s="34" t="s">
        <v>832</v>
      </c>
      <c r="D492" s="34" t="s">
        <v>1053</v>
      </c>
      <c r="E492" s="34" t="s">
        <v>1054</v>
      </c>
      <c r="F492" s="34">
        <v>2021.0</v>
      </c>
      <c r="G492" s="34" t="s">
        <v>1055</v>
      </c>
      <c r="H492" s="34" t="s">
        <v>1056</v>
      </c>
      <c r="I492" s="34" t="s">
        <v>1057</v>
      </c>
      <c r="J492" s="35"/>
      <c r="K492" s="36">
        <v>-0.37</v>
      </c>
      <c r="L492" s="36"/>
      <c r="M492" s="36"/>
      <c r="N492" s="36"/>
      <c r="O492" s="36"/>
      <c r="P492" s="37">
        <v>-0.79</v>
      </c>
      <c r="Q492" s="36" t="s">
        <v>191</v>
      </c>
      <c r="R492" s="36" t="s">
        <v>191</v>
      </c>
      <c r="S492" s="36">
        <v>8000.0</v>
      </c>
      <c r="T492" s="36" t="s">
        <v>1058</v>
      </c>
      <c r="U492" s="36" t="s">
        <v>1059</v>
      </c>
      <c r="V492" s="36">
        <v>2812.0</v>
      </c>
      <c r="W492" s="36"/>
      <c r="X492" s="38">
        <v>73.0</v>
      </c>
      <c r="Y492" s="38" t="s">
        <v>1060</v>
      </c>
      <c r="Z492" s="38"/>
      <c r="AA492" s="38" t="s">
        <v>1085</v>
      </c>
      <c r="AB492" s="38"/>
      <c r="AC492" s="38"/>
      <c r="AD492" s="38"/>
      <c r="AE492" s="38"/>
      <c r="AF492" s="38"/>
      <c r="AG492" s="38"/>
      <c r="AH492" s="38"/>
      <c r="AI492" s="50"/>
      <c r="AJ492" s="50"/>
      <c r="AK492" s="41"/>
      <c r="AL492" s="50"/>
      <c r="AM492" s="49"/>
      <c r="AN492" s="43"/>
      <c r="AO492" s="42"/>
      <c r="AP492" s="43"/>
      <c r="AQ492" s="44" t="str">
        <f t="shared" si="47"/>
        <v>WAT</v>
      </c>
      <c r="AR492" s="44" t="str">
        <f t="shared" si="3"/>
        <v/>
      </c>
      <c r="AS492" s="44"/>
      <c r="AT492" s="44" t="str">
        <f t="shared" si="17"/>
        <v/>
      </c>
      <c r="AU492" s="44" t="str">
        <f t="shared" si="2"/>
        <v/>
      </c>
      <c r="AV492" s="38"/>
      <c r="AW492" s="38"/>
      <c r="AX492" s="38"/>
      <c r="AY492" s="38"/>
      <c r="AZ492" s="29">
        <v>8000.0</v>
      </c>
      <c r="BA492" s="29">
        <v>1.0</v>
      </c>
      <c r="BB492" s="29">
        <v>2.0</v>
      </c>
      <c r="BC492" s="29" t="s">
        <v>933</v>
      </c>
      <c r="BD492" s="29"/>
      <c r="BE492" s="29"/>
      <c r="BF492" s="29" t="s">
        <v>1072</v>
      </c>
      <c r="BG492" s="29" t="s">
        <v>220</v>
      </c>
      <c r="BH492" s="29" t="s">
        <v>92</v>
      </c>
      <c r="BI492" s="29" t="s">
        <v>1073</v>
      </c>
      <c r="BJ492" s="29"/>
      <c r="BK492" s="29" t="s">
        <v>681</v>
      </c>
      <c r="BL492" s="29"/>
      <c r="BM492" s="45"/>
      <c r="BN492" s="45"/>
      <c r="BO492" s="46"/>
      <c r="BP492" s="2"/>
      <c r="BQ492" s="3"/>
    </row>
    <row r="493" ht="15.75" customHeight="1">
      <c r="A493" s="34">
        <v>494.0</v>
      </c>
      <c r="B493" s="34">
        <v>104278.0</v>
      </c>
      <c r="C493" s="34" t="s">
        <v>832</v>
      </c>
      <c r="D493" s="34" t="s">
        <v>1053</v>
      </c>
      <c r="E493" s="34" t="s">
        <v>1054</v>
      </c>
      <c r="F493" s="34">
        <v>2021.0</v>
      </c>
      <c r="G493" s="34" t="s">
        <v>1055</v>
      </c>
      <c r="H493" s="34" t="s">
        <v>1056</v>
      </c>
      <c r="I493" s="34" t="s">
        <v>1057</v>
      </c>
      <c r="J493" s="35"/>
      <c r="K493" s="36">
        <v>-3.37</v>
      </c>
      <c r="L493" s="36"/>
      <c r="M493" s="36"/>
      <c r="N493" s="36"/>
      <c r="O493" s="36"/>
      <c r="P493" s="37">
        <v>-6.58</v>
      </c>
      <c r="Q493" s="36" t="s">
        <v>191</v>
      </c>
      <c r="R493" s="36" t="s">
        <v>191</v>
      </c>
      <c r="S493" s="36" t="s">
        <v>928</v>
      </c>
      <c r="T493" s="36" t="s">
        <v>1058</v>
      </c>
      <c r="U493" s="36" t="s">
        <v>1059</v>
      </c>
      <c r="V493" s="36">
        <v>3455.0</v>
      </c>
      <c r="W493" s="36"/>
      <c r="X493" s="38">
        <v>73.0</v>
      </c>
      <c r="Y493" s="38" t="s">
        <v>1060</v>
      </c>
      <c r="Z493" s="38"/>
      <c r="AA493" s="38" t="s">
        <v>1085</v>
      </c>
      <c r="AB493" s="38"/>
      <c r="AC493" s="38"/>
      <c r="AD493" s="38"/>
      <c r="AE493" s="38"/>
      <c r="AF493" s="38"/>
      <c r="AG493" s="38"/>
      <c r="AH493" s="38"/>
      <c r="AI493" s="50"/>
      <c r="AJ493" s="50"/>
      <c r="AK493" s="41"/>
      <c r="AL493" s="50"/>
      <c r="AM493" s="49"/>
      <c r="AN493" s="43"/>
      <c r="AO493" s="42"/>
      <c r="AP493" s="43"/>
      <c r="AQ493" s="44" t="str">
        <f t="shared" si="47"/>
        <v>WAT</v>
      </c>
      <c r="AR493" s="44" t="str">
        <f t="shared" si="3"/>
        <v/>
      </c>
      <c r="AS493" s="44"/>
      <c r="AT493" s="44" t="str">
        <f t="shared" si="17"/>
        <v/>
      </c>
      <c r="AU493" s="44" t="str">
        <f t="shared" si="2"/>
        <v/>
      </c>
      <c r="AV493" s="38"/>
      <c r="AW493" s="38"/>
      <c r="AX493" s="38"/>
      <c r="AY493" s="38"/>
      <c r="AZ493" s="29" t="s">
        <v>928</v>
      </c>
      <c r="BA493" s="29">
        <v>1.0</v>
      </c>
      <c r="BB493" s="29">
        <v>2.0</v>
      </c>
      <c r="BC493" s="29" t="s">
        <v>929</v>
      </c>
      <c r="BD493" s="29"/>
      <c r="BE493" s="29"/>
      <c r="BF493" s="29" t="s">
        <v>1074</v>
      </c>
      <c r="BG493" s="29" t="s">
        <v>203</v>
      </c>
      <c r="BH493" s="29" t="s">
        <v>92</v>
      </c>
      <c r="BI493" s="29" t="s">
        <v>1075</v>
      </c>
      <c r="BJ493" s="29"/>
      <c r="BK493" s="29"/>
      <c r="BL493" s="29"/>
      <c r="BM493" s="45"/>
      <c r="BN493" s="45"/>
      <c r="BO493" s="46"/>
      <c r="BP493" s="2"/>
      <c r="BQ493" s="3"/>
    </row>
    <row r="494" ht="15.75" customHeight="1">
      <c r="A494" s="34">
        <v>495.0</v>
      </c>
      <c r="B494" s="34">
        <v>104278.0</v>
      </c>
      <c r="C494" s="34" t="s">
        <v>832</v>
      </c>
      <c r="D494" s="34" t="s">
        <v>1053</v>
      </c>
      <c r="E494" s="34" t="s">
        <v>1054</v>
      </c>
      <c r="F494" s="34">
        <v>2021.0</v>
      </c>
      <c r="G494" s="34" t="s">
        <v>1055</v>
      </c>
      <c r="H494" s="34" t="s">
        <v>1056</v>
      </c>
      <c r="I494" s="34" t="s">
        <v>1057</v>
      </c>
      <c r="J494" s="35"/>
      <c r="K494" s="36">
        <v>1.6</v>
      </c>
      <c r="L494" s="36"/>
      <c r="M494" s="36"/>
      <c r="N494" s="36"/>
      <c r="O494" s="36"/>
      <c r="P494" s="37">
        <v>3.26</v>
      </c>
      <c r="Q494" s="36" t="s">
        <v>191</v>
      </c>
      <c r="R494" s="36" t="s">
        <v>191</v>
      </c>
      <c r="S494" s="36" t="s">
        <v>928</v>
      </c>
      <c r="T494" s="36" t="s">
        <v>1058</v>
      </c>
      <c r="U494" s="36" t="s">
        <v>1059</v>
      </c>
      <c r="V494" s="36">
        <v>3065.0</v>
      </c>
      <c r="W494" s="36"/>
      <c r="X494" s="38">
        <v>73.0</v>
      </c>
      <c r="Y494" s="38" t="s">
        <v>1060</v>
      </c>
      <c r="Z494" s="38"/>
      <c r="AA494" s="38" t="s">
        <v>1085</v>
      </c>
      <c r="AB494" s="38"/>
      <c r="AC494" s="38"/>
      <c r="AD494" s="38"/>
      <c r="AE494" s="38"/>
      <c r="AF494" s="38"/>
      <c r="AG494" s="38"/>
      <c r="AH494" s="38"/>
      <c r="AI494" s="50"/>
      <c r="AJ494" s="50"/>
      <c r="AK494" s="41"/>
      <c r="AL494" s="50"/>
      <c r="AM494" s="49"/>
      <c r="AN494" s="43"/>
      <c r="AO494" s="42"/>
      <c r="AP494" s="43"/>
      <c r="AQ494" s="44" t="str">
        <f t="shared" si="47"/>
        <v>WAT</v>
      </c>
      <c r="AR494" s="44" t="str">
        <f t="shared" si="3"/>
        <v/>
      </c>
      <c r="AS494" s="44"/>
      <c r="AT494" s="44" t="str">
        <f t="shared" si="17"/>
        <v/>
      </c>
      <c r="AU494" s="44" t="str">
        <f t="shared" si="2"/>
        <v/>
      </c>
      <c r="AV494" s="38"/>
      <c r="AW494" s="38"/>
      <c r="AX494" s="38"/>
      <c r="AY494" s="38"/>
      <c r="AZ494" s="29" t="s">
        <v>928</v>
      </c>
      <c r="BA494" s="29">
        <v>1.0</v>
      </c>
      <c r="BB494" s="29">
        <v>2.0</v>
      </c>
      <c r="BC494" s="29" t="s">
        <v>931</v>
      </c>
      <c r="BD494" s="29"/>
      <c r="BE494" s="29"/>
      <c r="BF494" s="29" t="s">
        <v>1076</v>
      </c>
      <c r="BG494" s="29" t="s">
        <v>203</v>
      </c>
      <c r="BH494" s="29" t="s">
        <v>92</v>
      </c>
      <c r="BI494" s="29" t="s">
        <v>1075</v>
      </c>
      <c r="BJ494" s="29"/>
      <c r="BK494" s="29"/>
      <c r="BL494" s="29"/>
      <c r="BM494" s="45"/>
      <c r="BN494" s="45"/>
      <c r="BO494" s="46"/>
      <c r="BP494" s="2"/>
      <c r="BQ494" s="3"/>
    </row>
    <row r="495" ht="15.75" customHeight="1">
      <c r="A495" s="34">
        <v>496.0</v>
      </c>
      <c r="B495" s="34">
        <v>104278.0</v>
      </c>
      <c r="C495" s="34" t="s">
        <v>832</v>
      </c>
      <c r="D495" s="34" t="s">
        <v>1053</v>
      </c>
      <c r="E495" s="34" t="s">
        <v>1054</v>
      </c>
      <c r="F495" s="34">
        <v>2021.0</v>
      </c>
      <c r="G495" s="34" t="s">
        <v>1055</v>
      </c>
      <c r="H495" s="34" t="s">
        <v>1056</v>
      </c>
      <c r="I495" s="34" t="s">
        <v>1057</v>
      </c>
      <c r="J495" s="35"/>
      <c r="K495" s="36">
        <v>-9.42</v>
      </c>
      <c r="L495" s="36"/>
      <c r="M495" s="36"/>
      <c r="N495" s="36"/>
      <c r="O495" s="36"/>
      <c r="P495" s="37">
        <v>-17.05</v>
      </c>
      <c r="Q495" s="36" t="s">
        <v>191</v>
      </c>
      <c r="R495" s="36" t="s">
        <v>191</v>
      </c>
      <c r="S495" s="36">
        <v>500.0</v>
      </c>
      <c r="T495" s="36" t="s">
        <v>1058</v>
      </c>
      <c r="U495" s="36" t="s">
        <v>1059</v>
      </c>
      <c r="V495" s="36">
        <v>2645.0</v>
      </c>
      <c r="W495" s="36"/>
      <c r="X495" s="38">
        <v>73.0</v>
      </c>
      <c r="Y495" s="38" t="s">
        <v>1060</v>
      </c>
      <c r="Z495" s="38"/>
      <c r="AA495" s="38" t="s">
        <v>1085</v>
      </c>
      <c r="AB495" s="38"/>
      <c r="AC495" s="38"/>
      <c r="AD495" s="38"/>
      <c r="AE495" s="38"/>
      <c r="AF495" s="38"/>
      <c r="AG495" s="38"/>
      <c r="AH495" s="38"/>
      <c r="AI495" s="50"/>
      <c r="AJ495" s="50"/>
      <c r="AK495" s="41"/>
      <c r="AL495" s="50"/>
      <c r="AM495" s="49"/>
      <c r="AN495" s="43"/>
      <c r="AO495" s="42"/>
      <c r="AP495" s="43"/>
      <c r="AQ495" s="44" t="str">
        <f t="shared" si="47"/>
        <v>WAT</v>
      </c>
      <c r="AR495" s="44" t="str">
        <f t="shared" si="3"/>
        <v/>
      </c>
      <c r="AS495" s="44"/>
      <c r="AT495" s="44" t="str">
        <f t="shared" si="17"/>
        <v/>
      </c>
      <c r="AU495" s="44" t="str">
        <f t="shared" si="2"/>
        <v/>
      </c>
      <c r="AV495" s="38"/>
      <c r="AW495" s="38"/>
      <c r="AX495" s="38"/>
      <c r="AY495" s="38"/>
      <c r="AZ495" s="29">
        <v>500.0</v>
      </c>
      <c r="BA495" s="29">
        <v>1.0</v>
      </c>
      <c r="BB495" s="29">
        <v>2.0</v>
      </c>
      <c r="BC495" s="29" t="s">
        <v>1077</v>
      </c>
      <c r="BD495" s="29"/>
      <c r="BE495" s="29"/>
      <c r="BF495" s="29" t="s">
        <v>1078</v>
      </c>
      <c r="BG495" s="29" t="s">
        <v>220</v>
      </c>
      <c r="BH495" s="29" t="s">
        <v>92</v>
      </c>
      <c r="BI495" s="29" t="s">
        <v>1068</v>
      </c>
      <c r="BJ495" s="29"/>
      <c r="BK495" s="29" t="s">
        <v>148</v>
      </c>
      <c r="BL495" s="29"/>
      <c r="BM495" s="45"/>
      <c r="BN495" s="45"/>
      <c r="BO495" s="46"/>
      <c r="BP495" s="2"/>
      <c r="BQ495" s="3"/>
    </row>
    <row r="496" ht="15.75" customHeight="1">
      <c r="A496" s="34">
        <v>497.0</v>
      </c>
      <c r="B496" s="34">
        <v>104278.0</v>
      </c>
      <c r="C496" s="34" t="s">
        <v>832</v>
      </c>
      <c r="D496" s="34" t="s">
        <v>1053</v>
      </c>
      <c r="E496" s="34" t="s">
        <v>1054</v>
      </c>
      <c r="F496" s="34">
        <v>2021.0</v>
      </c>
      <c r="G496" s="34" t="s">
        <v>1055</v>
      </c>
      <c r="H496" s="34" t="s">
        <v>1056</v>
      </c>
      <c r="I496" s="34" t="s">
        <v>1057</v>
      </c>
      <c r="J496" s="35"/>
      <c r="K496" s="36">
        <v>5.06</v>
      </c>
      <c r="L496" s="36"/>
      <c r="M496" s="36"/>
      <c r="N496" s="36"/>
      <c r="O496" s="36"/>
      <c r="P496" s="37">
        <v>18.42</v>
      </c>
      <c r="Q496" s="36" t="s">
        <v>191</v>
      </c>
      <c r="R496" s="36" t="s">
        <v>191</v>
      </c>
      <c r="S496" s="36">
        <v>500.0</v>
      </c>
      <c r="T496" s="36" t="s">
        <v>1058</v>
      </c>
      <c r="U496" s="36" t="s">
        <v>1059</v>
      </c>
      <c r="V496" s="36">
        <v>2397.0</v>
      </c>
      <c r="W496" s="36"/>
      <c r="X496" s="38">
        <v>35.0</v>
      </c>
      <c r="Y496" s="38" t="s">
        <v>1060</v>
      </c>
      <c r="Z496" s="38"/>
      <c r="AA496" s="38"/>
      <c r="AB496" s="38"/>
      <c r="AC496" s="38"/>
      <c r="AD496" s="38"/>
      <c r="AE496" s="38"/>
      <c r="AF496" s="38"/>
      <c r="AG496" s="38" t="s">
        <v>1087</v>
      </c>
      <c r="AH496" s="38"/>
      <c r="AI496" s="50"/>
      <c r="AJ496" s="50"/>
      <c r="AK496" s="41"/>
      <c r="AL496" s="50"/>
      <c r="AM496" s="49"/>
      <c r="AN496" s="43"/>
      <c r="AO496" s="42"/>
      <c r="AP496" s="43"/>
      <c r="AQ496" s="44" t="str">
        <f t="shared" si="47"/>
        <v/>
      </c>
      <c r="AR496" s="44" t="str">
        <f t="shared" si="3"/>
        <v/>
      </c>
      <c r="AS496" s="44"/>
      <c r="AT496" s="44" t="str">
        <f t="shared" si="17"/>
        <v/>
      </c>
      <c r="AU496" s="44" t="str">
        <f t="shared" si="2"/>
        <v/>
      </c>
      <c r="AV496" s="38"/>
      <c r="AW496" s="38"/>
      <c r="AX496" s="38"/>
      <c r="AY496" s="38"/>
      <c r="AZ496" s="29">
        <v>500.0</v>
      </c>
      <c r="BA496" s="29">
        <v>1.0</v>
      </c>
      <c r="BB496" s="29">
        <v>2.0</v>
      </c>
      <c r="BC496" s="29" t="s">
        <v>1062</v>
      </c>
      <c r="BD496" s="29"/>
      <c r="BE496" s="29"/>
      <c r="BF496" s="29" t="s">
        <v>1062</v>
      </c>
      <c r="BG496" s="29" t="s">
        <v>220</v>
      </c>
      <c r="BH496" s="29" t="s">
        <v>92</v>
      </c>
      <c r="BI496" s="29" t="s">
        <v>1063</v>
      </c>
      <c r="BJ496" s="29"/>
      <c r="BK496" s="29" t="s">
        <v>148</v>
      </c>
      <c r="BL496" s="29"/>
      <c r="BM496" s="45"/>
      <c r="BN496" s="45"/>
      <c r="BO496" s="46"/>
      <c r="BP496" s="2"/>
      <c r="BQ496" s="3"/>
    </row>
    <row r="497" ht="15.75" customHeight="1">
      <c r="A497" s="34">
        <v>498.0</v>
      </c>
      <c r="B497" s="34">
        <v>104278.0</v>
      </c>
      <c r="C497" s="34" t="s">
        <v>832</v>
      </c>
      <c r="D497" s="34" t="s">
        <v>1053</v>
      </c>
      <c r="E497" s="34" t="s">
        <v>1054</v>
      </c>
      <c r="F497" s="34">
        <v>2021.0</v>
      </c>
      <c r="G497" s="34" t="s">
        <v>1055</v>
      </c>
      <c r="H497" s="34" t="s">
        <v>1056</v>
      </c>
      <c r="I497" s="34" t="s">
        <v>1057</v>
      </c>
      <c r="J497" s="35"/>
      <c r="K497" s="36">
        <v>8.79</v>
      </c>
      <c r="L497" s="36"/>
      <c r="M497" s="36"/>
      <c r="N497" s="36"/>
      <c r="O497" s="36"/>
      <c r="P497" s="37">
        <v>25.53</v>
      </c>
      <c r="Q497" s="36" t="s">
        <v>191</v>
      </c>
      <c r="R497" s="36" t="s">
        <v>191</v>
      </c>
      <c r="S497" s="36">
        <v>1000.0</v>
      </c>
      <c r="T497" s="36" t="s">
        <v>1058</v>
      </c>
      <c r="U497" s="36" t="s">
        <v>1059</v>
      </c>
      <c r="V497" s="36">
        <v>1709.0</v>
      </c>
      <c r="W497" s="36"/>
      <c r="X497" s="38">
        <v>35.0</v>
      </c>
      <c r="Y497" s="38" t="s">
        <v>1060</v>
      </c>
      <c r="Z497" s="38"/>
      <c r="AA497" s="38"/>
      <c r="AB497" s="38"/>
      <c r="AC497" s="38"/>
      <c r="AD497" s="38"/>
      <c r="AE497" s="38"/>
      <c r="AF497" s="38"/>
      <c r="AG497" s="38" t="s">
        <v>1087</v>
      </c>
      <c r="AH497" s="38"/>
      <c r="AI497" s="50"/>
      <c r="AJ497" s="50"/>
      <c r="AK497" s="41"/>
      <c r="AL497" s="50"/>
      <c r="AM497" s="49"/>
      <c r="AN497" s="43"/>
      <c r="AO497" s="42"/>
      <c r="AP497" s="43"/>
      <c r="AQ497" s="44" t="str">
        <f t="shared" si="47"/>
        <v/>
      </c>
      <c r="AR497" s="44" t="str">
        <f t="shared" si="3"/>
        <v/>
      </c>
      <c r="AS497" s="44"/>
      <c r="AT497" s="44" t="str">
        <f t="shared" si="17"/>
        <v/>
      </c>
      <c r="AU497" s="44" t="str">
        <f t="shared" si="2"/>
        <v/>
      </c>
      <c r="AV497" s="38"/>
      <c r="AW497" s="38"/>
      <c r="AX497" s="38"/>
      <c r="AY497" s="38"/>
      <c r="AZ497" s="29">
        <v>1000.0</v>
      </c>
      <c r="BA497" s="29">
        <v>1.0</v>
      </c>
      <c r="BB497" s="29">
        <v>2.0</v>
      </c>
      <c r="BC497" s="29" t="s">
        <v>802</v>
      </c>
      <c r="BD497" s="29"/>
      <c r="BE497" s="29"/>
      <c r="BF497" s="29" t="s">
        <v>826</v>
      </c>
      <c r="BG497" s="29" t="s">
        <v>220</v>
      </c>
      <c r="BH497" s="29" t="s">
        <v>92</v>
      </c>
      <c r="BI497" s="29" t="s">
        <v>1065</v>
      </c>
      <c r="BJ497" s="29"/>
      <c r="BK497" s="29" t="s">
        <v>148</v>
      </c>
      <c r="BL497" s="29"/>
      <c r="BM497" s="45"/>
      <c r="BN497" s="45"/>
      <c r="BO497" s="46"/>
      <c r="BP497" s="2"/>
      <c r="BQ497" s="3"/>
    </row>
    <row r="498" ht="15.75" customHeight="1">
      <c r="A498" s="34">
        <v>499.0</v>
      </c>
      <c r="B498" s="34">
        <v>104278.0</v>
      </c>
      <c r="C498" s="34" t="s">
        <v>832</v>
      </c>
      <c r="D498" s="34" t="s">
        <v>1053</v>
      </c>
      <c r="E498" s="34" t="s">
        <v>1054</v>
      </c>
      <c r="F498" s="34">
        <v>2021.0</v>
      </c>
      <c r="G498" s="34" t="s">
        <v>1055</v>
      </c>
      <c r="H498" s="34" t="s">
        <v>1056</v>
      </c>
      <c r="I498" s="34" t="s">
        <v>1057</v>
      </c>
      <c r="J498" s="35"/>
      <c r="K498" s="36">
        <v>-12.89</v>
      </c>
      <c r="L498" s="36"/>
      <c r="M498" s="36"/>
      <c r="N498" s="36"/>
      <c r="O498" s="36"/>
      <c r="P498" s="37">
        <v>-51.06</v>
      </c>
      <c r="Q498" s="36" t="s">
        <v>191</v>
      </c>
      <c r="R498" s="36" t="s">
        <v>191</v>
      </c>
      <c r="S498" s="36">
        <v>1000.0</v>
      </c>
      <c r="T498" s="36" t="s">
        <v>1058</v>
      </c>
      <c r="U498" s="36" t="s">
        <v>1059</v>
      </c>
      <c r="V498" s="36">
        <v>2083.0</v>
      </c>
      <c r="W498" s="36"/>
      <c r="X498" s="38">
        <v>35.0</v>
      </c>
      <c r="Y498" s="38" t="s">
        <v>1060</v>
      </c>
      <c r="Z498" s="38"/>
      <c r="AA498" s="38"/>
      <c r="AB498" s="38"/>
      <c r="AC498" s="38"/>
      <c r="AD498" s="38"/>
      <c r="AE498" s="38"/>
      <c r="AF498" s="38"/>
      <c r="AG498" s="38" t="s">
        <v>1087</v>
      </c>
      <c r="AH498" s="38"/>
      <c r="AI498" s="50"/>
      <c r="AJ498" s="50"/>
      <c r="AK498" s="41"/>
      <c r="AL498" s="50"/>
      <c r="AM498" s="49"/>
      <c r="AN498" s="43"/>
      <c r="AO498" s="42"/>
      <c r="AP498" s="43"/>
      <c r="AQ498" s="44" t="str">
        <f t="shared" si="47"/>
        <v/>
      </c>
      <c r="AR498" s="44" t="str">
        <f t="shared" si="3"/>
        <v/>
      </c>
      <c r="AS498" s="44"/>
      <c r="AT498" s="44" t="str">
        <f t="shared" si="17"/>
        <v/>
      </c>
      <c r="AU498" s="44" t="str">
        <f t="shared" si="2"/>
        <v/>
      </c>
      <c r="AV498" s="38"/>
      <c r="AW498" s="38"/>
      <c r="AX498" s="38"/>
      <c r="AY498" s="38"/>
      <c r="AZ498" s="29">
        <v>1000.0</v>
      </c>
      <c r="BA498" s="29">
        <v>1.0</v>
      </c>
      <c r="BB498" s="29">
        <v>2.0</v>
      </c>
      <c r="BC498" s="29" t="s">
        <v>1066</v>
      </c>
      <c r="BD498" s="29"/>
      <c r="BE498" s="29"/>
      <c r="BF498" s="29" t="s">
        <v>1067</v>
      </c>
      <c r="BG498" s="29" t="s">
        <v>220</v>
      </c>
      <c r="BH498" s="29" t="s">
        <v>92</v>
      </c>
      <c r="BI498" s="29" t="s">
        <v>1068</v>
      </c>
      <c r="BJ498" s="29"/>
      <c r="BK498" s="29" t="s">
        <v>148</v>
      </c>
      <c r="BL498" s="29"/>
      <c r="BM498" s="45"/>
      <c r="BN498" s="45"/>
      <c r="BO498" s="46"/>
      <c r="BP498" s="2"/>
      <c r="BQ498" s="3"/>
    </row>
    <row r="499" ht="15.75" customHeight="1">
      <c r="A499" s="34">
        <v>500.0</v>
      </c>
      <c r="B499" s="34">
        <v>104278.0</v>
      </c>
      <c r="C499" s="34" t="s">
        <v>832</v>
      </c>
      <c r="D499" s="34" t="s">
        <v>1053</v>
      </c>
      <c r="E499" s="34" t="s">
        <v>1054</v>
      </c>
      <c r="F499" s="34">
        <v>2021.0</v>
      </c>
      <c r="G499" s="34" t="s">
        <v>1055</v>
      </c>
      <c r="H499" s="34" t="s">
        <v>1056</v>
      </c>
      <c r="I499" s="34" t="s">
        <v>1057</v>
      </c>
      <c r="J499" s="35"/>
      <c r="K499" s="36">
        <v>4.69</v>
      </c>
      <c r="L499" s="36"/>
      <c r="M499" s="36"/>
      <c r="N499" s="36"/>
      <c r="O499" s="36"/>
      <c r="P499" s="37">
        <v>17.09</v>
      </c>
      <c r="Q499" s="36" t="s">
        <v>191</v>
      </c>
      <c r="R499" s="36" t="s">
        <v>191</v>
      </c>
      <c r="S499" s="36">
        <v>5000.0</v>
      </c>
      <c r="T499" s="36" t="s">
        <v>1058</v>
      </c>
      <c r="U499" s="36" t="s">
        <v>1059</v>
      </c>
      <c r="V499" s="36">
        <v>2284.0</v>
      </c>
      <c r="W499" s="36"/>
      <c r="X499" s="38">
        <v>35.0</v>
      </c>
      <c r="Y499" s="38" t="s">
        <v>1060</v>
      </c>
      <c r="Z499" s="38"/>
      <c r="AA499" s="38"/>
      <c r="AB499" s="38"/>
      <c r="AC499" s="38"/>
      <c r="AD499" s="38"/>
      <c r="AE499" s="38"/>
      <c r="AF499" s="38"/>
      <c r="AG499" s="38" t="s">
        <v>1087</v>
      </c>
      <c r="AH499" s="38"/>
      <c r="AI499" s="50"/>
      <c r="AJ499" s="50"/>
      <c r="AK499" s="41"/>
      <c r="AL499" s="50"/>
      <c r="AM499" s="49"/>
      <c r="AN499" s="43"/>
      <c r="AO499" s="42"/>
      <c r="AP499" s="43"/>
      <c r="AQ499" s="44" t="str">
        <f t="shared" si="47"/>
        <v/>
      </c>
      <c r="AR499" s="44" t="str">
        <f t="shared" si="3"/>
        <v/>
      </c>
      <c r="AS499" s="44"/>
      <c r="AT499" s="44" t="str">
        <f t="shared" si="17"/>
        <v/>
      </c>
      <c r="AU499" s="44" t="str">
        <f t="shared" si="2"/>
        <v/>
      </c>
      <c r="AV499" s="38"/>
      <c r="AW499" s="38"/>
      <c r="AX499" s="38"/>
      <c r="AY499" s="38"/>
      <c r="AZ499" s="29">
        <v>5000.0</v>
      </c>
      <c r="BA499" s="29">
        <v>1.0</v>
      </c>
      <c r="BB499" s="29">
        <v>2.0</v>
      </c>
      <c r="BC499" s="29" t="s">
        <v>936</v>
      </c>
      <c r="BD499" s="29"/>
      <c r="BE499" s="29"/>
      <c r="BF499" s="29" t="s">
        <v>1069</v>
      </c>
      <c r="BG499" s="29" t="s">
        <v>572</v>
      </c>
      <c r="BH499" s="29" t="s">
        <v>92</v>
      </c>
      <c r="BI499" s="29" t="s">
        <v>1070</v>
      </c>
      <c r="BJ499" s="29"/>
      <c r="BK499" s="29" t="s">
        <v>1071</v>
      </c>
      <c r="BL499" s="29"/>
      <c r="BM499" s="45"/>
      <c r="BN499" s="45"/>
      <c r="BO499" s="46"/>
      <c r="BP499" s="2"/>
      <c r="BQ499" s="3"/>
    </row>
    <row r="500" ht="15.75" customHeight="1">
      <c r="A500" s="34">
        <v>501.0</v>
      </c>
      <c r="B500" s="34">
        <v>104278.0</v>
      </c>
      <c r="C500" s="34" t="s">
        <v>832</v>
      </c>
      <c r="D500" s="34" t="s">
        <v>1053</v>
      </c>
      <c r="E500" s="34" t="s">
        <v>1054</v>
      </c>
      <c r="F500" s="34">
        <v>2021.0</v>
      </c>
      <c r="G500" s="34" t="s">
        <v>1055</v>
      </c>
      <c r="H500" s="34" t="s">
        <v>1056</v>
      </c>
      <c r="I500" s="34" t="s">
        <v>1057</v>
      </c>
      <c r="J500" s="35"/>
      <c r="K500" s="36">
        <v>6.32</v>
      </c>
      <c r="L500" s="36"/>
      <c r="M500" s="36"/>
      <c r="N500" s="36"/>
      <c r="O500" s="36"/>
      <c r="P500" s="37">
        <v>23.63</v>
      </c>
      <c r="Q500" s="36" t="s">
        <v>191</v>
      </c>
      <c r="R500" s="36" t="s">
        <v>191</v>
      </c>
      <c r="S500" s="36">
        <v>8000.0</v>
      </c>
      <c r="T500" s="36" t="s">
        <v>1058</v>
      </c>
      <c r="U500" s="36" t="s">
        <v>1059</v>
      </c>
      <c r="V500" s="36">
        <v>1944.0</v>
      </c>
      <c r="W500" s="36"/>
      <c r="X500" s="38">
        <v>35.0</v>
      </c>
      <c r="Y500" s="38" t="s">
        <v>1060</v>
      </c>
      <c r="Z500" s="38"/>
      <c r="AA500" s="38"/>
      <c r="AB500" s="38"/>
      <c r="AC500" s="38"/>
      <c r="AD500" s="38"/>
      <c r="AE500" s="38"/>
      <c r="AF500" s="38"/>
      <c r="AG500" s="38" t="s">
        <v>1087</v>
      </c>
      <c r="AH500" s="38"/>
      <c r="AI500" s="50"/>
      <c r="AJ500" s="50"/>
      <c r="AK500" s="41"/>
      <c r="AL500" s="50"/>
      <c r="AM500" s="49"/>
      <c r="AN500" s="43"/>
      <c r="AO500" s="42"/>
      <c r="AP500" s="43"/>
      <c r="AQ500" s="44" t="str">
        <f t="shared" si="47"/>
        <v/>
      </c>
      <c r="AR500" s="44" t="str">
        <f t="shared" si="3"/>
        <v/>
      </c>
      <c r="AS500" s="44"/>
      <c r="AT500" s="44" t="str">
        <f t="shared" si="17"/>
        <v/>
      </c>
      <c r="AU500" s="44" t="str">
        <f t="shared" si="2"/>
        <v/>
      </c>
      <c r="AV500" s="38"/>
      <c r="AW500" s="38"/>
      <c r="AX500" s="38"/>
      <c r="AY500" s="38"/>
      <c r="AZ500" s="29">
        <v>8000.0</v>
      </c>
      <c r="BA500" s="29">
        <v>1.0</v>
      </c>
      <c r="BB500" s="29">
        <v>2.0</v>
      </c>
      <c r="BC500" s="29" t="s">
        <v>933</v>
      </c>
      <c r="BD500" s="29"/>
      <c r="BE500" s="29"/>
      <c r="BF500" s="29" t="s">
        <v>1072</v>
      </c>
      <c r="BG500" s="29" t="s">
        <v>220</v>
      </c>
      <c r="BH500" s="29" t="s">
        <v>92</v>
      </c>
      <c r="BI500" s="29" t="s">
        <v>1073</v>
      </c>
      <c r="BJ500" s="29"/>
      <c r="BK500" s="29" t="s">
        <v>681</v>
      </c>
      <c r="BL500" s="29"/>
      <c r="BM500" s="45"/>
      <c r="BN500" s="45"/>
      <c r="BO500" s="46"/>
      <c r="BP500" s="2"/>
      <c r="BQ500" s="3"/>
    </row>
    <row r="501" ht="15.75" customHeight="1">
      <c r="A501" s="34">
        <v>502.0</v>
      </c>
      <c r="B501" s="34">
        <v>104278.0</v>
      </c>
      <c r="C501" s="34" t="s">
        <v>832</v>
      </c>
      <c r="D501" s="34" t="s">
        <v>1053</v>
      </c>
      <c r="E501" s="34" t="s">
        <v>1054</v>
      </c>
      <c r="F501" s="34">
        <v>2021.0</v>
      </c>
      <c r="G501" s="34" t="s">
        <v>1055</v>
      </c>
      <c r="H501" s="34" t="s">
        <v>1056</v>
      </c>
      <c r="I501" s="34" t="s">
        <v>1057</v>
      </c>
      <c r="J501" s="35"/>
      <c r="K501" s="36">
        <v>-1.79</v>
      </c>
      <c r="L501" s="36"/>
      <c r="M501" s="36"/>
      <c r="N501" s="36"/>
      <c r="O501" s="36"/>
      <c r="P501" s="37">
        <v>-6.35</v>
      </c>
      <c r="Q501" s="36" t="s">
        <v>191</v>
      </c>
      <c r="R501" s="36" t="s">
        <v>191</v>
      </c>
      <c r="S501" s="36" t="s">
        <v>928</v>
      </c>
      <c r="T501" s="36" t="s">
        <v>1058</v>
      </c>
      <c r="U501" s="36" t="s">
        <v>1059</v>
      </c>
      <c r="V501" s="36">
        <v>2461.0</v>
      </c>
      <c r="W501" s="36"/>
      <c r="X501" s="38">
        <v>35.0</v>
      </c>
      <c r="Y501" s="38" t="s">
        <v>1060</v>
      </c>
      <c r="Z501" s="38"/>
      <c r="AA501" s="38"/>
      <c r="AB501" s="38"/>
      <c r="AC501" s="38"/>
      <c r="AD501" s="38"/>
      <c r="AE501" s="38"/>
      <c r="AF501" s="38"/>
      <c r="AG501" s="38" t="s">
        <v>1087</v>
      </c>
      <c r="AH501" s="38"/>
      <c r="AI501" s="50"/>
      <c r="AJ501" s="50"/>
      <c r="AK501" s="41"/>
      <c r="AL501" s="50"/>
      <c r="AM501" s="49"/>
      <c r="AN501" s="43"/>
      <c r="AO501" s="42"/>
      <c r="AP501" s="43"/>
      <c r="AQ501" s="44" t="str">
        <f t="shared" si="47"/>
        <v/>
      </c>
      <c r="AR501" s="44" t="str">
        <f t="shared" si="3"/>
        <v/>
      </c>
      <c r="AS501" s="44"/>
      <c r="AT501" s="44" t="str">
        <f t="shared" si="17"/>
        <v/>
      </c>
      <c r="AU501" s="44" t="str">
        <f t="shared" si="2"/>
        <v/>
      </c>
      <c r="AV501" s="38"/>
      <c r="AW501" s="38"/>
      <c r="AX501" s="38"/>
      <c r="AY501" s="38"/>
      <c r="AZ501" s="29" t="s">
        <v>928</v>
      </c>
      <c r="BA501" s="29">
        <v>1.0</v>
      </c>
      <c r="BB501" s="29">
        <v>2.0</v>
      </c>
      <c r="BC501" s="29" t="s">
        <v>929</v>
      </c>
      <c r="BD501" s="29"/>
      <c r="BE501" s="29"/>
      <c r="BF501" s="29" t="s">
        <v>1074</v>
      </c>
      <c r="BG501" s="29" t="s">
        <v>203</v>
      </c>
      <c r="BH501" s="29" t="s">
        <v>92</v>
      </c>
      <c r="BI501" s="29" t="s">
        <v>1075</v>
      </c>
      <c r="BJ501" s="29"/>
      <c r="BK501" s="29"/>
      <c r="BL501" s="29"/>
      <c r="BM501" s="45"/>
      <c r="BN501" s="45"/>
      <c r="BO501" s="46"/>
      <c r="BP501" s="2"/>
      <c r="BQ501" s="3"/>
    </row>
    <row r="502" ht="15.75" customHeight="1">
      <c r="A502" s="34">
        <v>503.0</v>
      </c>
      <c r="B502" s="34">
        <v>104278.0</v>
      </c>
      <c r="C502" s="34" t="s">
        <v>832</v>
      </c>
      <c r="D502" s="34" t="s">
        <v>1053</v>
      </c>
      <c r="E502" s="34" t="s">
        <v>1054</v>
      </c>
      <c r="F502" s="34">
        <v>2021.0</v>
      </c>
      <c r="G502" s="34" t="s">
        <v>1055</v>
      </c>
      <c r="H502" s="34" t="s">
        <v>1056</v>
      </c>
      <c r="I502" s="34" t="s">
        <v>1057</v>
      </c>
      <c r="J502" s="35"/>
      <c r="K502" s="36">
        <v>-1.51</v>
      </c>
      <c r="L502" s="36"/>
      <c r="M502" s="36"/>
      <c r="N502" s="36"/>
      <c r="O502" s="36"/>
      <c r="P502" s="37">
        <v>-5.48</v>
      </c>
      <c r="Q502" s="36" t="s">
        <v>191</v>
      </c>
      <c r="R502" s="36" t="s">
        <v>191</v>
      </c>
      <c r="S502" s="36" t="s">
        <v>928</v>
      </c>
      <c r="T502" s="36" t="s">
        <v>1058</v>
      </c>
      <c r="U502" s="36" t="s">
        <v>1059</v>
      </c>
      <c r="V502" s="36">
        <v>2192.0</v>
      </c>
      <c r="W502" s="36"/>
      <c r="X502" s="38">
        <v>35.0</v>
      </c>
      <c r="Y502" s="38" t="s">
        <v>1060</v>
      </c>
      <c r="Z502" s="38"/>
      <c r="AA502" s="38"/>
      <c r="AB502" s="38"/>
      <c r="AC502" s="38"/>
      <c r="AD502" s="38"/>
      <c r="AE502" s="38"/>
      <c r="AF502" s="38"/>
      <c r="AG502" s="38" t="s">
        <v>1087</v>
      </c>
      <c r="AH502" s="38"/>
      <c r="AI502" s="50"/>
      <c r="AJ502" s="50"/>
      <c r="AK502" s="41"/>
      <c r="AL502" s="50"/>
      <c r="AM502" s="49"/>
      <c r="AN502" s="43"/>
      <c r="AO502" s="42"/>
      <c r="AP502" s="43"/>
      <c r="AQ502" s="44" t="str">
        <f t="shared" si="47"/>
        <v/>
      </c>
      <c r="AR502" s="44" t="str">
        <f t="shared" si="3"/>
        <v/>
      </c>
      <c r="AS502" s="44"/>
      <c r="AT502" s="44" t="str">
        <f t="shared" si="17"/>
        <v/>
      </c>
      <c r="AU502" s="44" t="str">
        <f t="shared" si="2"/>
        <v/>
      </c>
      <c r="AV502" s="38"/>
      <c r="AW502" s="38"/>
      <c r="AX502" s="38"/>
      <c r="AY502" s="38"/>
      <c r="AZ502" s="29" t="s">
        <v>928</v>
      </c>
      <c r="BA502" s="29">
        <v>1.0</v>
      </c>
      <c r="BB502" s="29">
        <v>2.0</v>
      </c>
      <c r="BC502" s="29" t="s">
        <v>931</v>
      </c>
      <c r="BD502" s="29"/>
      <c r="BE502" s="29"/>
      <c r="BF502" s="29" t="s">
        <v>1076</v>
      </c>
      <c r="BG502" s="29" t="s">
        <v>203</v>
      </c>
      <c r="BH502" s="29" t="s">
        <v>92</v>
      </c>
      <c r="BI502" s="29" t="s">
        <v>1075</v>
      </c>
      <c r="BJ502" s="29"/>
      <c r="BK502" s="29"/>
      <c r="BL502" s="29"/>
      <c r="BM502" s="45"/>
      <c r="BN502" s="45"/>
      <c r="BO502" s="46"/>
      <c r="BP502" s="2"/>
      <c r="BQ502" s="3"/>
    </row>
    <row r="503" ht="15.75" customHeight="1">
      <c r="A503" s="34">
        <v>504.0</v>
      </c>
      <c r="B503" s="34">
        <v>104278.0</v>
      </c>
      <c r="C503" s="34" t="s">
        <v>832</v>
      </c>
      <c r="D503" s="34" t="s">
        <v>1053</v>
      </c>
      <c r="E503" s="34" t="s">
        <v>1054</v>
      </c>
      <c r="F503" s="34">
        <v>2021.0</v>
      </c>
      <c r="G503" s="34" t="s">
        <v>1055</v>
      </c>
      <c r="H503" s="34" t="s">
        <v>1056</v>
      </c>
      <c r="I503" s="34" t="s">
        <v>1057</v>
      </c>
      <c r="J503" s="35"/>
      <c r="K503" s="36">
        <v>-15.74</v>
      </c>
      <c r="L503" s="36"/>
      <c r="M503" s="36"/>
      <c r="N503" s="36"/>
      <c r="O503" s="36"/>
      <c r="P503" s="37">
        <v>-56.79</v>
      </c>
      <c r="Q503" s="36" t="s">
        <v>191</v>
      </c>
      <c r="R503" s="36" t="s">
        <v>191</v>
      </c>
      <c r="S503" s="36">
        <v>500.0</v>
      </c>
      <c r="T503" s="36" t="s">
        <v>1058</v>
      </c>
      <c r="U503" s="36" t="s">
        <v>1059</v>
      </c>
      <c r="V503" s="36">
        <v>2420.0</v>
      </c>
      <c r="W503" s="36"/>
      <c r="X503" s="38">
        <v>35.0</v>
      </c>
      <c r="Y503" s="38" t="s">
        <v>1060</v>
      </c>
      <c r="Z503" s="38"/>
      <c r="AA503" s="38"/>
      <c r="AB503" s="38"/>
      <c r="AC503" s="38"/>
      <c r="AD503" s="38"/>
      <c r="AE503" s="38"/>
      <c r="AF503" s="38"/>
      <c r="AG503" s="38" t="s">
        <v>1087</v>
      </c>
      <c r="AH503" s="38"/>
      <c r="AI503" s="50"/>
      <c r="AJ503" s="50"/>
      <c r="AK503" s="41"/>
      <c r="AL503" s="50"/>
      <c r="AM503" s="49"/>
      <c r="AN503" s="43"/>
      <c r="AO503" s="42"/>
      <c r="AP503" s="43"/>
      <c r="AQ503" s="44" t="str">
        <f t="shared" si="47"/>
        <v/>
      </c>
      <c r="AR503" s="44" t="str">
        <f t="shared" si="3"/>
        <v/>
      </c>
      <c r="AS503" s="44"/>
      <c r="AT503" s="44" t="str">
        <f t="shared" si="17"/>
        <v/>
      </c>
      <c r="AU503" s="44" t="str">
        <f t="shared" si="2"/>
        <v/>
      </c>
      <c r="AV503" s="38"/>
      <c r="AW503" s="38"/>
      <c r="AX503" s="38"/>
      <c r="AY503" s="38"/>
      <c r="AZ503" s="29">
        <v>500.0</v>
      </c>
      <c r="BA503" s="29">
        <v>1.0</v>
      </c>
      <c r="BB503" s="29">
        <v>2.0</v>
      </c>
      <c r="BC503" s="29" t="s">
        <v>1077</v>
      </c>
      <c r="BD503" s="29"/>
      <c r="BE503" s="29"/>
      <c r="BF503" s="29" t="s">
        <v>1078</v>
      </c>
      <c r="BG503" s="29" t="s">
        <v>220</v>
      </c>
      <c r="BH503" s="29" t="s">
        <v>92</v>
      </c>
      <c r="BI503" s="29" t="s">
        <v>1068</v>
      </c>
      <c r="BJ503" s="29"/>
      <c r="BK503" s="29" t="s">
        <v>148</v>
      </c>
      <c r="BL503" s="29"/>
      <c r="BM503" s="45"/>
      <c r="BN503" s="45"/>
      <c r="BO503" s="46"/>
      <c r="BP503" s="2"/>
      <c r="BQ503" s="3"/>
    </row>
    <row r="504" ht="15.75" customHeight="1">
      <c r="A504" s="34">
        <v>505.0</v>
      </c>
      <c r="B504" s="34">
        <v>104278.0</v>
      </c>
      <c r="C504" s="34" t="s">
        <v>832</v>
      </c>
      <c r="D504" s="34" t="s">
        <v>1053</v>
      </c>
      <c r="E504" s="34" t="s">
        <v>1054</v>
      </c>
      <c r="F504" s="34">
        <v>2021.0</v>
      </c>
      <c r="G504" s="34" t="s">
        <v>1055</v>
      </c>
      <c r="H504" s="34" t="s">
        <v>1056</v>
      </c>
      <c r="I504" s="34" t="s">
        <v>1057</v>
      </c>
      <c r="J504" s="35"/>
      <c r="K504" s="36">
        <v>2.68</v>
      </c>
      <c r="L504" s="36"/>
      <c r="M504" s="36"/>
      <c r="N504" s="36"/>
      <c r="O504" s="36"/>
      <c r="P504" s="37">
        <v>5.75</v>
      </c>
      <c r="Q504" s="36" t="s">
        <v>191</v>
      </c>
      <c r="R504" s="36" t="s">
        <v>191</v>
      </c>
      <c r="S504" s="36">
        <v>500.0</v>
      </c>
      <c r="T504" s="36" t="s">
        <v>1058</v>
      </c>
      <c r="U504" s="36" t="s">
        <v>1059</v>
      </c>
      <c r="V504" s="36">
        <v>8506.0</v>
      </c>
      <c r="W504" s="36"/>
      <c r="X504" s="38">
        <v>167.0</v>
      </c>
      <c r="Y504" s="38" t="s">
        <v>1060</v>
      </c>
      <c r="Z504" s="38"/>
      <c r="AA504" s="38"/>
      <c r="AB504" s="38"/>
      <c r="AC504" s="38"/>
      <c r="AD504" s="38"/>
      <c r="AE504" s="38"/>
      <c r="AF504" s="38"/>
      <c r="AG504" s="38" t="s">
        <v>948</v>
      </c>
      <c r="AH504" s="38"/>
      <c r="AI504" s="50"/>
      <c r="AJ504" s="50"/>
      <c r="AK504" s="41"/>
      <c r="AL504" s="50"/>
      <c r="AM504" s="49"/>
      <c r="AN504" s="43"/>
      <c r="AO504" s="42"/>
      <c r="AP504" s="43"/>
      <c r="AQ504" s="44" t="str">
        <f t="shared" si="47"/>
        <v/>
      </c>
      <c r="AR504" s="44" t="str">
        <f t="shared" si="3"/>
        <v/>
      </c>
      <c r="AS504" s="44"/>
      <c r="AT504" s="44" t="str">
        <f t="shared" si="17"/>
        <v/>
      </c>
      <c r="AU504" s="44" t="str">
        <f t="shared" si="2"/>
        <v/>
      </c>
      <c r="AV504" s="38"/>
      <c r="AW504" s="38"/>
      <c r="AX504" s="38"/>
      <c r="AY504" s="38"/>
      <c r="AZ504" s="29">
        <v>500.0</v>
      </c>
      <c r="BA504" s="29">
        <v>1.0</v>
      </c>
      <c r="BB504" s="29">
        <v>2.0</v>
      </c>
      <c r="BC504" s="29" t="s">
        <v>1062</v>
      </c>
      <c r="BD504" s="29"/>
      <c r="BE504" s="29"/>
      <c r="BF504" s="29" t="s">
        <v>1062</v>
      </c>
      <c r="BG504" s="29" t="s">
        <v>220</v>
      </c>
      <c r="BH504" s="29" t="s">
        <v>92</v>
      </c>
      <c r="BI504" s="29" t="s">
        <v>1063</v>
      </c>
      <c r="BJ504" s="29"/>
      <c r="BK504" s="29" t="s">
        <v>148</v>
      </c>
      <c r="BL504" s="29"/>
      <c r="BM504" s="45"/>
      <c r="BN504" s="45"/>
      <c r="BO504" s="46"/>
      <c r="BP504" s="2"/>
      <c r="BQ504" s="3"/>
    </row>
    <row r="505" ht="15.75" customHeight="1">
      <c r="A505" s="34">
        <v>506.0</v>
      </c>
      <c r="B505" s="34">
        <v>104278.0</v>
      </c>
      <c r="C505" s="34" t="s">
        <v>832</v>
      </c>
      <c r="D505" s="34" t="s">
        <v>1053</v>
      </c>
      <c r="E505" s="34" t="s">
        <v>1054</v>
      </c>
      <c r="F505" s="34">
        <v>2021.0</v>
      </c>
      <c r="G505" s="34" t="s">
        <v>1055</v>
      </c>
      <c r="H505" s="34" t="s">
        <v>1056</v>
      </c>
      <c r="I505" s="34" t="s">
        <v>1057</v>
      </c>
      <c r="J505" s="35"/>
      <c r="K505" s="36">
        <v>6.19</v>
      </c>
      <c r="L505" s="36"/>
      <c r="M505" s="36"/>
      <c r="N505" s="36"/>
      <c r="O505" s="36"/>
      <c r="P505" s="37">
        <v>12.3</v>
      </c>
      <c r="Q505" s="36" t="s">
        <v>191</v>
      </c>
      <c r="R505" s="36" t="s">
        <v>191</v>
      </c>
      <c r="S505" s="36">
        <v>1000.0</v>
      </c>
      <c r="T505" s="36" t="s">
        <v>1058</v>
      </c>
      <c r="U505" s="36" t="s">
        <v>1059</v>
      </c>
      <c r="V505" s="36">
        <v>7724.0</v>
      </c>
      <c r="W505" s="36"/>
      <c r="X505" s="38">
        <v>167.0</v>
      </c>
      <c r="Y505" s="38" t="s">
        <v>1060</v>
      </c>
      <c r="Z505" s="38"/>
      <c r="AA505" s="38"/>
      <c r="AB505" s="38"/>
      <c r="AC505" s="38"/>
      <c r="AD505" s="38"/>
      <c r="AE505" s="38"/>
      <c r="AF505" s="38"/>
      <c r="AG505" s="38" t="s">
        <v>948</v>
      </c>
      <c r="AH505" s="38"/>
      <c r="AI505" s="50"/>
      <c r="AJ505" s="50"/>
      <c r="AK505" s="41"/>
      <c r="AL505" s="50"/>
      <c r="AM505" s="49"/>
      <c r="AN505" s="43"/>
      <c r="AO505" s="42"/>
      <c r="AP505" s="43"/>
      <c r="AQ505" s="44" t="str">
        <f t="shared" si="47"/>
        <v/>
      </c>
      <c r="AR505" s="44" t="str">
        <f t="shared" si="3"/>
        <v/>
      </c>
      <c r="AS505" s="44"/>
      <c r="AT505" s="44" t="str">
        <f t="shared" si="17"/>
        <v/>
      </c>
      <c r="AU505" s="44" t="str">
        <f t="shared" si="2"/>
        <v/>
      </c>
      <c r="AV505" s="38"/>
      <c r="AW505" s="38"/>
      <c r="AX505" s="38"/>
      <c r="AY505" s="38"/>
      <c r="AZ505" s="29">
        <v>1000.0</v>
      </c>
      <c r="BA505" s="29">
        <v>1.0</v>
      </c>
      <c r="BB505" s="29">
        <v>2.0</v>
      </c>
      <c r="BC505" s="29" t="s">
        <v>802</v>
      </c>
      <c r="BD505" s="29"/>
      <c r="BE505" s="29"/>
      <c r="BF505" s="29" t="s">
        <v>826</v>
      </c>
      <c r="BG505" s="29" t="s">
        <v>220</v>
      </c>
      <c r="BH505" s="29" t="s">
        <v>92</v>
      </c>
      <c r="BI505" s="29" t="s">
        <v>1065</v>
      </c>
      <c r="BJ505" s="29"/>
      <c r="BK505" s="29" t="s">
        <v>148</v>
      </c>
      <c r="BL505" s="29"/>
      <c r="BM505" s="45"/>
      <c r="BN505" s="45"/>
      <c r="BO505" s="46"/>
      <c r="BP505" s="2"/>
      <c r="BQ505" s="3"/>
    </row>
    <row r="506" ht="15.75" customHeight="1">
      <c r="A506" s="34">
        <v>507.0</v>
      </c>
      <c r="B506" s="34">
        <v>104278.0</v>
      </c>
      <c r="C506" s="34" t="s">
        <v>832</v>
      </c>
      <c r="D506" s="34" t="s">
        <v>1053</v>
      </c>
      <c r="E506" s="34" t="s">
        <v>1054</v>
      </c>
      <c r="F506" s="34">
        <v>2021.0</v>
      </c>
      <c r="G506" s="34" t="s">
        <v>1055</v>
      </c>
      <c r="H506" s="34" t="s">
        <v>1056</v>
      </c>
      <c r="I506" s="34" t="s">
        <v>1057</v>
      </c>
      <c r="J506" s="35"/>
      <c r="K506" s="36">
        <v>-7.41</v>
      </c>
      <c r="L506" s="36"/>
      <c r="M506" s="36"/>
      <c r="N506" s="36"/>
      <c r="O506" s="36"/>
      <c r="P506" s="37">
        <v>-16.56</v>
      </c>
      <c r="Q506" s="36" t="s">
        <v>191</v>
      </c>
      <c r="R506" s="36" t="s">
        <v>191</v>
      </c>
      <c r="S506" s="36">
        <v>1000.0</v>
      </c>
      <c r="T506" s="36" t="s">
        <v>1058</v>
      </c>
      <c r="U506" s="36" t="s">
        <v>1059</v>
      </c>
      <c r="V506" s="36">
        <v>7922.0</v>
      </c>
      <c r="W506" s="36"/>
      <c r="X506" s="38">
        <v>167.0</v>
      </c>
      <c r="Y506" s="38" t="s">
        <v>1060</v>
      </c>
      <c r="Z506" s="38"/>
      <c r="AA506" s="38"/>
      <c r="AB506" s="38"/>
      <c r="AC506" s="38"/>
      <c r="AD506" s="38"/>
      <c r="AE506" s="38"/>
      <c r="AF506" s="38"/>
      <c r="AG506" s="38" t="s">
        <v>948</v>
      </c>
      <c r="AH506" s="38"/>
      <c r="AI506" s="50"/>
      <c r="AJ506" s="50"/>
      <c r="AK506" s="41"/>
      <c r="AL506" s="50"/>
      <c r="AM506" s="49"/>
      <c r="AN506" s="43"/>
      <c r="AO506" s="42"/>
      <c r="AP506" s="43"/>
      <c r="AQ506" s="44" t="str">
        <f t="shared" si="47"/>
        <v/>
      </c>
      <c r="AR506" s="44" t="str">
        <f t="shared" si="3"/>
        <v/>
      </c>
      <c r="AS506" s="44"/>
      <c r="AT506" s="44" t="str">
        <f t="shared" si="17"/>
        <v/>
      </c>
      <c r="AU506" s="44" t="str">
        <f t="shared" si="2"/>
        <v/>
      </c>
      <c r="AV506" s="38"/>
      <c r="AW506" s="38"/>
      <c r="AX506" s="38"/>
      <c r="AY506" s="38"/>
      <c r="AZ506" s="29">
        <v>1000.0</v>
      </c>
      <c r="BA506" s="29">
        <v>1.0</v>
      </c>
      <c r="BB506" s="29">
        <v>2.0</v>
      </c>
      <c r="BC506" s="29" t="s">
        <v>1066</v>
      </c>
      <c r="BD506" s="29"/>
      <c r="BE506" s="29"/>
      <c r="BF506" s="29" t="s">
        <v>1067</v>
      </c>
      <c r="BG506" s="29" t="s">
        <v>220</v>
      </c>
      <c r="BH506" s="29" t="s">
        <v>92</v>
      </c>
      <c r="BI506" s="29" t="s">
        <v>1068</v>
      </c>
      <c r="BJ506" s="29"/>
      <c r="BK506" s="29" t="s">
        <v>148</v>
      </c>
      <c r="BL506" s="29"/>
      <c r="BM506" s="45"/>
      <c r="BN506" s="45"/>
      <c r="BO506" s="46"/>
      <c r="BP506" s="2"/>
      <c r="BQ506" s="3"/>
    </row>
    <row r="507" ht="15.75" customHeight="1">
      <c r="A507" s="34">
        <v>508.0</v>
      </c>
      <c r="B507" s="34">
        <v>104278.0</v>
      </c>
      <c r="C507" s="34" t="s">
        <v>832</v>
      </c>
      <c r="D507" s="34" t="s">
        <v>1053</v>
      </c>
      <c r="E507" s="34" t="s">
        <v>1054</v>
      </c>
      <c r="F507" s="34">
        <v>2021.0</v>
      </c>
      <c r="G507" s="34" t="s">
        <v>1055</v>
      </c>
      <c r="H507" s="34" t="s">
        <v>1056</v>
      </c>
      <c r="I507" s="34" t="s">
        <v>1057</v>
      </c>
      <c r="J507" s="35"/>
      <c r="K507" s="36">
        <v>-0.59</v>
      </c>
      <c r="L507" s="36"/>
      <c r="M507" s="36"/>
      <c r="N507" s="36"/>
      <c r="O507" s="36"/>
      <c r="P507" s="37">
        <v>-1.24</v>
      </c>
      <c r="Q507" s="36" t="s">
        <v>191</v>
      </c>
      <c r="R507" s="36" t="s">
        <v>191</v>
      </c>
      <c r="S507" s="36">
        <v>5000.0</v>
      </c>
      <c r="T507" s="36" t="s">
        <v>1058</v>
      </c>
      <c r="U507" s="36" t="s">
        <v>1059</v>
      </c>
      <c r="V507" s="36">
        <v>8036.0</v>
      </c>
      <c r="W507" s="36"/>
      <c r="X507" s="38">
        <v>167.0</v>
      </c>
      <c r="Y507" s="38" t="s">
        <v>1060</v>
      </c>
      <c r="Z507" s="38"/>
      <c r="AA507" s="38"/>
      <c r="AB507" s="38"/>
      <c r="AC507" s="38"/>
      <c r="AD507" s="38"/>
      <c r="AE507" s="38"/>
      <c r="AF507" s="38"/>
      <c r="AG507" s="38" t="s">
        <v>948</v>
      </c>
      <c r="AH507" s="38"/>
      <c r="AI507" s="50"/>
      <c r="AJ507" s="50"/>
      <c r="AK507" s="41"/>
      <c r="AL507" s="50"/>
      <c r="AM507" s="49"/>
      <c r="AN507" s="43"/>
      <c r="AO507" s="42"/>
      <c r="AP507" s="43"/>
      <c r="AQ507" s="44" t="str">
        <f t="shared" si="47"/>
        <v/>
      </c>
      <c r="AR507" s="44" t="str">
        <f t="shared" si="3"/>
        <v/>
      </c>
      <c r="AS507" s="44"/>
      <c r="AT507" s="44" t="str">
        <f t="shared" si="17"/>
        <v/>
      </c>
      <c r="AU507" s="44" t="str">
        <f t="shared" si="2"/>
        <v/>
      </c>
      <c r="AV507" s="38"/>
      <c r="AW507" s="38"/>
      <c r="AX507" s="38"/>
      <c r="AY507" s="38"/>
      <c r="AZ507" s="29">
        <v>5000.0</v>
      </c>
      <c r="BA507" s="29">
        <v>1.0</v>
      </c>
      <c r="BB507" s="29">
        <v>2.0</v>
      </c>
      <c r="BC507" s="29" t="s">
        <v>936</v>
      </c>
      <c r="BD507" s="29"/>
      <c r="BE507" s="29"/>
      <c r="BF507" s="29" t="s">
        <v>1069</v>
      </c>
      <c r="BG507" s="29" t="s">
        <v>572</v>
      </c>
      <c r="BH507" s="29" t="s">
        <v>92</v>
      </c>
      <c r="BI507" s="29" t="s">
        <v>1070</v>
      </c>
      <c r="BJ507" s="29"/>
      <c r="BK507" s="29" t="s">
        <v>1071</v>
      </c>
      <c r="BL507" s="29"/>
      <c r="BM507" s="45"/>
      <c r="BN507" s="45"/>
      <c r="BO507" s="46"/>
      <c r="BP507" s="2"/>
      <c r="BQ507" s="3"/>
    </row>
    <row r="508" ht="15.75" customHeight="1">
      <c r="A508" s="34">
        <v>509.0</v>
      </c>
      <c r="B508" s="34">
        <v>104278.0</v>
      </c>
      <c r="C508" s="34" t="s">
        <v>832</v>
      </c>
      <c r="D508" s="34" t="s">
        <v>1053</v>
      </c>
      <c r="E508" s="34" t="s">
        <v>1054</v>
      </c>
      <c r="F508" s="34">
        <v>2021.0</v>
      </c>
      <c r="G508" s="34" t="s">
        <v>1055</v>
      </c>
      <c r="H508" s="34" t="s">
        <v>1056</v>
      </c>
      <c r="I508" s="34" t="s">
        <v>1057</v>
      </c>
      <c r="J508" s="35"/>
      <c r="K508" s="36">
        <v>5.81</v>
      </c>
      <c r="L508" s="36"/>
      <c r="M508" s="36"/>
      <c r="N508" s="36"/>
      <c r="O508" s="36"/>
      <c r="P508" s="37">
        <v>13.26</v>
      </c>
      <c r="Q508" s="36" t="s">
        <v>191</v>
      </c>
      <c r="R508" s="36" t="s">
        <v>191</v>
      </c>
      <c r="S508" s="36">
        <v>8000.0</v>
      </c>
      <c r="T508" s="36" t="s">
        <v>1058</v>
      </c>
      <c r="U508" s="36" t="s">
        <v>1059</v>
      </c>
      <c r="V508" s="36">
        <v>7710.0</v>
      </c>
      <c r="W508" s="36"/>
      <c r="X508" s="38">
        <v>167.0</v>
      </c>
      <c r="Y508" s="38" t="s">
        <v>1060</v>
      </c>
      <c r="Z508" s="38"/>
      <c r="AA508" s="38"/>
      <c r="AB508" s="38"/>
      <c r="AC508" s="38"/>
      <c r="AD508" s="38"/>
      <c r="AE508" s="38"/>
      <c r="AF508" s="38"/>
      <c r="AG508" s="38" t="s">
        <v>948</v>
      </c>
      <c r="AH508" s="38"/>
      <c r="AI508" s="50"/>
      <c r="AJ508" s="50"/>
      <c r="AK508" s="41"/>
      <c r="AL508" s="50"/>
      <c r="AM508" s="49"/>
      <c r="AN508" s="43"/>
      <c r="AO508" s="42"/>
      <c r="AP508" s="43"/>
      <c r="AQ508" s="44" t="str">
        <f t="shared" si="47"/>
        <v/>
      </c>
      <c r="AR508" s="44" t="str">
        <f t="shared" si="3"/>
        <v/>
      </c>
      <c r="AS508" s="44"/>
      <c r="AT508" s="44" t="str">
        <f t="shared" si="17"/>
        <v/>
      </c>
      <c r="AU508" s="44" t="str">
        <f t="shared" si="2"/>
        <v/>
      </c>
      <c r="AV508" s="38"/>
      <c r="AW508" s="38"/>
      <c r="AX508" s="38"/>
      <c r="AY508" s="38"/>
      <c r="AZ508" s="29">
        <v>8000.0</v>
      </c>
      <c r="BA508" s="29">
        <v>1.0</v>
      </c>
      <c r="BB508" s="29">
        <v>2.0</v>
      </c>
      <c r="BC508" s="29" t="s">
        <v>933</v>
      </c>
      <c r="BD508" s="29"/>
      <c r="BE508" s="29"/>
      <c r="BF508" s="29" t="s">
        <v>1072</v>
      </c>
      <c r="BG508" s="29" t="s">
        <v>220</v>
      </c>
      <c r="BH508" s="29" t="s">
        <v>92</v>
      </c>
      <c r="BI508" s="29" t="s">
        <v>1073</v>
      </c>
      <c r="BJ508" s="29"/>
      <c r="BK508" s="29" t="s">
        <v>681</v>
      </c>
      <c r="BL508" s="29"/>
      <c r="BM508" s="45"/>
      <c r="BN508" s="45"/>
      <c r="BO508" s="46"/>
      <c r="BP508" s="2"/>
      <c r="BQ508" s="3"/>
    </row>
    <row r="509" ht="15.75" customHeight="1">
      <c r="A509" s="34">
        <v>510.0</v>
      </c>
      <c r="B509" s="34">
        <v>104278.0</v>
      </c>
      <c r="C509" s="34" t="s">
        <v>832</v>
      </c>
      <c r="D509" s="34" t="s">
        <v>1053</v>
      </c>
      <c r="E509" s="34" t="s">
        <v>1054</v>
      </c>
      <c r="F509" s="34">
        <v>2021.0</v>
      </c>
      <c r="G509" s="34" t="s">
        <v>1055</v>
      </c>
      <c r="H509" s="34" t="s">
        <v>1056</v>
      </c>
      <c r="I509" s="34" t="s">
        <v>1057</v>
      </c>
      <c r="J509" s="35"/>
      <c r="K509" s="36">
        <v>-6.55</v>
      </c>
      <c r="L509" s="36"/>
      <c r="M509" s="36"/>
      <c r="N509" s="36"/>
      <c r="O509" s="36"/>
      <c r="P509" s="37">
        <v>-13.84</v>
      </c>
      <c r="Q509" s="36" t="s">
        <v>191</v>
      </c>
      <c r="R509" s="36" t="s">
        <v>191</v>
      </c>
      <c r="S509" s="36" t="s">
        <v>928</v>
      </c>
      <c r="T509" s="36" t="s">
        <v>1058</v>
      </c>
      <c r="U509" s="36" t="s">
        <v>1059</v>
      </c>
      <c r="V509" s="36">
        <v>8897.0</v>
      </c>
      <c r="W509" s="36"/>
      <c r="X509" s="38">
        <v>167.0</v>
      </c>
      <c r="Y509" s="38" t="s">
        <v>1060</v>
      </c>
      <c r="Z509" s="38"/>
      <c r="AA509" s="38"/>
      <c r="AB509" s="38"/>
      <c r="AC509" s="38"/>
      <c r="AD509" s="38"/>
      <c r="AE509" s="38"/>
      <c r="AF509" s="38"/>
      <c r="AG509" s="38" t="s">
        <v>948</v>
      </c>
      <c r="AH509" s="38"/>
      <c r="AI509" s="50"/>
      <c r="AJ509" s="50"/>
      <c r="AK509" s="41"/>
      <c r="AL509" s="50"/>
      <c r="AM509" s="49"/>
      <c r="AN509" s="43"/>
      <c r="AO509" s="42"/>
      <c r="AP509" s="43"/>
      <c r="AQ509" s="44" t="str">
        <f t="shared" si="47"/>
        <v/>
      </c>
      <c r="AR509" s="44" t="str">
        <f t="shared" si="3"/>
        <v/>
      </c>
      <c r="AS509" s="44"/>
      <c r="AT509" s="44" t="str">
        <f t="shared" si="17"/>
        <v/>
      </c>
      <c r="AU509" s="44" t="str">
        <f t="shared" si="2"/>
        <v/>
      </c>
      <c r="AV509" s="38"/>
      <c r="AW509" s="38"/>
      <c r="AX509" s="38"/>
      <c r="AY509" s="38"/>
      <c r="AZ509" s="29" t="s">
        <v>928</v>
      </c>
      <c r="BA509" s="29">
        <v>1.0</v>
      </c>
      <c r="BB509" s="29">
        <v>2.0</v>
      </c>
      <c r="BC509" s="29" t="s">
        <v>929</v>
      </c>
      <c r="BD509" s="29"/>
      <c r="BE509" s="29"/>
      <c r="BF509" s="29" t="s">
        <v>1074</v>
      </c>
      <c r="BG509" s="29" t="s">
        <v>203</v>
      </c>
      <c r="BH509" s="29" t="s">
        <v>92</v>
      </c>
      <c r="BI509" s="29" t="s">
        <v>1075</v>
      </c>
      <c r="BJ509" s="29"/>
      <c r="BK509" s="29"/>
      <c r="BL509" s="29"/>
      <c r="BM509" s="45"/>
      <c r="BN509" s="45"/>
      <c r="BO509" s="46"/>
      <c r="BP509" s="2"/>
      <c r="BQ509" s="3"/>
    </row>
    <row r="510" ht="15.75" customHeight="1">
      <c r="A510" s="34">
        <v>511.0</v>
      </c>
      <c r="B510" s="34">
        <v>104278.0</v>
      </c>
      <c r="C510" s="34" t="s">
        <v>832</v>
      </c>
      <c r="D510" s="34" t="s">
        <v>1053</v>
      </c>
      <c r="E510" s="34" t="s">
        <v>1054</v>
      </c>
      <c r="F510" s="34">
        <v>2021.0</v>
      </c>
      <c r="G510" s="34" t="s">
        <v>1055</v>
      </c>
      <c r="H510" s="34" t="s">
        <v>1056</v>
      </c>
      <c r="I510" s="34" t="s">
        <v>1057</v>
      </c>
      <c r="J510" s="35"/>
      <c r="K510" s="36">
        <v>-6.11</v>
      </c>
      <c r="L510" s="36"/>
      <c r="M510" s="36"/>
      <c r="N510" s="36"/>
      <c r="O510" s="36"/>
      <c r="P510" s="37">
        <v>-13.25</v>
      </c>
      <c r="Q510" s="36" t="s">
        <v>191</v>
      </c>
      <c r="R510" s="36" t="s">
        <v>191</v>
      </c>
      <c r="S510" s="36" t="s">
        <v>928</v>
      </c>
      <c r="T510" s="36" t="s">
        <v>1058</v>
      </c>
      <c r="U510" s="36" t="s">
        <v>1059</v>
      </c>
      <c r="V510" s="36">
        <v>7984.0</v>
      </c>
      <c r="W510" s="36"/>
      <c r="X510" s="38">
        <v>167.0</v>
      </c>
      <c r="Y510" s="38" t="s">
        <v>1060</v>
      </c>
      <c r="Z510" s="38"/>
      <c r="AA510" s="38"/>
      <c r="AB510" s="38"/>
      <c r="AC510" s="38"/>
      <c r="AD510" s="38"/>
      <c r="AE510" s="38"/>
      <c r="AF510" s="38"/>
      <c r="AG510" s="38" t="s">
        <v>948</v>
      </c>
      <c r="AH510" s="38"/>
      <c r="AI510" s="50"/>
      <c r="AJ510" s="50"/>
      <c r="AK510" s="41"/>
      <c r="AL510" s="50"/>
      <c r="AM510" s="49"/>
      <c r="AN510" s="43"/>
      <c r="AO510" s="42"/>
      <c r="AP510" s="43"/>
      <c r="AQ510" s="44" t="str">
        <f t="shared" si="47"/>
        <v/>
      </c>
      <c r="AR510" s="44" t="str">
        <f t="shared" si="3"/>
        <v/>
      </c>
      <c r="AS510" s="44"/>
      <c r="AT510" s="44" t="str">
        <f t="shared" si="17"/>
        <v/>
      </c>
      <c r="AU510" s="44" t="str">
        <f t="shared" si="2"/>
        <v/>
      </c>
      <c r="AV510" s="38"/>
      <c r="AW510" s="38"/>
      <c r="AX510" s="38"/>
      <c r="AY510" s="38"/>
      <c r="AZ510" s="29" t="s">
        <v>928</v>
      </c>
      <c r="BA510" s="29">
        <v>1.0</v>
      </c>
      <c r="BB510" s="29">
        <v>2.0</v>
      </c>
      <c r="BC510" s="29" t="s">
        <v>931</v>
      </c>
      <c r="BD510" s="29"/>
      <c r="BE510" s="29"/>
      <c r="BF510" s="29" t="s">
        <v>1076</v>
      </c>
      <c r="BG510" s="29" t="s">
        <v>203</v>
      </c>
      <c r="BH510" s="29" t="s">
        <v>92</v>
      </c>
      <c r="BI510" s="29" t="s">
        <v>1075</v>
      </c>
      <c r="BJ510" s="29"/>
      <c r="BK510" s="29"/>
      <c r="BL510" s="29"/>
      <c r="BM510" s="45"/>
      <c r="BN510" s="45"/>
      <c r="BO510" s="46"/>
      <c r="BP510" s="2"/>
      <c r="BQ510" s="3"/>
    </row>
    <row r="511" ht="15.75" customHeight="1">
      <c r="A511" s="34">
        <v>512.0</v>
      </c>
      <c r="B511" s="34">
        <v>104278.0</v>
      </c>
      <c r="C511" s="34" t="s">
        <v>832</v>
      </c>
      <c r="D511" s="34" t="s">
        <v>1053</v>
      </c>
      <c r="E511" s="34" t="s">
        <v>1054</v>
      </c>
      <c r="F511" s="34">
        <v>2021.0</v>
      </c>
      <c r="G511" s="34" t="s">
        <v>1055</v>
      </c>
      <c r="H511" s="34" t="s">
        <v>1056</v>
      </c>
      <c r="I511" s="34" t="s">
        <v>1057</v>
      </c>
      <c r="J511" s="35"/>
      <c r="K511" s="36">
        <v>-14.81</v>
      </c>
      <c r="L511" s="36"/>
      <c r="M511" s="36"/>
      <c r="N511" s="36"/>
      <c r="O511" s="36"/>
      <c r="P511" s="37">
        <v>-30.54</v>
      </c>
      <c r="Q511" s="36" t="s">
        <v>191</v>
      </c>
      <c r="R511" s="36" t="s">
        <v>191</v>
      </c>
      <c r="S511" s="36">
        <v>500.0</v>
      </c>
      <c r="T511" s="36" t="s">
        <v>1058</v>
      </c>
      <c r="U511" s="36" t="s">
        <v>1059</v>
      </c>
      <c r="V511" s="36">
        <v>8295.0</v>
      </c>
      <c r="W511" s="36"/>
      <c r="X511" s="38">
        <v>167.0</v>
      </c>
      <c r="Y511" s="38" t="s">
        <v>1060</v>
      </c>
      <c r="Z511" s="38"/>
      <c r="AA511" s="38"/>
      <c r="AB511" s="38"/>
      <c r="AC511" s="38"/>
      <c r="AD511" s="38"/>
      <c r="AE511" s="38"/>
      <c r="AF511" s="38"/>
      <c r="AG511" s="38" t="s">
        <v>948</v>
      </c>
      <c r="AH511" s="38"/>
      <c r="AI511" s="50"/>
      <c r="AJ511" s="50"/>
      <c r="AK511" s="41"/>
      <c r="AL511" s="50"/>
      <c r="AM511" s="49"/>
      <c r="AN511" s="43"/>
      <c r="AO511" s="42"/>
      <c r="AP511" s="43"/>
      <c r="AQ511" s="44" t="str">
        <f t="shared" si="47"/>
        <v/>
      </c>
      <c r="AR511" s="44" t="str">
        <f t="shared" si="3"/>
        <v/>
      </c>
      <c r="AS511" s="44"/>
      <c r="AT511" s="44" t="str">
        <f t="shared" si="17"/>
        <v/>
      </c>
      <c r="AU511" s="44" t="str">
        <f t="shared" si="2"/>
        <v/>
      </c>
      <c r="AV511" s="38"/>
      <c r="AW511" s="38"/>
      <c r="AX511" s="38"/>
      <c r="AY511" s="38"/>
      <c r="AZ511" s="29">
        <v>500.0</v>
      </c>
      <c r="BA511" s="29">
        <v>1.0</v>
      </c>
      <c r="BB511" s="29">
        <v>2.0</v>
      </c>
      <c r="BC511" s="29" t="s">
        <v>1077</v>
      </c>
      <c r="BD511" s="29"/>
      <c r="BE511" s="29"/>
      <c r="BF511" s="29" t="s">
        <v>1078</v>
      </c>
      <c r="BG511" s="29" t="s">
        <v>220</v>
      </c>
      <c r="BH511" s="29" t="s">
        <v>92</v>
      </c>
      <c r="BI511" s="29" t="s">
        <v>1068</v>
      </c>
      <c r="BJ511" s="29"/>
      <c r="BK511" s="29" t="s">
        <v>148</v>
      </c>
      <c r="BL511" s="29"/>
      <c r="BM511" s="45"/>
      <c r="BN511" s="45"/>
      <c r="BO511" s="46"/>
      <c r="BP511" s="2"/>
      <c r="BQ511" s="3"/>
    </row>
    <row r="512" ht="15.75" customHeight="1">
      <c r="A512" s="34">
        <v>513.0</v>
      </c>
      <c r="B512" s="34">
        <v>104278.0</v>
      </c>
      <c r="C512" s="34" t="s">
        <v>832</v>
      </c>
      <c r="D512" s="34" t="s">
        <v>1053</v>
      </c>
      <c r="E512" s="34" t="s">
        <v>1054</v>
      </c>
      <c r="F512" s="34">
        <v>2021.0</v>
      </c>
      <c r="G512" s="34" t="s">
        <v>1055</v>
      </c>
      <c r="H512" s="34" t="s">
        <v>1056</v>
      </c>
      <c r="I512" s="34" t="s">
        <v>1057</v>
      </c>
      <c r="J512" s="35"/>
      <c r="K512" s="36">
        <v>6.44</v>
      </c>
      <c r="L512" s="36"/>
      <c r="M512" s="36"/>
      <c r="N512" s="36"/>
      <c r="O512" s="36"/>
      <c r="P512" s="37">
        <v>15.77</v>
      </c>
      <c r="Q512" s="36" t="s">
        <v>191</v>
      </c>
      <c r="R512" s="36" t="s">
        <v>191</v>
      </c>
      <c r="S512" s="36">
        <v>500.0</v>
      </c>
      <c r="T512" s="36" t="s">
        <v>1058</v>
      </c>
      <c r="U512" s="36" t="s">
        <v>1059</v>
      </c>
      <c r="V512" s="36">
        <v>3940.0</v>
      </c>
      <c r="W512" s="36"/>
      <c r="X512" s="38">
        <v>82.0</v>
      </c>
      <c r="Y512" s="38" t="s">
        <v>1060</v>
      </c>
      <c r="Z512" s="38"/>
      <c r="AA512" s="38"/>
      <c r="AB512" s="38"/>
      <c r="AC512" s="38"/>
      <c r="AD512" s="38"/>
      <c r="AE512" s="38"/>
      <c r="AF512" s="38"/>
      <c r="AG512" s="38" t="s">
        <v>1088</v>
      </c>
      <c r="AH512" s="38"/>
      <c r="AI512" s="50"/>
      <c r="AJ512" s="50"/>
      <c r="AK512" s="41"/>
      <c r="AL512" s="50"/>
      <c r="AM512" s="49"/>
      <c r="AN512" s="43"/>
      <c r="AO512" s="42"/>
      <c r="AP512" s="43"/>
      <c r="AQ512" s="44" t="str">
        <f t="shared" si="47"/>
        <v/>
      </c>
      <c r="AR512" s="44" t="str">
        <f t="shared" si="3"/>
        <v/>
      </c>
      <c r="AS512" s="44"/>
      <c r="AT512" s="44" t="str">
        <f t="shared" si="17"/>
        <v/>
      </c>
      <c r="AU512" s="44" t="str">
        <f t="shared" si="2"/>
        <v/>
      </c>
      <c r="AV512" s="38"/>
      <c r="AW512" s="38"/>
      <c r="AX512" s="38"/>
      <c r="AY512" s="38"/>
      <c r="AZ512" s="29">
        <v>500.0</v>
      </c>
      <c r="BA512" s="29">
        <v>1.0</v>
      </c>
      <c r="BB512" s="29">
        <v>2.0</v>
      </c>
      <c r="BC512" s="29" t="s">
        <v>1062</v>
      </c>
      <c r="BD512" s="29"/>
      <c r="BE512" s="29"/>
      <c r="BF512" s="29" t="s">
        <v>1062</v>
      </c>
      <c r="BG512" s="29" t="s">
        <v>220</v>
      </c>
      <c r="BH512" s="29" t="s">
        <v>92</v>
      </c>
      <c r="BI512" s="29" t="s">
        <v>1063</v>
      </c>
      <c r="BJ512" s="29"/>
      <c r="BK512" s="29" t="s">
        <v>148</v>
      </c>
      <c r="BL512" s="29"/>
      <c r="BM512" s="45"/>
      <c r="BN512" s="45"/>
      <c r="BO512" s="46"/>
      <c r="BP512" s="2"/>
      <c r="BQ512" s="3"/>
    </row>
    <row r="513" ht="15.75" customHeight="1">
      <c r="A513" s="34">
        <v>514.0</v>
      </c>
      <c r="B513" s="34">
        <v>104278.0</v>
      </c>
      <c r="C513" s="34" t="s">
        <v>832</v>
      </c>
      <c r="D513" s="34" t="s">
        <v>1053</v>
      </c>
      <c r="E513" s="34" t="s">
        <v>1054</v>
      </c>
      <c r="F513" s="34">
        <v>2021.0</v>
      </c>
      <c r="G513" s="34" t="s">
        <v>1055</v>
      </c>
      <c r="H513" s="34" t="s">
        <v>1056</v>
      </c>
      <c r="I513" s="34" t="s">
        <v>1057</v>
      </c>
      <c r="J513" s="35"/>
      <c r="K513" s="36">
        <v>6.03</v>
      </c>
      <c r="L513" s="36"/>
      <c r="M513" s="36"/>
      <c r="N513" s="36"/>
      <c r="O513" s="36"/>
      <c r="P513" s="37">
        <v>12.6</v>
      </c>
      <c r="Q513" s="36" t="s">
        <v>191</v>
      </c>
      <c r="R513" s="36" t="s">
        <v>191</v>
      </c>
      <c r="S513" s="36">
        <v>1000.0</v>
      </c>
      <c r="T513" s="36" t="s">
        <v>1058</v>
      </c>
      <c r="U513" s="36" t="s">
        <v>1059</v>
      </c>
      <c r="V513" s="36">
        <v>2738.0</v>
      </c>
      <c r="W513" s="36"/>
      <c r="X513" s="38">
        <v>82.0</v>
      </c>
      <c r="Y513" s="38" t="s">
        <v>1060</v>
      </c>
      <c r="Z513" s="38"/>
      <c r="AA513" s="38"/>
      <c r="AB513" s="38"/>
      <c r="AC513" s="38"/>
      <c r="AD513" s="38"/>
      <c r="AE513" s="38"/>
      <c r="AF513" s="38"/>
      <c r="AG513" s="38" t="s">
        <v>1088</v>
      </c>
      <c r="AH513" s="38"/>
      <c r="AI513" s="50"/>
      <c r="AJ513" s="50"/>
      <c r="AK513" s="41"/>
      <c r="AL513" s="50"/>
      <c r="AM513" s="49"/>
      <c r="AN513" s="43"/>
      <c r="AO513" s="42"/>
      <c r="AP513" s="43"/>
      <c r="AQ513" s="44" t="str">
        <f t="shared" si="47"/>
        <v/>
      </c>
      <c r="AR513" s="44" t="str">
        <f t="shared" si="3"/>
        <v/>
      </c>
      <c r="AS513" s="44"/>
      <c r="AT513" s="44" t="str">
        <f t="shared" si="17"/>
        <v/>
      </c>
      <c r="AU513" s="44" t="str">
        <f t="shared" si="2"/>
        <v/>
      </c>
      <c r="AV513" s="38"/>
      <c r="AW513" s="38"/>
      <c r="AX513" s="38"/>
      <c r="AY513" s="38"/>
      <c r="AZ513" s="29">
        <v>1000.0</v>
      </c>
      <c r="BA513" s="29">
        <v>1.0</v>
      </c>
      <c r="BB513" s="29">
        <v>2.0</v>
      </c>
      <c r="BC513" s="29" t="s">
        <v>802</v>
      </c>
      <c r="BD513" s="29"/>
      <c r="BE513" s="29"/>
      <c r="BF513" s="29" t="s">
        <v>826</v>
      </c>
      <c r="BG513" s="29" t="s">
        <v>220</v>
      </c>
      <c r="BH513" s="29" t="s">
        <v>92</v>
      </c>
      <c r="BI513" s="29" t="s">
        <v>1065</v>
      </c>
      <c r="BJ513" s="29"/>
      <c r="BK513" s="29" t="s">
        <v>148</v>
      </c>
      <c r="BL513" s="29"/>
      <c r="BM513" s="45"/>
      <c r="BN513" s="45"/>
      <c r="BO513" s="46"/>
      <c r="BP513" s="73"/>
      <c r="BQ513" s="17"/>
    </row>
    <row r="514" ht="15.75" customHeight="1">
      <c r="A514" s="34">
        <v>515.0</v>
      </c>
      <c r="B514" s="34">
        <v>104278.0</v>
      </c>
      <c r="C514" s="34" t="s">
        <v>832</v>
      </c>
      <c r="D514" s="34" t="s">
        <v>1053</v>
      </c>
      <c r="E514" s="34" t="s">
        <v>1054</v>
      </c>
      <c r="F514" s="34">
        <v>2021.0</v>
      </c>
      <c r="G514" s="34" t="s">
        <v>1055</v>
      </c>
      <c r="H514" s="34" t="s">
        <v>1056</v>
      </c>
      <c r="I514" s="34" t="s">
        <v>1057</v>
      </c>
      <c r="J514" s="35"/>
      <c r="K514" s="36">
        <v>1.57</v>
      </c>
      <c r="L514" s="36"/>
      <c r="M514" s="36"/>
      <c r="N514" s="36"/>
      <c r="O514" s="36"/>
      <c r="P514" s="37">
        <v>3.94</v>
      </c>
      <c r="Q514" s="36" t="s">
        <v>191</v>
      </c>
      <c r="R514" s="36" t="s">
        <v>191</v>
      </c>
      <c r="S514" s="36">
        <v>1000.0</v>
      </c>
      <c r="T514" s="36" t="s">
        <v>1058</v>
      </c>
      <c r="U514" s="36" t="s">
        <v>1059</v>
      </c>
      <c r="V514" s="36">
        <v>4140.0</v>
      </c>
      <c r="W514" s="36"/>
      <c r="X514" s="38">
        <v>82.0</v>
      </c>
      <c r="Y514" s="38" t="s">
        <v>1060</v>
      </c>
      <c r="Z514" s="38"/>
      <c r="AA514" s="38"/>
      <c r="AB514" s="38"/>
      <c r="AC514" s="38"/>
      <c r="AD514" s="38"/>
      <c r="AE514" s="38"/>
      <c r="AF514" s="38"/>
      <c r="AG514" s="38" t="s">
        <v>1088</v>
      </c>
      <c r="AH514" s="38"/>
      <c r="AI514" s="50"/>
      <c r="AJ514" s="50"/>
      <c r="AK514" s="41"/>
      <c r="AL514" s="50"/>
      <c r="AM514" s="49"/>
      <c r="AN514" s="43"/>
      <c r="AO514" s="42"/>
      <c r="AP514" s="43"/>
      <c r="AQ514" s="44" t="str">
        <f t="shared" si="47"/>
        <v/>
      </c>
      <c r="AR514" s="44" t="str">
        <f t="shared" si="3"/>
        <v/>
      </c>
      <c r="AS514" s="44"/>
      <c r="AT514" s="44" t="str">
        <f t="shared" si="17"/>
        <v/>
      </c>
      <c r="AU514" s="44" t="str">
        <f t="shared" si="2"/>
        <v/>
      </c>
      <c r="AV514" s="38"/>
      <c r="AW514" s="38"/>
      <c r="AX514" s="38"/>
      <c r="AY514" s="38"/>
      <c r="AZ514" s="29">
        <v>1000.0</v>
      </c>
      <c r="BA514" s="29">
        <v>1.0</v>
      </c>
      <c r="BB514" s="29">
        <v>2.0</v>
      </c>
      <c r="BC514" s="29" t="s">
        <v>1066</v>
      </c>
      <c r="BD514" s="29"/>
      <c r="BE514" s="29"/>
      <c r="BF514" s="29" t="s">
        <v>1067</v>
      </c>
      <c r="BG514" s="29" t="s">
        <v>220</v>
      </c>
      <c r="BH514" s="29" t="s">
        <v>92</v>
      </c>
      <c r="BI514" s="29" t="s">
        <v>1068</v>
      </c>
      <c r="BJ514" s="29"/>
      <c r="BK514" s="29" t="s">
        <v>148</v>
      </c>
      <c r="BL514" s="29"/>
      <c r="BM514" s="45"/>
      <c r="BN514" s="45"/>
      <c r="BO514" s="46"/>
      <c r="BP514" s="2"/>
      <c r="BQ514" s="3"/>
    </row>
    <row r="515" ht="15.75" customHeight="1">
      <c r="A515" s="34">
        <v>516.0</v>
      </c>
      <c r="B515" s="34">
        <v>104278.0</v>
      </c>
      <c r="C515" s="34" t="s">
        <v>832</v>
      </c>
      <c r="D515" s="34" t="s">
        <v>1053</v>
      </c>
      <c r="E515" s="34" t="s">
        <v>1054</v>
      </c>
      <c r="F515" s="34">
        <v>2021.0</v>
      </c>
      <c r="G515" s="34" t="s">
        <v>1055</v>
      </c>
      <c r="H515" s="34" t="s">
        <v>1056</v>
      </c>
      <c r="I515" s="34" t="s">
        <v>1057</v>
      </c>
      <c r="J515" s="35"/>
      <c r="K515" s="36">
        <v>-4.08</v>
      </c>
      <c r="L515" s="36"/>
      <c r="M515" s="36"/>
      <c r="N515" s="36"/>
      <c r="O515" s="36"/>
      <c r="P515" s="37">
        <v>-8.53</v>
      </c>
      <c r="Q515" s="36" t="s">
        <v>191</v>
      </c>
      <c r="R515" s="36" t="s">
        <v>191</v>
      </c>
      <c r="S515" s="36">
        <v>5000.0</v>
      </c>
      <c r="T515" s="36" t="s">
        <v>1058</v>
      </c>
      <c r="U515" s="36" t="s">
        <v>1059</v>
      </c>
      <c r="V515" s="36">
        <v>2913.0</v>
      </c>
      <c r="W515" s="36"/>
      <c r="X515" s="38">
        <v>82.0</v>
      </c>
      <c r="Y515" s="38" t="s">
        <v>1060</v>
      </c>
      <c r="Z515" s="38"/>
      <c r="AA515" s="38"/>
      <c r="AB515" s="38"/>
      <c r="AC515" s="38"/>
      <c r="AD515" s="38"/>
      <c r="AE515" s="38"/>
      <c r="AF515" s="38"/>
      <c r="AG515" s="38" t="s">
        <v>1088</v>
      </c>
      <c r="AH515" s="38"/>
      <c r="AI515" s="50"/>
      <c r="AJ515" s="50"/>
      <c r="AK515" s="41"/>
      <c r="AL515" s="50"/>
      <c r="AM515" s="49"/>
      <c r="AN515" s="43"/>
      <c r="AO515" s="42"/>
      <c r="AP515" s="43"/>
      <c r="AQ515" s="44" t="str">
        <f t="shared" si="47"/>
        <v/>
      </c>
      <c r="AR515" s="44" t="str">
        <f t="shared" si="3"/>
        <v/>
      </c>
      <c r="AS515" s="44"/>
      <c r="AT515" s="44" t="str">
        <f t="shared" si="17"/>
        <v/>
      </c>
      <c r="AU515" s="44" t="str">
        <f t="shared" si="2"/>
        <v/>
      </c>
      <c r="AV515" s="38"/>
      <c r="AW515" s="38"/>
      <c r="AX515" s="38"/>
      <c r="AY515" s="38"/>
      <c r="AZ515" s="29">
        <v>5000.0</v>
      </c>
      <c r="BA515" s="29">
        <v>1.0</v>
      </c>
      <c r="BB515" s="29">
        <v>2.0</v>
      </c>
      <c r="BC515" s="29" t="s">
        <v>936</v>
      </c>
      <c r="BD515" s="29"/>
      <c r="BE515" s="29"/>
      <c r="BF515" s="29" t="s">
        <v>1069</v>
      </c>
      <c r="BG515" s="29" t="s">
        <v>572</v>
      </c>
      <c r="BH515" s="29" t="s">
        <v>92</v>
      </c>
      <c r="BI515" s="29" t="s">
        <v>1070</v>
      </c>
      <c r="BJ515" s="29"/>
      <c r="BK515" s="29" t="s">
        <v>1071</v>
      </c>
      <c r="BL515" s="29"/>
      <c r="BM515" s="45"/>
      <c r="BN515" s="45"/>
      <c r="BO515" s="46"/>
      <c r="BP515" s="2"/>
      <c r="BQ515" s="3"/>
    </row>
    <row r="516" ht="15.75" customHeight="1">
      <c r="A516" s="34">
        <v>517.0</v>
      </c>
      <c r="B516" s="34">
        <v>104278.0</v>
      </c>
      <c r="C516" s="34" t="s">
        <v>832</v>
      </c>
      <c r="D516" s="34" t="s">
        <v>1053</v>
      </c>
      <c r="E516" s="34" t="s">
        <v>1054</v>
      </c>
      <c r="F516" s="34">
        <v>2021.0</v>
      </c>
      <c r="G516" s="34" t="s">
        <v>1055</v>
      </c>
      <c r="H516" s="34" t="s">
        <v>1056</v>
      </c>
      <c r="I516" s="34" t="s">
        <v>1057</v>
      </c>
      <c r="J516" s="35"/>
      <c r="K516" s="36">
        <v>5.97</v>
      </c>
      <c r="L516" s="36"/>
      <c r="M516" s="36"/>
      <c r="N516" s="36"/>
      <c r="O516" s="36"/>
      <c r="P516" s="37">
        <v>15.13</v>
      </c>
      <c r="Q516" s="36" t="s">
        <v>191</v>
      </c>
      <c r="R516" s="36" t="s">
        <v>191</v>
      </c>
      <c r="S516" s="36">
        <v>8000.0</v>
      </c>
      <c r="T516" s="36" t="s">
        <v>1058</v>
      </c>
      <c r="U516" s="36" t="s">
        <v>1059</v>
      </c>
      <c r="V516" s="36">
        <v>4113.0</v>
      </c>
      <c r="W516" s="36"/>
      <c r="X516" s="38">
        <v>82.0</v>
      </c>
      <c r="Y516" s="38" t="s">
        <v>1060</v>
      </c>
      <c r="Z516" s="38"/>
      <c r="AA516" s="38"/>
      <c r="AB516" s="38"/>
      <c r="AC516" s="38"/>
      <c r="AD516" s="38"/>
      <c r="AE516" s="38"/>
      <c r="AF516" s="38"/>
      <c r="AG516" s="38" t="s">
        <v>1088</v>
      </c>
      <c r="AH516" s="38"/>
      <c r="AI516" s="50"/>
      <c r="AJ516" s="50"/>
      <c r="AK516" s="41"/>
      <c r="AL516" s="50"/>
      <c r="AM516" s="49"/>
      <c r="AN516" s="43"/>
      <c r="AO516" s="42"/>
      <c r="AP516" s="43"/>
      <c r="AQ516" s="44" t="str">
        <f t="shared" si="47"/>
        <v/>
      </c>
      <c r="AR516" s="44" t="str">
        <f t="shared" si="3"/>
        <v/>
      </c>
      <c r="AS516" s="44"/>
      <c r="AT516" s="44" t="str">
        <f t="shared" si="17"/>
        <v/>
      </c>
      <c r="AU516" s="44" t="str">
        <f t="shared" si="2"/>
        <v/>
      </c>
      <c r="AV516" s="38"/>
      <c r="AW516" s="38"/>
      <c r="AX516" s="38"/>
      <c r="AY516" s="38"/>
      <c r="AZ516" s="29">
        <v>8000.0</v>
      </c>
      <c r="BA516" s="29">
        <v>1.0</v>
      </c>
      <c r="BB516" s="29">
        <v>2.0</v>
      </c>
      <c r="BC516" s="29" t="s">
        <v>933</v>
      </c>
      <c r="BD516" s="29"/>
      <c r="BE516" s="29"/>
      <c r="BF516" s="29" t="s">
        <v>1072</v>
      </c>
      <c r="BG516" s="29" t="s">
        <v>220</v>
      </c>
      <c r="BH516" s="29" t="s">
        <v>92</v>
      </c>
      <c r="BI516" s="29" t="s">
        <v>1073</v>
      </c>
      <c r="BJ516" s="29"/>
      <c r="BK516" s="29" t="s">
        <v>681</v>
      </c>
      <c r="BL516" s="29"/>
      <c r="BM516" s="45"/>
      <c r="BN516" s="45"/>
      <c r="BO516" s="46"/>
      <c r="BP516" s="2"/>
      <c r="BQ516" s="3"/>
    </row>
    <row r="517" ht="15.75" customHeight="1">
      <c r="A517" s="34">
        <v>518.0</v>
      </c>
      <c r="B517" s="34">
        <v>104278.0</v>
      </c>
      <c r="C517" s="34" t="s">
        <v>832</v>
      </c>
      <c r="D517" s="34" t="s">
        <v>1053</v>
      </c>
      <c r="E517" s="34" t="s">
        <v>1054</v>
      </c>
      <c r="F517" s="34">
        <v>2021.0</v>
      </c>
      <c r="G517" s="34" t="s">
        <v>1055</v>
      </c>
      <c r="H517" s="34" t="s">
        <v>1056</v>
      </c>
      <c r="I517" s="34" t="s">
        <v>1057</v>
      </c>
      <c r="J517" s="35"/>
      <c r="K517" s="36">
        <v>3.51</v>
      </c>
      <c r="L517" s="36"/>
      <c r="M517" s="36"/>
      <c r="N517" s="36"/>
      <c r="O517" s="36"/>
      <c r="P517" s="37">
        <v>8.37</v>
      </c>
      <c r="Q517" s="36" t="s">
        <v>191</v>
      </c>
      <c r="R517" s="36" t="s">
        <v>191</v>
      </c>
      <c r="S517" s="36" t="s">
        <v>928</v>
      </c>
      <c r="T517" s="36" t="s">
        <v>1058</v>
      </c>
      <c r="U517" s="36" t="s">
        <v>1059</v>
      </c>
      <c r="V517" s="36">
        <v>4226.0</v>
      </c>
      <c r="W517" s="36"/>
      <c r="X517" s="38">
        <v>82.0</v>
      </c>
      <c r="Y517" s="38" t="s">
        <v>1060</v>
      </c>
      <c r="Z517" s="38"/>
      <c r="AA517" s="38"/>
      <c r="AB517" s="38"/>
      <c r="AC517" s="38"/>
      <c r="AD517" s="38"/>
      <c r="AE517" s="38"/>
      <c r="AF517" s="38"/>
      <c r="AG517" s="38" t="s">
        <v>1088</v>
      </c>
      <c r="AH517" s="38"/>
      <c r="AI517" s="50"/>
      <c r="AJ517" s="50"/>
      <c r="AK517" s="41"/>
      <c r="AL517" s="50"/>
      <c r="AM517" s="49"/>
      <c r="AN517" s="43"/>
      <c r="AO517" s="42"/>
      <c r="AP517" s="43"/>
      <c r="AQ517" s="44" t="str">
        <f t="shared" si="47"/>
        <v/>
      </c>
      <c r="AR517" s="44" t="str">
        <f t="shared" si="3"/>
        <v/>
      </c>
      <c r="AS517" s="44"/>
      <c r="AT517" s="44" t="str">
        <f t="shared" si="17"/>
        <v/>
      </c>
      <c r="AU517" s="44" t="str">
        <f t="shared" si="2"/>
        <v/>
      </c>
      <c r="AV517" s="38"/>
      <c r="AW517" s="38"/>
      <c r="AX517" s="38"/>
      <c r="AY517" s="38"/>
      <c r="AZ517" s="29" t="s">
        <v>928</v>
      </c>
      <c r="BA517" s="29">
        <v>1.0</v>
      </c>
      <c r="BB517" s="29">
        <v>2.0</v>
      </c>
      <c r="BC517" s="29" t="s">
        <v>929</v>
      </c>
      <c r="BD517" s="29"/>
      <c r="BE517" s="29"/>
      <c r="BF517" s="29" t="s">
        <v>1074</v>
      </c>
      <c r="BG517" s="29" t="s">
        <v>203</v>
      </c>
      <c r="BH517" s="29" t="s">
        <v>92</v>
      </c>
      <c r="BI517" s="29" t="s">
        <v>1075</v>
      </c>
      <c r="BJ517" s="29"/>
      <c r="BK517" s="29"/>
      <c r="BL517" s="29"/>
      <c r="BM517" s="45"/>
      <c r="BN517" s="45"/>
      <c r="BO517" s="46"/>
      <c r="BP517" s="2"/>
      <c r="BQ517" s="3"/>
    </row>
    <row r="518" ht="15.75" customHeight="1">
      <c r="A518" s="34">
        <v>519.0</v>
      </c>
      <c r="B518" s="34">
        <v>104278.0</v>
      </c>
      <c r="C518" s="34" t="s">
        <v>832</v>
      </c>
      <c r="D518" s="34" t="s">
        <v>1053</v>
      </c>
      <c r="E518" s="34" t="s">
        <v>1054</v>
      </c>
      <c r="F518" s="34">
        <v>2021.0</v>
      </c>
      <c r="G518" s="34" t="s">
        <v>1055</v>
      </c>
      <c r="H518" s="34" t="s">
        <v>1056</v>
      </c>
      <c r="I518" s="34" t="s">
        <v>1057</v>
      </c>
      <c r="J518" s="35"/>
      <c r="K518" s="36">
        <v>5.02</v>
      </c>
      <c r="L518" s="36"/>
      <c r="M518" s="36"/>
      <c r="N518" s="36"/>
      <c r="O518" s="36"/>
      <c r="P518" s="37">
        <v>12.19</v>
      </c>
      <c r="Q518" s="36" t="s">
        <v>191</v>
      </c>
      <c r="R518" s="36" t="s">
        <v>191</v>
      </c>
      <c r="S518" s="36" t="s">
        <v>928</v>
      </c>
      <c r="T518" s="36" t="s">
        <v>1058</v>
      </c>
      <c r="U518" s="36" t="s">
        <v>1059</v>
      </c>
      <c r="V518" s="36">
        <v>3856.0</v>
      </c>
      <c r="W518" s="36"/>
      <c r="X518" s="38">
        <v>82.0</v>
      </c>
      <c r="Y518" s="38" t="s">
        <v>1060</v>
      </c>
      <c r="Z518" s="38"/>
      <c r="AA518" s="38"/>
      <c r="AB518" s="38"/>
      <c r="AC518" s="38"/>
      <c r="AD518" s="38"/>
      <c r="AE518" s="38"/>
      <c r="AF518" s="38"/>
      <c r="AG518" s="38" t="s">
        <v>1088</v>
      </c>
      <c r="AH518" s="38"/>
      <c r="AI518" s="50"/>
      <c r="AJ518" s="50"/>
      <c r="AK518" s="41"/>
      <c r="AL518" s="50"/>
      <c r="AM518" s="49"/>
      <c r="AN518" s="43"/>
      <c r="AO518" s="42"/>
      <c r="AP518" s="43"/>
      <c r="AQ518" s="44" t="str">
        <f t="shared" si="47"/>
        <v/>
      </c>
      <c r="AR518" s="44" t="str">
        <f t="shared" si="3"/>
        <v/>
      </c>
      <c r="AS518" s="44"/>
      <c r="AT518" s="44" t="str">
        <f t="shared" si="17"/>
        <v/>
      </c>
      <c r="AU518" s="44" t="str">
        <f t="shared" si="2"/>
        <v/>
      </c>
      <c r="AV518" s="38"/>
      <c r="AW518" s="38"/>
      <c r="AX518" s="38"/>
      <c r="AY518" s="38"/>
      <c r="AZ518" s="29" t="s">
        <v>928</v>
      </c>
      <c r="BA518" s="29">
        <v>1.0</v>
      </c>
      <c r="BB518" s="29">
        <v>2.0</v>
      </c>
      <c r="BC518" s="29" t="s">
        <v>931</v>
      </c>
      <c r="BD518" s="29"/>
      <c r="BE518" s="29"/>
      <c r="BF518" s="29" t="s">
        <v>1076</v>
      </c>
      <c r="BG518" s="29" t="s">
        <v>203</v>
      </c>
      <c r="BH518" s="29" t="s">
        <v>92</v>
      </c>
      <c r="BI518" s="29" t="s">
        <v>1075</v>
      </c>
      <c r="BJ518" s="29"/>
      <c r="BK518" s="29"/>
      <c r="BL518" s="29"/>
      <c r="BM518" s="45"/>
      <c r="BN518" s="45"/>
      <c r="BO518" s="46"/>
      <c r="BP518" s="73"/>
      <c r="BQ518" s="17"/>
    </row>
    <row r="519" ht="15.75" customHeight="1">
      <c r="A519" s="34">
        <v>520.0</v>
      </c>
      <c r="B519" s="34">
        <v>104278.0</v>
      </c>
      <c r="C519" s="34" t="s">
        <v>832</v>
      </c>
      <c r="D519" s="34" t="s">
        <v>1053</v>
      </c>
      <c r="E519" s="34" t="s">
        <v>1054</v>
      </c>
      <c r="F519" s="34">
        <v>2021.0</v>
      </c>
      <c r="G519" s="34" t="s">
        <v>1055</v>
      </c>
      <c r="H519" s="34" t="s">
        <v>1056</v>
      </c>
      <c r="I519" s="34" t="s">
        <v>1057</v>
      </c>
      <c r="J519" s="35"/>
      <c r="K519" s="36">
        <v>-4.81</v>
      </c>
      <c r="L519" s="36"/>
      <c r="M519" s="36"/>
      <c r="N519" s="36"/>
      <c r="O519" s="36"/>
      <c r="P519" s="37">
        <v>-10.37</v>
      </c>
      <c r="Q519" s="36" t="s">
        <v>191</v>
      </c>
      <c r="R519" s="36" t="s">
        <v>191</v>
      </c>
      <c r="S519" s="36">
        <v>500.0</v>
      </c>
      <c r="T519" s="36" t="s">
        <v>1058</v>
      </c>
      <c r="U519" s="36" t="s">
        <v>1059</v>
      </c>
      <c r="V519" s="36">
        <v>3335.0</v>
      </c>
      <c r="W519" s="36"/>
      <c r="X519" s="38">
        <v>82.0</v>
      </c>
      <c r="Y519" s="38" t="s">
        <v>1060</v>
      </c>
      <c r="Z519" s="38"/>
      <c r="AA519" s="38"/>
      <c r="AB519" s="38"/>
      <c r="AC519" s="38"/>
      <c r="AD519" s="38"/>
      <c r="AE519" s="38"/>
      <c r="AF519" s="38"/>
      <c r="AG519" s="38" t="s">
        <v>1088</v>
      </c>
      <c r="AH519" s="38"/>
      <c r="AI519" s="50"/>
      <c r="AJ519" s="50"/>
      <c r="AK519" s="41"/>
      <c r="AL519" s="50"/>
      <c r="AM519" s="49"/>
      <c r="AN519" s="43"/>
      <c r="AO519" s="42"/>
      <c r="AP519" s="43"/>
      <c r="AQ519" s="44" t="str">
        <f t="shared" si="47"/>
        <v/>
      </c>
      <c r="AR519" s="44" t="str">
        <f t="shared" si="3"/>
        <v/>
      </c>
      <c r="AS519" s="44"/>
      <c r="AT519" s="44" t="str">
        <f t="shared" si="17"/>
        <v/>
      </c>
      <c r="AU519" s="44" t="str">
        <f t="shared" si="2"/>
        <v/>
      </c>
      <c r="AV519" s="38"/>
      <c r="AW519" s="38"/>
      <c r="AX519" s="38"/>
      <c r="AY519" s="38"/>
      <c r="AZ519" s="29">
        <v>500.0</v>
      </c>
      <c r="BA519" s="29">
        <v>1.0</v>
      </c>
      <c r="BB519" s="29">
        <v>2.0</v>
      </c>
      <c r="BC519" s="29" t="s">
        <v>1077</v>
      </c>
      <c r="BD519" s="29"/>
      <c r="BE519" s="29"/>
      <c r="BF519" s="29" t="s">
        <v>1078</v>
      </c>
      <c r="BG519" s="29" t="s">
        <v>220</v>
      </c>
      <c r="BH519" s="29" t="s">
        <v>92</v>
      </c>
      <c r="BI519" s="29" t="s">
        <v>1068</v>
      </c>
      <c r="BJ519" s="29"/>
      <c r="BK519" s="29" t="s">
        <v>148</v>
      </c>
      <c r="BL519" s="29"/>
      <c r="BM519" s="45"/>
      <c r="BN519" s="45"/>
      <c r="BO519" s="46"/>
      <c r="BP519" s="2"/>
      <c r="BQ519" s="3"/>
    </row>
    <row r="520" ht="15.75" customHeight="1">
      <c r="A520" s="34">
        <v>521.0</v>
      </c>
      <c r="B520" s="34">
        <v>104278.0</v>
      </c>
      <c r="C520" s="34" t="s">
        <v>832</v>
      </c>
      <c r="D520" s="34" t="s">
        <v>1053</v>
      </c>
      <c r="E520" s="34" t="s">
        <v>1054</v>
      </c>
      <c r="F520" s="34">
        <v>2021.0</v>
      </c>
      <c r="G520" s="34" t="s">
        <v>1055</v>
      </c>
      <c r="H520" s="34" t="s">
        <v>1056</v>
      </c>
      <c r="I520" s="34" t="s">
        <v>1057</v>
      </c>
      <c r="J520" s="35"/>
      <c r="K520" s="36">
        <v>-0.7</v>
      </c>
      <c r="L520" s="36"/>
      <c r="M520" s="36"/>
      <c r="N520" s="36"/>
      <c r="O520" s="36"/>
      <c r="P520" s="37">
        <v>-1.42</v>
      </c>
      <c r="Q520" s="36" t="s">
        <v>191</v>
      </c>
      <c r="R520" s="36" t="s">
        <v>191</v>
      </c>
      <c r="S520" s="36">
        <v>500.0</v>
      </c>
      <c r="T520" s="36" t="s">
        <v>1058</v>
      </c>
      <c r="U520" s="36" t="s">
        <v>1059</v>
      </c>
      <c r="V520" s="36">
        <v>20815.0</v>
      </c>
      <c r="W520" s="36"/>
      <c r="X520" s="38">
        <v>361.0</v>
      </c>
      <c r="Y520" s="38" t="s">
        <v>1060</v>
      </c>
      <c r="Z520" s="38"/>
      <c r="AA520" s="38"/>
      <c r="AB520" s="38"/>
      <c r="AC520" s="38"/>
      <c r="AD520" s="38"/>
      <c r="AE520" s="38"/>
      <c r="AF520" s="38"/>
      <c r="AG520" s="38" t="s">
        <v>1089</v>
      </c>
      <c r="AH520" s="38"/>
      <c r="AI520" s="50"/>
      <c r="AJ520" s="50"/>
      <c r="AK520" s="41"/>
      <c r="AL520" s="50"/>
      <c r="AM520" s="49"/>
      <c r="AN520" s="43"/>
      <c r="AO520" s="42"/>
      <c r="AP520" s="43"/>
      <c r="AQ520" s="44" t="str">
        <f t="shared" si="47"/>
        <v/>
      </c>
      <c r="AR520" s="44" t="str">
        <f t="shared" si="3"/>
        <v/>
      </c>
      <c r="AS520" s="44"/>
      <c r="AT520" s="44" t="str">
        <f t="shared" si="17"/>
        <v/>
      </c>
      <c r="AU520" s="44" t="str">
        <f t="shared" si="2"/>
        <v/>
      </c>
      <c r="AV520" s="38"/>
      <c r="AW520" s="38"/>
      <c r="AX520" s="38"/>
      <c r="AY520" s="38"/>
      <c r="AZ520" s="29">
        <v>500.0</v>
      </c>
      <c r="BA520" s="29">
        <v>1.0</v>
      </c>
      <c r="BB520" s="29">
        <v>2.0</v>
      </c>
      <c r="BC520" s="29" t="s">
        <v>1062</v>
      </c>
      <c r="BD520" s="29"/>
      <c r="BE520" s="29"/>
      <c r="BF520" s="29" t="s">
        <v>1062</v>
      </c>
      <c r="BG520" s="29" t="s">
        <v>220</v>
      </c>
      <c r="BH520" s="29" t="s">
        <v>92</v>
      </c>
      <c r="BI520" s="29" t="s">
        <v>1063</v>
      </c>
      <c r="BJ520" s="29"/>
      <c r="BK520" s="29" t="s">
        <v>148</v>
      </c>
      <c r="BL520" s="29"/>
      <c r="BM520" s="45"/>
      <c r="BN520" s="45"/>
      <c r="BO520" s="46"/>
      <c r="BP520" s="2"/>
      <c r="BQ520" s="3"/>
    </row>
    <row r="521" ht="15.75" customHeight="1">
      <c r="A521" s="34">
        <v>522.0</v>
      </c>
      <c r="B521" s="34">
        <v>104278.0</v>
      </c>
      <c r="C521" s="34" t="s">
        <v>832</v>
      </c>
      <c r="D521" s="34" t="s">
        <v>1053</v>
      </c>
      <c r="E521" s="34" t="s">
        <v>1054</v>
      </c>
      <c r="F521" s="34">
        <v>2021.0</v>
      </c>
      <c r="G521" s="34" t="s">
        <v>1055</v>
      </c>
      <c r="H521" s="34" t="s">
        <v>1056</v>
      </c>
      <c r="I521" s="34" t="s">
        <v>1057</v>
      </c>
      <c r="J521" s="35"/>
      <c r="K521" s="36">
        <v>2.03</v>
      </c>
      <c r="L521" s="36"/>
      <c r="M521" s="36"/>
      <c r="N521" s="36"/>
      <c r="O521" s="36"/>
      <c r="P521" s="37">
        <v>3.87</v>
      </c>
      <c r="Q521" s="36" t="s">
        <v>191</v>
      </c>
      <c r="R521" s="36" t="s">
        <v>191</v>
      </c>
      <c r="S521" s="36">
        <v>1000.0</v>
      </c>
      <c r="T521" s="36" t="s">
        <v>1058</v>
      </c>
      <c r="U521" s="36" t="s">
        <v>1059</v>
      </c>
      <c r="V521" s="36">
        <v>18795.0</v>
      </c>
      <c r="W521" s="36"/>
      <c r="X521" s="38">
        <v>361.0</v>
      </c>
      <c r="Y521" s="38" t="s">
        <v>1060</v>
      </c>
      <c r="Z521" s="38"/>
      <c r="AA521" s="38"/>
      <c r="AB521" s="38"/>
      <c r="AC521" s="38"/>
      <c r="AD521" s="38"/>
      <c r="AE521" s="38"/>
      <c r="AF521" s="38"/>
      <c r="AG521" s="38" t="s">
        <v>1089</v>
      </c>
      <c r="AH521" s="38"/>
      <c r="AI521" s="50"/>
      <c r="AJ521" s="50"/>
      <c r="AK521" s="41"/>
      <c r="AL521" s="50"/>
      <c r="AM521" s="49"/>
      <c r="AN521" s="43"/>
      <c r="AO521" s="42"/>
      <c r="AP521" s="43"/>
      <c r="AQ521" s="44" t="str">
        <f t="shared" si="47"/>
        <v/>
      </c>
      <c r="AR521" s="44" t="str">
        <f t="shared" si="3"/>
        <v/>
      </c>
      <c r="AS521" s="44"/>
      <c r="AT521" s="44" t="str">
        <f t="shared" si="17"/>
        <v/>
      </c>
      <c r="AU521" s="44" t="str">
        <f t="shared" si="2"/>
        <v/>
      </c>
      <c r="AV521" s="38"/>
      <c r="AW521" s="38"/>
      <c r="AX521" s="38"/>
      <c r="AY521" s="38"/>
      <c r="AZ521" s="29">
        <v>1000.0</v>
      </c>
      <c r="BA521" s="29">
        <v>1.0</v>
      </c>
      <c r="BB521" s="29">
        <v>2.0</v>
      </c>
      <c r="BC521" s="29" t="s">
        <v>802</v>
      </c>
      <c r="BD521" s="29"/>
      <c r="BE521" s="29"/>
      <c r="BF521" s="29" t="s">
        <v>826</v>
      </c>
      <c r="BG521" s="29" t="s">
        <v>220</v>
      </c>
      <c r="BH521" s="29" t="s">
        <v>92</v>
      </c>
      <c r="BI521" s="29" t="s">
        <v>1065</v>
      </c>
      <c r="BJ521" s="29"/>
      <c r="BK521" s="29" t="s">
        <v>148</v>
      </c>
      <c r="BL521" s="29"/>
      <c r="BM521" s="45"/>
      <c r="BN521" s="45"/>
      <c r="BO521" s="46"/>
      <c r="BP521" s="2"/>
      <c r="BQ521" s="3"/>
    </row>
    <row r="522" ht="15.75" customHeight="1">
      <c r="A522" s="34">
        <v>523.0</v>
      </c>
      <c r="B522" s="34">
        <v>104278.0</v>
      </c>
      <c r="C522" s="34" t="s">
        <v>832</v>
      </c>
      <c r="D522" s="34" t="s">
        <v>1053</v>
      </c>
      <c r="E522" s="34" t="s">
        <v>1054</v>
      </c>
      <c r="F522" s="34">
        <v>2021.0</v>
      </c>
      <c r="G522" s="34" t="s">
        <v>1055</v>
      </c>
      <c r="H522" s="34" t="s">
        <v>1056</v>
      </c>
      <c r="I522" s="34" t="s">
        <v>1057</v>
      </c>
      <c r="J522" s="35"/>
      <c r="K522" s="36">
        <v>6.23</v>
      </c>
      <c r="L522" s="36"/>
      <c r="M522" s="36"/>
      <c r="N522" s="36"/>
      <c r="O522" s="36"/>
      <c r="P522" s="37">
        <v>12.89</v>
      </c>
      <c r="Q522" s="36" t="s">
        <v>191</v>
      </c>
      <c r="R522" s="36" t="s">
        <v>191</v>
      </c>
      <c r="S522" s="36">
        <v>1000.0</v>
      </c>
      <c r="T522" s="36" t="s">
        <v>1058</v>
      </c>
      <c r="U522" s="36" t="s">
        <v>1059</v>
      </c>
      <c r="V522" s="36">
        <v>19491.0</v>
      </c>
      <c r="W522" s="36"/>
      <c r="X522" s="38">
        <v>361.0</v>
      </c>
      <c r="Y522" s="38" t="s">
        <v>1060</v>
      </c>
      <c r="Z522" s="38"/>
      <c r="AA522" s="38"/>
      <c r="AB522" s="38"/>
      <c r="AC522" s="38"/>
      <c r="AD522" s="38"/>
      <c r="AE522" s="38"/>
      <c r="AF522" s="38"/>
      <c r="AG522" s="38" t="s">
        <v>1089</v>
      </c>
      <c r="AH522" s="38"/>
      <c r="AI522" s="50"/>
      <c r="AJ522" s="50"/>
      <c r="AK522" s="41"/>
      <c r="AL522" s="50"/>
      <c r="AM522" s="49"/>
      <c r="AN522" s="43"/>
      <c r="AO522" s="42"/>
      <c r="AP522" s="43"/>
      <c r="AQ522" s="44" t="str">
        <f t="shared" si="47"/>
        <v/>
      </c>
      <c r="AR522" s="44" t="str">
        <f t="shared" si="3"/>
        <v/>
      </c>
      <c r="AS522" s="44"/>
      <c r="AT522" s="44" t="str">
        <f t="shared" si="17"/>
        <v/>
      </c>
      <c r="AU522" s="44" t="str">
        <f t="shared" si="2"/>
        <v/>
      </c>
      <c r="AV522" s="38"/>
      <c r="AW522" s="38"/>
      <c r="AX522" s="38"/>
      <c r="AY522" s="38"/>
      <c r="AZ522" s="29">
        <v>1000.0</v>
      </c>
      <c r="BA522" s="29">
        <v>1.0</v>
      </c>
      <c r="BB522" s="29">
        <v>2.0</v>
      </c>
      <c r="BC522" s="29" t="s">
        <v>1066</v>
      </c>
      <c r="BD522" s="29"/>
      <c r="BE522" s="29"/>
      <c r="BF522" s="29" t="s">
        <v>1067</v>
      </c>
      <c r="BG522" s="29" t="s">
        <v>220</v>
      </c>
      <c r="BH522" s="29" t="s">
        <v>92</v>
      </c>
      <c r="BI522" s="29" t="s">
        <v>1068</v>
      </c>
      <c r="BJ522" s="29"/>
      <c r="BK522" s="29" t="s">
        <v>148</v>
      </c>
      <c r="BL522" s="29"/>
      <c r="BM522" s="45"/>
      <c r="BN522" s="45"/>
      <c r="BO522" s="46"/>
      <c r="BP522" s="2"/>
      <c r="BQ522" s="3"/>
    </row>
    <row r="523" ht="15.75" customHeight="1">
      <c r="A523" s="34">
        <v>524.0</v>
      </c>
      <c r="B523" s="34">
        <v>104278.0</v>
      </c>
      <c r="C523" s="34" t="s">
        <v>832</v>
      </c>
      <c r="D523" s="34" t="s">
        <v>1053</v>
      </c>
      <c r="E523" s="34" t="s">
        <v>1054</v>
      </c>
      <c r="F523" s="34">
        <v>2021.0</v>
      </c>
      <c r="G523" s="34" t="s">
        <v>1055</v>
      </c>
      <c r="H523" s="34" t="s">
        <v>1056</v>
      </c>
      <c r="I523" s="34" t="s">
        <v>1057</v>
      </c>
      <c r="J523" s="35"/>
      <c r="K523" s="36">
        <v>-1.96</v>
      </c>
      <c r="L523" s="36"/>
      <c r="M523" s="36"/>
      <c r="N523" s="36"/>
      <c r="O523" s="36"/>
      <c r="P523" s="37">
        <v>-3.61</v>
      </c>
      <c r="Q523" s="36" t="s">
        <v>191</v>
      </c>
      <c r="R523" s="36" t="s">
        <v>191</v>
      </c>
      <c r="S523" s="36">
        <v>5000.0</v>
      </c>
      <c r="T523" s="36" t="s">
        <v>1058</v>
      </c>
      <c r="U523" s="36" t="s">
        <v>1059</v>
      </c>
      <c r="V523" s="36">
        <v>16831.0</v>
      </c>
      <c r="W523" s="36"/>
      <c r="X523" s="38">
        <v>361.0</v>
      </c>
      <c r="Y523" s="38" t="s">
        <v>1060</v>
      </c>
      <c r="Z523" s="38"/>
      <c r="AA523" s="38"/>
      <c r="AB523" s="38"/>
      <c r="AC523" s="38"/>
      <c r="AD523" s="38"/>
      <c r="AE523" s="38"/>
      <c r="AF523" s="38"/>
      <c r="AG523" s="38" t="s">
        <v>1089</v>
      </c>
      <c r="AH523" s="38"/>
      <c r="AI523" s="50"/>
      <c r="AJ523" s="50"/>
      <c r="AK523" s="41"/>
      <c r="AL523" s="50"/>
      <c r="AM523" s="49"/>
      <c r="AN523" s="43"/>
      <c r="AO523" s="42"/>
      <c r="AP523" s="43"/>
      <c r="AQ523" s="44" t="str">
        <f t="shared" si="47"/>
        <v/>
      </c>
      <c r="AR523" s="44" t="str">
        <f t="shared" si="3"/>
        <v/>
      </c>
      <c r="AS523" s="44"/>
      <c r="AT523" s="44" t="str">
        <f t="shared" si="17"/>
        <v/>
      </c>
      <c r="AU523" s="44" t="str">
        <f t="shared" si="2"/>
        <v/>
      </c>
      <c r="AV523" s="38"/>
      <c r="AW523" s="38"/>
      <c r="AX523" s="38"/>
      <c r="AY523" s="38"/>
      <c r="AZ523" s="29">
        <v>5000.0</v>
      </c>
      <c r="BA523" s="29">
        <v>1.0</v>
      </c>
      <c r="BB523" s="29">
        <v>2.0</v>
      </c>
      <c r="BC523" s="29" t="s">
        <v>936</v>
      </c>
      <c r="BD523" s="29"/>
      <c r="BE523" s="29"/>
      <c r="BF523" s="29" t="s">
        <v>1069</v>
      </c>
      <c r="BG523" s="29" t="s">
        <v>572</v>
      </c>
      <c r="BH523" s="29" t="s">
        <v>92</v>
      </c>
      <c r="BI523" s="29" t="s">
        <v>1070</v>
      </c>
      <c r="BJ523" s="29"/>
      <c r="BK523" s="29" t="s">
        <v>1071</v>
      </c>
      <c r="BL523" s="29"/>
      <c r="BM523" s="45"/>
      <c r="BN523" s="45"/>
      <c r="BO523" s="46"/>
      <c r="BP523" s="2"/>
      <c r="BQ523" s="3"/>
    </row>
    <row r="524" ht="15.75" customHeight="1">
      <c r="A524" s="34">
        <v>525.0</v>
      </c>
      <c r="B524" s="34">
        <v>104278.0</v>
      </c>
      <c r="C524" s="34" t="s">
        <v>832</v>
      </c>
      <c r="D524" s="34" t="s">
        <v>1053</v>
      </c>
      <c r="E524" s="34" t="s">
        <v>1054</v>
      </c>
      <c r="F524" s="34">
        <v>2021.0</v>
      </c>
      <c r="G524" s="34" t="s">
        <v>1055</v>
      </c>
      <c r="H524" s="34" t="s">
        <v>1056</v>
      </c>
      <c r="I524" s="34" t="s">
        <v>1057</v>
      </c>
      <c r="J524" s="35"/>
      <c r="K524" s="36">
        <v>5.24</v>
      </c>
      <c r="L524" s="36"/>
      <c r="M524" s="36"/>
      <c r="N524" s="36"/>
      <c r="O524" s="36"/>
      <c r="P524" s="37">
        <v>10.91</v>
      </c>
      <c r="Q524" s="36" t="s">
        <v>191</v>
      </c>
      <c r="R524" s="36" t="s">
        <v>191</v>
      </c>
      <c r="S524" s="36">
        <v>8000.0</v>
      </c>
      <c r="T524" s="36" t="s">
        <v>1058</v>
      </c>
      <c r="U524" s="36" t="s">
        <v>1059</v>
      </c>
      <c r="V524" s="36">
        <v>21187.0</v>
      </c>
      <c r="W524" s="36"/>
      <c r="X524" s="38">
        <v>361.0</v>
      </c>
      <c r="Y524" s="38" t="s">
        <v>1060</v>
      </c>
      <c r="Z524" s="38"/>
      <c r="AA524" s="38"/>
      <c r="AB524" s="38"/>
      <c r="AC524" s="38"/>
      <c r="AD524" s="38"/>
      <c r="AE524" s="38"/>
      <c r="AF524" s="38"/>
      <c r="AG524" s="38" t="s">
        <v>1089</v>
      </c>
      <c r="AH524" s="38"/>
      <c r="AI524" s="50"/>
      <c r="AJ524" s="50"/>
      <c r="AK524" s="41"/>
      <c r="AL524" s="50"/>
      <c r="AM524" s="49"/>
      <c r="AN524" s="43"/>
      <c r="AO524" s="42"/>
      <c r="AP524" s="43"/>
      <c r="AQ524" s="44" t="str">
        <f t="shared" si="47"/>
        <v/>
      </c>
      <c r="AR524" s="44" t="str">
        <f t="shared" si="3"/>
        <v/>
      </c>
      <c r="AS524" s="44"/>
      <c r="AT524" s="44" t="str">
        <f t="shared" si="17"/>
        <v/>
      </c>
      <c r="AU524" s="44" t="str">
        <f t="shared" si="2"/>
        <v/>
      </c>
      <c r="AV524" s="38"/>
      <c r="AW524" s="38"/>
      <c r="AX524" s="38"/>
      <c r="AY524" s="38"/>
      <c r="AZ524" s="29">
        <v>8000.0</v>
      </c>
      <c r="BA524" s="29">
        <v>1.0</v>
      </c>
      <c r="BB524" s="29">
        <v>2.0</v>
      </c>
      <c r="BC524" s="29" t="s">
        <v>933</v>
      </c>
      <c r="BD524" s="29"/>
      <c r="BE524" s="29"/>
      <c r="BF524" s="29" t="s">
        <v>1072</v>
      </c>
      <c r="BG524" s="29" t="s">
        <v>220</v>
      </c>
      <c r="BH524" s="29" t="s">
        <v>92</v>
      </c>
      <c r="BI524" s="29" t="s">
        <v>1073</v>
      </c>
      <c r="BJ524" s="29"/>
      <c r="BK524" s="29" t="s">
        <v>681</v>
      </c>
      <c r="BL524" s="29"/>
      <c r="BM524" s="45"/>
      <c r="BN524" s="45"/>
      <c r="BO524" s="46"/>
      <c r="BP524" s="2"/>
      <c r="BQ524" s="3"/>
    </row>
    <row r="525" ht="15.75" customHeight="1">
      <c r="A525" s="34">
        <v>526.0</v>
      </c>
      <c r="B525" s="34">
        <v>104278.0</v>
      </c>
      <c r="C525" s="34" t="s">
        <v>832</v>
      </c>
      <c r="D525" s="34" t="s">
        <v>1053</v>
      </c>
      <c r="E525" s="34" t="s">
        <v>1054</v>
      </c>
      <c r="F525" s="34">
        <v>2021.0</v>
      </c>
      <c r="G525" s="34" t="s">
        <v>1055</v>
      </c>
      <c r="H525" s="34" t="s">
        <v>1056</v>
      </c>
      <c r="I525" s="34" t="s">
        <v>1057</v>
      </c>
      <c r="J525" s="35"/>
      <c r="K525" s="36">
        <v>7.11</v>
      </c>
      <c r="L525" s="36"/>
      <c r="M525" s="36"/>
      <c r="N525" s="36"/>
      <c r="O525" s="36"/>
      <c r="P525" s="37">
        <v>14.55</v>
      </c>
      <c r="Q525" s="36" t="s">
        <v>191</v>
      </c>
      <c r="R525" s="36" t="s">
        <v>191</v>
      </c>
      <c r="S525" s="36" t="s">
        <v>928</v>
      </c>
      <c r="T525" s="36" t="s">
        <v>1058</v>
      </c>
      <c r="U525" s="36" t="s">
        <v>1059</v>
      </c>
      <c r="V525" s="36">
        <v>23338.0</v>
      </c>
      <c r="W525" s="36"/>
      <c r="X525" s="38">
        <v>361.0</v>
      </c>
      <c r="Y525" s="38" t="s">
        <v>1060</v>
      </c>
      <c r="Z525" s="38"/>
      <c r="AA525" s="38"/>
      <c r="AB525" s="38"/>
      <c r="AC525" s="38"/>
      <c r="AD525" s="38"/>
      <c r="AE525" s="38"/>
      <c r="AF525" s="38"/>
      <c r="AG525" s="38" t="s">
        <v>1089</v>
      </c>
      <c r="AH525" s="38"/>
      <c r="AI525" s="50"/>
      <c r="AJ525" s="50"/>
      <c r="AK525" s="41"/>
      <c r="AL525" s="50"/>
      <c r="AM525" s="49"/>
      <c r="AN525" s="43"/>
      <c r="AO525" s="42"/>
      <c r="AP525" s="43"/>
      <c r="AQ525" s="44" t="str">
        <f t="shared" si="47"/>
        <v/>
      </c>
      <c r="AR525" s="44" t="str">
        <f t="shared" si="3"/>
        <v/>
      </c>
      <c r="AS525" s="44"/>
      <c r="AT525" s="44" t="str">
        <f t="shared" si="17"/>
        <v/>
      </c>
      <c r="AU525" s="44" t="str">
        <f t="shared" si="2"/>
        <v/>
      </c>
      <c r="AV525" s="38"/>
      <c r="AW525" s="38"/>
      <c r="AX525" s="38"/>
      <c r="AY525" s="38"/>
      <c r="AZ525" s="29" t="s">
        <v>928</v>
      </c>
      <c r="BA525" s="29">
        <v>1.0</v>
      </c>
      <c r="BB525" s="29">
        <v>2.0</v>
      </c>
      <c r="BC525" s="29" t="s">
        <v>929</v>
      </c>
      <c r="BD525" s="29"/>
      <c r="BE525" s="29"/>
      <c r="BF525" s="29" t="s">
        <v>1074</v>
      </c>
      <c r="BG525" s="29" t="s">
        <v>203</v>
      </c>
      <c r="BH525" s="29" t="s">
        <v>92</v>
      </c>
      <c r="BI525" s="29" t="s">
        <v>1075</v>
      </c>
      <c r="BJ525" s="29"/>
      <c r="BK525" s="29"/>
      <c r="BL525" s="29"/>
      <c r="BM525" s="45"/>
      <c r="BN525" s="45"/>
      <c r="BO525" s="46"/>
      <c r="BP525" s="2"/>
      <c r="BQ525" s="3"/>
    </row>
    <row r="526" ht="15.75" customHeight="1">
      <c r="A526" s="34">
        <v>527.0</v>
      </c>
      <c r="B526" s="34">
        <v>104278.0</v>
      </c>
      <c r="C526" s="34" t="s">
        <v>832</v>
      </c>
      <c r="D526" s="34" t="s">
        <v>1053</v>
      </c>
      <c r="E526" s="34" t="s">
        <v>1054</v>
      </c>
      <c r="F526" s="34">
        <v>2021.0</v>
      </c>
      <c r="G526" s="34" t="s">
        <v>1055</v>
      </c>
      <c r="H526" s="34" t="s">
        <v>1056</v>
      </c>
      <c r="I526" s="34" t="s">
        <v>1057</v>
      </c>
      <c r="J526" s="35"/>
      <c r="K526" s="36">
        <v>8.64</v>
      </c>
      <c r="L526" s="36"/>
      <c r="M526" s="36"/>
      <c r="N526" s="36"/>
      <c r="O526" s="36"/>
      <c r="P526" s="37">
        <v>17.5</v>
      </c>
      <c r="Q526" s="36" t="s">
        <v>191</v>
      </c>
      <c r="R526" s="36" t="s">
        <v>191</v>
      </c>
      <c r="S526" s="36" t="s">
        <v>928</v>
      </c>
      <c r="T526" s="36" t="s">
        <v>1058</v>
      </c>
      <c r="U526" s="36" t="s">
        <v>1059</v>
      </c>
      <c r="V526" s="36">
        <v>20624.0</v>
      </c>
      <c r="W526" s="36"/>
      <c r="X526" s="38">
        <v>361.0</v>
      </c>
      <c r="Y526" s="38" t="s">
        <v>1060</v>
      </c>
      <c r="Z526" s="38"/>
      <c r="AA526" s="38"/>
      <c r="AB526" s="38"/>
      <c r="AC526" s="38"/>
      <c r="AD526" s="38"/>
      <c r="AE526" s="38"/>
      <c r="AF526" s="38"/>
      <c r="AG526" s="38" t="s">
        <v>1089</v>
      </c>
      <c r="AH526" s="38"/>
      <c r="AI526" s="50"/>
      <c r="AJ526" s="50"/>
      <c r="AK526" s="41"/>
      <c r="AL526" s="50"/>
      <c r="AM526" s="49"/>
      <c r="AN526" s="43"/>
      <c r="AO526" s="42"/>
      <c r="AP526" s="43"/>
      <c r="AQ526" s="44" t="str">
        <f t="shared" si="47"/>
        <v/>
      </c>
      <c r="AR526" s="44" t="str">
        <f t="shared" si="3"/>
        <v/>
      </c>
      <c r="AS526" s="44"/>
      <c r="AT526" s="44" t="str">
        <f t="shared" si="17"/>
        <v/>
      </c>
      <c r="AU526" s="44" t="str">
        <f t="shared" si="2"/>
        <v/>
      </c>
      <c r="AV526" s="38"/>
      <c r="AW526" s="38"/>
      <c r="AX526" s="38"/>
      <c r="AY526" s="38"/>
      <c r="AZ526" s="29" t="s">
        <v>928</v>
      </c>
      <c r="BA526" s="29">
        <v>1.0</v>
      </c>
      <c r="BB526" s="29">
        <v>2.0</v>
      </c>
      <c r="BC526" s="29" t="s">
        <v>931</v>
      </c>
      <c r="BD526" s="29"/>
      <c r="BE526" s="29"/>
      <c r="BF526" s="29" t="s">
        <v>1076</v>
      </c>
      <c r="BG526" s="29" t="s">
        <v>203</v>
      </c>
      <c r="BH526" s="29" t="s">
        <v>92</v>
      </c>
      <c r="BI526" s="29" t="s">
        <v>1075</v>
      </c>
      <c r="BJ526" s="29"/>
      <c r="BK526" s="29"/>
      <c r="BL526" s="29"/>
      <c r="BM526" s="45"/>
      <c r="BN526" s="45"/>
      <c r="BO526" s="46"/>
      <c r="BP526" s="2"/>
      <c r="BQ526" s="3"/>
    </row>
    <row r="527" ht="15.75" customHeight="1">
      <c r="A527" s="34">
        <v>528.0</v>
      </c>
      <c r="B527" s="34">
        <v>104278.0</v>
      </c>
      <c r="C527" s="34" t="s">
        <v>832</v>
      </c>
      <c r="D527" s="34" t="s">
        <v>1053</v>
      </c>
      <c r="E527" s="34" t="s">
        <v>1054</v>
      </c>
      <c r="F527" s="34">
        <v>2021.0</v>
      </c>
      <c r="G527" s="34" t="s">
        <v>1055</v>
      </c>
      <c r="H527" s="34" t="s">
        <v>1056</v>
      </c>
      <c r="I527" s="34" t="s">
        <v>1057</v>
      </c>
      <c r="J527" s="35"/>
      <c r="K527" s="36">
        <v>-6.98</v>
      </c>
      <c r="L527" s="36"/>
      <c r="M527" s="36"/>
      <c r="N527" s="36"/>
      <c r="O527" s="36"/>
      <c r="P527" s="37">
        <v>-13.07</v>
      </c>
      <c r="Q527" s="36" t="s">
        <v>191</v>
      </c>
      <c r="R527" s="36" t="s">
        <v>191</v>
      </c>
      <c r="S527" s="36">
        <v>500.0</v>
      </c>
      <c r="T527" s="36" t="s">
        <v>1058</v>
      </c>
      <c r="U527" s="36" t="s">
        <v>1059</v>
      </c>
      <c r="V527" s="36">
        <v>17495.0</v>
      </c>
      <c r="W527" s="36"/>
      <c r="X527" s="38">
        <v>361.0</v>
      </c>
      <c r="Y527" s="38" t="s">
        <v>1060</v>
      </c>
      <c r="Z527" s="38"/>
      <c r="AA527" s="38"/>
      <c r="AB527" s="38"/>
      <c r="AC527" s="38"/>
      <c r="AD527" s="38"/>
      <c r="AE527" s="38"/>
      <c r="AF527" s="38"/>
      <c r="AG527" s="38" t="s">
        <v>1089</v>
      </c>
      <c r="AH527" s="38"/>
      <c r="AI527" s="50"/>
      <c r="AJ527" s="50"/>
      <c r="AK527" s="41"/>
      <c r="AL527" s="50"/>
      <c r="AM527" s="49"/>
      <c r="AN527" s="43"/>
      <c r="AO527" s="42"/>
      <c r="AP527" s="43"/>
      <c r="AQ527" s="44" t="str">
        <f t="shared" si="47"/>
        <v/>
      </c>
      <c r="AR527" s="44" t="str">
        <f t="shared" si="3"/>
        <v/>
      </c>
      <c r="AS527" s="44"/>
      <c r="AT527" s="44" t="str">
        <f t="shared" si="17"/>
        <v/>
      </c>
      <c r="AU527" s="44" t="str">
        <f t="shared" si="2"/>
        <v/>
      </c>
      <c r="AV527" s="38"/>
      <c r="AW527" s="38"/>
      <c r="AX527" s="38"/>
      <c r="AY527" s="38"/>
      <c r="AZ527" s="29">
        <v>500.0</v>
      </c>
      <c r="BA527" s="29">
        <v>1.0</v>
      </c>
      <c r="BB527" s="29">
        <v>2.0</v>
      </c>
      <c r="BC527" s="29" t="s">
        <v>1077</v>
      </c>
      <c r="BD527" s="29"/>
      <c r="BE527" s="29"/>
      <c r="BF527" s="29" t="s">
        <v>1078</v>
      </c>
      <c r="BG527" s="29" t="s">
        <v>220</v>
      </c>
      <c r="BH527" s="29" t="s">
        <v>92</v>
      </c>
      <c r="BI527" s="29" t="s">
        <v>1068</v>
      </c>
      <c r="BJ527" s="29"/>
      <c r="BK527" s="29" t="s">
        <v>148</v>
      </c>
      <c r="BL527" s="29"/>
      <c r="BM527" s="45"/>
      <c r="BN527" s="45"/>
      <c r="BO527" s="46"/>
      <c r="BP527" s="2"/>
      <c r="BQ527" s="3"/>
    </row>
    <row r="528" ht="15.75" customHeight="1">
      <c r="A528" s="34">
        <v>529.0</v>
      </c>
      <c r="B528" s="34">
        <v>104278.0</v>
      </c>
      <c r="C528" s="34" t="s">
        <v>832</v>
      </c>
      <c r="D528" s="34" t="s">
        <v>1053</v>
      </c>
      <c r="E528" s="34" t="s">
        <v>1054</v>
      </c>
      <c r="F528" s="34">
        <v>2021.0</v>
      </c>
      <c r="G528" s="34" t="s">
        <v>1055</v>
      </c>
      <c r="H528" s="34" t="s">
        <v>1056</v>
      </c>
      <c r="I528" s="34" t="s">
        <v>1057</v>
      </c>
      <c r="J528" s="35"/>
      <c r="K528" s="36">
        <v>1.77</v>
      </c>
      <c r="L528" s="36"/>
      <c r="M528" s="36"/>
      <c r="N528" s="36"/>
      <c r="O528" s="36"/>
      <c r="P528" s="37">
        <v>3.61</v>
      </c>
      <c r="Q528" s="36" t="s">
        <v>191</v>
      </c>
      <c r="R528" s="36" t="s">
        <v>191</v>
      </c>
      <c r="S528" s="36">
        <v>500.0</v>
      </c>
      <c r="T528" s="36" t="s">
        <v>1058</v>
      </c>
      <c r="U528" s="36" t="s">
        <v>1059</v>
      </c>
      <c r="V528" s="36">
        <v>23752.0</v>
      </c>
      <c r="W528" s="36"/>
      <c r="X528" s="38">
        <v>452.0</v>
      </c>
      <c r="Y528" s="38" t="s">
        <v>1060</v>
      </c>
      <c r="Z528" s="38"/>
      <c r="AA528" s="38"/>
      <c r="AB528" s="38"/>
      <c r="AC528" s="38"/>
      <c r="AD528" s="38"/>
      <c r="AE528" s="38" t="s">
        <v>954</v>
      </c>
      <c r="AF528" s="38"/>
      <c r="AG528" s="38"/>
      <c r="AH528" s="38"/>
      <c r="AI528" s="50"/>
      <c r="AJ528" s="50"/>
      <c r="AK528" s="41"/>
      <c r="AL528" s="50"/>
      <c r="AM528" s="49"/>
      <c r="AN528" s="43"/>
      <c r="AO528" s="42"/>
      <c r="AP528" s="43"/>
      <c r="AQ528" s="44" t="str">
        <f t="shared" si="47"/>
        <v/>
      </c>
      <c r="AR528" s="44" t="str">
        <f t="shared" si="3"/>
        <v/>
      </c>
      <c r="AS528" s="44"/>
      <c r="AT528" s="44" t="str">
        <f t="shared" si="17"/>
        <v/>
      </c>
      <c r="AU528" s="44" t="str">
        <f t="shared" si="2"/>
        <v/>
      </c>
      <c r="AV528" s="38"/>
      <c r="AW528" s="38"/>
      <c r="AX528" s="38"/>
      <c r="AY528" s="38"/>
      <c r="AZ528" s="29">
        <v>500.0</v>
      </c>
      <c r="BA528" s="29">
        <v>1.0</v>
      </c>
      <c r="BB528" s="29">
        <v>2.0</v>
      </c>
      <c r="BC528" s="29" t="s">
        <v>1062</v>
      </c>
      <c r="BD528" s="29"/>
      <c r="BE528" s="29"/>
      <c r="BF528" s="29" t="s">
        <v>1062</v>
      </c>
      <c r="BG528" s="29" t="s">
        <v>220</v>
      </c>
      <c r="BH528" s="29" t="s">
        <v>92</v>
      </c>
      <c r="BI528" s="29" t="s">
        <v>1063</v>
      </c>
      <c r="BJ528" s="29"/>
      <c r="BK528" s="29" t="s">
        <v>148</v>
      </c>
      <c r="BL528" s="29"/>
      <c r="BM528" s="45"/>
      <c r="BN528" s="45"/>
      <c r="BO528" s="46"/>
      <c r="BP528" s="2"/>
      <c r="BQ528" s="3"/>
    </row>
    <row r="529" ht="15.75" customHeight="1">
      <c r="A529" s="34">
        <v>530.0</v>
      </c>
      <c r="B529" s="34">
        <v>104278.0</v>
      </c>
      <c r="C529" s="34" t="s">
        <v>832</v>
      </c>
      <c r="D529" s="34" t="s">
        <v>1053</v>
      </c>
      <c r="E529" s="34" t="s">
        <v>1054</v>
      </c>
      <c r="F529" s="34">
        <v>2021.0</v>
      </c>
      <c r="G529" s="34" t="s">
        <v>1055</v>
      </c>
      <c r="H529" s="34" t="s">
        <v>1056</v>
      </c>
      <c r="I529" s="34" t="s">
        <v>1057</v>
      </c>
      <c r="J529" s="35"/>
      <c r="K529" s="36">
        <v>4.38</v>
      </c>
      <c r="L529" s="36"/>
      <c r="M529" s="36"/>
      <c r="N529" s="36"/>
      <c r="O529" s="36"/>
      <c r="P529" s="37">
        <v>8.3</v>
      </c>
      <c r="Q529" s="36" t="s">
        <v>191</v>
      </c>
      <c r="R529" s="36" t="s">
        <v>191</v>
      </c>
      <c r="S529" s="36">
        <v>1000.0</v>
      </c>
      <c r="T529" s="36" t="s">
        <v>1058</v>
      </c>
      <c r="U529" s="36" t="s">
        <v>1059</v>
      </c>
      <c r="V529" s="36">
        <v>21005.0</v>
      </c>
      <c r="W529" s="36"/>
      <c r="X529" s="38">
        <v>452.0</v>
      </c>
      <c r="Y529" s="38" t="s">
        <v>1060</v>
      </c>
      <c r="Z529" s="38"/>
      <c r="AA529" s="38"/>
      <c r="AB529" s="38"/>
      <c r="AC529" s="38"/>
      <c r="AD529" s="38"/>
      <c r="AE529" s="38" t="s">
        <v>954</v>
      </c>
      <c r="AF529" s="38"/>
      <c r="AG529" s="38"/>
      <c r="AH529" s="38"/>
      <c r="AI529" s="50"/>
      <c r="AJ529" s="50"/>
      <c r="AK529" s="41"/>
      <c r="AL529" s="50"/>
      <c r="AM529" s="49"/>
      <c r="AN529" s="43"/>
      <c r="AO529" s="42"/>
      <c r="AP529" s="43"/>
      <c r="AQ529" s="44" t="str">
        <f t="shared" si="47"/>
        <v/>
      </c>
      <c r="AR529" s="44" t="str">
        <f t="shared" si="3"/>
        <v/>
      </c>
      <c r="AS529" s="44"/>
      <c r="AT529" s="44" t="str">
        <f t="shared" si="17"/>
        <v/>
      </c>
      <c r="AU529" s="44" t="str">
        <f t="shared" si="2"/>
        <v/>
      </c>
      <c r="AV529" s="38"/>
      <c r="AW529" s="38"/>
      <c r="AX529" s="38"/>
      <c r="AY529" s="38"/>
      <c r="AZ529" s="29">
        <v>1000.0</v>
      </c>
      <c r="BA529" s="29">
        <v>1.0</v>
      </c>
      <c r="BB529" s="29">
        <v>2.0</v>
      </c>
      <c r="BC529" s="29" t="s">
        <v>802</v>
      </c>
      <c r="BD529" s="29"/>
      <c r="BE529" s="29"/>
      <c r="BF529" s="29" t="s">
        <v>826</v>
      </c>
      <c r="BG529" s="29" t="s">
        <v>220</v>
      </c>
      <c r="BH529" s="29" t="s">
        <v>92</v>
      </c>
      <c r="BI529" s="29" t="s">
        <v>1065</v>
      </c>
      <c r="BJ529" s="29"/>
      <c r="BK529" s="29" t="s">
        <v>148</v>
      </c>
      <c r="BL529" s="29"/>
      <c r="BM529" s="45"/>
      <c r="BN529" s="45"/>
      <c r="BO529" s="46"/>
      <c r="BP529" s="2"/>
      <c r="BQ529" s="3"/>
    </row>
    <row r="530" ht="15.75" customHeight="1">
      <c r="A530" s="34">
        <v>531.0</v>
      </c>
      <c r="B530" s="34">
        <v>104278.0</v>
      </c>
      <c r="C530" s="34" t="s">
        <v>832</v>
      </c>
      <c r="D530" s="34" t="s">
        <v>1053</v>
      </c>
      <c r="E530" s="34" t="s">
        <v>1054</v>
      </c>
      <c r="F530" s="34">
        <v>2021.0</v>
      </c>
      <c r="G530" s="34" t="s">
        <v>1055</v>
      </c>
      <c r="H530" s="34" t="s">
        <v>1056</v>
      </c>
      <c r="I530" s="34" t="s">
        <v>1057</v>
      </c>
      <c r="J530" s="35"/>
      <c r="K530" s="36">
        <v>4.16</v>
      </c>
      <c r="L530" s="36"/>
      <c r="M530" s="36"/>
      <c r="N530" s="36"/>
      <c r="O530" s="36"/>
      <c r="P530" s="37">
        <v>8.71</v>
      </c>
      <c r="Q530" s="36" t="s">
        <v>191</v>
      </c>
      <c r="R530" s="36" t="s">
        <v>191</v>
      </c>
      <c r="S530" s="36">
        <v>1000.0</v>
      </c>
      <c r="T530" s="36" t="s">
        <v>1058</v>
      </c>
      <c r="U530" s="36" t="s">
        <v>1059</v>
      </c>
      <c r="V530" s="36">
        <v>22105.0</v>
      </c>
      <c r="W530" s="36"/>
      <c r="X530" s="38">
        <v>452.0</v>
      </c>
      <c r="Y530" s="38" t="s">
        <v>1060</v>
      </c>
      <c r="Z530" s="38"/>
      <c r="AA530" s="38"/>
      <c r="AB530" s="38"/>
      <c r="AC530" s="38"/>
      <c r="AD530" s="38"/>
      <c r="AE530" s="38" t="s">
        <v>954</v>
      </c>
      <c r="AF530" s="38"/>
      <c r="AG530" s="38"/>
      <c r="AH530" s="38"/>
      <c r="AI530" s="50"/>
      <c r="AJ530" s="50"/>
      <c r="AK530" s="41"/>
      <c r="AL530" s="50"/>
      <c r="AM530" s="49"/>
      <c r="AN530" s="43"/>
      <c r="AO530" s="42"/>
      <c r="AP530" s="43"/>
      <c r="AQ530" s="44" t="str">
        <f t="shared" si="47"/>
        <v/>
      </c>
      <c r="AR530" s="44" t="str">
        <f t="shared" si="3"/>
        <v/>
      </c>
      <c r="AS530" s="44"/>
      <c r="AT530" s="44" t="str">
        <f t="shared" si="17"/>
        <v/>
      </c>
      <c r="AU530" s="44" t="str">
        <f t="shared" si="2"/>
        <v/>
      </c>
      <c r="AV530" s="38"/>
      <c r="AW530" s="38"/>
      <c r="AX530" s="38"/>
      <c r="AY530" s="38"/>
      <c r="AZ530" s="29">
        <v>1000.0</v>
      </c>
      <c r="BA530" s="29">
        <v>1.0</v>
      </c>
      <c r="BB530" s="29">
        <v>2.0</v>
      </c>
      <c r="BC530" s="29" t="s">
        <v>1066</v>
      </c>
      <c r="BD530" s="29"/>
      <c r="BE530" s="29"/>
      <c r="BF530" s="29" t="s">
        <v>1067</v>
      </c>
      <c r="BG530" s="29" t="s">
        <v>220</v>
      </c>
      <c r="BH530" s="29" t="s">
        <v>92</v>
      </c>
      <c r="BI530" s="29" t="s">
        <v>1068</v>
      </c>
      <c r="BJ530" s="29"/>
      <c r="BK530" s="29" t="s">
        <v>148</v>
      </c>
      <c r="BL530" s="29"/>
      <c r="BM530" s="45"/>
      <c r="BN530" s="45"/>
      <c r="BO530" s="46"/>
      <c r="BP530" s="2"/>
      <c r="BQ530" s="3"/>
    </row>
    <row r="531" ht="15.75" customHeight="1">
      <c r="A531" s="34">
        <v>532.0</v>
      </c>
      <c r="B531" s="34">
        <v>104278.0</v>
      </c>
      <c r="C531" s="34" t="s">
        <v>832</v>
      </c>
      <c r="D531" s="34" t="s">
        <v>1053</v>
      </c>
      <c r="E531" s="34" t="s">
        <v>1054</v>
      </c>
      <c r="F531" s="34">
        <v>2021.0</v>
      </c>
      <c r="G531" s="34" t="s">
        <v>1055</v>
      </c>
      <c r="H531" s="34" t="s">
        <v>1056</v>
      </c>
      <c r="I531" s="34" t="s">
        <v>1057</v>
      </c>
      <c r="J531" s="35"/>
      <c r="K531" s="36">
        <v>-1.94</v>
      </c>
      <c r="L531" s="36"/>
      <c r="M531" s="36"/>
      <c r="N531" s="36"/>
      <c r="O531" s="36"/>
      <c r="P531" s="37">
        <v>-3.62</v>
      </c>
      <c r="Q531" s="36" t="s">
        <v>191</v>
      </c>
      <c r="R531" s="36" t="s">
        <v>191</v>
      </c>
      <c r="S531" s="36">
        <v>5000.0</v>
      </c>
      <c r="T531" s="36" t="s">
        <v>1058</v>
      </c>
      <c r="U531" s="36" t="s">
        <v>1059</v>
      </c>
      <c r="V531" s="36">
        <v>19120.0</v>
      </c>
      <c r="W531" s="36"/>
      <c r="X531" s="38">
        <v>452.0</v>
      </c>
      <c r="Y531" s="38" t="s">
        <v>1060</v>
      </c>
      <c r="Z531" s="38"/>
      <c r="AA531" s="38"/>
      <c r="AB531" s="38"/>
      <c r="AC531" s="38"/>
      <c r="AD531" s="38"/>
      <c r="AE531" s="38" t="s">
        <v>954</v>
      </c>
      <c r="AF531" s="38"/>
      <c r="AG531" s="38"/>
      <c r="AH531" s="38"/>
      <c r="AI531" s="50"/>
      <c r="AJ531" s="50"/>
      <c r="AK531" s="41"/>
      <c r="AL531" s="50"/>
      <c r="AM531" s="49"/>
      <c r="AN531" s="43"/>
      <c r="AO531" s="42"/>
      <c r="AP531" s="43"/>
      <c r="AQ531" s="44" t="str">
        <f t="shared" si="47"/>
        <v/>
      </c>
      <c r="AR531" s="44" t="str">
        <f t="shared" si="3"/>
        <v/>
      </c>
      <c r="AS531" s="44"/>
      <c r="AT531" s="44" t="str">
        <f t="shared" si="17"/>
        <v/>
      </c>
      <c r="AU531" s="44" t="str">
        <f t="shared" si="2"/>
        <v/>
      </c>
      <c r="AV531" s="38"/>
      <c r="AW531" s="38"/>
      <c r="AX531" s="38"/>
      <c r="AY531" s="38"/>
      <c r="AZ531" s="29">
        <v>5000.0</v>
      </c>
      <c r="BA531" s="29">
        <v>1.0</v>
      </c>
      <c r="BB531" s="29">
        <v>2.0</v>
      </c>
      <c r="BC531" s="29" t="s">
        <v>936</v>
      </c>
      <c r="BD531" s="29"/>
      <c r="BE531" s="29"/>
      <c r="BF531" s="29" t="s">
        <v>1069</v>
      </c>
      <c r="BG531" s="29" t="s">
        <v>572</v>
      </c>
      <c r="BH531" s="29" t="s">
        <v>92</v>
      </c>
      <c r="BI531" s="29" t="s">
        <v>1070</v>
      </c>
      <c r="BJ531" s="29"/>
      <c r="BK531" s="29" t="s">
        <v>1071</v>
      </c>
      <c r="BL531" s="29"/>
      <c r="BM531" s="45"/>
      <c r="BN531" s="45"/>
      <c r="BO531" s="46"/>
      <c r="BP531" s="2"/>
      <c r="BQ531" s="3"/>
    </row>
    <row r="532" ht="15.75" customHeight="1">
      <c r="A532" s="34">
        <v>533.0</v>
      </c>
      <c r="B532" s="34">
        <v>104278.0</v>
      </c>
      <c r="C532" s="34" t="s">
        <v>832</v>
      </c>
      <c r="D532" s="34" t="s">
        <v>1053</v>
      </c>
      <c r="E532" s="34" t="s">
        <v>1054</v>
      </c>
      <c r="F532" s="34">
        <v>2021.0</v>
      </c>
      <c r="G532" s="34" t="s">
        <v>1055</v>
      </c>
      <c r="H532" s="34" t="s">
        <v>1056</v>
      </c>
      <c r="I532" s="34" t="s">
        <v>1057</v>
      </c>
      <c r="J532" s="35"/>
      <c r="K532" s="36">
        <v>5.01</v>
      </c>
      <c r="L532" s="36"/>
      <c r="M532" s="36"/>
      <c r="N532" s="36"/>
      <c r="O532" s="36"/>
      <c r="P532" s="37">
        <v>10.54</v>
      </c>
      <c r="Q532" s="36" t="s">
        <v>191</v>
      </c>
      <c r="R532" s="36" t="s">
        <v>191</v>
      </c>
      <c r="S532" s="36">
        <v>8000.0</v>
      </c>
      <c r="T532" s="36" t="s">
        <v>1058</v>
      </c>
      <c r="U532" s="36" t="s">
        <v>1059</v>
      </c>
      <c r="V532" s="36">
        <v>23213.0</v>
      </c>
      <c r="W532" s="36"/>
      <c r="X532" s="38">
        <v>452.0</v>
      </c>
      <c r="Y532" s="38" t="s">
        <v>1060</v>
      </c>
      <c r="Z532" s="38"/>
      <c r="AA532" s="38"/>
      <c r="AB532" s="38"/>
      <c r="AC532" s="38"/>
      <c r="AD532" s="38"/>
      <c r="AE532" s="38" t="s">
        <v>954</v>
      </c>
      <c r="AF532" s="38"/>
      <c r="AG532" s="38"/>
      <c r="AH532" s="38"/>
      <c r="AI532" s="50"/>
      <c r="AJ532" s="50"/>
      <c r="AK532" s="41"/>
      <c r="AL532" s="50"/>
      <c r="AM532" s="49"/>
      <c r="AN532" s="43"/>
      <c r="AO532" s="42"/>
      <c r="AP532" s="43"/>
      <c r="AQ532" s="44" t="str">
        <f t="shared" si="47"/>
        <v/>
      </c>
      <c r="AR532" s="44" t="str">
        <f t="shared" si="3"/>
        <v/>
      </c>
      <c r="AS532" s="44"/>
      <c r="AT532" s="44" t="str">
        <f t="shared" si="17"/>
        <v/>
      </c>
      <c r="AU532" s="44" t="str">
        <f t="shared" si="2"/>
        <v/>
      </c>
      <c r="AV532" s="38"/>
      <c r="AW532" s="38"/>
      <c r="AX532" s="38"/>
      <c r="AY532" s="38"/>
      <c r="AZ532" s="29">
        <v>8000.0</v>
      </c>
      <c r="BA532" s="29">
        <v>1.0</v>
      </c>
      <c r="BB532" s="29">
        <v>2.0</v>
      </c>
      <c r="BC532" s="29" t="s">
        <v>933</v>
      </c>
      <c r="BD532" s="29"/>
      <c r="BE532" s="29"/>
      <c r="BF532" s="29" t="s">
        <v>1072</v>
      </c>
      <c r="BG532" s="29" t="s">
        <v>220</v>
      </c>
      <c r="BH532" s="29" t="s">
        <v>92</v>
      </c>
      <c r="BI532" s="29" t="s">
        <v>1073</v>
      </c>
      <c r="BJ532" s="29"/>
      <c r="BK532" s="29" t="s">
        <v>681</v>
      </c>
      <c r="BL532" s="29"/>
      <c r="BM532" s="45"/>
      <c r="BN532" s="45"/>
      <c r="BO532" s="46"/>
      <c r="BP532" s="2"/>
      <c r="BQ532" s="3"/>
    </row>
    <row r="533" ht="15.75" customHeight="1">
      <c r="A533" s="34">
        <v>534.0</v>
      </c>
      <c r="B533" s="34">
        <v>104278.0</v>
      </c>
      <c r="C533" s="34" t="s">
        <v>832</v>
      </c>
      <c r="D533" s="34" t="s">
        <v>1053</v>
      </c>
      <c r="E533" s="34" t="s">
        <v>1054</v>
      </c>
      <c r="F533" s="34">
        <v>2021.0</v>
      </c>
      <c r="G533" s="34" t="s">
        <v>1055</v>
      </c>
      <c r="H533" s="34" t="s">
        <v>1056</v>
      </c>
      <c r="I533" s="34" t="s">
        <v>1057</v>
      </c>
      <c r="J533" s="35"/>
      <c r="K533" s="36">
        <v>4.3</v>
      </c>
      <c r="L533" s="36"/>
      <c r="M533" s="36"/>
      <c r="N533" s="36"/>
      <c r="O533" s="36"/>
      <c r="P533" s="37">
        <v>8.77</v>
      </c>
      <c r="Q533" s="36" t="s">
        <v>191</v>
      </c>
      <c r="R533" s="36" t="s">
        <v>191</v>
      </c>
      <c r="S533" s="36" t="s">
        <v>928</v>
      </c>
      <c r="T533" s="36" t="s">
        <v>1058</v>
      </c>
      <c r="U533" s="36" t="s">
        <v>1059</v>
      </c>
      <c r="V533" s="36">
        <v>25706.0</v>
      </c>
      <c r="W533" s="36"/>
      <c r="X533" s="38">
        <v>452.0</v>
      </c>
      <c r="Y533" s="38" t="s">
        <v>1060</v>
      </c>
      <c r="Z533" s="38"/>
      <c r="AA533" s="38"/>
      <c r="AB533" s="38"/>
      <c r="AC533" s="38"/>
      <c r="AD533" s="38"/>
      <c r="AE533" s="38" t="s">
        <v>954</v>
      </c>
      <c r="AF533" s="38"/>
      <c r="AG533" s="38"/>
      <c r="AH533" s="38"/>
      <c r="AI533" s="50"/>
      <c r="AJ533" s="50"/>
      <c r="AK533" s="41"/>
      <c r="AL533" s="50"/>
      <c r="AM533" s="49"/>
      <c r="AN533" s="43"/>
      <c r="AO533" s="42"/>
      <c r="AP533" s="43"/>
      <c r="AQ533" s="44" t="str">
        <f t="shared" si="47"/>
        <v/>
      </c>
      <c r="AR533" s="44" t="str">
        <f t="shared" si="3"/>
        <v/>
      </c>
      <c r="AS533" s="44"/>
      <c r="AT533" s="44" t="str">
        <f t="shared" si="17"/>
        <v/>
      </c>
      <c r="AU533" s="44" t="str">
        <f t="shared" si="2"/>
        <v/>
      </c>
      <c r="AV533" s="38"/>
      <c r="AW533" s="38"/>
      <c r="AX533" s="38"/>
      <c r="AY533" s="38"/>
      <c r="AZ533" s="29" t="s">
        <v>928</v>
      </c>
      <c r="BA533" s="29">
        <v>1.0</v>
      </c>
      <c r="BB533" s="29">
        <v>2.0</v>
      </c>
      <c r="BC533" s="29" t="s">
        <v>929</v>
      </c>
      <c r="BD533" s="29"/>
      <c r="BE533" s="29"/>
      <c r="BF533" s="29" t="s">
        <v>1074</v>
      </c>
      <c r="BG533" s="29" t="s">
        <v>203</v>
      </c>
      <c r="BH533" s="29" t="s">
        <v>92</v>
      </c>
      <c r="BI533" s="29" t="s">
        <v>1075</v>
      </c>
      <c r="BJ533" s="29"/>
      <c r="BK533" s="29"/>
      <c r="BL533" s="29"/>
      <c r="BM533" s="45"/>
      <c r="BN533" s="45"/>
      <c r="BO533" s="46"/>
      <c r="BP533" s="2"/>
      <c r="BQ533" s="3"/>
    </row>
    <row r="534" ht="15.75" customHeight="1">
      <c r="A534" s="34">
        <v>535.0</v>
      </c>
      <c r="B534" s="34">
        <v>104278.0</v>
      </c>
      <c r="C534" s="34" t="s">
        <v>832</v>
      </c>
      <c r="D534" s="34" t="s">
        <v>1053</v>
      </c>
      <c r="E534" s="34" t="s">
        <v>1054</v>
      </c>
      <c r="F534" s="34">
        <v>2021.0</v>
      </c>
      <c r="G534" s="34" t="s">
        <v>1055</v>
      </c>
      <c r="H534" s="34" t="s">
        <v>1056</v>
      </c>
      <c r="I534" s="34" t="s">
        <v>1057</v>
      </c>
      <c r="J534" s="35"/>
      <c r="K534" s="36">
        <v>5.9</v>
      </c>
      <c r="L534" s="36"/>
      <c r="M534" s="36"/>
      <c r="N534" s="36"/>
      <c r="O534" s="36"/>
      <c r="P534" s="37">
        <v>12.02</v>
      </c>
      <c r="Q534" s="36" t="s">
        <v>191</v>
      </c>
      <c r="R534" s="36" t="s">
        <v>191</v>
      </c>
      <c r="S534" s="36" t="s">
        <v>928</v>
      </c>
      <c r="T534" s="36" t="s">
        <v>1058</v>
      </c>
      <c r="U534" s="36" t="s">
        <v>1059</v>
      </c>
      <c r="V534" s="36">
        <v>22849.0</v>
      </c>
      <c r="W534" s="36"/>
      <c r="X534" s="38">
        <v>452.0</v>
      </c>
      <c r="Y534" s="38" t="s">
        <v>1060</v>
      </c>
      <c r="Z534" s="38"/>
      <c r="AA534" s="38"/>
      <c r="AB534" s="38"/>
      <c r="AC534" s="38"/>
      <c r="AD534" s="38"/>
      <c r="AE534" s="38" t="s">
        <v>954</v>
      </c>
      <c r="AF534" s="38"/>
      <c r="AG534" s="38"/>
      <c r="AH534" s="38"/>
      <c r="AI534" s="50"/>
      <c r="AJ534" s="50"/>
      <c r="AK534" s="41"/>
      <c r="AL534" s="50"/>
      <c r="AM534" s="49"/>
      <c r="AN534" s="43"/>
      <c r="AO534" s="42"/>
      <c r="AP534" s="43"/>
      <c r="AQ534" s="44" t="str">
        <f t="shared" si="47"/>
        <v/>
      </c>
      <c r="AR534" s="44" t="str">
        <f t="shared" si="3"/>
        <v/>
      </c>
      <c r="AS534" s="44"/>
      <c r="AT534" s="44" t="str">
        <f t="shared" si="17"/>
        <v/>
      </c>
      <c r="AU534" s="44" t="str">
        <f t="shared" si="2"/>
        <v/>
      </c>
      <c r="AV534" s="38"/>
      <c r="AW534" s="38"/>
      <c r="AX534" s="38"/>
      <c r="AY534" s="38"/>
      <c r="AZ534" s="29" t="s">
        <v>928</v>
      </c>
      <c r="BA534" s="29">
        <v>1.0</v>
      </c>
      <c r="BB534" s="29">
        <v>2.0</v>
      </c>
      <c r="BC534" s="29" t="s">
        <v>931</v>
      </c>
      <c r="BD534" s="29"/>
      <c r="BE534" s="29"/>
      <c r="BF534" s="29" t="s">
        <v>1076</v>
      </c>
      <c r="BG534" s="29" t="s">
        <v>203</v>
      </c>
      <c r="BH534" s="29" t="s">
        <v>92</v>
      </c>
      <c r="BI534" s="29" t="s">
        <v>1075</v>
      </c>
      <c r="BJ534" s="29"/>
      <c r="BK534" s="29"/>
      <c r="BL534" s="29"/>
      <c r="BM534" s="45"/>
      <c r="BN534" s="45"/>
      <c r="BO534" s="46"/>
      <c r="BP534" s="2"/>
      <c r="BQ534" s="3"/>
    </row>
    <row r="535" ht="15.75" customHeight="1">
      <c r="A535" s="34">
        <v>536.0</v>
      </c>
      <c r="B535" s="34">
        <v>104278.0</v>
      </c>
      <c r="C535" s="34" t="s">
        <v>832</v>
      </c>
      <c r="D535" s="34" t="s">
        <v>1053</v>
      </c>
      <c r="E535" s="34" t="s">
        <v>1054</v>
      </c>
      <c r="F535" s="34">
        <v>2021.0</v>
      </c>
      <c r="G535" s="34" t="s">
        <v>1055</v>
      </c>
      <c r="H535" s="34" t="s">
        <v>1056</v>
      </c>
      <c r="I535" s="34" t="s">
        <v>1057</v>
      </c>
      <c r="J535" s="35"/>
      <c r="K535" s="36">
        <v>-7.51</v>
      </c>
      <c r="L535" s="36"/>
      <c r="M535" s="36"/>
      <c r="N535" s="36"/>
      <c r="O535" s="36"/>
      <c r="P535" s="37">
        <v>-14.37</v>
      </c>
      <c r="Q535" s="36" t="s">
        <v>191</v>
      </c>
      <c r="R535" s="36" t="s">
        <v>191</v>
      </c>
      <c r="S535" s="36">
        <v>500.0</v>
      </c>
      <c r="T535" s="36" t="s">
        <v>1058</v>
      </c>
      <c r="U535" s="36" t="s">
        <v>1059</v>
      </c>
      <c r="V535" s="36">
        <v>20770.0</v>
      </c>
      <c r="W535" s="36"/>
      <c r="X535" s="38">
        <v>452.0</v>
      </c>
      <c r="Y535" s="38" t="s">
        <v>1060</v>
      </c>
      <c r="Z535" s="38"/>
      <c r="AA535" s="38"/>
      <c r="AB535" s="38"/>
      <c r="AC535" s="38"/>
      <c r="AD535" s="38"/>
      <c r="AE535" s="38" t="s">
        <v>954</v>
      </c>
      <c r="AF535" s="38"/>
      <c r="AG535" s="38"/>
      <c r="AH535" s="38"/>
      <c r="AI535" s="50"/>
      <c r="AJ535" s="50"/>
      <c r="AK535" s="41"/>
      <c r="AL535" s="50"/>
      <c r="AM535" s="49"/>
      <c r="AN535" s="43"/>
      <c r="AO535" s="42"/>
      <c r="AP535" s="43"/>
      <c r="AQ535" s="44" t="str">
        <f t="shared" si="47"/>
        <v/>
      </c>
      <c r="AR535" s="44" t="str">
        <f t="shared" si="3"/>
        <v/>
      </c>
      <c r="AS535" s="44"/>
      <c r="AT535" s="44" t="str">
        <f t="shared" si="17"/>
        <v/>
      </c>
      <c r="AU535" s="44" t="str">
        <f t="shared" si="2"/>
        <v/>
      </c>
      <c r="AV535" s="38"/>
      <c r="AW535" s="38"/>
      <c r="AX535" s="38"/>
      <c r="AY535" s="38"/>
      <c r="AZ535" s="29">
        <v>500.0</v>
      </c>
      <c r="BA535" s="29">
        <v>1.0</v>
      </c>
      <c r="BB535" s="29">
        <v>2.0</v>
      </c>
      <c r="BC535" s="29" t="s">
        <v>1077</v>
      </c>
      <c r="BD535" s="29"/>
      <c r="BE535" s="29"/>
      <c r="BF535" s="29" t="s">
        <v>1078</v>
      </c>
      <c r="BG535" s="29" t="s">
        <v>220</v>
      </c>
      <c r="BH535" s="29" t="s">
        <v>92</v>
      </c>
      <c r="BI535" s="29" t="s">
        <v>1068</v>
      </c>
      <c r="BJ535" s="29"/>
      <c r="BK535" s="29" t="s">
        <v>148</v>
      </c>
      <c r="BL535" s="29"/>
      <c r="BM535" s="45"/>
      <c r="BN535" s="45"/>
      <c r="BO535" s="46"/>
      <c r="BP535" s="2"/>
      <c r="BQ535" s="3"/>
    </row>
    <row r="536" ht="15.75" customHeight="1">
      <c r="A536" s="34">
        <v>537.0</v>
      </c>
      <c r="B536" s="34">
        <v>104278.0</v>
      </c>
      <c r="C536" s="34" t="s">
        <v>832</v>
      </c>
      <c r="D536" s="34" t="s">
        <v>1053</v>
      </c>
      <c r="E536" s="34" t="s">
        <v>1054</v>
      </c>
      <c r="F536" s="34">
        <v>2021.0</v>
      </c>
      <c r="G536" s="34" t="s">
        <v>1055</v>
      </c>
      <c r="H536" s="34" t="s">
        <v>1056</v>
      </c>
      <c r="I536" s="34" t="s">
        <v>1057</v>
      </c>
      <c r="J536" s="35"/>
      <c r="K536" s="36">
        <v>1.2</v>
      </c>
      <c r="L536" s="36"/>
      <c r="M536" s="36"/>
      <c r="N536" s="36"/>
      <c r="O536" s="36"/>
      <c r="P536" s="37">
        <v>3.04</v>
      </c>
      <c r="Q536" s="36" t="s">
        <v>191</v>
      </c>
      <c r="R536" s="36" t="s">
        <v>191</v>
      </c>
      <c r="S536" s="36">
        <v>500.0</v>
      </c>
      <c r="T536" s="36" t="s">
        <v>1058</v>
      </c>
      <c r="U536" s="36" t="s">
        <v>1059</v>
      </c>
      <c r="V536" s="36">
        <v>7498.0</v>
      </c>
      <c r="W536" s="36"/>
      <c r="X536" s="38">
        <v>135.0</v>
      </c>
      <c r="Y536" s="38" t="s">
        <v>1060</v>
      </c>
      <c r="Z536" s="38"/>
      <c r="AA536" s="38"/>
      <c r="AB536" s="38"/>
      <c r="AC536" s="38"/>
      <c r="AD536" s="38"/>
      <c r="AE536" s="38" t="s">
        <v>1090</v>
      </c>
      <c r="AF536" s="38"/>
      <c r="AG536" s="38"/>
      <c r="AH536" s="38"/>
      <c r="AI536" s="50"/>
      <c r="AJ536" s="50"/>
      <c r="AK536" s="41"/>
      <c r="AL536" s="50"/>
      <c r="AM536" s="49"/>
      <c r="AN536" s="43"/>
      <c r="AO536" s="42"/>
      <c r="AP536" s="43"/>
      <c r="AQ536" s="44" t="str">
        <f t="shared" si="47"/>
        <v/>
      </c>
      <c r="AR536" s="44" t="str">
        <f t="shared" si="3"/>
        <v/>
      </c>
      <c r="AS536" s="44"/>
      <c r="AT536" s="44" t="str">
        <f t="shared" si="17"/>
        <v/>
      </c>
      <c r="AU536" s="44" t="str">
        <f t="shared" si="2"/>
        <v/>
      </c>
      <c r="AV536" s="38"/>
      <c r="AW536" s="38"/>
      <c r="AX536" s="38"/>
      <c r="AY536" s="38"/>
      <c r="AZ536" s="29">
        <v>500.0</v>
      </c>
      <c r="BA536" s="29">
        <v>1.0</v>
      </c>
      <c r="BB536" s="29">
        <v>2.0</v>
      </c>
      <c r="BC536" s="29" t="s">
        <v>1062</v>
      </c>
      <c r="BD536" s="29"/>
      <c r="BE536" s="29"/>
      <c r="BF536" s="29" t="s">
        <v>1062</v>
      </c>
      <c r="BG536" s="29" t="s">
        <v>220</v>
      </c>
      <c r="BH536" s="29" t="s">
        <v>92</v>
      </c>
      <c r="BI536" s="29" t="s">
        <v>1063</v>
      </c>
      <c r="BJ536" s="29"/>
      <c r="BK536" s="29" t="s">
        <v>148</v>
      </c>
      <c r="BL536" s="29"/>
      <c r="BM536" s="45"/>
      <c r="BN536" s="45"/>
      <c r="BO536" s="46"/>
      <c r="BP536" s="2"/>
      <c r="BQ536" s="3"/>
    </row>
    <row r="537" ht="15.75" customHeight="1">
      <c r="A537" s="34">
        <v>538.0</v>
      </c>
      <c r="B537" s="34">
        <v>104278.0</v>
      </c>
      <c r="C537" s="34" t="s">
        <v>832</v>
      </c>
      <c r="D537" s="34" t="s">
        <v>1053</v>
      </c>
      <c r="E537" s="34" t="s">
        <v>1054</v>
      </c>
      <c r="F537" s="34">
        <v>2021.0</v>
      </c>
      <c r="G537" s="34" t="s">
        <v>1055</v>
      </c>
      <c r="H537" s="34" t="s">
        <v>1056</v>
      </c>
      <c r="I537" s="34" t="s">
        <v>1057</v>
      </c>
      <c r="J537" s="35"/>
      <c r="K537" s="36">
        <v>3.25</v>
      </c>
      <c r="L537" s="36"/>
      <c r="M537" s="36"/>
      <c r="N537" s="36"/>
      <c r="O537" s="36"/>
      <c r="P537" s="37">
        <v>7.28</v>
      </c>
      <c r="Q537" s="36" t="s">
        <v>191</v>
      </c>
      <c r="R537" s="36" t="s">
        <v>191</v>
      </c>
      <c r="S537" s="36">
        <v>1000.0</v>
      </c>
      <c r="T537" s="36" t="s">
        <v>1058</v>
      </c>
      <c r="U537" s="36" t="s">
        <v>1059</v>
      </c>
      <c r="V537" s="36">
        <v>6299.0</v>
      </c>
      <c r="W537" s="36"/>
      <c r="X537" s="38">
        <v>135.0</v>
      </c>
      <c r="Y537" s="38" t="s">
        <v>1060</v>
      </c>
      <c r="Z537" s="38"/>
      <c r="AA537" s="38"/>
      <c r="AB537" s="38"/>
      <c r="AC537" s="38"/>
      <c r="AD537" s="38"/>
      <c r="AE537" s="38" t="s">
        <v>1090</v>
      </c>
      <c r="AF537" s="38"/>
      <c r="AG537" s="38"/>
      <c r="AH537" s="38"/>
      <c r="AI537" s="50"/>
      <c r="AJ537" s="50"/>
      <c r="AK537" s="41"/>
      <c r="AL537" s="50"/>
      <c r="AM537" s="49"/>
      <c r="AN537" s="43"/>
      <c r="AO537" s="42"/>
      <c r="AP537" s="43"/>
      <c r="AQ537" s="44" t="str">
        <f t="shared" si="47"/>
        <v/>
      </c>
      <c r="AR537" s="44" t="str">
        <f t="shared" si="3"/>
        <v/>
      </c>
      <c r="AS537" s="44"/>
      <c r="AT537" s="44" t="str">
        <f t="shared" si="17"/>
        <v/>
      </c>
      <c r="AU537" s="44" t="str">
        <f t="shared" si="2"/>
        <v/>
      </c>
      <c r="AV537" s="38"/>
      <c r="AW537" s="38"/>
      <c r="AX537" s="38"/>
      <c r="AY537" s="38"/>
      <c r="AZ537" s="29">
        <v>1000.0</v>
      </c>
      <c r="BA537" s="29">
        <v>1.0</v>
      </c>
      <c r="BB537" s="29">
        <v>2.0</v>
      </c>
      <c r="BC537" s="29" t="s">
        <v>802</v>
      </c>
      <c r="BD537" s="29"/>
      <c r="BE537" s="29"/>
      <c r="BF537" s="29" t="s">
        <v>826</v>
      </c>
      <c r="BG537" s="29" t="s">
        <v>220</v>
      </c>
      <c r="BH537" s="29" t="s">
        <v>92</v>
      </c>
      <c r="BI537" s="29" t="s">
        <v>1065</v>
      </c>
      <c r="BJ537" s="29"/>
      <c r="BK537" s="29" t="s">
        <v>148</v>
      </c>
      <c r="BL537" s="29"/>
      <c r="BM537" s="45"/>
      <c r="BN537" s="45"/>
      <c r="BO537" s="46"/>
      <c r="BP537" s="2" t="s">
        <v>1091</v>
      </c>
      <c r="BQ537" s="3"/>
    </row>
    <row r="538" ht="15.75" customHeight="1">
      <c r="A538" s="34">
        <v>539.0</v>
      </c>
      <c r="B538" s="34">
        <v>104278.0</v>
      </c>
      <c r="C538" s="34" t="s">
        <v>832</v>
      </c>
      <c r="D538" s="34" t="s">
        <v>1053</v>
      </c>
      <c r="E538" s="34" t="s">
        <v>1054</v>
      </c>
      <c r="F538" s="34">
        <v>2021.0</v>
      </c>
      <c r="G538" s="34" t="s">
        <v>1055</v>
      </c>
      <c r="H538" s="34" t="s">
        <v>1056</v>
      </c>
      <c r="I538" s="34" t="s">
        <v>1057</v>
      </c>
      <c r="J538" s="35"/>
      <c r="K538" s="36">
        <v>-1.56</v>
      </c>
      <c r="L538" s="36"/>
      <c r="M538" s="36"/>
      <c r="N538" s="36"/>
      <c r="O538" s="36"/>
      <c r="P538" s="37">
        <v>-4.03</v>
      </c>
      <c r="Q538" s="36" t="s">
        <v>191</v>
      </c>
      <c r="R538" s="36" t="s">
        <v>191</v>
      </c>
      <c r="S538" s="36">
        <v>1000.0</v>
      </c>
      <c r="T538" s="36" t="s">
        <v>1058</v>
      </c>
      <c r="U538" s="36" t="s">
        <v>1059</v>
      </c>
      <c r="V538" s="36">
        <v>7377.0</v>
      </c>
      <c r="W538" s="36"/>
      <c r="X538" s="38">
        <v>135.0</v>
      </c>
      <c r="Y538" s="38" t="s">
        <v>1060</v>
      </c>
      <c r="Z538" s="38"/>
      <c r="AA538" s="38"/>
      <c r="AB538" s="38"/>
      <c r="AC538" s="38"/>
      <c r="AD538" s="38"/>
      <c r="AE538" s="38" t="s">
        <v>1090</v>
      </c>
      <c r="AF538" s="38"/>
      <c r="AG538" s="38"/>
      <c r="AH538" s="38"/>
      <c r="AI538" s="50"/>
      <c r="AJ538" s="50"/>
      <c r="AK538" s="41"/>
      <c r="AL538" s="50"/>
      <c r="AM538" s="49"/>
      <c r="AN538" s="43"/>
      <c r="AO538" s="42"/>
      <c r="AP538" s="43"/>
      <c r="AQ538" s="44" t="str">
        <f t="shared" si="47"/>
        <v/>
      </c>
      <c r="AR538" s="44" t="str">
        <f t="shared" si="3"/>
        <v/>
      </c>
      <c r="AS538" s="44"/>
      <c r="AT538" s="44" t="str">
        <f t="shared" si="17"/>
        <v/>
      </c>
      <c r="AU538" s="44" t="str">
        <f t="shared" si="2"/>
        <v/>
      </c>
      <c r="AV538" s="38"/>
      <c r="AW538" s="38"/>
      <c r="AX538" s="38"/>
      <c r="AY538" s="38"/>
      <c r="AZ538" s="29">
        <v>1000.0</v>
      </c>
      <c r="BA538" s="29">
        <v>1.0</v>
      </c>
      <c r="BB538" s="29">
        <v>2.0</v>
      </c>
      <c r="BC538" s="29" t="s">
        <v>1066</v>
      </c>
      <c r="BD538" s="29"/>
      <c r="BE538" s="29"/>
      <c r="BF538" s="29" t="s">
        <v>1067</v>
      </c>
      <c r="BG538" s="29" t="s">
        <v>220</v>
      </c>
      <c r="BH538" s="29" t="s">
        <v>92</v>
      </c>
      <c r="BI538" s="29" t="s">
        <v>1068</v>
      </c>
      <c r="BJ538" s="29"/>
      <c r="BK538" s="29" t="s">
        <v>148</v>
      </c>
      <c r="BL538" s="29"/>
      <c r="BM538" s="45"/>
      <c r="BN538" s="45"/>
      <c r="BO538" s="46"/>
      <c r="BP538" s="2"/>
      <c r="BQ538" s="3"/>
    </row>
    <row r="539" ht="15.75" customHeight="1">
      <c r="A539" s="34">
        <v>540.0</v>
      </c>
      <c r="B539" s="34">
        <v>104278.0</v>
      </c>
      <c r="C539" s="34" t="s">
        <v>832</v>
      </c>
      <c r="D539" s="34" t="s">
        <v>1053</v>
      </c>
      <c r="E539" s="34" t="s">
        <v>1054</v>
      </c>
      <c r="F539" s="34">
        <v>2021.0</v>
      </c>
      <c r="G539" s="34" t="s">
        <v>1055</v>
      </c>
      <c r="H539" s="34" t="s">
        <v>1056</v>
      </c>
      <c r="I539" s="34" t="s">
        <v>1057</v>
      </c>
      <c r="J539" s="35"/>
      <c r="K539" s="36">
        <v>0.81</v>
      </c>
      <c r="L539" s="36"/>
      <c r="M539" s="36"/>
      <c r="N539" s="36"/>
      <c r="O539" s="36"/>
      <c r="P539" s="37">
        <v>1.87</v>
      </c>
      <c r="Q539" s="36" t="s">
        <v>191</v>
      </c>
      <c r="R539" s="36" t="s">
        <v>191</v>
      </c>
      <c r="S539" s="36">
        <v>5000.0</v>
      </c>
      <c r="T539" s="36" t="s">
        <v>1058</v>
      </c>
      <c r="U539" s="36" t="s">
        <v>1059</v>
      </c>
      <c r="V539" s="36">
        <v>6729.0</v>
      </c>
      <c r="W539" s="36"/>
      <c r="X539" s="38">
        <v>135.0</v>
      </c>
      <c r="Y539" s="38" t="s">
        <v>1060</v>
      </c>
      <c r="Z539" s="38"/>
      <c r="AA539" s="38"/>
      <c r="AB539" s="38"/>
      <c r="AC539" s="38"/>
      <c r="AD539" s="38"/>
      <c r="AE539" s="38" t="s">
        <v>1090</v>
      </c>
      <c r="AF539" s="38"/>
      <c r="AG539" s="38"/>
      <c r="AH539" s="38"/>
      <c r="AI539" s="50"/>
      <c r="AJ539" s="50"/>
      <c r="AK539" s="41"/>
      <c r="AL539" s="50"/>
      <c r="AM539" s="49"/>
      <c r="AN539" s="43"/>
      <c r="AO539" s="42"/>
      <c r="AP539" s="43"/>
      <c r="AQ539" s="44" t="str">
        <f t="shared" si="47"/>
        <v/>
      </c>
      <c r="AR539" s="44" t="str">
        <f t="shared" si="3"/>
        <v/>
      </c>
      <c r="AS539" s="44"/>
      <c r="AT539" s="44" t="str">
        <f t="shared" si="17"/>
        <v/>
      </c>
      <c r="AU539" s="44" t="str">
        <f t="shared" si="2"/>
        <v/>
      </c>
      <c r="AV539" s="38"/>
      <c r="AW539" s="38"/>
      <c r="AX539" s="38"/>
      <c r="AY539" s="38"/>
      <c r="AZ539" s="29">
        <v>5000.0</v>
      </c>
      <c r="BA539" s="29">
        <v>1.0</v>
      </c>
      <c r="BB539" s="29">
        <v>2.0</v>
      </c>
      <c r="BC539" s="29" t="s">
        <v>936</v>
      </c>
      <c r="BD539" s="29"/>
      <c r="BE539" s="29"/>
      <c r="BF539" s="29" t="s">
        <v>1069</v>
      </c>
      <c r="BG539" s="29" t="s">
        <v>572</v>
      </c>
      <c r="BH539" s="29" t="s">
        <v>92</v>
      </c>
      <c r="BI539" s="29" t="s">
        <v>1070</v>
      </c>
      <c r="BJ539" s="29"/>
      <c r="BK539" s="29" t="s">
        <v>1071</v>
      </c>
      <c r="BL539" s="29"/>
      <c r="BM539" s="45"/>
      <c r="BN539" s="45"/>
      <c r="BO539" s="46"/>
      <c r="BP539" s="2"/>
      <c r="BQ539" s="3"/>
    </row>
    <row r="540" ht="15.75" customHeight="1">
      <c r="A540" s="34">
        <v>541.0</v>
      </c>
      <c r="B540" s="34">
        <v>104278.0</v>
      </c>
      <c r="C540" s="34" t="s">
        <v>832</v>
      </c>
      <c r="D540" s="34" t="s">
        <v>1053</v>
      </c>
      <c r="E540" s="34" t="s">
        <v>1054</v>
      </c>
      <c r="F540" s="34">
        <v>2021.0</v>
      </c>
      <c r="G540" s="34" t="s">
        <v>1055</v>
      </c>
      <c r="H540" s="34" t="s">
        <v>1056</v>
      </c>
      <c r="I540" s="34" t="s">
        <v>1057</v>
      </c>
      <c r="J540" s="35"/>
      <c r="K540" s="36">
        <v>4.94</v>
      </c>
      <c r="L540" s="36"/>
      <c r="M540" s="36"/>
      <c r="N540" s="36"/>
      <c r="O540" s="36"/>
      <c r="P540" s="37">
        <v>12.88</v>
      </c>
      <c r="Q540" s="36" t="s">
        <v>191</v>
      </c>
      <c r="R540" s="36" t="s">
        <v>191</v>
      </c>
      <c r="S540" s="36">
        <v>8000.0</v>
      </c>
      <c r="T540" s="36" t="s">
        <v>1058</v>
      </c>
      <c r="U540" s="36" t="s">
        <v>1059</v>
      </c>
      <c r="V540" s="36">
        <v>7499.0</v>
      </c>
      <c r="W540" s="36"/>
      <c r="X540" s="38">
        <v>135.0</v>
      </c>
      <c r="Y540" s="38" t="s">
        <v>1060</v>
      </c>
      <c r="Z540" s="38"/>
      <c r="AA540" s="38"/>
      <c r="AB540" s="38"/>
      <c r="AC540" s="38"/>
      <c r="AD540" s="38"/>
      <c r="AE540" s="38" t="s">
        <v>1090</v>
      </c>
      <c r="AF540" s="38"/>
      <c r="AG540" s="38"/>
      <c r="AH540" s="38"/>
      <c r="AI540" s="50"/>
      <c r="AJ540" s="50"/>
      <c r="AK540" s="41"/>
      <c r="AL540" s="50"/>
      <c r="AM540" s="49"/>
      <c r="AN540" s="43"/>
      <c r="AO540" s="42"/>
      <c r="AP540" s="43"/>
      <c r="AQ540" s="44" t="str">
        <f t="shared" si="47"/>
        <v/>
      </c>
      <c r="AR540" s="44" t="str">
        <f t="shared" si="3"/>
        <v/>
      </c>
      <c r="AS540" s="44"/>
      <c r="AT540" s="44" t="str">
        <f t="shared" si="17"/>
        <v/>
      </c>
      <c r="AU540" s="44" t="str">
        <f t="shared" si="2"/>
        <v/>
      </c>
      <c r="AV540" s="38"/>
      <c r="AW540" s="38"/>
      <c r="AX540" s="38"/>
      <c r="AY540" s="38"/>
      <c r="AZ540" s="29">
        <v>8000.0</v>
      </c>
      <c r="BA540" s="29">
        <v>1.0</v>
      </c>
      <c r="BB540" s="29">
        <v>2.0</v>
      </c>
      <c r="BC540" s="29" t="s">
        <v>933</v>
      </c>
      <c r="BD540" s="29"/>
      <c r="BE540" s="29"/>
      <c r="BF540" s="29" t="s">
        <v>1072</v>
      </c>
      <c r="BG540" s="29" t="s">
        <v>220</v>
      </c>
      <c r="BH540" s="29" t="s">
        <v>92</v>
      </c>
      <c r="BI540" s="29" t="s">
        <v>1073</v>
      </c>
      <c r="BJ540" s="29"/>
      <c r="BK540" s="29" t="s">
        <v>681</v>
      </c>
      <c r="BL540" s="29"/>
      <c r="BM540" s="45"/>
      <c r="BN540" s="45"/>
      <c r="BO540" s="46"/>
      <c r="BP540" s="2"/>
      <c r="BQ540" s="3"/>
    </row>
    <row r="541" ht="15.75" customHeight="1">
      <c r="A541" s="34">
        <v>542.0</v>
      </c>
      <c r="B541" s="34">
        <v>104278.0</v>
      </c>
      <c r="C541" s="34" t="s">
        <v>832</v>
      </c>
      <c r="D541" s="34" t="s">
        <v>1053</v>
      </c>
      <c r="E541" s="34" t="s">
        <v>1054</v>
      </c>
      <c r="F541" s="34">
        <v>2021.0</v>
      </c>
      <c r="G541" s="34" t="s">
        <v>1055</v>
      </c>
      <c r="H541" s="34" t="s">
        <v>1056</v>
      </c>
      <c r="I541" s="34" t="s">
        <v>1057</v>
      </c>
      <c r="J541" s="35"/>
      <c r="K541" s="36">
        <v>3.82</v>
      </c>
      <c r="L541" s="36"/>
      <c r="M541" s="36"/>
      <c r="N541" s="36"/>
      <c r="O541" s="36"/>
      <c r="P541" s="37">
        <v>9.48</v>
      </c>
      <c r="Q541" s="36" t="s">
        <v>191</v>
      </c>
      <c r="R541" s="36" t="s">
        <v>191</v>
      </c>
      <c r="S541" s="36" t="s">
        <v>928</v>
      </c>
      <c r="T541" s="36" t="s">
        <v>1058</v>
      </c>
      <c r="U541" s="36" t="s">
        <v>1059</v>
      </c>
      <c r="V541" s="36">
        <v>8398.0</v>
      </c>
      <c r="W541" s="36"/>
      <c r="X541" s="38">
        <v>135.0</v>
      </c>
      <c r="Y541" s="38" t="s">
        <v>1060</v>
      </c>
      <c r="Z541" s="38"/>
      <c r="AA541" s="38"/>
      <c r="AB541" s="38"/>
      <c r="AC541" s="38"/>
      <c r="AD541" s="38"/>
      <c r="AE541" s="38" t="s">
        <v>1090</v>
      </c>
      <c r="AF541" s="38"/>
      <c r="AG541" s="38"/>
      <c r="AH541" s="38"/>
      <c r="AI541" s="50"/>
      <c r="AJ541" s="50"/>
      <c r="AK541" s="41"/>
      <c r="AL541" s="50"/>
      <c r="AM541" s="49"/>
      <c r="AN541" s="43"/>
      <c r="AO541" s="42"/>
      <c r="AP541" s="43"/>
      <c r="AQ541" s="44" t="str">
        <f t="shared" si="47"/>
        <v/>
      </c>
      <c r="AR541" s="44" t="str">
        <f t="shared" si="3"/>
        <v/>
      </c>
      <c r="AS541" s="44"/>
      <c r="AT541" s="44" t="str">
        <f t="shared" si="17"/>
        <v/>
      </c>
      <c r="AU541" s="44" t="str">
        <f t="shared" si="2"/>
        <v/>
      </c>
      <c r="AV541" s="38"/>
      <c r="AW541" s="38"/>
      <c r="AX541" s="38"/>
      <c r="AY541" s="38"/>
      <c r="AZ541" s="29" t="s">
        <v>928</v>
      </c>
      <c r="BA541" s="29">
        <v>1.0</v>
      </c>
      <c r="BB541" s="29">
        <v>2.0</v>
      </c>
      <c r="BC541" s="29" t="s">
        <v>929</v>
      </c>
      <c r="BD541" s="29"/>
      <c r="BE541" s="29"/>
      <c r="BF541" s="29" t="s">
        <v>1074</v>
      </c>
      <c r="BG541" s="29" t="s">
        <v>203</v>
      </c>
      <c r="BH541" s="29" t="s">
        <v>92</v>
      </c>
      <c r="BI541" s="29" t="s">
        <v>1075</v>
      </c>
      <c r="BJ541" s="29"/>
      <c r="BK541" s="29"/>
      <c r="BL541" s="29"/>
      <c r="BM541" s="45"/>
      <c r="BN541" s="45"/>
      <c r="BO541" s="46"/>
      <c r="BP541" s="2"/>
      <c r="BQ541" s="3"/>
    </row>
    <row r="542" ht="15.75" customHeight="1">
      <c r="A542" s="34">
        <v>543.0</v>
      </c>
      <c r="B542" s="34">
        <v>104278.0</v>
      </c>
      <c r="C542" s="34" t="s">
        <v>832</v>
      </c>
      <c r="D542" s="34" t="s">
        <v>1053</v>
      </c>
      <c r="E542" s="34" t="s">
        <v>1054</v>
      </c>
      <c r="F542" s="34">
        <v>2021.0</v>
      </c>
      <c r="G542" s="34" t="s">
        <v>1055</v>
      </c>
      <c r="H542" s="34" t="s">
        <v>1056</v>
      </c>
      <c r="I542" s="34" t="s">
        <v>1057</v>
      </c>
      <c r="J542" s="35"/>
      <c r="K542" s="36">
        <v>4.44</v>
      </c>
      <c r="L542" s="36"/>
      <c r="M542" s="36"/>
      <c r="N542" s="36"/>
      <c r="O542" s="36"/>
      <c r="P542" s="37">
        <v>11.18</v>
      </c>
      <c r="Q542" s="36" t="s">
        <v>191</v>
      </c>
      <c r="R542" s="36" t="s">
        <v>191</v>
      </c>
      <c r="S542" s="36" t="s">
        <v>928</v>
      </c>
      <c r="T542" s="36" t="s">
        <v>1058</v>
      </c>
      <c r="U542" s="36" t="s">
        <v>1059</v>
      </c>
      <c r="V542" s="36">
        <v>7639.0</v>
      </c>
      <c r="W542" s="36"/>
      <c r="X542" s="38">
        <v>135.0</v>
      </c>
      <c r="Y542" s="38" t="s">
        <v>1060</v>
      </c>
      <c r="Z542" s="38"/>
      <c r="AA542" s="38"/>
      <c r="AB542" s="38"/>
      <c r="AC542" s="38"/>
      <c r="AD542" s="38"/>
      <c r="AE542" s="38" t="s">
        <v>1090</v>
      </c>
      <c r="AF542" s="38"/>
      <c r="AG542" s="38"/>
      <c r="AH542" s="38"/>
      <c r="AI542" s="50"/>
      <c r="AJ542" s="50"/>
      <c r="AK542" s="41"/>
      <c r="AL542" s="50"/>
      <c r="AM542" s="49"/>
      <c r="AN542" s="43"/>
      <c r="AO542" s="42"/>
      <c r="AP542" s="43"/>
      <c r="AQ542" s="44" t="str">
        <f t="shared" si="47"/>
        <v/>
      </c>
      <c r="AR542" s="44" t="str">
        <f t="shared" si="3"/>
        <v/>
      </c>
      <c r="AS542" s="44"/>
      <c r="AT542" s="44" t="str">
        <f t="shared" si="17"/>
        <v/>
      </c>
      <c r="AU542" s="44" t="str">
        <f t="shared" si="2"/>
        <v/>
      </c>
      <c r="AV542" s="38"/>
      <c r="AW542" s="38"/>
      <c r="AX542" s="38"/>
      <c r="AY542" s="38"/>
      <c r="AZ542" s="29" t="s">
        <v>928</v>
      </c>
      <c r="BA542" s="29">
        <v>1.0</v>
      </c>
      <c r="BB542" s="29">
        <v>2.0</v>
      </c>
      <c r="BC542" s="29" t="s">
        <v>931</v>
      </c>
      <c r="BD542" s="29"/>
      <c r="BE542" s="29"/>
      <c r="BF542" s="29" t="s">
        <v>1076</v>
      </c>
      <c r="BG542" s="29" t="s">
        <v>203</v>
      </c>
      <c r="BH542" s="29" t="s">
        <v>92</v>
      </c>
      <c r="BI542" s="29" t="s">
        <v>1075</v>
      </c>
      <c r="BJ542" s="29"/>
      <c r="BK542" s="29"/>
      <c r="BL542" s="29"/>
      <c r="BM542" s="45"/>
      <c r="BN542" s="45"/>
      <c r="BO542" s="46"/>
      <c r="BP542" s="2"/>
      <c r="BQ542" s="3"/>
    </row>
    <row r="543" ht="15.75" customHeight="1">
      <c r="A543" s="34">
        <v>544.0</v>
      </c>
      <c r="B543" s="34">
        <v>104278.0</v>
      </c>
      <c r="C543" s="34" t="s">
        <v>832</v>
      </c>
      <c r="D543" s="34" t="s">
        <v>1053</v>
      </c>
      <c r="E543" s="34" t="s">
        <v>1054</v>
      </c>
      <c r="F543" s="34">
        <v>2021.0</v>
      </c>
      <c r="G543" s="34" t="s">
        <v>1055</v>
      </c>
      <c r="H543" s="34" t="s">
        <v>1056</v>
      </c>
      <c r="I543" s="34" t="s">
        <v>1057</v>
      </c>
      <c r="J543" s="35"/>
      <c r="K543" s="36">
        <v>-10.9</v>
      </c>
      <c r="L543" s="36"/>
      <c r="M543" s="36"/>
      <c r="N543" s="36"/>
      <c r="O543" s="36"/>
      <c r="P543" s="37">
        <v>-25.23</v>
      </c>
      <c r="Q543" s="36" t="s">
        <v>191</v>
      </c>
      <c r="R543" s="36" t="s">
        <v>191</v>
      </c>
      <c r="S543" s="36">
        <v>500.0</v>
      </c>
      <c r="T543" s="36" t="s">
        <v>1058</v>
      </c>
      <c r="U543" s="36" t="s">
        <v>1059</v>
      </c>
      <c r="V543" s="36">
        <v>6646.0</v>
      </c>
      <c r="W543" s="36"/>
      <c r="X543" s="38">
        <v>135.0</v>
      </c>
      <c r="Y543" s="38" t="s">
        <v>1060</v>
      </c>
      <c r="Z543" s="38"/>
      <c r="AA543" s="38"/>
      <c r="AB543" s="38"/>
      <c r="AC543" s="38"/>
      <c r="AD543" s="38"/>
      <c r="AE543" s="38" t="s">
        <v>1090</v>
      </c>
      <c r="AF543" s="38"/>
      <c r="AG543" s="38"/>
      <c r="AH543" s="38"/>
      <c r="AI543" s="50"/>
      <c r="AJ543" s="50"/>
      <c r="AK543" s="41"/>
      <c r="AL543" s="50"/>
      <c r="AM543" s="49"/>
      <c r="AN543" s="43"/>
      <c r="AO543" s="42"/>
      <c r="AP543" s="43"/>
      <c r="AQ543" s="44" t="str">
        <f t="shared" si="47"/>
        <v/>
      </c>
      <c r="AR543" s="44" t="str">
        <f t="shared" si="3"/>
        <v/>
      </c>
      <c r="AS543" s="44"/>
      <c r="AT543" s="44" t="str">
        <f t="shared" si="17"/>
        <v/>
      </c>
      <c r="AU543" s="44" t="str">
        <f t="shared" si="2"/>
        <v/>
      </c>
      <c r="AV543" s="38"/>
      <c r="AW543" s="38"/>
      <c r="AX543" s="38"/>
      <c r="AY543" s="38"/>
      <c r="AZ543" s="29">
        <v>500.0</v>
      </c>
      <c r="BA543" s="29">
        <v>1.0</v>
      </c>
      <c r="BB543" s="29">
        <v>2.0</v>
      </c>
      <c r="BC543" s="29" t="s">
        <v>1077</v>
      </c>
      <c r="BD543" s="29"/>
      <c r="BE543" s="29"/>
      <c r="BF543" s="29" t="s">
        <v>1078</v>
      </c>
      <c r="BG543" s="29" t="s">
        <v>220</v>
      </c>
      <c r="BH543" s="29" t="s">
        <v>92</v>
      </c>
      <c r="BI543" s="29" t="s">
        <v>1068</v>
      </c>
      <c r="BJ543" s="29"/>
      <c r="BK543" s="29" t="s">
        <v>148</v>
      </c>
      <c r="BL543" s="29"/>
      <c r="BM543" s="45"/>
      <c r="BN543" s="45"/>
      <c r="BO543" s="46"/>
      <c r="BP543" s="2"/>
      <c r="BQ543" s="3"/>
    </row>
    <row r="544" ht="15.75" customHeight="1">
      <c r="A544" s="34">
        <v>545.0</v>
      </c>
      <c r="B544" s="34">
        <v>104278.0</v>
      </c>
      <c r="C544" s="34" t="s">
        <v>832</v>
      </c>
      <c r="D544" s="34" t="s">
        <v>1053</v>
      </c>
      <c r="E544" s="34" t="s">
        <v>1054</v>
      </c>
      <c r="F544" s="34">
        <v>2021.0</v>
      </c>
      <c r="G544" s="34" t="s">
        <v>1055</v>
      </c>
      <c r="H544" s="34" t="s">
        <v>1056</v>
      </c>
      <c r="I544" s="34" t="s">
        <v>1057</v>
      </c>
      <c r="J544" s="35"/>
      <c r="K544" s="36">
        <v>-1.21</v>
      </c>
      <c r="L544" s="36"/>
      <c r="M544" s="36"/>
      <c r="N544" s="36"/>
      <c r="O544" s="36"/>
      <c r="P544" s="37">
        <v>-2.86</v>
      </c>
      <c r="Q544" s="36" t="s">
        <v>191</v>
      </c>
      <c r="R544" s="36" t="s">
        <v>191</v>
      </c>
      <c r="S544" s="36">
        <v>500.0</v>
      </c>
      <c r="T544" s="36" t="s">
        <v>1058</v>
      </c>
      <c r="U544" s="36" t="s">
        <v>1059</v>
      </c>
      <c r="V544" s="36">
        <v>4408.0</v>
      </c>
      <c r="W544" s="36"/>
      <c r="X544" s="38">
        <v>58.0</v>
      </c>
      <c r="Y544" s="38" t="s">
        <v>1060</v>
      </c>
      <c r="Z544" s="38"/>
      <c r="AA544" s="38"/>
      <c r="AB544" s="38"/>
      <c r="AC544" s="38"/>
      <c r="AD544" s="38"/>
      <c r="AE544" s="38" t="s">
        <v>1092</v>
      </c>
      <c r="AF544" s="38"/>
      <c r="AG544" s="38"/>
      <c r="AH544" s="38"/>
      <c r="AI544" s="50"/>
      <c r="AJ544" s="50"/>
      <c r="AK544" s="41"/>
      <c r="AL544" s="50"/>
      <c r="AM544" s="49"/>
      <c r="AN544" s="43"/>
      <c r="AO544" s="42"/>
      <c r="AP544" s="43"/>
      <c r="AQ544" s="44" t="str">
        <f t="shared" si="47"/>
        <v/>
      </c>
      <c r="AR544" s="44" t="str">
        <f t="shared" si="3"/>
        <v/>
      </c>
      <c r="AS544" s="44"/>
      <c r="AT544" s="44" t="str">
        <f t="shared" si="17"/>
        <v/>
      </c>
      <c r="AU544" s="44" t="str">
        <f t="shared" si="2"/>
        <v/>
      </c>
      <c r="AV544" s="38"/>
      <c r="AW544" s="38"/>
      <c r="AX544" s="38"/>
      <c r="AY544" s="38"/>
      <c r="AZ544" s="29">
        <v>500.0</v>
      </c>
      <c r="BA544" s="29">
        <v>1.0</v>
      </c>
      <c r="BB544" s="29">
        <v>2.0</v>
      </c>
      <c r="BC544" s="29" t="s">
        <v>1062</v>
      </c>
      <c r="BD544" s="29"/>
      <c r="BE544" s="29"/>
      <c r="BF544" s="29" t="s">
        <v>1062</v>
      </c>
      <c r="BG544" s="29" t="s">
        <v>220</v>
      </c>
      <c r="BH544" s="29" t="s">
        <v>92</v>
      </c>
      <c r="BI544" s="29" t="s">
        <v>1063</v>
      </c>
      <c r="BJ544" s="29"/>
      <c r="BK544" s="29" t="s">
        <v>148</v>
      </c>
      <c r="BL544" s="29"/>
      <c r="BM544" s="45"/>
      <c r="BN544" s="45"/>
      <c r="BO544" s="46"/>
      <c r="BP544" s="2"/>
      <c r="BQ544" s="3"/>
    </row>
    <row r="545" ht="15.75" customHeight="1">
      <c r="A545" s="34">
        <v>546.0</v>
      </c>
      <c r="B545" s="34">
        <v>104278.0</v>
      </c>
      <c r="C545" s="34" t="s">
        <v>832</v>
      </c>
      <c r="D545" s="34" t="s">
        <v>1053</v>
      </c>
      <c r="E545" s="34" t="s">
        <v>1054</v>
      </c>
      <c r="F545" s="34">
        <v>2021.0</v>
      </c>
      <c r="G545" s="34" t="s">
        <v>1055</v>
      </c>
      <c r="H545" s="34" t="s">
        <v>1056</v>
      </c>
      <c r="I545" s="34" t="s">
        <v>1057</v>
      </c>
      <c r="J545" s="35"/>
      <c r="K545" s="36">
        <v>1.36</v>
      </c>
      <c r="L545" s="36"/>
      <c r="M545" s="36"/>
      <c r="N545" s="36"/>
      <c r="O545" s="36"/>
      <c r="P545" s="37">
        <v>2.84</v>
      </c>
      <c r="Q545" s="36" t="s">
        <v>191</v>
      </c>
      <c r="R545" s="36" t="s">
        <v>191</v>
      </c>
      <c r="S545" s="36">
        <v>1000.0</v>
      </c>
      <c r="T545" s="36" t="s">
        <v>1058</v>
      </c>
      <c r="U545" s="36" t="s">
        <v>1059</v>
      </c>
      <c r="V545" s="36">
        <v>3662.0</v>
      </c>
      <c r="W545" s="36"/>
      <c r="X545" s="38">
        <v>58.0</v>
      </c>
      <c r="Y545" s="38" t="s">
        <v>1060</v>
      </c>
      <c r="Z545" s="38"/>
      <c r="AA545" s="38"/>
      <c r="AB545" s="38"/>
      <c r="AC545" s="38"/>
      <c r="AD545" s="38"/>
      <c r="AE545" s="38" t="s">
        <v>1092</v>
      </c>
      <c r="AF545" s="38"/>
      <c r="AG545" s="38"/>
      <c r="AH545" s="38"/>
      <c r="AI545" s="50"/>
      <c r="AJ545" s="50"/>
      <c r="AK545" s="41"/>
      <c r="AL545" s="50"/>
      <c r="AM545" s="49"/>
      <c r="AN545" s="43"/>
      <c r="AO545" s="42"/>
      <c r="AP545" s="43"/>
      <c r="AQ545" s="44" t="str">
        <f t="shared" si="47"/>
        <v/>
      </c>
      <c r="AR545" s="44" t="str">
        <f t="shared" si="3"/>
        <v/>
      </c>
      <c r="AS545" s="44"/>
      <c r="AT545" s="44" t="str">
        <f t="shared" si="17"/>
        <v/>
      </c>
      <c r="AU545" s="44" t="str">
        <f t="shared" si="2"/>
        <v/>
      </c>
      <c r="AV545" s="38"/>
      <c r="AW545" s="38"/>
      <c r="AX545" s="38"/>
      <c r="AY545" s="38"/>
      <c r="AZ545" s="29">
        <v>1000.0</v>
      </c>
      <c r="BA545" s="29">
        <v>1.0</v>
      </c>
      <c r="BB545" s="29">
        <v>2.0</v>
      </c>
      <c r="BC545" s="29" t="s">
        <v>802</v>
      </c>
      <c r="BD545" s="29"/>
      <c r="BE545" s="29"/>
      <c r="BF545" s="29" t="s">
        <v>826</v>
      </c>
      <c r="BG545" s="29" t="s">
        <v>220</v>
      </c>
      <c r="BH545" s="29" t="s">
        <v>92</v>
      </c>
      <c r="BI545" s="29" t="s">
        <v>1065</v>
      </c>
      <c r="BJ545" s="29"/>
      <c r="BK545" s="29" t="s">
        <v>148</v>
      </c>
      <c r="BL545" s="29"/>
      <c r="BM545" s="45"/>
      <c r="BN545" s="45"/>
      <c r="BO545" s="46"/>
      <c r="BP545" s="2"/>
      <c r="BQ545" s="3"/>
    </row>
    <row r="546" ht="15.75" customHeight="1">
      <c r="A546" s="34">
        <v>547.0</v>
      </c>
      <c r="B546" s="34">
        <v>104278.0</v>
      </c>
      <c r="C546" s="34" t="s">
        <v>832</v>
      </c>
      <c r="D546" s="34" t="s">
        <v>1053</v>
      </c>
      <c r="E546" s="34" t="s">
        <v>1054</v>
      </c>
      <c r="F546" s="34">
        <v>2021.0</v>
      </c>
      <c r="G546" s="34" t="s">
        <v>1055</v>
      </c>
      <c r="H546" s="34" t="s">
        <v>1056</v>
      </c>
      <c r="I546" s="34" t="s">
        <v>1057</v>
      </c>
      <c r="J546" s="35"/>
      <c r="K546" s="36">
        <v>-9.15</v>
      </c>
      <c r="L546" s="36"/>
      <c r="M546" s="36"/>
      <c r="N546" s="36"/>
      <c r="O546" s="36"/>
      <c r="P546" s="37">
        <v>-21.83</v>
      </c>
      <c r="Q546" s="36" t="s">
        <v>191</v>
      </c>
      <c r="R546" s="36" t="s">
        <v>191</v>
      </c>
      <c r="S546" s="36">
        <v>1000.0</v>
      </c>
      <c r="T546" s="36" t="s">
        <v>1058</v>
      </c>
      <c r="U546" s="36" t="s">
        <v>1059</v>
      </c>
      <c r="V546" s="36">
        <v>4154.0</v>
      </c>
      <c r="W546" s="36"/>
      <c r="X546" s="38">
        <v>58.0</v>
      </c>
      <c r="Y546" s="38" t="s">
        <v>1060</v>
      </c>
      <c r="Z546" s="38"/>
      <c r="AA546" s="38"/>
      <c r="AB546" s="38"/>
      <c r="AC546" s="38"/>
      <c r="AD546" s="38"/>
      <c r="AE546" s="38" t="s">
        <v>1092</v>
      </c>
      <c r="AF546" s="38"/>
      <c r="AG546" s="38"/>
      <c r="AH546" s="38"/>
      <c r="AI546" s="50"/>
      <c r="AJ546" s="50"/>
      <c r="AK546" s="41"/>
      <c r="AL546" s="50"/>
      <c r="AM546" s="49"/>
      <c r="AN546" s="43"/>
      <c r="AO546" s="42"/>
      <c r="AP546" s="43"/>
      <c r="AQ546" s="44" t="str">
        <f t="shared" si="47"/>
        <v/>
      </c>
      <c r="AR546" s="44" t="str">
        <f t="shared" si="3"/>
        <v/>
      </c>
      <c r="AS546" s="44"/>
      <c r="AT546" s="44" t="str">
        <f t="shared" si="17"/>
        <v/>
      </c>
      <c r="AU546" s="44" t="str">
        <f t="shared" si="2"/>
        <v/>
      </c>
      <c r="AV546" s="38"/>
      <c r="AW546" s="38"/>
      <c r="AX546" s="38"/>
      <c r="AY546" s="38"/>
      <c r="AZ546" s="29">
        <v>1000.0</v>
      </c>
      <c r="BA546" s="29">
        <v>1.0</v>
      </c>
      <c r="BB546" s="29">
        <v>2.0</v>
      </c>
      <c r="BC546" s="29" t="s">
        <v>1066</v>
      </c>
      <c r="BD546" s="29"/>
      <c r="BE546" s="29"/>
      <c r="BF546" s="29" t="s">
        <v>1067</v>
      </c>
      <c r="BG546" s="29" t="s">
        <v>220</v>
      </c>
      <c r="BH546" s="29" t="s">
        <v>92</v>
      </c>
      <c r="BI546" s="29" t="s">
        <v>1068</v>
      </c>
      <c r="BJ546" s="29"/>
      <c r="BK546" s="29" t="s">
        <v>148</v>
      </c>
      <c r="BL546" s="29"/>
      <c r="BM546" s="45"/>
      <c r="BN546" s="45"/>
      <c r="BO546" s="46"/>
      <c r="BP546" s="2"/>
      <c r="BQ546" s="3"/>
    </row>
    <row r="547" ht="15.75" customHeight="1">
      <c r="A547" s="34">
        <v>548.0</v>
      </c>
      <c r="B547" s="34">
        <v>104278.0</v>
      </c>
      <c r="C547" s="34" t="s">
        <v>832</v>
      </c>
      <c r="D547" s="34" t="s">
        <v>1053</v>
      </c>
      <c r="E547" s="34" t="s">
        <v>1054</v>
      </c>
      <c r="F547" s="34">
        <v>2021.0</v>
      </c>
      <c r="G547" s="34" t="s">
        <v>1055</v>
      </c>
      <c r="H547" s="34" t="s">
        <v>1056</v>
      </c>
      <c r="I547" s="34" t="s">
        <v>1057</v>
      </c>
      <c r="J547" s="35"/>
      <c r="K547" s="36">
        <v>-1.72</v>
      </c>
      <c r="L547" s="36"/>
      <c r="M547" s="36"/>
      <c r="N547" s="36"/>
      <c r="O547" s="36"/>
      <c r="P547" s="37">
        <v>-3.87</v>
      </c>
      <c r="Q547" s="36" t="s">
        <v>191</v>
      </c>
      <c r="R547" s="36" t="s">
        <v>191</v>
      </c>
      <c r="S547" s="36">
        <v>5000.0</v>
      </c>
      <c r="T547" s="36" t="s">
        <v>1058</v>
      </c>
      <c r="U547" s="36" t="s">
        <v>1059</v>
      </c>
      <c r="V547" s="36">
        <v>4215.0</v>
      </c>
      <c r="W547" s="36"/>
      <c r="X547" s="38">
        <v>58.0</v>
      </c>
      <c r="Y547" s="38" t="s">
        <v>1060</v>
      </c>
      <c r="Z547" s="38"/>
      <c r="AA547" s="38"/>
      <c r="AB547" s="38"/>
      <c r="AC547" s="38"/>
      <c r="AD547" s="38"/>
      <c r="AE547" s="38" t="s">
        <v>1092</v>
      </c>
      <c r="AF547" s="38"/>
      <c r="AG547" s="38"/>
      <c r="AH547" s="38"/>
      <c r="AI547" s="50"/>
      <c r="AJ547" s="50"/>
      <c r="AK547" s="41"/>
      <c r="AL547" s="50"/>
      <c r="AM547" s="49"/>
      <c r="AN547" s="43"/>
      <c r="AO547" s="42"/>
      <c r="AP547" s="43"/>
      <c r="AQ547" s="44" t="str">
        <f t="shared" si="47"/>
        <v/>
      </c>
      <c r="AR547" s="44" t="str">
        <f t="shared" si="3"/>
        <v/>
      </c>
      <c r="AS547" s="44"/>
      <c r="AT547" s="44" t="str">
        <f t="shared" si="17"/>
        <v/>
      </c>
      <c r="AU547" s="44" t="str">
        <f t="shared" si="2"/>
        <v/>
      </c>
      <c r="AV547" s="38"/>
      <c r="AW547" s="38"/>
      <c r="AX547" s="38"/>
      <c r="AY547" s="38"/>
      <c r="AZ547" s="29">
        <v>5000.0</v>
      </c>
      <c r="BA547" s="29">
        <v>1.0</v>
      </c>
      <c r="BB547" s="29">
        <v>2.0</v>
      </c>
      <c r="BC547" s="29" t="s">
        <v>936</v>
      </c>
      <c r="BD547" s="29"/>
      <c r="BE547" s="29"/>
      <c r="BF547" s="29" t="s">
        <v>1069</v>
      </c>
      <c r="BG547" s="29" t="s">
        <v>572</v>
      </c>
      <c r="BH547" s="29" t="s">
        <v>92</v>
      </c>
      <c r="BI547" s="29" t="s">
        <v>1070</v>
      </c>
      <c r="BJ547" s="29"/>
      <c r="BK547" s="29" t="s">
        <v>1071</v>
      </c>
      <c r="BL547" s="29"/>
      <c r="BM547" s="45"/>
      <c r="BN547" s="45"/>
      <c r="BO547" s="46"/>
      <c r="BP547" s="2"/>
      <c r="BQ547" s="3"/>
    </row>
    <row r="548" ht="15.75" customHeight="1">
      <c r="A548" s="34">
        <v>549.0</v>
      </c>
      <c r="B548" s="34">
        <v>104278.0</v>
      </c>
      <c r="C548" s="34" t="s">
        <v>832</v>
      </c>
      <c r="D548" s="34" t="s">
        <v>1053</v>
      </c>
      <c r="E548" s="34" t="s">
        <v>1054</v>
      </c>
      <c r="F548" s="34">
        <v>2021.0</v>
      </c>
      <c r="G548" s="34" t="s">
        <v>1055</v>
      </c>
      <c r="H548" s="34" t="s">
        <v>1056</v>
      </c>
      <c r="I548" s="34" t="s">
        <v>1057</v>
      </c>
      <c r="J548" s="35"/>
      <c r="K548" s="36">
        <v>9.25</v>
      </c>
      <c r="L548" s="36"/>
      <c r="M548" s="36"/>
      <c r="N548" s="36"/>
      <c r="O548" s="36"/>
      <c r="P548" s="37">
        <v>22.04</v>
      </c>
      <c r="Q548" s="36" t="s">
        <v>191</v>
      </c>
      <c r="R548" s="36" t="s">
        <v>191</v>
      </c>
      <c r="S548" s="36">
        <v>8000.0</v>
      </c>
      <c r="T548" s="36" t="s">
        <v>1058</v>
      </c>
      <c r="U548" s="36" t="s">
        <v>1059</v>
      </c>
      <c r="V548" s="36">
        <v>4242.0</v>
      </c>
      <c r="W548" s="36"/>
      <c r="X548" s="38">
        <v>58.0</v>
      </c>
      <c r="Y548" s="38" t="s">
        <v>1060</v>
      </c>
      <c r="Z548" s="38"/>
      <c r="AA548" s="38"/>
      <c r="AB548" s="38"/>
      <c r="AC548" s="38"/>
      <c r="AD548" s="38"/>
      <c r="AE548" s="38" t="s">
        <v>1092</v>
      </c>
      <c r="AF548" s="38"/>
      <c r="AG548" s="38"/>
      <c r="AH548" s="38"/>
      <c r="AI548" s="50"/>
      <c r="AJ548" s="50"/>
      <c r="AK548" s="41"/>
      <c r="AL548" s="50"/>
      <c r="AM548" s="49"/>
      <c r="AN548" s="43"/>
      <c r="AO548" s="42"/>
      <c r="AP548" s="43"/>
      <c r="AQ548" s="44" t="str">
        <f t="shared" si="47"/>
        <v/>
      </c>
      <c r="AR548" s="44" t="str">
        <f t="shared" si="3"/>
        <v/>
      </c>
      <c r="AS548" s="44"/>
      <c r="AT548" s="44" t="str">
        <f t="shared" si="17"/>
        <v/>
      </c>
      <c r="AU548" s="44" t="str">
        <f t="shared" si="2"/>
        <v/>
      </c>
      <c r="AV548" s="38"/>
      <c r="AW548" s="38"/>
      <c r="AX548" s="38"/>
      <c r="AY548" s="38"/>
      <c r="AZ548" s="29">
        <v>8000.0</v>
      </c>
      <c r="BA548" s="29">
        <v>1.0</v>
      </c>
      <c r="BB548" s="29">
        <v>2.0</v>
      </c>
      <c r="BC548" s="29" t="s">
        <v>933</v>
      </c>
      <c r="BD548" s="29"/>
      <c r="BE548" s="29"/>
      <c r="BF548" s="29" t="s">
        <v>1072</v>
      </c>
      <c r="BG548" s="29" t="s">
        <v>220</v>
      </c>
      <c r="BH548" s="29" t="s">
        <v>92</v>
      </c>
      <c r="BI548" s="29" t="s">
        <v>1073</v>
      </c>
      <c r="BJ548" s="29"/>
      <c r="BK548" s="29" t="s">
        <v>681</v>
      </c>
      <c r="BL548" s="29"/>
      <c r="BM548" s="45"/>
      <c r="BN548" s="45"/>
      <c r="BO548" s="46"/>
      <c r="BP548" s="2"/>
      <c r="BQ548" s="3"/>
    </row>
    <row r="549" ht="15.75" customHeight="1">
      <c r="A549" s="34">
        <v>550.0</v>
      </c>
      <c r="B549" s="34">
        <v>104278.0</v>
      </c>
      <c r="C549" s="34" t="s">
        <v>832</v>
      </c>
      <c r="D549" s="34" t="s">
        <v>1053</v>
      </c>
      <c r="E549" s="34" t="s">
        <v>1054</v>
      </c>
      <c r="F549" s="34">
        <v>2021.0</v>
      </c>
      <c r="G549" s="34" t="s">
        <v>1055</v>
      </c>
      <c r="H549" s="34" t="s">
        <v>1056</v>
      </c>
      <c r="I549" s="34" t="s">
        <v>1057</v>
      </c>
      <c r="J549" s="35"/>
      <c r="K549" s="36">
        <v>-5.25</v>
      </c>
      <c r="L549" s="36"/>
      <c r="M549" s="36"/>
      <c r="N549" s="36"/>
      <c r="O549" s="36"/>
      <c r="P549" s="37">
        <v>-12.12</v>
      </c>
      <c r="Q549" s="36" t="s">
        <v>191</v>
      </c>
      <c r="R549" s="36" t="s">
        <v>191</v>
      </c>
      <c r="S549" s="36" t="s">
        <v>928</v>
      </c>
      <c r="T549" s="36" t="s">
        <v>1058</v>
      </c>
      <c r="U549" s="36" t="s">
        <v>1059</v>
      </c>
      <c r="V549" s="36">
        <v>4718.0</v>
      </c>
      <c r="W549" s="36"/>
      <c r="X549" s="38">
        <v>58.0</v>
      </c>
      <c r="Y549" s="38" t="s">
        <v>1060</v>
      </c>
      <c r="Z549" s="38"/>
      <c r="AA549" s="38"/>
      <c r="AB549" s="38"/>
      <c r="AC549" s="38"/>
      <c r="AD549" s="38"/>
      <c r="AE549" s="38" t="s">
        <v>1092</v>
      </c>
      <c r="AF549" s="38"/>
      <c r="AG549" s="38"/>
      <c r="AH549" s="38"/>
      <c r="AI549" s="50"/>
      <c r="AJ549" s="50"/>
      <c r="AK549" s="41"/>
      <c r="AL549" s="50"/>
      <c r="AM549" s="49"/>
      <c r="AN549" s="43"/>
      <c r="AO549" s="42"/>
      <c r="AP549" s="43"/>
      <c r="AQ549" s="44" t="str">
        <f t="shared" si="47"/>
        <v/>
      </c>
      <c r="AR549" s="44" t="str">
        <f t="shared" si="3"/>
        <v/>
      </c>
      <c r="AS549" s="44"/>
      <c r="AT549" s="44" t="str">
        <f t="shared" si="17"/>
        <v/>
      </c>
      <c r="AU549" s="44" t="str">
        <f t="shared" si="2"/>
        <v/>
      </c>
      <c r="AV549" s="38"/>
      <c r="AW549" s="38"/>
      <c r="AX549" s="38"/>
      <c r="AY549" s="38"/>
      <c r="AZ549" s="29" t="s">
        <v>928</v>
      </c>
      <c r="BA549" s="29">
        <v>1.0</v>
      </c>
      <c r="BB549" s="29">
        <v>2.0</v>
      </c>
      <c r="BC549" s="29" t="s">
        <v>929</v>
      </c>
      <c r="BD549" s="29"/>
      <c r="BE549" s="29"/>
      <c r="BF549" s="29" t="s">
        <v>1074</v>
      </c>
      <c r="BG549" s="29" t="s">
        <v>203</v>
      </c>
      <c r="BH549" s="29" t="s">
        <v>92</v>
      </c>
      <c r="BI549" s="29" t="s">
        <v>1075</v>
      </c>
      <c r="BJ549" s="29"/>
      <c r="BK549" s="29"/>
      <c r="BL549" s="29"/>
      <c r="BM549" s="45"/>
      <c r="BN549" s="45"/>
      <c r="BO549" s="46"/>
      <c r="BP549" s="2"/>
      <c r="BQ549" s="3"/>
    </row>
    <row r="550" ht="15.75" customHeight="1">
      <c r="A550" s="34">
        <v>551.0</v>
      </c>
      <c r="B550" s="34">
        <v>104278.0</v>
      </c>
      <c r="C550" s="34" t="s">
        <v>832</v>
      </c>
      <c r="D550" s="34" t="s">
        <v>1053</v>
      </c>
      <c r="E550" s="34" t="s">
        <v>1054</v>
      </c>
      <c r="F550" s="34">
        <v>2021.0</v>
      </c>
      <c r="G550" s="34" t="s">
        <v>1055</v>
      </c>
      <c r="H550" s="34" t="s">
        <v>1056</v>
      </c>
      <c r="I550" s="34" t="s">
        <v>1057</v>
      </c>
      <c r="J550" s="35"/>
      <c r="K550" s="36">
        <v>-5.59</v>
      </c>
      <c r="L550" s="36"/>
      <c r="M550" s="36"/>
      <c r="N550" s="36"/>
      <c r="O550" s="36"/>
      <c r="P550" s="37">
        <v>-12.9</v>
      </c>
      <c r="Q550" s="36" t="s">
        <v>191</v>
      </c>
      <c r="R550" s="36" t="s">
        <v>191</v>
      </c>
      <c r="S550" s="36" t="s">
        <v>928</v>
      </c>
      <c r="T550" s="36" t="s">
        <v>1058</v>
      </c>
      <c r="U550" s="36" t="s">
        <v>1059</v>
      </c>
      <c r="V550" s="36">
        <v>4168.0</v>
      </c>
      <c r="W550" s="36"/>
      <c r="X550" s="38">
        <v>58.0</v>
      </c>
      <c r="Y550" s="38" t="s">
        <v>1060</v>
      </c>
      <c r="Z550" s="38"/>
      <c r="AA550" s="38"/>
      <c r="AB550" s="38"/>
      <c r="AC550" s="38"/>
      <c r="AD550" s="38"/>
      <c r="AE550" s="38" t="s">
        <v>1092</v>
      </c>
      <c r="AF550" s="38"/>
      <c r="AG550" s="38"/>
      <c r="AH550" s="38"/>
      <c r="AI550" s="50"/>
      <c r="AJ550" s="50"/>
      <c r="AK550" s="41"/>
      <c r="AL550" s="50"/>
      <c r="AM550" s="49"/>
      <c r="AN550" s="43"/>
      <c r="AO550" s="42"/>
      <c r="AP550" s="43"/>
      <c r="AQ550" s="44" t="str">
        <f t="shared" si="47"/>
        <v/>
      </c>
      <c r="AR550" s="44" t="str">
        <f t="shared" si="3"/>
        <v/>
      </c>
      <c r="AS550" s="44"/>
      <c r="AT550" s="44" t="str">
        <f t="shared" si="17"/>
        <v/>
      </c>
      <c r="AU550" s="44" t="str">
        <f t="shared" si="2"/>
        <v/>
      </c>
      <c r="AV550" s="38"/>
      <c r="AW550" s="38"/>
      <c r="AX550" s="38"/>
      <c r="AY550" s="38"/>
      <c r="AZ550" s="29" t="s">
        <v>928</v>
      </c>
      <c r="BA550" s="29">
        <v>1.0</v>
      </c>
      <c r="BB550" s="29">
        <v>2.0</v>
      </c>
      <c r="BC550" s="29" t="s">
        <v>931</v>
      </c>
      <c r="BD550" s="29"/>
      <c r="BE550" s="29"/>
      <c r="BF550" s="29" t="s">
        <v>1076</v>
      </c>
      <c r="BG550" s="29" t="s">
        <v>203</v>
      </c>
      <c r="BH550" s="29" t="s">
        <v>92</v>
      </c>
      <c r="BI550" s="29" t="s">
        <v>1075</v>
      </c>
      <c r="BJ550" s="29"/>
      <c r="BK550" s="29"/>
      <c r="BL550" s="29"/>
      <c r="BM550" s="45"/>
      <c r="BN550" s="45"/>
      <c r="BO550" s="46"/>
      <c r="BP550" s="2"/>
      <c r="BQ550" s="3"/>
    </row>
    <row r="551" ht="15.75" customHeight="1">
      <c r="A551" s="34">
        <v>552.0</v>
      </c>
      <c r="B551" s="34">
        <v>104278.0</v>
      </c>
      <c r="C551" s="34" t="s">
        <v>832</v>
      </c>
      <c r="D551" s="34" t="s">
        <v>1053</v>
      </c>
      <c r="E551" s="34" t="s">
        <v>1054</v>
      </c>
      <c r="F551" s="34">
        <v>2021.0</v>
      </c>
      <c r="G551" s="34" t="s">
        <v>1055</v>
      </c>
      <c r="H551" s="34" t="s">
        <v>1056</v>
      </c>
      <c r="I551" s="34" t="s">
        <v>1057</v>
      </c>
      <c r="J551" s="35"/>
      <c r="K551" s="36">
        <v>-17.12</v>
      </c>
      <c r="L551" s="36"/>
      <c r="M551" s="36"/>
      <c r="N551" s="36"/>
      <c r="O551" s="36"/>
      <c r="P551" s="37">
        <v>-38.14</v>
      </c>
      <c r="Q551" s="36" t="s">
        <v>191</v>
      </c>
      <c r="R551" s="36" t="s">
        <v>191</v>
      </c>
      <c r="S551" s="36">
        <v>500.0</v>
      </c>
      <c r="T551" s="36" t="s">
        <v>1058</v>
      </c>
      <c r="U551" s="36" t="s">
        <v>1059</v>
      </c>
      <c r="V551" s="36">
        <v>4129.0</v>
      </c>
      <c r="W551" s="36"/>
      <c r="X551" s="38">
        <v>58.0</v>
      </c>
      <c r="Y551" s="38" t="s">
        <v>1060</v>
      </c>
      <c r="Z551" s="38"/>
      <c r="AA551" s="38"/>
      <c r="AB551" s="38"/>
      <c r="AC551" s="38"/>
      <c r="AD551" s="38"/>
      <c r="AE551" s="38" t="s">
        <v>1092</v>
      </c>
      <c r="AF551" s="38"/>
      <c r="AG551" s="38"/>
      <c r="AH551" s="38"/>
      <c r="AI551" s="50"/>
      <c r="AJ551" s="50"/>
      <c r="AK551" s="41"/>
      <c r="AL551" s="50"/>
      <c r="AM551" s="49"/>
      <c r="AN551" s="43"/>
      <c r="AO551" s="42"/>
      <c r="AP551" s="43"/>
      <c r="AQ551" s="44" t="str">
        <f t="shared" si="47"/>
        <v/>
      </c>
      <c r="AR551" s="44" t="str">
        <f t="shared" si="3"/>
        <v/>
      </c>
      <c r="AS551" s="44"/>
      <c r="AT551" s="44" t="str">
        <f t="shared" si="17"/>
        <v/>
      </c>
      <c r="AU551" s="44" t="str">
        <f t="shared" si="2"/>
        <v/>
      </c>
      <c r="AV551" s="38"/>
      <c r="AW551" s="38"/>
      <c r="AX551" s="38"/>
      <c r="AY551" s="38"/>
      <c r="AZ551" s="29">
        <v>500.0</v>
      </c>
      <c r="BA551" s="29">
        <v>1.0</v>
      </c>
      <c r="BB551" s="29">
        <v>2.0</v>
      </c>
      <c r="BC551" s="29" t="s">
        <v>1077</v>
      </c>
      <c r="BD551" s="29"/>
      <c r="BE551" s="29"/>
      <c r="BF551" s="29" t="s">
        <v>1078</v>
      </c>
      <c r="BG551" s="29" t="s">
        <v>220</v>
      </c>
      <c r="BH551" s="29" t="s">
        <v>92</v>
      </c>
      <c r="BI551" s="29" t="s">
        <v>1068</v>
      </c>
      <c r="BJ551" s="29"/>
      <c r="BK551" s="29" t="s">
        <v>148</v>
      </c>
      <c r="BL551" s="29"/>
      <c r="BM551" s="45"/>
      <c r="BN551" s="45"/>
      <c r="BO551" s="46"/>
      <c r="BP551" s="2"/>
      <c r="BQ551" s="3"/>
    </row>
    <row r="552" ht="15.75" customHeight="1">
      <c r="A552" s="34">
        <v>553.0</v>
      </c>
      <c r="B552" s="34">
        <v>104278.0</v>
      </c>
      <c r="C552" s="34" t="s">
        <v>832</v>
      </c>
      <c r="D552" s="34" t="s">
        <v>1053</v>
      </c>
      <c r="E552" s="34" t="s">
        <v>1054</v>
      </c>
      <c r="F552" s="34">
        <v>2021.0</v>
      </c>
      <c r="G552" s="34" t="s">
        <v>1055</v>
      </c>
      <c r="H552" s="34" t="s">
        <v>1056</v>
      </c>
      <c r="I552" s="34" t="s">
        <v>1057</v>
      </c>
      <c r="J552" s="35"/>
      <c r="K552" s="36">
        <v>-0.54</v>
      </c>
      <c r="L552" s="36"/>
      <c r="M552" s="36"/>
      <c r="N552" s="36"/>
      <c r="O552" s="36"/>
      <c r="P552" s="37">
        <v>-1.02</v>
      </c>
      <c r="Q552" s="36" t="s">
        <v>191</v>
      </c>
      <c r="R552" s="36" t="s">
        <v>191</v>
      </c>
      <c r="S552" s="36">
        <v>10000.0</v>
      </c>
      <c r="T552" s="36" t="s">
        <v>1058</v>
      </c>
      <c r="U552" s="36" t="s">
        <v>1059</v>
      </c>
      <c r="V552" s="36">
        <v>999.0</v>
      </c>
      <c r="W552" s="36"/>
      <c r="X552" s="38" t="s">
        <v>630</v>
      </c>
      <c r="Y552" s="38" t="s">
        <v>1093</v>
      </c>
      <c r="Z552" s="38"/>
      <c r="AA552" s="38"/>
      <c r="AB552" s="38" t="s">
        <v>1094</v>
      </c>
      <c r="AC552" s="38"/>
      <c r="AD552" s="38" t="s">
        <v>198</v>
      </c>
      <c r="AE552" s="53"/>
      <c r="AF552" s="38"/>
      <c r="AG552" s="38"/>
      <c r="AH552" s="38"/>
      <c r="AI552" s="50"/>
      <c r="AJ552" s="50"/>
      <c r="AK552" s="41"/>
      <c r="AL552" s="50"/>
      <c r="AM552" s="49"/>
      <c r="AN552" s="43"/>
      <c r="AO552" s="42"/>
      <c r="AP552" s="43"/>
      <c r="AQ552" s="44" t="str">
        <f t="shared" si="47"/>
        <v/>
      </c>
      <c r="AR552" s="44" t="str">
        <f t="shared" si="3"/>
        <v/>
      </c>
      <c r="AS552" s="44"/>
      <c r="AT552" s="44" t="str">
        <f t="shared" si="17"/>
        <v/>
      </c>
      <c r="AU552" s="44" t="str">
        <f t="shared" si="2"/>
        <v/>
      </c>
      <c r="AV552" s="38"/>
      <c r="AW552" s="38"/>
      <c r="AX552" s="38"/>
      <c r="AY552" s="38"/>
      <c r="AZ552" s="29">
        <v>10000.0</v>
      </c>
      <c r="BA552" s="29">
        <v>1.0</v>
      </c>
      <c r="BB552" s="29">
        <v>2.0</v>
      </c>
      <c r="BC552" s="29" t="s">
        <v>926</v>
      </c>
      <c r="BD552" s="29"/>
      <c r="BE552" s="29"/>
      <c r="BF552" s="29" t="s">
        <v>926</v>
      </c>
      <c r="BG552" s="29" t="s">
        <v>1095</v>
      </c>
      <c r="BH552" s="29" t="s">
        <v>92</v>
      </c>
      <c r="BI552" s="29" t="s">
        <v>1096</v>
      </c>
      <c r="BJ552" s="29"/>
      <c r="BK552" s="29" t="s">
        <v>148</v>
      </c>
      <c r="BL552" s="29"/>
      <c r="BM552" s="45"/>
      <c r="BN552" s="45"/>
      <c r="BO552" s="46"/>
      <c r="BP552" s="2"/>
      <c r="BQ552" s="3"/>
    </row>
    <row r="553" ht="15.75" customHeight="1">
      <c r="A553" s="34">
        <v>554.0</v>
      </c>
      <c r="B553" s="34">
        <v>104278.0</v>
      </c>
      <c r="C553" s="34" t="s">
        <v>832</v>
      </c>
      <c r="D553" s="34" t="s">
        <v>1053</v>
      </c>
      <c r="E553" s="34" t="s">
        <v>1054</v>
      </c>
      <c r="F553" s="34">
        <v>2021.0</v>
      </c>
      <c r="G553" s="34" t="s">
        <v>1055</v>
      </c>
      <c r="H553" s="34" t="s">
        <v>1056</v>
      </c>
      <c r="I553" s="34" t="s">
        <v>1057</v>
      </c>
      <c r="J553" s="35"/>
      <c r="K553" s="36">
        <v>27.29</v>
      </c>
      <c r="L553" s="36"/>
      <c r="M553" s="36"/>
      <c r="N553" s="36"/>
      <c r="O553" s="36"/>
      <c r="P553" s="37">
        <v>56.67</v>
      </c>
      <c r="Q553" s="36" t="s">
        <v>191</v>
      </c>
      <c r="R553" s="36" t="s">
        <v>191</v>
      </c>
      <c r="S553" s="36">
        <v>1000.0</v>
      </c>
      <c r="T553" s="36" t="s">
        <v>1058</v>
      </c>
      <c r="U553" s="36" t="s">
        <v>1059</v>
      </c>
      <c r="V553" s="36">
        <v>11273.0</v>
      </c>
      <c r="W553" s="36"/>
      <c r="X553" s="38" t="s">
        <v>630</v>
      </c>
      <c r="Y553" s="38" t="s">
        <v>1097</v>
      </c>
      <c r="Z553" s="38"/>
      <c r="AA553" s="38"/>
      <c r="AB553" s="38" t="s">
        <v>87</v>
      </c>
      <c r="AC553" s="38"/>
      <c r="AD553" s="39" t="s">
        <v>87</v>
      </c>
      <c r="AE553" s="38"/>
      <c r="AF553" s="38"/>
      <c r="AG553" s="38"/>
      <c r="AH553" s="38"/>
      <c r="AI553" s="50"/>
      <c r="AJ553" s="50"/>
      <c r="AK553" s="41"/>
      <c r="AL553" s="50"/>
      <c r="AM553" s="49"/>
      <c r="AN553" s="43"/>
      <c r="AO553" s="42"/>
      <c r="AP553" s="43"/>
      <c r="AQ553" s="44" t="str">
        <f t="shared" si="47"/>
        <v/>
      </c>
      <c r="AR553" s="44" t="str">
        <f t="shared" si="3"/>
        <v/>
      </c>
      <c r="AS553" s="44"/>
      <c r="AT553" s="44" t="str">
        <f t="shared" si="17"/>
        <v/>
      </c>
      <c r="AU553" s="44" t="str">
        <f t="shared" si="2"/>
        <v/>
      </c>
      <c r="AV553" s="38"/>
      <c r="AW553" s="38"/>
      <c r="AX553" s="38"/>
      <c r="AY553" s="38"/>
      <c r="AZ553" s="29">
        <v>1000.0</v>
      </c>
      <c r="BA553" s="29">
        <v>1.0</v>
      </c>
      <c r="BB553" s="29">
        <v>2.0</v>
      </c>
      <c r="BC553" s="29" t="s">
        <v>802</v>
      </c>
      <c r="BD553" s="29"/>
      <c r="BE553" s="29"/>
      <c r="BF553" s="29" t="s">
        <v>826</v>
      </c>
      <c r="BG553" s="29" t="s">
        <v>220</v>
      </c>
      <c r="BH553" s="29" t="s">
        <v>92</v>
      </c>
      <c r="BI553" s="29" t="s">
        <v>1098</v>
      </c>
      <c r="BJ553" s="29"/>
      <c r="BK553" s="29" t="s">
        <v>148</v>
      </c>
      <c r="BL553" s="29"/>
      <c r="BM553" s="45"/>
      <c r="BN553" s="45"/>
      <c r="BO553" s="46"/>
      <c r="BP553" s="2"/>
      <c r="BQ553" s="3"/>
    </row>
    <row r="554" ht="15.75" customHeight="1">
      <c r="A554" s="34">
        <v>555.0</v>
      </c>
      <c r="B554" s="34">
        <v>104278.0</v>
      </c>
      <c r="C554" s="34" t="s">
        <v>832</v>
      </c>
      <c r="D554" s="34" t="s">
        <v>1053</v>
      </c>
      <c r="E554" s="34" t="s">
        <v>1054</v>
      </c>
      <c r="F554" s="34">
        <v>2021.0</v>
      </c>
      <c r="G554" s="34" t="s">
        <v>1055</v>
      </c>
      <c r="H554" s="34" t="s">
        <v>1056</v>
      </c>
      <c r="I554" s="34" t="s">
        <v>1057</v>
      </c>
      <c r="J554" s="35"/>
      <c r="K554" s="36">
        <v>7.77</v>
      </c>
      <c r="L554" s="36"/>
      <c r="M554" s="36"/>
      <c r="N554" s="36"/>
      <c r="O554" s="36"/>
      <c r="P554" s="37">
        <v>11.72</v>
      </c>
      <c r="Q554" s="36" t="s">
        <v>191</v>
      </c>
      <c r="R554" s="36" t="s">
        <v>191</v>
      </c>
      <c r="S554" s="36">
        <v>250.0</v>
      </c>
      <c r="T554" s="36" t="s">
        <v>1058</v>
      </c>
      <c r="U554" s="36" t="s">
        <v>1059</v>
      </c>
      <c r="V554" s="36">
        <v>210.0</v>
      </c>
      <c r="W554" s="36"/>
      <c r="X554" s="38" t="s">
        <v>630</v>
      </c>
      <c r="Y554" s="38" t="s">
        <v>1099</v>
      </c>
      <c r="Z554" s="38"/>
      <c r="AA554" s="38"/>
      <c r="AB554" s="38" t="s">
        <v>1100</v>
      </c>
      <c r="AC554" s="38"/>
      <c r="AD554" s="38" t="s">
        <v>1100</v>
      </c>
      <c r="AE554" s="53"/>
      <c r="AF554" s="38"/>
      <c r="AG554" s="38"/>
      <c r="AH554" s="38"/>
      <c r="AI554" s="50"/>
      <c r="AJ554" s="50"/>
      <c r="AK554" s="41"/>
      <c r="AL554" s="50"/>
      <c r="AM554" s="49"/>
      <c r="AN554" s="43"/>
      <c r="AO554" s="42"/>
      <c r="AP554" s="43"/>
      <c r="AQ554" s="44" t="str">
        <f t="shared" si="47"/>
        <v/>
      </c>
      <c r="AR554" s="44" t="str">
        <f t="shared" si="3"/>
        <v/>
      </c>
      <c r="AS554" s="44"/>
      <c r="AT554" s="44" t="str">
        <f t="shared" si="17"/>
        <v/>
      </c>
      <c r="AU554" s="44" t="str">
        <f t="shared" si="2"/>
        <v/>
      </c>
      <c r="AV554" s="38"/>
      <c r="AW554" s="38"/>
      <c r="AX554" s="38"/>
      <c r="AY554" s="38"/>
      <c r="AZ554" s="29">
        <v>250.0</v>
      </c>
      <c r="BA554" s="29">
        <v>1.0</v>
      </c>
      <c r="BB554" s="29">
        <v>2.0</v>
      </c>
      <c r="BC554" s="29" t="s">
        <v>1101</v>
      </c>
      <c r="BD554" s="29"/>
      <c r="BE554" s="29"/>
      <c r="BF554" s="29" t="s">
        <v>1069</v>
      </c>
      <c r="BG554" s="29" t="s">
        <v>572</v>
      </c>
      <c r="BH554" s="29" t="s">
        <v>92</v>
      </c>
      <c r="BI554" s="29" t="s">
        <v>1102</v>
      </c>
      <c r="BJ554" s="29"/>
      <c r="BK554" s="29" t="s">
        <v>148</v>
      </c>
      <c r="BL554" s="29"/>
      <c r="BM554" s="45"/>
      <c r="BN554" s="45"/>
      <c r="BO554" s="46"/>
      <c r="BP554" s="2"/>
      <c r="BQ554" s="3"/>
    </row>
    <row r="555" ht="15.75" customHeight="1">
      <c r="A555" s="34">
        <v>556.0</v>
      </c>
      <c r="B555" s="34">
        <v>102174.0</v>
      </c>
      <c r="C555" s="34" t="s">
        <v>832</v>
      </c>
      <c r="D555" s="34" t="s">
        <v>1103</v>
      </c>
      <c r="E555" s="34" t="s">
        <v>1104</v>
      </c>
      <c r="F555" s="34">
        <v>2015.0</v>
      </c>
      <c r="G555" s="34" t="s">
        <v>1105</v>
      </c>
      <c r="H555" s="34" t="s">
        <v>1106</v>
      </c>
      <c r="I555" s="82" t="s">
        <v>1107</v>
      </c>
      <c r="J555" s="35"/>
      <c r="K555" s="36">
        <v>-0.9</v>
      </c>
      <c r="L555" s="36">
        <v>1.4</v>
      </c>
      <c r="M555" s="36"/>
      <c r="N555" s="36"/>
      <c r="O555" s="36"/>
      <c r="P555" s="37">
        <v>-64.3</v>
      </c>
      <c r="Q555" s="36" t="s">
        <v>96</v>
      </c>
      <c r="R555" s="36" t="s">
        <v>96</v>
      </c>
      <c r="S555" s="36" t="s">
        <v>1108</v>
      </c>
      <c r="T555" s="36" t="s">
        <v>506</v>
      </c>
      <c r="U555" s="36" t="s">
        <v>506</v>
      </c>
      <c r="V555" s="36">
        <v>1.0</v>
      </c>
      <c r="W555" s="36" t="s">
        <v>88</v>
      </c>
      <c r="X555" s="38">
        <v>1.0</v>
      </c>
      <c r="Y555" s="38" t="s">
        <v>1109</v>
      </c>
      <c r="Z555" s="38" t="s">
        <v>1110</v>
      </c>
      <c r="AA555" s="38" t="s">
        <v>86</v>
      </c>
      <c r="AB555" s="38">
        <v>27.25</v>
      </c>
      <c r="AC555" s="38">
        <v>-110.083333</v>
      </c>
      <c r="AD555" s="38" t="s">
        <v>1111</v>
      </c>
      <c r="AE555" s="38"/>
      <c r="AF555" s="38" t="s">
        <v>1112</v>
      </c>
      <c r="AG555" s="38"/>
      <c r="AH555" s="38"/>
      <c r="AI555" s="50">
        <v>27.25</v>
      </c>
      <c r="AJ555" s="50">
        <v>-110.083333</v>
      </c>
      <c r="AK555" s="41" t="s">
        <v>86</v>
      </c>
      <c r="AL555" s="40" t="s">
        <v>86</v>
      </c>
      <c r="AM555" s="49">
        <v>9.0</v>
      </c>
      <c r="AN555" s="51">
        <v>9.0</v>
      </c>
      <c r="AO555" s="42" t="s">
        <v>355</v>
      </c>
      <c r="AP555" s="43" t="s">
        <v>355</v>
      </c>
      <c r="AQ555" s="44" t="str">
        <f t="shared" si="47"/>
        <v>CRO</v>
      </c>
      <c r="AR555" s="44">
        <f t="shared" si="3"/>
        <v>9</v>
      </c>
      <c r="AS555" s="44" t="str">
        <f t="shared" ref="AS555:AS577" si="48">LEFT(AO555,1)</f>
        <v>B</v>
      </c>
      <c r="AT555" s="44" t="str">
        <f t="shared" si="17"/>
        <v>BW</v>
      </c>
      <c r="AU555" s="44" t="str">
        <f t="shared" si="2"/>
        <v>BWh</v>
      </c>
      <c r="AV555" s="38"/>
      <c r="AW555" s="38"/>
      <c r="AX555" s="38"/>
      <c r="AY555" s="38"/>
      <c r="AZ555" s="29">
        <v>30.0</v>
      </c>
      <c r="BA555" s="29">
        <v>1.0</v>
      </c>
      <c r="BB555" s="29">
        <v>1.0</v>
      </c>
      <c r="BC555" s="29"/>
      <c r="BD555" s="29" t="s">
        <v>88</v>
      </c>
      <c r="BE555" s="29" t="s">
        <v>89</v>
      </c>
      <c r="BF555" s="29" t="s">
        <v>1113</v>
      </c>
      <c r="BG555" s="29" t="s">
        <v>738</v>
      </c>
      <c r="BH555" s="29" t="s">
        <v>88</v>
      </c>
      <c r="BI555" s="29" t="s">
        <v>1114</v>
      </c>
      <c r="BJ555" s="29"/>
      <c r="BK555" s="29" t="s">
        <v>180</v>
      </c>
      <c r="BL555" s="29" t="s">
        <v>180</v>
      </c>
      <c r="BM555" s="45">
        <v>1.0</v>
      </c>
      <c r="BN555" s="45">
        <v>1.0</v>
      </c>
      <c r="BO555" s="46" t="s">
        <v>984</v>
      </c>
      <c r="BP555" s="2"/>
      <c r="BQ555" s="3"/>
    </row>
    <row r="556" ht="15.75" customHeight="1">
      <c r="A556" s="34">
        <v>557.0</v>
      </c>
      <c r="B556" s="34">
        <v>102174.0</v>
      </c>
      <c r="C556" s="34" t="s">
        <v>832</v>
      </c>
      <c r="D556" s="34" t="s">
        <v>1103</v>
      </c>
      <c r="E556" s="34" t="s">
        <v>1104</v>
      </c>
      <c r="F556" s="34">
        <v>2015.0</v>
      </c>
      <c r="G556" s="34" t="s">
        <v>1105</v>
      </c>
      <c r="H556" s="34" t="s">
        <v>1106</v>
      </c>
      <c r="I556" s="82" t="s">
        <v>1107</v>
      </c>
      <c r="J556" s="35"/>
      <c r="K556" s="36">
        <v>0.2</v>
      </c>
      <c r="L556" s="36">
        <v>3.5</v>
      </c>
      <c r="M556" s="36"/>
      <c r="N556" s="36"/>
      <c r="O556" s="36"/>
      <c r="P556" s="37">
        <v>5.7</v>
      </c>
      <c r="Q556" s="36" t="s">
        <v>96</v>
      </c>
      <c r="R556" s="36" t="s">
        <v>96</v>
      </c>
      <c r="S556" s="36" t="s">
        <v>1108</v>
      </c>
      <c r="T556" s="36" t="s">
        <v>1115</v>
      </c>
      <c r="U556" s="36" t="s">
        <v>1115</v>
      </c>
      <c r="V556" s="36">
        <v>1.0</v>
      </c>
      <c r="W556" s="36" t="s">
        <v>88</v>
      </c>
      <c r="X556" s="38">
        <v>1.0</v>
      </c>
      <c r="Y556" s="38" t="s">
        <v>1109</v>
      </c>
      <c r="Z556" s="38" t="s">
        <v>1110</v>
      </c>
      <c r="AA556" s="38" t="s">
        <v>86</v>
      </c>
      <c r="AB556" s="38">
        <v>27.25</v>
      </c>
      <c r="AC556" s="38">
        <v>-110.083333</v>
      </c>
      <c r="AD556" s="38" t="s">
        <v>1111</v>
      </c>
      <c r="AE556" s="38"/>
      <c r="AF556" s="38" t="s">
        <v>1112</v>
      </c>
      <c r="AG556" s="38"/>
      <c r="AH556" s="38"/>
      <c r="AI556" s="50">
        <v>27.25</v>
      </c>
      <c r="AJ556" s="50">
        <v>-110.083333</v>
      </c>
      <c r="AK556" s="41" t="s">
        <v>86</v>
      </c>
      <c r="AL556" s="40" t="s">
        <v>86</v>
      </c>
      <c r="AM556" s="49">
        <v>9.0</v>
      </c>
      <c r="AN556" s="51">
        <v>9.0</v>
      </c>
      <c r="AO556" s="42" t="s">
        <v>355</v>
      </c>
      <c r="AP556" s="43" t="s">
        <v>355</v>
      </c>
      <c r="AQ556" s="44" t="str">
        <f t="shared" si="47"/>
        <v>CRO</v>
      </c>
      <c r="AR556" s="44">
        <f t="shared" si="3"/>
        <v>9</v>
      </c>
      <c r="AS556" s="44" t="str">
        <f t="shared" si="48"/>
        <v>B</v>
      </c>
      <c r="AT556" s="44" t="str">
        <f t="shared" si="17"/>
        <v>BW</v>
      </c>
      <c r="AU556" s="44" t="str">
        <f t="shared" si="2"/>
        <v>BWh</v>
      </c>
      <c r="AV556" s="38"/>
      <c r="AW556" s="38"/>
      <c r="AX556" s="38"/>
      <c r="AY556" s="38"/>
      <c r="AZ556" s="29">
        <v>30.0</v>
      </c>
      <c r="BA556" s="29">
        <v>1.0</v>
      </c>
      <c r="BB556" s="29">
        <v>1.0</v>
      </c>
      <c r="BC556" s="29"/>
      <c r="BD556" s="29" t="s">
        <v>88</v>
      </c>
      <c r="BE556" s="29" t="s">
        <v>89</v>
      </c>
      <c r="BF556" s="29" t="s">
        <v>1113</v>
      </c>
      <c r="BG556" s="29" t="s">
        <v>738</v>
      </c>
      <c r="BH556" s="29" t="s">
        <v>88</v>
      </c>
      <c r="BI556" s="29" t="s">
        <v>1114</v>
      </c>
      <c r="BJ556" s="29"/>
      <c r="BK556" s="29" t="s">
        <v>180</v>
      </c>
      <c r="BL556" s="29" t="s">
        <v>180</v>
      </c>
      <c r="BM556" s="45">
        <v>1.0</v>
      </c>
      <c r="BN556" s="45">
        <v>1.0</v>
      </c>
      <c r="BO556" s="46" t="s">
        <v>984</v>
      </c>
      <c r="BP556" s="2"/>
      <c r="BQ556" s="3"/>
    </row>
    <row r="557" ht="15.75" customHeight="1">
      <c r="A557" s="34">
        <v>558.0</v>
      </c>
      <c r="B557" s="34">
        <v>102174.0</v>
      </c>
      <c r="C557" s="34" t="s">
        <v>832</v>
      </c>
      <c r="D557" s="34" t="s">
        <v>1103</v>
      </c>
      <c r="E557" s="34" t="s">
        <v>1104</v>
      </c>
      <c r="F557" s="34">
        <v>2015.0</v>
      </c>
      <c r="G557" s="34" t="s">
        <v>1105</v>
      </c>
      <c r="H557" s="34" t="s">
        <v>1106</v>
      </c>
      <c r="I557" s="82" t="s">
        <v>1107</v>
      </c>
      <c r="J557" s="35"/>
      <c r="K557" s="36">
        <v>-0.7</v>
      </c>
      <c r="L557" s="36">
        <v>4.2</v>
      </c>
      <c r="M557" s="36"/>
      <c r="N557" s="36"/>
      <c r="O557" s="36"/>
      <c r="P557" s="37">
        <v>-16.7</v>
      </c>
      <c r="Q557" s="36" t="s">
        <v>96</v>
      </c>
      <c r="R557" s="36" t="s">
        <v>96</v>
      </c>
      <c r="S557" s="36" t="s">
        <v>1108</v>
      </c>
      <c r="T557" s="36" t="s">
        <v>1116</v>
      </c>
      <c r="U557" s="36" t="s">
        <v>1116</v>
      </c>
      <c r="V557" s="36">
        <v>1.0</v>
      </c>
      <c r="W557" s="36" t="s">
        <v>88</v>
      </c>
      <c r="X557" s="38">
        <v>1.0</v>
      </c>
      <c r="Y557" s="38" t="s">
        <v>1109</v>
      </c>
      <c r="Z557" s="38" t="s">
        <v>1110</v>
      </c>
      <c r="AA557" s="38" t="s">
        <v>86</v>
      </c>
      <c r="AB557" s="38">
        <v>27.25</v>
      </c>
      <c r="AC557" s="38">
        <v>-110.083333</v>
      </c>
      <c r="AD557" s="38" t="s">
        <v>1111</v>
      </c>
      <c r="AE557" s="38"/>
      <c r="AF557" s="38" t="s">
        <v>1112</v>
      </c>
      <c r="AG557" s="38"/>
      <c r="AH557" s="38"/>
      <c r="AI557" s="50">
        <v>27.25</v>
      </c>
      <c r="AJ557" s="50">
        <v>-110.083333</v>
      </c>
      <c r="AK557" s="41" t="s">
        <v>86</v>
      </c>
      <c r="AL557" s="40" t="s">
        <v>86</v>
      </c>
      <c r="AM557" s="49">
        <v>9.0</v>
      </c>
      <c r="AN557" s="51">
        <v>9.0</v>
      </c>
      <c r="AO557" s="42" t="s">
        <v>355</v>
      </c>
      <c r="AP557" s="43" t="s">
        <v>355</v>
      </c>
      <c r="AQ557" s="44" t="str">
        <f t="shared" si="47"/>
        <v>CRO</v>
      </c>
      <c r="AR557" s="44">
        <f t="shared" si="3"/>
        <v>9</v>
      </c>
      <c r="AS557" s="44" t="str">
        <f t="shared" si="48"/>
        <v>B</v>
      </c>
      <c r="AT557" s="44" t="str">
        <f t="shared" si="17"/>
        <v>BW</v>
      </c>
      <c r="AU557" s="44" t="str">
        <f t="shared" si="2"/>
        <v>BWh</v>
      </c>
      <c r="AV557" s="38"/>
      <c r="AW557" s="38"/>
      <c r="AX557" s="38"/>
      <c r="AY557" s="38"/>
      <c r="AZ557" s="29">
        <v>30.0</v>
      </c>
      <c r="BA557" s="29">
        <v>1.0</v>
      </c>
      <c r="BB557" s="29">
        <v>1.0</v>
      </c>
      <c r="BC557" s="29"/>
      <c r="BD557" s="29" t="s">
        <v>88</v>
      </c>
      <c r="BE557" s="29" t="s">
        <v>89</v>
      </c>
      <c r="BF557" s="29" t="s">
        <v>1113</v>
      </c>
      <c r="BG557" s="29" t="s">
        <v>738</v>
      </c>
      <c r="BH557" s="29" t="s">
        <v>88</v>
      </c>
      <c r="BI557" s="29" t="s">
        <v>1114</v>
      </c>
      <c r="BJ557" s="29"/>
      <c r="BK557" s="29" t="s">
        <v>180</v>
      </c>
      <c r="BL557" s="29" t="s">
        <v>180</v>
      </c>
      <c r="BM557" s="45">
        <v>1.0</v>
      </c>
      <c r="BN557" s="45">
        <v>1.0</v>
      </c>
      <c r="BO557" s="46" t="s">
        <v>984</v>
      </c>
      <c r="BP557" s="2"/>
      <c r="BQ557" s="3"/>
    </row>
    <row r="558" ht="15.75" customHeight="1">
      <c r="A558" s="34">
        <v>559.0</v>
      </c>
      <c r="B558" s="34">
        <v>102174.0</v>
      </c>
      <c r="C558" s="34" t="s">
        <v>832</v>
      </c>
      <c r="D558" s="34" t="s">
        <v>1103</v>
      </c>
      <c r="E558" s="34" t="s">
        <v>1104</v>
      </c>
      <c r="F558" s="34">
        <v>2015.0</v>
      </c>
      <c r="G558" s="34" t="s">
        <v>1105</v>
      </c>
      <c r="H558" s="34" t="s">
        <v>1106</v>
      </c>
      <c r="I558" s="82" t="s">
        <v>1107</v>
      </c>
      <c r="J558" s="35"/>
      <c r="K558" s="36">
        <v>1.1</v>
      </c>
      <c r="L558" s="36">
        <v>6.2</v>
      </c>
      <c r="M558" s="36"/>
      <c r="N558" s="36"/>
      <c r="O558" s="36"/>
      <c r="P558" s="37">
        <v>17.7</v>
      </c>
      <c r="Q558" s="36" t="s">
        <v>96</v>
      </c>
      <c r="R558" s="36" t="s">
        <v>96</v>
      </c>
      <c r="S558" s="36" t="s">
        <v>1108</v>
      </c>
      <c r="T558" s="36" t="s">
        <v>1117</v>
      </c>
      <c r="U558" s="36" t="s">
        <v>1117</v>
      </c>
      <c r="V558" s="36">
        <v>1.0</v>
      </c>
      <c r="W558" s="36" t="s">
        <v>88</v>
      </c>
      <c r="X558" s="38">
        <v>1.0</v>
      </c>
      <c r="Y558" s="38" t="s">
        <v>1109</v>
      </c>
      <c r="Z558" s="38" t="s">
        <v>1110</v>
      </c>
      <c r="AA558" s="38" t="s">
        <v>86</v>
      </c>
      <c r="AB558" s="38">
        <v>27.25</v>
      </c>
      <c r="AC558" s="38">
        <v>-110.083333</v>
      </c>
      <c r="AD558" s="38" t="s">
        <v>1111</v>
      </c>
      <c r="AE558" s="38"/>
      <c r="AF558" s="38" t="s">
        <v>1112</v>
      </c>
      <c r="AG558" s="38"/>
      <c r="AH558" s="38"/>
      <c r="AI558" s="50">
        <v>27.25</v>
      </c>
      <c r="AJ558" s="50">
        <v>-110.083333</v>
      </c>
      <c r="AK558" s="41" t="s">
        <v>86</v>
      </c>
      <c r="AL558" s="40" t="s">
        <v>86</v>
      </c>
      <c r="AM558" s="49">
        <v>9.0</v>
      </c>
      <c r="AN558" s="51">
        <v>9.0</v>
      </c>
      <c r="AO558" s="42" t="s">
        <v>355</v>
      </c>
      <c r="AP558" s="43" t="s">
        <v>355</v>
      </c>
      <c r="AQ558" s="44" t="str">
        <f t="shared" si="47"/>
        <v>CRO</v>
      </c>
      <c r="AR558" s="44">
        <f t="shared" si="3"/>
        <v>9</v>
      </c>
      <c r="AS558" s="44" t="str">
        <f t="shared" si="48"/>
        <v>B</v>
      </c>
      <c r="AT558" s="44" t="str">
        <f t="shared" si="17"/>
        <v>BW</v>
      </c>
      <c r="AU558" s="44" t="str">
        <f t="shared" si="2"/>
        <v>BWh</v>
      </c>
      <c r="AV558" s="38"/>
      <c r="AW558" s="38"/>
      <c r="AX558" s="38"/>
      <c r="AY558" s="38"/>
      <c r="AZ558" s="29">
        <v>30.0</v>
      </c>
      <c r="BA558" s="29">
        <v>1.0</v>
      </c>
      <c r="BB558" s="29">
        <v>1.0</v>
      </c>
      <c r="BC558" s="29"/>
      <c r="BD558" s="29" t="s">
        <v>88</v>
      </c>
      <c r="BE558" s="29" t="s">
        <v>89</v>
      </c>
      <c r="BF558" s="29" t="s">
        <v>1113</v>
      </c>
      <c r="BG558" s="29" t="s">
        <v>738</v>
      </c>
      <c r="BH558" s="29" t="s">
        <v>88</v>
      </c>
      <c r="BI558" s="29" t="s">
        <v>1114</v>
      </c>
      <c r="BJ558" s="29"/>
      <c r="BK558" s="29" t="s">
        <v>180</v>
      </c>
      <c r="BL558" s="29" t="s">
        <v>180</v>
      </c>
      <c r="BM558" s="45">
        <v>1.0</v>
      </c>
      <c r="BN558" s="45">
        <v>1.0</v>
      </c>
      <c r="BO558" s="46" t="s">
        <v>984</v>
      </c>
      <c r="BP558" s="2"/>
      <c r="BQ558" s="3"/>
    </row>
    <row r="559" ht="15.75" customHeight="1">
      <c r="A559" s="34">
        <v>560.0</v>
      </c>
      <c r="B559" s="34">
        <v>102174.0</v>
      </c>
      <c r="C559" s="34" t="s">
        <v>832</v>
      </c>
      <c r="D559" s="34" t="s">
        <v>1103</v>
      </c>
      <c r="E559" s="34" t="s">
        <v>1104</v>
      </c>
      <c r="F559" s="34">
        <v>2015.0</v>
      </c>
      <c r="G559" s="34" t="s">
        <v>1105</v>
      </c>
      <c r="H559" s="34" t="s">
        <v>1106</v>
      </c>
      <c r="I559" s="82" t="s">
        <v>1107</v>
      </c>
      <c r="J559" s="35"/>
      <c r="K559" s="36">
        <v>0.4</v>
      </c>
      <c r="L559" s="36">
        <v>5.1</v>
      </c>
      <c r="M559" s="36"/>
      <c r="N559" s="36"/>
      <c r="O559" s="36"/>
      <c r="P559" s="37">
        <v>7.8</v>
      </c>
      <c r="Q559" s="36" t="s">
        <v>96</v>
      </c>
      <c r="R559" s="36" t="s">
        <v>96</v>
      </c>
      <c r="S559" s="36" t="s">
        <v>1108</v>
      </c>
      <c r="T559" s="36" t="s">
        <v>1118</v>
      </c>
      <c r="U559" s="36" t="s">
        <v>1118</v>
      </c>
      <c r="V559" s="36">
        <v>1.0</v>
      </c>
      <c r="W559" s="36" t="s">
        <v>88</v>
      </c>
      <c r="X559" s="38">
        <v>1.0</v>
      </c>
      <c r="Y559" s="38" t="s">
        <v>1109</v>
      </c>
      <c r="Z559" s="38" t="s">
        <v>1110</v>
      </c>
      <c r="AA559" s="38" t="s">
        <v>86</v>
      </c>
      <c r="AB559" s="38">
        <v>27.25</v>
      </c>
      <c r="AC559" s="38">
        <v>-110.083333</v>
      </c>
      <c r="AD559" s="38" t="s">
        <v>1111</v>
      </c>
      <c r="AE559" s="38"/>
      <c r="AF559" s="38" t="s">
        <v>1112</v>
      </c>
      <c r="AG559" s="38"/>
      <c r="AH559" s="38"/>
      <c r="AI559" s="50">
        <v>27.25</v>
      </c>
      <c r="AJ559" s="50">
        <v>-110.083333</v>
      </c>
      <c r="AK559" s="41" t="s">
        <v>86</v>
      </c>
      <c r="AL559" s="40" t="s">
        <v>86</v>
      </c>
      <c r="AM559" s="49">
        <v>9.0</v>
      </c>
      <c r="AN559" s="51">
        <v>9.0</v>
      </c>
      <c r="AO559" s="42" t="s">
        <v>355</v>
      </c>
      <c r="AP559" s="43" t="s">
        <v>355</v>
      </c>
      <c r="AQ559" s="44" t="str">
        <f t="shared" si="47"/>
        <v>CRO</v>
      </c>
      <c r="AR559" s="44">
        <f t="shared" si="3"/>
        <v>9</v>
      </c>
      <c r="AS559" s="44" t="str">
        <f t="shared" si="48"/>
        <v>B</v>
      </c>
      <c r="AT559" s="44" t="str">
        <f t="shared" si="17"/>
        <v>BW</v>
      </c>
      <c r="AU559" s="44" t="str">
        <f t="shared" si="2"/>
        <v>BWh</v>
      </c>
      <c r="AV559" s="38"/>
      <c r="AW559" s="38"/>
      <c r="AX559" s="38"/>
      <c r="AY559" s="38"/>
      <c r="AZ559" s="29">
        <v>30.0</v>
      </c>
      <c r="BA559" s="29">
        <v>1.0</v>
      </c>
      <c r="BB559" s="29">
        <v>1.0</v>
      </c>
      <c r="BC559" s="29"/>
      <c r="BD559" s="29" t="s">
        <v>88</v>
      </c>
      <c r="BE559" s="29" t="s">
        <v>89</v>
      </c>
      <c r="BF559" s="29" t="s">
        <v>1113</v>
      </c>
      <c r="BG559" s="29" t="s">
        <v>738</v>
      </c>
      <c r="BH559" s="29" t="s">
        <v>88</v>
      </c>
      <c r="BI559" s="29" t="s">
        <v>1114</v>
      </c>
      <c r="BJ559" s="29"/>
      <c r="BK559" s="29" t="s">
        <v>180</v>
      </c>
      <c r="BL559" s="29" t="s">
        <v>180</v>
      </c>
      <c r="BM559" s="45">
        <v>1.0</v>
      </c>
      <c r="BN559" s="45">
        <v>1.0</v>
      </c>
      <c r="BO559" s="46" t="s">
        <v>984</v>
      </c>
      <c r="BP559" s="2"/>
      <c r="BQ559" s="3"/>
    </row>
    <row r="560" ht="15.75" customHeight="1">
      <c r="A560" s="34">
        <v>561.0</v>
      </c>
      <c r="B560" s="34">
        <v>102174.0</v>
      </c>
      <c r="C560" s="34" t="s">
        <v>832</v>
      </c>
      <c r="D560" s="34" t="s">
        <v>1103</v>
      </c>
      <c r="E560" s="34" t="s">
        <v>1104</v>
      </c>
      <c r="F560" s="34">
        <v>2015.0</v>
      </c>
      <c r="G560" s="34" t="s">
        <v>1105</v>
      </c>
      <c r="H560" s="34" t="s">
        <v>1106</v>
      </c>
      <c r="I560" s="82" t="s">
        <v>1107</v>
      </c>
      <c r="J560" s="35"/>
      <c r="K560" s="36">
        <v>-0.8</v>
      </c>
      <c r="L560" s="36">
        <v>4.9</v>
      </c>
      <c r="M560" s="36"/>
      <c r="N560" s="36"/>
      <c r="O560" s="36"/>
      <c r="P560" s="37">
        <v>-16.3</v>
      </c>
      <c r="Q560" s="36" t="s">
        <v>96</v>
      </c>
      <c r="R560" s="36" t="s">
        <v>96</v>
      </c>
      <c r="S560" s="36" t="s">
        <v>1108</v>
      </c>
      <c r="T560" s="36" t="s">
        <v>1119</v>
      </c>
      <c r="U560" s="36" t="s">
        <v>1119</v>
      </c>
      <c r="V560" s="36">
        <v>1.0</v>
      </c>
      <c r="W560" s="36" t="s">
        <v>88</v>
      </c>
      <c r="X560" s="38">
        <v>1.0</v>
      </c>
      <c r="Y560" s="38" t="s">
        <v>1109</v>
      </c>
      <c r="Z560" s="38" t="s">
        <v>1110</v>
      </c>
      <c r="AA560" s="38" t="s">
        <v>86</v>
      </c>
      <c r="AB560" s="38">
        <v>27.25</v>
      </c>
      <c r="AC560" s="38">
        <v>-110.083333</v>
      </c>
      <c r="AD560" s="38" t="s">
        <v>1111</v>
      </c>
      <c r="AE560" s="38"/>
      <c r="AF560" s="38" t="s">
        <v>1112</v>
      </c>
      <c r="AG560" s="38"/>
      <c r="AH560" s="38"/>
      <c r="AI560" s="50">
        <v>27.25</v>
      </c>
      <c r="AJ560" s="50">
        <v>-110.083333</v>
      </c>
      <c r="AK560" s="41" t="s">
        <v>86</v>
      </c>
      <c r="AL560" s="40" t="s">
        <v>86</v>
      </c>
      <c r="AM560" s="49">
        <v>9.0</v>
      </c>
      <c r="AN560" s="51">
        <v>9.0</v>
      </c>
      <c r="AO560" s="42" t="s">
        <v>355</v>
      </c>
      <c r="AP560" s="43" t="s">
        <v>355</v>
      </c>
      <c r="AQ560" s="44" t="str">
        <f t="shared" si="47"/>
        <v>CRO</v>
      </c>
      <c r="AR560" s="44">
        <f t="shared" si="3"/>
        <v>9</v>
      </c>
      <c r="AS560" s="44" t="str">
        <f t="shared" si="48"/>
        <v>B</v>
      </c>
      <c r="AT560" s="44" t="str">
        <f t="shared" si="17"/>
        <v>BW</v>
      </c>
      <c r="AU560" s="44" t="str">
        <f t="shared" si="2"/>
        <v>BWh</v>
      </c>
      <c r="AV560" s="38"/>
      <c r="AW560" s="38"/>
      <c r="AX560" s="38"/>
      <c r="AY560" s="38"/>
      <c r="AZ560" s="29">
        <v>30.0</v>
      </c>
      <c r="BA560" s="29">
        <v>1.0</v>
      </c>
      <c r="BB560" s="29">
        <v>1.0</v>
      </c>
      <c r="BC560" s="29"/>
      <c r="BD560" s="29" t="s">
        <v>88</v>
      </c>
      <c r="BE560" s="29" t="s">
        <v>89</v>
      </c>
      <c r="BF560" s="29" t="s">
        <v>1113</v>
      </c>
      <c r="BG560" s="29" t="s">
        <v>738</v>
      </c>
      <c r="BH560" s="29" t="s">
        <v>88</v>
      </c>
      <c r="BI560" s="29" t="s">
        <v>1114</v>
      </c>
      <c r="BJ560" s="29"/>
      <c r="BK560" s="29" t="s">
        <v>180</v>
      </c>
      <c r="BL560" s="29" t="s">
        <v>180</v>
      </c>
      <c r="BM560" s="45">
        <v>1.0</v>
      </c>
      <c r="BN560" s="45">
        <v>1.0</v>
      </c>
      <c r="BO560" s="46" t="s">
        <v>984</v>
      </c>
      <c r="BP560" s="2"/>
      <c r="BQ560" s="3"/>
    </row>
    <row r="561" ht="15.75" customHeight="1">
      <c r="A561" s="34">
        <v>562.0</v>
      </c>
      <c r="B561" s="34">
        <v>102174.0</v>
      </c>
      <c r="C561" s="34" t="s">
        <v>832</v>
      </c>
      <c r="D561" s="34" t="s">
        <v>1103</v>
      </c>
      <c r="E561" s="34" t="s">
        <v>1104</v>
      </c>
      <c r="F561" s="34">
        <v>2015.0</v>
      </c>
      <c r="G561" s="34" t="s">
        <v>1105</v>
      </c>
      <c r="H561" s="34" t="s">
        <v>1106</v>
      </c>
      <c r="I561" s="82" t="s">
        <v>1107</v>
      </c>
      <c r="J561" s="35"/>
      <c r="K561" s="36">
        <v>-0.4</v>
      </c>
      <c r="L561" s="36">
        <v>3.8</v>
      </c>
      <c r="M561" s="36"/>
      <c r="N561" s="36"/>
      <c r="O561" s="36"/>
      <c r="P561" s="37">
        <v>-10.5</v>
      </c>
      <c r="Q561" s="36" t="s">
        <v>96</v>
      </c>
      <c r="R561" s="36" t="s">
        <v>96</v>
      </c>
      <c r="S561" s="36" t="s">
        <v>1108</v>
      </c>
      <c r="T561" s="36" t="s">
        <v>1120</v>
      </c>
      <c r="U561" s="36" t="s">
        <v>1120</v>
      </c>
      <c r="V561" s="36">
        <v>1.0</v>
      </c>
      <c r="W561" s="36" t="s">
        <v>88</v>
      </c>
      <c r="X561" s="38">
        <v>1.0</v>
      </c>
      <c r="Y561" s="38" t="s">
        <v>1109</v>
      </c>
      <c r="Z561" s="38" t="s">
        <v>1110</v>
      </c>
      <c r="AA561" s="38" t="s">
        <v>86</v>
      </c>
      <c r="AB561" s="38">
        <v>27.25</v>
      </c>
      <c r="AC561" s="38">
        <v>-110.083333</v>
      </c>
      <c r="AD561" s="38" t="s">
        <v>1111</v>
      </c>
      <c r="AE561" s="38"/>
      <c r="AF561" s="38" t="s">
        <v>1112</v>
      </c>
      <c r="AG561" s="38"/>
      <c r="AH561" s="38"/>
      <c r="AI561" s="50">
        <v>27.25</v>
      </c>
      <c r="AJ561" s="50">
        <v>-110.083333</v>
      </c>
      <c r="AK561" s="41" t="s">
        <v>86</v>
      </c>
      <c r="AL561" s="40" t="s">
        <v>86</v>
      </c>
      <c r="AM561" s="49">
        <v>9.0</v>
      </c>
      <c r="AN561" s="51">
        <v>9.0</v>
      </c>
      <c r="AO561" s="42" t="s">
        <v>355</v>
      </c>
      <c r="AP561" s="43" t="s">
        <v>355</v>
      </c>
      <c r="AQ561" s="44" t="str">
        <f t="shared" si="47"/>
        <v>CRO</v>
      </c>
      <c r="AR561" s="44">
        <f t="shared" si="3"/>
        <v>9</v>
      </c>
      <c r="AS561" s="44" t="str">
        <f t="shared" si="48"/>
        <v>B</v>
      </c>
      <c r="AT561" s="44" t="str">
        <f t="shared" si="17"/>
        <v>BW</v>
      </c>
      <c r="AU561" s="44" t="str">
        <f t="shared" si="2"/>
        <v>BWh</v>
      </c>
      <c r="AV561" s="38"/>
      <c r="AW561" s="38"/>
      <c r="AX561" s="38"/>
      <c r="AY561" s="38"/>
      <c r="AZ561" s="29">
        <v>30.0</v>
      </c>
      <c r="BA561" s="29">
        <v>1.0</v>
      </c>
      <c r="BB561" s="29">
        <v>1.0</v>
      </c>
      <c r="BC561" s="29"/>
      <c r="BD561" s="29" t="s">
        <v>88</v>
      </c>
      <c r="BE561" s="29" t="s">
        <v>89</v>
      </c>
      <c r="BF561" s="29" t="s">
        <v>1113</v>
      </c>
      <c r="BG561" s="29" t="s">
        <v>738</v>
      </c>
      <c r="BH561" s="29" t="s">
        <v>88</v>
      </c>
      <c r="BI561" s="29" t="s">
        <v>1114</v>
      </c>
      <c r="BJ561" s="29"/>
      <c r="BK561" s="29" t="s">
        <v>180</v>
      </c>
      <c r="BL561" s="29" t="s">
        <v>180</v>
      </c>
      <c r="BM561" s="45">
        <v>1.0</v>
      </c>
      <c r="BN561" s="45">
        <v>1.0</v>
      </c>
      <c r="BO561" s="46" t="s">
        <v>984</v>
      </c>
      <c r="BP561" s="2"/>
      <c r="BQ561" s="3"/>
    </row>
    <row r="562" ht="15.75" customHeight="1">
      <c r="A562" s="34">
        <v>563.0</v>
      </c>
      <c r="B562" s="34">
        <v>102174.0</v>
      </c>
      <c r="C562" s="34" t="s">
        <v>832</v>
      </c>
      <c r="D562" s="34" t="s">
        <v>1103</v>
      </c>
      <c r="E562" s="34" t="s">
        <v>1104</v>
      </c>
      <c r="F562" s="34">
        <v>2015.0</v>
      </c>
      <c r="G562" s="34" t="s">
        <v>1105</v>
      </c>
      <c r="H562" s="34" t="s">
        <v>1106</v>
      </c>
      <c r="I562" s="82" t="s">
        <v>1107</v>
      </c>
      <c r="J562" s="35"/>
      <c r="K562" s="36">
        <v>-0.6</v>
      </c>
      <c r="L562" s="36">
        <v>3.2</v>
      </c>
      <c r="M562" s="36"/>
      <c r="N562" s="36"/>
      <c r="O562" s="36"/>
      <c r="P562" s="37">
        <v>-18.8</v>
      </c>
      <c r="Q562" s="36" t="s">
        <v>96</v>
      </c>
      <c r="R562" s="36" t="s">
        <v>96</v>
      </c>
      <c r="S562" s="36" t="s">
        <v>1108</v>
      </c>
      <c r="T562" s="36" t="s">
        <v>1121</v>
      </c>
      <c r="U562" s="36" t="s">
        <v>1121</v>
      </c>
      <c r="V562" s="36">
        <v>1.0</v>
      </c>
      <c r="W562" s="36" t="s">
        <v>88</v>
      </c>
      <c r="X562" s="38">
        <v>1.0</v>
      </c>
      <c r="Y562" s="38" t="s">
        <v>1109</v>
      </c>
      <c r="Z562" s="38" t="s">
        <v>1110</v>
      </c>
      <c r="AA562" s="38" t="s">
        <v>86</v>
      </c>
      <c r="AB562" s="38">
        <v>27.25</v>
      </c>
      <c r="AC562" s="38">
        <v>-110.083333</v>
      </c>
      <c r="AD562" s="38" t="s">
        <v>1111</v>
      </c>
      <c r="AE562" s="38"/>
      <c r="AF562" s="38" t="s">
        <v>1112</v>
      </c>
      <c r="AG562" s="38"/>
      <c r="AH562" s="38"/>
      <c r="AI562" s="50">
        <v>27.25</v>
      </c>
      <c r="AJ562" s="50">
        <v>-110.083333</v>
      </c>
      <c r="AK562" s="41" t="s">
        <v>86</v>
      </c>
      <c r="AL562" s="40" t="s">
        <v>86</v>
      </c>
      <c r="AM562" s="49">
        <v>9.0</v>
      </c>
      <c r="AN562" s="51">
        <v>9.0</v>
      </c>
      <c r="AO562" s="42" t="s">
        <v>355</v>
      </c>
      <c r="AP562" s="43" t="s">
        <v>355</v>
      </c>
      <c r="AQ562" s="44" t="str">
        <f t="shared" si="47"/>
        <v>CRO</v>
      </c>
      <c r="AR562" s="44">
        <f t="shared" si="3"/>
        <v>9</v>
      </c>
      <c r="AS562" s="44" t="str">
        <f t="shared" si="48"/>
        <v>B</v>
      </c>
      <c r="AT562" s="44" t="str">
        <f t="shared" si="17"/>
        <v>BW</v>
      </c>
      <c r="AU562" s="44" t="str">
        <f t="shared" si="2"/>
        <v>BWh</v>
      </c>
      <c r="AV562" s="38"/>
      <c r="AW562" s="38"/>
      <c r="AX562" s="38"/>
      <c r="AY562" s="38"/>
      <c r="AZ562" s="29">
        <v>30.0</v>
      </c>
      <c r="BA562" s="29">
        <v>1.0</v>
      </c>
      <c r="BB562" s="29">
        <v>1.0</v>
      </c>
      <c r="BC562" s="29"/>
      <c r="BD562" s="29" t="s">
        <v>88</v>
      </c>
      <c r="BE562" s="29" t="s">
        <v>89</v>
      </c>
      <c r="BF562" s="29" t="s">
        <v>1113</v>
      </c>
      <c r="BG562" s="29" t="s">
        <v>738</v>
      </c>
      <c r="BH562" s="29" t="s">
        <v>88</v>
      </c>
      <c r="BI562" s="29" t="s">
        <v>1114</v>
      </c>
      <c r="BJ562" s="29"/>
      <c r="BK562" s="29" t="s">
        <v>180</v>
      </c>
      <c r="BL562" s="29" t="s">
        <v>180</v>
      </c>
      <c r="BM562" s="45">
        <v>1.0</v>
      </c>
      <c r="BN562" s="45">
        <v>1.0</v>
      </c>
      <c r="BO562" s="46" t="s">
        <v>984</v>
      </c>
      <c r="BP562" s="2"/>
      <c r="BQ562" s="3"/>
    </row>
    <row r="563" ht="15.75" customHeight="1">
      <c r="A563" s="34">
        <v>564.0</v>
      </c>
      <c r="B563" s="34">
        <v>102174.0</v>
      </c>
      <c r="C563" s="34" t="s">
        <v>832</v>
      </c>
      <c r="D563" s="34" t="s">
        <v>1103</v>
      </c>
      <c r="E563" s="34" t="s">
        <v>1104</v>
      </c>
      <c r="F563" s="34">
        <v>2015.0</v>
      </c>
      <c r="G563" s="34" t="s">
        <v>1105</v>
      </c>
      <c r="H563" s="34" t="s">
        <v>1106</v>
      </c>
      <c r="I563" s="82" t="s">
        <v>1107</v>
      </c>
      <c r="J563" s="35"/>
      <c r="K563" s="36">
        <v>-0.5</v>
      </c>
      <c r="L563" s="36">
        <v>1.4</v>
      </c>
      <c r="M563" s="36"/>
      <c r="N563" s="36"/>
      <c r="O563" s="36"/>
      <c r="P563" s="52">
        <f t="shared" ref="P563:P570" si="49">K563*100/L563</f>
        <v>-35.71428571</v>
      </c>
      <c r="Q563" s="36" t="s">
        <v>96</v>
      </c>
      <c r="R563" s="36" t="s">
        <v>96</v>
      </c>
      <c r="S563" s="36" t="s">
        <v>1108</v>
      </c>
      <c r="T563" s="36" t="s">
        <v>506</v>
      </c>
      <c r="U563" s="36" t="s">
        <v>506</v>
      </c>
      <c r="V563" s="36">
        <v>1.0</v>
      </c>
      <c r="W563" s="36" t="s">
        <v>88</v>
      </c>
      <c r="X563" s="38">
        <v>1.0</v>
      </c>
      <c r="Y563" s="38" t="s">
        <v>1109</v>
      </c>
      <c r="Z563" s="38" t="s">
        <v>1110</v>
      </c>
      <c r="AA563" s="38" t="s">
        <v>86</v>
      </c>
      <c r="AB563" s="38">
        <v>27.25</v>
      </c>
      <c r="AC563" s="38">
        <v>-110.083333</v>
      </c>
      <c r="AD563" s="38" t="s">
        <v>1111</v>
      </c>
      <c r="AE563" s="38"/>
      <c r="AF563" s="38" t="s">
        <v>1112</v>
      </c>
      <c r="AG563" s="38"/>
      <c r="AH563" s="38"/>
      <c r="AI563" s="50">
        <v>27.25</v>
      </c>
      <c r="AJ563" s="50">
        <v>-110.083333</v>
      </c>
      <c r="AK563" s="41" t="s">
        <v>86</v>
      </c>
      <c r="AL563" s="40" t="s">
        <v>86</v>
      </c>
      <c r="AM563" s="49">
        <v>9.0</v>
      </c>
      <c r="AN563" s="51">
        <v>9.0</v>
      </c>
      <c r="AO563" s="42" t="s">
        <v>355</v>
      </c>
      <c r="AP563" s="43" t="s">
        <v>355</v>
      </c>
      <c r="AQ563" s="44" t="str">
        <f t="shared" si="47"/>
        <v>CRO</v>
      </c>
      <c r="AR563" s="44">
        <f t="shared" si="3"/>
        <v>9</v>
      </c>
      <c r="AS563" s="44" t="str">
        <f t="shared" si="48"/>
        <v>B</v>
      </c>
      <c r="AT563" s="44" t="str">
        <f t="shared" si="17"/>
        <v>BW</v>
      </c>
      <c r="AU563" s="44" t="str">
        <f t="shared" si="2"/>
        <v>BWh</v>
      </c>
      <c r="AV563" s="38"/>
      <c r="AW563" s="38"/>
      <c r="AX563" s="38"/>
      <c r="AY563" s="38"/>
      <c r="AZ563" s="29">
        <v>30.0</v>
      </c>
      <c r="BA563" s="29">
        <v>1.0</v>
      </c>
      <c r="BB563" s="29">
        <v>1.0</v>
      </c>
      <c r="BC563" s="29"/>
      <c r="BD563" s="29" t="s">
        <v>88</v>
      </c>
      <c r="BE563" s="29" t="s">
        <v>89</v>
      </c>
      <c r="BF563" s="29" t="s">
        <v>1122</v>
      </c>
      <c r="BG563" s="29" t="s">
        <v>738</v>
      </c>
      <c r="BH563" s="29" t="s">
        <v>88</v>
      </c>
      <c r="BI563" s="29" t="s">
        <v>1114</v>
      </c>
      <c r="BJ563" s="29"/>
      <c r="BK563" s="29" t="s">
        <v>180</v>
      </c>
      <c r="BL563" s="29" t="s">
        <v>180</v>
      </c>
      <c r="BM563" s="45">
        <v>1.0</v>
      </c>
      <c r="BN563" s="45">
        <v>1.0</v>
      </c>
      <c r="BO563" s="46" t="s">
        <v>984</v>
      </c>
      <c r="BP563" s="2"/>
      <c r="BQ563" s="3"/>
    </row>
    <row r="564" ht="15.75" customHeight="1">
      <c r="A564" s="34">
        <v>565.0</v>
      </c>
      <c r="B564" s="34">
        <v>102174.0</v>
      </c>
      <c r="C564" s="34" t="s">
        <v>832</v>
      </c>
      <c r="D564" s="34" t="s">
        <v>1103</v>
      </c>
      <c r="E564" s="34" t="s">
        <v>1104</v>
      </c>
      <c r="F564" s="34">
        <v>2015.0</v>
      </c>
      <c r="G564" s="34" t="s">
        <v>1105</v>
      </c>
      <c r="H564" s="34" t="s">
        <v>1106</v>
      </c>
      <c r="I564" s="82" t="s">
        <v>1107</v>
      </c>
      <c r="J564" s="35"/>
      <c r="K564" s="36">
        <v>0.3</v>
      </c>
      <c r="L564" s="36">
        <v>3.5</v>
      </c>
      <c r="M564" s="36"/>
      <c r="N564" s="36"/>
      <c r="O564" s="36"/>
      <c r="P564" s="52">
        <f t="shared" si="49"/>
        <v>8.571428571</v>
      </c>
      <c r="Q564" s="36" t="s">
        <v>96</v>
      </c>
      <c r="R564" s="36" t="s">
        <v>96</v>
      </c>
      <c r="S564" s="36" t="s">
        <v>1108</v>
      </c>
      <c r="T564" s="36" t="s">
        <v>1115</v>
      </c>
      <c r="U564" s="36" t="s">
        <v>1115</v>
      </c>
      <c r="V564" s="36">
        <v>1.0</v>
      </c>
      <c r="W564" s="36" t="s">
        <v>88</v>
      </c>
      <c r="X564" s="38">
        <v>1.0</v>
      </c>
      <c r="Y564" s="38" t="s">
        <v>1109</v>
      </c>
      <c r="Z564" s="38" t="s">
        <v>1110</v>
      </c>
      <c r="AA564" s="38" t="s">
        <v>86</v>
      </c>
      <c r="AB564" s="38">
        <v>27.25</v>
      </c>
      <c r="AC564" s="38">
        <v>-110.083333</v>
      </c>
      <c r="AD564" s="38" t="s">
        <v>1111</v>
      </c>
      <c r="AE564" s="38"/>
      <c r="AF564" s="38" t="s">
        <v>1112</v>
      </c>
      <c r="AG564" s="38"/>
      <c r="AH564" s="38"/>
      <c r="AI564" s="50">
        <v>27.25</v>
      </c>
      <c r="AJ564" s="50">
        <v>-110.083333</v>
      </c>
      <c r="AK564" s="41" t="s">
        <v>86</v>
      </c>
      <c r="AL564" s="40" t="s">
        <v>86</v>
      </c>
      <c r="AM564" s="49">
        <v>9.0</v>
      </c>
      <c r="AN564" s="51">
        <v>9.0</v>
      </c>
      <c r="AO564" s="42" t="s">
        <v>355</v>
      </c>
      <c r="AP564" s="43" t="s">
        <v>355</v>
      </c>
      <c r="AQ564" s="44" t="str">
        <f t="shared" si="47"/>
        <v>CRO</v>
      </c>
      <c r="AR564" s="44">
        <f t="shared" si="3"/>
        <v>9</v>
      </c>
      <c r="AS564" s="44" t="str">
        <f t="shared" si="48"/>
        <v>B</v>
      </c>
      <c r="AT564" s="44" t="str">
        <f t="shared" si="17"/>
        <v>BW</v>
      </c>
      <c r="AU564" s="44" t="str">
        <f t="shared" si="2"/>
        <v>BWh</v>
      </c>
      <c r="AV564" s="38"/>
      <c r="AW564" s="38"/>
      <c r="AX564" s="38"/>
      <c r="AY564" s="38"/>
      <c r="AZ564" s="29">
        <v>30.0</v>
      </c>
      <c r="BA564" s="29">
        <v>1.0</v>
      </c>
      <c r="BB564" s="29">
        <v>1.0</v>
      </c>
      <c r="BC564" s="29"/>
      <c r="BD564" s="29" t="s">
        <v>88</v>
      </c>
      <c r="BE564" s="29" t="s">
        <v>89</v>
      </c>
      <c r="BF564" s="29" t="s">
        <v>1122</v>
      </c>
      <c r="BG564" s="29" t="s">
        <v>738</v>
      </c>
      <c r="BH564" s="29" t="s">
        <v>88</v>
      </c>
      <c r="BI564" s="29" t="s">
        <v>1114</v>
      </c>
      <c r="BJ564" s="29"/>
      <c r="BK564" s="29" t="s">
        <v>180</v>
      </c>
      <c r="BL564" s="29" t="s">
        <v>180</v>
      </c>
      <c r="BM564" s="45">
        <v>1.0</v>
      </c>
      <c r="BN564" s="45">
        <v>1.0</v>
      </c>
      <c r="BO564" s="46" t="s">
        <v>984</v>
      </c>
      <c r="BP564" s="2"/>
      <c r="BQ564" s="3"/>
    </row>
    <row r="565" ht="15.75" customHeight="1">
      <c r="A565" s="34">
        <v>566.0</v>
      </c>
      <c r="B565" s="34">
        <v>102174.0</v>
      </c>
      <c r="C565" s="34" t="s">
        <v>832</v>
      </c>
      <c r="D565" s="34" t="s">
        <v>1103</v>
      </c>
      <c r="E565" s="34" t="s">
        <v>1104</v>
      </c>
      <c r="F565" s="34">
        <v>2015.0</v>
      </c>
      <c r="G565" s="34" t="s">
        <v>1105</v>
      </c>
      <c r="H565" s="34" t="s">
        <v>1106</v>
      </c>
      <c r="I565" s="82" t="s">
        <v>1107</v>
      </c>
      <c r="J565" s="35"/>
      <c r="K565" s="36">
        <v>-0.5</v>
      </c>
      <c r="L565" s="36">
        <v>4.2</v>
      </c>
      <c r="M565" s="36"/>
      <c r="N565" s="36"/>
      <c r="O565" s="36"/>
      <c r="P565" s="52">
        <f t="shared" si="49"/>
        <v>-11.9047619</v>
      </c>
      <c r="Q565" s="36" t="s">
        <v>96</v>
      </c>
      <c r="R565" s="36" t="s">
        <v>96</v>
      </c>
      <c r="S565" s="36" t="s">
        <v>1108</v>
      </c>
      <c r="T565" s="36" t="s">
        <v>1116</v>
      </c>
      <c r="U565" s="36" t="s">
        <v>1116</v>
      </c>
      <c r="V565" s="36">
        <v>1.0</v>
      </c>
      <c r="W565" s="36" t="s">
        <v>88</v>
      </c>
      <c r="X565" s="38">
        <v>1.0</v>
      </c>
      <c r="Y565" s="38" t="s">
        <v>1109</v>
      </c>
      <c r="Z565" s="38" t="s">
        <v>1110</v>
      </c>
      <c r="AA565" s="38" t="s">
        <v>86</v>
      </c>
      <c r="AB565" s="38">
        <v>27.25</v>
      </c>
      <c r="AC565" s="38">
        <v>-110.083333</v>
      </c>
      <c r="AD565" s="38" t="s">
        <v>1111</v>
      </c>
      <c r="AE565" s="38"/>
      <c r="AF565" s="38" t="s">
        <v>1112</v>
      </c>
      <c r="AG565" s="38"/>
      <c r="AH565" s="38"/>
      <c r="AI565" s="50">
        <v>27.25</v>
      </c>
      <c r="AJ565" s="50">
        <v>-110.083333</v>
      </c>
      <c r="AK565" s="41" t="s">
        <v>86</v>
      </c>
      <c r="AL565" s="40" t="s">
        <v>86</v>
      </c>
      <c r="AM565" s="49">
        <v>9.0</v>
      </c>
      <c r="AN565" s="51">
        <v>9.0</v>
      </c>
      <c r="AO565" s="42" t="s">
        <v>355</v>
      </c>
      <c r="AP565" s="43" t="s">
        <v>355</v>
      </c>
      <c r="AQ565" s="44" t="str">
        <f t="shared" si="47"/>
        <v>CRO</v>
      </c>
      <c r="AR565" s="44">
        <f t="shared" si="3"/>
        <v>9</v>
      </c>
      <c r="AS565" s="44" t="str">
        <f t="shared" si="48"/>
        <v>B</v>
      </c>
      <c r="AT565" s="44" t="str">
        <f t="shared" si="17"/>
        <v>BW</v>
      </c>
      <c r="AU565" s="44" t="str">
        <f t="shared" si="2"/>
        <v>BWh</v>
      </c>
      <c r="AV565" s="38"/>
      <c r="AW565" s="38"/>
      <c r="AX565" s="38"/>
      <c r="AY565" s="38"/>
      <c r="AZ565" s="29">
        <v>30.0</v>
      </c>
      <c r="BA565" s="29">
        <v>1.0</v>
      </c>
      <c r="BB565" s="29">
        <v>1.0</v>
      </c>
      <c r="BC565" s="29"/>
      <c r="BD565" s="29" t="s">
        <v>88</v>
      </c>
      <c r="BE565" s="29" t="s">
        <v>89</v>
      </c>
      <c r="BF565" s="29" t="s">
        <v>1122</v>
      </c>
      <c r="BG565" s="29" t="s">
        <v>738</v>
      </c>
      <c r="BH565" s="29" t="s">
        <v>88</v>
      </c>
      <c r="BI565" s="29" t="s">
        <v>1114</v>
      </c>
      <c r="BJ565" s="29"/>
      <c r="BK565" s="29" t="s">
        <v>180</v>
      </c>
      <c r="BL565" s="29" t="s">
        <v>180</v>
      </c>
      <c r="BM565" s="45">
        <v>1.0</v>
      </c>
      <c r="BN565" s="45">
        <v>1.0</v>
      </c>
      <c r="BO565" s="46" t="s">
        <v>984</v>
      </c>
      <c r="BP565" s="73"/>
      <c r="BQ565" s="17"/>
    </row>
    <row r="566" ht="15.75" customHeight="1">
      <c r="A566" s="34">
        <v>567.0</v>
      </c>
      <c r="B566" s="34">
        <v>102174.0</v>
      </c>
      <c r="C566" s="34" t="s">
        <v>832</v>
      </c>
      <c r="D566" s="34" t="s">
        <v>1103</v>
      </c>
      <c r="E566" s="34" t="s">
        <v>1104</v>
      </c>
      <c r="F566" s="34">
        <v>2015.0</v>
      </c>
      <c r="G566" s="34" t="s">
        <v>1105</v>
      </c>
      <c r="H566" s="34" t="s">
        <v>1106</v>
      </c>
      <c r="I566" s="82" t="s">
        <v>1107</v>
      </c>
      <c r="J566" s="35"/>
      <c r="K566" s="36">
        <v>1.3</v>
      </c>
      <c r="L566" s="36">
        <v>6.2</v>
      </c>
      <c r="M566" s="36"/>
      <c r="N566" s="36"/>
      <c r="O566" s="36"/>
      <c r="P566" s="52">
        <f t="shared" si="49"/>
        <v>20.96774194</v>
      </c>
      <c r="Q566" s="36" t="s">
        <v>96</v>
      </c>
      <c r="R566" s="36" t="s">
        <v>96</v>
      </c>
      <c r="S566" s="36" t="s">
        <v>1108</v>
      </c>
      <c r="T566" s="36" t="s">
        <v>1117</v>
      </c>
      <c r="U566" s="36" t="s">
        <v>1117</v>
      </c>
      <c r="V566" s="36">
        <v>1.0</v>
      </c>
      <c r="W566" s="36" t="s">
        <v>88</v>
      </c>
      <c r="X566" s="38">
        <v>1.0</v>
      </c>
      <c r="Y566" s="38" t="s">
        <v>1109</v>
      </c>
      <c r="Z566" s="38" t="s">
        <v>1110</v>
      </c>
      <c r="AA566" s="38" t="s">
        <v>86</v>
      </c>
      <c r="AB566" s="38">
        <v>27.25</v>
      </c>
      <c r="AC566" s="38">
        <v>-110.083333</v>
      </c>
      <c r="AD566" s="38" t="s">
        <v>1111</v>
      </c>
      <c r="AE566" s="38"/>
      <c r="AF566" s="38" t="s">
        <v>1112</v>
      </c>
      <c r="AG566" s="38"/>
      <c r="AH566" s="38"/>
      <c r="AI566" s="50">
        <v>27.25</v>
      </c>
      <c r="AJ566" s="50">
        <v>-110.083333</v>
      </c>
      <c r="AK566" s="41" t="s">
        <v>86</v>
      </c>
      <c r="AL566" s="40" t="s">
        <v>86</v>
      </c>
      <c r="AM566" s="49">
        <v>9.0</v>
      </c>
      <c r="AN566" s="51">
        <v>9.0</v>
      </c>
      <c r="AO566" s="42" t="s">
        <v>355</v>
      </c>
      <c r="AP566" s="43" t="s">
        <v>355</v>
      </c>
      <c r="AQ566" s="44" t="str">
        <f t="shared" si="47"/>
        <v>CRO</v>
      </c>
      <c r="AR566" s="44">
        <f t="shared" si="3"/>
        <v>9</v>
      </c>
      <c r="AS566" s="44" t="str">
        <f t="shared" si="48"/>
        <v>B</v>
      </c>
      <c r="AT566" s="44" t="str">
        <f t="shared" si="17"/>
        <v>BW</v>
      </c>
      <c r="AU566" s="44" t="str">
        <f t="shared" si="2"/>
        <v>BWh</v>
      </c>
      <c r="AV566" s="38"/>
      <c r="AW566" s="38"/>
      <c r="AX566" s="38"/>
      <c r="AY566" s="38"/>
      <c r="AZ566" s="29">
        <v>30.0</v>
      </c>
      <c r="BA566" s="29">
        <v>1.0</v>
      </c>
      <c r="BB566" s="29">
        <v>1.0</v>
      </c>
      <c r="BC566" s="29"/>
      <c r="BD566" s="29" t="s">
        <v>88</v>
      </c>
      <c r="BE566" s="29" t="s">
        <v>89</v>
      </c>
      <c r="BF566" s="29" t="s">
        <v>1122</v>
      </c>
      <c r="BG566" s="29" t="s">
        <v>738</v>
      </c>
      <c r="BH566" s="29" t="s">
        <v>88</v>
      </c>
      <c r="BI566" s="29" t="s">
        <v>1114</v>
      </c>
      <c r="BJ566" s="29"/>
      <c r="BK566" s="29" t="s">
        <v>180</v>
      </c>
      <c r="BL566" s="29" t="s">
        <v>180</v>
      </c>
      <c r="BM566" s="45">
        <v>1.0</v>
      </c>
      <c r="BN566" s="45">
        <v>1.0</v>
      </c>
      <c r="BO566" s="46" t="s">
        <v>984</v>
      </c>
      <c r="BP566" s="73"/>
      <c r="BQ566" s="17"/>
    </row>
    <row r="567" ht="15.75" customHeight="1">
      <c r="A567" s="34">
        <v>568.0</v>
      </c>
      <c r="B567" s="34">
        <v>102174.0</v>
      </c>
      <c r="C567" s="34" t="s">
        <v>832</v>
      </c>
      <c r="D567" s="34" t="s">
        <v>1103</v>
      </c>
      <c r="E567" s="34" t="s">
        <v>1104</v>
      </c>
      <c r="F567" s="34">
        <v>2015.0</v>
      </c>
      <c r="G567" s="34" t="s">
        <v>1105</v>
      </c>
      <c r="H567" s="34" t="s">
        <v>1106</v>
      </c>
      <c r="I567" s="82" t="s">
        <v>1107</v>
      </c>
      <c r="J567" s="35"/>
      <c r="K567" s="36">
        <v>0.5</v>
      </c>
      <c r="L567" s="36">
        <v>5.1</v>
      </c>
      <c r="M567" s="36"/>
      <c r="N567" s="36"/>
      <c r="O567" s="36"/>
      <c r="P567" s="52">
        <f t="shared" si="49"/>
        <v>9.803921569</v>
      </c>
      <c r="Q567" s="36" t="s">
        <v>96</v>
      </c>
      <c r="R567" s="36" t="s">
        <v>96</v>
      </c>
      <c r="S567" s="36" t="s">
        <v>1108</v>
      </c>
      <c r="T567" s="36" t="s">
        <v>1118</v>
      </c>
      <c r="U567" s="36" t="s">
        <v>1118</v>
      </c>
      <c r="V567" s="36">
        <v>1.0</v>
      </c>
      <c r="W567" s="36" t="s">
        <v>88</v>
      </c>
      <c r="X567" s="38">
        <v>1.0</v>
      </c>
      <c r="Y567" s="38" t="s">
        <v>1109</v>
      </c>
      <c r="Z567" s="38" t="s">
        <v>1110</v>
      </c>
      <c r="AA567" s="38" t="s">
        <v>86</v>
      </c>
      <c r="AB567" s="38">
        <v>27.25</v>
      </c>
      <c r="AC567" s="38">
        <v>-110.083333</v>
      </c>
      <c r="AD567" s="38" t="s">
        <v>1111</v>
      </c>
      <c r="AE567" s="38"/>
      <c r="AF567" s="38" t="s">
        <v>1112</v>
      </c>
      <c r="AG567" s="38"/>
      <c r="AH567" s="38"/>
      <c r="AI567" s="50">
        <v>27.25</v>
      </c>
      <c r="AJ567" s="50">
        <v>-110.083333</v>
      </c>
      <c r="AK567" s="41" t="s">
        <v>86</v>
      </c>
      <c r="AL567" s="40" t="s">
        <v>86</v>
      </c>
      <c r="AM567" s="49">
        <v>9.0</v>
      </c>
      <c r="AN567" s="51">
        <v>9.0</v>
      </c>
      <c r="AO567" s="42" t="s">
        <v>355</v>
      </c>
      <c r="AP567" s="43" t="s">
        <v>355</v>
      </c>
      <c r="AQ567" s="44" t="str">
        <f t="shared" si="47"/>
        <v>CRO</v>
      </c>
      <c r="AR567" s="44">
        <f t="shared" si="3"/>
        <v>9</v>
      </c>
      <c r="AS567" s="44" t="str">
        <f t="shared" si="48"/>
        <v>B</v>
      </c>
      <c r="AT567" s="44" t="str">
        <f t="shared" si="17"/>
        <v>BW</v>
      </c>
      <c r="AU567" s="44" t="str">
        <f t="shared" si="2"/>
        <v>BWh</v>
      </c>
      <c r="AV567" s="38"/>
      <c r="AW567" s="38"/>
      <c r="AX567" s="38"/>
      <c r="AY567" s="38"/>
      <c r="AZ567" s="29">
        <v>30.0</v>
      </c>
      <c r="BA567" s="29">
        <v>1.0</v>
      </c>
      <c r="BB567" s="29">
        <v>1.0</v>
      </c>
      <c r="BC567" s="29"/>
      <c r="BD567" s="29" t="s">
        <v>88</v>
      </c>
      <c r="BE567" s="29" t="s">
        <v>89</v>
      </c>
      <c r="BF567" s="29" t="s">
        <v>1122</v>
      </c>
      <c r="BG567" s="29" t="s">
        <v>738</v>
      </c>
      <c r="BH567" s="29" t="s">
        <v>88</v>
      </c>
      <c r="BI567" s="29" t="s">
        <v>1114</v>
      </c>
      <c r="BJ567" s="29"/>
      <c r="BK567" s="29" t="s">
        <v>180</v>
      </c>
      <c r="BL567" s="29" t="s">
        <v>180</v>
      </c>
      <c r="BM567" s="45">
        <v>1.0</v>
      </c>
      <c r="BN567" s="45">
        <v>1.0</v>
      </c>
      <c r="BO567" s="46" t="s">
        <v>984</v>
      </c>
      <c r="BP567" s="2"/>
      <c r="BQ567" s="3"/>
    </row>
    <row r="568" ht="15.75" customHeight="1">
      <c r="A568" s="34">
        <v>569.0</v>
      </c>
      <c r="B568" s="34">
        <v>102174.0</v>
      </c>
      <c r="C568" s="34" t="s">
        <v>832</v>
      </c>
      <c r="D568" s="34" t="s">
        <v>1103</v>
      </c>
      <c r="E568" s="34" t="s">
        <v>1104</v>
      </c>
      <c r="F568" s="34">
        <v>2015.0</v>
      </c>
      <c r="G568" s="34" t="s">
        <v>1105</v>
      </c>
      <c r="H568" s="34" t="s">
        <v>1106</v>
      </c>
      <c r="I568" s="82" t="s">
        <v>1107</v>
      </c>
      <c r="J568" s="35"/>
      <c r="K568" s="36">
        <v>-0.4</v>
      </c>
      <c r="L568" s="36">
        <v>4.9</v>
      </c>
      <c r="M568" s="36"/>
      <c r="N568" s="36"/>
      <c r="O568" s="36"/>
      <c r="P568" s="52">
        <f t="shared" si="49"/>
        <v>-8.163265306</v>
      </c>
      <c r="Q568" s="36" t="s">
        <v>96</v>
      </c>
      <c r="R568" s="36" t="s">
        <v>96</v>
      </c>
      <c r="S568" s="36" t="s">
        <v>1108</v>
      </c>
      <c r="T568" s="36" t="s">
        <v>1119</v>
      </c>
      <c r="U568" s="36" t="s">
        <v>1119</v>
      </c>
      <c r="V568" s="36">
        <v>1.0</v>
      </c>
      <c r="W568" s="36" t="s">
        <v>88</v>
      </c>
      <c r="X568" s="38">
        <v>1.0</v>
      </c>
      <c r="Y568" s="38" t="s">
        <v>1109</v>
      </c>
      <c r="Z568" s="38" t="s">
        <v>1110</v>
      </c>
      <c r="AA568" s="38" t="s">
        <v>86</v>
      </c>
      <c r="AB568" s="38">
        <v>27.25</v>
      </c>
      <c r="AC568" s="38">
        <v>-110.083333</v>
      </c>
      <c r="AD568" s="38" t="s">
        <v>1111</v>
      </c>
      <c r="AE568" s="38"/>
      <c r="AF568" s="38" t="s">
        <v>1112</v>
      </c>
      <c r="AG568" s="38"/>
      <c r="AH568" s="38"/>
      <c r="AI568" s="50">
        <v>27.25</v>
      </c>
      <c r="AJ568" s="50">
        <v>-110.083333</v>
      </c>
      <c r="AK568" s="41" t="s">
        <v>86</v>
      </c>
      <c r="AL568" s="40" t="s">
        <v>86</v>
      </c>
      <c r="AM568" s="49">
        <v>9.0</v>
      </c>
      <c r="AN568" s="51">
        <v>9.0</v>
      </c>
      <c r="AO568" s="42" t="s">
        <v>355</v>
      </c>
      <c r="AP568" s="43" t="s">
        <v>355</v>
      </c>
      <c r="AQ568" s="44" t="str">
        <f t="shared" si="47"/>
        <v>CRO</v>
      </c>
      <c r="AR568" s="44">
        <f t="shared" si="3"/>
        <v>9</v>
      </c>
      <c r="AS568" s="44" t="str">
        <f t="shared" si="48"/>
        <v>B</v>
      </c>
      <c r="AT568" s="44" t="str">
        <f t="shared" si="17"/>
        <v>BW</v>
      </c>
      <c r="AU568" s="44" t="str">
        <f t="shared" si="2"/>
        <v>BWh</v>
      </c>
      <c r="AV568" s="38"/>
      <c r="AW568" s="38"/>
      <c r="AX568" s="38"/>
      <c r="AY568" s="38"/>
      <c r="AZ568" s="29">
        <v>30.0</v>
      </c>
      <c r="BA568" s="29">
        <v>1.0</v>
      </c>
      <c r="BB568" s="29">
        <v>1.0</v>
      </c>
      <c r="BC568" s="29"/>
      <c r="BD568" s="29" t="s">
        <v>88</v>
      </c>
      <c r="BE568" s="29" t="s">
        <v>89</v>
      </c>
      <c r="BF568" s="29" t="s">
        <v>1122</v>
      </c>
      <c r="BG568" s="29" t="s">
        <v>738</v>
      </c>
      <c r="BH568" s="29" t="s">
        <v>88</v>
      </c>
      <c r="BI568" s="29" t="s">
        <v>1114</v>
      </c>
      <c r="BJ568" s="29"/>
      <c r="BK568" s="29" t="s">
        <v>180</v>
      </c>
      <c r="BL568" s="29" t="s">
        <v>180</v>
      </c>
      <c r="BM568" s="45">
        <v>1.0</v>
      </c>
      <c r="BN568" s="45">
        <v>1.0</v>
      </c>
      <c r="BO568" s="46" t="s">
        <v>984</v>
      </c>
      <c r="BP568" s="2"/>
      <c r="BQ568" s="3"/>
    </row>
    <row r="569" ht="15.75" customHeight="1">
      <c r="A569" s="34">
        <v>570.0</v>
      </c>
      <c r="B569" s="34">
        <v>102174.0</v>
      </c>
      <c r="C569" s="34" t="s">
        <v>832</v>
      </c>
      <c r="D569" s="34" t="s">
        <v>1103</v>
      </c>
      <c r="E569" s="34" t="s">
        <v>1104</v>
      </c>
      <c r="F569" s="34">
        <v>2015.0</v>
      </c>
      <c r="G569" s="34" t="s">
        <v>1105</v>
      </c>
      <c r="H569" s="34" t="s">
        <v>1106</v>
      </c>
      <c r="I569" s="82" t="s">
        <v>1107</v>
      </c>
      <c r="J569" s="35"/>
      <c r="K569" s="36">
        <v>-0.3</v>
      </c>
      <c r="L569" s="36">
        <v>3.8</v>
      </c>
      <c r="M569" s="36"/>
      <c r="N569" s="36"/>
      <c r="O569" s="36"/>
      <c r="P569" s="52">
        <f t="shared" si="49"/>
        <v>-7.894736842</v>
      </c>
      <c r="Q569" s="36" t="s">
        <v>96</v>
      </c>
      <c r="R569" s="36" t="s">
        <v>96</v>
      </c>
      <c r="S569" s="36" t="s">
        <v>1108</v>
      </c>
      <c r="T569" s="36" t="s">
        <v>1120</v>
      </c>
      <c r="U569" s="36" t="s">
        <v>1120</v>
      </c>
      <c r="V569" s="36">
        <v>1.0</v>
      </c>
      <c r="W569" s="36" t="s">
        <v>88</v>
      </c>
      <c r="X569" s="38">
        <v>1.0</v>
      </c>
      <c r="Y569" s="38" t="s">
        <v>1109</v>
      </c>
      <c r="Z569" s="38" t="s">
        <v>1110</v>
      </c>
      <c r="AA569" s="38" t="s">
        <v>86</v>
      </c>
      <c r="AB569" s="38">
        <v>27.25</v>
      </c>
      <c r="AC569" s="38">
        <v>-110.083333</v>
      </c>
      <c r="AD569" s="38" t="s">
        <v>1111</v>
      </c>
      <c r="AE569" s="38"/>
      <c r="AF569" s="38" t="s">
        <v>1112</v>
      </c>
      <c r="AG569" s="38"/>
      <c r="AH569" s="38"/>
      <c r="AI569" s="50">
        <v>27.25</v>
      </c>
      <c r="AJ569" s="50">
        <v>-110.083333</v>
      </c>
      <c r="AK569" s="41" t="s">
        <v>86</v>
      </c>
      <c r="AL569" s="40" t="s">
        <v>86</v>
      </c>
      <c r="AM569" s="49">
        <v>9.0</v>
      </c>
      <c r="AN569" s="51">
        <v>9.0</v>
      </c>
      <c r="AO569" s="42" t="s">
        <v>355</v>
      </c>
      <c r="AP569" s="43" t="s">
        <v>355</v>
      </c>
      <c r="AQ569" s="44" t="str">
        <f t="shared" si="47"/>
        <v>CRO</v>
      </c>
      <c r="AR569" s="44">
        <f t="shared" si="3"/>
        <v>9</v>
      </c>
      <c r="AS569" s="44" t="str">
        <f t="shared" si="48"/>
        <v>B</v>
      </c>
      <c r="AT569" s="44" t="str">
        <f t="shared" si="17"/>
        <v>BW</v>
      </c>
      <c r="AU569" s="44" t="str">
        <f t="shared" si="2"/>
        <v>BWh</v>
      </c>
      <c r="AV569" s="38"/>
      <c r="AW569" s="38"/>
      <c r="AX569" s="38"/>
      <c r="AY569" s="38"/>
      <c r="AZ569" s="29">
        <v>30.0</v>
      </c>
      <c r="BA569" s="29">
        <v>1.0</v>
      </c>
      <c r="BB569" s="29">
        <v>1.0</v>
      </c>
      <c r="BC569" s="29"/>
      <c r="BD569" s="29" t="s">
        <v>88</v>
      </c>
      <c r="BE569" s="29" t="s">
        <v>89</v>
      </c>
      <c r="BF569" s="29" t="s">
        <v>1122</v>
      </c>
      <c r="BG569" s="29" t="s">
        <v>738</v>
      </c>
      <c r="BH569" s="29" t="s">
        <v>88</v>
      </c>
      <c r="BI569" s="29" t="s">
        <v>1114</v>
      </c>
      <c r="BJ569" s="29"/>
      <c r="BK569" s="29" t="s">
        <v>180</v>
      </c>
      <c r="BL569" s="29" t="s">
        <v>180</v>
      </c>
      <c r="BM569" s="45">
        <v>1.0</v>
      </c>
      <c r="BN569" s="45">
        <v>1.0</v>
      </c>
      <c r="BO569" s="46" t="s">
        <v>984</v>
      </c>
      <c r="BP569" s="2" t="s">
        <v>682</v>
      </c>
      <c r="BQ569" s="3"/>
    </row>
    <row r="570" ht="15.75" customHeight="1">
      <c r="A570" s="34">
        <v>571.0</v>
      </c>
      <c r="B570" s="34">
        <v>102174.0</v>
      </c>
      <c r="C570" s="34" t="s">
        <v>832</v>
      </c>
      <c r="D570" s="34" t="s">
        <v>1103</v>
      </c>
      <c r="E570" s="34" t="s">
        <v>1104</v>
      </c>
      <c r="F570" s="34">
        <v>2015.0</v>
      </c>
      <c r="G570" s="34" t="s">
        <v>1105</v>
      </c>
      <c r="H570" s="34" t="s">
        <v>1106</v>
      </c>
      <c r="I570" s="82" t="s">
        <v>1107</v>
      </c>
      <c r="J570" s="35"/>
      <c r="K570" s="36">
        <v>-0.6</v>
      </c>
      <c r="L570" s="36">
        <v>3.2</v>
      </c>
      <c r="M570" s="36"/>
      <c r="N570" s="36"/>
      <c r="O570" s="36"/>
      <c r="P570" s="52">
        <f t="shared" si="49"/>
        <v>-18.75</v>
      </c>
      <c r="Q570" s="36" t="s">
        <v>96</v>
      </c>
      <c r="R570" s="36" t="s">
        <v>96</v>
      </c>
      <c r="S570" s="36" t="s">
        <v>1108</v>
      </c>
      <c r="T570" s="36" t="s">
        <v>1121</v>
      </c>
      <c r="U570" s="36" t="s">
        <v>1121</v>
      </c>
      <c r="V570" s="36">
        <v>1.0</v>
      </c>
      <c r="W570" s="36" t="s">
        <v>88</v>
      </c>
      <c r="X570" s="38">
        <v>1.0</v>
      </c>
      <c r="Y570" s="38" t="s">
        <v>1109</v>
      </c>
      <c r="Z570" s="38" t="s">
        <v>1110</v>
      </c>
      <c r="AA570" s="38" t="s">
        <v>86</v>
      </c>
      <c r="AB570" s="38">
        <v>27.25</v>
      </c>
      <c r="AC570" s="38">
        <v>-110.083333</v>
      </c>
      <c r="AD570" s="38" t="s">
        <v>1111</v>
      </c>
      <c r="AE570" s="38"/>
      <c r="AF570" s="38" t="s">
        <v>1112</v>
      </c>
      <c r="AG570" s="38"/>
      <c r="AH570" s="38"/>
      <c r="AI570" s="50">
        <v>27.25</v>
      </c>
      <c r="AJ570" s="50">
        <v>-110.083333</v>
      </c>
      <c r="AK570" s="41" t="s">
        <v>86</v>
      </c>
      <c r="AL570" s="40" t="s">
        <v>86</v>
      </c>
      <c r="AM570" s="49">
        <v>9.0</v>
      </c>
      <c r="AN570" s="51">
        <v>9.0</v>
      </c>
      <c r="AO570" s="42" t="s">
        <v>355</v>
      </c>
      <c r="AP570" s="43" t="s">
        <v>355</v>
      </c>
      <c r="AQ570" s="44" t="str">
        <f t="shared" si="47"/>
        <v>CRO</v>
      </c>
      <c r="AR570" s="44">
        <f t="shared" si="3"/>
        <v>9</v>
      </c>
      <c r="AS570" s="44" t="str">
        <f t="shared" si="48"/>
        <v>B</v>
      </c>
      <c r="AT570" s="44" t="str">
        <f t="shared" si="17"/>
        <v>BW</v>
      </c>
      <c r="AU570" s="44" t="str">
        <f t="shared" si="2"/>
        <v>BWh</v>
      </c>
      <c r="AV570" s="38"/>
      <c r="AW570" s="38"/>
      <c r="AX570" s="38"/>
      <c r="AY570" s="38"/>
      <c r="AZ570" s="29">
        <v>30.0</v>
      </c>
      <c r="BA570" s="29">
        <v>1.0</v>
      </c>
      <c r="BB570" s="29">
        <v>1.0</v>
      </c>
      <c r="BC570" s="29"/>
      <c r="BD570" s="29" t="s">
        <v>88</v>
      </c>
      <c r="BE570" s="29" t="s">
        <v>89</v>
      </c>
      <c r="BF570" s="29" t="s">
        <v>1122</v>
      </c>
      <c r="BG570" s="29" t="s">
        <v>738</v>
      </c>
      <c r="BH570" s="29" t="s">
        <v>88</v>
      </c>
      <c r="BI570" s="29" t="s">
        <v>1114</v>
      </c>
      <c r="BJ570" s="29"/>
      <c r="BK570" s="29" t="s">
        <v>180</v>
      </c>
      <c r="BL570" s="29" t="s">
        <v>180</v>
      </c>
      <c r="BM570" s="45">
        <v>1.0</v>
      </c>
      <c r="BN570" s="45">
        <v>1.0</v>
      </c>
      <c r="BO570" s="46" t="s">
        <v>984</v>
      </c>
      <c r="BP570" s="2" t="s">
        <v>682</v>
      </c>
      <c r="BQ570" s="3"/>
    </row>
    <row r="571" ht="15.75" customHeight="1">
      <c r="A571" s="34">
        <v>572.0</v>
      </c>
      <c r="B571" s="34">
        <v>101580.0</v>
      </c>
      <c r="C571" s="34" t="s">
        <v>76</v>
      </c>
      <c r="D571" s="34" t="s">
        <v>1123</v>
      </c>
      <c r="E571" s="34" t="s">
        <v>1124</v>
      </c>
      <c r="F571" s="34">
        <v>2013.0</v>
      </c>
      <c r="G571" s="34" t="s">
        <v>1125</v>
      </c>
      <c r="H571" s="34" t="s">
        <v>1126</v>
      </c>
      <c r="I571" s="34" t="s">
        <v>1127</v>
      </c>
      <c r="J571" s="35"/>
      <c r="K571" s="36"/>
      <c r="L571" s="36"/>
      <c r="M571" s="36"/>
      <c r="N571" s="36"/>
      <c r="O571" s="36"/>
      <c r="P571" s="37">
        <v>39.5</v>
      </c>
      <c r="Q571" s="36"/>
      <c r="R571" s="36" t="s">
        <v>96</v>
      </c>
      <c r="S571" s="36">
        <v>1000.0</v>
      </c>
      <c r="T571" s="36" t="s">
        <v>341</v>
      </c>
      <c r="U571" s="36" t="s">
        <v>285</v>
      </c>
      <c r="V571" s="36"/>
      <c r="W571" s="36" t="s">
        <v>169</v>
      </c>
      <c r="X571" s="38">
        <v>1.0</v>
      </c>
      <c r="Y571" s="38" t="s">
        <v>1128</v>
      </c>
      <c r="Z571" s="38" t="s">
        <v>1129</v>
      </c>
      <c r="AA571" s="38" t="s">
        <v>452</v>
      </c>
      <c r="AB571" s="38">
        <v>37.76</v>
      </c>
      <c r="AC571" s="38">
        <v>127.15</v>
      </c>
      <c r="AD571" s="38" t="s">
        <v>1130</v>
      </c>
      <c r="AE571" s="53"/>
      <c r="AF571" s="38" t="s">
        <v>1131</v>
      </c>
      <c r="AG571" s="57"/>
      <c r="AH571" s="38"/>
      <c r="AI571" s="50">
        <v>37.76</v>
      </c>
      <c r="AJ571" s="50">
        <v>127.15</v>
      </c>
      <c r="AK571" s="41" t="s">
        <v>452</v>
      </c>
      <c r="AL571" s="40" t="s">
        <v>452</v>
      </c>
      <c r="AM571" s="49">
        <v>286.0</v>
      </c>
      <c r="AN571" s="51">
        <v>286.0</v>
      </c>
      <c r="AO571" s="42" t="s">
        <v>218</v>
      </c>
      <c r="AP571" s="43" t="s">
        <v>218</v>
      </c>
      <c r="AQ571" s="44" t="str">
        <f t="shared" si="47"/>
        <v>MF</v>
      </c>
      <c r="AR571" s="44">
        <f t="shared" si="3"/>
        <v>286</v>
      </c>
      <c r="AS571" s="44" t="str">
        <f t="shared" si="48"/>
        <v>D</v>
      </c>
      <c r="AT571" s="44" t="str">
        <f t="shared" si="17"/>
        <v>Dw</v>
      </c>
      <c r="AU571" s="44" t="str">
        <f t="shared" si="2"/>
        <v>Dwa</v>
      </c>
      <c r="AV571" s="38"/>
      <c r="AW571" s="38"/>
      <c r="AX571" s="38"/>
      <c r="AY571" s="38" t="s">
        <v>92</v>
      </c>
      <c r="AZ571" s="29">
        <v>1000.0</v>
      </c>
      <c r="BA571" s="29"/>
      <c r="BB571" s="29">
        <v>1.0</v>
      </c>
      <c r="BC571" s="29" t="s">
        <v>1132</v>
      </c>
      <c r="BD571" s="29" t="s">
        <v>88</v>
      </c>
      <c r="BE571" s="29"/>
      <c r="BF571" s="29" t="s">
        <v>1133</v>
      </c>
      <c r="BG571" s="29" t="s">
        <v>220</v>
      </c>
      <c r="BH571" s="29" t="s">
        <v>1134</v>
      </c>
      <c r="BI571" s="29" t="s">
        <v>1135</v>
      </c>
      <c r="BJ571" s="29"/>
      <c r="BK571" s="29" t="s">
        <v>148</v>
      </c>
      <c r="BL571" s="29" t="s">
        <v>308</v>
      </c>
      <c r="BM571" s="45"/>
      <c r="BN571" s="45">
        <v>1.0</v>
      </c>
      <c r="BO571" s="46" t="s">
        <v>1136</v>
      </c>
      <c r="BP571" s="2"/>
      <c r="BQ571" s="3"/>
    </row>
    <row r="572" ht="15.75" customHeight="1">
      <c r="A572" s="34">
        <v>573.0</v>
      </c>
      <c r="B572" s="34">
        <v>101580.0</v>
      </c>
      <c r="C572" s="34" t="s">
        <v>76</v>
      </c>
      <c r="D572" s="34" t="s">
        <v>1123</v>
      </c>
      <c r="E572" s="34" t="s">
        <v>1124</v>
      </c>
      <c r="F572" s="34">
        <v>2013.0</v>
      </c>
      <c r="G572" s="34" t="s">
        <v>1125</v>
      </c>
      <c r="H572" s="34" t="s">
        <v>1126</v>
      </c>
      <c r="I572" s="34" t="s">
        <v>1127</v>
      </c>
      <c r="J572" s="35"/>
      <c r="K572" s="36"/>
      <c r="L572" s="36"/>
      <c r="M572" s="36"/>
      <c r="N572" s="36"/>
      <c r="O572" s="36"/>
      <c r="P572" s="37">
        <v>0.8</v>
      </c>
      <c r="Q572" s="36"/>
      <c r="R572" s="36" t="s">
        <v>96</v>
      </c>
      <c r="S572" s="36">
        <v>1000.0</v>
      </c>
      <c r="T572" s="36" t="s">
        <v>341</v>
      </c>
      <c r="U572" s="36" t="s">
        <v>285</v>
      </c>
      <c r="V572" s="36"/>
      <c r="W572" s="36" t="s">
        <v>169</v>
      </c>
      <c r="X572" s="38">
        <v>1.0</v>
      </c>
      <c r="Y572" s="38" t="s">
        <v>1137</v>
      </c>
      <c r="Z572" s="38" t="s">
        <v>1138</v>
      </c>
      <c r="AA572" s="38" t="s">
        <v>1139</v>
      </c>
      <c r="AB572" s="38">
        <v>34.55</v>
      </c>
      <c r="AC572" s="38">
        <v>126.57</v>
      </c>
      <c r="AD572" s="38" t="s">
        <v>1130</v>
      </c>
      <c r="AE572" s="53"/>
      <c r="AF572" s="38" t="s">
        <v>1140</v>
      </c>
      <c r="AG572" s="57"/>
      <c r="AH572" s="38"/>
      <c r="AI572" s="50">
        <v>34.55</v>
      </c>
      <c r="AJ572" s="50">
        <v>126.57</v>
      </c>
      <c r="AK572" s="41" t="s">
        <v>86</v>
      </c>
      <c r="AL572" s="40" t="s">
        <v>86</v>
      </c>
      <c r="AM572" s="49">
        <v>7.0</v>
      </c>
      <c r="AN572" s="51">
        <v>7.0</v>
      </c>
      <c r="AO572" s="42" t="s">
        <v>201</v>
      </c>
      <c r="AP572" s="43" t="s">
        <v>201</v>
      </c>
      <c r="AQ572" s="44" t="str">
        <f t="shared" si="47"/>
        <v>CRP</v>
      </c>
      <c r="AR572" s="44">
        <f t="shared" si="3"/>
        <v>7</v>
      </c>
      <c r="AS572" s="44" t="str">
        <f t="shared" si="48"/>
        <v>C</v>
      </c>
      <c r="AT572" s="44" t="str">
        <f t="shared" si="17"/>
        <v>Cf</v>
      </c>
      <c r="AU572" s="44" t="str">
        <f t="shared" si="2"/>
        <v>Cfa</v>
      </c>
      <c r="AV572" s="38"/>
      <c r="AW572" s="38"/>
      <c r="AX572" s="38"/>
      <c r="AY572" s="38" t="s">
        <v>92</v>
      </c>
      <c r="AZ572" s="29">
        <v>1000.0</v>
      </c>
      <c r="BA572" s="29"/>
      <c r="BB572" s="29">
        <v>1.0</v>
      </c>
      <c r="BC572" s="29" t="s">
        <v>1132</v>
      </c>
      <c r="BD572" s="29" t="s">
        <v>88</v>
      </c>
      <c r="BE572" s="29"/>
      <c r="BF572" s="29" t="s">
        <v>1133</v>
      </c>
      <c r="BG572" s="29" t="s">
        <v>220</v>
      </c>
      <c r="BH572" s="29" t="s">
        <v>1134</v>
      </c>
      <c r="BI572" s="29" t="s">
        <v>1135</v>
      </c>
      <c r="BJ572" s="29"/>
      <c r="BK572" s="29" t="s">
        <v>148</v>
      </c>
      <c r="BL572" s="29" t="s">
        <v>308</v>
      </c>
      <c r="BM572" s="45"/>
      <c r="BN572" s="45">
        <v>1.0</v>
      </c>
      <c r="BO572" s="46" t="s">
        <v>1136</v>
      </c>
      <c r="BP572" s="2"/>
      <c r="BQ572" s="3"/>
    </row>
    <row r="573" ht="15.75" customHeight="1">
      <c r="A573" s="34">
        <v>574.0</v>
      </c>
      <c r="B573" s="34">
        <v>103603.0</v>
      </c>
      <c r="C573" s="34" t="s">
        <v>76</v>
      </c>
      <c r="D573" s="34" t="s">
        <v>1141</v>
      </c>
      <c r="E573" s="34" t="s">
        <v>1142</v>
      </c>
      <c r="F573" s="34">
        <v>2017.0</v>
      </c>
      <c r="G573" s="34" t="s">
        <v>1143</v>
      </c>
      <c r="H573" s="34" t="s">
        <v>1144</v>
      </c>
      <c r="I573" s="34" t="s">
        <v>1145</v>
      </c>
      <c r="J573" s="35"/>
      <c r="K573" s="36"/>
      <c r="L573" s="36"/>
      <c r="M573" s="36"/>
      <c r="N573" s="36">
        <v>27.2</v>
      </c>
      <c r="O573" s="36">
        <v>231.5</v>
      </c>
      <c r="P573" s="83">
        <f t="shared" ref="P573:P608" si="50">N573*100/O573</f>
        <v>11.74946004</v>
      </c>
      <c r="Q573" s="36"/>
      <c r="R573" s="36" t="s">
        <v>82</v>
      </c>
      <c r="S573" s="36" t="s">
        <v>1146</v>
      </c>
      <c r="T573" s="36" t="s">
        <v>506</v>
      </c>
      <c r="U573" s="36" t="s">
        <v>507</v>
      </c>
      <c r="V573" s="36">
        <v>29.0</v>
      </c>
      <c r="W573" s="36"/>
      <c r="X573" s="38">
        <v>1.0</v>
      </c>
      <c r="Y573" s="38" t="s">
        <v>827</v>
      </c>
      <c r="Z573" s="38" t="s">
        <v>828</v>
      </c>
      <c r="AA573" s="38" t="s">
        <v>86</v>
      </c>
      <c r="AB573" s="38">
        <v>40.63</v>
      </c>
      <c r="AC573" s="38">
        <v>117.32</v>
      </c>
      <c r="AD573" s="53" t="s">
        <v>198</v>
      </c>
      <c r="AE573" s="38">
        <v>350.0</v>
      </c>
      <c r="AF573" s="38" t="s">
        <v>1147</v>
      </c>
      <c r="AG573" s="38"/>
      <c r="AH573" s="38">
        <v>26.66</v>
      </c>
      <c r="AI573" s="50">
        <v>40.63</v>
      </c>
      <c r="AJ573" s="50">
        <v>117.32</v>
      </c>
      <c r="AK573" s="41" t="s">
        <v>288</v>
      </c>
      <c r="AL573" s="40" t="s">
        <v>288</v>
      </c>
      <c r="AM573" s="49">
        <v>364.0</v>
      </c>
      <c r="AN573" s="51">
        <v>364.0</v>
      </c>
      <c r="AO573" s="42" t="s">
        <v>218</v>
      </c>
      <c r="AP573" s="43" t="s">
        <v>218</v>
      </c>
      <c r="AQ573" s="44" t="str">
        <f t="shared" si="47"/>
        <v>CRO</v>
      </c>
      <c r="AR573" s="44">
        <f t="shared" si="3"/>
        <v>364</v>
      </c>
      <c r="AS573" s="44" t="str">
        <f t="shared" si="48"/>
        <v>D</v>
      </c>
      <c r="AT573" s="44" t="str">
        <f t="shared" si="17"/>
        <v>Dw</v>
      </c>
      <c r="AU573" s="44" t="str">
        <f t="shared" si="2"/>
        <v>Dwa</v>
      </c>
      <c r="AV573" s="38">
        <v>1.0</v>
      </c>
      <c r="AW573" s="38"/>
      <c r="AX573" s="38" t="s">
        <v>1148</v>
      </c>
      <c r="AY573" s="38" t="s">
        <v>1149</v>
      </c>
      <c r="AZ573" s="29">
        <v>30.0</v>
      </c>
      <c r="BA573" s="29">
        <v>1.0</v>
      </c>
      <c r="BB573" s="29">
        <v>1.0</v>
      </c>
      <c r="BC573" s="29"/>
      <c r="BD573" s="29" t="s">
        <v>92</v>
      </c>
      <c r="BE573" s="29"/>
      <c r="BF573" s="29" t="s">
        <v>1150</v>
      </c>
      <c r="BG573" s="29" t="s">
        <v>91</v>
      </c>
      <c r="BH573" s="29" t="s">
        <v>88</v>
      </c>
      <c r="BI573" s="29" t="s">
        <v>1151</v>
      </c>
      <c r="BJ573" s="29"/>
      <c r="BK573" s="29" t="s">
        <v>180</v>
      </c>
      <c r="BL573" s="29" t="s">
        <v>180</v>
      </c>
      <c r="BM573" s="67"/>
      <c r="BN573" s="67"/>
      <c r="BO573" s="46"/>
      <c r="BP573" s="2"/>
      <c r="BQ573" s="3"/>
    </row>
    <row r="574" ht="15.75" customHeight="1">
      <c r="A574" s="34">
        <v>575.0</v>
      </c>
      <c r="B574" s="34">
        <v>103603.0</v>
      </c>
      <c r="C574" s="34" t="s">
        <v>76</v>
      </c>
      <c r="D574" s="34" t="s">
        <v>1141</v>
      </c>
      <c r="E574" s="34" t="s">
        <v>1142</v>
      </c>
      <c r="F574" s="34">
        <v>2017.0</v>
      </c>
      <c r="G574" s="34" t="s">
        <v>1143</v>
      </c>
      <c r="H574" s="34" t="s">
        <v>1144</v>
      </c>
      <c r="I574" s="34" t="s">
        <v>1145</v>
      </c>
      <c r="J574" s="35"/>
      <c r="K574" s="36"/>
      <c r="L574" s="36"/>
      <c r="M574" s="36"/>
      <c r="N574" s="36">
        <v>-36.4</v>
      </c>
      <c r="O574" s="36">
        <v>249.5</v>
      </c>
      <c r="P574" s="83">
        <f t="shared" si="50"/>
        <v>-14.58917836</v>
      </c>
      <c r="Q574" s="36"/>
      <c r="R574" s="36" t="s">
        <v>82</v>
      </c>
      <c r="S574" s="36" t="s">
        <v>1146</v>
      </c>
      <c r="T574" s="36" t="s">
        <v>506</v>
      </c>
      <c r="U574" s="36" t="s">
        <v>507</v>
      </c>
      <c r="V574" s="36">
        <v>6.0</v>
      </c>
      <c r="W574" s="36"/>
      <c r="X574" s="38">
        <v>1.0</v>
      </c>
      <c r="Y574" s="38" t="s">
        <v>1152</v>
      </c>
      <c r="Z574" s="38" t="s">
        <v>1152</v>
      </c>
      <c r="AA574" s="38" t="s">
        <v>86</v>
      </c>
      <c r="AB574" s="38">
        <v>39.62</v>
      </c>
      <c r="AC574" s="38">
        <v>116.43</v>
      </c>
      <c r="AD574" s="38" t="s">
        <v>198</v>
      </c>
      <c r="AE574" s="53"/>
      <c r="AF574" s="38" t="s">
        <v>1153</v>
      </c>
      <c r="AG574" s="57"/>
      <c r="AH574" s="38">
        <v>3.0</v>
      </c>
      <c r="AI574" s="50">
        <v>39.62</v>
      </c>
      <c r="AJ574" s="50">
        <v>116.43</v>
      </c>
      <c r="AK574" s="41" t="s">
        <v>86</v>
      </c>
      <c r="AL574" s="40" t="s">
        <v>86</v>
      </c>
      <c r="AM574" s="49">
        <v>28.0</v>
      </c>
      <c r="AN574" s="51">
        <v>28.0</v>
      </c>
      <c r="AO574" s="42" t="s">
        <v>293</v>
      </c>
      <c r="AP574" s="43" t="s">
        <v>293</v>
      </c>
      <c r="AQ574" s="44" t="str">
        <f t="shared" si="47"/>
        <v>CRO</v>
      </c>
      <c r="AR574" s="44">
        <f t="shared" si="3"/>
        <v>28</v>
      </c>
      <c r="AS574" s="44" t="str">
        <f t="shared" si="48"/>
        <v>B</v>
      </c>
      <c r="AT574" s="44" t="str">
        <f t="shared" si="17"/>
        <v>BS</v>
      </c>
      <c r="AU574" s="44" t="str">
        <f t="shared" si="2"/>
        <v>BSk</v>
      </c>
      <c r="AV574" s="38">
        <v>1.0</v>
      </c>
      <c r="AW574" s="38"/>
      <c r="AX574" s="38" t="s">
        <v>1148</v>
      </c>
      <c r="AY574" s="38" t="s">
        <v>1149</v>
      </c>
      <c r="AZ574" s="29">
        <v>30.0</v>
      </c>
      <c r="BA574" s="29">
        <v>1.0</v>
      </c>
      <c r="BB574" s="29">
        <v>1.0</v>
      </c>
      <c r="BC574" s="29"/>
      <c r="BD574" s="29" t="s">
        <v>92</v>
      </c>
      <c r="BE574" s="29"/>
      <c r="BF574" s="29" t="s">
        <v>1150</v>
      </c>
      <c r="BG574" s="29" t="s">
        <v>91</v>
      </c>
      <c r="BH574" s="29" t="s">
        <v>88</v>
      </c>
      <c r="BI574" s="29" t="s">
        <v>1151</v>
      </c>
      <c r="BJ574" s="29"/>
      <c r="BK574" s="29" t="s">
        <v>180</v>
      </c>
      <c r="BL574" s="29" t="s">
        <v>180</v>
      </c>
      <c r="BM574" s="67"/>
      <c r="BN574" s="67"/>
      <c r="BO574" s="46"/>
      <c r="BP574" s="2"/>
      <c r="BQ574" s="3"/>
    </row>
    <row r="575" ht="15.75" customHeight="1">
      <c r="A575" s="34">
        <v>576.0</v>
      </c>
      <c r="B575" s="34">
        <v>103603.0</v>
      </c>
      <c r="C575" s="34" t="s">
        <v>76</v>
      </c>
      <c r="D575" s="34" t="s">
        <v>1141</v>
      </c>
      <c r="E575" s="34" t="s">
        <v>1142</v>
      </c>
      <c r="F575" s="34">
        <v>2017.0</v>
      </c>
      <c r="G575" s="34" t="s">
        <v>1143</v>
      </c>
      <c r="H575" s="34" t="s">
        <v>1144</v>
      </c>
      <c r="I575" s="34" t="s">
        <v>1145</v>
      </c>
      <c r="J575" s="35"/>
      <c r="K575" s="36"/>
      <c r="L575" s="36"/>
      <c r="M575" s="36"/>
      <c r="N575" s="36">
        <v>-17.2</v>
      </c>
      <c r="O575" s="36">
        <v>200.8</v>
      </c>
      <c r="P575" s="83">
        <f t="shared" si="50"/>
        <v>-8.565737052</v>
      </c>
      <c r="Q575" s="36"/>
      <c r="R575" s="36" t="s">
        <v>82</v>
      </c>
      <c r="S575" s="36" t="s">
        <v>1146</v>
      </c>
      <c r="T575" s="36" t="s">
        <v>506</v>
      </c>
      <c r="U575" s="36" t="s">
        <v>507</v>
      </c>
      <c r="V575" s="36">
        <v>14.0</v>
      </c>
      <c r="W575" s="36"/>
      <c r="X575" s="38">
        <v>1.0</v>
      </c>
      <c r="Y575" s="38" t="s">
        <v>819</v>
      </c>
      <c r="Z575" s="38" t="s">
        <v>820</v>
      </c>
      <c r="AA575" s="38" t="s">
        <v>86</v>
      </c>
      <c r="AB575" s="38">
        <v>36.52</v>
      </c>
      <c r="AC575" s="38">
        <v>115.13</v>
      </c>
      <c r="AD575" s="38" t="s">
        <v>198</v>
      </c>
      <c r="AE575" s="53"/>
      <c r="AF575" s="38" t="s">
        <v>1154</v>
      </c>
      <c r="AG575" s="57"/>
      <c r="AH575" s="38">
        <v>15.6</v>
      </c>
      <c r="AI575" s="50">
        <v>36.515</v>
      </c>
      <c r="AJ575" s="50">
        <v>115.126</v>
      </c>
      <c r="AK575" s="41" t="s">
        <v>86</v>
      </c>
      <c r="AL575" s="40" t="s">
        <v>86</v>
      </c>
      <c r="AM575" s="49">
        <v>42.0</v>
      </c>
      <c r="AN575" s="51">
        <v>42.0</v>
      </c>
      <c r="AO575" s="42" t="s">
        <v>293</v>
      </c>
      <c r="AP575" s="43" t="s">
        <v>293</v>
      </c>
      <c r="AQ575" s="44" t="str">
        <f t="shared" si="47"/>
        <v>CRO</v>
      </c>
      <c r="AR575" s="44">
        <f t="shared" si="3"/>
        <v>42</v>
      </c>
      <c r="AS575" s="44" t="str">
        <f t="shared" si="48"/>
        <v>B</v>
      </c>
      <c r="AT575" s="44" t="str">
        <f t="shared" si="17"/>
        <v>BS</v>
      </c>
      <c r="AU575" s="44" t="str">
        <f t="shared" si="2"/>
        <v>BSk</v>
      </c>
      <c r="AV575" s="38">
        <v>1.0</v>
      </c>
      <c r="AW575" s="38"/>
      <c r="AX575" s="38" t="s">
        <v>1148</v>
      </c>
      <c r="AY575" s="38" t="s">
        <v>1149</v>
      </c>
      <c r="AZ575" s="29">
        <v>30.0</v>
      </c>
      <c r="BA575" s="29">
        <v>1.0</v>
      </c>
      <c r="BB575" s="29">
        <v>1.0</v>
      </c>
      <c r="BC575" s="29"/>
      <c r="BD575" s="29" t="s">
        <v>92</v>
      </c>
      <c r="BE575" s="29"/>
      <c r="BF575" s="29" t="s">
        <v>1150</v>
      </c>
      <c r="BG575" s="29" t="s">
        <v>91</v>
      </c>
      <c r="BH575" s="29" t="s">
        <v>88</v>
      </c>
      <c r="BI575" s="29" t="s">
        <v>1151</v>
      </c>
      <c r="BJ575" s="29"/>
      <c r="BK575" s="29" t="s">
        <v>180</v>
      </c>
      <c r="BL575" s="29" t="s">
        <v>180</v>
      </c>
      <c r="BM575" s="67"/>
      <c r="BN575" s="67"/>
      <c r="BO575" s="46"/>
      <c r="BP575" s="2"/>
      <c r="BQ575" s="3"/>
    </row>
    <row r="576" ht="15.75" customHeight="1">
      <c r="A576" s="34">
        <v>577.0</v>
      </c>
      <c r="B576" s="34">
        <v>103603.0</v>
      </c>
      <c r="C576" s="34" t="s">
        <v>76</v>
      </c>
      <c r="D576" s="34" t="s">
        <v>1141</v>
      </c>
      <c r="E576" s="34" t="s">
        <v>1142</v>
      </c>
      <c r="F576" s="34">
        <v>2017.0</v>
      </c>
      <c r="G576" s="34" t="s">
        <v>1143</v>
      </c>
      <c r="H576" s="34" t="s">
        <v>1144</v>
      </c>
      <c r="I576" s="34" t="s">
        <v>1145</v>
      </c>
      <c r="J576" s="35"/>
      <c r="K576" s="36"/>
      <c r="L576" s="36"/>
      <c r="M576" s="36"/>
      <c r="N576" s="36">
        <v>31.3</v>
      </c>
      <c r="O576" s="36">
        <v>174.3</v>
      </c>
      <c r="P576" s="83">
        <f t="shared" si="50"/>
        <v>17.95754446</v>
      </c>
      <c r="Q576" s="36"/>
      <c r="R576" s="36" t="s">
        <v>82</v>
      </c>
      <c r="S576" s="36" t="s">
        <v>1146</v>
      </c>
      <c r="T576" s="36" t="s">
        <v>167</v>
      </c>
      <c r="U576" s="36" t="s">
        <v>246</v>
      </c>
      <c r="V576" s="36">
        <v>15.0</v>
      </c>
      <c r="W576" s="36"/>
      <c r="X576" s="38">
        <v>1.0</v>
      </c>
      <c r="Y576" s="38" t="s">
        <v>1155</v>
      </c>
      <c r="Z576" s="38" t="s">
        <v>1155</v>
      </c>
      <c r="AA576" s="38" t="s">
        <v>86</v>
      </c>
      <c r="AB576" s="38">
        <v>40.35</v>
      </c>
      <c r="AC576" s="38">
        <v>115.79</v>
      </c>
      <c r="AD576" s="38" t="s">
        <v>198</v>
      </c>
      <c r="AE576" s="53"/>
      <c r="AF576" s="38" t="s">
        <v>1048</v>
      </c>
      <c r="AG576" s="57"/>
      <c r="AH576" s="38">
        <v>5.0</v>
      </c>
      <c r="AI576" s="50">
        <v>40.35</v>
      </c>
      <c r="AJ576" s="50">
        <v>115.79</v>
      </c>
      <c r="AK576" s="41" t="s">
        <v>86</v>
      </c>
      <c r="AL576" s="40" t="s">
        <v>86</v>
      </c>
      <c r="AM576" s="49">
        <v>480.0</v>
      </c>
      <c r="AN576" s="51">
        <v>480.0</v>
      </c>
      <c r="AO576" s="42" t="s">
        <v>293</v>
      </c>
      <c r="AP576" s="43" t="s">
        <v>293</v>
      </c>
      <c r="AQ576" s="44" t="str">
        <f t="shared" si="47"/>
        <v>CRO</v>
      </c>
      <c r="AR576" s="44">
        <f t="shared" si="3"/>
        <v>480</v>
      </c>
      <c r="AS576" s="44" t="str">
        <f t="shared" si="48"/>
        <v>B</v>
      </c>
      <c r="AT576" s="44" t="str">
        <f t="shared" si="17"/>
        <v>BS</v>
      </c>
      <c r="AU576" s="44" t="str">
        <f t="shared" si="2"/>
        <v>BSk</v>
      </c>
      <c r="AV576" s="38">
        <v>1.0</v>
      </c>
      <c r="AW576" s="38"/>
      <c r="AX576" s="38" t="s">
        <v>1148</v>
      </c>
      <c r="AY576" s="38" t="s">
        <v>1149</v>
      </c>
      <c r="AZ576" s="29">
        <v>30.0</v>
      </c>
      <c r="BA576" s="29">
        <v>1.0</v>
      </c>
      <c r="BB576" s="29">
        <v>1.0</v>
      </c>
      <c r="BC576" s="29"/>
      <c r="BD576" s="29" t="s">
        <v>92</v>
      </c>
      <c r="BE576" s="29"/>
      <c r="BF576" s="29" t="s">
        <v>1150</v>
      </c>
      <c r="BG576" s="29" t="s">
        <v>91</v>
      </c>
      <c r="BH576" s="29" t="s">
        <v>88</v>
      </c>
      <c r="BI576" s="29" t="s">
        <v>1151</v>
      </c>
      <c r="BJ576" s="29"/>
      <c r="BK576" s="29" t="s">
        <v>180</v>
      </c>
      <c r="BL576" s="29" t="s">
        <v>180</v>
      </c>
      <c r="BM576" s="67"/>
      <c r="BN576" s="67"/>
      <c r="BO576" s="46"/>
      <c r="BP576" s="2"/>
      <c r="BQ576" s="3"/>
    </row>
    <row r="577" ht="15.75" customHeight="1">
      <c r="A577" s="34">
        <v>578.0</v>
      </c>
      <c r="B577" s="34">
        <v>103603.0</v>
      </c>
      <c r="C577" s="34" t="s">
        <v>76</v>
      </c>
      <c r="D577" s="34" t="s">
        <v>1141</v>
      </c>
      <c r="E577" s="34" t="s">
        <v>1142</v>
      </c>
      <c r="F577" s="34">
        <v>2017.0</v>
      </c>
      <c r="G577" s="34" t="s">
        <v>1143</v>
      </c>
      <c r="H577" s="34" t="s">
        <v>1144</v>
      </c>
      <c r="I577" s="34" t="s">
        <v>1145</v>
      </c>
      <c r="J577" s="35"/>
      <c r="K577" s="36"/>
      <c r="L577" s="36"/>
      <c r="M577" s="36"/>
      <c r="N577" s="36">
        <v>-63.6</v>
      </c>
      <c r="O577" s="36">
        <v>503.4</v>
      </c>
      <c r="P577" s="83">
        <f t="shared" si="50"/>
        <v>-12.6340882</v>
      </c>
      <c r="Q577" s="36"/>
      <c r="R577" s="36" t="s">
        <v>82</v>
      </c>
      <c r="S577" s="36" t="s">
        <v>1146</v>
      </c>
      <c r="T577" s="36" t="s">
        <v>1156</v>
      </c>
      <c r="U577" s="36" t="s">
        <v>1157</v>
      </c>
      <c r="V577" s="36">
        <v>5.0</v>
      </c>
      <c r="W577" s="36"/>
      <c r="X577" s="38">
        <v>1.0</v>
      </c>
      <c r="Y577" s="53" t="s">
        <v>256</v>
      </c>
      <c r="Z577" s="38" t="s">
        <v>257</v>
      </c>
      <c r="AA577" s="38" t="s">
        <v>86</v>
      </c>
      <c r="AB577" s="38">
        <v>38.86</v>
      </c>
      <c r="AC577" s="38">
        <v>100.37</v>
      </c>
      <c r="AD577" s="53" t="s">
        <v>198</v>
      </c>
      <c r="AE577" s="53"/>
      <c r="AF577" s="38" t="s">
        <v>1158</v>
      </c>
      <c r="AG577" s="57"/>
      <c r="AH577" s="38">
        <v>4.5</v>
      </c>
      <c r="AI577" s="50">
        <v>38.875</v>
      </c>
      <c r="AJ577" s="50">
        <v>100.375</v>
      </c>
      <c r="AK577" s="41" t="s">
        <v>86</v>
      </c>
      <c r="AL577" s="40" t="s">
        <v>86</v>
      </c>
      <c r="AM577" s="49">
        <v>1554.0</v>
      </c>
      <c r="AN577" s="51">
        <v>1554.0</v>
      </c>
      <c r="AO577" s="42" t="s">
        <v>261</v>
      </c>
      <c r="AP577" s="43" t="s">
        <v>261</v>
      </c>
      <c r="AQ577" s="44" t="str">
        <f t="shared" si="47"/>
        <v>CRO</v>
      </c>
      <c r="AR577" s="44">
        <f t="shared" si="3"/>
        <v>1554</v>
      </c>
      <c r="AS577" s="44" t="str">
        <f t="shared" si="48"/>
        <v>B</v>
      </c>
      <c r="AT577" s="44" t="str">
        <f t="shared" si="17"/>
        <v>BW</v>
      </c>
      <c r="AU577" s="44" t="str">
        <f t="shared" si="2"/>
        <v>BWk</v>
      </c>
      <c r="AV577" s="38">
        <v>1.0</v>
      </c>
      <c r="AW577" s="38"/>
      <c r="AX577" s="38" t="s">
        <v>1148</v>
      </c>
      <c r="AY577" s="38" t="s">
        <v>1149</v>
      </c>
      <c r="AZ577" s="29">
        <v>30.0</v>
      </c>
      <c r="BA577" s="29">
        <v>1.0</v>
      </c>
      <c r="BB577" s="29">
        <v>1.0</v>
      </c>
      <c r="BC577" s="29"/>
      <c r="BD577" s="29" t="s">
        <v>92</v>
      </c>
      <c r="BE577" s="29"/>
      <c r="BF577" s="29" t="s">
        <v>1150</v>
      </c>
      <c r="BG577" s="29" t="s">
        <v>91</v>
      </c>
      <c r="BH577" s="29" t="s">
        <v>88</v>
      </c>
      <c r="BI577" s="29" t="s">
        <v>1151</v>
      </c>
      <c r="BJ577" s="29"/>
      <c r="BK577" s="29" t="s">
        <v>180</v>
      </c>
      <c r="BL577" s="29" t="s">
        <v>180</v>
      </c>
      <c r="BM577" s="67"/>
      <c r="BN577" s="67"/>
      <c r="BO577" s="46"/>
      <c r="BP577" s="2"/>
      <c r="BQ577" s="3"/>
    </row>
    <row r="578" ht="15.75" customHeight="1">
      <c r="A578" s="34">
        <v>579.0</v>
      </c>
      <c r="B578" s="34">
        <v>103603.0</v>
      </c>
      <c r="C578" s="34" t="s">
        <v>76</v>
      </c>
      <c r="D578" s="34" t="s">
        <v>1141</v>
      </c>
      <c r="E578" s="34" t="s">
        <v>1142</v>
      </c>
      <c r="F578" s="34">
        <v>2017.0</v>
      </c>
      <c r="G578" s="34" t="s">
        <v>1143</v>
      </c>
      <c r="H578" s="34" t="s">
        <v>1144</v>
      </c>
      <c r="I578" s="34" t="s">
        <v>1145</v>
      </c>
      <c r="J578" s="35"/>
      <c r="K578" s="36"/>
      <c r="L578" s="36"/>
      <c r="M578" s="36"/>
      <c r="N578" s="36">
        <v>6.9</v>
      </c>
      <c r="O578" s="36">
        <v>234.1</v>
      </c>
      <c r="P578" s="83">
        <f t="shared" si="50"/>
        <v>2.947458351</v>
      </c>
      <c r="Q578" s="36"/>
      <c r="R578" s="36" t="s">
        <v>82</v>
      </c>
      <c r="S578" s="36" t="s">
        <v>1146</v>
      </c>
      <c r="T578" s="36" t="s">
        <v>506</v>
      </c>
      <c r="U578" s="36" t="s">
        <v>246</v>
      </c>
      <c r="V578" s="36">
        <v>69.0</v>
      </c>
      <c r="W578" s="36"/>
      <c r="X578" s="38">
        <v>5.0</v>
      </c>
      <c r="Y578" s="38" t="s">
        <v>1159</v>
      </c>
      <c r="Z578" s="38"/>
      <c r="AA578" s="38" t="s">
        <v>86</v>
      </c>
      <c r="AB578" s="38"/>
      <c r="AC578" s="38"/>
      <c r="AD578" s="38"/>
      <c r="AE578" s="38"/>
      <c r="AF578" s="38"/>
      <c r="AG578" s="38"/>
      <c r="AH578" s="38"/>
      <c r="AI578" s="50"/>
      <c r="AJ578" s="50"/>
      <c r="AK578" s="41"/>
      <c r="AL578" s="40"/>
      <c r="AM578" s="49"/>
      <c r="AN578" s="43"/>
      <c r="AO578" s="42"/>
      <c r="AP578" s="43"/>
      <c r="AQ578" s="44" t="str">
        <f t="shared" si="47"/>
        <v>CRO</v>
      </c>
      <c r="AR578" s="44" t="str">
        <f t="shared" si="3"/>
        <v/>
      </c>
      <c r="AS578" s="44"/>
      <c r="AT578" s="44" t="str">
        <f t="shared" si="17"/>
        <v/>
      </c>
      <c r="AU578" s="44" t="str">
        <f t="shared" si="2"/>
        <v/>
      </c>
      <c r="AV578" s="38"/>
      <c r="AW578" s="38"/>
      <c r="AX578" s="38" t="s">
        <v>1148</v>
      </c>
      <c r="AY578" s="38" t="s">
        <v>1149</v>
      </c>
      <c r="AZ578" s="29">
        <v>30.0</v>
      </c>
      <c r="BA578" s="29">
        <v>1.0</v>
      </c>
      <c r="BB578" s="29">
        <v>1.0</v>
      </c>
      <c r="BC578" s="29"/>
      <c r="BD578" s="29" t="s">
        <v>92</v>
      </c>
      <c r="BE578" s="29"/>
      <c r="BF578" s="29" t="s">
        <v>1150</v>
      </c>
      <c r="BG578" s="29" t="s">
        <v>91</v>
      </c>
      <c r="BH578" s="29" t="s">
        <v>88</v>
      </c>
      <c r="BI578" s="29" t="s">
        <v>1151</v>
      </c>
      <c r="BJ578" s="29"/>
      <c r="BK578" s="29" t="s">
        <v>180</v>
      </c>
      <c r="BL578" s="29" t="s">
        <v>180</v>
      </c>
      <c r="BM578" s="67"/>
      <c r="BN578" s="67"/>
      <c r="BO578" s="46"/>
      <c r="BP578" s="2"/>
      <c r="BQ578" s="3"/>
    </row>
    <row r="579" ht="15.75" customHeight="1">
      <c r="A579" s="34">
        <v>580.0</v>
      </c>
      <c r="B579" s="34">
        <v>103603.0</v>
      </c>
      <c r="C579" s="34" t="s">
        <v>76</v>
      </c>
      <c r="D579" s="34" t="s">
        <v>1141</v>
      </c>
      <c r="E579" s="34" t="s">
        <v>1142</v>
      </c>
      <c r="F579" s="34">
        <v>2017.0</v>
      </c>
      <c r="G579" s="34" t="s">
        <v>1143</v>
      </c>
      <c r="H579" s="34" t="s">
        <v>1144</v>
      </c>
      <c r="I579" s="34" t="s">
        <v>1145</v>
      </c>
      <c r="J579" s="35"/>
      <c r="K579" s="36"/>
      <c r="L579" s="36"/>
      <c r="M579" s="36"/>
      <c r="N579" s="36">
        <v>8.5</v>
      </c>
      <c r="O579" s="36">
        <v>68.1</v>
      </c>
      <c r="P579" s="83">
        <f t="shared" si="50"/>
        <v>12.48164464</v>
      </c>
      <c r="Q579" s="36"/>
      <c r="R579" s="36" t="s">
        <v>96</v>
      </c>
      <c r="S579" s="36" t="s">
        <v>1146</v>
      </c>
      <c r="T579" s="36" t="s">
        <v>506</v>
      </c>
      <c r="U579" s="36" t="s">
        <v>507</v>
      </c>
      <c r="V579" s="36">
        <v>29.0</v>
      </c>
      <c r="W579" s="36"/>
      <c r="X579" s="38">
        <v>1.0</v>
      </c>
      <c r="Y579" s="38" t="s">
        <v>827</v>
      </c>
      <c r="Z579" s="38" t="s">
        <v>828</v>
      </c>
      <c r="AA579" s="38" t="s">
        <v>86</v>
      </c>
      <c r="AB579" s="38">
        <v>40.63</v>
      </c>
      <c r="AC579" s="38">
        <v>117.32</v>
      </c>
      <c r="AD579" s="53" t="s">
        <v>198</v>
      </c>
      <c r="AE579" s="38">
        <v>350.0</v>
      </c>
      <c r="AF579" s="38" t="s">
        <v>1147</v>
      </c>
      <c r="AG579" s="38"/>
      <c r="AH579" s="38">
        <v>26.66</v>
      </c>
      <c r="AI579" s="50">
        <v>40.63</v>
      </c>
      <c r="AJ579" s="50">
        <v>117.32</v>
      </c>
      <c r="AK579" s="41" t="s">
        <v>288</v>
      </c>
      <c r="AL579" s="40" t="s">
        <v>288</v>
      </c>
      <c r="AM579" s="49">
        <v>364.0</v>
      </c>
      <c r="AN579" s="51">
        <v>364.0</v>
      </c>
      <c r="AO579" s="42" t="s">
        <v>218</v>
      </c>
      <c r="AP579" s="43" t="s">
        <v>218</v>
      </c>
      <c r="AQ579" s="44" t="str">
        <f t="shared" si="47"/>
        <v>CRO</v>
      </c>
      <c r="AR579" s="44">
        <f t="shared" si="3"/>
        <v>364</v>
      </c>
      <c r="AS579" s="44" t="str">
        <f t="shared" ref="AS579:AS583" si="51">LEFT(AO579,1)</f>
        <v>D</v>
      </c>
      <c r="AT579" s="44" t="str">
        <f t="shared" si="17"/>
        <v>Dw</v>
      </c>
      <c r="AU579" s="44" t="str">
        <f t="shared" si="2"/>
        <v>Dwa</v>
      </c>
      <c r="AV579" s="38">
        <v>1.0</v>
      </c>
      <c r="AW579" s="38"/>
      <c r="AX579" s="38" t="s">
        <v>1148</v>
      </c>
      <c r="AY579" s="38" t="s">
        <v>1149</v>
      </c>
      <c r="AZ579" s="29">
        <v>30.0</v>
      </c>
      <c r="BA579" s="29">
        <v>1.0</v>
      </c>
      <c r="BB579" s="29">
        <v>1.0</v>
      </c>
      <c r="BC579" s="29"/>
      <c r="BD579" s="29" t="s">
        <v>92</v>
      </c>
      <c r="BE579" s="29"/>
      <c r="BF579" s="29" t="s">
        <v>1150</v>
      </c>
      <c r="BG579" s="29" t="s">
        <v>91</v>
      </c>
      <c r="BH579" s="29" t="s">
        <v>88</v>
      </c>
      <c r="BI579" s="29" t="s">
        <v>1151</v>
      </c>
      <c r="BJ579" s="29"/>
      <c r="BK579" s="29" t="s">
        <v>180</v>
      </c>
      <c r="BL579" s="29" t="s">
        <v>180</v>
      </c>
      <c r="BM579" s="67"/>
      <c r="BN579" s="67"/>
      <c r="BO579" s="46"/>
      <c r="BP579" s="2"/>
      <c r="BQ579" s="3"/>
    </row>
    <row r="580" ht="15.75" customHeight="1">
      <c r="A580" s="34">
        <v>581.0</v>
      </c>
      <c r="B580" s="34">
        <v>103603.0</v>
      </c>
      <c r="C580" s="34" t="s">
        <v>76</v>
      </c>
      <c r="D580" s="34" t="s">
        <v>1141</v>
      </c>
      <c r="E580" s="34" t="s">
        <v>1142</v>
      </c>
      <c r="F580" s="34">
        <v>2017.0</v>
      </c>
      <c r="G580" s="34" t="s">
        <v>1143</v>
      </c>
      <c r="H580" s="34" t="s">
        <v>1144</v>
      </c>
      <c r="I580" s="34" t="s">
        <v>1145</v>
      </c>
      <c r="J580" s="35"/>
      <c r="K580" s="36"/>
      <c r="L580" s="36"/>
      <c r="M580" s="36"/>
      <c r="N580" s="36">
        <v>-16.6</v>
      </c>
      <c r="O580" s="36">
        <v>81.9</v>
      </c>
      <c r="P580" s="83">
        <f t="shared" si="50"/>
        <v>-20.26862027</v>
      </c>
      <c r="Q580" s="36"/>
      <c r="R580" s="36" t="s">
        <v>96</v>
      </c>
      <c r="S580" s="36" t="s">
        <v>1146</v>
      </c>
      <c r="T580" s="36" t="s">
        <v>506</v>
      </c>
      <c r="U580" s="36" t="s">
        <v>507</v>
      </c>
      <c r="V580" s="36">
        <v>6.0</v>
      </c>
      <c r="W580" s="36"/>
      <c r="X580" s="38">
        <v>1.0</v>
      </c>
      <c r="Y580" s="38" t="s">
        <v>1152</v>
      </c>
      <c r="Z580" s="38" t="s">
        <v>1152</v>
      </c>
      <c r="AA580" s="38" t="s">
        <v>86</v>
      </c>
      <c r="AB580" s="38">
        <v>39.62</v>
      </c>
      <c r="AC580" s="38">
        <v>116.43</v>
      </c>
      <c r="AD580" s="38" t="s">
        <v>198</v>
      </c>
      <c r="AE580" s="53"/>
      <c r="AF580" s="38" t="s">
        <v>1153</v>
      </c>
      <c r="AG580" s="57"/>
      <c r="AH580" s="38">
        <v>3.0</v>
      </c>
      <c r="AI580" s="50">
        <v>39.62</v>
      </c>
      <c r="AJ580" s="50">
        <v>116.43</v>
      </c>
      <c r="AK580" s="41" t="s">
        <v>86</v>
      </c>
      <c r="AL580" s="40" t="s">
        <v>86</v>
      </c>
      <c r="AM580" s="49">
        <v>28.0</v>
      </c>
      <c r="AN580" s="51">
        <v>28.0</v>
      </c>
      <c r="AO580" s="42" t="s">
        <v>293</v>
      </c>
      <c r="AP580" s="43" t="s">
        <v>293</v>
      </c>
      <c r="AQ580" s="44" t="str">
        <f t="shared" si="47"/>
        <v>CRO</v>
      </c>
      <c r="AR580" s="44">
        <f t="shared" si="3"/>
        <v>28</v>
      </c>
      <c r="AS580" s="44" t="str">
        <f t="shared" si="51"/>
        <v>B</v>
      </c>
      <c r="AT580" s="44" t="str">
        <f t="shared" si="17"/>
        <v>BS</v>
      </c>
      <c r="AU580" s="44" t="str">
        <f t="shared" si="2"/>
        <v>BSk</v>
      </c>
      <c r="AV580" s="38">
        <v>1.0</v>
      </c>
      <c r="AW580" s="38"/>
      <c r="AX580" s="38" t="s">
        <v>1148</v>
      </c>
      <c r="AY580" s="38" t="s">
        <v>1149</v>
      </c>
      <c r="AZ580" s="29">
        <v>30.0</v>
      </c>
      <c r="BA580" s="29">
        <v>1.0</v>
      </c>
      <c r="BB580" s="29">
        <v>1.0</v>
      </c>
      <c r="BC580" s="29"/>
      <c r="BD580" s="29" t="s">
        <v>92</v>
      </c>
      <c r="BE580" s="29"/>
      <c r="BF580" s="29" t="s">
        <v>1150</v>
      </c>
      <c r="BG580" s="29" t="s">
        <v>91</v>
      </c>
      <c r="BH580" s="29" t="s">
        <v>88</v>
      </c>
      <c r="BI580" s="29" t="s">
        <v>1151</v>
      </c>
      <c r="BJ580" s="29"/>
      <c r="BK580" s="29" t="s">
        <v>180</v>
      </c>
      <c r="BL580" s="29" t="s">
        <v>180</v>
      </c>
      <c r="BM580" s="67"/>
      <c r="BN580" s="67"/>
      <c r="BO580" s="46"/>
      <c r="BP580" s="2"/>
      <c r="BQ580" s="3"/>
    </row>
    <row r="581" ht="15.75" customHeight="1">
      <c r="A581" s="34">
        <v>582.0</v>
      </c>
      <c r="B581" s="34">
        <v>103603.0</v>
      </c>
      <c r="C581" s="34" t="s">
        <v>76</v>
      </c>
      <c r="D581" s="34" t="s">
        <v>1141</v>
      </c>
      <c r="E581" s="34" t="s">
        <v>1142</v>
      </c>
      <c r="F581" s="34">
        <v>2017.0</v>
      </c>
      <c r="G581" s="34" t="s">
        <v>1143</v>
      </c>
      <c r="H581" s="34" t="s">
        <v>1144</v>
      </c>
      <c r="I581" s="34" t="s">
        <v>1145</v>
      </c>
      <c r="J581" s="35"/>
      <c r="K581" s="36"/>
      <c r="L581" s="36"/>
      <c r="M581" s="36"/>
      <c r="N581" s="36">
        <v>-1.1</v>
      </c>
      <c r="O581" s="36">
        <v>54.0</v>
      </c>
      <c r="P581" s="83">
        <f t="shared" si="50"/>
        <v>-2.037037037</v>
      </c>
      <c r="Q581" s="36"/>
      <c r="R581" s="36" t="s">
        <v>96</v>
      </c>
      <c r="S581" s="36" t="s">
        <v>1146</v>
      </c>
      <c r="T581" s="36" t="s">
        <v>506</v>
      </c>
      <c r="U581" s="36" t="s">
        <v>507</v>
      </c>
      <c r="V581" s="36">
        <v>14.0</v>
      </c>
      <c r="W581" s="36"/>
      <c r="X581" s="38">
        <v>1.0</v>
      </c>
      <c r="Y581" s="38" t="s">
        <v>819</v>
      </c>
      <c r="Z581" s="38" t="s">
        <v>820</v>
      </c>
      <c r="AA581" s="38" t="s">
        <v>86</v>
      </c>
      <c r="AB581" s="38">
        <v>36.52</v>
      </c>
      <c r="AC581" s="38">
        <v>115.13</v>
      </c>
      <c r="AD581" s="38" t="s">
        <v>198</v>
      </c>
      <c r="AE581" s="53"/>
      <c r="AF581" s="38" t="s">
        <v>1154</v>
      </c>
      <c r="AG581" s="57"/>
      <c r="AH581" s="38">
        <v>15.6</v>
      </c>
      <c r="AI581" s="50">
        <v>36.515</v>
      </c>
      <c r="AJ581" s="50">
        <v>115.126</v>
      </c>
      <c r="AK581" s="41" t="s">
        <v>86</v>
      </c>
      <c r="AL581" s="40" t="s">
        <v>86</v>
      </c>
      <c r="AM581" s="49">
        <v>42.0</v>
      </c>
      <c r="AN581" s="51">
        <v>42.0</v>
      </c>
      <c r="AO581" s="42" t="s">
        <v>293</v>
      </c>
      <c r="AP581" s="43" t="s">
        <v>293</v>
      </c>
      <c r="AQ581" s="44" t="str">
        <f t="shared" si="47"/>
        <v>CRO</v>
      </c>
      <c r="AR581" s="44">
        <f t="shared" si="3"/>
        <v>42</v>
      </c>
      <c r="AS581" s="44" t="str">
        <f t="shared" si="51"/>
        <v>B</v>
      </c>
      <c r="AT581" s="44" t="str">
        <f t="shared" si="17"/>
        <v>BS</v>
      </c>
      <c r="AU581" s="44" t="str">
        <f t="shared" si="2"/>
        <v>BSk</v>
      </c>
      <c r="AV581" s="38">
        <v>1.0</v>
      </c>
      <c r="AW581" s="38"/>
      <c r="AX581" s="38" t="s">
        <v>1148</v>
      </c>
      <c r="AY581" s="38" t="s">
        <v>1149</v>
      </c>
      <c r="AZ581" s="29">
        <v>30.0</v>
      </c>
      <c r="BA581" s="29">
        <v>1.0</v>
      </c>
      <c r="BB581" s="29">
        <v>1.0</v>
      </c>
      <c r="BC581" s="29"/>
      <c r="BD581" s="29" t="s">
        <v>92</v>
      </c>
      <c r="BE581" s="29"/>
      <c r="BF581" s="29" t="s">
        <v>1150</v>
      </c>
      <c r="BG581" s="29" t="s">
        <v>91</v>
      </c>
      <c r="BH581" s="29" t="s">
        <v>88</v>
      </c>
      <c r="BI581" s="29" t="s">
        <v>1151</v>
      </c>
      <c r="BJ581" s="29"/>
      <c r="BK581" s="29" t="s">
        <v>180</v>
      </c>
      <c r="BL581" s="29" t="s">
        <v>180</v>
      </c>
      <c r="BM581" s="67"/>
      <c r="BN581" s="67"/>
      <c r="BO581" s="46"/>
      <c r="BP581" s="2"/>
      <c r="BQ581" s="3"/>
    </row>
    <row r="582" ht="15.75" customHeight="1">
      <c r="A582" s="34">
        <v>583.0</v>
      </c>
      <c r="B582" s="34">
        <v>103603.0</v>
      </c>
      <c r="C582" s="34" t="s">
        <v>76</v>
      </c>
      <c r="D582" s="34" t="s">
        <v>1141</v>
      </c>
      <c r="E582" s="34" t="s">
        <v>1142</v>
      </c>
      <c r="F582" s="34">
        <v>2017.0</v>
      </c>
      <c r="G582" s="34" t="s">
        <v>1143</v>
      </c>
      <c r="H582" s="34" t="s">
        <v>1144</v>
      </c>
      <c r="I582" s="34" t="s">
        <v>1145</v>
      </c>
      <c r="J582" s="35"/>
      <c r="K582" s="36"/>
      <c r="L582" s="36"/>
      <c r="M582" s="36"/>
      <c r="N582" s="36">
        <v>6.8</v>
      </c>
      <c r="O582" s="36">
        <v>56.6</v>
      </c>
      <c r="P582" s="83">
        <f t="shared" si="50"/>
        <v>12.01413428</v>
      </c>
      <c r="Q582" s="36"/>
      <c r="R582" s="36" t="s">
        <v>96</v>
      </c>
      <c r="S582" s="36" t="s">
        <v>1146</v>
      </c>
      <c r="T582" s="36" t="s">
        <v>167</v>
      </c>
      <c r="U582" s="36" t="s">
        <v>246</v>
      </c>
      <c r="V582" s="36">
        <v>15.0</v>
      </c>
      <c r="W582" s="36"/>
      <c r="X582" s="38">
        <v>1.0</v>
      </c>
      <c r="Y582" s="38" t="s">
        <v>1155</v>
      </c>
      <c r="Z582" s="38" t="s">
        <v>1155</v>
      </c>
      <c r="AA582" s="38" t="s">
        <v>86</v>
      </c>
      <c r="AB582" s="38">
        <v>40.35</v>
      </c>
      <c r="AC582" s="38">
        <v>115.79</v>
      </c>
      <c r="AD582" s="38" t="s">
        <v>198</v>
      </c>
      <c r="AE582" s="53"/>
      <c r="AF582" s="38" t="s">
        <v>1048</v>
      </c>
      <c r="AG582" s="57"/>
      <c r="AH582" s="38">
        <v>5.0</v>
      </c>
      <c r="AI582" s="50">
        <v>40.35</v>
      </c>
      <c r="AJ582" s="50">
        <v>115.79</v>
      </c>
      <c r="AK582" s="41" t="s">
        <v>86</v>
      </c>
      <c r="AL582" s="40" t="s">
        <v>86</v>
      </c>
      <c r="AM582" s="49">
        <v>480.0</v>
      </c>
      <c r="AN582" s="51">
        <v>480.0</v>
      </c>
      <c r="AO582" s="42" t="s">
        <v>293</v>
      </c>
      <c r="AP582" s="43" t="s">
        <v>293</v>
      </c>
      <c r="AQ582" s="44" t="str">
        <f t="shared" si="47"/>
        <v>CRO</v>
      </c>
      <c r="AR582" s="44">
        <f t="shared" si="3"/>
        <v>480</v>
      </c>
      <c r="AS582" s="44" t="str">
        <f t="shared" si="51"/>
        <v>B</v>
      </c>
      <c r="AT582" s="44" t="str">
        <f t="shared" si="17"/>
        <v>BS</v>
      </c>
      <c r="AU582" s="44" t="str">
        <f t="shared" si="2"/>
        <v>BSk</v>
      </c>
      <c r="AV582" s="38">
        <v>1.0</v>
      </c>
      <c r="AW582" s="38"/>
      <c r="AX582" s="38" t="s">
        <v>1148</v>
      </c>
      <c r="AY582" s="38" t="s">
        <v>1149</v>
      </c>
      <c r="AZ582" s="29">
        <v>30.0</v>
      </c>
      <c r="BA582" s="29">
        <v>1.0</v>
      </c>
      <c r="BB582" s="29">
        <v>1.0</v>
      </c>
      <c r="BC582" s="29"/>
      <c r="BD582" s="29" t="s">
        <v>92</v>
      </c>
      <c r="BE582" s="29"/>
      <c r="BF582" s="29" t="s">
        <v>1150</v>
      </c>
      <c r="BG582" s="29" t="s">
        <v>91</v>
      </c>
      <c r="BH582" s="29" t="s">
        <v>88</v>
      </c>
      <c r="BI582" s="29" t="s">
        <v>1151</v>
      </c>
      <c r="BJ582" s="29"/>
      <c r="BK582" s="29" t="s">
        <v>180</v>
      </c>
      <c r="BL582" s="29" t="s">
        <v>180</v>
      </c>
      <c r="BM582" s="67"/>
      <c r="BN582" s="67"/>
      <c r="BO582" s="46"/>
      <c r="BP582" s="2"/>
      <c r="BQ582" s="3"/>
    </row>
    <row r="583" ht="15.75" customHeight="1">
      <c r="A583" s="34">
        <v>584.0</v>
      </c>
      <c r="B583" s="34">
        <v>103603.0</v>
      </c>
      <c r="C583" s="34" t="s">
        <v>76</v>
      </c>
      <c r="D583" s="34" t="s">
        <v>1141</v>
      </c>
      <c r="E583" s="34" t="s">
        <v>1142</v>
      </c>
      <c r="F583" s="34">
        <v>2017.0</v>
      </c>
      <c r="G583" s="34" t="s">
        <v>1143</v>
      </c>
      <c r="H583" s="34" t="s">
        <v>1144</v>
      </c>
      <c r="I583" s="34" t="s">
        <v>1145</v>
      </c>
      <c r="J583" s="35"/>
      <c r="K583" s="36"/>
      <c r="L583" s="36"/>
      <c r="M583" s="36"/>
      <c r="N583" s="36">
        <v>-27.4</v>
      </c>
      <c r="O583" s="36">
        <v>143.9</v>
      </c>
      <c r="P583" s="83">
        <f t="shared" si="50"/>
        <v>-19.04100069</v>
      </c>
      <c r="Q583" s="36"/>
      <c r="R583" s="36" t="s">
        <v>96</v>
      </c>
      <c r="S583" s="36" t="s">
        <v>1146</v>
      </c>
      <c r="T583" s="36" t="s">
        <v>1156</v>
      </c>
      <c r="U583" s="36" t="s">
        <v>1157</v>
      </c>
      <c r="V583" s="36">
        <v>5.0</v>
      </c>
      <c r="W583" s="36"/>
      <c r="X583" s="38">
        <v>1.0</v>
      </c>
      <c r="Y583" s="53" t="s">
        <v>256</v>
      </c>
      <c r="Z583" s="38" t="s">
        <v>257</v>
      </c>
      <c r="AA583" s="38" t="s">
        <v>86</v>
      </c>
      <c r="AB583" s="38">
        <v>38.86</v>
      </c>
      <c r="AC583" s="38">
        <v>100.37</v>
      </c>
      <c r="AD583" s="53" t="s">
        <v>198</v>
      </c>
      <c r="AE583" s="53"/>
      <c r="AF583" s="38" t="s">
        <v>1158</v>
      </c>
      <c r="AG583" s="57"/>
      <c r="AH583" s="38">
        <v>4.5</v>
      </c>
      <c r="AI583" s="50">
        <v>38.875</v>
      </c>
      <c r="AJ583" s="50">
        <v>100.375</v>
      </c>
      <c r="AK583" s="41" t="s">
        <v>86</v>
      </c>
      <c r="AL583" s="40" t="s">
        <v>86</v>
      </c>
      <c r="AM583" s="49">
        <v>1554.0</v>
      </c>
      <c r="AN583" s="51">
        <v>1554.0</v>
      </c>
      <c r="AO583" s="42" t="s">
        <v>261</v>
      </c>
      <c r="AP583" s="43" t="s">
        <v>261</v>
      </c>
      <c r="AQ583" s="44" t="str">
        <f t="shared" si="47"/>
        <v>CRO</v>
      </c>
      <c r="AR583" s="44">
        <f t="shared" si="3"/>
        <v>1554</v>
      </c>
      <c r="AS583" s="44" t="str">
        <f t="shared" si="51"/>
        <v>B</v>
      </c>
      <c r="AT583" s="44" t="str">
        <f t="shared" si="17"/>
        <v>BW</v>
      </c>
      <c r="AU583" s="44" t="str">
        <f t="shared" si="2"/>
        <v>BWk</v>
      </c>
      <c r="AV583" s="38">
        <v>1.0</v>
      </c>
      <c r="AW583" s="38"/>
      <c r="AX583" s="38" t="s">
        <v>1148</v>
      </c>
      <c r="AY583" s="38" t="s">
        <v>1149</v>
      </c>
      <c r="AZ583" s="29">
        <v>30.0</v>
      </c>
      <c r="BA583" s="29">
        <v>1.0</v>
      </c>
      <c r="BB583" s="29">
        <v>1.0</v>
      </c>
      <c r="BC583" s="29"/>
      <c r="BD583" s="29" t="s">
        <v>92</v>
      </c>
      <c r="BE583" s="29"/>
      <c r="BF583" s="29" t="s">
        <v>1150</v>
      </c>
      <c r="BG583" s="29" t="s">
        <v>91</v>
      </c>
      <c r="BH583" s="29" t="s">
        <v>88</v>
      </c>
      <c r="BI583" s="29" t="s">
        <v>1151</v>
      </c>
      <c r="BJ583" s="29"/>
      <c r="BK583" s="29" t="s">
        <v>180</v>
      </c>
      <c r="BL583" s="29" t="s">
        <v>180</v>
      </c>
      <c r="BM583" s="67"/>
      <c r="BN583" s="67"/>
      <c r="BO583" s="46"/>
      <c r="BP583" s="2"/>
      <c r="BQ583" s="3"/>
    </row>
    <row r="584" ht="15.75" customHeight="1">
      <c r="A584" s="34">
        <v>585.0</v>
      </c>
      <c r="B584" s="34">
        <v>103603.0</v>
      </c>
      <c r="C584" s="34" t="s">
        <v>76</v>
      </c>
      <c r="D584" s="34" t="s">
        <v>1141</v>
      </c>
      <c r="E584" s="34" t="s">
        <v>1142</v>
      </c>
      <c r="F584" s="34">
        <v>2017.0</v>
      </c>
      <c r="G584" s="34" t="s">
        <v>1143</v>
      </c>
      <c r="H584" s="34" t="s">
        <v>1144</v>
      </c>
      <c r="I584" s="34" t="s">
        <v>1145</v>
      </c>
      <c r="J584" s="35"/>
      <c r="K584" s="36"/>
      <c r="L584" s="36"/>
      <c r="M584" s="36"/>
      <c r="N584" s="36">
        <v>1.4</v>
      </c>
      <c r="O584" s="36">
        <v>69.4</v>
      </c>
      <c r="P584" s="83">
        <f t="shared" si="50"/>
        <v>2.017291066</v>
      </c>
      <c r="Q584" s="36"/>
      <c r="R584" s="36" t="s">
        <v>96</v>
      </c>
      <c r="S584" s="36" t="s">
        <v>1146</v>
      </c>
      <c r="T584" s="36" t="s">
        <v>506</v>
      </c>
      <c r="U584" s="36" t="s">
        <v>246</v>
      </c>
      <c r="V584" s="36">
        <v>69.0</v>
      </c>
      <c r="W584" s="36"/>
      <c r="X584" s="38">
        <v>5.0</v>
      </c>
      <c r="Y584" s="38" t="s">
        <v>1159</v>
      </c>
      <c r="Z584" s="38"/>
      <c r="AA584" s="38" t="s">
        <v>86</v>
      </c>
      <c r="AB584" s="38"/>
      <c r="AC584" s="38"/>
      <c r="AD584" s="38"/>
      <c r="AE584" s="38"/>
      <c r="AF584" s="38"/>
      <c r="AG584" s="38"/>
      <c r="AH584" s="38"/>
      <c r="AI584" s="50"/>
      <c r="AJ584" s="50"/>
      <c r="AK584" s="41"/>
      <c r="AL584" s="40"/>
      <c r="AM584" s="49"/>
      <c r="AN584" s="43"/>
      <c r="AO584" s="42"/>
      <c r="AP584" s="43"/>
      <c r="AQ584" s="44" t="str">
        <f t="shared" si="47"/>
        <v>CRO</v>
      </c>
      <c r="AR584" s="44" t="str">
        <f t="shared" si="3"/>
        <v/>
      </c>
      <c r="AS584" s="44"/>
      <c r="AT584" s="44" t="str">
        <f t="shared" si="17"/>
        <v/>
      </c>
      <c r="AU584" s="44" t="str">
        <f t="shared" si="2"/>
        <v/>
      </c>
      <c r="AV584" s="38"/>
      <c r="AW584" s="38"/>
      <c r="AX584" s="38" t="s">
        <v>1148</v>
      </c>
      <c r="AY584" s="38" t="s">
        <v>1149</v>
      </c>
      <c r="AZ584" s="29">
        <v>30.0</v>
      </c>
      <c r="BA584" s="29">
        <v>1.0</v>
      </c>
      <c r="BB584" s="29">
        <v>1.0</v>
      </c>
      <c r="BC584" s="29"/>
      <c r="BD584" s="29" t="s">
        <v>92</v>
      </c>
      <c r="BE584" s="29"/>
      <c r="BF584" s="29" t="s">
        <v>1150</v>
      </c>
      <c r="BG584" s="29" t="s">
        <v>91</v>
      </c>
      <c r="BH584" s="29" t="s">
        <v>88</v>
      </c>
      <c r="BI584" s="29" t="s">
        <v>1151</v>
      </c>
      <c r="BJ584" s="29"/>
      <c r="BK584" s="29" t="s">
        <v>180</v>
      </c>
      <c r="BL584" s="29" t="s">
        <v>180</v>
      </c>
      <c r="BM584" s="67"/>
      <c r="BN584" s="67"/>
      <c r="BO584" s="46"/>
      <c r="BP584" s="2"/>
      <c r="BQ584" s="3"/>
    </row>
    <row r="585" ht="15.75" customHeight="1">
      <c r="A585" s="34">
        <v>586.0</v>
      </c>
      <c r="B585" s="34">
        <v>103603.0</v>
      </c>
      <c r="C585" s="34" t="s">
        <v>76</v>
      </c>
      <c r="D585" s="34" t="s">
        <v>1141</v>
      </c>
      <c r="E585" s="34" t="s">
        <v>1142</v>
      </c>
      <c r="F585" s="34">
        <v>2017.0</v>
      </c>
      <c r="G585" s="34" t="s">
        <v>1143</v>
      </c>
      <c r="H585" s="34" t="s">
        <v>1144</v>
      </c>
      <c r="I585" s="34" t="s">
        <v>1145</v>
      </c>
      <c r="J585" s="35"/>
      <c r="K585" s="36"/>
      <c r="L585" s="36"/>
      <c r="M585" s="36"/>
      <c r="N585" s="36">
        <v>26.3</v>
      </c>
      <c r="O585" s="36">
        <v>231.5</v>
      </c>
      <c r="P585" s="83">
        <f t="shared" si="50"/>
        <v>11.36069114</v>
      </c>
      <c r="Q585" s="36"/>
      <c r="R585" s="36" t="s">
        <v>82</v>
      </c>
      <c r="S585" s="36" t="s">
        <v>1146</v>
      </c>
      <c r="T585" s="36" t="s">
        <v>506</v>
      </c>
      <c r="U585" s="36" t="s">
        <v>507</v>
      </c>
      <c r="V585" s="36">
        <v>29.0</v>
      </c>
      <c r="W585" s="36"/>
      <c r="X585" s="38">
        <v>1.0</v>
      </c>
      <c r="Y585" s="38" t="s">
        <v>827</v>
      </c>
      <c r="Z585" s="38" t="s">
        <v>828</v>
      </c>
      <c r="AA585" s="38" t="s">
        <v>86</v>
      </c>
      <c r="AB585" s="38">
        <v>40.63</v>
      </c>
      <c r="AC585" s="38">
        <v>117.32</v>
      </c>
      <c r="AD585" s="53" t="s">
        <v>198</v>
      </c>
      <c r="AE585" s="38">
        <v>350.0</v>
      </c>
      <c r="AF585" s="38" t="s">
        <v>1147</v>
      </c>
      <c r="AG585" s="38"/>
      <c r="AH585" s="38">
        <v>26.66</v>
      </c>
      <c r="AI585" s="50">
        <v>40.63</v>
      </c>
      <c r="AJ585" s="50">
        <v>117.32</v>
      </c>
      <c r="AK585" s="41" t="s">
        <v>288</v>
      </c>
      <c r="AL585" s="40" t="s">
        <v>288</v>
      </c>
      <c r="AM585" s="49">
        <v>364.0</v>
      </c>
      <c r="AN585" s="51">
        <v>364.0</v>
      </c>
      <c r="AO585" s="42" t="s">
        <v>218</v>
      </c>
      <c r="AP585" s="43" t="s">
        <v>218</v>
      </c>
      <c r="AQ585" s="44" t="str">
        <f t="shared" si="47"/>
        <v>CRO</v>
      </c>
      <c r="AR585" s="44">
        <f t="shared" si="3"/>
        <v>364</v>
      </c>
      <c r="AS585" s="44" t="str">
        <f t="shared" ref="AS585:AS589" si="52">LEFT(AO585,1)</f>
        <v>D</v>
      </c>
      <c r="AT585" s="44" t="str">
        <f t="shared" si="17"/>
        <v>Dw</v>
      </c>
      <c r="AU585" s="44" t="str">
        <f t="shared" si="2"/>
        <v>Dwa</v>
      </c>
      <c r="AV585" s="38">
        <v>1.0</v>
      </c>
      <c r="AW585" s="38"/>
      <c r="AX585" s="38" t="s">
        <v>1148</v>
      </c>
      <c r="AY585" s="38" t="s">
        <v>1149</v>
      </c>
      <c r="AZ585" s="29">
        <v>30.0</v>
      </c>
      <c r="BA585" s="29">
        <v>1.0</v>
      </c>
      <c r="BB585" s="29">
        <v>1.0</v>
      </c>
      <c r="BC585" s="29"/>
      <c r="BD585" s="29" t="s">
        <v>88</v>
      </c>
      <c r="BE585" s="29"/>
      <c r="BF585" s="29" t="s">
        <v>1160</v>
      </c>
      <c r="BG585" s="29" t="s">
        <v>91</v>
      </c>
      <c r="BH585" s="29" t="s">
        <v>88</v>
      </c>
      <c r="BI585" s="29" t="s">
        <v>1151</v>
      </c>
      <c r="BJ585" s="29"/>
      <c r="BK585" s="29" t="s">
        <v>180</v>
      </c>
      <c r="BL585" s="29" t="s">
        <v>180</v>
      </c>
      <c r="BM585" s="67"/>
      <c r="BN585" s="67"/>
      <c r="BO585" s="46"/>
      <c r="BP585" s="2"/>
      <c r="BQ585" s="3"/>
    </row>
    <row r="586" ht="15.75" customHeight="1">
      <c r="A586" s="34">
        <v>587.0</v>
      </c>
      <c r="B586" s="34">
        <v>103603.0</v>
      </c>
      <c r="C586" s="34" t="s">
        <v>76</v>
      </c>
      <c r="D586" s="34" t="s">
        <v>1141</v>
      </c>
      <c r="E586" s="34" t="s">
        <v>1142</v>
      </c>
      <c r="F586" s="34">
        <v>2017.0</v>
      </c>
      <c r="G586" s="34" t="s">
        <v>1143</v>
      </c>
      <c r="H586" s="34" t="s">
        <v>1144</v>
      </c>
      <c r="I586" s="34" t="s">
        <v>1145</v>
      </c>
      <c r="J586" s="35"/>
      <c r="K586" s="36"/>
      <c r="L586" s="36"/>
      <c r="M586" s="36"/>
      <c r="N586" s="36">
        <v>-6.6</v>
      </c>
      <c r="O586" s="36">
        <v>249.5</v>
      </c>
      <c r="P586" s="83">
        <f t="shared" si="50"/>
        <v>-2.645290581</v>
      </c>
      <c r="Q586" s="36"/>
      <c r="R586" s="36" t="s">
        <v>82</v>
      </c>
      <c r="S586" s="36" t="s">
        <v>1146</v>
      </c>
      <c r="T586" s="36" t="s">
        <v>506</v>
      </c>
      <c r="U586" s="36" t="s">
        <v>507</v>
      </c>
      <c r="V586" s="36">
        <v>6.0</v>
      </c>
      <c r="W586" s="36"/>
      <c r="X586" s="38">
        <v>1.0</v>
      </c>
      <c r="Y586" s="38" t="s">
        <v>1152</v>
      </c>
      <c r="Z586" s="38" t="s">
        <v>1152</v>
      </c>
      <c r="AA586" s="38" t="s">
        <v>86</v>
      </c>
      <c r="AB586" s="38">
        <v>39.62</v>
      </c>
      <c r="AC586" s="38">
        <v>116.43</v>
      </c>
      <c r="AD586" s="38" t="s">
        <v>198</v>
      </c>
      <c r="AE586" s="53"/>
      <c r="AF586" s="38" t="s">
        <v>1153</v>
      </c>
      <c r="AG586" s="57"/>
      <c r="AH586" s="38">
        <v>3.0</v>
      </c>
      <c r="AI586" s="50">
        <v>39.62</v>
      </c>
      <c r="AJ586" s="50">
        <v>116.43</v>
      </c>
      <c r="AK586" s="41" t="s">
        <v>86</v>
      </c>
      <c r="AL586" s="40" t="s">
        <v>86</v>
      </c>
      <c r="AM586" s="49">
        <v>28.0</v>
      </c>
      <c r="AN586" s="51">
        <v>28.0</v>
      </c>
      <c r="AO586" s="42" t="s">
        <v>293</v>
      </c>
      <c r="AP586" s="43" t="s">
        <v>293</v>
      </c>
      <c r="AQ586" s="44" t="str">
        <f t="shared" si="47"/>
        <v>CRO</v>
      </c>
      <c r="AR586" s="44">
        <f t="shared" si="3"/>
        <v>28</v>
      </c>
      <c r="AS586" s="44" t="str">
        <f t="shared" si="52"/>
        <v>B</v>
      </c>
      <c r="AT586" s="44" t="str">
        <f t="shared" si="17"/>
        <v>BS</v>
      </c>
      <c r="AU586" s="44" t="str">
        <f t="shared" si="2"/>
        <v>BSk</v>
      </c>
      <c r="AV586" s="38">
        <v>1.0</v>
      </c>
      <c r="AW586" s="38"/>
      <c r="AX586" s="38" t="s">
        <v>1148</v>
      </c>
      <c r="AY586" s="38" t="s">
        <v>1149</v>
      </c>
      <c r="AZ586" s="29">
        <v>30.0</v>
      </c>
      <c r="BA586" s="29">
        <v>1.0</v>
      </c>
      <c r="BB586" s="29">
        <v>1.0</v>
      </c>
      <c r="BC586" s="29"/>
      <c r="BD586" s="29" t="s">
        <v>88</v>
      </c>
      <c r="BE586" s="29"/>
      <c r="BF586" s="29" t="s">
        <v>1160</v>
      </c>
      <c r="BG586" s="29" t="s">
        <v>91</v>
      </c>
      <c r="BH586" s="29" t="s">
        <v>88</v>
      </c>
      <c r="BI586" s="29" t="s">
        <v>1151</v>
      </c>
      <c r="BJ586" s="29"/>
      <c r="BK586" s="29" t="s">
        <v>180</v>
      </c>
      <c r="BL586" s="29" t="s">
        <v>180</v>
      </c>
      <c r="BM586" s="67"/>
      <c r="BN586" s="67"/>
      <c r="BO586" s="46"/>
      <c r="BP586" s="73"/>
      <c r="BQ586" s="17"/>
    </row>
    <row r="587" ht="15.75" customHeight="1">
      <c r="A587" s="34">
        <v>588.0</v>
      </c>
      <c r="B587" s="34">
        <v>103603.0</v>
      </c>
      <c r="C587" s="34" t="s">
        <v>76</v>
      </c>
      <c r="D587" s="34" t="s">
        <v>1141</v>
      </c>
      <c r="E587" s="34" t="s">
        <v>1142</v>
      </c>
      <c r="F587" s="34">
        <v>2017.0</v>
      </c>
      <c r="G587" s="34" t="s">
        <v>1143</v>
      </c>
      <c r="H587" s="34" t="s">
        <v>1144</v>
      </c>
      <c r="I587" s="34" t="s">
        <v>1145</v>
      </c>
      <c r="J587" s="35"/>
      <c r="K587" s="36"/>
      <c r="L587" s="36"/>
      <c r="M587" s="36"/>
      <c r="N587" s="36">
        <v>-23.1</v>
      </c>
      <c r="O587" s="36">
        <v>200.8</v>
      </c>
      <c r="P587" s="83">
        <f t="shared" si="50"/>
        <v>-11.50398406</v>
      </c>
      <c r="Q587" s="36"/>
      <c r="R587" s="36" t="s">
        <v>82</v>
      </c>
      <c r="S587" s="36" t="s">
        <v>1146</v>
      </c>
      <c r="T587" s="36" t="s">
        <v>506</v>
      </c>
      <c r="U587" s="36" t="s">
        <v>507</v>
      </c>
      <c r="V587" s="36">
        <v>14.0</v>
      </c>
      <c r="W587" s="36"/>
      <c r="X587" s="38">
        <v>1.0</v>
      </c>
      <c r="Y587" s="38" t="s">
        <v>819</v>
      </c>
      <c r="Z587" s="38" t="s">
        <v>820</v>
      </c>
      <c r="AA587" s="38" t="s">
        <v>86</v>
      </c>
      <c r="AB587" s="38">
        <v>36.52</v>
      </c>
      <c r="AC587" s="38">
        <v>115.13</v>
      </c>
      <c r="AD587" s="38" t="s">
        <v>198</v>
      </c>
      <c r="AE587" s="53"/>
      <c r="AF587" s="38" t="s">
        <v>1154</v>
      </c>
      <c r="AG587" s="57"/>
      <c r="AH587" s="38">
        <v>15.6</v>
      </c>
      <c r="AI587" s="50">
        <v>36.515</v>
      </c>
      <c r="AJ587" s="50">
        <v>115.126</v>
      </c>
      <c r="AK587" s="41" t="s">
        <v>86</v>
      </c>
      <c r="AL587" s="40" t="s">
        <v>86</v>
      </c>
      <c r="AM587" s="49">
        <v>42.0</v>
      </c>
      <c r="AN587" s="51">
        <v>42.0</v>
      </c>
      <c r="AO587" s="42" t="s">
        <v>293</v>
      </c>
      <c r="AP587" s="43" t="s">
        <v>293</v>
      </c>
      <c r="AQ587" s="44" t="str">
        <f t="shared" si="47"/>
        <v>CRO</v>
      </c>
      <c r="AR587" s="44">
        <f t="shared" si="3"/>
        <v>42</v>
      </c>
      <c r="AS587" s="44" t="str">
        <f t="shared" si="52"/>
        <v>B</v>
      </c>
      <c r="AT587" s="44" t="str">
        <f t="shared" si="17"/>
        <v>BS</v>
      </c>
      <c r="AU587" s="44" t="str">
        <f t="shared" si="2"/>
        <v>BSk</v>
      </c>
      <c r="AV587" s="38">
        <v>1.0</v>
      </c>
      <c r="AW587" s="38"/>
      <c r="AX587" s="38" t="s">
        <v>1148</v>
      </c>
      <c r="AY587" s="38" t="s">
        <v>1149</v>
      </c>
      <c r="AZ587" s="29">
        <v>30.0</v>
      </c>
      <c r="BA587" s="29">
        <v>1.0</v>
      </c>
      <c r="BB587" s="29">
        <v>1.0</v>
      </c>
      <c r="BC587" s="29"/>
      <c r="BD587" s="29" t="s">
        <v>88</v>
      </c>
      <c r="BE587" s="29"/>
      <c r="BF587" s="29" t="s">
        <v>1160</v>
      </c>
      <c r="BG587" s="29" t="s">
        <v>91</v>
      </c>
      <c r="BH587" s="29" t="s">
        <v>88</v>
      </c>
      <c r="BI587" s="29" t="s">
        <v>1151</v>
      </c>
      <c r="BJ587" s="29"/>
      <c r="BK587" s="29" t="s">
        <v>180</v>
      </c>
      <c r="BL587" s="29" t="s">
        <v>180</v>
      </c>
      <c r="BM587" s="67"/>
      <c r="BN587" s="67"/>
      <c r="BO587" s="46"/>
      <c r="BP587" s="73"/>
      <c r="BQ587" s="17"/>
    </row>
    <row r="588" ht="15.75" customHeight="1">
      <c r="A588" s="34">
        <v>589.0</v>
      </c>
      <c r="B588" s="34">
        <v>103603.0</v>
      </c>
      <c r="C588" s="34" t="s">
        <v>76</v>
      </c>
      <c r="D588" s="34" t="s">
        <v>1141</v>
      </c>
      <c r="E588" s="34" t="s">
        <v>1142</v>
      </c>
      <c r="F588" s="34">
        <v>2017.0</v>
      </c>
      <c r="G588" s="34" t="s">
        <v>1143</v>
      </c>
      <c r="H588" s="34" t="s">
        <v>1144</v>
      </c>
      <c r="I588" s="34" t="s">
        <v>1145</v>
      </c>
      <c r="J588" s="35"/>
      <c r="K588" s="36"/>
      <c r="L588" s="36"/>
      <c r="M588" s="36"/>
      <c r="N588" s="36">
        <v>20.9</v>
      </c>
      <c r="O588" s="36">
        <v>174.3</v>
      </c>
      <c r="P588" s="83">
        <f t="shared" si="50"/>
        <v>11.99082042</v>
      </c>
      <c r="Q588" s="36"/>
      <c r="R588" s="36" t="s">
        <v>82</v>
      </c>
      <c r="S588" s="36" t="s">
        <v>1146</v>
      </c>
      <c r="T588" s="36" t="s">
        <v>167</v>
      </c>
      <c r="U588" s="36" t="s">
        <v>246</v>
      </c>
      <c r="V588" s="36">
        <v>15.0</v>
      </c>
      <c r="W588" s="36"/>
      <c r="X588" s="38">
        <v>1.0</v>
      </c>
      <c r="Y588" s="38" t="s">
        <v>1155</v>
      </c>
      <c r="Z588" s="38" t="s">
        <v>1155</v>
      </c>
      <c r="AA588" s="38" t="s">
        <v>86</v>
      </c>
      <c r="AB588" s="38">
        <v>40.35</v>
      </c>
      <c r="AC588" s="38">
        <v>115.79</v>
      </c>
      <c r="AD588" s="38" t="s">
        <v>198</v>
      </c>
      <c r="AE588" s="53"/>
      <c r="AF588" s="38" t="s">
        <v>1048</v>
      </c>
      <c r="AG588" s="57"/>
      <c r="AH588" s="38">
        <v>5.0</v>
      </c>
      <c r="AI588" s="50">
        <v>40.35</v>
      </c>
      <c r="AJ588" s="50">
        <v>115.79</v>
      </c>
      <c r="AK588" s="41" t="s">
        <v>86</v>
      </c>
      <c r="AL588" s="40" t="s">
        <v>86</v>
      </c>
      <c r="AM588" s="49">
        <v>480.0</v>
      </c>
      <c r="AN588" s="51">
        <v>480.0</v>
      </c>
      <c r="AO588" s="42" t="s">
        <v>293</v>
      </c>
      <c r="AP588" s="43" t="s">
        <v>293</v>
      </c>
      <c r="AQ588" s="44" t="str">
        <f t="shared" si="47"/>
        <v>CRO</v>
      </c>
      <c r="AR588" s="44">
        <f t="shared" si="3"/>
        <v>480</v>
      </c>
      <c r="AS588" s="44" t="str">
        <f t="shared" si="52"/>
        <v>B</v>
      </c>
      <c r="AT588" s="44" t="str">
        <f t="shared" si="17"/>
        <v>BS</v>
      </c>
      <c r="AU588" s="44" t="str">
        <f t="shared" si="2"/>
        <v>BSk</v>
      </c>
      <c r="AV588" s="38">
        <v>1.0</v>
      </c>
      <c r="AW588" s="38"/>
      <c r="AX588" s="38" t="s">
        <v>1148</v>
      </c>
      <c r="AY588" s="38" t="s">
        <v>1149</v>
      </c>
      <c r="AZ588" s="29">
        <v>30.0</v>
      </c>
      <c r="BA588" s="29">
        <v>1.0</v>
      </c>
      <c r="BB588" s="29">
        <v>1.0</v>
      </c>
      <c r="BC588" s="29"/>
      <c r="BD588" s="29" t="s">
        <v>88</v>
      </c>
      <c r="BE588" s="29"/>
      <c r="BF588" s="29" t="s">
        <v>1160</v>
      </c>
      <c r="BG588" s="29" t="s">
        <v>91</v>
      </c>
      <c r="BH588" s="29" t="s">
        <v>88</v>
      </c>
      <c r="BI588" s="29" t="s">
        <v>1151</v>
      </c>
      <c r="BJ588" s="29"/>
      <c r="BK588" s="29" t="s">
        <v>180</v>
      </c>
      <c r="BL588" s="29" t="s">
        <v>180</v>
      </c>
      <c r="BM588" s="67"/>
      <c r="BN588" s="67"/>
      <c r="BO588" s="46"/>
      <c r="BP588" s="2"/>
      <c r="BQ588" s="3"/>
    </row>
    <row r="589" ht="15.75" customHeight="1">
      <c r="A589" s="34">
        <v>590.0</v>
      </c>
      <c r="B589" s="34">
        <v>103603.0</v>
      </c>
      <c r="C589" s="34" t="s">
        <v>76</v>
      </c>
      <c r="D589" s="34" t="s">
        <v>1141</v>
      </c>
      <c r="E589" s="34" t="s">
        <v>1142</v>
      </c>
      <c r="F589" s="34">
        <v>2017.0</v>
      </c>
      <c r="G589" s="34" t="s">
        <v>1143</v>
      </c>
      <c r="H589" s="34" t="s">
        <v>1144</v>
      </c>
      <c r="I589" s="34" t="s">
        <v>1145</v>
      </c>
      <c r="J589" s="35"/>
      <c r="K589" s="36"/>
      <c r="L589" s="36"/>
      <c r="M589" s="36"/>
      <c r="N589" s="36">
        <v>-58.8</v>
      </c>
      <c r="O589" s="36">
        <v>503.4</v>
      </c>
      <c r="P589" s="83">
        <f t="shared" si="50"/>
        <v>-11.68057211</v>
      </c>
      <c r="Q589" s="36"/>
      <c r="R589" s="36" t="s">
        <v>82</v>
      </c>
      <c r="S589" s="36" t="s">
        <v>1146</v>
      </c>
      <c r="T589" s="36" t="s">
        <v>1156</v>
      </c>
      <c r="U589" s="36" t="s">
        <v>1157</v>
      </c>
      <c r="V589" s="36">
        <v>5.0</v>
      </c>
      <c r="W589" s="36"/>
      <c r="X589" s="38">
        <v>1.0</v>
      </c>
      <c r="Y589" s="53" t="s">
        <v>256</v>
      </c>
      <c r="Z589" s="38" t="s">
        <v>257</v>
      </c>
      <c r="AA589" s="38" t="s">
        <v>86</v>
      </c>
      <c r="AB589" s="38">
        <v>38.86</v>
      </c>
      <c r="AC589" s="38">
        <v>100.37</v>
      </c>
      <c r="AD589" s="53" t="s">
        <v>198</v>
      </c>
      <c r="AE589" s="53"/>
      <c r="AF589" s="38" t="s">
        <v>1158</v>
      </c>
      <c r="AG589" s="57"/>
      <c r="AH589" s="38">
        <v>4.5</v>
      </c>
      <c r="AI589" s="50">
        <v>38.875</v>
      </c>
      <c r="AJ589" s="50">
        <v>100.375</v>
      </c>
      <c r="AK589" s="41" t="s">
        <v>86</v>
      </c>
      <c r="AL589" s="40" t="s">
        <v>86</v>
      </c>
      <c r="AM589" s="49">
        <v>1554.0</v>
      </c>
      <c r="AN589" s="51">
        <v>1554.0</v>
      </c>
      <c r="AO589" s="42" t="s">
        <v>261</v>
      </c>
      <c r="AP589" s="43" t="s">
        <v>261</v>
      </c>
      <c r="AQ589" s="44" t="str">
        <f t="shared" si="47"/>
        <v>CRO</v>
      </c>
      <c r="AR589" s="44">
        <f t="shared" si="3"/>
        <v>1554</v>
      </c>
      <c r="AS589" s="44" t="str">
        <f t="shared" si="52"/>
        <v>B</v>
      </c>
      <c r="AT589" s="44" t="str">
        <f t="shared" si="17"/>
        <v>BW</v>
      </c>
      <c r="AU589" s="44" t="str">
        <f t="shared" si="2"/>
        <v>BWk</v>
      </c>
      <c r="AV589" s="38">
        <v>1.0</v>
      </c>
      <c r="AW589" s="38"/>
      <c r="AX589" s="38" t="s">
        <v>1148</v>
      </c>
      <c r="AY589" s="38" t="s">
        <v>1149</v>
      </c>
      <c r="AZ589" s="29">
        <v>30.0</v>
      </c>
      <c r="BA589" s="29">
        <v>1.0</v>
      </c>
      <c r="BB589" s="29">
        <v>1.0</v>
      </c>
      <c r="BC589" s="29"/>
      <c r="BD589" s="29" t="s">
        <v>88</v>
      </c>
      <c r="BE589" s="29"/>
      <c r="BF589" s="29" t="s">
        <v>1160</v>
      </c>
      <c r="BG589" s="29" t="s">
        <v>91</v>
      </c>
      <c r="BH589" s="29" t="s">
        <v>88</v>
      </c>
      <c r="BI589" s="29" t="s">
        <v>1151</v>
      </c>
      <c r="BJ589" s="29"/>
      <c r="BK589" s="29" t="s">
        <v>180</v>
      </c>
      <c r="BL589" s="29" t="s">
        <v>180</v>
      </c>
      <c r="BM589" s="67"/>
      <c r="BN589" s="67"/>
      <c r="BO589" s="46"/>
      <c r="BP589" s="2"/>
      <c r="BQ589" s="3"/>
    </row>
    <row r="590" ht="15.75" customHeight="1">
      <c r="A590" s="34">
        <v>591.0</v>
      </c>
      <c r="B590" s="34">
        <v>103603.0</v>
      </c>
      <c r="C590" s="34" t="s">
        <v>76</v>
      </c>
      <c r="D590" s="34" t="s">
        <v>1141</v>
      </c>
      <c r="E590" s="34" t="s">
        <v>1142</v>
      </c>
      <c r="F590" s="34">
        <v>2017.0</v>
      </c>
      <c r="G590" s="34" t="s">
        <v>1143</v>
      </c>
      <c r="H590" s="34" t="s">
        <v>1144</v>
      </c>
      <c r="I590" s="34" t="s">
        <v>1145</v>
      </c>
      <c r="J590" s="35"/>
      <c r="K590" s="36"/>
      <c r="L590" s="36"/>
      <c r="M590" s="36"/>
      <c r="N590" s="36">
        <v>6.1</v>
      </c>
      <c r="O590" s="36">
        <v>234.1</v>
      </c>
      <c r="P590" s="83">
        <f t="shared" si="50"/>
        <v>2.60572405</v>
      </c>
      <c r="Q590" s="36"/>
      <c r="R590" s="36" t="s">
        <v>82</v>
      </c>
      <c r="S590" s="36" t="s">
        <v>1146</v>
      </c>
      <c r="T590" s="36" t="s">
        <v>506</v>
      </c>
      <c r="U590" s="36" t="s">
        <v>246</v>
      </c>
      <c r="V590" s="36">
        <v>69.0</v>
      </c>
      <c r="W590" s="36"/>
      <c r="X590" s="38">
        <v>5.0</v>
      </c>
      <c r="Y590" s="38" t="s">
        <v>1159</v>
      </c>
      <c r="Z590" s="38"/>
      <c r="AA590" s="38" t="s">
        <v>86</v>
      </c>
      <c r="AB590" s="38"/>
      <c r="AC590" s="38"/>
      <c r="AD590" s="38"/>
      <c r="AE590" s="38"/>
      <c r="AF590" s="38"/>
      <c r="AG590" s="38"/>
      <c r="AH590" s="38"/>
      <c r="AI590" s="50"/>
      <c r="AJ590" s="50"/>
      <c r="AK590" s="41"/>
      <c r="AL590" s="40"/>
      <c r="AM590" s="49"/>
      <c r="AN590" s="43"/>
      <c r="AO590" s="42"/>
      <c r="AP590" s="43"/>
      <c r="AQ590" s="44" t="str">
        <f t="shared" si="47"/>
        <v>CRO</v>
      </c>
      <c r="AR590" s="44" t="str">
        <f t="shared" si="3"/>
        <v/>
      </c>
      <c r="AS590" s="44"/>
      <c r="AT590" s="44" t="str">
        <f t="shared" si="17"/>
        <v/>
      </c>
      <c r="AU590" s="44" t="str">
        <f t="shared" si="2"/>
        <v/>
      </c>
      <c r="AV590" s="38"/>
      <c r="AW590" s="38"/>
      <c r="AX590" s="38" t="s">
        <v>1148</v>
      </c>
      <c r="AY590" s="38" t="s">
        <v>1149</v>
      </c>
      <c r="AZ590" s="29">
        <v>30.0</v>
      </c>
      <c r="BA590" s="29">
        <v>1.0</v>
      </c>
      <c r="BB590" s="29">
        <v>1.0</v>
      </c>
      <c r="BC590" s="29"/>
      <c r="BD590" s="29" t="s">
        <v>88</v>
      </c>
      <c r="BE590" s="29"/>
      <c r="BF590" s="29" t="s">
        <v>1160</v>
      </c>
      <c r="BG590" s="29" t="s">
        <v>91</v>
      </c>
      <c r="BH590" s="29" t="s">
        <v>88</v>
      </c>
      <c r="BI590" s="29" t="s">
        <v>1151</v>
      </c>
      <c r="BJ590" s="29"/>
      <c r="BK590" s="29" t="s">
        <v>180</v>
      </c>
      <c r="BL590" s="29" t="s">
        <v>180</v>
      </c>
      <c r="BM590" s="67"/>
      <c r="BN590" s="67"/>
      <c r="BO590" s="46"/>
      <c r="BP590" s="2"/>
      <c r="BQ590" s="3"/>
    </row>
    <row r="591" ht="15.75" customHeight="1">
      <c r="A591" s="34">
        <v>592.0</v>
      </c>
      <c r="B591" s="34">
        <v>103603.0</v>
      </c>
      <c r="C591" s="34" t="s">
        <v>76</v>
      </c>
      <c r="D591" s="34" t="s">
        <v>1141</v>
      </c>
      <c r="E591" s="34" t="s">
        <v>1142</v>
      </c>
      <c r="F591" s="34">
        <v>2017.0</v>
      </c>
      <c r="G591" s="34" t="s">
        <v>1143</v>
      </c>
      <c r="H591" s="34" t="s">
        <v>1144</v>
      </c>
      <c r="I591" s="34" t="s">
        <v>1145</v>
      </c>
      <c r="J591" s="35"/>
      <c r="K591" s="36"/>
      <c r="L591" s="36"/>
      <c r="M591" s="36"/>
      <c r="N591" s="36">
        <v>10.8</v>
      </c>
      <c r="O591" s="36">
        <v>68.1</v>
      </c>
      <c r="P591" s="83">
        <f t="shared" si="50"/>
        <v>15.85903084</v>
      </c>
      <c r="Q591" s="36"/>
      <c r="R591" s="36" t="s">
        <v>96</v>
      </c>
      <c r="S591" s="36" t="s">
        <v>1146</v>
      </c>
      <c r="T591" s="36" t="s">
        <v>506</v>
      </c>
      <c r="U591" s="36" t="s">
        <v>507</v>
      </c>
      <c r="V591" s="36">
        <v>29.0</v>
      </c>
      <c r="W591" s="36"/>
      <c r="X591" s="38">
        <v>1.0</v>
      </c>
      <c r="Y591" s="38" t="s">
        <v>827</v>
      </c>
      <c r="Z591" s="38" t="s">
        <v>828</v>
      </c>
      <c r="AA591" s="38" t="s">
        <v>86</v>
      </c>
      <c r="AB591" s="38">
        <v>40.63</v>
      </c>
      <c r="AC591" s="38">
        <v>117.32</v>
      </c>
      <c r="AD591" s="53" t="s">
        <v>198</v>
      </c>
      <c r="AE591" s="38">
        <v>350.0</v>
      </c>
      <c r="AF591" s="38" t="s">
        <v>1147</v>
      </c>
      <c r="AG591" s="38"/>
      <c r="AH591" s="38">
        <v>26.66</v>
      </c>
      <c r="AI591" s="50">
        <v>40.63</v>
      </c>
      <c r="AJ591" s="50">
        <v>117.32</v>
      </c>
      <c r="AK591" s="41" t="s">
        <v>288</v>
      </c>
      <c r="AL591" s="40" t="s">
        <v>288</v>
      </c>
      <c r="AM591" s="49">
        <v>364.0</v>
      </c>
      <c r="AN591" s="51">
        <v>364.0</v>
      </c>
      <c r="AO591" s="42" t="s">
        <v>218</v>
      </c>
      <c r="AP591" s="43" t="s">
        <v>218</v>
      </c>
      <c r="AQ591" s="44" t="str">
        <f t="shared" si="47"/>
        <v>CRO</v>
      </c>
      <c r="AR591" s="44">
        <f t="shared" si="3"/>
        <v>364</v>
      </c>
      <c r="AS591" s="44" t="str">
        <f t="shared" ref="AS591:AS595" si="53">LEFT(AO591,1)</f>
        <v>D</v>
      </c>
      <c r="AT591" s="44" t="str">
        <f t="shared" si="17"/>
        <v>Dw</v>
      </c>
      <c r="AU591" s="44" t="str">
        <f t="shared" si="2"/>
        <v>Dwa</v>
      </c>
      <c r="AV591" s="38">
        <v>1.0</v>
      </c>
      <c r="AW591" s="38"/>
      <c r="AX591" s="38" t="s">
        <v>1148</v>
      </c>
      <c r="AY591" s="38" t="s">
        <v>1149</v>
      </c>
      <c r="AZ591" s="29">
        <v>30.0</v>
      </c>
      <c r="BA591" s="29">
        <v>1.0</v>
      </c>
      <c r="BB591" s="29">
        <v>1.0</v>
      </c>
      <c r="BC591" s="29"/>
      <c r="BD591" s="29" t="s">
        <v>88</v>
      </c>
      <c r="BE591" s="29"/>
      <c r="BF591" s="29" t="s">
        <v>1160</v>
      </c>
      <c r="BG591" s="29" t="s">
        <v>91</v>
      </c>
      <c r="BH591" s="29" t="s">
        <v>88</v>
      </c>
      <c r="BI591" s="29" t="s">
        <v>1151</v>
      </c>
      <c r="BJ591" s="29"/>
      <c r="BK591" s="29" t="s">
        <v>180</v>
      </c>
      <c r="BL591" s="29" t="s">
        <v>180</v>
      </c>
      <c r="BM591" s="67"/>
      <c r="BN591" s="67"/>
      <c r="BO591" s="46"/>
      <c r="BP591" s="2"/>
      <c r="BQ591" s="3"/>
    </row>
    <row r="592" ht="15.75" customHeight="1">
      <c r="A592" s="34">
        <v>593.0</v>
      </c>
      <c r="B592" s="34">
        <v>103603.0</v>
      </c>
      <c r="C592" s="34" t="s">
        <v>76</v>
      </c>
      <c r="D592" s="34" t="s">
        <v>1141</v>
      </c>
      <c r="E592" s="34" t="s">
        <v>1142</v>
      </c>
      <c r="F592" s="34">
        <v>2017.0</v>
      </c>
      <c r="G592" s="34" t="s">
        <v>1143</v>
      </c>
      <c r="H592" s="34" t="s">
        <v>1144</v>
      </c>
      <c r="I592" s="34" t="s">
        <v>1145</v>
      </c>
      <c r="J592" s="35"/>
      <c r="K592" s="36"/>
      <c r="L592" s="36"/>
      <c r="M592" s="36"/>
      <c r="N592" s="36">
        <v>-10.3</v>
      </c>
      <c r="O592" s="36">
        <v>81.9</v>
      </c>
      <c r="P592" s="83">
        <f t="shared" si="50"/>
        <v>-12.57631258</v>
      </c>
      <c r="Q592" s="36"/>
      <c r="R592" s="36" t="s">
        <v>96</v>
      </c>
      <c r="S592" s="36" t="s">
        <v>1146</v>
      </c>
      <c r="T592" s="36" t="s">
        <v>506</v>
      </c>
      <c r="U592" s="36" t="s">
        <v>507</v>
      </c>
      <c r="V592" s="36">
        <v>6.0</v>
      </c>
      <c r="W592" s="36"/>
      <c r="X592" s="38">
        <v>1.0</v>
      </c>
      <c r="Y592" s="38" t="s">
        <v>1152</v>
      </c>
      <c r="Z592" s="38" t="s">
        <v>1152</v>
      </c>
      <c r="AA592" s="38" t="s">
        <v>86</v>
      </c>
      <c r="AB592" s="38">
        <v>39.62</v>
      </c>
      <c r="AC592" s="38">
        <v>116.43</v>
      </c>
      <c r="AD592" s="38" t="s">
        <v>198</v>
      </c>
      <c r="AE592" s="53"/>
      <c r="AF592" s="38" t="s">
        <v>1153</v>
      </c>
      <c r="AG592" s="57"/>
      <c r="AH592" s="38">
        <v>3.0</v>
      </c>
      <c r="AI592" s="50">
        <v>39.62</v>
      </c>
      <c r="AJ592" s="50">
        <v>116.43</v>
      </c>
      <c r="AK592" s="41" t="s">
        <v>86</v>
      </c>
      <c r="AL592" s="40" t="s">
        <v>86</v>
      </c>
      <c r="AM592" s="49">
        <v>28.0</v>
      </c>
      <c r="AN592" s="51">
        <v>28.0</v>
      </c>
      <c r="AO592" s="42" t="s">
        <v>293</v>
      </c>
      <c r="AP592" s="43" t="s">
        <v>293</v>
      </c>
      <c r="AQ592" s="44" t="str">
        <f t="shared" si="47"/>
        <v>CRO</v>
      </c>
      <c r="AR592" s="44">
        <f t="shared" si="3"/>
        <v>28</v>
      </c>
      <c r="AS592" s="44" t="str">
        <f t="shared" si="53"/>
        <v>B</v>
      </c>
      <c r="AT592" s="44" t="str">
        <f t="shared" si="17"/>
        <v>BS</v>
      </c>
      <c r="AU592" s="44" t="str">
        <f t="shared" si="2"/>
        <v>BSk</v>
      </c>
      <c r="AV592" s="38">
        <v>1.0</v>
      </c>
      <c r="AW592" s="38"/>
      <c r="AX592" s="38" t="s">
        <v>1148</v>
      </c>
      <c r="AY592" s="38" t="s">
        <v>1149</v>
      </c>
      <c r="AZ592" s="29">
        <v>30.0</v>
      </c>
      <c r="BA592" s="29">
        <v>1.0</v>
      </c>
      <c r="BB592" s="29">
        <v>1.0</v>
      </c>
      <c r="BC592" s="29"/>
      <c r="BD592" s="29" t="s">
        <v>88</v>
      </c>
      <c r="BE592" s="29"/>
      <c r="BF592" s="29" t="s">
        <v>1160</v>
      </c>
      <c r="BG592" s="29" t="s">
        <v>91</v>
      </c>
      <c r="BH592" s="29" t="s">
        <v>88</v>
      </c>
      <c r="BI592" s="29" t="s">
        <v>1151</v>
      </c>
      <c r="BJ592" s="29"/>
      <c r="BK592" s="29" t="s">
        <v>180</v>
      </c>
      <c r="BL592" s="29" t="s">
        <v>180</v>
      </c>
      <c r="BM592" s="67"/>
      <c r="BN592" s="67"/>
      <c r="BO592" s="46"/>
      <c r="BP592" s="2" t="s">
        <v>1161</v>
      </c>
      <c r="BQ592" s="3"/>
    </row>
    <row r="593" ht="15.75" customHeight="1">
      <c r="A593" s="34">
        <v>594.0</v>
      </c>
      <c r="B593" s="34">
        <v>103603.0</v>
      </c>
      <c r="C593" s="34" t="s">
        <v>76</v>
      </c>
      <c r="D593" s="34" t="s">
        <v>1141</v>
      </c>
      <c r="E593" s="34" t="s">
        <v>1142</v>
      </c>
      <c r="F593" s="34">
        <v>2017.0</v>
      </c>
      <c r="G593" s="34" t="s">
        <v>1143</v>
      </c>
      <c r="H593" s="34" t="s">
        <v>1144</v>
      </c>
      <c r="I593" s="34" t="s">
        <v>1145</v>
      </c>
      <c r="J593" s="35"/>
      <c r="K593" s="36"/>
      <c r="L593" s="36"/>
      <c r="M593" s="36"/>
      <c r="N593" s="36">
        <v>-1.7</v>
      </c>
      <c r="O593" s="36">
        <v>54.0</v>
      </c>
      <c r="P593" s="83">
        <f t="shared" si="50"/>
        <v>-3.148148148</v>
      </c>
      <c r="Q593" s="36"/>
      <c r="R593" s="36" t="s">
        <v>96</v>
      </c>
      <c r="S593" s="36" t="s">
        <v>1146</v>
      </c>
      <c r="T593" s="36" t="s">
        <v>506</v>
      </c>
      <c r="U593" s="36" t="s">
        <v>507</v>
      </c>
      <c r="V593" s="36">
        <v>14.0</v>
      </c>
      <c r="W593" s="36"/>
      <c r="X593" s="38">
        <v>1.0</v>
      </c>
      <c r="Y593" s="38" t="s">
        <v>819</v>
      </c>
      <c r="Z593" s="38" t="s">
        <v>820</v>
      </c>
      <c r="AA593" s="38" t="s">
        <v>86</v>
      </c>
      <c r="AB593" s="38">
        <v>36.52</v>
      </c>
      <c r="AC593" s="38">
        <v>115.13</v>
      </c>
      <c r="AD593" s="38" t="s">
        <v>198</v>
      </c>
      <c r="AE593" s="53"/>
      <c r="AF593" s="38" t="s">
        <v>1154</v>
      </c>
      <c r="AG593" s="57"/>
      <c r="AH593" s="38">
        <v>15.6</v>
      </c>
      <c r="AI593" s="50">
        <v>36.515</v>
      </c>
      <c r="AJ593" s="50">
        <v>115.126</v>
      </c>
      <c r="AK593" s="41" t="s">
        <v>86</v>
      </c>
      <c r="AL593" s="40" t="s">
        <v>86</v>
      </c>
      <c r="AM593" s="49">
        <v>42.0</v>
      </c>
      <c r="AN593" s="51">
        <v>42.0</v>
      </c>
      <c r="AO593" s="42" t="s">
        <v>293</v>
      </c>
      <c r="AP593" s="43" t="s">
        <v>293</v>
      </c>
      <c r="AQ593" s="44" t="str">
        <f t="shared" si="47"/>
        <v>CRO</v>
      </c>
      <c r="AR593" s="44">
        <f t="shared" si="3"/>
        <v>42</v>
      </c>
      <c r="AS593" s="44" t="str">
        <f t="shared" si="53"/>
        <v>B</v>
      </c>
      <c r="AT593" s="44" t="str">
        <f t="shared" si="17"/>
        <v>BS</v>
      </c>
      <c r="AU593" s="44" t="str">
        <f t="shared" si="2"/>
        <v>BSk</v>
      </c>
      <c r="AV593" s="38">
        <v>1.0</v>
      </c>
      <c r="AW593" s="38"/>
      <c r="AX593" s="38" t="s">
        <v>1148</v>
      </c>
      <c r="AY593" s="38" t="s">
        <v>1149</v>
      </c>
      <c r="AZ593" s="29">
        <v>30.0</v>
      </c>
      <c r="BA593" s="29">
        <v>1.0</v>
      </c>
      <c r="BB593" s="29">
        <v>1.0</v>
      </c>
      <c r="BC593" s="29"/>
      <c r="BD593" s="29" t="s">
        <v>88</v>
      </c>
      <c r="BE593" s="29"/>
      <c r="BF593" s="29" t="s">
        <v>1160</v>
      </c>
      <c r="BG593" s="29" t="s">
        <v>91</v>
      </c>
      <c r="BH593" s="29" t="s">
        <v>88</v>
      </c>
      <c r="BI593" s="29" t="s">
        <v>1151</v>
      </c>
      <c r="BJ593" s="29"/>
      <c r="BK593" s="29" t="s">
        <v>180</v>
      </c>
      <c r="BL593" s="29" t="s">
        <v>180</v>
      </c>
      <c r="BM593" s="67"/>
      <c r="BN593" s="67"/>
      <c r="BO593" s="46"/>
      <c r="BP593" s="2" t="s">
        <v>1162</v>
      </c>
      <c r="BQ593" s="3"/>
    </row>
    <row r="594" ht="15.75" customHeight="1">
      <c r="A594" s="34">
        <v>595.0</v>
      </c>
      <c r="B594" s="34">
        <v>103603.0</v>
      </c>
      <c r="C594" s="34" t="s">
        <v>76</v>
      </c>
      <c r="D594" s="34" t="s">
        <v>1141</v>
      </c>
      <c r="E594" s="34" t="s">
        <v>1142</v>
      </c>
      <c r="F594" s="34">
        <v>2017.0</v>
      </c>
      <c r="G594" s="34" t="s">
        <v>1143</v>
      </c>
      <c r="H594" s="34" t="s">
        <v>1144</v>
      </c>
      <c r="I594" s="34" t="s">
        <v>1145</v>
      </c>
      <c r="J594" s="35"/>
      <c r="K594" s="36"/>
      <c r="L594" s="36"/>
      <c r="M594" s="36"/>
      <c r="N594" s="36">
        <v>-0.8</v>
      </c>
      <c r="O594" s="36">
        <v>56.6</v>
      </c>
      <c r="P594" s="83">
        <f t="shared" si="50"/>
        <v>-1.413427562</v>
      </c>
      <c r="Q594" s="36"/>
      <c r="R594" s="36" t="s">
        <v>96</v>
      </c>
      <c r="S594" s="36" t="s">
        <v>1146</v>
      </c>
      <c r="T594" s="36" t="s">
        <v>167</v>
      </c>
      <c r="U594" s="36" t="s">
        <v>246</v>
      </c>
      <c r="V594" s="36">
        <v>15.0</v>
      </c>
      <c r="W594" s="36"/>
      <c r="X594" s="38">
        <v>1.0</v>
      </c>
      <c r="Y594" s="38" t="s">
        <v>1155</v>
      </c>
      <c r="Z594" s="38" t="s">
        <v>1155</v>
      </c>
      <c r="AA594" s="38" t="s">
        <v>86</v>
      </c>
      <c r="AB594" s="38">
        <v>40.35</v>
      </c>
      <c r="AC594" s="38">
        <v>115.79</v>
      </c>
      <c r="AD594" s="38" t="s">
        <v>198</v>
      </c>
      <c r="AE594" s="53"/>
      <c r="AF594" s="38" t="s">
        <v>1048</v>
      </c>
      <c r="AG594" s="57"/>
      <c r="AH594" s="38">
        <v>5.0</v>
      </c>
      <c r="AI594" s="50">
        <v>40.35</v>
      </c>
      <c r="AJ594" s="50">
        <v>115.79</v>
      </c>
      <c r="AK594" s="41" t="s">
        <v>86</v>
      </c>
      <c r="AL594" s="40" t="s">
        <v>86</v>
      </c>
      <c r="AM594" s="49">
        <v>480.0</v>
      </c>
      <c r="AN594" s="51">
        <v>480.0</v>
      </c>
      <c r="AO594" s="42" t="s">
        <v>293</v>
      </c>
      <c r="AP594" s="43" t="s">
        <v>293</v>
      </c>
      <c r="AQ594" s="44" t="str">
        <f t="shared" si="47"/>
        <v>CRO</v>
      </c>
      <c r="AR594" s="44">
        <f t="shared" si="3"/>
        <v>480</v>
      </c>
      <c r="AS594" s="44" t="str">
        <f t="shared" si="53"/>
        <v>B</v>
      </c>
      <c r="AT594" s="44" t="str">
        <f t="shared" si="17"/>
        <v>BS</v>
      </c>
      <c r="AU594" s="44" t="str">
        <f t="shared" si="2"/>
        <v>BSk</v>
      </c>
      <c r="AV594" s="38">
        <v>1.0</v>
      </c>
      <c r="AW594" s="38"/>
      <c r="AX594" s="38" t="s">
        <v>1148</v>
      </c>
      <c r="AY594" s="38" t="s">
        <v>1149</v>
      </c>
      <c r="AZ594" s="29">
        <v>30.0</v>
      </c>
      <c r="BA594" s="29">
        <v>1.0</v>
      </c>
      <c r="BB594" s="29">
        <v>1.0</v>
      </c>
      <c r="BC594" s="29"/>
      <c r="BD594" s="29" t="s">
        <v>88</v>
      </c>
      <c r="BE594" s="29"/>
      <c r="BF594" s="29" t="s">
        <v>1160</v>
      </c>
      <c r="BG594" s="29" t="s">
        <v>91</v>
      </c>
      <c r="BH594" s="29" t="s">
        <v>88</v>
      </c>
      <c r="BI594" s="29" t="s">
        <v>1151</v>
      </c>
      <c r="BJ594" s="29"/>
      <c r="BK594" s="29" t="s">
        <v>180</v>
      </c>
      <c r="BL594" s="29" t="s">
        <v>180</v>
      </c>
      <c r="BM594" s="67"/>
      <c r="BN594" s="67"/>
      <c r="BO594" s="46"/>
      <c r="BP594" s="2"/>
      <c r="BQ594" s="3"/>
    </row>
    <row r="595" ht="15.75" customHeight="1">
      <c r="A595" s="34">
        <v>596.0</v>
      </c>
      <c r="B595" s="34">
        <v>103603.0</v>
      </c>
      <c r="C595" s="34" t="s">
        <v>76</v>
      </c>
      <c r="D595" s="34" t="s">
        <v>1141</v>
      </c>
      <c r="E595" s="34" t="s">
        <v>1142</v>
      </c>
      <c r="F595" s="34">
        <v>2017.0</v>
      </c>
      <c r="G595" s="34" t="s">
        <v>1143</v>
      </c>
      <c r="H595" s="34" t="s">
        <v>1144</v>
      </c>
      <c r="I595" s="34" t="s">
        <v>1145</v>
      </c>
      <c r="J595" s="35"/>
      <c r="K595" s="36"/>
      <c r="L595" s="36"/>
      <c r="M595" s="36"/>
      <c r="N595" s="36">
        <v>-19.2</v>
      </c>
      <c r="O595" s="36">
        <v>143.9</v>
      </c>
      <c r="P595" s="83">
        <f t="shared" si="50"/>
        <v>-13.34259903</v>
      </c>
      <c r="Q595" s="36"/>
      <c r="R595" s="36" t="s">
        <v>96</v>
      </c>
      <c r="S595" s="36" t="s">
        <v>1146</v>
      </c>
      <c r="T595" s="36" t="s">
        <v>1156</v>
      </c>
      <c r="U595" s="36" t="s">
        <v>1157</v>
      </c>
      <c r="V595" s="36">
        <v>5.0</v>
      </c>
      <c r="W595" s="36"/>
      <c r="X595" s="38">
        <v>1.0</v>
      </c>
      <c r="Y595" s="53" t="s">
        <v>256</v>
      </c>
      <c r="Z595" s="38" t="s">
        <v>257</v>
      </c>
      <c r="AA595" s="38" t="s">
        <v>86</v>
      </c>
      <c r="AB595" s="38">
        <v>38.86</v>
      </c>
      <c r="AC595" s="38">
        <v>100.37</v>
      </c>
      <c r="AD595" s="53" t="s">
        <v>198</v>
      </c>
      <c r="AE595" s="53"/>
      <c r="AF595" s="38" t="s">
        <v>1158</v>
      </c>
      <c r="AG595" s="57"/>
      <c r="AH595" s="38">
        <v>4.5</v>
      </c>
      <c r="AI595" s="50">
        <v>38.875</v>
      </c>
      <c r="AJ595" s="50">
        <v>100.375</v>
      </c>
      <c r="AK595" s="41" t="s">
        <v>86</v>
      </c>
      <c r="AL595" s="40" t="s">
        <v>86</v>
      </c>
      <c r="AM595" s="49">
        <v>1554.0</v>
      </c>
      <c r="AN595" s="51">
        <v>1554.0</v>
      </c>
      <c r="AO595" s="42" t="s">
        <v>261</v>
      </c>
      <c r="AP595" s="43" t="s">
        <v>261</v>
      </c>
      <c r="AQ595" s="44" t="str">
        <f t="shared" si="47"/>
        <v>CRO</v>
      </c>
      <c r="AR595" s="44">
        <f t="shared" si="3"/>
        <v>1554</v>
      </c>
      <c r="AS595" s="44" t="str">
        <f t="shared" si="53"/>
        <v>B</v>
      </c>
      <c r="AT595" s="44" t="str">
        <f t="shared" si="17"/>
        <v>BW</v>
      </c>
      <c r="AU595" s="44" t="str">
        <f t="shared" si="2"/>
        <v>BWk</v>
      </c>
      <c r="AV595" s="38">
        <v>1.0</v>
      </c>
      <c r="AW595" s="38"/>
      <c r="AX595" s="38" t="s">
        <v>1148</v>
      </c>
      <c r="AY595" s="38" t="s">
        <v>1149</v>
      </c>
      <c r="AZ595" s="29">
        <v>30.0</v>
      </c>
      <c r="BA595" s="29">
        <v>1.0</v>
      </c>
      <c r="BB595" s="29">
        <v>1.0</v>
      </c>
      <c r="BC595" s="29"/>
      <c r="BD595" s="29" t="s">
        <v>88</v>
      </c>
      <c r="BE595" s="29"/>
      <c r="BF595" s="29" t="s">
        <v>1160</v>
      </c>
      <c r="BG595" s="29" t="s">
        <v>91</v>
      </c>
      <c r="BH595" s="29" t="s">
        <v>88</v>
      </c>
      <c r="BI595" s="29" t="s">
        <v>1151</v>
      </c>
      <c r="BJ595" s="29"/>
      <c r="BK595" s="29" t="s">
        <v>180</v>
      </c>
      <c r="BL595" s="29" t="s">
        <v>180</v>
      </c>
      <c r="BM595" s="67"/>
      <c r="BN595" s="67"/>
      <c r="BO595" s="46"/>
      <c r="BP595" s="2"/>
      <c r="BQ595" s="3"/>
    </row>
    <row r="596" ht="15.75" customHeight="1">
      <c r="A596" s="34">
        <v>597.0</v>
      </c>
      <c r="B596" s="34">
        <v>103603.0</v>
      </c>
      <c r="C596" s="34" t="s">
        <v>76</v>
      </c>
      <c r="D596" s="34" t="s">
        <v>1141</v>
      </c>
      <c r="E596" s="34" t="s">
        <v>1142</v>
      </c>
      <c r="F596" s="34">
        <v>2017.0</v>
      </c>
      <c r="G596" s="34" t="s">
        <v>1143</v>
      </c>
      <c r="H596" s="34" t="s">
        <v>1144</v>
      </c>
      <c r="I596" s="34" t="s">
        <v>1145</v>
      </c>
      <c r="J596" s="35"/>
      <c r="K596" s="36"/>
      <c r="L596" s="36"/>
      <c r="M596" s="36"/>
      <c r="N596" s="36">
        <v>1.7</v>
      </c>
      <c r="O596" s="36">
        <v>69.4</v>
      </c>
      <c r="P596" s="83">
        <f t="shared" si="50"/>
        <v>2.449567723</v>
      </c>
      <c r="Q596" s="36"/>
      <c r="R596" s="36" t="s">
        <v>96</v>
      </c>
      <c r="S596" s="36" t="s">
        <v>1146</v>
      </c>
      <c r="T596" s="36" t="s">
        <v>506</v>
      </c>
      <c r="U596" s="36" t="s">
        <v>246</v>
      </c>
      <c r="V596" s="36">
        <v>69.0</v>
      </c>
      <c r="W596" s="36"/>
      <c r="X596" s="38">
        <v>5.0</v>
      </c>
      <c r="Y596" s="38" t="s">
        <v>1159</v>
      </c>
      <c r="Z596" s="38"/>
      <c r="AA596" s="38" t="s">
        <v>86</v>
      </c>
      <c r="AB596" s="38"/>
      <c r="AC596" s="38"/>
      <c r="AD596" s="38"/>
      <c r="AE596" s="38"/>
      <c r="AF596" s="38"/>
      <c r="AG596" s="38"/>
      <c r="AH596" s="38"/>
      <c r="AI596" s="50"/>
      <c r="AJ596" s="50"/>
      <c r="AK596" s="41"/>
      <c r="AL596" s="40"/>
      <c r="AM596" s="49"/>
      <c r="AN596" s="43"/>
      <c r="AO596" s="42"/>
      <c r="AP596" s="43"/>
      <c r="AQ596" s="44" t="str">
        <f t="shared" si="47"/>
        <v>CRO</v>
      </c>
      <c r="AR596" s="44" t="str">
        <f t="shared" si="3"/>
        <v/>
      </c>
      <c r="AS596" s="44"/>
      <c r="AT596" s="44" t="str">
        <f t="shared" si="17"/>
        <v/>
      </c>
      <c r="AU596" s="44" t="str">
        <f t="shared" si="2"/>
        <v/>
      </c>
      <c r="AV596" s="38"/>
      <c r="AW596" s="38"/>
      <c r="AX596" s="38" t="s">
        <v>1148</v>
      </c>
      <c r="AY596" s="38" t="s">
        <v>1149</v>
      </c>
      <c r="AZ596" s="29">
        <v>30.0</v>
      </c>
      <c r="BA596" s="29">
        <v>1.0</v>
      </c>
      <c r="BB596" s="29">
        <v>1.0</v>
      </c>
      <c r="BC596" s="29"/>
      <c r="BD596" s="29" t="s">
        <v>88</v>
      </c>
      <c r="BE596" s="29"/>
      <c r="BF596" s="29" t="s">
        <v>1160</v>
      </c>
      <c r="BG596" s="29" t="s">
        <v>91</v>
      </c>
      <c r="BH596" s="29" t="s">
        <v>88</v>
      </c>
      <c r="BI596" s="29" t="s">
        <v>1151</v>
      </c>
      <c r="BJ596" s="29"/>
      <c r="BK596" s="29" t="s">
        <v>180</v>
      </c>
      <c r="BL596" s="29" t="s">
        <v>180</v>
      </c>
      <c r="BM596" s="67"/>
      <c r="BN596" s="67"/>
      <c r="BO596" s="46"/>
      <c r="BP596" s="2"/>
      <c r="BQ596" s="3"/>
    </row>
    <row r="597" ht="15.75" customHeight="1">
      <c r="A597" s="34">
        <v>598.0</v>
      </c>
      <c r="B597" s="34">
        <v>103603.0</v>
      </c>
      <c r="C597" s="34" t="s">
        <v>76</v>
      </c>
      <c r="D597" s="34" t="s">
        <v>1141</v>
      </c>
      <c r="E597" s="34" t="s">
        <v>1142</v>
      </c>
      <c r="F597" s="34">
        <v>2017.0</v>
      </c>
      <c r="G597" s="34" t="s">
        <v>1143</v>
      </c>
      <c r="H597" s="34" t="s">
        <v>1144</v>
      </c>
      <c r="I597" s="34" t="s">
        <v>1145</v>
      </c>
      <c r="J597" s="35"/>
      <c r="K597" s="36"/>
      <c r="L597" s="36"/>
      <c r="M597" s="36"/>
      <c r="N597" s="36">
        <v>26.4</v>
      </c>
      <c r="O597" s="36">
        <v>231.5</v>
      </c>
      <c r="P597" s="83">
        <f t="shared" si="50"/>
        <v>11.40388769</v>
      </c>
      <c r="Q597" s="36"/>
      <c r="R597" s="36" t="s">
        <v>82</v>
      </c>
      <c r="S597" s="36" t="s">
        <v>1146</v>
      </c>
      <c r="T597" s="36" t="s">
        <v>506</v>
      </c>
      <c r="U597" s="36" t="s">
        <v>507</v>
      </c>
      <c r="V597" s="36">
        <v>29.0</v>
      </c>
      <c r="W597" s="36"/>
      <c r="X597" s="38">
        <v>1.0</v>
      </c>
      <c r="Y597" s="38" t="s">
        <v>827</v>
      </c>
      <c r="Z597" s="38" t="s">
        <v>828</v>
      </c>
      <c r="AA597" s="38" t="s">
        <v>86</v>
      </c>
      <c r="AB597" s="38">
        <v>40.63</v>
      </c>
      <c r="AC597" s="38">
        <v>117.32</v>
      </c>
      <c r="AD597" s="53" t="s">
        <v>198</v>
      </c>
      <c r="AE597" s="38">
        <v>350.0</v>
      </c>
      <c r="AF597" s="38" t="s">
        <v>1147</v>
      </c>
      <c r="AG597" s="38"/>
      <c r="AH597" s="38">
        <v>26.66</v>
      </c>
      <c r="AI597" s="50">
        <v>40.63</v>
      </c>
      <c r="AJ597" s="50">
        <v>117.32</v>
      </c>
      <c r="AK597" s="41" t="s">
        <v>288</v>
      </c>
      <c r="AL597" s="40" t="s">
        <v>288</v>
      </c>
      <c r="AM597" s="49">
        <v>364.0</v>
      </c>
      <c r="AN597" s="51">
        <v>364.0</v>
      </c>
      <c r="AO597" s="42" t="s">
        <v>218</v>
      </c>
      <c r="AP597" s="43" t="s">
        <v>218</v>
      </c>
      <c r="AQ597" s="44" t="str">
        <f t="shared" si="47"/>
        <v>CRO</v>
      </c>
      <c r="AR597" s="44">
        <f t="shared" si="3"/>
        <v>364</v>
      </c>
      <c r="AS597" s="44" t="str">
        <f t="shared" ref="AS597:AS601" si="54">LEFT(AO597,1)</f>
        <v>D</v>
      </c>
      <c r="AT597" s="44" t="str">
        <f t="shared" si="17"/>
        <v>Dw</v>
      </c>
      <c r="AU597" s="44" t="str">
        <f t="shared" si="2"/>
        <v>Dwa</v>
      </c>
      <c r="AV597" s="38">
        <v>1.0</v>
      </c>
      <c r="AW597" s="38"/>
      <c r="AX597" s="38" t="s">
        <v>1148</v>
      </c>
      <c r="AY597" s="38" t="s">
        <v>1149</v>
      </c>
      <c r="AZ597" s="29">
        <v>30.0</v>
      </c>
      <c r="BA597" s="29">
        <v>1.0</v>
      </c>
      <c r="BB597" s="29">
        <v>1.0</v>
      </c>
      <c r="BC597" s="29"/>
      <c r="BD597" s="29" t="s">
        <v>88</v>
      </c>
      <c r="BE597" s="29"/>
      <c r="BF597" s="29" t="s">
        <v>984</v>
      </c>
      <c r="BG597" s="29" t="s">
        <v>572</v>
      </c>
      <c r="BH597" s="29" t="s">
        <v>88</v>
      </c>
      <c r="BI597" s="29" t="s">
        <v>1151</v>
      </c>
      <c r="BJ597" s="29"/>
      <c r="BK597" s="29" t="s">
        <v>180</v>
      </c>
      <c r="BL597" s="29" t="s">
        <v>180</v>
      </c>
      <c r="BM597" s="67"/>
      <c r="BN597" s="67"/>
      <c r="BO597" s="46"/>
      <c r="BP597" s="2"/>
      <c r="BQ597" s="3"/>
    </row>
    <row r="598" ht="15.75" customHeight="1">
      <c r="A598" s="34">
        <v>599.0</v>
      </c>
      <c r="B598" s="34">
        <v>103603.0</v>
      </c>
      <c r="C598" s="34" t="s">
        <v>76</v>
      </c>
      <c r="D598" s="34" t="s">
        <v>1141</v>
      </c>
      <c r="E598" s="34" t="s">
        <v>1142</v>
      </c>
      <c r="F598" s="34">
        <v>2017.0</v>
      </c>
      <c r="G598" s="34" t="s">
        <v>1143</v>
      </c>
      <c r="H598" s="34" t="s">
        <v>1144</v>
      </c>
      <c r="I598" s="34" t="s">
        <v>1145</v>
      </c>
      <c r="J598" s="35"/>
      <c r="K598" s="36"/>
      <c r="L598" s="36"/>
      <c r="M598" s="36"/>
      <c r="N598" s="36">
        <v>19.2</v>
      </c>
      <c r="O598" s="36">
        <v>249.5</v>
      </c>
      <c r="P598" s="83">
        <f t="shared" si="50"/>
        <v>7.695390782</v>
      </c>
      <c r="Q598" s="36"/>
      <c r="R598" s="36" t="s">
        <v>82</v>
      </c>
      <c r="S598" s="36" t="s">
        <v>1146</v>
      </c>
      <c r="T598" s="36" t="s">
        <v>506</v>
      </c>
      <c r="U598" s="36" t="s">
        <v>507</v>
      </c>
      <c r="V598" s="36">
        <v>6.0</v>
      </c>
      <c r="W598" s="36"/>
      <c r="X598" s="38">
        <v>1.0</v>
      </c>
      <c r="Y598" s="38" t="s">
        <v>1152</v>
      </c>
      <c r="Z598" s="38" t="s">
        <v>1152</v>
      </c>
      <c r="AA598" s="38" t="s">
        <v>86</v>
      </c>
      <c r="AB598" s="38">
        <v>39.62</v>
      </c>
      <c r="AC598" s="38">
        <v>116.43</v>
      </c>
      <c r="AD598" s="38" t="s">
        <v>198</v>
      </c>
      <c r="AE598" s="53"/>
      <c r="AF598" s="38" t="s">
        <v>1153</v>
      </c>
      <c r="AG598" s="57"/>
      <c r="AH598" s="38">
        <v>3.0</v>
      </c>
      <c r="AI598" s="50">
        <v>39.62</v>
      </c>
      <c r="AJ598" s="50">
        <v>116.43</v>
      </c>
      <c r="AK598" s="41" t="s">
        <v>86</v>
      </c>
      <c r="AL598" s="40" t="s">
        <v>86</v>
      </c>
      <c r="AM598" s="49">
        <v>28.0</v>
      </c>
      <c r="AN598" s="51">
        <v>28.0</v>
      </c>
      <c r="AO598" s="42" t="s">
        <v>293</v>
      </c>
      <c r="AP598" s="43" t="s">
        <v>293</v>
      </c>
      <c r="AQ598" s="44" t="str">
        <f t="shared" si="47"/>
        <v>CRO</v>
      </c>
      <c r="AR598" s="44">
        <f t="shared" si="3"/>
        <v>28</v>
      </c>
      <c r="AS598" s="44" t="str">
        <f t="shared" si="54"/>
        <v>B</v>
      </c>
      <c r="AT598" s="44" t="str">
        <f t="shared" si="17"/>
        <v>BS</v>
      </c>
      <c r="AU598" s="44" t="str">
        <f t="shared" si="2"/>
        <v>BSk</v>
      </c>
      <c r="AV598" s="38">
        <v>1.0</v>
      </c>
      <c r="AW598" s="38"/>
      <c r="AX598" s="38" t="s">
        <v>1148</v>
      </c>
      <c r="AY598" s="38" t="s">
        <v>1149</v>
      </c>
      <c r="AZ598" s="29">
        <v>30.0</v>
      </c>
      <c r="BA598" s="29">
        <v>1.0</v>
      </c>
      <c r="BB598" s="29">
        <v>1.0</v>
      </c>
      <c r="BC598" s="29"/>
      <c r="BD598" s="29" t="s">
        <v>88</v>
      </c>
      <c r="BE598" s="29"/>
      <c r="BF598" s="29" t="s">
        <v>984</v>
      </c>
      <c r="BG598" s="29" t="s">
        <v>572</v>
      </c>
      <c r="BH598" s="29" t="s">
        <v>88</v>
      </c>
      <c r="BI598" s="29" t="s">
        <v>1151</v>
      </c>
      <c r="BJ598" s="29"/>
      <c r="BK598" s="29" t="s">
        <v>180</v>
      </c>
      <c r="BL598" s="29" t="s">
        <v>180</v>
      </c>
      <c r="BM598" s="67"/>
      <c r="BN598" s="67"/>
      <c r="BO598" s="46"/>
      <c r="BP598" s="2"/>
      <c r="BQ598" s="3"/>
    </row>
    <row r="599" ht="15.75" customHeight="1">
      <c r="A599" s="34">
        <v>600.0</v>
      </c>
      <c r="B599" s="34">
        <v>103603.0</v>
      </c>
      <c r="C599" s="34" t="s">
        <v>76</v>
      </c>
      <c r="D599" s="34" t="s">
        <v>1141</v>
      </c>
      <c r="E599" s="34" t="s">
        <v>1142</v>
      </c>
      <c r="F599" s="34">
        <v>2017.0</v>
      </c>
      <c r="G599" s="34" t="s">
        <v>1143</v>
      </c>
      <c r="H599" s="34" t="s">
        <v>1144</v>
      </c>
      <c r="I599" s="34" t="s">
        <v>1145</v>
      </c>
      <c r="J599" s="35"/>
      <c r="K599" s="36"/>
      <c r="L599" s="36"/>
      <c r="M599" s="36"/>
      <c r="N599" s="36">
        <v>-18.3</v>
      </c>
      <c r="O599" s="36">
        <v>200.8</v>
      </c>
      <c r="P599" s="83">
        <f t="shared" si="50"/>
        <v>-9.113545817</v>
      </c>
      <c r="Q599" s="36"/>
      <c r="R599" s="36" t="s">
        <v>82</v>
      </c>
      <c r="S599" s="36" t="s">
        <v>1146</v>
      </c>
      <c r="T599" s="36" t="s">
        <v>506</v>
      </c>
      <c r="U599" s="36" t="s">
        <v>507</v>
      </c>
      <c r="V599" s="36">
        <v>14.0</v>
      </c>
      <c r="W599" s="36"/>
      <c r="X599" s="38">
        <v>1.0</v>
      </c>
      <c r="Y599" s="38" t="s">
        <v>819</v>
      </c>
      <c r="Z599" s="38" t="s">
        <v>1163</v>
      </c>
      <c r="AA599" s="38" t="s">
        <v>86</v>
      </c>
      <c r="AB599" s="38">
        <v>36.52</v>
      </c>
      <c r="AC599" s="38">
        <v>115.13</v>
      </c>
      <c r="AD599" s="38" t="s">
        <v>198</v>
      </c>
      <c r="AE599" s="53"/>
      <c r="AF599" s="38" t="s">
        <v>1154</v>
      </c>
      <c r="AG599" s="57"/>
      <c r="AH599" s="38">
        <v>15.6</v>
      </c>
      <c r="AI599" s="50">
        <v>36.515</v>
      </c>
      <c r="AJ599" s="50">
        <v>115.126</v>
      </c>
      <c r="AK599" s="41" t="s">
        <v>86</v>
      </c>
      <c r="AL599" s="40" t="s">
        <v>86</v>
      </c>
      <c r="AM599" s="49">
        <v>42.0</v>
      </c>
      <c r="AN599" s="51">
        <v>42.0</v>
      </c>
      <c r="AO599" s="42" t="s">
        <v>293</v>
      </c>
      <c r="AP599" s="43" t="s">
        <v>293</v>
      </c>
      <c r="AQ599" s="44" t="str">
        <f t="shared" si="47"/>
        <v>CRO</v>
      </c>
      <c r="AR599" s="44">
        <f t="shared" si="3"/>
        <v>42</v>
      </c>
      <c r="AS599" s="44" t="str">
        <f t="shared" si="54"/>
        <v>B</v>
      </c>
      <c r="AT599" s="44" t="str">
        <f t="shared" si="17"/>
        <v>BS</v>
      </c>
      <c r="AU599" s="44" t="str">
        <f t="shared" si="2"/>
        <v>BSk</v>
      </c>
      <c r="AV599" s="38">
        <v>1.0</v>
      </c>
      <c r="AW599" s="38"/>
      <c r="AX599" s="38" t="s">
        <v>1148</v>
      </c>
      <c r="AY599" s="38" t="s">
        <v>1149</v>
      </c>
      <c r="AZ599" s="29">
        <v>30.0</v>
      </c>
      <c r="BA599" s="29">
        <v>1.0</v>
      </c>
      <c r="BB599" s="29">
        <v>1.0</v>
      </c>
      <c r="BC599" s="29"/>
      <c r="BD599" s="29" t="s">
        <v>88</v>
      </c>
      <c r="BE599" s="29"/>
      <c r="BF599" s="29" t="s">
        <v>984</v>
      </c>
      <c r="BG599" s="29" t="s">
        <v>572</v>
      </c>
      <c r="BH599" s="29" t="s">
        <v>88</v>
      </c>
      <c r="BI599" s="29" t="s">
        <v>1151</v>
      </c>
      <c r="BJ599" s="29"/>
      <c r="BK599" s="29" t="s">
        <v>180</v>
      </c>
      <c r="BL599" s="29" t="s">
        <v>180</v>
      </c>
      <c r="BM599" s="67"/>
      <c r="BN599" s="67"/>
      <c r="BO599" s="46"/>
      <c r="BP599" s="2"/>
      <c r="BQ599" s="3"/>
    </row>
    <row r="600" ht="15.75" customHeight="1">
      <c r="A600" s="34">
        <v>601.0</v>
      </c>
      <c r="B600" s="34">
        <v>103603.0</v>
      </c>
      <c r="C600" s="34" t="s">
        <v>76</v>
      </c>
      <c r="D600" s="34" t="s">
        <v>1141</v>
      </c>
      <c r="E600" s="34" t="s">
        <v>1142</v>
      </c>
      <c r="F600" s="34">
        <v>2017.0</v>
      </c>
      <c r="G600" s="34" t="s">
        <v>1143</v>
      </c>
      <c r="H600" s="34" t="s">
        <v>1144</v>
      </c>
      <c r="I600" s="34" t="s">
        <v>1145</v>
      </c>
      <c r="J600" s="35"/>
      <c r="K600" s="36"/>
      <c r="L600" s="36"/>
      <c r="M600" s="36"/>
      <c r="N600" s="36">
        <v>29.7</v>
      </c>
      <c r="O600" s="36">
        <v>174.3</v>
      </c>
      <c r="P600" s="83">
        <f t="shared" si="50"/>
        <v>17.03958692</v>
      </c>
      <c r="Q600" s="36"/>
      <c r="R600" s="36" t="s">
        <v>82</v>
      </c>
      <c r="S600" s="36" t="s">
        <v>1146</v>
      </c>
      <c r="T600" s="36" t="s">
        <v>167</v>
      </c>
      <c r="U600" s="36" t="s">
        <v>246</v>
      </c>
      <c r="V600" s="36">
        <v>15.0</v>
      </c>
      <c r="W600" s="36"/>
      <c r="X600" s="38">
        <v>1.0</v>
      </c>
      <c r="Y600" s="38" t="s">
        <v>1155</v>
      </c>
      <c r="Z600" s="38" t="s">
        <v>1155</v>
      </c>
      <c r="AA600" s="38" t="s">
        <v>86</v>
      </c>
      <c r="AB600" s="38">
        <v>40.35</v>
      </c>
      <c r="AC600" s="38">
        <v>115.79</v>
      </c>
      <c r="AD600" s="38" t="s">
        <v>198</v>
      </c>
      <c r="AE600" s="53"/>
      <c r="AF600" s="38" t="s">
        <v>1048</v>
      </c>
      <c r="AG600" s="57"/>
      <c r="AH600" s="38">
        <v>5.0</v>
      </c>
      <c r="AI600" s="50">
        <v>40.35</v>
      </c>
      <c r="AJ600" s="50">
        <v>115.79</v>
      </c>
      <c r="AK600" s="41" t="s">
        <v>86</v>
      </c>
      <c r="AL600" s="40" t="s">
        <v>86</v>
      </c>
      <c r="AM600" s="49">
        <v>480.0</v>
      </c>
      <c r="AN600" s="51">
        <v>480.0</v>
      </c>
      <c r="AO600" s="42" t="s">
        <v>293</v>
      </c>
      <c r="AP600" s="43" t="s">
        <v>293</v>
      </c>
      <c r="AQ600" s="44" t="str">
        <f t="shared" si="47"/>
        <v>CRO</v>
      </c>
      <c r="AR600" s="44">
        <f t="shared" si="3"/>
        <v>480</v>
      </c>
      <c r="AS600" s="44" t="str">
        <f t="shared" si="54"/>
        <v>B</v>
      </c>
      <c r="AT600" s="44" t="str">
        <f t="shared" si="17"/>
        <v>BS</v>
      </c>
      <c r="AU600" s="44" t="str">
        <f t="shared" si="2"/>
        <v>BSk</v>
      </c>
      <c r="AV600" s="38">
        <v>1.0</v>
      </c>
      <c r="AW600" s="38"/>
      <c r="AX600" s="38" t="s">
        <v>1148</v>
      </c>
      <c r="AY600" s="38" t="s">
        <v>1149</v>
      </c>
      <c r="AZ600" s="29">
        <v>30.0</v>
      </c>
      <c r="BA600" s="29">
        <v>1.0</v>
      </c>
      <c r="BB600" s="29">
        <v>1.0</v>
      </c>
      <c r="BC600" s="29"/>
      <c r="BD600" s="29" t="s">
        <v>88</v>
      </c>
      <c r="BE600" s="29"/>
      <c r="BF600" s="29" t="s">
        <v>984</v>
      </c>
      <c r="BG600" s="29" t="s">
        <v>572</v>
      </c>
      <c r="BH600" s="29" t="s">
        <v>88</v>
      </c>
      <c r="BI600" s="29" t="s">
        <v>1151</v>
      </c>
      <c r="BJ600" s="29"/>
      <c r="BK600" s="29" t="s">
        <v>180</v>
      </c>
      <c r="BL600" s="29" t="s">
        <v>180</v>
      </c>
      <c r="BM600" s="67"/>
      <c r="BN600" s="67"/>
      <c r="BO600" s="46"/>
      <c r="BP600" s="2"/>
      <c r="BQ600" s="3"/>
    </row>
    <row r="601" ht="15.75" customHeight="1">
      <c r="A601" s="34">
        <v>602.0</v>
      </c>
      <c r="B601" s="34">
        <v>103603.0</v>
      </c>
      <c r="C601" s="34" t="s">
        <v>76</v>
      </c>
      <c r="D601" s="34" t="s">
        <v>1141</v>
      </c>
      <c r="E601" s="34" t="s">
        <v>1142</v>
      </c>
      <c r="F601" s="34">
        <v>2017.0</v>
      </c>
      <c r="G601" s="34" t="s">
        <v>1143</v>
      </c>
      <c r="H601" s="34" t="s">
        <v>1144</v>
      </c>
      <c r="I601" s="34" t="s">
        <v>1145</v>
      </c>
      <c r="J601" s="35"/>
      <c r="K601" s="36"/>
      <c r="L601" s="36"/>
      <c r="M601" s="36"/>
      <c r="N601" s="36">
        <v>-60.5</v>
      </c>
      <c r="O601" s="36">
        <v>503.4</v>
      </c>
      <c r="P601" s="83">
        <f t="shared" si="50"/>
        <v>-12.01827573</v>
      </c>
      <c r="Q601" s="36"/>
      <c r="R601" s="36" t="s">
        <v>82</v>
      </c>
      <c r="S601" s="36" t="s">
        <v>1146</v>
      </c>
      <c r="T601" s="36" t="s">
        <v>1156</v>
      </c>
      <c r="U601" s="36" t="s">
        <v>1157</v>
      </c>
      <c r="V601" s="36">
        <v>5.0</v>
      </c>
      <c r="W601" s="36"/>
      <c r="X601" s="38">
        <v>1.0</v>
      </c>
      <c r="Y601" s="53" t="s">
        <v>256</v>
      </c>
      <c r="Z601" s="38" t="s">
        <v>257</v>
      </c>
      <c r="AA601" s="38" t="s">
        <v>86</v>
      </c>
      <c r="AB601" s="38">
        <v>38.86</v>
      </c>
      <c r="AC601" s="38">
        <v>100.37</v>
      </c>
      <c r="AD601" s="53" t="s">
        <v>198</v>
      </c>
      <c r="AE601" s="53"/>
      <c r="AF601" s="38" t="s">
        <v>1158</v>
      </c>
      <c r="AG601" s="57"/>
      <c r="AH601" s="38">
        <v>4.5</v>
      </c>
      <c r="AI601" s="50">
        <v>38.875</v>
      </c>
      <c r="AJ601" s="50">
        <v>100.375</v>
      </c>
      <c r="AK601" s="41" t="s">
        <v>86</v>
      </c>
      <c r="AL601" s="40" t="s">
        <v>86</v>
      </c>
      <c r="AM601" s="49">
        <v>1554.0</v>
      </c>
      <c r="AN601" s="51">
        <v>1554.0</v>
      </c>
      <c r="AO601" s="42" t="s">
        <v>261</v>
      </c>
      <c r="AP601" s="43" t="s">
        <v>261</v>
      </c>
      <c r="AQ601" s="44" t="str">
        <f t="shared" si="47"/>
        <v>CRO</v>
      </c>
      <c r="AR601" s="44">
        <f t="shared" si="3"/>
        <v>1554</v>
      </c>
      <c r="AS601" s="44" t="str">
        <f t="shared" si="54"/>
        <v>B</v>
      </c>
      <c r="AT601" s="44" t="str">
        <f t="shared" si="17"/>
        <v>BW</v>
      </c>
      <c r="AU601" s="44" t="str">
        <f t="shared" si="2"/>
        <v>BWk</v>
      </c>
      <c r="AV601" s="38">
        <v>1.0</v>
      </c>
      <c r="AW601" s="38"/>
      <c r="AX601" s="38" t="s">
        <v>1148</v>
      </c>
      <c r="AY601" s="38" t="s">
        <v>1149</v>
      </c>
      <c r="AZ601" s="29">
        <v>30.0</v>
      </c>
      <c r="BA601" s="29">
        <v>1.0</v>
      </c>
      <c r="BB601" s="29">
        <v>1.0</v>
      </c>
      <c r="BC601" s="29"/>
      <c r="BD601" s="29" t="s">
        <v>88</v>
      </c>
      <c r="BE601" s="29"/>
      <c r="BF601" s="29" t="s">
        <v>984</v>
      </c>
      <c r="BG601" s="29" t="s">
        <v>572</v>
      </c>
      <c r="BH601" s="29" t="s">
        <v>88</v>
      </c>
      <c r="BI601" s="29" t="s">
        <v>1151</v>
      </c>
      <c r="BJ601" s="29"/>
      <c r="BK601" s="29" t="s">
        <v>180</v>
      </c>
      <c r="BL601" s="29" t="s">
        <v>180</v>
      </c>
      <c r="BM601" s="67"/>
      <c r="BN601" s="67"/>
      <c r="BO601" s="46"/>
      <c r="BP601" s="2" t="s">
        <v>1005</v>
      </c>
      <c r="BQ601" s="3"/>
    </row>
    <row r="602" ht="15.75" customHeight="1">
      <c r="A602" s="34">
        <v>603.0</v>
      </c>
      <c r="B602" s="34">
        <v>103603.0</v>
      </c>
      <c r="C602" s="34" t="s">
        <v>76</v>
      </c>
      <c r="D602" s="34" t="s">
        <v>1141</v>
      </c>
      <c r="E602" s="34" t="s">
        <v>1142</v>
      </c>
      <c r="F602" s="34">
        <v>2017.0</v>
      </c>
      <c r="G602" s="34" t="s">
        <v>1143</v>
      </c>
      <c r="H602" s="34" t="s">
        <v>1144</v>
      </c>
      <c r="I602" s="34" t="s">
        <v>1145</v>
      </c>
      <c r="J602" s="35"/>
      <c r="K602" s="36"/>
      <c r="L602" s="36"/>
      <c r="M602" s="36"/>
      <c r="N602" s="36">
        <v>11.1</v>
      </c>
      <c r="O602" s="36">
        <v>234.1</v>
      </c>
      <c r="P602" s="83">
        <f t="shared" si="50"/>
        <v>4.741563434</v>
      </c>
      <c r="Q602" s="36"/>
      <c r="R602" s="36" t="s">
        <v>82</v>
      </c>
      <c r="S602" s="36" t="s">
        <v>1146</v>
      </c>
      <c r="T602" s="36" t="s">
        <v>506</v>
      </c>
      <c r="U602" s="36" t="s">
        <v>246</v>
      </c>
      <c r="V602" s="36">
        <v>69.0</v>
      </c>
      <c r="W602" s="36"/>
      <c r="X602" s="38">
        <v>5.0</v>
      </c>
      <c r="Y602" s="38" t="s">
        <v>1159</v>
      </c>
      <c r="Z602" s="38"/>
      <c r="AA602" s="38" t="s">
        <v>86</v>
      </c>
      <c r="AB602" s="38"/>
      <c r="AC602" s="38"/>
      <c r="AD602" s="38"/>
      <c r="AE602" s="38"/>
      <c r="AF602" s="38"/>
      <c r="AG602" s="38"/>
      <c r="AH602" s="38"/>
      <c r="AI602" s="50"/>
      <c r="AJ602" s="50"/>
      <c r="AK602" s="41"/>
      <c r="AL602" s="40"/>
      <c r="AM602" s="49"/>
      <c r="AN602" s="43"/>
      <c r="AO602" s="42"/>
      <c r="AP602" s="43"/>
      <c r="AQ602" s="44" t="str">
        <f t="shared" si="47"/>
        <v>CRO</v>
      </c>
      <c r="AR602" s="44" t="str">
        <f t="shared" si="3"/>
        <v/>
      </c>
      <c r="AS602" s="44"/>
      <c r="AT602" s="44" t="str">
        <f t="shared" si="17"/>
        <v/>
      </c>
      <c r="AU602" s="44" t="str">
        <f t="shared" si="2"/>
        <v/>
      </c>
      <c r="AV602" s="38"/>
      <c r="AW602" s="38"/>
      <c r="AX602" s="38" t="s">
        <v>1148</v>
      </c>
      <c r="AY602" s="38" t="s">
        <v>1149</v>
      </c>
      <c r="AZ602" s="29">
        <v>30.0</v>
      </c>
      <c r="BA602" s="29">
        <v>1.0</v>
      </c>
      <c r="BB602" s="29">
        <v>1.0</v>
      </c>
      <c r="BC602" s="29"/>
      <c r="BD602" s="29" t="s">
        <v>88</v>
      </c>
      <c r="BE602" s="29"/>
      <c r="BF602" s="29" t="s">
        <v>984</v>
      </c>
      <c r="BG602" s="29" t="s">
        <v>572</v>
      </c>
      <c r="BH602" s="29" t="s">
        <v>88</v>
      </c>
      <c r="BI602" s="29" t="s">
        <v>1151</v>
      </c>
      <c r="BJ602" s="29"/>
      <c r="BK602" s="29" t="s">
        <v>180</v>
      </c>
      <c r="BL602" s="29" t="s">
        <v>180</v>
      </c>
      <c r="BM602" s="67"/>
      <c r="BN602" s="67"/>
      <c r="BO602" s="46"/>
      <c r="BP602" s="2" t="s">
        <v>1005</v>
      </c>
      <c r="BQ602" s="3"/>
    </row>
    <row r="603" ht="15.75" customHeight="1">
      <c r="A603" s="34">
        <v>604.0</v>
      </c>
      <c r="B603" s="34">
        <v>103603.0</v>
      </c>
      <c r="C603" s="34" t="s">
        <v>76</v>
      </c>
      <c r="D603" s="34" t="s">
        <v>1141</v>
      </c>
      <c r="E603" s="34" t="s">
        <v>1142</v>
      </c>
      <c r="F603" s="34">
        <v>2017.0</v>
      </c>
      <c r="G603" s="34" t="s">
        <v>1143</v>
      </c>
      <c r="H603" s="34" t="s">
        <v>1144</v>
      </c>
      <c r="I603" s="34" t="s">
        <v>1145</v>
      </c>
      <c r="J603" s="35"/>
      <c r="K603" s="36"/>
      <c r="L603" s="36"/>
      <c r="M603" s="36"/>
      <c r="N603" s="36">
        <v>8.3</v>
      </c>
      <c r="O603" s="36">
        <v>68.1</v>
      </c>
      <c r="P603" s="83">
        <f t="shared" si="50"/>
        <v>12.18795888</v>
      </c>
      <c r="Q603" s="36"/>
      <c r="R603" s="36" t="s">
        <v>96</v>
      </c>
      <c r="S603" s="36" t="s">
        <v>1146</v>
      </c>
      <c r="T603" s="36" t="s">
        <v>506</v>
      </c>
      <c r="U603" s="36" t="s">
        <v>507</v>
      </c>
      <c r="V603" s="36">
        <v>29.0</v>
      </c>
      <c r="W603" s="36"/>
      <c r="X603" s="38">
        <v>1.0</v>
      </c>
      <c r="Y603" s="38" t="s">
        <v>827</v>
      </c>
      <c r="Z603" s="38" t="s">
        <v>828</v>
      </c>
      <c r="AA603" s="38" t="s">
        <v>86</v>
      </c>
      <c r="AB603" s="38">
        <v>40.63</v>
      </c>
      <c r="AC603" s="38">
        <v>117.32</v>
      </c>
      <c r="AD603" s="53" t="s">
        <v>198</v>
      </c>
      <c r="AE603" s="38">
        <v>350.0</v>
      </c>
      <c r="AF603" s="38" t="s">
        <v>1147</v>
      </c>
      <c r="AG603" s="38"/>
      <c r="AH603" s="38">
        <v>26.66</v>
      </c>
      <c r="AI603" s="50">
        <v>40.63</v>
      </c>
      <c r="AJ603" s="50">
        <v>117.32</v>
      </c>
      <c r="AK603" s="41" t="s">
        <v>288</v>
      </c>
      <c r="AL603" s="40" t="s">
        <v>288</v>
      </c>
      <c r="AM603" s="49">
        <v>364.0</v>
      </c>
      <c r="AN603" s="51">
        <v>364.0</v>
      </c>
      <c r="AO603" s="42" t="s">
        <v>218</v>
      </c>
      <c r="AP603" s="43" t="s">
        <v>218</v>
      </c>
      <c r="AQ603" s="44" t="str">
        <f t="shared" si="47"/>
        <v>CRO</v>
      </c>
      <c r="AR603" s="44">
        <f t="shared" si="3"/>
        <v>364</v>
      </c>
      <c r="AS603" s="44" t="str">
        <f t="shared" ref="AS603:AS607" si="55">LEFT(AO603,1)</f>
        <v>D</v>
      </c>
      <c r="AT603" s="44" t="str">
        <f t="shared" si="17"/>
        <v>Dw</v>
      </c>
      <c r="AU603" s="44" t="str">
        <f t="shared" si="2"/>
        <v>Dwa</v>
      </c>
      <c r="AV603" s="38">
        <v>1.0</v>
      </c>
      <c r="AW603" s="38"/>
      <c r="AX603" s="38" t="s">
        <v>1148</v>
      </c>
      <c r="AY603" s="38" t="s">
        <v>1149</v>
      </c>
      <c r="AZ603" s="29">
        <v>30.0</v>
      </c>
      <c r="BA603" s="29">
        <v>1.0</v>
      </c>
      <c r="BB603" s="29">
        <v>1.0</v>
      </c>
      <c r="BC603" s="29"/>
      <c r="BD603" s="29" t="s">
        <v>88</v>
      </c>
      <c r="BE603" s="29"/>
      <c r="BF603" s="29" t="s">
        <v>984</v>
      </c>
      <c r="BG603" s="29" t="s">
        <v>572</v>
      </c>
      <c r="BH603" s="29" t="s">
        <v>88</v>
      </c>
      <c r="BI603" s="29" t="s">
        <v>1151</v>
      </c>
      <c r="BJ603" s="29"/>
      <c r="BK603" s="29" t="s">
        <v>180</v>
      </c>
      <c r="BL603" s="29" t="s">
        <v>180</v>
      </c>
      <c r="BM603" s="67"/>
      <c r="BN603" s="67"/>
      <c r="BO603" s="46"/>
      <c r="BP603" s="2"/>
      <c r="BQ603" s="3"/>
    </row>
    <row r="604" ht="15.75" customHeight="1">
      <c r="A604" s="34">
        <v>605.0</v>
      </c>
      <c r="B604" s="34">
        <v>103603.0</v>
      </c>
      <c r="C604" s="34" t="s">
        <v>76</v>
      </c>
      <c r="D604" s="34" t="s">
        <v>1141</v>
      </c>
      <c r="E604" s="34" t="s">
        <v>1142</v>
      </c>
      <c r="F604" s="34">
        <v>2017.0</v>
      </c>
      <c r="G604" s="34" t="s">
        <v>1143</v>
      </c>
      <c r="H604" s="34" t="s">
        <v>1144</v>
      </c>
      <c r="I604" s="34" t="s">
        <v>1145</v>
      </c>
      <c r="J604" s="35"/>
      <c r="K604" s="36"/>
      <c r="L604" s="36"/>
      <c r="M604" s="36"/>
      <c r="N604" s="36">
        <v>-11.8</v>
      </c>
      <c r="O604" s="36">
        <v>81.9</v>
      </c>
      <c r="P604" s="83">
        <f t="shared" si="50"/>
        <v>-14.40781441</v>
      </c>
      <c r="Q604" s="36"/>
      <c r="R604" s="36" t="s">
        <v>96</v>
      </c>
      <c r="S604" s="36" t="s">
        <v>1146</v>
      </c>
      <c r="T604" s="36" t="s">
        <v>506</v>
      </c>
      <c r="U604" s="36" t="s">
        <v>507</v>
      </c>
      <c r="V604" s="36">
        <v>6.0</v>
      </c>
      <c r="W604" s="36"/>
      <c r="X604" s="38">
        <v>1.0</v>
      </c>
      <c r="Y604" s="38" t="s">
        <v>1152</v>
      </c>
      <c r="Z604" s="38" t="s">
        <v>1152</v>
      </c>
      <c r="AA604" s="38" t="s">
        <v>86</v>
      </c>
      <c r="AB604" s="38">
        <v>39.62</v>
      </c>
      <c r="AC604" s="38">
        <v>116.43</v>
      </c>
      <c r="AD604" s="38" t="s">
        <v>198</v>
      </c>
      <c r="AE604" s="53"/>
      <c r="AF604" s="38" t="s">
        <v>1153</v>
      </c>
      <c r="AG604" s="57"/>
      <c r="AH604" s="38">
        <v>3.0</v>
      </c>
      <c r="AI604" s="50">
        <v>39.62</v>
      </c>
      <c r="AJ604" s="50">
        <v>116.43</v>
      </c>
      <c r="AK604" s="41" t="s">
        <v>86</v>
      </c>
      <c r="AL604" s="40" t="s">
        <v>86</v>
      </c>
      <c r="AM604" s="49">
        <v>28.0</v>
      </c>
      <c r="AN604" s="51">
        <v>28.0</v>
      </c>
      <c r="AO604" s="42" t="s">
        <v>293</v>
      </c>
      <c r="AP604" s="43" t="s">
        <v>293</v>
      </c>
      <c r="AQ604" s="44" t="str">
        <f t="shared" si="47"/>
        <v>CRO</v>
      </c>
      <c r="AR604" s="44">
        <f t="shared" si="3"/>
        <v>28</v>
      </c>
      <c r="AS604" s="44" t="str">
        <f t="shared" si="55"/>
        <v>B</v>
      </c>
      <c r="AT604" s="44" t="str">
        <f t="shared" si="17"/>
        <v>BS</v>
      </c>
      <c r="AU604" s="44" t="str">
        <f t="shared" si="2"/>
        <v>BSk</v>
      </c>
      <c r="AV604" s="38">
        <v>1.0</v>
      </c>
      <c r="AW604" s="38"/>
      <c r="AX604" s="38" t="s">
        <v>1148</v>
      </c>
      <c r="AY604" s="38" t="s">
        <v>1149</v>
      </c>
      <c r="AZ604" s="29">
        <v>30.0</v>
      </c>
      <c r="BA604" s="29">
        <v>1.0</v>
      </c>
      <c r="BB604" s="29">
        <v>1.0</v>
      </c>
      <c r="BC604" s="29"/>
      <c r="BD604" s="29" t="s">
        <v>88</v>
      </c>
      <c r="BE604" s="29"/>
      <c r="BF604" s="29" t="s">
        <v>984</v>
      </c>
      <c r="BG604" s="29" t="s">
        <v>572</v>
      </c>
      <c r="BH604" s="29" t="s">
        <v>88</v>
      </c>
      <c r="BI604" s="29" t="s">
        <v>1151</v>
      </c>
      <c r="BJ604" s="29"/>
      <c r="BK604" s="29" t="s">
        <v>180</v>
      </c>
      <c r="BL604" s="29" t="s">
        <v>180</v>
      </c>
      <c r="BM604" s="67"/>
      <c r="BN604" s="67"/>
      <c r="BO604" s="46"/>
      <c r="BP604" s="2"/>
      <c r="BQ604" s="3"/>
    </row>
    <row r="605" ht="15.75" customHeight="1">
      <c r="A605" s="34">
        <v>606.0</v>
      </c>
      <c r="B605" s="34">
        <v>103603.0</v>
      </c>
      <c r="C605" s="34" t="s">
        <v>76</v>
      </c>
      <c r="D605" s="34" t="s">
        <v>1141</v>
      </c>
      <c r="E605" s="34" t="s">
        <v>1142</v>
      </c>
      <c r="F605" s="34">
        <v>2017.0</v>
      </c>
      <c r="G605" s="34" t="s">
        <v>1143</v>
      </c>
      <c r="H605" s="34" t="s">
        <v>1144</v>
      </c>
      <c r="I605" s="34" t="s">
        <v>1145</v>
      </c>
      <c r="J605" s="35"/>
      <c r="K605" s="36"/>
      <c r="L605" s="36"/>
      <c r="M605" s="36"/>
      <c r="N605" s="36">
        <v>-1.3</v>
      </c>
      <c r="O605" s="36">
        <v>54.0</v>
      </c>
      <c r="P605" s="83">
        <f t="shared" si="50"/>
        <v>-2.407407407</v>
      </c>
      <c r="Q605" s="36"/>
      <c r="R605" s="36" t="s">
        <v>96</v>
      </c>
      <c r="S605" s="36" t="s">
        <v>1146</v>
      </c>
      <c r="T605" s="36" t="s">
        <v>506</v>
      </c>
      <c r="U605" s="36" t="s">
        <v>507</v>
      </c>
      <c r="V605" s="36">
        <v>14.0</v>
      </c>
      <c r="W605" s="36"/>
      <c r="X605" s="38">
        <v>1.0</v>
      </c>
      <c r="Y605" s="38" t="s">
        <v>819</v>
      </c>
      <c r="Z605" s="38" t="s">
        <v>1163</v>
      </c>
      <c r="AA605" s="38" t="s">
        <v>86</v>
      </c>
      <c r="AB605" s="38">
        <v>36.52</v>
      </c>
      <c r="AC605" s="38">
        <v>115.13</v>
      </c>
      <c r="AD605" s="38" t="s">
        <v>198</v>
      </c>
      <c r="AE605" s="53"/>
      <c r="AF605" s="38" t="s">
        <v>1154</v>
      </c>
      <c r="AG605" s="57"/>
      <c r="AH605" s="38">
        <v>15.6</v>
      </c>
      <c r="AI605" s="50">
        <v>36.515</v>
      </c>
      <c r="AJ605" s="50">
        <v>115.126</v>
      </c>
      <c r="AK605" s="41" t="s">
        <v>86</v>
      </c>
      <c r="AL605" s="40" t="s">
        <v>86</v>
      </c>
      <c r="AM605" s="49">
        <v>42.0</v>
      </c>
      <c r="AN605" s="51">
        <v>42.0</v>
      </c>
      <c r="AO605" s="42" t="s">
        <v>293</v>
      </c>
      <c r="AP605" s="43" t="s">
        <v>293</v>
      </c>
      <c r="AQ605" s="44" t="str">
        <f t="shared" si="47"/>
        <v>CRO</v>
      </c>
      <c r="AR605" s="44">
        <f t="shared" si="3"/>
        <v>42</v>
      </c>
      <c r="AS605" s="44" t="str">
        <f t="shared" si="55"/>
        <v>B</v>
      </c>
      <c r="AT605" s="44" t="str">
        <f t="shared" si="17"/>
        <v>BS</v>
      </c>
      <c r="AU605" s="44" t="str">
        <f t="shared" si="2"/>
        <v>BSk</v>
      </c>
      <c r="AV605" s="38">
        <v>1.0</v>
      </c>
      <c r="AW605" s="38"/>
      <c r="AX605" s="38" t="s">
        <v>1148</v>
      </c>
      <c r="AY605" s="38" t="s">
        <v>1149</v>
      </c>
      <c r="AZ605" s="29">
        <v>30.0</v>
      </c>
      <c r="BA605" s="29">
        <v>1.0</v>
      </c>
      <c r="BB605" s="29">
        <v>1.0</v>
      </c>
      <c r="BC605" s="29"/>
      <c r="BD605" s="29" t="s">
        <v>88</v>
      </c>
      <c r="BE605" s="29"/>
      <c r="BF605" s="29" t="s">
        <v>984</v>
      </c>
      <c r="BG605" s="29" t="s">
        <v>572</v>
      </c>
      <c r="BH605" s="29" t="s">
        <v>88</v>
      </c>
      <c r="BI605" s="29" t="s">
        <v>1151</v>
      </c>
      <c r="BJ605" s="29"/>
      <c r="BK605" s="29" t="s">
        <v>180</v>
      </c>
      <c r="BL605" s="29" t="s">
        <v>180</v>
      </c>
      <c r="BM605" s="67"/>
      <c r="BN605" s="67"/>
      <c r="BO605" s="46"/>
      <c r="BP605" s="2"/>
      <c r="BQ605" s="3"/>
    </row>
    <row r="606" ht="15.75" customHeight="1">
      <c r="A606" s="34">
        <v>607.0</v>
      </c>
      <c r="B606" s="34">
        <v>103603.0</v>
      </c>
      <c r="C606" s="34" t="s">
        <v>76</v>
      </c>
      <c r="D606" s="34" t="s">
        <v>1141</v>
      </c>
      <c r="E606" s="34" t="s">
        <v>1142</v>
      </c>
      <c r="F606" s="34">
        <v>2017.0</v>
      </c>
      <c r="G606" s="34" t="s">
        <v>1143</v>
      </c>
      <c r="H606" s="34" t="s">
        <v>1144</v>
      </c>
      <c r="I606" s="34" t="s">
        <v>1145</v>
      </c>
      <c r="J606" s="35"/>
      <c r="K606" s="36"/>
      <c r="L606" s="36"/>
      <c r="M606" s="36"/>
      <c r="N606" s="36">
        <v>4.7</v>
      </c>
      <c r="O606" s="36">
        <v>56.6</v>
      </c>
      <c r="P606" s="83">
        <f t="shared" si="50"/>
        <v>8.303886926</v>
      </c>
      <c r="Q606" s="36"/>
      <c r="R606" s="36" t="s">
        <v>96</v>
      </c>
      <c r="S606" s="36" t="s">
        <v>1146</v>
      </c>
      <c r="T606" s="36" t="s">
        <v>167</v>
      </c>
      <c r="U606" s="36" t="s">
        <v>246</v>
      </c>
      <c r="V606" s="36">
        <v>15.0</v>
      </c>
      <c r="W606" s="36"/>
      <c r="X606" s="38">
        <v>1.0</v>
      </c>
      <c r="Y606" s="38" t="s">
        <v>1155</v>
      </c>
      <c r="Z606" s="38" t="s">
        <v>1155</v>
      </c>
      <c r="AA606" s="38" t="s">
        <v>86</v>
      </c>
      <c r="AB606" s="38">
        <v>40.35</v>
      </c>
      <c r="AC606" s="38">
        <v>115.79</v>
      </c>
      <c r="AD606" s="38" t="s">
        <v>198</v>
      </c>
      <c r="AE606" s="53"/>
      <c r="AF606" s="38" t="s">
        <v>1048</v>
      </c>
      <c r="AG606" s="57"/>
      <c r="AH606" s="38">
        <v>5.0</v>
      </c>
      <c r="AI606" s="50">
        <v>40.35</v>
      </c>
      <c r="AJ606" s="50">
        <v>115.79</v>
      </c>
      <c r="AK606" s="41" t="s">
        <v>86</v>
      </c>
      <c r="AL606" s="40" t="s">
        <v>86</v>
      </c>
      <c r="AM606" s="49">
        <v>480.0</v>
      </c>
      <c r="AN606" s="51">
        <v>480.0</v>
      </c>
      <c r="AO606" s="42" t="s">
        <v>293</v>
      </c>
      <c r="AP606" s="43" t="s">
        <v>293</v>
      </c>
      <c r="AQ606" s="44" t="str">
        <f t="shared" si="47"/>
        <v>CRO</v>
      </c>
      <c r="AR606" s="44">
        <f t="shared" si="3"/>
        <v>480</v>
      </c>
      <c r="AS606" s="44" t="str">
        <f t="shared" si="55"/>
        <v>B</v>
      </c>
      <c r="AT606" s="44" t="str">
        <f t="shared" si="17"/>
        <v>BS</v>
      </c>
      <c r="AU606" s="44" t="str">
        <f t="shared" si="2"/>
        <v>BSk</v>
      </c>
      <c r="AV606" s="38">
        <v>1.0</v>
      </c>
      <c r="AW606" s="38"/>
      <c r="AX606" s="38" t="s">
        <v>1148</v>
      </c>
      <c r="AY606" s="38" t="s">
        <v>1149</v>
      </c>
      <c r="AZ606" s="29">
        <v>30.0</v>
      </c>
      <c r="BA606" s="29">
        <v>1.0</v>
      </c>
      <c r="BB606" s="29">
        <v>1.0</v>
      </c>
      <c r="BC606" s="29"/>
      <c r="BD606" s="29" t="s">
        <v>88</v>
      </c>
      <c r="BE606" s="29"/>
      <c r="BF606" s="29" t="s">
        <v>984</v>
      </c>
      <c r="BG606" s="29" t="s">
        <v>572</v>
      </c>
      <c r="BH606" s="29" t="s">
        <v>88</v>
      </c>
      <c r="BI606" s="29" t="s">
        <v>1151</v>
      </c>
      <c r="BJ606" s="29"/>
      <c r="BK606" s="29" t="s">
        <v>180</v>
      </c>
      <c r="BL606" s="29" t="s">
        <v>180</v>
      </c>
      <c r="BM606" s="67"/>
      <c r="BN606" s="67"/>
      <c r="BO606" s="46"/>
      <c r="BP606" s="2"/>
      <c r="BQ606" s="3"/>
    </row>
    <row r="607" ht="15.75" customHeight="1">
      <c r="A607" s="34">
        <v>608.0</v>
      </c>
      <c r="B607" s="34">
        <v>103603.0</v>
      </c>
      <c r="C607" s="34" t="s">
        <v>76</v>
      </c>
      <c r="D607" s="34" t="s">
        <v>1141</v>
      </c>
      <c r="E607" s="34" t="s">
        <v>1142</v>
      </c>
      <c r="F607" s="34">
        <v>2017.0</v>
      </c>
      <c r="G607" s="34" t="s">
        <v>1143</v>
      </c>
      <c r="H607" s="34" t="s">
        <v>1144</v>
      </c>
      <c r="I607" s="34" t="s">
        <v>1145</v>
      </c>
      <c r="J607" s="35"/>
      <c r="K607" s="36"/>
      <c r="L607" s="36"/>
      <c r="M607" s="36"/>
      <c r="N607" s="36">
        <v>-20.5</v>
      </c>
      <c r="O607" s="36">
        <v>143.9</v>
      </c>
      <c r="P607" s="83">
        <f t="shared" si="50"/>
        <v>-14.24600417</v>
      </c>
      <c r="Q607" s="36"/>
      <c r="R607" s="36" t="s">
        <v>96</v>
      </c>
      <c r="S607" s="36" t="s">
        <v>1146</v>
      </c>
      <c r="T607" s="36" t="s">
        <v>1156</v>
      </c>
      <c r="U607" s="36" t="s">
        <v>1157</v>
      </c>
      <c r="V607" s="36">
        <v>5.0</v>
      </c>
      <c r="W607" s="36"/>
      <c r="X607" s="38">
        <v>1.0</v>
      </c>
      <c r="Y607" s="53" t="s">
        <v>256</v>
      </c>
      <c r="Z607" s="38" t="s">
        <v>257</v>
      </c>
      <c r="AA607" s="38" t="s">
        <v>86</v>
      </c>
      <c r="AB607" s="38">
        <v>38.86</v>
      </c>
      <c r="AC607" s="38">
        <v>100.37</v>
      </c>
      <c r="AD607" s="53" t="s">
        <v>198</v>
      </c>
      <c r="AE607" s="53"/>
      <c r="AF607" s="38" t="s">
        <v>1158</v>
      </c>
      <c r="AG607" s="57"/>
      <c r="AH607" s="38">
        <v>4.5</v>
      </c>
      <c r="AI607" s="50">
        <v>38.875</v>
      </c>
      <c r="AJ607" s="50">
        <v>100.375</v>
      </c>
      <c r="AK607" s="41" t="s">
        <v>86</v>
      </c>
      <c r="AL607" s="40" t="s">
        <v>86</v>
      </c>
      <c r="AM607" s="49">
        <v>1554.0</v>
      </c>
      <c r="AN607" s="51">
        <v>1554.0</v>
      </c>
      <c r="AO607" s="42" t="s">
        <v>261</v>
      </c>
      <c r="AP607" s="43" t="s">
        <v>261</v>
      </c>
      <c r="AQ607" s="44" t="str">
        <f t="shared" si="47"/>
        <v>CRO</v>
      </c>
      <c r="AR607" s="44">
        <f t="shared" si="3"/>
        <v>1554</v>
      </c>
      <c r="AS607" s="44" t="str">
        <f t="shared" si="55"/>
        <v>B</v>
      </c>
      <c r="AT607" s="44" t="str">
        <f t="shared" si="17"/>
        <v>BW</v>
      </c>
      <c r="AU607" s="44" t="str">
        <f t="shared" si="2"/>
        <v>BWk</v>
      </c>
      <c r="AV607" s="38">
        <v>1.0</v>
      </c>
      <c r="AW607" s="38"/>
      <c r="AX607" s="38" t="s">
        <v>1148</v>
      </c>
      <c r="AY607" s="38" t="s">
        <v>1149</v>
      </c>
      <c r="AZ607" s="29">
        <v>30.0</v>
      </c>
      <c r="BA607" s="29">
        <v>1.0</v>
      </c>
      <c r="BB607" s="29">
        <v>1.0</v>
      </c>
      <c r="BC607" s="29"/>
      <c r="BD607" s="29" t="s">
        <v>88</v>
      </c>
      <c r="BE607" s="29"/>
      <c r="BF607" s="29" t="s">
        <v>984</v>
      </c>
      <c r="BG607" s="29" t="s">
        <v>572</v>
      </c>
      <c r="BH607" s="29" t="s">
        <v>88</v>
      </c>
      <c r="BI607" s="29" t="s">
        <v>1151</v>
      </c>
      <c r="BJ607" s="29"/>
      <c r="BK607" s="29" t="s">
        <v>180</v>
      </c>
      <c r="BL607" s="29" t="s">
        <v>180</v>
      </c>
      <c r="BM607" s="67"/>
      <c r="BN607" s="67"/>
      <c r="BO607" s="46"/>
      <c r="BP607" s="2"/>
      <c r="BQ607" s="3"/>
    </row>
    <row r="608" ht="15.75" customHeight="1">
      <c r="A608" s="34">
        <v>609.0</v>
      </c>
      <c r="B608" s="34">
        <v>103603.0</v>
      </c>
      <c r="C608" s="34" t="s">
        <v>76</v>
      </c>
      <c r="D608" s="34" t="s">
        <v>1141</v>
      </c>
      <c r="E608" s="34" t="s">
        <v>1142</v>
      </c>
      <c r="F608" s="34">
        <v>2017.0</v>
      </c>
      <c r="G608" s="34" t="s">
        <v>1143</v>
      </c>
      <c r="H608" s="34" t="s">
        <v>1144</v>
      </c>
      <c r="I608" s="34" t="s">
        <v>1145</v>
      </c>
      <c r="J608" s="35"/>
      <c r="K608" s="36"/>
      <c r="L608" s="36"/>
      <c r="M608" s="36"/>
      <c r="N608" s="36">
        <v>1.7</v>
      </c>
      <c r="O608" s="36">
        <v>69.4</v>
      </c>
      <c r="P608" s="83">
        <f t="shared" si="50"/>
        <v>2.449567723</v>
      </c>
      <c r="Q608" s="36"/>
      <c r="R608" s="36" t="s">
        <v>96</v>
      </c>
      <c r="S608" s="36" t="s">
        <v>1146</v>
      </c>
      <c r="T608" s="36" t="s">
        <v>506</v>
      </c>
      <c r="U608" s="36" t="s">
        <v>246</v>
      </c>
      <c r="V608" s="36">
        <v>69.0</v>
      </c>
      <c r="W608" s="36"/>
      <c r="X608" s="38">
        <v>5.0</v>
      </c>
      <c r="Y608" s="38" t="s">
        <v>1159</v>
      </c>
      <c r="Z608" s="38"/>
      <c r="AA608" s="38" t="s">
        <v>86</v>
      </c>
      <c r="AB608" s="38"/>
      <c r="AC608" s="38"/>
      <c r="AD608" s="38"/>
      <c r="AE608" s="38"/>
      <c r="AF608" s="38"/>
      <c r="AG608" s="38"/>
      <c r="AH608" s="38"/>
      <c r="AI608" s="50"/>
      <c r="AJ608" s="50"/>
      <c r="AK608" s="41"/>
      <c r="AL608" s="40"/>
      <c r="AM608" s="49"/>
      <c r="AN608" s="43"/>
      <c r="AO608" s="42"/>
      <c r="AP608" s="43"/>
      <c r="AQ608" s="44" t="str">
        <f t="shared" si="47"/>
        <v>CRO</v>
      </c>
      <c r="AR608" s="44" t="str">
        <f t="shared" si="3"/>
        <v/>
      </c>
      <c r="AS608" s="44"/>
      <c r="AT608" s="44" t="str">
        <f t="shared" si="17"/>
        <v/>
      </c>
      <c r="AU608" s="44" t="str">
        <f t="shared" si="2"/>
        <v/>
      </c>
      <c r="AV608" s="38"/>
      <c r="AW608" s="38"/>
      <c r="AX608" s="38" t="s">
        <v>1148</v>
      </c>
      <c r="AY608" s="38" t="s">
        <v>1149</v>
      </c>
      <c r="AZ608" s="29">
        <v>30.0</v>
      </c>
      <c r="BA608" s="29">
        <v>1.0</v>
      </c>
      <c r="BB608" s="29">
        <v>1.0</v>
      </c>
      <c r="BC608" s="29"/>
      <c r="BD608" s="29" t="s">
        <v>88</v>
      </c>
      <c r="BE608" s="29"/>
      <c r="BF608" s="29" t="s">
        <v>984</v>
      </c>
      <c r="BG608" s="29" t="s">
        <v>572</v>
      </c>
      <c r="BH608" s="29" t="s">
        <v>88</v>
      </c>
      <c r="BI608" s="29" t="s">
        <v>1151</v>
      </c>
      <c r="BJ608" s="29"/>
      <c r="BK608" s="29" t="s">
        <v>180</v>
      </c>
      <c r="BL608" s="29" t="s">
        <v>180</v>
      </c>
      <c r="BM608" s="67"/>
      <c r="BN608" s="67"/>
      <c r="BO608" s="46"/>
      <c r="BP608" s="2"/>
      <c r="BQ608" s="3"/>
    </row>
    <row r="609" ht="15.75" customHeight="1">
      <c r="A609" s="34">
        <v>612.0</v>
      </c>
      <c r="B609" s="34">
        <v>103482.0</v>
      </c>
      <c r="C609" s="34" t="s">
        <v>76</v>
      </c>
      <c r="D609" s="34" t="s">
        <v>1164</v>
      </c>
      <c r="E609" s="34" t="s">
        <v>1165</v>
      </c>
      <c r="F609" s="34">
        <v>2017.0</v>
      </c>
      <c r="G609" s="34" t="s">
        <v>1166</v>
      </c>
      <c r="H609" s="34" t="s">
        <v>80</v>
      </c>
      <c r="I609" s="34" t="s">
        <v>1167</v>
      </c>
      <c r="J609" s="35"/>
      <c r="K609" s="36"/>
      <c r="L609" s="36"/>
      <c r="M609" s="36">
        <v>0.17</v>
      </c>
      <c r="N609" s="48">
        <f>M609*11.57407407</f>
        <v>1.967592592</v>
      </c>
      <c r="O609" s="36">
        <f>9.16*11.57407407</f>
        <v>106.0185185</v>
      </c>
      <c r="P609" s="37">
        <v>9.24</v>
      </c>
      <c r="Q609" s="36" t="s">
        <v>96</v>
      </c>
      <c r="R609" s="36" t="s">
        <v>82</v>
      </c>
      <c r="S609" s="36">
        <v>30.0</v>
      </c>
      <c r="T609" s="36" t="s">
        <v>167</v>
      </c>
      <c r="U609" s="36" t="s">
        <v>246</v>
      </c>
      <c r="V609" s="36"/>
      <c r="W609" s="36" t="s">
        <v>169</v>
      </c>
      <c r="X609" s="38">
        <v>1.0</v>
      </c>
      <c r="Y609" s="38" t="s">
        <v>1168</v>
      </c>
      <c r="Z609" s="38" t="s">
        <v>1169</v>
      </c>
      <c r="AA609" s="38" t="s">
        <v>86</v>
      </c>
      <c r="AB609" s="38" t="s">
        <v>1170</v>
      </c>
      <c r="AC609" s="38" t="s">
        <v>1171</v>
      </c>
      <c r="AD609" s="39" t="s">
        <v>87</v>
      </c>
      <c r="AE609" s="38">
        <v>17.0</v>
      </c>
      <c r="AF609" s="38" t="s">
        <v>528</v>
      </c>
      <c r="AG609" s="38" t="s">
        <v>201</v>
      </c>
      <c r="AH609" s="38"/>
      <c r="AI609" s="50">
        <v>39.058743</v>
      </c>
      <c r="AJ609" s="50">
        <v>-75.851282</v>
      </c>
      <c r="AK609" s="41" t="s">
        <v>86</v>
      </c>
      <c r="AL609" s="40" t="s">
        <v>86</v>
      </c>
      <c r="AM609" s="49">
        <v>17.0</v>
      </c>
      <c r="AN609" s="51">
        <v>17.0</v>
      </c>
      <c r="AO609" s="42" t="s">
        <v>201</v>
      </c>
      <c r="AP609" s="43" t="s">
        <v>201</v>
      </c>
      <c r="AQ609" s="44" t="str">
        <f t="shared" si="47"/>
        <v>CRO</v>
      </c>
      <c r="AR609" s="44">
        <f t="shared" si="3"/>
        <v>17</v>
      </c>
      <c r="AS609" s="44" t="str">
        <f t="shared" ref="AS609:AS684" si="56">LEFT(AO609,1)</f>
        <v>C</v>
      </c>
      <c r="AT609" s="44" t="str">
        <f t="shared" si="17"/>
        <v>Cf</v>
      </c>
      <c r="AU609" s="44" t="str">
        <f t="shared" si="2"/>
        <v>Cfa</v>
      </c>
      <c r="AV609" s="38">
        <v>2.0</v>
      </c>
      <c r="AW609" s="38"/>
      <c r="AX609" s="38"/>
      <c r="AY609" s="38"/>
      <c r="AZ609" s="29">
        <v>30.0</v>
      </c>
      <c r="BA609" s="29"/>
      <c r="BB609" s="29">
        <v>1.0</v>
      </c>
      <c r="BC609" s="29"/>
      <c r="BD609" s="29" t="s">
        <v>88</v>
      </c>
      <c r="BE609" s="29"/>
      <c r="BF609" s="29" t="s">
        <v>1172</v>
      </c>
      <c r="BG609" s="29" t="s">
        <v>91</v>
      </c>
      <c r="BH609" s="29" t="s">
        <v>92</v>
      </c>
      <c r="BI609" s="29" t="s">
        <v>1173</v>
      </c>
      <c r="BJ609" s="84" t="s">
        <v>1174</v>
      </c>
      <c r="BK609" s="29" t="s">
        <v>148</v>
      </c>
      <c r="BL609" s="29" t="s">
        <v>148</v>
      </c>
      <c r="BM609" s="45"/>
      <c r="BN609" s="45">
        <v>1.0</v>
      </c>
      <c r="BO609" s="46" t="s">
        <v>1175</v>
      </c>
      <c r="BP609" s="2"/>
      <c r="BQ609" s="3"/>
    </row>
    <row r="610" ht="15.75" customHeight="1">
      <c r="A610" s="34">
        <v>613.0</v>
      </c>
      <c r="B610" s="34">
        <v>103482.0</v>
      </c>
      <c r="C610" s="34" t="s">
        <v>76</v>
      </c>
      <c r="D610" s="34" t="s">
        <v>1164</v>
      </c>
      <c r="E610" s="34" t="s">
        <v>1165</v>
      </c>
      <c r="F610" s="34">
        <v>2017.0</v>
      </c>
      <c r="G610" s="34" t="s">
        <v>1166</v>
      </c>
      <c r="H610" s="34" t="s">
        <v>80</v>
      </c>
      <c r="I610" s="34" t="s">
        <v>1167</v>
      </c>
      <c r="J610" s="35"/>
      <c r="K610" s="36">
        <v>0.16</v>
      </c>
      <c r="L610" s="36"/>
      <c r="M610" s="36"/>
      <c r="N610" s="36"/>
      <c r="O610" s="36"/>
      <c r="P610" s="37">
        <v>17.0</v>
      </c>
      <c r="Q610" s="36" t="s">
        <v>96</v>
      </c>
      <c r="R610" s="36" t="s">
        <v>96</v>
      </c>
      <c r="S610" s="36">
        <v>30.0</v>
      </c>
      <c r="T610" s="36" t="s">
        <v>167</v>
      </c>
      <c r="U610" s="36" t="s">
        <v>246</v>
      </c>
      <c r="V610" s="36"/>
      <c r="W610" s="36" t="s">
        <v>169</v>
      </c>
      <c r="X610" s="38">
        <v>1.0</v>
      </c>
      <c r="Y610" s="38" t="s">
        <v>1168</v>
      </c>
      <c r="Z610" s="38" t="s">
        <v>1169</v>
      </c>
      <c r="AA610" s="38" t="s">
        <v>86</v>
      </c>
      <c r="AB610" s="38" t="s">
        <v>1170</v>
      </c>
      <c r="AC610" s="38" t="s">
        <v>1171</v>
      </c>
      <c r="AD610" s="39" t="s">
        <v>87</v>
      </c>
      <c r="AE610" s="38">
        <v>17.0</v>
      </c>
      <c r="AF610" s="38" t="s">
        <v>528</v>
      </c>
      <c r="AG610" s="38" t="s">
        <v>201</v>
      </c>
      <c r="AH610" s="38"/>
      <c r="AI610" s="50">
        <v>39.058743</v>
      </c>
      <c r="AJ610" s="50">
        <v>-75.851282</v>
      </c>
      <c r="AK610" s="41" t="s">
        <v>86</v>
      </c>
      <c r="AL610" s="40" t="s">
        <v>86</v>
      </c>
      <c r="AM610" s="49">
        <v>17.0</v>
      </c>
      <c r="AN610" s="51">
        <v>17.0</v>
      </c>
      <c r="AO610" s="42" t="s">
        <v>201</v>
      </c>
      <c r="AP610" s="43" t="s">
        <v>201</v>
      </c>
      <c r="AQ610" s="44" t="str">
        <f t="shared" si="47"/>
        <v>CRO</v>
      </c>
      <c r="AR610" s="44">
        <f t="shared" si="3"/>
        <v>17</v>
      </c>
      <c r="AS610" s="44" t="str">
        <f t="shared" si="56"/>
        <v>C</v>
      </c>
      <c r="AT610" s="44" t="str">
        <f t="shared" si="17"/>
        <v>Cf</v>
      </c>
      <c r="AU610" s="44" t="str">
        <f t="shared" si="2"/>
        <v>Cfa</v>
      </c>
      <c r="AV610" s="38">
        <v>2.0</v>
      </c>
      <c r="AW610" s="38"/>
      <c r="AX610" s="38"/>
      <c r="AY610" s="38"/>
      <c r="AZ610" s="29">
        <v>30.0</v>
      </c>
      <c r="BA610" s="29"/>
      <c r="BB610" s="29">
        <v>1.0</v>
      </c>
      <c r="BC610" s="29"/>
      <c r="BD610" s="29" t="s">
        <v>88</v>
      </c>
      <c r="BE610" s="29"/>
      <c r="BF610" s="29" t="s">
        <v>1172</v>
      </c>
      <c r="BG610" s="29" t="s">
        <v>91</v>
      </c>
      <c r="BH610" s="29" t="s">
        <v>92</v>
      </c>
      <c r="BI610" s="29" t="s">
        <v>1173</v>
      </c>
      <c r="BJ610" s="84" t="s">
        <v>1176</v>
      </c>
      <c r="BK610" s="29" t="s">
        <v>1177</v>
      </c>
      <c r="BL610" s="29" t="s">
        <v>1178</v>
      </c>
      <c r="BM610" s="45"/>
      <c r="BN610" s="45">
        <v>1.0</v>
      </c>
      <c r="BO610" s="46" t="s">
        <v>1175</v>
      </c>
      <c r="BP610" s="2"/>
      <c r="BQ610" s="3"/>
    </row>
    <row r="611" ht="15.75" customHeight="1">
      <c r="A611" s="34">
        <v>614.0</v>
      </c>
      <c r="B611" s="34">
        <v>103482.0</v>
      </c>
      <c r="C611" s="34" t="s">
        <v>76</v>
      </c>
      <c r="D611" s="34" t="s">
        <v>1164</v>
      </c>
      <c r="E611" s="34" t="s">
        <v>1165</v>
      </c>
      <c r="F611" s="34">
        <v>2017.0</v>
      </c>
      <c r="G611" s="34" t="s">
        <v>1166</v>
      </c>
      <c r="H611" s="34" t="s">
        <v>80</v>
      </c>
      <c r="I611" s="34" t="s">
        <v>1167</v>
      </c>
      <c r="J611" s="35"/>
      <c r="K611" s="36">
        <v>0.45</v>
      </c>
      <c r="L611" s="36"/>
      <c r="M611" s="36"/>
      <c r="N611" s="36"/>
      <c r="O611" s="36"/>
      <c r="P611" s="37">
        <v>27.0</v>
      </c>
      <c r="Q611" s="36" t="s">
        <v>96</v>
      </c>
      <c r="R611" s="36" t="s">
        <v>96</v>
      </c>
      <c r="S611" s="36">
        <v>30.0</v>
      </c>
      <c r="T611" s="36" t="s">
        <v>167</v>
      </c>
      <c r="U611" s="36" t="s">
        <v>246</v>
      </c>
      <c r="V611" s="36"/>
      <c r="W611" s="36" t="s">
        <v>169</v>
      </c>
      <c r="X611" s="38">
        <v>1.0</v>
      </c>
      <c r="Y611" s="38" t="s">
        <v>1168</v>
      </c>
      <c r="Z611" s="38" t="s">
        <v>1169</v>
      </c>
      <c r="AA611" s="38" t="s">
        <v>86</v>
      </c>
      <c r="AB611" s="38" t="s">
        <v>1170</v>
      </c>
      <c r="AC611" s="38" t="s">
        <v>1171</v>
      </c>
      <c r="AD611" s="39" t="s">
        <v>87</v>
      </c>
      <c r="AE611" s="38">
        <v>17.0</v>
      </c>
      <c r="AF611" s="38" t="s">
        <v>528</v>
      </c>
      <c r="AG611" s="38" t="s">
        <v>201</v>
      </c>
      <c r="AH611" s="38"/>
      <c r="AI611" s="50">
        <v>39.058743</v>
      </c>
      <c r="AJ611" s="50">
        <v>-75.851282</v>
      </c>
      <c r="AK611" s="41" t="s">
        <v>86</v>
      </c>
      <c r="AL611" s="40" t="s">
        <v>86</v>
      </c>
      <c r="AM611" s="49">
        <v>17.0</v>
      </c>
      <c r="AN611" s="51">
        <v>17.0</v>
      </c>
      <c r="AO611" s="42" t="s">
        <v>201</v>
      </c>
      <c r="AP611" s="43" t="s">
        <v>201</v>
      </c>
      <c r="AQ611" s="44" t="str">
        <f t="shared" si="47"/>
        <v>CRO</v>
      </c>
      <c r="AR611" s="44">
        <f t="shared" si="3"/>
        <v>17</v>
      </c>
      <c r="AS611" s="44" t="str">
        <f t="shared" si="56"/>
        <v>C</v>
      </c>
      <c r="AT611" s="44" t="str">
        <f t="shared" si="17"/>
        <v>Cf</v>
      </c>
      <c r="AU611" s="44" t="str">
        <f t="shared" si="2"/>
        <v>Cfa</v>
      </c>
      <c r="AV611" s="38">
        <v>2.0</v>
      </c>
      <c r="AW611" s="38"/>
      <c r="AX611" s="38"/>
      <c r="AY611" s="38"/>
      <c r="AZ611" s="29">
        <v>30.0</v>
      </c>
      <c r="BA611" s="29"/>
      <c r="BB611" s="29">
        <v>1.0</v>
      </c>
      <c r="BC611" s="29"/>
      <c r="BD611" s="29" t="s">
        <v>88</v>
      </c>
      <c r="BE611" s="29"/>
      <c r="BF611" s="29" t="s">
        <v>1172</v>
      </c>
      <c r="BG611" s="29" t="s">
        <v>91</v>
      </c>
      <c r="BH611" s="29" t="s">
        <v>92</v>
      </c>
      <c r="BI611" s="29" t="s">
        <v>1173</v>
      </c>
      <c r="BJ611" s="84" t="s">
        <v>1179</v>
      </c>
      <c r="BK611" s="29" t="s">
        <v>180</v>
      </c>
      <c r="BL611" s="29" t="s">
        <v>180</v>
      </c>
      <c r="BM611" s="45"/>
      <c r="BN611" s="45">
        <v>1.0</v>
      </c>
      <c r="BO611" s="46" t="s">
        <v>1175</v>
      </c>
      <c r="BP611" s="2" t="s">
        <v>1180</v>
      </c>
      <c r="BQ611" s="3"/>
    </row>
    <row r="612" ht="15.75" customHeight="1">
      <c r="A612" s="34">
        <v>615.0</v>
      </c>
      <c r="B612" s="34">
        <v>101454.0</v>
      </c>
      <c r="C612" s="34" t="s">
        <v>76</v>
      </c>
      <c r="D612" s="34" t="s">
        <v>1181</v>
      </c>
      <c r="E612" s="34" t="s">
        <v>1182</v>
      </c>
      <c r="F612" s="34">
        <v>2014.0</v>
      </c>
      <c r="G612" s="34" t="s">
        <v>1183</v>
      </c>
      <c r="H612" s="34" t="s">
        <v>1184</v>
      </c>
      <c r="I612" s="34" t="s">
        <v>1185</v>
      </c>
      <c r="J612" s="35"/>
      <c r="K612" s="36">
        <v>-0.23</v>
      </c>
      <c r="L612" s="36">
        <v>3.81</v>
      </c>
      <c r="M612" s="36"/>
      <c r="N612" s="36"/>
      <c r="O612" s="36"/>
      <c r="P612" s="37">
        <v>-6.0</v>
      </c>
      <c r="Q612" s="36" t="s">
        <v>96</v>
      </c>
      <c r="R612" s="36" t="s">
        <v>96</v>
      </c>
      <c r="S612" s="36">
        <v>10000.0</v>
      </c>
      <c r="T612" s="36" t="s">
        <v>317</v>
      </c>
      <c r="U612" s="36" t="s">
        <v>285</v>
      </c>
      <c r="V612" s="36"/>
      <c r="W612" s="36" t="s">
        <v>169</v>
      </c>
      <c r="X612" s="38">
        <v>1.0</v>
      </c>
      <c r="Y612" s="38" t="s">
        <v>1186</v>
      </c>
      <c r="Z612" s="38" t="s">
        <v>1187</v>
      </c>
      <c r="AA612" s="38" t="s">
        <v>86</v>
      </c>
      <c r="AB612" s="38" t="s">
        <v>1188</v>
      </c>
      <c r="AC612" s="38" t="s">
        <v>1189</v>
      </c>
      <c r="AD612" s="38" t="s">
        <v>198</v>
      </c>
      <c r="AE612" s="53"/>
      <c r="AF612" s="38"/>
      <c r="AG612" s="38"/>
      <c r="AH612" s="38"/>
      <c r="AI612" s="50">
        <v>42.05</v>
      </c>
      <c r="AJ612" s="50">
        <v>116.67</v>
      </c>
      <c r="AK612" s="41" t="s">
        <v>288</v>
      </c>
      <c r="AL612" s="40" t="s">
        <v>288</v>
      </c>
      <c r="AM612" s="49">
        <v>1335.0</v>
      </c>
      <c r="AN612" s="51">
        <v>1335.0</v>
      </c>
      <c r="AO612" s="42" t="s">
        <v>584</v>
      </c>
      <c r="AP612" s="43" t="s">
        <v>584</v>
      </c>
      <c r="AQ612" s="44" t="str">
        <f t="shared" si="47"/>
        <v>CRO</v>
      </c>
      <c r="AR612" s="44">
        <f t="shared" si="3"/>
        <v>1335</v>
      </c>
      <c r="AS612" s="44" t="str">
        <f t="shared" si="56"/>
        <v>D</v>
      </c>
      <c r="AT612" s="44" t="str">
        <f t="shared" si="17"/>
        <v>Dw</v>
      </c>
      <c r="AU612" s="44" t="str">
        <f t="shared" si="2"/>
        <v>Dwb</v>
      </c>
      <c r="AV612" s="38">
        <v>1.0</v>
      </c>
      <c r="AW612" s="38"/>
      <c r="AX612" s="38"/>
      <c r="AY612" s="38"/>
      <c r="AZ612" s="29">
        <v>10000.0</v>
      </c>
      <c r="BA612" s="29"/>
      <c r="BB612" s="29">
        <v>1.0</v>
      </c>
      <c r="BC612" s="29"/>
      <c r="BD612" s="29" t="s">
        <v>88</v>
      </c>
      <c r="BE612" s="29"/>
      <c r="BF612" s="29" t="s">
        <v>1190</v>
      </c>
      <c r="BG612" s="29" t="s">
        <v>220</v>
      </c>
      <c r="BH612" s="29" t="s">
        <v>88</v>
      </c>
      <c r="BI612" s="29" t="s">
        <v>1191</v>
      </c>
      <c r="BJ612" s="29"/>
      <c r="BK612" s="29" t="s">
        <v>1192</v>
      </c>
      <c r="BL612" s="29"/>
      <c r="BM612" s="45"/>
      <c r="BN612" s="45">
        <v>1.0</v>
      </c>
      <c r="BO612" s="46" t="s">
        <v>728</v>
      </c>
      <c r="BP612" s="2"/>
      <c r="BQ612" s="3"/>
    </row>
    <row r="613" ht="15.75" customHeight="1">
      <c r="A613" s="34">
        <v>616.0</v>
      </c>
      <c r="B613" s="34">
        <v>101454.0</v>
      </c>
      <c r="C613" s="34" t="s">
        <v>76</v>
      </c>
      <c r="D613" s="34" t="s">
        <v>1181</v>
      </c>
      <c r="E613" s="34" t="s">
        <v>1182</v>
      </c>
      <c r="F613" s="34">
        <v>2014.0</v>
      </c>
      <c r="G613" s="34" t="s">
        <v>1183</v>
      </c>
      <c r="H613" s="34" t="s">
        <v>1184</v>
      </c>
      <c r="I613" s="34" t="s">
        <v>1185</v>
      </c>
      <c r="J613" s="35"/>
      <c r="K613" s="36">
        <v>0.87</v>
      </c>
      <c r="L613" s="36">
        <v>5.98</v>
      </c>
      <c r="M613" s="36"/>
      <c r="N613" s="36"/>
      <c r="O613" s="36"/>
      <c r="P613" s="37">
        <v>15.0</v>
      </c>
      <c r="Q613" s="36" t="s">
        <v>96</v>
      </c>
      <c r="R613" s="36" t="s">
        <v>96</v>
      </c>
      <c r="S613" s="36">
        <v>10000.0</v>
      </c>
      <c r="T613" s="36" t="s">
        <v>506</v>
      </c>
      <c r="U613" s="36" t="s">
        <v>351</v>
      </c>
      <c r="V613" s="36"/>
      <c r="W613" s="36" t="s">
        <v>169</v>
      </c>
      <c r="X613" s="38">
        <v>1.0</v>
      </c>
      <c r="Y613" s="38" t="s">
        <v>827</v>
      </c>
      <c r="Z613" s="38" t="s">
        <v>828</v>
      </c>
      <c r="AA613" s="38" t="s">
        <v>86</v>
      </c>
      <c r="AB613" s="38" t="s">
        <v>829</v>
      </c>
      <c r="AC613" s="38" t="s">
        <v>830</v>
      </c>
      <c r="AD613" s="38" t="s">
        <v>198</v>
      </c>
      <c r="AE613" s="38"/>
      <c r="AF613" s="38" t="s">
        <v>1147</v>
      </c>
      <c r="AG613" s="38"/>
      <c r="AH613" s="38"/>
      <c r="AI613" s="50">
        <v>40.63</v>
      </c>
      <c r="AJ613" s="50">
        <v>117.32</v>
      </c>
      <c r="AK613" s="41" t="s">
        <v>288</v>
      </c>
      <c r="AL613" s="40" t="s">
        <v>288</v>
      </c>
      <c r="AM613" s="49">
        <v>364.0</v>
      </c>
      <c r="AN613" s="51">
        <v>364.0</v>
      </c>
      <c r="AO613" s="42" t="s">
        <v>218</v>
      </c>
      <c r="AP613" s="43" t="s">
        <v>218</v>
      </c>
      <c r="AQ613" s="44" t="str">
        <f t="shared" si="47"/>
        <v>CRO</v>
      </c>
      <c r="AR613" s="44">
        <f t="shared" si="3"/>
        <v>364</v>
      </c>
      <c r="AS613" s="44" t="str">
        <f t="shared" si="56"/>
        <v>D</v>
      </c>
      <c r="AT613" s="44" t="str">
        <f t="shared" si="17"/>
        <v>Dw</v>
      </c>
      <c r="AU613" s="44" t="str">
        <f t="shared" si="2"/>
        <v>Dwa</v>
      </c>
      <c r="AV613" s="38">
        <v>1.0</v>
      </c>
      <c r="AW613" s="38"/>
      <c r="AX613" s="38"/>
      <c r="AY613" s="38"/>
      <c r="AZ613" s="29">
        <v>10000.0</v>
      </c>
      <c r="BA613" s="29"/>
      <c r="BB613" s="29">
        <v>1.0</v>
      </c>
      <c r="BC613" s="29"/>
      <c r="BD613" s="29" t="s">
        <v>88</v>
      </c>
      <c r="BE613" s="29"/>
      <c r="BF613" s="29" t="s">
        <v>1190</v>
      </c>
      <c r="BG613" s="29" t="s">
        <v>220</v>
      </c>
      <c r="BH613" s="29" t="s">
        <v>88</v>
      </c>
      <c r="BI613" s="29" t="s">
        <v>1191</v>
      </c>
      <c r="BJ613" s="29"/>
      <c r="BK613" s="29" t="s">
        <v>1192</v>
      </c>
      <c r="BL613" s="29"/>
      <c r="BM613" s="45"/>
      <c r="BN613" s="45"/>
      <c r="BO613" s="46"/>
      <c r="BP613" s="2"/>
      <c r="BQ613" s="3"/>
    </row>
    <row r="614" ht="15.75" customHeight="1">
      <c r="A614" s="34">
        <v>617.0</v>
      </c>
      <c r="B614" s="34">
        <v>101454.0</v>
      </c>
      <c r="C614" s="34" t="s">
        <v>76</v>
      </c>
      <c r="D614" s="34" t="s">
        <v>1181</v>
      </c>
      <c r="E614" s="34" t="s">
        <v>1182</v>
      </c>
      <c r="F614" s="34">
        <v>2014.0</v>
      </c>
      <c r="G614" s="34" t="s">
        <v>1183</v>
      </c>
      <c r="H614" s="34" t="s">
        <v>1184</v>
      </c>
      <c r="I614" s="34" t="s">
        <v>1185</v>
      </c>
      <c r="J614" s="35"/>
      <c r="K614" s="36">
        <v>-0.5</v>
      </c>
      <c r="L614" s="36">
        <v>3.34</v>
      </c>
      <c r="M614" s="36"/>
      <c r="N614" s="36"/>
      <c r="O614" s="36"/>
      <c r="P614" s="37">
        <v>-15.0</v>
      </c>
      <c r="Q614" s="36" t="s">
        <v>96</v>
      </c>
      <c r="R614" s="36" t="s">
        <v>96</v>
      </c>
      <c r="S614" s="36">
        <v>10000.0</v>
      </c>
      <c r="T614" s="36" t="s">
        <v>328</v>
      </c>
      <c r="U614" s="36" t="s">
        <v>968</v>
      </c>
      <c r="V614" s="36"/>
      <c r="W614" s="36" t="s">
        <v>169</v>
      </c>
      <c r="X614" s="38">
        <v>1.0</v>
      </c>
      <c r="Y614" s="38" t="s">
        <v>1193</v>
      </c>
      <c r="Z614" s="38" t="s">
        <v>1194</v>
      </c>
      <c r="AA614" s="38" t="s">
        <v>86</v>
      </c>
      <c r="AB614" s="38" t="s">
        <v>1195</v>
      </c>
      <c r="AC614" s="38" t="s">
        <v>1196</v>
      </c>
      <c r="AD614" s="38" t="s">
        <v>736</v>
      </c>
      <c r="AE614" s="38"/>
      <c r="AF614" s="38" t="s">
        <v>1197</v>
      </c>
      <c r="AG614" s="38"/>
      <c r="AH614" s="38"/>
      <c r="AI614" s="50">
        <v>36.07</v>
      </c>
      <c r="AJ614" s="50">
        <v>140.02</v>
      </c>
      <c r="AK614" s="41" t="s">
        <v>362</v>
      </c>
      <c r="AL614" s="40" t="s">
        <v>362</v>
      </c>
      <c r="AM614" s="49">
        <v>16.0</v>
      </c>
      <c r="AN614" s="51">
        <v>16.0</v>
      </c>
      <c r="AO614" s="42" t="s">
        <v>201</v>
      </c>
      <c r="AP614" s="43" t="s">
        <v>201</v>
      </c>
      <c r="AQ614" s="44" t="str">
        <f t="shared" si="47"/>
        <v>CRO</v>
      </c>
      <c r="AR614" s="44">
        <f t="shared" si="3"/>
        <v>16</v>
      </c>
      <c r="AS614" s="44" t="str">
        <f t="shared" si="56"/>
        <v>C</v>
      </c>
      <c r="AT614" s="44" t="str">
        <f t="shared" si="17"/>
        <v>Cf</v>
      </c>
      <c r="AU614" s="44" t="str">
        <f t="shared" si="2"/>
        <v>Cfa</v>
      </c>
      <c r="AV614" s="38">
        <v>1.0</v>
      </c>
      <c r="AW614" s="38"/>
      <c r="AX614" s="38"/>
      <c r="AY614" s="38"/>
      <c r="AZ614" s="29">
        <v>10000.0</v>
      </c>
      <c r="BA614" s="29"/>
      <c r="BB614" s="29">
        <v>1.0</v>
      </c>
      <c r="BC614" s="29"/>
      <c r="BD614" s="29" t="s">
        <v>88</v>
      </c>
      <c r="BE614" s="29"/>
      <c r="BF614" s="29" t="s">
        <v>1190</v>
      </c>
      <c r="BG614" s="29" t="s">
        <v>220</v>
      </c>
      <c r="BH614" s="29" t="s">
        <v>88</v>
      </c>
      <c r="BI614" s="29" t="s">
        <v>1191</v>
      </c>
      <c r="BJ614" s="29"/>
      <c r="BK614" s="29" t="s">
        <v>1192</v>
      </c>
      <c r="BL614" s="29"/>
      <c r="BM614" s="45"/>
      <c r="BN614" s="45"/>
      <c r="BO614" s="46"/>
      <c r="BP614" s="2"/>
      <c r="BQ614" s="3"/>
    </row>
    <row r="615" ht="15.75" customHeight="1">
      <c r="A615" s="34">
        <v>618.0</v>
      </c>
      <c r="B615" s="34">
        <v>101454.0</v>
      </c>
      <c r="C615" s="34" t="s">
        <v>76</v>
      </c>
      <c r="D615" s="34" t="s">
        <v>1181</v>
      </c>
      <c r="E615" s="34" t="s">
        <v>1182</v>
      </c>
      <c r="F615" s="34">
        <v>2014.0</v>
      </c>
      <c r="G615" s="34" t="s">
        <v>1183</v>
      </c>
      <c r="H615" s="34" t="s">
        <v>1184</v>
      </c>
      <c r="I615" s="34" t="s">
        <v>1185</v>
      </c>
      <c r="J615" s="35"/>
      <c r="K615" s="36">
        <v>-0.12</v>
      </c>
      <c r="L615" s="36">
        <v>3.59</v>
      </c>
      <c r="M615" s="36"/>
      <c r="N615" s="36"/>
      <c r="O615" s="36"/>
      <c r="P615" s="37">
        <v>-3.0</v>
      </c>
      <c r="Q615" s="36" t="s">
        <v>96</v>
      </c>
      <c r="R615" s="36" t="s">
        <v>96</v>
      </c>
      <c r="S615" s="36">
        <v>10000.0</v>
      </c>
      <c r="T615" s="36" t="s">
        <v>506</v>
      </c>
      <c r="U615" s="36" t="s">
        <v>351</v>
      </c>
      <c r="V615" s="36"/>
      <c r="W615" s="36" t="s">
        <v>169</v>
      </c>
      <c r="X615" s="38">
        <v>1.0</v>
      </c>
      <c r="Y615" s="38" t="s">
        <v>1198</v>
      </c>
      <c r="Z615" s="38" t="s">
        <v>1198</v>
      </c>
      <c r="AA615" s="38" t="s">
        <v>86</v>
      </c>
      <c r="AB615" s="38" t="s">
        <v>1199</v>
      </c>
      <c r="AC615" s="38" t="s">
        <v>1200</v>
      </c>
      <c r="AD615" s="38" t="s">
        <v>198</v>
      </c>
      <c r="AE615" s="38"/>
      <c r="AF615" s="38"/>
      <c r="AG615" s="38"/>
      <c r="AH615" s="38"/>
      <c r="AI615" s="50">
        <v>35.95</v>
      </c>
      <c r="AJ615" s="50">
        <v>104.13</v>
      </c>
      <c r="AK615" s="41" t="s">
        <v>288</v>
      </c>
      <c r="AL615" s="40" t="s">
        <v>288</v>
      </c>
      <c r="AM615" s="49">
        <v>1788.0</v>
      </c>
      <c r="AN615" s="51">
        <v>1788.0</v>
      </c>
      <c r="AO615" s="42" t="s">
        <v>293</v>
      </c>
      <c r="AP615" s="43" t="s">
        <v>293</v>
      </c>
      <c r="AQ615" s="44" t="str">
        <f t="shared" si="47"/>
        <v>CRO</v>
      </c>
      <c r="AR615" s="44">
        <f t="shared" si="3"/>
        <v>1788</v>
      </c>
      <c r="AS615" s="44" t="str">
        <f t="shared" si="56"/>
        <v>B</v>
      </c>
      <c r="AT615" s="44" t="str">
        <f t="shared" si="17"/>
        <v>BS</v>
      </c>
      <c r="AU615" s="44" t="str">
        <f t="shared" si="2"/>
        <v>BSk</v>
      </c>
      <c r="AV615" s="38">
        <v>1.0</v>
      </c>
      <c r="AW615" s="38"/>
      <c r="AX615" s="38"/>
      <c r="AY615" s="38"/>
      <c r="AZ615" s="29">
        <v>10000.0</v>
      </c>
      <c r="BA615" s="29"/>
      <c r="BB615" s="29">
        <v>1.0</v>
      </c>
      <c r="BC615" s="29"/>
      <c r="BD615" s="29" t="s">
        <v>88</v>
      </c>
      <c r="BE615" s="29"/>
      <c r="BF615" s="29" t="s">
        <v>1190</v>
      </c>
      <c r="BG615" s="29" t="s">
        <v>220</v>
      </c>
      <c r="BH615" s="29" t="s">
        <v>88</v>
      </c>
      <c r="BI615" s="29" t="s">
        <v>1191</v>
      </c>
      <c r="BJ615" s="29"/>
      <c r="BK615" s="29" t="s">
        <v>1192</v>
      </c>
      <c r="BL615" s="29"/>
      <c r="BM615" s="45"/>
      <c r="BN615" s="45"/>
      <c r="BO615" s="46"/>
      <c r="BP615" s="2"/>
      <c r="BQ615" s="3"/>
    </row>
    <row r="616" ht="15.75" customHeight="1">
      <c r="A616" s="34">
        <v>619.0</v>
      </c>
      <c r="B616" s="34">
        <v>101454.0</v>
      </c>
      <c r="C616" s="34" t="s">
        <v>76</v>
      </c>
      <c r="D616" s="34" t="s">
        <v>1181</v>
      </c>
      <c r="E616" s="34" t="s">
        <v>1182</v>
      </c>
      <c r="F616" s="34">
        <v>2014.0</v>
      </c>
      <c r="G616" s="34" t="s">
        <v>1183</v>
      </c>
      <c r="H616" s="34" t="s">
        <v>1184</v>
      </c>
      <c r="I616" s="34" t="s">
        <v>1185</v>
      </c>
      <c r="J616" s="35"/>
      <c r="K616" s="36">
        <v>-0.63</v>
      </c>
      <c r="L616" s="36">
        <v>5.29</v>
      </c>
      <c r="M616" s="36"/>
      <c r="N616" s="36"/>
      <c r="O616" s="36"/>
      <c r="P616" s="37">
        <v>-12.0</v>
      </c>
      <c r="Q616" s="36" t="s">
        <v>96</v>
      </c>
      <c r="R616" s="36" t="s">
        <v>96</v>
      </c>
      <c r="S616" s="36">
        <v>10000.0</v>
      </c>
      <c r="T616" s="36" t="s">
        <v>536</v>
      </c>
      <c r="U616" s="36" t="s">
        <v>351</v>
      </c>
      <c r="V616" s="36"/>
      <c r="W616" s="36" t="s">
        <v>169</v>
      </c>
      <c r="X616" s="38">
        <v>1.0</v>
      </c>
      <c r="Y616" s="38" t="s">
        <v>819</v>
      </c>
      <c r="Z616" s="38" t="s">
        <v>1163</v>
      </c>
      <c r="AA616" s="38" t="s">
        <v>86</v>
      </c>
      <c r="AB616" s="38" t="s">
        <v>821</v>
      </c>
      <c r="AC616" s="38" t="s">
        <v>822</v>
      </c>
      <c r="AD616" s="38" t="s">
        <v>198</v>
      </c>
      <c r="AE616" s="53"/>
      <c r="AF616" s="38" t="s">
        <v>1048</v>
      </c>
      <c r="AG616" s="38"/>
      <c r="AH616" s="38"/>
      <c r="AI616" s="50">
        <v>36.515</v>
      </c>
      <c r="AJ616" s="50">
        <v>115.126</v>
      </c>
      <c r="AK616" s="41" t="s">
        <v>86</v>
      </c>
      <c r="AL616" s="40" t="s">
        <v>86</v>
      </c>
      <c r="AM616" s="49">
        <v>42.0</v>
      </c>
      <c r="AN616" s="51">
        <v>42.0</v>
      </c>
      <c r="AO616" s="42" t="s">
        <v>293</v>
      </c>
      <c r="AP616" s="43" t="s">
        <v>293</v>
      </c>
      <c r="AQ616" s="44" t="str">
        <f t="shared" si="47"/>
        <v>CRO</v>
      </c>
      <c r="AR616" s="44">
        <f t="shared" si="3"/>
        <v>42</v>
      </c>
      <c r="AS616" s="44" t="str">
        <f t="shared" si="56"/>
        <v>B</v>
      </c>
      <c r="AT616" s="44" t="str">
        <f t="shared" si="17"/>
        <v>BS</v>
      </c>
      <c r="AU616" s="44" t="str">
        <f t="shared" si="2"/>
        <v>BSk</v>
      </c>
      <c r="AV616" s="38">
        <v>1.0</v>
      </c>
      <c r="AW616" s="38"/>
      <c r="AX616" s="38"/>
      <c r="AY616" s="38"/>
      <c r="AZ616" s="29">
        <v>10000.0</v>
      </c>
      <c r="BA616" s="29"/>
      <c r="BB616" s="29">
        <v>1.0</v>
      </c>
      <c r="BC616" s="29"/>
      <c r="BD616" s="29" t="s">
        <v>88</v>
      </c>
      <c r="BE616" s="29"/>
      <c r="BF616" s="29" t="s">
        <v>1190</v>
      </c>
      <c r="BG616" s="29" t="s">
        <v>220</v>
      </c>
      <c r="BH616" s="29" t="s">
        <v>88</v>
      </c>
      <c r="BI616" s="29" t="s">
        <v>1191</v>
      </c>
      <c r="BJ616" s="29"/>
      <c r="BK616" s="29" t="s">
        <v>1192</v>
      </c>
      <c r="BL616" s="29"/>
      <c r="BM616" s="45"/>
      <c r="BN616" s="45"/>
      <c r="BO616" s="46"/>
      <c r="BP616" s="2"/>
      <c r="BQ616" s="3"/>
    </row>
    <row r="617" ht="15.75" customHeight="1">
      <c r="A617" s="34">
        <v>620.0</v>
      </c>
      <c r="B617" s="34">
        <v>101454.0</v>
      </c>
      <c r="C617" s="34" t="s">
        <v>76</v>
      </c>
      <c r="D617" s="34" t="s">
        <v>1181</v>
      </c>
      <c r="E617" s="34" t="s">
        <v>1182</v>
      </c>
      <c r="F617" s="34">
        <v>2014.0</v>
      </c>
      <c r="G617" s="34" t="s">
        <v>1183</v>
      </c>
      <c r="H617" s="34" t="s">
        <v>1184</v>
      </c>
      <c r="I617" s="34" t="s">
        <v>1185</v>
      </c>
      <c r="J617" s="35"/>
      <c r="K617" s="36">
        <v>0.22</v>
      </c>
      <c r="L617" s="36">
        <v>5.63</v>
      </c>
      <c r="M617" s="36"/>
      <c r="N617" s="36"/>
      <c r="O617" s="36"/>
      <c r="P617" s="37">
        <v>4.0</v>
      </c>
      <c r="Q617" s="36" t="s">
        <v>96</v>
      </c>
      <c r="R617" s="36" t="s">
        <v>96</v>
      </c>
      <c r="S617" s="36">
        <v>10000.0</v>
      </c>
      <c r="T617" s="36" t="s">
        <v>506</v>
      </c>
      <c r="U617" s="36" t="s">
        <v>351</v>
      </c>
      <c r="V617" s="36"/>
      <c r="W617" s="36" t="s">
        <v>169</v>
      </c>
      <c r="X617" s="38">
        <v>1.0</v>
      </c>
      <c r="Y617" s="38" t="s">
        <v>1201</v>
      </c>
      <c r="Z617" s="38" t="s">
        <v>1201</v>
      </c>
      <c r="AA617" s="38" t="s">
        <v>86</v>
      </c>
      <c r="AB617" s="38" t="s">
        <v>1202</v>
      </c>
      <c r="AC617" s="38" t="s">
        <v>1203</v>
      </c>
      <c r="AD617" s="38" t="s">
        <v>198</v>
      </c>
      <c r="AE617" s="38"/>
      <c r="AF617" s="38" t="s">
        <v>1048</v>
      </c>
      <c r="AG617" s="38"/>
      <c r="AH617" s="38"/>
      <c r="AI617" s="50">
        <v>41.18</v>
      </c>
      <c r="AJ617" s="50">
        <v>121.21</v>
      </c>
      <c r="AK617" s="41" t="s">
        <v>86</v>
      </c>
      <c r="AL617" s="40" t="s">
        <v>86</v>
      </c>
      <c r="AM617" s="49">
        <v>26.0</v>
      </c>
      <c r="AN617" s="51">
        <v>26.0</v>
      </c>
      <c r="AO617" s="42" t="s">
        <v>218</v>
      </c>
      <c r="AP617" s="43" t="s">
        <v>218</v>
      </c>
      <c r="AQ617" s="44" t="str">
        <f t="shared" si="47"/>
        <v>CRO</v>
      </c>
      <c r="AR617" s="44">
        <f t="shared" si="3"/>
        <v>26</v>
      </c>
      <c r="AS617" s="44" t="str">
        <f t="shared" si="56"/>
        <v>D</v>
      </c>
      <c r="AT617" s="44" t="str">
        <f t="shared" si="17"/>
        <v>Dw</v>
      </c>
      <c r="AU617" s="44" t="str">
        <f t="shared" si="2"/>
        <v>Dwa</v>
      </c>
      <c r="AV617" s="38">
        <v>1.0</v>
      </c>
      <c r="AW617" s="38"/>
      <c r="AX617" s="38"/>
      <c r="AY617" s="38"/>
      <c r="AZ617" s="29">
        <v>10000.0</v>
      </c>
      <c r="BA617" s="29"/>
      <c r="BB617" s="29">
        <v>1.0</v>
      </c>
      <c r="BC617" s="29"/>
      <c r="BD617" s="29" t="s">
        <v>88</v>
      </c>
      <c r="BE617" s="29"/>
      <c r="BF617" s="29" t="s">
        <v>1190</v>
      </c>
      <c r="BG617" s="29" t="s">
        <v>220</v>
      </c>
      <c r="BH617" s="29" t="s">
        <v>88</v>
      </c>
      <c r="BI617" s="29" t="s">
        <v>1191</v>
      </c>
      <c r="BJ617" s="29"/>
      <c r="BK617" s="29" t="s">
        <v>1192</v>
      </c>
      <c r="BL617" s="29"/>
      <c r="BM617" s="45"/>
      <c r="BN617" s="45"/>
      <c r="BO617" s="46"/>
      <c r="BP617" s="2"/>
      <c r="BQ617" s="3"/>
    </row>
    <row r="618" ht="15.75" customHeight="1">
      <c r="A618" s="34">
        <v>621.0</v>
      </c>
      <c r="B618" s="34">
        <v>101454.0</v>
      </c>
      <c r="C618" s="34" t="s">
        <v>76</v>
      </c>
      <c r="D618" s="34" t="s">
        <v>1181</v>
      </c>
      <c r="E618" s="34" t="s">
        <v>1182</v>
      </c>
      <c r="F618" s="34">
        <v>2014.0</v>
      </c>
      <c r="G618" s="34" t="s">
        <v>1183</v>
      </c>
      <c r="H618" s="34" t="s">
        <v>1184</v>
      </c>
      <c r="I618" s="34" t="s">
        <v>1185</v>
      </c>
      <c r="J618" s="35"/>
      <c r="K618" s="36">
        <v>-2.34</v>
      </c>
      <c r="L618" s="36">
        <v>8.57</v>
      </c>
      <c r="M618" s="36"/>
      <c r="N618" s="36"/>
      <c r="O618" s="36"/>
      <c r="P618" s="37">
        <v>-27.0</v>
      </c>
      <c r="Q618" s="36" t="s">
        <v>96</v>
      </c>
      <c r="R618" s="36" t="s">
        <v>96</v>
      </c>
      <c r="S618" s="36">
        <v>10000.0</v>
      </c>
      <c r="T618" s="36" t="s">
        <v>506</v>
      </c>
      <c r="U618" s="36" t="s">
        <v>351</v>
      </c>
      <c r="V618" s="36"/>
      <c r="W618" s="36" t="s">
        <v>169</v>
      </c>
      <c r="X618" s="38">
        <v>1.0</v>
      </c>
      <c r="Y618" s="38" t="s">
        <v>1204</v>
      </c>
      <c r="Z618" s="38" t="s">
        <v>1204</v>
      </c>
      <c r="AA618" s="38" t="s">
        <v>86</v>
      </c>
      <c r="AB618" s="38" t="s">
        <v>1205</v>
      </c>
      <c r="AC618" s="38" t="s">
        <v>1206</v>
      </c>
      <c r="AD618" s="38" t="s">
        <v>198</v>
      </c>
      <c r="AE618" s="38"/>
      <c r="AF618" s="38" t="s">
        <v>1048</v>
      </c>
      <c r="AG618" s="38"/>
      <c r="AH618" s="38"/>
      <c r="AI618" s="50">
        <v>39.35</v>
      </c>
      <c r="AJ618" s="50">
        <v>100.13</v>
      </c>
      <c r="AK618" s="41" t="s">
        <v>288</v>
      </c>
      <c r="AL618" s="40" t="s">
        <v>288</v>
      </c>
      <c r="AM618" s="49">
        <v>1385.0</v>
      </c>
      <c r="AN618" s="51">
        <v>1385.0</v>
      </c>
      <c r="AO618" s="42" t="s">
        <v>261</v>
      </c>
      <c r="AP618" s="43" t="s">
        <v>261</v>
      </c>
      <c r="AQ618" s="44" t="str">
        <f t="shared" si="47"/>
        <v>CRO</v>
      </c>
      <c r="AR618" s="44">
        <f t="shared" si="3"/>
        <v>1385</v>
      </c>
      <c r="AS618" s="44" t="str">
        <f t="shared" si="56"/>
        <v>B</v>
      </c>
      <c r="AT618" s="44" t="str">
        <f t="shared" si="17"/>
        <v>BW</v>
      </c>
      <c r="AU618" s="44" t="str">
        <f t="shared" si="2"/>
        <v>BWk</v>
      </c>
      <c r="AV618" s="38">
        <v>1.0</v>
      </c>
      <c r="AW618" s="38"/>
      <c r="AX618" s="38"/>
      <c r="AY618" s="38"/>
      <c r="AZ618" s="29">
        <v>10000.0</v>
      </c>
      <c r="BA618" s="29"/>
      <c r="BB618" s="29">
        <v>1.0</v>
      </c>
      <c r="BC618" s="29"/>
      <c r="BD618" s="29" t="s">
        <v>88</v>
      </c>
      <c r="BE618" s="29"/>
      <c r="BF618" s="29" t="s">
        <v>1190</v>
      </c>
      <c r="BG618" s="29" t="s">
        <v>220</v>
      </c>
      <c r="BH618" s="29" t="s">
        <v>88</v>
      </c>
      <c r="BI618" s="29" t="s">
        <v>1191</v>
      </c>
      <c r="BJ618" s="29"/>
      <c r="BK618" s="29" t="s">
        <v>1192</v>
      </c>
      <c r="BL618" s="29"/>
      <c r="BM618" s="45"/>
      <c r="BN618" s="45"/>
      <c r="BO618" s="46"/>
      <c r="BP618" s="2"/>
      <c r="BQ618" s="3"/>
    </row>
    <row r="619" ht="15.75" customHeight="1">
      <c r="A619" s="34">
        <v>622.0</v>
      </c>
      <c r="B619" s="34">
        <v>101454.0</v>
      </c>
      <c r="C619" s="34" t="s">
        <v>76</v>
      </c>
      <c r="D619" s="34" t="s">
        <v>1181</v>
      </c>
      <c r="E619" s="34" t="s">
        <v>1182</v>
      </c>
      <c r="F619" s="34">
        <v>2014.0</v>
      </c>
      <c r="G619" s="34" t="s">
        <v>1183</v>
      </c>
      <c r="H619" s="34" t="s">
        <v>1184</v>
      </c>
      <c r="I619" s="34" t="s">
        <v>1185</v>
      </c>
      <c r="J619" s="35"/>
      <c r="K619" s="36">
        <v>-0.39</v>
      </c>
      <c r="L619" s="36">
        <v>4.85</v>
      </c>
      <c r="M619" s="36"/>
      <c r="N619" s="36"/>
      <c r="O619" s="36"/>
      <c r="P619" s="37">
        <v>-8.0</v>
      </c>
      <c r="Q619" s="36" t="s">
        <v>96</v>
      </c>
      <c r="R619" s="36" t="s">
        <v>96</v>
      </c>
      <c r="S619" s="36">
        <v>10000.0</v>
      </c>
      <c r="T619" s="36" t="s">
        <v>536</v>
      </c>
      <c r="U619" s="36" t="s">
        <v>351</v>
      </c>
      <c r="V619" s="36"/>
      <c r="W619" s="36" t="s">
        <v>169</v>
      </c>
      <c r="X619" s="38">
        <v>1.0</v>
      </c>
      <c r="Y619" s="38" t="s">
        <v>1207</v>
      </c>
      <c r="Z619" s="38" t="s">
        <v>1207</v>
      </c>
      <c r="AA619" s="38" t="s">
        <v>86</v>
      </c>
      <c r="AB619" s="38" t="s">
        <v>1208</v>
      </c>
      <c r="AC619" s="38" t="s">
        <v>1209</v>
      </c>
      <c r="AD619" s="38" t="s">
        <v>198</v>
      </c>
      <c r="AE619" s="38"/>
      <c r="AF619" s="38" t="s">
        <v>1048</v>
      </c>
      <c r="AG619" s="38"/>
      <c r="AH619" s="38"/>
      <c r="AI619" s="50">
        <v>44.57</v>
      </c>
      <c r="AJ619" s="50">
        <v>122.88</v>
      </c>
      <c r="AK619" s="41" t="s">
        <v>86</v>
      </c>
      <c r="AL619" s="40" t="s">
        <v>86</v>
      </c>
      <c r="AM619" s="49">
        <v>154.0</v>
      </c>
      <c r="AN619" s="51">
        <v>154.0</v>
      </c>
      <c r="AO619" s="42" t="s">
        <v>293</v>
      </c>
      <c r="AP619" s="43" t="s">
        <v>293</v>
      </c>
      <c r="AQ619" s="44" t="str">
        <f t="shared" si="47"/>
        <v>CRO</v>
      </c>
      <c r="AR619" s="44">
        <f t="shared" si="3"/>
        <v>154</v>
      </c>
      <c r="AS619" s="44" t="str">
        <f t="shared" si="56"/>
        <v>B</v>
      </c>
      <c r="AT619" s="44" t="str">
        <f t="shared" si="17"/>
        <v>BS</v>
      </c>
      <c r="AU619" s="44" t="str">
        <f t="shared" si="2"/>
        <v>BSk</v>
      </c>
      <c r="AV619" s="38">
        <v>1.0</v>
      </c>
      <c r="AW619" s="38"/>
      <c r="AX619" s="38"/>
      <c r="AY619" s="38"/>
      <c r="AZ619" s="29">
        <v>10000.0</v>
      </c>
      <c r="BA619" s="29"/>
      <c r="BB619" s="29">
        <v>1.0</v>
      </c>
      <c r="BC619" s="29"/>
      <c r="BD619" s="29" t="s">
        <v>88</v>
      </c>
      <c r="BE619" s="29"/>
      <c r="BF619" s="29" t="s">
        <v>1190</v>
      </c>
      <c r="BG619" s="29" t="s">
        <v>220</v>
      </c>
      <c r="BH619" s="29" t="s">
        <v>88</v>
      </c>
      <c r="BI619" s="29" t="s">
        <v>1191</v>
      </c>
      <c r="BJ619" s="29"/>
      <c r="BK619" s="29" t="s">
        <v>1192</v>
      </c>
      <c r="BL619" s="29"/>
      <c r="BM619" s="45"/>
      <c r="BN619" s="45"/>
      <c r="BO619" s="46"/>
      <c r="BP619" s="2"/>
      <c r="BQ619" s="3"/>
    </row>
    <row r="620" ht="15.75" customHeight="1">
      <c r="A620" s="34">
        <v>623.0</v>
      </c>
      <c r="B620" s="34">
        <v>101454.0</v>
      </c>
      <c r="C620" s="34" t="s">
        <v>76</v>
      </c>
      <c r="D620" s="34" t="s">
        <v>1181</v>
      </c>
      <c r="E620" s="34" t="s">
        <v>1182</v>
      </c>
      <c r="F620" s="34">
        <v>2014.0</v>
      </c>
      <c r="G620" s="34" t="s">
        <v>1183</v>
      </c>
      <c r="H620" s="34" t="s">
        <v>1184</v>
      </c>
      <c r="I620" s="34" t="s">
        <v>1185</v>
      </c>
      <c r="J620" s="35"/>
      <c r="K620" s="36">
        <v>-0.66</v>
      </c>
      <c r="L620" s="36">
        <v>5.12</v>
      </c>
      <c r="M620" s="36"/>
      <c r="N620" s="36"/>
      <c r="O620" s="36"/>
      <c r="P620" s="37">
        <v>-18.0</v>
      </c>
      <c r="Q620" s="36" t="s">
        <v>96</v>
      </c>
      <c r="R620" s="36" t="s">
        <v>96</v>
      </c>
      <c r="S620" s="36">
        <v>10000.0</v>
      </c>
      <c r="T620" s="36" t="s">
        <v>506</v>
      </c>
      <c r="U620" s="36" t="s">
        <v>351</v>
      </c>
      <c r="V620" s="36"/>
      <c r="W620" s="36" t="s">
        <v>169</v>
      </c>
      <c r="X620" s="38">
        <v>1.0</v>
      </c>
      <c r="Y620" s="38" t="s">
        <v>275</v>
      </c>
      <c r="Z620" s="38" t="s">
        <v>275</v>
      </c>
      <c r="AA620" s="38" t="s">
        <v>86</v>
      </c>
      <c r="AB620" s="38" t="s">
        <v>1210</v>
      </c>
      <c r="AC620" s="38" t="s">
        <v>1211</v>
      </c>
      <c r="AD620" s="38" t="s">
        <v>198</v>
      </c>
      <c r="AE620" s="38"/>
      <c r="AF620" s="38" t="s">
        <v>1048</v>
      </c>
      <c r="AG620" s="38"/>
      <c r="AH620" s="38"/>
      <c r="AI620" s="50">
        <v>38.86</v>
      </c>
      <c r="AJ620" s="50">
        <v>100.41</v>
      </c>
      <c r="AK620" s="41" t="s">
        <v>86</v>
      </c>
      <c r="AL620" s="40" t="s">
        <v>86</v>
      </c>
      <c r="AM620" s="49">
        <v>1528.0</v>
      </c>
      <c r="AN620" s="51">
        <v>1528.0</v>
      </c>
      <c r="AO620" s="42" t="s">
        <v>261</v>
      </c>
      <c r="AP620" s="43" t="s">
        <v>261</v>
      </c>
      <c r="AQ620" s="44" t="str">
        <f t="shared" si="47"/>
        <v>CRO</v>
      </c>
      <c r="AR620" s="44">
        <f t="shared" si="3"/>
        <v>1528</v>
      </c>
      <c r="AS620" s="44" t="str">
        <f t="shared" si="56"/>
        <v>B</v>
      </c>
      <c r="AT620" s="44" t="str">
        <f t="shared" si="17"/>
        <v>BW</v>
      </c>
      <c r="AU620" s="44" t="str">
        <f t="shared" si="2"/>
        <v>BWk</v>
      </c>
      <c r="AV620" s="38">
        <v>1.0</v>
      </c>
      <c r="AW620" s="38"/>
      <c r="AX620" s="38"/>
      <c r="AY620" s="38"/>
      <c r="AZ620" s="29">
        <v>10000.0</v>
      </c>
      <c r="BA620" s="29"/>
      <c r="BB620" s="29">
        <v>1.0</v>
      </c>
      <c r="BC620" s="29"/>
      <c r="BD620" s="29" t="s">
        <v>88</v>
      </c>
      <c r="BE620" s="29"/>
      <c r="BF620" s="29" t="s">
        <v>1190</v>
      </c>
      <c r="BG620" s="29" t="s">
        <v>220</v>
      </c>
      <c r="BH620" s="29" t="s">
        <v>88</v>
      </c>
      <c r="BI620" s="29" t="s">
        <v>1191</v>
      </c>
      <c r="BJ620" s="29"/>
      <c r="BK620" s="29" t="s">
        <v>1192</v>
      </c>
      <c r="BL620" s="29"/>
      <c r="BM620" s="45"/>
      <c r="BN620" s="45"/>
      <c r="BO620" s="46"/>
      <c r="BP620" s="2"/>
      <c r="BQ620" s="3"/>
    </row>
    <row r="621" ht="15.75" customHeight="1">
      <c r="A621" s="34">
        <v>624.0</v>
      </c>
      <c r="B621" s="34">
        <v>101454.0</v>
      </c>
      <c r="C621" s="34" t="s">
        <v>76</v>
      </c>
      <c r="D621" s="34" t="s">
        <v>1181</v>
      </c>
      <c r="E621" s="34" t="s">
        <v>1182</v>
      </c>
      <c r="F621" s="34">
        <v>2014.0</v>
      </c>
      <c r="G621" s="34" t="s">
        <v>1183</v>
      </c>
      <c r="H621" s="34" t="s">
        <v>1184</v>
      </c>
      <c r="I621" s="34" t="s">
        <v>1185</v>
      </c>
      <c r="J621" s="35"/>
      <c r="K621" s="36">
        <v>-0.51</v>
      </c>
      <c r="L621" s="36">
        <v>3.42</v>
      </c>
      <c r="M621" s="36"/>
      <c r="N621" s="36"/>
      <c r="O621" s="36"/>
      <c r="P621" s="37">
        <v>-15.0</v>
      </c>
      <c r="Q621" s="36" t="s">
        <v>96</v>
      </c>
      <c r="R621" s="36" t="s">
        <v>96</v>
      </c>
      <c r="S621" s="36">
        <v>10000.0</v>
      </c>
      <c r="T621" s="36" t="s">
        <v>193</v>
      </c>
      <c r="U621" s="36" t="s">
        <v>676</v>
      </c>
      <c r="V621" s="36"/>
      <c r="W621" s="36" t="s">
        <v>169</v>
      </c>
      <c r="X621" s="38">
        <v>1.0</v>
      </c>
      <c r="Y621" s="38" t="s">
        <v>581</v>
      </c>
      <c r="Z621" s="38" t="s">
        <v>860</v>
      </c>
      <c r="AA621" s="38" t="s">
        <v>452</v>
      </c>
      <c r="AB621" s="38" t="s">
        <v>1212</v>
      </c>
      <c r="AC621" s="38" t="s">
        <v>1213</v>
      </c>
      <c r="AD621" s="38" t="s">
        <v>198</v>
      </c>
      <c r="AE621" s="53"/>
      <c r="AF621" s="38" t="s">
        <v>199</v>
      </c>
      <c r="AG621" s="57"/>
      <c r="AH621" s="38"/>
      <c r="AI621" s="50">
        <v>42.4</v>
      </c>
      <c r="AJ621" s="50">
        <v>127.09</v>
      </c>
      <c r="AK621" s="41" t="s">
        <v>86</v>
      </c>
      <c r="AL621" s="40" t="s">
        <v>86</v>
      </c>
      <c r="AM621" s="49">
        <v>521.0</v>
      </c>
      <c r="AN621" s="51">
        <v>521.0</v>
      </c>
      <c r="AO621" s="42" t="s">
        <v>218</v>
      </c>
      <c r="AP621" s="43" t="s">
        <v>218</v>
      </c>
      <c r="AQ621" s="44" t="str">
        <f t="shared" si="47"/>
        <v>MF</v>
      </c>
      <c r="AR621" s="44">
        <f t="shared" si="3"/>
        <v>521</v>
      </c>
      <c r="AS621" s="44" t="str">
        <f t="shared" si="56"/>
        <v>D</v>
      </c>
      <c r="AT621" s="44" t="str">
        <f t="shared" si="17"/>
        <v>Dw</v>
      </c>
      <c r="AU621" s="44" t="str">
        <f t="shared" si="2"/>
        <v>Dwa</v>
      </c>
      <c r="AV621" s="38">
        <v>1.0</v>
      </c>
      <c r="AW621" s="38"/>
      <c r="AX621" s="38"/>
      <c r="AY621" s="38"/>
      <c r="AZ621" s="29">
        <v>10000.0</v>
      </c>
      <c r="BA621" s="29"/>
      <c r="BB621" s="29">
        <v>1.0</v>
      </c>
      <c r="BC621" s="29"/>
      <c r="BD621" s="29" t="s">
        <v>88</v>
      </c>
      <c r="BE621" s="29"/>
      <c r="BF621" s="29" t="s">
        <v>1190</v>
      </c>
      <c r="BG621" s="29" t="s">
        <v>220</v>
      </c>
      <c r="BH621" s="29" t="s">
        <v>88</v>
      </c>
      <c r="BI621" s="29" t="s">
        <v>1191</v>
      </c>
      <c r="BJ621" s="29"/>
      <c r="BK621" s="29" t="s">
        <v>1192</v>
      </c>
      <c r="BL621" s="29"/>
      <c r="BM621" s="45"/>
      <c r="BN621" s="45"/>
      <c r="BO621" s="46"/>
      <c r="BP621" s="2"/>
      <c r="BQ621" s="3"/>
    </row>
    <row r="622" ht="15.75" customHeight="1">
      <c r="A622" s="34">
        <v>625.0</v>
      </c>
      <c r="B622" s="34">
        <v>101454.0</v>
      </c>
      <c r="C622" s="34" t="s">
        <v>76</v>
      </c>
      <c r="D622" s="34" t="s">
        <v>1181</v>
      </c>
      <c r="E622" s="34" t="s">
        <v>1182</v>
      </c>
      <c r="F622" s="34">
        <v>2014.0</v>
      </c>
      <c r="G622" s="34" t="s">
        <v>1183</v>
      </c>
      <c r="H622" s="34" t="s">
        <v>1184</v>
      </c>
      <c r="I622" s="34" t="s">
        <v>1185</v>
      </c>
      <c r="J622" s="35"/>
      <c r="K622" s="36">
        <v>-0.58</v>
      </c>
      <c r="L622" s="36">
        <v>4.76</v>
      </c>
      <c r="M622" s="36"/>
      <c r="N622" s="36"/>
      <c r="O622" s="36"/>
      <c r="P622" s="37">
        <v>-12.0</v>
      </c>
      <c r="Q622" s="36" t="s">
        <v>96</v>
      </c>
      <c r="R622" s="36" t="s">
        <v>96</v>
      </c>
      <c r="S622" s="36">
        <v>10000.0</v>
      </c>
      <c r="T622" s="36" t="s">
        <v>317</v>
      </c>
      <c r="U622" s="36" t="s">
        <v>285</v>
      </c>
      <c r="V622" s="36"/>
      <c r="W622" s="36" t="s">
        <v>169</v>
      </c>
      <c r="X622" s="38">
        <v>1.0</v>
      </c>
      <c r="Y622" s="38" t="s">
        <v>1214</v>
      </c>
      <c r="Z622" s="53" t="s">
        <v>1215</v>
      </c>
      <c r="AA622" s="53" t="s">
        <v>370</v>
      </c>
      <c r="AB622" s="38" t="s">
        <v>1216</v>
      </c>
      <c r="AC622" s="38" t="s">
        <v>1217</v>
      </c>
      <c r="AD622" s="38" t="s">
        <v>198</v>
      </c>
      <c r="AE622" s="53"/>
      <c r="AF622" s="38" t="s">
        <v>199</v>
      </c>
      <c r="AG622" s="38"/>
      <c r="AH622" s="38"/>
      <c r="AI622" s="50">
        <v>30.48</v>
      </c>
      <c r="AJ622" s="50">
        <v>116.98</v>
      </c>
      <c r="AK622" s="41" t="s">
        <v>86</v>
      </c>
      <c r="AL622" s="40" t="s">
        <v>86</v>
      </c>
      <c r="AM622" s="49">
        <v>13.0</v>
      </c>
      <c r="AN622" s="51">
        <v>13.0</v>
      </c>
      <c r="AO622" s="42" t="s">
        <v>201</v>
      </c>
      <c r="AP622" s="43" t="s">
        <v>201</v>
      </c>
      <c r="AQ622" s="44" t="str">
        <f t="shared" si="47"/>
        <v>DBF</v>
      </c>
      <c r="AR622" s="44">
        <f t="shared" si="3"/>
        <v>13</v>
      </c>
      <c r="AS622" s="44" t="str">
        <f t="shared" si="56"/>
        <v>C</v>
      </c>
      <c r="AT622" s="44" t="str">
        <f t="shared" si="17"/>
        <v>Cf</v>
      </c>
      <c r="AU622" s="44" t="str">
        <f t="shared" si="2"/>
        <v>Cfa</v>
      </c>
      <c r="AV622" s="38">
        <v>1.0</v>
      </c>
      <c r="AW622" s="38"/>
      <c r="AX622" s="38"/>
      <c r="AY622" s="38"/>
      <c r="AZ622" s="29">
        <v>10000.0</v>
      </c>
      <c r="BA622" s="29"/>
      <c r="BB622" s="29">
        <v>1.0</v>
      </c>
      <c r="BC622" s="29"/>
      <c r="BD622" s="29" t="s">
        <v>88</v>
      </c>
      <c r="BE622" s="29"/>
      <c r="BF622" s="29" t="s">
        <v>1190</v>
      </c>
      <c r="BG622" s="29" t="s">
        <v>220</v>
      </c>
      <c r="BH622" s="29" t="s">
        <v>88</v>
      </c>
      <c r="BI622" s="29" t="s">
        <v>1191</v>
      </c>
      <c r="BJ622" s="29"/>
      <c r="BK622" s="29" t="s">
        <v>1192</v>
      </c>
      <c r="BL622" s="29"/>
      <c r="BM622" s="45"/>
      <c r="BN622" s="45"/>
      <c r="BO622" s="46"/>
      <c r="BP622" s="2"/>
      <c r="BQ622" s="3"/>
    </row>
    <row r="623" ht="15.75" customHeight="1">
      <c r="A623" s="34">
        <v>626.0</v>
      </c>
      <c r="B623" s="34">
        <v>101454.0</v>
      </c>
      <c r="C623" s="34" t="s">
        <v>76</v>
      </c>
      <c r="D623" s="34" t="s">
        <v>1181</v>
      </c>
      <c r="E623" s="34" t="s">
        <v>1182</v>
      </c>
      <c r="F623" s="34">
        <v>2014.0</v>
      </c>
      <c r="G623" s="34" t="s">
        <v>1183</v>
      </c>
      <c r="H623" s="34" t="s">
        <v>1184</v>
      </c>
      <c r="I623" s="34" t="s">
        <v>1185</v>
      </c>
      <c r="J623" s="35"/>
      <c r="K623" s="36">
        <v>-0.76</v>
      </c>
      <c r="L623" s="36">
        <v>4.69</v>
      </c>
      <c r="M623" s="36"/>
      <c r="N623" s="36"/>
      <c r="O623" s="36"/>
      <c r="P623" s="37">
        <v>-16.0</v>
      </c>
      <c r="Q623" s="36" t="s">
        <v>96</v>
      </c>
      <c r="R623" s="36" t="s">
        <v>96</v>
      </c>
      <c r="S623" s="36">
        <v>10000.0</v>
      </c>
      <c r="T623" s="36" t="s">
        <v>317</v>
      </c>
      <c r="U623" s="36" t="s">
        <v>285</v>
      </c>
      <c r="V623" s="36"/>
      <c r="W623" s="36" t="s">
        <v>169</v>
      </c>
      <c r="X623" s="38">
        <v>1.0</v>
      </c>
      <c r="Y623" s="38" t="s">
        <v>1218</v>
      </c>
      <c r="Z623" s="53" t="s">
        <v>1219</v>
      </c>
      <c r="AA623" s="53" t="s">
        <v>336</v>
      </c>
      <c r="AB623" s="38" t="s">
        <v>1220</v>
      </c>
      <c r="AC623" s="38" t="s">
        <v>1221</v>
      </c>
      <c r="AD623" s="38" t="s">
        <v>198</v>
      </c>
      <c r="AE623" s="53"/>
      <c r="AF623" s="38" t="s">
        <v>199</v>
      </c>
      <c r="AG623" s="38"/>
      <c r="AH623" s="38"/>
      <c r="AI623" s="50">
        <v>39.53</v>
      </c>
      <c r="AJ623" s="50">
        <v>116.25</v>
      </c>
      <c r="AK623" s="41" t="s">
        <v>86</v>
      </c>
      <c r="AL623" s="40" t="s">
        <v>86</v>
      </c>
      <c r="AM623" s="49">
        <v>39.0</v>
      </c>
      <c r="AN623" s="51">
        <v>39.0</v>
      </c>
      <c r="AO623" s="42" t="s">
        <v>293</v>
      </c>
      <c r="AP623" s="43" t="s">
        <v>293</v>
      </c>
      <c r="AQ623" s="44" t="str">
        <f t="shared" si="47"/>
        <v>EBF</v>
      </c>
      <c r="AR623" s="44">
        <f t="shared" si="3"/>
        <v>39</v>
      </c>
      <c r="AS623" s="44" t="str">
        <f t="shared" si="56"/>
        <v>B</v>
      </c>
      <c r="AT623" s="44" t="str">
        <f t="shared" si="17"/>
        <v>BS</v>
      </c>
      <c r="AU623" s="44" t="str">
        <f t="shared" si="2"/>
        <v>BSk</v>
      </c>
      <c r="AV623" s="38">
        <v>1.0</v>
      </c>
      <c r="AW623" s="38"/>
      <c r="AX623" s="38"/>
      <c r="AY623" s="38"/>
      <c r="AZ623" s="29">
        <v>10000.0</v>
      </c>
      <c r="BA623" s="29"/>
      <c r="BB623" s="29">
        <v>1.0</v>
      </c>
      <c r="BC623" s="29"/>
      <c r="BD623" s="29" t="s">
        <v>88</v>
      </c>
      <c r="BE623" s="29"/>
      <c r="BF623" s="29" t="s">
        <v>1190</v>
      </c>
      <c r="BG623" s="29" t="s">
        <v>220</v>
      </c>
      <c r="BH623" s="29" t="s">
        <v>88</v>
      </c>
      <c r="BI623" s="29" t="s">
        <v>1191</v>
      </c>
      <c r="BJ623" s="29"/>
      <c r="BK623" s="29" t="s">
        <v>1192</v>
      </c>
      <c r="BL623" s="29"/>
      <c r="BM623" s="45"/>
      <c r="BN623" s="45"/>
      <c r="BO623" s="46"/>
      <c r="BP623" s="2"/>
      <c r="BQ623" s="3"/>
    </row>
    <row r="624" ht="15.75" customHeight="1">
      <c r="A624" s="34">
        <v>627.0</v>
      </c>
      <c r="B624" s="34">
        <v>101454.0</v>
      </c>
      <c r="C624" s="34" t="s">
        <v>76</v>
      </c>
      <c r="D624" s="34" t="s">
        <v>1181</v>
      </c>
      <c r="E624" s="34" t="s">
        <v>1182</v>
      </c>
      <c r="F624" s="34">
        <v>2014.0</v>
      </c>
      <c r="G624" s="34" t="s">
        <v>1183</v>
      </c>
      <c r="H624" s="34" t="s">
        <v>1184</v>
      </c>
      <c r="I624" s="34" t="s">
        <v>1185</v>
      </c>
      <c r="J624" s="35"/>
      <c r="K624" s="36">
        <v>0.02</v>
      </c>
      <c r="L624" s="36">
        <v>4.21</v>
      </c>
      <c r="M624" s="36"/>
      <c r="N624" s="36"/>
      <c r="O624" s="36"/>
      <c r="P624" s="37">
        <v>1.0</v>
      </c>
      <c r="Q624" s="36" t="s">
        <v>96</v>
      </c>
      <c r="R624" s="36" t="s">
        <v>96</v>
      </c>
      <c r="S624" s="36">
        <v>10000.0</v>
      </c>
      <c r="T624" s="36" t="s">
        <v>284</v>
      </c>
      <c r="U624" s="36" t="s">
        <v>676</v>
      </c>
      <c r="V624" s="36"/>
      <c r="W624" s="36" t="s">
        <v>169</v>
      </c>
      <c r="X624" s="38">
        <v>1.0</v>
      </c>
      <c r="Y624" s="38" t="s">
        <v>586</v>
      </c>
      <c r="Z624" s="38" t="s">
        <v>587</v>
      </c>
      <c r="AA624" s="38" t="s">
        <v>1222</v>
      </c>
      <c r="AB624" s="38" t="s">
        <v>1223</v>
      </c>
      <c r="AC624" s="38" t="s">
        <v>1224</v>
      </c>
      <c r="AD624" s="38" t="s">
        <v>198</v>
      </c>
      <c r="AE624" s="53"/>
      <c r="AF624" s="38" t="s">
        <v>199</v>
      </c>
      <c r="AG624" s="38"/>
      <c r="AH624" s="38"/>
      <c r="AI624" s="50">
        <v>23.17</v>
      </c>
      <c r="AJ624" s="50">
        <v>112.53</v>
      </c>
      <c r="AK624" s="41" t="s">
        <v>336</v>
      </c>
      <c r="AL624" s="40" t="s">
        <v>336</v>
      </c>
      <c r="AM624" s="49">
        <v>346.0</v>
      </c>
      <c r="AN624" s="51">
        <v>346.0</v>
      </c>
      <c r="AO624" s="42" t="s">
        <v>201</v>
      </c>
      <c r="AP624" s="43" t="s">
        <v>201</v>
      </c>
      <c r="AQ624" s="44" t="s">
        <v>452</v>
      </c>
      <c r="AR624" s="44">
        <f t="shared" si="3"/>
        <v>346</v>
      </c>
      <c r="AS624" s="44" t="str">
        <f t="shared" si="56"/>
        <v>C</v>
      </c>
      <c r="AT624" s="44" t="str">
        <f t="shared" si="17"/>
        <v>Cf</v>
      </c>
      <c r="AU624" s="44" t="str">
        <f t="shared" si="2"/>
        <v>Cfa</v>
      </c>
      <c r="AV624" s="38">
        <v>1.0</v>
      </c>
      <c r="AW624" s="38"/>
      <c r="AX624" s="38"/>
      <c r="AY624" s="38"/>
      <c r="AZ624" s="29">
        <v>10000.0</v>
      </c>
      <c r="BA624" s="29"/>
      <c r="BB624" s="29">
        <v>1.0</v>
      </c>
      <c r="BC624" s="29"/>
      <c r="BD624" s="29" t="s">
        <v>88</v>
      </c>
      <c r="BE624" s="29"/>
      <c r="BF624" s="29" t="s">
        <v>1190</v>
      </c>
      <c r="BG624" s="29" t="s">
        <v>220</v>
      </c>
      <c r="BH624" s="29" t="s">
        <v>88</v>
      </c>
      <c r="BI624" s="29" t="s">
        <v>1191</v>
      </c>
      <c r="BJ624" s="29"/>
      <c r="BK624" s="29" t="s">
        <v>1192</v>
      </c>
      <c r="BL624" s="29"/>
      <c r="BM624" s="45"/>
      <c r="BN624" s="45"/>
      <c r="BO624" s="46"/>
      <c r="BP624" s="2"/>
      <c r="BQ624" s="3"/>
    </row>
    <row r="625" ht="15.75" customHeight="1">
      <c r="A625" s="34">
        <v>628.0</v>
      </c>
      <c r="B625" s="34">
        <v>101454.0</v>
      </c>
      <c r="C625" s="34" t="s">
        <v>76</v>
      </c>
      <c r="D625" s="34" t="s">
        <v>1181</v>
      </c>
      <c r="E625" s="34" t="s">
        <v>1182</v>
      </c>
      <c r="F625" s="34">
        <v>2014.0</v>
      </c>
      <c r="G625" s="34" t="s">
        <v>1183</v>
      </c>
      <c r="H625" s="34" t="s">
        <v>1184</v>
      </c>
      <c r="I625" s="34" t="s">
        <v>1185</v>
      </c>
      <c r="J625" s="35"/>
      <c r="K625" s="36">
        <v>0.7</v>
      </c>
      <c r="L625" s="36">
        <v>3.41</v>
      </c>
      <c r="M625" s="36"/>
      <c r="N625" s="36"/>
      <c r="O625" s="36"/>
      <c r="P625" s="37">
        <v>20.0</v>
      </c>
      <c r="Q625" s="36" t="s">
        <v>96</v>
      </c>
      <c r="R625" s="36" t="s">
        <v>96</v>
      </c>
      <c r="S625" s="36">
        <v>10000.0</v>
      </c>
      <c r="T625" s="36" t="s">
        <v>284</v>
      </c>
      <c r="U625" s="36" t="s">
        <v>285</v>
      </c>
      <c r="V625" s="36"/>
      <c r="W625" s="36" t="s">
        <v>169</v>
      </c>
      <c r="X625" s="38">
        <v>1.0</v>
      </c>
      <c r="Y625" s="38" t="s">
        <v>1225</v>
      </c>
      <c r="Z625" s="38" t="s">
        <v>1226</v>
      </c>
      <c r="AA625" s="38" t="s">
        <v>1227</v>
      </c>
      <c r="AB625" s="38" t="s">
        <v>1228</v>
      </c>
      <c r="AC625" s="38" t="s">
        <v>1229</v>
      </c>
      <c r="AD625" s="38" t="s">
        <v>736</v>
      </c>
      <c r="AE625" s="38"/>
      <c r="AF625" s="38" t="s">
        <v>199</v>
      </c>
      <c r="AG625" s="38"/>
      <c r="AH625" s="38"/>
      <c r="AI625" s="50">
        <v>45.06</v>
      </c>
      <c r="AJ625" s="50">
        <v>142.11</v>
      </c>
      <c r="AK625" s="41" t="s">
        <v>452</v>
      </c>
      <c r="AL625" s="40" t="s">
        <v>452</v>
      </c>
      <c r="AM625" s="49">
        <v>88.0</v>
      </c>
      <c r="AN625" s="51">
        <v>88.0</v>
      </c>
      <c r="AO625" s="42" t="s">
        <v>372</v>
      </c>
      <c r="AP625" s="43" t="s">
        <v>107</v>
      </c>
      <c r="AQ625" s="44" t="s">
        <v>452</v>
      </c>
      <c r="AR625" s="44">
        <f t="shared" si="3"/>
        <v>88</v>
      </c>
      <c r="AS625" s="44" t="str">
        <f t="shared" si="56"/>
        <v>D</v>
      </c>
      <c r="AT625" s="44" t="str">
        <f t="shared" si="17"/>
        <v>Df</v>
      </c>
      <c r="AU625" s="44" t="str">
        <f t="shared" si="2"/>
        <v>Dfb</v>
      </c>
      <c r="AV625" s="38">
        <v>1.0</v>
      </c>
      <c r="AW625" s="38"/>
      <c r="AX625" s="38"/>
      <c r="AY625" s="38"/>
      <c r="AZ625" s="29">
        <v>10000.0</v>
      </c>
      <c r="BA625" s="29"/>
      <c r="BB625" s="29">
        <v>1.0</v>
      </c>
      <c r="BC625" s="29"/>
      <c r="BD625" s="29" t="s">
        <v>88</v>
      </c>
      <c r="BE625" s="29"/>
      <c r="BF625" s="29" t="s">
        <v>1190</v>
      </c>
      <c r="BG625" s="29" t="s">
        <v>220</v>
      </c>
      <c r="BH625" s="29" t="s">
        <v>88</v>
      </c>
      <c r="BI625" s="29" t="s">
        <v>1191</v>
      </c>
      <c r="BJ625" s="29"/>
      <c r="BK625" s="29" t="s">
        <v>1192</v>
      </c>
      <c r="BL625" s="29"/>
      <c r="BM625" s="45"/>
      <c r="BN625" s="45"/>
      <c r="BO625" s="46"/>
      <c r="BP625" s="2"/>
      <c r="BQ625" s="3"/>
    </row>
    <row r="626" ht="15.75" customHeight="1">
      <c r="A626" s="34">
        <v>629.0</v>
      </c>
      <c r="B626" s="34">
        <v>101454.0</v>
      </c>
      <c r="C626" s="34" t="s">
        <v>76</v>
      </c>
      <c r="D626" s="34" t="s">
        <v>1181</v>
      </c>
      <c r="E626" s="34" t="s">
        <v>1182</v>
      </c>
      <c r="F626" s="34">
        <v>2014.0</v>
      </c>
      <c r="G626" s="34" t="s">
        <v>1183</v>
      </c>
      <c r="H626" s="34" t="s">
        <v>1184</v>
      </c>
      <c r="I626" s="34" t="s">
        <v>1185</v>
      </c>
      <c r="J626" s="35"/>
      <c r="K626" s="36">
        <v>-0.21</v>
      </c>
      <c r="L626" s="36">
        <v>4.52</v>
      </c>
      <c r="M626" s="36"/>
      <c r="N626" s="36"/>
      <c r="O626" s="36"/>
      <c r="P626" s="37">
        <v>-5.0</v>
      </c>
      <c r="Q626" s="36" t="s">
        <v>96</v>
      </c>
      <c r="R626" s="36" t="s">
        <v>96</v>
      </c>
      <c r="S626" s="36">
        <v>10000.0</v>
      </c>
      <c r="T626" s="36" t="s">
        <v>328</v>
      </c>
      <c r="U626" s="36" t="s">
        <v>968</v>
      </c>
      <c r="V626" s="36"/>
      <c r="W626" s="36" t="s">
        <v>169</v>
      </c>
      <c r="X626" s="38">
        <v>1.0</v>
      </c>
      <c r="Y626" s="38" t="s">
        <v>1230</v>
      </c>
      <c r="Z626" s="38" t="s">
        <v>1231</v>
      </c>
      <c r="AA626" s="38" t="s">
        <v>452</v>
      </c>
      <c r="AB626" s="38" t="s">
        <v>1232</v>
      </c>
      <c r="AC626" s="38" t="s">
        <v>1233</v>
      </c>
      <c r="AD626" s="38" t="s">
        <v>198</v>
      </c>
      <c r="AE626" s="38"/>
      <c r="AF626" s="38" t="s">
        <v>199</v>
      </c>
      <c r="AG626" s="38"/>
      <c r="AH626" s="38"/>
      <c r="AI626" s="50">
        <v>42.74</v>
      </c>
      <c r="AJ626" s="50">
        <v>141.52</v>
      </c>
      <c r="AK626" s="41" t="s">
        <v>370</v>
      </c>
      <c r="AL626" s="40" t="s">
        <v>370</v>
      </c>
      <c r="AM626" s="49">
        <v>126.0</v>
      </c>
      <c r="AN626" s="51">
        <v>126.0</v>
      </c>
      <c r="AO626" s="42" t="s">
        <v>372</v>
      </c>
      <c r="AP626" s="43" t="s">
        <v>107</v>
      </c>
      <c r="AQ626" s="44" t="str">
        <f>AA626</f>
        <v>MF</v>
      </c>
      <c r="AR626" s="44">
        <f t="shared" si="3"/>
        <v>126</v>
      </c>
      <c r="AS626" s="44" t="str">
        <f t="shared" si="56"/>
        <v>D</v>
      </c>
      <c r="AT626" s="44" t="str">
        <f t="shared" si="17"/>
        <v>Df</v>
      </c>
      <c r="AU626" s="44" t="str">
        <f t="shared" si="2"/>
        <v>Dfb</v>
      </c>
      <c r="AV626" s="38">
        <v>1.0</v>
      </c>
      <c r="AW626" s="38"/>
      <c r="AX626" s="38"/>
      <c r="AY626" s="38"/>
      <c r="AZ626" s="29">
        <v>10000.0</v>
      </c>
      <c r="BA626" s="29"/>
      <c r="BB626" s="29">
        <v>1.0</v>
      </c>
      <c r="BC626" s="29"/>
      <c r="BD626" s="29" t="s">
        <v>88</v>
      </c>
      <c r="BE626" s="29"/>
      <c r="BF626" s="29" t="s">
        <v>1190</v>
      </c>
      <c r="BG626" s="29" t="s">
        <v>220</v>
      </c>
      <c r="BH626" s="29" t="s">
        <v>88</v>
      </c>
      <c r="BI626" s="29" t="s">
        <v>1191</v>
      </c>
      <c r="BJ626" s="29"/>
      <c r="BK626" s="29" t="s">
        <v>1192</v>
      </c>
      <c r="BL626" s="29"/>
      <c r="BM626" s="45"/>
      <c r="BN626" s="45"/>
      <c r="BO626" s="46"/>
      <c r="BP626" s="2"/>
      <c r="BQ626" s="3"/>
    </row>
    <row r="627" ht="15.75" customHeight="1">
      <c r="A627" s="34">
        <v>630.0</v>
      </c>
      <c r="B627" s="34">
        <v>101454.0</v>
      </c>
      <c r="C627" s="34" t="s">
        <v>76</v>
      </c>
      <c r="D627" s="34" t="s">
        <v>1181</v>
      </c>
      <c r="E627" s="34" t="s">
        <v>1182</v>
      </c>
      <c r="F627" s="34">
        <v>2014.0</v>
      </c>
      <c r="G627" s="34" t="s">
        <v>1183</v>
      </c>
      <c r="H627" s="34" t="s">
        <v>1184</v>
      </c>
      <c r="I627" s="34" t="s">
        <v>1185</v>
      </c>
      <c r="J627" s="35"/>
      <c r="K627" s="36">
        <v>0.35</v>
      </c>
      <c r="L627" s="36">
        <v>2.2</v>
      </c>
      <c r="M627" s="36"/>
      <c r="N627" s="36"/>
      <c r="O627" s="36"/>
      <c r="P627" s="37">
        <v>16.0</v>
      </c>
      <c r="Q627" s="36" t="s">
        <v>96</v>
      </c>
      <c r="R627" s="36" t="s">
        <v>96</v>
      </c>
      <c r="S627" s="36">
        <v>10000.0</v>
      </c>
      <c r="T627" s="36" t="s">
        <v>295</v>
      </c>
      <c r="U627" s="36" t="s">
        <v>285</v>
      </c>
      <c r="V627" s="36"/>
      <c r="W627" s="36" t="s">
        <v>169</v>
      </c>
      <c r="X627" s="38">
        <v>1.0</v>
      </c>
      <c r="Y627" s="38" t="s">
        <v>1234</v>
      </c>
      <c r="Z627" s="38" t="s">
        <v>1235</v>
      </c>
      <c r="AA627" s="38" t="s">
        <v>199</v>
      </c>
      <c r="AB627" s="38" t="s">
        <v>1236</v>
      </c>
      <c r="AC627" s="38" t="s">
        <v>1237</v>
      </c>
      <c r="AD627" s="38" t="s">
        <v>736</v>
      </c>
      <c r="AE627" s="38"/>
      <c r="AF627" s="38"/>
      <c r="AG627" s="38"/>
      <c r="AH627" s="38"/>
      <c r="AI627" s="50">
        <v>44.38</v>
      </c>
      <c r="AJ627" s="50">
        <v>142.32</v>
      </c>
      <c r="AK627" s="41" t="s">
        <v>370</v>
      </c>
      <c r="AL627" s="40" t="s">
        <v>370</v>
      </c>
      <c r="AM627" s="49">
        <v>597.0</v>
      </c>
      <c r="AN627" s="51">
        <v>597.0</v>
      </c>
      <c r="AO627" s="42" t="s">
        <v>372</v>
      </c>
      <c r="AP627" s="43" t="s">
        <v>107</v>
      </c>
      <c r="AQ627" s="44" t="s">
        <v>452</v>
      </c>
      <c r="AR627" s="44">
        <f t="shared" si="3"/>
        <v>597</v>
      </c>
      <c r="AS627" s="44" t="str">
        <f t="shared" si="56"/>
        <v>D</v>
      </c>
      <c r="AT627" s="44" t="str">
        <f t="shared" si="17"/>
        <v>Df</v>
      </c>
      <c r="AU627" s="44" t="str">
        <f t="shared" si="2"/>
        <v>Dfb</v>
      </c>
      <c r="AV627" s="38">
        <v>1.0</v>
      </c>
      <c r="AW627" s="38"/>
      <c r="AX627" s="38"/>
      <c r="AY627" s="38"/>
      <c r="AZ627" s="29">
        <v>10000.0</v>
      </c>
      <c r="BA627" s="29"/>
      <c r="BB627" s="29">
        <v>1.0</v>
      </c>
      <c r="BC627" s="29"/>
      <c r="BD627" s="29" t="s">
        <v>88</v>
      </c>
      <c r="BE627" s="29"/>
      <c r="BF627" s="29" t="s">
        <v>1190</v>
      </c>
      <c r="BG627" s="29" t="s">
        <v>220</v>
      </c>
      <c r="BH627" s="29" t="s">
        <v>88</v>
      </c>
      <c r="BI627" s="29" t="s">
        <v>1191</v>
      </c>
      <c r="BJ627" s="29"/>
      <c r="BK627" s="29" t="s">
        <v>1192</v>
      </c>
      <c r="BL627" s="29"/>
      <c r="BM627" s="45"/>
      <c r="BN627" s="45"/>
      <c r="BO627" s="46"/>
      <c r="BP627" s="2"/>
      <c r="BQ627" s="3"/>
    </row>
    <row r="628" ht="15.75" customHeight="1">
      <c r="A628" s="34">
        <v>631.0</v>
      </c>
      <c r="B628" s="34">
        <v>101454.0</v>
      </c>
      <c r="C628" s="34" t="s">
        <v>76</v>
      </c>
      <c r="D628" s="34" t="s">
        <v>1181</v>
      </c>
      <c r="E628" s="34" t="s">
        <v>1182</v>
      </c>
      <c r="F628" s="34">
        <v>2014.0</v>
      </c>
      <c r="G628" s="34" t="s">
        <v>1183</v>
      </c>
      <c r="H628" s="34" t="s">
        <v>1184</v>
      </c>
      <c r="I628" s="34" t="s">
        <v>1185</v>
      </c>
      <c r="J628" s="35"/>
      <c r="K628" s="36">
        <v>-1.0</v>
      </c>
      <c r="L628" s="36">
        <v>4.89</v>
      </c>
      <c r="M628" s="36"/>
      <c r="N628" s="36"/>
      <c r="O628" s="36"/>
      <c r="P628" s="37">
        <v>-20.0</v>
      </c>
      <c r="Q628" s="36" t="s">
        <v>96</v>
      </c>
      <c r="R628" s="36" t="s">
        <v>96</v>
      </c>
      <c r="S628" s="36">
        <v>10000.0</v>
      </c>
      <c r="T628" s="36" t="s">
        <v>284</v>
      </c>
      <c r="U628" s="36" t="s">
        <v>676</v>
      </c>
      <c r="V628" s="36"/>
      <c r="W628" s="36" t="s">
        <v>169</v>
      </c>
      <c r="X628" s="38">
        <v>1.0</v>
      </c>
      <c r="Y628" s="38" t="s">
        <v>195</v>
      </c>
      <c r="Z628" s="68" t="s">
        <v>196</v>
      </c>
      <c r="AA628" s="38" t="s">
        <v>197</v>
      </c>
      <c r="AB628" s="38" t="s">
        <v>1238</v>
      </c>
      <c r="AC628" s="38" t="s">
        <v>1239</v>
      </c>
      <c r="AD628" s="38" t="s">
        <v>198</v>
      </c>
      <c r="AE628" s="38"/>
      <c r="AF628" s="38" t="s">
        <v>199</v>
      </c>
      <c r="AG628" s="38"/>
      <c r="AH628" s="38"/>
      <c r="AI628" s="50">
        <v>26.74</v>
      </c>
      <c r="AJ628" s="50">
        <v>115.07</v>
      </c>
      <c r="AK628" s="41" t="s">
        <v>200</v>
      </c>
      <c r="AL628" s="40" t="s">
        <v>200</v>
      </c>
      <c r="AM628" s="49">
        <v>73.0</v>
      </c>
      <c r="AN628" s="51">
        <v>73.0</v>
      </c>
      <c r="AO628" s="42" t="s">
        <v>201</v>
      </c>
      <c r="AP628" s="43" t="s">
        <v>201</v>
      </c>
      <c r="AQ628" s="44" t="str">
        <f t="shared" ref="AQ628:AQ630" si="57">AA628</f>
        <v>ENF</v>
      </c>
      <c r="AR628" s="44">
        <f t="shared" si="3"/>
        <v>73</v>
      </c>
      <c r="AS628" s="44" t="str">
        <f t="shared" si="56"/>
        <v>C</v>
      </c>
      <c r="AT628" s="44" t="str">
        <f t="shared" si="17"/>
        <v>Cf</v>
      </c>
      <c r="AU628" s="44" t="str">
        <f t="shared" si="2"/>
        <v>Cfa</v>
      </c>
      <c r="AV628" s="38">
        <v>1.0</v>
      </c>
      <c r="AW628" s="38"/>
      <c r="AX628" s="38"/>
      <c r="AY628" s="38"/>
      <c r="AZ628" s="29">
        <v>10000.0</v>
      </c>
      <c r="BA628" s="29"/>
      <c r="BB628" s="29">
        <v>1.0</v>
      </c>
      <c r="BC628" s="29"/>
      <c r="BD628" s="29" t="s">
        <v>88</v>
      </c>
      <c r="BE628" s="29"/>
      <c r="BF628" s="29" t="s">
        <v>1190</v>
      </c>
      <c r="BG628" s="29" t="s">
        <v>220</v>
      </c>
      <c r="BH628" s="29" t="s">
        <v>88</v>
      </c>
      <c r="BI628" s="29" t="s">
        <v>1191</v>
      </c>
      <c r="BJ628" s="29"/>
      <c r="BK628" s="29" t="s">
        <v>1192</v>
      </c>
      <c r="BL628" s="29"/>
      <c r="BM628" s="45"/>
      <c r="BN628" s="45"/>
      <c r="BO628" s="46"/>
      <c r="BP628" s="2"/>
      <c r="BQ628" s="3"/>
    </row>
    <row r="629" ht="15.75" customHeight="1">
      <c r="A629" s="34">
        <v>632.0</v>
      </c>
      <c r="B629" s="34">
        <v>101454.0</v>
      </c>
      <c r="C629" s="34" t="s">
        <v>76</v>
      </c>
      <c r="D629" s="34" t="s">
        <v>1181</v>
      </c>
      <c r="E629" s="34" t="s">
        <v>1182</v>
      </c>
      <c r="F629" s="34">
        <v>2014.0</v>
      </c>
      <c r="G629" s="34" t="s">
        <v>1183</v>
      </c>
      <c r="H629" s="34" t="s">
        <v>1184</v>
      </c>
      <c r="I629" s="34" t="s">
        <v>1185</v>
      </c>
      <c r="J629" s="35"/>
      <c r="K629" s="36">
        <v>2.11</v>
      </c>
      <c r="L629" s="36">
        <v>3.2</v>
      </c>
      <c r="M629" s="36"/>
      <c r="N629" s="36"/>
      <c r="O629" s="36"/>
      <c r="P629" s="37">
        <v>66.0</v>
      </c>
      <c r="Q629" s="36" t="s">
        <v>96</v>
      </c>
      <c r="R629" s="36" t="s">
        <v>96</v>
      </c>
      <c r="S629" s="36">
        <v>10000.0</v>
      </c>
      <c r="T629" s="36" t="s">
        <v>356</v>
      </c>
      <c r="U629" s="36" t="s">
        <v>285</v>
      </c>
      <c r="V629" s="36"/>
      <c r="W629" s="36" t="s">
        <v>169</v>
      </c>
      <c r="X629" s="38">
        <v>1.0</v>
      </c>
      <c r="Y629" s="38" t="s">
        <v>480</v>
      </c>
      <c r="Z629" s="38" t="s">
        <v>481</v>
      </c>
      <c r="AA629" s="38" t="s">
        <v>197</v>
      </c>
      <c r="AB629" s="38" t="s">
        <v>1240</v>
      </c>
      <c r="AC629" s="38" t="s">
        <v>1241</v>
      </c>
      <c r="AD629" s="38" t="s">
        <v>482</v>
      </c>
      <c r="AE629" s="38"/>
      <c r="AF629" s="38" t="s">
        <v>199</v>
      </c>
      <c r="AG629" s="38"/>
      <c r="AH629" s="38"/>
      <c r="AI629" s="50">
        <v>56.46</v>
      </c>
      <c r="AJ629" s="50">
        <v>32.92</v>
      </c>
      <c r="AK629" s="41" t="s">
        <v>452</v>
      </c>
      <c r="AL629" s="40" t="s">
        <v>452</v>
      </c>
      <c r="AM629" s="49">
        <v>276.0</v>
      </c>
      <c r="AN629" s="51">
        <v>276.0</v>
      </c>
      <c r="AO629" s="42" t="s">
        <v>372</v>
      </c>
      <c r="AP629" s="43" t="s">
        <v>107</v>
      </c>
      <c r="AQ629" s="44" t="str">
        <f t="shared" si="57"/>
        <v>ENF</v>
      </c>
      <c r="AR629" s="44">
        <f t="shared" si="3"/>
        <v>276</v>
      </c>
      <c r="AS629" s="44" t="str">
        <f t="shared" si="56"/>
        <v>D</v>
      </c>
      <c r="AT629" s="44" t="str">
        <f t="shared" si="17"/>
        <v>Df</v>
      </c>
      <c r="AU629" s="44" t="str">
        <f t="shared" si="2"/>
        <v>Dfb</v>
      </c>
      <c r="AV629" s="38">
        <v>1.0</v>
      </c>
      <c r="AW629" s="38"/>
      <c r="AX629" s="38"/>
      <c r="AY629" s="38"/>
      <c r="AZ629" s="29">
        <v>10000.0</v>
      </c>
      <c r="BA629" s="29"/>
      <c r="BB629" s="29">
        <v>1.0</v>
      </c>
      <c r="BC629" s="29"/>
      <c r="BD629" s="29" t="s">
        <v>88</v>
      </c>
      <c r="BE629" s="29"/>
      <c r="BF629" s="29" t="s">
        <v>1190</v>
      </c>
      <c r="BG629" s="29" t="s">
        <v>220</v>
      </c>
      <c r="BH629" s="29" t="s">
        <v>88</v>
      </c>
      <c r="BI629" s="29" t="s">
        <v>1191</v>
      </c>
      <c r="BJ629" s="29"/>
      <c r="BK629" s="29" t="s">
        <v>1192</v>
      </c>
      <c r="BL629" s="29"/>
      <c r="BM629" s="45"/>
      <c r="BN629" s="45"/>
      <c r="BO629" s="46"/>
      <c r="BP629" s="2"/>
      <c r="BQ629" s="3"/>
    </row>
    <row r="630" ht="15.75" customHeight="1">
      <c r="A630" s="34">
        <v>633.0</v>
      </c>
      <c r="B630" s="34">
        <v>101454.0</v>
      </c>
      <c r="C630" s="34" t="s">
        <v>76</v>
      </c>
      <c r="D630" s="34" t="s">
        <v>1181</v>
      </c>
      <c r="E630" s="34" t="s">
        <v>1182</v>
      </c>
      <c r="F630" s="34">
        <v>2014.0</v>
      </c>
      <c r="G630" s="34" t="s">
        <v>1183</v>
      </c>
      <c r="H630" s="34" t="s">
        <v>1184</v>
      </c>
      <c r="I630" s="34" t="s">
        <v>1185</v>
      </c>
      <c r="J630" s="35">
        <v>1.0</v>
      </c>
      <c r="K630" s="36">
        <v>-0.73</v>
      </c>
      <c r="L630" s="36">
        <v>3.77</v>
      </c>
      <c r="M630" s="36"/>
      <c r="N630" s="36"/>
      <c r="O630" s="36"/>
      <c r="P630" s="37">
        <v>-19.0</v>
      </c>
      <c r="Q630" s="36" t="s">
        <v>96</v>
      </c>
      <c r="R630" s="36" t="s">
        <v>96</v>
      </c>
      <c r="S630" s="36">
        <v>10000.0</v>
      </c>
      <c r="T630" s="36" t="s">
        <v>284</v>
      </c>
      <c r="U630" s="36" t="s">
        <v>194</v>
      </c>
      <c r="V630" s="36"/>
      <c r="W630" s="36" t="s">
        <v>169</v>
      </c>
      <c r="X630" s="38">
        <v>1.0</v>
      </c>
      <c r="Y630" s="38" t="s">
        <v>1242</v>
      </c>
      <c r="Z630" s="38" t="s">
        <v>1243</v>
      </c>
      <c r="AA630" s="38" t="s">
        <v>197</v>
      </c>
      <c r="AB630" s="38" t="s">
        <v>1244</v>
      </c>
      <c r="AC630" s="38" t="s">
        <v>1245</v>
      </c>
      <c r="AD630" s="38" t="s">
        <v>482</v>
      </c>
      <c r="AE630" s="38"/>
      <c r="AF630" s="38" t="s">
        <v>199</v>
      </c>
      <c r="AG630" s="38"/>
      <c r="AH630" s="38"/>
      <c r="AI630" s="50">
        <v>60.8</v>
      </c>
      <c r="AJ630" s="50">
        <v>89.35</v>
      </c>
      <c r="AK630" s="41" t="s">
        <v>200</v>
      </c>
      <c r="AL630" s="40" t="s">
        <v>200</v>
      </c>
      <c r="AM630" s="49"/>
      <c r="AN630" s="43"/>
      <c r="AO630" s="42" t="s">
        <v>412</v>
      </c>
      <c r="AP630" s="43" t="s">
        <v>372</v>
      </c>
      <c r="AQ630" s="44" t="str">
        <f t="shared" si="57"/>
        <v>ENF</v>
      </c>
      <c r="AR630" s="44" t="str">
        <f t="shared" si="3"/>
        <v/>
      </c>
      <c r="AS630" s="44" t="str">
        <f t="shared" si="56"/>
        <v>D</v>
      </c>
      <c r="AT630" s="44" t="str">
        <f t="shared" si="17"/>
        <v>Df</v>
      </c>
      <c r="AU630" s="44" t="str">
        <f t="shared" si="2"/>
        <v>Dfc</v>
      </c>
      <c r="AV630" s="38">
        <v>1.0</v>
      </c>
      <c r="AW630" s="38"/>
      <c r="AX630" s="38"/>
      <c r="AY630" s="38"/>
      <c r="AZ630" s="29">
        <v>10000.0</v>
      </c>
      <c r="BA630" s="29"/>
      <c r="BB630" s="29">
        <v>1.0</v>
      </c>
      <c r="BC630" s="29"/>
      <c r="BD630" s="29" t="s">
        <v>88</v>
      </c>
      <c r="BE630" s="29"/>
      <c r="BF630" s="29" t="s">
        <v>1190</v>
      </c>
      <c r="BG630" s="29" t="s">
        <v>220</v>
      </c>
      <c r="BH630" s="29" t="s">
        <v>88</v>
      </c>
      <c r="BI630" s="29" t="s">
        <v>1191</v>
      </c>
      <c r="BJ630" s="29"/>
      <c r="BK630" s="29" t="s">
        <v>1192</v>
      </c>
      <c r="BL630" s="29"/>
      <c r="BM630" s="45"/>
      <c r="BN630" s="45"/>
      <c r="BO630" s="46"/>
      <c r="BP630" s="2"/>
      <c r="BQ630" s="3"/>
    </row>
    <row r="631" ht="15.75" customHeight="1">
      <c r="A631" s="34">
        <v>634.0</v>
      </c>
      <c r="B631" s="34">
        <v>101454.0</v>
      </c>
      <c r="C631" s="34" t="s">
        <v>76</v>
      </c>
      <c r="D631" s="34" t="s">
        <v>1181</v>
      </c>
      <c r="E631" s="34" t="s">
        <v>1182</v>
      </c>
      <c r="F631" s="34">
        <v>2014.0</v>
      </c>
      <c r="G631" s="34" t="s">
        <v>1183</v>
      </c>
      <c r="H631" s="34" t="s">
        <v>1184</v>
      </c>
      <c r="I631" s="34" t="s">
        <v>1185</v>
      </c>
      <c r="J631" s="35"/>
      <c r="K631" s="36">
        <v>0.89</v>
      </c>
      <c r="L631" s="36">
        <v>2.04</v>
      </c>
      <c r="M631" s="36"/>
      <c r="N631" s="36"/>
      <c r="O631" s="36"/>
      <c r="P631" s="37">
        <v>44.0</v>
      </c>
      <c r="Q631" s="36" t="s">
        <v>96</v>
      </c>
      <c r="R631" s="36" t="s">
        <v>96</v>
      </c>
      <c r="S631" s="36">
        <v>10000.0</v>
      </c>
      <c r="T631" s="36" t="s">
        <v>193</v>
      </c>
      <c r="U631" s="36" t="s">
        <v>342</v>
      </c>
      <c r="V631" s="36"/>
      <c r="W631" s="36" t="s">
        <v>169</v>
      </c>
      <c r="X631" s="38">
        <v>1.0</v>
      </c>
      <c r="Y631" s="38" t="s">
        <v>1246</v>
      </c>
      <c r="Z631" s="38" t="s">
        <v>1247</v>
      </c>
      <c r="AA631" s="38"/>
      <c r="AB631" s="38" t="s">
        <v>1248</v>
      </c>
      <c r="AC631" s="38" t="s">
        <v>1249</v>
      </c>
      <c r="AD631" s="38" t="s">
        <v>1250</v>
      </c>
      <c r="AE631" s="38"/>
      <c r="AF631" s="38" t="s">
        <v>199</v>
      </c>
      <c r="AG631" s="38"/>
      <c r="AH631" s="38"/>
      <c r="AI631" s="50">
        <v>48.35</v>
      </c>
      <c r="AJ631" s="50">
        <v>108.65</v>
      </c>
      <c r="AK631" s="41" t="s">
        <v>288</v>
      </c>
      <c r="AL631" s="40" t="s">
        <v>288</v>
      </c>
      <c r="AM631" s="49">
        <v>1586.0</v>
      </c>
      <c r="AN631" s="51">
        <v>1586.0</v>
      </c>
      <c r="AO631" s="42" t="s">
        <v>597</v>
      </c>
      <c r="AP631" s="43" t="s">
        <v>597</v>
      </c>
      <c r="AQ631" s="80" t="s">
        <v>288</v>
      </c>
      <c r="AR631" s="44">
        <f t="shared" si="3"/>
        <v>1586</v>
      </c>
      <c r="AS631" s="44" t="str">
        <f t="shared" si="56"/>
        <v>D</v>
      </c>
      <c r="AT631" s="44" t="str">
        <f t="shared" si="17"/>
        <v>Dw</v>
      </c>
      <c r="AU631" s="44" t="str">
        <f t="shared" si="2"/>
        <v>Dwc</v>
      </c>
      <c r="AV631" s="38">
        <v>1.0</v>
      </c>
      <c r="AW631" s="38"/>
      <c r="AX631" s="38"/>
      <c r="AY631" s="38"/>
      <c r="AZ631" s="29">
        <v>10000.0</v>
      </c>
      <c r="BA631" s="29"/>
      <c r="BB631" s="29">
        <v>1.0</v>
      </c>
      <c r="BC631" s="29"/>
      <c r="BD631" s="29" t="s">
        <v>88</v>
      </c>
      <c r="BE631" s="29"/>
      <c r="BF631" s="29" t="s">
        <v>1190</v>
      </c>
      <c r="BG631" s="29" t="s">
        <v>220</v>
      </c>
      <c r="BH631" s="29" t="s">
        <v>88</v>
      </c>
      <c r="BI631" s="29" t="s">
        <v>1191</v>
      </c>
      <c r="BJ631" s="29"/>
      <c r="BK631" s="29" t="s">
        <v>1192</v>
      </c>
      <c r="BL631" s="29"/>
      <c r="BM631" s="45"/>
      <c r="BN631" s="45"/>
      <c r="BO631" s="46"/>
      <c r="BP631" s="2"/>
      <c r="BQ631" s="3"/>
    </row>
    <row r="632" ht="15.75" customHeight="1">
      <c r="A632" s="34">
        <v>635.0</v>
      </c>
      <c r="B632" s="34">
        <v>101454.0</v>
      </c>
      <c r="C632" s="34" t="s">
        <v>76</v>
      </c>
      <c r="D632" s="34" t="s">
        <v>1181</v>
      </c>
      <c r="E632" s="34" t="s">
        <v>1182</v>
      </c>
      <c r="F632" s="34">
        <v>2014.0</v>
      </c>
      <c r="G632" s="34" t="s">
        <v>1183</v>
      </c>
      <c r="H632" s="34" t="s">
        <v>1184</v>
      </c>
      <c r="I632" s="34" t="s">
        <v>1185</v>
      </c>
      <c r="J632" s="35"/>
      <c r="K632" s="36">
        <v>3.34</v>
      </c>
      <c r="L632" s="36">
        <v>1.92</v>
      </c>
      <c r="M632" s="36"/>
      <c r="N632" s="36"/>
      <c r="O632" s="36"/>
      <c r="P632" s="37">
        <v>78.0</v>
      </c>
      <c r="Q632" s="36" t="s">
        <v>96</v>
      </c>
      <c r="R632" s="36" t="s">
        <v>96</v>
      </c>
      <c r="S632" s="36">
        <v>10000.0</v>
      </c>
      <c r="T632" s="36" t="s">
        <v>1251</v>
      </c>
      <c r="U632" s="36" t="s">
        <v>342</v>
      </c>
      <c r="V632" s="36"/>
      <c r="W632" s="36" t="s">
        <v>169</v>
      </c>
      <c r="X632" s="38">
        <v>1.0</v>
      </c>
      <c r="Y632" s="38" t="s">
        <v>1252</v>
      </c>
      <c r="Z632" s="38" t="s">
        <v>1253</v>
      </c>
      <c r="AA632" s="38" t="s">
        <v>370</v>
      </c>
      <c r="AB632" s="38" t="s">
        <v>1254</v>
      </c>
      <c r="AC632" s="38" t="s">
        <v>1255</v>
      </c>
      <c r="AD632" s="38" t="s">
        <v>736</v>
      </c>
      <c r="AE632" s="38"/>
      <c r="AF632" s="38" t="s">
        <v>199</v>
      </c>
      <c r="AG632" s="38"/>
      <c r="AH632" s="38"/>
      <c r="AI632" s="50">
        <v>36.15</v>
      </c>
      <c r="AJ632" s="50">
        <v>137.42</v>
      </c>
      <c r="AK632" s="41" t="s">
        <v>370</v>
      </c>
      <c r="AL632" s="40" t="s">
        <v>370</v>
      </c>
      <c r="AM632" s="49">
        <v>1382.0</v>
      </c>
      <c r="AN632" s="51">
        <v>1382.0</v>
      </c>
      <c r="AO632" s="42" t="s">
        <v>372</v>
      </c>
      <c r="AP632" s="43" t="s">
        <v>107</v>
      </c>
      <c r="AQ632" s="44" t="str">
        <f t="shared" ref="AQ632:AQ691" si="58">AA632</f>
        <v>DBF</v>
      </c>
      <c r="AR632" s="44">
        <f t="shared" si="3"/>
        <v>1382</v>
      </c>
      <c r="AS632" s="44" t="str">
        <f t="shared" si="56"/>
        <v>D</v>
      </c>
      <c r="AT632" s="44" t="str">
        <f t="shared" si="17"/>
        <v>Df</v>
      </c>
      <c r="AU632" s="44" t="str">
        <f t="shared" si="2"/>
        <v>Dfb</v>
      </c>
      <c r="AV632" s="38">
        <v>1.0</v>
      </c>
      <c r="AW632" s="38"/>
      <c r="AX632" s="38"/>
      <c r="AY632" s="38"/>
      <c r="AZ632" s="29">
        <v>10000.0</v>
      </c>
      <c r="BA632" s="29"/>
      <c r="BB632" s="29">
        <v>1.0</v>
      </c>
      <c r="BC632" s="29"/>
      <c r="BD632" s="29" t="s">
        <v>88</v>
      </c>
      <c r="BE632" s="29"/>
      <c r="BF632" s="29" t="s">
        <v>1190</v>
      </c>
      <c r="BG632" s="29" t="s">
        <v>220</v>
      </c>
      <c r="BH632" s="29" t="s">
        <v>88</v>
      </c>
      <c r="BI632" s="29" t="s">
        <v>1191</v>
      </c>
      <c r="BJ632" s="29"/>
      <c r="BK632" s="29" t="s">
        <v>1192</v>
      </c>
      <c r="BL632" s="29"/>
      <c r="BM632" s="45"/>
      <c r="BN632" s="45"/>
      <c r="BO632" s="46"/>
      <c r="BP632" s="2"/>
      <c r="BQ632" s="3"/>
    </row>
    <row r="633" ht="15.75" customHeight="1">
      <c r="A633" s="34">
        <v>636.0</v>
      </c>
      <c r="B633" s="34">
        <v>101454.0</v>
      </c>
      <c r="C633" s="34" t="s">
        <v>76</v>
      </c>
      <c r="D633" s="34" t="s">
        <v>1181</v>
      </c>
      <c r="E633" s="34" t="s">
        <v>1182</v>
      </c>
      <c r="F633" s="34">
        <v>2014.0</v>
      </c>
      <c r="G633" s="34" t="s">
        <v>1183</v>
      </c>
      <c r="H633" s="34" t="s">
        <v>1184</v>
      </c>
      <c r="I633" s="34" t="s">
        <v>1185</v>
      </c>
      <c r="J633" s="35"/>
      <c r="K633" s="36">
        <v>-1.14</v>
      </c>
      <c r="L633" s="36">
        <v>6.43</v>
      </c>
      <c r="M633" s="36"/>
      <c r="N633" s="36"/>
      <c r="O633" s="36"/>
      <c r="P633" s="37">
        <v>-18.0</v>
      </c>
      <c r="Q633" s="36" t="s">
        <v>96</v>
      </c>
      <c r="R633" s="36" t="s">
        <v>96</v>
      </c>
      <c r="S633" s="36">
        <v>10000.0</v>
      </c>
      <c r="T633" s="36" t="s">
        <v>506</v>
      </c>
      <c r="U633" s="36" t="s">
        <v>351</v>
      </c>
      <c r="V633" s="36"/>
      <c r="W633" s="36" t="s">
        <v>169</v>
      </c>
      <c r="X633" s="38">
        <v>1.0</v>
      </c>
      <c r="Y633" s="38" t="s">
        <v>1256</v>
      </c>
      <c r="Z633" s="38" t="s">
        <v>1256</v>
      </c>
      <c r="AA633" s="38" t="s">
        <v>288</v>
      </c>
      <c r="AB633" s="38" t="s">
        <v>1257</v>
      </c>
      <c r="AC633" s="38" t="s">
        <v>1258</v>
      </c>
      <c r="AD633" s="38" t="s">
        <v>198</v>
      </c>
      <c r="AE633" s="38">
        <v>3033.0</v>
      </c>
      <c r="AF633" s="38" t="s">
        <v>1259</v>
      </c>
      <c r="AG633" s="38"/>
      <c r="AH633" s="38"/>
      <c r="AI633" s="50">
        <v>38.04</v>
      </c>
      <c r="AJ633" s="50">
        <v>100.46</v>
      </c>
      <c r="AK633" s="41" t="s">
        <v>288</v>
      </c>
      <c r="AL633" s="40" t="s">
        <v>288</v>
      </c>
      <c r="AM633" s="49">
        <v>3028.0</v>
      </c>
      <c r="AN633" s="51">
        <v>3028.0</v>
      </c>
      <c r="AO633" s="42" t="s">
        <v>597</v>
      </c>
      <c r="AP633" s="43" t="s">
        <v>597</v>
      </c>
      <c r="AQ633" s="44" t="str">
        <f t="shared" si="58"/>
        <v>GRA</v>
      </c>
      <c r="AR633" s="44">
        <f t="shared" si="3"/>
        <v>3028</v>
      </c>
      <c r="AS633" s="44" t="str">
        <f t="shared" si="56"/>
        <v>D</v>
      </c>
      <c r="AT633" s="44" t="str">
        <f t="shared" si="17"/>
        <v>Dw</v>
      </c>
      <c r="AU633" s="44" t="str">
        <f t="shared" si="2"/>
        <v>Dwc</v>
      </c>
      <c r="AV633" s="38">
        <v>1.0</v>
      </c>
      <c r="AW633" s="38"/>
      <c r="AX633" s="38"/>
      <c r="AY633" s="38"/>
      <c r="AZ633" s="29">
        <v>10000.0</v>
      </c>
      <c r="BA633" s="29"/>
      <c r="BB633" s="29">
        <v>1.0</v>
      </c>
      <c r="BC633" s="29"/>
      <c r="BD633" s="29" t="s">
        <v>88</v>
      </c>
      <c r="BE633" s="29"/>
      <c r="BF633" s="29" t="s">
        <v>1190</v>
      </c>
      <c r="BG633" s="29" t="s">
        <v>220</v>
      </c>
      <c r="BH633" s="29" t="s">
        <v>88</v>
      </c>
      <c r="BI633" s="29" t="s">
        <v>1191</v>
      </c>
      <c r="BJ633" s="29"/>
      <c r="BK633" s="29" t="s">
        <v>1192</v>
      </c>
      <c r="BL633" s="29"/>
      <c r="BM633" s="45"/>
      <c r="BN633" s="45"/>
      <c r="BO633" s="46"/>
      <c r="BP633" s="2"/>
      <c r="BQ633" s="3"/>
    </row>
    <row r="634" ht="15.75" customHeight="1">
      <c r="A634" s="34">
        <v>637.0</v>
      </c>
      <c r="B634" s="34">
        <v>101454.0</v>
      </c>
      <c r="C634" s="34" t="s">
        <v>76</v>
      </c>
      <c r="D634" s="34" t="s">
        <v>1181</v>
      </c>
      <c r="E634" s="34" t="s">
        <v>1182</v>
      </c>
      <c r="F634" s="34">
        <v>2014.0</v>
      </c>
      <c r="G634" s="34" t="s">
        <v>1183</v>
      </c>
      <c r="H634" s="34" t="s">
        <v>1184</v>
      </c>
      <c r="I634" s="34" t="s">
        <v>1185</v>
      </c>
      <c r="J634" s="35"/>
      <c r="K634" s="36">
        <v>1.25</v>
      </c>
      <c r="L634" s="36">
        <v>3.91</v>
      </c>
      <c r="M634" s="36"/>
      <c r="N634" s="36"/>
      <c r="O634" s="36"/>
      <c r="P634" s="37">
        <v>32.0</v>
      </c>
      <c r="Q634" s="36" t="s">
        <v>96</v>
      </c>
      <c r="R634" s="36" t="s">
        <v>96</v>
      </c>
      <c r="S634" s="36">
        <v>10000.0</v>
      </c>
      <c r="T634" s="36" t="s">
        <v>506</v>
      </c>
      <c r="U634" s="36" t="s">
        <v>351</v>
      </c>
      <c r="V634" s="36"/>
      <c r="W634" s="36" t="s">
        <v>169</v>
      </c>
      <c r="X634" s="38">
        <v>1.0</v>
      </c>
      <c r="Y634" s="38" t="s">
        <v>1260</v>
      </c>
      <c r="Z634" s="38" t="s">
        <v>1260</v>
      </c>
      <c r="AA634" s="38" t="s">
        <v>288</v>
      </c>
      <c r="AB634" s="38" t="s">
        <v>1261</v>
      </c>
      <c r="AC634" s="38" t="s">
        <v>1262</v>
      </c>
      <c r="AD634" s="38" t="s">
        <v>198</v>
      </c>
      <c r="AE634" s="53"/>
      <c r="AF634" s="38"/>
      <c r="AG634" s="38"/>
      <c r="AH634" s="38"/>
      <c r="AI634" s="50">
        <v>35.2</v>
      </c>
      <c r="AJ634" s="50">
        <v>107.67</v>
      </c>
      <c r="AK634" s="41" t="s">
        <v>86</v>
      </c>
      <c r="AL634" s="40" t="s">
        <v>86</v>
      </c>
      <c r="AM634" s="49">
        <v>961.0</v>
      </c>
      <c r="AN634" s="51">
        <v>961.0</v>
      </c>
      <c r="AO634" s="42" t="s">
        <v>218</v>
      </c>
      <c r="AP634" s="43" t="s">
        <v>218</v>
      </c>
      <c r="AQ634" s="44" t="str">
        <f t="shared" si="58"/>
        <v>GRA</v>
      </c>
      <c r="AR634" s="44">
        <f t="shared" si="3"/>
        <v>961</v>
      </c>
      <c r="AS634" s="44" t="str">
        <f t="shared" si="56"/>
        <v>D</v>
      </c>
      <c r="AT634" s="44" t="str">
        <f t="shared" si="17"/>
        <v>Dw</v>
      </c>
      <c r="AU634" s="44" t="str">
        <f t="shared" si="2"/>
        <v>Dwa</v>
      </c>
      <c r="AV634" s="38">
        <v>1.0</v>
      </c>
      <c r="AW634" s="38"/>
      <c r="AX634" s="38"/>
      <c r="AY634" s="38"/>
      <c r="AZ634" s="29">
        <v>10000.0</v>
      </c>
      <c r="BA634" s="29"/>
      <c r="BB634" s="29">
        <v>1.0</v>
      </c>
      <c r="BC634" s="29"/>
      <c r="BD634" s="29" t="s">
        <v>88</v>
      </c>
      <c r="BE634" s="29"/>
      <c r="BF634" s="29" t="s">
        <v>1190</v>
      </c>
      <c r="BG634" s="29" t="s">
        <v>220</v>
      </c>
      <c r="BH634" s="29" t="s">
        <v>88</v>
      </c>
      <c r="BI634" s="29" t="s">
        <v>1191</v>
      </c>
      <c r="BJ634" s="29"/>
      <c r="BK634" s="29" t="s">
        <v>1192</v>
      </c>
      <c r="BL634" s="29"/>
      <c r="BM634" s="45"/>
      <c r="BN634" s="45"/>
      <c r="BO634" s="46"/>
      <c r="BP634" s="2"/>
      <c r="BQ634" s="3"/>
    </row>
    <row r="635" ht="15.75" customHeight="1">
      <c r="A635" s="34">
        <v>638.0</v>
      </c>
      <c r="B635" s="34">
        <v>101454.0</v>
      </c>
      <c r="C635" s="34" t="s">
        <v>76</v>
      </c>
      <c r="D635" s="34" t="s">
        <v>1181</v>
      </c>
      <c r="E635" s="34" t="s">
        <v>1182</v>
      </c>
      <c r="F635" s="34">
        <v>2014.0</v>
      </c>
      <c r="G635" s="34" t="s">
        <v>1183</v>
      </c>
      <c r="H635" s="34" t="s">
        <v>1184</v>
      </c>
      <c r="I635" s="34" t="s">
        <v>1185</v>
      </c>
      <c r="J635" s="35"/>
      <c r="K635" s="36">
        <v>0.15</v>
      </c>
      <c r="L635" s="36">
        <v>3.46</v>
      </c>
      <c r="M635" s="36"/>
      <c r="N635" s="36"/>
      <c r="O635" s="36"/>
      <c r="P635" s="37">
        <v>4.0</v>
      </c>
      <c r="Q635" s="36" t="s">
        <v>96</v>
      </c>
      <c r="R635" s="36" t="s">
        <v>96</v>
      </c>
      <c r="S635" s="36">
        <v>10000.0</v>
      </c>
      <c r="T635" s="36" t="s">
        <v>284</v>
      </c>
      <c r="U635" s="36" t="s">
        <v>968</v>
      </c>
      <c r="V635" s="36"/>
      <c r="W635" s="36" t="s">
        <v>169</v>
      </c>
      <c r="X635" s="38">
        <v>1.0</v>
      </c>
      <c r="Y635" s="38" t="s">
        <v>1263</v>
      </c>
      <c r="Z635" s="38" t="s">
        <v>1264</v>
      </c>
      <c r="AA635" s="38" t="s">
        <v>288</v>
      </c>
      <c r="AB635" s="38" t="s">
        <v>1265</v>
      </c>
      <c r="AC635" s="38" t="s">
        <v>1266</v>
      </c>
      <c r="AD635" s="38" t="s">
        <v>198</v>
      </c>
      <c r="AE635" s="53"/>
      <c r="AF635" s="38"/>
      <c r="AG635" s="38"/>
      <c r="AH635" s="38"/>
      <c r="AI635" s="50">
        <v>37.37</v>
      </c>
      <c r="AJ635" s="50">
        <v>101.18</v>
      </c>
      <c r="AK635" s="41" t="s">
        <v>288</v>
      </c>
      <c r="AL635" s="40" t="s">
        <v>288</v>
      </c>
      <c r="AM635" s="49">
        <v>4006.0</v>
      </c>
      <c r="AN635" s="51">
        <v>4006.0</v>
      </c>
      <c r="AO635" s="42" t="s">
        <v>604</v>
      </c>
      <c r="AP635" s="43" t="s">
        <v>605</v>
      </c>
      <c r="AQ635" s="44" t="str">
        <f t="shared" si="58"/>
        <v>GRA</v>
      </c>
      <c r="AR635" s="44">
        <f t="shared" si="3"/>
        <v>4006</v>
      </c>
      <c r="AS635" s="44" t="str">
        <f t="shared" si="56"/>
        <v>E</v>
      </c>
      <c r="AT635" s="44" t="str">
        <f t="shared" si="17"/>
        <v>ET</v>
      </c>
      <c r="AU635" s="44" t="str">
        <f t="shared" si="2"/>
        <v>ET</v>
      </c>
      <c r="AV635" s="38">
        <v>1.0</v>
      </c>
      <c r="AW635" s="38"/>
      <c r="AX635" s="38"/>
      <c r="AY635" s="38"/>
      <c r="AZ635" s="29">
        <v>10000.0</v>
      </c>
      <c r="BA635" s="29"/>
      <c r="BB635" s="29">
        <v>1.0</v>
      </c>
      <c r="BC635" s="29"/>
      <c r="BD635" s="29" t="s">
        <v>88</v>
      </c>
      <c r="BE635" s="29"/>
      <c r="BF635" s="29" t="s">
        <v>1190</v>
      </c>
      <c r="BG635" s="29" t="s">
        <v>220</v>
      </c>
      <c r="BH635" s="29" t="s">
        <v>88</v>
      </c>
      <c r="BI635" s="29" t="s">
        <v>1191</v>
      </c>
      <c r="BJ635" s="29"/>
      <c r="BK635" s="29" t="s">
        <v>1192</v>
      </c>
      <c r="BL635" s="29"/>
      <c r="BM635" s="45"/>
      <c r="BN635" s="45"/>
      <c r="BO635" s="46"/>
      <c r="BP635" s="2"/>
      <c r="BQ635" s="3"/>
    </row>
    <row r="636" ht="15.75" customHeight="1">
      <c r="A636" s="34">
        <v>639.0</v>
      </c>
      <c r="B636" s="34">
        <v>101454.0</v>
      </c>
      <c r="C636" s="34" t="s">
        <v>76</v>
      </c>
      <c r="D636" s="34" t="s">
        <v>1181</v>
      </c>
      <c r="E636" s="34" t="s">
        <v>1182</v>
      </c>
      <c r="F636" s="34">
        <v>2014.0</v>
      </c>
      <c r="G636" s="34" t="s">
        <v>1183</v>
      </c>
      <c r="H636" s="34" t="s">
        <v>1184</v>
      </c>
      <c r="I636" s="34" t="s">
        <v>1185</v>
      </c>
      <c r="J636" s="35"/>
      <c r="K636" s="36">
        <v>0.33</v>
      </c>
      <c r="L636" s="36">
        <v>2.19</v>
      </c>
      <c r="M636" s="36"/>
      <c r="N636" s="36"/>
      <c r="O636" s="36"/>
      <c r="P636" s="37">
        <v>15.0</v>
      </c>
      <c r="Q636" s="36" t="s">
        <v>96</v>
      </c>
      <c r="R636" s="36" t="s">
        <v>96</v>
      </c>
      <c r="S636" s="36">
        <v>10000.0</v>
      </c>
      <c r="T636" s="36" t="s">
        <v>506</v>
      </c>
      <c r="U636" s="36" t="s">
        <v>351</v>
      </c>
      <c r="V636" s="36"/>
      <c r="W636" s="36" t="s">
        <v>169</v>
      </c>
      <c r="X636" s="38">
        <v>1.0</v>
      </c>
      <c r="Y636" s="38" t="s">
        <v>1267</v>
      </c>
      <c r="Z636" s="38" t="s">
        <v>1267</v>
      </c>
      <c r="AA636" s="38" t="s">
        <v>288</v>
      </c>
      <c r="AB636" s="38" t="s">
        <v>1268</v>
      </c>
      <c r="AC636" s="38" t="s">
        <v>1269</v>
      </c>
      <c r="AD636" s="38" t="s">
        <v>198</v>
      </c>
      <c r="AE636" s="53"/>
      <c r="AF636" s="38"/>
      <c r="AG636" s="38"/>
      <c r="AH636" s="38"/>
      <c r="AI636" s="50">
        <v>44.09</v>
      </c>
      <c r="AJ636" s="50">
        <v>113.57</v>
      </c>
      <c r="AK636" s="41" t="s">
        <v>288</v>
      </c>
      <c r="AL636" s="40" t="s">
        <v>288</v>
      </c>
      <c r="AM636" s="49">
        <v>973.0</v>
      </c>
      <c r="AN636" s="51">
        <v>973.0</v>
      </c>
      <c r="AO636" s="42" t="s">
        <v>293</v>
      </c>
      <c r="AP636" s="43" t="s">
        <v>293</v>
      </c>
      <c r="AQ636" s="44" t="str">
        <f t="shared" si="58"/>
        <v>GRA</v>
      </c>
      <c r="AR636" s="44">
        <f t="shared" si="3"/>
        <v>973</v>
      </c>
      <c r="AS636" s="44" t="str">
        <f t="shared" si="56"/>
        <v>B</v>
      </c>
      <c r="AT636" s="44" t="str">
        <f t="shared" si="17"/>
        <v>BS</v>
      </c>
      <c r="AU636" s="44" t="str">
        <f t="shared" si="2"/>
        <v>BSk</v>
      </c>
      <c r="AV636" s="38">
        <v>1.0</v>
      </c>
      <c r="AW636" s="38"/>
      <c r="AX636" s="38"/>
      <c r="AY636" s="38"/>
      <c r="AZ636" s="29">
        <v>10000.0</v>
      </c>
      <c r="BA636" s="29"/>
      <c r="BB636" s="29">
        <v>1.0</v>
      </c>
      <c r="BC636" s="29"/>
      <c r="BD636" s="29" t="s">
        <v>88</v>
      </c>
      <c r="BE636" s="29"/>
      <c r="BF636" s="29" t="s">
        <v>1190</v>
      </c>
      <c r="BG636" s="29" t="s">
        <v>220</v>
      </c>
      <c r="BH636" s="29" t="s">
        <v>88</v>
      </c>
      <c r="BI636" s="29" t="s">
        <v>1191</v>
      </c>
      <c r="BJ636" s="29"/>
      <c r="BK636" s="29" t="s">
        <v>1192</v>
      </c>
      <c r="BL636" s="29"/>
      <c r="BM636" s="45"/>
      <c r="BN636" s="45"/>
      <c r="BO636" s="46"/>
      <c r="BP636" s="2"/>
      <c r="BQ636" s="3"/>
    </row>
    <row r="637" ht="15.75" customHeight="1">
      <c r="A637" s="34">
        <v>640.0</v>
      </c>
      <c r="B637" s="34">
        <v>101454.0</v>
      </c>
      <c r="C637" s="34" t="s">
        <v>76</v>
      </c>
      <c r="D637" s="34" t="s">
        <v>1181</v>
      </c>
      <c r="E637" s="34" t="s">
        <v>1182</v>
      </c>
      <c r="F637" s="34">
        <v>2014.0</v>
      </c>
      <c r="G637" s="34" t="s">
        <v>1183</v>
      </c>
      <c r="H637" s="34" t="s">
        <v>1184</v>
      </c>
      <c r="I637" s="34" t="s">
        <v>1185</v>
      </c>
      <c r="J637" s="35"/>
      <c r="K637" s="36">
        <v>-0.18</v>
      </c>
      <c r="L637" s="36">
        <v>1.61</v>
      </c>
      <c r="M637" s="36"/>
      <c r="N637" s="36"/>
      <c r="O637" s="36"/>
      <c r="P637" s="37">
        <v>-11.0</v>
      </c>
      <c r="Q637" s="36" t="s">
        <v>96</v>
      </c>
      <c r="R637" s="36" t="s">
        <v>96</v>
      </c>
      <c r="S637" s="36">
        <v>10000.0</v>
      </c>
      <c r="T637" s="36" t="s">
        <v>536</v>
      </c>
      <c r="U637" s="36" t="s">
        <v>507</v>
      </c>
      <c r="V637" s="36"/>
      <c r="W637" s="36" t="s">
        <v>169</v>
      </c>
      <c r="X637" s="38">
        <v>1.0</v>
      </c>
      <c r="Y637" s="38" t="s">
        <v>1270</v>
      </c>
      <c r="Z637" s="38" t="s">
        <v>1271</v>
      </c>
      <c r="AA637" s="38" t="s">
        <v>288</v>
      </c>
      <c r="AB637" s="38" t="s">
        <v>1272</v>
      </c>
      <c r="AC637" s="38" t="s">
        <v>1273</v>
      </c>
      <c r="AD637" s="38" t="s">
        <v>198</v>
      </c>
      <c r="AE637" s="53"/>
      <c r="AF637" s="38"/>
      <c r="AG637" s="38"/>
      <c r="AH637" s="38"/>
      <c r="AI637" s="50">
        <v>42.04</v>
      </c>
      <c r="AJ637" s="50">
        <v>116.29</v>
      </c>
      <c r="AK637" s="41" t="s">
        <v>288</v>
      </c>
      <c r="AL637" s="40" t="s">
        <v>288</v>
      </c>
      <c r="AM637" s="49">
        <v>1327.0</v>
      </c>
      <c r="AN637" s="51">
        <v>1327.0</v>
      </c>
      <c r="AO637" s="42" t="s">
        <v>584</v>
      </c>
      <c r="AP637" s="43" t="s">
        <v>584</v>
      </c>
      <c r="AQ637" s="44" t="str">
        <f t="shared" si="58"/>
        <v>GRA</v>
      </c>
      <c r="AR637" s="44">
        <f t="shared" si="3"/>
        <v>1327</v>
      </c>
      <c r="AS637" s="44" t="str">
        <f t="shared" si="56"/>
        <v>D</v>
      </c>
      <c r="AT637" s="44" t="str">
        <f t="shared" si="17"/>
        <v>Dw</v>
      </c>
      <c r="AU637" s="44" t="str">
        <f t="shared" si="2"/>
        <v>Dwb</v>
      </c>
      <c r="AV637" s="38">
        <v>1.0</v>
      </c>
      <c r="AW637" s="38"/>
      <c r="AX637" s="38"/>
      <c r="AY637" s="38"/>
      <c r="AZ637" s="29">
        <v>10000.0</v>
      </c>
      <c r="BA637" s="29"/>
      <c r="BB637" s="29">
        <v>1.0</v>
      </c>
      <c r="BC637" s="29"/>
      <c r="BD637" s="29" t="s">
        <v>88</v>
      </c>
      <c r="BE637" s="29"/>
      <c r="BF637" s="29" t="s">
        <v>1190</v>
      </c>
      <c r="BG637" s="29" t="s">
        <v>220</v>
      </c>
      <c r="BH637" s="29" t="s">
        <v>88</v>
      </c>
      <c r="BI637" s="29" t="s">
        <v>1191</v>
      </c>
      <c r="BJ637" s="29"/>
      <c r="BK637" s="29" t="s">
        <v>1192</v>
      </c>
      <c r="BL637" s="29"/>
      <c r="BM637" s="45"/>
      <c r="BN637" s="45"/>
      <c r="BO637" s="46"/>
      <c r="BP637" s="2"/>
      <c r="BQ637" s="3"/>
    </row>
    <row r="638" ht="15.75" customHeight="1">
      <c r="A638" s="34">
        <v>641.0</v>
      </c>
      <c r="B638" s="34">
        <v>101454.0</v>
      </c>
      <c r="C638" s="34" t="s">
        <v>76</v>
      </c>
      <c r="D638" s="34" t="s">
        <v>1181</v>
      </c>
      <c r="E638" s="34" t="s">
        <v>1182</v>
      </c>
      <c r="F638" s="34">
        <v>2014.0</v>
      </c>
      <c r="G638" s="34" t="s">
        <v>1183</v>
      </c>
      <c r="H638" s="34" t="s">
        <v>1184</v>
      </c>
      <c r="I638" s="34" t="s">
        <v>1185</v>
      </c>
      <c r="J638" s="35"/>
      <c r="K638" s="36">
        <v>-0.44</v>
      </c>
      <c r="L638" s="36">
        <v>1.84</v>
      </c>
      <c r="M638" s="36"/>
      <c r="N638" s="36"/>
      <c r="O638" s="36"/>
      <c r="P638" s="37">
        <v>-24.0</v>
      </c>
      <c r="Q638" s="36" t="s">
        <v>96</v>
      </c>
      <c r="R638" s="36" t="s">
        <v>96</v>
      </c>
      <c r="S638" s="36">
        <v>10000.0</v>
      </c>
      <c r="T638" s="36" t="s">
        <v>536</v>
      </c>
      <c r="U638" s="36" t="s">
        <v>507</v>
      </c>
      <c r="V638" s="36"/>
      <c r="W638" s="36" t="s">
        <v>169</v>
      </c>
      <c r="X638" s="38">
        <v>1.0</v>
      </c>
      <c r="Y638" s="38" t="s">
        <v>1274</v>
      </c>
      <c r="Z638" s="38" t="s">
        <v>1275</v>
      </c>
      <c r="AA638" s="38" t="s">
        <v>288</v>
      </c>
      <c r="AB638" s="38" t="s">
        <v>1276</v>
      </c>
      <c r="AC638" s="38" t="s">
        <v>1277</v>
      </c>
      <c r="AD638" s="38" t="s">
        <v>198</v>
      </c>
      <c r="AE638" s="53"/>
      <c r="AF638" s="38"/>
      <c r="AG638" s="38"/>
      <c r="AH638" s="38"/>
      <c r="AI638" s="50">
        <v>42.05</v>
      </c>
      <c r="AJ638" s="50">
        <v>116.28</v>
      </c>
      <c r="AK638" s="41" t="s">
        <v>288</v>
      </c>
      <c r="AL638" s="40" t="s">
        <v>288</v>
      </c>
      <c r="AM638" s="49">
        <v>1316.0</v>
      </c>
      <c r="AN638" s="51">
        <v>1316.0</v>
      </c>
      <c r="AO638" s="42" t="s">
        <v>584</v>
      </c>
      <c r="AP638" s="43" t="s">
        <v>584</v>
      </c>
      <c r="AQ638" s="44" t="str">
        <f t="shared" si="58"/>
        <v>GRA</v>
      </c>
      <c r="AR638" s="44">
        <f t="shared" si="3"/>
        <v>1316</v>
      </c>
      <c r="AS638" s="44" t="str">
        <f t="shared" si="56"/>
        <v>D</v>
      </c>
      <c r="AT638" s="44" t="str">
        <f t="shared" si="17"/>
        <v>Dw</v>
      </c>
      <c r="AU638" s="44" t="str">
        <f t="shared" si="2"/>
        <v>Dwb</v>
      </c>
      <c r="AV638" s="38">
        <v>1.0</v>
      </c>
      <c r="AW638" s="38"/>
      <c r="AX638" s="38"/>
      <c r="AY638" s="38"/>
      <c r="AZ638" s="29">
        <v>10000.0</v>
      </c>
      <c r="BA638" s="29"/>
      <c r="BB638" s="29">
        <v>1.0</v>
      </c>
      <c r="BC638" s="29"/>
      <c r="BD638" s="29" t="s">
        <v>88</v>
      </c>
      <c r="BE638" s="29"/>
      <c r="BF638" s="29" t="s">
        <v>1190</v>
      </c>
      <c r="BG638" s="29" t="s">
        <v>220</v>
      </c>
      <c r="BH638" s="29" t="s">
        <v>88</v>
      </c>
      <c r="BI638" s="29" t="s">
        <v>1191</v>
      </c>
      <c r="BJ638" s="29"/>
      <c r="BK638" s="29" t="s">
        <v>1192</v>
      </c>
      <c r="BL638" s="29"/>
      <c r="BM638" s="45"/>
      <c r="BN638" s="45"/>
      <c r="BO638" s="46"/>
      <c r="BP638" s="2"/>
      <c r="BQ638" s="3"/>
    </row>
    <row r="639" ht="15.75" customHeight="1">
      <c r="A639" s="34">
        <v>642.0</v>
      </c>
      <c r="B639" s="34">
        <v>101454.0</v>
      </c>
      <c r="C639" s="34" t="s">
        <v>76</v>
      </c>
      <c r="D639" s="34" t="s">
        <v>1181</v>
      </c>
      <c r="E639" s="34" t="s">
        <v>1182</v>
      </c>
      <c r="F639" s="34">
        <v>2014.0</v>
      </c>
      <c r="G639" s="34" t="s">
        <v>1183</v>
      </c>
      <c r="H639" s="34" t="s">
        <v>1184</v>
      </c>
      <c r="I639" s="34" t="s">
        <v>1185</v>
      </c>
      <c r="J639" s="35"/>
      <c r="K639" s="36">
        <v>0.68</v>
      </c>
      <c r="L639" s="36">
        <v>1.18</v>
      </c>
      <c r="M639" s="36"/>
      <c r="N639" s="36"/>
      <c r="O639" s="36"/>
      <c r="P639" s="37">
        <v>57.0</v>
      </c>
      <c r="Q639" s="36" t="s">
        <v>96</v>
      </c>
      <c r="R639" s="36" t="s">
        <v>96</v>
      </c>
      <c r="S639" s="36">
        <v>10000.0</v>
      </c>
      <c r="T639" s="36" t="s">
        <v>193</v>
      </c>
      <c r="U639" s="36" t="s">
        <v>351</v>
      </c>
      <c r="V639" s="36"/>
      <c r="W639" s="36" t="s">
        <v>169</v>
      </c>
      <c r="X639" s="38">
        <v>1.0</v>
      </c>
      <c r="Y639" s="38" t="s">
        <v>1278</v>
      </c>
      <c r="Z639" s="38" t="s">
        <v>1279</v>
      </c>
      <c r="AA639" s="38" t="s">
        <v>288</v>
      </c>
      <c r="AB639" s="38" t="s">
        <v>1280</v>
      </c>
      <c r="AC639" s="38" t="s">
        <v>1281</v>
      </c>
      <c r="AD639" s="38" t="s">
        <v>1250</v>
      </c>
      <c r="AE639" s="38"/>
      <c r="AF639" s="38"/>
      <c r="AG639" s="38"/>
      <c r="AH639" s="38"/>
      <c r="AI639" s="50">
        <v>47.21</v>
      </c>
      <c r="AJ639" s="50">
        <v>108.74</v>
      </c>
      <c r="AK639" s="41" t="s">
        <v>288</v>
      </c>
      <c r="AL639" s="40" t="s">
        <v>288</v>
      </c>
      <c r="AM639" s="49">
        <v>1250.0</v>
      </c>
      <c r="AN639" s="51">
        <v>1250.0</v>
      </c>
      <c r="AO639" s="42" t="s">
        <v>293</v>
      </c>
      <c r="AP639" s="43" t="s">
        <v>293</v>
      </c>
      <c r="AQ639" s="44" t="str">
        <f t="shared" si="58"/>
        <v>GRA</v>
      </c>
      <c r="AR639" s="44">
        <f t="shared" si="3"/>
        <v>1250</v>
      </c>
      <c r="AS639" s="44" t="str">
        <f t="shared" si="56"/>
        <v>B</v>
      </c>
      <c r="AT639" s="44" t="str">
        <f t="shared" si="17"/>
        <v>BS</v>
      </c>
      <c r="AU639" s="44" t="str">
        <f t="shared" si="2"/>
        <v>BSk</v>
      </c>
      <c r="AV639" s="38">
        <v>1.0</v>
      </c>
      <c r="AW639" s="38"/>
      <c r="AX639" s="38"/>
      <c r="AY639" s="38"/>
      <c r="AZ639" s="29">
        <v>10000.0</v>
      </c>
      <c r="BA639" s="29"/>
      <c r="BB639" s="29">
        <v>1.0</v>
      </c>
      <c r="BC639" s="29"/>
      <c r="BD639" s="29" t="s">
        <v>88</v>
      </c>
      <c r="BE639" s="29"/>
      <c r="BF639" s="29" t="s">
        <v>1190</v>
      </c>
      <c r="BG639" s="29" t="s">
        <v>220</v>
      </c>
      <c r="BH639" s="29" t="s">
        <v>88</v>
      </c>
      <c r="BI639" s="29" t="s">
        <v>1191</v>
      </c>
      <c r="BJ639" s="29"/>
      <c r="BK639" s="29" t="s">
        <v>1192</v>
      </c>
      <c r="BL639" s="29"/>
      <c r="BM639" s="45"/>
      <c r="BN639" s="45"/>
      <c r="BO639" s="46"/>
      <c r="BP639" s="2" t="s">
        <v>1282</v>
      </c>
      <c r="BQ639" s="3"/>
    </row>
    <row r="640" ht="15.75" customHeight="1">
      <c r="A640" s="34">
        <v>643.0</v>
      </c>
      <c r="B640" s="34">
        <v>101454.0</v>
      </c>
      <c r="C640" s="34" t="s">
        <v>76</v>
      </c>
      <c r="D640" s="34" t="s">
        <v>1181</v>
      </c>
      <c r="E640" s="34" t="s">
        <v>1182</v>
      </c>
      <c r="F640" s="34">
        <v>2014.0</v>
      </c>
      <c r="G640" s="34" t="s">
        <v>1183</v>
      </c>
      <c r="H640" s="34" t="s">
        <v>1184</v>
      </c>
      <c r="I640" s="34" t="s">
        <v>1185</v>
      </c>
      <c r="J640" s="35"/>
      <c r="K640" s="36">
        <v>-0.33</v>
      </c>
      <c r="L640" s="36">
        <v>3.1</v>
      </c>
      <c r="M640" s="36"/>
      <c r="N640" s="36"/>
      <c r="O640" s="36"/>
      <c r="P640" s="37">
        <v>-11.0</v>
      </c>
      <c r="Q640" s="36" t="s">
        <v>96</v>
      </c>
      <c r="R640" s="36" t="s">
        <v>96</v>
      </c>
      <c r="S640" s="36">
        <v>10000.0</v>
      </c>
      <c r="T640" s="36" t="s">
        <v>536</v>
      </c>
      <c r="U640" s="36" t="s">
        <v>351</v>
      </c>
      <c r="V640" s="36"/>
      <c r="W640" s="36" t="s">
        <v>169</v>
      </c>
      <c r="X640" s="38">
        <v>1.0</v>
      </c>
      <c r="Y640" s="38" t="s">
        <v>1283</v>
      </c>
      <c r="Z640" s="68" t="s">
        <v>1283</v>
      </c>
      <c r="AA640" s="38" t="s">
        <v>288</v>
      </c>
      <c r="AB640" s="38" t="s">
        <v>1284</v>
      </c>
      <c r="AC640" s="38" t="s">
        <v>1285</v>
      </c>
      <c r="AD640" s="38" t="s">
        <v>198</v>
      </c>
      <c r="AE640" s="38"/>
      <c r="AF640" s="38"/>
      <c r="AG640" s="38"/>
      <c r="AH640" s="38"/>
      <c r="AI640" s="50">
        <v>35.59</v>
      </c>
      <c r="AJ640" s="50">
        <v>107.54</v>
      </c>
      <c r="AK640" s="41" t="s">
        <v>288</v>
      </c>
      <c r="AL640" s="40" t="s">
        <v>288</v>
      </c>
      <c r="AM640" s="49">
        <v>1118.0</v>
      </c>
      <c r="AN640" s="51">
        <v>1118.0</v>
      </c>
      <c r="AO640" s="42" t="s">
        <v>218</v>
      </c>
      <c r="AP640" s="43" t="s">
        <v>218</v>
      </c>
      <c r="AQ640" s="44" t="str">
        <f t="shared" si="58"/>
        <v>GRA</v>
      </c>
      <c r="AR640" s="44">
        <f t="shared" si="3"/>
        <v>1118</v>
      </c>
      <c r="AS640" s="44" t="str">
        <f t="shared" si="56"/>
        <v>D</v>
      </c>
      <c r="AT640" s="44" t="str">
        <f t="shared" si="17"/>
        <v>Dw</v>
      </c>
      <c r="AU640" s="44" t="str">
        <f t="shared" si="2"/>
        <v>Dwa</v>
      </c>
      <c r="AV640" s="38">
        <v>1.0</v>
      </c>
      <c r="AW640" s="38"/>
      <c r="AX640" s="38"/>
      <c r="AY640" s="38"/>
      <c r="AZ640" s="29">
        <v>10000.0</v>
      </c>
      <c r="BA640" s="29"/>
      <c r="BB640" s="29">
        <v>1.0</v>
      </c>
      <c r="BC640" s="29"/>
      <c r="BD640" s="29" t="s">
        <v>88</v>
      </c>
      <c r="BE640" s="29"/>
      <c r="BF640" s="29" t="s">
        <v>1190</v>
      </c>
      <c r="BG640" s="29" t="s">
        <v>220</v>
      </c>
      <c r="BH640" s="29" t="s">
        <v>88</v>
      </c>
      <c r="BI640" s="29" t="s">
        <v>1191</v>
      </c>
      <c r="BJ640" s="29"/>
      <c r="BK640" s="29" t="s">
        <v>1192</v>
      </c>
      <c r="BL640" s="29"/>
      <c r="BM640" s="45"/>
      <c r="BN640" s="45"/>
      <c r="BO640" s="46"/>
      <c r="BP640" s="2" t="s">
        <v>1282</v>
      </c>
      <c r="BQ640" s="3"/>
    </row>
    <row r="641" ht="15.75" customHeight="1">
      <c r="A641" s="34">
        <v>644.0</v>
      </c>
      <c r="B641" s="34">
        <v>101454.0</v>
      </c>
      <c r="C641" s="34" t="s">
        <v>76</v>
      </c>
      <c r="D641" s="34" t="s">
        <v>1181</v>
      </c>
      <c r="E641" s="34" t="s">
        <v>1182</v>
      </c>
      <c r="F641" s="34">
        <v>2014.0</v>
      </c>
      <c r="G641" s="34" t="s">
        <v>1183</v>
      </c>
      <c r="H641" s="34" t="s">
        <v>1184</v>
      </c>
      <c r="I641" s="34" t="s">
        <v>1185</v>
      </c>
      <c r="J641" s="35"/>
      <c r="K641" s="36">
        <v>-0.09</v>
      </c>
      <c r="L641" s="36">
        <v>2.58</v>
      </c>
      <c r="M641" s="36"/>
      <c r="N641" s="36"/>
      <c r="O641" s="36"/>
      <c r="P641" s="37">
        <v>-4.0</v>
      </c>
      <c r="Q641" s="36" t="s">
        <v>96</v>
      </c>
      <c r="R641" s="36" t="s">
        <v>96</v>
      </c>
      <c r="S641" s="36">
        <v>10000.0</v>
      </c>
      <c r="T641" s="36" t="s">
        <v>969</v>
      </c>
      <c r="U641" s="36" t="s">
        <v>507</v>
      </c>
      <c r="V641" s="36"/>
      <c r="W641" s="36" t="s">
        <v>169</v>
      </c>
      <c r="X641" s="38">
        <v>1.0</v>
      </c>
      <c r="Y641" s="38" t="s">
        <v>1286</v>
      </c>
      <c r="Z641" s="38" t="s">
        <v>1287</v>
      </c>
      <c r="AA641" s="38" t="s">
        <v>288</v>
      </c>
      <c r="AB641" s="38" t="s">
        <v>1288</v>
      </c>
      <c r="AC641" s="38" t="s">
        <v>1289</v>
      </c>
      <c r="AD641" s="38" t="s">
        <v>198</v>
      </c>
      <c r="AE641" s="38"/>
      <c r="AF641" s="38"/>
      <c r="AG641" s="38"/>
      <c r="AH641" s="38"/>
      <c r="AI641" s="50">
        <v>41.23</v>
      </c>
      <c r="AJ641" s="50">
        <v>111.57</v>
      </c>
      <c r="AK641" s="41" t="s">
        <v>288</v>
      </c>
      <c r="AL641" s="40" t="s">
        <v>288</v>
      </c>
      <c r="AM641" s="49">
        <v>1690.0</v>
      </c>
      <c r="AN641" s="51">
        <v>1690.0</v>
      </c>
      <c r="AO641" s="42" t="s">
        <v>584</v>
      </c>
      <c r="AP641" s="43" t="s">
        <v>293</v>
      </c>
      <c r="AQ641" s="44" t="str">
        <f t="shared" si="58"/>
        <v>GRA</v>
      </c>
      <c r="AR641" s="44">
        <f t="shared" si="3"/>
        <v>1690</v>
      </c>
      <c r="AS641" s="44" t="str">
        <f t="shared" si="56"/>
        <v>D</v>
      </c>
      <c r="AT641" s="44" t="str">
        <f t="shared" si="17"/>
        <v>BS</v>
      </c>
      <c r="AU641" s="44" t="str">
        <f t="shared" si="2"/>
        <v>BSk</v>
      </c>
      <c r="AV641" s="38">
        <v>1.0</v>
      </c>
      <c r="AW641" s="38"/>
      <c r="AX641" s="38"/>
      <c r="AY641" s="38"/>
      <c r="AZ641" s="29">
        <v>10000.0</v>
      </c>
      <c r="BA641" s="29"/>
      <c r="BB641" s="29">
        <v>1.0</v>
      </c>
      <c r="BC641" s="29"/>
      <c r="BD641" s="29" t="s">
        <v>88</v>
      </c>
      <c r="BE641" s="29"/>
      <c r="BF641" s="29" t="s">
        <v>1190</v>
      </c>
      <c r="BG641" s="29" t="s">
        <v>220</v>
      </c>
      <c r="BH641" s="29" t="s">
        <v>88</v>
      </c>
      <c r="BI641" s="29" t="s">
        <v>1191</v>
      </c>
      <c r="BJ641" s="29"/>
      <c r="BK641" s="29" t="s">
        <v>1192</v>
      </c>
      <c r="BL641" s="29"/>
      <c r="BM641" s="45"/>
      <c r="BN641" s="45"/>
      <c r="BO641" s="46"/>
      <c r="BP641" s="2"/>
      <c r="BQ641" s="3"/>
    </row>
    <row r="642" ht="15.75" customHeight="1">
      <c r="A642" s="34">
        <v>645.0</v>
      </c>
      <c r="B642" s="34">
        <v>101454.0</v>
      </c>
      <c r="C642" s="34" t="s">
        <v>76</v>
      </c>
      <c r="D642" s="34" t="s">
        <v>1181</v>
      </c>
      <c r="E642" s="34" t="s">
        <v>1182</v>
      </c>
      <c r="F642" s="34">
        <v>2014.0</v>
      </c>
      <c r="G642" s="34" t="s">
        <v>1183</v>
      </c>
      <c r="H642" s="34" t="s">
        <v>1184</v>
      </c>
      <c r="I642" s="34" t="s">
        <v>1185</v>
      </c>
      <c r="J642" s="35"/>
      <c r="K642" s="36">
        <v>-0.5</v>
      </c>
      <c r="L642" s="36">
        <v>2.81</v>
      </c>
      <c r="M642" s="36"/>
      <c r="N642" s="36"/>
      <c r="O642" s="36"/>
      <c r="P642" s="37">
        <v>-18.0</v>
      </c>
      <c r="Q642" s="36" t="s">
        <v>96</v>
      </c>
      <c r="R642" s="36" t="s">
        <v>96</v>
      </c>
      <c r="S642" s="36">
        <v>10000.0</v>
      </c>
      <c r="T642" s="36" t="s">
        <v>969</v>
      </c>
      <c r="U642" s="36" t="s">
        <v>507</v>
      </c>
      <c r="V642" s="36"/>
      <c r="W642" s="36" t="s">
        <v>169</v>
      </c>
      <c r="X642" s="38">
        <v>1.0</v>
      </c>
      <c r="Y642" s="38" t="s">
        <v>1290</v>
      </c>
      <c r="Z642" s="38" t="s">
        <v>1291</v>
      </c>
      <c r="AA642" s="38" t="s">
        <v>288</v>
      </c>
      <c r="AB642" s="38" t="s">
        <v>1292</v>
      </c>
      <c r="AC642" s="38" t="s">
        <v>1293</v>
      </c>
      <c r="AD642" s="38" t="s">
        <v>198</v>
      </c>
      <c r="AE642" s="38"/>
      <c r="AF642" s="38"/>
      <c r="AG642" s="38"/>
      <c r="AH642" s="38"/>
      <c r="AI642" s="50">
        <v>41.28</v>
      </c>
      <c r="AJ642" s="50">
        <v>111.68</v>
      </c>
      <c r="AK642" s="41" t="s">
        <v>288</v>
      </c>
      <c r="AL642" s="40" t="s">
        <v>288</v>
      </c>
      <c r="AM642" s="49">
        <v>1683.0</v>
      </c>
      <c r="AN642" s="51">
        <v>1683.0</v>
      </c>
      <c r="AO642" s="42" t="s">
        <v>584</v>
      </c>
      <c r="AP642" s="43" t="s">
        <v>584</v>
      </c>
      <c r="AQ642" s="44" t="str">
        <f t="shared" si="58"/>
        <v>GRA</v>
      </c>
      <c r="AR642" s="44">
        <f t="shared" si="3"/>
        <v>1683</v>
      </c>
      <c r="AS642" s="44" t="str">
        <f t="shared" si="56"/>
        <v>D</v>
      </c>
      <c r="AT642" s="44" t="str">
        <f t="shared" si="17"/>
        <v>Dw</v>
      </c>
      <c r="AU642" s="44" t="str">
        <f t="shared" si="2"/>
        <v>Dwb</v>
      </c>
      <c r="AV642" s="38">
        <v>1.0</v>
      </c>
      <c r="AW642" s="38"/>
      <c r="AX642" s="38"/>
      <c r="AY642" s="38"/>
      <c r="AZ642" s="29">
        <v>10000.0</v>
      </c>
      <c r="BA642" s="29"/>
      <c r="BB642" s="29">
        <v>1.0</v>
      </c>
      <c r="BC642" s="29"/>
      <c r="BD642" s="29" t="s">
        <v>88</v>
      </c>
      <c r="BE642" s="29"/>
      <c r="BF642" s="29" t="s">
        <v>1190</v>
      </c>
      <c r="BG642" s="29" t="s">
        <v>220</v>
      </c>
      <c r="BH642" s="29" t="s">
        <v>88</v>
      </c>
      <c r="BI642" s="29" t="s">
        <v>1191</v>
      </c>
      <c r="BJ642" s="29"/>
      <c r="BK642" s="29" t="s">
        <v>1192</v>
      </c>
      <c r="BL642" s="29"/>
      <c r="BM642" s="45"/>
      <c r="BN642" s="45"/>
      <c r="BO642" s="46"/>
      <c r="BP642" s="2"/>
      <c r="BQ642" s="3"/>
    </row>
    <row r="643" ht="15.75" customHeight="1">
      <c r="A643" s="34">
        <v>646.0</v>
      </c>
      <c r="B643" s="34">
        <v>101454.0</v>
      </c>
      <c r="C643" s="34" t="s">
        <v>76</v>
      </c>
      <c r="D643" s="34" t="s">
        <v>1181</v>
      </c>
      <c r="E643" s="34" t="s">
        <v>1182</v>
      </c>
      <c r="F643" s="34">
        <v>2014.0</v>
      </c>
      <c r="G643" s="34" t="s">
        <v>1183</v>
      </c>
      <c r="H643" s="34" t="s">
        <v>1184</v>
      </c>
      <c r="I643" s="34" t="s">
        <v>1185</v>
      </c>
      <c r="J643" s="35"/>
      <c r="K643" s="36">
        <v>-0.01</v>
      </c>
      <c r="L643" s="36">
        <v>4.75</v>
      </c>
      <c r="M643" s="36"/>
      <c r="N643" s="36"/>
      <c r="O643" s="36"/>
      <c r="P643" s="37">
        <v>1.0</v>
      </c>
      <c r="Q643" s="36" t="s">
        <v>96</v>
      </c>
      <c r="R643" s="36" t="s">
        <v>96</v>
      </c>
      <c r="S643" s="36">
        <v>10000.0</v>
      </c>
      <c r="T643" s="36" t="s">
        <v>506</v>
      </c>
      <c r="U643" s="36" t="s">
        <v>351</v>
      </c>
      <c r="V643" s="36"/>
      <c r="W643" s="36" t="s">
        <v>169</v>
      </c>
      <c r="X643" s="38">
        <v>1.0</v>
      </c>
      <c r="Y643" s="38" t="s">
        <v>1207</v>
      </c>
      <c r="Z643" s="38" t="s">
        <v>1207</v>
      </c>
      <c r="AA643" s="38" t="s">
        <v>288</v>
      </c>
      <c r="AB643" s="38" t="s">
        <v>1208</v>
      </c>
      <c r="AC643" s="38" t="s">
        <v>1209</v>
      </c>
      <c r="AD643" s="38" t="s">
        <v>198</v>
      </c>
      <c r="AE643" s="38"/>
      <c r="AF643" s="38"/>
      <c r="AG643" s="38"/>
      <c r="AH643" s="38"/>
      <c r="AI643" s="50">
        <v>44.57</v>
      </c>
      <c r="AJ643" s="50">
        <v>122.88</v>
      </c>
      <c r="AK643" s="41" t="s">
        <v>86</v>
      </c>
      <c r="AL643" s="40" t="s">
        <v>86</v>
      </c>
      <c r="AM643" s="49">
        <v>154.0</v>
      </c>
      <c r="AN643" s="51">
        <v>154.0</v>
      </c>
      <c r="AO643" s="42" t="s">
        <v>293</v>
      </c>
      <c r="AP643" s="43" t="s">
        <v>293</v>
      </c>
      <c r="AQ643" s="44" t="str">
        <f t="shared" si="58"/>
        <v>GRA</v>
      </c>
      <c r="AR643" s="44">
        <f t="shared" si="3"/>
        <v>154</v>
      </c>
      <c r="AS643" s="44" t="str">
        <f t="shared" si="56"/>
        <v>B</v>
      </c>
      <c r="AT643" s="44" t="str">
        <f t="shared" si="17"/>
        <v>BS</v>
      </c>
      <c r="AU643" s="44" t="str">
        <f t="shared" si="2"/>
        <v>BSk</v>
      </c>
      <c r="AV643" s="38">
        <v>1.0</v>
      </c>
      <c r="AW643" s="38"/>
      <c r="AX643" s="38"/>
      <c r="AY643" s="38"/>
      <c r="AZ643" s="29">
        <v>10000.0</v>
      </c>
      <c r="BA643" s="29"/>
      <c r="BB643" s="29">
        <v>1.0</v>
      </c>
      <c r="BC643" s="29"/>
      <c r="BD643" s="29" t="s">
        <v>88</v>
      </c>
      <c r="BE643" s="29"/>
      <c r="BF643" s="29" t="s">
        <v>1190</v>
      </c>
      <c r="BG643" s="29" t="s">
        <v>220</v>
      </c>
      <c r="BH643" s="29" t="s">
        <v>88</v>
      </c>
      <c r="BI643" s="29" t="s">
        <v>1191</v>
      </c>
      <c r="BJ643" s="29"/>
      <c r="BK643" s="29" t="s">
        <v>1192</v>
      </c>
      <c r="BL643" s="29"/>
      <c r="BM643" s="45"/>
      <c r="BN643" s="45"/>
      <c r="BO643" s="46"/>
      <c r="BP643" s="2"/>
      <c r="BQ643" s="3"/>
    </row>
    <row r="644" ht="15.75" customHeight="1">
      <c r="A644" s="34">
        <v>647.0</v>
      </c>
      <c r="B644" s="34">
        <v>101454.0</v>
      </c>
      <c r="C644" s="34" t="s">
        <v>76</v>
      </c>
      <c r="D644" s="34" t="s">
        <v>1181</v>
      </c>
      <c r="E644" s="34" t="s">
        <v>1182</v>
      </c>
      <c r="F644" s="34">
        <v>2014.0</v>
      </c>
      <c r="G644" s="34" t="s">
        <v>1183</v>
      </c>
      <c r="H644" s="34" t="s">
        <v>1184</v>
      </c>
      <c r="I644" s="34" t="s">
        <v>1185</v>
      </c>
      <c r="J644" s="35"/>
      <c r="K644" s="36">
        <v>0.96</v>
      </c>
      <c r="L644" s="36">
        <v>2.24</v>
      </c>
      <c r="M644" s="36"/>
      <c r="N644" s="36"/>
      <c r="O644" s="36"/>
      <c r="P644" s="37">
        <v>23.0</v>
      </c>
      <c r="Q644" s="36" t="s">
        <v>96</v>
      </c>
      <c r="R644" s="36" t="s">
        <v>96</v>
      </c>
      <c r="S644" s="36">
        <v>10000.0</v>
      </c>
      <c r="T644" s="36" t="s">
        <v>506</v>
      </c>
      <c r="U644" s="36" t="s">
        <v>676</v>
      </c>
      <c r="V644" s="36"/>
      <c r="W644" s="36" t="s">
        <v>169</v>
      </c>
      <c r="X644" s="38">
        <v>1.0</v>
      </c>
      <c r="Y644" s="38" t="s">
        <v>654</v>
      </c>
      <c r="Z644" s="38" t="s">
        <v>654</v>
      </c>
      <c r="AA644" s="38" t="s">
        <v>288</v>
      </c>
      <c r="AB644" s="38" t="s">
        <v>1294</v>
      </c>
      <c r="AC644" s="38" t="s">
        <v>1295</v>
      </c>
      <c r="AD644" s="38" t="s">
        <v>198</v>
      </c>
      <c r="AE644" s="38"/>
      <c r="AF644" s="38"/>
      <c r="AG644" s="38"/>
      <c r="AH644" s="38"/>
      <c r="AI644" s="50">
        <v>39.09</v>
      </c>
      <c r="AJ644" s="50">
        <v>100.3</v>
      </c>
      <c r="AK644" s="41" t="s">
        <v>288</v>
      </c>
      <c r="AL644" s="40" t="s">
        <v>288</v>
      </c>
      <c r="AM644" s="49">
        <v>1454.0</v>
      </c>
      <c r="AN644" s="51">
        <v>1454.0</v>
      </c>
      <c r="AO644" s="42" t="s">
        <v>261</v>
      </c>
      <c r="AP644" s="43" t="s">
        <v>261</v>
      </c>
      <c r="AQ644" s="44" t="str">
        <f t="shared" si="58"/>
        <v>GRA</v>
      </c>
      <c r="AR644" s="44">
        <f t="shared" si="3"/>
        <v>1454</v>
      </c>
      <c r="AS644" s="44" t="str">
        <f t="shared" si="56"/>
        <v>B</v>
      </c>
      <c r="AT644" s="44" t="str">
        <f t="shared" si="17"/>
        <v>BW</v>
      </c>
      <c r="AU644" s="44" t="str">
        <f t="shared" si="2"/>
        <v>BWk</v>
      </c>
      <c r="AV644" s="38">
        <v>1.0</v>
      </c>
      <c r="AW644" s="38"/>
      <c r="AX644" s="38"/>
      <c r="AY644" s="38"/>
      <c r="AZ644" s="29">
        <v>10000.0</v>
      </c>
      <c r="BA644" s="29"/>
      <c r="BB644" s="29">
        <v>1.0</v>
      </c>
      <c r="BC644" s="29"/>
      <c r="BD644" s="29" t="s">
        <v>88</v>
      </c>
      <c r="BE644" s="29"/>
      <c r="BF644" s="29" t="s">
        <v>1190</v>
      </c>
      <c r="BG644" s="29" t="s">
        <v>220</v>
      </c>
      <c r="BH644" s="29" t="s">
        <v>88</v>
      </c>
      <c r="BI644" s="29" t="s">
        <v>1191</v>
      </c>
      <c r="BJ644" s="29"/>
      <c r="BK644" s="29" t="s">
        <v>1192</v>
      </c>
      <c r="BL644" s="29"/>
      <c r="BM644" s="45"/>
      <c r="BN644" s="45"/>
      <c r="BO644" s="46"/>
      <c r="BP644" s="2"/>
      <c r="BQ644" s="3"/>
    </row>
    <row r="645" ht="15.75" customHeight="1">
      <c r="A645" s="34">
        <v>648.0</v>
      </c>
      <c r="B645" s="34">
        <v>101454.0</v>
      </c>
      <c r="C645" s="34" t="s">
        <v>76</v>
      </c>
      <c r="D645" s="34" t="s">
        <v>1181</v>
      </c>
      <c r="E645" s="34" t="s">
        <v>1182</v>
      </c>
      <c r="F645" s="34">
        <v>2014.0</v>
      </c>
      <c r="G645" s="34" t="s">
        <v>1183</v>
      </c>
      <c r="H645" s="34" t="s">
        <v>1184</v>
      </c>
      <c r="I645" s="34" t="s">
        <v>1185</v>
      </c>
      <c r="J645" s="35"/>
      <c r="K645" s="36">
        <v>-0.09</v>
      </c>
      <c r="L645" s="36">
        <v>5.9</v>
      </c>
      <c r="M645" s="36"/>
      <c r="N645" s="36"/>
      <c r="O645" s="36"/>
      <c r="P645" s="37">
        <v>-2.0</v>
      </c>
      <c r="Q645" s="36" t="s">
        <v>96</v>
      </c>
      <c r="R645" s="36" t="s">
        <v>96</v>
      </c>
      <c r="S645" s="36">
        <v>10000.0</v>
      </c>
      <c r="T645" s="36" t="s">
        <v>536</v>
      </c>
      <c r="U645" s="36" t="s">
        <v>351</v>
      </c>
      <c r="V645" s="36"/>
      <c r="W645" s="36" t="s">
        <v>169</v>
      </c>
      <c r="X645" s="38">
        <v>1.0</v>
      </c>
      <c r="Y645" s="38" t="s">
        <v>1296</v>
      </c>
      <c r="Z645" s="38" t="s">
        <v>1296</v>
      </c>
      <c r="AA645" s="38" t="s">
        <v>214</v>
      </c>
      <c r="AB645" s="38" t="s">
        <v>1297</v>
      </c>
      <c r="AC645" s="38" t="s">
        <v>1298</v>
      </c>
      <c r="AD645" s="38" t="s">
        <v>198</v>
      </c>
      <c r="AE645" s="38"/>
      <c r="AF645" s="38"/>
      <c r="AG645" s="38"/>
      <c r="AH645" s="38"/>
      <c r="AI645" s="50">
        <v>34.0</v>
      </c>
      <c r="AJ645" s="50">
        <v>102.0</v>
      </c>
      <c r="AK645" s="41" t="s">
        <v>288</v>
      </c>
      <c r="AL645" s="40" t="s">
        <v>288</v>
      </c>
      <c r="AM645" s="49">
        <v>3446.0</v>
      </c>
      <c r="AN645" s="51">
        <v>3446.0</v>
      </c>
      <c r="AO645" s="42" t="s">
        <v>597</v>
      </c>
      <c r="AP645" s="43" t="s">
        <v>597</v>
      </c>
      <c r="AQ645" s="44" t="str">
        <f t="shared" si="58"/>
        <v>WET</v>
      </c>
      <c r="AR645" s="44">
        <f t="shared" si="3"/>
        <v>3446</v>
      </c>
      <c r="AS645" s="44" t="str">
        <f t="shared" si="56"/>
        <v>D</v>
      </c>
      <c r="AT645" s="44" t="str">
        <f t="shared" si="17"/>
        <v>Dw</v>
      </c>
      <c r="AU645" s="44" t="str">
        <f t="shared" si="2"/>
        <v>Dwc</v>
      </c>
      <c r="AV645" s="38">
        <v>1.0</v>
      </c>
      <c r="AW645" s="38"/>
      <c r="AX645" s="38"/>
      <c r="AY645" s="38"/>
      <c r="AZ645" s="29">
        <v>10000.0</v>
      </c>
      <c r="BA645" s="29"/>
      <c r="BB645" s="29">
        <v>1.0</v>
      </c>
      <c r="BC645" s="29"/>
      <c r="BD645" s="29" t="s">
        <v>88</v>
      </c>
      <c r="BE645" s="29"/>
      <c r="BF645" s="29" t="s">
        <v>1190</v>
      </c>
      <c r="BG645" s="29" t="s">
        <v>220</v>
      </c>
      <c r="BH645" s="29" t="s">
        <v>88</v>
      </c>
      <c r="BI645" s="29" t="s">
        <v>1191</v>
      </c>
      <c r="BJ645" s="29"/>
      <c r="BK645" s="29" t="s">
        <v>1192</v>
      </c>
      <c r="BL645" s="29"/>
      <c r="BM645" s="45"/>
      <c r="BN645" s="45"/>
      <c r="BO645" s="46"/>
      <c r="BP645" s="2"/>
      <c r="BQ645" s="3"/>
    </row>
    <row r="646" ht="15.75" customHeight="1">
      <c r="A646" s="34">
        <v>649.0</v>
      </c>
      <c r="B646" s="34">
        <v>101688.0</v>
      </c>
      <c r="C646" s="34" t="s">
        <v>76</v>
      </c>
      <c r="D646" s="34" t="s">
        <v>1299</v>
      </c>
      <c r="E646" s="34" t="s">
        <v>1300</v>
      </c>
      <c r="F646" s="34">
        <v>2013.0</v>
      </c>
      <c r="G646" s="34" t="s">
        <v>1301</v>
      </c>
      <c r="H646" s="34" t="s">
        <v>1302</v>
      </c>
      <c r="I646" s="34" t="s">
        <v>1303</v>
      </c>
      <c r="J646" s="35"/>
      <c r="K646" s="36"/>
      <c r="L646" s="36"/>
      <c r="M646" s="36"/>
      <c r="N646" s="36"/>
      <c r="O646" s="36"/>
      <c r="P646" s="37">
        <v>4.4</v>
      </c>
      <c r="Q646" s="36"/>
      <c r="R646" s="36" t="s">
        <v>490</v>
      </c>
      <c r="S646" s="36">
        <v>3000.0</v>
      </c>
      <c r="T646" s="36" t="s">
        <v>328</v>
      </c>
      <c r="U646" s="36" t="s">
        <v>194</v>
      </c>
      <c r="V646" s="36"/>
      <c r="W646" s="36" t="s">
        <v>169</v>
      </c>
      <c r="X646" s="38">
        <v>1.0</v>
      </c>
      <c r="Y646" s="38" t="s">
        <v>1304</v>
      </c>
      <c r="Z646" s="38" t="s">
        <v>1305</v>
      </c>
      <c r="AA646" s="38" t="s">
        <v>370</v>
      </c>
      <c r="AB646" s="38">
        <v>42.54</v>
      </c>
      <c r="AC646" s="38">
        <v>-72.17</v>
      </c>
      <c r="AD646" s="39" t="s">
        <v>87</v>
      </c>
      <c r="AE646" s="53"/>
      <c r="AF646" s="38"/>
      <c r="AG646" s="57"/>
      <c r="AH646" s="38"/>
      <c r="AI646" s="50">
        <v>42.54</v>
      </c>
      <c r="AJ646" s="50">
        <v>-72.17</v>
      </c>
      <c r="AK646" s="41" t="s">
        <v>370</v>
      </c>
      <c r="AL646" s="40" t="s">
        <v>370</v>
      </c>
      <c r="AM646" s="49">
        <v>354.0</v>
      </c>
      <c r="AN646" s="51">
        <v>354.0</v>
      </c>
      <c r="AO646" s="42" t="s">
        <v>372</v>
      </c>
      <c r="AP646" s="43" t="s">
        <v>107</v>
      </c>
      <c r="AQ646" s="44" t="str">
        <f t="shared" si="58"/>
        <v>DBF</v>
      </c>
      <c r="AR646" s="44">
        <f t="shared" si="3"/>
        <v>354</v>
      </c>
      <c r="AS646" s="44" t="str">
        <f t="shared" si="56"/>
        <v>D</v>
      </c>
      <c r="AT646" s="44" t="str">
        <f t="shared" si="17"/>
        <v>Df</v>
      </c>
      <c r="AU646" s="44" t="str">
        <f t="shared" si="2"/>
        <v>Dfb</v>
      </c>
      <c r="AV646" s="38"/>
      <c r="AW646" s="38"/>
      <c r="AX646" s="38">
        <v>3000.0</v>
      </c>
      <c r="AY646" s="38"/>
      <c r="AZ646" s="29">
        <v>1000.0</v>
      </c>
      <c r="BA646" s="29"/>
      <c r="BB646" s="29">
        <v>1.0</v>
      </c>
      <c r="BC646" s="29"/>
      <c r="BD646" s="29" t="s">
        <v>92</v>
      </c>
      <c r="BE646" s="29" t="s">
        <v>89</v>
      </c>
      <c r="BF646" s="29" t="s">
        <v>1306</v>
      </c>
      <c r="BG646" s="29" t="s">
        <v>1095</v>
      </c>
      <c r="BH646" s="29" t="s">
        <v>1307</v>
      </c>
      <c r="BI646" s="29" t="s">
        <v>1308</v>
      </c>
      <c r="BJ646" s="29"/>
      <c r="BK646" s="29" t="s">
        <v>148</v>
      </c>
      <c r="BL646" s="29" t="s">
        <v>148</v>
      </c>
      <c r="BM646" s="45"/>
      <c r="BN646" s="45">
        <v>1.0</v>
      </c>
      <c r="BO646" s="46">
        <v>1.0</v>
      </c>
      <c r="BP646" s="2"/>
      <c r="BQ646" s="3"/>
    </row>
    <row r="647" ht="15.75" customHeight="1">
      <c r="A647" s="34">
        <v>650.0</v>
      </c>
      <c r="B647" s="34">
        <v>101688.0</v>
      </c>
      <c r="C647" s="34" t="s">
        <v>76</v>
      </c>
      <c r="D647" s="34" t="s">
        <v>1299</v>
      </c>
      <c r="E647" s="34" t="s">
        <v>1300</v>
      </c>
      <c r="F647" s="34">
        <v>2013.0</v>
      </c>
      <c r="G647" s="34" t="s">
        <v>1301</v>
      </c>
      <c r="H647" s="34" t="s">
        <v>1302</v>
      </c>
      <c r="I647" s="34" t="s">
        <v>1303</v>
      </c>
      <c r="J647" s="35"/>
      <c r="K647" s="36"/>
      <c r="L647" s="36"/>
      <c r="M647" s="36"/>
      <c r="N647" s="36"/>
      <c r="O647" s="36"/>
      <c r="P647" s="37">
        <v>15.8</v>
      </c>
      <c r="Q647" s="36"/>
      <c r="R647" s="36" t="s">
        <v>490</v>
      </c>
      <c r="S647" s="36">
        <v>3000.0</v>
      </c>
      <c r="T647" s="36" t="s">
        <v>328</v>
      </c>
      <c r="U647" s="36" t="s">
        <v>285</v>
      </c>
      <c r="V647" s="36"/>
      <c r="W647" s="36" t="s">
        <v>169</v>
      </c>
      <c r="X647" s="38">
        <v>1.0</v>
      </c>
      <c r="Y647" s="38" t="s">
        <v>368</v>
      </c>
      <c r="Z647" s="38" t="s">
        <v>369</v>
      </c>
      <c r="AA647" s="38" t="s">
        <v>370</v>
      </c>
      <c r="AB647" s="38">
        <v>45.81</v>
      </c>
      <c r="AC647" s="38">
        <v>-90.08</v>
      </c>
      <c r="AD647" s="39" t="s">
        <v>87</v>
      </c>
      <c r="AE647" s="38">
        <v>520.0</v>
      </c>
      <c r="AF647" s="38"/>
      <c r="AG647" s="38" t="s">
        <v>107</v>
      </c>
      <c r="AH647" s="38"/>
      <c r="AI647" s="50">
        <v>45.81</v>
      </c>
      <c r="AJ647" s="50">
        <v>-90.08</v>
      </c>
      <c r="AK647" s="41" t="s">
        <v>370</v>
      </c>
      <c r="AL647" s="40" t="s">
        <v>370</v>
      </c>
      <c r="AM647" s="49">
        <v>512.0</v>
      </c>
      <c r="AN647" s="51">
        <v>512.0</v>
      </c>
      <c r="AO647" s="42" t="s">
        <v>372</v>
      </c>
      <c r="AP647" s="43" t="s">
        <v>107</v>
      </c>
      <c r="AQ647" s="44" t="str">
        <f t="shared" si="58"/>
        <v>DBF</v>
      </c>
      <c r="AR647" s="44">
        <f t="shared" si="3"/>
        <v>512</v>
      </c>
      <c r="AS647" s="44" t="str">
        <f t="shared" si="56"/>
        <v>D</v>
      </c>
      <c r="AT647" s="44" t="str">
        <f t="shared" si="17"/>
        <v>Df</v>
      </c>
      <c r="AU647" s="44" t="str">
        <f t="shared" si="2"/>
        <v>Dfb</v>
      </c>
      <c r="AV647" s="38"/>
      <c r="AW647" s="38"/>
      <c r="AX647" s="38">
        <v>3000.0</v>
      </c>
      <c r="AY647" s="38"/>
      <c r="AZ647" s="29">
        <v>1000.0</v>
      </c>
      <c r="BA647" s="29"/>
      <c r="BB647" s="29">
        <v>1.0</v>
      </c>
      <c r="BC647" s="29"/>
      <c r="BD647" s="29" t="s">
        <v>92</v>
      </c>
      <c r="BE647" s="29" t="s">
        <v>89</v>
      </c>
      <c r="BF647" s="29" t="s">
        <v>1306</v>
      </c>
      <c r="BG647" s="29" t="s">
        <v>1095</v>
      </c>
      <c r="BH647" s="29" t="s">
        <v>1307</v>
      </c>
      <c r="BI647" s="29" t="s">
        <v>1308</v>
      </c>
      <c r="BJ647" s="29"/>
      <c r="BK647" s="29" t="s">
        <v>148</v>
      </c>
      <c r="BL647" s="29" t="s">
        <v>148</v>
      </c>
      <c r="BM647" s="45"/>
      <c r="BN647" s="45"/>
      <c r="BO647" s="46"/>
      <c r="BP647" s="2"/>
      <c r="BQ647" s="3"/>
    </row>
    <row r="648" ht="15.75" customHeight="1">
      <c r="A648" s="34">
        <v>651.0</v>
      </c>
      <c r="B648" s="34">
        <v>101688.0</v>
      </c>
      <c r="C648" s="34" t="s">
        <v>76</v>
      </c>
      <c r="D648" s="34" t="s">
        <v>1299</v>
      </c>
      <c r="E648" s="34" t="s">
        <v>1300</v>
      </c>
      <c r="F648" s="34">
        <v>2013.0</v>
      </c>
      <c r="G648" s="34" t="s">
        <v>1301</v>
      </c>
      <c r="H648" s="34" t="s">
        <v>1302</v>
      </c>
      <c r="I648" s="34" t="s">
        <v>1303</v>
      </c>
      <c r="J648" s="35"/>
      <c r="K648" s="36"/>
      <c r="L648" s="36"/>
      <c r="M648" s="36"/>
      <c r="N648" s="36"/>
      <c r="O648" s="36"/>
      <c r="P648" s="37">
        <v>2.7</v>
      </c>
      <c r="Q648" s="36"/>
      <c r="R648" s="36" t="s">
        <v>490</v>
      </c>
      <c r="S648" s="36">
        <v>3000.0</v>
      </c>
      <c r="T648" s="36" t="s">
        <v>328</v>
      </c>
      <c r="U648" s="36" t="s">
        <v>285</v>
      </c>
      <c r="V648" s="36"/>
      <c r="W648" s="36" t="s">
        <v>169</v>
      </c>
      <c r="X648" s="38">
        <v>1.0</v>
      </c>
      <c r="Y648" s="38" t="s">
        <v>1309</v>
      </c>
      <c r="Z648" s="38" t="s">
        <v>1310</v>
      </c>
      <c r="AA648" s="38" t="s">
        <v>370</v>
      </c>
      <c r="AB648" s="38">
        <v>39.32</v>
      </c>
      <c r="AC648" s="38">
        <v>-86.41</v>
      </c>
      <c r="AD648" s="39" t="s">
        <v>87</v>
      </c>
      <c r="AE648" s="38">
        <v>275.0</v>
      </c>
      <c r="AF648" s="38"/>
      <c r="AG648" s="38" t="s">
        <v>201</v>
      </c>
      <c r="AH648" s="38"/>
      <c r="AI648" s="50">
        <v>39.3232</v>
      </c>
      <c r="AJ648" s="50">
        <v>-86.4131</v>
      </c>
      <c r="AK648" s="41" t="s">
        <v>370</v>
      </c>
      <c r="AL648" s="40" t="s">
        <v>370</v>
      </c>
      <c r="AM648" s="49">
        <v>297.0</v>
      </c>
      <c r="AN648" s="51">
        <v>297.0</v>
      </c>
      <c r="AO648" s="42" t="s">
        <v>107</v>
      </c>
      <c r="AP648" s="43" t="s">
        <v>108</v>
      </c>
      <c r="AQ648" s="44" t="str">
        <f t="shared" si="58"/>
        <v>DBF</v>
      </c>
      <c r="AR648" s="44">
        <f t="shared" si="3"/>
        <v>297</v>
      </c>
      <c r="AS648" s="44" t="str">
        <f t="shared" si="56"/>
        <v>D</v>
      </c>
      <c r="AT648" s="44" t="str">
        <f t="shared" si="17"/>
        <v>Df</v>
      </c>
      <c r="AU648" s="44" t="str">
        <f t="shared" si="2"/>
        <v>Dfa</v>
      </c>
      <c r="AV648" s="38"/>
      <c r="AW648" s="38"/>
      <c r="AX648" s="38">
        <v>3000.0</v>
      </c>
      <c r="AY648" s="38"/>
      <c r="AZ648" s="29">
        <v>1000.0</v>
      </c>
      <c r="BA648" s="29"/>
      <c r="BB648" s="29">
        <v>1.0</v>
      </c>
      <c r="BC648" s="29"/>
      <c r="BD648" s="29" t="s">
        <v>92</v>
      </c>
      <c r="BE648" s="29" t="s">
        <v>89</v>
      </c>
      <c r="BF648" s="29" t="s">
        <v>1306</v>
      </c>
      <c r="BG648" s="29" t="s">
        <v>1095</v>
      </c>
      <c r="BH648" s="29" t="s">
        <v>1307</v>
      </c>
      <c r="BI648" s="29" t="s">
        <v>1308</v>
      </c>
      <c r="BJ648" s="29"/>
      <c r="BK648" s="29" t="s">
        <v>148</v>
      </c>
      <c r="BL648" s="29" t="s">
        <v>148</v>
      </c>
      <c r="BM648" s="45"/>
      <c r="BN648" s="45"/>
      <c r="BO648" s="46"/>
      <c r="BP648" s="2"/>
      <c r="BQ648" s="3"/>
    </row>
    <row r="649" ht="15.75" customHeight="1">
      <c r="A649" s="34">
        <v>652.0</v>
      </c>
      <c r="B649" s="34">
        <v>101688.0</v>
      </c>
      <c r="C649" s="34" t="s">
        <v>76</v>
      </c>
      <c r="D649" s="34" t="s">
        <v>1299</v>
      </c>
      <c r="E649" s="34" t="s">
        <v>1300</v>
      </c>
      <c r="F649" s="34">
        <v>2013.0</v>
      </c>
      <c r="G649" s="34" t="s">
        <v>1301</v>
      </c>
      <c r="H649" s="34" t="s">
        <v>1302</v>
      </c>
      <c r="I649" s="34" t="s">
        <v>1303</v>
      </c>
      <c r="J649" s="35"/>
      <c r="K649" s="36"/>
      <c r="L649" s="36"/>
      <c r="M649" s="36"/>
      <c r="N649" s="36"/>
      <c r="O649" s="36"/>
      <c r="P649" s="37">
        <v>0.6</v>
      </c>
      <c r="Q649" s="36"/>
      <c r="R649" s="36" t="s">
        <v>490</v>
      </c>
      <c r="S649" s="36">
        <v>3000.0</v>
      </c>
      <c r="T649" s="36" t="s">
        <v>295</v>
      </c>
      <c r="U649" s="36" t="s">
        <v>285</v>
      </c>
      <c r="V649" s="36"/>
      <c r="W649" s="36" t="s">
        <v>169</v>
      </c>
      <c r="X649" s="38">
        <v>1.0</v>
      </c>
      <c r="Y649" s="38" t="s">
        <v>1311</v>
      </c>
      <c r="Z649" s="38"/>
      <c r="AA649" s="38" t="s">
        <v>370</v>
      </c>
      <c r="AB649" s="38">
        <v>44.07</v>
      </c>
      <c r="AC649" s="38">
        <v>-71.29</v>
      </c>
      <c r="AD649" s="39" t="s">
        <v>87</v>
      </c>
      <c r="AE649" s="38">
        <v>150.0</v>
      </c>
      <c r="AF649" s="38"/>
      <c r="AG649" s="38" t="s">
        <v>1024</v>
      </c>
      <c r="AH649" s="38"/>
      <c r="AI649" s="50">
        <v>44.07</v>
      </c>
      <c r="AJ649" s="50">
        <v>-71.29</v>
      </c>
      <c r="AK649" s="41" t="s">
        <v>452</v>
      </c>
      <c r="AL649" s="40" t="s">
        <v>452</v>
      </c>
      <c r="AM649" s="49">
        <v>247.0</v>
      </c>
      <c r="AN649" s="51">
        <v>247.0</v>
      </c>
      <c r="AO649" s="42" t="s">
        <v>372</v>
      </c>
      <c r="AP649" s="43" t="s">
        <v>107</v>
      </c>
      <c r="AQ649" s="44" t="str">
        <f t="shared" si="58"/>
        <v>DBF</v>
      </c>
      <c r="AR649" s="44">
        <f t="shared" si="3"/>
        <v>247</v>
      </c>
      <c r="AS649" s="44" t="str">
        <f t="shared" si="56"/>
        <v>D</v>
      </c>
      <c r="AT649" s="44" t="str">
        <f t="shared" si="17"/>
        <v>Df</v>
      </c>
      <c r="AU649" s="44" t="str">
        <f t="shared" si="2"/>
        <v>Dfb</v>
      </c>
      <c r="AV649" s="38"/>
      <c r="AW649" s="38"/>
      <c r="AX649" s="38">
        <v>3000.0</v>
      </c>
      <c r="AY649" s="38"/>
      <c r="AZ649" s="29">
        <v>1000.0</v>
      </c>
      <c r="BA649" s="29"/>
      <c r="BB649" s="29">
        <v>1.0</v>
      </c>
      <c r="BC649" s="29"/>
      <c r="BD649" s="29" t="s">
        <v>92</v>
      </c>
      <c r="BE649" s="29" t="s">
        <v>89</v>
      </c>
      <c r="BF649" s="29" t="s">
        <v>1306</v>
      </c>
      <c r="BG649" s="29" t="s">
        <v>1095</v>
      </c>
      <c r="BH649" s="29" t="s">
        <v>1307</v>
      </c>
      <c r="BI649" s="29" t="s">
        <v>1308</v>
      </c>
      <c r="BJ649" s="29"/>
      <c r="BK649" s="29" t="s">
        <v>148</v>
      </c>
      <c r="BL649" s="29" t="s">
        <v>148</v>
      </c>
      <c r="BM649" s="45"/>
      <c r="BN649" s="45"/>
      <c r="BO649" s="46"/>
      <c r="BP649" s="2"/>
      <c r="BQ649" s="3"/>
    </row>
    <row r="650" ht="15.75" customHeight="1">
      <c r="A650" s="34">
        <v>653.0</v>
      </c>
      <c r="B650" s="34">
        <v>101688.0</v>
      </c>
      <c r="C650" s="34" t="s">
        <v>76</v>
      </c>
      <c r="D650" s="34" t="s">
        <v>1299</v>
      </c>
      <c r="E650" s="34" t="s">
        <v>1300</v>
      </c>
      <c r="F650" s="34">
        <v>2013.0</v>
      </c>
      <c r="G650" s="34" t="s">
        <v>1301</v>
      </c>
      <c r="H650" s="34" t="s">
        <v>1302</v>
      </c>
      <c r="I650" s="34" t="s">
        <v>1303</v>
      </c>
      <c r="J650" s="35"/>
      <c r="K650" s="36"/>
      <c r="L650" s="36"/>
      <c r="M650" s="36"/>
      <c r="N650" s="36"/>
      <c r="O650" s="36"/>
      <c r="P650" s="37">
        <v>10.1</v>
      </c>
      <c r="Q650" s="36"/>
      <c r="R650" s="36" t="s">
        <v>490</v>
      </c>
      <c r="S650" s="36">
        <v>3000.0</v>
      </c>
      <c r="T650" s="36" t="s">
        <v>295</v>
      </c>
      <c r="U650" s="36" t="s">
        <v>342</v>
      </c>
      <c r="V650" s="36"/>
      <c r="W650" s="36" t="s">
        <v>169</v>
      </c>
      <c r="X650" s="38">
        <v>1.0</v>
      </c>
      <c r="Y650" s="38" t="s">
        <v>1312</v>
      </c>
      <c r="Z650" s="38" t="s">
        <v>1313</v>
      </c>
      <c r="AA650" s="38" t="s">
        <v>370</v>
      </c>
      <c r="AB650" s="38">
        <v>38.74</v>
      </c>
      <c r="AC650" s="38">
        <v>-92.2</v>
      </c>
      <c r="AD650" s="39" t="s">
        <v>87</v>
      </c>
      <c r="AE650" s="38">
        <v>219.4</v>
      </c>
      <c r="AF650" s="38"/>
      <c r="AG650" s="38" t="s">
        <v>201</v>
      </c>
      <c r="AH650" s="38"/>
      <c r="AI650" s="50">
        <v>38.74</v>
      </c>
      <c r="AJ650" s="50">
        <v>-92.2</v>
      </c>
      <c r="AK650" s="41" t="s">
        <v>370</v>
      </c>
      <c r="AL650" s="40" t="s">
        <v>370</v>
      </c>
      <c r="AM650" s="49">
        <v>215.0</v>
      </c>
      <c r="AN650" s="51">
        <v>215.0</v>
      </c>
      <c r="AO650" s="42" t="s">
        <v>107</v>
      </c>
      <c r="AP650" s="43" t="s">
        <v>108</v>
      </c>
      <c r="AQ650" s="44" t="str">
        <f t="shared" si="58"/>
        <v>DBF</v>
      </c>
      <c r="AR650" s="44">
        <f t="shared" si="3"/>
        <v>215</v>
      </c>
      <c r="AS650" s="44" t="str">
        <f t="shared" si="56"/>
        <v>D</v>
      </c>
      <c r="AT650" s="44" t="str">
        <f t="shared" si="17"/>
        <v>Df</v>
      </c>
      <c r="AU650" s="44" t="str">
        <f t="shared" si="2"/>
        <v>Dfa</v>
      </c>
      <c r="AV650" s="38"/>
      <c r="AW650" s="38"/>
      <c r="AX650" s="38">
        <v>3000.0</v>
      </c>
      <c r="AY650" s="38"/>
      <c r="AZ650" s="29">
        <v>1000.0</v>
      </c>
      <c r="BA650" s="29"/>
      <c r="BB650" s="29">
        <v>1.0</v>
      </c>
      <c r="BC650" s="29"/>
      <c r="BD650" s="29" t="s">
        <v>92</v>
      </c>
      <c r="BE650" s="29" t="s">
        <v>89</v>
      </c>
      <c r="BF650" s="29" t="s">
        <v>1306</v>
      </c>
      <c r="BG650" s="29" t="s">
        <v>1095</v>
      </c>
      <c r="BH650" s="29" t="s">
        <v>1307</v>
      </c>
      <c r="BI650" s="29" t="s">
        <v>1308</v>
      </c>
      <c r="BJ650" s="29"/>
      <c r="BK650" s="29" t="s">
        <v>148</v>
      </c>
      <c r="BL650" s="29" t="s">
        <v>148</v>
      </c>
      <c r="BM650" s="45"/>
      <c r="BN650" s="45"/>
      <c r="BO650" s="46"/>
      <c r="BP650" s="2"/>
      <c r="BQ650" s="3"/>
    </row>
    <row r="651" ht="15.75" customHeight="1">
      <c r="A651" s="34">
        <v>654.0</v>
      </c>
      <c r="B651" s="34">
        <v>101688.0</v>
      </c>
      <c r="C651" s="34" t="s">
        <v>76</v>
      </c>
      <c r="D651" s="34" t="s">
        <v>1299</v>
      </c>
      <c r="E651" s="34" t="s">
        <v>1300</v>
      </c>
      <c r="F651" s="34">
        <v>2013.0</v>
      </c>
      <c r="G651" s="34" t="s">
        <v>1301</v>
      </c>
      <c r="H651" s="34" t="s">
        <v>1302</v>
      </c>
      <c r="I651" s="34" t="s">
        <v>1303</v>
      </c>
      <c r="J651" s="35"/>
      <c r="K651" s="36"/>
      <c r="L651" s="36"/>
      <c r="M651" s="36"/>
      <c r="N651" s="36"/>
      <c r="O651" s="36"/>
      <c r="P651" s="37">
        <v>5.1</v>
      </c>
      <c r="Q651" s="36"/>
      <c r="R651" s="36" t="s">
        <v>490</v>
      </c>
      <c r="S651" s="36">
        <v>3000.0</v>
      </c>
      <c r="T651" s="36" t="s">
        <v>284</v>
      </c>
      <c r="U651" s="36" t="s">
        <v>342</v>
      </c>
      <c r="V651" s="36">
        <v>57.0</v>
      </c>
      <c r="W651" s="36" t="s">
        <v>169</v>
      </c>
      <c r="X651" s="38">
        <v>1.0</v>
      </c>
      <c r="Y651" s="38" t="s">
        <v>1314</v>
      </c>
      <c r="Z651" s="38" t="s">
        <v>1315</v>
      </c>
      <c r="AA651" s="38" t="s">
        <v>197</v>
      </c>
      <c r="AB651" s="38">
        <v>44.45</v>
      </c>
      <c r="AC651" s="38">
        <v>-121.55</v>
      </c>
      <c r="AD651" s="39" t="s">
        <v>87</v>
      </c>
      <c r="AE651" s="38">
        <v>1253.0</v>
      </c>
      <c r="AF651" s="38"/>
      <c r="AG651" s="38" t="s">
        <v>445</v>
      </c>
      <c r="AH651" s="38"/>
      <c r="AI651" s="50">
        <v>44.45</v>
      </c>
      <c r="AJ651" s="50">
        <v>-121.55</v>
      </c>
      <c r="AK651" s="41" t="s">
        <v>197</v>
      </c>
      <c r="AL651" s="40" t="s">
        <v>197</v>
      </c>
      <c r="AM651" s="49">
        <v>1262.0</v>
      </c>
      <c r="AN651" s="51">
        <v>1262.0</v>
      </c>
      <c r="AO651" s="42" t="s">
        <v>321</v>
      </c>
      <c r="AP651" s="43" t="s">
        <v>321</v>
      </c>
      <c r="AQ651" s="44" t="str">
        <f t="shared" si="58"/>
        <v>ENF</v>
      </c>
      <c r="AR651" s="44">
        <f t="shared" si="3"/>
        <v>1262</v>
      </c>
      <c r="AS651" s="44" t="str">
        <f t="shared" si="56"/>
        <v>D</v>
      </c>
      <c r="AT651" s="44" t="str">
        <f t="shared" si="17"/>
        <v>Ds</v>
      </c>
      <c r="AU651" s="44" t="str">
        <f t="shared" si="2"/>
        <v>Dsb</v>
      </c>
      <c r="AV651" s="38"/>
      <c r="AW651" s="38"/>
      <c r="AX651" s="38">
        <v>3000.0</v>
      </c>
      <c r="AY651" s="38"/>
      <c r="AZ651" s="29">
        <v>1000.0</v>
      </c>
      <c r="BA651" s="29"/>
      <c r="BB651" s="29">
        <v>1.0</v>
      </c>
      <c r="BC651" s="29"/>
      <c r="BD651" s="29" t="s">
        <v>92</v>
      </c>
      <c r="BE651" s="29" t="s">
        <v>89</v>
      </c>
      <c r="BF651" s="29" t="s">
        <v>1306</v>
      </c>
      <c r="BG651" s="29" t="s">
        <v>1095</v>
      </c>
      <c r="BH651" s="29" t="s">
        <v>1307</v>
      </c>
      <c r="BI651" s="29" t="s">
        <v>1308</v>
      </c>
      <c r="BJ651" s="29"/>
      <c r="BK651" s="29" t="s">
        <v>148</v>
      </c>
      <c r="BL651" s="29" t="s">
        <v>148</v>
      </c>
      <c r="BM651" s="45"/>
      <c r="BN651" s="45"/>
      <c r="BO651" s="46"/>
      <c r="BP651" s="2"/>
      <c r="BQ651" s="3"/>
    </row>
    <row r="652" ht="15.75" customHeight="1">
      <c r="A652" s="34">
        <v>655.0</v>
      </c>
      <c r="B652" s="34">
        <v>101688.0</v>
      </c>
      <c r="C652" s="34" t="s">
        <v>76</v>
      </c>
      <c r="D652" s="34" t="s">
        <v>1299</v>
      </c>
      <c r="E652" s="34" t="s">
        <v>1300</v>
      </c>
      <c r="F652" s="34">
        <v>2013.0</v>
      </c>
      <c r="G652" s="34" t="s">
        <v>1301</v>
      </c>
      <c r="H652" s="34" t="s">
        <v>1302</v>
      </c>
      <c r="I652" s="34" t="s">
        <v>1303</v>
      </c>
      <c r="J652" s="35"/>
      <c r="K652" s="36"/>
      <c r="L652" s="36"/>
      <c r="M652" s="36"/>
      <c r="N652" s="36"/>
      <c r="O652" s="36"/>
      <c r="P652" s="37">
        <v>1.1</v>
      </c>
      <c r="Q652" s="36"/>
      <c r="R652" s="36" t="s">
        <v>490</v>
      </c>
      <c r="S652" s="36">
        <v>3000.0</v>
      </c>
      <c r="T652" s="36" t="s">
        <v>284</v>
      </c>
      <c r="U652" s="36" t="s">
        <v>194</v>
      </c>
      <c r="V652" s="36"/>
      <c r="W652" s="36" t="s">
        <v>169</v>
      </c>
      <c r="X652" s="38">
        <v>1.0</v>
      </c>
      <c r="Y652" s="38" t="s">
        <v>1316</v>
      </c>
      <c r="Z652" s="38" t="s">
        <v>1317</v>
      </c>
      <c r="AA652" s="38" t="s">
        <v>197</v>
      </c>
      <c r="AB652" s="38">
        <v>55.88</v>
      </c>
      <c r="AC652" s="38">
        <v>-98.48</v>
      </c>
      <c r="AD652" s="38" t="s">
        <v>395</v>
      </c>
      <c r="AE652" s="38">
        <v>260.0</v>
      </c>
      <c r="AF652" s="38"/>
      <c r="AG652" s="38" t="s">
        <v>372</v>
      </c>
      <c r="AH652" s="38"/>
      <c r="AI652" s="50">
        <v>55.88</v>
      </c>
      <c r="AJ652" s="50">
        <v>-98.48</v>
      </c>
      <c r="AK652" s="41" t="s">
        <v>197</v>
      </c>
      <c r="AL652" s="40" t="s">
        <v>197</v>
      </c>
      <c r="AM652" s="49">
        <v>262.0</v>
      </c>
      <c r="AN652" s="51">
        <v>262.0</v>
      </c>
      <c r="AO652" s="42" t="s">
        <v>412</v>
      </c>
      <c r="AP652" s="43" t="s">
        <v>372</v>
      </c>
      <c r="AQ652" s="44" t="str">
        <f t="shared" si="58"/>
        <v>ENF</v>
      </c>
      <c r="AR652" s="44">
        <f t="shared" si="3"/>
        <v>262</v>
      </c>
      <c r="AS652" s="44" t="str">
        <f t="shared" si="56"/>
        <v>D</v>
      </c>
      <c r="AT652" s="44" t="str">
        <f t="shared" si="17"/>
        <v>Df</v>
      </c>
      <c r="AU652" s="44" t="str">
        <f t="shared" si="2"/>
        <v>Dfc</v>
      </c>
      <c r="AV652" s="38"/>
      <c r="AW652" s="38"/>
      <c r="AX652" s="38">
        <v>3000.0</v>
      </c>
      <c r="AY652" s="38"/>
      <c r="AZ652" s="29">
        <v>1000.0</v>
      </c>
      <c r="BA652" s="29"/>
      <c r="BB652" s="29">
        <v>1.0</v>
      </c>
      <c r="BC652" s="29"/>
      <c r="BD652" s="29" t="s">
        <v>92</v>
      </c>
      <c r="BE652" s="29" t="s">
        <v>89</v>
      </c>
      <c r="BF652" s="29" t="s">
        <v>1306</v>
      </c>
      <c r="BG652" s="29" t="s">
        <v>1095</v>
      </c>
      <c r="BH652" s="29" t="s">
        <v>1307</v>
      </c>
      <c r="BI652" s="29" t="s">
        <v>1308</v>
      </c>
      <c r="BJ652" s="29"/>
      <c r="BK652" s="29" t="s">
        <v>148</v>
      </c>
      <c r="BL652" s="29" t="s">
        <v>148</v>
      </c>
      <c r="BM652" s="45"/>
      <c r="BN652" s="45"/>
      <c r="BO652" s="46"/>
      <c r="BP652" s="2"/>
      <c r="BQ652" s="3"/>
    </row>
    <row r="653" ht="15.75" customHeight="1">
      <c r="A653" s="34">
        <v>656.0</v>
      </c>
      <c r="B653" s="34">
        <v>101688.0</v>
      </c>
      <c r="C653" s="34" t="s">
        <v>76</v>
      </c>
      <c r="D653" s="34" t="s">
        <v>1299</v>
      </c>
      <c r="E653" s="34" t="s">
        <v>1300</v>
      </c>
      <c r="F653" s="34">
        <v>2013.0</v>
      </c>
      <c r="G653" s="34" t="s">
        <v>1301</v>
      </c>
      <c r="H653" s="34" t="s">
        <v>1302</v>
      </c>
      <c r="I653" s="34" t="s">
        <v>1303</v>
      </c>
      <c r="J653" s="35"/>
      <c r="K653" s="36"/>
      <c r="L653" s="36"/>
      <c r="M653" s="36"/>
      <c r="N653" s="36"/>
      <c r="O653" s="36"/>
      <c r="P653" s="37">
        <v>11.4</v>
      </c>
      <c r="Q653" s="36"/>
      <c r="R653" s="36" t="s">
        <v>490</v>
      </c>
      <c r="S653" s="36">
        <v>3000.0</v>
      </c>
      <c r="T653" s="36" t="s">
        <v>284</v>
      </c>
      <c r="U653" s="36" t="s">
        <v>194</v>
      </c>
      <c r="V653" s="36"/>
      <c r="W653" s="36" t="s">
        <v>169</v>
      </c>
      <c r="X653" s="38">
        <v>1.0</v>
      </c>
      <c r="Y653" s="38" t="s">
        <v>1318</v>
      </c>
      <c r="Z653" s="38" t="s">
        <v>1319</v>
      </c>
      <c r="AA653" s="38" t="s">
        <v>197</v>
      </c>
      <c r="AB653" s="38">
        <v>55.91</v>
      </c>
      <c r="AC653" s="38">
        <v>-98.53</v>
      </c>
      <c r="AD653" s="38" t="s">
        <v>395</v>
      </c>
      <c r="AE653" s="38">
        <v>260.0</v>
      </c>
      <c r="AF653" s="38"/>
      <c r="AG653" s="38" t="s">
        <v>372</v>
      </c>
      <c r="AH653" s="38"/>
      <c r="AI653" s="50">
        <v>55.91</v>
      </c>
      <c r="AJ653" s="50">
        <v>-98.53</v>
      </c>
      <c r="AK653" s="41" t="s">
        <v>200</v>
      </c>
      <c r="AL653" s="40" t="s">
        <v>200</v>
      </c>
      <c r="AM653" s="49">
        <v>259.0</v>
      </c>
      <c r="AN653" s="51">
        <v>259.0</v>
      </c>
      <c r="AO653" s="42" t="s">
        <v>412</v>
      </c>
      <c r="AP653" s="43" t="s">
        <v>372</v>
      </c>
      <c r="AQ653" s="44" t="str">
        <f t="shared" si="58"/>
        <v>ENF</v>
      </c>
      <c r="AR653" s="44">
        <f t="shared" si="3"/>
        <v>259</v>
      </c>
      <c r="AS653" s="44" t="str">
        <f t="shared" si="56"/>
        <v>D</v>
      </c>
      <c r="AT653" s="44" t="str">
        <f t="shared" si="17"/>
        <v>Df</v>
      </c>
      <c r="AU653" s="44" t="str">
        <f t="shared" si="2"/>
        <v>Dfc</v>
      </c>
      <c r="AV653" s="38"/>
      <c r="AW653" s="38"/>
      <c r="AX653" s="38">
        <v>3000.0</v>
      </c>
      <c r="AY653" s="38"/>
      <c r="AZ653" s="29">
        <v>1000.0</v>
      </c>
      <c r="BA653" s="29"/>
      <c r="BB653" s="29">
        <v>1.0</v>
      </c>
      <c r="BC653" s="29"/>
      <c r="BD653" s="29" t="s">
        <v>92</v>
      </c>
      <c r="BE653" s="29" t="s">
        <v>89</v>
      </c>
      <c r="BF653" s="29" t="s">
        <v>1306</v>
      </c>
      <c r="BG653" s="29" t="s">
        <v>1095</v>
      </c>
      <c r="BH653" s="29" t="s">
        <v>1307</v>
      </c>
      <c r="BI653" s="29" t="s">
        <v>1308</v>
      </c>
      <c r="BJ653" s="29"/>
      <c r="BK653" s="29" t="s">
        <v>148</v>
      </c>
      <c r="BL653" s="29" t="s">
        <v>148</v>
      </c>
      <c r="BM653" s="45"/>
      <c r="BN653" s="45"/>
      <c r="BO653" s="46"/>
      <c r="BP653" s="2"/>
      <c r="BQ653" s="3"/>
    </row>
    <row r="654" ht="15.75" customHeight="1">
      <c r="A654" s="34">
        <v>657.0</v>
      </c>
      <c r="B654" s="34">
        <v>101688.0</v>
      </c>
      <c r="C654" s="34" t="s">
        <v>76</v>
      </c>
      <c r="D654" s="34" t="s">
        <v>1299</v>
      </c>
      <c r="E654" s="34" t="s">
        <v>1300</v>
      </c>
      <c r="F654" s="34">
        <v>2013.0</v>
      </c>
      <c r="G654" s="34" t="s">
        <v>1301</v>
      </c>
      <c r="H654" s="34" t="s">
        <v>1302</v>
      </c>
      <c r="I654" s="34" t="s">
        <v>1303</v>
      </c>
      <c r="J654" s="35"/>
      <c r="K654" s="36"/>
      <c r="L654" s="36"/>
      <c r="M654" s="36"/>
      <c r="N654" s="36"/>
      <c r="O654" s="36"/>
      <c r="P654" s="37">
        <v>4.1</v>
      </c>
      <c r="Q654" s="36"/>
      <c r="R654" s="36" t="s">
        <v>490</v>
      </c>
      <c r="S654" s="36">
        <v>3000.0</v>
      </c>
      <c r="T654" s="36" t="s">
        <v>328</v>
      </c>
      <c r="U654" s="36" t="s">
        <v>194</v>
      </c>
      <c r="V654" s="36"/>
      <c r="W654" s="36" t="s">
        <v>169</v>
      </c>
      <c r="X654" s="38">
        <v>1.0</v>
      </c>
      <c r="Y654" s="38" t="s">
        <v>1320</v>
      </c>
      <c r="Z654" s="38" t="s">
        <v>1321</v>
      </c>
      <c r="AA654" s="38" t="s">
        <v>197</v>
      </c>
      <c r="AB654" s="38">
        <v>55.91</v>
      </c>
      <c r="AC654" s="38">
        <v>-98.38</v>
      </c>
      <c r="AD654" s="38" t="s">
        <v>395</v>
      </c>
      <c r="AE654" s="38">
        <v>260.0</v>
      </c>
      <c r="AF654" s="38"/>
      <c r="AG654" s="38" t="s">
        <v>372</v>
      </c>
      <c r="AH654" s="38"/>
      <c r="AI654" s="50">
        <v>55.91</v>
      </c>
      <c r="AJ654" s="50">
        <v>-98.38</v>
      </c>
      <c r="AK654" s="41" t="s">
        <v>200</v>
      </c>
      <c r="AL654" s="40" t="s">
        <v>200</v>
      </c>
      <c r="AM654" s="49">
        <v>254.0</v>
      </c>
      <c r="AN654" s="51">
        <v>254.0</v>
      </c>
      <c r="AO654" s="42" t="s">
        <v>412</v>
      </c>
      <c r="AP654" s="43" t="s">
        <v>372</v>
      </c>
      <c r="AQ654" s="44" t="str">
        <f t="shared" si="58"/>
        <v>ENF</v>
      </c>
      <c r="AR654" s="44">
        <f t="shared" si="3"/>
        <v>254</v>
      </c>
      <c r="AS654" s="44" t="str">
        <f t="shared" si="56"/>
        <v>D</v>
      </c>
      <c r="AT654" s="44" t="str">
        <f t="shared" si="17"/>
        <v>Df</v>
      </c>
      <c r="AU654" s="44" t="str">
        <f t="shared" si="2"/>
        <v>Dfc</v>
      </c>
      <c r="AV654" s="38"/>
      <c r="AW654" s="38"/>
      <c r="AX654" s="38">
        <v>3000.0</v>
      </c>
      <c r="AY654" s="38"/>
      <c r="AZ654" s="29">
        <v>1000.0</v>
      </c>
      <c r="BA654" s="29"/>
      <c r="BB654" s="29">
        <v>1.0</v>
      </c>
      <c r="BC654" s="29"/>
      <c r="BD654" s="29" t="s">
        <v>92</v>
      </c>
      <c r="BE654" s="29" t="s">
        <v>89</v>
      </c>
      <c r="BF654" s="29" t="s">
        <v>1306</v>
      </c>
      <c r="BG654" s="29" t="s">
        <v>1095</v>
      </c>
      <c r="BH654" s="29" t="s">
        <v>1307</v>
      </c>
      <c r="BI654" s="29" t="s">
        <v>1308</v>
      </c>
      <c r="BJ654" s="29"/>
      <c r="BK654" s="29" t="s">
        <v>148</v>
      </c>
      <c r="BL654" s="29" t="s">
        <v>148</v>
      </c>
      <c r="BM654" s="45"/>
      <c r="BN654" s="45"/>
      <c r="BO654" s="46"/>
      <c r="BP654" s="2"/>
      <c r="BQ654" s="3"/>
    </row>
    <row r="655" ht="15.75" customHeight="1">
      <c r="A655" s="34">
        <v>658.0</v>
      </c>
      <c r="B655" s="34">
        <v>101688.0</v>
      </c>
      <c r="C655" s="34" t="s">
        <v>76</v>
      </c>
      <c r="D655" s="34" t="s">
        <v>1299</v>
      </c>
      <c r="E655" s="34" t="s">
        <v>1300</v>
      </c>
      <c r="F655" s="34">
        <v>2013.0</v>
      </c>
      <c r="G655" s="34" t="s">
        <v>1301</v>
      </c>
      <c r="H655" s="34" t="s">
        <v>1302</v>
      </c>
      <c r="I655" s="34" t="s">
        <v>1303</v>
      </c>
      <c r="J655" s="35"/>
      <c r="K655" s="36"/>
      <c r="L655" s="36"/>
      <c r="M655" s="36"/>
      <c r="N655" s="36"/>
      <c r="O655" s="36"/>
      <c r="P655" s="37">
        <v>11.9</v>
      </c>
      <c r="Q655" s="36"/>
      <c r="R655" s="36" t="s">
        <v>490</v>
      </c>
      <c r="S655" s="36">
        <v>3000.0</v>
      </c>
      <c r="T655" s="36" t="s">
        <v>284</v>
      </c>
      <c r="U655" s="36" t="s">
        <v>968</v>
      </c>
      <c r="V655" s="36"/>
      <c r="W655" s="36" t="s">
        <v>169</v>
      </c>
      <c r="X655" s="38">
        <v>1.0</v>
      </c>
      <c r="Y655" s="38" t="s">
        <v>1322</v>
      </c>
      <c r="Z655" s="38" t="s">
        <v>1323</v>
      </c>
      <c r="AA655" s="38" t="s">
        <v>197</v>
      </c>
      <c r="AB655" s="38">
        <v>55.91</v>
      </c>
      <c r="AC655" s="38">
        <v>-98.38</v>
      </c>
      <c r="AD655" s="38" t="s">
        <v>395</v>
      </c>
      <c r="AE655" s="38">
        <v>260.0</v>
      </c>
      <c r="AF655" s="38"/>
      <c r="AG655" s="38" t="s">
        <v>372</v>
      </c>
      <c r="AH655" s="38"/>
      <c r="AI655" s="50">
        <v>55.91</v>
      </c>
      <c r="AJ655" s="50">
        <v>-98.38</v>
      </c>
      <c r="AK655" s="41" t="s">
        <v>200</v>
      </c>
      <c r="AL655" s="40" t="s">
        <v>200</v>
      </c>
      <c r="AM655" s="49">
        <v>254.0</v>
      </c>
      <c r="AN655" s="51">
        <v>254.0</v>
      </c>
      <c r="AO655" s="42" t="s">
        <v>412</v>
      </c>
      <c r="AP655" s="43" t="s">
        <v>372</v>
      </c>
      <c r="AQ655" s="44" t="str">
        <f t="shared" si="58"/>
        <v>ENF</v>
      </c>
      <c r="AR655" s="44">
        <f t="shared" si="3"/>
        <v>254</v>
      </c>
      <c r="AS655" s="44" t="str">
        <f t="shared" si="56"/>
        <v>D</v>
      </c>
      <c r="AT655" s="44" t="str">
        <f t="shared" si="17"/>
        <v>Df</v>
      </c>
      <c r="AU655" s="44" t="str">
        <f t="shared" si="2"/>
        <v>Dfc</v>
      </c>
      <c r="AV655" s="38"/>
      <c r="AW655" s="38"/>
      <c r="AX655" s="38">
        <v>3000.0</v>
      </c>
      <c r="AY655" s="38"/>
      <c r="AZ655" s="29">
        <v>1000.0</v>
      </c>
      <c r="BA655" s="29"/>
      <c r="BB655" s="29">
        <v>1.0</v>
      </c>
      <c r="BC655" s="29"/>
      <c r="BD655" s="29" t="s">
        <v>92</v>
      </c>
      <c r="BE655" s="29" t="s">
        <v>89</v>
      </c>
      <c r="BF655" s="29" t="s">
        <v>1306</v>
      </c>
      <c r="BG655" s="29" t="s">
        <v>1095</v>
      </c>
      <c r="BH655" s="29" t="s">
        <v>1307</v>
      </c>
      <c r="BI655" s="29" t="s">
        <v>1308</v>
      </c>
      <c r="BJ655" s="29"/>
      <c r="BK655" s="29" t="s">
        <v>148</v>
      </c>
      <c r="BL655" s="29" t="s">
        <v>148</v>
      </c>
      <c r="BM655" s="45"/>
      <c r="BN655" s="45"/>
      <c r="BO655" s="46"/>
      <c r="BP655" s="2"/>
      <c r="BQ655" s="3"/>
    </row>
    <row r="656" ht="15.75" customHeight="1">
      <c r="A656" s="34">
        <v>659.0</v>
      </c>
      <c r="B656" s="34">
        <v>101688.0</v>
      </c>
      <c r="C656" s="34" t="s">
        <v>76</v>
      </c>
      <c r="D656" s="34" t="s">
        <v>1299</v>
      </c>
      <c r="E656" s="34" t="s">
        <v>1300</v>
      </c>
      <c r="F656" s="34">
        <v>2013.0</v>
      </c>
      <c r="G656" s="34" t="s">
        <v>1301</v>
      </c>
      <c r="H656" s="34" t="s">
        <v>1302</v>
      </c>
      <c r="I656" s="34" t="s">
        <v>1303</v>
      </c>
      <c r="J656" s="35"/>
      <c r="K656" s="36"/>
      <c r="L656" s="36"/>
      <c r="M656" s="36"/>
      <c r="N656" s="36"/>
      <c r="O656" s="36"/>
      <c r="P656" s="37">
        <v>12.2</v>
      </c>
      <c r="Q656" s="36"/>
      <c r="R656" s="36" t="s">
        <v>490</v>
      </c>
      <c r="S656" s="36">
        <v>3000.0</v>
      </c>
      <c r="T656" s="36" t="s">
        <v>328</v>
      </c>
      <c r="U656" s="36" t="s">
        <v>194</v>
      </c>
      <c r="V656" s="36"/>
      <c r="W656" s="36" t="s">
        <v>169</v>
      </c>
      <c r="X656" s="38">
        <v>1.0</v>
      </c>
      <c r="Y656" s="38" t="s">
        <v>1324</v>
      </c>
      <c r="Z656" s="38" t="s">
        <v>1325</v>
      </c>
      <c r="AA656" s="38" t="s">
        <v>197</v>
      </c>
      <c r="AB656" s="38">
        <v>55.86</v>
      </c>
      <c r="AC656" s="38">
        <v>-98.49</v>
      </c>
      <c r="AD656" s="38" t="s">
        <v>395</v>
      </c>
      <c r="AE656" s="38">
        <v>260.0</v>
      </c>
      <c r="AF656" s="38"/>
      <c r="AG656" s="38" t="s">
        <v>372</v>
      </c>
      <c r="AH656" s="38"/>
      <c r="AI656" s="50">
        <v>55.86</v>
      </c>
      <c r="AJ656" s="50">
        <v>-98.49</v>
      </c>
      <c r="AK656" s="41" t="s">
        <v>200</v>
      </c>
      <c r="AL656" s="40" t="s">
        <v>200</v>
      </c>
      <c r="AM656" s="49">
        <v>262.0</v>
      </c>
      <c r="AN656" s="51">
        <v>262.0</v>
      </c>
      <c r="AO656" s="42" t="s">
        <v>412</v>
      </c>
      <c r="AP656" s="43" t="s">
        <v>372</v>
      </c>
      <c r="AQ656" s="44" t="str">
        <f t="shared" si="58"/>
        <v>ENF</v>
      </c>
      <c r="AR656" s="44">
        <f t="shared" si="3"/>
        <v>262</v>
      </c>
      <c r="AS656" s="44" t="str">
        <f t="shared" si="56"/>
        <v>D</v>
      </c>
      <c r="AT656" s="44" t="str">
        <f t="shared" si="17"/>
        <v>Df</v>
      </c>
      <c r="AU656" s="44" t="str">
        <f t="shared" si="2"/>
        <v>Dfc</v>
      </c>
      <c r="AV656" s="38"/>
      <c r="AW656" s="38"/>
      <c r="AX656" s="38">
        <v>3000.0</v>
      </c>
      <c r="AY656" s="38"/>
      <c r="AZ656" s="29">
        <v>1000.0</v>
      </c>
      <c r="BA656" s="29"/>
      <c r="BB656" s="29">
        <v>1.0</v>
      </c>
      <c r="BC656" s="29"/>
      <c r="BD656" s="29" t="s">
        <v>92</v>
      </c>
      <c r="BE656" s="29" t="s">
        <v>89</v>
      </c>
      <c r="BF656" s="29" t="s">
        <v>1306</v>
      </c>
      <c r="BG656" s="29" t="s">
        <v>1095</v>
      </c>
      <c r="BH656" s="29" t="s">
        <v>1307</v>
      </c>
      <c r="BI656" s="29" t="s">
        <v>1308</v>
      </c>
      <c r="BJ656" s="29"/>
      <c r="BK656" s="29" t="s">
        <v>148</v>
      </c>
      <c r="BL656" s="29" t="s">
        <v>148</v>
      </c>
      <c r="BM656" s="45"/>
      <c r="BN656" s="45"/>
      <c r="BO656" s="46"/>
      <c r="BP656" s="2"/>
      <c r="BQ656" s="3"/>
    </row>
    <row r="657" ht="15.75" customHeight="1">
      <c r="A657" s="34">
        <v>660.0</v>
      </c>
      <c r="B657" s="34">
        <v>101688.0</v>
      </c>
      <c r="C657" s="34" t="s">
        <v>76</v>
      </c>
      <c r="D657" s="34" t="s">
        <v>1299</v>
      </c>
      <c r="E657" s="34" t="s">
        <v>1300</v>
      </c>
      <c r="F657" s="34">
        <v>2013.0</v>
      </c>
      <c r="G657" s="34" t="s">
        <v>1301</v>
      </c>
      <c r="H657" s="34" t="s">
        <v>1302</v>
      </c>
      <c r="I657" s="34" t="s">
        <v>1303</v>
      </c>
      <c r="J657" s="35"/>
      <c r="K657" s="36"/>
      <c r="L657" s="36"/>
      <c r="M657" s="36"/>
      <c r="N657" s="36"/>
      <c r="O657" s="36"/>
      <c r="P657" s="37">
        <v>3.7</v>
      </c>
      <c r="Q657" s="36"/>
      <c r="R657" s="36" t="s">
        <v>490</v>
      </c>
      <c r="S657" s="36">
        <v>3000.0</v>
      </c>
      <c r="T657" s="36" t="s">
        <v>328</v>
      </c>
      <c r="U657" s="36" t="s">
        <v>285</v>
      </c>
      <c r="V657" s="36"/>
      <c r="W657" s="36" t="s">
        <v>169</v>
      </c>
      <c r="X657" s="38">
        <v>1.0</v>
      </c>
      <c r="Y657" s="85" t="s">
        <v>1326</v>
      </c>
      <c r="Z657" s="38" t="s">
        <v>369</v>
      </c>
      <c r="AA657" s="38" t="s">
        <v>197</v>
      </c>
      <c r="AB657" s="38">
        <v>45.82</v>
      </c>
      <c r="AC657" s="38">
        <v>-129.95</v>
      </c>
      <c r="AD657" s="38" t="s">
        <v>87</v>
      </c>
      <c r="AE657" s="38">
        <v>371.0</v>
      </c>
      <c r="AF657" s="38" t="s">
        <v>1327</v>
      </c>
      <c r="AG657" s="38" t="s">
        <v>1328</v>
      </c>
      <c r="AH657" s="38"/>
      <c r="AI657" s="50">
        <v>45.8205</v>
      </c>
      <c r="AJ657" s="50">
        <v>-121.9519</v>
      </c>
      <c r="AK657" s="41" t="s">
        <v>197</v>
      </c>
      <c r="AL657" s="40" t="s">
        <v>197</v>
      </c>
      <c r="AM657" s="49">
        <v>397.0</v>
      </c>
      <c r="AN657" s="51">
        <v>397.0</v>
      </c>
      <c r="AO657" s="42" t="s">
        <v>445</v>
      </c>
      <c r="AP657" s="43" t="s">
        <v>445</v>
      </c>
      <c r="AQ657" s="44" t="str">
        <f t="shared" si="58"/>
        <v>ENF</v>
      </c>
      <c r="AR657" s="44">
        <f t="shared" si="3"/>
        <v>397</v>
      </c>
      <c r="AS657" s="44" t="str">
        <f t="shared" si="56"/>
        <v>C</v>
      </c>
      <c r="AT657" s="44" t="str">
        <f t="shared" si="17"/>
        <v>Cs</v>
      </c>
      <c r="AU657" s="44" t="str">
        <f t="shared" si="2"/>
        <v>Csb</v>
      </c>
      <c r="AV657" s="38"/>
      <c r="AW657" s="38"/>
      <c r="AX657" s="38">
        <v>3000.0</v>
      </c>
      <c r="AY657" s="38"/>
      <c r="AZ657" s="29">
        <v>1000.0</v>
      </c>
      <c r="BA657" s="29"/>
      <c r="BB657" s="29">
        <v>1.0</v>
      </c>
      <c r="BC657" s="29"/>
      <c r="BD657" s="29" t="s">
        <v>92</v>
      </c>
      <c r="BE657" s="29" t="s">
        <v>89</v>
      </c>
      <c r="BF657" s="29" t="s">
        <v>1306</v>
      </c>
      <c r="BG657" s="29" t="s">
        <v>1095</v>
      </c>
      <c r="BH657" s="29" t="s">
        <v>1307</v>
      </c>
      <c r="BI657" s="29" t="s">
        <v>1308</v>
      </c>
      <c r="BJ657" s="29"/>
      <c r="BK657" s="29" t="s">
        <v>148</v>
      </c>
      <c r="BL657" s="29" t="s">
        <v>148</v>
      </c>
      <c r="BM657" s="45"/>
      <c r="BN657" s="45"/>
      <c r="BO657" s="46"/>
      <c r="BP657" s="2"/>
      <c r="BQ657" s="3"/>
    </row>
    <row r="658" ht="15.75" customHeight="1">
      <c r="A658" s="34">
        <v>661.0</v>
      </c>
      <c r="B658" s="34">
        <v>101688.0</v>
      </c>
      <c r="C658" s="34" t="s">
        <v>76</v>
      </c>
      <c r="D658" s="34" t="s">
        <v>1299</v>
      </c>
      <c r="E658" s="34" t="s">
        <v>1300</v>
      </c>
      <c r="F658" s="34">
        <v>2013.0</v>
      </c>
      <c r="G658" s="34" t="s">
        <v>1301</v>
      </c>
      <c r="H658" s="34" t="s">
        <v>1302</v>
      </c>
      <c r="I658" s="34" t="s">
        <v>1303</v>
      </c>
      <c r="J658" s="35"/>
      <c r="K658" s="36"/>
      <c r="L658" s="36"/>
      <c r="M658" s="36"/>
      <c r="N658" s="36"/>
      <c r="O658" s="36"/>
      <c r="P658" s="37">
        <v>2.6</v>
      </c>
      <c r="Q658" s="36"/>
      <c r="R658" s="36" t="s">
        <v>490</v>
      </c>
      <c r="S658" s="36">
        <v>3000.0</v>
      </c>
      <c r="T658" s="36" t="s">
        <v>328</v>
      </c>
      <c r="U658" s="36" t="s">
        <v>194</v>
      </c>
      <c r="V658" s="36"/>
      <c r="W658" s="36" t="s">
        <v>169</v>
      </c>
      <c r="X658" s="38">
        <v>1.0</v>
      </c>
      <c r="Y658" s="38" t="s">
        <v>1329</v>
      </c>
      <c r="Z658" s="38" t="s">
        <v>1330</v>
      </c>
      <c r="AA658" s="38" t="s">
        <v>452</v>
      </c>
      <c r="AB658" s="38">
        <v>46.24</v>
      </c>
      <c r="AC658" s="38">
        <v>-89.35</v>
      </c>
      <c r="AD658" s="39" t="s">
        <v>87</v>
      </c>
      <c r="AE658" s="38">
        <v>540.0</v>
      </c>
      <c r="AF658" s="38"/>
      <c r="AG658" s="38" t="s">
        <v>107</v>
      </c>
      <c r="AH658" s="38"/>
      <c r="AI658" s="50">
        <v>46.24</v>
      </c>
      <c r="AJ658" s="50">
        <v>-89.35</v>
      </c>
      <c r="AK658" s="41" t="s">
        <v>452</v>
      </c>
      <c r="AL658" s="40" t="s">
        <v>452</v>
      </c>
      <c r="AM658" s="49">
        <v>557.0</v>
      </c>
      <c r="AN658" s="51">
        <v>557.0</v>
      </c>
      <c r="AO658" s="42" t="s">
        <v>372</v>
      </c>
      <c r="AP658" s="43" t="s">
        <v>107</v>
      </c>
      <c r="AQ658" s="44" t="str">
        <f t="shared" si="58"/>
        <v>MF</v>
      </c>
      <c r="AR658" s="44">
        <f t="shared" si="3"/>
        <v>557</v>
      </c>
      <c r="AS658" s="44" t="str">
        <f t="shared" si="56"/>
        <v>D</v>
      </c>
      <c r="AT658" s="44" t="str">
        <f t="shared" si="17"/>
        <v>Df</v>
      </c>
      <c r="AU658" s="44" t="str">
        <f t="shared" si="2"/>
        <v>Dfb</v>
      </c>
      <c r="AV658" s="38"/>
      <c r="AW658" s="38"/>
      <c r="AX658" s="38">
        <v>3000.0</v>
      </c>
      <c r="AY658" s="38"/>
      <c r="AZ658" s="29">
        <v>1000.0</v>
      </c>
      <c r="BA658" s="29"/>
      <c r="BB658" s="29">
        <v>1.0</v>
      </c>
      <c r="BC658" s="29"/>
      <c r="BD658" s="29" t="s">
        <v>92</v>
      </c>
      <c r="BE658" s="29" t="s">
        <v>89</v>
      </c>
      <c r="BF658" s="29" t="s">
        <v>1306</v>
      </c>
      <c r="BG658" s="29" t="s">
        <v>1095</v>
      </c>
      <c r="BH658" s="29" t="s">
        <v>1307</v>
      </c>
      <c r="BI658" s="29" t="s">
        <v>1308</v>
      </c>
      <c r="BJ658" s="29"/>
      <c r="BK658" s="29" t="s">
        <v>148</v>
      </c>
      <c r="BL658" s="29" t="s">
        <v>148</v>
      </c>
      <c r="BM658" s="45"/>
      <c r="BN658" s="45"/>
      <c r="BO658" s="46"/>
      <c r="BP658" s="2"/>
      <c r="BQ658" s="3"/>
    </row>
    <row r="659" ht="15.75" customHeight="1">
      <c r="A659" s="34">
        <v>662.0</v>
      </c>
      <c r="B659" s="34">
        <v>101688.0</v>
      </c>
      <c r="C659" s="34" t="s">
        <v>76</v>
      </c>
      <c r="D659" s="34" t="s">
        <v>1299</v>
      </c>
      <c r="E659" s="34" t="s">
        <v>1300</v>
      </c>
      <c r="F659" s="34">
        <v>2013.0</v>
      </c>
      <c r="G659" s="34" t="s">
        <v>1301</v>
      </c>
      <c r="H659" s="34" t="s">
        <v>1302</v>
      </c>
      <c r="I659" s="34" t="s">
        <v>1303</v>
      </c>
      <c r="J659" s="35"/>
      <c r="K659" s="36"/>
      <c r="L659" s="36"/>
      <c r="M659" s="36"/>
      <c r="N659" s="36"/>
      <c r="O659" s="36"/>
      <c r="P659" s="37">
        <v>17.4</v>
      </c>
      <c r="Q659" s="36"/>
      <c r="R659" s="36" t="s">
        <v>490</v>
      </c>
      <c r="S659" s="36">
        <v>3000.0</v>
      </c>
      <c r="T659" s="36" t="s">
        <v>284</v>
      </c>
      <c r="U659" s="36" t="s">
        <v>194</v>
      </c>
      <c r="V659" s="36"/>
      <c r="W659" s="36" t="s">
        <v>169</v>
      </c>
      <c r="X659" s="38">
        <v>1.0</v>
      </c>
      <c r="Y659" s="38" t="s">
        <v>1331</v>
      </c>
      <c r="Z659" s="38"/>
      <c r="AA659" s="38" t="s">
        <v>452</v>
      </c>
      <c r="AB659" s="38">
        <v>42.54</v>
      </c>
      <c r="AC659" s="38">
        <v>-72.19</v>
      </c>
      <c r="AD659" s="39" t="s">
        <v>87</v>
      </c>
      <c r="AE659" s="38">
        <v>377.5</v>
      </c>
      <c r="AF659" s="38"/>
      <c r="AG659" s="38" t="s">
        <v>107</v>
      </c>
      <c r="AH659" s="38"/>
      <c r="AI659" s="50">
        <v>42.54</v>
      </c>
      <c r="AJ659" s="50">
        <v>-72.19</v>
      </c>
      <c r="AK659" s="41" t="s">
        <v>370</v>
      </c>
      <c r="AL659" s="40" t="s">
        <v>370</v>
      </c>
      <c r="AM659" s="49">
        <v>365.0</v>
      </c>
      <c r="AN659" s="51">
        <v>365.0</v>
      </c>
      <c r="AO659" s="42" t="s">
        <v>372</v>
      </c>
      <c r="AP659" s="43" t="s">
        <v>107</v>
      </c>
      <c r="AQ659" s="44" t="str">
        <f t="shared" si="58"/>
        <v>MF</v>
      </c>
      <c r="AR659" s="44">
        <f t="shared" si="3"/>
        <v>365</v>
      </c>
      <c r="AS659" s="44" t="str">
        <f t="shared" si="56"/>
        <v>D</v>
      </c>
      <c r="AT659" s="44" t="str">
        <f t="shared" si="17"/>
        <v>Df</v>
      </c>
      <c r="AU659" s="44" t="str">
        <f t="shared" si="2"/>
        <v>Dfb</v>
      </c>
      <c r="AV659" s="38"/>
      <c r="AW659" s="38"/>
      <c r="AX659" s="38">
        <v>3000.0</v>
      </c>
      <c r="AY659" s="38"/>
      <c r="AZ659" s="29">
        <v>1000.0</v>
      </c>
      <c r="BA659" s="29"/>
      <c r="BB659" s="29">
        <v>1.0</v>
      </c>
      <c r="BC659" s="29"/>
      <c r="BD659" s="29" t="s">
        <v>92</v>
      </c>
      <c r="BE659" s="29" t="s">
        <v>89</v>
      </c>
      <c r="BF659" s="29" t="s">
        <v>1306</v>
      </c>
      <c r="BG659" s="29" t="s">
        <v>1095</v>
      </c>
      <c r="BH659" s="29" t="s">
        <v>1307</v>
      </c>
      <c r="BI659" s="29" t="s">
        <v>1308</v>
      </c>
      <c r="BJ659" s="29"/>
      <c r="BK659" s="29" t="s">
        <v>148</v>
      </c>
      <c r="BL659" s="29" t="s">
        <v>148</v>
      </c>
      <c r="BM659" s="45"/>
      <c r="BN659" s="45"/>
      <c r="BO659" s="46"/>
      <c r="BP659" s="2"/>
      <c r="BQ659" s="3"/>
    </row>
    <row r="660" ht="15.75" customHeight="1">
      <c r="A660" s="34">
        <v>663.0</v>
      </c>
      <c r="B660" s="34">
        <v>101688.0</v>
      </c>
      <c r="C660" s="34" t="s">
        <v>76</v>
      </c>
      <c r="D660" s="34" t="s">
        <v>1299</v>
      </c>
      <c r="E660" s="34" t="s">
        <v>1300</v>
      </c>
      <c r="F660" s="34">
        <v>2013.0</v>
      </c>
      <c r="G660" s="34" t="s">
        <v>1301</v>
      </c>
      <c r="H660" s="34" t="s">
        <v>1302</v>
      </c>
      <c r="I660" s="34" t="s">
        <v>1303</v>
      </c>
      <c r="J660" s="35"/>
      <c r="K660" s="36"/>
      <c r="L660" s="36"/>
      <c r="M660" s="36"/>
      <c r="N660" s="36"/>
      <c r="O660" s="36"/>
      <c r="P660" s="37">
        <v>18.1</v>
      </c>
      <c r="Q660" s="36"/>
      <c r="R660" s="36" t="s">
        <v>490</v>
      </c>
      <c r="S660" s="36">
        <v>3000.0</v>
      </c>
      <c r="T660" s="36" t="s">
        <v>328</v>
      </c>
      <c r="U660" s="36" t="s">
        <v>968</v>
      </c>
      <c r="V660" s="36"/>
      <c r="W660" s="36" t="s">
        <v>169</v>
      </c>
      <c r="X660" s="38">
        <v>1.0</v>
      </c>
      <c r="Y660" s="38" t="s">
        <v>1332</v>
      </c>
      <c r="Z660" s="38" t="s">
        <v>1333</v>
      </c>
      <c r="AA660" s="38" t="s">
        <v>452</v>
      </c>
      <c r="AB660" s="38">
        <v>45.2</v>
      </c>
      <c r="AC660" s="38">
        <v>-68.74</v>
      </c>
      <c r="AD660" s="39" t="s">
        <v>87</v>
      </c>
      <c r="AE660" s="53"/>
      <c r="AF660" s="38"/>
      <c r="AG660" s="57"/>
      <c r="AH660" s="38"/>
      <c r="AI660" s="50">
        <v>45.2</v>
      </c>
      <c r="AJ660" s="50">
        <v>-68.74</v>
      </c>
      <c r="AK660" s="41" t="s">
        <v>452</v>
      </c>
      <c r="AL660" s="40" t="s">
        <v>452</v>
      </c>
      <c r="AM660" s="49">
        <v>83.0</v>
      </c>
      <c r="AN660" s="51">
        <v>83.0</v>
      </c>
      <c r="AO660" s="42" t="s">
        <v>372</v>
      </c>
      <c r="AP660" s="43" t="s">
        <v>107</v>
      </c>
      <c r="AQ660" s="44" t="str">
        <f t="shared" si="58"/>
        <v>MF</v>
      </c>
      <c r="AR660" s="44">
        <f t="shared" si="3"/>
        <v>83</v>
      </c>
      <c r="AS660" s="44" t="str">
        <f t="shared" si="56"/>
        <v>D</v>
      </c>
      <c r="AT660" s="44" t="str">
        <f t="shared" si="17"/>
        <v>Df</v>
      </c>
      <c r="AU660" s="44" t="str">
        <f t="shared" si="2"/>
        <v>Dfb</v>
      </c>
      <c r="AV660" s="38"/>
      <c r="AW660" s="38"/>
      <c r="AX660" s="38">
        <v>3000.0</v>
      </c>
      <c r="AY660" s="38"/>
      <c r="AZ660" s="29">
        <v>1000.0</v>
      </c>
      <c r="BA660" s="29"/>
      <c r="BB660" s="29">
        <v>1.0</v>
      </c>
      <c r="BC660" s="29"/>
      <c r="BD660" s="29" t="s">
        <v>92</v>
      </c>
      <c r="BE660" s="29" t="s">
        <v>89</v>
      </c>
      <c r="BF660" s="29" t="s">
        <v>1306</v>
      </c>
      <c r="BG660" s="29" t="s">
        <v>1095</v>
      </c>
      <c r="BH660" s="29" t="s">
        <v>1307</v>
      </c>
      <c r="BI660" s="29" t="s">
        <v>1308</v>
      </c>
      <c r="BJ660" s="29"/>
      <c r="BK660" s="29" t="s">
        <v>148</v>
      </c>
      <c r="BL660" s="29" t="s">
        <v>148</v>
      </c>
      <c r="BM660" s="45"/>
      <c r="BN660" s="45"/>
      <c r="BO660" s="46"/>
      <c r="BP660" s="2"/>
      <c r="BQ660" s="3"/>
    </row>
    <row r="661" ht="15.75" customHeight="1">
      <c r="A661" s="34">
        <v>664.0</v>
      </c>
      <c r="B661" s="34">
        <v>101688.0</v>
      </c>
      <c r="C661" s="34" t="s">
        <v>76</v>
      </c>
      <c r="D661" s="34" t="s">
        <v>1299</v>
      </c>
      <c r="E661" s="34" t="s">
        <v>1300</v>
      </c>
      <c r="F661" s="34">
        <v>2013.0</v>
      </c>
      <c r="G661" s="34" t="s">
        <v>1301</v>
      </c>
      <c r="H661" s="34" t="s">
        <v>1302</v>
      </c>
      <c r="I661" s="34" t="s">
        <v>1303</v>
      </c>
      <c r="J661" s="35"/>
      <c r="K661" s="36"/>
      <c r="L661" s="36"/>
      <c r="M661" s="36"/>
      <c r="N661" s="36"/>
      <c r="O661" s="36"/>
      <c r="P661" s="37">
        <v>14.1</v>
      </c>
      <c r="Q661" s="36"/>
      <c r="R661" s="36" t="s">
        <v>490</v>
      </c>
      <c r="S661" s="36">
        <v>3000.0</v>
      </c>
      <c r="T661" s="36" t="s">
        <v>317</v>
      </c>
      <c r="U661" s="36" t="s">
        <v>285</v>
      </c>
      <c r="V661" s="36"/>
      <c r="W661" s="36" t="s">
        <v>169</v>
      </c>
      <c r="X661" s="38">
        <v>1.0</v>
      </c>
      <c r="Y661" s="38" t="s">
        <v>546</v>
      </c>
      <c r="Z661" s="38" t="s">
        <v>547</v>
      </c>
      <c r="AA661" s="38" t="s">
        <v>197</v>
      </c>
      <c r="AB661" s="38">
        <v>35.81</v>
      </c>
      <c r="AC661" s="38">
        <v>-76.71</v>
      </c>
      <c r="AD661" s="39" t="s">
        <v>87</v>
      </c>
      <c r="AE661" s="38">
        <v>5.0</v>
      </c>
      <c r="AF661" s="38" t="s">
        <v>550</v>
      </c>
      <c r="AG661" s="38" t="s">
        <v>201</v>
      </c>
      <c r="AH661" s="38"/>
      <c r="AI661" s="50">
        <v>35.8118</v>
      </c>
      <c r="AJ661" s="50">
        <v>-76.7119</v>
      </c>
      <c r="AK661" s="41" t="s">
        <v>197</v>
      </c>
      <c r="AL661" s="40" t="s">
        <v>197</v>
      </c>
      <c r="AM661" s="49">
        <v>26.0</v>
      </c>
      <c r="AN661" s="51">
        <v>26.0</v>
      </c>
      <c r="AO661" s="42" t="s">
        <v>201</v>
      </c>
      <c r="AP661" s="43" t="s">
        <v>201</v>
      </c>
      <c r="AQ661" s="44" t="str">
        <f t="shared" si="58"/>
        <v>ENF</v>
      </c>
      <c r="AR661" s="44">
        <f t="shared" si="3"/>
        <v>26</v>
      </c>
      <c r="AS661" s="44" t="str">
        <f t="shared" si="56"/>
        <v>C</v>
      </c>
      <c r="AT661" s="44" t="str">
        <f t="shared" si="17"/>
        <v>Cf</v>
      </c>
      <c r="AU661" s="44" t="str">
        <f t="shared" si="2"/>
        <v>Cfa</v>
      </c>
      <c r="AV661" s="38"/>
      <c r="AW661" s="38"/>
      <c r="AX661" s="38">
        <v>3000.0</v>
      </c>
      <c r="AY661" s="38"/>
      <c r="AZ661" s="29">
        <v>1000.0</v>
      </c>
      <c r="BA661" s="29"/>
      <c r="BB661" s="29">
        <v>1.0</v>
      </c>
      <c r="BC661" s="29"/>
      <c r="BD661" s="29" t="s">
        <v>92</v>
      </c>
      <c r="BE661" s="29" t="s">
        <v>89</v>
      </c>
      <c r="BF661" s="29" t="s">
        <v>1306</v>
      </c>
      <c r="BG661" s="29" t="s">
        <v>1095</v>
      </c>
      <c r="BH661" s="29" t="s">
        <v>1307</v>
      </c>
      <c r="BI661" s="29" t="s">
        <v>1308</v>
      </c>
      <c r="BJ661" s="29"/>
      <c r="BK661" s="29" t="s">
        <v>148</v>
      </c>
      <c r="BL661" s="29" t="s">
        <v>148</v>
      </c>
      <c r="BM661" s="45"/>
      <c r="BN661" s="45"/>
      <c r="BO661" s="46"/>
      <c r="BP661" s="2"/>
      <c r="BQ661" s="3"/>
    </row>
    <row r="662" ht="15.75" customHeight="1">
      <c r="A662" s="34">
        <v>665.0</v>
      </c>
      <c r="B662" s="34">
        <v>101688.0</v>
      </c>
      <c r="C662" s="34" t="s">
        <v>76</v>
      </c>
      <c r="D662" s="34" t="s">
        <v>1299</v>
      </c>
      <c r="E662" s="34" t="s">
        <v>1300</v>
      </c>
      <c r="F662" s="34">
        <v>2013.0</v>
      </c>
      <c r="G662" s="34" t="s">
        <v>1301</v>
      </c>
      <c r="H662" s="34" t="s">
        <v>1302</v>
      </c>
      <c r="I662" s="34" t="s">
        <v>1303</v>
      </c>
      <c r="J662" s="35"/>
      <c r="K662" s="36"/>
      <c r="L662" s="36"/>
      <c r="M662" s="36"/>
      <c r="N662" s="36"/>
      <c r="O662" s="36"/>
      <c r="P662" s="37">
        <v>6.1</v>
      </c>
      <c r="Q662" s="36"/>
      <c r="R662" s="36" t="s">
        <v>490</v>
      </c>
      <c r="S662" s="36">
        <v>3000.0</v>
      </c>
      <c r="T662" s="36" t="s">
        <v>317</v>
      </c>
      <c r="U662" s="36" t="s">
        <v>342</v>
      </c>
      <c r="V662" s="36">
        <v>44.0</v>
      </c>
      <c r="W662" s="36" t="s">
        <v>169</v>
      </c>
      <c r="X662" s="38">
        <v>1.0</v>
      </c>
      <c r="Y662" s="38" t="s">
        <v>322</v>
      </c>
      <c r="Z662" s="38" t="s">
        <v>323</v>
      </c>
      <c r="AA662" s="38" t="s">
        <v>313</v>
      </c>
      <c r="AB662" s="38">
        <v>35.09</v>
      </c>
      <c r="AC662" s="38">
        <v>-111.76</v>
      </c>
      <c r="AD662" s="39" t="s">
        <v>87</v>
      </c>
      <c r="AE662" s="53"/>
      <c r="AF662" s="38" t="s">
        <v>312</v>
      </c>
      <c r="AG662" s="57"/>
      <c r="AH662" s="38"/>
      <c r="AI662" s="50">
        <v>35.09</v>
      </c>
      <c r="AJ662" s="50">
        <v>-111.76</v>
      </c>
      <c r="AK662" s="41" t="s">
        <v>200</v>
      </c>
      <c r="AL662" s="40" t="s">
        <v>200</v>
      </c>
      <c r="AM662" s="49">
        <v>2229.0</v>
      </c>
      <c r="AN662" s="51">
        <v>2229.0</v>
      </c>
      <c r="AO662" s="42" t="s">
        <v>321</v>
      </c>
      <c r="AP662" s="43" t="s">
        <v>321</v>
      </c>
      <c r="AQ662" s="44" t="str">
        <f t="shared" si="58"/>
        <v>SAV</v>
      </c>
      <c r="AR662" s="44">
        <f t="shared" si="3"/>
        <v>2229</v>
      </c>
      <c r="AS662" s="44" t="str">
        <f t="shared" si="56"/>
        <v>D</v>
      </c>
      <c r="AT662" s="44" t="str">
        <f t="shared" si="17"/>
        <v>Ds</v>
      </c>
      <c r="AU662" s="44" t="str">
        <f t="shared" si="2"/>
        <v>Dsb</v>
      </c>
      <c r="AV662" s="38"/>
      <c r="AW662" s="38"/>
      <c r="AX662" s="38">
        <v>3000.0</v>
      </c>
      <c r="AY662" s="38"/>
      <c r="AZ662" s="29">
        <v>1000.0</v>
      </c>
      <c r="BA662" s="29"/>
      <c r="BB662" s="29">
        <v>1.0</v>
      </c>
      <c r="BC662" s="29"/>
      <c r="BD662" s="29" t="s">
        <v>92</v>
      </c>
      <c r="BE662" s="29" t="s">
        <v>89</v>
      </c>
      <c r="BF662" s="29" t="s">
        <v>1306</v>
      </c>
      <c r="BG662" s="29" t="s">
        <v>1095</v>
      </c>
      <c r="BH662" s="29" t="s">
        <v>1307</v>
      </c>
      <c r="BI662" s="29" t="s">
        <v>1308</v>
      </c>
      <c r="BJ662" s="29"/>
      <c r="BK662" s="29" t="s">
        <v>148</v>
      </c>
      <c r="BL662" s="29" t="s">
        <v>148</v>
      </c>
      <c r="BM662" s="45"/>
      <c r="BN662" s="45"/>
      <c r="BO662" s="46"/>
      <c r="BP662" s="2"/>
      <c r="BQ662" s="3"/>
    </row>
    <row r="663" ht="15.75" customHeight="1">
      <c r="A663" s="34">
        <v>666.0</v>
      </c>
      <c r="B663" s="34">
        <v>101688.0</v>
      </c>
      <c r="C663" s="34" t="s">
        <v>76</v>
      </c>
      <c r="D663" s="34" t="s">
        <v>1299</v>
      </c>
      <c r="E663" s="34" t="s">
        <v>1300</v>
      </c>
      <c r="F663" s="34">
        <v>2013.0</v>
      </c>
      <c r="G663" s="34" t="s">
        <v>1301</v>
      </c>
      <c r="H663" s="34" t="s">
        <v>1302</v>
      </c>
      <c r="I663" s="34" t="s">
        <v>1303</v>
      </c>
      <c r="J663" s="35"/>
      <c r="K663" s="36"/>
      <c r="L663" s="36"/>
      <c r="M663" s="36"/>
      <c r="N663" s="36"/>
      <c r="O663" s="36"/>
      <c r="P663" s="37">
        <v>8.9</v>
      </c>
      <c r="Q663" s="36"/>
      <c r="R663" s="36" t="s">
        <v>490</v>
      </c>
      <c r="S663" s="36">
        <v>3000.0</v>
      </c>
      <c r="T663" s="36" t="s">
        <v>328</v>
      </c>
      <c r="U663" s="36" t="s">
        <v>194</v>
      </c>
      <c r="V663" s="36"/>
      <c r="W663" s="36" t="s">
        <v>169</v>
      </c>
      <c r="X663" s="38">
        <v>1.0</v>
      </c>
      <c r="Y663" s="38" t="s">
        <v>1334</v>
      </c>
      <c r="Z663" s="53" t="s">
        <v>1335</v>
      </c>
      <c r="AA663" s="53" t="s">
        <v>292</v>
      </c>
      <c r="AB663" s="38">
        <v>55.92</v>
      </c>
      <c r="AC663" s="38">
        <v>-98.96</v>
      </c>
      <c r="AD663" s="38" t="s">
        <v>395</v>
      </c>
      <c r="AE663" s="38">
        <v>244.0</v>
      </c>
      <c r="AF663" s="38" t="s">
        <v>1336</v>
      </c>
      <c r="AG663" s="38" t="s">
        <v>372</v>
      </c>
      <c r="AH663" s="38"/>
      <c r="AI663" s="50">
        <v>55.92</v>
      </c>
      <c r="AJ663" s="50">
        <v>-98.96</v>
      </c>
      <c r="AK663" s="41" t="s">
        <v>291</v>
      </c>
      <c r="AL663" s="40" t="s">
        <v>291</v>
      </c>
      <c r="AM663" s="49">
        <v>251.0</v>
      </c>
      <c r="AN663" s="51">
        <v>251.0</v>
      </c>
      <c r="AO663" s="42" t="s">
        <v>412</v>
      </c>
      <c r="AP663" s="43" t="s">
        <v>372</v>
      </c>
      <c r="AQ663" s="44" t="str">
        <f t="shared" si="58"/>
        <v>OSH</v>
      </c>
      <c r="AR663" s="44">
        <f t="shared" si="3"/>
        <v>251</v>
      </c>
      <c r="AS663" s="44" t="str">
        <f t="shared" si="56"/>
        <v>D</v>
      </c>
      <c r="AT663" s="44" t="str">
        <f t="shared" si="17"/>
        <v>Df</v>
      </c>
      <c r="AU663" s="44" t="str">
        <f t="shared" si="2"/>
        <v>Dfc</v>
      </c>
      <c r="AV663" s="38"/>
      <c r="AW663" s="38"/>
      <c r="AX663" s="38">
        <v>3000.0</v>
      </c>
      <c r="AY663" s="38"/>
      <c r="AZ663" s="29">
        <v>1000.0</v>
      </c>
      <c r="BA663" s="29"/>
      <c r="BB663" s="29">
        <v>1.0</v>
      </c>
      <c r="BC663" s="29"/>
      <c r="BD663" s="29" t="s">
        <v>92</v>
      </c>
      <c r="BE663" s="29" t="s">
        <v>89</v>
      </c>
      <c r="BF663" s="29" t="s">
        <v>1306</v>
      </c>
      <c r="BG663" s="29" t="s">
        <v>1095</v>
      </c>
      <c r="BH663" s="29" t="s">
        <v>1307</v>
      </c>
      <c r="BI663" s="29" t="s">
        <v>1308</v>
      </c>
      <c r="BJ663" s="29"/>
      <c r="BK663" s="29" t="s">
        <v>148</v>
      </c>
      <c r="BL663" s="29" t="s">
        <v>148</v>
      </c>
      <c r="BM663" s="45"/>
      <c r="BN663" s="45"/>
      <c r="BO663" s="46"/>
      <c r="BP663" s="2"/>
      <c r="BQ663" s="3"/>
    </row>
    <row r="664" ht="15.75" customHeight="1">
      <c r="A664" s="34">
        <v>667.0</v>
      </c>
      <c r="B664" s="34">
        <v>101688.0</v>
      </c>
      <c r="C664" s="34" t="s">
        <v>76</v>
      </c>
      <c r="D664" s="34" t="s">
        <v>1299</v>
      </c>
      <c r="E664" s="34" t="s">
        <v>1300</v>
      </c>
      <c r="F664" s="34">
        <v>2013.0</v>
      </c>
      <c r="G664" s="34" t="s">
        <v>1301</v>
      </c>
      <c r="H664" s="34" t="s">
        <v>1302</v>
      </c>
      <c r="I664" s="34" t="s">
        <v>1303</v>
      </c>
      <c r="J664" s="35"/>
      <c r="K664" s="36"/>
      <c r="L664" s="36"/>
      <c r="M664" s="36"/>
      <c r="N664" s="36"/>
      <c r="O664" s="36"/>
      <c r="P664" s="37">
        <v>21.3</v>
      </c>
      <c r="Q664" s="36"/>
      <c r="R664" s="36" t="s">
        <v>490</v>
      </c>
      <c r="S664" s="36">
        <v>3000.0</v>
      </c>
      <c r="T664" s="36" t="s">
        <v>317</v>
      </c>
      <c r="U664" s="36" t="s">
        <v>194</v>
      </c>
      <c r="V664" s="36"/>
      <c r="W664" s="36" t="s">
        <v>169</v>
      </c>
      <c r="X664" s="38">
        <v>1.0</v>
      </c>
      <c r="Y664" s="38" t="s">
        <v>1337</v>
      </c>
      <c r="Z664" s="53" t="s">
        <v>1338</v>
      </c>
      <c r="AA664" s="53" t="s">
        <v>292</v>
      </c>
      <c r="AB664" s="38">
        <v>56.64</v>
      </c>
      <c r="AC664" s="38">
        <v>-99.95</v>
      </c>
      <c r="AD664" s="38" t="s">
        <v>395</v>
      </c>
      <c r="AE664" s="38">
        <v>297.0</v>
      </c>
      <c r="AF664" s="38" t="s">
        <v>1336</v>
      </c>
      <c r="AG664" s="38" t="s">
        <v>372</v>
      </c>
      <c r="AH664" s="38"/>
      <c r="AI664" s="50">
        <v>56.64</v>
      </c>
      <c r="AJ664" s="50">
        <v>-99.95</v>
      </c>
      <c r="AK664" s="41" t="s">
        <v>200</v>
      </c>
      <c r="AL664" s="40" t="s">
        <v>200</v>
      </c>
      <c r="AM664" s="49">
        <v>272.0</v>
      </c>
      <c r="AN664" s="51">
        <v>272.0</v>
      </c>
      <c r="AO664" s="42" t="s">
        <v>412</v>
      </c>
      <c r="AP664" s="43" t="s">
        <v>372</v>
      </c>
      <c r="AQ664" s="44" t="str">
        <f t="shared" si="58"/>
        <v>OSH</v>
      </c>
      <c r="AR664" s="44">
        <f t="shared" si="3"/>
        <v>272</v>
      </c>
      <c r="AS664" s="44" t="str">
        <f t="shared" si="56"/>
        <v>D</v>
      </c>
      <c r="AT664" s="44" t="str">
        <f t="shared" si="17"/>
        <v>Df</v>
      </c>
      <c r="AU664" s="44" t="str">
        <f t="shared" si="2"/>
        <v>Dfc</v>
      </c>
      <c r="AV664" s="38"/>
      <c r="AW664" s="38"/>
      <c r="AX664" s="38">
        <v>3000.0</v>
      </c>
      <c r="AY664" s="38"/>
      <c r="AZ664" s="29">
        <v>1000.0</v>
      </c>
      <c r="BA664" s="29"/>
      <c r="BB664" s="29">
        <v>1.0</v>
      </c>
      <c r="BC664" s="29"/>
      <c r="BD664" s="29" t="s">
        <v>92</v>
      </c>
      <c r="BE664" s="29" t="s">
        <v>89</v>
      </c>
      <c r="BF664" s="29" t="s">
        <v>1306</v>
      </c>
      <c r="BG664" s="29" t="s">
        <v>1095</v>
      </c>
      <c r="BH664" s="29" t="s">
        <v>1307</v>
      </c>
      <c r="BI664" s="29" t="s">
        <v>1308</v>
      </c>
      <c r="BJ664" s="29"/>
      <c r="BK664" s="29" t="s">
        <v>148</v>
      </c>
      <c r="BL664" s="29" t="s">
        <v>148</v>
      </c>
      <c r="BM664" s="45"/>
      <c r="BN664" s="45"/>
      <c r="BO664" s="46"/>
      <c r="BP664" s="2"/>
      <c r="BQ664" s="3"/>
    </row>
    <row r="665" ht="15.75" customHeight="1">
      <c r="A665" s="34">
        <v>668.0</v>
      </c>
      <c r="B665" s="34">
        <v>101688.0</v>
      </c>
      <c r="C665" s="34" t="s">
        <v>76</v>
      </c>
      <c r="D665" s="34" t="s">
        <v>1299</v>
      </c>
      <c r="E665" s="34" t="s">
        <v>1300</v>
      </c>
      <c r="F665" s="34">
        <v>2013.0</v>
      </c>
      <c r="G665" s="34" t="s">
        <v>1301</v>
      </c>
      <c r="H665" s="34" t="s">
        <v>1302</v>
      </c>
      <c r="I665" s="34" t="s">
        <v>1303</v>
      </c>
      <c r="J665" s="35"/>
      <c r="K665" s="36"/>
      <c r="L665" s="36"/>
      <c r="M665" s="36"/>
      <c r="N665" s="36"/>
      <c r="O665" s="36"/>
      <c r="P665" s="37">
        <v>38.6</v>
      </c>
      <c r="Q665" s="36"/>
      <c r="R665" s="36" t="s">
        <v>490</v>
      </c>
      <c r="S665" s="36">
        <v>3000.0</v>
      </c>
      <c r="T665" s="36" t="s">
        <v>328</v>
      </c>
      <c r="U665" s="36" t="s">
        <v>342</v>
      </c>
      <c r="V665" s="36"/>
      <c r="W665" s="36" t="s">
        <v>169</v>
      </c>
      <c r="X665" s="38">
        <v>1.0</v>
      </c>
      <c r="Y665" s="38" t="s">
        <v>1339</v>
      </c>
      <c r="Z665" s="38" t="s">
        <v>1340</v>
      </c>
      <c r="AA665" s="38" t="s">
        <v>288</v>
      </c>
      <c r="AB665" s="38">
        <v>38.41</v>
      </c>
      <c r="AC665" s="38">
        <v>-120.95</v>
      </c>
      <c r="AD665" s="39" t="s">
        <v>87</v>
      </c>
      <c r="AE665" s="38">
        <v>129.0</v>
      </c>
      <c r="AF665" s="38" t="s">
        <v>1341</v>
      </c>
      <c r="AG665" s="38" t="s">
        <v>175</v>
      </c>
      <c r="AH665" s="38"/>
      <c r="AI665" s="50">
        <v>38.41</v>
      </c>
      <c r="AJ665" s="50">
        <v>-120.95</v>
      </c>
      <c r="AK665" s="41" t="s">
        <v>288</v>
      </c>
      <c r="AL665" s="40" t="s">
        <v>288</v>
      </c>
      <c r="AM665" s="49">
        <v>154.0</v>
      </c>
      <c r="AN665" s="51">
        <v>154.0</v>
      </c>
      <c r="AO665" s="42" t="s">
        <v>175</v>
      </c>
      <c r="AP665" s="43" t="s">
        <v>175</v>
      </c>
      <c r="AQ665" s="44" t="str">
        <f t="shared" si="58"/>
        <v>GRA</v>
      </c>
      <c r="AR665" s="44">
        <f t="shared" si="3"/>
        <v>154</v>
      </c>
      <c r="AS665" s="44" t="str">
        <f t="shared" si="56"/>
        <v>C</v>
      </c>
      <c r="AT665" s="44" t="str">
        <f t="shared" si="17"/>
        <v>Cs</v>
      </c>
      <c r="AU665" s="44" t="str">
        <f t="shared" si="2"/>
        <v>Csa</v>
      </c>
      <c r="AV665" s="38"/>
      <c r="AW665" s="38"/>
      <c r="AX665" s="38">
        <v>3000.0</v>
      </c>
      <c r="AY665" s="38"/>
      <c r="AZ665" s="29">
        <v>1000.0</v>
      </c>
      <c r="BA665" s="29"/>
      <c r="BB665" s="29">
        <v>1.0</v>
      </c>
      <c r="BC665" s="29"/>
      <c r="BD665" s="29" t="s">
        <v>92</v>
      </c>
      <c r="BE665" s="29" t="s">
        <v>89</v>
      </c>
      <c r="BF665" s="29" t="s">
        <v>1306</v>
      </c>
      <c r="BG665" s="29" t="s">
        <v>1095</v>
      </c>
      <c r="BH665" s="29" t="s">
        <v>1307</v>
      </c>
      <c r="BI665" s="29" t="s">
        <v>1308</v>
      </c>
      <c r="BJ665" s="29"/>
      <c r="BK665" s="29" t="s">
        <v>148</v>
      </c>
      <c r="BL665" s="29" t="s">
        <v>148</v>
      </c>
      <c r="BM665" s="45"/>
      <c r="BN665" s="45"/>
      <c r="BO665" s="46"/>
      <c r="BP665" s="2"/>
      <c r="BQ665" s="3"/>
    </row>
    <row r="666" ht="15.75" customHeight="1">
      <c r="A666" s="34">
        <v>669.0</v>
      </c>
      <c r="B666" s="34">
        <v>101688.0</v>
      </c>
      <c r="C666" s="34" t="s">
        <v>76</v>
      </c>
      <c r="D666" s="34" t="s">
        <v>1299</v>
      </c>
      <c r="E666" s="34" t="s">
        <v>1300</v>
      </c>
      <c r="F666" s="34">
        <v>2013.0</v>
      </c>
      <c r="G666" s="34" t="s">
        <v>1301</v>
      </c>
      <c r="H666" s="34" t="s">
        <v>1302</v>
      </c>
      <c r="I666" s="34" t="s">
        <v>1303</v>
      </c>
      <c r="J666" s="35"/>
      <c r="K666" s="36"/>
      <c r="L666" s="36"/>
      <c r="M666" s="36"/>
      <c r="N666" s="36"/>
      <c r="O666" s="36"/>
      <c r="P666" s="37">
        <v>36.1</v>
      </c>
      <c r="Q666" s="36"/>
      <c r="R666" s="36" t="s">
        <v>490</v>
      </c>
      <c r="S666" s="36">
        <v>3000.0</v>
      </c>
      <c r="T666" s="36" t="s">
        <v>328</v>
      </c>
      <c r="U666" s="36" t="s">
        <v>285</v>
      </c>
      <c r="V666" s="36"/>
      <c r="W666" s="36" t="s">
        <v>169</v>
      </c>
      <c r="X666" s="38">
        <v>1.0</v>
      </c>
      <c r="Y666" s="38" t="s">
        <v>368</v>
      </c>
      <c r="Z666" s="38" t="s">
        <v>369</v>
      </c>
      <c r="AA666" s="38" t="s">
        <v>370</v>
      </c>
      <c r="AB666" s="38">
        <v>45.81</v>
      </c>
      <c r="AC666" s="38">
        <v>-90.08</v>
      </c>
      <c r="AD666" s="39" t="s">
        <v>87</v>
      </c>
      <c r="AE666" s="38">
        <v>520.0</v>
      </c>
      <c r="AF666" s="38"/>
      <c r="AG666" s="38" t="s">
        <v>107</v>
      </c>
      <c r="AH666" s="38"/>
      <c r="AI666" s="50">
        <v>45.81</v>
      </c>
      <c r="AJ666" s="50">
        <v>-90.08</v>
      </c>
      <c r="AK666" s="41" t="s">
        <v>370</v>
      </c>
      <c r="AL666" s="40" t="s">
        <v>370</v>
      </c>
      <c r="AM666" s="49">
        <v>512.0</v>
      </c>
      <c r="AN666" s="51">
        <v>512.0</v>
      </c>
      <c r="AO666" s="42" t="s">
        <v>372</v>
      </c>
      <c r="AP666" s="43" t="s">
        <v>107</v>
      </c>
      <c r="AQ666" s="44" t="str">
        <f t="shared" si="58"/>
        <v>DBF</v>
      </c>
      <c r="AR666" s="44">
        <f t="shared" si="3"/>
        <v>512</v>
      </c>
      <c r="AS666" s="44" t="str">
        <f t="shared" si="56"/>
        <v>D</v>
      </c>
      <c r="AT666" s="44" t="str">
        <f t="shared" si="17"/>
        <v>Df</v>
      </c>
      <c r="AU666" s="44" t="str">
        <f t="shared" si="2"/>
        <v>Dfb</v>
      </c>
      <c r="AV666" s="38"/>
      <c r="AW666" s="38"/>
      <c r="AX666" s="38"/>
      <c r="AY666" s="38"/>
      <c r="AZ666" s="29">
        <v>1000.0</v>
      </c>
      <c r="BA666" s="29"/>
      <c r="BB666" s="29">
        <v>2.0</v>
      </c>
      <c r="BC666" s="29" t="s">
        <v>148</v>
      </c>
      <c r="BD666" s="29"/>
      <c r="BE666" s="29"/>
      <c r="BF666" s="29" t="s">
        <v>220</v>
      </c>
      <c r="BG666" s="29" t="s">
        <v>220</v>
      </c>
      <c r="BH666" s="29"/>
      <c r="BI666" s="29"/>
      <c r="BJ666" s="29"/>
      <c r="BK666" s="29"/>
      <c r="BL666" s="29"/>
      <c r="BM666" s="45"/>
      <c r="BN666" s="45"/>
      <c r="BO666" s="46"/>
      <c r="BP666" s="2"/>
      <c r="BQ666" s="3"/>
    </row>
    <row r="667" ht="15.75" customHeight="1">
      <c r="A667" s="34">
        <v>670.0</v>
      </c>
      <c r="B667" s="34">
        <v>101688.0</v>
      </c>
      <c r="C667" s="34" t="s">
        <v>76</v>
      </c>
      <c r="D667" s="34" t="s">
        <v>1299</v>
      </c>
      <c r="E667" s="34" t="s">
        <v>1300</v>
      </c>
      <c r="F667" s="34">
        <v>2013.0</v>
      </c>
      <c r="G667" s="34" t="s">
        <v>1301</v>
      </c>
      <c r="H667" s="34" t="s">
        <v>1302</v>
      </c>
      <c r="I667" s="34" t="s">
        <v>1303</v>
      </c>
      <c r="J667" s="35"/>
      <c r="K667" s="36"/>
      <c r="L667" s="36"/>
      <c r="M667" s="36"/>
      <c r="N667" s="36"/>
      <c r="O667" s="36"/>
      <c r="P667" s="37">
        <v>23.2</v>
      </c>
      <c r="Q667" s="36"/>
      <c r="R667" s="36" t="s">
        <v>490</v>
      </c>
      <c r="S667" s="36">
        <v>3000.0</v>
      </c>
      <c r="T667" s="36" t="s">
        <v>328</v>
      </c>
      <c r="U667" s="36" t="s">
        <v>285</v>
      </c>
      <c r="V667" s="36"/>
      <c r="W667" s="36" t="s">
        <v>169</v>
      </c>
      <c r="X667" s="38">
        <v>1.0</v>
      </c>
      <c r="Y667" s="38" t="s">
        <v>1309</v>
      </c>
      <c r="Z667" s="38" t="s">
        <v>1310</v>
      </c>
      <c r="AA667" s="38" t="s">
        <v>370</v>
      </c>
      <c r="AB667" s="38">
        <v>39.32</v>
      </c>
      <c r="AC667" s="38">
        <v>-86.41</v>
      </c>
      <c r="AD667" s="39" t="s">
        <v>87</v>
      </c>
      <c r="AE667" s="38">
        <v>275.0</v>
      </c>
      <c r="AF667" s="38"/>
      <c r="AG667" s="38" t="s">
        <v>201</v>
      </c>
      <c r="AH667" s="38"/>
      <c r="AI667" s="50">
        <v>39.3232</v>
      </c>
      <c r="AJ667" s="50">
        <v>-86.4131</v>
      </c>
      <c r="AK667" s="41" t="s">
        <v>370</v>
      </c>
      <c r="AL667" s="40" t="s">
        <v>370</v>
      </c>
      <c r="AM667" s="49">
        <v>297.0</v>
      </c>
      <c r="AN667" s="51">
        <v>297.0</v>
      </c>
      <c r="AO667" s="42" t="s">
        <v>107</v>
      </c>
      <c r="AP667" s="43" t="s">
        <v>108</v>
      </c>
      <c r="AQ667" s="44" t="str">
        <f t="shared" si="58"/>
        <v>DBF</v>
      </c>
      <c r="AR667" s="44">
        <f t="shared" si="3"/>
        <v>297</v>
      </c>
      <c r="AS667" s="44" t="str">
        <f t="shared" si="56"/>
        <v>D</v>
      </c>
      <c r="AT667" s="44" t="str">
        <f t="shared" si="17"/>
        <v>Df</v>
      </c>
      <c r="AU667" s="44" t="str">
        <f t="shared" si="2"/>
        <v>Dfa</v>
      </c>
      <c r="AV667" s="38"/>
      <c r="AW667" s="38"/>
      <c r="AX667" s="38"/>
      <c r="AY667" s="38"/>
      <c r="AZ667" s="29">
        <v>1000.0</v>
      </c>
      <c r="BA667" s="29"/>
      <c r="BB667" s="29">
        <v>2.0</v>
      </c>
      <c r="BC667" s="29" t="s">
        <v>148</v>
      </c>
      <c r="BD667" s="29"/>
      <c r="BE667" s="29"/>
      <c r="BF667" s="29" t="s">
        <v>220</v>
      </c>
      <c r="BG667" s="29" t="s">
        <v>220</v>
      </c>
      <c r="BH667" s="29"/>
      <c r="BI667" s="29"/>
      <c r="BJ667" s="29"/>
      <c r="BK667" s="29"/>
      <c r="BL667" s="29"/>
      <c r="BM667" s="45"/>
      <c r="BN667" s="45"/>
      <c r="BO667" s="46"/>
      <c r="BP667" s="2"/>
      <c r="BQ667" s="3"/>
    </row>
    <row r="668" ht="15.75" customHeight="1">
      <c r="A668" s="34">
        <v>671.0</v>
      </c>
      <c r="B668" s="34">
        <v>101688.0</v>
      </c>
      <c r="C668" s="34" t="s">
        <v>76</v>
      </c>
      <c r="D668" s="34" t="s">
        <v>1299</v>
      </c>
      <c r="E668" s="34" t="s">
        <v>1300</v>
      </c>
      <c r="F668" s="34">
        <v>2013.0</v>
      </c>
      <c r="G668" s="34" t="s">
        <v>1301</v>
      </c>
      <c r="H668" s="34" t="s">
        <v>1302</v>
      </c>
      <c r="I668" s="34" t="s">
        <v>1303</v>
      </c>
      <c r="J668" s="35"/>
      <c r="K668" s="36"/>
      <c r="L668" s="36"/>
      <c r="M668" s="36"/>
      <c r="N668" s="36"/>
      <c r="O668" s="36"/>
      <c r="P668" s="37">
        <v>78.5</v>
      </c>
      <c r="Q668" s="36"/>
      <c r="R668" s="36" t="s">
        <v>490</v>
      </c>
      <c r="S668" s="36">
        <v>3000.0</v>
      </c>
      <c r="T668" s="36" t="s">
        <v>295</v>
      </c>
      <c r="U668" s="36" t="s">
        <v>285</v>
      </c>
      <c r="V668" s="36"/>
      <c r="W668" s="36" t="s">
        <v>169</v>
      </c>
      <c r="X668" s="38">
        <v>1.0</v>
      </c>
      <c r="Y668" s="38" t="s">
        <v>1311</v>
      </c>
      <c r="Z668" s="38"/>
      <c r="AA668" s="38" t="s">
        <v>370</v>
      </c>
      <c r="AB668" s="38">
        <v>44.07</v>
      </c>
      <c r="AC668" s="38">
        <v>-71.29</v>
      </c>
      <c r="AD668" s="39" t="s">
        <v>87</v>
      </c>
      <c r="AE668" s="38">
        <v>150.0</v>
      </c>
      <c r="AF668" s="38"/>
      <c r="AG668" s="38" t="s">
        <v>1024</v>
      </c>
      <c r="AH668" s="38"/>
      <c r="AI668" s="50">
        <v>44.07</v>
      </c>
      <c r="AJ668" s="50">
        <v>-71.29</v>
      </c>
      <c r="AK668" s="41" t="s">
        <v>452</v>
      </c>
      <c r="AL668" s="40" t="s">
        <v>452</v>
      </c>
      <c r="AM668" s="49">
        <v>247.0</v>
      </c>
      <c r="AN668" s="51">
        <v>247.0</v>
      </c>
      <c r="AO668" s="42" t="s">
        <v>372</v>
      </c>
      <c r="AP668" s="43" t="s">
        <v>107</v>
      </c>
      <c r="AQ668" s="44" t="str">
        <f t="shared" si="58"/>
        <v>DBF</v>
      </c>
      <c r="AR668" s="44">
        <f t="shared" si="3"/>
        <v>247</v>
      </c>
      <c r="AS668" s="44" t="str">
        <f t="shared" si="56"/>
        <v>D</v>
      </c>
      <c r="AT668" s="44" t="str">
        <f t="shared" si="17"/>
        <v>Df</v>
      </c>
      <c r="AU668" s="44" t="str">
        <f t="shared" si="2"/>
        <v>Dfb</v>
      </c>
      <c r="AV668" s="38"/>
      <c r="AW668" s="38"/>
      <c r="AX668" s="38"/>
      <c r="AY668" s="38"/>
      <c r="AZ668" s="29">
        <v>1000.0</v>
      </c>
      <c r="BA668" s="29"/>
      <c r="BB668" s="29">
        <v>2.0</v>
      </c>
      <c r="BC668" s="29" t="s">
        <v>148</v>
      </c>
      <c r="BD668" s="29"/>
      <c r="BE668" s="29"/>
      <c r="BF668" s="29" t="s">
        <v>220</v>
      </c>
      <c r="BG668" s="29" t="s">
        <v>220</v>
      </c>
      <c r="BH668" s="29"/>
      <c r="BI668" s="29"/>
      <c r="BJ668" s="29"/>
      <c r="BK668" s="29"/>
      <c r="BL668" s="29"/>
      <c r="BM668" s="45"/>
      <c r="BN668" s="45"/>
      <c r="BO668" s="46"/>
      <c r="BP668" s="2"/>
      <c r="BQ668" s="3"/>
    </row>
    <row r="669" ht="15.75" customHeight="1">
      <c r="A669" s="34">
        <v>672.0</v>
      </c>
      <c r="B669" s="34">
        <v>101688.0</v>
      </c>
      <c r="C669" s="34" t="s">
        <v>76</v>
      </c>
      <c r="D669" s="34" t="s">
        <v>1299</v>
      </c>
      <c r="E669" s="34" t="s">
        <v>1300</v>
      </c>
      <c r="F669" s="34">
        <v>2013.0</v>
      </c>
      <c r="G669" s="34" t="s">
        <v>1301</v>
      </c>
      <c r="H669" s="34" t="s">
        <v>1302</v>
      </c>
      <c r="I669" s="34" t="s">
        <v>1303</v>
      </c>
      <c r="J669" s="35"/>
      <c r="K669" s="36"/>
      <c r="L669" s="36"/>
      <c r="M669" s="36"/>
      <c r="N669" s="36"/>
      <c r="O669" s="36"/>
      <c r="P669" s="37">
        <v>3.6</v>
      </c>
      <c r="Q669" s="36"/>
      <c r="R669" s="36" t="s">
        <v>490</v>
      </c>
      <c r="S669" s="36">
        <v>3000.0</v>
      </c>
      <c r="T669" s="36" t="s">
        <v>295</v>
      </c>
      <c r="U669" s="36" t="s">
        <v>342</v>
      </c>
      <c r="V669" s="36"/>
      <c r="W669" s="36" t="s">
        <v>169</v>
      </c>
      <c r="X669" s="38">
        <v>1.0</v>
      </c>
      <c r="Y669" s="38" t="s">
        <v>1312</v>
      </c>
      <c r="Z669" s="38" t="s">
        <v>1313</v>
      </c>
      <c r="AA669" s="38" t="s">
        <v>370</v>
      </c>
      <c r="AB669" s="38">
        <v>38.74</v>
      </c>
      <c r="AC669" s="38">
        <v>-92.2</v>
      </c>
      <c r="AD669" s="39" t="s">
        <v>87</v>
      </c>
      <c r="AE669" s="38">
        <v>219.4</v>
      </c>
      <c r="AF669" s="38"/>
      <c r="AG669" s="38" t="s">
        <v>201</v>
      </c>
      <c r="AH669" s="38"/>
      <c r="AI669" s="50">
        <v>38.74</v>
      </c>
      <c r="AJ669" s="50">
        <v>-92.2</v>
      </c>
      <c r="AK669" s="41" t="s">
        <v>370</v>
      </c>
      <c r="AL669" s="40" t="s">
        <v>370</v>
      </c>
      <c r="AM669" s="49">
        <v>215.0</v>
      </c>
      <c r="AN669" s="51">
        <v>215.0</v>
      </c>
      <c r="AO669" s="42" t="s">
        <v>107</v>
      </c>
      <c r="AP669" s="43" t="s">
        <v>108</v>
      </c>
      <c r="AQ669" s="44" t="str">
        <f t="shared" si="58"/>
        <v>DBF</v>
      </c>
      <c r="AR669" s="44">
        <f t="shared" si="3"/>
        <v>215</v>
      </c>
      <c r="AS669" s="44" t="str">
        <f t="shared" si="56"/>
        <v>D</v>
      </c>
      <c r="AT669" s="44" t="str">
        <f t="shared" si="17"/>
        <v>Df</v>
      </c>
      <c r="AU669" s="44" t="str">
        <f t="shared" si="2"/>
        <v>Dfa</v>
      </c>
      <c r="AV669" s="38"/>
      <c r="AW669" s="38"/>
      <c r="AX669" s="38"/>
      <c r="AY669" s="38"/>
      <c r="AZ669" s="29">
        <v>1000.0</v>
      </c>
      <c r="BA669" s="29"/>
      <c r="BB669" s="29">
        <v>2.0</v>
      </c>
      <c r="BC669" s="29" t="s">
        <v>148</v>
      </c>
      <c r="BD669" s="29"/>
      <c r="BE669" s="29"/>
      <c r="BF669" s="29" t="s">
        <v>220</v>
      </c>
      <c r="BG669" s="29" t="s">
        <v>220</v>
      </c>
      <c r="BH669" s="29"/>
      <c r="BI669" s="29"/>
      <c r="BJ669" s="29"/>
      <c r="BK669" s="29"/>
      <c r="BL669" s="29"/>
      <c r="BM669" s="45"/>
      <c r="BN669" s="45"/>
      <c r="BO669" s="46"/>
      <c r="BP669" s="2"/>
      <c r="BQ669" s="3"/>
    </row>
    <row r="670" ht="15.75" customHeight="1">
      <c r="A670" s="34">
        <v>673.0</v>
      </c>
      <c r="B670" s="34">
        <v>101688.0</v>
      </c>
      <c r="C670" s="34" t="s">
        <v>76</v>
      </c>
      <c r="D670" s="34" t="s">
        <v>1299</v>
      </c>
      <c r="E670" s="34" t="s">
        <v>1300</v>
      </c>
      <c r="F670" s="34">
        <v>2013.0</v>
      </c>
      <c r="G670" s="34" t="s">
        <v>1301</v>
      </c>
      <c r="H670" s="34" t="s">
        <v>1302</v>
      </c>
      <c r="I670" s="34" t="s">
        <v>1303</v>
      </c>
      <c r="J670" s="35"/>
      <c r="K670" s="36"/>
      <c r="L670" s="36"/>
      <c r="M670" s="36"/>
      <c r="N670" s="36"/>
      <c r="O670" s="36"/>
      <c r="P670" s="37">
        <v>8.5</v>
      </c>
      <c r="Q670" s="36"/>
      <c r="R670" s="36" t="s">
        <v>490</v>
      </c>
      <c r="S670" s="36">
        <v>3000.0</v>
      </c>
      <c r="T670" s="36" t="s">
        <v>284</v>
      </c>
      <c r="U670" s="36" t="s">
        <v>342</v>
      </c>
      <c r="V670" s="36">
        <v>57.0</v>
      </c>
      <c r="W670" s="36" t="s">
        <v>169</v>
      </c>
      <c r="X670" s="38">
        <v>1.0</v>
      </c>
      <c r="Y670" s="38" t="s">
        <v>1314</v>
      </c>
      <c r="Z670" s="38" t="s">
        <v>1315</v>
      </c>
      <c r="AA670" s="38" t="s">
        <v>197</v>
      </c>
      <c r="AB670" s="38">
        <v>44.45</v>
      </c>
      <c r="AC670" s="38">
        <v>-121.55</v>
      </c>
      <c r="AD670" s="39" t="s">
        <v>87</v>
      </c>
      <c r="AE670" s="38">
        <v>1253.0</v>
      </c>
      <c r="AF670" s="38"/>
      <c r="AG670" s="38" t="s">
        <v>445</v>
      </c>
      <c r="AH670" s="38"/>
      <c r="AI670" s="50">
        <v>44.45</v>
      </c>
      <c r="AJ670" s="50">
        <v>-121.55</v>
      </c>
      <c r="AK670" s="41" t="s">
        <v>197</v>
      </c>
      <c r="AL670" s="40" t="s">
        <v>197</v>
      </c>
      <c r="AM670" s="49">
        <v>1262.0</v>
      </c>
      <c r="AN670" s="51">
        <v>1262.0</v>
      </c>
      <c r="AO670" s="42" t="s">
        <v>321</v>
      </c>
      <c r="AP670" s="43" t="s">
        <v>321</v>
      </c>
      <c r="AQ670" s="44" t="str">
        <f t="shared" si="58"/>
        <v>ENF</v>
      </c>
      <c r="AR670" s="44">
        <f t="shared" si="3"/>
        <v>1262</v>
      </c>
      <c r="AS670" s="44" t="str">
        <f t="shared" si="56"/>
        <v>D</v>
      </c>
      <c r="AT670" s="44" t="str">
        <f t="shared" si="17"/>
        <v>Ds</v>
      </c>
      <c r="AU670" s="44" t="str">
        <f t="shared" si="2"/>
        <v>Dsb</v>
      </c>
      <c r="AV670" s="38"/>
      <c r="AW670" s="38"/>
      <c r="AX670" s="38"/>
      <c r="AY670" s="38"/>
      <c r="AZ670" s="29">
        <v>1000.0</v>
      </c>
      <c r="BA670" s="29"/>
      <c r="BB670" s="29">
        <v>2.0</v>
      </c>
      <c r="BC670" s="29" t="s">
        <v>148</v>
      </c>
      <c r="BD670" s="29"/>
      <c r="BE670" s="29"/>
      <c r="BF670" s="29" t="s">
        <v>220</v>
      </c>
      <c r="BG670" s="29" t="s">
        <v>220</v>
      </c>
      <c r="BH670" s="29"/>
      <c r="BI670" s="29"/>
      <c r="BJ670" s="29"/>
      <c r="BK670" s="29"/>
      <c r="BL670" s="29"/>
      <c r="BM670" s="45"/>
      <c r="BN670" s="45"/>
      <c r="BO670" s="46"/>
      <c r="BP670" s="2"/>
      <c r="BQ670" s="3"/>
    </row>
    <row r="671" ht="15.75" customHeight="1">
      <c r="A671" s="34">
        <v>674.0</v>
      </c>
      <c r="B671" s="34">
        <v>101688.0</v>
      </c>
      <c r="C671" s="34" t="s">
        <v>76</v>
      </c>
      <c r="D671" s="34" t="s">
        <v>1299</v>
      </c>
      <c r="E671" s="34" t="s">
        <v>1300</v>
      </c>
      <c r="F671" s="34">
        <v>2013.0</v>
      </c>
      <c r="G671" s="34" t="s">
        <v>1301</v>
      </c>
      <c r="H671" s="34" t="s">
        <v>1302</v>
      </c>
      <c r="I671" s="34" t="s">
        <v>1303</v>
      </c>
      <c r="J671" s="35"/>
      <c r="K671" s="36"/>
      <c r="L671" s="36"/>
      <c r="M671" s="36"/>
      <c r="N671" s="36"/>
      <c r="O671" s="36"/>
      <c r="P671" s="37">
        <v>7.1</v>
      </c>
      <c r="Q671" s="36"/>
      <c r="R671" s="36" t="s">
        <v>490</v>
      </c>
      <c r="S671" s="36">
        <v>3000.0</v>
      </c>
      <c r="T671" s="36" t="s">
        <v>284</v>
      </c>
      <c r="U671" s="36" t="s">
        <v>194</v>
      </c>
      <c r="V671" s="36"/>
      <c r="W671" s="36" t="s">
        <v>169</v>
      </c>
      <c r="X671" s="38">
        <v>1.0</v>
      </c>
      <c r="Y671" s="38" t="s">
        <v>1316</v>
      </c>
      <c r="Z671" s="38" t="s">
        <v>1317</v>
      </c>
      <c r="AA671" s="38" t="s">
        <v>197</v>
      </c>
      <c r="AB671" s="38">
        <v>55.88</v>
      </c>
      <c r="AC671" s="38">
        <v>-98.48</v>
      </c>
      <c r="AD671" s="38" t="s">
        <v>395</v>
      </c>
      <c r="AE671" s="38">
        <v>260.0</v>
      </c>
      <c r="AF671" s="38"/>
      <c r="AG671" s="38" t="s">
        <v>372</v>
      </c>
      <c r="AH671" s="38"/>
      <c r="AI671" s="50">
        <v>55.88</v>
      </c>
      <c r="AJ671" s="50">
        <v>-98.48</v>
      </c>
      <c r="AK671" s="41" t="s">
        <v>197</v>
      </c>
      <c r="AL671" s="40" t="s">
        <v>197</v>
      </c>
      <c r="AM671" s="49">
        <v>262.0</v>
      </c>
      <c r="AN671" s="51">
        <v>262.0</v>
      </c>
      <c r="AO671" s="42" t="s">
        <v>412</v>
      </c>
      <c r="AP671" s="43" t="s">
        <v>372</v>
      </c>
      <c r="AQ671" s="44" t="str">
        <f t="shared" si="58"/>
        <v>ENF</v>
      </c>
      <c r="AR671" s="44">
        <f t="shared" si="3"/>
        <v>262</v>
      </c>
      <c r="AS671" s="44" t="str">
        <f t="shared" si="56"/>
        <v>D</v>
      </c>
      <c r="AT671" s="44" t="str">
        <f t="shared" si="17"/>
        <v>Df</v>
      </c>
      <c r="AU671" s="44" t="str">
        <f t="shared" si="2"/>
        <v>Dfc</v>
      </c>
      <c r="AV671" s="38"/>
      <c r="AW671" s="38"/>
      <c r="AX671" s="38"/>
      <c r="AY671" s="38"/>
      <c r="AZ671" s="29">
        <v>1000.0</v>
      </c>
      <c r="BA671" s="29"/>
      <c r="BB671" s="29">
        <v>2.0</v>
      </c>
      <c r="BC671" s="29" t="s">
        <v>148</v>
      </c>
      <c r="BD671" s="29"/>
      <c r="BE671" s="29"/>
      <c r="BF671" s="29" t="s">
        <v>220</v>
      </c>
      <c r="BG671" s="29" t="s">
        <v>220</v>
      </c>
      <c r="BH671" s="29"/>
      <c r="BI671" s="29"/>
      <c r="BJ671" s="29"/>
      <c r="BK671" s="29"/>
      <c r="BL671" s="29"/>
      <c r="BM671" s="45"/>
      <c r="BN671" s="45"/>
      <c r="BO671" s="46"/>
      <c r="BP671" s="2"/>
      <c r="BQ671" s="3"/>
    </row>
    <row r="672" ht="15.75" customHeight="1">
      <c r="A672" s="34">
        <v>675.0</v>
      </c>
      <c r="B672" s="34">
        <v>101688.0</v>
      </c>
      <c r="C672" s="34" t="s">
        <v>76</v>
      </c>
      <c r="D672" s="34" t="s">
        <v>1299</v>
      </c>
      <c r="E672" s="34" t="s">
        <v>1300</v>
      </c>
      <c r="F672" s="34">
        <v>2013.0</v>
      </c>
      <c r="G672" s="34" t="s">
        <v>1301</v>
      </c>
      <c r="H672" s="34" t="s">
        <v>1302</v>
      </c>
      <c r="I672" s="34" t="s">
        <v>1303</v>
      </c>
      <c r="J672" s="35"/>
      <c r="K672" s="36"/>
      <c r="L672" s="36"/>
      <c r="M672" s="36"/>
      <c r="N672" s="36"/>
      <c r="O672" s="36"/>
      <c r="P672" s="37">
        <v>5.3</v>
      </c>
      <c r="Q672" s="36"/>
      <c r="R672" s="36" t="s">
        <v>490</v>
      </c>
      <c r="S672" s="36">
        <v>3000.0</v>
      </c>
      <c r="T672" s="36" t="s">
        <v>284</v>
      </c>
      <c r="U672" s="36" t="s">
        <v>194</v>
      </c>
      <c r="V672" s="36"/>
      <c r="W672" s="36" t="s">
        <v>169</v>
      </c>
      <c r="X672" s="38">
        <v>1.0</v>
      </c>
      <c r="Y672" s="38" t="s">
        <v>1318</v>
      </c>
      <c r="Z672" s="38" t="s">
        <v>1319</v>
      </c>
      <c r="AA672" s="38" t="s">
        <v>197</v>
      </c>
      <c r="AB672" s="38">
        <v>55.91</v>
      </c>
      <c r="AC672" s="38">
        <v>-98.53</v>
      </c>
      <c r="AD672" s="38" t="s">
        <v>395</v>
      </c>
      <c r="AE672" s="38">
        <v>260.0</v>
      </c>
      <c r="AF672" s="38"/>
      <c r="AG672" s="38" t="s">
        <v>372</v>
      </c>
      <c r="AH672" s="38"/>
      <c r="AI672" s="50">
        <v>55.91</v>
      </c>
      <c r="AJ672" s="50">
        <v>-98.53</v>
      </c>
      <c r="AK672" s="41" t="s">
        <v>200</v>
      </c>
      <c r="AL672" s="40" t="s">
        <v>200</v>
      </c>
      <c r="AM672" s="49">
        <v>259.0</v>
      </c>
      <c r="AN672" s="51">
        <v>259.0</v>
      </c>
      <c r="AO672" s="42" t="s">
        <v>412</v>
      </c>
      <c r="AP672" s="43" t="s">
        <v>372</v>
      </c>
      <c r="AQ672" s="44" t="str">
        <f t="shared" si="58"/>
        <v>ENF</v>
      </c>
      <c r="AR672" s="44">
        <f t="shared" si="3"/>
        <v>259</v>
      </c>
      <c r="AS672" s="44" t="str">
        <f t="shared" si="56"/>
        <v>D</v>
      </c>
      <c r="AT672" s="44" t="str">
        <f t="shared" si="17"/>
        <v>Df</v>
      </c>
      <c r="AU672" s="44" t="str">
        <f t="shared" si="2"/>
        <v>Dfc</v>
      </c>
      <c r="AV672" s="38"/>
      <c r="AW672" s="38"/>
      <c r="AX672" s="38"/>
      <c r="AY672" s="38"/>
      <c r="AZ672" s="29">
        <v>1000.0</v>
      </c>
      <c r="BA672" s="29"/>
      <c r="BB672" s="29">
        <v>2.0</v>
      </c>
      <c r="BC672" s="29" t="s">
        <v>148</v>
      </c>
      <c r="BD672" s="29"/>
      <c r="BE672" s="29"/>
      <c r="BF672" s="29" t="s">
        <v>220</v>
      </c>
      <c r="BG672" s="29" t="s">
        <v>220</v>
      </c>
      <c r="BH672" s="29"/>
      <c r="BI672" s="29"/>
      <c r="BJ672" s="29"/>
      <c r="BK672" s="29"/>
      <c r="BL672" s="29"/>
      <c r="BM672" s="45"/>
      <c r="BN672" s="45"/>
      <c r="BO672" s="46"/>
      <c r="BP672" s="2"/>
      <c r="BQ672" s="3"/>
    </row>
    <row r="673" ht="15.75" customHeight="1">
      <c r="A673" s="34">
        <v>676.0</v>
      </c>
      <c r="B673" s="34">
        <v>101688.0</v>
      </c>
      <c r="C673" s="34" t="s">
        <v>76</v>
      </c>
      <c r="D673" s="34" t="s">
        <v>1299</v>
      </c>
      <c r="E673" s="34" t="s">
        <v>1300</v>
      </c>
      <c r="F673" s="34">
        <v>2013.0</v>
      </c>
      <c r="G673" s="34" t="s">
        <v>1301</v>
      </c>
      <c r="H673" s="34" t="s">
        <v>1302</v>
      </c>
      <c r="I673" s="34" t="s">
        <v>1303</v>
      </c>
      <c r="J673" s="35"/>
      <c r="K673" s="36"/>
      <c r="L673" s="36"/>
      <c r="M673" s="36"/>
      <c r="N673" s="36"/>
      <c r="O673" s="36"/>
      <c r="P673" s="37">
        <v>20.3</v>
      </c>
      <c r="Q673" s="36"/>
      <c r="R673" s="36" t="s">
        <v>490</v>
      </c>
      <c r="S673" s="36">
        <v>3000.0</v>
      </c>
      <c r="T673" s="36" t="s">
        <v>328</v>
      </c>
      <c r="U673" s="36" t="s">
        <v>194</v>
      </c>
      <c r="V673" s="36"/>
      <c r="W673" s="36" t="s">
        <v>169</v>
      </c>
      <c r="X673" s="38">
        <v>1.0</v>
      </c>
      <c r="Y673" s="38" t="s">
        <v>1320</v>
      </c>
      <c r="Z673" s="38" t="s">
        <v>1321</v>
      </c>
      <c r="AA673" s="38" t="s">
        <v>197</v>
      </c>
      <c r="AB673" s="38">
        <v>55.91</v>
      </c>
      <c r="AC673" s="38">
        <v>-98.38</v>
      </c>
      <c r="AD673" s="38" t="s">
        <v>395</v>
      </c>
      <c r="AE673" s="38">
        <v>260.0</v>
      </c>
      <c r="AF673" s="38"/>
      <c r="AG673" s="38" t="s">
        <v>372</v>
      </c>
      <c r="AH673" s="38"/>
      <c r="AI673" s="50">
        <v>55.91</v>
      </c>
      <c r="AJ673" s="50">
        <v>-98.38</v>
      </c>
      <c r="AK673" s="41" t="s">
        <v>200</v>
      </c>
      <c r="AL673" s="40" t="s">
        <v>200</v>
      </c>
      <c r="AM673" s="49">
        <v>254.0</v>
      </c>
      <c r="AN673" s="51">
        <v>254.0</v>
      </c>
      <c r="AO673" s="42" t="s">
        <v>412</v>
      </c>
      <c r="AP673" s="43" t="s">
        <v>372</v>
      </c>
      <c r="AQ673" s="44" t="str">
        <f t="shared" si="58"/>
        <v>ENF</v>
      </c>
      <c r="AR673" s="44">
        <f t="shared" si="3"/>
        <v>254</v>
      </c>
      <c r="AS673" s="44" t="str">
        <f t="shared" si="56"/>
        <v>D</v>
      </c>
      <c r="AT673" s="44" t="str">
        <f t="shared" si="17"/>
        <v>Df</v>
      </c>
      <c r="AU673" s="44" t="str">
        <f t="shared" si="2"/>
        <v>Dfc</v>
      </c>
      <c r="AV673" s="38"/>
      <c r="AW673" s="38"/>
      <c r="AX673" s="38"/>
      <c r="AY673" s="38"/>
      <c r="AZ673" s="29">
        <v>1000.0</v>
      </c>
      <c r="BA673" s="29"/>
      <c r="BB673" s="29">
        <v>2.0</v>
      </c>
      <c r="BC673" s="29" t="s">
        <v>148</v>
      </c>
      <c r="BD673" s="29"/>
      <c r="BE673" s="29"/>
      <c r="BF673" s="29" t="s">
        <v>220</v>
      </c>
      <c r="BG673" s="29" t="s">
        <v>220</v>
      </c>
      <c r="BH673" s="29"/>
      <c r="BI673" s="29"/>
      <c r="BJ673" s="29"/>
      <c r="BK673" s="29"/>
      <c r="BL673" s="29"/>
      <c r="BM673" s="45"/>
      <c r="BN673" s="45"/>
      <c r="BO673" s="46"/>
      <c r="BP673" s="2"/>
      <c r="BQ673" s="3"/>
    </row>
    <row r="674" ht="15.75" customHeight="1">
      <c r="A674" s="34">
        <v>677.0</v>
      </c>
      <c r="B674" s="34">
        <v>101688.0</v>
      </c>
      <c r="C674" s="34" t="s">
        <v>76</v>
      </c>
      <c r="D674" s="34" t="s">
        <v>1299</v>
      </c>
      <c r="E674" s="34" t="s">
        <v>1300</v>
      </c>
      <c r="F674" s="34">
        <v>2013.0</v>
      </c>
      <c r="G674" s="34" t="s">
        <v>1301</v>
      </c>
      <c r="H674" s="34" t="s">
        <v>1302</v>
      </c>
      <c r="I674" s="34" t="s">
        <v>1303</v>
      </c>
      <c r="J674" s="35"/>
      <c r="K674" s="36"/>
      <c r="L674" s="36"/>
      <c r="M674" s="36"/>
      <c r="N674" s="36"/>
      <c r="O674" s="36"/>
      <c r="P674" s="37">
        <v>71.1</v>
      </c>
      <c r="Q674" s="36"/>
      <c r="R674" s="36" t="s">
        <v>490</v>
      </c>
      <c r="S674" s="36">
        <v>3000.0</v>
      </c>
      <c r="T674" s="36" t="s">
        <v>284</v>
      </c>
      <c r="U674" s="36" t="s">
        <v>968</v>
      </c>
      <c r="V674" s="36"/>
      <c r="W674" s="36" t="s">
        <v>169</v>
      </c>
      <c r="X674" s="38">
        <v>1.0</v>
      </c>
      <c r="Y674" s="38" t="s">
        <v>1322</v>
      </c>
      <c r="Z674" s="38" t="s">
        <v>1323</v>
      </c>
      <c r="AA674" s="38" t="s">
        <v>197</v>
      </c>
      <c r="AB674" s="38">
        <v>55.91</v>
      </c>
      <c r="AC674" s="38">
        <v>-98.38</v>
      </c>
      <c r="AD674" s="38" t="s">
        <v>395</v>
      </c>
      <c r="AE674" s="38">
        <v>260.0</v>
      </c>
      <c r="AF674" s="38"/>
      <c r="AG674" s="38" t="s">
        <v>372</v>
      </c>
      <c r="AH674" s="38"/>
      <c r="AI674" s="50">
        <v>55.91</v>
      </c>
      <c r="AJ674" s="50">
        <v>-98.38</v>
      </c>
      <c r="AK674" s="41" t="s">
        <v>200</v>
      </c>
      <c r="AL674" s="40" t="s">
        <v>200</v>
      </c>
      <c r="AM674" s="49">
        <v>254.0</v>
      </c>
      <c r="AN674" s="51">
        <v>254.0</v>
      </c>
      <c r="AO674" s="42" t="s">
        <v>412</v>
      </c>
      <c r="AP674" s="43" t="s">
        <v>372</v>
      </c>
      <c r="AQ674" s="44" t="str">
        <f t="shared" si="58"/>
        <v>ENF</v>
      </c>
      <c r="AR674" s="44">
        <f t="shared" si="3"/>
        <v>254</v>
      </c>
      <c r="AS674" s="44" t="str">
        <f t="shared" si="56"/>
        <v>D</v>
      </c>
      <c r="AT674" s="44" t="str">
        <f t="shared" si="17"/>
        <v>Df</v>
      </c>
      <c r="AU674" s="44" t="str">
        <f t="shared" si="2"/>
        <v>Dfc</v>
      </c>
      <c r="AV674" s="38"/>
      <c r="AW674" s="38"/>
      <c r="AX674" s="38"/>
      <c r="AY674" s="38"/>
      <c r="AZ674" s="29">
        <v>1000.0</v>
      </c>
      <c r="BA674" s="29"/>
      <c r="BB674" s="29">
        <v>2.0</v>
      </c>
      <c r="BC674" s="29" t="s">
        <v>148</v>
      </c>
      <c r="BD674" s="29"/>
      <c r="BE674" s="29"/>
      <c r="BF674" s="29" t="s">
        <v>220</v>
      </c>
      <c r="BG674" s="29" t="s">
        <v>220</v>
      </c>
      <c r="BH674" s="29"/>
      <c r="BI674" s="29"/>
      <c r="BJ674" s="29"/>
      <c r="BK674" s="29"/>
      <c r="BL674" s="29"/>
      <c r="BM674" s="45"/>
      <c r="BN674" s="45"/>
      <c r="BO674" s="46"/>
      <c r="BP674" s="2"/>
      <c r="BQ674" s="3"/>
    </row>
    <row r="675" ht="15.75" customHeight="1">
      <c r="A675" s="34">
        <v>678.0</v>
      </c>
      <c r="B675" s="34">
        <v>101688.0</v>
      </c>
      <c r="C675" s="34" t="s">
        <v>76</v>
      </c>
      <c r="D675" s="34" t="s">
        <v>1299</v>
      </c>
      <c r="E675" s="34" t="s">
        <v>1300</v>
      </c>
      <c r="F675" s="34">
        <v>2013.0</v>
      </c>
      <c r="G675" s="34" t="s">
        <v>1301</v>
      </c>
      <c r="H675" s="34" t="s">
        <v>1302</v>
      </c>
      <c r="I675" s="34" t="s">
        <v>1303</v>
      </c>
      <c r="J675" s="35"/>
      <c r="K675" s="36"/>
      <c r="L675" s="36"/>
      <c r="M675" s="36"/>
      <c r="N675" s="36"/>
      <c r="O675" s="36"/>
      <c r="P675" s="37">
        <v>32.8</v>
      </c>
      <c r="Q675" s="36"/>
      <c r="R675" s="36" t="s">
        <v>490</v>
      </c>
      <c r="S675" s="36">
        <v>3000.0</v>
      </c>
      <c r="T675" s="36" t="s">
        <v>328</v>
      </c>
      <c r="U675" s="36" t="s">
        <v>194</v>
      </c>
      <c r="V675" s="36"/>
      <c r="W675" s="36" t="s">
        <v>169</v>
      </c>
      <c r="X675" s="38">
        <v>1.0</v>
      </c>
      <c r="Y675" s="38" t="s">
        <v>1324</v>
      </c>
      <c r="Z675" s="38" t="s">
        <v>1325</v>
      </c>
      <c r="AA675" s="38" t="s">
        <v>197</v>
      </c>
      <c r="AB675" s="38">
        <v>55.86</v>
      </c>
      <c r="AC675" s="38">
        <v>-98.49</v>
      </c>
      <c r="AD675" s="38" t="s">
        <v>395</v>
      </c>
      <c r="AE675" s="38">
        <v>260.0</v>
      </c>
      <c r="AF675" s="38"/>
      <c r="AG675" s="38" t="s">
        <v>372</v>
      </c>
      <c r="AH675" s="38"/>
      <c r="AI675" s="50">
        <v>55.86</v>
      </c>
      <c r="AJ675" s="50">
        <v>-98.49</v>
      </c>
      <c r="AK675" s="41" t="s">
        <v>200</v>
      </c>
      <c r="AL675" s="40" t="s">
        <v>200</v>
      </c>
      <c r="AM675" s="49">
        <v>262.0</v>
      </c>
      <c r="AN675" s="51">
        <v>262.0</v>
      </c>
      <c r="AO675" s="42" t="s">
        <v>412</v>
      </c>
      <c r="AP675" s="43" t="s">
        <v>372</v>
      </c>
      <c r="AQ675" s="44" t="str">
        <f t="shared" si="58"/>
        <v>ENF</v>
      </c>
      <c r="AR675" s="44">
        <f t="shared" si="3"/>
        <v>262</v>
      </c>
      <c r="AS675" s="44" t="str">
        <f t="shared" si="56"/>
        <v>D</v>
      </c>
      <c r="AT675" s="44" t="str">
        <f t="shared" si="17"/>
        <v>Df</v>
      </c>
      <c r="AU675" s="44" t="str">
        <f t="shared" si="2"/>
        <v>Dfc</v>
      </c>
      <c r="AV675" s="38"/>
      <c r="AW675" s="38"/>
      <c r="AX675" s="38"/>
      <c r="AY675" s="38"/>
      <c r="AZ675" s="29">
        <v>1000.0</v>
      </c>
      <c r="BA675" s="29"/>
      <c r="BB675" s="29">
        <v>2.0</v>
      </c>
      <c r="BC675" s="29" t="s">
        <v>148</v>
      </c>
      <c r="BD675" s="29"/>
      <c r="BE675" s="29"/>
      <c r="BF675" s="29" t="s">
        <v>220</v>
      </c>
      <c r="BG675" s="29" t="s">
        <v>220</v>
      </c>
      <c r="BH675" s="29"/>
      <c r="BI675" s="29"/>
      <c r="BJ675" s="29"/>
      <c r="BK675" s="29"/>
      <c r="BL675" s="29"/>
      <c r="BM675" s="45"/>
      <c r="BN675" s="45"/>
      <c r="BO675" s="46"/>
      <c r="BP675" s="2"/>
      <c r="BQ675" s="3"/>
    </row>
    <row r="676" ht="15.75" customHeight="1">
      <c r="A676" s="34">
        <v>679.0</v>
      </c>
      <c r="B676" s="34">
        <v>101688.0</v>
      </c>
      <c r="C676" s="34" t="s">
        <v>76</v>
      </c>
      <c r="D676" s="34" t="s">
        <v>1299</v>
      </c>
      <c r="E676" s="34" t="s">
        <v>1300</v>
      </c>
      <c r="F676" s="34">
        <v>2013.0</v>
      </c>
      <c r="G676" s="34" t="s">
        <v>1301</v>
      </c>
      <c r="H676" s="34" t="s">
        <v>1302</v>
      </c>
      <c r="I676" s="34" t="s">
        <v>1303</v>
      </c>
      <c r="J676" s="35"/>
      <c r="K676" s="36"/>
      <c r="L676" s="36"/>
      <c r="M676" s="36"/>
      <c r="N676" s="36"/>
      <c r="O676" s="36"/>
      <c r="P676" s="37">
        <v>43.5</v>
      </c>
      <c r="Q676" s="36"/>
      <c r="R676" s="36" t="s">
        <v>490</v>
      </c>
      <c r="S676" s="36">
        <v>3000.0</v>
      </c>
      <c r="T676" s="36" t="s">
        <v>328</v>
      </c>
      <c r="U676" s="36" t="s">
        <v>285</v>
      </c>
      <c r="V676" s="36"/>
      <c r="W676" s="36" t="s">
        <v>169</v>
      </c>
      <c r="X676" s="38">
        <v>1.0</v>
      </c>
      <c r="Y676" s="85" t="s">
        <v>1326</v>
      </c>
      <c r="Z676" s="38" t="s">
        <v>369</v>
      </c>
      <c r="AA676" s="38" t="s">
        <v>197</v>
      </c>
      <c r="AB676" s="38">
        <v>45.82</v>
      </c>
      <c r="AC676" s="38">
        <v>-129.95</v>
      </c>
      <c r="AD676" s="38" t="s">
        <v>87</v>
      </c>
      <c r="AE676" s="38">
        <v>371.0</v>
      </c>
      <c r="AF676" s="38" t="s">
        <v>1327</v>
      </c>
      <c r="AG676" s="38" t="s">
        <v>1328</v>
      </c>
      <c r="AH676" s="38"/>
      <c r="AI676" s="50">
        <v>45.8205</v>
      </c>
      <c r="AJ676" s="50">
        <v>-121.9519</v>
      </c>
      <c r="AK676" s="41" t="s">
        <v>197</v>
      </c>
      <c r="AL676" s="40" t="s">
        <v>197</v>
      </c>
      <c r="AM676" s="49">
        <v>397.0</v>
      </c>
      <c r="AN676" s="51">
        <v>397.0</v>
      </c>
      <c r="AO676" s="42" t="s">
        <v>445</v>
      </c>
      <c r="AP676" s="43" t="s">
        <v>445</v>
      </c>
      <c r="AQ676" s="44" t="str">
        <f t="shared" si="58"/>
        <v>ENF</v>
      </c>
      <c r="AR676" s="44">
        <f t="shared" si="3"/>
        <v>397</v>
      </c>
      <c r="AS676" s="44" t="str">
        <f t="shared" si="56"/>
        <v>C</v>
      </c>
      <c r="AT676" s="44" t="str">
        <f t="shared" si="17"/>
        <v>Cs</v>
      </c>
      <c r="AU676" s="44" t="str">
        <f t="shared" si="2"/>
        <v>Csb</v>
      </c>
      <c r="AV676" s="38"/>
      <c r="AW676" s="38"/>
      <c r="AX676" s="38"/>
      <c r="AY676" s="38"/>
      <c r="AZ676" s="29">
        <v>1000.0</v>
      </c>
      <c r="BA676" s="29"/>
      <c r="BB676" s="29">
        <v>2.0</v>
      </c>
      <c r="BC676" s="29" t="s">
        <v>148</v>
      </c>
      <c r="BD676" s="29"/>
      <c r="BE676" s="29"/>
      <c r="BF676" s="29" t="s">
        <v>220</v>
      </c>
      <c r="BG676" s="29" t="s">
        <v>220</v>
      </c>
      <c r="BH676" s="29"/>
      <c r="BI676" s="29"/>
      <c r="BJ676" s="29"/>
      <c r="BK676" s="29"/>
      <c r="BL676" s="29"/>
      <c r="BM676" s="45"/>
      <c r="BN676" s="45"/>
      <c r="BO676" s="46"/>
      <c r="BP676" s="2"/>
      <c r="BQ676" s="3"/>
    </row>
    <row r="677" ht="15.75" customHeight="1">
      <c r="A677" s="34">
        <v>680.0</v>
      </c>
      <c r="B677" s="34">
        <v>101688.0</v>
      </c>
      <c r="C677" s="34" t="s">
        <v>76</v>
      </c>
      <c r="D677" s="34" t="s">
        <v>1299</v>
      </c>
      <c r="E677" s="34" t="s">
        <v>1300</v>
      </c>
      <c r="F677" s="34">
        <v>2013.0</v>
      </c>
      <c r="G677" s="34" t="s">
        <v>1301</v>
      </c>
      <c r="H677" s="34" t="s">
        <v>1302</v>
      </c>
      <c r="I677" s="34" t="s">
        <v>1303</v>
      </c>
      <c r="J677" s="35"/>
      <c r="K677" s="36"/>
      <c r="L677" s="36"/>
      <c r="M677" s="36"/>
      <c r="N677" s="36"/>
      <c r="O677" s="36"/>
      <c r="P677" s="37">
        <v>69.7</v>
      </c>
      <c r="Q677" s="36"/>
      <c r="R677" s="36" t="s">
        <v>490</v>
      </c>
      <c r="S677" s="36">
        <v>3000.0</v>
      </c>
      <c r="T677" s="36" t="s">
        <v>328</v>
      </c>
      <c r="U677" s="36" t="s">
        <v>194</v>
      </c>
      <c r="V677" s="36"/>
      <c r="W677" s="36" t="s">
        <v>169</v>
      </c>
      <c r="X677" s="38">
        <v>1.0</v>
      </c>
      <c r="Y677" s="38" t="s">
        <v>1329</v>
      </c>
      <c r="Z677" s="38" t="s">
        <v>1330</v>
      </c>
      <c r="AA677" s="38" t="s">
        <v>452</v>
      </c>
      <c r="AB677" s="38">
        <v>46.24</v>
      </c>
      <c r="AC677" s="38">
        <v>-89.35</v>
      </c>
      <c r="AD677" s="39" t="s">
        <v>87</v>
      </c>
      <c r="AE677" s="38">
        <v>540.0</v>
      </c>
      <c r="AF677" s="38"/>
      <c r="AG677" s="38" t="s">
        <v>107</v>
      </c>
      <c r="AH677" s="38"/>
      <c r="AI677" s="50">
        <v>46.24</v>
      </c>
      <c r="AJ677" s="50">
        <v>-89.35</v>
      </c>
      <c r="AK677" s="41" t="s">
        <v>452</v>
      </c>
      <c r="AL677" s="40" t="s">
        <v>452</v>
      </c>
      <c r="AM677" s="49">
        <v>557.0</v>
      </c>
      <c r="AN677" s="51">
        <v>557.0</v>
      </c>
      <c r="AO677" s="42" t="s">
        <v>372</v>
      </c>
      <c r="AP677" s="43" t="s">
        <v>107</v>
      </c>
      <c r="AQ677" s="44" t="str">
        <f t="shared" si="58"/>
        <v>MF</v>
      </c>
      <c r="AR677" s="44">
        <f t="shared" si="3"/>
        <v>557</v>
      </c>
      <c r="AS677" s="44" t="str">
        <f t="shared" si="56"/>
        <v>D</v>
      </c>
      <c r="AT677" s="44" t="str">
        <f t="shared" si="17"/>
        <v>Df</v>
      </c>
      <c r="AU677" s="44" t="str">
        <f t="shared" si="2"/>
        <v>Dfb</v>
      </c>
      <c r="AV677" s="38"/>
      <c r="AW677" s="38"/>
      <c r="AX677" s="38"/>
      <c r="AY677" s="38"/>
      <c r="AZ677" s="29">
        <v>1000.0</v>
      </c>
      <c r="BA677" s="29"/>
      <c r="BB677" s="29">
        <v>2.0</v>
      </c>
      <c r="BC677" s="29" t="s">
        <v>148</v>
      </c>
      <c r="BD677" s="29"/>
      <c r="BE677" s="29"/>
      <c r="BF677" s="29" t="s">
        <v>220</v>
      </c>
      <c r="BG677" s="29" t="s">
        <v>220</v>
      </c>
      <c r="BH677" s="29"/>
      <c r="BI677" s="29"/>
      <c r="BJ677" s="29"/>
      <c r="BK677" s="29"/>
      <c r="BL677" s="29"/>
      <c r="BM677" s="45"/>
      <c r="BN677" s="45"/>
      <c r="BO677" s="46"/>
      <c r="BP677" s="2"/>
      <c r="BQ677" s="3"/>
    </row>
    <row r="678" ht="15.75" customHeight="1">
      <c r="A678" s="34">
        <v>681.0</v>
      </c>
      <c r="B678" s="34">
        <v>101688.0</v>
      </c>
      <c r="C678" s="34" t="s">
        <v>76</v>
      </c>
      <c r="D678" s="34" t="s">
        <v>1299</v>
      </c>
      <c r="E678" s="34" t="s">
        <v>1300</v>
      </c>
      <c r="F678" s="34">
        <v>2013.0</v>
      </c>
      <c r="G678" s="34" t="s">
        <v>1301</v>
      </c>
      <c r="H678" s="34" t="s">
        <v>1302</v>
      </c>
      <c r="I678" s="34" t="s">
        <v>1303</v>
      </c>
      <c r="J678" s="35"/>
      <c r="K678" s="36"/>
      <c r="L678" s="36"/>
      <c r="M678" s="36"/>
      <c r="N678" s="36"/>
      <c r="O678" s="36"/>
      <c r="P678" s="37">
        <v>61.5</v>
      </c>
      <c r="Q678" s="36"/>
      <c r="R678" s="36" t="s">
        <v>490</v>
      </c>
      <c r="S678" s="36">
        <v>3000.0</v>
      </c>
      <c r="T678" s="36" t="s">
        <v>284</v>
      </c>
      <c r="U678" s="36" t="s">
        <v>194</v>
      </c>
      <c r="V678" s="36"/>
      <c r="W678" s="36" t="s">
        <v>169</v>
      </c>
      <c r="X678" s="38">
        <v>1.0</v>
      </c>
      <c r="Y678" s="38" t="s">
        <v>1331</v>
      </c>
      <c r="Z678" s="38"/>
      <c r="AA678" s="38" t="s">
        <v>452</v>
      </c>
      <c r="AB678" s="38">
        <v>42.54</v>
      </c>
      <c r="AC678" s="38">
        <v>-72.19</v>
      </c>
      <c r="AD678" s="39" t="s">
        <v>87</v>
      </c>
      <c r="AE678" s="38">
        <v>377.5</v>
      </c>
      <c r="AF678" s="38"/>
      <c r="AG678" s="38" t="s">
        <v>107</v>
      </c>
      <c r="AH678" s="38"/>
      <c r="AI678" s="50">
        <v>42.54</v>
      </c>
      <c r="AJ678" s="50">
        <v>-72.19</v>
      </c>
      <c r="AK678" s="41" t="s">
        <v>370</v>
      </c>
      <c r="AL678" s="40" t="s">
        <v>370</v>
      </c>
      <c r="AM678" s="49">
        <v>365.0</v>
      </c>
      <c r="AN678" s="51">
        <v>365.0</v>
      </c>
      <c r="AO678" s="42" t="s">
        <v>372</v>
      </c>
      <c r="AP678" s="43" t="s">
        <v>107</v>
      </c>
      <c r="AQ678" s="44" t="str">
        <f t="shared" si="58"/>
        <v>MF</v>
      </c>
      <c r="AR678" s="44">
        <f t="shared" si="3"/>
        <v>365</v>
      </c>
      <c r="AS678" s="44" t="str">
        <f t="shared" si="56"/>
        <v>D</v>
      </c>
      <c r="AT678" s="44" t="str">
        <f t="shared" si="17"/>
        <v>Df</v>
      </c>
      <c r="AU678" s="44" t="str">
        <f t="shared" si="2"/>
        <v>Dfb</v>
      </c>
      <c r="AV678" s="38"/>
      <c r="AW678" s="38"/>
      <c r="AX678" s="38"/>
      <c r="AY678" s="38"/>
      <c r="AZ678" s="29">
        <v>1000.0</v>
      </c>
      <c r="BA678" s="29"/>
      <c r="BB678" s="29">
        <v>2.0</v>
      </c>
      <c r="BC678" s="29" t="s">
        <v>148</v>
      </c>
      <c r="BD678" s="29"/>
      <c r="BE678" s="29"/>
      <c r="BF678" s="29" t="s">
        <v>220</v>
      </c>
      <c r="BG678" s="29" t="s">
        <v>220</v>
      </c>
      <c r="BH678" s="29"/>
      <c r="BI678" s="29"/>
      <c r="BJ678" s="29"/>
      <c r="BK678" s="29"/>
      <c r="BL678" s="29"/>
      <c r="BM678" s="45"/>
      <c r="BN678" s="45"/>
      <c r="BO678" s="46"/>
      <c r="BP678" s="2"/>
      <c r="BQ678" s="3"/>
    </row>
    <row r="679" ht="15.75" customHeight="1">
      <c r="A679" s="34">
        <v>682.0</v>
      </c>
      <c r="B679" s="34">
        <v>101688.0</v>
      </c>
      <c r="C679" s="34" t="s">
        <v>76</v>
      </c>
      <c r="D679" s="34" t="s">
        <v>1299</v>
      </c>
      <c r="E679" s="34" t="s">
        <v>1300</v>
      </c>
      <c r="F679" s="34">
        <v>2013.0</v>
      </c>
      <c r="G679" s="34" t="s">
        <v>1301</v>
      </c>
      <c r="H679" s="34" t="s">
        <v>1302</v>
      </c>
      <c r="I679" s="34" t="s">
        <v>1303</v>
      </c>
      <c r="J679" s="35"/>
      <c r="K679" s="36"/>
      <c r="L679" s="36"/>
      <c r="M679" s="36"/>
      <c r="N679" s="36"/>
      <c r="O679" s="36"/>
      <c r="P679" s="37">
        <v>49.2</v>
      </c>
      <c r="Q679" s="36"/>
      <c r="R679" s="36" t="s">
        <v>490</v>
      </c>
      <c r="S679" s="36">
        <v>3000.0</v>
      </c>
      <c r="T679" s="36" t="s">
        <v>317</v>
      </c>
      <c r="U679" s="36" t="s">
        <v>342</v>
      </c>
      <c r="V679" s="36">
        <v>44.0</v>
      </c>
      <c r="W679" s="36" t="s">
        <v>169</v>
      </c>
      <c r="X679" s="38">
        <v>1.0</v>
      </c>
      <c r="Y679" s="38" t="s">
        <v>322</v>
      </c>
      <c r="Z679" s="38" t="s">
        <v>323</v>
      </c>
      <c r="AA679" s="38" t="s">
        <v>313</v>
      </c>
      <c r="AB679" s="38">
        <v>35.09</v>
      </c>
      <c r="AC679" s="38">
        <v>-111.76</v>
      </c>
      <c r="AD679" s="39" t="s">
        <v>87</v>
      </c>
      <c r="AE679" s="53"/>
      <c r="AF679" s="38" t="s">
        <v>312</v>
      </c>
      <c r="AG679" s="57"/>
      <c r="AH679" s="38"/>
      <c r="AI679" s="50">
        <v>35.09</v>
      </c>
      <c r="AJ679" s="50">
        <v>-111.76</v>
      </c>
      <c r="AK679" s="41" t="s">
        <v>200</v>
      </c>
      <c r="AL679" s="40" t="s">
        <v>200</v>
      </c>
      <c r="AM679" s="49">
        <v>2229.0</v>
      </c>
      <c r="AN679" s="51">
        <v>2229.0</v>
      </c>
      <c r="AO679" s="42" t="s">
        <v>321</v>
      </c>
      <c r="AP679" s="43" t="s">
        <v>321</v>
      </c>
      <c r="AQ679" s="44" t="str">
        <f t="shared" si="58"/>
        <v>SAV</v>
      </c>
      <c r="AR679" s="44">
        <f t="shared" si="3"/>
        <v>2229</v>
      </c>
      <c r="AS679" s="44" t="str">
        <f t="shared" si="56"/>
        <v>D</v>
      </c>
      <c r="AT679" s="44" t="str">
        <f t="shared" si="17"/>
        <v>Ds</v>
      </c>
      <c r="AU679" s="44" t="str">
        <f t="shared" si="2"/>
        <v>Dsb</v>
      </c>
      <c r="AV679" s="38"/>
      <c r="AW679" s="38"/>
      <c r="AX679" s="38"/>
      <c r="AY679" s="38"/>
      <c r="AZ679" s="29">
        <v>1000.0</v>
      </c>
      <c r="BA679" s="29"/>
      <c r="BB679" s="29">
        <v>2.0</v>
      </c>
      <c r="BC679" s="29" t="s">
        <v>148</v>
      </c>
      <c r="BD679" s="29"/>
      <c r="BE679" s="29"/>
      <c r="BF679" s="29" t="s">
        <v>220</v>
      </c>
      <c r="BG679" s="29" t="s">
        <v>220</v>
      </c>
      <c r="BH679" s="29"/>
      <c r="BI679" s="29"/>
      <c r="BJ679" s="29"/>
      <c r="BK679" s="29"/>
      <c r="BL679" s="29"/>
      <c r="BM679" s="45"/>
      <c r="BN679" s="45"/>
      <c r="BO679" s="46"/>
      <c r="BP679" s="2"/>
      <c r="BQ679" s="3"/>
    </row>
    <row r="680" ht="15.75" customHeight="1">
      <c r="A680" s="34">
        <v>683.0</v>
      </c>
      <c r="B680" s="34">
        <v>101688.0</v>
      </c>
      <c r="C680" s="34" t="s">
        <v>76</v>
      </c>
      <c r="D680" s="34" t="s">
        <v>1299</v>
      </c>
      <c r="E680" s="34" t="s">
        <v>1300</v>
      </c>
      <c r="F680" s="34">
        <v>2013.0</v>
      </c>
      <c r="G680" s="34" t="s">
        <v>1301</v>
      </c>
      <c r="H680" s="34" t="s">
        <v>1302</v>
      </c>
      <c r="I680" s="34" t="s">
        <v>1303</v>
      </c>
      <c r="J680" s="35"/>
      <c r="K680" s="36"/>
      <c r="L680" s="36"/>
      <c r="M680" s="36"/>
      <c r="N680" s="36"/>
      <c r="O680" s="36"/>
      <c r="P680" s="37">
        <v>17.0</v>
      </c>
      <c r="Q680" s="36"/>
      <c r="R680" s="36" t="s">
        <v>490</v>
      </c>
      <c r="S680" s="36">
        <v>3000.0</v>
      </c>
      <c r="T680" s="36" t="s">
        <v>328</v>
      </c>
      <c r="U680" s="36" t="s">
        <v>194</v>
      </c>
      <c r="V680" s="36"/>
      <c r="W680" s="36" t="s">
        <v>169</v>
      </c>
      <c r="X680" s="38">
        <v>1.0</v>
      </c>
      <c r="Y680" s="38" t="s">
        <v>1334</v>
      </c>
      <c r="Z680" s="53" t="s">
        <v>1335</v>
      </c>
      <c r="AA680" s="53" t="s">
        <v>292</v>
      </c>
      <c r="AB680" s="38">
        <v>55.92</v>
      </c>
      <c r="AC680" s="38">
        <v>-98.96</v>
      </c>
      <c r="AD680" s="38" t="s">
        <v>395</v>
      </c>
      <c r="AE680" s="38">
        <v>244.0</v>
      </c>
      <c r="AF680" s="38" t="s">
        <v>1336</v>
      </c>
      <c r="AG680" s="38" t="s">
        <v>372</v>
      </c>
      <c r="AH680" s="38"/>
      <c r="AI680" s="50">
        <v>55.92</v>
      </c>
      <c r="AJ680" s="50">
        <v>-98.96</v>
      </c>
      <c r="AK680" s="41" t="s">
        <v>291</v>
      </c>
      <c r="AL680" s="40" t="s">
        <v>291</v>
      </c>
      <c r="AM680" s="49">
        <v>251.0</v>
      </c>
      <c r="AN680" s="51">
        <v>251.0</v>
      </c>
      <c r="AO680" s="42" t="s">
        <v>412</v>
      </c>
      <c r="AP680" s="43" t="s">
        <v>372</v>
      </c>
      <c r="AQ680" s="44" t="str">
        <f t="shared" si="58"/>
        <v>OSH</v>
      </c>
      <c r="AR680" s="44">
        <f t="shared" si="3"/>
        <v>251</v>
      </c>
      <c r="AS680" s="44" t="str">
        <f t="shared" si="56"/>
        <v>D</v>
      </c>
      <c r="AT680" s="44" t="str">
        <f t="shared" si="17"/>
        <v>Df</v>
      </c>
      <c r="AU680" s="44" t="str">
        <f t="shared" si="2"/>
        <v>Dfc</v>
      </c>
      <c r="AV680" s="38"/>
      <c r="AW680" s="38"/>
      <c r="AX680" s="38"/>
      <c r="AY680" s="38"/>
      <c r="AZ680" s="29">
        <v>1000.0</v>
      </c>
      <c r="BA680" s="29"/>
      <c r="BB680" s="29">
        <v>2.0</v>
      </c>
      <c r="BC680" s="29" t="s">
        <v>148</v>
      </c>
      <c r="BD680" s="29"/>
      <c r="BE680" s="29"/>
      <c r="BF680" s="29" t="s">
        <v>220</v>
      </c>
      <c r="BG680" s="29" t="s">
        <v>220</v>
      </c>
      <c r="BH680" s="29"/>
      <c r="BI680" s="29"/>
      <c r="BJ680" s="29"/>
      <c r="BK680" s="29"/>
      <c r="BL680" s="29"/>
      <c r="BM680" s="45"/>
      <c r="BN680" s="45"/>
      <c r="BO680" s="46"/>
      <c r="BP680" s="2"/>
      <c r="BQ680" s="3"/>
    </row>
    <row r="681" ht="15.75" customHeight="1">
      <c r="A681" s="34">
        <v>684.0</v>
      </c>
      <c r="B681" s="34">
        <v>101688.0</v>
      </c>
      <c r="C681" s="34" t="s">
        <v>76</v>
      </c>
      <c r="D681" s="34" t="s">
        <v>1299</v>
      </c>
      <c r="E681" s="34" t="s">
        <v>1300</v>
      </c>
      <c r="F681" s="34">
        <v>2013.0</v>
      </c>
      <c r="G681" s="34" t="s">
        <v>1301</v>
      </c>
      <c r="H681" s="34" t="s">
        <v>1302</v>
      </c>
      <c r="I681" s="34" t="s">
        <v>1303</v>
      </c>
      <c r="J681" s="35"/>
      <c r="K681" s="36"/>
      <c r="L681" s="36"/>
      <c r="M681" s="36"/>
      <c r="N681" s="36"/>
      <c r="O681" s="36"/>
      <c r="P681" s="37">
        <v>28.8</v>
      </c>
      <c r="Q681" s="36"/>
      <c r="R681" s="36" t="s">
        <v>490</v>
      </c>
      <c r="S681" s="36">
        <v>3000.0</v>
      </c>
      <c r="T681" s="36" t="s">
        <v>317</v>
      </c>
      <c r="U681" s="36" t="s">
        <v>194</v>
      </c>
      <c r="V681" s="36"/>
      <c r="W681" s="36" t="s">
        <v>169</v>
      </c>
      <c r="X681" s="38">
        <v>1.0</v>
      </c>
      <c r="Y681" s="38" t="s">
        <v>1337</v>
      </c>
      <c r="Z681" s="53" t="s">
        <v>1338</v>
      </c>
      <c r="AA681" s="53" t="s">
        <v>292</v>
      </c>
      <c r="AB681" s="38">
        <v>56.64</v>
      </c>
      <c r="AC681" s="38">
        <v>-99.95</v>
      </c>
      <c r="AD681" s="38" t="s">
        <v>395</v>
      </c>
      <c r="AE681" s="38">
        <v>297.0</v>
      </c>
      <c r="AF681" s="38" t="s">
        <v>1336</v>
      </c>
      <c r="AG681" s="38" t="s">
        <v>372</v>
      </c>
      <c r="AH681" s="38"/>
      <c r="AI681" s="50">
        <v>56.64</v>
      </c>
      <c r="AJ681" s="50">
        <v>-99.95</v>
      </c>
      <c r="AK681" s="41" t="s">
        <v>200</v>
      </c>
      <c r="AL681" s="40" t="s">
        <v>200</v>
      </c>
      <c r="AM681" s="49">
        <v>272.0</v>
      </c>
      <c r="AN681" s="51">
        <v>272.0</v>
      </c>
      <c r="AO681" s="42" t="s">
        <v>412</v>
      </c>
      <c r="AP681" s="43" t="s">
        <v>372</v>
      </c>
      <c r="AQ681" s="44" t="str">
        <f t="shared" si="58"/>
        <v>OSH</v>
      </c>
      <c r="AR681" s="44">
        <f t="shared" si="3"/>
        <v>272</v>
      </c>
      <c r="AS681" s="44" t="str">
        <f t="shared" si="56"/>
        <v>D</v>
      </c>
      <c r="AT681" s="44" t="str">
        <f t="shared" si="17"/>
        <v>Df</v>
      </c>
      <c r="AU681" s="44" t="str">
        <f t="shared" si="2"/>
        <v>Dfc</v>
      </c>
      <c r="AV681" s="38"/>
      <c r="AW681" s="38"/>
      <c r="AX681" s="38"/>
      <c r="AY681" s="38"/>
      <c r="AZ681" s="29">
        <v>1000.0</v>
      </c>
      <c r="BA681" s="29"/>
      <c r="BB681" s="29">
        <v>2.0</v>
      </c>
      <c r="BC681" s="29" t="s">
        <v>148</v>
      </c>
      <c r="BD681" s="29"/>
      <c r="BE681" s="29"/>
      <c r="BF681" s="29" t="s">
        <v>220</v>
      </c>
      <c r="BG681" s="29" t="s">
        <v>220</v>
      </c>
      <c r="BH681" s="29"/>
      <c r="BI681" s="29"/>
      <c r="BJ681" s="29"/>
      <c r="BK681" s="29"/>
      <c r="BL681" s="29"/>
      <c r="BM681" s="45"/>
      <c r="BN681" s="45"/>
      <c r="BO681" s="46"/>
      <c r="BP681" s="2"/>
      <c r="BQ681" s="3"/>
    </row>
    <row r="682" ht="15.75" customHeight="1">
      <c r="A682" s="34">
        <v>685.0</v>
      </c>
      <c r="B682" s="34">
        <v>101879.0</v>
      </c>
      <c r="C682" s="34" t="s">
        <v>76</v>
      </c>
      <c r="D682" s="34" t="s">
        <v>1342</v>
      </c>
      <c r="E682" s="34" t="s">
        <v>1343</v>
      </c>
      <c r="F682" s="34">
        <v>2012.0</v>
      </c>
      <c r="G682" s="34" t="s">
        <v>1344</v>
      </c>
      <c r="H682" s="34" t="s">
        <v>165</v>
      </c>
      <c r="I682" s="34" t="s">
        <v>1345</v>
      </c>
      <c r="J682" s="35"/>
      <c r="K682" s="36"/>
      <c r="L682" s="36"/>
      <c r="M682" s="36"/>
      <c r="N682" s="36"/>
      <c r="O682" s="36"/>
      <c r="P682" s="37">
        <v>-4.0</v>
      </c>
      <c r="Q682" s="36"/>
      <c r="R682" s="36" t="s">
        <v>82</v>
      </c>
      <c r="S682" s="36">
        <v>150.0</v>
      </c>
      <c r="T682" s="36" t="s">
        <v>1346</v>
      </c>
      <c r="U682" s="36" t="s">
        <v>1347</v>
      </c>
      <c r="V682" s="36">
        <v>8.0</v>
      </c>
      <c r="W682" s="36" t="s">
        <v>88</v>
      </c>
      <c r="X682" s="38">
        <v>1.0</v>
      </c>
      <c r="Y682" s="38" t="s">
        <v>523</v>
      </c>
      <c r="Z682" s="38" t="s">
        <v>524</v>
      </c>
      <c r="AA682" s="38" t="s">
        <v>86</v>
      </c>
      <c r="AB682" s="38">
        <v>41.1651</v>
      </c>
      <c r="AC682" s="38">
        <v>-96.4766</v>
      </c>
      <c r="AD682" s="58" t="s">
        <v>87</v>
      </c>
      <c r="AE682" s="38">
        <v>361.0</v>
      </c>
      <c r="AF682" s="38" t="s">
        <v>1348</v>
      </c>
      <c r="AG682" s="38" t="s">
        <v>108</v>
      </c>
      <c r="AH682" s="38"/>
      <c r="AI682" s="50">
        <v>41.1651</v>
      </c>
      <c r="AJ682" s="50">
        <v>-96.4766</v>
      </c>
      <c r="AK682" s="41" t="s">
        <v>86</v>
      </c>
      <c r="AL682" s="40" t="s">
        <v>86</v>
      </c>
      <c r="AM682" s="49">
        <v>356.0</v>
      </c>
      <c r="AN682" s="51">
        <v>356.0</v>
      </c>
      <c r="AO682" s="42" t="s">
        <v>107</v>
      </c>
      <c r="AP682" s="43" t="s">
        <v>108</v>
      </c>
      <c r="AQ682" s="44" t="str">
        <f t="shared" si="58"/>
        <v>CRO</v>
      </c>
      <c r="AR682" s="44">
        <f t="shared" si="3"/>
        <v>356</v>
      </c>
      <c r="AS682" s="44" t="str">
        <f t="shared" si="56"/>
        <v>D</v>
      </c>
      <c r="AT682" s="44" t="str">
        <f t="shared" si="17"/>
        <v>Df</v>
      </c>
      <c r="AU682" s="44" t="str">
        <f t="shared" si="2"/>
        <v>Dfa</v>
      </c>
      <c r="AV682" s="38"/>
      <c r="AW682" s="38"/>
      <c r="AX682" s="38"/>
      <c r="AY682" s="38" t="s">
        <v>88</v>
      </c>
      <c r="AZ682" s="29">
        <v>30.0</v>
      </c>
      <c r="BA682" s="29"/>
      <c r="BB682" s="29">
        <v>1.0</v>
      </c>
      <c r="BC682" s="29"/>
      <c r="BD682" s="29" t="s">
        <v>88</v>
      </c>
      <c r="BE682" s="29"/>
      <c r="BF682" s="29" t="s">
        <v>984</v>
      </c>
      <c r="BG682" s="29" t="s">
        <v>572</v>
      </c>
      <c r="BH682" s="29"/>
      <c r="BI682" s="29"/>
      <c r="BJ682" s="29"/>
      <c r="BK682" s="29"/>
      <c r="BL682" s="29"/>
      <c r="BM682" s="45"/>
      <c r="BN682" s="45">
        <v>1.0</v>
      </c>
      <c r="BO682" s="46" t="s">
        <v>984</v>
      </c>
      <c r="BP682" s="2"/>
      <c r="BQ682" s="3"/>
    </row>
    <row r="683" ht="15.75" customHeight="1">
      <c r="A683" s="34">
        <v>686.0</v>
      </c>
      <c r="B683" s="34">
        <v>101879.0</v>
      </c>
      <c r="C683" s="34" t="s">
        <v>76</v>
      </c>
      <c r="D683" s="34" t="s">
        <v>1342</v>
      </c>
      <c r="E683" s="34" t="s">
        <v>1343</v>
      </c>
      <c r="F683" s="34">
        <v>2012.0</v>
      </c>
      <c r="G683" s="34" t="s">
        <v>1344</v>
      </c>
      <c r="H683" s="34" t="s">
        <v>165</v>
      </c>
      <c r="I683" s="34" t="s">
        <v>1345</v>
      </c>
      <c r="J683" s="35"/>
      <c r="K683" s="36"/>
      <c r="L683" s="36"/>
      <c r="M683" s="36"/>
      <c r="N683" s="36"/>
      <c r="O683" s="36"/>
      <c r="P683" s="37">
        <v>11.6</v>
      </c>
      <c r="Q683" s="36"/>
      <c r="R683" s="36" t="s">
        <v>82</v>
      </c>
      <c r="S683" s="36">
        <v>150.0</v>
      </c>
      <c r="T683" s="36" t="s">
        <v>1346</v>
      </c>
      <c r="U683" s="36" t="s">
        <v>1347</v>
      </c>
      <c r="V683" s="36">
        <v>8.0</v>
      </c>
      <c r="W683" s="36" t="s">
        <v>88</v>
      </c>
      <c r="X683" s="38">
        <v>1.0</v>
      </c>
      <c r="Y683" s="38" t="s">
        <v>526</v>
      </c>
      <c r="Z683" s="38" t="s">
        <v>527</v>
      </c>
      <c r="AA683" s="38" t="s">
        <v>86</v>
      </c>
      <c r="AB683" s="38">
        <v>41.1649</v>
      </c>
      <c r="AC683" s="38">
        <v>-96.4701</v>
      </c>
      <c r="AD683" s="39" t="s">
        <v>87</v>
      </c>
      <c r="AE683" s="38">
        <v>362.0</v>
      </c>
      <c r="AF683" s="38" t="s">
        <v>1348</v>
      </c>
      <c r="AG683" s="38" t="s">
        <v>108</v>
      </c>
      <c r="AH683" s="38"/>
      <c r="AI683" s="50">
        <v>41.1649</v>
      </c>
      <c r="AJ683" s="50">
        <v>-96.4701</v>
      </c>
      <c r="AK683" s="41" t="s">
        <v>86</v>
      </c>
      <c r="AL683" s="40" t="s">
        <v>86</v>
      </c>
      <c r="AM683" s="49">
        <v>355.0</v>
      </c>
      <c r="AN683" s="51">
        <v>355.0</v>
      </c>
      <c r="AO683" s="42" t="s">
        <v>107</v>
      </c>
      <c r="AP683" s="43" t="s">
        <v>108</v>
      </c>
      <c r="AQ683" s="44" t="str">
        <f t="shared" si="58"/>
        <v>CRO</v>
      </c>
      <c r="AR683" s="44">
        <f t="shared" si="3"/>
        <v>355</v>
      </c>
      <c r="AS683" s="44" t="str">
        <f t="shared" si="56"/>
        <v>D</v>
      </c>
      <c r="AT683" s="44" t="str">
        <f t="shared" si="17"/>
        <v>Df</v>
      </c>
      <c r="AU683" s="44" t="str">
        <f t="shared" si="2"/>
        <v>Dfa</v>
      </c>
      <c r="AV683" s="38"/>
      <c r="AW683" s="38"/>
      <c r="AX683" s="38"/>
      <c r="AY683" s="38" t="s">
        <v>88</v>
      </c>
      <c r="AZ683" s="29">
        <v>30.0</v>
      </c>
      <c r="BA683" s="29"/>
      <c r="BB683" s="29">
        <v>1.0</v>
      </c>
      <c r="BC683" s="29"/>
      <c r="BD683" s="29" t="s">
        <v>88</v>
      </c>
      <c r="BE683" s="29"/>
      <c r="BF683" s="29" t="s">
        <v>984</v>
      </c>
      <c r="BG683" s="29" t="s">
        <v>572</v>
      </c>
      <c r="BH683" s="29"/>
      <c r="BI683" s="29"/>
      <c r="BJ683" s="29"/>
      <c r="BK683" s="29"/>
      <c r="BL683" s="29"/>
      <c r="BM683" s="45"/>
      <c r="BN683" s="45">
        <v>1.0</v>
      </c>
      <c r="BO683" s="46"/>
      <c r="BP683" s="2"/>
      <c r="BQ683" s="3"/>
    </row>
    <row r="684" ht="15.75" customHeight="1">
      <c r="A684" s="34">
        <v>687.0</v>
      </c>
      <c r="B684" s="34">
        <v>101879.0</v>
      </c>
      <c r="C684" s="34" t="s">
        <v>76</v>
      </c>
      <c r="D684" s="34" t="s">
        <v>1342</v>
      </c>
      <c r="E684" s="34" t="s">
        <v>1343</v>
      </c>
      <c r="F684" s="34">
        <v>2012.0</v>
      </c>
      <c r="G684" s="34" t="s">
        <v>1344</v>
      </c>
      <c r="H684" s="34" t="s">
        <v>165</v>
      </c>
      <c r="I684" s="34" t="s">
        <v>1345</v>
      </c>
      <c r="J684" s="35"/>
      <c r="K684" s="36"/>
      <c r="L684" s="36"/>
      <c r="M684" s="36"/>
      <c r="N684" s="36"/>
      <c r="O684" s="36"/>
      <c r="P684" s="37">
        <v>-0.4</v>
      </c>
      <c r="Q684" s="36"/>
      <c r="R684" s="36" t="s">
        <v>82</v>
      </c>
      <c r="S684" s="36">
        <v>150.0</v>
      </c>
      <c r="T684" s="36" t="s">
        <v>1346</v>
      </c>
      <c r="U684" s="36" t="s">
        <v>1347</v>
      </c>
      <c r="V684" s="36">
        <v>8.0</v>
      </c>
      <c r="W684" s="36" t="s">
        <v>88</v>
      </c>
      <c r="X684" s="38">
        <v>1.0</v>
      </c>
      <c r="Y684" s="38" t="s">
        <v>529</v>
      </c>
      <c r="Z684" s="38" t="s">
        <v>530</v>
      </c>
      <c r="AA684" s="38" t="s">
        <v>86</v>
      </c>
      <c r="AB684" s="38">
        <v>41.1797</v>
      </c>
      <c r="AC684" s="38">
        <v>-96.4397</v>
      </c>
      <c r="AD684" s="58" t="s">
        <v>87</v>
      </c>
      <c r="AE684" s="38">
        <v>363.0</v>
      </c>
      <c r="AF684" s="38" t="s">
        <v>1349</v>
      </c>
      <c r="AG684" s="38" t="s">
        <v>108</v>
      </c>
      <c r="AH684" s="38"/>
      <c r="AI684" s="50">
        <v>41.1797</v>
      </c>
      <c r="AJ684" s="50">
        <v>-96.4397</v>
      </c>
      <c r="AK684" s="41" t="s">
        <v>86</v>
      </c>
      <c r="AL684" s="40" t="s">
        <v>86</v>
      </c>
      <c r="AM684" s="49">
        <v>359.0</v>
      </c>
      <c r="AN684" s="51">
        <v>359.0</v>
      </c>
      <c r="AO684" s="42" t="s">
        <v>107</v>
      </c>
      <c r="AP684" s="43" t="s">
        <v>108</v>
      </c>
      <c r="AQ684" s="44" t="str">
        <f t="shared" si="58"/>
        <v>CRO</v>
      </c>
      <c r="AR684" s="44">
        <f t="shared" si="3"/>
        <v>359</v>
      </c>
      <c r="AS684" s="44" t="str">
        <f t="shared" si="56"/>
        <v>D</v>
      </c>
      <c r="AT684" s="44" t="str">
        <f t="shared" si="17"/>
        <v>Df</v>
      </c>
      <c r="AU684" s="44" t="str">
        <f t="shared" si="2"/>
        <v>Dfa</v>
      </c>
      <c r="AV684" s="38"/>
      <c r="AW684" s="38"/>
      <c r="AX684" s="38"/>
      <c r="AY684" s="38" t="s">
        <v>88</v>
      </c>
      <c r="AZ684" s="29">
        <v>30.0</v>
      </c>
      <c r="BA684" s="29"/>
      <c r="BB684" s="29">
        <v>1.0</v>
      </c>
      <c r="BC684" s="29"/>
      <c r="BD684" s="29" t="s">
        <v>88</v>
      </c>
      <c r="BE684" s="29"/>
      <c r="BF684" s="29" t="s">
        <v>984</v>
      </c>
      <c r="BG684" s="29" t="s">
        <v>572</v>
      </c>
      <c r="BH684" s="29"/>
      <c r="BI684" s="29"/>
      <c r="BJ684" s="29"/>
      <c r="BK684" s="29"/>
      <c r="BL684" s="29"/>
      <c r="BM684" s="45"/>
      <c r="BN684" s="45">
        <v>1.0</v>
      </c>
      <c r="BO684" s="46"/>
      <c r="BP684" s="2"/>
      <c r="BQ684" s="3"/>
    </row>
    <row r="685" ht="15.75" customHeight="1">
      <c r="A685" s="34">
        <v>688.0</v>
      </c>
      <c r="B685" s="34">
        <v>101879.0</v>
      </c>
      <c r="C685" s="34" t="s">
        <v>76</v>
      </c>
      <c r="D685" s="34" t="s">
        <v>1342</v>
      </c>
      <c r="E685" s="34" t="s">
        <v>1343</v>
      </c>
      <c r="F685" s="34">
        <v>2012.0</v>
      </c>
      <c r="G685" s="34" t="s">
        <v>1344</v>
      </c>
      <c r="H685" s="34" t="s">
        <v>165</v>
      </c>
      <c r="I685" s="34" t="s">
        <v>1345</v>
      </c>
      <c r="J685" s="35"/>
      <c r="K685" s="36"/>
      <c r="L685" s="36"/>
      <c r="M685" s="36"/>
      <c r="N685" s="36"/>
      <c r="O685" s="36"/>
      <c r="P685" s="37">
        <v>-2.0</v>
      </c>
      <c r="Q685" s="36"/>
      <c r="R685" s="36" t="s">
        <v>82</v>
      </c>
      <c r="S685" s="36">
        <v>150.0</v>
      </c>
      <c r="T685" s="36" t="s">
        <v>1346</v>
      </c>
      <c r="U685" s="36" t="s">
        <v>1347</v>
      </c>
      <c r="V685" s="36">
        <v>8.0</v>
      </c>
      <c r="W685" s="36" t="s">
        <v>88</v>
      </c>
      <c r="X685" s="38">
        <v>3.0</v>
      </c>
      <c r="Y685" s="38" t="s">
        <v>1350</v>
      </c>
      <c r="Z685" s="38"/>
      <c r="AA685" s="38" t="s">
        <v>86</v>
      </c>
      <c r="AB685" s="38"/>
      <c r="AC685" s="38"/>
      <c r="AD685" s="39" t="s">
        <v>87</v>
      </c>
      <c r="AE685" s="38"/>
      <c r="AF685" s="38" t="s">
        <v>1048</v>
      </c>
      <c r="AG685" s="38"/>
      <c r="AH685" s="38"/>
      <c r="AI685" s="50"/>
      <c r="AJ685" s="50"/>
      <c r="AK685" s="41"/>
      <c r="AL685" s="40"/>
      <c r="AM685" s="49"/>
      <c r="AN685" s="43"/>
      <c r="AO685" s="42"/>
      <c r="AP685" s="43"/>
      <c r="AQ685" s="44" t="str">
        <f t="shared" si="58"/>
        <v>CRO</v>
      </c>
      <c r="AR685" s="44" t="str">
        <f t="shared" si="3"/>
        <v/>
      </c>
      <c r="AS685" s="44"/>
      <c r="AT685" s="44" t="str">
        <f t="shared" si="17"/>
        <v/>
      </c>
      <c r="AU685" s="44" t="str">
        <f t="shared" si="2"/>
        <v/>
      </c>
      <c r="AV685" s="38"/>
      <c r="AW685" s="38"/>
      <c r="AX685" s="38"/>
      <c r="AY685" s="38" t="s">
        <v>88</v>
      </c>
      <c r="AZ685" s="29">
        <v>30.0</v>
      </c>
      <c r="BA685" s="29"/>
      <c r="BB685" s="29">
        <v>1.0</v>
      </c>
      <c r="BC685" s="29"/>
      <c r="BD685" s="29" t="s">
        <v>88</v>
      </c>
      <c r="BE685" s="29"/>
      <c r="BF685" s="29" t="s">
        <v>984</v>
      </c>
      <c r="BG685" s="29" t="s">
        <v>572</v>
      </c>
      <c r="BH685" s="29"/>
      <c r="BI685" s="29"/>
      <c r="BJ685" s="29"/>
      <c r="BK685" s="29"/>
      <c r="BL685" s="29"/>
      <c r="BM685" s="45"/>
      <c r="BN685" s="45">
        <v>1.0</v>
      </c>
      <c r="BO685" s="46"/>
      <c r="BP685" s="2"/>
      <c r="BQ685" s="3"/>
    </row>
    <row r="686" ht="15.75" customHeight="1">
      <c r="A686" s="34">
        <v>689.0</v>
      </c>
      <c r="B686" s="34">
        <v>101879.0</v>
      </c>
      <c r="C686" s="34" t="s">
        <v>76</v>
      </c>
      <c r="D686" s="34" t="s">
        <v>1342</v>
      </c>
      <c r="E686" s="34" t="s">
        <v>1343</v>
      </c>
      <c r="F686" s="34">
        <v>2012.0</v>
      </c>
      <c r="G686" s="34" t="s">
        <v>1344</v>
      </c>
      <c r="H686" s="34" t="s">
        <v>165</v>
      </c>
      <c r="I686" s="34" t="s">
        <v>1345</v>
      </c>
      <c r="J686" s="35"/>
      <c r="K686" s="36">
        <v>0.7</v>
      </c>
      <c r="L686" s="36"/>
      <c r="M686" s="36"/>
      <c r="N686" s="36"/>
      <c r="O686" s="36"/>
      <c r="P686" s="37">
        <v>17.7</v>
      </c>
      <c r="Q686" s="36" t="s">
        <v>96</v>
      </c>
      <c r="R686" s="36" t="s">
        <v>96</v>
      </c>
      <c r="S686" s="36">
        <v>150.0</v>
      </c>
      <c r="T686" s="36" t="s">
        <v>1346</v>
      </c>
      <c r="U686" s="36" t="s">
        <v>1347</v>
      </c>
      <c r="V686" s="36">
        <v>8.0</v>
      </c>
      <c r="W686" s="36" t="s">
        <v>88</v>
      </c>
      <c r="X686" s="38">
        <v>1.0</v>
      </c>
      <c r="Y686" s="38" t="s">
        <v>523</v>
      </c>
      <c r="Z686" s="38" t="s">
        <v>524</v>
      </c>
      <c r="AA686" s="38" t="s">
        <v>86</v>
      </c>
      <c r="AB686" s="38">
        <v>41.1651</v>
      </c>
      <c r="AC686" s="38">
        <v>-96.4766</v>
      </c>
      <c r="AD686" s="58" t="s">
        <v>87</v>
      </c>
      <c r="AE686" s="38">
        <v>361.0</v>
      </c>
      <c r="AF686" s="38" t="s">
        <v>1348</v>
      </c>
      <c r="AG686" s="38" t="s">
        <v>108</v>
      </c>
      <c r="AH686" s="38"/>
      <c r="AI686" s="50">
        <v>41.1651</v>
      </c>
      <c r="AJ686" s="50">
        <v>-96.4766</v>
      </c>
      <c r="AK686" s="41" t="s">
        <v>86</v>
      </c>
      <c r="AL686" s="40" t="s">
        <v>86</v>
      </c>
      <c r="AM686" s="49">
        <v>356.0</v>
      </c>
      <c r="AN686" s="51">
        <v>356.0</v>
      </c>
      <c r="AO686" s="42" t="s">
        <v>107</v>
      </c>
      <c r="AP686" s="43" t="s">
        <v>108</v>
      </c>
      <c r="AQ686" s="44" t="str">
        <f t="shared" si="58"/>
        <v>CRO</v>
      </c>
      <c r="AR686" s="44">
        <f t="shared" si="3"/>
        <v>356</v>
      </c>
      <c r="AS686" s="44" t="str">
        <f t="shared" ref="AS686:AS688" si="59">LEFT(AO686,1)</f>
        <v>D</v>
      </c>
      <c r="AT686" s="44" t="str">
        <f t="shared" si="17"/>
        <v>Df</v>
      </c>
      <c r="AU686" s="44" t="str">
        <f t="shared" si="2"/>
        <v>Dfa</v>
      </c>
      <c r="AV686" s="38"/>
      <c r="AW686" s="38"/>
      <c r="AX686" s="38"/>
      <c r="AY686" s="38" t="s">
        <v>88</v>
      </c>
      <c r="AZ686" s="29">
        <v>30.0</v>
      </c>
      <c r="BA686" s="29"/>
      <c r="BB686" s="29">
        <v>1.0</v>
      </c>
      <c r="BC686" s="29"/>
      <c r="BD686" s="29" t="s">
        <v>88</v>
      </c>
      <c r="BE686" s="29"/>
      <c r="BF686" s="29" t="s">
        <v>984</v>
      </c>
      <c r="BG686" s="29" t="s">
        <v>572</v>
      </c>
      <c r="BH686" s="29"/>
      <c r="BI686" s="29"/>
      <c r="BJ686" s="29"/>
      <c r="BK686" s="29"/>
      <c r="BL686" s="29"/>
      <c r="BM686" s="45"/>
      <c r="BN686" s="45">
        <v>1.0</v>
      </c>
      <c r="BO686" s="46"/>
      <c r="BP686" s="2"/>
      <c r="BQ686" s="3"/>
    </row>
    <row r="687" ht="15.75" customHeight="1">
      <c r="A687" s="34">
        <v>690.0</v>
      </c>
      <c r="B687" s="34">
        <v>101879.0</v>
      </c>
      <c r="C687" s="34" t="s">
        <v>76</v>
      </c>
      <c r="D687" s="34" t="s">
        <v>1342</v>
      </c>
      <c r="E687" s="34" t="s">
        <v>1343</v>
      </c>
      <c r="F687" s="34">
        <v>2012.0</v>
      </c>
      <c r="G687" s="34" t="s">
        <v>1344</v>
      </c>
      <c r="H687" s="34" t="s">
        <v>165</v>
      </c>
      <c r="I687" s="34" t="s">
        <v>1345</v>
      </c>
      <c r="J687" s="35"/>
      <c r="K687" s="36">
        <v>0.6</v>
      </c>
      <c r="L687" s="36"/>
      <c r="M687" s="36"/>
      <c r="N687" s="36"/>
      <c r="O687" s="36"/>
      <c r="P687" s="37">
        <v>19.7</v>
      </c>
      <c r="Q687" s="36" t="s">
        <v>96</v>
      </c>
      <c r="R687" s="36" t="s">
        <v>96</v>
      </c>
      <c r="S687" s="36">
        <v>150.0</v>
      </c>
      <c r="T687" s="36" t="s">
        <v>1346</v>
      </c>
      <c r="U687" s="36" t="s">
        <v>1347</v>
      </c>
      <c r="V687" s="36">
        <v>8.0</v>
      </c>
      <c r="W687" s="36" t="s">
        <v>88</v>
      </c>
      <c r="X687" s="38">
        <v>1.0</v>
      </c>
      <c r="Y687" s="38" t="s">
        <v>526</v>
      </c>
      <c r="Z687" s="38" t="s">
        <v>527</v>
      </c>
      <c r="AA687" s="38" t="s">
        <v>86</v>
      </c>
      <c r="AB687" s="38">
        <v>41.1649</v>
      </c>
      <c r="AC687" s="38">
        <v>-96.4701</v>
      </c>
      <c r="AD687" s="39" t="s">
        <v>87</v>
      </c>
      <c r="AE687" s="38">
        <v>362.0</v>
      </c>
      <c r="AF687" s="38" t="s">
        <v>1348</v>
      </c>
      <c r="AG687" s="38" t="s">
        <v>108</v>
      </c>
      <c r="AH687" s="38"/>
      <c r="AI687" s="50">
        <v>41.1649</v>
      </c>
      <c r="AJ687" s="50">
        <v>-96.4701</v>
      </c>
      <c r="AK687" s="41" t="s">
        <v>86</v>
      </c>
      <c r="AL687" s="40" t="s">
        <v>86</v>
      </c>
      <c r="AM687" s="49">
        <v>355.0</v>
      </c>
      <c r="AN687" s="51">
        <v>355.0</v>
      </c>
      <c r="AO687" s="42" t="s">
        <v>107</v>
      </c>
      <c r="AP687" s="43" t="s">
        <v>108</v>
      </c>
      <c r="AQ687" s="44" t="str">
        <f t="shared" si="58"/>
        <v>CRO</v>
      </c>
      <c r="AR687" s="44">
        <f t="shared" si="3"/>
        <v>355</v>
      </c>
      <c r="AS687" s="44" t="str">
        <f t="shared" si="59"/>
        <v>D</v>
      </c>
      <c r="AT687" s="44" t="str">
        <f t="shared" si="17"/>
        <v>Df</v>
      </c>
      <c r="AU687" s="44" t="str">
        <f t="shared" si="2"/>
        <v>Dfa</v>
      </c>
      <c r="AV687" s="38"/>
      <c r="AW687" s="38"/>
      <c r="AX687" s="38"/>
      <c r="AY687" s="38" t="s">
        <v>88</v>
      </c>
      <c r="AZ687" s="29">
        <v>30.0</v>
      </c>
      <c r="BA687" s="29"/>
      <c r="BB687" s="29">
        <v>1.0</v>
      </c>
      <c r="BC687" s="29"/>
      <c r="BD687" s="29" t="s">
        <v>88</v>
      </c>
      <c r="BE687" s="29"/>
      <c r="BF687" s="29" t="s">
        <v>984</v>
      </c>
      <c r="BG687" s="29" t="s">
        <v>572</v>
      </c>
      <c r="BH687" s="29"/>
      <c r="BI687" s="29"/>
      <c r="BJ687" s="29"/>
      <c r="BK687" s="29"/>
      <c r="BL687" s="29"/>
      <c r="BM687" s="45"/>
      <c r="BN687" s="45">
        <v>1.0</v>
      </c>
      <c r="BO687" s="46"/>
      <c r="BP687" s="2"/>
      <c r="BQ687" s="3"/>
    </row>
    <row r="688" ht="15.75" customHeight="1">
      <c r="A688" s="34">
        <v>691.0</v>
      </c>
      <c r="B688" s="34">
        <v>101879.0</v>
      </c>
      <c r="C688" s="34" t="s">
        <v>76</v>
      </c>
      <c r="D688" s="34" t="s">
        <v>1342</v>
      </c>
      <c r="E688" s="34" t="s">
        <v>1343</v>
      </c>
      <c r="F688" s="34">
        <v>2012.0</v>
      </c>
      <c r="G688" s="34" t="s">
        <v>1344</v>
      </c>
      <c r="H688" s="34" t="s">
        <v>165</v>
      </c>
      <c r="I688" s="34" t="s">
        <v>1345</v>
      </c>
      <c r="J688" s="35"/>
      <c r="K688" s="36">
        <v>0.6</v>
      </c>
      <c r="L688" s="36"/>
      <c r="M688" s="36"/>
      <c r="N688" s="36"/>
      <c r="O688" s="36"/>
      <c r="P688" s="37">
        <v>30.2</v>
      </c>
      <c r="Q688" s="36" t="s">
        <v>96</v>
      </c>
      <c r="R688" s="36" t="s">
        <v>96</v>
      </c>
      <c r="S688" s="36">
        <v>150.0</v>
      </c>
      <c r="T688" s="36" t="s">
        <v>1346</v>
      </c>
      <c r="U688" s="36" t="s">
        <v>1347</v>
      </c>
      <c r="V688" s="36">
        <v>8.0</v>
      </c>
      <c r="W688" s="36" t="s">
        <v>88</v>
      </c>
      <c r="X688" s="38">
        <v>1.0</v>
      </c>
      <c r="Y688" s="38" t="s">
        <v>529</v>
      </c>
      <c r="Z688" s="38" t="s">
        <v>530</v>
      </c>
      <c r="AA688" s="38" t="s">
        <v>86</v>
      </c>
      <c r="AB688" s="38">
        <v>41.1797</v>
      </c>
      <c r="AC688" s="38">
        <v>-96.4397</v>
      </c>
      <c r="AD688" s="58" t="s">
        <v>87</v>
      </c>
      <c r="AE688" s="38">
        <v>363.0</v>
      </c>
      <c r="AF688" s="38" t="s">
        <v>1349</v>
      </c>
      <c r="AG688" s="38" t="s">
        <v>108</v>
      </c>
      <c r="AH688" s="38"/>
      <c r="AI688" s="50">
        <v>41.1797</v>
      </c>
      <c r="AJ688" s="50">
        <v>-96.4397</v>
      </c>
      <c r="AK688" s="41" t="s">
        <v>86</v>
      </c>
      <c r="AL688" s="40" t="s">
        <v>86</v>
      </c>
      <c r="AM688" s="49">
        <v>359.0</v>
      </c>
      <c r="AN688" s="51">
        <v>359.0</v>
      </c>
      <c r="AO688" s="42" t="s">
        <v>107</v>
      </c>
      <c r="AP688" s="43" t="s">
        <v>108</v>
      </c>
      <c r="AQ688" s="44" t="str">
        <f t="shared" si="58"/>
        <v>CRO</v>
      </c>
      <c r="AR688" s="44">
        <f t="shared" si="3"/>
        <v>359</v>
      </c>
      <c r="AS688" s="44" t="str">
        <f t="shared" si="59"/>
        <v>D</v>
      </c>
      <c r="AT688" s="44" t="str">
        <f t="shared" si="17"/>
        <v>Df</v>
      </c>
      <c r="AU688" s="44" t="str">
        <f t="shared" si="2"/>
        <v>Dfa</v>
      </c>
      <c r="AV688" s="38"/>
      <c r="AW688" s="38"/>
      <c r="AX688" s="38"/>
      <c r="AY688" s="38" t="s">
        <v>88</v>
      </c>
      <c r="AZ688" s="29">
        <v>30.0</v>
      </c>
      <c r="BA688" s="29"/>
      <c r="BB688" s="29">
        <v>1.0</v>
      </c>
      <c r="BC688" s="29"/>
      <c r="BD688" s="29" t="s">
        <v>88</v>
      </c>
      <c r="BE688" s="29"/>
      <c r="BF688" s="29" t="s">
        <v>984</v>
      </c>
      <c r="BG688" s="29" t="s">
        <v>572</v>
      </c>
      <c r="BH688" s="29"/>
      <c r="BI688" s="29"/>
      <c r="BJ688" s="29"/>
      <c r="BK688" s="29"/>
      <c r="BL688" s="29"/>
      <c r="BM688" s="45"/>
      <c r="BN688" s="45">
        <v>1.0</v>
      </c>
      <c r="BO688" s="46"/>
      <c r="BP688" s="2"/>
      <c r="BQ688" s="3"/>
    </row>
    <row r="689" ht="15.75" customHeight="1">
      <c r="A689" s="34">
        <v>692.0</v>
      </c>
      <c r="B689" s="34">
        <v>101879.0</v>
      </c>
      <c r="C689" s="34" t="s">
        <v>76</v>
      </c>
      <c r="D689" s="34" t="s">
        <v>1342</v>
      </c>
      <c r="E689" s="34" t="s">
        <v>1343</v>
      </c>
      <c r="F689" s="34">
        <v>2012.0</v>
      </c>
      <c r="G689" s="34" t="s">
        <v>1344</v>
      </c>
      <c r="H689" s="34" t="s">
        <v>165</v>
      </c>
      <c r="I689" s="34" t="s">
        <v>1345</v>
      </c>
      <c r="J689" s="35"/>
      <c r="K689" s="36">
        <v>0.6</v>
      </c>
      <c r="L689" s="36"/>
      <c r="M689" s="36"/>
      <c r="N689" s="36"/>
      <c r="O689" s="36"/>
      <c r="P689" s="37">
        <v>20.0</v>
      </c>
      <c r="Q689" s="36" t="s">
        <v>96</v>
      </c>
      <c r="R689" s="36" t="s">
        <v>96</v>
      </c>
      <c r="S689" s="36">
        <v>150.0</v>
      </c>
      <c r="T689" s="36" t="s">
        <v>1346</v>
      </c>
      <c r="U689" s="36" t="s">
        <v>1347</v>
      </c>
      <c r="V689" s="36">
        <v>8.0</v>
      </c>
      <c r="W689" s="36" t="s">
        <v>88</v>
      </c>
      <c r="X689" s="38">
        <v>3.0</v>
      </c>
      <c r="Y689" s="38" t="s">
        <v>1350</v>
      </c>
      <c r="Z689" s="38"/>
      <c r="AA689" s="38" t="s">
        <v>86</v>
      </c>
      <c r="AB689" s="38"/>
      <c r="AC689" s="38"/>
      <c r="AD689" s="39" t="s">
        <v>87</v>
      </c>
      <c r="AE689" s="38"/>
      <c r="AF689" s="38" t="s">
        <v>1048</v>
      </c>
      <c r="AG689" s="38"/>
      <c r="AH689" s="38"/>
      <c r="AI689" s="50"/>
      <c r="AJ689" s="50"/>
      <c r="AK689" s="41"/>
      <c r="AL689" s="40"/>
      <c r="AM689" s="49"/>
      <c r="AN689" s="43"/>
      <c r="AO689" s="42"/>
      <c r="AP689" s="43"/>
      <c r="AQ689" s="44" t="str">
        <f t="shared" si="58"/>
        <v>CRO</v>
      </c>
      <c r="AR689" s="44" t="str">
        <f t="shared" si="3"/>
        <v/>
      </c>
      <c r="AS689" s="44"/>
      <c r="AT689" s="44" t="str">
        <f t="shared" si="17"/>
        <v/>
      </c>
      <c r="AU689" s="44" t="str">
        <f t="shared" si="2"/>
        <v/>
      </c>
      <c r="AV689" s="38"/>
      <c r="AW689" s="38"/>
      <c r="AX689" s="38"/>
      <c r="AY689" s="38" t="s">
        <v>88</v>
      </c>
      <c r="AZ689" s="29">
        <v>30.0</v>
      </c>
      <c r="BA689" s="29"/>
      <c r="BB689" s="29">
        <v>1.0</v>
      </c>
      <c r="BC689" s="29"/>
      <c r="BD689" s="29" t="s">
        <v>88</v>
      </c>
      <c r="BE689" s="29"/>
      <c r="BF689" s="29" t="s">
        <v>984</v>
      </c>
      <c r="BG689" s="29" t="s">
        <v>572</v>
      </c>
      <c r="BH689" s="29"/>
      <c r="BI689" s="29"/>
      <c r="BJ689" s="29"/>
      <c r="BK689" s="29"/>
      <c r="BL689" s="29"/>
      <c r="BM689" s="45"/>
      <c r="BN689" s="45">
        <v>1.0</v>
      </c>
      <c r="BO689" s="46"/>
      <c r="BP689" s="2"/>
      <c r="BQ689" s="3"/>
    </row>
    <row r="690" ht="15.75" customHeight="1">
      <c r="A690" s="34">
        <v>693.0</v>
      </c>
      <c r="B690" s="34">
        <v>101828.0</v>
      </c>
      <c r="C690" s="34" t="s">
        <v>76</v>
      </c>
      <c r="D690" s="34" t="s">
        <v>1351</v>
      </c>
      <c r="E690" s="34" t="s">
        <v>1352</v>
      </c>
      <c r="F690" s="34">
        <v>2012.0</v>
      </c>
      <c r="G690" s="34" t="s">
        <v>1353</v>
      </c>
      <c r="H690" s="34" t="s">
        <v>165</v>
      </c>
      <c r="I690" s="34" t="s">
        <v>1354</v>
      </c>
      <c r="J690" s="35"/>
      <c r="K690" s="36">
        <v>0.5</v>
      </c>
      <c r="L690" s="36"/>
      <c r="M690" s="36"/>
      <c r="N690" s="36"/>
      <c r="O690" s="36"/>
      <c r="P690" s="37">
        <v>9.0</v>
      </c>
      <c r="Q690" s="36" t="s">
        <v>96</v>
      </c>
      <c r="R690" s="36" t="s">
        <v>96</v>
      </c>
      <c r="S690" s="36">
        <v>180.0</v>
      </c>
      <c r="T690" s="36" t="s">
        <v>1355</v>
      </c>
      <c r="U690" s="36" t="s">
        <v>1356</v>
      </c>
      <c r="V690" s="36">
        <v>13.0</v>
      </c>
      <c r="W690" s="36" t="s">
        <v>88</v>
      </c>
      <c r="X690" s="38">
        <v>1.0</v>
      </c>
      <c r="Y690" s="38" t="s">
        <v>1357</v>
      </c>
      <c r="Z690" s="38" t="s">
        <v>1358</v>
      </c>
      <c r="AA690" s="38" t="s">
        <v>86</v>
      </c>
      <c r="AB690" s="38" t="s">
        <v>1359</v>
      </c>
      <c r="AC690" s="38" t="s">
        <v>1360</v>
      </c>
      <c r="AD690" s="38" t="s">
        <v>1361</v>
      </c>
      <c r="AE690" s="38">
        <v>125.0</v>
      </c>
      <c r="AF690" s="38" t="s">
        <v>174</v>
      </c>
      <c r="AG690" s="38"/>
      <c r="AH690" s="38"/>
      <c r="AI690" s="50">
        <v>-35.25</v>
      </c>
      <c r="AJ690" s="50">
        <v>-71.32</v>
      </c>
      <c r="AK690" s="41" t="s">
        <v>313</v>
      </c>
      <c r="AL690" s="40" t="s">
        <v>313</v>
      </c>
      <c r="AM690" s="49">
        <v>257.0</v>
      </c>
      <c r="AN690" s="51">
        <v>257.0</v>
      </c>
      <c r="AO690" s="42" t="s">
        <v>445</v>
      </c>
      <c r="AP690" s="43" t="s">
        <v>445</v>
      </c>
      <c r="AQ690" s="44" t="str">
        <f t="shared" si="58"/>
        <v>CRO</v>
      </c>
      <c r="AR690" s="44">
        <f t="shared" si="3"/>
        <v>257</v>
      </c>
      <c r="AS690" s="44" t="str">
        <f>LEFT(AO690,1)</f>
        <v>C</v>
      </c>
      <c r="AT690" s="44" t="str">
        <f t="shared" si="17"/>
        <v>Cs</v>
      </c>
      <c r="AU690" s="44" t="str">
        <f t="shared" si="2"/>
        <v>Csb</v>
      </c>
      <c r="AV690" s="38"/>
      <c r="AW690" s="38"/>
      <c r="AX690" s="38" t="s">
        <v>1362</v>
      </c>
      <c r="AY690" s="38" t="s">
        <v>1363</v>
      </c>
      <c r="AZ690" s="29">
        <v>30.0</v>
      </c>
      <c r="BA690" s="29"/>
      <c r="BB690" s="29">
        <v>1.0</v>
      </c>
      <c r="BC690" s="29" t="s">
        <v>984</v>
      </c>
      <c r="BD690" s="29" t="s">
        <v>88</v>
      </c>
      <c r="BE690" s="29"/>
      <c r="BF690" s="29" t="s">
        <v>1364</v>
      </c>
      <c r="BG690" s="29" t="s">
        <v>572</v>
      </c>
      <c r="BH690" s="29"/>
      <c r="BI690" s="29"/>
      <c r="BJ690" s="29"/>
      <c r="BK690" s="29"/>
      <c r="BL690" s="29"/>
      <c r="BM690" s="45"/>
      <c r="BN690" s="45">
        <v>1.0</v>
      </c>
      <c r="BO690" s="46" t="s">
        <v>1365</v>
      </c>
      <c r="BP690" s="2"/>
      <c r="BQ690" s="3"/>
    </row>
    <row r="691" ht="15.75" customHeight="1">
      <c r="A691" s="34">
        <v>694.0</v>
      </c>
      <c r="B691" s="34">
        <v>101641.0</v>
      </c>
      <c r="C691" s="34" t="s">
        <v>76</v>
      </c>
      <c r="D691" s="34" t="s">
        <v>1366</v>
      </c>
      <c r="E691" s="34" t="s">
        <v>1367</v>
      </c>
      <c r="F691" s="34">
        <v>2013.0</v>
      </c>
      <c r="G691" s="34" t="s">
        <v>1368</v>
      </c>
      <c r="H691" s="34" t="s">
        <v>1369</v>
      </c>
      <c r="I691" s="34" t="s">
        <v>1370</v>
      </c>
      <c r="J691" s="35"/>
      <c r="K691" s="36"/>
      <c r="L691" s="36">
        <v>1.34</v>
      </c>
      <c r="M691" s="36"/>
      <c r="N691" s="36"/>
      <c r="O691" s="36"/>
      <c r="P691" s="37">
        <v>12.69</v>
      </c>
      <c r="Q691" s="36" t="s">
        <v>96</v>
      </c>
      <c r="R691" s="36" t="s">
        <v>209</v>
      </c>
      <c r="S691" s="36">
        <v>1500.0</v>
      </c>
      <c r="T691" s="36" t="s">
        <v>506</v>
      </c>
      <c r="U691" s="36" t="s">
        <v>676</v>
      </c>
      <c r="V691" s="36"/>
      <c r="W691" s="36"/>
      <c r="X691" s="38">
        <v>6.0</v>
      </c>
      <c r="Y691" s="38"/>
      <c r="Z691" s="38"/>
      <c r="AA691" s="38" t="s">
        <v>288</v>
      </c>
      <c r="AB691" s="38"/>
      <c r="AC691" s="38"/>
      <c r="AD691" s="38" t="s">
        <v>198</v>
      </c>
      <c r="AE691" s="38"/>
      <c r="AF691" s="38"/>
      <c r="AG691" s="38"/>
      <c r="AH691" s="38"/>
      <c r="AI691" s="50"/>
      <c r="AJ691" s="50"/>
      <c r="AK691" s="41"/>
      <c r="AL691" s="40"/>
      <c r="AM691" s="49"/>
      <c r="AN691" s="43"/>
      <c r="AO691" s="42"/>
      <c r="AP691" s="43"/>
      <c r="AQ691" s="44" t="str">
        <f t="shared" si="58"/>
        <v>GRA</v>
      </c>
      <c r="AR691" s="44" t="str">
        <f t="shared" si="3"/>
        <v/>
      </c>
      <c r="AS691" s="44"/>
      <c r="AT691" s="44" t="str">
        <f t="shared" si="17"/>
        <v/>
      </c>
      <c r="AU691" s="44" t="str">
        <f t="shared" si="2"/>
        <v/>
      </c>
      <c r="AV691" s="38">
        <v>1.0</v>
      </c>
      <c r="AW691" s="38"/>
      <c r="AX691" s="38"/>
      <c r="AY691" s="38"/>
      <c r="AZ691" s="29">
        <v>500.0</v>
      </c>
      <c r="BA691" s="29"/>
      <c r="BB691" s="29">
        <v>1.0</v>
      </c>
      <c r="BC691" s="29" t="s">
        <v>1371</v>
      </c>
      <c r="BD691" s="29" t="s">
        <v>88</v>
      </c>
      <c r="BE691" s="29"/>
      <c r="BF691" s="29" t="s">
        <v>1372</v>
      </c>
      <c r="BG691" s="29" t="s">
        <v>669</v>
      </c>
      <c r="BH691" s="29"/>
      <c r="BI691" s="29" t="s">
        <v>1373</v>
      </c>
      <c r="BJ691" s="29" t="s">
        <v>1036</v>
      </c>
      <c r="BK691" s="29" t="s">
        <v>148</v>
      </c>
      <c r="BL691" s="29" t="s">
        <v>1374</v>
      </c>
      <c r="BM691" s="45"/>
      <c r="BN691" s="45">
        <v>1.0</v>
      </c>
      <c r="BO691" s="46" t="s">
        <v>1375</v>
      </c>
      <c r="BP691" s="2"/>
      <c r="BQ691" s="3"/>
    </row>
    <row r="692" ht="15.75" customHeight="1">
      <c r="A692" s="34">
        <v>695.0</v>
      </c>
      <c r="B692" s="34">
        <v>101641.0</v>
      </c>
      <c r="C692" s="34" t="s">
        <v>76</v>
      </c>
      <c r="D692" s="34" t="s">
        <v>1366</v>
      </c>
      <c r="E692" s="34" t="s">
        <v>1367</v>
      </c>
      <c r="F692" s="34">
        <v>2013.0</v>
      </c>
      <c r="G692" s="34" t="s">
        <v>1368</v>
      </c>
      <c r="H692" s="34" t="s">
        <v>1369</v>
      </c>
      <c r="I692" s="34" t="s">
        <v>1370</v>
      </c>
      <c r="J692" s="35"/>
      <c r="K692" s="36"/>
      <c r="L692" s="36">
        <v>2.27</v>
      </c>
      <c r="M692" s="36"/>
      <c r="N692" s="36"/>
      <c r="O692" s="36"/>
      <c r="P692" s="37">
        <v>14.1</v>
      </c>
      <c r="Q692" s="36" t="s">
        <v>96</v>
      </c>
      <c r="R692" s="36" t="s">
        <v>209</v>
      </c>
      <c r="S692" s="36">
        <v>1500.0</v>
      </c>
      <c r="T692" s="36" t="s">
        <v>506</v>
      </c>
      <c r="U692" s="36" t="s">
        <v>676</v>
      </c>
      <c r="V692" s="36"/>
      <c r="W692" s="36"/>
      <c r="X692" s="38">
        <v>3.0</v>
      </c>
      <c r="Y692" s="38"/>
      <c r="Z692" s="38"/>
      <c r="AA692" s="38" t="s">
        <v>199</v>
      </c>
      <c r="AB692" s="38"/>
      <c r="AC692" s="38"/>
      <c r="AD692" s="38" t="s">
        <v>198</v>
      </c>
      <c r="AE692" s="38"/>
      <c r="AF692" s="38"/>
      <c r="AG692" s="38"/>
      <c r="AH692" s="38"/>
      <c r="AI692" s="50"/>
      <c r="AJ692" s="50"/>
      <c r="AK692" s="41"/>
      <c r="AL692" s="40"/>
      <c r="AM692" s="49"/>
      <c r="AN692" s="43"/>
      <c r="AO692" s="42"/>
      <c r="AP692" s="43"/>
      <c r="AQ692" s="44" t="s">
        <v>452</v>
      </c>
      <c r="AR692" s="44" t="str">
        <f t="shared" si="3"/>
        <v/>
      </c>
      <c r="AS692" s="44"/>
      <c r="AT692" s="44" t="str">
        <f t="shared" si="17"/>
        <v/>
      </c>
      <c r="AU692" s="44" t="str">
        <f t="shared" si="2"/>
        <v/>
      </c>
      <c r="AV692" s="38">
        <v>1.0</v>
      </c>
      <c r="AW692" s="38"/>
      <c r="AX692" s="38"/>
      <c r="AY692" s="38"/>
      <c r="AZ692" s="29">
        <v>500.0</v>
      </c>
      <c r="BA692" s="29"/>
      <c r="BB692" s="29">
        <v>1.0</v>
      </c>
      <c r="BC692" s="29" t="s">
        <v>1371</v>
      </c>
      <c r="BD692" s="29" t="s">
        <v>88</v>
      </c>
      <c r="BE692" s="29"/>
      <c r="BF692" s="29" t="s">
        <v>1376</v>
      </c>
      <c r="BG692" s="29" t="s">
        <v>669</v>
      </c>
      <c r="BH692" s="29"/>
      <c r="BI692" s="29" t="s">
        <v>1373</v>
      </c>
      <c r="BJ692" s="29" t="s">
        <v>1036</v>
      </c>
      <c r="BK692" s="29" t="s">
        <v>148</v>
      </c>
      <c r="BL692" s="29" t="s">
        <v>1374</v>
      </c>
      <c r="BM692" s="45"/>
      <c r="BN692" s="45">
        <v>1.0</v>
      </c>
      <c r="BO692" s="46" t="s">
        <v>1375</v>
      </c>
      <c r="BP692" s="2"/>
      <c r="BQ692" s="3"/>
    </row>
    <row r="693" ht="15.75" customHeight="1">
      <c r="A693" s="34">
        <v>696.0</v>
      </c>
      <c r="B693" s="34">
        <v>101641.0</v>
      </c>
      <c r="C693" s="34" t="s">
        <v>76</v>
      </c>
      <c r="D693" s="34" t="s">
        <v>1366</v>
      </c>
      <c r="E693" s="34" t="s">
        <v>1367</v>
      </c>
      <c r="F693" s="34">
        <v>2013.0</v>
      </c>
      <c r="G693" s="34" t="s">
        <v>1368</v>
      </c>
      <c r="H693" s="34" t="s">
        <v>1369</v>
      </c>
      <c r="I693" s="34" t="s">
        <v>1370</v>
      </c>
      <c r="J693" s="35"/>
      <c r="K693" s="36"/>
      <c r="L693" s="36">
        <v>2.6</v>
      </c>
      <c r="M693" s="36"/>
      <c r="N693" s="36"/>
      <c r="O693" s="36"/>
      <c r="P693" s="37">
        <v>4.63</v>
      </c>
      <c r="Q693" s="36" t="s">
        <v>96</v>
      </c>
      <c r="R693" s="36" t="s">
        <v>209</v>
      </c>
      <c r="S693" s="36">
        <v>1500.0</v>
      </c>
      <c r="T693" s="36" t="s">
        <v>506</v>
      </c>
      <c r="U693" s="36" t="s">
        <v>676</v>
      </c>
      <c r="V693" s="36"/>
      <c r="W693" s="36"/>
      <c r="X693" s="38">
        <v>5.0</v>
      </c>
      <c r="Y693" s="38"/>
      <c r="Z693" s="38"/>
      <c r="AA693" s="38" t="s">
        <v>86</v>
      </c>
      <c r="AB693" s="38"/>
      <c r="AC693" s="38"/>
      <c r="AD693" s="38" t="s">
        <v>198</v>
      </c>
      <c r="AE693" s="38"/>
      <c r="AF693" s="38" t="s">
        <v>1377</v>
      </c>
      <c r="AG693" s="38"/>
      <c r="AH693" s="38"/>
      <c r="AI693" s="50"/>
      <c r="AJ693" s="50"/>
      <c r="AK693" s="41"/>
      <c r="AL693" s="40"/>
      <c r="AM693" s="49"/>
      <c r="AN693" s="43"/>
      <c r="AO693" s="42"/>
      <c r="AP693" s="43"/>
      <c r="AQ693" s="44" t="str">
        <f>AA693</f>
        <v>CRO</v>
      </c>
      <c r="AR693" s="44" t="str">
        <f t="shared" si="3"/>
        <v/>
      </c>
      <c r="AS693" s="44"/>
      <c r="AT693" s="44" t="str">
        <f t="shared" si="17"/>
        <v/>
      </c>
      <c r="AU693" s="44" t="str">
        <f t="shared" si="2"/>
        <v/>
      </c>
      <c r="AV693" s="38">
        <v>1.0</v>
      </c>
      <c r="AW693" s="38"/>
      <c r="AX693" s="38"/>
      <c r="AY693" s="38"/>
      <c r="AZ693" s="29">
        <v>500.0</v>
      </c>
      <c r="BA693" s="29"/>
      <c r="BB693" s="29">
        <v>1.0</v>
      </c>
      <c r="BC693" s="29" t="s">
        <v>1371</v>
      </c>
      <c r="BD693" s="29" t="s">
        <v>88</v>
      </c>
      <c r="BE693" s="29"/>
      <c r="BF693" s="29" t="s">
        <v>1378</v>
      </c>
      <c r="BG693" s="29" t="s">
        <v>669</v>
      </c>
      <c r="BH693" s="29"/>
      <c r="BI693" s="29" t="s">
        <v>1373</v>
      </c>
      <c r="BJ693" s="29" t="s">
        <v>1036</v>
      </c>
      <c r="BK693" s="29" t="s">
        <v>148</v>
      </c>
      <c r="BL693" s="29" t="s">
        <v>1374</v>
      </c>
      <c r="BM693" s="45"/>
      <c r="BN693" s="45">
        <v>1.0</v>
      </c>
      <c r="BO693" s="46" t="s">
        <v>1375</v>
      </c>
      <c r="BP693" s="2"/>
      <c r="BQ693" s="3"/>
    </row>
    <row r="694" ht="15.75" customHeight="1">
      <c r="A694" s="34">
        <v>697.0</v>
      </c>
      <c r="B694" s="34">
        <v>101641.0</v>
      </c>
      <c r="C694" s="34" t="s">
        <v>76</v>
      </c>
      <c r="D694" s="34" t="s">
        <v>1366</v>
      </c>
      <c r="E694" s="34" t="s">
        <v>1367</v>
      </c>
      <c r="F694" s="34">
        <v>2013.0</v>
      </c>
      <c r="G694" s="34" t="s">
        <v>1368</v>
      </c>
      <c r="H694" s="34" t="s">
        <v>1369</v>
      </c>
      <c r="I694" s="34" t="s">
        <v>1370</v>
      </c>
      <c r="J694" s="35"/>
      <c r="K694" s="36"/>
      <c r="L694" s="36">
        <v>2.08</v>
      </c>
      <c r="M694" s="36"/>
      <c r="N694" s="36"/>
      <c r="O694" s="36"/>
      <c r="P694" s="37">
        <v>6.73</v>
      </c>
      <c r="Q694" s="36" t="s">
        <v>96</v>
      </c>
      <c r="R694" s="36" t="s">
        <v>209</v>
      </c>
      <c r="S694" s="36">
        <v>1500.0</v>
      </c>
      <c r="T694" s="36" t="s">
        <v>506</v>
      </c>
      <c r="U694" s="36" t="s">
        <v>676</v>
      </c>
      <c r="V694" s="36"/>
      <c r="W694" s="36"/>
      <c r="X694" s="38">
        <v>14.0</v>
      </c>
      <c r="Y694" s="38"/>
      <c r="Z694" s="38"/>
      <c r="AA694" s="38" t="s">
        <v>1379</v>
      </c>
      <c r="AB694" s="38"/>
      <c r="AC694" s="38"/>
      <c r="AD694" s="38" t="s">
        <v>198</v>
      </c>
      <c r="AE694" s="38"/>
      <c r="AF694" s="38"/>
      <c r="AG694" s="38"/>
      <c r="AH694" s="38"/>
      <c r="AI694" s="50"/>
      <c r="AJ694" s="50"/>
      <c r="AK694" s="41"/>
      <c r="AL694" s="40"/>
      <c r="AM694" s="49"/>
      <c r="AN694" s="43"/>
      <c r="AO694" s="42"/>
      <c r="AP694" s="43"/>
      <c r="AQ694" s="44"/>
      <c r="AR694" s="44" t="str">
        <f t="shared" si="3"/>
        <v/>
      </c>
      <c r="AS694" s="44"/>
      <c r="AT694" s="44" t="str">
        <f t="shared" si="17"/>
        <v/>
      </c>
      <c r="AU694" s="44" t="str">
        <f t="shared" si="2"/>
        <v/>
      </c>
      <c r="AV694" s="38">
        <v>1.0</v>
      </c>
      <c r="AW694" s="38"/>
      <c r="AX694" s="38"/>
      <c r="AY694" s="38"/>
      <c r="AZ694" s="29">
        <v>500.0</v>
      </c>
      <c r="BA694" s="29"/>
      <c r="BB694" s="29">
        <v>1.0</v>
      </c>
      <c r="BC694" s="29" t="s">
        <v>1371</v>
      </c>
      <c r="BD694" s="29" t="s">
        <v>88</v>
      </c>
      <c r="BE694" s="29"/>
      <c r="BF694" s="29" t="s">
        <v>1380</v>
      </c>
      <c r="BG694" s="29" t="s">
        <v>669</v>
      </c>
      <c r="BH694" s="29"/>
      <c r="BI694" s="29" t="s">
        <v>1373</v>
      </c>
      <c r="BJ694" s="29" t="s">
        <v>1036</v>
      </c>
      <c r="BK694" s="29" t="s">
        <v>148</v>
      </c>
      <c r="BL694" s="29" t="s">
        <v>1374</v>
      </c>
      <c r="BM694" s="45"/>
      <c r="BN694" s="45">
        <v>1.0</v>
      </c>
      <c r="BO694" s="46" t="s">
        <v>1375</v>
      </c>
      <c r="BP694" s="2"/>
      <c r="BQ694" s="3"/>
    </row>
    <row r="695" ht="15.75" customHeight="1">
      <c r="A695" s="34">
        <v>699.0</v>
      </c>
      <c r="B695" s="34">
        <v>101756.0</v>
      </c>
      <c r="C695" s="34" t="s">
        <v>76</v>
      </c>
      <c r="D695" s="34" t="s">
        <v>1381</v>
      </c>
      <c r="E695" s="34" t="s">
        <v>1382</v>
      </c>
      <c r="F695" s="34">
        <v>2013.0</v>
      </c>
      <c r="G695" s="34" t="s">
        <v>1383</v>
      </c>
      <c r="H695" s="34" t="s">
        <v>207</v>
      </c>
      <c r="I695" s="34" t="s">
        <v>1384</v>
      </c>
      <c r="J695" s="35"/>
      <c r="K695" s="36"/>
      <c r="L695" s="36"/>
      <c r="M695" s="36"/>
      <c r="N695" s="36"/>
      <c r="O695" s="36"/>
      <c r="P695" s="37">
        <v>10.52</v>
      </c>
      <c r="Q695" s="36"/>
      <c r="R695" s="36" t="s">
        <v>82</v>
      </c>
      <c r="S695" s="36">
        <v>3000.0</v>
      </c>
      <c r="T695" s="36" t="s">
        <v>1385</v>
      </c>
      <c r="U695" s="36" t="s">
        <v>1386</v>
      </c>
      <c r="V695" s="36">
        <v>12.0</v>
      </c>
      <c r="W695" s="36" t="s">
        <v>88</v>
      </c>
      <c r="X695" s="38">
        <v>1.0</v>
      </c>
      <c r="Y695" s="38" t="s">
        <v>1387</v>
      </c>
      <c r="Z695" s="38" t="s">
        <v>1388</v>
      </c>
      <c r="AA695" s="38" t="s">
        <v>214</v>
      </c>
      <c r="AB695" s="38" t="s">
        <v>1389</v>
      </c>
      <c r="AC695" s="38" t="s">
        <v>1390</v>
      </c>
      <c r="AD695" s="38" t="s">
        <v>198</v>
      </c>
      <c r="AE695" s="38"/>
      <c r="AF695" s="38"/>
      <c r="AG695" s="38"/>
      <c r="AH695" s="38"/>
      <c r="AI695" s="50">
        <v>47.35</v>
      </c>
      <c r="AJ695" s="50">
        <v>133.31</v>
      </c>
      <c r="AK695" s="41" t="s">
        <v>86</v>
      </c>
      <c r="AL695" s="40" t="s">
        <v>86</v>
      </c>
      <c r="AM695" s="49">
        <v>53.0</v>
      </c>
      <c r="AN695" s="51">
        <v>53.0</v>
      </c>
      <c r="AO695" s="42" t="s">
        <v>218</v>
      </c>
      <c r="AP695" s="43" t="s">
        <v>218</v>
      </c>
      <c r="AQ695" s="44" t="str">
        <f t="shared" ref="AQ695:AQ844" si="60">AA695</f>
        <v>WET</v>
      </c>
      <c r="AR695" s="44">
        <f t="shared" si="3"/>
        <v>53</v>
      </c>
      <c r="AS695" s="44" t="str">
        <f t="shared" ref="AS695:AS705" si="61">LEFT(AO695,1)</f>
        <v>D</v>
      </c>
      <c r="AT695" s="44" t="str">
        <f t="shared" si="17"/>
        <v>Dw</v>
      </c>
      <c r="AU695" s="44" t="str">
        <f t="shared" si="2"/>
        <v>Dwa</v>
      </c>
      <c r="AV695" s="38">
        <v>1.0</v>
      </c>
      <c r="AW695" s="38"/>
      <c r="AX695" s="38"/>
      <c r="AY695" s="38"/>
      <c r="AZ695" s="29">
        <v>1000.0</v>
      </c>
      <c r="BA695" s="29"/>
      <c r="BB695" s="29">
        <v>1.0</v>
      </c>
      <c r="BC695" s="29"/>
      <c r="BD695" s="29" t="s">
        <v>88</v>
      </c>
      <c r="BE695" s="29"/>
      <c r="BF695" s="29" t="s">
        <v>571</v>
      </c>
      <c r="BG695" s="29" t="s">
        <v>572</v>
      </c>
      <c r="BH695" s="29" t="s">
        <v>88</v>
      </c>
      <c r="BI695" s="29" t="s">
        <v>1391</v>
      </c>
      <c r="BJ695" s="29" t="s">
        <v>1392</v>
      </c>
      <c r="BK695" s="29" t="s">
        <v>148</v>
      </c>
      <c r="BL695" s="29" t="s">
        <v>148</v>
      </c>
      <c r="BM695" s="45"/>
      <c r="BN695" s="45">
        <v>1.0</v>
      </c>
      <c r="BO695" s="46" t="s">
        <v>571</v>
      </c>
      <c r="BP695" s="2"/>
      <c r="BQ695" s="3"/>
    </row>
    <row r="696" ht="15.75" customHeight="1">
      <c r="A696" s="34">
        <v>700.0</v>
      </c>
      <c r="B696" s="34">
        <v>101756.0</v>
      </c>
      <c r="C696" s="34" t="s">
        <v>76</v>
      </c>
      <c r="D696" s="34" t="s">
        <v>1381</v>
      </c>
      <c r="E696" s="34" t="s">
        <v>1382</v>
      </c>
      <c r="F696" s="34">
        <v>2013.0</v>
      </c>
      <c r="G696" s="34" t="s">
        <v>1383</v>
      </c>
      <c r="H696" s="34" t="s">
        <v>207</v>
      </c>
      <c r="I696" s="34" t="s">
        <v>1384</v>
      </c>
      <c r="J696" s="35"/>
      <c r="K696" s="36"/>
      <c r="L696" s="36"/>
      <c r="M696" s="36"/>
      <c r="N696" s="36"/>
      <c r="O696" s="36"/>
      <c r="P696" s="37">
        <v>8.86</v>
      </c>
      <c r="Q696" s="36"/>
      <c r="R696" s="36" t="s">
        <v>1393</v>
      </c>
      <c r="S696" s="36">
        <v>3000.0</v>
      </c>
      <c r="T696" s="36" t="s">
        <v>1385</v>
      </c>
      <c r="U696" s="36" t="s">
        <v>1386</v>
      </c>
      <c r="V696" s="36">
        <v>12.0</v>
      </c>
      <c r="W696" s="36" t="s">
        <v>88</v>
      </c>
      <c r="X696" s="38">
        <v>1.0</v>
      </c>
      <c r="Y696" s="38" t="s">
        <v>1387</v>
      </c>
      <c r="Z696" s="38" t="s">
        <v>1388</v>
      </c>
      <c r="AA696" s="38" t="s">
        <v>214</v>
      </c>
      <c r="AB696" s="38" t="s">
        <v>1389</v>
      </c>
      <c r="AC696" s="38" t="s">
        <v>1390</v>
      </c>
      <c r="AD696" s="38" t="s">
        <v>198</v>
      </c>
      <c r="AE696" s="38"/>
      <c r="AF696" s="38"/>
      <c r="AG696" s="38"/>
      <c r="AH696" s="38"/>
      <c r="AI696" s="50">
        <v>47.35</v>
      </c>
      <c r="AJ696" s="50">
        <v>133.31</v>
      </c>
      <c r="AK696" s="41" t="s">
        <v>86</v>
      </c>
      <c r="AL696" s="40" t="s">
        <v>86</v>
      </c>
      <c r="AM696" s="49">
        <v>53.0</v>
      </c>
      <c r="AN696" s="51">
        <v>53.0</v>
      </c>
      <c r="AO696" s="42" t="s">
        <v>218</v>
      </c>
      <c r="AP696" s="43" t="s">
        <v>218</v>
      </c>
      <c r="AQ696" s="44" t="str">
        <f t="shared" si="60"/>
        <v>WET</v>
      </c>
      <c r="AR696" s="44">
        <f t="shared" si="3"/>
        <v>53</v>
      </c>
      <c r="AS696" s="44" t="str">
        <f t="shared" si="61"/>
        <v>D</v>
      </c>
      <c r="AT696" s="44" t="str">
        <f t="shared" si="17"/>
        <v>Dw</v>
      </c>
      <c r="AU696" s="44" t="str">
        <f t="shared" si="2"/>
        <v>Dwa</v>
      </c>
      <c r="AV696" s="38">
        <v>1.0</v>
      </c>
      <c r="AW696" s="38"/>
      <c r="AX696" s="38"/>
      <c r="AY696" s="38"/>
      <c r="AZ696" s="29">
        <v>1000.0</v>
      </c>
      <c r="BA696" s="29"/>
      <c r="BB696" s="29">
        <v>1.0</v>
      </c>
      <c r="BC696" s="29"/>
      <c r="BD696" s="29" t="s">
        <v>88</v>
      </c>
      <c r="BE696" s="29"/>
      <c r="BF696" s="29" t="s">
        <v>571</v>
      </c>
      <c r="BG696" s="29" t="s">
        <v>572</v>
      </c>
      <c r="BH696" s="29" t="s">
        <v>88</v>
      </c>
      <c r="BI696" s="29" t="s">
        <v>1391</v>
      </c>
      <c r="BJ696" s="29" t="s">
        <v>1392</v>
      </c>
      <c r="BK696" s="29" t="s">
        <v>148</v>
      </c>
      <c r="BL696" s="29" t="s">
        <v>148</v>
      </c>
      <c r="BM696" s="45"/>
      <c r="BN696" s="45"/>
      <c r="BO696" s="46"/>
      <c r="BP696" s="2"/>
      <c r="BQ696" s="3"/>
    </row>
    <row r="697" ht="15.75" customHeight="1">
      <c r="A697" s="34">
        <v>701.0</v>
      </c>
      <c r="B697" s="34">
        <v>102620.0</v>
      </c>
      <c r="C697" s="34" t="s">
        <v>76</v>
      </c>
      <c r="D697" s="34" t="s">
        <v>1394</v>
      </c>
      <c r="E697" s="34" t="s">
        <v>1395</v>
      </c>
      <c r="F697" s="34">
        <v>2020.0</v>
      </c>
      <c r="G697" s="34" t="s">
        <v>1396</v>
      </c>
      <c r="H697" s="34" t="s">
        <v>1397</v>
      </c>
      <c r="I697" s="82" t="s">
        <v>1398</v>
      </c>
      <c r="J697" s="35"/>
      <c r="K697" s="36"/>
      <c r="L697" s="36">
        <v>6.0</v>
      </c>
      <c r="M697" s="36"/>
      <c r="N697" s="36"/>
      <c r="O697" s="36"/>
      <c r="P697" s="37">
        <v>0.0</v>
      </c>
      <c r="Q697" s="36" t="s">
        <v>96</v>
      </c>
      <c r="R697" s="36" t="s">
        <v>96</v>
      </c>
      <c r="S697" s="36">
        <v>30.0</v>
      </c>
      <c r="T697" s="36" t="s">
        <v>1399</v>
      </c>
      <c r="U697" s="36" t="s">
        <v>1399</v>
      </c>
      <c r="V697" s="36">
        <v>1.0</v>
      </c>
      <c r="W697" s="36"/>
      <c r="X697" s="38">
        <v>1.0</v>
      </c>
      <c r="Y697" s="38" t="s">
        <v>1400</v>
      </c>
      <c r="Z697" s="38" t="s">
        <v>1401</v>
      </c>
      <c r="AA697" s="38" t="s">
        <v>86</v>
      </c>
      <c r="AB697" s="38" t="s">
        <v>1402</v>
      </c>
      <c r="AC697" s="38" t="s">
        <v>1403</v>
      </c>
      <c r="AD697" s="38" t="s">
        <v>877</v>
      </c>
      <c r="AE697" s="38"/>
      <c r="AF697" s="38" t="s">
        <v>1404</v>
      </c>
      <c r="AG697" s="38"/>
      <c r="AH697" s="38"/>
      <c r="AI697" s="50">
        <v>24.104</v>
      </c>
      <c r="AJ697" s="50">
        <v>48.0256</v>
      </c>
      <c r="AK697" s="41" t="s">
        <v>664</v>
      </c>
      <c r="AL697" s="40" t="s">
        <v>664</v>
      </c>
      <c r="AM697" s="49">
        <v>454.0</v>
      </c>
      <c r="AN697" s="51">
        <v>454.0</v>
      </c>
      <c r="AO697" s="42" t="s">
        <v>355</v>
      </c>
      <c r="AP697" s="43" t="s">
        <v>355</v>
      </c>
      <c r="AQ697" s="44" t="str">
        <f t="shared" si="60"/>
        <v>CRO</v>
      </c>
      <c r="AR697" s="44">
        <f t="shared" si="3"/>
        <v>454</v>
      </c>
      <c r="AS697" s="44" t="str">
        <f t="shared" si="61"/>
        <v>B</v>
      </c>
      <c r="AT697" s="44" t="str">
        <f t="shared" si="17"/>
        <v>BW</v>
      </c>
      <c r="AU697" s="44" t="str">
        <f t="shared" si="2"/>
        <v>BWh</v>
      </c>
      <c r="AV697" s="38"/>
      <c r="AW697" s="38"/>
      <c r="AX697" s="38"/>
      <c r="AY697" s="38"/>
      <c r="AZ697" s="29">
        <v>30.0</v>
      </c>
      <c r="BA697" s="29"/>
      <c r="BB697" s="29">
        <v>1.0</v>
      </c>
      <c r="BC697" s="29" t="s">
        <v>984</v>
      </c>
      <c r="BD697" s="29" t="s">
        <v>88</v>
      </c>
      <c r="BE697" s="29"/>
      <c r="BF697" s="29" t="s">
        <v>1364</v>
      </c>
      <c r="BG697" s="29" t="s">
        <v>572</v>
      </c>
      <c r="BH697" s="29" t="s">
        <v>88</v>
      </c>
      <c r="BI697" s="29" t="s">
        <v>1405</v>
      </c>
      <c r="BJ697" s="29"/>
      <c r="BK697" s="29"/>
      <c r="BL697" s="29"/>
      <c r="BM697" s="45"/>
      <c r="BN697" s="45">
        <v>1.0</v>
      </c>
      <c r="BO697" s="46" t="s">
        <v>1406</v>
      </c>
      <c r="BP697" s="2"/>
      <c r="BQ697" s="3"/>
    </row>
    <row r="698" ht="15.75" customHeight="1">
      <c r="A698" s="34">
        <v>702.0</v>
      </c>
      <c r="B698" s="34">
        <v>102620.0</v>
      </c>
      <c r="C698" s="34" t="s">
        <v>76</v>
      </c>
      <c r="D698" s="34" t="s">
        <v>1394</v>
      </c>
      <c r="E698" s="34" t="s">
        <v>1395</v>
      </c>
      <c r="F698" s="34">
        <v>2020.0</v>
      </c>
      <c r="G698" s="34" t="s">
        <v>1396</v>
      </c>
      <c r="H698" s="34" t="s">
        <v>1397</v>
      </c>
      <c r="I698" s="82" t="s">
        <v>1398</v>
      </c>
      <c r="J698" s="35"/>
      <c r="K698" s="36"/>
      <c r="L698" s="36">
        <v>11.5</v>
      </c>
      <c r="M698" s="36"/>
      <c r="N698" s="36"/>
      <c r="O698" s="36"/>
      <c r="P698" s="37">
        <v>34.09</v>
      </c>
      <c r="Q698" s="36" t="s">
        <v>96</v>
      </c>
      <c r="R698" s="36" t="s">
        <v>96</v>
      </c>
      <c r="S698" s="36">
        <v>30.0</v>
      </c>
      <c r="T698" s="36" t="s">
        <v>1407</v>
      </c>
      <c r="U698" s="36" t="s">
        <v>1407</v>
      </c>
      <c r="V698" s="36">
        <v>1.0</v>
      </c>
      <c r="W698" s="36"/>
      <c r="X698" s="38">
        <v>1.0</v>
      </c>
      <c r="Y698" s="38" t="s">
        <v>1400</v>
      </c>
      <c r="Z698" s="38" t="s">
        <v>1401</v>
      </c>
      <c r="AA698" s="38" t="s">
        <v>86</v>
      </c>
      <c r="AB698" s="38" t="s">
        <v>1402</v>
      </c>
      <c r="AC698" s="38" t="s">
        <v>1403</v>
      </c>
      <c r="AD698" s="38" t="s">
        <v>877</v>
      </c>
      <c r="AE698" s="38"/>
      <c r="AF698" s="38" t="s">
        <v>1404</v>
      </c>
      <c r="AG698" s="38"/>
      <c r="AH698" s="38"/>
      <c r="AI698" s="50">
        <v>24.104</v>
      </c>
      <c r="AJ698" s="50">
        <v>48.0256</v>
      </c>
      <c r="AK698" s="41" t="s">
        <v>664</v>
      </c>
      <c r="AL698" s="40" t="s">
        <v>664</v>
      </c>
      <c r="AM698" s="49">
        <v>454.0</v>
      </c>
      <c r="AN698" s="51">
        <v>454.0</v>
      </c>
      <c r="AO698" s="42" t="s">
        <v>355</v>
      </c>
      <c r="AP698" s="43" t="s">
        <v>355</v>
      </c>
      <c r="AQ698" s="44" t="str">
        <f t="shared" si="60"/>
        <v>CRO</v>
      </c>
      <c r="AR698" s="44">
        <f t="shared" si="3"/>
        <v>454</v>
      </c>
      <c r="AS698" s="44" t="str">
        <f t="shared" si="61"/>
        <v>B</v>
      </c>
      <c r="AT698" s="44" t="str">
        <f t="shared" si="17"/>
        <v>BW</v>
      </c>
      <c r="AU698" s="44" t="str">
        <f t="shared" si="2"/>
        <v>BWh</v>
      </c>
      <c r="AV698" s="38"/>
      <c r="AW698" s="38"/>
      <c r="AX698" s="38"/>
      <c r="AY698" s="38"/>
      <c r="AZ698" s="29">
        <v>30.0</v>
      </c>
      <c r="BA698" s="29"/>
      <c r="BB698" s="29">
        <v>1.0</v>
      </c>
      <c r="BC698" s="29" t="s">
        <v>984</v>
      </c>
      <c r="BD698" s="29" t="s">
        <v>88</v>
      </c>
      <c r="BE698" s="29"/>
      <c r="BF698" s="29" t="s">
        <v>1364</v>
      </c>
      <c r="BG698" s="29" t="s">
        <v>572</v>
      </c>
      <c r="BH698" s="29" t="s">
        <v>88</v>
      </c>
      <c r="BI698" s="29" t="s">
        <v>1405</v>
      </c>
      <c r="BJ698" s="29"/>
      <c r="BK698" s="29"/>
      <c r="BL698" s="29"/>
      <c r="BM698" s="45"/>
      <c r="BN698" s="45"/>
      <c r="BO698" s="46"/>
      <c r="BP698" s="2"/>
      <c r="BQ698" s="3"/>
    </row>
    <row r="699" ht="15.75" customHeight="1">
      <c r="A699" s="34">
        <v>703.0</v>
      </c>
      <c r="B699" s="34">
        <v>102620.0</v>
      </c>
      <c r="C699" s="34" t="s">
        <v>76</v>
      </c>
      <c r="D699" s="34" t="s">
        <v>1394</v>
      </c>
      <c r="E699" s="34" t="s">
        <v>1395</v>
      </c>
      <c r="F699" s="34">
        <v>2020.0</v>
      </c>
      <c r="G699" s="34" t="s">
        <v>1396</v>
      </c>
      <c r="H699" s="34" t="s">
        <v>1397</v>
      </c>
      <c r="I699" s="82" t="s">
        <v>1398</v>
      </c>
      <c r="J699" s="35"/>
      <c r="K699" s="36"/>
      <c r="L699" s="36">
        <v>26.0</v>
      </c>
      <c r="M699" s="36"/>
      <c r="N699" s="36"/>
      <c r="O699" s="36"/>
      <c r="P699" s="37">
        <v>16.36</v>
      </c>
      <c r="Q699" s="36" t="s">
        <v>96</v>
      </c>
      <c r="R699" s="36" t="s">
        <v>96</v>
      </c>
      <c r="S699" s="36">
        <v>30.0</v>
      </c>
      <c r="T699" s="36" t="s">
        <v>1408</v>
      </c>
      <c r="U699" s="36" t="s">
        <v>1408</v>
      </c>
      <c r="V699" s="36">
        <v>1.0</v>
      </c>
      <c r="W699" s="36"/>
      <c r="X699" s="38">
        <v>1.0</v>
      </c>
      <c r="Y699" s="38" t="s">
        <v>1400</v>
      </c>
      <c r="Z699" s="38" t="s">
        <v>1401</v>
      </c>
      <c r="AA699" s="38" t="s">
        <v>86</v>
      </c>
      <c r="AB699" s="38" t="s">
        <v>1402</v>
      </c>
      <c r="AC699" s="38" t="s">
        <v>1403</v>
      </c>
      <c r="AD699" s="38" t="s">
        <v>877</v>
      </c>
      <c r="AE699" s="38"/>
      <c r="AF699" s="38" t="s">
        <v>1404</v>
      </c>
      <c r="AG699" s="38"/>
      <c r="AH699" s="38"/>
      <c r="AI699" s="50">
        <v>24.104</v>
      </c>
      <c r="AJ699" s="50">
        <v>48.0256</v>
      </c>
      <c r="AK699" s="41" t="s">
        <v>664</v>
      </c>
      <c r="AL699" s="40" t="s">
        <v>664</v>
      </c>
      <c r="AM699" s="49">
        <v>454.0</v>
      </c>
      <c r="AN699" s="51">
        <v>454.0</v>
      </c>
      <c r="AO699" s="42" t="s">
        <v>355</v>
      </c>
      <c r="AP699" s="43" t="s">
        <v>355</v>
      </c>
      <c r="AQ699" s="44" t="str">
        <f t="shared" si="60"/>
        <v>CRO</v>
      </c>
      <c r="AR699" s="44">
        <f t="shared" si="3"/>
        <v>454</v>
      </c>
      <c r="AS699" s="44" t="str">
        <f t="shared" si="61"/>
        <v>B</v>
      </c>
      <c r="AT699" s="44" t="str">
        <f t="shared" si="17"/>
        <v>BW</v>
      </c>
      <c r="AU699" s="44" t="str">
        <f t="shared" si="2"/>
        <v>BWh</v>
      </c>
      <c r="AV699" s="38"/>
      <c r="AW699" s="38"/>
      <c r="AX699" s="38"/>
      <c r="AY699" s="38"/>
      <c r="AZ699" s="29">
        <v>30.0</v>
      </c>
      <c r="BA699" s="29"/>
      <c r="BB699" s="29">
        <v>1.0</v>
      </c>
      <c r="BC699" s="29" t="s">
        <v>984</v>
      </c>
      <c r="BD699" s="29" t="s">
        <v>88</v>
      </c>
      <c r="BE699" s="29"/>
      <c r="BF699" s="29" t="s">
        <v>1364</v>
      </c>
      <c r="BG699" s="29" t="s">
        <v>572</v>
      </c>
      <c r="BH699" s="29" t="s">
        <v>88</v>
      </c>
      <c r="BI699" s="29" t="s">
        <v>1405</v>
      </c>
      <c r="BJ699" s="29"/>
      <c r="BK699" s="29"/>
      <c r="BL699" s="29"/>
      <c r="BM699" s="45"/>
      <c r="BN699" s="45"/>
      <c r="BO699" s="46"/>
      <c r="BP699" s="2"/>
      <c r="BQ699" s="3"/>
    </row>
    <row r="700" ht="15.75" customHeight="1">
      <c r="A700" s="34">
        <v>704.0</v>
      </c>
      <c r="B700" s="34">
        <v>102620.0</v>
      </c>
      <c r="C700" s="34" t="s">
        <v>76</v>
      </c>
      <c r="D700" s="34" t="s">
        <v>1394</v>
      </c>
      <c r="E700" s="34" t="s">
        <v>1395</v>
      </c>
      <c r="F700" s="34">
        <v>2020.0</v>
      </c>
      <c r="G700" s="34" t="s">
        <v>1396</v>
      </c>
      <c r="H700" s="34" t="s">
        <v>1397</v>
      </c>
      <c r="I700" s="82" t="s">
        <v>1398</v>
      </c>
      <c r="J700" s="35"/>
      <c r="K700" s="36"/>
      <c r="L700" s="36">
        <v>15.0</v>
      </c>
      <c r="M700" s="36"/>
      <c r="N700" s="36"/>
      <c r="O700" s="36"/>
      <c r="P700" s="37">
        <v>22.73</v>
      </c>
      <c r="Q700" s="36" t="s">
        <v>96</v>
      </c>
      <c r="R700" s="36" t="s">
        <v>96</v>
      </c>
      <c r="S700" s="36">
        <v>30.0</v>
      </c>
      <c r="T700" s="36" t="s">
        <v>1409</v>
      </c>
      <c r="U700" s="36" t="s">
        <v>1409</v>
      </c>
      <c r="V700" s="36">
        <v>1.0</v>
      </c>
      <c r="W700" s="36"/>
      <c r="X700" s="38">
        <v>1.0</v>
      </c>
      <c r="Y700" s="38" t="s">
        <v>1400</v>
      </c>
      <c r="Z700" s="38" t="s">
        <v>1401</v>
      </c>
      <c r="AA700" s="38" t="s">
        <v>86</v>
      </c>
      <c r="AB700" s="38" t="s">
        <v>1402</v>
      </c>
      <c r="AC700" s="38" t="s">
        <v>1403</v>
      </c>
      <c r="AD700" s="38" t="s">
        <v>877</v>
      </c>
      <c r="AE700" s="38"/>
      <c r="AF700" s="38" t="s">
        <v>1404</v>
      </c>
      <c r="AG700" s="38"/>
      <c r="AH700" s="38"/>
      <c r="AI700" s="50">
        <v>24.104</v>
      </c>
      <c r="AJ700" s="50">
        <v>48.0256</v>
      </c>
      <c r="AK700" s="41" t="s">
        <v>664</v>
      </c>
      <c r="AL700" s="40" t="s">
        <v>664</v>
      </c>
      <c r="AM700" s="49">
        <v>454.0</v>
      </c>
      <c r="AN700" s="51">
        <v>454.0</v>
      </c>
      <c r="AO700" s="42" t="s">
        <v>355</v>
      </c>
      <c r="AP700" s="43" t="s">
        <v>355</v>
      </c>
      <c r="AQ700" s="44" t="str">
        <f t="shared" si="60"/>
        <v>CRO</v>
      </c>
      <c r="AR700" s="44">
        <f t="shared" si="3"/>
        <v>454</v>
      </c>
      <c r="AS700" s="44" t="str">
        <f t="shared" si="61"/>
        <v>B</v>
      </c>
      <c r="AT700" s="44" t="str">
        <f t="shared" si="17"/>
        <v>BW</v>
      </c>
      <c r="AU700" s="44" t="str">
        <f t="shared" si="2"/>
        <v>BWh</v>
      </c>
      <c r="AV700" s="38"/>
      <c r="AW700" s="38"/>
      <c r="AX700" s="38"/>
      <c r="AY700" s="38"/>
      <c r="AZ700" s="29">
        <v>30.0</v>
      </c>
      <c r="BA700" s="29"/>
      <c r="BB700" s="29">
        <v>1.0</v>
      </c>
      <c r="BC700" s="29" t="s">
        <v>984</v>
      </c>
      <c r="BD700" s="29" t="s">
        <v>88</v>
      </c>
      <c r="BE700" s="29"/>
      <c r="BF700" s="29" t="s">
        <v>1364</v>
      </c>
      <c r="BG700" s="29" t="s">
        <v>572</v>
      </c>
      <c r="BH700" s="29" t="s">
        <v>88</v>
      </c>
      <c r="BI700" s="29" t="s">
        <v>1405</v>
      </c>
      <c r="BJ700" s="29"/>
      <c r="BK700" s="29"/>
      <c r="BL700" s="29"/>
      <c r="BM700" s="45"/>
      <c r="BN700" s="45"/>
      <c r="BO700" s="46"/>
      <c r="BP700" s="2"/>
      <c r="BQ700" s="3"/>
    </row>
    <row r="701" ht="15.75" customHeight="1">
      <c r="A701" s="34">
        <v>705.0</v>
      </c>
      <c r="B701" s="34">
        <v>102620.0</v>
      </c>
      <c r="C701" s="34" t="s">
        <v>76</v>
      </c>
      <c r="D701" s="34" t="s">
        <v>1394</v>
      </c>
      <c r="E701" s="34" t="s">
        <v>1395</v>
      </c>
      <c r="F701" s="34">
        <v>2020.0</v>
      </c>
      <c r="G701" s="34" t="s">
        <v>1396</v>
      </c>
      <c r="H701" s="34" t="s">
        <v>1397</v>
      </c>
      <c r="I701" s="82" t="s">
        <v>1398</v>
      </c>
      <c r="J701" s="35"/>
      <c r="K701" s="36"/>
      <c r="L701" s="36"/>
      <c r="M701" s="36"/>
      <c r="N701" s="36"/>
      <c r="O701" s="36"/>
      <c r="P701" s="37">
        <v>55.0</v>
      </c>
      <c r="Q701" s="36" t="s">
        <v>96</v>
      </c>
      <c r="R701" s="36" t="s">
        <v>96</v>
      </c>
      <c r="S701" s="36">
        <v>30.0</v>
      </c>
      <c r="T701" s="36" t="s">
        <v>1410</v>
      </c>
      <c r="U701" s="36" t="s">
        <v>1410</v>
      </c>
      <c r="V701" s="36">
        <v>1.0</v>
      </c>
      <c r="W701" s="36"/>
      <c r="X701" s="38">
        <v>1.0</v>
      </c>
      <c r="Y701" s="38" t="s">
        <v>1400</v>
      </c>
      <c r="Z701" s="38" t="s">
        <v>1401</v>
      </c>
      <c r="AA701" s="38" t="s">
        <v>86</v>
      </c>
      <c r="AB701" s="38" t="s">
        <v>1402</v>
      </c>
      <c r="AC701" s="38" t="s">
        <v>1403</v>
      </c>
      <c r="AD701" s="38" t="s">
        <v>877</v>
      </c>
      <c r="AE701" s="38"/>
      <c r="AF701" s="38" t="s">
        <v>1404</v>
      </c>
      <c r="AG701" s="38"/>
      <c r="AH701" s="38"/>
      <c r="AI701" s="50">
        <v>24.104</v>
      </c>
      <c r="AJ701" s="50">
        <v>48.0256</v>
      </c>
      <c r="AK701" s="41" t="s">
        <v>664</v>
      </c>
      <c r="AL701" s="40" t="s">
        <v>664</v>
      </c>
      <c r="AM701" s="49">
        <v>454.0</v>
      </c>
      <c r="AN701" s="51">
        <v>454.0</v>
      </c>
      <c r="AO701" s="42" t="s">
        <v>355</v>
      </c>
      <c r="AP701" s="43" t="s">
        <v>355</v>
      </c>
      <c r="AQ701" s="44" t="str">
        <f t="shared" si="60"/>
        <v>CRO</v>
      </c>
      <c r="AR701" s="44">
        <f t="shared" si="3"/>
        <v>454</v>
      </c>
      <c r="AS701" s="44" t="str">
        <f t="shared" si="61"/>
        <v>B</v>
      </c>
      <c r="AT701" s="44" t="str">
        <f t="shared" si="17"/>
        <v>BW</v>
      </c>
      <c r="AU701" s="44" t="str">
        <f t="shared" si="2"/>
        <v>BWh</v>
      </c>
      <c r="AV701" s="38"/>
      <c r="AW701" s="38"/>
      <c r="AX701" s="38"/>
      <c r="AY701" s="38"/>
      <c r="AZ701" s="29">
        <v>30.0</v>
      </c>
      <c r="BA701" s="29"/>
      <c r="BB701" s="29">
        <v>1.0</v>
      </c>
      <c r="BC701" s="29"/>
      <c r="BD701" s="29" t="s">
        <v>88</v>
      </c>
      <c r="BE701" s="29"/>
      <c r="BF701" s="29" t="s">
        <v>1411</v>
      </c>
      <c r="BG701" s="29" t="s">
        <v>572</v>
      </c>
      <c r="BH701" s="29" t="s">
        <v>88</v>
      </c>
      <c r="BI701" s="29" t="s">
        <v>1405</v>
      </c>
      <c r="BJ701" s="29"/>
      <c r="BK701" s="29"/>
      <c r="BL701" s="29"/>
      <c r="BM701" s="45"/>
      <c r="BN701" s="45"/>
      <c r="BO701" s="46"/>
      <c r="BP701" s="2"/>
      <c r="BQ701" s="3"/>
    </row>
    <row r="702" ht="15.75" customHeight="1">
      <c r="A702" s="34">
        <v>706.0</v>
      </c>
      <c r="B702" s="34">
        <v>102620.0</v>
      </c>
      <c r="C702" s="34" t="s">
        <v>76</v>
      </c>
      <c r="D702" s="34" t="s">
        <v>1394</v>
      </c>
      <c r="E702" s="34" t="s">
        <v>1395</v>
      </c>
      <c r="F702" s="34">
        <v>2020.0</v>
      </c>
      <c r="G702" s="34" t="s">
        <v>1396</v>
      </c>
      <c r="H702" s="34" t="s">
        <v>1397</v>
      </c>
      <c r="I702" s="82" t="s">
        <v>1398</v>
      </c>
      <c r="J702" s="35"/>
      <c r="K702" s="36"/>
      <c r="L702" s="36">
        <v>6.0</v>
      </c>
      <c r="M702" s="36"/>
      <c r="N702" s="36"/>
      <c r="O702" s="36"/>
      <c r="P702" s="37">
        <v>6.82</v>
      </c>
      <c r="Q702" s="36" t="s">
        <v>96</v>
      </c>
      <c r="R702" s="36" t="s">
        <v>96</v>
      </c>
      <c r="S702" s="36">
        <v>30.0</v>
      </c>
      <c r="T702" s="36" t="s">
        <v>1399</v>
      </c>
      <c r="U702" s="36" t="s">
        <v>1399</v>
      </c>
      <c r="V702" s="36">
        <v>1.0</v>
      </c>
      <c r="W702" s="36"/>
      <c r="X702" s="38">
        <v>1.0</v>
      </c>
      <c r="Y702" s="38" t="s">
        <v>1400</v>
      </c>
      <c r="Z702" s="38" t="s">
        <v>1401</v>
      </c>
      <c r="AA702" s="38" t="s">
        <v>86</v>
      </c>
      <c r="AB702" s="38" t="s">
        <v>1402</v>
      </c>
      <c r="AC702" s="38" t="s">
        <v>1403</v>
      </c>
      <c r="AD702" s="38" t="s">
        <v>877</v>
      </c>
      <c r="AE702" s="38"/>
      <c r="AF702" s="38" t="s">
        <v>1404</v>
      </c>
      <c r="AG702" s="38"/>
      <c r="AH702" s="38"/>
      <c r="AI702" s="50">
        <v>24.104</v>
      </c>
      <c r="AJ702" s="50">
        <v>48.0256</v>
      </c>
      <c r="AK702" s="41" t="s">
        <v>664</v>
      </c>
      <c r="AL702" s="40" t="s">
        <v>664</v>
      </c>
      <c r="AM702" s="49">
        <v>454.0</v>
      </c>
      <c r="AN702" s="51">
        <v>454.0</v>
      </c>
      <c r="AO702" s="42" t="s">
        <v>355</v>
      </c>
      <c r="AP702" s="43" t="s">
        <v>355</v>
      </c>
      <c r="AQ702" s="44" t="str">
        <f t="shared" si="60"/>
        <v>CRO</v>
      </c>
      <c r="AR702" s="44">
        <f t="shared" si="3"/>
        <v>454</v>
      </c>
      <c r="AS702" s="44" t="str">
        <f t="shared" si="61"/>
        <v>B</v>
      </c>
      <c r="AT702" s="44" t="str">
        <f t="shared" si="17"/>
        <v>BW</v>
      </c>
      <c r="AU702" s="44" t="str">
        <f t="shared" si="2"/>
        <v>BWh</v>
      </c>
      <c r="AV702" s="38"/>
      <c r="AW702" s="38"/>
      <c r="AX702" s="38"/>
      <c r="AY702" s="38"/>
      <c r="AZ702" s="29">
        <v>30.0</v>
      </c>
      <c r="BA702" s="29"/>
      <c r="BB702" s="29">
        <v>1.0</v>
      </c>
      <c r="BC702" s="29"/>
      <c r="BD702" s="29" t="s">
        <v>88</v>
      </c>
      <c r="BE702" s="29"/>
      <c r="BF702" s="29" t="s">
        <v>1411</v>
      </c>
      <c r="BG702" s="29" t="s">
        <v>572</v>
      </c>
      <c r="BH702" s="29" t="s">
        <v>88</v>
      </c>
      <c r="BI702" s="29" t="s">
        <v>1405</v>
      </c>
      <c r="BJ702" s="29"/>
      <c r="BK702" s="29"/>
      <c r="BL702" s="29"/>
      <c r="BM702" s="45"/>
      <c r="BN702" s="45"/>
      <c r="BO702" s="46"/>
      <c r="BP702" s="2"/>
      <c r="BQ702" s="3"/>
    </row>
    <row r="703" ht="15.75" customHeight="1">
      <c r="A703" s="34">
        <v>707.0</v>
      </c>
      <c r="B703" s="34">
        <v>102620.0</v>
      </c>
      <c r="C703" s="34" t="s">
        <v>76</v>
      </c>
      <c r="D703" s="34" t="s">
        <v>1394</v>
      </c>
      <c r="E703" s="34" t="s">
        <v>1395</v>
      </c>
      <c r="F703" s="34">
        <v>2020.0</v>
      </c>
      <c r="G703" s="34" t="s">
        <v>1396</v>
      </c>
      <c r="H703" s="34" t="s">
        <v>1397</v>
      </c>
      <c r="I703" s="82" t="s">
        <v>1398</v>
      </c>
      <c r="J703" s="35"/>
      <c r="K703" s="36"/>
      <c r="L703" s="36"/>
      <c r="M703" s="36"/>
      <c r="N703" s="36"/>
      <c r="O703" s="36"/>
      <c r="P703" s="37">
        <v>15.91</v>
      </c>
      <c r="Q703" s="36" t="s">
        <v>96</v>
      </c>
      <c r="R703" s="36" t="s">
        <v>96</v>
      </c>
      <c r="S703" s="36">
        <v>30.0</v>
      </c>
      <c r="T703" s="36" t="s">
        <v>1412</v>
      </c>
      <c r="U703" s="36" t="s">
        <v>1412</v>
      </c>
      <c r="V703" s="36">
        <v>1.0</v>
      </c>
      <c r="W703" s="36"/>
      <c r="X703" s="38">
        <v>1.0</v>
      </c>
      <c r="Y703" s="38" t="s">
        <v>1400</v>
      </c>
      <c r="Z703" s="38" t="s">
        <v>1401</v>
      </c>
      <c r="AA703" s="38" t="s">
        <v>86</v>
      </c>
      <c r="AB703" s="38" t="s">
        <v>1402</v>
      </c>
      <c r="AC703" s="38" t="s">
        <v>1403</v>
      </c>
      <c r="AD703" s="38" t="s">
        <v>877</v>
      </c>
      <c r="AE703" s="38"/>
      <c r="AF703" s="38" t="s">
        <v>1404</v>
      </c>
      <c r="AG703" s="38"/>
      <c r="AH703" s="38"/>
      <c r="AI703" s="50">
        <v>24.104</v>
      </c>
      <c r="AJ703" s="50">
        <v>48.0256</v>
      </c>
      <c r="AK703" s="41" t="s">
        <v>664</v>
      </c>
      <c r="AL703" s="40" t="s">
        <v>664</v>
      </c>
      <c r="AM703" s="49">
        <v>454.0</v>
      </c>
      <c r="AN703" s="51">
        <v>454.0</v>
      </c>
      <c r="AO703" s="42" t="s">
        <v>355</v>
      </c>
      <c r="AP703" s="43" t="s">
        <v>355</v>
      </c>
      <c r="AQ703" s="44" t="str">
        <f t="shared" si="60"/>
        <v>CRO</v>
      </c>
      <c r="AR703" s="44">
        <f t="shared" si="3"/>
        <v>454</v>
      </c>
      <c r="AS703" s="44" t="str">
        <f t="shared" si="61"/>
        <v>B</v>
      </c>
      <c r="AT703" s="44" t="str">
        <f t="shared" si="17"/>
        <v>BW</v>
      </c>
      <c r="AU703" s="44" t="str">
        <f t="shared" si="2"/>
        <v>BWh</v>
      </c>
      <c r="AV703" s="38"/>
      <c r="AW703" s="38"/>
      <c r="AX703" s="38"/>
      <c r="AY703" s="38"/>
      <c r="AZ703" s="29">
        <v>30.0</v>
      </c>
      <c r="BA703" s="29"/>
      <c r="BB703" s="29">
        <v>1.0</v>
      </c>
      <c r="BC703" s="29"/>
      <c r="BD703" s="29" t="s">
        <v>88</v>
      </c>
      <c r="BE703" s="29"/>
      <c r="BF703" s="29" t="s">
        <v>1411</v>
      </c>
      <c r="BG703" s="29" t="s">
        <v>572</v>
      </c>
      <c r="BH703" s="29" t="s">
        <v>88</v>
      </c>
      <c r="BI703" s="29" t="s">
        <v>1405</v>
      </c>
      <c r="BJ703" s="29"/>
      <c r="BK703" s="29"/>
      <c r="BL703" s="29"/>
      <c r="BM703" s="45"/>
      <c r="BN703" s="45"/>
      <c r="BO703" s="46"/>
      <c r="BP703" s="2"/>
      <c r="BQ703" s="3"/>
    </row>
    <row r="704" ht="15.75" customHeight="1">
      <c r="A704" s="34">
        <v>708.0</v>
      </c>
      <c r="B704" s="34">
        <v>102620.0</v>
      </c>
      <c r="C704" s="34" t="s">
        <v>76</v>
      </c>
      <c r="D704" s="34" t="s">
        <v>1394</v>
      </c>
      <c r="E704" s="34" t="s">
        <v>1395</v>
      </c>
      <c r="F704" s="34">
        <v>2020.0</v>
      </c>
      <c r="G704" s="34" t="s">
        <v>1396</v>
      </c>
      <c r="H704" s="34" t="s">
        <v>1397</v>
      </c>
      <c r="I704" s="82" t="s">
        <v>1398</v>
      </c>
      <c r="J704" s="35"/>
      <c r="K704" s="36"/>
      <c r="L704" s="36">
        <v>7.0</v>
      </c>
      <c r="M704" s="36"/>
      <c r="N704" s="36"/>
      <c r="O704" s="36"/>
      <c r="P704" s="37">
        <v>0.0</v>
      </c>
      <c r="Q704" s="36" t="s">
        <v>96</v>
      </c>
      <c r="R704" s="36" t="s">
        <v>96</v>
      </c>
      <c r="S704" s="36">
        <v>30.0</v>
      </c>
      <c r="T704" s="36" t="s">
        <v>1413</v>
      </c>
      <c r="U704" s="36" t="s">
        <v>1413</v>
      </c>
      <c r="V704" s="36">
        <v>1.0</v>
      </c>
      <c r="W704" s="36"/>
      <c r="X704" s="38">
        <v>1.0</v>
      </c>
      <c r="Y704" s="38" t="s">
        <v>1400</v>
      </c>
      <c r="Z704" s="38" t="s">
        <v>1401</v>
      </c>
      <c r="AA704" s="38" t="s">
        <v>86</v>
      </c>
      <c r="AB704" s="38" t="s">
        <v>1402</v>
      </c>
      <c r="AC704" s="38" t="s">
        <v>1403</v>
      </c>
      <c r="AD704" s="38" t="s">
        <v>877</v>
      </c>
      <c r="AE704" s="38"/>
      <c r="AF704" s="38" t="s">
        <v>1404</v>
      </c>
      <c r="AG704" s="38"/>
      <c r="AH704" s="38"/>
      <c r="AI704" s="50">
        <v>24.104</v>
      </c>
      <c r="AJ704" s="50">
        <v>48.0256</v>
      </c>
      <c r="AK704" s="41" t="s">
        <v>664</v>
      </c>
      <c r="AL704" s="40" t="s">
        <v>664</v>
      </c>
      <c r="AM704" s="49">
        <v>454.0</v>
      </c>
      <c r="AN704" s="51">
        <v>454.0</v>
      </c>
      <c r="AO704" s="42" t="s">
        <v>355</v>
      </c>
      <c r="AP704" s="43" t="s">
        <v>355</v>
      </c>
      <c r="AQ704" s="44" t="str">
        <f t="shared" si="60"/>
        <v>CRO</v>
      </c>
      <c r="AR704" s="44">
        <f t="shared" si="3"/>
        <v>454</v>
      </c>
      <c r="AS704" s="44" t="str">
        <f t="shared" si="61"/>
        <v>B</v>
      </c>
      <c r="AT704" s="44" t="str">
        <f t="shared" si="17"/>
        <v>BW</v>
      </c>
      <c r="AU704" s="44" t="str">
        <f t="shared" si="2"/>
        <v>BWh</v>
      </c>
      <c r="AV704" s="38"/>
      <c r="AW704" s="38"/>
      <c r="AX704" s="38"/>
      <c r="AY704" s="38"/>
      <c r="AZ704" s="29">
        <v>30.0</v>
      </c>
      <c r="BA704" s="29"/>
      <c r="BB704" s="29">
        <v>1.0</v>
      </c>
      <c r="BC704" s="29" t="s">
        <v>984</v>
      </c>
      <c r="BD704" s="29" t="s">
        <v>88</v>
      </c>
      <c r="BE704" s="29"/>
      <c r="BF704" s="29" t="s">
        <v>1364</v>
      </c>
      <c r="BG704" s="29" t="s">
        <v>572</v>
      </c>
      <c r="BH704" s="29" t="s">
        <v>88</v>
      </c>
      <c r="BI704" s="29" t="s">
        <v>1405</v>
      </c>
      <c r="BJ704" s="29"/>
      <c r="BK704" s="29"/>
      <c r="BL704" s="29"/>
      <c r="BM704" s="45"/>
      <c r="BN704" s="45"/>
      <c r="BO704" s="46"/>
      <c r="BP704" s="2"/>
      <c r="BQ704" s="3"/>
    </row>
    <row r="705" ht="15.75" customHeight="1">
      <c r="A705" s="34">
        <v>709.0</v>
      </c>
      <c r="B705" s="34">
        <v>102620.0</v>
      </c>
      <c r="C705" s="34" t="s">
        <v>76</v>
      </c>
      <c r="D705" s="34" t="s">
        <v>1394</v>
      </c>
      <c r="E705" s="34" t="s">
        <v>1395</v>
      </c>
      <c r="F705" s="34">
        <v>2020.0</v>
      </c>
      <c r="G705" s="34" t="s">
        <v>1396</v>
      </c>
      <c r="H705" s="34" t="s">
        <v>1397</v>
      </c>
      <c r="I705" s="82" t="s">
        <v>1398</v>
      </c>
      <c r="J705" s="35"/>
      <c r="K705" s="36"/>
      <c r="L705" s="36"/>
      <c r="M705" s="36"/>
      <c r="N705" s="36"/>
      <c r="O705" s="36"/>
      <c r="P705" s="37">
        <v>70.0</v>
      </c>
      <c r="Q705" s="36" t="s">
        <v>96</v>
      </c>
      <c r="R705" s="36" t="s">
        <v>96</v>
      </c>
      <c r="S705" s="36">
        <v>30.0</v>
      </c>
      <c r="T705" s="36" t="s">
        <v>1414</v>
      </c>
      <c r="U705" s="36" t="s">
        <v>1414</v>
      </c>
      <c r="V705" s="36">
        <v>1.0</v>
      </c>
      <c r="W705" s="36"/>
      <c r="X705" s="38">
        <v>1.0</v>
      </c>
      <c r="Y705" s="38" t="s">
        <v>1400</v>
      </c>
      <c r="Z705" s="38" t="s">
        <v>1401</v>
      </c>
      <c r="AA705" s="38" t="s">
        <v>86</v>
      </c>
      <c r="AB705" s="38" t="s">
        <v>1402</v>
      </c>
      <c r="AC705" s="38" t="s">
        <v>1403</v>
      </c>
      <c r="AD705" s="38" t="s">
        <v>877</v>
      </c>
      <c r="AE705" s="38"/>
      <c r="AF705" s="38" t="s">
        <v>1404</v>
      </c>
      <c r="AG705" s="38"/>
      <c r="AH705" s="38"/>
      <c r="AI705" s="50">
        <v>24.104</v>
      </c>
      <c r="AJ705" s="50">
        <v>48.0256</v>
      </c>
      <c r="AK705" s="41" t="s">
        <v>664</v>
      </c>
      <c r="AL705" s="40" t="s">
        <v>664</v>
      </c>
      <c r="AM705" s="49">
        <v>454.0</v>
      </c>
      <c r="AN705" s="51">
        <v>454.0</v>
      </c>
      <c r="AO705" s="42" t="s">
        <v>355</v>
      </c>
      <c r="AP705" s="43" t="s">
        <v>355</v>
      </c>
      <c r="AQ705" s="44" t="str">
        <f t="shared" si="60"/>
        <v>CRO</v>
      </c>
      <c r="AR705" s="44">
        <f t="shared" si="3"/>
        <v>454</v>
      </c>
      <c r="AS705" s="44" t="str">
        <f t="shared" si="61"/>
        <v>B</v>
      </c>
      <c r="AT705" s="44" t="str">
        <f t="shared" si="17"/>
        <v>BW</v>
      </c>
      <c r="AU705" s="44" t="str">
        <f t="shared" si="2"/>
        <v>BWh</v>
      </c>
      <c r="AV705" s="38"/>
      <c r="AW705" s="38"/>
      <c r="AX705" s="38"/>
      <c r="AY705" s="38"/>
      <c r="AZ705" s="29">
        <v>30.0</v>
      </c>
      <c r="BA705" s="29"/>
      <c r="BB705" s="29">
        <v>1.0</v>
      </c>
      <c r="BC705" s="29"/>
      <c r="BD705" s="29" t="s">
        <v>88</v>
      </c>
      <c r="BE705" s="29"/>
      <c r="BF705" s="29" t="s">
        <v>1411</v>
      </c>
      <c r="BG705" s="29" t="s">
        <v>572</v>
      </c>
      <c r="BH705" s="29" t="s">
        <v>88</v>
      </c>
      <c r="BI705" s="29" t="s">
        <v>1405</v>
      </c>
      <c r="BJ705" s="29"/>
      <c r="BK705" s="29"/>
      <c r="BL705" s="29"/>
      <c r="BM705" s="45"/>
      <c r="BN705" s="45"/>
      <c r="BO705" s="46"/>
      <c r="BP705" s="2"/>
      <c r="BQ705" s="3"/>
    </row>
    <row r="706" ht="15.75" customHeight="1">
      <c r="A706" s="34">
        <v>710.0</v>
      </c>
      <c r="B706" s="34">
        <v>101813.0</v>
      </c>
      <c r="C706" s="34" t="s">
        <v>76</v>
      </c>
      <c r="D706" s="34" t="s">
        <v>1415</v>
      </c>
      <c r="E706" s="34" t="s">
        <v>1416</v>
      </c>
      <c r="F706" s="34">
        <v>2012.0</v>
      </c>
      <c r="G706" s="34" t="s">
        <v>1417</v>
      </c>
      <c r="H706" s="34" t="s">
        <v>1418</v>
      </c>
      <c r="I706" s="34" t="s">
        <v>1419</v>
      </c>
      <c r="J706" s="35"/>
      <c r="K706" s="36"/>
      <c r="L706" s="36"/>
      <c r="M706" s="36"/>
      <c r="N706" s="36"/>
      <c r="O706" s="36"/>
      <c r="P706" s="37">
        <v>9.7</v>
      </c>
      <c r="Q706" s="36"/>
      <c r="R706" s="36" t="s">
        <v>82</v>
      </c>
      <c r="S706" s="36">
        <v>30.0</v>
      </c>
      <c r="T706" s="36" t="s">
        <v>1420</v>
      </c>
      <c r="U706" s="36" t="s">
        <v>1420</v>
      </c>
      <c r="V706" s="36">
        <v>1.0</v>
      </c>
      <c r="W706" s="36"/>
      <c r="X706" s="38">
        <v>2.0</v>
      </c>
      <c r="Y706" s="38" t="s">
        <v>1421</v>
      </c>
      <c r="Z706" s="38"/>
      <c r="AA706" s="38" t="s">
        <v>86</v>
      </c>
      <c r="AB706" s="38" t="s">
        <v>1422</v>
      </c>
      <c r="AC706" s="38" t="s">
        <v>1423</v>
      </c>
      <c r="AD706" s="38" t="s">
        <v>198</v>
      </c>
      <c r="AE706" s="38"/>
      <c r="AF706" s="38"/>
      <c r="AG706" s="38"/>
      <c r="AH706" s="38"/>
      <c r="AI706" s="50"/>
      <c r="AJ706" s="50"/>
      <c r="AK706" s="41"/>
      <c r="AL706" s="40"/>
      <c r="AM706" s="49"/>
      <c r="AN706" s="51"/>
      <c r="AO706" s="42"/>
      <c r="AP706" s="43"/>
      <c r="AQ706" s="44" t="str">
        <f t="shared" si="60"/>
        <v>CRO</v>
      </c>
      <c r="AR706" s="44" t="str">
        <f t="shared" si="3"/>
        <v/>
      </c>
      <c r="AS706" s="44"/>
      <c r="AT706" s="44" t="str">
        <f t="shared" si="17"/>
        <v/>
      </c>
      <c r="AU706" s="44" t="str">
        <f t="shared" si="2"/>
        <v/>
      </c>
      <c r="AV706" s="38"/>
      <c r="AW706" s="38"/>
      <c r="AX706" s="38"/>
      <c r="AY706" s="38"/>
      <c r="AZ706" s="29">
        <v>30.0</v>
      </c>
      <c r="BA706" s="29"/>
      <c r="BB706" s="29">
        <v>1.0</v>
      </c>
      <c r="BC706" s="29"/>
      <c r="BD706" s="29" t="s">
        <v>88</v>
      </c>
      <c r="BE706" s="29"/>
      <c r="BF706" s="29" t="s">
        <v>1365</v>
      </c>
      <c r="BG706" s="29" t="s">
        <v>572</v>
      </c>
      <c r="BH706" s="29" t="s">
        <v>88</v>
      </c>
      <c r="BI706" s="29" t="s">
        <v>1424</v>
      </c>
      <c r="BJ706" s="29" t="s">
        <v>1425</v>
      </c>
      <c r="BK706" s="29" t="s">
        <v>180</v>
      </c>
      <c r="BL706" s="29" t="s">
        <v>180</v>
      </c>
      <c r="BM706" s="45"/>
      <c r="BN706" s="45">
        <v>1.0</v>
      </c>
      <c r="BO706" s="46" t="s">
        <v>1365</v>
      </c>
      <c r="BP706" s="2"/>
      <c r="BQ706" s="3"/>
    </row>
    <row r="707" ht="15.75" customHeight="1">
      <c r="A707" s="34">
        <v>711.0</v>
      </c>
      <c r="B707" s="34">
        <v>101813.0</v>
      </c>
      <c r="C707" s="34" t="s">
        <v>76</v>
      </c>
      <c r="D707" s="34" t="s">
        <v>1415</v>
      </c>
      <c r="E707" s="34" t="s">
        <v>1416</v>
      </c>
      <c r="F707" s="34">
        <v>2012.0</v>
      </c>
      <c r="G707" s="34" t="s">
        <v>1417</v>
      </c>
      <c r="H707" s="34" t="s">
        <v>1418</v>
      </c>
      <c r="I707" s="34" t="s">
        <v>1419</v>
      </c>
      <c r="J707" s="35"/>
      <c r="K707" s="36"/>
      <c r="L707" s="36"/>
      <c r="M707" s="36"/>
      <c r="N707" s="36"/>
      <c r="O707" s="36"/>
      <c r="P707" s="37">
        <v>8.8</v>
      </c>
      <c r="Q707" s="36"/>
      <c r="R707" s="36" t="s">
        <v>96</v>
      </c>
      <c r="S707" s="36">
        <v>30.0</v>
      </c>
      <c r="T707" s="36" t="s">
        <v>1420</v>
      </c>
      <c r="U707" s="36" t="s">
        <v>1420</v>
      </c>
      <c r="V707" s="36">
        <v>1.0</v>
      </c>
      <c r="W707" s="36"/>
      <c r="X707" s="38">
        <v>2.0</v>
      </c>
      <c r="Y707" s="38" t="s">
        <v>1421</v>
      </c>
      <c r="Z707" s="38"/>
      <c r="AA707" s="38" t="s">
        <v>86</v>
      </c>
      <c r="AB707" s="38" t="s">
        <v>1422</v>
      </c>
      <c r="AC707" s="38" t="s">
        <v>1423</v>
      </c>
      <c r="AD707" s="38" t="s">
        <v>198</v>
      </c>
      <c r="AE707" s="38"/>
      <c r="AF707" s="38"/>
      <c r="AG707" s="38"/>
      <c r="AH707" s="38"/>
      <c r="AI707" s="50"/>
      <c r="AJ707" s="50"/>
      <c r="AK707" s="41"/>
      <c r="AL707" s="40"/>
      <c r="AM707" s="49"/>
      <c r="AN707" s="51"/>
      <c r="AO707" s="42"/>
      <c r="AP707" s="43"/>
      <c r="AQ707" s="44" t="str">
        <f t="shared" si="60"/>
        <v>CRO</v>
      </c>
      <c r="AR707" s="44" t="str">
        <f t="shared" si="3"/>
        <v/>
      </c>
      <c r="AS707" s="44"/>
      <c r="AT707" s="44" t="str">
        <f t="shared" si="17"/>
        <v/>
      </c>
      <c r="AU707" s="44" t="str">
        <f t="shared" si="2"/>
        <v/>
      </c>
      <c r="AV707" s="38"/>
      <c r="AW707" s="38"/>
      <c r="AX707" s="38"/>
      <c r="AY707" s="38"/>
      <c r="AZ707" s="29">
        <v>30.0</v>
      </c>
      <c r="BA707" s="29"/>
      <c r="BB707" s="29">
        <v>1.0</v>
      </c>
      <c r="BC707" s="29"/>
      <c r="BD707" s="29" t="s">
        <v>88</v>
      </c>
      <c r="BE707" s="29"/>
      <c r="BF707" s="29" t="s">
        <v>1365</v>
      </c>
      <c r="BG707" s="29" t="s">
        <v>572</v>
      </c>
      <c r="BH707" s="29" t="s">
        <v>88</v>
      </c>
      <c r="BI707" s="29" t="s">
        <v>1424</v>
      </c>
      <c r="BJ707" s="29" t="s">
        <v>1425</v>
      </c>
      <c r="BK707" s="29" t="s">
        <v>180</v>
      </c>
      <c r="BL707" s="29" t="s">
        <v>180</v>
      </c>
      <c r="BM707" s="45"/>
      <c r="BN707" s="45">
        <v>1.0</v>
      </c>
      <c r="BO707" s="46"/>
      <c r="BP707" s="2"/>
      <c r="BQ707" s="3"/>
    </row>
    <row r="708" ht="15.75" customHeight="1">
      <c r="A708" s="34">
        <v>712.0</v>
      </c>
      <c r="B708" s="34">
        <v>101813.0</v>
      </c>
      <c r="C708" s="34" t="s">
        <v>76</v>
      </c>
      <c r="D708" s="34" t="s">
        <v>1415</v>
      </c>
      <c r="E708" s="34" t="s">
        <v>1416</v>
      </c>
      <c r="F708" s="34">
        <v>2012.0</v>
      </c>
      <c r="G708" s="34" t="s">
        <v>1417</v>
      </c>
      <c r="H708" s="34" t="s">
        <v>1418</v>
      </c>
      <c r="I708" s="34" t="s">
        <v>1419</v>
      </c>
      <c r="J708" s="35"/>
      <c r="K708" s="36"/>
      <c r="L708" s="36"/>
      <c r="M708" s="36"/>
      <c r="N708" s="36"/>
      <c r="O708" s="36"/>
      <c r="P708" s="37">
        <v>22.4</v>
      </c>
      <c r="Q708" s="36"/>
      <c r="R708" s="36" t="s">
        <v>82</v>
      </c>
      <c r="S708" s="36">
        <v>1000.0</v>
      </c>
      <c r="T708" s="36" t="s">
        <v>1420</v>
      </c>
      <c r="U708" s="36" t="s">
        <v>1420</v>
      </c>
      <c r="V708" s="36">
        <v>1.0</v>
      </c>
      <c r="W708" s="36"/>
      <c r="X708" s="38">
        <v>2.0</v>
      </c>
      <c r="Y708" s="38" t="s">
        <v>1421</v>
      </c>
      <c r="Z708" s="38"/>
      <c r="AA708" s="38" t="s">
        <v>86</v>
      </c>
      <c r="AB708" s="38" t="s">
        <v>1422</v>
      </c>
      <c r="AC708" s="38" t="s">
        <v>1423</v>
      </c>
      <c r="AD708" s="38" t="s">
        <v>198</v>
      </c>
      <c r="AE708" s="38"/>
      <c r="AF708" s="38"/>
      <c r="AG708" s="38"/>
      <c r="AH708" s="38"/>
      <c r="AI708" s="50"/>
      <c r="AJ708" s="50"/>
      <c r="AK708" s="41"/>
      <c r="AL708" s="40"/>
      <c r="AM708" s="49"/>
      <c r="AN708" s="51"/>
      <c r="AO708" s="42"/>
      <c r="AP708" s="43"/>
      <c r="AQ708" s="44" t="str">
        <f t="shared" si="60"/>
        <v>CRO</v>
      </c>
      <c r="AR708" s="44" t="str">
        <f t="shared" si="3"/>
        <v/>
      </c>
      <c r="AS708" s="44"/>
      <c r="AT708" s="44" t="str">
        <f t="shared" si="17"/>
        <v/>
      </c>
      <c r="AU708" s="44" t="str">
        <f t="shared" si="2"/>
        <v/>
      </c>
      <c r="AV708" s="38"/>
      <c r="AW708" s="38"/>
      <c r="AX708" s="38"/>
      <c r="AY708" s="38"/>
      <c r="AZ708" s="29">
        <v>1000.0</v>
      </c>
      <c r="BA708" s="29"/>
      <c r="BB708" s="29">
        <v>1.0</v>
      </c>
      <c r="BC708" s="29"/>
      <c r="BD708" s="29" t="s">
        <v>88</v>
      </c>
      <c r="BE708" s="29"/>
      <c r="BF708" s="29" t="s">
        <v>1365</v>
      </c>
      <c r="BG708" s="29" t="s">
        <v>572</v>
      </c>
      <c r="BH708" s="29" t="s">
        <v>88</v>
      </c>
      <c r="BI708" s="29" t="s">
        <v>1424</v>
      </c>
      <c r="BJ708" s="29" t="s">
        <v>1425</v>
      </c>
      <c r="BK708" s="29" t="s">
        <v>148</v>
      </c>
      <c r="BL708" s="29" t="s">
        <v>148</v>
      </c>
      <c r="BM708" s="45"/>
      <c r="BN708" s="45">
        <v>1.0</v>
      </c>
      <c r="BO708" s="46"/>
      <c r="BP708" s="2"/>
      <c r="BQ708" s="3"/>
    </row>
    <row r="709" ht="15.75" customHeight="1">
      <c r="A709" s="34">
        <v>713.0</v>
      </c>
      <c r="B709" s="34">
        <v>101813.0</v>
      </c>
      <c r="C709" s="34" t="s">
        <v>76</v>
      </c>
      <c r="D709" s="34" t="s">
        <v>1415</v>
      </c>
      <c r="E709" s="34" t="s">
        <v>1416</v>
      </c>
      <c r="F709" s="34">
        <v>2012.0</v>
      </c>
      <c r="G709" s="34" t="s">
        <v>1417</v>
      </c>
      <c r="H709" s="34" t="s">
        <v>1418</v>
      </c>
      <c r="I709" s="34" t="s">
        <v>1419</v>
      </c>
      <c r="J709" s="35"/>
      <c r="K709" s="36"/>
      <c r="L709" s="36"/>
      <c r="M709" s="36"/>
      <c r="N709" s="36"/>
      <c r="O709" s="36"/>
      <c r="P709" s="37">
        <v>17.0</v>
      </c>
      <c r="Q709" s="36"/>
      <c r="R709" s="36" t="s">
        <v>96</v>
      </c>
      <c r="S709" s="36">
        <v>1000.0</v>
      </c>
      <c r="T709" s="36" t="s">
        <v>1420</v>
      </c>
      <c r="U709" s="36" t="s">
        <v>1420</v>
      </c>
      <c r="V709" s="36">
        <v>1.0</v>
      </c>
      <c r="W709" s="36"/>
      <c r="X709" s="38">
        <v>2.0</v>
      </c>
      <c r="Y709" s="38" t="s">
        <v>1421</v>
      </c>
      <c r="Z709" s="38"/>
      <c r="AA709" s="38" t="s">
        <v>86</v>
      </c>
      <c r="AB709" s="38" t="s">
        <v>1422</v>
      </c>
      <c r="AC709" s="38" t="s">
        <v>1423</v>
      </c>
      <c r="AD709" s="38" t="s">
        <v>198</v>
      </c>
      <c r="AE709" s="38"/>
      <c r="AF709" s="38"/>
      <c r="AG709" s="38"/>
      <c r="AH709" s="38"/>
      <c r="AI709" s="50"/>
      <c r="AJ709" s="50"/>
      <c r="AK709" s="41"/>
      <c r="AL709" s="40"/>
      <c r="AM709" s="49"/>
      <c r="AN709" s="51"/>
      <c r="AO709" s="42"/>
      <c r="AP709" s="43"/>
      <c r="AQ709" s="44" t="str">
        <f t="shared" si="60"/>
        <v>CRO</v>
      </c>
      <c r="AR709" s="44" t="str">
        <f t="shared" si="3"/>
        <v/>
      </c>
      <c r="AS709" s="44"/>
      <c r="AT709" s="44" t="str">
        <f t="shared" si="17"/>
        <v/>
      </c>
      <c r="AU709" s="44" t="str">
        <f t="shared" si="2"/>
        <v/>
      </c>
      <c r="AV709" s="38"/>
      <c r="AW709" s="38"/>
      <c r="AX709" s="38"/>
      <c r="AY709" s="38"/>
      <c r="AZ709" s="29">
        <v>1000.0</v>
      </c>
      <c r="BA709" s="29"/>
      <c r="BB709" s="29">
        <v>1.0</v>
      </c>
      <c r="BC709" s="29"/>
      <c r="BD709" s="29" t="s">
        <v>88</v>
      </c>
      <c r="BE709" s="29"/>
      <c r="BF709" s="29" t="s">
        <v>1365</v>
      </c>
      <c r="BG709" s="29" t="s">
        <v>572</v>
      </c>
      <c r="BH709" s="29" t="s">
        <v>88</v>
      </c>
      <c r="BI709" s="29" t="s">
        <v>1424</v>
      </c>
      <c r="BJ709" s="29" t="s">
        <v>1425</v>
      </c>
      <c r="BK709" s="29" t="s">
        <v>148</v>
      </c>
      <c r="BL709" s="29" t="s">
        <v>148</v>
      </c>
      <c r="BM709" s="45"/>
      <c r="BN709" s="45">
        <v>1.0</v>
      </c>
      <c r="BO709" s="46"/>
      <c r="BP709" s="2"/>
      <c r="BQ709" s="3"/>
    </row>
    <row r="710" ht="15.75" customHeight="1">
      <c r="A710" s="34">
        <v>714.0</v>
      </c>
      <c r="B710" s="34">
        <v>101813.0</v>
      </c>
      <c r="C710" s="34" t="s">
        <v>76</v>
      </c>
      <c r="D710" s="34" t="s">
        <v>1415</v>
      </c>
      <c r="E710" s="34" t="s">
        <v>1416</v>
      </c>
      <c r="F710" s="34">
        <v>2012.0</v>
      </c>
      <c r="G710" s="34" t="s">
        <v>1417</v>
      </c>
      <c r="H710" s="34" t="s">
        <v>1418</v>
      </c>
      <c r="I710" s="34" t="s">
        <v>1419</v>
      </c>
      <c r="J710" s="35"/>
      <c r="K710" s="36"/>
      <c r="L710" s="36"/>
      <c r="M710" s="36"/>
      <c r="N710" s="36"/>
      <c r="O710" s="36"/>
      <c r="P710" s="37">
        <v>23.2</v>
      </c>
      <c r="Q710" s="36"/>
      <c r="R710" s="36" t="s">
        <v>82</v>
      </c>
      <c r="S710" s="36">
        <v>1000.0</v>
      </c>
      <c r="T710" s="36" t="s">
        <v>1426</v>
      </c>
      <c r="U710" s="36" t="s">
        <v>1427</v>
      </c>
      <c r="V710" s="36"/>
      <c r="W710" s="36"/>
      <c r="X710" s="38">
        <v>2.0</v>
      </c>
      <c r="Y710" s="38" t="s">
        <v>1421</v>
      </c>
      <c r="Z710" s="38"/>
      <c r="AA710" s="38" t="s">
        <v>86</v>
      </c>
      <c r="AB710" s="38" t="s">
        <v>1422</v>
      </c>
      <c r="AC710" s="38" t="s">
        <v>1423</v>
      </c>
      <c r="AD710" s="38" t="s">
        <v>198</v>
      </c>
      <c r="AE710" s="38"/>
      <c r="AF710" s="38"/>
      <c r="AG710" s="38"/>
      <c r="AH710" s="38"/>
      <c r="AI710" s="50"/>
      <c r="AJ710" s="50"/>
      <c r="AK710" s="41"/>
      <c r="AL710" s="40"/>
      <c r="AM710" s="49"/>
      <c r="AN710" s="51"/>
      <c r="AO710" s="42"/>
      <c r="AP710" s="43"/>
      <c r="AQ710" s="44" t="str">
        <f t="shared" si="60"/>
        <v>CRO</v>
      </c>
      <c r="AR710" s="44" t="str">
        <f t="shared" si="3"/>
        <v/>
      </c>
      <c r="AS710" s="44"/>
      <c r="AT710" s="44" t="str">
        <f t="shared" si="17"/>
        <v/>
      </c>
      <c r="AU710" s="44" t="str">
        <f t="shared" si="2"/>
        <v/>
      </c>
      <c r="AV710" s="38"/>
      <c r="AW710" s="38"/>
      <c r="AX710" s="38"/>
      <c r="AY710" s="38"/>
      <c r="AZ710" s="29">
        <v>1000.0</v>
      </c>
      <c r="BA710" s="29"/>
      <c r="BB710" s="29">
        <v>1.0</v>
      </c>
      <c r="BC710" s="29"/>
      <c r="BD710" s="29" t="s">
        <v>88</v>
      </c>
      <c r="BE710" s="29"/>
      <c r="BF710" s="29" t="s">
        <v>1365</v>
      </c>
      <c r="BG710" s="29" t="s">
        <v>572</v>
      </c>
      <c r="BH710" s="29" t="s">
        <v>88</v>
      </c>
      <c r="BI710" s="29" t="s">
        <v>1424</v>
      </c>
      <c r="BJ710" s="29" t="s">
        <v>1425</v>
      </c>
      <c r="BK710" s="29" t="s">
        <v>148</v>
      </c>
      <c r="BL710" s="29" t="s">
        <v>148</v>
      </c>
      <c r="BM710" s="45"/>
      <c r="BN710" s="45">
        <v>1.0</v>
      </c>
      <c r="BO710" s="46"/>
      <c r="BP710" s="2"/>
      <c r="BQ710" s="3"/>
    </row>
    <row r="711" ht="15.75" customHeight="1">
      <c r="A711" s="34">
        <v>715.0</v>
      </c>
      <c r="B711" s="34">
        <v>101813.0</v>
      </c>
      <c r="C711" s="34" t="s">
        <v>76</v>
      </c>
      <c r="D711" s="34" t="s">
        <v>1415</v>
      </c>
      <c r="E711" s="34" t="s">
        <v>1416</v>
      </c>
      <c r="F711" s="34">
        <v>2012.0</v>
      </c>
      <c r="G711" s="34" t="s">
        <v>1417</v>
      </c>
      <c r="H711" s="34" t="s">
        <v>1418</v>
      </c>
      <c r="I711" s="34" t="s">
        <v>1419</v>
      </c>
      <c r="J711" s="35"/>
      <c r="K711" s="36"/>
      <c r="L711" s="36"/>
      <c r="M711" s="36"/>
      <c r="N711" s="36"/>
      <c r="O711" s="36"/>
      <c r="P711" s="37">
        <v>17.9</v>
      </c>
      <c r="Q711" s="36"/>
      <c r="R711" s="36" t="s">
        <v>96</v>
      </c>
      <c r="S711" s="36">
        <v>1000.0</v>
      </c>
      <c r="T711" s="36" t="s">
        <v>1426</v>
      </c>
      <c r="U711" s="36" t="s">
        <v>1427</v>
      </c>
      <c r="V711" s="36"/>
      <c r="W711" s="36"/>
      <c r="X711" s="38">
        <v>2.0</v>
      </c>
      <c r="Y711" s="38" t="s">
        <v>1421</v>
      </c>
      <c r="Z711" s="38"/>
      <c r="AA711" s="38" t="s">
        <v>86</v>
      </c>
      <c r="AB711" s="38" t="s">
        <v>1422</v>
      </c>
      <c r="AC711" s="38" t="s">
        <v>1423</v>
      </c>
      <c r="AD711" s="38" t="s">
        <v>198</v>
      </c>
      <c r="AE711" s="38"/>
      <c r="AF711" s="38"/>
      <c r="AG711" s="38"/>
      <c r="AH711" s="38"/>
      <c r="AI711" s="50"/>
      <c r="AJ711" s="50"/>
      <c r="AK711" s="41"/>
      <c r="AL711" s="40"/>
      <c r="AM711" s="49"/>
      <c r="AN711" s="51"/>
      <c r="AO711" s="42"/>
      <c r="AP711" s="43"/>
      <c r="AQ711" s="44" t="str">
        <f t="shared" si="60"/>
        <v>CRO</v>
      </c>
      <c r="AR711" s="44" t="str">
        <f t="shared" si="3"/>
        <v/>
      </c>
      <c r="AS711" s="44"/>
      <c r="AT711" s="44" t="str">
        <f t="shared" si="17"/>
        <v/>
      </c>
      <c r="AU711" s="44" t="str">
        <f t="shared" si="2"/>
        <v/>
      </c>
      <c r="AV711" s="38"/>
      <c r="AW711" s="38"/>
      <c r="AX711" s="38"/>
      <c r="AY711" s="38"/>
      <c r="AZ711" s="29">
        <v>1000.0</v>
      </c>
      <c r="BA711" s="29"/>
      <c r="BB711" s="29">
        <v>1.0</v>
      </c>
      <c r="BC711" s="29"/>
      <c r="BD711" s="29" t="s">
        <v>88</v>
      </c>
      <c r="BE711" s="29"/>
      <c r="BF711" s="29" t="s">
        <v>1365</v>
      </c>
      <c r="BG711" s="29" t="s">
        <v>572</v>
      </c>
      <c r="BH711" s="29" t="s">
        <v>88</v>
      </c>
      <c r="BI711" s="29" t="s">
        <v>1424</v>
      </c>
      <c r="BJ711" s="29" t="s">
        <v>1425</v>
      </c>
      <c r="BK711" s="29" t="s">
        <v>148</v>
      </c>
      <c r="BL711" s="29" t="s">
        <v>148</v>
      </c>
      <c r="BM711" s="45"/>
      <c r="BN711" s="45">
        <v>1.0</v>
      </c>
      <c r="BO711" s="46"/>
      <c r="BP711" s="2"/>
      <c r="BQ711" s="3"/>
    </row>
    <row r="712" ht="15.75" customHeight="1">
      <c r="A712" s="34">
        <v>717.0</v>
      </c>
      <c r="B712" s="34">
        <v>101390.0</v>
      </c>
      <c r="C712" s="34" t="s">
        <v>76</v>
      </c>
      <c r="D712" s="34" t="s">
        <v>1428</v>
      </c>
      <c r="E712" s="34" t="s">
        <v>1429</v>
      </c>
      <c r="F712" s="34">
        <v>2014.0</v>
      </c>
      <c r="G712" s="34" t="s">
        <v>1430</v>
      </c>
      <c r="H712" s="34" t="s">
        <v>1431</v>
      </c>
      <c r="I712" s="34" t="s">
        <v>1432</v>
      </c>
      <c r="J712" s="35"/>
      <c r="K712" s="36"/>
      <c r="L712" s="36"/>
      <c r="M712" s="36"/>
      <c r="N712" s="36">
        <v>72.4</v>
      </c>
      <c r="O712" s="36">
        <v>173.68</v>
      </c>
      <c r="P712" s="52">
        <f t="shared" ref="P712:P714" si="62">N712/O712*100</f>
        <v>41.68585905</v>
      </c>
      <c r="Q712" s="36"/>
      <c r="R712" s="36" t="s">
        <v>82</v>
      </c>
      <c r="S712" s="36">
        <v>1000.0</v>
      </c>
      <c r="T712" s="36" t="s">
        <v>242</v>
      </c>
      <c r="U712" s="36" t="s">
        <v>243</v>
      </c>
      <c r="V712" s="36"/>
      <c r="W712" s="36" t="s">
        <v>169</v>
      </c>
      <c r="X712" s="38">
        <v>1.0</v>
      </c>
      <c r="Y712" s="38" t="s">
        <v>1433</v>
      </c>
      <c r="Z712" s="38" t="s">
        <v>1434</v>
      </c>
      <c r="AA712" s="38" t="s">
        <v>86</v>
      </c>
      <c r="AB712" s="38" t="s">
        <v>1435</v>
      </c>
      <c r="AC712" s="38" t="s">
        <v>1436</v>
      </c>
      <c r="AD712" s="38" t="s">
        <v>1130</v>
      </c>
      <c r="AE712" s="53"/>
      <c r="AF712" s="38"/>
      <c r="AG712" s="57" t="s">
        <v>445</v>
      </c>
      <c r="AH712" s="38">
        <v>10.0</v>
      </c>
      <c r="AI712" s="50">
        <v>37.16</v>
      </c>
      <c r="AJ712" s="50">
        <v>127.65</v>
      </c>
      <c r="AK712" s="41" t="s">
        <v>86</v>
      </c>
      <c r="AL712" s="40" t="s">
        <v>86</v>
      </c>
      <c r="AM712" s="49">
        <v>65.0</v>
      </c>
      <c r="AN712" s="51">
        <v>65.0</v>
      </c>
      <c r="AO712" s="42" t="s">
        <v>218</v>
      </c>
      <c r="AP712" s="43" t="s">
        <v>218</v>
      </c>
      <c r="AQ712" s="44" t="str">
        <f t="shared" si="60"/>
        <v>CRO</v>
      </c>
      <c r="AR712" s="44">
        <f t="shared" si="3"/>
        <v>65</v>
      </c>
      <c r="AS712" s="44" t="str">
        <f t="shared" ref="AS712:AS763" si="63">LEFT(AO712,1)</f>
        <v>D</v>
      </c>
      <c r="AT712" s="44" t="str">
        <f t="shared" si="17"/>
        <v>Dw</v>
      </c>
      <c r="AU712" s="44" t="str">
        <f t="shared" si="2"/>
        <v>Dwa</v>
      </c>
      <c r="AV712" s="38">
        <v>1.0</v>
      </c>
      <c r="AW712" s="38">
        <v>1.0</v>
      </c>
      <c r="AX712" s="38"/>
      <c r="AY712" s="38"/>
      <c r="AZ712" s="29">
        <v>1000.0</v>
      </c>
      <c r="BA712" s="29"/>
      <c r="BB712" s="29">
        <v>1.0</v>
      </c>
      <c r="BC712" s="29" t="s">
        <v>1437</v>
      </c>
      <c r="BD712" s="29" t="s">
        <v>88</v>
      </c>
      <c r="BE712" s="29"/>
      <c r="BF712" s="29" t="s">
        <v>936</v>
      </c>
      <c r="BG712" s="29" t="s">
        <v>572</v>
      </c>
      <c r="BH712" s="29" t="s">
        <v>88</v>
      </c>
      <c r="BI712" s="29" t="s">
        <v>1438</v>
      </c>
      <c r="BJ712" s="29"/>
      <c r="BK712" s="29" t="s">
        <v>148</v>
      </c>
      <c r="BL712" s="29" t="s">
        <v>148</v>
      </c>
      <c r="BM712" s="45"/>
      <c r="BN712" s="45">
        <v>1.0</v>
      </c>
      <c r="BO712" s="46"/>
      <c r="BP712" s="2"/>
      <c r="BQ712" s="3"/>
    </row>
    <row r="713" ht="15.75" customHeight="1">
      <c r="A713" s="34">
        <v>718.0</v>
      </c>
      <c r="B713" s="34">
        <v>101390.0</v>
      </c>
      <c r="C713" s="34" t="s">
        <v>76</v>
      </c>
      <c r="D713" s="34" t="s">
        <v>1428</v>
      </c>
      <c r="E713" s="34" t="s">
        <v>1429</v>
      </c>
      <c r="F713" s="34">
        <v>2014.0</v>
      </c>
      <c r="G713" s="34" t="s">
        <v>1430</v>
      </c>
      <c r="H713" s="34" t="s">
        <v>1431</v>
      </c>
      <c r="I713" s="34" t="s">
        <v>1432</v>
      </c>
      <c r="J713" s="35"/>
      <c r="K713" s="36"/>
      <c r="L713" s="36"/>
      <c r="M713" s="36"/>
      <c r="N713" s="36">
        <v>-105.55</v>
      </c>
      <c r="O713" s="36">
        <v>351.62</v>
      </c>
      <c r="P713" s="52">
        <f t="shared" si="62"/>
        <v>-30.01820147</v>
      </c>
      <c r="Q713" s="36"/>
      <c r="R713" s="36" t="s">
        <v>82</v>
      </c>
      <c r="S713" s="36">
        <v>1000.0</v>
      </c>
      <c r="T713" s="36" t="s">
        <v>242</v>
      </c>
      <c r="U713" s="36" t="s">
        <v>243</v>
      </c>
      <c r="V713" s="36"/>
      <c r="W713" s="36" t="s">
        <v>169</v>
      </c>
      <c r="X713" s="38">
        <v>1.0</v>
      </c>
      <c r="Y713" s="38" t="s">
        <v>1433</v>
      </c>
      <c r="Z713" s="38" t="s">
        <v>1434</v>
      </c>
      <c r="AA713" s="38" t="s">
        <v>86</v>
      </c>
      <c r="AB713" s="38" t="s">
        <v>1435</v>
      </c>
      <c r="AC713" s="38" t="s">
        <v>1436</v>
      </c>
      <c r="AD713" s="38" t="s">
        <v>1130</v>
      </c>
      <c r="AE713" s="53"/>
      <c r="AF713" s="38"/>
      <c r="AG713" s="57"/>
      <c r="AH713" s="38">
        <v>10.0</v>
      </c>
      <c r="AI713" s="50">
        <v>37.16</v>
      </c>
      <c r="AJ713" s="50">
        <v>127.65</v>
      </c>
      <c r="AK713" s="41" t="s">
        <v>86</v>
      </c>
      <c r="AL713" s="40" t="s">
        <v>86</v>
      </c>
      <c r="AM713" s="49">
        <v>65.0</v>
      </c>
      <c r="AN713" s="51">
        <v>65.0</v>
      </c>
      <c r="AO713" s="42" t="s">
        <v>218</v>
      </c>
      <c r="AP713" s="43" t="s">
        <v>218</v>
      </c>
      <c r="AQ713" s="44" t="str">
        <f t="shared" si="60"/>
        <v>CRO</v>
      </c>
      <c r="AR713" s="44">
        <f t="shared" si="3"/>
        <v>65</v>
      </c>
      <c r="AS713" s="44" t="str">
        <f t="shared" si="63"/>
        <v>D</v>
      </c>
      <c r="AT713" s="44" t="str">
        <f t="shared" si="17"/>
        <v>Dw</v>
      </c>
      <c r="AU713" s="44" t="str">
        <f t="shared" si="2"/>
        <v>Dwa</v>
      </c>
      <c r="AV713" s="38">
        <v>3.0</v>
      </c>
      <c r="AW713" s="38">
        <v>1.0</v>
      </c>
      <c r="AX713" s="38"/>
      <c r="AY713" s="38"/>
      <c r="AZ713" s="29">
        <v>1000.0</v>
      </c>
      <c r="BA713" s="29"/>
      <c r="BB713" s="29">
        <v>1.0</v>
      </c>
      <c r="BC713" s="29" t="s">
        <v>1437</v>
      </c>
      <c r="BD713" s="29" t="s">
        <v>88</v>
      </c>
      <c r="BE713" s="29"/>
      <c r="BF713" s="29" t="s">
        <v>936</v>
      </c>
      <c r="BG713" s="29" t="s">
        <v>572</v>
      </c>
      <c r="BH713" s="29" t="s">
        <v>88</v>
      </c>
      <c r="BI713" s="29" t="s">
        <v>1438</v>
      </c>
      <c r="BJ713" s="29"/>
      <c r="BK713" s="29" t="s">
        <v>148</v>
      </c>
      <c r="BL713" s="29" t="s">
        <v>148</v>
      </c>
      <c r="BM713" s="45"/>
      <c r="BN713" s="45">
        <v>1.0</v>
      </c>
      <c r="BO713" s="46"/>
      <c r="BP713" s="2"/>
      <c r="BQ713" s="3"/>
    </row>
    <row r="714" ht="15.75" customHeight="1">
      <c r="A714" s="34">
        <v>719.0</v>
      </c>
      <c r="B714" s="34">
        <v>101390.0</v>
      </c>
      <c r="C714" s="34" t="s">
        <v>76</v>
      </c>
      <c r="D714" s="34" t="s">
        <v>1428</v>
      </c>
      <c r="E714" s="34" t="s">
        <v>1429</v>
      </c>
      <c r="F714" s="34">
        <v>2014.0</v>
      </c>
      <c r="G714" s="34" t="s">
        <v>1430</v>
      </c>
      <c r="H714" s="34" t="s">
        <v>1431</v>
      </c>
      <c r="I714" s="34" t="s">
        <v>1432</v>
      </c>
      <c r="J714" s="35"/>
      <c r="K714" s="36"/>
      <c r="L714" s="36"/>
      <c r="M714" s="36"/>
      <c r="N714" s="36">
        <v>-190.48</v>
      </c>
      <c r="O714" s="36">
        <v>436.55</v>
      </c>
      <c r="P714" s="52">
        <f t="shared" si="62"/>
        <v>-43.63303173</v>
      </c>
      <c r="Q714" s="36"/>
      <c r="R714" s="36" t="s">
        <v>82</v>
      </c>
      <c r="S714" s="36">
        <v>1000.0</v>
      </c>
      <c r="T714" s="36" t="s">
        <v>242</v>
      </c>
      <c r="U714" s="36" t="s">
        <v>243</v>
      </c>
      <c r="V714" s="36"/>
      <c r="W714" s="36" t="s">
        <v>169</v>
      </c>
      <c r="X714" s="38">
        <v>1.0</v>
      </c>
      <c r="Y714" s="38" t="s">
        <v>1433</v>
      </c>
      <c r="Z714" s="38" t="s">
        <v>1434</v>
      </c>
      <c r="AA714" s="38" t="s">
        <v>86</v>
      </c>
      <c r="AB714" s="38" t="s">
        <v>1435</v>
      </c>
      <c r="AC714" s="38" t="s">
        <v>1436</v>
      </c>
      <c r="AD714" s="38" t="s">
        <v>1130</v>
      </c>
      <c r="AE714" s="53"/>
      <c r="AF714" s="38"/>
      <c r="AG714" s="57"/>
      <c r="AH714" s="38">
        <v>10.0</v>
      </c>
      <c r="AI714" s="50">
        <v>37.16</v>
      </c>
      <c r="AJ714" s="50">
        <v>127.65</v>
      </c>
      <c r="AK714" s="41" t="s">
        <v>86</v>
      </c>
      <c r="AL714" s="40" t="s">
        <v>86</v>
      </c>
      <c r="AM714" s="49">
        <v>65.0</v>
      </c>
      <c r="AN714" s="51">
        <v>65.0</v>
      </c>
      <c r="AO714" s="42" t="s">
        <v>218</v>
      </c>
      <c r="AP714" s="43" t="s">
        <v>218</v>
      </c>
      <c r="AQ714" s="44" t="str">
        <f t="shared" si="60"/>
        <v>CRO</v>
      </c>
      <c r="AR714" s="44">
        <f t="shared" si="3"/>
        <v>65</v>
      </c>
      <c r="AS714" s="44" t="str">
        <f t="shared" si="63"/>
        <v>D</v>
      </c>
      <c r="AT714" s="44" t="str">
        <f t="shared" si="17"/>
        <v>Dw</v>
      </c>
      <c r="AU714" s="44" t="str">
        <f t="shared" si="2"/>
        <v>Dwa</v>
      </c>
      <c r="AV714" s="38">
        <v>2.0</v>
      </c>
      <c r="AW714" s="38">
        <v>1.0</v>
      </c>
      <c r="AX714" s="38"/>
      <c r="AY714" s="38"/>
      <c r="AZ714" s="29">
        <v>1000.0</v>
      </c>
      <c r="BA714" s="29"/>
      <c r="BB714" s="29">
        <v>1.0</v>
      </c>
      <c r="BC714" s="29" t="s">
        <v>1437</v>
      </c>
      <c r="BD714" s="29" t="s">
        <v>88</v>
      </c>
      <c r="BE714" s="29"/>
      <c r="BF714" s="29" t="s">
        <v>936</v>
      </c>
      <c r="BG714" s="29" t="s">
        <v>572</v>
      </c>
      <c r="BH714" s="29" t="s">
        <v>88</v>
      </c>
      <c r="BI714" s="29" t="s">
        <v>1438</v>
      </c>
      <c r="BJ714" s="29"/>
      <c r="BK714" s="29" t="s">
        <v>148</v>
      </c>
      <c r="BL714" s="29" t="s">
        <v>148</v>
      </c>
      <c r="BM714" s="45"/>
      <c r="BN714" s="45">
        <v>1.0</v>
      </c>
      <c r="BO714" s="46"/>
      <c r="BP714" s="2"/>
      <c r="BQ714" s="3"/>
    </row>
    <row r="715" ht="15.75" customHeight="1">
      <c r="A715" s="34">
        <v>720.0</v>
      </c>
      <c r="B715" s="34">
        <v>101390.0</v>
      </c>
      <c r="C715" s="34" t="s">
        <v>76</v>
      </c>
      <c r="D715" s="34" t="s">
        <v>1428</v>
      </c>
      <c r="E715" s="34" t="s">
        <v>1429</v>
      </c>
      <c r="F715" s="34">
        <v>2014.0</v>
      </c>
      <c r="G715" s="34" t="s">
        <v>1430</v>
      </c>
      <c r="H715" s="34" t="s">
        <v>1431</v>
      </c>
      <c r="I715" s="34" t="s">
        <v>1432</v>
      </c>
      <c r="J715" s="35"/>
      <c r="K715" s="36">
        <v>0.96</v>
      </c>
      <c r="L715" s="36">
        <v>2.45</v>
      </c>
      <c r="M715" s="36"/>
      <c r="N715" s="36"/>
      <c r="O715" s="36"/>
      <c r="P715" s="52">
        <f t="shared" ref="P715:P717" si="64">K715/L715*100</f>
        <v>39.18367347</v>
      </c>
      <c r="Q715" s="36" t="s">
        <v>96</v>
      </c>
      <c r="R715" s="36" t="s">
        <v>96</v>
      </c>
      <c r="S715" s="36">
        <v>1000.0</v>
      </c>
      <c r="T715" s="36" t="s">
        <v>242</v>
      </c>
      <c r="U715" s="36" t="s">
        <v>243</v>
      </c>
      <c r="V715" s="36"/>
      <c r="W715" s="36" t="s">
        <v>169</v>
      </c>
      <c r="X715" s="38">
        <v>1.0</v>
      </c>
      <c r="Y715" s="38" t="s">
        <v>1433</v>
      </c>
      <c r="Z715" s="38" t="s">
        <v>1434</v>
      </c>
      <c r="AA715" s="38" t="s">
        <v>86</v>
      </c>
      <c r="AB715" s="38" t="s">
        <v>1435</v>
      </c>
      <c r="AC715" s="38" t="s">
        <v>1436</v>
      </c>
      <c r="AD715" s="38" t="s">
        <v>1130</v>
      </c>
      <c r="AE715" s="53"/>
      <c r="AF715" s="38"/>
      <c r="AG715" s="57" t="s">
        <v>175</v>
      </c>
      <c r="AH715" s="38">
        <v>10.0</v>
      </c>
      <c r="AI715" s="50">
        <v>37.16</v>
      </c>
      <c r="AJ715" s="50">
        <v>127.65</v>
      </c>
      <c r="AK715" s="41" t="s">
        <v>86</v>
      </c>
      <c r="AL715" s="40" t="s">
        <v>86</v>
      </c>
      <c r="AM715" s="49">
        <v>65.0</v>
      </c>
      <c r="AN715" s="51">
        <v>65.0</v>
      </c>
      <c r="AO715" s="42" t="s">
        <v>218</v>
      </c>
      <c r="AP715" s="43" t="s">
        <v>218</v>
      </c>
      <c r="AQ715" s="44" t="str">
        <f t="shared" si="60"/>
        <v>CRO</v>
      </c>
      <c r="AR715" s="44">
        <f t="shared" si="3"/>
        <v>65</v>
      </c>
      <c r="AS715" s="44" t="str">
        <f t="shared" si="63"/>
        <v>D</v>
      </c>
      <c r="AT715" s="44" t="str">
        <f t="shared" si="17"/>
        <v>Dw</v>
      </c>
      <c r="AU715" s="44" t="str">
        <f t="shared" si="2"/>
        <v>Dwa</v>
      </c>
      <c r="AV715" s="38">
        <v>1.0</v>
      </c>
      <c r="AW715" s="38">
        <v>1.0</v>
      </c>
      <c r="AX715" s="38"/>
      <c r="AY715" s="38"/>
      <c r="AZ715" s="29">
        <v>1000.0</v>
      </c>
      <c r="BA715" s="29"/>
      <c r="BB715" s="29">
        <v>1.0</v>
      </c>
      <c r="BC715" s="29" t="s">
        <v>1437</v>
      </c>
      <c r="BD715" s="29" t="s">
        <v>88</v>
      </c>
      <c r="BE715" s="29"/>
      <c r="BF715" s="29" t="s">
        <v>936</v>
      </c>
      <c r="BG715" s="29" t="s">
        <v>572</v>
      </c>
      <c r="BH715" s="29" t="s">
        <v>88</v>
      </c>
      <c r="BI715" s="29" t="s">
        <v>1438</v>
      </c>
      <c r="BJ715" s="29"/>
      <c r="BK715" s="29" t="s">
        <v>148</v>
      </c>
      <c r="BL715" s="29" t="s">
        <v>148</v>
      </c>
      <c r="BM715" s="45"/>
      <c r="BN715" s="45">
        <v>1.0</v>
      </c>
      <c r="BO715" s="46"/>
      <c r="BP715" s="2"/>
      <c r="BQ715" s="3"/>
    </row>
    <row r="716" ht="15.75" customHeight="1">
      <c r="A716" s="34">
        <v>721.0</v>
      </c>
      <c r="B716" s="34">
        <v>101390.0</v>
      </c>
      <c r="C716" s="34" t="s">
        <v>76</v>
      </c>
      <c r="D716" s="34" t="s">
        <v>1428</v>
      </c>
      <c r="E716" s="34" t="s">
        <v>1429</v>
      </c>
      <c r="F716" s="34">
        <v>2014.0</v>
      </c>
      <c r="G716" s="34" t="s">
        <v>1430</v>
      </c>
      <c r="H716" s="34" t="s">
        <v>1431</v>
      </c>
      <c r="I716" s="34" t="s">
        <v>1432</v>
      </c>
      <c r="J716" s="35"/>
      <c r="K716" s="36">
        <v>-0.45</v>
      </c>
      <c r="L716" s="36">
        <v>3.86</v>
      </c>
      <c r="M716" s="36"/>
      <c r="N716" s="36"/>
      <c r="O716" s="36"/>
      <c r="P716" s="52">
        <f t="shared" si="64"/>
        <v>-11.65803109</v>
      </c>
      <c r="Q716" s="36" t="s">
        <v>96</v>
      </c>
      <c r="R716" s="36" t="s">
        <v>96</v>
      </c>
      <c r="S716" s="36">
        <v>1000.0</v>
      </c>
      <c r="T716" s="36" t="s">
        <v>242</v>
      </c>
      <c r="U716" s="36" t="s">
        <v>243</v>
      </c>
      <c r="V716" s="36"/>
      <c r="W716" s="36" t="s">
        <v>169</v>
      </c>
      <c r="X716" s="38">
        <v>1.0</v>
      </c>
      <c r="Y716" s="38" t="s">
        <v>1433</v>
      </c>
      <c r="Z716" s="38" t="s">
        <v>1434</v>
      </c>
      <c r="AA716" s="38" t="s">
        <v>86</v>
      </c>
      <c r="AB716" s="38" t="s">
        <v>1435</v>
      </c>
      <c r="AC716" s="38" t="s">
        <v>1436</v>
      </c>
      <c r="AD716" s="38" t="s">
        <v>1130</v>
      </c>
      <c r="AE716" s="53"/>
      <c r="AF716" s="38"/>
      <c r="AG716" s="57" t="s">
        <v>107</v>
      </c>
      <c r="AH716" s="38">
        <v>10.0</v>
      </c>
      <c r="AI716" s="50">
        <v>37.16</v>
      </c>
      <c r="AJ716" s="50">
        <v>127.65</v>
      </c>
      <c r="AK716" s="41" t="s">
        <v>86</v>
      </c>
      <c r="AL716" s="40" t="s">
        <v>86</v>
      </c>
      <c r="AM716" s="49">
        <v>65.0</v>
      </c>
      <c r="AN716" s="51">
        <v>65.0</v>
      </c>
      <c r="AO716" s="42" t="s">
        <v>218</v>
      </c>
      <c r="AP716" s="43" t="s">
        <v>218</v>
      </c>
      <c r="AQ716" s="44" t="str">
        <f t="shared" si="60"/>
        <v>CRO</v>
      </c>
      <c r="AR716" s="44">
        <f t="shared" si="3"/>
        <v>65</v>
      </c>
      <c r="AS716" s="44" t="str">
        <f t="shared" si="63"/>
        <v>D</v>
      </c>
      <c r="AT716" s="44" t="str">
        <f t="shared" si="17"/>
        <v>Dw</v>
      </c>
      <c r="AU716" s="44" t="str">
        <f t="shared" si="2"/>
        <v>Dwa</v>
      </c>
      <c r="AV716" s="38">
        <v>3.0</v>
      </c>
      <c r="AW716" s="38">
        <v>1.0</v>
      </c>
      <c r="AX716" s="38"/>
      <c r="AY716" s="38"/>
      <c r="AZ716" s="29">
        <v>1000.0</v>
      </c>
      <c r="BA716" s="29"/>
      <c r="BB716" s="29">
        <v>1.0</v>
      </c>
      <c r="BC716" s="29" t="s">
        <v>1437</v>
      </c>
      <c r="BD716" s="29" t="s">
        <v>88</v>
      </c>
      <c r="BE716" s="29"/>
      <c r="BF716" s="29" t="s">
        <v>936</v>
      </c>
      <c r="BG716" s="29" t="s">
        <v>572</v>
      </c>
      <c r="BH716" s="29" t="s">
        <v>88</v>
      </c>
      <c r="BI716" s="29" t="s">
        <v>1438</v>
      </c>
      <c r="BJ716" s="29"/>
      <c r="BK716" s="29" t="s">
        <v>148</v>
      </c>
      <c r="BL716" s="29" t="s">
        <v>148</v>
      </c>
      <c r="BM716" s="45"/>
      <c r="BN716" s="45">
        <v>1.0</v>
      </c>
      <c r="BO716" s="46"/>
      <c r="BP716" s="2"/>
      <c r="BQ716" s="3"/>
    </row>
    <row r="717" ht="15.75" customHeight="1">
      <c r="A717" s="34">
        <v>722.0</v>
      </c>
      <c r="B717" s="34">
        <v>101390.0</v>
      </c>
      <c r="C717" s="34" t="s">
        <v>76</v>
      </c>
      <c r="D717" s="34" t="s">
        <v>1428</v>
      </c>
      <c r="E717" s="34" t="s">
        <v>1429</v>
      </c>
      <c r="F717" s="34">
        <v>2014.0</v>
      </c>
      <c r="G717" s="34" t="s">
        <v>1430</v>
      </c>
      <c r="H717" s="34" t="s">
        <v>1431</v>
      </c>
      <c r="I717" s="34" t="s">
        <v>1432</v>
      </c>
      <c r="J717" s="35"/>
      <c r="K717" s="36">
        <v>-0.81</v>
      </c>
      <c r="L717" s="36">
        <v>4.22</v>
      </c>
      <c r="M717" s="36"/>
      <c r="N717" s="36"/>
      <c r="O717" s="36"/>
      <c r="P717" s="52">
        <f t="shared" si="64"/>
        <v>-19.1943128</v>
      </c>
      <c r="Q717" s="36" t="s">
        <v>96</v>
      </c>
      <c r="R717" s="36" t="s">
        <v>96</v>
      </c>
      <c r="S717" s="36">
        <v>1000.0</v>
      </c>
      <c r="T717" s="36" t="s">
        <v>242</v>
      </c>
      <c r="U717" s="36" t="s">
        <v>243</v>
      </c>
      <c r="V717" s="36"/>
      <c r="W717" s="36" t="s">
        <v>169</v>
      </c>
      <c r="X717" s="38">
        <v>1.0</v>
      </c>
      <c r="Y717" s="38" t="s">
        <v>1433</v>
      </c>
      <c r="Z717" s="38" t="s">
        <v>1434</v>
      </c>
      <c r="AA717" s="38" t="s">
        <v>86</v>
      </c>
      <c r="AB717" s="38" t="s">
        <v>1435</v>
      </c>
      <c r="AC717" s="38" t="s">
        <v>1436</v>
      </c>
      <c r="AD717" s="38" t="s">
        <v>1130</v>
      </c>
      <c r="AE717" s="53"/>
      <c r="AF717" s="38"/>
      <c r="AG717" s="57" t="s">
        <v>201</v>
      </c>
      <c r="AH717" s="38">
        <v>10.0</v>
      </c>
      <c r="AI717" s="50">
        <v>37.16</v>
      </c>
      <c r="AJ717" s="50">
        <v>127.65</v>
      </c>
      <c r="AK717" s="41" t="s">
        <v>86</v>
      </c>
      <c r="AL717" s="40" t="s">
        <v>86</v>
      </c>
      <c r="AM717" s="49">
        <v>65.0</v>
      </c>
      <c r="AN717" s="51">
        <v>65.0</v>
      </c>
      <c r="AO717" s="42" t="s">
        <v>218</v>
      </c>
      <c r="AP717" s="43" t="s">
        <v>218</v>
      </c>
      <c r="AQ717" s="44" t="str">
        <f t="shared" si="60"/>
        <v>CRO</v>
      </c>
      <c r="AR717" s="44">
        <f t="shared" si="3"/>
        <v>65</v>
      </c>
      <c r="AS717" s="44" t="str">
        <f t="shared" si="63"/>
        <v>D</v>
      </c>
      <c r="AT717" s="44" t="str">
        <f t="shared" si="17"/>
        <v>Dw</v>
      </c>
      <c r="AU717" s="44" t="str">
        <f t="shared" si="2"/>
        <v>Dwa</v>
      </c>
      <c r="AV717" s="38">
        <v>2.0</v>
      </c>
      <c r="AW717" s="38">
        <v>1.0</v>
      </c>
      <c r="AX717" s="38"/>
      <c r="AY717" s="38"/>
      <c r="AZ717" s="29">
        <v>1000.0</v>
      </c>
      <c r="BA717" s="29"/>
      <c r="BB717" s="29">
        <v>1.0</v>
      </c>
      <c r="BC717" s="29" t="s">
        <v>1437</v>
      </c>
      <c r="BD717" s="29" t="s">
        <v>88</v>
      </c>
      <c r="BE717" s="29"/>
      <c r="BF717" s="29" t="s">
        <v>936</v>
      </c>
      <c r="BG717" s="29" t="s">
        <v>572</v>
      </c>
      <c r="BH717" s="29" t="s">
        <v>88</v>
      </c>
      <c r="BI717" s="29" t="s">
        <v>1438</v>
      </c>
      <c r="BJ717" s="29"/>
      <c r="BK717" s="29" t="s">
        <v>148</v>
      </c>
      <c r="BL717" s="29" t="s">
        <v>148</v>
      </c>
      <c r="BM717" s="45"/>
      <c r="BN717" s="45">
        <v>1.0</v>
      </c>
      <c r="BO717" s="46" t="s">
        <v>1439</v>
      </c>
      <c r="BP717" s="2"/>
      <c r="BQ717" s="3"/>
    </row>
    <row r="718" ht="15.75" customHeight="1">
      <c r="A718" s="34">
        <v>723.0</v>
      </c>
      <c r="B718" s="34">
        <v>101390.0</v>
      </c>
      <c r="C718" s="34" t="s">
        <v>76</v>
      </c>
      <c r="D718" s="34" t="s">
        <v>1428</v>
      </c>
      <c r="E718" s="34" t="s">
        <v>1429</v>
      </c>
      <c r="F718" s="34">
        <v>2014.0</v>
      </c>
      <c r="G718" s="34" t="s">
        <v>1430</v>
      </c>
      <c r="H718" s="34" t="s">
        <v>1431</v>
      </c>
      <c r="I718" s="34" t="s">
        <v>1432</v>
      </c>
      <c r="J718" s="35"/>
      <c r="K718" s="36"/>
      <c r="L718" s="36"/>
      <c r="M718" s="36"/>
      <c r="N718" s="36">
        <v>58.77</v>
      </c>
      <c r="O718" s="36">
        <v>173.68</v>
      </c>
      <c r="P718" s="52">
        <f t="shared" ref="P718:P720" si="65">N718/O718*100</f>
        <v>33.83809304</v>
      </c>
      <c r="Q718" s="36"/>
      <c r="R718" s="36" t="s">
        <v>82</v>
      </c>
      <c r="S718" s="36">
        <v>1000.0</v>
      </c>
      <c r="T718" s="36" t="s">
        <v>242</v>
      </c>
      <c r="U718" s="36" t="s">
        <v>243</v>
      </c>
      <c r="V718" s="36"/>
      <c r="W718" s="36" t="s">
        <v>169</v>
      </c>
      <c r="X718" s="38">
        <v>1.0</v>
      </c>
      <c r="Y718" s="38" t="s">
        <v>1433</v>
      </c>
      <c r="Z718" s="38" t="s">
        <v>1434</v>
      </c>
      <c r="AA718" s="38" t="s">
        <v>86</v>
      </c>
      <c r="AB718" s="38" t="s">
        <v>1435</v>
      </c>
      <c r="AC718" s="38" t="s">
        <v>1436</v>
      </c>
      <c r="AD718" s="38" t="s">
        <v>1130</v>
      </c>
      <c r="AE718" s="53"/>
      <c r="AF718" s="38"/>
      <c r="AG718" s="57" t="s">
        <v>1024</v>
      </c>
      <c r="AH718" s="38">
        <v>10.0</v>
      </c>
      <c r="AI718" s="50">
        <v>37.16</v>
      </c>
      <c r="AJ718" s="50">
        <v>127.65</v>
      </c>
      <c r="AK718" s="41" t="s">
        <v>86</v>
      </c>
      <c r="AL718" s="40" t="s">
        <v>86</v>
      </c>
      <c r="AM718" s="49">
        <v>65.0</v>
      </c>
      <c r="AN718" s="51">
        <v>65.0</v>
      </c>
      <c r="AO718" s="42" t="s">
        <v>218</v>
      </c>
      <c r="AP718" s="43" t="s">
        <v>218</v>
      </c>
      <c r="AQ718" s="44" t="str">
        <f t="shared" si="60"/>
        <v>CRO</v>
      </c>
      <c r="AR718" s="44">
        <f t="shared" si="3"/>
        <v>65</v>
      </c>
      <c r="AS718" s="44" t="str">
        <f t="shared" si="63"/>
        <v>D</v>
      </c>
      <c r="AT718" s="44" t="str">
        <f t="shared" si="17"/>
        <v>Dw</v>
      </c>
      <c r="AU718" s="44" t="str">
        <f t="shared" si="2"/>
        <v>Dwa</v>
      </c>
      <c r="AV718" s="38">
        <v>1.0</v>
      </c>
      <c r="AW718" s="38">
        <v>1.0</v>
      </c>
      <c r="AX718" s="38"/>
      <c r="AY718" s="38"/>
      <c r="AZ718" s="29">
        <v>1000.0</v>
      </c>
      <c r="BA718" s="29"/>
      <c r="BB718" s="29">
        <v>1.0</v>
      </c>
      <c r="BC718" s="29" t="s">
        <v>1440</v>
      </c>
      <c r="BD718" s="29" t="s">
        <v>88</v>
      </c>
      <c r="BE718" s="29"/>
      <c r="BF718" s="29" t="s">
        <v>936</v>
      </c>
      <c r="BG718" s="29" t="s">
        <v>572</v>
      </c>
      <c r="BH718" s="29"/>
      <c r="BI718" s="29" t="s">
        <v>1441</v>
      </c>
      <c r="BJ718" s="29"/>
      <c r="BK718" s="29" t="s">
        <v>148</v>
      </c>
      <c r="BL718" s="29" t="s">
        <v>148</v>
      </c>
      <c r="BM718" s="45"/>
      <c r="BN718" s="45">
        <v>1.0</v>
      </c>
      <c r="BO718" s="46"/>
      <c r="BP718" s="2"/>
      <c r="BQ718" s="3"/>
    </row>
    <row r="719" ht="15.75" customHeight="1">
      <c r="A719" s="34">
        <v>724.0</v>
      </c>
      <c r="B719" s="34">
        <v>101390.0</v>
      </c>
      <c r="C719" s="34" t="s">
        <v>76</v>
      </c>
      <c r="D719" s="34" t="s">
        <v>1428</v>
      </c>
      <c r="E719" s="34" t="s">
        <v>1429</v>
      </c>
      <c r="F719" s="34">
        <v>2014.0</v>
      </c>
      <c r="G719" s="34" t="s">
        <v>1430</v>
      </c>
      <c r="H719" s="34" t="s">
        <v>1431</v>
      </c>
      <c r="I719" s="34" t="s">
        <v>1432</v>
      </c>
      <c r="J719" s="35"/>
      <c r="K719" s="36"/>
      <c r="L719" s="36"/>
      <c r="M719" s="36"/>
      <c r="N719" s="36">
        <v>-119.17</v>
      </c>
      <c r="O719" s="36">
        <v>351.62</v>
      </c>
      <c r="P719" s="52">
        <f t="shared" si="65"/>
        <v>-33.89170127</v>
      </c>
      <c r="Q719" s="36"/>
      <c r="R719" s="36" t="s">
        <v>82</v>
      </c>
      <c r="S719" s="36">
        <v>1000.0</v>
      </c>
      <c r="T719" s="36" t="s">
        <v>242</v>
      </c>
      <c r="U719" s="36" t="s">
        <v>243</v>
      </c>
      <c r="V719" s="36"/>
      <c r="W719" s="36" t="s">
        <v>169</v>
      </c>
      <c r="X719" s="38">
        <v>1.0</v>
      </c>
      <c r="Y719" s="38" t="s">
        <v>1433</v>
      </c>
      <c r="Z719" s="38" t="s">
        <v>1434</v>
      </c>
      <c r="AA719" s="38" t="s">
        <v>86</v>
      </c>
      <c r="AB719" s="38" t="s">
        <v>1435</v>
      </c>
      <c r="AC719" s="38" t="s">
        <v>1436</v>
      </c>
      <c r="AD719" s="38" t="s">
        <v>1130</v>
      </c>
      <c r="AE719" s="53"/>
      <c r="AF719" s="38"/>
      <c r="AG719" s="57" t="s">
        <v>201</v>
      </c>
      <c r="AH719" s="38">
        <v>10.0</v>
      </c>
      <c r="AI719" s="50">
        <v>37.16</v>
      </c>
      <c r="AJ719" s="50">
        <v>127.65</v>
      </c>
      <c r="AK719" s="41" t="s">
        <v>86</v>
      </c>
      <c r="AL719" s="40" t="s">
        <v>86</v>
      </c>
      <c r="AM719" s="49">
        <v>65.0</v>
      </c>
      <c r="AN719" s="51">
        <v>65.0</v>
      </c>
      <c r="AO719" s="42" t="s">
        <v>218</v>
      </c>
      <c r="AP719" s="43" t="s">
        <v>218</v>
      </c>
      <c r="AQ719" s="44" t="str">
        <f t="shared" si="60"/>
        <v>CRO</v>
      </c>
      <c r="AR719" s="44">
        <f t="shared" si="3"/>
        <v>65</v>
      </c>
      <c r="AS719" s="44" t="str">
        <f t="shared" si="63"/>
        <v>D</v>
      </c>
      <c r="AT719" s="44" t="str">
        <f t="shared" si="17"/>
        <v>Dw</v>
      </c>
      <c r="AU719" s="44" t="str">
        <f t="shared" si="2"/>
        <v>Dwa</v>
      </c>
      <c r="AV719" s="38">
        <v>3.0</v>
      </c>
      <c r="AW719" s="38">
        <v>1.0</v>
      </c>
      <c r="AX719" s="38"/>
      <c r="AY719" s="38"/>
      <c r="AZ719" s="29">
        <v>1000.0</v>
      </c>
      <c r="BA719" s="29"/>
      <c r="BB719" s="29">
        <v>1.0</v>
      </c>
      <c r="BC719" s="29" t="s">
        <v>1440</v>
      </c>
      <c r="BD719" s="29" t="s">
        <v>88</v>
      </c>
      <c r="BE719" s="29"/>
      <c r="BF719" s="29" t="s">
        <v>936</v>
      </c>
      <c r="BG719" s="29" t="s">
        <v>572</v>
      </c>
      <c r="BH719" s="29"/>
      <c r="BI719" s="29" t="s">
        <v>1441</v>
      </c>
      <c r="BJ719" s="29"/>
      <c r="BK719" s="29" t="s">
        <v>148</v>
      </c>
      <c r="BL719" s="29" t="s">
        <v>148</v>
      </c>
      <c r="BM719" s="45"/>
      <c r="BN719" s="45">
        <v>1.0</v>
      </c>
      <c r="BO719" s="46"/>
      <c r="BP719" s="2"/>
      <c r="BQ719" s="3"/>
    </row>
    <row r="720" ht="15.75" customHeight="1">
      <c r="A720" s="34">
        <v>725.0</v>
      </c>
      <c r="B720" s="34">
        <v>101390.0</v>
      </c>
      <c r="C720" s="34" t="s">
        <v>76</v>
      </c>
      <c r="D720" s="34" t="s">
        <v>1428</v>
      </c>
      <c r="E720" s="34" t="s">
        <v>1429</v>
      </c>
      <c r="F720" s="34">
        <v>2014.0</v>
      </c>
      <c r="G720" s="34" t="s">
        <v>1430</v>
      </c>
      <c r="H720" s="34" t="s">
        <v>1431</v>
      </c>
      <c r="I720" s="34" t="s">
        <v>1432</v>
      </c>
      <c r="J720" s="35"/>
      <c r="K720" s="36"/>
      <c r="L720" s="36"/>
      <c r="M720" s="36"/>
      <c r="N720" s="36">
        <v>-204.1</v>
      </c>
      <c r="O720" s="36">
        <v>436.55</v>
      </c>
      <c r="P720" s="52">
        <f t="shared" si="65"/>
        <v>-46.75294926</v>
      </c>
      <c r="Q720" s="36"/>
      <c r="R720" s="36" t="s">
        <v>82</v>
      </c>
      <c r="S720" s="36">
        <v>1000.0</v>
      </c>
      <c r="T720" s="36" t="s">
        <v>242</v>
      </c>
      <c r="U720" s="36" t="s">
        <v>243</v>
      </c>
      <c r="V720" s="36"/>
      <c r="W720" s="36" t="s">
        <v>169</v>
      </c>
      <c r="X720" s="38">
        <v>1.0</v>
      </c>
      <c r="Y720" s="38" t="s">
        <v>1433</v>
      </c>
      <c r="Z720" s="38" t="s">
        <v>1434</v>
      </c>
      <c r="AA720" s="38" t="s">
        <v>86</v>
      </c>
      <c r="AB720" s="38" t="s">
        <v>1435</v>
      </c>
      <c r="AC720" s="38" t="s">
        <v>1436</v>
      </c>
      <c r="AD720" s="38" t="s">
        <v>1130</v>
      </c>
      <c r="AE720" s="53"/>
      <c r="AF720" s="38"/>
      <c r="AG720" s="57" t="s">
        <v>445</v>
      </c>
      <c r="AH720" s="38">
        <v>10.0</v>
      </c>
      <c r="AI720" s="50">
        <v>37.16</v>
      </c>
      <c r="AJ720" s="50">
        <v>127.65</v>
      </c>
      <c r="AK720" s="41" t="s">
        <v>86</v>
      </c>
      <c r="AL720" s="40" t="s">
        <v>86</v>
      </c>
      <c r="AM720" s="49">
        <v>65.0</v>
      </c>
      <c r="AN720" s="51">
        <v>65.0</v>
      </c>
      <c r="AO720" s="42" t="s">
        <v>218</v>
      </c>
      <c r="AP720" s="43" t="s">
        <v>218</v>
      </c>
      <c r="AQ720" s="44" t="str">
        <f t="shared" si="60"/>
        <v>CRO</v>
      </c>
      <c r="AR720" s="44">
        <f t="shared" si="3"/>
        <v>65</v>
      </c>
      <c r="AS720" s="44" t="str">
        <f t="shared" si="63"/>
        <v>D</v>
      </c>
      <c r="AT720" s="44" t="str">
        <f t="shared" si="17"/>
        <v>Dw</v>
      </c>
      <c r="AU720" s="44" t="str">
        <f t="shared" si="2"/>
        <v>Dwa</v>
      </c>
      <c r="AV720" s="38">
        <v>2.0</v>
      </c>
      <c r="AW720" s="38">
        <v>1.0</v>
      </c>
      <c r="AX720" s="38"/>
      <c r="AY720" s="38"/>
      <c r="AZ720" s="29">
        <v>1000.0</v>
      </c>
      <c r="BA720" s="29"/>
      <c r="BB720" s="29">
        <v>1.0</v>
      </c>
      <c r="BC720" s="29" t="s">
        <v>1440</v>
      </c>
      <c r="BD720" s="29" t="s">
        <v>88</v>
      </c>
      <c r="BE720" s="29"/>
      <c r="BF720" s="29" t="s">
        <v>936</v>
      </c>
      <c r="BG720" s="29" t="s">
        <v>572</v>
      </c>
      <c r="BH720" s="29"/>
      <c r="BI720" s="29" t="s">
        <v>1441</v>
      </c>
      <c r="BJ720" s="29"/>
      <c r="BK720" s="29" t="s">
        <v>148</v>
      </c>
      <c r="BL720" s="29" t="s">
        <v>148</v>
      </c>
      <c r="BM720" s="45"/>
      <c r="BN720" s="45">
        <v>1.0</v>
      </c>
      <c r="BO720" s="46"/>
      <c r="BP720" s="2"/>
      <c r="BQ720" s="3"/>
    </row>
    <row r="721" ht="15.75" customHeight="1">
      <c r="A721" s="34">
        <v>726.0</v>
      </c>
      <c r="B721" s="34">
        <v>101390.0</v>
      </c>
      <c r="C721" s="34" t="s">
        <v>76</v>
      </c>
      <c r="D721" s="34" t="s">
        <v>1428</v>
      </c>
      <c r="E721" s="34" t="s">
        <v>1429</v>
      </c>
      <c r="F721" s="34">
        <v>2014.0</v>
      </c>
      <c r="G721" s="34" t="s">
        <v>1430</v>
      </c>
      <c r="H721" s="34" t="s">
        <v>1431</v>
      </c>
      <c r="I721" s="34" t="s">
        <v>1432</v>
      </c>
      <c r="J721" s="35"/>
      <c r="K721" s="36">
        <v>0.82</v>
      </c>
      <c r="L721" s="36">
        <v>2.45</v>
      </c>
      <c r="M721" s="36"/>
      <c r="N721" s="36"/>
      <c r="O721" s="36"/>
      <c r="P721" s="52">
        <f t="shared" ref="P721:P723" si="66">K721/L721*100</f>
        <v>33.46938776</v>
      </c>
      <c r="Q721" s="36" t="s">
        <v>96</v>
      </c>
      <c r="R721" s="36" t="s">
        <v>96</v>
      </c>
      <c r="S721" s="36">
        <v>1000.0</v>
      </c>
      <c r="T721" s="36" t="s">
        <v>242</v>
      </c>
      <c r="U721" s="36" t="s">
        <v>243</v>
      </c>
      <c r="V721" s="36"/>
      <c r="W721" s="36" t="s">
        <v>169</v>
      </c>
      <c r="X721" s="38">
        <v>1.0</v>
      </c>
      <c r="Y721" s="38" t="s">
        <v>1433</v>
      </c>
      <c r="Z721" s="38" t="s">
        <v>1434</v>
      </c>
      <c r="AA721" s="38" t="s">
        <v>86</v>
      </c>
      <c r="AB721" s="38" t="s">
        <v>1435</v>
      </c>
      <c r="AC721" s="38" t="s">
        <v>1436</v>
      </c>
      <c r="AD721" s="38" t="s">
        <v>1130</v>
      </c>
      <c r="AE721" s="53"/>
      <c r="AF721" s="38"/>
      <c r="AG721" s="57"/>
      <c r="AH721" s="38">
        <v>10.0</v>
      </c>
      <c r="AI721" s="50">
        <v>37.16</v>
      </c>
      <c r="AJ721" s="50">
        <v>127.65</v>
      </c>
      <c r="AK721" s="41" t="s">
        <v>86</v>
      </c>
      <c r="AL721" s="40" t="s">
        <v>86</v>
      </c>
      <c r="AM721" s="49">
        <v>65.0</v>
      </c>
      <c r="AN721" s="51">
        <v>65.0</v>
      </c>
      <c r="AO721" s="42" t="s">
        <v>218</v>
      </c>
      <c r="AP721" s="43" t="s">
        <v>218</v>
      </c>
      <c r="AQ721" s="44" t="str">
        <f t="shared" si="60"/>
        <v>CRO</v>
      </c>
      <c r="AR721" s="44">
        <f t="shared" si="3"/>
        <v>65</v>
      </c>
      <c r="AS721" s="44" t="str">
        <f t="shared" si="63"/>
        <v>D</v>
      </c>
      <c r="AT721" s="44" t="str">
        <f t="shared" si="17"/>
        <v>Dw</v>
      </c>
      <c r="AU721" s="44" t="str">
        <f t="shared" si="2"/>
        <v>Dwa</v>
      </c>
      <c r="AV721" s="38">
        <v>1.0</v>
      </c>
      <c r="AW721" s="38">
        <v>1.0</v>
      </c>
      <c r="AX721" s="38"/>
      <c r="AY721" s="38"/>
      <c r="AZ721" s="29">
        <v>1000.0</v>
      </c>
      <c r="BA721" s="29"/>
      <c r="BB721" s="29">
        <v>1.0</v>
      </c>
      <c r="BC721" s="29" t="s">
        <v>1440</v>
      </c>
      <c r="BD721" s="29" t="s">
        <v>88</v>
      </c>
      <c r="BE721" s="29"/>
      <c r="BF721" s="29" t="s">
        <v>936</v>
      </c>
      <c r="BG721" s="29" t="s">
        <v>572</v>
      </c>
      <c r="BH721" s="29"/>
      <c r="BI721" s="29" t="s">
        <v>1441</v>
      </c>
      <c r="BJ721" s="29"/>
      <c r="BK721" s="29" t="s">
        <v>148</v>
      </c>
      <c r="BL721" s="29" t="s">
        <v>148</v>
      </c>
      <c r="BM721" s="45"/>
      <c r="BN721" s="45">
        <v>1.0</v>
      </c>
      <c r="BO721" s="46"/>
      <c r="BP721" s="73"/>
      <c r="BQ721" s="17"/>
    </row>
    <row r="722" ht="15.75" customHeight="1">
      <c r="A722" s="34">
        <v>727.0</v>
      </c>
      <c r="B722" s="34">
        <v>101390.0</v>
      </c>
      <c r="C722" s="34" t="s">
        <v>76</v>
      </c>
      <c r="D722" s="34" t="s">
        <v>1428</v>
      </c>
      <c r="E722" s="34" t="s">
        <v>1429</v>
      </c>
      <c r="F722" s="34">
        <v>2014.0</v>
      </c>
      <c r="G722" s="34" t="s">
        <v>1430</v>
      </c>
      <c r="H722" s="34" t="s">
        <v>1431</v>
      </c>
      <c r="I722" s="34" t="s">
        <v>1432</v>
      </c>
      <c r="J722" s="35"/>
      <c r="K722" s="36">
        <v>-0.59</v>
      </c>
      <c r="L722" s="36">
        <v>3.86</v>
      </c>
      <c r="M722" s="36"/>
      <c r="N722" s="36"/>
      <c r="O722" s="36"/>
      <c r="P722" s="52">
        <f t="shared" si="66"/>
        <v>-15.28497409</v>
      </c>
      <c r="Q722" s="36" t="s">
        <v>96</v>
      </c>
      <c r="R722" s="36" t="s">
        <v>96</v>
      </c>
      <c r="S722" s="36">
        <v>1000.0</v>
      </c>
      <c r="T722" s="36" t="s">
        <v>242</v>
      </c>
      <c r="U722" s="36" t="s">
        <v>243</v>
      </c>
      <c r="V722" s="36"/>
      <c r="W722" s="36" t="s">
        <v>169</v>
      </c>
      <c r="X722" s="38">
        <v>1.0</v>
      </c>
      <c r="Y722" s="38" t="s">
        <v>1433</v>
      </c>
      <c r="Z722" s="38" t="s">
        <v>1434</v>
      </c>
      <c r="AA722" s="38" t="s">
        <v>86</v>
      </c>
      <c r="AB722" s="38" t="s">
        <v>1435</v>
      </c>
      <c r="AC722" s="38" t="s">
        <v>1436</v>
      </c>
      <c r="AD722" s="38" t="s">
        <v>1130</v>
      </c>
      <c r="AE722" s="53"/>
      <c r="AF722" s="38"/>
      <c r="AG722" s="57"/>
      <c r="AH722" s="38">
        <v>10.0</v>
      </c>
      <c r="AI722" s="50">
        <v>37.16</v>
      </c>
      <c r="AJ722" s="50">
        <v>127.65</v>
      </c>
      <c r="AK722" s="41" t="s">
        <v>86</v>
      </c>
      <c r="AL722" s="40" t="s">
        <v>86</v>
      </c>
      <c r="AM722" s="49">
        <v>65.0</v>
      </c>
      <c r="AN722" s="51">
        <v>65.0</v>
      </c>
      <c r="AO722" s="42" t="s">
        <v>218</v>
      </c>
      <c r="AP722" s="43" t="s">
        <v>218</v>
      </c>
      <c r="AQ722" s="44" t="str">
        <f t="shared" si="60"/>
        <v>CRO</v>
      </c>
      <c r="AR722" s="44">
        <f t="shared" si="3"/>
        <v>65</v>
      </c>
      <c r="AS722" s="44" t="str">
        <f t="shared" si="63"/>
        <v>D</v>
      </c>
      <c r="AT722" s="44" t="str">
        <f t="shared" si="17"/>
        <v>Dw</v>
      </c>
      <c r="AU722" s="44" t="str">
        <f t="shared" si="2"/>
        <v>Dwa</v>
      </c>
      <c r="AV722" s="38">
        <v>3.0</v>
      </c>
      <c r="AW722" s="38">
        <v>1.0</v>
      </c>
      <c r="AX722" s="38"/>
      <c r="AY722" s="38"/>
      <c r="AZ722" s="29">
        <v>1000.0</v>
      </c>
      <c r="BA722" s="29"/>
      <c r="BB722" s="29">
        <v>1.0</v>
      </c>
      <c r="BC722" s="29" t="s">
        <v>1440</v>
      </c>
      <c r="BD722" s="29" t="s">
        <v>88</v>
      </c>
      <c r="BE722" s="29"/>
      <c r="BF722" s="29" t="s">
        <v>936</v>
      </c>
      <c r="BG722" s="29" t="s">
        <v>572</v>
      </c>
      <c r="BH722" s="29"/>
      <c r="BI722" s="29" t="s">
        <v>1441</v>
      </c>
      <c r="BJ722" s="29"/>
      <c r="BK722" s="29" t="s">
        <v>148</v>
      </c>
      <c r="BL722" s="29" t="s">
        <v>148</v>
      </c>
      <c r="BM722" s="45"/>
      <c r="BN722" s="45">
        <v>1.0</v>
      </c>
      <c r="BO722" s="46"/>
      <c r="BP722" s="2"/>
      <c r="BQ722" s="3"/>
    </row>
    <row r="723" ht="15.75" customHeight="1">
      <c r="A723" s="34">
        <v>728.0</v>
      </c>
      <c r="B723" s="34">
        <v>101390.0</v>
      </c>
      <c r="C723" s="34" t="s">
        <v>76</v>
      </c>
      <c r="D723" s="34" t="s">
        <v>1428</v>
      </c>
      <c r="E723" s="34" t="s">
        <v>1429</v>
      </c>
      <c r="F723" s="34">
        <v>2014.0</v>
      </c>
      <c r="G723" s="34" t="s">
        <v>1430</v>
      </c>
      <c r="H723" s="34" t="s">
        <v>1431</v>
      </c>
      <c r="I723" s="34" t="s">
        <v>1432</v>
      </c>
      <c r="J723" s="35"/>
      <c r="K723" s="36">
        <v>-0.95</v>
      </c>
      <c r="L723" s="36">
        <v>4.22</v>
      </c>
      <c r="M723" s="36"/>
      <c r="N723" s="36"/>
      <c r="O723" s="36"/>
      <c r="P723" s="52">
        <f t="shared" si="66"/>
        <v>-22.51184834</v>
      </c>
      <c r="Q723" s="36" t="s">
        <v>96</v>
      </c>
      <c r="R723" s="36" t="s">
        <v>96</v>
      </c>
      <c r="S723" s="36">
        <v>1000.0</v>
      </c>
      <c r="T723" s="36" t="s">
        <v>242</v>
      </c>
      <c r="U723" s="36" t="s">
        <v>243</v>
      </c>
      <c r="V723" s="36"/>
      <c r="W723" s="36" t="s">
        <v>169</v>
      </c>
      <c r="X723" s="38">
        <v>1.0</v>
      </c>
      <c r="Y723" s="38" t="s">
        <v>1433</v>
      </c>
      <c r="Z723" s="38" t="s">
        <v>1434</v>
      </c>
      <c r="AA723" s="38" t="s">
        <v>86</v>
      </c>
      <c r="AB723" s="38" t="s">
        <v>1435</v>
      </c>
      <c r="AC723" s="38" t="s">
        <v>1436</v>
      </c>
      <c r="AD723" s="38" t="s">
        <v>1130</v>
      </c>
      <c r="AE723" s="53"/>
      <c r="AF723" s="38"/>
      <c r="AG723" s="57"/>
      <c r="AH723" s="38">
        <v>10.0</v>
      </c>
      <c r="AI723" s="50">
        <v>37.16</v>
      </c>
      <c r="AJ723" s="50">
        <v>127.65</v>
      </c>
      <c r="AK723" s="41" t="s">
        <v>86</v>
      </c>
      <c r="AL723" s="40" t="s">
        <v>86</v>
      </c>
      <c r="AM723" s="49">
        <v>65.0</v>
      </c>
      <c r="AN723" s="51">
        <v>65.0</v>
      </c>
      <c r="AO723" s="42" t="s">
        <v>218</v>
      </c>
      <c r="AP723" s="43" t="s">
        <v>218</v>
      </c>
      <c r="AQ723" s="44" t="str">
        <f t="shared" si="60"/>
        <v>CRO</v>
      </c>
      <c r="AR723" s="44">
        <f t="shared" si="3"/>
        <v>65</v>
      </c>
      <c r="AS723" s="44" t="str">
        <f t="shared" si="63"/>
        <v>D</v>
      </c>
      <c r="AT723" s="44" t="str">
        <f t="shared" si="17"/>
        <v>Dw</v>
      </c>
      <c r="AU723" s="44" t="str">
        <f t="shared" si="2"/>
        <v>Dwa</v>
      </c>
      <c r="AV723" s="38">
        <v>2.0</v>
      </c>
      <c r="AW723" s="38">
        <v>1.0</v>
      </c>
      <c r="AX723" s="38"/>
      <c r="AY723" s="38"/>
      <c r="AZ723" s="29">
        <v>1000.0</v>
      </c>
      <c r="BA723" s="29"/>
      <c r="BB723" s="29">
        <v>1.0</v>
      </c>
      <c r="BC723" s="29" t="s">
        <v>1440</v>
      </c>
      <c r="BD723" s="29" t="s">
        <v>88</v>
      </c>
      <c r="BE723" s="29"/>
      <c r="BF723" s="29" t="s">
        <v>936</v>
      </c>
      <c r="BG723" s="29" t="s">
        <v>572</v>
      </c>
      <c r="BH723" s="29"/>
      <c r="BI723" s="29" t="s">
        <v>1441</v>
      </c>
      <c r="BJ723" s="29"/>
      <c r="BK723" s="29" t="s">
        <v>148</v>
      </c>
      <c r="BL723" s="29" t="s">
        <v>148</v>
      </c>
      <c r="BM723" s="45"/>
      <c r="BN723" s="45">
        <v>1.0</v>
      </c>
      <c r="BO723" s="46"/>
      <c r="BP723" s="2"/>
      <c r="BQ723" s="3"/>
    </row>
    <row r="724" ht="15.75" customHeight="1">
      <c r="A724" s="34">
        <v>729.0</v>
      </c>
      <c r="B724" s="34">
        <v>101390.0</v>
      </c>
      <c r="C724" s="34" t="s">
        <v>76</v>
      </c>
      <c r="D724" s="34" t="s">
        <v>1428</v>
      </c>
      <c r="E724" s="34" t="s">
        <v>1429</v>
      </c>
      <c r="F724" s="34">
        <v>2014.0</v>
      </c>
      <c r="G724" s="34" t="s">
        <v>1430</v>
      </c>
      <c r="H724" s="34" t="s">
        <v>1431</v>
      </c>
      <c r="I724" s="34" t="s">
        <v>1432</v>
      </c>
      <c r="J724" s="35"/>
      <c r="K724" s="36"/>
      <c r="L724" s="36"/>
      <c r="M724" s="36"/>
      <c r="N724" s="36">
        <v>14.98</v>
      </c>
      <c r="O724" s="36">
        <v>173.68</v>
      </c>
      <c r="P724" s="52">
        <f t="shared" ref="P724:P726" si="67">N724/O724*100</f>
        <v>8.625057577</v>
      </c>
      <c r="Q724" s="36"/>
      <c r="R724" s="36" t="s">
        <v>82</v>
      </c>
      <c r="S724" s="36">
        <v>1000.0</v>
      </c>
      <c r="T724" s="36" t="s">
        <v>242</v>
      </c>
      <c r="U724" s="36" t="s">
        <v>243</v>
      </c>
      <c r="V724" s="36"/>
      <c r="W724" s="36" t="s">
        <v>169</v>
      </c>
      <c r="X724" s="38">
        <v>1.0</v>
      </c>
      <c r="Y724" s="38" t="s">
        <v>1433</v>
      </c>
      <c r="Z724" s="38" t="s">
        <v>1434</v>
      </c>
      <c r="AA724" s="38" t="s">
        <v>86</v>
      </c>
      <c r="AB724" s="38" t="s">
        <v>1435</v>
      </c>
      <c r="AC724" s="38" t="s">
        <v>1436</v>
      </c>
      <c r="AD724" s="38" t="s">
        <v>1130</v>
      </c>
      <c r="AE724" s="53"/>
      <c r="AF724" s="38"/>
      <c r="AG724" s="57"/>
      <c r="AH724" s="38">
        <v>10.0</v>
      </c>
      <c r="AI724" s="50">
        <v>37.16</v>
      </c>
      <c r="AJ724" s="50">
        <v>127.65</v>
      </c>
      <c r="AK724" s="41" t="s">
        <v>86</v>
      </c>
      <c r="AL724" s="40" t="s">
        <v>86</v>
      </c>
      <c r="AM724" s="49">
        <v>65.0</v>
      </c>
      <c r="AN724" s="51">
        <v>65.0</v>
      </c>
      <c r="AO724" s="42" t="s">
        <v>218</v>
      </c>
      <c r="AP724" s="43" t="s">
        <v>218</v>
      </c>
      <c r="AQ724" s="44" t="str">
        <f t="shared" si="60"/>
        <v>CRO</v>
      </c>
      <c r="AR724" s="44">
        <f t="shared" si="3"/>
        <v>65</v>
      </c>
      <c r="AS724" s="44" t="str">
        <f t="shared" si="63"/>
        <v>D</v>
      </c>
      <c r="AT724" s="44" t="str">
        <f t="shared" si="17"/>
        <v>Dw</v>
      </c>
      <c r="AU724" s="44" t="str">
        <f t="shared" si="2"/>
        <v>Dwa</v>
      </c>
      <c r="AV724" s="38">
        <v>1.0</v>
      </c>
      <c r="AW724" s="38">
        <v>1.0</v>
      </c>
      <c r="AX724" s="38"/>
      <c r="AY724" s="38"/>
      <c r="AZ724" s="29">
        <v>1000.0</v>
      </c>
      <c r="BA724" s="29"/>
      <c r="BB724" s="29">
        <v>1.0</v>
      </c>
      <c r="BC724" s="29" t="s">
        <v>1442</v>
      </c>
      <c r="BD724" s="29" t="s">
        <v>88</v>
      </c>
      <c r="BE724" s="29"/>
      <c r="BF724" s="29" t="s">
        <v>1443</v>
      </c>
      <c r="BG724" s="29" t="s">
        <v>220</v>
      </c>
      <c r="BH724" s="29"/>
      <c r="BI724" s="29" t="s">
        <v>1441</v>
      </c>
      <c r="BJ724" s="29"/>
      <c r="BK724" s="29" t="s">
        <v>148</v>
      </c>
      <c r="BL724" s="29" t="s">
        <v>148</v>
      </c>
      <c r="BM724" s="45"/>
      <c r="BN724" s="45">
        <v>1.0</v>
      </c>
      <c r="BO724" s="46"/>
      <c r="BP724" s="2"/>
      <c r="BQ724" s="3"/>
    </row>
    <row r="725" ht="15.75" customHeight="1">
      <c r="A725" s="34">
        <v>730.0</v>
      </c>
      <c r="B725" s="34">
        <v>101390.0</v>
      </c>
      <c r="C725" s="34" t="s">
        <v>76</v>
      </c>
      <c r="D725" s="34" t="s">
        <v>1428</v>
      </c>
      <c r="E725" s="34" t="s">
        <v>1429</v>
      </c>
      <c r="F725" s="34">
        <v>2014.0</v>
      </c>
      <c r="G725" s="34" t="s">
        <v>1430</v>
      </c>
      <c r="H725" s="34" t="s">
        <v>1431</v>
      </c>
      <c r="I725" s="34" t="s">
        <v>1432</v>
      </c>
      <c r="J725" s="35"/>
      <c r="K725" s="36"/>
      <c r="L725" s="36"/>
      <c r="M725" s="36"/>
      <c r="N725" s="36">
        <v>-162.96</v>
      </c>
      <c r="O725" s="36">
        <v>351.62</v>
      </c>
      <c r="P725" s="52">
        <f t="shared" si="67"/>
        <v>-46.3454866</v>
      </c>
      <c r="Q725" s="36"/>
      <c r="R725" s="36" t="s">
        <v>82</v>
      </c>
      <c r="S725" s="36">
        <v>1000.0</v>
      </c>
      <c r="T725" s="36" t="s">
        <v>242</v>
      </c>
      <c r="U725" s="36" t="s">
        <v>243</v>
      </c>
      <c r="V725" s="36"/>
      <c r="W725" s="36" t="s">
        <v>169</v>
      </c>
      <c r="X725" s="38">
        <v>1.0</v>
      </c>
      <c r="Y725" s="38" t="s">
        <v>1433</v>
      </c>
      <c r="Z725" s="38" t="s">
        <v>1434</v>
      </c>
      <c r="AA725" s="38" t="s">
        <v>86</v>
      </c>
      <c r="AB725" s="38" t="s">
        <v>1435</v>
      </c>
      <c r="AC725" s="38" t="s">
        <v>1436</v>
      </c>
      <c r="AD725" s="38" t="s">
        <v>1130</v>
      </c>
      <c r="AE725" s="53"/>
      <c r="AF725" s="38"/>
      <c r="AG725" s="57"/>
      <c r="AH725" s="38">
        <v>10.0</v>
      </c>
      <c r="AI725" s="50">
        <v>37.16</v>
      </c>
      <c r="AJ725" s="50">
        <v>127.65</v>
      </c>
      <c r="AK725" s="41" t="s">
        <v>86</v>
      </c>
      <c r="AL725" s="40" t="s">
        <v>86</v>
      </c>
      <c r="AM725" s="49">
        <v>65.0</v>
      </c>
      <c r="AN725" s="51">
        <v>65.0</v>
      </c>
      <c r="AO725" s="42" t="s">
        <v>218</v>
      </c>
      <c r="AP725" s="43" t="s">
        <v>218</v>
      </c>
      <c r="AQ725" s="44" t="str">
        <f t="shared" si="60"/>
        <v>CRO</v>
      </c>
      <c r="AR725" s="44">
        <f t="shared" si="3"/>
        <v>65</v>
      </c>
      <c r="AS725" s="44" t="str">
        <f t="shared" si="63"/>
        <v>D</v>
      </c>
      <c r="AT725" s="44" t="str">
        <f t="shared" si="17"/>
        <v>Dw</v>
      </c>
      <c r="AU725" s="44" t="str">
        <f t="shared" si="2"/>
        <v>Dwa</v>
      </c>
      <c r="AV725" s="38">
        <v>3.0</v>
      </c>
      <c r="AW725" s="38">
        <v>1.0</v>
      </c>
      <c r="AX725" s="38"/>
      <c r="AY725" s="38"/>
      <c r="AZ725" s="29">
        <v>1000.0</v>
      </c>
      <c r="BA725" s="29"/>
      <c r="BB725" s="29">
        <v>1.0</v>
      </c>
      <c r="BC725" s="29" t="s">
        <v>1442</v>
      </c>
      <c r="BD725" s="29" t="s">
        <v>88</v>
      </c>
      <c r="BE725" s="29"/>
      <c r="BF725" s="29" t="s">
        <v>1443</v>
      </c>
      <c r="BG725" s="29" t="s">
        <v>220</v>
      </c>
      <c r="BH725" s="29"/>
      <c r="BI725" s="29" t="s">
        <v>1441</v>
      </c>
      <c r="BJ725" s="29"/>
      <c r="BK725" s="29" t="s">
        <v>148</v>
      </c>
      <c r="BL725" s="29" t="s">
        <v>148</v>
      </c>
      <c r="BM725" s="45"/>
      <c r="BN725" s="45">
        <v>1.0</v>
      </c>
      <c r="BO725" s="46"/>
      <c r="BP725" s="2"/>
      <c r="BQ725" s="3"/>
    </row>
    <row r="726" ht="15.75" customHeight="1">
      <c r="A726" s="34">
        <v>731.0</v>
      </c>
      <c r="B726" s="34">
        <v>101390.0</v>
      </c>
      <c r="C726" s="34" t="s">
        <v>76</v>
      </c>
      <c r="D726" s="34" t="s">
        <v>1428</v>
      </c>
      <c r="E726" s="34" t="s">
        <v>1429</v>
      </c>
      <c r="F726" s="34">
        <v>2014.0</v>
      </c>
      <c r="G726" s="34" t="s">
        <v>1430</v>
      </c>
      <c r="H726" s="34" t="s">
        <v>1431</v>
      </c>
      <c r="I726" s="34" t="s">
        <v>1432</v>
      </c>
      <c r="J726" s="35"/>
      <c r="K726" s="36"/>
      <c r="L726" s="36"/>
      <c r="M726" s="36"/>
      <c r="N726" s="36">
        <v>-247.89</v>
      </c>
      <c r="O726" s="36">
        <v>436.55</v>
      </c>
      <c r="P726" s="52">
        <f t="shared" si="67"/>
        <v>-56.78387355</v>
      </c>
      <c r="Q726" s="36"/>
      <c r="R726" s="36" t="s">
        <v>82</v>
      </c>
      <c r="S726" s="36">
        <v>1000.0</v>
      </c>
      <c r="T726" s="36" t="s">
        <v>242</v>
      </c>
      <c r="U726" s="36" t="s">
        <v>243</v>
      </c>
      <c r="V726" s="36"/>
      <c r="W726" s="36" t="s">
        <v>169</v>
      </c>
      <c r="X726" s="38">
        <v>1.0</v>
      </c>
      <c r="Y726" s="38" t="s">
        <v>1433</v>
      </c>
      <c r="Z726" s="38" t="s">
        <v>1434</v>
      </c>
      <c r="AA726" s="38" t="s">
        <v>86</v>
      </c>
      <c r="AB726" s="38" t="s">
        <v>1435</v>
      </c>
      <c r="AC726" s="38" t="s">
        <v>1436</v>
      </c>
      <c r="AD726" s="38" t="s">
        <v>1130</v>
      </c>
      <c r="AE726" s="53"/>
      <c r="AF726" s="38"/>
      <c r="AG726" s="57" t="s">
        <v>1328</v>
      </c>
      <c r="AH726" s="38">
        <v>10.0</v>
      </c>
      <c r="AI726" s="50">
        <v>37.16</v>
      </c>
      <c r="AJ726" s="50">
        <v>127.65</v>
      </c>
      <c r="AK726" s="41" t="s">
        <v>86</v>
      </c>
      <c r="AL726" s="40" t="s">
        <v>86</v>
      </c>
      <c r="AM726" s="49">
        <v>65.0</v>
      </c>
      <c r="AN726" s="51">
        <v>65.0</v>
      </c>
      <c r="AO726" s="42" t="s">
        <v>218</v>
      </c>
      <c r="AP726" s="43" t="s">
        <v>218</v>
      </c>
      <c r="AQ726" s="44" t="str">
        <f t="shared" si="60"/>
        <v>CRO</v>
      </c>
      <c r="AR726" s="44">
        <f t="shared" si="3"/>
        <v>65</v>
      </c>
      <c r="AS726" s="44" t="str">
        <f t="shared" si="63"/>
        <v>D</v>
      </c>
      <c r="AT726" s="44" t="str">
        <f t="shared" si="17"/>
        <v>Dw</v>
      </c>
      <c r="AU726" s="44" t="str">
        <f t="shared" si="2"/>
        <v>Dwa</v>
      </c>
      <c r="AV726" s="38">
        <v>2.0</v>
      </c>
      <c r="AW726" s="38">
        <v>1.0</v>
      </c>
      <c r="AX726" s="38"/>
      <c r="AY726" s="38"/>
      <c r="AZ726" s="29">
        <v>1000.0</v>
      </c>
      <c r="BA726" s="29"/>
      <c r="BB726" s="29">
        <v>1.0</v>
      </c>
      <c r="BC726" s="29" t="s">
        <v>1442</v>
      </c>
      <c r="BD726" s="29" t="s">
        <v>88</v>
      </c>
      <c r="BE726" s="29"/>
      <c r="BF726" s="29" t="s">
        <v>1443</v>
      </c>
      <c r="BG726" s="29" t="s">
        <v>220</v>
      </c>
      <c r="BH726" s="29"/>
      <c r="BI726" s="29" t="s">
        <v>1441</v>
      </c>
      <c r="BJ726" s="29"/>
      <c r="BK726" s="29" t="s">
        <v>148</v>
      </c>
      <c r="BL726" s="29" t="s">
        <v>148</v>
      </c>
      <c r="BM726" s="45"/>
      <c r="BN726" s="45">
        <v>1.0</v>
      </c>
      <c r="BO726" s="46"/>
      <c r="BP726" s="2"/>
      <c r="BQ726" s="3"/>
    </row>
    <row r="727" ht="15.75" customHeight="1">
      <c r="A727" s="34">
        <v>732.0</v>
      </c>
      <c r="B727" s="34">
        <v>101390.0</v>
      </c>
      <c r="C727" s="34" t="s">
        <v>76</v>
      </c>
      <c r="D727" s="34" t="s">
        <v>1428</v>
      </c>
      <c r="E727" s="34" t="s">
        <v>1429</v>
      </c>
      <c r="F727" s="34">
        <v>2014.0</v>
      </c>
      <c r="G727" s="34" t="s">
        <v>1430</v>
      </c>
      <c r="H727" s="34" t="s">
        <v>1431</v>
      </c>
      <c r="I727" s="34" t="s">
        <v>1432</v>
      </c>
      <c r="J727" s="35"/>
      <c r="K727" s="36">
        <v>0.06</v>
      </c>
      <c r="L727" s="36">
        <v>2.45</v>
      </c>
      <c r="M727" s="36"/>
      <c r="N727" s="36"/>
      <c r="O727" s="36"/>
      <c r="P727" s="52">
        <f t="shared" ref="P727:P729" si="68">K727/L727*100</f>
        <v>2.448979592</v>
      </c>
      <c r="Q727" s="36" t="s">
        <v>96</v>
      </c>
      <c r="R727" s="36" t="s">
        <v>96</v>
      </c>
      <c r="S727" s="36">
        <v>1000.0</v>
      </c>
      <c r="T727" s="36" t="s">
        <v>242</v>
      </c>
      <c r="U727" s="36" t="s">
        <v>243</v>
      </c>
      <c r="V727" s="36"/>
      <c r="W727" s="36" t="s">
        <v>169</v>
      </c>
      <c r="X727" s="38">
        <v>1.0</v>
      </c>
      <c r="Y727" s="38" t="s">
        <v>1433</v>
      </c>
      <c r="Z727" s="38" t="s">
        <v>1434</v>
      </c>
      <c r="AA727" s="38" t="s">
        <v>86</v>
      </c>
      <c r="AB727" s="38" t="s">
        <v>1435</v>
      </c>
      <c r="AC727" s="38" t="s">
        <v>1436</v>
      </c>
      <c r="AD727" s="38" t="s">
        <v>1130</v>
      </c>
      <c r="AE727" s="53"/>
      <c r="AF727" s="38"/>
      <c r="AG727" s="57" t="s">
        <v>107</v>
      </c>
      <c r="AH727" s="38">
        <v>10.0</v>
      </c>
      <c r="AI727" s="50">
        <v>37.16</v>
      </c>
      <c r="AJ727" s="50">
        <v>127.65</v>
      </c>
      <c r="AK727" s="41" t="s">
        <v>86</v>
      </c>
      <c r="AL727" s="40" t="s">
        <v>86</v>
      </c>
      <c r="AM727" s="49">
        <v>65.0</v>
      </c>
      <c r="AN727" s="51">
        <v>65.0</v>
      </c>
      <c r="AO727" s="42" t="s">
        <v>218</v>
      </c>
      <c r="AP727" s="43" t="s">
        <v>218</v>
      </c>
      <c r="AQ727" s="44" t="str">
        <f t="shared" si="60"/>
        <v>CRO</v>
      </c>
      <c r="AR727" s="44">
        <f t="shared" si="3"/>
        <v>65</v>
      </c>
      <c r="AS727" s="44" t="str">
        <f t="shared" si="63"/>
        <v>D</v>
      </c>
      <c r="AT727" s="44" t="str">
        <f t="shared" si="17"/>
        <v>Dw</v>
      </c>
      <c r="AU727" s="44" t="str">
        <f t="shared" si="2"/>
        <v>Dwa</v>
      </c>
      <c r="AV727" s="38">
        <v>1.0</v>
      </c>
      <c r="AW727" s="38">
        <v>1.0</v>
      </c>
      <c r="AX727" s="38"/>
      <c r="AY727" s="38"/>
      <c r="AZ727" s="29">
        <v>1000.0</v>
      </c>
      <c r="BA727" s="29"/>
      <c r="BB727" s="29">
        <v>1.0</v>
      </c>
      <c r="BC727" s="29" t="s">
        <v>1442</v>
      </c>
      <c r="BD727" s="29" t="s">
        <v>88</v>
      </c>
      <c r="BE727" s="29"/>
      <c r="BF727" s="29" t="s">
        <v>1443</v>
      </c>
      <c r="BG727" s="29" t="s">
        <v>220</v>
      </c>
      <c r="BH727" s="29"/>
      <c r="BI727" s="29" t="s">
        <v>1441</v>
      </c>
      <c r="BJ727" s="29"/>
      <c r="BK727" s="29" t="s">
        <v>148</v>
      </c>
      <c r="BL727" s="29" t="s">
        <v>148</v>
      </c>
      <c r="BM727" s="45"/>
      <c r="BN727" s="45">
        <v>1.0</v>
      </c>
      <c r="BO727" s="46"/>
      <c r="BP727" s="2"/>
      <c r="BQ727" s="3"/>
    </row>
    <row r="728" ht="15.75" customHeight="1">
      <c r="A728" s="34">
        <v>733.0</v>
      </c>
      <c r="B728" s="34">
        <v>101390.0</v>
      </c>
      <c r="C728" s="34" t="s">
        <v>76</v>
      </c>
      <c r="D728" s="34" t="s">
        <v>1428</v>
      </c>
      <c r="E728" s="34" t="s">
        <v>1429</v>
      </c>
      <c r="F728" s="34">
        <v>2014.0</v>
      </c>
      <c r="G728" s="34" t="s">
        <v>1430</v>
      </c>
      <c r="H728" s="34" t="s">
        <v>1431</v>
      </c>
      <c r="I728" s="34" t="s">
        <v>1432</v>
      </c>
      <c r="J728" s="35"/>
      <c r="K728" s="36">
        <v>-1.35</v>
      </c>
      <c r="L728" s="36">
        <v>3.86</v>
      </c>
      <c r="M728" s="36"/>
      <c r="N728" s="36"/>
      <c r="O728" s="36"/>
      <c r="P728" s="52">
        <f t="shared" si="68"/>
        <v>-34.97409326</v>
      </c>
      <c r="Q728" s="36" t="s">
        <v>96</v>
      </c>
      <c r="R728" s="36" t="s">
        <v>96</v>
      </c>
      <c r="S728" s="36">
        <v>1000.0</v>
      </c>
      <c r="T728" s="36" t="s">
        <v>242</v>
      </c>
      <c r="U728" s="36" t="s">
        <v>243</v>
      </c>
      <c r="V728" s="36"/>
      <c r="W728" s="36" t="s">
        <v>169</v>
      </c>
      <c r="X728" s="38">
        <v>1.0</v>
      </c>
      <c r="Y728" s="38" t="s">
        <v>1433</v>
      </c>
      <c r="Z728" s="38" t="s">
        <v>1434</v>
      </c>
      <c r="AA728" s="38" t="s">
        <v>86</v>
      </c>
      <c r="AB728" s="38" t="s">
        <v>1435</v>
      </c>
      <c r="AC728" s="38" t="s">
        <v>1436</v>
      </c>
      <c r="AD728" s="38" t="s">
        <v>1130</v>
      </c>
      <c r="AE728" s="53"/>
      <c r="AF728" s="38"/>
      <c r="AG728" s="57" t="s">
        <v>107</v>
      </c>
      <c r="AH728" s="38">
        <v>10.0</v>
      </c>
      <c r="AI728" s="50">
        <v>37.16</v>
      </c>
      <c r="AJ728" s="50">
        <v>127.65</v>
      </c>
      <c r="AK728" s="41" t="s">
        <v>86</v>
      </c>
      <c r="AL728" s="40" t="s">
        <v>86</v>
      </c>
      <c r="AM728" s="49">
        <v>65.0</v>
      </c>
      <c r="AN728" s="51">
        <v>65.0</v>
      </c>
      <c r="AO728" s="42" t="s">
        <v>218</v>
      </c>
      <c r="AP728" s="43" t="s">
        <v>218</v>
      </c>
      <c r="AQ728" s="44" t="str">
        <f t="shared" si="60"/>
        <v>CRO</v>
      </c>
      <c r="AR728" s="44">
        <f t="shared" si="3"/>
        <v>65</v>
      </c>
      <c r="AS728" s="44" t="str">
        <f t="shared" si="63"/>
        <v>D</v>
      </c>
      <c r="AT728" s="44" t="str">
        <f t="shared" si="17"/>
        <v>Dw</v>
      </c>
      <c r="AU728" s="44" t="str">
        <f t="shared" si="2"/>
        <v>Dwa</v>
      </c>
      <c r="AV728" s="38">
        <v>3.0</v>
      </c>
      <c r="AW728" s="38">
        <v>1.0</v>
      </c>
      <c r="AX728" s="38"/>
      <c r="AY728" s="38"/>
      <c r="AZ728" s="29">
        <v>1000.0</v>
      </c>
      <c r="BA728" s="29"/>
      <c r="BB728" s="29">
        <v>1.0</v>
      </c>
      <c r="BC728" s="29" t="s">
        <v>1442</v>
      </c>
      <c r="BD728" s="29" t="s">
        <v>88</v>
      </c>
      <c r="BE728" s="29"/>
      <c r="BF728" s="29" t="s">
        <v>1443</v>
      </c>
      <c r="BG728" s="29" t="s">
        <v>220</v>
      </c>
      <c r="BH728" s="29"/>
      <c r="BI728" s="29" t="s">
        <v>1441</v>
      </c>
      <c r="BJ728" s="29"/>
      <c r="BK728" s="29" t="s">
        <v>148</v>
      </c>
      <c r="BL728" s="29" t="s">
        <v>148</v>
      </c>
      <c r="BM728" s="45"/>
      <c r="BN728" s="45">
        <v>1.0</v>
      </c>
      <c r="BO728" s="46"/>
      <c r="BP728" s="2"/>
      <c r="BQ728" s="3"/>
    </row>
    <row r="729" ht="15.75" customHeight="1">
      <c r="A729" s="34">
        <v>734.0</v>
      </c>
      <c r="B729" s="34">
        <v>101390.0</v>
      </c>
      <c r="C729" s="34" t="s">
        <v>76</v>
      </c>
      <c r="D729" s="34" t="s">
        <v>1428</v>
      </c>
      <c r="E729" s="34" t="s">
        <v>1429</v>
      </c>
      <c r="F729" s="34">
        <v>2014.0</v>
      </c>
      <c r="G729" s="34" t="s">
        <v>1430</v>
      </c>
      <c r="H729" s="34" t="s">
        <v>1431</v>
      </c>
      <c r="I729" s="34" t="s">
        <v>1432</v>
      </c>
      <c r="J729" s="35"/>
      <c r="K729" s="36">
        <v>-1.71</v>
      </c>
      <c r="L729" s="36">
        <v>4.22</v>
      </c>
      <c r="M729" s="36"/>
      <c r="N729" s="36"/>
      <c r="O729" s="36"/>
      <c r="P729" s="52">
        <f t="shared" si="68"/>
        <v>-40.52132701</v>
      </c>
      <c r="Q729" s="36" t="s">
        <v>96</v>
      </c>
      <c r="R729" s="36" t="s">
        <v>96</v>
      </c>
      <c r="S729" s="36">
        <v>1000.0</v>
      </c>
      <c r="T729" s="36" t="s">
        <v>242</v>
      </c>
      <c r="U729" s="36" t="s">
        <v>243</v>
      </c>
      <c r="V729" s="36"/>
      <c r="W729" s="36" t="s">
        <v>169</v>
      </c>
      <c r="X729" s="38">
        <v>1.0</v>
      </c>
      <c r="Y729" s="38" t="s">
        <v>1433</v>
      </c>
      <c r="Z729" s="38" t="s">
        <v>1434</v>
      </c>
      <c r="AA729" s="38" t="s">
        <v>86</v>
      </c>
      <c r="AB729" s="38" t="s">
        <v>1435</v>
      </c>
      <c r="AC729" s="38" t="s">
        <v>1436</v>
      </c>
      <c r="AD729" s="38" t="s">
        <v>1130</v>
      </c>
      <c r="AE729" s="53"/>
      <c r="AF729" s="38"/>
      <c r="AG729" s="57" t="s">
        <v>445</v>
      </c>
      <c r="AH729" s="38">
        <v>10.0</v>
      </c>
      <c r="AI729" s="50">
        <v>37.16</v>
      </c>
      <c r="AJ729" s="50">
        <v>127.65</v>
      </c>
      <c r="AK729" s="41" t="s">
        <v>86</v>
      </c>
      <c r="AL729" s="40" t="s">
        <v>86</v>
      </c>
      <c r="AM729" s="49">
        <v>65.0</v>
      </c>
      <c r="AN729" s="51">
        <v>65.0</v>
      </c>
      <c r="AO729" s="42" t="s">
        <v>218</v>
      </c>
      <c r="AP729" s="43" t="s">
        <v>218</v>
      </c>
      <c r="AQ729" s="44" t="str">
        <f t="shared" si="60"/>
        <v>CRO</v>
      </c>
      <c r="AR729" s="44">
        <f t="shared" si="3"/>
        <v>65</v>
      </c>
      <c r="AS729" s="44" t="str">
        <f t="shared" si="63"/>
        <v>D</v>
      </c>
      <c r="AT729" s="44" t="str">
        <f t="shared" si="17"/>
        <v>Dw</v>
      </c>
      <c r="AU729" s="44" t="str">
        <f t="shared" si="2"/>
        <v>Dwa</v>
      </c>
      <c r="AV729" s="38">
        <v>2.0</v>
      </c>
      <c r="AW729" s="38">
        <v>1.0</v>
      </c>
      <c r="AX729" s="38"/>
      <c r="AY729" s="38"/>
      <c r="AZ729" s="29">
        <v>1000.0</v>
      </c>
      <c r="BA729" s="29"/>
      <c r="BB729" s="29">
        <v>1.0</v>
      </c>
      <c r="BC729" s="29" t="s">
        <v>1442</v>
      </c>
      <c r="BD729" s="29" t="s">
        <v>88</v>
      </c>
      <c r="BE729" s="29"/>
      <c r="BF729" s="29" t="s">
        <v>1443</v>
      </c>
      <c r="BG729" s="29" t="s">
        <v>220</v>
      </c>
      <c r="BH729" s="29"/>
      <c r="BI729" s="29" t="s">
        <v>1441</v>
      </c>
      <c r="BJ729" s="29"/>
      <c r="BK729" s="29" t="s">
        <v>148</v>
      </c>
      <c r="BL729" s="29" t="s">
        <v>148</v>
      </c>
      <c r="BM729" s="45"/>
      <c r="BN729" s="45">
        <v>1.0</v>
      </c>
      <c r="BO729" s="46"/>
      <c r="BP729" s="2"/>
      <c r="BQ729" s="3"/>
    </row>
    <row r="730" ht="15.75" customHeight="1">
      <c r="A730" s="34">
        <v>735.0</v>
      </c>
      <c r="B730" s="34">
        <v>101390.0</v>
      </c>
      <c r="C730" s="34" t="s">
        <v>76</v>
      </c>
      <c r="D730" s="34" t="s">
        <v>1428</v>
      </c>
      <c r="E730" s="34" t="s">
        <v>1429</v>
      </c>
      <c r="F730" s="34">
        <v>2014.0</v>
      </c>
      <c r="G730" s="34" t="s">
        <v>1430</v>
      </c>
      <c r="H730" s="34" t="s">
        <v>1431</v>
      </c>
      <c r="I730" s="34" t="s">
        <v>1432</v>
      </c>
      <c r="J730" s="35"/>
      <c r="K730" s="36"/>
      <c r="L730" s="36"/>
      <c r="M730" s="36"/>
      <c r="N730" s="36">
        <v>229.42</v>
      </c>
      <c r="O730" s="36">
        <v>82.53</v>
      </c>
      <c r="P730" s="86">
        <f t="shared" ref="P730:P732" si="69">N730/O730*100</f>
        <v>277.9837635</v>
      </c>
      <c r="Q730" s="36"/>
      <c r="R730" s="36" t="s">
        <v>82</v>
      </c>
      <c r="S730" s="36">
        <v>1000.0</v>
      </c>
      <c r="T730" s="36" t="s">
        <v>242</v>
      </c>
      <c r="U730" s="36" t="s">
        <v>243</v>
      </c>
      <c r="V730" s="36"/>
      <c r="W730" s="36" t="s">
        <v>169</v>
      </c>
      <c r="X730" s="38">
        <v>1.0</v>
      </c>
      <c r="Y730" s="38" t="s">
        <v>1444</v>
      </c>
      <c r="Z730" s="38" t="s">
        <v>1445</v>
      </c>
      <c r="AA730" s="38" t="s">
        <v>452</v>
      </c>
      <c r="AB730" s="38" t="s">
        <v>1446</v>
      </c>
      <c r="AC730" s="38" t="s">
        <v>1447</v>
      </c>
      <c r="AD730" s="38" t="s">
        <v>1130</v>
      </c>
      <c r="AE730" s="38">
        <v>269.0</v>
      </c>
      <c r="AF730" s="38"/>
      <c r="AG730" s="38"/>
      <c r="AH730" s="38">
        <v>20.0</v>
      </c>
      <c r="AI730" s="50">
        <v>37.94</v>
      </c>
      <c r="AJ730" s="50">
        <v>126.95</v>
      </c>
      <c r="AK730" s="41" t="s">
        <v>370</v>
      </c>
      <c r="AL730" s="40" t="s">
        <v>370</v>
      </c>
      <c r="AM730" s="49">
        <v>244.0</v>
      </c>
      <c r="AN730" s="51">
        <v>244.0</v>
      </c>
      <c r="AO730" s="42" t="s">
        <v>218</v>
      </c>
      <c r="AP730" s="43" t="s">
        <v>218</v>
      </c>
      <c r="AQ730" s="44" t="str">
        <f t="shared" si="60"/>
        <v>MF</v>
      </c>
      <c r="AR730" s="44">
        <f t="shared" si="3"/>
        <v>244</v>
      </c>
      <c r="AS730" s="44" t="str">
        <f t="shared" si="63"/>
        <v>D</v>
      </c>
      <c r="AT730" s="44" t="str">
        <f t="shared" si="17"/>
        <v>Dw</v>
      </c>
      <c r="AU730" s="44" t="str">
        <f t="shared" si="2"/>
        <v>Dwa</v>
      </c>
      <c r="AV730" s="38">
        <v>1.0</v>
      </c>
      <c r="AW730" s="38">
        <v>1.0</v>
      </c>
      <c r="AX730" s="38"/>
      <c r="AY730" s="38"/>
      <c r="AZ730" s="29">
        <v>1000.0</v>
      </c>
      <c r="BA730" s="29"/>
      <c r="BB730" s="29">
        <v>1.0</v>
      </c>
      <c r="BC730" s="29" t="s">
        <v>1437</v>
      </c>
      <c r="BD730" s="29" t="s">
        <v>88</v>
      </c>
      <c r="BE730" s="29"/>
      <c r="BF730" s="29" t="s">
        <v>936</v>
      </c>
      <c r="BG730" s="29" t="s">
        <v>572</v>
      </c>
      <c r="BH730" s="29" t="s">
        <v>88</v>
      </c>
      <c r="BI730" s="29" t="s">
        <v>1438</v>
      </c>
      <c r="BJ730" s="29"/>
      <c r="BK730" s="29" t="s">
        <v>148</v>
      </c>
      <c r="BL730" s="29" t="s">
        <v>148</v>
      </c>
      <c r="BM730" s="45"/>
      <c r="BN730" s="45">
        <v>1.0</v>
      </c>
      <c r="BO730" s="46"/>
      <c r="BP730" s="2"/>
      <c r="BQ730" s="3"/>
    </row>
    <row r="731" ht="15.75" customHeight="1">
      <c r="A731" s="34">
        <v>736.0</v>
      </c>
      <c r="B731" s="34">
        <v>101390.0</v>
      </c>
      <c r="C731" s="34" t="s">
        <v>76</v>
      </c>
      <c r="D731" s="34" t="s">
        <v>1428</v>
      </c>
      <c r="E731" s="34" t="s">
        <v>1429</v>
      </c>
      <c r="F731" s="34">
        <v>2014.0</v>
      </c>
      <c r="G731" s="34" t="s">
        <v>1430</v>
      </c>
      <c r="H731" s="34" t="s">
        <v>1431</v>
      </c>
      <c r="I731" s="34" t="s">
        <v>1432</v>
      </c>
      <c r="J731" s="35"/>
      <c r="K731" s="36"/>
      <c r="L731" s="36"/>
      <c r="M731" s="36"/>
      <c r="N731" s="36">
        <v>51.19</v>
      </c>
      <c r="O731" s="36">
        <v>260.76</v>
      </c>
      <c r="P731" s="52">
        <f t="shared" si="69"/>
        <v>19.63107839</v>
      </c>
      <c r="Q731" s="36"/>
      <c r="R731" s="36" t="s">
        <v>82</v>
      </c>
      <c r="S731" s="36">
        <v>1000.0</v>
      </c>
      <c r="T731" s="36" t="s">
        <v>242</v>
      </c>
      <c r="U731" s="36" t="s">
        <v>243</v>
      </c>
      <c r="V731" s="36"/>
      <c r="W731" s="36" t="s">
        <v>169</v>
      </c>
      <c r="X731" s="38">
        <v>1.0</v>
      </c>
      <c r="Y731" s="38" t="s">
        <v>1444</v>
      </c>
      <c r="Z731" s="38" t="s">
        <v>1445</v>
      </c>
      <c r="AA731" s="38" t="s">
        <v>452</v>
      </c>
      <c r="AB731" s="38" t="s">
        <v>1446</v>
      </c>
      <c r="AC731" s="38" t="s">
        <v>1447</v>
      </c>
      <c r="AD731" s="38" t="s">
        <v>1130</v>
      </c>
      <c r="AE731" s="38">
        <v>269.0</v>
      </c>
      <c r="AF731" s="38"/>
      <c r="AG731" s="38"/>
      <c r="AH731" s="38">
        <v>20.0</v>
      </c>
      <c r="AI731" s="50">
        <v>37.94</v>
      </c>
      <c r="AJ731" s="50">
        <v>126.95</v>
      </c>
      <c r="AK731" s="41" t="s">
        <v>370</v>
      </c>
      <c r="AL731" s="40" t="s">
        <v>370</v>
      </c>
      <c r="AM731" s="49">
        <v>244.0</v>
      </c>
      <c r="AN731" s="51">
        <v>244.0</v>
      </c>
      <c r="AO731" s="42" t="s">
        <v>218</v>
      </c>
      <c r="AP731" s="43" t="s">
        <v>218</v>
      </c>
      <c r="AQ731" s="44" t="str">
        <f t="shared" si="60"/>
        <v>MF</v>
      </c>
      <c r="AR731" s="44">
        <f t="shared" si="3"/>
        <v>244</v>
      </c>
      <c r="AS731" s="44" t="str">
        <f t="shared" si="63"/>
        <v>D</v>
      </c>
      <c r="AT731" s="44" t="str">
        <f t="shared" si="17"/>
        <v>Dw</v>
      </c>
      <c r="AU731" s="44" t="str">
        <f t="shared" si="2"/>
        <v>Dwa</v>
      </c>
      <c r="AV731" s="38">
        <v>3.0</v>
      </c>
      <c r="AW731" s="38">
        <v>1.0</v>
      </c>
      <c r="AX731" s="38"/>
      <c r="AY731" s="38"/>
      <c r="AZ731" s="29">
        <v>1000.0</v>
      </c>
      <c r="BA731" s="29"/>
      <c r="BB731" s="29">
        <v>1.0</v>
      </c>
      <c r="BC731" s="29" t="s">
        <v>1437</v>
      </c>
      <c r="BD731" s="29" t="s">
        <v>88</v>
      </c>
      <c r="BE731" s="29"/>
      <c r="BF731" s="29" t="s">
        <v>936</v>
      </c>
      <c r="BG731" s="29" t="s">
        <v>572</v>
      </c>
      <c r="BH731" s="29" t="s">
        <v>88</v>
      </c>
      <c r="BI731" s="29" t="s">
        <v>1438</v>
      </c>
      <c r="BJ731" s="29"/>
      <c r="BK731" s="29" t="s">
        <v>148</v>
      </c>
      <c r="BL731" s="29" t="s">
        <v>148</v>
      </c>
      <c r="BM731" s="45"/>
      <c r="BN731" s="45">
        <v>1.0</v>
      </c>
      <c r="BO731" s="46"/>
      <c r="BP731" s="2"/>
      <c r="BQ731" s="3"/>
    </row>
    <row r="732" ht="15.75" customHeight="1">
      <c r="A732" s="34">
        <v>737.0</v>
      </c>
      <c r="B732" s="34">
        <v>101390.0</v>
      </c>
      <c r="C732" s="34" t="s">
        <v>76</v>
      </c>
      <c r="D732" s="34" t="s">
        <v>1428</v>
      </c>
      <c r="E732" s="34" t="s">
        <v>1429</v>
      </c>
      <c r="F732" s="34">
        <v>2014.0</v>
      </c>
      <c r="G732" s="34" t="s">
        <v>1430</v>
      </c>
      <c r="H732" s="34" t="s">
        <v>1431</v>
      </c>
      <c r="I732" s="34" t="s">
        <v>1432</v>
      </c>
      <c r="J732" s="35"/>
      <c r="K732" s="36"/>
      <c r="L732" s="36"/>
      <c r="M732" s="36"/>
      <c r="N732" s="36">
        <v>-160.26</v>
      </c>
      <c r="O732" s="36">
        <v>472.21</v>
      </c>
      <c r="P732" s="52">
        <f t="shared" si="69"/>
        <v>-33.93829017</v>
      </c>
      <c r="Q732" s="36"/>
      <c r="R732" s="36" t="s">
        <v>82</v>
      </c>
      <c r="S732" s="36">
        <v>1000.0</v>
      </c>
      <c r="T732" s="36" t="s">
        <v>242</v>
      </c>
      <c r="U732" s="36" t="s">
        <v>243</v>
      </c>
      <c r="V732" s="36"/>
      <c r="W732" s="36" t="s">
        <v>169</v>
      </c>
      <c r="X732" s="38">
        <v>1.0</v>
      </c>
      <c r="Y732" s="38" t="s">
        <v>1444</v>
      </c>
      <c r="Z732" s="38" t="s">
        <v>1445</v>
      </c>
      <c r="AA732" s="38" t="s">
        <v>452</v>
      </c>
      <c r="AB732" s="38" t="s">
        <v>1446</v>
      </c>
      <c r="AC732" s="38" t="s">
        <v>1447</v>
      </c>
      <c r="AD732" s="38" t="s">
        <v>1130</v>
      </c>
      <c r="AE732" s="38">
        <v>269.0</v>
      </c>
      <c r="AF732" s="38"/>
      <c r="AG732" s="38"/>
      <c r="AH732" s="38">
        <v>20.0</v>
      </c>
      <c r="AI732" s="50">
        <v>37.94</v>
      </c>
      <c r="AJ732" s="50">
        <v>126.95</v>
      </c>
      <c r="AK732" s="41" t="s">
        <v>370</v>
      </c>
      <c r="AL732" s="40" t="s">
        <v>370</v>
      </c>
      <c r="AM732" s="49">
        <v>244.0</v>
      </c>
      <c r="AN732" s="51">
        <v>244.0</v>
      </c>
      <c r="AO732" s="42" t="s">
        <v>218</v>
      </c>
      <c r="AP732" s="43" t="s">
        <v>218</v>
      </c>
      <c r="AQ732" s="44" t="str">
        <f t="shared" si="60"/>
        <v>MF</v>
      </c>
      <c r="AR732" s="44">
        <f t="shared" si="3"/>
        <v>244</v>
      </c>
      <c r="AS732" s="44" t="str">
        <f t="shared" si="63"/>
        <v>D</v>
      </c>
      <c r="AT732" s="44" t="str">
        <f t="shared" si="17"/>
        <v>Dw</v>
      </c>
      <c r="AU732" s="44" t="str">
        <f t="shared" si="2"/>
        <v>Dwa</v>
      </c>
      <c r="AV732" s="38">
        <v>2.0</v>
      </c>
      <c r="AW732" s="38">
        <v>1.0</v>
      </c>
      <c r="AX732" s="38"/>
      <c r="AY732" s="38"/>
      <c r="AZ732" s="29">
        <v>1000.0</v>
      </c>
      <c r="BA732" s="29"/>
      <c r="BB732" s="29">
        <v>1.0</v>
      </c>
      <c r="BC732" s="29" t="s">
        <v>1437</v>
      </c>
      <c r="BD732" s="29" t="s">
        <v>88</v>
      </c>
      <c r="BE732" s="29"/>
      <c r="BF732" s="29" t="s">
        <v>936</v>
      </c>
      <c r="BG732" s="29" t="s">
        <v>572</v>
      </c>
      <c r="BH732" s="29" t="s">
        <v>88</v>
      </c>
      <c r="BI732" s="29" t="s">
        <v>1438</v>
      </c>
      <c r="BJ732" s="29"/>
      <c r="BK732" s="29" t="s">
        <v>148</v>
      </c>
      <c r="BL732" s="29" t="s">
        <v>148</v>
      </c>
      <c r="BM732" s="45"/>
      <c r="BN732" s="45">
        <v>1.0</v>
      </c>
      <c r="BO732" s="46"/>
      <c r="BP732" s="2"/>
      <c r="BQ732" s="3"/>
    </row>
    <row r="733" ht="15.75" customHeight="1">
      <c r="A733" s="34">
        <v>738.0</v>
      </c>
      <c r="B733" s="34">
        <v>101390.0</v>
      </c>
      <c r="C733" s="34" t="s">
        <v>76</v>
      </c>
      <c r="D733" s="34" t="s">
        <v>1428</v>
      </c>
      <c r="E733" s="34" t="s">
        <v>1429</v>
      </c>
      <c r="F733" s="34">
        <v>2014.0</v>
      </c>
      <c r="G733" s="34" t="s">
        <v>1430</v>
      </c>
      <c r="H733" s="34" t="s">
        <v>1431</v>
      </c>
      <c r="I733" s="34" t="s">
        <v>1432</v>
      </c>
      <c r="J733" s="35"/>
      <c r="K733" s="36">
        <v>1.75</v>
      </c>
      <c r="L733" s="36">
        <v>1.47</v>
      </c>
      <c r="M733" s="36"/>
      <c r="N733" s="36"/>
      <c r="O733" s="36"/>
      <c r="P733" s="86">
        <f t="shared" ref="P733:P735" si="70">K733/L733*100</f>
        <v>119.047619</v>
      </c>
      <c r="Q733" s="36" t="s">
        <v>96</v>
      </c>
      <c r="R733" s="36" t="s">
        <v>96</v>
      </c>
      <c r="S733" s="36">
        <v>1000.0</v>
      </c>
      <c r="T733" s="36" t="s">
        <v>242</v>
      </c>
      <c r="U733" s="36" t="s">
        <v>243</v>
      </c>
      <c r="V733" s="36"/>
      <c r="W733" s="36" t="s">
        <v>169</v>
      </c>
      <c r="X733" s="38">
        <v>1.0</v>
      </c>
      <c r="Y733" s="38" t="s">
        <v>1444</v>
      </c>
      <c r="Z733" s="38" t="s">
        <v>1445</v>
      </c>
      <c r="AA733" s="38" t="s">
        <v>452</v>
      </c>
      <c r="AB733" s="38" t="s">
        <v>1446</v>
      </c>
      <c r="AC733" s="38" t="s">
        <v>1447</v>
      </c>
      <c r="AD733" s="38" t="s">
        <v>1130</v>
      </c>
      <c r="AE733" s="38">
        <v>269.0</v>
      </c>
      <c r="AF733" s="38"/>
      <c r="AG733" s="38"/>
      <c r="AH733" s="38">
        <v>20.0</v>
      </c>
      <c r="AI733" s="50">
        <v>37.94</v>
      </c>
      <c r="AJ733" s="50">
        <v>126.95</v>
      </c>
      <c r="AK733" s="41" t="s">
        <v>370</v>
      </c>
      <c r="AL733" s="40" t="s">
        <v>370</v>
      </c>
      <c r="AM733" s="49">
        <v>244.0</v>
      </c>
      <c r="AN733" s="51">
        <v>244.0</v>
      </c>
      <c r="AO733" s="42" t="s">
        <v>218</v>
      </c>
      <c r="AP733" s="43" t="s">
        <v>218</v>
      </c>
      <c r="AQ733" s="44" t="str">
        <f t="shared" si="60"/>
        <v>MF</v>
      </c>
      <c r="AR733" s="44">
        <f t="shared" si="3"/>
        <v>244</v>
      </c>
      <c r="AS733" s="44" t="str">
        <f t="shared" si="63"/>
        <v>D</v>
      </c>
      <c r="AT733" s="44" t="str">
        <f t="shared" si="17"/>
        <v>Dw</v>
      </c>
      <c r="AU733" s="44" t="str">
        <f t="shared" si="2"/>
        <v>Dwa</v>
      </c>
      <c r="AV733" s="38">
        <v>1.0</v>
      </c>
      <c r="AW733" s="38">
        <v>1.0</v>
      </c>
      <c r="AX733" s="38"/>
      <c r="AY733" s="38"/>
      <c r="AZ733" s="29">
        <v>1000.0</v>
      </c>
      <c r="BA733" s="29"/>
      <c r="BB733" s="29">
        <v>1.0</v>
      </c>
      <c r="BC733" s="29" t="s">
        <v>1437</v>
      </c>
      <c r="BD733" s="29" t="s">
        <v>88</v>
      </c>
      <c r="BE733" s="29"/>
      <c r="BF733" s="29" t="s">
        <v>936</v>
      </c>
      <c r="BG733" s="29" t="s">
        <v>572</v>
      </c>
      <c r="BH733" s="29" t="s">
        <v>88</v>
      </c>
      <c r="BI733" s="29" t="s">
        <v>1438</v>
      </c>
      <c r="BJ733" s="29"/>
      <c r="BK733" s="29" t="s">
        <v>148</v>
      </c>
      <c r="BL733" s="29" t="s">
        <v>148</v>
      </c>
      <c r="BM733" s="45"/>
      <c r="BN733" s="45">
        <v>1.0</v>
      </c>
      <c r="BO733" s="46"/>
      <c r="BP733" s="2"/>
      <c r="BQ733" s="3"/>
    </row>
    <row r="734" ht="15.75" customHeight="1">
      <c r="A734" s="34">
        <v>739.0</v>
      </c>
      <c r="B734" s="34">
        <v>101390.0</v>
      </c>
      <c r="C734" s="34" t="s">
        <v>76</v>
      </c>
      <c r="D734" s="34" t="s">
        <v>1428</v>
      </c>
      <c r="E734" s="34" t="s">
        <v>1429</v>
      </c>
      <c r="F734" s="34">
        <v>2014.0</v>
      </c>
      <c r="G734" s="34" t="s">
        <v>1430</v>
      </c>
      <c r="H734" s="34" t="s">
        <v>1431</v>
      </c>
      <c r="I734" s="34" t="s">
        <v>1432</v>
      </c>
      <c r="J734" s="35"/>
      <c r="K734" s="36">
        <v>0.22</v>
      </c>
      <c r="L734" s="36">
        <v>3.0</v>
      </c>
      <c r="M734" s="36"/>
      <c r="N734" s="36"/>
      <c r="O734" s="36"/>
      <c r="P734" s="52">
        <f t="shared" si="70"/>
        <v>7.333333333</v>
      </c>
      <c r="Q734" s="36" t="s">
        <v>96</v>
      </c>
      <c r="R734" s="36" t="s">
        <v>96</v>
      </c>
      <c r="S734" s="36">
        <v>1000.0</v>
      </c>
      <c r="T734" s="36" t="s">
        <v>242</v>
      </c>
      <c r="U734" s="36" t="s">
        <v>243</v>
      </c>
      <c r="V734" s="36"/>
      <c r="W734" s="36" t="s">
        <v>169</v>
      </c>
      <c r="X734" s="38">
        <v>1.0</v>
      </c>
      <c r="Y734" s="38" t="s">
        <v>1444</v>
      </c>
      <c r="Z734" s="38" t="s">
        <v>1445</v>
      </c>
      <c r="AA734" s="38" t="s">
        <v>452</v>
      </c>
      <c r="AB734" s="38" t="s">
        <v>1446</v>
      </c>
      <c r="AC734" s="38" t="s">
        <v>1447</v>
      </c>
      <c r="AD734" s="38" t="s">
        <v>1130</v>
      </c>
      <c r="AE734" s="38">
        <v>269.0</v>
      </c>
      <c r="AF734" s="38"/>
      <c r="AG734" s="38"/>
      <c r="AH734" s="38">
        <v>20.0</v>
      </c>
      <c r="AI734" s="50">
        <v>37.94</v>
      </c>
      <c r="AJ734" s="50">
        <v>126.95</v>
      </c>
      <c r="AK734" s="41" t="s">
        <v>370</v>
      </c>
      <c r="AL734" s="40" t="s">
        <v>370</v>
      </c>
      <c r="AM734" s="49">
        <v>244.0</v>
      </c>
      <c r="AN734" s="51">
        <v>244.0</v>
      </c>
      <c r="AO734" s="42" t="s">
        <v>218</v>
      </c>
      <c r="AP734" s="43" t="s">
        <v>218</v>
      </c>
      <c r="AQ734" s="44" t="str">
        <f t="shared" si="60"/>
        <v>MF</v>
      </c>
      <c r="AR734" s="44">
        <f t="shared" si="3"/>
        <v>244</v>
      </c>
      <c r="AS734" s="44" t="str">
        <f t="shared" si="63"/>
        <v>D</v>
      </c>
      <c r="AT734" s="44" t="str">
        <f t="shared" si="17"/>
        <v>Dw</v>
      </c>
      <c r="AU734" s="44" t="str">
        <f t="shared" si="2"/>
        <v>Dwa</v>
      </c>
      <c r="AV734" s="38">
        <v>3.0</v>
      </c>
      <c r="AW734" s="38">
        <v>1.0</v>
      </c>
      <c r="AX734" s="38"/>
      <c r="AY734" s="38"/>
      <c r="AZ734" s="29">
        <v>1000.0</v>
      </c>
      <c r="BA734" s="29"/>
      <c r="BB734" s="29">
        <v>1.0</v>
      </c>
      <c r="BC734" s="29" t="s">
        <v>1437</v>
      </c>
      <c r="BD734" s="29" t="s">
        <v>88</v>
      </c>
      <c r="BE734" s="29"/>
      <c r="BF734" s="29" t="s">
        <v>936</v>
      </c>
      <c r="BG734" s="29" t="s">
        <v>572</v>
      </c>
      <c r="BH734" s="29" t="s">
        <v>88</v>
      </c>
      <c r="BI734" s="29" t="s">
        <v>1438</v>
      </c>
      <c r="BJ734" s="29"/>
      <c r="BK734" s="29" t="s">
        <v>148</v>
      </c>
      <c r="BL734" s="29" t="s">
        <v>148</v>
      </c>
      <c r="BM734" s="45"/>
      <c r="BN734" s="45">
        <v>1.0</v>
      </c>
      <c r="BO734" s="46"/>
      <c r="BP734" s="2"/>
      <c r="BQ734" s="3"/>
    </row>
    <row r="735" ht="15.75" customHeight="1">
      <c r="A735" s="34">
        <v>740.0</v>
      </c>
      <c r="B735" s="34">
        <v>101390.0</v>
      </c>
      <c r="C735" s="34" t="s">
        <v>76</v>
      </c>
      <c r="D735" s="34" t="s">
        <v>1428</v>
      </c>
      <c r="E735" s="34" t="s">
        <v>1429</v>
      </c>
      <c r="F735" s="34">
        <v>2014.0</v>
      </c>
      <c r="G735" s="34" t="s">
        <v>1430</v>
      </c>
      <c r="H735" s="34" t="s">
        <v>1431</v>
      </c>
      <c r="I735" s="34" t="s">
        <v>1432</v>
      </c>
      <c r="J735" s="35"/>
      <c r="K735" s="36">
        <v>-0.8</v>
      </c>
      <c r="L735" s="36">
        <v>4.02</v>
      </c>
      <c r="M735" s="36"/>
      <c r="N735" s="36"/>
      <c r="O735" s="36"/>
      <c r="P735" s="52">
        <f t="shared" si="70"/>
        <v>-19.90049751</v>
      </c>
      <c r="Q735" s="36" t="s">
        <v>96</v>
      </c>
      <c r="R735" s="36" t="s">
        <v>96</v>
      </c>
      <c r="S735" s="36">
        <v>1000.0</v>
      </c>
      <c r="T735" s="36" t="s">
        <v>242</v>
      </c>
      <c r="U735" s="36" t="s">
        <v>243</v>
      </c>
      <c r="V735" s="36"/>
      <c r="W735" s="36" t="s">
        <v>169</v>
      </c>
      <c r="X735" s="38">
        <v>1.0</v>
      </c>
      <c r="Y735" s="38" t="s">
        <v>1444</v>
      </c>
      <c r="Z735" s="38" t="s">
        <v>1445</v>
      </c>
      <c r="AA735" s="38" t="s">
        <v>452</v>
      </c>
      <c r="AB735" s="38" t="s">
        <v>1446</v>
      </c>
      <c r="AC735" s="38" t="s">
        <v>1447</v>
      </c>
      <c r="AD735" s="38" t="s">
        <v>1130</v>
      </c>
      <c r="AE735" s="38">
        <v>269.0</v>
      </c>
      <c r="AF735" s="38"/>
      <c r="AG735" s="38"/>
      <c r="AH735" s="38">
        <v>20.0</v>
      </c>
      <c r="AI735" s="50">
        <v>37.94</v>
      </c>
      <c r="AJ735" s="50">
        <v>126.95</v>
      </c>
      <c r="AK735" s="41" t="s">
        <v>370</v>
      </c>
      <c r="AL735" s="40" t="s">
        <v>370</v>
      </c>
      <c r="AM735" s="49">
        <v>244.0</v>
      </c>
      <c r="AN735" s="51">
        <v>244.0</v>
      </c>
      <c r="AO735" s="42" t="s">
        <v>218</v>
      </c>
      <c r="AP735" s="43" t="s">
        <v>218</v>
      </c>
      <c r="AQ735" s="44" t="str">
        <f t="shared" si="60"/>
        <v>MF</v>
      </c>
      <c r="AR735" s="44">
        <f t="shared" si="3"/>
        <v>244</v>
      </c>
      <c r="AS735" s="44" t="str">
        <f t="shared" si="63"/>
        <v>D</v>
      </c>
      <c r="AT735" s="44" t="str">
        <f t="shared" si="17"/>
        <v>Dw</v>
      </c>
      <c r="AU735" s="44" t="str">
        <f t="shared" si="2"/>
        <v>Dwa</v>
      </c>
      <c r="AV735" s="38">
        <v>2.0</v>
      </c>
      <c r="AW735" s="38">
        <v>1.0</v>
      </c>
      <c r="AX735" s="38"/>
      <c r="AY735" s="38"/>
      <c r="AZ735" s="29">
        <v>1000.0</v>
      </c>
      <c r="BA735" s="29"/>
      <c r="BB735" s="29">
        <v>1.0</v>
      </c>
      <c r="BC735" s="29" t="s">
        <v>1437</v>
      </c>
      <c r="BD735" s="29" t="s">
        <v>88</v>
      </c>
      <c r="BE735" s="29"/>
      <c r="BF735" s="29" t="s">
        <v>936</v>
      </c>
      <c r="BG735" s="29" t="s">
        <v>572</v>
      </c>
      <c r="BH735" s="29" t="s">
        <v>88</v>
      </c>
      <c r="BI735" s="29" t="s">
        <v>1438</v>
      </c>
      <c r="BJ735" s="29"/>
      <c r="BK735" s="29" t="s">
        <v>148</v>
      </c>
      <c r="BL735" s="29" t="s">
        <v>148</v>
      </c>
      <c r="BM735" s="45"/>
      <c r="BN735" s="45">
        <v>1.0</v>
      </c>
      <c r="BO735" s="46"/>
      <c r="BP735" s="2"/>
      <c r="BQ735" s="3"/>
    </row>
    <row r="736" ht="15.75" customHeight="1">
      <c r="A736" s="34">
        <v>741.0</v>
      </c>
      <c r="B736" s="34">
        <v>101390.0</v>
      </c>
      <c r="C736" s="34" t="s">
        <v>76</v>
      </c>
      <c r="D736" s="34" t="s">
        <v>1428</v>
      </c>
      <c r="E736" s="34" t="s">
        <v>1429</v>
      </c>
      <c r="F736" s="34">
        <v>2014.0</v>
      </c>
      <c r="G736" s="34" t="s">
        <v>1430</v>
      </c>
      <c r="H736" s="34" t="s">
        <v>1431</v>
      </c>
      <c r="I736" s="34" t="s">
        <v>1432</v>
      </c>
      <c r="J736" s="35"/>
      <c r="K736" s="36"/>
      <c r="L736" s="36"/>
      <c r="M736" s="36"/>
      <c r="N736" s="36">
        <v>190.05</v>
      </c>
      <c r="O736" s="36">
        <v>82.53</v>
      </c>
      <c r="P736" s="86">
        <f t="shared" ref="P736:P738" si="71">N736/O736*100</f>
        <v>230.2798982</v>
      </c>
      <c r="Q736" s="36"/>
      <c r="R736" s="36" t="s">
        <v>82</v>
      </c>
      <c r="S736" s="36">
        <v>1000.0</v>
      </c>
      <c r="T736" s="36" t="s">
        <v>242</v>
      </c>
      <c r="U736" s="36" t="s">
        <v>243</v>
      </c>
      <c r="V736" s="36"/>
      <c r="W736" s="36" t="s">
        <v>169</v>
      </c>
      <c r="X736" s="38">
        <v>1.0</v>
      </c>
      <c r="Y736" s="38" t="s">
        <v>1444</v>
      </c>
      <c r="Z736" s="38" t="s">
        <v>1445</v>
      </c>
      <c r="AA736" s="38" t="s">
        <v>452</v>
      </c>
      <c r="AB736" s="38" t="s">
        <v>1446</v>
      </c>
      <c r="AC736" s="38" t="s">
        <v>1447</v>
      </c>
      <c r="AD736" s="38" t="s">
        <v>1130</v>
      </c>
      <c r="AE736" s="38">
        <v>269.0</v>
      </c>
      <c r="AF736" s="38"/>
      <c r="AG736" s="38"/>
      <c r="AH736" s="38">
        <v>20.0</v>
      </c>
      <c r="AI736" s="50">
        <v>37.94</v>
      </c>
      <c r="AJ736" s="50">
        <v>126.95</v>
      </c>
      <c r="AK736" s="41" t="s">
        <v>370</v>
      </c>
      <c r="AL736" s="40" t="s">
        <v>370</v>
      </c>
      <c r="AM736" s="49">
        <v>244.0</v>
      </c>
      <c r="AN736" s="51">
        <v>244.0</v>
      </c>
      <c r="AO736" s="42" t="s">
        <v>218</v>
      </c>
      <c r="AP736" s="43" t="s">
        <v>218</v>
      </c>
      <c r="AQ736" s="44" t="str">
        <f t="shared" si="60"/>
        <v>MF</v>
      </c>
      <c r="AR736" s="44">
        <f t="shared" si="3"/>
        <v>244</v>
      </c>
      <c r="AS736" s="44" t="str">
        <f t="shared" si="63"/>
        <v>D</v>
      </c>
      <c r="AT736" s="44" t="str">
        <f t="shared" si="17"/>
        <v>Dw</v>
      </c>
      <c r="AU736" s="44" t="str">
        <f t="shared" si="2"/>
        <v>Dwa</v>
      </c>
      <c r="AV736" s="38">
        <v>1.0</v>
      </c>
      <c r="AW736" s="38">
        <v>1.0</v>
      </c>
      <c r="AX736" s="38"/>
      <c r="AY736" s="38"/>
      <c r="AZ736" s="29">
        <v>1000.0</v>
      </c>
      <c r="BA736" s="29"/>
      <c r="BB736" s="29">
        <v>1.0</v>
      </c>
      <c r="BC736" s="29" t="s">
        <v>1440</v>
      </c>
      <c r="BD736" s="29" t="s">
        <v>88</v>
      </c>
      <c r="BE736" s="29"/>
      <c r="BF736" s="29" t="s">
        <v>936</v>
      </c>
      <c r="BG736" s="29" t="s">
        <v>572</v>
      </c>
      <c r="BH736" s="29"/>
      <c r="BI736" s="29" t="s">
        <v>1441</v>
      </c>
      <c r="BJ736" s="29"/>
      <c r="BK736" s="29" t="s">
        <v>148</v>
      </c>
      <c r="BL736" s="29" t="s">
        <v>148</v>
      </c>
      <c r="BM736" s="45"/>
      <c r="BN736" s="45">
        <v>1.0</v>
      </c>
      <c r="BO736" s="46"/>
      <c r="BP736" s="2"/>
      <c r="BQ736" s="3"/>
    </row>
    <row r="737" ht="15.75" customHeight="1">
      <c r="A737" s="34">
        <v>742.0</v>
      </c>
      <c r="B737" s="34">
        <v>101390.0</v>
      </c>
      <c r="C737" s="34" t="s">
        <v>76</v>
      </c>
      <c r="D737" s="34" t="s">
        <v>1428</v>
      </c>
      <c r="E737" s="34" t="s">
        <v>1429</v>
      </c>
      <c r="F737" s="34">
        <v>2014.0</v>
      </c>
      <c r="G737" s="34" t="s">
        <v>1430</v>
      </c>
      <c r="H737" s="34" t="s">
        <v>1431</v>
      </c>
      <c r="I737" s="34" t="s">
        <v>1432</v>
      </c>
      <c r="J737" s="35"/>
      <c r="K737" s="36"/>
      <c r="L737" s="36"/>
      <c r="M737" s="36"/>
      <c r="N737" s="36">
        <v>11.82</v>
      </c>
      <c r="O737" s="36">
        <v>260.76</v>
      </c>
      <c r="P737" s="52">
        <f t="shared" si="71"/>
        <v>4.53290382</v>
      </c>
      <c r="Q737" s="36"/>
      <c r="R737" s="36" t="s">
        <v>82</v>
      </c>
      <c r="S737" s="36">
        <v>1000.0</v>
      </c>
      <c r="T737" s="36" t="s">
        <v>242</v>
      </c>
      <c r="U737" s="36" t="s">
        <v>243</v>
      </c>
      <c r="V737" s="36"/>
      <c r="W737" s="36" t="s">
        <v>169</v>
      </c>
      <c r="X737" s="38">
        <v>1.0</v>
      </c>
      <c r="Y737" s="38" t="s">
        <v>1444</v>
      </c>
      <c r="Z737" s="38" t="s">
        <v>1445</v>
      </c>
      <c r="AA737" s="38" t="s">
        <v>452</v>
      </c>
      <c r="AB737" s="38" t="s">
        <v>1446</v>
      </c>
      <c r="AC737" s="38" t="s">
        <v>1447</v>
      </c>
      <c r="AD737" s="38" t="s">
        <v>1130</v>
      </c>
      <c r="AE737" s="38">
        <v>269.0</v>
      </c>
      <c r="AF737" s="38"/>
      <c r="AG737" s="38"/>
      <c r="AH737" s="38">
        <v>20.0</v>
      </c>
      <c r="AI737" s="50">
        <v>37.94</v>
      </c>
      <c r="AJ737" s="50">
        <v>126.95</v>
      </c>
      <c r="AK737" s="41" t="s">
        <v>370</v>
      </c>
      <c r="AL737" s="40" t="s">
        <v>370</v>
      </c>
      <c r="AM737" s="49">
        <v>244.0</v>
      </c>
      <c r="AN737" s="51">
        <v>244.0</v>
      </c>
      <c r="AO737" s="42" t="s">
        <v>218</v>
      </c>
      <c r="AP737" s="43" t="s">
        <v>218</v>
      </c>
      <c r="AQ737" s="44" t="str">
        <f t="shared" si="60"/>
        <v>MF</v>
      </c>
      <c r="AR737" s="44">
        <f t="shared" si="3"/>
        <v>244</v>
      </c>
      <c r="AS737" s="44" t="str">
        <f t="shared" si="63"/>
        <v>D</v>
      </c>
      <c r="AT737" s="44" t="str">
        <f t="shared" si="17"/>
        <v>Dw</v>
      </c>
      <c r="AU737" s="44" t="str">
        <f t="shared" si="2"/>
        <v>Dwa</v>
      </c>
      <c r="AV737" s="38">
        <v>3.0</v>
      </c>
      <c r="AW737" s="38">
        <v>1.0</v>
      </c>
      <c r="AX737" s="38"/>
      <c r="AY737" s="38"/>
      <c r="AZ737" s="29">
        <v>1000.0</v>
      </c>
      <c r="BA737" s="29"/>
      <c r="BB737" s="29">
        <v>1.0</v>
      </c>
      <c r="BC737" s="29" t="s">
        <v>1440</v>
      </c>
      <c r="BD737" s="29" t="s">
        <v>88</v>
      </c>
      <c r="BE737" s="29"/>
      <c r="BF737" s="29" t="s">
        <v>936</v>
      </c>
      <c r="BG737" s="29" t="s">
        <v>572</v>
      </c>
      <c r="BH737" s="29"/>
      <c r="BI737" s="29" t="s">
        <v>1441</v>
      </c>
      <c r="BJ737" s="29"/>
      <c r="BK737" s="29" t="s">
        <v>148</v>
      </c>
      <c r="BL737" s="29" t="s">
        <v>148</v>
      </c>
      <c r="BM737" s="45"/>
      <c r="BN737" s="45">
        <v>1.0</v>
      </c>
      <c r="BO737" s="46"/>
      <c r="BP737" s="2"/>
      <c r="BQ737" s="3"/>
    </row>
    <row r="738" ht="15.75" customHeight="1">
      <c r="A738" s="34">
        <v>743.0</v>
      </c>
      <c r="B738" s="34">
        <v>101390.0</v>
      </c>
      <c r="C738" s="34" t="s">
        <v>76</v>
      </c>
      <c r="D738" s="34" t="s">
        <v>1428</v>
      </c>
      <c r="E738" s="34" t="s">
        <v>1429</v>
      </c>
      <c r="F738" s="34">
        <v>2014.0</v>
      </c>
      <c r="G738" s="34" t="s">
        <v>1430</v>
      </c>
      <c r="H738" s="34" t="s">
        <v>1431</v>
      </c>
      <c r="I738" s="34" t="s">
        <v>1432</v>
      </c>
      <c r="J738" s="35"/>
      <c r="K738" s="36"/>
      <c r="L738" s="36"/>
      <c r="M738" s="36"/>
      <c r="N738" s="36">
        <v>-199.63</v>
      </c>
      <c r="O738" s="36">
        <v>472.21</v>
      </c>
      <c r="P738" s="52">
        <f t="shared" si="71"/>
        <v>-42.27568243</v>
      </c>
      <c r="Q738" s="36"/>
      <c r="R738" s="36" t="s">
        <v>82</v>
      </c>
      <c r="S738" s="36">
        <v>1000.0</v>
      </c>
      <c r="T738" s="36" t="s">
        <v>242</v>
      </c>
      <c r="U738" s="36" t="s">
        <v>243</v>
      </c>
      <c r="V738" s="36"/>
      <c r="W738" s="36" t="s">
        <v>169</v>
      </c>
      <c r="X738" s="38">
        <v>1.0</v>
      </c>
      <c r="Y738" s="38" t="s">
        <v>1444</v>
      </c>
      <c r="Z738" s="38" t="s">
        <v>1445</v>
      </c>
      <c r="AA738" s="38" t="s">
        <v>452</v>
      </c>
      <c r="AB738" s="38" t="s">
        <v>1446</v>
      </c>
      <c r="AC738" s="38" t="s">
        <v>1447</v>
      </c>
      <c r="AD738" s="38" t="s">
        <v>1130</v>
      </c>
      <c r="AE738" s="38">
        <v>269.0</v>
      </c>
      <c r="AF738" s="38"/>
      <c r="AG738" s="38"/>
      <c r="AH738" s="38">
        <v>20.0</v>
      </c>
      <c r="AI738" s="50">
        <v>37.94</v>
      </c>
      <c r="AJ738" s="50">
        <v>126.95</v>
      </c>
      <c r="AK738" s="41" t="s">
        <v>370</v>
      </c>
      <c r="AL738" s="40" t="s">
        <v>370</v>
      </c>
      <c r="AM738" s="49">
        <v>244.0</v>
      </c>
      <c r="AN738" s="51">
        <v>244.0</v>
      </c>
      <c r="AO738" s="42" t="s">
        <v>218</v>
      </c>
      <c r="AP738" s="43" t="s">
        <v>218</v>
      </c>
      <c r="AQ738" s="44" t="str">
        <f t="shared" si="60"/>
        <v>MF</v>
      </c>
      <c r="AR738" s="44">
        <f t="shared" si="3"/>
        <v>244</v>
      </c>
      <c r="AS738" s="44" t="str">
        <f t="shared" si="63"/>
        <v>D</v>
      </c>
      <c r="AT738" s="44" t="str">
        <f t="shared" si="17"/>
        <v>Dw</v>
      </c>
      <c r="AU738" s="44" t="str">
        <f t="shared" si="2"/>
        <v>Dwa</v>
      </c>
      <c r="AV738" s="38">
        <v>2.0</v>
      </c>
      <c r="AW738" s="38">
        <v>1.0</v>
      </c>
      <c r="AX738" s="38"/>
      <c r="AY738" s="38"/>
      <c r="AZ738" s="29">
        <v>1000.0</v>
      </c>
      <c r="BA738" s="29"/>
      <c r="BB738" s="29">
        <v>1.0</v>
      </c>
      <c r="BC738" s="29" t="s">
        <v>1440</v>
      </c>
      <c r="BD738" s="29" t="s">
        <v>88</v>
      </c>
      <c r="BE738" s="29"/>
      <c r="BF738" s="29" t="s">
        <v>936</v>
      </c>
      <c r="BG738" s="29" t="s">
        <v>572</v>
      </c>
      <c r="BH738" s="29"/>
      <c r="BI738" s="29" t="s">
        <v>1441</v>
      </c>
      <c r="BJ738" s="29"/>
      <c r="BK738" s="29" t="s">
        <v>148</v>
      </c>
      <c r="BL738" s="29" t="s">
        <v>148</v>
      </c>
      <c r="BM738" s="45"/>
      <c r="BN738" s="45">
        <v>1.0</v>
      </c>
      <c r="BO738" s="46"/>
      <c r="BP738" s="2"/>
      <c r="BQ738" s="3"/>
    </row>
    <row r="739" ht="15.75" customHeight="1">
      <c r="A739" s="34">
        <v>744.0</v>
      </c>
      <c r="B739" s="34">
        <v>101390.0</v>
      </c>
      <c r="C739" s="34" t="s">
        <v>76</v>
      </c>
      <c r="D739" s="34" t="s">
        <v>1428</v>
      </c>
      <c r="E739" s="34" t="s">
        <v>1429</v>
      </c>
      <c r="F739" s="34">
        <v>2014.0</v>
      </c>
      <c r="G739" s="34" t="s">
        <v>1430</v>
      </c>
      <c r="H739" s="34" t="s">
        <v>1431</v>
      </c>
      <c r="I739" s="34" t="s">
        <v>1432</v>
      </c>
      <c r="J739" s="35"/>
      <c r="K739" s="36">
        <v>1.46</v>
      </c>
      <c r="L739" s="36">
        <v>1.47</v>
      </c>
      <c r="M739" s="36"/>
      <c r="N739" s="36"/>
      <c r="O739" s="36"/>
      <c r="P739" s="86">
        <f t="shared" ref="P739:P741" si="72">K739/L739*100</f>
        <v>99.31972789</v>
      </c>
      <c r="Q739" s="36" t="s">
        <v>96</v>
      </c>
      <c r="R739" s="36" t="s">
        <v>96</v>
      </c>
      <c r="S739" s="36">
        <v>1000.0</v>
      </c>
      <c r="T739" s="36" t="s">
        <v>242</v>
      </c>
      <c r="U739" s="36" t="s">
        <v>243</v>
      </c>
      <c r="V739" s="36"/>
      <c r="W739" s="36" t="s">
        <v>169</v>
      </c>
      <c r="X739" s="38">
        <v>1.0</v>
      </c>
      <c r="Y739" s="38" t="s">
        <v>1444</v>
      </c>
      <c r="Z739" s="38" t="s">
        <v>1445</v>
      </c>
      <c r="AA739" s="38" t="s">
        <v>452</v>
      </c>
      <c r="AB739" s="38" t="s">
        <v>1446</v>
      </c>
      <c r="AC739" s="38" t="s">
        <v>1447</v>
      </c>
      <c r="AD739" s="38" t="s">
        <v>1130</v>
      </c>
      <c r="AE739" s="38">
        <v>269.0</v>
      </c>
      <c r="AF739" s="38"/>
      <c r="AG739" s="38"/>
      <c r="AH739" s="38">
        <v>20.0</v>
      </c>
      <c r="AI739" s="50">
        <v>37.94</v>
      </c>
      <c r="AJ739" s="50">
        <v>126.95</v>
      </c>
      <c r="AK739" s="41" t="s">
        <v>370</v>
      </c>
      <c r="AL739" s="40" t="s">
        <v>370</v>
      </c>
      <c r="AM739" s="49">
        <v>244.0</v>
      </c>
      <c r="AN739" s="51">
        <v>244.0</v>
      </c>
      <c r="AO739" s="42" t="s">
        <v>218</v>
      </c>
      <c r="AP739" s="43" t="s">
        <v>218</v>
      </c>
      <c r="AQ739" s="44" t="str">
        <f t="shared" si="60"/>
        <v>MF</v>
      </c>
      <c r="AR739" s="44">
        <f t="shared" si="3"/>
        <v>244</v>
      </c>
      <c r="AS739" s="44" t="str">
        <f t="shared" si="63"/>
        <v>D</v>
      </c>
      <c r="AT739" s="44" t="str">
        <f t="shared" si="17"/>
        <v>Dw</v>
      </c>
      <c r="AU739" s="44" t="str">
        <f t="shared" si="2"/>
        <v>Dwa</v>
      </c>
      <c r="AV739" s="38">
        <v>1.0</v>
      </c>
      <c r="AW739" s="38">
        <v>1.0</v>
      </c>
      <c r="AX739" s="38"/>
      <c r="AY739" s="38"/>
      <c r="AZ739" s="29">
        <v>1000.0</v>
      </c>
      <c r="BA739" s="29"/>
      <c r="BB739" s="29">
        <v>1.0</v>
      </c>
      <c r="BC739" s="29" t="s">
        <v>1440</v>
      </c>
      <c r="BD739" s="29" t="s">
        <v>88</v>
      </c>
      <c r="BE739" s="29"/>
      <c r="BF739" s="29" t="s">
        <v>936</v>
      </c>
      <c r="BG739" s="29" t="s">
        <v>572</v>
      </c>
      <c r="BH739" s="29"/>
      <c r="BI739" s="29" t="s">
        <v>1441</v>
      </c>
      <c r="BJ739" s="29"/>
      <c r="BK739" s="29" t="s">
        <v>148</v>
      </c>
      <c r="BL739" s="29" t="s">
        <v>148</v>
      </c>
      <c r="BM739" s="45"/>
      <c r="BN739" s="45">
        <v>1.0</v>
      </c>
      <c r="BO739" s="46"/>
      <c r="BP739" s="2"/>
      <c r="BQ739" s="3"/>
    </row>
    <row r="740" ht="15.75" customHeight="1">
      <c r="A740" s="34">
        <v>745.0</v>
      </c>
      <c r="B740" s="34">
        <v>101390.0</v>
      </c>
      <c r="C740" s="34" t="s">
        <v>76</v>
      </c>
      <c r="D740" s="34" t="s">
        <v>1428</v>
      </c>
      <c r="E740" s="34" t="s">
        <v>1429</v>
      </c>
      <c r="F740" s="34">
        <v>2014.0</v>
      </c>
      <c r="G740" s="34" t="s">
        <v>1430</v>
      </c>
      <c r="H740" s="34" t="s">
        <v>1431</v>
      </c>
      <c r="I740" s="34" t="s">
        <v>1432</v>
      </c>
      <c r="J740" s="35"/>
      <c r="K740" s="36">
        <v>-0.07</v>
      </c>
      <c r="L740" s="36">
        <v>3.0</v>
      </c>
      <c r="M740" s="36"/>
      <c r="N740" s="36"/>
      <c r="O740" s="36"/>
      <c r="P740" s="52">
        <f t="shared" si="72"/>
        <v>-2.333333333</v>
      </c>
      <c r="Q740" s="36" t="s">
        <v>96</v>
      </c>
      <c r="R740" s="36" t="s">
        <v>96</v>
      </c>
      <c r="S740" s="36">
        <v>1000.0</v>
      </c>
      <c r="T740" s="36" t="s">
        <v>242</v>
      </c>
      <c r="U740" s="36" t="s">
        <v>243</v>
      </c>
      <c r="V740" s="36"/>
      <c r="W740" s="36" t="s">
        <v>169</v>
      </c>
      <c r="X740" s="38">
        <v>1.0</v>
      </c>
      <c r="Y740" s="38" t="s">
        <v>1444</v>
      </c>
      <c r="Z740" s="38" t="s">
        <v>1445</v>
      </c>
      <c r="AA740" s="38" t="s">
        <v>452</v>
      </c>
      <c r="AB740" s="38" t="s">
        <v>1446</v>
      </c>
      <c r="AC740" s="38" t="s">
        <v>1447</v>
      </c>
      <c r="AD740" s="38" t="s">
        <v>1130</v>
      </c>
      <c r="AE740" s="38">
        <v>269.0</v>
      </c>
      <c r="AF740" s="38"/>
      <c r="AG740" s="38"/>
      <c r="AH740" s="38">
        <v>20.0</v>
      </c>
      <c r="AI740" s="50">
        <v>37.94</v>
      </c>
      <c r="AJ740" s="50">
        <v>126.95</v>
      </c>
      <c r="AK740" s="41" t="s">
        <v>370</v>
      </c>
      <c r="AL740" s="40" t="s">
        <v>370</v>
      </c>
      <c r="AM740" s="49">
        <v>244.0</v>
      </c>
      <c r="AN740" s="51">
        <v>244.0</v>
      </c>
      <c r="AO740" s="42" t="s">
        <v>218</v>
      </c>
      <c r="AP740" s="43" t="s">
        <v>218</v>
      </c>
      <c r="AQ740" s="44" t="str">
        <f t="shared" si="60"/>
        <v>MF</v>
      </c>
      <c r="AR740" s="44">
        <f t="shared" si="3"/>
        <v>244</v>
      </c>
      <c r="AS740" s="44" t="str">
        <f t="shared" si="63"/>
        <v>D</v>
      </c>
      <c r="AT740" s="44" t="str">
        <f t="shared" si="17"/>
        <v>Dw</v>
      </c>
      <c r="AU740" s="44" t="str">
        <f t="shared" si="2"/>
        <v>Dwa</v>
      </c>
      <c r="AV740" s="38">
        <v>3.0</v>
      </c>
      <c r="AW740" s="38">
        <v>1.0</v>
      </c>
      <c r="AX740" s="38"/>
      <c r="AY740" s="38"/>
      <c r="AZ740" s="29">
        <v>1000.0</v>
      </c>
      <c r="BA740" s="29"/>
      <c r="BB740" s="29">
        <v>1.0</v>
      </c>
      <c r="BC740" s="29" t="s">
        <v>1440</v>
      </c>
      <c r="BD740" s="29" t="s">
        <v>88</v>
      </c>
      <c r="BE740" s="29"/>
      <c r="BF740" s="29" t="s">
        <v>936</v>
      </c>
      <c r="BG740" s="29" t="s">
        <v>572</v>
      </c>
      <c r="BH740" s="29"/>
      <c r="BI740" s="29" t="s">
        <v>1441</v>
      </c>
      <c r="BJ740" s="29"/>
      <c r="BK740" s="29" t="s">
        <v>148</v>
      </c>
      <c r="BL740" s="29" t="s">
        <v>148</v>
      </c>
      <c r="BM740" s="45"/>
      <c r="BN740" s="45">
        <v>1.0</v>
      </c>
      <c r="BO740" s="46"/>
      <c r="BP740" s="2"/>
      <c r="BQ740" s="3"/>
    </row>
    <row r="741" ht="15.75" customHeight="1">
      <c r="A741" s="34">
        <v>746.0</v>
      </c>
      <c r="B741" s="34">
        <v>101390.0</v>
      </c>
      <c r="C741" s="34" t="s">
        <v>76</v>
      </c>
      <c r="D741" s="34" t="s">
        <v>1428</v>
      </c>
      <c r="E741" s="34" t="s">
        <v>1429</v>
      </c>
      <c r="F741" s="34">
        <v>2014.0</v>
      </c>
      <c r="G741" s="34" t="s">
        <v>1430</v>
      </c>
      <c r="H741" s="34" t="s">
        <v>1431</v>
      </c>
      <c r="I741" s="34" t="s">
        <v>1432</v>
      </c>
      <c r="J741" s="35"/>
      <c r="K741" s="36">
        <v>-1.09</v>
      </c>
      <c r="L741" s="36">
        <v>4.02</v>
      </c>
      <c r="M741" s="36"/>
      <c r="N741" s="36"/>
      <c r="O741" s="36"/>
      <c r="P741" s="52">
        <f t="shared" si="72"/>
        <v>-27.11442786</v>
      </c>
      <c r="Q741" s="36" t="s">
        <v>96</v>
      </c>
      <c r="R741" s="36" t="s">
        <v>96</v>
      </c>
      <c r="S741" s="36">
        <v>1000.0</v>
      </c>
      <c r="T741" s="36" t="s">
        <v>242</v>
      </c>
      <c r="U741" s="36" t="s">
        <v>243</v>
      </c>
      <c r="V741" s="36"/>
      <c r="W741" s="36" t="s">
        <v>169</v>
      </c>
      <c r="X741" s="38">
        <v>1.0</v>
      </c>
      <c r="Y741" s="38" t="s">
        <v>1444</v>
      </c>
      <c r="Z741" s="38" t="s">
        <v>1445</v>
      </c>
      <c r="AA741" s="38" t="s">
        <v>452</v>
      </c>
      <c r="AB741" s="38" t="s">
        <v>1446</v>
      </c>
      <c r="AC741" s="38" t="s">
        <v>1447</v>
      </c>
      <c r="AD741" s="38" t="s">
        <v>1130</v>
      </c>
      <c r="AE741" s="38">
        <v>269.0</v>
      </c>
      <c r="AF741" s="38"/>
      <c r="AG741" s="38"/>
      <c r="AH741" s="38">
        <v>20.0</v>
      </c>
      <c r="AI741" s="50">
        <v>37.94</v>
      </c>
      <c r="AJ741" s="50">
        <v>126.95</v>
      </c>
      <c r="AK741" s="41" t="s">
        <v>370</v>
      </c>
      <c r="AL741" s="40" t="s">
        <v>370</v>
      </c>
      <c r="AM741" s="49">
        <v>244.0</v>
      </c>
      <c r="AN741" s="51">
        <v>244.0</v>
      </c>
      <c r="AO741" s="42" t="s">
        <v>218</v>
      </c>
      <c r="AP741" s="43" t="s">
        <v>218</v>
      </c>
      <c r="AQ741" s="44" t="str">
        <f t="shared" si="60"/>
        <v>MF</v>
      </c>
      <c r="AR741" s="44">
        <f t="shared" si="3"/>
        <v>244</v>
      </c>
      <c r="AS741" s="44" t="str">
        <f t="shared" si="63"/>
        <v>D</v>
      </c>
      <c r="AT741" s="44" t="str">
        <f t="shared" si="17"/>
        <v>Dw</v>
      </c>
      <c r="AU741" s="44" t="str">
        <f t="shared" si="2"/>
        <v>Dwa</v>
      </c>
      <c r="AV741" s="38">
        <v>2.0</v>
      </c>
      <c r="AW741" s="38">
        <v>1.0</v>
      </c>
      <c r="AX741" s="38"/>
      <c r="AY741" s="38"/>
      <c r="AZ741" s="29">
        <v>1000.0</v>
      </c>
      <c r="BA741" s="29"/>
      <c r="BB741" s="29">
        <v>1.0</v>
      </c>
      <c r="BC741" s="29" t="s">
        <v>1440</v>
      </c>
      <c r="BD741" s="29" t="s">
        <v>88</v>
      </c>
      <c r="BE741" s="29"/>
      <c r="BF741" s="29" t="s">
        <v>936</v>
      </c>
      <c r="BG741" s="29" t="s">
        <v>572</v>
      </c>
      <c r="BH741" s="29"/>
      <c r="BI741" s="29" t="s">
        <v>1441</v>
      </c>
      <c r="BJ741" s="29"/>
      <c r="BK741" s="29" t="s">
        <v>148</v>
      </c>
      <c r="BL741" s="29" t="s">
        <v>148</v>
      </c>
      <c r="BM741" s="45"/>
      <c r="BN741" s="45">
        <v>1.0</v>
      </c>
      <c r="BO741" s="46"/>
      <c r="BP741" s="2"/>
      <c r="BQ741" s="3"/>
    </row>
    <row r="742" ht="15.75" customHeight="1">
      <c r="A742" s="34">
        <v>747.0</v>
      </c>
      <c r="B742" s="34">
        <v>101390.0</v>
      </c>
      <c r="C742" s="34" t="s">
        <v>76</v>
      </c>
      <c r="D742" s="34" t="s">
        <v>1428</v>
      </c>
      <c r="E742" s="34" t="s">
        <v>1429</v>
      </c>
      <c r="F742" s="34">
        <v>2014.0</v>
      </c>
      <c r="G742" s="34" t="s">
        <v>1430</v>
      </c>
      <c r="H742" s="34" t="s">
        <v>1431</v>
      </c>
      <c r="I742" s="34" t="s">
        <v>1432</v>
      </c>
      <c r="J742" s="35"/>
      <c r="K742" s="36"/>
      <c r="L742" s="36"/>
      <c r="M742" s="36"/>
      <c r="N742" s="36">
        <v>198.64</v>
      </c>
      <c r="O742" s="36">
        <v>82.53</v>
      </c>
      <c r="P742" s="86">
        <f t="shared" ref="P742:P744" si="73">N742/O742*100</f>
        <v>240.6882346</v>
      </c>
      <c r="Q742" s="36"/>
      <c r="R742" s="36" t="s">
        <v>82</v>
      </c>
      <c r="S742" s="36">
        <v>1000.0</v>
      </c>
      <c r="T742" s="36" t="s">
        <v>242</v>
      </c>
      <c r="U742" s="36" t="s">
        <v>243</v>
      </c>
      <c r="V742" s="36"/>
      <c r="W742" s="36" t="s">
        <v>169</v>
      </c>
      <c r="X742" s="38">
        <v>1.0</v>
      </c>
      <c r="Y742" s="38" t="s">
        <v>1444</v>
      </c>
      <c r="Z742" s="38" t="s">
        <v>1445</v>
      </c>
      <c r="AA742" s="38" t="s">
        <v>452</v>
      </c>
      <c r="AB742" s="38" t="s">
        <v>1446</v>
      </c>
      <c r="AC742" s="38" t="s">
        <v>1447</v>
      </c>
      <c r="AD742" s="38" t="s">
        <v>1130</v>
      </c>
      <c r="AE742" s="38">
        <v>269.0</v>
      </c>
      <c r="AF742" s="38"/>
      <c r="AG742" s="38"/>
      <c r="AH742" s="38">
        <v>20.0</v>
      </c>
      <c r="AI742" s="50">
        <v>37.94</v>
      </c>
      <c r="AJ742" s="50">
        <v>126.95</v>
      </c>
      <c r="AK742" s="41" t="s">
        <v>370</v>
      </c>
      <c r="AL742" s="40" t="s">
        <v>370</v>
      </c>
      <c r="AM742" s="49">
        <v>244.0</v>
      </c>
      <c r="AN742" s="51">
        <v>244.0</v>
      </c>
      <c r="AO742" s="42" t="s">
        <v>218</v>
      </c>
      <c r="AP742" s="43" t="s">
        <v>218</v>
      </c>
      <c r="AQ742" s="44" t="str">
        <f t="shared" si="60"/>
        <v>MF</v>
      </c>
      <c r="AR742" s="44">
        <f t="shared" si="3"/>
        <v>244</v>
      </c>
      <c r="AS742" s="44" t="str">
        <f t="shared" si="63"/>
        <v>D</v>
      </c>
      <c r="AT742" s="44" t="str">
        <f t="shared" si="17"/>
        <v>Dw</v>
      </c>
      <c r="AU742" s="44" t="str">
        <f t="shared" si="2"/>
        <v>Dwa</v>
      </c>
      <c r="AV742" s="38">
        <v>1.0</v>
      </c>
      <c r="AW742" s="38">
        <v>1.0</v>
      </c>
      <c r="AX742" s="38"/>
      <c r="AY742" s="38"/>
      <c r="AZ742" s="29">
        <v>1000.0</v>
      </c>
      <c r="BA742" s="29"/>
      <c r="BB742" s="29">
        <v>1.0</v>
      </c>
      <c r="BC742" s="29" t="s">
        <v>1442</v>
      </c>
      <c r="BD742" s="29" t="s">
        <v>88</v>
      </c>
      <c r="BE742" s="29"/>
      <c r="BF742" s="29" t="s">
        <v>1443</v>
      </c>
      <c r="BG742" s="29" t="s">
        <v>220</v>
      </c>
      <c r="BH742" s="29"/>
      <c r="BI742" s="29" t="s">
        <v>1441</v>
      </c>
      <c r="BJ742" s="29"/>
      <c r="BK742" s="29" t="s">
        <v>148</v>
      </c>
      <c r="BL742" s="29" t="s">
        <v>148</v>
      </c>
      <c r="BM742" s="45"/>
      <c r="BN742" s="45">
        <v>1.0</v>
      </c>
      <c r="BO742" s="46"/>
      <c r="BP742" s="2"/>
      <c r="BQ742" s="3"/>
    </row>
    <row r="743" ht="15.75" customHeight="1">
      <c r="A743" s="34">
        <v>748.0</v>
      </c>
      <c r="B743" s="34">
        <v>101390.0</v>
      </c>
      <c r="C743" s="34" t="s">
        <v>76</v>
      </c>
      <c r="D743" s="34" t="s">
        <v>1428</v>
      </c>
      <c r="E743" s="34" t="s">
        <v>1429</v>
      </c>
      <c r="F743" s="34">
        <v>2014.0</v>
      </c>
      <c r="G743" s="34" t="s">
        <v>1430</v>
      </c>
      <c r="H743" s="34" t="s">
        <v>1431</v>
      </c>
      <c r="I743" s="34" t="s">
        <v>1432</v>
      </c>
      <c r="J743" s="35"/>
      <c r="K743" s="36"/>
      <c r="L743" s="36"/>
      <c r="M743" s="36"/>
      <c r="N743" s="36">
        <v>20.42</v>
      </c>
      <c r="O743" s="36">
        <v>260.76</v>
      </c>
      <c r="P743" s="52">
        <f t="shared" si="73"/>
        <v>7.830955668</v>
      </c>
      <c r="Q743" s="36"/>
      <c r="R743" s="36" t="s">
        <v>82</v>
      </c>
      <c r="S743" s="36">
        <v>1000.0</v>
      </c>
      <c r="T743" s="36" t="s">
        <v>242</v>
      </c>
      <c r="U743" s="36" t="s">
        <v>243</v>
      </c>
      <c r="V743" s="36"/>
      <c r="W743" s="36" t="s">
        <v>169</v>
      </c>
      <c r="X743" s="38">
        <v>1.0</v>
      </c>
      <c r="Y743" s="38" t="s">
        <v>1444</v>
      </c>
      <c r="Z743" s="38" t="s">
        <v>1445</v>
      </c>
      <c r="AA743" s="38" t="s">
        <v>452</v>
      </c>
      <c r="AB743" s="38" t="s">
        <v>1446</v>
      </c>
      <c r="AC743" s="38" t="s">
        <v>1447</v>
      </c>
      <c r="AD743" s="38" t="s">
        <v>1130</v>
      </c>
      <c r="AE743" s="38">
        <v>269.0</v>
      </c>
      <c r="AF743" s="38"/>
      <c r="AG743" s="38"/>
      <c r="AH743" s="38">
        <v>20.0</v>
      </c>
      <c r="AI743" s="50">
        <v>37.94</v>
      </c>
      <c r="AJ743" s="50">
        <v>126.95</v>
      </c>
      <c r="AK743" s="41" t="s">
        <v>370</v>
      </c>
      <c r="AL743" s="40" t="s">
        <v>370</v>
      </c>
      <c r="AM743" s="49">
        <v>244.0</v>
      </c>
      <c r="AN743" s="51">
        <v>244.0</v>
      </c>
      <c r="AO743" s="42" t="s">
        <v>218</v>
      </c>
      <c r="AP743" s="43" t="s">
        <v>218</v>
      </c>
      <c r="AQ743" s="44" t="str">
        <f t="shared" si="60"/>
        <v>MF</v>
      </c>
      <c r="AR743" s="44">
        <f t="shared" si="3"/>
        <v>244</v>
      </c>
      <c r="AS743" s="44" t="str">
        <f t="shared" si="63"/>
        <v>D</v>
      </c>
      <c r="AT743" s="44" t="str">
        <f t="shared" si="17"/>
        <v>Dw</v>
      </c>
      <c r="AU743" s="44" t="str">
        <f t="shared" si="2"/>
        <v>Dwa</v>
      </c>
      <c r="AV743" s="38">
        <v>3.0</v>
      </c>
      <c r="AW743" s="38">
        <v>1.0</v>
      </c>
      <c r="AX743" s="38"/>
      <c r="AY743" s="38"/>
      <c r="AZ743" s="29">
        <v>1000.0</v>
      </c>
      <c r="BA743" s="29"/>
      <c r="BB743" s="29">
        <v>1.0</v>
      </c>
      <c r="BC743" s="29" t="s">
        <v>1442</v>
      </c>
      <c r="BD743" s="29" t="s">
        <v>88</v>
      </c>
      <c r="BE743" s="29"/>
      <c r="BF743" s="29" t="s">
        <v>1443</v>
      </c>
      <c r="BG743" s="29" t="s">
        <v>220</v>
      </c>
      <c r="BH743" s="29"/>
      <c r="BI743" s="29" t="s">
        <v>1441</v>
      </c>
      <c r="BJ743" s="29"/>
      <c r="BK743" s="29" t="s">
        <v>148</v>
      </c>
      <c r="BL743" s="29" t="s">
        <v>148</v>
      </c>
      <c r="BM743" s="45"/>
      <c r="BN743" s="45">
        <v>1.0</v>
      </c>
      <c r="BO743" s="46"/>
      <c r="BP743" s="2"/>
      <c r="BQ743" s="3"/>
    </row>
    <row r="744" ht="15.75" customHeight="1">
      <c r="A744" s="34">
        <v>749.0</v>
      </c>
      <c r="B744" s="34">
        <v>101390.0</v>
      </c>
      <c r="C744" s="34" t="s">
        <v>76</v>
      </c>
      <c r="D744" s="34" t="s">
        <v>1428</v>
      </c>
      <c r="E744" s="34" t="s">
        <v>1429</v>
      </c>
      <c r="F744" s="34">
        <v>2014.0</v>
      </c>
      <c r="G744" s="34" t="s">
        <v>1430</v>
      </c>
      <c r="H744" s="34" t="s">
        <v>1431</v>
      </c>
      <c r="I744" s="34" t="s">
        <v>1432</v>
      </c>
      <c r="J744" s="35"/>
      <c r="K744" s="36"/>
      <c r="L744" s="36"/>
      <c r="M744" s="36"/>
      <c r="N744" s="36">
        <v>-191.04</v>
      </c>
      <c r="O744" s="36">
        <v>472.21</v>
      </c>
      <c r="P744" s="52">
        <f t="shared" si="73"/>
        <v>-40.45657652</v>
      </c>
      <c r="Q744" s="36"/>
      <c r="R744" s="36" t="s">
        <v>82</v>
      </c>
      <c r="S744" s="36">
        <v>1000.0</v>
      </c>
      <c r="T744" s="36" t="s">
        <v>242</v>
      </c>
      <c r="U744" s="36" t="s">
        <v>243</v>
      </c>
      <c r="V744" s="36"/>
      <c r="W744" s="36" t="s">
        <v>169</v>
      </c>
      <c r="X744" s="38">
        <v>1.0</v>
      </c>
      <c r="Y744" s="38" t="s">
        <v>1444</v>
      </c>
      <c r="Z744" s="38" t="s">
        <v>1445</v>
      </c>
      <c r="AA744" s="38" t="s">
        <v>452</v>
      </c>
      <c r="AB744" s="38" t="s">
        <v>1446</v>
      </c>
      <c r="AC744" s="38" t="s">
        <v>1447</v>
      </c>
      <c r="AD744" s="38" t="s">
        <v>1130</v>
      </c>
      <c r="AE744" s="38">
        <v>269.0</v>
      </c>
      <c r="AF744" s="38"/>
      <c r="AG744" s="38"/>
      <c r="AH744" s="38">
        <v>20.0</v>
      </c>
      <c r="AI744" s="50">
        <v>37.94</v>
      </c>
      <c r="AJ744" s="50">
        <v>126.95</v>
      </c>
      <c r="AK744" s="41" t="s">
        <v>370</v>
      </c>
      <c r="AL744" s="40" t="s">
        <v>370</v>
      </c>
      <c r="AM744" s="49">
        <v>244.0</v>
      </c>
      <c r="AN744" s="51">
        <v>244.0</v>
      </c>
      <c r="AO744" s="42" t="s">
        <v>218</v>
      </c>
      <c r="AP744" s="43" t="s">
        <v>218</v>
      </c>
      <c r="AQ744" s="44" t="str">
        <f t="shared" si="60"/>
        <v>MF</v>
      </c>
      <c r="AR744" s="44">
        <f t="shared" si="3"/>
        <v>244</v>
      </c>
      <c r="AS744" s="44" t="str">
        <f t="shared" si="63"/>
        <v>D</v>
      </c>
      <c r="AT744" s="44" t="str">
        <f t="shared" si="17"/>
        <v>Dw</v>
      </c>
      <c r="AU744" s="44" t="str">
        <f t="shared" si="2"/>
        <v>Dwa</v>
      </c>
      <c r="AV744" s="38">
        <v>2.0</v>
      </c>
      <c r="AW744" s="38">
        <v>1.0</v>
      </c>
      <c r="AX744" s="38"/>
      <c r="AY744" s="38"/>
      <c r="AZ744" s="29">
        <v>1000.0</v>
      </c>
      <c r="BA744" s="29"/>
      <c r="BB744" s="29">
        <v>1.0</v>
      </c>
      <c r="BC744" s="29" t="s">
        <v>1442</v>
      </c>
      <c r="BD744" s="29" t="s">
        <v>88</v>
      </c>
      <c r="BE744" s="29"/>
      <c r="BF744" s="29" t="s">
        <v>1443</v>
      </c>
      <c r="BG744" s="29" t="s">
        <v>220</v>
      </c>
      <c r="BH744" s="29"/>
      <c r="BI744" s="29" t="s">
        <v>1441</v>
      </c>
      <c r="BJ744" s="29"/>
      <c r="BK744" s="29" t="s">
        <v>148</v>
      </c>
      <c r="BL744" s="29" t="s">
        <v>148</v>
      </c>
      <c r="BM744" s="45"/>
      <c r="BN744" s="45">
        <v>1.0</v>
      </c>
      <c r="BO744" s="46"/>
      <c r="BP744" s="2"/>
      <c r="BQ744" s="3"/>
    </row>
    <row r="745" ht="15.75" customHeight="1">
      <c r="A745" s="34">
        <v>750.0</v>
      </c>
      <c r="B745" s="34">
        <v>101390.0</v>
      </c>
      <c r="C745" s="34" t="s">
        <v>76</v>
      </c>
      <c r="D745" s="34" t="s">
        <v>1428</v>
      </c>
      <c r="E745" s="34" t="s">
        <v>1429</v>
      </c>
      <c r="F745" s="34">
        <v>2014.0</v>
      </c>
      <c r="G745" s="34" t="s">
        <v>1430</v>
      </c>
      <c r="H745" s="34" t="s">
        <v>1431</v>
      </c>
      <c r="I745" s="34" t="s">
        <v>1432</v>
      </c>
      <c r="J745" s="35"/>
      <c r="K745" s="36">
        <v>2.2</v>
      </c>
      <c r="L745" s="36">
        <v>1.47</v>
      </c>
      <c r="M745" s="36"/>
      <c r="N745" s="36"/>
      <c r="O745" s="36"/>
      <c r="P745" s="86">
        <f t="shared" ref="P745:P759" si="74">K745/L745*100</f>
        <v>149.6598639</v>
      </c>
      <c r="Q745" s="36" t="s">
        <v>96</v>
      </c>
      <c r="R745" s="36" t="s">
        <v>96</v>
      </c>
      <c r="S745" s="36">
        <v>1000.0</v>
      </c>
      <c r="T745" s="36" t="s">
        <v>242</v>
      </c>
      <c r="U745" s="36" t="s">
        <v>243</v>
      </c>
      <c r="V745" s="36"/>
      <c r="W745" s="36" t="s">
        <v>169</v>
      </c>
      <c r="X745" s="38">
        <v>1.0</v>
      </c>
      <c r="Y745" s="38" t="s">
        <v>1444</v>
      </c>
      <c r="Z745" s="38" t="s">
        <v>1445</v>
      </c>
      <c r="AA745" s="38" t="s">
        <v>452</v>
      </c>
      <c r="AB745" s="38" t="s">
        <v>1446</v>
      </c>
      <c r="AC745" s="38" t="s">
        <v>1447</v>
      </c>
      <c r="AD745" s="38" t="s">
        <v>1130</v>
      </c>
      <c r="AE745" s="38">
        <v>269.0</v>
      </c>
      <c r="AF745" s="38"/>
      <c r="AG745" s="38"/>
      <c r="AH745" s="38">
        <v>20.0</v>
      </c>
      <c r="AI745" s="50">
        <v>37.94</v>
      </c>
      <c r="AJ745" s="50">
        <v>126.95</v>
      </c>
      <c r="AK745" s="41" t="s">
        <v>370</v>
      </c>
      <c r="AL745" s="40" t="s">
        <v>370</v>
      </c>
      <c r="AM745" s="49">
        <v>244.0</v>
      </c>
      <c r="AN745" s="51">
        <v>244.0</v>
      </c>
      <c r="AO745" s="42" t="s">
        <v>218</v>
      </c>
      <c r="AP745" s="43" t="s">
        <v>218</v>
      </c>
      <c r="AQ745" s="44" t="str">
        <f t="shared" si="60"/>
        <v>MF</v>
      </c>
      <c r="AR745" s="44">
        <f t="shared" si="3"/>
        <v>244</v>
      </c>
      <c r="AS745" s="44" t="str">
        <f t="shared" si="63"/>
        <v>D</v>
      </c>
      <c r="AT745" s="44" t="str">
        <f t="shared" si="17"/>
        <v>Dw</v>
      </c>
      <c r="AU745" s="44" t="str">
        <f t="shared" si="2"/>
        <v>Dwa</v>
      </c>
      <c r="AV745" s="38">
        <v>1.0</v>
      </c>
      <c r="AW745" s="38">
        <v>1.0</v>
      </c>
      <c r="AX745" s="38"/>
      <c r="AY745" s="38"/>
      <c r="AZ745" s="29">
        <v>1000.0</v>
      </c>
      <c r="BA745" s="29"/>
      <c r="BB745" s="29">
        <v>1.0</v>
      </c>
      <c r="BC745" s="29" t="s">
        <v>1442</v>
      </c>
      <c r="BD745" s="29" t="s">
        <v>88</v>
      </c>
      <c r="BE745" s="29"/>
      <c r="BF745" s="29" t="s">
        <v>1443</v>
      </c>
      <c r="BG745" s="29" t="s">
        <v>220</v>
      </c>
      <c r="BH745" s="29"/>
      <c r="BI745" s="29" t="s">
        <v>1441</v>
      </c>
      <c r="BJ745" s="29"/>
      <c r="BK745" s="29" t="s">
        <v>148</v>
      </c>
      <c r="BL745" s="29" t="s">
        <v>148</v>
      </c>
      <c r="BM745" s="45"/>
      <c r="BN745" s="45">
        <v>1.0</v>
      </c>
      <c r="BO745" s="46"/>
      <c r="BP745" s="2"/>
      <c r="BQ745" s="3"/>
    </row>
    <row r="746" ht="15.75" customHeight="1">
      <c r="A746" s="34">
        <v>751.0</v>
      </c>
      <c r="B746" s="34">
        <v>101390.0</v>
      </c>
      <c r="C746" s="34" t="s">
        <v>76</v>
      </c>
      <c r="D746" s="34" t="s">
        <v>1428</v>
      </c>
      <c r="E746" s="34" t="s">
        <v>1429</v>
      </c>
      <c r="F746" s="34">
        <v>2014.0</v>
      </c>
      <c r="G746" s="34" t="s">
        <v>1430</v>
      </c>
      <c r="H746" s="34" t="s">
        <v>1431</v>
      </c>
      <c r="I746" s="34" t="s">
        <v>1432</v>
      </c>
      <c r="J746" s="35"/>
      <c r="K746" s="36">
        <v>0.67</v>
      </c>
      <c r="L746" s="36">
        <v>3.0</v>
      </c>
      <c r="M746" s="36"/>
      <c r="N746" s="36"/>
      <c r="O746" s="36"/>
      <c r="P746" s="52">
        <f t="shared" si="74"/>
        <v>22.33333333</v>
      </c>
      <c r="Q746" s="36" t="s">
        <v>96</v>
      </c>
      <c r="R746" s="36" t="s">
        <v>96</v>
      </c>
      <c r="S746" s="36">
        <v>1000.0</v>
      </c>
      <c r="T746" s="36" t="s">
        <v>242</v>
      </c>
      <c r="U746" s="36" t="s">
        <v>243</v>
      </c>
      <c r="V746" s="36"/>
      <c r="W746" s="36" t="s">
        <v>169</v>
      </c>
      <c r="X746" s="38">
        <v>1.0</v>
      </c>
      <c r="Y746" s="38" t="s">
        <v>1444</v>
      </c>
      <c r="Z746" s="38" t="s">
        <v>1445</v>
      </c>
      <c r="AA746" s="38" t="s">
        <v>452</v>
      </c>
      <c r="AB746" s="38" t="s">
        <v>1446</v>
      </c>
      <c r="AC746" s="38" t="s">
        <v>1447</v>
      </c>
      <c r="AD746" s="38" t="s">
        <v>1130</v>
      </c>
      <c r="AE746" s="38">
        <v>269.0</v>
      </c>
      <c r="AF746" s="38"/>
      <c r="AG746" s="38"/>
      <c r="AH746" s="38">
        <v>20.0</v>
      </c>
      <c r="AI746" s="50">
        <v>37.94</v>
      </c>
      <c r="AJ746" s="50">
        <v>126.95</v>
      </c>
      <c r="AK746" s="41" t="s">
        <v>370</v>
      </c>
      <c r="AL746" s="40" t="s">
        <v>370</v>
      </c>
      <c r="AM746" s="49">
        <v>244.0</v>
      </c>
      <c r="AN746" s="51">
        <v>244.0</v>
      </c>
      <c r="AO746" s="42" t="s">
        <v>218</v>
      </c>
      <c r="AP746" s="43" t="s">
        <v>218</v>
      </c>
      <c r="AQ746" s="44" t="str">
        <f t="shared" si="60"/>
        <v>MF</v>
      </c>
      <c r="AR746" s="44">
        <f t="shared" si="3"/>
        <v>244</v>
      </c>
      <c r="AS746" s="44" t="str">
        <f t="shared" si="63"/>
        <v>D</v>
      </c>
      <c r="AT746" s="44" t="str">
        <f t="shared" si="17"/>
        <v>Dw</v>
      </c>
      <c r="AU746" s="44" t="str">
        <f t="shared" si="2"/>
        <v>Dwa</v>
      </c>
      <c r="AV746" s="38">
        <v>3.0</v>
      </c>
      <c r="AW746" s="38">
        <v>1.0</v>
      </c>
      <c r="AX746" s="38"/>
      <c r="AY746" s="38"/>
      <c r="AZ746" s="29">
        <v>1000.0</v>
      </c>
      <c r="BA746" s="29"/>
      <c r="BB746" s="29">
        <v>1.0</v>
      </c>
      <c r="BC746" s="29" t="s">
        <v>1442</v>
      </c>
      <c r="BD746" s="29" t="s">
        <v>88</v>
      </c>
      <c r="BE746" s="29"/>
      <c r="BF746" s="29" t="s">
        <v>1443</v>
      </c>
      <c r="BG746" s="29" t="s">
        <v>220</v>
      </c>
      <c r="BH746" s="29"/>
      <c r="BI746" s="29" t="s">
        <v>1441</v>
      </c>
      <c r="BJ746" s="29"/>
      <c r="BK746" s="29" t="s">
        <v>148</v>
      </c>
      <c r="BL746" s="29" t="s">
        <v>148</v>
      </c>
      <c r="BM746" s="45"/>
      <c r="BN746" s="45">
        <v>1.0</v>
      </c>
      <c r="BO746" s="46"/>
      <c r="BP746" s="2"/>
      <c r="BQ746" s="3"/>
    </row>
    <row r="747" ht="15.75" customHeight="1">
      <c r="A747" s="34">
        <v>752.0</v>
      </c>
      <c r="B747" s="34">
        <v>101390.0</v>
      </c>
      <c r="C747" s="34" t="s">
        <v>76</v>
      </c>
      <c r="D747" s="34" t="s">
        <v>1428</v>
      </c>
      <c r="E747" s="34" t="s">
        <v>1429</v>
      </c>
      <c r="F747" s="34">
        <v>2014.0</v>
      </c>
      <c r="G747" s="34" t="s">
        <v>1430</v>
      </c>
      <c r="H747" s="34" t="s">
        <v>1431</v>
      </c>
      <c r="I747" s="34" t="s">
        <v>1432</v>
      </c>
      <c r="J747" s="35"/>
      <c r="K747" s="36">
        <v>-0.35</v>
      </c>
      <c r="L747" s="36">
        <v>4.02</v>
      </c>
      <c r="M747" s="36"/>
      <c r="N747" s="36"/>
      <c r="O747" s="36"/>
      <c r="P747" s="52">
        <f t="shared" si="74"/>
        <v>-8.706467662</v>
      </c>
      <c r="Q747" s="36" t="s">
        <v>96</v>
      </c>
      <c r="R747" s="36" t="s">
        <v>96</v>
      </c>
      <c r="S747" s="36">
        <v>1000.0</v>
      </c>
      <c r="T747" s="36" t="s">
        <v>242</v>
      </c>
      <c r="U747" s="36" t="s">
        <v>243</v>
      </c>
      <c r="V747" s="36"/>
      <c r="W747" s="36" t="s">
        <v>169</v>
      </c>
      <c r="X747" s="38">
        <v>1.0</v>
      </c>
      <c r="Y747" s="38" t="s">
        <v>1444</v>
      </c>
      <c r="Z747" s="38" t="s">
        <v>1445</v>
      </c>
      <c r="AA747" s="38" t="s">
        <v>452</v>
      </c>
      <c r="AB747" s="38" t="s">
        <v>1446</v>
      </c>
      <c r="AC747" s="38" t="s">
        <v>1447</v>
      </c>
      <c r="AD747" s="38" t="s">
        <v>1130</v>
      </c>
      <c r="AE747" s="38">
        <v>269.0</v>
      </c>
      <c r="AF747" s="38"/>
      <c r="AG747" s="38"/>
      <c r="AH747" s="38">
        <v>20.0</v>
      </c>
      <c r="AI747" s="50">
        <v>37.94</v>
      </c>
      <c r="AJ747" s="50">
        <v>126.95</v>
      </c>
      <c r="AK747" s="41" t="s">
        <v>370</v>
      </c>
      <c r="AL747" s="40" t="s">
        <v>370</v>
      </c>
      <c r="AM747" s="49">
        <v>244.0</v>
      </c>
      <c r="AN747" s="51">
        <v>244.0</v>
      </c>
      <c r="AO747" s="42" t="s">
        <v>218</v>
      </c>
      <c r="AP747" s="43" t="s">
        <v>218</v>
      </c>
      <c r="AQ747" s="44" t="str">
        <f t="shared" si="60"/>
        <v>MF</v>
      </c>
      <c r="AR747" s="44">
        <f t="shared" si="3"/>
        <v>244</v>
      </c>
      <c r="AS747" s="44" t="str">
        <f t="shared" si="63"/>
        <v>D</v>
      </c>
      <c r="AT747" s="44" t="str">
        <f t="shared" si="17"/>
        <v>Dw</v>
      </c>
      <c r="AU747" s="44" t="str">
        <f t="shared" si="2"/>
        <v>Dwa</v>
      </c>
      <c r="AV747" s="38">
        <v>2.0</v>
      </c>
      <c r="AW747" s="38">
        <v>1.0</v>
      </c>
      <c r="AX747" s="38"/>
      <c r="AY747" s="38"/>
      <c r="AZ747" s="29">
        <v>1000.0</v>
      </c>
      <c r="BA747" s="29"/>
      <c r="BB747" s="29">
        <v>1.0</v>
      </c>
      <c r="BC747" s="29" t="s">
        <v>1442</v>
      </c>
      <c r="BD747" s="29" t="s">
        <v>88</v>
      </c>
      <c r="BE747" s="29"/>
      <c r="BF747" s="29" t="s">
        <v>1443</v>
      </c>
      <c r="BG747" s="29" t="s">
        <v>220</v>
      </c>
      <c r="BH747" s="29"/>
      <c r="BI747" s="29" t="s">
        <v>1441</v>
      </c>
      <c r="BJ747" s="29"/>
      <c r="BK747" s="29" t="s">
        <v>148</v>
      </c>
      <c r="BL747" s="29" t="s">
        <v>148</v>
      </c>
      <c r="BM747" s="45"/>
      <c r="BN747" s="45">
        <v>1.0</v>
      </c>
      <c r="BO747" s="46"/>
      <c r="BP747" s="2"/>
      <c r="BQ747" s="3"/>
    </row>
    <row r="748" ht="15.75" customHeight="1">
      <c r="A748" s="34">
        <v>753.0</v>
      </c>
      <c r="B748" s="34">
        <v>101127.0</v>
      </c>
      <c r="C748" s="34" t="s">
        <v>76</v>
      </c>
      <c r="D748" s="34" t="s">
        <v>1448</v>
      </c>
      <c r="E748" s="34" t="s">
        <v>1449</v>
      </c>
      <c r="F748" s="34">
        <v>2015.0</v>
      </c>
      <c r="G748" s="34" t="s">
        <v>1450</v>
      </c>
      <c r="H748" s="34" t="s">
        <v>1431</v>
      </c>
      <c r="I748" s="34" t="s">
        <v>1451</v>
      </c>
      <c r="J748" s="35"/>
      <c r="K748" s="36">
        <v>137.0</v>
      </c>
      <c r="L748" s="36">
        <v>157.0</v>
      </c>
      <c r="M748" s="36"/>
      <c r="N748" s="36"/>
      <c r="O748" s="36"/>
      <c r="P748" s="52">
        <f t="shared" si="74"/>
        <v>87.2611465</v>
      </c>
      <c r="Q748" s="36" t="s">
        <v>96</v>
      </c>
      <c r="R748" s="36" t="s">
        <v>96</v>
      </c>
      <c r="S748" s="36" t="s">
        <v>1452</v>
      </c>
      <c r="T748" s="36" t="s">
        <v>284</v>
      </c>
      <c r="U748" s="36" t="s">
        <v>968</v>
      </c>
      <c r="V748" s="36">
        <v>20.0</v>
      </c>
      <c r="W748" s="36"/>
      <c r="X748" s="38">
        <v>1.0</v>
      </c>
      <c r="Y748" s="38" t="s">
        <v>593</v>
      </c>
      <c r="Z748" s="38" t="s">
        <v>594</v>
      </c>
      <c r="AA748" s="38" t="s">
        <v>288</v>
      </c>
      <c r="AB748" s="38" t="s">
        <v>1453</v>
      </c>
      <c r="AC748" s="38" t="s">
        <v>1454</v>
      </c>
      <c r="AD748" s="38" t="s">
        <v>198</v>
      </c>
      <c r="AE748" s="38">
        <v>3250.0</v>
      </c>
      <c r="AF748" s="38" t="s">
        <v>1341</v>
      </c>
      <c r="AG748" s="38" t="s">
        <v>1455</v>
      </c>
      <c r="AH748" s="38">
        <v>2.2</v>
      </c>
      <c r="AI748" s="50">
        <v>37.61</v>
      </c>
      <c r="AJ748" s="50">
        <v>101.33</v>
      </c>
      <c r="AK748" s="41" t="s">
        <v>288</v>
      </c>
      <c r="AL748" s="40" t="s">
        <v>288</v>
      </c>
      <c r="AM748" s="49">
        <v>3201.0</v>
      </c>
      <c r="AN748" s="51">
        <v>3201.0</v>
      </c>
      <c r="AO748" s="42" t="s">
        <v>597</v>
      </c>
      <c r="AP748" s="43" t="s">
        <v>597</v>
      </c>
      <c r="AQ748" s="44" t="str">
        <f t="shared" si="60"/>
        <v>GRA</v>
      </c>
      <c r="AR748" s="44">
        <f t="shared" si="3"/>
        <v>3201</v>
      </c>
      <c r="AS748" s="44" t="str">
        <f t="shared" si="63"/>
        <v>D</v>
      </c>
      <c r="AT748" s="44" t="str">
        <f t="shared" si="17"/>
        <v>Dw</v>
      </c>
      <c r="AU748" s="44" t="str">
        <f t="shared" si="2"/>
        <v>Dwc</v>
      </c>
      <c r="AV748" s="38">
        <v>1.0</v>
      </c>
      <c r="AW748" s="38">
        <v>1.0</v>
      </c>
      <c r="AX748" s="38">
        <v>100.0</v>
      </c>
      <c r="AY748" s="38" t="s">
        <v>88</v>
      </c>
      <c r="AZ748" s="29">
        <v>30.0</v>
      </c>
      <c r="BA748" s="29"/>
      <c r="BB748" s="29">
        <v>1.0</v>
      </c>
      <c r="BC748" s="29"/>
      <c r="BD748" s="29" t="s">
        <v>88</v>
      </c>
      <c r="BE748" s="29"/>
      <c r="BF748" s="29" t="s">
        <v>984</v>
      </c>
      <c r="BG748" s="29" t="s">
        <v>572</v>
      </c>
      <c r="BH748" s="29" t="s">
        <v>88</v>
      </c>
      <c r="BI748" s="29"/>
      <c r="BJ748" s="29"/>
      <c r="BK748" s="29" t="s">
        <v>180</v>
      </c>
      <c r="BL748" s="29" t="s">
        <v>180</v>
      </c>
      <c r="BM748" s="45"/>
      <c r="BN748" s="45">
        <v>1.0</v>
      </c>
      <c r="BO748" s="46" t="s">
        <v>1456</v>
      </c>
      <c r="BP748" s="2"/>
      <c r="BQ748" s="3"/>
    </row>
    <row r="749" ht="15.75" customHeight="1">
      <c r="A749" s="34">
        <v>754.0</v>
      </c>
      <c r="B749" s="34">
        <v>101127.0</v>
      </c>
      <c r="C749" s="34" t="s">
        <v>76</v>
      </c>
      <c r="D749" s="34" t="s">
        <v>1448</v>
      </c>
      <c r="E749" s="34" t="s">
        <v>1449</v>
      </c>
      <c r="F749" s="34">
        <v>2015.0</v>
      </c>
      <c r="G749" s="34" t="s">
        <v>1450</v>
      </c>
      <c r="H749" s="34" t="s">
        <v>1431</v>
      </c>
      <c r="I749" s="34" t="s">
        <v>1451</v>
      </c>
      <c r="J749" s="35"/>
      <c r="K749" s="36">
        <v>22.0</v>
      </c>
      <c r="L749" s="36">
        <v>273.0</v>
      </c>
      <c r="M749" s="36"/>
      <c r="N749" s="36"/>
      <c r="O749" s="36"/>
      <c r="P749" s="52">
        <f t="shared" si="74"/>
        <v>8.058608059</v>
      </c>
      <c r="Q749" s="36" t="s">
        <v>96</v>
      </c>
      <c r="R749" s="36" t="s">
        <v>96</v>
      </c>
      <c r="S749" s="36" t="s">
        <v>1452</v>
      </c>
      <c r="T749" s="36" t="s">
        <v>284</v>
      </c>
      <c r="U749" s="36" t="s">
        <v>968</v>
      </c>
      <c r="V749" s="36">
        <v>20.0</v>
      </c>
      <c r="W749" s="36"/>
      <c r="X749" s="38">
        <v>1.0</v>
      </c>
      <c r="Y749" s="38" t="s">
        <v>593</v>
      </c>
      <c r="Z749" s="38" t="s">
        <v>594</v>
      </c>
      <c r="AA749" s="38" t="s">
        <v>288</v>
      </c>
      <c r="AB749" s="38" t="s">
        <v>1453</v>
      </c>
      <c r="AC749" s="38" t="s">
        <v>1454</v>
      </c>
      <c r="AD749" s="38" t="s">
        <v>198</v>
      </c>
      <c r="AE749" s="38">
        <v>3250.0</v>
      </c>
      <c r="AF749" s="38" t="s">
        <v>1341</v>
      </c>
      <c r="AG749" s="38" t="s">
        <v>1455</v>
      </c>
      <c r="AH749" s="38">
        <v>2.2</v>
      </c>
      <c r="AI749" s="50">
        <v>37.61</v>
      </c>
      <c r="AJ749" s="50">
        <v>101.33</v>
      </c>
      <c r="AK749" s="41" t="s">
        <v>288</v>
      </c>
      <c r="AL749" s="40" t="s">
        <v>288</v>
      </c>
      <c r="AM749" s="49">
        <v>3201.0</v>
      </c>
      <c r="AN749" s="51">
        <v>3201.0</v>
      </c>
      <c r="AO749" s="42" t="s">
        <v>597</v>
      </c>
      <c r="AP749" s="43" t="s">
        <v>597</v>
      </c>
      <c r="AQ749" s="44" t="str">
        <f t="shared" si="60"/>
        <v>GRA</v>
      </c>
      <c r="AR749" s="44">
        <f t="shared" si="3"/>
        <v>3201</v>
      </c>
      <c r="AS749" s="44" t="str">
        <f t="shared" si="63"/>
        <v>D</v>
      </c>
      <c r="AT749" s="44" t="str">
        <f t="shared" si="17"/>
        <v>Dw</v>
      </c>
      <c r="AU749" s="44" t="str">
        <f t="shared" si="2"/>
        <v>Dwc</v>
      </c>
      <c r="AV749" s="38">
        <v>4.0</v>
      </c>
      <c r="AW749" s="38">
        <v>1.0</v>
      </c>
      <c r="AX749" s="38">
        <v>100.0</v>
      </c>
      <c r="AY749" s="38" t="s">
        <v>88</v>
      </c>
      <c r="AZ749" s="29">
        <v>30.0</v>
      </c>
      <c r="BA749" s="29"/>
      <c r="BB749" s="29">
        <v>1.0</v>
      </c>
      <c r="BC749" s="29"/>
      <c r="BD749" s="29" t="s">
        <v>88</v>
      </c>
      <c r="BE749" s="29"/>
      <c r="BF749" s="29" t="s">
        <v>984</v>
      </c>
      <c r="BG749" s="29" t="s">
        <v>572</v>
      </c>
      <c r="BH749" s="29" t="s">
        <v>88</v>
      </c>
      <c r="BI749" s="29"/>
      <c r="BJ749" s="29"/>
      <c r="BK749" s="29" t="s">
        <v>180</v>
      </c>
      <c r="BL749" s="29" t="s">
        <v>180</v>
      </c>
      <c r="BM749" s="45"/>
      <c r="BN749" s="45"/>
      <c r="BO749" s="46"/>
      <c r="BP749" s="2"/>
      <c r="BQ749" s="3"/>
    </row>
    <row r="750" ht="15.75" customHeight="1">
      <c r="A750" s="34">
        <v>755.0</v>
      </c>
      <c r="B750" s="34">
        <v>101127.0</v>
      </c>
      <c r="C750" s="34" t="s">
        <v>76</v>
      </c>
      <c r="D750" s="34" t="s">
        <v>1448</v>
      </c>
      <c r="E750" s="34" t="s">
        <v>1449</v>
      </c>
      <c r="F750" s="34">
        <v>2015.0</v>
      </c>
      <c r="G750" s="34" t="s">
        <v>1450</v>
      </c>
      <c r="H750" s="34" t="s">
        <v>1431</v>
      </c>
      <c r="I750" s="34" t="s">
        <v>1451</v>
      </c>
      <c r="J750" s="35"/>
      <c r="K750" s="36">
        <v>68.0</v>
      </c>
      <c r="L750" s="36">
        <v>226.0</v>
      </c>
      <c r="M750" s="36"/>
      <c r="N750" s="36"/>
      <c r="O750" s="36"/>
      <c r="P750" s="52">
        <f t="shared" si="74"/>
        <v>30.08849558</v>
      </c>
      <c r="Q750" s="36" t="s">
        <v>96</v>
      </c>
      <c r="R750" s="36" t="s">
        <v>96</v>
      </c>
      <c r="S750" s="36" t="s">
        <v>1452</v>
      </c>
      <c r="T750" s="36" t="s">
        <v>284</v>
      </c>
      <c r="U750" s="36" t="s">
        <v>968</v>
      </c>
      <c r="V750" s="36">
        <v>20.0</v>
      </c>
      <c r="W750" s="36"/>
      <c r="X750" s="38">
        <v>1.0</v>
      </c>
      <c r="Y750" s="38" t="s">
        <v>593</v>
      </c>
      <c r="Z750" s="38" t="s">
        <v>594</v>
      </c>
      <c r="AA750" s="38" t="s">
        <v>288</v>
      </c>
      <c r="AB750" s="38" t="s">
        <v>1453</v>
      </c>
      <c r="AC750" s="38" t="s">
        <v>1454</v>
      </c>
      <c r="AD750" s="38" t="s">
        <v>198</v>
      </c>
      <c r="AE750" s="38">
        <v>3250.0</v>
      </c>
      <c r="AF750" s="38" t="s">
        <v>1341</v>
      </c>
      <c r="AG750" s="38" t="s">
        <v>1455</v>
      </c>
      <c r="AH750" s="38">
        <v>2.2</v>
      </c>
      <c r="AI750" s="50">
        <v>37.61</v>
      </c>
      <c r="AJ750" s="50">
        <v>101.33</v>
      </c>
      <c r="AK750" s="41" t="s">
        <v>288</v>
      </c>
      <c r="AL750" s="40" t="s">
        <v>288</v>
      </c>
      <c r="AM750" s="49">
        <v>3201.0</v>
      </c>
      <c r="AN750" s="51">
        <v>3201.0</v>
      </c>
      <c r="AO750" s="42" t="s">
        <v>597</v>
      </c>
      <c r="AP750" s="43" t="s">
        <v>597</v>
      </c>
      <c r="AQ750" s="44" t="str">
        <f t="shared" si="60"/>
        <v>GRA</v>
      </c>
      <c r="AR750" s="44">
        <f t="shared" si="3"/>
        <v>3201</v>
      </c>
      <c r="AS750" s="44" t="str">
        <f t="shared" si="63"/>
        <v>D</v>
      </c>
      <c r="AT750" s="44" t="str">
        <f t="shared" si="17"/>
        <v>Dw</v>
      </c>
      <c r="AU750" s="44" t="str">
        <f t="shared" si="2"/>
        <v>Dwc</v>
      </c>
      <c r="AV750" s="38">
        <v>3.0</v>
      </c>
      <c r="AW750" s="38">
        <v>1.0</v>
      </c>
      <c r="AX750" s="38">
        <v>100.0</v>
      </c>
      <c r="AY750" s="38" t="s">
        <v>88</v>
      </c>
      <c r="AZ750" s="29">
        <v>30.0</v>
      </c>
      <c r="BA750" s="29"/>
      <c r="BB750" s="29">
        <v>1.0</v>
      </c>
      <c r="BC750" s="29"/>
      <c r="BD750" s="29" t="s">
        <v>88</v>
      </c>
      <c r="BE750" s="29"/>
      <c r="BF750" s="29" t="s">
        <v>984</v>
      </c>
      <c r="BG750" s="29" t="s">
        <v>572</v>
      </c>
      <c r="BH750" s="29" t="s">
        <v>88</v>
      </c>
      <c r="BI750" s="29"/>
      <c r="BJ750" s="29"/>
      <c r="BK750" s="29" t="s">
        <v>180</v>
      </c>
      <c r="BL750" s="29" t="s">
        <v>180</v>
      </c>
      <c r="BM750" s="45"/>
      <c r="BN750" s="45"/>
      <c r="BO750" s="46"/>
      <c r="BP750" s="2"/>
      <c r="BQ750" s="3"/>
    </row>
    <row r="751" ht="15.75" customHeight="1">
      <c r="A751" s="34">
        <v>756.0</v>
      </c>
      <c r="B751" s="34">
        <v>101127.0</v>
      </c>
      <c r="C751" s="34" t="s">
        <v>76</v>
      </c>
      <c r="D751" s="34" t="s">
        <v>1448</v>
      </c>
      <c r="E751" s="34" t="s">
        <v>1449</v>
      </c>
      <c r="F751" s="34">
        <v>2015.0</v>
      </c>
      <c r="G751" s="34" t="s">
        <v>1450</v>
      </c>
      <c r="H751" s="34" t="s">
        <v>1431</v>
      </c>
      <c r="I751" s="34" t="s">
        <v>1451</v>
      </c>
      <c r="J751" s="35"/>
      <c r="K751" s="36">
        <v>-33.0</v>
      </c>
      <c r="L751" s="36">
        <v>327.0</v>
      </c>
      <c r="M751" s="36"/>
      <c r="N751" s="36"/>
      <c r="O751" s="36"/>
      <c r="P751" s="52">
        <f t="shared" si="74"/>
        <v>-10.09174312</v>
      </c>
      <c r="Q751" s="36" t="s">
        <v>96</v>
      </c>
      <c r="R751" s="36" t="s">
        <v>96</v>
      </c>
      <c r="S751" s="36" t="s">
        <v>1452</v>
      </c>
      <c r="T751" s="36" t="s">
        <v>284</v>
      </c>
      <c r="U751" s="36" t="s">
        <v>968</v>
      </c>
      <c r="V751" s="36">
        <v>20.0</v>
      </c>
      <c r="W751" s="36"/>
      <c r="X751" s="38">
        <v>1.0</v>
      </c>
      <c r="Y751" s="38" t="s">
        <v>593</v>
      </c>
      <c r="Z751" s="38" t="s">
        <v>594</v>
      </c>
      <c r="AA751" s="38" t="s">
        <v>288</v>
      </c>
      <c r="AB751" s="38" t="s">
        <v>1453</v>
      </c>
      <c r="AC751" s="38" t="s">
        <v>1454</v>
      </c>
      <c r="AD751" s="38" t="s">
        <v>198</v>
      </c>
      <c r="AE751" s="38">
        <v>3250.0</v>
      </c>
      <c r="AF751" s="38" t="s">
        <v>1341</v>
      </c>
      <c r="AG751" s="38" t="s">
        <v>1455</v>
      </c>
      <c r="AH751" s="38">
        <v>2.2</v>
      </c>
      <c r="AI751" s="50">
        <v>37.61</v>
      </c>
      <c r="AJ751" s="50">
        <v>101.33</v>
      </c>
      <c r="AK751" s="41" t="s">
        <v>288</v>
      </c>
      <c r="AL751" s="40" t="s">
        <v>288</v>
      </c>
      <c r="AM751" s="49">
        <v>3201.0</v>
      </c>
      <c r="AN751" s="51">
        <v>3201.0</v>
      </c>
      <c r="AO751" s="42" t="s">
        <v>597</v>
      </c>
      <c r="AP751" s="43" t="s">
        <v>597</v>
      </c>
      <c r="AQ751" s="44" t="str">
        <f t="shared" si="60"/>
        <v>GRA</v>
      </c>
      <c r="AR751" s="44">
        <f t="shared" si="3"/>
        <v>3201</v>
      </c>
      <c r="AS751" s="44" t="str">
        <f t="shared" si="63"/>
        <v>D</v>
      </c>
      <c r="AT751" s="44" t="str">
        <f t="shared" si="17"/>
        <v>Dw</v>
      </c>
      <c r="AU751" s="44" t="str">
        <f t="shared" si="2"/>
        <v>Dwc</v>
      </c>
      <c r="AV751" s="38">
        <v>2.0</v>
      </c>
      <c r="AW751" s="38">
        <v>1.0</v>
      </c>
      <c r="AX751" s="38">
        <v>100.0</v>
      </c>
      <c r="AY751" s="38" t="s">
        <v>88</v>
      </c>
      <c r="AZ751" s="29">
        <v>30.0</v>
      </c>
      <c r="BA751" s="29"/>
      <c r="BB751" s="29">
        <v>1.0</v>
      </c>
      <c r="BC751" s="29"/>
      <c r="BD751" s="29" t="s">
        <v>88</v>
      </c>
      <c r="BE751" s="29"/>
      <c r="BF751" s="29" t="s">
        <v>984</v>
      </c>
      <c r="BG751" s="29" t="s">
        <v>572</v>
      </c>
      <c r="BH751" s="29" t="s">
        <v>88</v>
      </c>
      <c r="BI751" s="29"/>
      <c r="BJ751" s="29"/>
      <c r="BK751" s="29" t="s">
        <v>180</v>
      </c>
      <c r="BL751" s="29" t="s">
        <v>180</v>
      </c>
      <c r="BM751" s="45"/>
      <c r="BN751" s="45"/>
      <c r="BO751" s="46"/>
      <c r="BP751" s="2"/>
      <c r="BQ751" s="3"/>
    </row>
    <row r="752" ht="15.75" customHeight="1">
      <c r="A752" s="34">
        <v>757.0</v>
      </c>
      <c r="B752" s="34">
        <v>101127.0</v>
      </c>
      <c r="C752" s="34" t="s">
        <v>76</v>
      </c>
      <c r="D752" s="34" t="s">
        <v>1448</v>
      </c>
      <c r="E752" s="34" t="s">
        <v>1449</v>
      </c>
      <c r="F752" s="34">
        <v>2015.0</v>
      </c>
      <c r="G752" s="34" t="s">
        <v>1450</v>
      </c>
      <c r="H752" s="34" t="s">
        <v>1431</v>
      </c>
      <c r="I752" s="34" t="s">
        <v>1451</v>
      </c>
      <c r="J752" s="35"/>
      <c r="K752" s="36">
        <v>38.0</v>
      </c>
      <c r="L752" s="36">
        <v>48.0</v>
      </c>
      <c r="M752" s="36"/>
      <c r="N752" s="36"/>
      <c r="O752" s="36"/>
      <c r="P752" s="52">
        <f t="shared" si="74"/>
        <v>79.16666667</v>
      </c>
      <c r="Q752" s="36" t="s">
        <v>96</v>
      </c>
      <c r="R752" s="36" t="s">
        <v>96</v>
      </c>
      <c r="S752" s="36" t="s">
        <v>1452</v>
      </c>
      <c r="T752" s="36" t="s">
        <v>295</v>
      </c>
      <c r="U752" s="36" t="s">
        <v>342</v>
      </c>
      <c r="V752" s="36">
        <v>29.0</v>
      </c>
      <c r="W752" s="36"/>
      <c r="X752" s="38">
        <v>1.0</v>
      </c>
      <c r="Y752" s="38" t="s">
        <v>1278</v>
      </c>
      <c r="Z752" s="38" t="s">
        <v>1279</v>
      </c>
      <c r="AA752" s="38" t="s">
        <v>288</v>
      </c>
      <c r="AB752" s="38" t="s">
        <v>1457</v>
      </c>
      <c r="AC752" s="38" t="s">
        <v>1458</v>
      </c>
      <c r="AD752" s="38" t="s">
        <v>1250</v>
      </c>
      <c r="AE752" s="38">
        <v>1235.0</v>
      </c>
      <c r="AF752" s="38"/>
      <c r="AG752" s="38" t="s">
        <v>1459</v>
      </c>
      <c r="AH752" s="38">
        <v>3.5</v>
      </c>
      <c r="AI752" s="50">
        <v>47.21</v>
      </c>
      <c r="AJ752" s="50">
        <v>108.74</v>
      </c>
      <c r="AK752" s="41" t="s">
        <v>288</v>
      </c>
      <c r="AL752" s="40" t="s">
        <v>288</v>
      </c>
      <c r="AM752" s="49">
        <v>1250.0</v>
      </c>
      <c r="AN752" s="51">
        <v>1250.0</v>
      </c>
      <c r="AO752" s="42" t="s">
        <v>293</v>
      </c>
      <c r="AP752" s="43" t="s">
        <v>293</v>
      </c>
      <c r="AQ752" s="44" t="str">
        <f t="shared" si="60"/>
        <v>GRA</v>
      </c>
      <c r="AR752" s="44">
        <f t="shared" si="3"/>
        <v>1250</v>
      </c>
      <c r="AS752" s="44" t="str">
        <f t="shared" si="63"/>
        <v>B</v>
      </c>
      <c r="AT752" s="44" t="str">
        <f t="shared" si="17"/>
        <v>BS</v>
      </c>
      <c r="AU752" s="44" t="str">
        <f t="shared" si="2"/>
        <v>BSk</v>
      </c>
      <c r="AV752" s="38">
        <v>1.0</v>
      </c>
      <c r="AW752" s="38">
        <v>1.0</v>
      </c>
      <c r="AX752" s="38">
        <v>100.0</v>
      </c>
      <c r="AY752" s="38" t="s">
        <v>88</v>
      </c>
      <c r="AZ752" s="29">
        <v>30.0</v>
      </c>
      <c r="BA752" s="29"/>
      <c r="BB752" s="29">
        <v>1.0</v>
      </c>
      <c r="BC752" s="29"/>
      <c r="BD752" s="29" t="s">
        <v>88</v>
      </c>
      <c r="BE752" s="29"/>
      <c r="BF752" s="29" t="s">
        <v>984</v>
      </c>
      <c r="BG752" s="29" t="s">
        <v>572</v>
      </c>
      <c r="BH752" s="29" t="s">
        <v>88</v>
      </c>
      <c r="BI752" s="29"/>
      <c r="BJ752" s="29"/>
      <c r="BK752" s="29" t="s">
        <v>180</v>
      </c>
      <c r="BL752" s="29" t="s">
        <v>180</v>
      </c>
      <c r="BM752" s="45"/>
      <c r="BN752" s="45"/>
      <c r="BO752" s="46"/>
      <c r="BP752" s="2"/>
      <c r="BQ752" s="3"/>
    </row>
    <row r="753" ht="15.75" customHeight="1">
      <c r="A753" s="34">
        <v>758.0</v>
      </c>
      <c r="B753" s="34">
        <v>101127.0</v>
      </c>
      <c r="C753" s="34" t="s">
        <v>76</v>
      </c>
      <c r="D753" s="34" t="s">
        <v>1448</v>
      </c>
      <c r="E753" s="34" t="s">
        <v>1449</v>
      </c>
      <c r="F753" s="34">
        <v>2015.0</v>
      </c>
      <c r="G753" s="34" t="s">
        <v>1450</v>
      </c>
      <c r="H753" s="34" t="s">
        <v>1431</v>
      </c>
      <c r="I753" s="34" t="s">
        <v>1451</v>
      </c>
      <c r="J753" s="35"/>
      <c r="K753" s="36">
        <v>6.0</v>
      </c>
      <c r="L753" s="36">
        <v>80.0</v>
      </c>
      <c r="M753" s="36"/>
      <c r="N753" s="36"/>
      <c r="O753" s="36"/>
      <c r="P753" s="52">
        <f t="shared" si="74"/>
        <v>7.5</v>
      </c>
      <c r="Q753" s="36" t="s">
        <v>96</v>
      </c>
      <c r="R753" s="36" t="s">
        <v>96</v>
      </c>
      <c r="S753" s="36" t="s">
        <v>1452</v>
      </c>
      <c r="T753" s="36" t="s">
        <v>295</v>
      </c>
      <c r="U753" s="36" t="s">
        <v>342</v>
      </c>
      <c r="V753" s="36">
        <v>29.0</v>
      </c>
      <c r="W753" s="36"/>
      <c r="X753" s="38">
        <v>1.0</v>
      </c>
      <c r="Y753" s="38" t="s">
        <v>1278</v>
      </c>
      <c r="Z753" s="38" t="s">
        <v>1279</v>
      </c>
      <c r="AA753" s="38" t="s">
        <v>288</v>
      </c>
      <c r="AB753" s="38" t="s">
        <v>1457</v>
      </c>
      <c r="AC753" s="38" t="s">
        <v>1458</v>
      </c>
      <c r="AD753" s="38" t="s">
        <v>1250</v>
      </c>
      <c r="AE753" s="38">
        <v>1235.0</v>
      </c>
      <c r="AF753" s="38"/>
      <c r="AG753" s="38" t="s">
        <v>1459</v>
      </c>
      <c r="AH753" s="38">
        <v>3.5</v>
      </c>
      <c r="AI753" s="50">
        <v>47.21</v>
      </c>
      <c r="AJ753" s="50">
        <v>108.74</v>
      </c>
      <c r="AK753" s="41" t="s">
        <v>288</v>
      </c>
      <c r="AL753" s="40" t="s">
        <v>288</v>
      </c>
      <c r="AM753" s="49">
        <v>1250.0</v>
      </c>
      <c r="AN753" s="51">
        <v>1250.0</v>
      </c>
      <c r="AO753" s="42" t="s">
        <v>293</v>
      </c>
      <c r="AP753" s="43" t="s">
        <v>293</v>
      </c>
      <c r="AQ753" s="44" t="str">
        <f t="shared" si="60"/>
        <v>GRA</v>
      </c>
      <c r="AR753" s="44">
        <f t="shared" si="3"/>
        <v>1250</v>
      </c>
      <c r="AS753" s="44" t="str">
        <f t="shared" si="63"/>
        <v>B</v>
      </c>
      <c r="AT753" s="44" t="str">
        <f t="shared" si="17"/>
        <v>BS</v>
      </c>
      <c r="AU753" s="44" t="str">
        <f t="shared" si="2"/>
        <v>BSk</v>
      </c>
      <c r="AV753" s="38">
        <v>4.0</v>
      </c>
      <c r="AW753" s="38">
        <v>1.0</v>
      </c>
      <c r="AX753" s="38">
        <v>100.0</v>
      </c>
      <c r="AY753" s="38" t="s">
        <v>88</v>
      </c>
      <c r="AZ753" s="29">
        <v>30.0</v>
      </c>
      <c r="BA753" s="29"/>
      <c r="BB753" s="29">
        <v>1.0</v>
      </c>
      <c r="BC753" s="29"/>
      <c r="BD753" s="29" t="s">
        <v>88</v>
      </c>
      <c r="BE753" s="29"/>
      <c r="BF753" s="29" t="s">
        <v>984</v>
      </c>
      <c r="BG753" s="29" t="s">
        <v>572</v>
      </c>
      <c r="BH753" s="29" t="s">
        <v>88</v>
      </c>
      <c r="BI753" s="29"/>
      <c r="BJ753" s="29"/>
      <c r="BK753" s="29" t="s">
        <v>180</v>
      </c>
      <c r="BL753" s="29" t="s">
        <v>180</v>
      </c>
      <c r="BM753" s="45"/>
      <c r="BN753" s="45"/>
      <c r="BO753" s="46"/>
      <c r="BP753" s="2"/>
      <c r="BQ753" s="3"/>
    </row>
    <row r="754" ht="15.75" customHeight="1">
      <c r="A754" s="34">
        <v>759.0</v>
      </c>
      <c r="B754" s="34">
        <v>101127.0</v>
      </c>
      <c r="C754" s="34" t="s">
        <v>76</v>
      </c>
      <c r="D754" s="34" t="s">
        <v>1448</v>
      </c>
      <c r="E754" s="34" t="s">
        <v>1449</v>
      </c>
      <c r="F754" s="34">
        <v>2015.0</v>
      </c>
      <c r="G754" s="34" t="s">
        <v>1450</v>
      </c>
      <c r="H754" s="34" t="s">
        <v>1431</v>
      </c>
      <c r="I754" s="34" t="s">
        <v>1451</v>
      </c>
      <c r="J754" s="35"/>
      <c r="K754" s="36">
        <v>-10.0</v>
      </c>
      <c r="L754" s="36">
        <v>96.0</v>
      </c>
      <c r="M754" s="36"/>
      <c r="N754" s="36"/>
      <c r="O754" s="36"/>
      <c r="P754" s="52">
        <f t="shared" si="74"/>
        <v>-10.41666667</v>
      </c>
      <c r="Q754" s="36" t="s">
        <v>96</v>
      </c>
      <c r="R754" s="36" t="s">
        <v>96</v>
      </c>
      <c r="S754" s="36" t="s">
        <v>1452</v>
      </c>
      <c r="T754" s="36" t="s">
        <v>295</v>
      </c>
      <c r="U754" s="36" t="s">
        <v>342</v>
      </c>
      <c r="V754" s="36">
        <v>29.0</v>
      </c>
      <c r="W754" s="36"/>
      <c r="X754" s="38">
        <v>1.0</v>
      </c>
      <c r="Y754" s="38" t="s">
        <v>1278</v>
      </c>
      <c r="Z754" s="38" t="s">
        <v>1279</v>
      </c>
      <c r="AA754" s="38" t="s">
        <v>288</v>
      </c>
      <c r="AB754" s="38" t="s">
        <v>1457</v>
      </c>
      <c r="AC754" s="38" t="s">
        <v>1458</v>
      </c>
      <c r="AD754" s="38" t="s">
        <v>1250</v>
      </c>
      <c r="AE754" s="38">
        <v>1235.0</v>
      </c>
      <c r="AF754" s="38"/>
      <c r="AG754" s="38" t="s">
        <v>1459</v>
      </c>
      <c r="AH754" s="38">
        <v>3.5</v>
      </c>
      <c r="AI754" s="50">
        <v>47.21</v>
      </c>
      <c r="AJ754" s="50">
        <v>108.74</v>
      </c>
      <c r="AK754" s="41" t="s">
        <v>288</v>
      </c>
      <c r="AL754" s="40" t="s">
        <v>288</v>
      </c>
      <c r="AM754" s="49">
        <v>1250.0</v>
      </c>
      <c r="AN754" s="51">
        <v>1250.0</v>
      </c>
      <c r="AO754" s="42" t="s">
        <v>293</v>
      </c>
      <c r="AP754" s="43" t="s">
        <v>293</v>
      </c>
      <c r="AQ754" s="44" t="str">
        <f t="shared" si="60"/>
        <v>GRA</v>
      </c>
      <c r="AR754" s="44">
        <f t="shared" si="3"/>
        <v>1250</v>
      </c>
      <c r="AS754" s="44" t="str">
        <f t="shared" si="63"/>
        <v>B</v>
      </c>
      <c r="AT754" s="44" t="str">
        <f t="shared" si="17"/>
        <v>BS</v>
      </c>
      <c r="AU754" s="44" t="str">
        <f t="shared" si="2"/>
        <v>BSk</v>
      </c>
      <c r="AV754" s="38">
        <v>3.0</v>
      </c>
      <c r="AW754" s="38">
        <v>1.0</v>
      </c>
      <c r="AX754" s="38">
        <v>100.0</v>
      </c>
      <c r="AY754" s="38" t="s">
        <v>88</v>
      </c>
      <c r="AZ754" s="29">
        <v>30.0</v>
      </c>
      <c r="BA754" s="29"/>
      <c r="BB754" s="29">
        <v>1.0</v>
      </c>
      <c r="BC754" s="29"/>
      <c r="BD754" s="29" t="s">
        <v>88</v>
      </c>
      <c r="BE754" s="29"/>
      <c r="BF754" s="29" t="s">
        <v>984</v>
      </c>
      <c r="BG754" s="29" t="s">
        <v>572</v>
      </c>
      <c r="BH754" s="29" t="s">
        <v>88</v>
      </c>
      <c r="BI754" s="29"/>
      <c r="BJ754" s="29"/>
      <c r="BK754" s="29" t="s">
        <v>180</v>
      </c>
      <c r="BL754" s="29" t="s">
        <v>180</v>
      </c>
      <c r="BM754" s="45"/>
      <c r="BN754" s="45"/>
      <c r="BO754" s="46"/>
      <c r="BP754" s="2"/>
      <c r="BQ754" s="3"/>
    </row>
    <row r="755" ht="15.75" customHeight="1">
      <c r="A755" s="34">
        <v>760.0</v>
      </c>
      <c r="B755" s="34">
        <v>101127.0</v>
      </c>
      <c r="C755" s="34" t="s">
        <v>76</v>
      </c>
      <c r="D755" s="34" t="s">
        <v>1448</v>
      </c>
      <c r="E755" s="34" t="s">
        <v>1449</v>
      </c>
      <c r="F755" s="34">
        <v>2015.0</v>
      </c>
      <c r="G755" s="34" t="s">
        <v>1450</v>
      </c>
      <c r="H755" s="34" t="s">
        <v>1431</v>
      </c>
      <c r="I755" s="34" t="s">
        <v>1451</v>
      </c>
      <c r="J755" s="35"/>
      <c r="K755" s="36">
        <v>-117.0</v>
      </c>
      <c r="L755" s="36">
        <v>203.0</v>
      </c>
      <c r="M755" s="36"/>
      <c r="N755" s="36"/>
      <c r="O755" s="36"/>
      <c r="P755" s="52">
        <f t="shared" si="74"/>
        <v>-57.63546798</v>
      </c>
      <c r="Q755" s="36" t="s">
        <v>96</v>
      </c>
      <c r="R755" s="36" t="s">
        <v>96</v>
      </c>
      <c r="S755" s="36" t="s">
        <v>1452</v>
      </c>
      <c r="T755" s="36" t="s">
        <v>295</v>
      </c>
      <c r="U755" s="36" t="s">
        <v>342</v>
      </c>
      <c r="V755" s="36">
        <v>29.0</v>
      </c>
      <c r="W755" s="36"/>
      <c r="X755" s="38">
        <v>1.0</v>
      </c>
      <c r="Y755" s="38" t="s">
        <v>1278</v>
      </c>
      <c r="Z755" s="38" t="s">
        <v>1279</v>
      </c>
      <c r="AA755" s="38" t="s">
        <v>288</v>
      </c>
      <c r="AB755" s="38" t="s">
        <v>1457</v>
      </c>
      <c r="AC755" s="38" t="s">
        <v>1458</v>
      </c>
      <c r="AD755" s="38" t="s">
        <v>1250</v>
      </c>
      <c r="AE755" s="38">
        <v>1235.0</v>
      </c>
      <c r="AF755" s="38"/>
      <c r="AG755" s="38" t="s">
        <v>1459</v>
      </c>
      <c r="AH755" s="38">
        <v>3.5</v>
      </c>
      <c r="AI755" s="50">
        <v>47.21</v>
      </c>
      <c r="AJ755" s="50">
        <v>108.74</v>
      </c>
      <c r="AK755" s="41" t="s">
        <v>288</v>
      </c>
      <c r="AL755" s="40" t="s">
        <v>288</v>
      </c>
      <c r="AM755" s="49">
        <v>1250.0</v>
      </c>
      <c r="AN755" s="51">
        <v>1250.0</v>
      </c>
      <c r="AO755" s="42" t="s">
        <v>293</v>
      </c>
      <c r="AP755" s="43" t="s">
        <v>293</v>
      </c>
      <c r="AQ755" s="44" t="str">
        <f t="shared" si="60"/>
        <v>GRA</v>
      </c>
      <c r="AR755" s="44">
        <f t="shared" si="3"/>
        <v>1250</v>
      </c>
      <c r="AS755" s="44" t="str">
        <f t="shared" si="63"/>
        <v>B</v>
      </c>
      <c r="AT755" s="44" t="str">
        <f t="shared" si="17"/>
        <v>BS</v>
      </c>
      <c r="AU755" s="44" t="str">
        <f t="shared" si="2"/>
        <v>BSk</v>
      </c>
      <c r="AV755" s="38">
        <v>2.0</v>
      </c>
      <c r="AW755" s="38">
        <v>1.0</v>
      </c>
      <c r="AX755" s="38">
        <v>100.0</v>
      </c>
      <c r="AY755" s="38" t="s">
        <v>88</v>
      </c>
      <c r="AZ755" s="29">
        <v>30.0</v>
      </c>
      <c r="BA755" s="29"/>
      <c r="BB755" s="29">
        <v>1.0</v>
      </c>
      <c r="BC755" s="29"/>
      <c r="BD755" s="29" t="s">
        <v>88</v>
      </c>
      <c r="BE755" s="29"/>
      <c r="BF755" s="29" t="s">
        <v>984</v>
      </c>
      <c r="BG755" s="29" t="s">
        <v>572</v>
      </c>
      <c r="BH755" s="29" t="s">
        <v>88</v>
      </c>
      <c r="BI755" s="29"/>
      <c r="BJ755" s="29"/>
      <c r="BK755" s="29" t="s">
        <v>180</v>
      </c>
      <c r="BL755" s="29" t="s">
        <v>180</v>
      </c>
      <c r="BM755" s="45"/>
      <c r="BN755" s="45"/>
      <c r="BO755" s="46"/>
      <c r="BP755" s="2"/>
      <c r="BQ755" s="3"/>
    </row>
    <row r="756" ht="15.75" customHeight="1">
      <c r="A756" s="34">
        <v>761.0</v>
      </c>
      <c r="B756" s="34">
        <v>101127.0</v>
      </c>
      <c r="C756" s="34" t="s">
        <v>76</v>
      </c>
      <c r="D756" s="34" t="s">
        <v>1448</v>
      </c>
      <c r="E756" s="34" t="s">
        <v>1449</v>
      </c>
      <c r="F756" s="34">
        <v>2015.0</v>
      </c>
      <c r="G756" s="34" t="s">
        <v>1450</v>
      </c>
      <c r="H756" s="34" t="s">
        <v>1431</v>
      </c>
      <c r="I756" s="34" t="s">
        <v>1451</v>
      </c>
      <c r="J756" s="35"/>
      <c r="K756" s="36">
        <v>107.0</v>
      </c>
      <c r="L756" s="36">
        <v>146.0</v>
      </c>
      <c r="M756" s="36"/>
      <c r="N756" s="36"/>
      <c r="O756" s="36"/>
      <c r="P756" s="52">
        <f t="shared" si="74"/>
        <v>73.28767123</v>
      </c>
      <c r="Q756" s="36" t="s">
        <v>96</v>
      </c>
      <c r="R756" s="36" t="s">
        <v>96</v>
      </c>
      <c r="S756" s="36" t="s">
        <v>1452</v>
      </c>
      <c r="T756" s="36" t="s">
        <v>284</v>
      </c>
      <c r="U756" s="36" t="s">
        <v>968</v>
      </c>
      <c r="V756" s="36">
        <v>31.0</v>
      </c>
      <c r="W756" s="36"/>
      <c r="X756" s="38">
        <v>1.0</v>
      </c>
      <c r="Y756" s="38" t="s">
        <v>1193</v>
      </c>
      <c r="Z756" s="38" t="s">
        <v>1194</v>
      </c>
      <c r="AA756" s="38" t="s">
        <v>86</v>
      </c>
      <c r="AB756" s="38" t="s">
        <v>1460</v>
      </c>
      <c r="AC756" s="38" t="s">
        <v>1461</v>
      </c>
      <c r="AD756" s="38" t="s">
        <v>736</v>
      </c>
      <c r="AE756" s="38">
        <v>13.0</v>
      </c>
      <c r="AF756" s="38" t="s">
        <v>1197</v>
      </c>
      <c r="AG756" s="38" t="s">
        <v>1462</v>
      </c>
      <c r="AH756" s="38" t="s">
        <v>1463</v>
      </c>
      <c r="AI756" s="50">
        <v>36.07</v>
      </c>
      <c r="AJ756" s="50">
        <v>140.02</v>
      </c>
      <c r="AK756" s="41" t="s">
        <v>362</v>
      </c>
      <c r="AL756" s="40" t="s">
        <v>362</v>
      </c>
      <c r="AM756" s="49">
        <v>16.0</v>
      </c>
      <c r="AN756" s="51">
        <v>16.0</v>
      </c>
      <c r="AO756" s="42" t="s">
        <v>201</v>
      </c>
      <c r="AP756" s="43" t="s">
        <v>201</v>
      </c>
      <c r="AQ756" s="44" t="str">
        <f t="shared" si="60"/>
        <v>CRO</v>
      </c>
      <c r="AR756" s="44">
        <f t="shared" si="3"/>
        <v>16</v>
      </c>
      <c r="AS756" s="44" t="str">
        <f t="shared" si="63"/>
        <v>C</v>
      </c>
      <c r="AT756" s="44" t="str">
        <f t="shared" si="17"/>
        <v>Cf</v>
      </c>
      <c r="AU756" s="44" t="str">
        <f t="shared" si="2"/>
        <v>Cfa</v>
      </c>
      <c r="AV756" s="38">
        <v>1.0</v>
      </c>
      <c r="AW756" s="38">
        <v>1.0</v>
      </c>
      <c r="AX756" s="38">
        <v>100.0</v>
      </c>
      <c r="AY756" s="38" t="s">
        <v>88</v>
      </c>
      <c r="AZ756" s="29">
        <v>30.0</v>
      </c>
      <c r="BA756" s="29"/>
      <c r="BB756" s="29">
        <v>1.0</v>
      </c>
      <c r="BC756" s="29"/>
      <c r="BD756" s="29" t="s">
        <v>88</v>
      </c>
      <c r="BE756" s="29"/>
      <c r="BF756" s="29" t="s">
        <v>984</v>
      </c>
      <c r="BG756" s="29" t="s">
        <v>572</v>
      </c>
      <c r="BH756" s="29" t="s">
        <v>88</v>
      </c>
      <c r="BI756" s="29"/>
      <c r="BJ756" s="29"/>
      <c r="BK756" s="29" t="s">
        <v>180</v>
      </c>
      <c r="BL756" s="29" t="s">
        <v>180</v>
      </c>
      <c r="BM756" s="45"/>
      <c r="BN756" s="45"/>
      <c r="BO756" s="46"/>
      <c r="BP756" s="2"/>
      <c r="BQ756" s="3"/>
    </row>
    <row r="757" ht="15.75" customHeight="1">
      <c r="A757" s="34">
        <v>762.0</v>
      </c>
      <c r="B757" s="34">
        <v>101127.0</v>
      </c>
      <c r="C757" s="34" t="s">
        <v>76</v>
      </c>
      <c r="D757" s="34" t="s">
        <v>1448</v>
      </c>
      <c r="E757" s="34" t="s">
        <v>1449</v>
      </c>
      <c r="F757" s="34">
        <v>2015.0</v>
      </c>
      <c r="G757" s="34" t="s">
        <v>1450</v>
      </c>
      <c r="H757" s="34" t="s">
        <v>1431</v>
      </c>
      <c r="I757" s="34" t="s">
        <v>1451</v>
      </c>
      <c r="J757" s="35"/>
      <c r="K757" s="36">
        <v>68.0</v>
      </c>
      <c r="L757" s="36">
        <v>185.0</v>
      </c>
      <c r="M757" s="36"/>
      <c r="N757" s="36"/>
      <c r="O757" s="36"/>
      <c r="P757" s="52">
        <f t="shared" si="74"/>
        <v>36.75675676</v>
      </c>
      <c r="Q757" s="36" t="s">
        <v>96</v>
      </c>
      <c r="R757" s="36" t="s">
        <v>96</v>
      </c>
      <c r="S757" s="36" t="s">
        <v>1452</v>
      </c>
      <c r="T757" s="36" t="s">
        <v>284</v>
      </c>
      <c r="U757" s="36" t="s">
        <v>968</v>
      </c>
      <c r="V757" s="36">
        <v>31.0</v>
      </c>
      <c r="W757" s="36"/>
      <c r="X757" s="38">
        <v>1.0</v>
      </c>
      <c r="Y757" s="38" t="s">
        <v>1193</v>
      </c>
      <c r="Z757" s="38" t="s">
        <v>1194</v>
      </c>
      <c r="AA757" s="38" t="s">
        <v>86</v>
      </c>
      <c r="AB757" s="38" t="s">
        <v>1460</v>
      </c>
      <c r="AC757" s="38" t="s">
        <v>1461</v>
      </c>
      <c r="AD757" s="38" t="s">
        <v>736</v>
      </c>
      <c r="AE757" s="38">
        <v>13.0</v>
      </c>
      <c r="AF757" s="38" t="s">
        <v>1197</v>
      </c>
      <c r="AG757" s="38" t="s">
        <v>1462</v>
      </c>
      <c r="AH757" s="38" t="s">
        <v>1463</v>
      </c>
      <c r="AI757" s="50">
        <v>36.07</v>
      </c>
      <c r="AJ757" s="50">
        <v>140.02</v>
      </c>
      <c r="AK757" s="41" t="s">
        <v>362</v>
      </c>
      <c r="AL757" s="40" t="s">
        <v>362</v>
      </c>
      <c r="AM757" s="49">
        <v>16.0</v>
      </c>
      <c r="AN757" s="51">
        <v>16.0</v>
      </c>
      <c r="AO757" s="42" t="s">
        <v>201</v>
      </c>
      <c r="AP757" s="43" t="s">
        <v>201</v>
      </c>
      <c r="AQ757" s="44" t="str">
        <f t="shared" si="60"/>
        <v>CRO</v>
      </c>
      <c r="AR757" s="44">
        <f t="shared" si="3"/>
        <v>16</v>
      </c>
      <c r="AS757" s="44" t="str">
        <f t="shared" si="63"/>
        <v>C</v>
      </c>
      <c r="AT757" s="44" t="str">
        <f t="shared" si="17"/>
        <v>Cf</v>
      </c>
      <c r="AU757" s="44" t="str">
        <f t="shared" si="2"/>
        <v>Cfa</v>
      </c>
      <c r="AV757" s="38">
        <v>4.0</v>
      </c>
      <c r="AW757" s="38">
        <v>1.0</v>
      </c>
      <c r="AX757" s="38">
        <v>100.0</v>
      </c>
      <c r="AY757" s="38" t="s">
        <v>88</v>
      </c>
      <c r="AZ757" s="29">
        <v>30.0</v>
      </c>
      <c r="BA757" s="29"/>
      <c r="BB757" s="29">
        <v>1.0</v>
      </c>
      <c r="BC757" s="29"/>
      <c r="BD757" s="29" t="s">
        <v>88</v>
      </c>
      <c r="BE757" s="29"/>
      <c r="BF757" s="29" t="s">
        <v>984</v>
      </c>
      <c r="BG757" s="29" t="s">
        <v>572</v>
      </c>
      <c r="BH757" s="29" t="s">
        <v>88</v>
      </c>
      <c r="BI757" s="29"/>
      <c r="BJ757" s="29"/>
      <c r="BK757" s="29" t="s">
        <v>180</v>
      </c>
      <c r="BL757" s="29" t="s">
        <v>180</v>
      </c>
      <c r="BM757" s="45"/>
      <c r="BN757" s="45"/>
      <c r="BO757" s="46"/>
      <c r="BP757" s="2"/>
      <c r="BQ757" s="3"/>
    </row>
    <row r="758" ht="15.75" customHeight="1">
      <c r="A758" s="34">
        <v>763.0</v>
      </c>
      <c r="B758" s="34">
        <v>101127.0</v>
      </c>
      <c r="C758" s="34" t="s">
        <v>76</v>
      </c>
      <c r="D758" s="34" t="s">
        <v>1448</v>
      </c>
      <c r="E758" s="34" t="s">
        <v>1449</v>
      </c>
      <c r="F758" s="34">
        <v>2015.0</v>
      </c>
      <c r="G758" s="34" t="s">
        <v>1450</v>
      </c>
      <c r="H758" s="34" t="s">
        <v>1431</v>
      </c>
      <c r="I758" s="34" t="s">
        <v>1451</v>
      </c>
      <c r="J758" s="35"/>
      <c r="K758" s="36">
        <v>14.0</v>
      </c>
      <c r="L758" s="36">
        <v>239.0</v>
      </c>
      <c r="M758" s="36"/>
      <c r="N758" s="36"/>
      <c r="O758" s="36"/>
      <c r="P758" s="52">
        <f t="shared" si="74"/>
        <v>5.857740586</v>
      </c>
      <c r="Q758" s="36" t="s">
        <v>96</v>
      </c>
      <c r="R758" s="36" t="s">
        <v>96</v>
      </c>
      <c r="S758" s="36" t="s">
        <v>1452</v>
      </c>
      <c r="T758" s="36" t="s">
        <v>284</v>
      </c>
      <c r="U758" s="36" t="s">
        <v>968</v>
      </c>
      <c r="V758" s="36">
        <v>31.0</v>
      </c>
      <c r="W758" s="36"/>
      <c r="X758" s="38">
        <v>1.0</v>
      </c>
      <c r="Y758" s="38" t="s">
        <v>1193</v>
      </c>
      <c r="Z758" s="38" t="s">
        <v>1194</v>
      </c>
      <c r="AA758" s="38" t="s">
        <v>86</v>
      </c>
      <c r="AB758" s="38" t="s">
        <v>1460</v>
      </c>
      <c r="AC758" s="38" t="s">
        <v>1461</v>
      </c>
      <c r="AD758" s="38" t="s">
        <v>736</v>
      </c>
      <c r="AE758" s="38">
        <v>13.0</v>
      </c>
      <c r="AF758" s="38" t="s">
        <v>1197</v>
      </c>
      <c r="AG758" s="38" t="s">
        <v>1462</v>
      </c>
      <c r="AH758" s="38" t="s">
        <v>1463</v>
      </c>
      <c r="AI758" s="50">
        <v>36.07</v>
      </c>
      <c r="AJ758" s="50">
        <v>140.02</v>
      </c>
      <c r="AK758" s="41" t="s">
        <v>362</v>
      </c>
      <c r="AL758" s="40" t="s">
        <v>362</v>
      </c>
      <c r="AM758" s="49">
        <v>16.0</v>
      </c>
      <c r="AN758" s="51">
        <v>16.0</v>
      </c>
      <c r="AO758" s="42" t="s">
        <v>201</v>
      </c>
      <c r="AP758" s="43" t="s">
        <v>201</v>
      </c>
      <c r="AQ758" s="44" t="str">
        <f t="shared" si="60"/>
        <v>CRO</v>
      </c>
      <c r="AR758" s="44">
        <f t="shared" si="3"/>
        <v>16</v>
      </c>
      <c r="AS758" s="44" t="str">
        <f t="shared" si="63"/>
        <v>C</v>
      </c>
      <c r="AT758" s="44" t="str">
        <f t="shared" si="17"/>
        <v>Cf</v>
      </c>
      <c r="AU758" s="44" t="str">
        <f t="shared" si="2"/>
        <v>Cfa</v>
      </c>
      <c r="AV758" s="38">
        <v>3.0</v>
      </c>
      <c r="AW758" s="38">
        <v>1.0</v>
      </c>
      <c r="AX758" s="38">
        <v>100.0</v>
      </c>
      <c r="AY758" s="38" t="s">
        <v>88</v>
      </c>
      <c r="AZ758" s="29">
        <v>30.0</v>
      </c>
      <c r="BA758" s="29"/>
      <c r="BB758" s="29">
        <v>1.0</v>
      </c>
      <c r="BC758" s="29"/>
      <c r="BD758" s="29" t="s">
        <v>88</v>
      </c>
      <c r="BE758" s="29"/>
      <c r="BF758" s="29" t="s">
        <v>984</v>
      </c>
      <c r="BG758" s="29" t="s">
        <v>572</v>
      </c>
      <c r="BH758" s="29" t="s">
        <v>88</v>
      </c>
      <c r="BI758" s="29"/>
      <c r="BJ758" s="29"/>
      <c r="BK758" s="29" t="s">
        <v>180</v>
      </c>
      <c r="BL758" s="29" t="s">
        <v>180</v>
      </c>
      <c r="BM758" s="45"/>
      <c r="BN758" s="45"/>
      <c r="BO758" s="46"/>
      <c r="BP758" s="2"/>
      <c r="BQ758" s="3"/>
    </row>
    <row r="759" ht="15.75" customHeight="1">
      <c r="A759" s="34">
        <v>764.0</v>
      </c>
      <c r="B759" s="34">
        <v>101127.0</v>
      </c>
      <c r="C759" s="34" t="s">
        <v>76</v>
      </c>
      <c r="D759" s="34" t="s">
        <v>1448</v>
      </c>
      <c r="E759" s="34" t="s">
        <v>1449</v>
      </c>
      <c r="F759" s="34">
        <v>2015.0</v>
      </c>
      <c r="G759" s="34" t="s">
        <v>1450</v>
      </c>
      <c r="H759" s="34" t="s">
        <v>1431</v>
      </c>
      <c r="I759" s="34" t="s">
        <v>1451</v>
      </c>
      <c r="J759" s="35"/>
      <c r="K759" s="36">
        <v>-38.0</v>
      </c>
      <c r="L759" s="36">
        <v>291.0</v>
      </c>
      <c r="M759" s="36"/>
      <c r="N759" s="36"/>
      <c r="O759" s="36"/>
      <c r="P759" s="52">
        <f t="shared" si="74"/>
        <v>-13.05841924</v>
      </c>
      <c r="Q759" s="36" t="s">
        <v>96</v>
      </c>
      <c r="R759" s="36" t="s">
        <v>96</v>
      </c>
      <c r="S759" s="36" t="s">
        <v>1452</v>
      </c>
      <c r="T759" s="36" t="s">
        <v>284</v>
      </c>
      <c r="U759" s="36" t="s">
        <v>968</v>
      </c>
      <c r="V759" s="36">
        <v>31.0</v>
      </c>
      <c r="W759" s="36"/>
      <c r="X759" s="38">
        <v>1.0</v>
      </c>
      <c r="Y759" s="38" t="s">
        <v>1193</v>
      </c>
      <c r="Z759" s="38" t="s">
        <v>1194</v>
      </c>
      <c r="AA759" s="38" t="s">
        <v>86</v>
      </c>
      <c r="AB759" s="38" t="s">
        <v>1460</v>
      </c>
      <c r="AC759" s="38" t="s">
        <v>1461</v>
      </c>
      <c r="AD759" s="38" t="s">
        <v>736</v>
      </c>
      <c r="AE759" s="38">
        <v>13.0</v>
      </c>
      <c r="AF759" s="38" t="s">
        <v>1197</v>
      </c>
      <c r="AG759" s="38" t="s">
        <v>1462</v>
      </c>
      <c r="AH759" s="38" t="s">
        <v>1463</v>
      </c>
      <c r="AI759" s="50">
        <v>36.07</v>
      </c>
      <c r="AJ759" s="50">
        <v>140.02</v>
      </c>
      <c r="AK759" s="41" t="s">
        <v>362</v>
      </c>
      <c r="AL759" s="40" t="s">
        <v>362</v>
      </c>
      <c r="AM759" s="49">
        <v>16.0</v>
      </c>
      <c r="AN759" s="51">
        <v>16.0</v>
      </c>
      <c r="AO759" s="42" t="s">
        <v>201</v>
      </c>
      <c r="AP759" s="43" t="s">
        <v>201</v>
      </c>
      <c r="AQ759" s="44" t="str">
        <f t="shared" si="60"/>
        <v>CRO</v>
      </c>
      <c r="AR759" s="44">
        <f t="shared" si="3"/>
        <v>16</v>
      </c>
      <c r="AS759" s="44" t="str">
        <f t="shared" si="63"/>
        <v>C</v>
      </c>
      <c r="AT759" s="44" t="str">
        <f t="shared" si="17"/>
        <v>Cf</v>
      </c>
      <c r="AU759" s="44" t="str">
        <f t="shared" si="2"/>
        <v>Cfa</v>
      </c>
      <c r="AV759" s="38">
        <v>2.0</v>
      </c>
      <c r="AW759" s="38">
        <v>1.0</v>
      </c>
      <c r="AX759" s="38">
        <v>100.0</v>
      </c>
      <c r="AY759" s="38" t="s">
        <v>88</v>
      </c>
      <c r="AZ759" s="29">
        <v>30.0</v>
      </c>
      <c r="BA759" s="29"/>
      <c r="BB759" s="29">
        <v>1.0</v>
      </c>
      <c r="BC759" s="29"/>
      <c r="BD759" s="29" t="s">
        <v>88</v>
      </c>
      <c r="BE759" s="29"/>
      <c r="BF759" s="29" t="s">
        <v>984</v>
      </c>
      <c r="BG759" s="29" t="s">
        <v>572</v>
      </c>
      <c r="BH759" s="29" t="s">
        <v>88</v>
      </c>
      <c r="BI759" s="29"/>
      <c r="BJ759" s="29"/>
      <c r="BK759" s="29" t="s">
        <v>180</v>
      </c>
      <c r="BL759" s="29" t="s">
        <v>180</v>
      </c>
      <c r="BM759" s="45"/>
      <c r="BN759" s="45"/>
      <c r="BO759" s="46"/>
      <c r="BP759" s="2"/>
      <c r="BQ759" s="3"/>
    </row>
    <row r="760" ht="15.75" customHeight="1">
      <c r="A760" s="34">
        <v>765.0</v>
      </c>
      <c r="B760" s="34">
        <v>101127.0</v>
      </c>
      <c r="C760" s="34" t="s">
        <v>76</v>
      </c>
      <c r="D760" s="34" t="s">
        <v>1448</v>
      </c>
      <c r="E760" s="34" t="s">
        <v>1449</v>
      </c>
      <c r="F760" s="34">
        <v>2015.0</v>
      </c>
      <c r="G760" s="34" t="s">
        <v>1450</v>
      </c>
      <c r="H760" s="34" t="s">
        <v>1431</v>
      </c>
      <c r="I760" s="34" t="s">
        <v>1451</v>
      </c>
      <c r="J760" s="35"/>
      <c r="K760" s="36">
        <v>131.0</v>
      </c>
      <c r="L760" s="36">
        <v>92.0</v>
      </c>
      <c r="M760" s="36"/>
      <c r="N760" s="36"/>
      <c r="O760" s="36"/>
      <c r="P760" s="86">
        <f>K760*100/L760</f>
        <v>142.3913043</v>
      </c>
      <c r="Q760" s="36" t="s">
        <v>96</v>
      </c>
      <c r="R760" s="36" t="s">
        <v>96</v>
      </c>
      <c r="S760" s="36" t="s">
        <v>1452</v>
      </c>
      <c r="T760" s="36" t="s">
        <v>242</v>
      </c>
      <c r="U760" s="36" t="s">
        <v>244</v>
      </c>
      <c r="V760" s="36">
        <v>10.0</v>
      </c>
      <c r="W760" s="36"/>
      <c r="X760" s="38">
        <v>1.0</v>
      </c>
      <c r="Y760" s="38" t="s">
        <v>1464</v>
      </c>
      <c r="Z760" s="38" t="s">
        <v>1465</v>
      </c>
      <c r="AA760" s="38" t="s">
        <v>86</v>
      </c>
      <c r="AB760" s="38" t="s">
        <v>1435</v>
      </c>
      <c r="AC760" s="38" t="s">
        <v>1436</v>
      </c>
      <c r="AD760" s="38" t="s">
        <v>1250</v>
      </c>
      <c r="AE760" s="53"/>
      <c r="AF760" s="38"/>
      <c r="AG760" s="57"/>
      <c r="AH760" s="38">
        <v>10.0</v>
      </c>
      <c r="AI760" s="50">
        <v>37.16</v>
      </c>
      <c r="AJ760" s="50">
        <v>127.65</v>
      </c>
      <c r="AK760" s="41" t="s">
        <v>86</v>
      </c>
      <c r="AL760" s="40" t="s">
        <v>86</v>
      </c>
      <c r="AM760" s="49">
        <v>65.0</v>
      </c>
      <c r="AN760" s="51">
        <v>65.0</v>
      </c>
      <c r="AO760" s="42" t="s">
        <v>218</v>
      </c>
      <c r="AP760" s="43" t="s">
        <v>218</v>
      </c>
      <c r="AQ760" s="44" t="str">
        <f t="shared" si="60"/>
        <v>CRO</v>
      </c>
      <c r="AR760" s="44">
        <f t="shared" si="3"/>
        <v>65</v>
      </c>
      <c r="AS760" s="44" t="str">
        <f t="shared" si="63"/>
        <v>D</v>
      </c>
      <c r="AT760" s="44" t="str">
        <f t="shared" si="17"/>
        <v>Dw</v>
      </c>
      <c r="AU760" s="44" t="str">
        <f t="shared" si="2"/>
        <v>Dwa</v>
      </c>
      <c r="AV760" s="38">
        <v>1.0</v>
      </c>
      <c r="AW760" s="38">
        <v>1.0</v>
      </c>
      <c r="AX760" s="38">
        <v>100.0</v>
      </c>
      <c r="AY760" s="38" t="s">
        <v>88</v>
      </c>
      <c r="AZ760" s="29">
        <v>30.0</v>
      </c>
      <c r="BA760" s="29"/>
      <c r="BB760" s="29">
        <v>1.0</v>
      </c>
      <c r="BC760" s="29"/>
      <c r="BD760" s="29" t="s">
        <v>88</v>
      </c>
      <c r="BE760" s="29"/>
      <c r="BF760" s="29" t="s">
        <v>984</v>
      </c>
      <c r="BG760" s="29" t="s">
        <v>572</v>
      </c>
      <c r="BH760" s="29" t="s">
        <v>88</v>
      </c>
      <c r="BI760" s="29"/>
      <c r="BJ760" s="29"/>
      <c r="BK760" s="29" t="s">
        <v>180</v>
      </c>
      <c r="BL760" s="29" t="s">
        <v>180</v>
      </c>
      <c r="BM760" s="45"/>
      <c r="BN760" s="45"/>
      <c r="BO760" s="46"/>
      <c r="BP760" s="2"/>
      <c r="BQ760" s="3"/>
    </row>
    <row r="761" ht="15.75" customHeight="1">
      <c r="A761" s="34">
        <v>766.0</v>
      </c>
      <c r="B761" s="34">
        <v>101127.0</v>
      </c>
      <c r="C761" s="34" t="s">
        <v>76</v>
      </c>
      <c r="D761" s="34" t="s">
        <v>1448</v>
      </c>
      <c r="E761" s="34" t="s">
        <v>1449</v>
      </c>
      <c r="F761" s="34">
        <v>2015.0</v>
      </c>
      <c r="G761" s="34" t="s">
        <v>1450</v>
      </c>
      <c r="H761" s="34" t="s">
        <v>1431</v>
      </c>
      <c r="I761" s="34" t="s">
        <v>1451</v>
      </c>
      <c r="J761" s="35"/>
      <c r="K761" s="36">
        <v>51.0</v>
      </c>
      <c r="L761" s="36">
        <v>172.0</v>
      </c>
      <c r="M761" s="36"/>
      <c r="N761" s="36"/>
      <c r="O761" s="36"/>
      <c r="P761" s="52">
        <f t="shared" ref="P761:P787" si="75">K761/L761*100</f>
        <v>29.65116279</v>
      </c>
      <c r="Q761" s="36" t="s">
        <v>96</v>
      </c>
      <c r="R761" s="36" t="s">
        <v>96</v>
      </c>
      <c r="S761" s="36" t="s">
        <v>1452</v>
      </c>
      <c r="T761" s="36" t="s">
        <v>242</v>
      </c>
      <c r="U761" s="36" t="s">
        <v>244</v>
      </c>
      <c r="V761" s="36">
        <v>10.0</v>
      </c>
      <c r="W761" s="36"/>
      <c r="X761" s="38">
        <v>1.0</v>
      </c>
      <c r="Y761" s="38" t="s">
        <v>1464</v>
      </c>
      <c r="Z761" s="38" t="s">
        <v>1465</v>
      </c>
      <c r="AA761" s="38" t="s">
        <v>86</v>
      </c>
      <c r="AB761" s="38" t="s">
        <v>1435</v>
      </c>
      <c r="AC761" s="38" t="s">
        <v>1436</v>
      </c>
      <c r="AD761" s="38" t="s">
        <v>1250</v>
      </c>
      <c r="AE761" s="53"/>
      <c r="AF761" s="38"/>
      <c r="AG761" s="57"/>
      <c r="AH761" s="38">
        <v>10.0</v>
      </c>
      <c r="AI761" s="50">
        <v>37.16</v>
      </c>
      <c r="AJ761" s="50">
        <v>127.65</v>
      </c>
      <c r="AK761" s="41" t="s">
        <v>86</v>
      </c>
      <c r="AL761" s="40" t="s">
        <v>86</v>
      </c>
      <c r="AM761" s="49">
        <v>65.0</v>
      </c>
      <c r="AN761" s="51">
        <v>65.0</v>
      </c>
      <c r="AO761" s="42" t="s">
        <v>218</v>
      </c>
      <c r="AP761" s="43" t="s">
        <v>218</v>
      </c>
      <c r="AQ761" s="44" t="str">
        <f t="shared" si="60"/>
        <v>CRO</v>
      </c>
      <c r="AR761" s="44">
        <f t="shared" si="3"/>
        <v>65</v>
      </c>
      <c r="AS761" s="44" t="str">
        <f t="shared" si="63"/>
        <v>D</v>
      </c>
      <c r="AT761" s="44" t="str">
        <f t="shared" si="17"/>
        <v>Dw</v>
      </c>
      <c r="AU761" s="44" t="str">
        <f t="shared" si="2"/>
        <v>Dwa</v>
      </c>
      <c r="AV761" s="38">
        <v>4.0</v>
      </c>
      <c r="AW761" s="38">
        <v>1.0</v>
      </c>
      <c r="AX761" s="38">
        <v>100.0</v>
      </c>
      <c r="AY761" s="38" t="s">
        <v>88</v>
      </c>
      <c r="AZ761" s="29">
        <v>30.0</v>
      </c>
      <c r="BA761" s="29"/>
      <c r="BB761" s="29">
        <v>1.0</v>
      </c>
      <c r="BC761" s="29"/>
      <c r="BD761" s="29" t="s">
        <v>88</v>
      </c>
      <c r="BE761" s="29"/>
      <c r="BF761" s="29" t="s">
        <v>984</v>
      </c>
      <c r="BG761" s="29" t="s">
        <v>572</v>
      </c>
      <c r="BH761" s="29" t="s">
        <v>88</v>
      </c>
      <c r="BI761" s="29"/>
      <c r="BJ761" s="29"/>
      <c r="BK761" s="29" t="s">
        <v>180</v>
      </c>
      <c r="BL761" s="29" t="s">
        <v>180</v>
      </c>
      <c r="BM761" s="45"/>
      <c r="BN761" s="45"/>
      <c r="BO761" s="46"/>
      <c r="BP761" s="2"/>
      <c r="BQ761" s="3"/>
    </row>
    <row r="762" ht="15.75" customHeight="1">
      <c r="A762" s="34">
        <v>767.0</v>
      </c>
      <c r="B762" s="34">
        <v>101127.0</v>
      </c>
      <c r="C762" s="34" t="s">
        <v>76</v>
      </c>
      <c r="D762" s="34" t="s">
        <v>1448</v>
      </c>
      <c r="E762" s="34" t="s">
        <v>1449</v>
      </c>
      <c r="F762" s="34">
        <v>2015.0</v>
      </c>
      <c r="G762" s="34" t="s">
        <v>1450</v>
      </c>
      <c r="H762" s="34" t="s">
        <v>1431</v>
      </c>
      <c r="I762" s="34" t="s">
        <v>1451</v>
      </c>
      <c r="J762" s="35"/>
      <c r="K762" s="36">
        <v>18.0</v>
      </c>
      <c r="L762" s="36">
        <v>205.0</v>
      </c>
      <c r="M762" s="36"/>
      <c r="N762" s="36"/>
      <c r="O762" s="36"/>
      <c r="P762" s="52">
        <f t="shared" si="75"/>
        <v>8.780487805</v>
      </c>
      <c r="Q762" s="36" t="s">
        <v>96</v>
      </c>
      <c r="R762" s="36" t="s">
        <v>96</v>
      </c>
      <c r="S762" s="36" t="s">
        <v>1452</v>
      </c>
      <c r="T762" s="36" t="s">
        <v>242</v>
      </c>
      <c r="U762" s="36" t="s">
        <v>244</v>
      </c>
      <c r="V762" s="36">
        <v>10.0</v>
      </c>
      <c r="W762" s="36"/>
      <c r="X762" s="38">
        <v>1.0</v>
      </c>
      <c r="Y762" s="38" t="s">
        <v>1464</v>
      </c>
      <c r="Z762" s="38" t="s">
        <v>1465</v>
      </c>
      <c r="AA762" s="38" t="s">
        <v>86</v>
      </c>
      <c r="AB762" s="38" t="s">
        <v>1435</v>
      </c>
      <c r="AC762" s="38" t="s">
        <v>1436</v>
      </c>
      <c r="AD762" s="38" t="s">
        <v>1250</v>
      </c>
      <c r="AE762" s="53"/>
      <c r="AF762" s="38"/>
      <c r="AG762" s="57"/>
      <c r="AH762" s="38">
        <v>10.0</v>
      </c>
      <c r="AI762" s="50">
        <v>37.16</v>
      </c>
      <c r="AJ762" s="50">
        <v>127.65</v>
      </c>
      <c r="AK762" s="41" t="s">
        <v>86</v>
      </c>
      <c r="AL762" s="40" t="s">
        <v>86</v>
      </c>
      <c r="AM762" s="49">
        <v>65.0</v>
      </c>
      <c r="AN762" s="51">
        <v>65.0</v>
      </c>
      <c r="AO762" s="42" t="s">
        <v>218</v>
      </c>
      <c r="AP762" s="43" t="s">
        <v>218</v>
      </c>
      <c r="AQ762" s="44" t="str">
        <f t="shared" si="60"/>
        <v>CRO</v>
      </c>
      <c r="AR762" s="44">
        <f t="shared" si="3"/>
        <v>65</v>
      </c>
      <c r="AS762" s="44" t="str">
        <f t="shared" si="63"/>
        <v>D</v>
      </c>
      <c r="AT762" s="44" t="str">
        <f t="shared" si="17"/>
        <v>Dw</v>
      </c>
      <c r="AU762" s="44" t="str">
        <f t="shared" si="2"/>
        <v>Dwa</v>
      </c>
      <c r="AV762" s="38">
        <v>3.0</v>
      </c>
      <c r="AW762" s="38">
        <v>1.0</v>
      </c>
      <c r="AX762" s="38">
        <v>100.0</v>
      </c>
      <c r="AY762" s="38" t="s">
        <v>88</v>
      </c>
      <c r="AZ762" s="29">
        <v>30.0</v>
      </c>
      <c r="BA762" s="29"/>
      <c r="BB762" s="29">
        <v>1.0</v>
      </c>
      <c r="BC762" s="29"/>
      <c r="BD762" s="29" t="s">
        <v>88</v>
      </c>
      <c r="BE762" s="29"/>
      <c r="BF762" s="29" t="s">
        <v>984</v>
      </c>
      <c r="BG762" s="29" t="s">
        <v>572</v>
      </c>
      <c r="BH762" s="29" t="s">
        <v>88</v>
      </c>
      <c r="BI762" s="29"/>
      <c r="BJ762" s="29"/>
      <c r="BK762" s="29" t="s">
        <v>180</v>
      </c>
      <c r="BL762" s="29" t="s">
        <v>180</v>
      </c>
      <c r="BM762" s="45"/>
      <c r="BN762" s="45"/>
      <c r="BO762" s="46"/>
      <c r="BP762" s="2"/>
      <c r="BQ762" s="3"/>
    </row>
    <row r="763" ht="15.75" customHeight="1">
      <c r="A763" s="34">
        <v>768.0</v>
      </c>
      <c r="B763" s="34">
        <v>101127.0</v>
      </c>
      <c r="C763" s="34" t="s">
        <v>76</v>
      </c>
      <c r="D763" s="34" t="s">
        <v>1448</v>
      </c>
      <c r="E763" s="34" t="s">
        <v>1449</v>
      </c>
      <c r="F763" s="34">
        <v>2015.0</v>
      </c>
      <c r="G763" s="34" t="s">
        <v>1450</v>
      </c>
      <c r="H763" s="34" t="s">
        <v>1431</v>
      </c>
      <c r="I763" s="34" t="s">
        <v>1451</v>
      </c>
      <c r="J763" s="35"/>
      <c r="K763" s="36">
        <v>-116.0</v>
      </c>
      <c r="L763" s="36">
        <v>339.0</v>
      </c>
      <c r="M763" s="36"/>
      <c r="N763" s="36"/>
      <c r="O763" s="36"/>
      <c r="P763" s="52">
        <f t="shared" si="75"/>
        <v>-34.21828909</v>
      </c>
      <c r="Q763" s="36" t="s">
        <v>96</v>
      </c>
      <c r="R763" s="36" t="s">
        <v>96</v>
      </c>
      <c r="S763" s="36" t="s">
        <v>1452</v>
      </c>
      <c r="T763" s="36" t="s">
        <v>242</v>
      </c>
      <c r="U763" s="36" t="s">
        <v>244</v>
      </c>
      <c r="V763" s="36">
        <v>10.0</v>
      </c>
      <c r="W763" s="36"/>
      <c r="X763" s="38">
        <v>1.0</v>
      </c>
      <c r="Y763" s="38" t="s">
        <v>1464</v>
      </c>
      <c r="Z763" s="38" t="s">
        <v>1465</v>
      </c>
      <c r="AA763" s="38" t="s">
        <v>86</v>
      </c>
      <c r="AB763" s="38" t="s">
        <v>1435</v>
      </c>
      <c r="AC763" s="38" t="s">
        <v>1436</v>
      </c>
      <c r="AD763" s="38" t="s">
        <v>1250</v>
      </c>
      <c r="AE763" s="53"/>
      <c r="AF763" s="38"/>
      <c r="AG763" s="57"/>
      <c r="AH763" s="38">
        <v>10.0</v>
      </c>
      <c r="AI763" s="50">
        <v>37.16</v>
      </c>
      <c r="AJ763" s="50">
        <v>127.65</v>
      </c>
      <c r="AK763" s="41" t="s">
        <v>86</v>
      </c>
      <c r="AL763" s="40" t="s">
        <v>86</v>
      </c>
      <c r="AM763" s="49">
        <v>65.0</v>
      </c>
      <c r="AN763" s="51">
        <v>65.0</v>
      </c>
      <c r="AO763" s="42" t="s">
        <v>218</v>
      </c>
      <c r="AP763" s="43" t="s">
        <v>218</v>
      </c>
      <c r="AQ763" s="44" t="str">
        <f t="shared" si="60"/>
        <v>CRO</v>
      </c>
      <c r="AR763" s="44">
        <f t="shared" si="3"/>
        <v>65</v>
      </c>
      <c r="AS763" s="44" t="str">
        <f t="shared" si="63"/>
        <v>D</v>
      </c>
      <c r="AT763" s="44" t="str">
        <f t="shared" si="17"/>
        <v>Dw</v>
      </c>
      <c r="AU763" s="44" t="str">
        <f t="shared" si="2"/>
        <v>Dwa</v>
      </c>
      <c r="AV763" s="38">
        <v>2.0</v>
      </c>
      <c r="AW763" s="38">
        <v>1.0</v>
      </c>
      <c r="AX763" s="38">
        <v>100.0</v>
      </c>
      <c r="AY763" s="38" t="s">
        <v>88</v>
      </c>
      <c r="AZ763" s="29">
        <v>30.0</v>
      </c>
      <c r="BA763" s="29"/>
      <c r="BB763" s="29">
        <v>1.0</v>
      </c>
      <c r="BC763" s="29"/>
      <c r="BD763" s="29" t="s">
        <v>88</v>
      </c>
      <c r="BE763" s="29"/>
      <c r="BF763" s="29" t="s">
        <v>984</v>
      </c>
      <c r="BG763" s="29" t="s">
        <v>572</v>
      </c>
      <c r="BH763" s="29" t="s">
        <v>88</v>
      </c>
      <c r="BI763" s="29"/>
      <c r="BJ763" s="29"/>
      <c r="BK763" s="29" t="s">
        <v>180</v>
      </c>
      <c r="BL763" s="29" t="s">
        <v>180</v>
      </c>
      <c r="BM763" s="45"/>
      <c r="BN763" s="45"/>
      <c r="BO763" s="46"/>
      <c r="BP763" s="2"/>
      <c r="BQ763" s="3"/>
    </row>
    <row r="764" ht="15.75" customHeight="1">
      <c r="A764" s="34">
        <v>769.0</v>
      </c>
      <c r="B764" s="34">
        <v>101127.0</v>
      </c>
      <c r="C764" s="34" t="s">
        <v>76</v>
      </c>
      <c r="D764" s="34" t="s">
        <v>1448</v>
      </c>
      <c r="E764" s="34" t="s">
        <v>1449</v>
      </c>
      <c r="F764" s="34">
        <v>2015.0</v>
      </c>
      <c r="G764" s="34" t="s">
        <v>1450</v>
      </c>
      <c r="H764" s="34" t="s">
        <v>1431</v>
      </c>
      <c r="I764" s="34" t="s">
        <v>1451</v>
      </c>
      <c r="J764" s="35"/>
      <c r="K764" s="36">
        <v>103.0</v>
      </c>
      <c r="L764" s="36">
        <v>111.0</v>
      </c>
      <c r="M764" s="36"/>
      <c r="N764" s="36"/>
      <c r="O764" s="36"/>
      <c r="P764" s="52">
        <f t="shared" si="75"/>
        <v>92.79279279</v>
      </c>
      <c r="Q764" s="36" t="s">
        <v>96</v>
      </c>
      <c r="R764" s="36" t="s">
        <v>96</v>
      </c>
      <c r="S764" s="36" t="s">
        <v>1452</v>
      </c>
      <c r="T764" s="36" t="s">
        <v>284</v>
      </c>
      <c r="U764" s="36" t="s">
        <v>244</v>
      </c>
      <c r="V764" s="36">
        <v>90.0</v>
      </c>
      <c r="W764" s="36"/>
      <c r="X764" s="38">
        <v>4.0</v>
      </c>
      <c r="Y764" s="38" t="s">
        <v>1466</v>
      </c>
      <c r="Z764" s="38"/>
      <c r="AA764" s="38"/>
      <c r="AB764" s="38"/>
      <c r="AC764" s="38"/>
      <c r="AD764" s="38" t="s">
        <v>1467</v>
      </c>
      <c r="AE764" s="38"/>
      <c r="AF764" s="38"/>
      <c r="AG764" s="38"/>
      <c r="AH764" s="38"/>
      <c r="AI764" s="50"/>
      <c r="AJ764" s="50"/>
      <c r="AK764" s="41"/>
      <c r="AL764" s="40"/>
      <c r="AM764" s="49"/>
      <c r="AN764" s="43"/>
      <c r="AO764" s="42"/>
      <c r="AP764" s="43"/>
      <c r="AQ764" s="44" t="str">
        <f t="shared" si="60"/>
        <v/>
      </c>
      <c r="AR764" s="44" t="str">
        <f t="shared" si="3"/>
        <v/>
      </c>
      <c r="AS764" s="44"/>
      <c r="AT764" s="44" t="str">
        <f t="shared" si="17"/>
        <v/>
      </c>
      <c r="AU764" s="44" t="str">
        <f t="shared" si="2"/>
        <v/>
      </c>
      <c r="AV764" s="38">
        <v>1.0</v>
      </c>
      <c r="AW764" s="38">
        <v>1.0</v>
      </c>
      <c r="AX764" s="38">
        <v>100.0</v>
      </c>
      <c r="AY764" s="38" t="s">
        <v>88</v>
      </c>
      <c r="AZ764" s="29">
        <v>30.0</v>
      </c>
      <c r="BA764" s="29"/>
      <c r="BB764" s="29">
        <v>1.0</v>
      </c>
      <c r="BC764" s="29"/>
      <c r="BD764" s="29" t="s">
        <v>88</v>
      </c>
      <c r="BE764" s="29"/>
      <c r="BF764" s="29" t="s">
        <v>984</v>
      </c>
      <c r="BG764" s="29" t="s">
        <v>572</v>
      </c>
      <c r="BH764" s="29" t="s">
        <v>88</v>
      </c>
      <c r="BI764" s="29"/>
      <c r="BJ764" s="29"/>
      <c r="BK764" s="29" t="s">
        <v>180</v>
      </c>
      <c r="BL764" s="29" t="s">
        <v>180</v>
      </c>
      <c r="BM764" s="45"/>
      <c r="BN764" s="45"/>
      <c r="BO764" s="46"/>
      <c r="BP764" s="2"/>
      <c r="BQ764" s="3"/>
    </row>
    <row r="765" ht="15.75" customHeight="1">
      <c r="A765" s="34">
        <v>770.0</v>
      </c>
      <c r="B765" s="34">
        <v>101127.0</v>
      </c>
      <c r="C765" s="34" t="s">
        <v>76</v>
      </c>
      <c r="D765" s="34" t="s">
        <v>1448</v>
      </c>
      <c r="E765" s="34" t="s">
        <v>1449</v>
      </c>
      <c r="F765" s="34">
        <v>2015.0</v>
      </c>
      <c r="G765" s="34" t="s">
        <v>1450</v>
      </c>
      <c r="H765" s="34" t="s">
        <v>1431</v>
      </c>
      <c r="I765" s="34" t="s">
        <v>1451</v>
      </c>
      <c r="J765" s="35"/>
      <c r="K765" s="36">
        <v>36.0</v>
      </c>
      <c r="L765" s="36">
        <v>178.0</v>
      </c>
      <c r="M765" s="36"/>
      <c r="N765" s="36"/>
      <c r="O765" s="36"/>
      <c r="P765" s="52">
        <f t="shared" si="75"/>
        <v>20.2247191</v>
      </c>
      <c r="Q765" s="36" t="s">
        <v>96</v>
      </c>
      <c r="R765" s="36" t="s">
        <v>96</v>
      </c>
      <c r="S765" s="36" t="s">
        <v>1452</v>
      </c>
      <c r="T765" s="36" t="s">
        <v>284</v>
      </c>
      <c r="U765" s="36" t="s">
        <v>244</v>
      </c>
      <c r="V765" s="36">
        <v>90.0</v>
      </c>
      <c r="W765" s="36"/>
      <c r="X765" s="38">
        <v>4.0</v>
      </c>
      <c r="Y765" s="38" t="s">
        <v>1466</v>
      </c>
      <c r="Z765" s="38"/>
      <c r="AA765" s="38"/>
      <c r="AB765" s="38"/>
      <c r="AC765" s="38"/>
      <c r="AD765" s="38" t="s">
        <v>1467</v>
      </c>
      <c r="AE765" s="38"/>
      <c r="AF765" s="38"/>
      <c r="AG765" s="38"/>
      <c r="AH765" s="38"/>
      <c r="AI765" s="50"/>
      <c r="AJ765" s="50"/>
      <c r="AK765" s="41"/>
      <c r="AL765" s="40"/>
      <c r="AM765" s="49"/>
      <c r="AN765" s="43"/>
      <c r="AO765" s="42"/>
      <c r="AP765" s="43"/>
      <c r="AQ765" s="44" t="str">
        <f t="shared" si="60"/>
        <v/>
      </c>
      <c r="AR765" s="44" t="str">
        <f t="shared" si="3"/>
        <v/>
      </c>
      <c r="AS765" s="44"/>
      <c r="AT765" s="44" t="str">
        <f t="shared" si="17"/>
        <v/>
      </c>
      <c r="AU765" s="44" t="str">
        <f t="shared" si="2"/>
        <v/>
      </c>
      <c r="AV765" s="38">
        <v>4.0</v>
      </c>
      <c r="AW765" s="38">
        <v>1.0</v>
      </c>
      <c r="AX765" s="38">
        <v>100.0</v>
      </c>
      <c r="AY765" s="38" t="s">
        <v>88</v>
      </c>
      <c r="AZ765" s="29">
        <v>30.0</v>
      </c>
      <c r="BA765" s="29"/>
      <c r="BB765" s="29">
        <v>1.0</v>
      </c>
      <c r="BC765" s="29"/>
      <c r="BD765" s="29" t="s">
        <v>88</v>
      </c>
      <c r="BE765" s="29"/>
      <c r="BF765" s="29" t="s">
        <v>984</v>
      </c>
      <c r="BG765" s="29" t="s">
        <v>572</v>
      </c>
      <c r="BH765" s="29" t="s">
        <v>88</v>
      </c>
      <c r="BI765" s="29"/>
      <c r="BJ765" s="29"/>
      <c r="BK765" s="29" t="s">
        <v>180</v>
      </c>
      <c r="BL765" s="29" t="s">
        <v>180</v>
      </c>
      <c r="BM765" s="45"/>
      <c r="BN765" s="45"/>
      <c r="BO765" s="46"/>
      <c r="BP765" s="2"/>
      <c r="BQ765" s="3"/>
    </row>
    <row r="766" ht="15.75" customHeight="1">
      <c r="A766" s="34">
        <v>771.0</v>
      </c>
      <c r="B766" s="34">
        <v>101127.0</v>
      </c>
      <c r="C766" s="34" t="s">
        <v>76</v>
      </c>
      <c r="D766" s="34" t="s">
        <v>1448</v>
      </c>
      <c r="E766" s="34" t="s">
        <v>1449</v>
      </c>
      <c r="F766" s="34">
        <v>2015.0</v>
      </c>
      <c r="G766" s="34" t="s">
        <v>1450</v>
      </c>
      <c r="H766" s="34" t="s">
        <v>1431</v>
      </c>
      <c r="I766" s="34" t="s">
        <v>1451</v>
      </c>
      <c r="J766" s="35"/>
      <c r="K766" s="36">
        <v>23.0</v>
      </c>
      <c r="L766" s="36">
        <v>191.0</v>
      </c>
      <c r="M766" s="36"/>
      <c r="N766" s="36"/>
      <c r="O766" s="36"/>
      <c r="P766" s="52">
        <f t="shared" si="75"/>
        <v>12.04188482</v>
      </c>
      <c r="Q766" s="36" t="s">
        <v>96</v>
      </c>
      <c r="R766" s="36" t="s">
        <v>96</v>
      </c>
      <c r="S766" s="36" t="s">
        <v>1452</v>
      </c>
      <c r="T766" s="36" t="s">
        <v>284</v>
      </c>
      <c r="U766" s="36" t="s">
        <v>244</v>
      </c>
      <c r="V766" s="36">
        <v>90.0</v>
      </c>
      <c r="W766" s="36"/>
      <c r="X766" s="38">
        <v>4.0</v>
      </c>
      <c r="Y766" s="38" t="s">
        <v>1466</v>
      </c>
      <c r="Z766" s="38"/>
      <c r="AA766" s="38"/>
      <c r="AB766" s="38"/>
      <c r="AC766" s="38"/>
      <c r="AD766" s="38" t="s">
        <v>1467</v>
      </c>
      <c r="AE766" s="38"/>
      <c r="AF766" s="38"/>
      <c r="AG766" s="38"/>
      <c r="AH766" s="38"/>
      <c r="AI766" s="50"/>
      <c r="AJ766" s="50"/>
      <c r="AK766" s="41"/>
      <c r="AL766" s="40"/>
      <c r="AM766" s="49"/>
      <c r="AN766" s="43"/>
      <c r="AO766" s="42"/>
      <c r="AP766" s="43"/>
      <c r="AQ766" s="44" t="str">
        <f t="shared" si="60"/>
        <v/>
      </c>
      <c r="AR766" s="44" t="str">
        <f t="shared" si="3"/>
        <v/>
      </c>
      <c r="AS766" s="44"/>
      <c r="AT766" s="44" t="str">
        <f t="shared" si="17"/>
        <v/>
      </c>
      <c r="AU766" s="44" t="str">
        <f t="shared" si="2"/>
        <v/>
      </c>
      <c r="AV766" s="38">
        <v>3.0</v>
      </c>
      <c r="AW766" s="38">
        <v>1.0</v>
      </c>
      <c r="AX766" s="38">
        <v>100.0</v>
      </c>
      <c r="AY766" s="38" t="s">
        <v>88</v>
      </c>
      <c r="AZ766" s="29">
        <v>30.0</v>
      </c>
      <c r="BA766" s="29"/>
      <c r="BB766" s="29">
        <v>1.0</v>
      </c>
      <c r="BC766" s="29"/>
      <c r="BD766" s="29" t="s">
        <v>88</v>
      </c>
      <c r="BE766" s="29"/>
      <c r="BF766" s="29" t="s">
        <v>984</v>
      </c>
      <c r="BG766" s="29" t="s">
        <v>572</v>
      </c>
      <c r="BH766" s="29" t="s">
        <v>88</v>
      </c>
      <c r="BI766" s="29"/>
      <c r="BJ766" s="29"/>
      <c r="BK766" s="29" t="s">
        <v>180</v>
      </c>
      <c r="BL766" s="29" t="s">
        <v>180</v>
      </c>
      <c r="BM766" s="45"/>
      <c r="BN766" s="45"/>
      <c r="BO766" s="46"/>
      <c r="BP766" s="2"/>
      <c r="BQ766" s="3"/>
    </row>
    <row r="767" ht="15.75" customHeight="1">
      <c r="A767" s="34">
        <v>772.0</v>
      </c>
      <c r="B767" s="34">
        <v>101127.0</v>
      </c>
      <c r="C767" s="34" t="s">
        <v>76</v>
      </c>
      <c r="D767" s="34" t="s">
        <v>1448</v>
      </c>
      <c r="E767" s="34" t="s">
        <v>1449</v>
      </c>
      <c r="F767" s="34">
        <v>2015.0</v>
      </c>
      <c r="G767" s="34" t="s">
        <v>1450</v>
      </c>
      <c r="H767" s="34" t="s">
        <v>1431</v>
      </c>
      <c r="I767" s="34" t="s">
        <v>1451</v>
      </c>
      <c r="J767" s="35"/>
      <c r="K767" s="36">
        <v>-76.0</v>
      </c>
      <c r="L767" s="36">
        <v>290.0</v>
      </c>
      <c r="M767" s="36"/>
      <c r="N767" s="36"/>
      <c r="O767" s="36"/>
      <c r="P767" s="52">
        <f t="shared" si="75"/>
        <v>-26.20689655</v>
      </c>
      <c r="Q767" s="36" t="s">
        <v>96</v>
      </c>
      <c r="R767" s="36" t="s">
        <v>96</v>
      </c>
      <c r="S767" s="36" t="s">
        <v>1452</v>
      </c>
      <c r="T767" s="36" t="s">
        <v>284</v>
      </c>
      <c r="U767" s="36" t="s">
        <v>244</v>
      </c>
      <c r="V767" s="36">
        <v>90.0</v>
      </c>
      <c r="W767" s="36"/>
      <c r="X767" s="38">
        <v>4.0</v>
      </c>
      <c r="Y767" s="38" t="s">
        <v>1466</v>
      </c>
      <c r="Z767" s="38"/>
      <c r="AA767" s="38"/>
      <c r="AB767" s="38"/>
      <c r="AC767" s="38"/>
      <c r="AD767" s="38" t="s">
        <v>1467</v>
      </c>
      <c r="AE767" s="38"/>
      <c r="AF767" s="38"/>
      <c r="AG767" s="38"/>
      <c r="AH767" s="38"/>
      <c r="AI767" s="50"/>
      <c r="AJ767" s="50"/>
      <c r="AK767" s="41"/>
      <c r="AL767" s="40"/>
      <c r="AM767" s="49"/>
      <c r="AN767" s="43"/>
      <c r="AO767" s="42"/>
      <c r="AP767" s="43"/>
      <c r="AQ767" s="44" t="str">
        <f t="shared" si="60"/>
        <v/>
      </c>
      <c r="AR767" s="44" t="str">
        <f t="shared" si="3"/>
        <v/>
      </c>
      <c r="AS767" s="44"/>
      <c r="AT767" s="44" t="str">
        <f t="shared" si="17"/>
        <v/>
      </c>
      <c r="AU767" s="44" t="str">
        <f t="shared" si="2"/>
        <v/>
      </c>
      <c r="AV767" s="38">
        <v>2.0</v>
      </c>
      <c r="AW767" s="38">
        <v>1.0</v>
      </c>
      <c r="AX767" s="38">
        <v>100.0</v>
      </c>
      <c r="AY767" s="38" t="s">
        <v>88</v>
      </c>
      <c r="AZ767" s="29">
        <v>30.0</v>
      </c>
      <c r="BA767" s="29"/>
      <c r="BB767" s="29">
        <v>1.0</v>
      </c>
      <c r="BC767" s="29"/>
      <c r="BD767" s="29" t="s">
        <v>88</v>
      </c>
      <c r="BE767" s="29"/>
      <c r="BF767" s="29" t="s">
        <v>984</v>
      </c>
      <c r="BG767" s="29" t="s">
        <v>572</v>
      </c>
      <c r="BH767" s="29" t="s">
        <v>88</v>
      </c>
      <c r="BI767" s="29"/>
      <c r="BJ767" s="29"/>
      <c r="BK767" s="29" t="s">
        <v>180</v>
      </c>
      <c r="BL767" s="29" t="s">
        <v>180</v>
      </c>
      <c r="BM767" s="45"/>
      <c r="BN767" s="45"/>
      <c r="BO767" s="46"/>
      <c r="BP767" s="2"/>
      <c r="BQ767" s="3"/>
    </row>
    <row r="768" ht="15.75" customHeight="1">
      <c r="A768" s="34">
        <v>773.0</v>
      </c>
      <c r="B768" s="34">
        <v>101127.0</v>
      </c>
      <c r="C768" s="34" t="s">
        <v>76</v>
      </c>
      <c r="D768" s="34" t="s">
        <v>1448</v>
      </c>
      <c r="E768" s="34" t="s">
        <v>1449</v>
      </c>
      <c r="F768" s="34">
        <v>2015.0</v>
      </c>
      <c r="G768" s="34" t="s">
        <v>1450</v>
      </c>
      <c r="H768" s="34" t="s">
        <v>1431</v>
      </c>
      <c r="I768" s="34" t="s">
        <v>1451</v>
      </c>
      <c r="J768" s="35"/>
      <c r="K768" s="36">
        <v>144.0</v>
      </c>
      <c r="L768" s="36">
        <v>157.0</v>
      </c>
      <c r="M768" s="36"/>
      <c r="N768" s="36"/>
      <c r="O768" s="36"/>
      <c r="P768" s="52">
        <f t="shared" si="75"/>
        <v>91.71974522</v>
      </c>
      <c r="Q768" s="36" t="s">
        <v>96</v>
      </c>
      <c r="R768" s="36" t="s">
        <v>96</v>
      </c>
      <c r="S768" s="36" t="s">
        <v>1452</v>
      </c>
      <c r="T768" s="36" t="s">
        <v>284</v>
      </c>
      <c r="U768" s="36" t="s">
        <v>968</v>
      </c>
      <c r="V768" s="36">
        <v>20.0</v>
      </c>
      <c r="W768" s="36"/>
      <c r="X768" s="87">
        <v>1.0</v>
      </c>
      <c r="Y768" s="38" t="s">
        <v>593</v>
      </c>
      <c r="Z768" s="38" t="s">
        <v>594</v>
      </c>
      <c r="AA768" s="38" t="s">
        <v>288</v>
      </c>
      <c r="AB768" s="38" t="s">
        <v>1453</v>
      </c>
      <c r="AC768" s="38" t="s">
        <v>1454</v>
      </c>
      <c r="AD768" s="38" t="s">
        <v>198</v>
      </c>
      <c r="AE768" s="38">
        <v>3250.0</v>
      </c>
      <c r="AF768" s="38" t="s">
        <v>1341</v>
      </c>
      <c r="AG768" s="38" t="s">
        <v>1455</v>
      </c>
      <c r="AH768" s="38">
        <v>2.2</v>
      </c>
      <c r="AI768" s="50">
        <v>37.61</v>
      </c>
      <c r="AJ768" s="50">
        <v>101.33</v>
      </c>
      <c r="AK768" s="41" t="s">
        <v>288</v>
      </c>
      <c r="AL768" s="40" t="s">
        <v>288</v>
      </c>
      <c r="AM768" s="49">
        <v>3201.0</v>
      </c>
      <c r="AN768" s="51">
        <v>3201.0</v>
      </c>
      <c r="AO768" s="42" t="s">
        <v>597</v>
      </c>
      <c r="AP768" s="43" t="s">
        <v>597</v>
      </c>
      <c r="AQ768" s="44" t="str">
        <f t="shared" si="60"/>
        <v>GRA</v>
      </c>
      <c r="AR768" s="44">
        <f t="shared" si="3"/>
        <v>3201</v>
      </c>
      <c r="AS768" s="44" t="str">
        <f t="shared" ref="AS768:AS783" si="76">LEFT(AO768,1)</f>
        <v>D</v>
      </c>
      <c r="AT768" s="44" t="str">
        <f t="shared" si="17"/>
        <v>Dw</v>
      </c>
      <c r="AU768" s="44" t="str">
        <f t="shared" si="2"/>
        <v>Dwc</v>
      </c>
      <c r="AV768" s="38">
        <v>1.0</v>
      </c>
      <c r="AW768" s="38">
        <v>1.0</v>
      </c>
      <c r="AX768" s="38">
        <v>100.0</v>
      </c>
      <c r="AY768" s="38" t="s">
        <v>88</v>
      </c>
      <c r="AZ768" s="29">
        <v>30.0</v>
      </c>
      <c r="BA768" s="29"/>
      <c r="BB768" s="29">
        <v>1.0</v>
      </c>
      <c r="BC768" s="29"/>
      <c r="BD768" s="29" t="s">
        <v>88</v>
      </c>
      <c r="BE768" s="29"/>
      <c r="BF768" s="29" t="s">
        <v>936</v>
      </c>
      <c r="BG768" s="29" t="s">
        <v>572</v>
      </c>
      <c r="BH768" s="29" t="s">
        <v>88</v>
      </c>
      <c r="BI768" s="29"/>
      <c r="BJ768" s="29"/>
      <c r="BK768" s="29" t="s">
        <v>180</v>
      </c>
      <c r="BL768" s="29" t="s">
        <v>180</v>
      </c>
      <c r="BM768" s="45"/>
      <c r="BN768" s="45"/>
      <c r="BO768" s="46"/>
      <c r="BP768" s="2" t="s">
        <v>1468</v>
      </c>
      <c r="BQ768" s="3"/>
    </row>
    <row r="769" ht="15.75" customHeight="1">
      <c r="A769" s="34">
        <v>774.0</v>
      </c>
      <c r="B769" s="34">
        <v>101127.0</v>
      </c>
      <c r="C769" s="34" t="s">
        <v>76</v>
      </c>
      <c r="D769" s="34" t="s">
        <v>1448</v>
      </c>
      <c r="E769" s="34" t="s">
        <v>1449</v>
      </c>
      <c r="F769" s="34">
        <v>2015.0</v>
      </c>
      <c r="G769" s="34" t="s">
        <v>1450</v>
      </c>
      <c r="H769" s="34" t="s">
        <v>1431</v>
      </c>
      <c r="I769" s="34" t="s">
        <v>1451</v>
      </c>
      <c r="J769" s="35"/>
      <c r="K769" s="36">
        <v>29.0</v>
      </c>
      <c r="L769" s="36">
        <v>273.0</v>
      </c>
      <c r="M769" s="36"/>
      <c r="N769" s="36"/>
      <c r="O769" s="36"/>
      <c r="P769" s="52">
        <f t="shared" si="75"/>
        <v>10.62271062</v>
      </c>
      <c r="Q769" s="36" t="s">
        <v>96</v>
      </c>
      <c r="R769" s="36" t="s">
        <v>96</v>
      </c>
      <c r="S769" s="36" t="s">
        <v>1452</v>
      </c>
      <c r="T769" s="36" t="s">
        <v>284</v>
      </c>
      <c r="U769" s="36" t="s">
        <v>968</v>
      </c>
      <c r="V769" s="36">
        <v>20.0</v>
      </c>
      <c r="W769" s="36"/>
      <c r="X769" s="87">
        <v>1.0</v>
      </c>
      <c r="Y769" s="38" t="s">
        <v>593</v>
      </c>
      <c r="Z769" s="38" t="s">
        <v>594</v>
      </c>
      <c r="AA769" s="38" t="s">
        <v>288</v>
      </c>
      <c r="AB769" s="38" t="s">
        <v>1453</v>
      </c>
      <c r="AC769" s="38" t="s">
        <v>1454</v>
      </c>
      <c r="AD769" s="38" t="s">
        <v>198</v>
      </c>
      <c r="AE769" s="38">
        <v>3250.0</v>
      </c>
      <c r="AF769" s="38" t="s">
        <v>1341</v>
      </c>
      <c r="AG769" s="38" t="s">
        <v>1455</v>
      </c>
      <c r="AH769" s="38">
        <v>2.2</v>
      </c>
      <c r="AI769" s="50">
        <v>37.61</v>
      </c>
      <c r="AJ769" s="50">
        <v>101.33</v>
      </c>
      <c r="AK769" s="41" t="s">
        <v>288</v>
      </c>
      <c r="AL769" s="40" t="s">
        <v>288</v>
      </c>
      <c r="AM769" s="49">
        <v>3201.0</v>
      </c>
      <c r="AN769" s="51">
        <v>3201.0</v>
      </c>
      <c r="AO769" s="42" t="s">
        <v>597</v>
      </c>
      <c r="AP769" s="43" t="s">
        <v>597</v>
      </c>
      <c r="AQ769" s="44" t="str">
        <f t="shared" si="60"/>
        <v>GRA</v>
      </c>
      <c r="AR769" s="44">
        <f t="shared" si="3"/>
        <v>3201</v>
      </c>
      <c r="AS769" s="44" t="str">
        <f t="shared" si="76"/>
        <v>D</v>
      </c>
      <c r="AT769" s="44" t="str">
        <f t="shared" si="17"/>
        <v>Dw</v>
      </c>
      <c r="AU769" s="44" t="str">
        <f t="shared" si="2"/>
        <v>Dwc</v>
      </c>
      <c r="AV769" s="38">
        <v>4.0</v>
      </c>
      <c r="AW769" s="38">
        <v>1.0</v>
      </c>
      <c r="AX769" s="38">
        <v>100.0</v>
      </c>
      <c r="AY769" s="38" t="s">
        <v>88</v>
      </c>
      <c r="AZ769" s="29">
        <v>30.0</v>
      </c>
      <c r="BA769" s="29"/>
      <c r="BB769" s="29">
        <v>1.0</v>
      </c>
      <c r="BC769" s="29"/>
      <c r="BD769" s="29" t="s">
        <v>88</v>
      </c>
      <c r="BE769" s="29"/>
      <c r="BF769" s="29" t="s">
        <v>936</v>
      </c>
      <c r="BG769" s="29" t="s">
        <v>572</v>
      </c>
      <c r="BH769" s="29" t="s">
        <v>88</v>
      </c>
      <c r="BI769" s="29"/>
      <c r="BJ769" s="29"/>
      <c r="BK769" s="29" t="s">
        <v>180</v>
      </c>
      <c r="BL769" s="29" t="s">
        <v>180</v>
      </c>
      <c r="BM769" s="45"/>
      <c r="BN769" s="45"/>
      <c r="BO769" s="46"/>
      <c r="BP769" s="2"/>
      <c r="BQ769" s="3"/>
    </row>
    <row r="770" ht="15.75" customHeight="1">
      <c r="A770" s="34">
        <v>775.0</v>
      </c>
      <c r="B770" s="34">
        <v>101127.0</v>
      </c>
      <c r="C770" s="34" t="s">
        <v>76</v>
      </c>
      <c r="D770" s="34" t="s">
        <v>1448</v>
      </c>
      <c r="E770" s="34" t="s">
        <v>1449</v>
      </c>
      <c r="F770" s="34">
        <v>2015.0</v>
      </c>
      <c r="G770" s="34" t="s">
        <v>1450</v>
      </c>
      <c r="H770" s="34" t="s">
        <v>1431</v>
      </c>
      <c r="I770" s="34" t="s">
        <v>1451</v>
      </c>
      <c r="J770" s="35"/>
      <c r="K770" s="36">
        <v>75.0</v>
      </c>
      <c r="L770" s="36">
        <v>226.0</v>
      </c>
      <c r="M770" s="36"/>
      <c r="N770" s="36"/>
      <c r="O770" s="36"/>
      <c r="P770" s="52">
        <f t="shared" si="75"/>
        <v>33.18584071</v>
      </c>
      <c r="Q770" s="36" t="s">
        <v>96</v>
      </c>
      <c r="R770" s="36" t="s">
        <v>96</v>
      </c>
      <c r="S770" s="36" t="s">
        <v>1452</v>
      </c>
      <c r="T770" s="36" t="s">
        <v>284</v>
      </c>
      <c r="U770" s="36" t="s">
        <v>968</v>
      </c>
      <c r="V770" s="36">
        <v>20.0</v>
      </c>
      <c r="W770" s="36"/>
      <c r="X770" s="87">
        <v>1.0</v>
      </c>
      <c r="Y770" s="38" t="s">
        <v>593</v>
      </c>
      <c r="Z770" s="38" t="s">
        <v>594</v>
      </c>
      <c r="AA770" s="38" t="s">
        <v>288</v>
      </c>
      <c r="AB770" s="38" t="s">
        <v>1453</v>
      </c>
      <c r="AC770" s="38" t="s">
        <v>1454</v>
      </c>
      <c r="AD770" s="38" t="s">
        <v>198</v>
      </c>
      <c r="AE770" s="38">
        <v>3250.0</v>
      </c>
      <c r="AF770" s="38" t="s">
        <v>1341</v>
      </c>
      <c r="AG770" s="38" t="s">
        <v>1455</v>
      </c>
      <c r="AH770" s="38">
        <v>2.2</v>
      </c>
      <c r="AI770" s="50">
        <v>37.61</v>
      </c>
      <c r="AJ770" s="50">
        <v>101.33</v>
      </c>
      <c r="AK770" s="41" t="s">
        <v>288</v>
      </c>
      <c r="AL770" s="40" t="s">
        <v>288</v>
      </c>
      <c r="AM770" s="49">
        <v>3201.0</v>
      </c>
      <c r="AN770" s="51">
        <v>3201.0</v>
      </c>
      <c r="AO770" s="42" t="s">
        <v>597</v>
      </c>
      <c r="AP770" s="43" t="s">
        <v>597</v>
      </c>
      <c r="AQ770" s="44" t="str">
        <f t="shared" si="60"/>
        <v>GRA</v>
      </c>
      <c r="AR770" s="44">
        <f t="shared" si="3"/>
        <v>3201</v>
      </c>
      <c r="AS770" s="44" t="str">
        <f t="shared" si="76"/>
        <v>D</v>
      </c>
      <c r="AT770" s="44" t="str">
        <f t="shared" si="17"/>
        <v>Dw</v>
      </c>
      <c r="AU770" s="44" t="str">
        <f t="shared" si="2"/>
        <v>Dwc</v>
      </c>
      <c r="AV770" s="38">
        <v>3.0</v>
      </c>
      <c r="AW770" s="38">
        <v>1.0</v>
      </c>
      <c r="AX770" s="38">
        <v>100.0</v>
      </c>
      <c r="AY770" s="38" t="s">
        <v>88</v>
      </c>
      <c r="AZ770" s="29">
        <v>30.0</v>
      </c>
      <c r="BA770" s="29"/>
      <c r="BB770" s="29">
        <v>1.0</v>
      </c>
      <c r="BC770" s="29"/>
      <c r="BD770" s="29" t="s">
        <v>88</v>
      </c>
      <c r="BE770" s="29"/>
      <c r="BF770" s="29" t="s">
        <v>936</v>
      </c>
      <c r="BG770" s="29" t="s">
        <v>572</v>
      </c>
      <c r="BH770" s="29" t="s">
        <v>88</v>
      </c>
      <c r="BI770" s="29"/>
      <c r="BJ770" s="29"/>
      <c r="BK770" s="29" t="s">
        <v>180</v>
      </c>
      <c r="BL770" s="29" t="s">
        <v>180</v>
      </c>
      <c r="BM770" s="45"/>
      <c r="BN770" s="45"/>
      <c r="BO770" s="46"/>
      <c r="BP770" s="2"/>
      <c r="BQ770" s="3"/>
    </row>
    <row r="771" ht="15.75" customHeight="1">
      <c r="A771" s="34">
        <v>776.0</v>
      </c>
      <c r="B771" s="34">
        <v>101127.0</v>
      </c>
      <c r="C771" s="34" t="s">
        <v>76</v>
      </c>
      <c r="D771" s="34" t="s">
        <v>1448</v>
      </c>
      <c r="E771" s="34" t="s">
        <v>1449</v>
      </c>
      <c r="F771" s="34">
        <v>2015.0</v>
      </c>
      <c r="G771" s="34" t="s">
        <v>1450</v>
      </c>
      <c r="H771" s="34" t="s">
        <v>1431</v>
      </c>
      <c r="I771" s="34" t="s">
        <v>1451</v>
      </c>
      <c r="J771" s="35"/>
      <c r="K771" s="36">
        <v>-26.0</v>
      </c>
      <c r="L771" s="36">
        <v>327.0</v>
      </c>
      <c r="M771" s="36"/>
      <c r="N771" s="36"/>
      <c r="O771" s="36"/>
      <c r="P771" s="52">
        <f t="shared" si="75"/>
        <v>-7.951070336</v>
      </c>
      <c r="Q771" s="36" t="s">
        <v>96</v>
      </c>
      <c r="R771" s="36" t="s">
        <v>96</v>
      </c>
      <c r="S771" s="36" t="s">
        <v>1452</v>
      </c>
      <c r="T771" s="36" t="s">
        <v>284</v>
      </c>
      <c r="U771" s="36" t="s">
        <v>968</v>
      </c>
      <c r="V771" s="36">
        <v>20.0</v>
      </c>
      <c r="W771" s="36"/>
      <c r="X771" s="87">
        <v>1.0</v>
      </c>
      <c r="Y771" s="38" t="s">
        <v>593</v>
      </c>
      <c r="Z771" s="38" t="s">
        <v>594</v>
      </c>
      <c r="AA771" s="38" t="s">
        <v>288</v>
      </c>
      <c r="AB771" s="38" t="s">
        <v>1453</v>
      </c>
      <c r="AC771" s="38" t="s">
        <v>1454</v>
      </c>
      <c r="AD771" s="38" t="s">
        <v>198</v>
      </c>
      <c r="AE771" s="38">
        <v>3250.0</v>
      </c>
      <c r="AF771" s="38" t="s">
        <v>1341</v>
      </c>
      <c r="AG771" s="38" t="s">
        <v>1455</v>
      </c>
      <c r="AH771" s="38">
        <v>2.2</v>
      </c>
      <c r="AI771" s="50">
        <v>37.61</v>
      </c>
      <c r="AJ771" s="50">
        <v>101.33</v>
      </c>
      <c r="AK771" s="41" t="s">
        <v>288</v>
      </c>
      <c r="AL771" s="40" t="s">
        <v>288</v>
      </c>
      <c r="AM771" s="49">
        <v>3201.0</v>
      </c>
      <c r="AN771" s="51">
        <v>3201.0</v>
      </c>
      <c r="AO771" s="42" t="s">
        <v>597</v>
      </c>
      <c r="AP771" s="43" t="s">
        <v>597</v>
      </c>
      <c r="AQ771" s="44" t="str">
        <f t="shared" si="60"/>
        <v>GRA</v>
      </c>
      <c r="AR771" s="44">
        <f t="shared" si="3"/>
        <v>3201</v>
      </c>
      <c r="AS771" s="44" t="str">
        <f t="shared" si="76"/>
        <v>D</v>
      </c>
      <c r="AT771" s="44" t="str">
        <f t="shared" si="17"/>
        <v>Dw</v>
      </c>
      <c r="AU771" s="44" t="str">
        <f t="shared" si="2"/>
        <v>Dwc</v>
      </c>
      <c r="AV771" s="38">
        <v>2.0</v>
      </c>
      <c r="AW771" s="38">
        <v>1.0</v>
      </c>
      <c r="AX771" s="38">
        <v>100.0</v>
      </c>
      <c r="AY771" s="38" t="s">
        <v>88</v>
      </c>
      <c r="AZ771" s="29">
        <v>30.0</v>
      </c>
      <c r="BA771" s="29"/>
      <c r="BB771" s="29">
        <v>1.0</v>
      </c>
      <c r="BC771" s="29"/>
      <c r="BD771" s="29" t="s">
        <v>88</v>
      </c>
      <c r="BE771" s="29"/>
      <c r="BF771" s="29" t="s">
        <v>936</v>
      </c>
      <c r="BG771" s="29" t="s">
        <v>572</v>
      </c>
      <c r="BH771" s="29" t="s">
        <v>88</v>
      </c>
      <c r="BI771" s="29"/>
      <c r="BJ771" s="29"/>
      <c r="BK771" s="29" t="s">
        <v>180</v>
      </c>
      <c r="BL771" s="29" t="s">
        <v>180</v>
      </c>
      <c r="BM771" s="45"/>
      <c r="BN771" s="45"/>
      <c r="BO771" s="46"/>
      <c r="BP771" s="2"/>
      <c r="BQ771" s="3"/>
    </row>
    <row r="772" ht="15.75" customHeight="1">
      <c r="A772" s="34">
        <v>777.0</v>
      </c>
      <c r="B772" s="34">
        <v>101127.0</v>
      </c>
      <c r="C772" s="34" t="s">
        <v>76</v>
      </c>
      <c r="D772" s="34" t="s">
        <v>1448</v>
      </c>
      <c r="E772" s="34" t="s">
        <v>1449</v>
      </c>
      <c r="F772" s="34">
        <v>2015.0</v>
      </c>
      <c r="G772" s="34" t="s">
        <v>1450</v>
      </c>
      <c r="H772" s="34" t="s">
        <v>1431</v>
      </c>
      <c r="I772" s="34" t="s">
        <v>1451</v>
      </c>
      <c r="J772" s="35"/>
      <c r="K772" s="36">
        <v>38.0</v>
      </c>
      <c r="L772" s="36">
        <v>48.0</v>
      </c>
      <c r="M772" s="36"/>
      <c r="N772" s="36"/>
      <c r="O772" s="36"/>
      <c r="P772" s="52">
        <f t="shared" si="75"/>
        <v>79.16666667</v>
      </c>
      <c r="Q772" s="36" t="s">
        <v>96</v>
      </c>
      <c r="R772" s="36" t="s">
        <v>96</v>
      </c>
      <c r="S772" s="36" t="s">
        <v>1452</v>
      </c>
      <c r="T772" s="36" t="s">
        <v>295</v>
      </c>
      <c r="U772" s="36" t="s">
        <v>342</v>
      </c>
      <c r="V772" s="36">
        <v>29.0</v>
      </c>
      <c r="W772" s="36"/>
      <c r="X772" s="87">
        <v>1.0</v>
      </c>
      <c r="Y772" s="38" t="s">
        <v>1278</v>
      </c>
      <c r="Z772" s="38" t="s">
        <v>1279</v>
      </c>
      <c r="AA772" s="38" t="s">
        <v>288</v>
      </c>
      <c r="AB772" s="38" t="s">
        <v>1457</v>
      </c>
      <c r="AC772" s="38" t="s">
        <v>1458</v>
      </c>
      <c r="AD772" s="38" t="s">
        <v>1250</v>
      </c>
      <c r="AE772" s="38">
        <v>1235.0</v>
      </c>
      <c r="AF772" s="38"/>
      <c r="AG772" s="38" t="s">
        <v>1459</v>
      </c>
      <c r="AH772" s="38">
        <v>3.5</v>
      </c>
      <c r="AI772" s="50">
        <v>47.21</v>
      </c>
      <c r="AJ772" s="50">
        <v>108.74</v>
      </c>
      <c r="AK772" s="41" t="s">
        <v>288</v>
      </c>
      <c r="AL772" s="40" t="s">
        <v>288</v>
      </c>
      <c r="AM772" s="49">
        <v>1250.0</v>
      </c>
      <c r="AN772" s="51">
        <v>1250.0</v>
      </c>
      <c r="AO772" s="42" t="s">
        <v>293</v>
      </c>
      <c r="AP772" s="43" t="s">
        <v>293</v>
      </c>
      <c r="AQ772" s="44" t="str">
        <f t="shared" si="60"/>
        <v>GRA</v>
      </c>
      <c r="AR772" s="44">
        <f t="shared" si="3"/>
        <v>1250</v>
      </c>
      <c r="AS772" s="44" t="str">
        <f t="shared" si="76"/>
        <v>B</v>
      </c>
      <c r="AT772" s="44" t="str">
        <f t="shared" si="17"/>
        <v>BS</v>
      </c>
      <c r="AU772" s="44" t="str">
        <f t="shared" si="2"/>
        <v>BSk</v>
      </c>
      <c r="AV772" s="38">
        <v>1.0</v>
      </c>
      <c r="AW772" s="38">
        <v>1.0</v>
      </c>
      <c r="AX772" s="38">
        <v>100.0</v>
      </c>
      <c r="AY772" s="38" t="s">
        <v>88</v>
      </c>
      <c r="AZ772" s="29">
        <v>30.0</v>
      </c>
      <c r="BA772" s="29"/>
      <c r="BB772" s="29">
        <v>1.0</v>
      </c>
      <c r="BC772" s="29"/>
      <c r="BD772" s="29" t="s">
        <v>88</v>
      </c>
      <c r="BE772" s="29"/>
      <c r="BF772" s="29" t="s">
        <v>936</v>
      </c>
      <c r="BG772" s="29" t="s">
        <v>572</v>
      </c>
      <c r="BH772" s="29" t="s">
        <v>88</v>
      </c>
      <c r="BI772" s="29"/>
      <c r="BJ772" s="29"/>
      <c r="BK772" s="29" t="s">
        <v>180</v>
      </c>
      <c r="BL772" s="29" t="s">
        <v>180</v>
      </c>
      <c r="BM772" s="45"/>
      <c r="BN772" s="45"/>
      <c r="BO772" s="46"/>
      <c r="BP772" s="2"/>
      <c r="BQ772" s="3"/>
    </row>
    <row r="773" ht="15.75" customHeight="1">
      <c r="A773" s="34">
        <v>778.0</v>
      </c>
      <c r="B773" s="34">
        <v>101127.0</v>
      </c>
      <c r="C773" s="34" t="s">
        <v>76</v>
      </c>
      <c r="D773" s="34" t="s">
        <v>1448</v>
      </c>
      <c r="E773" s="34" t="s">
        <v>1449</v>
      </c>
      <c r="F773" s="34">
        <v>2015.0</v>
      </c>
      <c r="G773" s="34" t="s">
        <v>1450</v>
      </c>
      <c r="H773" s="34" t="s">
        <v>1431</v>
      </c>
      <c r="I773" s="34" t="s">
        <v>1451</v>
      </c>
      <c r="J773" s="35"/>
      <c r="K773" s="36">
        <v>5.0</v>
      </c>
      <c r="L773" s="36">
        <v>80.0</v>
      </c>
      <c r="M773" s="36"/>
      <c r="N773" s="36"/>
      <c r="O773" s="36"/>
      <c r="P773" s="52">
        <f t="shared" si="75"/>
        <v>6.25</v>
      </c>
      <c r="Q773" s="36" t="s">
        <v>96</v>
      </c>
      <c r="R773" s="36" t="s">
        <v>96</v>
      </c>
      <c r="S773" s="36" t="s">
        <v>1452</v>
      </c>
      <c r="T773" s="36" t="s">
        <v>295</v>
      </c>
      <c r="U773" s="36" t="s">
        <v>342</v>
      </c>
      <c r="V773" s="36">
        <v>29.0</v>
      </c>
      <c r="W773" s="36"/>
      <c r="X773" s="87">
        <v>1.0</v>
      </c>
      <c r="Y773" s="38" t="s">
        <v>1278</v>
      </c>
      <c r="Z773" s="38" t="s">
        <v>1279</v>
      </c>
      <c r="AA773" s="38" t="s">
        <v>288</v>
      </c>
      <c r="AB773" s="38" t="s">
        <v>1457</v>
      </c>
      <c r="AC773" s="38" t="s">
        <v>1458</v>
      </c>
      <c r="AD773" s="38" t="s">
        <v>1250</v>
      </c>
      <c r="AE773" s="38">
        <v>1235.0</v>
      </c>
      <c r="AF773" s="38"/>
      <c r="AG773" s="38" t="s">
        <v>1459</v>
      </c>
      <c r="AH773" s="38">
        <v>3.5</v>
      </c>
      <c r="AI773" s="50">
        <v>47.21</v>
      </c>
      <c r="AJ773" s="50">
        <v>108.74</v>
      </c>
      <c r="AK773" s="41" t="s">
        <v>288</v>
      </c>
      <c r="AL773" s="40" t="s">
        <v>288</v>
      </c>
      <c r="AM773" s="49">
        <v>1250.0</v>
      </c>
      <c r="AN773" s="51">
        <v>1250.0</v>
      </c>
      <c r="AO773" s="42" t="s">
        <v>293</v>
      </c>
      <c r="AP773" s="43" t="s">
        <v>293</v>
      </c>
      <c r="AQ773" s="44" t="str">
        <f t="shared" si="60"/>
        <v>GRA</v>
      </c>
      <c r="AR773" s="44">
        <f t="shared" si="3"/>
        <v>1250</v>
      </c>
      <c r="AS773" s="44" t="str">
        <f t="shared" si="76"/>
        <v>B</v>
      </c>
      <c r="AT773" s="44" t="str">
        <f t="shared" si="17"/>
        <v>BS</v>
      </c>
      <c r="AU773" s="44" t="str">
        <f t="shared" si="2"/>
        <v>BSk</v>
      </c>
      <c r="AV773" s="38">
        <v>4.0</v>
      </c>
      <c r="AW773" s="38">
        <v>1.0</v>
      </c>
      <c r="AX773" s="38">
        <v>100.0</v>
      </c>
      <c r="AY773" s="38" t="s">
        <v>88</v>
      </c>
      <c r="AZ773" s="29">
        <v>30.0</v>
      </c>
      <c r="BA773" s="29"/>
      <c r="BB773" s="29">
        <v>1.0</v>
      </c>
      <c r="BC773" s="29"/>
      <c r="BD773" s="29" t="s">
        <v>88</v>
      </c>
      <c r="BE773" s="29"/>
      <c r="BF773" s="29" t="s">
        <v>936</v>
      </c>
      <c r="BG773" s="29" t="s">
        <v>572</v>
      </c>
      <c r="BH773" s="29" t="s">
        <v>88</v>
      </c>
      <c r="BI773" s="29"/>
      <c r="BJ773" s="29"/>
      <c r="BK773" s="29" t="s">
        <v>180</v>
      </c>
      <c r="BL773" s="29" t="s">
        <v>180</v>
      </c>
      <c r="BM773" s="45"/>
      <c r="BN773" s="45"/>
      <c r="BO773" s="46"/>
      <c r="BP773" s="2"/>
      <c r="BQ773" s="3"/>
    </row>
    <row r="774" ht="15.75" customHeight="1">
      <c r="A774" s="34">
        <v>779.0</v>
      </c>
      <c r="B774" s="34">
        <v>101127.0</v>
      </c>
      <c r="C774" s="34" t="s">
        <v>76</v>
      </c>
      <c r="D774" s="34" t="s">
        <v>1448</v>
      </c>
      <c r="E774" s="34" t="s">
        <v>1449</v>
      </c>
      <c r="F774" s="34">
        <v>2015.0</v>
      </c>
      <c r="G774" s="34" t="s">
        <v>1450</v>
      </c>
      <c r="H774" s="34" t="s">
        <v>1431</v>
      </c>
      <c r="I774" s="34" t="s">
        <v>1451</v>
      </c>
      <c r="J774" s="35"/>
      <c r="K774" s="36">
        <v>-11.0</v>
      </c>
      <c r="L774" s="36">
        <v>96.0</v>
      </c>
      <c r="M774" s="36"/>
      <c r="N774" s="36"/>
      <c r="O774" s="36"/>
      <c r="P774" s="52">
        <f t="shared" si="75"/>
        <v>-11.45833333</v>
      </c>
      <c r="Q774" s="36" t="s">
        <v>96</v>
      </c>
      <c r="R774" s="36" t="s">
        <v>96</v>
      </c>
      <c r="S774" s="36" t="s">
        <v>1452</v>
      </c>
      <c r="T774" s="36" t="s">
        <v>295</v>
      </c>
      <c r="U774" s="36" t="s">
        <v>342</v>
      </c>
      <c r="V774" s="36">
        <v>29.0</v>
      </c>
      <c r="W774" s="36"/>
      <c r="X774" s="87">
        <v>1.0</v>
      </c>
      <c r="Y774" s="38" t="s">
        <v>1278</v>
      </c>
      <c r="Z774" s="38" t="s">
        <v>1279</v>
      </c>
      <c r="AA774" s="38" t="s">
        <v>288</v>
      </c>
      <c r="AB774" s="38" t="s">
        <v>1457</v>
      </c>
      <c r="AC774" s="38" t="s">
        <v>1458</v>
      </c>
      <c r="AD774" s="38" t="s">
        <v>1250</v>
      </c>
      <c r="AE774" s="38">
        <v>1235.0</v>
      </c>
      <c r="AF774" s="38"/>
      <c r="AG774" s="38" t="s">
        <v>1459</v>
      </c>
      <c r="AH774" s="38">
        <v>3.5</v>
      </c>
      <c r="AI774" s="50">
        <v>47.21</v>
      </c>
      <c r="AJ774" s="50">
        <v>108.74</v>
      </c>
      <c r="AK774" s="41" t="s">
        <v>288</v>
      </c>
      <c r="AL774" s="40" t="s">
        <v>288</v>
      </c>
      <c r="AM774" s="49">
        <v>1250.0</v>
      </c>
      <c r="AN774" s="51">
        <v>1250.0</v>
      </c>
      <c r="AO774" s="42" t="s">
        <v>293</v>
      </c>
      <c r="AP774" s="43" t="s">
        <v>293</v>
      </c>
      <c r="AQ774" s="44" t="str">
        <f t="shared" si="60"/>
        <v>GRA</v>
      </c>
      <c r="AR774" s="44">
        <f t="shared" si="3"/>
        <v>1250</v>
      </c>
      <c r="AS774" s="44" t="str">
        <f t="shared" si="76"/>
        <v>B</v>
      </c>
      <c r="AT774" s="44" t="str">
        <f t="shared" si="17"/>
        <v>BS</v>
      </c>
      <c r="AU774" s="44" t="str">
        <f t="shared" si="2"/>
        <v>BSk</v>
      </c>
      <c r="AV774" s="38">
        <v>3.0</v>
      </c>
      <c r="AW774" s="38">
        <v>1.0</v>
      </c>
      <c r="AX774" s="38">
        <v>100.0</v>
      </c>
      <c r="AY774" s="38" t="s">
        <v>88</v>
      </c>
      <c r="AZ774" s="29">
        <v>30.0</v>
      </c>
      <c r="BA774" s="29"/>
      <c r="BB774" s="29">
        <v>1.0</v>
      </c>
      <c r="BC774" s="29"/>
      <c r="BD774" s="29" t="s">
        <v>88</v>
      </c>
      <c r="BE774" s="29"/>
      <c r="BF774" s="29" t="s">
        <v>936</v>
      </c>
      <c r="BG774" s="29" t="s">
        <v>572</v>
      </c>
      <c r="BH774" s="29" t="s">
        <v>88</v>
      </c>
      <c r="BI774" s="29"/>
      <c r="BJ774" s="29"/>
      <c r="BK774" s="29" t="s">
        <v>180</v>
      </c>
      <c r="BL774" s="29" t="s">
        <v>180</v>
      </c>
      <c r="BM774" s="45"/>
      <c r="BN774" s="45"/>
      <c r="BO774" s="46"/>
      <c r="BP774" s="2" t="s">
        <v>1469</v>
      </c>
      <c r="BQ774" s="3"/>
    </row>
    <row r="775" ht="15.75" customHeight="1">
      <c r="A775" s="34">
        <v>780.0</v>
      </c>
      <c r="B775" s="34">
        <v>101127.0</v>
      </c>
      <c r="C775" s="34" t="s">
        <v>76</v>
      </c>
      <c r="D775" s="34" t="s">
        <v>1448</v>
      </c>
      <c r="E775" s="34" t="s">
        <v>1449</v>
      </c>
      <c r="F775" s="34">
        <v>2015.0</v>
      </c>
      <c r="G775" s="34" t="s">
        <v>1450</v>
      </c>
      <c r="H775" s="34" t="s">
        <v>1431</v>
      </c>
      <c r="I775" s="34" t="s">
        <v>1451</v>
      </c>
      <c r="J775" s="35"/>
      <c r="K775" s="36">
        <v>-118.0</v>
      </c>
      <c r="L775" s="36">
        <v>203.0</v>
      </c>
      <c r="M775" s="36"/>
      <c r="N775" s="36"/>
      <c r="O775" s="36"/>
      <c r="P775" s="52">
        <f t="shared" si="75"/>
        <v>-58.12807882</v>
      </c>
      <c r="Q775" s="36" t="s">
        <v>96</v>
      </c>
      <c r="R775" s="36" t="s">
        <v>96</v>
      </c>
      <c r="S775" s="36" t="s">
        <v>1452</v>
      </c>
      <c r="T775" s="36" t="s">
        <v>295</v>
      </c>
      <c r="U775" s="36" t="s">
        <v>342</v>
      </c>
      <c r="V775" s="36">
        <v>29.0</v>
      </c>
      <c r="W775" s="36"/>
      <c r="X775" s="87">
        <v>1.0</v>
      </c>
      <c r="Y775" s="38" t="s">
        <v>1278</v>
      </c>
      <c r="Z775" s="38" t="s">
        <v>1279</v>
      </c>
      <c r="AA775" s="38" t="s">
        <v>288</v>
      </c>
      <c r="AB775" s="38" t="s">
        <v>1457</v>
      </c>
      <c r="AC775" s="38" t="s">
        <v>1458</v>
      </c>
      <c r="AD775" s="38" t="s">
        <v>1250</v>
      </c>
      <c r="AE775" s="38">
        <v>1235.0</v>
      </c>
      <c r="AF775" s="38"/>
      <c r="AG775" s="38" t="s">
        <v>1459</v>
      </c>
      <c r="AH775" s="38">
        <v>3.5</v>
      </c>
      <c r="AI775" s="50">
        <v>47.21</v>
      </c>
      <c r="AJ775" s="50">
        <v>108.74</v>
      </c>
      <c r="AK775" s="41" t="s">
        <v>288</v>
      </c>
      <c r="AL775" s="40" t="s">
        <v>288</v>
      </c>
      <c r="AM775" s="49">
        <v>1250.0</v>
      </c>
      <c r="AN775" s="51">
        <v>1250.0</v>
      </c>
      <c r="AO775" s="42" t="s">
        <v>293</v>
      </c>
      <c r="AP775" s="43" t="s">
        <v>293</v>
      </c>
      <c r="AQ775" s="44" t="str">
        <f t="shared" si="60"/>
        <v>GRA</v>
      </c>
      <c r="AR775" s="44">
        <f t="shared" si="3"/>
        <v>1250</v>
      </c>
      <c r="AS775" s="44" t="str">
        <f t="shared" si="76"/>
        <v>B</v>
      </c>
      <c r="AT775" s="44" t="str">
        <f t="shared" si="17"/>
        <v>BS</v>
      </c>
      <c r="AU775" s="44" t="str">
        <f t="shared" si="2"/>
        <v>BSk</v>
      </c>
      <c r="AV775" s="38">
        <v>2.0</v>
      </c>
      <c r="AW775" s="38">
        <v>1.0</v>
      </c>
      <c r="AX775" s="38">
        <v>100.0</v>
      </c>
      <c r="AY775" s="38" t="s">
        <v>88</v>
      </c>
      <c r="AZ775" s="29">
        <v>30.0</v>
      </c>
      <c r="BA775" s="29"/>
      <c r="BB775" s="29">
        <v>1.0</v>
      </c>
      <c r="BC775" s="29"/>
      <c r="BD775" s="29" t="s">
        <v>88</v>
      </c>
      <c r="BE775" s="29"/>
      <c r="BF775" s="29" t="s">
        <v>936</v>
      </c>
      <c r="BG775" s="29" t="s">
        <v>572</v>
      </c>
      <c r="BH775" s="29" t="s">
        <v>88</v>
      </c>
      <c r="BI775" s="29"/>
      <c r="BJ775" s="29"/>
      <c r="BK775" s="29" t="s">
        <v>180</v>
      </c>
      <c r="BL775" s="29" t="s">
        <v>180</v>
      </c>
      <c r="BM775" s="45"/>
      <c r="BN775" s="45"/>
      <c r="BO775" s="46"/>
      <c r="BP775" s="2"/>
      <c r="BQ775" s="3"/>
    </row>
    <row r="776" ht="15.75" customHeight="1">
      <c r="A776" s="34">
        <v>781.0</v>
      </c>
      <c r="B776" s="34">
        <v>101127.0</v>
      </c>
      <c r="C776" s="34" t="s">
        <v>76</v>
      </c>
      <c r="D776" s="34" t="s">
        <v>1448</v>
      </c>
      <c r="E776" s="34" t="s">
        <v>1449</v>
      </c>
      <c r="F776" s="34">
        <v>2015.0</v>
      </c>
      <c r="G776" s="34" t="s">
        <v>1450</v>
      </c>
      <c r="H776" s="34" t="s">
        <v>1431</v>
      </c>
      <c r="I776" s="34" t="s">
        <v>1451</v>
      </c>
      <c r="J776" s="35"/>
      <c r="K776" s="36">
        <v>74.0</v>
      </c>
      <c r="L776" s="36">
        <v>146.0</v>
      </c>
      <c r="M776" s="36"/>
      <c r="N776" s="36"/>
      <c r="O776" s="36"/>
      <c r="P776" s="52">
        <f t="shared" si="75"/>
        <v>50.68493151</v>
      </c>
      <c r="Q776" s="36" t="s">
        <v>96</v>
      </c>
      <c r="R776" s="36" t="s">
        <v>96</v>
      </c>
      <c r="S776" s="36" t="s">
        <v>1452</v>
      </c>
      <c r="T776" s="36" t="s">
        <v>284</v>
      </c>
      <c r="U776" s="36" t="s">
        <v>968</v>
      </c>
      <c r="V776" s="36">
        <v>31.0</v>
      </c>
      <c r="W776" s="36"/>
      <c r="X776" s="87">
        <v>1.0</v>
      </c>
      <c r="Y776" s="38" t="s">
        <v>1193</v>
      </c>
      <c r="Z776" s="38" t="s">
        <v>1194</v>
      </c>
      <c r="AA776" s="38" t="s">
        <v>86</v>
      </c>
      <c r="AB776" s="38" t="s">
        <v>1460</v>
      </c>
      <c r="AC776" s="38" t="s">
        <v>1461</v>
      </c>
      <c r="AD776" s="38" t="s">
        <v>736</v>
      </c>
      <c r="AE776" s="38">
        <v>13.0</v>
      </c>
      <c r="AF776" s="38" t="s">
        <v>1197</v>
      </c>
      <c r="AG776" s="38" t="s">
        <v>1462</v>
      </c>
      <c r="AH776" s="38" t="s">
        <v>1463</v>
      </c>
      <c r="AI776" s="50">
        <v>36.07</v>
      </c>
      <c r="AJ776" s="50">
        <v>140.02</v>
      </c>
      <c r="AK776" s="41" t="s">
        <v>362</v>
      </c>
      <c r="AL776" s="40" t="s">
        <v>362</v>
      </c>
      <c r="AM776" s="49">
        <v>16.0</v>
      </c>
      <c r="AN776" s="51">
        <v>16.0</v>
      </c>
      <c r="AO776" s="42" t="s">
        <v>201</v>
      </c>
      <c r="AP776" s="43" t="s">
        <v>201</v>
      </c>
      <c r="AQ776" s="44" t="str">
        <f t="shared" si="60"/>
        <v>CRO</v>
      </c>
      <c r="AR776" s="44">
        <f t="shared" si="3"/>
        <v>16</v>
      </c>
      <c r="AS776" s="44" t="str">
        <f t="shared" si="76"/>
        <v>C</v>
      </c>
      <c r="AT776" s="44" t="str">
        <f t="shared" si="17"/>
        <v>Cf</v>
      </c>
      <c r="AU776" s="44" t="str">
        <f t="shared" si="2"/>
        <v>Cfa</v>
      </c>
      <c r="AV776" s="38">
        <v>1.0</v>
      </c>
      <c r="AW776" s="38">
        <v>1.0</v>
      </c>
      <c r="AX776" s="38">
        <v>100.0</v>
      </c>
      <c r="AY776" s="38" t="s">
        <v>88</v>
      </c>
      <c r="AZ776" s="29">
        <v>30.0</v>
      </c>
      <c r="BA776" s="29"/>
      <c r="BB776" s="29">
        <v>1.0</v>
      </c>
      <c r="BC776" s="29"/>
      <c r="BD776" s="29" t="s">
        <v>88</v>
      </c>
      <c r="BE776" s="29"/>
      <c r="BF776" s="29" t="s">
        <v>936</v>
      </c>
      <c r="BG776" s="29" t="s">
        <v>572</v>
      </c>
      <c r="BH776" s="29" t="s">
        <v>88</v>
      </c>
      <c r="BI776" s="29"/>
      <c r="BJ776" s="29"/>
      <c r="BK776" s="29" t="s">
        <v>180</v>
      </c>
      <c r="BL776" s="29" t="s">
        <v>180</v>
      </c>
      <c r="BM776" s="45"/>
      <c r="BN776" s="45"/>
      <c r="BO776" s="46"/>
      <c r="BP776" s="2"/>
      <c r="BQ776" s="3"/>
    </row>
    <row r="777" ht="15.75" customHeight="1">
      <c r="A777" s="34">
        <v>782.0</v>
      </c>
      <c r="B777" s="34">
        <v>101127.0</v>
      </c>
      <c r="C777" s="34" t="s">
        <v>76</v>
      </c>
      <c r="D777" s="34" t="s">
        <v>1448</v>
      </c>
      <c r="E777" s="34" t="s">
        <v>1449</v>
      </c>
      <c r="F777" s="34">
        <v>2015.0</v>
      </c>
      <c r="G777" s="34" t="s">
        <v>1450</v>
      </c>
      <c r="H777" s="34" t="s">
        <v>1431</v>
      </c>
      <c r="I777" s="34" t="s">
        <v>1451</v>
      </c>
      <c r="J777" s="35"/>
      <c r="K777" s="36">
        <v>34.0</v>
      </c>
      <c r="L777" s="36">
        <v>185.0</v>
      </c>
      <c r="M777" s="36"/>
      <c r="N777" s="36"/>
      <c r="O777" s="36"/>
      <c r="P777" s="52">
        <f t="shared" si="75"/>
        <v>18.37837838</v>
      </c>
      <c r="Q777" s="36" t="s">
        <v>96</v>
      </c>
      <c r="R777" s="36" t="s">
        <v>96</v>
      </c>
      <c r="S777" s="36" t="s">
        <v>1452</v>
      </c>
      <c r="T777" s="36" t="s">
        <v>284</v>
      </c>
      <c r="U777" s="36" t="s">
        <v>968</v>
      </c>
      <c r="V777" s="36">
        <v>31.0</v>
      </c>
      <c r="W777" s="36"/>
      <c r="X777" s="87">
        <v>1.0</v>
      </c>
      <c r="Y777" s="38" t="s">
        <v>1193</v>
      </c>
      <c r="Z777" s="38" t="s">
        <v>1194</v>
      </c>
      <c r="AA777" s="38" t="s">
        <v>86</v>
      </c>
      <c r="AB777" s="38" t="s">
        <v>1460</v>
      </c>
      <c r="AC777" s="38" t="s">
        <v>1461</v>
      </c>
      <c r="AD777" s="38" t="s">
        <v>736</v>
      </c>
      <c r="AE777" s="38">
        <v>13.0</v>
      </c>
      <c r="AF777" s="38" t="s">
        <v>1197</v>
      </c>
      <c r="AG777" s="38" t="s">
        <v>1462</v>
      </c>
      <c r="AH777" s="38" t="s">
        <v>1463</v>
      </c>
      <c r="AI777" s="50">
        <v>36.07</v>
      </c>
      <c r="AJ777" s="50">
        <v>140.02</v>
      </c>
      <c r="AK777" s="41" t="s">
        <v>362</v>
      </c>
      <c r="AL777" s="40" t="s">
        <v>362</v>
      </c>
      <c r="AM777" s="49">
        <v>16.0</v>
      </c>
      <c r="AN777" s="51">
        <v>16.0</v>
      </c>
      <c r="AO777" s="42" t="s">
        <v>201</v>
      </c>
      <c r="AP777" s="43" t="s">
        <v>201</v>
      </c>
      <c r="AQ777" s="44" t="str">
        <f t="shared" si="60"/>
        <v>CRO</v>
      </c>
      <c r="AR777" s="44">
        <f t="shared" si="3"/>
        <v>16</v>
      </c>
      <c r="AS777" s="44" t="str">
        <f t="shared" si="76"/>
        <v>C</v>
      </c>
      <c r="AT777" s="44" t="str">
        <f t="shared" si="17"/>
        <v>Cf</v>
      </c>
      <c r="AU777" s="44" t="str">
        <f t="shared" si="2"/>
        <v>Cfa</v>
      </c>
      <c r="AV777" s="38">
        <v>4.0</v>
      </c>
      <c r="AW777" s="38">
        <v>1.0</v>
      </c>
      <c r="AX777" s="38">
        <v>100.0</v>
      </c>
      <c r="AY777" s="38" t="s">
        <v>88</v>
      </c>
      <c r="AZ777" s="29">
        <v>30.0</v>
      </c>
      <c r="BA777" s="29"/>
      <c r="BB777" s="29">
        <v>1.0</v>
      </c>
      <c r="BC777" s="29"/>
      <c r="BD777" s="29" t="s">
        <v>88</v>
      </c>
      <c r="BE777" s="29"/>
      <c r="BF777" s="29" t="s">
        <v>936</v>
      </c>
      <c r="BG777" s="29" t="s">
        <v>572</v>
      </c>
      <c r="BH777" s="29" t="s">
        <v>88</v>
      </c>
      <c r="BI777" s="29"/>
      <c r="BJ777" s="29"/>
      <c r="BK777" s="29" t="s">
        <v>180</v>
      </c>
      <c r="BL777" s="29" t="s">
        <v>180</v>
      </c>
      <c r="BM777" s="45"/>
      <c r="BN777" s="45"/>
      <c r="BO777" s="46"/>
      <c r="BP777" s="2"/>
      <c r="BQ777" s="3"/>
    </row>
    <row r="778" ht="15.75" customHeight="1">
      <c r="A778" s="34">
        <v>783.0</v>
      </c>
      <c r="B778" s="34">
        <v>101127.0</v>
      </c>
      <c r="C778" s="34" t="s">
        <v>76</v>
      </c>
      <c r="D778" s="34" t="s">
        <v>1448</v>
      </c>
      <c r="E778" s="34" t="s">
        <v>1449</v>
      </c>
      <c r="F778" s="34">
        <v>2015.0</v>
      </c>
      <c r="G778" s="34" t="s">
        <v>1450</v>
      </c>
      <c r="H778" s="34" t="s">
        <v>1431</v>
      </c>
      <c r="I778" s="34" t="s">
        <v>1451</v>
      </c>
      <c r="J778" s="35"/>
      <c r="K778" s="36">
        <v>-20.0</v>
      </c>
      <c r="L778" s="36">
        <v>239.0</v>
      </c>
      <c r="M778" s="36"/>
      <c r="N778" s="36"/>
      <c r="O778" s="36"/>
      <c r="P778" s="52">
        <f t="shared" si="75"/>
        <v>-8.368200837</v>
      </c>
      <c r="Q778" s="36" t="s">
        <v>96</v>
      </c>
      <c r="R778" s="36" t="s">
        <v>96</v>
      </c>
      <c r="S778" s="36" t="s">
        <v>1452</v>
      </c>
      <c r="T778" s="36" t="s">
        <v>284</v>
      </c>
      <c r="U778" s="36" t="s">
        <v>968</v>
      </c>
      <c r="V778" s="36">
        <v>31.0</v>
      </c>
      <c r="W778" s="36"/>
      <c r="X778" s="87">
        <v>1.0</v>
      </c>
      <c r="Y778" s="38" t="s">
        <v>1193</v>
      </c>
      <c r="Z778" s="38" t="s">
        <v>1194</v>
      </c>
      <c r="AA778" s="38" t="s">
        <v>86</v>
      </c>
      <c r="AB778" s="38" t="s">
        <v>1460</v>
      </c>
      <c r="AC778" s="38" t="s">
        <v>1461</v>
      </c>
      <c r="AD778" s="38" t="s">
        <v>736</v>
      </c>
      <c r="AE778" s="38">
        <v>13.0</v>
      </c>
      <c r="AF778" s="38" t="s">
        <v>1197</v>
      </c>
      <c r="AG778" s="38" t="s">
        <v>1462</v>
      </c>
      <c r="AH778" s="38" t="s">
        <v>1463</v>
      </c>
      <c r="AI778" s="50">
        <v>36.07</v>
      </c>
      <c r="AJ778" s="50">
        <v>140.02</v>
      </c>
      <c r="AK778" s="41" t="s">
        <v>362</v>
      </c>
      <c r="AL778" s="40" t="s">
        <v>362</v>
      </c>
      <c r="AM778" s="49">
        <v>16.0</v>
      </c>
      <c r="AN778" s="51">
        <v>16.0</v>
      </c>
      <c r="AO778" s="42" t="s">
        <v>201</v>
      </c>
      <c r="AP778" s="43" t="s">
        <v>201</v>
      </c>
      <c r="AQ778" s="44" t="str">
        <f t="shared" si="60"/>
        <v>CRO</v>
      </c>
      <c r="AR778" s="44">
        <f t="shared" si="3"/>
        <v>16</v>
      </c>
      <c r="AS778" s="44" t="str">
        <f t="shared" si="76"/>
        <v>C</v>
      </c>
      <c r="AT778" s="44" t="str">
        <f t="shared" si="17"/>
        <v>Cf</v>
      </c>
      <c r="AU778" s="44" t="str">
        <f t="shared" si="2"/>
        <v>Cfa</v>
      </c>
      <c r="AV778" s="38">
        <v>3.0</v>
      </c>
      <c r="AW778" s="38">
        <v>1.0</v>
      </c>
      <c r="AX778" s="38">
        <v>100.0</v>
      </c>
      <c r="AY778" s="38" t="s">
        <v>88</v>
      </c>
      <c r="AZ778" s="29">
        <v>30.0</v>
      </c>
      <c r="BA778" s="29"/>
      <c r="BB778" s="29">
        <v>1.0</v>
      </c>
      <c r="BC778" s="29"/>
      <c r="BD778" s="29" t="s">
        <v>88</v>
      </c>
      <c r="BE778" s="29"/>
      <c r="BF778" s="29" t="s">
        <v>936</v>
      </c>
      <c r="BG778" s="29" t="s">
        <v>572</v>
      </c>
      <c r="BH778" s="29" t="s">
        <v>88</v>
      </c>
      <c r="BI778" s="29"/>
      <c r="BJ778" s="29"/>
      <c r="BK778" s="29" t="s">
        <v>180</v>
      </c>
      <c r="BL778" s="29" t="s">
        <v>180</v>
      </c>
      <c r="BM778" s="45"/>
      <c r="BN778" s="45"/>
      <c r="BO778" s="46"/>
      <c r="BP778" s="2"/>
      <c r="BQ778" s="3"/>
    </row>
    <row r="779" ht="15.75" customHeight="1">
      <c r="A779" s="34">
        <v>784.0</v>
      </c>
      <c r="B779" s="34">
        <v>101127.0</v>
      </c>
      <c r="C779" s="34" t="s">
        <v>76</v>
      </c>
      <c r="D779" s="34" t="s">
        <v>1448</v>
      </c>
      <c r="E779" s="34" t="s">
        <v>1449</v>
      </c>
      <c r="F779" s="34">
        <v>2015.0</v>
      </c>
      <c r="G779" s="34" t="s">
        <v>1450</v>
      </c>
      <c r="H779" s="34" t="s">
        <v>1431</v>
      </c>
      <c r="I779" s="34" t="s">
        <v>1451</v>
      </c>
      <c r="J779" s="35"/>
      <c r="K779" s="36">
        <v>-72.0</v>
      </c>
      <c r="L779" s="36">
        <v>291.0</v>
      </c>
      <c r="M779" s="36"/>
      <c r="N779" s="36"/>
      <c r="O779" s="36"/>
      <c r="P779" s="52">
        <f t="shared" si="75"/>
        <v>-24.74226804</v>
      </c>
      <c r="Q779" s="36" t="s">
        <v>96</v>
      </c>
      <c r="R779" s="36" t="s">
        <v>96</v>
      </c>
      <c r="S779" s="36" t="s">
        <v>1452</v>
      </c>
      <c r="T779" s="36" t="s">
        <v>284</v>
      </c>
      <c r="U779" s="36" t="s">
        <v>968</v>
      </c>
      <c r="V779" s="36">
        <v>31.0</v>
      </c>
      <c r="W779" s="36"/>
      <c r="X779" s="87">
        <v>1.0</v>
      </c>
      <c r="Y779" s="38" t="s">
        <v>1193</v>
      </c>
      <c r="Z779" s="38" t="s">
        <v>1194</v>
      </c>
      <c r="AA779" s="38" t="s">
        <v>86</v>
      </c>
      <c r="AB779" s="38" t="s">
        <v>1460</v>
      </c>
      <c r="AC779" s="38" t="s">
        <v>1461</v>
      </c>
      <c r="AD779" s="38" t="s">
        <v>736</v>
      </c>
      <c r="AE779" s="38">
        <v>13.0</v>
      </c>
      <c r="AF779" s="38" t="s">
        <v>1197</v>
      </c>
      <c r="AG779" s="38" t="s">
        <v>1462</v>
      </c>
      <c r="AH779" s="38" t="s">
        <v>1463</v>
      </c>
      <c r="AI779" s="50">
        <v>36.07</v>
      </c>
      <c r="AJ779" s="50">
        <v>140.02</v>
      </c>
      <c r="AK779" s="41" t="s">
        <v>362</v>
      </c>
      <c r="AL779" s="40" t="s">
        <v>362</v>
      </c>
      <c r="AM779" s="49">
        <v>16.0</v>
      </c>
      <c r="AN779" s="51">
        <v>16.0</v>
      </c>
      <c r="AO779" s="42" t="s">
        <v>201</v>
      </c>
      <c r="AP779" s="43" t="s">
        <v>201</v>
      </c>
      <c r="AQ779" s="44" t="str">
        <f t="shared" si="60"/>
        <v>CRO</v>
      </c>
      <c r="AR779" s="44">
        <f t="shared" si="3"/>
        <v>16</v>
      </c>
      <c r="AS779" s="44" t="str">
        <f t="shared" si="76"/>
        <v>C</v>
      </c>
      <c r="AT779" s="44" t="str">
        <f t="shared" si="17"/>
        <v>Cf</v>
      </c>
      <c r="AU779" s="44" t="str">
        <f t="shared" si="2"/>
        <v>Cfa</v>
      </c>
      <c r="AV779" s="38">
        <v>2.0</v>
      </c>
      <c r="AW779" s="38">
        <v>1.0</v>
      </c>
      <c r="AX779" s="38">
        <v>100.0</v>
      </c>
      <c r="AY779" s="38" t="s">
        <v>88</v>
      </c>
      <c r="AZ779" s="29">
        <v>30.0</v>
      </c>
      <c r="BA779" s="29"/>
      <c r="BB779" s="29">
        <v>1.0</v>
      </c>
      <c r="BC779" s="29"/>
      <c r="BD779" s="29" t="s">
        <v>88</v>
      </c>
      <c r="BE779" s="29"/>
      <c r="BF779" s="29" t="s">
        <v>936</v>
      </c>
      <c r="BG779" s="29" t="s">
        <v>572</v>
      </c>
      <c r="BH779" s="29" t="s">
        <v>88</v>
      </c>
      <c r="BI779" s="29"/>
      <c r="BJ779" s="29"/>
      <c r="BK779" s="29" t="s">
        <v>180</v>
      </c>
      <c r="BL779" s="29" t="s">
        <v>180</v>
      </c>
      <c r="BM779" s="45"/>
      <c r="BN779" s="45"/>
      <c r="BO779" s="46"/>
      <c r="BP779" s="2"/>
      <c r="BQ779" s="3"/>
    </row>
    <row r="780" ht="15.75" customHeight="1">
      <c r="A780" s="34">
        <v>785.0</v>
      </c>
      <c r="B780" s="34">
        <v>101127.0</v>
      </c>
      <c r="C780" s="34" t="s">
        <v>76</v>
      </c>
      <c r="D780" s="34" t="s">
        <v>1448</v>
      </c>
      <c r="E780" s="34" t="s">
        <v>1449</v>
      </c>
      <c r="F780" s="34">
        <v>2015.0</v>
      </c>
      <c r="G780" s="34" t="s">
        <v>1450</v>
      </c>
      <c r="H780" s="34" t="s">
        <v>1431</v>
      </c>
      <c r="I780" s="34" t="s">
        <v>1451</v>
      </c>
      <c r="J780" s="35"/>
      <c r="K780" s="36">
        <v>123.0</v>
      </c>
      <c r="L780" s="36">
        <v>92.0</v>
      </c>
      <c r="M780" s="36"/>
      <c r="N780" s="36"/>
      <c r="O780" s="36"/>
      <c r="P780" s="86">
        <f t="shared" si="75"/>
        <v>133.6956522</v>
      </c>
      <c r="Q780" s="36" t="s">
        <v>96</v>
      </c>
      <c r="R780" s="36" t="s">
        <v>96</v>
      </c>
      <c r="S780" s="36" t="s">
        <v>1452</v>
      </c>
      <c r="T780" s="36" t="s">
        <v>242</v>
      </c>
      <c r="U780" s="36" t="s">
        <v>244</v>
      </c>
      <c r="V780" s="36">
        <v>10.0</v>
      </c>
      <c r="W780" s="36"/>
      <c r="X780" s="87">
        <v>1.0</v>
      </c>
      <c r="Y780" s="38" t="s">
        <v>1464</v>
      </c>
      <c r="Z780" s="38" t="s">
        <v>1465</v>
      </c>
      <c r="AA780" s="38" t="s">
        <v>86</v>
      </c>
      <c r="AB780" s="38" t="s">
        <v>1435</v>
      </c>
      <c r="AC780" s="38" t="s">
        <v>1436</v>
      </c>
      <c r="AD780" s="38" t="s">
        <v>1250</v>
      </c>
      <c r="AE780" s="53"/>
      <c r="AF780" s="38"/>
      <c r="AG780" s="57"/>
      <c r="AH780" s="38">
        <v>10.0</v>
      </c>
      <c r="AI780" s="50">
        <v>37.16</v>
      </c>
      <c r="AJ780" s="50">
        <v>127.65</v>
      </c>
      <c r="AK780" s="41" t="s">
        <v>86</v>
      </c>
      <c r="AL780" s="40" t="s">
        <v>86</v>
      </c>
      <c r="AM780" s="49">
        <v>65.0</v>
      </c>
      <c r="AN780" s="51">
        <v>65.0</v>
      </c>
      <c r="AO780" s="42" t="s">
        <v>218</v>
      </c>
      <c r="AP780" s="43" t="s">
        <v>218</v>
      </c>
      <c r="AQ780" s="44" t="str">
        <f t="shared" si="60"/>
        <v>CRO</v>
      </c>
      <c r="AR780" s="44">
        <f t="shared" si="3"/>
        <v>65</v>
      </c>
      <c r="AS780" s="44" t="str">
        <f t="shared" si="76"/>
        <v>D</v>
      </c>
      <c r="AT780" s="44" t="str">
        <f t="shared" si="17"/>
        <v>Dw</v>
      </c>
      <c r="AU780" s="44" t="str">
        <f t="shared" si="2"/>
        <v>Dwa</v>
      </c>
      <c r="AV780" s="38">
        <v>1.0</v>
      </c>
      <c r="AW780" s="38">
        <v>1.0</v>
      </c>
      <c r="AX780" s="38">
        <v>100.0</v>
      </c>
      <c r="AY780" s="38" t="s">
        <v>88</v>
      </c>
      <c r="AZ780" s="29">
        <v>30.0</v>
      </c>
      <c r="BA780" s="29"/>
      <c r="BB780" s="29">
        <v>1.0</v>
      </c>
      <c r="BC780" s="29"/>
      <c r="BD780" s="29" t="s">
        <v>88</v>
      </c>
      <c r="BE780" s="29"/>
      <c r="BF780" s="29" t="s">
        <v>936</v>
      </c>
      <c r="BG780" s="29" t="s">
        <v>572</v>
      </c>
      <c r="BH780" s="29" t="s">
        <v>88</v>
      </c>
      <c r="BI780" s="29"/>
      <c r="BJ780" s="29"/>
      <c r="BK780" s="29" t="s">
        <v>180</v>
      </c>
      <c r="BL780" s="29" t="s">
        <v>180</v>
      </c>
      <c r="BM780" s="45"/>
      <c r="BN780" s="45"/>
      <c r="BO780" s="46"/>
      <c r="BP780" s="2"/>
      <c r="BQ780" s="3"/>
    </row>
    <row r="781" ht="15.75" customHeight="1">
      <c r="A781" s="34">
        <v>786.0</v>
      </c>
      <c r="B781" s="34">
        <v>101127.0</v>
      </c>
      <c r="C781" s="34" t="s">
        <v>76</v>
      </c>
      <c r="D781" s="34" t="s">
        <v>1448</v>
      </c>
      <c r="E781" s="34" t="s">
        <v>1449</v>
      </c>
      <c r="F781" s="34">
        <v>2015.0</v>
      </c>
      <c r="G781" s="34" t="s">
        <v>1450</v>
      </c>
      <c r="H781" s="34" t="s">
        <v>1431</v>
      </c>
      <c r="I781" s="34" t="s">
        <v>1451</v>
      </c>
      <c r="J781" s="35"/>
      <c r="K781" s="36">
        <v>42.0</v>
      </c>
      <c r="L781" s="36">
        <v>172.0</v>
      </c>
      <c r="M781" s="36"/>
      <c r="N781" s="36"/>
      <c r="O781" s="36"/>
      <c r="P781" s="52">
        <f t="shared" si="75"/>
        <v>24.41860465</v>
      </c>
      <c r="Q781" s="36" t="s">
        <v>96</v>
      </c>
      <c r="R781" s="36" t="s">
        <v>96</v>
      </c>
      <c r="S781" s="36" t="s">
        <v>1452</v>
      </c>
      <c r="T781" s="36" t="s">
        <v>242</v>
      </c>
      <c r="U781" s="36" t="s">
        <v>244</v>
      </c>
      <c r="V781" s="36">
        <v>10.0</v>
      </c>
      <c r="W781" s="36"/>
      <c r="X781" s="87">
        <v>1.0</v>
      </c>
      <c r="Y781" s="38" t="s">
        <v>1464</v>
      </c>
      <c r="Z781" s="38" t="s">
        <v>1465</v>
      </c>
      <c r="AA781" s="38" t="s">
        <v>86</v>
      </c>
      <c r="AB781" s="38" t="s">
        <v>1435</v>
      </c>
      <c r="AC781" s="38" t="s">
        <v>1436</v>
      </c>
      <c r="AD781" s="38" t="s">
        <v>1250</v>
      </c>
      <c r="AE781" s="53"/>
      <c r="AF781" s="38"/>
      <c r="AG781" s="57"/>
      <c r="AH781" s="38">
        <v>10.0</v>
      </c>
      <c r="AI781" s="50">
        <v>37.16</v>
      </c>
      <c r="AJ781" s="50">
        <v>127.65</v>
      </c>
      <c r="AK781" s="41" t="s">
        <v>86</v>
      </c>
      <c r="AL781" s="40" t="s">
        <v>86</v>
      </c>
      <c r="AM781" s="49">
        <v>65.0</v>
      </c>
      <c r="AN781" s="51">
        <v>65.0</v>
      </c>
      <c r="AO781" s="42" t="s">
        <v>218</v>
      </c>
      <c r="AP781" s="43" t="s">
        <v>218</v>
      </c>
      <c r="AQ781" s="44" t="str">
        <f t="shared" si="60"/>
        <v>CRO</v>
      </c>
      <c r="AR781" s="44">
        <f t="shared" si="3"/>
        <v>65</v>
      </c>
      <c r="AS781" s="44" t="str">
        <f t="shared" si="76"/>
        <v>D</v>
      </c>
      <c r="AT781" s="44" t="str">
        <f t="shared" si="17"/>
        <v>Dw</v>
      </c>
      <c r="AU781" s="44" t="str">
        <f t="shared" si="2"/>
        <v>Dwa</v>
      </c>
      <c r="AV781" s="38">
        <v>4.0</v>
      </c>
      <c r="AW781" s="38">
        <v>1.0</v>
      </c>
      <c r="AX781" s="38">
        <v>100.0</v>
      </c>
      <c r="AY781" s="38" t="s">
        <v>88</v>
      </c>
      <c r="AZ781" s="29">
        <v>30.0</v>
      </c>
      <c r="BA781" s="29"/>
      <c r="BB781" s="29">
        <v>1.0</v>
      </c>
      <c r="BC781" s="29"/>
      <c r="BD781" s="29" t="s">
        <v>88</v>
      </c>
      <c r="BE781" s="29"/>
      <c r="BF781" s="29" t="s">
        <v>936</v>
      </c>
      <c r="BG781" s="29" t="s">
        <v>572</v>
      </c>
      <c r="BH781" s="29" t="s">
        <v>88</v>
      </c>
      <c r="BI781" s="29"/>
      <c r="BJ781" s="29"/>
      <c r="BK781" s="29" t="s">
        <v>180</v>
      </c>
      <c r="BL781" s="29" t="s">
        <v>180</v>
      </c>
      <c r="BM781" s="45"/>
      <c r="BN781" s="45"/>
      <c r="BO781" s="46"/>
      <c r="BP781" s="2"/>
      <c r="BQ781" s="3"/>
    </row>
    <row r="782" ht="15.75" customHeight="1">
      <c r="A782" s="34">
        <v>787.0</v>
      </c>
      <c r="B782" s="34">
        <v>101127.0</v>
      </c>
      <c r="C782" s="34" t="s">
        <v>76</v>
      </c>
      <c r="D782" s="34" t="s">
        <v>1448</v>
      </c>
      <c r="E782" s="34" t="s">
        <v>1449</v>
      </c>
      <c r="F782" s="34">
        <v>2015.0</v>
      </c>
      <c r="G782" s="34" t="s">
        <v>1450</v>
      </c>
      <c r="H782" s="34" t="s">
        <v>1431</v>
      </c>
      <c r="I782" s="34" t="s">
        <v>1451</v>
      </c>
      <c r="J782" s="35"/>
      <c r="K782" s="36">
        <v>9.0</v>
      </c>
      <c r="L782" s="36">
        <v>205.0</v>
      </c>
      <c r="M782" s="36"/>
      <c r="N782" s="36"/>
      <c r="O782" s="36"/>
      <c r="P782" s="52">
        <f t="shared" si="75"/>
        <v>4.390243902</v>
      </c>
      <c r="Q782" s="36" t="s">
        <v>96</v>
      </c>
      <c r="R782" s="36" t="s">
        <v>96</v>
      </c>
      <c r="S782" s="36" t="s">
        <v>1452</v>
      </c>
      <c r="T782" s="36" t="s">
        <v>242</v>
      </c>
      <c r="U782" s="36" t="s">
        <v>244</v>
      </c>
      <c r="V782" s="36">
        <v>10.0</v>
      </c>
      <c r="W782" s="36"/>
      <c r="X782" s="87">
        <v>1.0</v>
      </c>
      <c r="Y782" s="38" t="s">
        <v>1464</v>
      </c>
      <c r="Z782" s="38" t="s">
        <v>1465</v>
      </c>
      <c r="AA782" s="38" t="s">
        <v>86</v>
      </c>
      <c r="AB782" s="38" t="s">
        <v>1435</v>
      </c>
      <c r="AC782" s="38" t="s">
        <v>1436</v>
      </c>
      <c r="AD782" s="38" t="s">
        <v>1250</v>
      </c>
      <c r="AE782" s="53"/>
      <c r="AF782" s="38"/>
      <c r="AG782" s="57"/>
      <c r="AH782" s="38">
        <v>10.0</v>
      </c>
      <c r="AI782" s="50">
        <v>37.16</v>
      </c>
      <c r="AJ782" s="50">
        <v>127.65</v>
      </c>
      <c r="AK782" s="41" t="s">
        <v>86</v>
      </c>
      <c r="AL782" s="40" t="s">
        <v>86</v>
      </c>
      <c r="AM782" s="49">
        <v>65.0</v>
      </c>
      <c r="AN782" s="51">
        <v>65.0</v>
      </c>
      <c r="AO782" s="42" t="s">
        <v>218</v>
      </c>
      <c r="AP782" s="43" t="s">
        <v>218</v>
      </c>
      <c r="AQ782" s="44" t="str">
        <f t="shared" si="60"/>
        <v>CRO</v>
      </c>
      <c r="AR782" s="44">
        <f t="shared" si="3"/>
        <v>65</v>
      </c>
      <c r="AS782" s="44" t="str">
        <f t="shared" si="76"/>
        <v>D</v>
      </c>
      <c r="AT782" s="44" t="str">
        <f t="shared" si="17"/>
        <v>Dw</v>
      </c>
      <c r="AU782" s="44" t="str">
        <f t="shared" si="2"/>
        <v>Dwa</v>
      </c>
      <c r="AV782" s="38">
        <v>3.0</v>
      </c>
      <c r="AW782" s="38">
        <v>1.0</v>
      </c>
      <c r="AX782" s="38">
        <v>100.0</v>
      </c>
      <c r="AY782" s="38" t="s">
        <v>88</v>
      </c>
      <c r="AZ782" s="29">
        <v>30.0</v>
      </c>
      <c r="BA782" s="29"/>
      <c r="BB782" s="29">
        <v>1.0</v>
      </c>
      <c r="BC782" s="29"/>
      <c r="BD782" s="29" t="s">
        <v>88</v>
      </c>
      <c r="BE782" s="29"/>
      <c r="BF782" s="29" t="s">
        <v>936</v>
      </c>
      <c r="BG782" s="29" t="s">
        <v>572</v>
      </c>
      <c r="BH782" s="29" t="s">
        <v>88</v>
      </c>
      <c r="BI782" s="29"/>
      <c r="BJ782" s="29"/>
      <c r="BK782" s="29" t="s">
        <v>180</v>
      </c>
      <c r="BL782" s="29" t="s">
        <v>180</v>
      </c>
      <c r="BM782" s="45"/>
      <c r="BN782" s="45"/>
      <c r="BO782" s="46"/>
      <c r="BP782" s="2"/>
      <c r="BQ782" s="3"/>
    </row>
    <row r="783" ht="15.75" customHeight="1">
      <c r="A783" s="34">
        <v>788.0</v>
      </c>
      <c r="B783" s="34">
        <v>101127.0</v>
      </c>
      <c r="C783" s="34" t="s">
        <v>76</v>
      </c>
      <c r="D783" s="34" t="s">
        <v>1448</v>
      </c>
      <c r="E783" s="34" t="s">
        <v>1449</v>
      </c>
      <c r="F783" s="34">
        <v>2015.0</v>
      </c>
      <c r="G783" s="34" t="s">
        <v>1450</v>
      </c>
      <c r="H783" s="34" t="s">
        <v>1431</v>
      </c>
      <c r="I783" s="34" t="s">
        <v>1451</v>
      </c>
      <c r="J783" s="35"/>
      <c r="K783" s="36">
        <v>-125.0</v>
      </c>
      <c r="L783" s="36">
        <v>339.0</v>
      </c>
      <c r="M783" s="36"/>
      <c r="N783" s="36"/>
      <c r="O783" s="36"/>
      <c r="P783" s="52">
        <f t="shared" si="75"/>
        <v>-36.87315634</v>
      </c>
      <c r="Q783" s="36" t="s">
        <v>96</v>
      </c>
      <c r="R783" s="36" t="s">
        <v>96</v>
      </c>
      <c r="S783" s="36" t="s">
        <v>1452</v>
      </c>
      <c r="T783" s="36" t="s">
        <v>242</v>
      </c>
      <c r="U783" s="36" t="s">
        <v>244</v>
      </c>
      <c r="V783" s="36">
        <v>10.0</v>
      </c>
      <c r="W783" s="36"/>
      <c r="X783" s="87">
        <v>1.0</v>
      </c>
      <c r="Y783" s="38" t="s">
        <v>1464</v>
      </c>
      <c r="Z783" s="38" t="s">
        <v>1465</v>
      </c>
      <c r="AA783" s="38" t="s">
        <v>86</v>
      </c>
      <c r="AB783" s="38" t="s">
        <v>1435</v>
      </c>
      <c r="AC783" s="38" t="s">
        <v>1436</v>
      </c>
      <c r="AD783" s="38" t="s">
        <v>1250</v>
      </c>
      <c r="AE783" s="53"/>
      <c r="AF783" s="38"/>
      <c r="AG783" s="57"/>
      <c r="AH783" s="38">
        <v>10.0</v>
      </c>
      <c r="AI783" s="50">
        <v>37.16</v>
      </c>
      <c r="AJ783" s="50">
        <v>127.65</v>
      </c>
      <c r="AK783" s="41" t="s">
        <v>86</v>
      </c>
      <c r="AL783" s="40" t="s">
        <v>86</v>
      </c>
      <c r="AM783" s="49">
        <v>65.0</v>
      </c>
      <c r="AN783" s="51">
        <v>65.0</v>
      </c>
      <c r="AO783" s="42" t="s">
        <v>218</v>
      </c>
      <c r="AP783" s="43" t="s">
        <v>218</v>
      </c>
      <c r="AQ783" s="44" t="str">
        <f t="shared" si="60"/>
        <v>CRO</v>
      </c>
      <c r="AR783" s="44">
        <f t="shared" si="3"/>
        <v>65</v>
      </c>
      <c r="AS783" s="44" t="str">
        <f t="shared" si="76"/>
        <v>D</v>
      </c>
      <c r="AT783" s="44" t="str">
        <f t="shared" si="17"/>
        <v>Dw</v>
      </c>
      <c r="AU783" s="44" t="str">
        <f t="shared" si="2"/>
        <v>Dwa</v>
      </c>
      <c r="AV783" s="38">
        <v>2.0</v>
      </c>
      <c r="AW783" s="38">
        <v>1.0</v>
      </c>
      <c r="AX783" s="38">
        <v>100.0</v>
      </c>
      <c r="AY783" s="38" t="s">
        <v>88</v>
      </c>
      <c r="AZ783" s="29">
        <v>30.0</v>
      </c>
      <c r="BA783" s="29"/>
      <c r="BB783" s="29">
        <v>1.0</v>
      </c>
      <c r="BC783" s="29"/>
      <c r="BD783" s="29" t="s">
        <v>88</v>
      </c>
      <c r="BE783" s="29"/>
      <c r="BF783" s="29" t="s">
        <v>936</v>
      </c>
      <c r="BG783" s="29" t="s">
        <v>572</v>
      </c>
      <c r="BH783" s="29" t="s">
        <v>88</v>
      </c>
      <c r="BI783" s="29"/>
      <c r="BJ783" s="29"/>
      <c r="BK783" s="29" t="s">
        <v>180</v>
      </c>
      <c r="BL783" s="29" t="s">
        <v>180</v>
      </c>
      <c r="BM783" s="45"/>
      <c r="BN783" s="45"/>
      <c r="BO783" s="46"/>
      <c r="BP783" s="2"/>
      <c r="BQ783" s="3"/>
    </row>
    <row r="784" ht="15.75" customHeight="1">
      <c r="A784" s="34">
        <v>789.0</v>
      </c>
      <c r="B784" s="34">
        <v>101127.0</v>
      </c>
      <c r="C784" s="34" t="s">
        <v>76</v>
      </c>
      <c r="D784" s="34" t="s">
        <v>1448</v>
      </c>
      <c r="E784" s="34" t="s">
        <v>1449</v>
      </c>
      <c r="F784" s="34">
        <v>2015.0</v>
      </c>
      <c r="G784" s="34" t="s">
        <v>1450</v>
      </c>
      <c r="H784" s="34" t="s">
        <v>1431</v>
      </c>
      <c r="I784" s="34" t="s">
        <v>1451</v>
      </c>
      <c r="J784" s="35"/>
      <c r="K784" s="36">
        <v>94.0</v>
      </c>
      <c r="L784" s="36">
        <v>111.0</v>
      </c>
      <c r="M784" s="36"/>
      <c r="N784" s="36"/>
      <c r="O784" s="36"/>
      <c r="P784" s="52">
        <f t="shared" si="75"/>
        <v>84.68468468</v>
      </c>
      <c r="Q784" s="36" t="s">
        <v>96</v>
      </c>
      <c r="R784" s="36" t="s">
        <v>96</v>
      </c>
      <c r="S784" s="36" t="s">
        <v>1452</v>
      </c>
      <c r="T784" s="36" t="s">
        <v>284</v>
      </c>
      <c r="U784" s="36" t="s">
        <v>244</v>
      </c>
      <c r="V784" s="36">
        <v>90.0</v>
      </c>
      <c r="W784" s="36"/>
      <c r="X784" s="87">
        <v>4.0</v>
      </c>
      <c r="Y784" s="38" t="s">
        <v>1466</v>
      </c>
      <c r="Z784" s="38"/>
      <c r="AA784" s="38"/>
      <c r="AB784" s="38"/>
      <c r="AC784" s="38"/>
      <c r="AD784" s="38" t="s">
        <v>1467</v>
      </c>
      <c r="AE784" s="38"/>
      <c r="AF784" s="38"/>
      <c r="AG784" s="38"/>
      <c r="AH784" s="38"/>
      <c r="AI784" s="50"/>
      <c r="AJ784" s="50"/>
      <c r="AK784" s="41"/>
      <c r="AL784" s="40"/>
      <c r="AM784" s="49"/>
      <c r="AN784" s="43"/>
      <c r="AO784" s="42"/>
      <c r="AP784" s="43"/>
      <c r="AQ784" s="44" t="str">
        <f t="shared" si="60"/>
        <v/>
      </c>
      <c r="AR784" s="44" t="str">
        <f t="shared" si="3"/>
        <v/>
      </c>
      <c r="AS784" s="44"/>
      <c r="AT784" s="44" t="str">
        <f t="shared" si="17"/>
        <v/>
      </c>
      <c r="AU784" s="44" t="str">
        <f t="shared" si="2"/>
        <v/>
      </c>
      <c r="AV784" s="38">
        <v>1.0</v>
      </c>
      <c r="AW784" s="38">
        <v>1.0</v>
      </c>
      <c r="AX784" s="38">
        <v>100.0</v>
      </c>
      <c r="AY784" s="38" t="s">
        <v>88</v>
      </c>
      <c r="AZ784" s="29">
        <v>30.0</v>
      </c>
      <c r="BA784" s="29"/>
      <c r="BB784" s="29">
        <v>1.0</v>
      </c>
      <c r="BC784" s="29"/>
      <c r="BD784" s="29" t="s">
        <v>88</v>
      </c>
      <c r="BE784" s="29"/>
      <c r="BF784" s="29" t="s">
        <v>936</v>
      </c>
      <c r="BG784" s="29" t="s">
        <v>572</v>
      </c>
      <c r="BH784" s="29" t="s">
        <v>88</v>
      </c>
      <c r="BI784" s="29"/>
      <c r="BJ784" s="29"/>
      <c r="BK784" s="29" t="s">
        <v>180</v>
      </c>
      <c r="BL784" s="29" t="s">
        <v>180</v>
      </c>
      <c r="BM784" s="45"/>
      <c r="BN784" s="45"/>
      <c r="BO784" s="46"/>
      <c r="BP784" s="2"/>
      <c r="BQ784" s="3"/>
    </row>
    <row r="785" ht="15.75" customHeight="1">
      <c r="A785" s="34">
        <v>790.0</v>
      </c>
      <c r="B785" s="34">
        <v>101127.0</v>
      </c>
      <c r="C785" s="34" t="s">
        <v>76</v>
      </c>
      <c r="D785" s="34" t="s">
        <v>1448</v>
      </c>
      <c r="E785" s="34" t="s">
        <v>1449</v>
      </c>
      <c r="F785" s="34">
        <v>2015.0</v>
      </c>
      <c r="G785" s="34" t="s">
        <v>1450</v>
      </c>
      <c r="H785" s="34" t="s">
        <v>1431</v>
      </c>
      <c r="I785" s="34" t="s">
        <v>1451</v>
      </c>
      <c r="J785" s="35"/>
      <c r="K785" s="36">
        <v>27.0</v>
      </c>
      <c r="L785" s="36">
        <v>178.0</v>
      </c>
      <c r="M785" s="36"/>
      <c r="N785" s="36"/>
      <c r="O785" s="36"/>
      <c r="P785" s="52">
        <f t="shared" si="75"/>
        <v>15.16853933</v>
      </c>
      <c r="Q785" s="36" t="s">
        <v>96</v>
      </c>
      <c r="R785" s="36" t="s">
        <v>96</v>
      </c>
      <c r="S785" s="36" t="s">
        <v>1452</v>
      </c>
      <c r="T785" s="36" t="s">
        <v>284</v>
      </c>
      <c r="U785" s="36" t="s">
        <v>244</v>
      </c>
      <c r="V785" s="36">
        <v>90.0</v>
      </c>
      <c r="W785" s="36"/>
      <c r="X785" s="87">
        <v>4.0</v>
      </c>
      <c r="Y785" s="38" t="s">
        <v>1466</v>
      </c>
      <c r="Z785" s="38"/>
      <c r="AA785" s="38"/>
      <c r="AB785" s="38"/>
      <c r="AC785" s="38"/>
      <c r="AD785" s="38" t="s">
        <v>1467</v>
      </c>
      <c r="AE785" s="38"/>
      <c r="AF785" s="38"/>
      <c r="AG785" s="38"/>
      <c r="AH785" s="38"/>
      <c r="AI785" s="50"/>
      <c r="AJ785" s="50"/>
      <c r="AK785" s="41"/>
      <c r="AL785" s="40"/>
      <c r="AM785" s="49"/>
      <c r="AN785" s="43"/>
      <c r="AO785" s="42"/>
      <c r="AP785" s="43"/>
      <c r="AQ785" s="44" t="str">
        <f t="shared" si="60"/>
        <v/>
      </c>
      <c r="AR785" s="44" t="str">
        <f t="shared" si="3"/>
        <v/>
      </c>
      <c r="AS785" s="44"/>
      <c r="AT785" s="44" t="str">
        <f t="shared" si="17"/>
        <v/>
      </c>
      <c r="AU785" s="44" t="str">
        <f t="shared" si="2"/>
        <v/>
      </c>
      <c r="AV785" s="38">
        <v>4.0</v>
      </c>
      <c r="AW785" s="38">
        <v>1.0</v>
      </c>
      <c r="AX785" s="38">
        <v>100.0</v>
      </c>
      <c r="AY785" s="38" t="s">
        <v>88</v>
      </c>
      <c r="AZ785" s="29">
        <v>30.0</v>
      </c>
      <c r="BA785" s="29"/>
      <c r="BB785" s="29">
        <v>1.0</v>
      </c>
      <c r="BC785" s="29"/>
      <c r="BD785" s="29" t="s">
        <v>88</v>
      </c>
      <c r="BE785" s="29"/>
      <c r="BF785" s="29" t="s">
        <v>936</v>
      </c>
      <c r="BG785" s="29" t="s">
        <v>572</v>
      </c>
      <c r="BH785" s="29" t="s">
        <v>88</v>
      </c>
      <c r="BI785" s="29"/>
      <c r="BJ785" s="29"/>
      <c r="BK785" s="29" t="s">
        <v>180</v>
      </c>
      <c r="BL785" s="29" t="s">
        <v>180</v>
      </c>
      <c r="BM785" s="45"/>
      <c r="BN785" s="45"/>
      <c r="BO785" s="46"/>
      <c r="BP785" s="2"/>
      <c r="BQ785" s="3"/>
    </row>
    <row r="786" ht="15.75" customHeight="1">
      <c r="A786" s="34">
        <v>791.0</v>
      </c>
      <c r="B786" s="34">
        <v>101127.0</v>
      </c>
      <c r="C786" s="34" t="s">
        <v>76</v>
      </c>
      <c r="D786" s="34" t="s">
        <v>1448</v>
      </c>
      <c r="E786" s="34" t="s">
        <v>1449</v>
      </c>
      <c r="F786" s="34">
        <v>2015.0</v>
      </c>
      <c r="G786" s="34" t="s">
        <v>1450</v>
      </c>
      <c r="H786" s="34" t="s">
        <v>1431</v>
      </c>
      <c r="I786" s="34" t="s">
        <v>1451</v>
      </c>
      <c r="J786" s="35"/>
      <c r="K786" s="36">
        <v>14.0</v>
      </c>
      <c r="L786" s="36">
        <v>191.0</v>
      </c>
      <c r="M786" s="36"/>
      <c r="N786" s="36"/>
      <c r="O786" s="36"/>
      <c r="P786" s="52">
        <f t="shared" si="75"/>
        <v>7.329842932</v>
      </c>
      <c r="Q786" s="36" t="s">
        <v>96</v>
      </c>
      <c r="R786" s="36" t="s">
        <v>96</v>
      </c>
      <c r="S786" s="36" t="s">
        <v>1452</v>
      </c>
      <c r="T786" s="36" t="s">
        <v>284</v>
      </c>
      <c r="U786" s="36" t="s">
        <v>244</v>
      </c>
      <c r="V786" s="36">
        <v>90.0</v>
      </c>
      <c r="W786" s="36"/>
      <c r="X786" s="87">
        <v>4.0</v>
      </c>
      <c r="Y786" s="38" t="s">
        <v>1466</v>
      </c>
      <c r="Z786" s="38"/>
      <c r="AA786" s="38"/>
      <c r="AB786" s="38"/>
      <c r="AC786" s="38"/>
      <c r="AD786" s="38" t="s">
        <v>1467</v>
      </c>
      <c r="AE786" s="38"/>
      <c r="AF786" s="38"/>
      <c r="AG786" s="38"/>
      <c r="AH786" s="38"/>
      <c r="AI786" s="50"/>
      <c r="AJ786" s="50"/>
      <c r="AK786" s="41"/>
      <c r="AL786" s="40"/>
      <c r="AM786" s="49"/>
      <c r="AN786" s="43"/>
      <c r="AO786" s="42"/>
      <c r="AP786" s="43"/>
      <c r="AQ786" s="44" t="str">
        <f t="shared" si="60"/>
        <v/>
      </c>
      <c r="AR786" s="44" t="str">
        <f t="shared" si="3"/>
        <v/>
      </c>
      <c r="AS786" s="44"/>
      <c r="AT786" s="44" t="str">
        <f t="shared" si="17"/>
        <v/>
      </c>
      <c r="AU786" s="44" t="str">
        <f t="shared" si="2"/>
        <v/>
      </c>
      <c r="AV786" s="38">
        <v>3.0</v>
      </c>
      <c r="AW786" s="38">
        <v>1.0</v>
      </c>
      <c r="AX786" s="38">
        <v>100.0</v>
      </c>
      <c r="AY786" s="38" t="s">
        <v>88</v>
      </c>
      <c r="AZ786" s="29">
        <v>30.0</v>
      </c>
      <c r="BA786" s="29"/>
      <c r="BB786" s="29">
        <v>1.0</v>
      </c>
      <c r="BC786" s="29"/>
      <c r="BD786" s="29" t="s">
        <v>88</v>
      </c>
      <c r="BE786" s="29"/>
      <c r="BF786" s="29" t="s">
        <v>936</v>
      </c>
      <c r="BG786" s="29" t="s">
        <v>572</v>
      </c>
      <c r="BH786" s="29" t="s">
        <v>88</v>
      </c>
      <c r="BI786" s="29"/>
      <c r="BJ786" s="29"/>
      <c r="BK786" s="29" t="s">
        <v>180</v>
      </c>
      <c r="BL786" s="29" t="s">
        <v>180</v>
      </c>
      <c r="BM786" s="45"/>
      <c r="BN786" s="45"/>
      <c r="BO786" s="46"/>
      <c r="BP786" s="2"/>
      <c r="BQ786" s="3"/>
    </row>
    <row r="787" ht="15.75" customHeight="1">
      <c r="A787" s="34">
        <v>792.0</v>
      </c>
      <c r="B787" s="34">
        <v>101127.0</v>
      </c>
      <c r="C787" s="34" t="s">
        <v>76</v>
      </c>
      <c r="D787" s="34" t="s">
        <v>1448</v>
      </c>
      <c r="E787" s="34" t="s">
        <v>1449</v>
      </c>
      <c r="F787" s="34">
        <v>2015.0</v>
      </c>
      <c r="G787" s="34" t="s">
        <v>1450</v>
      </c>
      <c r="H787" s="34" t="s">
        <v>1431</v>
      </c>
      <c r="I787" s="34" t="s">
        <v>1451</v>
      </c>
      <c r="J787" s="35"/>
      <c r="K787" s="36">
        <v>-85.0</v>
      </c>
      <c r="L787" s="36">
        <v>290.0</v>
      </c>
      <c r="M787" s="36"/>
      <c r="N787" s="36"/>
      <c r="O787" s="36"/>
      <c r="P787" s="52">
        <f t="shared" si="75"/>
        <v>-29.31034483</v>
      </c>
      <c r="Q787" s="36" t="s">
        <v>96</v>
      </c>
      <c r="R787" s="36" t="s">
        <v>96</v>
      </c>
      <c r="S787" s="36" t="s">
        <v>1452</v>
      </c>
      <c r="T787" s="36" t="s">
        <v>284</v>
      </c>
      <c r="U787" s="36" t="s">
        <v>244</v>
      </c>
      <c r="V787" s="36">
        <v>90.0</v>
      </c>
      <c r="W787" s="36"/>
      <c r="X787" s="87">
        <v>4.0</v>
      </c>
      <c r="Y787" s="38" t="s">
        <v>1466</v>
      </c>
      <c r="Z787" s="38"/>
      <c r="AA787" s="38"/>
      <c r="AB787" s="38"/>
      <c r="AC787" s="38"/>
      <c r="AD787" s="38" t="s">
        <v>1467</v>
      </c>
      <c r="AE787" s="38"/>
      <c r="AF787" s="38"/>
      <c r="AG787" s="38"/>
      <c r="AH787" s="38"/>
      <c r="AI787" s="50"/>
      <c r="AJ787" s="50"/>
      <c r="AK787" s="41"/>
      <c r="AL787" s="40"/>
      <c r="AM787" s="49"/>
      <c r="AN787" s="43"/>
      <c r="AO787" s="42"/>
      <c r="AP787" s="43"/>
      <c r="AQ787" s="44" t="str">
        <f t="shared" si="60"/>
        <v/>
      </c>
      <c r="AR787" s="44" t="str">
        <f t="shared" si="3"/>
        <v/>
      </c>
      <c r="AS787" s="44"/>
      <c r="AT787" s="44" t="str">
        <f t="shared" si="17"/>
        <v/>
      </c>
      <c r="AU787" s="44" t="str">
        <f t="shared" si="2"/>
        <v/>
      </c>
      <c r="AV787" s="38">
        <v>2.0</v>
      </c>
      <c r="AW787" s="38">
        <v>1.0</v>
      </c>
      <c r="AX787" s="38">
        <v>100.0</v>
      </c>
      <c r="AY787" s="38" t="s">
        <v>88</v>
      </c>
      <c r="AZ787" s="29">
        <v>30.0</v>
      </c>
      <c r="BA787" s="29"/>
      <c r="BB787" s="29">
        <v>1.0</v>
      </c>
      <c r="BC787" s="29"/>
      <c r="BD787" s="29" t="s">
        <v>88</v>
      </c>
      <c r="BE787" s="29"/>
      <c r="BF787" s="29" t="s">
        <v>936</v>
      </c>
      <c r="BG787" s="29" t="s">
        <v>572</v>
      </c>
      <c r="BH787" s="29" t="s">
        <v>88</v>
      </c>
      <c r="BI787" s="29"/>
      <c r="BJ787" s="29"/>
      <c r="BK787" s="29" t="s">
        <v>180</v>
      </c>
      <c r="BL787" s="29" t="s">
        <v>180</v>
      </c>
      <c r="BM787" s="45"/>
      <c r="BN787" s="45"/>
      <c r="BO787" s="46"/>
      <c r="BP787" s="2"/>
      <c r="BQ787" s="3"/>
    </row>
    <row r="788" ht="15.75" customHeight="1">
      <c r="A788" s="34">
        <v>794.0</v>
      </c>
      <c r="B788" s="34">
        <v>102639.0</v>
      </c>
      <c r="C788" s="34" t="s">
        <v>76</v>
      </c>
      <c r="D788" s="34" t="s">
        <v>1470</v>
      </c>
      <c r="E788" s="34" t="s">
        <v>1471</v>
      </c>
      <c r="F788" s="34">
        <v>2019.0</v>
      </c>
      <c r="G788" s="34" t="s">
        <v>1472</v>
      </c>
      <c r="H788" s="34" t="s">
        <v>1431</v>
      </c>
      <c r="I788" s="34" t="s">
        <v>1473</v>
      </c>
      <c r="J788" s="35"/>
      <c r="K788" s="36"/>
      <c r="L788" s="36"/>
      <c r="M788" s="36"/>
      <c r="N788" s="36"/>
      <c r="O788" s="36"/>
      <c r="P788" s="37">
        <v>15.0</v>
      </c>
      <c r="Q788" s="36" t="s">
        <v>734</v>
      </c>
      <c r="R788" s="36" t="s">
        <v>13</v>
      </c>
      <c r="S788" s="36">
        <v>1200.0</v>
      </c>
      <c r="T788" s="36" t="s">
        <v>1474</v>
      </c>
      <c r="U788" s="36" t="s">
        <v>914</v>
      </c>
      <c r="V788" s="36"/>
      <c r="W788" s="36"/>
      <c r="X788" s="38">
        <v>8.0</v>
      </c>
      <c r="Y788" s="38" t="s">
        <v>1475</v>
      </c>
      <c r="Z788" s="38"/>
      <c r="AA788" s="38" t="s">
        <v>197</v>
      </c>
      <c r="AB788" s="38" t="s">
        <v>1476</v>
      </c>
      <c r="AC788" s="38" t="s">
        <v>1477</v>
      </c>
      <c r="AD788" s="38" t="s">
        <v>395</v>
      </c>
      <c r="AE788" s="38"/>
      <c r="AF788" s="38"/>
      <c r="AG788" s="38"/>
      <c r="AH788" s="38"/>
      <c r="AI788" s="50"/>
      <c r="AJ788" s="50"/>
      <c r="AK788" s="41"/>
      <c r="AL788" s="40"/>
      <c r="AM788" s="49"/>
      <c r="AN788" s="51"/>
      <c r="AO788" s="42"/>
      <c r="AP788" s="43"/>
      <c r="AQ788" s="44" t="str">
        <f t="shared" si="60"/>
        <v>ENF</v>
      </c>
      <c r="AR788" s="44" t="str">
        <f t="shared" si="3"/>
        <v/>
      </c>
      <c r="AS788" s="44"/>
      <c r="AT788" s="44" t="str">
        <f t="shared" si="17"/>
        <v/>
      </c>
      <c r="AU788" s="44" t="str">
        <f t="shared" si="2"/>
        <v/>
      </c>
      <c r="AV788" s="38"/>
      <c r="AW788" s="38"/>
      <c r="AX788" s="38"/>
      <c r="AY788" s="38"/>
      <c r="AZ788" s="29">
        <v>1200.0</v>
      </c>
      <c r="BA788" s="29"/>
      <c r="BB788" s="29">
        <v>1.0</v>
      </c>
      <c r="BC788" s="29"/>
      <c r="BD788" s="29" t="s">
        <v>88</v>
      </c>
      <c r="BE788" s="29" t="s">
        <v>1478</v>
      </c>
      <c r="BF788" s="29" t="s">
        <v>1479</v>
      </c>
      <c r="BG788" s="29" t="s">
        <v>1095</v>
      </c>
      <c r="BH788" s="29" t="s">
        <v>88</v>
      </c>
      <c r="BI788" s="29" t="s">
        <v>1438</v>
      </c>
      <c r="BJ788" s="29"/>
      <c r="BK788" s="29" t="s">
        <v>148</v>
      </c>
      <c r="BL788" s="29"/>
      <c r="BM788" s="45"/>
      <c r="BN788" s="45">
        <v>1.0</v>
      </c>
      <c r="BO788" s="46" t="s">
        <v>1480</v>
      </c>
      <c r="BP788" s="2"/>
      <c r="BQ788" s="3"/>
    </row>
    <row r="789" ht="15.75" customHeight="1">
      <c r="A789" s="34">
        <v>795.0</v>
      </c>
      <c r="B789" s="34">
        <v>102639.0</v>
      </c>
      <c r="C789" s="34" t="s">
        <v>76</v>
      </c>
      <c r="D789" s="34" t="s">
        <v>1470</v>
      </c>
      <c r="E789" s="34" t="s">
        <v>1471</v>
      </c>
      <c r="F789" s="34">
        <v>2019.0</v>
      </c>
      <c r="G789" s="34" t="s">
        <v>1472</v>
      </c>
      <c r="H789" s="34" t="s">
        <v>1431</v>
      </c>
      <c r="I789" s="34" t="s">
        <v>1473</v>
      </c>
      <c r="J789" s="35"/>
      <c r="K789" s="36"/>
      <c r="L789" s="36"/>
      <c r="M789" s="36"/>
      <c r="N789" s="36"/>
      <c r="O789" s="36"/>
      <c r="P789" s="37">
        <v>-28.0</v>
      </c>
      <c r="Q789" s="36" t="s">
        <v>734</v>
      </c>
      <c r="R789" s="36" t="s">
        <v>13</v>
      </c>
      <c r="S789" s="36">
        <v>1200.0</v>
      </c>
      <c r="T789" s="36" t="s">
        <v>1474</v>
      </c>
      <c r="U789" s="36" t="s">
        <v>914</v>
      </c>
      <c r="V789" s="36"/>
      <c r="W789" s="36"/>
      <c r="X789" s="38">
        <v>8.0</v>
      </c>
      <c r="Y789" s="38" t="s">
        <v>1475</v>
      </c>
      <c r="Z789" s="38"/>
      <c r="AA789" s="38" t="s">
        <v>197</v>
      </c>
      <c r="AB789" s="38" t="s">
        <v>1476</v>
      </c>
      <c r="AC789" s="38" t="s">
        <v>1477</v>
      </c>
      <c r="AD789" s="38" t="s">
        <v>395</v>
      </c>
      <c r="AE789" s="38"/>
      <c r="AF789" s="38"/>
      <c r="AG789" s="38"/>
      <c r="AH789" s="38"/>
      <c r="AI789" s="50"/>
      <c r="AJ789" s="50"/>
      <c r="AK789" s="41"/>
      <c r="AL789" s="40"/>
      <c r="AM789" s="49"/>
      <c r="AN789" s="51"/>
      <c r="AO789" s="42"/>
      <c r="AP789" s="43"/>
      <c r="AQ789" s="44" t="str">
        <f t="shared" si="60"/>
        <v>ENF</v>
      </c>
      <c r="AR789" s="44" t="str">
        <f t="shared" si="3"/>
        <v/>
      </c>
      <c r="AS789" s="44"/>
      <c r="AT789" s="44" t="str">
        <f t="shared" si="17"/>
        <v/>
      </c>
      <c r="AU789" s="44" t="str">
        <f t="shared" si="2"/>
        <v/>
      </c>
      <c r="AV789" s="38"/>
      <c r="AW789" s="38"/>
      <c r="AX789" s="38"/>
      <c r="AY789" s="38"/>
      <c r="AZ789" s="29">
        <v>1200.0</v>
      </c>
      <c r="BA789" s="29"/>
      <c r="BB789" s="29">
        <v>1.0</v>
      </c>
      <c r="BC789" s="29"/>
      <c r="BD789" s="29" t="s">
        <v>88</v>
      </c>
      <c r="BE789" s="29" t="s">
        <v>1481</v>
      </c>
      <c r="BF789" s="29" t="s">
        <v>1482</v>
      </c>
      <c r="BG789" s="29" t="s">
        <v>1095</v>
      </c>
      <c r="BH789" s="29" t="s">
        <v>88</v>
      </c>
      <c r="BI789" s="29" t="s">
        <v>1438</v>
      </c>
      <c r="BJ789" s="29"/>
      <c r="BK789" s="29" t="s">
        <v>148</v>
      </c>
      <c r="BL789" s="29"/>
      <c r="BM789" s="45"/>
      <c r="BN789" s="45">
        <v>1.0</v>
      </c>
      <c r="BO789" s="46" t="s">
        <v>1480</v>
      </c>
      <c r="BP789" s="2"/>
      <c r="BQ789" s="3"/>
    </row>
    <row r="790" ht="15.75" customHeight="1">
      <c r="A790" s="34">
        <v>796.0</v>
      </c>
      <c r="B790" s="34">
        <v>102639.0</v>
      </c>
      <c r="C790" s="34" t="s">
        <v>76</v>
      </c>
      <c r="D790" s="34" t="s">
        <v>1470</v>
      </c>
      <c r="E790" s="34" t="s">
        <v>1471</v>
      </c>
      <c r="F790" s="34">
        <v>2019.0</v>
      </c>
      <c r="G790" s="34" t="s">
        <v>1472</v>
      </c>
      <c r="H790" s="34" t="s">
        <v>1431</v>
      </c>
      <c r="I790" s="34" t="s">
        <v>1473</v>
      </c>
      <c r="J790" s="35"/>
      <c r="K790" s="36"/>
      <c r="L790" s="36"/>
      <c r="M790" s="36"/>
      <c r="N790" s="36"/>
      <c r="O790" s="36"/>
      <c r="P790" s="37">
        <v>-30.0</v>
      </c>
      <c r="Q790" s="36" t="s">
        <v>734</v>
      </c>
      <c r="R790" s="36" t="s">
        <v>13</v>
      </c>
      <c r="S790" s="36">
        <v>1200.0</v>
      </c>
      <c r="T790" s="36" t="s">
        <v>1474</v>
      </c>
      <c r="U790" s="36" t="s">
        <v>914</v>
      </c>
      <c r="V790" s="36"/>
      <c r="W790" s="36"/>
      <c r="X790" s="38">
        <v>8.0</v>
      </c>
      <c r="Y790" s="38" t="s">
        <v>1475</v>
      </c>
      <c r="Z790" s="38"/>
      <c r="AA790" s="38" t="s">
        <v>197</v>
      </c>
      <c r="AB790" s="38" t="s">
        <v>1476</v>
      </c>
      <c r="AC790" s="38" t="s">
        <v>1477</v>
      </c>
      <c r="AD790" s="38" t="s">
        <v>395</v>
      </c>
      <c r="AE790" s="38"/>
      <c r="AF790" s="38"/>
      <c r="AG790" s="38"/>
      <c r="AH790" s="38"/>
      <c r="AI790" s="50"/>
      <c r="AJ790" s="50"/>
      <c r="AK790" s="41"/>
      <c r="AL790" s="40"/>
      <c r="AM790" s="49"/>
      <c r="AN790" s="51"/>
      <c r="AO790" s="42"/>
      <c r="AP790" s="43"/>
      <c r="AQ790" s="44" t="str">
        <f t="shared" si="60"/>
        <v>ENF</v>
      </c>
      <c r="AR790" s="44" t="str">
        <f t="shared" si="3"/>
        <v/>
      </c>
      <c r="AS790" s="44"/>
      <c r="AT790" s="44" t="str">
        <f t="shared" si="17"/>
        <v/>
      </c>
      <c r="AU790" s="44" t="str">
        <f t="shared" si="2"/>
        <v/>
      </c>
      <c r="AV790" s="38"/>
      <c r="AW790" s="38"/>
      <c r="AX790" s="38"/>
      <c r="AY790" s="38"/>
      <c r="AZ790" s="29">
        <v>1200.0</v>
      </c>
      <c r="BA790" s="29"/>
      <c r="BB790" s="29">
        <v>1.0</v>
      </c>
      <c r="BC790" s="29"/>
      <c r="BD790" s="29" t="s">
        <v>88</v>
      </c>
      <c r="BE790" s="29" t="s">
        <v>1478</v>
      </c>
      <c r="BF790" s="29" t="s">
        <v>1483</v>
      </c>
      <c r="BG790" s="29" t="s">
        <v>1095</v>
      </c>
      <c r="BH790" s="29" t="s">
        <v>88</v>
      </c>
      <c r="BI790" s="29" t="s">
        <v>1438</v>
      </c>
      <c r="BJ790" s="29"/>
      <c r="BK790" s="29" t="s">
        <v>148</v>
      </c>
      <c r="BL790" s="29"/>
      <c r="BM790" s="45"/>
      <c r="BN790" s="45">
        <v>1.0</v>
      </c>
      <c r="BO790" s="46" t="s">
        <v>1480</v>
      </c>
      <c r="BP790" s="2"/>
      <c r="BQ790" s="3"/>
    </row>
    <row r="791" ht="15.75" customHeight="1">
      <c r="A791" s="34">
        <v>798.0</v>
      </c>
      <c r="B791" s="34">
        <v>104154.0</v>
      </c>
      <c r="C791" s="34" t="s">
        <v>76</v>
      </c>
      <c r="D791" s="34" t="s">
        <v>1484</v>
      </c>
      <c r="E791" s="34" t="s">
        <v>1485</v>
      </c>
      <c r="F791" s="34">
        <v>2021.0</v>
      </c>
      <c r="G791" s="34" t="s">
        <v>1486</v>
      </c>
      <c r="H791" s="34" t="s">
        <v>231</v>
      </c>
      <c r="I791" s="34" t="s">
        <v>1487</v>
      </c>
      <c r="J791" s="35"/>
      <c r="K791" s="36"/>
      <c r="L791" s="36"/>
      <c r="M791" s="36"/>
      <c r="N791" s="36">
        <v>32.0</v>
      </c>
      <c r="O791" s="36">
        <v>127.0</v>
      </c>
      <c r="P791" s="52">
        <f>N791/O791*100</f>
        <v>25.19685039</v>
      </c>
      <c r="Q791" s="36"/>
      <c r="R791" s="36" t="s">
        <v>82</v>
      </c>
      <c r="S791" s="36" t="s">
        <v>1488</v>
      </c>
      <c r="T791" s="36" t="s">
        <v>1489</v>
      </c>
      <c r="U791" s="36" t="s">
        <v>1490</v>
      </c>
      <c r="V791" s="36">
        <v>9.0</v>
      </c>
      <c r="W791" s="36"/>
      <c r="X791" s="38">
        <v>1.0</v>
      </c>
      <c r="Y791" s="38" t="s">
        <v>1491</v>
      </c>
      <c r="Z791" s="38" t="s">
        <v>1491</v>
      </c>
      <c r="AA791" s="38" t="s">
        <v>86</v>
      </c>
      <c r="AB791" s="38" t="s">
        <v>1492</v>
      </c>
      <c r="AC791" s="38" t="s">
        <v>1493</v>
      </c>
      <c r="AD791" s="38" t="s">
        <v>1361</v>
      </c>
      <c r="AE791" s="38">
        <v>96.0</v>
      </c>
      <c r="AF791" s="38" t="s">
        <v>1494</v>
      </c>
      <c r="AG791" s="38" t="s">
        <v>1495</v>
      </c>
      <c r="AH791" s="38">
        <v>5.5</v>
      </c>
      <c r="AI791" s="50">
        <v>-35.23</v>
      </c>
      <c r="AJ791" s="50">
        <v>-71.44</v>
      </c>
      <c r="AK791" s="41" t="s">
        <v>86</v>
      </c>
      <c r="AL791" s="40" t="s">
        <v>86</v>
      </c>
      <c r="AM791" s="49">
        <v>187.0</v>
      </c>
      <c r="AN791" s="51">
        <v>187.0</v>
      </c>
      <c r="AO791" s="42" t="s">
        <v>445</v>
      </c>
      <c r="AP791" s="43" t="s">
        <v>445</v>
      </c>
      <c r="AQ791" s="44" t="str">
        <f t="shared" si="60"/>
        <v>CRO</v>
      </c>
      <c r="AR791" s="44">
        <f t="shared" si="3"/>
        <v>187</v>
      </c>
      <c r="AS791" s="44" t="str">
        <f t="shared" ref="AS791:AS819" si="77">LEFT(AO791,1)</f>
        <v>C</v>
      </c>
      <c r="AT791" s="44" t="str">
        <f t="shared" si="17"/>
        <v>Cs</v>
      </c>
      <c r="AU791" s="44" t="str">
        <f t="shared" si="2"/>
        <v>Csb</v>
      </c>
      <c r="AV791" s="38">
        <v>2.0</v>
      </c>
      <c r="AW791" s="38"/>
      <c r="AX791" s="38" t="s">
        <v>1496</v>
      </c>
      <c r="AY791" s="38" t="s">
        <v>1363</v>
      </c>
      <c r="AZ791" s="29">
        <v>30.0</v>
      </c>
      <c r="BA791" s="29"/>
      <c r="BB791" s="29">
        <v>1.0</v>
      </c>
      <c r="BC791" s="29"/>
      <c r="BD791" s="29" t="s">
        <v>88</v>
      </c>
      <c r="BE791" s="29"/>
      <c r="BF791" s="29" t="s">
        <v>984</v>
      </c>
      <c r="BG791" s="29" t="s">
        <v>572</v>
      </c>
      <c r="BH791" s="29" t="s">
        <v>1363</v>
      </c>
      <c r="BI791" s="29" t="s">
        <v>1438</v>
      </c>
      <c r="BJ791" s="29"/>
      <c r="BK791" s="29" t="s">
        <v>180</v>
      </c>
      <c r="BL791" s="29"/>
      <c r="BM791" s="45"/>
      <c r="BN791" s="45">
        <v>1.0</v>
      </c>
      <c r="BO791" s="46" t="s">
        <v>984</v>
      </c>
      <c r="BP791" s="2"/>
      <c r="BQ791" s="3"/>
    </row>
    <row r="792" ht="15.75" customHeight="1">
      <c r="A792" s="34">
        <v>799.0</v>
      </c>
      <c r="B792" s="34">
        <v>104154.0</v>
      </c>
      <c r="C792" s="34" t="s">
        <v>76</v>
      </c>
      <c r="D792" s="34" t="s">
        <v>1484</v>
      </c>
      <c r="E792" s="34" t="s">
        <v>1485</v>
      </c>
      <c r="F792" s="34">
        <v>2021.0</v>
      </c>
      <c r="G792" s="34" t="s">
        <v>1486</v>
      </c>
      <c r="H792" s="34" t="s">
        <v>231</v>
      </c>
      <c r="I792" s="34" t="s">
        <v>1487</v>
      </c>
      <c r="J792" s="35"/>
      <c r="K792" s="36">
        <v>0.31</v>
      </c>
      <c r="L792" s="36">
        <v>2.2</v>
      </c>
      <c r="M792" s="36"/>
      <c r="N792" s="36"/>
      <c r="O792" s="36"/>
      <c r="P792" s="52">
        <f>K792/L792*100</f>
        <v>14.09090909</v>
      </c>
      <c r="Q792" s="36" t="s">
        <v>96</v>
      </c>
      <c r="R792" s="36" t="s">
        <v>96</v>
      </c>
      <c r="S792" s="36" t="s">
        <v>1488</v>
      </c>
      <c r="T792" s="36" t="s">
        <v>1489</v>
      </c>
      <c r="U792" s="36" t="s">
        <v>1490</v>
      </c>
      <c r="V792" s="36">
        <v>9.0</v>
      </c>
      <c r="W792" s="36"/>
      <c r="X792" s="38">
        <v>1.0</v>
      </c>
      <c r="Y792" s="38" t="s">
        <v>1491</v>
      </c>
      <c r="Z792" s="38" t="s">
        <v>1491</v>
      </c>
      <c r="AA792" s="38" t="s">
        <v>86</v>
      </c>
      <c r="AB792" s="38" t="s">
        <v>1492</v>
      </c>
      <c r="AC792" s="38" t="s">
        <v>1493</v>
      </c>
      <c r="AD792" s="38" t="s">
        <v>1361</v>
      </c>
      <c r="AE792" s="38">
        <v>96.0</v>
      </c>
      <c r="AF792" s="38" t="s">
        <v>1494</v>
      </c>
      <c r="AG792" s="38" t="s">
        <v>1495</v>
      </c>
      <c r="AH792" s="38">
        <v>5.5</v>
      </c>
      <c r="AI792" s="50">
        <v>-35.23</v>
      </c>
      <c r="AJ792" s="50">
        <v>-71.44</v>
      </c>
      <c r="AK792" s="41" t="s">
        <v>86</v>
      </c>
      <c r="AL792" s="40" t="s">
        <v>86</v>
      </c>
      <c r="AM792" s="49">
        <v>187.0</v>
      </c>
      <c r="AN792" s="51">
        <v>187.0</v>
      </c>
      <c r="AO792" s="42" t="s">
        <v>445</v>
      </c>
      <c r="AP792" s="43" t="s">
        <v>445</v>
      </c>
      <c r="AQ792" s="44" t="str">
        <f t="shared" si="60"/>
        <v>CRO</v>
      </c>
      <c r="AR792" s="44">
        <f t="shared" si="3"/>
        <v>187</v>
      </c>
      <c r="AS792" s="44" t="str">
        <f t="shared" si="77"/>
        <v>C</v>
      </c>
      <c r="AT792" s="44" t="str">
        <f t="shared" si="17"/>
        <v>Cs</v>
      </c>
      <c r="AU792" s="44" t="str">
        <f t="shared" si="2"/>
        <v>Csb</v>
      </c>
      <c r="AV792" s="38">
        <v>2.0</v>
      </c>
      <c r="AW792" s="38"/>
      <c r="AX792" s="38" t="s">
        <v>1496</v>
      </c>
      <c r="AY792" s="38" t="s">
        <v>1363</v>
      </c>
      <c r="AZ792" s="29">
        <v>30.0</v>
      </c>
      <c r="BA792" s="29"/>
      <c r="BB792" s="29">
        <v>1.0</v>
      </c>
      <c r="BC792" s="29"/>
      <c r="BD792" s="29" t="s">
        <v>88</v>
      </c>
      <c r="BE792" s="29"/>
      <c r="BF792" s="29" t="s">
        <v>984</v>
      </c>
      <c r="BG792" s="29" t="s">
        <v>572</v>
      </c>
      <c r="BH792" s="29" t="s">
        <v>1363</v>
      </c>
      <c r="BI792" s="29" t="s">
        <v>1438</v>
      </c>
      <c r="BJ792" s="29"/>
      <c r="BK792" s="29" t="s">
        <v>180</v>
      </c>
      <c r="BL792" s="29"/>
      <c r="BM792" s="45"/>
      <c r="BN792" s="45"/>
      <c r="BO792" s="46"/>
      <c r="BP792" s="2"/>
      <c r="BQ792" s="3"/>
    </row>
    <row r="793" ht="15.75" customHeight="1">
      <c r="A793" s="34">
        <v>800.0</v>
      </c>
      <c r="B793" s="34">
        <v>101866.0</v>
      </c>
      <c r="C793" s="34" t="s">
        <v>76</v>
      </c>
      <c r="D793" s="34" t="s">
        <v>1497</v>
      </c>
      <c r="E793" s="34" t="s">
        <v>1498</v>
      </c>
      <c r="F793" s="34">
        <v>2012.0</v>
      </c>
      <c r="G793" s="34" t="s">
        <v>1499</v>
      </c>
      <c r="H793" s="34" t="s">
        <v>1500</v>
      </c>
      <c r="I793" s="34" t="s">
        <v>1501</v>
      </c>
      <c r="J793" s="35"/>
      <c r="K793" s="36">
        <v>-0.97</v>
      </c>
      <c r="L793" s="36"/>
      <c r="M793" s="36"/>
      <c r="N793" s="36"/>
      <c r="O793" s="36"/>
      <c r="P793" s="37">
        <v>-35.0</v>
      </c>
      <c r="Q793" s="36" t="s">
        <v>96</v>
      </c>
      <c r="R793" s="36" t="s">
        <v>96</v>
      </c>
      <c r="S793" s="36">
        <v>3000.0</v>
      </c>
      <c r="T793" s="36" t="s">
        <v>1502</v>
      </c>
      <c r="U793" s="36" t="s">
        <v>1503</v>
      </c>
      <c r="V793" s="36"/>
      <c r="W793" s="36" t="s">
        <v>1504</v>
      </c>
      <c r="X793" s="38">
        <v>1.0</v>
      </c>
      <c r="Y793" s="38" t="s">
        <v>1505</v>
      </c>
      <c r="Z793" s="38" t="s">
        <v>353</v>
      </c>
      <c r="AA793" s="38" t="s">
        <v>313</v>
      </c>
      <c r="AB793" s="38">
        <v>13.2829</v>
      </c>
      <c r="AC793" s="38">
        <v>30.4783</v>
      </c>
      <c r="AD793" s="38" t="s">
        <v>354</v>
      </c>
      <c r="AE793" s="38"/>
      <c r="AF793" s="38" t="s">
        <v>1506</v>
      </c>
      <c r="AG793" s="38"/>
      <c r="AH793" s="38"/>
      <c r="AI793" s="50">
        <v>13.2829</v>
      </c>
      <c r="AJ793" s="50">
        <v>30.4783</v>
      </c>
      <c r="AK793" s="41" t="s">
        <v>288</v>
      </c>
      <c r="AL793" s="40" t="s">
        <v>288</v>
      </c>
      <c r="AM793" s="49">
        <v>538.0</v>
      </c>
      <c r="AN793" s="51">
        <v>538.0</v>
      </c>
      <c r="AO793" s="42" t="s">
        <v>355</v>
      </c>
      <c r="AP793" s="43" t="s">
        <v>355</v>
      </c>
      <c r="AQ793" s="44" t="str">
        <f t="shared" si="60"/>
        <v>SAV</v>
      </c>
      <c r="AR793" s="44">
        <f t="shared" si="3"/>
        <v>538</v>
      </c>
      <c r="AS793" s="44" t="str">
        <f t="shared" si="77"/>
        <v>B</v>
      </c>
      <c r="AT793" s="44" t="str">
        <f t="shared" si="17"/>
        <v>BW</v>
      </c>
      <c r="AU793" s="44" t="str">
        <f t="shared" si="2"/>
        <v>BWh</v>
      </c>
      <c r="AV793" s="38">
        <v>1.0</v>
      </c>
      <c r="AW793" s="38"/>
      <c r="AX793" s="38"/>
      <c r="AY793" s="38"/>
      <c r="AZ793" s="29">
        <v>3000.0</v>
      </c>
      <c r="BA793" s="29"/>
      <c r="BB793" s="29">
        <v>1.0</v>
      </c>
      <c r="BC793" s="29"/>
      <c r="BD793" s="29" t="s">
        <v>88</v>
      </c>
      <c r="BE793" s="29"/>
      <c r="BF793" s="29" t="s">
        <v>1507</v>
      </c>
      <c r="BG793" s="29" t="s">
        <v>91</v>
      </c>
      <c r="BH793" s="29" t="s">
        <v>92</v>
      </c>
      <c r="BI793" s="29" t="s">
        <v>1508</v>
      </c>
      <c r="BJ793" s="29"/>
      <c r="BK793" s="29" t="s">
        <v>148</v>
      </c>
      <c r="BL793" s="29"/>
      <c r="BM793" s="45"/>
      <c r="BN793" s="45">
        <v>1.0</v>
      </c>
      <c r="BO793" s="46" t="s">
        <v>1507</v>
      </c>
      <c r="BP793" s="2"/>
      <c r="BQ793" s="3"/>
    </row>
    <row r="794" ht="15.75" customHeight="1">
      <c r="A794" s="34">
        <v>801.0</v>
      </c>
      <c r="B794" s="34">
        <v>101866.0</v>
      </c>
      <c r="C794" s="34" t="s">
        <v>76</v>
      </c>
      <c r="D794" s="34" t="s">
        <v>1497</v>
      </c>
      <c r="E794" s="34" t="s">
        <v>1498</v>
      </c>
      <c r="F794" s="34">
        <v>2012.0</v>
      </c>
      <c r="G794" s="34" t="s">
        <v>1499</v>
      </c>
      <c r="H794" s="34" t="s">
        <v>1500</v>
      </c>
      <c r="I794" s="34" t="s">
        <v>1501</v>
      </c>
      <c r="J794" s="35"/>
      <c r="K794" s="36">
        <v>0.4</v>
      </c>
      <c r="L794" s="36"/>
      <c r="M794" s="36"/>
      <c r="N794" s="36"/>
      <c r="O794" s="36"/>
      <c r="P794" s="37">
        <v>80.0</v>
      </c>
      <c r="Q794" s="36" t="s">
        <v>96</v>
      </c>
      <c r="R794" s="36" t="s">
        <v>96</v>
      </c>
      <c r="S794" s="36">
        <v>3000.0</v>
      </c>
      <c r="T794" s="36" t="s">
        <v>1502</v>
      </c>
      <c r="U794" s="36" t="s">
        <v>1503</v>
      </c>
      <c r="V794" s="36"/>
      <c r="W794" s="36" t="s">
        <v>1509</v>
      </c>
      <c r="X794" s="38">
        <v>1.0</v>
      </c>
      <c r="Y794" s="38" t="s">
        <v>1505</v>
      </c>
      <c r="Z794" s="38" t="s">
        <v>353</v>
      </c>
      <c r="AA794" s="38" t="s">
        <v>313</v>
      </c>
      <c r="AB794" s="38">
        <v>13.2829</v>
      </c>
      <c r="AC794" s="38">
        <v>30.4783</v>
      </c>
      <c r="AD794" s="38" t="s">
        <v>354</v>
      </c>
      <c r="AE794" s="38"/>
      <c r="AF794" s="38" t="s">
        <v>1506</v>
      </c>
      <c r="AG794" s="38"/>
      <c r="AH794" s="38"/>
      <c r="AI794" s="50">
        <v>13.2829</v>
      </c>
      <c r="AJ794" s="50">
        <v>30.4783</v>
      </c>
      <c r="AK794" s="41" t="s">
        <v>288</v>
      </c>
      <c r="AL794" s="40" t="s">
        <v>288</v>
      </c>
      <c r="AM794" s="49">
        <v>538.0</v>
      </c>
      <c r="AN794" s="51">
        <v>538.0</v>
      </c>
      <c r="AO794" s="42" t="s">
        <v>355</v>
      </c>
      <c r="AP794" s="43" t="s">
        <v>355</v>
      </c>
      <c r="AQ794" s="44" t="str">
        <f t="shared" si="60"/>
        <v>SAV</v>
      </c>
      <c r="AR794" s="44">
        <f t="shared" si="3"/>
        <v>538</v>
      </c>
      <c r="AS794" s="44" t="str">
        <f t="shared" si="77"/>
        <v>B</v>
      </c>
      <c r="AT794" s="44" t="str">
        <f t="shared" si="17"/>
        <v>BW</v>
      </c>
      <c r="AU794" s="44" t="str">
        <f t="shared" si="2"/>
        <v>BWh</v>
      </c>
      <c r="AV794" s="38">
        <v>1.0</v>
      </c>
      <c r="AW794" s="38"/>
      <c r="AX794" s="38"/>
      <c r="AY794" s="38"/>
      <c r="AZ794" s="29">
        <v>3000.0</v>
      </c>
      <c r="BA794" s="29"/>
      <c r="BB794" s="29">
        <v>1.0</v>
      </c>
      <c r="BC794" s="29"/>
      <c r="BD794" s="29" t="s">
        <v>88</v>
      </c>
      <c r="BE794" s="29"/>
      <c r="BF794" s="29" t="s">
        <v>1507</v>
      </c>
      <c r="BG794" s="29" t="s">
        <v>91</v>
      </c>
      <c r="BH794" s="29" t="s">
        <v>92</v>
      </c>
      <c r="BI794" s="29" t="s">
        <v>1508</v>
      </c>
      <c r="BJ794" s="29"/>
      <c r="BK794" s="29" t="s">
        <v>148</v>
      </c>
      <c r="BL794" s="29"/>
      <c r="BM794" s="45"/>
      <c r="BN794" s="45">
        <v>1.0</v>
      </c>
      <c r="BO794" s="46"/>
      <c r="BP794" s="2"/>
      <c r="BQ794" s="3"/>
    </row>
    <row r="795" ht="15.75" customHeight="1">
      <c r="A795" s="34">
        <v>802.0</v>
      </c>
      <c r="B795" s="34">
        <v>101866.0</v>
      </c>
      <c r="C795" s="34" t="s">
        <v>76</v>
      </c>
      <c r="D795" s="34" t="s">
        <v>1497</v>
      </c>
      <c r="E795" s="34" t="s">
        <v>1498</v>
      </c>
      <c r="F795" s="34">
        <v>2012.0</v>
      </c>
      <c r="G795" s="34" t="s">
        <v>1499</v>
      </c>
      <c r="H795" s="34" t="s">
        <v>1500</v>
      </c>
      <c r="I795" s="34" t="s">
        <v>1501</v>
      </c>
      <c r="J795" s="35"/>
      <c r="K795" s="36">
        <v>-0.28</v>
      </c>
      <c r="L795" s="36"/>
      <c r="M795" s="36"/>
      <c r="N795" s="36"/>
      <c r="O795" s="36"/>
      <c r="P795" s="37">
        <v>-13.0</v>
      </c>
      <c r="Q795" s="36" t="s">
        <v>96</v>
      </c>
      <c r="R795" s="36" t="s">
        <v>96</v>
      </c>
      <c r="S795" s="36">
        <v>3000.0</v>
      </c>
      <c r="T795" s="36" t="s">
        <v>350</v>
      </c>
      <c r="U795" s="36" t="s">
        <v>1510</v>
      </c>
      <c r="V795" s="36"/>
      <c r="W795" s="36" t="s">
        <v>1504</v>
      </c>
      <c r="X795" s="38">
        <v>1.0</v>
      </c>
      <c r="Y795" s="38" t="s">
        <v>1014</v>
      </c>
      <c r="Z795" s="38" t="s">
        <v>365</v>
      </c>
      <c r="AA795" s="38" t="s">
        <v>313</v>
      </c>
      <c r="AB795" s="38">
        <v>-25.0197</v>
      </c>
      <c r="AC795" s="38">
        <v>31.4969</v>
      </c>
      <c r="AD795" s="38" t="s">
        <v>367</v>
      </c>
      <c r="AE795" s="38"/>
      <c r="AF795" s="38" t="s">
        <v>1015</v>
      </c>
      <c r="AG795" s="38"/>
      <c r="AH795" s="38"/>
      <c r="AI795" s="50">
        <v>-25.0197</v>
      </c>
      <c r="AJ795" s="50">
        <v>31.4969</v>
      </c>
      <c r="AK795" s="41" t="s">
        <v>313</v>
      </c>
      <c r="AL795" s="40" t="s">
        <v>313</v>
      </c>
      <c r="AM795" s="49">
        <v>362.0</v>
      </c>
      <c r="AN795" s="51">
        <v>362.0</v>
      </c>
      <c r="AO795" s="42" t="s">
        <v>304</v>
      </c>
      <c r="AP795" s="43" t="s">
        <v>304</v>
      </c>
      <c r="AQ795" s="44" t="str">
        <f t="shared" si="60"/>
        <v>SAV</v>
      </c>
      <c r="AR795" s="44">
        <f t="shared" si="3"/>
        <v>362</v>
      </c>
      <c r="AS795" s="44" t="str">
        <f t="shared" si="77"/>
        <v>B</v>
      </c>
      <c r="AT795" s="44" t="str">
        <f t="shared" si="17"/>
        <v>BS</v>
      </c>
      <c r="AU795" s="44" t="str">
        <f t="shared" si="2"/>
        <v>BSh</v>
      </c>
      <c r="AV795" s="38">
        <v>1.0</v>
      </c>
      <c r="AW795" s="38"/>
      <c r="AX795" s="38"/>
      <c r="AY795" s="38"/>
      <c r="AZ795" s="29">
        <v>3000.0</v>
      </c>
      <c r="BA795" s="29"/>
      <c r="BB795" s="29">
        <v>1.0</v>
      </c>
      <c r="BC795" s="29"/>
      <c r="BD795" s="29" t="s">
        <v>88</v>
      </c>
      <c r="BE795" s="29"/>
      <c r="BF795" s="29" t="s">
        <v>1507</v>
      </c>
      <c r="BG795" s="29" t="s">
        <v>91</v>
      </c>
      <c r="BH795" s="29" t="s">
        <v>92</v>
      </c>
      <c r="BI795" s="29" t="s">
        <v>1508</v>
      </c>
      <c r="BJ795" s="29"/>
      <c r="BK795" s="29" t="s">
        <v>148</v>
      </c>
      <c r="BL795" s="29"/>
      <c r="BM795" s="45"/>
      <c r="BN795" s="45">
        <v>1.0</v>
      </c>
      <c r="BO795" s="46"/>
      <c r="BP795" s="2"/>
      <c r="BQ795" s="3"/>
    </row>
    <row r="796" ht="15.75" customHeight="1">
      <c r="A796" s="34">
        <v>803.0</v>
      </c>
      <c r="B796" s="34">
        <v>101866.0</v>
      </c>
      <c r="C796" s="34" t="s">
        <v>76</v>
      </c>
      <c r="D796" s="34" t="s">
        <v>1497</v>
      </c>
      <c r="E796" s="34" t="s">
        <v>1498</v>
      </c>
      <c r="F796" s="34">
        <v>2012.0</v>
      </c>
      <c r="G796" s="34" t="s">
        <v>1499</v>
      </c>
      <c r="H796" s="34" t="s">
        <v>1500</v>
      </c>
      <c r="I796" s="34" t="s">
        <v>1501</v>
      </c>
      <c r="J796" s="35"/>
      <c r="K796" s="36">
        <v>0.56</v>
      </c>
      <c r="L796" s="36"/>
      <c r="M796" s="36"/>
      <c r="N796" s="36"/>
      <c r="O796" s="36"/>
      <c r="P796" s="72">
        <v>127.0</v>
      </c>
      <c r="Q796" s="36" t="s">
        <v>96</v>
      </c>
      <c r="R796" s="36" t="s">
        <v>96</v>
      </c>
      <c r="S796" s="36">
        <v>3000.0</v>
      </c>
      <c r="T796" s="36" t="s">
        <v>350</v>
      </c>
      <c r="U796" s="36" t="s">
        <v>1510</v>
      </c>
      <c r="V796" s="36"/>
      <c r="W796" s="36" t="s">
        <v>1509</v>
      </c>
      <c r="X796" s="38">
        <v>1.0</v>
      </c>
      <c r="Y796" s="38" t="s">
        <v>1014</v>
      </c>
      <c r="Z796" s="38" t="s">
        <v>365</v>
      </c>
      <c r="AA796" s="38" t="s">
        <v>313</v>
      </c>
      <c r="AB796" s="38">
        <v>-25.0197</v>
      </c>
      <c r="AC796" s="38">
        <v>31.4969</v>
      </c>
      <c r="AD796" s="38" t="s">
        <v>367</v>
      </c>
      <c r="AE796" s="38"/>
      <c r="AF796" s="38" t="s">
        <v>1015</v>
      </c>
      <c r="AG796" s="38"/>
      <c r="AH796" s="38"/>
      <c r="AI796" s="50">
        <v>-25.0197</v>
      </c>
      <c r="AJ796" s="50">
        <v>31.4969</v>
      </c>
      <c r="AK796" s="41" t="s">
        <v>313</v>
      </c>
      <c r="AL796" s="40" t="s">
        <v>313</v>
      </c>
      <c r="AM796" s="49">
        <v>362.0</v>
      </c>
      <c r="AN796" s="51">
        <v>362.0</v>
      </c>
      <c r="AO796" s="42" t="s">
        <v>304</v>
      </c>
      <c r="AP796" s="43" t="s">
        <v>304</v>
      </c>
      <c r="AQ796" s="44" t="str">
        <f t="shared" si="60"/>
        <v>SAV</v>
      </c>
      <c r="AR796" s="44">
        <f t="shared" si="3"/>
        <v>362</v>
      </c>
      <c r="AS796" s="44" t="str">
        <f t="shared" si="77"/>
        <v>B</v>
      </c>
      <c r="AT796" s="44" t="str">
        <f t="shared" si="17"/>
        <v>BS</v>
      </c>
      <c r="AU796" s="44" t="str">
        <f t="shared" si="2"/>
        <v>BSh</v>
      </c>
      <c r="AV796" s="38">
        <v>1.0</v>
      </c>
      <c r="AW796" s="38"/>
      <c r="AX796" s="38"/>
      <c r="AY796" s="38"/>
      <c r="AZ796" s="29">
        <v>3000.0</v>
      </c>
      <c r="BA796" s="29"/>
      <c r="BB796" s="29">
        <v>1.0</v>
      </c>
      <c r="BC796" s="29"/>
      <c r="BD796" s="29" t="s">
        <v>88</v>
      </c>
      <c r="BE796" s="29"/>
      <c r="BF796" s="29" t="s">
        <v>1507</v>
      </c>
      <c r="BG796" s="29" t="s">
        <v>91</v>
      </c>
      <c r="BH796" s="29" t="s">
        <v>92</v>
      </c>
      <c r="BI796" s="29" t="s">
        <v>1508</v>
      </c>
      <c r="BJ796" s="29"/>
      <c r="BK796" s="29" t="s">
        <v>148</v>
      </c>
      <c r="BL796" s="29"/>
      <c r="BM796" s="45"/>
      <c r="BN796" s="45">
        <v>1.0</v>
      </c>
      <c r="BO796" s="46"/>
      <c r="BP796" s="2"/>
      <c r="BQ796" s="3"/>
    </row>
    <row r="797" ht="15.75" customHeight="1">
      <c r="A797" s="34">
        <v>804.0</v>
      </c>
      <c r="B797" s="34">
        <v>101866.0</v>
      </c>
      <c r="C797" s="34" t="s">
        <v>76</v>
      </c>
      <c r="D797" s="34" t="s">
        <v>1497</v>
      </c>
      <c r="E797" s="34" t="s">
        <v>1498</v>
      </c>
      <c r="F797" s="34">
        <v>2012.0</v>
      </c>
      <c r="G797" s="34" t="s">
        <v>1499</v>
      </c>
      <c r="H797" s="34" t="s">
        <v>1500</v>
      </c>
      <c r="I797" s="34" t="s">
        <v>1501</v>
      </c>
      <c r="J797" s="35"/>
      <c r="K797" s="36">
        <v>-0.64</v>
      </c>
      <c r="L797" s="36"/>
      <c r="M797" s="36"/>
      <c r="N797" s="36"/>
      <c r="O797" s="36"/>
      <c r="P797" s="37">
        <v>-23.0</v>
      </c>
      <c r="Q797" s="36" t="s">
        <v>96</v>
      </c>
      <c r="R797" s="36" t="s">
        <v>96</v>
      </c>
      <c r="S797" s="36">
        <v>3000.0</v>
      </c>
      <c r="T797" s="36" t="s">
        <v>350</v>
      </c>
      <c r="U797" s="36" t="s">
        <v>1510</v>
      </c>
      <c r="V797" s="36"/>
      <c r="W797" s="36" t="s">
        <v>1504</v>
      </c>
      <c r="X797" s="38">
        <v>1.0</v>
      </c>
      <c r="Y797" s="38" t="s">
        <v>1511</v>
      </c>
      <c r="Z797" s="38" t="s">
        <v>1512</v>
      </c>
      <c r="AA797" s="38" t="s">
        <v>288</v>
      </c>
      <c r="AB797" s="38">
        <f t="shared" ref="AB797:AB798" si="78">-4.2892</f>
        <v>-4.2892</v>
      </c>
      <c r="AC797" s="38">
        <v>11.6564</v>
      </c>
      <c r="AD797" s="38" t="s">
        <v>1513</v>
      </c>
      <c r="AE797" s="53"/>
      <c r="AF797" s="38"/>
      <c r="AG797" s="38"/>
      <c r="AH797" s="38"/>
      <c r="AI797" s="50">
        <v>-4.2892</v>
      </c>
      <c r="AJ797" s="50">
        <v>11.6564</v>
      </c>
      <c r="AK797" s="41" t="s">
        <v>313</v>
      </c>
      <c r="AL797" s="40" t="s">
        <v>313</v>
      </c>
      <c r="AM797" s="49">
        <v>89.0</v>
      </c>
      <c r="AN797" s="51">
        <v>89.0</v>
      </c>
      <c r="AO797" s="42" t="s">
        <v>335</v>
      </c>
      <c r="AP797" s="43" t="s">
        <v>335</v>
      </c>
      <c r="AQ797" s="44" t="str">
        <f t="shared" si="60"/>
        <v>GRA</v>
      </c>
      <c r="AR797" s="44">
        <f t="shared" si="3"/>
        <v>89</v>
      </c>
      <c r="AS797" s="44" t="str">
        <f t="shared" si="77"/>
        <v>A</v>
      </c>
      <c r="AT797" s="44" t="str">
        <f t="shared" si="17"/>
        <v>Aw</v>
      </c>
      <c r="AU797" s="44" t="str">
        <f t="shared" si="2"/>
        <v>Aw</v>
      </c>
      <c r="AV797" s="38">
        <v>1.0</v>
      </c>
      <c r="AW797" s="38"/>
      <c r="AX797" s="38"/>
      <c r="AY797" s="38"/>
      <c r="AZ797" s="29">
        <v>3000.0</v>
      </c>
      <c r="BA797" s="29"/>
      <c r="BB797" s="29">
        <v>1.0</v>
      </c>
      <c r="BC797" s="29"/>
      <c r="BD797" s="29" t="s">
        <v>88</v>
      </c>
      <c r="BE797" s="29"/>
      <c r="BF797" s="29" t="s">
        <v>1507</v>
      </c>
      <c r="BG797" s="29" t="s">
        <v>91</v>
      </c>
      <c r="BH797" s="29" t="s">
        <v>92</v>
      </c>
      <c r="BI797" s="29" t="s">
        <v>1508</v>
      </c>
      <c r="BJ797" s="29"/>
      <c r="BK797" s="29" t="s">
        <v>148</v>
      </c>
      <c r="BL797" s="29"/>
      <c r="BM797" s="45"/>
      <c r="BN797" s="45">
        <v>1.0</v>
      </c>
      <c r="BO797" s="46"/>
      <c r="BP797" s="2"/>
      <c r="BQ797" s="3"/>
    </row>
    <row r="798" ht="15.75" customHeight="1">
      <c r="A798" s="34">
        <v>805.0</v>
      </c>
      <c r="B798" s="34">
        <v>101866.0</v>
      </c>
      <c r="C798" s="34" t="s">
        <v>76</v>
      </c>
      <c r="D798" s="34" t="s">
        <v>1497</v>
      </c>
      <c r="E798" s="34" t="s">
        <v>1498</v>
      </c>
      <c r="F798" s="34">
        <v>2012.0</v>
      </c>
      <c r="G798" s="34" t="s">
        <v>1499</v>
      </c>
      <c r="H798" s="34" t="s">
        <v>1500</v>
      </c>
      <c r="I798" s="34" t="s">
        <v>1501</v>
      </c>
      <c r="J798" s="35"/>
      <c r="K798" s="36">
        <v>0.37</v>
      </c>
      <c r="L798" s="36"/>
      <c r="M798" s="36"/>
      <c r="N798" s="36"/>
      <c r="O798" s="36"/>
      <c r="P798" s="37">
        <v>61.0</v>
      </c>
      <c r="Q798" s="36" t="s">
        <v>96</v>
      </c>
      <c r="R798" s="36" t="s">
        <v>96</v>
      </c>
      <c r="S798" s="36">
        <v>3000.0</v>
      </c>
      <c r="T798" s="36" t="s">
        <v>350</v>
      </c>
      <c r="U798" s="36" t="s">
        <v>1510</v>
      </c>
      <c r="V798" s="36"/>
      <c r="W798" s="36" t="s">
        <v>1509</v>
      </c>
      <c r="X798" s="38">
        <v>1.0</v>
      </c>
      <c r="Y798" s="38" t="s">
        <v>1511</v>
      </c>
      <c r="Z798" s="38" t="s">
        <v>1512</v>
      </c>
      <c r="AA798" s="38" t="s">
        <v>288</v>
      </c>
      <c r="AB798" s="38">
        <f t="shared" si="78"/>
        <v>-4.2892</v>
      </c>
      <c r="AC798" s="38">
        <v>11.6564</v>
      </c>
      <c r="AD798" s="38" t="s">
        <v>1513</v>
      </c>
      <c r="AE798" s="53"/>
      <c r="AF798" s="38"/>
      <c r="AG798" s="38"/>
      <c r="AH798" s="38"/>
      <c r="AI798" s="50">
        <v>-4.2892</v>
      </c>
      <c r="AJ798" s="50">
        <v>11.6564</v>
      </c>
      <c r="AK798" s="41" t="s">
        <v>313</v>
      </c>
      <c r="AL798" s="40" t="s">
        <v>313</v>
      </c>
      <c r="AM798" s="49">
        <v>89.0</v>
      </c>
      <c r="AN798" s="51">
        <v>89.0</v>
      </c>
      <c r="AO798" s="42" t="s">
        <v>335</v>
      </c>
      <c r="AP798" s="43" t="s">
        <v>335</v>
      </c>
      <c r="AQ798" s="44" t="str">
        <f t="shared" si="60"/>
        <v>GRA</v>
      </c>
      <c r="AR798" s="44">
        <f t="shared" si="3"/>
        <v>89</v>
      </c>
      <c r="AS798" s="44" t="str">
        <f t="shared" si="77"/>
        <v>A</v>
      </c>
      <c r="AT798" s="44" t="str">
        <f t="shared" si="17"/>
        <v>Aw</v>
      </c>
      <c r="AU798" s="44" t="str">
        <f t="shared" si="2"/>
        <v>Aw</v>
      </c>
      <c r="AV798" s="38">
        <v>1.0</v>
      </c>
      <c r="AW798" s="38"/>
      <c r="AX798" s="38"/>
      <c r="AY798" s="38"/>
      <c r="AZ798" s="29">
        <v>3000.0</v>
      </c>
      <c r="BA798" s="29"/>
      <c r="BB798" s="29">
        <v>1.0</v>
      </c>
      <c r="BC798" s="29"/>
      <c r="BD798" s="29" t="s">
        <v>88</v>
      </c>
      <c r="BE798" s="29"/>
      <c r="BF798" s="29" t="s">
        <v>1507</v>
      </c>
      <c r="BG798" s="29" t="s">
        <v>91</v>
      </c>
      <c r="BH798" s="29" t="s">
        <v>92</v>
      </c>
      <c r="BI798" s="29" t="s">
        <v>1508</v>
      </c>
      <c r="BJ798" s="29"/>
      <c r="BK798" s="29" t="s">
        <v>148</v>
      </c>
      <c r="BL798" s="29"/>
      <c r="BM798" s="45"/>
      <c r="BN798" s="45">
        <v>1.0</v>
      </c>
      <c r="BO798" s="46"/>
      <c r="BP798" s="2"/>
      <c r="BQ798" s="3"/>
    </row>
    <row r="799" ht="15.75" customHeight="1">
      <c r="A799" s="34">
        <v>806.0</v>
      </c>
      <c r="B799" s="34">
        <v>101866.0</v>
      </c>
      <c r="C799" s="34" t="s">
        <v>76</v>
      </c>
      <c r="D799" s="34" t="s">
        <v>1497</v>
      </c>
      <c r="E799" s="34" t="s">
        <v>1498</v>
      </c>
      <c r="F799" s="34">
        <v>2012.0</v>
      </c>
      <c r="G799" s="34" t="s">
        <v>1499</v>
      </c>
      <c r="H799" s="34" t="s">
        <v>1500</v>
      </c>
      <c r="I799" s="34" t="s">
        <v>1501</v>
      </c>
      <c r="J799" s="35"/>
      <c r="K799" s="36">
        <v>-0.82</v>
      </c>
      <c r="L799" s="36"/>
      <c r="M799" s="36"/>
      <c r="N799" s="36"/>
      <c r="O799" s="36"/>
      <c r="P799" s="37">
        <v>-34.0</v>
      </c>
      <c r="Q799" s="36" t="s">
        <v>96</v>
      </c>
      <c r="R799" s="36" t="s">
        <v>96</v>
      </c>
      <c r="S799" s="36">
        <v>3000.0</v>
      </c>
      <c r="T799" s="36" t="s">
        <v>1514</v>
      </c>
      <c r="U799" s="36" t="s">
        <v>1510</v>
      </c>
      <c r="V799" s="36"/>
      <c r="W799" s="36" t="s">
        <v>1504</v>
      </c>
      <c r="X799" s="38">
        <v>1.0</v>
      </c>
      <c r="Y799" s="38" t="s">
        <v>1515</v>
      </c>
      <c r="Z799" s="38" t="s">
        <v>1017</v>
      </c>
      <c r="AA799" s="38" t="s">
        <v>200</v>
      </c>
      <c r="AB799" s="38">
        <v>-15.4378</v>
      </c>
      <c r="AC799" s="38">
        <v>23.2528</v>
      </c>
      <c r="AD799" s="38" t="s">
        <v>1018</v>
      </c>
      <c r="AE799" s="38"/>
      <c r="AF799" s="38" t="s">
        <v>1516</v>
      </c>
      <c r="AG799" s="38"/>
      <c r="AH799" s="38"/>
      <c r="AI799" s="50">
        <v>-15.4378</v>
      </c>
      <c r="AJ799" s="50">
        <v>23.2528</v>
      </c>
      <c r="AK799" s="41" t="s">
        <v>292</v>
      </c>
      <c r="AL799" s="40" t="s">
        <v>292</v>
      </c>
      <c r="AM799" s="49">
        <v>1087.0</v>
      </c>
      <c r="AN799" s="51">
        <v>1087.0</v>
      </c>
      <c r="AO799" s="42" t="s">
        <v>592</v>
      </c>
      <c r="AP799" s="43" t="s">
        <v>592</v>
      </c>
      <c r="AQ799" s="44" t="str">
        <f t="shared" si="60"/>
        <v>WSA</v>
      </c>
      <c r="AR799" s="44">
        <f t="shared" si="3"/>
        <v>1087</v>
      </c>
      <c r="AS799" s="44" t="str">
        <f t="shared" si="77"/>
        <v>C</v>
      </c>
      <c r="AT799" s="44" t="str">
        <f t="shared" si="17"/>
        <v>Cw</v>
      </c>
      <c r="AU799" s="44" t="str">
        <f t="shared" si="2"/>
        <v>Cwa</v>
      </c>
      <c r="AV799" s="38">
        <v>1.0</v>
      </c>
      <c r="AW799" s="38"/>
      <c r="AX799" s="38"/>
      <c r="AY799" s="38"/>
      <c r="AZ799" s="29">
        <v>3000.0</v>
      </c>
      <c r="BA799" s="29"/>
      <c r="BB799" s="29">
        <v>1.0</v>
      </c>
      <c r="BC799" s="29"/>
      <c r="BD799" s="29" t="s">
        <v>88</v>
      </c>
      <c r="BE799" s="29"/>
      <c r="BF799" s="29" t="s">
        <v>1507</v>
      </c>
      <c r="BG799" s="29" t="s">
        <v>91</v>
      </c>
      <c r="BH799" s="29" t="s">
        <v>92</v>
      </c>
      <c r="BI799" s="29" t="s">
        <v>1508</v>
      </c>
      <c r="BJ799" s="29"/>
      <c r="BK799" s="29" t="s">
        <v>148</v>
      </c>
      <c r="BL799" s="29"/>
      <c r="BM799" s="45"/>
      <c r="BN799" s="45">
        <v>1.0</v>
      </c>
      <c r="BO799" s="46"/>
      <c r="BP799" s="2"/>
      <c r="BQ799" s="3"/>
    </row>
    <row r="800" ht="15.75" customHeight="1">
      <c r="A800" s="34">
        <v>807.0</v>
      </c>
      <c r="B800" s="34">
        <v>101866.0</v>
      </c>
      <c r="C800" s="34" t="s">
        <v>76</v>
      </c>
      <c r="D800" s="34" t="s">
        <v>1497</v>
      </c>
      <c r="E800" s="34" t="s">
        <v>1498</v>
      </c>
      <c r="F800" s="34">
        <v>2012.0</v>
      </c>
      <c r="G800" s="34" t="s">
        <v>1499</v>
      </c>
      <c r="H800" s="34" t="s">
        <v>1500</v>
      </c>
      <c r="I800" s="34" t="s">
        <v>1501</v>
      </c>
      <c r="J800" s="35"/>
      <c r="K800" s="36">
        <v>0.11</v>
      </c>
      <c r="L800" s="36"/>
      <c r="M800" s="36"/>
      <c r="N800" s="36"/>
      <c r="O800" s="36"/>
      <c r="P800" s="37">
        <v>14.0</v>
      </c>
      <c r="Q800" s="36" t="s">
        <v>96</v>
      </c>
      <c r="R800" s="36" t="s">
        <v>96</v>
      </c>
      <c r="S800" s="36">
        <v>3000.0</v>
      </c>
      <c r="T800" s="36" t="s">
        <v>1514</v>
      </c>
      <c r="U800" s="36" t="s">
        <v>1510</v>
      </c>
      <c r="V800" s="36"/>
      <c r="W800" s="36" t="s">
        <v>1509</v>
      </c>
      <c r="X800" s="38">
        <v>1.0</v>
      </c>
      <c r="Y800" s="38" t="s">
        <v>1515</v>
      </c>
      <c r="Z800" s="38" t="s">
        <v>1017</v>
      </c>
      <c r="AA800" s="38" t="s">
        <v>200</v>
      </c>
      <c r="AB800" s="38">
        <v>-15.4378</v>
      </c>
      <c r="AC800" s="38">
        <v>23.2528</v>
      </c>
      <c r="AD800" s="38" t="s">
        <v>1018</v>
      </c>
      <c r="AE800" s="38"/>
      <c r="AF800" s="38" t="s">
        <v>1516</v>
      </c>
      <c r="AG800" s="38"/>
      <c r="AH800" s="38"/>
      <c r="AI800" s="50">
        <v>-15.4378</v>
      </c>
      <c r="AJ800" s="50">
        <v>23.2528</v>
      </c>
      <c r="AK800" s="41" t="s">
        <v>292</v>
      </c>
      <c r="AL800" s="40" t="s">
        <v>292</v>
      </c>
      <c r="AM800" s="49">
        <v>1087.0</v>
      </c>
      <c r="AN800" s="51">
        <v>1087.0</v>
      </c>
      <c r="AO800" s="42" t="s">
        <v>592</v>
      </c>
      <c r="AP800" s="43" t="s">
        <v>592</v>
      </c>
      <c r="AQ800" s="44" t="str">
        <f t="shared" si="60"/>
        <v>WSA</v>
      </c>
      <c r="AR800" s="44">
        <f t="shared" si="3"/>
        <v>1087</v>
      </c>
      <c r="AS800" s="44" t="str">
        <f t="shared" si="77"/>
        <v>C</v>
      </c>
      <c r="AT800" s="44" t="str">
        <f t="shared" si="17"/>
        <v>Cw</v>
      </c>
      <c r="AU800" s="44" t="str">
        <f t="shared" si="2"/>
        <v>Cwa</v>
      </c>
      <c r="AV800" s="38">
        <v>1.0</v>
      </c>
      <c r="AW800" s="38"/>
      <c r="AX800" s="38"/>
      <c r="AY800" s="38"/>
      <c r="AZ800" s="29">
        <v>3000.0</v>
      </c>
      <c r="BA800" s="29"/>
      <c r="BB800" s="29">
        <v>1.0</v>
      </c>
      <c r="BC800" s="29"/>
      <c r="BD800" s="29" t="s">
        <v>88</v>
      </c>
      <c r="BE800" s="29"/>
      <c r="BF800" s="29" t="s">
        <v>1507</v>
      </c>
      <c r="BG800" s="29" t="s">
        <v>91</v>
      </c>
      <c r="BH800" s="29" t="s">
        <v>92</v>
      </c>
      <c r="BI800" s="29" t="s">
        <v>1508</v>
      </c>
      <c r="BJ800" s="29"/>
      <c r="BK800" s="29" t="s">
        <v>148</v>
      </c>
      <c r="BL800" s="29"/>
      <c r="BM800" s="45"/>
      <c r="BN800" s="45">
        <v>1.0</v>
      </c>
      <c r="BO800" s="46"/>
      <c r="BP800" s="2"/>
      <c r="BQ800" s="3"/>
    </row>
    <row r="801" ht="15.75" customHeight="1">
      <c r="A801" s="34">
        <v>809.0</v>
      </c>
      <c r="B801" s="34">
        <v>103500.0</v>
      </c>
      <c r="C801" s="34" t="s">
        <v>76</v>
      </c>
      <c r="D801" s="34" t="s">
        <v>1517</v>
      </c>
      <c r="E801" s="34" t="s">
        <v>1518</v>
      </c>
      <c r="F801" s="34">
        <v>2017.0</v>
      </c>
      <c r="G801" s="34" t="s">
        <v>1519</v>
      </c>
      <c r="H801" s="34" t="s">
        <v>1520</v>
      </c>
      <c r="I801" s="34" t="s">
        <v>1521</v>
      </c>
      <c r="J801" s="35"/>
      <c r="K801" s="36"/>
      <c r="L801" s="36"/>
      <c r="M801" s="36"/>
      <c r="N801" s="36"/>
      <c r="O801" s="36"/>
      <c r="P801" s="37">
        <v>27.0</v>
      </c>
      <c r="Q801" s="36" t="s">
        <v>96</v>
      </c>
      <c r="R801" s="36" t="s">
        <v>96</v>
      </c>
      <c r="S801" s="36">
        <v>30.0</v>
      </c>
      <c r="T801" s="36" t="s">
        <v>1522</v>
      </c>
      <c r="U801" s="36" t="s">
        <v>1523</v>
      </c>
      <c r="V801" s="36">
        <v>19.0</v>
      </c>
      <c r="W801" s="36" t="s">
        <v>88</v>
      </c>
      <c r="X801" s="38">
        <v>1.0</v>
      </c>
      <c r="Y801" s="38" t="s">
        <v>1524</v>
      </c>
      <c r="Z801" s="38" t="s">
        <v>1525</v>
      </c>
      <c r="AA801" s="38" t="s">
        <v>86</v>
      </c>
      <c r="AB801" s="57" t="s">
        <v>1526</v>
      </c>
      <c r="AC801" s="57" t="s">
        <v>1527</v>
      </c>
      <c r="AD801" s="39" t="s">
        <v>87</v>
      </c>
      <c r="AE801" s="38">
        <v>620.0</v>
      </c>
      <c r="AF801" s="38" t="s">
        <v>1528</v>
      </c>
      <c r="AG801" s="38" t="s">
        <v>1529</v>
      </c>
      <c r="AH801" s="38">
        <v>2.5</v>
      </c>
      <c r="AI801" s="88">
        <v>35.04</v>
      </c>
      <c r="AJ801" s="88">
        <v>-97.91</v>
      </c>
      <c r="AK801" s="41" t="s">
        <v>86</v>
      </c>
      <c r="AL801" s="40" t="s">
        <v>86</v>
      </c>
      <c r="AM801" s="49">
        <v>333.0</v>
      </c>
      <c r="AN801" s="51">
        <v>333.0</v>
      </c>
      <c r="AO801" s="42" t="s">
        <v>201</v>
      </c>
      <c r="AP801" s="43" t="s">
        <v>201</v>
      </c>
      <c r="AQ801" s="44" t="str">
        <f t="shared" si="60"/>
        <v>CRO</v>
      </c>
      <c r="AR801" s="44">
        <f t="shared" si="3"/>
        <v>333</v>
      </c>
      <c r="AS801" s="44" t="str">
        <f t="shared" si="77"/>
        <v>C</v>
      </c>
      <c r="AT801" s="44" t="str">
        <f t="shared" si="17"/>
        <v>Cf</v>
      </c>
      <c r="AU801" s="44" t="str">
        <f t="shared" si="2"/>
        <v>Cfa</v>
      </c>
      <c r="AV801" s="38">
        <v>2.0</v>
      </c>
      <c r="AW801" s="38"/>
      <c r="AX801" s="38"/>
      <c r="AY801" s="38"/>
      <c r="AZ801" s="29">
        <v>30.0</v>
      </c>
      <c r="BA801" s="29"/>
      <c r="BB801" s="29">
        <v>1.0</v>
      </c>
      <c r="BC801" s="29"/>
      <c r="BD801" s="29" t="s">
        <v>88</v>
      </c>
      <c r="BE801" s="29"/>
      <c r="BF801" s="29" t="s">
        <v>984</v>
      </c>
      <c r="BG801" s="29" t="s">
        <v>572</v>
      </c>
      <c r="BH801" s="29" t="s">
        <v>88</v>
      </c>
      <c r="BI801" s="29" t="s">
        <v>1530</v>
      </c>
      <c r="BJ801" s="29" t="s">
        <v>1531</v>
      </c>
      <c r="BK801" s="29" t="s">
        <v>180</v>
      </c>
      <c r="BL801" s="29" t="s">
        <v>180</v>
      </c>
      <c r="BM801" s="45"/>
      <c r="BN801" s="45">
        <v>1.0</v>
      </c>
      <c r="BO801" s="46" t="s">
        <v>1532</v>
      </c>
      <c r="BP801" s="2"/>
      <c r="BQ801" s="3"/>
    </row>
    <row r="802" ht="15.75" customHeight="1">
      <c r="A802" s="34">
        <v>810.0</v>
      </c>
      <c r="B802" s="34">
        <v>103500.0</v>
      </c>
      <c r="C802" s="34" t="s">
        <v>76</v>
      </c>
      <c r="D802" s="34" t="s">
        <v>1517</v>
      </c>
      <c r="E802" s="34" t="s">
        <v>1518</v>
      </c>
      <c r="F802" s="34">
        <v>2017.0</v>
      </c>
      <c r="G802" s="34" t="s">
        <v>1519</v>
      </c>
      <c r="H802" s="34" t="s">
        <v>1520</v>
      </c>
      <c r="I802" s="34" t="s">
        <v>1521</v>
      </c>
      <c r="J802" s="35"/>
      <c r="K802" s="36"/>
      <c r="L802" s="36"/>
      <c r="M802" s="36"/>
      <c r="N802" s="36"/>
      <c r="O802" s="36"/>
      <c r="P802" s="37">
        <v>14.0</v>
      </c>
      <c r="Q802" s="36" t="s">
        <v>96</v>
      </c>
      <c r="R802" s="36" t="s">
        <v>96</v>
      </c>
      <c r="S802" s="36">
        <v>30.0</v>
      </c>
      <c r="T802" s="36" t="s">
        <v>1522</v>
      </c>
      <c r="U802" s="36" t="s">
        <v>1523</v>
      </c>
      <c r="V802" s="36">
        <v>19.0</v>
      </c>
      <c r="W802" s="36" t="s">
        <v>88</v>
      </c>
      <c r="X802" s="38">
        <v>1.0</v>
      </c>
      <c r="Y802" s="38" t="s">
        <v>1524</v>
      </c>
      <c r="Z802" s="38" t="s">
        <v>1525</v>
      </c>
      <c r="AA802" s="38" t="s">
        <v>86</v>
      </c>
      <c r="AB802" s="57" t="s">
        <v>1526</v>
      </c>
      <c r="AC802" s="57" t="s">
        <v>1527</v>
      </c>
      <c r="AD802" s="39" t="s">
        <v>87</v>
      </c>
      <c r="AE802" s="38">
        <v>620.0</v>
      </c>
      <c r="AF802" s="38" t="s">
        <v>1528</v>
      </c>
      <c r="AG802" s="38" t="s">
        <v>1529</v>
      </c>
      <c r="AH802" s="38">
        <v>2.5</v>
      </c>
      <c r="AI802" s="88">
        <v>35.04</v>
      </c>
      <c r="AJ802" s="88">
        <v>-97.91</v>
      </c>
      <c r="AK802" s="41" t="s">
        <v>86</v>
      </c>
      <c r="AL802" s="40" t="s">
        <v>86</v>
      </c>
      <c r="AM802" s="49">
        <v>333.0</v>
      </c>
      <c r="AN802" s="51">
        <v>333.0</v>
      </c>
      <c r="AO802" s="42" t="s">
        <v>201</v>
      </c>
      <c r="AP802" s="43" t="s">
        <v>201</v>
      </c>
      <c r="AQ802" s="44" t="str">
        <f t="shared" si="60"/>
        <v>CRO</v>
      </c>
      <c r="AR802" s="44">
        <f t="shared" si="3"/>
        <v>333</v>
      </c>
      <c r="AS802" s="44" t="str">
        <f t="shared" si="77"/>
        <v>C</v>
      </c>
      <c r="AT802" s="44" t="str">
        <f t="shared" si="17"/>
        <v>Cf</v>
      </c>
      <c r="AU802" s="44" t="str">
        <f t="shared" si="2"/>
        <v>Cfa</v>
      </c>
      <c r="AV802" s="38">
        <v>2.0</v>
      </c>
      <c r="AW802" s="38"/>
      <c r="AX802" s="38"/>
      <c r="AY802" s="38"/>
      <c r="AZ802" s="29">
        <v>30.0</v>
      </c>
      <c r="BA802" s="29"/>
      <c r="BB802" s="29">
        <v>1.0</v>
      </c>
      <c r="BC802" s="29"/>
      <c r="BD802" s="29" t="s">
        <v>88</v>
      </c>
      <c r="BE802" s="29"/>
      <c r="BF802" s="29" t="s">
        <v>571</v>
      </c>
      <c r="BG802" s="29" t="s">
        <v>572</v>
      </c>
      <c r="BH802" s="29" t="s">
        <v>88</v>
      </c>
      <c r="BI802" s="29" t="s">
        <v>1530</v>
      </c>
      <c r="BJ802" s="29" t="s">
        <v>1531</v>
      </c>
      <c r="BK802" s="29" t="s">
        <v>180</v>
      </c>
      <c r="BL802" s="29" t="s">
        <v>180</v>
      </c>
      <c r="BM802" s="45"/>
      <c r="BN802" s="45"/>
      <c r="BO802" s="46"/>
      <c r="BP802" s="2"/>
      <c r="BQ802" s="3"/>
    </row>
    <row r="803" ht="15.75" customHeight="1">
      <c r="A803" s="34">
        <v>811.0</v>
      </c>
      <c r="B803" s="34">
        <v>103500.0</v>
      </c>
      <c r="C803" s="34" t="s">
        <v>76</v>
      </c>
      <c r="D803" s="34" t="s">
        <v>1517</v>
      </c>
      <c r="E803" s="34" t="s">
        <v>1518</v>
      </c>
      <c r="F803" s="34">
        <v>2017.0</v>
      </c>
      <c r="G803" s="34" t="s">
        <v>1519</v>
      </c>
      <c r="H803" s="34" t="s">
        <v>1520</v>
      </c>
      <c r="I803" s="34" t="s">
        <v>1521</v>
      </c>
      <c r="J803" s="35"/>
      <c r="K803" s="36"/>
      <c r="L803" s="36"/>
      <c r="M803" s="36"/>
      <c r="N803" s="36"/>
      <c r="O803" s="36"/>
      <c r="P803" s="37">
        <v>-1.0</v>
      </c>
      <c r="Q803" s="36" t="s">
        <v>96</v>
      </c>
      <c r="R803" s="36" t="s">
        <v>96</v>
      </c>
      <c r="S803" s="36">
        <v>30.0</v>
      </c>
      <c r="T803" s="36" t="s">
        <v>1522</v>
      </c>
      <c r="U803" s="36" t="s">
        <v>1523</v>
      </c>
      <c r="V803" s="36">
        <v>19.0</v>
      </c>
      <c r="W803" s="36" t="s">
        <v>88</v>
      </c>
      <c r="X803" s="38">
        <v>1.0</v>
      </c>
      <c r="Y803" s="38" t="s">
        <v>1524</v>
      </c>
      <c r="Z803" s="38" t="s">
        <v>1525</v>
      </c>
      <c r="AA803" s="38" t="s">
        <v>86</v>
      </c>
      <c r="AB803" s="57" t="s">
        <v>1526</v>
      </c>
      <c r="AC803" s="57" t="s">
        <v>1527</v>
      </c>
      <c r="AD803" s="39" t="s">
        <v>87</v>
      </c>
      <c r="AE803" s="38">
        <v>620.0</v>
      </c>
      <c r="AF803" s="38" t="s">
        <v>1528</v>
      </c>
      <c r="AG803" s="38" t="s">
        <v>1529</v>
      </c>
      <c r="AH803" s="38">
        <v>2.5</v>
      </c>
      <c r="AI803" s="88">
        <v>35.04</v>
      </c>
      <c r="AJ803" s="88">
        <v>-97.91</v>
      </c>
      <c r="AK803" s="41" t="s">
        <v>86</v>
      </c>
      <c r="AL803" s="40" t="s">
        <v>86</v>
      </c>
      <c r="AM803" s="49">
        <v>333.0</v>
      </c>
      <c r="AN803" s="51">
        <v>333.0</v>
      </c>
      <c r="AO803" s="42" t="s">
        <v>201</v>
      </c>
      <c r="AP803" s="43" t="s">
        <v>201</v>
      </c>
      <c r="AQ803" s="44" t="str">
        <f t="shared" si="60"/>
        <v>CRO</v>
      </c>
      <c r="AR803" s="44">
        <f t="shared" si="3"/>
        <v>333</v>
      </c>
      <c r="AS803" s="44" t="str">
        <f t="shared" si="77"/>
        <v>C</v>
      </c>
      <c r="AT803" s="44" t="str">
        <f t="shared" si="17"/>
        <v>Cf</v>
      </c>
      <c r="AU803" s="44" t="str">
        <f t="shared" si="2"/>
        <v>Cfa</v>
      </c>
      <c r="AV803" s="38">
        <v>2.0</v>
      </c>
      <c r="AW803" s="38"/>
      <c r="AX803" s="38"/>
      <c r="AY803" s="38"/>
      <c r="AZ803" s="29">
        <v>30.0</v>
      </c>
      <c r="BA803" s="29"/>
      <c r="BB803" s="29">
        <v>1.0</v>
      </c>
      <c r="BC803" s="29"/>
      <c r="BD803" s="29" t="s">
        <v>88</v>
      </c>
      <c r="BE803" s="29"/>
      <c r="BF803" s="29" t="s">
        <v>1533</v>
      </c>
      <c r="BG803" s="29" t="s">
        <v>572</v>
      </c>
      <c r="BH803" s="29" t="s">
        <v>88</v>
      </c>
      <c r="BI803" s="29" t="s">
        <v>1530</v>
      </c>
      <c r="BJ803" s="29" t="s">
        <v>1531</v>
      </c>
      <c r="BK803" s="29" t="s">
        <v>180</v>
      </c>
      <c r="BL803" s="29" t="s">
        <v>180</v>
      </c>
      <c r="BM803" s="45"/>
      <c r="BN803" s="45"/>
      <c r="BO803" s="46"/>
      <c r="BP803" s="2"/>
      <c r="BQ803" s="3"/>
    </row>
    <row r="804" ht="15.75" customHeight="1">
      <c r="A804" s="34">
        <v>812.0</v>
      </c>
      <c r="B804" s="34">
        <v>103500.0</v>
      </c>
      <c r="C804" s="34" t="s">
        <v>76</v>
      </c>
      <c r="D804" s="34" t="s">
        <v>1517</v>
      </c>
      <c r="E804" s="34" t="s">
        <v>1518</v>
      </c>
      <c r="F804" s="34">
        <v>2017.0</v>
      </c>
      <c r="G804" s="34" t="s">
        <v>1519</v>
      </c>
      <c r="H804" s="34" t="s">
        <v>1520</v>
      </c>
      <c r="I804" s="34" t="s">
        <v>1521</v>
      </c>
      <c r="J804" s="35"/>
      <c r="K804" s="36"/>
      <c r="L804" s="36"/>
      <c r="M804" s="36"/>
      <c r="N804" s="36"/>
      <c r="O804" s="36"/>
      <c r="P804" s="37">
        <v>7.0</v>
      </c>
      <c r="Q804" s="36" t="s">
        <v>96</v>
      </c>
      <c r="R804" s="36" t="s">
        <v>96</v>
      </c>
      <c r="S804" s="36">
        <v>30.0</v>
      </c>
      <c r="T804" s="36" t="s">
        <v>1522</v>
      </c>
      <c r="U804" s="36" t="s">
        <v>1523</v>
      </c>
      <c r="V804" s="36">
        <v>19.0</v>
      </c>
      <c r="W804" s="36" t="s">
        <v>88</v>
      </c>
      <c r="X804" s="38">
        <v>1.0</v>
      </c>
      <c r="Y804" s="38" t="s">
        <v>1524</v>
      </c>
      <c r="Z804" s="38" t="s">
        <v>1525</v>
      </c>
      <c r="AA804" s="38" t="s">
        <v>86</v>
      </c>
      <c r="AB804" s="57" t="s">
        <v>1526</v>
      </c>
      <c r="AC804" s="57" t="s">
        <v>1527</v>
      </c>
      <c r="AD804" s="39" t="s">
        <v>87</v>
      </c>
      <c r="AE804" s="38">
        <v>620.0</v>
      </c>
      <c r="AF804" s="38" t="s">
        <v>1528</v>
      </c>
      <c r="AG804" s="38" t="s">
        <v>1529</v>
      </c>
      <c r="AH804" s="38">
        <v>2.5</v>
      </c>
      <c r="AI804" s="88">
        <v>35.04</v>
      </c>
      <c r="AJ804" s="88">
        <v>-97.91</v>
      </c>
      <c r="AK804" s="41" t="s">
        <v>86</v>
      </c>
      <c r="AL804" s="40" t="s">
        <v>86</v>
      </c>
      <c r="AM804" s="49">
        <v>333.0</v>
      </c>
      <c r="AN804" s="51">
        <v>333.0</v>
      </c>
      <c r="AO804" s="42" t="s">
        <v>201</v>
      </c>
      <c r="AP804" s="43" t="s">
        <v>201</v>
      </c>
      <c r="AQ804" s="44" t="str">
        <f t="shared" si="60"/>
        <v>CRO</v>
      </c>
      <c r="AR804" s="44">
        <f t="shared" si="3"/>
        <v>333</v>
      </c>
      <c r="AS804" s="44" t="str">
        <f t="shared" si="77"/>
        <v>C</v>
      </c>
      <c r="AT804" s="44" t="str">
        <f t="shared" si="17"/>
        <v>Cf</v>
      </c>
      <c r="AU804" s="44" t="str">
        <f t="shared" si="2"/>
        <v>Cfa</v>
      </c>
      <c r="AV804" s="38">
        <v>2.0</v>
      </c>
      <c r="AW804" s="38"/>
      <c r="AX804" s="38"/>
      <c r="AY804" s="38"/>
      <c r="AZ804" s="29">
        <v>30.0</v>
      </c>
      <c r="BA804" s="29"/>
      <c r="BB804" s="29">
        <v>1.0</v>
      </c>
      <c r="BC804" s="29"/>
      <c r="BD804" s="29" t="s">
        <v>88</v>
      </c>
      <c r="BE804" s="29"/>
      <c r="BF804" s="29" t="s">
        <v>936</v>
      </c>
      <c r="BG804" s="29" t="s">
        <v>572</v>
      </c>
      <c r="BH804" s="29" t="s">
        <v>88</v>
      </c>
      <c r="BI804" s="29" t="s">
        <v>1530</v>
      </c>
      <c r="BJ804" s="29" t="s">
        <v>1531</v>
      </c>
      <c r="BK804" s="29" t="s">
        <v>180</v>
      </c>
      <c r="BL804" s="29" t="s">
        <v>180</v>
      </c>
      <c r="BM804" s="45"/>
      <c r="BN804" s="45"/>
      <c r="BO804" s="46"/>
      <c r="BP804" s="2"/>
      <c r="BQ804" s="3"/>
    </row>
    <row r="805" ht="15.75" customHeight="1">
      <c r="A805" s="34">
        <v>813.0</v>
      </c>
      <c r="B805" s="34">
        <v>103500.0</v>
      </c>
      <c r="C805" s="34" t="s">
        <v>76</v>
      </c>
      <c r="D805" s="34" t="s">
        <v>1517</v>
      </c>
      <c r="E805" s="34" t="s">
        <v>1518</v>
      </c>
      <c r="F805" s="34">
        <v>2017.0</v>
      </c>
      <c r="G805" s="34" t="s">
        <v>1519</v>
      </c>
      <c r="H805" s="34" t="s">
        <v>1520</v>
      </c>
      <c r="I805" s="34" t="s">
        <v>1521</v>
      </c>
      <c r="J805" s="35"/>
      <c r="K805" s="36"/>
      <c r="L805" s="36"/>
      <c r="M805" s="36"/>
      <c r="N805" s="36"/>
      <c r="O805" s="36"/>
      <c r="P805" s="37">
        <v>-5.0</v>
      </c>
      <c r="Q805" s="36" t="s">
        <v>96</v>
      </c>
      <c r="R805" s="36" t="s">
        <v>96</v>
      </c>
      <c r="S805" s="36">
        <v>30.0</v>
      </c>
      <c r="T805" s="36" t="s">
        <v>1522</v>
      </c>
      <c r="U805" s="36" t="s">
        <v>1523</v>
      </c>
      <c r="V805" s="36">
        <v>19.0</v>
      </c>
      <c r="W805" s="36" t="s">
        <v>88</v>
      </c>
      <c r="X805" s="38">
        <v>1.0</v>
      </c>
      <c r="Y805" s="38" t="s">
        <v>1524</v>
      </c>
      <c r="Z805" s="38" t="s">
        <v>1525</v>
      </c>
      <c r="AA805" s="38" t="s">
        <v>86</v>
      </c>
      <c r="AB805" s="57" t="s">
        <v>1526</v>
      </c>
      <c r="AC805" s="57" t="s">
        <v>1527</v>
      </c>
      <c r="AD805" s="39" t="s">
        <v>87</v>
      </c>
      <c r="AE805" s="38">
        <v>620.0</v>
      </c>
      <c r="AF805" s="38" t="s">
        <v>1528</v>
      </c>
      <c r="AG805" s="38" t="s">
        <v>1529</v>
      </c>
      <c r="AH805" s="38">
        <v>2.5</v>
      </c>
      <c r="AI805" s="88">
        <v>35.04</v>
      </c>
      <c r="AJ805" s="88">
        <v>-97.91</v>
      </c>
      <c r="AK805" s="41" t="s">
        <v>86</v>
      </c>
      <c r="AL805" s="40" t="s">
        <v>86</v>
      </c>
      <c r="AM805" s="49">
        <v>333.0</v>
      </c>
      <c r="AN805" s="51">
        <v>333.0</v>
      </c>
      <c r="AO805" s="42" t="s">
        <v>201</v>
      </c>
      <c r="AP805" s="43" t="s">
        <v>201</v>
      </c>
      <c r="AQ805" s="44" t="str">
        <f t="shared" si="60"/>
        <v>CRO</v>
      </c>
      <c r="AR805" s="44">
        <f t="shared" si="3"/>
        <v>333</v>
      </c>
      <c r="AS805" s="44" t="str">
        <f t="shared" si="77"/>
        <v>C</v>
      </c>
      <c r="AT805" s="44" t="str">
        <f t="shared" si="17"/>
        <v>Cf</v>
      </c>
      <c r="AU805" s="44" t="str">
        <f t="shared" si="2"/>
        <v>Cfa</v>
      </c>
      <c r="AV805" s="38">
        <v>2.0</v>
      </c>
      <c r="AW805" s="38"/>
      <c r="AX805" s="38"/>
      <c r="AY805" s="38"/>
      <c r="AZ805" s="29">
        <v>30.0</v>
      </c>
      <c r="BA805" s="29"/>
      <c r="BB805" s="29">
        <v>1.0</v>
      </c>
      <c r="BC805" s="29"/>
      <c r="BD805" s="29" t="s">
        <v>88</v>
      </c>
      <c r="BE805" s="29"/>
      <c r="BF805" s="29" t="s">
        <v>802</v>
      </c>
      <c r="BG805" s="29" t="s">
        <v>572</v>
      </c>
      <c r="BH805" s="29" t="s">
        <v>88</v>
      </c>
      <c r="BI805" s="29" t="s">
        <v>1530</v>
      </c>
      <c r="BJ805" s="29" t="s">
        <v>1531</v>
      </c>
      <c r="BK805" s="29" t="s">
        <v>180</v>
      </c>
      <c r="BL805" s="29" t="s">
        <v>180</v>
      </c>
      <c r="BM805" s="45"/>
      <c r="BN805" s="45"/>
      <c r="BO805" s="46"/>
      <c r="BP805" s="2"/>
      <c r="BQ805" s="3"/>
    </row>
    <row r="806" ht="15.75" customHeight="1">
      <c r="A806" s="34">
        <v>814.0</v>
      </c>
      <c r="B806" s="34">
        <v>103500.0</v>
      </c>
      <c r="C806" s="34" t="s">
        <v>76</v>
      </c>
      <c r="D806" s="34" t="s">
        <v>1517</v>
      </c>
      <c r="E806" s="34" t="s">
        <v>1518</v>
      </c>
      <c r="F806" s="34">
        <v>2017.0</v>
      </c>
      <c r="G806" s="34" t="s">
        <v>1519</v>
      </c>
      <c r="H806" s="34" t="s">
        <v>1520</v>
      </c>
      <c r="I806" s="34" t="s">
        <v>1521</v>
      </c>
      <c r="J806" s="35"/>
      <c r="K806" s="36"/>
      <c r="L806" s="36"/>
      <c r="M806" s="36"/>
      <c r="N806" s="36"/>
      <c r="O806" s="36"/>
      <c r="P806" s="37">
        <v>32.0</v>
      </c>
      <c r="Q806" s="36"/>
      <c r="R806" s="36" t="s">
        <v>82</v>
      </c>
      <c r="S806" s="36">
        <v>30.0</v>
      </c>
      <c r="T806" s="36" t="s">
        <v>1522</v>
      </c>
      <c r="U806" s="36" t="s">
        <v>1523</v>
      </c>
      <c r="V806" s="36">
        <v>19.0</v>
      </c>
      <c r="W806" s="36" t="s">
        <v>88</v>
      </c>
      <c r="X806" s="38">
        <v>1.0</v>
      </c>
      <c r="Y806" s="38" t="s">
        <v>1524</v>
      </c>
      <c r="Z806" s="38" t="s">
        <v>1525</v>
      </c>
      <c r="AA806" s="38" t="s">
        <v>86</v>
      </c>
      <c r="AB806" s="57" t="s">
        <v>1526</v>
      </c>
      <c r="AC806" s="57" t="s">
        <v>1527</v>
      </c>
      <c r="AD806" s="39" t="s">
        <v>87</v>
      </c>
      <c r="AE806" s="38">
        <v>620.0</v>
      </c>
      <c r="AF806" s="38" t="s">
        <v>1528</v>
      </c>
      <c r="AG806" s="38" t="s">
        <v>1529</v>
      </c>
      <c r="AH806" s="38">
        <v>2.5</v>
      </c>
      <c r="AI806" s="88">
        <v>35.04</v>
      </c>
      <c r="AJ806" s="88">
        <v>-97.91</v>
      </c>
      <c r="AK806" s="41" t="s">
        <v>86</v>
      </c>
      <c r="AL806" s="40" t="s">
        <v>86</v>
      </c>
      <c r="AM806" s="49">
        <v>333.0</v>
      </c>
      <c r="AN806" s="51">
        <v>333.0</v>
      </c>
      <c r="AO806" s="42" t="s">
        <v>201</v>
      </c>
      <c r="AP806" s="43" t="s">
        <v>201</v>
      </c>
      <c r="AQ806" s="44" t="str">
        <f t="shared" si="60"/>
        <v>CRO</v>
      </c>
      <c r="AR806" s="44">
        <f t="shared" si="3"/>
        <v>333</v>
      </c>
      <c r="AS806" s="44" t="str">
        <f t="shared" si="77"/>
        <v>C</v>
      </c>
      <c r="AT806" s="44" t="str">
        <f t="shared" si="17"/>
        <v>Cf</v>
      </c>
      <c r="AU806" s="44" t="str">
        <f t="shared" si="2"/>
        <v>Cfa</v>
      </c>
      <c r="AV806" s="38">
        <v>2.0</v>
      </c>
      <c r="AW806" s="38"/>
      <c r="AX806" s="38"/>
      <c r="AY806" s="38"/>
      <c r="AZ806" s="29">
        <v>30.0</v>
      </c>
      <c r="BA806" s="29"/>
      <c r="BB806" s="29">
        <v>1.0</v>
      </c>
      <c r="BC806" s="29"/>
      <c r="BD806" s="29" t="s">
        <v>88</v>
      </c>
      <c r="BE806" s="29"/>
      <c r="BF806" s="29" t="s">
        <v>984</v>
      </c>
      <c r="BG806" s="29" t="s">
        <v>572</v>
      </c>
      <c r="BH806" s="29" t="s">
        <v>88</v>
      </c>
      <c r="BI806" s="29" t="s">
        <v>1530</v>
      </c>
      <c r="BJ806" s="29" t="s">
        <v>1531</v>
      </c>
      <c r="BK806" s="29" t="s">
        <v>180</v>
      </c>
      <c r="BL806" s="29" t="s">
        <v>180</v>
      </c>
      <c r="BM806" s="45"/>
      <c r="BN806" s="45"/>
      <c r="BO806" s="46"/>
      <c r="BP806" s="2"/>
      <c r="BQ806" s="3"/>
    </row>
    <row r="807" ht="15.75" customHeight="1">
      <c r="A807" s="34">
        <v>815.0</v>
      </c>
      <c r="B807" s="34">
        <v>103500.0</v>
      </c>
      <c r="C807" s="34" t="s">
        <v>76</v>
      </c>
      <c r="D807" s="34" t="s">
        <v>1517</v>
      </c>
      <c r="E807" s="34" t="s">
        <v>1518</v>
      </c>
      <c r="F807" s="34">
        <v>2017.0</v>
      </c>
      <c r="G807" s="34" t="s">
        <v>1519</v>
      </c>
      <c r="H807" s="34" t="s">
        <v>1520</v>
      </c>
      <c r="I807" s="34" t="s">
        <v>1521</v>
      </c>
      <c r="J807" s="35"/>
      <c r="K807" s="36"/>
      <c r="L807" s="36"/>
      <c r="M807" s="36"/>
      <c r="N807" s="36"/>
      <c r="O807" s="36"/>
      <c r="P807" s="37">
        <v>23.0</v>
      </c>
      <c r="Q807" s="36"/>
      <c r="R807" s="36" t="s">
        <v>82</v>
      </c>
      <c r="S807" s="36">
        <v>30.0</v>
      </c>
      <c r="T807" s="36" t="s">
        <v>1522</v>
      </c>
      <c r="U807" s="36" t="s">
        <v>1523</v>
      </c>
      <c r="V807" s="36">
        <v>19.0</v>
      </c>
      <c r="W807" s="36" t="s">
        <v>88</v>
      </c>
      <c r="X807" s="38">
        <v>1.0</v>
      </c>
      <c r="Y807" s="38" t="s">
        <v>1524</v>
      </c>
      <c r="Z807" s="38" t="s">
        <v>1525</v>
      </c>
      <c r="AA807" s="38" t="s">
        <v>86</v>
      </c>
      <c r="AB807" s="57" t="s">
        <v>1526</v>
      </c>
      <c r="AC807" s="57" t="s">
        <v>1527</v>
      </c>
      <c r="AD807" s="39" t="s">
        <v>87</v>
      </c>
      <c r="AE807" s="38">
        <v>620.0</v>
      </c>
      <c r="AF807" s="38" t="s">
        <v>1528</v>
      </c>
      <c r="AG807" s="38" t="s">
        <v>1529</v>
      </c>
      <c r="AH807" s="38">
        <v>2.5</v>
      </c>
      <c r="AI807" s="88">
        <v>35.04</v>
      </c>
      <c r="AJ807" s="88">
        <v>-97.91</v>
      </c>
      <c r="AK807" s="41" t="s">
        <v>86</v>
      </c>
      <c r="AL807" s="40" t="s">
        <v>86</v>
      </c>
      <c r="AM807" s="49">
        <v>333.0</v>
      </c>
      <c r="AN807" s="51">
        <v>333.0</v>
      </c>
      <c r="AO807" s="42" t="s">
        <v>201</v>
      </c>
      <c r="AP807" s="43" t="s">
        <v>201</v>
      </c>
      <c r="AQ807" s="44" t="str">
        <f t="shared" si="60"/>
        <v>CRO</v>
      </c>
      <c r="AR807" s="44">
        <f t="shared" si="3"/>
        <v>333</v>
      </c>
      <c r="AS807" s="44" t="str">
        <f t="shared" si="77"/>
        <v>C</v>
      </c>
      <c r="AT807" s="44" t="str">
        <f t="shared" si="17"/>
        <v>Cf</v>
      </c>
      <c r="AU807" s="44" t="str">
        <f t="shared" si="2"/>
        <v>Cfa</v>
      </c>
      <c r="AV807" s="38">
        <v>2.0</v>
      </c>
      <c r="AW807" s="38"/>
      <c r="AX807" s="38"/>
      <c r="AY807" s="38"/>
      <c r="AZ807" s="29">
        <v>30.0</v>
      </c>
      <c r="BA807" s="29"/>
      <c r="BB807" s="29">
        <v>1.0</v>
      </c>
      <c r="BC807" s="29"/>
      <c r="BD807" s="29" t="s">
        <v>88</v>
      </c>
      <c r="BE807" s="29"/>
      <c r="BF807" s="29" t="s">
        <v>571</v>
      </c>
      <c r="BG807" s="29" t="s">
        <v>572</v>
      </c>
      <c r="BH807" s="29" t="s">
        <v>88</v>
      </c>
      <c r="BI807" s="29" t="s">
        <v>1530</v>
      </c>
      <c r="BJ807" s="29" t="s">
        <v>1531</v>
      </c>
      <c r="BK807" s="29" t="s">
        <v>180</v>
      </c>
      <c r="BL807" s="29" t="s">
        <v>180</v>
      </c>
      <c r="BM807" s="45"/>
      <c r="BN807" s="45"/>
      <c r="BO807" s="46"/>
      <c r="BP807" s="2"/>
      <c r="BQ807" s="3"/>
    </row>
    <row r="808" ht="15.75" customHeight="1">
      <c r="A808" s="34">
        <v>816.0</v>
      </c>
      <c r="B808" s="34">
        <v>103500.0</v>
      </c>
      <c r="C808" s="34" t="s">
        <v>76</v>
      </c>
      <c r="D808" s="34" t="s">
        <v>1517</v>
      </c>
      <c r="E808" s="34" t="s">
        <v>1518</v>
      </c>
      <c r="F808" s="34">
        <v>2017.0</v>
      </c>
      <c r="G808" s="34" t="s">
        <v>1519</v>
      </c>
      <c r="H808" s="34" t="s">
        <v>1520</v>
      </c>
      <c r="I808" s="34" t="s">
        <v>1521</v>
      </c>
      <c r="J808" s="35"/>
      <c r="K808" s="36"/>
      <c r="L808" s="36"/>
      <c r="M808" s="36"/>
      <c r="N808" s="36"/>
      <c r="O808" s="36"/>
      <c r="P808" s="37">
        <v>29.0</v>
      </c>
      <c r="Q808" s="36"/>
      <c r="R808" s="36" t="s">
        <v>82</v>
      </c>
      <c r="S808" s="36">
        <v>30.0</v>
      </c>
      <c r="T808" s="36" t="s">
        <v>1522</v>
      </c>
      <c r="U808" s="36" t="s">
        <v>1523</v>
      </c>
      <c r="V808" s="36">
        <v>19.0</v>
      </c>
      <c r="W808" s="36" t="s">
        <v>88</v>
      </c>
      <c r="X808" s="38">
        <v>1.0</v>
      </c>
      <c r="Y808" s="38" t="s">
        <v>1524</v>
      </c>
      <c r="Z808" s="38" t="s">
        <v>1525</v>
      </c>
      <c r="AA808" s="38" t="s">
        <v>86</v>
      </c>
      <c r="AB808" s="57" t="s">
        <v>1526</v>
      </c>
      <c r="AC808" s="57" t="s">
        <v>1527</v>
      </c>
      <c r="AD808" s="39" t="s">
        <v>87</v>
      </c>
      <c r="AE808" s="38">
        <v>620.0</v>
      </c>
      <c r="AF808" s="38" t="s">
        <v>1528</v>
      </c>
      <c r="AG808" s="38" t="s">
        <v>1529</v>
      </c>
      <c r="AH808" s="38">
        <v>2.5</v>
      </c>
      <c r="AI808" s="88">
        <v>35.04</v>
      </c>
      <c r="AJ808" s="88">
        <v>-97.91</v>
      </c>
      <c r="AK808" s="41" t="s">
        <v>86</v>
      </c>
      <c r="AL808" s="40" t="s">
        <v>86</v>
      </c>
      <c r="AM808" s="49">
        <v>333.0</v>
      </c>
      <c r="AN808" s="51">
        <v>333.0</v>
      </c>
      <c r="AO808" s="42" t="s">
        <v>201</v>
      </c>
      <c r="AP808" s="43" t="s">
        <v>201</v>
      </c>
      <c r="AQ808" s="44" t="str">
        <f t="shared" si="60"/>
        <v>CRO</v>
      </c>
      <c r="AR808" s="44">
        <f t="shared" si="3"/>
        <v>333</v>
      </c>
      <c r="AS808" s="44" t="str">
        <f t="shared" si="77"/>
        <v>C</v>
      </c>
      <c r="AT808" s="44" t="str">
        <f t="shared" si="17"/>
        <v>Cf</v>
      </c>
      <c r="AU808" s="44" t="str">
        <f t="shared" si="2"/>
        <v>Cfa</v>
      </c>
      <c r="AV808" s="38">
        <v>2.0</v>
      </c>
      <c r="AW808" s="38"/>
      <c r="AX808" s="38"/>
      <c r="AY808" s="38"/>
      <c r="AZ808" s="29">
        <v>30.0</v>
      </c>
      <c r="BA808" s="29"/>
      <c r="BB808" s="29">
        <v>1.0</v>
      </c>
      <c r="BC808" s="29"/>
      <c r="BD808" s="29" t="s">
        <v>88</v>
      </c>
      <c r="BE808" s="29"/>
      <c r="BF808" s="29" t="s">
        <v>1533</v>
      </c>
      <c r="BG808" s="29" t="s">
        <v>572</v>
      </c>
      <c r="BH808" s="29" t="s">
        <v>88</v>
      </c>
      <c r="BI808" s="29" t="s">
        <v>1530</v>
      </c>
      <c r="BJ808" s="29" t="s">
        <v>1531</v>
      </c>
      <c r="BK808" s="29" t="s">
        <v>180</v>
      </c>
      <c r="BL808" s="29" t="s">
        <v>180</v>
      </c>
      <c r="BM808" s="45"/>
      <c r="BN808" s="45"/>
      <c r="BO808" s="46"/>
      <c r="BP808" s="2"/>
      <c r="BQ808" s="3"/>
    </row>
    <row r="809" ht="15.75" customHeight="1">
      <c r="A809" s="34">
        <v>817.0</v>
      </c>
      <c r="B809" s="34">
        <v>103500.0</v>
      </c>
      <c r="C809" s="34" t="s">
        <v>76</v>
      </c>
      <c r="D809" s="34" t="s">
        <v>1517</v>
      </c>
      <c r="E809" s="34" t="s">
        <v>1518</v>
      </c>
      <c r="F809" s="34">
        <v>2017.0</v>
      </c>
      <c r="G809" s="34" t="s">
        <v>1519</v>
      </c>
      <c r="H809" s="34" t="s">
        <v>1520</v>
      </c>
      <c r="I809" s="34" t="s">
        <v>1521</v>
      </c>
      <c r="J809" s="35"/>
      <c r="K809" s="36"/>
      <c r="L809" s="36"/>
      <c r="M809" s="36"/>
      <c r="N809" s="36"/>
      <c r="O809" s="36"/>
      <c r="P809" s="37">
        <v>8.0</v>
      </c>
      <c r="Q809" s="36"/>
      <c r="R809" s="36" t="s">
        <v>82</v>
      </c>
      <c r="S809" s="36">
        <v>30.0</v>
      </c>
      <c r="T809" s="36" t="s">
        <v>1522</v>
      </c>
      <c r="U809" s="36" t="s">
        <v>1523</v>
      </c>
      <c r="V809" s="36">
        <v>19.0</v>
      </c>
      <c r="W809" s="36" t="s">
        <v>88</v>
      </c>
      <c r="X809" s="38">
        <v>1.0</v>
      </c>
      <c r="Y809" s="38" t="s">
        <v>1524</v>
      </c>
      <c r="Z809" s="38" t="s">
        <v>1525</v>
      </c>
      <c r="AA809" s="38" t="s">
        <v>86</v>
      </c>
      <c r="AB809" s="57" t="s">
        <v>1526</v>
      </c>
      <c r="AC809" s="57" t="s">
        <v>1527</v>
      </c>
      <c r="AD809" s="39" t="s">
        <v>87</v>
      </c>
      <c r="AE809" s="38">
        <v>620.0</v>
      </c>
      <c r="AF809" s="38" t="s">
        <v>1528</v>
      </c>
      <c r="AG809" s="38" t="s">
        <v>1529</v>
      </c>
      <c r="AH809" s="38">
        <v>2.5</v>
      </c>
      <c r="AI809" s="88">
        <v>35.04</v>
      </c>
      <c r="AJ809" s="88">
        <v>-97.91</v>
      </c>
      <c r="AK809" s="41" t="s">
        <v>86</v>
      </c>
      <c r="AL809" s="40" t="s">
        <v>86</v>
      </c>
      <c r="AM809" s="49">
        <v>333.0</v>
      </c>
      <c r="AN809" s="51">
        <v>333.0</v>
      </c>
      <c r="AO809" s="42" t="s">
        <v>201</v>
      </c>
      <c r="AP809" s="43" t="s">
        <v>201</v>
      </c>
      <c r="AQ809" s="44" t="str">
        <f t="shared" si="60"/>
        <v>CRO</v>
      </c>
      <c r="AR809" s="44">
        <f t="shared" si="3"/>
        <v>333</v>
      </c>
      <c r="AS809" s="44" t="str">
        <f t="shared" si="77"/>
        <v>C</v>
      </c>
      <c r="AT809" s="44" t="str">
        <f t="shared" si="17"/>
        <v>Cf</v>
      </c>
      <c r="AU809" s="44" t="str">
        <f t="shared" si="2"/>
        <v>Cfa</v>
      </c>
      <c r="AV809" s="38">
        <v>2.0</v>
      </c>
      <c r="AW809" s="38"/>
      <c r="AX809" s="38"/>
      <c r="AY809" s="38"/>
      <c r="AZ809" s="29">
        <v>30.0</v>
      </c>
      <c r="BA809" s="29"/>
      <c r="BB809" s="29">
        <v>1.0</v>
      </c>
      <c r="BC809" s="29"/>
      <c r="BD809" s="29" t="s">
        <v>88</v>
      </c>
      <c r="BE809" s="29"/>
      <c r="BF809" s="29" t="s">
        <v>936</v>
      </c>
      <c r="BG809" s="29" t="s">
        <v>572</v>
      </c>
      <c r="BH809" s="29" t="s">
        <v>88</v>
      </c>
      <c r="BI809" s="29" t="s">
        <v>1530</v>
      </c>
      <c r="BJ809" s="29" t="s">
        <v>1531</v>
      </c>
      <c r="BK809" s="29" t="s">
        <v>180</v>
      </c>
      <c r="BL809" s="29" t="s">
        <v>180</v>
      </c>
      <c r="BM809" s="45"/>
      <c r="BN809" s="45"/>
      <c r="BO809" s="46"/>
      <c r="BP809" s="2"/>
      <c r="BQ809" s="3"/>
    </row>
    <row r="810" ht="15.75" customHeight="1">
      <c r="A810" s="34">
        <v>818.0</v>
      </c>
      <c r="B810" s="34">
        <v>201706.0</v>
      </c>
      <c r="C810" s="34" t="s">
        <v>76</v>
      </c>
      <c r="D810" s="34" t="s">
        <v>1534</v>
      </c>
      <c r="E810" s="34" t="s">
        <v>1535</v>
      </c>
      <c r="F810" s="34">
        <v>2017.0</v>
      </c>
      <c r="G810" s="34" t="s">
        <v>1536</v>
      </c>
      <c r="H810" s="34" t="s">
        <v>1520</v>
      </c>
      <c r="I810" s="34" t="s">
        <v>1537</v>
      </c>
      <c r="J810" s="35"/>
      <c r="K810" s="36"/>
      <c r="L810" s="36"/>
      <c r="M810" s="36"/>
      <c r="N810" s="36"/>
      <c r="O810" s="36"/>
      <c r="P810" s="37">
        <v>25.0</v>
      </c>
      <c r="Q810" s="36"/>
      <c r="R810" s="36" t="s">
        <v>82</v>
      </c>
      <c r="S810" s="36">
        <v>30.0</v>
      </c>
      <c r="T810" s="36" t="s">
        <v>1538</v>
      </c>
      <c r="U810" s="36" t="s">
        <v>1539</v>
      </c>
      <c r="V810" s="36">
        <v>18.0</v>
      </c>
      <c r="W810" s="36" t="s">
        <v>88</v>
      </c>
      <c r="X810" s="38">
        <v>1.0</v>
      </c>
      <c r="Y810" s="38" t="s">
        <v>1524</v>
      </c>
      <c r="Z810" s="38" t="s">
        <v>1525</v>
      </c>
      <c r="AA810" s="38" t="s">
        <v>86</v>
      </c>
      <c r="AB810" s="57" t="s">
        <v>1526</v>
      </c>
      <c r="AC810" s="57" t="s">
        <v>1527</v>
      </c>
      <c r="AD810" s="39" t="s">
        <v>87</v>
      </c>
      <c r="AE810" s="38">
        <v>620.0</v>
      </c>
      <c r="AF810" s="38" t="s">
        <v>1528</v>
      </c>
      <c r="AG810" s="38" t="s">
        <v>1529</v>
      </c>
      <c r="AH810" s="38">
        <v>2.5</v>
      </c>
      <c r="AI810" s="88">
        <v>35.04</v>
      </c>
      <c r="AJ810" s="88">
        <v>-97.91</v>
      </c>
      <c r="AK810" s="41" t="s">
        <v>86</v>
      </c>
      <c r="AL810" s="40" t="s">
        <v>86</v>
      </c>
      <c r="AM810" s="49">
        <v>333.0</v>
      </c>
      <c r="AN810" s="51">
        <v>333.0</v>
      </c>
      <c r="AO810" s="42" t="s">
        <v>201</v>
      </c>
      <c r="AP810" s="43" t="s">
        <v>201</v>
      </c>
      <c r="AQ810" s="44" t="str">
        <f t="shared" si="60"/>
        <v>CRO</v>
      </c>
      <c r="AR810" s="44">
        <f t="shared" si="3"/>
        <v>333</v>
      </c>
      <c r="AS810" s="44" t="str">
        <f t="shared" si="77"/>
        <v>C</v>
      </c>
      <c r="AT810" s="44" t="str">
        <f t="shared" si="17"/>
        <v>Cf</v>
      </c>
      <c r="AU810" s="44" t="str">
        <f t="shared" si="2"/>
        <v>Cfa</v>
      </c>
      <c r="AV810" s="38">
        <v>3.0</v>
      </c>
      <c r="AW810" s="38"/>
      <c r="AX810" s="38"/>
      <c r="AY810" s="38"/>
      <c r="AZ810" s="29">
        <v>30.0</v>
      </c>
      <c r="BA810" s="29"/>
      <c r="BB810" s="29">
        <v>1.0</v>
      </c>
      <c r="BC810" s="29"/>
      <c r="BD810" s="29" t="s">
        <v>88</v>
      </c>
      <c r="BE810" s="29"/>
      <c r="BF810" s="29" t="s">
        <v>984</v>
      </c>
      <c r="BG810" s="29" t="s">
        <v>572</v>
      </c>
      <c r="BH810" s="29" t="s">
        <v>88</v>
      </c>
      <c r="BI810" s="29" t="s">
        <v>1530</v>
      </c>
      <c r="BJ810" s="29" t="s">
        <v>1531</v>
      </c>
      <c r="BK810" s="29" t="s">
        <v>180</v>
      </c>
      <c r="BL810" s="29" t="s">
        <v>180</v>
      </c>
      <c r="BM810" s="45"/>
      <c r="BN810" s="45">
        <v>1.0</v>
      </c>
      <c r="BO810" s="46" t="s">
        <v>1540</v>
      </c>
      <c r="BP810" s="2"/>
      <c r="BQ810" s="3"/>
    </row>
    <row r="811" ht="15.75" customHeight="1">
      <c r="A811" s="34">
        <v>819.0</v>
      </c>
      <c r="B811" s="34">
        <v>201706.0</v>
      </c>
      <c r="C811" s="34" t="s">
        <v>76</v>
      </c>
      <c r="D811" s="34" t="s">
        <v>1534</v>
      </c>
      <c r="E811" s="34" t="s">
        <v>1535</v>
      </c>
      <c r="F811" s="34">
        <v>2017.0</v>
      </c>
      <c r="G811" s="34" t="s">
        <v>1536</v>
      </c>
      <c r="H811" s="34" t="s">
        <v>1520</v>
      </c>
      <c r="I811" s="34" t="s">
        <v>1537</v>
      </c>
      <c r="J811" s="35"/>
      <c r="K811" s="36"/>
      <c r="L811" s="36"/>
      <c r="M811" s="36"/>
      <c r="N811" s="36"/>
      <c r="O811" s="36"/>
      <c r="P811" s="37">
        <v>26.0</v>
      </c>
      <c r="Q811" s="36"/>
      <c r="R811" s="36" t="s">
        <v>82</v>
      </c>
      <c r="S811" s="36">
        <v>30.0</v>
      </c>
      <c r="T811" s="36" t="s">
        <v>1538</v>
      </c>
      <c r="U811" s="36" t="s">
        <v>1539</v>
      </c>
      <c r="V811" s="36">
        <v>18.0</v>
      </c>
      <c r="W811" s="36" t="s">
        <v>88</v>
      </c>
      <c r="X811" s="38">
        <v>1.0</v>
      </c>
      <c r="Y811" s="38" t="s">
        <v>1524</v>
      </c>
      <c r="Z811" s="38" t="s">
        <v>1525</v>
      </c>
      <c r="AA811" s="38" t="s">
        <v>86</v>
      </c>
      <c r="AB811" s="57" t="s">
        <v>1526</v>
      </c>
      <c r="AC811" s="57" t="s">
        <v>1527</v>
      </c>
      <c r="AD811" s="39" t="s">
        <v>87</v>
      </c>
      <c r="AE811" s="38">
        <v>620.0</v>
      </c>
      <c r="AF811" s="38" t="s">
        <v>1528</v>
      </c>
      <c r="AG811" s="38" t="s">
        <v>1529</v>
      </c>
      <c r="AH811" s="38">
        <v>2.5</v>
      </c>
      <c r="AI811" s="88">
        <v>35.04</v>
      </c>
      <c r="AJ811" s="88">
        <v>-97.91</v>
      </c>
      <c r="AK811" s="41" t="s">
        <v>86</v>
      </c>
      <c r="AL811" s="40" t="s">
        <v>86</v>
      </c>
      <c r="AM811" s="49">
        <v>333.0</v>
      </c>
      <c r="AN811" s="51">
        <v>333.0</v>
      </c>
      <c r="AO811" s="42" t="s">
        <v>201</v>
      </c>
      <c r="AP811" s="43" t="s">
        <v>201</v>
      </c>
      <c r="AQ811" s="44" t="str">
        <f t="shared" si="60"/>
        <v>CRO</v>
      </c>
      <c r="AR811" s="44">
        <f t="shared" si="3"/>
        <v>333</v>
      </c>
      <c r="AS811" s="44" t="str">
        <f t="shared" si="77"/>
        <v>C</v>
      </c>
      <c r="AT811" s="44" t="str">
        <f t="shared" si="17"/>
        <v>Cf</v>
      </c>
      <c r="AU811" s="44" t="str">
        <f t="shared" si="2"/>
        <v>Cfa</v>
      </c>
      <c r="AV811" s="38">
        <v>3.0</v>
      </c>
      <c r="AW811" s="38"/>
      <c r="AX811" s="38"/>
      <c r="AY811" s="38"/>
      <c r="AZ811" s="29">
        <v>30.0</v>
      </c>
      <c r="BA811" s="29"/>
      <c r="BB811" s="29">
        <v>1.0</v>
      </c>
      <c r="BC811" s="29"/>
      <c r="BD811" s="29" t="s">
        <v>88</v>
      </c>
      <c r="BE811" s="29"/>
      <c r="BF811" s="29" t="s">
        <v>571</v>
      </c>
      <c r="BG811" s="29" t="s">
        <v>572</v>
      </c>
      <c r="BH811" s="29" t="s">
        <v>88</v>
      </c>
      <c r="BI811" s="29" t="s">
        <v>1530</v>
      </c>
      <c r="BJ811" s="29" t="s">
        <v>1531</v>
      </c>
      <c r="BK811" s="29" t="s">
        <v>180</v>
      </c>
      <c r="BL811" s="29" t="s">
        <v>180</v>
      </c>
      <c r="BM811" s="45"/>
      <c r="BN811" s="45"/>
      <c r="BO811" s="46"/>
      <c r="BP811" s="2"/>
      <c r="BQ811" s="3"/>
    </row>
    <row r="812" ht="15.75" customHeight="1">
      <c r="A812" s="34">
        <v>820.0</v>
      </c>
      <c r="B812" s="34">
        <v>201706.0</v>
      </c>
      <c r="C812" s="34" t="s">
        <v>76</v>
      </c>
      <c r="D812" s="34" t="s">
        <v>1534</v>
      </c>
      <c r="E812" s="34" t="s">
        <v>1535</v>
      </c>
      <c r="F812" s="34">
        <v>2017.0</v>
      </c>
      <c r="G812" s="34" t="s">
        <v>1536</v>
      </c>
      <c r="H812" s="34" t="s">
        <v>1520</v>
      </c>
      <c r="I812" s="34" t="s">
        <v>1537</v>
      </c>
      <c r="J812" s="35"/>
      <c r="K812" s="36"/>
      <c r="L812" s="36"/>
      <c r="M812" s="36"/>
      <c r="N812" s="36"/>
      <c r="O812" s="36"/>
      <c r="P812" s="37">
        <v>21.0</v>
      </c>
      <c r="Q812" s="36"/>
      <c r="R812" s="36" t="s">
        <v>82</v>
      </c>
      <c r="S812" s="36">
        <v>30.0</v>
      </c>
      <c r="T812" s="36" t="s">
        <v>1538</v>
      </c>
      <c r="U812" s="36" t="s">
        <v>1539</v>
      </c>
      <c r="V812" s="36">
        <v>18.0</v>
      </c>
      <c r="W812" s="36" t="s">
        <v>88</v>
      </c>
      <c r="X812" s="38">
        <v>1.0</v>
      </c>
      <c r="Y812" s="38" t="s">
        <v>1524</v>
      </c>
      <c r="Z812" s="38" t="s">
        <v>1525</v>
      </c>
      <c r="AA812" s="38" t="s">
        <v>86</v>
      </c>
      <c r="AB812" s="57" t="s">
        <v>1526</v>
      </c>
      <c r="AC812" s="57" t="s">
        <v>1527</v>
      </c>
      <c r="AD812" s="39" t="s">
        <v>87</v>
      </c>
      <c r="AE812" s="38">
        <v>620.0</v>
      </c>
      <c r="AF812" s="38" t="s">
        <v>1528</v>
      </c>
      <c r="AG812" s="38" t="s">
        <v>1529</v>
      </c>
      <c r="AH812" s="38">
        <v>2.5</v>
      </c>
      <c r="AI812" s="88">
        <v>35.04</v>
      </c>
      <c r="AJ812" s="88">
        <v>-97.91</v>
      </c>
      <c r="AK812" s="41" t="s">
        <v>86</v>
      </c>
      <c r="AL812" s="40" t="s">
        <v>86</v>
      </c>
      <c r="AM812" s="49">
        <v>333.0</v>
      </c>
      <c r="AN812" s="51">
        <v>333.0</v>
      </c>
      <c r="AO812" s="42" t="s">
        <v>201</v>
      </c>
      <c r="AP812" s="43" t="s">
        <v>201</v>
      </c>
      <c r="AQ812" s="44" t="str">
        <f t="shared" si="60"/>
        <v>CRO</v>
      </c>
      <c r="AR812" s="44">
        <f t="shared" si="3"/>
        <v>333</v>
      </c>
      <c r="AS812" s="44" t="str">
        <f t="shared" si="77"/>
        <v>C</v>
      </c>
      <c r="AT812" s="44" t="str">
        <f t="shared" si="17"/>
        <v>Cf</v>
      </c>
      <c r="AU812" s="44" t="str">
        <f t="shared" si="2"/>
        <v>Cfa</v>
      </c>
      <c r="AV812" s="38">
        <v>3.0</v>
      </c>
      <c r="AW812" s="38"/>
      <c r="AX812" s="38"/>
      <c r="AY812" s="38"/>
      <c r="AZ812" s="29">
        <v>30.0</v>
      </c>
      <c r="BA812" s="29"/>
      <c r="BB812" s="29">
        <v>1.0</v>
      </c>
      <c r="BC812" s="29"/>
      <c r="BD812" s="29" t="s">
        <v>88</v>
      </c>
      <c r="BE812" s="29"/>
      <c r="BF812" s="29" t="s">
        <v>936</v>
      </c>
      <c r="BG812" s="29" t="s">
        <v>572</v>
      </c>
      <c r="BH812" s="29" t="s">
        <v>88</v>
      </c>
      <c r="BI812" s="29" t="s">
        <v>1530</v>
      </c>
      <c r="BJ812" s="29" t="s">
        <v>1531</v>
      </c>
      <c r="BK812" s="29" t="s">
        <v>180</v>
      </c>
      <c r="BL812" s="29" t="s">
        <v>180</v>
      </c>
      <c r="BM812" s="45"/>
      <c r="BN812" s="45"/>
      <c r="BO812" s="46"/>
      <c r="BP812" s="2"/>
      <c r="BQ812" s="3"/>
    </row>
    <row r="813" ht="15.75" customHeight="1">
      <c r="A813" s="34">
        <v>821.0</v>
      </c>
      <c r="B813" s="34">
        <v>201706.0</v>
      </c>
      <c r="C813" s="34" t="s">
        <v>76</v>
      </c>
      <c r="D813" s="34" t="s">
        <v>1534</v>
      </c>
      <c r="E813" s="34" t="s">
        <v>1535</v>
      </c>
      <c r="F813" s="34">
        <v>2017.0</v>
      </c>
      <c r="G813" s="34" t="s">
        <v>1536</v>
      </c>
      <c r="H813" s="34" t="s">
        <v>1520</v>
      </c>
      <c r="I813" s="34" t="s">
        <v>1537</v>
      </c>
      <c r="J813" s="35"/>
      <c r="K813" s="36"/>
      <c r="L813" s="36"/>
      <c r="M813" s="36"/>
      <c r="N813" s="36"/>
      <c r="O813" s="36"/>
      <c r="P813" s="37">
        <v>6.0</v>
      </c>
      <c r="Q813" s="36"/>
      <c r="R813" s="36" t="s">
        <v>82</v>
      </c>
      <c r="S813" s="36">
        <v>30.0</v>
      </c>
      <c r="T813" s="36" t="s">
        <v>1538</v>
      </c>
      <c r="U813" s="36" t="s">
        <v>1539</v>
      </c>
      <c r="V813" s="36">
        <v>18.0</v>
      </c>
      <c r="W813" s="36" t="s">
        <v>88</v>
      </c>
      <c r="X813" s="38">
        <v>1.0</v>
      </c>
      <c r="Y813" s="38" t="s">
        <v>1524</v>
      </c>
      <c r="Z813" s="38" t="s">
        <v>1525</v>
      </c>
      <c r="AA813" s="38" t="s">
        <v>86</v>
      </c>
      <c r="AB813" s="57" t="s">
        <v>1526</v>
      </c>
      <c r="AC813" s="57" t="s">
        <v>1527</v>
      </c>
      <c r="AD813" s="39" t="s">
        <v>87</v>
      </c>
      <c r="AE813" s="38">
        <v>620.0</v>
      </c>
      <c r="AF813" s="38" t="s">
        <v>1528</v>
      </c>
      <c r="AG813" s="38" t="s">
        <v>1529</v>
      </c>
      <c r="AH813" s="38">
        <v>2.5</v>
      </c>
      <c r="AI813" s="88">
        <v>35.04</v>
      </c>
      <c r="AJ813" s="88">
        <v>-97.91</v>
      </c>
      <c r="AK813" s="41" t="s">
        <v>86</v>
      </c>
      <c r="AL813" s="40" t="s">
        <v>86</v>
      </c>
      <c r="AM813" s="49">
        <v>333.0</v>
      </c>
      <c r="AN813" s="51">
        <v>333.0</v>
      </c>
      <c r="AO813" s="42" t="s">
        <v>201</v>
      </c>
      <c r="AP813" s="43" t="s">
        <v>201</v>
      </c>
      <c r="AQ813" s="44" t="str">
        <f t="shared" si="60"/>
        <v>CRO</v>
      </c>
      <c r="AR813" s="44">
        <f t="shared" si="3"/>
        <v>333</v>
      </c>
      <c r="AS813" s="44" t="str">
        <f t="shared" si="77"/>
        <v>C</v>
      </c>
      <c r="AT813" s="44" t="str">
        <f t="shared" si="17"/>
        <v>Cf</v>
      </c>
      <c r="AU813" s="44" t="str">
        <f t="shared" si="2"/>
        <v>Cfa</v>
      </c>
      <c r="AV813" s="38">
        <v>3.0</v>
      </c>
      <c r="AW813" s="38"/>
      <c r="AX813" s="38"/>
      <c r="AY813" s="38"/>
      <c r="AZ813" s="29">
        <v>30.0</v>
      </c>
      <c r="BA813" s="29"/>
      <c r="BB813" s="29">
        <v>1.0</v>
      </c>
      <c r="BC813" s="29"/>
      <c r="BD813" s="29" t="s">
        <v>88</v>
      </c>
      <c r="BE813" s="29"/>
      <c r="BF813" s="29" t="s">
        <v>1411</v>
      </c>
      <c r="BG813" s="29" t="s">
        <v>572</v>
      </c>
      <c r="BH813" s="29" t="s">
        <v>88</v>
      </c>
      <c r="BI813" s="29" t="s">
        <v>1530</v>
      </c>
      <c r="BJ813" s="29" t="s">
        <v>1531</v>
      </c>
      <c r="BK813" s="29" t="s">
        <v>180</v>
      </c>
      <c r="BL813" s="29" t="s">
        <v>180</v>
      </c>
      <c r="BM813" s="45"/>
      <c r="BN813" s="45"/>
      <c r="BO813" s="46"/>
      <c r="BP813" s="2"/>
      <c r="BQ813" s="3"/>
    </row>
    <row r="814" ht="15.75" customHeight="1">
      <c r="A814" s="34">
        <v>822.0</v>
      </c>
      <c r="B814" s="34">
        <v>201706.0</v>
      </c>
      <c r="C814" s="34" t="s">
        <v>76</v>
      </c>
      <c r="D814" s="34" t="s">
        <v>1534</v>
      </c>
      <c r="E814" s="34" t="s">
        <v>1535</v>
      </c>
      <c r="F814" s="34">
        <v>2017.0</v>
      </c>
      <c r="G814" s="34" t="s">
        <v>1536</v>
      </c>
      <c r="H814" s="34" t="s">
        <v>1520</v>
      </c>
      <c r="I814" s="34" t="s">
        <v>1537</v>
      </c>
      <c r="J814" s="35"/>
      <c r="K814" s="36"/>
      <c r="L814" s="36"/>
      <c r="M814" s="36"/>
      <c r="N814" s="36"/>
      <c r="O814" s="36"/>
      <c r="P814" s="37">
        <v>31.0</v>
      </c>
      <c r="Q814" s="36"/>
      <c r="R814" s="36" t="s">
        <v>82</v>
      </c>
      <c r="S814" s="36">
        <v>30.0</v>
      </c>
      <c r="T814" s="36" t="s">
        <v>1538</v>
      </c>
      <c r="U814" s="36" t="s">
        <v>1539</v>
      </c>
      <c r="V814" s="36">
        <v>18.0</v>
      </c>
      <c r="W814" s="36" t="s">
        <v>88</v>
      </c>
      <c r="X814" s="38">
        <v>1.0</v>
      </c>
      <c r="Y814" s="38" t="s">
        <v>1524</v>
      </c>
      <c r="Z814" s="38" t="s">
        <v>1525</v>
      </c>
      <c r="AA814" s="38" t="s">
        <v>86</v>
      </c>
      <c r="AB814" s="57" t="s">
        <v>1526</v>
      </c>
      <c r="AC814" s="57" t="s">
        <v>1527</v>
      </c>
      <c r="AD814" s="39" t="s">
        <v>87</v>
      </c>
      <c r="AE814" s="38">
        <v>620.0</v>
      </c>
      <c r="AF814" s="38" t="s">
        <v>1528</v>
      </c>
      <c r="AG814" s="38" t="s">
        <v>1529</v>
      </c>
      <c r="AH814" s="38">
        <v>2.5</v>
      </c>
      <c r="AI814" s="88">
        <v>35.04</v>
      </c>
      <c r="AJ814" s="88">
        <v>-97.91</v>
      </c>
      <c r="AK814" s="41" t="s">
        <v>86</v>
      </c>
      <c r="AL814" s="40" t="s">
        <v>86</v>
      </c>
      <c r="AM814" s="49">
        <v>333.0</v>
      </c>
      <c r="AN814" s="51">
        <v>333.0</v>
      </c>
      <c r="AO814" s="42" t="s">
        <v>201</v>
      </c>
      <c r="AP814" s="43" t="s">
        <v>201</v>
      </c>
      <c r="AQ814" s="44" t="str">
        <f t="shared" si="60"/>
        <v>CRO</v>
      </c>
      <c r="AR814" s="44">
        <f t="shared" si="3"/>
        <v>333</v>
      </c>
      <c r="AS814" s="44" t="str">
        <f t="shared" si="77"/>
        <v>C</v>
      </c>
      <c r="AT814" s="44" t="str">
        <f t="shared" si="17"/>
        <v>Cf</v>
      </c>
      <c r="AU814" s="44" t="str">
        <f t="shared" si="2"/>
        <v>Cfa</v>
      </c>
      <c r="AV814" s="38">
        <v>3.0</v>
      </c>
      <c r="AW814" s="38"/>
      <c r="AX814" s="38"/>
      <c r="AY814" s="38"/>
      <c r="AZ814" s="29">
        <v>30.0</v>
      </c>
      <c r="BA814" s="29"/>
      <c r="BB814" s="29">
        <v>1.0</v>
      </c>
      <c r="BC814" s="29"/>
      <c r="BD814" s="29" t="s">
        <v>88</v>
      </c>
      <c r="BE814" s="29"/>
      <c r="BF814" s="29" t="s">
        <v>802</v>
      </c>
      <c r="BG814" s="29" t="s">
        <v>572</v>
      </c>
      <c r="BH814" s="29" t="s">
        <v>88</v>
      </c>
      <c r="BI814" s="29" t="s">
        <v>1530</v>
      </c>
      <c r="BJ814" s="29" t="s">
        <v>1531</v>
      </c>
      <c r="BK814" s="29" t="s">
        <v>180</v>
      </c>
      <c r="BL814" s="29" t="s">
        <v>180</v>
      </c>
      <c r="BM814" s="45"/>
      <c r="BN814" s="45"/>
      <c r="BO814" s="46"/>
      <c r="BP814" s="2"/>
      <c r="BQ814" s="3"/>
    </row>
    <row r="815" ht="15.75" customHeight="1">
      <c r="A815" s="34">
        <v>823.0</v>
      </c>
      <c r="B815" s="34">
        <v>101955.0</v>
      </c>
      <c r="C815" s="34" t="s">
        <v>76</v>
      </c>
      <c r="D815" s="34" t="s">
        <v>1541</v>
      </c>
      <c r="E815" s="34" t="s">
        <v>1542</v>
      </c>
      <c r="F815" s="34">
        <v>2012.0</v>
      </c>
      <c r="G815" s="34" t="s">
        <v>1543</v>
      </c>
      <c r="H815" s="34" t="s">
        <v>1544</v>
      </c>
      <c r="I815" s="34" t="s">
        <v>1545</v>
      </c>
      <c r="J815" s="35"/>
      <c r="K815" s="36"/>
      <c r="L815" s="36"/>
      <c r="M815" s="36"/>
      <c r="N815" s="36">
        <v>50.4</v>
      </c>
      <c r="O815" s="36">
        <v>158.6</v>
      </c>
      <c r="P815" s="37">
        <v>31.8</v>
      </c>
      <c r="Q815" s="36"/>
      <c r="R815" s="36" t="s">
        <v>82</v>
      </c>
      <c r="S815" s="36">
        <v>1100.0</v>
      </c>
      <c r="T815" s="36" t="s">
        <v>1546</v>
      </c>
      <c r="U815" s="36" t="s">
        <v>1546</v>
      </c>
      <c r="V815" s="36">
        <v>1.0</v>
      </c>
      <c r="W815" s="36"/>
      <c r="X815" s="38">
        <v>1.0</v>
      </c>
      <c r="Y815" s="38" t="s">
        <v>275</v>
      </c>
      <c r="Z815" s="38" t="s">
        <v>275</v>
      </c>
      <c r="AA815" s="38" t="s">
        <v>86</v>
      </c>
      <c r="AB815" s="89">
        <v>38.8571</v>
      </c>
      <c r="AC815" s="89">
        <v>100.4103</v>
      </c>
      <c r="AD815" s="38" t="s">
        <v>198</v>
      </c>
      <c r="AE815" s="38">
        <v>1519.0</v>
      </c>
      <c r="AF815" s="38" t="s">
        <v>1048</v>
      </c>
      <c r="AG815" s="38"/>
      <c r="AH815" s="90">
        <v>45361.0</v>
      </c>
      <c r="AI815" s="91">
        <v>38.8571</v>
      </c>
      <c r="AJ815" s="91">
        <v>100.4103</v>
      </c>
      <c r="AK815" s="41" t="s">
        <v>86</v>
      </c>
      <c r="AL815" s="40" t="s">
        <v>86</v>
      </c>
      <c r="AM815" s="49">
        <v>1522.0</v>
      </c>
      <c r="AN815" s="51">
        <v>1522.0</v>
      </c>
      <c r="AO815" s="42" t="s">
        <v>261</v>
      </c>
      <c r="AP815" s="43" t="s">
        <v>261</v>
      </c>
      <c r="AQ815" s="44" t="str">
        <f t="shared" si="60"/>
        <v>CRO</v>
      </c>
      <c r="AR815" s="44">
        <f t="shared" ref="AR815:AR819" si="79">AE815</f>
        <v>1519</v>
      </c>
      <c r="AS815" s="44" t="str">
        <f t="shared" si="77"/>
        <v>B</v>
      </c>
      <c r="AT815" s="44" t="str">
        <f t="shared" si="17"/>
        <v>BW</v>
      </c>
      <c r="AU815" s="44" t="str">
        <f t="shared" si="2"/>
        <v>BWk</v>
      </c>
      <c r="AV815" s="38"/>
      <c r="AW815" s="38"/>
      <c r="AX815" s="38"/>
      <c r="AY815" s="38"/>
      <c r="AZ815" s="29">
        <v>1100.0</v>
      </c>
      <c r="BA815" s="29"/>
      <c r="BB815" s="29">
        <v>1.0</v>
      </c>
      <c r="BC815" s="29"/>
      <c r="BD815" s="29"/>
      <c r="BE815" s="29"/>
      <c r="BF815" s="29" t="s">
        <v>1547</v>
      </c>
      <c r="BG815" s="29" t="s">
        <v>738</v>
      </c>
      <c r="BH815" s="29" t="s">
        <v>88</v>
      </c>
      <c r="BI815" s="29" t="s">
        <v>1548</v>
      </c>
      <c r="BJ815" s="29" t="s">
        <v>1549</v>
      </c>
      <c r="BK815" s="29" t="s">
        <v>1550</v>
      </c>
      <c r="BL815" s="29"/>
      <c r="BM815" s="45"/>
      <c r="BN815" s="45">
        <v>1.0</v>
      </c>
      <c r="BO815" s="46" t="s">
        <v>1551</v>
      </c>
      <c r="BP815" s="2"/>
      <c r="BQ815" s="3"/>
    </row>
    <row r="816" ht="15.75" customHeight="1">
      <c r="A816" s="34">
        <v>824.0</v>
      </c>
      <c r="B816" s="34">
        <v>101955.0</v>
      </c>
      <c r="C816" s="34" t="s">
        <v>76</v>
      </c>
      <c r="D816" s="34" t="s">
        <v>1541</v>
      </c>
      <c r="E816" s="34" t="s">
        <v>1542</v>
      </c>
      <c r="F816" s="34">
        <v>2012.0</v>
      </c>
      <c r="G816" s="34" t="s">
        <v>1543</v>
      </c>
      <c r="H816" s="34" t="s">
        <v>1544</v>
      </c>
      <c r="I816" s="34" t="s">
        <v>1545</v>
      </c>
      <c r="J816" s="35"/>
      <c r="K816" s="36"/>
      <c r="L816" s="36"/>
      <c r="M816" s="36"/>
      <c r="N816" s="36">
        <v>49.8</v>
      </c>
      <c r="O816" s="36">
        <v>372.8</v>
      </c>
      <c r="P816" s="37">
        <v>13.3</v>
      </c>
      <c r="Q816" s="36"/>
      <c r="R816" s="36" t="s">
        <v>82</v>
      </c>
      <c r="S816" s="36">
        <v>1100.0</v>
      </c>
      <c r="T816" s="36" t="s">
        <v>1552</v>
      </c>
      <c r="U816" s="36" t="s">
        <v>1552</v>
      </c>
      <c r="V816" s="36">
        <v>1.0</v>
      </c>
      <c r="W816" s="36"/>
      <c r="X816" s="38">
        <v>1.0</v>
      </c>
      <c r="Y816" s="38" t="s">
        <v>275</v>
      </c>
      <c r="Z816" s="38" t="s">
        <v>275</v>
      </c>
      <c r="AA816" s="38" t="s">
        <v>86</v>
      </c>
      <c r="AB816" s="89">
        <v>38.8571</v>
      </c>
      <c r="AC816" s="89">
        <v>100.4103</v>
      </c>
      <c r="AD816" s="38" t="s">
        <v>198</v>
      </c>
      <c r="AE816" s="38">
        <v>1519.0</v>
      </c>
      <c r="AF816" s="38" t="s">
        <v>1048</v>
      </c>
      <c r="AG816" s="38"/>
      <c r="AH816" s="90">
        <v>45361.0</v>
      </c>
      <c r="AI816" s="91">
        <v>38.8571</v>
      </c>
      <c r="AJ816" s="91">
        <v>100.4103</v>
      </c>
      <c r="AK816" s="41" t="s">
        <v>86</v>
      </c>
      <c r="AL816" s="40" t="s">
        <v>86</v>
      </c>
      <c r="AM816" s="49">
        <v>1522.0</v>
      </c>
      <c r="AN816" s="51">
        <v>1522.0</v>
      </c>
      <c r="AO816" s="42" t="s">
        <v>261</v>
      </c>
      <c r="AP816" s="43" t="s">
        <v>261</v>
      </c>
      <c r="AQ816" s="44" t="str">
        <f t="shared" si="60"/>
        <v>CRO</v>
      </c>
      <c r="AR816" s="44">
        <f t="shared" si="79"/>
        <v>1519</v>
      </c>
      <c r="AS816" s="44" t="str">
        <f t="shared" si="77"/>
        <v>B</v>
      </c>
      <c r="AT816" s="44" t="str">
        <f t="shared" si="17"/>
        <v>BW</v>
      </c>
      <c r="AU816" s="44" t="str">
        <f t="shared" si="2"/>
        <v>BWk</v>
      </c>
      <c r="AV816" s="38"/>
      <c r="AW816" s="38"/>
      <c r="AX816" s="38"/>
      <c r="AY816" s="38"/>
      <c r="AZ816" s="29">
        <v>1100.0</v>
      </c>
      <c r="BA816" s="29"/>
      <c r="BB816" s="29">
        <v>1.0</v>
      </c>
      <c r="BC816" s="29"/>
      <c r="BD816" s="29"/>
      <c r="BE816" s="29"/>
      <c r="BF816" s="29" t="s">
        <v>1547</v>
      </c>
      <c r="BG816" s="29" t="s">
        <v>738</v>
      </c>
      <c r="BH816" s="29" t="s">
        <v>88</v>
      </c>
      <c r="BI816" s="29" t="s">
        <v>1548</v>
      </c>
      <c r="BJ816" s="29" t="s">
        <v>1549</v>
      </c>
      <c r="BK816" s="29" t="s">
        <v>1550</v>
      </c>
      <c r="BL816" s="29"/>
      <c r="BM816" s="45"/>
      <c r="BN816" s="45"/>
      <c r="BO816" s="46"/>
      <c r="BP816" s="2"/>
      <c r="BQ816" s="3"/>
    </row>
    <row r="817" ht="15.75" customHeight="1">
      <c r="A817" s="34">
        <v>825.0</v>
      </c>
      <c r="B817" s="34">
        <v>101955.0</v>
      </c>
      <c r="C817" s="34" t="s">
        <v>76</v>
      </c>
      <c r="D817" s="34" t="s">
        <v>1541</v>
      </c>
      <c r="E817" s="34" t="s">
        <v>1542</v>
      </c>
      <c r="F817" s="34">
        <v>2012.0</v>
      </c>
      <c r="G817" s="34" t="s">
        <v>1543</v>
      </c>
      <c r="H817" s="34" t="s">
        <v>1544</v>
      </c>
      <c r="I817" s="34" t="s">
        <v>1545</v>
      </c>
      <c r="J817" s="35"/>
      <c r="K817" s="36"/>
      <c r="L817" s="36"/>
      <c r="M817" s="36"/>
      <c r="N817" s="36">
        <v>48.0</v>
      </c>
      <c r="O817" s="36">
        <v>437.0</v>
      </c>
      <c r="P817" s="37">
        <v>11.0</v>
      </c>
      <c r="Q817" s="36"/>
      <c r="R817" s="36" t="s">
        <v>82</v>
      </c>
      <c r="S817" s="36">
        <v>1100.0</v>
      </c>
      <c r="T817" s="36" t="s">
        <v>1553</v>
      </c>
      <c r="U817" s="36" t="s">
        <v>1553</v>
      </c>
      <c r="V817" s="36">
        <v>1.0</v>
      </c>
      <c r="W817" s="36"/>
      <c r="X817" s="38">
        <v>1.0</v>
      </c>
      <c r="Y817" s="38" t="s">
        <v>275</v>
      </c>
      <c r="Z817" s="38" t="s">
        <v>275</v>
      </c>
      <c r="AA817" s="38" t="s">
        <v>86</v>
      </c>
      <c r="AB817" s="89">
        <v>38.8571</v>
      </c>
      <c r="AC817" s="89">
        <v>100.4103</v>
      </c>
      <c r="AD817" s="38" t="s">
        <v>198</v>
      </c>
      <c r="AE817" s="38">
        <v>1519.0</v>
      </c>
      <c r="AF817" s="38" t="s">
        <v>1048</v>
      </c>
      <c r="AG817" s="38"/>
      <c r="AH817" s="90">
        <v>45361.0</v>
      </c>
      <c r="AI817" s="91">
        <v>38.8571</v>
      </c>
      <c r="AJ817" s="91">
        <v>100.4103</v>
      </c>
      <c r="AK817" s="41" t="s">
        <v>86</v>
      </c>
      <c r="AL817" s="40" t="s">
        <v>86</v>
      </c>
      <c r="AM817" s="49">
        <v>1522.0</v>
      </c>
      <c r="AN817" s="51">
        <v>1522.0</v>
      </c>
      <c r="AO817" s="42" t="s">
        <v>261</v>
      </c>
      <c r="AP817" s="43" t="s">
        <v>261</v>
      </c>
      <c r="AQ817" s="44" t="str">
        <f t="shared" si="60"/>
        <v>CRO</v>
      </c>
      <c r="AR817" s="44">
        <f t="shared" si="79"/>
        <v>1519</v>
      </c>
      <c r="AS817" s="44" t="str">
        <f t="shared" si="77"/>
        <v>B</v>
      </c>
      <c r="AT817" s="44" t="str">
        <f t="shared" si="17"/>
        <v>BW</v>
      </c>
      <c r="AU817" s="44" t="str">
        <f t="shared" si="2"/>
        <v>BWk</v>
      </c>
      <c r="AV817" s="38"/>
      <c r="AW817" s="38"/>
      <c r="AX817" s="38"/>
      <c r="AY817" s="38"/>
      <c r="AZ817" s="29">
        <v>1100.0</v>
      </c>
      <c r="BA817" s="29"/>
      <c r="BB817" s="29">
        <v>1.0</v>
      </c>
      <c r="BC817" s="29"/>
      <c r="BD817" s="29"/>
      <c r="BE817" s="29"/>
      <c r="BF817" s="29" t="s">
        <v>1547</v>
      </c>
      <c r="BG817" s="29" t="s">
        <v>738</v>
      </c>
      <c r="BH817" s="29" t="s">
        <v>88</v>
      </c>
      <c r="BI817" s="29" t="s">
        <v>1548</v>
      </c>
      <c r="BJ817" s="29" t="s">
        <v>1549</v>
      </c>
      <c r="BK817" s="29" t="s">
        <v>1550</v>
      </c>
      <c r="BL817" s="29"/>
      <c r="BM817" s="45"/>
      <c r="BN817" s="45"/>
      <c r="BO817" s="46"/>
      <c r="BP817" s="2"/>
      <c r="BQ817" s="3"/>
    </row>
    <row r="818" ht="15.75" customHeight="1">
      <c r="A818" s="34">
        <v>826.0</v>
      </c>
      <c r="B818" s="34">
        <v>101955.0</v>
      </c>
      <c r="C818" s="34" t="s">
        <v>76</v>
      </c>
      <c r="D818" s="34" t="s">
        <v>1541</v>
      </c>
      <c r="E818" s="34" t="s">
        <v>1542</v>
      </c>
      <c r="F818" s="34">
        <v>2012.0</v>
      </c>
      <c r="G818" s="34" t="s">
        <v>1543</v>
      </c>
      <c r="H818" s="34" t="s">
        <v>1544</v>
      </c>
      <c r="I818" s="34" t="s">
        <v>1545</v>
      </c>
      <c r="J818" s="35"/>
      <c r="K818" s="36"/>
      <c r="L818" s="36"/>
      <c r="M818" s="36"/>
      <c r="N818" s="36">
        <v>4.9</v>
      </c>
      <c r="O818" s="36">
        <v>523.9</v>
      </c>
      <c r="P818" s="37">
        <v>0.9</v>
      </c>
      <c r="Q818" s="36"/>
      <c r="R818" s="36" t="s">
        <v>82</v>
      </c>
      <c r="S818" s="36">
        <v>1100.0</v>
      </c>
      <c r="T818" s="36" t="s">
        <v>1554</v>
      </c>
      <c r="U818" s="36" t="s">
        <v>1554</v>
      </c>
      <c r="V818" s="36">
        <v>1.0</v>
      </c>
      <c r="W818" s="36"/>
      <c r="X818" s="38">
        <v>1.0</v>
      </c>
      <c r="Y818" s="38" t="s">
        <v>275</v>
      </c>
      <c r="Z818" s="38" t="s">
        <v>275</v>
      </c>
      <c r="AA818" s="38" t="s">
        <v>86</v>
      </c>
      <c r="AB818" s="89">
        <v>38.8571</v>
      </c>
      <c r="AC818" s="89">
        <v>100.4103</v>
      </c>
      <c r="AD818" s="38" t="s">
        <v>198</v>
      </c>
      <c r="AE818" s="38">
        <v>1519.0</v>
      </c>
      <c r="AF818" s="38" t="s">
        <v>1048</v>
      </c>
      <c r="AG818" s="38"/>
      <c r="AH818" s="90">
        <v>45361.0</v>
      </c>
      <c r="AI818" s="91">
        <v>38.8571</v>
      </c>
      <c r="AJ818" s="91">
        <v>100.4103</v>
      </c>
      <c r="AK818" s="41" t="s">
        <v>86</v>
      </c>
      <c r="AL818" s="40" t="s">
        <v>86</v>
      </c>
      <c r="AM818" s="49">
        <v>1522.0</v>
      </c>
      <c r="AN818" s="51">
        <v>1522.0</v>
      </c>
      <c r="AO818" s="42" t="s">
        <v>261</v>
      </c>
      <c r="AP818" s="43" t="s">
        <v>261</v>
      </c>
      <c r="AQ818" s="44" t="str">
        <f t="shared" si="60"/>
        <v>CRO</v>
      </c>
      <c r="AR818" s="44">
        <f t="shared" si="79"/>
        <v>1519</v>
      </c>
      <c r="AS818" s="44" t="str">
        <f t="shared" si="77"/>
        <v>B</v>
      </c>
      <c r="AT818" s="44" t="str">
        <f t="shared" si="17"/>
        <v>BW</v>
      </c>
      <c r="AU818" s="44" t="str">
        <f t="shared" si="2"/>
        <v>BWk</v>
      </c>
      <c r="AV818" s="38"/>
      <c r="AW818" s="38"/>
      <c r="AX818" s="38"/>
      <c r="AY818" s="38"/>
      <c r="AZ818" s="29">
        <v>1100.0</v>
      </c>
      <c r="BA818" s="29"/>
      <c r="BB818" s="29">
        <v>1.0</v>
      </c>
      <c r="BC818" s="29"/>
      <c r="BD818" s="29"/>
      <c r="BE818" s="29"/>
      <c r="BF818" s="29" t="s">
        <v>1547</v>
      </c>
      <c r="BG818" s="29" t="s">
        <v>738</v>
      </c>
      <c r="BH818" s="29" t="s">
        <v>88</v>
      </c>
      <c r="BI818" s="29" t="s">
        <v>1548</v>
      </c>
      <c r="BJ818" s="29" t="s">
        <v>1549</v>
      </c>
      <c r="BK818" s="29" t="s">
        <v>1550</v>
      </c>
      <c r="BL818" s="29"/>
      <c r="BM818" s="45"/>
      <c r="BN818" s="45"/>
      <c r="BO818" s="46"/>
      <c r="BP818" s="73"/>
      <c r="BQ818" s="17"/>
    </row>
    <row r="819" ht="15.75" customHeight="1">
      <c r="A819" s="34">
        <v>827.0</v>
      </c>
      <c r="B819" s="34">
        <v>101955.0</v>
      </c>
      <c r="C819" s="34" t="s">
        <v>76</v>
      </c>
      <c r="D819" s="34" t="s">
        <v>1541</v>
      </c>
      <c r="E819" s="34" t="s">
        <v>1542</v>
      </c>
      <c r="F819" s="34">
        <v>2012.0</v>
      </c>
      <c r="G819" s="34" t="s">
        <v>1543</v>
      </c>
      <c r="H819" s="34" t="s">
        <v>1544</v>
      </c>
      <c r="I819" s="34" t="s">
        <v>1545</v>
      </c>
      <c r="J819" s="35"/>
      <c r="K819" s="36"/>
      <c r="L819" s="36"/>
      <c r="M819" s="36"/>
      <c r="N819" s="36">
        <v>114.2</v>
      </c>
      <c r="O819" s="36">
        <v>150.8</v>
      </c>
      <c r="P819" s="37">
        <v>75.7</v>
      </c>
      <c r="Q819" s="36"/>
      <c r="R819" s="36" t="s">
        <v>82</v>
      </c>
      <c r="S819" s="36">
        <v>1100.0</v>
      </c>
      <c r="T819" s="36" t="s">
        <v>1555</v>
      </c>
      <c r="U819" s="36" t="s">
        <v>1555</v>
      </c>
      <c r="V819" s="36">
        <v>1.0</v>
      </c>
      <c r="W819" s="36"/>
      <c r="X819" s="38">
        <v>1.0</v>
      </c>
      <c r="Y819" s="38" t="s">
        <v>275</v>
      </c>
      <c r="Z819" s="38" t="s">
        <v>275</v>
      </c>
      <c r="AA819" s="38" t="s">
        <v>86</v>
      </c>
      <c r="AB819" s="89">
        <v>38.8571</v>
      </c>
      <c r="AC819" s="89">
        <v>100.4103</v>
      </c>
      <c r="AD819" s="38" t="s">
        <v>198</v>
      </c>
      <c r="AE819" s="38">
        <v>1519.0</v>
      </c>
      <c r="AF819" s="38" t="s">
        <v>1048</v>
      </c>
      <c r="AG819" s="38"/>
      <c r="AH819" s="90">
        <v>45361.0</v>
      </c>
      <c r="AI819" s="91">
        <v>38.8571</v>
      </c>
      <c r="AJ819" s="91">
        <v>100.4103</v>
      </c>
      <c r="AK819" s="41" t="s">
        <v>86</v>
      </c>
      <c r="AL819" s="40" t="s">
        <v>86</v>
      </c>
      <c r="AM819" s="49">
        <v>1522.0</v>
      </c>
      <c r="AN819" s="51">
        <v>1522.0</v>
      </c>
      <c r="AO819" s="42" t="s">
        <v>261</v>
      </c>
      <c r="AP819" s="43" t="s">
        <v>261</v>
      </c>
      <c r="AQ819" s="44" t="str">
        <f t="shared" si="60"/>
        <v>CRO</v>
      </c>
      <c r="AR819" s="44">
        <f t="shared" si="79"/>
        <v>1519</v>
      </c>
      <c r="AS819" s="44" t="str">
        <f t="shared" si="77"/>
        <v>B</v>
      </c>
      <c r="AT819" s="44" t="str">
        <f t="shared" si="17"/>
        <v>BW</v>
      </c>
      <c r="AU819" s="44" t="str">
        <f t="shared" si="2"/>
        <v>BWk</v>
      </c>
      <c r="AV819" s="38"/>
      <c r="AW819" s="38"/>
      <c r="AX819" s="38"/>
      <c r="AY819" s="38"/>
      <c r="AZ819" s="29">
        <v>1100.0</v>
      </c>
      <c r="BA819" s="29"/>
      <c r="BB819" s="29">
        <v>1.0</v>
      </c>
      <c r="BC819" s="29"/>
      <c r="BD819" s="29"/>
      <c r="BE819" s="29"/>
      <c r="BF819" s="29" t="s">
        <v>1547</v>
      </c>
      <c r="BG819" s="29" t="s">
        <v>738</v>
      </c>
      <c r="BH819" s="29" t="s">
        <v>88</v>
      </c>
      <c r="BI819" s="29" t="s">
        <v>1548</v>
      </c>
      <c r="BJ819" s="29" t="s">
        <v>1549</v>
      </c>
      <c r="BK819" s="29" t="s">
        <v>1550</v>
      </c>
      <c r="BL819" s="29"/>
      <c r="BM819" s="45"/>
      <c r="BN819" s="45"/>
      <c r="BO819" s="46"/>
      <c r="BP819" s="73"/>
      <c r="BQ819" s="17"/>
    </row>
    <row r="820" ht="15.75" customHeight="1">
      <c r="A820" s="34">
        <v>828.0</v>
      </c>
      <c r="B820" s="34">
        <v>103712.0</v>
      </c>
      <c r="C820" s="34" t="s">
        <v>76</v>
      </c>
      <c r="D820" s="34" t="s">
        <v>1556</v>
      </c>
      <c r="E820" s="34" t="s">
        <v>1557</v>
      </c>
      <c r="F820" s="34">
        <v>2016.0</v>
      </c>
      <c r="G820" s="34" t="s">
        <v>1558</v>
      </c>
      <c r="H820" s="34" t="s">
        <v>1544</v>
      </c>
      <c r="I820" s="34" t="s">
        <v>1559</v>
      </c>
      <c r="J820" s="35"/>
      <c r="K820" s="36"/>
      <c r="L820" s="36"/>
      <c r="M820" s="36"/>
      <c r="N820" s="36"/>
      <c r="O820" s="36"/>
      <c r="P820" s="37">
        <v>1.0</v>
      </c>
      <c r="Q820" s="36"/>
      <c r="R820" s="36" t="s">
        <v>96</v>
      </c>
      <c r="S820" s="36">
        <v>30.0</v>
      </c>
      <c r="T820" s="36"/>
      <c r="U820" s="36"/>
      <c r="V820" s="36">
        <v>149.0</v>
      </c>
      <c r="W820" s="36"/>
      <c r="X820" s="38">
        <v>4.0</v>
      </c>
      <c r="Y820" s="38"/>
      <c r="Z820" s="38"/>
      <c r="AA820" s="38"/>
      <c r="AB820" s="38"/>
      <c r="AC820" s="38"/>
      <c r="AD820" s="39" t="s">
        <v>87</v>
      </c>
      <c r="AE820" s="38"/>
      <c r="AF820" s="38"/>
      <c r="AG820" s="38"/>
      <c r="AH820" s="38"/>
      <c r="AI820" s="50"/>
      <c r="AJ820" s="50"/>
      <c r="AK820" s="41"/>
      <c r="AL820" s="40"/>
      <c r="AM820" s="49"/>
      <c r="AN820" s="43"/>
      <c r="AO820" s="42"/>
      <c r="AP820" s="43"/>
      <c r="AQ820" s="44" t="str">
        <f t="shared" si="60"/>
        <v/>
      </c>
      <c r="AR820" s="44" t="str">
        <f t="shared" ref="AR820:AR1125" si="80">AM820</f>
        <v/>
      </c>
      <c r="AS820" s="44"/>
      <c r="AT820" s="44" t="str">
        <f t="shared" si="17"/>
        <v/>
      </c>
      <c r="AU820" s="44" t="str">
        <f t="shared" si="2"/>
        <v/>
      </c>
      <c r="AV820" s="38"/>
      <c r="AW820" s="38"/>
      <c r="AX820" s="38"/>
      <c r="AY820" s="38"/>
      <c r="AZ820" s="29">
        <v>30.0</v>
      </c>
      <c r="BA820" s="29"/>
      <c r="BB820" s="29">
        <v>1.0</v>
      </c>
      <c r="BC820" s="29"/>
      <c r="BD820" s="29" t="s">
        <v>88</v>
      </c>
      <c r="BE820" s="29"/>
      <c r="BF820" s="29" t="s">
        <v>571</v>
      </c>
      <c r="BG820" s="29" t="s">
        <v>572</v>
      </c>
      <c r="BH820" s="29" t="s">
        <v>88</v>
      </c>
      <c r="BI820" s="76" t="s">
        <v>1560</v>
      </c>
      <c r="BJ820" s="76" t="s">
        <v>1561</v>
      </c>
      <c r="BK820" s="29" t="s">
        <v>180</v>
      </c>
      <c r="BL820" s="29" t="s">
        <v>180</v>
      </c>
      <c r="BM820" s="45"/>
      <c r="BN820" s="45">
        <v>1.0</v>
      </c>
      <c r="BO820" s="46" t="s">
        <v>1562</v>
      </c>
      <c r="BP820" s="2"/>
      <c r="BQ820" s="3"/>
    </row>
    <row r="821" ht="15.75" customHeight="1">
      <c r="A821" s="34">
        <v>829.0</v>
      </c>
      <c r="B821" s="34">
        <v>103712.0</v>
      </c>
      <c r="C821" s="34" t="s">
        <v>76</v>
      </c>
      <c r="D821" s="34" t="s">
        <v>1556</v>
      </c>
      <c r="E821" s="34" t="s">
        <v>1557</v>
      </c>
      <c r="F821" s="34">
        <v>2016.0</v>
      </c>
      <c r="G821" s="34" t="s">
        <v>1558</v>
      </c>
      <c r="H821" s="34" t="s">
        <v>1544</v>
      </c>
      <c r="I821" s="34" t="s">
        <v>1559</v>
      </c>
      <c r="J821" s="35"/>
      <c r="K821" s="36"/>
      <c r="L821" s="36"/>
      <c r="M821" s="36"/>
      <c r="N821" s="36"/>
      <c r="O821" s="36"/>
      <c r="P821" s="37">
        <v>16.0</v>
      </c>
      <c r="Q821" s="36"/>
      <c r="R821" s="36" t="s">
        <v>96</v>
      </c>
      <c r="S821" s="36">
        <v>30.0</v>
      </c>
      <c r="T821" s="36"/>
      <c r="U821" s="36"/>
      <c r="V821" s="36">
        <v>149.0</v>
      </c>
      <c r="W821" s="36"/>
      <c r="X821" s="38">
        <v>4.0</v>
      </c>
      <c r="Y821" s="38"/>
      <c r="Z821" s="38"/>
      <c r="AA821" s="38"/>
      <c r="AB821" s="38"/>
      <c r="AC821" s="38"/>
      <c r="AD821" s="39" t="s">
        <v>87</v>
      </c>
      <c r="AE821" s="38"/>
      <c r="AF821" s="38"/>
      <c r="AG821" s="38"/>
      <c r="AH821" s="38"/>
      <c r="AI821" s="50"/>
      <c r="AJ821" s="50"/>
      <c r="AK821" s="41"/>
      <c r="AL821" s="40"/>
      <c r="AM821" s="49"/>
      <c r="AN821" s="43"/>
      <c r="AO821" s="42"/>
      <c r="AP821" s="43"/>
      <c r="AQ821" s="44" t="str">
        <f t="shared" si="60"/>
        <v/>
      </c>
      <c r="AR821" s="44" t="str">
        <f t="shared" si="80"/>
        <v/>
      </c>
      <c r="AS821" s="44"/>
      <c r="AT821" s="44" t="str">
        <f t="shared" si="17"/>
        <v/>
      </c>
      <c r="AU821" s="44" t="str">
        <f t="shared" si="2"/>
        <v/>
      </c>
      <c r="AV821" s="38"/>
      <c r="AW821" s="38"/>
      <c r="AX821" s="38"/>
      <c r="AY821" s="38"/>
      <c r="AZ821" s="29">
        <v>30.0</v>
      </c>
      <c r="BA821" s="29"/>
      <c r="BB821" s="29">
        <v>1.0</v>
      </c>
      <c r="BC821" s="29"/>
      <c r="BD821" s="29" t="s">
        <v>88</v>
      </c>
      <c r="BE821" s="29"/>
      <c r="BF821" s="29" t="s">
        <v>984</v>
      </c>
      <c r="BG821" s="29" t="s">
        <v>572</v>
      </c>
      <c r="BH821" s="29" t="s">
        <v>88</v>
      </c>
      <c r="BI821" s="76" t="s">
        <v>1560</v>
      </c>
      <c r="BJ821" s="76" t="s">
        <v>1561</v>
      </c>
      <c r="BK821" s="29" t="s">
        <v>180</v>
      </c>
      <c r="BL821" s="29" t="s">
        <v>180</v>
      </c>
      <c r="BM821" s="45"/>
      <c r="BN821" s="45"/>
      <c r="BO821" s="46"/>
      <c r="BP821" s="73"/>
      <c r="BQ821" s="17"/>
    </row>
    <row r="822" ht="15.75" customHeight="1">
      <c r="A822" s="34">
        <v>830.0</v>
      </c>
      <c r="B822" s="34">
        <v>103712.0</v>
      </c>
      <c r="C822" s="34" t="s">
        <v>76</v>
      </c>
      <c r="D822" s="34" t="s">
        <v>1556</v>
      </c>
      <c r="E822" s="34" t="s">
        <v>1557</v>
      </c>
      <c r="F822" s="34">
        <v>2016.0</v>
      </c>
      <c r="G822" s="34" t="s">
        <v>1558</v>
      </c>
      <c r="H822" s="34" t="s">
        <v>1544</v>
      </c>
      <c r="I822" s="34" t="s">
        <v>1559</v>
      </c>
      <c r="J822" s="35"/>
      <c r="K822" s="36"/>
      <c r="L822" s="36"/>
      <c r="M822" s="36"/>
      <c r="N822" s="36"/>
      <c r="O822" s="36"/>
      <c r="P822" s="37">
        <v>-8.0</v>
      </c>
      <c r="Q822" s="36"/>
      <c r="R822" s="36" t="s">
        <v>96</v>
      </c>
      <c r="S822" s="36">
        <v>30.0</v>
      </c>
      <c r="T822" s="36"/>
      <c r="U822" s="36"/>
      <c r="V822" s="36">
        <v>149.0</v>
      </c>
      <c r="W822" s="36"/>
      <c r="X822" s="38">
        <v>4.0</v>
      </c>
      <c r="Y822" s="38"/>
      <c r="Z822" s="38"/>
      <c r="AA822" s="38"/>
      <c r="AB822" s="38"/>
      <c r="AC822" s="38"/>
      <c r="AD822" s="39" t="s">
        <v>87</v>
      </c>
      <c r="AE822" s="38"/>
      <c r="AF822" s="38"/>
      <c r="AG822" s="38"/>
      <c r="AH822" s="38"/>
      <c r="AI822" s="50"/>
      <c r="AJ822" s="50"/>
      <c r="AK822" s="41"/>
      <c r="AL822" s="40"/>
      <c r="AM822" s="49"/>
      <c r="AN822" s="43"/>
      <c r="AO822" s="42"/>
      <c r="AP822" s="43"/>
      <c r="AQ822" s="44" t="str">
        <f t="shared" si="60"/>
        <v/>
      </c>
      <c r="AR822" s="44" t="str">
        <f t="shared" si="80"/>
        <v/>
      </c>
      <c r="AS822" s="44"/>
      <c r="AT822" s="44" t="str">
        <f t="shared" si="17"/>
        <v/>
      </c>
      <c r="AU822" s="44" t="str">
        <f t="shared" si="2"/>
        <v/>
      </c>
      <c r="AV822" s="38"/>
      <c r="AW822" s="38"/>
      <c r="AX822" s="38"/>
      <c r="AY822" s="38"/>
      <c r="AZ822" s="29">
        <v>30.0</v>
      </c>
      <c r="BA822" s="29"/>
      <c r="BB822" s="29">
        <v>1.0</v>
      </c>
      <c r="BC822" s="29"/>
      <c r="BD822" s="29" t="s">
        <v>88</v>
      </c>
      <c r="BE822" s="29"/>
      <c r="BF822" s="29" t="s">
        <v>1411</v>
      </c>
      <c r="BG822" s="29" t="s">
        <v>572</v>
      </c>
      <c r="BH822" s="29" t="s">
        <v>88</v>
      </c>
      <c r="BI822" s="76" t="s">
        <v>1560</v>
      </c>
      <c r="BJ822" s="76" t="s">
        <v>1561</v>
      </c>
      <c r="BK822" s="29" t="s">
        <v>180</v>
      </c>
      <c r="BL822" s="29" t="s">
        <v>180</v>
      </c>
      <c r="BM822" s="45"/>
      <c r="BN822" s="45"/>
      <c r="BO822" s="46"/>
      <c r="BP822" s="2"/>
      <c r="BQ822" s="3"/>
    </row>
    <row r="823" ht="15.75" customHeight="1">
      <c r="A823" s="34">
        <v>831.0</v>
      </c>
      <c r="B823" s="34">
        <v>103712.0</v>
      </c>
      <c r="C823" s="34" t="s">
        <v>76</v>
      </c>
      <c r="D823" s="34" t="s">
        <v>1556</v>
      </c>
      <c r="E823" s="34" t="s">
        <v>1557</v>
      </c>
      <c r="F823" s="34">
        <v>2016.0</v>
      </c>
      <c r="G823" s="34" t="s">
        <v>1558</v>
      </c>
      <c r="H823" s="34" t="s">
        <v>1544</v>
      </c>
      <c r="I823" s="34" t="s">
        <v>1559</v>
      </c>
      <c r="J823" s="35"/>
      <c r="K823" s="36"/>
      <c r="L823" s="36"/>
      <c r="M823" s="36"/>
      <c r="N823" s="36"/>
      <c r="O823" s="36"/>
      <c r="P823" s="37">
        <v>3.0</v>
      </c>
      <c r="Q823" s="36"/>
      <c r="R823" s="36" t="s">
        <v>96</v>
      </c>
      <c r="S823" s="36">
        <v>30.0</v>
      </c>
      <c r="T823" s="36"/>
      <c r="U823" s="36"/>
      <c r="V823" s="36">
        <v>149.0</v>
      </c>
      <c r="W823" s="36"/>
      <c r="X823" s="38">
        <v>4.0</v>
      </c>
      <c r="Y823" s="38"/>
      <c r="Z823" s="38"/>
      <c r="AA823" s="38"/>
      <c r="AB823" s="38"/>
      <c r="AC823" s="38"/>
      <c r="AD823" s="39" t="s">
        <v>87</v>
      </c>
      <c r="AE823" s="38"/>
      <c r="AF823" s="38"/>
      <c r="AG823" s="38"/>
      <c r="AH823" s="38"/>
      <c r="AI823" s="50"/>
      <c r="AJ823" s="50"/>
      <c r="AK823" s="41"/>
      <c r="AL823" s="40"/>
      <c r="AM823" s="49"/>
      <c r="AN823" s="43"/>
      <c r="AO823" s="42"/>
      <c r="AP823" s="43"/>
      <c r="AQ823" s="44" t="str">
        <f t="shared" si="60"/>
        <v/>
      </c>
      <c r="AR823" s="44" t="str">
        <f t="shared" si="80"/>
        <v/>
      </c>
      <c r="AS823" s="44"/>
      <c r="AT823" s="44" t="str">
        <f t="shared" si="17"/>
        <v/>
      </c>
      <c r="AU823" s="44" t="str">
        <f t="shared" si="2"/>
        <v/>
      </c>
      <c r="AV823" s="38"/>
      <c r="AW823" s="38"/>
      <c r="AX823" s="38"/>
      <c r="AY823" s="38"/>
      <c r="AZ823" s="29">
        <v>30.0</v>
      </c>
      <c r="BA823" s="29"/>
      <c r="BB823" s="29">
        <v>1.0</v>
      </c>
      <c r="BC823" s="29"/>
      <c r="BD823" s="29" t="s">
        <v>88</v>
      </c>
      <c r="BE823" s="29"/>
      <c r="BF823" s="29" t="s">
        <v>936</v>
      </c>
      <c r="BG823" s="29" t="s">
        <v>572</v>
      </c>
      <c r="BH823" s="29" t="s">
        <v>88</v>
      </c>
      <c r="BI823" s="76" t="s">
        <v>1560</v>
      </c>
      <c r="BJ823" s="76" t="s">
        <v>1561</v>
      </c>
      <c r="BK823" s="29" t="s">
        <v>180</v>
      </c>
      <c r="BL823" s="29" t="s">
        <v>180</v>
      </c>
      <c r="BM823" s="45"/>
      <c r="BN823" s="45"/>
      <c r="BO823" s="46"/>
      <c r="BP823" s="2"/>
      <c r="BQ823" s="3"/>
    </row>
    <row r="824" ht="15.75" customHeight="1">
      <c r="A824" s="34">
        <v>832.0</v>
      </c>
      <c r="B824" s="34">
        <v>103712.0</v>
      </c>
      <c r="C824" s="34" t="s">
        <v>76</v>
      </c>
      <c r="D824" s="34" t="s">
        <v>1556</v>
      </c>
      <c r="E824" s="34" t="s">
        <v>1557</v>
      </c>
      <c r="F824" s="34">
        <v>2016.0</v>
      </c>
      <c r="G824" s="34" t="s">
        <v>1558</v>
      </c>
      <c r="H824" s="34" t="s">
        <v>1544</v>
      </c>
      <c r="I824" s="34" t="s">
        <v>1559</v>
      </c>
      <c r="J824" s="35"/>
      <c r="K824" s="36"/>
      <c r="L824" s="36"/>
      <c r="M824" s="36"/>
      <c r="N824" s="36"/>
      <c r="O824" s="36"/>
      <c r="P824" s="37">
        <v>36.0</v>
      </c>
      <c r="Q824" s="36"/>
      <c r="R824" s="36" t="s">
        <v>96</v>
      </c>
      <c r="S824" s="36">
        <v>30.0</v>
      </c>
      <c r="T824" s="36"/>
      <c r="U824" s="36"/>
      <c r="V824" s="36">
        <v>149.0</v>
      </c>
      <c r="W824" s="36"/>
      <c r="X824" s="38">
        <v>4.0</v>
      </c>
      <c r="Y824" s="38"/>
      <c r="Z824" s="38"/>
      <c r="AA824" s="38"/>
      <c r="AB824" s="38"/>
      <c r="AC824" s="38"/>
      <c r="AD824" s="39" t="s">
        <v>87</v>
      </c>
      <c r="AE824" s="38"/>
      <c r="AF824" s="38"/>
      <c r="AG824" s="38"/>
      <c r="AH824" s="38"/>
      <c r="AI824" s="50"/>
      <c r="AJ824" s="50"/>
      <c r="AK824" s="41"/>
      <c r="AL824" s="40"/>
      <c r="AM824" s="49"/>
      <c r="AN824" s="43"/>
      <c r="AO824" s="42"/>
      <c r="AP824" s="43"/>
      <c r="AQ824" s="44" t="str">
        <f t="shared" si="60"/>
        <v/>
      </c>
      <c r="AR824" s="44" t="str">
        <f t="shared" si="80"/>
        <v/>
      </c>
      <c r="AS824" s="44"/>
      <c r="AT824" s="44" t="str">
        <f t="shared" si="17"/>
        <v/>
      </c>
      <c r="AU824" s="44" t="str">
        <f t="shared" si="2"/>
        <v/>
      </c>
      <c r="AV824" s="38"/>
      <c r="AW824" s="38"/>
      <c r="AX824" s="38"/>
      <c r="AY824" s="38"/>
      <c r="AZ824" s="29">
        <v>30.0</v>
      </c>
      <c r="BA824" s="29"/>
      <c r="BB824" s="29">
        <v>1.0</v>
      </c>
      <c r="BC824" s="29"/>
      <c r="BD824" s="29" t="s">
        <v>88</v>
      </c>
      <c r="BE824" s="29"/>
      <c r="BF824" s="29" t="s">
        <v>802</v>
      </c>
      <c r="BG824" s="29" t="s">
        <v>572</v>
      </c>
      <c r="BH824" s="29" t="s">
        <v>88</v>
      </c>
      <c r="BI824" s="76" t="s">
        <v>1560</v>
      </c>
      <c r="BJ824" s="76" t="s">
        <v>1561</v>
      </c>
      <c r="BK824" s="29" t="s">
        <v>180</v>
      </c>
      <c r="BL824" s="29" t="s">
        <v>180</v>
      </c>
      <c r="BM824" s="45"/>
      <c r="BN824" s="45"/>
      <c r="BO824" s="46"/>
      <c r="BP824" s="2"/>
      <c r="BQ824" s="3"/>
    </row>
    <row r="825" ht="15.75" customHeight="1">
      <c r="A825" s="34">
        <v>833.0</v>
      </c>
      <c r="B825" s="34">
        <v>103712.0</v>
      </c>
      <c r="C825" s="34" t="s">
        <v>76</v>
      </c>
      <c r="D825" s="34" t="s">
        <v>1556</v>
      </c>
      <c r="E825" s="34" t="s">
        <v>1557</v>
      </c>
      <c r="F825" s="34">
        <v>2016.0</v>
      </c>
      <c r="G825" s="34" t="s">
        <v>1558</v>
      </c>
      <c r="H825" s="34" t="s">
        <v>1544</v>
      </c>
      <c r="I825" s="34" t="s">
        <v>1559</v>
      </c>
      <c r="J825" s="35"/>
      <c r="K825" s="36"/>
      <c r="L825" s="36"/>
      <c r="M825" s="36"/>
      <c r="N825" s="36"/>
      <c r="O825" s="36"/>
      <c r="P825" s="37">
        <v>13.0</v>
      </c>
      <c r="Q825" s="36"/>
      <c r="R825" s="36" t="s">
        <v>96</v>
      </c>
      <c r="S825" s="36">
        <v>30.0</v>
      </c>
      <c r="T825" s="36" t="s">
        <v>356</v>
      </c>
      <c r="U825" s="36" t="s">
        <v>1563</v>
      </c>
      <c r="V825" s="36">
        <v>44.0</v>
      </c>
      <c r="W825" s="36"/>
      <c r="X825" s="38">
        <v>1.0</v>
      </c>
      <c r="Y825" s="38" t="s">
        <v>1564</v>
      </c>
      <c r="Z825" s="38" t="s">
        <v>1565</v>
      </c>
      <c r="AA825" s="38" t="s">
        <v>214</v>
      </c>
      <c r="AB825" s="38">
        <v>27.6953</v>
      </c>
      <c r="AC825" s="38">
        <v>-80.7114</v>
      </c>
      <c r="AD825" s="39" t="s">
        <v>87</v>
      </c>
      <c r="AE825" s="38">
        <v>23.0</v>
      </c>
      <c r="AF825" s="38" t="s">
        <v>1566</v>
      </c>
      <c r="AG825" s="38" t="s">
        <v>592</v>
      </c>
      <c r="AH825" s="38">
        <v>4.0</v>
      </c>
      <c r="AI825" s="50">
        <v>27.6953</v>
      </c>
      <c r="AJ825" s="50">
        <v>-80.7114</v>
      </c>
      <c r="AK825" s="41" t="s">
        <v>214</v>
      </c>
      <c r="AL825" s="40" t="s">
        <v>214</v>
      </c>
      <c r="AM825" s="49">
        <v>8.0</v>
      </c>
      <c r="AN825" s="51">
        <v>8.0</v>
      </c>
      <c r="AO825" s="42" t="s">
        <v>201</v>
      </c>
      <c r="AP825" s="43" t="s">
        <v>201</v>
      </c>
      <c r="AQ825" s="44" t="str">
        <f t="shared" si="60"/>
        <v>WET</v>
      </c>
      <c r="AR825" s="44">
        <f t="shared" si="80"/>
        <v>8</v>
      </c>
      <c r="AS825" s="44" t="str">
        <f t="shared" ref="AS825:AS853" si="81">LEFT(AO825,1)</f>
        <v>C</v>
      </c>
      <c r="AT825" s="44" t="str">
        <f t="shared" si="17"/>
        <v>Cf</v>
      </c>
      <c r="AU825" s="44" t="str">
        <f t="shared" si="2"/>
        <v>Cfa</v>
      </c>
      <c r="AV825" s="38"/>
      <c r="AW825" s="38"/>
      <c r="AX825" s="38">
        <v>190.0</v>
      </c>
      <c r="AY825" s="38" t="s">
        <v>88</v>
      </c>
      <c r="AZ825" s="29">
        <v>30.0</v>
      </c>
      <c r="BA825" s="29"/>
      <c r="BB825" s="29">
        <v>1.0</v>
      </c>
      <c r="BC825" s="29"/>
      <c r="BD825" s="29" t="s">
        <v>88</v>
      </c>
      <c r="BE825" s="29"/>
      <c r="BF825" s="29" t="s">
        <v>984</v>
      </c>
      <c r="BG825" s="29" t="s">
        <v>572</v>
      </c>
      <c r="BH825" s="29" t="s">
        <v>88</v>
      </c>
      <c r="BI825" s="76" t="s">
        <v>1560</v>
      </c>
      <c r="BJ825" s="76" t="s">
        <v>1561</v>
      </c>
      <c r="BK825" s="29" t="s">
        <v>180</v>
      </c>
      <c r="BL825" s="29" t="s">
        <v>180</v>
      </c>
      <c r="BM825" s="45"/>
      <c r="BN825" s="45"/>
      <c r="BO825" s="46"/>
      <c r="BP825" s="2"/>
      <c r="BQ825" s="3"/>
    </row>
    <row r="826" ht="15.75" customHeight="1">
      <c r="A826" s="34">
        <v>834.0</v>
      </c>
      <c r="B826" s="34">
        <v>103712.0</v>
      </c>
      <c r="C826" s="34" t="s">
        <v>76</v>
      </c>
      <c r="D826" s="34" t="s">
        <v>1556</v>
      </c>
      <c r="E826" s="34" t="s">
        <v>1557</v>
      </c>
      <c r="F826" s="34">
        <v>2016.0</v>
      </c>
      <c r="G826" s="34" t="s">
        <v>1558</v>
      </c>
      <c r="H826" s="34" t="s">
        <v>1544</v>
      </c>
      <c r="I826" s="34" t="s">
        <v>1559</v>
      </c>
      <c r="J826" s="35"/>
      <c r="K826" s="36"/>
      <c r="L826" s="36"/>
      <c r="M826" s="36"/>
      <c r="N826" s="36"/>
      <c r="O826" s="36"/>
      <c r="P826" s="37">
        <v>19.0</v>
      </c>
      <c r="Q826" s="36"/>
      <c r="R826" s="36" t="s">
        <v>96</v>
      </c>
      <c r="S826" s="36">
        <v>30.0</v>
      </c>
      <c r="T826" s="36" t="s">
        <v>1567</v>
      </c>
      <c r="U826" s="36" t="s">
        <v>989</v>
      </c>
      <c r="V826" s="36">
        <v>39.0</v>
      </c>
      <c r="W826" s="36"/>
      <c r="X826" s="38">
        <v>1.0</v>
      </c>
      <c r="Y826" s="38" t="s">
        <v>1568</v>
      </c>
      <c r="Z826" s="38" t="s">
        <v>1569</v>
      </c>
      <c r="AA826" s="38" t="s">
        <v>288</v>
      </c>
      <c r="AB826" s="38">
        <v>27.1783</v>
      </c>
      <c r="AC826" s="38">
        <v>-81.7731</v>
      </c>
      <c r="AD826" s="39" t="s">
        <v>87</v>
      </c>
      <c r="AE826" s="53"/>
      <c r="AF826" s="38" t="s">
        <v>1570</v>
      </c>
      <c r="AG826" s="57" t="s">
        <v>1462</v>
      </c>
      <c r="AH826" s="38">
        <v>10.0</v>
      </c>
      <c r="AI826" s="50">
        <v>27.1783</v>
      </c>
      <c r="AJ826" s="50">
        <v>-81.7731</v>
      </c>
      <c r="AK826" s="41" t="s">
        <v>86</v>
      </c>
      <c r="AL826" s="40" t="s">
        <v>86</v>
      </c>
      <c r="AM826" s="49">
        <v>24.0</v>
      </c>
      <c r="AN826" s="51">
        <v>24.0</v>
      </c>
      <c r="AO826" s="42" t="s">
        <v>201</v>
      </c>
      <c r="AP826" s="43" t="s">
        <v>201</v>
      </c>
      <c r="AQ826" s="44" t="str">
        <f t="shared" si="60"/>
        <v>GRA</v>
      </c>
      <c r="AR826" s="44">
        <f t="shared" si="80"/>
        <v>24</v>
      </c>
      <c r="AS826" s="44" t="str">
        <f t="shared" si="81"/>
        <v>C</v>
      </c>
      <c r="AT826" s="44" t="str">
        <f t="shared" si="17"/>
        <v>Cf</v>
      </c>
      <c r="AU826" s="44" t="str">
        <f t="shared" si="2"/>
        <v>Cfa</v>
      </c>
      <c r="AV826" s="38"/>
      <c r="AW826" s="38"/>
      <c r="AX826" s="38">
        <v>450.0</v>
      </c>
      <c r="AY826" s="38" t="s">
        <v>88</v>
      </c>
      <c r="AZ826" s="29">
        <v>30.0</v>
      </c>
      <c r="BA826" s="29"/>
      <c r="BB826" s="29">
        <v>1.0</v>
      </c>
      <c r="BC826" s="29"/>
      <c r="BD826" s="29" t="s">
        <v>88</v>
      </c>
      <c r="BE826" s="29"/>
      <c r="BF826" s="29" t="s">
        <v>984</v>
      </c>
      <c r="BG826" s="29" t="s">
        <v>572</v>
      </c>
      <c r="BH826" s="29" t="s">
        <v>88</v>
      </c>
      <c r="BI826" s="76" t="s">
        <v>1560</v>
      </c>
      <c r="BJ826" s="76" t="s">
        <v>1561</v>
      </c>
      <c r="BK826" s="29" t="s">
        <v>180</v>
      </c>
      <c r="BL826" s="29" t="s">
        <v>180</v>
      </c>
      <c r="BM826" s="45"/>
      <c r="BN826" s="45"/>
      <c r="BO826" s="46"/>
      <c r="BP826" s="2"/>
      <c r="BQ826" s="3"/>
    </row>
    <row r="827" ht="15.75" customHeight="1">
      <c r="A827" s="34">
        <v>835.0</v>
      </c>
      <c r="B827" s="34">
        <v>103712.0</v>
      </c>
      <c r="C827" s="34" t="s">
        <v>76</v>
      </c>
      <c r="D827" s="34" t="s">
        <v>1556</v>
      </c>
      <c r="E827" s="34" t="s">
        <v>1557</v>
      </c>
      <c r="F827" s="34">
        <v>2016.0</v>
      </c>
      <c r="G827" s="34" t="s">
        <v>1558</v>
      </c>
      <c r="H827" s="34" t="s">
        <v>1544</v>
      </c>
      <c r="I827" s="34" t="s">
        <v>1559</v>
      </c>
      <c r="J827" s="35"/>
      <c r="K827" s="36"/>
      <c r="L827" s="36"/>
      <c r="M827" s="36"/>
      <c r="N827" s="36"/>
      <c r="O827" s="36"/>
      <c r="P827" s="37">
        <v>9.0</v>
      </c>
      <c r="Q827" s="36"/>
      <c r="R827" s="36" t="s">
        <v>96</v>
      </c>
      <c r="S827" s="36">
        <v>30.0</v>
      </c>
      <c r="T827" s="36" t="s">
        <v>1571</v>
      </c>
      <c r="U827" s="36" t="s">
        <v>1563</v>
      </c>
      <c r="V827" s="36">
        <v>30.0</v>
      </c>
      <c r="W827" s="36"/>
      <c r="X827" s="38">
        <v>1.0</v>
      </c>
      <c r="Y827" s="38" t="s">
        <v>1572</v>
      </c>
      <c r="Z827" s="38" t="s">
        <v>1572</v>
      </c>
      <c r="AA827" s="38" t="s">
        <v>288</v>
      </c>
      <c r="AB827" s="38">
        <v>28.7613</v>
      </c>
      <c r="AC827" s="38">
        <v>-82.2762</v>
      </c>
      <c r="AD827" s="39" t="s">
        <v>87</v>
      </c>
      <c r="AE827" s="53"/>
      <c r="AF827" s="38"/>
      <c r="AG827" s="38"/>
      <c r="AH827" s="38">
        <v>2.7</v>
      </c>
      <c r="AI827" s="50">
        <v>28.7613</v>
      </c>
      <c r="AJ827" s="50">
        <v>-82.2762</v>
      </c>
      <c r="AK827" s="41" t="s">
        <v>1085</v>
      </c>
      <c r="AL827" s="40" t="s">
        <v>1085</v>
      </c>
      <c r="AM827" s="49">
        <v>23.0</v>
      </c>
      <c r="AN827" s="51">
        <v>23.0</v>
      </c>
      <c r="AO827" s="42" t="s">
        <v>201</v>
      </c>
      <c r="AP827" s="43" t="s">
        <v>201</v>
      </c>
      <c r="AQ827" s="44" t="str">
        <f t="shared" si="60"/>
        <v>GRA</v>
      </c>
      <c r="AR827" s="44">
        <f t="shared" si="80"/>
        <v>23</v>
      </c>
      <c r="AS827" s="44" t="str">
        <f t="shared" si="81"/>
        <v>C</v>
      </c>
      <c r="AT827" s="44" t="str">
        <f t="shared" si="17"/>
        <v>Cf</v>
      </c>
      <c r="AU827" s="44" t="str">
        <f t="shared" si="2"/>
        <v>Cfa</v>
      </c>
      <c r="AV827" s="38"/>
      <c r="AW827" s="38"/>
      <c r="AX827" s="38">
        <v>270.0</v>
      </c>
      <c r="AY827" s="38" t="s">
        <v>88</v>
      </c>
      <c r="AZ827" s="29">
        <v>30.0</v>
      </c>
      <c r="BA827" s="29"/>
      <c r="BB827" s="29">
        <v>1.0</v>
      </c>
      <c r="BC827" s="29"/>
      <c r="BD827" s="29" t="s">
        <v>88</v>
      </c>
      <c r="BE827" s="29"/>
      <c r="BF827" s="29" t="s">
        <v>984</v>
      </c>
      <c r="BG827" s="29" t="s">
        <v>572</v>
      </c>
      <c r="BH827" s="29" t="s">
        <v>88</v>
      </c>
      <c r="BI827" s="76" t="s">
        <v>1560</v>
      </c>
      <c r="BJ827" s="76" t="s">
        <v>1561</v>
      </c>
      <c r="BK827" s="29" t="s">
        <v>180</v>
      </c>
      <c r="BL827" s="29" t="s">
        <v>180</v>
      </c>
      <c r="BM827" s="45"/>
      <c r="BN827" s="45"/>
      <c r="BO827" s="46"/>
      <c r="BP827" s="2"/>
      <c r="BQ827" s="3"/>
    </row>
    <row r="828" ht="15.75" customHeight="1">
      <c r="A828" s="34">
        <v>836.0</v>
      </c>
      <c r="B828" s="34">
        <v>103712.0</v>
      </c>
      <c r="C828" s="34" t="s">
        <v>76</v>
      </c>
      <c r="D828" s="34" t="s">
        <v>1556</v>
      </c>
      <c r="E828" s="34" t="s">
        <v>1557</v>
      </c>
      <c r="F828" s="34">
        <v>2016.0</v>
      </c>
      <c r="G828" s="34" t="s">
        <v>1558</v>
      </c>
      <c r="H828" s="34" t="s">
        <v>1544</v>
      </c>
      <c r="I828" s="34" t="s">
        <v>1559</v>
      </c>
      <c r="J828" s="35"/>
      <c r="K828" s="36"/>
      <c r="L828" s="36"/>
      <c r="M828" s="36"/>
      <c r="N828" s="36"/>
      <c r="O828" s="36"/>
      <c r="P828" s="37">
        <v>19.0</v>
      </c>
      <c r="Q828" s="36"/>
      <c r="R828" s="36" t="s">
        <v>96</v>
      </c>
      <c r="S828" s="36">
        <v>30.0</v>
      </c>
      <c r="T828" s="36" t="s">
        <v>284</v>
      </c>
      <c r="U828" s="36" t="s">
        <v>1573</v>
      </c>
      <c r="V828" s="36">
        <v>36.0</v>
      </c>
      <c r="W828" s="36"/>
      <c r="X828" s="38">
        <v>1.0</v>
      </c>
      <c r="Y828" s="38" t="s">
        <v>1574</v>
      </c>
      <c r="Z828" s="38" t="s">
        <v>1574</v>
      </c>
      <c r="AA828" s="38" t="s">
        <v>1085</v>
      </c>
      <c r="AB828" s="38">
        <v>28.2253</v>
      </c>
      <c r="AC828" s="38">
        <v>-82.5592</v>
      </c>
      <c r="AD828" s="39" t="s">
        <v>87</v>
      </c>
      <c r="AE828" s="38"/>
      <c r="AF828" s="38"/>
      <c r="AG828" s="38"/>
      <c r="AH828" s="38">
        <v>0.8</v>
      </c>
      <c r="AI828" s="50">
        <v>28.2253</v>
      </c>
      <c r="AJ828" s="50">
        <v>-82.5592</v>
      </c>
      <c r="AK828" s="41" t="s">
        <v>200</v>
      </c>
      <c r="AL828" s="40" t="s">
        <v>313</v>
      </c>
      <c r="AM828" s="49">
        <v>14.0</v>
      </c>
      <c r="AN828" s="51">
        <v>14.0</v>
      </c>
      <c r="AO828" s="42" t="s">
        <v>201</v>
      </c>
      <c r="AP828" s="43" t="s">
        <v>201</v>
      </c>
      <c r="AQ828" s="44" t="str">
        <f t="shared" si="60"/>
        <v>WAT</v>
      </c>
      <c r="AR828" s="44">
        <f t="shared" si="80"/>
        <v>14</v>
      </c>
      <c r="AS828" s="44" t="str">
        <f t="shared" si="81"/>
        <v>C</v>
      </c>
      <c r="AT828" s="44" t="str">
        <f t="shared" si="17"/>
        <v>Cf</v>
      </c>
      <c r="AU828" s="44" t="str">
        <f t="shared" si="2"/>
        <v>Cfa</v>
      </c>
      <c r="AV828" s="38"/>
      <c r="AW828" s="38"/>
      <c r="AX828" s="38"/>
      <c r="AY828" s="38" t="s">
        <v>88</v>
      </c>
      <c r="AZ828" s="29">
        <v>30.0</v>
      </c>
      <c r="BA828" s="29"/>
      <c r="BB828" s="29">
        <v>1.0</v>
      </c>
      <c r="BC828" s="29"/>
      <c r="BD828" s="29" t="s">
        <v>88</v>
      </c>
      <c r="BE828" s="29"/>
      <c r="BF828" s="29" t="s">
        <v>984</v>
      </c>
      <c r="BG828" s="29" t="s">
        <v>572</v>
      </c>
      <c r="BH828" s="29" t="s">
        <v>88</v>
      </c>
      <c r="BI828" s="76" t="s">
        <v>1560</v>
      </c>
      <c r="BJ828" s="76" t="s">
        <v>1561</v>
      </c>
      <c r="BK828" s="29" t="s">
        <v>180</v>
      </c>
      <c r="BL828" s="29" t="s">
        <v>180</v>
      </c>
      <c r="BM828" s="45"/>
      <c r="BN828" s="45"/>
      <c r="BO828" s="46"/>
      <c r="BP828" s="2"/>
      <c r="BQ828" s="3"/>
    </row>
    <row r="829" ht="15.75" customHeight="1">
      <c r="A829" s="34">
        <v>837.0</v>
      </c>
      <c r="B829" s="34">
        <v>103712.0</v>
      </c>
      <c r="C829" s="34" t="s">
        <v>76</v>
      </c>
      <c r="D829" s="34" t="s">
        <v>1556</v>
      </c>
      <c r="E829" s="34" t="s">
        <v>1557</v>
      </c>
      <c r="F829" s="34">
        <v>2016.0</v>
      </c>
      <c r="G829" s="34" t="s">
        <v>1558</v>
      </c>
      <c r="H829" s="34" t="s">
        <v>1544</v>
      </c>
      <c r="I829" s="34" t="s">
        <v>1559</v>
      </c>
      <c r="J829" s="35"/>
      <c r="K829" s="36"/>
      <c r="L829" s="36"/>
      <c r="M829" s="36"/>
      <c r="N829" s="36"/>
      <c r="O829" s="36"/>
      <c r="P829" s="37">
        <v>-4.0</v>
      </c>
      <c r="Q829" s="36"/>
      <c r="R829" s="36" t="s">
        <v>96</v>
      </c>
      <c r="S829" s="36">
        <v>30.0</v>
      </c>
      <c r="T829" s="36" t="s">
        <v>356</v>
      </c>
      <c r="U829" s="36" t="s">
        <v>1563</v>
      </c>
      <c r="V829" s="36">
        <v>44.0</v>
      </c>
      <c r="W829" s="36"/>
      <c r="X829" s="38">
        <v>1.0</v>
      </c>
      <c r="Y829" s="38" t="s">
        <v>1564</v>
      </c>
      <c r="Z829" s="38" t="s">
        <v>1565</v>
      </c>
      <c r="AA829" s="38" t="s">
        <v>214</v>
      </c>
      <c r="AB829" s="38">
        <v>27.6953</v>
      </c>
      <c r="AC829" s="38">
        <v>-80.7114</v>
      </c>
      <c r="AD829" s="39" t="s">
        <v>87</v>
      </c>
      <c r="AE829" s="38">
        <v>23.0</v>
      </c>
      <c r="AF829" s="38" t="s">
        <v>1566</v>
      </c>
      <c r="AG829" s="38" t="s">
        <v>592</v>
      </c>
      <c r="AH829" s="38">
        <v>4.0</v>
      </c>
      <c r="AI829" s="50">
        <v>27.6953</v>
      </c>
      <c r="AJ829" s="50">
        <v>-80.7114</v>
      </c>
      <c r="AK829" s="41" t="s">
        <v>214</v>
      </c>
      <c r="AL829" s="40" t="s">
        <v>214</v>
      </c>
      <c r="AM829" s="49">
        <v>8.0</v>
      </c>
      <c r="AN829" s="51">
        <v>8.0</v>
      </c>
      <c r="AO829" s="42" t="s">
        <v>201</v>
      </c>
      <c r="AP829" s="43" t="s">
        <v>201</v>
      </c>
      <c r="AQ829" s="44" t="str">
        <f t="shared" si="60"/>
        <v>WET</v>
      </c>
      <c r="AR829" s="44">
        <f t="shared" si="80"/>
        <v>8</v>
      </c>
      <c r="AS829" s="44" t="str">
        <f t="shared" si="81"/>
        <v>C</v>
      </c>
      <c r="AT829" s="44" t="str">
        <f t="shared" si="17"/>
        <v>Cf</v>
      </c>
      <c r="AU829" s="44" t="str">
        <f t="shared" si="2"/>
        <v>Cfa</v>
      </c>
      <c r="AV829" s="38"/>
      <c r="AW829" s="38"/>
      <c r="AX829" s="38">
        <v>190.0</v>
      </c>
      <c r="AY829" s="38" t="s">
        <v>88</v>
      </c>
      <c r="AZ829" s="29">
        <v>30.0</v>
      </c>
      <c r="BA829" s="29"/>
      <c r="BB829" s="29">
        <v>1.0</v>
      </c>
      <c r="BC829" s="29"/>
      <c r="BD829" s="29" t="s">
        <v>88</v>
      </c>
      <c r="BE829" s="29"/>
      <c r="BF829" s="29" t="s">
        <v>571</v>
      </c>
      <c r="BG829" s="29" t="s">
        <v>572</v>
      </c>
      <c r="BH829" s="29" t="s">
        <v>88</v>
      </c>
      <c r="BI829" s="76" t="s">
        <v>1560</v>
      </c>
      <c r="BJ829" s="76" t="s">
        <v>1561</v>
      </c>
      <c r="BK829" s="29" t="s">
        <v>180</v>
      </c>
      <c r="BL829" s="29" t="s">
        <v>180</v>
      </c>
      <c r="BM829" s="45"/>
      <c r="BN829" s="45"/>
      <c r="BO829" s="46"/>
      <c r="BP829" s="2"/>
      <c r="BQ829" s="3"/>
    </row>
    <row r="830" ht="15.75" customHeight="1">
      <c r="A830" s="34">
        <v>838.0</v>
      </c>
      <c r="B830" s="34">
        <v>103712.0</v>
      </c>
      <c r="C830" s="34" t="s">
        <v>76</v>
      </c>
      <c r="D830" s="34" t="s">
        <v>1556</v>
      </c>
      <c r="E830" s="34" t="s">
        <v>1557</v>
      </c>
      <c r="F830" s="34">
        <v>2016.0</v>
      </c>
      <c r="G830" s="34" t="s">
        <v>1558</v>
      </c>
      <c r="H830" s="34" t="s">
        <v>1544</v>
      </c>
      <c r="I830" s="34" t="s">
        <v>1559</v>
      </c>
      <c r="J830" s="35"/>
      <c r="K830" s="36"/>
      <c r="L830" s="36"/>
      <c r="M830" s="36"/>
      <c r="N830" s="36"/>
      <c r="O830" s="36"/>
      <c r="P830" s="37">
        <v>16.0</v>
      </c>
      <c r="Q830" s="36"/>
      <c r="R830" s="36" t="s">
        <v>96</v>
      </c>
      <c r="S830" s="36">
        <v>30.0</v>
      </c>
      <c r="T830" s="36" t="s">
        <v>1567</v>
      </c>
      <c r="U830" s="36" t="s">
        <v>989</v>
      </c>
      <c r="V830" s="36">
        <v>39.0</v>
      </c>
      <c r="W830" s="36"/>
      <c r="X830" s="38">
        <v>1.0</v>
      </c>
      <c r="Y830" s="38" t="s">
        <v>1568</v>
      </c>
      <c r="Z830" s="38" t="s">
        <v>1569</v>
      </c>
      <c r="AA830" s="38" t="s">
        <v>288</v>
      </c>
      <c r="AB830" s="38">
        <v>27.1783</v>
      </c>
      <c r="AC830" s="38">
        <v>-81.7731</v>
      </c>
      <c r="AD830" s="39" t="s">
        <v>87</v>
      </c>
      <c r="AE830" s="53"/>
      <c r="AF830" s="38" t="s">
        <v>1570</v>
      </c>
      <c r="AG830" s="57" t="s">
        <v>1575</v>
      </c>
      <c r="AH830" s="38">
        <v>10.0</v>
      </c>
      <c r="AI830" s="50">
        <v>27.1783</v>
      </c>
      <c r="AJ830" s="50">
        <v>-81.7731</v>
      </c>
      <c r="AK830" s="41" t="s">
        <v>86</v>
      </c>
      <c r="AL830" s="40" t="s">
        <v>86</v>
      </c>
      <c r="AM830" s="49">
        <v>24.0</v>
      </c>
      <c r="AN830" s="51">
        <v>24.0</v>
      </c>
      <c r="AO830" s="42" t="s">
        <v>201</v>
      </c>
      <c r="AP830" s="43" t="s">
        <v>201</v>
      </c>
      <c r="AQ830" s="44" t="str">
        <f t="shared" si="60"/>
        <v>GRA</v>
      </c>
      <c r="AR830" s="44">
        <f t="shared" si="80"/>
        <v>24</v>
      </c>
      <c r="AS830" s="44" t="str">
        <f t="shared" si="81"/>
        <v>C</v>
      </c>
      <c r="AT830" s="44" t="str">
        <f t="shared" si="17"/>
        <v>Cf</v>
      </c>
      <c r="AU830" s="44" t="str">
        <f t="shared" si="2"/>
        <v>Cfa</v>
      </c>
      <c r="AV830" s="38"/>
      <c r="AW830" s="38"/>
      <c r="AX830" s="38">
        <v>450.0</v>
      </c>
      <c r="AY830" s="38" t="s">
        <v>88</v>
      </c>
      <c r="AZ830" s="29">
        <v>30.0</v>
      </c>
      <c r="BA830" s="29"/>
      <c r="BB830" s="29">
        <v>1.0</v>
      </c>
      <c r="BC830" s="29"/>
      <c r="BD830" s="29" t="s">
        <v>88</v>
      </c>
      <c r="BE830" s="29"/>
      <c r="BF830" s="29" t="s">
        <v>571</v>
      </c>
      <c r="BG830" s="29" t="s">
        <v>572</v>
      </c>
      <c r="BH830" s="29" t="s">
        <v>88</v>
      </c>
      <c r="BI830" s="76" t="s">
        <v>1560</v>
      </c>
      <c r="BJ830" s="76" t="s">
        <v>1561</v>
      </c>
      <c r="BK830" s="29" t="s">
        <v>180</v>
      </c>
      <c r="BL830" s="29" t="s">
        <v>180</v>
      </c>
      <c r="BM830" s="45"/>
      <c r="BN830" s="45"/>
      <c r="BO830" s="46"/>
      <c r="BP830" s="2"/>
      <c r="BQ830" s="3"/>
    </row>
    <row r="831" ht="15.75" customHeight="1">
      <c r="A831" s="34">
        <v>839.0</v>
      </c>
      <c r="B831" s="34">
        <v>103712.0</v>
      </c>
      <c r="C831" s="34" t="s">
        <v>76</v>
      </c>
      <c r="D831" s="34" t="s">
        <v>1556</v>
      </c>
      <c r="E831" s="34" t="s">
        <v>1557</v>
      </c>
      <c r="F831" s="34">
        <v>2016.0</v>
      </c>
      <c r="G831" s="34" t="s">
        <v>1558</v>
      </c>
      <c r="H831" s="34" t="s">
        <v>1544</v>
      </c>
      <c r="I831" s="34" t="s">
        <v>1559</v>
      </c>
      <c r="J831" s="35"/>
      <c r="K831" s="36"/>
      <c r="L831" s="36"/>
      <c r="M831" s="36"/>
      <c r="N831" s="36"/>
      <c r="O831" s="36"/>
      <c r="P831" s="37">
        <v>17.0</v>
      </c>
      <c r="Q831" s="36"/>
      <c r="R831" s="36" t="s">
        <v>96</v>
      </c>
      <c r="S831" s="36">
        <v>30.0</v>
      </c>
      <c r="T831" s="36" t="s">
        <v>1571</v>
      </c>
      <c r="U831" s="36" t="s">
        <v>1563</v>
      </c>
      <c r="V831" s="36">
        <v>30.0</v>
      </c>
      <c r="W831" s="36"/>
      <c r="X831" s="38">
        <v>1.0</v>
      </c>
      <c r="Y831" s="38" t="s">
        <v>1572</v>
      </c>
      <c r="Z831" s="38" t="s">
        <v>1572</v>
      </c>
      <c r="AA831" s="38" t="s">
        <v>288</v>
      </c>
      <c r="AB831" s="38">
        <v>28.7613</v>
      </c>
      <c r="AC831" s="38">
        <v>-82.2762</v>
      </c>
      <c r="AD831" s="39" t="s">
        <v>87</v>
      </c>
      <c r="AE831" s="53"/>
      <c r="AF831" s="38"/>
      <c r="AG831" s="38"/>
      <c r="AH831" s="38">
        <v>2.7</v>
      </c>
      <c r="AI831" s="50">
        <v>28.7613</v>
      </c>
      <c r="AJ831" s="50">
        <v>-82.2762</v>
      </c>
      <c r="AK831" s="41" t="s">
        <v>1085</v>
      </c>
      <c r="AL831" s="40" t="s">
        <v>1085</v>
      </c>
      <c r="AM831" s="49">
        <v>23.0</v>
      </c>
      <c r="AN831" s="51">
        <v>23.0</v>
      </c>
      <c r="AO831" s="42" t="s">
        <v>201</v>
      </c>
      <c r="AP831" s="43" t="s">
        <v>201</v>
      </c>
      <c r="AQ831" s="44" t="str">
        <f t="shared" si="60"/>
        <v>GRA</v>
      </c>
      <c r="AR831" s="44">
        <f t="shared" si="80"/>
        <v>23</v>
      </c>
      <c r="AS831" s="44" t="str">
        <f t="shared" si="81"/>
        <v>C</v>
      </c>
      <c r="AT831" s="44" t="str">
        <f t="shared" si="17"/>
        <v>Cf</v>
      </c>
      <c r="AU831" s="44" t="str">
        <f t="shared" si="2"/>
        <v>Cfa</v>
      </c>
      <c r="AV831" s="38"/>
      <c r="AW831" s="38"/>
      <c r="AX831" s="38">
        <v>270.0</v>
      </c>
      <c r="AY831" s="38" t="s">
        <v>88</v>
      </c>
      <c r="AZ831" s="29">
        <v>30.0</v>
      </c>
      <c r="BA831" s="29"/>
      <c r="BB831" s="29">
        <v>1.0</v>
      </c>
      <c r="BC831" s="29"/>
      <c r="BD831" s="29" t="s">
        <v>88</v>
      </c>
      <c r="BE831" s="29"/>
      <c r="BF831" s="29" t="s">
        <v>571</v>
      </c>
      <c r="BG831" s="29" t="s">
        <v>572</v>
      </c>
      <c r="BH831" s="29" t="s">
        <v>88</v>
      </c>
      <c r="BI831" s="76" t="s">
        <v>1560</v>
      </c>
      <c r="BJ831" s="76" t="s">
        <v>1561</v>
      </c>
      <c r="BK831" s="29" t="s">
        <v>180</v>
      </c>
      <c r="BL831" s="29" t="s">
        <v>180</v>
      </c>
      <c r="BM831" s="45"/>
      <c r="BN831" s="45"/>
      <c r="BO831" s="46"/>
      <c r="BP831" s="2"/>
      <c r="BQ831" s="3"/>
    </row>
    <row r="832" ht="15.75" customHeight="1">
      <c r="A832" s="34">
        <v>840.0</v>
      </c>
      <c r="B832" s="34">
        <v>103712.0</v>
      </c>
      <c r="C832" s="34" t="s">
        <v>76</v>
      </c>
      <c r="D832" s="34" t="s">
        <v>1556</v>
      </c>
      <c r="E832" s="34" t="s">
        <v>1557</v>
      </c>
      <c r="F832" s="34">
        <v>2016.0</v>
      </c>
      <c r="G832" s="34" t="s">
        <v>1558</v>
      </c>
      <c r="H832" s="34" t="s">
        <v>1544</v>
      </c>
      <c r="I832" s="34" t="s">
        <v>1559</v>
      </c>
      <c r="J832" s="35"/>
      <c r="K832" s="36"/>
      <c r="L832" s="36"/>
      <c r="M832" s="36"/>
      <c r="N832" s="36"/>
      <c r="O832" s="36"/>
      <c r="P832" s="37">
        <v>-10.0</v>
      </c>
      <c r="Q832" s="36"/>
      <c r="R832" s="36" t="s">
        <v>96</v>
      </c>
      <c r="S832" s="36">
        <v>30.0</v>
      </c>
      <c r="T832" s="36" t="s">
        <v>284</v>
      </c>
      <c r="U832" s="36" t="s">
        <v>1573</v>
      </c>
      <c r="V832" s="36">
        <v>36.0</v>
      </c>
      <c r="W832" s="36"/>
      <c r="X832" s="38">
        <v>1.0</v>
      </c>
      <c r="Y832" s="38" t="s">
        <v>1574</v>
      </c>
      <c r="Z832" s="38" t="s">
        <v>1574</v>
      </c>
      <c r="AA832" s="38" t="s">
        <v>1085</v>
      </c>
      <c r="AB832" s="38">
        <v>28.2253</v>
      </c>
      <c r="AC832" s="38">
        <v>-82.5592</v>
      </c>
      <c r="AD832" s="39" t="s">
        <v>87</v>
      </c>
      <c r="AE832" s="38"/>
      <c r="AF832" s="38"/>
      <c r="AG832" s="38"/>
      <c r="AH832" s="38">
        <v>0.8</v>
      </c>
      <c r="AI832" s="50">
        <v>28.2253</v>
      </c>
      <c r="AJ832" s="50">
        <v>-82.5592</v>
      </c>
      <c r="AK832" s="41" t="s">
        <v>200</v>
      </c>
      <c r="AL832" s="40" t="s">
        <v>313</v>
      </c>
      <c r="AM832" s="49">
        <v>14.0</v>
      </c>
      <c r="AN832" s="51">
        <v>14.0</v>
      </c>
      <c r="AO832" s="42" t="s">
        <v>201</v>
      </c>
      <c r="AP832" s="43" t="s">
        <v>201</v>
      </c>
      <c r="AQ832" s="44" t="str">
        <f t="shared" si="60"/>
        <v>WAT</v>
      </c>
      <c r="AR832" s="44">
        <f t="shared" si="80"/>
        <v>14</v>
      </c>
      <c r="AS832" s="44" t="str">
        <f t="shared" si="81"/>
        <v>C</v>
      </c>
      <c r="AT832" s="44" t="str">
        <f t="shared" si="17"/>
        <v>Cf</v>
      </c>
      <c r="AU832" s="44" t="str">
        <f t="shared" si="2"/>
        <v>Cfa</v>
      </c>
      <c r="AV832" s="38"/>
      <c r="AW832" s="38"/>
      <c r="AX832" s="38"/>
      <c r="AY832" s="38" t="s">
        <v>88</v>
      </c>
      <c r="AZ832" s="29">
        <v>30.0</v>
      </c>
      <c r="BA832" s="29"/>
      <c r="BB832" s="29">
        <v>1.0</v>
      </c>
      <c r="BC832" s="29"/>
      <c r="BD832" s="29" t="s">
        <v>88</v>
      </c>
      <c r="BE832" s="29"/>
      <c r="BF832" s="29" t="s">
        <v>571</v>
      </c>
      <c r="BG832" s="29" t="s">
        <v>572</v>
      </c>
      <c r="BH832" s="29" t="s">
        <v>88</v>
      </c>
      <c r="BI832" s="76" t="s">
        <v>1560</v>
      </c>
      <c r="BJ832" s="76" t="s">
        <v>1561</v>
      </c>
      <c r="BK832" s="29" t="s">
        <v>180</v>
      </c>
      <c r="BL832" s="29" t="s">
        <v>180</v>
      </c>
      <c r="BM832" s="45"/>
      <c r="BN832" s="45"/>
      <c r="BO832" s="46"/>
      <c r="BP832" s="2"/>
      <c r="BQ832" s="3"/>
    </row>
    <row r="833" ht="15.75" customHeight="1">
      <c r="A833" s="34">
        <v>841.0</v>
      </c>
      <c r="B833" s="34">
        <v>103712.0</v>
      </c>
      <c r="C833" s="34" t="s">
        <v>76</v>
      </c>
      <c r="D833" s="34" t="s">
        <v>1556</v>
      </c>
      <c r="E833" s="34" t="s">
        <v>1557</v>
      </c>
      <c r="F833" s="34">
        <v>2016.0</v>
      </c>
      <c r="G833" s="34" t="s">
        <v>1558</v>
      </c>
      <c r="H833" s="34" t="s">
        <v>1544</v>
      </c>
      <c r="I833" s="34" t="s">
        <v>1559</v>
      </c>
      <c r="J833" s="35"/>
      <c r="K833" s="36"/>
      <c r="L833" s="36"/>
      <c r="M833" s="36"/>
      <c r="N833" s="36"/>
      <c r="O833" s="36"/>
      <c r="P833" s="37">
        <v>-10.0</v>
      </c>
      <c r="Q833" s="36"/>
      <c r="R833" s="36" t="s">
        <v>96</v>
      </c>
      <c r="S833" s="36">
        <v>30.0</v>
      </c>
      <c r="T833" s="36" t="s">
        <v>356</v>
      </c>
      <c r="U833" s="36" t="s">
        <v>1563</v>
      </c>
      <c r="V833" s="36">
        <v>44.0</v>
      </c>
      <c r="W833" s="36"/>
      <c r="X833" s="38">
        <v>1.0</v>
      </c>
      <c r="Y833" s="38" t="s">
        <v>1564</v>
      </c>
      <c r="Z833" s="38" t="s">
        <v>1565</v>
      </c>
      <c r="AA833" s="38" t="s">
        <v>214</v>
      </c>
      <c r="AB833" s="38">
        <v>27.6953</v>
      </c>
      <c r="AC833" s="38">
        <v>-80.7114</v>
      </c>
      <c r="AD833" s="39" t="s">
        <v>87</v>
      </c>
      <c r="AE833" s="38">
        <v>23.0</v>
      </c>
      <c r="AF833" s="38" t="s">
        <v>1566</v>
      </c>
      <c r="AG833" s="38" t="s">
        <v>592</v>
      </c>
      <c r="AH833" s="38">
        <v>4.0</v>
      </c>
      <c r="AI833" s="50">
        <v>27.6953</v>
      </c>
      <c r="AJ833" s="50">
        <v>-80.7114</v>
      </c>
      <c r="AK833" s="41" t="s">
        <v>214</v>
      </c>
      <c r="AL833" s="40" t="s">
        <v>214</v>
      </c>
      <c r="AM833" s="49">
        <v>8.0</v>
      </c>
      <c r="AN833" s="51">
        <v>8.0</v>
      </c>
      <c r="AO833" s="42" t="s">
        <v>201</v>
      </c>
      <c r="AP833" s="43" t="s">
        <v>201</v>
      </c>
      <c r="AQ833" s="44" t="str">
        <f t="shared" si="60"/>
        <v>WET</v>
      </c>
      <c r="AR833" s="44">
        <f t="shared" si="80"/>
        <v>8</v>
      </c>
      <c r="AS833" s="44" t="str">
        <f t="shared" si="81"/>
        <v>C</v>
      </c>
      <c r="AT833" s="44" t="str">
        <f t="shared" si="17"/>
        <v>Cf</v>
      </c>
      <c r="AU833" s="44" t="str">
        <f t="shared" si="2"/>
        <v>Cfa</v>
      </c>
      <c r="AV833" s="38"/>
      <c r="AW833" s="38"/>
      <c r="AX833" s="38">
        <v>190.0</v>
      </c>
      <c r="AY833" s="38" t="s">
        <v>88</v>
      </c>
      <c r="AZ833" s="29">
        <v>30.0</v>
      </c>
      <c r="BA833" s="29"/>
      <c r="BB833" s="29">
        <v>1.0</v>
      </c>
      <c r="BC833" s="29"/>
      <c r="BD833" s="29" t="s">
        <v>88</v>
      </c>
      <c r="BE833" s="29"/>
      <c r="BF833" s="29" t="s">
        <v>1411</v>
      </c>
      <c r="BG833" s="29" t="s">
        <v>572</v>
      </c>
      <c r="BH833" s="29" t="s">
        <v>88</v>
      </c>
      <c r="BI833" s="76" t="s">
        <v>1560</v>
      </c>
      <c r="BJ833" s="76" t="s">
        <v>1561</v>
      </c>
      <c r="BK833" s="29" t="s">
        <v>180</v>
      </c>
      <c r="BL833" s="29" t="s">
        <v>180</v>
      </c>
      <c r="BM833" s="45"/>
      <c r="BN833" s="45"/>
      <c r="BO833" s="46"/>
      <c r="BP833" s="2"/>
      <c r="BQ833" s="3"/>
    </row>
    <row r="834" ht="15.75" customHeight="1">
      <c r="A834" s="34">
        <v>842.0</v>
      </c>
      <c r="B834" s="34">
        <v>103712.0</v>
      </c>
      <c r="C834" s="34" t="s">
        <v>76</v>
      </c>
      <c r="D834" s="34" t="s">
        <v>1556</v>
      </c>
      <c r="E834" s="34" t="s">
        <v>1557</v>
      </c>
      <c r="F834" s="34">
        <v>2016.0</v>
      </c>
      <c r="G834" s="34" t="s">
        <v>1558</v>
      </c>
      <c r="H834" s="34" t="s">
        <v>1544</v>
      </c>
      <c r="I834" s="34" t="s">
        <v>1559</v>
      </c>
      <c r="J834" s="35"/>
      <c r="K834" s="36"/>
      <c r="L834" s="36"/>
      <c r="M834" s="36"/>
      <c r="N834" s="36"/>
      <c r="O834" s="36"/>
      <c r="P834" s="37">
        <v>10.0</v>
      </c>
      <c r="Q834" s="36"/>
      <c r="R834" s="36" t="s">
        <v>96</v>
      </c>
      <c r="S834" s="36">
        <v>30.0</v>
      </c>
      <c r="T834" s="36" t="s">
        <v>1567</v>
      </c>
      <c r="U834" s="36" t="s">
        <v>989</v>
      </c>
      <c r="V834" s="36">
        <v>39.0</v>
      </c>
      <c r="W834" s="36"/>
      <c r="X834" s="38">
        <v>1.0</v>
      </c>
      <c r="Y834" s="38" t="s">
        <v>1568</v>
      </c>
      <c r="Z834" s="38" t="s">
        <v>1569</v>
      </c>
      <c r="AA834" s="38" t="s">
        <v>288</v>
      </c>
      <c r="AB834" s="38">
        <v>27.1783</v>
      </c>
      <c r="AC834" s="38">
        <v>-81.7731</v>
      </c>
      <c r="AD834" s="39" t="s">
        <v>87</v>
      </c>
      <c r="AE834" s="53"/>
      <c r="AF834" s="38" t="s">
        <v>1570</v>
      </c>
      <c r="AG834" s="57"/>
      <c r="AH834" s="38">
        <v>10.0</v>
      </c>
      <c r="AI834" s="50">
        <v>27.1783</v>
      </c>
      <c r="AJ834" s="50">
        <v>-81.7731</v>
      </c>
      <c r="AK834" s="41" t="s">
        <v>86</v>
      </c>
      <c r="AL834" s="40" t="s">
        <v>86</v>
      </c>
      <c r="AM834" s="49">
        <v>24.0</v>
      </c>
      <c r="AN834" s="51">
        <v>24.0</v>
      </c>
      <c r="AO834" s="42" t="s">
        <v>201</v>
      </c>
      <c r="AP834" s="43" t="s">
        <v>201</v>
      </c>
      <c r="AQ834" s="44" t="str">
        <f t="shared" si="60"/>
        <v>GRA</v>
      </c>
      <c r="AR834" s="44">
        <f t="shared" si="80"/>
        <v>24</v>
      </c>
      <c r="AS834" s="44" t="str">
        <f t="shared" si="81"/>
        <v>C</v>
      </c>
      <c r="AT834" s="44" t="str">
        <f t="shared" si="17"/>
        <v>Cf</v>
      </c>
      <c r="AU834" s="44" t="str">
        <f t="shared" si="2"/>
        <v>Cfa</v>
      </c>
      <c r="AV834" s="38"/>
      <c r="AW834" s="38"/>
      <c r="AX834" s="38">
        <v>450.0</v>
      </c>
      <c r="AY834" s="38" t="s">
        <v>88</v>
      </c>
      <c r="AZ834" s="29">
        <v>30.0</v>
      </c>
      <c r="BA834" s="29"/>
      <c r="BB834" s="29">
        <v>1.0</v>
      </c>
      <c r="BC834" s="29"/>
      <c r="BD834" s="29" t="s">
        <v>88</v>
      </c>
      <c r="BE834" s="29"/>
      <c r="BF834" s="29" t="s">
        <v>1411</v>
      </c>
      <c r="BG834" s="29" t="s">
        <v>572</v>
      </c>
      <c r="BH834" s="29" t="s">
        <v>88</v>
      </c>
      <c r="BI834" s="76" t="s">
        <v>1560</v>
      </c>
      <c r="BJ834" s="76" t="s">
        <v>1561</v>
      </c>
      <c r="BK834" s="29" t="s">
        <v>180</v>
      </c>
      <c r="BL834" s="29" t="s">
        <v>180</v>
      </c>
      <c r="BM834" s="45"/>
      <c r="BN834" s="45"/>
      <c r="BO834" s="46"/>
      <c r="BP834" s="2"/>
      <c r="BQ834" s="3"/>
    </row>
    <row r="835" ht="15.75" customHeight="1">
      <c r="A835" s="34">
        <v>843.0</v>
      </c>
      <c r="B835" s="34">
        <v>103712.0</v>
      </c>
      <c r="C835" s="34" t="s">
        <v>76</v>
      </c>
      <c r="D835" s="34" t="s">
        <v>1556</v>
      </c>
      <c r="E835" s="34" t="s">
        <v>1557</v>
      </c>
      <c r="F835" s="34">
        <v>2016.0</v>
      </c>
      <c r="G835" s="34" t="s">
        <v>1558</v>
      </c>
      <c r="H835" s="34" t="s">
        <v>1544</v>
      </c>
      <c r="I835" s="34" t="s">
        <v>1559</v>
      </c>
      <c r="J835" s="35"/>
      <c r="K835" s="36"/>
      <c r="L835" s="36"/>
      <c r="M835" s="36"/>
      <c r="N835" s="36"/>
      <c r="O835" s="36"/>
      <c r="P835" s="37">
        <v>3.0</v>
      </c>
      <c r="Q835" s="36"/>
      <c r="R835" s="36" t="s">
        <v>96</v>
      </c>
      <c r="S835" s="36">
        <v>30.0</v>
      </c>
      <c r="T835" s="36" t="s">
        <v>1571</v>
      </c>
      <c r="U835" s="36" t="s">
        <v>1563</v>
      </c>
      <c r="V835" s="36">
        <v>30.0</v>
      </c>
      <c r="W835" s="36"/>
      <c r="X835" s="38">
        <v>1.0</v>
      </c>
      <c r="Y835" s="38" t="s">
        <v>1572</v>
      </c>
      <c r="Z835" s="38" t="s">
        <v>1572</v>
      </c>
      <c r="AA835" s="38" t="s">
        <v>288</v>
      </c>
      <c r="AB835" s="38">
        <v>28.7613</v>
      </c>
      <c r="AC835" s="38">
        <v>-82.2762</v>
      </c>
      <c r="AD835" s="39" t="s">
        <v>87</v>
      </c>
      <c r="AE835" s="53"/>
      <c r="AF835" s="38"/>
      <c r="AG835" s="38"/>
      <c r="AH835" s="38">
        <v>2.7</v>
      </c>
      <c r="AI835" s="50">
        <v>28.7613</v>
      </c>
      <c r="AJ835" s="50">
        <v>-82.2762</v>
      </c>
      <c r="AK835" s="41" t="s">
        <v>1085</v>
      </c>
      <c r="AL835" s="40" t="s">
        <v>1085</v>
      </c>
      <c r="AM835" s="49">
        <v>23.0</v>
      </c>
      <c r="AN835" s="51">
        <v>23.0</v>
      </c>
      <c r="AO835" s="42" t="s">
        <v>201</v>
      </c>
      <c r="AP835" s="43" t="s">
        <v>201</v>
      </c>
      <c r="AQ835" s="44" t="str">
        <f t="shared" si="60"/>
        <v>GRA</v>
      </c>
      <c r="AR835" s="44">
        <f t="shared" si="80"/>
        <v>23</v>
      </c>
      <c r="AS835" s="44" t="str">
        <f t="shared" si="81"/>
        <v>C</v>
      </c>
      <c r="AT835" s="44" t="str">
        <f t="shared" si="17"/>
        <v>Cf</v>
      </c>
      <c r="AU835" s="44" t="str">
        <f t="shared" si="2"/>
        <v>Cfa</v>
      </c>
      <c r="AV835" s="38"/>
      <c r="AW835" s="38"/>
      <c r="AX835" s="38">
        <v>270.0</v>
      </c>
      <c r="AY835" s="38" t="s">
        <v>88</v>
      </c>
      <c r="AZ835" s="29">
        <v>30.0</v>
      </c>
      <c r="BA835" s="29"/>
      <c r="BB835" s="29">
        <v>1.0</v>
      </c>
      <c r="BC835" s="29"/>
      <c r="BD835" s="29" t="s">
        <v>88</v>
      </c>
      <c r="BE835" s="29"/>
      <c r="BF835" s="29" t="s">
        <v>1411</v>
      </c>
      <c r="BG835" s="29" t="s">
        <v>572</v>
      </c>
      <c r="BH835" s="29" t="s">
        <v>88</v>
      </c>
      <c r="BI835" s="76" t="s">
        <v>1560</v>
      </c>
      <c r="BJ835" s="76" t="s">
        <v>1561</v>
      </c>
      <c r="BK835" s="29" t="s">
        <v>180</v>
      </c>
      <c r="BL835" s="29" t="s">
        <v>180</v>
      </c>
      <c r="BM835" s="45"/>
      <c r="BN835" s="45"/>
      <c r="BO835" s="46"/>
      <c r="BP835" s="2"/>
      <c r="BQ835" s="3"/>
    </row>
    <row r="836" ht="15.75" customHeight="1">
      <c r="A836" s="34">
        <v>844.0</v>
      </c>
      <c r="B836" s="34">
        <v>103712.0</v>
      </c>
      <c r="C836" s="34" t="s">
        <v>76</v>
      </c>
      <c r="D836" s="34" t="s">
        <v>1556</v>
      </c>
      <c r="E836" s="34" t="s">
        <v>1557</v>
      </c>
      <c r="F836" s="34">
        <v>2016.0</v>
      </c>
      <c r="G836" s="34" t="s">
        <v>1558</v>
      </c>
      <c r="H836" s="34" t="s">
        <v>1544</v>
      </c>
      <c r="I836" s="34" t="s">
        <v>1559</v>
      </c>
      <c r="J836" s="35"/>
      <c r="K836" s="36"/>
      <c r="L836" s="36"/>
      <c r="M836" s="36"/>
      <c r="N836" s="36"/>
      <c r="O836" s="36"/>
      <c r="P836" s="37">
        <v>-24.0</v>
      </c>
      <c r="Q836" s="36"/>
      <c r="R836" s="36" t="s">
        <v>96</v>
      </c>
      <c r="S836" s="36">
        <v>30.0</v>
      </c>
      <c r="T836" s="36" t="s">
        <v>284</v>
      </c>
      <c r="U836" s="36" t="s">
        <v>1573</v>
      </c>
      <c r="V836" s="36">
        <v>36.0</v>
      </c>
      <c r="W836" s="36"/>
      <c r="X836" s="38">
        <v>1.0</v>
      </c>
      <c r="Y836" s="38" t="s">
        <v>1574</v>
      </c>
      <c r="Z836" s="38" t="s">
        <v>1574</v>
      </c>
      <c r="AA836" s="38" t="s">
        <v>1085</v>
      </c>
      <c r="AB836" s="38">
        <v>28.2253</v>
      </c>
      <c r="AC836" s="38">
        <v>-82.5592</v>
      </c>
      <c r="AD836" s="39" t="s">
        <v>87</v>
      </c>
      <c r="AE836" s="38"/>
      <c r="AF836" s="38"/>
      <c r="AG836" s="38"/>
      <c r="AH836" s="38">
        <v>0.8</v>
      </c>
      <c r="AI836" s="50">
        <v>28.2253</v>
      </c>
      <c r="AJ836" s="50">
        <v>-82.5592</v>
      </c>
      <c r="AK836" s="41" t="s">
        <v>200</v>
      </c>
      <c r="AL836" s="40" t="s">
        <v>313</v>
      </c>
      <c r="AM836" s="49">
        <v>14.0</v>
      </c>
      <c r="AN836" s="51">
        <v>14.0</v>
      </c>
      <c r="AO836" s="42" t="s">
        <v>201</v>
      </c>
      <c r="AP836" s="43" t="s">
        <v>201</v>
      </c>
      <c r="AQ836" s="44" t="str">
        <f t="shared" si="60"/>
        <v>WAT</v>
      </c>
      <c r="AR836" s="44">
        <f t="shared" si="80"/>
        <v>14</v>
      </c>
      <c r="AS836" s="44" t="str">
        <f t="shared" si="81"/>
        <v>C</v>
      </c>
      <c r="AT836" s="44" t="str">
        <f t="shared" si="17"/>
        <v>Cf</v>
      </c>
      <c r="AU836" s="44" t="str">
        <f t="shared" si="2"/>
        <v>Cfa</v>
      </c>
      <c r="AV836" s="38"/>
      <c r="AW836" s="38"/>
      <c r="AX836" s="38"/>
      <c r="AY836" s="38" t="s">
        <v>88</v>
      </c>
      <c r="AZ836" s="29">
        <v>30.0</v>
      </c>
      <c r="BA836" s="29"/>
      <c r="BB836" s="29">
        <v>1.0</v>
      </c>
      <c r="BC836" s="29"/>
      <c r="BD836" s="29" t="s">
        <v>88</v>
      </c>
      <c r="BE836" s="29"/>
      <c r="BF836" s="29" t="s">
        <v>1411</v>
      </c>
      <c r="BG836" s="29" t="s">
        <v>572</v>
      </c>
      <c r="BH836" s="29" t="s">
        <v>88</v>
      </c>
      <c r="BI836" s="76" t="s">
        <v>1560</v>
      </c>
      <c r="BJ836" s="76" t="s">
        <v>1561</v>
      </c>
      <c r="BK836" s="29" t="s">
        <v>180</v>
      </c>
      <c r="BL836" s="29" t="s">
        <v>180</v>
      </c>
      <c r="BM836" s="45"/>
      <c r="BN836" s="45"/>
      <c r="BO836" s="46"/>
      <c r="BP836" s="2"/>
      <c r="BQ836" s="3"/>
    </row>
    <row r="837" ht="15.75" customHeight="1">
      <c r="A837" s="34">
        <v>845.0</v>
      </c>
      <c r="B837" s="34">
        <v>103712.0</v>
      </c>
      <c r="C837" s="34" t="s">
        <v>76</v>
      </c>
      <c r="D837" s="34" t="s">
        <v>1556</v>
      </c>
      <c r="E837" s="34" t="s">
        <v>1557</v>
      </c>
      <c r="F837" s="34">
        <v>2016.0</v>
      </c>
      <c r="G837" s="34" t="s">
        <v>1558</v>
      </c>
      <c r="H837" s="34" t="s">
        <v>1544</v>
      </c>
      <c r="I837" s="34" t="s">
        <v>1559</v>
      </c>
      <c r="J837" s="35"/>
      <c r="K837" s="36"/>
      <c r="L837" s="36"/>
      <c r="M837" s="36"/>
      <c r="N837" s="36"/>
      <c r="O837" s="36"/>
      <c r="P837" s="37">
        <v>5.0</v>
      </c>
      <c r="Q837" s="36"/>
      <c r="R837" s="36" t="s">
        <v>96</v>
      </c>
      <c r="S837" s="36">
        <v>30.0</v>
      </c>
      <c r="T837" s="36" t="s">
        <v>356</v>
      </c>
      <c r="U837" s="36" t="s">
        <v>1563</v>
      </c>
      <c r="V837" s="36">
        <v>44.0</v>
      </c>
      <c r="W837" s="36"/>
      <c r="X837" s="38">
        <v>1.0</v>
      </c>
      <c r="Y837" s="38" t="s">
        <v>1564</v>
      </c>
      <c r="Z837" s="38" t="s">
        <v>1565</v>
      </c>
      <c r="AA837" s="38" t="s">
        <v>214</v>
      </c>
      <c r="AB837" s="38">
        <v>27.6953</v>
      </c>
      <c r="AC837" s="38">
        <v>-80.7114</v>
      </c>
      <c r="AD837" s="39" t="s">
        <v>87</v>
      </c>
      <c r="AE837" s="38">
        <v>23.0</v>
      </c>
      <c r="AF837" s="38" t="s">
        <v>1566</v>
      </c>
      <c r="AG837" s="38" t="s">
        <v>592</v>
      </c>
      <c r="AH837" s="38">
        <v>4.0</v>
      </c>
      <c r="AI837" s="50">
        <v>27.6953</v>
      </c>
      <c r="AJ837" s="50">
        <v>-80.7114</v>
      </c>
      <c r="AK837" s="41" t="s">
        <v>214</v>
      </c>
      <c r="AL837" s="40" t="s">
        <v>214</v>
      </c>
      <c r="AM837" s="49">
        <v>8.0</v>
      </c>
      <c r="AN837" s="51">
        <v>8.0</v>
      </c>
      <c r="AO837" s="42" t="s">
        <v>201</v>
      </c>
      <c r="AP837" s="43" t="s">
        <v>201</v>
      </c>
      <c r="AQ837" s="44" t="str">
        <f t="shared" si="60"/>
        <v>WET</v>
      </c>
      <c r="AR837" s="44">
        <f t="shared" si="80"/>
        <v>8</v>
      </c>
      <c r="AS837" s="44" t="str">
        <f t="shared" si="81"/>
        <v>C</v>
      </c>
      <c r="AT837" s="44" t="str">
        <f t="shared" si="17"/>
        <v>Cf</v>
      </c>
      <c r="AU837" s="44" t="str">
        <f t="shared" si="2"/>
        <v>Cfa</v>
      </c>
      <c r="AV837" s="38"/>
      <c r="AW837" s="38"/>
      <c r="AX837" s="38">
        <v>190.0</v>
      </c>
      <c r="AY837" s="38" t="s">
        <v>88</v>
      </c>
      <c r="AZ837" s="29">
        <v>30.0</v>
      </c>
      <c r="BA837" s="29"/>
      <c r="BB837" s="29">
        <v>1.0</v>
      </c>
      <c r="BC837" s="29"/>
      <c r="BD837" s="29" t="s">
        <v>88</v>
      </c>
      <c r="BE837" s="29"/>
      <c r="BF837" s="29" t="s">
        <v>936</v>
      </c>
      <c r="BG837" s="29" t="s">
        <v>572</v>
      </c>
      <c r="BH837" s="29" t="s">
        <v>88</v>
      </c>
      <c r="BI837" s="76" t="s">
        <v>1560</v>
      </c>
      <c r="BJ837" s="76" t="s">
        <v>1561</v>
      </c>
      <c r="BK837" s="29" t="s">
        <v>180</v>
      </c>
      <c r="BL837" s="29" t="s">
        <v>180</v>
      </c>
      <c r="BM837" s="45"/>
      <c r="BN837" s="45"/>
      <c r="BO837" s="46"/>
      <c r="BP837" s="2"/>
      <c r="BQ837" s="3"/>
    </row>
    <row r="838" ht="15.75" customHeight="1">
      <c r="A838" s="34">
        <v>846.0</v>
      </c>
      <c r="B838" s="34">
        <v>103712.0</v>
      </c>
      <c r="C838" s="34" t="s">
        <v>76</v>
      </c>
      <c r="D838" s="34" t="s">
        <v>1556</v>
      </c>
      <c r="E838" s="34" t="s">
        <v>1557</v>
      </c>
      <c r="F838" s="34">
        <v>2016.0</v>
      </c>
      <c r="G838" s="34" t="s">
        <v>1558</v>
      </c>
      <c r="H838" s="34" t="s">
        <v>1544</v>
      </c>
      <c r="I838" s="34" t="s">
        <v>1559</v>
      </c>
      <c r="J838" s="35"/>
      <c r="K838" s="36"/>
      <c r="L838" s="36"/>
      <c r="M838" s="36"/>
      <c r="N838" s="36"/>
      <c r="O838" s="36"/>
      <c r="P838" s="37">
        <v>2.0</v>
      </c>
      <c r="Q838" s="36"/>
      <c r="R838" s="36" t="s">
        <v>96</v>
      </c>
      <c r="S838" s="36">
        <v>30.0</v>
      </c>
      <c r="T838" s="36" t="s">
        <v>1567</v>
      </c>
      <c r="U838" s="36" t="s">
        <v>989</v>
      </c>
      <c r="V838" s="36">
        <v>39.0</v>
      </c>
      <c r="W838" s="36"/>
      <c r="X838" s="38">
        <v>1.0</v>
      </c>
      <c r="Y838" s="38" t="s">
        <v>1568</v>
      </c>
      <c r="Z838" s="38" t="s">
        <v>1569</v>
      </c>
      <c r="AA838" s="38" t="s">
        <v>288</v>
      </c>
      <c r="AB838" s="38">
        <v>27.1783</v>
      </c>
      <c r="AC838" s="38">
        <v>-81.7731</v>
      </c>
      <c r="AD838" s="39" t="s">
        <v>87</v>
      </c>
      <c r="AE838" s="53"/>
      <c r="AF838" s="38" t="s">
        <v>1570</v>
      </c>
      <c r="AG838" s="57"/>
      <c r="AH838" s="38">
        <v>10.0</v>
      </c>
      <c r="AI838" s="50">
        <v>27.1783</v>
      </c>
      <c r="AJ838" s="50">
        <v>-81.7731</v>
      </c>
      <c r="AK838" s="41" t="s">
        <v>86</v>
      </c>
      <c r="AL838" s="40" t="s">
        <v>86</v>
      </c>
      <c r="AM838" s="49">
        <v>24.0</v>
      </c>
      <c r="AN838" s="51">
        <v>24.0</v>
      </c>
      <c r="AO838" s="42" t="s">
        <v>201</v>
      </c>
      <c r="AP838" s="43" t="s">
        <v>201</v>
      </c>
      <c r="AQ838" s="44" t="str">
        <f t="shared" si="60"/>
        <v>GRA</v>
      </c>
      <c r="AR838" s="44">
        <f t="shared" si="80"/>
        <v>24</v>
      </c>
      <c r="AS838" s="44" t="str">
        <f t="shared" si="81"/>
        <v>C</v>
      </c>
      <c r="AT838" s="44" t="str">
        <f t="shared" si="17"/>
        <v>Cf</v>
      </c>
      <c r="AU838" s="44" t="str">
        <f t="shared" si="2"/>
        <v>Cfa</v>
      </c>
      <c r="AV838" s="38"/>
      <c r="AW838" s="38"/>
      <c r="AX838" s="38">
        <v>450.0</v>
      </c>
      <c r="AY838" s="38" t="s">
        <v>88</v>
      </c>
      <c r="AZ838" s="29">
        <v>30.0</v>
      </c>
      <c r="BA838" s="29"/>
      <c r="BB838" s="29">
        <v>1.0</v>
      </c>
      <c r="BC838" s="29"/>
      <c r="BD838" s="29" t="s">
        <v>88</v>
      </c>
      <c r="BE838" s="29"/>
      <c r="BF838" s="29" t="s">
        <v>936</v>
      </c>
      <c r="BG838" s="29" t="s">
        <v>572</v>
      </c>
      <c r="BH838" s="29" t="s">
        <v>88</v>
      </c>
      <c r="BI838" s="76" t="s">
        <v>1560</v>
      </c>
      <c r="BJ838" s="76" t="s">
        <v>1561</v>
      </c>
      <c r="BK838" s="29" t="s">
        <v>180</v>
      </c>
      <c r="BL838" s="29" t="s">
        <v>180</v>
      </c>
      <c r="BM838" s="45"/>
      <c r="BN838" s="45"/>
      <c r="BO838" s="46"/>
      <c r="BP838" s="2"/>
      <c r="BQ838" s="3"/>
    </row>
    <row r="839" ht="15.75" customHeight="1">
      <c r="A839" s="34">
        <v>847.0</v>
      </c>
      <c r="B839" s="34">
        <v>103712.0</v>
      </c>
      <c r="C839" s="34" t="s">
        <v>76</v>
      </c>
      <c r="D839" s="34" t="s">
        <v>1556</v>
      </c>
      <c r="E839" s="34" t="s">
        <v>1557</v>
      </c>
      <c r="F839" s="34">
        <v>2016.0</v>
      </c>
      <c r="G839" s="34" t="s">
        <v>1558</v>
      </c>
      <c r="H839" s="34" t="s">
        <v>1544</v>
      </c>
      <c r="I839" s="34" t="s">
        <v>1559</v>
      </c>
      <c r="J839" s="35"/>
      <c r="K839" s="36"/>
      <c r="L839" s="36"/>
      <c r="M839" s="36"/>
      <c r="N839" s="36"/>
      <c r="O839" s="36"/>
      <c r="P839" s="37">
        <v>28.0</v>
      </c>
      <c r="Q839" s="36"/>
      <c r="R839" s="36" t="s">
        <v>96</v>
      </c>
      <c r="S839" s="36">
        <v>30.0</v>
      </c>
      <c r="T839" s="36" t="s">
        <v>1571</v>
      </c>
      <c r="U839" s="36" t="s">
        <v>1563</v>
      </c>
      <c r="V839" s="36">
        <v>30.0</v>
      </c>
      <c r="W839" s="36"/>
      <c r="X839" s="38">
        <v>1.0</v>
      </c>
      <c r="Y839" s="38" t="s">
        <v>1572</v>
      </c>
      <c r="Z839" s="38" t="s">
        <v>1572</v>
      </c>
      <c r="AA839" s="38" t="s">
        <v>288</v>
      </c>
      <c r="AB839" s="38">
        <v>28.7613</v>
      </c>
      <c r="AC839" s="38">
        <v>-82.2762</v>
      </c>
      <c r="AD839" s="39" t="s">
        <v>87</v>
      </c>
      <c r="AE839" s="53"/>
      <c r="AF839" s="38"/>
      <c r="AG839" s="38"/>
      <c r="AH839" s="38">
        <v>2.7</v>
      </c>
      <c r="AI839" s="50">
        <v>28.7613</v>
      </c>
      <c r="AJ839" s="50">
        <v>-82.2762</v>
      </c>
      <c r="AK839" s="41" t="s">
        <v>1085</v>
      </c>
      <c r="AL839" s="40" t="s">
        <v>1085</v>
      </c>
      <c r="AM839" s="49">
        <v>23.0</v>
      </c>
      <c r="AN839" s="51">
        <v>23.0</v>
      </c>
      <c r="AO839" s="42" t="s">
        <v>201</v>
      </c>
      <c r="AP839" s="43" t="s">
        <v>201</v>
      </c>
      <c r="AQ839" s="44" t="str">
        <f t="shared" si="60"/>
        <v>GRA</v>
      </c>
      <c r="AR839" s="44">
        <f t="shared" si="80"/>
        <v>23</v>
      </c>
      <c r="AS839" s="44" t="str">
        <f t="shared" si="81"/>
        <v>C</v>
      </c>
      <c r="AT839" s="44" t="str">
        <f t="shared" si="17"/>
        <v>Cf</v>
      </c>
      <c r="AU839" s="44" t="str">
        <f t="shared" si="2"/>
        <v>Cfa</v>
      </c>
      <c r="AV839" s="38"/>
      <c r="AW839" s="38"/>
      <c r="AX839" s="38">
        <v>270.0</v>
      </c>
      <c r="AY839" s="38" t="s">
        <v>88</v>
      </c>
      <c r="AZ839" s="29">
        <v>30.0</v>
      </c>
      <c r="BA839" s="29"/>
      <c r="BB839" s="29">
        <v>1.0</v>
      </c>
      <c r="BC839" s="29"/>
      <c r="BD839" s="29" t="s">
        <v>88</v>
      </c>
      <c r="BE839" s="29"/>
      <c r="BF839" s="29" t="s">
        <v>936</v>
      </c>
      <c r="BG839" s="29" t="s">
        <v>572</v>
      </c>
      <c r="BH839" s="29" t="s">
        <v>88</v>
      </c>
      <c r="BI839" s="76" t="s">
        <v>1560</v>
      </c>
      <c r="BJ839" s="76" t="s">
        <v>1561</v>
      </c>
      <c r="BK839" s="29" t="s">
        <v>180</v>
      </c>
      <c r="BL839" s="29" t="s">
        <v>180</v>
      </c>
      <c r="BM839" s="45"/>
      <c r="BN839" s="45"/>
      <c r="BO839" s="46"/>
      <c r="BP839" s="2"/>
      <c r="BQ839" s="3"/>
    </row>
    <row r="840" ht="15.75" customHeight="1">
      <c r="A840" s="34">
        <v>848.0</v>
      </c>
      <c r="B840" s="34">
        <v>103712.0</v>
      </c>
      <c r="C840" s="34" t="s">
        <v>76</v>
      </c>
      <c r="D840" s="34" t="s">
        <v>1556</v>
      </c>
      <c r="E840" s="34" t="s">
        <v>1557</v>
      </c>
      <c r="F840" s="34">
        <v>2016.0</v>
      </c>
      <c r="G840" s="34" t="s">
        <v>1558</v>
      </c>
      <c r="H840" s="34" t="s">
        <v>1544</v>
      </c>
      <c r="I840" s="34" t="s">
        <v>1559</v>
      </c>
      <c r="J840" s="35"/>
      <c r="K840" s="36"/>
      <c r="L840" s="36"/>
      <c r="M840" s="36"/>
      <c r="N840" s="36"/>
      <c r="O840" s="36"/>
      <c r="P840" s="37">
        <v>-6.0</v>
      </c>
      <c r="Q840" s="36"/>
      <c r="R840" s="36" t="s">
        <v>96</v>
      </c>
      <c r="S840" s="36">
        <v>30.0</v>
      </c>
      <c r="T840" s="36" t="s">
        <v>284</v>
      </c>
      <c r="U840" s="36" t="s">
        <v>1573</v>
      </c>
      <c r="V840" s="36">
        <v>36.0</v>
      </c>
      <c r="W840" s="36"/>
      <c r="X840" s="38">
        <v>1.0</v>
      </c>
      <c r="Y840" s="38" t="s">
        <v>1574</v>
      </c>
      <c r="Z840" s="38" t="s">
        <v>1574</v>
      </c>
      <c r="AA840" s="38" t="s">
        <v>1085</v>
      </c>
      <c r="AB840" s="38">
        <v>28.2253</v>
      </c>
      <c r="AC840" s="38">
        <v>-82.5592</v>
      </c>
      <c r="AD840" s="39" t="s">
        <v>87</v>
      </c>
      <c r="AE840" s="38"/>
      <c r="AF840" s="38"/>
      <c r="AG840" s="38"/>
      <c r="AH840" s="38">
        <v>0.8</v>
      </c>
      <c r="AI840" s="50">
        <v>28.2253</v>
      </c>
      <c r="AJ840" s="50">
        <v>-82.5592</v>
      </c>
      <c r="AK840" s="41" t="s">
        <v>200</v>
      </c>
      <c r="AL840" s="40" t="s">
        <v>313</v>
      </c>
      <c r="AM840" s="49">
        <v>14.0</v>
      </c>
      <c r="AN840" s="51">
        <v>14.0</v>
      </c>
      <c r="AO840" s="42" t="s">
        <v>201</v>
      </c>
      <c r="AP840" s="43" t="s">
        <v>201</v>
      </c>
      <c r="AQ840" s="44" t="str">
        <f t="shared" si="60"/>
        <v>WAT</v>
      </c>
      <c r="AR840" s="44">
        <f t="shared" si="80"/>
        <v>14</v>
      </c>
      <c r="AS840" s="44" t="str">
        <f t="shared" si="81"/>
        <v>C</v>
      </c>
      <c r="AT840" s="44" t="str">
        <f t="shared" si="17"/>
        <v>Cf</v>
      </c>
      <c r="AU840" s="44" t="str">
        <f t="shared" si="2"/>
        <v>Cfa</v>
      </c>
      <c r="AV840" s="38"/>
      <c r="AW840" s="38"/>
      <c r="AX840" s="38"/>
      <c r="AY840" s="38" t="s">
        <v>88</v>
      </c>
      <c r="AZ840" s="29">
        <v>30.0</v>
      </c>
      <c r="BA840" s="29"/>
      <c r="BB840" s="29">
        <v>1.0</v>
      </c>
      <c r="BC840" s="29"/>
      <c r="BD840" s="29" t="s">
        <v>88</v>
      </c>
      <c r="BE840" s="29"/>
      <c r="BF840" s="29" t="s">
        <v>936</v>
      </c>
      <c r="BG840" s="29" t="s">
        <v>572</v>
      </c>
      <c r="BH840" s="29" t="s">
        <v>88</v>
      </c>
      <c r="BI840" s="76" t="s">
        <v>1560</v>
      </c>
      <c r="BJ840" s="76" t="s">
        <v>1561</v>
      </c>
      <c r="BK840" s="29" t="s">
        <v>180</v>
      </c>
      <c r="BL840" s="29" t="s">
        <v>180</v>
      </c>
      <c r="BM840" s="45"/>
      <c r="BN840" s="45"/>
      <c r="BO840" s="46"/>
      <c r="BP840" s="2"/>
      <c r="BQ840" s="3"/>
    </row>
    <row r="841" ht="15.75" customHeight="1">
      <c r="A841" s="34">
        <v>849.0</v>
      </c>
      <c r="B841" s="34">
        <v>103712.0</v>
      </c>
      <c r="C841" s="34" t="s">
        <v>76</v>
      </c>
      <c r="D841" s="34" t="s">
        <v>1556</v>
      </c>
      <c r="E841" s="34" t="s">
        <v>1557</v>
      </c>
      <c r="F841" s="34">
        <v>2016.0</v>
      </c>
      <c r="G841" s="34" t="s">
        <v>1558</v>
      </c>
      <c r="H841" s="34" t="s">
        <v>1544</v>
      </c>
      <c r="I841" s="34" t="s">
        <v>1559</v>
      </c>
      <c r="J841" s="35"/>
      <c r="K841" s="36"/>
      <c r="L841" s="36"/>
      <c r="M841" s="36"/>
      <c r="N841" s="36"/>
      <c r="O841" s="36"/>
      <c r="P841" s="37">
        <v>28.0</v>
      </c>
      <c r="Q841" s="36"/>
      <c r="R841" s="36" t="s">
        <v>96</v>
      </c>
      <c r="S841" s="36">
        <v>30.0</v>
      </c>
      <c r="T841" s="36" t="s">
        <v>356</v>
      </c>
      <c r="U841" s="36" t="s">
        <v>1563</v>
      </c>
      <c r="V841" s="36">
        <v>44.0</v>
      </c>
      <c r="W841" s="36"/>
      <c r="X841" s="38">
        <v>1.0</v>
      </c>
      <c r="Y841" s="38" t="s">
        <v>1564</v>
      </c>
      <c r="Z841" s="38" t="s">
        <v>1565</v>
      </c>
      <c r="AA841" s="38" t="s">
        <v>214</v>
      </c>
      <c r="AB841" s="38">
        <v>27.6953</v>
      </c>
      <c r="AC841" s="38">
        <v>-80.7114</v>
      </c>
      <c r="AD841" s="39" t="s">
        <v>87</v>
      </c>
      <c r="AE841" s="38">
        <v>23.0</v>
      </c>
      <c r="AF841" s="38" t="s">
        <v>1566</v>
      </c>
      <c r="AG841" s="38" t="s">
        <v>592</v>
      </c>
      <c r="AH841" s="38">
        <v>4.0</v>
      </c>
      <c r="AI841" s="50">
        <v>27.6953</v>
      </c>
      <c r="AJ841" s="50">
        <v>-80.7114</v>
      </c>
      <c r="AK841" s="41" t="s">
        <v>214</v>
      </c>
      <c r="AL841" s="40" t="s">
        <v>214</v>
      </c>
      <c r="AM841" s="49">
        <v>8.0</v>
      </c>
      <c r="AN841" s="51">
        <v>8.0</v>
      </c>
      <c r="AO841" s="42" t="s">
        <v>201</v>
      </c>
      <c r="AP841" s="43" t="s">
        <v>201</v>
      </c>
      <c r="AQ841" s="44" t="str">
        <f t="shared" si="60"/>
        <v>WET</v>
      </c>
      <c r="AR841" s="44">
        <f t="shared" si="80"/>
        <v>8</v>
      </c>
      <c r="AS841" s="44" t="str">
        <f t="shared" si="81"/>
        <v>C</v>
      </c>
      <c r="AT841" s="44" t="str">
        <f t="shared" si="17"/>
        <v>Cf</v>
      </c>
      <c r="AU841" s="44" t="str">
        <f t="shared" si="2"/>
        <v>Cfa</v>
      </c>
      <c r="AV841" s="38"/>
      <c r="AW841" s="38"/>
      <c r="AX841" s="38">
        <v>190.0</v>
      </c>
      <c r="AY841" s="38" t="s">
        <v>88</v>
      </c>
      <c r="AZ841" s="29">
        <v>30.0</v>
      </c>
      <c r="BA841" s="29"/>
      <c r="BB841" s="29">
        <v>1.0</v>
      </c>
      <c r="BC841" s="29"/>
      <c r="BD841" s="29" t="s">
        <v>88</v>
      </c>
      <c r="BE841" s="29"/>
      <c r="BF841" s="29" t="s">
        <v>802</v>
      </c>
      <c r="BG841" s="29" t="s">
        <v>572</v>
      </c>
      <c r="BH841" s="29" t="s">
        <v>88</v>
      </c>
      <c r="BI841" s="76" t="s">
        <v>1560</v>
      </c>
      <c r="BJ841" s="76" t="s">
        <v>1561</v>
      </c>
      <c r="BK841" s="29" t="s">
        <v>180</v>
      </c>
      <c r="BL841" s="29" t="s">
        <v>180</v>
      </c>
      <c r="BM841" s="45"/>
      <c r="BN841" s="45"/>
      <c r="BO841" s="46"/>
      <c r="BP841" s="92"/>
      <c r="BQ841" s="93"/>
    </row>
    <row r="842" ht="15.75" customHeight="1">
      <c r="A842" s="34">
        <v>850.0</v>
      </c>
      <c r="B842" s="34">
        <v>103712.0</v>
      </c>
      <c r="C842" s="34" t="s">
        <v>76</v>
      </c>
      <c r="D842" s="34" t="s">
        <v>1556</v>
      </c>
      <c r="E842" s="34" t="s">
        <v>1557</v>
      </c>
      <c r="F842" s="34">
        <v>2016.0</v>
      </c>
      <c r="G842" s="34" t="s">
        <v>1558</v>
      </c>
      <c r="H842" s="34" t="s">
        <v>1544</v>
      </c>
      <c r="I842" s="34" t="s">
        <v>1559</v>
      </c>
      <c r="J842" s="35"/>
      <c r="K842" s="36"/>
      <c r="L842" s="36"/>
      <c r="M842" s="36"/>
      <c r="N842" s="36"/>
      <c r="O842" s="36"/>
      <c r="P842" s="37">
        <v>61.0</v>
      </c>
      <c r="Q842" s="36"/>
      <c r="R842" s="36" t="s">
        <v>96</v>
      </c>
      <c r="S842" s="36">
        <v>30.0</v>
      </c>
      <c r="T842" s="36" t="s">
        <v>1567</v>
      </c>
      <c r="U842" s="36" t="s">
        <v>989</v>
      </c>
      <c r="V842" s="36">
        <v>39.0</v>
      </c>
      <c r="W842" s="36"/>
      <c r="X842" s="38">
        <v>1.0</v>
      </c>
      <c r="Y842" s="38" t="s">
        <v>1568</v>
      </c>
      <c r="Z842" s="38" t="s">
        <v>1569</v>
      </c>
      <c r="AA842" s="38" t="s">
        <v>288</v>
      </c>
      <c r="AB842" s="38">
        <v>27.1783</v>
      </c>
      <c r="AC842" s="38">
        <v>-81.7731</v>
      </c>
      <c r="AD842" s="39" t="s">
        <v>87</v>
      </c>
      <c r="AE842" s="53"/>
      <c r="AF842" s="38" t="s">
        <v>1570</v>
      </c>
      <c r="AG842" s="57" t="s">
        <v>1495</v>
      </c>
      <c r="AH842" s="38">
        <v>10.0</v>
      </c>
      <c r="AI842" s="50">
        <v>27.1783</v>
      </c>
      <c r="AJ842" s="50">
        <v>-81.7731</v>
      </c>
      <c r="AK842" s="41" t="s">
        <v>86</v>
      </c>
      <c r="AL842" s="40" t="s">
        <v>86</v>
      </c>
      <c r="AM842" s="49">
        <v>24.0</v>
      </c>
      <c r="AN842" s="51">
        <v>24.0</v>
      </c>
      <c r="AO842" s="42" t="s">
        <v>201</v>
      </c>
      <c r="AP842" s="43" t="s">
        <v>201</v>
      </c>
      <c r="AQ842" s="44" t="str">
        <f t="shared" si="60"/>
        <v>GRA</v>
      </c>
      <c r="AR842" s="44">
        <f t="shared" si="80"/>
        <v>24</v>
      </c>
      <c r="AS842" s="44" t="str">
        <f t="shared" si="81"/>
        <v>C</v>
      </c>
      <c r="AT842" s="44" t="str">
        <f t="shared" si="17"/>
        <v>Cf</v>
      </c>
      <c r="AU842" s="44" t="str">
        <f t="shared" si="2"/>
        <v>Cfa</v>
      </c>
      <c r="AV842" s="38"/>
      <c r="AW842" s="38"/>
      <c r="AX842" s="38">
        <v>450.0</v>
      </c>
      <c r="AY842" s="38" t="s">
        <v>88</v>
      </c>
      <c r="AZ842" s="29">
        <v>30.0</v>
      </c>
      <c r="BA842" s="29"/>
      <c r="BB842" s="29">
        <v>1.0</v>
      </c>
      <c r="BC842" s="29"/>
      <c r="BD842" s="29" t="s">
        <v>88</v>
      </c>
      <c r="BE842" s="29"/>
      <c r="BF842" s="29" t="s">
        <v>802</v>
      </c>
      <c r="BG842" s="29" t="s">
        <v>572</v>
      </c>
      <c r="BH842" s="29" t="s">
        <v>88</v>
      </c>
      <c r="BI842" s="76" t="s">
        <v>1560</v>
      </c>
      <c r="BJ842" s="76" t="s">
        <v>1561</v>
      </c>
      <c r="BK842" s="29" t="s">
        <v>180</v>
      </c>
      <c r="BL842" s="29" t="s">
        <v>180</v>
      </c>
      <c r="BM842" s="45"/>
      <c r="BN842" s="45"/>
      <c r="BO842" s="46"/>
      <c r="BP842" s="2"/>
      <c r="BQ842" s="3"/>
    </row>
    <row r="843" ht="15.75" customHeight="1">
      <c r="A843" s="34">
        <v>851.0</v>
      </c>
      <c r="B843" s="34">
        <v>103712.0</v>
      </c>
      <c r="C843" s="34" t="s">
        <v>76</v>
      </c>
      <c r="D843" s="34" t="s">
        <v>1556</v>
      </c>
      <c r="E843" s="34" t="s">
        <v>1557</v>
      </c>
      <c r="F843" s="34">
        <v>2016.0</v>
      </c>
      <c r="G843" s="34" t="s">
        <v>1558</v>
      </c>
      <c r="H843" s="34" t="s">
        <v>1544</v>
      </c>
      <c r="I843" s="34" t="s">
        <v>1559</v>
      </c>
      <c r="J843" s="35"/>
      <c r="K843" s="36"/>
      <c r="L843" s="36"/>
      <c r="M843" s="36"/>
      <c r="N843" s="36"/>
      <c r="O843" s="36"/>
      <c r="P843" s="37">
        <v>29.0</v>
      </c>
      <c r="Q843" s="36"/>
      <c r="R843" s="36" t="s">
        <v>96</v>
      </c>
      <c r="S843" s="36">
        <v>30.0</v>
      </c>
      <c r="T843" s="36" t="s">
        <v>1571</v>
      </c>
      <c r="U843" s="36" t="s">
        <v>1563</v>
      </c>
      <c r="V843" s="36">
        <v>30.0</v>
      </c>
      <c r="W843" s="36"/>
      <c r="X843" s="38">
        <v>1.0</v>
      </c>
      <c r="Y843" s="38" t="s">
        <v>1572</v>
      </c>
      <c r="Z843" s="38" t="s">
        <v>1572</v>
      </c>
      <c r="AA843" s="38" t="s">
        <v>288</v>
      </c>
      <c r="AB843" s="38">
        <v>28.7613</v>
      </c>
      <c r="AC843" s="38">
        <v>-82.2762</v>
      </c>
      <c r="AD843" s="39" t="s">
        <v>87</v>
      </c>
      <c r="AE843" s="53"/>
      <c r="AF843" s="38"/>
      <c r="AG843" s="38"/>
      <c r="AH843" s="38">
        <v>2.7</v>
      </c>
      <c r="AI843" s="50">
        <v>28.7613</v>
      </c>
      <c r="AJ843" s="50">
        <v>-82.2762</v>
      </c>
      <c r="AK843" s="41" t="s">
        <v>1085</v>
      </c>
      <c r="AL843" s="40" t="s">
        <v>1085</v>
      </c>
      <c r="AM843" s="49">
        <v>23.0</v>
      </c>
      <c r="AN843" s="51">
        <v>23.0</v>
      </c>
      <c r="AO843" s="42" t="s">
        <v>201</v>
      </c>
      <c r="AP843" s="43" t="s">
        <v>201</v>
      </c>
      <c r="AQ843" s="44" t="str">
        <f t="shared" si="60"/>
        <v>GRA</v>
      </c>
      <c r="AR843" s="44">
        <f t="shared" si="80"/>
        <v>23</v>
      </c>
      <c r="AS843" s="44" t="str">
        <f t="shared" si="81"/>
        <v>C</v>
      </c>
      <c r="AT843" s="44" t="str">
        <f t="shared" si="17"/>
        <v>Cf</v>
      </c>
      <c r="AU843" s="44" t="str">
        <f t="shared" si="2"/>
        <v>Cfa</v>
      </c>
      <c r="AV843" s="38"/>
      <c r="AW843" s="38"/>
      <c r="AX843" s="38">
        <v>270.0</v>
      </c>
      <c r="AY843" s="38" t="s">
        <v>88</v>
      </c>
      <c r="AZ843" s="29">
        <v>30.0</v>
      </c>
      <c r="BA843" s="29"/>
      <c r="BB843" s="29">
        <v>1.0</v>
      </c>
      <c r="BC843" s="29"/>
      <c r="BD843" s="29" t="s">
        <v>88</v>
      </c>
      <c r="BE843" s="29"/>
      <c r="BF843" s="29" t="s">
        <v>802</v>
      </c>
      <c r="BG843" s="29" t="s">
        <v>572</v>
      </c>
      <c r="BH843" s="29" t="s">
        <v>88</v>
      </c>
      <c r="BI843" s="76" t="s">
        <v>1560</v>
      </c>
      <c r="BJ843" s="76" t="s">
        <v>1561</v>
      </c>
      <c r="BK843" s="29" t="s">
        <v>180</v>
      </c>
      <c r="BL843" s="29" t="s">
        <v>180</v>
      </c>
      <c r="BM843" s="45"/>
      <c r="BN843" s="45"/>
      <c r="BO843" s="46"/>
      <c r="BP843" s="2"/>
      <c r="BQ843" s="3"/>
    </row>
    <row r="844" ht="15.75" customHeight="1">
      <c r="A844" s="34">
        <v>852.0</v>
      </c>
      <c r="B844" s="34">
        <v>103712.0</v>
      </c>
      <c r="C844" s="34" t="s">
        <v>76</v>
      </c>
      <c r="D844" s="34" t="s">
        <v>1556</v>
      </c>
      <c r="E844" s="34" t="s">
        <v>1557</v>
      </c>
      <c r="F844" s="34">
        <v>2016.0</v>
      </c>
      <c r="G844" s="34" t="s">
        <v>1558</v>
      </c>
      <c r="H844" s="34" t="s">
        <v>1544</v>
      </c>
      <c r="I844" s="34" t="s">
        <v>1559</v>
      </c>
      <c r="J844" s="35"/>
      <c r="K844" s="36"/>
      <c r="L844" s="36"/>
      <c r="M844" s="36"/>
      <c r="N844" s="36"/>
      <c r="O844" s="36"/>
      <c r="P844" s="37">
        <v>28.0</v>
      </c>
      <c r="Q844" s="36"/>
      <c r="R844" s="36" t="s">
        <v>96</v>
      </c>
      <c r="S844" s="36">
        <v>30.0</v>
      </c>
      <c r="T844" s="36" t="s">
        <v>284</v>
      </c>
      <c r="U844" s="36" t="s">
        <v>1573</v>
      </c>
      <c r="V844" s="36">
        <v>36.0</v>
      </c>
      <c r="W844" s="36"/>
      <c r="X844" s="38">
        <v>1.0</v>
      </c>
      <c r="Y844" s="38" t="s">
        <v>1574</v>
      </c>
      <c r="Z844" s="38" t="s">
        <v>1574</v>
      </c>
      <c r="AA844" s="38" t="s">
        <v>1085</v>
      </c>
      <c r="AB844" s="38">
        <v>28.2253</v>
      </c>
      <c r="AC844" s="38">
        <v>-82.5592</v>
      </c>
      <c r="AD844" s="39" t="s">
        <v>87</v>
      </c>
      <c r="AE844" s="38"/>
      <c r="AF844" s="38"/>
      <c r="AG844" s="38"/>
      <c r="AH844" s="38">
        <v>0.8</v>
      </c>
      <c r="AI844" s="50">
        <v>28.2253</v>
      </c>
      <c r="AJ844" s="50">
        <v>-82.5592</v>
      </c>
      <c r="AK844" s="41" t="s">
        <v>200</v>
      </c>
      <c r="AL844" s="40" t="s">
        <v>313</v>
      </c>
      <c r="AM844" s="49">
        <v>14.0</v>
      </c>
      <c r="AN844" s="51">
        <v>14.0</v>
      </c>
      <c r="AO844" s="42" t="s">
        <v>201</v>
      </c>
      <c r="AP844" s="43" t="s">
        <v>201</v>
      </c>
      <c r="AQ844" s="44" t="str">
        <f t="shared" si="60"/>
        <v>WAT</v>
      </c>
      <c r="AR844" s="44">
        <f t="shared" si="80"/>
        <v>14</v>
      </c>
      <c r="AS844" s="44" t="str">
        <f t="shared" si="81"/>
        <v>C</v>
      </c>
      <c r="AT844" s="44" t="str">
        <f t="shared" si="17"/>
        <v>Cf</v>
      </c>
      <c r="AU844" s="44" t="str">
        <f t="shared" si="2"/>
        <v>Cfa</v>
      </c>
      <c r="AV844" s="38"/>
      <c r="AW844" s="38"/>
      <c r="AX844" s="38"/>
      <c r="AY844" s="38" t="s">
        <v>88</v>
      </c>
      <c r="AZ844" s="29">
        <v>30.0</v>
      </c>
      <c r="BA844" s="29"/>
      <c r="BB844" s="29">
        <v>1.0</v>
      </c>
      <c r="BC844" s="29"/>
      <c r="BD844" s="29" t="s">
        <v>88</v>
      </c>
      <c r="BE844" s="29"/>
      <c r="BF844" s="29" t="s">
        <v>802</v>
      </c>
      <c r="BG844" s="29" t="s">
        <v>572</v>
      </c>
      <c r="BH844" s="29" t="s">
        <v>88</v>
      </c>
      <c r="BI844" s="76" t="s">
        <v>1560</v>
      </c>
      <c r="BJ844" s="76" t="s">
        <v>1561</v>
      </c>
      <c r="BK844" s="29" t="s">
        <v>180</v>
      </c>
      <c r="BL844" s="29" t="s">
        <v>180</v>
      </c>
      <c r="BM844" s="45"/>
      <c r="BN844" s="45"/>
      <c r="BO844" s="46"/>
      <c r="BP844" s="2"/>
      <c r="BQ844" s="3"/>
    </row>
    <row r="845" ht="15.75" customHeight="1">
      <c r="A845" s="34">
        <v>854.0</v>
      </c>
      <c r="B845" s="34">
        <v>102524.0</v>
      </c>
      <c r="C845" s="34" t="s">
        <v>76</v>
      </c>
      <c r="D845" s="34" t="s">
        <v>1576</v>
      </c>
      <c r="E845" s="34" t="s">
        <v>1577</v>
      </c>
      <c r="F845" s="34">
        <v>2020.0</v>
      </c>
      <c r="G845" s="34" t="s">
        <v>1578</v>
      </c>
      <c r="H845" s="34" t="s">
        <v>1544</v>
      </c>
      <c r="I845" s="34" t="s">
        <v>1579</v>
      </c>
      <c r="J845" s="35"/>
      <c r="K845" s="36"/>
      <c r="L845" s="36"/>
      <c r="M845" s="36"/>
      <c r="N845" s="36">
        <v>84.9</v>
      </c>
      <c r="O845" s="36">
        <v>130.2</v>
      </c>
      <c r="P845" s="52">
        <f>N845/O845*100</f>
        <v>65.20737327</v>
      </c>
      <c r="Q845" s="36"/>
      <c r="R845" s="36" t="s">
        <v>82</v>
      </c>
      <c r="S845" s="36">
        <v>500.0</v>
      </c>
      <c r="T845" s="36" t="s">
        <v>245</v>
      </c>
      <c r="U845" s="36" t="s">
        <v>168</v>
      </c>
      <c r="V845" s="36"/>
      <c r="W845" s="36"/>
      <c r="X845" s="38">
        <v>1.0</v>
      </c>
      <c r="Y845" s="38" t="s">
        <v>1580</v>
      </c>
      <c r="Z845" s="38" t="s">
        <v>1581</v>
      </c>
      <c r="AA845" s="38" t="s">
        <v>637</v>
      </c>
      <c r="AB845" s="38" t="s">
        <v>1582</v>
      </c>
      <c r="AC845" s="38" t="s">
        <v>1583</v>
      </c>
      <c r="AD845" s="38" t="s">
        <v>334</v>
      </c>
      <c r="AE845" s="38">
        <v>193.0</v>
      </c>
      <c r="AF845" s="38" t="s">
        <v>1584</v>
      </c>
      <c r="AG845" s="38"/>
      <c r="AH845" s="38">
        <v>11.0</v>
      </c>
      <c r="AI845" s="50">
        <v>-6.34468</v>
      </c>
      <c r="AJ845" s="50">
        <v>-37.14559</v>
      </c>
      <c r="AK845" s="41" t="s">
        <v>288</v>
      </c>
      <c r="AL845" s="40" t="s">
        <v>288</v>
      </c>
      <c r="AM845" s="49">
        <v>155.0</v>
      </c>
      <c r="AN845" s="51">
        <v>155.0</v>
      </c>
      <c r="AO845" s="42" t="s">
        <v>304</v>
      </c>
      <c r="AP845" s="43" t="s">
        <v>304</v>
      </c>
      <c r="AQ845" s="80" t="s">
        <v>288</v>
      </c>
      <c r="AR845" s="44">
        <f t="shared" si="80"/>
        <v>155</v>
      </c>
      <c r="AS845" s="44" t="str">
        <f t="shared" si="81"/>
        <v>B</v>
      </c>
      <c r="AT845" s="44" t="str">
        <f t="shared" si="17"/>
        <v>BS</v>
      </c>
      <c r="AU845" s="44" t="str">
        <f t="shared" si="2"/>
        <v>BSh</v>
      </c>
      <c r="AV845" s="38">
        <v>1.0</v>
      </c>
      <c r="AW845" s="38"/>
      <c r="AX845" s="38" t="s">
        <v>1585</v>
      </c>
      <c r="AY845" s="38" t="s">
        <v>1586</v>
      </c>
      <c r="AZ845" s="29">
        <v>500.0</v>
      </c>
      <c r="BA845" s="29"/>
      <c r="BB845" s="29">
        <v>1.0</v>
      </c>
      <c r="BC845" s="29"/>
      <c r="BD845" s="29" t="s">
        <v>88</v>
      </c>
      <c r="BE845" s="29"/>
      <c r="BF845" s="29" t="s">
        <v>571</v>
      </c>
      <c r="BG845" s="29" t="s">
        <v>572</v>
      </c>
      <c r="BH845" s="29" t="s">
        <v>88</v>
      </c>
      <c r="BI845" s="84" t="s">
        <v>1587</v>
      </c>
      <c r="BJ845" s="29"/>
      <c r="BK845" s="29" t="s">
        <v>148</v>
      </c>
      <c r="BL845" s="29" t="s">
        <v>148</v>
      </c>
      <c r="BM845" s="45"/>
      <c r="BN845" s="45">
        <v>1.0</v>
      </c>
      <c r="BO845" s="46" t="s">
        <v>571</v>
      </c>
      <c r="BP845" s="2"/>
      <c r="BQ845" s="3"/>
    </row>
    <row r="846" ht="15.75" customHeight="1">
      <c r="A846" s="34">
        <v>855.0</v>
      </c>
      <c r="B846" s="34">
        <v>102524.0</v>
      </c>
      <c r="C846" s="34" t="s">
        <v>76</v>
      </c>
      <c r="D846" s="34" t="s">
        <v>1576</v>
      </c>
      <c r="E846" s="34" t="s">
        <v>1577</v>
      </c>
      <c r="F846" s="34">
        <v>2020.0</v>
      </c>
      <c r="G846" s="34" t="s">
        <v>1578</v>
      </c>
      <c r="H846" s="34" t="s">
        <v>1544</v>
      </c>
      <c r="I846" s="34" t="s">
        <v>1579</v>
      </c>
      <c r="J846" s="35"/>
      <c r="K846" s="36">
        <v>0.87</v>
      </c>
      <c r="L846" s="36">
        <v>1.13</v>
      </c>
      <c r="M846" s="36"/>
      <c r="N846" s="36"/>
      <c r="O846" s="36"/>
      <c r="P846" s="52">
        <f t="shared" ref="P846:P847" si="82">K846/L846*100</f>
        <v>76.99115044</v>
      </c>
      <c r="Q846" s="36" t="s">
        <v>96</v>
      </c>
      <c r="R846" s="36" t="s">
        <v>96</v>
      </c>
      <c r="S846" s="36">
        <v>500.0</v>
      </c>
      <c r="T846" s="36" t="s">
        <v>245</v>
      </c>
      <c r="U846" s="36" t="s">
        <v>168</v>
      </c>
      <c r="V846" s="36"/>
      <c r="W846" s="36"/>
      <c r="X846" s="38">
        <v>1.0</v>
      </c>
      <c r="Y846" s="38" t="s">
        <v>1580</v>
      </c>
      <c r="Z846" s="38" t="s">
        <v>1581</v>
      </c>
      <c r="AA846" s="38" t="s">
        <v>637</v>
      </c>
      <c r="AB846" s="38" t="s">
        <v>1582</v>
      </c>
      <c r="AC846" s="38" t="s">
        <v>1583</v>
      </c>
      <c r="AD846" s="38" t="s">
        <v>334</v>
      </c>
      <c r="AE846" s="38">
        <v>193.0</v>
      </c>
      <c r="AF846" s="38" t="s">
        <v>1584</v>
      </c>
      <c r="AG846" s="38"/>
      <c r="AH846" s="38">
        <v>11.0</v>
      </c>
      <c r="AI846" s="50">
        <v>-6.34468</v>
      </c>
      <c r="AJ846" s="50">
        <v>-37.14559</v>
      </c>
      <c r="AK846" s="41" t="s">
        <v>288</v>
      </c>
      <c r="AL846" s="40" t="s">
        <v>288</v>
      </c>
      <c r="AM846" s="49">
        <v>155.0</v>
      </c>
      <c r="AN846" s="51">
        <v>155.0</v>
      </c>
      <c r="AO846" s="42" t="s">
        <v>304</v>
      </c>
      <c r="AP846" s="43" t="s">
        <v>304</v>
      </c>
      <c r="AQ846" s="80" t="s">
        <v>288</v>
      </c>
      <c r="AR846" s="44">
        <f t="shared" si="80"/>
        <v>155</v>
      </c>
      <c r="AS846" s="44" t="str">
        <f t="shared" si="81"/>
        <v>B</v>
      </c>
      <c r="AT846" s="44" t="str">
        <f t="shared" si="17"/>
        <v>BS</v>
      </c>
      <c r="AU846" s="44" t="str">
        <f t="shared" si="2"/>
        <v>BSh</v>
      </c>
      <c r="AV846" s="38">
        <v>1.0</v>
      </c>
      <c r="AW846" s="38"/>
      <c r="AX846" s="38" t="s">
        <v>1585</v>
      </c>
      <c r="AY846" s="38" t="s">
        <v>1586</v>
      </c>
      <c r="AZ846" s="29">
        <v>500.0</v>
      </c>
      <c r="BA846" s="29"/>
      <c r="BB846" s="29">
        <v>1.0</v>
      </c>
      <c r="BC846" s="29"/>
      <c r="BD846" s="29" t="s">
        <v>88</v>
      </c>
      <c r="BE846" s="29"/>
      <c r="BF846" s="29" t="s">
        <v>571</v>
      </c>
      <c r="BG846" s="29" t="s">
        <v>572</v>
      </c>
      <c r="BH846" s="29" t="s">
        <v>88</v>
      </c>
      <c r="BI846" s="84" t="s">
        <v>1588</v>
      </c>
      <c r="BJ846" s="29"/>
      <c r="BK846" s="29" t="s">
        <v>148</v>
      </c>
      <c r="BL846" s="29" t="s">
        <v>148</v>
      </c>
      <c r="BM846" s="45"/>
      <c r="BN846" s="45">
        <v>1.0</v>
      </c>
      <c r="BO846" s="46" t="s">
        <v>571</v>
      </c>
      <c r="BP846" s="2"/>
      <c r="BQ846" s="3"/>
    </row>
    <row r="847" ht="15.75" customHeight="1">
      <c r="A847" s="34">
        <v>856.0</v>
      </c>
      <c r="B847" s="34">
        <v>102524.0</v>
      </c>
      <c r="C847" s="34" t="s">
        <v>76</v>
      </c>
      <c r="D847" s="34" t="s">
        <v>1576</v>
      </c>
      <c r="E847" s="34" t="s">
        <v>1577</v>
      </c>
      <c r="F847" s="34">
        <v>2020.0</v>
      </c>
      <c r="G847" s="34" t="s">
        <v>1578</v>
      </c>
      <c r="H847" s="34" t="s">
        <v>1544</v>
      </c>
      <c r="I847" s="34" t="s">
        <v>1579</v>
      </c>
      <c r="J847" s="35"/>
      <c r="K847" s="36">
        <v>-0.08</v>
      </c>
      <c r="L847" s="36">
        <v>1.13</v>
      </c>
      <c r="M847" s="36"/>
      <c r="N847" s="36"/>
      <c r="O847" s="36"/>
      <c r="P847" s="52">
        <f t="shared" si="82"/>
        <v>-7.079646018</v>
      </c>
      <c r="Q847" s="36" t="s">
        <v>96</v>
      </c>
      <c r="R847" s="36" t="s">
        <v>96</v>
      </c>
      <c r="S847" s="36">
        <v>500.0</v>
      </c>
      <c r="T847" s="36" t="s">
        <v>245</v>
      </c>
      <c r="U847" s="36" t="s">
        <v>168</v>
      </c>
      <c r="V847" s="36"/>
      <c r="W847" s="36"/>
      <c r="X847" s="38">
        <v>1.0</v>
      </c>
      <c r="Y847" s="38" t="s">
        <v>1580</v>
      </c>
      <c r="Z847" s="38" t="s">
        <v>1581</v>
      </c>
      <c r="AA847" s="38" t="s">
        <v>637</v>
      </c>
      <c r="AB847" s="38" t="s">
        <v>1582</v>
      </c>
      <c r="AC847" s="38" t="s">
        <v>1583</v>
      </c>
      <c r="AD847" s="38" t="s">
        <v>334</v>
      </c>
      <c r="AE847" s="38">
        <v>193.0</v>
      </c>
      <c r="AF847" s="38" t="s">
        <v>1584</v>
      </c>
      <c r="AG847" s="38"/>
      <c r="AH847" s="38">
        <v>11.0</v>
      </c>
      <c r="AI847" s="50">
        <v>-6.34468</v>
      </c>
      <c r="AJ847" s="50">
        <v>-37.14559</v>
      </c>
      <c r="AK847" s="41" t="s">
        <v>288</v>
      </c>
      <c r="AL847" s="40" t="s">
        <v>288</v>
      </c>
      <c r="AM847" s="49">
        <v>155.0</v>
      </c>
      <c r="AN847" s="51">
        <v>155.0</v>
      </c>
      <c r="AO847" s="42" t="s">
        <v>304</v>
      </c>
      <c r="AP847" s="43" t="s">
        <v>304</v>
      </c>
      <c r="AQ847" s="80" t="s">
        <v>288</v>
      </c>
      <c r="AR847" s="44">
        <f t="shared" si="80"/>
        <v>155</v>
      </c>
      <c r="AS847" s="44" t="str">
        <f t="shared" si="81"/>
        <v>B</v>
      </c>
      <c r="AT847" s="44" t="str">
        <f t="shared" si="17"/>
        <v>BS</v>
      </c>
      <c r="AU847" s="44" t="str">
        <f t="shared" si="2"/>
        <v>BSh</v>
      </c>
      <c r="AV847" s="38">
        <v>1.0</v>
      </c>
      <c r="AW847" s="38"/>
      <c r="AX847" s="38" t="s">
        <v>1585</v>
      </c>
      <c r="AY847" s="38" t="s">
        <v>1586</v>
      </c>
      <c r="AZ847" s="29">
        <v>500.0</v>
      </c>
      <c r="BA847" s="29"/>
      <c r="BB847" s="29">
        <v>2.0</v>
      </c>
      <c r="BC847" s="29" t="s">
        <v>219</v>
      </c>
      <c r="BD847" s="29" t="s">
        <v>88</v>
      </c>
      <c r="BE847" s="29"/>
      <c r="BF847" s="29" t="s">
        <v>1589</v>
      </c>
      <c r="BG847" s="29" t="s">
        <v>220</v>
      </c>
      <c r="BH847" s="29" t="s">
        <v>88</v>
      </c>
      <c r="BI847" s="84" t="s">
        <v>1590</v>
      </c>
      <c r="BJ847" s="29"/>
      <c r="BK847" s="29" t="s">
        <v>148</v>
      </c>
      <c r="BL847" s="29" t="s">
        <v>148</v>
      </c>
      <c r="BM847" s="45"/>
      <c r="BN847" s="45">
        <v>1.0</v>
      </c>
      <c r="BO847" s="46" t="s">
        <v>148</v>
      </c>
      <c r="BP847" s="2"/>
      <c r="BQ847" s="3"/>
    </row>
    <row r="848" ht="15.75" customHeight="1">
      <c r="A848" s="34">
        <v>857.0</v>
      </c>
      <c r="B848" s="34">
        <v>103376.0</v>
      </c>
      <c r="C848" s="34" t="s">
        <v>76</v>
      </c>
      <c r="D848" s="34" t="s">
        <v>1591</v>
      </c>
      <c r="E848" s="34" t="s">
        <v>1592</v>
      </c>
      <c r="F848" s="34">
        <v>2017.0</v>
      </c>
      <c r="G848" s="34" t="s">
        <v>1593</v>
      </c>
      <c r="H848" s="34" t="s">
        <v>251</v>
      </c>
      <c r="I848" s="34" t="s">
        <v>1594</v>
      </c>
      <c r="J848" s="35"/>
      <c r="K848" s="36">
        <f>2.8-L848</f>
        <v>1.89</v>
      </c>
      <c r="L848" s="36">
        <v>0.91</v>
      </c>
      <c r="M848" s="36"/>
      <c r="N848" s="36"/>
      <c r="O848" s="36"/>
      <c r="P848" s="86">
        <f t="shared" ref="P848:P851" si="83">K848*100/L848</f>
        <v>207.6923077</v>
      </c>
      <c r="Q848" s="36" t="s">
        <v>96</v>
      </c>
      <c r="R848" s="36" t="s">
        <v>96</v>
      </c>
      <c r="S848" s="36">
        <v>1000.0</v>
      </c>
      <c r="T848" s="36" t="s">
        <v>1595</v>
      </c>
      <c r="U848" s="36" t="s">
        <v>1596</v>
      </c>
      <c r="V848" s="36">
        <v>6.0</v>
      </c>
      <c r="W848" s="36"/>
      <c r="X848" s="38">
        <v>1.0</v>
      </c>
      <c r="Y848" s="38" t="s">
        <v>1597</v>
      </c>
      <c r="Z848" s="38" t="s">
        <v>1598</v>
      </c>
      <c r="AA848" s="38"/>
      <c r="AB848" s="38" t="s">
        <v>1599</v>
      </c>
      <c r="AC848" s="38" t="s">
        <v>1600</v>
      </c>
      <c r="AD848" s="38" t="s">
        <v>367</v>
      </c>
      <c r="AE848" s="38"/>
      <c r="AF848" s="38" t="s">
        <v>1601</v>
      </c>
      <c r="AG848" s="38"/>
      <c r="AH848" s="38">
        <v>2.0</v>
      </c>
      <c r="AI848" s="50">
        <v>-23.401</v>
      </c>
      <c r="AJ848" s="50">
        <v>31.16</v>
      </c>
      <c r="AK848" s="41" t="s">
        <v>291</v>
      </c>
      <c r="AL848" s="40" t="s">
        <v>291</v>
      </c>
      <c r="AM848" s="49">
        <v>388.0</v>
      </c>
      <c r="AN848" s="51">
        <v>388.0</v>
      </c>
      <c r="AO848" s="42" t="s">
        <v>304</v>
      </c>
      <c r="AP848" s="43" t="s">
        <v>304</v>
      </c>
      <c r="AQ848" s="80" t="s">
        <v>291</v>
      </c>
      <c r="AR848" s="44">
        <f t="shared" si="80"/>
        <v>388</v>
      </c>
      <c r="AS848" s="44" t="str">
        <f t="shared" si="81"/>
        <v>B</v>
      </c>
      <c r="AT848" s="44" t="str">
        <f t="shared" si="17"/>
        <v>BS</v>
      </c>
      <c r="AU848" s="44" t="str">
        <f t="shared" si="2"/>
        <v>BSh</v>
      </c>
      <c r="AV848" s="38">
        <v>1.0</v>
      </c>
      <c r="AW848" s="38"/>
      <c r="AX848" s="38"/>
      <c r="AY848" s="38" t="s">
        <v>92</v>
      </c>
      <c r="AZ848" s="29">
        <v>1000.0</v>
      </c>
      <c r="BA848" s="29"/>
      <c r="BB848" s="29">
        <v>1.0</v>
      </c>
      <c r="BC848" s="29" t="s">
        <v>1602</v>
      </c>
      <c r="BD848" s="29" t="s">
        <v>88</v>
      </c>
      <c r="BE848" s="29"/>
      <c r="BF848" s="29" t="s">
        <v>936</v>
      </c>
      <c r="BG848" s="29" t="s">
        <v>572</v>
      </c>
      <c r="BH848" s="29" t="s">
        <v>88</v>
      </c>
      <c r="BI848" s="29" t="s">
        <v>1438</v>
      </c>
      <c r="BJ848" s="29"/>
      <c r="BK848" s="29" t="s">
        <v>148</v>
      </c>
      <c r="BL848" s="29" t="s">
        <v>148</v>
      </c>
      <c r="BM848" s="45"/>
      <c r="BN848" s="45">
        <v>1.0</v>
      </c>
      <c r="BO848" s="46" t="s">
        <v>936</v>
      </c>
      <c r="BP848" s="2"/>
      <c r="BQ848" s="3"/>
    </row>
    <row r="849" ht="15.75" customHeight="1">
      <c r="A849" s="34">
        <v>858.0</v>
      </c>
      <c r="B849" s="34">
        <v>103376.0</v>
      </c>
      <c r="C849" s="34" t="s">
        <v>76</v>
      </c>
      <c r="D849" s="34" t="s">
        <v>1591</v>
      </c>
      <c r="E849" s="34" t="s">
        <v>1592</v>
      </c>
      <c r="F849" s="34">
        <v>2017.0</v>
      </c>
      <c r="G849" s="34" t="s">
        <v>1593</v>
      </c>
      <c r="H849" s="34" t="s">
        <v>251</v>
      </c>
      <c r="I849" s="34" t="s">
        <v>1594</v>
      </c>
      <c r="J849" s="35"/>
      <c r="K849" s="36">
        <f>3.23-L849</f>
        <v>2.32</v>
      </c>
      <c r="L849" s="36">
        <v>0.91</v>
      </c>
      <c r="M849" s="36"/>
      <c r="N849" s="36"/>
      <c r="O849" s="36"/>
      <c r="P849" s="86">
        <f t="shared" si="83"/>
        <v>254.9450549</v>
      </c>
      <c r="Q849" s="36" t="s">
        <v>96</v>
      </c>
      <c r="R849" s="36" t="s">
        <v>96</v>
      </c>
      <c r="S849" s="36">
        <v>1000.0</v>
      </c>
      <c r="T849" s="36" t="s">
        <v>1595</v>
      </c>
      <c r="U849" s="36" t="s">
        <v>1596</v>
      </c>
      <c r="V849" s="36">
        <v>6.0</v>
      </c>
      <c r="W849" s="36"/>
      <c r="X849" s="38">
        <v>1.0</v>
      </c>
      <c r="Y849" s="38" t="s">
        <v>1597</v>
      </c>
      <c r="Z849" s="38" t="s">
        <v>1598</v>
      </c>
      <c r="AA849" s="38"/>
      <c r="AB849" s="38" t="s">
        <v>1599</v>
      </c>
      <c r="AC849" s="38" t="s">
        <v>1600</v>
      </c>
      <c r="AD849" s="38" t="s">
        <v>367</v>
      </c>
      <c r="AE849" s="38"/>
      <c r="AF849" s="38" t="s">
        <v>1601</v>
      </c>
      <c r="AG849" s="38"/>
      <c r="AH849" s="38">
        <v>2.0</v>
      </c>
      <c r="AI849" s="50">
        <v>-23.401</v>
      </c>
      <c r="AJ849" s="50">
        <v>31.16</v>
      </c>
      <c r="AK849" s="41" t="s">
        <v>291</v>
      </c>
      <c r="AL849" s="40" t="s">
        <v>291</v>
      </c>
      <c r="AM849" s="49">
        <v>388.0</v>
      </c>
      <c r="AN849" s="51">
        <v>388.0</v>
      </c>
      <c r="AO849" s="42" t="s">
        <v>304</v>
      </c>
      <c r="AP849" s="43" t="s">
        <v>304</v>
      </c>
      <c r="AQ849" s="80" t="s">
        <v>291</v>
      </c>
      <c r="AR849" s="44">
        <f t="shared" si="80"/>
        <v>388</v>
      </c>
      <c r="AS849" s="44" t="str">
        <f t="shared" si="81"/>
        <v>B</v>
      </c>
      <c r="AT849" s="44" t="str">
        <f t="shared" si="17"/>
        <v>BS</v>
      </c>
      <c r="AU849" s="44" t="str">
        <f t="shared" si="2"/>
        <v>BSh</v>
      </c>
      <c r="AV849" s="38">
        <v>1.0</v>
      </c>
      <c r="AW849" s="38"/>
      <c r="AX849" s="38"/>
      <c r="AY849" s="38" t="s">
        <v>92</v>
      </c>
      <c r="AZ849" s="29">
        <v>1000.0</v>
      </c>
      <c r="BA849" s="29"/>
      <c r="BB849" s="29">
        <v>1.0</v>
      </c>
      <c r="BC849" s="29" t="s">
        <v>1602</v>
      </c>
      <c r="BD849" s="29" t="s">
        <v>88</v>
      </c>
      <c r="BE849" s="29"/>
      <c r="BF849" s="29" t="s">
        <v>936</v>
      </c>
      <c r="BG849" s="29" t="s">
        <v>572</v>
      </c>
      <c r="BH849" s="29" t="s">
        <v>88</v>
      </c>
      <c r="BI849" s="29" t="s">
        <v>1438</v>
      </c>
      <c r="BJ849" s="29"/>
      <c r="BK849" s="29" t="s">
        <v>148</v>
      </c>
      <c r="BL849" s="29" t="s">
        <v>148</v>
      </c>
      <c r="BM849" s="45"/>
      <c r="BN849" s="45">
        <v>1.0</v>
      </c>
      <c r="BO849" s="46"/>
      <c r="BP849" s="2"/>
      <c r="BQ849" s="3"/>
    </row>
    <row r="850" ht="15.75" customHeight="1">
      <c r="A850" s="34">
        <v>859.0</v>
      </c>
      <c r="B850" s="34">
        <v>103376.0</v>
      </c>
      <c r="C850" s="34" t="s">
        <v>76</v>
      </c>
      <c r="D850" s="34" t="s">
        <v>1591</v>
      </c>
      <c r="E850" s="34" t="s">
        <v>1592</v>
      </c>
      <c r="F850" s="34">
        <v>2017.0</v>
      </c>
      <c r="G850" s="34" t="s">
        <v>1593</v>
      </c>
      <c r="H850" s="34" t="s">
        <v>251</v>
      </c>
      <c r="I850" s="34" t="s">
        <v>1594</v>
      </c>
      <c r="J850" s="35"/>
      <c r="K850" s="36">
        <f>2.82-L850</f>
        <v>0.2</v>
      </c>
      <c r="L850" s="36">
        <v>2.62</v>
      </c>
      <c r="M850" s="36"/>
      <c r="N850" s="36"/>
      <c r="O850" s="36"/>
      <c r="P850" s="52">
        <f t="shared" si="83"/>
        <v>7.633587786</v>
      </c>
      <c r="Q850" s="36" t="s">
        <v>96</v>
      </c>
      <c r="R850" s="36" t="s">
        <v>96</v>
      </c>
      <c r="S850" s="36">
        <v>30.0</v>
      </c>
      <c r="T850" s="36" t="s">
        <v>1603</v>
      </c>
      <c r="U850" s="36" t="s">
        <v>1604</v>
      </c>
      <c r="V850" s="36">
        <v>7.0</v>
      </c>
      <c r="W850" s="36"/>
      <c r="X850" s="38">
        <v>1.0</v>
      </c>
      <c r="Y850" s="38" t="s">
        <v>1605</v>
      </c>
      <c r="Z850" s="38" t="s">
        <v>1606</v>
      </c>
      <c r="AA850" s="38"/>
      <c r="AB850" s="38" t="s">
        <v>1607</v>
      </c>
      <c r="AC850" s="38" t="s">
        <v>1608</v>
      </c>
      <c r="AD850" s="38" t="s">
        <v>367</v>
      </c>
      <c r="AE850" s="38"/>
      <c r="AF850" s="38" t="s">
        <v>1609</v>
      </c>
      <c r="AG850" s="38"/>
      <c r="AH850" s="38">
        <v>2.0</v>
      </c>
      <c r="AI850" s="50">
        <v>-23.3958</v>
      </c>
      <c r="AJ850" s="50">
        <v>31.142</v>
      </c>
      <c r="AK850" s="41" t="s">
        <v>291</v>
      </c>
      <c r="AL850" s="40" t="s">
        <v>291</v>
      </c>
      <c r="AM850" s="49">
        <v>407.0</v>
      </c>
      <c r="AN850" s="51">
        <v>407.0</v>
      </c>
      <c r="AO850" s="42" t="s">
        <v>304</v>
      </c>
      <c r="AP850" s="43" t="s">
        <v>304</v>
      </c>
      <c r="AQ850" s="80" t="s">
        <v>291</v>
      </c>
      <c r="AR850" s="44">
        <f t="shared" si="80"/>
        <v>407</v>
      </c>
      <c r="AS850" s="44" t="str">
        <f t="shared" si="81"/>
        <v>B</v>
      </c>
      <c r="AT850" s="44" t="str">
        <f t="shared" si="17"/>
        <v>BS</v>
      </c>
      <c r="AU850" s="44" t="str">
        <f t="shared" si="2"/>
        <v>BSh</v>
      </c>
      <c r="AV850" s="38">
        <v>1.0</v>
      </c>
      <c r="AW850" s="38"/>
      <c r="AX850" s="38"/>
      <c r="AY850" s="38" t="s">
        <v>92</v>
      </c>
      <c r="AZ850" s="29">
        <v>30.0</v>
      </c>
      <c r="BA850" s="29"/>
      <c r="BB850" s="29">
        <v>1.0</v>
      </c>
      <c r="BC850" s="29" t="s">
        <v>1610</v>
      </c>
      <c r="BD850" s="29" t="s">
        <v>88</v>
      </c>
      <c r="BE850" s="29"/>
      <c r="BF850" s="29" t="s">
        <v>936</v>
      </c>
      <c r="BG850" s="29" t="s">
        <v>572</v>
      </c>
      <c r="BH850" s="29" t="s">
        <v>88</v>
      </c>
      <c r="BI850" s="29" t="s">
        <v>1438</v>
      </c>
      <c r="BJ850" s="29"/>
      <c r="BK850" s="29" t="s">
        <v>148</v>
      </c>
      <c r="BL850" s="29" t="s">
        <v>1178</v>
      </c>
      <c r="BM850" s="45"/>
      <c r="BN850" s="45">
        <v>1.0</v>
      </c>
      <c r="BO850" s="46"/>
      <c r="BP850" s="2"/>
      <c r="BQ850" s="3"/>
    </row>
    <row r="851" ht="15.75" customHeight="1">
      <c r="A851" s="34">
        <v>860.0</v>
      </c>
      <c r="B851" s="34">
        <v>103376.0</v>
      </c>
      <c r="C851" s="34" t="s">
        <v>76</v>
      </c>
      <c r="D851" s="34" t="s">
        <v>1591</v>
      </c>
      <c r="E851" s="34" t="s">
        <v>1592</v>
      </c>
      <c r="F851" s="34">
        <v>2017.0</v>
      </c>
      <c r="G851" s="34" t="s">
        <v>1593</v>
      </c>
      <c r="H851" s="34" t="s">
        <v>251</v>
      </c>
      <c r="I851" s="34" t="s">
        <v>1594</v>
      </c>
      <c r="J851" s="35"/>
      <c r="K851" s="36">
        <f>3.64-L851</f>
        <v>1.02</v>
      </c>
      <c r="L851" s="36">
        <v>2.62</v>
      </c>
      <c r="M851" s="36"/>
      <c r="N851" s="36"/>
      <c r="O851" s="36"/>
      <c r="P851" s="52">
        <f t="shared" si="83"/>
        <v>38.93129771</v>
      </c>
      <c r="Q851" s="36" t="s">
        <v>96</v>
      </c>
      <c r="R851" s="36" t="s">
        <v>96</v>
      </c>
      <c r="S851" s="36">
        <v>30.0</v>
      </c>
      <c r="T851" s="36" t="s">
        <v>1603</v>
      </c>
      <c r="U851" s="36" t="s">
        <v>1604</v>
      </c>
      <c r="V851" s="36">
        <v>7.0</v>
      </c>
      <c r="W851" s="36"/>
      <c r="X851" s="38">
        <v>1.0</v>
      </c>
      <c r="Y851" s="38" t="s">
        <v>1605</v>
      </c>
      <c r="Z851" s="38" t="s">
        <v>1606</v>
      </c>
      <c r="AA851" s="38"/>
      <c r="AB851" s="38" t="s">
        <v>1607</v>
      </c>
      <c r="AC851" s="38" t="s">
        <v>1608</v>
      </c>
      <c r="AD851" s="38" t="s">
        <v>367</v>
      </c>
      <c r="AE851" s="38"/>
      <c r="AF851" s="38" t="s">
        <v>1609</v>
      </c>
      <c r="AG851" s="38"/>
      <c r="AH851" s="38">
        <v>2.0</v>
      </c>
      <c r="AI851" s="50">
        <v>-23.3958</v>
      </c>
      <c r="AJ851" s="50">
        <v>31.142</v>
      </c>
      <c r="AK851" s="41" t="s">
        <v>291</v>
      </c>
      <c r="AL851" s="40" t="s">
        <v>291</v>
      </c>
      <c r="AM851" s="49">
        <v>407.0</v>
      </c>
      <c r="AN851" s="51">
        <v>407.0</v>
      </c>
      <c r="AO851" s="42" t="s">
        <v>304</v>
      </c>
      <c r="AP851" s="43" t="s">
        <v>304</v>
      </c>
      <c r="AQ851" s="80" t="s">
        <v>291</v>
      </c>
      <c r="AR851" s="44">
        <f t="shared" si="80"/>
        <v>407</v>
      </c>
      <c r="AS851" s="44" t="str">
        <f t="shared" si="81"/>
        <v>B</v>
      </c>
      <c r="AT851" s="44" t="str">
        <f t="shared" si="17"/>
        <v>BS</v>
      </c>
      <c r="AU851" s="44" t="str">
        <f t="shared" si="2"/>
        <v>BSh</v>
      </c>
      <c r="AV851" s="38">
        <v>1.0</v>
      </c>
      <c r="AW851" s="38"/>
      <c r="AX851" s="38"/>
      <c r="AY851" s="38" t="s">
        <v>92</v>
      </c>
      <c r="AZ851" s="29">
        <v>30.0</v>
      </c>
      <c r="BA851" s="29"/>
      <c r="BB851" s="29">
        <v>1.0</v>
      </c>
      <c r="BC851" s="29" t="s">
        <v>1610</v>
      </c>
      <c r="BD851" s="29" t="s">
        <v>88</v>
      </c>
      <c r="BE851" s="29"/>
      <c r="BF851" s="29" t="s">
        <v>936</v>
      </c>
      <c r="BG851" s="29" t="s">
        <v>572</v>
      </c>
      <c r="BH851" s="29" t="s">
        <v>88</v>
      </c>
      <c r="BI851" s="29" t="s">
        <v>1438</v>
      </c>
      <c r="BJ851" s="29"/>
      <c r="BK851" s="29" t="s">
        <v>148</v>
      </c>
      <c r="BL851" s="29" t="s">
        <v>1178</v>
      </c>
      <c r="BM851" s="45"/>
      <c r="BN851" s="45">
        <v>1.0</v>
      </c>
      <c r="BO851" s="46"/>
      <c r="BP851" s="2"/>
      <c r="BQ851" s="3"/>
    </row>
    <row r="852" ht="15.75" customHeight="1">
      <c r="A852" s="34">
        <v>861.0</v>
      </c>
      <c r="B852" s="34">
        <v>101898.0</v>
      </c>
      <c r="C852" s="34" t="s">
        <v>76</v>
      </c>
      <c r="D852" s="34" t="s">
        <v>1611</v>
      </c>
      <c r="E852" s="34" t="s">
        <v>1612</v>
      </c>
      <c r="F852" s="34">
        <v>2012.0</v>
      </c>
      <c r="G852" s="34" t="s">
        <v>1613</v>
      </c>
      <c r="H852" s="34" t="s">
        <v>1614</v>
      </c>
      <c r="I852" s="34" t="s">
        <v>1615</v>
      </c>
      <c r="J852" s="35"/>
      <c r="K852" s="36"/>
      <c r="L852" s="36"/>
      <c r="M852" s="36"/>
      <c r="N852" s="36"/>
      <c r="O852" s="36">
        <v>26.68</v>
      </c>
      <c r="P852" s="37">
        <v>2.07</v>
      </c>
      <c r="Q852" s="36" t="s">
        <v>1616</v>
      </c>
      <c r="R852" s="36" t="s">
        <v>96</v>
      </c>
      <c r="S852" s="36">
        <v>30.0</v>
      </c>
      <c r="T852" s="36" t="s">
        <v>1617</v>
      </c>
      <c r="U852" s="36" t="s">
        <v>1618</v>
      </c>
      <c r="V852" s="36">
        <v>10.0</v>
      </c>
      <c r="W852" s="36"/>
      <c r="X852" s="38">
        <v>1.0</v>
      </c>
      <c r="Y852" s="38" t="s">
        <v>497</v>
      </c>
      <c r="Z852" s="38" t="s">
        <v>1619</v>
      </c>
      <c r="AA852" s="38" t="s">
        <v>86</v>
      </c>
      <c r="AB852" s="38" t="s">
        <v>1620</v>
      </c>
      <c r="AC852" s="38" t="s">
        <v>1621</v>
      </c>
      <c r="AD852" s="38" t="s">
        <v>198</v>
      </c>
      <c r="AE852" s="38"/>
      <c r="AF852" s="38" t="s">
        <v>260</v>
      </c>
      <c r="AG852" s="38"/>
      <c r="AH852" s="38">
        <v>2.1</v>
      </c>
      <c r="AI852" s="50">
        <v>39.95</v>
      </c>
      <c r="AJ852" s="50">
        <v>116.5703</v>
      </c>
      <c r="AK852" s="41" t="s">
        <v>505</v>
      </c>
      <c r="AL852" s="40" t="s">
        <v>505</v>
      </c>
      <c r="AM852" s="49">
        <v>32.0</v>
      </c>
      <c r="AN852" s="51">
        <v>32.0</v>
      </c>
      <c r="AO852" s="42" t="s">
        <v>293</v>
      </c>
      <c r="AP852" s="43" t="s">
        <v>293</v>
      </c>
      <c r="AQ852" s="44" t="str">
        <f t="shared" ref="AQ852:AQ987" si="84">AA852</f>
        <v>CRO</v>
      </c>
      <c r="AR852" s="44">
        <f t="shared" si="80"/>
        <v>32</v>
      </c>
      <c r="AS852" s="44" t="str">
        <f t="shared" si="81"/>
        <v>B</v>
      </c>
      <c r="AT852" s="44" t="str">
        <f t="shared" si="17"/>
        <v>BS</v>
      </c>
      <c r="AU852" s="44" t="str">
        <f t="shared" si="2"/>
        <v>BSk</v>
      </c>
      <c r="AV852" s="38">
        <v>1.0</v>
      </c>
      <c r="AW852" s="38"/>
      <c r="AX852" s="38"/>
      <c r="AY852" s="38" t="s">
        <v>1622</v>
      </c>
      <c r="AZ852" s="29">
        <v>30.0</v>
      </c>
      <c r="BA852" s="29"/>
      <c r="BB852" s="29">
        <v>1.0</v>
      </c>
      <c r="BC852" s="29"/>
      <c r="BD852" s="29" t="s">
        <v>88</v>
      </c>
      <c r="BE852" s="29"/>
      <c r="BF852" s="29" t="s">
        <v>939</v>
      </c>
      <c r="BG852" s="29" t="s">
        <v>220</v>
      </c>
      <c r="BH852" s="29" t="s">
        <v>88</v>
      </c>
      <c r="BI852" s="29" t="s">
        <v>1623</v>
      </c>
      <c r="BJ852" s="29"/>
      <c r="BK852" s="29" t="s">
        <v>1178</v>
      </c>
      <c r="BL852" s="29" t="s">
        <v>1178</v>
      </c>
      <c r="BM852" s="45"/>
      <c r="BN852" s="45">
        <v>1.0</v>
      </c>
      <c r="BO852" s="46" t="s">
        <v>939</v>
      </c>
      <c r="BP852" s="2"/>
      <c r="BQ852" s="3"/>
    </row>
    <row r="853" ht="15.75" customHeight="1">
      <c r="A853" s="34">
        <v>862.0</v>
      </c>
      <c r="B853" s="34">
        <v>101898.0</v>
      </c>
      <c r="C853" s="34" t="s">
        <v>76</v>
      </c>
      <c r="D853" s="34" t="s">
        <v>1611</v>
      </c>
      <c r="E853" s="34" t="s">
        <v>1612</v>
      </c>
      <c r="F853" s="34">
        <v>2012.0</v>
      </c>
      <c r="G853" s="34" t="s">
        <v>1613</v>
      </c>
      <c r="H853" s="34" t="s">
        <v>1614</v>
      </c>
      <c r="I853" s="34" t="s">
        <v>1615</v>
      </c>
      <c r="J853" s="35"/>
      <c r="K853" s="36"/>
      <c r="L853" s="36"/>
      <c r="M853" s="36"/>
      <c r="N853" s="36"/>
      <c r="O853" s="36">
        <v>19.94</v>
      </c>
      <c r="P853" s="37">
        <v>-3.66</v>
      </c>
      <c r="Q853" s="36" t="s">
        <v>1616</v>
      </c>
      <c r="R853" s="36" t="s">
        <v>96</v>
      </c>
      <c r="S853" s="36">
        <v>30.0</v>
      </c>
      <c r="T853" s="36" t="s">
        <v>1624</v>
      </c>
      <c r="U853" s="36" t="s">
        <v>1625</v>
      </c>
      <c r="V853" s="36">
        <v>10.0</v>
      </c>
      <c r="W853" s="36"/>
      <c r="X853" s="38">
        <v>1.0</v>
      </c>
      <c r="Y853" s="38" t="s">
        <v>1626</v>
      </c>
      <c r="Z853" s="38" t="s">
        <v>1626</v>
      </c>
      <c r="AA853" s="38" t="s">
        <v>288</v>
      </c>
      <c r="AB853" s="38" t="s">
        <v>1627</v>
      </c>
      <c r="AC853" s="38" t="s">
        <v>1628</v>
      </c>
      <c r="AD853" s="38" t="s">
        <v>198</v>
      </c>
      <c r="AE853" s="94"/>
      <c r="AF853" s="38" t="s">
        <v>1629</v>
      </c>
      <c r="AG853" s="38"/>
      <c r="AH853" s="38">
        <v>2.1</v>
      </c>
      <c r="AI853" s="50">
        <v>40.183</v>
      </c>
      <c r="AJ853" s="50">
        <v>116.433</v>
      </c>
      <c r="AK853" s="41" t="s">
        <v>86</v>
      </c>
      <c r="AL853" s="40" t="s">
        <v>86</v>
      </c>
      <c r="AM853" s="49">
        <v>36.0</v>
      </c>
      <c r="AN853" s="51">
        <v>36.0</v>
      </c>
      <c r="AO853" s="42" t="s">
        <v>293</v>
      </c>
      <c r="AP853" s="43" t="s">
        <v>293</v>
      </c>
      <c r="AQ853" s="44" t="str">
        <f t="shared" si="84"/>
        <v>GRA</v>
      </c>
      <c r="AR853" s="44">
        <f t="shared" si="80"/>
        <v>36</v>
      </c>
      <c r="AS853" s="44" t="str">
        <f t="shared" si="81"/>
        <v>B</v>
      </c>
      <c r="AT853" s="44" t="str">
        <f t="shared" si="17"/>
        <v>BS</v>
      </c>
      <c r="AU853" s="44" t="str">
        <f t="shared" si="2"/>
        <v>BSk</v>
      </c>
      <c r="AV853" s="38">
        <v>1.0</v>
      </c>
      <c r="AW853" s="38"/>
      <c r="AX853" s="38"/>
      <c r="AY853" s="38" t="s">
        <v>1622</v>
      </c>
      <c r="AZ853" s="29">
        <v>30.0</v>
      </c>
      <c r="BA853" s="29"/>
      <c r="BB853" s="29">
        <v>1.0</v>
      </c>
      <c r="BC853" s="29"/>
      <c r="BD853" s="29" t="s">
        <v>88</v>
      </c>
      <c r="BE853" s="29"/>
      <c r="BF853" s="29" t="s">
        <v>939</v>
      </c>
      <c r="BG853" s="29" t="s">
        <v>220</v>
      </c>
      <c r="BH853" s="29" t="s">
        <v>88</v>
      </c>
      <c r="BI853" s="29" t="s">
        <v>1623</v>
      </c>
      <c r="BJ853" s="29"/>
      <c r="BK853" s="29" t="s">
        <v>1178</v>
      </c>
      <c r="BL853" s="29" t="s">
        <v>1178</v>
      </c>
      <c r="BM853" s="45"/>
      <c r="BN853" s="45">
        <v>1.0</v>
      </c>
      <c r="BO853" s="46"/>
      <c r="BP853" s="2"/>
      <c r="BQ853" s="3"/>
    </row>
    <row r="854" ht="15.75" customHeight="1">
      <c r="A854" s="34">
        <v>863.0</v>
      </c>
      <c r="B854" s="34">
        <v>101898.0</v>
      </c>
      <c r="C854" s="34" t="s">
        <v>76</v>
      </c>
      <c r="D854" s="34" t="s">
        <v>1611</v>
      </c>
      <c r="E854" s="34" t="s">
        <v>1612</v>
      </c>
      <c r="F854" s="34">
        <v>2012.0</v>
      </c>
      <c r="G854" s="34" t="s">
        <v>1613</v>
      </c>
      <c r="H854" s="34" t="s">
        <v>1614</v>
      </c>
      <c r="I854" s="34" t="s">
        <v>1615</v>
      </c>
      <c r="J854" s="35"/>
      <c r="K854" s="36"/>
      <c r="L854" s="36"/>
      <c r="M854" s="36"/>
      <c r="N854" s="36"/>
      <c r="O854" s="36"/>
      <c r="P854" s="37">
        <v>7.6</v>
      </c>
      <c r="Q854" s="36"/>
      <c r="R854" s="36" t="s">
        <v>96</v>
      </c>
      <c r="S854" s="36">
        <v>3000.0</v>
      </c>
      <c r="T854" s="36"/>
      <c r="U854" s="36"/>
      <c r="V854" s="36"/>
      <c r="W854" s="36"/>
      <c r="X854" s="38">
        <v>6.0</v>
      </c>
      <c r="Y854" s="38" t="s">
        <v>915</v>
      </c>
      <c r="Z854" s="38"/>
      <c r="AA854" s="38"/>
      <c r="AB854" s="38"/>
      <c r="AC854" s="38"/>
      <c r="AD854" s="38" t="s">
        <v>198</v>
      </c>
      <c r="AE854" s="38"/>
      <c r="AF854" s="38"/>
      <c r="AG854" s="38"/>
      <c r="AH854" s="38">
        <v>2.1</v>
      </c>
      <c r="AI854" s="50"/>
      <c r="AJ854" s="50"/>
      <c r="AK854" s="41"/>
      <c r="AL854" s="40"/>
      <c r="AM854" s="49"/>
      <c r="AN854" s="43"/>
      <c r="AO854" s="42"/>
      <c r="AP854" s="43"/>
      <c r="AQ854" s="44" t="str">
        <f t="shared" si="84"/>
        <v/>
      </c>
      <c r="AR854" s="44" t="str">
        <f t="shared" si="80"/>
        <v/>
      </c>
      <c r="AS854" s="44"/>
      <c r="AT854" s="44" t="str">
        <f t="shared" si="17"/>
        <v/>
      </c>
      <c r="AU854" s="44" t="str">
        <f t="shared" si="2"/>
        <v/>
      </c>
      <c r="AV854" s="38">
        <v>1.0</v>
      </c>
      <c r="AW854" s="38"/>
      <c r="AX854" s="38"/>
      <c r="AY854" s="38" t="s">
        <v>1622</v>
      </c>
      <c r="AZ854" s="29">
        <v>30.0</v>
      </c>
      <c r="BA854" s="29"/>
      <c r="BB854" s="29">
        <v>1.0</v>
      </c>
      <c r="BC854" s="29"/>
      <c r="BD854" s="29" t="s">
        <v>88</v>
      </c>
      <c r="BE854" s="29"/>
      <c r="BF854" s="29" t="s">
        <v>939</v>
      </c>
      <c r="BG854" s="29" t="s">
        <v>220</v>
      </c>
      <c r="BH854" s="29" t="s">
        <v>88</v>
      </c>
      <c r="BI854" s="29" t="s">
        <v>1623</v>
      </c>
      <c r="BJ854" s="29"/>
      <c r="BK854" s="29" t="s">
        <v>1178</v>
      </c>
      <c r="BL854" s="29" t="s">
        <v>1178</v>
      </c>
      <c r="BM854" s="45"/>
      <c r="BN854" s="45">
        <v>1.0</v>
      </c>
      <c r="BO854" s="46"/>
      <c r="BP854" s="2"/>
      <c r="BQ854" s="3"/>
    </row>
    <row r="855" ht="15.75" customHeight="1">
      <c r="A855" s="34">
        <v>864.0</v>
      </c>
      <c r="B855" s="34">
        <v>101898.0</v>
      </c>
      <c r="C855" s="34" t="s">
        <v>76</v>
      </c>
      <c r="D855" s="34" t="s">
        <v>1611</v>
      </c>
      <c r="E855" s="34" t="s">
        <v>1612</v>
      </c>
      <c r="F855" s="34">
        <v>2012.0</v>
      </c>
      <c r="G855" s="34" t="s">
        <v>1613</v>
      </c>
      <c r="H855" s="34" t="s">
        <v>1614</v>
      </c>
      <c r="I855" s="34" t="s">
        <v>1615</v>
      </c>
      <c r="J855" s="35"/>
      <c r="K855" s="36"/>
      <c r="L855" s="36"/>
      <c r="M855" s="36"/>
      <c r="N855" s="36"/>
      <c r="O855" s="36"/>
      <c r="P855" s="37">
        <v>3.0</v>
      </c>
      <c r="Q855" s="36"/>
      <c r="R855" s="36" t="s">
        <v>13</v>
      </c>
      <c r="S855" s="36">
        <v>3000.0</v>
      </c>
      <c r="T855" s="36"/>
      <c r="U855" s="36"/>
      <c r="V855" s="36"/>
      <c r="W855" s="36"/>
      <c r="X855" s="38">
        <v>6.0</v>
      </c>
      <c r="Y855" s="38" t="s">
        <v>915</v>
      </c>
      <c r="Z855" s="38"/>
      <c r="AA855" s="38"/>
      <c r="AB855" s="38"/>
      <c r="AC855" s="38"/>
      <c r="AD855" s="38" t="s">
        <v>198</v>
      </c>
      <c r="AE855" s="38"/>
      <c r="AF855" s="38"/>
      <c r="AG855" s="38"/>
      <c r="AH855" s="38">
        <v>2.1</v>
      </c>
      <c r="AI855" s="50"/>
      <c r="AJ855" s="50"/>
      <c r="AK855" s="41"/>
      <c r="AL855" s="40"/>
      <c r="AM855" s="49"/>
      <c r="AN855" s="43"/>
      <c r="AO855" s="42"/>
      <c r="AP855" s="43"/>
      <c r="AQ855" s="44" t="str">
        <f t="shared" si="84"/>
        <v/>
      </c>
      <c r="AR855" s="44" t="str">
        <f t="shared" si="80"/>
        <v/>
      </c>
      <c r="AS855" s="44"/>
      <c r="AT855" s="44" t="str">
        <f t="shared" si="17"/>
        <v/>
      </c>
      <c r="AU855" s="44" t="str">
        <f t="shared" si="2"/>
        <v/>
      </c>
      <c r="AV855" s="38">
        <v>1.0</v>
      </c>
      <c r="AW855" s="38"/>
      <c r="AX855" s="38"/>
      <c r="AY855" s="38" t="s">
        <v>1622</v>
      </c>
      <c r="AZ855" s="29">
        <v>30.0</v>
      </c>
      <c r="BA855" s="29"/>
      <c r="BB855" s="29">
        <v>1.0</v>
      </c>
      <c r="BC855" s="29"/>
      <c r="BD855" s="29" t="s">
        <v>88</v>
      </c>
      <c r="BE855" s="29"/>
      <c r="BF855" s="29" t="s">
        <v>939</v>
      </c>
      <c r="BG855" s="29" t="s">
        <v>220</v>
      </c>
      <c r="BH855" s="29" t="s">
        <v>88</v>
      </c>
      <c r="BI855" s="29" t="s">
        <v>1623</v>
      </c>
      <c r="BJ855" s="29"/>
      <c r="BK855" s="29" t="s">
        <v>1178</v>
      </c>
      <c r="BL855" s="29" t="s">
        <v>1178</v>
      </c>
      <c r="BM855" s="45"/>
      <c r="BN855" s="45">
        <v>1.0</v>
      </c>
      <c r="BO855" s="46"/>
      <c r="BP855" s="2"/>
      <c r="BQ855" s="3"/>
    </row>
    <row r="856" ht="15.75" customHeight="1">
      <c r="A856" s="34">
        <v>865.0</v>
      </c>
      <c r="B856" s="34">
        <v>101898.0</v>
      </c>
      <c r="C856" s="34" t="s">
        <v>76</v>
      </c>
      <c r="D856" s="34" t="s">
        <v>1611</v>
      </c>
      <c r="E856" s="34" t="s">
        <v>1612</v>
      </c>
      <c r="F856" s="34">
        <v>2012.0</v>
      </c>
      <c r="G856" s="34" t="s">
        <v>1613</v>
      </c>
      <c r="H856" s="34" t="s">
        <v>1614</v>
      </c>
      <c r="I856" s="34" t="s">
        <v>1615</v>
      </c>
      <c r="J856" s="35"/>
      <c r="K856" s="36"/>
      <c r="L856" s="36"/>
      <c r="M856" s="36"/>
      <c r="N856" s="36"/>
      <c r="O856" s="36"/>
      <c r="P856" s="37">
        <v>-5.72</v>
      </c>
      <c r="Q856" s="36"/>
      <c r="R856" s="36" t="s">
        <v>96</v>
      </c>
      <c r="S856" s="36">
        <v>3000.0</v>
      </c>
      <c r="T856" s="36" t="s">
        <v>341</v>
      </c>
      <c r="U856" s="36" t="s">
        <v>342</v>
      </c>
      <c r="V856" s="36"/>
      <c r="W856" s="36"/>
      <c r="X856" s="38">
        <v>1.0</v>
      </c>
      <c r="Y856" s="38" t="s">
        <v>819</v>
      </c>
      <c r="Z856" s="38" t="s">
        <v>1163</v>
      </c>
      <c r="AA856" s="38" t="s">
        <v>86</v>
      </c>
      <c r="AB856" s="38" t="s">
        <v>1630</v>
      </c>
      <c r="AC856" s="38" t="s">
        <v>1631</v>
      </c>
      <c r="AD856" s="38" t="s">
        <v>198</v>
      </c>
      <c r="AE856" s="53"/>
      <c r="AF856" s="38" t="s">
        <v>1632</v>
      </c>
      <c r="AG856" s="38"/>
      <c r="AH856" s="38">
        <v>2.1</v>
      </c>
      <c r="AI856" s="50">
        <v>36.515</v>
      </c>
      <c r="AJ856" s="50">
        <v>115.126</v>
      </c>
      <c r="AK856" s="41" t="s">
        <v>86</v>
      </c>
      <c r="AL856" s="40" t="s">
        <v>86</v>
      </c>
      <c r="AM856" s="49">
        <v>42.0</v>
      </c>
      <c r="AN856" s="51">
        <v>42.0</v>
      </c>
      <c r="AO856" s="42" t="s">
        <v>293</v>
      </c>
      <c r="AP856" s="43" t="s">
        <v>293</v>
      </c>
      <c r="AQ856" s="44" t="str">
        <f t="shared" si="84"/>
        <v>CRO</v>
      </c>
      <c r="AR856" s="44">
        <f t="shared" si="80"/>
        <v>42</v>
      </c>
      <c r="AS856" s="44" t="str">
        <f t="shared" ref="AS856:AS964" si="85">LEFT(AO856,1)</f>
        <v>B</v>
      </c>
      <c r="AT856" s="44" t="str">
        <f t="shared" si="17"/>
        <v>BS</v>
      </c>
      <c r="AU856" s="44" t="str">
        <f t="shared" si="2"/>
        <v>BSk</v>
      </c>
      <c r="AV856" s="38">
        <v>1.0</v>
      </c>
      <c r="AW856" s="38"/>
      <c r="AX856" s="38"/>
      <c r="AY856" s="38" t="s">
        <v>1622</v>
      </c>
      <c r="AZ856" s="29">
        <v>30.0</v>
      </c>
      <c r="BA856" s="29"/>
      <c r="BB856" s="29">
        <v>1.0</v>
      </c>
      <c r="BC856" s="29"/>
      <c r="BD856" s="29" t="s">
        <v>88</v>
      </c>
      <c r="BE856" s="29"/>
      <c r="BF856" s="29" t="s">
        <v>939</v>
      </c>
      <c r="BG856" s="29" t="s">
        <v>220</v>
      </c>
      <c r="BH856" s="29" t="s">
        <v>88</v>
      </c>
      <c r="BI856" s="29" t="s">
        <v>1623</v>
      </c>
      <c r="BJ856" s="29"/>
      <c r="BK856" s="29" t="s">
        <v>1178</v>
      </c>
      <c r="BL856" s="29" t="s">
        <v>1178</v>
      </c>
      <c r="BM856" s="45"/>
      <c r="BN856" s="45">
        <v>1.0</v>
      </c>
      <c r="BO856" s="46"/>
      <c r="BP856" s="2"/>
      <c r="BQ856" s="3"/>
    </row>
    <row r="857" ht="15.75" customHeight="1">
      <c r="A857" s="34">
        <v>866.0</v>
      </c>
      <c r="B857" s="34">
        <v>101898.0</v>
      </c>
      <c r="C857" s="34" t="s">
        <v>76</v>
      </c>
      <c r="D857" s="34" t="s">
        <v>1611</v>
      </c>
      <c r="E857" s="34" t="s">
        <v>1612</v>
      </c>
      <c r="F857" s="34">
        <v>2012.0</v>
      </c>
      <c r="G857" s="34" t="s">
        <v>1613</v>
      </c>
      <c r="H857" s="34" t="s">
        <v>1614</v>
      </c>
      <c r="I857" s="34" t="s">
        <v>1615</v>
      </c>
      <c r="J857" s="35"/>
      <c r="K857" s="36"/>
      <c r="L857" s="36"/>
      <c r="M857" s="36"/>
      <c r="N857" s="36"/>
      <c r="O857" s="36"/>
      <c r="P857" s="37">
        <v>4.49</v>
      </c>
      <c r="Q857" s="36"/>
      <c r="R857" s="36" t="s">
        <v>191</v>
      </c>
      <c r="S857" s="36">
        <v>3000.0</v>
      </c>
      <c r="T857" s="36" t="s">
        <v>341</v>
      </c>
      <c r="U857" s="36" t="s">
        <v>342</v>
      </c>
      <c r="V857" s="36"/>
      <c r="W857" s="36"/>
      <c r="X857" s="38">
        <v>1.0</v>
      </c>
      <c r="Y857" s="38" t="s">
        <v>819</v>
      </c>
      <c r="Z857" s="38" t="s">
        <v>1163</v>
      </c>
      <c r="AA857" s="38" t="s">
        <v>86</v>
      </c>
      <c r="AB857" s="38" t="s">
        <v>1630</v>
      </c>
      <c r="AC857" s="38" t="s">
        <v>1631</v>
      </c>
      <c r="AD857" s="38" t="s">
        <v>198</v>
      </c>
      <c r="AE857" s="53"/>
      <c r="AF857" s="38" t="s">
        <v>1632</v>
      </c>
      <c r="AG857" s="38"/>
      <c r="AH857" s="38">
        <v>2.1</v>
      </c>
      <c r="AI857" s="50">
        <v>36.515</v>
      </c>
      <c r="AJ857" s="50">
        <v>115.126</v>
      </c>
      <c r="AK857" s="41" t="s">
        <v>86</v>
      </c>
      <c r="AL857" s="40" t="s">
        <v>86</v>
      </c>
      <c r="AM857" s="49">
        <v>42.0</v>
      </c>
      <c r="AN857" s="51">
        <v>42.0</v>
      </c>
      <c r="AO857" s="42" t="s">
        <v>293</v>
      </c>
      <c r="AP857" s="43" t="s">
        <v>293</v>
      </c>
      <c r="AQ857" s="44" t="str">
        <f t="shared" si="84"/>
        <v>CRO</v>
      </c>
      <c r="AR857" s="44">
        <f t="shared" si="80"/>
        <v>42</v>
      </c>
      <c r="AS857" s="44" t="str">
        <f t="shared" si="85"/>
        <v>B</v>
      </c>
      <c r="AT857" s="44" t="str">
        <f t="shared" si="17"/>
        <v>BS</v>
      </c>
      <c r="AU857" s="44" t="str">
        <f t="shared" si="2"/>
        <v>BSk</v>
      </c>
      <c r="AV857" s="38">
        <v>1.0</v>
      </c>
      <c r="AW857" s="38"/>
      <c r="AX857" s="38"/>
      <c r="AY857" s="38" t="s">
        <v>1622</v>
      </c>
      <c r="AZ857" s="29">
        <v>30.0</v>
      </c>
      <c r="BA857" s="29"/>
      <c r="BB857" s="29">
        <v>1.0</v>
      </c>
      <c r="BC857" s="29"/>
      <c r="BD857" s="29" t="s">
        <v>88</v>
      </c>
      <c r="BE857" s="29"/>
      <c r="BF857" s="29" t="s">
        <v>939</v>
      </c>
      <c r="BG857" s="29" t="s">
        <v>220</v>
      </c>
      <c r="BH857" s="29" t="s">
        <v>88</v>
      </c>
      <c r="BI857" s="29" t="s">
        <v>1623</v>
      </c>
      <c r="BJ857" s="29"/>
      <c r="BK857" s="29" t="s">
        <v>1178</v>
      </c>
      <c r="BL857" s="29" t="s">
        <v>1178</v>
      </c>
      <c r="BM857" s="45"/>
      <c r="BN857" s="45">
        <v>1.0</v>
      </c>
      <c r="BO857" s="46"/>
      <c r="BP857" s="2"/>
      <c r="BQ857" s="3"/>
    </row>
    <row r="858" ht="15.75" customHeight="1">
      <c r="A858" s="34">
        <v>867.0</v>
      </c>
      <c r="B858" s="34">
        <v>101898.0</v>
      </c>
      <c r="C858" s="34" t="s">
        <v>76</v>
      </c>
      <c r="D858" s="34" t="s">
        <v>1611</v>
      </c>
      <c r="E858" s="34" t="s">
        <v>1612</v>
      </c>
      <c r="F858" s="34">
        <v>2012.0</v>
      </c>
      <c r="G858" s="34" t="s">
        <v>1613</v>
      </c>
      <c r="H858" s="34" t="s">
        <v>1614</v>
      </c>
      <c r="I858" s="34" t="s">
        <v>1615</v>
      </c>
      <c r="J858" s="35"/>
      <c r="K858" s="36"/>
      <c r="L858" s="36"/>
      <c r="M858" s="36"/>
      <c r="N858" s="36"/>
      <c r="O858" s="36"/>
      <c r="P858" s="37">
        <v>-17.7</v>
      </c>
      <c r="Q858" s="36"/>
      <c r="R858" s="36" t="s">
        <v>96</v>
      </c>
      <c r="S858" s="36">
        <v>3000.0</v>
      </c>
      <c r="T858" s="36" t="s">
        <v>350</v>
      </c>
      <c r="U858" s="36" t="s">
        <v>676</v>
      </c>
      <c r="V858" s="36"/>
      <c r="W858" s="36"/>
      <c r="X858" s="38">
        <v>1.0</v>
      </c>
      <c r="Y858" s="38" t="s">
        <v>1633</v>
      </c>
      <c r="Z858" s="38" t="s">
        <v>1633</v>
      </c>
      <c r="AA858" s="38" t="s">
        <v>86</v>
      </c>
      <c r="AB858" s="38" t="s">
        <v>1634</v>
      </c>
      <c r="AC858" s="38" t="s">
        <v>1635</v>
      </c>
      <c r="AD858" s="38" t="s">
        <v>198</v>
      </c>
      <c r="AE858" s="38"/>
      <c r="AF858" s="38" t="s">
        <v>1632</v>
      </c>
      <c r="AG858" s="38"/>
      <c r="AH858" s="38">
        <v>2.1</v>
      </c>
      <c r="AI858" s="50">
        <v>37.88</v>
      </c>
      <c r="AJ858" s="50">
        <v>114.68</v>
      </c>
      <c r="AK858" s="41" t="s">
        <v>505</v>
      </c>
      <c r="AL858" s="40" t="s">
        <v>505</v>
      </c>
      <c r="AM858" s="49">
        <v>55.0</v>
      </c>
      <c r="AN858" s="51">
        <v>55.0</v>
      </c>
      <c r="AO858" s="42" t="s">
        <v>293</v>
      </c>
      <c r="AP858" s="43" t="s">
        <v>293</v>
      </c>
      <c r="AQ858" s="44" t="str">
        <f t="shared" si="84"/>
        <v>CRO</v>
      </c>
      <c r="AR858" s="44">
        <f t="shared" si="80"/>
        <v>55</v>
      </c>
      <c r="AS858" s="44" t="str">
        <f t="shared" si="85"/>
        <v>B</v>
      </c>
      <c r="AT858" s="44" t="str">
        <f t="shared" si="17"/>
        <v>BS</v>
      </c>
      <c r="AU858" s="44" t="str">
        <f t="shared" si="2"/>
        <v>BSk</v>
      </c>
      <c r="AV858" s="38">
        <v>1.0</v>
      </c>
      <c r="AW858" s="38"/>
      <c r="AX858" s="38"/>
      <c r="AY858" s="38" t="s">
        <v>1622</v>
      </c>
      <c r="AZ858" s="29">
        <v>30.0</v>
      </c>
      <c r="BA858" s="29"/>
      <c r="BB858" s="29">
        <v>1.0</v>
      </c>
      <c r="BC858" s="29"/>
      <c r="BD858" s="29" t="s">
        <v>88</v>
      </c>
      <c r="BE858" s="29"/>
      <c r="BF858" s="29" t="s">
        <v>939</v>
      </c>
      <c r="BG858" s="29" t="s">
        <v>220</v>
      </c>
      <c r="BH858" s="29" t="s">
        <v>88</v>
      </c>
      <c r="BI858" s="29" t="s">
        <v>1623</v>
      </c>
      <c r="BJ858" s="29"/>
      <c r="BK858" s="29" t="s">
        <v>1178</v>
      </c>
      <c r="BL858" s="29" t="s">
        <v>1178</v>
      </c>
      <c r="BM858" s="45"/>
      <c r="BN858" s="45">
        <v>1.0</v>
      </c>
      <c r="BO858" s="46"/>
      <c r="BP858" s="2"/>
      <c r="BQ858" s="3"/>
    </row>
    <row r="859" ht="15.75" customHeight="1">
      <c r="A859" s="34">
        <v>868.0</v>
      </c>
      <c r="B859" s="34">
        <v>101898.0</v>
      </c>
      <c r="C859" s="34" t="s">
        <v>76</v>
      </c>
      <c r="D859" s="34" t="s">
        <v>1611</v>
      </c>
      <c r="E859" s="34" t="s">
        <v>1612</v>
      </c>
      <c r="F859" s="34">
        <v>2012.0</v>
      </c>
      <c r="G859" s="34" t="s">
        <v>1613</v>
      </c>
      <c r="H859" s="34" t="s">
        <v>1614</v>
      </c>
      <c r="I859" s="34" t="s">
        <v>1615</v>
      </c>
      <c r="J859" s="35"/>
      <c r="K859" s="36"/>
      <c r="L859" s="36"/>
      <c r="M859" s="36"/>
      <c r="N859" s="36"/>
      <c r="O859" s="36"/>
      <c r="P859" s="37">
        <v>7.41</v>
      </c>
      <c r="Q859" s="36"/>
      <c r="R859" s="36" t="s">
        <v>191</v>
      </c>
      <c r="S859" s="36">
        <v>3000.0</v>
      </c>
      <c r="T859" s="36" t="s">
        <v>350</v>
      </c>
      <c r="U859" s="36" t="s">
        <v>676</v>
      </c>
      <c r="V859" s="36"/>
      <c r="W859" s="36"/>
      <c r="X859" s="38">
        <v>1.0</v>
      </c>
      <c r="Y859" s="38" t="s">
        <v>1633</v>
      </c>
      <c r="Z859" s="38" t="s">
        <v>1633</v>
      </c>
      <c r="AA859" s="38" t="s">
        <v>86</v>
      </c>
      <c r="AB859" s="38" t="s">
        <v>1634</v>
      </c>
      <c r="AC859" s="38" t="s">
        <v>1635</v>
      </c>
      <c r="AD859" s="38" t="s">
        <v>198</v>
      </c>
      <c r="AE859" s="38"/>
      <c r="AF859" s="38" t="s">
        <v>1632</v>
      </c>
      <c r="AG859" s="38"/>
      <c r="AH859" s="38">
        <v>2.1</v>
      </c>
      <c r="AI859" s="50">
        <v>37.88</v>
      </c>
      <c r="AJ859" s="50">
        <v>114.68</v>
      </c>
      <c r="AK859" s="41" t="s">
        <v>505</v>
      </c>
      <c r="AL859" s="40" t="s">
        <v>505</v>
      </c>
      <c r="AM859" s="49">
        <v>55.0</v>
      </c>
      <c r="AN859" s="51">
        <v>55.0</v>
      </c>
      <c r="AO859" s="42" t="s">
        <v>293</v>
      </c>
      <c r="AP859" s="43" t="s">
        <v>293</v>
      </c>
      <c r="AQ859" s="44" t="str">
        <f t="shared" si="84"/>
        <v>CRO</v>
      </c>
      <c r="AR859" s="44">
        <f t="shared" si="80"/>
        <v>55</v>
      </c>
      <c r="AS859" s="44" t="str">
        <f t="shared" si="85"/>
        <v>B</v>
      </c>
      <c r="AT859" s="44" t="str">
        <f t="shared" si="17"/>
        <v>BS</v>
      </c>
      <c r="AU859" s="44" t="str">
        <f t="shared" si="2"/>
        <v>BSk</v>
      </c>
      <c r="AV859" s="38">
        <v>1.0</v>
      </c>
      <c r="AW859" s="38"/>
      <c r="AX859" s="38"/>
      <c r="AY859" s="38" t="s">
        <v>1622</v>
      </c>
      <c r="AZ859" s="29">
        <v>30.0</v>
      </c>
      <c r="BA859" s="29"/>
      <c r="BB859" s="29">
        <v>1.0</v>
      </c>
      <c r="BC859" s="29"/>
      <c r="BD859" s="29" t="s">
        <v>88</v>
      </c>
      <c r="BE859" s="29"/>
      <c r="BF859" s="29" t="s">
        <v>939</v>
      </c>
      <c r="BG859" s="29" t="s">
        <v>220</v>
      </c>
      <c r="BH859" s="29" t="s">
        <v>88</v>
      </c>
      <c r="BI859" s="29" t="s">
        <v>1623</v>
      </c>
      <c r="BJ859" s="29"/>
      <c r="BK859" s="29" t="s">
        <v>1178</v>
      </c>
      <c r="BL859" s="29" t="s">
        <v>1178</v>
      </c>
      <c r="BM859" s="45"/>
      <c r="BN859" s="45">
        <v>1.0</v>
      </c>
      <c r="BO859" s="46"/>
      <c r="BP859" s="2"/>
      <c r="BQ859" s="3"/>
    </row>
    <row r="860" ht="15.75" customHeight="1">
      <c r="A860" s="34">
        <v>869.0</v>
      </c>
      <c r="B860" s="34">
        <v>101898.0</v>
      </c>
      <c r="C860" s="34" t="s">
        <v>76</v>
      </c>
      <c r="D860" s="34" t="s">
        <v>1611</v>
      </c>
      <c r="E860" s="34" t="s">
        <v>1612</v>
      </c>
      <c r="F860" s="34">
        <v>2012.0</v>
      </c>
      <c r="G860" s="34" t="s">
        <v>1613</v>
      </c>
      <c r="H860" s="34" t="s">
        <v>1614</v>
      </c>
      <c r="I860" s="34" t="s">
        <v>1615</v>
      </c>
      <c r="J860" s="35"/>
      <c r="K860" s="36"/>
      <c r="L860" s="36"/>
      <c r="M860" s="36"/>
      <c r="N860" s="36"/>
      <c r="O860" s="36"/>
      <c r="P860" s="37">
        <v>15.4</v>
      </c>
      <c r="Q860" s="36"/>
      <c r="R860" s="36" t="s">
        <v>96</v>
      </c>
      <c r="S860" s="36">
        <v>3000.0</v>
      </c>
      <c r="T860" s="36" t="s">
        <v>341</v>
      </c>
      <c r="U860" s="36" t="s">
        <v>342</v>
      </c>
      <c r="V860" s="36"/>
      <c r="W860" s="36"/>
      <c r="X860" s="38">
        <v>1.0</v>
      </c>
      <c r="Y860" s="38" t="s">
        <v>497</v>
      </c>
      <c r="Z860" s="38" t="s">
        <v>1619</v>
      </c>
      <c r="AA860" s="38" t="s">
        <v>86</v>
      </c>
      <c r="AB860" s="38" t="s">
        <v>1620</v>
      </c>
      <c r="AC860" s="38" t="s">
        <v>1621</v>
      </c>
      <c r="AD860" s="38" t="s">
        <v>198</v>
      </c>
      <c r="AE860" s="38"/>
      <c r="AF860" s="38" t="s">
        <v>260</v>
      </c>
      <c r="AG860" s="38"/>
      <c r="AH860" s="38">
        <v>2.1</v>
      </c>
      <c r="AI860" s="50">
        <v>39.95</v>
      </c>
      <c r="AJ860" s="50">
        <v>116.5703</v>
      </c>
      <c r="AK860" s="41" t="s">
        <v>505</v>
      </c>
      <c r="AL860" s="40" t="s">
        <v>505</v>
      </c>
      <c r="AM860" s="49">
        <v>32.0</v>
      </c>
      <c r="AN860" s="51">
        <v>32.0</v>
      </c>
      <c r="AO860" s="42" t="s">
        <v>293</v>
      </c>
      <c r="AP860" s="43" t="s">
        <v>293</v>
      </c>
      <c r="AQ860" s="44" t="str">
        <f t="shared" si="84"/>
        <v>CRO</v>
      </c>
      <c r="AR860" s="44">
        <f t="shared" si="80"/>
        <v>32</v>
      </c>
      <c r="AS860" s="44" t="str">
        <f t="shared" si="85"/>
        <v>B</v>
      </c>
      <c r="AT860" s="44" t="str">
        <f t="shared" si="17"/>
        <v>BS</v>
      </c>
      <c r="AU860" s="44" t="str">
        <f t="shared" si="2"/>
        <v>BSk</v>
      </c>
      <c r="AV860" s="38">
        <v>1.0</v>
      </c>
      <c r="AW860" s="38"/>
      <c r="AX860" s="38"/>
      <c r="AY860" s="38" t="s">
        <v>1622</v>
      </c>
      <c r="AZ860" s="29">
        <v>30.0</v>
      </c>
      <c r="BA860" s="29"/>
      <c r="BB860" s="29">
        <v>1.0</v>
      </c>
      <c r="BC860" s="29"/>
      <c r="BD860" s="29" t="s">
        <v>88</v>
      </c>
      <c r="BE860" s="29"/>
      <c r="BF860" s="29" t="s">
        <v>939</v>
      </c>
      <c r="BG860" s="29" t="s">
        <v>220</v>
      </c>
      <c r="BH860" s="29" t="s">
        <v>88</v>
      </c>
      <c r="BI860" s="29" t="s">
        <v>1623</v>
      </c>
      <c r="BJ860" s="29"/>
      <c r="BK860" s="29" t="s">
        <v>1178</v>
      </c>
      <c r="BL860" s="29" t="s">
        <v>1178</v>
      </c>
      <c r="BM860" s="45"/>
      <c r="BN860" s="45">
        <v>1.0</v>
      </c>
      <c r="BO860" s="46"/>
      <c r="BP860" s="2"/>
      <c r="BQ860" s="3"/>
    </row>
    <row r="861" ht="15.75" customHeight="1">
      <c r="A861" s="34">
        <v>870.0</v>
      </c>
      <c r="B861" s="34">
        <v>101898.0</v>
      </c>
      <c r="C861" s="34" t="s">
        <v>76</v>
      </c>
      <c r="D861" s="34" t="s">
        <v>1611</v>
      </c>
      <c r="E861" s="34" t="s">
        <v>1612</v>
      </c>
      <c r="F861" s="34">
        <v>2012.0</v>
      </c>
      <c r="G861" s="34" t="s">
        <v>1613</v>
      </c>
      <c r="H861" s="34" t="s">
        <v>1614</v>
      </c>
      <c r="I861" s="34" t="s">
        <v>1615</v>
      </c>
      <c r="J861" s="35"/>
      <c r="K861" s="36"/>
      <c r="L861" s="36"/>
      <c r="M861" s="36"/>
      <c r="N861" s="36"/>
      <c r="O861" s="36"/>
      <c r="P861" s="37">
        <v>6.5</v>
      </c>
      <c r="Q861" s="36"/>
      <c r="R861" s="36" t="s">
        <v>191</v>
      </c>
      <c r="S861" s="36">
        <v>3000.0</v>
      </c>
      <c r="T861" s="36" t="s">
        <v>341</v>
      </c>
      <c r="U861" s="36" t="s">
        <v>342</v>
      </c>
      <c r="V861" s="36"/>
      <c r="W861" s="36"/>
      <c r="X861" s="38">
        <v>1.0</v>
      </c>
      <c r="Y861" s="38" t="s">
        <v>497</v>
      </c>
      <c r="Z861" s="38" t="s">
        <v>1619</v>
      </c>
      <c r="AA861" s="38" t="s">
        <v>86</v>
      </c>
      <c r="AB861" s="38" t="s">
        <v>1620</v>
      </c>
      <c r="AC861" s="38" t="s">
        <v>1621</v>
      </c>
      <c r="AD861" s="38" t="s">
        <v>198</v>
      </c>
      <c r="AE861" s="38"/>
      <c r="AF861" s="38" t="s">
        <v>1632</v>
      </c>
      <c r="AG861" s="38"/>
      <c r="AH861" s="38">
        <v>2.1</v>
      </c>
      <c r="AI861" s="50">
        <v>39.95</v>
      </c>
      <c r="AJ861" s="50">
        <v>116.5703</v>
      </c>
      <c r="AK861" s="41" t="s">
        <v>505</v>
      </c>
      <c r="AL861" s="40" t="s">
        <v>505</v>
      </c>
      <c r="AM861" s="49">
        <v>32.0</v>
      </c>
      <c r="AN861" s="51">
        <v>32.0</v>
      </c>
      <c r="AO861" s="42" t="s">
        <v>293</v>
      </c>
      <c r="AP861" s="43" t="s">
        <v>293</v>
      </c>
      <c r="AQ861" s="44" t="str">
        <f t="shared" si="84"/>
        <v>CRO</v>
      </c>
      <c r="AR861" s="44">
        <f t="shared" si="80"/>
        <v>32</v>
      </c>
      <c r="AS861" s="44" t="str">
        <f t="shared" si="85"/>
        <v>B</v>
      </c>
      <c r="AT861" s="44" t="str">
        <f t="shared" si="17"/>
        <v>BS</v>
      </c>
      <c r="AU861" s="44" t="str">
        <f t="shared" si="2"/>
        <v>BSk</v>
      </c>
      <c r="AV861" s="38">
        <v>1.0</v>
      </c>
      <c r="AW861" s="38"/>
      <c r="AX861" s="38"/>
      <c r="AY861" s="38" t="s">
        <v>1622</v>
      </c>
      <c r="AZ861" s="29">
        <v>30.0</v>
      </c>
      <c r="BA861" s="29"/>
      <c r="BB861" s="29">
        <v>1.0</v>
      </c>
      <c r="BC861" s="29"/>
      <c r="BD861" s="29" t="s">
        <v>88</v>
      </c>
      <c r="BE861" s="29"/>
      <c r="BF861" s="29" t="s">
        <v>939</v>
      </c>
      <c r="BG861" s="29" t="s">
        <v>220</v>
      </c>
      <c r="BH861" s="29" t="s">
        <v>88</v>
      </c>
      <c r="BI861" s="29" t="s">
        <v>1623</v>
      </c>
      <c r="BJ861" s="29"/>
      <c r="BK861" s="29" t="s">
        <v>1178</v>
      </c>
      <c r="BL861" s="29" t="s">
        <v>1178</v>
      </c>
      <c r="BM861" s="45"/>
      <c r="BN861" s="45">
        <v>1.0</v>
      </c>
      <c r="BO861" s="46"/>
      <c r="BP861" s="2"/>
      <c r="BQ861" s="3"/>
    </row>
    <row r="862" ht="15.75" customHeight="1">
      <c r="A862" s="34">
        <v>871.0</v>
      </c>
      <c r="B862" s="34">
        <v>101898.0</v>
      </c>
      <c r="C862" s="34" t="s">
        <v>76</v>
      </c>
      <c r="D862" s="34" t="s">
        <v>1611</v>
      </c>
      <c r="E862" s="34" t="s">
        <v>1612</v>
      </c>
      <c r="F862" s="34">
        <v>2012.0</v>
      </c>
      <c r="G862" s="34" t="s">
        <v>1613</v>
      </c>
      <c r="H862" s="34" t="s">
        <v>1614</v>
      </c>
      <c r="I862" s="34" t="s">
        <v>1615</v>
      </c>
      <c r="J862" s="35"/>
      <c r="K862" s="36"/>
      <c r="L862" s="36"/>
      <c r="M862" s="36"/>
      <c r="N862" s="36"/>
      <c r="O862" s="36"/>
      <c r="P862" s="37">
        <v>-13.72</v>
      </c>
      <c r="Q862" s="36"/>
      <c r="R862" s="36" t="s">
        <v>96</v>
      </c>
      <c r="S862" s="36">
        <v>3000.0</v>
      </c>
      <c r="T862" s="36" t="s">
        <v>317</v>
      </c>
      <c r="U862" s="36" t="s">
        <v>285</v>
      </c>
      <c r="V862" s="36"/>
      <c r="W862" s="36"/>
      <c r="X862" s="38">
        <v>1.0</v>
      </c>
      <c r="Y862" s="38" t="s">
        <v>1152</v>
      </c>
      <c r="Z862" s="38" t="s">
        <v>1152</v>
      </c>
      <c r="AA862" s="38" t="s">
        <v>86</v>
      </c>
      <c r="AB862" s="38" t="s">
        <v>1636</v>
      </c>
      <c r="AC862" s="38" t="s">
        <v>1637</v>
      </c>
      <c r="AD862" s="38" t="s">
        <v>198</v>
      </c>
      <c r="AE862" s="53"/>
      <c r="AF862" s="38" t="s">
        <v>1632</v>
      </c>
      <c r="AG862" s="38"/>
      <c r="AH862" s="38">
        <v>2.1</v>
      </c>
      <c r="AI862" s="50">
        <v>39.61</v>
      </c>
      <c r="AJ862" s="50">
        <v>116.43</v>
      </c>
      <c r="AK862" s="41" t="s">
        <v>86</v>
      </c>
      <c r="AL862" s="40" t="s">
        <v>86</v>
      </c>
      <c r="AM862" s="49">
        <v>34.0</v>
      </c>
      <c r="AN862" s="51">
        <v>34.0</v>
      </c>
      <c r="AO862" s="42" t="s">
        <v>293</v>
      </c>
      <c r="AP862" s="43" t="s">
        <v>293</v>
      </c>
      <c r="AQ862" s="44" t="str">
        <f t="shared" si="84"/>
        <v>CRO</v>
      </c>
      <c r="AR862" s="44">
        <f t="shared" si="80"/>
        <v>34</v>
      </c>
      <c r="AS862" s="44" t="str">
        <f t="shared" si="85"/>
        <v>B</v>
      </c>
      <c r="AT862" s="44" t="str">
        <f t="shared" si="17"/>
        <v>BS</v>
      </c>
      <c r="AU862" s="44" t="str">
        <f t="shared" si="2"/>
        <v>BSk</v>
      </c>
      <c r="AV862" s="38">
        <v>1.0</v>
      </c>
      <c r="AW862" s="38"/>
      <c r="AX862" s="38"/>
      <c r="AY862" s="38" t="s">
        <v>1622</v>
      </c>
      <c r="AZ862" s="29">
        <v>30.0</v>
      </c>
      <c r="BA862" s="29"/>
      <c r="BB862" s="29">
        <v>1.0</v>
      </c>
      <c r="BC862" s="29"/>
      <c r="BD862" s="29" t="s">
        <v>88</v>
      </c>
      <c r="BE862" s="29"/>
      <c r="BF862" s="29" t="s">
        <v>939</v>
      </c>
      <c r="BG862" s="29" t="s">
        <v>220</v>
      </c>
      <c r="BH862" s="29" t="s">
        <v>88</v>
      </c>
      <c r="BI862" s="29" t="s">
        <v>1623</v>
      </c>
      <c r="BJ862" s="29"/>
      <c r="BK862" s="29" t="s">
        <v>1178</v>
      </c>
      <c r="BL862" s="29" t="s">
        <v>1178</v>
      </c>
      <c r="BM862" s="45"/>
      <c r="BN862" s="45">
        <v>1.0</v>
      </c>
      <c r="BO862" s="46"/>
      <c r="BP862" s="2"/>
      <c r="BQ862" s="3"/>
    </row>
    <row r="863" ht="15.75" customHeight="1">
      <c r="A863" s="34">
        <v>872.0</v>
      </c>
      <c r="B863" s="34">
        <v>101898.0</v>
      </c>
      <c r="C863" s="34" t="s">
        <v>76</v>
      </c>
      <c r="D863" s="34" t="s">
        <v>1611</v>
      </c>
      <c r="E863" s="34" t="s">
        <v>1612</v>
      </c>
      <c r="F863" s="34">
        <v>2012.0</v>
      </c>
      <c r="G863" s="34" t="s">
        <v>1613</v>
      </c>
      <c r="H863" s="34" t="s">
        <v>1614</v>
      </c>
      <c r="I863" s="34" t="s">
        <v>1615</v>
      </c>
      <c r="J863" s="35"/>
      <c r="K863" s="36"/>
      <c r="L863" s="36"/>
      <c r="M863" s="36"/>
      <c r="N863" s="36"/>
      <c r="O863" s="36"/>
      <c r="P863" s="37">
        <v>-12.69</v>
      </c>
      <c r="Q863" s="36"/>
      <c r="R863" s="36" t="s">
        <v>191</v>
      </c>
      <c r="S863" s="36">
        <v>3000.0</v>
      </c>
      <c r="T863" s="36" t="s">
        <v>317</v>
      </c>
      <c r="U863" s="36" t="s">
        <v>285</v>
      </c>
      <c r="V863" s="36"/>
      <c r="W863" s="36"/>
      <c r="X863" s="38">
        <v>1.0</v>
      </c>
      <c r="Y863" s="38" t="s">
        <v>1152</v>
      </c>
      <c r="Z863" s="38" t="s">
        <v>1152</v>
      </c>
      <c r="AA863" s="38" t="s">
        <v>86</v>
      </c>
      <c r="AB863" s="38" t="s">
        <v>1636</v>
      </c>
      <c r="AC863" s="38" t="s">
        <v>1637</v>
      </c>
      <c r="AD863" s="38" t="s">
        <v>198</v>
      </c>
      <c r="AE863" s="53"/>
      <c r="AF863" s="38" t="s">
        <v>1632</v>
      </c>
      <c r="AG863" s="38"/>
      <c r="AH863" s="38">
        <v>2.1</v>
      </c>
      <c r="AI863" s="50">
        <v>39.61</v>
      </c>
      <c r="AJ863" s="50">
        <v>116.43</v>
      </c>
      <c r="AK863" s="41" t="s">
        <v>86</v>
      </c>
      <c r="AL863" s="40" t="s">
        <v>86</v>
      </c>
      <c r="AM863" s="49">
        <v>34.0</v>
      </c>
      <c r="AN863" s="51">
        <v>34.0</v>
      </c>
      <c r="AO863" s="42" t="s">
        <v>293</v>
      </c>
      <c r="AP863" s="43" t="s">
        <v>293</v>
      </c>
      <c r="AQ863" s="44" t="str">
        <f t="shared" si="84"/>
        <v>CRO</v>
      </c>
      <c r="AR863" s="44">
        <f t="shared" si="80"/>
        <v>34</v>
      </c>
      <c r="AS863" s="44" t="str">
        <f t="shared" si="85"/>
        <v>B</v>
      </c>
      <c r="AT863" s="44" t="str">
        <f t="shared" si="17"/>
        <v>BS</v>
      </c>
      <c r="AU863" s="44" t="str">
        <f t="shared" si="2"/>
        <v>BSk</v>
      </c>
      <c r="AV863" s="38">
        <v>1.0</v>
      </c>
      <c r="AW863" s="38"/>
      <c r="AX863" s="38"/>
      <c r="AY863" s="38" t="s">
        <v>1622</v>
      </c>
      <c r="AZ863" s="29">
        <v>30.0</v>
      </c>
      <c r="BA863" s="29"/>
      <c r="BB863" s="29">
        <v>1.0</v>
      </c>
      <c r="BC863" s="29"/>
      <c r="BD863" s="29" t="s">
        <v>88</v>
      </c>
      <c r="BE863" s="29"/>
      <c r="BF863" s="29" t="s">
        <v>939</v>
      </c>
      <c r="BG863" s="29" t="s">
        <v>220</v>
      </c>
      <c r="BH863" s="29" t="s">
        <v>88</v>
      </c>
      <c r="BI863" s="29" t="s">
        <v>1623</v>
      </c>
      <c r="BJ863" s="29"/>
      <c r="BK863" s="29" t="s">
        <v>1178</v>
      </c>
      <c r="BL863" s="29" t="s">
        <v>1178</v>
      </c>
      <c r="BM863" s="45"/>
      <c r="BN863" s="45">
        <v>1.0</v>
      </c>
      <c r="BO863" s="46"/>
      <c r="BP863" s="2"/>
      <c r="BQ863" s="3"/>
    </row>
    <row r="864" ht="15.75" customHeight="1">
      <c r="A864" s="34">
        <v>873.0</v>
      </c>
      <c r="B864" s="34">
        <v>101898.0</v>
      </c>
      <c r="C864" s="34" t="s">
        <v>76</v>
      </c>
      <c r="D864" s="34" t="s">
        <v>1611</v>
      </c>
      <c r="E864" s="34" t="s">
        <v>1612</v>
      </c>
      <c r="F864" s="34">
        <v>2012.0</v>
      </c>
      <c r="G864" s="34" t="s">
        <v>1613</v>
      </c>
      <c r="H864" s="34" t="s">
        <v>1614</v>
      </c>
      <c r="I864" s="34" t="s">
        <v>1615</v>
      </c>
      <c r="J864" s="35"/>
      <c r="K864" s="36"/>
      <c r="L864" s="36"/>
      <c r="M864" s="36"/>
      <c r="N864" s="36"/>
      <c r="O864" s="36"/>
      <c r="P864" s="37">
        <v>2.6</v>
      </c>
      <c r="Q864" s="36"/>
      <c r="R864" s="36" t="s">
        <v>96</v>
      </c>
      <c r="S864" s="36">
        <v>3000.0</v>
      </c>
      <c r="T864" s="36" t="s">
        <v>295</v>
      </c>
      <c r="U864" s="36" t="s">
        <v>194</v>
      </c>
      <c r="V864" s="36"/>
      <c r="W864" s="36"/>
      <c r="X864" s="38">
        <v>1.0</v>
      </c>
      <c r="Y864" s="38" t="s">
        <v>1638</v>
      </c>
      <c r="Z864" s="38" t="s">
        <v>1638</v>
      </c>
      <c r="AA864" s="38" t="s">
        <v>288</v>
      </c>
      <c r="AB864" s="38" t="s">
        <v>1627</v>
      </c>
      <c r="AC864" s="38" t="s">
        <v>1628</v>
      </c>
      <c r="AD864" s="38" t="s">
        <v>198</v>
      </c>
      <c r="AE864" s="94"/>
      <c r="AF864" s="38" t="s">
        <v>1629</v>
      </c>
      <c r="AG864" s="38"/>
      <c r="AH864" s="38">
        <v>2.1</v>
      </c>
      <c r="AI864" s="50">
        <v>40.183</v>
      </c>
      <c r="AJ864" s="50">
        <v>116.433</v>
      </c>
      <c r="AK864" s="41" t="s">
        <v>86</v>
      </c>
      <c r="AL864" s="40" t="s">
        <v>86</v>
      </c>
      <c r="AM864" s="49">
        <v>36.0</v>
      </c>
      <c r="AN864" s="51">
        <v>36.0</v>
      </c>
      <c r="AO864" s="42" t="s">
        <v>293</v>
      </c>
      <c r="AP864" s="43" t="s">
        <v>293</v>
      </c>
      <c r="AQ864" s="44" t="str">
        <f t="shared" si="84"/>
        <v>GRA</v>
      </c>
      <c r="AR864" s="44">
        <f t="shared" si="80"/>
        <v>36</v>
      </c>
      <c r="AS864" s="44" t="str">
        <f t="shared" si="85"/>
        <v>B</v>
      </c>
      <c r="AT864" s="44" t="str">
        <f t="shared" si="17"/>
        <v>BS</v>
      </c>
      <c r="AU864" s="44" t="str">
        <f t="shared" si="2"/>
        <v>BSk</v>
      </c>
      <c r="AV864" s="38">
        <v>1.0</v>
      </c>
      <c r="AW864" s="38"/>
      <c r="AX864" s="38"/>
      <c r="AY864" s="38" t="s">
        <v>1622</v>
      </c>
      <c r="AZ864" s="29">
        <v>30.0</v>
      </c>
      <c r="BA864" s="29"/>
      <c r="BB864" s="29">
        <v>1.0</v>
      </c>
      <c r="BC864" s="29"/>
      <c r="BD864" s="29" t="s">
        <v>88</v>
      </c>
      <c r="BE864" s="29"/>
      <c r="BF864" s="29" t="s">
        <v>939</v>
      </c>
      <c r="BG864" s="29" t="s">
        <v>220</v>
      </c>
      <c r="BH864" s="29" t="s">
        <v>88</v>
      </c>
      <c r="BI864" s="29" t="s">
        <v>1623</v>
      </c>
      <c r="BJ864" s="29"/>
      <c r="BK864" s="29" t="s">
        <v>1178</v>
      </c>
      <c r="BL864" s="29" t="s">
        <v>1178</v>
      </c>
      <c r="BM864" s="45"/>
      <c r="BN864" s="45">
        <v>1.0</v>
      </c>
      <c r="BO864" s="46"/>
      <c r="BP864" s="2"/>
      <c r="BQ864" s="3"/>
    </row>
    <row r="865" ht="15.75" customHeight="1">
      <c r="A865" s="34">
        <v>874.0</v>
      </c>
      <c r="B865" s="34">
        <v>101898.0</v>
      </c>
      <c r="C865" s="34" t="s">
        <v>76</v>
      </c>
      <c r="D865" s="34" t="s">
        <v>1611</v>
      </c>
      <c r="E865" s="34" t="s">
        <v>1612</v>
      </c>
      <c r="F865" s="34">
        <v>2012.0</v>
      </c>
      <c r="G865" s="34" t="s">
        <v>1613</v>
      </c>
      <c r="H865" s="34" t="s">
        <v>1614</v>
      </c>
      <c r="I865" s="34" t="s">
        <v>1615</v>
      </c>
      <c r="J865" s="35"/>
      <c r="K865" s="36"/>
      <c r="L865" s="36"/>
      <c r="M865" s="36"/>
      <c r="N865" s="36"/>
      <c r="O865" s="36"/>
      <c r="P865" s="37">
        <v>-19.58</v>
      </c>
      <c r="Q865" s="36"/>
      <c r="R865" s="36" t="s">
        <v>191</v>
      </c>
      <c r="S865" s="36">
        <v>3000.0</v>
      </c>
      <c r="T865" s="36" t="s">
        <v>341</v>
      </c>
      <c r="U865" s="36" t="s">
        <v>342</v>
      </c>
      <c r="V865" s="36"/>
      <c r="W865" s="36"/>
      <c r="X865" s="38">
        <v>1.0</v>
      </c>
      <c r="Y865" s="38" t="s">
        <v>827</v>
      </c>
      <c r="Z865" s="38" t="s">
        <v>828</v>
      </c>
      <c r="AA865" s="38" t="s">
        <v>86</v>
      </c>
      <c r="AB865" s="38" t="s">
        <v>829</v>
      </c>
      <c r="AC865" s="38" t="s">
        <v>1639</v>
      </c>
      <c r="AD865" s="38" t="s">
        <v>198</v>
      </c>
      <c r="AE865" s="38"/>
      <c r="AF865" s="38" t="s">
        <v>1147</v>
      </c>
      <c r="AG865" s="38"/>
      <c r="AH865" s="38">
        <v>2.1</v>
      </c>
      <c r="AI865" s="50">
        <v>40.63</v>
      </c>
      <c r="AJ865" s="50">
        <v>117.32</v>
      </c>
      <c r="AK865" s="41" t="s">
        <v>288</v>
      </c>
      <c r="AL865" s="40" t="s">
        <v>288</v>
      </c>
      <c r="AM865" s="49">
        <v>364.0</v>
      </c>
      <c r="AN865" s="51">
        <v>364.0</v>
      </c>
      <c r="AO865" s="42" t="s">
        <v>218</v>
      </c>
      <c r="AP865" s="43" t="s">
        <v>218</v>
      </c>
      <c r="AQ865" s="44" t="str">
        <f t="shared" si="84"/>
        <v>CRO</v>
      </c>
      <c r="AR865" s="44">
        <f t="shared" si="80"/>
        <v>364</v>
      </c>
      <c r="AS865" s="44" t="str">
        <f t="shared" si="85"/>
        <v>D</v>
      </c>
      <c r="AT865" s="44" t="str">
        <f t="shared" si="17"/>
        <v>Dw</v>
      </c>
      <c r="AU865" s="44" t="str">
        <f t="shared" si="2"/>
        <v>Dwa</v>
      </c>
      <c r="AV865" s="38">
        <v>1.0</v>
      </c>
      <c r="AW865" s="38"/>
      <c r="AX865" s="38"/>
      <c r="AY865" s="38" t="s">
        <v>1622</v>
      </c>
      <c r="AZ865" s="29">
        <v>30.0</v>
      </c>
      <c r="BA865" s="29"/>
      <c r="BB865" s="29">
        <v>1.0</v>
      </c>
      <c r="BC865" s="29"/>
      <c r="BD865" s="29" t="s">
        <v>88</v>
      </c>
      <c r="BE865" s="29"/>
      <c r="BF865" s="29" t="s">
        <v>939</v>
      </c>
      <c r="BG865" s="29" t="s">
        <v>220</v>
      </c>
      <c r="BH865" s="29" t="s">
        <v>88</v>
      </c>
      <c r="BI865" s="29" t="s">
        <v>1623</v>
      </c>
      <c r="BJ865" s="29"/>
      <c r="BK865" s="29" t="s">
        <v>1178</v>
      </c>
      <c r="BL865" s="29" t="s">
        <v>1178</v>
      </c>
      <c r="BM865" s="45"/>
      <c r="BN865" s="45">
        <v>1.0</v>
      </c>
      <c r="BO865" s="46"/>
      <c r="BP865" s="2"/>
      <c r="BQ865" s="3"/>
    </row>
    <row r="866" ht="15.75" customHeight="1">
      <c r="A866" s="34">
        <v>876.0</v>
      </c>
      <c r="B866" s="34">
        <v>101430.0</v>
      </c>
      <c r="C866" s="34" t="s">
        <v>76</v>
      </c>
      <c r="D866" s="34" t="s">
        <v>1640</v>
      </c>
      <c r="E866" s="34" t="s">
        <v>1641</v>
      </c>
      <c r="F866" s="34">
        <v>2014.0</v>
      </c>
      <c r="G866" s="34" t="s">
        <v>1642</v>
      </c>
      <c r="H866" s="34" t="s">
        <v>1614</v>
      </c>
      <c r="I866" s="34" t="s">
        <v>1643</v>
      </c>
      <c r="J866" s="35"/>
      <c r="K866" s="36"/>
      <c r="L866" s="36"/>
      <c r="M866" s="36"/>
      <c r="N866" s="36"/>
      <c r="O866" s="36"/>
      <c r="P866" s="37">
        <v>15.1</v>
      </c>
      <c r="Q866" s="36" t="s">
        <v>96</v>
      </c>
      <c r="R866" s="36" t="s">
        <v>96</v>
      </c>
      <c r="S866" s="36"/>
      <c r="T866" s="36" t="s">
        <v>1644</v>
      </c>
      <c r="U866" s="36" t="s">
        <v>1645</v>
      </c>
      <c r="V866" s="36">
        <v>28.0</v>
      </c>
      <c r="W866" s="36"/>
      <c r="X866" s="38">
        <v>1.0</v>
      </c>
      <c r="Y866" s="38" t="s">
        <v>1646</v>
      </c>
      <c r="Z866" s="68" t="s">
        <v>1647</v>
      </c>
      <c r="AA866" s="38" t="s">
        <v>86</v>
      </c>
      <c r="AB866" s="38" t="s">
        <v>1648</v>
      </c>
      <c r="AC866" s="38" t="s">
        <v>1649</v>
      </c>
      <c r="AD866" s="38" t="s">
        <v>203</v>
      </c>
      <c r="AE866" s="38">
        <v>143.0</v>
      </c>
      <c r="AF866" s="38" t="s">
        <v>1650</v>
      </c>
      <c r="AG866" s="38"/>
      <c r="AH866" s="38">
        <v>4.8</v>
      </c>
      <c r="AI866" s="50">
        <v>38.24046</v>
      </c>
      <c r="AJ866" s="50">
        <v>-7.4304</v>
      </c>
      <c r="AK866" s="41" t="s">
        <v>1085</v>
      </c>
      <c r="AL866" s="40" t="s">
        <v>1085</v>
      </c>
      <c r="AM866" s="49">
        <v>125.0</v>
      </c>
      <c r="AN866" s="51">
        <v>125.0</v>
      </c>
      <c r="AO866" s="42" t="s">
        <v>175</v>
      </c>
      <c r="AP866" s="43" t="s">
        <v>175</v>
      </c>
      <c r="AQ866" s="44" t="str">
        <f t="shared" si="84"/>
        <v>CRO</v>
      </c>
      <c r="AR866" s="44">
        <f t="shared" si="80"/>
        <v>125</v>
      </c>
      <c r="AS866" s="44" t="str">
        <f t="shared" si="85"/>
        <v>C</v>
      </c>
      <c r="AT866" s="44" t="str">
        <f t="shared" si="17"/>
        <v>Cs</v>
      </c>
      <c r="AU866" s="44" t="str">
        <f t="shared" si="2"/>
        <v>Csa</v>
      </c>
      <c r="AV866" s="38"/>
      <c r="AW866" s="38"/>
      <c r="AX866" s="38"/>
      <c r="AY866" s="38"/>
      <c r="AZ866" s="29"/>
      <c r="BA866" s="29"/>
      <c r="BB866" s="29">
        <v>1.0</v>
      </c>
      <c r="BC866" s="29" t="s">
        <v>1651</v>
      </c>
      <c r="BD866" s="29"/>
      <c r="BE866" s="29"/>
      <c r="BF866" s="29" t="s">
        <v>1651</v>
      </c>
      <c r="BG866" s="29" t="s">
        <v>738</v>
      </c>
      <c r="BH866" s="29"/>
      <c r="BI866" s="29"/>
      <c r="BJ866" s="29"/>
      <c r="BK866" s="29"/>
      <c r="BL866" s="29"/>
      <c r="BM866" s="95"/>
      <c r="BN866" s="95">
        <v>1.0</v>
      </c>
      <c r="BO866" s="37" t="s">
        <v>1652</v>
      </c>
      <c r="BP866" s="2"/>
      <c r="BQ866" s="3"/>
    </row>
    <row r="867" ht="15.75" customHeight="1">
      <c r="A867" s="34">
        <v>877.0</v>
      </c>
      <c r="B867" s="34">
        <v>101479.0</v>
      </c>
      <c r="C867" s="34" t="s">
        <v>76</v>
      </c>
      <c r="D867" s="34" t="s">
        <v>1653</v>
      </c>
      <c r="E867" s="34" t="s">
        <v>1654</v>
      </c>
      <c r="F867" s="34">
        <v>2014.0</v>
      </c>
      <c r="G867" s="34" t="s">
        <v>1655</v>
      </c>
      <c r="H867" s="34" t="s">
        <v>1614</v>
      </c>
      <c r="I867" s="34" t="s">
        <v>1656</v>
      </c>
      <c r="J867" s="35"/>
      <c r="K867" s="36">
        <v>0.2</v>
      </c>
      <c r="L867" s="36"/>
      <c r="M867" s="36"/>
      <c r="N867" s="36"/>
      <c r="O867" s="36"/>
      <c r="P867" s="37">
        <v>13.0</v>
      </c>
      <c r="Q867" s="36" t="s">
        <v>96</v>
      </c>
      <c r="R867" s="36" t="s">
        <v>191</v>
      </c>
      <c r="S867" s="36">
        <v>1000.0</v>
      </c>
      <c r="T867" s="36"/>
      <c r="U867" s="36"/>
      <c r="V867" s="36">
        <v>12.0</v>
      </c>
      <c r="W867" s="36"/>
      <c r="X867" s="38">
        <v>1.0</v>
      </c>
      <c r="Y867" s="38" t="s">
        <v>1138</v>
      </c>
      <c r="Z867" s="38" t="s">
        <v>1138</v>
      </c>
      <c r="AA867" s="38" t="s">
        <v>86</v>
      </c>
      <c r="AB867" s="38" t="s">
        <v>1657</v>
      </c>
      <c r="AC867" s="38" t="s">
        <v>1658</v>
      </c>
      <c r="AD867" s="38" t="s">
        <v>1130</v>
      </c>
      <c r="AE867" s="53"/>
      <c r="AF867" s="38"/>
      <c r="AG867" s="38"/>
      <c r="AH867" s="38"/>
      <c r="AI867" s="50">
        <v>34.330177</v>
      </c>
      <c r="AJ867" s="50">
        <v>126.340711</v>
      </c>
      <c r="AK867" s="41" t="s">
        <v>1085</v>
      </c>
      <c r="AL867" s="40" t="s">
        <v>1085</v>
      </c>
      <c r="AM867" s="49">
        <v>0.0</v>
      </c>
      <c r="AN867" s="51">
        <v>0.0</v>
      </c>
      <c r="AO867" s="42" t="e">
        <v>#N/A</v>
      </c>
      <c r="AP867" s="43" t="s">
        <v>201</v>
      </c>
      <c r="AQ867" s="44" t="str">
        <f t="shared" si="84"/>
        <v>CRO</v>
      </c>
      <c r="AR867" s="44">
        <f t="shared" si="80"/>
        <v>0</v>
      </c>
      <c r="AS867" s="44" t="str">
        <f t="shared" si="85"/>
        <v>#N/A</v>
      </c>
      <c r="AT867" s="44" t="str">
        <f t="shared" si="17"/>
        <v>Cf</v>
      </c>
      <c r="AU867" s="44" t="str">
        <f t="shared" si="2"/>
        <v>Cfa</v>
      </c>
      <c r="AV867" s="38"/>
      <c r="AW867" s="38"/>
      <c r="AX867" s="38"/>
      <c r="AY867" s="38"/>
      <c r="AZ867" s="29">
        <v>1000.0</v>
      </c>
      <c r="BA867" s="29"/>
      <c r="BB867" s="29">
        <v>1.0</v>
      </c>
      <c r="BC867" s="29" t="s">
        <v>1659</v>
      </c>
      <c r="BD867" s="29" t="s">
        <v>88</v>
      </c>
      <c r="BE867" s="29"/>
      <c r="BF867" s="29" t="s">
        <v>1659</v>
      </c>
      <c r="BG867" s="29" t="s">
        <v>220</v>
      </c>
      <c r="BH867" s="29" t="s">
        <v>88</v>
      </c>
      <c r="BI867" s="29" t="s">
        <v>1660</v>
      </c>
      <c r="BJ867" s="29"/>
      <c r="BK867" s="29" t="s">
        <v>148</v>
      </c>
      <c r="BL867" s="29"/>
      <c r="BM867" s="45"/>
      <c r="BN867" s="45">
        <v>1.0</v>
      </c>
      <c r="BO867" s="46" t="s">
        <v>1659</v>
      </c>
      <c r="BP867" s="2"/>
      <c r="BQ867" s="3"/>
    </row>
    <row r="868" ht="15.75" customHeight="1">
      <c r="A868" s="34">
        <v>879.0</v>
      </c>
      <c r="B868" s="34">
        <v>103754.0</v>
      </c>
      <c r="C868" s="34" t="s">
        <v>76</v>
      </c>
      <c r="D868" s="34" t="s">
        <v>1661</v>
      </c>
      <c r="E868" s="34" t="s">
        <v>1662</v>
      </c>
      <c r="F868" s="34">
        <v>2016.0</v>
      </c>
      <c r="G868" s="34" t="s">
        <v>1663</v>
      </c>
      <c r="H868" s="34" t="s">
        <v>1614</v>
      </c>
      <c r="I868" s="34" t="s">
        <v>1664</v>
      </c>
      <c r="J868" s="35"/>
      <c r="K868" s="36"/>
      <c r="L868" s="36"/>
      <c r="M868" s="36"/>
      <c r="N868" s="36"/>
      <c r="O868" s="36"/>
      <c r="P868" s="37">
        <v>18.0</v>
      </c>
      <c r="Q868" s="36"/>
      <c r="R868" s="36" t="s">
        <v>191</v>
      </c>
      <c r="S868" s="36">
        <v>1000.0</v>
      </c>
      <c r="T868" s="36" t="s">
        <v>295</v>
      </c>
      <c r="U868" s="36" t="s">
        <v>1665</v>
      </c>
      <c r="V868" s="36">
        <v>36.0</v>
      </c>
      <c r="W868" s="36"/>
      <c r="X868" s="38">
        <v>1.0</v>
      </c>
      <c r="Y868" s="38" t="s">
        <v>519</v>
      </c>
      <c r="Z868" s="38" t="s">
        <v>520</v>
      </c>
      <c r="AA868" s="38" t="s">
        <v>86</v>
      </c>
      <c r="AB868" s="38">
        <v>36.605</v>
      </c>
      <c r="AC868" s="38">
        <v>-97.4884</v>
      </c>
      <c r="AD868" s="39" t="s">
        <v>87</v>
      </c>
      <c r="AE868" s="38">
        <v>314.0</v>
      </c>
      <c r="AF868" s="38"/>
      <c r="AG868" s="38" t="s">
        <v>201</v>
      </c>
      <c r="AH868" s="38"/>
      <c r="AI868" s="50">
        <v>36.6058</v>
      </c>
      <c r="AJ868" s="50">
        <v>-97.4884</v>
      </c>
      <c r="AK868" s="41" t="s">
        <v>86</v>
      </c>
      <c r="AL868" s="40" t="s">
        <v>86</v>
      </c>
      <c r="AM868" s="49">
        <v>322.0</v>
      </c>
      <c r="AN868" s="51">
        <v>322.0</v>
      </c>
      <c r="AO868" s="42" t="s">
        <v>201</v>
      </c>
      <c r="AP868" s="43" t="s">
        <v>201</v>
      </c>
      <c r="AQ868" s="44" t="str">
        <f t="shared" si="84"/>
        <v>CRO</v>
      </c>
      <c r="AR868" s="44">
        <f t="shared" si="80"/>
        <v>322</v>
      </c>
      <c r="AS868" s="44" t="str">
        <f t="shared" si="85"/>
        <v>C</v>
      </c>
      <c r="AT868" s="44" t="str">
        <f t="shared" si="17"/>
        <v>Cf</v>
      </c>
      <c r="AU868" s="44" t="str">
        <f t="shared" si="2"/>
        <v>Cfa</v>
      </c>
      <c r="AV868" s="38">
        <v>1.0</v>
      </c>
      <c r="AW868" s="38"/>
      <c r="AX868" s="38"/>
      <c r="AY868" s="38"/>
      <c r="AZ868" s="29">
        <v>1000.0</v>
      </c>
      <c r="BA868" s="29"/>
      <c r="BB868" s="29">
        <v>1.0</v>
      </c>
      <c r="BC868" s="29"/>
      <c r="BD868" s="29" t="s">
        <v>88</v>
      </c>
      <c r="BE868" s="29"/>
      <c r="BF868" s="29" t="s">
        <v>802</v>
      </c>
      <c r="BG868" s="29" t="s">
        <v>572</v>
      </c>
      <c r="BH868" s="29" t="s">
        <v>88</v>
      </c>
      <c r="BI868" s="29" t="s">
        <v>1666</v>
      </c>
      <c r="BJ868" s="29"/>
      <c r="BK868" s="29" t="s">
        <v>148</v>
      </c>
      <c r="BL868" s="29" t="s">
        <v>148</v>
      </c>
      <c r="BM868" s="45"/>
      <c r="BN868" s="45">
        <v>1.0</v>
      </c>
      <c r="BO868" s="46" t="s">
        <v>802</v>
      </c>
      <c r="BP868" s="2"/>
      <c r="BQ868" s="3"/>
    </row>
    <row r="869" ht="15.75" customHeight="1">
      <c r="A869" s="34">
        <v>880.0</v>
      </c>
      <c r="B869" s="34">
        <v>103754.0</v>
      </c>
      <c r="C869" s="34" t="s">
        <v>76</v>
      </c>
      <c r="D869" s="34" t="s">
        <v>1661</v>
      </c>
      <c r="E869" s="34" t="s">
        <v>1662</v>
      </c>
      <c r="F869" s="34">
        <v>2016.0</v>
      </c>
      <c r="G869" s="34" t="s">
        <v>1663</v>
      </c>
      <c r="H869" s="34" t="s">
        <v>1614</v>
      </c>
      <c r="I869" s="34" t="s">
        <v>1664</v>
      </c>
      <c r="J869" s="35"/>
      <c r="K869" s="36"/>
      <c r="L869" s="36"/>
      <c r="M869" s="36"/>
      <c r="N869" s="36"/>
      <c r="O869" s="36"/>
      <c r="P869" s="37">
        <v>18.0</v>
      </c>
      <c r="Q869" s="36"/>
      <c r="R869" s="36" t="s">
        <v>191</v>
      </c>
      <c r="S869" s="36">
        <v>1000.0</v>
      </c>
      <c r="T869" s="36" t="s">
        <v>317</v>
      </c>
      <c r="U869" s="36" t="s">
        <v>1665</v>
      </c>
      <c r="V869" s="36">
        <v>24.0</v>
      </c>
      <c r="W869" s="36"/>
      <c r="X869" s="38">
        <v>1.0</v>
      </c>
      <c r="Y869" s="38" t="s">
        <v>286</v>
      </c>
      <c r="Z869" s="38" t="s">
        <v>287</v>
      </c>
      <c r="AA869" s="38" t="s">
        <v>288</v>
      </c>
      <c r="AB869" s="38">
        <v>31.5907</v>
      </c>
      <c r="AC869" s="38">
        <v>-110.51</v>
      </c>
      <c r="AD869" s="39" t="s">
        <v>87</v>
      </c>
      <c r="AE869" s="38">
        <v>1469.0</v>
      </c>
      <c r="AF869" s="38"/>
      <c r="AG869" s="38" t="s">
        <v>303</v>
      </c>
      <c r="AH869" s="38"/>
      <c r="AI869" s="50">
        <v>31.5907</v>
      </c>
      <c r="AJ869" s="50">
        <v>-110.51</v>
      </c>
      <c r="AK869" s="41" t="s">
        <v>291</v>
      </c>
      <c r="AL869" s="40" t="s">
        <v>292</v>
      </c>
      <c r="AM869" s="49">
        <v>1473.0</v>
      </c>
      <c r="AN869" s="51">
        <v>1473.0</v>
      </c>
      <c r="AO869" s="42" t="s">
        <v>293</v>
      </c>
      <c r="AP869" s="43" t="s">
        <v>293</v>
      </c>
      <c r="AQ869" s="44" t="str">
        <f t="shared" si="84"/>
        <v>GRA</v>
      </c>
      <c r="AR869" s="44">
        <f t="shared" si="80"/>
        <v>1473</v>
      </c>
      <c r="AS869" s="44" t="str">
        <f t="shared" si="85"/>
        <v>B</v>
      </c>
      <c r="AT869" s="44" t="str">
        <f t="shared" si="17"/>
        <v>BS</v>
      </c>
      <c r="AU869" s="44" t="str">
        <f t="shared" si="2"/>
        <v>BSk</v>
      </c>
      <c r="AV869" s="38">
        <v>1.0</v>
      </c>
      <c r="AW869" s="38"/>
      <c r="AX869" s="38"/>
      <c r="AY869" s="38"/>
      <c r="AZ869" s="29">
        <v>1000.0</v>
      </c>
      <c r="BA869" s="29"/>
      <c r="BB869" s="29">
        <v>1.0</v>
      </c>
      <c r="BC869" s="29"/>
      <c r="BD869" s="29" t="s">
        <v>88</v>
      </c>
      <c r="BE869" s="29"/>
      <c r="BF869" s="29" t="s">
        <v>802</v>
      </c>
      <c r="BG869" s="29" t="s">
        <v>572</v>
      </c>
      <c r="BH869" s="29" t="s">
        <v>88</v>
      </c>
      <c r="BI869" s="29" t="s">
        <v>1666</v>
      </c>
      <c r="BJ869" s="29"/>
      <c r="BK869" s="29" t="s">
        <v>148</v>
      </c>
      <c r="BL869" s="29" t="s">
        <v>148</v>
      </c>
      <c r="BM869" s="45"/>
      <c r="BN869" s="45"/>
      <c r="BO869" s="46"/>
      <c r="BP869" s="2"/>
      <c r="BQ869" s="3"/>
    </row>
    <row r="870" ht="15.75" customHeight="1">
      <c r="A870" s="34">
        <v>881.0</v>
      </c>
      <c r="B870" s="34">
        <v>103754.0</v>
      </c>
      <c r="C870" s="34" t="s">
        <v>76</v>
      </c>
      <c r="D870" s="34" t="s">
        <v>1661</v>
      </c>
      <c r="E870" s="34" t="s">
        <v>1662</v>
      </c>
      <c r="F870" s="34">
        <v>2016.0</v>
      </c>
      <c r="G870" s="34" t="s">
        <v>1663</v>
      </c>
      <c r="H870" s="34" t="s">
        <v>1614</v>
      </c>
      <c r="I870" s="34" t="s">
        <v>1664</v>
      </c>
      <c r="J870" s="35"/>
      <c r="K870" s="36"/>
      <c r="L870" s="36"/>
      <c r="M870" s="36"/>
      <c r="N870" s="36"/>
      <c r="O870" s="36"/>
      <c r="P870" s="37">
        <v>19.0</v>
      </c>
      <c r="Q870" s="36"/>
      <c r="R870" s="36" t="s">
        <v>191</v>
      </c>
      <c r="S870" s="36">
        <v>1000.0</v>
      </c>
      <c r="T870" s="36" t="s">
        <v>328</v>
      </c>
      <c r="U870" s="36" t="s">
        <v>1667</v>
      </c>
      <c r="V870" s="36">
        <v>36.0</v>
      </c>
      <c r="W870" s="36"/>
      <c r="X870" s="38">
        <v>1.0</v>
      </c>
      <c r="Y870" s="38" t="s">
        <v>330</v>
      </c>
      <c r="Z870" s="38" t="s">
        <v>331</v>
      </c>
      <c r="AA870" s="38" t="s">
        <v>197</v>
      </c>
      <c r="AB870" s="38">
        <v>29.7381</v>
      </c>
      <c r="AC870" s="38">
        <v>-82.2188</v>
      </c>
      <c r="AD870" s="39" t="s">
        <v>87</v>
      </c>
      <c r="AE870" s="38">
        <v>50.0</v>
      </c>
      <c r="AF870" s="38"/>
      <c r="AG870" s="38" t="s">
        <v>201</v>
      </c>
      <c r="AH870" s="38"/>
      <c r="AI870" s="50">
        <v>29.7381</v>
      </c>
      <c r="AJ870" s="50">
        <v>-82.2188</v>
      </c>
      <c r="AK870" s="41" t="s">
        <v>197</v>
      </c>
      <c r="AL870" s="40" t="s">
        <v>197</v>
      </c>
      <c r="AM870" s="49">
        <v>50.0</v>
      </c>
      <c r="AN870" s="51">
        <v>50.0</v>
      </c>
      <c r="AO870" s="42" t="s">
        <v>201</v>
      </c>
      <c r="AP870" s="43" t="s">
        <v>201</v>
      </c>
      <c r="AQ870" s="44" t="str">
        <f t="shared" si="84"/>
        <v>ENF</v>
      </c>
      <c r="AR870" s="44">
        <f t="shared" si="80"/>
        <v>50</v>
      </c>
      <c r="AS870" s="44" t="str">
        <f t="shared" si="85"/>
        <v>C</v>
      </c>
      <c r="AT870" s="44" t="str">
        <f t="shared" si="17"/>
        <v>Cf</v>
      </c>
      <c r="AU870" s="44" t="str">
        <f t="shared" si="2"/>
        <v>Cfa</v>
      </c>
      <c r="AV870" s="38">
        <v>1.0</v>
      </c>
      <c r="AW870" s="38"/>
      <c r="AX870" s="38"/>
      <c r="AY870" s="38"/>
      <c r="AZ870" s="29">
        <v>1000.0</v>
      </c>
      <c r="BA870" s="29"/>
      <c r="BB870" s="29">
        <v>1.0</v>
      </c>
      <c r="BC870" s="29"/>
      <c r="BD870" s="29" t="s">
        <v>88</v>
      </c>
      <c r="BE870" s="29"/>
      <c r="BF870" s="29" t="s">
        <v>802</v>
      </c>
      <c r="BG870" s="29" t="s">
        <v>572</v>
      </c>
      <c r="BH870" s="29" t="s">
        <v>88</v>
      </c>
      <c r="BI870" s="29" t="s">
        <v>1666</v>
      </c>
      <c r="BJ870" s="29"/>
      <c r="BK870" s="29" t="s">
        <v>148</v>
      </c>
      <c r="BL870" s="29" t="s">
        <v>148</v>
      </c>
      <c r="BM870" s="45"/>
      <c r="BN870" s="45"/>
      <c r="BO870" s="46"/>
      <c r="BP870" s="2"/>
      <c r="BQ870" s="3"/>
    </row>
    <row r="871" ht="15.75" customHeight="1">
      <c r="A871" s="34">
        <v>882.0</v>
      </c>
      <c r="B871" s="34">
        <v>103754.0</v>
      </c>
      <c r="C871" s="34" t="s">
        <v>76</v>
      </c>
      <c r="D871" s="34" t="s">
        <v>1661</v>
      </c>
      <c r="E871" s="34" t="s">
        <v>1662</v>
      </c>
      <c r="F871" s="34">
        <v>2016.0</v>
      </c>
      <c r="G871" s="34" t="s">
        <v>1663</v>
      </c>
      <c r="H871" s="34" t="s">
        <v>1614</v>
      </c>
      <c r="I871" s="34" t="s">
        <v>1664</v>
      </c>
      <c r="J871" s="35"/>
      <c r="K871" s="36"/>
      <c r="L871" s="36"/>
      <c r="M871" s="36"/>
      <c r="N871" s="36"/>
      <c r="O871" s="36"/>
      <c r="P871" s="37">
        <v>18.0</v>
      </c>
      <c r="Q871" s="36"/>
      <c r="R871" s="36" t="s">
        <v>191</v>
      </c>
      <c r="S871" s="36">
        <v>1000.0</v>
      </c>
      <c r="T871" s="36" t="s">
        <v>193</v>
      </c>
      <c r="U871" s="36" t="s">
        <v>1668</v>
      </c>
      <c r="V871" s="36">
        <v>36.0</v>
      </c>
      <c r="W871" s="36"/>
      <c r="X871" s="38">
        <v>1.0</v>
      </c>
      <c r="Y871" s="38" t="s">
        <v>1304</v>
      </c>
      <c r="Z871" s="38" t="s">
        <v>1305</v>
      </c>
      <c r="AA871" s="38" t="s">
        <v>370</v>
      </c>
      <c r="AB871" s="38">
        <v>42.5378</v>
      </c>
      <c r="AC871" s="38">
        <v>-72.1715</v>
      </c>
      <c r="AD871" s="39" t="s">
        <v>87</v>
      </c>
      <c r="AE871" s="53"/>
      <c r="AF871" s="38"/>
      <c r="AG871" s="57"/>
      <c r="AH871" s="38"/>
      <c r="AI871" s="50">
        <v>42.5378</v>
      </c>
      <c r="AJ871" s="50">
        <v>-72.1715</v>
      </c>
      <c r="AK871" s="41" t="s">
        <v>370</v>
      </c>
      <c r="AL871" s="40" t="s">
        <v>370</v>
      </c>
      <c r="AM871" s="49">
        <v>353.0</v>
      </c>
      <c r="AN871" s="51">
        <v>353.0</v>
      </c>
      <c r="AO871" s="42" t="s">
        <v>372</v>
      </c>
      <c r="AP871" s="43" t="s">
        <v>107</v>
      </c>
      <c r="AQ871" s="44" t="str">
        <f t="shared" si="84"/>
        <v>DBF</v>
      </c>
      <c r="AR871" s="44">
        <f t="shared" si="80"/>
        <v>353</v>
      </c>
      <c r="AS871" s="44" t="str">
        <f t="shared" si="85"/>
        <v>D</v>
      </c>
      <c r="AT871" s="44" t="str">
        <f t="shared" si="17"/>
        <v>Df</v>
      </c>
      <c r="AU871" s="44" t="str">
        <f t="shared" si="2"/>
        <v>Dfb</v>
      </c>
      <c r="AV871" s="38">
        <v>1.0</v>
      </c>
      <c r="AW871" s="38"/>
      <c r="AX871" s="38"/>
      <c r="AY871" s="38"/>
      <c r="AZ871" s="29">
        <v>1000.0</v>
      </c>
      <c r="BA871" s="29"/>
      <c r="BB871" s="29">
        <v>1.0</v>
      </c>
      <c r="BC871" s="29"/>
      <c r="BD871" s="29" t="s">
        <v>88</v>
      </c>
      <c r="BE871" s="29"/>
      <c r="BF871" s="29" t="s">
        <v>802</v>
      </c>
      <c r="BG871" s="29" t="s">
        <v>572</v>
      </c>
      <c r="BH871" s="29" t="s">
        <v>88</v>
      </c>
      <c r="BI871" s="29" t="s">
        <v>1666</v>
      </c>
      <c r="BJ871" s="29"/>
      <c r="BK871" s="29" t="s">
        <v>148</v>
      </c>
      <c r="BL871" s="29" t="s">
        <v>148</v>
      </c>
      <c r="BM871" s="45"/>
      <c r="BN871" s="45"/>
      <c r="BO871" s="46"/>
      <c r="BP871" s="2"/>
      <c r="BQ871" s="3"/>
    </row>
    <row r="872" ht="15.75" customHeight="1">
      <c r="A872" s="34">
        <v>883.0</v>
      </c>
      <c r="B872" s="34">
        <v>103754.0</v>
      </c>
      <c r="C872" s="34" t="s">
        <v>76</v>
      </c>
      <c r="D872" s="34" t="s">
        <v>1661</v>
      </c>
      <c r="E872" s="34" t="s">
        <v>1662</v>
      </c>
      <c r="F872" s="34">
        <v>2016.0</v>
      </c>
      <c r="G872" s="34" t="s">
        <v>1663</v>
      </c>
      <c r="H872" s="34" t="s">
        <v>1614</v>
      </c>
      <c r="I872" s="34" t="s">
        <v>1664</v>
      </c>
      <c r="J872" s="35"/>
      <c r="K872" s="36"/>
      <c r="L872" s="36"/>
      <c r="M872" s="36"/>
      <c r="N872" s="36"/>
      <c r="O872" s="36"/>
      <c r="P872" s="37">
        <v>17.0</v>
      </c>
      <c r="Q872" s="36"/>
      <c r="R872" s="36" t="s">
        <v>191</v>
      </c>
      <c r="S872" s="36">
        <v>1000.0</v>
      </c>
      <c r="T872" s="36" t="s">
        <v>193</v>
      </c>
      <c r="U872" s="36" t="s">
        <v>1668</v>
      </c>
      <c r="V872" s="36">
        <v>36.0</v>
      </c>
      <c r="W872" s="36"/>
      <c r="X872" s="38">
        <v>1.0</v>
      </c>
      <c r="Y872" s="38" t="s">
        <v>1669</v>
      </c>
      <c r="Z872" s="38" t="s">
        <v>1670</v>
      </c>
      <c r="AA872" s="38" t="s">
        <v>291</v>
      </c>
      <c r="AB872" s="38">
        <v>46.0827</v>
      </c>
      <c r="AC872" s="38">
        <v>-89.9792</v>
      </c>
      <c r="AD872" s="39" t="s">
        <v>87</v>
      </c>
      <c r="AE872" s="38">
        <v>480.0</v>
      </c>
      <c r="AF872" s="38"/>
      <c r="AG872" s="38" t="s">
        <v>107</v>
      </c>
      <c r="AH872" s="38"/>
      <c r="AI872" s="50">
        <v>46.0827</v>
      </c>
      <c r="AJ872" s="50">
        <v>-89.9792</v>
      </c>
      <c r="AK872" s="41" t="s">
        <v>214</v>
      </c>
      <c r="AL872" s="40" t="s">
        <v>214</v>
      </c>
      <c r="AM872" s="49">
        <v>478.0</v>
      </c>
      <c r="AN872" s="51">
        <v>478.0</v>
      </c>
      <c r="AO872" s="42" t="s">
        <v>372</v>
      </c>
      <c r="AP872" s="43" t="s">
        <v>107</v>
      </c>
      <c r="AQ872" s="44" t="str">
        <f t="shared" si="84"/>
        <v>CSH</v>
      </c>
      <c r="AR872" s="44">
        <f t="shared" si="80"/>
        <v>478</v>
      </c>
      <c r="AS872" s="44" t="str">
        <f t="shared" si="85"/>
        <v>D</v>
      </c>
      <c r="AT872" s="44" t="str">
        <f t="shared" si="17"/>
        <v>Df</v>
      </c>
      <c r="AU872" s="44" t="str">
        <f t="shared" si="2"/>
        <v>Dfb</v>
      </c>
      <c r="AV872" s="38">
        <v>1.0</v>
      </c>
      <c r="AW872" s="38"/>
      <c r="AX872" s="38"/>
      <c r="AY872" s="38"/>
      <c r="AZ872" s="29">
        <v>1000.0</v>
      </c>
      <c r="BA872" s="29"/>
      <c r="BB872" s="29">
        <v>1.0</v>
      </c>
      <c r="BC872" s="29"/>
      <c r="BD872" s="29" t="s">
        <v>88</v>
      </c>
      <c r="BE872" s="29"/>
      <c r="BF872" s="29" t="s">
        <v>802</v>
      </c>
      <c r="BG872" s="29" t="s">
        <v>572</v>
      </c>
      <c r="BH872" s="29" t="s">
        <v>88</v>
      </c>
      <c r="BI872" s="29" t="s">
        <v>1666</v>
      </c>
      <c r="BJ872" s="29"/>
      <c r="BK872" s="29" t="s">
        <v>148</v>
      </c>
      <c r="BL872" s="29" t="s">
        <v>148</v>
      </c>
      <c r="BM872" s="45"/>
      <c r="BN872" s="45"/>
      <c r="BO872" s="46"/>
      <c r="BP872" s="2"/>
      <c r="BQ872" s="3"/>
    </row>
    <row r="873" ht="15.75" customHeight="1">
      <c r="A873" s="34">
        <v>884.0</v>
      </c>
      <c r="B873" s="34">
        <v>103754.0</v>
      </c>
      <c r="C873" s="34" t="s">
        <v>76</v>
      </c>
      <c r="D873" s="34" t="s">
        <v>1661</v>
      </c>
      <c r="E873" s="34" t="s">
        <v>1662</v>
      </c>
      <c r="F873" s="34">
        <v>2016.0</v>
      </c>
      <c r="G873" s="34" t="s">
        <v>1663</v>
      </c>
      <c r="H873" s="34" t="s">
        <v>1614</v>
      </c>
      <c r="I873" s="34" t="s">
        <v>1664</v>
      </c>
      <c r="J873" s="35"/>
      <c r="K873" s="36"/>
      <c r="L873" s="36"/>
      <c r="M873" s="36"/>
      <c r="N873" s="36"/>
      <c r="O873" s="36"/>
      <c r="P873" s="37">
        <v>18.0</v>
      </c>
      <c r="Q873" s="36"/>
      <c r="R873" s="36" t="s">
        <v>191</v>
      </c>
      <c r="S873" s="36">
        <v>1000.0</v>
      </c>
      <c r="T873" s="36" t="s">
        <v>317</v>
      </c>
      <c r="U873" s="36" t="s">
        <v>1510</v>
      </c>
      <c r="V873" s="36">
        <v>36.0</v>
      </c>
      <c r="W873" s="36"/>
      <c r="X873" s="38">
        <v>1.0</v>
      </c>
      <c r="Y873" s="38" t="s">
        <v>309</v>
      </c>
      <c r="Z873" s="38" t="s">
        <v>310</v>
      </c>
      <c r="AA873" s="38" t="s">
        <v>200</v>
      </c>
      <c r="AB873" s="38">
        <v>38.4316</v>
      </c>
      <c r="AC873" s="38">
        <v>-120.966</v>
      </c>
      <c r="AD873" s="39" t="s">
        <v>87</v>
      </c>
      <c r="AE873" s="38">
        <v>177.0</v>
      </c>
      <c r="AF873" s="38" t="s">
        <v>312</v>
      </c>
      <c r="AG873" s="38" t="s">
        <v>175</v>
      </c>
      <c r="AH873" s="38"/>
      <c r="AI873" s="50">
        <v>38.4309</v>
      </c>
      <c r="AJ873" s="50">
        <v>-120.966</v>
      </c>
      <c r="AK873" s="41" t="s">
        <v>313</v>
      </c>
      <c r="AL873" s="40" t="s">
        <v>313</v>
      </c>
      <c r="AM873" s="49">
        <v>171.0</v>
      </c>
      <c r="AN873" s="51">
        <v>171.0</v>
      </c>
      <c r="AO873" s="42" t="s">
        <v>175</v>
      </c>
      <c r="AP873" s="43" t="s">
        <v>175</v>
      </c>
      <c r="AQ873" s="44" t="str">
        <f t="shared" si="84"/>
        <v>WSA</v>
      </c>
      <c r="AR873" s="44">
        <f t="shared" si="80"/>
        <v>171</v>
      </c>
      <c r="AS873" s="44" t="str">
        <f t="shared" si="85"/>
        <v>C</v>
      </c>
      <c r="AT873" s="44" t="str">
        <f t="shared" si="17"/>
        <v>Cs</v>
      </c>
      <c r="AU873" s="44" t="str">
        <f t="shared" si="2"/>
        <v>Csa</v>
      </c>
      <c r="AV873" s="38">
        <v>1.0</v>
      </c>
      <c r="AW873" s="38"/>
      <c r="AX873" s="38"/>
      <c r="AY873" s="38"/>
      <c r="AZ873" s="29">
        <v>1000.0</v>
      </c>
      <c r="BA873" s="29"/>
      <c r="BB873" s="29">
        <v>1.0</v>
      </c>
      <c r="BC873" s="29"/>
      <c r="BD873" s="29" t="s">
        <v>88</v>
      </c>
      <c r="BE873" s="29"/>
      <c r="BF873" s="29" t="s">
        <v>802</v>
      </c>
      <c r="BG873" s="29" t="s">
        <v>572</v>
      </c>
      <c r="BH873" s="29" t="s">
        <v>88</v>
      </c>
      <c r="BI873" s="29" t="s">
        <v>1666</v>
      </c>
      <c r="BJ873" s="29"/>
      <c r="BK873" s="29" t="s">
        <v>148</v>
      </c>
      <c r="BL873" s="29" t="s">
        <v>148</v>
      </c>
      <c r="BM873" s="45"/>
      <c r="BN873" s="45"/>
      <c r="BO873" s="46"/>
      <c r="BP873" s="2"/>
      <c r="BQ873" s="3"/>
    </row>
    <row r="874" ht="15.75" customHeight="1">
      <c r="A874" s="34">
        <v>885.0</v>
      </c>
      <c r="B874" s="34">
        <v>101853.0</v>
      </c>
      <c r="C874" s="34" t="s">
        <v>76</v>
      </c>
      <c r="D874" s="34" t="s">
        <v>1671</v>
      </c>
      <c r="E874" s="34" t="s">
        <v>1672</v>
      </c>
      <c r="F874" s="34">
        <v>2012.0</v>
      </c>
      <c r="G874" s="34" t="s">
        <v>1673</v>
      </c>
      <c r="H874" s="34" t="s">
        <v>282</v>
      </c>
      <c r="I874" s="34" t="s">
        <v>1674</v>
      </c>
      <c r="J874" s="35"/>
      <c r="K874" s="36">
        <v>-0.18</v>
      </c>
      <c r="L874" s="36">
        <v>1.08</v>
      </c>
      <c r="M874" s="36"/>
      <c r="N874" s="36"/>
      <c r="O874" s="36"/>
      <c r="P874" s="52">
        <f t="shared" ref="P874:P892" si="86">K874/L874*100</f>
        <v>-16.66666667</v>
      </c>
      <c r="Q874" s="36" t="s">
        <v>96</v>
      </c>
      <c r="R874" s="36" t="s">
        <v>96</v>
      </c>
      <c r="S874" s="36" t="s">
        <v>1675</v>
      </c>
      <c r="T874" s="36" t="s">
        <v>193</v>
      </c>
      <c r="U874" s="36" t="s">
        <v>194</v>
      </c>
      <c r="V874" s="36"/>
      <c r="W874" s="36"/>
      <c r="X874" s="38">
        <v>1.0</v>
      </c>
      <c r="Y874" s="38" t="s">
        <v>1676</v>
      </c>
      <c r="Z874" s="38" t="s">
        <v>1677</v>
      </c>
      <c r="AA874" s="38" t="s">
        <v>86</v>
      </c>
      <c r="AB874" s="38">
        <v>36.61</v>
      </c>
      <c r="AC874" s="38" t="s">
        <v>1678</v>
      </c>
      <c r="AD874" s="38" t="s">
        <v>87</v>
      </c>
      <c r="AE874" s="38">
        <v>314.0</v>
      </c>
      <c r="AF874" s="38" t="s">
        <v>1679</v>
      </c>
      <c r="AG874" s="38" t="s">
        <v>386</v>
      </c>
      <c r="AH874" s="38"/>
      <c r="AI874" s="50">
        <v>36.61</v>
      </c>
      <c r="AJ874" s="50">
        <v>-97.49</v>
      </c>
      <c r="AK874" s="41" t="s">
        <v>86</v>
      </c>
      <c r="AL874" s="40" t="s">
        <v>86</v>
      </c>
      <c r="AM874" s="49">
        <v>315.0</v>
      </c>
      <c r="AN874" s="51">
        <v>315.0</v>
      </c>
      <c r="AO874" s="42" t="s">
        <v>201</v>
      </c>
      <c r="AP874" s="43" t="s">
        <v>201</v>
      </c>
      <c r="AQ874" s="44" t="str">
        <f t="shared" si="84"/>
        <v>CRO</v>
      </c>
      <c r="AR874" s="44">
        <f t="shared" si="80"/>
        <v>315</v>
      </c>
      <c r="AS874" s="44" t="str">
        <f t="shared" si="85"/>
        <v>C</v>
      </c>
      <c r="AT874" s="44" t="str">
        <f t="shared" si="17"/>
        <v>Cf</v>
      </c>
      <c r="AU874" s="44" t="str">
        <f t="shared" si="2"/>
        <v>Cfa</v>
      </c>
      <c r="AV874" s="38"/>
      <c r="AW874" s="38"/>
      <c r="AX874" s="38"/>
      <c r="AY874" s="38"/>
      <c r="AZ874" s="29" t="s">
        <v>1680</v>
      </c>
      <c r="BA874" s="29"/>
      <c r="BB874" s="29">
        <v>1.0</v>
      </c>
      <c r="BC874" s="29" t="s">
        <v>1681</v>
      </c>
      <c r="BD874" s="29" t="s">
        <v>88</v>
      </c>
      <c r="BE874" s="29"/>
      <c r="BF874" s="29" t="s">
        <v>1682</v>
      </c>
      <c r="BG874" s="29" t="s">
        <v>91</v>
      </c>
      <c r="BH874" s="29" t="s">
        <v>92</v>
      </c>
      <c r="BI874" s="29" t="s">
        <v>1683</v>
      </c>
      <c r="BJ874" s="29"/>
      <c r="BK874" s="29" t="s">
        <v>681</v>
      </c>
      <c r="BL874" s="29"/>
      <c r="BM874" s="45"/>
      <c r="BN874" s="45">
        <v>1.0</v>
      </c>
      <c r="BO874" s="38" t="s">
        <v>1676</v>
      </c>
      <c r="BP874" s="2"/>
      <c r="BQ874" s="3"/>
    </row>
    <row r="875" ht="15.75" customHeight="1">
      <c r="A875" s="34">
        <v>886.0</v>
      </c>
      <c r="B875" s="34">
        <v>101853.0</v>
      </c>
      <c r="C875" s="34" t="s">
        <v>76</v>
      </c>
      <c r="D875" s="34" t="s">
        <v>1671</v>
      </c>
      <c r="E875" s="34" t="s">
        <v>1672</v>
      </c>
      <c r="F875" s="34">
        <v>2012.0</v>
      </c>
      <c r="G875" s="34" t="s">
        <v>1673</v>
      </c>
      <c r="H875" s="34" t="s">
        <v>282</v>
      </c>
      <c r="I875" s="34" t="s">
        <v>1674</v>
      </c>
      <c r="J875" s="35"/>
      <c r="K875" s="36">
        <v>0.48</v>
      </c>
      <c r="L875" s="36">
        <v>1.41</v>
      </c>
      <c r="M875" s="36"/>
      <c r="N875" s="36"/>
      <c r="O875" s="36"/>
      <c r="P875" s="52">
        <f t="shared" si="86"/>
        <v>34.04255319</v>
      </c>
      <c r="Q875" s="36" t="s">
        <v>96</v>
      </c>
      <c r="R875" s="36" t="s">
        <v>96</v>
      </c>
      <c r="S875" s="36" t="s">
        <v>1675</v>
      </c>
      <c r="T875" s="36" t="s">
        <v>295</v>
      </c>
      <c r="U875" s="36" t="s">
        <v>194</v>
      </c>
      <c r="V875" s="36"/>
      <c r="W875" s="36"/>
      <c r="X875" s="38">
        <v>1.0</v>
      </c>
      <c r="Y875" s="38" t="s">
        <v>1684</v>
      </c>
      <c r="Z875" s="38" t="s">
        <v>1684</v>
      </c>
      <c r="AA875" s="38" t="s">
        <v>288</v>
      </c>
      <c r="AB875" s="38">
        <v>71.32</v>
      </c>
      <c r="AC875" s="38" t="s">
        <v>1685</v>
      </c>
      <c r="AD875" s="38"/>
      <c r="AE875" s="38">
        <v>1.0</v>
      </c>
      <c r="AF875" s="38"/>
      <c r="AG875" s="38" t="s">
        <v>1686</v>
      </c>
      <c r="AH875" s="38"/>
      <c r="AI875" s="50">
        <v>71.32</v>
      </c>
      <c r="AJ875" s="50">
        <v>-156.63</v>
      </c>
      <c r="AK875" s="41" t="s">
        <v>214</v>
      </c>
      <c r="AL875" s="40" t="s">
        <v>214</v>
      </c>
      <c r="AM875" s="49"/>
      <c r="AN875" s="43"/>
      <c r="AO875" s="42" t="s">
        <v>604</v>
      </c>
      <c r="AP875" s="43" t="s">
        <v>605</v>
      </c>
      <c r="AQ875" s="44" t="str">
        <f t="shared" si="84"/>
        <v>GRA</v>
      </c>
      <c r="AR875" s="44" t="str">
        <f t="shared" si="80"/>
        <v/>
      </c>
      <c r="AS875" s="44" t="str">
        <f t="shared" si="85"/>
        <v>E</v>
      </c>
      <c r="AT875" s="44" t="str">
        <f t="shared" si="17"/>
        <v>ET</v>
      </c>
      <c r="AU875" s="44" t="str">
        <f t="shared" si="2"/>
        <v>ET</v>
      </c>
      <c r="AV875" s="38"/>
      <c r="AW875" s="38"/>
      <c r="AX875" s="38"/>
      <c r="AY875" s="38"/>
      <c r="AZ875" s="29" t="s">
        <v>1680</v>
      </c>
      <c r="BA875" s="29"/>
      <c r="BB875" s="29">
        <v>1.0</v>
      </c>
      <c r="BC875" s="29" t="s">
        <v>1681</v>
      </c>
      <c r="BD875" s="29" t="s">
        <v>88</v>
      </c>
      <c r="BE875" s="29"/>
      <c r="BF875" s="29" t="s">
        <v>1682</v>
      </c>
      <c r="BG875" s="29" t="s">
        <v>91</v>
      </c>
      <c r="BH875" s="29" t="s">
        <v>92</v>
      </c>
      <c r="BI875" s="29" t="s">
        <v>1683</v>
      </c>
      <c r="BJ875" s="29"/>
      <c r="BK875" s="29" t="s">
        <v>681</v>
      </c>
      <c r="BL875" s="29"/>
      <c r="BM875" s="45"/>
      <c r="BN875" s="45"/>
      <c r="BO875" s="38" t="s">
        <v>1684</v>
      </c>
      <c r="BP875" s="2"/>
      <c r="BQ875" s="3"/>
    </row>
    <row r="876" ht="15.75" customHeight="1">
      <c r="A876" s="34">
        <v>887.0</v>
      </c>
      <c r="B876" s="34">
        <v>101853.0</v>
      </c>
      <c r="C876" s="34" t="s">
        <v>76</v>
      </c>
      <c r="D876" s="34" t="s">
        <v>1671</v>
      </c>
      <c r="E876" s="34" t="s">
        <v>1672</v>
      </c>
      <c r="F876" s="34">
        <v>2012.0</v>
      </c>
      <c r="G876" s="34" t="s">
        <v>1673</v>
      </c>
      <c r="H876" s="34" t="s">
        <v>282</v>
      </c>
      <c r="I876" s="34" t="s">
        <v>1674</v>
      </c>
      <c r="J876" s="35"/>
      <c r="K876" s="36">
        <v>0.59</v>
      </c>
      <c r="L876" s="36">
        <v>1.44</v>
      </c>
      <c r="M876" s="36"/>
      <c r="N876" s="36"/>
      <c r="O876" s="36"/>
      <c r="P876" s="52">
        <f t="shared" si="86"/>
        <v>40.97222222</v>
      </c>
      <c r="Q876" s="36" t="s">
        <v>96</v>
      </c>
      <c r="R876" s="36" t="s">
        <v>96</v>
      </c>
      <c r="S876" s="36" t="s">
        <v>1675</v>
      </c>
      <c r="T876" s="36" t="s">
        <v>295</v>
      </c>
      <c r="U876" s="36" t="s">
        <v>194</v>
      </c>
      <c r="V876" s="36"/>
      <c r="W876" s="36"/>
      <c r="X876" s="38">
        <v>1.0</v>
      </c>
      <c r="Y876" s="38" t="s">
        <v>1687</v>
      </c>
      <c r="Z876" s="38" t="s">
        <v>1687</v>
      </c>
      <c r="AA876" s="38" t="s">
        <v>370</v>
      </c>
      <c r="AB876" s="38">
        <v>44.06</v>
      </c>
      <c r="AC876" s="38" t="s">
        <v>1688</v>
      </c>
      <c r="AD876" s="38"/>
      <c r="AE876" s="38">
        <v>272.0</v>
      </c>
      <c r="AF876" s="38"/>
      <c r="AG876" s="38" t="s">
        <v>386</v>
      </c>
      <c r="AH876" s="38"/>
      <c r="AI876" s="50">
        <v>44.06</v>
      </c>
      <c r="AJ876" s="50">
        <v>-71.29</v>
      </c>
      <c r="AK876" s="41" t="s">
        <v>370</v>
      </c>
      <c r="AL876" s="40" t="s">
        <v>370</v>
      </c>
      <c r="AM876" s="49">
        <v>299.0</v>
      </c>
      <c r="AN876" s="51">
        <v>299.0</v>
      </c>
      <c r="AO876" s="42" t="s">
        <v>372</v>
      </c>
      <c r="AP876" s="43" t="s">
        <v>107</v>
      </c>
      <c r="AQ876" s="44" t="str">
        <f t="shared" si="84"/>
        <v>DBF</v>
      </c>
      <c r="AR876" s="44">
        <f t="shared" si="80"/>
        <v>299</v>
      </c>
      <c r="AS876" s="44" t="str">
        <f t="shared" si="85"/>
        <v>D</v>
      </c>
      <c r="AT876" s="44" t="str">
        <f t="shared" si="17"/>
        <v>Df</v>
      </c>
      <c r="AU876" s="44" t="str">
        <f t="shared" si="2"/>
        <v>Dfb</v>
      </c>
      <c r="AV876" s="38"/>
      <c r="AW876" s="38"/>
      <c r="AX876" s="38"/>
      <c r="AY876" s="38"/>
      <c r="AZ876" s="29" t="s">
        <v>1680</v>
      </c>
      <c r="BA876" s="29"/>
      <c r="BB876" s="29">
        <v>1.0</v>
      </c>
      <c r="BC876" s="29" t="s">
        <v>1681</v>
      </c>
      <c r="BD876" s="29" t="s">
        <v>88</v>
      </c>
      <c r="BE876" s="29"/>
      <c r="BF876" s="29" t="s">
        <v>1682</v>
      </c>
      <c r="BG876" s="29" t="s">
        <v>91</v>
      </c>
      <c r="BH876" s="29" t="s">
        <v>92</v>
      </c>
      <c r="BI876" s="29" t="s">
        <v>1683</v>
      </c>
      <c r="BJ876" s="29"/>
      <c r="BK876" s="29" t="s">
        <v>681</v>
      </c>
      <c r="BL876" s="29"/>
      <c r="BM876" s="45"/>
      <c r="BN876" s="45"/>
      <c r="BO876" s="38" t="s">
        <v>1687</v>
      </c>
      <c r="BP876" s="2"/>
      <c r="BQ876" s="3"/>
    </row>
    <row r="877" ht="15.75" customHeight="1">
      <c r="A877" s="34">
        <v>888.0</v>
      </c>
      <c r="B877" s="34">
        <v>101853.0</v>
      </c>
      <c r="C877" s="34" t="s">
        <v>76</v>
      </c>
      <c r="D877" s="34" t="s">
        <v>1671</v>
      </c>
      <c r="E877" s="34" t="s">
        <v>1672</v>
      </c>
      <c r="F877" s="34">
        <v>2012.0</v>
      </c>
      <c r="G877" s="34" t="s">
        <v>1673</v>
      </c>
      <c r="H877" s="34" t="s">
        <v>282</v>
      </c>
      <c r="I877" s="34" t="s">
        <v>1674</v>
      </c>
      <c r="J877" s="35"/>
      <c r="K877" s="36">
        <v>-0.46</v>
      </c>
      <c r="L877" s="36">
        <v>1.25</v>
      </c>
      <c r="M877" s="36"/>
      <c r="N877" s="36"/>
      <c r="O877" s="36"/>
      <c r="P877" s="52">
        <f t="shared" si="86"/>
        <v>-36.8</v>
      </c>
      <c r="Q877" s="36" t="s">
        <v>96</v>
      </c>
      <c r="R877" s="36" t="s">
        <v>96</v>
      </c>
      <c r="S877" s="36" t="s">
        <v>1675</v>
      </c>
      <c r="T877" s="36" t="s">
        <v>328</v>
      </c>
      <c r="U877" s="36" t="s">
        <v>968</v>
      </c>
      <c r="V877" s="36"/>
      <c r="W877" s="36"/>
      <c r="X877" s="38">
        <v>1.0</v>
      </c>
      <c r="Y877" s="38" t="s">
        <v>1689</v>
      </c>
      <c r="Z877" s="38" t="s">
        <v>1689</v>
      </c>
      <c r="AA877" s="38" t="s">
        <v>86</v>
      </c>
      <c r="AB877" s="38">
        <v>40.01</v>
      </c>
      <c r="AC877" s="38" t="s">
        <v>1690</v>
      </c>
      <c r="AD877" s="38" t="s">
        <v>87</v>
      </c>
      <c r="AE877" s="38">
        <v>219.0</v>
      </c>
      <c r="AF877" s="38" t="s">
        <v>1679</v>
      </c>
      <c r="AG877" s="38" t="s">
        <v>108</v>
      </c>
      <c r="AH877" s="38"/>
      <c r="AI877" s="50">
        <v>40.01</v>
      </c>
      <c r="AJ877" s="50">
        <v>-88.29</v>
      </c>
      <c r="AK877" s="41" t="s">
        <v>86</v>
      </c>
      <c r="AL877" s="40" t="s">
        <v>86</v>
      </c>
      <c r="AM877" s="49">
        <v>221.0</v>
      </c>
      <c r="AN877" s="51">
        <v>221.0</v>
      </c>
      <c r="AO877" s="42" t="s">
        <v>107</v>
      </c>
      <c r="AP877" s="43" t="s">
        <v>108</v>
      </c>
      <c r="AQ877" s="44" t="str">
        <f t="shared" si="84"/>
        <v>CRO</v>
      </c>
      <c r="AR877" s="44">
        <f t="shared" si="80"/>
        <v>221</v>
      </c>
      <c r="AS877" s="44" t="str">
        <f t="shared" si="85"/>
        <v>D</v>
      </c>
      <c r="AT877" s="44" t="str">
        <f t="shared" si="17"/>
        <v>Df</v>
      </c>
      <c r="AU877" s="44" t="str">
        <f t="shared" si="2"/>
        <v>Dfa</v>
      </c>
      <c r="AV877" s="38"/>
      <c r="AW877" s="38"/>
      <c r="AX877" s="38"/>
      <c r="AY877" s="38"/>
      <c r="AZ877" s="29" t="s">
        <v>1680</v>
      </c>
      <c r="BA877" s="29"/>
      <c r="BB877" s="29">
        <v>1.0</v>
      </c>
      <c r="BC877" s="29" t="s">
        <v>1681</v>
      </c>
      <c r="BD877" s="29" t="s">
        <v>88</v>
      </c>
      <c r="BE877" s="29"/>
      <c r="BF877" s="29" t="s">
        <v>1682</v>
      </c>
      <c r="BG877" s="29" t="s">
        <v>91</v>
      </c>
      <c r="BH877" s="29" t="s">
        <v>92</v>
      </c>
      <c r="BI877" s="29" t="s">
        <v>1683</v>
      </c>
      <c r="BJ877" s="29"/>
      <c r="BK877" s="29" t="s">
        <v>681</v>
      </c>
      <c r="BL877" s="29"/>
      <c r="BM877" s="45"/>
      <c r="BN877" s="45"/>
      <c r="BO877" s="38" t="s">
        <v>1689</v>
      </c>
      <c r="BP877" s="2"/>
      <c r="BQ877" s="3"/>
    </row>
    <row r="878" ht="15.75" customHeight="1">
      <c r="A878" s="34">
        <v>889.0</v>
      </c>
      <c r="B878" s="34">
        <v>101853.0</v>
      </c>
      <c r="C878" s="34" t="s">
        <v>76</v>
      </c>
      <c r="D878" s="34" t="s">
        <v>1671</v>
      </c>
      <c r="E878" s="34" t="s">
        <v>1672</v>
      </c>
      <c r="F878" s="34">
        <v>2012.0</v>
      </c>
      <c r="G878" s="34" t="s">
        <v>1673</v>
      </c>
      <c r="H878" s="34" t="s">
        <v>282</v>
      </c>
      <c r="I878" s="34" t="s">
        <v>1674</v>
      </c>
      <c r="J878" s="35"/>
      <c r="K878" s="36">
        <v>-0.09</v>
      </c>
      <c r="L878" s="36">
        <v>2.37</v>
      </c>
      <c r="M878" s="36"/>
      <c r="N878" s="36"/>
      <c r="O878" s="36"/>
      <c r="P878" s="52">
        <f t="shared" si="86"/>
        <v>-3.797468354</v>
      </c>
      <c r="Q878" s="36" t="s">
        <v>96</v>
      </c>
      <c r="R878" s="36" t="s">
        <v>96</v>
      </c>
      <c r="S878" s="36" t="s">
        <v>1675</v>
      </c>
      <c r="T878" s="36" t="s">
        <v>328</v>
      </c>
      <c r="U878" s="36" t="s">
        <v>968</v>
      </c>
      <c r="V878" s="36"/>
      <c r="W878" s="36"/>
      <c r="X878" s="38">
        <v>1.0</v>
      </c>
      <c r="Y878" s="38" t="s">
        <v>1691</v>
      </c>
      <c r="Z878" s="38" t="s">
        <v>1691</v>
      </c>
      <c r="AA878" s="38" t="s">
        <v>197</v>
      </c>
      <c r="AB878" s="38">
        <v>29.75</v>
      </c>
      <c r="AC878" s="38" t="s">
        <v>1692</v>
      </c>
      <c r="AD878" s="38"/>
      <c r="AE878" s="53"/>
      <c r="AF878" s="38"/>
      <c r="AG878" s="57" t="s">
        <v>592</v>
      </c>
      <c r="AH878" s="38"/>
      <c r="AI878" s="50">
        <v>29.75</v>
      </c>
      <c r="AJ878" s="50">
        <v>-82.16</v>
      </c>
      <c r="AK878" s="41" t="s">
        <v>197</v>
      </c>
      <c r="AL878" s="40" t="s">
        <v>197</v>
      </c>
      <c r="AM878" s="49">
        <v>35.0</v>
      </c>
      <c r="AN878" s="51">
        <v>35.0</v>
      </c>
      <c r="AO878" s="42" t="s">
        <v>201</v>
      </c>
      <c r="AP878" s="43" t="s">
        <v>201</v>
      </c>
      <c r="AQ878" s="44" t="str">
        <f t="shared" si="84"/>
        <v>ENF</v>
      </c>
      <c r="AR878" s="44">
        <f t="shared" si="80"/>
        <v>35</v>
      </c>
      <c r="AS878" s="44" t="str">
        <f t="shared" si="85"/>
        <v>C</v>
      </c>
      <c r="AT878" s="44" t="str">
        <f t="shared" si="17"/>
        <v>Cf</v>
      </c>
      <c r="AU878" s="44" t="str">
        <f t="shared" si="2"/>
        <v>Cfa</v>
      </c>
      <c r="AV878" s="38"/>
      <c r="AW878" s="38"/>
      <c r="AX878" s="38"/>
      <c r="AY878" s="38"/>
      <c r="AZ878" s="29" t="s">
        <v>1680</v>
      </c>
      <c r="BA878" s="29"/>
      <c r="BB878" s="29">
        <v>1.0</v>
      </c>
      <c r="BC878" s="29" t="s">
        <v>1681</v>
      </c>
      <c r="BD878" s="29" t="s">
        <v>88</v>
      </c>
      <c r="BE878" s="29"/>
      <c r="BF878" s="29" t="s">
        <v>1682</v>
      </c>
      <c r="BG878" s="29" t="s">
        <v>91</v>
      </c>
      <c r="BH878" s="29" t="s">
        <v>92</v>
      </c>
      <c r="BI878" s="29" t="s">
        <v>1683</v>
      </c>
      <c r="BJ878" s="29"/>
      <c r="BK878" s="29" t="s">
        <v>681</v>
      </c>
      <c r="BL878" s="29"/>
      <c r="BM878" s="45"/>
      <c r="BN878" s="45"/>
      <c r="BO878" s="38" t="s">
        <v>1691</v>
      </c>
      <c r="BP878" s="2"/>
      <c r="BQ878" s="3"/>
    </row>
    <row r="879" ht="15.75" customHeight="1">
      <c r="A879" s="34">
        <v>890.0</v>
      </c>
      <c r="B879" s="34">
        <v>101853.0</v>
      </c>
      <c r="C879" s="34" t="s">
        <v>76</v>
      </c>
      <c r="D879" s="34" t="s">
        <v>1671</v>
      </c>
      <c r="E879" s="34" t="s">
        <v>1672</v>
      </c>
      <c r="F879" s="34">
        <v>2012.0</v>
      </c>
      <c r="G879" s="34" t="s">
        <v>1673</v>
      </c>
      <c r="H879" s="34" t="s">
        <v>282</v>
      </c>
      <c r="I879" s="34" t="s">
        <v>1674</v>
      </c>
      <c r="J879" s="35"/>
      <c r="K879" s="36">
        <v>-0.46</v>
      </c>
      <c r="L879" s="36">
        <v>1.23</v>
      </c>
      <c r="M879" s="36"/>
      <c r="N879" s="36"/>
      <c r="O879" s="36"/>
      <c r="P879" s="52">
        <f t="shared" si="86"/>
        <v>-37.39837398</v>
      </c>
      <c r="Q879" s="36" t="s">
        <v>96</v>
      </c>
      <c r="R879" s="36" t="s">
        <v>96</v>
      </c>
      <c r="S879" s="36" t="s">
        <v>1675</v>
      </c>
      <c r="T879" s="36" t="s">
        <v>317</v>
      </c>
      <c r="U879" s="36" t="s">
        <v>342</v>
      </c>
      <c r="V879" s="36"/>
      <c r="W879" s="36"/>
      <c r="X879" s="38">
        <v>1.0</v>
      </c>
      <c r="Y879" s="38" t="s">
        <v>1693</v>
      </c>
      <c r="Z879" s="38" t="s">
        <v>1694</v>
      </c>
      <c r="AA879" s="38" t="s">
        <v>86</v>
      </c>
      <c r="AB879" s="38">
        <v>41.86</v>
      </c>
      <c r="AC879" s="38" t="s">
        <v>1695</v>
      </c>
      <c r="AD879" s="38"/>
      <c r="AE879" s="53"/>
      <c r="AF879" s="38"/>
      <c r="AG879" s="57"/>
      <c r="AH879" s="38"/>
      <c r="AI879" s="50">
        <v>41.86</v>
      </c>
      <c r="AJ879" s="50">
        <v>-88.22</v>
      </c>
      <c r="AK879" s="41" t="s">
        <v>86</v>
      </c>
      <c r="AL879" s="40" t="s">
        <v>86</v>
      </c>
      <c r="AM879" s="49">
        <v>229.0</v>
      </c>
      <c r="AN879" s="51">
        <v>229.0</v>
      </c>
      <c r="AO879" s="42" t="s">
        <v>107</v>
      </c>
      <c r="AP879" s="43" t="s">
        <v>108</v>
      </c>
      <c r="AQ879" s="44" t="str">
        <f t="shared" si="84"/>
        <v>CRO</v>
      </c>
      <c r="AR879" s="44">
        <f t="shared" si="80"/>
        <v>229</v>
      </c>
      <c r="AS879" s="44" t="str">
        <f t="shared" si="85"/>
        <v>D</v>
      </c>
      <c r="AT879" s="44" t="str">
        <f t="shared" si="17"/>
        <v>Df</v>
      </c>
      <c r="AU879" s="44" t="str">
        <f t="shared" si="2"/>
        <v>Dfa</v>
      </c>
      <c r="AV879" s="38"/>
      <c r="AW879" s="38"/>
      <c r="AX879" s="38"/>
      <c r="AY879" s="38"/>
      <c r="AZ879" s="29" t="s">
        <v>1680</v>
      </c>
      <c r="BA879" s="29"/>
      <c r="BB879" s="29">
        <v>1.0</v>
      </c>
      <c r="BC879" s="29" t="s">
        <v>1681</v>
      </c>
      <c r="BD879" s="29" t="s">
        <v>88</v>
      </c>
      <c r="BE879" s="29"/>
      <c r="BF879" s="29" t="s">
        <v>1682</v>
      </c>
      <c r="BG879" s="29" t="s">
        <v>91</v>
      </c>
      <c r="BH879" s="29" t="s">
        <v>92</v>
      </c>
      <c r="BI879" s="29" t="s">
        <v>1683</v>
      </c>
      <c r="BJ879" s="29"/>
      <c r="BK879" s="29" t="s">
        <v>681</v>
      </c>
      <c r="BL879" s="29"/>
      <c r="BM879" s="45"/>
      <c r="BN879" s="45"/>
      <c r="BO879" s="38" t="s">
        <v>1693</v>
      </c>
      <c r="BP879" s="2"/>
      <c r="BQ879" s="3"/>
    </row>
    <row r="880" ht="15.75" customHeight="1">
      <c r="A880" s="34">
        <v>891.0</v>
      </c>
      <c r="B880" s="34">
        <v>101853.0</v>
      </c>
      <c r="C880" s="34" t="s">
        <v>76</v>
      </c>
      <c r="D880" s="34" t="s">
        <v>1671</v>
      </c>
      <c r="E880" s="34" t="s">
        <v>1672</v>
      </c>
      <c r="F880" s="34">
        <v>2012.0</v>
      </c>
      <c r="G880" s="34" t="s">
        <v>1673</v>
      </c>
      <c r="H880" s="34" t="s">
        <v>282</v>
      </c>
      <c r="I880" s="34" t="s">
        <v>1674</v>
      </c>
      <c r="J880" s="35"/>
      <c r="K880" s="36">
        <v>-0.22</v>
      </c>
      <c r="L880" s="36">
        <v>1.36</v>
      </c>
      <c r="M880" s="36"/>
      <c r="N880" s="36"/>
      <c r="O880" s="36"/>
      <c r="P880" s="52">
        <f t="shared" si="86"/>
        <v>-16.17647059</v>
      </c>
      <c r="Q880" s="36" t="s">
        <v>96</v>
      </c>
      <c r="R880" s="36" t="s">
        <v>96</v>
      </c>
      <c r="S880" s="36" t="s">
        <v>1675</v>
      </c>
      <c r="T880" s="36" t="s">
        <v>317</v>
      </c>
      <c r="U880" s="36" t="s">
        <v>285</v>
      </c>
      <c r="V880" s="36"/>
      <c r="W880" s="36"/>
      <c r="X880" s="38">
        <v>1.0</v>
      </c>
      <c r="Y880" s="38" t="s">
        <v>1696</v>
      </c>
      <c r="Z880" s="38" t="s">
        <v>1697</v>
      </c>
      <c r="AA880" s="38" t="s">
        <v>288</v>
      </c>
      <c r="AB880" s="38">
        <v>41.84</v>
      </c>
      <c r="AC880" s="38" t="s">
        <v>1698</v>
      </c>
      <c r="AD880" s="38"/>
      <c r="AE880" s="53"/>
      <c r="AF880" s="38"/>
      <c r="AG880" s="57"/>
      <c r="AH880" s="38"/>
      <c r="AI880" s="50">
        <v>41.84</v>
      </c>
      <c r="AJ880" s="50">
        <v>-88.24</v>
      </c>
      <c r="AK880" s="41" t="s">
        <v>86</v>
      </c>
      <c r="AL880" s="40" t="s">
        <v>86</v>
      </c>
      <c r="AM880" s="49">
        <v>227.0</v>
      </c>
      <c r="AN880" s="51">
        <v>227.0</v>
      </c>
      <c r="AO880" s="42" t="s">
        <v>107</v>
      </c>
      <c r="AP880" s="43" t="s">
        <v>108</v>
      </c>
      <c r="AQ880" s="44" t="str">
        <f t="shared" si="84"/>
        <v>GRA</v>
      </c>
      <c r="AR880" s="44">
        <f t="shared" si="80"/>
        <v>227</v>
      </c>
      <c r="AS880" s="44" t="str">
        <f t="shared" si="85"/>
        <v>D</v>
      </c>
      <c r="AT880" s="44" t="str">
        <f t="shared" si="17"/>
        <v>Df</v>
      </c>
      <c r="AU880" s="44" t="str">
        <f t="shared" si="2"/>
        <v>Dfa</v>
      </c>
      <c r="AV880" s="38"/>
      <c r="AW880" s="38"/>
      <c r="AX880" s="38"/>
      <c r="AY880" s="38"/>
      <c r="AZ880" s="29" t="s">
        <v>1680</v>
      </c>
      <c r="BA880" s="29"/>
      <c r="BB880" s="29">
        <v>1.0</v>
      </c>
      <c r="BC880" s="29" t="s">
        <v>1681</v>
      </c>
      <c r="BD880" s="29" t="s">
        <v>88</v>
      </c>
      <c r="BE880" s="29"/>
      <c r="BF880" s="29" t="s">
        <v>1682</v>
      </c>
      <c r="BG880" s="29" t="s">
        <v>91</v>
      </c>
      <c r="BH880" s="29" t="s">
        <v>92</v>
      </c>
      <c r="BI880" s="29" t="s">
        <v>1683</v>
      </c>
      <c r="BJ880" s="29"/>
      <c r="BK880" s="29" t="s">
        <v>681</v>
      </c>
      <c r="BL880" s="29"/>
      <c r="BM880" s="45"/>
      <c r="BN880" s="45"/>
      <c r="BO880" s="38" t="s">
        <v>1696</v>
      </c>
      <c r="BP880" s="2"/>
      <c r="BQ880" s="3"/>
    </row>
    <row r="881" ht="15.75" customHeight="1">
      <c r="A881" s="34">
        <v>892.0</v>
      </c>
      <c r="B881" s="34">
        <v>101853.0</v>
      </c>
      <c r="C881" s="34" t="s">
        <v>76</v>
      </c>
      <c r="D881" s="34" t="s">
        <v>1671</v>
      </c>
      <c r="E881" s="34" t="s">
        <v>1672</v>
      </c>
      <c r="F881" s="34">
        <v>2012.0</v>
      </c>
      <c r="G881" s="34" t="s">
        <v>1673</v>
      </c>
      <c r="H881" s="34" t="s">
        <v>282</v>
      </c>
      <c r="I881" s="34" t="s">
        <v>1674</v>
      </c>
      <c r="J881" s="35"/>
      <c r="K881" s="36">
        <v>-0.33</v>
      </c>
      <c r="L881" s="36">
        <v>1.43</v>
      </c>
      <c r="M881" s="36"/>
      <c r="N881" s="36"/>
      <c r="O881" s="36"/>
      <c r="P881" s="52">
        <f t="shared" si="86"/>
        <v>-23.07692308</v>
      </c>
      <c r="Q881" s="36" t="s">
        <v>96</v>
      </c>
      <c r="R881" s="36" t="s">
        <v>96</v>
      </c>
      <c r="S881" s="36" t="s">
        <v>1675</v>
      </c>
      <c r="T881" s="36" t="s">
        <v>284</v>
      </c>
      <c r="U881" s="36" t="s">
        <v>194</v>
      </c>
      <c r="V881" s="36"/>
      <c r="W881" s="36"/>
      <c r="X881" s="38">
        <v>1.0</v>
      </c>
      <c r="Y881" s="38" t="s">
        <v>1699</v>
      </c>
      <c r="Z881" s="38" t="s">
        <v>1700</v>
      </c>
      <c r="AA881" s="38" t="s">
        <v>86</v>
      </c>
      <c r="AB881" s="38">
        <v>41.16</v>
      </c>
      <c r="AC881" s="38" t="s">
        <v>1701</v>
      </c>
      <c r="AD881" s="38"/>
      <c r="AE881" s="38">
        <v>361.0</v>
      </c>
      <c r="AF881" s="38"/>
      <c r="AG881" s="38" t="s">
        <v>386</v>
      </c>
      <c r="AH881" s="38"/>
      <c r="AI881" s="50">
        <v>41.16</v>
      </c>
      <c r="AJ881" s="50">
        <v>-96.47</v>
      </c>
      <c r="AK881" s="41" t="s">
        <v>86</v>
      </c>
      <c r="AL881" s="40" t="s">
        <v>86</v>
      </c>
      <c r="AM881" s="49">
        <v>355.0</v>
      </c>
      <c r="AN881" s="51">
        <v>355.0</v>
      </c>
      <c r="AO881" s="42" t="s">
        <v>107</v>
      </c>
      <c r="AP881" s="43" t="s">
        <v>108</v>
      </c>
      <c r="AQ881" s="44" t="str">
        <f t="shared" si="84"/>
        <v>CRO</v>
      </c>
      <c r="AR881" s="44">
        <f t="shared" si="80"/>
        <v>355</v>
      </c>
      <c r="AS881" s="44" t="str">
        <f t="shared" si="85"/>
        <v>D</v>
      </c>
      <c r="AT881" s="44" t="str">
        <f t="shared" si="17"/>
        <v>Df</v>
      </c>
      <c r="AU881" s="44" t="str">
        <f t="shared" si="2"/>
        <v>Dfa</v>
      </c>
      <c r="AV881" s="38"/>
      <c r="AW881" s="38"/>
      <c r="AX881" s="38"/>
      <c r="AY881" s="38"/>
      <c r="AZ881" s="29" t="s">
        <v>1680</v>
      </c>
      <c r="BA881" s="29"/>
      <c r="BB881" s="29">
        <v>1.0</v>
      </c>
      <c r="BC881" s="29" t="s">
        <v>1681</v>
      </c>
      <c r="BD881" s="29" t="s">
        <v>88</v>
      </c>
      <c r="BE881" s="29"/>
      <c r="BF881" s="29" t="s">
        <v>1682</v>
      </c>
      <c r="BG881" s="29" t="s">
        <v>91</v>
      </c>
      <c r="BH881" s="29" t="s">
        <v>92</v>
      </c>
      <c r="BI881" s="29" t="s">
        <v>1683</v>
      </c>
      <c r="BJ881" s="29"/>
      <c r="BK881" s="29" t="s">
        <v>681</v>
      </c>
      <c r="BL881" s="29"/>
      <c r="BM881" s="45"/>
      <c r="BN881" s="45"/>
      <c r="BO881" s="38" t="s">
        <v>1699</v>
      </c>
      <c r="BP881" s="2"/>
      <c r="BQ881" s="3"/>
    </row>
    <row r="882" ht="15.75" customHeight="1">
      <c r="A882" s="34">
        <v>893.0</v>
      </c>
      <c r="B882" s="34">
        <v>101853.0</v>
      </c>
      <c r="C882" s="34" t="s">
        <v>76</v>
      </c>
      <c r="D882" s="34" t="s">
        <v>1671</v>
      </c>
      <c r="E882" s="34" t="s">
        <v>1672</v>
      </c>
      <c r="F882" s="34">
        <v>2012.0</v>
      </c>
      <c r="G882" s="34" t="s">
        <v>1673</v>
      </c>
      <c r="H882" s="34" t="s">
        <v>282</v>
      </c>
      <c r="I882" s="34" t="s">
        <v>1674</v>
      </c>
      <c r="J882" s="35"/>
      <c r="K882" s="36">
        <v>-0.29</v>
      </c>
      <c r="L882" s="36">
        <v>1.54</v>
      </c>
      <c r="M882" s="36"/>
      <c r="N882" s="36"/>
      <c r="O882" s="36"/>
      <c r="P882" s="52">
        <f t="shared" si="86"/>
        <v>-18.83116883</v>
      </c>
      <c r="Q882" s="36" t="s">
        <v>96</v>
      </c>
      <c r="R882" s="36" t="s">
        <v>96</v>
      </c>
      <c r="S882" s="36" t="s">
        <v>1675</v>
      </c>
      <c r="T882" s="36" t="s">
        <v>284</v>
      </c>
      <c r="U882" s="36" t="s">
        <v>194</v>
      </c>
      <c r="V882" s="36"/>
      <c r="W882" s="36"/>
      <c r="X882" s="38">
        <v>1.0</v>
      </c>
      <c r="Y882" s="38" t="s">
        <v>1702</v>
      </c>
      <c r="Z882" s="38" t="s">
        <v>1703</v>
      </c>
      <c r="AA882" s="38" t="s">
        <v>86</v>
      </c>
      <c r="AB882" s="38">
        <v>41.16</v>
      </c>
      <c r="AC882" s="38" t="s">
        <v>1701</v>
      </c>
      <c r="AD882" s="38"/>
      <c r="AE882" s="38">
        <v>362.0</v>
      </c>
      <c r="AF882" s="38"/>
      <c r="AG882" s="38" t="s">
        <v>386</v>
      </c>
      <c r="AH882" s="38"/>
      <c r="AI882" s="50">
        <v>41.16</v>
      </c>
      <c r="AJ882" s="50">
        <v>-96.47</v>
      </c>
      <c r="AK882" s="41" t="s">
        <v>86</v>
      </c>
      <c r="AL882" s="40" t="s">
        <v>86</v>
      </c>
      <c r="AM882" s="49">
        <v>355.0</v>
      </c>
      <c r="AN882" s="51">
        <v>355.0</v>
      </c>
      <c r="AO882" s="42" t="s">
        <v>107</v>
      </c>
      <c r="AP882" s="43" t="s">
        <v>108</v>
      </c>
      <c r="AQ882" s="44" t="str">
        <f t="shared" si="84"/>
        <v>CRO</v>
      </c>
      <c r="AR882" s="44">
        <f t="shared" si="80"/>
        <v>355</v>
      </c>
      <c r="AS882" s="44" t="str">
        <f t="shared" si="85"/>
        <v>D</v>
      </c>
      <c r="AT882" s="44" t="str">
        <f t="shared" si="17"/>
        <v>Df</v>
      </c>
      <c r="AU882" s="44" t="str">
        <f t="shared" si="2"/>
        <v>Dfa</v>
      </c>
      <c r="AV882" s="38"/>
      <c r="AW882" s="38"/>
      <c r="AX882" s="38"/>
      <c r="AY882" s="38"/>
      <c r="AZ882" s="29" t="s">
        <v>1680</v>
      </c>
      <c r="BA882" s="29"/>
      <c r="BB882" s="29">
        <v>1.0</v>
      </c>
      <c r="BC882" s="29" t="s">
        <v>1681</v>
      </c>
      <c r="BD882" s="29" t="s">
        <v>88</v>
      </c>
      <c r="BE882" s="29"/>
      <c r="BF882" s="29" t="s">
        <v>1682</v>
      </c>
      <c r="BG882" s="29" t="s">
        <v>91</v>
      </c>
      <c r="BH882" s="29" t="s">
        <v>92</v>
      </c>
      <c r="BI882" s="29" t="s">
        <v>1683</v>
      </c>
      <c r="BJ882" s="29"/>
      <c r="BK882" s="29" t="s">
        <v>681</v>
      </c>
      <c r="BL882" s="29"/>
      <c r="BM882" s="45"/>
      <c r="BN882" s="45"/>
      <c r="BO882" s="38" t="s">
        <v>1702</v>
      </c>
      <c r="BP882" s="2"/>
      <c r="BQ882" s="3"/>
    </row>
    <row r="883" ht="15.75" customHeight="1">
      <c r="A883" s="34">
        <v>894.0</v>
      </c>
      <c r="B883" s="34">
        <v>101853.0</v>
      </c>
      <c r="C883" s="34" t="s">
        <v>76</v>
      </c>
      <c r="D883" s="34" t="s">
        <v>1671</v>
      </c>
      <c r="E883" s="34" t="s">
        <v>1672</v>
      </c>
      <c r="F883" s="34">
        <v>2012.0</v>
      </c>
      <c r="G883" s="34" t="s">
        <v>1673</v>
      </c>
      <c r="H883" s="34" t="s">
        <v>282</v>
      </c>
      <c r="I883" s="34" t="s">
        <v>1674</v>
      </c>
      <c r="J883" s="35"/>
      <c r="K883" s="36">
        <v>-0.33</v>
      </c>
      <c r="L883" s="36">
        <v>1.38</v>
      </c>
      <c r="M883" s="36"/>
      <c r="N883" s="36"/>
      <c r="O883" s="36"/>
      <c r="P883" s="52">
        <f t="shared" si="86"/>
        <v>-23.91304348</v>
      </c>
      <c r="Q883" s="36" t="s">
        <v>96</v>
      </c>
      <c r="R883" s="36" t="s">
        <v>96</v>
      </c>
      <c r="S883" s="36" t="s">
        <v>1675</v>
      </c>
      <c r="T883" s="36" t="s">
        <v>284</v>
      </c>
      <c r="U883" s="36" t="s">
        <v>194</v>
      </c>
      <c r="V883" s="36"/>
      <c r="W883" s="36"/>
      <c r="X883" s="38">
        <v>1.0</v>
      </c>
      <c r="Y883" s="38" t="s">
        <v>1704</v>
      </c>
      <c r="Z883" s="38" t="s">
        <v>1705</v>
      </c>
      <c r="AA883" s="38" t="s">
        <v>86</v>
      </c>
      <c r="AB883" s="38">
        <v>41.17</v>
      </c>
      <c r="AC883" s="38" t="s">
        <v>1706</v>
      </c>
      <c r="AD883" s="38"/>
      <c r="AE883" s="38">
        <v>363.0</v>
      </c>
      <c r="AF883" s="38"/>
      <c r="AG883" s="38" t="s">
        <v>386</v>
      </c>
      <c r="AH883" s="38"/>
      <c r="AI883" s="50">
        <v>41.17</v>
      </c>
      <c r="AJ883" s="50">
        <v>-96.43</v>
      </c>
      <c r="AK883" s="41" t="s">
        <v>86</v>
      </c>
      <c r="AL883" s="40" t="s">
        <v>86</v>
      </c>
      <c r="AM883" s="49">
        <v>356.0</v>
      </c>
      <c r="AN883" s="51">
        <v>356.0</v>
      </c>
      <c r="AO883" s="42" t="s">
        <v>107</v>
      </c>
      <c r="AP883" s="43" t="s">
        <v>108</v>
      </c>
      <c r="AQ883" s="44" t="str">
        <f t="shared" si="84"/>
        <v>CRO</v>
      </c>
      <c r="AR883" s="44">
        <f t="shared" si="80"/>
        <v>356</v>
      </c>
      <c r="AS883" s="44" t="str">
        <f t="shared" si="85"/>
        <v>D</v>
      </c>
      <c r="AT883" s="44" t="str">
        <f t="shared" si="17"/>
        <v>Df</v>
      </c>
      <c r="AU883" s="44" t="str">
        <f t="shared" si="2"/>
        <v>Dfa</v>
      </c>
      <c r="AV883" s="38"/>
      <c r="AW883" s="38"/>
      <c r="AX883" s="38"/>
      <c r="AY883" s="38"/>
      <c r="AZ883" s="29" t="s">
        <v>1680</v>
      </c>
      <c r="BA883" s="29"/>
      <c r="BB883" s="29">
        <v>1.0</v>
      </c>
      <c r="BC883" s="29" t="s">
        <v>1681</v>
      </c>
      <c r="BD883" s="29" t="s">
        <v>88</v>
      </c>
      <c r="BE883" s="29"/>
      <c r="BF883" s="29" t="s">
        <v>1682</v>
      </c>
      <c r="BG883" s="29" t="s">
        <v>91</v>
      </c>
      <c r="BH883" s="29" t="s">
        <v>92</v>
      </c>
      <c r="BI883" s="29" t="s">
        <v>1683</v>
      </c>
      <c r="BJ883" s="29"/>
      <c r="BK883" s="29" t="s">
        <v>681</v>
      </c>
      <c r="BL883" s="29"/>
      <c r="BM883" s="45"/>
      <c r="BN883" s="45"/>
      <c r="BO883" s="38" t="s">
        <v>1704</v>
      </c>
      <c r="BP883" s="2"/>
      <c r="BQ883" s="3"/>
    </row>
    <row r="884" ht="15.75" customHeight="1">
      <c r="A884" s="34">
        <v>895.0</v>
      </c>
      <c r="B884" s="34">
        <v>101853.0</v>
      </c>
      <c r="C884" s="34" t="s">
        <v>76</v>
      </c>
      <c r="D884" s="34" t="s">
        <v>1671</v>
      </c>
      <c r="E884" s="34" t="s">
        <v>1672</v>
      </c>
      <c r="F884" s="34">
        <v>2012.0</v>
      </c>
      <c r="G884" s="34" t="s">
        <v>1673</v>
      </c>
      <c r="H884" s="34" t="s">
        <v>282</v>
      </c>
      <c r="I884" s="34" t="s">
        <v>1674</v>
      </c>
      <c r="J884" s="35"/>
      <c r="K884" s="36">
        <v>-0.39</v>
      </c>
      <c r="L884" s="36">
        <v>0.83</v>
      </c>
      <c r="M884" s="36"/>
      <c r="N884" s="36"/>
      <c r="O884" s="36"/>
      <c r="P884" s="52">
        <f t="shared" si="86"/>
        <v>-46.98795181</v>
      </c>
      <c r="Q884" s="36" t="s">
        <v>96</v>
      </c>
      <c r="R884" s="36" t="s">
        <v>96</v>
      </c>
      <c r="S884" s="36" t="s">
        <v>1675</v>
      </c>
      <c r="T884" s="36" t="s">
        <v>317</v>
      </c>
      <c r="U884" s="36" t="s">
        <v>342</v>
      </c>
      <c r="V884" s="36"/>
      <c r="W884" s="36"/>
      <c r="X884" s="38">
        <v>1.0</v>
      </c>
      <c r="Y884" s="38" t="s">
        <v>1707</v>
      </c>
      <c r="Z884" s="38" t="s">
        <v>1708</v>
      </c>
      <c r="AA884" s="38" t="s">
        <v>197</v>
      </c>
      <c r="AB884" s="38">
        <v>44.5</v>
      </c>
      <c r="AC884" s="38" t="s">
        <v>1709</v>
      </c>
      <c r="AD884" s="38"/>
      <c r="AE884" s="38">
        <v>1253.0</v>
      </c>
      <c r="AF884" s="38"/>
      <c r="AG884" s="38" t="s">
        <v>386</v>
      </c>
      <c r="AH884" s="38"/>
      <c r="AI884" s="50">
        <v>44.5</v>
      </c>
      <c r="AJ884" s="50">
        <v>-121.62</v>
      </c>
      <c r="AK884" s="41" t="s">
        <v>197</v>
      </c>
      <c r="AL884" s="40" t="s">
        <v>197</v>
      </c>
      <c r="AM884" s="49">
        <v>955.0</v>
      </c>
      <c r="AN884" s="51">
        <v>955.0</v>
      </c>
      <c r="AO884" s="42" t="s">
        <v>445</v>
      </c>
      <c r="AP884" s="43" t="s">
        <v>445</v>
      </c>
      <c r="AQ884" s="44" t="str">
        <f t="shared" si="84"/>
        <v>ENF</v>
      </c>
      <c r="AR884" s="44">
        <f t="shared" si="80"/>
        <v>955</v>
      </c>
      <c r="AS884" s="44" t="str">
        <f t="shared" si="85"/>
        <v>C</v>
      </c>
      <c r="AT884" s="44" t="str">
        <f t="shared" si="17"/>
        <v>Cs</v>
      </c>
      <c r="AU884" s="44" t="str">
        <f t="shared" si="2"/>
        <v>Csb</v>
      </c>
      <c r="AV884" s="38"/>
      <c r="AW884" s="38"/>
      <c r="AX884" s="38"/>
      <c r="AY884" s="38"/>
      <c r="AZ884" s="29" t="s">
        <v>1680</v>
      </c>
      <c r="BA884" s="29"/>
      <c r="BB884" s="29">
        <v>1.0</v>
      </c>
      <c r="BC884" s="29" t="s">
        <v>1681</v>
      </c>
      <c r="BD884" s="29" t="s">
        <v>88</v>
      </c>
      <c r="BE884" s="29"/>
      <c r="BF884" s="29" t="s">
        <v>1682</v>
      </c>
      <c r="BG884" s="29" t="s">
        <v>91</v>
      </c>
      <c r="BH884" s="29" t="s">
        <v>92</v>
      </c>
      <c r="BI884" s="29" t="s">
        <v>1683</v>
      </c>
      <c r="BJ884" s="29"/>
      <c r="BK884" s="29" t="s">
        <v>681</v>
      </c>
      <c r="BL884" s="29"/>
      <c r="BM884" s="45"/>
      <c r="BN884" s="45"/>
      <c r="BO884" s="38" t="s">
        <v>1707</v>
      </c>
      <c r="BP884" s="2"/>
      <c r="BQ884" s="3"/>
    </row>
    <row r="885" ht="15.75" customHeight="1">
      <c r="A885" s="34">
        <v>896.0</v>
      </c>
      <c r="B885" s="34">
        <v>101853.0</v>
      </c>
      <c r="C885" s="34" t="s">
        <v>76</v>
      </c>
      <c r="D885" s="34" t="s">
        <v>1671</v>
      </c>
      <c r="E885" s="34" t="s">
        <v>1672</v>
      </c>
      <c r="F885" s="34">
        <v>2012.0</v>
      </c>
      <c r="G885" s="34" t="s">
        <v>1673</v>
      </c>
      <c r="H885" s="34" t="s">
        <v>282</v>
      </c>
      <c r="I885" s="34" t="s">
        <v>1674</v>
      </c>
      <c r="J885" s="35"/>
      <c r="K885" s="36">
        <v>-0.01</v>
      </c>
      <c r="L885" s="36">
        <v>0.89</v>
      </c>
      <c r="M885" s="36"/>
      <c r="N885" s="36"/>
      <c r="O885" s="36"/>
      <c r="P885" s="52">
        <f t="shared" si="86"/>
        <v>-1.123595506</v>
      </c>
      <c r="Q885" s="36" t="s">
        <v>96</v>
      </c>
      <c r="R885" s="36" t="s">
        <v>96</v>
      </c>
      <c r="S885" s="36" t="s">
        <v>1675</v>
      </c>
      <c r="T885" s="36" t="s">
        <v>295</v>
      </c>
      <c r="U885" s="36" t="s">
        <v>194</v>
      </c>
      <c r="V885" s="36"/>
      <c r="W885" s="36"/>
      <c r="X885" s="38">
        <v>1.0</v>
      </c>
      <c r="Y885" s="38" t="s">
        <v>1710</v>
      </c>
      <c r="Z885" s="38" t="s">
        <v>1711</v>
      </c>
      <c r="AA885" s="38" t="s">
        <v>197</v>
      </c>
      <c r="AB885" s="38">
        <v>44.32</v>
      </c>
      <c r="AC885" s="38" t="s">
        <v>1712</v>
      </c>
      <c r="AD885" s="38"/>
      <c r="AE885" s="38">
        <v>1008.0</v>
      </c>
      <c r="AF885" s="38"/>
      <c r="AG885" s="38" t="s">
        <v>386</v>
      </c>
      <c r="AH885" s="38"/>
      <c r="AI885" s="50">
        <v>44.32</v>
      </c>
      <c r="AJ885" s="50">
        <v>-121.61</v>
      </c>
      <c r="AK885" s="41" t="s">
        <v>200</v>
      </c>
      <c r="AL885" s="40" t="s">
        <v>200</v>
      </c>
      <c r="AM885" s="49">
        <v>1003.0</v>
      </c>
      <c r="AN885" s="51">
        <v>1003.0</v>
      </c>
      <c r="AO885" s="42" t="s">
        <v>445</v>
      </c>
      <c r="AP885" s="43" t="s">
        <v>321</v>
      </c>
      <c r="AQ885" s="44" t="str">
        <f t="shared" si="84"/>
        <v>ENF</v>
      </c>
      <c r="AR885" s="44">
        <f t="shared" si="80"/>
        <v>1003</v>
      </c>
      <c r="AS885" s="44" t="str">
        <f t="shared" si="85"/>
        <v>C</v>
      </c>
      <c r="AT885" s="44" t="str">
        <f t="shared" si="17"/>
        <v>Ds</v>
      </c>
      <c r="AU885" s="44" t="str">
        <f t="shared" si="2"/>
        <v>Dsb</v>
      </c>
      <c r="AV885" s="38"/>
      <c r="AW885" s="38"/>
      <c r="AX885" s="38"/>
      <c r="AY885" s="38"/>
      <c r="AZ885" s="29" t="s">
        <v>1680</v>
      </c>
      <c r="BA885" s="29"/>
      <c r="BB885" s="29">
        <v>1.0</v>
      </c>
      <c r="BC885" s="29" t="s">
        <v>1681</v>
      </c>
      <c r="BD885" s="29" t="s">
        <v>88</v>
      </c>
      <c r="BE885" s="29"/>
      <c r="BF885" s="29" t="s">
        <v>1682</v>
      </c>
      <c r="BG885" s="29" t="s">
        <v>91</v>
      </c>
      <c r="BH885" s="29" t="s">
        <v>92</v>
      </c>
      <c r="BI885" s="29" t="s">
        <v>1683</v>
      </c>
      <c r="BJ885" s="29"/>
      <c r="BK885" s="29" t="s">
        <v>681</v>
      </c>
      <c r="BL885" s="29"/>
      <c r="BM885" s="45"/>
      <c r="BN885" s="45"/>
      <c r="BO885" s="38" t="s">
        <v>1710</v>
      </c>
      <c r="BP885" s="2"/>
      <c r="BQ885" s="3"/>
    </row>
    <row r="886" ht="15.75" customHeight="1">
      <c r="A886" s="34">
        <v>897.0</v>
      </c>
      <c r="B886" s="34">
        <v>101853.0</v>
      </c>
      <c r="C886" s="34" t="s">
        <v>76</v>
      </c>
      <c r="D886" s="34" t="s">
        <v>1671</v>
      </c>
      <c r="E886" s="34" t="s">
        <v>1672</v>
      </c>
      <c r="F886" s="34">
        <v>2012.0</v>
      </c>
      <c r="G886" s="34" t="s">
        <v>1673</v>
      </c>
      <c r="H886" s="34" t="s">
        <v>282</v>
      </c>
      <c r="I886" s="34" t="s">
        <v>1674</v>
      </c>
      <c r="J886" s="35"/>
      <c r="K886" s="36">
        <v>-0.12</v>
      </c>
      <c r="L886" s="36">
        <v>2.46</v>
      </c>
      <c r="M886" s="36"/>
      <c r="N886" s="36"/>
      <c r="O886" s="36"/>
      <c r="P886" s="52">
        <f t="shared" si="86"/>
        <v>-4.87804878</v>
      </c>
      <c r="Q886" s="36" t="s">
        <v>96</v>
      </c>
      <c r="R886" s="36" t="s">
        <v>96</v>
      </c>
      <c r="S886" s="36" t="s">
        <v>1675</v>
      </c>
      <c r="T886" s="36" t="s">
        <v>328</v>
      </c>
      <c r="U886" s="36" t="s">
        <v>968</v>
      </c>
      <c r="V886" s="36"/>
      <c r="W886" s="36"/>
      <c r="X886" s="38">
        <v>1.0</v>
      </c>
      <c r="Y886" s="38" t="s">
        <v>1713</v>
      </c>
      <c r="Z886" s="38" t="s">
        <v>1713</v>
      </c>
      <c r="AA886" s="38" t="s">
        <v>197</v>
      </c>
      <c r="AB886" s="38">
        <v>29.76</v>
      </c>
      <c r="AC886" s="38" t="s">
        <v>1714</v>
      </c>
      <c r="AD886" s="38"/>
      <c r="AE886" s="53"/>
      <c r="AF886" s="38"/>
      <c r="AG886" s="57" t="s">
        <v>592</v>
      </c>
      <c r="AH886" s="38"/>
      <c r="AI886" s="50">
        <v>29.76</v>
      </c>
      <c r="AJ886" s="50">
        <v>-82.24</v>
      </c>
      <c r="AK886" s="41" t="s">
        <v>197</v>
      </c>
      <c r="AL886" s="40" t="s">
        <v>197</v>
      </c>
      <c r="AM886" s="49">
        <v>45.0</v>
      </c>
      <c r="AN886" s="51">
        <v>45.0</v>
      </c>
      <c r="AO886" s="42" t="s">
        <v>201</v>
      </c>
      <c r="AP886" s="43" t="s">
        <v>201</v>
      </c>
      <c r="AQ886" s="44" t="str">
        <f t="shared" si="84"/>
        <v>ENF</v>
      </c>
      <c r="AR886" s="44">
        <f t="shared" si="80"/>
        <v>45</v>
      </c>
      <c r="AS886" s="44" t="str">
        <f t="shared" si="85"/>
        <v>C</v>
      </c>
      <c r="AT886" s="44" t="str">
        <f t="shared" si="17"/>
        <v>Cf</v>
      </c>
      <c r="AU886" s="44" t="str">
        <f t="shared" si="2"/>
        <v>Cfa</v>
      </c>
      <c r="AV886" s="38"/>
      <c r="AW886" s="38"/>
      <c r="AX886" s="38"/>
      <c r="AY886" s="38"/>
      <c r="AZ886" s="29" t="s">
        <v>1680</v>
      </c>
      <c r="BA886" s="29"/>
      <c r="BB886" s="29">
        <v>1.0</v>
      </c>
      <c r="BC886" s="29" t="s">
        <v>1681</v>
      </c>
      <c r="BD886" s="29" t="s">
        <v>88</v>
      </c>
      <c r="BE886" s="29"/>
      <c r="BF886" s="29" t="s">
        <v>1682</v>
      </c>
      <c r="BG886" s="29" t="s">
        <v>91</v>
      </c>
      <c r="BH886" s="29" t="s">
        <v>92</v>
      </c>
      <c r="BI886" s="29" t="s">
        <v>1683</v>
      </c>
      <c r="BJ886" s="29"/>
      <c r="BK886" s="29" t="s">
        <v>681</v>
      </c>
      <c r="BL886" s="29"/>
      <c r="BM886" s="45"/>
      <c r="BN886" s="45"/>
      <c r="BO886" s="38" t="s">
        <v>1713</v>
      </c>
      <c r="BP886" s="2"/>
      <c r="BQ886" s="3"/>
    </row>
    <row r="887" ht="15.75" customHeight="1">
      <c r="A887" s="34">
        <v>898.0</v>
      </c>
      <c r="B887" s="34">
        <v>101853.0</v>
      </c>
      <c r="C887" s="34" t="s">
        <v>76</v>
      </c>
      <c r="D887" s="34" t="s">
        <v>1671</v>
      </c>
      <c r="E887" s="34" t="s">
        <v>1672</v>
      </c>
      <c r="F887" s="34">
        <v>2012.0</v>
      </c>
      <c r="G887" s="34" t="s">
        <v>1673</v>
      </c>
      <c r="H887" s="34" t="s">
        <v>282</v>
      </c>
      <c r="I887" s="34" t="s">
        <v>1674</v>
      </c>
      <c r="J887" s="35"/>
      <c r="K887" s="36">
        <v>0.21</v>
      </c>
      <c r="L887" s="36">
        <v>1.58</v>
      </c>
      <c r="M887" s="36"/>
      <c r="N887" s="36"/>
      <c r="O887" s="36"/>
      <c r="P887" s="52">
        <f t="shared" si="86"/>
        <v>13.29113924</v>
      </c>
      <c r="Q887" s="36" t="s">
        <v>96</v>
      </c>
      <c r="R887" s="36" t="s">
        <v>96</v>
      </c>
      <c r="S887" s="36" t="s">
        <v>1675</v>
      </c>
      <c r="T887" s="36" t="s">
        <v>328</v>
      </c>
      <c r="U887" s="36" t="s">
        <v>363</v>
      </c>
      <c r="V887" s="36"/>
      <c r="W887" s="36"/>
      <c r="X887" s="38">
        <v>1.0</v>
      </c>
      <c r="Y887" s="38" t="s">
        <v>1309</v>
      </c>
      <c r="Z887" s="38" t="s">
        <v>1310</v>
      </c>
      <c r="AA887" s="38" t="s">
        <v>370</v>
      </c>
      <c r="AB887" s="38">
        <v>39.32</v>
      </c>
      <c r="AC887" s="38" t="s">
        <v>1715</v>
      </c>
      <c r="AD887" s="38"/>
      <c r="AE887" s="38">
        <v>275.0</v>
      </c>
      <c r="AF887" s="38"/>
      <c r="AG887" s="38" t="s">
        <v>386</v>
      </c>
      <c r="AH887" s="38"/>
      <c r="AI887" s="50">
        <v>39.32</v>
      </c>
      <c r="AJ887" s="50">
        <v>-86.41</v>
      </c>
      <c r="AK887" s="41" t="s">
        <v>370</v>
      </c>
      <c r="AL887" s="40" t="s">
        <v>370</v>
      </c>
      <c r="AM887" s="49">
        <v>280.0</v>
      </c>
      <c r="AN887" s="51">
        <v>280.0</v>
      </c>
      <c r="AO887" s="42" t="s">
        <v>107</v>
      </c>
      <c r="AP887" s="43" t="s">
        <v>108</v>
      </c>
      <c r="AQ887" s="44" t="str">
        <f t="shared" si="84"/>
        <v>DBF</v>
      </c>
      <c r="AR887" s="44">
        <f t="shared" si="80"/>
        <v>280</v>
      </c>
      <c r="AS887" s="44" t="str">
        <f t="shared" si="85"/>
        <v>D</v>
      </c>
      <c r="AT887" s="44" t="str">
        <f t="shared" si="17"/>
        <v>Df</v>
      </c>
      <c r="AU887" s="44" t="str">
        <f t="shared" si="2"/>
        <v>Dfa</v>
      </c>
      <c r="AV887" s="38"/>
      <c r="AW887" s="38"/>
      <c r="AX887" s="38"/>
      <c r="AY887" s="38"/>
      <c r="AZ887" s="29" t="s">
        <v>1680</v>
      </c>
      <c r="BA887" s="29"/>
      <c r="BB887" s="29">
        <v>1.0</v>
      </c>
      <c r="BC887" s="29" t="s">
        <v>1681</v>
      </c>
      <c r="BD887" s="29" t="s">
        <v>88</v>
      </c>
      <c r="BE887" s="29"/>
      <c r="BF887" s="29" t="s">
        <v>1682</v>
      </c>
      <c r="BG887" s="29" t="s">
        <v>91</v>
      </c>
      <c r="BH887" s="29" t="s">
        <v>92</v>
      </c>
      <c r="BI887" s="29" t="s">
        <v>1683</v>
      </c>
      <c r="BJ887" s="29"/>
      <c r="BK887" s="29" t="s">
        <v>681</v>
      </c>
      <c r="BL887" s="29"/>
      <c r="BM887" s="45"/>
      <c r="BN887" s="45"/>
      <c r="BO887" s="38" t="s">
        <v>1716</v>
      </c>
      <c r="BP887" s="2"/>
      <c r="BQ887" s="3"/>
    </row>
    <row r="888" ht="15.75" customHeight="1">
      <c r="A888" s="34">
        <v>899.0</v>
      </c>
      <c r="B888" s="34">
        <v>101853.0</v>
      </c>
      <c r="C888" s="34" t="s">
        <v>76</v>
      </c>
      <c r="D888" s="34" t="s">
        <v>1671</v>
      </c>
      <c r="E888" s="34" t="s">
        <v>1672</v>
      </c>
      <c r="F888" s="34">
        <v>2012.0</v>
      </c>
      <c r="G888" s="34" t="s">
        <v>1673</v>
      </c>
      <c r="H888" s="34" t="s">
        <v>282</v>
      </c>
      <c r="I888" s="34" t="s">
        <v>1674</v>
      </c>
      <c r="J888" s="35"/>
      <c r="K888" s="36">
        <v>-0.05</v>
      </c>
      <c r="L888" s="36">
        <v>0.79</v>
      </c>
      <c r="M888" s="36"/>
      <c r="N888" s="36"/>
      <c r="O888" s="36"/>
      <c r="P888" s="52">
        <f t="shared" si="86"/>
        <v>-6.329113924</v>
      </c>
      <c r="Q888" s="36" t="s">
        <v>96</v>
      </c>
      <c r="R888" s="36" t="s">
        <v>96</v>
      </c>
      <c r="S888" s="36" t="s">
        <v>1675</v>
      </c>
      <c r="T888" s="36" t="s">
        <v>295</v>
      </c>
      <c r="U888" s="36" t="s">
        <v>285</v>
      </c>
      <c r="V888" s="36"/>
      <c r="W888" s="36"/>
      <c r="X888" s="38">
        <v>1.0</v>
      </c>
      <c r="Y888" s="38" t="s">
        <v>1717</v>
      </c>
      <c r="Z888" s="38" t="s">
        <v>301</v>
      </c>
      <c r="AA888" s="38" t="s">
        <v>292</v>
      </c>
      <c r="AB888" s="38">
        <v>31.82</v>
      </c>
      <c r="AC888" s="38" t="s">
        <v>1718</v>
      </c>
      <c r="AD888" s="38"/>
      <c r="AE888" s="38">
        <v>1116.0</v>
      </c>
      <c r="AF888" s="38"/>
      <c r="AG888" s="38" t="s">
        <v>1719</v>
      </c>
      <c r="AH888" s="38"/>
      <c r="AI888" s="50">
        <v>31.82</v>
      </c>
      <c r="AJ888" s="50">
        <v>-110.87</v>
      </c>
      <c r="AK888" s="41" t="s">
        <v>291</v>
      </c>
      <c r="AL888" s="40" t="s">
        <v>291</v>
      </c>
      <c r="AM888" s="49">
        <v>1108.0</v>
      </c>
      <c r="AN888" s="51">
        <v>1108.0</v>
      </c>
      <c r="AO888" s="42" t="s">
        <v>304</v>
      </c>
      <c r="AP888" s="43" t="s">
        <v>304</v>
      </c>
      <c r="AQ888" s="44" t="str">
        <f t="shared" si="84"/>
        <v>OSH</v>
      </c>
      <c r="AR888" s="44">
        <f t="shared" si="80"/>
        <v>1108</v>
      </c>
      <c r="AS888" s="44" t="str">
        <f t="shared" si="85"/>
        <v>B</v>
      </c>
      <c r="AT888" s="44" t="str">
        <f t="shared" si="17"/>
        <v>BS</v>
      </c>
      <c r="AU888" s="44" t="str">
        <f t="shared" si="2"/>
        <v>BSh</v>
      </c>
      <c r="AV888" s="38"/>
      <c r="AW888" s="38"/>
      <c r="AX888" s="38"/>
      <c r="AY888" s="38"/>
      <c r="AZ888" s="29" t="s">
        <v>1680</v>
      </c>
      <c r="BA888" s="29"/>
      <c r="BB888" s="29">
        <v>1.0</v>
      </c>
      <c r="BC888" s="29" t="s">
        <v>1681</v>
      </c>
      <c r="BD888" s="29" t="s">
        <v>88</v>
      </c>
      <c r="BE888" s="29"/>
      <c r="BF888" s="29" t="s">
        <v>1682</v>
      </c>
      <c r="BG888" s="29" t="s">
        <v>91</v>
      </c>
      <c r="BH888" s="29" t="s">
        <v>92</v>
      </c>
      <c r="BI888" s="29" t="s">
        <v>1683</v>
      </c>
      <c r="BJ888" s="29"/>
      <c r="BK888" s="29" t="s">
        <v>681</v>
      </c>
      <c r="BL888" s="29"/>
      <c r="BM888" s="45"/>
      <c r="BN888" s="45"/>
      <c r="BO888" s="38" t="s">
        <v>1717</v>
      </c>
      <c r="BP888" s="2"/>
      <c r="BQ888" s="3"/>
    </row>
    <row r="889" ht="15.75" customHeight="1">
      <c r="A889" s="34">
        <v>900.0</v>
      </c>
      <c r="B889" s="34">
        <v>101853.0</v>
      </c>
      <c r="C889" s="34" t="s">
        <v>76</v>
      </c>
      <c r="D889" s="34" t="s">
        <v>1671</v>
      </c>
      <c r="E889" s="34" t="s">
        <v>1672</v>
      </c>
      <c r="F889" s="34">
        <v>2012.0</v>
      </c>
      <c r="G889" s="34" t="s">
        <v>1673</v>
      </c>
      <c r="H889" s="34" t="s">
        <v>282</v>
      </c>
      <c r="I889" s="34" t="s">
        <v>1674</v>
      </c>
      <c r="J889" s="35"/>
      <c r="K889" s="36">
        <v>-0.42</v>
      </c>
      <c r="L889" s="36">
        <v>0.68</v>
      </c>
      <c r="M889" s="36"/>
      <c r="N889" s="36"/>
      <c r="O889" s="36"/>
      <c r="P889" s="52">
        <f t="shared" si="86"/>
        <v>-61.76470588</v>
      </c>
      <c r="Q889" s="36" t="s">
        <v>96</v>
      </c>
      <c r="R889" s="36" t="s">
        <v>96</v>
      </c>
      <c r="S889" s="36" t="s">
        <v>1675</v>
      </c>
      <c r="T889" s="36" t="s">
        <v>193</v>
      </c>
      <c r="U889" s="36" t="s">
        <v>194</v>
      </c>
      <c r="V889" s="36"/>
      <c r="W889" s="36"/>
      <c r="X889" s="38">
        <v>1.0</v>
      </c>
      <c r="Y889" s="38" t="s">
        <v>1720</v>
      </c>
      <c r="Z889" s="38" t="s">
        <v>310</v>
      </c>
      <c r="AA889" s="38" t="s">
        <v>200</v>
      </c>
      <c r="AB889" s="38">
        <v>38.43</v>
      </c>
      <c r="AC889" s="38" t="s">
        <v>1721</v>
      </c>
      <c r="AD889" s="38"/>
      <c r="AE889" s="38">
        <v>177.0</v>
      </c>
      <c r="AF889" s="38" t="s">
        <v>312</v>
      </c>
      <c r="AG889" s="38" t="s">
        <v>1722</v>
      </c>
      <c r="AH889" s="38"/>
      <c r="AI889" s="50">
        <v>38.43</v>
      </c>
      <c r="AJ889" s="50">
        <v>-120.97</v>
      </c>
      <c r="AK889" s="41" t="s">
        <v>313</v>
      </c>
      <c r="AL889" s="40" t="s">
        <v>313</v>
      </c>
      <c r="AM889" s="49">
        <v>173.0</v>
      </c>
      <c r="AN889" s="51">
        <v>173.0</v>
      </c>
      <c r="AO889" s="42" t="s">
        <v>175</v>
      </c>
      <c r="AP889" s="43" t="s">
        <v>175</v>
      </c>
      <c r="AQ889" s="44" t="str">
        <f t="shared" si="84"/>
        <v>WSA</v>
      </c>
      <c r="AR889" s="44">
        <f t="shared" si="80"/>
        <v>173</v>
      </c>
      <c r="AS889" s="44" t="str">
        <f t="shared" si="85"/>
        <v>C</v>
      </c>
      <c r="AT889" s="44" t="str">
        <f t="shared" si="17"/>
        <v>Cs</v>
      </c>
      <c r="AU889" s="44" t="str">
        <f t="shared" si="2"/>
        <v>Csa</v>
      </c>
      <c r="AV889" s="38"/>
      <c r="AW889" s="38"/>
      <c r="AX889" s="38"/>
      <c r="AY889" s="38"/>
      <c r="AZ889" s="29" t="s">
        <v>1680</v>
      </c>
      <c r="BA889" s="29"/>
      <c r="BB889" s="29">
        <v>1.0</v>
      </c>
      <c r="BC889" s="29" t="s">
        <v>1681</v>
      </c>
      <c r="BD889" s="29" t="s">
        <v>88</v>
      </c>
      <c r="BE889" s="29"/>
      <c r="BF889" s="29" t="s">
        <v>1682</v>
      </c>
      <c r="BG889" s="29" t="s">
        <v>91</v>
      </c>
      <c r="BH889" s="29" t="s">
        <v>92</v>
      </c>
      <c r="BI889" s="29" t="s">
        <v>1683</v>
      </c>
      <c r="BJ889" s="29"/>
      <c r="BK889" s="29" t="s">
        <v>681</v>
      </c>
      <c r="BL889" s="29"/>
      <c r="BM889" s="45"/>
      <c r="BN889" s="45"/>
      <c r="BO889" s="38" t="s">
        <v>1723</v>
      </c>
      <c r="BP889" s="2"/>
      <c r="BQ889" s="3"/>
    </row>
    <row r="890" ht="15.75" customHeight="1">
      <c r="A890" s="34">
        <v>901.0</v>
      </c>
      <c r="B890" s="34">
        <v>101853.0</v>
      </c>
      <c r="C890" s="34" t="s">
        <v>76</v>
      </c>
      <c r="D890" s="34" t="s">
        <v>1671</v>
      </c>
      <c r="E890" s="34" t="s">
        <v>1672</v>
      </c>
      <c r="F890" s="34">
        <v>2012.0</v>
      </c>
      <c r="G890" s="34" t="s">
        <v>1673</v>
      </c>
      <c r="H890" s="34" t="s">
        <v>282</v>
      </c>
      <c r="I890" s="34" t="s">
        <v>1674</v>
      </c>
      <c r="J890" s="35"/>
      <c r="K890" s="36">
        <v>-0.25</v>
      </c>
      <c r="L890" s="36">
        <v>1.27</v>
      </c>
      <c r="M890" s="36"/>
      <c r="N890" s="36"/>
      <c r="O890" s="36"/>
      <c r="P890" s="52">
        <f t="shared" si="86"/>
        <v>-19.68503937</v>
      </c>
      <c r="Q890" s="36" t="s">
        <v>96</v>
      </c>
      <c r="R890" s="36" t="s">
        <v>96</v>
      </c>
      <c r="S890" s="36" t="s">
        <v>1675</v>
      </c>
      <c r="T890" s="36" t="s">
        <v>328</v>
      </c>
      <c r="U890" s="36" t="s">
        <v>363</v>
      </c>
      <c r="V890" s="36"/>
      <c r="W890" s="36"/>
      <c r="X890" s="38">
        <v>1.0</v>
      </c>
      <c r="Y890" s="38" t="s">
        <v>1724</v>
      </c>
      <c r="Z890" s="38" t="s">
        <v>378</v>
      </c>
      <c r="AA890" s="38" t="s">
        <v>370</v>
      </c>
      <c r="AB890" s="38">
        <v>45.56</v>
      </c>
      <c r="AC890" s="38" t="s">
        <v>1725</v>
      </c>
      <c r="AD890" s="38"/>
      <c r="AE890" s="38">
        <v>234.0</v>
      </c>
      <c r="AF890" s="38"/>
      <c r="AG890" s="38" t="s">
        <v>386</v>
      </c>
      <c r="AH890" s="38"/>
      <c r="AI890" s="50">
        <v>45.56</v>
      </c>
      <c r="AJ890" s="50">
        <v>-84.71</v>
      </c>
      <c r="AK890" s="41" t="s">
        <v>370</v>
      </c>
      <c r="AL890" s="40" t="s">
        <v>370</v>
      </c>
      <c r="AM890" s="49">
        <v>237.0</v>
      </c>
      <c r="AN890" s="51">
        <v>237.0</v>
      </c>
      <c r="AO890" s="42" t="s">
        <v>372</v>
      </c>
      <c r="AP890" s="43" t="s">
        <v>107</v>
      </c>
      <c r="AQ890" s="44" t="str">
        <f t="shared" si="84"/>
        <v>DBF</v>
      </c>
      <c r="AR890" s="44">
        <f t="shared" si="80"/>
        <v>237</v>
      </c>
      <c r="AS890" s="44" t="str">
        <f t="shared" si="85"/>
        <v>D</v>
      </c>
      <c r="AT890" s="44" t="str">
        <f t="shared" si="17"/>
        <v>Df</v>
      </c>
      <c r="AU890" s="44" t="str">
        <f t="shared" si="2"/>
        <v>Dfb</v>
      </c>
      <c r="AV890" s="38"/>
      <c r="AW890" s="38"/>
      <c r="AX890" s="38"/>
      <c r="AY890" s="38"/>
      <c r="AZ890" s="29" t="s">
        <v>1680</v>
      </c>
      <c r="BA890" s="29"/>
      <c r="BB890" s="29">
        <v>1.0</v>
      </c>
      <c r="BC890" s="29" t="s">
        <v>1681</v>
      </c>
      <c r="BD890" s="29" t="s">
        <v>88</v>
      </c>
      <c r="BE890" s="29"/>
      <c r="BF890" s="29" t="s">
        <v>1682</v>
      </c>
      <c r="BG890" s="29" t="s">
        <v>91</v>
      </c>
      <c r="BH890" s="29" t="s">
        <v>92</v>
      </c>
      <c r="BI890" s="29" t="s">
        <v>1683</v>
      </c>
      <c r="BJ890" s="29"/>
      <c r="BK890" s="29" t="s">
        <v>681</v>
      </c>
      <c r="BL890" s="29"/>
      <c r="BM890" s="45"/>
      <c r="BN890" s="45"/>
      <c r="BO890" s="38" t="s">
        <v>1724</v>
      </c>
      <c r="BP890" s="2"/>
      <c r="BQ890" s="3"/>
    </row>
    <row r="891" ht="15.75" customHeight="1">
      <c r="A891" s="34">
        <v>902.0</v>
      </c>
      <c r="B891" s="34">
        <v>101853.0</v>
      </c>
      <c r="C891" s="34" t="s">
        <v>76</v>
      </c>
      <c r="D891" s="34" t="s">
        <v>1671</v>
      </c>
      <c r="E891" s="34" t="s">
        <v>1672</v>
      </c>
      <c r="F891" s="34">
        <v>2012.0</v>
      </c>
      <c r="G891" s="34" t="s">
        <v>1673</v>
      </c>
      <c r="H891" s="34" t="s">
        <v>282</v>
      </c>
      <c r="I891" s="34" t="s">
        <v>1674</v>
      </c>
      <c r="J891" s="35"/>
      <c r="K891" s="36">
        <v>-0.1</v>
      </c>
      <c r="L891" s="36">
        <v>0.71</v>
      </c>
      <c r="M891" s="36"/>
      <c r="N891" s="36"/>
      <c r="O891" s="36"/>
      <c r="P891" s="52">
        <f t="shared" si="86"/>
        <v>-14.08450704</v>
      </c>
      <c r="Q891" s="36" t="s">
        <v>96</v>
      </c>
      <c r="R891" s="36" t="s">
        <v>96</v>
      </c>
      <c r="S891" s="36" t="s">
        <v>1675</v>
      </c>
      <c r="T891" s="36" t="s">
        <v>328</v>
      </c>
      <c r="U891" s="36" t="s">
        <v>194</v>
      </c>
      <c r="V891" s="36"/>
      <c r="W891" s="36"/>
      <c r="X891" s="38">
        <v>1.0</v>
      </c>
      <c r="Y891" s="38" t="s">
        <v>1339</v>
      </c>
      <c r="Z891" s="53" t="s">
        <v>1340</v>
      </c>
      <c r="AA891" s="53" t="s">
        <v>288</v>
      </c>
      <c r="AB891" s="38">
        <v>38.41</v>
      </c>
      <c r="AC891" s="38" t="s">
        <v>1726</v>
      </c>
      <c r="AD891" s="38" t="s">
        <v>87</v>
      </c>
      <c r="AE891" s="38">
        <v>129.0</v>
      </c>
      <c r="AF891" s="38" t="s">
        <v>1341</v>
      </c>
      <c r="AG891" s="38" t="s">
        <v>175</v>
      </c>
      <c r="AH891" s="38"/>
      <c r="AI891" s="50">
        <v>38.41</v>
      </c>
      <c r="AJ891" s="50">
        <v>-120.95</v>
      </c>
      <c r="AK891" s="41" t="s">
        <v>288</v>
      </c>
      <c r="AL891" s="40" t="s">
        <v>288</v>
      </c>
      <c r="AM891" s="49">
        <v>154.0</v>
      </c>
      <c r="AN891" s="51">
        <v>154.0</v>
      </c>
      <c r="AO891" s="42" t="s">
        <v>175</v>
      </c>
      <c r="AP891" s="43" t="s">
        <v>175</v>
      </c>
      <c r="AQ891" s="44" t="str">
        <f t="shared" si="84"/>
        <v>GRA</v>
      </c>
      <c r="AR891" s="44">
        <f t="shared" si="80"/>
        <v>154</v>
      </c>
      <c r="AS891" s="44" t="str">
        <f t="shared" si="85"/>
        <v>C</v>
      </c>
      <c r="AT891" s="44" t="str">
        <f t="shared" si="17"/>
        <v>Cs</v>
      </c>
      <c r="AU891" s="44" t="str">
        <f t="shared" si="2"/>
        <v>Csa</v>
      </c>
      <c r="AV891" s="38"/>
      <c r="AW891" s="38"/>
      <c r="AX891" s="38"/>
      <c r="AY891" s="38"/>
      <c r="AZ891" s="29" t="s">
        <v>1680</v>
      </c>
      <c r="BA891" s="29"/>
      <c r="BB891" s="29">
        <v>1.0</v>
      </c>
      <c r="BC891" s="29" t="s">
        <v>1681</v>
      </c>
      <c r="BD891" s="29" t="s">
        <v>88</v>
      </c>
      <c r="BE891" s="29"/>
      <c r="BF891" s="29" t="s">
        <v>1682</v>
      </c>
      <c r="BG891" s="29" t="s">
        <v>91</v>
      </c>
      <c r="BH891" s="29" t="s">
        <v>92</v>
      </c>
      <c r="BI891" s="29" t="s">
        <v>1683</v>
      </c>
      <c r="BJ891" s="29"/>
      <c r="BK891" s="29" t="s">
        <v>681</v>
      </c>
      <c r="BL891" s="29"/>
      <c r="BM891" s="45"/>
      <c r="BN891" s="45"/>
      <c r="BO891" s="38" t="s">
        <v>1727</v>
      </c>
      <c r="BP891" s="2"/>
      <c r="BQ891" s="3"/>
    </row>
    <row r="892" ht="15.75" customHeight="1">
      <c r="A892" s="34">
        <v>903.0</v>
      </c>
      <c r="B892" s="34">
        <v>101853.0</v>
      </c>
      <c r="C892" s="34" t="s">
        <v>76</v>
      </c>
      <c r="D892" s="34" t="s">
        <v>1671</v>
      </c>
      <c r="E892" s="34" t="s">
        <v>1672</v>
      </c>
      <c r="F892" s="34">
        <v>2012.0</v>
      </c>
      <c r="G892" s="34" t="s">
        <v>1673</v>
      </c>
      <c r="H892" s="34" t="s">
        <v>282</v>
      </c>
      <c r="I892" s="34" t="s">
        <v>1674</v>
      </c>
      <c r="J892" s="35"/>
      <c r="K892" s="36">
        <v>0.31</v>
      </c>
      <c r="L892" s="36">
        <v>1.64</v>
      </c>
      <c r="M892" s="36"/>
      <c r="N892" s="36"/>
      <c r="O892" s="36"/>
      <c r="P892" s="52">
        <f t="shared" si="86"/>
        <v>18.90243902</v>
      </c>
      <c r="Q892" s="36" t="s">
        <v>96</v>
      </c>
      <c r="R892" s="36" t="s">
        <v>96</v>
      </c>
      <c r="S892" s="36" t="s">
        <v>1675</v>
      </c>
      <c r="T892" s="36" t="s">
        <v>328</v>
      </c>
      <c r="U892" s="36" t="s">
        <v>329</v>
      </c>
      <c r="V892" s="36"/>
      <c r="W892" s="36"/>
      <c r="X892" s="38">
        <v>1.0</v>
      </c>
      <c r="Y892" s="38" t="s">
        <v>1728</v>
      </c>
      <c r="Z892" s="38" t="s">
        <v>1729</v>
      </c>
      <c r="AA892" s="38" t="s">
        <v>197</v>
      </c>
      <c r="AB892" s="38">
        <v>45.82</v>
      </c>
      <c r="AC892" s="38" t="s">
        <v>1730</v>
      </c>
      <c r="AD892" s="38"/>
      <c r="AE892" s="38">
        <v>371.0</v>
      </c>
      <c r="AF892" s="38"/>
      <c r="AG892" s="38" t="s">
        <v>1722</v>
      </c>
      <c r="AH892" s="38"/>
      <c r="AI892" s="50">
        <v>45.82</v>
      </c>
      <c r="AJ892" s="50">
        <v>-121.95</v>
      </c>
      <c r="AK892" s="41" t="s">
        <v>197</v>
      </c>
      <c r="AL892" s="40" t="s">
        <v>197</v>
      </c>
      <c r="AM892" s="49">
        <v>385.0</v>
      </c>
      <c r="AN892" s="51">
        <v>385.0</v>
      </c>
      <c r="AO892" s="42" t="s">
        <v>445</v>
      </c>
      <c r="AP892" s="43" t="s">
        <v>445</v>
      </c>
      <c r="AQ892" s="44" t="str">
        <f t="shared" si="84"/>
        <v>ENF</v>
      </c>
      <c r="AR892" s="44">
        <f t="shared" si="80"/>
        <v>385</v>
      </c>
      <c r="AS892" s="44" t="str">
        <f t="shared" si="85"/>
        <v>C</v>
      </c>
      <c r="AT892" s="44" t="str">
        <f t="shared" si="17"/>
        <v>Cs</v>
      </c>
      <c r="AU892" s="44" t="str">
        <f t="shared" si="2"/>
        <v>Csb</v>
      </c>
      <c r="AV892" s="38"/>
      <c r="AW892" s="38"/>
      <c r="AX892" s="38"/>
      <c r="AY892" s="38"/>
      <c r="AZ892" s="29" t="s">
        <v>1680</v>
      </c>
      <c r="BA892" s="29"/>
      <c r="BB892" s="29">
        <v>1.0</v>
      </c>
      <c r="BC892" s="29" t="s">
        <v>1681</v>
      </c>
      <c r="BD892" s="29" t="s">
        <v>88</v>
      </c>
      <c r="BE892" s="29"/>
      <c r="BF892" s="29" t="s">
        <v>1682</v>
      </c>
      <c r="BG892" s="29" t="s">
        <v>91</v>
      </c>
      <c r="BH892" s="29" t="s">
        <v>92</v>
      </c>
      <c r="BI892" s="29" t="s">
        <v>1683</v>
      </c>
      <c r="BJ892" s="29"/>
      <c r="BK892" s="29" t="s">
        <v>681</v>
      </c>
      <c r="BL892" s="29"/>
      <c r="BM892" s="45"/>
      <c r="BN892" s="45"/>
      <c r="BO892" s="38" t="s">
        <v>1728</v>
      </c>
      <c r="BP892" s="2"/>
      <c r="BQ892" s="3"/>
    </row>
    <row r="893" ht="15.75" customHeight="1">
      <c r="A893" s="34">
        <v>904.0</v>
      </c>
      <c r="B893" s="34">
        <v>101624.0</v>
      </c>
      <c r="C893" s="34" t="s">
        <v>76</v>
      </c>
      <c r="D893" s="34" t="s">
        <v>1731</v>
      </c>
      <c r="E893" s="34" t="s">
        <v>1732</v>
      </c>
      <c r="F893" s="34">
        <v>2013.0</v>
      </c>
      <c r="G893" s="34" t="s">
        <v>1733</v>
      </c>
      <c r="H893" s="34" t="s">
        <v>282</v>
      </c>
      <c r="I893" s="34" t="s">
        <v>1734</v>
      </c>
      <c r="J893" s="35"/>
      <c r="K893" s="36"/>
      <c r="L893" s="36"/>
      <c r="M893" s="36"/>
      <c r="N893" s="36">
        <v>-111.46</v>
      </c>
      <c r="O893" s="36">
        <v>95.69</v>
      </c>
      <c r="P893" s="86">
        <f t="shared" ref="P893:P900" si="87">N893/O893*100</f>
        <v>-116.480301</v>
      </c>
      <c r="Q893" s="36"/>
      <c r="R893" s="36" t="s">
        <v>82</v>
      </c>
      <c r="S893" s="36">
        <v>1000.0</v>
      </c>
      <c r="T893" s="36"/>
      <c r="U893" s="36"/>
      <c r="V893" s="36"/>
      <c r="W893" s="36"/>
      <c r="X893" s="38">
        <v>1.0</v>
      </c>
      <c r="Y893" s="38" t="s">
        <v>1735</v>
      </c>
      <c r="Z893" s="38" t="s">
        <v>1129</v>
      </c>
      <c r="AA893" s="38" t="s">
        <v>452</v>
      </c>
      <c r="AB893" s="38">
        <v>37.75</v>
      </c>
      <c r="AC893" s="38" t="s">
        <v>1736</v>
      </c>
      <c r="AD893" s="38" t="s">
        <v>1130</v>
      </c>
      <c r="AE893" s="38">
        <v>340.0</v>
      </c>
      <c r="AF893" s="38"/>
      <c r="AG893" s="38"/>
      <c r="AH893" s="38"/>
      <c r="AI893" s="50">
        <v>37.75</v>
      </c>
      <c r="AJ893" s="50">
        <v>127.15</v>
      </c>
      <c r="AK893" s="41" t="s">
        <v>370</v>
      </c>
      <c r="AL893" s="40" t="s">
        <v>370</v>
      </c>
      <c r="AM893" s="49">
        <v>282.0</v>
      </c>
      <c r="AN893" s="51">
        <v>282.0</v>
      </c>
      <c r="AO893" s="42" t="s">
        <v>218</v>
      </c>
      <c r="AP893" s="43" t="s">
        <v>218</v>
      </c>
      <c r="AQ893" s="44" t="str">
        <f t="shared" si="84"/>
        <v>MF</v>
      </c>
      <c r="AR893" s="44">
        <f t="shared" si="80"/>
        <v>282</v>
      </c>
      <c r="AS893" s="44" t="str">
        <f t="shared" si="85"/>
        <v>D</v>
      </c>
      <c r="AT893" s="44" t="str">
        <f t="shared" si="17"/>
        <v>Dw</v>
      </c>
      <c r="AU893" s="44" t="str">
        <f t="shared" si="2"/>
        <v>Dwa</v>
      </c>
      <c r="AV893" s="38">
        <v>1.0</v>
      </c>
      <c r="AW893" s="38">
        <v>1.0</v>
      </c>
      <c r="AX893" s="38"/>
      <c r="AY893" s="38"/>
      <c r="AZ893" s="29">
        <v>1000.0</v>
      </c>
      <c r="BA893" s="29"/>
      <c r="BB893" s="29">
        <v>1.0</v>
      </c>
      <c r="BC893" s="29"/>
      <c r="BD893" s="29" t="s">
        <v>88</v>
      </c>
      <c r="BE893" s="29"/>
      <c r="BF893" s="29" t="s">
        <v>1190</v>
      </c>
      <c r="BG893" s="29" t="s">
        <v>220</v>
      </c>
      <c r="BH893" s="29" t="s">
        <v>92</v>
      </c>
      <c r="BI893" s="29" t="s">
        <v>148</v>
      </c>
      <c r="BJ893" s="29" t="s">
        <v>148</v>
      </c>
      <c r="BK893" s="29" t="s">
        <v>148</v>
      </c>
      <c r="BL893" s="29" t="s">
        <v>148</v>
      </c>
      <c r="BM893" s="45"/>
      <c r="BN893" s="45">
        <v>1.0</v>
      </c>
      <c r="BO893" s="46" t="s">
        <v>1737</v>
      </c>
      <c r="BP893" s="2"/>
      <c r="BQ893" s="3"/>
    </row>
    <row r="894" ht="15.75" customHeight="1">
      <c r="A894" s="34">
        <v>905.0</v>
      </c>
      <c r="B894" s="34">
        <v>101624.0</v>
      </c>
      <c r="C894" s="34" t="s">
        <v>76</v>
      </c>
      <c r="D894" s="34" t="s">
        <v>1731</v>
      </c>
      <c r="E894" s="34" t="s">
        <v>1732</v>
      </c>
      <c r="F894" s="34">
        <v>2013.0</v>
      </c>
      <c r="G894" s="34" t="s">
        <v>1733</v>
      </c>
      <c r="H894" s="34" t="s">
        <v>282</v>
      </c>
      <c r="I894" s="34" t="s">
        <v>1734</v>
      </c>
      <c r="J894" s="35"/>
      <c r="K894" s="36"/>
      <c r="L894" s="96"/>
      <c r="M894" s="36"/>
      <c r="N894" s="36">
        <v>-61.82</v>
      </c>
      <c r="O894" s="36">
        <v>145.33</v>
      </c>
      <c r="P894" s="52">
        <f t="shared" si="87"/>
        <v>-42.53767288</v>
      </c>
      <c r="Q894" s="36"/>
      <c r="R894" s="36" t="s">
        <v>82</v>
      </c>
      <c r="S894" s="36">
        <v>1000.0</v>
      </c>
      <c r="T894" s="36"/>
      <c r="U894" s="36"/>
      <c r="V894" s="36"/>
      <c r="W894" s="36"/>
      <c r="X894" s="38">
        <v>1.0</v>
      </c>
      <c r="Y894" s="38" t="s">
        <v>1735</v>
      </c>
      <c r="Z894" s="38" t="s">
        <v>1129</v>
      </c>
      <c r="AA894" s="38" t="s">
        <v>452</v>
      </c>
      <c r="AB894" s="38">
        <v>37.75</v>
      </c>
      <c r="AC894" s="38" t="s">
        <v>1736</v>
      </c>
      <c r="AD894" s="38" t="s">
        <v>1130</v>
      </c>
      <c r="AE894" s="38">
        <v>340.0</v>
      </c>
      <c r="AF894" s="38"/>
      <c r="AG894" s="38"/>
      <c r="AH894" s="38"/>
      <c r="AI894" s="50">
        <v>37.75</v>
      </c>
      <c r="AJ894" s="50">
        <v>127.15</v>
      </c>
      <c r="AK894" s="41" t="s">
        <v>370</v>
      </c>
      <c r="AL894" s="40" t="s">
        <v>370</v>
      </c>
      <c r="AM894" s="49">
        <v>282.0</v>
      </c>
      <c r="AN894" s="51">
        <v>282.0</v>
      </c>
      <c r="AO894" s="42" t="s">
        <v>218</v>
      </c>
      <c r="AP894" s="43" t="s">
        <v>218</v>
      </c>
      <c r="AQ894" s="44" t="str">
        <f t="shared" si="84"/>
        <v>MF</v>
      </c>
      <c r="AR894" s="44">
        <f t="shared" si="80"/>
        <v>282</v>
      </c>
      <c r="AS894" s="44" t="str">
        <f t="shared" si="85"/>
        <v>D</v>
      </c>
      <c r="AT894" s="44" t="str">
        <f t="shared" si="17"/>
        <v>Dw</v>
      </c>
      <c r="AU894" s="44" t="str">
        <f t="shared" si="2"/>
        <v>Dwa</v>
      </c>
      <c r="AV894" s="38">
        <v>3.0</v>
      </c>
      <c r="AW894" s="38">
        <v>1.0</v>
      </c>
      <c r="AX894" s="38"/>
      <c r="AY894" s="38"/>
      <c r="AZ894" s="29">
        <v>1000.0</v>
      </c>
      <c r="BA894" s="29"/>
      <c r="BB894" s="29">
        <v>1.0</v>
      </c>
      <c r="BC894" s="29"/>
      <c r="BD894" s="29" t="s">
        <v>88</v>
      </c>
      <c r="BE894" s="29"/>
      <c r="BF894" s="29" t="s">
        <v>1190</v>
      </c>
      <c r="BG894" s="29" t="s">
        <v>220</v>
      </c>
      <c r="BH894" s="29" t="s">
        <v>92</v>
      </c>
      <c r="BI894" s="29" t="s">
        <v>148</v>
      </c>
      <c r="BJ894" s="29" t="s">
        <v>148</v>
      </c>
      <c r="BK894" s="29" t="s">
        <v>148</v>
      </c>
      <c r="BL894" s="29" t="s">
        <v>148</v>
      </c>
      <c r="BM894" s="45"/>
      <c r="BN894" s="45"/>
      <c r="BO894" s="46"/>
      <c r="BP894" s="2"/>
      <c r="BQ894" s="3"/>
    </row>
    <row r="895" ht="15.75" customHeight="1">
      <c r="A895" s="34">
        <v>906.0</v>
      </c>
      <c r="B895" s="34">
        <v>101624.0</v>
      </c>
      <c r="C895" s="34" t="s">
        <v>76</v>
      </c>
      <c r="D895" s="34" t="s">
        <v>1731</v>
      </c>
      <c r="E895" s="34" t="s">
        <v>1732</v>
      </c>
      <c r="F895" s="34">
        <v>2013.0</v>
      </c>
      <c r="G895" s="34" t="s">
        <v>1733</v>
      </c>
      <c r="H895" s="34" t="s">
        <v>282</v>
      </c>
      <c r="I895" s="34" t="s">
        <v>1734</v>
      </c>
      <c r="J895" s="35"/>
      <c r="K895" s="36"/>
      <c r="L895" s="96"/>
      <c r="M895" s="36"/>
      <c r="N895" s="36">
        <v>-126.6</v>
      </c>
      <c r="O895" s="36">
        <v>155.35</v>
      </c>
      <c r="P895" s="52">
        <f t="shared" si="87"/>
        <v>-81.493402</v>
      </c>
      <c r="Q895" s="36"/>
      <c r="R895" s="36" t="s">
        <v>82</v>
      </c>
      <c r="S895" s="36">
        <v>1000.0</v>
      </c>
      <c r="T895" s="36"/>
      <c r="U895" s="36"/>
      <c r="V895" s="36"/>
      <c r="W895" s="36"/>
      <c r="X895" s="38">
        <v>1.0</v>
      </c>
      <c r="Y895" s="38" t="s">
        <v>1738</v>
      </c>
      <c r="Z895" s="38" t="s">
        <v>1138</v>
      </c>
      <c r="AA895" s="38" t="s">
        <v>86</v>
      </c>
      <c r="AB895" s="38">
        <v>34.55</v>
      </c>
      <c r="AC895" s="38" t="s">
        <v>1739</v>
      </c>
      <c r="AD895" s="38" t="s">
        <v>1130</v>
      </c>
      <c r="AE895" s="38">
        <v>14.0</v>
      </c>
      <c r="AF895" s="38"/>
      <c r="AG895" s="38"/>
      <c r="AH895" s="38"/>
      <c r="AI895" s="50">
        <v>34.55</v>
      </c>
      <c r="AJ895" s="50">
        <v>126.57</v>
      </c>
      <c r="AK895" s="41" t="s">
        <v>86</v>
      </c>
      <c r="AL895" s="40" t="s">
        <v>86</v>
      </c>
      <c r="AM895" s="49">
        <v>7.0</v>
      </c>
      <c r="AN895" s="51">
        <v>7.0</v>
      </c>
      <c r="AO895" s="42" t="s">
        <v>201</v>
      </c>
      <c r="AP895" s="43" t="s">
        <v>201</v>
      </c>
      <c r="AQ895" s="44" t="str">
        <f t="shared" si="84"/>
        <v>CRO</v>
      </c>
      <c r="AR895" s="44">
        <f t="shared" si="80"/>
        <v>7</v>
      </c>
      <c r="AS895" s="44" t="str">
        <f t="shared" si="85"/>
        <v>C</v>
      </c>
      <c r="AT895" s="44" t="str">
        <f t="shared" si="17"/>
        <v>Cf</v>
      </c>
      <c r="AU895" s="44" t="str">
        <f t="shared" si="2"/>
        <v>Cfa</v>
      </c>
      <c r="AV895" s="38">
        <v>1.0</v>
      </c>
      <c r="AW895" s="38">
        <v>1.0</v>
      </c>
      <c r="AX895" s="38"/>
      <c r="AY895" s="38"/>
      <c r="AZ895" s="29">
        <v>1000.0</v>
      </c>
      <c r="BA895" s="29"/>
      <c r="BB895" s="29">
        <v>1.0</v>
      </c>
      <c r="BC895" s="29"/>
      <c r="BD895" s="29" t="s">
        <v>88</v>
      </c>
      <c r="BE895" s="29"/>
      <c r="BF895" s="29" t="s">
        <v>1190</v>
      </c>
      <c r="BG895" s="29" t="s">
        <v>203</v>
      </c>
      <c r="BH895" s="29" t="s">
        <v>92</v>
      </c>
      <c r="BI895" s="29" t="s">
        <v>148</v>
      </c>
      <c r="BJ895" s="29" t="s">
        <v>148</v>
      </c>
      <c r="BK895" s="29" t="s">
        <v>148</v>
      </c>
      <c r="BL895" s="29" t="s">
        <v>148</v>
      </c>
      <c r="BM895" s="45"/>
      <c r="BN895" s="45"/>
      <c r="BO895" s="46"/>
      <c r="BP895" s="2"/>
      <c r="BQ895" s="3"/>
    </row>
    <row r="896" ht="15.75" customHeight="1">
      <c r="A896" s="34">
        <v>907.0</v>
      </c>
      <c r="B896" s="34">
        <v>101624.0</v>
      </c>
      <c r="C896" s="34" t="s">
        <v>76</v>
      </c>
      <c r="D896" s="34" t="s">
        <v>1731</v>
      </c>
      <c r="E896" s="34" t="s">
        <v>1732</v>
      </c>
      <c r="F896" s="34">
        <v>2013.0</v>
      </c>
      <c r="G896" s="34" t="s">
        <v>1733</v>
      </c>
      <c r="H896" s="34" t="s">
        <v>282</v>
      </c>
      <c r="I896" s="34" t="s">
        <v>1734</v>
      </c>
      <c r="J896" s="35"/>
      <c r="K896" s="36"/>
      <c r="L896" s="96"/>
      <c r="M896" s="36"/>
      <c r="N896" s="36">
        <v>-46.62</v>
      </c>
      <c r="O896" s="36">
        <v>235.34</v>
      </c>
      <c r="P896" s="52">
        <f t="shared" si="87"/>
        <v>-19.80963712</v>
      </c>
      <c r="Q896" s="36"/>
      <c r="R896" s="36" t="s">
        <v>82</v>
      </c>
      <c r="S896" s="36">
        <v>1000.0</v>
      </c>
      <c r="T896" s="36"/>
      <c r="U896" s="36"/>
      <c r="V896" s="36"/>
      <c r="W896" s="36"/>
      <c r="X896" s="38">
        <v>1.0</v>
      </c>
      <c r="Y896" s="38" t="s">
        <v>1738</v>
      </c>
      <c r="Z896" s="38" t="s">
        <v>1138</v>
      </c>
      <c r="AA896" s="38" t="s">
        <v>86</v>
      </c>
      <c r="AB896" s="38">
        <v>34.55</v>
      </c>
      <c r="AC896" s="38" t="s">
        <v>1739</v>
      </c>
      <c r="AD896" s="38" t="s">
        <v>1130</v>
      </c>
      <c r="AE896" s="38">
        <v>14.0</v>
      </c>
      <c r="AF896" s="38"/>
      <c r="AG896" s="38"/>
      <c r="AH896" s="38"/>
      <c r="AI896" s="50">
        <v>34.55</v>
      </c>
      <c r="AJ896" s="50">
        <v>126.57</v>
      </c>
      <c r="AK896" s="41" t="s">
        <v>86</v>
      </c>
      <c r="AL896" s="40" t="s">
        <v>86</v>
      </c>
      <c r="AM896" s="49">
        <v>7.0</v>
      </c>
      <c r="AN896" s="51">
        <v>7.0</v>
      </c>
      <c r="AO896" s="42" t="s">
        <v>201</v>
      </c>
      <c r="AP896" s="43" t="s">
        <v>201</v>
      </c>
      <c r="AQ896" s="44" t="str">
        <f t="shared" si="84"/>
        <v>CRO</v>
      </c>
      <c r="AR896" s="44">
        <f t="shared" si="80"/>
        <v>7</v>
      </c>
      <c r="AS896" s="44" t="str">
        <f t="shared" si="85"/>
        <v>C</v>
      </c>
      <c r="AT896" s="44" t="str">
        <f t="shared" si="17"/>
        <v>Cf</v>
      </c>
      <c r="AU896" s="44" t="str">
        <f t="shared" si="2"/>
        <v>Cfa</v>
      </c>
      <c r="AV896" s="38">
        <v>3.0</v>
      </c>
      <c r="AW896" s="38">
        <v>1.0</v>
      </c>
      <c r="AX896" s="38"/>
      <c r="AY896" s="38"/>
      <c r="AZ896" s="29">
        <v>1000.0</v>
      </c>
      <c r="BA896" s="29"/>
      <c r="BB896" s="29">
        <v>1.0</v>
      </c>
      <c r="BC896" s="29"/>
      <c r="BD896" s="29" t="s">
        <v>88</v>
      </c>
      <c r="BE896" s="29"/>
      <c r="BF896" s="29" t="s">
        <v>1190</v>
      </c>
      <c r="BG896" s="29" t="s">
        <v>203</v>
      </c>
      <c r="BH896" s="29" t="s">
        <v>92</v>
      </c>
      <c r="BI896" s="29" t="s">
        <v>148</v>
      </c>
      <c r="BJ896" s="29" t="s">
        <v>148</v>
      </c>
      <c r="BK896" s="29" t="s">
        <v>148</v>
      </c>
      <c r="BL896" s="29" t="s">
        <v>148</v>
      </c>
      <c r="BM896" s="45"/>
      <c r="BN896" s="45"/>
      <c r="BO896" s="46"/>
      <c r="BP896" s="73"/>
      <c r="BQ896" s="17"/>
    </row>
    <row r="897" ht="15.75" customHeight="1">
      <c r="A897" s="34">
        <v>908.0</v>
      </c>
      <c r="B897" s="34">
        <v>101624.0</v>
      </c>
      <c r="C897" s="34" t="s">
        <v>76</v>
      </c>
      <c r="D897" s="34" t="s">
        <v>1731</v>
      </c>
      <c r="E897" s="34" t="s">
        <v>1732</v>
      </c>
      <c r="F897" s="34">
        <v>2013.0</v>
      </c>
      <c r="G897" s="34" t="s">
        <v>1733</v>
      </c>
      <c r="H897" s="34" t="s">
        <v>282</v>
      </c>
      <c r="I897" s="34" t="s">
        <v>1734</v>
      </c>
      <c r="J897" s="35"/>
      <c r="K897" s="36"/>
      <c r="L897" s="96"/>
      <c r="M897" s="36"/>
      <c r="N897" s="36">
        <v>-123.89</v>
      </c>
      <c r="O897" s="36">
        <v>95.69</v>
      </c>
      <c r="P897" s="86">
        <f t="shared" si="87"/>
        <v>-129.4701641</v>
      </c>
      <c r="Q897" s="36"/>
      <c r="R897" s="36" t="s">
        <v>82</v>
      </c>
      <c r="S897" s="36">
        <v>1000.0</v>
      </c>
      <c r="T897" s="36"/>
      <c r="U897" s="36"/>
      <c r="V897" s="36"/>
      <c r="W897" s="36"/>
      <c r="X897" s="38">
        <v>1.0</v>
      </c>
      <c r="Y897" s="38" t="s">
        <v>1735</v>
      </c>
      <c r="Z897" s="38" t="s">
        <v>1129</v>
      </c>
      <c r="AA897" s="38" t="s">
        <v>452</v>
      </c>
      <c r="AB897" s="38">
        <v>37.75</v>
      </c>
      <c r="AC897" s="38" t="s">
        <v>1736</v>
      </c>
      <c r="AD897" s="38" t="s">
        <v>1130</v>
      </c>
      <c r="AE897" s="38">
        <v>340.0</v>
      </c>
      <c r="AF897" s="38"/>
      <c r="AG897" s="38"/>
      <c r="AH897" s="38"/>
      <c r="AI897" s="50">
        <v>37.75</v>
      </c>
      <c r="AJ897" s="50">
        <v>127.15</v>
      </c>
      <c r="AK897" s="41" t="s">
        <v>370</v>
      </c>
      <c r="AL897" s="40" t="s">
        <v>370</v>
      </c>
      <c r="AM897" s="49">
        <v>282.0</v>
      </c>
      <c r="AN897" s="51">
        <v>282.0</v>
      </c>
      <c r="AO897" s="42" t="s">
        <v>218</v>
      </c>
      <c r="AP897" s="43" t="s">
        <v>218</v>
      </c>
      <c r="AQ897" s="44" t="str">
        <f t="shared" si="84"/>
        <v>MF</v>
      </c>
      <c r="AR897" s="44">
        <f t="shared" si="80"/>
        <v>282</v>
      </c>
      <c r="AS897" s="44" t="str">
        <f t="shared" si="85"/>
        <v>D</v>
      </c>
      <c r="AT897" s="44" t="str">
        <f t="shared" si="17"/>
        <v>Dw</v>
      </c>
      <c r="AU897" s="44" t="str">
        <f t="shared" si="2"/>
        <v>Dwa</v>
      </c>
      <c r="AV897" s="38">
        <v>1.0</v>
      </c>
      <c r="AW897" s="38">
        <v>1.0</v>
      </c>
      <c r="AX897" s="38"/>
      <c r="AY897" s="38"/>
      <c r="AZ897" s="29">
        <v>1000.0</v>
      </c>
      <c r="BA897" s="29"/>
      <c r="BB897" s="29">
        <v>1.0</v>
      </c>
      <c r="BC897" s="29"/>
      <c r="BD897" s="29" t="s">
        <v>88</v>
      </c>
      <c r="BE897" s="29"/>
      <c r="BF897" s="29" t="s">
        <v>1740</v>
      </c>
      <c r="BG897" s="29" t="s">
        <v>220</v>
      </c>
      <c r="BH897" s="29" t="s">
        <v>92</v>
      </c>
      <c r="BI897" s="29" t="s">
        <v>148</v>
      </c>
      <c r="BJ897" s="29" t="s">
        <v>148</v>
      </c>
      <c r="BK897" s="29" t="s">
        <v>148</v>
      </c>
      <c r="BL897" s="29" t="s">
        <v>148</v>
      </c>
      <c r="BM897" s="45"/>
      <c r="BN897" s="45"/>
      <c r="BO897" s="46"/>
      <c r="BP897" s="2"/>
      <c r="BQ897" s="3"/>
    </row>
    <row r="898" ht="15.75" customHeight="1">
      <c r="A898" s="34">
        <v>909.0</v>
      </c>
      <c r="B898" s="34">
        <v>101624.0</v>
      </c>
      <c r="C898" s="34" t="s">
        <v>76</v>
      </c>
      <c r="D898" s="34" t="s">
        <v>1731</v>
      </c>
      <c r="E898" s="34" t="s">
        <v>1732</v>
      </c>
      <c r="F898" s="34">
        <v>2013.0</v>
      </c>
      <c r="G898" s="34" t="s">
        <v>1733</v>
      </c>
      <c r="H898" s="34" t="s">
        <v>282</v>
      </c>
      <c r="I898" s="34" t="s">
        <v>1734</v>
      </c>
      <c r="J898" s="35"/>
      <c r="K898" s="36"/>
      <c r="L898" s="96"/>
      <c r="M898" s="36"/>
      <c r="N898" s="36">
        <v>-74.25</v>
      </c>
      <c r="O898" s="36">
        <v>145.33</v>
      </c>
      <c r="P898" s="52">
        <f t="shared" si="87"/>
        <v>-51.09062134</v>
      </c>
      <c r="Q898" s="36"/>
      <c r="R898" s="36" t="s">
        <v>82</v>
      </c>
      <c r="S898" s="36">
        <v>1000.0</v>
      </c>
      <c r="T898" s="36"/>
      <c r="U898" s="36"/>
      <c r="V898" s="36"/>
      <c r="W898" s="36"/>
      <c r="X898" s="38">
        <v>1.0</v>
      </c>
      <c r="Y898" s="38" t="s">
        <v>1735</v>
      </c>
      <c r="Z898" s="38" t="s">
        <v>1129</v>
      </c>
      <c r="AA898" s="38" t="s">
        <v>452</v>
      </c>
      <c r="AB898" s="38">
        <v>37.75</v>
      </c>
      <c r="AC898" s="38" t="s">
        <v>1736</v>
      </c>
      <c r="AD898" s="38" t="s">
        <v>1130</v>
      </c>
      <c r="AE898" s="38">
        <v>340.0</v>
      </c>
      <c r="AF898" s="38"/>
      <c r="AG898" s="38"/>
      <c r="AH898" s="38"/>
      <c r="AI898" s="50">
        <v>37.75</v>
      </c>
      <c r="AJ898" s="50">
        <v>127.15</v>
      </c>
      <c r="AK898" s="41" t="s">
        <v>370</v>
      </c>
      <c r="AL898" s="40" t="s">
        <v>370</v>
      </c>
      <c r="AM898" s="49">
        <v>282.0</v>
      </c>
      <c r="AN898" s="51">
        <v>282.0</v>
      </c>
      <c r="AO898" s="42" t="s">
        <v>218</v>
      </c>
      <c r="AP898" s="43" t="s">
        <v>218</v>
      </c>
      <c r="AQ898" s="44" t="str">
        <f t="shared" si="84"/>
        <v>MF</v>
      </c>
      <c r="AR898" s="44">
        <f t="shared" si="80"/>
        <v>282</v>
      </c>
      <c r="AS898" s="44" t="str">
        <f t="shared" si="85"/>
        <v>D</v>
      </c>
      <c r="AT898" s="44" t="str">
        <f t="shared" si="17"/>
        <v>Dw</v>
      </c>
      <c r="AU898" s="44" t="str">
        <f t="shared" si="2"/>
        <v>Dwa</v>
      </c>
      <c r="AV898" s="38">
        <v>3.0</v>
      </c>
      <c r="AW898" s="38">
        <v>1.0</v>
      </c>
      <c r="AX898" s="38"/>
      <c r="AY898" s="38"/>
      <c r="AZ898" s="29">
        <v>1000.0</v>
      </c>
      <c r="BA898" s="29"/>
      <c r="BB898" s="29">
        <v>1.0</v>
      </c>
      <c r="BC898" s="29"/>
      <c r="BD898" s="29" t="s">
        <v>88</v>
      </c>
      <c r="BE898" s="29"/>
      <c r="BF898" s="29" t="s">
        <v>1740</v>
      </c>
      <c r="BG898" s="29" t="s">
        <v>220</v>
      </c>
      <c r="BH898" s="29" t="s">
        <v>92</v>
      </c>
      <c r="BI898" s="29" t="s">
        <v>148</v>
      </c>
      <c r="BJ898" s="29" t="s">
        <v>148</v>
      </c>
      <c r="BK898" s="29" t="s">
        <v>148</v>
      </c>
      <c r="BL898" s="29" t="s">
        <v>148</v>
      </c>
      <c r="BM898" s="45"/>
      <c r="BN898" s="45"/>
      <c r="BO898" s="46"/>
      <c r="BP898" s="2"/>
      <c r="BQ898" s="3"/>
    </row>
    <row r="899" ht="15.75" customHeight="1">
      <c r="A899" s="34">
        <v>910.0</v>
      </c>
      <c r="B899" s="34">
        <v>101624.0</v>
      </c>
      <c r="C899" s="34" t="s">
        <v>76</v>
      </c>
      <c r="D899" s="34" t="s">
        <v>1731</v>
      </c>
      <c r="E899" s="34" t="s">
        <v>1732</v>
      </c>
      <c r="F899" s="34">
        <v>2013.0</v>
      </c>
      <c r="G899" s="34" t="s">
        <v>1733</v>
      </c>
      <c r="H899" s="34" t="s">
        <v>282</v>
      </c>
      <c r="I899" s="34" t="s">
        <v>1734</v>
      </c>
      <c r="J899" s="35"/>
      <c r="K899" s="36"/>
      <c r="L899" s="96"/>
      <c r="M899" s="36"/>
      <c r="N899" s="36">
        <v>-41.2</v>
      </c>
      <c r="O899" s="36">
        <v>155.35</v>
      </c>
      <c r="P899" s="52">
        <f t="shared" si="87"/>
        <v>-26.52075958</v>
      </c>
      <c r="Q899" s="36"/>
      <c r="R899" s="36" t="s">
        <v>82</v>
      </c>
      <c r="S899" s="36">
        <v>1000.0</v>
      </c>
      <c r="T899" s="36"/>
      <c r="U899" s="36"/>
      <c r="V899" s="36"/>
      <c r="W899" s="36"/>
      <c r="X899" s="38">
        <v>1.0</v>
      </c>
      <c r="Y899" s="38" t="s">
        <v>1738</v>
      </c>
      <c r="Z899" s="38" t="s">
        <v>1138</v>
      </c>
      <c r="AA899" s="38" t="s">
        <v>86</v>
      </c>
      <c r="AB899" s="38">
        <v>34.55</v>
      </c>
      <c r="AC899" s="38" t="s">
        <v>1739</v>
      </c>
      <c r="AD899" s="38" t="s">
        <v>1130</v>
      </c>
      <c r="AE899" s="38">
        <v>14.0</v>
      </c>
      <c r="AF899" s="38"/>
      <c r="AG899" s="38"/>
      <c r="AH899" s="38"/>
      <c r="AI899" s="50">
        <v>34.55</v>
      </c>
      <c r="AJ899" s="50">
        <v>126.57</v>
      </c>
      <c r="AK899" s="41" t="s">
        <v>86</v>
      </c>
      <c r="AL899" s="40" t="s">
        <v>86</v>
      </c>
      <c r="AM899" s="49">
        <v>7.0</v>
      </c>
      <c r="AN899" s="51">
        <v>7.0</v>
      </c>
      <c r="AO899" s="42" t="s">
        <v>201</v>
      </c>
      <c r="AP899" s="43" t="s">
        <v>201</v>
      </c>
      <c r="AQ899" s="44" t="str">
        <f t="shared" si="84"/>
        <v>CRO</v>
      </c>
      <c r="AR899" s="44">
        <f t="shared" si="80"/>
        <v>7</v>
      </c>
      <c r="AS899" s="44" t="str">
        <f t="shared" si="85"/>
        <v>C</v>
      </c>
      <c r="AT899" s="44" t="str">
        <f t="shared" si="17"/>
        <v>Cf</v>
      </c>
      <c r="AU899" s="44" t="str">
        <f t="shared" si="2"/>
        <v>Cfa</v>
      </c>
      <c r="AV899" s="38">
        <v>1.0</v>
      </c>
      <c r="AW899" s="38">
        <v>1.0</v>
      </c>
      <c r="AX899" s="38"/>
      <c r="AY899" s="38"/>
      <c r="AZ899" s="29">
        <v>1000.0</v>
      </c>
      <c r="BA899" s="29"/>
      <c r="BB899" s="29">
        <v>1.0</v>
      </c>
      <c r="BC899" s="29"/>
      <c r="BD899" s="29" t="s">
        <v>88</v>
      </c>
      <c r="BE899" s="29"/>
      <c r="BF899" s="29" t="s">
        <v>1740</v>
      </c>
      <c r="BG899" s="29" t="s">
        <v>203</v>
      </c>
      <c r="BH899" s="29" t="s">
        <v>92</v>
      </c>
      <c r="BI899" s="29" t="s">
        <v>148</v>
      </c>
      <c r="BJ899" s="29" t="s">
        <v>148</v>
      </c>
      <c r="BK899" s="29" t="s">
        <v>148</v>
      </c>
      <c r="BL899" s="29" t="s">
        <v>148</v>
      </c>
      <c r="BM899" s="45"/>
      <c r="BN899" s="45"/>
      <c r="BO899" s="46"/>
      <c r="BP899" s="2"/>
      <c r="BQ899" s="3"/>
    </row>
    <row r="900" ht="15.75" customHeight="1">
      <c r="A900" s="34">
        <v>911.0</v>
      </c>
      <c r="B900" s="34">
        <v>101624.0</v>
      </c>
      <c r="C900" s="34" t="s">
        <v>76</v>
      </c>
      <c r="D900" s="34" t="s">
        <v>1731</v>
      </c>
      <c r="E900" s="34" t="s">
        <v>1732</v>
      </c>
      <c r="F900" s="34">
        <v>2013.0</v>
      </c>
      <c r="G900" s="34" t="s">
        <v>1733</v>
      </c>
      <c r="H900" s="34" t="s">
        <v>282</v>
      </c>
      <c r="I900" s="34" t="s">
        <v>1734</v>
      </c>
      <c r="J900" s="35"/>
      <c r="K900" s="36"/>
      <c r="L900" s="96"/>
      <c r="M900" s="36"/>
      <c r="N900" s="36">
        <v>38.79</v>
      </c>
      <c r="O900" s="36">
        <v>235.34</v>
      </c>
      <c r="P900" s="52">
        <f t="shared" si="87"/>
        <v>16.48253591</v>
      </c>
      <c r="Q900" s="36"/>
      <c r="R900" s="36" t="s">
        <v>82</v>
      </c>
      <c r="S900" s="36">
        <v>1000.0</v>
      </c>
      <c r="T900" s="36"/>
      <c r="U900" s="36"/>
      <c r="V900" s="36"/>
      <c r="W900" s="36"/>
      <c r="X900" s="38">
        <v>1.0</v>
      </c>
      <c r="Y900" s="38" t="s">
        <v>1738</v>
      </c>
      <c r="Z900" s="38" t="s">
        <v>1138</v>
      </c>
      <c r="AA900" s="38" t="s">
        <v>86</v>
      </c>
      <c r="AB900" s="38">
        <v>34.55</v>
      </c>
      <c r="AC900" s="38" t="s">
        <v>1739</v>
      </c>
      <c r="AD900" s="38" t="s">
        <v>1130</v>
      </c>
      <c r="AE900" s="38">
        <v>14.0</v>
      </c>
      <c r="AF900" s="38"/>
      <c r="AG900" s="38"/>
      <c r="AH900" s="38"/>
      <c r="AI900" s="50">
        <v>34.55</v>
      </c>
      <c r="AJ900" s="50">
        <v>126.57</v>
      </c>
      <c r="AK900" s="41" t="s">
        <v>86</v>
      </c>
      <c r="AL900" s="40" t="s">
        <v>86</v>
      </c>
      <c r="AM900" s="49">
        <v>7.0</v>
      </c>
      <c r="AN900" s="51">
        <v>7.0</v>
      </c>
      <c r="AO900" s="42" t="s">
        <v>201</v>
      </c>
      <c r="AP900" s="43" t="s">
        <v>201</v>
      </c>
      <c r="AQ900" s="44" t="str">
        <f t="shared" si="84"/>
        <v>CRO</v>
      </c>
      <c r="AR900" s="44">
        <f t="shared" si="80"/>
        <v>7</v>
      </c>
      <c r="AS900" s="44" t="str">
        <f t="shared" si="85"/>
        <v>C</v>
      </c>
      <c r="AT900" s="44" t="str">
        <f t="shared" si="17"/>
        <v>Cf</v>
      </c>
      <c r="AU900" s="44" t="str">
        <f t="shared" si="2"/>
        <v>Cfa</v>
      </c>
      <c r="AV900" s="38">
        <v>3.0</v>
      </c>
      <c r="AW900" s="38">
        <v>1.0</v>
      </c>
      <c r="AX900" s="38"/>
      <c r="AY900" s="38"/>
      <c r="AZ900" s="29">
        <v>1000.0</v>
      </c>
      <c r="BA900" s="29"/>
      <c r="BB900" s="29">
        <v>1.0</v>
      </c>
      <c r="BC900" s="29"/>
      <c r="BD900" s="29" t="s">
        <v>88</v>
      </c>
      <c r="BE900" s="29"/>
      <c r="BF900" s="29" t="s">
        <v>1740</v>
      </c>
      <c r="BG900" s="29" t="s">
        <v>203</v>
      </c>
      <c r="BH900" s="29" t="s">
        <v>92</v>
      </c>
      <c r="BI900" s="29" t="s">
        <v>148</v>
      </c>
      <c r="BJ900" s="29" t="s">
        <v>148</v>
      </c>
      <c r="BK900" s="29" t="s">
        <v>148</v>
      </c>
      <c r="BL900" s="29" t="s">
        <v>148</v>
      </c>
      <c r="BM900" s="45"/>
      <c r="BN900" s="45"/>
      <c r="BO900" s="46"/>
      <c r="BP900" s="2"/>
      <c r="BQ900" s="3"/>
    </row>
    <row r="901" ht="15.75" customHeight="1">
      <c r="A901" s="34">
        <v>912.0</v>
      </c>
      <c r="B901" s="34">
        <v>103666.0</v>
      </c>
      <c r="C901" s="34" t="s">
        <v>415</v>
      </c>
      <c r="D901" s="34" t="s">
        <v>1741</v>
      </c>
      <c r="E901" s="34" t="s">
        <v>1742</v>
      </c>
      <c r="F901" s="34">
        <v>2016.0</v>
      </c>
      <c r="G901" s="34" t="s">
        <v>1743</v>
      </c>
      <c r="H901" s="34" t="s">
        <v>282</v>
      </c>
      <c r="I901" s="34" t="s">
        <v>1744</v>
      </c>
      <c r="J901" s="35"/>
      <c r="K901" s="36"/>
      <c r="L901" s="96">
        <v>27.93</v>
      </c>
      <c r="M901" s="36"/>
      <c r="N901" s="36"/>
      <c r="O901" s="36"/>
      <c r="P901" s="37">
        <v>-34.66</v>
      </c>
      <c r="Q901" s="36" t="s">
        <v>191</v>
      </c>
      <c r="R901" s="36" t="s">
        <v>191</v>
      </c>
      <c r="S901" s="36">
        <v>100.0</v>
      </c>
      <c r="T901" s="36"/>
      <c r="U901" s="36"/>
      <c r="V901" s="36">
        <v>12.0</v>
      </c>
      <c r="W901" s="36"/>
      <c r="X901" s="38">
        <v>1.0</v>
      </c>
      <c r="Y901" s="38" t="s">
        <v>300</v>
      </c>
      <c r="Z901" s="38" t="s">
        <v>301</v>
      </c>
      <c r="AA901" s="38" t="s">
        <v>200</v>
      </c>
      <c r="AB901" s="38">
        <v>31.8214</v>
      </c>
      <c r="AC901" s="38">
        <v>110.8661</v>
      </c>
      <c r="AD901" s="38" t="s">
        <v>87</v>
      </c>
      <c r="AE901" s="38">
        <v>1116.0</v>
      </c>
      <c r="AF901" s="38" t="s">
        <v>1745</v>
      </c>
      <c r="AG901" s="38" t="s">
        <v>303</v>
      </c>
      <c r="AH901" s="38"/>
      <c r="AI901" s="50">
        <v>31.8214</v>
      </c>
      <c r="AJ901" s="50">
        <v>-110.867</v>
      </c>
      <c r="AK901" s="41" t="s">
        <v>291</v>
      </c>
      <c r="AL901" s="40" t="s">
        <v>291</v>
      </c>
      <c r="AM901" s="49">
        <v>1118.0</v>
      </c>
      <c r="AN901" s="51">
        <v>1118.0</v>
      </c>
      <c r="AO901" s="42" t="s">
        <v>304</v>
      </c>
      <c r="AP901" s="43" t="s">
        <v>304</v>
      </c>
      <c r="AQ901" s="44" t="str">
        <f t="shared" si="84"/>
        <v>WSA</v>
      </c>
      <c r="AR901" s="44">
        <f t="shared" si="80"/>
        <v>1118</v>
      </c>
      <c r="AS901" s="44" t="str">
        <f t="shared" si="85"/>
        <v>B</v>
      </c>
      <c r="AT901" s="44" t="str">
        <f t="shared" si="17"/>
        <v>BS</v>
      </c>
      <c r="AU901" s="44" t="str">
        <f t="shared" si="2"/>
        <v>BSh</v>
      </c>
      <c r="AV901" s="38"/>
      <c r="AW901" s="38"/>
      <c r="AX901" s="38"/>
      <c r="AY901" s="38"/>
      <c r="AZ901" s="29">
        <v>100.0</v>
      </c>
      <c r="BA901" s="29">
        <v>1.0</v>
      </c>
      <c r="BB901" s="29">
        <v>1.0</v>
      </c>
      <c r="BC901" s="29"/>
      <c r="BD901" s="29" t="s">
        <v>88</v>
      </c>
      <c r="BE901" s="29"/>
      <c r="BF901" s="29" t="s">
        <v>802</v>
      </c>
      <c r="BG901" s="29" t="s">
        <v>572</v>
      </c>
      <c r="BH901" s="29"/>
      <c r="BI901" s="29" t="s">
        <v>1746</v>
      </c>
      <c r="BJ901" s="29" t="s">
        <v>727</v>
      </c>
      <c r="BK901" s="29"/>
      <c r="BL901" s="29" t="s">
        <v>180</v>
      </c>
      <c r="BM901" s="45"/>
      <c r="BN901" s="45">
        <v>1.0</v>
      </c>
      <c r="BO901" s="46" t="s">
        <v>802</v>
      </c>
      <c r="BP901" s="2"/>
      <c r="BQ901" s="3"/>
    </row>
    <row r="902" ht="15.75" customHeight="1">
      <c r="A902" s="34">
        <v>913.0</v>
      </c>
      <c r="B902" s="34">
        <v>103666.0</v>
      </c>
      <c r="C902" s="34" t="s">
        <v>415</v>
      </c>
      <c r="D902" s="34" t="s">
        <v>1741</v>
      </c>
      <c r="E902" s="34" t="s">
        <v>1742</v>
      </c>
      <c r="F902" s="34">
        <v>2016.0</v>
      </c>
      <c r="G902" s="34" t="s">
        <v>1747</v>
      </c>
      <c r="H902" s="34" t="s">
        <v>282</v>
      </c>
      <c r="I902" s="34" t="s">
        <v>1744</v>
      </c>
      <c r="J902" s="35"/>
      <c r="K902" s="36"/>
      <c r="L902" s="96">
        <v>1.24</v>
      </c>
      <c r="M902" s="36"/>
      <c r="N902" s="36"/>
      <c r="O902" s="36"/>
      <c r="P902" s="37">
        <v>-22.13</v>
      </c>
      <c r="Q902" s="36" t="s">
        <v>96</v>
      </c>
      <c r="R902" s="36" t="s">
        <v>96</v>
      </c>
      <c r="S902" s="36">
        <v>100.0</v>
      </c>
      <c r="T902" s="36"/>
      <c r="U902" s="36"/>
      <c r="V902" s="36">
        <v>12.0</v>
      </c>
      <c r="W902" s="36"/>
      <c r="X902" s="38">
        <v>1.0</v>
      </c>
      <c r="Y902" s="38" t="s">
        <v>300</v>
      </c>
      <c r="Z902" s="38" t="s">
        <v>301</v>
      </c>
      <c r="AA902" s="38" t="s">
        <v>200</v>
      </c>
      <c r="AB902" s="38">
        <v>31.8214</v>
      </c>
      <c r="AC902" s="38">
        <v>110.8661</v>
      </c>
      <c r="AD902" s="38" t="s">
        <v>87</v>
      </c>
      <c r="AE902" s="38">
        <v>1116.0</v>
      </c>
      <c r="AF902" s="38" t="s">
        <v>1745</v>
      </c>
      <c r="AG902" s="38" t="s">
        <v>303</v>
      </c>
      <c r="AH902" s="38"/>
      <c r="AI902" s="50">
        <v>31.8214</v>
      </c>
      <c r="AJ902" s="50">
        <v>-110.867</v>
      </c>
      <c r="AK902" s="41" t="s">
        <v>291</v>
      </c>
      <c r="AL902" s="40" t="s">
        <v>291</v>
      </c>
      <c r="AM902" s="49">
        <v>1118.0</v>
      </c>
      <c r="AN902" s="51">
        <v>1118.0</v>
      </c>
      <c r="AO902" s="42" t="s">
        <v>304</v>
      </c>
      <c r="AP902" s="43" t="s">
        <v>304</v>
      </c>
      <c r="AQ902" s="44" t="str">
        <f t="shared" si="84"/>
        <v>WSA</v>
      </c>
      <c r="AR902" s="44">
        <f t="shared" si="80"/>
        <v>1118</v>
      </c>
      <c r="AS902" s="44" t="str">
        <f t="shared" si="85"/>
        <v>B</v>
      </c>
      <c r="AT902" s="44" t="str">
        <f t="shared" si="17"/>
        <v>BS</v>
      </c>
      <c r="AU902" s="44" t="str">
        <f t="shared" si="2"/>
        <v>BSh</v>
      </c>
      <c r="AV902" s="38"/>
      <c r="AW902" s="38"/>
      <c r="AX902" s="38"/>
      <c r="AY902" s="38"/>
      <c r="AZ902" s="29">
        <v>100.0</v>
      </c>
      <c r="BA902" s="29">
        <v>1.0</v>
      </c>
      <c r="BB902" s="29">
        <v>1.0</v>
      </c>
      <c r="BC902" s="29"/>
      <c r="BD902" s="29" t="s">
        <v>88</v>
      </c>
      <c r="BE902" s="29"/>
      <c r="BF902" s="29" t="s">
        <v>802</v>
      </c>
      <c r="BG902" s="29" t="s">
        <v>572</v>
      </c>
      <c r="BH902" s="29"/>
      <c r="BI902" s="29" t="s">
        <v>1746</v>
      </c>
      <c r="BJ902" s="29" t="s">
        <v>727</v>
      </c>
      <c r="BK902" s="29"/>
      <c r="BL902" s="29" t="s">
        <v>180</v>
      </c>
      <c r="BM902" s="45"/>
      <c r="BN902" s="45">
        <v>1.0</v>
      </c>
      <c r="BO902" s="46" t="s">
        <v>802</v>
      </c>
      <c r="BP902" s="2"/>
      <c r="BQ902" s="3"/>
    </row>
    <row r="903" ht="15.75" customHeight="1">
      <c r="A903" s="34">
        <v>914.0</v>
      </c>
      <c r="B903" s="34">
        <v>103666.0</v>
      </c>
      <c r="C903" s="34" t="s">
        <v>415</v>
      </c>
      <c r="D903" s="34" t="s">
        <v>1741</v>
      </c>
      <c r="E903" s="34" t="s">
        <v>1742</v>
      </c>
      <c r="F903" s="34">
        <v>2016.0</v>
      </c>
      <c r="G903" s="34" t="s">
        <v>1748</v>
      </c>
      <c r="H903" s="34" t="s">
        <v>282</v>
      </c>
      <c r="I903" s="34" t="s">
        <v>1744</v>
      </c>
      <c r="J903" s="35"/>
      <c r="K903" s="36"/>
      <c r="L903" s="96">
        <v>26.37</v>
      </c>
      <c r="M903" s="36"/>
      <c r="N903" s="36"/>
      <c r="O903" s="36"/>
      <c r="P903" s="37">
        <v>2.4</v>
      </c>
      <c r="Q903" s="36" t="s">
        <v>191</v>
      </c>
      <c r="R903" s="36" t="s">
        <v>191</v>
      </c>
      <c r="S903" s="36">
        <v>100.0</v>
      </c>
      <c r="T903" s="36"/>
      <c r="U903" s="36"/>
      <c r="V903" s="36">
        <v>12.0</v>
      </c>
      <c r="W903" s="36"/>
      <c r="X903" s="38">
        <v>1.0</v>
      </c>
      <c r="Y903" s="38" t="s">
        <v>1749</v>
      </c>
      <c r="Z903" s="38" t="s">
        <v>1750</v>
      </c>
      <c r="AA903" s="38" t="s">
        <v>288</v>
      </c>
      <c r="AB903" s="38">
        <v>31.7365</v>
      </c>
      <c r="AC903" s="38">
        <v>109.9419</v>
      </c>
      <c r="AD903" s="38" t="s">
        <v>87</v>
      </c>
      <c r="AE903" s="38">
        <v>1530.0</v>
      </c>
      <c r="AF903" s="38" t="s">
        <v>1745</v>
      </c>
      <c r="AG903" s="38"/>
      <c r="AH903" s="38"/>
      <c r="AI903" s="50">
        <v>31.7365</v>
      </c>
      <c r="AJ903" s="50">
        <v>-109.9419</v>
      </c>
      <c r="AK903" s="41" t="s">
        <v>291</v>
      </c>
      <c r="AL903" s="40" t="s">
        <v>291</v>
      </c>
      <c r="AM903" s="49">
        <v>1527.0</v>
      </c>
      <c r="AN903" s="51">
        <v>1527.0</v>
      </c>
      <c r="AO903" s="42" t="s">
        <v>293</v>
      </c>
      <c r="AP903" s="43" t="s">
        <v>293</v>
      </c>
      <c r="AQ903" s="44" t="str">
        <f t="shared" si="84"/>
        <v>GRA</v>
      </c>
      <c r="AR903" s="44">
        <f t="shared" si="80"/>
        <v>1527</v>
      </c>
      <c r="AS903" s="44" t="str">
        <f t="shared" si="85"/>
        <v>B</v>
      </c>
      <c r="AT903" s="44" t="str">
        <f t="shared" si="17"/>
        <v>BS</v>
      </c>
      <c r="AU903" s="44" t="str">
        <f t="shared" si="2"/>
        <v>BSk</v>
      </c>
      <c r="AV903" s="38"/>
      <c r="AW903" s="38"/>
      <c r="AX903" s="38"/>
      <c r="AY903" s="38"/>
      <c r="AZ903" s="29">
        <v>100.0</v>
      </c>
      <c r="BA903" s="29">
        <v>1.0</v>
      </c>
      <c r="BB903" s="29">
        <v>1.0</v>
      </c>
      <c r="BC903" s="29"/>
      <c r="BD903" s="29" t="s">
        <v>88</v>
      </c>
      <c r="BE903" s="29"/>
      <c r="BF903" s="29" t="s">
        <v>802</v>
      </c>
      <c r="BG903" s="29" t="s">
        <v>572</v>
      </c>
      <c r="BH903" s="29"/>
      <c r="BI903" s="29" t="s">
        <v>1746</v>
      </c>
      <c r="BJ903" s="29" t="s">
        <v>727</v>
      </c>
      <c r="BK903" s="29"/>
      <c r="BL903" s="29" t="s">
        <v>180</v>
      </c>
      <c r="BM903" s="45"/>
      <c r="BN903" s="45">
        <v>1.0</v>
      </c>
      <c r="BO903" s="46" t="s">
        <v>802</v>
      </c>
      <c r="BP903" s="2"/>
      <c r="BQ903" s="3"/>
    </row>
    <row r="904" ht="15.75" customHeight="1">
      <c r="A904" s="34">
        <v>915.0</v>
      </c>
      <c r="B904" s="34">
        <v>103666.0</v>
      </c>
      <c r="C904" s="34" t="s">
        <v>415</v>
      </c>
      <c r="D904" s="34" t="s">
        <v>1741</v>
      </c>
      <c r="E904" s="34" t="s">
        <v>1742</v>
      </c>
      <c r="F904" s="34">
        <v>2016.0</v>
      </c>
      <c r="G904" s="34" t="s">
        <v>1751</v>
      </c>
      <c r="H904" s="34" t="s">
        <v>282</v>
      </c>
      <c r="I904" s="34" t="s">
        <v>1744</v>
      </c>
      <c r="J904" s="35"/>
      <c r="K904" s="36"/>
      <c r="L904" s="96">
        <v>0.93</v>
      </c>
      <c r="M904" s="36"/>
      <c r="N904" s="36"/>
      <c r="O904" s="36"/>
      <c r="P904" s="37">
        <v>13.06</v>
      </c>
      <c r="Q904" s="36" t="s">
        <v>96</v>
      </c>
      <c r="R904" s="36" t="s">
        <v>96</v>
      </c>
      <c r="S904" s="36">
        <v>100.0</v>
      </c>
      <c r="T904" s="36"/>
      <c r="U904" s="36"/>
      <c r="V904" s="36">
        <v>15.0</v>
      </c>
      <c r="W904" s="36"/>
      <c r="X904" s="38">
        <v>1.0</v>
      </c>
      <c r="Y904" s="38" t="s">
        <v>1749</v>
      </c>
      <c r="Z904" s="38" t="s">
        <v>1750</v>
      </c>
      <c r="AA904" s="38" t="s">
        <v>288</v>
      </c>
      <c r="AB904" s="38">
        <v>31.7365</v>
      </c>
      <c r="AC904" s="38">
        <v>109.9419</v>
      </c>
      <c r="AD904" s="38" t="s">
        <v>87</v>
      </c>
      <c r="AE904" s="38">
        <v>1530.0</v>
      </c>
      <c r="AF904" s="38" t="s">
        <v>1745</v>
      </c>
      <c r="AG904" s="38"/>
      <c r="AH904" s="38"/>
      <c r="AI904" s="50">
        <v>31.7365</v>
      </c>
      <c r="AJ904" s="50">
        <v>-109.9419</v>
      </c>
      <c r="AK904" s="41" t="s">
        <v>291</v>
      </c>
      <c r="AL904" s="40" t="s">
        <v>291</v>
      </c>
      <c r="AM904" s="49">
        <v>1527.0</v>
      </c>
      <c r="AN904" s="51">
        <v>1527.0</v>
      </c>
      <c r="AO904" s="42" t="s">
        <v>293</v>
      </c>
      <c r="AP904" s="43" t="s">
        <v>293</v>
      </c>
      <c r="AQ904" s="44" t="str">
        <f t="shared" si="84"/>
        <v>GRA</v>
      </c>
      <c r="AR904" s="44">
        <f t="shared" si="80"/>
        <v>1527</v>
      </c>
      <c r="AS904" s="44" t="str">
        <f t="shared" si="85"/>
        <v>B</v>
      </c>
      <c r="AT904" s="44" t="str">
        <f t="shared" si="17"/>
        <v>BS</v>
      </c>
      <c r="AU904" s="44" t="str">
        <f t="shared" si="2"/>
        <v>BSk</v>
      </c>
      <c r="AV904" s="38"/>
      <c r="AW904" s="38"/>
      <c r="AX904" s="38"/>
      <c r="AY904" s="38"/>
      <c r="AZ904" s="29">
        <v>100.0</v>
      </c>
      <c r="BA904" s="29">
        <v>1.0</v>
      </c>
      <c r="BB904" s="29">
        <v>1.0</v>
      </c>
      <c r="BC904" s="29"/>
      <c r="BD904" s="29" t="s">
        <v>88</v>
      </c>
      <c r="BE904" s="29"/>
      <c r="BF904" s="29" t="s">
        <v>802</v>
      </c>
      <c r="BG904" s="29" t="s">
        <v>572</v>
      </c>
      <c r="BH904" s="29"/>
      <c r="BI904" s="29" t="s">
        <v>1746</v>
      </c>
      <c r="BJ904" s="29" t="s">
        <v>727</v>
      </c>
      <c r="BK904" s="29"/>
      <c r="BL904" s="29" t="s">
        <v>180</v>
      </c>
      <c r="BM904" s="45"/>
      <c r="BN904" s="45">
        <v>1.0</v>
      </c>
      <c r="BO904" s="46" t="s">
        <v>802</v>
      </c>
      <c r="BP904" s="2" t="s">
        <v>1752</v>
      </c>
      <c r="BQ904" s="3"/>
    </row>
    <row r="905" ht="15.75" customHeight="1">
      <c r="A905" s="34">
        <v>916.0</v>
      </c>
      <c r="B905" s="34">
        <v>102636.0</v>
      </c>
      <c r="C905" s="34" t="s">
        <v>415</v>
      </c>
      <c r="D905" s="34" t="s">
        <v>1753</v>
      </c>
      <c r="E905" s="34" t="s">
        <v>1754</v>
      </c>
      <c r="F905" s="34">
        <v>2019.0</v>
      </c>
      <c r="G905" s="34" t="s">
        <v>1755</v>
      </c>
      <c r="H905" s="34" t="s">
        <v>282</v>
      </c>
      <c r="I905" s="34" t="s">
        <v>1756</v>
      </c>
      <c r="J905" s="35"/>
      <c r="K905" s="36"/>
      <c r="L905" s="36"/>
      <c r="M905" s="36"/>
      <c r="N905" s="36">
        <v>59.09</v>
      </c>
      <c r="O905" s="36">
        <v>90.08</v>
      </c>
      <c r="P905" s="52">
        <f t="shared" ref="P905:P924" si="88">N905/O905*100</f>
        <v>65.59724689</v>
      </c>
      <c r="Q905" s="36"/>
      <c r="R905" s="36" t="s">
        <v>82</v>
      </c>
      <c r="S905" s="36">
        <v>20000.0</v>
      </c>
      <c r="T905" s="36" t="s">
        <v>350</v>
      </c>
      <c r="U905" s="36" t="s">
        <v>351</v>
      </c>
      <c r="V905" s="36">
        <v>392.0</v>
      </c>
      <c r="W905" s="36"/>
      <c r="X905" s="38">
        <v>1.0</v>
      </c>
      <c r="Y905" s="38" t="s">
        <v>1757</v>
      </c>
      <c r="Z905" s="38" t="s">
        <v>1758</v>
      </c>
      <c r="AA905" s="38" t="s">
        <v>197</v>
      </c>
      <c r="AB905" s="38">
        <v>24.58</v>
      </c>
      <c r="AC905" s="38">
        <v>121.4</v>
      </c>
      <c r="AD905" s="38" t="s">
        <v>1759</v>
      </c>
      <c r="AE905" s="38">
        <v>1400.0</v>
      </c>
      <c r="AF905" s="38"/>
      <c r="AG905" s="38"/>
      <c r="AH905" s="38"/>
      <c r="AI905" s="50">
        <v>24.58</v>
      </c>
      <c r="AJ905" s="50">
        <v>121.4</v>
      </c>
      <c r="AK905" s="41" t="s">
        <v>336</v>
      </c>
      <c r="AL905" s="40" t="s">
        <v>336</v>
      </c>
      <c r="AM905" s="49">
        <v>1794.0</v>
      </c>
      <c r="AN905" s="51">
        <v>1794.0</v>
      </c>
      <c r="AO905" s="42" t="s">
        <v>376</v>
      </c>
      <c r="AP905" s="43" t="s">
        <v>201</v>
      </c>
      <c r="AQ905" s="44" t="str">
        <f t="shared" si="84"/>
        <v>ENF</v>
      </c>
      <c r="AR905" s="44">
        <f t="shared" si="80"/>
        <v>1794</v>
      </c>
      <c r="AS905" s="44" t="str">
        <f t="shared" si="85"/>
        <v>C</v>
      </c>
      <c r="AT905" s="44" t="str">
        <f t="shared" si="17"/>
        <v>Cf</v>
      </c>
      <c r="AU905" s="44" t="str">
        <f t="shared" si="2"/>
        <v>Cfa</v>
      </c>
      <c r="AV905" s="38"/>
      <c r="AW905" s="38"/>
      <c r="AX905" s="38"/>
      <c r="AY905" s="38"/>
      <c r="AZ905" s="29">
        <v>20000.0</v>
      </c>
      <c r="BA905" s="29"/>
      <c r="BB905" s="29">
        <v>1.0</v>
      </c>
      <c r="BC905" s="29"/>
      <c r="BD905" s="29" t="s">
        <v>88</v>
      </c>
      <c r="BE905" s="29" t="s">
        <v>263</v>
      </c>
      <c r="BF905" s="29" t="s">
        <v>1760</v>
      </c>
      <c r="BG905" s="29" t="s">
        <v>203</v>
      </c>
      <c r="BH905" s="29"/>
      <c r="BI905" s="29" t="s">
        <v>425</v>
      </c>
      <c r="BJ905" s="29"/>
      <c r="BK905" s="29"/>
      <c r="BL905" s="29" t="s">
        <v>148</v>
      </c>
      <c r="BM905" s="45"/>
      <c r="BN905" s="45">
        <v>1.0</v>
      </c>
      <c r="BO905" s="46" t="s">
        <v>1761</v>
      </c>
      <c r="BP905" s="2"/>
      <c r="BQ905" s="3"/>
    </row>
    <row r="906" ht="15.75" customHeight="1">
      <c r="A906" s="34">
        <v>917.0</v>
      </c>
      <c r="B906" s="34">
        <v>102636.0</v>
      </c>
      <c r="C906" s="34" t="s">
        <v>415</v>
      </c>
      <c r="D906" s="34" t="s">
        <v>1753</v>
      </c>
      <c r="E906" s="34" t="s">
        <v>1754</v>
      </c>
      <c r="F906" s="34">
        <v>2019.0</v>
      </c>
      <c r="G906" s="34" t="s">
        <v>1755</v>
      </c>
      <c r="H906" s="34" t="s">
        <v>282</v>
      </c>
      <c r="I906" s="34" t="s">
        <v>1756</v>
      </c>
      <c r="J906" s="35"/>
      <c r="K906" s="36"/>
      <c r="L906" s="36"/>
      <c r="M906" s="36"/>
      <c r="N906" s="36">
        <v>14.43</v>
      </c>
      <c r="O906" s="36">
        <v>229.2</v>
      </c>
      <c r="P906" s="52">
        <f t="shared" si="88"/>
        <v>6.295811518</v>
      </c>
      <c r="Q906" s="36"/>
      <c r="R906" s="36" t="s">
        <v>82</v>
      </c>
      <c r="S906" s="36">
        <v>20000.0</v>
      </c>
      <c r="T906" s="36" t="s">
        <v>193</v>
      </c>
      <c r="U906" s="36" t="s">
        <v>363</v>
      </c>
      <c r="V906" s="36">
        <v>117.0</v>
      </c>
      <c r="W906" s="36"/>
      <c r="X906" s="38">
        <v>1.0</v>
      </c>
      <c r="Y906" s="38" t="s">
        <v>1762</v>
      </c>
      <c r="Z906" s="38" t="s">
        <v>1763</v>
      </c>
      <c r="AA906" s="38" t="s">
        <v>336</v>
      </c>
      <c r="AB906" s="38">
        <v>14.49</v>
      </c>
      <c r="AC906" s="38">
        <v>101.92</v>
      </c>
      <c r="AD906" s="38" t="s">
        <v>1764</v>
      </c>
      <c r="AE906" s="38">
        <v>543.0</v>
      </c>
      <c r="AF906" s="38"/>
      <c r="AG906" s="38" t="s">
        <v>335</v>
      </c>
      <c r="AH906" s="38"/>
      <c r="AI906" s="50">
        <v>14.49</v>
      </c>
      <c r="AJ906" s="50">
        <v>101.92</v>
      </c>
      <c r="AK906" s="41" t="s">
        <v>336</v>
      </c>
      <c r="AL906" s="40" t="s">
        <v>336</v>
      </c>
      <c r="AM906" s="49">
        <v>512.0</v>
      </c>
      <c r="AN906" s="51">
        <v>512.0</v>
      </c>
      <c r="AO906" s="42" t="s">
        <v>335</v>
      </c>
      <c r="AP906" s="43" t="s">
        <v>335</v>
      </c>
      <c r="AQ906" s="44" t="str">
        <f t="shared" si="84"/>
        <v>EBF</v>
      </c>
      <c r="AR906" s="44">
        <f t="shared" si="80"/>
        <v>512</v>
      </c>
      <c r="AS906" s="44" t="str">
        <f t="shared" si="85"/>
        <v>A</v>
      </c>
      <c r="AT906" s="44" t="str">
        <f t="shared" si="17"/>
        <v>Aw</v>
      </c>
      <c r="AU906" s="44" t="str">
        <f t="shared" si="2"/>
        <v>Aw</v>
      </c>
      <c r="AV906" s="38"/>
      <c r="AW906" s="38"/>
      <c r="AX906" s="38"/>
      <c r="AY906" s="38"/>
      <c r="AZ906" s="29">
        <v>20000.0</v>
      </c>
      <c r="BA906" s="29"/>
      <c r="BB906" s="29">
        <v>1.0</v>
      </c>
      <c r="BC906" s="29"/>
      <c r="BD906" s="29" t="s">
        <v>88</v>
      </c>
      <c r="BE906" s="29" t="s">
        <v>263</v>
      </c>
      <c r="BF906" s="29" t="s">
        <v>1760</v>
      </c>
      <c r="BG906" s="29" t="s">
        <v>203</v>
      </c>
      <c r="BH906" s="29"/>
      <c r="BI906" s="29" t="s">
        <v>425</v>
      </c>
      <c r="BJ906" s="29"/>
      <c r="BK906" s="29"/>
      <c r="BL906" s="29" t="s">
        <v>148</v>
      </c>
      <c r="BM906" s="45"/>
      <c r="BN906" s="45">
        <v>1.0</v>
      </c>
      <c r="BO906" s="46" t="s">
        <v>1761</v>
      </c>
      <c r="BP906" s="2"/>
      <c r="BQ906" s="3"/>
    </row>
    <row r="907" ht="15.75" customHeight="1">
      <c r="A907" s="34">
        <v>918.0</v>
      </c>
      <c r="B907" s="34">
        <v>102636.0</v>
      </c>
      <c r="C907" s="34" t="s">
        <v>415</v>
      </c>
      <c r="D907" s="34" t="s">
        <v>1753</v>
      </c>
      <c r="E907" s="34" t="s">
        <v>1754</v>
      </c>
      <c r="F907" s="34">
        <v>2019.0</v>
      </c>
      <c r="G907" s="34" t="s">
        <v>1755</v>
      </c>
      <c r="H907" s="34" t="s">
        <v>282</v>
      </c>
      <c r="I907" s="34" t="s">
        <v>1756</v>
      </c>
      <c r="J907" s="35"/>
      <c r="K907" s="36"/>
      <c r="L907" s="36"/>
      <c r="M907" s="36"/>
      <c r="N907" s="36">
        <v>5.17</v>
      </c>
      <c r="O907" s="36">
        <v>185.98</v>
      </c>
      <c r="P907" s="52">
        <f t="shared" si="88"/>
        <v>2.779868803</v>
      </c>
      <c r="Q907" s="36"/>
      <c r="R907" s="36" t="s">
        <v>82</v>
      </c>
      <c r="S907" s="36">
        <v>20000.0</v>
      </c>
      <c r="T907" s="36" t="s">
        <v>193</v>
      </c>
      <c r="U907" s="36" t="s">
        <v>968</v>
      </c>
      <c r="V907" s="36">
        <v>313.0</v>
      </c>
      <c r="W907" s="36"/>
      <c r="X907" s="38">
        <v>1.0</v>
      </c>
      <c r="Y907" s="38" t="s">
        <v>195</v>
      </c>
      <c r="Z907" s="68" t="s">
        <v>196</v>
      </c>
      <c r="AA907" s="38" t="s">
        <v>336</v>
      </c>
      <c r="AB907" s="38">
        <v>26.73</v>
      </c>
      <c r="AC907" s="38">
        <v>115.07</v>
      </c>
      <c r="AD907" s="38" t="s">
        <v>198</v>
      </c>
      <c r="AE907" s="38">
        <v>100.0</v>
      </c>
      <c r="AF907" s="38"/>
      <c r="AG907" s="38" t="s">
        <v>1024</v>
      </c>
      <c r="AH907" s="38"/>
      <c r="AI907" s="50">
        <v>26.73</v>
      </c>
      <c r="AJ907" s="50">
        <v>115.07</v>
      </c>
      <c r="AK907" s="41" t="s">
        <v>200</v>
      </c>
      <c r="AL907" s="40" t="s">
        <v>200</v>
      </c>
      <c r="AM907" s="49">
        <v>81.0</v>
      </c>
      <c r="AN907" s="51">
        <v>81.0</v>
      </c>
      <c r="AO907" s="42" t="s">
        <v>201</v>
      </c>
      <c r="AP907" s="43" t="s">
        <v>201</v>
      </c>
      <c r="AQ907" s="44" t="str">
        <f t="shared" si="84"/>
        <v>EBF</v>
      </c>
      <c r="AR907" s="44">
        <f t="shared" si="80"/>
        <v>81</v>
      </c>
      <c r="AS907" s="44" t="str">
        <f t="shared" si="85"/>
        <v>C</v>
      </c>
      <c r="AT907" s="44" t="str">
        <f t="shared" si="17"/>
        <v>Cf</v>
      </c>
      <c r="AU907" s="44" t="str">
        <f t="shared" si="2"/>
        <v>Cfa</v>
      </c>
      <c r="AV907" s="38"/>
      <c r="AW907" s="38"/>
      <c r="AX907" s="38"/>
      <c r="AY907" s="38"/>
      <c r="AZ907" s="29">
        <v>20000.0</v>
      </c>
      <c r="BA907" s="29"/>
      <c r="BB907" s="29">
        <v>1.0</v>
      </c>
      <c r="BC907" s="29"/>
      <c r="BD907" s="29" t="s">
        <v>88</v>
      </c>
      <c r="BE907" s="29" t="s">
        <v>263</v>
      </c>
      <c r="BF907" s="29" t="s">
        <v>1760</v>
      </c>
      <c r="BG907" s="29" t="s">
        <v>203</v>
      </c>
      <c r="BH907" s="29"/>
      <c r="BI907" s="29" t="s">
        <v>425</v>
      </c>
      <c r="BJ907" s="29"/>
      <c r="BK907" s="29"/>
      <c r="BL907" s="29" t="s">
        <v>148</v>
      </c>
      <c r="BM907" s="45"/>
      <c r="BN907" s="45">
        <v>1.0</v>
      </c>
      <c r="BO907" s="46" t="s">
        <v>1761</v>
      </c>
      <c r="BP907" s="2"/>
      <c r="BQ907" s="3"/>
    </row>
    <row r="908" ht="15.75" customHeight="1">
      <c r="A908" s="34">
        <v>919.0</v>
      </c>
      <c r="B908" s="34">
        <v>102636.0</v>
      </c>
      <c r="C908" s="34" t="s">
        <v>415</v>
      </c>
      <c r="D908" s="34" t="s">
        <v>1753</v>
      </c>
      <c r="E908" s="34" t="s">
        <v>1754</v>
      </c>
      <c r="F908" s="34">
        <v>2019.0</v>
      </c>
      <c r="G908" s="34" t="s">
        <v>1755</v>
      </c>
      <c r="H908" s="34" t="s">
        <v>282</v>
      </c>
      <c r="I908" s="34" t="s">
        <v>1756</v>
      </c>
      <c r="J908" s="35"/>
      <c r="K908" s="36"/>
      <c r="L908" s="36"/>
      <c r="M908" s="36"/>
      <c r="N908" s="36">
        <v>35.75</v>
      </c>
      <c r="O908" s="36">
        <v>99.77</v>
      </c>
      <c r="P908" s="52">
        <f t="shared" si="88"/>
        <v>35.83241455</v>
      </c>
      <c r="Q908" s="36"/>
      <c r="R908" s="36" t="s">
        <v>82</v>
      </c>
      <c r="S908" s="36">
        <v>20000.0</v>
      </c>
      <c r="T908" s="36" t="s">
        <v>341</v>
      </c>
      <c r="U908" s="36" t="s">
        <v>676</v>
      </c>
      <c r="V908" s="36">
        <v>604.0</v>
      </c>
      <c r="W908" s="36"/>
      <c r="X908" s="38">
        <v>1.0</v>
      </c>
      <c r="Y908" s="38" t="s">
        <v>1765</v>
      </c>
      <c r="Z908" s="38" t="s">
        <v>1766</v>
      </c>
      <c r="AA908" s="38" t="s">
        <v>636</v>
      </c>
      <c r="AB908" s="38">
        <v>35.44</v>
      </c>
      <c r="AC908" s="38">
        <v>138.76</v>
      </c>
      <c r="AD908" s="38" t="s">
        <v>736</v>
      </c>
      <c r="AE908" s="38">
        <v>1150.0</v>
      </c>
      <c r="AF908" s="38"/>
      <c r="AG908" s="38"/>
      <c r="AH908" s="38"/>
      <c r="AI908" s="50">
        <v>35.44</v>
      </c>
      <c r="AJ908" s="50">
        <v>138.76</v>
      </c>
      <c r="AK908" s="41" t="s">
        <v>452</v>
      </c>
      <c r="AL908" s="40" t="s">
        <v>452</v>
      </c>
      <c r="AM908" s="49">
        <v>1135.0</v>
      </c>
      <c r="AN908" s="51">
        <v>1135.0</v>
      </c>
      <c r="AO908" s="42" t="s">
        <v>372</v>
      </c>
      <c r="AP908" s="43" t="s">
        <v>107</v>
      </c>
      <c r="AQ908" s="44" t="str">
        <f t="shared" si="84"/>
        <v>DNF</v>
      </c>
      <c r="AR908" s="44">
        <f t="shared" si="80"/>
        <v>1135</v>
      </c>
      <c r="AS908" s="44" t="str">
        <f t="shared" si="85"/>
        <v>D</v>
      </c>
      <c r="AT908" s="44" t="str">
        <f t="shared" si="17"/>
        <v>Df</v>
      </c>
      <c r="AU908" s="44" t="str">
        <f t="shared" si="2"/>
        <v>Dfb</v>
      </c>
      <c r="AV908" s="38"/>
      <c r="AW908" s="38"/>
      <c r="AX908" s="38"/>
      <c r="AY908" s="38"/>
      <c r="AZ908" s="29">
        <v>20000.0</v>
      </c>
      <c r="BA908" s="29"/>
      <c r="BB908" s="29">
        <v>1.0</v>
      </c>
      <c r="BC908" s="29"/>
      <c r="BD908" s="29" t="s">
        <v>88</v>
      </c>
      <c r="BE908" s="29" t="s">
        <v>263</v>
      </c>
      <c r="BF908" s="29" t="s">
        <v>1760</v>
      </c>
      <c r="BG908" s="29" t="s">
        <v>203</v>
      </c>
      <c r="BH908" s="29"/>
      <c r="BI908" s="29" t="s">
        <v>425</v>
      </c>
      <c r="BJ908" s="29"/>
      <c r="BK908" s="29"/>
      <c r="BL908" s="29" t="s">
        <v>148</v>
      </c>
      <c r="BM908" s="45"/>
      <c r="BN908" s="45">
        <v>1.0</v>
      </c>
      <c r="BO908" s="46" t="s">
        <v>1761</v>
      </c>
      <c r="BP908" s="2"/>
      <c r="BQ908" s="3"/>
    </row>
    <row r="909" ht="15.75" customHeight="1">
      <c r="A909" s="34">
        <v>920.0</v>
      </c>
      <c r="B909" s="34">
        <v>102636.0</v>
      </c>
      <c r="C909" s="34" t="s">
        <v>415</v>
      </c>
      <c r="D909" s="34" t="s">
        <v>1753</v>
      </c>
      <c r="E909" s="34" t="s">
        <v>1754</v>
      </c>
      <c r="F909" s="34">
        <v>2019.0</v>
      </c>
      <c r="G909" s="34" t="s">
        <v>1755</v>
      </c>
      <c r="H909" s="34" t="s">
        <v>282</v>
      </c>
      <c r="I909" s="34" t="s">
        <v>1756</v>
      </c>
      <c r="J909" s="35"/>
      <c r="K909" s="36"/>
      <c r="L909" s="36"/>
      <c r="M909" s="36"/>
      <c r="N909" s="36">
        <v>-18.38</v>
      </c>
      <c r="O909" s="36">
        <v>131.89</v>
      </c>
      <c r="P909" s="52">
        <f t="shared" si="88"/>
        <v>-13.93585564</v>
      </c>
      <c r="Q909" s="36"/>
      <c r="R909" s="36" t="s">
        <v>82</v>
      </c>
      <c r="S909" s="36">
        <v>20000.0</v>
      </c>
      <c r="T909" s="36" t="s">
        <v>350</v>
      </c>
      <c r="U909" s="36" t="s">
        <v>676</v>
      </c>
      <c r="V909" s="36">
        <v>290.0</v>
      </c>
      <c r="W909" s="36"/>
      <c r="X909" s="38">
        <v>1.0</v>
      </c>
      <c r="Y909" s="38" t="s">
        <v>1767</v>
      </c>
      <c r="Z909" s="38" t="s">
        <v>1768</v>
      </c>
      <c r="AA909" s="38" t="s">
        <v>636</v>
      </c>
      <c r="AB909" s="38">
        <v>37.75</v>
      </c>
      <c r="AC909" s="38">
        <v>127.16</v>
      </c>
      <c r="AD909" s="38" t="s">
        <v>1130</v>
      </c>
      <c r="AE909" s="38">
        <v>128.0</v>
      </c>
      <c r="AF909" s="38"/>
      <c r="AG909" s="38"/>
      <c r="AH909" s="38"/>
      <c r="AI909" s="50">
        <v>37.75</v>
      </c>
      <c r="AJ909" s="50">
        <v>127.16</v>
      </c>
      <c r="AK909" s="41" t="s">
        <v>452</v>
      </c>
      <c r="AL909" s="40" t="s">
        <v>452</v>
      </c>
      <c r="AM909" s="49">
        <v>190.0</v>
      </c>
      <c r="AN909" s="51">
        <v>190.0</v>
      </c>
      <c r="AO909" s="42" t="s">
        <v>218</v>
      </c>
      <c r="AP909" s="43" t="s">
        <v>218</v>
      </c>
      <c r="AQ909" s="44" t="str">
        <f t="shared" si="84"/>
        <v>DNF</v>
      </c>
      <c r="AR909" s="44">
        <f t="shared" si="80"/>
        <v>190</v>
      </c>
      <c r="AS909" s="44" t="str">
        <f t="shared" si="85"/>
        <v>D</v>
      </c>
      <c r="AT909" s="44" t="str">
        <f t="shared" si="17"/>
        <v>Dw</v>
      </c>
      <c r="AU909" s="44" t="str">
        <f t="shared" si="2"/>
        <v>Dwa</v>
      </c>
      <c r="AV909" s="38"/>
      <c r="AW909" s="38"/>
      <c r="AX909" s="38"/>
      <c r="AY909" s="38"/>
      <c r="AZ909" s="29">
        <v>20000.0</v>
      </c>
      <c r="BA909" s="29"/>
      <c r="BB909" s="29">
        <v>1.0</v>
      </c>
      <c r="BC909" s="29"/>
      <c r="BD909" s="29" t="s">
        <v>88</v>
      </c>
      <c r="BE909" s="29" t="s">
        <v>263</v>
      </c>
      <c r="BF909" s="29" t="s">
        <v>1760</v>
      </c>
      <c r="BG909" s="29" t="s">
        <v>203</v>
      </c>
      <c r="BH909" s="29"/>
      <c r="BI909" s="29" t="s">
        <v>425</v>
      </c>
      <c r="BJ909" s="29"/>
      <c r="BK909" s="29"/>
      <c r="BL909" s="29" t="s">
        <v>148</v>
      </c>
      <c r="BM909" s="45"/>
      <c r="BN909" s="45">
        <v>1.0</v>
      </c>
      <c r="BO909" s="46" t="s">
        <v>1761</v>
      </c>
      <c r="BP909" s="2"/>
      <c r="BQ909" s="3"/>
    </row>
    <row r="910" ht="15.75" customHeight="1">
      <c r="A910" s="34">
        <v>921.0</v>
      </c>
      <c r="B910" s="34">
        <v>102636.0</v>
      </c>
      <c r="C910" s="34" t="s">
        <v>415</v>
      </c>
      <c r="D910" s="34" t="s">
        <v>1753</v>
      </c>
      <c r="E910" s="34" t="s">
        <v>1754</v>
      </c>
      <c r="F910" s="34">
        <v>2019.0</v>
      </c>
      <c r="G910" s="34" t="s">
        <v>1755</v>
      </c>
      <c r="H910" s="34" t="s">
        <v>282</v>
      </c>
      <c r="I910" s="34" t="s">
        <v>1756</v>
      </c>
      <c r="J910" s="35"/>
      <c r="K910" s="36"/>
      <c r="L910" s="36"/>
      <c r="M910" s="36"/>
      <c r="N910" s="36">
        <v>27.86</v>
      </c>
      <c r="O910" s="36">
        <v>61.33</v>
      </c>
      <c r="P910" s="52">
        <f t="shared" si="88"/>
        <v>45.42638187</v>
      </c>
      <c r="Q910" s="36"/>
      <c r="R910" s="36" t="s">
        <v>82</v>
      </c>
      <c r="S910" s="36">
        <v>20000.0</v>
      </c>
      <c r="T910" s="36" t="s">
        <v>193</v>
      </c>
      <c r="U910" s="36" t="s">
        <v>285</v>
      </c>
      <c r="V910" s="36">
        <v>711.0</v>
      </c>
      <c r="W910" s="36"/>
      <c r="X910" s="38">
        <v>1.0</v>
      </c>
      <c r="Y910" s="38" t="s">
        <v>1246</v>
      </c>
      <c r="Z910" s="38" t="s">
        <v>1247</v>
      </c>
      <c r="AA910" s="38" t="s">
        <v>636</v>
      </c>
      <c r="AB910" s="38">
        <v>48.35</v>
      </c>
      <c r="AC910" s="38">
        <v>108.65</v>
      </c>
      <c r="AD910" s="38" t="s">
        <v>1250</v>
      </c>
      <c r="AE910" s="38">
        <v>1630.0</v>
      </c>
      <c r="AF910" s="38"/>
      <c r="AG910" s="38" t="s">
        <v>584</v>
      </c>
      <c r="AH910" s="38"/>
      <c r="AI910" s="50">
        <v>48.35</v>
      </c>
      <c r="AJ910" s="50">
        <v>108.65</v>
      </c>
      <c r="AK910" s="41" t="s">
        <v>288</v>
      </c>
      <c r="AL910" s="40" t="s">
        <v>288</v>
      </c>
      <c r="AM910" s="49">
        <v>1586.0</v>
      </c>
      <c r="AN910" s="51">
        <v>1586.0</v>
      </c>
      <c r="AO910" s="42" t="s">
        <v>597</v>
      </c>
      <c r="AP910" s="43" t="s">
        <v>597</v>
      </c>
      <c r="AQ910" s="44" t="str">
        <f t="shared" si="84"/>
        <v>DNF</v>
      </c>
      <c r="AR910" s="44">
        <f t="shared" si="80"/>
        <v>1586</v>
      </c>
      <c r="AS910" s="44" t="str">
        <f t="shared" si="85"/>
        <v>D</v>
      </c>
      <c r="AT910" s="44" t="str">
        <f t="shared" si="17"/>
        <v>Dw</v>
      </c>
      <c r="AU910" s="44" t="str">
        <f t="shared" si="2"/>
        <v>Dwc</v>
      </c>
      <c r="AV910" s="38"/>
      <c r="AW910" s="38"/>
      <c r="AX910" s="38"/>
      <c r="AY910" s="38"/>
      <c r="AZ910" s="29">
        <v>20000.0</v>
      </c>
      <c r="BA910" s="29"/>
      <c r="BB910" s="29">
        <v>1.0</v>
      </c>
      <c r="BC910" s="29"/>
      <c r="BD910" s="29" t="s">
        <v>88</v>
      </c>
      <c r="BE910" s="29" t="s">
        <v>263</v>
      </c>
      <c r="BF910" s="29" t="s">
        <v>1760</v>
      </c>
      <c r="BG910" s="29" t="s">
        <v>203</v>
      </c>
      <c r="BH910" s="29"/>
      <c r="BI910" s="29" t="s">
        <v>425</v>
      </c>
      <c r="BJ910" s="29"/>
      <c r="BK910" s="29"/>
      <c r="BL910" s="29" t="s">
        <v>148</v>
      </c>
      <c r="BM910" s="45"/>
      <c r="BN910" s="45">
        <v>1.0</v>
      </c>
      <c r="BO910" s="46" t="s">
        <v>1761</v>
      </c>
      <c r="BP910" s="2"/>
      <c r="BQ910" s="3"/>
    </row>
    <row r="911" ht="15.75" customHeight="1">
      <c r="A911" s="34">
        <v>922.0</v>
      </c>
      <c r="B911" s="34">
        <v>102636.0</v>
      </c>
      <c r="C911" s="34" t="s">
        <v>415</v>
      </c>
      <c r="D911" s="34" t="s">
        <v>1753</v>
      </c>
      <c r="E911" s="34" t="s">
        <v>1754</v>
      </c>
      <c r="F911" s="34">
        <v>2019.0</v>
      </c>
      <c r="G911" s="34" t="s">
        <v>1755</v>
      </c>
      <c r="H911" s="34" t="s">
        <v>282</v>
      </c>
      <c r="I911" s="34" t="s">
        <v>1756</v>
      </c>
      <c r="J911" s="35"/>
      <c r="K911" s="36"/>
      <c r="L911" s="36"/>
      <c r="M911" s="36"/>
      <c r="N911" s="36">
        <v>54.02</v>
      </c>
      <c r="O911" s="36">
        <v>109.95</v>
      </c>
      <c r="P911" s="52">
        <f t="shared" si="88"/>
        <v>49.13142337</v>
      </c>
      <c r="Q911" s="36"/>
      <c r="R911" s="36" t="s">
        <v>82</v>
      </c>
      <c r="S911" s="36">
        <v>20000.0</v>
      </c>
      <c r="T911" s="36" t="s">
        <v>341</v>
      </c>
      <c r="U911" s="36" t="s">
        <v>342</v>
      </c>
      <c r="V911" s="36">
        <v>300.0</v>
      </c>
      <c r="W911" s="36"/>
      <c r="X911" s="38">
        <v>1.0</v>
      </c>
      <c r="Y911" s="38" t="s">
        <v>1252</v>
      </c>
      <c r="Z911" s="38" t="s">
        <v>1253</v>
      </c>
      <c r="AA911" s="38" t="s">
        <v>370</v>
      </c>
      <c r="AB911" s="38">
        <v>36.15</v>
      </c>
      <c r="AC911" s="38">
        <v>137.42</v>
      </c>
      <c r="AD911" s="38" t="s">
        <v>736</v>
      </c>
      <c r="AE911" s="38">
        <v>1420.0</v>
      </c>
      <c r="AF911" s="38" t="s">
        <v>199</v>
      </c>
      <c r="AG911" s="38" t="s">
        <v>107</v>
      </c>
      <c r="AH911" s="38"/>
      <c r="AI911" s="50">
        <v>36.15</v>
      </c>
      <c r="AJ911" s="50">
        <v>137.42</v>
      </c>
      <c r="AK911" s="41" t="s">
        <v>370</v>
      </c>
      <c r="AL911" s="40" t="s">
        <v>370</v>
      </c>
      <c r="AM911" s="49">
        <v>1382.0</v>
      </c>
      <c r="AN911" s="51">
        <v>1382.0</v>
      </c>
      <c r="AO911" s="42" t="s">
        <v>372</v>
      </c>
      <c r="AP911" s="43" t="s">
        <v>107</v>
      </c>
      <c r="AQ911" s="44" t="str">
        <f t="shared" si="84"/>
        <v>DBF</v>
      </c>
      <c r="AR911" s="44">
        <f t="shared" si="80"/>
        <v>1382</v>
      </c>
      <c r="AS911" s="44" t="str">
        <f t="shared" si="85"/>
        <v>D</v>
      </c>
      <c r="AT911" s="44" t="str">
        <f t="shared" si="17"/>
        <v>Df</v>
      </c>
      <c r="AU911" s="44" t="str">
        <f t="shared" si="2"/>
        <v>Dfb</v>
      </c>
      <c r="AV911" s="38"/>
      <c r="AW911" s="38"/>
      <c r="AX911" s="38"/>
      <c r="AY911" s="38"/>
      <c r="AZ911" s="29">
        <v>20000.0</v>
      </c>
      <c r="BA911" s="29"/>
      <c r="BB911" s="29">
        <v>1.0</v>
      </c>
      <c r="BC911" s="29"/>
      <c r="BD911" s="29" t="s">
        <v>88</v>
      </c>
      <c r="BE911" s="29" t="s">
        <v>263</v>
      </c>
      <c r="BF911" s="29" t="s">
        <v>1760</v>
      </c>
      <c r="BG911" s="29" t="s">
        <v>203</v>
      </c>
      <c r="BH911" s="29"/>
      <c r="BI911" s="29" t="s">
        <v>425</v>
      </c>
      <c r="BJ911" s="29"/>
      <c r="BK911" s="29"/>
      <c r="BL911" s="29" t="s">
        <v>148</v>
      </c>
      <c r="BM911" s="45"/>
      <c r="BN911" s="45">
        <v>1.0</v>
      </c>
      <c r="BO911" s="46" t="s">
        <v>1761</v>
      </c>
      <c r="BP911" s="2"/>
      <c r="BQ911" s="3"/>
    </row>
    <row r="912" ht="15.75" customHeight="1">
      <c r="A912" s="34">
        <v>923.0</v>
      </c>
      <c r="B912" s="34">
        <v>102636.0</v>
      </c>
      <c r="C912" s="34" t="s">
        <v>415</v>
      </c>
      <c r="D912" s="34" t="s">
        <v>1753</v>
      </c>
      <c r="E912" s="34" t="s">
        <v>1754</v>
      </c>
      <c r="F912" s="34">
        <v>2019.0</v>
      </c>
      <c r="G912" s="34" t="s">
        <v>1755</v>
      </c>
      <c r="H912" s="34" t="s">
        <v>282</v>
      </c>
      <c r="I912" s="34" t="s">
        <v>1756</v>
      </c>
      <c r="J912" s="35"/>
      <c r="K912" s="36"/>
      <c r="L912" s="36"/>
      <c r="M912" s="36"/>
      <c r="N912" s="36">
        <v>29.86</v>
      </c>
      <c r="O912" s="36">
        <v>122.14</v>
      </c>
      <c r="P912" s="52">
        <f t="shared" si="88"/>
        <v>24.44735549</v>
      </c>
      <c r="Q912" s="36"/>
      <c r="R912" s="36" t="s">
        <v>82</v>
      </c>
      <c r="S912" s="36">
        <v>20000.0</v>
      </c>
      <c r="T912" s="36" t="s">
        <v>193</v>
      </c>
      <c r="U912" s="36" t="s">
        <v>194</v>
      </c>
      <c r="V912" s="36">
        <v>345.0</v>
      </c>
      <c r="W912" s="36"/>
      <c r="X912" s="38">
        <v>1.0</v>
      </c>
      <c r="Y912" s="38" t="s">
        <v>1234</v>
      </c>
      <c r="Z912" s="38" t="s">
        <v>1769</v>
      </c>
      <c r="AA912" s="38" t="s">
        <v>370</v>
      </c>
      <c r="AB912" s="38">
        <v>44.38</v>
      </c>
      <c r="AC912" s="38">
        <v>142.32</v>
      </c>
      <c r="AD912" s="38" t="s">
        <v>736</v>
      </c>
      <c r="AE912" s="38">
        <v>585.0</v>
      </c>
      <c r="AF912" s="38"/>
      <c r="AG912" s="38" t="s">
        <v>784</v>
      </c>
      <c r="AH912" s="38"/>
      <c r="AI912" s="50">
        <v>44.38</v>
      </c>
      <c r="AJ912" s="50">
        <v>142.32</v>
      </c>
      <c r="AK912" s="41" t="s">
        <v>370</v>
      </c>
      <c r="AL912" s="40" t="s">
        <v>370</v>
      </c>
      <c r="AM912" s="49">
        <v>597.0</v>
      </c>
      <c r="AN912" s="51">
        <v>597.0</v>
      </c>
      <c r="AO912" s="42" t="s">
        <v>372</v>
      </c>
      <c r="AP912" s="43" t="s">
        <v>107</v>
      </c>
      <c r="AQ912" s="44" t="str">
        <f t="shared" si="84"/>
        <v>DBF</v>
      </c>
      <c r="AR912" s="44">
        <f t="shared" si="80"/>
        <v>597</v>
      </c>
      <c r="AS912" s="44" t="str">
        <f t="shared" si="85"/>
        <v>D</v>
      </c>
      <c r="AT912" s="44" t="str">
        <f t="shared" si="17"/>
        <v>Df</v>
      </c>
      <c r="AU912" s="44" t="str">
        <f t="shared" si="2"/>
        <v>Dfb</v>
      </c>
      <c r="AV912" s="38"/>
      <c r="AW912" s="38"/>
      <c r="AX912" s="38"/>
      <c r="AY912" s="38"/>
      <c r="AZ912" s="29">
        <v>20000.0</v>
      </c>
      <c r="BA912" s="29"/>
      <c r="BB912" s="29">
        <v>1.0</v>
      </c>
      <c r="BC912" s="29"/>
      <c r="BD912" s="29" t="s">
        <v>88</v>
      </c>
      <c r="BE912" s="29" t="s">
        <v>263</v>
      </c>
      <c r="BF912" s="29" t="s">
        <v>1760</v>
      </c>
      <c r="BG912" s="29" t="s">
        <v>203</v>
      </c>
      <c r="BH912" s="29"/>
      <c r="BI912" s="29" t="s">
        <v>425</v>
      </c>
      <c r="BJ912" s="29"/>
      <c r="BK912" s="29"/>
      <c r="BL912" s="29" t="s">
        <v>148</v>
      </c>
      <c r="BM912" s="45"/>
      <c r="BN912" s="45">
        <v>1.0</v>
      </c>
      <c r="BO912" s="46" t="s">
        <v>1761</v>
      </c>
      <c r="BP912" s="2"/>
      <c r="BQ912" s="3"/>
    </row>
    <row r="913" ht="15.75" customHeight="1">
      <c r="A913" s="34">
        <v>924.0</v>
      </c>
      <c r="B913" s="34">
        <v>102636.0</v>
      </c>
      <c r="C913" s="34" t="s">
        <v>415</v>
      </c>
      <c r="D913" s="34" t="s">
        <v>1753</v>
      </c>
      <c r="E913" s="34" t="s">
        <v>1754</v>
      </c>
      <c r="F913" s="34">
        <v>2019.0</v>
      </c>
      <c r="G913" s="34" t="s">
        <v>1755</v>
      </c>
      <c r="H913" s="34" t="s">
        <v>282</v>
      </c>
      <c r="I913" s="34" t="s">
        <v>1756</v>
      </c>
      <c r="J913" s="35"/>
      <c r="K913" s="36"/>
      <c r="L913" s="36"/>
      <c r="M913" s="36"/>
      <c r="N913" s="36">
        <v>43.42</v>
      </c>
      <c r="O913" s="36">
        <v>151.73</v>
      </c>
      <c r="P913" s="52">
        <f t="shared" si="88"/>
        <v>28.61662163</v>
      </c>
      <c r="Q913" s="36"/>
      <c r="R913" s="36" t="s">
        <v>82</v>
      </c>
      <c r="S913" s="36">
        <v>20000.0</v>
      </c>
      <c r="T913" s="36" t="s">
        <v>193</v>
      </c>
      <c r="U913" s="36" t="s">
        <v>968</v>
      </c>
      <c r="V913" s="36">
        <v>310.0</v>
      </c>
      <c r="W913" s="36"/>
      <c r="X913" s="38">
        <v>1.0</v>
      </c>
      <c r="Y913" s="38" t="s">
        <v>1770</v>
      </c>
      <c r="Z913" s="38" t="s">
        <v>1771</v>
      </c>
      <c r="AA913" s="38" t="s">
        <v>452</v>
      </c>
      <c r="AB913" s="38">
        <v>14.59</v>
      </c>
      <c r="AC913" s="38">
        <v>98.84</v>
      </c>
      <c r="AD913" s="38" t="s">
        <v>1764</v>
      </c>
      <c r="AE913" s="38">
        <v>231.0</v>
      </c>
      <c r="AF913" s="38"/>
      <c r="AG913" s="38" t="s">
        <v>1024</v>
      </c>
      <c r="AH913" s="38"/>
      <c r="AI913" s="50">
        <v>14.59</v>
      </c>
      <c r="AJ913" s="50">
        <v>98.84</v>
      </c>
      <c r="AK913" s="41" t="s">
        <v>336</v>
      </c>
      <c r="AL913" s="40" t="s">
        <v>336</v>
      </c>
      <c r="AM913" s="49">
        <v>262.0</v>
      </c>
      <c r="AN913" s="51">
        <v>262.0</v>
      </c>
      <c r="AO913" s="42" t="s">
        <v>335</v>
      </c>
      <c r="AP913" s="43" t="s">
        <v>335</v>
      </c>
      <c r="AQ913" s="44" t="str">
        <f t="shared" si="84"/>
        <v>MF</v>
      </c>
      <c r="AR913" s="44">
        <f t="shared" si="80"/>
        <v>262</v>
      </c>
      <c r="AS913" s="44" t="str">
        <f t="shared" si="85"/>
        <v>A</v>
      </c>
      <c r="AT913" s="44" t="str">
        <f t="shared" si="17"/>
        <v>Aw</v>
      </c>
      <c r="AU913" s="44" t="str">
        <f t="shared" si="2"/>
        <v>Aw</v>
      </c>
      <c r="AV913" s="38"/>
      <c r="AW913" s="38"/>
      <c r="AX913" s="38"/>
      <c r="AY913" s="38"/>
      <c r="AZ913" s="29">
        <v>20000.0</v>
      </c>
      <c r="BA913" s="29"/>
      <c r="BB913" s="29">
        <v>1.0</v>
      </c>
      <c r="BC913" s="29"/>
      <c r="BD913" s="29" t="s">
        <v>88</v>
      </c>
      <c r="BE913" s="29" t="s">
        <v>263</v>
      </c>
      <c r="BF913" s="29" t="s">
        <v>1760</v>
      </c>
      <c r="BG913" s="29" t="s">
        <v>203</v>
      </c>
      <c r="BH913" s="29"/>
      <c r="BI913" s="29" t="s">
        <v>425</v>
      </c>
      <c r="BJ913" s="29"/>
      <c r="BK913" s="29"/>
      <c r="BL913" s="29" t="s">
        <v>148</v>
      </c>
      <c r="BM913" s="45"/>
      <c r="BN913" s="45">
        <v>1.0</v>
      </c>
      <c r="BO913" s="46" t="s">
        <v>1761</v>
      </c>
      <c r="BP913" s="2"/>
      <c r="BQ913" s="3"/>
    </row>
    <row r="914" ht="15.75" customHeight="1">
      <c r="A914" s="34">
        <v>925.0</v>
      </c>
      <c r="B914" s="34">
        <v>102636.0</v>
      </c>
      <c r="C914" s="34" t="s">
        <v>415</v>
      </c>
      <c r="D914" s="34" t="s">
        <v>1753</v>
      </c>
      <c r="E914" s="34" t="s">
        <v>1754</v>
      </c>
      <c r="F914" s="34">
        <v>2019.0</v>
      </c>
      <c r="G914" s="34" t="s">
        <v>1755</v>
      </c>
      <c r="H914" s="34" t="s">
        <v>282</v>
      </c>
      <c r="I914" s="34" t="s">
        <v>1756</v>
      </c>
      <c r="J914" s="35"/>
      <c r="K914" s="36"/>
      <c r="L914" s="36"/>
      <c r="M914" s="36"/>
      <c r="N914" s="36">
        <v>-13.76</v>
      </c>
      <c r="O914" s="36">
        <v>179.62</v>
      </c>
      <c r="P914" s="52">
        <f t="shared" si="88"/>
        <v>-7.660616858</v>
      </c>
      <c r="Q914" s="36"/>
      <c r="R914" s="36" t="s">
        <v>82</v>
      </c>
      <c r="S914" s="36">
        <v>20000.0</v>
      </c>
      <c r="T914" s="36" t="s">
        <v>193</v>
      </c>
      <c r="U914" s="36" t="s">
        <v>507</v>
      </c>
      <c r="V914" s="36">
        <v>1438.0</v>
      </c>
      <c r="W914" s="36"/>
      <c r="X914" s="38">
        <v>1.0</v>
      </c>
      <c r="Y914" s="38" t="s">
        <v>1772</v>
      </c>
      <c r="Z914" s="38" t="s">
        <v>1773</v>
      </c>
      <c r="AA914" s="38" t="s">
        <v>452</v>
      </c>
      <c r="AB914" s="38">
        <v>35.26</v>
      </c>
      <c r="AC914" s="38">
        <v>137.08</v>
      </c>
      <c r="AD914" s="38" t="s">
        <v>736</v>
      </c>
      <c r="AE914" s="38">
        <v>205.0</v>
      </c>
      <c r="AF914" s="38"/>
      <c r="AG914" s="38" t="s">
        <v>201</v>
      </c>
      <c r="AH914" s="38"/>
      <c r="AI914" s="50">
        <v>35.26</v>
      </c>
      <c r="AJ914" s="50">
        <v>137.08</v>
      </c>
      <c r="AK914" s="41" t="s">
        <v>452</v>
      </c>
      <c r="AL914" s="40" t="s">
        <v>452</v>
      </c>
      <c r="AM914" s="49">
        <v>186.0</v>
      </c>
      <c r="AN914" s="51">
        <v>186.0</v>
      </c>
      <c r="AO914" s="42" t="s">
        <v>201</v>
      </c>
      <c r="AP914" s="43" t="s">
        <v>201</v>
      </c>
      <c r="AQ914" s="44" t="str">
        <f t="shared" si="84"/>
        <v>MF</v>
      </c>
      <c r="AR914" s="44">
        <f t="shared" si="80"/>
        <v>186</v>
      </c>
      <c r="AS914" s="44" t="str">
        <f t="shared" si="85"/>
        <v>C</v>
      </c>
      <c r="AT914" s="44" t="str">
        <f t="shared" si="17"/>
        <v>Cf</v>
      </c>
      <c r="AU914" s="44" t="str">
        <f t="shared" si="2"/>
        <v>Cfa</v>
      </c>
      <c r="AV914" s="38"/>
      <c r="AW914" s="38"/>
      <c r="AX914" s="38"/>
      <c r="AY914" s="38"/>
      <c r="AZ914" s="29">
        <v>20000.0</v>
      </c>
      <c r="BA914" s="29"/>
      <c r="BB914" s="29">
        <v>1.0</v>
      </c>
      <c r="BC914" s="29"/>
      <c r="BD914" s="29" t="s">
        <v>88</v>
      </c>
      <c r="BE914" s="29" t="s">
        <v>263</v>
      </c>
      <c r="BF914" s="29" t="s">
        <v>1760</v>
      </c>
      <c r="BG914" s="29" t="s">
        <v>203</v>
      </c>
      <c r="BH914" s="29"/>
      <c r="BI914" s="29" t="s">
        <v>425</v>
      </c>
      <c r="BJ914" s="29"/>
      <c r="BK914" s="29"/>
      <c r="BL914" s="29" t="s">
        <v>148</v>
      </c>
      <c r="BM914" s="45"/>
      <c r="BN914" s="45">
        <v>1.0</v>
      </c>
      <c r="BO914" s="46" t="s">
        <v>1761</v>
      </c>
      <c r="BP914" s="2"/>
      <c r="BQ914" s="3"/>
    </row>
    <row r="915" ht="15.75" customHeight="1">
      <c r="A915" s="34">
        <v>926.0</v>
      </c>
      <c r="B915" s="34">
        <v>102636.0</v>
      </c>
      <c r="C915" s="34" t="s">
        <v>415</v>
      </c>
      <c r="D915" s="34" t="s">
        <v>1753</v>
      </c>
      <c r="E915" s="34" t="s">
        <v>1754</v>
      </c>
      <c r="F915" s="34">
        <v>2019.0</v>
      </c>
      <c r="G915" s="34" t="s">
        <v>1755</v>
      </c>
      <c r="H915" s="34" t="s">
        <v>282</v>
      </c>
      <c r="I915" s="34" t="s">
        <v>1756</v>
      </c>
      <c r="J915" s="35"/>
      <c r="K915" s="36"/>
      <c r="L915" s="36"/>
      <c r="M915" s="36"/>
      <c r="N915" s="36">
        <v>42.8</v>
      </c>
      <c r="O915" s="36">
        <v>93.62</v>
      </c>
      <c r="P915" s="52">
        <f t="shared" si="88"/>
        <v>45.7167272</v>
      </c>
      <c r="Q915" s="36"/>
      <c r="R915" s="36" t="s">
        <v>82</v>
      </c>
      <c r="S915" s="36">
        <v>20000.0</v>
      </c>
      <c r="T915" s="36" t="s">
        <v>341</v>
      </c>
      <c r="U915" s="36" t="s">
        <v>676</v>
      </c>
      <c r="V915" s="36">
        <v>376.0</v>
      </c>
      <c r="W915" s="36"/>
      <c r="X915" s="38">
        <v>1.0</v>
      </c>
      <c r="Y915" s="38" t="s">
        <v>1774</v>
      </c>
      <c r="Z915" s="38" t="s">
        <v>1129</v>
      </c>
      <c r="AA915" s="38" t="s">
        <v>452</v>
      </c>
      <c r="AB915" s="38">
        <v>37.75</v>
      </c>
      <c r="AC915" s="38">
        <v>127.15</v>
      </c>
      <c r="AD915" s="38" t="s">
        <v>1130</v>
      </c>
      <c r="AE915" s="38">
        <v>260.0</v>
      </c>
      <c r="AF915" s="38"/>
      <c r="AG915" s="38"/>
      <c r="AH915" s="38"/>
      <c r="AI915" s="50">
        <v>37.75</v>
      </c>
      <c r="AJ915" s="50">
        <v>127.15</v>
      </c>
      <c r="AK915" s="41" t="s">
        <v>370</v>
      </c>
      <c r="AL915" s="40" t="s">
        <v>370</v>
      </c>
      <c r="AM915" s="49">
        <v>282.0</v>
      </c>
      <c r="AN915" s="51">
        <v>282.0</v>
      </c>
      <c r="AO915" s="42" t="s">
        <v>218</v>
      </c>
      <c r="AP915" s="43" t="s">
        <v>218</v>
      </c>
      <c r="AQ915" s="44" t="str">
        <f t="shared" si="84"/>
        <v>MF</v>
      </c>
      <c r="AR915" s="44">
        <f t="shared" si="80"/>
        <v>282</v>
      </c>
      <c r="AS915" s="44" t="str">
        <f t="shared" si="85"/>
        <v>D</v>
      </c>
      <c r="AT915" s="44" t="str">
        <f t="shared" si="17"/>
        <v>Dw</v>
      </c>
      <c r="AU915" s="44" t="str">
        <f t="shared" si="2"/>
        <v>Dwa</v>
      </c>
      <c r="AV915" s="38"/>
      <c r="AW915" s="38"/>
      <c r="AX915" s="38"/>
      <c r="AY915" s="38"/>
      <c r="AZ915" s="29">
        <v>20000.0</v>
      </c>
      <c r="BA915" s="29"/>
      <c r="BB915" s="29">
        <v>1.0</v>
      </c>
      <c r="BC915" s="29"/>
      <c r="BD915" s="29" t="s">
        <v>88</v>
      </c>
      <c r="BE915" s="29" t="s">
        <v>263</v>
      </c>
      <c r="BF915" s="29" t="s">
        <v>1760</v>
      </c>
      <c r="BG915" s="29" t="s">
        <v>203</v>
      </c>
      <c r="BH915" s="29"/>
      <c r="BI915" s="29" t="s">
        <v>425</v>
      </c>
      <c r="BJ915" s="29"/>
      <c r="BK915" s="29"/>
      <c r="BL915" s="29" t="s">
        <v>148</v>
      </c>
      <c r="BM915" s="45"/>
      <c r="BN915" s="45">
        <v>1.0</v>
      </c>
      <c r="BO915" s="46" t="s">
        <v>1761</v>
      </c>
      <c r="BP915" s="2"/>
      <c r="BQ915" s="3"/>
    </row>
    <row r="916" ht="15.75" customHeight="1">
      <c r="A916" s="34">
        <v>927.0</v>
      </c>
      <c r="B916" s="34">
        <v>102636.0</v>
      </c>
      <c r="C916" s="34" t="s">
        <v>415</v>
      </c>
      <c r="D916" s="34" t="s">
        <v>1753</v>
      </c>
      <c r="E916" s="34" t="s">
        <v>1754</v>
      </c>
      <c r="F916" s="34">
        <v>2019.0</v>
      </c>
      <c r="G916" s="34" t="s">
        <v>1755</v>
      </c>
      <c r="H916" s="34" t="s">
        <v>282</v>
      </c>
      <c r="I916" s="34" t="s">
        <v>1756</v>
      </c>
      <c r="J916" s="35"/>
      <c r="K916" s="36"/>
      <c r="L916" s="36"/>
      <c r="M916" s="36"/>
      <c r="N916" s="36">
        <v>33.86</v>
      </c>
      <c r="O916" s="36">
        <v>105.66</v>
      </c>
      <c r="P916" s="52">
        <f t="shared" si="88"/>
        <v>32.04618588</v>
      </c>
      <c r="Q916" s="36"/>
      <c r="R916" s="36" t="s">
        <v>82</v>
      </c>
      <c r="S916" s="36">
        <v>20000.0</v>
      </c>
      <c r="T916" s="36" t="s">
        <v>506</v>
      </c>
      <c r="U916" s="36" t="s">
        <v>676</v>
      </c>
      <c r="V916" s="36">
        <v>220.0</v>
      </c>
      <c r="W916" s="36"/>
      <c r="X916" s="38">
        <v>1.0</v>
      </c>
      <c r="Y916" s="38" t="s">
        <v>1775</v>
      </c>
      <c r="Z916" s="38" t="s">
        <v>1776</v>
      </c>
      <c r="AA916" s="38" t="s">
        <v>452</v>
      </c>
      <c r="AB916" s="38">
        <v>37.94</v>
      </c>
      <c r="AC916" s="38">
        <v>126.96</v>
      </c>
      <c r="AD916" s="38" t="s">
        <v>1130</v>
      </c>
      <c r="AE916" s="38">
        <v>293.0</v>
      </c>
      <c r="AF916" s="38"/>
      <c r="AG916" s="38" t="s">
        <v>218</v>
      </c>
      <c r="AH916" s="38"/>
      <c r="AI916" s="50">
        <v>37.94</v>
      </c>
      <c r="AJ916" s="50">
        <v>126.96</v>
      </c>
      <c r="AK916" s="41" t="s">
        <v>370</v>
      </c>
      <c r="AL916" s="40" t="s">
        <v>370</v>
      </c>
      <c r="AM916" s="49">
        <v>408.0</v>
      </c>
      <c r="AN916" s="51">
        <v>408.0</v>
      </c>
      <c r="AO916" s="42" t="s">
        <v>218</v>
      </c>
      <c r="AP916" s="43" t="s">
        <v>218</v>
      </c>
      <c r="AQ916" s="44" t="str">
        <f t="shared" si="84"/>
        <v>MF</v>
      </c>
      <c r="AR916" s="44">
        <f t="shared" si="80"/>
        <v>408</v>
      </c>
      <c r="AS916" s="44" t="str">
        <f t="shared" si="85"/>
        <v>D</v>
      </c>
      <c r="AT916" s="44" t="str">
        <f t="shared" si="17"/>
        <v>Dw</v>
      </c>
      <c r="AU916" s="44" t="str">
        <f t="shared" si="2"/>
        <v>Dwa</v>
      </c>
      <c r="AV916" s="38"/>
      <c r="AW916" s="38"/>
      <c r="AX916" s="38"/>
      <c r="AY916" s="38"/>
      <c r="AZ916" s="29">
        <v>20000.0</v>
      </c>
      <c r="BA916" s="29"/>
      <c r="BB916" s="29">
        <v>1.0</v>
      </c>
      <c r="BC916" s="29"/>
      <c r="BD916" s="29" t="s">
        <v>88</v>
      </c>
      <c r="BE916" s="29" t="s">
        <v>263</v>
      </c>
      <c r="BF916" s="29" t="s">
        <v>1760</v>
      </c>
      <c r="BG916" s="29" t="s">
        <v>203</v>
      </c>
      <c r="BH916" s="29"/>
      <c r="BI916" s="29" t="s">
        <v>425</v>
      </c>
      <c r="BJ916" s="29"/>
      <c r="BK916" s="29"/>
      <c r="BL916" s="29" t="s">
        <v>148</v>
      </c>
      <c r="BM916" s="45"/>
      <c r="BN916" s="45">
        <v>1.0</v>
      </c>
      <c r="BO916" s="46" t="s">
        <v>1761</v>
      </c>
      <c r="BP916" s="2"/>
      <c r="BQ916" s="3"/>
    </row>
    <row r="917" ht="15.75" customHeight="1">
      <c r="A917" s="34">
        <v>928.0</v>
      </c>
      <c r="B917" s="34">
        <v>102636.0</v>
      </c>
      <c r="C917" s="34" t="s">
        <v>415</v>
      </c>
      <c r="D917" s="34" t="s">
        <v>1753</v>
      </c>
      <c r="E917" s="34" t="s">
        <v>1754</v>
      </c>
      <c r="F917" s="34">
        <v>2019.0</v>
      </c>
      <c r="G917" s="34" t="s">
        <v>1755</v>
      </c>
      <c r="H917" s="34" t="s">
        <v>282</v>
      </c>
      <c r="I917" s="34" t="s">
        <v>1756</v>
      </c>
      <c r="J917" s="35"/>
      <c r="K917" s="36"/>
      <c r="L917" s="36"/>
      <c r="M917" s="36"/>
      <c r="N917" s="36">
        <v>22.6</v>
      </c>
      <c r="O917" s="36">
        <v>101.64</v>
      </c>
      <c r="P917" s="52">
        <f t="shared" si="88"/>
        <v>22.23534042</v>
      </c>
      <c r="Q917" s="36"/>
      <c r="R917" s="36" t="s">
        <v>82</v>
      </c>
      <c r="S917" s="36">
        <v>20000.0</v>
      </c>
      <c r="T917" s="36" t="s">
        <v>193</v>
      </c>
      <c r="U917" s="36" t="s">
        <v>194</v>
      </c>
      <c r="V917" s="36">
        <v>498.0</v>
      </c>
      <c r="W917" s="36"/>
      <c r="X917" s="38">
        <v>1.0</v>
      </c>
      <c r="Y917" s="38" t="s">
        <v>581</v>
      </c>
      <c r="Z917" s="68" t="s">
        <v>860</v>
      </c>
      <c r="AA917" s="38" t="s">
        <v>452</v>
      </c>
      <c r="AB917" s="38">
        <v>41.4</v>
      </c>
      <c r="AC917" s="38">
        <v>128.1</v>
      </c>
      <c r="AD917" s="38" t="s">
        <v>198</v>
      </c>
      <c r="AE917" s="38">
        <v>731.0</v>
      </c>
      <c r="AF917" s="38"/>
      <c r="AG917" s="38"/>
      <c r="AH917" s="38"/>
      <c r="AI917" s="50">
        <v>41.4</v>
      </c>
      <c r="AJ917" s="50">
        <v>128.1</v>
      </c>
      <c r="AK917" s="41" t="s">
        <v>370</v>
      </c>
      <c r="AL917" s="40" t="s">
        <v>370</v>
      </c>
      <c r="AM917" s="49">
        <v>687.0</v>
      </c>
      <c r="AN917" s="51">
        <v>687.0</v>
      </c>
      <c r="AO917" s="42" t="s">
        <v>584</v>
      </c>
      <c r="AP917" s="43" t="s">
        <v>584</v>
      </c>
      <c r="AQ917" s="44" t="str">
        <f t="shared" si="84"/>
        <v>MF</v>
      </c>
      <c r="AR917" s="44">
        <f t="shared" si="80"/>
        <v>687</v>
      </c>
      <c r="AS917" s="44" t="str">
        <f t="shared" si="85"/>
        <v>D</v>
      </c>
      <c r="AT917" s="44" t="str">
        <f t="shared" si="17"/>
        <v>Dw</v>
      </c>
      <c r="AU917" s="44" t="str">
        <f t="shared" si="2"/>
        <v>Dwb</v>
      </c>
      <c r="AV917" s="38"/>
      <c r="AW917" s="38"/>
      <c r="AX917" s="38"/>
      <c r="AY917" s="38"/>
      <c r="AZ917" s="29">
        <v>20000.0</v>
      </c>
      <c r="BA917" s="29"/>
      <c r="BB917" s="29">
        <v>1.0</v>
      </c>
      <c r="BC917" s="29"/>
      <c r="BD917" s="29" t="s">
        <v>88</v>
      </c>
      <c r="BE917" s="29" t="s">
        <v>263</v>
      </c>
      <c r="BF917" s="29" t="s">
        <v>1760</v>
      </c>
      <c r="BG917" s="29" t="s">
        <v>203</v>
      </c>
      <c r="BH917" s="29"/>
      <c r="BI917" s="29" t="s">
        <v>425</v>
      </c>
      <c r="BJ917" s="29"/>
      <c r="BK917" s="29"/>
      <c r="BL917" s="29" t="s">
        <v>148</v>
      </c>
      <c r="BM917" s="45"/>
      <c r="BN917" s="45">
        <v>1.0</v>
      </c>
      <c r="BO917" s="46" t="s">
        <v>1761</v>
      </c>
      <c r="BP917" s="2"/>
      <c r="BQ917" s="3"/>
    </row>
    <row r="918" ht="15.75" customHeight="1">
      <c r="A918" s="34">
        <v>929.0</v>
      </c>
      <c r="B918" s="34">
        <v>102636.0</v>
      </c>
      <c r="C918" s="34" t="s">
        <v>415</v>
      </c>
      <c r="D918" s="34" t="s">
        <v>1753</v>
      </c>
      <c r="E918" s="34" t="s">
        <v>1754</v>
      </c>
      <c r="F918" s="34">
        <v>2019.0</v>
      </c>
      <c r="G918" s="34" t="s">
        <v>1755</v>
      </c>
      <c r="H918" s="34" t="s">
        <v>282</v>
      </c>
      <c r="I918" s="34" t="s">
        <v>1756</v>
      </c>
      <c r="J918" s="35"/>
      <c r="K918" s="36"/>
      <c r="L918" s="36"/>
      <c r="M918" s="36"/>
      <c r="N918" s="36">
        <v>10.91</v>
      </c>
      <c r="O918" s="36">
        <v>124.59</v>
      </c>
      <c r="P918" s="52">
        <f t="shared" si="88"/>
        <v>8.756722048</v>
      </c>
      <c r="Q918" s="36"/>
      <c r="R918" s="36" t="s">
        <v>82</v>
      </c>
      <c r="S918" s="36">
        <v>20000.0</v>
      </c>
      <c r="T918" s="36" t="s">
        <v>193</v>
      </c>
      <c r="U918" s="36" t="s">
        <v>194</v>
      </c>
      <c r="V918" s="36">
        <v>380.0</v>
      </c>
      <c r="W918" s="36"/>
      <c r="X918" s="38">
        <v>1.0</v>
      </c>
      <c r="Y918" s="38" t="s">
        <v>1777</v>
      </c>
      <c r="Z918" s="38" t="s">
        <v>1778</v>
      </c>
      <c r="AA918" s="38" t="s">
        <v>452</v>
      </c>
      <c r="AB918" s="38">
        <v>44.32</v>
      </c>
      <c r="AC918" s="38">
        <v>142.26</v>
      </c>
      <c r="AD918" s="38" t="s">
        <v>736</v>
      </c>
      <c r="AE918" s="38">
        <v>340.0</v>
      </c>
      <c r="AF918" s="38"/>
      <c r="AG918" s="38" t="s">
        <v>784</v>
      </c>
      <c r="AH918" s="38"/>
      <c r="AI918" s="50">
        <v>44.32</v>
      </c>
      <c r="AJ918" s="50">
        <v>142.26</v>
      </c>
      <c r="AK918" s="41" t="s">
        <v>370</v>
      </c>
      <c r="AL918" s="40" t="s">
        <v>370</v>
      </c>
      <c r="AM918" s="49">
        <v>344.0</v>
      </c>
      <c r="AN918" s="51">
        <v>344.0</v>
      </c>
      <c r="AO918" s="42" t="s">
        <v>372</v>
      </c>
      <c r="AP918" s="43" t="s">
        <v>107</v>
      </c>
      <c r="AQ918" s="44" t="str">
        <f t="shared" si="84"/>
        <v>MF</v>
      </c>
      <c r="AR918" s="44">
        <f t="shared" si="80"/>
        <v>344</v>
      </c>
      <c r="AS918" s="44" t="str">
        <f t="shared" si="85"/>
        <v>D</v>
      </c>
      <c r="AT918" s="44" t="str">
        <f t="shared" si="17"/>
        <v>Df</v>
      </c>
      <c r="AU918" s="44" t="str">
        <f t="shared" si="2"/>
        <v>Dfb</v>
      </c>
      <c r="AV918" s="38"/>
      <c r="AW918" s="38"/>
      <c r="AX918" s="38"/>
      <c r="AY918" s="38"/>
      <c r="AZ918" s="29">
        <v>20000.0</v>
      </c>
      <c r="BA918" s="29"/>
      <c r="BB918" s="29">
        <v>1.0</v>
      </c>
      <c r="BC918" s="29"/>
      <c r="BD918" s="29" t="s">
        <v>88</v>
      </c>
      <c r="BE918" s="29" t="s">
        <v>263</v>
      </c>
      <c r="BF918" s="29" t="s">
        <v>1760</v>
      </c>
      <c r="BG918" s="29" t="s">
        <v>203</v>
      </c>
      <c r="BH918" s="29"/>
      <c r="BI918" s="29" t="s">
        <v>425</v>
      </c>
      <c r="BJ918" s="29"/>
      <c r="BK918" s="29"/>
      <c r="BL918" s="29" t="s">
        <v>148</v>
      </c>
      <c r="BM918" s="45"/>
      <c r="BN918" s="45">
        <v>1.0</v>
      </c>
      <c r="BO918" s="46" t="s">
        <v>1761</v>
      </c>
      <c r="BP918" s="2"/>
      <c r="BQ918" s="3"/>
    </row>
    <row r="919" ht="15.75" customHeight="1">
      <c r="A919" s="34">
        <v>930.0</v>
      </c>
      <c r="B919" s="34">
        <v>102636.0</v>
      </c>
      <c r="C919" s="34" t="s">
        <v>415</v>
      </c>
      <c r="D919" s="34" t="s">
        <v>1753</v>
      </c>
      <c r="E919" s="34" t="s">
        <v>1754</v>
      </c>
      <c r="F919" s="34">
        <v>2019.0</v>
      </c>
      <c r="G919" s="34" t="s">
        <v>1755</v>
      </c>
      <c r="H919" s="34" t="s">
        <v>282</v>
      </c>
      <c r="I919" s="34" t="s">
        <v>1756</v>
      </c>
      <c r="J919" s="35"/>
      <c r="K919" s="36"/>
      <c r="L919" s="36"/>
      <c r="M919" s="36"/>
      <c r="N919" s="36">
        <v>23.18</v>
      </c>
      <c r="O919" s="36">
        <v>260.25</v>
      </c>
      <c r="P919" s="52">
        <f t="shared" si="88"/>
        <v>8.906820365</v>
      </c>
      <c r="Q919" s="36"/>
      <c r="R919" s="36" t="s">
        <v>82</v>
      </c>
      <c r="S919" s="36">
        <v>20000.0</v>
      </c>
      <c r="T919" s="36" t="s">
        <v>536</v>
      </c>
      <c r="U919" s="36" t="s">
        <v>507</v>
      </c>
      <c r="V919" s="36">
        <v>191.0</v>
      </c>
      <c r="W919" s="36"/>
      <c r="X919" s="38">
        <v>1.0</v>
      </c>
      <c r="Y919" s="38" t="s">
        <v>1779</v>
      </c>
      <c r="Z919" s="38" t="s">
        <v>1780</v>
      </c>
      <c r="AA919" s="38" t="s">
        <v>86</v>
      </c>
      <c r="AB919" s="38">
        <v>14.14</v>
      </c>
      <c r="AC919" s="38">
        <v>121.27</v>
      </c>
      <c r="AD919" s="38" t="s">
        <v>1781</v>
      </c>
      <c r="AE919" s="38">
        <v>21.0</v>
      </c>
      <c r="AF919" s="38"/>
      <c r="AG919" s="38"/>
      <c r="AH919" s="38"/>
      <c r="AI919" s="50">
        <v>14.14</v>
      </c>
      <c r="AJ919" s="50">
        <v>121.27</v>
      </c>
      <c r="AK919" s="41" t="s">
        <v>362</v>
      </c>
      <c r="AL919" s="40" t="s">
        <v>362</v>
      </c>
      <c r="AM919" s="49">
        <v>36.0</v>
      </c>
      <c r="AN919" s="51">
        <v>36.0</v>
      </c>
      <c r="AO919" s="42" t="s">
        <v>1024</v>
      </c>
      <c r="AP919" s="43" t="s">
        <v>1024</v>
      </c>
      <c r="AQ919" s="44" t="str">
        <f t="shared" si="84"/>
        <v>CRO</v>
      </c>
      <c r="AR919" s="44">
        <f t="shared" si="80"/>
        <v>36</v>
      </c>
      <c r="AS919" s="44" t="str">
        <f t="shared" si="85"/>
        <v>A</v>
      </c>
      <c r="AT919" s="44" t="str">
        <f t="shared" si="17"/>
        <v>Am</v>
      </c>
      <c r="AU919" s="44" t="str">
        <f t="shared" si="2"/>
        <v>Am</v>
      </c>
      <c r="AV919" s="38"/>
      <c r="AW919" s="38"/>
      <c r="AX919" s="38"/>
      <c r="AY919" s="38"/>
      <c r="AZ919" s="29">
        <v>20000.0</v>
      </c>
      <c r="BA919" s="29"/>
      <c r="BB919" s="29">
        <v>1.0</v>
      </c>
      <c r="BC919" s="29"/>
      <c r="BD919" s="29" t="s">
        <v>88</v>
      </c>
      <c r="BE919" s="29" t="s">
        <v>263</v>
      </c>
      <c r="BF919" s="29" t="s">
        <v>1760</v>
      </c>
      <c r="BG919" s="29" t="s">
        <v>203</v>
      </c>
      <c r="BH919" s="29"/>
      <c r="BI919" s="29" t="s">
        <v>425</v>
      </c>
      <c r="BJ919" s="29"/>
      <c r="BK919" s="29"/>
      <c r="BL919" s="29" t="s">
        <v>148</v>
      </c>
      <c r="BM919" s="45"/>
      <c r="BN919" s="45">
        <v>1.0</v>
      </c>
      <c r="BO919" s="46" t="s">
        <v>1761</v>
      </c>
      <c r="BP919" s="2"/>
      <c r="BQ919" s="3"/>
    </row>
    <row r="920" ht="15.75" customHeight="1">
      <c r="A920" s="34">
        <v>931.0</v>
      </c>
      <c r="B920" s="34">
        <v>102636.0</v>
      </c>
      <c r="C920" s="34" t="s">
        <v>415</v>
      </c>
      <c r="D920" s="34" t="s">
        <v>1753</v>
      </c>
      <c r="E920" s="34" t="s">
        <v>1754</v>
      </c>
      <c r="F920" s="34">
        <v>2019.0</v>
      </c>
      <c r="G920" s="34" t="s">
        <v>1755</v>
      </c>
      <c r="H920" s="34" t="s">
        <v>282</v>
      </c>
      <c r="I920" s="34" t="s">
        <v>1756</v>
      </c>
      <c r="J920" s="35"/>
      <c r="K920" s="36"/>
      <c r="L920" s="36"/>
      <c r="M920" s="36"/>
      <c r="N920" s="36">
        <v>-5.87</v>
      </c>
      <c r="O920" s="36">
        <v>198.75</v>
      </c>
      <c r="P920" s="52">
        <f t="shared" si="88"/>
        <v>-2.953459119</v>
      </c>
      <c r="Q920" s="36"/>
      <c r="R920" s="36" t="s">
        <v>82</v>
      </c>
      <c r="S920" s="36">
        <v>20000.0</v>
      </c>
      <c r="T920" s="36" t="s">
        <v>193</v>
      </c>
      <c r="U920" s="36" t="s">
        <v>285</v>
      </c>
      <c r="V920" s="36">
        <v>690.0</v>
      </c>
      <c r="W920" s="36"/>
      <c r="X920" s="38">
        <v>1.0</v>
      </c>
      <c r="Y920" s="38" t="s">
        <v>1193</v>
      </c>
      <c r="Z920" s="38" t="s">
        <v>1194</v>
      </c>
      <c r="AA920" s="38" t="s">
        <v>86</v>
      </c>
      <c r="AB920" s="38">
        <v>36.05</v>
      </c>
      <c r="AC920" s="38">
        <v>140.03</v>
      </c>
      <c r="AD920" s="38" t="s">
        <v>1782</v>
      </c>
      <c r="AE920" s="38">
        <v>13.0</v>
      </c>
      <c r="AF920" s="38" t="s">
        <v>1197</v>
      </c>
      <c r="AG920" s="38" t="s">
        <v>201</v>
      </c>
      <c r="AH920" s="38"/>
      <c r="AI920" s="50">
        <v>36.07</v>
      </c>
      <c r="AJ920" s="50">
        <v>140.02</v>
      </c>
      <c r="AK920" s="41" t="s">
        <v>362</v>
      </c>
      <c r="AL920" s="40" t="s">
        <v>362</v>
      </c>
      <c r="AM920" s="49">
        <v>16.0</v>
      </c>
      <c r="AN920" s="51">
        <v>16.0</v>
      </c>
      <c r="AO920" s="42" t="s">
        <v>201</v>
      </c>
      <c r="AP920" s="43" t="s">
        <v>201</v>
      </c>
      <c r="AQ920" s="44" t="str">
        <f t="shared" si="84"/>
        <v>CRO</v>
      </c>
      <c r="AR920" s="44">
        <f t="shared" si="80"/>
        <v>16</v>
      </c>
      <c r="AS920" s="44" t="str">
        <f t="shared" si="85"/>
        <v>C</v>
      </c>
      <c r="AT920" s="44" t="str">
        <f t="shared" si="17"/>
        <v>Cf</v>
      </c>
      <c r="AU920" s="44" t="str">
        <f t="shared" si="2"/>
        <v>Cfa</v>
      </c>
      <c r="AV920" s="38"/>
      <c r="AW920" s="38"/>
      <c r="AX920" s="38"/>
      <c r="AY920" s="38"/>
      <c r="AZ920" s="29">
        <v>20000.0</v>
      </c>
      <c r="BA920" s="29"/>
      <c r="BB920" s="29">
        <v>1.0</v>
      </c>
      <c r="BC920" s="29"/>
      <c r="BD920" s="29" t="s">
        <v>88</v>
      </c>
      <c r="BE920" s="29" t="s">
        <v>263</v>
      </c>
      <c r="BF920" s="29" t="s">
        <v>1760</v>
      </c>
      <c r="BG920" s="29" t="s">
        <v>203</v>
      </c>
      <c r="BH920" s="29"/>
      <c r="BI920" s="29" t="s">
        <v>425</v>
      </c>
      <c r="BJ920" s="29"/>
      <c r="BK920" s="29"/>
      <c r="BL920" s="29" t="s">
        <v>148</v>
      </c>
      <c r="BM920" s="45"/>
      <c r="BN920" s="45">
        <v>1.0</v>
      </c>
      <c r="BO920" s="46" t="s">
        <v>1761</v>
      </c>
      <c r="BP920" s="2"/>
      <c r="BQ920" s="3"/>
    </row>
    <row r="921" ht="15.75" customHeight="1">
      <c r="A921" s="34">
        <v>932.0</v>
      </c>
      <c r="B921" s="34">
        <v>102636.0</v>
      </c>
      <c r="C921" s="34" t="s">
        <v>415</v>
      </c>
      <c r="D921" s="34" t="s">
        <v>1753</v>
      </c>
      <c r="E921" s="34" t="s">
        <v>1754</v>
      </c>
      <c r="F921" s="34">
        <v>2019.0</v>
      </c>
      <c r="G921" s="34" t="s">
        <v>1755</v>
      </c>
      <c r="H921" s="34" t="s">
        <v>282</v>
      </c>
      <c r="I921" s="34" t="s">
        <v>1756</v>
      </c>
      <c r="J921" s="35"/>
      <c r="K921" s="36"/>
      <c r="L921" s="36"/>
      <c r="M921" s="36"/>
      <c r="N921" s="36">
        <v>-3.05</v>
      </c>
      <c r="O921" s="36">
        <v>126.32</v>
      </c>
      <c r="P921" s="52">
        <f t="shared" si="88"/>
        <v>-2.41450285</v>
      </c>
      <c r="Q921" s="36"/>
      <c r="R921" s="36" t="s">
        <v>82</v>
      </c>
      <c r="S921" s="36">
        <v>20000.0</v>
      </c>
      <c r="T921" s="36" t="s">
        <v>193</v>
      </c>
      <c r="U921" s="36" t="s">
        <v>968</v>
      </c>
      <c r="V921" s="36">
        <v>342.0</v>
      </c>
      <c r="W921" s="36"/>
      <c r="X921" s="38">
        <v>1.0</v>
      </c>
      <c r="Y921" s="38" t="s">
        <v>1783</v>
      </c>
      <c r="Z921" s="38" t="s">
        <v>1784</v>
      </c>
      <c r="AA921" s="38" t="s">
        <v>86</v>
      </c>
      <c r="AB921" s="38">
        <v>36.83</v>
      </c>
      <c r="AC921" s="38">
        <v>116.57</v>
      </c>
      <c r="AD921" s="38" t="s">
        <v>198</v>
      </c>
      <c r="AE921" s="38">
        <v>28.0</v>
      </c>
      <c r="AF921" s="38" t="s">
        <v>607</v>
      </c>
      <c r="AG921" s="38" t="s">
        <v>218</v>
      </c>
      <c r="AH921" s="38"/>
      <c r="AI921" s="50">
        <v>36.83</v>
      </c>
      <c r="AJ921" s="50">
        <v>116.57</v>
      </c>
      <c r="AK921" s="41" t="s">
        <v>86</v>
      </c>
      <c r="AL921" s="40" t="s">
        <v>86</v>
      </c>
      <c r="AM921" s="49">
        <v>22.0</v>
      </c>
      <c r="AN921" s="51">
        <v>22.0</v>
      </c>
      <c r="AO921" s="42" t="s">
        <v>218</v>
      </c>
      <c r="AP921" s="43" t="s">
        <v>218</v>
      </c>
      <c r="AQ921" s="44" t="str">
        <f t="shared" si="84"/>
        <v>CRO</v>
      </c>
      <c r="AR921" s="44">
        <f t="shared" si="80"/>
        <v>22</v>
      </c>
      <c r="AS921" s="44" t="str">
        <f t="shared" si="85"/>
        <v>D</v>
      </c>
      <c r="AT921" s="44" t="str">
        <f t="shared" si="17"/>
        <v>Dw</v>
      </c>
      <c r="AU921" s="44" t="str">
        <f t="shared" si="2"/>
        <v>Dwa</v>
      </c>
      <c r="AV921" s="38"/>
      <c r="AW921" s="38"/>
      <c r="AX921" s="38"/>
      <c r="AY921" s="38"/>
      <c r="AZ921" s="29">
        <v>20000.0</v>
      </c>
      <c r="BA921" s="29"/>
      <c r="BB921" s="29">
        <v>1.0</v>
      </c>
      <c r="BC921" s="29"/>
      <c r="BD921" s="29" t="s">
        <v>88</v>
      </c>
      <c r="BE921" s="29" t="s">
        <v>263</v>
      </c>
      <c r="BF921" s="29" t="s">
        <v>1760</v>
      </c>
      <c r="BG921" s="29" t="s">
        <v>203</v>
      </c>
      <c r="BH921" s="29"/>
      <c r="BI921" s="29" t="s">
        <v>425</v>
      </c>
      <c r="BJ921" s="29"/>
      <c r="BK921" s="29"/>
      <c r="BL921" s="29" t="s">
        <v>148</v>
      </c>
      <c r="BM921" s="45"/>
      <c r="BN921" s="45">
        <v>1.0</v>
      </c>
      <c r="BO921" s="46" t="s">
        <v>1761</v>
      </c>
      <c r="BP921" s="2"/>
      <c r="BQ921" s="3"/>
    </row>
    <row r="922" ht="15.75" customHeight="1">
      <c r="A922" s="34">
        <v>933.0</v>
      </c>
      <c r="B922" s="34">
        <v>102636.0</v>
      </c>
      <c r="C922" s="34" t="s">
        <v>415</v>
      </c>
      <c r="D922" s="34" t="s">
        <v>1753</v>
      </c>
      <c r="E922" s="34" t="s">
        <v>1754</v>
      </c>
      <c r="F922" s="34">
        <v>2019.0</v>
      </c>
      <c r="G922" s="34" t="s">
        <v>1755</v>
      </c>
      <c r="H922" s="34" t="s">
        <v>282</v>
      </c>
      <c r="I922" s="34" t="s">
        <v>1756</v>
      </c>
      <c r="J922" s="35"/>
      <c r="K922" s="36"/>
      <c r="L922" s="36"/>
      <c r="M922" s="36"/>
      <c r="N922" s="36">
        <v>-9.56</v>
      </c>
      <c r="O922" s="36">
        <v>92.42</v>
      </c>
      <c r="P922" s="52">
        <f t="shared" si="88"/>
        <v>-10.34408137</v>
      </c>
      <c r="Q922" s="36"/>
      <c r="R922" s="36" t="s">
        <v>82</v>
      </c>
      <c r="S922" s="36">
        <v>20000.0</v>
      </c>
      <c r="T922" s="36" t="s">
        <v>193</v>
      </c>
      <c r="U922" s="36" t="s">
        <v>968</v>
      </c>
      <c r="V922" s="36">
        <v>343.0</v>
      </c>
      <c r="W922" s="36"/>
      <c r="X922" s="38">
        <v>1.0</v>
      </c>
      <c r="Y922" s="38" t="s">
        <v>593</v>
      </c>
      <c r="Z922" s="38" t="s">
        <v>594</v>
      </c>
      <c r="AA922" s="38" t="s">
        <v>288</v>
      </c>
      <c r="AB922" s="38">
        <v>37.61</v>
      </c>
      <c r="AC922" s="38">
        <v>101.33</v>
      </c>
      <c r="AD922" s="38" t="s">
        <v>198</v>
      </c>
      <c r="AE922" s="38">
        <v>3250.0</v>
      </c>
      <c r="AF922" s="38" t="s">
        <v>1341</v>
      </c>
      <c r="AG922" s="38" t="s">
        <v>293</v>
      </c>
      <c r="AH922" s="38"/>
      <c r="AI922" s="50">
        <v>37.61</v>
      </c>
      <c r="AJ922" s="50">
        <v>101.33</v>
      </c>
      <c r="AK922" s="41" t="s">
        <v>288</v>
      </c>
      <c r="AL922" s="40" t="s">
        <v>288</v>
      </c>
      <c r="AM922" s="49">
        <v>3201.0</v>
      </c>
      <c r="AN922" s="51">
        <v>3201.0</v>
      </c>
      <c r="AO922" s="42" t="s">
        <v>597</v>
      </c>
      <c r="AP922" s="43" t="s">
        <v>597</v>
      </c>
      <c r="AQ922" s="44" t="str">
        <f t="shared" si="84"/>
        <v>GRA</v>
      </c>
      <c r="AR922" s="44">
        <f t="shared" si="80"/>
        <v>3201</v>
      </c>
      <c r="AS922" s="44" t="str">
        <f t="shared" si="85"/>
        <v>D</v>
      </c>
      <c r="AT922" s="44" t="str">
        <f t="shared" si="17"/>
        <v>Dw</v>
      </c>
      <c r="AU922" s="44" t="str">
        <f t="shared" si="2"/>
        <v>Dwc</v>
      </c>
      <c r="AV922" s="38"/>
      <c r="AW922" s="38"/>
      <c r="AX922" s="38"/>
      <c r="AY922" s="38"/>
      <c r="AZ922" s="29">
        <v>20000.0</v>
      </c>
      <c r="BA922" s="29"/>
      <c r="BB922" s="29">
        <v>1.0</v>
      </c>
      <c r="BC922" s="29"/>
      <c r="BD922" s="29" t="s">
        <v>88</v>
      </c>
      <c r="BE922" s="29" t="s">
        <v>263</v>
      </c>
      <c r="BF922" s="29" t="s">
        <v>1760</v>
      </c>
      <c r="BG922" s="29" t="s">
        <v>203</v>
      </c>
      <c r="BH922" s="29"/>
      <c r="BI922" s="29" t="s">
        <v>425</v>
      </c>
      <c r="BJ922" s="29"/>
      <c r="BK922" s="29"/>
      <c r="BL922" s="29" t="s">
        <v>148</v>
      </c>
      <c r="BM922" s="45"/>
      <c r="BN922" s="45">
        <v>1.0</v>
      </c>
      <c r="BO922" s="46" t="s">
        <v>1761</v>
      </c>
      <c r="BP922" s="2"/>
      <c r="BQ922" s="3"/>
    </row>
    <row r="923" ht="15.75" customHeight="1">
      <c r="A923" s="34">
        <v>934.0</v>
      </c>
      <c r="B923" s="34">
        <v>102636.0</v>
      </c>
      <c r="C923" s="34" t="s">
        <v>415</v>
      </c>
      <c r="D923" s="34" t="s">
        <v>1753</v>
      </c>
      <c r="E923" s="34" t="s">
        <v>1754</v>
      </c>
      <c r="F923" s="34">
        <v>2019.0</v>
      </c>
      <c r="G923" s="34" t="s">
        <v>1755</v>
      </c>
      <c r="H923" s="34" t="s">
        <v>282</v>
      </c>
      <c r="I923" s="34" t="s">
        <v>1756</v>
      </c>
      <c r="J923" s="35"/>
      <c r="K923" s="36"/>
      <c r="L923" s="36"/>
      <c r="M923" s="36"/>
      <c r="N923" s="36">
        <v>-40.88</v>
      </c>
      <c r="O923" s="36">
        <v>121.57</v>
      </c>
      <c r="P923" s="52">
        <f t="shared" si="88"/>
        <v>-33.62671712</v>
      </c>
      <c r="Q923" s="36"/>
      <c r="R923" s="36" t="s">
        <v>82</v>
      </c>
      <c r="S923" s="36">
        <v>20000.0</v>
      </c>
      <c r="T923" s="36" t="s">
        <v>193</v>
      </c>
      <c r="U923" s="36" t="s">
        <v>968</v>
      </c>
      <c r="V923" s="36">
        <v>353.0</v>
      </c>
      <c r="W923" s="36"/>
      <c r="X923" s="38">
        <v>1.0</v>
      </c>
      <c r="Y923" s="38" t="s">
        <v>1785</v>
      </c>
      <c r="Z923" s="38" t="s">
        <v>1786</v>
      </c>
      <c r="AA923" s="38" t="s">
        <v>288</v>
      </c>
      <c r="AB923" s="38">
        <v>37.48</v>
      </c>
      <c r="AC923" s="38">
        <v>101.2</v>
      </c>
      <c r="AD923" s="38" t="s">
        <v>198</v>
      </c>
      <c r="AE923" s="38">
        <v>756.0</v>
      </c>
      <c r="AF923" s="38"/>
      <c r="AG923" s="38"/>
      <c r="AH923" s="38"/>
      <c r="AI923" s="50">
        <v>37.48</v>
      </c>
      <c r="AJ923" s="50">
        <v>101.2</v>
      </c>
      <c r="AK923" s="41" t="s">
        <v>288</v>
      </c>
      <c r="AL923" s="40" t="s">
        <v>288</v>
      </c>
      <c r="AM923" s="49">
        <v>3382.0</v>
      </c>
      <c r="AN923" s="51">
        <v>3382.0</v>
      </c>
      <c r="AO923" s="42" t="s">
        <v>597</v>
      </c>
      <c r="AP923" s="43" t="s">
        <v>597</v>
      </c>
      <c r="AQ923" s="44" t="str">
        <f t="shared" si="84"/>
        <v>GRA</v>
      </c>
      <c r="AR923" s="44">
        <f t="shared" si="80"/>
        <v>3382</v>
      </c>
      <c r="AS923" s="44" t="str">
        <f t="shared" si="85"/>
        <v>D</v>
      </c>
      <c r="AT923" s="44" t="str">
        <f t="shared" si="17"/>
        <v>Dw</v>
      </c>
      <c r="AU923" s="44" t="str">
        <f t="shared" si="2"/>
        <v>Dwc</v>
      </c>
      <c r="AV923" s="38"/>
      <c r="AW923" s="38"/>
      <c r="AX923" s="38"/>
      <c r="AY923" s="38"/>
      <c r="AZ923" s="29">
        <v>20000.0</v>
      </c>
      <c r="BA923" s="29"/>
      <c r="BB923" s="29">
        <v>1.0</v>
      </c>
      <c r="BC923" s="29"/>
      <c r="BD923" s="29" t="s">
        <v>88</v>
      </c>
      <c r="BE923" s="29" t="s">
        <v>263</v>
      </c>
      <c r="BF923" s="29" t="s">
        <v>1760</v>
      </c>
      <c r="BG923" s="29" t="s">
        <v>203</v>
      </c>
      <c r="BH923" s="29"/>
      <c r="BI923" s="29" t="s">
        <v>425</v>
      </c>
      <c r="BJ923" s="29"/>
      <c r="BK923" s="29"/>
      <c r="BL923" s="29" t="s">
        <v>148</v>
      </c>
      <c r="BM923" s="45"/>
      <c r="BN923" s="45">
        <v>1.0</v>
      </c>
      <c r="BO923" s="46" t="s">
        <v>1761</v>
      </c>
      <c r="BP923" s="2"/>
      <c r="BQ923" s="3"/>
    </row>
    <row r="924" ht="15.75" customHeight="1">
      <c r="A924" s="34">
        <v>935.0</v>
      </c>
      <c r="B924" s="34">
        <v>102636.0</v>
      </c>
      <c r="C924" s="34" t="s">
        <v>415</v>
      </c>
      <c r="D924" s="34" t="s">
        <v>1753</v>
      </c>
      <c r="E924" s="34" t="s">
        <v>1754</v>
      </c>
      <c r="F924" s="34">
        <v>2019.0</v>
      </c>
      <c r="G924" s="34" t="s">
        <v>1755</v>
      </c>
      <c r="H924" s="34" t="s">
        <v>282</v>
      </c>
      <c r="I924" s="34" t="s">
        <v>1756</v>
      </c>
      <c r="J924" s="35"/>
      <c r="K924" s="36"/>
      <c r="L924" s="36"/>
      <c r="M924" s="36"/>
      <c r="N924" s="36">
        <v>46.07</v>
      </c>
      <c r="O924" s="36">
        <v>29.6</v>
      </c>
      <c r="P924" s="86">
        <f t="shared" si="88"/>
        <v>155.6418919</v>
      </c>
      <c r="Q924" s="36"/>
      <c r="R924" s="36" t="s">
        <v>82</v>
      </c>
      <c r="S924" s="36">
        <v>20000.0</v>
      </c>
      <c r="T924" s="36" t="s">
        <v>193</v>
      </c>
      <c r="U924" s="36" t="s">
        <v>676</v>
      </c>
      <c r="V924" s="36">
        <v>1058.0</v>
      </c>
      <c r="W924" s="36"/>
      <c r="X924" s="38">
        <v>1.0</v>
      </c>
      <c r="Y924" s="38" t="s">
        <v>1278</v>
      </c>
      <c r="Z924" s="38" t="s">
        <v>1279</v>
      </c>
      <c r="AA924" s="38" t="s">
        <v>288</v>
      </c>
      <c r="AB924" s="38">
        <v>47.21</v>
      </c>
      <c r="AC924" s="38">
        <v>108.74</v>
      </c>
      <c r="AD924" s="38" t="s">
        <v>1250</v>
      </c>
      <c r="AE924" s="38">
        <v>1235.0</v>
      </c>
      <c r="AF924" s="38"/>
      <c r="AG924" s="38" t="s">
        <v>293</v>
      </c>
      <c r="AH924" s="38"/>
      <c r="AI924" s="50">
        <v>47.21</v>
      </c>
      <c r="AJ924" s="50">
        <v>108.74</v>
      </c>
      <c r="AK924" s="41" t="s">
        <v>288</v>
      </c>
      <c r="AL924" s="40" t="s">
        <v>288</v>
      </c>
      <c r="AM924" s="49">
        <v>1250.0</v>
      </c>
      <c r="AN924" s="51">
        <v>1250.0</v>
      </c>
      <c r="AO924" s="42" t="s">
        <v>293</v>
      </c>
      <c r="AP924" s="43" t="s">
        <v>293</v>
      </c>
      <c r="AQ924" s="44" t="str">
        <f t="shared" si="84"/>
        <v>GRA</v>
      </c>
      <c r="AR924" s="44">
        <f t="shared" si="80"/>
        <v>1250</v>
      </c>
      <c r="AS924" s="44" t="str">
        <f t="shared" si="85"/>
        <v>B</v>
      </c>
      <c r="AT924" s="44" t="str">
        <f t="shared" si="17"/>
        <v>BS</v>
      </c>
      <c r="AU924" s="44" t="str">
        <f t="shared" si="2"/>
        <v>BSk</v>
      </c>
      <c r="AV924" s="38"/>
      <c r="AW924" s="38"/>
      <c r="AX924" s="38"/>
      <c r="AY924" s="38"/>
      <c r="AZ924" s="29">
        <v>20000.0</v>
      </c>
      <c r="BA924" s="29"/>
      <c r="BB924" s="29">
        <v>1.0</v>
      </c>
      <c r="BC924" s="29"/>
      <c r="BD924" s="29" t="s">
        <v>88</v>
      </c>
      <c r="BE924" s="29" t="s">
        <v>263</v>
      </c>
      <c r="BF924" s="29" t="s">
        <v>1760</v>
      </c>
      <c r="BG924" s="29" t="s">
        <v>203</v>
      </c>
      <c r="BH924" s="29"/>
      <c r="BI924" s="29" t="s">
        <v>425</v>
      </c>
      <c r="BJ924" s="29"/>
      <c r="BK924" s="29"/>
      <c r="BL924" s="29" t="s">
        <v>148</v>
      </c>
      <c r="BM924" s="45"/>
      <c r="BN924" s="45">
        <v>1.0</v>
      </c>
      <c r="BO924" s="46" t="s">
        <v>1761</v>
      </c>
      <c r="BP924" s="73"/>
      <c r="BQ924" s="17"/>
    </row>
    <row r="925" ht="15.75" customHeight="1">
      <c r="A925" s="34">
        <v>936.0</v>
      </c>
      <c r="B925" s="34">
        <v>102636.0</v>
      </c>
      <c r="C925" s="34" t="s">
        <v>415</v>
      </c>
      <c r="D925" s="34" t="s">
        <v>1753</v>
      </c>
      <c r="E925" s="34" t="s">
        <v>1754</v>
      </c>
      <c r="F925" s="34">
        <v>2019.0</v>
      </c>
      <c r="G925" s="34" t="s">
        <v>1755</v>
      </c>
      <c r="H925" s="34" t="s">
        <v>282</v>
      </c>
      <c r="I925" s="34" t="s">
        <v>1756</v>
      </c>
      <c r="J925" s="35"/>
      <c r="K925" s="36">
        <v>0.08</v>
      </c>
      <c r="L925" s="36">
        <v>1.9</v>
      </c>
      <c r="M925" s="36"/>
      <c r="N925" s="36"/>
      <c r="O925" s="36"/>
      <c r="P925" s="52">
        <f t="shared" ref="P925:P964" si="89">K925/L925*100</f>
        <v>4.210526316</v>
      </c>
      <c r="Q925" s="36" t="s">
        <v>96</v>
      </c>
      <c r="R925" s="36" t="s">
        <v>96</v>
      </c>
      <c r="S925" s="36">
        <v>20000.0</v>
      </c>
      <c r="T925" s="36" t="s">
        <v>350</v>
      </c>
      <c r="U925" s="36" t="s">
        <v>351</v>
      </c>
      <c r="V925" s="36">
        <v>264.0</v>
      </c>
      <c r="W925" s="36"/>
      <c r="X925" s="38">
        <v>1.0</v>
      </c>
      <c r="Y925" s="38" t="s">
        <v>1757</v>
      </c>
      <c r="Z925" s="38" t="s">
        <v>1758</v>
      </c>
      <c r="AA925" s="38" t="s">
        <v>197</v>
      </c>
      <c r="AB925" s="38">
        <v>24.58</v>
      </c>
      <c r="AC925" s="38">
        <v>121.4</v>
      </c>
      <c r="AD925" s="38" t="s">
        <v>1759</v>
      </c>
      <c r="AE925" s="38">
        <v>1400.0</v>
      </c>
      <c r="AF925" s="38"/>
      <c r="AG925" s="38"/>
      <c r="AH925" s="38"/>
      <c r="AI925" s="50">
        <v>24.58</v>
      </c>
      <c r="AJ925" s="50">
        <v>121.4</v>
      </c>
      <c r="AK925" s="41" t="s">
        <v>336</v>
      </c>
      <c r="AL925" s="40" t="s">
        <v>336</v>
      </c>
      <c r="AM925" s="49">
        <v>1794.0</v>
      </c>
      <c r="AN925" s="51">
        <v>1794.0</v>
      </c>
      <c r="AO925" s="42" t="s">
        <v>376</v>
      </c>
      <c r="AP925" s="43" t="s">
        <v>201</v>
      </c>
      <c r="AQ925" s="44" t="str">
        <f t="shared" si="84"/>
        <v>ENF</v>
      </c>
      <c r="AR925" s="44">
        <f t="shared" si="80"/>
        <v>1794</v>
      </c>
      <c r="AS925" s="44" t="str">
        <f t="shared" si="85"/>
        <v>C</v>
      </c>
      <c r="AT925" s="44" t="str">
        <f t="shared" si="17"/>
        <v>Cf</v>
      </c>
      <c r="AU925" s="44" t="str">
        <f t="shared" si="2"/>
        <v>Cfa</v>
      </c>
      <c r="AV925" s="38"/>
      <c r="AW925" s="38"/>
      <c r="AX925" s="38"/>
      <c r="AY925" s="38"/>
      <c r="AZ925" s="29">
        <v>20000.0</v>
      </c>
      <c r="BA925" s="29"/>
      <c r="BB925" s="29">
        <v>1.0</v>
      </c>
      <c r="BC925" s="29"/>
      <c r="BD925" s="29" t="s">
        <v>88</v>
      </c>
      <c r="BE925" s="29" t="s">
        <v>263</v>
      </c>
      <c r="BF925" s="29" t="s">
        <v>1760</v>
      </c>
      <c r="BG925" s="29" t="s">
        <v>203</v>
      </c>
      <c r="BH925" s="29"/>
      <c r="BI925" s="29" t="s">
        <v>425</v>
      </c>
      <c r="BJ925" s="29"/>
      <c r="BK925" s="29"/>
      <c r="BL925" s="29" t="s">
        <v>148</v>
      </c>
      <c r="BM925" s="45"/>
      <c r="BN925" s="45">
        <v>1.0</v>
      </c>
      <c r="BO925" s="46" t="s">
        <v>1761</v>
      </c>
      <c r="BP925" s="2"/>
      <c r="BQ925" s="3"/>
    </row>
    <row r="926" ht="15.75" customHeight="1">
      <c r="A926" s="34">
        <v>937.0</v>
      </c>
      <c r="B926" s="34">
        <v>102636.0</v>
      </c>
      <c r="C926" s="34" t="s">
        <v>415</v>
      </c>
      <c r="D926" s="34" t="s">
        <v>1753</v>
      </c>
      <c r="E926" s="34" t="s">
        <v>1754</v>
      </c>
      <c r="F926" s="34">
        <v>2019.0</v>
      </c>
      <c r="G926" s="34" t="s">
        <v>1755</v>
      </c>
      <c r="H926" s="34" t="s">
        <v>282</v>
      </c>
      <c r="I926" s="34" t="s">
        <v>1756</v>
      </c>
      <c r="J926" s="35"/>
      <c r="K926" s="36">
        <v>-0.02</v>
      </c>
      <c r="L926" s="36">
        <v>2.73</v>
      </c>
      <c r="M926" s="36"/>
      <c r="N926" s="36"/>
      <c r="O926" s="36"/>
      <c r="P926" s="52">
        <f t="shared" si="89"/>
        <v>-0.7326007326</v>
      </c>
      <c r="Q926" s="36" t="s">
        <v>96</v>
      </c>
      <c r="R926" s="36" t="s">
        <v>96</v>
      </c>
      <c r="S926" s="36">
        <v>20000.0</v>
      </c>
      <c r="T926" s="36" t="s">
        <v>193</v>
      </c>
      <c r="U926" s="36" t="s">
        <v>363</v>
      </c>
      <c r="V926" s="36">
        <v>88.0</v>
      </c>
      <c r="W926" s="36"/>
      <c r="X926" s="38">
        <v>1.0</v>
      </c>
      <c r="Y926" s="38" t="s">
        <v>1762</v>
      </c>
      <c r="Z926" s="38" t="s">
        <v>1763</v>
      </c>
      <c r="AA926" s="38" t="s">
        <v>336</v>
      </c>
      <c r="AB926" s="38">
        <v>14.49</v>
      </c>
      <c r="AC926" s="38">
        <v>101.92</v>
      </c>
      <c r="AD926" s="38" t="s">
        <v>1764</v>
      </c>
      <c r="AE926" s="38">
        <v>543.0</v>
      </c>
      <c r="AF926" s="38"/>
      <c r="AG926" s="38" t="s">
        <v>335</v>
      </c>
      <c r="AH926" s="38"/>
      <c r="AI926" s="50">
        <v>14.49</v>
      </c>
      <c r="AJ926" s="50">
        <v>101.92</v>
      </c>
      <c r="AK926" s="41" t="s">
        <v>336</v>
      </c>
      <c r="AL926" s="40" t="s">
        <v>336</v>
      </c>
      <c r="AM926" s="49">
        <v>512.0</v>
      </c>
      <c r="AN926" s="51">
        <v>512.0</v>
      </c>
      <c r="AO926" s="42" t="s">
        <v>335</v>
      </c>
      <c r="AP926" s="43" t="s">
        <v>335</v>
      </c>
      <c r="AQ926" s="44" t="str">
        <f t="shared" si="84"/>
        <v>EBF</v>
      </c>
      <c r="AR926" s="44">
        <f t="shared" si="80"/>
        <v>512</v>
      </c>
      <c r="AS926" s="44" t="str">
        <f t="shared" si="85"/>
        <v>A</v>
      </c>
      <c r="AT926" s="44" t="str">
        <f t="shared" si="17"/>
        <v>Aw</v>
      </c>
      <c r="AU926" s="44" t="str">
        <f t="shared" si="2"/>
        <v>Aw</v>
      </c>
      <c r="AV926" s="38"/>
      <c r="AW926" s="38"/>
      <c r="AX926" s="38"/>
      <c r="AY926" s="38"/>
      <c r="AZ926" s="29">
        <v>20000.0</v>
      </c>
      <c r="BA926" s="29"/>
      <c r="BB926" s="29">
        <v>1.0</v>
      </c>
      <c r="BC926" s="29"/>
      <c r="BD926" s="29" t="s">
        <v>88</v>
      </c>
      <c r="BE926" s="29" t="s">
        <v>263</v>
      </c>
      <c r="BF926" s="29" t="s">
        <v>1760</v>
      </c>
      <c r="BG926" s="29" t="s">
        <v>203</v>
      </c>
      <c r="BH926" s="29"/>
      <c r="BI926" s="29" t="s">
        <v>425</v>
      </c>
      <c r="BJ926" s="29"/>
      <c r="BK926" s="29"/>
      <c r="BL926" s="29" t="s">
        <v>148</v>
      </c>
      <c r="BM926" s="45"/>
      <c r="BN926" s="45">
        <v>1.0</v>
      </c>
      <c r="BO926" s="46" t="s">
        <v>1761</v>
      </c>
      <c r="BP926" s="73"/>
      <c r="BQ926" s="17"/>
    </row>
    <row r="927" ht="15.75" customHeight="1">
      <c r="A927" s="34">
        <v>938.0</v>
      </c>
      <c r="B927" s="34">
        <v>102636.0</v>
      </c>
      <c r="C927" s="34" t="s">
        <v>415</v>
      </c>
      <c r="D927" s="34" t="s">
        <v>1753</v>
      </c>
      <c r="E927" s="34" t="s">
        <v>1754</v>
      </c>
      <c r="F927" s="34">
        <v>2019.0</v>
      </c>
      <c r="G927" s="34" t="s">
        <v>1755</v>
      </c>
      <c r="H927" s="34" t="s">
        <v>282</v>
      </c>
      <c r="I927" s="34" t="s">
        <v>1756</v>
      </c>
      <c r="J927" s="35"/>
      <c r="K927" s="36">
        <v>0.2</v>
      </c>
      <c r="L927" s="36">
        <v>2.23</v>
      </c>
      <c r="M927" s="36"/>
      <c r="N927" s="36"/>
      <c r="O927" s="36"/>
      <c r="P927" s="52">
        <f t="shared" si="89"/>
        <v>8.968609865</v>
      </c>
      <c r="Q927" s="36" t="s">
        <v>96</v>
      </c>
      <c r="R927" s="36" t="s">
        <v>96</v>
      </c>
      <c r="S927" s="36">
        <v>20000.0</v>
      </c>
      <c r="T927" s="36" t="s">
        <v>193</v>
      </c>
      <c r="U927" s="36" t="s">
        <v>968</v>
      </c>
      <c r="V927" s="36">
        <v>310.0</v>
      </c>
      <c r="W927" s="36"/>
      <c r="X927" s="38">
        <v>1.0</v>
      </c>
      <c r="Y927" s="38" t="s">
        <v>195</v>
      </c>
      <c r="Z927" s="68" t="s">
        <v>196</v>
      </c>
      <c r="AA927" s="38" t="s">
        <v>336</v>
      </c>
      <c r="AB927" s="38">
        <v>26.73</v>
      </c>
      <c r="AC927" s="38">
        <v>115.07</v>
      </c>
      <c r="AD927" s="38" t="s">
        <v>198</v>
      </c>
      <c r="AE927" s="38">
        <v>100.0</v>
      </c>
      <c r="AF927" s="38"/>
      <c r="AG927" s="38" t="s">
        <v>1024</v>
      </c>
      <c r="AH927" s="38"/>
      <c r="AI927" s="50">
        <v>26.73</v>
      </c>
      <c r="AJ927" s="50">
        <v>115.07</v>
      </c>
      <c r="AK927" s="41" t="s">
        <v>200</v>
      </c>
      <c r="AL927" s="40" t="s">
        <v>200</v>
      </c>
      <c r="AM927" s="49">
        <v>81.0</v>
      </c>
      <c r="AN927" s="51">
        <v>81.0</v>
      </c>
      <c r="AO927" s="42" t="s">
        <v>201</v>
      </c>
      <c r="AP927" s="43" t="s">
        <v>201</v>
      </c>
      <c r="AQ927" s="44" t="str">
        <f t="shared" si="84"/>
        <v>EBF</v>
      </c>
      <c r="AR927" s="44">
        <f t="shared" si="80"/>
        <v>81</v>
      </c>
      <c r="AS927" s="44" t="str">
        <f t="shared" si="85"/>
        <v>C</v>
      </c>
      <c r="AT927" s="44" t="str">
        <f t="shared" si="17"/>
        <v>Cf</v>
      </c>
      <c r="AU927" s="44" t="str">
        <f t="shared" si="2"/>
        <v>Cfa</v>
      </c>
      <c r="AV927" s="38"/>
      <c r="AW927" s="38"/>
      <c r="AX927" s="38"/>
      <c r="AY927" s="38"/>
      <c r="AZ927" s="29">
        <v>20000.0</v>
      </c>
      <c r="BA927" s="29"/>
      <c r="BB927" s="29">
        <v>1.0</v>
      </c>
      <c r="BC927" s="29"/>
      <c r="BD927" s="29" t="s">
        <v>88</v>
      </c>
      <c r="BE927" s="29" t="s">
        <v>263</v>
      </c>
      <c r="BF927" s="29" t="s">
        <v>1760</v>
      </c>
      <c r="BG927" s="29" t="s">
        <v>203</v>
      </c>
      <c r="BH927" s="29"/>
      <c r="BI927" s="29" t="s">
        <v>425</v>
      </c>
      <c r="BJ927" s="29"/>
      <c r="BK927" s="29"/>
      <c r="BL927" s="29" t="s">
        <v>148</v>
      </c>
      <c r="BM927" s="45"/>
      <c r="BN927" s="45">
        <v>1.0</v>
      </c>
      <c r="BO927" s="46" t="s">
        <v>1761</v>
      </c>
      <c r="BP927" s="2"/>
      <c r="BQ927" s="3"/>
    </row>
    <row r="928" ht="15.75" customHeight="1">
      <c r="A928" s="34">
        <v>939.0</v>
      </c>
      <c r="B928" s="34">
        <v>102636.0</v>
      </c>
      <c r="C928" s="34" t="s">
        <v>415</v>
      </c>
      <c r="D928" s="34" t="s">
        <v>1753</v>
      </c>
      <c r="E928" s="34" t="s">
        <v>1754</v>
      </c>
      <c r="F928" s="34">
        <v>2019.0</v>
      </c>
      <c r="G928" s="34" t="s">
        <v>1755</v>
      </c>
      <c r="H928" s="34" t="s">
        <v>282</v>
      </c>
      <c r="I928" s="34" t="s">
        <v>1756</v>
      </c>
      <c r="J928" s="35"/>
      <c r="K928" s="36">
        <v>-0.01</v>
      </c>
      <c r="L928" s="36">
        <v>1.69</v>
      </c>
      <c r="M928" s="36"/>
      <c r="N928" s="36"/>
      <c r="O928" s="36"/>
      <c r="P928" s="52">
        <f t="shared" si="89"/>
        <v>-0.5917159763</v>
      </c>
      <c r="Q928" s="36" t="s">
        <v>96</v>
      </c>
      <c r="R928" s="36" t="s">
        <v>96</v>
      </c>
      <c r="S928" s="36">
        <v>20000.0</v>
      </c>
      <c r="T928" s="36" t="s">
        <v>341</v>
      </c>
      <c r="U928" s="36" t="s">
        <v>676</v>
      </c>
      <c r="V928" s="36">
        <v>493.0</v>
      </c>
      <c r="W928" s="36"/>
      <c r="X928" s="38">
        <v>1.0</v>
      </c>
      <c r="Y928" s="38" t="s">
        <v>1765</v>
      </c>
      <c r="Z928" s="38" t="s">
        <v>1766</v>
      </c>
      <c r="AA928" s="38" t="s">
        <v>636</v>
      </c>
      <c r="AB928" s="38">
        <v>35.44</v>
      </c>
      <c r="AC928" s="38">
        <v>138.76</v>
      </c>
      <c r="AD928" s="38" t="s">
        <v>736</v>
      </c>
      <c r="AE928" s="38">
        <v>1150.0</v>
      </c>
      <c r="AF928" s="38"/>
      <c r="AG928" s="38"/>
      <c r="AH928" s="38"/>
      <c r="AI928" s="50">
        <v>35.44</v>
      </c>
      <c r="AJ928" s="50">
        <v>138.76</v>
      </c>
      <c r="AK928" s="41" t="s">
        <v>452</v>
      </c>
      <c r="AL928" s="40" t="s">
        <v>452</v>
      </c>
      <c r="AM928" s="49">
        <v>1135.0</v>
      </c>
      <c r="AN928" s="51">
        <v>1135.0</v>
      </c>
      <c r="AO928" s="42" t="s">
        <v>372</v>
      </c>
      <c r="AP928" s="43" t="s">
        <v>107</v>
      </c>
      <c r="AQ928" s="44" t="str">
        <f t="shared" si="84"/>
        <v>DNF</v>
      </c>
      <c r="AR928" s="44">
        <f t="shared" si="80"/>
        <v>1135</v>
      </c>
      <c r="AS928" s="44" t="str">
        <f t="shared" si="85"/>
        <v>D</v>
      </c>
      <c r="AT928" s="44" t="str">
        <f t="shared" si="17"/>
        <v>Df</v>
      </c>
      <c r="AU928" s="44" t="str">
        <f t="shared" si="2"/>
        <v>Dfb</v>
      </c>
      <c r="AV928" s="38"/>
      <c r="AW928" s="38"/>
      <c r="AX928" s="38"/>
      <c r="AY928" s="38"/>
      <c r="AZ928" s="29">
        <v>20000.0</v>
      </c>
      <c r="BA928" s="29"/>
      <c r="BB928" s="29">
        <v>1.0</v>
      </c>
      <c r="BC928" s="29"/>
      <c r="BD928" s="29" t="s">
        <v>88</v>
      </c>
      <c r="BE928" s="29" t="s">
        <v>263</v>
      </c>
      <c r="BF928" s="29" t="s">
        <v>1760</v>
      </c>
      <c r="BG928" s="29" t="s">
        <v>203</v>
      </c>
      <c r="BH928" s="29"/>
      <c r="BI928" s="29" t="s">
        <v>425</v>
      </c>
      <c r="BJ928" s="29"/>
      <c r="BK928" s="29"/>
      <c r="BL928" s="29" t="s">
        <v>148</v>
      </c>
      <c r="BM928" s="45"/>
      <c r="BN928" s="45">
        <v>1.0</v>
      </c>
      <c r="BO928" s="46" t="s">
        <v>1761</v>
      </c>
      <c r="BP928" s="2"/>
      <c r="BQ928" s="3"/>
    </row>
    <row r="929" ht="15.75" customHeight="1">
      <c r="A929" s="34">
        <v>940.0</v>
      </c>
      <c r="B929" s="34">
        <v>102636.0</v>
      </c>
      <c r="C929" s="34" t="s">
        <v>415</v>
      </c>
      <c r="D929" s="34" t="s">
        <v>1753</v>
      </c>
      <c r="E929" s="34" t="s">
        <v>1754</v>
      </c>
      <c r="F929" s="34">
        <v>2019.0</v>
      </c>
      <c r="G929" s="34" t="s">
        <v>1755</v>
      </c>
      <c r="H929" s="34" t="s">
        <v>282</v>
      </c>
      <c r="I929" s="34" t="s">
        <v>1756</v>
      </c>
      <c r="J929" s="35"/>
      <c r="K929" s="36">
        <v>-0.15</v>
      </c>
      <c r="L929" s="36">
        <v>1.49</v>
      </c>
      <c r="M929" s="36"/>
      <c r="N929" s="36"/>
      <c r="O929" s="36"/>
      <c r="P929" s="52">
        <f t="shared" si="89"/>
        <v>-10.06711409</v>
      </c>
      <c r="Q929" s="36" t="s">
        <v>96</v>
      </c>
      <c r="R929" s="36" t="s">
        <v>96</v>
      </c>
      <c r="S929" s="36">
        <v>20000.0</v>
      </c>
      <c r="T929" s="36" t="s">
        <v>350</v>
      </c>
      <c r="U929" s="36" t="s">
        <v>676</v>
      </c>
      <c r="V929" s="36">
        <v>247.0</v>
      </c>
      <c r="W929" s="36"/>
      <c r="X929" s="38">
        <v>1.0</v>
      </c>
      <c r="Y929" s="38" t="s">
        <v>1767</v>
      </c>
      <c r="Z929" s="38" t="s">
        <v>1768</v>
      </c>
      <c r="AA929" s="38" t="s">
        <v>636</v>
      </c>
      <c r="AB929" s="38">
        <v>37.75</v>
      </c>
      <c r="AC929" s="38">
        <v>127.16</v>
      </c>
      <c r="AD929" s="38" t="s">
        <v>1782</v>
      </c>
      <c r="AE929" s="53"/>
      <c r="AF929" s="38"/>
      <c r="AG929" s="57" t="s">
        <v>108</v>
      </c>
      <c r="AH929" s="38"/>
      <c r="AI929" s="50">
        <v>37.75</v>
      </c>
      <c r="AJ929" s="50">
        <v>127.16</v>
      </c>
      <c r="AK929" s="41" t="s">
        <v>452</v>
      </c>
      <c r="AL929" s="40" t="s">
        <v>452</v>
      </c>
      <c r="AM929" s="49">
        <v>190.0</v>
      </c>
      <c r="AN929" s="51">
        <v>190.0</v>
      </c>
      <c r="AO929" s="42" t="s">
        <v>218</v>
      </c>
      <c r="AP929" s="43" t="s">
        <v>218</v>
      </c>
      <c r="AQ929" s="44" t="str">
        <f t="shared" si="84"/>
        <v>DNF</v>
      </c>
      <c r="AR929" s="44">
        <f t="shared" si="80"/>
        <v>190</v>
      </c>
      <c r="AS929" s="44" t="str">
        <f t="shared" si="85"/>
        <v>D</v>
      </c>
      <c r="AT929" s="44" t="str">
        <f t="shared" si="17"/>
        <v>Dw</v>
      </c>
      <c r="AU929" s="44" t="str">
        <f t="shared" si="2"/>
        <v>Dwa</v>
      </c>
      <c r="AV929" s="38"/>
      <c r="AW929" s="38"/>
      <c r="AX929" s="38"/>
      <c r="AY929" s="38"/>
      <c r="AZ929" s="29">
        <v>20000.0</v>
      </c>
      <c r="BA929" s="29"/>
      <c r="BB929" s="29">
        <v>1.0</v>
      </c>
      <c r="BC929" s="29"/>
      <c r="BD929" s="29" t="s">
        <v>88</v>
      </c>
      <c r="BE929" s="29" t="s">
        <v>263</v>
      </c>
      <c r="BF929" s="29" t="s">
        <v>1760</v>
      </c>
      <c r="BG929" s="29" t="s">
        <v>203</v>
      </c>
      <c r="BH929" s="29"/>
      <c r="BI929" s="29" t="s">
        <v>425</v>
      </c>
      <c r="BJ929" s="29"/>
      <c r="BK929" s="29"/>
      <c r="BL929" s="29" t="s">
        <v>148</v>
      </c>
      <c r="BM929" s="45"/>
      <c r="BN929" s="45">
        <v>1.0</v>
      </c>
      <c r="BO929" s="46" t="s">
        <v>1761</v>
      </c>
      <c r="BP929" s="2"/>
      <c r="BQ929" s="3"/>
    </row>
    <row r="930" ht="15.75" customHeight="1">
      <c r="A930" s="34">
        <v>941.0</v>
      </c>
      <c r="B930" s="34">
        <v>102636.0</v>
      </c>
      <c r="C930" s="34" t="s">
        <v>415</v>
      </c>
      <c r="D930" s="34" t="s">
        <v>1753</v>
      </c>
      <c r="E930" s="34" t="s">
        <v>1754</v>
      </c>
      <c r="F930" s="34">
        <v>2019.0</v>
      </c>
      <c r="G930" s="34" t="s">
        <v>1755</v>
      </c>
      <c r="H930" s="34" t="s">
        <v>282</v>
      </c>
      <c r="I930" s="34" t="s">
        <v>1756</v>
      </c>
      <c r="J930" s="35"/>
      <c r="K930" s="36">
        <v>0.38</v>
      </c>
      <c r="L930" s="36">
        <v>0.89</v>
      </c>
      <c r="M930" s="36"/>
      <c r="N930" s="36"/>
      <c r="O930" s="36"/>
      <c r="P930" s="52">
        <f t="shared" si="89"/>
        <v>42.69662921</v>
      </c>
      <c r="Q930" s="36" t="s">
        <v>96</v>
      </c>
      <c r="R930" s="36" t="s">
        <v>96</v>
      </c>
      <c r="S930" s="36">
        <v>20000.0</v>
      </c>
      <c r="T930" s="36" t="s">
        <v>193</v>
      </c>
      <c r="U930" s="36" t="s">
        <v>285</v>
      </c>
      <c r="V930" s="36">
        <v>647.0</v>
      </c>
      <c r="W930" s="36"/>
      <c r="X930" s="38">
        <v>1.0</v>
      </c>
      <c r="Y930" s="38" t="s">
        <v>1246</v>
      </c>
      <c r="Z930" s="38" t="s">
        <v>1247</v>
      </c>
      <c r="AA930" s="38" t="s">
        <v>636</v>
      </c>
      <c r="AB930" s="38">
        <v>48.35</v>
      </c>
      <c r="AC930" s="38">
        <v>108.65</v>
      </c>
      <c r="AD930" s="38" t="s">
        <v>1250</v>
      </c>
      <c r="AE930" s="38">
        <v>1630.0</v>
      </c>
      <c r="AF930" s="38"/>
      <c r="AG930" s="38" t="s">
        <v>584</v>
      </c>
      <c r="AH930" s="38"/>
      <c r="AI930" s="50">
        <v>48.35</v>
      </c>
      <c r="AJ930" s="50">
        <v>108.65</v>
      </c>
      <c r="AK930" s="41" t="s">
        <v>288</v>
      </c>
      <c r="AL930" s="40" t="s">
        <v>288</v>
      </c>
      <c r="AM930" s="49">
        <v>1586.0</v>
      </c>
      <c r="AN930" s="51">
        <v>1586.0</v>
      </c>
      <c r="AO930" s="42" t="s">
        <v>597</v>
      </c>
      <c r="AP930" s="43" t="s">
        <v>597</v>
      </c>
      <c r="AQ930" s="44" t="str">
        <f t="shared" si="84"/>
        <v>DNF</v>
      </c>
      <c r="AR930" s="44">
        <f t="shared" si="80"/>
        <v>1586</v>
      </c>
      <c r="AS930" s="44" t="str">
        <f t="shared" si="85"/>
        <v>D</v>
      </c>
      <c r="AT930" s="44" t="str">
        <f t="shared" si="17"/>
        <v>Dw</v>
      </c>
      <c r="AU930" s="44" t="str">
        <f t="shared" si="2"/>
        <v>Dwc</v>
      </c>
      <c r="AV930" s="38"/>
      <c r="AW930" s="38"/>
      <c r="AX930" s="38"/>
      <c r="AY930" s="38"/>
      <c r="AZ930" s="29">
        <v>20000.0</v>
      </c>
      <c r="BA930" s="29"/>
      <c r="BB930" s="29">
        <v>1.0</v>
      </c>
      <c r="BC930" s="29"/>
      <c r="BD930" s="29" t="s">
        <v>88</v>
      </c>
      <c r="BE930" s="29" t="s">
        <v>263</v>
      </c>
      <c r="BF930" s="29" t="s">
        <v>1760</v>
      </c>
      <c r="BG930" s="29" t="s">
        <v>203</v>
      </c>
      <c r="BH930" s="29"/>
      <c r="BI930" s="29" t="s">
        <v>425</v>
      </c>
      <c r="BJ930" s="29"/>
      <c r="BK930" s="29"/>
      <c r="BL930" s="29" t="s">
        <v>148</v>
      </c>
      <c r="BM930" s="45"/>
      <c r="BN930" s="45">
        <v>1.0</v>
      </c>
      <c r="BO930" s="46" t="s">
        <v>1761</v>
      </c>
      <c r="BP930" s="2"/>
      <c r="BQ930" s="3"/>
    </row>
    <row r="931" ht="15.75" customHeight="1">
      <c r="A931" s="34">
        <v>942.0</v>
      </c>
      <c r="B931" s="34">
        <v>102636.0</v>
      </c>
      <c r="C931" s="34" t="s">
        <v>415</v>
      </c>
      <c r="D931" s="34" t="s">
        <v>1753</v>
      </c>
      <c r="E931" s="34" t="s">
        <v>1754</v>
      </c>
      <c r="F931" s="34">
        <v>2019.0</v>
      </c>
      <c r="G931" s="34" t="s">
        <v>1755</v>
      </c>
      <c r="H931" s="34" t="s">
        <v>282</v>
      </c>
      <c r="I931" s="34" t="s">
        <v>1756</v>
      </c>
      <c r="J931" s="35"/>
      <c r="K931" s="36">
        <v>0.71</v>
      </c>
      <c r="L931" s="36">
        <v>1.23</v>
      </c>
      <c r="M931" s="36"/>
      <c r="N931" s="36"/>
      <c r="O931" s="36"/>
      <c r="P931" s="52">
        <f t="shared" si="89"/>
        <v>57.72357724</v>
      </c>
      <c r="Q931" s="36" t="s">
        <v>96</v>
      </c>
      <c r="R931" s="36" t="s">
        <v>96</v>
      </c>
      <c r="S931" s="36">
        <v>20000.0</v>
      </c>
      <c r="T931" s="36" t="s">
        <v>341</v>
      </c>
      <c r="U931" s="36" t="s">
        <v>342</v>
      </c>
      <c r="V931" s="36">
        <v>274.0</v>
      </c>
      <c r="W931" s="36"/>
      <c r="X931" s="38">
        <v>1.0</v>
      </c>
      <c r="Y931" s="38" t="s">
        <v>1252</v>
      </c>
      <c r="Z931" s="38" t="s">
        <v>1253</v>
      </c>
      <c r="AA931" s="38" t="s">
        <v>370</v>
      </c>
      <c r="AB931" s="38">
        <v>36.15</v>
      </c>
      <c r="AC931" s="38">
        <v>137.42</v>
      </c>
      <c r="AD931" s="38" t="s">
        <v>736</v>
      </c>
      <c r="AE931" s="38">
        <v>1420.0</v>
      </c>
      <c r="AF931" s="38" t="s">
        <v>199</v>
      </c>
      <c r="AG931" s="38" t="s">
        <v>107</v>
      </c>
      <c r="AH931" s="38"/>
      <c r="AI931" s="50">
        <v>36.15</v>
      </c>
      <c r="AJ931" s="50">
        <v>137.42</v>
      </c>
      <c r="AK931" s="41" t="s">
        <v>370</v>
      </c>
      <c r="AL931" s="40" t="s">
        <v>370</v>
      </c>
      <c r="AM931" s="49">
        <v>1382.0</v>
      </c>
      <c r="AN931" s="51">
        <v>1382.0</v>
      </c>
      <c r="AO931" s="42" t="s">
        <v>372</v>
      </c>
      <c r="AP931" s="43" t="s">
        <v>107</v>
      </c>
      <c r="AQ931" s="44" t="str">
        <f t="shared" si="84"/>
        <v>DBF</v>
      </c>
      <c r="AR931" s="44">
        <f t="shared" si="80"/>
        <v>1382</v>
      </c>
      <c r="AS931" s="44" t="str">
        <f t="shared" si="85"/>
        <v>D</v>
      </c>
      <c r="AT931" s="44" t="str">
        <f t="shared" si="17"/>
        <v>Df</v>
      </c>
      <c r="AU931" s="44" t="str">
        <f t="shared" si="2"/>
        <v>Dfb</v>
      </c>
      <c r="AV931" s="38"/>
      <c r="AW931" s="38"/>
      <c r="AX931" s="38"/>
      <c r="AY931" s="38"/>
      <c r="AZ931" s="29">
        <v>20000.0</v>
      </c>
      <c r="BA931" s="29"/>
      <c r="BB931" s="29">
        <v>1.0</v>
      </c>
      <c r="BC931" s="29"/>
      <c r="BD931" s="29" t="s">
        <v>88</v>
      </c>
      <c r="BE931" s="29" t="s">
        <v>263</v>
      </c>
      <c r="BF931" s="29" t="s">
        <v>1760</v>
      </c>
      <c r="BG931" s="29" t="s">
        <v>203</v>
      </c>
      <c r="BH931" s="29"/>
      <c r="BI931" s="29" t="s">
        <v>425</v>
      </c>
      <c r="BJ931" s="29"/>
      <c r="BK931" s="29"/>
      <c r="BL931" s="29" t="s">
        <v>148</v>
      </c>
      <c r="BM931" s="45"/>
      <c r="BN931" s="45">
        <v>1.0</v>
      </c>
      <c r="BO931" s="46" t="s">
        <v>1761</v>
      </c>
      <c r="BP931" s="2"/>
      <c r="BQ931" s="3"/>
    </row>
    <row r="932" ht="15.75" customHeight="1">
      <c r="A932" s="34">
        <v>943.0</v>
      </c>
      <c r="B932" s="34">
        <v>102636.0</v>
      </c>
      <c r="C932" s="34" t="s">
        <v>415</v>
      </c>
      <c r="D932" s="34" t="s">
        <v>1753</v>
      </c>
      <c r="E932" s="34" t="s">
        <v>1754</v>
      </c>
      <c r="F932" s="34">
        <v>2019.0</v>
      </c>
      <c r="G932" s="34" t="s">
        <v>1755</v>
      </c>
      <c r="H932" s="34" t="s">
        <v>282</v>
      </c>
      <c r="I932" s="34" t="s">
        <v>1756</v>
      </c>
      <c r="J932" s="35"/>
      <c r="K932" s="36">
        <v>0.1</v>
      </c>
      <c r="L932" s="36">
        <v>1.73</v>
      </c>
      <c r="M932" s="36"/>
      <c r="N932" s="36"/>
      <c r="O932" s="36"/>
      <c r="P932" s="52">
        <f t="shared" si="89"/>
        <v>5.780346821</v>
      </c>
      <c r="Q932" s="36" t="s">
        <v>96</v>
      </c>
      <c r="R932" s="36" t="s">
        <v>96</v>
      </c>
      <c r="S932" s="36">
        <v>20000.0</v>
      </c>
      <c r="T932" s="36" t="s">
        <v>193</v>
      </c>
      <c r="U932" s="36" t="s">
        <v>194</v>
      </c>
      <c r="V932" s="36">
        <v>327.0</v>
      </c>
      <c r="W932" s="36"/>
      <c r="X932" s="38">
        <v>1.0</v>
      </c>
      <c r="Y932" s="38" t="s">
        <v>1234</v>
      </c>
      <c r="Z932" s="38" t="s">
        <v>1235</v>
      </c>
      <c r="AA932" s="38" t="s">
        <v>370</v>
      </c>
      <c r="AB932" s="38">
        <v>44.38</v>
      </c>
      <c r="AC932" s="38">
        <v>142.32</v>
      </c>
      <c r="AD932" s="38" t="s">
        <v>736</v>
      </c>
      <c r="AE932" s="38">
        <v>585.0</v>
      </c>
      <c r="AF932" s="38"/>
      <c r="AG932" s="38" t="s">
        <v>784</v>
      </c>
      <c r="AH932" s="38"/>
      <c r="AI932" s="50">
        <v>44.38</v>
      </c>
      <c r="AJ932" s="50">
        <v>142.32</v>
      </c>
      <c r="AK932" s="41" t="s">
        <v>370</v>
      </c>
      <c r="AL932" s="40" t="s">
        <v>370</v>
      </c>
      <c r="AM932" s="49">
        <v>597.0</v>
      </c>
      <c r="AN932" s="51">
        <v>597.0</v>
      </c>
      <c r="AO932" s="42" t="s">
        <v>372</v>
      </c>
      <c r="AP932" s="43" t="s">
        <v>107</v>
      </c>
      <c r="AQ932" s="44" t="str">
        <f t="shared" si="84"/>
        <v>DBF</v>
      </c>
      <c r="AR932" s="44">
        <f t="shared" si="80"/>
        <v>597</v>
      </c>
      <c r="AS932" s="44" t="str">
        <f t="shared" si="85"/>
        <v>D</v>
      </c>
      <c r="AT932" s="44" t="str">
        <f t="shared" si="17"/>
        <v>Df</v>
      </c>
      <c r="AU932" s="44" t="str">
        <f t="shared" si="2"/>
        <v>Dfb</v>
      </c>
      <c r="AV932" s="38"/>
      <c r="AW932" s="38"/>
      <c r="AX932" s="38"/>
      <c r="AY932" s="38"/>
      <c r="AZ932" s="29">
        <v>20000.0</v>
      </c>
      <c r="BA932" s="29"/>
      <c r="BB932" s="29">
        <v>1.0</v>
      </c>
      <c r="BC932" s="29"/>
      <c r="BD932" s="29" t="s">
        <v>88</v>
      </c>
      <c r="BE932" s="29" t="s">
        <v>263</v>
      </c>
      <c r="BF932" s="29" t="s">
        <v>1760</v>
      </c>
      <c r="BG932" s="29" t="s">
        <v>203</v>
      </c>
      <c r="BH932" s="29"/>
      <c r="BI932" s="29" t="s">
        <v>425</v>
      </c>
      <c r="BJ932" s="29"/>
      <c r="BK932" s="29"/>
      <c r="BL932" s="29" t="s">
        <v>148</v>
      </c>
      <c r="BM932" s="45"/>
      <c r="BN932" s="45">
        <v>1.0</v>
      </c>
      <c r="BO932" s="46" t="s">
        <v>1761</v>
      </c>
      <c r="BP932" s="2"/>
      <c r="BQ932" s="3"/>
    </row>
    <row r="933" ht="15.75" customHeight="1">
      <c r="A933" s="34">
        <v>944.0</v>
      </c>
      <c r="B933" s="34">
        <v>102636.0</v>
      </c>
      <c r="C933" s="34" t="s">
        <v>415</v>
      </c>
      <c r="D933" s="34" t="s">
        <v>1753</v>
      </c>
      <c r="E933" s="34" t="s">
        <v>1754</v>
      </c>
      <c r="F933" s="34">
        <v>2019.0</v>
      </c>
      <c r="G933" s="34" t="s">
        <v>1755</v>
      </c>
      <c r="H933" s="34" t="s">
        <v>282</v>
      </c>
      <c r="I933" s="34" t="s">
        <v>1756</v>
      </c>
      <c r="J933" s="35"/>
      <c r="K933" s="36">
        <v>0.46</v>
      </c>
      <c r="L933" s="36">
        <v>1.69</v>
      </c>
      <c r="M933" s="36"/>
      <c r="N933" s="36"/>
      <c r="O933" s="36"/>
      <c r="P933" s="52">
        <f t="shared" si="89"/>
        <v>27.21893491</v>
      </c>
      <c r="Q933" s="36" t="s">
        <v>96</v>
      </c>
      <c r="R933" s="36" t="s">
        <v>96</v>
      </c>
      <c r="S933" s="36">
        <v>20000.0</v>
      </c>
      <c r="T933" s="36" t="s">
        <v>193</v>
      </c>
      <c r="U933" s="36" t="s">
        <v>968</v>
      </c>
      <c r="V933" s="36">
        <v>139.0</v>
      </c>
      <c r="W933" s="36"/>
      <c r="X933" s="38">
        <v>1.0</v>
      </c>
      <c r="Y933" s="38" t="s">
        <v>1770</v>
      </c>
      <c r="Z933" s="38" t="s">
        <v>1771</v>
      </c>
      <c r="AA933" s="38" t="s">
        <v>452</v>
      </c>
      <c r="AB933" s="38">
        <v>14.59</v>
      </c>
      <c r="AC933" s="38">
        <v>98.84</v>
      </c>
      <c r="AD933" s="38" t="s">
        <v>1764</v>
      </c>
      <c r="AE933" s="38">
        <v>231.0</v>
      </c>
      <c r="AF933" s="38"/>
      <c r="AG933" s="38" t="s">
        <v>1024</v>
      </c>
      <c r="AH933" s="38"/>
      <c r="AI933" s="50">
        <v>14.59</v>
      </c>
      <c r="AJ933" s="50">
        <v>98.84</v>
      </c>
      <c r="AK933" s="41" t="s">
        <v>336</v>
      </c>
      <c r="AL933" s="40" t="s">
        <v>336</v>
      </c>
      <c r="AM933" s="49">
        <v>262.0</v>
      </c>
      <c r="AN933" s="51">
        <v>262.0</v>
      </c>
      <c r="AO933" s="42" t="s">
        <v>335</v>
      </c>
      <c r="AP933" s="43" t="s">
        <v>335</v>
      </c>
      <c r="AQ933" s="44" t="str">
        <f t="shared" si="84"/>
        <v>MF</v>
      </c>
      <c r="AR933" s="44">
        <f t="shared" si="80"/>
        <v>262</v>
      </c>
      <c r="AS933" s="44" t="str">
        <f t="shared" si="85"/>
        <v>A</v>
      </c>
      <c r="AT933" s="44" t="str">
        <f t="shared" si="17"/>
        <v>Aw</v>
      </c>
      <c r="AU933" s="44" t="str">
        <f t="shared" si="2"/>
        <v>Aw</v>
      </c>
      <c r="AV933" s="38"/>
      <c r="AW933" s="38"/>
      <c r="AX933" s="38"/>
      <c r="AY933" s="38"/>
      <c r="AZ933" s="29">
        <v>20000.0</v>
      </c>
      <c r="BA933" s="29"/>
      <c r="BB933" s="29">
        <v>1.0</v>
      </c>
      <c r="BC933" s="29"/>
      <c r="BD933" s="29" t="s">
        <v>88</v>
      </c>
      <c r="BE933" s="29" t="s">
        <v>263</v>
      </c>
      <c r="BF933" s="29" t="s">
        <v>1760</v>
      </c>
      <c r="BG933" s="29" t="s">
        <v>203</v>
      </c>
      <c r="BH933" s="29"/>
      <c r="BI933" s="29" t="s">
        <v>425</v>
      </c>
      <c r="BJ933" s="29"/>
      <c r="BK933" s="29"/>
      <c r="BL933" s="29" t="s">
        <v>148</v>
      </c>
      <c r="BM933" s="45"/>
      <c r="BN933" s="45">
        <v>1.0</v>
      </c>
      <c r="BO933" s="46" t="s">
        <v>1761</v>
      </c>
      <c r="BP933" s="2"/>
      <c r="BQ933" s="3"/>
    </row>
    <row r="934" ht="15.75" customHeight="1">
      <c r="A934" s="34">
        <v>945.0</v>
      </c>
      <c r="B934" s="34">
        <v>102636.0</v>
      </c>
      <c r="C934" s="34" t="s">
        <v>415</v>
      </c>
      <c r="D934" s="34" t="s">
        <v>1753</v>
      </c>
      <c r="E934" s="34" t="s">
        <v>1754</v>
      </c>
      <c r="F934" s="34">
        <v>2019.0</v>
      </c>
      <c r="G934" s="34" t="s">
        <v>1755</v>
      </c>
      <c r="H934" s="34" t="s">
        <v>282</v>
      </c>
      <c r="I934" s="34" t="s">
        <v>1756</v>
      </c>
      <c r="J934" s="35"/>
      <c r="K934" s="36">
        <v>-0.19</v>
      </c>
      <c r="L934" s="36">
        <v>2.2</v>
      </c>
      <c r="M934" s="36"/>
      <c r="N934" s="36"/>
      <c r="O934" s="36"/>
      <c r="P934" s="52">
        <f t="shared" si="89"/>
        <v>-8.636363636</v>
      </c>
      <c r="Q934" s="36" t="s">
        <v>96</v>
      </c>
      <c r="R934" s="36" t="s">
        <v>96</v>
      </c>
      <c r="S934" s="36">
        <v>20000.0</v>
      </c>
      <c r="T934" s="36" t="s">
        <v>193</v>
      </c>
      <c r="U934" s="36" t="s">
        <v>507</v>
      </c>
      <c r="V934" s="36">
        <v>1354.0</v>
      </c>
      <c r="W934" s="36"/>
      <c r="X934" s="38">
        <v>1.0</v>
      </c>
      <c r="Y934" s="38" t="s">
        <v>1772</v>
      </c>
      <c r="Z934" s="38" t="s">
        <v>1773</v>
      </c>
      <c r="AA934" s="38" t="s">
        <v>452</v>
      </c>
      <c r="AB934" s="38">
        <v>35.26</v>
      </c>
      <c r="AC934" s="38">
        <v>137.08</v>
      </c>
      <c r="AD934" s="38" t="s">
        <v>736</v>
      </c>
      <c r="AE934" s="38">
        <v>205.0</v>
      </c>
      <c r="AF934" s="38"/>
      <c r="AG934" s="38" t="s">
        <v>201</v>
      </c>
      <c r="AH934" s="38"/>
      <c r="AI934" s="50">
        <v>35.26</v>
      </c>
      <c r="AJ934" s="50">
        <v>137.08</v>
      </c>
      <c r="AK934" s="41" t="s">
        <v>452</v>
      </c>
      <c r="AL934" s="40" t="s">
        <v>452</v>
      </c>
      <c r="AM934" s="49">
        <v>186.0</v>
      </c>
      <c r="AN934" s="51">
        <v>186.0</v>
      </c>
      <c r="AO934" s="42" t="s">
        <v>201</v>
      </c>
      <c r="AP934" s="43" t="s">
        <v>201</v>
      </c>
      <c r="AQ934" s="44" t="str">
        <f t="shared" si="84"/>
        <v>MF</v>
      </c>
      <c r="AR934" s="44">
        <f t="shared" si="80"/>
        <v>186</v>
      </c>
      <c r="AS934" s="44" t="str">
        <f t="shared" si="85"/>
        <v>C</v>
      </c>
      <c r="AT934" s="44" t="str">
        <f t="shared" si="17"/>
        <v>Cf</v>
      </c>
      <c r="AU934" s="44" t="str">
        <f t="shared" si="2"/>
        <v>Cfa</v>
      </c>
      <c r="AV934" s="38"/>
      <c r="AW934" s="38"/>
      <c r="AX934" s="38"/>
      <c r="AY934" s="38"/>
      <c r="AZ934" s="29">
        <v>20000.0</v>
      </c>
      <c r="BA934" s="29"/>
      <c r="BB934" s="29">
        <v>1.0</v>
      </c>
      <c r="BC934" s="29"/>
      <c r="BD934" s="29" t="s">
        <v>88</v>
      </c>
      <c r="BE934" s="29" t="s">
        <v>263</v>
      </c>
      <c r="BF934" s="29" t="s">
        <v>1760</v>
      </c>
      <c r="BG934" s="29" t="s">
        <v>203</v>
      </c>
      <c r="BH934" s="29"/>
      <c r="BI934" s="29" t="s">
        <v>425</v>
      </c>
      <c r="BJ934" s="29"/>
      <c r="BK934" s="29"/>
      <c r="BL934" s="29" t="s">
        <v>148</v>
      </c>
      <c r="BM934" s="45"/>
      <c r="BN934" s="45">
        <v>1.0</v>
      </c>
      <c r="BO934" s="46" t="s">
        <v>1761</v>
      </c>
      <c r="BP934" s="2"/>
      <c r="BQ934" s="3"/>
    </row>
    <row r="935" ht="15.75" customHeight="1">
      <c r="A935" s="34">
        <v>946.0</v>
      </c>
      <c r="B935" s="34">
        <v>102636.0</v>
      </c>
      <c r="C935" s="34" t="s">
        <v>415</v>
      </c>
      <c r="D935" s="34" t="s">
        <v>1753</v>
      </c>
      <c r="E935" s="34" t="s">
        <v>1754</v>
      </c>
      <c r="F935" s="34">
        <v>2019.0</v>
      </c>
      <c r="G935" s="34" t="s">
        <v>1755</v>
      </c>
      <c r="H935" s="34" t="s">
        <v>282</v>
      </c>
      <c r="I935" s="34" t="s">
        <v>1756</v>
      </c>
      <c r="J935" s="35"/>
      <c r="K935" s="36">
        <v>0.51</v>
      </c>
      <c r="L935" s="36">
        <v>1.12</v>
      </c>
      <c r="M935" s="36"/>
      <c r="N935" s="36"/>
      <c r="O935" s="36"/>
      <c r="P935" s="52">
        <f t="shared" si="89"/>
        <v>45.53571429</v>
      </c>
      <c r="Q935" s="36" t="s">
        <v>96</v>
      </c>
      <c r="R935" s="36" t="s">
        <v>96</v>
      </c>
      <c r="S935" s="36">
        <v>20000.0</v>
      </c>
      <c r="T935" s="36" t="s">
        <v>341</v>
      </c>
      <c r="U935" s="36" t="s">
        <v>676</v>
      </c>
      <c r="V935" s="36">
        <v>305.0</v>
      </c>
      <c r="W935" s="36"/>
      <c r="X935" s="38">
        <v>1.0</v>
      </c>
      <c r="Y935" s="38" t="s">
        <v>1774</v>
      </c>
      <c r="Z935" s="38" t="s">
        <v>1129</v>
      </c>
      <c r="AA935" s="38" t="s">
        <v>452</v>
      </c>
      <c r="AB935" s="38">
        <v>37.75</v>
      </c>
      <c r="AC935" s="38">
        <v>127.15</v>
      </c>
      <c r="AD935" s="38" t="s">
        <v>1130</v>
      </c>
      <c r="AE935" s="38">
        <v>260.0</v>
      </c>
      <c r="AF935" s="38"/>
      <c r="AG935" s="38"/>
      <c r="AH935" s="38"/>
      <c r="AI935" s="50">
        <v>37.75</v>
      </c>
      <c r="AJ935" s="50">
        <v>127.15</v>
      </c>
      <c r="AK935" s="41" t="s">
        <v>370</v>
      </c>
      <c r="AL935" s="40" t="s">
        <v>370</v>
      </c>
      <c r="AM935" s="49">
        <v>282.0</v>
      </c>
      <c r="AN935" s="51">
        <v>282.0</v>
      </c>
      <c r="AO935" s="42" t="s">
        <v>218</v>
      </c>
      <c r="AP935" s="43" t="s">
        <v>218</v>
      </c>
      <c r="AQ935" s="44" t="str">
        <f t="shared" si="84"/>
        <v>MF</v>
      </c>
      <c r="AR935" s="44">
        <f t="shared" si="80"/>
        <v>282</v>
      </c>
      <c r="AS935" s="44" t="str">
        <f t="shared" si="85"/>
        <v>D</v>
      </c>
      <c r="AT935" s="44" t="str">
        <f t="shared" si="17"/>
        <v>Dw</v>
      </c>
      <c r="AU935" s="44" t="str">
        <f t="shared" si="2"/>
        <v>Dwa</v>
      </c>
      <c r="AV935" s="38"/>
      <c r="AW935" s="38"/>
      <c r="AX935" s="38"/>
      <c r="AY935" s="38"/>
      <c r="AZ935" s="29">
        <v>20000.0</v>
      </c>
      <c r="BA935" s="29"/>
      <c r="BB935" s="29">
        <v>1.0</v>
      </c>
      <c r="BC935" s="29"/>
      <c r="BD935" s="29" t="s">
        <v>88</v>
      </c>
      <c r="BE935" s="29" t="s">
        <v>263</v>
      </c>
      <c r="BF935" s="29" t="s">
        <v>1760</v>
      </c>
      <c r="BG935" s="29" t="s">
        <v>203</v>
      </c>
      <c r="BH935" s="29"/>
      <c r="BI935" s="29" t="s">
        <v>425</v>
      </c>
      <c r="BJ935" s="29"/>
      <c r="BK935" s="29"/>
      <c r="BL935" s="29" t="s">
        <v>148</v>
      </c>
      <c r="BM935" s="45"/>
      <c r="BN935" s="45">
        <v>1.0</v>
      </c>
      <c r="BO935" s="46" t="s">
        <v>1761</v>
      </c>
      <c r="BP935" s="2"/>
      <c r="BQ935" s="3"/>
    </row>
    <row r="936" ht="15.75" customHeight="1">
      <c r="A936" s="34">
        <v>947.0</v>
      </c>
      <c r="B936" s="34">
        <v>102636.0</v>
      </c>
      <c r="C936" s="34" t="s">
        <v>415</v>
      </c>
      <c r="D936" s="34" t="s">
        <v>1753</v>
      </c>
      <c r="E936" s="34" t="s">
        <v>1754</v>
      </c>
      <c r="F936" s="34">
        <v>2019.0</v>
      </c>
      <c r="G936" s="34" t="s">
        <v>1755</v>
      </c>
      <c r="H936" s="34" t="s">
        <v>282</v>
      </c>
      <c r="I936" s="34" t="s">
        <v>1756</v>
      </c>
      <c r="J936" s="35"/>
      <c r="K936" s="36">
        <v>0.43</v>
      </c>
      <c r="L936" s="36">
        <v>1.25</v>
      </c>
      <c r="M936" s="36"/>
      <c r="N936" s="36"/>
      <c r="O936" s="36"/>
      <c r="P936" s="52">
        <f t="shared" si="89"/>
        <v>34.4</v>
      </c>
      <c r="Q936" s="36" t="s">
        <v>96</v>
      </c>
      <c r="R936" s="36" t="s">
        <v>96</v>
      </c>
      <c r="S936" s="36">
        <v>20000.0</v>
      </c>
      <c r="T936" s="36" t="s">
        <v>506</v>
      </c>
      <c r="U936" s="36" t="s">
        <v>676</v>
      </c>
      <c r="V936" s="36">
        <v>141.0</v>
      </c>
      <c r="W936" s="36"/>
      <c r="X936" s="38">
        <v>1.0</v>
      </c>
      <c r="Y936" s="38" t="s">
        <v>1775</v>
      </c>
      <c r="Z936" s="38" t="s">
        <v>1776</v>
      </c>
      <c r="AA936" s="38" t="s">
        <v>452</v>
      </c>
      <c r="AB936" s="38">
        <v>37.94</v>
      </c>
      <c r="AC936" s="38">
        <v>126.96</v>
      </c>
      <c r="AD936" s="38" t="s">
        <v>1130</v>
      </c>
      <c r="AE936" s="38">
        <v>293.0</v>
      </c>
      <c r="AF936" s="38"/>
      <c r="AG936" s="38" t="s">
        <v>218</v>
      </c>
      <c r="AH936" s="38"/>
      <c r="AI936" s="50">
        <v>37.94</v>
      </c>
      <c r="AJ936" s="50">
        <v>126.96</v>
      </c>
      <c r="AK936" s="41" t="s">
        <v>370</v>
      </c>
      <c r="AL936" s="40" t="s">
        <v>370</v>
      </c>
      <c r="AM936" s="49">
        <v>408.0</v>
      </c>
      <c r="AN936" s="51">
        <v>408.0</v>
      </c>
      <c r="AO936" s="42" t="s">
        <v>218</v>
      </c>
      <c r="AP936" s="43" t="s">
        <v>218</v>
      </c>
      <c r="AQ936" s="44" t="str">
        <f t="shared" si="84"/>
        <v>MF</v>
      </c>
      <c r="AR936" s="44">
        <f t="shared" si="80"/>
        <v>408</v>
      </c>
      <c r="AS936" s="44" t="str">
        <f t="shared" si="85"/>
        <v>D</v>
      </c>
      <c r="AT936" s="44" t="str">
        <f t="shared" si="17"/>
        <v>Dw</v>
      </c>
      <c r="AU936" s="44" t="str">
        <f t="shared" si="2"/>
        <v>Dwa</v>
      </c>
      <c r="AV936" s="38"/>
      <c r="AW936" s="38"/>
      <c r="AX936" s="38"/>
      <c r="AY936" s="38"/>
      <c r="AZ936" s="29">
        <v>20000.0</v>
      </c>
      <c r="BA936" s="29"/>
      <c r="BB936" s="29">
        <v>1.0</v>
      </c>
      <c r="BC936" s="29"/>
      <c r="BD936" s="29" t="s">
        <v>88</v>
      </c>
      <c r="BE936" s="29" t="s">
        <v>263</v>
      </c>
      <c r="BF936" s="29" t="s">
        <v>1760</v>
      </c>
      <c r="BG936" s="29" t="s">
        <v>203</v>
      </c>
      <c r="BH936" s="29"/>
      <c r="BI936" s="29" t="s">
        <v>425</v>
      </c>
      <c r="BJ936" s="29"/>
      <c r="BK936" s="29"/>
      <c r="BL936" s="29" t="s">
        <v>148</v>
      </c>
      <c r="BM936" s="45"/>
      <c r="BN936" s="45">
        <v>1.0</v>
      </c>
      <c r="BO936" s="46" t="s">
        <v>1761</v>
      </c>
      <c r="BP936" s="2"/>
      <c r="BQ936" s="3"/>
    </row>
    <row r="937" ht="15.75" customHeight="1">
      <c r="A937" s="34">
        <v>948.0</v>
      </c>
      <c r="B937" s="34">
        <v>102636.0</v>
      </c>
      <c r="C937" s="34" t="s">
        <v>415</v>
      </c>
      <c r="D937" s="34" t="s">
        <v>1753</v>
      </c>
      <c r="E937" s="34" t="s">
        <v>1754</v>
      </c>
      <c r="F937" s="34">
        <v>2019.0</v>
      </c>
      <c r="G937" s="34" t="s">
        <v>1755</v>
      </c>
      <c r="H937" s="34" t="s">
        <v>282</v>
      </c>
      <c r="I937" s="34" t="s">
        <v>1756</v>
      </c>
      <c r="J937" s="35"/>
      <c r="K937" s="36">
        <v>0.23</v>
      </c>
      <c r="L937" s="36">
        <v>1.32</v>
      </c>
      <c r="M937" s="36"/>
      <c r="N937" s="36"/>
      <c r="O937" s="36"/>
      <c r="P937" s="52">
        <f t="shared" si="89"/>
        <v>17.42424242</v>
      </c>
      <c r="Q937" s="36" t="s">
        <v>96</v>
      </c>
      <c r="R937" s="36" t="s">
        <v>96</v>
      </c>
      <c r="S937" s="36">
        <v>20000.0</v>
      </c>
      <c r="T937" s="36" t="s">
        <v>193</v>
      </c>
      <c r="U937" s="36" t="s">
        <v>194</v>
      </c>
      <c r="V937" s="36">
        <v>477.0</v>
      </c>
      <c r="W937" s="36"/>
      <c r="X937" s="38">
        <v>1.0</v>
      </c>
      <c r="Y937" s="38" t="s">
        <v>581</v>
      </c>
      <c r="Z937" s="68" t="s">
        <v>860</v>
      </c>
      <c r="AA937" s="38" t="s">
        <v>452</v>
      </c>
      <c r="AB937" s="38">
        <v>41.4</v>
      </c>
      <c r="AC937" s="38">
        <v>128.1</v>
      </c>
      <c r="AD937" s="38" t="s">
        <v>198</v>
      </c>
      <c r="AE937" s="38">
        <v>731.0</v>
      </c>
      <c r="AF937" s="38"/>
      <c r="AG937" s="38"/>
      <c r="AH937" s="38"/>
      <c r="AI937" s="50">
        <v>41.4</v>
      </c>
      <c r="AJ937" s="50">
        <v>128.1</v>
      </c>
      <c r="AK937" s="41" t="s">
        <v>370</v>
      </c>
      <c r="AL937" s="40" t="s">
        <v>370</v>
      </c>
      <c r="AM937" s="49">
        <v>687.0</v>
      </c>
      <c r="AN937" s="51">
        <v>687.0</v>
      </c>
      <c r="AO937" s="42" t="s">
        <v>584</v>
      </c>
      <c r="AP937" s="43" t="s">
        <v>584</v>
      </c>
      <c r="AQ937" s="44" t="str">
        <f t="shared" si="84"/>
        <v>MF</v>
      </c>
      <c r="AR937" s="44">
        <f t="shared" si="80"/>
        <v>687</v>
      </c>
      <c r="AS937" s="44" t="str">
        <f t="shared" si="85"/>
        <v>D</v>
      </c>
      <c r="AT937" s="44" t="str">
        <f t="shared" si="17"/>
        <v>Dw</v>
      </c>
      <c r="AU937" s="44" t="str">
        <f t="shared" si="2"/>
        <v>Dwb</v>
      </c>
      <c r="AV937" s="38"/>
      <c r="AW937" s="38"/>
      <c r="AX937" s="38"/>
      <c r="AY937" s="38"/>
      <c r="AZ937" s="29">
        <v>20000.0</v>
      </c>
      <c r="BA937" s="29"/>
      <c r="BB937" s="29">
        <v>1.0</v>
      </c>
      <c r="BC937" s="29"/>
      <c r="BD937" s="29" t="s">
        <v>88</v>
      </c>
      <c r="BE937" s="29" t="s">
        <v>263</v>
      </c>
      <c r="BF937" s="29" t="s">
        <v>1760</v>
      </c>
      <c r="BG937" s="29" t="s">
        <v>203</v>
      </c>
      <c r="BH937" s="29"/>
      <c r="BI937" s="29" t="s">
        <v>425</v>
      </c>
      <c r="BJ937" s="29"/>
      <c r="BK937" s="29"/>
      <c r="BL937" s="29" t="s">
        <v>148</v>
      </c>
      <c r="BM937" s="45"/>
      <c r="BN937" s="45">
        <v>1.0</v>
      </c>
      <c r="BO937" s="46" t="s">
        <v>1761</v>
      </c>
      <c r="BP937" s="2"/>
      <c r="BQ937" s="3"/>
    </row>
    <row r="938" ht="15.75" customHeight="1">
      <c r="A938" s="34">
        <v>949.0</v>
      </c>
      <c r="B938" s="34">
        <v>102636.0</v>
      </c>
      <c r="C938" s="34" t="s">
        <v>415</v>
      </c>
      <c r="D938" s="34" t="s">
        <v>1753</v>
      </c>
      <c r="E938" s="34" t="s">
        <v>1754</v>
      </c>
      <c r="F938" s="34">
        <v>2019.0</v>
      </c>
      <c r="G938" s="34" t="s">
        <v>1755</v>
      </c>
      <c r="H938" s="34" t="s">
        <v>282</v>
      </c>
      <c r="I938" s="34" t="s">
        <v>1756</v>
      </c>
      <c r="J938" s="35"/>
      <c r="K938" s="36">
        <v>-0.23</v>
      </c>
      <c r="L938" s="36">
        <v>1.78</v>
      </c>
      <c r="M938" s="36"/>
      <c r="N938" s="36"/>
      <c r="O938" s="36"/>
      <c r="P938" s="52">
        <f t="shared" si="89"/>
        <v>-12.92134831</v>
      </c>
      <c r="Q938" s="36" t="s">
        <v>96</v>
      </c>
      <c r="R938" s="36" t="s">
        <v>96</v>
      </c>
      <c r="S938" s="36">
        <v>20000.0</v>
      </c>
      <c r="T938" s="36" t="s">
        <v>193</v>
      </c>
      <c r="U938" s="36" t="s">
        <v>194</v>
      </c>
      <c r="V938" s="36">
        <v>379.0</v>
      </c>
      <c r="W938" s="36"/>
      <c r="X938" s="38">
        <v>1.0</v>
      </c>
      <c r="Y938" s="38" t="s">
        <v>1777</v>
      </c>
      <c r="Z938" s="38" t="s">
        <v>1778</v>
      </c>
      <c r="AA938" s="38" t="s">
        <v>452</v>
      </c>
      <c r="AB938" s="38">
        <v>44.32</v>
      </c>
      <c r="AC938" s="38">
        <v>142.26</v>
      </c>
      <c r="AD938" s="38" t="s">
        <v>736</v>
      </c>
      <c r="AE938" s="38">
        <v>340.0</v>
      </c>
      <c r="AF938" s="38"/>
      <c r="AG938" s="38" t="s">
        <v>784</v>
      </c>
      <c r="AH938" s="38"/>
      <c r="AI938" s="50">
        <v>44.32</v>
      </c>
      <c r="AJ938" s="50">
        <v>142.26</v>
      </c>
      <c r="AK938" s="41" t="s">
        <v>370</v>
      </c>
      <c r="AL938" s="40" t="s">
        <v>370</v>
      </c>
      <c r="AM938" s="49">
        <v>344.0</v>
      </c>
      <c r="AN938" s="51">
        <v>344.0</v>
      </c>
      <c r="AO938" s="42" t="s">
        <v>372</v>
      </c>
      <c r="AP938" s="43" t="s">
        <v>107</v>
      </c>
      <c r="AQ938" s="44" t="str">
        <f t="shared" si="84"/>
        <v>MF</v>
      </c>
      <c r="AR938" s="44">
        <f t="shared" si="80"/>
        <v>344</v>
      </c>
      <c r="AS938" s="44" t="str">
        <f t="shared" si="85"/>
        <v>D</v>
      </c>
      <c r="AT938" s="44" t="str">
        <f t="shared" si="17"/>
        <v>Df</v>
      </c>
      <c r="AU938" s="44" t="str">
        <f t="shared" si="2"/>
        <v>Dfb</v>
      </c>
      <c r="AV938" s="38"/>
      <c r="AW938" s="38"/>
      <c r="AX938" s="38"/>
      <c r="AY938" s="38"/>
      <c r="AZ938" s="29">
        <v>20000.0</v>
      </c>
      <c r="BA938" s="29"/>
      <c r="BB938" s="29">
        <v>1.0</v>
      </c>
      <c r="BC938" s="29"/>
      <c r="BD938" s="29" t="s">
        <v>88</v>
      </c>
      <c r="BE938" s="29" t="s">
        <v>263</v>
      </c>
      <c r="BF938" s="29" t="s">
        <v>1760</v>
      </c>
      <c r="BG938" s="29" t="s">
        <v>203</v>
      </c>
      <c r="BH938" s="29"/>
      <c r="BI938" s="29" t="s">
        <v>425</v>
      </c>
      <c r="BJ938" s="29"/>
      <c r="BK938" s="29"/>
      <c r="BL938" s="29" t="s">
        <v>148</v>
      </c>
      <c r="BM938" s="45"/>
      <c r="BN938" s="45">
        <v>1.0</v>
      </c>
      <c r="BO938" s="46" t="s">
        <v>1761</v>
      </c>
      <c r="BP938" s="2"/>
      <c r="BQ938" s="3"/>
    </row>
    <row r="939" ht="15.75" customHeight="1">
      <c r="A939" s="34">
        <v>950.0</v>
      </c>
      <c r="B939" s="34">
        <v>102636.0</v>
      </c>
      <c r="C939" s="34" t="s">
        <v>415</v>
      </c>
      <c r="D939" s="34" t="s">
        <v>1753</v>
      </c>
      <c r="E939" s="34" t="s">
        <v>1754</v>
      </c>
      <c r="F939" s="34">
        <v>2019.0</v>
      </c>
      <c r="G939" s="34" t="s">
        <v>1755</v>
      </c>
      <c r="H939" s="34" t="s">
        <v>282</v>
      </c>
      <c r="I939" s="34" t="s">
        <v>1756</v>
      </c>
      <c r="J939" s="35"/>
      <c r="K939" s="36">
        <v>0.12</v>
      </c>
      <c r="L939" s="36">
        <v>3.01</v>
      </c>
      <c r="M939" s="36"/>
      <c r="N939" s="36"/>
      <c r="O939" s="36"/>
      <c r="P939" s="52">
        <f t="shared" si="89"/>
        <v>3.986710963</v>
      </c>
      <c r="Q939" s="36" t="s">
        <v>96</v>
      </c>
      <c r="R939" s="36" t="s">
        <v>96</v>
      </c>
      <c r="S939" s="36">
        <v>20000.0</v>
      </c>
      <c r="T939" s="36" t="s">
        <v>536</v>
      </c>
      <c r="U939" s="36" t="s">
        <v>507</v>
      </c>
      <c r="V939" s="36">
        <v>139.0</v>
      </c>
      <c r="W939" s="36"/>
      <c r="X939" s="38">
        <v>1.0</v>
      </c>
      <c r="Y939" s="38" t="s">
        <v>1779</v>
      </c>
      <c r="Z939" s="38" t="s">
        <v>1780</v>
      </c>
      <c r="AA939" s="38" t="s">
        <v>86</v>
      </c>
      <c r="AB939" s="38">
        <v>14.14</v>
      </c>
      <c r="AC939" s="38">
        <v>121.27</v>
      </c>
      <c r="AD939" s="38" t="s">
        <v>1781</v>
      </c>
      <c r="AE939" s="38">
        <v>21.0</v>
      </c>
      <c r="AF939" s="38"/>
      <c r="AG939" s="38"/>
      <c r="AH939" s="38"/>
      <c r="AI939" s="50">
        <v>14.14</v>
      </c>
      <c r="AJ939" s="50">
        <v>121.27</v>
      </c>
      <c r="AK939" s="41" t="s">
        <v>362</v>
      </c>
      <c r="AL939" s="40" t="s">
        <v>362</v>
      </c>
      <c r="AM939" s="49">
        <v>36.0</v>
      </c>
      <c r="AN939" s="51">
        <v>36.0</v>
      </c>
      <c r="AO939" s="42" t="s">
        <v>1024</v>
      </c>
      <c r="AP939" s="43" t="s">
        <v>1024</v>
      </c>
      <c r="AQ939" s="44" t="str">
        <f t="shared" si="84"/>
        <v>CRO</v>
      </c>
      <c r="AR939" s="44">
        <f t="shared" si="80"/>
        <v>36</v>
      </c>
      <c r="AS939" s="44" t="str">
        <f t="shared" si="85"/>
        <v>A</v>
      </c>
      <c r="AT939" s="44" t="str">
        <f t="shared" si="17"/>
        <v>Am</v>
      </c>
      <c r="AU939" s="44" t="str">
        <f t="shared" si="2"/>
        <v>Am</v>
      </c>
      <c r="AV939" s="38"/>
      <c r="AW939" s="38"/>
      <c r="AX939" s="38"/>
      <c r="AY939" s="38"/>
      <c r="AZ939" s="29">
        <v>20000.0</v>
      </c>
      <c r="BA939" s="29"/>
      <c r="BB939" s="29">
        <v>1.0</v>
      </c>
      <c r="BC939" s="29"/>
      <c r="BD939" s="29" t="s">
        <v>88</v>
      </c>
      <c r="BE939" s="29" t="s">
        <v>263</v>
      </c>
      <c r="BF939" s="29" t="s">
        <v>1760</v>
      </c>
      <c r="BG939" s="29" t="s">
        <v>203</v>
      </c>
      <c r="BH939" s="29"/>
      <c r="BI939" s="29" t="s">
        <v>425</v>
      </c>
      <c r="BJ939" s="29"/>
      <c r="BK939" s="29"/>
      <c r="BL939" s="29" t="s">
        <v>148</v>
      </c>
      <c r="BM939" s="45"/>
      <c r="BN939" s="45">
        <v>1.0</v>
      </c>
      <c r="BO939" s="46" t="s">
        <v>1761</v>
      </c>
      <c r="BP939" s="97"/>
      <c r="BQ939" s="98"/>
    </row>
    <row r="940" ht="15.75" customHeight="1">
      <c r="A940" s="34">
        <v>951.0</v>
      </c>
      <c r="B940" s="34">
        <v>102636.0</v>
      </c>
      <c r="C940" s="34" t="s">
        <v>415</v>
      </c>
      <c r="D940" s="34" t="s">
        <v>1753</v>
      </c>
      <c r="E940" s="34" t="s">
        <v>1754</v>
      </c>
      <c r="F940" s="34">
        <v>2019.0</v>
      </c>
      <c r="G940" s="34" t="s">
        <v>1755</v>
      </c>
      <c r="H940" s="34" t="s">
        <v>282</v>
      </c>
      <c r="I940" s="34" t="s">
        <v>1756</v>
      </c>
      <c r="J940" s="35"/>
      <c r="K940" s="36">
        <v>0.14</v>
      </c>
      <c r="L940" s="36">
        <v>2.33</v>
      </c>
      <c r="M940" s="36"/>
      <c r="N940" s="36"/>
      <c r="O940" s="36"/>
      <c r="P940" s="52">
        <f t="shared" si="89"/>
        <v>6.008583691</v>
      </c>
      <c r="Q940" s="36" t="s">
        <v>96</v>
      </c>
      <c r="R940" s="36" t="s">
        <v>96</v>
      </c>
      <c r="S940" s="36">
        <v>20000.0</v>
      </c>
      <c r="T940" s="36" t="s">
        <v>193</v>
      </c>
      <c r="U940" s="36" t="s">
        <v>285</v>
      </c>
      <c r="V940" s="36">
        <v>496.0</v>
      </c>
      <c r="W940" s="36"/>
      <c r="X940" s="38">
        <v>1.0</v>
      </c>
      <c r="Y940" s="38" t="s">
        <v>1193</v>
      </c>
      <c r="Z940" s="38" t="s">
        <v>1194</v>
      </c>
      <c r="AA940" s="38" t="s">
        <v>86</v>
      </c>
      <c r="AB940" s="38">
        <v>36.05</v>
      </c>
      <c r="AC940" s="38">
        <v>140.03</v>
      </c>
      <c r="AD940" s="38" t="s">
        <v>736</v>
      </c>
      <c r="AE940" s="38">
        <v>13.0</v>
      </c>
      <c r="AF940" s="38" t="s">
        <v>1197</v>
      </c>
      <c r="AG940" s="38" t="s">
        <v>201</v>
      </c>
      <c r="AH940" s="38"/>
      <c r="AI940" s="50">
        <v>36.07</v>
      </c>
      <c r="AJ940" s="50">
        <v>140.02</v>
      </c>
      <c r="AK940" s="41" t="s">
        <v>362</v>
      </c>
      <c r="AL940" s="40" t="s">
        <v>362</v>
      </c>
      <c r="AM940" s="49">
        <v>16.0</v>
      </c>
      <c r="AN940" s="51">
        <v>16.0</v>
      </c>
      <c r="AO940" s="42" t="s">
        <v>201</v>
      </c>
      <c r="AP940" s="43" t="s">
        <v>201</v>
      </c>
      <c r="AQ940" s="44" t="str">
        <f t="shared" si="84"/>
        <v>CRO</v>
      </c>
      <c r="AR940" s="44">
        <f t="shared" si="80"/>
        <v>16</v>
      </c>
      <c r="AS940" s="44" t="str">
        <f t="shared" si="85"/>
        <v>C</v>
      </c>
      <c r="AT940" s="44" t="str">
        <f t="shared" si="17"/>
        <v>Cf</v>
      </c>
      <c r="AU940" s="44" t="str">
        <f t="shared" si="2"/>
        <v>Cfa</v>
      </c>
      <c r="AV940" s="38"/>
      <c r="AW940" s="38"/>
      <c r="AX940" s="38"/>
      <c r="AY940" s="38"/>
      <c r="AZ940" s="29">
        <v>20000.0</v>
      </c>
      <c r="BA940" s="29"/>
      <c r="BB940" s="29">
        <v>1.0</v>
      </c>
      <c r="BC940" s="29"/>
      <c r="BD940" s="29" t="s">
        <v>88</v>
      </c>
      <c r="BE940" s="29" t="s">
        <v>263</v>
      </c>
      <c r="BF940" s="29" t="s">
        <v>1760</v>
      </c>
      <c r="BG940" s="29" t="s">
        <v>203</v>
      </c>
      <c r="BH940" s="29"/>
      <c r="BI940" s="29" t="s">
        <v>425</v>
      </c>
      <c r="BJ940" s="29"/>
      <c r="BK940" s="29"/>
      <c r="BL940" s="29" t="s">
        <v>148</v>
      </c>
      <c r="BM940" s="45"/>
      <c r="BN940" s="45">
        <v>1.0</v>
      </c>
      <c r="BO940" s="46" t="s">
        <v>1761</v>
      </c>
      <c r="BP940" s="2"/>
      <c r="BQ940" s="3"/>
    </row>
    <row r="941" ht="15.75" customHeight="1">
      <c r="A941" s="34">
        <v>952.0</v>
      </c>
      <c r="B941" s="34">
        <v>102636.0</v>
      </c>
      <c r="C941" s="34" t="s">
        <v>415</v>
      </c>
      <c r="D941" s="34" t="s">
        <v>1753</v>
      </c>
      <c r="E941" s="34" t="s">
        <v>1754</v>
      </c>
      <c r="F941" s="34">
        <v>2019.0</v>
      </c>
      <c r="G941" s="34" t="s">
        <v>1755</v>
      </c>
      <c r="H941" s="34" t="s">
        <v>282</v>
      </c>
      <c r="I941" s="34" t="s">
        <v>1756</v>
      </c>
      <c r="J941" s="35"/>
      <c r="K941" s="36">
        <v>0.16</v>
      </c>
      <c r="L941" s="36">
        <v>1.58</v>
      </c>
      <c r="M941" s="36"/>
      <c r="N941" s="36"/>
      <c r="O941" s="36"/>
      <c r="P941" s="52">
        <f t="shared" si="89"/>
        <v>10.12658228</v>
      </c>
      <c r="Q941" s="36" t="s">
        <v>96</v>
      </c>
      <c r="R941" s="36" t="s">
        <v>96</v>
      </c>
      <c r="S941" s="36">
        <v>20000.0</v>
      </c>
      <c r="T941" s="36" t="s">
        <v>193</v>
      </c>
      <c r="U941" s="36" t="s">
        <v>968</v>
      </c>
      <c r="V941" s="36">
        <v>294.0</v>
      </c>
      <c r="W941" s="36"/>
      <c r="X941" s="38">
        <v>1.0</v>
      </c>
      <c r="Y941" s="38" t="s">
        <v>1783</v>
      </c>
      <c r="Z941" s="38" t="s">
        <v>1784</v>
      </c>
      <c r="AA941" s="38" t="s">
        <v>86</v>
      </c>
      <c r="AB941" s="38">
        <v>36.83</v>
      </c>
      <c r="AC941" s="38">
        <v>116.57</v>
      </c>
      <c r="AD941" s="38" t="s">
        <v>198</v>
      </c>
      <c r="AE941" s="38">
        <v>28.0</v>
      </c>
      <c r="AF941" s="38" t="s">
        <v>607</v>
      </c>
      <c r="AG941" s="38" t="s">
        <v>218</v>
      </c>
      <c r="AH941" s="38"/>
      <c r="AI941" s="50">
        <v>36.83</v>
      </c>
      <c r="AJ941" s="50">
        <v>116.57</v>
      </c>
      <c r="AK941" s="41" t="s">
        <v>86</v>
      </c>
      <c r="AL941" s="40" t="s">
        <v>86</v>
      </c>
      <c r="AM941" s="49">
        <v>22.0</v>
      </c>
      <c r="AN941" s="51">
        <v>22.0</v>
      </c>
      <c r="AO941" s="42" t="s">
        <v>218</v>
      </c>
      <c r="AP941" s="43" t="s">
        <v>218</v>
      </c>
      <c r="AQ941" s="44" t="str">
        <f t="shared" si="84"/>
        <v>CRO</v>
      </c>
      <c r="AR941" s="44">
        <f t="shared" si="80"/>
        <v>22</v>
      </c>
      <c r="AS941" s="44" t="str">
        <f t="shared" si="85"/>
        <v>D</v>
      </c>
      <c r="AT941" s="44" t="str">
        <f t="shared" si="17"/>
        <v>Dw</v>
      </c>
      <c r="AU941" s="44" t="str">
        <f t="shared" si="2"/>
        <v>Dwa</v>
      </c>
      <c r="AV941" s="38"/>
      <c r="AW941" s="38"/>
      <c r="AX941" s="38"/>
      <c r="AY941" s="38"/>
      <c r="AZ941" s="29">
        <v>20000.0</v>
      </c>
      <c r="BA941" s="29"/>
      <c r="BB941" s="29">
        <v>1.0</v>
      </c>
      <c r="BC941" s="29"/>
      <c r="BD941" s="29" t="s">
        <v>88</v>
      </c>
      <c r="BE941" s="29" t="s">
        <v>263</v>
      </c>
      <c r="BF941" s="29" t="s">
        <v>1760</v>
      </c>
      <c r="BG941" s="29" t="s">
        <v>203</v>
      </c>
      <c r="BH941" s="29"/>
      <c r="BI941" s="29" t="s">
        <v>425</v>
      </c>
      <c r="BJ941" s="29"/>
      <c r="BK941" s="29"/>
      <c r="BL941" s="29" t="s">
        <v>148</v>
      </c>
      <c r="BM941" s="45"/>
      <c r="BN941" s="45">
        <v>1.0</v>
      </c>
      <c r="BO941" s="46" t="s">
        <v>1761</v>
      </c>
      <c r="BP941" s="2" t="s">
        <v>1787</v>
      </c>
      <c r="BQ941" s="3"/>
    </row>
    <row r="942" ht="15.75" customHeight="1">
      <c r="A942" s="34">
        <v>953.0</v>
      </c>
      <c r="B942" s="34">
        <v>102636.0</v>
      </c>
      <c r="C942" s="34" t="s">
        <v>415</v>
      </c>
      <c r="D942" s="34" t="s">
        <v>1753</v>
      </c>
      <c r="E942" s="34" t="s">
        <v>1754</v>
      </c>
      <c r="F942" s="34">
        <v>2019.0</v>
      </c>
      <c r="G942" s="34" t="s">
        <v>1755</v>
      </c>
      <c r="H942" s="34" t="s">
        <v>282</v>
      </c>
      <c r="I942" s="34" t="s">
        <v>1756</v>
      </c>
      <c r="J942" s="35"/>
      <c r="K942" s="36">
        <v>0.09</v>
      </c>
      <c r="L942" s="36">
        <v>0.95</v>
      </c>
      <c r="M942" s="36"/>
      <c r="N942" s="36"/>
      <c r="O942" s="36"/>
      <c r="P942" s="52">
        <f t="shared" si="89"/>
        <v>9.473684211</v>
      </c>
      <c r="Q942" s="36" t="s">
        <v>96</v>
      </c>
      <c r="R942" s="36" t="s">
        <v>96</v>
      </c>
      <c r="S942" s="36">
        <v>20000.0</v>
      </c>
      <c r="T942" s="36" t="s">
        <v>193</v>
      </c>
      <c r="U942" s="36" t="s">
        <v>968</v>
      </c>
      <c r="V942" s="36">
        <v>264.0</v>
      </c>
      <c r="W942" s="36"/>
      <c r="X942" s="38">
        <v>1.0</v>
      </c>
      <c r="Y942" s="38" t="s">
        <v>593</v>
      </c>
      <c r="Z942" s="38" t="s">
        <v>594</v>
      </c>
      <c r="AA942" s="38" t="s">
        <v>288</v>
      </c>
      <c r="AB942" s="38">
        <v>37.61</v>
      </c>
      <c r="AC942" s="38">
        <v>101.33</v>
      </c>
      <c r="AD942" s="38" t="s">
        <v>198</v>
      </c>
      <c r="AE942" s="38">
        <v>3250.0</v>
      </c>
      <c r="AF942" s="38" t="s">
        <v>1341</v>
      </c>
      <c r="AG942" s="38" t="s">
        <v>293</v>
      </c>
      <c r="AH942" s="38"/>
      <c r="AI942" s="50">
        <v>37.61</v>
      </c>
      <c r="AJ942" s="50">
        <v>101.33</v>
      </c>
      <c r="AK942" s="41" t="s">
        <v>288</v>
      </c>
      <c r="AL942" s="40" t="s">
        <v>288</v>
      </c>
      <c r="AM942" s="49">
        <v>3201.0</v>
      </c>
      <c r="AN942" s="51">
        <v>3201.0</v>
      </c>
      <c r="AO942" s="42" t="s">
        <v>597</v>
      </c>
      <c r="AP942" s="43" t="s">
        <v>597</v>
      </c>
      <c r="AQ942" s="44" t="str">
        <f t="shared" si="84"/>
        <v>GRA</v>
      </c>
      <c r="AR942" s="44">
        <f t="shared" si="80"/>
        <v>3201</v>
      </c>
      <c r="AS942" s="44" t="str">
        <f t="shared" si="85"/>
        <v>D</v>
      </c>
      <c r="AT942" s="44" t="str">
        <f t="shared" si="17"/>
        <v>Dw</v>
      </c>
      <c r="AU942" s="44" t="str">
        <f t="shared" si="2"/>
        <v>Dwc</v>
      </c>
      <c r="AV942" s="38"/>
      <c r="AW942" s="38"/>
      <c r="AX942" s="38"/>
      <c r="AY942" s="38"/>
      <c r="AZ942" s="29">
        <v>20000.0</v>
      </c>
      <c r="BA942" s="29"/>
      <c r="BB942" s="29">
        <v>1.0</v>
      </c>
      <c r="BC942" s="29"/>
      <c r="BD942" s="29" t="s">
        <v>88</v>
      </c>
      <c r="BE942" s="29" t="s">
        <v>263</v>
      </c>
      <c r="BF942" s="29" t="s">
        <v>1760</v>
      </c>
      <c r="BG942" s="29" t="s">
        <v>203</v>
      </c>
      <c r="BH942" s="29"/>
      <c r="BI942" s="29" t="s">
        <v>425</v>
      </c>
      <c r="BJ942" s="29"/>
      <c r="BK942" s="29"/>
      <c r="BL942" s="29" t="s">
        <v>148</v>
      </c>
      <c r="BM942" s="45"/>
      <c r="BN942" s="45">
        <v>1.0</v>
      </c>
      <c r="BO942" s="46" t="s">
        <v>1761</v>
      </c>
      <c r="BP942" s="2"/>
      <c r="BQ942" s="3"/>
    </row>
    <row r="943" ht="15.75" customHeight="1">
      <c r="A943" s="34">
        <v>954.0</v>
      </c>
      <c r="B943" s="34">
        <v>102636.0</v>
      </c>
      <c r="C943" s="34" t="s">
        <v>415</v>
      </c>
      <c r="D943" s="34" t="s">
        <v>1753</v>
      </c>
      <c r="E943" s="34" t="s">
        <v>1754</v>
      </c>
      <c r="F943" s="34">
        <v>2019.0</v>
      </c>
      <c r="G943" s="34" t="s">
        <v>1755</v>
      </c>
      <c r="H943" s="34" t="s">
        <v>282</v>
      </c>
      <c r="I943" s="34" t="s">
        <v>1756</v>
      </c>
      <c r="J943" s="35"/>
      <c r="K943" s="36">
        <v>-0.36</v>
      </c>
      <c r="L943" s="36">
        <v>1.37</v>
      </c>
      <c r="M943" s="36"/>
      <c r="N943" s="36"/>
      <c r="O943" s="36"/>
      <c r="P943" s="52">
        <f t="shared" si="89"/>
        <v>-26.27737226</v>
      </c>
      <c r="Q943" s="36" t="s">
        <v>96</v>
      </c>
      <c r="R943" s="36" t="s">
        <v>96</v>
      </c>
      <c r="S943" s="36">
        <v>20000.0</v>
      </c>
      <c r="T943" s="36" t="s">
        <v>193</v>
      </c>
      <c r="U943" s="36" t="s">
        <v>968</v>
      </c>
      <c r="V943" s="36">
        <v>286.0</v>
      </c>
      <c r="W943" s="36"/>
      <c r="X943" s="38">
        <v>1.0</v>
      </c>
      <c r="Y943" s="38" t="s">
        <v>1785</v>
      </c>
      <c r="Z943" s="38" t="s">
        <v>1786</v>
      </c>
      <c r="AA943" s="38" t="s">
        <v>288</v>
      </c>
      <c r="AB943" s="38">
        <v>37.48</v>
      </c>
      <c r="AC943" s="38">
        <v>101.2</v>
      </c>
      <c r="AD943" s="38" t="s">
        <v>198</v>
      </c>
      <c r="AE943" s="38">
        <v>756.0</v>
      </c>
      <c r="AF943" s="38"/>
      <c r="AG943" s="38"/>
      <c r="AH943" s="38"/>
      <c r="AI943" s="50">
        <v>37.48</v>
      </c>
      <c r="AJ943" s="50">
        <v>101.2</v>
      </c>
      <c r="AK943" s="41" t="s">
        <v>288</v>
      </c>
      <c r="AL943" s="40" t="s">
        <v>288</v>
      </c>
      <c r="AM943" s="49">
        <v>3382.0</v>
      </c>
      <c r="AN943" s="51">
        <v>3382.0</v>
      </c>
      <c r="AO943" s="42" t="s">
        <v>597</v>
      </c>
      <c r="AP943" s="43" t="s">
        <v>597</v>
      </c>
      <c r="AQ943" s="44" t="str">
        <f t="shared" si="84"/>
        <v>GRA</v>
      </c>
      <c r="AR943" s="44">
        <f t="shared" si="80"/>
        <v>3382</v>
      </c>
      <c r="AS943" s="44" t="str">
        <f t="shared" si="85"/>
        <v>D</v>
      </c>
      <c r="AT943" s="44" t="str">
        <f t="shared" si="17"/>
        <v>Dw</v>
      </c>
      <c r="AU943" s="44" t="str">
        <f t="shared" si="2"/>
        <v>Dwc</v>
      </c>
      <c r="AV943" s="38"/>
      <c r="AW943" s="38"/>
      <c r="AX943" s="38"/>
      <c r="AY943" s="38"/>
      <c r="AZ943" s="29">
        <v>20000.0</v>
      </c>
      <c r="BA943" s="29"/>
      <c r="BB943" s="29">
        <v>1.0</v>
      </c>
      <c r="BC943" s="29"/>
      <c r="BD943" s="29" t="s">
        <v>88</v>
      </c>
      <c r="BE943" s="29" t="s">
        <v>263</v>
      </c>
      <c r="BF943" s="29" t="s">
        <v>1760</v>
      </c>
      <c r="BG943" s="29" t="s">
        <v>203</v>
      </c>
      <c r="BH943" s="29"/>
      <c r="BI943" s="29" t="s">
        <v>425</v>
      </c>
      <c r="BJ943" s="29"/>
      <c r="BK943" s="29"/>
      <c r="BL943" s="29" t="s">
        <v>148</v>
      </c>
      <c r="BM943" s="45"/>
      <c r="BN943" s="45">
        <v>1.0</v>
      </c>
      <c r="BO943" s="46" t="s">
        <v>1761</v>
      </c>
      <c r="BP943" s="2"/>
      <c r="BQ943" s="3"/>
    </row>
    <row r="944" ht="15.75" customHeight="1">
      <c r="A944" s="34">
        <v>955.0</v>
      </c>
      <c r="B944" s="34">
        <v>102636.0</v>
      </c>
      <c r="C944" s="34" t="s">
        <v>415</v>
      </c>
      <c r="D944" s="34" t="s">
        <v>1753</v>
      </c>
      <c r="E944" s="34" t="s">
        <v>1754</v>
      </c>
      <c r="F944" s="34">
        <v>2019.0</v>
      </c>
      <c r="G944" s="34" t="s">
        <v>1755</v>
      </c>
      <c r="H944" s="34" t="s">
        <v>282</v>
      </c>
      <c r="I944" s="34" t="s">
        <v>1756</v>
      </c>
      <c r="J944" s="35"/>
      <c r="K944" s="36">
        <v>0.75</v>
      </c>
      <c r="L944" s="36">
        <v>0.46</v>
      </c>
      <c r="M944" s="36"/>
      <c r="N944" s="36"/>
      <c r="O944" s="36"/>
      <c r="P944" s="86">
        <f t="shared" si="89"/>
        <v>163.0434783</v>
      </c>
      <c r="Q944" s="36" t="s">
        <v>96</v>
      </c>
      <c r="R944" s="36" t="s">
        <v>96</v>
      </c>
      <c r="S944" s="36">
        <v>20000.0</v>
      </c>
      <c r="T944" s="36" t="s">
        <v>193</v>
      </c>
      <c r="U944" s="36" t="s">
        <v>676</v>
      </c>
      <c r="V944" s="36">
        <v>914.0</v>
      </c>
      <c r="W944" s="36"/>
      <c r="X944" s="38">
        <v>1.0</v>
      </c>
      <c r="Y944" s="38" t="s">
        <v>1278</v>
      </c>
      <c r="Z944" s="38" t="s">
        <v>1279</v>
      </c>
      <c r="AA944" s="38" t="s">
        <v>288</v>
      </c>
      <c r="AB944" s="38">
        <v>47.21</v>
      </c>
      <c r="AC944" s="38">
        <v>108.74</v>
      </c>
      <c r="AD944" s="38" t="s">
        <v>1250</v>
      </c>
      <c r="AE944" s="38">
        <v>1235.0</v>
      </c>
      <c r="AF944" s="38"/>
      <c r="AG944" s="38" t="s">
        <v>293</v>
      </c>
      <c r="AH944" s="38"/>
      <c r="AI944" s="50">
        <v>47.21</v>
      </c>
      <c r="AJ944" s="50">
        <v>108.74</v>
      </c>
      <c r="AK944" s="41" t="s">
        <v>288</v>
      </c>
      <c r="AL944" s="40" t="s">
        <v>288</v>
      </c>
      <c r="AM944" s="49">
        <v>1250.0</v>
      </c>
      <c r="AN944" s="51">
        <v>1250.0</v>
      </c>
      <c r="AO944" s="42" t="s">
        <v>293</v>
      </c>
      <c r="AP944" s="43" t="s">
        <v>293</v>
      </c>
      <c r="AQ944" s="44" t="str">
        <f t="shared" si="84"/>
        <v>GRA</v>
      </c>
      <c r="AR944" s="44">
        <f t="shared" si="80"/>
        <v>1250</v>
      </c>
      <c r="AS944" s="44" t="str">
        <f t="shared" si="85"/>
        <v>B</v>
      </c>
      <c r="AT944" s="44" t="str">
        <f t="shared" si="17"/>
        <v>BS</v>
      </c>
      <c r="AU944" s="44" t="str">
        <f t="shared" si="2"/>
        <v>BSk</v>
      </c>
      <c r="AV944" s="38"/>
      <c r="AW944" s="38"/>
      <c r="AX944" s="38"/>
      <c r="AY944" s="38"/>
      <c r="AZ944" s="29">
        <v>20000.0</v>
      </c>
      <c r="BA944" s="29"/>
      <c r="BB944" s="29">
        <v>1.0</v>
      </c>
      <c r="BC944" s="29"/>
      <c r="BD944" s="29" t="s">
        <v>88</v>
      </c>
      <c r="BE944" s="29" t="s">
        <v>263</v>
      </c>
      <c r="BF944" s="29" t="s">
        <v>1760</v>
      </c>
      <c r="BG944" s="29" t="s">
        <v>203</v>
      </c>
      <c r="BH944" s="29"/>
      <c r="BI944" s="29" t="s">
        <v>425</v>
      </c>
      <c r="BJ944" s="29"/>
      <c r="BK944" s="29"/>
      <c r="BL944" s="29" t="s">
        <v>148</v>
      </c>
      <c r="BM944" s="45"/>
      <c r="BN944" s="45">
        <v>1.0</v>
      </c>
      <c r="BO944" s="46" t="s">
        <v>1761</v>
      </c>
      <c r="BP944" s="2"/>
      <c r="BQ944" s="3"/>
    </row>
    <row r="945" ht="15.75" customHeight="1">
      <c r="A945" s="34">
        <v>956.0</v>
      </c>
      <c r="B945" s="34">
        <v>102636.0</v>
      </c>
      <c r="C945" s="34" t="s">
        <v>415</v>
      </c>
      <c r="D945" s="34" t="s">
        <v>1753</v>
      </c>
      <c r="E945" s="34" t="s">
        <v>1754</v>
      </c>
      <c r="F945" s="34">
        <v>2019.0</v>
      </c>
      <c r="G945" s="34" t="s">
        <v>1755</v>
      </c>
      <c r="H945" s="34" t="s">
        <v>282</v>
      </c>
      <c r="I945" s="34" t="s">
        <v>1756</v>
      </c>
      <c r="J945" s="35"/>
      <c r="K945" s="36">
        <v>0.52</v>
      </c>
      <c r="L945" s="36">
        <v>1.9</v>
      </c>
      <c r="M945" s="36"/>
      <c r="N945" s="36"/>
      <c r="O945" s="36"/>
      <c r="P945" s="52">
        <f t="shared" si="89"/>
        <v>27.36842105</v>
      </c>
      <c r="Q945" s="36" t="s">
        <v>96</v>
      </c>
      <c r="R945" s="36" t="s">
        <v>96</v>
      </c>
      <c r="S945" s="36" t="s">
        <v>192</v>
      </c>
      <c r="T945" s="36" t="s">
        <v>350</v>
      </c>
      <c r="U945" s="36" t="s">
        <v>351</v>
      </c>
      <c r="V945" s="36">
        <v>264.0</v>
      </c>
      <c r="W945" s="36"/>
      <c r="X945" s="38">
        <v>1.0</v>
      </c>
      <c r="Y945" s="38" t="s">
        <v>1757</v>
      </c>
      <c r="Z945" s="38" t="s">
        <v>1758</v>
      </c>
      <c r="AA945" s="38" t="s">
        <v>197</v>
      </c>
      <c r="AB945" s="38">
        <v>24.58</v>
      </c>
      <c r="AC945" s="38">
        <v>121.4</v>
      </c>
      <c r="AD945" s="38" t="s">
        <v>1759</v>
      </c>
      <c r="AE945" s="53"/>
      <c r="AF945" s="38"/>
      <c r="AG945" s="57"/>
      <c r="AH945" s="38"/>
      <c r="AI945" s="50">
        <v>24.58</v>
      </c>
      <c r="AJ945" s="50">
        <v>121.4</v>
      </c>
      <c r="AK945" s="41" t="s">
        <v>336</v>
      </c>
      <c r="AL945" s="40" t="s">
        <v>336</v>
      </c>
      <c r="AM945" s="49">
        <v>1794.0</v>
      </c>
      <c r="AN945" s="51">
        <v>1794.0</v>
      </c>
      <c r="AO945" s="42" t="s">
        <v>376</v>
      </c>
      <c r="AP945" s="43" t="s">
        <v>201</v>
      </c>
      <c r="AQ945" s="44" t="str">
        <f t="shared" si="84"/>
        <v>ENF</v>
      </c>
      <c r="AR945" s="44">
        <f t="shared" si="80"/>
        <v>1794</v>
      </c>
      <c r="AS945" s="44" t="str">
        <f t="shared" si="85"/>
        <v>C</v>
      </c>
      <c r="AT945" s="44" t="str">
        <f t="shared" si="17"/>
        <v>Cf</v>
      </c>
      <c r="AU945" s="44" t="str">
        <f t="shared" si="2"/>
        <v>Cfa</v>
      </c>
      <c r="AV945" s="38"/>
      <c r="AW945" s="38"/>
      <c r="AX945" s="38"/>
      <c r="AY945" s="38"/>
      <c r="AZ945" s="29" t="s">
        <v>192</v>
      </c>
      <c r="BA945" s="29"/>
      <c r="BB945" s="29">
        <v>2.0</v>
      </c>
      <c r="BC945" s="29"/>
      <c r="BD945" s="29"/>
      <c r="BE945" s="29"/>
      <c r="BF945" s="29" t="s">
        <v>202</v>
      </c>
      <c r="BG945" s="29" t="s">
        <v>203</v>
      </c>
      <c r="BH945" s="29"/>
      <c r="BI945" s="29"/>
      <c r="BJ945" s="29"/>
      <c r="BK945" s="29"/>
      <c r="BL945" s="29"/>
      <c r="BM945" s="45"/>
      <c r="BN945" s="45">
        <v>1.0</v>
      </c>
      <c r="BO945" s="46" t="s">
        <v>1761</v>
      </c>
      <c r="BP945" s="2"/>
      <c r="BQ945" s="3"/>
    </row>
    <row r="946" ht="15.75" customHeight="1">
      <c r="A946" s="34">
        <v>957.0</v>
      </c>
      <c r="B946" s="34">
        <v>102636.0</v>
      </c>
      <c r="C946" s="34" t="s">
        <v>415</v>
      </c>
      <c r="D946" s="34" t="s">
        <v>1753</v>
      </c>
      <c r="E946" s="34" t="s">
        <v>1754</v>
      </c>
      <c r="F946" s="34">
        <v>2019.0</v>
      </c>
      <c r="G946" s="34" t="s">
        <v>1755</v>
      </c>
      <c r="H946" s="34" t="s">
        <v>282</v>
      </c>
      <c r="I946" s="34" t="s">
        <v>1756</v>
      </c>
      <c r="J946" s="35"/>
      <c r="K946" s="36">
        <v>0.32</v>
      </c>
      <c r="L946" s="36">
        <v>2.73</v>
      </c>
      <c r="M946" s="36"/>
      <c r="N946" s="36"/>
      <c r="O946" s="36"/>
      <c r="P946" s="52">
        <f t="shared" si="89"/>
        <v>11.72161172</v>
      </c>
      <c r="Q946" s="36" t="s">
        <v>96</v>
      </c>
      <c r="R946" s="36" t="s">
        <v>96</v>
      </c>
      <c r="S946" s="36" t="s">
        <v>192</v>
      </c>
      <c r="T946" s="36" t="s">
        <v>193</v>
      </c>
      <c r="U946" s="36" t="s">
        <v>363</v>
      </c>
      <c r="V946" s="36">
        <v>88.0</v>
      </c>
      <c r="W946" s="36"/>
      <c r="X946" s="38">
        <v>1.0</v>
      </c>
      <c r="Y946" s="38" t="s">
        <v>1762</v>
      </c>
      <c r="Z946" s="38" t="s">
        <v>1763</v>
      </c>
      <c r="AA946" s="38" t="s">
        <v>336</v>
      </c>
      <c r="AB946" s="38">
        <v>14.49</v>
      </c>
      <c r="AC946" s="38">
        <v>101.92</v>
      </c>
      <c r="AD946" s="38" t="s">
        <v>1764</v>
      </c>
      <c r="AE946" s="38">
        <v>543.0</v>
      </c>
      <c r="AF946" s="38"/>
      <c r="AG946" s="38" t="s">
        <v>335</v>
      </c>
      <c r="AH946" s="38"/>
      <c r="AI946" s="50">
        <v>14.49</v>
      </c>
      <c r="AJ946" s="50">
        <v>101.92</v>
      </c>
      <c r="AK946" s="41" t="s">
        <v>336</v>
      </c>
      <c r="AL946" s="40" t="s">
        <v>336</v>
      </c>
      <c r="AM946" s="49">
        <v>512.0</v>
      </c>
      <c r="AN946" s="51">
        <v>512.0</v>
      </c>
      <c r="AO946" s="42" t="s">
        <v>335</v>
      </c>
      <c r="AP946" s="43" t="s">
        <v>335</v>
      </c>
      <c r="AQ946" s="44" t="str">
        <f t="shared" si="84"/>
        <v>EBF</v>
      </c>
      <c r="AR946" s="44">
        <f t="shared" si="80"/>
        <v>512</v>
      </c>
      <c r="AS946" s="44" t="str">
        <f t="shared" si="85"/>
        <v>A</v>
      </c>
      <c r="AT946" s="44" t="str">
        <f t="shared" si="17"/>
        <v>Aw</v>
      </c>
      <c r="AU946" s="44" t="str">
        <f t="shared" si="2"/>
        <v>Aw</v>
      </c>
      <c r="AV946" s="38"/>
      <c r="AW946" s="38"/>
      <c r="AX946" s="38"/>
      <c r="AY946" s="38"/>
      <c r="AZ946" s="63" t="s">
        <v>192</v>
      </c>
      <c r="BA946" s="29"/>
      <c r="BB946" s="29">
        <v>2.0</v>
      </c>
      <c r="BC946" s="29"/>
      <c r="BD946" s="29"/>
      <c r="BE946" s="29"/>
      <c r="BF946" s="29" t="s">
        <v>202</v>
      </c>
      <c r="BG946" s="29" t="s">
        <v>203</v>
      </c>
      <c r="BH946" s="29"/>
      <c r="BI946" s="29"/>
      <c r="BJ946" s="29"/>
      <c r="BK946" s="29"/>
      <c r="BL946" s="29"/>
      <c r="BM946" s="45"/>
      <c r="BN946" s="45">
        <v>1.0</v>
      </c>
      <c r="BO946" s="46" t="s">
        <v>1761</v>
      </c>
      <c r="BP946" s="2"/>
      <c r="BQ946" s="3"/>
    </row>
    <row r="947" ht="15.75" customHeight="1">
      <c r="A947" s="34">
        <v>958.0</v>
      </c>
      <c r="B947" s="34">
        <v>102636.0</v>
      </c>
      <c r="C947" s="34" t="s">
        <v>415</v>
      </c>
      <c r="D947" s="34" t="s">
        <v>1753</v>
      </c>
      <c r="E947" s="34" t="s">
        <v>1754</v>
      </c>
      <c r="F947" s="34">
        <v>2019.0</v>
      </c>
      <c r="G947" s="34" t="s">
        <v>1755</v>
      </c>
      <c r="H947" s="34" t="s">
        <v>282</v>
      </c>
      <c r="I947" s="34" t="s">
        <v>1756</v>
      </c>
      <c r="J947" s="35"/>
      <c r="K947" s="36">
        <v>0.15</v>
      </c>
      <c r="L947" s="36">
        <v>2.23</v>
      </c>
      <c r="M947" s="36"/>
      <c r="N947" s="36"/>
      <c r="O947" s="36"/>
      <c r="P947" s="52">
        <f t="shared" si="89"/>
        <v>6.726457399</v>
      </c>
      <c r="Q947" s="36" t="s">
        <v>96</v>
      </c>
      <c r="R947" s="36" t="s">
        <v>96</v>
      </c>
      <c r="S947" s="36" t="s">
        <v>192</v>
      </c>
      <c r="T947" s="36" t="s">
        <v>193</v>
      </c>
      <c r="U947" s="36" t="s">
        <v>968</v>
      </c>
      <c r="V947" s="36">
        <v>310.0</v>
      </c>
      <c r="W947" s="36"/>
      <c r="X947" s="38">
        <v>1.0</v>
      </c>
      <c r="Y947" s="38" t="s">
        <v>195</v>
      </c>
      <c r="Z947" s="68" t="s">
        <v>196</v>
      </c>
      <c r="AA947" s="38" t="s">
        <v>336</v>
      </c>
      <c r="AB947" s="38">
        <v>26.73</v>
      </c>
      <c r="AC947" s="38">
        <v>115.07</v>
      </c>
      <c r="AD947" s="38" t="s">
        <v>198</v>
      </c>
      <c r="AE947" s="38">
        <v>100.0</v>
      </c>
      <c r="AF947" s="38"/>
      <c r="AG947" s="38" t="s">
        <v>1024</v>
      </c>
      <c r="AH947" s="38"/>
      <c r="AI947" s="50">
        <v>26.73</v>
      </c>
      <c r="AJ947" s="50">
        <v>115.07</v>
      </c>
      <c r="AK947" s="41" t="s">
        <v>200</v>
      </c>
      <c r="AL947" s="40" t="s">
        <v>200</v>
      </c>
      <c r="AM947" s="49">
        <v>81.0</v>
      </c>
      <c r="AN947" s="51">
        <v>81.0</v>
      </c>
      <c r="AO947" s="42" t="s">
        <v>201</v>
      </c>
      <c r="AP947" s="43" t="s">
        <v>201</v>
      </c>
      <c r="AQ947" s="44" t="str">
        <f t="shared" si="84"/>
        <v>EBF</v>
      </c>
      <c r="AR947" s="44">
        <f t="shared" si="80"/>
        <v>81</v>
      </c>
      <c r="AS947" s="44" t="str">
        <f t="shared" si="85"/>
        <v>C</v>
      </c>
      <c r="AT947" s="44" t="str">
        <f t="shared" si="17"/>
        <v>Cf</v>
      </c>
      <c r="AU947" s="44" t="str">
        <f t="shared" si="2"/>
        <v>Cfa</v>
      </c>
      <c r="AV947" s="38"/>
      <c r="AW947" s="38"/>
      <c r="AX947" s="38"/>
      <c r="AY947" s="38"/>
      <c r="AZ947" s="63" t="s">
        <v>192</v>
      </c>
      <c r="BA947" s="29"/>
      <c r="BB947" s="29">
        <v>2.0</v>
      </c>
      <c r="BC947" s="29"/>
      <c r="BD947" s="29"/>
      <c r="BE947" s="29"/>
      <c r="BF947" s="29" t="s">
        <v>202</v>
      </c>
      <c r="BG947" s="29" t="s">
        <v>203</v>
      </c>
      <c r="BH947" s="29"/>
      <c r="BI947" s="29"/>
      <c r="BJ947" s="29"/>
      <c r="BK947" s="29"/>
      <c r="BL947" s="29"/>
      <c r="BM947" s="45"/>
      <c r="BN947" s="45">
        <v>1.0</v>
      </c>
      <c r="BO947" s="46" t="s">
        <v>1761</v>
      </c>
      <c r="BP947" s="2"/>
      <c r="BQ947" s="3"/>
    </row>
    <row r="948" ht="15.0" customHeight="1">
      <c r="A948" s="34">
        <v>959.0</v>
      </c>
      <c r="B948" s="34">
        <v>102636.0</v>
      </c>
      <c r="C948" s="34" t="s">
        <v>415</v>
      </c>
      <c r="D948" s="34" t="s">
        <v>1753</v>
      </c>
      <c r="E948" s="34" t="s">
        <v>1754</v>
      </c>
      <c r="F948" s="34">
        <v>2019.0</v>
      </c>
      <c r="G948" s="34" t="s">
        <v>1755</v>
      </c>
      <c r="H948" s="34" t="s">
        <v>282</v>
      </c>
      <c r="I948" s="34" t="s">
        <v>1756</v>
      </c>
      <c r="J948" s="35"/>
      <c r="K948" s="36">
        <v>0.9</v>
      </c>
      <c r="L948" s="36">
        <v>1.69</v>
      </c>
      <c r="M948" s="36"/>
      <c r="N948" s="36"/>
      <c r="O948" s="36"/>
      <c r="P948" s="52">
        <f t="shared" si="89"/>
        <v>53.25443787</v>
      </c>
      <c r="Q948" s="36" t="s">
        <v>96</v>
      </c>
      <c r="R948" s="36" t="s">
        <v>96</v>
      </c>
      <c r="S948" s="36" t="s">
        <v>192</v>
      </c>
      <c r="T948" s="36" t="s">
        <v>341</v>
      </c>
      <c r="U948" s="36" t="s">
        <v>676</v>
      </c>
      <c r="V948" s="36">
        <v>493.0</v>
      </c>
      <c r="W948" s="36"/>
      <c r="X948" s="38">
        <v>1.0</v>
      </c>
      <c r="Y948" s="38" t="s">
        <v>1765</v>
      </c>
      <c r="Z948" s="38" t="s">
        <v>1766</v>
      </c>
      <c r="AA948" s="38" t="s">
        <v>636</v>
      </c>
      <c r="AB948" s="38">
        <v>35.44</v>
      </c>
      <c r="AC948" s="38">
        <v>138.76</v>
      </c>
      <c r="AD948" s="38" t="s">
        <v>736</v>
      </c>
      <c r="AE948" s="53"/>
      <c r="AF948" s="38"/>
      <c r="AG948" s="57"/>
      <c r="AH948" s="38"/>
      <c r="AI948" s="50">
        <v>35.44</v>
      </c>
      <c r="AJ948" s="50">
        <v>138.76</v>
      </c>
      <c r="AK948" s="41" t="s">
        <v>452</v>
      </c>
      <c r="AL948" s="40" t="s">
        <v>452</v>
      </c>
      <c r="AM948" s="49">
        <v>1135.0</v>
      </c>
      <c r="AN948" s="51">
        <v>1135.0</v>
      </c>
      <c r="AO948" s="42" t="s">
        <v>372</v>
      </c>
      <c r="AP948" s="43" t="s">
        <v>107</v>
      </c>
      <c r="AQ948" s="44" t="str">
        <f t="shared" si="84"/>
        <v>DNF</v>
      </c>
      <c r="AR948" s="44">
        <f t="shared" si="80"/>
        <v>1135</v>
      </c>
      <c r="AS948" s="44" t="str">
        <f t="shared" si="85"/>
        <v>D</v>
      </c>
      <c r="AT948" s="44" t="str">
        <f t="shared" si="17"/>
        <v>Df</v>
      </c>
      <c r="AU948" s="44" t="str">
        <f t="shared" si="2"/>
        <v>Dfb</v>
      </c>
      <c r="AV948" s="38"/>
      <c r="AW948" s="38"/>
      <c r="AX948" s="38"/>
      <c r="AY948" s="38"/>
      <c r="AZ948" s="63" t="s">
        <v>192</v>
      </c>
      <c r="BA948" s="29"/>
      <c r="BB948" s="29">
        <v>2.0</v>
      </c>
      <c r="BC948" s="29"/>
      <c r="BD948" s="29"/>
      <c r="BE948" s="29"/>
      <c r="BF948" s="29" t="s">
        <v>202</v>
      </c>
      <c r="BG948" s="29" t="s">
        <v>203</v>
      </c>
      <c r="BH948" s="29"/>
      <c r="BI948" s="29"/>
      <c r="BJ948" s="29"/>
      <c r="BK948" s="29"/>
      <c r="BL948" s="29"/>
      <c r="BM948" s="45"/>
      <c r="BN948" s="45">
        <v>1.0</v>
      </c>
      <c r="BO948" s="46" t="s">
        <v>1761</v>
      </c>
      <c r="BP948" s="2"/>
      <c r="BQ948" s="3"/>
    </row>
    <row r="949" ht="17.25" customHeight="1">
      <c r="A949" s="34">
        <v>960.0</v>
      </c>
      <c r="B949" s="34">
        <v>102636.0</v>
      </c>
      <c r="C949" s="34" t="s">
        <v>415</v>
      </c>
      <c r="D949" s="34" t="s">
        <v>1753</v>
      </c>
      <c r="E949" s="34" t="s">
        <v>1754</v>
      </c>
      <c r="F949" s="34">
        <v>2019.0</v>
      </c>
      <c r="G949" s="34" t="s">
        <v>1755</v>
      </c>
      <c r="H949" s="34" t="s">
        <v>282</v>
      </c>
      <c r="I949" s="34" t="s">
        <v>1756</v>
      </c>
      <c r="J949" s="35"/>
      <c r="K949" s="36">
        <v>0.18</v>
      </c>
      <c r="L949" s="36">
        <v>1.49</v>
      </c>
      <c r="M949" s="36"/>
      <c r="N949" s="36"/>
      <c r="O949" s="36"/>
      <c r="P949" s="52">
        <f t="shared" si="89"/>
        <v>12.08053691</v>
      </c>
      <c r="Q949" s="36" t="s">
        <v>96</v>
      </c>
      <c r="R949" s="36" t="s">
        <v>96</v>
      </c>
      <c r="S949" s="36" t="s">
        <v>192</v>
      </c>
      <c r="T949" s="36" t="s">
        <v>350</v>
      </c>
      <c r="U949" s="36" t="s">
        <v>676</v>
      </c>
      <c r="V949" s="36">
        <v>247.0</v>
      </c>
      <c r="W949" s="36"/>
      <c r="X949" s="38">
        <v>1.0</v>
      </c>
      <c r="Y949" s="38" t="s">
        <v>1767</v>
      </c>
      <c r="Z949" s="38" t="s">
        <v>1768</v>
      </c>
      <c r="AA949" s="38" t="s">
        <v>636</v>
      </c>
      <c r="AB949" s="38">
        <v>37.75</v>
      </c>
      <c r="AC949" s="38">
        <v>127.16</v>
      </c>
      <c r="AD949" s="38" t="s">
        <v>1782</v>
      </c>
      <c r="AE949" s="53"/>
      <c r="AF949" s="38"/>
      <c r="AG949" s="57"/>
      <c r="AH949" s="38"/>
      <c r="AI949" s="50">
        <v>37.75</v>
      </c>
      <c r="AJ949" s="50">
        <v>127.16</v>
      </c>
      <c r="AK949" s="41" t="s">
        <v>452</v>
      </c>
      <c r="AL949" s="40" t="s">
        <v>452</v>
      </c>
      <c r="AM949" s="49">
        <v>190.0</v>
      </c>
      <c r="AN949" s="51">
        <v>190.0</v>
      </c>
      <c r="AO949" s="42" t="s">
        <v>218</v>
      </c>
      <c r="AP949" s="43" t="s">
        <v>218</v>
      </c>
      <c r="AQ949" s="44" t="str">
        <f t="shared" si="84"/>
        <v>DNF</v>
      </c>
      <c r="AR949" s="44">
        <f t="shared" si="80"/>
        <v>190</v>
      </c>
      <c r="AS949" s="44" t="str">
        <f t="shared" si="85"/>
        <v>D</v>
      </c>
      <c r="AT949" s="44" t="str">
        <f t="shared" si="17"/>
        <v>Dw</v>
      </c>
      <c r="AU949" s="44" t="str">
        <f t="shared" si="2"/>
        <v>Dwa</v>
      </c>
      <c r="AV949" s="38"/>
      <c r="AW949" s="38"/>
      <c r="AX949" s="38"/>
      <c r="AY949" s="38"/>
      <c r="AZ949" s="63" t="s">
        <v>192</v>
      </c>
      <c r="BA949" s="29"/>
      <c r="BB949" s="29">
        <v>2.0</v>
      </c>
      <c r="BC949" s="29"/>
      <c r="BD949" s="29"/>
      <c r="BE949" s="29"/>
      <c r="BF949" s="29" t="s">
        <v>202</v>
      </c>
      <c r="BG949" s="29" t="s">
        <v>203</v>
      </c>
      <c r="BH949" s="29"/>
      <c r="BI949" s="29"/>
      <c r="BJ949" s="29"/>
      <c r="BK949" s="29"/>
      <c r="BL949" s="29"/>
      <c r="BM949" s="45"/>
      <c r="BN949" s="45">
        <v>1.0</v>
      </c>
      <c r="BO949" s="46" t="s">
        <v>1761</v>
      </c>
      <c r="BP949" s="2"/>
      <c r="BQ949" s="3"/>
    </row>
    <row r="950" ht="16.5" customHeight="1">
      <c r="A950" s="34">
        <v>961.0</v>
      </c>
      <c r="B950" s="34">
        <v>102636.0</v>
      </c>
      <c r="C950" s="34" t="s">
        <v>415</v>
      </c>
      <c r="D950" s="34" t="s">
        <v>1753</v>
      </c>
      <c r="E950" s="34" t="s">
        <v>1754</v>
      </c>
      <c r="F950" s="34">
        <v>2019.0</v>
      </c>
      <c r="G950" s="34" t="s">
        <v>1755</v>
      </c>
      <c r="H950" s="34" t="s">
        <v>282</v>
      </c>
      <c r="I950" s="34" t="s">
        <v>1756</v>
      </c>
      <c r="J950" s="35"/>
      <c r="K950" s="36">
        <v>0.52</v>
      </c>
      <c r="L950" s="36">
        <v>0.89</v>
      </c>
      <c r="M950" s="36"/>
      <c r="N950" s="36"/>
      <c r="O950" s="36"/>
      <c r="P950" s="52">
        <f t="shared" si="89"/>
        <v>58.42696629</v>
      </c>
      <c r="Q950" s="36" t="s">
        <v>96</v>
      </c>
      <c r="R950" s="36" t="s">
        <v>96</v>
      </c>
      <c r="S950" s="36" t="s">
        <v>192</v>
      </c>
      <c r="T950" s="36" t="s">
        <v>193</v>
      </c>
      <c r="U950" s="36" t="s">
        <v>285</v>
      </c>
      <c r="V950" s="36">
        <v>647.0</v>
      </c>
      <c r="W950" s="36"/>
      <c r="X950" s="38">
        <v>1.0</v>
      </c>
      <c r="Y950" s="38" t="s">
        <v>1246</v>
      </c>
      <c r="Z950" s="38" t="s">
        <v>1247</v>
      </c>
      <c r="AA950" s="38" t="s">
        <v>636</v>
      </c>
      <c r="AB950" s="38">
        <v>48.35</v>
      </c>
      <c r="AC950" s="38">
        <v>108.65</v>
      </c>
      <c r="AD950" s="38" t="s">
        <v>1250</v>
      </c>
      <c r="AE950" s="38">
        <v>1630.0</v>
      </c>
      <c r="AF950" s="38"/>
      <c r="AG950" s="38" t="s">
        <v>584</v>
      </c>
      <c r="AH950" s="38"/>
      <c r="AI950" s="50">
        <v>48.35</v>
      </c>
      <c r="AJ950" s="50">
        <v>108.65</v>
      </c>
      <c r="AK950" s="41" t="s">
        <v>288</v>
      </c>
      <c r="AL950" s="40" t="s">
        <v>288</v>
      </c>
      <c r="AM950" s="49">
        <v>1586.0</v>
      </c>
      <c r="AN950" s="51">
        <v>1586.0</v>
      </c>
      <c r="AO950" s="42" t="s">
        <v>597</v>
      </c>
      <c r="AP950" s="43" t="s">
        <v>597</v>
      </c>
      <c r="AQ950" s="44" t="str">
        <f t="shared" si="84"/>
        <v>DNF</v>
      </c>
      <c r="AR950" s="44">
        <f t="shared" si="80"/>
        <v>1586</v>
      </c>
      <c r="AS950" s="44" t="str">
        <f t="shared" si="85"/>
        <v>D</v>
      </c>
      <c r="AT950" s="44" t="str">
        <f t="shared" si="17"/>
        <v>Dw</v>
      </c>
      <c r="AU950" s="44" t="str">
        <f t="shared" si="2"/>
        <v>Dwc</v>
      </c>
      <c r="AV950" s="38"/>
      <c r="AW950" s="38"/>
      <c r="AX950" s="38"/>
      <c r="AY950" s="38"/>
      <c r="AZ950" s="63" t="s">
        <v>192</v>
      </c>
      <c r="BA950" s="29"/>
      <c r="BB950" s="29">
        <v>2.0</v>
      </c>
      <c r="BC950" s="29"/>
      <c r="BD950" s="29"/>
      <c r="BE950" s="29"/>
      <c r="BF950" s="29" t="s">
        <v>202</v>
      </c>
      <c r="BG950" s="29" t="s">
        <v>203</v>
      </c>
      <c r="BH950" s="29"/>
      <c r="BI950" s="29"/>
      <c r="BJ950" s="29"/>
      <c r="BK950" s="29"/>
      <c r="BL950" s="29"/>
      <c r="BM950" s="45"/>
      <c r="BN950" s="45">
        <v>1.0</v>
      </c>
      <c r="BO950" s="46" t="s">
        <v>1761</v>
      </c>
      <c r="BP950" s="2"/>
      <c r="BQ950" s="3"/>
    </row>
    <row r="951" ht="15.75" customHeight="1">
      <c r="A951" s="34">
        <v>962.0</v>
      </c>
      <c r="B951" s="34">
        <v>102636.0</v>
      </c>
      <c r="C951" s="34" t="s">
        <v>415</v>
      </c>
      <c r="D951" s="34" t="s">
        <v>1753</v>
      </c>
      <c r="E951" s="34" t="s">
        <v>1754</v>
      </c>
      <c r="F951" s="34">
        <v>2019.0</v>
      </c>
      <c r="G951" s="34" t="s">
        <v>1755</v>
      </c>
      <c r="H951" s="34" t="s">
        <v>282</v>
      </c>
      <c r="I951" s="34" t="s">
        <v>1756</v>
      </c>
      <c r="J951" s="35"/>
      <c r="K951" s="36">
        <v>1.15</v>
      </c>
      <c r="L951" s="36">
        <v>1.23</v>
      </c>
      <c r="M951" s="36"/>
      <c r="N951" s="36"/>
      <c r="O951" s="36"/>
      <c r="P951" s="52">
        <f t="shared" si="89"/>
        <v>93.49593496</v>
      </c>
      <c r="Q951" s="36" t="s">
        <v>96</v>
      </c>
      <c r="R951" s="36" t="s">
        <v>96</v>
      </c>
      <c r="S951" s="36" t="s">
        <v>192</v>
      </c>
      <c r="T951" s="36" t="s">
        <v>341</v>
      </c>
      <c r="U951" s="36" t="s">
        <v>342</v>
      </c>
      <c r="V951" s="36">
        <v>274.0</v>
      </c>
      <c r="W951" s="36"/>
      <c r="X951" s="38">
        <v>1.0</v>
      </c>
      <c r="Y951" s="38" t="s">
        <v>1252</v>
      </c>
      <c r="Z951" s="38" t="s">
        <v>1253</v>
      </c>
      <c r="AA951" s="38" t="s">
        <v>370</v>
      </c>
      <c r="AB951" s="38">
        <v>36.15</v>
      </c>
      <c r="AC951" s="38">
        <v>137.42</v>
      </c>
      <c r="AD951" s="38" t="s">
        <v>736</v>
      </c>
      <c r="AE951" s="38">
        <v>1420.0</v>
      </c>
      <c r="AF951" s="38" t="s">
        <v>199</v>
      </c>
      <c r="AG951" s="38" t="s">
        <v>107</v>
      </c>
      <c r="AH951" s="38"/>
      <c r="AI951" s="50">
        <v>36.15</v>
      </c>
      <c r="AJ951" s="50">
        <v>137.42</v>
      </c>
      <c r="AK951" s="41" t="s">
        <v>370</v>
      </c>
      <c r="AL951" s="40" t="s">
        <v>370</v>
      </c>
      <c r="AM951" s="49">
        <v>1382.0</v>
      </c>
      <c r="AN951" s="51">
        <v>1382.0</v>
      </c>
      <c r="AO951" s="42" t="s">
        <v>372</v>
      </c>
      <c r="AP951" s="43" t="s">
        <v>107</v>
      </c>
      <c r="AQ951" s="44" t="str">
        <f t="shared" si="84"/>
        <v>DBF</v>
      </c>
      <c r="AR951" s="44">
        <f t="shared" si="80"/>
        <v>1382</v>
      </c>
      <c r="AS951" s="44" t="str">
        <f t="shared" si="85"/>
        <v>D</v>
      </c>
      <c r="AT951" s="44" t="str">
        <f t="shared" si="17"/>
        <v>Df</v>
      </c>
      <c r="AU951" s="44" t="str">
        <f t="shared" si="2"/>
        <v>Dfb</v>
      </c>
      <c r="AV951" s="38"/>
      <c r="AW951" s="38"/>
      <c r="AX951" s="38"/>
      <c r="AY951" s="38"/>
      <c r="AZ951" s="63" t="s">
        <v>192</v>
      </c>
      <c r="BA951" s="29"/>
      <c r="BB951" s="29">
        <v>2.0</v>
      </c>
      <c r="BC951" s="29"/>
      <c r="BD951" s="29"/>
      <c r="BE951" s="29"/>
      <c r="BF951" s="29" t="s">
        <v>202</v>
      </c>
      <c r="BG951" s="29" t="s">
        <v>203</v>
      </c>
      <c r="BH951" s="29"/>
      <c r="BI951" s="29"/>
      <c r="BJ951" s="29"/>
      <c r="BK951" s="29"/>
      <c r="BL951" s="29"/>
      <c r="BM951" s="45"/>
      <c r="BN951" s="45">
        <v>1.0</v>
      </c>
      <c r="BO951" s="46" t="s">
        <v>1761</v>
      </c>
      <c r="BP951" s="2"/>
      <c r="BQ951" s="3"/>
    </row>
    <row r="952" ht="15.75" customHeight="1">
      <c r="A952" s="34">
        <v>963.0</v>
      </c>
      <c r="B952" s="34">
        <v>102636.0</v>
      </c>
      <c r="C952" s="34" t="s">
        <v>415</v>
      </c>
      <c r="D952" s="34" t="s">
        <v>1753</v>
      </c>
      <c r="E952" s="34" t="s">
        <v>1754</v>
      </c>
      <c r="F952" s="34">
        <v>2019.0</v>
      </c>
      <c r="G952" s="34" t="s">
        <v>1755</v>
      </c>
      <c r="H952" s="34" t="s">
        <v>282</v>
      </c>
      <c r="I952" s="34" t="s">
        <v>1756</v>
      </c>
      <c r="J952" s="35"/>
      <c r="K952" s="36">
        <v>0.27</v>
      </c>
      <c r="L952" s="36">
        <v>1.73</v>
      </c>
      <c r="M952" s="36"/>
      <c r="N952" s="36"/>
      <c r="O952" s="36"/>
      <c r="P952" s="52">
        <f t="shared" si="89"/>
        <v>15.60693642</v>
      </c>
      <c r="Q952" s="36" t="s">
        <v>96</v>
      </c>
      <c r="R952" s="36" t="s">
        <v>96</v>
      </c>
      <c r="S952" s="36" t="s">
        <v>192</v>
      </c>
      <c r="T952" s="36" t="s">
        <v>193</v>
      </c>
      <c r="U952" s="36" t="s">
        <v>194</v>
      </c>
      <c r="V952" s="36">
        <v>327.0</v>
      </c>
      <c r="W952" s="36"/>
      <c r="X952" s="38">
        <v>1.0</v>
      </c>
      <c r="Y952" s="38" t="s">
        <v>1234</v>
      </c>
      <c r="Z952" s="38" t="s">
        <v>1235</v>
      </c>
      <c r="AA952" s="38" t="s">
        <v>370</v>
      </c>
      <c r="AB952" s="38">
        <v>44.38</v>
      </c>
      <c r="AC952" s="38">
        <v>142.32</v>
      </c>
      <c r="AD952" s="38" t="s">
        <v>736</v>
      </c>
      <c r="AE952" s="38">
        <v>585.0</v>
      </c>
      <c r="AF952" s="38"/>
      <c r="AG952" s="38" t="s">
        <v>784</v>
      </c>
      <c r="AH952" s="38"/>
      <c r="AI952" s="50">
        <v>44.38</v>
      </c>
      <c r="AJ952" s="50">
        <v>142.32</v>
      </c>
      <c r="AK952" s="41" t="s">
        <v>370</v>
      </c>
      <c r="AL952" s="40" t="s">
        <v>370</v>
      </c>
      <c r="AM952" s="49">
        <v>597.0</v>
      </c>
      <c r="AN952" s="51">
        <v>597.0</v>
      </c>
      <c r="AO952" s="42" t="s">
        <v>372</v>
      </c>
      <c r="AP952" s="43" t="s">
        <v>107</v>
      </c>
      <c r="AQ952" s="44" t="str">
        <f t="shared" si="84"/>
        <v>DBF</v>
      </c>
      <c r="AR952" s="44">
        <f t="shared" si="80"/>
        <v>597</v>
      </c>
      <c r="AS952" s="44" t="str">
        <f t="shared" si="85"/>
        <v>D</v>
      </c>
      <c r="AT952" s="44" t="str">
        <f t="shared" si="17"/>
        <v>Df</v>
      </c>
      <c r="AU952" s="44" t="str">
        <f t="shared" si="2"/>
        <v>Dfb</v>
      </c>
      <c r="AV952" s="38"/>
      <c r="AW952" s="38"/>
      <c r="AX952" s="38"/>
      <c r="AY952" s="38"/>
      <c r="AZ952" s="63" t="s">
        <v>192</v>
      </c>
      <c r="BA952" s="29"/>
      <c r="BB952" s="29">
        <v>2.0</v>
      </c>
      <c r="BC952" s="29"/>
      <c r="BD952" s="29"/>
      <c r="BE952" s="29"/>
      <c r="BF952" s="29" t="s">
        <v>202</v>
      </c>
      <c r="BG952" s="29" t="s">
        <v>203</v>
      </c>
      <c r="BH952" s="29"/>
      <c r="BI952" s="29"/>
      <c r="BJ952" s="29"/>
      <c r="BK952" s="29"/>
      <c r="BL952" s="29"/>
      <c r="BM952" s="45"/>
      <c r="BN952" s="45">
        <v>1.0</v>
      </c>
      <c r="BO952" s="46" t="s">
        <v>1761</v>
      </c>
      <c r="BP952" s="2"/>
      <c r="BQ952" s="3"/>
    </row>
    <row r="953" ht="15.75" customHeight="1">
      <c r="A953" s="34">
        <v>964.0</v>
      </c>
      <c r="B953" s="34">
        <v>102636.0</v>
      </c>
      <c r="C953" s="34" t="s">
        <v>415</v>
      </c>
      <c r="D953" s="34" t="s">
        <v>1753</v>
      </c>
      <c r="E953" s="34" t="s">
        <v>1754</v>
      </c>
      <c r="F953" s="34">
        <v>2019.0</v>
      </c>
      <c r="G953" s="34" t="s">
        <v>1755</v>
      </c>
      <c r="H953" s="34" t="s">
        <v>282</v>
      </c>
      <c r="I953" s="34" t="s">
        <v>1756</v>
      </c>
      <c r="J953" s="35"/>
      <c r="K953" s="36">
        <v>1.23</v>
      </c>
      <c r="L953" s="36">
        <v>1.69</v>
      </c>
      <c r="M953" s="36"/>
      <c r="N953" s="36"/>
      <c r="O953" s="36"/>
      <c r="P953" s="52">
        <f t="shared" si="89"/>
        <v>72.78106509</v>
      </c>
      <c r="Q953" s="36" t="s">
        <v>96</v>
      </c>
      <c r="R953" s="36" t="s">
        <v>96</v>
      </c>
      <c r="S953" s="36" t="s">
        <v>192</v>
      </c>
      <c r="T953" s="36" t="s">
        <v>193</v>
      </c>
      <c r="U953" s="36" t="s">
        <v>968</v>
      </c>
      <c r="V953" s="36">
        <v>139.0</v>
      </c>
      <c r="W953" s="36"/>
      <c r="X953" s="38">
        <v>1.0</v>
      </c>
      <c r="Y953" s="38" t="s">
        <v>1770</v>
      </c>
      <c r="Z953" s="38" t="s">
        <v>1771</v>
      </c>
      <c r="AA953" s="38" t="s">
        <v>452</v>
      </c>
      <c r="AB953" s="38">
        <v>14.59</v>
      </c>
      <c r="AC953" s="38">
        <v>98.84</v>
      </c>
      <c r="AD953" s="38" t="s">
        <v>1764</v>
      </c>
      <c r="AE953" s="38">
        <v>231.0</v>
      </c>
      <c r="AF953" s="38"/>
      <c r="AG953" s="38" t="s">
        <v>1024</v>
      </c>
      <c r="AH953" s="38"/>
      <c r="AI953" s="50">
        <v>14.59</v>
      </c>
      <c r="AJ953" s="50">
        <v>98.84</v>
      </c>
      <c r="AK953" s="41" t="s">
        <v>336</v>
      </c>
      <c r="AL953" s="40" t="s">
        <v>336</v>
      </c>
      <c r="AM953" s="49">
        <v>262.0</v>
      </c>
      <c r="AN953" s="51">
        <v>262.0</v>
      </c>
      <c r="AO953" s="42" t="s">
        <v>335</v>
      </c>
      <c r="AP953" s="43" t="s">
        <v>335</v>
      </c>
      <c r="AQ953" s="44" t="str">
        <f t="shared" si="84"/>
        <v>MF</v>
      </c>
      <c r="AR953" s="44">
        <f t="shared" si="80"/>
        <v>262</v>
      </c>
      <c r="AS953" s="44" t="str">
        <f t="shared" si="85"/>
        <v>A</v>
      </c>
      <c r="AT953" s="44" t="str">
        <f t="shared" si="17"/>
        <v>Aw</v>
      </c>
      <c r="AU953" s="44" t="str">
        <f t="shared" si="2"/>
        <v>Aw</v>
      </c>
      <c r="AV953" s="38"/>
      <c r="AW953" s="38"/>
      <c r="AX953" s="38"/>
      <c r="AY953" s="38"/>
      <c r="AZ953" s="63" t="s">
        <v>192</v>
      </c>
      <c r="BA953" s="29"/>
      <c r="BB953" s="29">
        <v>2.0</v>
      </c>
      <c r="BC953" s="29"/>
      <c r="BD953" s="29"/>
      <c r="BE953" s="29"/>
      <c r="BF953" s="29" t="s">
        <v>202</v>
      </c>
      <c r="BG953" s="29" t="s">
        <v>203</v>
      </c>
      <c r="BH953" s="29"/>
      <c r="BI953" s="29"/>
      <c r="BJ953" s="29"/>
      <c r="BK953" s="29"/>
      <c r="BL953" s="29"/>
      <c r="BM953" s="45"/>
      <c r="BN953" s="45">
        <v>1.0</v>
      </c>
      <c r="BO953" s="46" t="s">
        <v>1761</v>
      </c>
      <c r="BP953" s="2"/>
      <c r="BQ953" s="3"/>
    </row>
    <row r="954" ht="15.75" customHeight="1">
      <c r="A954" s="34">
        <v>965.0</v>
      </c>
      <c r="B954" s="34">
        <v>102636.0</v>
      </c>
      <c r="C954" s="34" t="s">
        <v>415</v>
      </c>
      <c r="D954" s="34" t="s">
        <v>1753</v>
      </c>
      <c r="E954" s="34" t="s">
        <v>1754</v>
      </c>
      <c r="F954" s="34">
        <v>2019.0</v>
      </c>
      <c r="G954" s="34" t="s">
        <v>1755</v>
      </c>
      <c r="H954" s="34" t="s">
        <v>282</v>
      </c>
      <c r="I954" s="34" t="s">
        <v>1756</v>
      </c>
      <c r="J954" s="35"/>
      <c r="K954" s="36">
        <v>0.28</v>
      </c>
      <c r="L954" s="36">
        <v>2.2</v>
      </c>
      <c r="M954" s="36"/>
      <c r="N954" s="36"/>
      <c r="O954" s="36"/>
      <c r="P954" s="52">
        <f t="shared" si="89"/>
        <v>12.72727273</v>
      </c>
      <c r="Q954" s="36" t="s">
        <v>96</v>
      </c>
      <c r="R954" s="36" t="s">
        <v>96</v>
      </c>
      <c r="S954" s="36" t="s">
        <v>192</v>
      </c>
      <c r="T954" s="36" t="s">
        <v>193</v>
      </c>
      <c r="U954" s="36" t="s">
        <v>507</v>
      </c>
      <c r="V954" s="36">
        <v>1354.0</v>
      </c>
      <c r="W954" s="36"/>
      <c r="X954" s="38">
        <v>1.0</v>
      </c>
      <c r="Y954" s="38" t="s">
        <v>1772</v>
      </c>
      <c r="Z954" s="38" t="s">
        <v>1773</v>
      </c>
      <c r="AA954" s="38" t="s">
        <v>452</v>
      </c>
      <c r="AB954" s="38">
        <v>35.26</v>
      </c>
      <c r="AC954" s="38">
        <v>137.08</v>
      </c>
      <c r="AD954" s="38" t="s">
        <v>736</v>
      </c>
      <c r="AE954" s="38">
        <v>205.0</v>
      </c>
      <c r="AF954" s="38"/>
      <c r="AG954" s="38" t="s">
        <v>201</v>
      </c>
      <c r="AH954" s="38"/>
      <c r="AI954" s="50">
        <v>35.26</v>
      </c>
      <c r="AJ954" s="50">
        <v>137.08</v>
      </c>
      <c r="AK954" s="41" t="s">
        <v>452</v>
      </c>
      <c r="AL954" s="40" t="s">
        <v>452</v>
      </c>
      <c r="AM954" s="49">
        <v>186.0</v>
      </c>
      <c r="AN954" s="51">
        <v>186.0</v>
      </c>
      <c r="AO954" s="42" t="s">
        <v>201</v>
      </c>
      <c r="AP954" s="43" t="s">
        <v>201</v>
      </c>
      <c r="AQ954" s="44" t="str">
        <f t="shared" si="84"/>
        <v>MF</v>
      </c>
      <c r="AR954" s="44">
        <f t="shared" si="80"/>
        <v>186</v>
      </c>
      <c r="AS954" s="44" t="str">
        <f t="shared" si="85"/>
        <v>C</v>
      </c>
      <c r="AT954" s="44" t="str">
        <f t="shared" si="17"/>
        <v>Cf</v>
      </c>
      <c r="AU954" s="44" t="str">
        <f t="shared" si="2"/>
        <v>Cfa</v>
      </c>
      <c r="AV954" s="38"/>
      <c r="AW954" s="38"/>
      <c r="AX954" s="38"/>
      <c r="AY954" s="38"/>
      <c r="AZ954" s="63" t="s">
        <v>192</v>
      </c>
      <c r="BA954" s="29"/>
      <c r="BB954" s="29">
        <v>2.0</v>
      </c>
      <c r="BC954" s="29"/>
      <c r="BD954" s="29"/>
      <c r="BE954" s="29"/>
      <c r="BF954" s="29" t="s">
        <v>202</v>
      </c>
      <c r="BG954" s="29" t="s">
        <v>203</v>
      </c>
      <c r="BH954" s="29"/>
      <c r="BI954" s="29"/>
      <c r="BJ954" s="29"/>
      <c r="BK954" s="29"/>
      <c r="BL954" s="29"/>
      <c r="BM954" s="45"/>
      <c r="BN954" s="45">
        <v>1.0</v>
      </c>
      <c r="BO954" s="46" t="s">
        <v>1761</v>
      </c>
      <c r="BP954" s="2"/>
      <c r="BQ954" s="3"/>
    </row>
    <row r="955" ht="15.75" customHeight="1">
      <c r="A955" s="34">
        <v>966.0</v>
      </c>
      <c r="B955" s="34">
        <v>102636.0</v>
      </c>
      <c r="C955" s="34" t="s">
        <v>415</v>
      </c>
      <c r="D955" s="34" t="s">
        <v>1753</v>
      </c>
      <c r="E955" s="34" t="s">
        <v>1754</v>
      </c>
      <c r="F955" s="34">
        <v>2019.0</v>
      </c>
      <c r="G955" s="34" t="s">
        <v>1755</v>
      </c>
      <c r="H955" s="34" t="s">
        <v>282</v>
      </c>
      <c r="I955" s="34" t="s">
        <v>1756</v>
      </c>
      <c r="J955" s="35"/>
      <c r="K955" s="36">
        <v>0.64</v>
      </c>
      <c r="L955" s="36">
        <v>1.12</v>
      </c>
      <c r="M955" s="36"/>
      <c r="N955" s="36"/>
      <c r="O955" s="36"/>
      <c r="P955" s="52">
        <f t="shared" si="89"/>
        <v>57.14285714</v>
      </c>
      <c r="Q955" s="36" t="s">
        <v>96</v>
      </c>
      <c r="R955" s="36" t="s">
        <v>96</v>
      </c>
      <c r="S955" s="36" t="s">
        <v>192</v>
      </c>
      <c r="T955" s="36" t="s">
        <v>341</v>
      </c>
      <c r="U955" s="36" t="s">
        <v>676</v>
      </c>
      <c r="V955" s="36">
        <v>305.0</v>
      </c>
      <c r="W955" s="36"/>
      <c r="X955" s="38">
        <v>1.0</v>
      </c>
      <c r="Y955" s="38" t="s">
        <v>1774</v>
      </c>
      <c r="Z955" s="38" t="s">
        <v>1129</v>
      </c>
      <c r="AA955" s="38" t="s">
        <v>452</v>
      </c>
      <c r="AB955" s="38">
        <v>37.75</v>
      </c>
      <c r="AC955" s="38">
        <v>127.15</v>
      </c>
      <c r="AD955" s="38" t="s">
        <v>1130</v>
      </c>
      <c r="AE955" s="53"/>
      <c r="AF955" s="38"/>
      <c r="AG955" s="57"/>
      <c r="AH955" s="38"/>
      <c r="AI955" s="50">
        <v>37.75</v>
      </c>
      <c r="AJ955" s="50">
        <v>127.15</v>
      </c>
      <c r="AK955" s="41" t="s">
        <v>370</v>
      </c>
      <c r="AL955" s="40" t="s">
        <v>370</v>
      </c>
      <c r="AM955" s="49">
        <v>282.0</v>
      </c>
      <c r="AN955" s="51">
        <v>282.0</v>
      </c>
      <c r="AO955" s="42" t="s">
        <v>218</v>
      </c>
      <c r="AP955" s="43" t="s">
        <v>218</v>
      </c>
      <c r="AQ955" s="44" t="str">
        <f t="shared" si="84"/>
        <v>MF</v>
      </c>
      <c r="AR955" s="44">
        <f t="shared" si="80"/>
        <v>282</v>
      </c>
      <c r="AS955" s="44" t="str">
        <f t="shared" si="85"/>
        <v>D</v>
      </c>
      <c r="AT955" s="44" t="str">
        <f t="shared" si="17"/>
        <v>Dw</v>
      </c>
      <c r="AU955" s="44" t="str">
        <f t="shared" si="2"/>
        <v>Dwa</v>
      </c>
      <c r="AV955" s="38"/>
      <c r="AW955" s="38"/>
      <c r="AX955" s="38"/>
      <c r="AY955" s="38"/>
      <c r="AZ955" s="63" t="s">
        <v>192</v>
      </c>
      <c r="BA955" s="29"/>
      <c r="BB955" s="29">
        <v>2.0</v>
      </c>
      <c r="BC955" s="29"/>
      <c r="BD955" s="29"/>
      <c r="BE955" s="29"/>
      <c r="BF955" s="29" t="s">
        <v>202</v>
      </c>
      <c r="BG955" s="29" t="s">
        <v>203</v>
      </c>
      <c r="BH955" s="29"/>
      <c r="BI955" s="29"/>
      <c r="BJ955" s="29"/>
      <c r="BK955" s="29"/>
      <c r="BL955" s="29"/>
      <c r="BM955" s="45"/>
      <c r="BN955" s="45">
        <v>1.0</v>
      </c>
      <c r="BO955" s="46" t="s">
        <v>1761</v>
      </c>
      <c r="BP955" s="2"/>
      <c r="BQ955" s="3"/>
    </row>
    <row r="956" ht="15.75" customHeight="1">
      <c r="A956" s="34">
        <v>967.0</v>
      </c>
      <c r="B956" s="34">
        <v>102636.0</v>
      </c>
      <c r="C956" s="34" t="s">
        <v>415</v>
      </c>
      <c r="D956" s="34" t="s">
        <v>1753</v>
      </c>
      <c r="E956" s="34" t="s">
        <v>1754</v>
      </c>
      <c r="F956" s="34">
        <v>2019.0</v>
      </c>
      <c r="G956" s="34" t="s">
        <v>1755</v>
      </c>
      <c r="H956" s="34" t="s">
        <v>282</v>
      </c>
      <c r="I956" s="34" t="s">
        <v>1756</v>
      </c>
      <c r="J956" s="35"/>
      <c r="K956" s="36">
        <v>0.55</v>
      </c>
      <c r="L956" s="36">
        <v>1.25</v>
      </c>
      <c r="M956" s="36"/>
      <c r="N956" s="36"/>
      <c r="O956" s="36"/>
      <c r="P956" s="52">
        <f t="shared" si="89"/>
        <v>44</v>
      </c>
      <c r="Q956" s="36" t="s">
        <v>96</v>
      </c>
      <c r="R956" s="36" t="s">
        <v>96</v>
      </c>
      <c r="S956" s="36" t="s">
        <v>192</v>
      </c>
      <c r="T956" s="36" t="s">
        <v>506</v>
      </c>
      <c r="U956" s="36" t="s">
        <v>676</v>
      </c>
      <c r="V956" s="36">
        <v>141.0</v>
      </c>
      <c r="W956" s="36"/>
      <c r="X956" s="38">
        <v>1.0</v>
      </c>
      <c r="Y956" s="38" t="s">
        <v>1775</v>
      </c>
      <c r="Z956" s="38" t="s">
        <v>1776</v>
      </c>
      <c r="AA956" s="38" t="s">
        <v>452</v>
      </c>
      <c r="AB956" s="38">
        <v>37.94</v>
      </c>
      <c r="AC956" s="38">
        <v>126.96</v>
      </c>
      <c r="AD956" s="38" t="s">
        <v>1130</v>
      </c>
      <c r="AE956" s="38">
        <v>293.0</v>
      </c>
      <c r="AF956" s="38"/>
      <c r="AG956" s="38" t="s">
        <v>218</v>
      </c>
      <c r="AH956" s="38"/>
      <c r="AI956" s="50">
        <v>37.94</v>
      </c>
      <c r="AJ956" s="50">
        <v>126.96</v>
      </c>
      <c r="AK956" s="41" t="s">
        <v>370</v>
      </c>
      <c r="AL956" s="40" t="s">
        <v>370</v>
      </c>
      <c r="AM956" s="49">
        <v>408.0</v>
      </c>
      <c r="AN956" s="51">
        <v>408.0</v>
      </c>
      <c r="AO956" s="42" t="s">
        <v>218</v>
      </c>
      <c r="AP956" s="43" t="s">
        <v>218</v>
      </c>
      <c r="AQ956" s="44" t="str">
        <f t="shared" si="84"/>
        <v>MF</v>
      </c>
      <c r="AR956" s="44">
        <f t="shared" si="80"/>
        <v>408</v>
      </c>
      <c r="AS956" s="44" t="str">
        <f t="shared" si="85"/>
        <v>D</v>
      </c>
      <c r="AT956" s="44" t="str">
        <f t="shared" si="17"/>
        <v>Dw</v>
      </c>
      <c r="AU956" s="44" t="str">
        <f t="shared" si="2"/>
        <v>Dwa</v>
      </c>
      <c r="AV956" s="38"/>
      <c r="AW956" s="38"/>
      <c r="AX956" s="38"/>
      <c r="AY956" s="38"/>
      <c r="AZ956" s="63" t="s">
        <v>192</v>
      </c>
      <c r="BA956" s="29"/>
      <c r="BB956" s="29">
        <v>2.0</v>
      </c>
      <c r="BC956" s="29"/>
      <c r="BD956" s="29"/>
      <c r="BE956" s="29"/>
      <c r="BF956" s="29" t="s">
        <v>202</v>
      </c>
      <c r="BG956" s="29" t="s">
        <v>203</v>
      </c>
      <c r="BH956" s="29"/>
      <c r="BI956" s="29"/>
      <c r="BJ956" s="29"/>
      <c r="BK956" s="29"/>
      <c r="BL956" s="29"/>
      <c r="BM956" s="45"/>
      <c r="BN956" s="45">
        <v>1.0</v>
      </c>
      <c r="BO956" s="46" t="s">
        <v>1761</v>
      </c>
      <c r="BP956" s="2"/>
      <c r="BQ956" s="3"/>
    </row>
    <row r="957" ht="15.75" customHeight="1">
      <c r="A957" s="34">
        <v>968.0</v>
      </c>
      <c r="B957" s="34">
        <v>102636.0</v>
      </c>
      <c r="C957" s="34" t="s">
        <v>415</v>
      </c>
      <c r="D957" s="34" t="s">
        <v>1753</v>
      </c>
      <c r="E957" s="34" t="s">
        <v>1754</v>
      </c>
      <c r="F957" s="34">
        <v>2019.0</v>
      </c>
      <c r="G957" s="34" t="s">
        <v>1755</v>
      </c>
      <c r="H957" s="34" t="s">
        <v>282</v>
      </c>
      <c r="I957" s="34" t="s">
        <v>1756</v>
      </c>
      <c r="J957" s="35"/>
      <c r="K957" s="36">
        <v>0.53</v>
      </c>
      <c r="L957" s="36">
        <v>1.32</v>
      </c>
      <c r="M957" s="36"/>
      <c r="N957" s="36"/>
      <c r="O957" s="36"/>
      <c r="P957" s="52">
        <f t="shared" si="89"/>
        <v>40.15151515</v>
      </c>
      <c r="Q957" s="36" t="s">
        <v>96</v>
      </c>
      <c r="R957" s="36" t="s">
        <v>96</v>
      </c>
      <c r="S957" s="36" t="s">
        <v>192</v>
      </c>
      <c r="T957" s="36" t="s">
        <v>193</v>
      </c>
      <c r="U957" s="36" t="s">
        <v>194</v>
      </c>
      <c r="V957" s="36">
        <v>477.0</v>
      </c>
      <c r="W957" s="36"/>
      <c r="X957" s="38">
        <v>1.0</v>
      </c>
      <c r="Y957" s="38" t="s">
        <v>581</v>
      </c>
      <c r="Z957" s="68" t="s">
        <v>860</v>
      </c>
      <c r="AA957" s="38" t="s">
        <v>452</v>
      </c>
      <c r="AB957" s="38">
        <v>41.4</v>
      </c>
      <c r="AC957" s="38">
        <v>128.1</v>
      </c>
      <c r="AD957" s="38" t="s">
        <v>198</v>
      </c>
      <c r="AE957" s="53"/>
      <c r="AF957" s="38"/>
      <c r="AG957" s="57" t="s">
        <v>784</v>
      </c>
      <c r="AH957" s="38"/>
      <c r="AI957" s="50">
        <v>41.4</v>
      </c>
      <c r="AJ957" s="50">
        <v>128.1</v>
      </c>
      <c r="AK957" s="41" t="s">
        <v>370</v>
      </c>
      <c r="AL957" s="40" t="s">
        <v>370</v>
      </c>
      <c r="AM957" s="49">
        <v>687.0</v>
      </c>
      <c r="AN957" s="51">
        <v>687.0</v>
      </c>
      <c r="AO957" s="42" t="s">
        <v>584</v>
      </c>
      <c r="AP957" s="43" t="s">
        <v>584</v>
      </c>
      <c r="AQ957" s="44" t="str">
        <f t="shared" si="84"/>
        <v>MF</v>
      </c>
      <c r="AR957" s="44">
        <f t="shared" si="80"/>
        <v>687</v>
      </c>
      <c r="AS957" s="44" t="str">
        <f t="shared" si="85"/>
        <v>D</v>
      </c>
      <c r="AT957" s="44" t="str">
        <f t="shared" si="17"/>
        <v>Dw</v>
      </c>
      <c r="AU957" s="44" t="str">
        <f t="shared" si="2"/>
        <v>Dwb</v>
      </c>
      <c r="AV957" s="38"/>
      <c r="AW957" s="38"/>
      <c r="AX957" s="38"/>
      <c r="AY957" s="38"/>
      <c r="AZ957" s="63" t="s">
        <v>192</v>
      </c>
      <c r="BA957" s="29"/>
      <c r="BB957" s="29">
        <v>2.0</v>
      </c>
      <c r="BC957" s="29"/>
      <c r="BD957" s="29"/>
      <c r="BE957" s="29"/>
      <c r="BF957" s="29" t="s">
        <v>202</v>
      </c>
      <c r="BG957" s="29" t="s">
        <v>203</v>
      </c>
      <c r="BH957" s="29"/>
      <c r="BI957" s="29"/>
      <c r="BJ957" s="29"/>
      <c r="BK957" s="29"/>
      <c r="BL957" s="29"/>
      <c r="BM957" s="45"/>
      <c r="BN957" s="45">
        <v>1.0</v>
      </c>
      <c r="BO957" s="46" t="s">
        <v>1761</v>
      </c>
      <c r="BP957" s="2"/>
      <c r="BQ957" s="3"/>
    </row>
    <row r="958" ht="15.75" customHeight="1">
      <c r="A958" s="34">
        <v>969.0</v>
      </c>
      <c r="B958" s="34">
        <v>102636.0</v>
      </c>
      <c r="C958" s="34" t="s">
        <v>415</v>
      </c>
      <c r="D958" s="34" t="s">
        <v>1753</v>
      </c>
      <c r="E958" s="34" t="s">
        <v>1754</v>
      </c>
      <c r="F958" s="34">
        <v>2019.0</v>
      </c>
      <c r="G958" s="34" t="s">
        <v>1755</v>
      </c>
      <c r="H958" s="34" t="s">
        <v>282</v>
      </c>
      <c r="I958" s="34" t="s">
        <v>1756</v>
      </c>
      <c r="J958" s="35"/>
      <c r="K958" s="36">
        <v>0.09</v>
      </c>
      <c r="L958" s="36">
        <v>1.78</v>
      </c>
      <c r="M958" s="36"/>
      <c r="N958" s="36"/>
      <c r="O958" s="36"/>
      <c r="P958" s="52">
        <f t="shared" si="89"/>
        <v>5.056179775</v>
      </c>
      <c r="Q958" s="36" t="s">
        <v>96</v>
      </c>
      <c r="R958" s="36" t="s">
        <v>96</v>
      </c>
      <c r="S958" s="36" t="s">
        <v>192</v>
      </c>
      <c r="T958" s="36" t="s">
        <v>193</v>
      </c>
      <c r="U958" s="36" t="s">
        <v>194</v>
      </c>
      <c r="V958" s="36">
        <v>379.0</v>
      </c>
      <c r="W958" s="36"/>
      <c r="X958" s="38">
        <v>1.0</v>
      </c>
      <c r="Y958" s="38" t="s">
        <v>1777</v>
      </c>
      <c r="Z958" s="38" t="s">
        <v>1778</v>
      </c>
      <c r="AA958" s="38" t="s">
        <v>452</v>
      </c>
      <c r="AB958" s="38">
        <v>44.32</v>
      </c>
      <c r="AC958" s="38">
        <v>142.26</v>
      </c>
      <c r="AD958" s="38" t="s">
        <v>736</v>
      </c>
      <c r="AE958" s="38">
        <v>340.0</v>
      </c>
      <c r="AF958" s="38"/>
      <c r="AG958" s="38" t="s">
        <v>784</v>
      </c>
      <c r="AH958" s="38"/>
      <c r="AI958" s="50">
        <v>44.32</v>
      </c>
      <c r="AJ958" s="50">
        <v>142.26</v>
      </c>
      <c r="AK958" s="41" t="s">
        <v>370</v>
      </c>
      <c r="AL958" s="40" t="s">
        <v>370</v>
      </c>
      <c r="AM958" s="49">
        <v>344.0</v>
      </c>
      <c r="AN958" s="51">
        <v>344.0</v>
      </c>
      <c r="AO958" s="42" t="s">
        <v>372</v>
      </c>
      <c r="AP958" s="43" t="s">
        <v>107</v>
      </c>
      <c r="AQ958" s="44" t="str">
        <f t="shared" si="84"/>
        <v>MF</v>
      </c>
      <c r="AR958" s="44">
        <f t="shared" si="80"/>
        <v>344</v>
      </c>
      <c r="AS958" s="44" t="str">
        <f t="shared" si="85"/>
        <v>D</v>
      </c>
      <c r="AT958" s="44" t="str">
        <f t="shared" si="17"/>
        <v>Df</v>
      </c>
      <c r="AU958" s="44" t="str">
        <f t="shared" si="2"/>
        <v>Dfb</v>
      </c>
      <c r="AV958" s="38"/>
      <c r="AW958" s="38"/>
      <c r="AX958" s="38"/>
      <c r="AY958" s="38"/>
      <c r="AZ958" s="63" t="s">
        <v>192</v>
      </c>
      <c r="BA958" s="29"/>
      <c r="BB958" s="29">
        <v>2.0</v>
      </c>
      <c r="BC958" s="29"/>
      <c r="BD958" s="29"/>
      <c r="BE958" s="29"/>
      <c r="BF958" s="29" t="s">
        <v>202</v>
      </c>
      <c r="BG958" s="29" t="s">
        <v>203</v>
      </c>
      <c r="BH958" s="29"/>
      <c r="BI958" s="29"/>
      <c r="BJ958" s="29"/>
      <c r="BK958" s="29"/>
      <c r="BL958" s="29"/>
      <c r="BM958" s="45"/>
      <c r="BN958" s="45">
        <v>1.0</v>
      </c>
      <c r="BO958" s="46" t="s">
        <v>1761</v>
      </c>
      <c r="BP958" s="2"/>
      <c r="BQ958" s="3"/>
    </row>
    <row r="959" ht="15.75" customHeight="1">
      <c r="A959" s="34">
        <v>970.0</v>
      </c>
      <c r="B959" s="34">
        <v>102636.0</v>
      </c>
      <c r="C959" s="34" t="s">
        <v>415</v>
      </c>
      <c r="D959" s="34" t="s">
        <v>1753</v>
      </c>
      <c r="E959" s="34" t="s">
        <v>1754</v>
      </c>
      <c r="F959" s="34">
        <v>2019.0</v>
      </c>
      <c r="G959" s="34" t="s">
        <v>1755</v>
      </c>
      <c r="H959" s="34" t="s">
        <v>282</v>
      </c>
      <c r="I959" s="34" t="s">
        <v>1756</v>
      </c>
      <c r="J959" s="35"/>
      <c r="K959" s="36">
        <v>0.26</v>
      </c>
      <c r="L959" s="36">
        <v>3.01</v>
      </c>
      <c r="M959" s="36"/>
      <c r="N959" s="36"/>
      <c r="O959" s="36"/>
      <c r="P959" s="52">
        <f t="shared" si="89"/>
        <v>8.637873754</v>
      </c>
      <c r="Q959" s="36" t="s">
        <v>96</v>
      </c>
      <c r="R959" s="36" t="s">
        <v>96</v>
      </c>
      <c r="S959" s="36" t="s">
        <v>192</v>
      </c>
      <c r="T959" s="36" t="s">
        <v>536</v>
      </c>
      <c r="U959" s="36" t="s">
        <v>507</v>
      </c>
      <c r="V959" s="36">
        <v>139.0</v>
      </c>
      <c r="W959" s="36"/>
      <c r="X959" s="38">
        <v>1.0</v>
      </c>
      <c r="Y959" s="38" t="s">
        <v>1779</v>
      </c>
      <c r="Z959" s="38" t="s">
        <v>1780</v>
      </c>
      <c r="AA959" s="38" t="s">
        <v>86</v>
      </c>
      <c r="AB959" s="38">
        <v>14.14</v>
      </c>
      <c r="AC959" s="38">
        <v>121.27</v>
      </c>
      <c r="AD959" s="38" t="s">
        <v>1781</v>
      </c>
      <c r="AE959" s="53"/>
      <c r="AF959" s="38"/>
      <c r="AG959" s="57" t="s">
        <v>1024</v>
      </c>
      <c r="AH959" s="38"/>
      <c r="AI959" s="50">
        <v>14.14</v>
      </c>
      <c r="AJ959" s="50">
        <v>121.27</v>
      </c>
      <c r="AK959" s="41" t="s">
        <v>362</v>
      </c>
      <c r="AL959" s="40" t="s">
        <v>362</v>
      </c>
      <c r="AM959" s="49">
        <v>36.0</v>
      </c>
      <c r="AN959" s="51">
        <v>36.0</v>
      </c>
      <c r="AO959" s="42" t="s">
        <v>1024</v>
      </c>
      <c r="AP959" s="43" t="s">
        <v>1024</v>
      </c>
      <c r="AQ959" s="44" t="str">
        <f t="shared" si="84"/>
        <v>CRO</v>
      </c>
      <c r="AR959" s="44">
        <f t="shared" si="80"/>
        <v>36</v>
      </c>
      <c r="AS959" s="44" t="str">
        <f t="shared" si="85"/>
        <v>A</v>
      </c>
      <c r="AT959" s="44" t="str">
        <f t="shared" si="17"/>
        <v>Am</v>
      </c>
      <c r="AU959" s="44" t="str">
        <f t="shared" si="2"/>
        <v>Am</v>
      </c>
      <c r="AV959" s="38"/>
      <c r="AW959" s="38"/>
      <c r="AX959" s="38"/>
      <c r="AY959" s="38"/>
      <c r="AZ959" s="63" t="s">
        <v>192</v>
      </c>
      <c r="BA959" s="29"/>
      <c r="BB959" s="29">
        <v>2.0</v>
      </c>
      <c r="BC959" s="29"/>
      <c r="BD959" s="29"/>
      <c r="BE959" s="29"/>
      <c r="BF959" s="29" t="s">
        <v>202</v>
      </c>
      <c r="BG959" s="29" t="s">
        <v>203</v>
      </c>
      <c r="BH959" s="29"/>
      <c r="BI959" s="29"/>
      <c r="BJ959" s="29"/>
      <c r="BK959" s="29"/>
      <c r="BL959" s="29"/>
      <c r="BM959" s="45"/>
      <c r="BN959" s="45">
        <v>1.0</v>
      </c>
      <c r="BO959" s="46" t="s">
        <v>1761</v>
      </c>
      <c r="BP959" s="2"/>
      <c r="BQ959" s="3"/>
    </row>
    <row r="960" ht="15.75" customHeight="1">
      <c r="A960" s="34">
        <v>971.0</v>
      </c>
      <c r="B960" s="34">
        <v>102636.0</v>
      </c>
      <c r="C960" s="34" t="s">
        <v>415</v>
      </c>
      <c r="D960" s="34" t="s">
        <v>1753</v>
      </c>
      <c r="E960" s="34" t="s">
        <v>1754</v>
      </c>
      <c r="F960" s="34">
        <v>2019.0</v>
      </c>
      <c r="G960" s="34" t="s">
        <v>1755</v>
      </c>
      <c r="H960" s="34" t="s">
        <v>282</v>
      </c>
      <c r="I960" s="34" t="s">
        <v>1756</v>
      </c>
      <c r="J960" s="35"/>
      <c r="K960" s="36">
        <v>0.06</v>
      </c>
      <c r="L960" s="36">
        <v>2.33</v>
      </c>
      <c r="M960" s="36"/>
      <c r="N960" s="36"/>
      <c r="O960" s="36"/>
      <c r="P960" s="52">
        <f t="shared" si="89"/>
        <v>2.575107296</v>
      </c>
      <c r="Q960" s="36" t="s">
        <v>96</v>
      </c>
      <c r="R960" s="36" t="s">
        <v>96</v>
      </c>
      <c r="S960" s="36" t="s">
        <v>192</v>
      </c>
      <c r="T960" s="36" t="s">
        <v>193</v>
      </c>
      <c r="U960" s="36" t="s">
        <v>285</v>
      </c>
      <c r="V960" s="36">
        <v>496.0</v>
      </c>
      <c r="W960" s="36"/>
      <c r="X960" s="38">
        <v>1.0</v>
      </c>
      <c r="Y960" s="38" t="s">
        <v>1193</v>
      </c>
      <c r="Z960" s="38" t="s">
        <v>1194</v>
      </c>
      <c r="AA960" s="38" t="s">
        <v>86</v>
      </c>
      <c r="AB960" s="38">
        <v>36.05</v>
      </c>
      <c r="AC960" s="38">
        <v>140.03</v>
      </c>
      <c r="AD960" s="38" t="s">
        <v>736</v>
      </c>
      <c r="AE960" s="38">
        <v>13.0</v>
      </c>
      <c r="AF960" s="38" t="s">
        <v>1197</v>
      </c>
      <c r="AG960" s="38" t="s">
        <v>201</v>
      </c>
      <c r="AH960" s="38"/>
      <c r="AI960" s="50">
        <v>36.07</v>
      </c>
      <c r="AJ960" s="50">
        <v>140.02</v>
      </c>
      <c r="AK960" s="41" t="s">
        <v>362</v>
      </c>
      <c r="AL960" s="40" t="s">
        <v>362</v>
      </c>
      <c r="AM960" s="49">
        <v>16.0</v>
      </c>
      <c r="AN960" s="51">
        <v>16.0</v>
      </c>
      <c r="AO960" s="42" t="s">
        <v>201</v>
      </c>
      <c r="AP960" s="43" t="s">
        <v>201</v>
      </c>
      <c r="AQ960" s="44" t="str">
        <f t="shared" si="84"/>
        <v>CRO</v>
      </c>
      <c r="AR960" s="44">
        <f t="shared" si="80"/>
        <v>16</v>
      </c>
      <c r="AS960" s="44" t="str">
        <f t="shared" si="85"/>
        <v>C</v>
      </c>
      <c r="AT960" s="44" t="str">
        <f t="shared" si="17"/>
        <v>Cf</v>
      </c>
      <c r="AU960" s="44" t="str">
        <f t="shared" si="2"/>
        <v>Cfa</v>
      </c>
      <c r="AV960" s="38"/>
      <c r="AW960" s="38"/>
      <c r="AX960" s="38"/>
      <c r="AY960" s="38"/>
      <c r="AZ960" s="63" t="s">
        <v>192</v>
      </c>
      <c r="BA960" s="29"/>
      <c r="BB960" s="29">
        <v>2.0</v>
      </c>
      <c r="BC960" s="29"/>
      <c r="BD960" s="29"/>
      <c r="BE960" s="29"/>
      <c r="BF960" s="29" t="s">
        <v>202</v>
      </c>
      <c r="BG960" s="29" t="s">
        <v>203</v>
      </c>
      <c r="BH960" s="29"/>
      <c r="BI960" s="29"/>
      <c r="BJ960" s="29"/>
      <c r="BK960" s="29"/>
      <c r="BL960" s="29"/>
      <c r="BM960" s="45"/>
      <c r="BN960" s="45">
        <v>1.0</v>
      </c>
      <c r="BO960" s="46" t="s">
        <v>1761</v>
      </c>
      <c r="BP960" s="2"/>
      <c r="BQ960" s="3"/>
    </row>
    <row r="961" ht="15.75" customHeight="1">
      <c r="A961" s="34">
        <v>972.0</v>
      </c>
      <c r="B961" s="34">
        <v>102636.0</v>
      </c>
      <c r="C961" s="34" t="s">
        <v>415</v>
      </c>
      <c r="D961" s="34" t="s">
        <v>1753</v>
      </c>
      <c r="E961" s="34" t="s">
        <v>1754</v>
      </c>
      <c r="F961" s="34">
        <v>2019.0</v>
      </c>
      <c r="G961" s="34" t="s">
        <v>1755</v>
      </c>
      <c r="H961" s="34" t="s">
        <v>282</v>
      </c>
      <c r="I961" s="34" t="s">
        <v>1756</v>
      </c>
      <c r="J961" s="35"/>
      <c r="K961" s="36">
        <v>-0.27</v>
      </c>
      <c r="L961" s="36">
        <v>1.58</v>
      </c>
      <c r="M961" s="36"/>
      <c r="N961" s="36"/>
      <c r="O961" s="36"/>
      <c r="P961" s="52">
        <f t="shared" si="89"/>
        <v>-17.08860759</v>
      </c>
      <c r="Q961" s="36" t="s">
        <v>96</v>
      </c>
      <c r="R961" s="36" t="s">
        <v>96</v>
      </c>
      <c r="S961" s="36" t="s">
        <v>192</v>
      </c>
      <c r="T961" s="36" t="s">
        <v>193</v>
      </c>
      <c r="U961" s="36" t="s">
        <v>968</v>
      </c>
      <c r="V961" s="36">
        <v>294.0</v>
      </c>
      <c r="W961" s="36"/>
      <c r="X961" s="38">
        <v>1.0</v>
      </c>
      <c r="Y961" s="38" t="s">
        <v>1783</v>
      </c>
      <c r="Z961" s="38" t="s">
        <v>1784</v>
      </c>
      <c r="AA961" s="38" t="s">
        <v>86</v>
      </c>
      <c r="AB961" s="38">
        <v>36.83</v>
      </c>
      <c r="AC961" s="38">
        <v>116.57</v>
      </c>
      <c r="AD961" s="38" t="s">
        <v>198</v>
      </c>
      <c r="AE961" s="38">
        <v>28.0</v>
      </c>
      <c r="AF961" s="38" t="s">
        <v>607</v>
      </c>
      <c r="AG961" s="38" t="s">
        <v>218</v>
      </c>
      <c r="AH961" s="38"/>
      <c r="AI961" s="50">
        <v>36.83</v>
      </c>
      <c r="AJ961" s="50">
        <v>116.57</v>
      </c>
      <c r="AK961" s="41" t="s">
        <v>86</v>
      </c>
      <c r="AL961" s="40" t="s">
        <v>86</v>
      </c>
      <c r="AM961" s="49">
        <v>22.0</v>
      </c>
      <c r="AN961" s="51">
        <v>22.0</v>
      </c>
      <c r="AO961" s="42" t="s">
        <v>218</v>
      </c>
      <c r="AP961" s="43" t="s">
        <v>218</v>
      </c>
      <c r="AQ961" s="44" t="str">
        <f t="shared" si="84"/>
        <v>CRO</v>
      </c>
      <c r="AR961" s="44">
        <f t="shared" si="80"/>
        <v>22</v>
      </c>
      <c r="AS961" s="44" t="str">
        <f t="shared" si="85"/>
        <v>D</v>
      </c>
      <c r="AT961" s="44" t="str">
        <f t="shared" si="17"/>
        <v>Dw</v>
      </c>
      <c r="AU961" s="44" t="str">
        <f t="shared" si="2"/>
        <v>Dwa</v>
      </c>
      <c r="AV961" s="38"/>
      <c r="AW961" s="38"/>
      <c r="AX961" s="38"/>
      <c r="AY961" s="38"/>
      <c r="AZ961" s="63" t="s">
        <v>192</v>
      </c>
      <c r="BA961" s="29"/>
      <c r="BB961" s="29">
        <v>2.0</v>
      </c>
      <c r="BC961" s="29"/>
      <c r="BD961" s="29"/>
      <c r="BE961" s="29"/>
      <c r="BF961" s="29" t="s">
        <v>202</v>
      </c>
      <c r="BG961" s="29" t="s">
        <v>203</v>
      </c>
      <c r="BH961" s="29"/>
      <c r="BI961" s="29"/>
      <c r="BJ961" s="29"/>
      <c r="BK961" s="29"/>
      <c r="BL961" s="29"/>
      <c r="BM961" s="45"/>
      <c r="BN961" s="45">
        <v>1.0</v>
      </c>
      <c r="BO961" s="46" t="s">
        <v>1761</v>
      </c>
      <c r="BP961" s="2"/>
      <c r="BQ961" s="3"/>
    </row>
    <row r="962" ht="15.75" customHeight="1">
      <c r="A962" s="34">
        <v>973.0</v>
      </c>
      <c r="B962" s="34">
        <v>102636.0</v>
      </c>
      <c r="C962" s="34" t="s">
        <v>415</v>
      </c>
      <c r="D962" s="34" t="s">
        <v>1753</v>
      </c>
      <c r="E962" s="34" t="s">
        <v>1754</v>
      </c>
      <c r="F962" s="34">
        <v>2019.0</v>
      </c>
      <c r="G962" s="34" t="s">
        <v>1755</v>
      </c>
      <c r="H962" s="34" t="s">
        <v>282</v>
      </c>
      <c r="I962" s="34" t="s">
        <v>1756</v>
      </c>
      <c r="J962" s="35"/>
      <c r="K962" s="36">
        <v>0.3</v>
      </c>
      <c r="L962" s="36">
        <v>0.95</v>
      </c>
      <c r="M962" s="36"/>
      <c r="N962" s="36"/>
      <c r="O962" s="36"/>
      <c r="P962" s="52">
        <f t="shared" si="89"/>
        <v>31.57894737</v>
      </c>
      <c r="Q962" s="36" t="s">
        <v>96</v>
      </c>
      <c r="R962" s="36" t="s">
        <v>96</v>
      </c>
      <c r="S962" s="36" t="s">
        <v>192</v>
      </c>
      <c r="T962" s="36" t="s">
        <v>193</v>
      </c>
      <c r="U962" s="36" t="s">
        <v>968</v>
      </c>
      <c r="V962" s="36">
        <v>264.0</v>
      </c>
      <c r="W962" s="36"/>
      <c r="X962" s="38">
        <v>1.0</v>
      </c>
      <c r="Y962" s="38" t="s">
        <v>593</v>
      </c>
      <c r="Z962" s="38" t="s">
        <v>594</v>
      </c>
      <c r="AA962" s="38" t="s">
        <v>288</v>
      </c>
      <c r="AB962" s="38">
        <v>37.61</v>
      </c>
      <c r="AC962" s="38">
        <v>101.33</v>
      </c>
      <c r="AD962" s="38" t="s">
        <v>198</v>
      </c>
      <c r="AE962" s="38">
        <v>3250.0</v>
      </c>
      <c r="AF962" s="38" t="s">
        <v>1341</v>
      </c>
      <c r="AG962" s="38" t="s">
        <v>293</v>
      </c>
      <c r="AH962" s="38"/>
      <c r="AI962" s="50">
        <v>37.61</v>
      </c>
      <c r="AJ962" s="50">
        <v>101.33</v>
      </c>
      <c r="AK962" s="41" t="s">
        <v>288</v>
      </c>
      <c r="AL962" s="40" t="s">
        <v>288</v>
      </c>
      <c r="AM962" s="49">
        <v>3201.0</v>
      </c>
      <c r="AN962" s="51">
        <v>3201.0</v>
      </c>
      <c r="AO962" s="42" t="s">
        <v>597</v>
      </c>
      <c r="AP962" s="43" t="s">
        <v>597</v>
      </c>
      <c r="AQ962" s="44" t="str">
        <f t="shared" si="84"/>
        <v>GRA</v>
      </c>
      <c r="AR962" s="44">
        <f t="shared" si="80"/>
        <v>3201</v>
      </c>
      <c r="AS962" s="44" t="str">
        <f t="shared" si="85"/>
        <v>D</v>
      </c>
      <c r="AT962" s="44" t="str">
        <f t="shared" si="17"/>
        <v>Dw</v>
      </c>
      <c r="AU962" s="44" t="str">
        <f t="shared" si="2"/>
        <v>Dwc</v>
      </c>
      <c r="AV962" s="38"/>
      <c r="AW962" s="38"/>
      <c r="AX962" s="38"/>
      <c r="AY962" s="38"/>
      <c r="AZ962" s="63" t="s">
        <v>192</v>
      </c>
      <c r="BA962" s="29"/>
      <c r="BB962" s="29">
        <v>2.0</v>
      </c>
      <c r="BC962" s="29"/>
      <c r="BD962" s="29"/>
      <c r="BE962" s="29"/>
      <c r="BF962" s="29" t="s">
        <v>202</v>
      </c>
      <c r="BG962" s="29" t="s">
        <v>203</v>
      </c>
      <c r="BH962" s="29"/>
      <c r="BI962" s="29"/>
      <c r="BJ962" s="29"/>
      <c r="BK962" s="29"/>
      <c r="BL962" s="29"/>
      <c r="BM962" s="45"/>
      <c r="BN962" s="45">
        <v>1.0</v>
      </c>
      <c r="BO962" s="46" t="s">
        <v>1761</v>
      </c>
      <c r="BP962" s="2"/>
      <c r="BQ962" s="3"/>
    </row>
    <row r="963" ht="15.75" customHeight="1">
      <c r="A963" s="34">
        <v>974.0</v>
      </c>
      <c r="B963" s="34">
        <v>102636.0</v>
      </c>
      <c r="C963" s="34" t="s">
        <v>415</v>
      </c>
      <c r="D963" s="34" t="s">
        <v>1753</v>
      </c>
      <c r="E963" s="34" t="s">
        <v>1754</v>
      </c>
      <c r="F963" s="34">
        <v>2019.0</v>
      </c>
      <c r="G963" s="34" t="s">
        <v>1755</v>
      </c>
      <c r="H963" s="34" t="s">
        <v>282</v>
      </c>
      <c r="I963" s="34" t="s">
        <v>1756</v>
      </c>
      <c r="J963" s="35"/>
      <c r="K963" s="36">
        <v>-0.04</v>
      </c>
      <c r="L963" s="36">
        <v>1.37</v>
      </c>
      <c r="M963" s="36"/>
      <c r="N963" s="36"/>
      <c r="O963" s="36"/>
      <c r="P963" s="52">
        <f t="shared" si="89"/>
        <v>-2.919708029</v>
      </c>
      <c r="Q963" s="36" t="s">
        <v>96</v>
      </c>
      <c r="R963" s="36" t="s">
        <v>96</v>
      </c>
      <c r="S963" s="36" t="s">
        <v>192</v>
      </c>
      <c r="T963" s="36" t="s">
        <v>193</v>
      </c>
      <c r="U963" s="36" t="s">
        <v>968</v>
      </c>
      <c r="V963" s="36">
        <v>286.0</v>
      </c>
      <c r="W963" s="36"/>
      <c r="X963" s="38">
        <v>1.0</v>
      </c>
      <c r="Y963" s="38" t="s">
        <v>1785</v>
      </c>
      <c r="Z963" s="38" t="s">
        <v>1786</v>
      </c>
      <c r="AA963" s="38" t="s">
        <v>288</v>
      </c>
      <c r="AB963" s="38">
        <v>37.48</v>
      </c>
      <c r="AC963" s="38">
        <v>101.2</v>
      </c>
      <c r="AD963" s="38" t="s">
        <v>198</v>
      </c>
      <c r="AE963" s="53"/>
      <c r="AF963" s="38"/>
      <c r="AG963" s="57" t="s">
        <v>107</v>
      </c>
      <c r="AH963" s="38"/>
      <c r="AI963" s="50">
        <v>37.48</v>
      </c>
      <c r="AJ963" s="50">
        <v>101.2</v>
      </c>
      <c r="AK963" s="41" t="s">
        <v>288</v>
      </c>
      <c r="AL963" s="40" t="s">
        <v>288</v>
      </c>
      <c r="AM963" s="49">
        <v>3382.0</v>
      </c>
      <c r="AN963" s="51">
        <v>3382.0</v>
      </c>
      <c r="AO963" s="42" t="s">
        <v>597</v>
      </c>
      <c r="AP963" s="43" t="s">
        <v>597</v>
      </c>
      <c r="AQ963" s="44" t="str">
        <f t="shared" si="84"/>
        <v>GRA</v>
      </c>
      <c r="AR963" s="44">
        <f t="shared" si="80"/>
        <v>3382</v>
      </c>
      <c r="AS963" s="44" t="str">
        <f t="shared" si="85"/>
        <v>D</v>
      </c>
      <c r="AT963" s="44" t="str">
        <f t="shared" si="17"/>
        <v>Dw</v>
      </c>
      <c r="AU963" s="44" t="str">
        <f t="shared" si="2"/>
        <v>Dwc</v>
      </c>
      <c r="AV963" s="38"/>
      <c r="AW963" s="38"/>
      <c r="AX963" s="38"/>
      <c r="AY963" s="38"/>
      <c r="AZ963" s="63" t="s">
        <v>192</v>
      </c>
      <c r="BA963" s="29"/>
      <c r="BB963" s="29">
        <v>2.0</v>
      </c>
      <c r="BC963" s="29"/>
      <c r="BD963" s="29"/>
      <c r="BE963" s="29"/>
      <c r="BF963" s="29" t="s">
        <v>202</v>
      </c>
      <c r="BG963" s="29" t="s">
        <v>203</v>
      </c>
      <c r="BH963" s="29"/>
      <c r="BI963" s="29"/>
      <c r="BJ963" s="29"/>
      <c r="BK963" s="29"/>
      <c r="BL963" s="29"/>
      <c r="BM963" s="45"/>
      <c r="BN963" s="45">
        <v>1.0</v>
      </c>
      <c r="BO963" s="46" t="s">
        <v>1761</v>
      </c>
      <c r="BP963" s="2"/>
      <c r="BQ963" s="3"/>
    </row>
    <row r="964" ht="15.75" customHeight="1">
      <c r="A964" s="34">
        <v>975.0</v>
      </c>
      <c r="B964" s="34">
        <v>102636.0</v>
      </c>
      <c r="C964" s="34" t="s">
        <v>415</v>
      </c>
      <c r="D964" s="34" t="s">
        <v>1753</v>
      </c>
      <c r="E964" s="34" t="s">
        <v>1754</v>
      </c>
      <c r="F964" s="34">
        <v>2019.0</v>
      </c>
      <c r="G964" s="34" t="s">
        <v>1755</v>
      </c>
      <c r="H964" s="34" t="s">
        <v>282</v>
      </c>
      <c r="I964" s="34" t="s">
        <v>1756</v>
      </c>
      <c r="J964" s="35"/>
      <c r="K964" s="36">
        <v>0.41</v>
      </c>
      <c r="L964" s="36">
        <v>0.46</v>
      </c>
      <c r="M964" s="36"/>
      <c r="N964" s="36"/>
      <c r="O964" s="36"/>
      <c r="P964" s="52">
        <f t="shared" si="89"/>
        <v>89.13043478</v>
      </c>
      <c r="Q964" s="36" t="s">
        <v>96</v>
      </c>
      <c r="R964" s="36" t="s">
        <v>96</v>
      </c>
      <c r="S964" s="36" t="s">
        <v>192</v>
      </c>
      <c r="T964" s="36" t="s">
        <v>193</v>
      </c>
      <c r="U964" s="36" t="s">
        <v>676</v>
      </c>
      <c r="V964" s="36">
        <v>914.0</v>
      </c>
      <c r="W964" s="36"/>
      <c r="X964" s="38">
        <v>1.0</v>
      </c>
      <c r="Y964" s="38" t="s">
        <v>1278</v>
      </c>
      <c r="Z964" s="38" t="s">
        <v>1279</v>
      </c>
      <c r="AA964" s="38" t="s">
        <v>288</v>
      </c>
      <c r="AB964" s="38">
        <v>47.21</v>
      </c>
      <c r="AC964" s="38">
        <v>108.74</v>
      </c>
      <c r="AD964" s="38" t="s">
        <v>1250</v>
      </c>
      <c r="AE964" s="38">
        <v>1235.0</v>
      </c>
      <c r="AF964" s="38"/>
      <c r="AG964" s="38" t="s">
        <v>293</v>
      </c>
      <c r="AH964" s="38"/>
      <c r="AI964" s="50">
        <v>47.21</v>
      </c>
      <c r="AJ964" s="50">
        <v>108.74</v>
      </c>
      <c r="AK964" s="41" t="s">
        <v>288</v>
      </c>
      <c r="AL964" s="40" t="s">
        <v>288</v>
      </c>
      <c r="AM964" s="49">
        <v>1250.0</v>
      </c>
      <c r="AN964" s="51">
        <v>1250.0</v>
      </c>
      <c r="AO964" s="42" t="s">
        <v>293</v>
      </c>
      <c r="AP964" s="43" t="s">
        <v>293</v>
      </c>
      <c r="AQ964" s="44" t="str">
        <f t="shared" si="84"/>
        <v>GRA</v>
      </c>
      <c r="AR964" s="44">
        <f t="shared" si="80"/>
        <v>1250</v>
      </c>
      <c r="AS964" s="44" t="str">
        <f t="shared" si="85"/>
        <v>B</v>
      </c>
      <c r="AT964" s="44" t="str">
        <f t="shared" si="17"/>
        <v>BS</v>
      </c>
      <c r="AU964" s="44" t="str">
        <f t="shared" si="2"/>
        <v>BSk</v>
      </c>
      <c r="AV964" s="38"/>
      <c r="AW964" s="38"/>
      <c r="AX964" s="38"/>
      <c r="AY964" s="38"/>
      <c r="AZ964" s="63" t="s">
        <v>192</v>
      </c>
      <c r="BA964" s="29"/>
      <c r="BB964" s="29">
        <v>2.0</v>
      </c>
      <c r="BC964" s="29"/>
      <c r="BD964" s="29"/>
      <c r="BE964" s="29"/>
      <c r="BF964" s="29" t="s">
        <v>202</v>
      </c>
      <c r="BG964" s="29" t="s">
        <v>203</v>
      </c>
      <c r="BH964" s="29"/>
      <c r="BI964" s="29"/>
      <c r="BJ964" s="29"/>
      <c r="BK964" s="29"/>
      <c r="BL964" s="29"/>
      <c r="BM964" s="45"/>
      <c r="BN964" s="45">
        <v>1.0</v>
      </c>
      <c r="BO964" s="46" t="s">
        <v>1761</v>
      </c>
      <c r="BP964" s="2"/>
      <c r="BQ964" s="3"/>
    </row>
    <row r="965" ht="15.75" customHeight="1">
      <c r="A965" s="34">
        <v>976.0</v>
      </c>
      <c r="B965" s="34">
        <v>104038.0</v>
      </c>
      <c r="C965" s="34" t="s">
        <v>415</v>
      </c>
      <c r="D965" s="34" t="s">
        <v>1788</v>
      </c>
      <c r="E965" s="34" t="s">
        <v>1789</v>
      </c>
      <c r="F965" s="34">
        <v>2021.0</v>
      </c>
      <c r="G965" s="34" t="s">
        <v>1790</v>
      </c>
      <c r="H965" s="34" t="s">
        <v>282</v>
      </c>
      <c r="I965" s="34" t="s">
        <v>1791</v>
      </c>
      <c r="J965" s="35"/>
      <c r="K965" s="36">
        <v>0.33</v>
      </c>
      <c r="L965" s="36"/>
      <c r="M965" s="36"/>
      <c r="N965" s="36">
        <v>16.54</v>
      </c>
      <c r="O965" s="36">
        <v>121.09</v>
      </c>
      <c r="P965" s="37">
        <v>18.8</v>
      </c>
      <c r="Q965" s="36" t="s">
        <v>1792</v>
      </c>
      <c r="R965" s="36" t="s">
        <v>209</v>
      </c>
      <c r="S965" s="36" t="s">
        <v>1793</v>
      </c>
      <c r="T965" s="36" t="s">
        <v>193</v>
      </c>
      <c r="U965" s="36" t="s">
        <v>507</v>
      </c>
      <c r="V965" s="36">
        <v>1584.0</v>
      </c>
      <c r="W965" s="36"/>
      <c r="X965" s="38">
        <v>16.0</v>
      </c>
      <c r="Y965" s="38"/>
      <c r="Z965" s="38"/>
      <c r="AA965" s="38" t="s">
        <v>452</v>
      </c>
      <c r="AB965" s="38"/>
      <c r="AC965" s="38"/>
      <c r="AD965" s="38" t="s">
        <v>1794</v>
      </c>
      <c r="AE965" s="38"/>
      <c r="AF965" s="38"/>
      <c r="AG965" s="38"/>
      <c r="AH965" s="38"/>
      <c r="AI965" s="40"/>
      <c r="AJ965" s="40"/>
      <c r="AK965" s="41"/>
      <c r="AL965" s="40"/>
      <c r="AM965" s="49"/>
      <c r="AN965" s="43"/>
      <c r="AO965" s="42"/>
      <c r="AP965" s="43"/>
      <c r="AQ965" s="44" t="str">
        <f t="shared" si="84"/>
        <v>MF</v>
      </c>
      <c r="AR965" s="44" t="str">
        <f t="shared" si="80"/>
        <v/>
      </c>
      <c r="AS965" s="44"/>
      <c r="AT965" s="44" t="str">
        <f t="shared" si="17"/>
        <v/>
      </c>
      <c r="AU965" s="44" t="str">
        <f t="shared" si="2"/>
        <v/>
      </c>
      <c r="AV965" s="38">
        <v>1.0</v>
      </c>
      <c r="AW965" s="38"/>
      <c r="AX965" s="38"/>
      <c r="AY965" s="38" t="s">
        <v>92</v>
      </c>
      <c r="AZ965" s="29">
        <v>1000.0</v>
      </c>
      <c r="BA965" s="29">
        <v>1.0</v>
      </c>
      <c r="BB965" s="29">
        <v>2.0</v>
      </c>
      <c r="BC965" s="29" t="s">
        <v>1795</v>
      </c>
      <c r="BD965" s="29"/>
      <c r="BE965" s="29"/>
      <c r="BF965" s="29" t="s">
        <v>219</v>
      </c>
      <c r="BG965" s="29" t="s">
        <v>220</v>
      </c>
      <c r="BH965" s="29" t="s">
        <v>92</v>
      </c>
      <c r="BI965" s="29"/>
      <c r="BJ965" s="29"/>
      <c r="BK965" s="29"/>
      <c r="BL965" s="29"/>
      <c r="BM965" s="45"/>
      <c r="BN965" s="45">
        <v>1.0</v>
      </c>
      <c r="BO965" s="46" t="s">
        <v>1796</v>
      </c>
      <c r="BP965" s="2"/>
      <c r="BQ965" s="3"/>
    </row>
    <row r="966" ht="15.75" customHeight="1">
      <c r="A966" s="34">
        <v>977.0</v>
      </c>
      <c r="B966" s="34">
        <v>104038.0</v>
      </c>
      <c r="C966" s="34" t="s">
        <v>832</v>
      </c>
      <c r="D966" s="34" t="s">
        <v>1788</v>
      </c>
      <c r="E966" s="34" t="s">
        <v>1789</v>
      </c>
      <c r="F966" s="34">
        <v>2021.0</v>
      </c>
      <c r="G966" s="34" t="s">
        <v>1790</v>
      </c>
      <c r="H966" s="34" t="s">
        <v>282</v>
      </c>
      <c r="I966" s="34" t="s">
        <v>1791</v>
      </c>
      <c r="J966" s="35"/>
      <c r="K966" s="36"/>
      <c r="L966" s="36"/>
      <c r="M966" s="36"/>
      <c r="N966" s="36"/>
      <c r="O966" s="36"/>
      <c r="P966" s="72">
        <v>152.9</v>
      </c>
      <c r="Q966" s="36" t="s">
        <v>1792</v>
      </c>
      <c r="R966" s="36" t="s">
        <v>209</v>
      </c>
      <c r="S966" s="36"/>
      <c r="T966" s="36" t="s">
        <v>193</v>
      </c>
      <c r="U966" s="36" t="s">
        <v>968</v>
      </c>
      <c r="V966" s="36"/>
      <c r="W966" s="36"/>
      <c r="X966" s="38">
        <v>1.0</v>
      </c>
      <c r="Y966" s="38" t="s">
        <v>1771</v>
      </c>
      <c r="Z966" s="38"/>
      <c r="AA966" s="38" t="s">
        <v>452</v>
      </c>
      <c r="AB966" s="38">
        <v>14.59</v>
      </c>
      <c r="AC966" s="38">
        <v>98.844</v>
      </c>
      <c r="AD966" s="38"/>
      <c r="AE966" s="38">
        <v>231.0</v>
      </c>
      <c r="AF966" s="38"/>
      <c r="AG966" s="38" t="s">
        <v>1024</v>
      </c>
      <c r="AH966" s="38"/>
      <c r="AI966" s="50">
        <v>14.59</v>
      </c>
      <c r="AJ966" s="50">
        <v>98.844</v>
      </c>
      <c r="AK966" s="41" t="s">
        <v>336</v>
      </c>
      <c r="AL966" s="40"/>
      <c r="AM966" s="49">
        <v>357.0</v>
      </c>
      <c r="AN966" s="43"/>
      <c r="AO966" s="42" t="s">
        <v>335</v>
      </c>
      <c r="AP966" s="43"/>
      <c r="AQ966" s="44" t="str">
        <f t="shared" si="84"/>
        <v>MF</v>
      </c>
      <c r="AR966" s="44">
        <f t="shared" si="80"/>
        <v>357</v>
      </c>
      <c r="AS966" s="44" t="str">
        <f t="shared" ref="AS966:AS988" si="90">LEFT(AO966,1)</f>
        <v>A</v>
      </c>
      <c r="AT966" s="44" t="s">
        <v>335</v>
      </c>
      <c r="AU966" s="44" t="str">
        <f t="shared" ref="AU966:AU988" si="91">AO966</f>
        <v>Aw</v>
      </c>
      <c r="AV966" s="38">
        <v>1.0</v>
      </c>
      <c r="AW966" s="38"/>
      <c r="AX966" s="38"/>
      <c r="AY966" s="38" t="s">
        <v>92</v>
      </c>
      <c r="AZ966" s="29">
        <v>1000.0</v>
      </c>
      <c r="BA966" s="29">
        <v>1.0</v>
      </c>
      <c r="BB966" s="29">
        <v>2.0</v>
      </c>
      <c r="BC966" s="29" t="s">
        <v>1795</v>
      </c>
      <c r="BD966" s="29"/>
      <c r="BE966" s="29"/>
      <c r="BF966" s="29" t="s">
        <v>219</v>
      </c>
      <c r="BG966" s="29" t="s">
        <v>220</v>
      </c>
      <c r="BH966" s="29" t="s">
        <v>92</v>
      </c>
      <c r="BI966" s="29"/>
      <c r="BJ966" s="29"/>
      <c r="BK966" s="29"/>
      <c r="BL966" s="29"/>
      <c r="BM966" s="45"/>
      <c r="BN966" s="45">
        <v>1.0</v>
      </c>
      <c r="BO966" s="46" t="s">
        <v>1796</v>
      </c>
      <c r="BP966" s="2"/>
      <c r="BQ966" s="3"/>
    </row>
    <row r="967" ht="15.75" customHeight="1">
      <c r="A967" s="34">
        <v>978.0</v>
      </c>
      <c r="B967" s="34">
        <v>104038.0</v>
      </c>
      <c r="C967" s="34" t="s">
        <v>832</v>
      </c>
      <c r="D967" s="34" t="s">
        <v>1788</v>
      </c>
      <c r="E967" s="34" t="s">
        <v>1789</v>
      </c>
      <c r="F967" s="34">
        <v>2021.0</v>
      </c>
      <c r="G967" s="34" t="s">
        <v>1790</v>
      </c>
      <c r="H967" s="34" t="s">
        <v>282</v>
      </c>
      <c r="I967" s="34" t="s">
        <v>1791</v>
      </c>
      <c r="J967" s="35"/>
      <c r="K967" s="36"/>
      <c r="L967" s="36"/>
      <c r="M967" s="36"/>
      <c r="N967" s="36"/>
      <c r="O967" s="36"/>
      <c r="P967" s="37">
        <v>29.7</v>
      </c>
      <c r="Q967" s="36" t="s">
        <v>1792</v>
      </c>
      <c r="R967" s="36" t="s">
        <v>209</v>
      </c>
      <c r="S967" s="36"/>
      <c r="T967" s="36" t="s">
        <v>350</v>
      </c>
      <c r="U967" s="36" t="s">
        <v>351</v>
      </c>
      <c r="V967" s="36"/>
      <c r="W967" s="36"/>
      <c r="X967" s="38">
        <v>1.0</v>
      </c>
      <c r="Y967" s="38" t="s">
        <v>1758</v>
      </c>
      <c r="Z967" s="38"/>
      <c r="AA967" s="38" t="s">
        <v>197</v>
      </c>
      <c r="AB967" s="38">
        <v>24.583</v>
      </c>
      <c r="AC967" s="38">
        <v>121.4</v>
      </c>
      <c r="AD967" s="38"/>
      <c r="AE967" s="38">
        <v>1600.0</v>
      </c>
      <c r="AF967" s="38"/>
      <c r="AG967" s="38" t="s">
        <v>784</v>
      </c>
      <c r="AH967" s="38"/>
      <c r="AI967" s="50">
        <v>24.583</v>
      </c>
      <c r="AJ967" s="50">
        <v>121.4</v>
      </c>
      <c r="AK967" s="41" t="s">
        <v>336</v>
      </c>
      <c r="AL967" s="40"/>
      <c r="AM967" s="49">
        <v>1911.0</v>
      </c>
      <c r="AN967" s="43"/>
      <c r="AO967" s="42" t="s">
        <v>376</v>
      </c>
      <c r="AP967" s="43"/>
      <c r="AQ967" s="44" t="str">
        <f t="shared" si="84"/>
        <v>ENF</v>
      </c>
      <c r="AR967" s="44">
        <f t="shared" si="80"/>
        <v>1911</v>
      </c>
      <c r="AS967" s="44" t="str">
        <f t="shared" si="90"/>
        <v>C</v>
      </c>
      <c r="AT967" s="44" t="s">
        <v>1797</v>
      </c>
      <c r="AU967" s="44" t="str">
        <f t="shared" si="91"/>
        <v>Cfb</v>
      </c>
      <c r="AV967" s="38">
        <v>1.0</v>
      </c>
      <c r="AW967" s="38"/>
      <c r="AX967" s="38"/>
      <c r="AY967" s="38" t="s">
        <v>92</v>
      </c>
      <c r="AZ967" s="29">
        <v>1000.0</v>
      </c>
      <c r="BA967" s="29">
        <v>1.0</v>
      </c>
      <c r="BB967" s="29">
        <v>2.0</v>
      </c>
      <c r="BC967" s="29" t="s">
        <v>1795</v>
      </c>
      <c r="BD967" s="29"/>
      <c r="BE967" s="29"/>
      <c r="BF967" s="29" t="s">
        <v>219</v>
      </c>
      <c r="BG967" s="29" t="s">
        <v>220</v>
      </c>
      <c r="BH967" s="29" t="s">
        <v>92</v>
      </c>
      <c r="BI967" s="29"/>
      <c r="BJ967" s="29"/>
      <c r="BK967" s="29"/>
      <c r="BL967" s="29"/>
      <c r="BM967" s="45"/>
      <c r="BN967" s="45">
        <v>1.0</v>
      </c>
      <c r="BO967" s="46" t="s">
        <v>1796</v>
      </c>
      <c r="BP967" s="2"/>
      <c r="BQ967" s="3"/>
    </row>
    <row r="968" ht="15.75" customHeight="1">
      <c r="A968" s="34">
        <v>979.0</v>
      </c>
      <c r="B968" s="34">
        <v>104038.0</v>
      </c>
      <c r="C968" s="34" t="s">
        <v>832</v>
      </c>
      <c r="D968" s="34" t="s">
        <v>1788</v>
      </c>
      <c r="E968" s="34" t="s">
        <v>1789</v>
      </c>
      <c r="F968" s="34">
        <v>2021.0</v>
      </c>
      <c r="G968" s="34" t="s">
        <v>1790</v>
      </c>
      <c r="H968" s="34" t="s">
        <v>282</v>
      </c>
      <c r="I968" s="34" t="s">
        <v>1791</v>
      </c>
      <c r="J968" s="35"/>
      <c r="K968" s="36"/>
      <c r="L968" s="36"/>
      <c r="M968" s="36"/>
      <c r="N968" s="36"/>
      <c r="O968" s="36"/>
      <c r="P968" s="37">
        <v>46.7</v>
      </c>
      <c r="Q968" s="36" t="s">
        <v>1792</v>
      </c>
      <c r="R968" s="36" t="s">
        <v>209</v>
      </c>
      <c r="S968" s="36"/>
      <c r="T968" s="36" t="s">
        <v>193</v>
      </c>
      <c r="U968" s="36" t="s">
        <v>194</v>
      </c>
      <c r="V968" s="36"/>
      <c r="W968" s="36"/>
      <c r="X968" s="38">
        <v>1.0</v>
      </c>
      <c r="Y968" s="38" t="s">
        <v>587</v>
      </c>
      <c r="Z968" s="38"/>
      <c r="AA968" s="38" t="s">
        <v>336</v>
      </c>
      <c r="AB968" s="38">
        <v>23.167</v>
      </c>
      <c r="AC968" s="38">
        <v>112.567</v>
      </c>
      <c r="AD968" s="38"/>
      <c r="AE968" s="38">
        <v>1000.0</v>
      </c>
      <c r="AF968" s="38"/>
      <c r="AG968" s="38" t="s">
        <v>1024</v>
      </c>
      <c r="AH968" s="38"/>
      <c r="AI968" s="50">
        <v>23.167</v>
      </c>
      <c r="AJ968" s="50">
        <v>112.567</v>
      </c>
      <c r="AK968" s="41" t="s">
        <v>505</v>
      </c>
      <c r="AL968" s="40"/>
      <c r="AM968" s="49">
        <v>4.0</v>
      </c>
      <c r="AN968" s="43"/>
      <c r="AO968" s="42" t="s">
        <v>201</v>
      </c>
      <c r="AP968" s="43"/>
      <c r="AQ968" s="44" t="str">
        <f t="shared" si="84"/>
        <v>EBF</v>
      </c>
      <c r="AR968" s="44">
        <f t="shared" si="80"/>
        <v>4</v>
      </c>
      <c r="AS968" s="44" t="str">
        <f t="shared" si="90"/>
        <v>C</v>
      </c>
      <c r="AT968" s="44" t="s">
        <v>1797</v>
      </c>
      <c r="AU968" s="44" t="str">
        <f t="shared" si="91"/>
        <v>Cfa</v>
      </c>
      <c r="AV968" s="38">
        <v>1.0</v>
      </c>
      <c r="AW968" s="38"/>
      <c r="AX968" s="38"/>
      <c r="AY968" s="38" t="s">
        <v>92</v>
      </c>
      <c r="AZ968" s="29">
        <v>1000.0</v>
      </c>
      <c r="BA968" s="29">
        <v>1.0</v>
      </c>
      <c r="BB968" s="29">
        <v>2.0</v>
      </c>
      <c r="BC968" s="29" t="s">
        <v>1795</v>
      </c>
      <c r="BD968" s="29"/>
      <c r="BE968" s="29"/>
      <c r="BF968" s="29" t="s">
        <v>219</v>
      </c>
      <c r="BG968" s="29" t="s">
        <v>220</v>
      </c>
      <c r="BH968" s="29" t="s">
        <v>92</v>
      </c>
      <c r="BI968" s="29"/>
      <c r="BJ968" s="29"/>
      <c r="BK968" s="29"/>
      <c r="BL968" s="29"/>
      <c r="BM968" s="45"/>
      <c r="BN968" s="45">
        <v>1.0</v>
      </c>
      <c r="BO968" s="46" t="s">
        <v>1796</v>
      </c>
      <c r="BP968" s="2"/>
      <c r="BQ968" s="3"/>
    </row>
    <row r="969" ht="15.75" customHeight="1">
      <c r="A969" s="34">
        <v>980.0</v>
      </c>
      <c r="B969" s="34">
        <v>104038.0</v>
      </c>
      <c r="C969" s="34" t="s">
        <v>832</v>
      </c>
      <c r="D969" s="34" t="s">
        <v>1788</v>
      </c>
      <c r="E969" s="34" t="s">
        <v>1789</v>
      </c>
      <c r="F969" s="34">
        <v>2021.0</v>
      </c>
      <c r="G969" s="34" t="s">
        <v>1790</v>
      </c>
      <c r="H969" s="34" t="s">
        <v>282</v>
      </c>
      <c r="I969" s="34" t="s">
        <v>1791</v>
      </c>
      <c r="J969" s="35"/>
      <c r="K969" s="36"/>
      <c r="L969" s="36"/>
      <c r="M969" s="36"/>
      <c r="N969" s="36"/>
      <c r="O969" s="36"/>
      <c r="P969" s="37">
        <v>53.7</v>
      </c>
      <c r="Q969" s="36" t="s">
        <v>1792</v>
      </c>
      <c r="R969" s="36" t="s">
        <v>209</v>
      </c>
      <c r="S969" s="36"/>
      <c r="T969" s="36" t="s">
        <v>193</v>
      </c>
      <c r="U969" s="36" t="s">
        <v>968</v>
      </c>
      <c r="V969" s="36"/>
      <c r="W969" s="36"/>
      <c r="X969" s="38">
        <v>1.0</v>
      </c>
      <c r="Y969" s="38" t="s">
        <v>1771</v>
      </c>
      <c r="Z969" s="38"/>
      <c r="AA969" s="38" t="s">
        <v>452</v>
      </c>
      <c r="AB969" s="38">
        <v>14.59</v>
      </c>
      <c r="AC969" s="38">
        <v>98.844</v>
      </c>
      <c r="AD969" s="38"/>
      <c r="AE969" s="38">
        <v>231.0</v>
      </c>
      <c r="AF969" s="38"/>
      <c r="AG969" s="38" t="s">
        <v>1024</v>
      </c>
      <c r="AH969" s="38"/>
      <c r="AI969" s="50">
        <v>14.59</v>
      </c>
      <c r="AJ969" s="50">
        <v>98.844</v>
      </c>
      <c r="AK969" s="41" t="s">
        <v>336</v>
      </c>
      <c r="AL969" s="40"/>
      <c r="AM969" s="49">
        <v>357.0</v>
      </c>
      <c r="AN969" s="43"/>
      <c r="AO969" s="42" t="s">
        <v>335</v>
      </c>
      <c r="AP969" s="43"/>
      <c r="AQ969" s="44" t="str">
        <f t="shared" si="84"/>
        <v>MF</v>
      </c>
      <c r="AR969" s="44">
        <f t="shared" si="80"/>
        <v>357</v>
      </c>
      <c r="AS969" s="44" t="str">
        <f t="shared" si="90"/>
        <v>A</v>
      </c>
      <c r="AT969" s="44" t="s">
        <v>335</v>
      </c>
      <c r="AU969" s="44" t="str">
        <f t="shared" si="91"/>
        <v>Aw</v>
      </c>
      <c r="AV969" s="38">
        <v>1.0</v>
      </c>
      <c r="AW969" s="38"/>
      <c r="AX969" s="38"/>
      <c r="AY969" s="38" t="s">
        <v>92</v>
      </c>
      <c r="AZ969" s="29">
        <v>1000.0</v>
      </c>
      <c r="BA969" s="29">
        <v>1.0</v>
      </c>
      <c r="BB969" s="29">
        <v>1.0</v>
      </c>
      <c r="BC969" s="29"/>
      <c r="BD969" s="29" t="s">
        <v>92</v>
      </c>
      <c r="BE969" s="29"/>
      <c r="BF969" s="29" t="s">
        <v>1761</v>
      </c>
      <c r="BG969" s="29" t="s">
        <v>220</v>
      </c>
      <c r="BH969" s="29" t="s">
        <v>92</v>
      </c>
      <c r="BI969" s="29"/>
      <c r="BJ969" s="29"/>
      <c r="BK969" s="29" t="s">
        <v>148</v>
      </c>
      <c r="BL969" s="29"/>
      <c r="BM969" s="45"/>
      <c r="BN969" s="45">
        <v>1.0</v>
      </c>
      <c r="BO969" s="46" t="s">
        <v>1796</v>
      </c>
      <c r="BP969" s="2"/>
      <c r="BQ969" s="3"/>
    </row>
    <row r="970" ht="15.75" customHeight="1">
      <c r="A970" s="34">
        <v>981.0</v>
      </c>
      <c r="B970" s="34">
        <v>104038.0</v>
      </c>
      <c r="C970" s="34" t="s">
        <v>832</v>
      </c>
      <c r="D970" s="34" t="s">
        <v>1788</v>
      </c>
      <c r="E970" s="34" t="s">
        <v>1789</v>
      </c>
      <c r="F970" s="34">
        <v>2021.0</v>
      </c>
      <c r="G970" s="34" t="s">
        <v>1790</v>
      </c>
      <c r="H970" s="34" t="s">
        <v>282</v>
      </c>
      <c r="I970" s="34" t="s">
        <v>1791</v>
      </c>
      <c r="J970" s="35"/>
      <c r="K970" s="36"/>
      <c r="L970" s="36"/>
      <c r="M970" s="36"/>
      <c r="N970" s="36"/>
      <c r="O970" s="36"/>
      <c r="P970" s="37">
        <v>-18.1</v>
      </c>
      <c r="Q970" s="36" t="s">
        <v>1792</v>
      </c>
      <c r="R970" s="36" t="s">
        <v>209</v>
      </c>
      <c r="S970" s="36"/>
      <c r="T970" s="36" t="s">
        <v>350</v>
      </c>
      <c r="U970" s="36" t="s">
        <v>351</v>
      </c>
      <c r="V970" s="36"/>
      <c r="W970" s="36"/>
      <c r="X970" s="38">
        <v>1.0</v>
      </c>
      <c r="Y970" s="38" t="s">
        <v>1758</v>
      </c>
      <c r="Z970" s="38"/>
      <c r="AA970" s="38" t="s">
        <v>197</v>
      </c>
      <c r="AB970" s="38">
        <v>24.583</v>
      </c>
      <c r="AC970" s="38">
        <v>121.4</v>
      </c>
      <c r="AD970" s="38"/>
      <c r="AE970" s="38">
        <v>1600.0</v>
      </c>
      <c r="AF970" s="38"/>
      <c r="AG970" s="38" t="s">
        <v>784</v>
      </c>
      <c r="AH970" s="38"/>
      <c r="AI970" s="50">
        <v>24.583</v>
      </c>
      <c r="AJ970" s="50">
        <v>121.4</v>
      </c>
      <c r="AK970" s="41" t="s">
        <v>336</v>
      </c>
      <c r="AL970" s="40"/>
      <c r="AM970" s="49">
        <v>1911.0</v>
      </c>
      <c r="AN970" s="43"/>
      <c r="AO970" s="42" t="s">
        <v>376</v>
      </c>
      <c r="AP970" s="43"/>
      <c r="AQ970" s="44" t="str">
        <f t="shared" si="84"/>
        <v>ENF</v>
      </c>
      <c r="AR970" s="44">
        <f t="shared" si="80"/>
        <v>1911</v>
      </c>
      <c r="AS970" s="44" t="str">
        <f t="shared" si="90"/>
        <v>C</v>
      </c>
      <c r="AT970" s="44" t="s">
        <v>1797</v>
      </c>
      <c r="AU970" s="44" t="str">
        <f t="shared" si="91"/>
        <v>Cfb</v>
      </c>
      <c r="AV970" s="38">
        <v>1.0</v>
      </c>
      <c r="AW970" s="38"/>
      <c r="AX970" s="38"/>
      <c r="AY970" s="38" t="s">
        <v>92</v>
      </c>
      <c r="AZ970" s="29">
        <v>1000.0</v>
      </c>
      <c r="BA970" s="29">
        <v>1.0</v>
      </c>
      <c r="BB970" s="29">
        <v>1.0</v>
      </c>
      <c r="BC970" s="29"/>
      <c r="BD970" s="29" t="s">
        <v>92</v>
      </c>
      <c r="BE970" s="29"/>
      <c r="BF970" s="29" t="s">
        <v>1761</v>
      </c>
      <c r="BG970" s="29" t="s">
        <v>220</v>
      </c>
      <c r="BH970" s="29" t="s">
        <v>92</v>
      </c>
      <c r="BI970" s="29"/>
      <c r="BJ970" s="29"/>
      <c r="BK970" s="29" t="s">
        <v>148</v>
      </c>
      <c r="BL970" s="29"/>
      <c r="BM970" s="45"/>
      <c r="BN970" s="45">
        <v>1.0</v>
      </c>
      <c r="BO970" s="46" t="s">
        <v>1796</v>
      </c>
      <c r="BP970" s="2"/>
      <c r="BQ970" s="3"/>
    </row>
    <row r="971" ht="15.75" customHeight="1">
      <c r="A971" s="34">
        <v>982.0</v>
      </c>
      <c r="B971" s="34">
        <v>104038.0</v>
      </c>
      <c r="C971" s="34" t="s">
        <v>832</v>
      </c>
      <c r="D971" s="34" t="s">
        <v>1788</v>
      </c>
      <c r="E971" s="34" t="s">
        <v>1789</v>
      </c>
      <c r="F971" s="34">
        <v>2021.0</v>
      </c>
      <c r="G971" s="34" t="s">
        <v>1790</v>
      </c>
      <c r="H971" s="34" t="s">
        <v>282</v>
      </c>
      <c r="I971" s="34" t="s">
        <v>1791</v>
      </c>
      <c r="J971" s="35"/>
      <c r="K971" s="36"/>
      <c r="L971" s="36"/>
      <c r="M971" s="36"/>
      <c r="N971" s="36"/>
      <c r="O971" s="36"/>
      <c r="P971" s="37">
        <v>-5.6</v>
      </c>
      <c r="Q971" s="36" t="s">
        <v>1792</v>
      </c>
      <c r="R971" s="36" t="s">
        <v>209</v>
      </c>
      <c r="S971" s="36"/>
      <c r="T971" s="36" t="s">
        <v>193</v>
      </c>
      <c r="U971" s="36" t="s">
        <v>194</v>
      </c>
      <c r="V971" s="36"/>
      <c r="W971" s="36"/>
      <c r="X971" s="38">
        <v>1.0</v>
      </c>
      <c r="Y971" s="38" t="s">
        <v>587</v>
      </c>
      <c r="Z971" s="38"/>
      <c r="AA971" s="38" t="s">
        <v>336</v>
      </c>
      <c r="AB971" s="38">
        <v>23.167</v>
      </c>
      <c r="AC971" s="38">
        <v>112.567</v>
      </c>
      <c r="AD971" s="38"/>
      <c r="AE971" s="38">
        <v>1000.0</v>
      </c>
      <c r="AF971" s="38"/>
      <c r="AG971" s="38" t="s">
        <v>1024</v>
      </c>
      <c r="AH971" s="38"/>
      <c r="AI971" s="50">
        <v>23.167</v>
      </c>
      <c r="AJ971" s="50">
        <v>112.567</v>
      </c>
      <c r="AK971" s="41" t="s">
        <v>505</v>
      </c>
      <c r="AL971" s="40"/>
      <c r="AM971" s="49">
        <v>4.0</v>
      </c>
      <c r="AN971" s="43"/>
      <c r="AO971" s="42" t="s">
        <v>201</v>
      </c>
      <c r="AP971" s="43"/>
      <c r="AQ971" s="44" t="str">
        <f t="shared" si="84"/>
        <v>EBF</v>
      </c>
      <c r="AR971" s="44">
        <f t="shared" si="80"/>
        <v>4</v>
      </c>
      <c r="AS971" s="44" t="str">
        <f t="shared" si="90"/>
        <v>C</v>
      </c>
      <c r="AT971" s="44" t="s">
        <v>1797</v>
      </c>
      <c r="AU971" s="44" t="str">
        <f t="shared" si="91"/>
        <v>Cfa</v>
      </c>
      <c r="AV971" s="38">
        <v>1.0</v>
      </c>
      <c r="AW971" s="38"/>
      <c r="AX971" s="38"/>
      <c r="AY971" s="38" t="s">
        <v>92</v>
      </c>
      <c r="AZ971" s="29">
        <v>1000.0</v>
      </c>
      <c r="BA971" s="29">
        <v>1.0</v>
      </c>
      <c r="BB971" s="29">
        <v>1.0</v>
      </c>
      <c r="BC971" s="29"/>
      <c r="BD971" s="29" t="s">
        <v>92</v>
      </c>
      <c r="BE971" s="29"/>
      <c r="BF971" s="29" t="s">
        <v>1761</v>
      </c>
      <c r="BG971" s="29" t="s">
        <v>220</v>
      </c>
      <c r="BH971" s="29" t="s">
        <v>92</v>
      </c>
      <c r="BI971" s="29"/>
      <c r="BJ971" s="29"/>
      <c r="BK971" s="29" t="s">
        <v>148</v>
      </c>
      <c r="BL971" s="29"/>
      <c r="BM971" s="45"/>
      <c r="BN971" s="45">
        <v>1.0</v>
      </c>
      <c r="BO971" s="46" t="s">
        <v>1796</v>
      </c>
      <c r="BP971" s="2"/>
      <c r="BQ971" s="3"/>
    </row>
    <row r="972" ht="15.75" customHeight="1">
      <c r="A972" s="34">
        <v>983.0</v>
      </c>
      <c r="B972" s="34">
        <v>104048.0</v>
      </c>
      <c r="C972" s="34" t="s">
        <v>415</v>
      </c>
      <c r="D972" s="99" t="s">
        <v>1798</v>
      </c>
      <c r="E972" s="34" t="s">
        <v>1799</v>
      </c>
      <c r="F972" s="34">
        <v>2021.0</v>
      </c>
      <c r="G972" s="34" t="s">
        <v>1800</v>
      </c>
      <c r="H972" s="34" t="s">
        <v>1801</v>
      </c>
      <c r="I972" s="34" t="s">
        <v>1802</v>
      </c>
      <c r="J972" s="35"/>
      <c r="K972" s="36"/>
      <c r="L972" s="36"/>
      <c r="M972" s="36"/>
      <c r="N972" s="36"/>
      <c r="O972" s="36"/>
      <c r="P972" s="37">
        <v>-6.2</v>
      </c>
      <c r="Q972" s="36" t="s">
        <v>977</v>
      </c>
      <c r="R972" s="36" t="s">
        <v>977</v>
      </c>
      <c r="S972" s="36"/>
      <c r="T972" s="36"/>
      <c r="U972" s="36"/>
      <c r="V972" s="36">
        <v>16707.0</v>
      </c>
      <c r="W972" s="36" t="s">
        <v>1803</v>
      </c>
      <c r="X972" s="38">
        <v>1.0</v>
      </c>
      <c r="Y972" s="38" t="s">
        <v>1804</v>
      </c>
      <c r="Z972" s="38" t="s">
        <v>1805</v>
      </c>
      <c r="AA972" s="38" t="s">
        <v>505</v>
      </c>
      <c r="AB972" s="38"/>
      <c r="AC972" s="38"/>
      <c r="AD972" s="38" t="s">
        <v>375</v>
      </c>
      <c r="AE972" s="38"/>
      <c r="AF972" s="38"/>
      <c r="AG972" s="38"/>
      <c r="AH972" s="38"/>
      <c r="AI972" s="50">
        <v>52.459575</v>
      </c>
      <c r="AJ972" s="50">
        <v>13.319388</v>
      </c>
      <c r="AK972" s="41" t="s">
        <v>505</v>
      </c>
      <c r="AL972" s="40" t="s">
        <v>505</v>
      </c>
      <c r="AM972" s="49">
        <v>56.0</v>
      </c>
      <c r="AN972" s="51">
        <v>56.0</v>
      </c>
      <c r="AO972" s="42" t="s">
        <v>376</v>
      </c>
      <c r="AP972" s="43" t="s">
        <v>376</v>
      </c>
      <c r="AQ972" s="44" t="str">
        <f t="shared" si="84"/>
        <v>URB</v>
      </c>
      <c r="AR972" s="44">
        <f t="shared" si="80"/>
        <v>56</v>
      </c>
      <c r="AS972" s="44" t="str">
        <f t="shared" si="90"/>
        <v>C</v>
      </c>
      <c r="AT972" s="44" t="str">
        <f t="shared" ref="AT972:AT987" si="92">LEFT(AP972,2)</f>
        <v>Cf</v>
      </c>
      <c r="AU972" s="44" t="str">
        <f t="shared" si="91"/>
        <v>Cfb</v>
      </c>
      <c r="AV972" s="38"/>
      <c r="AW972" s="38"/>
      <c r="AX972" s="38" t="s">
        <v>1806</v>
      </c>
      <c r="AY972" s="38" t="s">
        <v>88</v>
      </c>
      <c r="AZ972" s="29">
        <v>20.0</v>
      </c>
      <c r="BA972" s="29">
        <v>1.0</v>
      </c>
      <c r="BB972" s="29">
        <v>1.0</v>
      </c>
      <c r="BC972" s="29"/>
      <c r="BD972" s="29" t="s">
        <v>92</v>
      </c>
      <c r="BE972" s="29"/>
      <c r="BF972" s="29" t="s">
        <v>1807</v>
      </c>
      <c r="BG972" s="76" t="s">
        <v>644</v>
      </c>
      <c r="BH972" s="29" t="s">
        <v>88</v>
      </c>
      <c r="BI972" s="76" t="s">
        <v>1808</v>
      </c>
      <c r="BJ972" s="76" t="s">
        <v>1809</v>
      </c>
      <c r="BK972" s="29"/>
      <c r="BL972" s="29"/>
      <c r="BM972" s="45"/>
      <c r="BN972" s="45">
        <v>1.0</v>
      </c>
      <c r="BO972" s="46" t="s">
        <v>1810</v>
      </c>
      <c r="BP972" s="2"/>
      <c r="BQ972" s="3"/>
    </row>
    <row r="973" ht="15.75" customHeight="1">
      <c r="A973" s="34">
        <v>984.0</v>
      </c>
      <c r="B973" s="34">
        <v>104048.0</v>
      </c>
      <c r="C973" s="34" t="s">
        <v>415</v>
      </c>
      <c r="D973" s="99" t="s">
        <v>1798</v>
      </c>
      <c r="E973" s="34" t="s">
        <v>1799</v>
      </c>
      <c r="F973" s="34">
        <v>2021.0</v>
      </c>
      <c r="G973" s="34" t="s">
        <v>1800</v>
      </c>
      <c r="H973" s="34" t="s">
        <v>1801</v>
      </c>
      <c r="I973" s="34" t="s">
        <v>1802</v>
      </c>
      <c r="J973" s="35"/>
      <c r="K973" s="36"/>
      <c r="L973" s="36"/>
      <c r="M973" s="36"/>
      <c r="N973" s="36"/>
      <c r="O973" s="36"/>
      <c r="P973" s="37">
        <v>1.05</v>
      </c>
      <c r="Q973" s="36" t="s">
        <v>977</v>
      </c>
      <c r="R973" s="36" t="s">
        <v>977</v>
      </c>
      <c r="S973" s="36"/>
      <c r="T973" s="36"/>
      <c r="U973" s="36"/>
      <c r="V973" s="36">
        <v>16707.0</v>
      </c>
      <c r="W973" s="36" t="s">
        <v>1803</v>
      </c>
      <c r="X973" s="38">
        <v>1.0</v>
      </c>
      <c r="Y973" s="38" t="s">
        <v>1804</v>
      </c>
      <c r="Z973" s="38" t="s">
        <v>1805</v>
      </c>
      <c r="AA973" s="38" t="s">
        <v>505</v>
      </c>
      <c r="AB973" s="38"/>
      <c r="AC973" s="38"/>
      <c r="AD973" s="38" t="s">
        <v>375</v>
      </c>
      <c r="AE973" s="38"/>
      <c r="AF973" s="38"/>
      <c r="AG973" s="38"/>
      <c r="AH973" s="38"/>
      <c r="AI973" s="50">
        <v>52.459575</v>
      </c>
      <c r="AJ973" s="50">
        <v>13.319388</v>
      </c>
      <c r="AK973" s="41" t="s">
        <v>505</v>
      </c>
      <c r="AL973" s="40" t="s">
        <v>505</v>
      </c>
      <c r="AM973" s="49">
        <v>56.0</v>
      </c>
      <c r="AN973" s="51">
        <v>56.0</v>
      </c>
      <c r="AO973" s="42" t="s">
        <v>376</v>
      </c>
      <c r="AP973" s="43" t="s">
        <v>376</v>
      </c>
      <c r="AQ973" s="44" t="str">
        <f t="shared" si="84"/>
        <v>URB</v>
      </c>
      <c r="AR973" s="44">
        <f t="shared" si="80"/>
        <v>56</v>
      </c>
      <c r="AS973" s="44" t="str">
        <f t="shared" si="90"/>
        <v>C</v>
      </c>
      <c r="AT973" s="44" t="str">
        <f t="shared" si="92"/>
        <v>Cf</v>
      </c>
      <c r="AU973" s="44" t="str">
        <f t="shared" si="91"/>
        <v>Cfb</v>
      </c>
      <c r="AV973" s="38"/>
      <c r="AW973" s="38"/>
      <c r="AX973" s="38" t="s">
        <v>1806</v>
      </c>
      <c r="AY973" s="38" t="s">
        <v>88</v>
      </c>
      <c r="AZ973" s="29">
        <v>20.0</v>
      </c>
      <c r="BA973" s="29">
        <v>1.0</v>
      </c>
      <c r="BB973" s="29">
        <v>1.0</v>
      </c>
      <c r="BC973" s="29"/>
      <c r="BD973" s="29" t="s">
        <v>92</v>
      </c>
      <c r="BE973" s="29"/>
      <c r="BF973" s="29" t="s">
        <v>1807</v>
      </c>
      <c r="BG973" s="76" t="s">
        <v>644</v>
      </c>
      <c r="BH973" s="29" t="s">
        <v>88</v>
      </c>
      <c r="BI973" s="76" t="s">
        <v>1808</v>
      </c>
      <c r="BJ973" s="76" t="s">
        <v>1809</v>
      </c>
      <c r="BK973" s="29"/>
      <c r="BL973" s="29"/>
      <c r="BM973" s="45"/>
      <c r="BN973" s="45"/>
      <c r="BO973" s="46"/>
      <c r="BP973" s="2"/>
      <c r="BQ973" s="3"/>
    </row>
    <row r="974" ht="15.75" customHeight="1">
      <c r="A974" s="34">
        <v>985.0</v>
      </c>
      <c r="B974" s="34">
        <v>104048.0</v>
      </c>
      <c r="C974" s="34" t="s">
        <v>415</v>
      </c>
      <c r="D974" s="99" t="s">
        <v>1798</v>
      </c>
      <c r="E974" s="34" t="s">
        <v>1799</v>
      </c>
      <c r="F974" s="34">
        <v>2021.0</v>
      </c>
      <c r="G974" s="34" t="s">
        <v>1800</v>
      </c>
      <c r="H974" s="34" t="s">
        <v>1801</v>
      </c>
      <c r="I974" s="34" t="s">
        <v>1802</v>
      </c>
      <c r="J974" s="35"/>
      <c r="K974" s="36"/>
      <c r="L974" s="36"/>
      <c r="M974" s="36"/>
      <c r="N974" s="36"/>
      <c r="O974" s="36"/>
      <c r="P974" s="37">
        <v>4.65</v>
      </c>
      <c r="Q974" s="36" t="s">
        <v>977</v>
      </c>
      <c r="R974" s="36" t="s">
        <v>977</v>
      </c>
      <c r="S974" s="36"/>
      <c r="T974" s="36"/>
      <c r="U974" s="36"/>
      <c r="V974" s="36">
        <v>16707.0</v>
      </c>
      <c r="W974" s="36" t="s">
        <v>1803</v>
      </c>
      <c r="X974" s="38">
        <v>1.0</v>
      </c>
      <c r="Y974" s="38" t="s">
        <v>1804</v>
      </c>
      <c r="Z974" s="38" t="s">
        <v>1805</v>
      </c>
      <c r="AA974" s="38" t="s">
        <v>505</v>
      </c>
      <c r="AB974" s="38"/>
      <c r="AC974" s="38"/>
      <c r="AD974" s="38" t="s">
        <v>375</v>
      </c>
      <c r="AE974" s="38"/>
      <c r="AF974" s="38"/>
      <c r="AG974" s="38"/>
      <c r="AH974" s="38"/>
      <c r="AI974" s="50">
        <v>52.459575</v>
      </c>
      <c r="AJ974" s="50">
        <v>13.319388</v>
      </c>
      <c r="AK974" s="41" t="s">
        <v>505</v>
      </c>
      <c r="AL974" s="40" t="s">
        <v>505</v>
      </c>
      <c r="AM974" s="49">
        <v>56.0</v>
      </c>
      <c r="AN974" s="51">
        <v>56.0</v>
      </c>
      <c r="AO974" s="42" t="s">
        <v>376</v>
      </c>
      <c r="AP974" s="43" t="s">
        <v>376</v>
      </c>
      <c r="AQ974" s="44" t="str">
        <f t="shared" si="84"/>
        <v>URB</v>
      </c>
      <c r="AR974" s="44">
        <f t="shared" si="80"/>
        <v>56</v>
      </c>
      <c r="AS974" s="44" t="str">
        <f t="shared" si="90"/>
        <v>C</v>
      </c>
      <c r="AT974" s="44" t="str">
        <f t="shared" si="92"/>
        <v>Cf</v>
      </c>
      <c r="AU974" s="44" t="str">
        <f t="shared" si="91"/>
        <v>Cfb</v>
      </c>
      <c r="AV974" s="38"/>
      <c r="AW974" s="38"/>
      <c r="AX974" s="38" t="s">
        <v>1806</v>
      </c>
      <c r="AY974" s="38" t="s">
        <v>88</v>
      </c>
      <c r="AZ974" s="29">
        <v>20.0</v>
      </c>
      <c r="BA974" s="29">
        <v>1.0</v>
      </c>
      <c r="BB974" s="29">
        <v>1.0</v>
      </c>
      <c r="BC974" s="29"/>
      <c r="BD974" s="29" t="s">
        <v>92</v>
      </c>
      <c r="BE974" s="29"/>
      <c r="BF974" s="29" t="s">
        <v>1807</v>
      </c>
      <c r="BG974" s="76" t="s">
        <v>644</v>
      </c>
      <c r="BH974" s="29" t="s">
        <v>88</v>
      </c>
      <c r="BI974" s="76" t="s">
        <v>1808</v>
      </c>
      <c r="BJ974" s="76" t="s">
        <v>1809</v>
      </c>
      <c r="BK974" s="29"/>
      <c r="BL974" s="29"/>
      <c r="BM974" s="45"/>
      <c r="BN974" s="45"/>
      <c r="BO974" s="46"/>
      <c r="BP974" s="2"/>
      <c r="BQ974" s="3"/>
    </row>
    <row r="975" ht="15.75" customHeight="1">
      <c r="A975" s="34">
        <v>986.0</v>
      </c>
      <c r="B975" s="34">
        <v>104048.0</v>
      </c>
      <c r="C975" s="34" t="s">
        <v>415</v>
      </c>
      <c r="D975" s="99" t="s">
        <v>1798</v>
      </c>
      <c r="E975" s="34" t="s">
        <v>1799</v>
      </c>
      <c r="F975" s="34">
        <v>2021.0</v>
      </c>
      <c r="G975" s="34" t="s">
        <v>1800</v>
      </c>
      <c r="H975" s="34" t="s">
        <v>1801</v>
      </c>
      <c r="I975" s="34" t="s">
        <v>1802</v>
      </c>
      <c r="J975" s="35"/>
      <c r="K975" s="36"/>
      <c r="L975" s="36"/>
      <c r="M975" s="36"/>
      <c r="N975" s="36"/>
      <c r="O975" s="36"/>
      <c r="P975" s="37">
        <v>-3.15</v>
      </c>
      <c r="Q975" s="36" t="s">
        <v>977</v>
      </c>
      <c r="R975" s="36" t="s">
        <v>977</v>
      </c>
      <c r="S975" s="36"/>
      <c r="T975" s="36"/>
      <c r="U975" s="36"/>
      <c r="V975" s="36">
        <v>16707.0</v>
      </c>
      <c r="W975" s="36" t="s">
        <v>1803</v>
      </c>
      <c r="X975" s="38">
        <v>1.0</v>
      </c>
      <c r="Y975" s="38" t="s">
        <v>1804</v>
      </c>
      <c r="Z975" s="38" t="s">
        <v>1805</v>
      </c>
      <c r="AA975" s="38" t="s">
        <v>505</v>
      </c>
      <c r="AB975" s="38"/>
      <c r="AC975" s="38"/>
      <c r="AD975" s="38" t="s">
        <v>375</v>
      </c>
      <c r="AE975" s="38"/>
      <c r="AF975" s="38"/>
      <c r="AG975" s="38"/>
      <c r="AH975" s="38"/>
      <c r="AI975" s="50">
        <v>52.459575</v>
      </c>
      <c r="AJ975" s="50">
        <v>13.319388</v>
      </c>
      <c r="AK975" s="41" t="s">
        <v>505</v>
      </c>
      <c r="AL975" s="40" t="s">
        <v>505</v>
      </c>
      <c r="AM975" s="49">
        <v>56.0</v>
      </c>
      <c r="AN975" s="51">
        <v>56.0</v>
      </c>
      <c r="AO975" s="42" t="s">
        <v>376</v>
      </c>
      <c r="AP975" s="43" t="s">
        <v>376</v>
      </c>
      <c r="AQ975" s="44" t="str">
        <f t="shared" si="84"/>
        <v>URB</v>
      </c>
      <c r="AR975" s="44">
        <f t="shared" si="80"/>
        <v>56</v>
      </c>
      <c r="AS975" s="44" t="str">
        <f t="shared" si="90"/>
        <v>C</v>
      </c>
      <c r="AT975" s="44" t="str">
        <f t="shared" si="92"/>
        <v>Cf</v>
      </c>
      <c r="AU975" s="44" t="str">
        <f t="shared" si="91"/>
        <v>Cfb</v>
      </c>
      <c r="AV975" s="38"/>
      <c r="AW975" s="38"/>
      <c r="AX975" s="38" t="s">
        <v>1806</v>
      </c>
      <c r="AY975" s="38" t="s">
        <v>88</v>
      </c>
      <c r="AZ975" s="29">
        <v>20.0</v>
      </c>
      <c r="BA975" s="29">
        <v>1.0</v>
      </c>
      <c r="BB975" s="29">
        <v>1.0</v>
      </c>
      <c r="BC975" s="29"/>
      <c r="BD975" s="29" t="s">
        <v>92</v>
      </c>
      <c r="BE975" s="29"/>
      <c r="BF975" s="29" t="s">
        <v>1807</v>
      </c>
      <c r="BG975" s="76" t="s">
        <v>644</v>
      </c>
      <c r="BH975" s="29" t="s">
        <v>88</v>
      </c>
      <c r="BI975" s="76" t="s">
        <v>1808</v>
      </c>
      <c r="BJ975" s="76" t="s">
        <v>1809</v>
      </c>
      <c r="BK975" s="29"/>
      <c r="BL975" s="29"/>
      <c r="BM975" s="45"/>
      <c r="BN975" s="45"/>
      <c r="BO975" s="46"/>
      <c r="BP975" s="2"/>
      <c r="BQ975" s="3"/>
    </row>
    <row r="976" ht="14.25" customHeight="1">
      <c r="A976" s="34">
        <v>987.0</v>
      </c>
      <c r="B976" s="34">
        <v>104048.0</v>
      </c>
      <c r="C976" s="34" t="s">
        <v>415</v>
      </c>
      <c r="D976" s="99" t="s">
        <v>1798</v>
      </c>
      <c r="E976" s="34" t="s">
        <v>1799</v>
      </c>
      <c r="F976" s="34">
        <v>2021.0</v>
      </c>
      <c r="G976" s="34" t="s">
        <v>1800</v>
      </c>
      <c r="H976" s="34" t="s">
        <v>1801</v>
      </c>
      <c r="I976" s="34" t="s">
        <v>1802</v>
      </c>
      <c r="J976" s="35"/>
      <c r="K976" s="36"/>
      <c r="L976" s="36"/>
      <c r="M976" s="36"/>
      <c r="N976" s="36"/>
      <c r="O976" s="36"/>
      <c r="P976" s="37">
        <v>0.95</v>
      </c>
      <c r="Q976" s="36" t="s">
        <v>977</v>
      </c>
      <c r="R976" s="36" t="s">
        <v>977</v>
      </c>
      <c r="S976" s="36"/>
      <c r="T976" s="36"/>
      <c r="U976" s="36"/>
      <c r="V976" s="36">
        <v>16707.0</v>
      </c>
      <c r="W976" s="36" t="s">
        <v>1803</v>
      </c>
      <c r="X976" s="38">
        <v>1.0</v>
      </c>
      <c r="Y976" s="38" t="s">
        <v>1804</v>
      </c>
      <c r="Z976" s="38" t="s">
        <v>1805</v>
      </c>
      <c r="AA976" s="38" t="s">
        <v>505</v>
      </c>
      <c r="AB976" s="38"/>
      <c r="AC976" s="38"/>
      <c r="AD976" s="38" t="s">
        <v>375</v>
      </c>
      <c r="AE976" s="38"/>
      <c r="AF976" s="38"/>
      <c r="AG976" s="38"/>
      <c r="AH976" s="38"/>
      <c r="AI976" s="50">
        <v>52.459575</v>
      </c>
      <c r="AJ976" s="50">
        <v>13.319388</v>
      </c>
      <c r="AK976" s="41" t="s">
        <v>505</v>
      </c>
      <c r="AL976" s="40" t="s">
        <v>505</v>
      </c>
      <c r="AM976" s="49">
        <v>56.0</v>
      </c>
      <c r="AN976" s="51">
        <v>56.0</v>
      </c>
      <c r="AO976" s="42" t="s">
        <v>376</v>
      </c>
      <c r="AP976" s="43" t="s">
        <v>376</v>
      </c>
      <c r="AQ976" s="44" t="str">
        <f t="shared" si="84"/>
        <v>URB</v>
      </c>
      <c r="AR976" s="44">
        <f t="shared" si="80"/>
        <v>56</v>
      </c>
      <c r="AS976" s="44" t="str">
        <f t="shared" si="90"/>
        <v>C</v>
      </c>
      <c r="AT976" s="44" t="str">
        <f t="shared" si="92"/>
        <v>Cf</v>
      </c>
      <c r="AU976" s="44" t="str">
        <f t="shared" si="91"/>
        <v>Cfb</v>
      </c>
      <c r="AV976" s="38"/>
      <c r="AW976" s="38"/>
      <c r="AX976" s="38" t="s">
        <v>1806</v>
      </c>
      <c r="AY976" s="38" t="s">
        <v>88</v>
      </c>
      <c r="AZ976" s="29">
        <v>20.0</v>
      </c>
      <c r="BA976" s="29">
        <v>1.0</v>
      </c>
      <c r="BB976" s="29">
        <v>1.0</v>
      </c>
      <c r="BC976" s="29"/>
      <c r="BD976" s="29" t="s">
        <v>92</v>
      </c>
      <c r="BE976" s="29"/>
      <c r="BF976" s="29" t="s">
        <v>1811</v>
      </c>
      <c r="BG976" s="76" t="s">
        <v>644</v>
      </c>
      <c r="BH976" s="29" t="s">
        <v>88</v>
      </c>
      <c r="BI976" s="76" t="s">
        <v>1808</v>
      </c>
      <c r="BJ976" s="76" t="s">
        <v>1809</v>
      </c>
      <c r="BK976" s="29"/>
      <c r="BL976" s="29"/>
      <c r="BM976" s="45"/>
      <c r="BN976" s="45"/>
      <c r="BO976" s="46"/>
      <c r="BP976" s="2"/>
      <c r="BQ976" s="3"/>
    </row>
    <row r="977" ht="15.75" customHeight="1">
      <c r="A977" s="34">
        <v>988.0</v>
      </c>
      <c r="B977" s="34">
        <v>104048.0</v>
      </c>
      <c r="C977" s="34" t="s">
        <v>415</v>
      </c>
      <c r="D977" s="99" t="s">
        <v>1798</v>
      </c>
      <c r="E977" s="34" t="s">
        <v>1799</v>
      </c>
      <c r="F977" s="34">
        <v>2021.0</v>
      </c>
      <c r="G977" s="34" t="s">
        <v>1800</v>
      </c>
      <c r="H977" s="34" t="s">
        <v>1801</v>
      </c>
      <c r="I977" s="34" t="s">
        <v>1802</v>
      </c>
      <c r="J977" s="35"/>
      <c r="K977" s="36"/>
      <c r="L977" s="36"/>
      <c r="M977" s="36"/>
      <c r="N977" s="36"/>
      <c r="O977" s="36"/>
      <c r="P977" s="37">
        <v>-0.2</v>
      </c>
      <c r="Q977" s="36" t="s">
        <v>977</v>
      </c>
      <c r="R977" s="36" t="s">
        <v>977</v>
      </c>
      <c r="S977" s="36"/>
      <c r="T977" s="36"/>
      <c r="U977" s="36"/>
      <c r="V977" s="36">
        <v>16707.0</v>
      </c>
      <c r="W977" s="36" t="s">
        <v>1803</v>
      </c>
      <c r="X977" s="38">
        <v>1.0</v>
      </c>
      <c r="Y977" s="38" t="s">
        <v>1804</v>
      </c>
      <c r="Z977" s="38" t="s">
        <v>1805</v>
      </c>
      <c r="AA977" s="38" t="s">
        <v>505</v>
      </c>
      <c r="AB977" s="38"/>
      <c r="AC977" s="38"/>
      <c r="AD977" s="38" t="s">
        <v>375</v>
      </c>
      <c r="AE977" s="38"/>
      <c r="AF977" s="38"/>
      <c r="AG977" s="38"/>
      <c r="AH977" s="38"/>
      <c r="AI977" s="50">
        <v>52.459575</v>
      </c>
      <c r="AJ977" s="50">
        <v>13.319388</v>
      </c>
      <c r="AK977" s="41" t="s">
        <v>505</v>
      </c>
      <c r="AL977" s="40" t="s">
        <v>505</v>
      </c>
      <c r="AM977" s="49">
        <v>56.0</v>
      </c>
      <c r="AN977" s="51">
        <v>56.0</v>
      </c>
      <c r="AO977" s="42" t="s">
        <v>376</v>
      </c>
      <c r="AP977" s="43" t="s">
        <v>376</v>
      </c>
      <c r="AQ977" s="44" t="str">
        <f t="shared" si="84"/>
        <v>URB</v>
      </c>
      <c r="AR977" s="44">
        <f t="shared" si="80"/>
        <v>56</v>
      </c>
      <c r="AS977" s="44" t="str">
        <f t="shared" si="90"/>
        <v>C</v>
      </c>
      <c r="AT977" s="44" t="str">
        <f t="shared" si="92"/>
        <v>Cf</v>
      </c>
      <c r="AU977" s="44" t="str">
        <f t="shared" si="91"/>
        <v>Cfb</v>
      </c>
      <c r="AV977" s="38"/>
      <c r="AW977" s="38"/>
      <c r="AX977" s="38" t="s">
        <v>1806</v>
      </c>
      <c r="AY977" s="38" t="s">
        <v>88</v>
      </c>
      <c r="AZ977" s="29">
        <v>20.0</v>
      </c>
      <c r="BA977" s="29">
        <v>1.0</v>
      </c>
      <c r="BB977" s="29">
        <v>1.0</v>
      </c>
      <c r="BC977" s="29"/>
      <c r="BD977" s="29" t="s">
        <v>92</v>
      </c>
      <c r="BE977" s="29"/>
      <c r="BF977" s="29" t="s">
        <v>1811</v>
      </c>
      <c r="BG977" s="76" t="s">
        <v>644</v>
      </c>
      <c r="BH977" s="29" t="s">
        <v>88</v>
      </c>
      <c r="BI977" s="76" t="s">
        <v>1808</v>
      </c>
      <c r="BJ977" s="76" t="s">
        <v>1809</v>
      </c>
      <c r="BK977" s="29"/>
      <c r="BL977" s="29"/>
      <c r="BM977" s="45"/>
      <c r="BN977" s="45"/>
      <c r="BO977" s="46"/>
      <c r="BP977" s="2"/>
      <c r="BQ977" s="3"/>
    </row>
    <row r="978" ht="15.75" customHeight="1">
      <c r="A978" s="34">
        <v>989.0</v>
      </c>
      <c r="B978" s="34">
        <v>104048.0</v>
      </c>
      <c r="C978" s="34" t="s">
        <v>415</v>
      </c>
      <c r="D978" s="99" t="s">
        <v>1798</v>
      </c>
      <c r="E978" s="34" t="s">
        <v>1799</v>
      </c>
      <c r="F978" s="34">
        <v>2021.0</v>
      </c>
      <c r="G978" s="34" t="s">
        <v>1800</v>
      </c>
      <c r="H978" s="34" t="s">
        <v>1801</v>
      </c>
      <c r="I978" s="34" t="s">
        <v>1802</v>
      </c>
      <c r="J978" s="35"/>
      <c r="K978" s="36"/>
      <c r="L978" s="36"/>
      <c r="M978" s="36"/>
      <c r="N978" s="36"/>
      <c r="O978" s="36"/>
      <c r="P978" s="37">
        <v>2.3</v>
      </c>
      <c r="Q978" s="36" t="s">
        <v>977</v>
      </c>
      <c r="R978" s="36" t="s">
        <v>977</v>
      </c>
      <c r="S978" s="36"/>
      <c r="T978" s="36"/>
      <c r="U978" s="36"/>
      <c r="V978" s="36">
        <v>16707.0</v>
      </c>
      <c r="W978" s="36" t="s">
        <v>1803</v>
      </c>
      <c r="X978" s="38">
        <v>1.0</v>
      </c>
      <c r="Y978" s="38" t="s">
        <v>1804</v>
      </c>
      <c r="Z978" s="38" t="s">
        <v>1805</v>
      </c>
      <c r="AA978" s="38" t="s">
        <v>505</v>
      </c>
      <c r="AB978" s="38"/>
      <c r="AC978" s="38"/>
      <c r="AD978" s="38" t="s">
        <v>375</v>
      </c>
      <c r="AE978" s="38"/>
      <c r="AF978" s="38"/>
      <c r="AG978" s="38"/>
      <c r="AH978" s="38"/>
      <c r="AI978" s="50">
        <v>52.459575</v>
      </c>
      <c r="AJ978" s="50">
        <v>13.319388</v>
      </c>
      <c r="AK978" s="41" t="s">
        <v>505</v>
      </c>
      <c r="AL978" s="40" t="s">
        <v>505</v>
      </c>
      <c r="AM978" s="49">
        <v>56.0</v>
      </c>
      <c r="AN978" s="51">
        <v>56.0</v>
      </c>
      <c r="AO978" s="42" t="s">
        <v>376</v>
      </c>
      <c r="AP978" s="43" t="s">
        <v>376</v>
      </c>
      <c r="AQ978" s="44" t="str">
        <f t="shared" si="84"/>
        <v>URB</v>
      </c>
      <c r="AR978" s="44">
        <f t="shared" si="80"/>
        <v>56</v>
      </c>
      <c r="AS978" s="44" t="str">
        <f t="shared" si="90"/>
        <v>C</v>
      </c>
      <c r="AT978" s="44" t="str">
        <f t="shared" si="92"/>
        <v>Cf</v>
      </c>
      <c r="AU978" s="44" t="str">
        <f t="shared" si="91"/>
        <v>Cfb</v>
      </c>
      <c r="AV978" s="38"/>
      <c r="AW978" s="38"/>
      <c r="AX978" s="38" t="s">
        <v>1806</v>
      </c>
      <c r="AY978" s="38" t="s">
        <v>88</v>
      </c>
      <c r="AZ978" s="29">
        <v>20.0</v>
      </c>
      <c r="BA978" s="29">
        <v>1.0</v>
      </c>
      <c r="BB978" s="29">
        <v>1.0</v>
      </c>
      <c r="BC978" s="29"/>
      <c r="BD978" s="29" t="s">
        <v>92</v>
      </c>
      <c r="BE978" s="29"/>
      <c r="BF978" s="29" t="s">
        <v>1811</v>
      </c>
      <c r="BG978" s="76" t="s">
        <v>644</v>
      </c>
      <c r="BH978" s="29" t="s">
        <v>88</v>
      </c>
      <c r="BI978" s="76" t="s">
        <v>1808</v>
      </c>
      <c r="BJ978" s="76" t="s">
        <v>1809</v>
      </c>
      <c r="BK978" s="29"/>
      <c r="BL978" s="29"/>
      <c r="BM978" s="45"/>
      <c r="BN978" s="45"/>
      <c r="BO978" s="46"/>
      <c r="BP978" s="2"/>
      <c r="BQ978" s="3"/>
    </row>
    <row r="979" ht="15.75" customHeight="1">
      <c r="A979" s="34">
        <v>990.0</v>
      </c>
      <c r="B979" s="34">
        <v>104048.0</v>
      </c>
      <c r="C979" s="34" t="s">
        <v>415</v>
      </c>
      <c r="D979" s="99" t="s">
        <v>1798</v>
      </c>
      <c r="E979" s="34" t="s">
        <v>1799</v>
      </c>
      <c r="F979" s="34">
        <v>2021.0</v>
      </c>
      <c r="G979" s="34" t="s">
        <v>1800</v>
      </c>
      <c r="H979" s="34" t="s">
        <v>1801</v>
      </c>
      <c r="I979" s="34" t="s">
        <v>1802</v>
      </c>
      <c r="J979" s="35"/>
      <c r="K979" s="36"/>
      <c r="L979" s="36"/>
      <c r="M979" s="36"/>
      <c r="N979" s="36"/>
      <c r="O979" s="36"/>
      <c r="P979" s="37">
        <v>1.8</v>
      </c>
      <c r="Q979" s="36" t="s">
        <v>977</v>
      </c>
      <c r="R979" s="36" t="s">
        <v>977</v>
      </c>
      <c r="S979" s="36"/>
      <c r="T979" s="36"/>
      <c r="U979" s="36"/>
      <c r="V979" s="36">
        <v>16707.0</v>
      </c>
      <c r="W979" s="36" t="s">
        <v>1803</v>
      </c>
      <c r="X979" s="38">
        <v>1.0</v>
      </c>
      <c r="Y979" s="38" t="s">
        <v>1804</v>
      </c>
      <c r="Z979" s="38" t="s">
        <v>1805</v>
      </c>
      <c r="AA979" s="38" t="s">
        <v>505</v>
      </c>
      <c r="AB979" s="38"/>
      <c r="AC979" s="38"/>
      <c r="AD979" s="38" t="s">
        <v>375</v>
      </c>
      <c r="AE979" s="38"/>
      <c r="AF979" s="38"/>
      <c r="AG979" s="38"/>
      <c r="AH979" s="38"/>
      <c r="AI979" s="50">
        <v>52.459575</v>
      </c>
      <c r="AJ979" s="50">
        <v>13.319388</v>
      </c>
      <c r="AK979" s="41" t="s">
        <v>505</v>
      </c>
      <c r="AL979" s="40" t="s">
        <v>505</v>
      </c>
      <c r="AM979" s="49">
        <v>56.0</v>
      </c>
      <c r="AN979" s="51">
        <v>56.0</v>
      </c>
      <c r="AO979" s="42" t="s">
        <v>376</v>
      </c>
      <c r="AP979" s="43" t="s">
        <v>376</v>
      </c>
      <c r="AQ979" s="44" t="str">
        <f t="shared" si="84"/>
        <v>URB</v>
      </c>
      <c r="AR979" s="44">
        <f t="shared" si="80"/>
        <v>56</v>
      </c>
      <c r="AS979" s="44" t="str">
        <f t="shared" si="90"/>
        <v>C</v>
      </c>
      <c r="AT979" s="44" t="str">
        <f t="shared" si="92"/>
        <v>Cf</v>
      </c>
      <c r="AU979" s="44" t="str">
        <f t="shared" si="91"/>
        <v>Cfb</v>
      </c>
      <c r="AV979" s="38"/>
      <c r="AW979" s="38"/>
      <c r="AX979" s="38" t="s">
        <v>1806</v>
      </c>
      <c r="AY979" s="38" t="s">
        <v>88</v>
      </c>
      <c r="AZ979" s="29">
        <v>20.0</v>
      </c>
      <c r="BA979" s="29">
        <v>1.0</v>
      </c>
      <c r="BB979" s="29">
        <v>1.0</v>
      </c>
      <c r="BC979" s="29"/>
      <c r="BD979" s="29" t="s">
        <v>92</v>
      </c>
      <c r="BE979" s="29"/>
      <c r="BF979" s="29" t="s">
        <v>1811</v>
      </c>
      <c r="BG979" s="76" t="s">
        <v>644</v>
      </c>
      <c r="BH979" s="29" t="s">
        <v>88</v>
      </c>
      <c r="BI979" s="76" t="s">
        <v>1808</v>
      </c>
      <c r="BJ979" s="76" t="s">
        <v>1809</v>
      </c>
      <c r="BK979" s="29"/>
      <c r="BL979" s="29"/>
      <c r="BM979" s="45"/>
      <c r="BN979" s="45"/>
      <c r="BO979" s="46"/>
      <c r="BP979" s="2"/>
      <c r="BQ979" s="3"/>
    </row>
    <row r="980" ht="15.75" customHeight="1">
      <c r="A980" s="34">
        <v>991.0</v>
      </c>
      <c r="B980" s="34">
        <v>104048.0</v>
      </c>
      <c r="C980" s="34" t="s">
        <v>415</v>
      </c>
      <c r="D980" s="99" t="s">
        <v>1798</v>
      </c>
      <c r="E980" s="34" t="s">
        <v>1799</v>
      </c>
      <c r="F980" s="34">
        <v>2021.0</v>
      </c>
      <c r="G980" s="34" t="s">
        <v>1800</v>
      </c>
      <c r="H980" s="34" t="s">
        <v>1801</v>
      </c>
      <c r="I980" s="34" t="s">
        <v>1802</v>
      </c>
      <c r="J980" s="35"/>
      <c r="K980" s="36"/>
      <c r="L980" s="36"/>
      <c r="M980" s="36"/>
      <c r="N980" s="36"/>
      <c r="O980" s="36"/>
      <c r="P980" s="37">
        <v>-4.0</v>
      </c>
      <c r="Q980" s="36" t="s">
        <v>977</v>
      </c>
      <c r="R980" s="36" t="s">
        <v>977</v>
      </c>
      <c r="S980" s="36"/>
      <c r="T980" s="36"/>
      <c r="U980" s="36"/>
      <c r="V980" s="36">
        <v>15713.0</v>
      </c>
      <c r="W980" s="36" t="s">
        <v>1803</v>
      </c>
      <c r="X980" s="38">
        <v>1.0</v>
      </c>
      <c r="Y980" s="38" t="s">
        <v>1812</v>
      </c>
      <c r="Z980" s="38" t="s">
        <v>1813</v>
      </c>
      <c r="AA980" s="38" t="s">
        <v>505</v>
      </c>
      <c r="AB980" s="38"/>
      <c r="AC980" s="38"/>
      <c r="AD980" s="38" t="s">
        <v>375</v>
      </c>
      <c r="AE980" s="38"/>
      <c r="AF980" s="38"/>
      <c r="AG980" s="38"/>
      <c r="AH980" s="38"/>
      <c r="AI980" s="50">
        <v>52.512465</v>
      </c>
      <c r="AJ980" s="50">
        <v>13.328108</v>
      </c>
      <c r="AK980" s="41" t="s">
        <v>505</v>
      </c>
      <c r="AL980" s="40" t="s">
        <v>505</v>
      </c>
      <c r="AM980" s="49">
        <v>42.0</v>
      </c>
      <c r="AN980" s="51">
        <v>42.0</v>
      </c>
      <c r="AO980" s="42" t="s">
        <v>376</v>
      </c>
      <c r="AP980" s="43" t="s">
        <v>376</v>
      </c>
      <c r="AQ980" s="44" t="str">
        <f t="shared" si="84"/>
        <v>URB</v>
      </c>
      <c r="AR980" s="44">
        <f t="shared" si="80"/>
        <v>42</v>
      </c>
      <c r="AS980" s="44" t="str">
        <f t="shared" si="90"/>
        <v>C</v>
      </c>
      <c r="AT980" s="44" t="str">
        <f t="shared" si="92"/>
        <v>Cf</v>
      </c>
      <c r="AU980" s="44" t="str">
        <f t="shared" si="91"/>
        <v>Cfb</v>
      </c>
      <c r="AV980" s="38"/>
      <c r="AW980" s="38"/>
      <c r="AX980" s="38" t="s">
        <v>1806</v>
      </c>
      <c r="AY980" s="38" t="s">
        <v>88</v>
      </c>
      <c r="AZ980" s="29">
        <v>20.0</v>
      </c>
      <c r="BA980" s="29">
        <v>1.0</v>
      </c>
      <c r="BB980" s="29">
        <v>1.0</v>
      </c>
      <c r="BC980" s="29"/>
      <c r="BD980" s="29" t="s">
        <v>92</v>
      </c>
      <c r="BE980" s="29"/>
      <c r="BF980" s="29" t="s">
        <v>1807</v>
      </c>
      <c r="BG980" s="76" t="s">
        <v>644</v>
      </c>
      <c r="BH980" s="29" t="s">
        <v>88</v>
      </c>
      <c r="BI980" s="76" t="s">
        <v>1808</v>
      </c>
      <c r="BJ980" s="76" t="s">
        <v>1809</v>
      </c>
      <c r="BK980" s="29"/>
      <c r="BL980" s="29"/>
      <c r="BM980" s="45"/>
      <c r="BN980" s="45"/>
      <c r="BO980" s="46"/>
      <c r="BP980" s="2"/>
      <c r="BQ980" s="3"/>
    </row>
    <row r="981" ht="15.75" customHeight="1">
      <c r="A981" s="34">
        <v>992.0</v>
      </c>
      <c r="B981" s="34">
        <v>104048.0</v>
      </c>
      <c r="C981" s="34" t="s">
        <v>415</v>
      </c>
      <c r="D981" s="99" t="s">
        <v>1798</v>
      </c>
      <c r="E981" s="34" t="s">
        <v>1799</v>
      </c>
      <c r="F981" s="34">
        <v>2021.0</v>
      </c>
      <c r="G981" s="34" t="s">
        <v>1800</v>
      </c>
      <c r="H981" s="34" t="s">
        <v>1801</v>
      </c>
      <c r="I981" s="34" t="s">
        <v>1802</v>
      </c>
      <c r="J981" s="35"/>
      <c r="K981" s="36"/>
      <c r="L981" s="36"/>
      <c r="M981" s="36"/>
      <c r="N981" s="36"/>
      <c r="O981" s="36"/>
      <c r="P981" s="37">
        <v>-4.65</v>
      </c>
      <c r="Q981" s="36" t="s">
        <v>977</v>
      </c>
      <c r="R981" s="36" t="s">
        <v>977</v>
      </c>
      <c r="S981" s="36"/>
      <c r="T981" s="36"/>
      <c r="U981" s="36"/>
      <c r="V981" s="36">
        <v>15713.0</v>
      </c>
      <c r="W981" s="36" t="s">
        <v>1803</v>
      </c>
      <c r="X981" s="38">
        <v>1.0</v>
      </c>
      <c r="Y981" s="38" t="s">
        <v>1812</v>
      </c>
      <c r="Z981" s="38" t="s">
        <v>1813</v>
      </c>
      <c r="AA981" s="38" t="s">
        <v>505</v>
      </c>
      <c r="AB981" s="38"/>
      <c r="AC981" s="38"/>
      <c r="AD981" s="38" t="s">
        <v>375</v>
      </c>
      <c r="AE981" s="38"/>
      <c r="AF981" s="38"/>
      <c r="AG981" s="38"/>
      <c r="AH981" s="38"/>
      <c r="AI981" s="50">
        <v>52.512465</v>
      </c>
      <c r="AJ981" s="50">
        <v>13.328108</v>
      </c>
      <c r="AK981" s="41" t="s">
        <v>505</v>
      </c>
      <c r="AL981" s="40" t="s">
        <v>505</v>
      </c>
      <c r="AM981" s="49">
        <v>42.0</v>
      </c>
      <c r="AN981" s="51">
        <v>42.0</v>
      </c>
      <c r="AO981" s="42" t="s">
        <v>376</v>
      </c>
      <c r="AP981" s="43" t="s">
        <v>376</v>
      </c>
      <c r="AQ981" s="44" t="str">
        <f t="shared" si="84"/>
        <v>URB</v>
      </c>
      <c r="AR981" s="44">
        <f t="shared" si="80"/>
        <v>42</v>
      </c>
      <c r="AS981" s="44" t="str">
        <f t="shared" si="90"/>
        <v>C</v>
      </c>
      <c r="AT981" s="44" t="str">
        <f t="shared" si="92"/>
        <v>Cf</v>
      </c>
      <c r="AU981" s="44" t="str">
        <f t="shared" si="91"/>
        <v>Cfb</v>
      </c>
      <c r="AV981" s="38"/>
      <c r="AW981" s="38"/>
      <c r="AX981" s="38" t="s">
        <v>1806</v>
      </c>
      <c r="AY981" s="38" t="s">
        <v>88</v>
      </c>
      <c r="AZ981" s="29">
        <v>20.0</v>
      </c>
      <c r="BA981" s="29">
        <v>1.0</v>
      </c>
      <c r="BB981" s="29">
        <v>1.0</v>
      </c>
      <c r="BC981" s="29"/>
      <c r="BD981" s="29" t="s">
        <v>92</v>
      </c>
      <c r="BE981" s="29"/>
      <c r="BF981" s="29" t="s">
        <v>1807</v>
      </c>
      <c r="BG981" s="76" t="s">
        <v>644</v>
      </c>
      <c r="BH981" s="29" t="s">
        <v>88</v>
      </c>
      <c r="BI981" s="76" t="s">
        <v>1808</v>
      </c>
      <c r="BJ981" s="76" t="s">
        <v>1809</v>
      </c>
      <c r="BK981" s="29"/>
      <c r="BL981" s="29"/>
      <c r="BM981" s="45"/>
      <c r="BN981" s="45"/>
      <c r="BO981" s="46"/>
      <c r="BP981" s="2"/>
      <c r="BQ981" s="3"/>
    </row>
    <row r="982" ht="15.75" customHeight="1">
      <c r="A982" s="34">
        <v>993.0</v>
      </c>
      <c r="B982" s="34">
        <v>104048.0</v>
      </c>
      <c r="C982" s="34" t="s">
        <v>415</v>
      </c>
      <c r="D982" s="99" t="s">
        <v>1798</v>
      </c>
      <c r="E982" s="34" t="s">
        <v>1799</v>
      </c>
      <c r="F982" s="34">
        <v>2021.0</v>
      </c>
      <c r="G982" s="34" t="s">
        <v>1800</v>
      </c>
      <c r="H982" s="34" t="s">
        <v>1801</v>
      </c>
      <c r="I982" s="34" t="s">
        <v>1802</v>
      </c>
      <c r="J982" s="35"/>
      <c r="K982" s="36"/>
      <c r="L982" s="36"/>
      <c r="M982" s="36"/>
      <c r="N982" s="36"/>
      <c r="O982" s="36"/>
      <c r="P982" s="37">
        <v>-0.6</v>
      </c>
      <c r="Q982" s="36" t="s">
        <v>977</v>
      </c>
      <c r="R982" s="36" t="s">
        <v>977</v>
      </c>
      <c r="S982" s="36"/>
      <c r="T982" s="36"/>
      <c r="U982" s="36"/>
      <c r="V982" s="36">
        <v>15713.0</v>
      </c>
      <c r="W982" s="36" t="s">
        <v>1803</v>
      </c>
      <c r="X982" s="38">
        <v>1.0</v>
      </c>
      <c r="Y982" s="38" t="s">
        <v>1812</v>
      </c>
      <c r="Z982" s="38" t="s">
        <v>1813</v>
      </c>
      <c r="AA982" s="38" t="s">
        <v>505</v>
      </c>
      <c r="AB982" s="38"/>
      <c r="AC982" s="38"/>
      <c r="AD982" s="38" t="s">
        <v>375</v>
      </c>
      <c r="AE982" s="38"/>
      <c r="AF982" s="38"/>
      <c r="AG982" s="38"/>
      <c r="AH982" s="38"/>
      <c r="AI982" s="50">
        <v>52.512465</v>
      </c>
      <c r="AJ982" s="50">
        <v>13.328108</v>
      </c>
      <c r="AK982" s="41" t="s">
        <v>505</v>
      </c>
      <c r="AL982" s="40" t="s">
        <v>505</v>
      </c>
      <c r="AM982" s="49">
        <v>42.0</v>
      </c>
      <c r="AN982" s="51">
        <v>42.0</v>
      </c>
      <c r="AO982" s="42" t="s">
        <v>376</v>
      </c>
      <c r="AP982" s="43" t="s">
        <v>376</v>
      </c>
      <c r="AQ982" s="44" t="str">
        <f t="shared" si="84"/>
        <v>URB</v>
      </c>
      <c r="AR982" s="44">
        <f t="shared" si="80"/>
        <v>42</v>
      </c>
      <c r="AS982" s="44" t="str">
        <f t="shared" si="90"/>
        <v>C</v>
      </c>
      <c r="AT982" s="44" t="str">
        <f t="shared" si="92"/>
        <v>Cf</v>
      </c>
      <c r="AU982" s="44" t="str">
        <f t="shared" si="91"/>
        <v>Cfb</v>
      </c>
      <c r="AV982" s="38"/>
      <c r="AW982" s="38"/>
      <c r="AX982" s="38" t="s">
        <v>1806</v>
      </c>
      <c r="AY982" s="38" t="s">
        <v>88</v>
      </c>
      <c r="AZ982" s="29">
        <v>20.0</v>
      </c>
      <c r="BA982" s="29">
        <v>1.0</v>
      </c>
      <c r="BB982" s="29">
        <v>1.0</v>
      </c>
      <c r="BC982" s="29"/>
      <c r="BD982" s="29" t="s">
        <v>92</v>
      </c>
      <c r="BE982" s="29"/>
      <c r="BF982" s="29" t="s">
        <v>1807</v>
      </c>
      <c r="BG982" s="76" t="s">
        <v>644</v>
      </c>
      <c r="BH982" s="29" t="s">
        <v>88</v>
      </c>
      <c r="BI982" s="76" t="s">
        <v>1808</v>
      </c>
      <c r="BJ982" s="76" t="s">
        <v>1809</v>
      </c>
      <c r="BK982" s="29"/>
      <c r="BL982" s="29"/>
      <c r="BM982" s="45"/>
      <c r="BN982" s="45"/>
      <c r="BO982" s="46"/>
      <c r="BP982" s="2"/>
      <c r="BQ982" s="3"/>
    </row>
    <row r="983" ht="15.75" customHeight="1">
      <c r="A983" s="34">
        <v>994.0</v>
      </c>
      <c r="B983" s="34">
        <v>104048.0</v>
      </c>
      <c r="C983" s="34" t="s">
        <v>415</v>
      </c>
      <c r="D983" s="99" t="s">
        <v>1798</v>
      </c>
      <c r="E983" s="34" t="s">
        <v>1799</v>
      </c>
      <c r="F983" s="34">
        <v>2021.0</v>
      </c>
      <c r="G983" s="34" t="s">
        <v>1800</v>
      </c>
      <c r="H983" s="34" t="s">
        <v>1801</v>
      </c>
      <c r="I983" s="34" t="s">
        <v>1802</v>
      </c>
      <c r="J983" s="35"/>
      <c r="K983" s="36"/>
      <c r="L983" s="36"/>
      <c r="M983" s="36"/>
      <c r="N983" s="36"/>
      <c r="O983" s="36"/>
      <c r="P983" s="37">
        <v>0.35</v>
      </c>
      <c r="Q983" s="36" t="s">
        <v>977</v>
      </c>
      <c r="R983" s="36" t="s">
        <v>977</v>
      </c>
      <c r="S983" s="36"/>
      <c r="T983" s="36"/>
      <c r="U983" s="36"/>
      <c r="V983" s="36">
        <v>15713.0</v>
      </c>
      <c r="W983" s="36" t="s">
        <v>1803</v>
      </c>
      <c r="X983" s="38">
        <v>1.0</v>
      </c>
      <c r="Y983" s="38" t="s">
        <v>1812</v>
      </c>
      <c r="Z983" s="38" t="s">
        <v>1813</v>
      </c>
      <c r="AA983" s="38" t="s">
        <v>505</v>
      </c>
      <c r="AB983" s="38"/>
      <c r="AC983" s="38"/>
      <c r="AD983" s="38" t="s">
        <v>375</v>
      </c>
      <c r="AE983" s="38"/>
      <c r="AF983" s="38"/>
      <c r="AG983" s="38"/>
      <c r="AH983" s="38"/>
      <c r="AI983" s="50">
        <v>52.512465</v>
      </c>
      <c r="AJ983" s="50">
        <v>13.328108</v>
      </c>
      <c r="AK983" s="41" t="s">
        <v>505</v>
      </c>
      <c r="AL983" s="40" t="s">
        <v>505</v>
      </c>
      <c r="AM983" s="49">
        <v>42.0</v>
      </c>
      <c r="AN983" s="51">
        <v>42.0</v>
      </c>
      <c r="AO983" s="42" t="s">
        <v>376</v>
      </c>
      <c r="AP983" s="43" t="s">
        <v>376</v>
      </c>
      <c r="AQ983" s="44" t="str">
        <f t="shared" si="84"/>
        <v>URB</v>
      </c>
      <c r="AR983" s="44">
        <f t="shared" si="80"/>
        <v>42</v>
      </c>
      <c r="AS983" s="44" t="str">
        <f t="shared" si="90"/>
        <v>C</v>
      </c>
      <c r="AT983" s="44" t="str">
        <f t="shared" si="92"/>
        <v>Cf</v>
      </c>
      <c r="AU983" s="44" t="str">
        <f t="shared" si="91"/>
        <v>Cfb</v>
      </c>
      <c r="AV983" s="38"/>
      <c r="AW983" s="38"/>
      <c r="AX983" s="38" t="s">
        <v>1806</v>
      </c>
      <c r="AY983" s="38" t="s">
        <v>88</v>
      </c>
      <c r="AZ983" s="29">
        <v>20.0</v>
      </c>
      <c r="BA983" s="29">
        <v>1.0</v>
      </c>
      <c r="BB983" s="29">
        <v>1.0</v>
      </c>
      <c r="BC983" s="29"/>
      <c r="BD983" s="29" t="s">
        <v>92</v>
      </c>
      <c r="BE983" s="29"/>
      <c r="BF983" s="29" t="s">
        <v>1807</v>
      </c>
      <c r="BG983" s="76" t="s">
        <v>644</v>
      </c>
      <c r="BH983" s="29" t="s">
        <v>88</v>
      </c>
      <c r="BI983" s="76" t="s">
        <v>1808</v>
      </c>
      <c r="BJ983" s="76" t="s">
        <v>1809</v>
      </c>
      <c r="BK983" s="29"/>
      <c r="BL983" s="29"/>
      <c r="BM983" s="45"/>
      <c r="BN983" s="45"/>
      <c r="BO983" s="46"/>
      <c r="BP983" s="2"/>
      <c r="BQ983" s="3"/>
    </row>
    <row r="984" ht="15.75" customHeight="1">
      <c r="A984" s="34">
        <v>995.0</v>
      </c>
      <c r="B984" s="34">
        <v>104048.0</v>
      </c>
      <c r="C984" s="34" t="s">
        <v>415</v>
      </c>
      <c r="D984" s="99" t="s">
        <v>1798</v>
      </c>
      <c r="E984" s="34" t="s">
        <v>1799</v>
      </c>
      <c r="F984" s="34">
        <v>2021.0</v>
      </c>
      <c r="G984" s="34" t="s">
        <v>1800</v>
      </c>
      <c r="H984" s="34" t="s">
        <v>1801</v>
      </c>
      <c r="I984" s="34" t="s">
        <v>1802</v>
      </c>
      <c r="J984" s="35"/>
      <c r="K984" s="36"/>
      <c r="L984" s="36"/>
      <c r="M984" s="36"/>
      <c r="N984" s="36"/>
      <c r="O984" s="36"/>
      <c r="P984" s="37">
        <v>0.8</v>
      </c>
      <c r="Q984" s="36" t="s">
        <v>977</v>
      </c>
      <c r="R984" s="36" t="s">
        <v>977</v>
      </c>
      <c r="S984" s="36"/>
      <c r="T984" s="36"/>
      <c r="U984" s="36"/>
      <c r="V984" s="36">
        <v>15713.0</v>
      </c>
      <c r="W984" s="36" t="s">
        <v>1803</v>
      </c>
      <c r="X984" s="38">
        <v>1.0</v>
      </c>
      <c r="Y984" s="38" t="s">
        <v>1812</v>
      </c>
      <c r="Z984" s="38" t="s">
        <v>1813</v>
      </c>
      <c r="AA984" s="38" t="s">
        <v>505</v>
      </c>
      <c r="AB984" s="38"/>
      <c r="AC984" s="38"/>
      <c r="AD984" s="38" t="s">
        <v>375</v>
      </c>
      <c r="AE984" s="38"/>
      <c r="AF984" s="38"/>
      <c r="AG984" s="38"/>
      <c r="AH984" s="38"/>
      <c r="AI984" s="50">
        <v>52.512465</v>
      </c>
      <c r="AJ984" s="50">
        <v>13.328108</v>
      </c>
      <c r="AK984" s="41" t="s">
        <v>505</v>
      </c>
      <c r="AL984" s="40" t="s">
        <v>505</v>
      </c>
      <c r="AM984" s="49">
        <v>42.0</v>
      </c>
      <c r="AN984" s="51">
        <v>42.0</v>
      </c>
      <c r="AO984" s="42" t="s">
        <v>376</v>
      </c>
      <c r="AP984" s="43" t="s">
        <v>376</v>
      </c>
      <c r="AQ984" s="44" t="str">
        <f t="shared" si="84"/>
        <v>URB</v>
      </c>
      <c r="AR984" s="44">
        <f t="shared" si="80"/>
        <v>42</v>
      </c>
      <c r="AS984" s="44" t="str">
        <f t="shared" si="90"/>
        <v>C</v>
      </c>
      <c r="AT984" s="44" t="str">
        <f t="shared" si="92"/>
        <v>Cf</v>
      </c>
      <c r="AU984" s="44" t="str">
        <f t="shared" si="91"/>
        <v>Cfb</v>
      </c>
      <c r="AV984" s="38"/>
      <c r="AW984" s="38"/>
      <c r="AX984" s="38" t="s">
        <v>1806</v>
      </c>
      <c r="AY984" s="38" t="s">
        <v>88</v>
      </c>
      <c r="AZ984" s="29">
        <v>20.0</v>
      </c>
      <c r="BA984" s="29">
        <v>1.0</v>
      </c>
      <c r="BB984" s="29">
        <v>1.0</v>
      </c>
      <c r="BC984" s="29"/>
      <c r="BD984" s="29" t="s">
        <v>92</v>
      </c>
      <c r="BE984" s="29"/>
      <c r="BF984" s="29" t="s">
        <v>1811</v>
      </c>
      <c r="BG984" s="76" t="s">
        <v>644</v>
      </c>
      <c r="BH984" s="29" t="s">
        <v>88</v>
      </c>
      <c r="BI984" s="76" t="s">
        <v>1808</v>
      </c>
      <c r="BJ984" s="76" t="s">
        <v>1809</v>
      </c>
      <c r="BK984" s="29"/>
      <c r="BL984" s="29"/>
      <c r="BM984" s="45"/>
      <c r="BN984" s="45"/>
      <c r="BO984" s="46"/>
      <c r="BP984" s="2"/>
      <c r="BQ984" s="3"/>
    </row>
    <row r="985" ht="15.75" customHeight="1">
      <c r="A985" s="34">
        <v>996.0</v>
      </c>
      <c r="B985" s="34">
        <v>104048.0</v>
      </c>
      <c r="C985" s="34" t="s">
        <v>415</v>
      </c>
      <c r="D985" s="99" t="s">
        <v>1798</v>
      </c>
      <c r="E985" s="34" t="s">
        <v>1799</v>
      </c>
      <c r="F985" s="34">
        <v>2021.0</v>
      </c>
      <c r="G985" s="34" t="s">
        <v>1800</v>
      </c>
      <c r="H985" s="34" t="s">
        <v>1801</v>
      </c>
      <c r="I985" s="34" t="s">
        <v>1802</v>
      </c>
      <c r="J985" s="35"/>
      <c r="K985" s="36"/>
      <c r="L985" s="36"/>
      <c r="M985" s="36"/>
      <c r="N985" s="36"/>
      <c r="O985" s="36"/>
      <c r="P985" s="37">
        <v>1.4</v>
      </c>
      <c r="Q985" s="36" t="s">
        <v>977</v>
      </c>
      <c r="R985" s="36" t="s">
        <v>977</v>
      </c>
      <c r="S985" s="36"/>
      <c r="T985" s="36"/>
      <c r="U985" s="36"/>
      <c r="V985" s="36">
        <v>15713.0</v>
      </c>
      <c r="W985" s="36" t="s">
        <v>1803</v>
      </c>
      <c r="X985" s="38">
        <v>1.0</v>
      </c>
      <c r="Y985" s="38" t="s">
        <v>1812</v>
      </c>
      <c r="Z985" s="38" t="s">
        <v>1813</v>
      </c>
      <c r="AA985" s="38" t="s">
        <v>505</v>
      </c>
      <c r="AB985" s="38"/>
      <c r="AC985" s="38"/>
      <c r="AD985" s="38" t="s">
        <v>375</v>
      </c>
      <c r="AE985" s="38"/>
      <c r="AF985" s="38"/>
      <c r="AG985" s="38"/>
      <c r="AH985" s="38"/>
      <c r="AI985" s="50">
        <v>52.512465</v>
      </c>
      <c r="AJ985" s="50">
        <v>13.328108</v>
      </c>
      <c r="AK985" s="41" t="s">
        <v>505</v>
      </c>
      <c r="AL985" s="40" t="s">
        <v>505</v>
      </c>
      <c r="AM985" s="49">
        <v>42.0</v>
      </c>
      <c r="AN985" s="51">
        <v>42.0</v>
      </c>
      <c r="AO985" s="42" t="s">
        <v>376</v>
      </c>
      <c r="AP985" s="43" t="s">
        <v>376</v>
      </c>
      <c r="AQ985" s="44" t="str">
        <f t="shared" si="84"/>
        <v>URB</v>
      </c>
      <c r="AR985" s="44">
        <f t="shared" si="80"/>
        <v>42</v>
      </c>
      <c r="AS985" s="44" t="str">
        <f t="shared" si="90"/>
        <v>C</v>
      </c>
      <c r="AT985" s="44" t="str">
        <f t="shared" si="92"/>
        <v>Cf</v>
      </c>
      <c r="AU985" s="44" t="str">
        <f t="shared" si="91"/>
        <v>Cfb</v>
      </c>
      <c r="AV985" s="38"/>
      <c r="AW985" s="38"/>
      <c r="AX985" s="38" t="s">
        <v>1806</v>
      </c>
      <c r="AY985" s="38" t="s">
        <v>88</v>
      </c>
      <c r="AZ985" s="29">
        <v>20.0</v>
      </c>
      <c r="BA985" s="29">
        <v>1.0</v>
      </c>
      <c r="BB985" s="29">
        <v>1.0</v>
      </c>
      <c r="BC985" s="29"/>
      <c r="BD985" s="29" t="s">
        <v>92</v>
      </c>
      <c r="BE985" s="29"/>
      <c r="BF985" s="29" t="s">
        <v>1811</v>
      </c>
      <c r="BG985" s="76" t="s">
        <v>644</v>
      </c>
      <c r="BH985" s="29" t="s">
        <v>88</v>
      </c>
      <c r="BI985" s="76" t="s">
        <v>1808</v>
      </c>
      <c r="BJ985" s="76" t="s">
        <v>1809</v>
      </c>
      <c r="BK985" s="29"/>
      <c r="BL985" s="29"/>
      <c r="BM985" s="45"/>
      <c r="BN985" s="45"/>
      <c r="BO985" s="46"/>
      <c r="BP985" s="73"/>
      <c r="BQ985" s="17"/>
    </row>
    <row r="986" ht="15.75" customHeight="1">
      <c r="A986" s="34">
        <v>997.0</v>
      </c>
      <c r="B986" s="34">
        <v>104048.0</v>
      </c>
      <c r="C986" s="34" t="s">
        <v>415</v>
      </c>
      <c r="D986" s="99" t="s">
        <v>1798</v>
      </c>
      <c r="E986" s="34" t="s">
        <v>1799</v>
      </c>
      <c r="F986" s="34">
        <v>2021.0</v>
      </c>
      <c r="G986" s="34" t="s">
        <v>1800</v>
      </c>
      <c r="H986" s="34" t="s">
        <v>1801</v>
      </c>
      <c r="I986" s="34" t="s">
        <v>1802</v>
      </c>
      <c r="J986" s="35"/>
      <c r="K986" s="36"/>
      <c r="L986" s="36"/>
      <c r="M986" s="36"/>
      <c r="N986" s="36"/>
      <c r="O986" s="36"/>
      <c r="P986" s="37">
        <v>5.9</v>
      </c>
      <c r="Q986" s="36" t="s">
        <v>977</v>
      </c>
      <c r="R986" s="36" t="s">
        <v>977</v>
      </c>
      <c r="S986" s="36"/>
      <c r="T986" s="36"/>
      <c r="U986" s="36"/>
      <c r="V986" s="36">
        <v>15713.0</v>
      </c>
      <c r="W986" s="36" t="s">
        <v>1803</v>
      </c>
      <c r="X986" s="38">
        <v>1.0</v>
      </c>
      <c r="Y986" s="38" t="s">
        <v>1812</v>
      </c>
      <c r="Z986" s="38" t="s">
        <v>1813</v>
      </c>
      <c r="AA986" s="38" t="s">
        <v>505</v>
      </c>
      <c r="AB986" s="38"/>
      <c r="AC986" s="38"/>
      <c r="AD986" s="38" t="s">
        <v>375</v>
      </c>
      <c r="AE986" s="38"/>
      <c r="AF986" s="38"/>
      <c r="AG986" s="38"/>
      <c r="AH986" s="38"/>
      <c r="AI986" s="50">
        <v>52.512465</v>
      </c>
      <c r="AJ986" s="50">
        <v>13.328108</v>
      </c>
      <c r="AK986" s="41" t="s">
        <v>505</v>
      </c>
      <c r="AL986" s="40" t="s">
        <v>505</v>
      </c>
      <c r="AM986" s="49">
        <v>42.0</v>
      </c>
      <c r="AN986" s="51">
        <v>42.0</v>
      </c>
      <c r="AO986" s="42" t="s">
        <v>376</v>
      </c>
      <c r="AP986" s="43" t="s">
        <v>376</v>
      </c>
      <c r="AQ986" s="44" t="str">
        <f t="shared" si="84"/>
        <v>URB</v>
      </c>
      <c r="AR986" s="44">
        <f t="shared" si="80"/>
        <v>42</v>
      </c>
      <c r="AS986" s="44" t="str">
        <f t="shared" si="90"/>
        <v>C</v>
      </c>
      <c r="AT986" s="44" t="str">
        <f t="shared" si="92"/>
        <v>Cf</v>
      </c>
      <c r="AU986" s="44" t="str">
        <f t="shared" si="91"/>
        <v>Cfb</v>
      </c>
      <c r="AV986" s="38"/>
      <c r="AW986" s="38"/>
      <c r="AX986" s="38" t="s">
        <v>1806</v>
      </c>
      <c r="AY986" s="38" t="s">
        <v>88</v>
      </c>
      <c r="AZ986" s="29">
        <v>20.0</v>
      </c>
      <c r="BA986" s="29">
        <v>1.0</v>
      </c>
      <c r="BB986" s="29">
        <v>1.0</v>
      </c>
      <c r="BC986" s="29"/>
      <c r="BD986" s="29" t="s">
        <v>92</v>
      </c>
      <c r="BE986" s="29"/>
      <c r="BF986" s="29" t="s">
        <v>1811</v>
      </c>
      <c r="BG986" s="76" t="s">
        <v>644</v>
      </c>
      <c r="BH986" s="29" t="s">
        <v>88</v>
      </c>
      <c r="BI986" s="76" t="s">
        <v>1808</v>
      </c>
      <c r="BJ986" s="76" t="s">
        <v>1809</v>
      </c>
      <c r="BK986" s="29"/>
      <c r="BL986" s="29"/>
      <c r="BM986" s="45"/>
      <c r="BN986" s="45"/>
      <c r="BO986" s="46"/>
      <c r="BP986" s="73"/>
      <c r="BQ986" s="17"/>
    </row>
    <row r="987" ht="15.75" customHeight="1">
      <c r="A987" s="34">
        <v>998.0</v>
      </c>
      <c r="B987" s="34">
        <v>104048.0</v>
      </c>
      <c r="C987" s="34" t="s">
        <v>415</v>
      </c>
      <c r="D987" s="99" t="s">
        <v>1798</v>
      </c>
      <c r="E987" s="34" t="s">
        <v>1799</v>
      </c>
      <c r="F987" s="34">
        <v>2021.0</v>
      </c>
      <c r="G987" s="34" t="s">
        <v>1800</v>
      </c>
      <c r="H987" s="34" t="s">
        <v>1801</v>
      </c>
      <c r="I987" s="34" t="s">
        <v>1802</v>
      </c>
      <c r="J987" s="35"/>
      <c r="K987" s="36"/>
      <c r="L987" s="36"/>
      <c r="M987" s="36"/>
      <c r="N987" s="36"/>
      <c r="O987" s="36"/>
      <c r="P987" s="37">
        <v>4.45</v>
      </c>
      <c r="Q987" s="36" t="s">
        <v>977</v>
      </c>
      <c r="R987" s="36" t="s">
        <v>977</v>
      </c>
      <c r="S987" s="36"/>
      <c r="T987" s="36"/>
      <c r="U987" s="36"/>
      <c r="V987" s="36">
        <v>15713.0</v>
      </c>
      <c r="W987" s="36" t="s">
        <v>1803</v>
      </c>
      <c r="X987" s="38">
        <v>1.0</v>
      </c>
      <c r="Y987" s="38" t="s">
        <v>1812</v>
      </c>
      <c r="Z987" s="38" t="s">
        <v>1813</v>
      </c>
      <c r="AA987" s="38" t="s">
        <v>505</v>
      </c>
      <c r="AB987" s="38"/>
      <c r="AC987" s="38"/>
      <c r="AD987" s="38" t="s">
        <v>375</v>
      </c>
      <c r="AE987" s="38"/>
      <c r="AF987" s="38"/>
      <c r="AG987" s="38"/>
      <c r="AH987" s="38"/>
      <c r="AI987" s="50">
        <v>52.512465</v>
      </c>
      <c r="AJ987" s="50">
        <v>13.328108</v>
      </c>
      <c r="AK987" s="41" t="s">
        <v>505</v>
      </c>
      <c r="AL987" s="40" t="s">
        <v>505</v>
      </c>
      <c r="AM987" s="49">
        <v>42.0</v>
      </c>
      <c r="AN987" s="51">
        <v>42.0</v>
      </c>
      <c r="AO987" s="42" t="s">
        <v>376</v>
      </c>
      <c r="AP987" s="43" t="s">
        <v>376</v>
      </c>
      <c r="AQ987" s="44" t="str">
        <f t="shared" si="84"/>
        <v>URB</v>
      </c>
      <c r="AR987" s="44">
        <f t="shared" si="80"/>
        <v>42</v>
      </c>
      <c r="AS987" s="44" t="str">
        <f t="shared" si="90"/>
        <v>C</v>
      </c>
      <c r="AT987" s="44" t="str">
        <f t="shared" si="92"/>
        <v>Cf</v>
      </c>
      <c r="AU987" s="44" t="str">
        <f t="shared" si="91"/>
        <v>Cfb</v>
      </c>
      <c r="AV987" s="38"/>
      <c r="AW987" s="38"/>
      <c r="AX987" s="38" t="s">
        <v>1806</v>
      </c>
      <c r="AY987" s="38" t="s">
        <v>88</v>
      </c>
      <c r="AZ987" s="29">
        <v>20.0</v>
      </c>
      <c r="BA987" s="29">
        <v>1.0</v>
      </c>
      <c r="BB987" s="29">
        <v>1.0</v>
      </c>
      <c r="BC987" s="29"/>
      <c r="BD987" s="29" t="s">
        <v>92</v>
      </c>
      <c r="BE987" s="29"/>
      <c r="BF987" s="29" t="s">
        <v>1811</v>
      </c>
      <c r="BG987" s="76" t="s">
        <v>644</v>
      </c>
      <c r="BH987" s="29" t="s">
        <v>88</v>
      </c>
      <c r="BI987" s="76" t="s">
        <v>1808</v>
      </c>
      <c r="BJ987" s="76" t="s">
        <v>1809</v>
      </c>
      <c r="BK987" s="29"/>
      <c r="BL987" s="29"/>
      <c r="BM987" s="45"/>
      <c r="BN987" s="45"/>
      <c r="BO987" s="46"/>
      <c r="BP987" s="2" t="s">
        <v>1814</v>
      </c>
      <c r="BQ987" s="3"/>
    </row>
    <row r="988" ht="15.75" customHeight="1">
      <c r="A988" s="34">
        <v>1000.0</v>
      </c>
      <c r="B988" s="34">
        <v>101797.0</v>
      </c>
      <c r="C988" s="34" t="s">
        <v>415</v>
      </c>
      <c r="D988" s="34" t="s">
        <v>1815</v>
      </c>
      <c r="E988" s="34" t="s">
        <v>1816</v>
      </c>
      <c r="F988" s="34">
        <v>2012.0</v>
      </c>
      <c r="G988" s="34" t="s">
        <v>1817</v>
      </c>
      <c r="H988" s="34" t="s">
        <v>80</v>
      </c>
      <c r="I988" s="34" t="s">
        <v>1818</v>
      </c>
      <c r="J988" s="35"/>
      <c r="K988" s="36"/>
      <c r="L988" s="36"/>
      <c r="M988" s="36"/>
      <c r="N988" s="36"/>
      <c r="O988" s="36"/>
      <c r="P988" s="37">
        <v>9.5</v>
      </c>
      <c r="Q988" s="36"/>
      <c r="R988" s="36" t="s">
        <v>209</v>
      </c>
      <c r="S988" s="36">
        <v>1000.0</v>
      </c>
      <c r="T988" s="36" t="s">
        <v>536</v>
      </c>
      <c r="U988" s="36" t="s">
        <v>351</v>
      </c>
      <c r="V988" s="36">
        <v>1.0</v>
      </c>
      <c r="W988" s="36"/>
      <c r="X988" s="38">
        <v>1.0</v>
      </c>
      <c r="Y988" s="38" t="s">
        <v>1819</v>
      </c>
      <c r="Z988" s="38"/>
      <c r="AA988" s="38"/>
      <c r="AB988" s="38">
        <v>37.6</v>
      </c>
      <c r="AC988" s="38">
        <v>101.333333</v>
      </c>
      <c r="AD988" s="38" t="s">
        <v>198</v>
      </c>
      <c r="AE988" s="38"/>
      <c r="AF988" s="38"/>
      <c r="AG988" s="38"/>
      <c r="AH988" s="38"/>
      <c r="AI988" s="50">
        <v>37.6</v>
      </c>
      <c r="AJ988" s="50">
        <v>101.333333</v>
      </c>
      <c r="AK988" s="41" t="s">
        <v>288</v>
      </c>
      <c r="AL988" s="40"/>
      <c r="AM988" s="49">
        <v>3201.0</v>
      </c>
      <c r="AN988" s="43"/>
      <c r="AO988" s="42" t="s">
        <v>597</v>
      </c>
      <c r="AP988" s="43"/>
      <c r="AQ988" s="80" t="s">
        <v>288</v>
      </c>
      <c r="AR988" s="44">
        <f t="shared" si="80"/>
        <v>3201</v>
      </c>
      <c r="AS988" s="44" t="str">
        <f t="shared" si="90"/>
        <v>D</v>
      </c>
      <c r="AT988" s="44" t="s">
        <v>1820</v>
      </c>
      <c r="AU988" s="44" t="str">
        <f t="shared" si="91"/>
        <v>Dwc</v>
      </c>
      <c r="AV988" s="38"/>
      <c r="AW988" s="38"/>
      <c r="AX988" s="38"/>
      <c r="AY988" s="38" t="s">
        <v>92</v>
      </c>
      <c r="AZ988" s="29">
        <v>1000.0</v>
      </c>
      <c r="BA988" s="29">
        <v>1.0</v>
      </c>
      <c r="BB988" s="29">
        <v>1.0</v>
      </c>
      <c r="BC988" s="29"/>
      <c r="BD988" s="29" t="s">
        <v>92</v>
      </c>
      <c r="BE988" s="29"/>
      <c r="BF988" s="29" t="s">
        <v>1821</v>
      </c>
      <c r="BG988" s="29" t="s">
        <v>220</v>
      </c>
      <c r="BH988" s="29"/>
      <c r="BI988" s="29"/>
      <c r="BJ988" s="29"/>
      <c r="BK988" s="29"/>
      <c r="BL988" s="29"/>
      <c r="BM988" s="45"/>
      <c r="BN988" s="45">
        <v>1.0</v>
      </c>
      <c r="BO988" s="46" t="s">
        <v>1821</v>
      </c>
      <c r="BP988" s="2"/>
      <c r="BQ988" s="3"/>
    </row>
    <row r="989" ht="15.75" customHeight="1">
      <c r="A989" s="34">
        <v>1001.0</v>
      </c>
      <c r="B989" s="34">
        <v>101916.0</v>
      </c>
      <c r="C989" s="34" t="s">
        <v>415</v>
      </c>
      <c r="D989" s="34" t="s">
        <v>1822</v>
      </c>
      <c r="E989" s="34" t="s">
        <v>1823</v>
      </c>
      <c r="F989" s="34">
        <v>2012.0</v>
      </c>
      <c r="G989" s="34" t="s">
        <v>1824</v>
      </c>
      <c r="H989" s="34" t="s">
        <v>1825</v>
      </c>
      <c r="I989" s="34" t="s">
        <v>1826</v>
      </c>
      <c r="J989" s="35"/>
      <c r="K989" s="36"/>
      <c r="L989" s="36"/>
      <c r="M989" s="36"/>
      <c r="N989" s="36">
        <v>-4.4</v>
      </c>
      <c r="O989" s="36">
        <v>421.0</v>
      </c>
      <c r="P989" s="37">
        <f t="shared" ref="P989:P992" si="93">N989*100/O989</f>
        <v>-1.045130641</v>
      </c>
      <c r="Q989" s="36"/>
      <c r="R989" s="36" t="s">
        <v>82</v>
      </c>
      <c r="S989" s="36"/>
      <c r="T989" s="36" t="s">
        <v>1827</v>
      </c>
      <c r="U989" s="36" t="s">
        <v>1828</v>
      </c>
      <c r="V989" s="36">
        <v>30.0</v>
      </c>
      <c r="W989" s="36" t="s">
        <v>88</v>
      </c>
      <c r="X989" s="38">
        <v>12.0</v>
      </c>
      <c r="Y989" s="38" t="s">
        <v>1829</v>
      </c>
      <c r="Z989" s="38"/>
      <c r="AA989" s="38" t="s">
        <v>86</v>
      </c>
      <c r="AB989" s="38"/>
      <c r="AC989" s="38"/>
      <c r="AD989" s="39" t="s">
        <v>87</v>
      </c>
      <c r="AE989" s="38">
        <v>270.0</v>
      </c>
      <c r="AF989" s="38" t="s">
        <v>1830</v>
      </c>
      <c r="AG989" s="57" t="s">
        <v>784</v>
      </c>
      <c r="AH989" s="38"/>
      <c r="AI989" s="40"/>
      <c r="AJ989" s="40"/>
      <c r="AK989" s="41"/>
      <c r="AL989" s="40"/>
      <c r="AM989" s="49"/>
      <c r="AN989" s="51"/>
      <c r="AO989" s="42"/>
      <c r="AP989" s="43"/>
      <c r="AQ989" s="44" t="str">
        <f t="shared" ref="AQ989:AQ1140" si="94">AA989</f>
        <v>CRO</v>
      </c>
      <c r="AR989" s="44" t="str">
        <f t="shared" si="80"/>
        <v/>
      </c>
      <c r="AS989" s="44" t="s">
        <v>1831</v>
      </c>
      <c r="AT989" s="44" t="s">
        <v>784</v>
      </c>
      <c r="AU989" s="44" t="s">
        <v>784</v>
      </c>
      <c r="AV989" s="38">
        <v>3.0</v>
      </c>
      <c r="AW989" s="38"/>
      <c r="AX989" s="38"/>
      <c r="AY989" s="38"/>
      <c r="AZ989" s="29">
        <v>30.0</v>
      </c>
      <c r="BA989" s="29">
        <v>1.0</v>
      </c>
      <c r="BB989" s="29">
        <v>1.0</v>
      </c>
      <c r="BC989" s="29"/>
      <c r="BD989" s="29" t="s">
        <v>88</v>
      </c>
      <c r="BE989" s="29"/>
      <c r="BF989" s="76" t="s">
        <v>1832</v>
      </c>
      <c r="BG989" s="76" t="s">
        <v>572</v>
      </c>
      <c r="BH989" s="29"/>
      <c r="BI989" s="29" t="s">
        <v>1833</v>
      </c>
      <c r="BJ989" s="29" t="s">
        <v>1834</v>
      </c>
      <c r="BK989" s="29" t="s">
        <v>1835</v>
      </c>
      <c r="BL989" s="29" t="s">
        <v>1835</v>
      </c>
      <c r="BM989" s="45"/>
      <c r="BN989" s="45">
        <v>1.0</v>
      </c>
      <c r="BO989" s="46" t="s">
        <v>571</v>
      </c>
      <c r="BP989" s="2"/>
      <c r="BQ989" s="3"/>
    </row>
    <row r="990" ht="15.75" customHeight="1">
      <c r="A990" s="34">
        <v>1002.0</v>
      </c>
      <c r="B990" s="34">
        <v>101916.0</v>
      </c>
      <c r="C990" s="34" t="s">
        <v>832</v>
      </c>
      <c r="D990" s="34" t="s">
        <v>1822</v>
      </c>
      <c r="E990" s="34" t="s">
        <v>1823</v>
      </c>
      <c r="F990" s="34">
        <v>2012.0</v>
      </c>
      <c r="G990" s="34" t="s">
        <v>1824</v>
      </c>
      <c r="H990" s="34" t="s">
        <v>1825</v>
      </c>
      <c r="I990" s="34" t="s">
        <v>1826</v>
      </c>
      <c r="J990" s="35"/>
      <c r="K990" s="36"/>
      <c r="L990" s="36"/>
      <c r="M990" s="36"/>
      <c r="N990" s="36">
        <v>3.7</v>
      </c>
      <c r="O990" s="36">
        <v>346.6</v>
      </c>
      <c r="P990" s="37">
        <f t="shared" si="93"/>
        <v>1.067512983</v>
      </c>
      <c r="Q990" s="36"/>
      <c r="R990" s="36" t="s">
        <v>82</v>
      </c>
      <c r="S990" s="36"/>
      <c r="T990" s="36" t="s">
        <v>1836</v>
      </c>
      <c r="U990" s="36" t="s">
        <v>1836</v>
      </c>
      <c r="V990" s="36">
        <v>9.0</v>
      </c>
      <c r="W990" s="36" t="s">
        <v>88</v>
      </c>
      <c r="X990" s="38">
        <v>9.0</v>
      </c>
      <c r="Y990" s="38" t="s">
        <v>1829</v>
      </c>
      <c r="Z990" s="38"/>
      <c r="AA990" s="38" t="s">
        <v>86</v>
      </c>
      <c r="AB990" s="38"/>
      <c r="AC990" s="38"/>
      <c r="AD990" s="39" t="s">
        <v>87</v>
      </c>
      <c r="AE990" s="38">
        <v>270.0</v>
      </c>
      <c r="AF990" s="38" t="s">
        <v>1830</v>
      </c>
      <c r="AG990" s="57" t="s">
        <v>784</v>
      </c>
      <c r="AH990" s="38"/>
      <c r="AI990" s="40"/>
      <c r="AJ990" s="40"/>
      <c r="AK990" s="41"/>
      <c r="AL990" s="40"/>
      <c r="AM990" s="49"/>
      <c r="AN990" s="51"/>
      <c r="AO990" s="42"/>
      <c r="AP990" s="43"/>
      <c r="AQ990" s="44" t="str">
        <f t="shared" si="94"/>
        <v>CRO</v>
      </c>
      <c r="AR990" s="44" t="str">
        <f t="shared" si="80"/>
        <v/>
      </c>
      <c r="AS990" s="44" t="s">
        <v>1831</v>
      </c>
      <c r="AT990" s="44" t="s">
        <v>784</v>
      </c>
      <c r="AU990" s="44" t="s">
        <v>784</v>
      </c>
      <c r="AV990" s="38">
        <v>3.0</v>
      </c>
      <c r="AW990" s="38"/>
      <c r="AX990" s="38"/>
      <c r="AY990" s="38"/>
      <c r="AZ990" s="29">
        <v>30.0</v>
      </c>
      <c r="BA990" s="29">
        <v>1.0</v>
      </c>
      <c r="BB990" s="29">
        <v>1.0</v>
      </c>
      <c r="BC990" s="29"/>
      <c r="BD990" s="29" t="s">
        <v>88</v>
      </c>
      <c r="BE990" s="29"/>
      <c r="BF990" s="76" t="s">
        <v>1832</v>
      </c>
      <c r="BG990" s="76" t="s">
        <v>572</v>
      </c>
      <c r="BH990" s="29"/>
      <c r="BI990" s="29" t="s">
        <v>1833</v>
      </c>
      <c r="BJ990" s="29" t="s">
        <v>1834</v>
      </c>
      <c r="BK990" s="29" t="s">
        <v>1835</v>
      </c>
      <c r="BL990" s="29" t="s">
        <v>1835</v>
      </c>
      <c r="BM990" s="45"/>
      <c r="BN990" s="45">
        <v>1.0</v>
      </c>
      <c r="BO990" s="46" t="s">
        <v>571</v>
      </c>
      <c r="BP990" s="2"/>
      <c r="BQ990" s="3"/>
    </row>
    <row r="991" ht="15.75" customHeight="1">
      <c r="A991" s="34">
        <v>1003.0</v>
      </c>
      <c r="B991" s="34">
        <v>101916.0</v>
      </c>
      <c r="C991" s="34" t="s">
        <v>832</v>
      </c>
      <c r="D991" s="34" t="s">
        <v>1822</v>
      </c>
      <c r="E991" s="34" t="s">
        <v>1823</v>
      </c>
      <c r="F991" s="34">
        <v>2012.0</v>
      </c>
      <c r="G991" s="34" t="s">
        <v>1824</v>
      </c>
      <c r="H991" s="34" t="s">
        <v>1825</v>
      </c>
      <c r="I991" s="34" t="s">
        <v>1826</v>
      </c>
      <c r="J991" s="35"/>
      <c r="K991" s="36"/>
      <c r="L991" s="36"/>
      <c r="M991" s="36"/>
      <c r="N991" s="36">
        <v>-19.0</v>
      </c>
      <c r="O991" s="36">
        <v>399.8</v>
      </c>
      <c r="P991" s="37">
        <f t="shared" si="93"/>
        <v>-4.752376188</v>
      </c>
      <c r="Q991" s="36"/>
      <c r="R991" s="36" t="s">
        <v>82</v>
      </c>
      <c r="S991" s="36"/>
      <c r="T991" s="36" t="s">
        <v>1837</v>
      </c>
      <c r="U991" s="36" t="s">
        <v>1837</v>
      </c>
      <c r="V991" s="36">
        <v>10.0</v>
      </c>
      <c r="W991" s="36" t="s">
        <v>88</v>
      </c>
      <c r="X991" s="38">
        <v>10.0</v>
      </c>
      <c r="Y991" s="38" t="s">
        <v>1829</v>
      </c>
      <c r="Z991" s="38"/>
      <c r="AA991" s="38" t="s">
        <v>86</v>
      </c>
      <c r="AB991" s="38"/>
      <c r="AC991" s="38"/>
      <c r="AD991" s="39" t="s">
        <v>87</v>
      </c>
      <c r="AE991" s="38">
        <v>270.0</v>
      </c>
      <c r="AF991" s="38" t="s">
        <v>1830</v>
      </c>
      <c r="AG991" s="57" t="s">
        <v>784</v>
      </c>
      <c r="AH991" s="38"/>
      <c r="AI991" s="40"/>
      <c r="AJ991" s="40"/>
      <c r="AK991" s="41"/>
      <c r="AL991" s="40"/>
      <c r="AM991" s="49"/>
      <c r="AN991" s="51"/>
      <c r="AO991" s="42"/>
      <c r="AP991" s="43"/>
      <c r="AQ991" s="44" t="str">
        <f t="shared" si="94"/>
        <v>CRO</v>
      </c>
      <c r="AR991" s="44" t="str">
        <f t="shared" si="80"/>
        <v/>
      </c>
      <c r="AS991" s="44" t="s">
        <v>1831</v>
      </c>
      <c r="AT991" s="44" t="s">
        <v>784</v>
      </c>
      <c r="AU991" s="44" t="s">
        <v>784</v>
      </c>
      <c r="AV991" s="38">
        <v>3.0</v>
      </c>
      <c r="AW991" s="38"/>
      <c r="AX991" s="38"/>
      <c r="AY991" s="38"/>
      <c r="AZ991" s="29">
        <v>30.0</v>
      </c>
      <c r="BA991" s="29">
        <v>1.0</v>
      </c>
      <c r="BB991" s="29">
        <v>1.0</v>
      </c>
      <c r="BC991" s="29"/>
      <c r="BD991" s="29" t="s">
        <v>88</v>
      </c>
      <c r="BE991" s="29"/>
      <c r="BF991" s="76" t="s">
        <v>1832</v>
      </c>
      <c r="BG991" s="76" t="s">
        <v>572</v>
      </c>
      <c r="BH991" s="29"/>
      <c r="BI991" s="29" t="s">
        <v>1833</v>
      </c>
      <c r="BJ991" s="29" t="s">
        <v>1834</v>
      </c>
      <c r="BK991" s="29" t="s">
        <v>1835</v>
      </c>
      <c r="BL991" s="29" t="s">
        <v>1835</v>
      </c>
      <c r="BM991" s="45"/>
      <c r="BN991" s="45">
        <v>1.0</v>
      </c>
      <c r="BO991" s="46" t="s">
        <v>571</v>
      </c>
      <c r="BP991" s="2"/>
      <c r="BQ991" s="3"/>
    </row>
    <row r="992" ht="15.75" customHeight="1">
      <c r="A992" s="34">
        <v>1004.0</v>
      </c>
      <c r="B992" s="34">
        <v>101916.0</v>
      </c>
      <c r="C992" s="34" t="s">
        <v>832</v>
      </c>
      <c r="D992" s="34" t="s">
        <v>1822</v>
      </c>
      <c r="E992" s="34" t="s">
        <v>1823</v>
      </c>
      <c r="F992" s="34">
        <v>2012.0</v>
      </c>
      <c r="G992" s="34" t="s">
        <v>1824</v>
      </c>
      <c r="H992" s="34" t="s">
        <v>1825</v>
      </c>
      <c r="I992" s="34" t="s">
        <v>1826</v>
      </c>
      <c r="J992" s="35"/>
      <c r="K992" s="36"/>
      <c r="L992" s="36"/>
      <c r="M992" s="36"/>
      <c r="N992" s="36">
        <v>2.3</v>
      </c>
      <c r="O992" s="36">
        <v>501.3</v>
      </c>
      <c r="P992" s="37">
        <f t="shared" si="93"/>
        <v>0.4588071015</v>
      </c>
      <c r="Q992" s="36"/>
      <c r="R992" s="36" t="s">
        <v>82</v>
      </c>
      <c r="S992" s="36"/>
      <c r="T992" s="36" t="s">
        <v>1828</v>
      </c>
      <c r="U992" s="36" t="s">
        <v>1828</v>
      </c>
      <c r="V992" s="36">
        <v>11.0</v>
      </c>
      <c r="W992" s="36" t="s">
        <v>88</v>
      </c>
      <c r="X992" s="38">
        <v>11.0</v>
      </c>
      <c r="Y992" s="38" t="s">
        <v>1829</v>
      </c>
      <c r="Z992" s="38"/>
      <c r="AA992" s="38" t="s">
        <v>86</v>
      </c>
      <c r="AB992" s="38"/>
      <c r="AC992" s="38"/>
      <c r="AD992" s="39" t="s">
        <v>87</v>
      </c>
      <c r="AE992" s="38">
        <v>270.0</v>
      </c>
      <c r="AF992" s="38" t="s">
        <v>1830</v>
      </c>
      <c r="AG992" s="57" t="s">
        <v>784</v>
      </c>
      <c r="AH992" s="38"/>
      <c r="AI992" s="40"/>
      <c r="AJ992" s="40"/>
      <c r="AK992" s="41"/>
      <c r="AL992" s="40"/>
      <c r="AM992" s="49"/>
      <c r="AN992" s="51"/>
      <c r="AO992" s="42"/>
      <c r="AP992" s="43"/>
      <c r="AQ992" s="44" t="str">
        <f t="shared" si="94"/>
        <v>CRO</v>
      </c>
      <c r="AR992" s="44" t="str">
        <f t="shared" si="80"/>
        <v/>
      </c>
      <c r="AS992" s="44" t="s">
        <v>1831</v>
      </c>
      <c r="AT992" s="44" t="s">
        <v>784</v>
      </c>
      <c r="AU992" s="44" t="s">
        <v>784</v>
      </c>
      <c r="AV992" s="38">
        <v>3.0</v>
      </c>
      <c r="AW992" s="38"/>
      <c r="AX992" s="38"/>
      <c r="AY992" s="38"/>
      <c r="AZ992" s="29">
        <v>30.0</v>
      </c>
      <c r="BA992" s="29">
        <v>1.0</v>
      </c>
      <c r="BB992" s="29">
        <v>1.0</v>
      </c>
      <c r="BC992" s="29"/>
      <c r="BD992" s="29" t="s">
        <v>88</v>
      </c>
      <c r="BE992" s="29"/>
      <c r="BF992" s="76" t="s">
        <v>1832</v>
      </c>
      <c r="BG992" s="76" t="s">
        <v>572</v>
      </c>
      <c r="BH992" s="29"/>
      <c r="BI992" s="29" t="s">
        <v>1833</v>
      </c>
      <c r="BJ992" s="29" t="s">
        <v>1834</v>
      </c>
      <c r="BK992" s="29" t="s">
        <v>1835</v>
      </c>
      <c r="BL992" s="29" t="s">
        <v>1835</v>
      </c>
      <c r="BM992" s="45"/>
      <c r="BN992" s="45">
        <v>1.0</v>
      </c>
      <c r="BO992" s="46" t="s">
        <v>571</v>
      </c>
      <c r="BP992" s="2"/>
      <c r="BQ992" s="3"/>
    </row>
    <row r="993" ht="15.75" customHeight="1">
      <c r="A993" s="34">
        <v>1006.0</v>
      </c>
      <c r="B993" s="34">
        <v>102480.0</v>
      </c>
      <c r="C993" s="34" t="s">
        <v>415</v>
      </c>
      <c r="D993" s="34" t="s">
        <v>1838</v>
      </c>
      <c r="E993" s="34" t="s">
        <v>1839</v>
      </c>
      <c r="F993" s="34">
        <v>2020.0</v>
      </c>
      <c r="G993" s="34" t="s">
        <v>1840</v>
      </c>
      <c r="H993" s="34" t="s">
        <v>80</v>
      </c>
      <c r="I993" s="34" t="s">
        <v>1841</v>
      </c>
      <c r="J993" s="35"/>
      <c r="K993" s="36"/>
      <c r="L993" s="36"/>
      <c r="M993" s="36"/>
      <c r="N993" s="36"/>
      <c r="O993" s="36"/>
      <c r="P993" s="37">
        <v>8.0</v>
      </c>
      <c r="Q993" s="36"/>
      <c r="R993" s="36" t="s">
        <v>82</v>
      </c>
      <c r="S993" s="36" t="s">
        <v>1842</v>
      </c>
      <c r="T993" s="36" t="s">
        <v>1843</v>
      </c>
      <c r="U993" s="36" t="s">
        <v>1844</v>
      </c>
      <c r="V993" s="36">
        <v>502.0</v>
      </c>
      <c r="W993" s="36"/>
      <c r="X993" s="38">
        <v>82.0</v>
      </c>
      <c r="Y993" s="38" t="s">
        <v>1845</v>
      </c>
      <c r="Z993" s="38"/>
      <c r="AA993" s="38"/>
      <c r="AB993" s="38"/>
      <c r="AC993" s="38"/>
      <c r="AD993" s="38" t="s">
        <v>1846</v>
      </c>
      <c r="AE993" s="38"/>
      <c r="AF993" s="38"/>
      <c r="AG993" s="38"/>
      <c r="AH993" s="38"/>
      <c r="AI993" s="50"/>
      <c r="AJ993" s="50"/>
      <c r="AK993" s="41"/>
      <c r="AL993" s="40"/>
      <c r="AM993" s="49"/>
      <c r="AN993" s="43"/>
      <c r="AO993" s="42"/>
      <c r="AP993" s="43"/>
      <c r="AQ993" s="44" t="str">
        <f t="shared" si="94"/>
        <v/>
      </c>
      <c r="AR993" s="44" t="str">
        <f t="shared" si="80"/>
        <v/>
      </c>
      <c r="AS993" s="44"/>
      <c r="AT993" s="44" t="str">
        <f>LEFT(AP993,2)</f>
        <v/>
      </c>
      <c r="AU993" s="44" t="str">
        <f t="shared" ref="AU993:AU1123" si="95">AO993</f>
        <v/>
      </c>
      <c r="AV993" s="38">
        <v>1.0</v>
      </c>
      <c r="AW993" s="38"/>
      <c r="AX993" s="38"/>
      <c r="AY993" s="38" t="s">
        <v>92</v>
      </c>
      <c r="AZ993" s="29">
        <v>70.0</v>
      </c>
      <c r="BA993" s="29">
        <v>1.0</v>
      </c>
      <c r="BB993" s="29">
        <v>1.0</v>
      </c>
      <c r="BC993" s="29"/>
      <c r="BD993" s="29" t="s">
        <v>88</v>
      </c>
      <c r="BE993" s="29"/>
      <c r="BF993" s="29" t="s">
        <v>1847</v>
      </c>
      <c r="BG993" s="29" t="s">
        <v>203</v>
      </c>
      <c r="BH993" s="29" t="s">
        <v>88</v>
      </c>
      <c r="BI993" s="29" t="s">
        <v>1848</v>
      </c>
      <c r="BJ993" s="29"/>
      <c r="BK993" s="29"/>
      <c r="BL993" s="29" t="s">
        <v>1849</v>
      </c>
      <c r="BM993" s="45"/>
      <c r="BN993" s="45">
        <v>1.0</v>
      </c>
      <c r="BO993" s="46" t="s">
        <v>1847</v>
      </c>
      <c r="BP993" s="73"/>
      <c r="BQ993" s="17"/>
    </row>
    <row r="994" ht="15.75" customHeight="1">
      <c r="A994" s="34">
        <v>1007.0</v>
      </c>
      <c r="B994" s="34">
        <v>203123.0</v>
      </c>
      <c r="C994" s="34" t="s">
        <v>415</v>
      </c>
      <c r="D994" s="34" t="s">
        <v>1850</v>
      </c>
      <c r="E994" s="34" t="s">
        <v>1851</v>
      </c>
      <c r="F994" s="34">
        <v>2021.0</v>
      </c>
      <c r="G994" s="34" t="s">
        <v>1852</v>
      </c>
      <c r="H994" s="34" t="s">
        <v>80</v>
      </c>
      <c r="I994" s="34" t="s">
        <v>1853</v>
      </c>
      <c r="J994" s="35"/>
      <c r="K994" s="36"/>
      <c r="L994" s="36"/>
      <c r="M994" s="36"/>
      <c r="N994" s="36"/>
      <c r="O994" s="36"/>
      <c r="P994" s="37">
        <v>-50.92</v>
      </c>
      <c r="Q994" s="36" t="s">
        <v>96</v>
      </c>
      <c r="R994" s="36" t="s">
        <v>96</v>
      </c>
      <c r="S994" s="36"/>
      <c r="T994" s="36" t="s">
        <v>356</v>
      </c>
      <c r="U994" s="36" t="s">
        <v>968</v>
      </c>
      <c r="V994" s="36">
        <v>49.0</v>
      </c>
      <c r="W994" s="36"/>
      <c r="X994" s="38">
        <v>1.0</v>
      </c>
      <c r="Y994" s="38" t="s">
        <v>1854</v>
      </c>
      <c r="Z994" s="38"/>
      <c r="AA994" s="38" t="s">
        <v>336</v>
      </c>
      <c r="AB994" s="38">
        <v>-1.72</v>
      </c>
      <c r="AC994" s="38">
        <v>-51.46</v>
      </c>
      <c r="AD994" s="38" t="s">
        <v>1855</v>
      </c>
      <c r="AE994" s="38">
        <v>57.0</v>
      </c>
      <c r="AF994" s="38"/>
      <c r="AG994" s="38"/>
      <c r="AH994" s="38"/>
      <c r="AI994" s="50">
        <v>-1.72</v>
      </c>
      <c r="AJ994" s="50">
        <v>-51.46</v>
      </c>
      <c r="AK994" s="41" t="s">
        <v>336</v>
      </c>
      <c r="AL994" s="40"/>
      <c r="AM994" s="49">
        <v>45.0</v>
      </c>
      <c r="AN994" s="43"/>
      <c r="AO994" s="42" t="s">
        <v>1024</v>
      </c>
      <c r="AP994" s="43"/>
      <c r="AQ994" s="44" t="str">
        <f t="shared" si="94"/>
        <v>EBF</v>
      </c>
      <c r="AR994" s="44">
        <f t="shared" si="80"/>
        <v>45</v>
      </c>
      <c r="AS994" s="44" t="str">
        <f t="shared" ref="AS994:AS1138" si="96">LEFT(AO994,1)</f>
        <v>A</v>
      </c>
      <c r="AT994" s="44" t="s">
        <v>1024</v>
      </c>
      <c r="AU994" s="44" t="str">
        <f t="shared" si="95"/>
        <v>Am</v>
      </c>
      <c r="AV994" s="38">
        <v>1.0</v>
      </c>
      <c r="AW994" s="38"/>
      <c r="AX994" s="38"/>
      <c r="AY994" s="38" t="s">
        <v>92</v>
      </c>
      <c r="AZ994" s="29">
        <v>500.0</v>
      </c>
      <c r="BA994" s="29">
        <v>1.0</v>
      </c>
      <c r="BB994" s="29">
        <v>1.0</v>
      </c>
      <c r="BC994" s="29"/>
      <c r="BD994" s="29" t="s">
        <v>88</v>
      </c>
      <c r="BE994" s="29"/>
      <c r="BF994" s="29" t="s">
        <v>202</v>
      </c>
      <c r="BG994" s="29" t="s">
        <v>203</v>
      </c>
      <c r="BH994" s="29" t="s">
        <v>88</v>
      </c>
      <c r="BI994" s="29" t="s">
        <v>1848</v>
      </c>
      <c r="BJ994" s="29"/>
      <c r="BK994" s="29" t="s">
        <v>148</v>
      </c>
      <c r="BL994" s="29" t="s">
        <v>148</v>
      </c>
      <c r="BM994" s="45"/>
      <c r="BN994" s="45">
        <v>1.0</v>
      </c>
      <c r="BO994" s="46" t="s">
        <v>1856</v>
      </c>
      <c r="BP994" s="73"/>
      <c r="BQ994" s="17"/>
    </row>
    <row r="995" ht="15.75" customHeight="1">
      <c r="A995" s="34">
        <v>1008.0</v>
      </c>
      <c r="B995" s="34">
        <v>203123.0</v>
      </c>
      <c r="C995" s="34" t="s">
        <v>832</v>
      </c>
      <c r="D995" s="34" t="s">
        <v>1850</v>
      </c>
      <c r="E995" s="34" t="s">
        <v>1851</v>
      </c>
      <c r="F995" s="34">
        <v>2021.0</v>
      </c>
      <c r="G995" s="34" t="s">
        <v>1852</v>
      </c>
      <c r="H995" s="34" t="s">
        <v>80</v>
      </c>
      <c r="I995" s="34" t="s">
        <v>1853</v>
      </c>
      <c r="J995" s="35"/>
      <c r="K995" s="36"/>
      <c r="L995" s="36"/>
      <c r="M995" s="36"/>
      <c r="N995" s="36"/>
      <c r="O995" s="36"/>
      <c r="P995" s="37">
        <v>-20.04</v>
      </c>
      <c r="Q995" s="36" t="s">
        <v>96</v>
      </c>
      <c r="R995" s="36" t="s">
        <v>96</v>
      </c>
      <c r="S995" s="36"/>
      <c r="T995" s="36" t="s">
        <v>356</v>
      </c>
      <c r="U995" s="36" t="s">
        <v>350</v>
      </c>
      <c r="V995" s="36">
        <v>147.0</v>
      </c>
      <c r="W995" s="36"/>
      <c r="X995" s="38">
        <v>1.0</v>
      </c>
      <c r="Y995" s="38" t="s">
        <v>1857</v>
      </c>
      <c r="Z995" s="38"/>
      <c r="AA995" s="38" t="s">
        <v>336</v>
      </c>
      <c r="AB995" s="38">
        <v>-2.61</v>
      </c>
      <c r="AC995" s="38">
        <v>-60.21</v>
      </c>
      <c r="AD995" s="38"/>
      <c r="AE995" s="38">
        <v>90.0</v>
      </c>
      <c r="AF995" s="38"/>
      <c r="AG995" s="38"/>
      <c r="AH995" s="38"/>
      <c r="AI995" s="50">
        <v>-2.61</v>
      </c>
      <c r="AJ995" s="50">
        <v>-60.21</v>
      </c>
      <c r="AK995" s="41" t="s">
        <v>336</v>
      </c>
      <c r="AL995" s="40"/>
      <c r="AM995" s="49">
        <v>114.0</v>
      </c>
      <c r="AN995" s="43"/>
      <c r="AO995" s="42" t="s">
        <v>784</v>
      </c>
      <c r="AP995" s="43"/>
      <c r="AQ995" s="44" t="str">
        <f t="shared" si="94"/>
        <v>EBF</v>
      </c>
      <c r="AR995" s="44">
        <f t="shared" si="80"/>
        <v>114</v>
      </c>
      <c r="AS995" s="44" t="str">
        <f t="shared" si="96"/>
        <v>A</v>
      </c>
      <c r="AT995" s="44" t="s">
        <v>784</v>
      </c>
      <c r="AU995" s="44" t="str">
        <f t="shared" si="95"/>
        <v>Af</v>
      </c>
      <c r="AV995" s="38">
        <v>1.0</v>
      </c>
      <c r="AW995" s="38"/>
      <c r="AX995" s="38"/>
      <c r="AY995" s="38" t="s">
        <v>92</v>
      </c>
      <c r="AZ995" s="29">
        <v>500.0</v>
      </c>
      <c r="BA995" s="29">
        <v>1.0</v>
      </c>
      <c r="BB995" s="29">
        <v>1.0</v>
      </c>
      <c r="BC995" s="29"/>
      <c r="BD995" s="29" t="s">
        <v>88</v>
      </c>
      <c r="BE995" s="29"/>
      <c r="BF995" s="29" t="s">
        <v>202</v>
      </c>
      <c r="BG995" s="29" t="s">
        <v>203</v>
      </c>
      <c r="BH995" s="29" t="s">
        <v>88</v>
      </c>
      <c r="BI995" s="29" t="s">
        <v>1848</v>
      </c>
      <c r="BJ995" s="29"/>
      <c r="BK995" s="29" t="s">
        <v>148</v>
      </c>
      <c r="BL995" s="29" t="s">
        <v>148</v>
      </c>
      <c r="BM995" s="45"/>
      <c r="BN995" s="45"/>
      <c r="BO995" s="46"/>
      <c r="BP995" s="73"/>
      <c r="BQ995" s="17"/>
    </row>
    <row r="996" ht="15.75" customHeight="1">
      <c r="A996" s="34">
        <v>1009.0</v>
      </c>
      <c r="B996" s="34">
        <v>203123.0</v>
      </c>
      <c r="C996" s="34" t="s">
        <v>832</v>
      </c>
      <c r="D996" s="34" t="s">
        <v>1850</v>
      </c>
      <c r="E996" s="34" t="s">
        <v>1851</v>
      </c>
      <c r="F996" s="34">
        <v>2021.0</v>
      </c>
      <c r="G996" s="34" t="s">
        <v>1852</v>
      </c>
      <c r="H996" s="34" t="s">
        <v>80</v>
      </c>
      <c r="I996" s="34" t="s">
        <v>1853</v>
      </c>
      <c r="J996" s="35"/>
      <c r="K996" s="36"/>
      <c r="L996" s="36"/>
      <c r="M996" s="36"/>
      <c r="N996" s="36"/>
      <c r="O996" s="36"/>
      <c r="P996" s="37">
        <v>-24.33</v>
      </c>
      <c r="Q996" s="36" t="s">
        <v>96</v>
      </c>
      <c r="R996" s="36" t="s">
        <v>96</v>
      </c>
      <c r="S996" s="36"/>
      <c r="T996" s="36" t="s">
        <v>284</v>
      </c>
      <c r="U996" s="36" t="s">
        <v>194</v>
      </c>
      <c r="V996" s="36">
        <v>566.0</v>
      </c>
      <c r="W996" s="36"/>
      <c r="X996" s="38">
        <v>1.0</v>
      </c>
      <c r="Y996" s="38" t="s">
        <v>1858</v>
      </c>
      <c r="Z996" s="38"/>
      <c r="AA996" s="38" t="s">
        <v>336</v>
      </c>
      <c r="AB996" s="38">
        <v>-2.86</v>
      </c>
      <c r="AC996" s="38">
        <v>-54.96</v>
      </c>
      <c r="AD996" s="38"/>
      <c r="AE996" s="38">
        <v>194.0</v>
      </c>
      <c r="AF996" s="38"/>
      <c r="AG996" s="38"/>
      <c r="AH996" s="38"/>
      <c r="AI996" s="50">
        <v>-2.86</v>
      </c>
      <c r="AJ996" s="50">
        <v>-54.96</v>
      </c>
      <c r="AK996" s="41" t="s">
        <v>336</v>
      </c>
      <c r="AL996" s="40"/>
      <c r="AM996" s="49">
        <v>199.0</v>
      </c>
      <c r="AN996" s="43"/>
      <c r="AO996" s="42" t="s">
        <v>1024</v>
      </c>
      <c r="AP996" s="43"/>
      <c r="AQ996" s="44" t="str">
        <f t="shared" si="94"/>
        <v>EBF</v>
      </c>
      <c r="AR996" s="44">
        <f t="shared" si="80"/>
        <v>199</v>
      </c>
      <c r="AS996" s="44" t="str">
        <f t="shared" si="96"/>
        <v>A</v>
      </c>
      <c r="AT996" s="44" t="s">
        <v>1024</v>
      </c>
      <c r="AU996" s="44" t="str">
        <f t="shared" si="95"/>
        <v>Am</v>
      </c>
      <c r="AV996" s="38">
        <v>1.0</v>
      </c>
      <c r="AW996" s="38"/>
      <c r="AX996" s="38"/>
      <c r="AY996" s="38" t="s">
        <v>92</v>
      </c>
      <c r="AZ996" s="29">
        <v>500.0</v>
      </c>
      <c r="BA996" s="29">
        <v>1.0</v>
      </c>
      <c r="BB996" s="29">
        <v>1.0</v>
      </c>
      <c r="BC996" s="29"/>
      <c r="BD996" s="29" t="s">
        <v>88</v>
      </c>
      <c r="BE996" s="29"/>
      <c r="BF996" s="29" t="s">
        <v>202</v>
      </c>
      <c r="BG996" s="29" t="s">
        <v>203</v>
      </c>
      <c r="BH996" s="29" t="s">
        <v>88</v>
      </c>
      <c r="BI996" s="29" t="s">
        <v>1848</v>
      </c>
      <c r="BJ996" s="29"/>
      <c r="BK996" s="29" t="s">
        <v>148</v>
      </c>
      <c r="BL996" s="29" t="s">
        <v>148</v>
      </c>
      <c r="BM996" s="45"/>
      <c r="BN996" s="45"/>
      <c r="BO996" s="46"/>
      <c r="BP996" s="73"/>
      <c r="BQ996" s="17"/>
    </row>
    <row r="997" ht="15.75" customHeight="1">
      <c r="A997" s="34">
        <v>1010.0</v>
      </c>
      <c r="B997" s="34">
        <v>203123.0</v>
      </c>
      <c r="C997" s="34" t="s">
        <v>832</v>
      </c>
      <c r="D997" s="34" t="s">
        <v>1850</v>
      </c>
      <c r="E997" s="34" t="s">
        <v>1851</v>
      </c>
      <c r="F997" s="34">
        <v>2021.0</v>
      </c>
      <c r="G997" s="34" t="s">
        <v>1852</v>
      </c>
      <c r="H997" s="34" t="s">
        <v>80</v>
      </c>
      <c r="I997" s="34" t="s">
        <v>1853</v>
      </c>
      <c r="J997" s="35"/>
      <c r="K997" s="36"/>
      <c r="L997" s="36"/>
      <c r="M997" s="36"/>
      <c r="N997" s="36"/>
      <c r="O997" s="36"/>
      <c r="P997" s="37">
        <v>10.01</v>
      </c>
      <c r="Q997" s="36" t="s">
        <v>96</v>
      </c>
      <c r="R997" s="36" t="s">
        <v>96</v>
      </c>
      <c r="S997" s="36"/>
      <c r="T997" s="36" t="s">
        <v>328</v>
      </c>
      <c r="U997" s="36" t="s">
        <v>285</v>
      </c>
      <c r="V997" s="36">
        <v>160.0</v>
      </c>
      <c r="W997" s="36"/>
      <c r="X997" s="38">
        <v>1.0</v>
      </c>
      <c r="Y997" s="38" t="s">
        <v>1859</v>
      </c>
      <c r="Z997" s="38"/>
      <c r="AA997" s="38" t="s">
        <v>86</v>
      </c>
      <c r="AB997" s="38">
        <v>-3.01</v>
      </c>
      <c r="AC997" s="38">
        <v>-54.54</v>
      </c>
      <c r="AD997" s="38"/>
      <c r="AE997" s="38">
        <v>101.0</v>
      </c>
      <c r="AF997" s="38"/>
      <c r="AG997" s="38"/>
      <c r="AH997" s="38"/>
      <c r="AI997" s="50">
        <v>-3.01</v>
      </c>
      <c r="AJ997" s="50">
        <v>-54.54</v>
      </c>
      <c r="AK997" s="41" t="s">
        <v>200</v>
      </c>
      <c r="AL997" s="40"/>
      <c r="AM997" s="49">
        <v>69.0</v>
      </c>
      <c r="AN997" s="43"/>
      <c r="AO997" s="42" t="s">
        <v>1024</v>
      </c>
      <c r="AP997" s="43"/>
      <c r="AQ997" s="44" t="str">
        <f t="shared" si="94"/>
        <v>CRO</v>
      </c>
      <c r="AR997" s="44">
        <f t="shared" si="80"/>
        <v>69</v>
      </c>
      <c r="AS997" s="44" t="str">
        <f t="shared" si="96"/>
        <v>A</v>
      </c>
      <c r="AT997" s="44" t="s">
        <v>1024</v>
      </c>
      <c r="AU997" s="44" t="str">
        <f t="shared" si="95"/>
        <v>Am</v>
      </c>
      <c r="AV997" s="38">
        <v>1.0</v>
      </c>
      <c r="AW997" s="38"/>
      <c r="AX997" s="38"/>
      <c r="AY997" s="38" t="s">
        <v>92</v>
      </c>
      <c r="AZ997" s="29">
        <v>500.0</v>
      </c>
      <c r="BA997" s="29">
        <v>1.0</v>
      </c>
      <c r="BB997" s="29">
        <v>1.0</v>
      </c>
      <c r="BC997" s="29"/>
      <c r="BD997" s="29" t="s">
        <v>88</v>
      </c>
      <c r="BE997" s="29"/>
      <c r="BF997" s="29" t="s">
        <v>202</v>
      </c>
      <c r="BG997" s="29" t="s">
        <v>203</v>
      </c>
      <c r="BH997" s="29" t="s">
        <v>88</v>
      </c>
      <c r="BI997" s="29" t="s">
        <v>1848</v>
      </c>
      <c r="BJ997" s="29"/>
      <c r="BK997" s="29" t="s">
        <v>148</v>
      </c>
      <c r="BL997" s="29" t="s">
        <v>148</v>
      </c>
      <c r="BM997" s="45"/>
      <c r="BN997" s="45"/>
      <c r="BO997" s="46"/>
      <c r="BP997" s="73"/>
      <c r="BQ997" s="17"/>
    </row>
    <row r="998" ht="15.75" customHeight="1">
      <c r="A998" s="34">
        <v>1011.0</v>
      </c>
      <c r="B998" s="34">
        <v>203123.0</v>
      </c>
      <c r="C998" s="34" t="s">
        <v>832</v>
      </c>
      <c r="D998" s="34" t="s">
        <v>1850</v>
      </c>
      <c r="E998" s="34" t="s">
        <v>1851</v>
      </c>
      <c r="F998" s="34">
        <v>2021.0</v>
      </c>
      <c r="G998" s="34" t="s">
        <v>1852</v>
      </c>
      <c r="H998" s="34" t="s">
        <v>80</v>
      </c>
      <c r="I998" s="34" t="s">
        <v>1853</v>
      </c>
      <c r="J998" s="35"/>
      <c r="K998" s="36"/>
      <c r="L998" s="36"/>
      <c r="M998" s="36"/>
      <c r="N998" s="36"/>
      <c r="O998" s="36"/>
      <c r="P998" s="37">
        <v>-38.06</v>
      </c>
      <c r="Q998" s="36" t="s">
        <v>96</v>
      </c>
      <c r="R998" s="36" t="s">
        <v>96</v>
      </c>
      <c r="S998" s="36"/>
      <c r="T998" s="36" t="s">
        <v>1860</v>
      </c>
      <c r="U998" s="36" t="s">
        <v>295</v>
      </c>
      <c r="V998" s="36">
        <v>319.0</v>
      </c>
      <c r="W998" s="36"/>
      <c r="X998" s="38">
        <v>1.0</v>
      </c>
      <c r="Y998" s="38" t="s">
        <v>1861</v>
      </c>
      <c r="Z998" s="38"/>
      <c r="AA998" s="38" t="s">
        <v>336</v>
      </c>
      <c r="AB998" s="38">
        <v>-3.02</v>
      </c>
      <c r="AC998" s="38">
        <v>-54.97</v>
      </c>
      <c r="AD998" s="38"/>
      <c r="AE998" s="38">
        <v>181.0</v>
      </c>
      <c r="AF998" s="38"/>
      <c r="AG998" s="38"/>
      <c r="AH998" s="38"/>
      <c r="AI998" s="50">
        <v>-3.02</v>
      </c>
      <c r="AJ998" s="50">
        <v>-54.97</v>
      </c>
      <c r="AK998" s="41" t="s">
        <v>336</v>
      </c>
      <c r="AL998" s="40"/>
      <c r="AM998" s="49">
        <v>187.0</v>
      </c>
      <c r="AN998" s="43"/>
      <c r="AO998" s="42" t="s">
        <v>1024</v>
      </c>
      <c r="AP998" s="43"/>
      <c r="AQ998" s="44" t="str">
        <f t="shared" si="94"/>
        <v>EBF</v>
      </c>
      <c r="AR998" s="44">
        <f t="shared" si="80"/>
        <v>187</v>
      </c>
      <c r="AS998" s="44" t="str">
        <f t="shared" si="96"/>
        <v>A</v>
      </c>
      <c r="AT998" s="44" t="s">
        <v>1024</v>
      </c>
      <c r="AU998" s="44" t="str">
        <f t="shared" si="95"/>
        <v>Am</v>
      </c>
      <c r="AV998" s="38">
        <v>1.0</v>
      </c>
      <c r="AW998" s="38"/>
      <c r="AX998" s="38"/>
      <c r="AY998" s="38" t="s">
        <v>92</v>
      </c>
      <c r="AZ998" s="29">
        <v>500.0</v>
      </c>
      <c r="BA998" s="29">
        <v>1.0</v>
      </c>
      <c r="BB998" s="29">
        <v>1.0</v>
      </c>
      <c r="BC998" s="29"/>
      <c r="BD998" s="29" t="s">
        <v>88</v>
      </c>
      <c r="BE998" s="29"/>
      <c r="BF998" s="29" t="s">
        <v>202</v>
      </c>
      <c r="BG998" s="29" t="s">
        <v>203</v>
      </c>
      <c r="BH998" s="29" t="s">
        <v>88</v>
      </c>
      <c r="BI998" s="29" t="s">
        <v>1848</v>
      </c>
      <c r="BJ998" s="29"/>
      <c r="BK998" s="29" t="s">
        <v>148</v>
      </c>
      <c r="BL998" s="29" t="s">
        <v>148</v>
      </c>
      <c r="BM998" s="45"/>
      <c r="BN998" s="45"/>
      <c r="BO998" s="46"/>
      <c r="BP998" s="73"/>
      <c r="BQ998" s="17"/>
    </row>
    <row r="999" ht="15.75" customHeight="1">
      <c r="A999" s="34">
        <v>1012.0</v>
      </c>
      <c r="B999" s="34">
        <v>203123.0</v>
      </c>
      <c r="C999" s="34" t="s">
        <v>832</v>
      </c>
      <c r="D999" s="34" t="s">
        <v>1850</v>
      </c>
      <c r="E999" s="34" t="s">
        <v>1851</v>
      </c>
      <c r="F999" s="34">
        <v>2021.0</v>
      </c>
      <c r="G999" s="34" t="s">
        <v>1852</v>
      </c>
      <c r="H999" s="34" t="s">
        <v>80</v>
      </c>
      <c r="I999" s="34" t="s">
        <v>1853</v>
      </c>
      <c r="J999" s="35"/>
      <c r="K999" s="36"/>
      <c r="L999" s="36"/>
      <c r="M999" s="36"/>
      <c r="N999" s="36"/>
      <c r="O999" s="36"/>
      <c r="P999" s="37">
        <v>40.89</v>
      </c>
      <c r="Q999" s="36" t="s">
        <v>96</v>
      </c>
      <c r="R999" s="36" t="s">
        <v>96</v>
      </c>
      <c r="S999" s="36"/>
      <c r="T999" s="36" t="s">
        <v>245</v>
      </c>
      <c r="U999" s="36" t="s">
        <v>837</v>
      </c>
      <c r="V999" s="36">
        <v>319.0</v>
      </c>
      <c r="W999" s="36"/>
      <c r="X999" s="38">
        <v>1.0</v>
      </c>
      <c r="Y999" s="38" t="s">
        <v>1862</v>
      </c>
      <c r="Z999" s="38"/>
      <c r="AA999" s="38" t="s">
        <v>636</v>
      </c>
      <c r="AB999" s="38">
        <v>-6.58</v>
      </c>
      <c r="AC999" s="38">
        <v>-37.25</v>
      </c>
      <c r="AD999" s="38"/>
      <c r="AE999" s="38">
        <v>205.0</v>
      </c>
      <c r="AF999" s="38"/>
      <c r="AG999" s="38"/>
      <c r="AH999" s="38"/>
      <c r="AI999" s="50">
        <v>-6.58</v>
      </c>
      <c r="AJ999" s="50">
        <v>-37.25</v>
      </c>
      <c r="AK999" s="41" t="s">
        <v>291</v>
      </c>
      <c r="AL999" s="40"/>
      <c r="AM999" s="49">
        <v>192.0</v>
      </c>
      <c r="AN999" s="43"/>
      <c r="AO999" s="42" t="s">
        <v>304</v>
      </c>
      <c r="AP999" s="43"/>
      <c r="AQ999" s="44" t="str">
        <f t="shared" si="94"/>
        <v>DNF</v>
      </c>
      <c r="AR999" s="44">
        <f t="shared" si="80"/>
        <v>192</v>
      </c>
      <c r="AS999" s="44" t="str">
        <f t="shared" si="96"/>
        <v>B</v>
      </c>
      <c r="AT999" s="44" t="s">
        <v>1863</v>
      </c>
      <c r="AU999" s="44" t="str">
        <f t="shared" si="95"/>
        <v>BSh</v>
      </c>
      <c r="AV999" s="38">
        <v>1.0</v>
      </c>
      <c r="AW999" s="38"/>
      <c r="AX999" s="38"/>
      <c r="AY999" s="38" t="s">
        <v>92</v>
      </c>
      <c r="AZ999" s="29">
        <v>500.0</v>
      </c>
      <c r="BA999" s="29">
        <v>1.0</v>
      </c>
      <c r="BB999" s="29">
        <v>1.0</v>
      </c>
      <c r="BC999" s="29"/>
      <c r="BD999" s="29" t="s">
        <v>88</v>
      </c>
      <c r="BE999" s="29"/>
      <c r="BF999" s="29" t="s">
        <v>202</v>
      </c>
      <c r="BG999" s="29" t="s">
        <v>203</v>
      </c>
      <c r="BH999" s="29" t="s">
        <v>88</v>
      </c>
      <c r="BI999" s="29" t="s">
        <v>1848</v>
      </c>
      <c r="BJ999" s="29"/>
      <c r="BK999" s="29" t="s">
        <v>148</v>
      </c>
      <c r="BL999" s="29" t="s">
        <v>148</v>
      </c>
      <c r="BM999" s="45"/>
      <c r="BN999" s="45"/>
      <c r="BO999" s="46"/>
      <c r="BP999" s="73"/>
      <c r="BQ999" s="17"/>
    </row>
    <row r="1000" ht="15.75" customHeight="1">
      <c r="A1000" s="34">
        <v>1013.0</v>
      </c>
      <c r="B1000" s="34">
        <v>203123.0</v>
      </c>
      <c r="C1000" s="34" t="s">
        <v>832</v>
      </c>
      <c r="D1000" s="34" t="s">
        <v>1850</v>
      </c>
      <c r="E1000" s="34" t="s">
        <v>1851</v>
      </c>
      <c r="F1000" s="34">
        <v>2021.0</v>
      </c>
      <c r="G1000" s="34" t="s">
        <v>1852</v>
      </c>
      <c r="H1000" s="34" t="s">
        <v>80</v>
      </c>
      <c r="I1000" s="34" t="s">
        <v>1853</v>
      </c>
      <c r="J1000" s="35"/>
      <c r="K1000" s="36"/>
      <c r="L1000" s="36"/>
      <c r="M1000" s="36"/>
      <c r="N1000" s="36"/>
      <c r="O1000" s="36"/>
      <c r="P1000" s="37">
        <v>5.9</v>
      </c>
      <c r="Q1000" s="36" t="s">
        <v>96</v>
      </c>
      <c r="R1000" s="36" t="s">
        <v>96</v>
      </c>
      <c r="S1000" s="36"/>
      <c r="T1000" s="36" t="s">
        <v>1864</v>
      </c>
      <c r="U1000" s="36" t="s">
        <v>1865</v>
      </c>
      <c r="V1000" s="36">
        <v>561.0</v>
      </c>
      <c r="W1000" s="36"/>
      <c r="X1000" s="38">
        <v>1.0</v>
      </c>
      <c r="Y1000" s="38" t="s">
        <v>1866</v>
      </c>
      <c r="Z1000" s="38"/>
      <c r="AA1000" s="38" t="s">
        <v>636</v>
      </c>
      <c r="AB1000" s="38">
        <v>-7.96</v>
      </c>
      <c r="AC1000" s="38">
        <v>-38.38</v>
      </c>
      <c r="AD1000" s="38"/>
      <c r="AE1000" s="38">
        <v>468.0</v>
      </c>
      <c r="AF1000" s="38"/>
      <c r="AG1000" s="38"/>
      <c r="AH1000" s="38"/>
      <c r="AI1000" s="50">
        <v>-7.96</v>
      </c>
      <c r="AJ1000" s="50">
        <v>-38.38</v>
      </c>
      <c r="AK1000" s="41" t="s">
        <v>291</v>
      </c>
      <c r="AL1000" s="40"/>
      <c r="AM1000" s="49">
        <v>469.0</v>
      </c>
      <c r="AN1000" s="43"/>
      <c r="AO1000" s="42" t="s">
        <v>304</v>
      </c>
      <c r="AP1000" s="43"/>
      <c r="AQ1000" s="44" t="str">
        <f t="shared" si="94"/>
        <v>DNF</v>
      </c>
      <c r="AR1000" s="44">
        <f t="shared" si="80"/>
        <v>469</v>
      </c>
      <c r="AS1000" s="44" t="str">
        <f t="shared" si="96"/>
        <v>B</v>
      </c>
      <c r="AT1000" s="44" t="s">
        <v>1863</v>
      </c>
      <c r="AU1000" s="44" t="str">
        <f t="shared" si="95"/>
        <v>BSh</v>
      </c>
      <c r="AV1000" s="38">
        <v>1.0</v>
      </c>
      <c r="AW1000" s="38"/>
      <c r="AX1000" s="38"/>
      <c r="AY1000" s="38" t="s">
        <v>92</v>
      </c>
      <c r="AZ1000" s="29">
        <v>500.0</v>
      </c>
      <c r="BA1000" s="29">
        <v>1.0</v>
      </c>
      <c r="BB1000" s="29">
        <v>1.0</v>
      </c>
      <c r="BC1000" s="29"/>
      <c r="BD1000" s="29" t="s">
        <v>88</v>
      </c>
      <c r="BE1000" s="29"/>
      <c r="BF1000" s="29" t="s">
        <v>202</v>
      </c>
      <c r="BG1000" s="29" t="s">
        <v>203</v>
      </c>
      <c r="BH1000" s="29" t="s">
        <v>88</v>
      </c>
      <c r="BI1000" s="29" t="s">
        <v>1848</v>
      </c>
      <c r="BJ1000" s="29"/>
      <c r="BK1000" s="29" t="s">
        <v>148</v>
      </c>
      <c r="BL1000" s="29" t="s">
        <v>148</v>
      </c>
      <c r="BM1000" s="45"/>
      <c r="BN1000" s="45"/>
      <c r="BO1000" s="46"/>
      <c r="BP1000" s="2"/>
      <c r="BQ1000" s="3"/>
    </row>
    <row r="1001" ht="15.75" customHeight="1">
      <c r="A1001" s="34">
        <v>1014.0</v>
      </c>
      <c r="B1001" s="34">
        <v>203123.0</v>
      </c>
      <c r="C1001" s="34" t="s">
        <v>832</v>
      </c>
      <c r="D1001" s="34" t="s">
        <v>1850</v>
      </c>
      <c r="E1001" s="34" t="s">
        <v>1851</v>
      </c>
      <c r="F1001" s="34">
        <v>2021.0</v>
      </c>
      <c r="G1001" s="34" t="s">
        <v>1852</v>
      </c>
      <c r="H1001" s="34" t="s">
        <v>80</v>
      </c>
      <c r="I1001" s="34" t="s">
        <v>1853</v>
      </c>
      <c r="J1001" s="35"/>
      <c r="K1001" s="36"/>
      <c r="L1001" s="36"/>
      <c r="M1001" s="36"/>
      <c r="N1001" s="36"/>
      <c r="O1001" s="36"/>
      <c r="P1001" s="37">
        <v>-22.36</v>
      </c>
      <c r="Q1001" s="36" t="s">
        <v>96</v>
      </c>
      <c r="R1001" s="36" t="s">
        <v>96</v>
      </c>
      <c r="S1001" s="36"/>
      <c r="T1001" s="36" t="s">
        <v>167</v>
      </c>
      <c r="U1001" s="36" t="s">
        <v>245</v>
      </c>
      <c r="V1001" s="36">
        <v>255.0</v>
      </c>
      <c r="W1001" s="36"/>
      <c r="X1001" s="38">
        <v>1.0</v>
      </c>
      <c r="Y1001" s="38" t="s">
        <v>1867</v>
      </c>
      <c r="Z1001" s="38"/>
      <c r="AA1001" s="38" t="s">
        <v>288</v>
      </c>
      <c r="AB1001" s="38">
        <v>-8.81</v>
      </c>
      <c r="AC1001" s="38">
        <v>-36.41</v>
      </c>
      <c r="AD1001" s="38"/>
      <c r="AE1001" s="38">
        <v>702.0</v>
      </c>
      <c r="AF1001" s="38"/>
      <c r="AG1001" s="38"/>
      <c r="AH1001" s="38"/>
      <c r="AI1001" s="50">
        <v>-8.81</v>
      </c>
      <c r="AJ1001" s="50">
        <v>-36.41</v>
      </c>
      <c r="AK1001" s="41" t="s">
        <v>86</v>
      </c>
      <c r="AL1001" s="40"/>
      <c r="AM1001" s="49">
        <v>688.0</v>
      </c>
      <c r="AN1001" s="43"/>
      <c r="AO1001" s="42" t="s">
        <v>335</v>
      </c>
      <c r="AP1001" s="43"/>
      <c r="AQ1001" s="44" t="str">
        <f t="shared" si="94"/>
        <v>GRA</v>
      </c>
      <c r="AR1001" s="44">
        <f t="shared" si="80"/>
        <v>688</v>
      </c>
      <c r="AS1001" s="44" t="str">
        <f t="shared" si="96"/>
        <v>A</v>
      </c>
      <c r="AT1001" s="44" t="s">
        <v>335</v>
      </c>
      <c r="AU1001" s="44" t="str">
        <f t="shared" si="95"/>
        <v>Aw</v>
      </c>
      <c r="AV1001" s="38">
        <v>1.0</v>
      </c>
      <c r="AW1001" s="38"/>
      <c r="AX1001" s="38"/>
      <c r="AY1001" s="38" t="s">
        <v>92</v>
      </c>
      <c r="AZ1001" s="29">
        <v>500.0</v>
      </c>
      <c r="BA1001" s="29">
        <v>1.0</v>
      </c>
      <c r="BB1001" s="29">
        <v>1.0</v>
      </c>
      <c r="BC1001" s="29"/>
      <c r="BD1001" s="29" t="s">
        <v>88</v>
      </c>
      <c r="BE1001" s="29"/>
      <c r="BF1001" s="29" t="s">
        <v>202</v>
      </c>
      <c r="BG1001" s="29" t="s">
        <v>203</v>
      </c>
      <c r="BH1001" s="29" t="s">
        <v>88</v>
      </c>
      <c r="BI1001" s="29" t="s">
        <v>1848</v>
      </c>
      <c r="BJ1001" s="29"/>
      <c r="BK1001" s="29" t="s">
        <v>148</v>
      </c>
      <c r="BL1001" s="29" t="s">
        <v>148</v>
      </c>
      <c r="BM1001" s="45"/>
      <c r="BN1001" s="45"/>
      <c r="BO1001" s="46"/>
      <c r="BP1001" s="2"/>
      <c r="BQ1001" s="3"/>
    </row>
    <row r="1002" ht="15.75" customHeight="1">
      <c r="A1002" s="34">
        <v>1015.0</v>
      </c>
      <c r="B1002" s="34">
        <v>203123.0</v>
      </c>
      <c r="C1002" s="34" t="s">
        <v>832</v>
      </c>
      <c r="D1002" s="34" t="s">
        <v>1850</v>
      </c>
      <c r="E1002" s="34" t="s">
        <v>1851</v>
      </c>
      <c r="F1002" s="34">
        <v>2021.0</v>
      </c>
      <c r="G1002" s="34" t="s">
        <v>1852</v>
      </c>
      <c r="H1002" s="34" t="s">
        <v>80</v>
      </c>
      <c r="I1002" s="34" t="s">
        <v>1853</v>
      </c>
      <c r="J1002" s="35"/>
      <c r="K1002" s="36"/>
      <c r="L1002" s="36"/>
      <c r="M1002" s="36"/>
      <c r="N1002" s="36"/>
      <c r="O1002" s="36"/>
      <c r="P1002" s="37">
        <v>-28.16</v>
      </c>
      <c r="Q1002" s="36" t="s">
        <v>96</v>
      </c>
      <c r="R1002" s="36" t="s">
        <v>96</v>
      </c>
      <c r="S1002" s="36"/>
      <c r="T1002" s="36" t="s">
        <v>233</v>
      </c>
      <c r="U1002" s="36" t="s">
        <v>242</v>
      </c>
      <c r="V1002" s="36">
        <v>289.0</v>
      </c>
      <c r="W1002" s="36"/>
      <c r="X1002" s="38">
        <v>1.0</v>
      </c>
      <c r="Y1002" s="38" t="s">
        <v>1868</v>
      </c>
      <c r="Z1002" s="38"/>
      <c r="AA1002" s="38" t="s">
        <v>636</v>
      </c>
      <c r="AB1002" s="38">
        <v>-9.05</v>
      </c>
      <c r="AC1002" s="38">
        <v>-40.32</v>
      </c>
      <c r="AD1002" s="38"/>
      <c r="AE1002" s="38">
        <v>391.0</v>
      </c>
      <c r="AF1002" s="38"/>
      <c r="AG1002" s="38"/>
      <c r="AH1002" s="38"/>
      <c r="AI1002" s="50">
        <v>-9.05</v>
      </c>
      <c r="AJ1002" s="50">
        <v>-40.32</v>
      </c>
      <c r="AK1002" s="41" t="s">
        <v>291</v>
      </c>
      <c r="AL1002" s="40"/>
      <c r="AM1002" s="49">
        <v>390.0</v>
      </c>
      <c r="AN1002" s="43"/>
      <c r="AO1002" s="42" t="s">
        <v>304</v>
      </c>
      <c r="AP1002" s="43"/>
      <c r="AQ1002" s="44" t="str">
        <f t="shared" si="94"/>
        <v>DNF</v>
      </c>
      <c r="AR1002" s="44">
        <f t="shared" si="80"/>
        <v>390</v>
      </c>
      <c r="AS1002" s="44" t="str">
        <f t="shared" si="96"/>
        <v>B</v>
      </c>
      <c r="AT1002" s="44" t="s">
        <v>1863</v>
      </c>
      <c r="AU1002" s="44" t="str">
        <f t="shared" si="95"/>
        <v>BSh</v>
      </c>
      <c r="AV1002" s="38">
        <v>1.0</v>
      </c>
      <c r="AW1002" s="38"/>
      <c r="AX1002" s="38"/>
      <c r="AY1002" s="38" t="s">
        <v>92</v>
      </c>
      <c r="AZ1002" s="29">
        <v>500.0</v>
      </c>
      <c r="BA1002" s="29">
        <v>1.0</v>
      </c>
      <c r="BB1002" s="29">
        <v>1.0</v>
      </c>
      <c r="BC1002" s="29"/>
      <c r="BD1002" s="29" t="s">
        <v>88</v>
      </c>
      <c r="BE1002" s="29"/>
      <c r="BF1002" s="29" t="s">
        <v>202</v>
      </c>
      <c r="BG1002" s="29" t="s">
        <v>203</v>
      </c>
      <c r="BH1002" s="29" t="s">
        <v>88</v>
      </c>
      <c r="BI1002" s="29" t="s">
        <v>1848</v>
      </c>
      <c r="BJ1002" s="29"/>
      <c r="BK1002" s="29" t="s">
        <v>148</v>
      </c>
      <c r="BL1002" s="29" t="s">
        <v>148</v>
      </c>
      <c r="BM1002" s="45"/>
      <c r="BN1002" s="45"/>
      <c r="BO1002" s="46"/>
      <c r="BP1002" s="2"/>
      <c r="BQ1002" s="3"/>
    </row>
    <row r="1003" ht="15.75" customHeight="1">
      <c r="A1003" s="34">
        <v>1016.0</v>
      </c>
      <c r="B1003" s="34">
        <v>203123.0</v>
      </c>
      <c r="C1003" s="34" t="s">
        <v>832</v>
      </c>
      <c r="D1003" s="34" t="s">
        <v>1850</v>
      </c>
      <c r="E1003" s="34" t="s">
        <v>1851</v>
      </c>
      <c r="F1003" s="34">
        <v>2021.0</v>
      </c>
      <c r="G1003" s="34" t="s">
        <v>1852</v>
      </c>
      <c r="H1003" s="34" t="s">
        <v>80</v>
      </c>
      <c r="I1003" s="34" t="s">
        <v>1853</v>
      </c>
      <c r="J1003" s="35"/>
      <c r="K1003" s="36"/>
      <c r="L1003" s="36"/>
      <c r="M1003" s="36"/>
      <c r="N1003" s="36"/>
      <c r="O1003" s="36"/>
      <c r="P1003" s="37">
        <v>-11.86</v>
      </c>
      <c r="Q1003" s="36" t="s">
        <v>96</v>
      </c>
      <c r="R1003" s="36" t="s">
        <v>96</v>
      </c>
      <c r="S1003" s="36"/>
      <c r="T1003" s="36" t="s">
        <v>1869</v>
      </c>
      <c r="U1003" s="36" t="s">
        <v>350</v>
      </c>
      <c r="V1003" s="36">
        <v>411.0</v>
      </c>
      <c r="W1003" s="36"/>
      <c r="X1003" s="38">
        <v>1.0</v>
      </c>
      <c r="Y1003" s="38" t="s">
        <v>1870</v>
      </c>
      <c r="Z1003" s="38"/>
      <c r="AA1003" s="38" t="s">
        <v>200</v>
      </c>
      <c r="AB1003" s="38">
        <v>-9.82</v>
      </c>
      <c r="AC1003" s="38">
        <v>-50.16</v>
      </c>
      <c r="AD1003" s="38"/>
      <c r="AE1003" s="38">
        <v>168.0</v>
      </c>
      <c r="AF1003" s="38"/>
      <c r="AG1003" s="38"/>
      <c r="AH1003" s="38"/>
      <c r="AI1003" s="50">
        <v>-9.82</v>
      </c>
      <c r="AJ1003" s="50">
        <v>-50.16</v>
      </c>
      <c r="AK1003" s="41" t="s">
        <v>336</v>
      </c>
      <c r="AL1003" s="40"/>
      <c r="AM1003" s="49">
        <v>177.0</v>
      </c>
      <c r="AN1003" s="43"/>
      <c r="AO1003" s="42" t="s">
        <v>335</v>
      </c>
      <c r="AP1003" s="43"/>
      <c r="AQ1003" s="44" t="str">
        <f t="shared" si="94"/>
        <v>WSA</v>
      </c>
      <c r="AR1003" s="44">
        <f t="shared" si="80"/>
        <v>177</v>
      </c>
      <c r="AS1003" s="44" t="str">
        <f t="shared" si="96"/>
        <v>A</v>
      </c>
      <c r="AT1003" s="44" t="s">
        <v>335</v>
      </c>
      <c r="AU1003" s="44" t="str">
        <f t="shared" si="95"/>
        <v>Aw</v>
      </c>
      <c r="AV1003" s="38">
        <v>1.0</v>
      </c>
      <c r="AW1003" s="38"/>
      <c r="AX1003" s="38"/>
      <c r="AY1003" s="38" t="s">
        <v>92</v>
      </c>
      <c r="AZ1003" s="29">
        <v>500.0</v>
      </c>
      <c r="BA1003" s="29">
        <v>1.0</v>
      </c>
      <c r="BB1003" s="29">
        <v>1.0</v>
      </c>
      <c r="BC1003" s="29"/>
      <c r="BD1003" s="29" t="s">
        <v>88</v>
      </c>
      <c r="BE1003" s="29"/>
      <c r="BF1003" s="29" t="s">
        <v>202</v>
      </c>
      <c r="BG1003" s="29" t="s">
        <v>203</v>
      </c>
      <c r="BH1003" s="29" t="s">
        <v>88</v>
      </c>
      <c r="BI1003" s="29" t="s">
        <v>1848</v>
      </c>
      <c r="BJ1003" s="29"/>
      <c r="BK1003" s="29" t="s">
        <v>148</v>
      </c>
      <c r="BL1003" s="29" t="s">
        <v>148</v>
      </c>
      <c r="BM1003" s="45"/>
      <c r="BN1003" s="45"/>
      <c r="BO1003" s="46"/>
      <c r="BP1003" s="2"/>
      <c r="BQ1003" s="3"/>
    </row>
    <row r="1004" ht="15.75" customHeight="1">
      <c r="A1004" s="34">
        <v>1017.0</v>
      </c>
      <c r="B1004" s="34">
        <v>203123.0</v>
      </c>
      <c r="C1004" s="34" t="s">
        <v>832</v>
      </c>
      <c r="D1004" s="34" t="s">
        <v>1850</v>
      </c>
      <c r="E1004" s="34" t="s">
        <v>1851</v>
      </c>
      <c r="F1004" s="34">
        <v>2021.0</v>
      </c>
      <c r="G1004" s="34" t="s">
        <v>1852</v>
      </c>
      <c r="H1004" s="34" t="s">
        <v>80</v>
      </c>
      <c r="I1004" s="34" t="s">
        <v>1853</v>
      </c>
      <c r="J1004" s="35"/>
      <c r="K1004" s="36"/>
      <c r="L1004" s="36"/>
      <c r="M1004" s="36"/>
      <c r="N1004" s="36"/>
      <c r="O1004" s="36"/>
      <c r="P1004" s="37">
        <v>-35.52</v>
      </c>
      <c r="Q1004" s="36" t="s">
        <v>96</v>
      </c>
      <c r="R1004" s="36" t="s">
        <v>96</v>
      </c>
      <c r="S1004" s="36"/>
      <c r="T1004" s="36" t="s">
        <v>356</v>
      </c>
      <c r="U1004" s="36" t="s">
        <v>193</v>
      </c>
      <c r="V1004" s="36">
        <v>240.0</v>
      </c>
      <c r="W1004" s="36"/>
      <c r="X1004" s="38">
        <v>1.0</v>
      </c>
      <c r="Y1004" s="38" t="s">
        <v>1871</v>
      </c>
      <c r="Z1004" s="38"/>
      <c r="AA1004" s="38" t="s">
        <v>370</v>
      </c>
      <c r="AB1004" s="38">
        <v>-10.08</v>
      </c>
      <c r="AC1004" s="38">
        <v>-61.93</v>
      </c>
      <c r="AD1004" s="38"/>
      <c r="AE1004" s="38">
        <v>180.0</v>
      </c>
      <c r="AF1004" s="38"/>
      <c r="AG1004" s="38"/>
      <c r="AH1004" s="38"/>
      <c r="AI1004" s="50">
        <v>-10.08</v>
      </c>
      <c r="AJ1004" s="50">
        <v>-61.93</v>
      </c>
      <c r="AK1004" s="41" t="s">
        <v>336</v>
      </c>
      <c r="AL1004" s="40"/>
      <c r="AM1004" s="49">
        <v>148.0</v>
      </c>
      <c r="AN1004" s="43"/>
      <c r="AO1004" s="42" t="s">
        <v>335</v>
      </c>
      <c r="AP1004" s="43"/>
      <c r="AQ1004" s="44" t="str">
        <f t="shared" si="94"/>
        <v>DBF</v>
      </c>
      <c r="AR1004" s="44">
        <f t="shared" si="80"/>
        <v>148</v>
      </c>
      <c r="AS1004" s="44" t="str">
        <f t="shared" si="96"/>
        <v>A</v>
      </c>
      <c r="AT1004" s="44" t="s">
        <v>335</v>
      </c>
      <c r="AU1004" s="44" t="str">
        <f t="shared" si="95"/>
        <v>Aw</v>
      </c>
      <c r="AV1004" s="38">
        <v>1.0</v>
      </c>
      <c r="AW1004" s="38"/>
      <c r="AX1004" s="38"/>
      <c r="AY1004" s="38" t="s">
        <v>92</v>
      </c>
      <c r="AZ1004" s="29">
        <v>500.0</v>
      </c>
      <c r="BA1004" s="29">
        <v>1.0</v>
      </c>
      <c r="BB1004" s="29">
        <v>1.0</v>
      </c>
      <c r="BC1004" s="29"/>
      <c r="BD1004" s="29" t="s">
        <v>88</v>
      </c>
      <c r="BE1004" s="29"/>
      <c r="BF1004" s="29" t="s">
        <v>202</v>
      </c>
      <c r="BG1004" s="29" t="s">
        <v>203</v>
      </c>
      <c r="BH1004" s="29" t="s">
        <v>88</v>
      </c>
      <c r="BI1004" s="29" t="s">
        <v>1848</v>
      </c>
      <c r="BJ1004" s="29"/>
      <c r="BK1004" s="29" t="s">
        <v>148</v>
      </c>
      <c r="BL1004" s="29" t="s">
        <v>148</v>
      </c>
      <c r="BM1004" s="45"/>
      <c r="BN1004" s="45"/>
      <c r="BO1004" s="46"/>
      <c r="BP1004" s="73"/>
      <c r="BQ1004" s="17"/>
    </row>
    <row r="1005" ht="15.75" customHeight="1">
      <c r="A1005" s="34">
        <v>1018.0</v>
      </c>
      <c r="B1005" s="34">
        <v>203123.0</v>
      </c>
      <c r="C1005" s="34" t="s">
        <v>832</v>
      </c>
      <c r="D1005" s="34" t="s">
        <v>1850</v>
      </c>
      <c r="E1005" s="34" t="s">
        <v>1851</v>
      </c>
      <c r="F1005" s="34">
        <v>2021.0</v>
      </c>
      <c r="G1005" s="34" t="s">
        <v>1852</v>
      </c>
      <c r="H1005" s="34" t="s">
        <v>80</v>
      </c>
      <c r="I1005" s="34" t="s">
        <v>1853</v>
      </c>
      <c r="J1005" s="35"/>
      <c r="K1005" s="36"/>
      <c r="L1005" s="36"/>
      <c r="M1005" s="36"/>
      <c r="N1005" s="36"/>
      <c r="O1005" s="36"/>
      <c r="P1005" s="37">
        <v>-26.57</v>
      </c>
      <c r="Q1005" s="36" t="s">
        <v>96</v>
      </c>
      <c r="R1005" s="36" t="s">
        <v>96</v>
      </c>
      <c r="S1005" s="36"/>
      <c r="T1005" s="36" t="s">
        <v>1872</v>
      </c>
      <c r="U1005" s="36" t="s">
        <v>1873</v>
      </c>
      <c r="V1005" s="36">
        <v>415.0</v>
      </c>
      <c r="W1005" s="36"/>
      <c r="X1005" s="38">
        <v>1.0</v>
      </c>
      <c r="Y1005" s="38" t="s">
        <v>1874</v>
      </c>
      <c r="Z1005" s="38"/>
      <c r="AA1005" s="38" t="s">
        <v>288</v>
      </c>
      <c r="AB1005" s="38">
        <v>-10.77</v>
      </c>
      <c r="AC1005" s="38">
        <v>-62.34</v>
      </c>
      <c r="AD1005" s="38"/>
      <c r="AE1005" s="38">
        <v>240.0</v>
      </c>
      <c r="AF1005" s="38"/>
      <c r="AG1005" s="38"/>
      <c r="AH1005" s="38"/>
      <c r="AI1005" s="50">
        <v>-10.77</v>
      </c>
      <c r="AJ1005" s="50">
        <v>-62.34</v>
      </c>
      <c r="AK1005" s="41" t="s">
        <v>313</v>
      </c>
      <c r="AL1005" s="40"/>
      <c r="AM1005" s="49">
        <v>267.0</v>
      </c>
      <c r="AN1005" s="43"/>
      <c r="AO1005" s="42" t="s">
        <v>335</v>
      </c>
      <c r="AP1005" s="43"/>
      <c r="AQ1005" s="44" t="str">
        <f t="shared" si="94"/>
        <v>GRA</v>
      </c>
      <c r="AR1005" s="44">
        <f t="shared" si="80"/>
        <v>267</v>
      </c>
      <c r="AS1005" s="44" t="str">
        <f t="shared" si="96"/>
        <v>A</v>
      </c>
      <c r="AT1005" s="44" t="s">
        <v>335</v>
      </c>
      <c r="AU1005" s="44" t="str">
        <f t="shared" si="95"/>
        <v>Aw</v>
      </c>
      <c r="AV1005" s="38">
        <v>1.0</v>
      </c>
      <c r="AW1005" s="38"/>
      <c r="AX1005" s="38"/>
      <c r="AY1005" s="38" t="s">
        <v>92</v>
      </c>
      <c r="AZ1005" s="29">
        <v>500.0</v>
      </c>
      <c r="BA1005" s="29">
        <v>1.0</v>
      </c>
      <c r="BB1005" s="29">
        <v>1.0</v>
      </c>
      <c r="BC1005" s="29"/>
      <c r="BD1005" s="29" t="s">
        <v>88</v>
      </c>
      <c r="BE1005" s="29"/>
      <c r="BF1005" s="29" t="s">
        <v>202</v>
      </c>
      <c r="BG1005" s="29" t="s">
        <v>203</v>
      </c>
      <c r="BH1005" s="29" t="s">
        <v>88</v>
      </c>
      <c r="BI1005" s="29" t="s">
        <v>1848</v>
      </c>
      <c r="BJ1005" s="29"/>
      <c r="BK1005" s="29" t="s">
        <v>148</v>
      </c>
      <c r="BL1005" s="29" t="s">
        <v>148</v>
      </c>
      <c r="BM1005" s="45"/>
      <c r="BN1005" s="45"/>
      <c r="BO1005" s="46"/>
      <c r="BP1005" s="2"/>
      <c r="BQ1005" s="3"/>
    </row>
    <row r="1006" ht="15.75" customHeight="1">
      <c r="A1006" s="34">
        <v>1019.0</v>
      </c>
      <c r="B1006" s="34">
        <v>203123.0</v>
      </c>
      <c r="C1006" s="34" t="s">
        <v>832</v>
      </c>
      <c r="D1006" s="34" t="s">
        <v>1850</v>
      </c>
      <c r="E1006" s="34" t="s">
        <v>1851</v>
      </c>
      <c r="F1006" s="34">
        <v>2021.0</v>
      </c>
      <c r="G1006" s="34" t="s">
        <v>1852</v>
      </c>
      <c r="H1006" s="34" t="s">
        <v>80</v>
      </c>
      <c r="I1006" s="34" t="s">
        <v>1853</v>
      </c>
      <c r="J1006" s="35"/>
      <c r="K1006" s="36"/>
      <c r="L1006" s="36"/>
      <c r="M1006" s="36"/>
      <c r="N1006" s="36"/>
      <c r="O1006" s="36"/>
      <c r="P1006" s="37">
        <v>-66.37</v>
      </c>
      <c r="Q1006" s="36" t="s">
        <v>96</v>
      </c>
      <c r="R1006" s="36" t="s">
        <v>96</v>
      </c>
      <c r="S1006" s="36"/>
      <c r="T1006" s="36" t="s">
        <v>350</v>
      </c>
      <c r="U1006" s="36" t="s">
        <v>506</v>
      </c>
      <c r="V1006" s="36">
        <v>175.0</v>
      </c>
      <c r="W1006" s="36"/>
      <c r="X1006" s="38">
        <v>1.0</v>
      </c>
      <c r="Y1006" s="38" t="s">
        <v>1875</v>
      </c>
      <c r="Z1006" s="38"/>
      <c r="AA1006" s="38" t="s">
        <v>200</v>
      </c>
      <c r="AB1006" s="38">
        <v>-11.41</v>
      </c>
      <c r="AC1006" s="38">
        <v>-55.32</v>
      </c>
      <c r="AD1006" s="38"/>
      <c r="AE1006" s="38">
        <v>349.0</v>
      </c>
      <c r="AF1006" s="38"/>
      <c r="AG1006" s="38"/>
      <c r="AH1006" s="38"/>
      <c r="AI1006" s="50">
        <v>-11.41</v>
      </c>
      <c r="AJ1006" s="50">
        <v>-55.32</v>
      </c>
      <c r="AK1006" s="41" t="s">
        <v>336</v>
      </c>
      <c r="AL1006" s="40"/>
      <c r="AM1006" s="49">
        <v>317.0</v>
      </c>
      <c r="AN1006" s="43"/>
      <c r="AO1006" s="42" t="s">
        <v>335</v>
      </c>
      <c r="AP1006" s="43"/>
      <c r="AQ1006" s="44" t="str">
        <f t="shared" si="94"/>
        <v>WSA</v>
      </c>
      <c r="AR1006" s="44">
        <f t="shared" si="80"/>
        <v>317</v>
      </c>
      <c r="AS1006" s="44" t="str">
        <f t="shared" si="96"/>
        <v>A</v>
      </c>
      <c r="AT1006" s="44" t="s">
        <v>335</v>
      </c>
      <c r="AU1006" s="44" t="str">
        <f t="shared" si="95"/>
        <v>Aw</v>
      </c>
      <c r="AV1006" s="38">
        <v>1.0</v>
      </c>
      <c r="AW1006" s="38"/>
      <c r="AX1006" s="38"/>
      <c r="AY1006" s="38" t="s">
        <v>92</v>
      </c>
      <c r="AZ1006" s="29">
        <v>500.0</v>
      </c>
      <c r="BA1006" s="29">
        <v>1.0</v>
      </c>
      <c r="BB1006" s="29">
        <v>1.0</v>
      </c>
      <c r="BC1006" s="29"/>
      <c r="BD1006" s="29" t="s">
        <v>88</v>
      </c>
      <c r="BE1006" s="29"/>
      <c r="BF1006" s="29" t="s">
        <v>202</v>
      </c>
      <c r="BG1006" s="29" t="s">
        <v>203</v>
      </c>
      <c r="BH1006" s="29" t="s">
        <v>88</v>
      </c>
      <c r="BI1006" s="29" t="s">
        <v>1848</v>
      </c>
      <c r="BJ1006" s="29"/>
      <c r="BK1006" s="29" t="s">
        <v>148</v>
      </c>
      <c r="BL1006" s="29" t="s">
        <v>148</v>
      </c>
      <c r="BM1006" s="45"/>
      <c r="BN1006" s="45"/>
      <c r="BO1006" s="46"/>
      <c r="BP1006" s="2"/>
      <c r="BQ1006" s="3"/>
    </row>
    <row r="1007" ht="15.75" customHeight="1">
      <c r="A1007" s="34">
        <v>1020.0</v>
      </c>
      <c r="B1007" s="34">
        <v>203123.0</v>
      </c>
      <c r="C1007" s="34" t="s">
        <v>832</v>
      </c>
      <c r="D1007" s="34" t="s">
        <v>1850</v>
      </c>
      <c r="E1007" s="34" t="s">
        <v>1851</v>
      </c>
      <c r="F1007" s="34">
        <v>2021.0</v>
      </c>
      <c r="G1007" s="34" t="s">
        <v>1852</v>
      </c>
      <c r="H1007" s="34" t="s">
        <v>80</v>
      </c>
      <c r="I1007" s="34" t="s">
        <v>1853</v>
      </c>
      <c r="J1007" s="35"/>
      <c r="K1007" s="36"/>
      <c r="L1007" s="36"/>
      <c r="M1007" s="36"/>
      <c r="N1007" s="36"/>
      <c r="O1007" s="36"/>
      <c r="P1007" s="37">
        <v>-0.79</v>
      </c>
      <c r="Q1007" s="36" t="s">
        <v>96</v>
      </c>
      <c r="R1007" s="36" t="s">
        <v>96</v>
      </c>
      <c r="S1007" s="36"/>
      <c r="T1007" s="36" t="s">
        <v>233</v>
      </c>
      <c r="U1007" s="36" t="s">
        <v>1876</v>
      </c>
      <c r="V1007" s="36">
        <v>177.0</v>
      </c>
      <c r="W1007" s="36"/>
      <c r="X1007" s="38">
        <v>1.0</v>
      </c>
      <c r="Y1007" s="38" t="s">
        <v>1877</v>
      </c>
      <c r="Z1007" s="38"/>
      <c r="AA1007" s="38" t="s">
        <v>452</v>
      </c>
      <c r="AB1007" s="38">
        <v>-15.72</v>
      </c>
      <c r="AC1007" s="38">
        <v>-56.07</v>
      </c>
      <c r="AD1007" s="38"/>
      <c r="AE1007" s="38">
        <v>154.0</v>
      </c>
      <c r="AF1007" s="38"/>
      <c r="AG1007" s="38"/>
      <c r="AH1007" s="38"/>
      <c r="AI1007" s="50">
        <v>-15.72</v>
      </c>
      <c r="AJ1007" s="50">
        <v>-56.07</v>
      </c>
      <c r="AK1007" s="41" t="s">
        <v>86</v>
      </c>
      <c r="AL1007" s="40"/>
      <c r="AM1007" s="49">
        <v>181.0</v>
      </c>
      <c r="AN1007" s="43"/>
      <c r="AO1007" s="42" t="s">
        <v>335</v>
      </c>
      <c r="AP1007" s="43"/>
      <c r="AQ1007" s="44" t="str">
        <f t="shared" si="94"/>
        <v>MF</v>
      </c>
      <c r="AR1007" s="44">
        <f t="shared" si="80"/>
        <v>181</v>
      </c>
      <c r="AS1007" s="44" t="str">
        <f t="shared" si="96"/>
        <v>A</v>
      </c>
      <c r="AT1007" s="44" t="s">
        <v>335</v>
      </c>
      <c r="AU1007" s="44" t="str">
        <f t="shared" si="95"/>
        <v>Aw</v>
      </c>
      <c r="AV1007" s="38">
        <v>1.0</v>
      </c>
      <c r="AW1007" s="38"/>
      <c r="AX1007" s="38"/>
      <c r="AY1007" s="38" t="s">
        <v>92</v>
      </c>
      <c r="AZ1007" s="29">
        <v>500.0</v>
      </c>
      <c r="BA1007" s="29">
        <v>1.0</v>
      </c>
      <c r="BB1007" s="29">
        <v>1.0</v>
      </c>
      <c r="BC1007" s="29"/>
      <c r="BD1007" s="29" t="s">
        <v>88</v>
      </c>
      <c r="BE1007" s="29"/>
      <c r="BF1007" s="29" t="s">
        <v>202</v>
      </c>
      <c r="BG1007" s="29" t="s">
        <v>203</v>
      </c>
      <c r="BH1007" s="29" t="s">
        <v>88</v>
      </c>
      <c r="BI1007" s="29" t="s">
        <v>1848</v>
      </c>
      <c r="BJ1007" s="29"/>
      <c r="BK1007" s="29" t="s">
        <v>148</v>
      </c>
      <c r="BL1007" s="29" t="s">
        <v>148</v>
      </c>
      <c r="BM1007" s="45"/>
      <c r="BN1007" s="45"/>
      <c r="BO1007" s="46"/>
      <c r="BP1007" s="2"/>
      <c r="BQ1007" s="3"/>
    </row>
    <row r="1008" ht="15.75" customHeight="1">
      <c r="A1008" s="34">
        <v>1021.0</v>
      </c>
      <c r="B1008" s="34">
        <v>203123.0</v>
      </c>
      <c r="C1008" s="34" t="s">
        <v>832</v>
      </c>
      <c r="D1008" s="34" t="s">
        <v>1850</v>
      </c>
      <c r="E1008" s="34" t="s">
        <v>1851</v>
      </c>
      <c r="F1008" s="34">
        <v>2021.0</v>
      </c>
      <c r="G1008" s="34" t="s">
        <v>1852</v>
      </c>
      <c r="H1008" s="34" t="s">
        <v>80</v>
      </c>
      <c r="I1008" s="34" t="s">
        <v>1853</v>
      </c>
      <c r="J1008" s="35"/>
      <c r="K1008" s="36"/>
      <c r="L1008" s="36"/>
      <c r="M1008" s="36"/>
      <c r="N1008" s="36"/>
      <c r="O1008" s="36"/>
      <c r="P1008" s="37">
        <v>-19.08</v>
      </c>
      <c r="Q1008" s="36" t="s">
        <v>96</v>
      </c>
      <c r="R1008" s="36" t="s">
        <v>96</v>
      </c>
      <c r="S1008" s="36"/>
      <c r="T1008" s="36" t="s">
        <v>245</v>
      </c>
      <c r="U1008" s="36" t="s">
        <v>1878</v>
      </c>
      <c r="V1008" s="36">
        <v>530.0</v>
      </c>
      <c r="W1008" s="36"/>
      <c r="X1008" s="38">
        <v>1.0</v>
      </c>
      <c r="Y1008" s="38" t="s">
        <v>1879</v>
      </c>
      <c r="Z1008" s="38"/>
      <c r="AA1008" s="38" t="s">
        <v>200</v>
      </c>
      <c r="AB1008" s="38">
        <v>-16.49</v>
      </c>
      <c r="AC1008" s="38">
        <v>-56.41</v>
      </c>
      <c r="AD1008" s="38"/>
      <c r="AE1008" s="38">
        <v>120.0</v>
      </c>
      <c r="AF1008" s="38"/>
      <c r="AG1008" s="38"/>
      <c r="AH1008" s="38"/>
      <c r="AI1008" s="50">
        <v>-16.49</v>
      </c>
      <c r="AJ1008" s="50">
        <v>-56.41</v>
      </c>
      <c r="AK1008" s="41" t="s">
        <v>313</v>
      </c>
      <c r="AL1008" s="40"/>
      <c r="AM1008" s="49">
        <v>122.0</v>
      </c>
      <c r="AN1008" s="43"/>
      <c r="AO1008" s="42" t="s">
        <v>335</v>
      </c>
      <c r="AP1008" s="43"/>
      <c r="AQ1008" s="44" t="str">
        <f t="shared" si="94"/>
        <v>WSA</v>
      </c>
      <c r="AR1008" s="44">
        <f t="shared" si="80"/>
        <v>122</v>
      </c>
      <c r="AS1008" s="44" t="str">
        <f t="shared" si="96"/>
        <v>A</v>
      </c>
      <c r="AT1008" s="44" t="s">
        <v>335</v>
      </c>
      <c r="AU1008" s="44" t="str">
        <f t="shared" si="95"/>
        <v>Aw</v>
      </c>
      <c r="AV1008" s="38">
        <v>1.0</v>
      </c>
      <c r="AW1008" s="38"/>
      <c r="AX1008" s="38"/>
      <c r="AY1008" s="38" t="s">
        <v>92</v>
      </c>
      <c r="AZ1008" s="29">
        <v>500.0</v>
      </c>
      <c r="BA1008" s="29">
        <v>1.0</v>
      </c>
      <c r="BB1008" s="29">
        <v>1.0</v>
      </c>
      <c r="BC1008" s="29"/>
      <c r="BD1008" s="29" t="s">
        <v>88</v>
      </c>
      <c r="BE1008" s="29"/>
      <c r="BF1008" s="29" t="s">
        <v>202</v>
      </c>
      <c r="BG1008" s="29" t="s">
        <v>203</v>
      </c>
      <c r="BH1008" s="29" t="s">
        <v>88</v>
      </c>
      <c r="BI1008" s="29" t="s">
        <v>1848</v>
      </c>
      <c r="BJ1008" s="29"/>
      <c r="BK1008" s="29" t="s">
        <v>148</v>
      </c>
      <c r="BL1008" s="29" t="s">
        <v>148</v>
      </c>
      <c r="BM1008" s="45"/>
      <c r="BN1008" s="45"/>
      <c r="BO1008" s="46"/>
      <c r="BP1008" s="2"/>
      <c r="BQ1008" s="3"/>
    </row>
    <row r="1009" ht="15.75" customHeight="1">
      <c r="A1009" s="34">
        <v>1022.0</v>
      </c>
      <c r="B1009" s="34">
        <v>203123.0</v>
      </c>
      <c r="C1009" s="34" t="s">
        <v>832</v>
      </c>
      <c r="D1009" s="34" t="s">
        <v>1850</v>
      </c>
      <c r="E1009" s="34" t="s">
        <v>1851</v>
      </c>
      <c r="F1009" s="34">
        <v>2021.0</v>
      </c>
      <c r="G1009" s="34" t="s">
        <v>1852</v>
      </c>
      <c r="H1009" s="34" t="s">
        <v>80</v>
      </c>
      <c r="I1009" s="34" t="s">
        <v>1853</v>
      </c>
      <c r="J1009" s="35"/>
      <c r="K1009" s="36"/>
      <c r="L1009" s="36"/>
      <c r="M1009" s="36"/>
      <c r="N1009" s="36"/>
      <c r="O1009" s="36"/>
      <c r="P1009" s="37">
        <v>-49.17</v>
      </c>
      <c r="Q1009" s="36" t="s">
        <v>96</v>
      </c>
      <c r="R1009" s="36" t="s">
        <v>96</v>
      </c>
      <c r="S1009" s="36"/>
      <c r="T1009" s="36" t="s">
        <v>341</v>
      </c>
      <c r="U1009" s="36" t="s">
        <v>536</v>
      </c>
      <c r="V1009" s="36">
        <v>315.0</v>
      </c>
      <c r="W1009" s="36"/>
      <c r="X1009" s="38">
        <v>1.0</v>
      </c>
      <c r="Y1009" s="38" t="s">
        <v>1880</v>
      </c>
      <c r="Z1009" s="38"/>
      <c r="AA1009" s="38" t="s">
        <v>86</v>
      </c>
      <c r="AB1009" s="38">
        <v>-21.58</v>
      </c>
      <c r="AC1009" s="38">
        <v>-47.6</v>
      </c>
      <c r="AD1009" s="38"/>
      <c r="AE1009" s="38">
        <v>710.0</v>
      </c>
      <c r="AF1009" s="38"/>
      <c r="AG1009" s="38"/>
      <c r="AH1009" s="38"/>
      <c r="AI1009" s="50">
        <v>-21.58</v>
      </c>
      <c r="AJ1009" s="50">
        <v>-47.6</v>
      </c>
      <c r="AK1009" s="41" t="s">
        <v>336</v>
      </c>
      <c r="AL1009" s="40"/>
      <c r="AM1009" s="49">
        <v>761.0</v>
      </c>
      <c r="AN1009" s="43"/>
      <c r="AO1009" s="42" t="s">
        <v>335</v>
      </c>
      <c r="AP1009" s="43"/>
      <c r="AQ1009" s="44" t="str">
        <f t="shared" si="94"/>
        <v>CRO</v>
      </c>
      <c r="AR1009" s="44">
        <f t="shared" si="80"/>
        <v>761</v>
      </c>
      <c r="AS1009" s="44" t="str">
        <f t="shared" si="96"/>
        <v>A</v>
      </c>
      <c r="AT1009" s="44" t="s">
        <v>335</v>
      </c>
      <c r="AU1009" s="44" t="str">
        <f t="shared" si="95"/>
        <v>Aw</v>
      </c>
      <c r="AV1009" s="38">
        <v>1.0</v>
      </c>
      <c r="AW1009" s="38"/>
      <c r="AX1009" s="38"/>
      <c r="AY1009" s="38" t="s">
        <v>92</v>
      </c>
      <c r="AZ1009" s="29">
        <v>500.0</v>
      </c>
      <c r="BA1009" s="29">
        <v>1.0</v>
      </c>
      <c r="BB1009" s="29">
        <v>1.0</v>
      </c>
      <c r="BC1009" s="29"/>
      <c r="BD1009" s="29" t="s">
        <v>88</v>
      </c>
      <c r="BE1009" s="29"/>
      <c r="BF1009" s="29" t="s">
        <v>202</v>
      </c>
      <c r="BG1009" s="29" t="s">
        <v>203</v>
      </c>
      <c r="BH1009" s="29" t="s">
        <v>88</v>
      </c>
      <c r="BI1009" s="29" t="s">
        <v>1848</v>
      </c>
      <c r="BJ1009" s="29"/>
      <c r="BK1009" s="29" t="s">
        <v>148</v>
      </c>
      <c r="BL1009" s="29" t="s">
        <v>148</v>
      </c>
      <c r="BM1009" s="45"/>
      <c r="BN1009" s="45"/>
      <c r="BO1009" s="46"/>
      <c r="BP1009" s="2"/>
      <c r="BQ1009" s="3"/>
    </row>
    <row r="1010" ht="15.75" customHeight="1">
      <c r="A1010" s="34">
        <v>1023.0</v>
      </c>
      <c r="B1010" s="34">
        <v>203123.0</v>
      </c>
      <c r="C1010" s="34" t="s">
        <v>832</v>
      </c>
      <c r="D1010" s="34" t="s">
        <v>1850</v>
      </c>
      <c r="E1010" s="34" t="s">
        <v>1851</v>
      </c>
      <c r="F1010" s="34">
        <v>2021.0</v>
      </c>
      <c r="G1010" s="34" t="s">
        <v>1852</v>
      </c>
      <c r="H1010" s="34" t="s">
        <v>80</v>
      </c>
      <c r="I1010" s="34" t="s">
        <v>1853</v>
      </c>
      <c r="J1010" s="35"/>
      <c r="K1010" s="36"/>
      <c r="L1010" s="36"/>
      <c r="M1010" s="36"/>
      <c r="N1010" s="36"/>
      <c r="O1010" s="36"/>
      <c r="P1010" s="37">
        <v>-27.64</v>
      </c>
      <c r="Q1010" s="36" t="s">
        <v>96</v>
      </c>
      <c r="R1010" s="36" t="s">
        <v>96</v>
      </c>
      <c r="S1010" s="36"/>
      <c r="T1010" s="36" t="s">
        <v>1881</v>
      </c>
      <c r="U1010" s="36" t="s">
        <v>1882</v>
      </c>
      <c r="V1010" s="36">
        <v>658.0</v>
      </c>
      <c r="W1010" s="36"/>
      <c r="X1010" s="38">
        <v>1.0</v>
      </c>
      <c r="Y1010" s="38" t="s">
        <v>1883</v>
      </c>
      <c r="Z1010" s="38"/>
      <c r="AA1010" s="38" t="s">
        <v>200</v>
      </c>
      <c r="AB1010" s="38">
        <v>-21.62</v>
      </c>
      <c r="AC1010" s="38">
        <v>-47.63</v>
      </c>
      <c r="AD1010" s="38"/>
      <c r="AE1010" s="38">
        <v>710.0</v>
      </c>
      <c r="AF1010" s="38"/>
      <c r="AG1010" s="38"/>
      <c r="AH1010" s="38"/>
      <c r="AI1010" s="50">
        <v>-21.62</v>
      </c>
      <c r="AJ1010" s="50">
        <v>-47.63</v>
      </c>
      <c r="AK1010" s="41" t="s">
        <v>336</v>
      </c>
      <c r="AL1010" s="40"/>
      <c r="AM1010" s="49">
        <v>673.0</v>
      </c>
      <c r="AN1010" s="43"/>
      <c r="AO1010" s="42" t="s">
        <v>335</v>
      </c>
      <c r="AP1010" s="43"/>
      <c r="AQ1010" s="44" t="str">
        <f t="shared" si="94"/>
        <v>WSA</v>
      </c>
      <c r="AR1010" s="44">
        <f t="shared" si="80"/>
        <v>673</v>
      </c>
      <c r="AS1010" s="44" t="str">
        <f t="shared" si="96"/>
        <v>A</v>
      </c>
      <c r="AT1010" s="44" t="s">
        <v>335</v>
      </c>
      <c r="AU1010" s="44" t="str">
        <f t="shared" si="95"/>
        <v>Aw</v>
      </c>
      <c r="AV1010" s="38">
        <v>1.0</v>
      </c>
      <c r="AW1010" s="38"/>
      <c r="AX1010" s="38"/>
      <c r="AY1010" s="38" t="s">
        <v>92</v>
      </c>
      <c r="AZ1010" s="29">
        <v>500.0</v>
      </c>
      <c r="BA1010" s="29">
        <v>1.0</v>
      </c>
      <c r="BB1010" s="29">
        <v>1.0</v>
      </c>
      <c r="BC1010" s="29"/>
      <c r="BD1010" s="29" t="s">
        <v>88</v>
      </c>
      <c r="BE1010" s="29"/>
      <c r="BF1010" s="29" t="s">
        <v>202</v>
      </c>
      <c r="BG1010" s="29" t="s">
        <v>203</v>
      </c>
      <c r="BH1010" s="29" t="s">
        <v>88</v>
      </c>
      <c r="BI1010" s="29" t="s">
        <v>1848</v>
      </c>
      <c r="BJ1010" s="29"/>
      <c r="BK1010" s="29" t="s">
        <v>148</v>
      </c>
      <c r="BL1010" s="29" t="s">
        <v>148</v>
      </c>
      <c r="BM1010" s="45"/>
      <c r="BN1010" s="45"/>
      <c r="BO1010" s="46"/>
      <c r="BP1010" s="2"/>
      <c r="BQ1010" s="3"/>
    </row>
    <row r="1011" ht="15.75" customHeight="1">
      <c r="A1011" s="34">
        <v>1024.0</v>
      </c>
      <c r="B1011" s="34">
        <v>203123.0</v>
      </c>
      <c r="C1011" s="34" t="s">
        <v>832</v>
      </c>
      <c r="D1011" s="34" t="s">
        <v>1850</v>
      </c>
      <c r="E1011" s="34" t="s">
        <v>1851</v>
      </c>
      <c r="F1011" s="34">
        <v>2021.0</v>
      </c>
      <c r="G1011" s="34" t="s">
        <v>1852</v>
      </c>
      <c r="H1011" s="34" t="s">
        <v>80</v>
      </c>
      <c r="I1011" s="34" t="s">
        <v>1853</v>
      </c>
      <c r="J1011" s="35"/>
      <c r="K1011" s="36"/>
      <c r="L1011" s="36"/>
      <c r="M1011" s="36"/>
      <c r="N1011" s="36"/>
      <c r="O1011" s="36"/>
      <c r="P1011" s="37">
        <v>8.61</v>
      </c>
      <c r="Q1011" s="36" t="s">
        <v>96</v>
      </c>
      <c r="R1011" s="36" t="s">
        <v>96</v>
      </c>
      <c r="S1011" s="36"/>
      <c r="T1011" s="36" t="s">
        <v>1884</v>
      </c>
      <c r="U1011" s="36" t="s">
        <v>1885</v>
      </c>
      <c r="V1011" s="36">
        <v>322.0</v>
      </c>
      <c r="W1011" s="36"/>
      <c r="X1011" s="38">
        <v>1.0</v>
      </c>
      <c r="Y1011" s="38" t="s">
        <v>1886</v>
      </c>
      <c r="Z1011" s="38"/>
      <c r="AA1011" s="38" t="s">
        <v>86</v>
      </c>
      <c r="AB1011" s="38">
        <v>-21.64</v>
      </c>
      <c r="AC1011" s="38">
        <v>-47.79</v>
      </c>
      <c r="AD1011" s="38"/>
      <c r="AE1011" s="38">
        <v>541.0</v>
      </c>
      <c r="AF1011" s="38"/>
      <c r="AG1011" s="38"/>
      <c r="AH1011" s="38"/>
      <c r="AI1011" s="50">
        <v>-21.64</v>
      </c>
      <c r="AJ1011" s="50">
        <v>-47.79</v>
      </c>
      <c r="AK1011" s="41" t="s">
        <v>86</v>
      </c>
      <c r="AL1011" s="40"/>
      <c r="AM1011" s="49">
        <v>558.0</v>
      </c>
      <c r="AN1011" s="43"/>
      <c r="AO1011" s="42" t="s">
        <v>335</v>
      </c>
      <c r="AP1011" s="43"/>
      <c r="AQ1011" s="44" t="str">
        <f t="shared" si="94"/>
        <v>CRO</v>
      </c>
      <c r="AR1011" s="44">
        <f t="shared" si="80"/>
        <v>558</v>
      </c>
      <c r="AS1011" s="44" t="str">
        <f t="shared" si="96"/>
        <v>A</v>
      </c>
      <c r="AT1011" s="44" t="s">
        <v>335</v>
      </c>
      <c r="AU1011" s="44" t="str">
        <f t="shared" si="95"/>
        <v>Aw</v>
      </c>
      <c r="AV1011" s="38">
        <v>1.0</v>
      </c>
      <c r="AW1011" s="38"/>
      <c r="AX1011" s="38"/>
      <c r="AY1011" s="38" t="s">
        <v>92</v>
      </c>
      <c r="AZ1011" s="29">
        <v>500.0</v>
      </c>
      <c r="BA1011" s="29">
        <v>1.0</v>
      </c>
      <c r="BB1011" s="29">
        <v>1.0</v>
      </c>
      <c r="BC1011" s="29"/>
      <c r="BD1011" s="29" t="s">
        <v>88</v>
      </c>
      <c r="BE1011" s="29"/>
      <c r="BF1011" s="29" t="s">
        <v>202</v>
      </c>
      <c r="BG1011" s="29" t="s">
        <v>203</v>
      </c>
      <c r="BH1011" s="29" t="s">
        <v>88</v>
      </c>
      <c r="BI1011" s="29" t="s">
        <v>1848</v>
      </c>
      <c r="BJ1011" s="29"/>
      <c r="BK1011" s="29" t="s">
        <v>148</v>
      </c>
      <c r="BL1011" s="29" t="s">
        <v>148</v>
      </c>
      <c r="BM1011" s="45"/>
      <c r="BN1011" s="45"/>
      <c r="BO1011" s="46"/>
      <c r="BP1011" s="2"/>
      <c r="BQ1011" s="3"/>
    </row>
    <row r="1012" ht="15.75" customHeight="1">
      <c r="A1012" s="34">
        <v>1025.0</v>
      </c>
      <c r="B1012" s="34">
        <v>203123.0</v>
      </c>
      <c r="C1012" s="34" t="s">
        <v>832</v>
      </c>
      <c r="D1012" s="34" t="s">
        <v>1850</v>
      </c>
      <c r="E1012" s="34" t="s">
        <v>1851</v>
      </c>
      <c r="F1012" s="34">
        <v>2021.0</v>
      </c>
      <c r="G1012" s="34" t="s">
        <v>1852</v>
      </c>
      <c r="H1012" s="34" t="s">
        <v>80</v>
      </c>
      <c r="I1012" s="34" t="s">
        <v>1853</v>
      </c>
      <c r="J1012" s="35"/>
      <c r="K1012" s="36"/>
      <c r="L1012" s="36"/>
      <c r="M1012" s="36"/>
      <c r="N1012" s="36"/>
      <c r="O1012" s="36"/>
      <c r="P1012" s="37">
        <v>-29.72</v>
      </c>
      <c r="Q1012" s="36" t="s">
        <v>96</v>
      </c>
      <c r="R1012" s="36" t="s">
        <v>96</v>
      </c>
      <c r="S1012" s="36"/>
      <c r="T1012" s="36" t="s">
        <v>969</v>
      </c>
      <c r="U1012" s="36" t="s">
        <v>1887</v>
      </c>
      <c r="V1012" s="36">
        <v>234.0</v>
      </c>
      <c r="W1012" s="36"/>
      <c r="X1012" s="38">
        <v>1.0</v>
      </c>
      <c r="Y1012" s="38" t="s">
        <v>1888</v>
      </c>
      <c r="Z1012" s="38"/>
      <c r="AA1012" s="38" t="s">
        <v>452</v>
      </c>
      <c r="AB1012" s="38">
        <v>-33.46</v>
      </c>
      <c r="AC1012" s="38">
        <v>-66.46</v>
      </c>
      <c r="AD1012" s="38"/>
      <c r="AE1012" s="38">
        <v>320.0</v>
      </c>
      <c r="AF1012" s="38"/>
      <c r="AG1012" s="38"/>
      <c r="AH1012" s="38"/>
      <c r="AI1012" s="50">
        <v>-33.46</v>
      </c>
      <c r="AJ1012" s="50">
        <v>-66.46</v>
      </c>
      <c r="AK1012" s="41" t="s">
        <v>292</v>
      </c>
      <c r="AL1012" s="40"/>
      <c r="AM1012" s="49">
        <v>507.0</v>
      </c>
      <c r="AN1012" s="43"/>
      <c r="AO1012" s="42" t="s">
        <v>304</v>
      </c>
      <c r="AP1012" s="43"/>
      <c r="AQ1012" s="44" t="str">
        <f t="shared" si="94"/>
        <v>MF</v>
      </c>
      <c r="AR1012" s="44">
        <f t="shared" si="80"/>
        <v>507</v>
      </c>
      <c r="AS1012" s="44" t="str">
        <f t="shared" si="96"/>
        <v>B</v>
      </c>
      <c r="AT1012" s="44" t="s">
        <v>1863</v>
      </c>
      <c r="AU1012" s="44" t="str">
        <f t="shared" si="95"/>
        <v>BSh</v>
      </c>
      <c r="AV1012" s="38">
        <v>1.0</v>
      </c>
      <c r="AW1012" s="38"/>
      <c r="AX1012" s="38"/>
      <c r="AY1012" s="38" t="s">
        <v>92</v>
      </c>
      <c r="AZ1012" s="29">
        <v>500.0</v>
      </c>
      <c r="BA1012" s="29">
        <v>1.0</v>
      </c>
      <c r="BB1012" s="29">
        <v>1.0</v>
      </c>
      <c r="BC1012" s="29"/>
      <c r="BD1012" s="29" t="s">
        <v>88</v>
      </c>
      <c r="BE1012" s="29"/>
      <c r="BF1012" s="29" t="s">
        <v>202</v>
      </c>
      <c r="BG1012" s="29" t="s">
        <v>203</v>
      </c>
      <c r="BH1012" s="29" t="s">
        <v>88</v>
      </c>
      <c r="BI1012" s="29" t="s">
        <v>1848</v>
      </c>
      <c r="BJ1012" s="29"/>
      <c r="BK1012" s="29" t="s">
        <v>148</v>
      </c>
      <c r="BL1012" s="29" t="s">
        <v>148</v>
      </c>
      <c r="BM1012" s="45"/>
      <c r="BN1012" s="45"/>
      <c r="BO1012" s="46"/>
      <c r="BP1012" s="2"/>
      <c r="BQ1012" s="3"/>
    </row>
    <row r="1013" ht="15.75" customHeight="1">
      <c r="A1013" s="34">
        <v>1026.0</v>
      </c>
      <c r="B1013" s="34">
        <v>203123.0</v>
      </c>
      <c r="C1013" s="34" t="s">
        <v>832</v>
      </c>
      <c r="D1013" s="34" t="s">
        <v>1850</v>
      </c>
      <c r="E1013" s="34" t="s">
        <v>1851</v>
      </c>
      <c r="F1013" s="34">
        <v>2021.0</v>
      </c>
      <c r="G1013" s="34" t="s">
        <v>1852</v>
      </c>
      <c r="H1013" s="34" t="s">
        <v>80</v>
      </c>
      <c r="I1013" s="34" t="s">
        <v>1853</v>
      </c>
      <c r="J1013" s="35"/>
      <c r="K1013" s="36"/>
      <c r="L1013" s="36"/>
      <c r="M1013" s="36"/>
      <c r="N1013" s="36"/>
      <c r="O1013" s="36"/>
      <c r="P1013" s="37">
        <v>-10.88</v>
      </c>
      <c r="Q1013" s="36" t="s">
        <v>96</v>
      </c>
      <c r="R1013" s="36" t="s">
        <v>96</v>
      </c>
      <c r="S1013" s="36"/>
      <c r="T1013" s="36" t="s">
        <v>1474</v>
      </c>
      <c r="U1013" s="36" t="s">
        <v>1889</v>
      </c>
      <c r="V1013" s="36">
        <v>208.0</v>
      </c>
      <c r="W1013" s="36"/>
      <c r="X1013" s="38">
        <v>1.0</v>
      </c>
      <c r="Y1013" s="38" t="s">
        <v>1890</v>
      </c>
      <c r="Z1013" s="38"/>
      <c r="AA1013" s="38" t="s">
        <v>86</v>
      </c>
      <c r="AB1013" s="38">
        <v>-35.62</v>
      </c>
      <c r="AC1013" s="38">
        <v>-61.32</v>
      </c>
      <c r="AD1013" s="38"/>
      <c r="AE1013" s="38">
        <v>80.0</v>
      </c>
      <c r="AF1013" s="38"/>
      <c r="AG1013" s="38"/>
      <c r="AH1013" s="38"/>
      <c r="AI1013" s="50">
        <v>-35.62</v>
      </c>
      <c r="AJ1013" s="50">
        <v>-61.32</v>
      </c>
      <c r="AK1013" s="41" t="s">
        <v>86</v>
      </c>
      <c r="AL1013" s="40"/>
      <c r="AM1013" s="49">
        <v>81.0</v>
      </c>
      <c r="AN1013" s="43"/>
      <c r="AO1013" s="42" t="s">
        <v>201</v>
      </c>
      <c r="AP1013" s="43"/>
      <c r="AQ1013" s="44" t="str">
        <f t="shared" si="94"/>
        <v>CRO</v>
      </c>
      <c r="AR1013" s="44">
        <f t="shared" si="80"/>
        <v>81</v>
      </c>
      <c r="AS1013" s="44" t="str">
        <f t="shared" si="96"/>
        <v>C</v>
      </c>
      <c r="AT1013" s="44" t="s">
        <v>1797</v>
      </c>
      <c r="AU1013" s="44" t="str">
        <f t="shared" si="95"/>
        <v>Cfa</v>
      </c>
      <c r="AV1013" s="38">
        <v>1.0</v>
      </c>
      <c r="AW1013" s="38"/>
      <c r="AX1013" s="38"/>
      <c r="AY1013" s="38" t="s">
        <v>92</v>
      </c>
      <c r="AZ1013" s="29">
        <v>500.0</v>
      </c>
      <c r="BA1013" s="29">
        <v>1.0</v>
      </c>
      <c r="BB1013" s="29">
        <v>1.0</v>
      </c>
      <c r="BC1013" s="29"/>
      <c r="BD1013" s="29" t="s">
        <v>88</v>
      </c>
      <c r="BE1013" s="29"/>
      <c r="BF1013" s="29" t="s">
        <v>202</v>
      </c>
      <c r="BG1013" s="29" t="s">
        <v>203</v>
      </c>
      <c r="BH1013" s="29" t="s">
        <v>88</v>
      </c>
      <c r="BI1013" s="29" t="s">
        <v>1848</v>
      </c>
      <c r="BJ1013" s="29"/>
      <c r="BK1013" s="29" t="s">
        <v>148</v>
      </c>
      <c r="BL1013" s="29" t="s">
        <v>148</v>
      </c>
      <c r="BM1013" s="45"/>
      <c r="BN1013" s="45"/>
      <c r="BO1013" s="46"/>
      <c r="BP1013" s="2"/>
      <c r="BQ1013" s="3"/>
    </row>
    <row r="1014" ht="15.75" customHeight="1">
      <c r="A1014" s="34">
        <v>1027.0</v>
      </c>
      <c r="B1014" s="34">
        <v>203123.0</v>
      </c>
      <c r="C1014" s="34" t="s">
        <v>832</v>
      </c>
      <c r="D1014" s="34" t="s">
        <v>1850</v>
      </c>
      <c r="E1014" s="34" t="s">
        <v>1851</v>
      </c>
      <c r="F1014" s="34">
        <v>2021.0</v>
      </c>
      <c r="G1014" s="34" t="s">
        <v>1852</v>
      </c>
      <c r="H1014" s="34" t="s">
        <v>80</v>
      </c>
      <c r="I1014" s="34" t="s">
        <v>1853</v>
      </c>
      <c r="J1014" s="35"/>
      <c r="K1014" s="36"/>
      <c r="L1014" s="36"/>
      <c r="M1014" s="36"/>
      <c r="N1014" s="36"/>
      <c r="O1014" s="36"/>
      <c r="P1014" s="37">
        <v>-85.2</v>
      </c>
      <c r="Q1014" s="36" t="s">
        <v>96</v>
      </c>
      <c r="R1014" s="36" t="s">
        <v>96</v>
      </c>
      <c r="S1014" s="36"/>
      <c r="T1014" s="36" t="s">
        <v>245</v>
      </c>
      <c r="U1014" s="36" t="s">
        <v>1891</v>
      </c>
      <c r="V1014" s="36">
        <v>121.0</v>
      </c>
      <c r="W1014" s="36"/>
      <c r="X1014" s="38">
        <v>1.0</v>
      </c>
      <c r="Y1014" s="38" t="s">
        <v>1892</v>
      </c>
      <c r="Z1014" s="38"/>
      <c r="AA1014" s="38" t="s">
        <v>214</v>
      </c>
      <c r="AB1014" s="38">
        <v>-37.55</v>
      </c>
      <c r="AC1014" s="38">
        <v>-57.3</v>
      </c>
      <c r="AD1014" s="38"/>
      <c r="AE1014" s="38">
        <v>1.0</v>
      </c>
      <c r="AF1014" s="38"/>
      <c r="AG1014" s="38"/>
      <c r="AH1014" s="38"/>
      <c r="AI1014" s="50">
        <v>-37.55</v>
      </c>
      <c r="AJ1014" s="50">
        <v>-57.3</v>
      </c>
      <c r="AK1014" s="41" t="s">
        <v>313</v>
      </c>
      <c r="AL1014" s="40"/>
      <c r="AM1014" s="49">
        <v>3.0</v>
      </c>
      <c r="AN1014" s="43"/>
      <c r="AO1014" s="42" t="s">
        <v>376</v>
      </c>
      <c r="AP1014" s="43"/>
      <c r="AQ1014" s="44" t="str">
        <f t="shared" si="94"/>
        <v>WET</v>
      </c>
      <c r="AR1014" s="44">
        <f t="shared" si="80"/>
        <v>3</v>
      </c>
      <c r="AS1014" s="44" t="str">
        <f t="shared" si="96"/>
        <v>C</v>
      </c>
      <c r="AT1014" s="44" t="s">
        <v>1797</v>
      </c>
      <c r="AU1014" s="44" t="str">
        <f t="shared" si="95"/>
        <v>Cfb</v>
      </c>
      <c r="AV1014" s="38">
        <v>1.0</v>
      </c>
      <c r="AW1014" s="38"/>
      <c r="AX1014" s="38"/>
      <c r="AY1014" s="38" t="s">
        <v>92</v>
      </c>
      <c r="AZ1014" s="29">
        <v>500.0</v>
      </c>
      <c r="BA1014" s="29">
        <v>1.0</v>
      </c>
      <c r="BB1014" s="29">
        <v>1.0</v>
      </c>
      <c r="BC1014" s="29"/>
      <c r="BD1014" s="29" t="s">
        <v>88</v>
      </c>
      <c r="BE1014" s="29"/>
      <c r="BF1014" s="29" t="s">
        <v>202</v>
      </c>
      <c r="BG1014" s="29" t="s">
        <v>203</v>
      </c>
      <c r="BH1014" s="29" t="s">
        <v>88</v>
      </c>
      <c r="BI1014" s="29" t="s">
        <v>1848</v>
      </c>
      <c r="BJ1014" s="29"/>
      <c r="BK1014" s="29" t="s">
        <v>148</v>
      </c>
      <c r="BL1014" s="29" t="s">
        <v>148</v>
      </c>
      <c r="BM1014" s="45"/>
      <c r="BN1014" s="45"/>
      <c r="BO1014" s="46"/>
      <c r="BP1014" s="2"/>
      <c r="BQ1014" s="3"/>
    </row>
    <row r="1015" ht="15.75" customHeight="1">
      <c r="A1015" s="34">
        <v>1028.0</v>
      </c>
      <c r="B1015" s="34">
        <v>203123.0</v>
      </c>
      <c r="C1015" s="34" t="s">
        <v>832</v>
      </c>
      <c r="D1015" s="34" t="s">
        <v>1850</v>
      </c>
      <c r="E1015" s="34" t="s">
        <v>1851</v>
      </c>
      <c r="F1015" s="34">
        <v>2021.0</v>
      </c>
      <c r="G1015" s="34" t="s">
        <v>1852</v>
      </c>
      <c r="H1015" s="34" t="s">
        <v>80</v>
      </c>
      <c r="I1015" s="34" t="s">
        <v>1853</v>
      </c>
      <c r="J1015" s="35"/>
      <c r="K1015" s="36"/>
      <c r="L1015" s="36"/>
      <c r="M1015" s="36"/>
      <c r="N1015" s="36"/>
      <c r="O1015" s="36"/>
      <c r="P1015" s="37">
        <v>-12.73</v>
      </c>
      <c r="Q1015" s="36" t="s">
        <v>96</v>
      </c>
      <c r="R1015" s="36" t="s">
        <v>96</v>
      </c>
      <c r="S1015" s="36"/>
      <c r="T1015" s="36" t="s">
        <v>167</v>
      </c>
      <c r="U1015" s="36" t="s">
        <v>1893</v>
      </c>
      <c r="V1015" s="36">
        <v>51.0</v>
      </c>
      <c r="W1015" s="36"/>
      <c r="X1015" s="38">
        <v>1.0</v>
      </c>
      <c r="Y1015" s="38" t="s">
        <v>1894</v>
      </c>
      <c r="Z1015" s="38"/>
      <c r="AA1015" s="38" t="s">
        <v>86</v>
      </c>
      <c r="AB1015" s="38">
        <v>-37.75</v>
      </c>
      <c r="AC1015" s="38">
        <v>-58.34</v>
      </c>
      <c r="AD1015" s="38"/>
      <c r="AE1015" s="38">
        <v>130.0</v>
      </c>
      <c r="AF1015" s="38"/>
      <c r="AG1015" s="38"/>
      <c r="AH1015" s="38"/>
      <c r="AI1015" s="50">
        <v>-37.75</v>
      </c>
      <c r="AJ1015" s="50">
        <v>-58.34</v>
      </c>
      <c r="AK1015" s="41" t="s">
        <v>86</v>
      </c>
      <c r="AL1015" s="40"/>
      <c r="AM1015" s="49">
        <v>113.0</v>
      </c>
      <c r="AN1015" s="43"/>
      <c r="AO1015" s="42" t="s">
        <v>376</v>
      </c>
      <c r="AP1015" s="43"/>
      <c r="AQ1015" s="44" t="str">
        <f t="shared" si="94"/>
        <v>CRO</v>
      </c>
      <c r="AR1015" s="44">
        <f t="shared" si="80"/>
        <v>113</v>
      </c>
      <c r="AS1015" s="44" t="str">
        <f t="shared" si="96"/>
        <v>C</v>
      </c>
      <c r="AT1015" s="44" t="s">
        <v>1797</v>
      </c>
      <c r="AU1015" s="44" t="str">
        <f t="shared" si="95"/>
        <v>Cfb</v>
      </c>
      <c r="AV1015" s="38">
        <v>1.0</v>
      </c>
      <c r="AW1015" s="38"/>
      <c r="AX1015" s="38"/>
      <c r="AY1015" s="38" t="s">
        <v>92</v>
      </c>
      <c r="AZ1015" s="29">
        <v>500.0</v>
      </c>
      <c r="BA1015" s="29">
        <v>1.0</v>
      </c>
      <c r="BB1015" s="29">
        <v>1.0</v>
      </c>
      <c r="BC1015" s="29"/>
      <c r="BD1015" s="29" t="s">
        <v>88</v>
      </c>
      <c r="BE1015" s="29"/>
      <c r="BF1015" s="29" t="s">
        <v>202</v>
      </c>
      <c r="BG1015" s="29" t="s">
        <v>203</v>
      </c>
      <c r="BH1015" s="29" t="s">
        <v>88</v>
      </c>
      <c r="BI1015" s="29" t="s">
        <v>1848</v>
      </c>
      <c r="BJ1015" s="29"/>
      <c r="BK1015" s="29" t="s">
        <v>148</v>
      </c>
      <c r="BL1015" s="29" t="s">
        <v>148</v>
      </c>
      <c r="BM1015" s="45"/>
      <c r="BN1015" s="45"/>
      <c r="BO1015" s="46"/>
      <c r="BP1015" s="2"/>
      <c r="BQ1015" s="3"/>
    </row>
    <row r="1016" ht="15.75" customHeight="1">
      <c r="A1016" s="34">
        <v>1029.0</v>
      </c>
      <c r="B1016" s="34">
        <v>203123.0</v>
      </c>
      <c r="C1016" s="34" t="s">
        <v>832</v>
      </c>
      <c r="D1016" s="34" t="s">
        <v>1850</v>
      </c>
      <c r="E1016" s="34" t="s">
        <v>1851</v>
      </c>
      <c r="F1016" s="34">
        <v>2021.0</v>
      </c>
      <c r="G1016" s="34" t="s">
        <v>1852</v>
      </c>
      <c r="H1016" s="34" t="s">
        <v>80</v>
      </c>
      <c r="I1016" s="34" t="s">
        <v>1853</v>
      </c>
      <c r="J1016" s="35"/>
      <c r="K1016" s="36"/>
      <c r="L1016" s="36"/>
      <c r="M1016" s="36"/>
      <c r="N1016" s="36"/>
      <c r="O1016" s="36"/>
      <c r="P1016" s="37">
        <v>15.9</v>
      </c>
      <c r="Q1016" s="36" t="s">
        <v>96</v>
      </c>
      <c r="R1016" s="36" t="s">
        <v>96</v>
      </c>
      <c r="S1016" s="36"/>
      <c r="T1016" s="36" t="s">
        <v>1895</v>
      </c>
      <c r="U1016" s="36" t="s">
        <v>1896</v>
      </c>
      <c r="V1016" s="36">
        <v>401.0</v>
      </c>
      <c r="W1016" s="36"/>
      <c r="X1016" s="38">
        <v>1.0</v>
      </c>
      <c r="Y1016" s="38" t="s">
        <v>1897</v>
      </c>
      <c r="Z1016" s="38"/>
      <c r="AA1016" s="38" t="s">
        <v>336</v>
      </c>
      <c r="AB1016" s="38">
        <v>-41.88</v>
      </c>
      <c r="AC1016" s="38">
        <v>-73.68</v>
      </c>
      <c r="AD1016" s="38"/>
      <c r="AE1016" s="38">
        <v>50.0</v>
      </c>
      <c r="AF1016" s="38"/>
      <c r="AG1016" s="38"/>
      <c r="AH1016" s="38"/>
      <c r="AI1016" s="50">
        <v>-41.88</v>
      </c>
      <c r="AJ1016" s="50">
        <v>-73.68</v>
      </c>
      <c r="AK1016" s="41" t="s">
        <v>336</v>
      </c>
      <c r="AL1016" s="40"/>
      <c r="AM1016" s="49">
        <v>17.0</v>
      </c>
      <c r="AN1016" s="43"/>
      <c r="AO1016" s="42" t="s">
        <v>376</v>
      </c>
      <c r="AP1016" s="43"/>
      <c r="AQ1016" s="44" t="str">
        <f t="shared" si="94"/>
        <v>EBF</v>
      </c>
      <c r="AR1016" s="44">
        <f t="shared" si="80"/>
        <v>17</v>
      </c>
      <c r="AS1016" s="44" t="str">
        <f t="shared" si="96"/>
        <v>C</v>
      </c>
      <c r="AT1016" s="44" t="s">
        <v>1797</v>
      </c>
      <c r="AU1016" s="44" t="str">
        <f t="shared" si="95"/>
        <v>Cfb</v>
      </c>
      <c r="AV1016" s="38">
        <v>1.0</v>
      </c>
      <c r="AW1016" s="38"/>
      <c r="AX1016" s="38"/>
      <c r="AY1016" s="38" t="s">
        <v>92</v>
      </c>
      <c r="AZ1016" s="29">
        <v>500.0</v>
      </c>
      <c r="BA1016" s="29">
        <v>1.0</v>
      </c>
      <c r="BB1016" s="29">
        <v>1.0</v>
      </c>
      <c r="BC1016" s="29"/>
      <c r="BD1016" s="29" t="s">
        <v>88</v>
      </c>
      <c r="BE1016" s="29"/>
      <c r="BF1016" s="29" t="s">
        <v>202</v>
      </c>
      <c r="BG1016" s="29" t="s">
        <v>203</v>
      </c>
      <c r="BH1016" s="29" t="s">
        <v>88</v>
      </c>
      <c r="BI1016" s="29" t="s">
        <v>1848</v>
      </c>
      <c r="BJ1016" s="29"/>
      <c r="BK1016" s="29" t="s">
        <v>148</v>
      </c>
      <c r="BL1016" s="29" t="s">
        <v>148</v>
      </c>
      <c r="BM1016" s="45"/>
      <c r="BN1016" s="45"/>
      <c r="BO1016" s="46"/>
      <c r="BP1016" s="2"/>
      <c r="BQ1016" s="3"/>
    </row>
    <row r="1017" ht="15.75" customHeight="1">
      <c r="A1017" s="34">
        <v>1030.0</v>
      </c>
      <c r="B1017" s="34">
        <v>203123.0</v>
      </c>
      <c r="C1017" s="34" t="s">
        <v>832</v>
      </c>
      <c r="D1017" s="34" t="s">
        <v>1850</v>
      </c>
      <c r="E1017" s="34" t="s">
        <v>1851</v>
      </c>
      <c r="F1017" s="34">
        <v>2021.0</v>
      </c>
      <c r="G1017" s="34" t="s">
        <v>1852</v>
      </c>
      <c r="H1017" s="34" t="s">
        <v>80</v>
      </c>
      <c r="I1017" s="34" t="s">
        <v>1853</v>
      </c>
      <c r="J1017" s="35"/>
      <c r="K1017" s="36"/>
      <c r="L1017" s="36"/>
      <c r="M1017" s="36"/>
      <c r="N1017" s="36"/>
      <c r="O1017" s="36"/>
      <c r="P1017" s="37">
        <v>-10.7</v>
      </c>
      <c r="Q1017" s="36" t="s">
        <v>96</v>
      </c>
      <c r="R1017" s="36" t="s">
        <v>96</v>
      </c>
      <c r="S1017" s="36"/>
      <c r="T1017" s="36" t="s">
        <v>818</v>
      </c>
      <c r="U1017" s="36" t="s">
        <v>1898</v>
      </c>
      <c r="V1017" s="36">
        <v>279.0</v>
      </c>
      <c r="W1017" s="36"/>
      <c r="X1017" s="38">
        <v>1.0</v>
      </c>
      <c r="Y1017" s="38" t="s">
        <v>1899</v>
      </c>
      <c r="Z1017" s="38"/>
      <c r="AA1017" s="38" t="s">
        <v>214</v>
      </c>
      <c r="AB1017" s="38">
        <v>-54.97</v>
      </c>
      <c r="AC1017" s="38">
        <v>-66.73</v>
      </c>
      <c r="AD1017" s="38"/>
      <c r="AE1017" s="38">
        <v>40.0</v>
      </c>
      <c r="AF1017" s="38"/>
      <c r="AG1017" s="38"/>
      <c r="AH1017" s="38"/>
      <c r="AI1017" s="50">
        <v>-54.97</v>
      </c>
      <c r="AJ1017" s="50">
        <v>-66.73</v>
      </c>
      <c r="AK1017" s="41" t="s">
        <v>370</v>
      </c>
      <c r="AL1017" s="40"/>
      <c r="AM1017" s="49">
        <v>38.0</v>
      </c>
      <c r="AN1017" s="43"/>
      <c r="AO1017" s="42" t="s">
        <v>604</v>
      </c>
      <c r="AP1017" s="43"/>
      <c r="AQ1017" s="44" t="str">
        <f t="shared" si="94"/>
        <v>WET</v>
      </c>
      <c r="AR1017" s="44">
        <f t="shared" si="80"/>
        <v>38</v>
      </c>
      <c r="AS1017" s="44" t="str">
        <f t="shared" si="96"/>
        <v>E</v>
      </c>
      <c r="AT1017" s="44" t="s">
        <v>604</v>
      </c>
      <c r="AU1017" s="44" t="str">
        <f t="shared" si="95"/>
        <v>EF</v>
      </c>
      <c r="AV1017" s="38">
        <v>1.0</v>
      </c>
      <c r="AW1017" s="38"/>
      <c r="AX1017" s="38"/>
      <c r="AY1017" s="38" t="s">
        <v>92</v>
      </c>
      <c r="AZ1017" s="29">
        <v>500.0</v>
      </c>
      <c r="BA1017" s="29">
        <v>1.0</v>
      </c>
      <c r="BB1017" s="29">
        <v>1.0</v>
      </c>
      <c r="BC1017" s="29"/>
      <c r="BD1017" s="29" t="s">
        <v>88</v>
      </c>
      <c r="BE1017" s="29"/>
      <c r="BF1017" s="29" t="s">
        <v>202</v>
      </c>
      <c r="BG1017" s="29" t="s">
        <v>203</v>
      </c>
      <c r="BH1017" s="29" t="s">
        <v>88</v>
      </c>
      <c r="BI1017" s="29" t="s">
        <v>1848</v>
      </c>
      <c r="BJ1017" s="29"/>
      <c r="BK1017" s="29" t="s">
        <v>148</v>
      </c>
      <c r="BL1017" s="29" t="s">
        <v>148</v>
      </c>
      <c r="BM1017" s="45"/>
      <c r="BN1017" s="45"/>
      <c r="BO1017" s="46"/>
      <c r="BP1017" s="2"/>
      <c r="BQ1017" s="3"/>
    </row>
    <row r="1018" ht="15.75" customHeight="1">
      <c r="A1018" s="34">
        <v>1031.0</v>
      </c>
      <c r="B1018" s="34">
        <v>203123.0</v>
      </c>
      <c r="C1018" s="34" t="s">
        <v>832</v>
      </c>
      <c r="D1018" s="34" t="s">
        <v>1850</v>
      </c>
      <c r="E1018" s="34" t="s">
        <v>1851</v>
      </c>
      <c r="F1018" s="34">
        <v>2021.0</v>
      </c>
      <c r="G1018" s="34" t="s">
        <v>1852</v>
      </c>
      <c r="H1018" s="34" t="s">
        <v>80</v>
      </c>
      <c r="I1018" s="34" t="s">
        <v>1853</v>
      </c>
      <c r="J1018" s="35"/>
      <c r="K1018" s="36"/>
      <c r="L1018" s="36"/>
      <c r="M1018" s="36"/>
      <c r="N1018" s="36"/>
      <c r="O1018" s="36"/>
      <c r="P1018" s="37">
        <v>-39.52</v>
      </c>
      <c r="Q1018" s="36" t="s">
        <v>96</v>
      </c>
      <c r="R1018" s="36" t="s">
        <v>96</v>
      </c>
      <c r="S1018" s="36"/>
      <c r="T1018" s="36" t="s">
        <v>818</v>
      </c>
      <c r="U1018" s="36" t="s">
        <v>1900</v>
      </c>
      <c r="V1018" s="36">
        <v>99.0</v>
      </c>
      <c r="W1018" s="36"/>
      <c r="X1018" s="38">
        <v>1.0</v>
      </c>
      <c r="Y1018" s="38" t="s">
        <v>1901</v>
      </c>
      <c r="Z1018" s="38"/>
      <c r="AA1018" s="38" t="s">
        <v>214</v>
      </c>
      <c r="AB1018" s="38">
        <v>-54.83</v>
      </c>
      <c r="AC1018" s="38">
        <v>-68.45</v>
      </c>
      <c r="AD1018" s="38"/>
      <c r="AE1018" s="38">
        <v>60.0</v>
      </c>
      <c r="AF1018" s="38"/>
      <c r="AG1018" s="38"/>
      <c r="AH1018" s="38"/>
      <c r="AI1018" s="50">
        <v>-54.83</v>
      </c>
      <c r="AJ1018" s="50">
        <v>-68.45</v>
      </c>
      <c r="AK1018" s="41" t="s">
        <v>370</v>
      </c>
      <c r="AL1018" s="40"/>
      <c r="AM1018" s="49">
        <v>95.0</v>
      </c>
      <c r="AN1018" s="43"/>
      <c r="AO1018" s="42" t="s">
        <v>604</v>
      </c>
      <c r="AP1018" s="43"/>
      <c r="AQ1018" s="44" t="str">
        <f t="shared" si="94"/>
        <v>WET</v>
      </c>
      <c r="AR1018" s="44">
        <f t="shared" si="80"/>
        <v>95</v>
      </c>
      <c r="AS1018" s="44" t="str">
        <f t="shared" si="96"/>
        <v>E</v>
      </c>
      <c r="AT1018" s="44" t="s">
        <v>604</v>
      </c>
      <c r="AU1018" s="44" t="str">
        <f t="shared" si="95"/>
        <v>EF</v>
      </c>
      <c r="AV1018" s="38">
        <v>1.0</v>
      </c>
      <c r="AW1018" s="38"/>
      <c r="AX1018" s="38"/>
      <c r="AY1018" s="38" t="s">
        <v>92</v>
      </c>
      <c r="AZ1018" s="29">
        <v>500.0</v>
      </c>
      <c r="BA1018" s="29">
        <v>1.0</v>
      </c>
      <c r="BB1018" s="29">
        <v>1.0</v>
      </c>
      <c r="BC1018" s="29"/>
      <c r="BD1018" s="29" t="s">
        <v>88</v>
      </c>
      <c r="BE1018" s="29"/>
      <c r="BF1018" s="29" t="s">
        <v>202</v>
      </c>
      <c r="BG1018" s="29" t="s">
        <v>203</v>
      </c>
      <c r="BH1018" s="29" t="s">
        <v>88</v>
      </c>
      <c r="BI1018" s="29" t="s">
        <v>1848</v>
      </c>
      <c r="BJ1018" s="29"/>
      <c r="BK1018" s="29" t="s">
        <v>148</v>
      </c>
      <c r="BL1018" s="29" t="s">
        <v>148</v>
      </c>
      <c r="BM1018" s="45"/>
      <c r="BN1018" s="45"/>
      <c r="BO1018" s="46"/>
      <c r="BP1018" s="2"/>
      <c r="BQ1018" s="3"/>
    </row>
    <row r="1019" ht="15.75" customHeight="1">
      <c r="A1019" s="34">
        <v>1032.0</v>
      </c>
      <c r="B1019" s="34">
        <v>203123.0</v>
      </c>
      <c r="C1019" s="34" t="s">
        <v>832</v>
      </c>
      <c r="D1019" s="34" t="s">
        <v>1850</v>
      </c>
      <c r="E1019" s="34" t="s">
        <v>1851</v>
      </c>
      <c r="F1019" s="34">
        <v>2021.0</v>
      </c>
      <c r="G1019" s="34" t="s">
        <v>1852</v>
      </c>
      <c r="H1019" s="34" t="s">
        <v>80</v>
      </c>
      <c r="I1019" s="34" t="s">
        <v>1853</v>
      </c>
      <c r="J1019" s="35"/>
      <c r="K1019" s="36"/>
      <c r="L1019" s="36"/>
      <c r="M1019" s="36"/>
      <c r="N1019" s="36"/>
      <c r="O1019" s="36"/>
      <c r="P1019" s="37">
        <v>-11.76</v>
      </c>
      <c r="Q1019" s="36" t="s">
        <v>96</v>
      </c>
      <c r="R1019" s="36" t="s">
        <v>96</v>
      </c>
      <c r="S1019" s="36"/>
      <c r="T1019" s="36" t="s">
        <v>356</v>
      </c>
      <c r="U1019" s="36" t="s">
        <v>968</v>
      </c>
      <c r="V1019" s="36">
        <v>40.0</v>
      </c>
      <c r="W1019" s="36"/>
      <c r="X1019" s="38">
        <v>1.0</v>
      </c>
      <c r="Y1019" s="38" t="s">
        <v>1854</v>
      </c>
      <c r="Z1019" s="38"/>
      <c r="AA1019" s="38" t="s">
        <v>336</v>
      </c>
      <c r="AB1019" s="38">
        <v>-1.72</v>
      </c>
      <c r="AC1019" s="38">
        <v>-51.46</v>
      </c>
      <c r="AD1019" s="38" t="s">
        <v>1855</v>
      </c>
      <c r="AE1019" s="38">
        <v>57.0</v>
      </c>
      <c r="AF1019" s="38"/>
      <c r="AG1019" s="38"/>
      <c r="AH1019" s="38"/>
      <c r="AI1019" s="50">
        <v>-1.72</v>
      </c>
      <c r="AJ1019" s="50">
        <v>-51.46</v>
      </c>
      <c r="AK1019" s="41" t="s">
        <v>336</v>
      </c>
      <c r="AL1019" s="40"/>
      <c r="AM1019" s="49">
        <v>45.0</v>
      </c>
      <c r="AN1019" s="43"/>
      <c r="AO1019" s="42" t="s">
        <v>1024</v>
      </c>
      <c r="AP1019" s="43"/>
      <c r="AQ1019" s="44" t="str">
        <f t="shared" si="94"/>
        <v>EBF</v>
      </c>
      <c r="AR1019" s="44">
        <f t="shared" si="80"/>
        <v>45</v>
      </c>
      <c r="AS1019" s="44" t="str">
        <f t="shared" si="96"/>
        <v>A</v>
      </c>
      <c r="AT1019" s="44" t="s">
        <v>1024</v>
      </c>
      <c r="AU1019" s="44" t="str">
        <f t="shared" si="95"/>
        <v>Am</v>
      </c>
      <c r="AV1019" s="38">
        <v>1.0</v>
      </c>
      <c r="AW1019" s="38"/>
      <c r="AX1019" s="38"/>
      <c r="AY1019" s="38" t="s">
        <v>92</v>
      </c>
      <c r="AZ1019" s="29">
        <v>500.0</v>
      </c>
      <c r="BA1019" s="29">
        <v>1.0</v>
      </c>
      <c r="BB1019" s="29">
        <v>1.0</v>
      </c>
      <c r="BC1019" s="29"/>
      <c r="BD1019" s="29" t="s">
        <v>88</v>
      </c>
      <c r="BE1019" s="29"/>
      <c r="BF1019" s="29" t="s">
        <v>881</v>
      </c>
      <c r="BG1019" s="29" t="s">
        <v>203</v>
      </c>
      <c r="BH1019" s="29" t="s">
        <v>88</v>
      </c>
      <c r="BI1019" s="29" t="s">
        <v>1848</v>
      </c>
      <c r="BJ1019" s="29"/>
      <c r="BK1019" s="29" t="s">
        <v>148</v>
      </c>
      <c r="BL1019" s="29" t="s">
        <v>148</v>
      </c>
      <c r="BM1019" s="45"/>
      <c r="BN1019" s="45">
        <v>1.0</v>
      </c>
      <c r="BO1019" s="46" t="s">
        <v>1856</v>
      </c>
      <c r="BP1019" s="2"/>
      <c r="BQ1019" s="3"/>
    </row>
    <row r="1020" ht="15.75" customHeight="1">
      <c r="A1020" s="34">
        <v>1033.0</v>
      </c>
      <c r="B1020" s="34">
        <v>203123.0</v>
      </c>
      <c r="C1020" s="34" t="s">
        <v>832</v>
      </c>
      <c r="D1020" s="34" t="s">
        <v>1850</v>
      </c>
      <c r="E1020" s="34" t="s">
        <v>1851</v>
      </c>
      <c r="F1020" s="34">
        <v>2021.0</v>
      </c>
      <c r="G1020" s="34" t="s">
        <v>1852</v>
      </c>
      <c r="H1020" s="34" t="s">
        <v>80</v>
      </c>
      <c r="I1020" s="34" t="s">
        <v>1853</v>
      </c>
      <c r="J1020" s="35"/>
      <c r="K1020" s="36"/>
      <c r="L1020" s="36"/>
      <c r="M1020" s="36"/>
      <c r="N1020" s="36"/>
      <c r="O1020" s="36"/>
      <c r="P1020" s="37">
        <v>9.65</v>
      </c>
      <c r="Q1020" s="36" t="s">
        <v>96</v>
      </c>
      <c r="R1020" s="36" t="s">
        <v>96</v>
      </c>
      <c r="S1020" s="36"/>
      <c r="T1020" s="36" t="s">
        <v>356</v>
      </c>
      <c r="U1020" s="36" t="s">
        <v>350</v>
      </c>
      <c r="V1020" s="36">
        <v>183.0</v>
      </c>
      <c r="W1020" s="36"/>
      <c r="X1020" s="38">
        <v>1.0</v>
      </c>
      <c r="Y1020" s="38" t="s">
        <v>1857</v>
      </c>
      <c r="Z1020" s="38"/>
      <c r="AA1020" s="38" t="s">
        <v>336</v>
      </c>
      <c r="AB1020" s="38">
        <v>-2.61</v>
      </c>
      <c r="AC1020" s="38">
        <v>-60.21</v>
      </c>
      <c r="AD1020" s="38"/>
      <c r="AE1020" s="38">
        <v>90.0</v>
      </c>
      <c r="AF1020" s="38"/>
      <c r="AG1020" s="38"/>
      <c r="AH1020" s="38"/>
      <c r="AI1020" s="50">
        <v>-2.61</v>
      </c>
      <c r="AJ1020" s="50">
        <v>-60.21</v>
      </c>
      <c r="AK1020" s="41" t="s">
        <v>336</v>
      </c>
      <c r="AL1020" s="40"/>
      <c r="AM1020" s="49">
        <v>114.0</v>
      </c>
      <c r="AN1020" s="43"/>
      <c r="AO1020" s="42" t="s">
        <v>784</v>
      </c>
      <c r="AP1020" s="43"/>
      <c r="AQ1020" s="44" t="str">
        <f t="shared" si="94"/>
        <v>EBF</v>
      </c>
      <c r="AR1020" s="44">
        <f t="shared" si="80"/>
        <v>114</v>
      </c>
      <c r="AS1020" s="44" t="str">
        <f t="shared" si="96"/>
        <v>A</v>
      </c>
      <c r="AT1020" s="44" t="s">
        <v>784</v>
      </c>
      <c r="AU1020" s="44" t="str">
        <f t="shared" si="95"/>
        <v>Af</v>
      </c>
      <c r="AV1020" s="38">
        <v>1.0</v>
      </c>
      <c r="AW1020" s="38"/>
      <c r="AX1020" s="38"/>
      <c r="AY1020" s="38" t="s">
        <v>92</v>
      </c>
      <c r="AZ1020" s="29">
        <v>500.0</v>
      </c>
      <c r="BA1020" s="29">
        <v>1.0</v>
      </c>
      <c r="BB1020" s="29">
        <v>1.0</v>
      </c>
      <c r="BC1020" s="29"/>
      <c r="BD1020" s="29" t="s">
        <v>88</v>
      </c>
      <c r="BE1020" s="29"/>
      <c r="BF1020" s="29" t="s">
        <v>881</v>
      </c>
      <c r="BG1020" s="29" t="s">
        <v>203</v>
      </c>
      <c r="BH1020" s="29" t="s">
        <v>88</v>
      </c>
      <c r="BI1020" s="29" t="s">
        <v>1848</v>
      </c>
      <c r="BJ1020" s="29"/>
      <c r="BK1020" s="29" t="s">
        <v>148</v>
      </c>
      <c r="BL1020" s="29" t="s">
        <v>148</v>
      </c>
      <c r="BM1020" s="45"/>
      <c r="BN1020" s="45"/>
      <c r="BO1020" s="46"/>
      <c r="BP1020" s="2"/>
      <c r="BQ1020" s="3"/>
    </row>
    <row r="1021" ht="15.75" customHeight="1">
      <c r="A1021" s="34">
        <v>1034.0</v>
      </c>
      <c r="B1021" s="34">
        <v>203123.0</v>
      </c>
      <c r="C1021" s="34" t="s">
        <v>832</v>
      </c>
      <c r="D1021" s="34" t="s">
        <v>1850</v>
      </c>
      <c r="E1021" s="34" t="s">
        <v>1851</v>
      </c>
      <c r="F1021" s="34">
        <v>2021.0</v>
      </c>
      <c r="G1021" s="34" t="s">
        <v>1852</v>
      </c>
      <c r="H1021" s="34" t="s">
        <v>80</v>
      </c>
      <c r="I1021" s="34" t="s">
        <v>1853</v>
      </c>
      <c r="J1021" s="35"/>
      <c r="K1021" s="36"/>
      <c r="L1021" s="36"/>
      <c r="M1021" s="36"/>
      <c r="N1021" s="36"/>
      <c r="O1021" s="36"/>
      <c r="P1021" s="37">
        <v>-1.95</v>
      </c>
      <c r="Q1021" s="36" t="s">
        <v>96</v>
      </c>
      <c r="R1021" s="36" t="s">
        <v>96</v>
      </c>
      <c r="S1021" s="36"/>
      <c r="T1021" s="36" t="s">
        <v>284</v>
      </c>
      <c r="U1021" s="36" t="s">
        <v>194</v>
      </c>
      <c r="V1021" s="36">
        <v>610.0</v>
      </c>
      <c r="W1021" s="36"/>
      <c r="X1021" s="38">
        <v>1.0</v>
      </c>
      <c r="Y1021" s="38" t="s">
        <v>1858</v>
      </c>
      <c r="Z1021" s="38"/>
      <c r="AA1021" s="38" t="s">
        <v>336</v>
      </c>
      <c r="AB1021" s="38">
        <v>-2.86</v>
      </c>
      <c r="AC1021" s="38">
        <v>-54.96</v>
      </c>
      <c r="AD1021" s="38"/>
      <c r="AE1021" s="38">
        <v>194.0</v>
      </c>
      <c r="AF1021" s="38"/>
      <c r="AG1021" s="38"/>
      <c r="AH1021" s="38"/>
      <c r="AI1021" s="50">
        <v>-2.86</v>
      </c>
      <c r="AJ1021" s="50">
        <v>-54.96</v>
      </c>
      <c r="AK1021" s="41" t="s">
        <v>336</v>
      </c>
      <c r="AL1021" s="40"/>
      <c r="AM1021" s="49">
        <v>199.0</v>
      </c>
      <c r="AN1021" s="43"/>
      <c r="AO1021" s="42" t="s">
        <v>1024</v>
      </c>
      <c r="AP1021" s="43"/>
      <c r="AQ1021" s="44" t="str">
        <f t="shared" si="94"/>
        <v>EBF</v>
      </c>
      <c r="AR1021" s="44">
        <f t="shared" si="80"/>
        <v>199</v>
      </c>
      <c r="AS1021" s="44" t="str">
        <f t="shared" si="96"/>
        <v>A</v>
      </c>
      <c r="AT1021" s="44" t="s">
        <v>1024</v>
      </c>
      <c r="AU1021" s="44" t="str">
        <f t="shared" si="95"/>
        <v>Am</v>
      </c>
      <c r="AV1021" s="38">
        <v>1.0</v>
      </c>
      <c r="AW1021" s="38"/>
      <c r="AX1021" s="38"/>
      <c r="AY1021" s="38" t="s">
        <v>92</v>
      </c>
      <c r="AZ1021" s="29">
        <v>500.0</v>
      </c>
      <c r="BA1021" s="29">
        <v>1.0</v>
      </c>
      <c r="BB1021" s="29">
        <v>1.0</v>
      </c>
      <c r="BC1021" s="29"/>
      <c r="BD1021" s="29" t="s">
        <v>88</v>
      </c>
      <c r="BE1021" s="29"/>
      <c r="BF1021" s="29" t="s">
        <v>881</v>
      </c>
      <c r="BG1021" s="29" t="s">
        <v>203</v>
      </c>
      <c r="BH1021" s="29" t="s">
        <v>88</v>
      </c>
      <c r="BI1021" s="29" t="s">
        <v>1848</v>
      </c>
      <c r="BJ1021" s="29"/>
      <c r="BK1021" s="29" t="s">
        <v>148</v>
      </c>
      <c r="BL1021" s="29" t="s">
        <v>148</v>
      </c>
      <c r="BM1021" s="45"/>
      <c r="BN1021" s="45"/>
      <c r="BO1021" s="46"/>
      <c r="BP1021" s="2"/>
      <c r="BQ1021" s="3"/>
    </row>
    <row r="1022" ht="15.75" customHeight="1">
      <c r="A1022" s="34">
        <v>1035.0</v>
      </c>
      <c r="B1022" s="34">
        <v>203123.0</v>
      </c>
      <c r="C1022" s="34" t="s">
        <v>832</v>
      </c>
      <c r="D1022" s="34" t="s">
        <v>1850</v>
      </c>
      <c r="E1022" s="34" t="s">
        <v>1851</v>
      </c>
      <c r="F1022" s="34">
        <v>2021.0</v>
      </c>
      <c r="G1022" s="34" t="s">
        <v>1852</v>
      </c>
      <c r="H1022" s="34" t="s">
        <v>80</v>
      </c>
      <c r="I1022" s="34" t="s">
        <v>1853</v>
      </c>
      <c r="J1022" s="35"/>
      <c r="K1022" s="36"/>
      <c r="L1022" s="36"/>
      <c r="M1022" s="36"/>
      <c r="N1022" s="36"/>
      <c r="O1022" s="36"/>
      <c r="P1022" s="37">
        <v>39.09</v>
      </c>
      <c r="Q1022" s="36" t="s">
        <v>96</v>
      </c>
      <c r="R1022" s="36" t="s">
        <v>96</v>
      </c>
      <c r="S1022" s="36"/>
      <c r="T1022" s="36" t="s">
        <v>328</v>
      </c>
      <c r="U1022" s="36" t="s">
        <v>285</v>
      </c>
      <c r="V1022" s="36">
        <v>166.0</v>
      </c>
      <c r="W1022" s="36"/>
      <c r="X1022" s="38">
        <v>1.0</v>
      </c>
      <c r="Y1022" s="38" t="s">
        <v>1859</v>
      </c>
      <c r="Z1022" s="38"/>
      <c r="AA1022" s="38" t="s">
        <v>86</v>
      </c>
      <c r="AB1022" s="38">
        <v>-3.01</v>
      </c>
      <c r="AC1022" s="38">
        <v>-54.54</v>
      </c>
      <c r="AD1022" s="38"/>
      <c r="AE1022" s="38">
        <v>101.0</v>
      </c>
      <c r="AF1022" s="38"/>
      <c r="AG1022" s="38"/>
      <c r="AH1022" s="38"/>
      <c r="AI1022" s="50">
        <v>-3.01</v>
      </c>
      <c r="AJ1022" s="50">
        <v>-54.54</v>
      </c>
      <c r="AK1022" s="41" t="s">
        <v>200</v>
      </c>
      <c r="AL1022" s="40"/>
      <c r="AM1022" s="49">
        <v>69.0</v>
      </c>
      <c r="AN1022" s="43"/>
      <c r="AO1022" s="42" t="s">
        <v>1024</v>
      </c>
      <c r="AP1022" s="43"/>
      <c r="AQ1022" s="44" t="str">
        <f t="shared" si="94"/>
        <v>CRO</v>
      </c>
      <c r="AR1022" s="44">
        <f t="shared" si="80"/>
        <v>69</v>
      </c>
      <c r="AS1022" s="44" t="str">
        <f t="shared" si="96"/>
        <v>A</v>
      </c>
      <c r="AT1022" s="44" t="s">
        <v>1024</v>
      </c>
      <c r="AU1022" s="44" t="str">
        <f t="shared" si="95"/>
        <v>Am</v>
      </c>
      <c r="AV1022" s="38">
        <v>1.0</v>
      </c>
      <c r="AW1022" s="38"/>
      <c r="AX1022" s="38"/>
      <c r="AY1022" s="38" t="s">
        <v>92</v>
      </c>
      <c r="AZ1022" s="29">
        <v>500.0</v>
      </c>
      <c r="BA1022" s="29">
        <v>1.0</v>
      </c>
      <c r="BB1022" s="29">
        <v>1.0</v>
      </c>
      <c r="BC1022" s="29"/>
      <c r="BD1022" s="29" t="s">
        <v>88</v>
      </c>
      <c r="BE1022" s="29"/>
      <c r="BF1022" s="29" t="s">
        <v>881</v>
      </c>
      <c r="BG1022" s="29" t="s">
        <v>203</v>
      </c>
      <c r="BH1022" s="29" t="s">
        <v>88</v>
      </c>
      <c r="BI1022" s="29" t="s">
        <v>1848</v>
      </c>
      <c r="BJ1022" s="29"/>
      <c r="BK1022" s="29" t="s">
        <v>148</v>
      </c>
      <c r="BL1022" s="29" t="s">
        <v>148</v>
      </c>
      <c r="BM1022" s="45"/>
      <c r="BN1022" s="45"/>
      <c r="BO1022" s="46"/>
      <c r="BP1022" s="2"/>
      <c r="BQ1022" s="3"/>
    </row>
    <row r="1023" ht="15.75" customHeight="1">
      <c r="A1023" s="34">
        <v>1036.0</v>
      </c>
      <c r="B1023" s="34">
        <v>203123.0</v>
      </c>
      <c r="C1023" s="34" t="s">
        <v>832</v>
      </c>
      <c r="D1023" s="34" t="s">
        <v>1850</v>
      </c>
      <c r="E1023" s="34" t="s">
        <v>1851</v>
      </c>
      <c r="F1023" s="34">
        <v>2021.0</v>
      </c>
      <c r="G1023" s="34" t="s">
        <v>1852</v>
      </c>
      <c r="H1023" s="34" t="s">
        <v>80</v>
      </c>
      <c r="I1023" s="34" t="s">
        <v>1853</v>
      </c>
      <c r="J1023" s="35"/>
      <c r="K1023" s="36"/>
      <c r="L1023" s="36"/>
      <c r="M1023" s="36"/>
      <c r="N1023" s="36"/>
      <c r="O1023" s="36"/>
      <c r="P1023" s="37">
        <v>-9.08</v>
      </c>
      <c r="Q1023" s="36" t="s">
        <v>96</v>
      </c>
      <c r="R1023" s="36" t="s">
        <v>96</v>
      </c>
      <c r="S1023" s="36"/>
      <c r="T1023" s="36" t="s">
        <v>1860</v>
      </c>
      <c r="U1023" s="36" t="s">
        <v>295</v>
      </c>
      <c r="V1023" s="36">
        <v>345.0</v>
      </c>
      <c r="W1023" s="36"/>
      <c r="X1023" s="38">
        <v>1.0</v>
      </c>
      <c r="Y1023" s="38" t="s">
        <v>1861</v>
      </c>
      <c r="Z1023" s="38"/>
      <c r="AA1023" s="38" t="s">
        <v>336</v>
      </c>
      <c r="AB1023" s="38">
        <v>-3.02</v>
      </c>
      <c r="AC1023" s="38">
        <v>-54.97</v>
      </c>
      <c r="AD1023" s="38"/>
      <c r="AE1023" s="38">
        <v>181.0</v>
      </c>
      <c r="AF1023" s="38"/>
      <c r="AG1023" s="38"/>
      <c r="AH1023" s="38"/>
      <c r="AI1023" s="50">
        <v>-3.02</v>
      </c>
      <c r="AJ1023" s="50">
        <v>-54.97</v>
      </c>
      <c r="AK1023" s="41" t="s">
        <v>336</v>
      </c>
      <c r="AL1023" s="40"/>
      <c r="AM1023" s="49">
        <v>187.0</v>
      </c>
      <c r="AN1023" s="43"/>
      <c r="AO1023" s="42" t="s">
        <v>1024</v>
      </c>
      <c r="AP1023" s="43"/>
      <c r="AQ1023" s="44" t="str">
        <f t="shared" si="94"/>
        <v>EBF</v>
      </c>
      <c r="AR1023" s="44">
        <f t="shared" si="80"/>
        <v>187</v>
      </c>
      <c r="AS1023" s="44" t="str">
        <f t="shared" si="96"/>
        <v>A</v>
      </c>
      <c r="AT1023" s="44" t="s">
        <v>1024</v>
      </c>
      <c r="AU1023" s="44" t="str">
        <f t="shared" si="95"/>
        <v>Am</v>
      </c>
      <c r="AV1023" s="38">
        <v>1.0</v>
      </c>
      <c r="AW1023" s="38"/>
      <c r="AX1023" s="38"/>
      <c r="AY1023" s="38" t="s">
        <v>92</v>
      </c>
      <c r="AZ1023" s="29">
        <v>500.0</v>
      </c>
      <c r="BA1023" s="29">
        <v>1.0</v>
      </c>
      <c r="BB1023" s="29">
        <v>1.0</v>
      </c>
      <c r="BC1023" s="29"/>
      <c r="BD1023" s="29" t="s">
        <v>88</v>
      </c>
      <c r="BE1023" s="29"/>
      <c r="BF1023" s="29" t="s">
        <v>881</v>
      </c>
      <c r="BG1023" s="29" t="s">
        <v>203</v>
      </c>
      <c r="BH1023" s="29" t="s">
        <v>88</v>
      </c>
      <c r="BI1023" s="29" t="s">
        <v>1848</v>
      </c>
      <c r="BJ1023" s="29"/>
      <c r="BK1023" s="29" t="s">
        <v>148</v>
      </c>
      <c r="BL1023" s="29" t="s">
        <v>148</v>
      </c>
      <c r="BM1023" s="45"/>
      <c r="BN1023" s="45"/>
      <c r="BO1023" s="46"/>
      <c r="BP1023" s="2"/>
      <c r="BQ1023" s="3"/>
    </row>
    <row r="1024" ht="15.75" customHeight="1">
      <c r="A1024" s="34">
        <v>1037.0</v>
      </c>
      <c r="B1024" s="34">
        <v>203123.0</v>
      </c>
      <c r="C1024" s="34" t="s">
        <v>832</v>
      </c>
      <c r="D1024" s="34" t="s">
        <v>1850</v>
      </c>
      <c r="E1024" s="34" t="s">
        <v>1851</v>
      </c>
      <c r="F1024" s="34">
        <v>2021.0</v>
      </c>
      <c r="G1024" s="34" t="s">
        <v>1852</v>
      </c>
      <c r="H1024" s="34" t="s">
        <v>80</v>
      </c>
      <c r="I1024" s="34" t="s">
        <v>1853</v>
      </c>
      <c r="J1024" s="35"/>
      <c r="K1024" s="36"/>
      <c r="L1024" s="36"/>
      <c r="M1024" s="36"/>
      <c r="N1024" s="36"/>
      <c r="O1024" s="36"/>
      <c r="P1024" s="37">
        <v>21.69</v>
      </c>
      <c r="Q1024" s="36" t="s">
        <v>96</v>
      </c>
      <c r="R1024" s="36" t="s">
        <v>96</v>
      </c>
      <c r="S1024" s="36"/>
      <c r="T1024" s="36" t="s">
        <v>245</v>
      </c>
      <c r="U1024" s="36" t="s">
        <v>837</v>
      </c>
      <c r="V1024" s="36">
        <v>339.0</v>
      </c>
      <c r="W1024" s="36"/>
      <c r="X1024" s="38">
        <v>1.0</v>
      </c>
      <c r="Y1024" s="38" t="s">
        <v>1862</v>
      </c>
      <c r="Z1024" s="38"/>
      <c r="AA1024" s="38" t="s">
        <v>636</v>
      </c>
      <c r="AB1024" s="38">
        <v>-6.58</v>
      </c>
      <c r="AC1024" s="38">
        <v>-37.25</v>
      </c>
      <c r="AD1024" s="38"/>
      <c r="AE1024" s="38">
        <v>205.0</v>
      </c>
      <c r="AF1024" s="38"/>
      <c r="AG1024" s="38"/>
      <c r="AH1024" s="38"/>
      <c r="AI1024" s="50">
        <v>-6.58</v>
      </c>
      <c r="AJ1024" s="50">
        <v>-37.25</v>
      </c>
      <c r="AK1024" s="41" t="s">
        <v>291</v>
      </c>
      <c r="AL1024" s="40"/>
      <c r="AM1024" s="49">
        <v>192.0</v>
      </c>
      <c r="AN1024" s="43"/>
      <c r="AO1024" s="42" t="s">
        <v>304</v>
      </c>
      <c r="AP1024" s="43"/>
      <c r="AQ1024" s="44" t="str">
        <f t="shared" si="94"/>
        <v>DNF</v>
      </c>
      <c r="AR1024" s="44">
        <f t="shared" si="80"/>
        <v>192</v>
      </c>
      <c r="AS1024" s="44" t="str">
        <f t="shared" si="96"/>
        <v>B</v>
      </c>
      <c r="AT1024" s="44" t="s">
        <v>1863</v>
      </c>
      <c r="AU1024" s="44" t="str">
        <f t="shared" si="95"/>
        <v>BSh</v>
      </c>
      <c r="AV1024" s="38">
        <v>1.0</v>
      </c>
      <c r="AW1024" s="38"/>
      <c r="AX1024" s="38"/>
      <c r="AY1024" s="38" t="s">
        <v>92</v>
      </c>
      <c r="AZ1024" s="29">
        <v>500.0</v>
      </c>
      <c r="BA1024" s="29">
        <v>1.0</v>
      </c>
      <c r="BB1024" s="29">
        <v>1.0</v>
      </c>
      <c r="BC1024" s="29"/>
      <c r="BD1024" s="29" t="s">
        <v>88</v>
      </c>
      <c r="BE1024" s="29"/>
      <c r="BF1024" s="29" t="s">
        <v>881</v>
      </c>
      <c r="BG1024" s="29" t="s">
        <v>203</v>
      </c>
      <c r="BH1024" s="29" t="s">
        <v>88</v>
      </c>
      <c r="BI1024" s="29" t="s">
        <v>1848</v>
      </c>
      <c r="BJ1024" s="29"/>
      <c r="BK1024" s="29" t="s">
        <v>148</v>
      </c>
      <c r="BL1024" s="29" t="s">
        <v>148</v>
      </c>
      <c r="BM1024" s="45"/>
      <c r="BN1024" s="45"/>
      <c r="BO1024" s="46"/>
      <c r="BP1024" s="2"/>
      <c r="BQ1024" s="3"/>
    </row>
    <row r="1025" ht="15.75" customHeight="1">
      <c r="A1025" s="34">
        <v>1038.0</v>
      </c>
      <c r="B1025" s="34">
        <v>203123.0</v>
      </c>
      <c r="C1025" s="34" t="s">
        <v>832</v>
      </c>
      <c r="D1025" s="34" t="s">
        <v>1850</v>
      </c>
      <c r="E1025" s="34" t="s">
        <v>1851</v>
      </c>
      <c r="F1025" s="34">
        <v>2021.0</v>
      </c>
      <c r="G1025" s="34" t="s">
        <v>1852</v>
      </c>
      <c r="H1025" s="34" t="s">
        <v>80</v>
      </c>
      <c r="I1025" s="34" t="s">
        <v>1853</v>
      </c>
      <c r="J1025" s="35"/>
      <c r="K1025" s="36"/>
      <c r="L1025" s="36"/>
      <c r="M1025" s="36"/>
      <c r="N1025" s="36"/>
      <c r="O1025" s="36"/>
      <c r="P1025" s="37">
        <v>47.72</v>
      </c>
      <c r="Q1025" s="36" t="s">
        <v>96</v>
      </c>
      <c r="R1025" s="36" t="s">
        <v>96</v>
      </c>
      <c r="S1025" s="36"/>
      <c r="T1025" s="36" t="s">
        <v>1864</v>
      </c>
      <c r="U1025" s="36" t="s">
        <v>1865</v>
      </c>
      <c r="V1025" s="36">
        <v>554.0</v>
      </c>
      <c r="W1025" s="36"/>
      <c r="X1025" s="38">
        <v>1.0</v>
      </c>
      <c r="Y1025" s="38" t="s">
        <v>1866</v>
      </c>
      <c r="Z1025" s="38"/>
      <c r="AA1025" s="38" t="s">
        <v>636</v>
      </c>
      <c r="AB1025" s="38">
        <v>-7.96</v>
      </c>
      <c r="AC1025" s="38">
        <v>-38.38</v>
      </c>
      <c r="AD1025" s="38"/>
      <c r="AE1025" s="38">
        <v>468.0</v>
      </c>
      <c r="AF1025" s="38"/>
      <c r="AG1025" s="38"/>
      <c r="AH1025" s="38"/>
      <c r="AI1025" s="50">
        <v>-7.96</v>
      </c>
      <c r="AJ1025" s="50">
        <v>-38.38</v>
      </c>
      <c r="AK1025" s="41" t="s">
        <v>291</v>
      </c>
      <c r="AL1025" s="40"/>
      <c r="AM1025" s="49">
        <v>469.0</v>
      </c>
      <c r="AN1025" s="43"/>
      <c r="AO1025" s="42" t="s">
        <v>304</v>
      </c>
      <c r="AP1025" s="43"/>
      <c r="AQ1025" s="44" t="str">
        <f t="shared" si="94"/>
        <v>DNF</v>
      </c>
      <c r="AR1025" s="44">
        <f t="shared" si="80"/>
        <v>469</v>
      </c>
      <c r="AS1025" s="44" t="str">
        <f t="shared" si="96"/>
        <v>B</v>
      </c>
      <c r="AT1025" s="44" t="s">
        <v>1863</v>
      </c>
      <c r="AU1025" s="44" t="str">
        <f t="shared" si="95"/>
        <v>BSh</v>
      </c>
      <c r="AV1025" s="38">
        <v>1.0</v>
      </c>
      <c r="AW1025" s="38"/>
      <c r="AX1025" s="38"/>
      <c r="AY1025" s="38" t="s">
        <v>92</v>
      </c>
      <c r="AZ1025" s="29">
        <v>500.0</v>
      </c>
      <c r="BA1025" s="29">
        <v>1.0</v>
      </c>
      <c r="BB1025" s="29">
        <v>1.0</v>
      </c>
      <c r="BC1025" s="29"/>
      <c r="BD1025" s="29" t="s">
        <v>88</v>
      </c>
      <c r="BE1025" s="29"/>
      <c r="BF1025" s="29" t="s">
        <v>881</v>
      </c>
      <c r="BG1025" s="29" t="s">
        <v>203</v>
      </c>
      <c r="BH1025" s="29" t="s">
        <v>88</v>
      </c>
      <c r="BI1025" s="29" t="s">
        <v>1848</v>
      </c>
      <c r="BJ1025" s="29"/>
      <c r="BK1025" s="29" t="s">
        <v>148</v>
      </c>
      <c r="BL1025" s="29" t="s">
        <v>148</v>
      </c>
      <c r="BM1025" s="45"/>
      <c r="BN1025" s="45"/>
      <c r="BO1025" s="46"/>
      <c r="BP1025" s="2"/>
      <c r="BQ1025" s="3"/>
    </row>
    <row r="1026" ht="15.75" customHeight="1">
      <c r="A1026" s="34">
        <v>1039.0</v>
      </c>
      <c r="B1026" s="34">
        <v>203123.0</v>
      </c>
      <c r="C1026" s="34" t="s">
        <v>832</v>
      </c>
      <c r="D1026" s="34" t="s">
        <v>1850</v>
      </c>
      <c r="E1026" s="34" t="s">
        <v>1851</v>
      </c>
      <c r="F1026" s="34">
        <v>2021.0</v>
      </c>
      <c r="G1026" s="34" t="s">
        <v>1852</v>
      </c>
      <c r="H1026" s="34" t="s">
        <v>80</v>
      </c>
      <c r="I1026" s="34" t="s">
        <v>1853</v>
      </c>
      <c r="J1026" s="35"/>
      <c r="K1026" s="36"/>
      <c r="L1026" s="36"/>
      <c r="M1026" s="36"/>
      <c r="N1026" s="36"/>
      <c r="O1026" s="36"/>
      <c r="P1026" s="37">
        <v>21.67</v>
      </c>
      <c r="Q1026" s="36" t="s">
        <v>96</v>
      </c>
      <c r="R1026" s="36" t="s">
        <v>96</v>
      </c>
      <c r="S1026" s="36"/>
      <c r="T1026" s="36" t="s">
        <v>167</v>
      </c>
      <c r="U1026" s="36" t="s">
        <v>245</v>
      </c>
      <c r="V1026" s="36">
        <v>253.0</v>
      </c>
      <c r="W1026" s="36"/>
      <c r="X1026" s="38">
        <v>1.0</v>
      </c>
      <c r="Y1026" s="38" t="s">
        <v>1867</v>
      </c>
      <c r="Z1026" s="38"/>
      <c r="AA1026" s="38" t="s">
        <v>288</v>
      </c>
      <c r="AB1026" s="38">
        <v>-8.81</v>
      </c>
      <c r="AC1026" s="38">
        <v>-36.41</v>
      </c>
      <c r="AD1026" s="38"/>
      <c r="AE1026" s="38">
        <v>702.0</v>
      </c>
      <c r="AF1026" s="38"/>
      <c r="AG1026" s="38"/>
      <c r="AH1026" s="38"/>
      <c r="AI1026" s="50">
        <v>-8.81</v>
      </c>
      <c r="AJ1026" s="50">
        <v>-36.41</v>
      </c>
      <c r="AK1026" s="41" t="s">
        <v>86</v>
      </c>
      <c r="AL1026" s="40"/>
      <c r="AM1026" s="49">
        <v>688.0</v>
      </c>
      <c r="AN1026" s="43"/>
      <c r="AO1026" s="42" t="s">
        <v>335</v>
      </c>
      <c r="AP1026" s="43"/>
      <c r="AQ1026" s="44" t="str">
        <f t="shared" si="94"/>
        <v>GRA</v>
      </c>
      <c r="AR1026" s="44">
        <f t="shared" si="80"/>
        <v>688</v>
      </c>
      <c r="AS1026" s="44" t="str">
        <f t="shared" si="96"/>
        <v>A</v>
      </c>
      <c r="AT1026" s="44" t="s">
        <v>335</v>
      </c>
      <c r="AU1026" s="44" t="str">
        <f t="shared" si="95"/>
        <v>Aw</v>
      </c>
      <c r="AV1026" s="38">
        <v>1.0</v>
      </c>
      <c r="AW1026" s="38"/>
      <c r="AX1026" s="38"/>
      <c r="AY1026" s="38" t="s">
        <v>92</v>
      </c>
      <c r="AZ1026" s="29">
        <v>500.0</v>
      </c>
      <c r="BA1026" s="29">
        <v>1.0</v>
      </c>
      <c r="BB1026" s="29">
        <v>1.0</v>
      </c>
      <c r="BC1026" s="29"/>
      <c r="BD1026" s="29" t="s">
        <v>88</v>
      </c>
      <c r="BE1026" s="29"/>
      <c r="BF1026" s="29" t="s">
        <v>881</v>
      </c>
      <c r="BG1026" s="29" t="s">
        <v>203</v>
      </c>
      <c r="BH1026" s="29" t="s">
        <v>88</v>
      </c>
      <c r="BI1026" s="29" t="s">
        <v>1848</v>
      </c>
      <c r="BJ1026" s="29"/>
      <c r="BK1026" s="29" t="s">
        <v>148</v>
      </c>
      <c r="BL1026" s="29" t="s">
        <v>148</v>
      </c>
      <c r="BM1026" s="45"/>
      <c r="BN1026" s="45"/>
      <c r="BO1026" s="46"/>
      <c r="BP1026" s="2"/>
      <c r="BQ1026" s="3"/>
    </row>
    <row r="1027" ht="15.75" customHeight="1">
      <c r="A1027" s="34">
        <v>1040.0</v>
      </c>
      <c r="B1027" s="34">
        <v>203123.0</v>
      </c>
      <c r="C1027" s="34" t="s">
        <v>832</v>
      </c>
      <c r="D1027" s="34" t="s">
        <v>1850</v>
      </c>
      <c r="E1027" s="34" t="s">
        <v>1851</v>
      </c>
      <c r="F1027" s="34">
        <v>2021.0</v>
      </c>
      <c r="G1027" s="34" t="s">
        <v>1852</v>
      </c>
      <c r="H1027" s="34" t="s">
        <v>80</v>
      </c>
      <c r="I1027" s="34" t="s">
        <v>1853</v>
      </c>
      <c r="J1027" s="35"/>
      <c r="K1027" s="36"/>
      <c r="L1027" s="36"/>
      <c r="M1027" s="36"/>
      <c r="N1027" s="36"/>
      <c r="O1027" s="36"/>
      <c r="P1027" s="37">
        <v>3.56</v>
      </c>
      <c r="Q1027" s="36" t="s">
        <v>96</v>
      </c>
      <c r="R1027" s="36" t="s">
        <v>96</v>
      </c>
      <c r="S1027" s="36"/>
      <c r="T1027" s="36" t="s">
        <v>233</v>
      </c>
      <c r="U1027" s="36" t="s">
        <v>242</v>
      </c>
      <c r="V1027" s="36">
        <v>285.0</v>
      </c>
      <c r="W1027" s="36"/>
      <c r="X1027" s="38">
        <v>1.0</v>
      </c>
      <c r="Y1027" s="38" t="s">
        <v>1868</v>
      </c>
      <c r="Z1027" s="38"/>
      <c r="AA1027" s="38" t="s">
        <v>636</v>
      </c>
      <c r="AB1027" s="38">
        <v>-9.05</v>
      </c>
      <c r="AC1027" s="38">
        <v>-40.32</v>
      </c>
      <c r="AD1027" s="38"/>
      <c r="AE1027" s="38">
        <v>391.0</v>
      </c>
      <c r="AF1027" s="38"/>
      <c r="AG1027" s="38"/>
      <c r="AH1027" s="38"/>
      <c r="AI1027" s="50">
        <v>-9.05</v>
      </c>
      <c r="AJ1027" s="50">
        <v>-40.32</v>
      </c>
      <c r="AK1027" s="41" t="s">
        <v>291</v>
      </c>
      <c r="AL1027" s="40"/>
      <c r="AM1027" s="49">
        <v>390.0</v>
      </c>
      <c r="AN1027" s="43"/>
      <c r="AO1027" s="42" t="s">
        <v>304</v>
      </c>
      <c r="AP1027" s="43"/>
      <c r="AQ1027" s="44" t="str">
        <f t="shared" si="94"/>
        <v>DNF</v>
      </c>
      <c r="AR1027" s="44">
        <f t="shared" si="80"/>
        <v>390</v>
      </c>
      <c r="AS1027" s="44" t="str">
        <f t="shared" si="96"/>
        <v>B</v>
      </c>
      <c r="AT1027" s="44" t="s">
        <v>1863</v>
      </c>
      <c r="AU1027" s="44" t="str">
        <f t="shared" si="95"/>
        <v>BSh</v>
      </c>
      <c r="AV1027" s="38">
        <v>1.0</v>
      </c>
      <c r="AW1027" s="38"/>
      <c r="AX1027" s="38"/>
      <c r="AY1027" s="38" t="s">
        <v>92</v>
      </c>
      <c r="AZ1027" s="29">
        <v>500.0</v>
      </c>
      <c r="BA1027" s="29">
        <v>1.0</v>
      </c>
      <c r="BB1027" s="29">
        <v>1.0</v>
      </c>
      <c r="BC1027" s="29"/>
      <c r="BD1027" s="29" t="s">
        <v>88</v>
      </c>
      <c r="BE1027" s="29"/>
      <c r="BF1027" s="29" t="s">
        <v>881</v>
      </c>
      <c r="BG1027" s="29" t="s">
        <v>203</v>
      </c>
      <c r="BH1027" s="29" t="s">
        <v>88</v>
      </c>
      <c r="BI1027" s="29" t="s">
        <v>1848</v>
      </c>
      <c r="BJ1027" s="29"/>
      <c r="BK1027" s="29" t="s">
        <v>148</v>
      </c>
      <c r="BL1027" s="29" t="s">
        <v>148</v>
      </c>
      <c r="BM1027" s="45"/>
      <c r="BN1027" s="45"/>
      <c r="BO1027" s="46"/>
      <c r="BP1027" s="2"/>
      <c r="BQ1027" s="3"/>
    </row>
    <row r="1028" ht="15.75" customHeight="1">
      <c r="A1028" s="34">
        <v>1041.0</v>
      </c>
      <c r="B1028" s="34">
        <v>203123.0</v>
      </c>
      <c r="C1028" s="34" t="s">
        <v>832</v>
      </c>
      <c r="D1028" s="34" t="s">
        <v>1850</v>
      </c>
      <c r="E1028" s="34" t="s">
        <v>1851</v>
      </c>
      <c r="F1028" s="34">
        <v>2021.0</v>
      </c>
      <c r="G1028" s="34" t="s">
        <v>1852</v>
      </c>
      <c r="H1028" s="34" t="s">
        <v>80</v>
      </c>
      <c r="I1028" s="34" t="s">
        <v>1853</v>
      </c>
      <c r="J1028" s="35"/>
      <c r="K1028" s="36"/>
      <c r="L1028" s="36"/>
      <c r="M1028" s="36"/>
      <c r="N1028" s="36"/>
      <c r="O1028" s="36"/>
      <c r="P1028" s="37">
        <v>-25.61</v>
      </c>
      <c r="Q1028" s="36" t="s">
        <v>96</v>
      </c>
      <c r="R1028" s="36" t="s">
        <v>96</v>
      </c>
      <c r="S1028" s="36"/>
      <c r="T1028" s="36" t="s">
        <v>1869</v>
      </c>
      <c r="U1028" s="36" t="s">
        <v>350</v>
      </c>
      <c r="V1028" s="36">
        <v>427.0</v>
      </c>
      <c r="W1028" s="36"/>
      <c r="X1028" s="38">
        <v>1.0</v>
      </c>
      <c r="Y1028" s="38" t="s">
        <v>1870</v>
      </c>
      <c r="Z1028" s="38"/>
      <c r="AA1028" s="38" t="s">
        <v>200</v>
      </c>
      <c r="AB1028" s="38">
        <v>-9.82</v>
      </c>
      <c r="AC1028" s="38">
        <v>-50.16</v>
      </c>
      <c r="AD1028" s="38"/>
      <c r="AE1028" s="38">
        <v>168.0</v>
      </c>
      <c r="AF1028" s="38"/>
      <c r="AG1028" s="38"/>
      <c r="AH1028" s="38"/>
      <c r="AI1028" s="50">
        <v>-9.82</v>
      </c>
      <c r="AJ1028" s="50">
        <v>-50.16</v>
      </c>
      <c r="AK1028" s="41" t="s">
        <v>336</v>
      </c>
      <c r="AL1028" s="40"/>
      <c r="AM1028" s="49">
        <v>177.0</v>
      </c>
      <c r="AN1028" s="43"/>
      <c r="AO1028" s="42" t="s">
        <v>335</v>
      </c>
      <c r="AP1028" s="43"/>
      <c r="AQ1028" s="44" t="str">
        <f t="shared" si="94"/>
        <v>WSA</v>
      </c>
      <c r="AR1028" s="44">
        <f t="shared" si="80"/>
        <v>177</v>
      </c>
      <c r="AS1028" s="44" t="str">
        <f t="shared" si="96"/>
        <v>A</v>
      </c>
      <c r="AT1028" s="44" t="s">
        <v>335</v>
      </c>
      <c r="AU1028" s="44" t="str">
        <f t="shared" si="95"/>
        <v>Aw</v>
      </c>
      <c r="AV1028" s="38">
        <v>1.0</v>
      </c>
      <c r="AW1028" s="38"/>
      <c r="AX1028" s="38"/>
      <c r="AY1028" s="38" t="s">
        <v>92</v>
      </c>
      <c r="AZ1028" s="29">
        <v>500.0</v>
      </c>
      <c r="BA1028" s="29">
        <v>1.0</v>
      </c>
      <c r="BB1028" s="29">
        <v>1.0</v>
      </c>
      <c r="BC1028" s="29"/>
      <c r="BD1028" s="29" t="s">
        <v>88</v>
      </c>
      <c r="BE1028" s="29"/>
      <c r="BF1028" s="29" t="s">
        <v>881</v>
      </c>
      <c r="BG1028" s="29" t="s">
        <v>203</v>
      </c>
      <c r="BH1028" s="29" t="s">
        <v>88</v>
      </c>
      <c r="BI1028" s="29" t="s">
        <v>1848</v>
      </c>
      <c r="BJ1028" s="29"/>
      <c r="BK1028" s="29" t="s">
        <v>148</v>
      </c>
      <c r="BL1028" s="29" t="s">
        <v>148</v>
      </c>
      <c r="BM1028" s="45"/>
      <c r="BN1028" s="45"/>
      <c r="BO1028" s="46"/>
      <c r="BP1028" s="2"/>
      <c r="BQ1028" s="3"/>
    </row>
    <row r="1029" ht="15.75" customHeight="1">
      <c r="A1029" s="34">
        <v>1042.0</v>
      </c>
      <c r="B1029" s="34">
        <v>203123.0</v>
      </c>
      <c r="C1029" s="34" t="s">
        <v>832</v>
      </c>
      <c r="D1029" s="34" t="s">
        <v>1850</v>
      </c>
      <c r="E1029" s="34" t="s">
        <v>1851</v>
      </c>
      <c r="F1029" s="34">
        <v>2021.0</v>
      </c>
      <c r="G1029" s="34" t="s">
        <v>1852</v>
      </c>
      <c r="H1029" s="34" t="s">
        <v>80</v>
      </c>
      <c r="I1029" s="34" t="s">
        <v>1853</v>
      </c>
      <c r="J1029" s="35"/>
      <c r="K1029" s="36"/>
      <c r="L1029" s="36"/>
      <c r="M1029" s="36"/>
      <c r="N1029" s="36"/>
      <c r="O1029" s="36"/>
      <c r="P1029" s="37">
        <v>-1.39</v>
      </c>
      <c r="Q1029" s="36" t="s">
        <v>96</v>
      </c>
      <c r="R1029" s="36" t="s">
        <v>96</v>
      </c>
      <c r="S1029" s="36"/>
      <c r="T1029" s="36" t="s">
        <v>356</v>
      </c>
      <c r="U1029" s="36" t="s">
        <v>193</v>
      </c>
      <c r="V1029" s="36">
        <v>241.0</v>
      </c>
      <c r="W1029" s="36"/>
      <c r="X1029" s="38">
        <v>1.0</v>
      </c>
      <c r="Y1029" s="38" t="s">
        <v>1871</v>
      </c>
      <c r="Z1029" s="38"/>
      <c r="AA1029" s="38" t="s">
        <v>370</v>
      </c>
      <c r="AB1029" s="38">
        <v>-10.08</v>
      </c>
      <c r="AC1029" s="38">
        <v>-61.93</v>
      </c>
      <c r="AD1029" s="38"/>
      <c r="AE1029" s="38">
        <v>180.0</v>
      </c>
      <c r="AF1029" s="38"/>
      <c r="AG1029" s="38"/>
      <c r="AH1029" s="38"/>
      <c r="AI1029" s="50">
        <v>-10.08</v>
      </c>
      <c r="AJ1029" s="50">
        <v>-61.93</v>
      </c>
      <c r="AK1029" s="41" t="s">
        <v>336</v>
      </c>
      <c r="AL1029" s="40"/>
      <c r="AM1029" s="49">
        <v>148.0</v>
      </c>
      <c r="AN1029" s="43"/>
      <c r="AO1029" s="42" t="s">
        <v>335</v>
      </c>
      <c r="AP1029" s="43"/>
      <c r="AQ1029" s="44" t="str">
        <f t="shared" si="94"/>
        <v>DBF</v>
      </c>
      <c r="AR1029" s="44">
        <f t="shared" si="80"/>
        <v>148</v>
      </c>
      <c r="AS1029" s="44" t="str">
        <f t="shared" si="96"/>
        <v>A</v>
      </c>
      <c r="AT1029" s="44" t="s">
        <v>335</v>
      </c>
      <c r="AU1029" s="44" t="str">
        <f t="shared" si="95"/>
        <v>Aw</v>
      </c>
      <c r="AV1029" s="38">
        <v>1.0</v>
      </c>
      <c r="AW1029" s="38"/>
      <c r="AX1029" s="38"/>
      <c r="AY1029" s="38" t="s">
        <v>92</v>
      </c>
      <c r="AZ1029" s="29">
        <v>500.0</v>
      </c>
      <c r="BA1029" s="29">
        <v>1.0</v>
      </c>
      <c r="BB1029" s="29">
        <v>1.0</v>
      </c>
      <c r="BC1029" s="29"/>
      <c r="BD1029" s="29" t="s">
        <v>88</v>
      </c>
      <c r="BE1029" s="29"/>
      <c r="BF1029" s="29" t="s">
        <v>881</v>
      </c>
      <c r="BG1029" s="29" t="s">
        <v>203</v>
      </c>
      <c r="BH1029" s="29" t="s">
        <v>88</v>
      </c>
      <c r="BI1029" s="29" t="s">
        <v>1848</v>
      </c>
      <c r="BJ1029" s="29"/>
      <c r="BK1029" s="29" t="s">
        <v>148</v>
      </c>
      <c r="BL1029" s="29" t="s">
        <v>148</v>
      </c>
      <c r="BM1029" s="45"/>
      <c r="BN1029" s="45"/>
      <c r="BO1029" s="46"/>
      <c r="BP1029" s="2"/>
      <c r="BQ1029" s="3"/>
    </row>
    <row r="1030" ht="15.75" customHeight="1">
      <c r="A1030" s="34">
        <v>1043.0</v>
      </c>
      <c r="B1030" s="34">
        <v>203123.0</v>
      </c>
      <c r="C1030" s="34" t="s">
        <v>832</v>
      </c>
      <c r="D1030" s="34" t="s">
        <v>1850</v>
      </c>
      <c r="E1030" s="34" t="s">
        <v>1851</v>
      </c>
      <c r="F1030" s="34">
        <v>2021.0</v>
      </c>
      <c r="G1030" s="34" t="s">
        <v>1852</v>
      </c>
      <c r="H1030" s="34" t="s">
        <v>80</v>
      </c>
      <c r="I1030" s="34" t="s">
        <v>1853</v>
      </c>
      <c r="J1030" s="35"/>
      <c r="K1030" s="36"/>
      <c r="L1030" s="36"/>
      <c r="M1030" s="36"/>
      <c r="N1030" s="36"/>
      <c r="O1030" s="36"/>
      <c r="P1030" s="37">
        <v>3.83</v>
      </c>
      <c r="Q1030" s="36" t="s">
        <v>96</v>
      </c>
      <c r="R1030" s="36" t="s">
        <v>96</v>
      </c>
      <c r="S1030" s="36"/>
      <c r="T1030" s="36" t="s">
        <v>1872</v>
      </c>
      <c r="U1030" s="36" t="s">
        <v>1873</v>
      </c>
      <c r="V1030" s="36">
        <v>558.0</v>
      </c>
      <c r="W1030" s="36"/>
      <c r="X1030" s="38">
        <v>1.0</v>
      </c>
      <c r="Y1030" s="38" t="s">
        <v>1874</v>
      </c>
      <c r="Z1030" s="38"/>
      <c r="AA1030" s="38" t="s">
        <v>288</v>
      </c>
      <c r="AB1030" s="38">
        <v>-10.77</v>
      </c>
      <c r="AC1030" s="38">
        <v>-62.34</v>
      </c>
      <c r="AD1030" s="38"/>
      <c r="AE1030" s="38">
        <v>240.0</v>
      </c>
      <c r="AF1030" s="38"/>
      <c r="AG1030" s="38"/>
      <c r="AH1030" s="38"/>
      <c r="AI1030" s="50">
        <v>-10.77</v>
      </c>
      <c r="AJ1030" s="50">
        <v>-62.34</v>
      </c>
      <c r="AK1030" s="41" t="s">
        <v>313</v>
      </c>
      <c r="AL1030" s="40"/>
      <c r="AM1030" s="49">
        <v>267.0</v>
      </c>
      <c r="AN1030" s="43"/>
      <c r="AO1030" s="42" t="s">
        <v>335</v>
      </c>
      <c r="AP1030" s="43"/>
      <c r="AQ1030" s="44" t="str">
        <f t="shared" si="94"/>
        <v>GRA</v>
      </c>
      <c r="AR1030" s="44">
        <f t="shared" si="80"/>
        <v>267</v>
      </c>
      <c r="AS1030" s="44" t="str">
        <f t="shared" si="96"/>
        <v>A</v>
      </c>
      <c r="AT1030" s="44" t="s">
        <v>335</v>
      </c>
      <c r="AU1030" s="44" t="str">
        <f t="shared" si="95"/>
        <v>Aw</v>
      </c>
      <c r="AV1030" s="38">
        <v>1.0</v>
      </c>
      <c r="AW1030" s="38"/>
      <c r="AX1030" s="38"/>
      <c r="AY1030" s="38" t="s">
        <v>92</v>
      </c>
      <c r="AZ1030" s="29">
        <v>500.0</v>
      </c>
      <c r="BA1030" s="29">
        <v>1.0</v>
      </c>
      <c r="BB1030" s="29">
        <v>1.0</v>
      </c>
      <c r="BC1030" s="29"/>
      <c r="BD1030" s="29" t="s">
        <v>88</v>
      </c>
      <c r="BE1030" s="29"/>
      <c r="BF1030" s="29" t="s">
        <v>881</v>
      </c>
      <c r="BG1030" s="29" t="s">
        <v>203</v>
      </c>
      <c r="BH1030" s="29" t="s">
        <v>88</v>
      </c>
      <c r="BI1030" s="29" t="s">
        <v>1848</v>
      </c>
      <c r="BJ1030" s="29"/>
      <c r="BK1030" s="29" t="s">
        <v>148</v>
      </c>
      <c r="BL1030" s="29" t="s">
        <v>148</v>
      </c>
      <c r="BM1030" s="45"/>
      <c r="BN1030" s="45"/>
      <c r="BO1030" s="46"/>
      <c r="BP1030" s="2"/>
      <c r="BQ1030" s="3"/>
    </row>
    <row r="1031" ht="15.75" customHeight="1">
      <c r="A1031" s="34">
        <v>1044.0</v>
      </c>
      <c r="B1031" s="34">
        <v>203123.0</v>
      </c>
      <c r="C1031" s="34" t="s">
        <v>832</v>
      </c>
      <c r="D1031" s="34" t="s">
        <v>1850</v>
      </c>
      <c r="E1031" s="34" t="s">
        <v>1851</v>
      </c>
      <c r="F1031" s="34">
        <v>2021.0</v>
      </c>
      <c r="G1031" s="34" t="s">
        <v>1852</v>
      </c>
      <c r="H1031" s="34" t="s">
        <v>80</v>
      </c>
      <c r="I1031" s="34" t="s">
        <v>1853</v>
      </c>
      <c r="J1031" s="35"/>
      <c r="K1031" s="36"/>
      <c r="L1031" s="36"/>
      <c r="M1031" s="36"/>
      <c r="N1031" s="36"/>
      <c r="O1031" s="36"/>
      <c r="P1031" s="37">
        <v>-22.19</v>
      </c>
      <c r="Q1031" s="36" t="s">
        <v>96</v>
      </c>
      <c r="R1031" s="36" t="s">
        <v>96</v>
      </c>
      <c r="S1031" s="36"/>
      <c r="T1031" s="36" t="s">
        <v>350</v>
      </c>
      <c r="U1031" s="36" t="s">
        <v>506</v>
      </c>
      <c r="V1031" s="36">
        <v>118.0</v>
      </c>
      <c r="W1031" s="36"/>
      <c r="X1031" s="38">
        <v>1.0</v>
      </c>
      <c r="Y1031" s="38" t="s">
        <v>1875</v>
      </c>
      <c r="Z1031" s="38"/>
      <c r="AA1031" s="38" t="s">
        <v>200</v>
      </c>
      <c r="AB1031" s="38">
        <v>-11.41</v>
      </c>
      <c r="AC1031" s="38">
        <v>-55.32</v>
      </c>
      <c r="AD1031" s="38"/>
      <c r="AE1031" s="38">
        <v>349.0</v>
      </c>
      <c r="AF1031" s="38"/>
      <c r="AG1031" s="38"/>
      <c r="AH1031" s="38"/>
      <c r="AI1031" s="50">
        <v>-11.41</v>
      </c>
      <c r="AJ1031" s="50">
        <v>-55.32</v>
      </c>
      <c r="AK1031" s="41" t="s">
        <v>336</v>
      </c>
      <c r="AL1031" s="40"/>
      <c r="AM1031" s="49">
        <v>317.0</v>
      </c>
      <c r="AN1031" s="43"/>
      <c r="AO1031" s="42" t="s">
        <v>335</v>
      </c>
      <c r="AP1031" s="43"/>
      <c r="AQ1031" s="44" t="str">
        <f t="shared" si="94"/>
        <v>WSA</v>
      </c>
      <c r="AR1031" s="44">
        <f t="shared" si="80"/>
        <v>317</v>
      </c>
      <c r="AS1031" s="44" t="str">
        <f t="shared" si="96"/>
        <v>A</v>
      </c>
      <c r="AT1031" s="44" t="s">
        <v>335</v>
      </c>
      <c r="AU1031" s="44" t="str">
        <f t="shared" si="95"/>
        <v>Aw</v>
      </c>
      <c r="AV1031" s="38">
        <v>1.0</v>
      </c>
      <c r="AW1031" s="38"/>
      <c r="AX1031" s="38"/>
      <c r="AY1031" s="38" t="s">
        <v>92</v>
      </c>
      <c r="AZ1031" s="29">
        <v>500.0</v>
      </c>
      <c r="BA1031" s="29">
        <v>1.0</v>
      </c>
      <c r="BB1031" s="29">
        <v>1.0</v>
      </c>
      <c r="BC1031" s="29"/>
      <c r="BD1031" s="29" t="s">
        <v>88</v>
      </c>
      <c r="BE1031" s="29"/>
      <c r="BF1031" s="29" t="s">
        <v>881</v>
      </c>
      <c r="BG1031" s="29" t="s">
        <v>203</v>
      </c>
      <c r="BH1031" s="29" t="s">
        <v>88</v>
      </c>
      <c r="BI1031" s="29" t="s">
        <v>1848</v>
      </c>
      <c r="BJ1031" s="29"/>
      <c r="BK1031" s="29" t="s">
        <v>148</v>
      </c>
      <c r="BL1031" s="29" t="s">
        <v>148</v>
      </c>
      <c r="BM1031" s="45"/>
      <c r="BN1031" s="45"/>
      <c r="BO1031" s="46"/>
      <c r="BP1031" s="2"/>
      <c r="BQ1031" s="3"/>
    </row>
    <row r="1032" ht="15.75" customHeight="1">
      <c r="A1032" s="34">
        <v>1045.0</v>
      </c>
      <c r="B1032" s="34">
        <v>203123.0</v>
      </c>
      <c r="C1032" s="34" t="s">
        <v>832</v>
      </c>
      <c r="D1032" s="34" t="s">
        <v>1850</v>
      </c>
      <c r="E1032" s="34" t="s">
        <v>1851</v>
      </c>
      <c r="F1032" s="34">
        <v>2021.0</v>
      </c>
      <c r="G1032" s="34" t="s">
        <v>1852</v>
      </c>
      <c r="H1032" s="34" t="s">
        <v>80</v>
      </c>
      <c r="I1032" s="34" t="s">
        <v>1853</v>
      </c>
      <c r="J1032" s="35"/>
      <c r="K1032" s="36"/>
      <c r="L1032" s="36"/>
      <c r="M1032" s="36"/>
      <c r="N1032" s="36"/>
      <c r="O1032" s="36"/>
      <c r="P1032" s="37">
        <v>-12.76</v>
      </c>
      <c r="Q1032" s="36" t="s">
        <v>96</v>
      </c>
      <c r="R1032" s="36" t="s">
        <v>96</v>
      </c>
      <c r="S1032" s="36"/>
      <c r="T1032" s="36" t="s">
        <v>233</v>
      </c>
      <c r="U1032" s="36" t="s">
        <v>1876</v>
      </c>
      <c r="V1032" s="36">
        <v>152.0</v>
      </c>
      <c r="W1032" s="36"/>
      <c r="X1032" s="38">
        <v>1.0</v>
      </c>
      <c r="Y1032" s="38" t="s">
        <v>1877</v>
      </c>
      <c r="Z1032" s="38"/>
      <c r="AA1032" s="38" t="s">
        <v>452</v>
      </c>
      <c r="AB1032" s="38">
        <v>-15.72</v>
      </c>
      <c r="AC1032" s="38">
        <v>-56.07</v>
      </c>
      <c r="AD1032" s="38"/>
      <c r="AE1032" s="38">
        <v>154.0</v>
      </c>
      <c r="AF1032" s="38"/>
      <c r="AG1032" s="38"/>
      <c r="AH1032" s="38"/>
      <c r="AI1032" s="50">
        <v>-15.72</v>
      </c>
      <c r="AJ1032" s="50">
        <v>-56.07</v>
      </c>
      <c r="AK1032" s="41" t="s">
        <v>86</v>
      </c>
      <c r="AL1032" s="40"/>
      <c r="AM1032" s="49">
        <v>181.0</v>
      </c>
      <c r="AN1032" s="43"/>
      <c r="AO1032" s="42" t="s">
        <v>335</v>
      </c>
      <c r="AP1032" s="43"/>
      <c r="AQ1032" s="44" t="str">
        <f t="shared" si="94"/>
        <v>MF</v>
      </c>
      <c r="AR1032" s="44">
        <f t="shared" si="80"/>
        <v>181</v>
      </c>
      <c r="AS1032" s="44" t="str">
        <f t="shared" si="96"/>
        <v>A</v>
      </c>
      <c r="AT1032" s="44" t="s">
        <v>335</v>
      </c>
      <c r="AU1032" s="44" t="str">
        <f t="shared" si="95"/>
        <v>Aw</v>
      </c>
      <c r="AV1032" s="38">
        <v>1.0</v>
      </c>
      <c r="AW1032" s="38"/>
      <c r="AX1032" s="38"/>
      <c r="AY1032" s="38" t="s">
        <v>92</v>
      </c>
      <c r="AZ1032" s="29">
        <v>500.0</v>
      </c>
      <c r="BA1032" s="29">
        <v>1.0</v>
      </c>
      <c r="BB1032" s="29">
        <v>1.0</v>
      </c>
      <c r="BC1032" s="29"/>
      <c r="BD1032" s="29" t="s">
        <v>88</v>
      </c>
      <c r="BE1032" s="29"/>
      <c r="BF1032" s="29" t="s">
        <v>881</v>
      </c>
      <c r="BG1032" s="29" t="s">
        <v>203</v>
      </c>
      <c r="BH1032" s="29" t="s">
        <v>88</v>
      </c>
      <c r="BI1032" s="29" t="s">
        <v>1848</v>
      </c>
      <c r="BJ1032" s="29"/>
      <c r="BK1032" s="29" t="s">
        <v>148</v>
      </c>
      <c r="BL1032" s="29" t="s">
        <v>148</v>
      </c>
      <c r="BM1032" s="45"/>
      <c r="BN1032" s="45"/>
      <c r="BO1032" s="46"/>
      <c r="BP1032" s="2"/>
      <c r="BQ1032" s="3"/>
    </row>
    <row r="1033" ht="15.75" customHeight="1">
      <c r="A1033" s="34">
        <v>1046.0</v>
      </c>
      <c r="B1033" s="34">
        <v>203123.0</v>
      </c>
      <c r="C1033" s="34" t="s">
        <v>832</v>
      </c>
      <c r="D1033" s="34" t="s">
        <v>1850</v>
      </c>
      <c r="E1033" s="34" t="s">
        <v>1851</v>
      </c>
      <c r="F1033" s="34">
        <v>2021.0</v>
      </c>
      <c r="G1033" s="34" t="s">
        <v>1852</v>
      </c>
      <c r="H1033" s="34" t="s">
        <v>80</v>
      </c>
      <c r="I1033" s="34" t="s">
        <v>1853</v>
      </c>
      <c r="J1033" s="35"/>
      <c r="K1033" s="36"/>
      <c r="L1033" s="36"/>
      <c r="M1033" s="36"/>
      <c r="N1033" s="36"/>
      <c r="O1033" s="36"/>
      <c r="P1033" s="37">
        <v>-41.62</v>
      </c>
      <c r="Q1033" s="36" t="s">
        <v>96</v>
      </c>
      <c r="R1033" s="36" t="s">
        <v>96</v>
      </c>
      <c r="S1033" s="36"/>
      <c r="T1033" s="36" t="s">
        <v>245</v>
      </c>
      <c r="U1033" s="36" t="s">
        <v>1878</v>
      </c>
      <c r="V1033" s="36">
        <v>532.0</v>
      </c>
      <c r="W1033" s="36"/>
      <c r="X1033" s="38">
        <v>1.0</v>
      </c>
      <c r="Y1033" s="38" t="s">
        <v>1879</v>
      </c>
      <c r="Z1033" s="38"/>
      <c r="AA1033" s="38" t="s">
        <v>200</v>
      </c>
      <c r="AB1033" s="38">
        <v>-16.49</v>
      </c>
      <c r="AC1033" s="38">
        <v>-56.41</v>
      </c>
      <c r="AD1033" s="38"/>
      <c r="AE1033" s="38">
        <v>120.0</v>
      </c>
      <c r="AF1033" s="38"/>
      <c r="AG1033" s="38"/>
      <c r="AH1033" s="38"/>
      <c r="AI1033" s="50">
        <v>-16.49</v>
      </c>
      <c r="AJ1033" s="50">
        <v>-56.41</v>
      </c>
      <c r="AK1033" s="41" t="s">
        <v>313</v>
      </c>
      <c r="AL1033" s="40"/>
      <c r="AM1033" s="49">
        <v>122.0</v>
      </c>
      <c r="AN1033" s="43"/>
      <c r="AO1033" s="42" t="s">
        <v>335</v>
      </c>
      <c r="AP1033" s="43"/>
      <c r="AQ1033" s="44" t="str">
        <f t="shared" si="94"/>
        <v>WSA</v>
      </c>
      <c r="AR1033" s="44">
        <f t="shared" si="80"/>
        <v>122</v>
      </c>
      <c r="AS1033" s="44" t="str">
        <f t="shared" si="96"/>
        <v>A</v>
      </c>
      <c r="AT1033" s="44" t="s">
        <v>335</v>
      </c>
      <c r="AU1033" s="44" t="str">
        <f t="shared" si="95"/>
        <v>Aw</v>
      </c>
      <c r="AV1033" s="38">
        <v>1.0</v>
      </c>
      <c r="AW1033" s="38"/>
      <c r="AX1033" s="38"/>
      <c r="AY1033" s="38" t="s">
        <v>92</v>
      </c>
      <c r="AZ1033" s="29">
        <v>500.0</v>
      </c>
      <c r="BA1033" s="29">
        <v>1.0</v>
      </c>
      <c r="BB1033" s="29">
        <v>1.0</v>
      </c>
      <c r="BC1033" s="29"/>
      <c r="BD1033" s="29" t="s">
        <v>88</v>
      </c>
      <c r="BE1033" s="29"/>
      <c r="BF1033" s="29" t="s">
        <v>881</v>
      </c>
      <c r="BG1033" s="29" t="s">
        <v>203</v>
      </c>
      <c r="BH1033" s="29" t="s">
        <v>88</v>
      </c>
      <c r="BI1033" s="29" t="s">
        <v>1848</v>
      </c>
      <c r="BJ1033" s="29"/>
      <c r="BK1033" s="29" t="s">
        <v>148</v>
      </c>
      <c r="BL1033" s="29" t="s">
        <v>148</v>
      </c>
      <c r="BM1033" s="45"/>
      <c r="BN1033" s="45"/>
      <c r="BO1033" s="46"/>
      <c r="BP1033" s="2"/>
      <c r="BQ1033" s="3"/>
    </row>
    <row r="1034" ht="15.75" customHeight="1">
      <c r="A1034" s="34">
        <v>1047.0</v>
      </c>
      <c r="B1034" s="34">
        <v>203123.0</v>
      </c>
      <c r="C1034" s="34" t="s">
        <v>832</v>
      </c>
      <c r="D1034" s="34" t="s">
        <v>1850</v>
      </c>
      <c r="E1034" s="34" t="s">
        <v>1851</v>
      </c>
      <c r="F1034" s="34">
        <v>2021.0</v>
      </c>
      <c r="G1034" s="34" t="s">
        <v>1852</v>
      </c>
      <c r="H1034" s="34" t="s">
        <v>80</v>
      </c>
      <c r="I1034" s="34" t="s">
        <v>1853</v>
      </c>
      <c r="J1034" s="35"/>
      <c r="K1034" s="36"/>
      <c r="L1034" s="36"/>
      <c r="M1034" s="36"/>
      <c r="N1034" s="36"/>
      <c r="O1034" s="36"/>
      <c r="P1034" s="37">
        <v>-5.93</v>
      </c>
      <c r="Q1034" s="36" t="s">
        <v>96</v>
      </c>
      <c r="R1034" s="36" t="s">
        <v>96</v>
      </c>
      <c r="S1034" s="36"/>
      <c r="T1034" s="36" t="s">
        <v>341</v>
      </c>
      <c r="U1034" s="36" t="s">
        <v>536</v>
      </c>
      <c r="V1034" s="36">
        <v>271.0</v>
      </c>
      <c r="W1034" s="36"/>
      <c r="X1034" s="38">
        <v>1.0</v>
      </c>
      <c r="Y1034" s="38" t="s">
        <v>1880</v>
      </c>
      <c r="Z1034" s="38"/>
      <c r="AA1034" s="38" t="s">
        <v>86</v>
      </c>
      <c r="AB1034" s="38">
        <v>-21.58</v>
      </c>
      <c r="AC1034" s="38">
        <v>-47.6</v>
      </c>
      <c r="AD1034" s="38"/>
      <c r="AE1034" s="38">
        <v>710.0</v>
      </c>
      <c r="AF1034" s="38"/>
      <c r="AG1034" s="38"/>
      <c r="AH1034" s="38"/>
      <c r="AI1034" s="50">
        <v>-21.58</v>
      </c>
      <c r="AJ1034" s="50">
        <v>-47.6</v>
      </c>
      <c r="AK1034" s="41" t="s">
        <v>336</v>
      </c>
      <c r="AL1034" s="40"/>
      <c r="AM1034" s="49">
        <v>761.0</v>
      </c>
      <c r="AN1034" s="43"/>
      <c r="AO1034" s="42" t="s">
        <v>335</v>
      </c>
      <c r="AP1034" s="43"/>
      <c r="AQ1034" s="44" t="str">
        <f t="shared" si="94"/>
        <v>CRO</v>
      </c>
      <c r="AR1034" s="44">
        <f t="shared" si="80"/>
        <v>761</v>
      </c>
      <c r="AS1034" s="44" t="str">
        <f t="shared" si="96"/>
        <v>A</v>
      </c>
      <c r="AT1034" s="44" t="s">
        <v>335</v>
      </c>
      <c r="AU1034" s="44" t="str">
        <f t="shared" si="95"/>
        <v>Aw</v>
      </c>
      <c r="AV1034" s="38">
        <v>1.0</v>
      </c>
      <c r="AW1034" s="38"/>
      <c r="AX1034" s="38"/>
      <c r="AY1034" s="38" t="s">
        <v>92</v>
      </c>
      <c r="AZ1034" s="29">
        <v>500.0</v>
      </c>
      <c r="BA1034" s="29">
        <v>1.0</v>
      </c>
      <c r="BB1034" s="29">
        <v>1.0</v>
      </c>
      <c r="BC1034" s="29"/>
      <c r="BD1034" s="29" t="s">
        <v>88</v>
      </c>
      <c r="BE1034" s="29"/>
      <c r="BF1034" s="29" t="s">
        <v>881</v>
      </c>
      <c r="BG1034" s="29" t="s">
        <v>203</v>
      </c>
      <c r="BH1034" s="29" t="s">
        <v>88</v>
      </c>
      <c r="BI1034" s="29" t="s">
        <v>1848</v>
      </c>
      <c r="BJ1034" s="29"/>
      <c r="BK1034" s="29" t="s">
        <v>148</v>
      </c>
      <c r="BL1034" s="29" t="s">
        <v>148</v>
      </c>
      <c r="BM1034" s="45"/>
      <c r="BN1034" s="45"/>
      <c r="BO1034" s="46"/>
      <c r="BP1034" s="2"/>
      <c r="BQ1034" s="3"/>
    </row>
    <row r="1035" ht="15.75" customHeight="1">
      <c r="A1035" s="34">
        <v>1048.0</v>
      </c>
      <c r="B1035" s="34">
        <v>203123.0</v>
      </c>
      <c r="C1035" s="34" t="s">
        <v>832</v>
      </c>
      <c r="D1035" s="34" t="s">
        <v>1850</v>
      </c>
      <c r="E1035" s="34" t="s">
        <v>1851</v>
      </c>
      <c r="F1035" s="34">
        <v>2021.0</v>
      </c>
      <c r="G1035" s="34" t="s">
        <v>1852</v>
      </c>
      <c r="H1035" s="34" t="s">
        <v>80</v>
      </c>
      <c r="I1035" s="34" t="s">
        <v>1853</v>
      </c>
      <c r="J1035" s="35"/>
      <c r="K1035" s="36"/>
      <c r="L1035" s="36"/>
      <c r="M1035" s="36"/>
      <c r="N1035" s="36"/>
      <c r="O1035" s="36"/>
      <c r="P1035" s="37">
        <v>-19.77</v>
      </c>
      <c r="Q1035" s="36" t="s">
        <v>96</v>
      </c>
      <c r="R1035" s="36" t="s">
        <v>96</v>
      </c>
      <c r="S1035" s="36"/>
      <c r="T1035" s="36" t="s">
        <v>1881</v>
      </c>
      <c r="U1035" s="36" t="s">
        <v>1882</v>
      </c>
      <c r="V1035" s="36">
        <v>711.0</v>
      </c>
      <c r="W1035" s="36"/>
      <c r="X1035" s="38">
        <v>1.0</v>
      </c>
      <c r="Y1035" s="38" t="s">
        <v>1883</v>
      </c>
      <c r="Z1035" s="38"/>
      <c r="AA1035" s="38" t="s">
        <v>200</v>
      </c>
      <c r="AB1035" s="38">
        <v>-21.62</v>
      </c>
      <c r="AC1035" s="38">
        <v>-47.63</v>
      </c>
      <c r="AD1035" s="38"/>
      <c r="AE1035" s="38">
        <v>710.0</v>
      </c>
      <c r="AF1035" s="38"/>
      <c r="AG1035" s="38"/>
      <c r="AH1035" s="38"/>
      <c r="AI1035" s="50">
        <v>-21.62</v>
      </c>
      <c r="AJ1035" s="50">
        <v>-47.63</v>
      </c>
      <c r="AK1035" s="41" t="s">
        <v>336</v>
      </c>
      <c r="AL1035" s="40"/>
      <c r="AM1035" s="49">
        <v>673.0</v>
      </c>
      <c r="AN1035" s="43"/>
      <c r="AO1035" s="42" t="s">
        <v>335</v>
      </c>
      <c r="AP1035" s="43"/>
      <c r="AQ1035" s="44" t="str">
        <f t="shared" si="94"/>
        <v>WSA</v>
      </c>
      <c r="AR1035" s="44">
        <f t="shared" si="80"/>
        <v>673</v>
      </c>
      <c r="AS1035" s="44" t="str">
        <f t="shared" si="96"/>
        <v>A</v>
      </c>
      <c r="AT1035" s="44" t="s">
        <v>335</v>
      </c>
      <c r="AU1035" s="44" t="str">
        <f t="shared" si="95"/>
        <v>Aw</v>
      </c>
      <c r="AV1035" s="38">
        <v>1.0</v>
      </c>
      <c r="AW1035" s="38"/>
      <c r="AX1035" s="38"/>
      <c r="AY1035" s="38" t="s">
        <v>92</v>
      </c>
      <c r="AZ1035" s="29">
        <v>500.0</v>
      </c>
      <c r="BA1035" s="29">
        <v>1.0</v>
      </c>
      <c r="BB1035" s="29">
        <v>1.0</v>
      </c>
      <c r="BC1035" s="29"/>
      <c r="BD1035" s="29" t="s">
        <v>88</v>
      </c>
      <c r="BE1035" s="29"/>
      <c r="BF1035" s="29" t="s">
        <v>881</v>
      </c>
      <c r="BG1035" s="29" t="s">
        <v>203</v>
      </c>
      <c r="BH1035" s="29" t="s">
        <v>88</v>
      </c>
      <c r="BI1035" s="29" t="s">
        <v>1848</v>
      </c>
      <c r="BJ1035" s="29"/>
      <c r="BK1035" s="29" t="s">
        <v>148</v>
      </c>
      <c r="BL1035" s="29" t="s">
        <v>148</v>
      </c>
      <c r="BM1035" s="45"/>
      <c r="BN1035" s="45"/>
      <c r="BO1035" s="46"/>
      <c r="BP1035" s="2"/>
      <c r="BQ1035" s="3"/>
    </row>
    <row r="1036" ht="15.75" customHeight="1">
      <c r="A1036" s="34">
        <v>1049.0</v>
      </c>
      <c r="B1036" s="34">
        <v>203123.0</v>
      </c>
      <c r="C1036" s="34" t="s">
        <v>832</v>
      </c>
      <c r="D1036" s="34" t="s">
        <v>1850</v>
      </c>
      <c r="E1036" s="34" t="s">
        <v>1851</v>
      </c>
      <c r="F1036" s="34">
        <v>2021.0</v>
      </c>
      <c r="G1036" s="34" t="s">
        <v>1852</v>
      </c>
      <c r="H1036" s="34" t="s">
        <v>80</v>
      </c>
      <c r="I1036" s="34" t="s">
        <v>1853</v>
      </c>
      <c r="J1036" s="35"/>
      <c r="K1036" s="36"/>
      <c r="L1036" s="36"/>
      <c r="M1036" s="36"/>
      <c r="N1036" s="36"/>
      <c r="O1036" s="36"/>
      <c r="P1036" s="37">
        <v>2.28</v>
      </c>
      <c r="Q1036" s="36" t="s">
        <v>96</v>
      </c>
      <c r="R1036" s="36" t="s">
        <v>96</v>
      </c>
      <c r="S1036" s="36"/>
      <c r="T1036" s="36" t="s">
        <v>1884</v>
      </c>
      <c r="U1036" s="36" t="s">
        <v>1885</v>
      </c>
      <c r="V1036" s="36">
        <v>328.0</v>
      </c>
      <c r="W1036" s="36"/>
      <c r="X1036" s="38">
        <v>1.0</v>
      </c>
      <c r="Y1036" s="38" t="s">
        <v>1886</v>
      </c>
      <c r="Z1036" s="38"/>
      <c r="AA1036" s="38" t="s">
        <v>86</v>
      </c>
      <c r="AB1036" s="38">
        <v>-21.64</v>
      </c>
      <c r="AC1036" s="38">
        <v>-47.79</v>
      </c>
      <c r="AD1036" s="38"/>
      <c r="AE1036" s="38">
        <v>541.0</v>
      </c>
      <c r="AF1036" s="38"/>
      <c r="AG1036" s="38"/>
      <c r="AH1036" s="38"/>
      <c r="AI1036" s="50">
        <v>-21.64</v>
      </c>
      <c r="AJ1036" s="50">
        <v>-47.79</v>
      </c>
      <c r="AK1036" s="41" t="s">
        <v>86</v>
      </c>
      <c r="AL1036" s="40"/>
      <c r="AM1036" s="49">
        <v>558.0</v>
      </c>
      <c r="AN1036" s="43"/>
      <c r="AO1036" s="42" t="s">
        <v>335</v>
      </c>
      <c r="AP1036" s="43"/>
      <c r="AQ1036" s="44" t="str">
        <f t="shared" si="94"/>
        <v>CRO</v>
      </c>
      <c r="AR1036" s="44">
        <f t="shared" si="80"/>
        <v>558</v>
      </c>
      <c r="AS1036" s="44" t="str">
        <f t="shared" si="96"/>
        <v>A</v>
      </c>
      <c r="AT1036" s="44" t="s">
        <v>335</v>
      </c>
      <c r="AU1036" s="44" t="str">
        <f t="shared" si="95"/>
        <v>Aw</v>
      </c>
      <c r="AV1036" s="38">
        <v>1.0</v>
      </c>
      <c r="AW1036" s="38"/>
      <c r="AX1036" s="38"/>
      <c r="AY1036" s="38" t="s">
        <v>92</v>
      </c>
      <c r="AZ1036" s="29">
        <v>500.0</v>
      </c>
      <c r="BA1036" s="29">
        <v>1.0</v>
      </c>
      <c r="BB1036" s="29">
        <v>1.0</v>
      </c>
      <c r="BC1036" s="29"/>
      <c r="BD1036" s="29" t="s">
        <v>88</v>
      </c>
      <c r="BE1036" s="29"/>
      <c r="BF1036" s="29" t="s">
        <v>881</v>
      </c>
      <c r="BG1036" s="29" t="s">
        <v>203</v>
      </c>
      <c r="BH1036" s="29" t="s">
        <v>88</v>
      </c>
      <c r="BI1036" s="29" t="s">
        <v>1848</v>
      </c>
      <c r="BJ1036" s="29"/>
      <c r="BK1036" s="29" t="s">
        <v>148</v>
      </c>
      <c r="BL1036" s="29" t="s">
        <v>148</v>
      </c>
      <c r="BM1036" s="45"/>
      <c r="BN1036" s="45"/>
      <c r="BO1036" s="46"/>
      <c r="BP1036" s="2"/>
      <c r="BQ1036" s="3"/>
    </row>
    <row r="1037" ht="15.75" customHeight="1">
      <c r="A1037" s="34">
        <v>1050.0</v>
      </c>
      <c r="B1037" s="34">
        <v>203123.0</v>
      </c>
      <c r="C1037" s="34" t="s">
        <v>832</v>
      </c>
      <c r="D1037" s="34" t="s">
        <v>1850</v>
      </c>
      <c r="E1037" s="34" t="s">
        <v>1851</v>
      </c>
      <c r="F1037" s="34">
        <v>2021.0</v>
      </c>
      <c r="G1037" s="34" t="s">
        <v>1852</v>
      </c>
      <c r="H1037" s="34" t="s">
        <v>80</v>
      </c>
      <c r="I1037" s="34" t="s">
        <v>1853</v>
      </c>
      <c r="J1037" s="35"/>
      <c r="K1037" s="36"/>
      <c r="L1037" s="36"/>
      <c r="M1037" s="36"/>
      <c r="N1037" s="36"/>
      <c r="O1037" s="36"/>
      <c r="P1037" s="37">
        <v>30.08</v>
      </c>
      <c r="Q1037" s="36" t="s">
        <v>96</v>
      </c>
      <c r="R1037" s="36" t="s">
        <v>96</v>
      </c>
      <c r="S1037" s="36"/>
      <c r="T1037" s="36" t="s">
        <v>969</v>
      </c>
      <c r="U1037" s="36" t="s">
        <v>1887</v>
      </c>
      <c r="V1037" s="36">
        <v>225.0</v>
      </c>
      <c r="W1037" s="36"/>
      <c r="X1037" s="38">
        <v>1.0</v>
      </c>
      <c r="Y1037" s="38" t="s">
        <v>1888</v>
      </c>
      <c r="Z1037" s="38"/>
      <c r="AA1037" s="38" t="s">
        <v>452</v>
      </c>
      <c r="AB1037" s="38">
        <v>-33.46</v>
      </c>
      <c r="AC1037" s="38">
        <v>-66.46</v>
      </c>
      <c r="AD1037" s="38"/>
      <c r="AE1037" s="38">
        <v>320.0</v>
      </c>
      <c r="AF1037" s="38"/>
      <c r="AG1037" s="38"/>
      <c r="AH1037" s="38"/>
      <c r="AI1037" s="50">
        <v>-33.46</v>
      </c>
      <c r="AJ1037" s="50">
        <v>-66.46</v>
      </c>
      <c r="AK1037" s="41" t="s">
        <v>292</v>
      </c>
      <c r="AL1037" s="40"/>
      <c r="AM1037" s="49">
        <v>507.0</v>
      </c>
      <c r="AN1037" s="43"/>
      <c r="AO1037" s="42" t="s">
        <v>304</v>
      </c>
      <c r="AP1037" s="43"/>
      <c r="AQ1037" s="44" t="str">
        <f t="shared" si="94"/>
        <v>MF</v>
      </c>
      <c r="AR1037" s="44">
        <f t="shared" si="80"/>
        <v>507</v>
      </c>
      <c r="AS1037" s="44" t="str">
        <f t="shared" si="96"/>
        <v>B</v>
      </c>
      <c r="AT1037" s="44" t="s">
        <v>1863</v>
      </c>
      <c r="AU1037" s="44" t="str">
        <f t="shared" si="95"/>
        <v>BSh</v>
      </c>
      <c r="AV1037" s="38">
        <v>1.0</v>
      </c>
      <c r="AW1037" s="38"/>
      <c r="AX1037" s="38"/>
      <c r="AY1037" s="38" t="s">
        <v>92</v>
      </c>
      <c r="AZ1037" s="29">
        <v>500.0</v>
      </c>
      <c r="BA1037" s="29">
        <v>1.0</v>
      </c>
      <c r="BB1037" s="29">
        <v>1.0</v>
      </c>
      <c r="BC1037" s="29"/>
      <c r="BD1037" s="29" t="s">
        <v>88</v>
      </c>
      <c r="BE1037" s="29"/>
      <c r="BF1037" s="29" t="s">
        <v>881</v>
      </c>
      <c r="BG1037" s="29" t="s">
        <v>203</v>
      </c>
      <c r="BH1037" s="29" t="s">
        <v>88</v>
      </c>
      <c r="BI1037" s="29" t="s">
        <v>1848</v>
      </c>
      <c r="BJ1037" s="29"/>
      <c r="BK1037" s="29" t="s">
        <v>148</v>
      </c>
      <c r="BL1037" s="29" t="s">
        <v>148</v>
      </c>
      <c r="BM1037" s="45"/>
      <c r="BN1037" s="45"/>
      <c r="BO1037" s="46"/>
      <c r="BP1037" s="2"/>
      <c r="BQ1037" s="3"/>
    </row>
    <row r="1038" ht="15.75" customHeight="1">
      <c r="A1038" s="34">
        <v>1051.0</v>
      </c>
      <c r="B1038" s="34">
        <v>203123.0</v>
      </c>
      <c r="C1038" s="34" t="s">
        <v>832</v>
      </c>
      <c r="D1038" s="34" t="s">
        <v>1850</v>
      </c>
      <c r="E1038" s="34" t="s">
        <v>1851</v>
      </c>
      <c r="F1038" s="34">
        <v>2021.0</v>
      </c>
      <c r="G1038" s="34" t="s">
        <v>1852</v>
      </c>
      <c r="H1038" s="34" t="s">
        <v>80</v>
      </c>
      <c r="I1038" s="34" t="s">
        <v>1853</v>
      </c>
      <c r="J1038" s="35"/>
      <c r="K1038" s="36"/>
      <c r="L1038" s="36"/>
      <c r="M1038" s="36"/>
      <c r="N1038" s="36"/>
      <c r="O1038" s="36"/>
      <c r="P1038" s="37">
        <v>-13.94</v>
      </c>
      <c r="Q1038" s="36" t="s">
        <v>96</v>
      </c>
      <c r="R1038" s="36" t="s">
        <v>96</v>
      </c>
      <c r="S1038" s="36"/>
      <c r="T1038" s="36" t="s">
        <v>1474</v>
      </c>
      <c r="U1038" s="36" t="s">
        <v>1889</v>
      </c>
      <c r="V1038" s="36">
        <v>206.0</v>
      </c>
      <c r="W1038" s="36"/>
      <c r="X1038" s="38">
        <v>1.0</v>
      </c>
      <c r="Y1038" s="38" t="s">
        <v>1890</v>
      </c>
      <c r="Z1038" s="38"/>
      <c r="AA1038" s="38" t="s">
        <v>86</v>
      </c>
      <c r="AB1038" s="38">
        <v>-35.62</v>
      </c>
      <c r="AC1038" s="38">
        <v>-61.32</v>
      </c>
      <c r="AD1038" s="38"/>
      <c r="AE1038" s="38">
        <v>80.0</v>
      </c>
      <c r="AF1038" s="38"/>
      <c r="AG1038" s="38"/>
      <c r="AH1038" s="38"/>
      <c r="AI1038" s="50">
        <v>-35.62</v>
      </c>
      <c r="AJ1038" s="50">
        <v>-61.32</v>
      </c>
      <c r="AK1038" s="41" t="s">
        <v>86</v>
      </c>
      <c r="AL1038" s="40"/>
      <c r="AM1038" s="49">
        <v>81.0</v>
      </c>
      <c r="AN1038" s="43"/>
      <c r="AO1038" s="42" t="s">
        <v>201</v>
      </c>
      <c r="AP1038" s="43"/>
      <c r="AQ1038" s="44" t="str">
        <f t="shared" si="94"/>
        <v>CRO</v>
      </c>
      <c r="AR1038" s="44">
        <f t="shared" si="80"/>
        <v>81</v>
      </c>
      <c r="AS1038" s="44" t="str">
        <f t="shared" si="96"/>
        <v>C</v>
      </c>
      <c r="AT1038" s="44" t="s">
        <v>1797</v>
      </c>
      <c r="AU1038" s="44" t="str">
        <f t="shared" si="95"/>
        <v>Cfa</v>
      </c>
      <c r="AV1038" s="38">
        <v>1.0</v>
      </c>
      <c r="AW1038" s="38"/>
      <c r="AX1038" s="38"/>
      <c r="AY1038" s="38" t="s">
        <v>92</v>
      </c>
      <c r="AZ1038" s="29">
        <v>500.0</v>
      </c>
      <c r="BA1038" s="29">
        <v>1.0</v>
      </c>
      <c r="BB1038" s="29">
        <v>1.0</v>
      </c>
      <c r="BC1038" s="29"/>
      <c r="BD1038" s="29" t="s">
        <v>88</v>
      </c>
      <c r="BE1038" s="29"/>
      <c r="BF1038" s="29" t="s">
        <v>881</v>
      </c>
      <c r="BG1038" s="29" t="s">
        <v>203</v>
      </c>
      <c r="BH1038" s="29" t="s">
        <v>88</v>
      </c>
      <c r="BI1038" s="29" t="s">
        <v>1848</v>
      </c>
      <c r="BJ1038" s="29"/>
      <c r="BK1038" s="29" t="s">
        <v>148</v>
      </c>
      <c r="BL1038" s="29" t="s">
        <v>148</v>
      </c>
      <c r="BM1038" s="45"/>
      <c r="BN1038" s="45"/>
      <c r="BO1038" s="46"/>
      <c r="BP1038" s="2"/>
      <c r="BQ1038" s="3"/>
    </row>
    <row r="1039" ht="15.75" customHeight="1">
      <c r="A1039" s="34">
        <v>1052.0</v>
      </c>
      <c r="B1039" s="34">
        <v>203123.0</v>
      </c>
      <c r="C1039" s="34" t="s">
        <v>832</v>
      </c>
      <c r="D1039" s="34" t="s">
        <v>1850</v>
      </c>
      <c r="E1039" s="34" t="s">
        <v>1851</v>
      </c>
      <c r="F1039" s="34">
        <v>2021.0</v>
      </c>
      <c r="G1039" s="34" t="s">
        <v>1852</v>
      </c>
      <c r="H1039" s="34" t="s">
        <v>80</v>
      </c>
      <c r="I1039" s="34" t="s">
        <v>1853</v>
      </c>
      <c r="J1039" s="35"/>
      <c r="K1039" s="36"/>
      <c r="L1039" s="36"/>
      <c r="M1039" s="36"/>
      <c r="N1039" s="36"/>
      <c r="O1039" s="36"/>
      <c r="P1039" s="37">
        <v>8.34</v>
      </c>
      <c r="Q1039" s="36" t="s">
        <v>96</v>
      </c>
      <c r="R1039" s="36" t="s">
        <v>96</v>
      </c>
      <c r="S1039" s="36"/>
      <c r="T1039" s="36" t="s">
        <v>245</v>
      </c>
      <c r="U1039" s="36" t="s">
        <v>1891</v>
      </c>
      <c r="V1039" s="36">
        <v>121.0</v>
      </c>
      <c r="W1039" s="36"/>
      <c r="X1039" s="38">
        <v>1.0</v>
      </c>
      <c r="Y1039" s="38" t="s">
        <v>1892</v>
      </c>
      <c r="Z1039" s="38"/>
      <c r="AA1039" s="38" t="s">
        <v>214</v>
      </c>
      <c r="AB1039" s="38">
        <v>-37.55</v>
      </c>
      <c r="AC1039" s="38">
        <v>-57.3</v>
      </c>
      <c r="AD1039" s="38"/>
      <c r="AE1039" s="38">
        <v>1.0</v>
      </c>
      <c r="AF1039" s="38"/>
      <c r="AG1039" s="38"/>
      <c r="AH1039" s="38"/>
      <c r="AI1039" s="50">
        <v>-37.55</v>
      </c>
      <c r="AJ1039" s="50">
        <v>-57.3</v>
      </c>
      <c r="AK1039" s="41" t="s">
        <v>313</v>
      </c>
      <c r="AL1039" s="40"/>
      <c r="AM1039" s="49">
        <v>3.0</v>
      </c>
      <c r="AN1039" s="43"/>
      <c r="AO1039" s="42" t="s">
        <v>376</v>
      </c>
      <c r="AP1039" s="43"/>
      <c r="AQ1039" s="44" t="str">
        <f t="shared" si="94"/>
        <v>WET</v>
      </c>
      <c r="AR1039" s="44">
        <f t="shared" si="80"/>
        <v>3</v>
      </c>
      <c r="AS1039" s="44" t="str">
        <f t="shared" si="96"/>
        <v>C</v>
      </c>
      <c r="AT1039" s="44" t="s">
        <v>1797</v>
      </c>
      <c r="AU1039" s="44" t="str">
        <f t="shared" si="95"/>
        <v>Cfb</v>
      </c>
      <c r="AV1039" s="38">
        <v>1.0</v>
      </c>
      <c r="AW1039" s="38"/>
      <c r="AX1039" s="38"/>
      <c r="AY1039" s="38" t="s">
        <v>92</v>
      </c>
      <c r="AZ1039" s="29">
        <v>500.0</v>
      </c>
      <c r="BA1039" s="29">
        <v>1.0</v>
      </c>
      <c r="BB1039" s="29">
        <v>1.0</v>
      </c>
      <c r="BC1039" s="29"/>
      <c r="BD1039" s="29" t="s">
        <v>88</v>
      </c>
      <c r="BE1039" s="29"/>
      <c r="BF1039" s="29" t="s">
        <v>881</v>
      </c>
      <c r="BG1039" s="29" t="s">
        <v>203</v>
      </c>
      <c r="BH1039" s="29" t="s">
        <v>88</v>
      </c>
      <c r="BI1039" s="29" t="s">
        <v>1848</v>
      </c>
      <c r="BJ1039" s="29"/>
      <c r="BK1039" s="29" t="s">
        <v>148</v>
      </c>
      <c r="BL1039" s="29" t="s">
        <v>148</v>
      </c>
      <c r="BM1039" s="45"/>
      <c r="BN1039" s="45"/>
      <c r="BO1039" s="46"/>
      <c r="BP1039" s="2"/>
      <c r="BQ1039" s="3"/>
    </row>
    <row r="1040" ht="15.75" customHeight="1">
      <c r="A1040" s="34">
        <v>1053.0</v>
      </c>
      <c r="B1040" s="34">
        <v>203123.0</v>
      </c>
      <c r="C1040" s="34" t="s">
        <v>832</v>
      </c>
      <c r="D1040" s="34" t="s">
        <v>1850</v>
      </c>
      <c r="E1040" s="34" t="s">
        <v>1851</v>
      </c>
      <c r="F1040" s="34">
        <v>2021.0</v>
      </c>
      <c r="G1040" s="34" t="s">
        <v>1852</v>
      </c>
      <c r="H1040" s="34" t="s">
        <v>80</v>
      </c>
      <c r="I1040" s="34" t="s">
        <v>1853</v>
      </c>
      <c r="J1040" s="35"/>
      <c r="K1040" s="36"/>
      <c r="L1040" s="36"/>
      <c r="M1040" s="36"/>
      <c r="N1040" s="36"/>
      <c r="O1040" s="36"/>
      <c r="P1040" s="37">
        <v>-16.66</v>
      </c>
      <c r="Q1040" s="36" t="s">
        <v>96</v>
      </c>
      <c r="R1040" s="36" t="s">
        <v>96</v>
      </c>
      <c r="S1040" s="36"/>
      <c r="T1040" s="36" t="s">
        <v>167</v>
      </c>
      <c r="U1040" s="36" t="s">
        <v>1893</v>
      </c>
      <c r="V1040" s="36">
        <v>63.0</v>
      </c>
      <c r="W1040" s="36"/>
      <c r="X1040" s="38">
        <v>1.0</v>
      </c>
      <c r="Y1040" s="38" t="s">
        <v>1894</v>
      </c>
      <c r="Z1040" s="38"/>
      <c r="AA1040" s="38" t="s">
        <v>86</v>
      </c>
      <c r="AB1040" s="38">
        <v>-37.75</v>
      </c>
      <c r="AC1040" s="38">
        <v>-58.34</v>
      </c>
      <c r="AD1040" s="38"/>
      <c r="AE1040" s="38">
        <v>130.0</v>
      </c>
      <c r="AF1040" s="38"/>
      <c r="AG1040" s="38"/>
      <c r="AH1040" s="38"/>
      <c r="AI1040" s="50">
        <v>-37.75</v>
      </c>
      <c r="AJ1040" s="50">
        <v>-58.34</v>
      </c>
      <c r="AK1040" s="41" t="s">
        <v>86</v>
      </c>
      <c r="AL1040" s="40"/>
      <c r="AM1040" s="49">
        <v>113.0</v>
      </c>
      <c r="AN1040" s="43"/>
      <c r="AO1040" s="42" t="s">
        <v>376</v>
      </c>
      <c r="AP1040" s="43"/>
      <c r="AQ1040" s="44" t="str">
        <f t="shared" si="94"/>
        <v>CRO</v>
      </c>
      <c r="AR1040" s="44">
        <f t="shared" si="80"/>
        <v>113</v>
      </c>
      <c r="AS1040" s="44" t="str">
        <f t="shared" si="96"/>
        <v>C</v>
      </c>
      <c r="AT1040" s="44" t="s">
        <v>1797</v>
      </c>
      <c r="AU1040" s="44" t="str">
        <f t="shared" si="95"/>
        <v>Cfb</v>
      </c>
      <c r="AV1040" s="38">
        <v>1.0</v>
      </c>
      <c r="AW1040" s="38"/>
      <c r="AX1040" s="38"/>
      <c r="AY1040" s="38" t="s">
        <v>92</v>
      </c>
      <c r="AZ1040" s="29">
        <v>500.0</v>
      </c>
      <c r="BA1040" s="29">
        <v>1.0</v>
      </c>
      <c r="BB1040" s="29">
        <v>1.0</v>
      </c>
      <c r="BC1040" s="29"/>
      <c r="BD1040" s="29" t="s">
        <v>88</v>
      </c>
      <c r="BE1040" s="29"/>
      <c r="BF1040" s="29" t="s">
        <v>881</v>
      </c>
      <c r="BG1040" s="29" t="s">
        <v>203</v>
      </c>
      <c r="BH1040" s="29" t="s">
        <v>88</v>
      </c>
      <c r="BI1040" s="29" t="s">
        <v>1848</v>
      </c>
      <c r="BJ1040" s="29"/>
      <c r="BK1040" s="29" t="s">
        <v>148</v>
      </c>
      <c r="BL1040" s="29" t="s">
        <v>148</v>
      </c>
      <c r="BM1040" s="45"/>
      <c r="BN1040" s="45"/>
      <c r="BO1040" s="46"/>
      <c r="BP1040" s="2"/>
      <c r="BQ1040" s="3"/>
    </row>
    <row r="1041" ht="15.75" customHeight="1">
      <c r="A1041" s="34">
        <v>1054.0</v>
      </c>
      <c r="B1041" s="34">
        <v>203123.0</v>
      </c>
      <c r="C1041" s="34" t="s">
        <v>832</v>
      </c>
      <c r="D1041" s="34" t="s">
        <v>1850</v>
      </c>
      <c r="E1041" s="34" t="s">
        <v>1851</v>
      </c>
      <c r="F1041" s="34">
        <v>2021.0</v>
      </c>
      <c r="G1041" s="34" t="s">
        <v>1852</v>
      </c>
      <c r="H1041" s="34" t="s">
        <v>80</v>
      </c>
      <c r="I1041" s="34" t="s">
        <v>1853</v>
      </c>
      <c r="J1041" s="35"/>
      <c r="K1041" s="36"/>
      <c r="L1041" s="36"/>
      <c r="M1041" s="36"/>
      <c r="N1041" s="36"/>
      <c r="O1041" s="36"/>
      <c r="P1041" s="37">
        <v>36.51</v>
      </c>
      <c r="Q1041" s="36" t="s">
        <v>96</v>
      </c>
      <c r="R1041" s="36" t="s">
        <v>96</v>
      </c>
      <c r="S1041" s="36"/>
      <c r="T1041" s="36" t="s">
        <v>1895</v>
      </c>
      <c r="U1041" s="36" t="s">
        <v>1896</v>
      </c>
      <c r="V1041" s="36">
        <v>180.0</v>
      </c>
      <c r="W1041" s="36"/>
      <c r="X1041" s="38">
        <v>1.0</v>
      </c>
      <c r="Y1041" s="38" t="s">
        <v>1897</v>
      </c>
      <c r="Z1041" s="38"/>
      <c r="AA1041" s="38" t="s">
        <v>336</v>
      </c>
      <c r="AB1041" s="38">
        <v>-41.88</v>
      </c>
      <c r="AC1041" s="38">
        <v>-73.68</v>
      </c>
      <c r="AD1041" s="38"/>
      <c r="AE1041" s="38">
        <v>50.0</v>
      </c>
      <c r="AF1041" s="38"/>
      <c r="AG1041" s="38"/>
      <c r="AH1041" s="38"/>
      <c r="AI1041" s="50">
        <v>-41.88</v>
      </c>
      <c r="AJ1041" s="50">
        <v>-73.68</v>
      </c>
      <c r="AK1041" s="41" t="s">
        <v>336</v>
      </c>
      <c r="AL1041" s="40"/>
      <c r="AM1041" s="49">
        <v>17.0</v>
      </c>
      <c r="AN1041" s="43"/>
      <c r="AO1041" s="42" t="s">
        <v>376</v>
      </c>
      <c r="AP1041" s="43"/>
      <c r="AQ1041" s="44" t="str">
        <f t="shared" si="94"/>
        <v>EBF</v>
      </c>
      <c r="AR1041" s="44">
        <f t="shared" si="80"/>
        <v>17</v>
      </c>
      <c r="AS1041" s="44" t="str">
        <f t="shared" si="96"/>
        <v>C</v>
      </c>
      <c r="AT1041" s="44" t="s">
        <v>1797</v>
      </c>
      <c r="AU1041" s="44" t="str">
        <f t="shared" si="95"/>
        <v>Cfb</v>
      </c>
      <c r="AV1041" s="38">
        <v>1.0</v>
      </c>
      <c r="AW1041" s="38"/>
      <c r="AX1041" s="38"/>
      <c r="AY1041" s="38" t="s">
        <v>92</v>
      </c>
      <c r="AZ1041" s="29">
        <v>500.0</v>
      </c>
      <c r="BA1041" s="29">
        <v>1.0</v>
      </c>
      <c r="BB1041" s="29">
        <v>1.0</v>
      </c>
      <c r="BC1041" s="29"/>
      <c r="BD1041" s="29" t="s">
        <v>88</v>
      </c>
      <c r="BE1041" s="29"/>
      <c r="BF1041" s="29" t="s">
        <v>881</v>
      </c>
      <c r="BG1041" s="29" t="s">
        <v>203</v>
      </c>
      <c r="BH1041" s="29" t="s">
        <v>88</v>
      </c>
      <c r="BI1041" s="29" t="s">
        <v>1848</v>
      </c>
      <c r="BJ1041" s="29"/>
      <c r="BK1041" s="29" t="s">
        <v>148</v>
      </c>
      <c r="BL1041" s="29" t="s">
        <v>148</v>
      </c>
      <c r="BM1041" s="45"/>
      <c r="BN1041" s="45"/>
      <c r="BO1041" s="46"/>
      <c r="BP1041" s="2"/>
      <c r="BQ1041" s="3"/>
    </row>
    <row r="1042" ht="15.75" customHeight="1">
      <c r="A1042" s="34">
        <v>1055.0</v>
      </c>
      <c r="B1042" s="34">
        <v>203123.0</v>
      </c>
      <c r="C1042" s="34" t="s">
        <v>832</v>
      </c>
      <c r="D1042" s="34" t="s">
        <v>1850</v>
      </c>
      <c r="E1042" s="34" t="s">
        <v>1851</v>
      </c>
      <c r="F1042" s="34">
        <v>2021.0</v>
      </c>
      <c r="G1042" s="34" t="s">
        <v>1852</v>
      </c>
      <c r="H1042" s="34" t="s">
        <v>80</v>
      </c>
      <c r="I1042" s="34" t="s">
        <v>1853</v>
      </c>
      <c r="J1042" s="35"/>
      <c r="K1042" s="36"/>
      <c r="L1042" s="36"/>
      <c r="M1042" s="36"/>
      <c r="N1042" s="36"/>
      <c r="O1042" s="36"/>
      <c r="P1042" s="37">
        <v>29.36</v>
      </c>
      <c r="Q1042" s="36" t="s">
        <v>96</v>
      </c>
      <c r="R1042" s="36" t="s">
        <v>96</v>
      </c>
      <c r="S1042" s="36"/>
      <c r="T1042" s="36" t="s">
        <v>818</v>
      </c>
      <c r="U1042" s="36" t="s">
        <v>1898</v>
      </c>
      <c r="V1042" s="36">
        <v>271.0</v>
      </c>
      <c r="W1042" s="36"/>
      <c r="X1042" s="38">
        <v>1.0</v>
      </c>
      <c r="Y1042" s="38" t="s">
        <v>1899</v>
      </c>
      <c r="Z1042" s="38"/>
      <c r="AA1042" s="38" t="s">
        <v>214</v>
      </c>
      <c r="AB1042" s="38">
        <v>-54.97</v>
      </c>
      <c r="AC1042" s="38">
        <v>-66.73</v>
      </c>
      <c r="AD1042" s="38"/>
      <c r="AE1042" s="38">
        <v>40.0</v>
      </c>
      <c r="AF1042" s="38"/>
      <c r="AG1042" s="38"/>
      <c r="AH1042" s="38"/>
      <c r="AI1042" s="50">
        <v>-54.97</v>
      </c>
      <c r="AJ1042" s="50">
        <v>-66.73</v>
      </c>
      <c r="AK1042" s="41" t="s">
        <v>370</v>
      </c>
      <c r="AL1042" s="40"/>
      <c r="AM1042" s="49">
        <v>38.0</v>
      </c>
      <c r="AN1042" s="43"/>
      <c r="AO1042" s="42" t="s">
        <v>604</v>
      </c>
      <c r="AP1042" s="43"/>
      <c r="AQ1042" s="44" t="str">
        <f t="shared" si="94"/>
        <v>WET</v>
      </c>
      <c r="AR1042" s="44">
        <f t="shared" si="80"/>
        <v>38</v>
      </c>
      <c r="AS1042" s="44" t="str">
        <f t="shared" si="96"/>
        <v>E</v>
      </c>
      <c r="AT1042" s="44" t="s">
        <v>604</v>
      </c>
      <c r="AU1042" s="44" t="str">
        <f t="shared" si="95"/>
        <v>EF</v>
      </c>
      <c r="AV1042" s="38">
        <v>1.0</v>
      </c>
      <c r="AW1042" s="38"/>
      <c r="AX1042" s="38"/>
      <c r="AY1042" s="38" t="s">
        <v>92</v>
      </c>
      <c r="AZ1042" s="29">
        <v>500.0</v>
      </c>
      <c r="BA1042" s="29">
        <v>1.0</v>
      </c>
      <c r="BB1042" s="29">
        <v>1.0</v>
      </c>
      <c r="BC1042" s="29"/>
      <c r="BD1042" s="29" t="s">
        <v>88</v>
      </c>
      <c r="BE1042" s="29"/>
      <c r="BF1042" s="29" t="s">
        <v>881</v>
      </c>
      <c r="BG1042" s="29" t="s">
        <v>203</v>
      </c>
      <c r="BH1042" s="29" t="s">
        <v>88</v>
      </c>
      <c r="BI1042" s="29" t="s">
        <v>1848</v>
      </c>
      <c r="BJ1042" s="29"/>
      <c r="BK1042" s="29" t="s">
        <v>148</v>
      </c>
      <c r="BL1042" s="29" t="s">
        <v>148</v>
      </c>
      <c r="BM1042" s="45"/>
      <c r="BN1042" s="45"/>
      <c r="BO1042" s="46"/>
      <c r="BP1042" s="2"/>
      <c r="BQ1042" s="3"/>
    </row>
    <row r="1043" ht="15.75" customHeight="1">
      <c r="A1043" s="34">
        <v>1056.0</v>
      </c>
      <c r="B1043" s="34">
        <v>203123.0</v>
      </c>
      <c r="C1043" s="34" t="s">
        <v>832</v>
      </c>
      <c r="D1043" s="34" t="s">
        <v>1850</v>
      </c>
      <c r="E1043" s="34" t="s">
        <v>1851</v>
      </c>
      <c r="F1043" s="34">
        <v>2021.0</v>
      </c>
      <c r="G1043" s="34" t="s">
        <v>1852</v>
      </c>
      <c r="H1043" s="34" t="s">
        <v>80</v>
      </c>
      <c r="I1043" s="34" t="s">
        <v>1853</v>
      </c>
      <c r="J1043" s="35"/>
      <c r="K1043" s="36"/>
      <c r="L1043" s="36"/>
      <c r="M1043" s="36"/>
      <c r="N1043" s="36"/>
      <c r="O1043" s="36"/>
      <c r="P1043" s="37">
        <v>-62.38</v>
      </c>
      <c r="Q1043" s="36" t="s">
        <v>96</v>
      </c>
      <c r="R1043" s="36" t="s">
        <v>96</v>
      </c>
      <c r="S1043" s="36"/>
      <c r="T1043" s="36" t="s">
        <v>818</v>
      </c>
      <c r="U1043" s="36" t="s">
        <v>1900</v>
      </c>
      <c r="V1043" s="36">
        <v>87.0</v>
      </c>
      <c r="W1043" s="36"/>
      <c r="X1043" s="38">
        <v>1.0</v>
      </c>
      <c r="Y1043" s="38" t="s">
        <v>1901</v>
      </c>
      <c r="Z1043" s="38"/>
      <c r="AA1043" s="38" t="s">
        <v>214</v>
      </c>
      <c r="AB1043" s="38">
        <v>-54.83</v>
      </c>
      <c r="AC1043" s="38">
        <v>-68.45</v>
      </c>
      <c r="AD1043" s="38"/>
      <c r="AE1043" s="38">
        <v>60.0</v>
      </c>
      <c r="AF1043" s="38"/>
      <c r="AG1043" s="38"/>
      <c r="AH1043" s="38"/>
      <c r="AI1043" s="50">
        <v>-54.83</v>
      </c>
      <c r="AJ1043" s="50">
        <v>-68.45</v>
      </c>
      <c r="AK1043" s="41" t="s">
        <v>370</v>
      </c>
      <c r="AL1043" s="40"/>
      <c r="AM1043" s="49">
        <v>95.0</v>
      </c>
      <c r="AN1043" s="43"/>
      <c r="AO1043" s="42" t="s">
        <v>604</v>
      </c>
      <c r="AP1043" s="43"/>
      <c r="AQ1043" s="44" t="str">
        <f t="shared" si="94"/>
        <v>WET</v>
      </c>
      <c r="AR1043" s="44">
        <f t="shared" si="80"/>
        <v>95</v>
      </c>
      <c r="AS1043" s="44" t="str">
        <f t="shared" si="96"/>
        <v>E</v>
      </c>
      <c r="AT1043" s="44" t="s">
        <v>604</v>
      </c>
      <c r="AU1043" s="44" t="str">
        <f t="shared" si="95"/>
        <v>EF</v>
      </c>
      <c r="AV1043" s="38">
        <v>1.0</v>
      </c>
      <c r="AW1043" s="38"/>
      <c r="AX1043" s="38"/>
      <c r="AY1043" s="38" t="s">
        <v>92</v>
      </c>
      <c r="AZ1043" s="29">
        <v>500.0</v>
      </c>
      <c r="BA1043" s="29">
        <v>1.0</v>
      </c>
      <c r="BB1043" s="29">
        <v>1.0</v>
      </c>
      <c r="BC1043" s="29"/>
      <c r="BD1043" s="29" t="s">
        <v>88</v>
      </c>
      <c r="BE1043" s="29"/>
      <c r="BF1043" s="29" t="s">
        <v>881</v>
      </c>
      <c r="BG1043" s="29" t="s">
        <v>203</v>
      </c>
      <c r="BH1043" s="29" t="s">
        <v>88</v>
      </c>
      <c r="BI1043" s="29" t="s">
        <v>1848</v>
      </c>
      <c r="BJ1043" s="29"/>
      <c r="BK1043" s="29" t="s">
        <v>148</v>
      </c>
      <c r="BL1043" s="29" t="s">
        <v>148</v>
      </c>
      <c r="BM1043" s="45"/>
      <c r="BN1043" s="45"/>
      <c r="BO1043" s="46"/>
      <c r="BP1043" s="2"/>
      <c r="BQ1043" s="3"/>
    </row>
    <row r="1044" ht="15.75" customHeight="1">
      <c r="A1044" s="34">
        <v>1057.0</v>
      </c>
      <c r="B1044" s="34">
        <v>203123.0</v>
      </c>
      <c r="C1044" s="34" t="s">
        <v>832</v>
      </c>
      <c r="D1044" s="34" t="s">
        <v>1850</v>
      </c>
      <c r="E1044" s="34" t="s">
        <v>1851</v>
      </c>
      <c r="F1044" s="34">
        <v>2021.0</v>
      </c>
      <c r="G1044" s="34" t="s">
        <v>1852</v>
      </c>
      <c r="H1044" s="34" t="s">
        <v>80</v>
      </c>
      <c r="I1044" s="34" t="s">
        <v>1853</v>
      </c>
      <c r="J1044" s="35"/>
      <c r="K1044" s="36"/>
      <c r="L1044" s="36"/>
      <c r="M1044" s="36"/>
      <c r="N1044" s="36"/>
      <c r="O1044" s="36"/>
      <c r="P1044" s="37">
        <v>-5.28</v>
      </c>
      <c r="Q1044" s="36" t="s">
        <v>96</v>
      </c>
      <c r="R1044" s="36" t="s">
        <v>96</v>
      </c>
      <c r="S1044" s="36"/>
      <c r="T1044" s="36" t="s">
        <v>356</v>
      </c>
      <c r="U1044" s="36" t="s">
        <v>968</v>
      </c>
      <c r="V1044" s="36">
        <v>33.0</v>
      </c>
      <c r="W1044" s="36"/>
      <c r="X1044" s="38">
        <v>1.0</v>
      </c>
      <c r="Y1044" s="38" t="s">
        <v>1854</v>
      </c>
      <c r="Z1044" s="38"/>
      <c r="AA1044" s="38" t="s">
        <v>336</v>
      </c>
      <c r="AB1044" s="38">
        <v>-1.72</v>
      </c>
      <c r="AC1044" s="38">
        <v>-51.46</v>
      </c>
      <c r="AD1044" s="38" t="s">
        <v>1855</v>
      </c>
      <c r="AE1044" s="38">
        <v>57.0</v>
      </c>
      <c r="AF1044" s="38"/>
      <c r="AG1044" s="38"/>
      <c r="AH1044" s="38"/>
      <c r="AI1044" s="50">
        <v>-1.72</v>
      </c>
      <c r="AJ1044" s="50">
        <v>-51.46</v>
      </c>
      <c r="AK1044" s="41" t="s">
        <v>336</v>
      </c>
      <c r="AL1044" s="40"/>
      <c r="AM1044" s="49">
        <v>45.0</v>
      </c>
      <c r="AN1044" s="43"/>
      <c r="AO1044" s="42" t="s">
        <v>1024</v>
      </c>
      <c r="AP1044" s="43"/>
      <c r="AQ1044" s="44" t="str">
        <f t="shared" si="94"/>
        <v>EBF</v>
      </c>
      <c r="AR1044" s="44">
        <f t="shared" si="80"/>
        <v>45</v>
      </c>
      <c r="AS1044" s="44" t="str">
        <f t="shared" si="96"/>
        <v>A</v>
      </c>
      <c r="AT1044" s="44" t="s">
        <v>1024</v>
      </c>
      <c r="AU1044" s="44" t="str">
        <f t="shared" si="95"/>
        <v>Am</v>
      </c>
      <c r="AV1044" s="38">
        <v>1.0</v>
      </c>
      <c r="AW1044" s="38"/>
      <c r="AX1044" s="38"/>
      <c r="AY1044" s="38" t="s">
        <v>92</v>
      </c>
      <c r="AZ1044" s="29">
        <v>500.0</v>
      </c>
      <c r="BA1044" s="29">
        <v>1.0</v>
      </c>
      <c r="BB1044" s="29">
        <v>1.0</v>
      </c>
      <c r="BC1044" s="29"/>
      <c r="BD1044" s="29" t="s">
        <v>88</v>
      </c>
      <c r="BE1044" s="29"/>
      <c r="BF1044" s="29" t="s">
        <v>1902</v>
      </c>
      <c r="BG1044" s="29" t="s">
        <v>220</v>
      </c>
      <c r="BH1044" s="29" t="s">
        <v>88</v>
      </c>
      <c r="BI1044" s="29" t="s">
        <v>1848</v>
      </c>
      <c r="BJ1044" s="29"/>
      <c r="BK1044" s="29" t="s">
        <v>148</v>
      </c>
      <c r="BL1044" s="29" t="s">
        <v>148</v>
      </c>
      <c r="BM1044" s="45"/>
      <c r="BN1044" s="45">
        <v>1.0</v>
      </c>
      <c r="BO1044" s="46" t="s">
        <v>1856</v>
      </c>
      <c r="BP1044" s="2"/>
      <c r="BQ1044" s="3"/>
    </row>
    <row r="1045" ht="15.75" customHeight="1">
      <c r="A1045" s="34">
        <v>1058.0</v>
      </c>
      <c r="B1045" s="34">
        <v>203123.0</v>
      </c>
      <c r="C1045" s="34" t="s">
        <v>832</v>
      </c>
      <c r="D1045" s="34" t="s">
        <v>1850</v>
      </c>
      <c r="E1045" s="34" t="s">
        <v>1851</v>
      </c>
      <c r="F1045" s="34">
        <v>2021.0</v>
      </c>
      <c r="G1045" s="34" t="s">
        <v>1852</v>
      </c>
      <c r="H1045" s="34" t="s">
        <v>80</v>
      </c>
      <c r="I1045" s="34" t="s">
        <v>1853</v>
      </c>
      <c r="J1045" s="35"/>
      <c r="K1045" s="36"/>
      <c r="L1045" s="36"/>
      <c r="M1045" s="36"/>
      <c r="N1045" s="36"/>
      <c r="O1045" s="36"/>
      <c r="P1045" s="37">
        <v>3.54</v>
      </c>
      <c r="Q1045" s="36" t="s">
        <v>96</v>
      </c>
      <c r="R1045" s="36" t="s">
        <v>96</v>
      </c>
      <c r="S1045" s="36"/>
      <c r="T1045" s="36" t="s">
        <v>356</v>
      </c>
      <c r="U1045" s="36" t="s">
        <v>350</v>
      </c>
      <c r="V1045" s="36">
        <v>78.0</v>
      </c>
      <c r="W1045" s="36"/>
      <c r="X1045" s="38">
        <v>1.0</v>
      </c>
      <c r="Y1045" s="38" t="s">
        <v>1857</v>
      </c>
      <c r="Z1045" s="38"/>
      <c r="AA1045" s="38" t="s">
        <v>336</v>
      </c>
      <c r="AB1045" s="38">
        <v>-2.61</v>
      </c>
      <c r="AC1045" s="38">
        <v>-60.21</v>
      </c>
      <c r="AD1045" s="38"/>
      <c r="AE1045" s="38">
        <v>90.0</v>
      </c>
      <c r="AF1045" s="38"/>
      <c r="AG1045" s="38"/>
      <c r="AH1045" s="38"/>
      <c r="AI1045" s="50">
        <v>-2.61</v>
      </c>
      <c r="AJ1045" s="50">
        <v>-60.21</v>
      </c>
      <c r="AK1045" s="41" t="s">
        <v>336</v>
      </c>
      <c r="AL1045" s="40"/>
      <c r="AM1045" s="49">
        <v>114.0</v>
      </c>
      <c r="AN1045" s="43"/>
      <c r="AO1045" s="42" t="s">
        <v>784</v>
      </c>
      <c r="AP1045" s="43"/>
      <c r="AQ1045" s="44" t="str">
        <f t="shared" si="94"/>
        <v>EBF</v>
      </c>
      <c r="AR1045" s="44">
        <f t="shared" si="80"/>
        <v>114</v>
      </c>
      <c r="AS1045" s="44" t="str">
        <f t="shared" si="96"/>
        <v>A</v>
      </c>
      <c r="AT1045" s="44" t="s">
        <v>784</v>
      </c>
      <c r="AU1045" s="44" t="str">
        <f t="shared" si="95"/>
        <v>Af</v>
      </c>
      <c r="AV1045" s="38">
        <v>1.0</v>
      </c>
      <c r="AW1045" s="38"/>
      <c r="AX1045" s="38"/>
      <c r="AY1045" s="38" t="s">
        <v>92</v>
      </c>
      <c r="AZ1045" s="29">
        <v>500.0</v>
      </c>
      <c r="BA1045" s="29">
        <v>1.0</v>
      </c>
      <c r="BB1045" s="29">
        <v>1.0</v>
      </c>
      <c r="BC1045" s="29"/>
      <c r="BD1045" s="29" t="s">
        <v>88</v>
      </c>
      <c r="BE1045" s="29"/>
      <c r="BF1045" s="29" t="s">
        <v>1902</v>
      </c>
      <c r="BG1045" s="29" t="s">
        <v>220</v>
      </c>
      <c r="BH1045" s="29" t="s">
        <v>88</v>
      </c>
      <c r="BI1045" s="29" t="s">
        <v>1848</v>
      </c>
      <c r="BJ1045" s="29"/>
      <c r="BK1045" s="29" t="s">
        <v>148</v>
      </c>
      <c r="BL1045" s="29" t="s">
        <v>148</v>
      </c>
      <c r="BM1045" s="45"/>
      <c r="BN1045" s="45"/>
      <c r="BO1045" s="46"/>
      <c r="BP1045" s="2"/>
      <c r="BQ1045" s="3"/>
    </row>
    <row r="1046" ht="15.75" customHeight="1">
      <c r="A1046" s="34">
        <v>1059.0</v>
      </c>
      <c r="B1046" s="34">
        <v>203123.0</v>
      </c>
      <c r="C1046" s="34" t="s">
        <v>832</v>
      </c>
      <c r="D1046" s="34" t="s">
        <v>1850</v>
      </c>
      <c r="E1046" s="34" t="s">
        <v>1851</v>
      </c>
      <c r="F1046" s="34">
        <v>2021.0</v>
      </c>
      <c r="G1046" s="34" t="s">
        <v>1852</v>
      </c>
      <c r="H1046" s="34" t="s">
        <v>80</v>
      </c>
      <c r="I1046" s="34" t="s">
        <v>1853</v>
      </c>
      <c r="J1046" s="35"/>
      <c r="K1046" s="36"/>
      <c r="L1046" s="36"/>
      <c r="M1046" s="36"/>
      <c r="N1046" s="36"/>
      <c r="O1046" s="36"/>
      <c r="P1046" s="37">
        <v>-2.62</v>
      </c>
      <c r="Q1046" s="36" t="s">
        <v>96</v>
      </c>
      <c r="R1046" s="36" t="s">
        <v>96</v>
      </c>
      <c r="S1046" s="36"/>
      <c r="T1046" s="36" t="s">
        <v>284</v>
      </c>
      <c r="U1046" s="36" t="s">
        <v>194</v>
      </c>
      <c r="V1046" s="36">
        <v>395.0</v>
      </c>
      <c r="W1046" s="36"/>
      <c r="X1046" s="38">
        <v>1.0</v>
      </c>
      <c r="Y1046" s="38" t="s">
        <v>1858</v>
      </c>
      <c r="Z1046" s="38"/>
      <c r="AA1046" s="38" t="s">
        <v>336</v>
      </c>
      <c r="AB1046" s="38">
        <v>-2.86</v>
      </c>
      <c r="AC1046" s="38">
        <v>-54.96</v>
      </c>
      <c r="AD1046" s="38"/>
      <c r="AE1046" s="38">
        <v>194.0</v>
      </c>
      <c r="AF1046" s="38"/>
      <c r="AG1046" s="38"/>
      <c r="AH1046" s="38"/>
      <c r="AI1046" s="50">
        <v>-2.86</v>
      </c>
      <c r="AJ1046" s="50">
        <v>-54.96</v>
      </c>
      <c r="AK1046" s="41" t="s">
        <v>336</v>
      </c>
      <c r="AL1046" s="40"/>
      <c r="AM1046" s="49">
        <v>199.0</v>
      </c>
      <c r="AN1046" s="43"/>
      <c r="AO1046" s="42" t="s">
        <v>1024</v>
      </c>
      <c r="AP1046" s="43"/>
      <c r="AQ1046" s="44" t="str">
        <f t="shared" si="94"/>
        <v>EBF</v>
      </c>
      <c r="AR1046" s="44">
        <f t="shared" si="80"/>
        <v>199</v>
      </c>
      <c r="AS1046" s="44" t="str">
        <f t="shared" si="96"/>
        <v>A</v>
      </c>
      <c r="AT1046" s="44" t="s">
        <v>1024</v>
      </c>
      <c r="AU1046" s="44" t="str">
        <f t="shared" si="95"/>
        <v>Am</v>
      </c>
      <c r="AV1046" s="38">
        <v>1.0</v>
      </c>
      <c r="AW1046" s="38"/>
      <c r="AX1046" s="38"/>
      <c r="AY1046" s="38" t="s">
        <v>92</v>
      </c>
      <c r="AZ1046" s="29">
        <v>500.0</v>
      </c>
      <c r="BA1046" s="29">
        <v>1.0</v>
      </c>
      <c r="BB1046" s="29">
        <v>1.0</v>
      </c>
      <c r="BC1046" s="29"/>
      <c r="BD1046" s="29" t="s">
        <v>88</v>
      </c>
      <c r="BE1046" s="29"/>
      <c r="BF1046" s="29" t="s">
        <v>1902</v>
      </c>
      <c r="BG1046" s="29" t="s">
        <v>220</v>
      </c>
      <c r="BH1046" s="29" t="s">
        <v>88</v>
      </c>
      <c r="BI1046" s="29" t="s">
        <v>1848</v>
      </c>
      <c r="BJ1046" s="29"/>
      <c r="BK1046" s="29" t="s">
        <v>148</v>
      </c>
      <c r="BL1046" s="29" t="s">
        <v>148</v>
      </c>
      <c r="BM1046" s="45"/>
      <c r="BN1046" s="45"/>
      <c r="BO1046" s="46"/>
      <c r="BP1046" s="2"/>
      <c r="BQ1046" s="3"/>
    </row>
    <row r="1047" ht="15.75" customHeight="1">
      <c r="A1047" s="34">
        <v>1060.0</v>
      </c>
      <c r="B1047" s="34">
        <v>203123.0</v>
      </c>
      <c r="C1047" s="34" t="s">
        <v>832</v>
      </c>
      <c r="D1047" s="34" t="s">
        <v>1850</v>
      </c>
      <c r="E1047" s="34" t="s">
        <v>1851</v>
      </c>
      <c r="F1047" s="34">
        <v>2021.0</v>
      </c>
      <c r="G1047" s="34" t="s">
        <v>1852</v>
      </c>
      <c r="H1047" s="34" t="s">
        <v>80</v>
      </c>
      <c r="I1047" s="34" t="s">
        <v>1853</v>
      </c>
      <c r="J1047" s="35"/>
      <c r="K1047" s="36"/>
      <c r="L1047" s="36"/>
      <c r="M1047" s="36"/>
      <c r="N1047" s="36"/>
      <c r="O1047" s="36"/>
      <c r="P1047" s="37">
        <v>38.84</v>
      </c>
      <c r="Q1047" s="36" t="s">
        <v>96</v>
      </c>
      <c r="R1047" s="36" t="s">
        <v>96</v>
      </c>
      <c r="S1047" s="36"/>
      <c r="T1047" s="36" t="s">
        <v>328</v>
      </c>
      <c r="U1047" s="36" t="s">
        <v>285</v>
      </c>
      <c r="V1047" s="36">
        <v>123.0</v>
      </c>
      <c r="W1047" s="36"/>
      <c r="X1047" s="38">
        <v>1.0</v>
      </c>
      <c r="Y1047" s="38" t="s">
        <v>1859</v>
      </c>
      <c r="Z1047" s="38"/>
      <c r="AA1047" s="38" t="s">
        <v>86</v>
      </c>
      <c r="AB1047" s="38">
        <v>-3.01</v>
      </c>
      <c r="AC1047" s="38">
        <v>-54.54</v>
      </c>
      <c r="AD1047" s="38"/>
      <c r="AE1047" s="38">
        <v>101.0</v>
      </c>
      <c r="AF1047" s="38"/>
      <c r="AG1047" s="38"/>
      <c r="AH1047" s="38"/>
      <c r="AI1047" s="50">
        <v>-3.01</v>
      </c>
      <c r="AJ1047" s="50">
        <v>-54.54</v>
      </c>
      <c r="AK1047" s="41" t="s">
        <v>200</v>
      </c>
      <c r="AL1047" s="40"/>
      <c r="AM1047" s="49">
        <v>69.0</v>
      </c>
      <c r="AN1047" s="43"/>
      <c r="AO1047" s="42" t="s">
        <v>1024</v>
      </c>
      <c r="AP1047" s="43"/>
      <c r="AQ1047" s="44" t="str">
        <f t="shared" si="94"/>
        <v>CRO</v>
      </c>
      <c r="AR1047" s="44">
        <f t="shared" si="80"/>
        <v>69</v>
      </c>
      <c r="AS1047" s="44" t="str">
        <f t="shared" si="96"/>
        <v>A</v>
      </c>
      <c r="AT1047" s="44" t="s">
        <v>1024</v>
      </c>
      <c r="AU1047" s="44" t="str">
        <f t="shared" si="95"/>
        <v>Am</v>
      </c>
      <c r="AV1047" s="38">
        <v>1.0</v>
      </c>
      <c r="AW1047" s="38"/>
      <c r="AX1047" s="38"/>
      <c r="AY1047" s="38" t="s">
        <v>92</v>
      </c>
      <c r="AZ1047" s="29">
        <v>500.0</v>
      </c>
      <c r="BA1047" s="29">
        <v>1.0</v>
      </c>
      <c r="BB1047" s="29">
        <v>1.0</v>
      </c>
      <c r="BC1047" s="29"/>
      <c r="BD1047" s="29" t="s">
        <v>88</v>
      </c>
      <c r="BE1047" s="29"/>
      <c r="BF1047" s="29" t="s">
        <v>1902</v>
      </c>
      <c r="BG1047" s="29" t="s">
        <v>220</v>
      </c>
      <c r="BH1047" s="29" t="s">
        <v>88</v>
      </c>
      <c r="BI1047" s="29" t="s">
        <v>1848</v>
      </c>
      <c r="BJ1047" s="29"/>
      <c r="BK1047" s="29" t="s">
        <v>148</v>
      </c>
      <c r="BL1047" s="29" t="s">
        <v>148</v>
      </c>
      <c r="BM1047" s="45"/>
      <c r="BN1047" s="45"/>
      <c r="BO1047" s="46"/>
      <c r="BP1047" s="2"/>
      <c r="BQ1047" s="3"/>
    </row>
    <row r="1048" ht="15.75" customHeight="1">
      <c r="A1048" s="34">
        <v>1061.0</v>
      </c>
      <c r="B1048" s="34">
        <v>203123.0</v>
      </c>
      <c r="C1048" s="34" t="s">
        <v>832</v>
      </c>
      <c r="D1048" s="34" t="s">
        <v>1850</v>
      </c>
      <c r="E1048" s="34" t="s">
        <v>1851</v>
      </c>
      <c r="F1048" s="34">
        <v>2021.0</v>
      </c>
      <c r="G1048" s="34" t="s">
        <v>1852</v>
      </c>
      <c r="H1048" s="34" t="s">
        <v>80</v>
      </c>
      <c r="I1048" s="34" t="s">
        <v>1853</v>
      </c>
      <c r="J1048" s="35"/>
      <c r="K1048" s="36"/>
      <c r="L1048" s="36"/>
      <c r="M1048" s="36"/>
      <c r="N1048" s="36"/>
      <c r="O1048" s="36"/>
      <c r="P1048" s="37">
        <v>-7.7</v>
      </c>
      <c r="Q1048" s="36" t="s">
        <v>96</v>
      </c>
      <c r="R1048" s="36" t="s">
        <v>96</v>
      </c>
      <c r="S1048" s="36"/>
      <c r="T1048" s="36" t="s">
        <v>1860</v>
      </c>
      <c r="U1048" s="36" t="s">
        <v>295</v>
      </c>
      <c r="V1048" s="36">
        <v>224.0</v>
      </c>
      <c r="W1048" s="36"/>
      <c r="X1048" s="38">
        <v>1.0</v>
      </c>
      <c r="Y1048" s="38" t="s">
        <v>1861</v>
      </c>
      <c r="Z1048" s="38"/>
      <c r="AA1048" s="38" t="s">
        <v>336</v>
      </c>
      <c r="AB1048" s="38">
        <v>-3.02</v>
      </c>
      <c r="AC1048" s="38">
        <v>-54.97</v>
      </c>
      <c r="AD1048" s="38"/>
      <c r="AE1048" s="38">
        <v>181.0</v>
      </c>
      <c r="AF1048" s="38"/>
      <c r="AG1048" s="38"/>
      <c r="AH1048" s="38"/>
      <c r="AI1048" s="50">
        <v>-3.02</v>
      </c>
      <c r="AJ1048" s="50">
        <v>-54.97</v>
      </c>
      <c r="AK1048" s="41" t="s">
        <v>336</v>
      </c>
      <c r="AL1048" s="40"/>
      <c r="AM1048" s="49">
        <v>187.0</v>
      </c>
      <c r="AN1048" s="43"/>
      <c r="AO1048" s="42" t="s">
        <v>1024</v>
      </c>
      <c r="AP1048" s="43"/>
      <c r="AQ1048" s="44" t="str">
        <f t="shared" si="94"/>
        <v>EBF</v>
      </c>
      <c r="AR1048" s="44">
        <f t="shared" si="80"/>
        <v>187</v>
      </c>
      <c r="AS1048" s="44" t="str">
        <f t="shared" si="96"/>
        <v>A</v>
      </c>
      <c r="AT1048" s="44" t="s">
        <v>1024</v>
      </c>
      <c r="AU1048" s="44" t="str">
        <f t="shared" si="95"/>
        <v>Am</v>
      </c>
      <c r="AV1048" s="38">
        <v>1.0</v>
      </c>
      <c r="AW1048" s="38"/>
      <c r="AX1048" s="38"/>
      <c r="AY1048" s="38" t="s">
        <v>92</v>
      </c>
      <c r="AZ1048" s="29">
        <v>500.0</v>
      </c>
      <c r="BA1048" s="29">
        <v>1.0</v>
      </c>
      <c r="BB1048" s="29">
        <v>1.0</v>
      </c>
      <c r="BC1048" s="29"/>
      <c r="BD1048" s="29" t="s">
        <v>88</v>
      </c>
      <c r="BE1048" s="29"/>
      <c r="BF1048" s="29" t="s">
        <v>1902</v>
      </c>
      <c r="BG1048" s="29" t="s">
        <v>220</v>
      </c>
      <c r="BH1048" s="29" t="s">
        <v>88</v>
      </c>
      <c r="BI1048" s="29" t="s">
        <v>1848</v>
      </c>
      <c r="BJ1048" s="29"/>
      <c r="BK1048" s="29" t="s">
        <v>148</v>
      </c>
      <c r="BL1048" s="29" t="s">
        <v>148</v>
      </c>
      <c r="BM1048" s="45"/>
      <c r="BN1048" s="45"/>
      <c r="BO1048" s="46"/>
      <c r="BP1048" s="2"/>
      <c r="BQ1048" s="3"/>
    </row>
    <row r="1049" ht="15.75" customHeight="1">
      <c r="A1049" s="34">
        <v>1062.0</v>
      </c>
      <c r="B1049" s="34">
        <v>203123.0</v>
      </c>
      <c r="C1049" s="34" t="s">
        <v>832</v>
      </c>
      <c r="D1049" s="34" t="s">
        <v>1850</v>
      </c>
      <c r="E1049" s="34" t="s">
        <v>1851</v>
      </c>
      <c r="F1049" s="34">
        <v>2021.0</v>
      </c>
      <c r="G1049" s="34" t="s">
        <v>1852</v>
      </c>
      <c r="H1049" s="34" t="s">
        <v>80</v>
      </c>
      <c r="I1049" s="34" t="s">
        <v>1853</v>
      </c>
      <c r="J1049" s="35"/>
      <c r="K1049" s="36"/>
      <c r="L1049" s="36"/>
      <c r="M1049" s="36"/>
      <c r="N1049" s="36"/>
      <c r="O1049" s="36"/>
      <c r="P1049" s="37">
        <v>1.08</v>
      </c>
      <c r="Q1049" s="36" t="s">
        <v>96</v>
      </c>
      <c r="R1049" s="36" t="s">
        <v>96</v>
      </c>
      <c r="S1049" s="36"/>
      <c r="T1049" s="36" t="s">
        <v>245</v>
      </c>
      <c r="U1049" s="36" t="s">
        <v>837</v>
      </c>
      <c r="V1049" s="36">
        <v>288.0</v>
      </c>
      <c r="W1049" s="36"/>
      <c r="X1049" s="38">
        <v>1.0</v>
      </c>
      <c r="Y1049" s="38" t="s">
        <v>1862</v>
      </c>
      <c r="Z1049" s="38"/>
      <c r="AA1049" s="38" t="s">
        <v>636</v>
      </c>
      <c r="AB1049" s="38">
        <v>-6.58</v>
      </c>
      <c r="AC1049" s="38">
        <v>-37.25</v>
      </c>
      <c r="AD1049" s="38"/>
      <c r="AE1049" s="38">
        <v>205.0</v>
      </c>
      <c r="AF1049" s="38"/>
      <c r="AG1049" s="38"/>
      <c r="AH1049" s="38"/>
      <c r="AI1049" s="50">
        <v>-6.58</v>
      </c>
      <c r="AJ1049" s="50">
        <v>-37.25</v>
      </c>
      <c r="AK1049" s="41" t="s">
        <v>291</v>
      </c>
      <c r="AL1049" s="40"/>
      <c r="AM1049" s="49">
        <v>192.0</v>
      </c>
      <c r="AN1049" s="43"/>
      <c r="AO1049" s="42" t="s">
        <v>304</v>
      </c>
      <c r="AP1049" s="43"/>
      <c r="AQ1049" s="44" t="str">
        <f t="shared" si="94"/>
        <v>DNF</v>
      </c>
      <c r="AR1049" s="44">
        <f t="shared" si="80"/>
        <v>192</v>
      </c>
      <c r="AS1049" s="44" t="str">
        <f t="shared" si="96"/>
        <v>B</v>
      </c>
      <c r="AT1049" s="44" t="s">
        <v>1863</v>
      </c>
      <c r="AU1049" s="44" t="str">
        <f t="shared" si="95"/>
        <v>BSh</v>
      </c>
      <c r="AV1049" s="38">
        <v>1.0</v>
      </c>
      <c r="AW1049" s="38"/>
      <c r="AX1049" s="38"/>
      <c r="AY1049" s="38" t="s">
        <v>92</v>
      </c>
      <c r="AZ1049" s="29">
        <v>500.0</v>
      </c>
      <c r="BA1049" s="29">
        <v>1.0</v>
      </c>
      <c r="BB1049" s="29">
        <v>1.0</v>
      </c>
      <c r="BC1049" s="29"/>
      <c r="BD1049" s="29" t="s">
        <v>88</v>
      </c>
      <c r="BE1049" s="29"/>
      <c r="BF1049" s="29" t="s">
        <v>1902</v>
      </c>
      <c r="BG1049" s="29" t="s">
        <v>220</v>
      </c>
      <c r="BH1049" s="29" t="s">
        <v>88</v>
      </c>
      <c r="BI1049" s="29" t="s">
        <v>1848</v>
      </c>
      <c r="BJ1049" s="29"/>
      <c r="BK1049" s="29" t="s">
        <v>148</v>
      </c>
      <c r="BL1049" s="29" t="s">
        <v>148</v>
      </c>
      <c r="BM1049" s="45"/>
      <c r="BN1049" s="45"/>
      <c r="BO1049" s="46"/>
      <c r="BP1049" s="2"/>
      <c r="BQ1049" s="3"/>
    </row>
    <row r="1050" ht="15.75" customHeight="1">
      <c r="A1050" s="34">
        <v>1063.0</v>
      </c>
      <c r="B1050" s="34">
        <v>203123.0</v>
      </c>
      <c r="C1050" s="34" t="s">
        <v>832</v>
      </c>
      <c r="D1050" s="34" t="s">
        <v>1850</v>
      </c>
      <c r="E1050" s="34" t="s">
        <v>1851</v>
      </c>
      <c r="F1050" s="34">
        <v>2021.0</v>
      </c>
      <c r="G1050" s="34" t="s">
        <v>1852</v>
      </c>
      <c r="H1050" s="34" t="s">
        <v>80</v>
      </c>
      <c r="I1050" s="34" t="s">
        <v>1853</v>
      </c>
      <c r="J1050" s="35"/>
      <c r="K1050" s="36"/>
      <c r="L1050" s="36"/>
      <c r="M1050" s="36"/>
      <c r="N1050" s="36"/>
      <c r="O1050" s="36"/>
      <c r="P1050" s="37">
        <v>27.01</v>
      </c>
      <c r="Q1050" s="36" t="s">
        <v>96</v>
      </c>
      <c r="R1050" s="36" t="s">
        <v>96</v>
      </c>
      <c r="S1050" s="36"/>
      <c r="T1050" s="36" t="s">
        <v>1864</v>
      </c>
      <c r="U1050" s="36" t="s">
        <v>1865</v>
      </c>
      <c r="V1050" s="36">
        <v>474.0</v>
      </c>
      <c r="W1050" s="36"/>
      <c r="X1050" s="38">
        <v>1.0</v>
      </c>
      <c r="Y1050" s="38" t="s">
        <v>1866</v>
      </c>
      <c r="Z1050" s="38"/>
      <c r="AA1050" s="38" t="s">
        <v>636</v>
      </c>
      <c r="AB1050" s="38">
        <v>-7.96</v>
      </c>
      <c r="AC1050" s="38">
        <v>-38.38</v>
      </c>
      <c r="AD1050" s="38"/>
      <c r="AE1050" s="38">
        <v>468.0</v>
      </c>
      <c r="AF1050" s="38"/>
      <c r="AG1050" s="38"/>
      <c r="AH1050" s="38"/>
      <c r="AI1050" s="50">
        <v>-7.96</v>
      </c>
      <c r="AJ1050" s="50">
        <v>-38.38</v>
      </c>
      <c r="AK1050" s="41" t="s">
        <v>291</v>
      </c>
      <c r="AL1050" s="40"/>
      <c r="AM1050" s="49">
        <v>469.0</v>
      </c>
      <c r="AN1050" s="43"/>
      <c r="AO1050" s="42" t="s">
        <v>304</v>
      </c>
      <c r="AP1050" s="43"/>
      <c r="AQ1050" s="44" t="str">
        <f t="shared" si="94"/>
        <v>DNF</v>
      </c>
      <c r="AR1050" s="44">
        <f t="shared" si="80"/>
        <v>469</v>
      </c>
      <c r="AS1050" s="44" t="str">
        <f t="shared" si="96"/>
        <v>B</v>
      </c>
      <c r="AT1050" s="44" t="s">
        <v>1863</v>
      </c>
      <c r="AU1050" s="44" t="str">
        <f t="shared" si="95"/>
        <v>BSh</v>
      </c>
      <c r="AV1050" s="38">
        <v>1.0</v>
      </c>
      <c r="AW1050" s="38"/>
      <c r="AX1050" s="38"/>
      <c r="AY1050" s="38" t="s">
        <v>92</v>
      </c>
      <c r="AZ1050" s="29">
        <v>500.0</v>
      </c>
      <c r="BA1050" s="29">
        <v>1.0</v>
      </c>
      <c r="BB1050" s="29">
        <v>1.0</v>
      </c>
      <c r="BC1050" s="29"/>
      <c r="BD1050" s="29" t="s">
        <v>88</v>
      </c>
      <c r="BE1050" s="29"/>
      <c r="BF1050" s="29" t="s">
        <v>1902</v>
      </c>
      <c r="BG1050" s="29" t="s">
        <v>220</v>
      </c>
      <c r="BH1050" s="29" t="s">
        <v>88</v>
      </c>
      <c r="BI1050" s="29" t="s">
        <v>1848</v>
      </c>
      <c r="BJ1050" s="29"/>
      <c r="BK1050" s="29" t="s">
        <v>148</v>
      </c>
      <c r="BL1050" s="29" t="s">
        <v>148</v>
      </c>
      <c r="BM1050" s="45"/>
      <c r="BN1050" s="45"/>
      <c r="BO1050" s="46"/>
      <c r="BP1050" s="2"/>
      <c r="BQ1050" s="3"/>
    </row>
    <row r="1051" ht="15.75" customHeight="1">
      <c r="A1051" s="34">
        <v>1064.0</v>
      </c>
      <c r="B1051" s="34">
        <v>203123.0</v>
      </c>
      <c r="C1051" s="34" t="s">
        <v>832</v>
      </c>
      <c r="D1051" s="34" t="s">
        <v>1850</v>
      </c>
      <c r="E1051" s="34" t="s">
        <v>1851</v>
      </c>
      <c r="F1051" s="34">
        <v>2021.0</v>
      </c>
      <c r="G1051" s="34" t="s">
        <v>1852</v>
      </c>
      <c r="H1051" s="34" t="s">
        <v>80</v>
      </c>
      <c r="I1051" s="34" t="s">
        <v>1853</v>
      </c>
      <c r="J1051" s="35"/>
      <c r="K1051" s="36"/>
      <c r="L1051" s="36"/>
      <c r="M1051" s="36"/>
      <c r="N1051" s="36"/>
      <c r="O1051" s="36"/>
      <c r="P1051" s="37">
        <v>14.06</v>
      </c>
      <c r="Q1051" s="36" t="s">
        <v>96</v>
      </c>
      <c r="R1051" s="36" t="s">
        <v>96</v>
      </c>
      <c r="S1051" s="36"/>
      <c r="T1051" s="36" t="s">
        <v>167</v>
      </c>
      <c r="U1051" s="36" t="s">
        <v>245</v>
      </c>
      <c r="V1051" s="36">
        <v>212.0</v>
      </c>
      <c r="W1051" s="36"/>
      <c r="X1051" s="38">
        <v>1.0</v>
      </c>
      <c r="Y1051" s="38" t="s">
        <v>1867</v>
      </c>
      <c r="Z1051" s="38"/>
      <c r="AA1051" s="38" t="s">
        <v>288</v>
      </c>
      <c r="AB1051" s="38">
        <v>-8.81</v>
      </c>
      <c r="AC1051" s="38">
        <v>-36.41</v>
      </c>
      <c r="AD1051" s="38"/>
      <c r="AE1051" s="38">
        <v>702.0</v>
      </c>
      <c r="AF1051" s="38"/>
      <c r="AG1051" s="38"/>
      <c r="AH1051" s="38"/>
      <c r="AI1051" s="50">
        <v>-8.81</v>
      </c>
      <c r="AJ1051" s="50">
        <v>-36.41</v>
      </c>
      <c r="AK1051" s="41" t="s">
        <v>86</v>
      </c>
      <c r="AL1051" s="40"/>
      <c r="AM1051" s="49">
        <v>688.0</v>
      </c>
      <c r="AN1051" s="43"/>
      <c r="AO1051" s="42" t="s">
        <v>335</v>
      </c>
      <c r="AP1051" s="43"/>
      <c r="AQ1051" s="44" t="str">
        <f t="shared" si="94"/>
        <v>GRA</v>
      </c>
      <c r="AR1051" s="44">
        <f t="shared" si="80"/>
        <v>688</v>
      </c>
      <c r="AS1051" s="44" t="str">
        <f t="shared" si="96"/>
        <v>A</v>
      </c>
      <c r="AT1051" s="44" t="s">
        <v>335</v>
      </c>
      <c r="AU1051" s="44" t="str">
        <f t="shared" si="95"/>
        <v>Aw</v>
      </c>
      <c r="AV1051" s="38">
        <v>1.0</v>
      </c>
      <c r="AW1051" s="38"/>
      <c r="AX1051" s="38"/>
      <c r="AY1051" s="38" t="s">
        <v>92</v>
      </c>
      <c r="AZ1051" s="29">
        <v>500.0</v>
      </c>
      <c r="BA1051" s="29">
        <v>1.0</v>
      </c>
      <c r="BB1051" s="29">
        <v>1.0</v>
      </c>
      <c r="BC1051" s="29"/>
      <c r="BD1051" s="29" t="s">
        <v>88</v>
      </c>
      <c r="BE1051" s="29"/>
      <c r="BF1051" s="29" t="s">
        <v>1902</v>
      </c>
      <c r="BG1051" s="29" t="s">
        <v>220</v>
      </c>
      <c r="BH1051" s="29" t="s">
        <v>88</v>
      </c>
      <c r="BI1051" s="29" t="s">
        <v>1848</v>
      </c>
      <c r="BJ1051" s="29"/>
      <c r="BK1051" s="29" t="s">
        <v>148</v>
      </c>
      <c r="BL1051" s="29" t="s">
        <v>148</v>
      </c>
      <c r="BM1051" s="45"/>
      <c r="BN1051" s="45"/>
      <c r="BO1051" s="46"/>
      <c r="BP1051" s="2"/>
      <c r="BQ1051" s="3"/>
    </row>
    <row r="1052" ht="15.75" customHeight="1">
      <c r="A1052" s="34">
        <v>1065.0</v>
      </c>
      <c r="B1052" s="34">
        <v>203123.0</v>
      </c>
      <c r="C1052" s="34" t="s">
        <v>832</v>
      </c>
      <c r="D1052" s="34" t="s">
        <v>1850</v>
      </c>
      <c r="E1052" s="34" t="s">
        <v>1851</v>
      </c>
      <c r="F1052" s="34">
        <v>2021.0</v>
      </c>
      <c r="G1052" s="34" t="s">
        <v>1852</v>
      </c>
      <c r="H1052" s="34" t="s">
        <v>80</v>
      </c>
      <c r="I1052" s="34" t="s">
        <v>1853</v>
      </c>
      <c r="J1052" s="35"/>
      <c r="K1052" s="36"/>
      <c r="L1052" s="36"/>
      <c r="M1052" s="36"/>
      <c r="N1052" s="36"/>
      <c r="O1052" s="36"/>
      <c r="P1052" s="37">
        <v>16.52</v>
      </c>
      <c r="Q1052" s="36" t="s">
        <v>96</v>
      </c>
      <c r="R1052" s="36" t="s">
        <v>96</v>
      </c>
      <c r="S1052" s="36"/>
      <c r="T1052" s="36" t="s">
        <v>233</v>
      </c>
      <c r="U1052" s="36" t="s">
        <v>242</v>
      </c>
      <c r="V1052" s="36">
        <v>242.0</v>
      </c>
      <c r="W1052" s="36"/>
      <c r="X1052" s="38">
        <v>1.0</v>
      </c>
      <c r="Y1052" s="38" t="s">
        <v>1868</v>
      </c>
      <c r="Z1052" s="38"/>
      <c r="AA1052" s="38" t="s">
        <v>636</v>
      </c>
      <c r="AB1052" s="38">
        <v>-9.05</v>
      </c>
      <c r="AC1052" s="38">
        <v>-40.32</v>
      </c>
      <c r="AD1052" s="38"/>
      <c r="AE1052" s="38">
        <v>391.0</v>
      </c>
      <c r="AF1052" s="38"/>
      <c r="AG1052" s="38"/>
      <c r="AH1052" s="38"/>
      <c r="AI1052" s="50">
        <v>-9.05</v>
      </c>
      <c r="AJ1052" s="50">
        <v>-40.32</v>
      </c>
      <c r="AK1052" s="41" t="s">
        <v>291</v>
      </c>
      <c r="AL1052" s="40"/>
      <c r="AM1052" s="49">
        <v>390.0</v>
      </c>
      <c r="AN1052" s="43"/>
      <c r="AO1052" s="42" t="s">
        <v>304</v>
      </c>
      <c r="AP1052" s="43"/>
      <c r="AQ1052" s="44" t="str">
        <f t="shared" si="94"/>
        <v>DNF</v>
      </c>
      <c r="AR1052" s="44">
        <f t="shared" si="80"/>
        <v>390</v>
      </c>
      <c r="AS1052" s="44" t="str">
        <f t="shared" si="96"/>
        <v>B</v>
      </c>
      <c r="AT1052" s="44" t="s">
        <v>1863</v>
      </c>
      <c r="AU1052" s="44" t="str">
        <f t="shared" si="95"/>
        <v>BSh</v>
      </c>
      <c r="AV1052" s="38">
        <v>1.0</v>
      </c>
      <c r="AW1052" s="38"/>
      <c r="AX1052" s="38"/>
      <c r="AY1052" s="38" t="s">
        <v>92</v>
      </c>
      <c r="AZ1052" s="29">
        <v>500.0</v>
      </c>
      <c r="BA1052" s="29">
        <v>1.0</v>
      </c>
      <c r="BB1052" s="29">
        <v>1.0</v>
      </c>
      <c r="BC1052" s="29"/>
      <c r="BD1052" s="29" t="s">
        <v>88</v>
      </c>
      <c r="BE1052" s="29"/>
      <c r="BF1052" s="29" t="s">
        <v>1902</v>
      </c>
      <c r="BG1052" s="29" t="s">
        <v>220</v>
      </c>
      <c r="BH1052" s="29" t="s">
        <v>88</v>
      </c>
      <c r="BI1052" s="29" t="s">
        <v>1848</v>
      </c>
      <c r="BJ1052" s="29"/>
      <c r="BK1052" s="29" t="s">
        <v>148</v>
      </c>
      <c r="BL1052" s="29" t="s">
        <v>148</v>
      </c>
      <c r="BM1052" s="45"/>
      <c r="BN1052" s="45"/>
      <c r="BO1052" s="46"/>
      <c r="BP1052" s="2"/>
      <c r="BQ1052" s="3"/>
    </row>
    <row r="1053" ht="15.75" customHeight="1">
      <c r="A1053" s="34">
        <v>1066.0</v>
      </c>
      <c r="B1053" s="34">
        <v>203123.0</v>
      </c>
      <c r="C1053" s="34" t="s">
        <v>832</v>
      </c>
      <c r="D1053" s="34" t="s">
        <v>1850</v>
      </c>
      <c r="E1053" s="34" t="s">
        <v>1851</v>
      </c>
      <c r="F1053" s="34">
        <v>2021.0</v>
      </c>
      <c r="G1053" s="34" t="s">
        <v>1852</v>
      </c>
      <c r="H1053" s="34" t="s">
        <v>80</v>
      </c>
      <c r="I1053" s="34" t="s">
        <v>1853</v>
      </c>
      <c r="J1053" s="35"/>
      <c r="K1053" s="36"/>
      <c r="L1053" s="36"/>
      <c r="M1053" s="36"/>
      <c r="N1053" s="36"/>
      <c r="O1053" s="36"/>
      <c r="P1053" s="37">
        <v>8.1</v>
      </c>
      <c r="Q1053" s="36" t="s">
        <v>96</v>
      </c>
      <c r="R1053" s="36" t="s">
        <v>96</v>
      </c>
      <c r="S1053" s="36"/>
      <c r="T1053" s="36" t="s">
        <v>1869</v>
      </c>
      <c r="U1053" s="36" t="s">
        <v>350</v>
      </c>
      <c r="V1053" s="36">
        <v>352.0</v>
      </c>
      <c r="W1053" s="36"/>
      <c r="X1053" s="38">
        <v>1.0</v>
      </c>
      <c r="Y1053" s="38" t="s">
        <v>1870</v>
      </c>
      <c r="Z1053" s="38"/>
      <c r="AA1053" s="38" t="s">
        <v>200</v>
      </c>
      <c r="AB1053" s="38">
        <v>-9.82</v>
      </c>
      <c r="AC1053" s="38">
        <v>-50.16</v>
      </c>
      <c r="AD1053" s="38"/>
      <c r="AE1053" s="38">
        <v>168.0</v>
      </c>
      <c r="AF1053" s="38"/>
      <c r="AG1053" s="38"/>
      <c r="AH1053" s="38"/>
      <c r="AI1053" s="50">
        <v>-9.82</v>
      </c>
      <c r="AJ1053" s="50">
        <v>-50.16</v>
      </c>
      <c r="AK1053" s="41" t="s">
        <v>336</v>
      </c>
      <c r="AL1053" s="40"/>
      <c r="AM1053" s="49">
        <v>177.0</v>
      </c>
      <c r="AN1053" s="43"/>
      <c r="AO1053" s="42" t="s">
        <v>335</v>
      </c>
      <c r="AP1053" s="43"/>
      <c r="AQ1053" s="44" t="str">
        <f t="shared" si="94"/>
        <v>WSA</v>
      </c>
      <c r="AR1053" s="44">
        <f t="shared" si="80"/>
        <v>177</v>
      </c>
      <c r="AS1053" s="44" t="str">
        <f t="shared" si="96"/>
        <v>A</v>
      </c>
      <c r="AT1053" s="44" t="s">
        <v>335</v>
      </c>
      <c r="AU1053" s="44" t="str">
        <f t="shared" si="95"/>
        <v>Aw</v>
      </c>
      <c r="AV1053" s="38">
        <v>1.0</v>
      </c>
      <c r="AW1053" s="38"/>
      <c r="AX1053" s="38"/>
      <c r="AY1053" s="38" t="s">
        <v>92</v>
      </c>
      <c r="AZ1053" s="29">
        <v>500.0</v>
      </c>
      <c r="BA1053" s="29">
        <v>1.0</v>
      </c>
      <c r="BB1053" s="29">
        <v>1.0</v>
      </c>
      <c r="BC1053" s="29"/>
      <c r="BD1053" s="29" t="s">
        <v>88</v>
      </c>
      <c r="BE1053" s="29"/>
      <c r="BF1053" s="29" t="s">
        <v>1902</v>
      </c>
      <c r="BG1053" s="29" t="s">
        <v>220</v>
      </c>
      <c r="BH1053" s="29" t="s">
        <v>88</v>
      </c>
      <c r="BI1053" s="29" t="s">
        <v>1848</v>
      </c>
      <c r="BJ1053" s="29"/>
      <c r="BK1053" s="29" t="s">
        <v>148</v>
      </c>
      <c r="BL1053" s="29" t="s">
        <v>148</v>
      </c>
      <c r="BM1053" s="45"/>
      <c r="BN1053" s="45"/>
      <c r="BO1053" s="46"/>
      <c r="BP1053" s="2"/>
      <c r="BQ1053" s="3"/>
    </row>
    <row r="1054" ht="15.75" customHeight="1">
      <c r="A1054" s="34">
        <v>1067.0</v>
      </c>
      <c r="B1054" s="34">
        <v>203123.0</v>
      </c>
      <c r="C1054" s="34" t="s">
        <v>832</v>
      </c>
      <c r="D1054" s="34" t="s">
        <v>1850</v>
      </c>
      <c r="E1054" s="34" t="s">
        <v>1851</v>
      </c>
      <c r="F1054" s="34">
        <v>2021.0</v>
      </c>
      <c r="G1054" s="34" t="s">
        <v>1852</v>
      </c>
      <c r="H1054" s="34" t="s">
        <v>80</v>
      </c>
      <c r="I1054" s="34" t="s">
        <v>1853</v>
      </c>
      <c r="J1054" s="35"/>
      <c r="K1054" s="36"/>
      <c r="L1054" s="36"/>
      <c r="M1054" s="36"/>
      <c r="N1054" s="36"/>
      <c r="O1054" s="36"/>
      <c r="P1054" s="37">
        <v>13.88</v>
      </c>
      <c r="Q1054" s="36" t="s">
        <v>96</v>
      </c>
      <c r="R1054" s="36" t="s">
        <v>96</v>
      </c>
      <c r="S1054" s="36"/>
      <c r="T1054" s="36" t="s">
        <v>356</v>
      </c>
      <c r="U1054" s="36" t="s">
        <v>193</v>
      </c>
      <c r="V1054" s="36">
        <v>182.0</v>
      </c>
      <c r="W1054" s="36"/>
      <c r="X1054" s="38">
        <v>1.0</v>
      </c>
      <c r="Y1054" s="38" t="s">
        <v>1871</v>
      </c>
      <c r="Z1054" s="38"/>
      <c r="AA1054" s="38" t="s">
        <v>370</v>
      </c>
      <c r="AB1054" s="38">
        <v>-10.08</v>
      </c>
      <c r="AC1054" s="38">
        <v>-61.93</v>
      </c>
      <c r="AD1054" s="38"/>
      <c r="AE1054" s="38">
        <v>180.0</v>
      </c>
      <c r="AF1054" s="38"/>
      <c r="AG1054" s="38"/>
      <c r="AH1054" s="38"/>
      <c r="AI1054" s="50">
        <v>-10.08</v>
      </c>
      <c r="AJ1054" s="50">
        <v>-61.93</v>
      </c>
      <c r="AK1054" s="41" t="s">
        <v>336</v>
      </c>
      <c r="AL1054" s="40"/>
      <c r="AM1054" s="49">
        <v>148.0</v>
      </c>
      <c r="AN1054" s="43"/>
      <c r="AO1054" s="42" t="s">
        <v>335</v>
      </c>
      <c r="AP1054" s="43"/>
      <c r="AQ1054" s="44" t="str">
        <f t="shared" si="94"/>
        <v>DBF</v>
      </c>
      <c r="AR1054" s="44">
        <f t="shared" si="80"/>
        <v>148</v>
      </c>
      <c r="AS1054" s="44" t="str">
        <f t="shared" si="96"/>
        <v>A</v>
      </c>
      <c r="AT1054" s="44" t="s">
        <v>335</v>
      </c>
      <c r="AU1054" s="44" t="str">
        <f t="shared" si="95"/>
        <v>Aw</v>
      </c>
      <c r="AV1054" s="38">
        <v>1.0</v>
      </c>
      <c r="AW1054" s="38"/>
      <c r="AX1054" s="38"/>
      <c r="AY1054" s="38" t="s">
        <v>92</v>
      </c>
      <c r="AZ1054" s="29">
        <v>500.0</v>
      </c>
      <c r="BA1054" s="29">
        <v>1.0</v>
      </c>
      <c r="BB1054" s="29">
        <v>1.0</v>
      </c>
      <c r="BC1054" s="29"/>
      <c r="BD1054" s="29" t="s">
        <v>88</v>
      </c>
      <c r="BE1054" s="29"/>
      <c r="BF1054" s="29" t="s">
        <v>1902</v>
      </c>
      <c r="BG1054" s="29" t="s">
        <v>220</v>
      </c>
      <c r="BH1054" s="29" t="s">
        <v>88</v>
      </c>
      <c r="BI1054" s="29" t="s">
        <v>1848</v>
      </c>
      <c r="BJ1054" s="29"/>
      <c r="BK1054" s="29" t="s">
        <v>148</v>
      </c>
      <c r="BL1054" s="29" t="s">
        <v>148</v>
      </c>
      <c r="BM1054" s="45"/>
      <c r="BN1054" s="45"/>
      <c r="BO1054" s="46"/>
      <c r="BP1054" s="2"/>
      <c r="BQ1054" s="3"/>
    </row>
    <row r="1055" ht="15.75" customHeight="1">
      <c r="A1055" s="34">
        <v>1068.0</v>
      </c>
      <c r="B1055" s="34">
        <v>203123.0</v>
      </c>
      <c r="C1055" s="34" t="s">
        <v>832</v>
      </c>
      <c r="D1055" s="34" t="s">
        <v>1850</v>
      </c>
      <c r="E1055" s="34" t="s">
        <v>1851</v>
      </c>
      <c r="F1055" s="34">
        <v>2021.0</v>
      </c>
      <c r="G1055" s="34" t="s">
        <v>1852</v>
      </c>
      <c r="H1055" s="34" t="s">
        <v>80</v>
      </c>
      <c r="I1055" s="34" t="s">
        <v>1853</v>
      </c>
      <c r="J1055" s="35"/>
      <c r="K1055" s="36"/>
      <c r="L1055" s="36"/>
      <c r="M1055" s="36"/>
      <c r="N1055" s="36"/>
      <c r="O1055" s="36"/>
      <c r="P1055" s="37">
        <v>-13.53</v>
      </c>
      <c r="Q1055" s="36" t="s">
        <v>96</v>
      </c>
      <c r="R1055" s="36" t="s">
        <v>96</v>
      </c>
      <c r="S1055" s="36"/>
      <c r="T1055" s="36" t="s">
        <v>1872</v>
      </c>
      <c r="U1055" s="36" t="s">
        <v>1873</v>
      </c>
      <c r="V1055" s="36">
        <v>436.0</v>
      </c>
      <c r="W1055" s="36"/>
      <c r="X1055" s="38">
        <v>1.0</v>
      </c>
      <c r="Y1055" s="38" t="s">
        <v>1874</v>
      </c>
      <c r="Z1055" s="38"/>
      <c r="AA1055" s="38" t="s">
        <v>288</v>
      </c>
      <c r="AB1055" s="38">
        <v>-10.77</v>
      </c>
      <c r="AC1055" s="38">
        <v>-62.34</v>
      </c>
      <c r="AD1055" s="38"/>
      <c r="AE1055" s="38">
        <v>240.0</v>
      </c>
      <c r="AF1055" s="38"/>
      <c r="AG1055" s="38"/>
      <c r="AH1055" s="38"/>
      <c r="AI1055" s="50">
        <v>-10.77</v>
      </c>
      <c r="AJ1055" s="50">
        <v>-62.34</v>
      </c>
      <c r="AK1055" s="41" t="s">
        <v>313</v>
      </c>
      <c r="AL1055" s="40"/>
      <c r="AM1055" s="49">
        <v>267.0</v>
      </c>
      <c r="AN1055" s="43"/>
      <c r="AO1055" s="42" t="s">
        <v>335</v>
      </c>
      <c r="AP1055" s="43"/>
      <c r="AQ1055" s="44" t="str">
        <f t="shared" si="94"/>
        <v>GRA</v>
      </c>
      <c r="AR1055" s="44">
        <f t="shared" si="80"/>
        <v>267</v>
      </c>
      <c r="AS1055" s="44" t="str">
        <f t="shared" si="96"/>
        <v>A</v>
      </c>
      <c r="AT1055" s="44" t="s">
        <v>335</v>
      </c>
      <c r="AU1055" s="44" t="str">
        <f t="shared" si="95"/>
        <v>Aw</v>
      </c>
      <c r="AV1055" s="38">
        <v>1.0</v>
      </c>
      <c r="AW1055" s="38"/>
      <c r="AX1055" s="38"/>
      <c r="AY1055" s="38" t="s">
        <v>92</v>
      </c>
      <c r="AZ1055" s="29">
        <v>500.0</v>
      </c>
      <c r="BA1055" s="29">
        <v>1.0</v>
      </c>
      <c r="BB1055" s="29">
        <v>1.0</v>
      </c>
      <c r="BC1055" s="29"/>
      <c r="BD1055" s="29" t="s">
        <v>88</v>
      </c>
      <c r="BE1055" s="29"/>
      <c r="BF1055" s="29" t="s">
        <v>1902</v>
      </c>
      <c r="BG1055" s="29" t="s">
        <v>220</v>
      </c>
      <c r="BH1055" s="29" t="s">
        <v>88</v>
      </c>
      <c r="BI1055" s="29" t="s">
        <v>1848</v>
      </c>
      <c r="BJ1055" s="29"/>
      <c r="BK1055" s="29" t="s">
        <v>148</v>
      </c>
      <c r="BL1055" s="29" t="s">
        <v>148</v>
      </c>
      <c r="BM1055" s="45"/>
      <c r="BN1055" s="45"/>
      <c r="BO1055" s="46"/>
      <c r="BP1055" s="2"/>
      <c r="BQ1055" s="3"/>
    </row>
    <row r="1056" ht="15.75" customHeight="1">
      <c r="A1056" s="34">
        <v>1069.0</v>
      </c>
      <c r="B1056" s="34">
        <v>203123.0</v>
      </c>
      <c r="C1056" s="34" t="s">
        <v>832</v>
      </c>
      <c r="D1056" s="34" t="s">
        <v>1850</v>
      </c>
      <c r="E1056" s="34" t="s">
        <v>1851</v>
      </c>
      <c r="F1056" s="34">
        <v>2021.0</v>
      </c>
      <c r="G1056" s="34" t="s">
        <v>1852</v>
      </c>
      <c r="H1056" s="34" t="s">
        <v>80</v>
      </c>
      <c r="I1056" s="34" t="s">
        <v>1853</v>
      </c>
      <c r="J1056" s="35"/>
      <c r="K1056" s="36"/>
      <c r="L1056" s="36"/>
      <c r="M1056" s="36"/>
      <c r="N1056" s="36"/>
      <c r="O1056" s="36"/>
      <c r="P1056" s="37">
        <v>14.92</v>
      </c>
      <c r="Q1056" s="36" t="s">
        <v>96</v>
      </c>
      <c r="R1056" s="36" t="s">
        <v>96</v>
      </c>
      <c r="S1056" s="36"/>
      <c r="T1056" s="36" t="s">
        <v>350</v>
      </c>
      <c r="U1056" s="36" t="s">
        <v>506</v>
      </c>
      <c r="V1056" s="36">
        <v>101.0</v>
      </c>
      <c r="W1056" s="36"/>
      <c r="X1056" s="38">
        <v>1.0</v>
      </c>
      <c r="Y1056" s="38" t="s">
        <v>1875</v>
      </c>
      <c r="Z1056" s="38"/>
      <c r="AA1056" s="38" t="s">
        <v>200</v>
      </c>
      <c r="AB1056" s="38">
        <v>-11.41</v>
      </c>
      <c r="AC1056" s="38">
        <v>-55.32</v>
      </c>
      <c r="AD1056" s="38"/>
      <c r="AE1056" s="38">
        <v>349.0</v>
      </c>
      <c r="AF1056" s="38"/>
      <c r="AG1056" s="38"/>
      <c r="AH1056" s="38"/>
      <c r="AI1056" s="50">
        <v>-11.41</v>
      </c>
      <c r="AJ1056" s="50">
        <v>-55.32</v>
      </c>
      <c r="AK1056" s="41" t="s">
        <v>336</v>
      </c>
      <c r="AL1056" s="40"/>
      <c r="AM1056" s="49">
        <v>317.0</v>
      </c>
      <c r="AN1056" s="43"/>
      <c r="AO1056" s="42" t="s">
        <v>335</v>
      </c>
      <c r="AP1056" s="43"/>
      <c r="AQ1056" s="44" t="str">
        <f t="shared" si="94"/>
        <v>WSA</v>
      </c>
      <c r="AR1056" s="44">
        <f t="shared" si="80"/>
        <v>317</v>
      </c>
      <c r="AS1056" s="44" t="str">
        <f t="shared" si="96"/>
        <v>A</v>
      </c>
      <c r="AT1056" s="44" t="s">
        <v>335</v>
      </c>
      <c r="AU1056" s="44" t="str">
        <f t="shared" si="95"/>
        <v>Aw</v>
      </c>
      <c r="AV1056" s="38">
        <v>1.0</v>
      </c>
      <c r="AW1056" s="38"/>
      <c r="AX1056" s="38"/>
      <c r="AY1056" s="38" t="s">
        <v>92</v>
      </c>
      <c r="AZ1056" s="29">
        <v>500.0</v>
      </c>
      <c r="BA1056" s="29">
        <v>1.0</v>
      </c>
      <c r="BB1056" s="29">
        <v>1.0</v>
      </c>
      <c r="BC1056" s="29"/>
      <c r="BD1056" s="29" t="s">
        <v>88</v>
      </c>
      <c r="BE1056" s="29"/>
      <c r="BF1056" s="29" t="s">
        <v>1902</v>
      </c>
      <c r="BG1056" s="29" t="s">
        <v>220</v>
      </c>
      <c r="BH1056" s="29" t="s">
        <v>88</v>
      </c>
      <c r="BI1056" s="29" t="s">
        <v>1848</v>
      </c>
      <c r="BJ1056" s="29"/>
      <c r="BK1056" s="29" t="s">
        <v>148</v>
      </c>
      <c r="BL1056" s="29" t="s">
        <v>148</v>
      </c>
      <c r="BM1056" s="45"/>
      <c r="BN1056" s="45"/>
      <c r="BO1056" s="46"/>
      <c r="BP1056" s="2"/>
      <c r="BQ1056" s="3"/>
    </row>
    <row r="1057" ht="15.75" customHeight="1">
      <c r="A1057" s="34">
        <v>1070.0</v>
      </c>
      <c r="B1057" s="34">
        <v>203123.0</v>
      </c>
      <c r="C1057" s="34" t="s">
        <v>832</v>
      </c>
      <c r="D1057" s="34" t="s">
        <v>1850</v>
      </c>
      <c r="E1057" s="34" t="s">
        <v>1851</v>
      </c>
      <c r="F1057" s="34">
        <v>2021.0</v>
      </c>
      <c r="G1057" s="34" t="s">
        <v>1852</v>
      </c>
      <c r="H1057" s="34" t="s">
        <v>80</v>
      </c>
      <c r="I1057" s="34" t="s">
        <v>1853</v>
      </c>
      <c r="J1057" s="35"/>
      <c r="K1057" s="36"/>
      <c r="L1057" s="36"/>
      <c r="M1057" s="36"/>
      <c r="N1057" s="36"/>
      <c r="O1057" s="36"/>
      <c r="P1057" s="37">
        <v>-3.81</v>
      </c>
      <c r="Q1057" s="36" t="s">
        <v>96</v>
      </c>
      <c r="R1057" s="36" t="s">
        <v>96</v>
      </c>
      <c r="S1057" s="36"/>
      <c r="T1057" s="36" t="s">
        <v>233</v>
      </c>
      <c r="U1057" s="36" t="s">
        <v>1876</v>
      </c>
      <c r="V1057" s="36">
        <v>135.0</v>
      </c>
      <c r="W1057" s="36"/>
      <c r="X1057" s="38">
        <v>1.0</v>
      </c>
      <c r="Y1057" s="38" t="s">
        <v>1877</v>
      </c>
      <c r="Z1057" s="38"/>
      <c r="AA1057" s="38" t="s">
        <v>452</v>
      </c>
      <c r="AB1057" s="38">
        <v>-15.72</v>
      </c>
      <c r="AC1057" s="38">
        <v>-56.07</v>
      </c>
      <c r="AD1057" s="38"/>
      <c r="AE1057" s="38">
        <v>154.0</v>
      </c>
      <c r="AF1057" s="38"/>
      <c r="AG1057" s="38"/>
      <c r="AH1057" s="38"/>
      <c r="AI1057" s="50">
        <v>-15.72</v>
      </c>
      <c r="AJ1057" s="50">
        <v>-56.07</v>
      </c>
      <c r="AK1057" s="41" t="s">
        <v>86</v>
      </c>
      <c r="AL1057" s="40"/>
      <c r="AM1057" s="49">
        <v>181.0</v>
      </c>
      <c r="AN1057" s="43"/>
      <c r="AO1057" s="42" t="s">
        <v>335</v>
      </c>
      <c r="AP1057" s="43"/>
      <c r="AQ1057" s="44" t="str">
        <f t="shared" si="94"/>
        <v>MF</v>
      </c>
      <c r="AR1057" s="44">
        <f t="shared" si="80"/>
        <v>181</v>
      </c>
      <c r="AS1057" s="44" t="str">
        <f t="shared" si="96"/>
        <v>A</v>
      </c>
      <c r="AT1057" s="44" t="s">
        <v>335</v>
      </c>
      <c r="AU1057" s="44" t="str">
        <f t="shared" si="95"/>
        <v>Aw</v>
      </c>
      <c r="AV1057" s="38">
        <v>1.0</v>
      </c>
      <c r="AW1057" s="38"/>
      <c r="AX1057" s="38"/>
      <c r="AY1057" s="38" t="s">
        <v>92</v>
      </c>
      <c r="AZ1057" s="29">
        <v>500.0</v>
      </c>
      <c r="BA1057" s="29">
        <v>1.0</v>
      </c>
      <c r="BB1057" s="29">
        <v>1.0</v>
      </c>
      <c r="BC1057" s="29"/>
      <c r="BD1057" s="29" t="s">
        <v>88</v>
      </c>
      <c r="BE1057" s="29"/>
      <c r="BF1057" s="29" t="s">
        <v>1902</v>
      </c>
      <c r="BG1057" s="29" t="s">
        <v>220</v>
      </c>
      <c r="BH1057" s="29" t="s">
        <v>88</v>
      </c>
      <c r="BI1057" s="29" t="s">
        <v>1848</v>
      </c>
      <c r="BJ1057" s="29"/>
      <c r="BK1057" s="29" t="s">
        <v>148</v>
      </c>
      <c r="BL1057" s="29" t="s">
        <v>148</v>
      </c>
      <c r="BM1057" s="45"/>
      <c r="BN1057" s="45"/>
      <c r="BO1057" s="46"/>
      <c r="BP1057" s="2"/>
      <c r="BQ1057" s="3"/>
    </row>
    <row r="1058" ht="15.75" customHeight="1">
      <c r="A1058" s="34">
        <v>1071.0</v>
      </c>
      <c r="B1058" s="34">
        <v>203123.0</v>
      </c>
      <c r="C1058" s="34" t="s">
        <v>832</v>
      </c>
      <c r="D1058" s="34" t="s">
        <v>1850</v>
      </c>
      <c r="E1058" s="34" t="s">
        <v>1851</v>
      </c>
      <c r="F1058" s="34">
        <v>2021.0</v>
      </c>
      <c r="G1058" s="34" t="s">
        <v>1852</v>
      </c>
      <c r="H1058" s="34" t="s">
        <v>80</v>
      </c>
      <c r="I1058" s="34" t="s">
        <v>1853</v>
      </c>
      <c r="J1058" s="35"/>
      <c r="K1058" s="36"/>
      <c r="L1058" s="36"/>
      <c r="M1058" s="36"/>
      <c r="N1058" s="36"/>
      <c r="O1058" s="36"/>
      <c r="P1058" s="37">
        <v>13.26</v>
      </c>
      <c r="Q1058" s="36" t="s">
        <v>96</v>
      </c>
      <c r="R1058" s="36" t="s">
        <v>96</v>
      </c>
      <c r="S1058" s="36"/>
      <c r="T1058" s="36" t="s">
        <v>245</v>
      </c>
      <c r="U1058" s="36" t="s">
        <v>1878</v>
      </c>
      <c r="V1058" s="36">
        <v>461.0</v>
      </c>
      <c r="W1058" s="36"/>
      <c r="X1058" s="38">
        <v>1.0</v>
      </c>
      <c r="Y1058" s="38" t="s">
        <v>1879</v>
      </c>
      <c r="Z1058" s="38"/>
      <c r="AA1058" s="38" t="s">
        <v>200</v>
      </c>
      <c r="AB1058" s="38">
        <v>-16.49</v>
      </c>
      <c r="AC1058" s="38">
        <v>-56.41</v>
      </c>
      <c r="AD1058" s="38"/>
      <c r="AE1058" s="38">
        <v>120.0</v>
      </c>
      <c r="AF1058" s="38"/>
      <c r="AG1058" s="38"/>
      <c r="AH1058" s="38"/>
      <c r="AI1058" s="50">
        <v>-16.49</v>
      </c>
      <c r="AJ1058" s="50">
        <v>-56.41</v>
      </c>
      <c r="AK1058" s="41" t="s">
        <v>313</v>
      </c>
      <c r="AL1058" s="40"/>
      <c r="AM1058" s="49">
        <v>122.0</v>
      </c>
      <c r="AN1058" s="43"/>
      <c r="AO1058" s="42" t="s">
        <v>335</v>
      </c>
      <c r="AP1058" s="43"/>
      <c r="AQ1058" s="44" t="str">
        <f t="shared" si="94"/>
        <v>WSA</v>
      </c>
      <c r="AR1058" s="44">
        <f t="shared" si="80"/>
        <v>122</v>
      </c>
      <c r="AS1058" s="44" t="str">
        <f t="shared" si="96"/>
        <v>A</v>
      </c>
      <c r="AT1058" s="44" t="s">
        <v>335</v>
      </c>
      <c r="AU1058" s="44" t="str">
        <f t="shared" si="95"/>
        <v>Aw</v>
      </c>
      <c r="AV1058" s="38">
        <v>1.0</v>
      </c>
      <c r="AW1058" s="38"/>
      <c r="AX1058" s="38"/>
      <c r="AY1058" s="38" t="s">
        <v>92</v>
      </c>
      <c r="AZ1058" s="29">
        <v>500.0</v>
      </c>
      <c r="BA1058" s="29">
        <v>1.0</v>
      </c>
      <c r="BB1058" s="29">
        <v>1.0</v>
      </c>
      <c r="BC1058" s="29"/>
      <c r="BD1058" s="29" t="s">
        <v>88</v>
      </c>
      <c r="BE1058" s="29"/>
      <c r="BF1058" s="29" t="s">
        <v>1902</v>
      </c>
      <c r="BG1058" s="29" t="s">
        <v>220</v>
      </c>
      <c r="BH1058" s="29" t="s">
        <v>88</v>
      </c>
      <c r="BI1058" s="29" t="s">
        <v>1848</v>
      </c>
      <c r="BJ1058" s="29"/>
      <c r="BK1058" s="29" t="s">
        <v>148</v>
      </c>
      <c r="BL1058" s="29" t="s">
        <v>148</v>
      </c>
      <c r="BM1058" s="45"/>
      <c r="BN1058" s="45"/>
      <c r="BO1058" s="46"/>
      <c r="BP1058" s="2"/>
      <c r="BQ1058" s="3"/>
    </row>
    <row r="1059" ht="15.75" customHeight="1">
      <c r="A1059" s="34">
        <v>1072.0</v>
      </c>
      <c r="B1059" s="34">
        <v>203123.0</v>
      </c>
      <c r="C1059" s="34" t="s">
        <v>832</v>
      </c>
      <c r="D1059" s="34" t="s">
        <v>1850</v>
      </c>
      <c r="E1059" s="34" t="s">
        <v>1851</v>
      </c>
      <c r="F1059" s="34">
        <v>2021.0</v>
      </c>
      <c r="G1059" s="34" t="s">
        <v>1852</v>
      </c>
      <c r="H1059" s="34" t="s">
        <v>80</v>
      </c>
      <c r="I1059" s="34" t="s">
        <v>1853</v>
      </c>
      <c r="J1059" s="35"/>
      <c r="K1059" s="36"/>
      <c r="L1059" s="36"/>
      <c r="M1059" s="36"/>
      <c r="N1059" s="36"/>
      <c r="O1059" s="36"/>
      <c r="P1059" s="37">
        <v>2.92</v>
      </c>
      <c r="Q1059" s="36" t="s">
        <v>96</v>
      </c>
      <c r="R1059" s="36" t="s">
        <v>96</v>
      </c>
      <c r="S1059" s="36"/>
      <c r="T1059" s="36" t="s">
        <v>341</v>
      </c>
      <c r="U1059" s="36" t="s">
        <v>536</v>
      </c>
      <c r="V1059" s="36">
        <v>259.0</v>
      </c>
      <c r="W1059" s="36"/>
      <c r="X1059" s="38">
        <v>1.0</v>
      </c>
      <c r="Y1059" s="38" t="s">
        <v>1880</v>
      </c>
      <c r="Z1059" s="38"/>
      <c r="AA1059" s="38" t="s">
        <v>86</v>
      </c>
      <c r="AB1059" s="38">
        <v>-21.58</v>
      </c>
      <c r="AC1059" s="38">
        <v>-47.6</v>
      </c>
      <c r="AD1059" s="38"/>
      <c r="AE1059" s="38">
        <v>710.0</v>
      </c>
      <c r="AF1059" s="38"/>
      <c r="AG1059" s="38"/>
      <c r="AH1059" s="38"/>
      <c r="AI1059" s="50">
        <v>-21.58</v>
      </c>
      <c r="AJ1059" s="50">
        <v>-47.6</v>
      </c>
      <c r="AK1059" s="41" t="s">
        <v>336</v>
      </c>
      <c r="AL1059" s="40"/>
      <c r="AM1059" s="49">
        <v>761.0</v>
      </c>
      <c r="AN1059" s="43"/>
      <c r="AO1059" s="42" t="s">
        <v>335</v>
      </c>
      <c r="AP1059" s="43"/>
      <c r="AQ1059" s="44" t="str">
        <f t="shared" si="94"/>
        <v>CRO</v>
      </c>
      <c r="AR1059" s="44">
        <f t="shared" si="80"/>
        <v>761</v>
      </c>
      <c r="AS1059" s="44" t="str">
        <f t="shared" si="96"/>
        <v>A</v>
      </c>
      <c r="AT1059" s="44" t="s">
        <v>335</v>
      </c>
      <c r="AU1059" s="44" t="str">
        <f t="shared" si="95"/>
        <v>Aw</v>
      </c>
      <c r="AV1059" s="38">
        <v>1.0</v>
      </c>
      <c r="AW1059" s="38"/>
      <c r="AX1059" s="38"/>
      <c r="AY1059" s="38" t="s">
        <v>92</v>
      </c>
      <c r="AZ1059" s="29">
        <v>500.0</v>
      </c>
      <c r="BA1059" s="29">
        <v>1.0</v>
      </c>
      <c r="BB1059" s="29">
        <v>1.0</v>
      </c>
      <c r="BC1059" s="29"/>
      <c r="BD1059" s="29" t="s">
        <v>88</v>
      </c>
      <c r="BE1059" s="29"/>
      <c r="BF1059" s="29" t="s">
        <v>1902</v>
      </c>
      <c r="BG1059" s="29" t="s">
        <v>220</v>
      </c>
      <c r="BH1059" s="29" t="s">
        <v>88</v>
      </c>
      <c r="BI1059" s="29" t="s">
        <v>1848</v>
      </c>
      <c r="BJ1059" s="29"/>
      <c r="BK1059" s="29" t="s">
        <v>148</v>
      </c>
      <c r="BL1059" s="29" t="s">
        <v>148</v>
      </c>
      <c r="BM1059" s="45"/>
      <c r="BN1059" s="45"/>
      <c r="BO1059" s="46"/>
      <c r="BP1059" s="2"/>
      <c r="BQ1059" s="3"/>
    </row>
    <row r="1060" ht="15.75" customHeight="1">
      <c r="A1060" s="34">
        <v>1073.0</v>
      </c>
      <c r="B1060" s="34">
        <v>203123.0</v>
      </c>
      <c r="C1060" s="34" t="s">
        <v>832</v>
      </c>
      <c r="D1060" s="34" t="s">
        <v>1850</v>
      </c>
      <c r="E1060" s="34" t="s">
        <v>1851</v>
      </c>
      <c r="F1060" s="34">
        <v>2021.0</v>
      </c>
      <c r="G1060" s="34" t="s">
        <v>1852</v>
      </c>
      <c r="H1060" s="34" t="s">
        <v>80</v>
      </c>
      <c r="I1060" s="34" t="s">
        <v>1853</v>
      </c>
      <c r="J1060" s="35"/>
      <c r="K1060" s="36"/>
      <c r="L1060" s="36"/>
      <c r="M1060" s="36"/>
      <c r="N1060" s="36"/>
      <c r="O1060" s="36"/>
      <c r="P1060" s="37">
        <v>13.69</v>
      </c>
      <c r="Q1060" s="36" t="s">
        <v>96</v>
      </c>
      <c r="R1060" s="36" t="s">
        <v>96</v>
      </c>
      <c r="S1060" s="36"/>
      <c r="T1060" s="36" t="s">
        <v>1881</v>
      </c>
      <c r="U1060" s="36" t="s">
        <v>1882</v>
      </c>
      <c r="V1060" s="36">
        <v>593.0</v>
      </c>
      <c r="W1060" s="36"/>
      <c r="X1060" s="38">
        <v>1.0</v>
      </c>
      <c r="Y1060" s="38" t="s">
        <v>1883</v>
      </c>
      <c r="Z1060" s="38"/>
      <c r="AA1060" s="38" t="s">
        <v>200</v>
      </c>
      <c r="AB1060" s="38">
        <v>-21.62</v>
      </c>
      <c r="AC1060" s="38">
        <v>-47.63</v>
      </c>
      <c r="AD1060" s="38"/>
      <c r="AE1060" s="38">
        <v>710.0</v>
      </c>
      <c r="AF1060" s="38"/>
      <c r="AG1060" s="38"/>
      <c r="AH1060" s="38"/>
      <c r="AI1060" s="50">
        <v>-21.62</v>
      </c>
      <c r="AJ1060" s="50">
        <v>-47.63</v>
      </c>
      <c r="AK1060" s="41" t="s">
        <v>336</v>
      </c>
      <c r="AL1060" s="40"/>
      <c r="AM1060" s="49">
        <v>673.0</v>
      </c>
      <c r="AN1060" s="43"/>
      <c r="AO1060" s="42" t="s">
        <v>335</v>
      </c>
      <c r="AP1060" s="43"/>
      <c r="AQ1060" s="44" t="str">
        <f t="shared" si="94"/>
        <v>WSA</v>
      </c>
      <c r="AR1060" s="44">
        <f t="shared" si="80"/>
        <v>673</v>
      </c>
      <c r="AS1060" s="44" t="str">
        <f t="shared" si="96"/>
        <v>A</v>
      </c>
      <c r="AT1060" s="44" t="s">
        <v>335</v>
      </c>
      <c r="AU1060" s="44" t="str">
        <f t="shared" si="95"/>
        <v>Aw</v>
      </c>
      <c r="AV1060" s="38">
        <v>1.0</v>
      </c>
      <c r="AW1060" s="38"/>
      <c r="AX1060" s="38"/>
      <c r="AY1060" s="38" t="s">
        <v>92</v>
      </c>
      <c r="AZ1060" s="29">
        <v>500.0</v>
      </c>
      <c r="BA1060" s="29">
        <v>1.0</v>
      </c>
      <c r="BB1060" s="29">
        <v>1.0</v>
      </c>
      <c r="BC1060" s="29"/>
      <c r="BD1060" s="29" t="s">
        <v>88</v>
      </c>
      <c r="BE1060" s="29"/>
      <c r="BF1060" s="29" t="s">
        <v>1902</v>
      </c>
      <c r="BG1060" s="29" t="s">
        <v>220</v>
      </c>
      <c r="BH1060" s="29" t="s">
        <v>88</v>
      </c>
      <c r="BI1060" s="29" t="s">
        <v>1848</v>
      </c>
      <c r="BJ1060" s="29"/>
      <c r="BK1060" s="29" t="s">
        <v>148</v>
      </c>
      <c r="BL1060" s="29" t="s">
        <v>148</v>
      </c>
      <c r="BM1060" s="45"/>
      <c r="BN1060" s="45"/>
      <c r="BO1060" s="46"/>
      <c r="BP1060" s="2"/>
      <c r="BQ1060" s="3"/>
    </row>
    <row r="1061" ht="15.75" customHeight="1">
      <c r="A1061" s="34">
        <v>1074.0</v>
      </c>
      <c r="B1061" s="34">
        <v>203123.0</v>
      </c>
      <c r="C1061" s="34" t="s">
        <v>832</v>
      </c>
      <c r="D1061" s="34" t="s">
        <v>1850</v>
      </c>
      <c r="E1061" s="34" t="s">
        <v>1851</v>
      </c>
      <c r="F1061" s="34">
        <v>2021.0</v>
      </c>
      <c r="G1061" s="34" t="s">
        <v>1852</v>
      </c>
      <c r="H1061" s="34" t="s">
        <v>80</v>
      </c>
      <c r="I1061" s="34" t="s">
        <v>1853</v>
      </c>
      <c r="J1061" s="35"/>
      <c r="K1061" s="36"/>
      <c r="L1061" s="36"/>
      <c r="M1061" s="36"/>
      <c r="N1061" s="36"/>
      <c r="O1061" s="36"/>
      <c r="P1061" s="37">
        <v>19.72</v>
      </c>
      <c r="Q1061" s="36" t="s">
        <v>96</v>
      </c>
      <c r="R1061" s="36" t="s">
        <v>96</v>
      </c>
      <c r="S1061" s="36"/>
      <c r="T1061" s="36" t="s">
        <v>1884</v>
      </c>
      <c r="U1061" s="36" t="s">
        <v>1885</v>
      </c>
      <c r="V1061" s="36">
        <v>371.0</v>
      </c>
      <c r="W1061" s="36"/>
      <c r="X1061" s="38">
        <v>1.0</v>
      </c>
      <c r="Y1061" s="38" t="s">
        <v>1886</v>
      </c>
      <c r="Z1061" s="38"/>
      <c r="AA1061" s="38" t="s">
        <v>86</v>
      </c>
      <c r="AB1061" s="38">
        <v>-21.64</v>
      </c>
      <c r="AC1061" s="38">
        <v>-47.79</v>
      </c>
      <c r="AD1061" s="38"/>
      <c r="AE1061" s="38">
        <v>541.0</v>
      </c>
      <c r="AF1061" s="38"/>
      <c r="AG1061" s="38"/>
      <c r="AH1061" s="38"/>
      <c r="AI1061" s="50">
        <v>-21.64</v>
      </c>
      <c r="AJ1061" s="50">
        <v>-47.79</v>
      </c>
      <c r="AK1061" s="41" t="s">
        <v>86</v>
      </c>
      <c r="AL1061" s="40"/>
      <c r="AM1061" s="49">
        <v>558.0</v>
      </c>
      <c r="AN1061" s="43"/>
      <c r="AO1061" s="42" t="s">
        <v>335</v>
      </c>
      <c r="AP1061" s="43"/>
      <c r="AQ1061" s="44" t="str">
        <f t="shared" si="94"/>
        <v>CRO</v>
      </c>
      <c r="AR1061" s="44">
        <f t="shared" si="80"/>
        <v>558</v>
      </c>
      <c r="AS1061" s="44" t="str">
        <f t="shared" si="96"/>
        <v>A</v>
      </c>
      <c r="AT1061" s="44" t="s">
        <v>335</v>
      </c>
      <c r="AU1061" s="44" t="str">
        <f t="shared" si="95"/>
        <v>Aw</v>
      </c>
      <c r="AV1061" s="38">
        <v>1.0</v>
      </c>
      <c r="AW1061" s="38"/>
      <c r="AX1061" s="38"/>
      <c r="AY1061" s="38" t="s">
        <v>92</v>
      </c>
      <c r="AZ1061" s="29">
        <v>500.0</v>
      </c>
      <c r="BA1061" s="29">
        <v>1.0</v>
      </c>
      <c r="BB1061" s="29">
        <v>1.0</v>
      </c>
      <c r="BC1061" s="29"/>
      <c r="BD1061" s="29" t="s">
        <v>88</v>
      </c>
      <c r="BE1061" s="29"/>
      <c r="BF1061" s="29" t="s">
        <v>1902</v>
      </c>
      <c r="BG1061" s="29" t="s">
        <v>220</v>
      </c>
      <c r="BH1061" s="29" t="s">
        <v>88</v>
      </c>
      <c r="BI1061" s="29" t="s">
        <v>1848</v>
      </c>
      <c r="BJ1061" s="29"/>
      <c r="BK1061" s="29" t="s">
        <v>148</v>
      </c>
      <c r="BL1061" s="29" t="s">
        <v>148</v>
      </c>
      <c r="BM1061" s="45"/>
      <c r="BN1061" s="45"/>
      <c r="BO1061" s="46"/>
      <c r="BP1061" s="2"/>
      <c r="BQ1061" s="3"/>
    </row>
    <row r="1062" ht="15.75" customHeight="1">
      <c r="A1062" s="34">
        <v>1075.0</v>
      </c>
      <c r="B1062" s="34">
        <v>203123.0</v>
      </c>
      <c r="C1062" s="34" t="s">
        <v>832</v>
      </c>
      <c r="D1062" s="34" t="s">
        <v>1850</v>
      </c>
      <c r="E1062" s="34" t="s">
        <v>1851</v>
      </c>
      <c r="F1062" s="34">
        <v>2021.0</v>
      </c>
      <c r="G1062" s="34" t="s">
        <v>1852</v>
      </c>
      <c r="H1062" s="34" t="s">
        <v>80</v>
      </c>
      <c r="I1062" s="34" t="s">
        <v>1853</v>
      </c>
      <c r="J1062" s="35"/>
      <c r="K1062" s="36"/>
      <c r="L1062" s="36"/>
      <c r="M1062" s="36"/>
      <c r="N1062" s="36"/>
      <c r="O1062" s="36"/>
      <c r="P1062" s="37">
        <v>13.81</v>
      </c>
      <c r="Q1062" s="36" t="s">
        <v>96</v>
      </c>
      <c r="R1062" s="36" t="s">
        <v>96</v>
      </c>
      <c r="S1062" s="36"/>
      <c r="T1062" s="36" t="s">
        <v>969</v>
      </c>
      <c r="U1062" s="36" t="s">
        <v>1887</v>
      </c>
      <c r="V1062" s="36">
        <v>196.0</v>
      </c>
      <c r="W1062" s="36"/>
      <c r="X1062" s="38">
        <v>1.0</v>
      </c>
      <c r="Y1062" s="38" t="s">
        <v>1888</v>
      </c>
      <c r="Z1062" s="38"/>
      <c r="AA1062" s="38" t="s">
        <v>452</v>
      </c>
      <c r="AB1062" s="38">
        <v>-33.46</v>
      </c>
      <c r="AC1062" s="38">
        <v>-66.46</v>
      </c>
      <c r="AD1062" s="38"/>
      <c r="AE1062" s="38">
        <v>320.0</v>
      </c>
      <c r="AF1062" s="38"/>
      <c r="AG1062" s="38"/>
      <c r="AH1062" s="38"/>
      <c r="AI1062" s="50">
        <v>-33.46</v>
      </c>
      <c r="AJ1062" s="50">
        <v>-66.46</v>
      </c>
      <c r="AK1062" s="41" t="s">
        <v>292</v>
      </c>
      <c r="AL1062" s="40"/>
      <c r="AM1062" s="49">
        <v>507.0</v>
      </c>
      <c r="AN1062" s="43"/>
      <c r="AO1062" s="42" t="s">
        <v>304</v>
      </c>
      <c r="AP1062" s="43"/>
      <c r="AQ1062" s="44" t="str">
        <f t="shared" si="94"/>
        <v>MF</v>
      </c>
      <c r="AR1062" s="44">
        <f t="shared" si="80"/>
        <v>507</v>
      </c>
      <c r="AS1062" s="44" t="str">
        <f t="shared" si="96"/>
        <v>B</v>
      </c>
      <c r="AT1062" s="44" t="s">
        <v>1863</v>
      </c>
      <c r="AU1062" s="44" t="str">
        <f t="shared" si="95"/>
        <v>BSh</v>
      </c>
      <c r="AV1062" s="38">
        <v>1.0</v>
      </c>
      <c r="AW1062" s="38"/>
      <c r="AX1062" s="38"/>
      <c r="AY1062" s="38" t="s">
        <v>92</v>
      </c>
      <c r="AZ1062" s="29">
        <v>500.0</v>
      </c>
      <c r="BA1062" s="29">
        <v>1.0</v>
      </c>
      <c r="BB1062" s="29">
        <v>1.0</v>
      </c>
      <c r="BC1062" s="29"/>
      <c r="BD1062" s="29" t="s">
        <v>88</v>
      </c>
      <c r="BE1062" s="29"/>
      <c r="BF1062" s="29" t="s">
        <v>1902</v>
      </c>
      <c r="BG1062" s="29" t="s">
        <v>220</v>
      </c>
      <c r="BH1062" s="29" t="s">
        <v>88</v>
      </c>
      <c r="BI1062" s="29" t="s">
        <v>1848</v>
      </c>
      <c r="BJ1062" s="29"/>
      <c r="BK1062" s="29" t="s">
        <v>148</v>
      </c>
      <c r="BL1062" s="29" t="s">
        <v>148</v>
      </c>
      <c r="BM1062" s="45"/>
      <c r="BN1062" s="45"/>
      <c r="BO1062" s="46"/>
      <c r="BP1062" s="2"/>
      <c r="BQ1062" s="3"/>
    </row>
    <row r="1063" ht="15.75" customHeight="1">
      <c r="A1063" s="34">
        <v>1076.0</v>
      </c>
      <c r="B1063" s="34">
        <v>203123.0</v>
      </c>
      <c r="C1063" s="34" t="s">
        <v>832</v>
      </c>
      <c r="D1063" s="34" t="s">
        <v>1850</v>
      </c>
      <c r="E1063" s="34" t="s">
        <v>1851</v>
      </c>
      <c r="F1063" s="34">
        <v>2021.0</v>
      </c>
      <c r="G1063" s="34" t="s">
        <v>1852</v>
      </c>
      <c r="H1063" s="34" t="s">
        <v>80</v>
      </c>
      <c r="I1063" s="34" t="s">
        <v>1853</v>
      </c>
      <c r="J1063" s="35"/>
      <c r="K1063" s="36"/>
      <c r="L1063" s="36"/>
      <c r="M1063" s="36"/>
      <c r="N1063" s="36"/>
      <c r="O1063" s="36"/>
      <c r="P1063" s="37">
        <v>-3.19</v>
      </c>
      <c r="Q1063" s="36" t="s">
        <v>96</v>
      </c>
      <c r="R1063" s="36" t="s">
        <v>96</v>
      </c>
      <c r="S1063" s="36"/>
      <c r="T1063" s="36" t="s">
        <v>1474</v>
      </c>
      <c r="U1063" s="36" t="s">
        <v>1889</v>
      </c>
      <c r="V1063" s="36">
        <v>142.0</v>
      </c>
      <c r="W1063" s="36"/>
      <c r="X1063" s="38">
        <v>1.0</v>
      </c>
      <c r="Y1063" s="38" t="s">
        <v>1890</v>
      </c>
      <c r="Z1063" s="38"/>
      <c r="AA1063" s="38" t="s">
        <v>86</v>
      </c>
      <c r="AB1063" s="38">
        <v>-35.62</v>
      </c>
      <c r="AC1063" s="38">
        <v>-61.32</v>
      </c>
      <c r="AD1063" s="38"/>
      <c r="AE1063" s="38">
        <v>80.0</v>
      </c>
      <c r="AF1063" s="38"/>
      <c r="AG1063" s="38"/>
      <c r="AH1063" s="38"/>
      <c r="AI1063" s="50">
        <v>-35.62</v>
      </c>
      <c r="AJ1063" s="50">
        <v>-61.32</v>
      </c>
      <c r="AK1063" s="41" t="s">
        <v>86</v>
      </c>
      <c r="AL1063" s="40"/>
      <c r="AM1063" s="49">
        <v>81.0</v>
      </c>
      <c r="AN1063" s="43"/>
      <c r="AO1063" s="42" t="s">
        <v>201</v>
      </c>
      <c r="AP1063" s="43"/>
      <c r="AQ1063" s="44" t="str">
        <f t="shared" si="94"/>
        <v>CRO</v>
      </c>
      <c r="AR1063" s="44">
        <f t="shared" si="80"/>
        <v>81</v>
      </c>
      <c r="AS1063" s="44" t="str">
        <f t="shared" si="96"/>
        <v>C</v>
      </c>
      <c r="AT1063" s="44" t="s">
        <v>1797</v>
      </c>
      <c r="AU1063" s="44" t="str">
        <f t="shared" si="95"/>
        <v>Cfa</v>
      </c>
      <c r="AV1063" s="38">
        <v>1.0</v>
      </c>
      <c r="AW1063" s="38"/>
      <c r="AX1063" s="38"/>
      <c r="AY1063" s="38" t="s">
        <v>92</v>
      </c>
      <c r="AZ1063" s="29">
        <v>500.0</v>
      </c>
      <c r="BA1063" s="29">
        <v>1.0</v>
      </c>
      <c r="BB1063" s="29">
        <v>1.0</v>
      </c>
      <c r="BC1063" s="29"/>
      <c r="BD1063" s="29" t="s">
        <v>88</v>
      </c>
      <c r="BE1063" s="29"/>
      <c r="BF1063" s="29" t="s">
        <v>1902</v>
      </c>
      <c r="BG1063" s="29" t="s">
        <v>220</v>
      </c>
      <c r="BH1063" s="29" t="s">
        <v>88</v>
      </c>
      <c r="BI1063" s="29" t="s">
        <v>1848</v>
      </c>
      <c r="BJ1063" s="29"/>
      <c r="BK1063" s="29" t="s">
        <v>148</v>
      </c>
      <c r="BL1063" s="29" t="s">
        <v>148</v>
      </c>
      <c r="BM1063" s="45"/>
      <c r="BN1063" s="45"/>
      <c r="BO1063" s="46"/>
      <c r="BP1063" s="2"/>
      <c r="BQ1063" s="3"/>
    </row>
    <row r="1064" ht="15.75" customHeight="1">
      <c r="A1064" s="34">
        <v>1077.0</v>
      </c>
      <c r="B1064" s="34">
        <v>203123.0</v>
      </c>
      <c r="C1064" s="34" t="s">
        <v>832</v>
      </c>
      <c r="D1064" s="34" t="s">
        <v>1850</v>
      </c>
      <c r="E1064" s="34" t="s">
        <v>1851</v>
      </c>
      <c r="F1064" s="34">
        <v>2021.0</v>
      </c>
      <c r="G1064" s="34" t="s">
        <v>1852</v>
      </c>
      <c r="H1064" s="34" t="s">
        <v>80</v>
      </c>
      <c r="I1064" s="34" t="s">
        <v>1853</v>
      </c>
      <c r="J1064" s="35"/>
      <c r="K1064" s="36"/>
      <c r="L1064" s="36"/>
      <c r="M1064" s="36"/>
      <c r="N1064" s="36"/>
      <c r="O1064" s="36"/>
      <c r="P1064" s="37">
        <v>-77.58</v>
      </c>
      <c r="Q1064" s="36" t="s">
        <v>96</v>
      </c>
      <c r="R1064" s="36" t="s">
        <v>96</v>
      </c>
      <c r="S1064" s="36"/>
      <c r="T1064" s="36" t="s">
        <v>245</v>
      </c>
      <c r="U1064" s="36" t="s">
        <v>1891</v>
      </c>
      <c r="V1064" s="36">
        <v>72.0</v>
      </c>
      <c r="W1064" s="36"/>
      <c r="X1064" s="38">
        <v>1.0</v>
      </c>
      <c r="Y1064" s="38" t="s">
        <v>1892</v>
      </c>
      <c r="Z1064" s="38"/>
      <c r="AA1064" s="38" t="s">
        <v>214</v>
      </c>
      <c r="AB1064" s="38">
        <v>-37.55</v>
      </c>
      <c r="AC1064" s="38">
        <v>-57.3</v>
      </c>
      <c r="AD1064" s="38"/>
      <c r="AE1064" s="38">
        <v>1.0</v>
      </c>
      <c r="AF1064" s="38"/>
      <c r="AG1064" s="38"/>
      <c r="AH1064" s="38"/>
      <c r="AI1064" s="50">
        <v>-37.55</v>
      </c>
      <c r="AJ1064" s="50">
        <v>-57.3</v>
      </c>
      <c r="AK1064" s="41" t="s">
        <v>313</v>
      </c>
      <c r="AL1064" s="40"/>
      <c r="AM1064" s="49">
        <v>3.0</v>
      </c>
      <c r="AN1064" s="43"/>
      <c r="AO1064" s="42" t="s">
        <v>376</v>
      </c>
      <c r="AP1064" s="43"/>
      <c r="AQ1064" s="44" t="str">
        <f t="shared" si="94"/>
        <v>WET</v>
      </c>
      <c r="AR1064" s="44">
        <f t="shared" si="80"/>
        <v>3</v>
      </c>
      <c r="AS1064" s="44" t="str">
        <f t="shared" si="96"/>
        <v>C</v>
      </c>
      <c r="AT1064" s="44" t="s">
        <v>1797</v>
      </c>
      <c r="AU1064" s="44" t="str">
        <f t="shared" si="95"/>
        <v>Cfb</v>
      </c>
      <c r="AV1064" s="38">
        <v>1.0</v>
      </c>
      <c r="AW1064" s="38"/>
      <c r="AX1064" s="38"/>
      <c r="AY1064" s="38" t="s">
        <v>92</v>
      </c>
      <c r="AZ1064" s="29">
        <v>500.0</v>
      </c>
      <c r="BA1064" s="29">
        <v>1.0</v>
      </c>
      <c r="BB1064" s="29">
        <v>1.0</v>
      </c>
      <c r="BC1064" s="29"/>
      <c r="BD1064" s="29" t="s">
        <v>88</v>
      </c>
      <c r="BE1064" s="29"/>
      <c r="BF1064" s="29" t="s">
        <v>1902</v>
      </c>
      <c r="BG1064" s="29" t="s">
        <v>220</v>
      </c>
      <c r="BH1064" s="29" t="s">
        <v>88</v>
      </c>
      <c r="BI1064" s="29" t="s">
        <v>1848</v>
      </c>
      <c r="BJ1064" s="29"/>
      <c r="BK1064" s="29" t="s">
        <v>148</v>
      </c>
      <c r="BL1064" s="29" t="s">
        <v>148</v>
      </c>
      <c r="BM1064" s="45"/>
      <c r="BN1064" s="45"/>
      <c r="BO1064" s="46"/>
      <c r="BP1064" s="2"/>
      <c r="BQ1064" s="3"/>
    </row>
    <row r="1065" ht="15.75" customHeight="1">
      <c r="A1065" s="34">
        <v>1078.0</v>
      </c>
      <c r="B1065" s="34">
        <v>203123.0</v>
      </c>
      <c r="C1065" s="34" t="s">
        <v>832</v>
      </c>
      <c r="D1065" s="34" t="s">
        <v>1850</v>
      </c>
      <c r="E1065" s="34" t="s">
        <v>1851</v>
      </c>
      <c r="F1065" s="34">
        <v>2021.0</v>
      </c>
      <c r="G1065" s="34" t="s">
        <v>1852</v>
      </c>
      <c r="H1065" s="34" t="s">
        <v>80</v>
      </c>
      <c r="I1065" s="34" t="s">
        <v>1853</v>
      </c>
      <c r="J1065" s="35"/>
      <c r="K1065" s="36"/>
      <c r="L1065" s="36"/>
      <c r="M1065" s="36"/>
      <c r="N1065" s="36"/>
      <c r="O1065" s="36"/>
      <c r="P1065" s="37">
        <v>-17.0</v>
      </c>
      <c r="Q1065" s="36" t="s">
        <v>96</v>
      </c>
      <c r="R1065" s="36" t="s">
        <v>96</v>
      </c>
      <c r="S1065" s="36"/>
      <c r="T1065" s="36" t="s">
        <v>167</v>
      </c>
      <c r="U1065" s="36" t="s">
        <v>1893</v>
      </c>
      <c r="V1065" s="36">
        <v>56.0</v>
      </c>
      <c r="W1065" s="36"/>
      <c r="X1065" s="38">
        <v>1.0</v>
      </c>
      <c r="Y1065" s="38" t="s">
        <v>1894</v>
      </c>
      <c r="Z1065" s="38"/>
      <c r="AA1065" s="38" t="s">
        <v>86</v>
      </c>
      <c r="AB1065" s="38">
        <v>-37.75</v>
      </c>
      <c r="AC1065" s="38">
        <v>-58.34</v>
      </c>
      <c r="AD1065" s="38"/>
      <c r="AE1065" s="38">
        <v>130.0</v>
      </c>
      <c r="AF1065" s="38"/>
      <c r="AG1065" s="38"/>
      <c r="AH1065" s="38"/>
      <c r="AI1065" s="50">
        <v>-37.75</v>
      </c>
      <c r="AJ1065" s="50">
        <v>-58.34</v>
      </c>
      <c r="AK1065" s="41" t="s">
        <v>86</v>
      </c>
      <c r="AL1065" s="40"/>
      <c r="AM1065" s="49">
        <v>113.0</v>
      </c>
      <c r="AN1065" s="43"/>
      <c r="AO1065" s="42" t="s">
        <v>376</v>
      </c>
      <c r="AP1065" s="43"/>
      <c r="AQ1065" s="44" t="str">
        <f t="shared" si="94"/>
        <v>CRO</v>
      </c>
      <c r="AR1065" s="44">
        <f t="shared" si="80"/>
        <v>113</v>
      </c>
      <c r="AS1065" s="44" t="str">
        <f t="shared" si="96"/>
        <v>C</v>
      </c>
      <c r="AT1065" s="44" t="s">
        <v>1797</v>
      </c>
      <c r="AU1065" s="44" t="str">
        <f t="shared" si="95"/>
        <v>Cfb</v>
      </c>
      <c r="AV1065" s="38">
        <v>1.0</v>
      </c>
      <c r="AW1065" s="38"/>
      <c r="AX1065" s="38"/>
      <c r="AY1065" s="38" t="s">
        <v>92</v>
      </c>
      <c r="AZ1065" s="29">
        <v>500.0</v>
      </c>
      <c r="BA1065" s="29">
        <v>1.0</v>
      </c>
      <c r="BB1065" s="29">
        <v>1.0</v>
      </c>
      <c r="BC1065" s="29"/>
      <c r="BD1065" s="29" t="s">
        <v>88</v>
      </c>
      <c r="BE1065" s="29"/>
      <c r="BF1065" s="29" t="s">
        <v>1902</v>
      </c>
      <c r="BG1065" s="29" t="s">
        <v>220</v>
      </c>
      <c r="BH1065" s="29" t="s">
        <v>88</v>
      </c>
      <c r="BI1065" s="29" t="s">
        <v>1848</v>
      </c>
      <c r="BJ1065" s="29"/>
      <c r="BK1065" s="29" t="s">
        <v>148</v>
      </c>
      <c r="BL1065" s="29" t="s">
        <v>148</v>
      </c>
      <c r="BM1065" s="45"/>
      <c r="BN1065" s="45"/>
      <c r="BO1065" s="46"/>
      <c r="BP1065" s="2"/>
      <c r="BQ1065" s="3"/>
    </row>
    <row r="1066" ht="15.75" customHeight="1">
      <c r="A1066" s="34">
        <v>1079.0</v>
      </c>
      <c r="B1066" s="34">
        <v>203123.0</v>
      </c>
      <c r="C1066" s="34" t="s">
        <v>832</v>
      </c>
      <c r="D1066" s="34" t="s">
        <v>1850</v>
      </c>
      <c r="E1066" s="34" t="s">
        <v>1851</v>
      </c>
      <c r="F1066" s="34">
        <v>2021.0</v>
      </c>
      <c r="G1066" s="34" t="s">
        <v>1852</v>
      </c>
      <c r="H1066" s="34" t="s">
        <v>80</v>
      </c>
      <c r="I1066" s="34" t="s">
        <v>1853</v>
      </c>
      <c r="J1066" s="35"/>
      <c r="K1066" s="36"/>
      <c r="L1066" s="36"/>
      <c r="M1066" s="36"/>
      <c r="N1066" s="36"/>
      <c r="O1066" s="36"/>
      <c r="P1066" s="37">
        <v>18.83</v>
      </c>
      <c r="Q1066" s="36" t="s">
        <v>96</v>
      </c>
      <c r="R1066" s="36" t="s">
        <v>96</v>
      </c>
      <c r="S1066" s="36"/>
      <c r="T1066" s="36" t="s">
        <v>1895</v>
      </c>
      <c r="U1066" s="36" t="s">
        <v>1896</v>
      </c>
      <c r="V1066" s="36">
        <v>173.0</v>
      </c>
      <c r="W1066" s="36"/>
      <c r="X1066" s="38">
        <v>1.0</v>
      </c>
      <c r="Y1066" s="38" t="s">
        <v>1897</v>
      </c>
      <c r="Z1066" s="38"/>
      <c r="AA1066" s="38" t="s">
        <v>336</v>
      </c>
      <c r="AB1066" s="38">
        <v>-41.88</v>
      </c>
      <c r="AC1066" s="38">
        <v>-73.68</v>
      </c>
      <c r="AD1066" s="38"/>
      <c r="AE1066" s="38">
        <v>50.0</v>
      </c>
      <c r="AF1066" s="38"/>
      <c r="AG1066" s="38"/>
      <c r="AH1066" s="38"/>
      <c r="AI1066" s="50">
        <v>-41.88</v>
      </c>
      <c r="AJ1066" s="50">
        <v>-73.68</v>
      </c>
      <c r="AK1066" s="41" t="s">
        <v>336</v>
      </c>
      <c r="AL1066" s="40"/>
      <c r="AM1066" s="49">
        <v>17.0</v>
      </c>
      <c r="AN1066" s="43"/>
      <c r="AO1066" s="42" t="s">
        <v>376</v>
      </c>
      <c r="AP1066" s="43"/>
      <c r="AQ1066" s="44" t="str">
        <f t="shared" si="94"/>
        <v>EBF</v>
      </c>
      <c r="AR1066" s="44">
        <f t="shared" si="80"/>
        <v>17</v>
      </c>
      <c r="AS1066" s="44" t="str">
        <f t="shared" si="96"/>
        <v>C</v>
      </c>
      <c r="AT1066" s="44" t="s">
        <v>1797</v>
      </c>
      <c r="AU1066" s="44" t="str">
        <f t="shared" si="95"/>
        <v>Cfb</v>
      </c>
      <c r="AV1066" s="38">
        <v>1.0</v>
      </c>
      <c r="AW1066" s="38"/>
      <c r="AX1066" s="38"/>
      <c r="AY1066" s="38" t="s">
        <v>92</v>
      </c>
      <c r="AZ1066" s="29">
        <v>500.0</v>
      </c>
      <c r="BA1066" s="29">
        <v>1.0</v>
      </c>
      <c r="BB1066" s="29">
        <v>1.0</v>
      </c>
      <c r="BC1066" s="29"/>
      <c r="BD1066" s="29" t="s">
        <v>88</v>
      </c>
      <c r="BE1066" s="29"/>
      <c r="BF1066" s="29" t="s">
        <v>1902</v>
      </c>
      <c r="BG1066" s="29" t="s">
        <v>220</v>
      </c>
      <c r="BH1066" s="29" t="s">
        <v>88</v>
      </c>
      <c r="BI1066" s="29" t="s">
        <v>1848</v>
      </c>
      <c r="BJ1066" s="29"/>
      <c r="BK1066" s="29" t="s">
        <v>148</v>
      </c>
      <c r="BL1066" s="29" t="s">
        <v>148</v>
      </c>
      <c r="BM1066" s="45"/>
      <c r="BN1066" s="45"/>
      <c r="BO1066" s="46"/>
      <c r="BP1066" s="2"/>
      <c r="BQ1066" s="3"/>
    </row>
    <row r="1067" ht="15.75" customHeight="1">
      <c r="A1067" s="34">
        <v>1080.0</v>
      </c>
      <c r="B1067" s="34">
        <v>203123.0</v>
      </c>
      <c r="C1067" s="34" t="s">
        <v>832</v>
      </c>
      <c r="D1067" s="34" t="s">
        <v>1850</v>
      </c>
      <c r="E1067" s="34" t="s">
        <v>1851</v>
      </c>
      <c r="F1067" s="34">
        <v>2021.0</v>
      </c>
      <c r="G1067" s="34" t="s">
        <v>1852</v>
      </c>
      <c r="H1067" s="34" t="s">
        <v>80</v>
      </c>
      <c r="I1067" s="34" t="s">
        <v>1853</v>
      </c>
      <c r="J1067" s="35"/>
      <c r="K1067" s="36"/>
      <c r="L1067" s="36"/>
      <c r="M1067" s="36"/>
      <c r="N1067" s="36"/>
      <c r="O1067" s="36"/>
      <c r="P1067" s="37">
        <v>34.12</v>
      </c>
      <c r="Q1067" s="36" t="s">
        <v>96</v>
      </c>
      <c r="R1067" s="36" t="s">
        <v>96</v>
      </c>
      <c r="S1067" s="36"/>
      <c r="T1067" s="36" t="s">
        <v>818</v>
      </c>
      <c r="U1067" s="36" t="s">
        <v>1898</v>
      </c>
      <c r="V1067" s="36">
        <v>227.0</v>
      </c>
      <c r="W1067" s="36"/>
      <c r="X1067" s="38">
        <v>1.0</v>
      </c>
      <c r="Y1067" s="38" t="s">
        <v>1899</v>
      </c>
      <c r="Z1067" s="38"/>
      <c r="AA1067" s="38" t="s">
        <v>214</v>
      </c>
      <c r="AB1067" s="38">
        <v>-54.97</v>
      </c>
      <c r="AC1067" s="38">
        <v>-66.73</v>
      </c>
      <c r="AD1067" s="38"/>
      <c r="AE1067" s="38">
        <v>40.0</v>
      </c>
      <c r="AF1067" s="38"/>
      <c r="AG1067" s="38"/>
      <c r="AH1067" s="38"/>
      <c r="AI1067" s="50">
        <v>-54.97</v>
      </c>
      <c r="AJ1067" s="50">
        <v>-66.73</v>
      </c>
      <c r="AK1067" s="41" t="s">
        <v>370</v>
      </c>
      <c r="AL1067" s="40"/>
      <c r="AM1067" s="49">
        <v>38.0</v>
      </c>
      <c r="AN1067" s="43"/>
      <c r="AO1067" s="42" t="s">
        <v>604</v>
      </c>
      <c r="AP1067" s="43"/>
      <c r="AQ1067" s="44" t="str">
        <f t="shared" si="94"/>
        <v>WET</v>
      </c>
      <c r="AR1067" s="44">
        <f t="shared" si="80"/>
        <v>38</v>
      </c>
      <c r="AS1067" s="44" t="str">
        <f t="shared" si="96"/>
        <v>E</v>
      </c>
      <c r="AT1067" s="44" t="s">
        <v>604</v>
      </c>
      <c r="AU1067" s="44" t="str">
        <f t="shared" si="95"/>
        <v>EF</v>
      </c>
      <c r="AV1067" s="38">
        <v>1.0</v>
      </c>
      <c r="AW1067" s="38"/>
      <c r="AX1067" s="38"/>
      <c r="AY1067" s="38" t="s">
        <v>92</v>
      </c>
      <c r="AZ1067" s="29">
        <v>500.0</v>
      </c>
      <c r="BA1067" s="29">
        <v>1.0</v>
      </c>
      <c r="BB1067" s="29">
        <v>1.0</v>
      </c>
      <c r="BC1067" s="29"/>
      <c r="BD1067" s="29" t="s">
        <v>88</v>
      </c>
      <c r="BE1067" s="29"/>
      <c r="BF1067" s="29" t="s">
        <v>1902</v>
      </c>
      <c r="BG1067" s="29" t="s">
        <v>220</v>
      </c>
      <c r="BH1067" s="29" t="s">
        <v>88</v>
      </c>
      <c r="BI1067" s="29" t="s">
        <v>1848</v>
      </c>
      <c r="BJ1067" s="29"/>
      <c r="BK1067" s="29" t="s">
        <v>148</v>
      </c>
      <c r="BL1067" s="29" t="s">
        <v>148</v>
      </c>
      <c r="BM1067" s="45"/>
      <c r="BN1067" s="45"/>
      <c r="BO1067" s="46"/>
      <c r="BP1067" s="2"/>
      <c r="BQ1067" s="3"/>
    </row>
    <row r="1068" ht="15.75" customHeight="1">
      <c r="A1068" s="34">
        <v>1081.0</v>
      </c>
      <c r="B1068" s="34">
        <v>203123.0</v>
      </c>
      <c r="C1068" s="34" t="s">
        <v>832</v>
      </c>
      <c r="D1068" s="34" t="s">
        <v>1850</v>
      </c>
      <c r="E1068" s="34" t="s">
        <v>1851</v>
      </c>
      <c r="F1068" s="34">
        <v>2021.0</v>
      </c>
      <c r="G1068" s="34" t="s">
        <v>1852</v>
      </c>
      <c r="H1068" s="34" t="s">
        <v>80</v>
      </c>
      <c r="I1068" s="34" t="s">
        <v>1853</v>
      </c>
      <c r="J1068" s="35"/>
      <c r="K1068" s="36"/>
      <c r="L1068" s="36"/>
      <c r="M1068" s="36"/>
      <c r="N1068" s="36"/>
      <c r="O1068" s="36"/>
      <c r="P1068" s="37">
        <v>-19.2</v>
      </c>
      <c r="Q1068" s="36" t="s">
        <v>96</v>
      </c>
      <c r="R1068" s="36" t="s">
        <v>96</v>
      </c>
      <c r="S1068" s="36"/>
      <c r="T1068" s="36" t="s">
        <v>818</v>
      </c>
      <c r="U1068" s="36" t="s">
        <v>1900</v>
      </c>
      <c r="V1068" s="36">
        <v>80.0</v>
      </c>
      <c r="W1068" s="36"/>
      <c r="X1068" s="38">
        <v>1.0</v>
      </c>
      <c r="Y1068" s="38" t="s">
        <v>1901</v>
      </c>
      <c r="Z1068" s="38"/>
      <c r="AA1068" s="38" t="s">
        <v>214</v>
      </c>
      <c r="AB1068" s="38">
        <v>-54.83</v>
      </c>
      <c r="AC1068" s="38">
        <v>-68.45</v>
      </c>
      <c r="AD1068" s="38"/>
      <c r="AE1068" s="38">
        <v>60.0</v>
      </c>
      <c r="AF1068" s="38"/>
      <c r="AG1068" s="38"/>
      <c r="AH1068" s="38"/>
      <c r="AI1068" s="50">
        <v>-54.83</v>
      </c>
      <c r="AJ1068" s="50">
        <v>-68.45</v>
      </c>
      <c r="AK1068" s="41" t="s">
        <v>370</v>
      </c>
      <c r="AL1068" s="40"/>
      <c r="AM1068" s="49">
        <v>95.0</v>
      </c>
      <c r="AN1068" s="43"/>
      <c r="AO1068" s="42" t="s">
        <v>604</v>
      </c>
      <c r="AP1068" s="43"/>
      <c r="AQ1068" s="44" t="str">
        <f t="shared" si="94"/>
        <v>WET</v>
      </c>
      <c r="AR1068" s="44">
        <f t="shared" si="80"/>
        <v>95</v>
      </c>
      <c r="AS1068" s="44" t="str">
        <f t="shared" si="96"/>
        <v>E</v>
      </c>
      <c r="AT1068" s="44" t="s">
        <v>604</v>
      </c>
      <c r="AU1068" s="44" t="str">
        <f t="shared" si="95"/>
        <v>EF</v>
      </c>
      <c r="AV1068" s="38">
        <v>1.0</v>
      </c>
      <c r="AW1068" s="38"/>
      <c r="AX1068" s="38"/>
      <c r="AY1068" s="38" t="s">
        <v>92</v>
      </c>
      <c r="AZ1068" s="29">
        <v>500.0</v>
      </c>
      <c r="BA1068" s="29">
        <v>1.0</v>
      </c>
      <c r="BB1068" s="29">
        <v>1.0</v>
      </c>
      <c r="BC1068" s="29"/>
      <c r="BD1068" s="29" t="s">
        <v>88</v>
      </c>
      <c r="BE1068" s="29"/>
      <c r="BF1068" s="29" t="s">
        <v>1902</v>
      </c>
      <c r="BG1068" s="29" t="s">
        <v>220</v>
      </c>
      <c r="BH1068" s="29" t="s">
        <v>88</v>
      </c>
      <c r="BI1068" s="29" t="s">
        <v>1848</v>
      </c>
      <c r="BJ1068" s="29"/>
      <c r="BK1068" s="29" t="s">
        <v>148</v>
      </c>
      <c r="BL1068" s="29" t="s">
        <v>148</v>
      </c>
      <c r="BM1068" s="45"/>
      <c r="BN1068" s="45"/>
      <c r="BO1068" s="46"/>
      <c r="BP1068" s="2"/>
      <c r="BQ1068" s="3"/>
    </row>
    <row r="1069" ht="15.75" customHeight="1">
      <c r="A1069" s="34">
        <v>1082.0</v>
      </c>
      <c r="B1069" s="34">
        <v>203123.0</v>
      </c>
      <c r="C1069" s="34" t="s">
        <v>832</v>
      </c>
      <c r="D1069" s="34" t="s">
        <v>1850</v>
      </c>
      <c r="E1069" s="34" t="s">
        <v>1851</v>
      </c>
      <c r="F1069" s="34">
        <v>2021.0</v>
      </c>
      <c r="G1069" s="34" t="s">
        <v>1852</v>
      </c>
      <c r="H1069" s="34" t="s">
        <v>80</v>
      </c>
      <c r="I1069" s="34" t="s">
        <v>1853</v>
      </c>
      <c r="J1069" s="35"/>
      <c r="K1069" s="36"/>
      <c r="L1069" s="36"/>
      <c r="M1069" s="36"/>
      <c r="N1069" s="36"/>
      <c r="O1069" s="36"/>
      <c r="P1069" s="37">
        <v>1.42</v>
      </c>
      <c r="Q1069" s="36" t="s">
        <v>96</v>
      </c>
      <c r="R1069" s="36" t="s">
        <v>96</v>
      </c>
      <c r="S1069" s="36"/>
      <c r="T1069" s="36" t="s">
        <v>356</v>
      </c>
      <c r="U1069" s="36" t="s">
        <v>968</v>
      </c>
      <c r="V1069" s="36">
        <v>33.0</v>
      </c>
      <c r="W1069" s="36"/>
      <c r="X1069" s="38">
        <v>1.0</v>
      </c>
      <c r="Y1069" s="38" t="s">
        <v>1854</v>
      </c>
      <c r="Z1069" s="38"/>
      <c r="AA1069" s="38" t="s">
        <v>336</v>
      </c>
      <c r="AB1069" s="38">
        <v>-1.72</v>
      </c>
      <c r="AC1069" s="38">
        <v>-51.46</v>
      </c>
      <c r="AD1069" s="38" t="s">
        <v>1855</v>
      </c>
      <c r="AE1069" s="38">
        <v>57.0</v>
      </c>
      <c r="AF1069" s="38"/>
      <c r="AG1069" s="38"/>
      <c r="AH1069" s="38"/>
      <c r="AI1069" s="50">
        <v>-1.72</v>
      </c>
      <c r="AJ1069" s="50">
        <v>-51.46</v>
      </c>
      <c r="AK1069" s="41" t="s">
        <v>336</v>
      </c>
      <c r="AL1069" s="40"/>
      <c r="AM1069" s="49">
        <v>45.0</v>
      </c>
      <c r="AN1069" s="43"/>
      <c r="AO1069" s="42" t="s">
        <v>1024</v>
      </c>
      <c r="AP1069" s="43"/>
      <c r="AQ1069" s="44" t="str">
        <f t="shared" si="94"/>
        <v>EBF</v>
      </c>
      <c r="AR1069" s="44">
        <f t="shared" si="80"/>
        <v>45</v>
      </c>
      <c r="AS1069" s="44" t="str">
        <f t="shared" si="96"/>
        <v>A</v>
      </c>
      <c r="AT1069" s="44" t="s">
        <v>1024</v>
      </c>
      <c r="AU1069" s="44" t="str">
        <f t="shared" si="95"/>
        <v>Am</v>
      </c>
      <c r="AV1069" s="38">
        <v>1.0</v>
      </c>
      <c r="AW1069" s="38"/>
      <c r="AX1069" s="38"/>
      <c r="AY1069" s="38" t="s">
        <v>92</v>
      </c>
      <c r="AZ1069" s="29">
        <v>500.0</v>
      </c>
      <c r="BA1069" s="29">
        <v>1.0</v>
      </c>
      <c r="BB1069" s="29">
        <v>1.0</v>
      </c>
      <c r="BC1069" s="29"/>
      <c r="BD1069" s="29" t="s">
        <v>88</v>
      </c>
      <c r="BE1069" s="29"/>
      <c r="BF1069" s="29" t="s">
        <v>1903</v>
      </c>
      <c r="BG1069" s="29" t="s">
        <v>738</v>
      </c>
      <c r="BH1069" s="29" t="s">
        <v>88</v>
      </c>
      <c r="BI1069" s="29" t="s">
        <v>1848</v>
      </c>
      <c r="BJ1069" s="29"/>
      <c r="BK1069" s="29" t="s">
        <v>148</v>
      </c>
      <c r="BL1069" s="29" t="s">
        <v>148</v>
      </c>
      <c r="BM1069" s="45"/>
      <c r="BN1069" s="45">
        <v>1.0</v>
      </c>
      <c r="BO1069" s="46" t="s">
        <v>1856</v>
      </c>
      <c r="BP1069" s="2"/>
      <c r="BQ1069" s="3"/>
    </row>
    <row r="1070" ht="15.75" customHeight="1">
      <c r="A1070" s="34">
        <v>1083.0</v>
      </c>
      <c r="B1070" s="34">
        <v>203123.0</v>
      </c>
      <c r="C1070" s="34" t="s">
        <v>832</v>
      </c>
      <c r="D1070" s="34" t="s">
        <v>1850</v>
      </c>
      <c r="E1070" s="34" t="s">
        <v>1851</v>
      </c>
      <c r="F1070" s="34">
        <v>2021.0</v>
      </c>
      <c r="G1070" s="34" t="s">
        <v>1852</v>
      </c>
      <c r="H1070" s="34" t="s">
        <v>80</v>
      </c>
      <c r="I1070" s="34" t="s">
        <v>1853</v>
      </c>
      <c r="J1070" s="35"/>
      <c r="K1070" s="36"/>
      <c r="L1070" s="36"/>
      <c r="M1070" s="36"/>
      <c r="N1070" s="36"/>
      <c r="O1070" s="36"/>
      <c r="P1070" s="37">
        <v>3.01</v>
      </c>
      <c r="Q1070" s="36" t="s">
        <v>96</v>
      </c>
      <c r="R1070" s="36" t="s">
        <v>96</v>
      </c>
      <c r="S1070" s="36"/>
      <c r="T1070" s="36" t="s">
        <v>356</v>
      </c>
      <c r="U1070" s="36" t="s">
        <v>350</v>
      </c>
      <c r="V1070" s="36">
        <v>185.0</v>
      </c>
      <c r="W1070" s="36"/>
      <c r="X1070" s="38">
        <v>1.0</v>
      </c>
      <c r="Y1070" s="38" t="s">
        <v>1857</v>
      </c>
      <c r="Z1070" s="38"/>
      <c r="AA1070" s="38" t="s">
        <v>336</v>
      </c>
      <c r="AB1070" s="38">
        <v>-2.61</v>
      </c>
      <c r="AC1070" s="38">
        <v>-60.21</v>
      </c>
      <c r="AD1070" s="38"/>
      <c r="AE1070" s="38">
        <v>90.0</v>
      </c>
      <c r="AF1070" s="38"/>
      <c r="AG1070" s="38"/>
      <c r="AH1070" s="38"/>
      <c r="AI1070" s="50">
        <v>-2.61</v>
      </c>
      <c r="AJ1070" s="50">
        <v>-60.21</v>
      </c>
      <c r="AK1070" s="41" t="s">
        <v>336</v>
      </c>
      <c r="AL1070" s="40"/>
      <c r="AM1070" s="49">
        <v>114.0</v>
      </c>
      <c r="AN1070" s="43"/>
      <c r="AO1070" s="42" t="s">
        <v>784</v>
      </c>
      <c r="AP1070" s="43"/>
      <c r="AQ1070" s="44" t="str">
        <f t="shared" si="94"/>
        <v>EBF</v>
      </c>
      <c r="AR1070" s="44">
        <f t="shared" si="80"/>
        <v>114</v>
      </c>
      <c r="AS1070" s="44" t="str">
        <f t="shared" si="96"/>
        <v>A</v>
      </c>
      <c r="AT1070" s="44" t="s">
        <v>784</v>
      </c>
      <c r="AU1070" s="44" t="str">
        <f t="shared" si="95"/>
        <v>Af</v>
      </c>
      <c r="AV1070" s="38">
        <v>1.0</v>
      </c>
      <c r="AW1070" s="38"/>
      <c r="AX1070" s="38"/>
      <c r="AY1070" s="38" t="s">
        <v>92</v>
      </c>
      <c r="AZ1070" s="29">
        <v>500.0</v>
      </c>
      <c r="BA1070" s="29">
        <v>1.0</v>
      </c>
      <c r="BB1070" s="29">
        <v>1.0</v>
      </c>
      <c r="BC1070" s="29"/>
      <c r="BD1070" s="29" t="s">
        <v>88</v>
      </c>
      <c r="BE1070" s="29"/>
      <c r="BF1070" s="29" t="s">
        <v>1903</v>
      </c>
      <c r="BG1070" s="29" t="s">
        <v>738</v>
      </c>
      <c r="BH1070" s="29" t="s">
        <v>88</v>
      </c>
      <c r="BI1070" s="29" t="s">
        <v>1848</v>
      </c>
      <c r="BJ1070" s="29"/>
      <c r="BK1070" s="29" t="s">
        <v>148</v>
      </c>
      <c r="BL1070" s="29" t="s">
        <v>148</v>
      </c>
      <c r="BM1070" s="45"/>
      <c r="BN1070" s="45"/>
      <c r="BO1070" s="46"/>
      <c r="BP1070" s="2"/>
      <c r="BQ1070" s="3"/>
    </row>
    <row r="1071" ht="15.75" customHeight="1">
      <c r="A1071" s="34">
        <v>1084.0</v>
      </c>
      <c r="B1071" s="34">
        <v>203123.0</v>
      </c>
      <c r="C1071" s="34" t="s">
        <v>832</v>
      </c>
      <c r="D1071" s="34" t="s">
        <v>1850</v>
      </c>
      <c r="E1071" s="34" t="s">
        <v>1851</v>
      </c>
      <c r="F1071" s="34">
        <v>2021.0</v>
      </c>
      <c r="G1071" s="34" t="s">
        <v>1852</v>
      </c>
      <c r="H1071" s="34" t="s">
        <v>80</v>
      </c>
      <c r="I1071" s="34" t="s">
        <v>1853</v>
      </c>
      <c r="J1071" s="35"/>
      <c r="K1071" s="36"/>
      <c r="L1071" s="36"/>
      <c r="M1071" s="36"/>
      <c r="N1071" s="36"/>
      <c r="O1071" s="36"/>
      <c r="P1071" s="37">
        <v>-0.36</v>
      </c>
      <c r="Q1071" s="36" t="s">
        <v>96</v>
      </c>
      <c r="R1071" s="36" t="s">
        <v>96</v>
      </c>
      <c r="S1071" s="36"/>
      <c r="T1071" s="36" t="s">
        <v>284</v>
      </c>
      <c r="U1071" s="36" t="s">
        <v>194</v>
      </c>
      <c r="V1071" s="36">
        <v>608.0</v>
      </c>
      <c r="W1071" s="36"/>
      <c r="X1071" s="38">
        <v>1.0</v>
      </c>
      <c r="Y1071" s="38" t="s">
        <v>1858</v>
      </c>
      <c r="Z1071" s="38"/>
      <c r="AA1071" s="38" t="s">
        <v>336</v>
      </c>
      <c r="AB1071" s="38">
        <v>-2.86</v>
      </c>
      <c r="AC1071" s="38">
        <v>-54.96</v>
      </c>
      <c r="AD1071" s="38"/>
      <c r="AE1071" s="38">
        <v>194.0</v>
      </c>
      <c r="AF1071" s="38"/>
      <c r="AG1071" s="38"/>
      <c r="AH1071" s="38"/>
      <c r="AI1071" s="50">
        <v>-2.86</v>
      </c>
      <c r="AJ1071" s="50">
        <v>-54.96</v>
      </c>
      <c r="AK1071" s="41" t="s">
        <v>336</v>
      </c>
      <c r="AL1071" s="40"/>
      <c r="AM1071" s="49">
        <v>199.0</v>
      </c>
      <c r="AN1071" s="43"/>
      <c r="AO1071" s="42" t="s">
        <v>1024</v>
      </c>
      <c r="AP1071" s="43"/>
      <c r="AQ1071" s="44" t="str">
        <f t="shared" si="94"/>
        <v>EBF</v>
      </c>
      <c r="AR1071" s="44">
        <f t="shared" si="80"/>
        <v>199</v>
      </c>
      <c r="AS1071" s="44" t="str">
        <f t="shared" si="96"/>
        <v>A</v>
      </c>
      <c r="AT1071" s="44" t="s">
        <v>1024</v>
      </c>
      <c r="AU1071" s="44" t="str">
        <f t="shared" si="95"/>
        <v>Am</v>
      </c>
      <c r="AV1071" s="38">
        <v>1.0</v>
      </c>
      <c r="AW1071" s="38"/>
      <c r="AX1071" s="38"/>
      <c r="AY1071" s="38" t="s">
        <v>92</v>
      </c>
      <c r="AZ1071" s="29">
        <v>500.0</v>
      </c>
      <c r="BA1071" s="29">
        <v>1.0</v>
      </c>
      <c r="BB1071" s="29">
        <v>1.0</v>
      </c>
      <c r="BC1071" s="29"/>
      <c r="BD1071" s="29" t="s">
        <v>88</v>
      </c>
      <c r="BE1071" s="29"/>
      <c r="BF1071" s="29" t="s">
        <v>1903</v>
      </c>
      <c r="BG1071" s="29" t="s">
        <v>738</v>
      </c>
      <c r="BH1071" s="29" t="s">
        <v>88</v>
      </c>
      <c r="BI1071" s="29" t="s">
        <v>1848</v>
      </c>
      <c r="BJ1071" s="29"/>
      <c r="BK1071" s="29" t="s">
        <v>148</v>
      </c>
      <c r="BL1071" s="29" t="s">
        <v>148</v>
      </c>
      <c r="BM1071" s="45"/>
      <c r="BN1071" s="45"/>
      <c r="BO1071" s="46"/>
      <c r="BP1071" s="2"/>
      <c r="BQ1071" s="3"/>
    </row>
    <row r="1072" ht="15.75" customHeight="1">
      <c r="A1072" s="34">
        <v>1085.0</v>
      </c>
      <c r="B1072" s="34">
        <v>203123.0</v>
      </c>
      <c r="C1072" s="34" t="s">
        <v>832</v>
      </c>
      <c r="D1072" s="34" t="s">
        <v>1850</v>
      </c>
      <c r="E1072" s="34" t="s">
        <v>1851</v>
      </c>
      <c r="F1072" s="34">
        <v>2021.0</v>
      </c>
      <c r="G1072" s="34" t="s">
        <v>1852</v>
      </c>
      <c r="H1072" s="34" t="s">
        <v>80</v>
      </c>
      <c r="I1072" s="34" t="s">
        <v>1853</v>
      </c>
      <c r="J1072" s="35"/>
      <c r="K1072" s="36"/>
      <c r="L1072" s="36"/>
      <c r="M1072" s="36"/>
      <c r="N1072" s="36"/>
      <c r="O1072" s="36"/>
      <c r="P1072" s="37">
        <v>3.46</v>
      </c>
      <c r="Q1072" s="36" t="s">
        <v>96</v>
      </c>
      <c r="R1072" s="36" t="s">
        <v>96</v>
      </c>
      <c r="S1072" s="36"/>
      <c r="T1072" s="36" t="s">
        <v>328</v>
      </c>
      <c r="U1072" s="36" t="s">
        <v>285</v>
      </c>
      <c r="V1072" s="36">
        <v>166.0</v>
      </c>
      <c r="W1072" s="36"/>
      <c r="X1072" s="38">
        <v>1.0</v>
      </c>
      <c r="Y1072" s="38" t="s">
        <v>1859</v>
      </c>
      <c r="Z1072" s="38"/>
      <c r="AA1072" s="38" t="s">
        <v>86</v>
      </c>
      <c r="AB1072" s="38">
        <v>-3.01</v>
      </c>
      <c r="AC1072" s="38">
        <v>-54.54</v>
      </c>
      <c r="AD1072" s="38"/>
      <c r="AE1072" s="38">
        <v>101.0</v>
      </c>
      <c r="AF1072" s="38"/>
      <c r="AG1072" s="38"/>
      <c r="AH1072" s="38"/>
      <c r="AI1072" s="50">
        <v>-3.01</v>
      </c>
      <c r="AJ1072" s="50">
        <v>-54.54</v>
      </c>
      <c r="AK1072" s="41" t="s">
        <v>200</v>
      </c>
      <c r="AL1072" s="40"/>
      <c r="AM1072" s="49">
        <v>69.0</v>
      </c>
      <c r="AN1072" s="43"/>
      <c r="AO1072" s="42" t="s">
        <v>1024</v>
      </c>
      <c r="AP1072" s="43"/>
      <c r="AQ1072" s="44" t="str">
        <f t="shared" si="94"/>
        <v>CRO</v>
      </c>
      <c r="AR1072" s="44">
        <f t="shared" si="80"/>
        <v>69</v>
      </c>
      <c r="AS1072" s="44" t="str">
        <f t="shared" si="96"/>
        <v>A</v>
      </c>
      <c r="AT1072" s="44" t="s">
        <v>1024</v>
      </c>
      <c r="AU1072" s="44" t="str">
        <f t="shared" si="95"/>
        <v>Am</v>
      </c>
      <c r="AV1072" s="38">
        <v>1.0</v>
      </c>
      <c r="AW1072" s="38"/>
      <c r="AX1072" s="38"/>
      <c r="AY1072" s="38" t="s">
        <v>92</v>
      </c>
      <c r="AZ1072" s="29">
        <v>500.0</v>
      </c>
      <c r="BA1072" s="29">
        <v>1.0</v>
      </c>
      <c r="BB1072" s="29">
        <v>1.0</v>
      </c>
      <c r="BC1072" s="29"/>
      <c r="BD1072" s="29" t="s">
        <v>88</v>
      </c>
      <c r="BE1072" s="29"/>
      <c r="BF1072" s="29" t="s">
        <v>1903</v>
      </c>
      <c r="BG1072" s="29" t="s">
        <v>738</v>
      </c>
      <c r="BH1072" s="29" t="s">
        <v>88</v>
      </c>
      <c r="BI1072" s="29" t="s">
        <v>1848</v>
      </c>
      <c r="BJ1072" s="29"/>
      <c r="BK1072" s="29" t="s">
        <v>148</v>
      </c>
      <c r="BL1072" s="29" t="s">
        <v>148</v>
      </c>
      <c r="BM1072" s="45"/>
      <c r="BN1072" s="45"/>
      <c r="BO1072" s="46"/>
      <c r="BP1072" s="2"/>
      <c r="BQ1072" s="3"/>
    </row>
    <row r="1073" ht="15.75" customHeight="1">
      <c r="A1073" s="34">
        <v>1086.0</v>
      </c>
      <c r="B1073" s="34">
        <v>203123.0</v>
      </c>
      <c r="C1073" s="34" t="s">
        <v>832</v>
      </c>
      <c r="D1073" s="34" t="s">
        <v>1850</v>
      </c>
      <c r="E1073" s="34" t="s">
        <v>1851</v>
      </c>
      <c r="F1073" s="34">
        <v>2021.0</v>
      </c>
      <c r="G1073" s="34" t="s">
        <v>1852</v>
      </c>
      <c r="H1073" s="34" t="s">
        <v>80</v>
      </c>
      <c r="I1073" s="34" t="s">
        <v>1853</v>
      </c>
      <c r="J1073" s="35"/>
      <c r="K1073" s="36"/>
      <c r="L1073" s="36"/>
      <c r="M1073" s="36"/>
      <c r="N1073" s="36"/>
      <c r="O1073" s="36"/>
      <c r="P1073" s="37">
        <v>-2.2</v>
      </c>
      <c r="Q1073" s="36" t="s">
        <v>96</v>
      </c>
      <c r="R1073" s="36" t="s">
        <v>96</v>
      </c>
      <c r="S1073" s="36"/>
      <c r="T1073" s="36" t="s">
        <v>1860</v>
      </c>
      <c r="U1073" s="36" t="s">
        <v>295</v>
      </c>
      <c r="V1073" s="36">
        <v>246.0</v>
      </c>
      <c r="W1073" s="36"/>
      <c r="X1073" s="38">
        <v>1.0</v>
      </c>
      <c r="Y1073" s="38" t="s">
        <v>1861</v>
      </c>
      <c r="Z1073" s="38"/>
      <c r="AA1073" s="38" t="s">
        <v>336</v>
      </c>
      <c r="AB1073" s="38">
        <v>-3.02</v>
      </c>
      <c r="AC1073" s="38">
        <v>-54.97</v>
      </c>
      <c r="AD1073" s="38"/>
      <c r="AE1073" s="38">
        <v>181.0</v>
      </c>
      <c r="AF1073" s="38"/>
      <c r="AG1073" s="38"/>
      <c r="AH1073" s="38"/>
      <c r="AI1073" s="50">
        <v>-3.02</v>
      </c>
      <c r="AJ1073" s="50">
        <v>-54.97</v>
      </c>
      <c r="AK1073" s="41" t="s">
        <v>336</v>
      </c>
      <c r="AL1073" s="40"/>
      <c r="AM1073" s="49">
        <v>187.0</v>
      </c>
      <c r="AN1073" s="43"/>
      <c r="AO1073" s="42" t="s">
        <v>1024</v>
      </c>
      <c r="AP1073" s="43"/>
      <c r="AQ1073" s="44" t="str">
        <f t="shared" si="94"/>
        <v>EBF</v>
      </c>
      <c r="AR1073" s="44">
        <f t="shared" si="80"/>
        <v>187</v>
      </c>
      <c r="AS1073" s="44" t="str">
        <f t="shared" si="96"/>
        <v>A</v>
      </c>
      <c r="AT1073" s="44" t="s">
        <v>1024</v>
      </c>
      <c r="AU1073" s="44" t="str">
        <f t="shared" si="95"/>
        <v>Am</v>
      </c>
      <c r="AV1073" s="38">
        <v>1.0</v>
      </c>
      <c r="AW1073" s="38"/>
      <c r="AX1073" s="38"/>
      <c r="AY1073" s="38" t="s">
        <v>92</v>
      </c>
      <c r="AZ1073" s="29">
        <v>500.0</v>
      </c>
      <c r="BA1073" s="29">
        <v>1.0</v>
      </c>
      <c r="BB1073" s="29">
        <v>1.0</v>
      </c>
      <c r="BC1073" s="29"/>
      <c r="BD1073" s="29" t="s">
        <v>88</v>
      </c>
      <c r="BE1073" s="29"/>
      <c r="BF1073" s="29" t="s">
        <v>1903</v>
      </c>
      <c r="BG1073" s="29" t="s">
        <v>738</v>
      </c>
      <c r="BH1073" s="29" t="s">
        <v>88</v>
      </c>
      <c r="BI1073" s="29" t="s">
        <v>1848</v>
      </c>
      <c r="BJ1073" s="29"/>
      <c r="BK1073" s="29" t="s">
        <v>148</v>
      </c>
      <c r="BL1073" s="29" t="s">
        <v>148</v>
      </c>
      <c r="BM1073" s="45"/>
      <c r="BN1073" s="45"/>
      <c r="BO1073" s="46"/>
      <c r="BP1073" s="2"/>
      <c r="BQ1073" s="3"/>
    </row>
    <row r="1074" ht="15.75" customHeight="1">
      <c r="A1074" s="34">
        <v>1087.0</v>
      </c>
      <c r="B1074" s="34">
        <v>203123.0</v>
      </c>
      <c r="C1074" s="34" t="s">
        <v>832</v>
      </c>
      <c r="D1074" s="34" t="s">
        <v>1850</v>
      </c>
      <c r="E1074" s="34" t="s">
        <v>1851</v>
      </c>
      <c r="F1074" s="34">
        <v>2021.0</v>
      </c>
      <c r="G1074" s="34" t="s">
        <v>1852</v>
      </c>
      <c r="H1074" s="34" t="s">
        <v>80</v>
      </c>
      <c r="I1074" s="34" t="s">
        <v>1853</v>
      </c>
      <c r="J1074" s="35"/>
      <c r="K1074" s="36"/>
      <c r="L1074" s="36"/>
      <c r="M1074" s="36"/>
      <c r="N1074" s="36"/>
      <c r="O1074" s="36"/>
      <c r="P1074" s="37">
        <v>-3.08</v>
      </c>
      <c r="Q1074" s="36" t="s">
        <v>96</v>
      </c>
      <c r="R1074" s="36" t="s">
        <v>96</v>
      </c>
      <c r="S1074" s="36"/>
      <c r="T1074" s="36" t="s">
        <v>245</v>
      </c>
      <c r="U1074" s="36" t="s">
        <v>837</v>
      </c>
      <c r="V1074" s="36">
        <v>241.0</v>
      </c>
      <c r="W1074" s="36"/>
      <c r="X1074" s="38">
        <v>1.0</v>
      </c>
      <c r="Y1074" s="38" t="s">
        <v>1862</v>
      </c>
      <c r="Z1074" s="38"/>
      <c r="AA1074" s="38" t="s">
        <v>636</v>
      </c>
      <c r="AB1074" s="38">
        <v>-6.58</v>
      </c>
      <c r="AC1074" s="38">
        <v>-37.25</v>
      </c>
      <c r="AD1074" s="38"/>
      <c r="AE1074" s="38">
        <v>205.0</v>
      </c>
      <c r="AF1074" s="38"/>
      <c r="AG1074" s="38"/>
      <c r="AH1074" s="38"/>
      <c r="AI1074" s="50">
        <v>-6.58</v>
      </c>
      <c r="AJ1074" s="50">
        <v>-37.25</v>
      </c>
      <c r="AK1074" s="41" t="s">
        <v>291</v>
      </c>
      <c r="AL1074" s="40"/>
      <c r="AM1074" s="49">
        <v>192.0</v>
      </c>
      <c r="AN1074" s="43"/>
      <c r="AO1074" s="42" t="s">
        <v>304</v>
      </c>
      <c r="AP1074" s="43"/>
      <c r="AQ1074" s="44" t="str">
        <f t="shared" si="94"/>
        <v>DNF</v>
      </c>
      <c r="AR1074" s="44">
        <f t="shared" si="80"/>
        <v>192</v>
      </c>
      <c r="AS1074" s="44" t="str">
        <f t="shared" si="96"/>
        <v>B</v>
      </c>
      <c r="AT1074" s="44" t="s">
        <v>1863</v>
      </c>
      <c r="AU1074" s="44" t="str">
        <f t="shared" si="95"/>
        <v>BSh</v>
      </c>
      <c r="AV1074" s="38">
        <v>1.0</v>
      </c>
      <c r="AW1074" s="38"/>
      <c r="AX1074" s="38"/>
      <c r="AY1074" s="38" t="s">
        <v>92</v>
      </c>
      <c r="AZ1074" s="29">
        <v>500.0</v>
      </c>
      <c r="BA1074" s="29">
        <v>1.0</v>
      </c>
      <c r="BB1074" s="29">
        <v>1.0</v>
      </c>
      <c r="BC1074" s="29"/>
      <c r="BD1074" s="29" t="s">
        <v>88</v>
      </c>
      <c r="BE1074" s="29"/>
      <c r="BF1074" s="29" t="s">
        <v>1903</v>
      </c>
      <c r="BG1074" s="29" t="s">
        <v>738</v>
      </c>
      <c r="BH1074" s="29" t="s">
        <v>88</v>
      </c>
      <c r="BI1074" s="29" t="s">
        <v>1848</v>
      </c>
      <c r="BJ1074" s="29"/>
      <c r="BK1074" s="29" t="s">
        <v>148</v>
      </c>
      <c r="BL1074" s="29" t="s">
        <v>148</v>
      </c>
      <c r="BM1074" s="45"/>
      <c r="BN1074" s="45"/>
      <c r="BO1074" s="46"/>
      <c r="BP1074" s="2"/>
      <c r="BQ1074" s="3"/>
    </row>
    <row r="1075" ht="15.75" customHeight="1">
      <c r="A1075" s="34">
        <v>1088.0</v>
      </c>
      <c r="B1075" s="34">
        <v>203123.0</v>
      </c>
      <c r="C1075" s="34" t="s">
        <v>832</v>
      </c>
      <c r="D1075" s="34" t="s">
        <v>1850</v>
      </c>
      <c r="E1075" s="34" t="s">
        <v>1851</v>
      </c>
      <c r="F1075" s="34">
        <v>2021.0</v>
      </c>
      <c r="G1075" s="34" t="s">
        <v>1852</v>
      </c>
      <c r="H1075" s="34" t="s">
        <v>80</v>
      </c>
      <c r="I1075" s="34" t="s">
        <v>1853</v>
      </c>
      <c r="J1075" s="35"/>
      <c r="K1075" s="36"/>
      <c r="L1075" s="36"/>
      <c r="M1075" s="36"/>
      <c r="N1075" s="36"/>
      <c r="O1075" s="36"/>
      <c r="P1075" s="37">
        <v>23.12</v>
      </c>
      <c r="Q1075" s="36" t="s">
        <v>96</v>
      </c>
      <c r="R1075" s="36" t="s">
        <v>96</v>
      </c>
      <c r="S1075" s="36"/>
      <c r="T1075" s="36" t="s">
        <v>1864</v>
      </c>
      <c r="U1075" s="36" t="s">
        <v>1865</v>
      </c>
      <c r="V1075" s="36">
        <v>365.0</v>
      </c>
      <c r="W1075" s="36"/>
      <c r="X1075" s="38">
        <v>1.0</v>
      </c>
      <c r="Y1075" s="38" t="s">
        <v>1866</v>
      </c>
      <c r="Z1075" s="38"/>
      <c r="AA1075" s="38" t="s">
        <v>636</v>
      </c>
      <c r="AB1075" s="38">
        <v>-7.96</v>
      </c>
      <c r="AC1075" s="38">
        <v>-38.38</v>
      </c>
      <c r="AD1075" s="38"/>
      <c r="AE1075" s="38">
        <v>468.0</v>
      </c>
      <c r="AF1075" s="38"/>
      <c r="AG1075" s="38"/>
      <c r="AH1075" s="38"/>
      <c r="AI1075" s="50">
        <v>-7.96</v>
      </c>
      <c r="AJ1075" s="50">
        <v>-38.38</v>
      </c>
      <c r="AK1075" s="41" t="s">
        <v>291</v>
      </c>
      <c r="AL1075" s="40"/>
      <c r="AM1075" s="49">
        <v>469.0</v>
      </c>
      <c r="AN1075" s="43"/>
      <c r="AO1075" s="42" t="s">
        <v>304</v>
      </c>
      <c r="AP1075" s="43"/>
      <c r="AQ1075" s="44" t="str">
        <f t="shared" si="94"/>
        <v>DNF</v>
      </c>
      <c r="AR1075" s="44">
        <f t="shared" si="80"/>
        <v>469</v>
      </c>
      <c r="AS1075" s="44" t="str">
        <f t="shared" si="96"/>
        <v>B</v>
      </c>
      <c r="AT1075" s="44" t="s">
        <v>1863</v>
      </c>
      <c r="AU1075" s="44" t="str">
        <f t="shared" si="95"/>
        <v>BSh</v>
      </c>
      <c r="AV1075" s="38">
        <v>1.0</v>
      </c>
      <c r="AW1075" s="38"/>
      <c r="AX1075" s="38"/>
      <c r="AY1075" s="38" t="s">
        <v>92</v>
      </c>
      <c r="AZ1075" s="29">
        <v>500.0</v>
      </c>
      <c r="BA1075" s="29">
        <v>1.0</v>
      </c>
      <c r="BB1075" s="29">
        <v>1.0</v>
      </c>
      <c r="BC1075" s="29"/>
      <c r="BD1075" s="29" t="s">
        <v>88</v>
      </c>
      <c r="BE1075" s="29"/>
      <c r="BF1075" s="29" t="s">
        <v>1903</v>
      </c>
      <c r="BG1075" s="29" t="s">
        <v>738</v>
      </c>
      <c r="BH1075" s="29" t="s">
        <v>88</v>
      </c>
      <c r="BI1075" s="29" t="s">
        <v>1848</v>
      </c>
      <c r="BJ1075" s="29"/>
      <c r="BK1075" s="29" t="s">
        <v>148</v>
      </c>
      <c r="BL1075" s="29" t="s">
        <v>148</v>
      </c>
      <c r="BM1075" s="45"/>
      <c r="BN1075" s="45"/>
      <c r="BO1075" s="46"/>
      <c r="BP1075" s="2"/>
      <c r="BQ1075" s="3"/>
    </row>
    <row r="1076" ht="15.75" customHeight="1">
      <c r="A1076" s="34">
        <v>1089.0</v>
      </c>
      <c r="B1076" s="34">
        <v>203123.0</v>
      </c>
      <c r="C1076" s="34" t="s">
        <v>832</v>
      </c>
      <c r="D1076" s="34" t="s">
        <v>1850</v>
      </c>
      <c r="E1076" s="34" t="s">
        <v>1851</v>
      </c>
      <c r="F1076" s="34">
        <v>2021.0</v>
      </c>
      <c r="G1076" s="34" t="s">
        <v>1852</v>
      </c>
      <c r="H1076" s="34" t="s">
        <v>80</v>
      </c>
      <c r="I1076" s="34" t="s">
        <v>1853</v>
      </c>
      <c r="J1076" s="35"/>
      <c r="K1076" s="36"/>
      <c r="L1076" s="36"/>
      <c r="M1076" s="36"/>
      <c r="N1076" s="36"/>
      <c r="O1076" s="36"/>
      <c r="P1076" s="37">
        <v>5.45</v>
      </c>
      <c r="Q1076" s="36" t="s">
        <v>96</v>
      </c>
      <c r="R1076" s="36" t="s">
        <v>96</v>
      </c>
      <c r="S1076" s="36"/>
      <c r="T1076" s="36" t="s">
        <v>167</v>
      </c>
      <c r="U1076" s="36" t="s">
        <v>245</v>
      </c>
      <c r="V1076" s="36">
        <v>221.0</v>
      </c>
      <c r="W1076" s="36"/>
      <c r="X1076" s="38">
        <v>1.0</v>
      </c>
      <c r="Y1076" s="38" t="s">
        <v>1867</v>
      </c>
      <c r="Z1076" s="38"/>
      <c r="AA1076" s="38" t="s">
        <v>288</v>
      </c>
      <c r="AB1076" s="38">
        <v>-8.81</v>
      </c>
      <c r="AC1076" s="38">
        <v>-36.41</v>
      </c>
      <c r="AD1076" s="38"/>
      <c r="AE1076" s="38">
        <v>702.0</v>
      </c>
      <c r="AF1076" s="38"/>
      <c r="AG1076" s="38"/>
      <c r="AH1076" s="38"/>
      <c r="AI1076" s="50">
        <v>-8.81</v>
      </c>
      <c r="AJ1076" s="50">
        <v>-36.41</v>
      </c>
      <c r="AK1076" s="41" t="s">
        <v>86</v>
      </c>
      <c r="AL1076" s="40"/>
      <c r="AM1076" s="49">
        <v>688.0</v>
      </c>
      <c r="AN1076" s="43"/>
      <c r="AO1076" s="42" t="s">
        <v>335</v>
      </c>
      <c r="AP1076" s="43"/>
      <c r="AQ1076" s="44" t="str">
        <f t="shared" si="94"/>
        <v>GRA</v>
      </c>
      <c r="AR1076" s="44">
        <f t="shared" si="80"/>
        <v>688</v>
      </c>
      <c r="AS1076" s="44" t="str">
        <f t="shared" si="96"/>
        <v>A</v>
      </c>
      <c r="AT1076" s="44" t="s">
        <v>335</v>
      </c>
      <c r="AU1076" s="44" t="str">
        <f t="shared" si="95"/>
        <v>Aw</v>
      </c>
      <c r="AV1076" s="38">
        <v>1.0</v>
      </c>
      <c r="AW1076" s="38"/>
      <c r="AX1076" s="38"/>
      <c r="AY1076" s="38" t="s">
        <v>92</v>
      </c>
      <c r="AZ1076" s="29">
        <v>500.0</v>
      </c>
      <c r="BA1076" s="29">
        <v>1.0</v>
      </c>
      <c r="BB1076" s="29">
        <v>1.0</v>
      </c>
      <c r="BC1076" s="29"/>
      <c r="BD1076" s="29" t="s">
        <v>88</v>
      </c>
      <c r="BE1076" s="29"/>
      <c r="BF1076" s="29" t="s">
        <v>1903</v>
      </c>
      <c r="BG1076" s="29" t="s">
        <v>738</v>
      </c>
      <c r="BH1076" s="29" t="s">
        <v>88</v>
      </c>
      <c r="BI1076" s="29" t="s">
        <v>1848</v>
      </c>
      <c r="BJ1076" s="29"/>
      <c r="BK1076" s="29" t="s">
        <v>148</v>
      </c>
      <c r="BL1076" s="29" t="s">
        <v>148</v>
      </c>
      <c r="BM1076" s="45"/>
      <c r="BN1076" s="45"/>
      <c r="BO1076" s="46"/>
      <c r="BP1076" s="2"/>
      <c r="BQ1076" s="3"/>
    </row>
    <row r="1077" ht="15.75" customHeight="1">
      <c r="A1077" s="34">
        <v>1090.0</v>
      </c>
      <c r="B1077" s="34">
        <v>203123.0</v>
      </c>
      <c r="C1077" s="34" t="s">
        <v>832</v>
      </c>
      <c r="D1077" s="34" t="s">
        <v>1850</v>
      </c>
      <c r="E1077" s="34" t="s">
        <v>1851</v>
      </c>
      <c r="F1077" s="34">
        <v>2021.0</v>
      </c>
      <c r="G1077" s="34" t="s">
        <v>1852</v>
      </c>
      <c r="H1077" s="34" t="s">
        <v>80</v>
      </c>
      <c r="I1077" s="34" t="s">
        <v>1853</v>
      </c>
      <c r="J1077" s="35"/>
      <c r="K1077" s="36"/>
      <c r="L1077" s="36"/>
      <c r="M1077" s="36"/>
      <c r="N1077" s="36"/>
      <c r="O1077" s="36"/>
      <c r="P1077" s="37">
        <v>15.15</v>
      </c>
      <c r="Q1077" s="36" t="s">
        <v>96</v>
      </c>
      <c r="R1077" s="36" t="s">
        <v>96</v>
      </c>
      <c r="S1077" s="36"/>
      <c r="T1077" s="36" t="s">
        <v>233</v>
      </c>
      <c r="U1077" s="36" t="s">
        <v>242</v>
      </c>
      <c r="V1077" s="36">
        <v>286.0</v>
      </c>
      <c r="W1077" s="36"/>
      <c r="X1077" s="38">
        <v>1.0</v>
      </c>
      <c r="Y1077" s="38" t="s">
        <v>1868</v>
      </c>
      <c r="Z1077" s="38"/>
      <c r="AA1077" s="38" t="s">
        <v>636</v>
      </c>
      <c r="AB1077" s="38">
        <v>-9.05</v>
      </c>
      <c r="AC1077" s="38">
        <v>-40.32</v>
      </c>
      <c r="AD1077" s="38"/>
      <c r="AE1077" s="38">
        <v>391.0</v>
      </c>
      <c r="AF1077" s="38"/>
      <c r="AG1077" s="38"/>
      <c r="AH1077" s="38"/>
      <c r="AI1077" s="50">
        <v>-9.05</v>
      </c>
      <c r="AJ1077" s="50">
        <v>-40.32</v>
      </c>
      <c r="AK1077" s="41" t="s">
        <v>291</v>
      </c>
      <c r="AL1077" s="40"/>
      <c r="AM1077" s="49">
        <v>390.0</v>
      </c>
      <c r="AN1077" s="43"/>
      <c r="AO1077" s="42" t="s">
        <v>304</v>
      </c>
      <c r="AP1077" s="43"/>
      <c r="AQ1077" s="44" t="str">
        <f t="shared" si="94"/>
        <v>DNF</v>
      </c>
      <c r="AR1077" s="44">
        <f t="shared" si="80"/>
        <v>390</v>
      </c>
      <c r="AS1077" s="44" t="str">
        <f t="shared" si="96"/>
        <v>B</v>
      </c>
      <c r="AT1077" s="44" t="s">
        <v>1863</v>
      </c>
      <c r="AU1077" s="44" t="str">
        <f t="shared" si="95"/>
        <v>BSh</v>
      </c>
      <c r="AV1077" s="38">
        <v>1.0</v>
      </c>
      <c r="AW1077" s="38"/>
      <c r="AX1077" s="38"/>
      <c r="AY1077" s="38" t="s">
        <v>92</v>
      </c>
      <c r="AZ1077" s="29">
        <v>500.0</v>
      </c>
      <c r="BA1077" s="29">
        <v>1.0</v>
      </c>
      <c r="BB1077" s="29">
        <v>1.0</v>
      </c>
      <c r="BC1077" s="29"/>
      <c r="BD1077" s="29" t="s">
        <v>88</v>
      </c>
      <c r="BE1077" s="29"/>
      <c r="BF1077" s="29" t="s">
        <v>1903</v>
      </c>
      <c r="BG1077" s="29" t="s">
        <v>738</v>
      </c>
      <c r="BH1077" s="29" t="s">
        <v>88</v>
      </c>
      <c r="BI1077" s="29" t="s">
        <v>1848</v>
      </c>
      <c r="BJ1077" s="29"/>
      <c r="BK1077" s="29" t="s">
        <v>148</v>
      </c>
      <c r="BL1077" s="29" t="s">
        <v>148</v>
      </c>
      <c r="BM1077" s="45"/>
      <c r="BN1077" s="45"/>
      <c r="BO1077" s="46"/>
      <c r="BP1077" s="2"/>
      <c r="BQ1077" s="3"/>
    </row>
    <row r="1078" ht="15.75" customHeight="1">
      <c r="A1078" s="34">
        <v>1091.0</v>
      </c>
      <c r="B1078" s="34">
        <v>203123.0</v>
      </c>
      <c r="C1078" s="34" t="s">
        <v>832</v>
      </c>
      <c r="D1078" s="34" t="s">
        <v>1850</v>
      </c>
      <c r="E1078" s="34" t="s">
        <v>1851</v>
      </c>
      <c r="F1078" s="34">
        <v>2021.0</v>
      </c>
      <c r="G1078" s="34" t="s">
        <v>1852</v>
      </c>
      <c r="H1078" s="34" t="s">
        <v>80</v>
      </c>
      <c r="I1078" s="34" t="s">
        <v>1853</v>
      </c>
      <c r="J1078" s="35"/>
      <c r="K1078" s="36"/>
      <c r="L1078" s="36"/>
      <c r="M1078" s="36"/>
      <c r="N1078" s="36"/>
      <c r="O1078" s="36"/>
      <c r="P1078" s="37">
        <v>-0.1</v>
      </c>
      <c r="Q1078" s="36" t="s">
        <v>96</v>
      </c>
      <c r="R1078" s="36" t="s">
        <v>96</v>
      </c>
      <c r="S1078" s="36"/>
      <c r="T1078" s="36" t="s">
        <v>1869</v>
      </c>
      <c r="U1078" s="36" t="s">
        <v>350</v>
      </c>
      <c r="V1078" s="36">
        <v>427.0</v>
      </c>
      <c r="W1078" s="36"/>
      <c r="X1078" s="38">
        <v>1.0</v>
      </c>
      <c r="Y1078" s="38" t="s">
        <v>1870</v>
      </c>
      <c r="Z1078" s="38"/>
      <c r="AA1078" s="38" t="s">
        <v>200</v>
      </c>
      <c r="AB1078" s="38">
        <v>-9.82</v>
      </c>
      <c r="AC1078" s="38">
        <v>-50.16</v>
      </c>
      <c r="AD1078" s="38"/>
      <c r="AE1078" s="38">
        <v>168.0</v>
      </c>
      <c r="AF1078" s="38"/>
      <c r="AG1078" s="38"/>
      <c r="AH1078" s="38"/>
      <c r="AI1078" s="50">
        <v>-9.82</v>
      </c>
      <c r="AJ1078" s="50">
        <v>-50.16</v>
      </c>
      <c r="AK1078" s="41" t="s">
        <v>336</v>
      </c>
      <c r="AL1078" s="40"/>
      <c r="AM1078" s="49">
        <v>177.0</v>
      </c>
      <c r="AN1078" s="43"/>
      <c r="AO1078" s="42" t="s">
        <v>335</v>
      </c>
      <c r="AP1078" s="43"/>
      <c r="AQ1078" s="44" t="str">
        <f t="shared" si="94"/>
        <v>WSA</v>
      </c>
      <c r="AR1078" s="44">
        <f t="shared" si="80"/>
        <v>177</v>
      </c>
      <c r="AS1078" s="44" t="str">
        <f t="shared" si="96"/>
        <v>A</v>
      </c>
      <c r="AT1078" s="44" t="s">
        <v>335</v>
      </c>
      <c r="AU1078" s="44" t="str">
        <f t="shared" si="95"/>
        <v>Aw</v>
      </c>
      <c r="AV1078" s="38">
        <v>1.0</v>
      </c>
      <c r="AW1078" s="38"/>
      <c r="AX1078" s="38"/>
      <c r="AY1078" s="38" t="s">
        <v>92</v>
      </c>
      <c r="AZ1078" s="29">
        <v>500.0</v>
      </c>
      <c r="BA1078" s="29">
        <v>1.0</v>
      </c>
      <c r="BB1078" s="29">
        <v>1.0</v>
      </c>
      <c r="BC1078" s="29"/>
      <c r="BD1078" s="29" t="s">
        <v>88</v>
      </c>
      <c r="BE1078" s="29"/>
      <c r="BF1078" s="29" t="s">
        <v>1903</v>
      </c>
      <c r="BG1078" s="29" t="s">
        <v>738</v>
      </c>
      <c r="BH1078" s="29" t="s">
        <v>88</v>
      </c>
      <c r="BI1078" s="29" t="s">
        <v>1848</v>
      </c>
      <c r="BJ1078" s="29"/>
      <c r="BK1078" s="29" t="s">
        <v>148</v>
      </c>
      <c r="BL1078" s="29" t="s">
        <v>148</v>
      </c>
      <c r="BM1078" s="45"/>
      <c r="BN1078" s="45"/>
      <c r="BO1078" s="46"/>
      <c r="BP1078" s="2"/>
      <c r="BQ1078" s="3"/>
    </row>
    <row r="1079" ht="15.75" customHeight="1">
      <c r="A1079" s="34">
        <v>1092.0</v>
      </c>
      <c r="B1079" s="34">
        <v>203123.0</v>
      </c>
      <c r="C1079" s="34" t="s">
        <v>832</v>
      </c>
      <c r="D1079" s="34" t="s">
        <v>1850</v>
      </c>
      <c r="E1079" s="34" t="s">
        <v>1851</v>
      </c>
      <c r="F1079" s="34">
        <v>2021.0</v>
      </c>
      <c r="G1079" s="34" t="s">
        <v>1852</v>
      </c>
      <c r="H1079" s="34" t="s">
        <v>80</v>
      </c>
      <c r="I1079" s="34" t="s">
        <v>1853</v>
      </c>
      <c r="J1079" s="35"/>
      <c r="K1079" s="36"/>
      <c r="L1079" s="36"/>
      <c r="M1079" s="36"/>
      <c r="N1079" s="36"/>
      <c r="O1079" s="36"/>
      <c r="P1079" s="37">
        <v>-0.05</v>
      </c>
      <c r="Q1079" s="36" t="s">
        <v>96</v>
      </c>
      <c r="R1079" s="36" t="s">
        <v>96</v>
      </c>
      <c r="S1079" s="36"/>
      <c r="T1079" s="36" t="s">
        <v>356</v>
      </c>
      <c r="U1079" s="36" t="s">
        <v>193</v>
      </c>
      <c r="V1079" s="36">
        <v>242.0</v>
      </c>
      <c r="W1079" s="36"/>
      <c r="X1079" s="38">
        <v>1.0</v>
      </c>
      <c r="Y1079" s="38" t="s">
        <v>1871</v>
      </c>
      <c r="Z1079" s="38"/>
      <c r="AA1079" s="38" t="s">
        <v>370</v>
      </c>
      <c r="AB1079" s="38">
        <v>-10.08</v>
      </c>
      <c r="AC1079" s="38">
        <v>-61.93</v>
      </c>
      <c r="AD1079" s="38"/>
      <c r="AE1079" s="38">
        <v>180.0</v>
      </c>
      <c r="AF1079" s="38"/>
      <c r="AG1079" s="38"/>
      <c r="AH1079" s="38"/>
      <c r="AI1079" s="50">
        <v>-10.08</v>
      </c>
      <c r="AJ1079" s="50">
        <v>-61.93</v>
      </c>
      <c r="AK1079" s="41" t="s">
        <v>336</v>
      </c>
      <c r="AL1079" s="40"/>
      <c r="AM1079" s="49">
        <v>148.0</v>
      </c>
      <c r="AN1079" s="43"/>
      <c r="AO1079" s="42" t="s">
        <v>335</v>
      </c>
      <c r="AP1079" s="43"/>
      <c r="AQ1079" s="44" t="str">
        <f t="shared" si="94"/>
        <v>DBF</v>
      </c>
      <c r="AR1079" s="44">
        <f t="shared" si="80"/>
        <v>148</v>
      </c>
      <c r="AS1079" s="44" t="str">
        <f t="shared" si="96"/>
        <v>A</v>
      </c>
      <c r="AT1079" s="44" t="s">
        <v>335</v>
      </c>
      <c r="AU1079" s="44" t="str">
        <f t="shared" si="95"/>
        <v>Aw</v>
      </c>
      <c r="AV1079" s="38">
        <v>1.0</v>
      </c>
      <c r="AW1079" s="38"/>
      <c r="AX1079" s="38"/>
      <c r="AY1079" s="38" t="s">
        <v>92</v>
      </c>
      <c r="AZ1079" s="29">
        <v>500.0</v>
      </c>
      <c r="BA1079" s="29">
        <v>1.0</v>
      </c>
      <c r="BB1079" s="29">
        <v>1.0</v>
      </c>
      <c r="BC1079" s="29"/>
      <c r="BD1079" s="29" t="s">
        <v>88</v>
      </c>
      <c r="BE1079" s="29"/>
      <c r="BF1079" s="29" t="s">
        <v>1903</v>
      </c>
      <c r="BG1079" s="29" t="s">
        <v>738</v>
      </c>
      <c r="BH1079" s="29" t="s">
        <v>88</v>
      </c>
      <c r="BI1079" s="29" t="s">
        <v>1848</v>
      </c>
      <c r="BJ1079" s="29"/>
      <c r="BK1079" s="29" t="s">
        <v>148</v>
      </c>
      <c r="BL1079" s="29" t="s">
        <v>148</v>
      </c>
      <c r="BM1079" s="45"/>
      <c r="BN1079" s="45"/>
      <c r="BO1079" s="46"/>
      <c r="BP1079" s="2"/>
      <c r="BQ1079" s="3"/>
    </row>
    <row r="1080" ht="15.75" customHeight="1">
      <c r="A1080" s="34">
        <v>1093.0</v>
      </c>
      <c r="B1080" s="34">
        <v>203123.0</v>
      </c>
      <c r="C1080" s="34" t="s">
        <v>832</v>
      </c>
      <c r="D1080" s="34" t="s">
        <v>1850</v>
      </c>
      <c r="E1080" s="34" t="s">
        <v>1851</v>
      </c>
      <c r="F1080" s="34">
        <v>2021.0</v>
      </c>
      <c r="G1080" s="34" t="s">
        <v>1852</v>
      </c>
      <c r="H1080" s="34" t="s">
        <v>80</v>
      </c>
      <c r="I1080" s="34" t="s">
        <v>1853</v>
      </c>
      <c r="J1080" s="35"/>
      <c r="K1080" s="36"/>
      <c r="L1080" s="36"/>
      <c r="M1080" s="36"/>
      <c r="N1080" s="36"/>
      <c r="O1080" s="36"/>
      <c r="P1080" s="37">
        <v>-6.2</v>
      </c>
      <c r="Q1080" s="36" t="s">
        <v>96</v>
      </c>
      <c r="R1080" s="36" t="s">
        <v>96</v>
      </c>
      <c r="S1080" s="36"/>
      <c r="T1080" s="36" t="s">
        <v>1872</v>
      </c>
      <c r="U1080" s="36" t="s">
        <v>1873</v>
      </c>
      <c r="V1080" s="36">
        <v>326.0</v>
      </c>
      <c r="W1080" s="36"/>
      <c r="X1080" s="38">
        <v>1.0</v>
      </c>
      <c r="Y1080" s="38" t="s">
        <v>1874</v>
      </c>
      <c r="Z1080" s="38"/>
      <c r="AA1080" s="38" t="s">
        <v>288</v>
      </c>
      <c r="AB1080" s="38">
        <v>-10.77</v>
      </c>
      <c r="AC1080" s="38">
        <v>-62.34</v>
      </c>
      <c r="AD1080" s="38"/>
      <c r="AE1080" s="38">
        <v>240.0</v>
      </c>
      <c r="AF1080" s="38"/>
      <c r="AG1080" s="38"/>
      <c r="AH1080" s="38"/>
      <c r="AI1080" s="50">
        <v>-10.77</v>
      </c>
      <c r="AJ1080" s="50">
        <v>-62.34</v>
      </c>
      <c r="AK1080" s="41" t="s">
        <v>313</v>
      </c>
      <c r="AL1080" s="40"/>
      <c r="AM1080" s="49">
        <v>267.0</v>
      </c>
      <c r="AN1080" s="43"/>
      <c r="AO1080" s="42" t="s">
        <v>335</v>
      </c>
      <c r="AP1080" s="43"/>
      <c r="AQ1080" s="44" t="str">
        <f t="shared" si="94"/>
        <v>GRA</v>
      </c>
      <c r="AR1080" s="44">
        <f t="shared" si="80"/>
        <v>267</v>
      </c>
      <c r="AS1080" s="44" t="str">
        <f t="shared" si="96"/>
        <v>A</v>
      </c>
      <c r="AT1080" s="44" t="s">
        <v>335</v>
      </c>
      <c r="AU1080" s="44" t="str">
        <f t="shared" si="95"/>
        <v>Aw</v>
      </c>
      <c r="AV1080" s="38">
        <v>1.0</v>
      </c>
      <c r="AW1080" s="38"/>
      <c r="AX1080" s="38"/>
      <c r="AY1080" s="38" t="s">
        <v>92</v>
      </c>
      <c r="AZ1080" s="29">
        <v>500.0</v>
      </c>
      <c r="BA1080" s="29">
        <v>1.0</v>
      </c>
      <c r="BB1080" s="29">
        <v>1.0</v>
      </c>
      <c r="BC1080" s="29"/>
      <c r="BD1080" s="29" t="s">
        <v>88</v>
      </c>
      <c r="BE1080" s="29"/>
      <c r="BF1080" s="29" t="s">
        <v>1903</v>
      </c>
      <c r="BG1080" s="29" t="s">
        <v>738</v>
      </c>
      <c r="BH1080" s="29" t="s">
        <v>88</v>
      </c>
      <c r="BI1080" s="29" t="s">
        <v>1848</v>
      </c>
      <c r="BJ1080" s="29"/>
      <c r="BK1080" s="29" t="s">
        <v>148</v>
      </c>
      <c r="BL1080" s="29" t="s">
        <v>148</v>
      </c>
      <c r="BM1080" s="45"/>
      <c r="BN1080" s="45"/>
      <c r="BO1080" s="46"/>
      <c r="BP1080" s="2"/>
      <c r="BQ1080" s="3"/>
    </row>
    <row r="1081" ht="15.75" customHeight="1">
      <c r="A1081" s="34">
        <v>1094.0</v>
      </c>
      <c r="B1081" s="34">
        <v>203123.0</v>
      </c>
      <c r="C1081" s="34" t="s">
        <v>832</v>
      </c>
      <c r="D1081" s="34" t="s">
        <v>1850</v>
      </c>
      <c r="E1081" s="34" t="s">
        <v>1851</v>
      </c>
      <c r="F1081" s="34">
        <v>2021.0</v>
      </c>
      <c r="G1081" s="34" t="s">
        <v>1852</v>
      </c>
      <c r="H1081" s="34" t="s">
        <v>80</v>
      </c>
      <c r="I1081" s="34" t="s">
        <v>1853</v>
      </c>
      <c r="J1081" s="35"/>
      <c r="K1081" s="36"/>
      <c r="L1081" s="36"/>
      <c r="M1081" s="36"/>
      <c r="N1081" s="36"/>
      <c r="O1081" s="36"/>
      <c r="P1081" s="37">
        <v>-1.68</v>
      </c>
      <c r="Q1081" s="36" t="s">
        <v>96</v>
      </c>
      <c r="R1081" s="36" t="s">
        <v>96</v>
      </c>
      <c r="S1081" s="36"/>
      <c r="T1081" s="36" t="s">
        <v>350</v>
      </c>
      <c r="U1081" s="36" t="s">
        <v>506</v>
      </c>
      <c r="V1081" s="36">
        <v>121.0</v>
      </c>
      <c r="W1081" s="36"/>
      <c r="X1081" s="38">
        <v>1.0</v>
      </c>
      <c r="Y1081" s="38" t="s">
        <v>1875</v>
      </c>
      <c r="Z1081" s="38"/>
      <c r="AA1081" s="38" t="s">
        <v>200</v>
      </c>
      <c r="AB1081" s="38">
        <v>-11.41</v>
      </c>
      <c r="AC1081" s="38">
        <v>-55.32</v>
      </c>
      <c r="AD1081" s="38"/>
      <c r="AE1081" s="38">
        <v>349.0</v>
      </c>
      <c r="AF1081" s="38"/>
      <c r="AG1081" s="38"/>
      <c r="AH1081" s="38"/>
      <c r="AI1081" s="50">
        <v>-11.41</v>
      </c>
      <c r="AJ1081" s="50">
        <v>-55.32</v>
      </c>
      <c r="AK1081" s="41" t="s">
        <v>336</v>
      </c>
      <c r="AL1081" s="40"/>
      <c r="AM1081" s="49">
        <v>317.0</v>
      </c>
      <c r="AN1081" s="43"/>
      <c r="AO1081" s="42" t="s">
        <v>335</v>
      </c>
      <c r="AP1081" s="43"/>
      <c r="AQ1081" s="44" t="str">
        <f t="shared" si="94"/>
        <v>WSA</v>
      </c>
      <c r="AR1081" s="44">
        <f t="shared" si="80"/>
        <v>317</v>
      </c>
      <c r="AS1081" s="44" t="str">
        <f t="shared" si="96"/>
        <v>A</v>
      </c>
      <c r="AT1081" s="44" t="s">
        <v>335</v>
      </c>
      <c r="AU1081" s="44" t="str">
        <f t="shared" si="95"/>
        <v>Aw</v>
      </c>
      <c r="AV1081" s="38">
        <v>1.0</v>
      </c>
      <c r="AW1081" s="38"/>
      <c r="AX1081" s="38"/>
      <c r="AY1081" s="38" t="s">
        <v>92</v>
      </c>
      <c r="AZ1081" s="29">
        <v>500.0</v>
      </c>
      <c r="BA1081" s="29">
        <v>1.0</v>
      </c>
      <c r="BB1081" s="29">
        <v>1.0</v>
      </c>
      <c r="BC1081" s="29"/>
      <c r="BD1081" s="29" t="s">
        <v>88</v>
      </c>
      <c r="BE1081" s="29"/>
      <c r="BF1081" s="29" t="s">
        <v>1903</v>
      </c>
      <c r="BG1081" s="29" t="s">
        <v>738</v>
      </c>
      <c r="BH1081" s="29" t="s">
        <v>88</v>
      </c>
      <c r="BI1081" s="29" t="s">
        <v>1848</v>
      </c>
      <c r="BJ1081" s="29"/>
      <c r="BK1081" s="29" t="s">
        <v>148</v>
      </c>
      <c r="BL1081" s="29" t="s">
        <v>148</v>
      </c>
      <c r="BM1081" s="45"/>
      <c r="BN1081" s="45"/>
      <c r="BO1081" s="46"/>
      <c r="BP1081" s="2"/>
      <c r="BQ1081" s="3"/>
    </row>
    <row r="1082" ht="15.75" customHeight="1">
      <c r="A1082" s="34">
        <v>1095.0</v>
      </c>
      <c r="B1082" s="34">
        <v>203123.0</v>
      </c>
      <c r="C1082" s="34" t="s">
        <v>832</v>
      </c>
      <c r="D1082" s="34" t="s">
        <v>1850</v>
      </c>
      <c r="E1082" s="34" t="s">
        <v>1851</v>
      </c>
      <c r="F1082" s="34">
        <v>2021.0</v>
      </c>
      <c r="G1082" s="34" t="s">
        <v>1852</v>
      </c>
      <c r="H1082" s="34" t="s">
        <v>80</v>
      </c>
      <c r="I1082" s="34" t="s">
        <v>1853</v>
      </c>
      <c r="J1082" s="35"/>
      <c r="K1082" s="36"/>
      <c r="L1082" s="36"/>
      <c r="M1082" s="36"/>
      <c r="N1082" s="36"/>
      <c r="O1082" s="36"/>
      <c r="P1082" s="37">
        <v>3.98</v>
      </c>
      <c r="Q1082" s="36" t="s">
        <v>96</v>
      </c>
      <c r="R1082" s="36" t="s">
        <v>96</v>
      </c>
      <c r="S1082" s="36"/>
      <c r="T1082" s="36" t="s">
        <v>233</v>
      </c>
      <c r="U1082" s="36" t="s">
        <v>1876</v>
      </c>
      <c r="V1082" s="36">
        <v>152.0</v>
      </c>
      <c r="W1082" s="36"/>
      <c r="X1082" s="38">
        <v>1.0</v>
      </c>
      <c r="Y1082" s="38" t="s">
        <v>1877</v>
      </c>
      <c r="Z1082" s="38"/>
      <c r="AA1082" s="38" t="s">
        <v>452</v>
      </c>
      <c r="AB1082" s="38">
        <v>-15.72</v>
      </c>
      <c r="AC1082" s="38">
        <v>-56.07</v>
      </c>
      <c r="AD1082" s="38"/>
      <c r="AE1082" s="38">
        <v>154.0</v>
      </c>
      <c r="AF1082" s="38"/>
      <c r="AG1082" s="38"/>
      <c r="AH1082" s="38"/>
      <c r="AI1082" s="50">
        <v>-15.72</v>
      </c>
      <c r="AJ1082" s="50">
        <v>-56.07</v>
      </c>
      <c r="AK1082" s="41" t="s">
        <v>86</v>
      </c>
      <c r="AL1082" s="40"/>
      <c r="AM1082" s="49">
        <v>181.0</v>
      </c>
      <c r="AN1082" s="43"/>
      <c r="AO1082" s="42" t="s">
        <v>335</v>
      </c>
      <c r="AP1082" s="43"/>
      <c r="AQ1082" s="44" t="str">
        <f t="shared" si="94"/>
        <v>MF</v>
      </c>
      <c r="AR1082" s="44">
        <f t="shared" si="80"/>
        <v>181</v>
      </c>
      <c r="AS1082" s="44" t="str">
        <f t="shared" si="96"/>
        <v>A</v>
      </c>
      <c r="AT1082" s="44" t="s">
        <v>335</v>
      </c>
      <c r="AU1082" s="44" t="str">
        <f t="shared" si="95"/>
        <v>Aw</v>
      </c>
      <c r="AV1082" s="38">
        <v>1.0</v>
      </c>
      <c r="AW1082" s="38"/>
      <c r="AX1082" s="38"/>
      <c r="AY1082" s="38" t="s">
        <v>92</v>
      </c>
      <c r="AZ1082" s="29">
        <v>500.0</v>
      </c>
      <c r="BA1082" s="29">
        <v>1.0</v>
      </c>
      <c r="BB1082" s="29">
        <v>1.0</v>
      </c>
      <c r="BC1082" s="29"/>
      <c r="BD1082" s="29" t="s">
        <v>88</v>
      </c>
      <c r="BE1082" s="29"/>
      <c r="BF1082" s="29" t="s">
        <v>1903</v>
      </c>
      <c r="BG1082" s="29" t="s">
        <v>738</v>
      </c>
      <c r="BH1082" s="29" t="s">
        <v>88</v>
      </c>
      <c r="BI1082" s="29" t="s">
        <v>1848</v>
      </c>
      <c r="BJ1082" s="29"/>
      <c r="BK1082" s="29" t="s">
        <v>148</v>
      </c>
      <c r="BL1082" s="29" t="s">
        <v>148</v>
      </c>
      <c r="BM1082" s="45"/>
      <c r="BN1082" s="45"/>
      <c r="BO1082" s="46"/>
      <c r="BP1082" s="2"/>
      <c r="BQ1082" s="3"/>
    </row>
    <row r="1083" ht="15.75" customHeight="1">
      <c r="A1083" s="34">
        <v>1096.0</v>
      </c>
      <c r="B1083" s="34">
        <v>203123.0</v>
      </c>
      <c r="C1083" s="34" t="s">
        <v>832</v>
      </c>
      <c r="D1083" s="34" t="s">
        <v>1850</v>
      </c>
      <c r="E1083" s="34" t="s">
        <v>1851</v>
      </c>
      <c r="F1083" s="34">
        <v>2021.0</v>
      </c>
      <c r="G1083" s="34" t="s">
        <v>1852</v>
      </c>
      <c r="H1083" s="34" t="s">
        <v>80</v>
      </c>
      <c r="I1083" s="34" t="s">
        <v>1853</v>
      </c>
      <c r="J1083" s="35"/>
      <c r="K1083" s="36"/>
      <c r="L1083" s="36"/>
      <c r="M1083" s="36"/>
      <c r="N1083" s="36"/>
      <c r="O1083" s="36"/>
      <c r="P1083" s="37">
        <v>-13.3</v>
      </c>
      <c r="Q1083" s="36" t="s">
        <v>96</v>
      </c>
      <c r="R1083" s="36" t="s">
        <v>96</v>
      </c>
      <c r="S1083" s="36"/>
      <c r="T1083" s="36" t="s">
        <v>245</v>
      </c>
      <c r="U1083" s="36" t="s">
        <v>1878</v>
      </c>
      <c r="V1083" s="36">
        <v>532.0</v>
      </c>
      <c r="W1083" s="36"/>
      <c r="X1083" s="38">
        <v>1.0</v>
      </c>
      <c r="Y1083" s="38" t="s">
        <v>1879</v>
      </c>
      <c r="Z1083" s="38"/>
      <c r="AA1083" s="38" t="s">
        <v>200</v>
      </c>
      <c r="AB1083" s="38">
        <v>-16.49</v>
      </c>
      <c r="AC1083" s="38">
        <v>-56.41</v>
      </c>
      <c r="AD1083" s="38"/>
      <c r="AE1083" s="38">
        <v>120.0</v>
      </c>
      <c r="AF1083" s="38"/>
      <c r="AG1083" s="38"/>
      <c r="AH1083" s="38"/>
      <c r="AI1083" s="50">
        <v>-16.49</v>
      </c>
      <c r="AJ1083" s="50">
        <v>-56.41</v>
      </c>
      <c r="AK1083" s="41" t="s">
        <v>313</v>
      </c>
      <c r="AL1083" s="40"/>
      <c r="AM1083" s="49">
        <v>122.0</v>
      </c>
      <c r="AN1083" s="43"/>
      <c r="AO1083" s="42" t="s">
        <v>335</v>
      </c>
      <c r="AP1083" s="43"/>
      <c r="AQ1083" s="44" t="str">
        <f t="shared" si="94"/>
        <v>WSA</v>
      </c>
      <c r="AR1083" s="44">
        <f t="shared" si="80"/>
        <v>122</v>
      </c>
      <c r="AS1083" s="44" t="str">
        <f t="shared" si="96"/>
        <v>A</v>
      </c>
      <c r="AT1083" s="44" t="s">
        <v>335</v>
      </c>
      <c r="AU1083" s="44" t="str">
        <f t="shared" si="95"/>
        <v>Aw</v>
      </c>
      <c r="AV1083" s="38">
        <v>1.0</v>
      </c>
      <c r="AW1083" s="38"/>
      <c r="AX1083" s="38"/>
      <c r="AY1083" s="38" t="s">
        <v>92</v>
      </c>
      <c r="AZ1083" s="29">
        <v>500.0</v>
      </c>
      <c r="BA1083" s="29">
        <v>1.0</v>
      </c>
      <c r="BB1083" s="29">
        <v>1.0</v>
      </c>
      <c r="BC1083" s="29"/>
      <c r="BD1083" s="29" t="s">
        <v>88</v>
      </c>
      <c r="BE1083" s="29"/>
      <c r="BF1083" s="29" t="s">
        <v>1903</v>
      </c>
      <c r="BG1083" s="29" t="s">
        <v>738</v>
      </c>
      <c r="BH1083" s="29" t="s">
        <v>88</v>
      </c>
      <c r="BI1083" s="29" t="s">
        <v>1848</v>
      </c>
      <c r="BJ1083" s="29"/>
      <c r="BK1083" s="29" t="s">
        <v>148</v>
      </c>
      <c r="BL1083" s="29" t="s">
        <v>148</v>
      </c>
      <c r="BM1083" s="45"/>
      <c r="BN1083" s="45"/>
      <c r="BO1083" s="46"/>
      <c r="BP1083" s="2"/>
      <c r="BQ1083" s="3"/>
    </row>
    <row r="1084" ht="15.75" customHeight="1">
      <c r="A1084" s="34">
        <v>1097.0</v>
      </c>
      <c r="B1084" s="34">
        <v>203123.0</v>
      </c>
      <c r="C1084" s="34" t="s">
        <v>832</v>
      </c>
      <c r="D1084" s="34" t="s">
        <v>1850</v>
      </c>
      <c r="E1084" s="34" t="s">
        <v>1851</v>
      </c>
      <c r="F1084" s="34">
        <v>2021.0</v>
      </c>
      <c r="G1084" s="34" t="s">
        <v>1852</v>
      </c>
      <c r="H1084" s="34" t="s">
        <v>80</v>
      </c>
      <c r="I1084" s="34" t="s">
        <v>1853</v>
      </c>
      <c r="J1084" s="35"/>
      <c r="K1084" s="36"/>
      <c r="L1084" s="36"/>
      <c r="M1084" s="36"/>
      <c r="N1084" s="36"/>
      <c r="O1084" s="36"/>
      <c r="P1084" s="37">
        <v>-0.58</v>
      </c>
      <c r="Q1084" s="36" t="s">
        <v>96</v>
      </c>
      <c r="R1084" s="36" t="s">
        <v>96</v>
      </c>
      <c r="S1084" s="36"/>
      <c r="T1084" s="36" t="s">
        <v>341</v>
      </c>
      <c r="U1084" s="36" t="s">
        <v>536</v>
      </c>
      <c r="V1084" s="36">
        <v>321.0</v>
      </c>
      <c r="W1084" s="36"/>
      <c r="X1084" s="38">
        <v>1.0</v>
      </c>
      <c r="Y1084" s="38" t="s">
        <v>1880</v>
      </c>
      <c r="Z1084" s="38"/>
      <c r="AA1084" s="38" t="s">
        <v>86</v>
      </c>
      <c r="AB1084" s="38">
        <v>-21.58</v>
      </c>
      <c r="AC1084" s="38">
        <v>-47.6</v>
      </c>
      <c r="AD1084" s="38"/>
      <c r="AE1084" s="38">
        <v>710.0</v>
      </c>
      <c r="AF1084" s="38"/>
      <c r="AG1084" s="38"/>
      <c r="AH1084" s="38"/>
      <c r="AI1084" s="50">
        <v>-21.58</v>
      </c>
      <c r="AJ1084" s="50">
        <v>-47.6</v>
      </c>
      <c r="AK1084" s="41" t="s">
        <v>336</v>
      </c>
      <c r="AL1084" s="40"/>
      <c r="AM1084" s="49">
        <v>761.0</v>
      </c>
      <c r="AN1084" s="43"/>
      <c r="AO1084" s="42" t="s">
        <v>335</v>
      </c>
      <c r="AP1084" s="43"/>
      <c r="AQ1084" s="44" t="str">
        <f t="shared" si="94"/>
        <v>CRO</v>
      </c>
      <c r="AR1084" s="44">
        <f t="shared" si="80"/>
        <v>761</v>
      </c>
      <c r="AS1084" s="44" t="str">
        <f t="shared" si="96"/>
        <v>A</v>
      </c>
      <c r="AT1084" s="44" t="s">
        <v>335</v>
      </c>
      <c r="AU1084" s="44" t="str">
        <f t="shared" si="95"/>
        <v>Aw</v>
      </c>
      <c r="AV1084" s="38">
        <v>1.0</v>
      </c>
      <c r="AW1084" s="38"/>
      <c r="AX1084" s="38"/>
      <c r="AY1084" s="38" t="s">
        <v>92</v>
      </c>
      <c r="AZ1084" s="29">
        <v>500.0</v>
      </c>
      <c r="BA1084" s="29">
        <v>1.0</v>
      </c>
      <c r="BB1084" s="29">
        <v>1.0</v>
      </c>
      <c r="BC1084" s="29"/>
      <c r="BD1084" s="29" t="s">
        <v>88</v>
      </c>
      <c r="BE1084" s="29"/>
      <c r="BF1084" s="29" t="s">
        <v>1903</v>
      </c>
      <c r="BG1084" s="29" t="s">
        <v>738</v>
      </c>
      <c r="BH1084" s="29" t="s">
        <v>88</v>
      </c>
      <c r="BI1084" s="29" t="s">
        <v>1848</v>
      </c>
      <c r="BJ1084" s="29"/>
      <c r="BK1084" s="29" t="s">
        <v>148</v>
      </c>
      <c r="BL1084" s="29" t="s">
        <v>148</v>
      </c>
      <c r="BM1084" s="45"/>
      <c r="BN1084" s="45"/>
      <c r="BO1084" s="46"/>
      <c r="BP1084" s="2"/>
      <c r="BQ1084" s="3"/>
    </row>
    <row r="1085" ht="15.75" customHeight="1">
      <c r="A1085" s="34">
        <v>1098.0</v>
      </c>
      <c r="B1085" s="34">
        <v>203123.0</v>
      </c>
      <c r="C1085" s="34" t="s">
        <v>832</v>
      </c>
      <c r="D1085" s="34" t="s">
        <v>1850</v>
      </c>
      <c r="E1085" s="34" t="s">
        <v>1851</v>
      </c>
      <c r="F1085" s="34">
        <v>2021.0</v>
      </c>
      <c r="G1085" s="34" t="s">
        <v>1852</v>
      </c>
      <c r="H1085" s="34" t="s">
        <v>80</v>
      </c>
      <c r="I1085" s="34" t="s">
        <v>1853</v>
      </c>
      <c r="J1085" s="35"/>
      <c r="K1085" s="36"/>
      <c r="L1085" s="36"/>
      <c r="M1085" s="36"/>
      <c r="N1085" s="36"/>
      <c r="O1085" s="36"/>
      <c r="P1085" s="37">
        <v>-3.64</v>
      </c>
      <c r="Q1085" s="36" t="s">
        <v>96</v>
      </c>
      <c r="R1085" s="36" t="s">
        <v>96</v>
      </c>
      <c r="S1085" s="36"/>
      <c r="T1085" s="36" t="s">
        <v>1881</v>
      </c>
      <c r="U1085" s="36" t="s">
        <v>1882</v>
      </c>
      <c r="V1085" s="36">
        <v>712.0</v>
      </c>
      <c r="W1085" s="36"/>
      <c r="X1085" s="38">
        <v>1.0</v>
      </c>
      <c r="Y1085" s="38" t="s">
        <v>1883</v>
      </c>
      <c r="Z1085" s="38"/>
      <c r="AA1085" s="38" t="s">
        <v>200</v>
      </c>
      <c r="AB1085" s="38">
        <v>-21.62</v>
      </c>
      <c r="AC1085" s="38">
        <v>-47.63</v>
      </c>
      <c r="AD1085" s="38"/>
      <c r="AE1085" s="38">
        <v>710.0</v>
      </c>
      <c r="AF1085" s="38"/>
      <c r="AG1085" s="38"/>
      <c r="AH1085" s="38"/>
      <c r="AI1085" s="50">
        <v>-21.62</v>
      </c>
      <c r="AJ1085" s="50">
        <v>-47.63</v>
      </c>
      <c r="AK1085" s="41" t="s">
        <v>336</v>
      </c>
      <c r="AL1085" s="40"/>
      <c r="AM1085" s="49">
        <v>673.0</v>
      </c>
      <c r="AN1085" s="43"/>
      <c r="AO1085" s="42" t="s">
        <v>335</v>
      </c>
      <c r="AP1085" s="43"/>
      <c r="AQ1085" s="44" t="str">
        <f t="shared" si="94"/>
        <v>WSA</v>
      </c>
      <c r="AR1085" s="44">
        <f t="shared" si="80"/>
        <v>673</v>
      </c>
      <c r="AS1085" s="44" t="str">
        <f t="shared" si="96"/>
        <v>A</v>
      </c>
      <c r="AT1085" s="44" t="s">
        <v>335</v>
      </c>
      <c r="AU1085" s="44" t="str">
        <f t="shared" si="95"/>
        <v>Aw</v>
      </c>
      <c r="AV1085" s="38">
        <v>1.0</v>
      </c>
      <c r="AW1085" s="38"/>
      <c r="AX1085" s="38"/>
      <c r="AY1085" s="38" t="s">
        <v>92</v>
      </c>
      <c r="AZ1085" s="29">
        <v>500.0</v>
      </c>
      <c r="BA1085" s="29">
        <v>1.0</v>
      </c>
      <c r="BB1085" s="29">
        <v>1.0</v>
      </c>
      <c r="BC1085" s="29"/>
      <c r="BD1085" s="29" t="s">
        <v>88</v>
      </c>
      <c r="BE1085" s="29"/>
      <c r="BF1085" s="29" t="s">
        <v>1903</v>
      </c>
      <c r="BG1085" s="29" t="s">
        <v>738</v>
      </c>
      <c r="BH1085" s="29" t="s">
        <v>88</v>
      </c>
      <c r="BI1085" s="29" t="s">
        <v>1848</v>
      </c>
      <c r="BJ1085" s="29"/>
      <c r="BK1085" s="29" t="s">
        <v>148</v>
      </c>
      <c r="BL1085" s="29" t="s">
        <v>148</v>
      </c>
      <c r="BM1085" s="45"/>
      <c r="BN1085" s="45"/>
      <c r="BO1085" s="46"/>
      <c r="BP1085" s="2"/>
      <c r="BQ1085" s="3"/>
    </row>
    <row r="1086" ht="15.75" customHeight="1">
      <c r="A1086" s="34">
        <v>1099.0</v>
      </c>
      <c r="B1086" s="34">
        <v>203123.0</v>
      </c>
      <c r="C1086" s="34" t="s">
        <v>832</v>
      </c>
      <c r="D1086" s="34" t="s">
        <v>1850</v>
      </c>
      <c r="E1086" s="34" t="s">
        <v>1851</v>
      </c>
      <c r="F1086" s="34">
        <v>2021.0</v>
      </c>
      <c r="G1086" s="34" t="s">
        <v>1852</v>
      </c>
      <c r="H1086" s="34" t="s">
        <v>80</v>
      </c>
      <c r="I1086" s="34" t="s">
        <v>1853</v>
      </c>
      <c r="J1086" s="35"/>
      <c r="K1086" s="36"/>
      <c r="L1086" s="36"/>
      <c r="M1086" s="36"/>
      <c r="N1086" s="36"/>
      <c r="O1086" s="36"/>
      <c r="P1086" s="37">
        <v>-2.64</v>
      </c>
      <c r="Q1086" s="36" t="s">
        <v>96</v>
      </c>
      <c r="R1086" s="36" t="s">
        <v>96</v>
      </c>
      <c r="S1086" s="36"/>
      <c r="T1086" s="36" t="s">
        <v>1884</v>
      </c>
      <c r="U1086" s="36" t="s">
        <v>1885</v>
      </c>
      <c r="V1086" s="36">
        <v>328.0</v>
      </c>
      <c r="W1086" s="36"/>
      <c r="X1086" s="38">
        <v>1.0</v>
      </c>
      <c r="Y1086" s="38" t="s">
        <v>1886</v>
      </c>
      <c r="Z1086" s="38"/>
      <c r="AA1086" s="38" t="s">
        <v>86</v>
      </c>
      <c r="AB1086" s="38">
        <v>-21.64</v>
      </c>
      <c r="AC1086" s="38">
        <v>-47.79</v>
      </c>
      <c r="AD1086" s="38"/>
      <c r="AE1086" s="38">
        <v>541.0</v>
      </c>
      <c r="AF1086" s="38"/>
      <c r="AG1086" s="38"/>
      <c r="AH1086" s="38"/>
      <c r="AI1086" s="50">
        <v>-21.64</v>
      </c>
      <c r="AJ1086" s="50">
        <v>-47.79</v>
      </c>
      <c r="AK1086" s="41" t="s">
        <v>86</v>
      </c>
      <c r="AL1086" s="40"/>
      <c r="AM1086" s="49">
        <v>558.0</v>
      </c>
      <c r="AN1086" s="43"/>
      <c r="AO1086" s="42" t="s">
        <v>335</v>
      </c>
      <c r="AP1086" s="43"/>
      <c r="AQ1086" s="44" t="str">
        <f t="shared" si="94"/>
        <v>CRO</v>
      </c>
      <c r="AR1086" s="44">
        <f t="shared" si="80"/>
        <v>558</v>
      </c>
      <c r="AS1086" s="44" t="str">
        <f t="shared" si="96"/>
        <v>A</v>
      </c>
      <c r="AT1086" s="44" t="s">
        <v>335</v>
      </c>
      <c r="AU1086" s="44" t="str">
        <f t="shared" si="95"/>
        <v>Aw</v>
      </c>
      <c r="AV1086" s="38">
        <v>1.0</v>
      </c>
      <c r="AW1086" s="38"/>
      <c r="AX1086" s="38"/>
      <c r="AY1086" s="38" t="s">
        <v>92</v>
      </c>
      <c r="AZ1086" s="29">
        <v>500.0</v>
      </c>
      <c r="BA1086" s="29">
        <v>1.0</v>
      </c>
      <c r="BB1086" s="29">
        <v>1.0</v>
      </c>
      <c r="BC1086" s="29"/>
      <c r="BD1086" s="29" t="s">
        <v>88</v>
      </c>
      <c r="BE1086" s="29"/>
      <c r="BF1086" s="29" t="s">
        <v>1903</v>
      </c>
      <c r="BG1086" s="29" t="s">
        <v>738</v>
      </c>
      <c r="BH1086" s="29" t="s">
        <v>88</v>
      </c>
      <c r="BI1086" s="29" t="s">
        <v>1848</v>
      </c>
      <c r="BJ1086" s="29"/>
      <c r="BK1086" s="29" t="s">
        <v>148</v>
      </c>
      <c r="BL1086" s="29" t="s">
        <v>148</v>
      </c>
      <c r="BM1086" s="45"/>
      <c r="BN1086" s="45"/>
      <c r="BO1086" s="46"/>
      <c r="BP1086" s="2"/>
      <c r="BQ1086" s="3"/>
    </row>
    <row r="1087" ht="15.75" customHeight="1">
      <c r="A1087" s="34">
        <v>1100.0</v>
      </c>
      <c r="B1087" s="34">
        <v>203123.0</v>
      </c>
      <c r="C1087" s="34" t="s">
        <v>832</v>
      </c>
      <c r="D1087" s="34" t="s">
        <v>1850</v>
      </c>
      <c r="E1087" s="34" t="s">
        <v>1851</v>
      </c>
      <c r="F1087" s="34">
        <v>2021.0</v>
      </c>
      <c r="G1087" s="34" t="s">
        <v>1852</v>
      </c>
      <c r="H1087" s="34" t="s">
        <v>80</v>
      </c>
      <c r="I1087" s="34" t="s">
        <v>1853</v>
      </c>
      <c r="J1087" s="35"/>
      <c r="K1087" s="36"/>
      <c r="L1087" s="36"/>
      <c r="M1087" s="36"/>
      <c r="N1087" s="36"/>
      <c r="O1087" s="36"/>
      <c r="P1087" s="37">
        <v>-6.59</v>
      </c>
      <c r="Q1087" s="36" t="s">
        <v>96</v>
      </c>
      <c r="R1087" s="36" t="s">
        <v>96</v>
      </c>
      <c r="S1087" s="36"/>
      <c r="T1087" s="36" t="s">
        <v>969</v>
      </c>
      <c r="U1087" s="36" t="s">
        <v>1887</v>
      </c>
      <c r="V1087" s="36">
        <v>230.0</v>
      </c>
      <c r="W1087" s="36"/>
      <c r="X1087" s="38">
        <v>1.0</v>
      </c>
      <c r="Y1087" s="38" t="s">
        <v>1888</v>
      </c>
      <c r="Z1087" s="38"/>
      <c r="AA1087" s="38" t="s">
        <v>452</v>
      </c>
      <c r="AB1087" s="38">
        <v>-33.46</v>
      </c>
      <c r="AC1087" s="38">
        <v>-66.46</v>
      </c>
      <c r="AD1087" s="38"/>
      <c r="AE1087" s="38">
        <v>320.0</v>
      </c>
      <c r="AF1087" s="38"/>
      <c r="AG1087" s="38"/>
      <c r="AH1087" s="38"/>
      <c r="AI1087" s="50">
        <v>-33.46</v>
      </c>
      <c r="AJ1087" s="50">
        <v>-66.46</v>
      </c>
      <c r="AK1087" s="41" t="s">
        <v>292</v>
      </c>
      <c r="AL1087" s="40"/>
      <c r="AM1087" s="49">
        <v>507.0</v>
      </c>
      <c r="AN1087" s="43"/>
      <c r="AO1087" s="42" t="s">
        <v>304</v>
      </c>
      <c r="AP1087" s="43"/>
      <c r="AQ1087" s="44" t="str">
        <f t="shared" si="94"/>
        <v>MF</v>
      </c>
      <c r="AR1087" s="44">
        <f t="shared" si="80"/>
        <v>507</v>
      </c>
      <c r="AS1087" s="44" t="str">
        <f t="shared" si="96"/>
        <v>B</v>
      </c>
      <c r="AT1087" s="44" t="s">
        <v>1863</v>
      </c>
      <c r="AU1087" s="44" t="str">
        <f t="shared" si="95"/>
        <v>BSh</v>
      </c>
      <c r="AV1087" s="38">
        <v>1.0</v>
      </c>
      <c r="AW1087" s="38"/>
      <c r="AX1087" s="38"/>
      <c r="AY1087" s="38" t="s">
        <v>92</v>
      </c>
      <c r="AZ1087" s="29">
        <v>500.0</v>
      </c>
      <c r="BA1087" s="29">
        <v>1.0</v>
      </c>
      <c r="BB1087" s="29">
        <v>1.0</v>
      </c>
      <c r="BC1087" s="29"/>
      <c r="BD1087" s="29" t="s">
        <v>88</v>
      </c>
      <c r="BE1087" s="29"/>
      <c r="BF1087" s="29" t="s">
        <v>1903</v>
      </c>
      <c r="BG1087" s="29" t="s">
        <v>738</v>
      </c>
      <c r="BH1087" s="29" t="s">
        <v>88</v>
      </c>
      <c r="BI1087" s="29" t="s">
        <v>1848</v>
      </c>
      <c r="BJ1087" s="29"/>
      <c r="BK1087" s="29" t="s">
        <v>148</v>
      </c>
      <c r="BL1087" s="29" t="s">
        <v>148</v>
      </c>
      <c r="BM1087" s="45"/>
      <c r="BN1087" s="45"/>
      <c r="BO1087" s="46"/>
      <c r="BP1087" s="2"/>
      <c r="BQ1087" s="3"/>
    </row>
    <row r="1088" ht="15.75" customHeight="1">
      <c r="A1088" s="34">
        <v>1101.0</v>
      </c>
      <c r="B1088" s="34">
        <v>203123.0</v>
      </c>
      <c r="C1088" s="34" t="s">
        <v>832</v>
      </c>
      <c r="D1088" s="34" t="s">
        <v>1850</v>
      </c>
      <c r="E1088" s="34" t="s">
        <v>1851</v>
      </c>
      <c r="F1088" s="34">
        <v>2021.0</v>
      </c>
      <c r="G1088" s="34" t="s">
        <v>1852</v>
      </c>
      <c r="H1088" s="34" t="s">
        <v>80</v>
      </c>
      <c r="I1088" s="34" t="s">
        <v>1853</v>
      </c>
      <c r="J1088" s="35"/>
      <c r="K1088" s="36"/>
      <c r="L1088" s="36"/>
      <c r="M1088" s="36"/>
      <c r="N1088" s="36"/>
      <c r="O1088" s="36"/>
      <c r="P1088" s="37">
        <v>6.52</v>
      </c>
      <c r="Q1088" s="36" t="s">
        <v>96</v>
      </c>
      <c r="R1088" s="36" t="s">
        <v>96</v>
      </c>
      <c r="S1088" s="36"/>
      <c r="T1088" s="36" t="s">
        <v>1474</v>
      </c>
      <c r="U1088" s="36" t="s">
        <v>1889</v>
      </c>
      <c r="V1088" s="36">
        <v>214.0</v>
      </c>
      <c r="W1088" s="36"/>
      <c r="X1088" s="38">
        <v>1.0</v>
      </c>
      <c r="Y1088" s="38" t="s">
        <v>1890</v>
      </c>
      <c r="Z1088" s="38"/>
      <c r="AA1088" s="38" t="s">
        <v>86</v>
      </c>
      <c r="AB1088" s="38">
        <v>-35.62</v>
      </c>
      <c r="AC1088" s="38">
        <v>-61.32</v>
      </c>
      <c r="AD1088" s="38"/>
      <c r="AE1088" s="38">
        <v>80.0</v>
      </c>
      <c r="AF1088" s="38"/>
      <c r="AG1088" s="38"/>
      <c r="AH1088" s="38"/>
      <c r="AI1088" s="50">
        <v>-35.62</v>
      </c>
      <c r="AJ1088" s="50">
        <v>-61.32</v>
      </c>
      <c r="AK1088" s="41" t="s">
        <v>86</v>
      </c>
      <c r="AL1088" s="40"/>
      <c r="AM1088" s="49">
        <v>81.0</v>
      </c>
      <c r="AN1088" s="43"/>
      <c r="AO1088" s="42" t="s">
        <v>201</v>
      </c>
      <c r="AP1088" s="43"/>
      <c r="AQ1088" s="44" t="str">
        <f t="shared" si="94"/>
        <v>CRO</v>
      </c>
      <c r="AR1088" s="44">
        <f t="shared" si="80"/>
        <v>81</v>
      </c>
      <c r="AS1088" s="44" t="str">
        <f t="shared" si="96"/>
        <v>C</v>
      </c>
      <c r="AT1088" s="44" t="s">
        <v>1797</v>
      </c>
      <c r="AU1088" s="44" t="str">
        <f t="shared" si="95"/>
        <v>Cfa</v>
      </c>
      <c r="AV1088" s="38">
        <v>1.0</v>
      </c>
      <c r="AW1088" s="38"/>
      <c r="AX1088" s="38"/>
      <c r="AY1088" s="38" t="s">
        <v>92</v>
      </c>
      <c r="AZ1088" s="29">
        <v>500.0</v>
      </c>
      <c r="BA1088" s="29">
        <v>1.0</v>
      </c>
      <c r="BB1088" s="29">
        <v>1.0</v>
      </c>
      <c r="BC1088" s="29"/>
      <c r="BD1088" s="29" t="s">
        <v>88</v>
      </c>
      <c r="BE1088" s="29"/>
      <c r="BF1088" s="29" t="s">
        <v>1903</v>
      </c>
      <c r="BG1088" s="29" t="s">
        <v>738</v>
      </c>
      <c r="BH1088" s="29" t="s">
        <v>88</v>
      </c>
      <c r="BI1088" s="29" t="s">
        <v>1848</v>
      </c>
      <c r="BJ1088" s="29"/>
      <c r="BK1088" s="29" t="s">
        <v>148</v>
      </c>
      <c r="BL1088" s="29" t="s">
        <v>148</v>
      </c>
      <c r="BM1088" s="45"/>
      <c r="BN1088" s="45"/>
      <c r="BO1088" s="46"/>
      <c r="BP1088" s="2"/>
      <c r="BQ1088" s="3"/>
    </row>
    <row r="1089" ht="15.75" customHeight="1">
      <c r="A1089" s="34">
        <v>1102.0</v>
      </c>
      <c r="B1089" s="34">
        <v>203123.0</v>
      </c>
      <c r="C1089" s="34" t="s">
        <v>832</v>
      </c>
      <c r="D1089" s="34" t="s">
        <v>1850</v>
      </c>
      <c r="E1089" s="34" t="s">
        <v>1851</v>
      </c>
      <c r="F1089" s="34">
        <v>2021.0</v>
      </c>
      <c r="G1089" s="34" t="s">
        <v>1852</v>
      </c>
      <c r="H1089" s="34" t="s">
        <v>80</v>
      </c>
      <c r="I1089" s="34" t="s">
        <v>1853</v>
      </c>
      <c r="J1089" s="35"/>
      <c r="K1089" s="36"/>
      <c r="L1089" s="36"/>
      <c r="M1089" s="36"/>
      <c r="N1089" s="36"/>
      <c r="O1089" s="36"/>
      <c r="P1089" s="37">
        <v>1.65</v>
      </c>
      <c r="Q1089" s="36" t="s">
        <v>96</v>
      </c>
      <c r="R1089" s="36" t="s">
        <v>96</v>
      </c>
      <c r="S1089" s="36"/>
      <c r="T1089" s="36" t="s">
        <v>245</v>
      </c>
      <c r="U1089" s="36" t="s">
        <v>1891</v>
      </c>
      <c r="V1089" s="36">
        <v>41.0</v>
      </c>
      <c r="W1089" s="36"/>
      <c r="X1089" s="38">
        <v>1.0</v>
      </c>
      <c r="Y1089" s="38" t="s">
        <v>1892</v>
      </c>
      <c r="Z1089" s="38"/>
      <c r="AA1089" s="38" t="s">
        <v>214</v>
      </c>
      <c r="AB1089" s="38">
        <v>-37.55</v>
      </c>
      <c r="AC1089" s="38">
        <v>-57.3</v>
      </c>
      <c r="AD1089" s="38"/>
      <c r="AE1089" s="38">
        <v>1.0</v>
      </c>
      <c r="AF1089" s="38"/>
      <c r="AG1089" s="38"/>
      <c r="AH1089" s="38"/>
      <c r="AI1089" s="50">
        <v>-37.55</v>
      </c>
      <c r="AJ1089" s="50">
        <v>-57.3</v>
      </c>
      <c r="AK1089" s="41" t="s">
        <v>313</v>
      </c>
      <c r="AL1089" s="40"/>
      <c r="AM1089" s="49">
        <v>3.0</v>
      </c>
      <c r="AN1089" s="43"/>
      <c r="AO1089" s="42" t="s">
        <v>376</v>
      </c>
      <c r="AP1089" s="43"/>
      <c r="AQ1089" s="44" t="str">
        <f t="shared" si="94"/>
        <v>WET</v>
      </c>
      <c r="AR1089" s="44">
        <f t="shared" si="80"/>
        <v>3</v>
      </c>
      <c r="AS1089" s="44" t="str">
        <f t="shared" si="96"/>
        <v>C</v>
      </c>
      <c r="AT1089" s="44" t="s">
        <v>1797</v>
      </c>
      <c r="AU1089" s="44" t="str">
        <f t="shared" si="95"/>
        <v>Cfb</v>
      </c>
      <c r="AV1089" s="38">
        <v>1.0</v>
      </c>
      <c r="AW1089" s="38"/>
      <c r="AX1089" s="38"/>
      <c r="AY1089" s="38" t="s">
        <v>92</v>
      </c>
      <c r="AZ1089" s="29">
        <v>500.0</v>
      </c>
      <c r="BA1089" s="29">
        <v>1.0</v>
      </c>
      <c r="BB1089" s="29">
        <v>1.0</v>
      </c>
      <c r="BC1089" s="29"/>
      <c r="BD1089" s="29" t="s">
        <v>88</v>
      </c>
      <c r="BE1089" s="29"/>
      <c r="BF1089" s="29" t="s">
        <v>1903</v>
      </c>
      <c r="BG1089" s="29" t="s">
        <v>738</v>
      </c>
      <c r="BH1089" s="29" t="s">
        <v>88</v>
      </c>
      <c r="BI1089" s="29" t="s">
        <v>1848</v>
      </c>
      <c r="BJ1089" s="29"/>
      <c r="BK1089" s="29" t="s">
        <v>148</v>
      </c>
      <c r="BL1089" s="29" t="s">
        <v>148</v>
      </c>
      <c r="BM1089" s="45"/>
      <c r="BN1089" s="45"/>
      <c r="BO1089" s="46"/>
      <c r="BP1089" s="2"/>
      <c r="BQ1089" s="3"/>
    </row>
    <row r="1090" ht="15.75" customHeight="1">
      <c r="A1090" s="34">
        <v>1103.0</v>
      </c>
      <c r="B1090" s="34">
        <v>203123.0</v>
      </c>
      <c r="C1090" s="34" t="s">
        <v>832</v>
      </c>
      <c r="D1090" s="34" t="s">
        <v>1850</v>
      </c>
      <c r="E1090" s="34" t="s">
        <v>1851</v>
      </c>
      <c r="F1090" s="34">
        <v>2021.0</v>
      </c>
      <c r="G1090" s="34" t="s">
        <v>1852</v>
      </c>
      <c r="H1090" s="34" t="s">
        <v>80</v>
      </c>
      <c r="I1090" s="34" t="s">
        <v>1853</v>
      </c>
      <c r="J1090" s="35"/>
      <c r="K1090" s="36"/>
      <c r="L1090" s="36"/>
      <c r="M1090" s="36"/>
      <c r="N1090" s="36"/>
      <c r="O1090" s="36"/>
      <c r="P1090" s="37">
        <v>9.89</v>
      </c>
      <c r="Q1090" s="36" t="s">
        <v>96</v>
      </c>
      <c r="R1090" s="36" t="s">
        <v>96</v>
      </c>
      <c r="S1090" s="36"/>
      <c r="T1090" s="36" t="s">
        <v>167</v>
      </c>
      <c r="U1090" s="36" t="s">
        <v>1893</v>
      </c>
      <c r="V1090" s="36">
        <v>53.0</v>
      </c>
      <c r="W1090" s="36"/>
      <c r="X1090" s="38">
        <v>1.0</v>
      </c>
      <c r="Y1090" s="38" t="s">
        <v>1894</v>
      </c>
      <c r="Z1090" s="38"/>
      <c r="AA1090" s="38" t="s">
        <v>86</v>
      </c>
      <c r="AB1090" s="38">
        <v>-37.75</v>
      </c>
      <c r="AC1090" s="38">
        <v>-58.34</v>
      </c>
      <c r="AD1090" s="38"/>
      <c r="AE1090" s="38">
        <v>130.0</v>
      </c>
      <c r="AF1090" s="38"/>
      <c r="AG1090" s="38"/>
      <c r="AH1090" s="38"/>
      <c r="AI1090" s="50">
        <v>-37.75</v>
      </c>
      <c r="AJ1090" s="50">
        <v>-58.34</v>
      </c>
      <c r="AK1090" s="41" t="s">
        <v>86</v>
      </c>
      <c r="AL1090" s="40"/>
      <c r="AM1090" s="49">
        <v>113.0</v>
      </c>
      <c r="AN1090" s="43"/>
      <c r="AO1090" s="42" t="s">
        <v>376</v>
      </c>
      <c r="AP1090" s="43"/>
      <c r="AQ1090" s="44" t="str">
        <f t="shared" si="94"/>
        <v>CRO</v>
      </c>
      <c r="AR1090" s="44">
        <f t="shared" si="80"/>
        <v>113</v>
      </c>
      <c r="AS1090" s="44" t="str">
        <f t="shared" si="96"/>
        <v>C</v>
      </c>
      <c r="AT1090" s="44" t="s">
        <v>1797</v>
      </c>
      <c r="AU1090" s="44" t="str">
        <f t="shared" si="95"/>
        <v>Cfb</v>
      </c>
      <c r="AV1090" s="38">
        <v>1.0</v>
      </c>
      <c r="AW1090" s="38"/>
      <c r="AX1090" s="38"/>
      <c r="AY1090" s="38" t="s">
        <v>92</v>
      </c>
      <c r="AZ1090" s="29">
        <v>500.0</v>
      </c>
      <c r="BA1090" s="29">
        <v>1.0</v>
      </c>
      <c r="BB1090" s="29">
        <v>1.0</v>
      </c>
      <c r="BC1090" s="29"/>
      <c r="BD1090" s="29" t="s">
        <v>88</v>
      </c>
      <c r="BE1090" s="29"/>
      <c r="BF1090" s="29" t="s">
        <v>1903</v>
      </c>
      <c r="BG1090" s="29" t="s">
        <v>738</v>
      </c>
      <c r="BH1090" s="29" t="s">
        <v>88</v>
      </c>
      <c r="BI1090" s="29" t="s">
        <v>1848</v>
      </c>
      <c r="BJ1090" s="29"/>
      <c r="BK1090" s="29" t="s">
        <v>148</v>
      </c>
      <c r="BL1090" s="29" t="s">
        <v>148</v>
      </c>
      <c r="BM1090" s="45"/>
      <c r="BN1090" s="45"/>
      <c r="BO1090" s="46"/>
      <c r="BP1090" s="2"/>
      <c r="BQ1090" s="3"/>
    </row>
    <row r="1091" ht="15.75" customHeight="1">
      <c r="A1091" s="34">
        <v>1104.0</v>
      </c>
      <c r="B1091" s="34">
        <v>203123.0</v>
      </c>
      <c r="C1091" s="34" t="s">
        <v>832</v>
      </c>
      <c r="D1091" s="34" t="s">
        <v>1850</v>
      </c>
      <c r="E1091" s="34" t="s">
        <v>1851</v>
      </c>
      <c r="F1091" s="34">
        <v>2021.0</v>
      </c>
      <c r="G1091" s="34" t="s">
        <v>1852</v>
      </c>
      <c r="H1091" s="34" t="s">
        <v>80</v>
      </c>
      <c r="I1091" s="34" t="s">
        <v>1853</v>
      </c>
      <c r="J1091" s="35"/>
      <c r="K1091" s="36"/>
      <c r="L1091" s="36"/>
      <c r="M1091" s="36"/>
      <c r="N1091" s="36"/>
      <c r="O1091" s="36"/>
      <c r="P1091" s="37">
        <v>5.34</v>
      </c>
      <c r="Q1091" s="36" t="s">
        <v>96</v>
      </c>
      <c r="R1091" s="36" t="s">
        <v>96</v>
      </c>
      <c r="S1091" s="36"/>
      <c r="T1091" s="36" t="s">
        <v>1895</v>
      </c>
      <c r="U1091" s="36" t="s">
        <v>1896</v>
      </c>
      <c r="V1091" s="36">
        <v>241.0</v>
      </c>
      <c r="W1091" s="36"/>
      <c r="X1091" s="38">
        <v>1.0</v>
      </c>
      <c r="Y1091" s="38" t="s">
        <v>1897</v>
      </c>
      <c r="Z1091" s="38"/>
      <c r="AA1091" s="38" t="s">
        <v>336</v>
      </c>
      <c r="AB1091" s="38">
        <v>-41.88</v>
      </c>
      <c r="AC1091" s="38">
        <v>-73.68</v>
      </c>
      <c r="AD1091" s="38"/>
      <c r="AE1091" s="38">
        <v>50.0</v>
      </c>
      <c r="AF1091" s="38"/>
      <c r="AG1091" s="38"/>
      <c r="AH1091" s="38"/>
      <c r="AI1091" s="50">
        <v>-41.88</v>
      </c>
      <c r="AJ1091" s="50">
        <v>-73.68</v>
      </c>
      <c r="AK1091" s="41" t="s">
        <v>336</v>
      </c>
      <c r="AL1091" s="40"/>
      <c r="AM1091" s="49">
        <v>17.0</v>
      </c>
      <c r="AN1091" s="43"/>
      <c r="AO1091" s="42" t="s">
        <v>376</v>
      </c>
      <c r="AP1091" s="43"/>
      <c r="AQ1091" s="44" t="str">
        <f t="shared" si="94"/>
        <v>EBF</v>
      </c>
      <c r="AR1091" s="44">
        <f t="shared" si="80"/>
        <v>17</v>
      </c>
      <c r="AS1091" s="44" t="str">
        <f t="shared" si="96"/>
        <v>C</v>
      </c>
      <c r="AT1091" s="44" t="s">
        <v>1797</v>
      </c>
      <c r="AU1091" s="44" t="str">
        <f t="shared" si="95"/>
        <v>Cfb</v>
      </c>
      <c r="AV1091" s="38">
        <v>1.0</v>
      </c>
      <c r="AW1091" s="38"/>
      <c r="AX1091" s="38"/>
      <c r="AY1091" s="38" t="s">
        <v>92</v>
      </c>
      <c r="AZ1091" s="29">
        <v>500.0</v>
      </c>
      <c r="BA1091" s="29">
        <v>1.0</v>
      </c>
      <c r="BB1091" s="29">
        <v>1.0</v>
      </c>
      <c r="BC1091" s="29"/>
      <c r="BD1091" s="29" t="s">
        <v>88</v>
      </c>
      <c r="BE1091" s="29"/>
      <c r="BF1091" s="29" t="s">
        <v>1903</v>
      </c>
      <c r="BG1091" s="29" t="s">
        <v>738</v>
      </c>
      <c r="BH1091" s="29" t="s">
        <v>88</v>
      </c>
      <c r="BI1091" s="29" t="s">
        <v>1848</v>
      </c>
      <c r="BJ1091" s="29"/>
      <c r="BK1091" s="29" t="s">
        <v>148</v>
      </c>
      <c r="BL1091" s="29" t="s">
        <v>148</v>
      </c>
      <c r="BM1091" s="45"/>
      <c r="BN1091" s="45"/>
      <c r="BO1091" s="46"/>
      <c r="BP1091" s="2"/>
      <c r="BQ1091" s="3"/>
    </row>
    <row r="1092" ht="15.75" customHeight="1">
      <c r="A1092" s="34">
        <v>1105.0</v>
      </c>
      <c r="B1092" s="34">
        <v>203123.0</v>
      </c>
      <c r="C1092" s="34" t="s">
        <v>832</v>
      </c>
      <c r="D1092" s="34" t="s">
        <v>1850</v>
      </c>
      <c r="E1092" s="34" t="s">
        <v>1851</v>
      </c>
      <c r="F1092" s="34">
        <v>2021.0</v>
      </c>
      <c r="G1092" s="34" t="s">
        <v>1852</v>
      </c>
      <c r="H1092" s="34" t="s">
        <v>80</v>
      </c>
      <c r="I1092" s="34" t="s">
        <v>1853</v>
      </c>
      <c r="J1092" s="35"/>
      <c r="K1092" s="36"/>
      <c r="L1092" s="36"/>
      <c r="M1092" s="36"/>
      <c r="N1092" s="36"/>
      <c r="O1092" s="36"/>
      <c r="P1092" s="37">
        <v>7.45</v>
      </c>
      <c r="Q1092" s="36" t="s">
        <v>96</v>
      </c>
      <c r="R1092" s="36" t="s">
        <v>96</v>
      </c>
      <c r="S1092" s="36"/>
      <c r="T1092" s="36" t="s">
        <v>818</v>
      </c>
      <c r="U1092" s="36" t="s">
        <v>1898</v>
      </c>
      <c r="V1092" s="36">
        <v>277.0</v>
      </c>
      <c r="W1092" s="36"/>
      <c r="X1092" s="38">
        <v>1.0</v>
      </c>
      <c r="Y1092" s="38" t="s">
        <v>1899</v>
      </c>
      <c r="Z1092" s="38"/>
      <c r="AA1092" s="38" t="s">
        <v>214</v>
      </c>
      <c r="AB1092" s="38">
        <v>-54.97</v>
      </c>
      <c r="AC1092" s="38">
        <v>-66.73</v>
      </c>
      <c r="AD1092" s="38"/>
      <c r="AE1092" s="38">
        <v>40.0</v>
      </c>
      <c r="AF1092" s="38"/>
      <c r="AG1092" s="38"/>
      <c r="AH1092" s="38"/>
      <c r="AI1092" s="50">
        <v>-54.97</v>
      </c>
      <c r="AJ1092" s="50">
        <v>-66.73</v>
      </c>
      <c r="AK1092" s="41" t="s">
        <v>370</v>
      </c>
      <c r="AL1092" s="40"/>
      <c r="AM1092" s="49">
        <v>38.0</v>
      </c>
      <c r="AN1092" s="43"/>
      <c r="AO1092" s="42" t="s">
        <v>604</v>
      </c>
      <c r="AP1092" s="43"/>
      <c r="AQ1092" s="44" t="str">
        <f t="shared" si="94"/>
        <v>WET</v>
      </c>
      <c r="AR1092" s="44">
        <f t="shared" si="80"/>
        <v>38</v>
      </c>
      <c r="AS1092" s="44" t="str">
        <f t="shared" si="96"/>
        <v>E</v>
      </c>
      <c r="AT1092" s="44" t="s">
        <v>604</v>
      </c>
      <c r="AU1092" s="44" t="str">
        <f t="shared" si="95"/>
        <v>EF</v>
      </c>
      <c r="AV1092" s="38">
        <v>1.0</v>
      </c>
      <c r="AW1092" s="38"/>
      <c r="AX1092" s="38"/>
      <c r="AY1092" s="38" t="s">
        <v>92</v>
      </c>
      <c r="AZ1092" s="29">
        <v>500.0</v>
      </c>
      <c r="BA1092" s="29">
        <v>1.0</v>
      </c>
      <c r="BB1092" s="29">
        <v>1.0</v>
      </c>
      <c r="BC1092" s="29"/>
      <c r="BD1092" s="29" t="s">
        <v>88</v>
      </c>
      <c r="BE1092" s="29"/>
      <c r="BF1092" s="29" t="s">
        <v>1903</v>
      </c>
      <c r="BG1092" s="29" t="s">
        <v>738</v>
      </c>
      <c r="BH1092" s="29" t="s">
        <v>88</v>
      </c>
      <c r="BI1092" s="29" t="s">
        <v>1848</v>
      </c>
      <c r="BJ1092" s="29"/>
      <c r="BK1092" s="29" t="s">
        <v>148</v>
      </c>
      <c r="BL1092" s="29" t="s">
        <v>148</v>
      </c>
      <c r="BM1092" s="45"/>
      <c r="BN1092" s="45"/>
      <c r="BO1092" s="46"/>
      <c r="BP1092" s="2"/>
      <c r="BQ1092" s="3"/>
    </row>
    <row r="1093" ht="15.75" customHeight="1">
      <c r="A1093" s="34">
        <v>1106.0</v>
      </c>
      <c r="B1093" s="34">
        <v>203123.0</v>
      </c>
      <c r="C1093" s="34" t="s">
        <v>832</v>
      </c>
      <c r="D1093" s="34" t="s">
        <v>1850</v>
      </c>
      <c r="E1093" s="34" t="s">
        <v>1851</v>
      </c>
      <c r="F1093" s="34">
        <v>2021.0</v>
      </c>
      <c r="G1093" s="34" t="s">
        <v>1852</v>
      </c>
      <c r="H1093" s="34" t="s">
        <v>80</v>
      </c>
      <c r="I1093" s="34" t="s">
        <v>1853</v>
      </c>
      <c r="J1093" s="35"/>
      <c r="K1093" s="36"/>
      <c r="L1093" s="36"/>
      <c r="M1093" s="36"/>
      <c r="N1093" s="36"/>
      <c r="O1093" s="36"/>
      <c r="P1093" s="37">
        <v>10.11</v>
      </c>
      <c r="Q1093" s="36" t="s">
        <v>96</v>
      </c>
      <c r="R1093" s="36" t="s">
        <v>96</v>
      </c>
      <c r="S1093" s="36"/>
      <c r="T1093" s="36" t="s">
        <v>818</v>
      </c>
      <c r="U1093" s="36" t="s">
        <v>1900</v>
      </c>
      <c r="V1093" s="36">
        <v>70.0</v>
      </c>
      <c r="W1093" s="36"/>
      <c r="X1093" s="38">
        <v>1.0</v>
      </c>
      <c r="Y1093" s="38" t="s">
        <v>1901</v>
      </c>
      <c r="Z1093" s="38"/>
      <c r="AA1093" s="38" t="s">
        <v>214</v>
      </c>
      <c r="AB1093" s="38">
        <v>-54.83</v>
      </c>
      <c r="AC1093" s="38">
        <v>-68.45</v>
      </c>
      <c r="AD1093" s="38"/>
      <c r="AE1093" s="38">
        <v>60.0</v>
      </c>
      <c r="AF1093" s="38"/>
      <c r="AG1093" s="38"/>
      <c r="AH1093" s="38"/>
      <c r="AI1093" s="50">
        <v>-54.83</v>
      </c>
      <c r="AJ1093" s="50">
        <v>-68.45</v>
      </c>
      <c r="AK1093" s="41" t="s">
        <v>370</v>
      </c>
      <c r="AL1093" s="40"/>
      <c r="AM1093" s="49">
        <v>95.0</v>
      </c>
      <c r="AN1093" s="43"/>
      <c r="AO1093" s="42" t="s">
        <v>604</v>
      </c>
      <c r="AP1093" s="43"/>
      <c r="AQ1093" s="44" t="str">
        <f t="shared" si="94"/>
        <v>WET</v>
      </c>
      <c r="AR1093" s="44">
        <f t="shared" si="80"/>
        <v>95</v>
      </c>
      <c r="AS1093" s="44" t="str">
        <f t="shared" si="96"/>
        <v>E</v>
      </c>
      <c r="AT1093" s="44" t="s">
        <v>604</v>
      </c>
      <c r="AU1093" s="44" t="str">
        <f t="shared" si="95"/>
        <v>EF</v>
      </c>
      <c r="AV1093" s="38">
        <v>1.0</v>
      </c>
      <c r="AW1093" s="38"/>
      <c r="AX1093" s="38"/>
      <c r="AY1093" s="38" t="s">
        <v>92</v>
      </c>
      <c r="AZ1093" s="29">
        <v>500.0</v>
      </c>
      <c r="BA1093" s="29">
        <v>1.0</v>
      </c>
      <c r="BB1093" s="29">
        <v>1.0</v>
      </c>
      <c r="BC1093" s="29"/>
      <c r="BD1093" s="29" t="s">
        <v>88</v>
      </c>
      <c r="BE1093" s="29"/>
      <c r="BF1093" s="29" t="s">
        <v>1903</v>
      </c>
      <c r="BG1093" s="29" t="s">
        <v>738</v>
      </c>
      <c r="BH1093" s="29" t="s">
        <v>88</v>
      </c>
      <c r="BI1093" s="29" t="s">
        <v>1848</v>
      </c>
      <c r="BJ1093" s="29"/>
      <c r="BK1093" s="29" t="s">
        <v>148</v>
      </c>
      <c r="BL1093" s="29" t="s">
        <v>148</v>
      </c>
      <c r="BM1093" s="45"/>
      <c r="BN1093" s="45"/>
      <c r="BO1093" s="46"/>
      <c r="BP1093" s="2"/>
      <c r="BQ1093" s="3"/>
    </row>
    <row r="1094" ht="15.75" customHeight="1">
      <c r="A1094" s="34">
        <v>1108.0</v>
      </c>
      <c r="B1094" s="34">
        <v>101269.0</v>
      </c>
      <c r="C1094" s="34" t="s">
        <v>415</v>
      </c>
      <c r="D1094" s="34" t="s">
        <v>1904</v>
      </c>
      <c r="E1094" s="34" t="s">
        <v>1905</v>
      </c>
      <c r="F1094" s="34">
        <v>2015.0</v>
      </c>
      <c r="G1094" s="34" t="s">
        <v>1906</v>
      </c>
      <c r="H1094" s="34" t="s">
        <v>578</v>
      </c>
      <c r="I1094" s="34" t="s">
        <v>1907</v>
      </c>
      <c r="J1094" s="35"/>
      <c r="K1094" s="36">
        <v>-0.1</v>
      </c>
      <c r="L1094" s="36">
        <f t="shared" ref="L1094:L1095" si="97">391/(220-91+1)</f>
        <v>3.007692308</v>
      </c>
      <c r="M1094" s="36"/>
      <c r="N1094" s="36"/>
      <c r="O1094" s="36"/>
      <c r="P1094" s="37">
        <f t="shared" ref="P1094:P1095" si="98">K1094*100/L1094</f>
        <v>-3.324808184</v>
      </c>
      <c r="Q1094" s="36" t="s">
        <v>96</v>
      </c>
      <c r="R1094" s="36" t="s">
        <v>1908</v>
      </c>
      <c r="S1094" s="36"/>
      <c r="T1094" s="36" t="s">
        <v>1909</v>
      </c>
      <c r="U1094" s="36" t="s">
        <v>1910</v>
      </c>
      <c r="V1094" s="36">
        <f t="shared" ref="V1094:V1095" si="99">220-91+1</f>
        <v>130</v>
      </c>
      <c r="W1094" s="36" t="s">
        <v>88</v>
      </c>
      <c r="X1094" s="38">
        <v>1.0</v>
      </c>
      <c r="Y1094" s="38" t="s">
        <v>1572</v>
      </c>
      <c r="Z1094" s="38"/>
      <c r="AA1094" s="38" t="s">
        <v>86</v>
      </c>
      <c r="AB1094" s="38">
        <v>28.76</v>
      </c>
      <c r="AC1094" s="38">
        <v>-82.28</v>
      </c>
      <c r="AD1094" s="39" t="s">
        <v>87</v>
      </c>
      <c r="AE1094" s="38"/>
      <c r="AF1094" s="38"/>
      <c r="AG1094" s="38"/>
      <c r="AH1094" s="38"/>
      <c r="AI1094" s="50">
        <v>28.76</v>
      </c>
      <c r="AJ1094" s="50">
        <v>-82.28</v>
      </c>
      <c r="AK1094" s="41" t="s">
        <v>1085</v>
      </c>
      <c r="AL1094" s="40"/>
      <c r="AM1094" s="49">
        <v>17.0</v>
      </c>
      <c r="AN1094" s="43"/>
      <c r="AO1094" s="42" t="s">
        <v>201</v>
      </c>
      <c r="AP1094" s="43" t="s">
        <v>1911</v>
      </c>
      <c r="AQ1094" s="44" t="str">
        <f t="shared" si="94"/>
        <v>CRO</v>
      </c>
      <c r="AR1094" s="44">
        <f t="shared" si="80"/>
        <v>17</v>
      </c>
      <c r="AS1094" s="44" t="str">
        <f t="shared" si="96"/>
        <v>C</v>
      </c>
      <c r="AT1094" s="44" t="s">
        <v>1912</v>
      </c>
      <c r="AU1094" s="44" t="str">
        <f t="shared" si="95"/>
        <v>Cfa</v>
      </c>
      <c r="AV1094" s="38">
        <v>2.0</v>
      </c>
      <c r="AW1094" s="38"/>
      <c r="AX1094" s="38"/>
      <c r="AY1094" s="38" t="s">
        <v>92</v>
      </c>
      <c r="AZ1094" s="29">
        <v>500.0</v>
      </c>
      <c r="BA1094" s="29">
        <v>1.0</v>
      </c>
      <c r="BB1094" s="29">
        <v>1.0</v>
      </c>
      <c r="BC1094" s="29"/>
      <c r="BD1094" s="29" t="s">
        <v>88</v>
      </c>
      <c r="BE1094" s="29"/>
      <c r="BF1094" s="29" t="s">
        <v>1913</v>
      </c>
      <c r="BG1094" s="29" t="s">
        <v>572</v>
      </c>
      <c r="BH1094" s="29" t="s">
        <v>88</v>
      </c>
      <c r="BI1094" s="29" t="s">
        <v>1914</v>
      </c>
      <c r="BJ1094" s="29" t="s">
        <v>1915</v>
      </c>
      <c r="BK1094" s="29" t="s">
        <v>180</v>
      </c>
      <c r="BL1094" s="29" t="s">
        <v>180</v>
      </c>
      <c r="BM1094" s="45"/>
      <c r="BN1094" s="45">
        <v>1.0</v>
      </c>
      <c r="BO1094" s="46" t="s">
        <v>984</v>
      </c>
      <c r="BP1094" s="2"/>
      <c r="BQ1094" s="3"/>
    </row>
    <row r="1095" ht="15.75" customHeight="1">
      <c r="A1095" s="34">
        <v>1109.0</v>
      </c>
      <c r="B1095" s="100">
        <v>101269.0</v>
      </c>
      <c r="C1095" s="101" t="s">
        <v>415</v>
      </c>
      <c r="D1095" s="101" t="s">
        <v>1904</v>
      </c>
      <c r="E1095" s="101" t="s">
        <v>1905</v>
      </c>
      <c r="F1095" s="100">
        <v>2015.0</v>
      </c>
      <c r="G1095" s="101" t="s">
        <v>1906</v>
      </c>
      <c r="H1095" s="101" t="s">
        <v>578</v>
      </c>
      <c r="I1095" s="101" t="s">
        <v>1907</v>
      </c>
      <c r="J1095" s="35"/>
      <c r="K1095" s="78">
        <v>-0.33</v>
      </c>
      <c r="L1095" s="36">
        <f t="shared" si="97"/>
        <v>3.007692308</v>
      </c>
      <c r="M1095" s="78"/>
      <c r="N1095" s="78"/>
      <c r="O1095" s="78"/>
      <c r="P1095" s="37">
        <f t="shared" si="98"/>
        <v>-10.97186701</v>
      </c>
      <c r="Q1095" s="78" t="s">
        <v>96</v>
      </c>
      <c r="R1095" s="78" t="s">
        <v>1908</v>
      </c>
      <c r="S1095" s="78"/>
      <c r="T1095" s="36" t="s">
        <v>1909</v>
      </c>
      <c r="U1095" s="36" t="s">
        <v>1910</v>
      </c>
      <c r="V1095" s="36">
        <f t="shared" si="99"/>
        <v>130</v>
      </c>
      <c r="W1095" s="78" t="s">
        <v>88</v>
      </c>
      <c r="X1095" s="38">
        <v>1.0</v>
      </c>
      <c r="Y1095" s="38" t="s">
        <v>1572</v>
      </c>
      <c r="Z1095" s="57"/>
      <c r="AA1095" s="57" t="s">
        <v>86</v>
      </c>
      <c r="AB1095" s="38">
        <v>28.76</v>
      </c>
      <c r="AC1095" s="38">
        <v>-82.28</v>
      </c>
      <c r="AD1095" s="57" t="s">
        <v>87</v>
      </c>
      <c r="AE1095" s="57"/>
      <c r="AF1095" s="57"/>
      <c r="AG1095" s="57"/>
      <c r="AH1095" s="57"/>
      <c r="AI1095" s="50">
        <v>28.76</v>
      </c>
      <c r="AJ1095" s="50">
        <v>-82.28</v>
      </c>
      <c r="AK1095" s="41" t="s">
        <v>1085</v>
      </c>
      <c r="AL1095" s="102"/>
      <c r="AM1095" s="49">
        <v>17.0</v>
      </c>
      <c r="AN1095" s="102"/>
      <c r="AO1095" s="42" t="s">
        <v>201</v>
      </c>
      <c r="AP1095" s="103" t="s">
        <v>1911</v>
      </c>
      <c r="AQ1095" s="44" t="str">
        <f t="shared" si="94"/>
        <v>CRO</v>
      </c>
      <c r="AR1095" s="44">
        <f t="shared" si="80"/>
        <v>17</v>
      </c>
      <c r="AS1095" s="44" t="str">
        <f t="shared" si="96"/>
        <v>C</v>
      </c>
      <c r="AT1095" s="44" t="s">
        <v>1797</v>
      </c>
      <c r="AU1095" s="44" t="str">
        <f t="shared" si="95"/>
        <v>Cfa</v>
      </c>
      <c r="AV1095" s="57">
        <v>2.0</v>
      </c>
      <c r="AW1095" s="57"/>
      <c r="AX1095" s="57"/>
      <c r="AY1095" s="57" t="s">
        <v>92</v>
      </c>
      <c r="AZ1095" s="104">
        <v>500.0</v>
      </c>
      <c r="BA1095" s="104">
        <v>1.0</v>
      </c>
      <c r="BB1095" s="104">
        <v>1.0</v>
      </c>
      <c r="BC1095" s="104"/>
      <c r="BD1095" s="104" t="s">
        <v>88</v>
      </c>
      <c r="BE1095" s="104"/>
      <c r="BF1095" s="104" t="s">
        <v>1916</v>
      </c>
      <c r="BG1095" s="104" t="s">
        <v>572</v>
      </c>
      <c r="BH1095" s="104" t="s">
        <v>88</v>
      </c>
      <c r="BI1095" s="29" t="s">
        <v>1914</v>
      </c>
      <c r="BJ1095" s="29" t="s">
        <v>1915</v>
      </c>
      <c r="BK1095" s="104" t="s">
        <v>1917</v>
      </c>
      <c r="BL1095" s="104" t="s">
        <v>1917</v>
      </c>
      <c r="BM1095" s="105"/>
      <c r="BN1095" s="106">
        <v>1.0</v>
      </c>
      <c r="BO1095" s="107" t="s">
        <v>984</v>
      </c>
      <c r="BP1095" s="2"/>
      <c r="BQ1095" s="3"/>
    </row>
    <row r="1096" ht="15.75" customHeight="1">
      <c r="A1096" s="34">
        <v>1110.0</v>
      </c>
      <c r="B1096" s="34">
        <v>101268.0</v>
      </c>
      <c r="C1096" s="34" t="s">
        <v>415</v>
      </c>
      <c r="D1096" s="34" t="s">
        <v>1918</v>
      </c>
      <c r="E1096" s="34" t="s">
        <v>1919</v>
      </c>
      <c r="F1096" s="34">
        <v>2015.0</v>
      </c>
      <c r="G1096" s="34" t="s">
        <v>1920</v>
      </c>
      <c r="H1096" s="34"/>
      <c r="I1096" s="34" t="s">
        <v>1921</v>
      </c>
      <c r="J1096" s="35"/>
      <c r="K1096" s="36"/>
      <c r="L1096" s="36"/>
      <c r="M1096" s="36"/>
      <c r="N1096" s="36">
        <v>10.65</v>
      </c>
      <c r="O1096" s="36">
        <v>110.71</v>
      </c>
      <c r="P1096" s="83">
        <f t="shared" ref="P1096:P1103" si="100">N1096*100/O1096</f>
        <v>9.619727215</v>
      </c>
      <c r="Q1096" s="36"/>
      <c r="R1096" s="36" t="s">
        <v>82</v>
      </c>
      <c r="S1096" s="36"/>
      <c r="T1096" s="36" t="s">
        <v>1922</v>
      </c>
      <c r="U1096" s="36" t="s">
        <v>234</v>
      </c>
      <c r="V1096" s="36">
        <v>1594.0</v>
      </c>
      <c r="W1096" s="36"/>
      <c r="X1096" s="38">
        <v>1.0</v>
      </c>
      <c r="Y1096" s="38" t="s">
        <v>1923</v>
      </c>
      <c r="Z1096" s="38"/>
      <c r="AA1096" s="38" t="s">
        <v>86</v>
      </c>
      <c r="AB1096" s="38">
        <v>37.152778</v>
      </c>
      <c r="AC1096" s="38">
        <v>127.652778</v>
      </c>
      <c r="AD1096" s="38" t="s">
        <v>1130</v>
      </c>
      <c r="AE1096" s="38">
        <v>141.0</v>
      </c>
      <c r="AF1096" s="38" t="s">
        <v>853</v>
      </c>
      <c r="AG1096" s="38"/>
      <c r="AH1096" s="38"/>
      <c r="AI1096" s="50">
        <v>37.152778</v>
      </c>
      <c r="AJ1096" s="50">
        <v>127.652778</v>
      </c>
      <c r="AK1096" s="41" t="s">
        <v>86</v>
      </c>
      <c r="AL1096" s="40"/>
      <c r="AM1096" s="49">
        <v>71.0</v>
      </c>
      <c r="AN1096" s="43"/>
      <c r="AO1096" s="42" t="s">
        <v>218</v>
      </c>
      <c r="AP1096" s="43" t="s">
        <v>1911</v>
      </c>
      <c r="AQ1096" s="44" t="str">
        <f t="shared" si="94"/>
        <v>CRO</v>
      </c>
      <c r="AR1096" s="44">
        <f t="shared" si="80"/>
        <v>71</v>
      </c>
      <c r="AS1096" s="44" t="str">
        <f t="shared" si="96"/>
        <v>D</v>
      </c>
      <c r="AT1096" s="44" t="s">
        <v>1820</v>
      </c>
      <c r="AU1096" s="44" t="str">
        <f t="shared" si="95"/>
        <v>Dwa</v>
      </c>
      <c r="AV1096" s="38"/>
      <c r="AW1096" s="38"/>
      <c r="AX1096" s="38"/>
      <c r="AY1096" s="38"/>
      <c r="AZ1096" s="29">
        <v>1000.0</v>
      </c>
      <c r="BA1096" s="29">
        <v>1.0</v>
      </c>
      <c r="BB1096" s="29">
        <v>1.0</v>
      </c>
      <c r="BC1096" s="29"/>
      <c r="BD1096" s="29" t="s">
        <v>88</v>
      </c>
      <c r="BE1096" s="29"/>
      <c r="BF1096" s="29" t="s">
        <v>1924</v>
      </c>
      <c r="BG1096" s="29" t="s">
        <v>220</v>
      </c>
      <c r="BH1096" s="29" t="s">
        <v>88</v>
      </c>
      <c r="BI1096" s="29" t="s">
        <v>1925</v>
      </c>
      <c r="BJ1096" s="29"/>
      <c r="BK1096" s="29" t="s">
        <v>1926</v>
      </c>
      <c r="BL1096" s="29" t="s">
        <v>1926</v>
      </c>
      <c r="BM1096" s="45"/>
      <c r="BN1096" s="45">
        <v>1.0</v>
      </c>
      <c r="BO1096" s="46" t="s">
        <v>1924</v>
      </c>
      <c r="BP1096" s="2"/>
      <c r="BQ1096" s="3"/>
    </row>
    <row r="1097" ht="15.75" customHeight="1">
      <c r="A1097" s="34">
        <v>1111.0</v>
      </c>
      <c r="B1097" s="34">
        <v>101268.0</v>
      </c>
      <c r="C1097" s="34" t="s">
        <v>415</v>
      </c>
      <c r="D1097" s="34" t="s">
        <v>1918</v>
      </c>
      <c r="E1097" s="34" t="s">
        <v>1919</v>
      </c>
      <c r="F1097" s="34">
        <v>2015.0</v>
      </c>
      <c r="G1097" s="34" t="s">
        <v>1920</v>
      </c>
      <c r="H1097" s="34" t="s">
        <v>578</v>
      </c>
      <c r="I1097" s="34" t="s">
        <v>1921</v>
      </c>
      <c r="J1097" s="35"/>
      <c r="K1097" s="36"/>
      <c r="L1097" s="36"/>
      <c r="M1097" s="36"/>
      <c r="N1097" s="36">
        <v>13.24</v>
      </c>
      <c r="O1097" s="36">
        <v>142.62</v>
      </c>
      <c r="P1097" s="83">
        <f t="shared" si="100"/>
        <v>9.283410461</v>
      </c>
      <c r="Q1097" s="36"/>
      <c r="R1097" s="36" t="s">
        <v>82</v>
      </c>
      <c r="S1097" s="36"/>
      <c r="T1097" s="36" t="s">
        <v>1922</v>
      </c>
      <c r="U1097" s="36" t="s">
        <v>234</v>
      </c>
      <c r="V1097" s="36">
        <v>76.0</v>
      </c>
      <c r="W1097" s="36"/>
      <c r="X1097" s="38">
        <v>1.0</v>
      </c>
      <c r="Y1097" s="38" t="s">
        <v>1923</v>
      </c>
      <c r="Z1097" s="38"/>
      <c r="AA1097" s="38" t="s">
        <v>86</v>
      </c>
      <c r="AB1097" s="38">
        <v>37.152778</v>
      </c>
      <c r="AC1097" s="38">
        <v>127.652778</v>
      </c>
      <c r="AD1097" s="38" t="s">
        <v>1130</v>
      </c>
      <c r="AE1097" s="38">
        <v>141.0</v>
      </c>
      <c r="AF1097" s="38" t="s">
        <v>1927</v>
      </c>
      <c r="AG1097" s="38"/>
      <c r="AH1097" s="38"/>
      <c r="AI1097" s="50">
        <v>37.152778</v>
      </c>
      <c r="AJ1097" s="50">
        <v>127.652778</v>
      </c>
      <c r="AK1097" s="41" t="s">
        <v>86</v>
      </c>
      <c r="AL1097" s="40"/>
      <c r="AM1097" s="49">
        <v>71.0</v>
      </c>
      <c r="AN1097" s="43"/>
      <c r="AO1097" s="42" t="s">
        <v>218</v>
      </c>
      <c r="AP1097" s="43" t="s">
        <v>1911</v>
      </c>
      <c r="AQ1097" s="44" t="str">
        <f t="shared" si="94"/>
        <v>CRO</v>
      </c>
      <c r="AR1097" s="44">
        <f t="shared" si="80"/>
        <v>71</v>
      </c>
      <c r="AS1097" s="44" t="str">
        <f t="shared" si="96"/>
        <v>D</v>
      </c>
      <c r="AT1097" s="44" t="s">
        <v>1928</v>
      </c>
      <c r="AU1097" s="44" t="str">
        <f t="shared" si="95"/>
        <v>Dwa</v>
      </c>
      <c r="AV1097" s="38"/>
      <c r="AW1097" s="38"/>
      <c r="AX1097" s="38"/>
      <c r="AY1097" s="38"/>
      <c r="AZ1097" s="29">
        <v>1000.0</v>
      </c>
      <c r="BA1097" s="29">
        <v>1.0</v>
      </c>
      <c r="BB1097" s="29">
        <v>1.0</v>
      </c>
      <c r="BC1097" s="29"/>
      <c r="BD1097" s="29" t="s">
        <v>88</v>
      </c>
      <c r="BE1097" s="29"/>
      <c r="BF1097" s="29" t="s">
        <v>1924</v>
      </c>
      <c r="BG1097" s="29" t="s">
        <v>220</v>
      </c>
      <c r="BH1097" s="29" t="s">
        <v>88</v>
      </c>
      <c r="BI1097" s="29" t="s">
        <v>1925</v>
      </c>
      <c r="BJ1097" s="29"/>
      <c r="BK1097" s="29" t="s">
        <v>148</v>
      </c>
      <c r="BL1097" s="29" t="s">
        <v>148</v>
      </c>
      <c r="BM1097" s="45"/>
      <c r="BN1097" s="45">
        <v>1.0</v>
      </c>
      <c r="BO1097" s="46" t="s">
        <v>1924</v>
      </c>
      <c r="BP1097" s="2"/>
      <c r="BQ1097" s="3"/>
    </row>
    <row r="1098" ht="15.75" customHeight="1">
      <c r="A1098" s="34">
        <v>1112.0</v>
      </c>
      <c r="B1098" s="34">
        <v>101268.0</v>
      </c>
      <c r="C1098" s="34" t="s">
        <v>415</v>
      </c>
      <c r="D1098" s="34" t="s">
        <v>1918</v>
      </c>
      <c r="E1098" s="34" t="s">
        <v>1919</v>
      </c>
      <c r="F1098" s="34">
        <v>2015.0</v>
      </c>
      <c r="G1098" s="34" t="s">
        <v>1920</v>
      </c>
      <c r="H1098" s="34" t="s">
        <v>578</v>
      </c>
      <c r="I1098" s="34" t="s">
        <v>1921</v>
      </c>
      <c r="J1098" s="35"/>
      <c r="K1098" s="36"/>
      <c r="L1098" s="36"/>
      <c r="M1098" s="36"/>
      <c r="N1098" s="36">
        <v>13.17</v>
      </c>
      <c r="O1098" s="36">
        <v>91.17</v>
      </c>
      <c r="P1098" s="83">
        <f t="shared" si="100"/>
        <v>14.4455413</v>
      </c>
      <c r="Q1098" s="36"/>
      <c r="R1098" s="36" t="s">
        <v>96</v>
      </c>
      <c r="S1098" s="36"/>
      <c r="T1098" s="36" t="s">
        <v>1922</v>
      </c>
      <c r="U1098" s="36" t="s">
        <v>234</v>
      </c>
      <c r="V1098" s="36">
        <v>135.0</v>
      </c>
      <c r="W1098" s="36"/>
      <c r="X1098" s="38">
        <v>1.0</v>
      </c>
      <c r="Y1098" s="38" t="s">
        <v>1923</v>
      </c>
      <c r="Z1098" s="38"/>
      <c r="AA1098" s="38" t="s">
        <v>86</v>
      </c>
      <c r="AB1098" s="38">
        <v>37.152778</v>
      </c>
      <c r="AC1098" s="38">
        <v>127.652778</v>
      </c>
      <c r="AD1098" s="38" t="s">
        <v>1130</v>
      </c>
      <c r="AE1098" s="38">
        <v>141.0</v>
      </c>
      <c r="AF1098" s="38" t="s">
        <v>1927</v>
      </c>
      <c r="AG1098" s="38"/>
      <c r="AH1098" s="38"/>
      <c r="AI1098" s="50">
        <v>37.152778</v>
      </c>
      <c r="AJ1098" s="50">
        <v>127.652778</v>
      </c>
      <c r="AK1098" s="41" t="s">
        <v>86</v>
      </c>
      <c r="AL1098" s="40"/>
      <c r="AM1098" s="49">
        <v>71.0</v>
      </c>
      <c r="AN1098" s="43"/>
      <c r="AO1098" s="42" t="s">
        <v>218</v>
      </c>
      <c r="AP1098" s="43" t="s">
        <v>1911</v>
      </c>
      <c r="AQ1098" s="44" t="str">
        <f t="shared" si="94"/>
        <v>CRO</v>
      </c>
      <c r="AR1098" s="44">
        <f t="shared" si="80"/>
        <v>71</v>
      </c>
      <c r="AS1098" s="44" t="str">
        <f t="shared" si="96"/>
        <v>D</v>
      </c>
      <c r="AT1098" s="44" t="s">
        <v>1820</v>
      </c>
      <c r="AU1098" s="44" t="str">
        <f t="shared" si="95"/>
        <v>Dwa</v>
      </c>
      <c r="AV1098" s="38"/>
      <c r="AW1098" s="38"/>
      <c r="AX1098" s="38"/>
      <c r="AY1098" s="38"/>
      <c r="AZ1098" s="29">
        <v>1000.0</v>
      </c>
      <c r="BA1098" s="29">
        <v>1.0</v>
      </c>
      <c r="BB1098" s="29">
        <v>1.0</v>
      </c>
      <c r="BC1098" s="29"/>
      <c r="BD1098" s="29" t="s">
        <v>88</v>
      </c>
      <c r="BE1098" s="29"/>
      <c r="BF1098" s="29" t="s">
        <v>1924</v>
      </c>
      <c r="BG1098" s="29" t="s">
        <v>220</v>
      </c>
      <c r="BH1098" s="29" t="s">
        <v>88</v>
      </c>
      <c r="BI1098" s="29" t="s">
        <v>1925</v>
      </c>
      <c r="BJ1098" s="29"/>
      <c r="BK1098" s="29" t="s">
        <v>1926</v>
      </c>
      <c r="BL1098" s="29" t="s">
        <v>1926</v>
      </c>
      <c r="BM1098" s="45"/>
      <c r="BN1098" s="45">
        <v>1.0</v>
      </c>
      <c r="BO1098" s="46" t="s">
        <v>1924</v>
      </c>
      <c r="BP1098" s="2"/>
      <c r="BQ1098" s="3"/>
    </row>
    <row r="1099" ht="15.75" customHeight="1">
      <c r="A1099" s="34">
        <v>1113.0</v>
      </c>
      <c r="B1099" s="34">
        <v>101268.0</v>
      </c>
      <c r="C1099" s="34" t="s">
        <v>415</v>
      </c>
      <c r="D1099" s="34" t="s">
        <v>1918</v>
      </c>
      <c r="E1099" s="34" t="s">
        <v>1919</v>
      </c>
      <c r="F1099" s="34">
        <v>2015.0</v>
      </c>
      <c r="G1099" s="34" t="s">
        <v>1920</v>
      </c>
      <c r="H1099" s="34" t="s">
        <v>578</v>
      </c>
      <c r="I1099" s="34" t="s">
        <v>1921</v>
      </c>
      <c r="J1099" s="35"/>
      <c r="K1099" s="36"/>
      <c r="L1099" s="36"/>
      <c r="M1099" s="36"/>
      <c r="N1099" s="36">
        <v>-27.28</v>
      </c>
      <c r="O1099" s="36">
        <v>104.08</v>
      </c>
      <c r="P1099" s="83">
        <f t="shared" si="100"/>
        <v>-26.21060723</v>
      </c>
      <c r="Q1099" s="36"/>
      <c r="R1099" s="36" t="s">
        <v>96</v>
      </c>
      <c r="S1099" s="36"/>
      <c r="T1099" s="36" t="s">
        <v>1922</v>
      </c>
      <c r="U1099" s="36" t="s">
        <v>234</v>
      </c>
      <c r="V1099" s="36">
        <v>72.0</v>
      </c>
      <c r="W1099" s="36"/>
      <c r="X1099" s="38">
        <v>1.0</v>
      </c>
      <c r="Y1099" s="38" t="s">
        <v>1923</v>
      </c>
      <c r="Z1099" s="38"/>
      <c r="AA1099" s="38" t="s">
        <v>86</v>
      </c>
      <c r="AB1099" s="38">
        <v>37.152778</v>
      </c>
      <c r="AC1099" s="38">
        <v>127.652778</v>
      </c>
      <c r="AD1099" s="38" t="s">
        <v>1130</v>
      </c>
      <c r="AE1099" s="38">
        <v>141.0</v>
      </c>
      <c r="AF1099" s="38" t="s">
        <v>1927</v>
      </c>
      <c r="AG1099" s="38"/>
      <c r="AH1099" s="38"/>
      <c r="AI1099" s="50">
        <v>37.152778</v>
      </c>
      <c r="AJ1099" s="50">
        <v>127.652778</v>
      </c>
      <c r="AK1099" s="41" t="s">
        <v>86</v>
      </c>
      <c r="AL1099" s="40"/>
      <c r="AM1099" s="49">
        <v>71.0</v>
      </c>
      <c r="AN1099" s="43"/>
      <c r="AO1099" s="42" t="s">
        <v>218</v>
      </c>
      <c r="AP1099" s="43" t="s">
        <v>1911</v>
      </c>
      <c r="AQ1099" s="44" t="str">
        <f t="shared" si="94"/>
        <v>CRO</v>
      </c>
      <c r="AR1099" s="44">
        <f t="shared" si="80"/>
        <v>71</v>
      </c>
      <c r="AS1099" s="44" t="str">
        <f t="shared" si="96"/>
        <v>D</v>
      </c>
      <c r="AT1099" s="44" t="s">
        <v>1820</v>
      </c>
      <c r="AU1099" s="44" t="str">
        <f t="shared" si="95"/>
        <v>Dwa</v>
      </c>
      <c r="AV1099" s="38"/>
      <c r="AW1099" s="38"/>
      <c r="AX1099" s="38"/>
      <c r="AY1099" s="38"/>
      <c r="AZ1099" s="29">
        <v>1000.0</v>
      </c>
      <c r="BA1099" s="29">
        <v>1.0</v>
      </c>
      <c r="BB1099" s="29">
        <v>1.0</v>
      </c>
      <c r="BC1099" s="29"/>
      <c r="BD1099" s="29" t="s">
        <v>88</v>
      </c>
      <c r="BE1099" s="29"/>
      <c r="BF1099" s="29" t="s">
        <v>1924</v>
      </c>
      <c r="BG1099" s="29" t="s">
        <v>220</v>
      </c>
      <c r="BH1099" s="29" t="s">
        <v>88</v>
      </c>
      <c r="BI1099" s="29" t="s">
        <v>1925</v>
      </c>
      <c r="BJ1099" s="29"/>
      <c r="BK1099" s="29" t="s">
        <v>148</v>
      </c>
      <c r="BL1099" s="29" t="s">
        <v>148</v>
      </c>
      <c r="BM1099" s="45"/>
      <c r="BN1099" s="45">
        <v>1.0</v>
      </c>
      <c r="BO1099" s="46" t="s">
        <v>1924</v>
      </c>
      <c r="BP1099" s="2"/>
      <c r="BQ1099" s="3"/>
    </row>
    <row r="1100" ht="15.75" customHeight="1">
      <c r="A1100" s="34">
        <v>1114.0</v>
      </c>
      <c r="B1100" s="34">
        <v>101268.0</v>
      </c>
      <c r="C1100" s="34" t="s">
        <v>415</v>
      </c>
      <c r="D1100" s="34" t="s">
        <v>1918</v>
      </c>
      <c r="E1100" s="34" t="s">
        <v>1919</v>
      </c>
      <c r="F1100" s="34">
        <v>2015.0</v>
      </c>
      <c r="G1100" s="34" t="s">
        <v>1920</v>
      </c>
      <c r="H1100" s="34" t="s">
        <v>578</v>
      </c>
      <c r="I1100" s="34" t="s">
        <v>1921</v>
      </c>
      <c r="J1100" s="35"/>
      <c r="K1100" s="36"/>
      <c r="L1100" s="36"/>
      <c r="M1100" s="36"/>
      <c r="N1100" s="36">
        <v>105.43</v>
      </c>
      <c r="O1100" s="36">
        <v>76.48</v>
      </c>
      <c r="P1100" s="108">
        <f t="shared" si="100"/>
        <v>137.8530335</v>
      </c>
      <c r="Q1100" s="36"/>
      <c r="R1100" s="36" t="s">
        <v>82</v>
      </c>
      <c r="S1100" s="36"/>
      <c r="T1100" s="36" t="s">
        <v>1922</v>
      </c>
      <c r="U1100" s="36" t="s">
        <v>234</v>
      </c>
      <c r="V1100" s="36">
        <v>1674.0</v>
      </c>
      <c r="W1100" s="36"/>
      <c r="X1100" s="38">
        <v>1.0</v>
      </c>
      <c r="Y1100" s="38" t="s">
        <v>1929</v>
      </c>
      <c r="Z1100" s="38"/>
      <c r="AA1100" s="38" t="s">
        <v>452</v>
      </c>
      <c r="AB1100" s="38">
        <v>37.938886</v>
      </c>
      <c r="AC1100" s="38">
        <v>126.954706</v>
      </c>
      <c r="AD1100" s="38" t="s">
        <v>1130</v>
      </c>
      <c r="AE1100" s="38">
        <v>293.0</v>
      </c>
      <c r="AF1100" s="38"/>
      <c r="AG1100" s="38"/>
      <c r="AH1100" s="38"/>
      <c r="AI1100" s="50">
        <v>37.938886</v>
      </c>
      <c r="AJ1100" s="50">
        <v>126.954706</v>
      </c>
      <c r="AK1100" s="41" t="s">
        <v>370</v>
      </c>
      <c r="AL1100" s="40"/>
      <c r="AM1100" s="49">
        <v>290.0</v>
      </c>
      <c r="AN1100" s="43"/>
      <c r="AO1100" s="42" t="s">
        <v>218</v>
      </c>
      <c r="AP1100" s="43" t="s">
        <v>1911</v>
      </c>
      <c r="AQ1100" s="44" t="str">
        <f t="shared" si="94"/>
        <v>MF</v>
      </c>
      <c r="AR1100" s="44">
        <f t="shared" si="80"/>
        <v>290</v>
      </c>
      <c r="AS1100" s="44" t="str">
        <f t="shared" si="96"/>
        <v>D</v>
      </c>
      <c r="AT1100" s="44" t="s">
        <v>1820</v>
      </c>
      <c r="AU1100" s="44" t="str">
        <f t="shared" si="95"/>
        <v>Dwa</v>
      </c>
      <c r="AV1100" s="38"/>
      <c r="AW1100" s="38"/>
      <c r="AX1100" s="38"/>
      <c r="AY1100" s="38"/>
      <c r="AZ1100" s="29">
        <v>1000.0</v>
      </c>
      <c r="BA1100" s="29">
        <v>1.0</v>
      </c>
      <c r="BB1100" s="29">
        <v>1.0</v>
      </c>
      <c r="BC1100" s="29"/>
      <c r="BD1100" s="29" t="s">
        <v>88</v>
      </c>
      <c r="BE1100" s="29"/>
      <c r="BF1100" s="29" t="s">
        <v>1924</v>
      </c>
      <c r="BG1100" s="29" t="s">
        <v>220</v>
      </c>
      <c r="BH1100" s="29" t="s">
        <v>88</v>
      </c>
      <c r="BI1100" s="29" t="s">
        <v>1925</v>
      </c>
      <c r="BJ1100" s="29"/>
      <c r="BK1100" s="29" t="s">
        <v>1926</v>
      </c>
      <c r="BL1100" s="29" t="s">
        <v>1926</v>
      </c>
      <c r="BM1100" s="45"/>
      <c r="BN1100" s="45">
        <v>1.0</v>
      </c>
      <c r="BO1100" s="46" t="s">
        <v>1924</v>
      </c>
      <c r="BP1100" s="2"/>
      <c r="BQ1100" s="3"/>
    </row>
    <row r="1101" ht="15.75" customHeight="1">
      <c r="A1101" s="34">
        <v>1115.0</v>
      </c>
      <c r="B1101" s="34">
        <v>101268.0</v>
      </c>
      <c r="C1101" s="34" t="s">
        <v>415</v>
      </c>
      <c r="D1101" s="34" t="s">
        <v>1918</v>
      </c>
      <c r="E1101" s="34" t="s">
        <v>1919</v>
      </c>
      <c r="F1101" s="34">
        <v>2015.0</v>
      </c>
      <c r="G1101" s="34" t="s">
        <v>1920</v>
      </c>
      <c r="H1101" s="34" t="s">
        <v>578</v>
      </c>
      <c r="I1101" s="34" t="s">
        <v>1921</v>
      </c>
      <c r="J1101" s="35"/>
      <c r="K1101" s="36"/>
      <c r="L1101" s="36"/>
      <c r="M1101" s="36"/>
      <c r="N1101" s="36">
        <v>145.1</v>
      </c>
      <c r="O1101" s="36">
        <v>75.73</v>
      </c>
      <c r="P1101" s="108">
        <f t="shared" si="100"/>
        <v>191.601743</v>
      </c>
      <c r="Q1101" s="36"/>
      <c r="R1101" s="36" t="s">
        <v>82</v>
      </c>
      <c r="S1101" s="36"/>
      <c r="T1101" s="36" t="s">
        <v>1922</v>
      </c>
      <c r="U1101" s="36" t="s">
        <v>234</v>
      </c>
      <c r="V1101" s="36">
        <v>101.0</v>
      </c>
      <c r="W1101" s="36"/>
      <c r="X1101" s="38">
        <v>1.0</v>
      </c>
      <c r="Y1101" s="38" t="s">
        <v>1929</v>
      </c>
      <c r="Z1101" s="38"/>
      <c r="AA1101" s="38" t="s">
        <v>452</v>
      </c>
      <c r="AB1101" s="38">
        <v>37.938886</v>
      </c>
      <c r="AC1101" s="38">
        <v>126.954706</v>
      </c>
      <c r="AD1101" s="38" t="s">
        <v>1130</v>
      </c>
      <c r="AE1101" s="38">
        <v>293.0</v>
      </c>
      <c r="AF1101" s="38"/>
      <c r="AG1101" s="38"/>
      <c r="AH1101" s="38"/>
      <c r="AI1101" s="50">
        <v>37.938886</v>
      </c>
      <c r="AJ1101" s="50">
        <v>126.954706</v>
      </c>
      <c r="AK1101" s="41" t="s">
        <v>370</v>
      </c>
      <c r="AL1101" s="40"/>
      <c r="AM1101" s="49">
        <v>290.0</v>
      </c>
      <c r="AN1101" s="43"/>
      <c r="AO1101" s="42" t="s">
        <v>218</v>
      </c>
      <c r="AP1101" s="43" t="s">
        <v>1911</v>
      </c>
      <c r="AQ1101" s="44" t="str">
        <f t="shared" si="94"/>
        <v>MF</v>
      </c>
      <c r="AR1101" s="44">
        <f t="shared" si="80"/>
        <v>290</v>
      </c>
      <c r="AS1101" s="44" t="str">
        <f t="shared" si="96"/>
        <v>D</v>
      </c>
      <c r="AT1101" s="44" t="s">
        <v>1820</v>
      </c>
      <c r="AU1101" s="44" t="str">
        <f t="shared" si="95"/>
        <v>Dwa</v>
      </c>
      <c r="AV1101" s="38"/>
      <c r="AW1101" s="38"/>
      <c r="AX1101" s="38"/>
      <c r="AY1101" s="38"/>
      <c r="AZ1101" s="29">
        <v>1000.0</v>
      </c>
      <c r="BA1101" s="29">
        <v>1.0</v>
      </c>
      <c r="BB1101" s="29">
        <v>1.0</v>
      </c>
      <c r="BC1101" s="29"/>
      <c r="BD1101" s="29" t="s">
        <v>88</v>
      </c>
      <c r="BE1101" s="29"/>
      <c r="BF1101" s="29" t="s">
        <v>1924</v>
      </c>
      <c r="BG1101" s="29" t="s">
        <v>220</v>
      </c>
      <c r="BH1101" s="29" t="s">
        <v>88</v>
      </c>
      <c r="BI1101" s="29" t="s">
        <v>1925</v>
      </c>
      <c r="BJ1101" s="29"/>
      <c r="BK1101" s="29" t="s">
        <v>148</v>
      </c>
      <c r="BL1101" s="29" t="s">
        <v>148</v>
      </c>
      <c r="BM1101" s="45"/>
      <c r="BN1101" s="45">
        <v>1.0</v>
      </c>
      <c r="BO1101" s="46" t="s">
        <v>1924</v>
      </c>
      <c r="BP1101" s="2"/>
      <c r="BQ1101" s="3"/>
    </row>
    <row r="1102" ht="15.75" customHeight="1">
      <c r="A1102" s="34">
        <v>1116.0</v>
      </c>
      <c r="B1102" s="34">
        <v>101268.0</v>
      </c>
      <c r="C1102" s="34" t="s">
        <v>415</v>
      </c>
      <c r="D1102" s="34" t="s">
        <v>1918</v>
      </c>
      <c r="E1102" s="34" t="s">
        <v>1919</v>
      </c>
      <c r="F1102" s="34">
        <v>2015.0</v>
      </c>
      <c r="G1102" s="34" t="s">
        <v>1920</v>
      </c>
      <c r="H1102" s="34" t="s">
        <v>578</v>
      </c>
      <c r="I1102" s="34" t="s">
        <v>1921</v>
      </c>
      <c r="J1102" s="35"/>
      <c r="K1102" s="36"/>
      <c r="L1102" s="36"/>
      <c r="M1102" s="36"/>
      <c r="N1102" s="36">
        <v>91.6</v>
      </c>
      <c r="O1102" s="36">
        <v>63.72</v>
      </c>
      <c r="P1102" s="108">
        <f t="shared" si="100"/>
        <v>143.7539234</v>
      </c>
      <c r="Q1102" s="36"/>
      <c r="R1102" s="36" t="s">
        <v>96</v>
      </c>
      <c r="S1102" s="36"/>
      <c r="T1102" s="36" t="s">
        <v>1922</v>
      </c>
      <c r="U1102" s="36" t="s">
        <v>234</v>
      </c>
      <c r="V1102" s="36">
        <v>167.0</v>
      </c>
      <c r="W1102" s="36"/>
      <c r="X1102" s="38">
        <v>1.0</v>
      </c>
      <c r="Y1102" s="38" t="s">
        <v>1929</v>
      </c>
      <c r="Z1102" s="38"/>
      <c r="AA1102" s="38" t="s">
        <v>452</v>
      </c>
      <c r="AB1102" s="38">
        <v>37.938886</v>
      </c>
      <c r="AC1102" s="38">
        <v>126.954706</v>
      </c>
      <c r="AD1102" s="38" t="s">
        <v>1130</v>
      </c>
      <c r="AE1102" s="38">
        <v>293.0</v>
      </c>
      <c r="AF1102" s="38"/>
      <c r="AG1102" s="38"/>
      <c r="AH1102" s="38"/>
      <c r="AI1102" s="50">
        <v>37.938886</v>
      </c>
      <c r="AJ1102" s="50">
        <v>126.954706</v>
      </c>
      <c r="AK1102" s="41" t="s">
        <v>370</v>
      </c>
      <c r="AL1102" s="40"/>
      <c r="AM1102" s="49">
        <v>290.0</v>
      </c>
      <c r="AN1102" s="43"/>
      <c r="AO1102" s="42" t="s">
        <v>218</v>
      </c>
      <c r="AP1102" s="43" t="s">
        <v>1911</v>
      </c>
      <c r="AQ1102" s="44" t="str">
        <f t="shared" si="94"/>
        <v>MF</v>
      </c>
      <c r="AR1102" s="44">
        <f t="shared" si="80"/>
        <v>290</v>
      </c>
      <c r="AS1102" s="44" t="str">
        <f t="shared" si="96"/>
        <v>D</v>
      </c>
      <c r="AT1102" s="44" t="s">
        <v>1820</v>
      </c>
      <c r="AU1102" s="44" t="str">
        <f t="shared" si="95"/>
        <v>Dwa</v>
      </c>
      <c r="AV1102" s="38"/>
      <c r="AW1102" s="38"/>
      <c r="AX1102" s="38"/>
      <c r="AY1102" s="38"/>
      <c r="AZ1102" s="29">
        <v>1000.0</v>
      </c>
      <c r="BA1102" s="29">
        <v>1.0</v>
      </c>
      <c r="BB1102" s="29">
        <v>1.0</v>
      </c>
      <c r="BC1102" s="29"/>
      <c r="BD1102" s="29" t="s">
        <v>88</v>
      </c>
      <c r="BE1102" s="29"/>
      <c r="BF1102" s="29" t="s">
        <v>1924</v>
      </c>
      <c r="BG1102" s="29" t="s">
        <v>220</v>
      </c>
      <c r="BH1102" s="29" t="s">
        <v>88</v>
      </c>
      <c r="BI1102" s="29" t="s">
        <v>1925</v>
      </c>
      <c r="BJ1102" s="29"/>
      <c r="BK1102" s="29" t="s">
        <v>1926</v>
      </c>
      <c r="BL1102" s="29" t="s">
        <v>1926</v>
      </c>
      <c r="BM1102" s="45"/>
      <c r="BN1102" s="45">
        <v>1.0</v>
      </c>
      <c r="BO1102" s="46" t="s">
        <v>1924</v>
      </c>
      <c r="BP1102" s="2"/>
      <c r="BQ1102" s="3"/>
    </row>
    <row r="1103" ht="15.75" customHeight="1">
      <c r="A1103" s="34">
        <v>1117.0</v>
      </c>
      <c r="B1103" s="34">
        <v>101268.0</v>
      </c>
      <c r="C1103" s="34" t="s">
        <v>415</v>
      </c>
      <c r="D1103" s="34" t="s">
        <v>1918</v>
      </c>
      <c r="E1103" s="34" t="s">
        <v>1919</v>
      </c>
      <c r="F1103" s="34">
        <v>2015.0</v>
      </c>
      <c r="G1103" s="34" t="s">
        <v>1920</v>
      </c>
      <c r="H1103" s="34" t="s">
        <v>578</v>
      </c>
      <c r="I1103" s="34" t="s">
        <v>1921</v>
      </c>
      <c r="J1103" s="35"/>
      <c r="K1103" s="36"/>
      <c r="L1103" s="36"/>
      <c r="M1103" s="36"/>
      <c r="N1103" s="36">
        <v>41.19</v>
      </c>
      <c r="O1103" s="36">
        <v>64.92</v>
      </c>
      <c r="P1103" s="83">
        <f t="shared" si="100"/>
        <v>63.44731978</v>
      </c>
      <c r="Q1103" s="36"/>
      <c r="R1103" s="36" t="s">
        <v>96</v>
      </c>
      <c r="S1103" s="36"/>
      <c r="T1103" s="36" t="s">
        <v>1922</v>
      </c>
      <c r="U1103" s="36" t="s">
        <v>234</v>
      </c>
      <c r="V1103" s="36">
        <v>98.0</v>
      </c>
      <c r="W1103" s="36"/>
      <c r="X1103" s="38">
        <v>1.0</v>
      </c>
      <c r="Y1103" s="38" t="s">
        <v>1929</v>
      </c>
      <c r="Z1103" s="38"/>
      <c r="AA1103" s="38" t="s">
        <v>452</v>
      </c>
      <c r="AB1103" s="38">
        <v>37.938886</v>
      </c>
      <c r="AC1103" s="38">
        <v>126.954706</v>
      </c>
      <c r="AD1103" s="38" t="s">
        <v>1130</v>
      </c>
      <c r="AE1103" s="38">
        <v>293.0</v>
      </c>
      <c r="AF1103" s="38"/>
      <c r="AG1103" s="38"/>
      <c r="AH1103" s="38"/>
      <c r="AI1103" s="50">
        <v>37.938886</v>
      </c>
      <c r="AJ1103" s="50">
        <v>126.954706</v>
      </c>
      <c r="AK1103" s="41" t="s">
        <v>370</v>
      </c>
      <c r="AL1103" s="40"/>
      <c r="AM1103" s="49">
        <v>290.0</v>
      </c>
      <c r="AN1103" s="43"/>
      <c r="AO1103" s="42" t="s">
        <v>218</v>
      </c>
      <c r="AP1103" s="43" t="s">
        <v>1911</v>
      </c>
      <c r="AQ1103" s="44" t="str">
        <f t="shared" si="94"/>
        <v>MF</v>
      </c>
      <c r="AR1103" s="44">
        <f t="shared" si="80"/>
        <v>290</v>
      </c>
      <c r="AS1103" s="44" t="str">
        <f t="shared" si="96"/>
        <v>D</v>
      </c>
      <c r="AT1103" s="44" t="s">
        <v>1820</v>
      </c>
      <c r="AU1103" s="44" t="str">
        <f t="shared" si="95"/>
        <v>Dwa</v>
      </c>
      <c r="AV1103" s="38"/>
      <c r="AW1103" s="38"/>
      <c r="AX1103" s="38"/>
      <c r="AY1103" s="38"/>
      <c r="AZ1103" s="29">
        <v>1000.0</v>
      </c>
      <c r="BA1103" s="29">
        <v>1.0</v>
      </c>
      <c r="BB1103" s="29">
        <v>1.0</v>
      </c>
      <c r="BC1103" s="29"/>
      <c r="BD1103" s="29" t="s">
        <v>88</v>
      </c>
      <c r="BE1103" s="29"/>
      <c r="BF1103" s="29" t="s">
        <v>1924</v>
      </c>
      <c r="BG1103" s="29" t="s">
        <v>220</v>
      </c>
      <c r="BH1103" s="29" t="s">
        <v>88</v>
      </c>
      <c r="BI1103" s="29" t="s">
        <v>1925</v>
      </c>
      <c r="BJ1103" s="29"/>
      <c r="BK1103" s="29" t="s">
        <v>148</v>
      </c>
      <c r="BL1103" s="29" t="s">
        <v>148</v>
      </c>
      <c r="BM1103" s="45"/>
      <c r="BN1103" s="45">
        <v>1.0</v>
      </c>
      <c r="BO1103" s="46" t="s">
        <v>1924</v>
      </c>
      <c r="BP1103" s="2"/>
      <c r="BQ1103" s="3"/>
    </row>
    <row r="1104" ht="15.75" customHeight="1">
      <c r="A1104" s="34">
        <v>1118.0</v>
      </c>
      <c r="B1104" s="34">
        <v>101155.0</v>
      </c>
      <c r="C1104" s="34" t="s">
        <v>415</v>
      </c>
      <c r="D1104" s="34" t="s">
        <v>1930</v>
      </c>
      <c r="E1104" s="34" t="s">
        <v>1931</v>
      </c>
      <c r="F1104" s="34">
        <v>2015.0</v>
      </c>
      <c r="G1104" s="34" t="s">
        <v>1932</v>
      </c>
      <c r="H1104" s="34" t="s">
        <v>578</v>
      </c>
      <c r="I1104" s="34" t="s">
        <v>1933</v>
      </c>
      <c r="J1104" s="35"/>
      <c r="K1104" s="36">
        <v>0.030000000000000027</v>
      </c>
      <c r="L1104" s="36">
        <v>0.52</v>
      </c>
      <c r="M1104" s="36"/>
      <c r="N1104" s="36"/>
      <c r="O1104" s="36"/>
      <c r="P1104" s="52">
        <f t="shared" ref="P1104:P1125" si="101">K1104*100/L1104</f>
        <v>5.769230769</v>
      </c>
      <c r="Q1104" s="36" t="s">
        <v>96</v>
      </c>
      <c r="R1104" s="36" t="s">
        <v>96</v>
      </c>
      <c r="S1104" s="36"/>
      <c r="T1104" s="36" t="s">
        <v>317</v>
      </c>
      <c r="U1104" s="36" t="s">
        <v>351</v>
      </c>
      <c r="V1104" s="36"/>
      <c r="W1104" s="36"/>
      <c r="X1104" s="38">
        <v>1.0</v>
      </c>
      <c r="Y1104" s="38" t="s">
        <v>1934</v>
      </c>
      <c r="Z1104" s="38"/>
      <c r="AA1104" s="38" t="s">
        <v>288</v>
      </c>
      <c r="AB1104" s="87">
        <v>31.74</v>
      </c>
      <c r="AC1104" s="87">
        <v>-109.94</v>
      </c>
      <c r="AD1104" s="39" t="s">
        <v>87</v>
      </c>
      <c r="AE1104" s="87">
        <v>1531.0</v>
      </c>
      <c r="AF1104" s="38"/>
      <c r="AG1104" s="38"/>
      <c r="AH1104" s="38"/>
      <c r="AI1104" s="88">
        <v>31.74</v>
      </c>
      <c r="AJ1104" s="88">
        <v>-109.94</v>
      </c>
      <c r="AK1104" s="41" t="s">
        <v>291</v>
      </c>
      <c r="AL1104" s="40"/>
      <c r="AM1104" s="49">
        <v>1525.0</v>
      </c>
      <c r="AN1104" s="43"/>
      <c r="AO1104" s="42" t="s">
        <v>293</v>
      </c>
      <c r="AP1104" s="43"/>
      <c r="AQ1104" s="44" t="str">
        <f t="shared" si="94"/>
        <v>GRA</v>
      </c>
      <c r="AR1104" s="44">
        <f t="shared" si="80"/>
        <v>1525</v>
      </c>
      <c r="AS1104" s="44" t="str">
        <f t="shared" si="96"/>
        <v>B</v>
      </c>
      <c r="AT1104" s="44" t="s">
        <v>1863</v>
      </c>
      <c r="AU1104" s="44" t="str">
        <f t="shared" si="95"/>
        <v>BSk</v>
      </c>
      <c r="AV1104" s="38">
        <v>1.0</v>
      </c>
      <c r="AW1104" s="38"/>
      <c r="AX1104" s="38"/>
      <c r="AY1104" s="38" t="s">
        <v>92</v>
      </c>
      <c r="AZ1104" s="29">
        <v>1000.0</v>
      </c>
      <c r="BA1104" s="29">
        <v>1.0</v>
      </c>
      <c r="BB1104" s="29">
        <v>1.0</v>
      </c>
      <c r="BC1104" s="29"/>
      <c r="BD1104" s="29" t="s">
        <v>88</v>
      </c>
      <c r="BE1104" s="29" t="s">
        <v>89</v>
      </c>
      <c r="BF1104" s="29" t="s">
        <v>219</v>
      </c>
      <c r="BG1104" s="29" t="s">
        <v>220</v>
      </c>
      <c r="BH1104" s="29" t="s">
        <v>88</v>
      </c>
      <c r="BI1104" s="29" t="s">
        <v>1935</v>
      </c>
      <c r="BJ1104" s="29"/>
      <c r="BK1104" s="29" t="s">
        <v>148</v>
      </c>
      <c r="BL1104" s="29"/>
      <c r="BM1104" s="45"/>
      <c r="BN1104" s="45">
        <v>1.0</v>
      </c>
      <c r="BO1104" s="46" t="s">
        <v>219</v>
      </c>
      <c r="BP1104" s="2"/>
      <c r="BQ1104" s="3"/>
    </row>
    <row r="1105" ht="15.75" customHeight="1">
      <c r="A1105" s="34">
        <v>1119.0</v>
      </c>
      <c r="B1105" s="34">
        <v>101155.0</v>
      </c>
      <c r="C1105" s="34" t="s">
        <v>832</v>
      </c>
      <c r="D1105" s="34" t="s">
        <v>1930</v>
      </c>
      <c r="E1105" s="34" t="s">
        <v>1931</v>
      </c>
      <c r="F1105" s="34">
        <v>2015.0</v>
      </c>
      <c r="G1105" s="34" t="s">
        <v>1932</v>
      </c>
      <c r="H1105" s="34" t="s">
        <v>578</v>
      </c>
      <c r="I1105" s="34" t="s">
        <v>1933</v>
      </c>
      <c r="J1105" s="35"/>
      <c r="K1105" s="36">
        <v>0.09999999999999987</v>
      </c>
      <c r="L1105" s="36">
        <v>1.31</v>
      </c>
      <c r="M1105" s="36"/>
      <c r="N1105" s="36"/>
      <c r="O1105" s="36"/>
      <c r="P1105" s="52">
        <f t="shared" si="101"/>
        <v>7.633587786</v>
      </c>
      <c r="Q1105" s="36" t="s">
        <v>96</v>
      </c>
      <c r="R1105" s="36" t="s">
        <v>96</v>
      </c>
      <c r="S1105" s="36"/>
      <c r="T1105" s="36" t="s">
        <v>284</v>
      </c>
      <c r="U1105" s="36" t="s">
        <v>351</v>
      </c>
      <c r="V1105" s="36"/>
      <c r="W1105" s="36"/>
      <c r="X1105" s="38">
        <v>1.0</v>
      </c>
      <c r="Y1105" s="38" t="s">
        <v>1936</v>
      </c>
      <c r="Z1105" s="38"/>
      <c r="AA1105" s="38" t="s">
        <v>86</v>
      </c>
      <c r="AB1105" s="87">
        <v>36.61</v>
      </c>
      <c r="AC1105" s="87">
        <v>-97.49</v>
      </c>
      <c r="AD1105" s="39" t="s">
        <v>87</v>
      </c>
      <c r="AE1105" s="87">
        <v>314.0</v>
      </c>
      <c r="AF1105" s="38"/>
      <c r="AG1105" s="38"/>
      <c r="AH1105" s="38"/>
      <c r="AI1105" s="88">
        <v>36.61</v>
      </c>
      <c r="AJ1105" s="88">
        <v>-97.49</v>
      </c>
      <c r="AK1105" s="41" t="s">
        <v>86</v>
      </c>
      <c r="AL1105" s="40"/>
      <c r="AM1105" s="49">
        <v>315.0</v>
      </c>
      <c r="AN1105" s="43"/>
      <c r="AO1105" s="42" t="s">
        <v>201</v>
      </c>
      <c r="AP1105" s="43"/>
      <c r="AQ1105" s="44" t="str">
        <f t="shared" si="94"/>
        <v>CRO</v>
      </c>
      <c r="AR1105" s="44">
        <f t="shared" si="80"/>
        <v>315</v>
      </c>
      <c r="AS1105" s="44" t="str">
        <f t="shared" si="96"/>
        <v>C</v>
      </c>
      <c r="AT1105" s="44" t="s">
        <v>1797</v>
      </c>
      <c r="AU1105" s="44" t="str">
        <f t="shared" si="95"/>
        <v>Cfa</v>
      </c>
      <c r="AV1105" s="38">
        <v>1.0</v>
      </c>
      <c r="AW1105" s="38"/>
      <c r="AX1105" s="38"/>
      <c r="AY1105" s="38" t="s">
        <v>92</v>
      </c>
      <c r="AZ1105" s="29">
        <v>1000.0</v>
      </c>
      <c r="BA1105" s="29">
        <v>1.0</v>
      </c>
      <c r="BB1105" s="29">
        <v>1.0</v>
      </c>
      <c r="BC1105" s="29"/>
      <c r="BD1105" s="29" t="s">
        <v>88</v>
      </c>
      <c r="BE1105" s="29" t="s">
        <v>89</v>
      </c>
      <c r="BF1105" s="29" t="s">
        <v>219</v>
      </c>
      <c r="BG1105" s="29" t="s">
        <v>220</v>
      </c>
      <c r="BH1105" s="29" t="s">
        <v>88</v>
      </c>
      <c r="BI1105" s="29" t="s">
        <v>1935</v>
      </c>
      <c r="BJ1105" s="29"/>
      <c r="BK1105" s="29" t="s">
        <v>148</v>
      </c>
      <c r="BL1105" s="29"/>
      <c r="BM1105" s="45"/>
      <c r="BN1105" s="45">
        <v>1.0</v>
      </c>
      <c r="BO1105" s="46" t="s">
        <v>219</v>
      </c>
      <c r="BP1105" s="2"/>
      <c r="BQ1105" s="3"/>
    </row>
    <row r="1106" ht="15.75" customHeight="1">
      <c r="A1106" s="34">
        <v>1120.0</v>
      </c>
      <c r="B1106" s="34">
        <v>101155.0</v>
      </c>
      <c r="C1106" s="34" t="s">
        <v>832</v>
      </c>
      <c r="D1106" s="34" t="s">
        <v>1930</v>
      </c>
      <c r="E1106" s="34" t="s">
        <v>1931</v>
      </c>
      <c r="F1106" s="34">
        <v>2015.0</v>
      </c>
      <c r="G1106" s="34" t="s">
        <v>1932</v>
      </c>
      <c r="H1106" s="34" t="s">
        <v>578</v>
      </c>
      <c r="I1106" s="34" t="s">
        <v>1933</v>
      </c>
      <c r="J1106" s="35"/>
      <c r="K1106" s="36">
        <v>0.08000000000000007</v>
      </c>
      <c r="L1106" s="36">
        <v>0.72</v>
      </c>
      <c r="M1106" s="36"/>
      <c r="N1106" s="36"/>
      <c r="O1106" s="36"/>
      <c r="P1106" s="52">
        <f t="shared" si="101"/>
        <v>11.11111111</v>
      </c>
      <c r="Q1106" s="36" t="s">
        <v>96</v>
      </c>
      <c r="R1106" s="36" t="s">
        <v>96</v>
      </c>
      <c r="S1106" s="36"/>
      <c r="T1106" s="36" t="s">
        <v>193</v>
      </c>
      <c r="U1106" s="36" t="s">
        <v>342</v>
      </c>
      <c r="V1106" s="36"/>
      <c r="W1106" s="36"/>
      <c r="X1106" s="38">
        <v>1.0</v>
      </c>
      <c r="Y1106" s="38" t="s">
        <v>1937</v>
      </c>
      <c r="Z1106" s="38"/>
      <c r="AA1106" s="38" t="s">
        <v>288</v>
      </c>
      <c r="AB1106" s="87">
        <v>31.59</v>
      </c>
      <c r="AC1106" s="87">
        <v>-110.51</v>
      </c>
      <c r="AD1106" s="39" t="s">
        <v>87</v>
      </c>
      <c r="AE1106" s="87">
        <v>1469.0</v>
      </c>
      <c r="AF1106" s="38"/>
      <c r="AG1106" s="38"/>
      <c r="AH1106" s="38"/>
      <c r="AI1106" s="88">
        <v>31.59</v>
      </c>
      <c r="AJ1106" s="88">
        <v>-110.51</v>
      </c>
      <c r="AK1106" s="41" t="s">
        <v>292</v>
      </c>
      <c r="AL1106" s="40"/>
      <c r="AM1106" s="49">
        <v>1474.0</v>
      </c>
      <c r="AN1106" s="43"/>
      <c r="AO1106" s="42" t="s">
        <v>293</v>
      </c>
      <c r="AP1106" s="43"/>
      <c r="AQ1106" s="44" t="str">
        <f t="shared" si="94"/>
        <v>GRA</v>
      </c>
      <c r="AR1106" s="44">
        <f t="shared" si="80"/>
        <v>1474</v>
      </c>
      <c r="AS1106" s="44" t="str">
        <f t="shared" si="96"/>
        <v>B</v>
      </c>
      <c r="AT1106" s="44" t="s">
        <v>1863</v>
      </c>
      <c r="AU1106" s="44" t="str">
        <f t="shared" si="95"/>
        <v>BSk</v>
      </c>
      <c r="AV1106" s="38">
        <v>1.0</v>
      </c>
      <c r="AW1106" s="38"/>
      <c r="AX1106" s="38"/>
      <c r="AY1106" s="38" t="s">
        <v>92</v>
      </c>
      <c r="AZ1106" s="29">
        <v>1000.0</v>
      </c>
      <c r="BA1106" s="29">
        <v>1.0</v>
      </c>
      <c r="BB1106" s="29">
        <v>1.0</v>
      </c>
      <c r="BC1106" s="29"/>
      <c r="BD1106" s="29" t="s">
        <v>88</v>
      </c>
      <c r="BE1106" s="29" t="s">
        <v>89</v>
      </c>
      <c r="BF1106" s="29" t="s">
        <v>219</v>
      </c>
      <c r="BG1106" s="29" t="s">
        <v>220</v>
      </c>
      <c r="BH1106" s="29" t="s">
        <v>88</v>
      </c>
      <c r="BI1106" s="29" t="s">
        <v>1935</v>
      </c>
      <c r="BJ1106" s="29"/>
      <c r="BK1106" s="29" t="s">
        <v>148</v>
      </c>
      <c r="BL1106" s="29"/>
      <c r="BM1106" s="45"/>
      <c r="BN1106" s="45">
        <v>1.0</v>
      </c>
      <c r="BO1106" s="46" t="s">
        <v>219</v>
      </c>
      <c r="BP1106" s="2"/>
      <c r="BQ1106" s="3"/>
    </row>
    <row r="1107" ht="15.75" customHeight="1">
      <c r="A1107" s="34">
        <v>1121.0</v>
      </c>
      <c r="B1107" s="34">
        <v>101155.0</v>
      </c>
      <c r="C1107" s="34" t="s">
        <v>832</v>
      </c>
      <c r="D1107" s="34" t="s">
        <v>1930</v>
      </c>
      <c r="E1107" s="34" t="s">
        <v>1931</v>
      </c>
      <c r="F1107" s="34">
        <v>2015.0</v>
      </c>
      <c r="G1107" s="34" t="s">
        <v>1932</v>
      </c>
      <c r="H1107" s="34" t="s">
        <v>578</v>
      </c>
      <c r="I1107" s="34" t="s">
        <v>1933</v>
      </c>
      <c r="J1107" s="35"/>
      <c r="K1107" s="36">
        <v>-1.0599999999999998</v>
      </c>
      <c r="L1107" s="36">
        <v>2.92</v>
      </c>
      <c r="M1107" s="36"/>
      <c r="N1107" s="36"/>
      <c r="O1107" s="36"/>
      <c r="P1107" s="52">
        <f t="shared" si="101"/>
        <v>-36.30136986</v>
      </c>
      <c r="Q1107" s="36" t="s">
        <v>96</v>
      </c>
      <c r="R1107" s="36" t="s">
        <v>96</v>
      </c>
      <c r="S1107" s="36"/>
      <c r="T1107" s="36" t="s">
        <v>1938</v>
      </c>
      <c r="U1107" s="36" t="s">
        <v>342</v>
      </c>
      <c r="V1107" s="36"/>
      <c r="W1107" s="36"/>
      <c r="X1107" s="38">
        <v>1.0</v>
      </c>
      <c r="Y1107" s="38" t="s">
        <v>1939</v>
      </c>
      <c r="Z1107" s="38"/>
      <c r="AA1107" s="38" t="s">
        <v>288</v>
      </c>
      <c r="AB1107" s="87">
        <v>44.35</v>
      </c>
      <c r="AC1107" s="87">
        <v>-96.84</v>
      </c>
      <c r="AD1107" s="39" t="s">
        <v>87</v>
      </c>
      <c r="AE1107" s="87">
        <v>510.0</v>
      </c>
      <c r="AF1107" s="38"/>
      <c r="AG1107" s="38"/>
      <c r="AH1107" s="38"/>
      <c r="AI1107" s="88">
        <v>44.35</v>
      </c>
      <c r="AJ1107" s="88">
        <v>-96.84</v>
      </c>
      <c r="AK1107" s="41" t="s">
        <v>86</v>
      </c>
      <c r="AL1107" s="40"/>
      <c r="AM1107" s="49">
        <v>506.0</v>
      </c>
      <c r="AN1107" s="43"/>
      <c r="AO1107" s="42" t="s">
        <v>218</v>
      </c>
      <c r="AP1107" s="43"/>
      <c r="AQ1107" s="44" t="str">
        <f t="shared" si="94"/>
        <v>GRA</v>
      </c>
      <c r="AR1107" s="44">
        <f t="shared" si="80"/>
        <v>506</v>
      </c>
      <c r="AS1107" s="44" t="str">
        <f t="shared" si="96"/>
        <v>D</v>
      </c>
      <c r="AT1107" s="44" t="s">
        <v>1820</v>
      </c>
      <c r="AU1107" s="44" t="str">
        <f t="shared" si="95"/>
        <v>Dwa</v>
      </c>
      <c r="AV1107" s="38">
        <v>1.0</v>
      </c>
      <c r="AW1107" s="38"/>
      <c r="AX1107" s="38"/>
      <c r="AY1107" s="38" t="s">
        <v>92</v>
      </c>
      <c r="AZ1107" s="29">
        <v>1000.0</v>
      </c>
      <c r="BA1107" s="29">
        <v>1.0</v>
      </c>
      <c r="BB1107" s="29">
        <v>1.0</v>
      </c>
      <c r="BC1107" s="29"/>
      <c r="BD1107" s="29" t="s">
        <v>88</v>
      </c>
      <c r="BE1107" s="29" t="s">
        <v>89</v>
      </c>
      <c r="BF1107" s="29" t="s">
        <v>219</v>
      </c>
      <c r="BG1107" s="29" t="s">
        <v>220</v>
      </c>
      <c r="BH1107" s="29" t="s">
        <v>88</v>
      </c>
      <c r="BI1107" s="29" t="s">
        <v>1935</v>
      </c>
      <c r="BJ1107" s="29"/>
      <c r="BK1107" s="29" t="s">
        <v>148</v>
      </c>
      <c r="BL1107" s="29"/>
      <c r="BM1107" s="45"/>
      <c r="BN1107" s="45">
        <v>1.0</v>
      </c>
      <c r="BO1107" s="46" t="s">
        <v>219</v>
      </c>
      <c r="BP1107" s="2"/>
      <c r="BQ1107" s="3"/>
    </row>
    <row r="1108" ht="15.75" customHeight="1">
      <c r="A1108" s="34">
        <v>1122.0</v>
      </c>
      <c r="B1108" s="34">
        <v>101155.0</v>
      </c>
      <c r="C1108" s="34" t="s">
        <v>832</v>
      </c>
      <c r="D1108" s="34" t="s">
        <v>1930</v>
      </c>
      <c r="E1108" s="34" t="s">
        <v>1931</v>
      </c>
      <c r="F1108" s="34">
        <v>2015.0</v>
      </c>
      <c r="G1108" s="34" t="s">
        <v>1932</v>
      </c>
      <c r="H1108" s="34" t="s">
        <v>578</v>
      </c>
      <c r="I1108" s="34" t="s">
        <v>1933</v>
      </c>
      <c r="J1108" s="35"/>
      <c r="K1108" s="36">
        <v>0.3400000000000001</v>
      </c>
      <c r="L1108" s="36">
        <v>1.84</v>
      </c>
      <c r="M1108" s="36"/>
      <c r="N1108" s="36"/>
      <c r="O1108" s="36"/>
      <c r="P1108" s="52">
        <f t="shared" si="101"/>
        <v>18.47826087</v>
      </c>
      <c r="Q1108" s="36" t="s">
        <v>96</v>
      </c>
      <c r="R1108" s="36" t="s">
        <v>96</v>
      </c>
      <c r="S1108" s="36"/>
      <c r="T1108" s="36" t="s">
        <v>356</v>
      </c>
      <c r="U1108" s="36" t="s">
        <v>1940</v>
      </c>
      <c r="V1108" s="36"/>
      <c r="W1108" s="36"/>
      <c r="X1108" s="38">
        <v>1.0</v>
      </c>
      <c r="Y1108" s="38" t="s">
        <v>1941</v>
      </c>
      <c r="Z1108" s="38"/>
      <c r="AA1108" s="38" t="s">
        <v>86</v>
      </c>
      <c r="AB1108" s="87">
        <v>40.01</v>
      </c>
      <c r="AC1108" s="87">
        <v>-88.29</v>
      </c>
      <c r="AD1108" s="39" t="s">
        <v>87</v>
      </c>
      <c r="AE1108" s="87">
        <v>219.0</v>
      </c>
      <c r="AF1108" s="38"/>
      <c r="AG1108" s="38"/>
      <c r="AH1108" s="38"/>
      <c r="AI1108" s="88">
        <v>40.01</v>
      </c>
      <c r="AJ1108" s="88">
        <v>-88.29</v>
      </c>
      <c r="AK1108" s="41" t="s">
        <v>86</v>
      </c>
      <c r="AL1108" s="40"/>
      <c r="AM1108" s="49">
        <v>221.0</v>
      </c>
      <c r="AN1108" s="43"/>
      <c r="AO1108" s="42" t="s">
        <v>107</v>
      </c>
      <c r="AP1108" s="43"/>
      <c r="AQ1108" s="44" t="str">
        <f t="shared" si="94"/>
        <v>CRO</v>
      </c>
      <c r="AR1108" s="44">
        <f t="shared" si="80"/>
        <v>221</v>
      </c>
      <c r="AS1108" s="44" t="str">
        <f t="shared" si="96"/>
        <v>D</v>
      </c>
      <c r="AT1108" s="44" t="s">
        <v>1942</v>
      </c>
      <c r="AU1108" s="44" t="str">
        <f t="shared" si="95"/>
        <v>Dfb</v>
      </c>
      <c r="AV1108" s="38">
        <v>1.0</v>
      </c>
      <c r="AW1108" s="38"/>
      <c r="AX1108" s="38"/>
      <c r="AY1108" s="38" t="s">
        <v>92</v>
      </c>
      <c r="AZ1108" s="29">
        <v>1000.0</v>
      </c>
      <c r="BA1108" s="29">
        <v>1.0</v>
      </c>
      <c r="BB1108" s="29">
        <v>1.0</v>
      </c>
      <c r="BC1108" s="29"/>
      <c r="BD1108" s="29" t="s">
        <v>88</v>
      </c>
      <c r="BE1108" s="29" t="s">
        <v>89</v>
      </c>
      <c r="BF1108" s="29" t="s">
        <v>219</v>
      </c>
      <c r="BG1108" s="29" t="s">
        <v>220</v>
      </c>
      <c r="BH1108" s="29" t="s">
        <v>88</v>
      </c>
      <c r="BI1108" s="29" t="s">
        <v>1935</v>
      </c>
      <c r="BJ1108" s="29"/>
      <c r="BK1108" s="29" t="s">
        <v>148</v>
      </c>
      <c r="BL1108" s="29"/>
      <c r="BM1108" s="45"/>
      <c r="BN1108" s="45">
        <v>1.0</v>
      </c>
      <c r="BO1108" s="46" t="s">
        <v>219</v>
      </c>
      <c r="BP1108" s="2"/>
      <c r="BQ1108" s="3"/>
    </row>
    <row r="1109" ht="15.75" customHeight="1">
      <c r="A1109" s="34">
        <v>1123.0</v>
      </c>
      <c r="B1109" s="34">
        <v>101155.0</v>
      </c>
      <c r="C1109" s="34" t="s">
        <v>832</v>
      </c>
      <c r="D1109" s="34" t="s">
        <v>1930</v>
      </c>
      <c r="E1109" s="34" t="s">
        <v>1931</v>
      </c>
      <c r="F1109" s="34">
        <v>2015.0</v>
      </c>
      <c r="G1109" s="34" t="s">
        <v>1932</v>
      </c>
      <c r="H1109" s="34" t="s">
        <v>578</v>
      </c>
      <c r="I1109" s="34" t="s">
        <v>1933</v>
      </c>
      <c r="J1109" s="35"/>
      <c r="K1109" s="36">
        <v>0.3400000000000003</v>
      </c>
      <c r="L1109" s="36">
        <v>2.34</v>
      </c>
      <c r="M1109" s="36"/>
      <c r="N1109" s="36"/>
      <c r="O1109" s="36"/>
      <c r="P1109" s="52">
        <f t="shared" si="101"/>
        <v>14.52991453</v>
      </c>
      <c r="Q1109" s="36" t="s">
        <v>96</v>
      </c>
      <c r="R1109" s="36" t="s">
        <v>96</v>
      </c>
      <c r="S1109" s="36"/>
      <c r="T1109" s="36" t="s">
        <v>1943</v>
      </c>
      <c r="U1109" s="36" t="s">
        <v>968</v>
      </c>
      <c r="V1109" s="36"/>
      <c r="W1109" s="36"/>
      <c r="X1109" s="38">
        <v>1.0</v>
      </c>
      <c r="Y1109" s="38" t="s">
        <v>1944</v>
      </c>
      <c r="Z1109" s="38"/>
      <c r="AA1109" s="38" t="s">
        <v>288</v>
      </c>
      <c r="AB1109" s="87">
        <v>34.25</v>
      </c>
      <c r="AC1109" s="87">
        <v>-89.97</v>
      </c>
      <c r="AD1109" s="39" t="s">
        <v>87</v>
      </c>
      <c r="AE1109" s="87">
        <v>87.0</v>
      </c>
      <c r="AF1109" s="38"/>
      <c r="AG1109" s="38"/>
      <c r="AH1109" s="38"/>
      <c r="AI1109" s="88">
        <v>34.25</v>
      </c>
      <c r="AJ1109" s="88">
        <v>-89.97</v>
      </c>
      <c r="AK1109" s="41" t="s">
        <v>200</v>
      </c>
      <c r="AL1109" s="40"/>
      <c r="AM1109" s="49">
        <v>99.0</v>
      </c>
      <c r="AN1109" s="43"/>
      <c r="AO1109" s="42" t="s">
        <v>201</v>
      </c>
      <c r="AP1109" s="43"/>
      <c r="AQ1109" s="44" t="str">
        <f t="shared" si="94"/>
        <v>GRA</v>
      </c>
      <c r="AR1109" s="44">
        <f t="shared" si="80"/>
        <v>99</v>
      </c>
      <c r="AS1109" s="44" t="str">
        <f t="shared" si="96"/>
        <v>C</v>
      </c>
      <c r="AT1109" s="44" t="s">
        <v>1797</v>
      </c>
      <c r="AU1109" s="44" t="str">
        <f t="shared" si="95"/>
        <v>Cfa</v>
      </c>
      <c r="AV1109" s="38">
        <v>1.0</v>
      </c>
      <c r="AW1109" s="38"/>
      <c r="AX1109" s="38"/>
      <c r="AY1109" s="38" t="s">
        <v>92</v>
      </c>
      <c r="AZ1109" s="29">
        <v>1000.0</v>
      </c>
      <c r="BA1109" s="29">
        <v>1.0</v>
      </c>
      <c r="BB1109" s="29">
        <v>1.0</v>
      </c>
      <c r="BC1109" s="29"/>
      <c r="BD1109" s="29" t="s">
        <v>88</v>
      </c>
      <c r="BE1109" s="29" t="s">
        <v>89</v>
      </c>
      <c r="BF1109" s="29" t="s">
        <v>219</v>
      </c>
      <c r="BG1109" s="29" t="s">
        <v>220</v>
      </c>
      <c r="BH1109" s="29" t="s">
        <v>88</v>
      </c>
      <c r="BI1109" s="29" t="s">
        <v>1935</v>
      </c>
      <c r="BJ1109" s="29"/>
      <c r="BK1109" s="29" t="s">
        <v>148</v>
      </c>
      <c r="BL1109" s="29"/>
      <c r="BM1109" s="45"/>
      <c r="BN1109" s="45">
        <v>1.0</v>
      </c>
      <c r="BO1109" s="46" t="s">
        <v>219</v>
      </c>
      <c r="BP1109" s="2"/>
      <c r="BQ1109" s="3"/>
    </row>
    <row r="1110" ht="15.75" customHeight="1">
      <c r="A1110" s="34">
        <v>1124.0</v>
      </c>
      <c r="B1110" s="34">
        <v>101155.0</v>
      </c>
      <c r="C1110" s="34" t="s">
        <v>832</v>
      </c>
      <c r="D1110" s="34" t="s">
        <v>1930</v>
      </c>
      <c r="E1110" s="34" t="s">
        <v>1931</v>
      </c>
      <c r="F1110" s="34">
        <v>2015.0</v>
      </c>
      <c r="G1110" s="34" t="s">
        <v>1932</v>
      </c>
      <c r="H1110" s="34" t="s">
        <v>578</v>
      </c>
      <c r="I1110" s="34" t="s">
        <v>1933</v>
      </c>
      <c r="J1110" s="35"/>
      <c r="K1110" s="36">
        <v>0.039999999999999813</v>
      </c>
      <c r="L1110" s="36">
        <v>1.85</v>
      </c>
      <c r="M1110" s="36"/>
      <c r="N1110" s="36"/>
      <c r="O1110" s="36"/>
      <c r="P1110" s="52">
        <f t="shared" si="101"/>
        <v>2.162162162</v>
      </c>
      <c r="Q1110" s="36" t="s">
        <v>96</v>
      </c>
      <c r="R1110" s="36" t="s">
        <v>96</v>
      </c>
      <c r="S1110" s="36"/>
      <c r="T1110" s="36" t="s">
        <v>210</v>
      </c>
      <c r="U1110" s="36" t="s">
        <v>1945</v>
      </c>
      <c r="V1110" s="36"/>
      <c r="W1110" s="36"/>
      <c r="X1110" s="38">
        <v>1.0</v>
      </c>
      <c r="Y1110" s="38" t="s">
        <v>1946</v>
      </c>
      <c r="Z1110" s="38"/>
      <c r="AA1110" s="38" t="s">
        <v>86</v>
      </c>
      <c r="AB1110" s="87">
        <v>41.86</v>
      </c>
      <c r="AC1110" s="87">
        <v>-88.22</v>
      </c>
      <c r="AD1110" s="39" t="s">
        <v>87</v>
      </c>
      <c r="AE1110" s="87">
        <v>225.0</v>
      </c>
      <c r="AF1110" s="38"/>
      <c r="AG1110" s="38"/>
      <c r="AH1110" s="38"/>
      <c r="AI1110" s="88">
        <v>41.86</v>
      </c>
      <c r="AJ1110" s="88">
        <v>-88.22</v>
      </c>
      <c r="AK1110" s="41" t="s">
        <v>86</v>
      </c>
      <c r="AL1110" s="40"/>
      <c r="AM1110" s="49">
        <v>229.0</v>
      </c>
      <c r="AN1110" s="43"/>
      <c r="AO1110" s="42" t="s">
        <v>107</v>
      </c>
      <c r="AP1110" s="43"/>
      <c r="AQ1110" s="44" t="str">
        <f t="shared" si="94"/>
        <v>CRO</v>
      </c>
      <c r="AR1110" s="44">
        <f t="shared" si="80"/>
        <v>229</v>
      </c>
      <c r="AS1110" s="44" t="str">
        <f t="shared" si="96"/>
        <v>D</v>
      </c>
      <c r="AT1110" s="44" t="s">
        <v>1942</v>
      </c>
      <c r="AU1110" s="44" t="str">
        <f t="shared" si="95"/>
        <v>Dfb</v>
      </c>
      <c r="AV1110" s="38">
        <v>1.0</v>
      </c>
      <c r="AW1110" s="38"/>
      <c r="AX1110" s="38"/>
      <c r="AY1110" s="38" t="s">
        <v>92</v>
      </c>
      <c r="AZ1110" s="29">
        <v>1000.0</v>
      </c>
      <c r="BA1110" s="29">
        <v>1.0</v>
      </c>
      <c r="BB1110" s="29">
        <v>1.0</v>
      </c>
      <c r="BC1110" s="29"/>
      <c r="BD1110" s="29" t="s">
        <v>88</v>
      </c>
      <c r="BE1110" s="29" t="s">
        <v>89</v>
      </c>
      <c r="BF1110" s="29" t="s">
        <v>219</v>
      </c>
      <c r="BG1110" s="29" t="s">
        <v>220</v>
      </c>
      <c r="BH1110" s="29" t="s">
        <v>88</v>
      </c>
      <c r="BI1110" s="29" t="s">
        <v>1935</v>
      </c>
      <c r="BJ1110" s="29"/>
      <c r="BK1110" s="29" t="s">
        <v>148</v>
      </c>
      <c r="BL1110" s="29"/>
      <c r="BM1110" s="45"/>
      <c r="BN1110" s="45">
        <v>1.0</v>
      </c>
      <c r="BO1110" s="46" t="s">
        <v>219</v>
      </c>
      <c r="BP1110" s="2"/>
      <c r="BQ1110" s="3"/>
    </row>
    <row r="1111" ht="15.75" customHeight="1">
      <c r="A1111" s="34">
        <v>1125.0</v>
      </c>
      <c r="B1111" s="34">
        <v>101155.0</v>
      </c>
      <c r="C1111" s="34" t="s">
        <v>832</v>
      </c>
      <c r="D1111" s="34" t="s">
        <v>1930</v>
      </c>
      <c r="E1111" s="34" t="s">
        <v>1931</v>
      </c>
      <c r="F1111" s="34">
        <v>2015.0</v>
      </c>
      <c r="G1111" s="34" t="s">
        <v>1932</v>
      </c>
      <c r="H1111" s="34" t="s">
        <v>578</v>
      </c>
      <c r="I1111" s="34" t="s">
        <v>1933</v>
      </c>
      <c r="J1111" s="35"/>
      <c r="K1111" s="36">
        <v>-0.8200000000000001</v>
      </c>
      <c r="L1111" s="36">
        <v>2.41</v>
      </c>
      <c r="M1111" s="36"/>
      <c r="N1111" s="36"/>
      <c r="O1111" s="36"/>
      <c r="P1111" s="52">
        <f t="shared" si="101"/>
        <v>-34.02489627</v>
      </c>
      <c r="Q1111" s="36" t="s">
        <v>96</v>
      </c>
      <c r="R1111" s="36" t="s">
        <v>96</v>
      </c>
      <c r="S1111" s="36"/>
      <c r="T1111" s="36" t="s">
        <v>295</v>
      </c>
      <c r="U1111" s="36" t="s">
        <v>676</v>
      </c>
      <c r="V1111" s="36"/>
      <c r="W1111" s="36"/>
      <c r="X1111" s="38">
        <v>1.0</v>
      </c>
      <c r="Y1111" s="38" t="s">
        <v>1947</v>
      </c>
      <c r="Z1111" s="38"/>
      <c r="AA1111" s="38" t="s">
        <v>288</v>
      </c>
      <c r="AB1111" s="87">
        <v>42.07</v>
      </c>
      <c r="AC1111" s="87">
        <v>-101.41</v>
      </c>
      <c r="AD1111" s="39" t="s">
        <v>87</v>
      </c>
      <c r="AE1111" s="87">
        <v>1081.0</v>
      </c>
      <c r="AF1111" s="38"/>
      <c r="AG1111" s="38"/>
      <c r="AH1111" s="38"/>
      <c r="AI1111" s="88">
        <v>42.07</v>
      </c>
      <c r="AJ1111" s="88">
        <v>-101.41</v>
      </c>
      <c r="AK1111" s="41" t="s">
        <v>288</v>
      </c>
      <c r="AL1111" s="40"/>
      <c r="AM1111" s="49">
        <v>1068.0</v>
      </c>
      <c r="AN1111" s="43"/>
      <c r="AO1111" s="42" t="s">
        <v>107</v>
      </c>
      <c r="AP1111" s="43"/>
      <c r="AQ1111" s="44" t="str">
        <f t="shared" si="94"/>
        <v>GRA</v>
      </c>
      <c r="AR1111" s="44">
        <f t="shared" si="80"/>
        <v>1068</v>
      </c>
      <c r="AS1111" s="44" t="str">
        <f t="shared" si="96"/>
        <v>D</v>
      </c>
      <c r="AT1111" s="44" t="s">
        <v>1942</v>
      </c>
      <c r="AU1111" s="44" t="str">
        <f t="shared" si="95"/>
        <v>Dfb</v>
      </c>
      <c r="AV1111" s="38">
        <v>1.0</v>
      </c>
      <c r="AW1111" s="38"/>
      <c r="AX1111" s="38"/>
      <c r="AY1111" s="38" t="s">
        <v>92</v>
      </c>
      <c r="AZ1111" s="29">
        <v>1000.0</v>
      </c>
      <c r="BA1111" s="29">
        <v>1.0</v>
      </c>
      <c r="BB1111" s="29">
        <v>1.0</v>
      </c>
      <c r="BC1111" s="29"/>
      <c r="BD1111" s="29" t="s">
        <v>88</v>
      </c>
      <c r="BE1111" s="29" t="s">
        <v>89</v>
      </c>
      <c r="BF1111" s="29" t="s">
        <v>219</v>
      </c>
      <c r="BG1111" s="29" t="s">
        <v>220</v>
      </c>
      <c r="BH1111" s="29" t="s">
        <v>88</v>
      </c>
      <c r="BI1111" s="29" t="s">
        <v>1935</v>
      </c>
      <c r="BJ1111" s="29"/>
      <c r="BK1111" s="29" t="s">
        <v>148</v>
      </c>
      <c r="BL1111" s="29"/>
      <c r="BM1111" s="45"/>
      <c r="BN1111" s="45">
        <v>1.0</v>
      </c>
      <c r="BO1111" s="46" t="s">
        <v>219</v>
      </c>
      <c r="BP1111" s="2"/>
      <c r="BQ1111" s="3"/>
    </row>
    <row r="1112" ht="15.75" customHeight="1">
      <c r="A1112" s="34">
        <v>1126.0</v>
      </c>
      <c r="B1112" s="34">
        <v>101155.0</v>
      </c>
      <c r="C1112" s="34" t="s">
        <v>832</v>
      </c>
      <c r="D1112" s="34" t="s">
        <v>1930</v>
      </c>
      <c r="E1112" s="34" t="s">
        <v>1931</v>
      </c>
      <c r="F1112" s="34">
        <v>2015.0</v>
      </c>
      <c r="G1112" s="34" t="s">
        <v>1932</v>
      </c>
      <c r="H1112" s="34" t="s">
        <v>578</v>
      </c>
      <c r="I1112" s="34" t="s">
        <v>1933</v>
      </c>
      <c r="J1112" s="35"/>
      <c r="K1112" s="36">
        <v>0.41000000000000003</v>
      </c>
      <c r="L1112" s="36">
        <v>0.86</v>
      </c>
      <c r="M1112" s="36"/>
      <c r="N1112" s="36"/>
      <c r="O1112" s="36"/>
      <c r="P1112" s="52">
        <f t="shared" si="101"/>
        <v>47.6744186</v>
      </c>
      <c r="Q1112" s="36" t="s">
        <v>96</v>
      </c>
      <c r="R1112" s="36" t="s">
        <v>96</v>
      </c>
      <c r="S1112" s="36"/>
      <c r="T1112" s="36" t="s">
        <v>328</v>
      </c>
      <c r="U1112" s="36" t="s">
        <v>285</v>
      </c>
      <c r="V1112" s="36"/>
      <c r="W1112" s="36"/>
      <c r="X1112" s="38">
        <v>1.0</v>
      </c>
      <c r="Y1112" s="38" t="s">
        <v>1948</v>
      </c>
      <c r="Z1112" s="38"/>
      <c r="AA1112" s="38" t="s">
        <v>288</v>
      </c>
      <c r="AB1112" s="87">
        <v>38.41</v>
      </c>
      <c r="AC1112" s="57">
        <v>-120.95</v>
      </c>
      <c r="AD1112" s="39" t="s">
        <v>87</v>
      </c>
      <c r="AE1112" s="87">
        <v>129.0</v>
      </c>
      <c r="AF1112" s="38"/>
      <c r="AG1112" s="38"/>
      <c r="AH1112" s="38"/>
      <c r="AI1112" s="88">
        <v>38.41</v>
      </c>
      <c r="AJ1112" s="88">
        <v>-120.95</v>
      </c>
      <c r="AK1112" s="41" t="s">
        <v>288</v>
      </c>
      <c r="AL1112" s="40"/>
      <c r="AM1112" s="49">
        <v>154.0</v>
      </c>
      <c r="AN1112" s="43"/>
      <c r="AO1112" s="42" t="s">
        <v>175</v>
      </c>
      <c r="AP1112" s="43"/>
      <c r="AQ1112" s="44" t="str">
        <f t="shared" si="94"/>
        <v>GRA</v>
      </c>
      <c r="AR1112" s="44">
        <f t="shared" si="80"/>
        <v>154</v>
      </c>
      <c r="AS1112" s="44" t="str">
        <f t="shared" si="96"/>
        <v>C</v>
      </c>
      <c r="AT1112" s="44" t="s">
        <v>1949</v>
      </c>
      <c r="AU1112" s="44" t="str">
        <f t="shared" si="95"/>
        <v>Csa</v>
      </c>
      <c r="AV1112" s="38">
        <v>1.0</v>
      </c>
      <c r="AW1112" s="38"/>
      <c r="AX1112" s="38"/>
      <c r="AY1112" s="38" t="s">
        <v>92</v>
      </c>
      <c r="AZ1112" s="29">
        <v>1000.0</v>
      </c>
      <c r="BA1112" s="29">
        <v>1.0</v>
      </c>
      <c r="BB1112" s="29">
        <v>1.0</v>
      </c>
      <c r="BC1112" s="29"/>
      <c r="BD1112" s="29" t="s">
        <v>88</v>
      </c>
      <c r="BE1112" s="29" t="s">
        <v>89</v>
      </c>
      <c r="BF1112" s="29" t="s">
        <v>219</v>
      </c>
      <c r="BG1112" s="29" t="s">
        <v>220</v>
      </c>
      <c r="BH1112" s="29" t="s">
        <v>88</v>
      </c>
      <c r="BI1112" s="29" t="s">
        <v>1935</v>
      </c>
      <c r="BJ1112" s="29"/>
      <c r="BK1112" s="29" t="s">
        <v>148</v>
      </c>
      <c r="BL1112" s="29"/>
      <c r="BM1112" s="45"/>
      <c r="BN1112" s="45">
        <v>1.0</v>
      </c>
      <c r="BO1112" s="46" t="s">
        <v>219</v>
      </c>
      <c r="BP1112" s="2"/>
      <c r="BQ1112" s="3"/>
    </row>
    <row r="1113" ht="15.75" customHeight="1">
      <c r="A1113" s="34">
        <v>1127.0</v>
      </c>
      <c r="B1113" s="34">
        <v>101155.0</v>
      </c>
      <c r="C1113" s="34" t="s">
        <v>832</v>
      </c>
      <c r="D1113" s="34" t="s">
        <v>1930</v>
      </c>
      <c r="E1113" s="34" t="s">
        <v>1931</v>
      </c>
      <c r="F1113" s="34">
        <v>2015.0</v>
      </c>
      <c r="G1113" s="34" t="s">
        <v>1932</v>
      </c>
      <c r="H1113" s="34" t="s">
        <v>578</v>
      </c>
      <c r="I1113" s="34" t="s">
        <v>1933</v>
      </c>
      <c r="J1113" s="35"/>
      <c r="K1113" s="36">
        <v>-0.030000000000000027</v>
      </c>
      <c r="L1113" s="36">
        <v>0.52</v>
      </c>
      <c r="M1113" s="36"/>
      <c r="N1113" s="36"/>
      <c r="O1113" s="36"/>
      <c r="P1113" s="52">
        <f t="shared" si="101"/>
        <v>-5.769230769</v>
      </c>
      <c r="Q1113" s="36" t="s">
        <v>96</v>
      </c>
      <c r="R1113" s="36" t="s">
        <v>96</v>
      </c>
      <c r="S1113" s="36"/>
      <c r="T1113" s="36" t="s">
        <v>317</v>
      </c>
      <c r="U1113" s="36" t="s">
        <v>351</v>
      </c>
      <c r="V1113" s="36"/>
      <c r="W1113" s="36"/>
      <c r="X1113" s="38">
        <v>1.0</v>
      </c>
      <c r="Y1113" s="38" t="s">
        <v>1934</v>
      </c>
      <c r="Z1113" s="38"/>
      <c r="AA1113" s="38" t="s">
        <v>288</v>
      </c>
      <c r="AB1113" s="87">
        <v>31.74</v>
      </c>
      <c r="AC1113" s="87">
        <v>-109.94</v>
      </c>
      <c r="AD1113" s="39" t="s">
        <v>87</v>
      </c>
      <c r="AE1113" s="87">
        <v>1531.0</v>
      </c>
      <c r="AF1113" s="38"/>
      <c r="AG1113" s="38"/>
      <c r="AH1113" s="38"/>
      <c r="AI1113" s="88">
        <v>31.74</v>
      </c>
      <c r="AJ1113" s="88">
        <v>-109.94</v>
      </c>
      <c r="AK1113" s="41" t="s">
        <v>291</v>
      </c>
      <c r="AL1113" s="40"/>
      <c r="AM1113" s="49">
        <v>1525.0</v>
      </c>
      <c r="AN1113" s="43"/>
      <c r="AO1113" s="42" t="s">
        <v>293</v>
      </c>
      <c r="AP1113" s="43"/>
      <c r="AQ1113" s="44" t="str">
        <f t="shared" si="94"/>
        <v>GRA</v>
      </c>
      <c r="AR1113" s="44">
        <f t="shared" si="80"/>
        <v>1525</v>
      </c>
      <c r="AS1113" s="44" t="str">
        <f t="shared" si="96"/>
        <v>B</v>
      </c>
      <c r="AT1113" s="44" t="s">
        <v>1863</v>
      </c>
      <c r="AU1113" s="44" t="str">
        <f t="shared" si="95"/>
        <v>BSk</v>
      </c>
      <c r="AV1113" s="38">
        <v>1.0</v>
      </c>
      <c r="AW1113" s="38"/>
      <c r="AX1113" s="38"/>
      <c r="AY1113" s="38" t="s">
        <v>92</v>
      </c>
      <c r="AZ1113" s="29">
        <v>1000.0</v>
      </c>
      <c r="BA1113" s="29">
        <v>1.0</v>
      </c>
      <c r="BB1113" s="29">
        <v>1.0</v>
      </c>
      <c r="BC1113" s="29"/>
      <c r="BD1113" s="29" t="s">
        <v>88</v>
      </c>
      <c r="BE1113" s="29" t="s">
        <v>263</v>
      </c>
      <c r="BF1113" s="29" t="s">
        <v>1950</v>
      </c>
      <c r="BG1113" s="29" t="s">
        <v>220</v>
      </c>
      <c r="BH1113" s="29" t="s">
        <v>88</v>
      </c>
      <c r="BI1113" s="29" t="s">
        <v>1935</v>
      </c>
      <c r="BJ1113" s="29"/>
      <c r="BK1113" s="29" t="s">
        <v>148</v>
      </c>
      <c r="BL1113" s="29"/>
      <c r="BM1113" s="45"/>
      <c r="BN1113" s="45">
        <v>1.0</v>
      </c>
      <c r="BO1113" s="46" t="s">
        <v>219</v>
      </c>
      <c r="BP1113" s="2"/>
      <c r="BQ1113" s="3"/>
    </row>
    <row r="1114" ht="15.75" customHeight="1">
      <c r="A1114" s="34">
        <v>1128.0</v>
      </c>
      <c r="B1114" s="34">
        <v>101155.0</v>
      </c>
      <c r="C1114" s="34" t="s">
        <v>832</v>
      </c>
      <c r="D1114" s="34" t="s">
        <v>1930</v>
      </c>
      <c r="E1114" s="34" t="s">
        <v>1931</v>
      </c>
      <c r="F1114" s="34">
        <v>2015.0</v>
      </c>
      <c r="G1114" s="34" t="s">
        <v>1932</v>
      </c>
      <c r="H1114" s="34" t="s">
        <v>578</v>
      </c>
      <c r="I1114" s="34" t="s">
        <v>1933</v>
      </c>
      <c r="J1114" s="35"/>
      <c r="K1114" s="36">
        <v>-0.1200000000000001</v>
      </c>
      <c r="L1114" s="36">
        <v>1.31</v>
      </c>
      <c r="M1114" s="36"/>
      <c r="N1114" s="36"/>
      <c r="O1114" s="36"/>
      <c r="P1114" s="52">
        <f t="shared" si="101"/>
        <v>-9.160305344</v>
      </c>
      <c r="Q1114" s="36" t="s">
        <v>96</v>
      </c>
      <c r="R1114" s="36" t="s">
        <v>96</v>
      </c>
      <c r="S1114" s="36"/>
      <c r="T1114" s="36" t="s">
        <v>284</v>
      </c>
      <c r="U1114" s="36" t="s">
        <v>351</v>
      </c>
      <c r="V1114" s="36"/>
      <c r="W1114" s="36"/>
      <c r="X1114" s="38">
        <v>1.0</v>
      </c>
      <c r="Y1114" s="38" t="s">
        <v>1936</v>
      </c>
      <c r="Z1114" s="38"/>
      <c r="AA1114" s="38" t="s">
        <v>86</v>
      </c>
      <c r="AB1114" s="87">
        <v>36.61</v>
      </c>
      <c r="AC1114" s="87">
        <v>-97.49</v>
      </c>
      <c r="AD1114" s="39" t="s">
        <v>87</v>
      </c>
      <c r="AE1114" s="87">
        <v>314.0</v>
      </c>
      <c r="AF1114" s="38"/>
      <c r="AG1114" s="38"/>
      <c r="AH1114" s="38"/>
      <c r="AI1114" s="88">
        <v>36.61</v>
      </c>
      <c r="AJ1114" s="88">
        <v>-97.49</v>
      </c>
      <c r="AK1114" s="41" t="s">
        <v>86</v>
      </c>
      <c r="AL1114" s="40"/>
      <c r="AM1114" s="49">
        <v>315.0</v>
      </c>
      <c r="AN1114" s="43"/>
      <c r="AO1114" s="42" t="s">
        <v>201</v>
      </c>
      <c r="AP1114" s="43"/>
      <c r="AQ1114" s="44" t="str">
        <f t="shared" si="94"/>
        <v>CRO</v>
      </c>
      <c r="AR1114" s="44">
        <f t="shared" si="80"/>
        <v>315</v>
      </c>
      <c r="AS1114" s="44" t="str">
        <f t="shared" si="96"/>
        <v>C</v>
      </c>
      <c r="AT1114" s="44" t="s">
        <v>1797</v>
      </c>
      <c r="AU1114" s="44" t="str">
        <f t="shared" si="95"/>
        <v>Cfa</v>
      </c>
      <c r="AV1114" s="38">
        <v>1.0</v>
      </c>
      <c r="AW1114" s="38"/>
      <c r="AX1114" s="38"/>
      <c r="AY1114" s="38" t="s">
        <v>92</v>
      </c>
      <c r="AZ1114" s="29">
        <v>1000.0</v>
      </c>
      <c r="BA1114" s="29">
        <v>1.0</v>
      </c>
      <c r="BB1114" s="29">
        <v>1.0</v>
      </c>
      <c r="BC1114" s="29"/>
      <c r="BD1114" s="29" t="s">
        <v>88</v>
      </c>
      <c r="BE1114" s="29" t="s">
        <v>263</v>
      </c>
      <c r="BF1114" s="29" t="s">
        <v>1950</v>
      </c>
      <c r="BG1114" s="29" t="s">
        <v>220</v>
      </c>
      <c r="BH1114" s="29" t="s">
        <v>88</v>
      </c>
      <c r="BI1114" s="29" t="s">
        <v>1935</v>
      </c>
      <c r="BJ1114" s="29"/>
      <c r="BK1114" s="29" t="s">
        <v>148</v>
      </c>
      <c r="BL1114" s="29"/>
      <c r="BM1114" s="45"/>
      <c r="BN1114" s="45">
        <v>1.0</v>
      </c>
      <c r="BO1114" s="46" t="s">
        <v>219</v>
      </c>
      <c r="BP1114" s="2"/>
      <c r="BQ1114" s="3"/>
    </row>
    <row r="1115" ht="15.75" customHeight="1">
      <c r="A1115" s="34">
        <v>1129.0</v>
      </c>
      <c r="B1115" s="34">
        <v>101155.0</v>
      </c>
      <c r="C1115" s="34" t="s">
        <v>832</v>
      </c>
      <c r="D1115" s="34" t="s">
        <v>1930</v>
      </c>
      <c r="E1115" s="34" t="s">
        <v>1931</v>
      </c>
      <c r="F1115" s="34">
        <v>2015.0</v>
      </c>
      <c r="G1115" s="34" t="s">
        <v>1932</v>
      </c>
      <c r="H1115" s="34" t="s">
        <v>578</v>
      </c>
      <c r="I1115" s="34" t="s">
        <v>1933</v>
      </c>
      <c r="J1115" s="35"/>
      <c r="K1115" s="36">
        <v>-0.10999999999999999</v>
      </c>
      <c r="L1115" s="36">
        <v>0.72</v>
      </c>
      <c r="M1115" s="36"/>
      <c r="N1115" s="36"/>
      <c r="O1115" s="36"/>
      <c r="P1115" s="52">
        <f t="shared" si="101"/>
        <v>-15.27777778</v>
      </c>
      <c r="Q1115" s="36" t="s">
        <v>96</v>
      </c>
      <c r="R1115" s="36" t="s">
        <v>96</v>
      </c>
      <c r="S1115" s="36"/>
      <c r="T1115" s="36" t="s">
        <v>193</v>
      </c>
      <c r="U1115" s="36" t="s">
        <v>342</v>
      </c>
      <c r="V1115" s="36"/>
      <c r="W1115" s="36"/>
      <c r="X1115" s="38">
        <v>1.0</v>
      </c>
      <c r="Y1115" s="38" t="s">
        <v>1937</v>
      </c>
      <c r="Z1115" s="38"/>
      <c r="AA1115" s="38" t="s">
        <v>288</v>
      </c>
      <c r="AB1115" s="87">
        <v>31.59</v>
      </c>
      <c r="AC1115" s="87">
        <v>-110.51</v>
      </c>
      <c r="AD1115" s="39" t="s">
        <v>87</v>
      </c>
      <c r="AE1115" s="87">
        <v>1469.0</v>
      </c>
      <c r="AF1115" s="38"/>
      <c r="AG1115" s="38"/>
      <c r="AH1115" s="38"/>
      <c r="AI1115" s="88">
        <v>31.59</v>
      </c>
      <c r="AJ1115" s="88">
        <v>-110.51</v>
      </c>
      <c r="AK1115" s="41" t="s">
        <v>292</v>
      </c>
      <c r="AL1115" s="40"/>
      <c r="AM1115" s="49">
        <v>1474.0</v>
      </c>
      <c r="AN1115" s="43"/>
      <c r="AO1115" s="42" t="s">
        <v>293</v>
      </c>
      <c r="AP1115" s="43"/>
      <c r="AQ1115" s="44" t="str">
        <f t="shared" si="94"/>
        <v>GRA</v>
      </c>
      <c r="AR1115" s="44">
        <f t="shared" si="80"/>
        <v>1474</v>
      </c>
      <c r="AS1115" s="44" t="str">
        <f t="shared" si="96"/>
        <v>B</v>
      </c>
      <c r="AT1115" s="44" t="s">
        <v>1863</v>
      </c>
      <c r="AU1115" s="44" t="str">
        <f t="shared" si="95"/>
        <v>BSk</v>
      </c>
      <c r="AV1115" s="38">
        <v>1.0</v>
      </c>
      <c r="AW1115" s="38"/>
      <c r="AX1115" s="38"/>
      <c r="AY1115" s="38" t="s">
        <v>92</v>
      </c>
      <c r="AZ1115" s="29">
        <v>1000.0</v>
      </c>
      <c r="BA1115" s="29">
        <v>1.0</v>
      </c>
      <c r="BB1115" s="29">
        <v>1.0</v>
      </c>
      <c r="BC1115" s="29"/>
      <c r="BD1115" s="29" t="s">
        <v>88</v>
      </c>
      <c r="BE1115" s="29" t="s">
        <v>263</v>
      </c>
      <c r="BF1115" s="29" t="s">
        <v>1950</v>
      </c>
      <c r="BG1115" s="29" t="s">
        <v>220</v>
      </c>
      <c r="BH1115" s="29" t="s">
        <v>88</v>
      </c>
      <c r="BI1115" s="29" t="s">
        <v>1935</v>
      </c>
      <c r="BJ1115" s="29"/>
      <c r="BK1115" s="29" t="s">
        <v>148</v>
      </c>
      <c r="BL1115" s="29"/>
      <c r="BM1115" s="45"/>
      <c r="BN1115" s="45">
        <v>1.0</v>
      </c>
      <c r="BO1115" s="46" t="s">
        <v>219</v>
      </c>
      <c r="BP1115" s="2"/>
      <c r="BQ1115" s="3"/>
    </row>
    <row r="1116" ht="15.75" customHeight="1">
      <c r="A1116" s="34">
        <v>1130.0</v>
      </c>
      <c r="B1116" s="34">
        <v>101155.0</v>
      </c>
      <c r="C1116" s="34" t="s">
        <v>832</v>
      </c>
      <c r="D1116" s="34" t="s">
        <v>1930</v>
      </c>
      <c r="E1116" s="34" t="s">
        <v>1931</v>
      </c>
      <c r="F1116" s="34">
        <v>2015.0</v>
      </c>
      <c r="G1116" s="34" t="s">
        <v>1932</v>
      </c>
      <c r="H1116" s="34" t="s">
        <v>578</v>
      </c>
      <c r="I1116" s="34" t="s">
        <v>1933</v>
      </c>
      <c r="J1116" s="35"/>
      <c r="K1116" s="36">
        <v>-0.45999999999999996</v>
      </c>
      <c r="L1116" s="36">
        <v>2.92</v>
      </c>
      <c r="M1116" s="36"/>
      <c r="N1116" s="36"/>
      <c r="O1116" s="36"/>
      <c r="P1116" s="52">
        <f t="shared" si="101"/>
        <v>-15.75342466</v>
      </c>
      <c r="Q1116" s="36" t="s">
        <v>96</v>
      </c>
      <c r="R1116" s="36" t="s">
        <v>96</v>
      </c>
      <c r="S1116" s="36"/>
      <c r="T1116" s="36" t="s">
        <v>1938</v>
      </c>
      <c r="U1116" s="36" t="s">
        <v>342</v>
      </c>
      <c r="V1116" s="36"/>
      <c r="W1116" s="36"/>
      <c r="X1116" s="38">
        <v>1.0</v>
      </c>
      <c r="Y1116" s="38" t="s">
        <v>1939</v>
      </c>
      <c r="Z1116" s="38"/>
      <c r="AA1116" s="38" t="s">
        <v>288</v>
      </c>
      <c r="AB1116" s="87">
        <v>44.35</v>
      </c>
      <c r="AC1116" s="87">
        <v>-96.84</v>
      </c>
      <c r="AD1116" s="39" t="s">
        <v>87</v>
      </c>
      <c r="AE1116" s="87">
        <v>510.0</v>
      </c>
      <c r="AF1116" s="38"/>
      <c r="AG1116" s="38"/>
      <c r="AH1116" s="38"/>
      <c r="AI1116" s="88">
        <v>44.35</v>
      </c>
      <c r="AJ1116" s="88">
        <v>-96.84</v>
      </c>
      <c r="AK1116" s="41" t="s">
        <v>86</v>
      </c>
      <c r="AL1116" s="40"/>
      <c r="AM1116" s="49">
        <v>506.0</v>
      </c>
      <c r="AN1116" s="43"/>
      <c r="AO1116" s="42" t="s">
        <v>218</v>
      </c>
      <c r="AP1116" s="43"/>
      <c r="AQ1116" s="44" t="str">
        <f t="shared" si="94"/>
        <v>GRA</v>
      </c>
      <c r="AR1116" s="44">
        <f t="shared" si="80"/>
        <v>506</v>
      </c>
      <c r="AS1116" s="44" t="str">
        <f t="shared" si="96"/>
        <v>D</v>
      </c>
      <c r="AT1116" s="44" t="s">
        <v>1820</v>
      </c>
      <c r="AU1116" s="44" t="str">
        <f t="shared" si="95"/>
        <v>Dwa</v>
      </c>
      <c r="AV1116" s="38">
        <v>1.0</v>
      </c>
      <c r="AW1116" s="38"/>
      <c r="AX1116" s="38"/>
      <c r="AY1116" s="38" t="s">
        <v>92</v>
      </c>
      <c r="AZ1116" s="29">
        <v>1000.0</v>
      </c>
      <c r="BA1116" s="29">
        <v>1.0</v>
      </c>
      <c r="BB1116" s="29">
        <v>1.0</v>
      </c>
      <c r="BC1116" s="29"/>
      <c r="BD1116" s="29" t="s">
        <v>88</v>
      </c>
      <c r="BE1116" s="29" t="s">
        <v>263</v>
      </c>
      <c r="BF1116" s="29" t="s">
        <v>1950</v>
      </c>
      <c r="BG1116" s="29" t="s">
        <v>220</v>
      </c>
      <c r="BH1116" s="29" t="s">
        <v>88</v>
      </c>
      <c r="BI1116" s="29" t="s">
        <v>1935</v>
      </c>
      <c r="BJ1116" s="29"/>
      <c r="BK1116" s="29" t="s">
        <v>148</v>
      </c>
      <c r="BL1116" s="29"/>
      <c r="BM1116" s="45"/>
      <c r="BN1116" s="45">
        <v>1.0</v>
      </c>
      <c r="BO1116" s="46" t="s">
        <v>219</v>
      </c>
      <c r="BP1116" s="2"/>
      <c r="BQ1116" s="3"/>
    </row>
    <row r="1117" ht="15.75" customHeight="1">
      <c r="A1117" s="34">
        <v>1131.0</v>
      </c>
      <c r="B1117" s="34">
        <v>101155.0</v>
      </c>
      <c r="C1117" s="34" t="s">
        <v>832</v>
      </c>
      <c r="D1117" s="34" t="s">
        <v>1930</v>
      </c>
      <c r="E1117" s="34" t="s">
        <v>1931</v>
      </c>
      <c r="F1117" s="34">
        <v>2015.0</v>
      </c>
      <c r="G1117" s="34" t="s">
        <v>1932</v>
      </c>
      <c r="H1117" s="34" t="s">
        <v>578</v>
      </c>
      <c r="I1117" s="34" t="s">
        <v>1933</v>
      </c>
      <c r="J1117" s="35"/>
      <c r="K1117" s="36">
        <v>0.30999999999999983</v>
      </c>
      <c r="L1117" s="36">
        <v>1.84</v>
      </c>
      <c r="M1117" s="36"/>
      <c r="N1117" s="36"/>
      <c r="O1117" s="36"/>
      <c r="P1117" s="52">
        <f t="shared" si="101"/>
        <v>16.84782609</v>
      </c>
      <c r="Q1117" s="36" t="s">
        <v>96</v>
      </c>
      <c r="R1117" s="36" t="s">
        <v>96</v>
      </c>
      <c r="S1117" s="36"/>
      <c r="T1117" s="36" t="s">
        <v>356</v>
      </c>
      <c r="U1117" s="36" t="s">
        <v>1940</v>
      </c>
      <c r="V1117" s="36"/>
      <c r="W1117" s="36"/>
      <c r="X1117" s="38">
        <v>1.0</v>
      </c>
      <c r="Y1117" s="38" t="s">
        <v>1941</v>
      </c>
      <c r="Z1117" s="38"/>
      <c r="AA1117" s="38" t="s">
        <v>86</v>
      </c>
      <c r="AB1117" s="87">
        <v>40.01</v>
      </c>
      <c r="AC1117" s="87">
        <v>-88.29</v>
      </c>
      <c r="AD1117" s="39" t="s">
        <v>87</v>
      </c>
      <c r="AE1117" s="87">
        <v>219.0</v>
      </c>
      <c r="AF1117" s="38"/>
      <c r="AG1117" s="38"/>
      <c r="AH1117" s="38"/>
      <c r="AI1117" s="88">
        <v>40.01</v>
      </c>
      <c r="AJ1117" s="88">
        <v>-88.29</v>
      </c>
      <c r="AK1117" s="41" t="s">
        <v>86</v>
      </c>
      <c r="AL1117" s="40"/>
      <c r="AM1117" s="49">
        <v>221.0</v>
      </c>
      <c r="AN1117" s="43"/>
      <c r="AO1117" s="42" t="s">
        <v>107</v>
      </c>
      <c r="AP1117" s="43"/>
      <c r="AQ1117" s="44" t="str">
        <f t="shared" si="94"/>
        <v>CRO</v>
      </c>
      <c r="AR1117" s="44">
        <f t="shared" si="80"/>
        <v>221</v>
      </c>
      <c r="AS1117" s="44" t="str">
        <f t="shared" si="96"/>
        <v>D</v>
      </c>
      <c r="AT1117" s="44" t="s">
        <v>1942</v>
      </c>
      <c r="AU1117" s="44" t="str">
        <f t="shared" si="95"/>
        <v>Dfb</v>
      </c>
      <c r="AV1117" s="38">
        <v>1.0</v>
      </c>
      <c r="AW1117" s="38"/>
      <c r="AX1117" s="38"/>
      <c r="AY1117" s="38" t="s">
        <v>92</v>
      </c>
      <c r="AZ1117" s="29">
        <v>1000.0</v>
      </c>
      <c r="BA1117" s="29">
        <v>1.0</v>
      </c>
      <c r="BB1117" s="29">
        <v>1.0</v>
      </c>
      <c r="BC1117" s="29"/>
      <c r="BD1117" s="29" t="s">
        <v>88</v>
      </c>
      <c r="BE1117" s="29" t="s">
        <v>263</v>
      </c>
      <c r="BF1117" s="29" t="s">
        <v>1950</v>
      </c>
      <c r="BG1117" s="29" t="s">
        <v>220</v>
      </c>
      <c r="BH1117" s="29" t="s">
        <v>88</v>
      </c>
      <c r="BI1117" s="29" t="s">
        <v>1935</v>
      </c>
      <c r="BJ1117" s="29"/>
      <c r="BK1117" s="29" t="s">
        <v>148</v>
      </c>
      <c r="BL1117" s="29"/>
      <c r="BM1117" s="45"/>
      <c r="BN1117" s="45">
        <v>1.0</v>
      </c>
      <c r="BO1117" s="46" t="s">
        <v>219</v>
      </c>
      <c r="BP1117" s="2"/>
      <c r="BQ1117" s="3"/>
    </row>
    <row r="1118" ht="15.75" customHeight="1">
      <c r="A1118" s="34">
        <v>1132.0</v>
      </c>
      <c r="B1118" s="34">
        <v>101155.0</v>
      </c>
      <c r="C1118" s="34" t="s">
        <v>832</v>
      </c>
      <c r="D1118" s="34" t="s">
        <v>1930</v>
      </c>
      <c r="E1118" s="34" t="s">
        <v>1931</v>
      </c>
      <c r="F1118" s="34">
        <v>2015.0</v>
      </c>
      <c r="G1118" s="34" t="s">
        <v>1932</v>
      </c>
      <c r="H1118" s="34" t="s">
        <v>578</v>
      </c>
      <c r="I1118" s="34" t="s">
        <v>1933</v>
      </c>
      <c r="J1118" s="35"/>
      <c r="K1118" s="36">
        <v>0.28000000000000025</v>
      </c>
      <c r="L1118" s="36">
        <v>2.34</v>
      </c>
      <c r="M1118" s="36"/>
      <c r="N1118" s="36"/>
      <c r="O1118" s="36"/>
      <c r="P1118" s="52">
        <f t="shared" si="101"/>
        <v>11.96581197</v>
      </c>
      <c r="Q1118" s="36" t="s">
        <v>96</v>
      </c>
      <c r="R1118" s="36" t="s">
        <v>96</v>
      </c>
      <c r="S1118" s="36"/>
      <c r="T1118" s="36" t="s">
        <v>1943</v>
      </c>
      <c r="U1118" s="36" t="s">
        <v>968</v>
      </c>
      <c r="V1118" s="36"/>
      <c r="W1118" s="36"/>
      <c r="X1118" s="38">
        <v>1.0</v>
      </c>
      <c r="Y1118" s="38" t="s">
        <v>1944</v>
      </c>
      <c r="Z1118" s="38"/>
      <c r="AA1118" s="38" t="s">
        <v>288</v>
      </c>
      <c r="AB1118" s="87">
        <v>34.25</v>
      </c>
      <c r="AC1118" s="87">
        <v>-89.97</v>
      </c>
      <c r="AD1118" s="39" t="s">
        <v>87</v>
      </c>
      <c r="AE1118" s="87">
        <v>87.0</v>
      </c>
      <c r="AF1118" s="38"/>
      <c r="AG1118" s="38"/>
      <c r="AH1118" s="38"/>
      <c r="AI1118" s="88">
        <v>34.25</v>
      </c>
      <c r="AJ1118" s="88">
        <v>-89.97</v>
      </c>
      <c r="AK1118" s="41" t="s">
        <v>200</v>
      </c>
      <c r="AL1118" s="40"/>
      <c r="AM1118" s="49">
        <v>99.0</v>
      </c>
      <c r="AN1118" s="43"/>
      <c r="AO1118" s="42" t="s">
        <v>201</v>
      </c>
      <c r="AP1118" s="43"/>
      <c r="AQ1118" s="44" t="str">
        <f t="shared" si="94"/>
        <v>GRA</v>
      </c>
      <c r="AR1118" s="44">
        <f t="shared" si="80"/>
        <v>99</v>
      </c>
      <c r="AS1118" s="44" t="str">
        <f t="shared" si="96"/>
        <v>C</v>
      </c>
      <c r="AT1118" s="44" t="s">
        <v>1797</v>
      </c>
      <c r="AU1118" s="44" t="str">
        <f t="shared" si="95"/>
        <v>Cfa</v>
      </c>
      <c r="AV1118" s="38">
        <v>1.0</v>
      </c>
      <c r="AW1118" s="38"/>
      <c r="AX1118" s="38"/>
      <c r="AY1118" s="38" t="s">
        <v>92</v>
      </c>
      <c r="AZ1118" s="29">
        <v>1000.0</v>
      </c>
      <c r="BA1118" s="29">
        <v>1.0</v>
      </c>
      <c r="BB1118" s="29">
        <v>1.0</v>
      </c>
      <c r="BC1118" s="29"/>
      <c r="BD1118" s="29" t="s">
        <v>88</v>
      </c>
      <c r="BE1118" s="29" t="s">
        <v>263</v>
      </c>
      <c r="BF1118" s="29" t="s">
        <v>1950</v>
      </c>
      <c r="BG1118" s="29" t="s">
        <v>220</v>
      </c>
      <c r="BH1118" s="29" t="s">
        <v>88</v>
      </c>
      <c r="BI1118" s="29" t="s">
        <v>1935</v>
      </c>
      <c r="BJ1118" s="29"/>
      <c r="BK1118" s="29" t="s">
        <v>148</v>
      </c>
      <c r="BL1118" s="29"/>
      <c r="BM1118" s="45"/>
      <c r="BN1118" s="45">
        <v>1.0</v>
      </c>
      <c r="BO1118" s="46" t="s">
        <v>219</v>
      </c>
      <c r="BP1118" s="2"/>
      <c r="BQ1118" s="3"/>
    </row>
    <row r="1119" ht="15.75" customHeight="1">
      <c r="A1119" s="34">
        <v>1133.0</v>
      </c>
      <c r="B1119" s="34">
        <v>101155.0</v>
      </c>
      <c r="C1119" s="34" t="s">
        <v>832</v>
      </c>
      <c r="D1119" s="34" t="s">
        <v>1930</v>
      </c>
      <c r="E1119" s="34" t="s">
        <v>1931</v>
      </c>
      <c r="F1119" s="34">
        <v>2015.0</v>
      </c>
      <c r="G1119" s="34" t="s">
        <v>1932</v>
      </c>
      <c r="H1119" s="34" t="s">
        <v>578</v>
      </c>
      <c r="I1119" s="34" t="s">
        <v>1933</v>
      </c>
      <c r="J1119" s="35"/>
      <c r="K1119" s="36">
        <v>0.2799999999999998</v>
      </c>
      <c r="L1119" s="36">
        <v>1.85</v>
      </c>
      <c r="M1119" s="36"/>
      <c r="N1119" s="36"/>
      <c r="O1119" s="36"/>
      <c r="P1119" s="52">
        <f t="shared" si="101"/>
        <v>15.13513514</v>
      </c>
      <c r="Q1119" s="36" t="s">
        <v>96</v>
      </c>
      <c r="R1119" s="36" t="s">
        <v>96</v>
      </c>
      <c r="S1119" s="36"/>
      <c r="T1119" s="36" t="s">
        <v>210</v>
      </c>
      <c r="U1119" s="36" t="s">
        <v>1945</v>
      </c>
      <c r="V1119" s="36"/>
      <c r="W1119" s="36"/>
      <c r="X1119" s="38">
        <v>1.0</v>
      </c>
      <c r="Y1119" s="38" t="s">
        <v>1946</v>
      </c>
      <c r="Z1119" s="38"/>
      <c r="AA1119" s="38" t="s">
        <v>86</v>
      </c>
      <c r="AB1119" s="87">
        <v>41.86</v>
      </c>
      <c r="AC1119" s="87">
        <v>-88.22</v>
      </c>
      <c r="AD1119" s="39" t="s">
        <v>87</v>
      </c>
      <c r="AE1119" s="87">
        <v>225.0</v>
      </c>
      <c r="AF1119" s="38"/>
      <c r="AG1119" s="38"/>
      <c r="AH1119" s="38"/>
      <c r="AI1119" s="88">
        <v>41.86</v>
      </c>
      <c r="AJ1119" s="88">
        <v>-88.22</v>
      </c>
      <c r="AK1119" s="41" t="s">
        <v>86</v>
      </c>
      <c r="AL1119" s="40"/>
      <c r="AM1119" s="49">
        <v>229.0</v>
      </c>
      <c r="AN1119" s="43"/>
      <c r="AO1119" s="42" t="s">
        <v>107</v>
      </c>
      <c r="AP1119" s="43"/>
      <c r="AQ1119" s="44" t="str">
        <f t="shared" si="94"/>
        <v>CRO</v>
      </c>
      <c r="AR1119" s="44">
        <f t="shared" si="80"/>
        <v>229</v>
      </c>
      <c r="AS1119" s="44" t="str">
        <f t="shared" si="96"/>
        <v>D</v>
      </c>
      <c r="AT1119" s="44" t="s">
        <v>1942</v>
      </c>
      <c r="AU1119" s="44" t="str">
        <f t="shared" si="95"/>
        <v>Dfb</v>
      </c>
      <c r="AV1119" s="38">
        <v>1.0</v>
      </c>
      <c r="AW1119" s="38"/>
      <c r="AX1119" s="38"/>
      <c r="AY1119" s="38" t="s">
        <v>92</v>
      </c>
      <c r="AZ1119" s="29">
        <v>1000.0</v>
      </c>
      <c r="BA1119" s="29">
        <v>1.0</v>
      </c>
      <c r="BB1119" s="29">
        <v>1.0</v>
      </c>
      <c r="BC1119" s="29"/>
      <c r="BD1119" s="29" t="s">
        <v>88</v>
      </c>
      <c r="BE1119" s="29" t="s">
        <v>263</v>
      </c>
      <c r="BF1119" s="29" t="s">
        <v>1950</v>
      </c>
      <c r="BG1119" s="29" t="s">
        <v>220</v>
      </c>
      <c r="BH1119" s="29" t="s">
        <v>88</v>
      </c>
      <c r="BI1119" s="29" t="s">
        <v>1935</v>
      </c>
      <c r="BJ1119" s="29"/>
      <c r="BK1119" s="29" t="s">
        <v>148</v>
      </c>
      <c r="BL1119" s="29"/>
      <c r="BM1119" s="45"/>
      <c r="BN1119" s="45">
        <v>1.0</v>
      </c>
      <c r="BO1119" s="46" t="s">
        <v>219</v>
      </c>
      <c r="BP1119" s="2"/>
      <c r="BQ1119" s="3"/>
    </row>
    <row r="1120" ht="15.75" customHeight="1">
      <c r="A1120" s="34">
        <v>1134.0</v>
      </c>
      <c r="B1120" s="34">
        <v>101155.0</v>
      </c>
      <c r="C1120" s="34" t="s">
        <v>832</v>
      </c>
      <c r="D1120" s="34" t="s">
        <v>1930</v>
      </c>
      <c r="E1120" s="34" t="s">
        <v>1931</v>
      </c>
      <c r="F1120" s="34">
        <v>2015.0</v>
      </c>
      <c r="G1120" s="34" t="s">
        <v>1932</v>
      </c>
      <c r="H1120" s="34" t="s">
        <v>578</v>
      </c>
      <c r="I1120" s="34" t="s">
        <v>1933</v>
      </c>
      <c r="J1120" s="35"/>
      <c r="K1120" s="36">
        <v>-1.0000000000000002</v>
      </c>
      <c r="L1120" s="36">
        <v>2.41</v>
      </c>
      <c r="M1120" s="36"/>
      <c r="N1120" s="36"/>
      <c r="O1120" s="36"/>
      <c r="P1120" s="52">
        <f t="shared" si="101"/>
        <v>-41.49377593</v>
      </c>
      <c r="Q1120" s="36" t="s">
        <v>96</v>
      </c>
      <c r="R1120" s="36" t="s">
        <v>96</v>
      </c>
      <c r="S1120" s="36"/>
      <c r="T1120" s="36" t="s">
        <v>295</v>
      </c>
      <c r="U1120" s="36" t="s">
        <v>676</v>
      </c>
      <c r="V1120" s="36"/>
      <c r="W1120" s="36"/>
      <c r="X1120" s="38">
        <v>1.0</v>
      </c>
      <c r="Y1120" s="38" t="s">
        <v>1947</v>
      </c>
      <c r="Z1120" s="38"/>
      <c r="AA1120" s="38" t="s">
        <v>288</v>
      </c>
      <c r="AB1120" s="87">
        <v>42.07</v>
      </c>
      <c r="AC1120" s="87">
        <v>-101.41</v>
      </c>
      <c r="AD1120" s="39" t="s">
        <v>87</v>
      </c>
      <c r="AE1120" s="87">
        <v>1081.0</v>
      </c>
      <c r="AF1120" s="38"/>
      <c r="AG1120" s="38"/>
      <c r="AH1120" s="38"/>
      <c r="AI1120" s="88">
        <v>42.07</v>
      </c>
      <c r="AJ1120" s="88">
        <v>-101.41</v>
      </c>
      <c r="AK1120" s="41" t="s">
        <v>288</v>
      </c>
      <c r="AL1120" s="40"/>
      <c r="AM1120" s="49">
        <v>1068.0</v>
      </c>
      <c r="AN1120" s="43"/>
      <c r="AO1120" s="42" t="s">
        <v>107</v>
      </c>
      <c r="AP1120" s="43"/>
      <c r="AQ1120" s="44" t="str">
        <f t="shared" si="94"/>
        <v>GRA</v>
      </c>
      <c r="AR1120" s="44">
        <f t="shared" si="80"/>
        <v>1068</v>
      </c>
      <c r="AS1120" s="44" t="str">
        <f t="shared" si="96"/>
        <v>D</v>
      </c>
      <c r="AT1120" s="44" t="s">
        <v>1942</v>
      </c>
      <c r="AU1120" s="44" t="str">
        <f t="shared" si="95"/>
        <v>Dfb</v>
      </c>
      <c r="AV1120" s="38">
        <v>1.0</v>
      </c>
      <c r="AW1120" s="38"/>
      <c r="AX1120" s="38"/>
      <c r="AY1120" s="38" t="s">
        <v>92</v>
      </c>
      <c r="AZ1120" s="29">
        <v>1000.0</v>
      </c>
      <c r="BA1120" s="29">
        <v>1.0</v>
      </c>
      <c r="BB1120" s="29">
        <v>1.0</v>
      </c>
      <c r="BC1120" s="29"/>
      <c r="BD1120" s="29" t="s">
        <v>88</v>
      </c>
      <c r="BE1120" s="29" t="s">
        <v>263</v>
      </c>
      <c r="BF1120" s="29" t="s">
        <v>1950</v>
      </c>
      <c r="BG1120" s="29" t="s">
        <v>220</v>
      </c>
      <c r="BH1120" s="29" t="s">
        <v>88</v>
      </c>
      <c r="BI1120" s="29" t="s">
        <v>1935</v>
      </c>
      <c r="BJ1120" s="29"/>
      <c r="BK1120" s="29" t="s">
        <v>148</v>
      </c>
      <c r="BL1120" s="29"/>
      <c r="BM1120" s="45"/>
      <c r="BN1120" s="45">
        <v>1.0</v>
      </c>
      <c r="BO1120" s="46" t="s">
        <v>219</v>
      </c>
      <c r="BP1120" s="2"/>
      <c r="BQ1120" s="3"/>
    </row>
    <row r="1121" ht="15.75" customHeight="1">
      <c r="A1121" s="34">
        <v>1135.0</v>
      </c>
      <c r="B1121" s="34">
        <v>101155.0</v>
      </c>
      <c r="C1121" s="34" t="s">
        <v>832</v>
      </c>
      <c r="D1121" s="34" t="s">
        <v>1930</v>
      </c>
      <c r="E1121" s="34" t="s">
        <v>1931</v>
      </c>
      <c r="F1121" s="34">
        <v>2015.0</v>
      </c>
      <c r="G1121" s="34" t="s">
        <v>1932</v>
      </c>
      <c r="H1121" s="34" t="s">
        <v>578</v>
      </c>
      <c r="I1121" s="34" t="s">
        <v>1933</v>
      </c>
      <c r="J1121" s="35"/>
      <c r="K1121" s="36">
        <v>-0.13</v>
      </c>
      <c r="L1121" s="36">
        <v>0.86</v>
      </c>
      <c r="M1121" s="36"/>
      <c r="N1121" s="36"/>
      <c r="O1121" s="36"/>
      <c r="P1121" s="52">
        <f t="shared" si="101"/>
        <v>-15.11627907</v>
      </c>
      <c r="Q1121" s="36" t="s">
        <v>96</v>
      </c>
      <c r="R1121" s="36" t="s">
        <v>96</v>
      </c>
      <c r="S1121" s="36"/>
      <c r="T1121" s="36" t="s">
        <v>328</v>
      </c>
      <c r="U1121" s="36" t="s">
        <v>285</v>
      </c>
      <c r="V1121" s="36"/>
      <c r="W1121" s="36"/>
      <c r="X1121" s="38">
        <v>1.0</v>
      </c>
      <c r="Y1121" s="38" t="s">
        <v>1948</v>
      </c>
      <c r="Z1121" s="38"/>
      <c r="AA1121" s="38" t="s">
        <v>288</v>
      </c>
      <c r="AB1121" s="87">
        <v>38.41</v>
      </c>
      <c r="AC1121" s="57">
        <v>-120.95</v>
      </c>
      <c r="AD1121" s="39" t="s">
        <v>87</v>
      </c>
      <c r="AE1121" s="87">
        <v>129.0</v>
      </c>
      <c r="AF1121" s="38"/>
      <c r="AG1121" s="38"/>
      <c r="AH1121" s="38"/>
      <c r="AI1121" s="88">
        <v>38.41</v>
      </c>
      <c r="AJ1121" s="88">
        <v>-120.95</v>
      </c>
      <c r="AK1121" s="41" t="s">
        <v>288</v>
      </c>
      <c r="AL1121" s="40"/>
      <c r="AM1121" s="49">
        <v>154.0</v>
      </c>
      <c r="AN1121" s="43"/>
      <c r="AO1121" s="42" t="s">
        <v>175</v>
      </c>
      <c r="AP1121" s="43"/>
      <c r="AQ1121" s="44" t="str">
        <f t="shared" si="94"/>
        <v>GRA</v>
      </c>
      <c r="AR1121" s="44">
        <f t="shared" si="80"/>
        <v>154</v>
      </c>
      <c r="AS1121" s="44" t="str">
        <f t="shared" si="96"/>
        <v>C</v>
      </c>
      <c r="AT1121" s="44" t="s">
        <v>1949</v>
      </c>
      <c r="AU1121" s="44" t="str">
        <f t="shared" si="95"/>
        <v>Csa</v>
      </c>
      <c r="AV1121" s="38">
        <v>1.0</v>
      </c>
      <c r="AW1121" s="38"/>
      <c r="AX1121" s="38"/>
      <c r="AY1121" s="38" t="s">
        <v>92</v>
      </c>
      <c r="AZ1121" s="29">
        <v>1000.0</v>
      </c>
      <c r="BA1121" s="29">
        <v>1.0</v>
      </c>
      <c r="BB1121" s="29">
        <v>1.0</v>
      </c>
      <c r="BC1121" s="29"/>
      <c r="BD1121" s="29" t="s">
        <v>88</v>
      </c>
      <c r="BE1121" s="29" t="s">
        <v>263</v>
      </c>
      <c r="BF1121" s="29" t="s">
        <v>1950</v>
      </c>
      <c r="BG1121" s="29" t="s">
        <v>220</v>
      </c>
      <c r="BH1121" s="29" t="s">
        <v>88</v>
      </c>
      <c r="BI1121" s="29" t="s">
        <v>1935</v>
      </c>
      <c r="BJ1121" s="29"/>
      <c r="BK1121" s="29" t="s">
        <v>148</v>
      </c>
      <c r="BL1121" s="29"/>
      <c r="BM1121" s="45"/>
      <c r="BN1121" s="45">
        <v>1.0</v>
      </c>
      <c r="BO1121" s="46" t="s">
        <v>219</v>
      </c>
      <c r="BP1121" s="2"/>
      <c r="BQ1121" s="3"/>
    </row>
    <row r="1122" ht="15.75" customHeight="1">
      <c r="A1122" s="34">
        <v>1136.0</v>
      </c>
      <c r="B1122" s="34">
        <v>101316.0</v>
      </c>
      <c r="C1122" s="34" t="s">
        <v>415</v>
      </c>
      <c r="D1122" s="34" t="s">
        <v>1951</v>
      </c>
      <c r="E1122" s="34" t="s">
        <v>1952</v>
      </c>
      <c r="F1122" s="34">
        <v>2015.0</v>
      </c>
      <c r="G1122" s="34" t="s">
        <v>1953</v>
      </c>
      <c r="H1122" s="34" t="s">
        <v>1954</v>
      </c>
      <c r="I1122" s="34" t="s">
        <v>1955</v>
      </c>
      <c r="J1122" s="35"/>
      <c r="K1122" s="36">
        <v>-0.18</v>
      </c>
      <c r="L1122" s="36">
        <v>2.96</v>
      </c>
      <c r="M1122" s="36"/>
      <c r="N1122" s="36"/>
      <c r="O1122" s="36"/>
      <c r="P1122" s="83">
        <f t="shared" si="101"/>
        <v>-6.081081081</v>
      </c>
      <c r="Q1122" s="36" t="s">
        <v>96</v>
      </c>
      <c r="R1122" s="36" t="s">
        <v>96</v>
      </c>
      <c r="S1122" s="36"/>
      <c r="T1122" s="36" t="s">
        <v>242</v>
      </c>
      <c r="U1122" s="36" t="s">
        <v>243</v>
      </c>
      <c r="V1122" s="36">
        <v>142.0</v>
      </c>
      <c r="W1122" s="36"/>
      <c r="X1122" s="38">
        <v>1.0</v>
      </c>
      <c r="Y1122" s="38" t="s">
        <v>1956</v>
      </c>
      <c r="Z1122" s="38"/>
      <c r="AA1122" s="38" t="s">
        <v>452</v>
      </c>
      <c r="AB1122" s="38">
        <v>37.94</v>
      </c>
      <c r="AC1122" s="38">
        <v>126.95</v>
      </c>
      <c r="AD1122" s="38" t="s">
        <v>1130</v>
      </c>
      <c r="AE1122" s="38">
        <v>293.0</v>
      </c>
      <c r="AF1122" s="38"/>
      <c r="AG1122" s="38"/>
      <c r="AH1122" s="38"/>
      <c r="AI1122" s="50">
        <v>37.94</v>
      </c>
      <c r="AJ1122" s="50">
        <v>126.95</v>
      </c>
      <c r="AK1122" s="41" t="s">
        <v>370</v>
      </c>
      <c r="AL1122" s="40"/>
      <c r="AM1122" s="49">
        <v>244.0</v>
      </c>
      <c r="AN1122" s="43"/>
      <c r="AO1122" s="42" t="s">
        <v>218</v>
      </c>
      <c r="AP1122" s="43"/>
      <c r="AQ1122" s="44" t="str">
        <f t="shared" si="94"/>
        <v>MF</v>
      </c>
      <c r="AR1122" s="44">
        <f t="shared" si="80"/>
        <v>244</v>
      </c>
      <c r="AS1122" s="44" t="str">
        <f t="shared" si="96"/>
        <v>D</v>
      </c>
      <c r="AT1122" s="44" t="s">
        <v>1820</v>
      </c>
      <c r="AU1122" s="44" t="str">
        <f t="shared" si="95"/>
        <v>Dwa</v>
      </c>
      <c r="AV1122" s="38">
        <v>1.0</v>
      </c>
      <c r="AW1122" s="38">
        <v>1.0</v>
      </c>
      <c r="AX1122" s="38"/>
      <c r="AY1122" s="38"/>
      <c r="AZ1122" s="29">
        <v>5000.0</v>
      </c>
      <c r="BA1122" s="29">
        <v>1.0</v>
      </c>
      <c r="BB1122" s="29">
        <v>1.0</v>
      </c>
      <c r="BC1122" s="29"/>
      <c r="BD1122" s="29" t="s">
        <v>88</v>
      </c>
      <c r="BE1122" s="29"/>
      <c r="BF1122" s="29" t="s">
        <v>1957</v>
      </c>
      <c r="BG1122" s="29" t="s">
        <v>220</v>
      </c>
      <c r="BH1122" s="29" t="s">
        <v>92</v>
      </c>
      <c r="BI1122" s="29" t="s">
        <v>1958</v>
      </c>
      <c r="BJ1122" s="29"/>
      <c r="BK1122" s="29" t="s">
        <v>148</v>
      </c>
      <c r="BL1122" s="29" t="s">
        <v>148</v>
      </c>
      <c r="BM1122" s="45"/>
      <c r="BN1122" s="45">
        <v>1.0</v>
      </c>
      <c r="BO1122" s="46" t="s">
        <v>1959</v>
      </c>
      <c r="BP1122" s="2"/>
      <c r="BQ1122" s="3"/>
    </row>
    <row r="1123" ht="15.75" customHeight="1">
      <c r="A1123" s="34">
        <v>1137.0</v>
      </c>
      <c r="B1123" s="34">
        <v>101316.0</v>
      </c>
      <c r="C1123" s="34" t="s">
        <v>832</v>
      </c>
      <c r="D1123" s="34" t="s">
        <v>1951</v>
      </c>
      <c r="E1123" s="34" t="s">
        <v>1952</v>
      </c>
      <c r="F1123" s="34">
        <v>2015.0</v>
      </c>
      <c r="G1123" s="34" t="s">
        <v>1953</v>
      </c>
      <c r="H1123" s="34" t="s">
        <v>1954</v>
      </c>
      <c r="I1123" s="34" t="s">
        <v>1955</v>
      </c>
      <c r="J1123" s="35"/>
      <c r="K1123" s="36">
        <v>-0.03</v>
      </c>
      <c r="L1123" s="36">
        <v>4.42</v>
      </c>
      <c r="M1123" s="36"/>
      <c r="N1123" s="36"/>
      <c r="O1123" s="36"/>
      <c r="P1123" s="83">
        <f t="shared" si="101"/>
        <v>-0.6787330317</v>
      </c>
      <c r="Q1123" s="36" t="s">
        <v>96</v>
      </c>
      <c r="R1123" s="36" t="s">
        <v>96</v>
      </c>
      <c r="S1123" s="36"/>
      <c r="T1123" s="36" t="s">
        <v>242</v>
      </c>
      <c r="U1123" s="36" t="s">
        <v>243</v>
      </c>
      <c r="V1123" s="36">
        <v>142.0</v>
      </c>
      <c r="W1123" s="36"/>
      <c r="X1123" s="38">
        <v>1.0</v>
      </c>
      <c r="Y1123" s="38" t="s">
        <v>1956</v>
      </c>
      <c r="Z1123" s="38"/>
      <c r="AA1123" s="38" t="s">
        <v>452</v>
      </c>
      <c r="AB1123" s="38">
        <v>37.94</v>
      </c>
      <c r="AC1123" s="38">
        <v>126.95</v>
      </c>
      <c r="AD1123" s="38" t="s">
        <v>1130</v>
      </c>
      <c r="AE1123" s="38">
        <v>293.0</v>
      </c>
      <c r="AF1123" s="38"/>
      <c r="AG1123" s="38"/>
      <c r="AH1123" s="38"/>
      <c r="AI1123" s="50">
        <v>37.94</v>
      </c>
      <c r="AJ1123" s="50">
        <v>126.95</v>
      </c>
      <c r="AK1123" s="41" t="s">
        <v>370</v>
      </c>
      <c r="AL1123" s="40"/>
      <c r="AM1123" s="49">
        <v>244.0</v>
      </c>
      <c r="AN1123" s="43"/>
      <c r="AO1123" s="42" t="s">
        <v>218</v>
      </c>
      <c r="AP1123" s="43"/>
      <c r="AQ1123" s="44" t="str">
        <f t="shared" si="94"/>
        <v>MF</v>
      </c>
      <c r="AR1123" s="44">
        <f t="shared" si="80"/>
        <v>244</v>
      </c>
      <c r="AS1123" s="44" t="str">
        <f t="shared" si="96"/>
        <v>D</v>
      </c>
      <c r="AT1123" s="44" t="s">
        <v>1820</v>
      </c>
      <c r="AU1123" s="44" t="str">
        <f t="shared" si="95"/>
        <v>Dwa</v>
      </c>
      <c r="AV1123" s="38">
        <v>3.0</v>
      </c>
      <c r="AW1123" s="38">
        <v>1.0</v>
      </c>
      <c r="AX1123" s="38"/>
      <c r="AY1123" s="38"/>
      <c r="AZ1123" s="29">
        <v>5000.0</v>
      </c>
      <c r="BA1123" s="29">
        <v>1.0</v>
      </c>
      <c r="BB1123" s="29">
        <v>1.0</v>
      </c>
      <c r="BC1123" s="29"/>
      <c r="BD1123" s="29" t="s">
        <v>88</v>
      </c>
      <c r="BE1123" s="29"/>
      <c r="BF1123" s="29" t="s">
        <v>1957</v>
      </c>
      <c r="BG1123" s="29" t="s">
        <v>220</v>
      </c>
      <c r="BH1123" s="29" t="s">
        <v>92</v>
      </c>
      <c r="BI1123" s="29" t="s">
        <v>1960</v>
      </c>
      <c r="BJ1123" s="29"/>
      <c r="BK1123" s="29" t="s">
        <v>148</v>
      </c>
      <c r="BL1123" s="29" t="s">
        <v>148</v>
      </c>
      <c r="BM1123" s="45"/>
      <c r="BN1123" s="45">
        <v>1.0</v>
      </c>
      <c r="BO1123" s="46" t="s">
        <v>1959</v>
      </c>
      <c r="BP1123" s="2"/>
      <c r="BQ1123" s="3"/>
    </row>
    <row r="1124" ht="15.75" customHeight="1">
      <c r="A1124" s="34">
        <v>1138.0</v>
      </c>
      <c r="B1124" s="34">
        <v>101316.0</v>
      </c>
      <c r="C1124" s="34" t="s">
        <v>832</v>
      </c>
      <c r="D1124" s="34" t="s">
        <v>1951</v>
      </c>
      <c r="E1124" s="34" t="s">
        <v>1952</v>
      </c>
      <c r="F1124" s="34">
        <v>2015.0</v>
      </c>
      <c r="G1124" s="34" t="s">
        <v>1953</v>
      </c>
      <c r="H1124" s="34" t="s">
        <v>1954</v>
      </c>
      <c r="I1124" s="34" t="s">
        <v>1955</v>
      </c>
      <c r="J1124" s="35"/>
      <c r="K1124" s="36">
        <v>-0.14</v>
      </c>
      <c r="L1124" s="36">
        <v>4.69</v>
      </c>
      <c r="M1124" s="36"/>
      <c r="N1124" s="36"/>
      <c r="O1124" s="36"/>
      <c r="P1124" s="83">
        <f t="shared" si="101"/>
        <v>-2.985074627</v>
      </c>
      <c r="Q1124" s="36" t="s">
        <v>96</v>
      </c>
      <c r="R1124" s="36" t="s">
        <v>96</v>
      </c>
      <c r="S1124" s="36"/>
      <c r="T1124" s="36" t="s">
        <v>242</v>
      </c>
      <c r="U1124" s="36" t="s">
        <v>243</v>
      </c>
      <c r="V1124" s="36">
        <v>128.0</v>
      </c>
      <c r="W1124" s="36"/>
      <c r="X1124" s="38">
        <v>1.0</v>
      </c>
      <c r="Y1124" s="38" t="s">
        <v>1961</v>
      </c>
      <c r="Z1124" s="38"/>
      <c r="AA1124" s="38" t="s">
        <v>86</v>
      </c>
      <c r="AB1124" s="38">
        <v>37.16</v>
      </c>
      <c r="AC1124" s="38">
        <v>126.65</v>
      </c>
      <c r="AD1124" s="38" t="s">
        <v>1130</v>
      </c>
      <c r="AE1124" s="38">
        <v>141.0</v>
      </c>
      <c r="AF1124" s="38" t="s">
        <v>1962</v>
      </c>
      <c r="AG1124" s="38"/>
      <c r="AH1124" s="38"/>
      <c r="AI1124" s="50">
        <v>37.16</v>
      </c>
      <c r="AJ1124" s="50">
        <v>126.65</v>
      </c>
      <c r="AK1124" s="41" t="s">
        <v>86</v>
      </c>
      <c r="AL1124" s="40" t="s">
        <v>86</v>
      </c>
      <c r="AM1124" s="49">
        <v>65.0</v>
      </c>
      <c r="AN1124" s="51">
        <v>65.0</v>
      </c>
      <c r="AO1124" s="42" t="s">
        <v>218</v>
      </c>
      <c r="AP1124" s="43" t="s">
        <v>218</v>
      </c>
      <c r="AQ1124" s="44" t="str">
        <f t="shared" si="94"/>
        <v>CRO</v>
      </c>
      <c r="AR1124" s="44">
        <f t="shared" si="80"/>
        <v>65</v>
      </c>
      <c r="AS1124" s="44" t="str">
        <f t="shared" si="96"/>
        <v>D</v>
      </c>
      <c r="AT1124" s="44" t="str">
        <f t="shared" ref="AT1124:AT1140" si="102">LEFT(AP1124,2)</f>
        <v>Dw</v>
      </c>
      <c r="AU1124" s="44" t="str">
        <f t="shared" ref="AU1124:AU1140" si="103">AP1124</f>
        <v>Dwa</v>
      </c>
      <c r="AV1124" s="38">
        <v>1.0</v>
      </c>
      <c r="AW1124" s="38">
        <v>1.0</v>
      </c>
      <c r="AX1124" s="38"/>
      <c r="AY1124" s="38"/>
      <c r="AZ1124" s="29">
        <v>5000.0</v>
      </c>
      <c r="BA1124" s="29">
        <v>1.0</v>
      </c>
      <c r="BB1124" s="29">
        <v>1.0</v>
      </c>
      <c r="BC1124" s="29"/>
      <c r="BD1124" s="29" t="s">
        <v>88</v>
      </c>
      <c r="BE1124" s="29"/>
      <c r="BF1124" s="29" t="s">
        <v>1957</v>
      </c>
      <c r="BG1124" s="29" t="s">
        <v>220</v>
      </c>
      <c r="BH1124" s="29" t="s">
        <v>92</v>
      </c>
      <c r="BI1124" s="29" t="s">
        <v>1963</v>
      </c>
      <c r="BJ1124" s="29"/>
      <c r="BK1124" s="29" t="s">
        <v>148</v>
      </c>
      <c r="BL1124" s="29" t="s">
        <v>148</v>
      </c>
      <c r="BM1124" s="45"/>
      <c r="BN1124" s="45">
        <v>1.0</v>
      </c>
      <c r="BO1124" s="46" t="s">
        <v>1959</v>
      </c>
      <c r="BP1124" s="2"/>
      <c r="BQ1124" s="3"/>
    </row>
    <row r="1125" ht="15.75" customHeight="1">
      <c r="A1125" s="34">
        <v>1139.0</v>
      </c>
      <c r="B1125" s="34">
        <v>101316.0</v>
      </c>
      <c r="C1125" s="34" t="s">
        <v>832</v>
      </c>
      <c r="D1125" s="34" t="s">
        <v>1951</v>
      </c>
      <c r="E1125" s="34" t="s">
        <v>1952</v>
      </c>
      <c r="F1125" s="34">
        <v>2015.0</v>
      </c>
      <c r="G1125" s="34" t="s">
        <v>1953</v>
      </c>
      <c r="H1125" s="34" t="s">
        <v>1954</v>
      </c>
      <c r="I1125" s="34" t="s">
        <v>1955</v>
      </c>
      <c r="J1125" s="35"/>
      <c r="K1125" s="36">
        <v>0.01</v>
      </c>
      <c r="L1125" s="36">
        <v>4.94</v>
      </c>
      <c r="M1125" s="36"/>
      <c r="N1125" s="36"/>
      <c r="O1125" s="36"/>
      <c r="P1125" s="83">
        <f t="shared" si="101"/>
        <v>0.2024291498</v>
      </c>
      <c r="Q1125" s="36" t="s">
        <v>96</v>
      </c>
      <c r="R1125" s="36" t="s">
        <v>96</v>
      </c>
      <c r="S1125" s="36"/>
      <c r="T1125" s="36" t="s">
        <v>242</v>
      </c>
      <c r="U1125" s="36" t="s">
        <v>243</v>
      </c>
      <c r="V1125" s="36">
        <v>128.0</v>
      </c>
      <c r="W1125" s="36"/>
      <c r="X1125" s="38">
        <v>1.0</v>
      </c>
      <c r="Y1125" s="38" t="s">
        <v>1961</v>
      </c>
      <c r="Z1125" s="38"/>
      <c r="AA1125" s="38" t="s">
        <v>86</v>
      </c>
      <c r="AB1125" s="38">
        <v>37.16</v>
      </c>
      <c r="AC1125" s="38">
        <v>126.65</v>
      </c>
      <c r="AD1125" s="38" t="s">
        <v>1130</v>
      </c>
      <c r="AE1125" s="38">
        <v>141.0</v>
      </c>
      <c r="AF1125" s="38" t="s">
        <v>1962</v>
      </c>
      <c r="AG1125" s="38"/>
      <c r="AH1125" s="38"/>
      <c r="AI1125" s="50">
        <v>37.16</v>
      </c>
      <c r="AJ1125" s="50">
        <v>126.65</v>
      </c>
      <c r="AK1125" s="41" t="s">
        <v>86</v>
      </c>
      <c r="AL1125" s="40" t="s">
        <v>86</v>
      </c>
      <c r="AM1125" s="49">
        <v>65.0</v>
      </c>
      <c r="AN1125" s="51">
        <v>65.0</v>
      </c>
      <c r="AO1125" s="42" t="s">
        <v>218</v>
      </c>
      <c r="AP1125" s="43" t="s">
        <v>218</v>
      </c>
      <c r="AQ1125" s="44" t="str">
        <f t="shared" si="94"/>
        <v>CRO</v>
      </c>
      <c r="AR1125" s="44">
        <f t="shared" si="80"/>
        <v>65</v>
      </c>
      <c r="AS1125" s="44" t="str">
        <f t="shared" si="96"/>
        <v>D</v>
      </c>
      <c r="AT1125" s="44" t="str">
        <f t="shared" si="102"/>
        <v>Dw</v>
      </c>
      <c r="AU1125" s="44" t="str">
        <f t="shared" si="103"/>
        <v>Dwa</v>
      </c>
      <c r="AV1125" s="38">
        <v>3.0</v>
      </c>
      <c r="AW1125" s="38">
        <v>1.0</v>
      </c>
      <c r="AX1125" s="38"/>
      <c r="AY1125" s="38"/>
      <c r="AZ1125" s="29">
        <v>5000.0</v>
      </c>
      <c r="BA1125" s="29">
        <v>1.0</v>
      </c>
      <c r="BB1125" s="29">
        <v>1.0</v>
      </c>
      <c r="BC1125" s="29"/>
      <c r="BD1125" s="29" t="s">
        <v>88</v>
      </c>
      <c r="BE1125" s="29"/>
      <c r="BF1125" s="29" t="s">
        <v>1957</v>
      </c>
      <c r="BG1125" s="29" t="s">
        <v>220</v>
      </c>
      <c r="BH1125" s="29" t="s">
        <v>92</v>
      </c>
      <c r="BI1125" s="29" t="s">
        <v>1964</v>
      </c>
      <c r="BJ1125" s="29"/>
      <c r="BK1125" s="29" t="s">
        <v>148</v>
      </c>
      <c r="BL1125" s="29" t="s">
        <v>148</v>
      </c>
      <c r="BM1125" s="45"/>
      <c r="BN1125" s="45">
        <v>1.0</v>
      </c>
      <c r="BO1125" s="46" t="s">
        <v>1959</v>
      </c>
      <c r="BP1125" s="2"/>
      <c r="BQ1125" s="3"/>
    </row>
    <row r="1126" ht="15.75" customHeight="1">
      <c r="A1126" s="34">
        <v>1140.0</v>
      </c>
      <c r="B1126" s="34">
        <v>101228.0</v>
      </c>
      <c r="C1126" s="34" t="s">
        <v>832</v>
      </c>
      <c r="D1126" s="34" t="s">
        <v>1965</v>
      </c>
      <c r="E1126" s="34" t="s">
        <v>1966</v>
      </c>
      <c r="F1126" s="34">
        <v>2015.0</v>
      </c>
      <c r="G1126" s="34" t="s">
        <v>1967</v>
      </c>
      <c r="H1126" s="34" t="s">
        <v>673</v>
      </c>
      <c r="I1126" s="34" t="s">
        <v>1968</v>
      </c>
      <c r="J1126" s="35"/>
      <c r="K1126" s="48">
        <v>-0.75</v>
      </c>
      <c r="L1126" s="36"/>
      <c r="M1126" s="36"/>
      <c r="N1126" s="36"/>
      <c r="O1126" s="36"/>
      <c r="P1126" s="37">
        <v>-37.0</v>
      </c>
      <c r="Q1126" s="36" t="s">
        <v>96</v>
      </c>
      <c r="R1126" s="36" t="s">
        <v>209</v>
      </c>
      <c r="S1126" s="36">
        <v>1000.0</v>
      </c>
      <c r="T1126" s="36" t="s">
        <v>1969</v>
      </c>
      <c r="U1126" s="36" t="s">
        <v>234</v>
      </c>
      <c r="V1126" s="36"/>
      <c r="W1126" s="36"/>
      <c r="X1126" s="38">
        <v>1.0</v>
      </c>
      <c r="Y1126" s="38" t="s">
        <v>497</v>
      </c>
      <c r="Z1126" s="38" t="s">
        <v>615</v>
      </c>
      <c r="AA1126" s="38" t="s">
        <v>86</v>
      </c>
      <c r="AB1126" s="89">
        <v>36.8291</v>
      </c>
      <c r="AC1126" s="89">
        <v>116.5703</v>
      </c>
      <c r="AD1126" s="38" t="s">
        <v>198</v>
      </c>
      <c r="AE1126" s="38">
        <v>28.0</v>
      </c>
      <c r="AF1126" s="38" t="s">
        <v>1970</v>
      </c>
      <c r="AG1126" s="38"/>
      <c r="AH1126" s="38">
        <v>2.9</v>
      </c>
      <c r="AI1126" s="91">
        <v>36.8291</v>
      </c>
      <c r="AJ1126" s="91">
        <v>116.5703</v>
      </c>
      <c r="AK1126" s="41" t="s">
        <v>86</v>
      </c>
      <c r="AL1126" s="40" t="s">
        <v>86</v>
      </c>
      <c r="AM1126" s="49">
        <v>26.0</v>
      </c>
      <c r="AN1126" s="51">
        <v>26.0</v>
      </c>
      <c r="AO1126" s="42" t="s">
        <v>218</v>
      </c>
      <c r="AP1126" s="43" t="s">
        <v>218</v>
      </c>
      <c r="AQ1126" s="44" t="str">
        <f t="shared" si="94"/>
        <v>CRO</v>
      </c>
      <c r="AR1126" s="44">
        <v>28.0</v>
      </c>
      <c r="AS1126" s="44" t="str">
        <f t="shared" si="96"/>
        <v>D</v>
      </c>
      <c r="AT1126" s="44" t="str">
        <f t="shared" si="102"/>
        <v>Dw</v>
      </c>
      <c r="AU1126" s="44" t="str">
        <f t="shared" si="103"/>
        <v>Dwa</v>
      </c>
      <c r="AV1126" s="38">
        <v>1.0</v>
      </c>
      <c r="AW1126" s="38"/>
      <c r="AX1126" s="38" t="s">
        <v>1971</v>
      </c>
      <c r="AY1126" s="38" t="s">
        <v>92</v>
      </c>
      <c r="AZ1126" s="29">
        <v>1000.0</v>
      </c>
      <c r="BA1126" s="29">
        <v>1.0</v>
      </c>
      <c r="BB1126" s="29">
        <v>2.0</v>
      </c>
      <c r="BC1126" s="29" t="s">
        <v>219</v>
      </c>
      <c r="BD1126" s="29" t="s">
        <v>88</v>
      </c>
      <c r="BE1126" s="29"/>
      <c r="BF1126" s="29" t="s">
        <v>1589</v>
      </c>
      <c r="BG1126" s="29" t="s">
        <v>220</v>
      </c>
      <c r="BH1126" s="29" t="s">
        <v>92</v>
      </c>
      <c r="BI1126" s="29"/>
      <c r="BJ1126" s="29"/>
      <c r="BK1126" s="29"/>
      <c r="BL1126" s="29"/>
      <c r="BM1126" s="45"/>
      <c r="BN1126" s="45">
        <v>1.0</v>
      </c>
      <c r="BO1126" s="46" t="s">
        <v>219</v>
      </c>
      <c r="BP1126" s="2"/>
      <c r="BQ1126" s="3"/>
    </row>
    <row r="1127" ht="15.75" customHeight="1">
      <c r="A1127" s="34">
        <v>1141.0</v>
      </c>
      <c r="B1127" s="34">
        <v>101228.0</v>
      </c>
      <c r="C1127" s="34" t="s">
        <v>832</v>
      </c>
      <c r="D1127" s="34" t="s">
        <v>1965</v>
      </c>
      <c r="E1127" s="34" t="s">
        <v>1966</v>
      </c>
      <c r="F1127" s="34">
        <v>2015.0</v>
      </c>
      <c r="G1127" s="34" t="s">
        <v>1967</v>
      </c>
      <c r="H1127" s="34" t="s">
        <v>673</v>
      </c>
      <c r="I1127" s="34" t="s">
        <v>1968</v>
      </c>
      <c r="J1127" s="35"/>
      <c r="K1127" s="48">
        <v>-0.7875</v>
      </c>
      <c r="L1127" s="36"/>
      <c r="M1127" s="36"/>
      <c r="N1127" s="36"/>
      <c r="O1127" s="36"/>
      <c r="P1127" s="37">
        <v>-47.0</v>
      </c>
      <c r="Q1127" s="36" t="s">
        <v>96</v>
      </c>
      <c r="R1127" s="36" t="s">
        <v>209</v>
      </c>
      <c r="S1127" s="36">
        <v>1000.0</v>
      </c>
      <c r="T1127" s="36" t="s">
        <v>506</v>
      </c>
      <c r="U1127" s="36" t="s">
        <v>507</v>
      </c>
      <c r="V1127" s="36"/>
      <c r="W1127" s="36"/>
      <c r="X1127" s="38">
        <v>1.0</v>
      </c>
      <c r="Y1127" s="38" t="s">
        <v>820</v>
      </c>
      <c r="Z1127" s="38" t="s">
        <v>1163</v>
      </c>
      <c r="AA1127" s="38" t="s">
        <v>86</v>
      </c>
      <c r="AB1127" s="89">
        <v>36.515</v>
      </c>
      <c r="AC1127" s="89">
        <v>115.1274</v>
      </c>
      <c r="AD1127" s="38" t="s">
        <v>198</v>
      </c>
      <c r="AE1127" s="38">
        <v>30.0</v>
      </c>
      <c r="AF1127" s="38" t="s">
        <v>1972</v>
      </c>
      <c r="AG1127" s="38"/>
      <c r="AH1127" s="38">
        <v>15.6</v>
      </c>
      <c r="AI1127" s="91">
        <v>36.515</v>
      </c>
      <c r="AJ1127" s="91">
        <v>115.1274</v>
      </c>
      <c r="AK1127" s="41" t="s">
        <v>86</v>
      </c>
      <c r="AL1127" s="40" t="s">
        <v>86</v>
      </c>
      <c r="AM1127" s="49">
        <v>42.0</v>
      </c>
      <c r="AN1127" s="51">
        <v>42.0</v>
      </c>
      <c r="AO1127" s="42" t="s">
        <v>293</v>
      </c>
      <c r="AP1127" s="43" t="s">
        <v>293</v>
      </c>
      <c r="AQ1127" s="44" t="str">
        <f t="shared" si="94"/>
        <v>CRO</v>
      </c>
      <c r="AR1127" s="44">
        <v>30.0</v>
      </c>
      <c r="AS1127" s="44" t="str">
        <f t="shared" si="96"/>
        <v>B</v>
      </c>
      <c r="AT1127" s="44" t="str">
        <f t="shared" si="102"/>
        <v>BS</v>
      </c>
      <c r="AU1127" s="44" t="str">
        <f t="shared" si="103"/>
        <v>BSk</v>
      </c>
      <c r="AV1127" s="38">
        <v>1.0</v>
      </c>
      <c r="AW1127" s="38"/>
      <c r="AX1127" s="38" t="s">
        <v>1973</v>
      </c>
      <c r="AY1127" s="38" t="s">
        <v>92</v>
      </c>
      <c r="AZ1127" s="29">
        <v>1000.0</v>
      </c>
      <c r="BA1127" s="29">
        <v>1.0</v>
      </c>
      <c r="BB1127" s="29">
        <v>2.0</v>
      </c>
      <c r="BC1127" s="29" t="s">
        <v>219</v>
      </c>
      <c r="BD1127" s="29" t="s">
        <v>88</v>
      </c>
      <c r="BE1127" s="29"/>
      <c r="BF1127" s="29" t="s">
        <v>1589</v>
      </c>
      <c r="BG1127" s="29" t="s">
        <v>220</v>
      </c>
      <c r="BH1127" s="29" t="s">
        <v>92</v>
      </c>
      <c r="BI1127" s="29"/>
      <c r="BJ1127" s="29"/>
      <c r="BK1127" s="29"/>
      <c r="BL1127" s="29"/>
      <c r="BM1127" s="45"/>
      <c r="BN1127" s="45"/>
      <c r="BO1127" s="46"/>
      <c r="BP1127" s="2"/>
      <c r="BQ1127" s="3"/>
    </row>
    <row r="1128" ht="15.75" customHeight="1">
      <c r="A1128" s="34">
        <v>1142.0</v>
      </c>
      <c r="B1128" s="34">
        <v>101228.0</v>
      </c>
      <c r="C1128" s="34" t="s">
        <v>832</v>
      </c>
      <c r="D1128" s="34" t="s">
        <v>1965</v>
      </c>
      <c r="E1128" s="34" t="s">
        <v>1966</v>
      </c>
      <c r="F1128" s="34">
        <v>2015.0</v>
      </c>
      <c r="G1128" s="34" t="s">
        <v>1967</v>
      </c>
      <c r="H1128" s="34" t="s">
        <v>673</v>
      </c>
      <c r="I1128" s="34" t="s">
        <v>1968</v>
      </c>
      <c r="J1128" s="35"/>
      <c r="K1128" s="48">
        <v>-0.875</v>
      </c>
      <c r="L1128" s="36"/>
      <c r="M1128" s="36"/>
      <c r="N1128" s="36"/>
      <c r="O1128" s="36"/>
      <c r="P1128" s="37">
        <v>-43.0</v>
      </c>
      <c r="Q1128" s="36" t="s">
        <v>96</v>
      </c>
      <c r="R1128" s="36" t="s">
        <v>209</v>
      </c>
      <c r="S1128" s="36">
        <v>1000.0</v>
      </c>
      <c r="T1128" s="36" t="s">
        <v>506</v>
      </c>
      <c r="U1128" s="36" t="s">
        <v>1974</v>
      </c>
      <c r="V1128" s="36"/>
      <c r="W1128" s="36"/>
      <c r="X1128" s="38">
        <v>1.0</v>
      </c>
      <c r="Y1128" s="38" t="s">
        <v>1152</v>
      </c>
      <c r="Z1128" s="38" t="s">
        <v>1152</v>
      </c>
      <c r="AA1128" s="38" t="s">
        <v>86</v>
      </c>
      <c r="AB1128" s="89">
        <v>39.6213</v>
      </c>
      <c r="AC1128" s="89">
        <v>116.4271</v>
      </c>
      <c r="AD1128" s="38" t="s">
        <v>198</v>
      </c>
      <c r="AE1128" s="38">
        <v>20.0</v>
      </c>
      <c r="AF1128" s="38" t="s">
        <v>1975</v>
      </c>
      <c r="AG1128" s="38"/>
      <c r="AH1128" s="38">
        <v>3.0</v>
      </c>
      <c r="AI1128" s="91">
        <v>39.6213</v>
      </c>
      <c r="AJ1128" s="91">
        <v>116.4271</v>
      </c>
      <c r="AK1128" s="41" t="s">
        <v>86</v>
      </c>
      <c r="AL1128" s="40" t="s">
        <v>86</v>
      </c>
      <c r="AM1128" s="49">
        <v>34.0</v>
      </c>
      <c r="AN1128" s="51">
        <v>34.0</v>
      </c>
      <c r="AO1128" s="42" t="s">
        <v>293</v>
      </c>
      <c r="AP1128" s="43" t="s">
        <v>293</v>
      </c>
      <c r="AQ1128" s="44" t="str">
        <f t="shared" si="94"/>
        <v>CRO</v>
      </c>
      <c r="AR1128" s="44">
        <v>20.0</v>
      </c>
      <c r="AS1128" s="44" t="str">
        <f t="shared" si="96"/>
        <v>B</v>
      </c>
      <c r="AT1128" s="44" t="str">
        <f t="shared" si="102"/>
        <v>BS</v>
      </c>
      <c r="AU1128" s="44" t="str">
        <f t="shared" si="103"/>
        <v>BSk</v>
      </c>
      <c r="AV1128" s="38">
        <v>1.0</v>
      </c>
      <c r="AW1128" s="38"/>
      <c r="AX1128" s="38" t="s">
        <v>1976</v>
      </c>
      <c r="AY1128" s="38" t="s">
        <v>92</v>
      </c>
      <c r="AZ1128" s="29">
        <v>1000.0</v>
      </c>
      <c r="BA1128" s="29">
        <v>1.0</v>
      </c>
      <c r="BB1128" s="29">
        <v>2.0</v>
      </c>
      <c r="BC1128" s="29" t="s">
        <v>219</v>
      </c>
      <c r="BD1128" s="29" t="s">
        <v>88</v>
      </c>
      <c r="BE1128" s="29"/>
      <c r="BF1128" s="29" t="s">
        <v>1589</v>
      </c>
      <c r="BG1128" s="29" t="s">
        <v>220</v>
      </c>
      <c r="BH1128" s="29" t="s">
        <v>92</v>
      </c>
      <c r="BI1128" s="29"/>
      <c r="BJ1128" s="29"/>
      <c r="BK1128" s="29"/>
      <c r="BL1128" s="29"/>
      <c r="BM1128" s="45"/>
      <c r="BN1128" s="45"/>
      <c r="BO1128" s="46"/>
      <c r="BP1128" s="2"/>
      <c r="BQ1128" s="3"/>
    </row>
    <row r="1129" ht="15.75" customHeight="1">
      <c r="A1129" s="34">
        <v>1143.0</v>
      </c>
      <c r="B1129" s="34">
        <v>101228.0</v>
      </c>
      <c r="C1129" s="34" t="s">
        <v>832</v>
      </c>
      <c r="D1129" s="34" t="s">
        <v>1965</v>
      </c>
      <c r="E1129" s="34" t="s">
        <v>1966</v>
      </c>
      <c r="F1129" s="34">
        <v>2015.0</v>
      </c>
      <c r="G1129" s="34" t="s">
        <v>1967</v>
      </c>
      <c r="H1129" s="34" t="s">
        <v>673</v>
      </c>
      <c r="I1129" s="34" t="s">
        <v>1968</v>
      </c>
      <c r="J1129" s="35"/>
      <c r="K1129" s="48">
        <v>-0.075</v>
      </c>
      <c r="L1129" s="36"/>
      <c r="M1129" s="36"/>
      <c r="N1129" s="36"/>
      <c r="O1129" s="36"/>
      <c r="P1129" s="37">
        <v>-5.0</v>
      </c>
      <c r="Q1129" s="36" t="s">
        <v>96</v>
      </c>
      <c r="R1129" s="36" t="s">
        <v>209</v>
      </c>
      <c r="S1129" s="36">
        <v>1000.0</v>
      </c>
      <c r="T1129" s="36" t="s">
        <v>506</v>
      </c>
      <c r="U1129" s="36" t="s">
        <v>507</v>
      </c>
      <c r="V1129" s="36"/>
      <c r="W1129" s="36"/>
      <c r="X1129" s="38">
        <v>1.0</v>
      </c>
      <c r="Y1129" s="38" t="s">
        <v>828</v>
      </c>
      <c r="Z1129" s="38" t="s">
        <v>828</v>
      </c>
      <c r="AA1129" s="38" t="s">
        <v>86</v>
      </c>
      <c r="AB1129" s="89">
        <v>40.6308</v>
      </c>
      <c r="AC1129" s="89">
        <v>117.3233</v>
      </c>
      <c r="AD1129" s="38" t="s">
        <v>198</v>
      </c>
      <c r="AE1129" s="38">
        <v>350.0</v>
      </c>
      <c r="AF1129" s="38" t="s">
        <v>1977</v>
      </c>
      <c r="AG1129" s="38"/>
      <c r="AH1129" s="38">
        <v>26.66</v>
      </c>
      <c r="AI1129" s="91">
        <v>40.6308</v>
      </c>
      <c r="AJ1129" s="91">
        <v>117.3233</v>
      </c>
      <c r="AK1129" s="41" t="s">
        <v>288</v>
      </c>
      <c r="AL1129" s="40" t="s">
        <v>288</v>
      </c>
      <c r="AM1129" s="49">
        <v>364.0</v>
      </c>
      <c r="AN1129" s="51">
        <v>364.0</v>
      </c>
      <c r="AO1129" s="42" t="s">
        <v>218</v>
      </c>
      <c r="AP1129" s="43" t="s">
        <v>218</v>
      </c>
      <c r="AQ1129" s="44" t="str">
        <f t="shared" si="94"/>
        <v>CRO</v>
      </c>
      <c r="AR1129" s="44">
        <v>350.0</v>
      </c>
      <c r="AS1129" s="44" t="str">
        <f t="shared" si="96"/>
        <v>D</v>
      </c>
      <c r="AT1129" s="44" t="str">
        <f t="shared" si="102"/>
        <v>Dw</v>
      </c>
      <c r="AU1129" s="44" t="str">
        <f t="shared" si="103"/>
        <v>Dwa</v>
      </c>
      <c r="AV1129" s="38">
        <v>1.0</v>
      </c>
      <c r="AW1129" s="38"/>
      <c r="AX1129" s="38" t="s">
        <v>1978</v>
      </c>
      <c r="AY1129" s="38" t="s">
        <v>92</v>
      </c>
      <c r="AZ1129" s="29">
        <v>1000.0</v>
      </c>
      <c r="BA1129" s="29">
        <v>1.0</v>
      </c>
      <c r="BB1129" s="29">
        <v>2.0</v>
      </c>
      <c r="BC1129" s="29" t="s">
        <v>219</v>
      </c>
      <c r="BD1129" s="29" t="s">
        <v>88</v>
      </c>
      <c r="BE1129" s="29"/>
      <c r="BF1129" s="29" t="s">
        <v>1589</v>
      </c>
      <c r="BG1129" s="29" t="s">
        <v>220</v>
      </c>
      <c r="BH1129" s="29" t="s">
        <v>92</v>
      </c>
      <c r="BI1129" s="29"/>
      <c r="BJ1129" s="29"/>
      <c r="BK1129" s="29"/>
      <c r="BL1129" s="29"/>
      <c r="BM1129" s="45"/>
      <c r="BN1129" s="45"/>
      <c r="BO1129" s="46"/>
      <c r="BP1129" s="2"/>
      <c r="BQ1129" s="3"/>
    </row>
    <row r="1130" ht="15.75" customHeight="1">
      <c r="A1130" s="34">
        <v>1144.0</v>
      </c>
      <c r="B1130" s="34">
        <v>101228.0</v>
      </c>
      <c r="C1130" s="34" t="s">
        <v>832</v>
      </c>
      <c r="D1130" s="34" t="s">
        <v>1965</v>
      </c>
      <c r="E1130" s="34" t="s">
        <v>1966</v>
      </c>
      <c r="F1130" s="34">
        <v>2015.0</v>
      </c>
      <c r="G1130" s="34" t="s">
        <v>1967</v>
      </c>
      <c r="H1130" s="34" t="s">
        <v>673</v>
      </c>
      <c r="I1130" s="34" t="s">
        <v>1968</v>
      </c>
      <c r="J1130" s="35"/>
      <c r="K1130" s="48">
        <v>-0.125</v>
      </c>
      <c r="L1130" s="36"/>
      <c r="M1130" s="36"/>
      <c r="N1130" s="36"/>
      <c r="O1130" s="36"/>
      <c r="P1130" s="37">
        <v>-9.0</v>
      </c>
      <c r="Q1130" s="36" t="s">
        <v>96</v>
      </c>
      <c r="R1130" s="36" t="s">
        <v>209</v>
      </c>
      <c r="S1130" s="36">
        <v>1000.0</v>
      </c>
      <c r="T1130" s="36" t="s">
        <v>1979</v>
      </c>
      <c r="U1130" s="36" t="s">
        <v>234</v>
      </c>
      <c r="V1130" s="36"/>
      <c r="W1130" s="36"/>
      <c r="X1130" s="38">
        <v>1.0</v>
      </c>
      <c r="Y1130" s="38" t="s">
        <v>1256</v>
      </c>
      <c r="Z1130" s="38" t="s">
        <v>1256</v>
      </c>
      <c r="AA1130" s="38" t="s">
        <v>288</v>
      </c>
      <c r="AB1130" s="89">
        <v>38.0444</v>
      </c>
      <c r="AC1130" s="89">
        <v>100.4547</v>
      </c>
      <c r="AD1130" s="38" t="s">
        <v>198</v>
      </c>
      <c r="AE1130" s="38">
        <v>3033.0</v>
      </c>
      <c r="AF1130" s="38" t="s">
        <v>1980</v>
      </c>
      <c r="AG1130" s="38"/>
      <c r="AH1130" s="38">
        <v>3.15</v>
      </c>
      <c r="AI1130" s="91">
        <v>38.0444</v>
      </c>
      <c r="AJ1130" s="91">
        <v>100.4547</v>
      </c>
      <c r="AK1130" s="41" t="s">
        <v>288</v>
      </c>
      <c r="AL1130" s="40" t="s">
        <v>288</v>
      </c>
      <c r="AM1130" s="49">
        <v>3028.0</v>
      </c>
      <c r="AN1130" s="51">
        <v>3028.0</v>
      </c>
      <c r="AO1130" s="42" t="s">
        <v>597</v>
      </c>
      <c r="AP1130" s="43" t="s">
        <v>597</v>
      </c>
      <c r="AQ1130" s="44" t="str">
        <f t="shared" si="94"/>
        <v>GRA</v>
      </c>
      <c r="AR1130" s="44">
        <v>3033.0</v>
      </c>
      <c r="AS1130" s="44" t="str">
        <f t="shared" si="96"/>
        <v>D</v>
      </c>
      <c r="AT1130" s="44" t="str">
        <f t="shared" si="102"/>
        <v>Dw</v>
      </c>
      <c r="AU1130" s="44" t="str">
        <f t="shared" si="103"/>
        <v>Dwc</v>
      </c>
      <c r="AV1130" s="38">
        <v>1.0</v>
      </c>
      <c r="AW1130" s="38"/>
      <c r="AX1130" s="38" t="s">
        <v>1981</v>
      </c>
      <c r="AY1130" s="38" t="s">
        <v>92</v>
      </c>
      <c r="AZ1130" s="29">
        <v>1000.0</v>
      </c>
      <c r="BA1130" s="29">
        <v>1.0</v>
      </c>
      <c r="BB1130" s="29">
        <v>2.0</v>
      </c>
      <c r="BC1130" s="29" t="s">
        <v>219</v>
      </c>
      <c r="BD1130" s="29" t="s">
        <v>88</v>
      </c>
      <c r="BE1130" s="29"/>
      <c r="BF1130" s="29" t="s">
        <v>1589</v>
      </c>
      <c r="BG1130" s="29" t="s">
        <v>220</v>
      </c>
      <c r="BH1130" s="29" t="s">
        <v>92</v>
      </c>
      <c r="BI1130" s="29"/>
      <c r="BJ1130" s="29"/>
      <c r="BK1130" s="29"/>
      <c r="BL1130" s="29"/>
      <c r="BM1130" s="45"/>
      <c r="BN1130" s="45"/>
      <c r="BO1130" s="46"/>
      <c r="BP1130" s="2"/>
      <c r="BQ1130" s="3"/>
    </row>
    <row r="1131" ht="15.75" customHeight="1">
      <c r="A1131" s="34">
        <v>1145.0</v>
      </c>
      <c r="B1131" s="34">
        <v>101228.0</v>
      </c>
      <c r="C1131" s="34" t="s">
        <v>832</v>
      </c>
      <c r="D1131" s="34" t="s">
        <v>1965</v>
      </c>
      <c r="E1131" s="34" t="s">
        <v>1966</v>
      </c>
      <c r="F1131" s="34">
        <v>2015.0</v>
      </c>
      <c r="G1131" s="34" t="s">
        <v>1967</v>
      </c>
      <c r="H1131" s="34" t="s">
        <v>673</v>
      </c>
      <c r="I1131" s="34" t="s">
        <v>1968</v>
      </c>
      <c r="J1131" s="35">
        <v>1.0</v>
      </c>
      <c r="K1131" s="48">
        <v>-0.0875</v>
      </c>
      <c r="L1131" s="36"/>
      <c r="M1131" s="36"/>
      <c r="N1131" s="36"/>
      <c r="O1131" s="36"/>
      <c r="P1131" s="37">
        <v>-13.0</v>
      </c>
      <c r="Q1131" s="36" t="s">
        <v>96</v>
      </c>
      <c r="R1131" s="36" t="s">
        <v>209</v>
      </c>
      <c r="S1131" s="36">
        <v>1000.0</v>
      </c>
      <c r="T1131" s="36" t="s">
        <v>506</v>
      </c>
      <c r="U1131" s="36" t="s">
        <v>1982</v>
      </c>
      <c r="V1131" s="36"/>
      <c r="W1131" s="36"/>
      <c r="X1131" s="38">
        <v>1.0</v>
      </c>
      <c r="Y1131" s="38" t="s">
        <v>1983</v>
      </c>
      <c r="Z1131" s="38" t="s">
        <v>1983</v>
      </c>
      <c r="AA1131" s="38" t="s">
        <v>452</v>
      </c>
      <c r="AB1131" s="89">
        <v>38.5339</v>
      </c>
      <c r="AC1131" s="89">
        <v>100.2503</v>
      </c>
      <c r="AD1131" s="38" t="s">
        <v>198</v>
      </c>
      <c r="AE1131" s="38">
        <v>2823.0</v>
      </c>
      <c r="AF1131" s="38" t="s">
        <v>1984</v>
      </c>
      <c r="AG1131" s="38"/>
      <c r="AH1131" s="38">
        <v>20.25</v>
      </c>
      <c r="AI1131" s="91">
        <v>38.5339</v>
      </c>
      <c r="AJ1131" s="91">
        <v>100.2503</v>
      </c>
      <c r="AK1131" s="41"/>
      <c r="AL1131" s="40"/>
      <c r="AM1131" s="49"/>
      <c r="AN1131" s="43"/>
      <c r="AO1131" s="42"/>
      <c r="AP1131" s="43"/>
      <c r="AQ1131" s="44" t="str">
        <f t="shared" si="94"/>
        <v>MF</v>
      </c>
      <c r="AR1131" s="44">
        <v>2823.0</v>
      </c>
      <c r="AS1131" s="44" t="str">
        <f t="shared" si="96"/>
        <v/>
      </c>
      <c r="AT1131" s="44" t="str">
        <f t="shared" si="102"/>
        <v/>
      </c>
      <c r="AU1131" s="44" t="str">
        <f t="shared" si="103"/>
        <v/>
      </c>
      <c r="AV1131" s="38">
        <v>1.0</v>
      </c>
      <c r="AW1131" s="38"/>
      <c r="AX1131" s="38" t="s">
        <v>1985</v>
      </c>
      <c r="AY1131" s="38" t="s">
        <v>92</v>
      </c>
      <c r="AZ1131" s="29">
        <v>1000.0</v>
      </c>
      <c r="BA1131" s="29">
        <v>1.0</v>
      </c>
      <c r="BB1131" s="29">
        <v>2.0</v>
      </c>
      <c r="BC1131" s="29" t="s">
        <v>219</v>
      </c>
      <c r="BD1131" s="29" t="s">
        <v>88</v>
      </c>
      <c r="BE1131" s="29"/>
      <c r="BF1131" s="29" t="s">
        <v>1589</v>
      </c>
      <c r="BG1131" s="29" t="s">
        <v>220</v>
      </c>
      <c r="BH1131" s="29" t="s">
        <v>92</v>
      </c>
      <c r="BI1131" s="29"/>
      <c r="BJ1131" s="29"/>
      <c r="BK1131" s="29"/>
      <c r="BL1131" s="29"/>
      <c r="BM1131" s="45"/>
      <c r="BN1131" s="45"/>
      <c r="BO1131" s="46"/>
      <c r="BP1131" s="2"/>
      <c r="BQ1131" s="3"/>
    </row>
    <row r="1132" ht="15.75" customHeight="1">
      <c r="A1132" s="34">
        <v>1146.0</v>
      </c>
      <c r="B1132" s="34">
        <v>101228.0</v>
      </c>
      <c r="C1132" s="34" t="s">
        <v>832</v>
      </c>
      <c r="D1132" s="34" t="s">
        <v>1965</v>
      </c>
      <c r="E1132" s="34" t="s">
        <v>1966</v>
      </c>
      <c r="F1132" s="34">
        <v>2015.0</v>
      </c>
      <c r="G1132" s="34" t="s">
        <v>1967</v>
      </c>
      <c r="H1132" s="34" t="s">
        <v>673</v>
      </c>
      <c r="I1132" s="34" t="s">
        <v>1968</v>
      </c>
      <c r="J1132" s="35"/>
      <c r="K1132" s="48">
        <v>-1.175</v>
      </c>
      <c r="L1132" s="36"/>
      <c r="M1132" s="36"/>
      <c r="N1132" s="36"/>
      <c r="O1132" s="36"/>
      <c r="P1132" s="37">
        <v>-57.0</v>
      </c>
      <c r="Q1132" s="36" t="s">
        <v>96</v>
      </c>
      <c r="R1132" s="36" t="s">
        <v>209</v>
      </c>
      <c r="S1132" s="36">
        <v>1000.0</v>
      </c>
      <c r="T1132" s="36" t="s">
        <v>506</v>
      </c>
      <c r="U1132" s="36" t="s">
        <v>234</v>
      </c>
      <c r="V1132" s="36"/>
      <c r="W1132" s="36"/>
      <c r="X1132" s="38">
        <v>1.0</v>
      </c>
      <c r="Y1132" s="38" t="s">
        <v>275</v>
      </c>
      <c r="Z1132" s="38" t="s">
        <v>275</v>
      </c>
      <c r="AA1132" s="38" t="s">
        <v>86</v>
      </c>
      <c r="AB1132" s="89">
        <v>38.8571</v>
      </c>
      <c r="AC1132" s="89">
        <v>100.4103</v>
      </c>
      <c r="AD1132" s="38" t="s">
        <v>198</v>
      </c>
      <c r="AE1132" s="38">
        <v>1519.0</v>
      </c>
      <c r="AF1132" s="38" t="s">
        <v>1986</v>
      </c>
      <c r="AG1132" s="38"/>
      <c r="AH1132" s="38">
        <v>2.81</v>
      </c>
      <c r="AI1132" s="91">
        <v>38.8571</v>
      </c>
      <c r="AJ1132" s="91">
        <v>100.4103</v>
      </c>
      <c r="AK1132" s="41" t="s">
        <v>86</v>
      </c>
      <c r="AL1132" s="40" t="s">
        <v>86</v>
      </c>
      <c r="AM1132" s="49">
        <v>1522.0</v>
      </c>
      <c r="AN1132" s="51">
        <v>1522.0</v>
      </c>
      <c r="AO1132" s="42" t="s">
        <v>261</v>
      </c>
      <c r="AP1132" s="43" t="s">
        <v>261</v>
      </c>
      <c r="AQ1132" s="44" t="str">
        <f t="shared" si="94"/>
        <v>CRO</v>
      </c>
      <c r="AR1132" s="44">
        <v>1519.0</v>
      </c>
      <c r="AS1132" s="44" t="str">
        <f t="shared" si="96"/>
        <v>B</v>
      </c>
      <c r="AT1132" s="44" t="str">
        <f t="shared" si="102"/>
        <v>BW</v>
      </c>
      <c r="AU1132" s="44" t="str">
        <f t="shared" si="103"/>
        <v>BWk</v>
      </c>
      <c r="AV1132" s="38">
        <v>1.0</v>
      </c>
      <c r="AW1132" s="38"/>
      <c r="AX1132" s="38" t="s">
        <v>1987</v>
      </c>
      <c r="AY1132" s="38" t="s">
        <v>92</v>
      </c>
      <c r="AZ1132" s="29">
        <v>1000.0</v>
      </c>
      <c r="BA1132" s="29">
        <v>1.0</v>
      </c>
      <c r="BB1132" s="29">
        <v>2.0</v>
      </c>
      <c r="BC1132" s="29" t="s">
        <v>219</v>
      </c>
      <c r="BD1132" s="29" t="s">
        <v>88</v>
      </c>
      <c r="BE1132" s="29"/>
      <c r="BF1132" s="29" t="s">
        <v>1589</v>
      </c>
      <c r="BG1132" s="29" t="s">
        <v>220</v>
      </c>
      <c r="BH1132" s="29" t="s">
        <v>92</v>
      </c>
      <c r="BI1132" s="29"/>
      <c r="BJ1132" s="29"/>
      <c r="BK1132" s="29"/>
      <c r="BL1132" s="29"/>
      <c r="BM1132" s="45"/>
      <c r="BN1132" s="45"/>
      <c r="BO1132" s="46"/>
      <c r="BP1132" s="2"/>
      <c r="BQ1132" s="3"/>
    </row>
    <row r="1133" ht="15.75" customHeight="1">
      <c r="A1133" s="34">
        <v>1147.0</v>
      </c>
      <c r="B1133" s="34">
        <v>101228.0</v>
      </c>
      <c r="C1133" s="34" t="s">
        <v>832</v>
      </c>
      <c r="D1133" s="34" t="s">
        <v>1965</v>
      </c>
      <c r="E1133" s="34" t="s">
        <v>1966</v>
      </c>
      <c r="F1133" s="34">
        <v>2015.0</v>
      </c>
      <c r="G1133" s="34" t="s">
        <v>1967</v>
      </c>
      <c r="H1133" s="34" t="s">
        <v>673</v>
      </c>
      <c r="I1133" s="34" t="s">
        <v>1968</v>
      </c>
      <c r="J1133" s="35"/>
      <c r="K1133" s="48">
        <v>-0.6</v>
      </c>
      <c r="L1133" s="36"/>
      <c r="M1133" s="36"/>
      <c r="N1133" s="36"/>
      <c r="O1133" s="36"/>
      <c r="P1133" s="37">
        <v>-30.0</v>
      </c>
      <c r="Q1133" s="36" t="s">
        <v>96</v>
      </c>
      <c r="R1133" s="36" t="s">
        <v>209</v>
      </c>
      <c r="S1133" s="36">
        <v>3000.0</v>
      </c>
      <c r="T1133" s="36" t="s">
        <v>1969</v>
      </c>
      <c r="U1133" s="36" t="s">
        <v>234</v>
      </c>
      <c r="V1133" s="36"/>
      <c r="W1133" s="36"/>
      <c r="X1133" s="38">
        <v>1.0</v>
      </c>
      <c r="Y1133" s="38" t="s">
        <v>497</v>
      </c>
      <c r="Z1133" s="38" t="s">
        <v>615</v>
      </c>
      <c r="AA1133" s="38" t="s">
        <v>86</v>
      </c>
      <c r="AB1133" s="89">
        <v>36.8291</v>
      </c>
      <c r="AC1133" s="89">
        <v>116.5703</v>
      </c>
      <c r="AD1133" s="38" t="s">
        <v>198</v>
      </c>
      <c r="AE1133" s="38">
        <v>28.0</v>
      </c>
      <c r="AF1133" s="38" t="s">
        <v>1970</v>
      </c>
      <c r="AG1133" s="38"/>
      <c r="AH1133" s="38">
        <v>2.9</v>
      </c>
      <c r="AI1133" s="91">
        <v>36.8291</v>
      </c>
      <c r="AJ1133" s="91">
        <v>116.5703</v>
      </c>
      <c r="AK1133" s="41" t="s">
        <v>86</v>
      </c>
      <c r="AL1133" s="40" t="s">
        <v>86</v>
      </c>
      <c r="AM1133" s="49">
        <v>26.0</v>
      </c>
      <c r="AN1133" s="51">
        <v>26.0</v>
      </c>
      <c r="AO1133" s="42" t="s">
        <v>218</v>
      </c>
      <c r="AP1133" s="43" t="s">
        <v>218</v>
      </c>
      <c r="AQ1133" s="44" t="str">
        <f t="shared" si="94"/>
        <v>CRO</v>
      </c>
      <c r="AR1133" s="44">
        <v>28.0</v>
      </c>
      <c r="AS1133" s="44" t="str">
        <f t="shared" si="96"/>
        <v>D</v>
      </c>
      <c r="AT1133" s="44" t="str">
        <f t="shared" si="102"/>
        <v>Dw</v>
      </c>
      <c r="AU1133" s="44" t="str">
        <f t="shared" si="103"/>
        <v>Dwa</v>
      </c>
      <c r="AV1133" s="38">
        <v>1.0</v>
      </c>
      <c r="AW1133" s="38"/>
      <c r="AX1133" s="38" t="s">
        <v>1971</v>
      </c>
      <c r="AY1133" s="38" t="s">
        <v>92</v>
      </c>
      <c r="AZ1133" s="29">
        <v>1000.0</v>
      </c>
      <c r="BA1133" s="29">
        <v>1.0</v>
      </c>
      <c r="BB1133" s="29">
        <v>2.0</v>
      </c>
      <c r="BC1133" s="29" t="s">
        <v>219</v>
      </c>
      <c r="BD1133" s="29" t="s">
        <v>88</v>
      </c>
      <c r="BE1133" s="29"/>
      <c r="BF1133" s="29" t="s">
        <v>1589</v>
      </c>
      <c r="BG1133" s="29" t="s">
        <v>220</v>
      </c>
      <c r="BH1133" s="29" t="s">
        <v>92</v>
      </c>
      <c r="BI1133" s="29"/>
      <c r="BJ1133" s="29"/>
      <c r="BK1133" s="29"/>
      <c r="BL1133" s="29"/>
      <c r="BM1133" s="45"/>
      <c r="BN1133" s="45"/>
      <c r="BO1133" s="46"/>
      <c r="BP1133" s="2"/>
      <c r="BQ1133" s="3"/>
    </row>
    <row r="1134" ht="15.75" customHeight="1">
      <c r="A1134" s="34">
        <v>1148.0</v>
      </c>
      <c r="B1134" s="34">
        <v>101228.0</v>
      </c>
      <c r="C1134" s="34" t="s">
        <v>832</v>
      </c>
      <c r="D1134" s="34" t="s">
        <v>1965</v>
      </c>
      <c r="E1134" s="34" t="s">
        <v>1966</v>
      </c>
      <c r="F1134" s="34">
        <v>2015.0</v>
      </c>
      <c r="G1134" s="34" t="s">
        <v>1967</v>
      </c>
      <c r="H1134" s="34" t="s">
        <v>673</v>
      </c>
      <c r="I1134" s="34" t="s">
        <v>1968</v>
      </c>
      <c r="J1134" s="35"/>
      <c r="K1134" s="48">
        <v>-0.725</v>
      </c>
      <c r="L1134" s="36"/>
      <c r="M1134" s="36"/>
      <c r="N1134" s="36"/>
      <c r="O1134" s="36"/>
      <c r="P1134" s="37">
        <v>-43.0</v>
      </c>
      <c r="Q1134" s="36" t="s">
        <v>96</v>
      </c>
      <c r="R1134" s="36" t="s">
        <v>209</v>
      </c>
      <c r="S1134" s="36">
        <v>3000.0</v>
      </c>
      <c r="T1134" s="36" t="s">
        <v>506</v>
      </c>
      <c r="U1134" s="36" t="s">
        <v>507</v>
      </c>
      <c r="V1134" s="36"/>
      <c r="W1134" s="36"/>
      <c r="X1134" s="38">
        <v>1.0</v>
      </c>
      <c r="Y1134" s="38" t="s">
        <v>820</v>
      </c>
      <c r="Z1134" s="38" t="s">
        <v>1163</v>
      </c>
      <c r="AA1134" s="38" t="s">
        <v>86</v>
      </c>
      <c r="AB1134" s="89">
        <v>36.515</v>
      </c>
      <c r="AC1134" s="89">
        <v>115.1274</v>
      </c>
      <c r="AD1134" s="38" t="s">
        <v>198</v>
      </c>
      <c r="AE1134" s="38">
        <v>30.0</v>
      </c>
      <c r="AF1134" s="38" t="s">
        <v>1972</v>
      </c>
      <c r="AG1134" s="38"/>
      <c r="AH1134" s="38">
        <v>15.6</v>
      </c>
      <c r="AI1134" s="91">
        <v>36.515</v>
      </c>
      <c r="AJ1134" s="91">
        <v>115.1274</v>
      </c>
      <c r="AK1134" s="41" t="s">
        <v>86</v>
      </c>
      <c r="AL1134" s="40" t="s">
        <v>86</v>
      </c>
      <c r="AM1134" s="49">
        <v>42.0</v>
      </c>
      <c r="AN1134" s="51">
        <v>42.0</v>
      </c>
      <c r="AO1134" s="42" t="s">
        <v>293</v>
      </c>
      <c r="AP1134" s="43" t="s">
        <v>293</v>
      </c>
      <c r="AQ1134" s="44" t="str">
        <f t="shared" si="94"/>
        <v>CRO</v>
      </c>
      <c r="AR1134" s="44">
        <v>30.0</v>
      </c>
      <c r="AS1134" s="44" t="str">
        <f t="shared" si="96"/>
        <v>B</v>
      </c>
      <c r="AT1134" s="44" t="str">
        <f t="shared" si="102"/>
        <v>BS</v>
      </c>
      <c r="AU1134" s="44" t="str">
        <f t="shared" si="103"/>
        <v>BSk</v>
      </c>
      <c r="AV1134" s="38">
        <v>1.0</v>
      </c>
      <c r="AW1134" s="38"/>
      <c r="AX1134" s="38" t="s">
        <v>1973</v>
      </c>
      <c r="AY1134" s="38" t="s">
        <v>92</v>
      </c>
      <c r="AZ1134" s="29">
        <v>1000.0</v>
      </c>
      <c r="BA1134" s="29">
        <v>1.0</v>
      </c>
      <c r="BB1134" s="29">
        <v>2.0</v>
      </c>
      <c r="BC1134" s="29" t="s">
        <v>219</v>
      </c>
      <c r="BD1134" s="29" t="s">
        <v>88</v>
      </c>
      <c r="BE1134" s="29"/>
      <c r="BF1134" s="29" t="s">
        <v>1589</v>
      </c>
      <c r="BG1134" s="29" t="s">
        <v>220</v>
      </c>
      <c r="BH1134" s="29" t="s">
        <v>92</v>
      </c>
      <c r="BI1134" s="29"/>
      <c r="BJ1134" s="29"/>
      <c r="BK1134" s="29"/>
      <c r="BL1134" s="29"/>
      <c r="BM1134" s="45"/>
      <c r="BN1134" s="45"/>
      <c r="BO1134" s="46"/>
      <c r="BP1134" s="2"/>
      <c r="BQ1134" s="3"/>
    </row>
    <row r="1135" ht="15.75" customHeight="1">
      <c r="A1135" s="34">
        <v>1149.0</v>
      </c>
      <c r="B1135" s="34">
        <v>101228.0</v>
      </c>
      <c r="C1135" s="34" t="s">
        <v>832</v>
      </c>
      <c r="D1135" s="34" t="s">
        <v>1965</v>
      </c>
      <c r="E1135" s="34" t="s">
        <v>1966</v>
      </c>
      <c r="F1135" s="34">
        <v>2015.0</v>
      </c>
      <c r="G1135" s="34" t="s">
        <v>1967</v>
      </c>
      <c r="H1135" s="34" t="s">
        <v>673</v>
      </c>
      <c r="I1135" s="34" t="s">
        <v>1968</v>
      </c>
      <c r="J1135" s="35"/>
      <c r="K1135" s="48">
        <v>-0.6</v>
      </c>
      <c r="L1135" s="36"/>
      <c r="M1135" s="36"/>
      <c r="N1135" s="36"/>
      <c r="O1135" s="36"/>
      <c r="P1135" s="37">
        <v>-29.0</v>
      </c>
      <c r="Q1135" s="36" t="s">
        <v>96</v>
      </c>
      <c r="R1135" s="36" t="s">
        <v>209</v>
      </c>
      <c r="S1135" s="36">
        <v>3000.0</v>
      </c>
      <c r="T1135" s="36" t="s">
        <v>506</v>
      </c>
      <c r="U1135" s="36" t="s">
        <v>1974</v>
      </c>
      <c r="V1135" s="36"/>
      <c r="W1135" s="36"/>
      <c r="X1135" s="38">
        <v>1.0</v>
      </c>
      <c r="Y1135" s="38" t="s">
        <v>1152</v>
      </c>
      <c r="Z1135" s="38" t="s">
        <v>1152</v>
      </c>
      <c r="AA1135" s="38" t="s">
        <v>86</v>
      </c>
      <c r="AB1135" s="89">
        <v>39.6213</v>
      </c>
      <c r="AC1135" s="89">
        <v>116.4271</v>
      </c>
      <c r="AD1135" s="38" t="s">
        <v>198</v>
      </c>
      <c r="AE1135" s="38">
        <v>20.0</v>
      </c>
      <c r="AF1135" s="38" t="s">
        <v>1975</v>
      </c>
      <c r="AG1135" s="38"/>
      <c r="AH1135" s="38">
        <v>3.0</v>
      </c>
      <c r="AI1135" s="91">
        <v>39.6213</v>
      </c>
      <c r="AJ1135" s="91">
        <v>116.4271</v>
      </c>
      <c r="AK1135" s="41" t="s">
        <v>86</v>
      </c>
      <c r="AL1135" s="40" t="s">
        <v>86</v>
      </c>
      <c r="AM1135" s="49">
        <v>34.0</v>
      </c>
      <c r="AN1135" s="51">
        <v>34.0</v>
      </c>
      <c r="AO1135" s="42" t="s">
        <v>293</v>
      </c>
      <c r="AP1135" s="43" t="s">
        <v>293</v>
      </c>
      <c r="AQ1135" s="44" t="str">
        <f t="shared" si="94"/>
        <v>CRO</v>
      </c>
      <c r="AR1135" s="44">
        <v>20.0</v>
      </c>
      <c r="AS1135" s="44" t="str">
        <f t="shared" si="96"/>
        <v>B</v>
      </c>
      <c r="AT1135" s="44" t="str">
        <f t="shared" si="102"/>
        <v>BS</v>
      </c>
      <c r="AU1135" s="44" t="str">
        <f t="shared" si="103"/>
        <v>BSk</v>
      </c>
      <c r="AV1135" s="38">
        <v>1.0</v>
      </c>
      <c r="AW1135" s="38"/>
      <c r="AX1135" s="38" t="s">
        <v>1976</v>
      </c>
      <c r="AY1135" s="38" t="s">
        <v>92</v>
      </c>
      <c r="AZ1135" s="29">
        <v>1000.0</v>
      </c>
      <c r="BA1135" s="29">
        <v>1.0</v>
      </c>
      <c r="BB1135" s="29">
        <v>2.0</v>
      </c>
      <c r="BC1135" s="29" t="s">
        <v>219</v>
      </c>
      <c r="BD1135" s="29" t="s">
        <v>88</v>
      </c>
      <c r="BE1135" s="29"/>
      <c r="BF1135" s="29" t="s">
        <v>1589</v>
      </c>
      <c r="BG1135" s="29" t="s">
        <v>220</v>
      </c>
      <c r="BH1135" s="29" t="s">
        <v>92</v>
      </c>
      <c r="BI1135" s="29"/>
      <c r="BJ1135" s="29"/>
      <c r="BK1135" s="29"/>
      <c r="BL1135" s="29"/>
      <c r="BM1135" s="45"/>
      <c r="BN1135" s="45"/>
      <c r="BO1135" s="46"/>
      <c r="BP1135" s="2"/>
      <c r="BQ1135" s="3"/>
    </row>
    <row r="1136" ht="15.75" customHeight="1">
      <c r="A1136" s="34">
        <v>1150.0</v>
      </c>
      <c r="B1136" s="34">
        <v>101228.0</v>
      </c>
      <c r="C1136" s="34" t="s">
        <v>832</v>
      </c>
      <c r="D1136" s="34" t="s">
        <v>1965</v>
      </c>
      <c r="E1136" s="34" t="s">
        <v>1966</v>
      </c>
      <c r="F1136" s="34">
        <v>2015.0</v>
      </c>
      <c r="G1136" s="34" t="s">
        <v>1967</v>
      </c>
      <c r="H1136" s="34" t="s">
        <v>673</v>
      </c>
      <c r="I1136" s="34" t="s">
        <v>1968</v>
      </c>
      <c r="J1136" s="35"/>
      <c r="K1136" s="48">
        <v>-0.025</v>
      </c>
      <c r="L1136" s="36"/>
      <c r="M1136" s="36"/>
      <c r="N1136" s="36"/>
      <c r="O1136" s="36"/>
      <c r="P1136" s="37">
        <v>-2.0</v>
      </c>
      <c r="Q1136" s="36" t="s">
        <v>96</v>
      </c>
      <c r="R1136" s="36" t="s">
        <v>209</v>
      </c>
      <c r="S1136" s="36">
        <v>3000.0</v>
      </c>
      <c r="T1136" s="36" t="s">
        <v>506</v>
      </c>
      <c r="U1136" s="36" t="s">
        <v>507</v>
      </c>
      <c r="V1136" s="36"/>
      <c r="W1136" s="36"/>
      <c r="X1136" s="38">
        <v>1.0</v>
      </c>
      <c r="Y1136" s="38" t="s">
        <v>828</v>
      </c>
      <c r="Z1136" s="38" t="s">
        <v>828</v>
      </c>
      <c r="AA1136" s="38" t="s">
        <v>86</v>
      </c>
      <c r="AB1136" s="89">
        <v>40.6308</v>
      </c>
      <c r="AC1136" s="89">
        <v>117.3233</v>
      </c>
      <c r="AD1136" s="38" t="s">
        <v>198</v>
      </c>
      <c r="AE1136" s="38">
        <v>350.0</v>
      </c>
      <c r="AF1136" s="38" t="s">
        <v>1977</v>
      </c>
      <c r="AG1136" s="38"/>
      <c r="AH1136" s="38">
        <v>26.66</v>
      </c>
      <c r="AI1136" s="91">
        <v>40.6308</v>
      </c>
      <c r="AJ1136" s="91">
        <v>117.3233</v>
      </c>
      <c r="AK1136" s="41" t="s">
        <v>288</v>
      </c>
      <c r="AL1136" s="40" t="s">
        <v>288</v>
      </c>
      <c r="AM1136" s="49">
        <v>364.0</v>
      </c>
      <c r="AN1136" s="51">
        <v>364.0</v>
      </c>
      <c r="AO1136" s="42" t="s">
        <v>218</v>
      </c>
      <c r="AP1136" s="43" t="s">
        <v>218</v>
      </c>
      <c r="AQ1136" s="44" t="str">
        <f t="shared" si="94"/>
        <v>CRO</v>
      </c>
      <c r="AR1136" s="44">
        <v>350.0</v>
      </c>
      <c r="AS1136" s="44" t="str">
        <f t="shared" si="96"/>
        <v>D</v>
      </c>
      <c r="AT1136" s="44" t="str">
        <f t="shared" si="102"/>
        <v>Dw</v>
      </c>
      <c r="AU1136" s="44" t="str">
        <f t="shared" si="103"/>
        <v>Dwa</v>
      </c>
      <c r="AV1136" s="38">
        <v>1.0</v>
      </c>
      <c r="AW1136" s="38"/>
      <c r="AX1136" s="38" t="s">
        <v>1978</v>
      </c>
      <c r="AY1136" s="38" t="s">
        <v>92</v>
      </c>
      <c r="AZ1136" s="29">
        <v>1000.0</v>
      </c>
      <c r="BA1136" s="29">
        <v>1.0</v>
      </c>
      <c r="BB1136" s="29">
        <v>2.0</v>
      </c>
      <c r="BC1136" s="29" t="s">
        <v>219</v>
      </c>
      <c r="BD1136" s="29" t="s">
        <v>88</v>
      </c>
      <c r="BE1136" s="29"/>
      <c r="BF1136" s="29" t="s">
        <v>1589</v>
      </c>
      <c r="BG1136" s="29" t="s">
        <v>220</v>
      </c>
      <c r="BH1136" s="29" t="s">
        <v>92</v>
      </c>
      <c r="BI1136" s="29"/>
      <c r="BJ1136" s="29"/>
      <c r="BK1136" s="29"/>
      <c r="BL1136" s="29"/>
      <c r="BM1136" s="45"/>
      <c r="BN1136" s="45"/>
      <c r="BO1136" s="46"/>
      <c r="BP1136" s="2"/>
      <c r="BQ1136" s="3"/>
    </row>
    <row r="1137" ht="15.75" customHeight="1">
      <c r="A1137" s="34">
        <v>1151.0</v>
      </c>
      <c r="B1137" s="34">
        <v>101228.0</v>
      </c>
      <c r="C1137" s="34" t="s">
        <v>832</v>
      </c>
      <c r="D1137" s="34" t="s">
        <v>1965</v>
      </c>
      <c r="E1137" s="34" t="s">
        <v>1966</v>
      </c>
      <c r="F1137" s="34">
        <v>2015.0</v>
      </c>
      <c r="G1137" s="34" t="s">
        <v>1967</v>
      </c>
      <c r="H1137" s="34" t="s">
        <v>673</v>
      </c>
      <c r="I1137" s="34" t="s">
        <v>1968</v>
      </c>
      <c r="J1137" s="35">
        <v>1.0</v>
      </c>
      <c r="K1137" s="48">
        <v>0.025</v>
      </c>
      <c r="L1137" s="36"/>
      <c r="M1137" s="36"/>
      <c r="N1137" s="36"/>
      <c r="O1137" s="36"/>
      <c r="P1137" s="37">
        <v>5.0</v>
      </c>
      <c r="Q1137" s="36" t="s">
        <v>96</v>
      </c>
      <c r="R1137" s="36" t="s">
        <v>209</v>
      </c>
      <c r="S1137" s="36">
        <v>3000.0</v>
      </c>
      <c r="T1137" s="36" t="s">
        <v>506</v>
      </c>
      <c r="U1137" s="36" t="s">
        <v>1982</v>
      </c>
      <c r="V1137" s="36"/>
      <c r="W1137" s="36"/>
      <c r="X1137" s="38">
        <v>1.0</v>
      </c>
      <c r="Y1137" s="38" t="s">
        <v>1983</v>
      </c>
      <c r="Z1137" s="38" t="s">
        <v>1983</v>
      </c>
      <c r="AA1137" s="38" t="s">
        <v>452</v>
      </c>
      <c r="AB1137" s="89">
        <v>38.5339</v>
      </c>
      <c r="AC1137" s="89">
        <v>100.2503</v>
      </c>
      <c r="AD1137" s="38" t="s">
        <v>198</v>
      </c>
      <c r="AE1137" s="38">
        <v>2823.0</v>
      </c>
      <c r="AF1137" s="38" t="s">
        <v>1984</v>
      </c>
      <c r="AG1137" s="38"/>
      <c r="AH1137" s="38">
        <v>20.25</v>
      </c>
      <c r="AI1137" s="91">
        <v>38.5339</v>
      </c>
      <c r="AJ1137" s="91">
        <v>100.2503</v>
      </c>
      <c r="AK1137" s="41"/>
      <c r="AL1137" s="40"/>
      <c r="AM1137" s="49"/>
      <c r="AN1137" s="43"/>
      <c r="AO1137" s="42"/>
      <c r="AP1137" s="43"/>
      <c r="AQ1137" s="44" t="str">
        <f t="shared" si="94"/>
        <v>MF</v>
      </c>
      <c r="AR1137" s="44">
        <v>2823.0</v>
      </c>
      <c r="AS1137" s="44" t="str">
        <f t="shared" si="96"/>
        <v/>
      </c>
      <c r="AT1137" s="44" t="str">
        <f t="shared" si="102"/>
        <v/>
      </c>
      <c r="AU1137" s="44" t="str">
        <f t="shared" si="103"/>
        <v/>
      </c>
      <c r="AV1137" s="38">
        <v>1.0</v>
      </c>
      <c r="AW1137" s="38"/>
      <c r="AX1137" s="38" t="s">
        <v>1985</v>
      </c>
      <c r="AY1137" s="38" t="s">
        <v>92</v>
      </c>
      <c r="AZ1137" s="29">
        <v>1000.0</v>
      </c>
      <c r="BA1137" s="29">
        <v>1.0</v>
      </c>
      <c r="BB1137" s="29">
        <v>2.0</v>
      </c>
      <c r="BC1137" s="29" t="s">
        <v>219</v>
      </c>
      <c r="BD1137" s="29" t="s">
        <v>88</v>
      </c>
      <c r="BE1137" s="29"/>
      <c r="BF1137" s="29" t="s">
        <v>1589</v>
      </c>
      <c r="BG1137" s="29" t="s">
        <v>220</v>
      </c>
      <c r="BH1137" s="29" t="s">
        <v>92</v>
      </c>
      <c r="BI1137" s="29"/>
      <c r="BJ1137" s="29"/>
      <c r="BK1137" s="29"/>
      <c r="BL1137" s="29"/>
      <c r="BM1137" s="45"/>
      <c r="BN1137" s="45"/>
      <c r="BO1137" s="46"/>
      <c r="BP1137" s="2"/>
      <c r="BQ1137" s="3"/>
    </row>
    <row r="1138" ht="15.75" customHeight="1">
      <c r="A1138" s="34">
        <v>1152.0</v>
      </c>
      <c r="B1138" s="34">
        <v>101228.0</v>
      </c>
      <c r="C1138" s="34" t="s">
        <v>832</v>
      </c>
      <c r="D1138" s="34" t="s">
        <v>1965</v>
      </c>
      <c r="E1138" s="34" t="s">
        <v>1966</v>
      </c>
      <c r="F1138" s="34">
        <v>2015.0</v>
      </c>
      <c r="G1138" s="34" t="s">
        <v>1967</v>
      </c>
      <c r="H1138" s="34" t="s">
        <v>673</v>
      </c>
      <c r="I1138" s="34" t="s">
        <v>1968</v>
      </c>
      <c r="J1138" s="35"/>
      <c r="K1138" s="48">
        <v>-1.2125</v>
      </c>
      <c r="L1138" s="36"/>
      <c r="M1138" s="36"/>
      <c r="N1138" s="36"/>
      <c r="O1138" s="36"/>
      <c r="P1138" s="37">
        <v>-59.0</v>
      </c>
      <c r="Q1138" s="36" t="s">
        <v>96</v>
      </c>
      <c r="R1138" s="36" t="s">
        <v>209</v>
      </c>
      <c r="S1138" s="36">
        <v>3000.0</v>
      </c>
      <c r="T1138" s="36" t="s">
        <v>506</v>
      </c>
      <c r="U1138" s="36" t="s">
        <v>234</v>
      </c>
      <c r="V1138" s="36"/>
      <c r="W1138" s="36"/>
      <c r="X1138" s="38">
        <v>1.0</v>
      </c>
      <c r="Y1138" s="38" t="s">
        <v>275</v>
      </c>
      <c r="Z1138" s="38" t="s">
        <v>275</v>
      </c>
      <c r="AA1138" s="38" t="s">
        <v>86</v>
      </c>
      <c r="AB1138" s="89">
        <v>38.8571</v>
      </c>
      <c r="AC1138" s="89">
        <v>100.4103</v>
      </c>
      <c r="AD1138" s="38" t="s">
        <v>198</v>
      </c>
      <c r="AE1138" s="38">
        <v>1519.0</v>
      </c>
      <c r="AF1138" s="38" t="s">
        <v>1986</v>
      </c>
      <c r="AG1138" s="38"/>
      <c r="AH1138" s="38">
        <v>2.81</v>
      </c>
      <c r="AI1138" s="91">
        <v>38.8571</v>
      </c>
      <c r="AJ1138" s="91">
        <v>100.4103</v>
      </c>
      <c r="AK1138" s="41" t="s">
        <v>86</v>
      </c>
      <c r="AL1138" s="40" t="s">
        <v>86</v>
      </c>
      <c r="AM1138" s="49">
        <v>1522.0</v>
      </c>
      <c r="AN1138" s="51">
        <v>1522.0</v>
      </c>
      <c r="AO1138" s="42" t="s">
        <v>261</v>
      </c>
      <c r="AP1138" s="43" t="s">
        <v>261</v>
      </c>
      <c r="AQ1138" s="44" t="str">
        <f t="shared" si="94"/>
        <v>CRO</v>
      </c>
      <c r="AR1138" s="44">
        <v>1519.0</v>
      </c>
      <c r="AS1138" s="44" t="str">
        <f t="shared" si="96"/>
        <v>B</v>
      </c>
      <c r="AT1138" s="44" t="str">
        <f t="shared" si="102"/>
        <v>BW</v>
      </c>
      <c r="AU1138" s="44" t="str">
        <f t="shared" si="103"/>
        <v>BWk</v>
      </c>
      <c r="AV1138" s="38">
        <v>1.0</v>
      </c>
      <c r="AW1138" s="38"/>
      <c r="AX1138" s="38" t="s">
        <v>1987</v>
      </c>
      <c r="AY1138" s="38" t="s">
        <v>92</v>
      </c>
      <c r="AZ1138" s="29">
        <v>1000.0</v>
      </c>
      <c r="BA1138" s="29">
        <v>1.0</v>
      </c>
      <c r="BB1138" s="29">
        <v>2.0</v>
      </c>
      <c r="BC1138" s="29" t="s">
        <v>219</v>
      </c>
      <c r="BD1138" s="29" t="s">
        <v>88</v>
      </c>
      <c r="BE1138" s="29"/>
      <c r="BF1138" s="29" t="s">
        <v>1589</v>
      </c>
      <c r="BG1138" s="29" t="s">
        <v>220</v>
      </c>
      <c r="BH1138" s="29" t="s">
        <v>92</v>
      </c>
      <c r="BI1138" s="29"/>
      <c r="BJ1138" s="29"/>
      <c r="BK1138" s="29"/>
      <c r="BL1138" s="29"/>
      <c r="BM1138" s="45"/>
      <c r="BN1138" s="45"/>
      <c r="BO1138" s="46"/>
      <c r="BP1138" s="2"/>
      <c r="BQ1138" s="3"/>
    </row>
    <row r="1139" ht="15.75" customHeight="1">
      <c r="A1139" s="34">
        <v>1153.0</v>
      </c>
      <c r="B1139" s="34">
        <v>101248.0</v>
      </c>
      <c r="C1139" s="34" t="s">
        <v>415</v>
      </c>
      <c r="D1139" s="34" t="s">
        <v>1988</v>
      </c>
      <c r="E1139" s="34" t="s">
        <v>1989</v>
      </c>
      <c r="F1139" s="34">
        <v>2015.0</v>
      </c>
      <c r="G1139" s="34" t="s">
        <v>1990</v>
      </c>
      <c r="H1139" s="34" t="s">
        <v>1991</v>
      </c>
      <c r="I1139" s="34" t="s">
        <v>1992</v>
      </c>
      <c r="J1139" s="35"/>
      <c r="K1139" s="36"/>
      <c r="L1139" s="36"/>
      <c r="M1139" s="36"/>
      <c r="N1139" s="36">
        <v>68.0</v>
      </c>
      <c r="O1139" s="36">
        <f>68*100/20.6</f>
        <v>330.0970874</v>
      </c>
      <c r="P1139" s="37">
        <f t="shared" ref="P1139:P1140" si="104">N1139*100/O1139</f>
        <v>20.6</v>
      </c>
      <c r="Q1139" s="36"/>
      <c r="R1139" s="36" t="s">
        <v>82</v>
      </c>
      <c r="S1139" s="36"/>
      <c r="T1139" s="36" t="s">
        <v>1644</v>
      </c>
      <c r="U1139" s="36" t="s">
        <v>1993</v>
      </c>
      <c r="V1139" s="36">
        <f t="shared" ref="V1139:V1140" si="105">9*21</f>
        <v>189</v>
      </c>
      <c r="W1139" s="36"/>
      <c r="X1139" s="38">
        <v>21.0</v>
      </c>
      <c r="Y1139" s="38" t="s">
        <v>1994</v>
      </c>
      <c r="Z1139" s="38"/>
      <c r="AA1139" s="38" t="s">
        <v>86</v>
      </c>
      <c r="AB1139" s="38"/>
      <c r="AC1139" s="38"/>
      <c r="AD1139" s="38" t="s">
        <v>198</v>
      </c>
      <c r="AE1139" s="53"/>
      <c r="AF1139" s="38"/>
      <c r="AG1139" s="38"/>
      <c r="AH1139" s="38"/>
      <c r="AI1139" s="40"/>
      <c r="AJ1139" s="40"/>
      <c r="AK1139" s="41"/>
      <c r="AL1139" s="40"/>
      <c r="AM1139" s="49"/>
      <c r="AN1139" s="51"/>
      <c r="AO1139" s="42"/>
      <c r="AP1139" s="43"/>
      <c r="AQ1139" s="44" t="str">
        <f t="shared" si="94"/>
        <v>CRO</v>
      </c>
      <c r="AR1139" s="44" t="str">
        <f t="shared" ref="AR1139:AR1174" si="106">AM1139</f>
        <v/>
      </c>
      <c r="AS1139" s="44"/>
      <c r="AT1139" s="44" t="str">
        <f t="shared" si="102"/>
        <v/>
      </c>
      <c r="AU1139" s="44" t="str">
        <f t="shared" si="103"/>
        <v/>
      </c>
      <c r="AV1139" s="38">
        <v>3.0</v>
      </c>
      <c r="AW1139" s="38"/>
      <c r="AX1139" s="38"/>
      <c r="AY1139" s="38" t="s">
        <v>88</v>
      </c>
      <c r="AZ1139" s="29">
        <v>90.0</v>
      </c>
      <c r="BA1139" s="29">
        <v>1.0</v>
      </c>
      <c r="BB1139" s="29">
        <v>1.0</v>
      </c>
      <c r="BC1139" s="29"/>
      <c r="BD1139" s="29" t="s">
        <v>88</v>
      </c>
      <c r="BE1139" s="29" t="s">
        <v>89</v>
      </c>
      <c r="BF1139" s="29" t="s">
        <v>936</v>
      </c>
      <c r="BG1139" s="29" t="s">
        <v>572</v>
      </c>
      <c r="BH1139" s="29" t="s">
        <v>88</v>
      </c>
      <c r="BI1139" s="29" t="s">
        <v>1925</v>
      </c>
      <c r="BJ1139" s="29"/>
      <c r="BK1139" s="29" t="s">
        <v>1995</v>
      </c>
      <c r="BL1139" s="29" t="s">
        <v>1995</v>
      </c>
      <c r="BM1139" s="45"/>
      <c r="BN1139" s="45">
        <v>1.0</v>
      </c>
      <c r="BO1139" s="46" t="s">
        <v>936</v>
      </c>
      <c r="BP1139" s="2"/>
      <c r="BQ1139" s="3"/>
    </row>
    <row r="1140" ht="15.75" customHeight="1">
      <c r="A1140" s="34">
        <v>1154.0</v>
      </c>
      <c r="B1140" s="34">
        <v>101248.0</v>
      </c>
      <c r="C1140" s="34" t="s">
        <v>415</v>
      </c>
      <c r="D1140" s="34" t="s">
        <v>1988</v>
      </c>
      <c r="E1140" s="34" t="s">
        <v>1989</v>
      </c>
      <c r="F1140" s="34">
        <v>2015.0</v>
      </c>
      <c r="G1140" s="34" t="s">
        <v>1990</v>
      </c>
      <c r="H1140" s="34" t="s">
        <v>1991</v>
      </c>
      <c r="I1140" s="34" t="s">
        <v>1992</v>
      </c>
      <c r="J1140" s="35"/>
      <c r="K1140" s="36"/>
      <c r="L1140" s="36"/>
      <c r="M1140" s="36"/>
      <c r="N1140" s="36">
        <v>23.0</v>
      </c>
      <c r="O1140" s="36">
        <f>23*100/14.9</f>
        <v>154.3624161</v>
      </c>
      <c r="P1140" s="37">
        <f t="shared" si="104"/>
        <v>14.9</v>
      </c>
      <c r="Q1140" s="36"/>
      <c r="R1140" s="36" t="s">
        <v>82</v>
      </c>
      <c r="S1140" s="36"/>
      <c r="T1140" s="36" t="s">
        <v>1644</v>
      </c>
      <c r="U1140" s="36" t="s">
        <v>1993</v>
      </c>
      <c r="V1140" s="36">
        <f t="shared" si="105"/>
        <v>189</v>
      </c>
      <c r="W1140" s="36"/>
      <c r="X1140" s="38">
        <v>21.0</v>
      </c>
      <c r="Y1140" s="38" t="s">
        <v>1994</v>
      </c>
      <c r="Z1140" s="38"/>
      <c r="AA1140" s="38" t="s">
        <v>86</v>
      </c>
      <c r="AB1140" s="38"/>
      <c r="AC1140" s="38"/>
      <c r="AD1140" s="38" t="s">
        <v>198</v>
      </c>
      <c r="AE1140" s="53"/>
      <c r="AF1140" s="38"/>
      <c r="AG1140" s="38"/>
      <c r="AH1140" s="38"/>
      <c r="AI1140" s="40"/>
      <c r="AJ1140" s="40"/>
      <c r="AK1140" s="41"/>
      <c r="AL1140" s="40"/>
      <c r="AM1140" s="49"/>
      <c r="AN1140" s="51"/>
      <c r="AO1140" s="42"/>
      <c r="AP1140" s="43"/>
      <c r="AQ1140" s="44" t="str">
        <f t="shared" si="94"/>
        <v>CRO</v>
      </c>
      <c r="AR1140" s="44" t="str">
        <f t="shared" si="106"/>
        <v/>
      </c>
      <c r="AS1140" s="44"/>
      <c r="AT1140" s="44" t="str">
        <f t="shared" si="102"/>
        <v/>
      </c>
      <c r="AU1140" s="44" t="str">
        <f t="shared" si="103"/>
        <v/>
      </c>
      <c r="AV1140" s="38">
        <v>3.0</v>
      </c>
      <c r="AW1140" s="38"/>
      <c r="AX1140" s="38"/>
      <c r="AY1140" s="38" t="s">
        <v>88</v>
      </c>
      <c r="AZ1140" s="29">
        <v>90.0</v>
      </c>
      <c r="BA1140" s="29">
        <v>1.0</v>
      </c>
      <c r="BB1140" s="29">
        <v>1.0</v>
      </c>
      <c r="BC1140" s="29"/>
      <c r="BD1140" s="29" t="s">
        <v>88</v>
      </c>
      <c r="BE1140" s="29" t="s">
        <v>263</v>
      </c>
      <c r="BF1140" s="29" t="s">
        <v>1996</v>
      </c>
      <c r="BG1140" s="29" t="s">
        <v>572</v>
      </c>
      <c r="BH1140" s="29" t="s">
        <v>88</v>
      </c>
      <c r="BI1140" s="29" t="s">
        <v>1925</v>
      </c>
      <c r="BJ1140" s="29"/>
      <c r="BK1140" s="29" t="s">
        <v>1995</v>
      </c>
      <c r="BL1140" s="29" t="s">
        <v>1995</v>
      </c>
      <c r="BM1140" s="45"/>
      <c r="BN1140" s="45"/>
      <c r="BO1140" s="46"/>
      <c r="BP1140" s="2"/>
      <c r="BQ1140" s="3"/>
    </row>
    <row r="1141" ht="15.75" customHeight="1">
      <c r="A1141" s="34">
        <v>1155.0</v>
      </c>
      <c r="B1141" s="34">
        <v>102099.0</v>
      </c>
      <c r="C1141" s="34" t="s">
        <v>415</v>
      </c>
      <c r="D1141" s="34" t="s">
        <v>1997</v>
      </c>
      <c r="E1141" s="34" t="s">
        <v>1998</v>
      </c>
      <c r="F1141" s="34">
        <v>2011.0</v>
      </c>
      <c r="G1141" s="34" t="s">
        <v>1999</v>
      </c>
      <c r="H1141" s="34" t="s">
        <v>718</v>
      </c>
      <c r="I1141" s="34" t="s">
        <v>2000</v>
      </c>
      <c r="J1141" s="35"/>
      <c r="K1141" s="36"/>
      <c r="L1141" s="36"/>
      <c r="M1141" s="36"/>
      <c r="N1141" s="36"/>
      <c r="O1141" s="36"/>
      <c r="P1141" s="37">
        <v>18.26</v>
      </c>
      <c r="Q1141" s="36" t="s">
        <v>96</v>
      </c>
      <c r="R1141" s="36" t="s">
        <v>96</v>
      </c>
      <c r="S1141" s="36"/>
      <c r="T1141" s="36" t="s">
        <v>2001</v>
      </c>
      <c r="U1141" s="36" t="s">
        <v>2002</v>
      </c>
      <c r="V1141" s="36">
        <v>16.0</v>
      </c>
      <c r="W1141" s="36" t="s">
        <v>88</v>
      </c>
      <c r="X1141" s="38">
        <v>1.0</v>
      </c>
      <c r="Y1141" s="38" t="s">
        <v>2003</v>
      </c>
      <c r="Z1141" s="38"/>
      <c r="AA1141" s="38"/>
      <c r="AB1141" s="38">
        <v>44.75</v>
      </c>
      <c r="AC1141" s="38">
        <v>123.75</v>
      </c>
      <c r="AD1141" s="38" t="s">
        <v>198</v>
      </c>
      <c r="AE1141" s="38">
        <v>160.0</v>
      </c>
      <c r="AF1141" s="38"/>
      <c r="AG1141" s="38"/>
      <c r="AH1141" s="38"/>
      <c r="AI1141" s="50">
        <v>44.75</v>
      </c>
      <c r="AJ1141" s="50">
        <v>123.75</v>
      </c>
      <c r="AK1141" s="41" t="s">
        <v>86</v>
      </c>
      <c r="AL1141" s="40" t="s">
        <v>1085</v>
      </c>
      <c r="AM1141" s="49">
        <v>150.0</v>
      </c>
      <c r="AN1141" s="43"/>
      <c r="AO1141" s="42" t="s">
        <v>218</v>
      </c>
      <c r="AP1141" s="43"/>
      <c r="AQ1141" s="44" t="s">
        <v>288</v>
      </c>
      <c r="AR1141" s="44">
        <f t="shared" si="106"/>
        <v>150</v>
      </c>
      <c r="AS1141" s="44" t="str">
        <f t="shared" ref="AS1141:AS1149" si="107">LEFT(AO1141,1)</f>
        <v>D</v>
      </c>
      <c r="AT1141" s="44" t="s">
        <v>1820</v>
      </c>
      <c r="AU1141" s="44" t="str">
        <f t="shared" ref="AU1141:AU1149" si="108">AO1141</f>
        <v>Dwa</v>
      </c>
      <c r="AV1141" s="38">
        <v>1.0</v>
      </c>
      <c r="AW1141" s="38"/>
      <c r="AX1141" s="38"/>
      <c r="AY1141" s="38" t="s">
        <v>92</v>
      </c>
      <c r="AZ1141" s="29">
        <v>1000.0</v>
      </c>
      <c r="BA1141" s="29">
        <v>1.0</v>
      </c>
      <c r="BB1141" s="29">
        <v>1.0</v>
      </c>
      <c r="BC1141" s="29"/>
      <c r="BD1141" s="29" t="s">
        <v>88</v>
      </c>
      <c r="BE1141" s="29"/>
      <c r="BF1141" s="29" t="s">
        <v>571</v>
      </c>
      <c r="BG1141" s="29" t="s">
        <v>572</v>
      </c>
      <c r="BH1141" s="29" t="s">
        <v>88</v>
      </c>
      <c r="BI1141" s="29" t="s">
        <v>2004</v>
      </c>
      <c r="BJ1141" s="29"/>
      <c r="BK1141" s="29" t="s">
        <v>148</v>
      </c>
      <c r="BL1141" s="29" t="s">
        <v>148</v>
      </c>
      <c r="BM1141" s="45"/>
      <c r="BN1141" s="45">
        <v>1.0</v>
      </c>
      <c r="BO1141" s="46" t="s">
        <v>2005</v>
      </c>
      <c r="BP1141" s="2"/>
      <c r="BQ1141" s="3"/>
    </row>
    <row r="1142" ht="15.75" customHeight="1">
      <c r="A1142" s="34">
        <v>1156.0</v>
      </c>
      <c r="B1142" s="34">
        <v>103609.0</v>
      </c>
      <c r="C1142" s="34" t="s">
        <v>415</v>
      </c>
      <c r="D1142" s="34" t="s">
        <v>2006</v>
      </c>
      <c r="E1142" s="34" t="s">
        <v>2007</v>
      </c>
      <c r="F1142" s="34">
        <v>2017.0</v>
      </c>
      <c r="G1142" s="34" t="s">
        <v>2008</v>
      </c>
      <c r="H1142" s="34" t="s">
        <v>718</v>
      </c>
      <c r="I1142" s="34" t="s">
        <v>2009</v>
      </c>
      <c r="J1142" s="35"/>
      <c r="K1142" s="36"/>
      <c r="L1142" s="36"/>
      <c r="M1142" s="36"/>
      <c r="N1142" s="36"/>
      <c r="O1142" s="36"/>
      <c r="P1142" s="37">
        <v>-6.9</v>
      </c>
      <c r="Q1142" s="36" t="s">
        <v>96</v>
      </c>
      <c r="R1142" s="36" t="s">
        <v>96</v>
      </c>
      <c r="S1142" s="36">
        <v>30.0</v>
      </c>
      <c r="T1142" s="36" t="s">
        <v>2010</v>
      </c>
      <c r="U1142" s="36" t="s">
        <v>2011</v>
      </c>
      <c r="V1142" s="36">
        <v>33.0</v>
      </c>
      <c r="W1142" s="36" t="s">
        <v>92</v>
      </c>
      <c r="X1142" s="38">
        <v>1.0</v>
      </c>
      <c r="Y1142" s="38" t="s">
        <v>1638</v>
      </c>
      <c r="Z1142" s="38"/>
      <c r="AA1142" s="38" t="s">
        <v>86</v>
      </c>
      <c r="AB1142" s="38">
        <v>40.1786</v>
      </c>
      <c r="AC1142" s="38">
        <v>116.4432</v>
      </c>
      <c r="AD1142" s="38" t="s">
        <v>198</v>
      </c>
      <c r="AE1142" s="38"/>
      <c r="AF1142" s="38"/>
      <c r="AG1142" s="38"/>
      <c r="AH1142" s="38"/>
      <c r="AI1142" s="50">
        <v>40.1786</v>
      </c>
      <c r="AJ1142" s="50">
        <v>116.4432</v>
      </c>
      <c r="AK1142" s="41" t="s">
        <v>86</v>
      </c>
      <c r="AL1142" s="40"/>
      <c r="AM1142" s="49">
        <v>40.0</v>
      </c>
      <c r="AN1142" s="43"/>
      <c r="AO1142" s="42" t="s">
        <v>293</v>
      </c>
      <c r="AP1142" s="43"/>
      <c r="AQ1142" s="44" t="str">
        <f t="shared" ref="AQ1142:AQ1170" si="109">AA1142</f>
        <v>CRO</v>
      </c>
      <c r="AR1142" s="44">
        <f t="shared" si="106"/>
        <v>40</v>
      </c>
      <c r="AS1142" s="44" t="str">
        <f t="shared" si="107"/>
        <v>B</v>
      </c>
      <c r="AT1142" s="44" t="s">
        <v>1863</v>
      </c>
      <c r="AU1142" s="44" t="str">
        <f t="shared" si="108"/>
        <v>BSk</v>
      </c>
      <c r="AV1142" s="38"/>
      <c r="AW1142" s="38"/>
      <c r="AX1142" s="38"/>
      <c r="AY1142" s="38"/>
      <c r="AZ1142" s="29">
        <v>30.0</v>
      </c>
      <c r="BA1142" s="29">
        <v>1.0</v>
      </c>
      <c r="BB1142" s="29">
        <v>2.0</v>
      </c>
      <c r="BC1142" s="29" t="s">
        <v>2012</v>
      </c>
      <c r="BD1142" s="29" t="s">
        <v>88</v>
      </c>
      <c r="BE1142" s="29"/>
      <c r="BF1142" s="29" t="s">
        <v>2013</v>
      </c>
      <c r="BG1142" s="29" t="s">
        <v>572</v>
      </c>
      <c r="BH1142" s="29"/>
      <c r="BI1142" s="29"/>
      <c r="BJ1142" s="29"/>
      <c r="BK1142" s="29"/>
      <c r="BL1142" s="29"/>
      <c r="BM1142" s="45"/>
      <c r="BN1142" s="45">
        <v>1.0</v>
      </c>
      <c r="BO1142" s="46" t="s">
        <v>2014</v>
      </c>
      <c r="BP1142" s="2"/>
      <c r="BQ1142" s="3"/>
    </row>
    <row r="1143" ht="15.75" customHeight="1">
      <c r="A1143" s="34">
        <v>1157.0</v>
      </c>
      <c r="B1143" s="34">
        <v>103609.0</v>
      </c>
      <c r="C1143" s="34" t="s">
        <v>832</v>
      </c>
      <c r="D1143" s="34" t="s">
        <v>2006</v>
      </c>
      <c r="E1143" s="34" t="s">
        <v>2007</v>
      </c>
      <c r="F1143" s="34">
        <v>2017.0</v>
      </c>
      <c r="G1143" s="34" t="s">
        <v>2008</v>
      </c>
      <c r="H1143" s="34" t="s">
        <v>718</v>
      </c>
      <c r="I1143" s="34" t="s">
        <v>2009</v>
      </c>
      <c r="J1143" s="35"/>
      <c r="K1143" s="36"/>
      <c r="L1143" s="36"/>
      <c r="M1143" s="36"/>
      <c r="N1143" s="36"/>
      <c r="O1143" s="36"/>
      <c r="P1143" s="37">
        <v>-12.5</v>
      </c>
      <c r="Q1143" s="36" t="s">
        <v>96</v>
      </c>
      <c r="R1143" s="36" t="s">
        <v>96</v>
      </c>
      <c r="S1143" s="36">
        <v>30.0</v>
      </c>
      <c r="T1143" s="36" t="s">
        <v>2010</v>
      </c>
      <c r="U1143" s="36" t="s">
        <v>2011</v>
      </c>
      <c r="V1143" s="36">
        <v>21.0</v>
      </c>
      <c r="W1143" s="36" t="s">
        <v>88</v>
      </c>
      <c r="X1143" s="38">
        <v>1.0</v>
      </c>
      <c r="Y1143" s="38" t="s">
        <v>1638</v>
      </c>
      <c r="Z1143" s="38"/>
      <c r="AA1143" s="38" t="s">
        <v>86</v>
      </c>
      <c r="AB1143" s="38">
        <v>40.1786</v>
      </c>
      <c r="AC1143" s="38">
        <v>116.4432</v>
      </c>
      <c r="AD1143" s="38" t="s">
        <v>198</v>
      </c>
      <c r="AE1143" s="38"/>
      <c r="AF1143" s="38"/>
      <c r="AG1143" s="38"/>
      <c r="AH1143" s="38"/>
      <c r="AI1143" s="50">
        <v>40.1786</v>
      </c>
      <c r="AJ1143" s="50">
        <v>116.4432</v>
      </c>
      <c r="AK1143" s="41" t="s">
        <v>86</v>
      </c>
      <c r="AL1143" s="40"/>
      <c r="AM1143" s="49">
        <v>40.0</v>
      </c>
      <c r="AN1143" s="43"/>
      <c r="AO1143" s="42" t="s">
        <v>293</v>
      </c>
      <c r="AP1143" s="43"/>
      <c r="AQ1143" s="44" t="str">
        <f t="shared" si="109"/>
        <v>CRO</v>
      </c>
      <c r="AR1143" s="44">
        <f t="shared" si="106"/>
        <v>40</v>
      </c>
      <c r="AS1143" s="44" t="str">
        <f t="shared" si="107"/>
        <v>B</v>
      </c>
      <c r="AT1143" s="44" t="s">
        <v>1863</v>
      </c>
      <c r="AU1143" s="44" t="str">
        <f t="shared" si="108"/>
        <v>BSk</v>
      </c>
      <c r="AV1143" s="38"/>
      <c r="AW1143" s="38"/>
      <c r="AX1143" s="38"/>
      <c r="AY1143" s="38"/>
      <c r="AZ1143" s="29">
        <v>30.0</v>
      </c>
      <c r="BA1143" s="29">
        <v>1.0</v>
      </c>
      <c r="BB1143" s="29">
        <v>2.0</v>
      </c>
      <c r="BC1143" s="29" t="s">
        <v>2015</v>
      </c>
      <c r="BD1143" s="29" t="s">
        <v>88</v>
      </c>
      <c r="BE1143" s="29"/>
      <c r="BF1143" s="29" t="s">
        <v>2013</v>
      </c>
      <c r="BG1143" s="29" t="s">
        <v>572</v>
      </c>
      <c r="BH1143" s="29"/>
      <c r="BI1143" s="29"/>
      <c r="BJ1143" s="29"/>
      <c r="BK1143" s="29"/>
      <c r="BL1143" s="29"/>
      <c r="BM1143" s="45"/>
      <c r="BN1143" s="45">
        <v>1.0</v>
      </c>
      <c r="BO1143" s="46" t="s">
        <v>2014</v>
      </c>
      <c r="BP1143" s="2"/>
      <c r="BQ1143" s="3"/>
    </row>
    <row r="1144" ht="15.75" customHeight="1">
      <c r="A1144" s="34">
        <v>1158.0</v>
      </c>
      <c r="B1144" s="34">
        <v>103609.0</v>
      </c>
      <c r="C1144" s="34" t="s">
        <v>832</v>
      </c>
      <c r="D1144" s="34" t="s">
        <v>2006</v>
      </c>
      <c r="E1144" s="34" t="s">
        <v>2007</v>
      </c>
      <c r="F1144" s="34">
        <v>2017.0</v>
      </c>
      <c r="G1144" s="34" t="s">
        <v>2008</v>
      </c>
      <c r="H1144" s="34" t="s">
        <v>718</v>
      </c>
      <c r="I1144" s="34" t="s">
        <v>2009</v>
      </c>
      <c r="J1144" s="35"/>
      <c r="K1144" s="36"/>
      <c r="L1144" s="36"/>
      <c r="M1144" s="36"/>
      <c r="N1144" s="36"/>
      <c r="O1144" s="36"/>
      <c r="P1144" s="37">
        <v>-10.5</v>
      </c>
      <c r="Q1144" s="36" t="s">
        <v>96</v>
      </c>
      <c r="R1144" s="36" t="s">
        <v>96</v>
      </c>
      <c r="S1144" s="36">
        <v>30.0</v>
      </c>
      <c r="T1144" s="36" t="s">
        <v>2010</v>
      </c>
      <c r="U1144" s="36" t="s">
        <v>2011</v>
      </c>
      <c r="V1144" s="36">
        <v>33.0</v>
      </c>
      <c r="W1144" s="36" t="s">
        <v>92</v>
      </c>
      <c r="X1144" s="38">
        <v>1.0</v>
      </c>
      <c r="Y1144" s="38" t="s">
        <v>828</v>
      </c>
      <c r="Z1144" s="38" t="s">
        <v>828</v>
      </c>
      <c r="AA1144" s="38" t="s">
        <v>86</v>
      </c>
      <c r="AB1144" s="38">
        <v>40.630778</v>
      </c>
      <c r="AC1144" s="38">
        <v>117.323278</v>
      </c>
      <c r="AD1144" s="38" t="s">
        <v>198</v>
      </c>
      <c r="AE1144" s="38"/>
      <c r="AF1144" s="38" t="s">
        <v>2016</v>
      </c>
      <c r="AG1144" s="38"/>
      <c r="AH1144" s="38"/>
      <c r="AI1144" s="50">
        <v>40.630778</v>
      </c>
      <c r="AJ1144" s="50">
        <v>117.323278</v>
      </c>
      <c r="AK1144" s="41" t="s">
        <v>288</v>
      </c>
      <c r="AL1144" s="40" t="s">
        <v>288</v>
      </c>
      <c r="AM1144" s="49">
        <v>352.0</v>
      </c>
      <c r="AN1144" s="43">
        <v>352.0</v>
      </c>
      <c r="AO1144" s="42" t="s">
        <v>218</v>
      </c>
      <c r="AP1144" s="43" t="s">
        <v>218</v>
      </c>
      <c r="AQ1144" s="44" t="str">
        <f t="shared" si="109"/>
        <v>CRO</v>
      </c>
      <c r="AR1144" s="44">
        <f t="shared" si="106"/>
        <v>352</v>
      </c>
      <c r="AS1144" s="44" t="str">
        <f t="shared" si="107"/>
        <v>D</v>
      </c>
      <c r="AT1144" s="44" t="s">
        <v>1820</v>
      </c>
      <c r="AU1144" s="44" t="str">
        <f t="shared" si="108"/>
        <v>Dwa</v>
      </c>
      <c r="AV1144" s="38"/>
      <c r="AW1144" s="38"/>
      <c r="AX1144" s="38"/>
      <c r="AY1144" s="38"/>
      <c r="AZ1144" s="29">
        <v>30.0</v>
      </c>
      <c r="BA1144" s="29">
        <v>1.0</v>
      </c>
      <c r="BB1144" s="29">
        <v>1.0</v>
      </c>
      <c r="BC1144" s="29"/>
      <c r="BD1144" s="29" t="s">
        <v>92</v>
      </c>
      <c r="BE1144" s="29"/>
      <c r="BF1144" s="29" t="s">
        <v>2014</v>
      </c>
      <c r="BG1144" s="29" t="s">
        <v>91</v>
      </c>
      <c r="BH1144" s="29" t="s">
        <v>88</v>
      </c>
      <c r="BI1144" s="29" t="s">
        <v>2017</v>
      </c>
      <c r="BJ1144" s="29"/>
      <c r="BK1144" s="29" t="s">
        <v>180</v>
      </c>
      <c r="BL1144" s="29" t="s">
        <v>180</v>
      </c>
      <c r="BM1144" s="45"/>
      <c r="BN1144" s="45">
        <v>1.0</v>
      </c>
      <c r="BO1144" s="46" t="s">
        <v>2014</v>
      </c>
      <c r="BP1144" s="2"/>
      <c r="BQ1144" s="3"/>
    </row>
    <row r="1145" ht="15.75" customHeight="1">
      <c r="A1145" s="34">
        <v>1159.0</v>
      </c>
      <c r="B1145" s="34">
        <v>103609.0</v>
      </c>
      <c r="C1145" s="34" t="s">
        <v>832</v>
      </c>
      <c r="D1145" s="34" t="s">
        <v>2006</v>
      </c>
      <c r="E1145" s="34" t="s">
        <v>2007</v>
      </c>
      <c r="F1145" s="34">
        <v>2017.0</v>
      </c>
      <c r="G1145" s="34" t="s">
        <v>2008</v>
      </c>
      <c r="H1145" s="34" t="s">
        <v>718</v>
      </c>
      <c r="I1145" s="34" t="s">
        <v>2009</v>
      </c>
      <c r="J1145" s="35"/>
      <c r="K1145" s="36"/>
      <c r="L1145" s="36"/>
      <c r="M1145" s="36"/>
      <c r="N1145" s="36"/>
      <c r="O1145" s="36"/>
      <c r="P1145" s="37">
        <v>-15.7</v>
      </c>
      <c r="Q1145" s="36" t="s">
        <v>96</v>
      </c>
      <c r="R1145" s="36" t="s">
        <v>96</v>
      </c>
      <c r="S1145" s="36">
        <v>30.0</v>
      </c>
      <c r="T1145" s="36" t="s">
        <v>2010</v>
      </c>
      <c r="U1145" s="36" t="s">
        <v>2011</v>
      </c>
      <c r="V1145" s="36">
        <v>21.0</v>
      </c>
      <c r="W1145" s="36" t="s">
        <v>88</v>
      </c>
      <c r="X1145" s="38">
        <v>1.0</v>
      </c>
      <c r="Y1145" s="38" t="s">
        <v>828</v>
      </c>
      <c r="Z1145" s="38" t="s">
        <v>828</v>
      </c>
      <c r="AA1145" s="38" t="s">
        <v>86</v>
      </c>
      <c r="AB1145" s="38">
        <v>40.630778</v>
      </c>
      <c r="AC1145" s="38">
        <v>117.323278</v>
      </c>
      <c r="AD1145" s="38" t="s">
        <v>198</v>
      </c>
      <c r="AE1145" s="38"/>
      <c r="AF1145" s="38" t="s">
        <v>2016</v>
      </c>
      <c r="AG1145" s="38"/>
      <c r="AH1145" s="38"/>
      <c r="AI1145" s="50">
        <v>40.630778</v>
      </c>
      <c r="AJ1145" s="50">
        <v>117.323278</v>
      </c>
      <c r="AK1145" s="41" t="s">
        <v>288</v>
      </c>
      <c r="AL1145" s="40" t="s">
        <v>288</v>
      </c>
      <c r="AM1145" s="49">
        <v>352.0</v>
      </c>
      <c r="AN1145" s="43">
        <v>352.0</v>
      </c>
      <c r="AO1145" s="42" t="s">
        <v>218</v>
      </c>
      <c r="AP1145" s="43" t="s">
        <v>218</v>
      </c>
      <c r="AQ1145" s="44" t="str">
        <f t="shared" si="109"/>
        <v>CRO</v>
      </c>
      <c r="AR1145" s="44">
        <f t="shared" si="106"/>
        <v>352</v>
      </c>
      <c r="AS1145" s="44" t="str">
        <f t="shared" si="107"/>
        <v>D</v>
      </c>
      <c r="AT1145" s="44" t="s">
        <v>1820</v>
      </c>
      <c r="AU1145" s="44" t="str">
        <f t="shared" si="108"/>
        <v>Dwa</v>
      </c>
      <c r="AV1145" s="38"/>
      <c r="AW1145" s="38"/>
      <c r="AX1145" s="38"/>
      <c r="AY1145" s="38"/>
      <c r="AZ1145" s="29">
        <v>30.0</v>
      </c>
      <c r="BA1145" s="29">
        <v>1.0</v>
      </c>
      <c r="BB1145" s="29">
        <v>1.0</v>
      </c>
      <c r="BC1145" s="29"/>
      <c r="BD1145" s="29" t="s">
        <v>92</v>
      </c>
      <c r="BE1145" s="29"/>
      <c r="BF1145" s="29" t="s">
        <v>2014</v>
      </c>
      <c r="BG1145" s="29" t="s">
        <v>91</v>
      </c>
      <c r="BH1145" s="29" t="s">
        <v>88</v>
      </c>
      <c r="BI1145" s="29" t="s">
        <v>2017</v>
      </c>
      <c r="BJ1145" s="29"/>
      <c r="BK1145" s="29" t="s">
        <v>180</v>
      </c>
      <c r="BL1145" s="29" t="s">
        <v>180</v>
      </c>
      <c r="BM1145" s="45"/>
      <c r="BN1145" s="45">
        <v>1.0</v>
      </c>
      <c r="BO1145" s="46" t="s">
        <v>2014</v>
      </c>
      <c r="BP1145" s="2" t="s">
        <v>2018</v>
      </c>
      <c r="BQ1145" s="3"/>
    </row>
    <row r="1146" ht="15.75" customHeight="1">
      <c r="A1146" s="34">
        <v>1160.0</v>
      </c>
      <c r="B1146" s="34">
        <v>103609.0</v>
      </c>
      <c r="C1146" s="34" t="s">
        <v>832</v>
      </c>
      <c r="D1146" s="34" t="s">
        <v>2006</v>
      </c>
      <c r="E1146" s="34" t="s">
        <v>2007</v>
      </c>
      <c r="F1146" s="34">
        <v>2017.0</v>
      </c>
      <c r="G1146" s="34" t="s">
        <v>2008</v>
      </c>
      <c r="H1146" s="34" t="s">
        <v>718</v>
      </c>
      <c r="I1146" s="34" t="s">
        <v>2009</v>
      </c>
      <c r="J1146" s="35"/>
      <c r="K1146" s="36"/>
      <c r="L1146" s="36"/>
      <c r="M1146" s="36"/>
      <c r="N1146" s="36"/>
      <c r="O1146" s="36"/>
      <c r="P1146" s="37">
        <v>-1.0</v>
      </c>
      <c r="Q1146" s="36" t="s">
        <v>96</v>
      </c>
      <c r="R1146" s="36" t="s">
        <v>96</v>
      </c>
      <c r="S1146" s="36">
        <v>30.0</v>
      </c>
      <c r="T1146" s="36" t="s">
        <v>2010</v>
      </c>
      <c r="U1146" s="36" t="s">
        <v>2011</v>
      </c>
      <c r="V1146" s="36">
        <v>33.0</v>
      </c>
      <c r="W1146" s="36" t="s">
        <v>92</v>
      </c>
      <c r="X1146" s="38">
        <v>1.0</v>
      </c>
      <c r="Y1146" s="38" t="s">
        <v>1638</v>
      </c>
      <c r="Z1146" s="38"/>
      <c r="AA1146" s="38" t="s">
        <v>86</v>
      </c>
      <c r="AB1146" s="38">
        <v>40.1786</v>
      </c>
      <c r="AC1146" s="38">
        <v>116.4432</v>
      </c>
      <c r="AD1146" s="38" t="s">
        <v>198</v>
      </c>
      <c r="AE1146" s="38"/>
      <c r="AF1146" s="38"/>
      <c r="AG1146" s="38"/>
      <c r="AH1146" s="38"/>
      <c r="AI1146" s="50">
        <v>40.1786</v>
      </c>
      <c r="AJ1146" s="50">
        <v>116.4432</v>
      </c>
      <c r="AK1146" s="41" t="s">
        <v>86</v>
      </c>
      <c r="AL1146" s="40"/>
      <c r="AM1146" s="49">
        <v>40.0</v>
      </c>
      <c r="AN1146" s="43"/>
      <c r="AO1146" s="42" t="s">
        <v>293</v>
      </c>
      <c r="AP1146" s="43"/>
      <c r="AQ1146" s="44" t="str">
        <f t="shared" si="109"/>
        <v>CRO</v>
      </c>
      <c r="AR1146" s="44">
        <f t="shared" si="106"/>
        <v>40</v>
      </c>
      <c r="AS1146" s="44" t="str">
        <f t="shared" si="107"/>
        <v>B</v>
      </c>
      <c r="AT1146" s="44" t="s">
        <v>1863</v>
      </c>
      <c r="AU1146" s="44" t="str">
        <f t="shared" si="108"/>
        <v>BSk</v>
      </c>
      <c r="AV1146" s="38"/>
      <c r="AW1146" s="38"/>
      <c r="AX1146" s="38"/>
      <c r="AY1146" s="38"/>
      <c r="AZ1146" s="29">
        <v>30.0</v>
      </c>
      <c r="BA1146" s="29">
        <v>1.0</v>
      </c>
      <c r="BB1146" s="29">
        <v>2.0</v>
      </c>
      <c r="BC1146" s="29" t="s">
        <v>2012</v>
      </c>
      <c r="BD1146" s="29" t="s">
        <v>88</v>
      </c>
      <c r="BE1146" s="29"/>
      <c r="BF1146" s="29" t="s">
        <v>2013</v>
      </c>
      <c r="BG1146" s="29" t="s">
        <v>572</v>
      </c>
      <c r="BH1146" s="29"/>
      <c r="BI1146" s="29"/>
      <c r="BJ1146" s="29"/>
      <c r="BK1146" s="29"/>
      <c r="BL1146" s="29"/>
      <c r="BM1146" s="45"/>
      <c r="BN1146" s="45">
        <v>1.0</v>
      </c>
      <c r="BO1146" s="46" t="s">
        <v>2014</v>
      </c>
      <c r="BP1146" s="2"/>
      <c r="BQ1146" s="3"/>
    </row>
    <row r="1147" ht="15.75" customHeight="1">
      <c r="A1147" s="34">
        <v>1161.0</v>
      </c>
      <c r="B1147" s="34">
        <v>103609.0</v>
      </c>
      <c r="C1147" s="34" t="s">
        <v>832</v>
      </c>
      <c r="D1147" s="34" t="s">
        <v>2006</v>
      </c>
      <c r="E1147" s="34" t="s">
        <v>2007</v>
      </c>
      <c r="F1147" s="34">
        <v>2017.0</v>
      </c>
      <c r="G1147" s="34" t="s">
        <v>2008</v>
      </c>
      <c r="H1147" s="34" t="s">
        <v>718</v>
      </c>
      <c r="I1147" s="34" t="s">
        <v>2009</v>
      </c>
      <c r="J1147" s="35"/>
      <c r="K1147" s="36"/>
      <c r="L1147" s="36"/>
      <c r="M1147" s="36"/>
      <c r="N1147" s="36"/>
      <c r="O1147" s="36"/>
      <c r="P1147" s="37">
        <v>1.9</v>
      </c>
      <c r="Q1147" s="36" t="s">
        <v>96</v>
      </c>
      <c r="R1147" s="36" t="s">
        <v>96</v>
      </c>
      <c r="S1147" s="36">
        <v>30.0</v>
      </c>
      <c r="T1147" s="36" t="s">
        <v>2010</v>
      </c>
      <c r="U1147" s="36" t="s">
        <v>2011</v>
      </c>
      <c r="V1147" s="36">
        <v>21.0</v>
      </c>
      <c r="W1147" s="36" t="s">
        <v>88</v>
      </c>
      <c r="X1147" s="38">
        <v>1.0</v>
      </c>
      <c r="Y1147" s="38" t="s">
        <v>1638</v>
      </c>
      <c r="Z1147" s="38"/>
      <c r="AA1147" s="38" t="s">
        <v>86</v>
      </c>
      <c r="AB1147" s="38">
        <v>40.1786</v>
      </c>
      <c r="AC1147" s="38">
        <v>116.4432</v>
      </c>
      <c r="AD1147" s="38" t="s">
        <v>198</v>
      </c>
      <c r="AE1147" s="38"/>
      <c r="AF1147" s="38"/>
      <c r="AG1147" s="38"/>
      <c r="AH1147" s="38"/>
      <c r="AI1147" s="50">
        <v>40.1786</v>
      </c>
      <c r="AJ1147" s="50">
        <v>116.4432</v>
      </c>
      <c r="AK1147" s="41" t="s">
        <v>86</v>
      </c>
      <c r="AL1147" s="40"/>
      <c r="AM1147" s="49">
        <v>40.0</v>
      </c>
      <c r="AN1147" s="43"/>
      <c r="AO1147" s="42" t="s">
        <v>293</v>
      </c>
      <c r="AP1147" s="43"/>
      <c r="AQ1147" s="44" t="str">
        <f t="shared" si="109"/>
        <v>CRO</v>
      </c>
      <c r="AR1147" s="44">
        <f t="shared" si="106"/>
        <v>40</v>
      </c>
      <c r="AS1147" s="44" t="str">
        <f t="shared" si="107"/>
        <v>B</v>
      </c>
      <c r="AT1147" s="44" t="s">
        <v>1863</v>
      </c>
      <c r="AU1147" s="44" t="str">
        <f t="shared" si="108"/>
        <v>BSk</v>
      </c>
      <c r="AV1147" s="38"/>
      <c r="AW1147" s="38"/>
      <c r="AX1147" s="38"/>
      <c r="AY1147" s="38"/>
      <c r="AZ1147" s="29">
        <v>30.0</v>
      </c>
      <c r="BA1147" s="29">
        <v>1.0</v>
      </c>
      <c r="BB1147" s="29">
        <v>2.0</v>
      </c>
      <c r="BC1147" s="29" t="s">
        <v>2015</v>
      </c>
      <c r="BD1147" s="29" t="s">
        <v>88</v>
      </c>
      <c r="BE1147" s="29"/>
      <c r="BF1147" s="29" t="s">
        <v>2013</v>
      </c>
      <c r="BG1147" s="29" t="s">
        <v>572</v>
      </c>
      <c r="BH1147" s="29"/>
      <c r="BI1147" s="29"/>
      <c r="BJ1147" s="29"/>
      <c r="BK1147" s="29"/>
      <c r="BL1147" s="29"/>
      <c r="BM1147" s="45"/>
      <c r="BN1147" s="45">
        <v>1.0</v>
      </c>
      <c r="BO1147" s="46" t="s">
        <v>2014</v>
      </c>
      <c r="BP1147" s="2"/>
      <c r="BQ1147" s="3"/>
    </row>
    <row r="1148" ht="15.75" customHeight="1">
      <c r="A1148" s="34">
        <v>1162.0</v>
      </c>
      <c r="B1148" s="34">
        <v>103609.0</v>
      </c>
      <c r="C1148" s="34" t="s">
        <v>832</v>
      </c>
      <c r="D1148" s="34" t="s">
        <v>2006</v>
      </c>
      <c r="E1148" s="34" t="s">
        <v>2007</v>
      </c>
      <c r="F1148" s="34">
        <v>2017.0</v>
      </c>
      <c r="G1148" s="34" t="s">
        <v>2008</v>
      </c>
      <c r="H1148" s="34" t="s">
        <v>718</v>
      </c>
      <c r="I1148" s="34" t="s">
        <v>2009</v>
      </c>
      <c r="J1148" s="35"/>
      <c r="K1148" s="36"/>
      <c r="L1148" s="36"/>
      <c r="M1148" s="36"/>
      <c r="N1148" s="36"/>
      <c r="O1148" s="36"/>
      <c r="P1148" s="37">
        <v>3.3</v>
      </c>
      <c r="Q1148" s="36" t="s">
        <v>96</v>
      </c>
      <c r="R1148" s="36" t="s">
        <v>96</v>
      </c>
      <c r="S1148" s="36">
        <v>30.0</v>
      </c>
      <c r="T1148" s="36" t="s">
        <v>2010</v>
      </c>
      <c r="U1148" s="36" t="s">
        <v>2011</v>
      </c>
      <c r="V1148" s="36">
        <v>33.0</v>
      </c>
      <c r="W1148" s="36" t="s">
        <v>92</v>
      </c>
      <c r="X1148" s="38">
        <v>1.0</v>
      </c>
      <c r="Y1148" s="38" t="s">
        <v>828</v>
      </c>
      <c r="Z1148" s="38" t="s">
        <v>828</v>
      </c>
      <c r="AA1148" s="38" t="s">
        <v>86</v>
      </c>
      <c r="AB1148" s="38">
        <v>40.630778</v>
      </c>
      <c r="AC1148" s="38">
        <v>117.323278</v>
      </c>
      <c r="AD1148" s="38" t="s">
        <v>198</v>
      </c>
      <c r="AE1148" s="38"/>
      <c r="AF1148" s="38" t="s">
        <v>2016</v>
      </c>
      <c r="AG1148" s="38"/>
      <c r="AH1148" s="38"/>
      <c r="AI1148" s="50">
        <v>40.630778</v>
      </c>
      <c r="AJ1148" s="50">
        <v>117.323278</v>
      </c>
      <c r="AK1148" s="41" t="s">
        <v>288</v>
      </c>
      <c r="AL1148" s="40" t="s">
        <v>288</v>
      </c>
      <c r="AM1148" s="49">
        <v>352.0</v>
      </c>
      <c r="AN1148" s="43">
        <v>352.0</v>
      </c>
      <c r="AO1148" s="42" t="s">
        <v>218</v>
      </c>
      <c r="AP1148" s="43" t="s">
        <v>218</v>
      </c>
      <c r="AQ1148" s="44" t="str">
        <f t="shared" si="109"/>
        <v>CRO</v>
      </c>
      <c r="AR1148" s="44">
        <f t="shared" si="106"/>
        <v>352</v>
      </c>
      <c r="AS1148" s="44" t="str">
        <f t="shared" si="107"/>
        <v>D</v>
      </c>
      <c r="AT1148" s="44" t="s">
        <v>1820</v>
      </c>
      <c r="AU1148" s="44" t="str">
        <f t="shared" si="108"/>
        <v>Dwa</v>
      </c>
      <c r="AV1148" s="38"/>
      <c r="AW1148" s="38"/>
      <c r="AX1148" s="38"/>
      <c r="AY1148" s="38"/>
      <c r="AZ1148" s="29">
        <v>30.0</v>
      </c>
      <c r="BA1148" s="29">
        <v>1.0</v>
      </c>
      <c r="BB1148" s="29">
        <v>1.0</v>
      </c>
      <c r="BC1148" s="29"/>
      <c r="BD1148" s="29" t="s">
        <v>92</v>
      </c>
      <c r="BE1148" s="29"/>
      <c r="BF1148" s="29" t="s">
        <v>2014</v>
      </c>
      <c r="BG1148" s="29" t="s">
        <v>91</v>
      </c>
      <c r="BH1148" s="29" t="s">
        <v>88</v>
      </c>
      <c r="BI1148" s="29" t="s">
        <v>2017</v>
      </c>
      <c r="BJ1148" s="29"/>
      <c r="BK1148" s="29" t="s">
        <v>180</v>
      </c>
      <c r="BL1148" s="29" t="s">
        <v>180</v>
      </c>
      <c r="BM1148" s="45"/>
      <c r="BN1148" s="45">
        <v>1.0</v>
      </c>
      <c r="BO1148" s="46" t="s">
        <v>2014</v>
      </c>
      <c r="BP1148" s="2"/>
      <c r="BQ1148" s="3"/>
    </row>
    <row r="1149" ht="15.75" customHeight="1">
      <c r="A1149" s="34">
        <v>1163.0</v>
      </c>
      <c r="B1149" s="34">
        <v>103609.0</v>
      </c>
      <c r="C1149" s="34" t="s">
        <v>832</v>
      </c>
      <c r="D1149" s="34" t="s">
        <v>2006</v>
      </c>
      <c r="E1149" s="34" t="s">
        <v>2007</v>
      </c>
      <c r="F1149" s="34">
        <v>2017.0</v>
      </c>
      <c r="G1149" s="34" t="s">
        <v>2008</v>
      </c>
      <c r="H1149" s="34" t="s">
        <v>718</v>
      </c>
      <c r="I1149" s="34" t="s">
        <v>2009</v>
      </c>
      <c r="J1149" s="35"/>
      <c r="K1149" s="36"/>
      <c r="L1149" s="36"/>
      <c r="M1149" s="36"/>
      <c r="N1149" s="36"/>
      <c r="O1149" s="36"/>
      <c r="P1149" s="37">
        <v>5.2</v>
      </c>
      <c r="Q1149" s="36" t="s">
        <v>96</v>
      </c>
      <c r="R1149" s="36" t="s">
        <v>96</v>
      </c>
      <c r="S1149" s="36">
        <v>30.0</v>
      </c>
      <c r="T1149" s="36" t="s">
        <v>2010</v>
      </c>
      <c r="U1149" s="36" t="s">
        <v>2011</v>
      </c>
      <c r="V1149" s="36">
        <v>21.0</v>
      </c>
      <c r="W1149" s="36" t="s">
        <v>88</v>
      </c>
      <c r="X1149" s="38">
        <v>1.0</v>
      </c>
      <c r="Y1149" s="38" t="s">
        <v>828</v>
      </c>
      <c r="Z1149" s="38" t="s">
        <v>828</v>
      </c>
      <c r="AA1149" s="38" t="s">
        <v>86</v>
      </c>
      <c r="AB1149" s="38">
        <v>40.630778</v>
      </c>
      <c r="AC1149" s="38">
        <v>117.323278</v>
      </c>
      <c r="AD1149" s="38" t="s">
        <v>198</v>
      </c>
      <c r="AE1149" s="38"/>
      <c r="AF1149" s="38" t="s">
        <v>2016</v>
      </c>
      <c r="AG1149" s="38"/>
      <c r="AH1149" s="38"/>
      <c r="AI1149" s="50">
        <v>40.630778</v>
      </c>
      <c r="AJ1149" s="50">
        <v>117.323278</v>
      </c>
      <c r="AK1149" s="41" t="s">
        <v>288</v>
      </c>
      <c r="AL1149" s="40" t="s">
        <v>288</v>
      </c>
      <c r="AM1149" s="49">
        <v>352.0</v>
      </c>
      <c r="AN1149" s="43">
        <v>352.0</v>
      </c>
      <c r="AO1149" s="42" t="s">
        <v>218</v>
      </c>
      <c r="AP1149" s="43" t="s">
        <v>218</v>
      </c>
      <c r="AQ1149" s="44" t="str">
        <f t="shared" si="109"/>
        <v>CRO</v>
      </c>
      <c r="AR1149" s="44">
        <f t="shared" si="106"/>
        <v>352</v>
      </c>
      <c r="AS1149" s="44" t="str">
        <f t="shared" si="107"/>
        <v>D</v>
      </c>
      <c r="AT1149" s="44" t="s">
        <v>1820</v>
      </c>
      <c r="AU1149" s="44" t="str">
        <f t="shared" si="108"/>
        <v>Dwa</v>
      </c>
      <c r="AV1149" s="38"/>
      <c r="AW1149" s="38"/>
      <c r="AX1149" s="38"/>
      <c r="AY1149" s="38"/>
      <c r="AZ1149" s="29">
        <v>30.0</v>
      </c>
      <c r="BA1149" s="29">
        <v>1.0</v>
      </c>
      <c r="BB1149" s="29">
        <v>1.0</v>
      </c>
      <c r="BC1149" s="29"/>
      <c r="BD1149" s="29" t="s">
        <v>92</v>
      </c>
      <c r="BE1149" s="29"/>
      <c r="BF1149" s="29" t="s">
        <v>2014</v>
      </c>
      <c r="BG1149" s="29" t="s">
        <v>91</v>
      </c>
      <c r="BH1149" s="29" t="s">
        <v>88</v>
      </c>
      <c r="BI1149" s="29" t="s">
        <v>2017</v>
      </c>
      <c r="BJ1149" s="29"/>
      <c r="BK1149" s="29" t="s">
        <v>180</v>
      </c>
      <c r="BL1149" s="29" t="s">
        <v>180</v>
      </c>
      <c r="BM1149" s="45"/>
      <c r="BN1149" s="45">
        <v>1.0</v>
      </c>
      <c r="BO1149" s="46" t="s">
        <v>2014</v>
      </c>
      <c r="BP1149" s="2"/>
      <c r="BQ1149" s="3"/>
    </row>
    <row r="1150" ht="15.75" customHeight="1">
      <c r="A1150" s="34">
        <v>1164.0</v>
      </c>
      <c r="B1150" s="34">
        <v>103609.0</v>
      </c>
      <c r="C1150" s="34" t="s">
        <v>832</v>
      </c>
      <c r="D1150" s="34" t="s">
        <v>2006</v>
      </c>
      <c r="E1150" s="34" t="s">
        <v>2007</v>
      </c>
      <c r="F1150" s="34">
        <v>2017.0</v>
      </c>
      <c r="G1150" s="34" t="s">
        <v>2008</v>
      </c>
      <c r="H1150" s="34" t="s">
        <v>718</v>
      </c>
      <c r="I1150" s="34" t="s">
        <v>2009</v>
      </c>
      <c r="J1150" s="35"/>
      <c r="K1150" s="36"/>
      <c r="L1150" s="36"/>
      <c r="M1150" s="36"/>
      <c r="N1150" s="36"/>
      <c r="O1150" s="36"/>
      <c r="P1150" s="37">
        <v>-9.1</v>
      </c>
      <c r="Q1150" s="36" t="s">
        <v>96</v>
      </c>
      <c r="R1150" s="36" t="s">
        <v>96</v>
      </c>
      <c r="S1150" s="36">
        <v>30.0</v>
      </c>
      <c r="T1150" s="36" t="s">
        <v>2010</v>
      </c>
      <c r="U1150" s="36" t="s">
        <v>2011</v>
      </c>
      <c r="V1150" s="36">
        <v>33.0</v>
      </c>
      <c r="W1150" s="36" t="s">
        <v>92</v>
      </c>
      <c r="X1150" s="38">
        <v>2.0</v>
      </c>
      <c r="Y1150" s="38" t="s">
        <v>2019</v>
      </c>
      <c r="Z1150" s="38"/>
      <c r="AA1150" s="38" t="s">
        <v>86</v>
      </c>
      <c r="AB1150" s="38"/>
      <c r="AC1150" s="38"/>
      <c r="AD1150" s="38" t="s">
        <v>198</v>
      </c>
      <c r="AE1150" s="38"/>
      <c r="AF1150" s="38"/>
      <c r="AG1150" s="38"/>
      <c r="AH1150" s="38"/>
      <c r="AI1150" s="40"/>
      <c r="AJ1150" s="40"/>
      <c r="AK1150" s="41"/>
      <c r="AL1150" s="40"/>
      <c r="AM1150" s="49"/>
      <c r="AN1150" s="43"/>
      <c r="AO1150" s="42"/>
      <c r="AP1150" s="43"/>
      <c r="AQ1150" s="44" t="str">
        <f t="shared" si="109"/>
        <v>CRO</v>
      </c>
      <c r="AR1150" s="44" t="str">
        <f t="shared" si="106"/>
        <v/>
      </c>
      <c r="AS1150" s="44"/>
      <c r="AT1150" s="44" t="str">
        <f t="shared" ref="AT1150:AT1153" si="110">LEFT(AP1150,2)</f>
        <v/>
      </c>
      <c r="AU1150" s="44" t="str">
        <f t="shared" ref="AU1150:AU1153" si="111">AP1150</f>
        <v/>
      </c>
      <c r="AV1150" s="38"/>
      <c r="AW1150" s="38"/>
      <c r="AX1150" s="38"/>
      <c r="AY1150" s="38"/>
      <c r="AZ1150" s="29">
        <v>30.0</v>
      </c>
      <c r="BA1150" s="29">
        <v>1.0</v>
      </c>
      <c r="BB1150" s="29">
        <v>2.0</v>
      </c>
      <c r="BC1150" s="29" t="s">
        <v>2020</v>
      </c>
      <c r="BD1150" s="29" t="s">
        <v>88</v>
      </c>
      <c r="BE1150" s="29"/>
      <c r="BF1150" s="29" t="s">
        <v>939</v>
      </c>
      <c r="BG1150" s="29" t="s">
        <v>220</v>
      </c>
      <c r="BH1150" s="29"/>
      <c r="BI1150" s="29"/>
      <c r="BJ1150" s="29"/>
      <c r="BK1150" s="29" t="s">
        <v>180</v>
      </c>
      <c r="BL1150" s="29"/>
      <c r="BM1150" s="45"/>
      <c r="BN1150" s="45">
        <v>1.0</v>
      </c>
      <c r="BO1150" s="46" t="s">
        <v>2014</v>
      </c>
      <c r="BP1150" s="2"/>
      <c r="BQ1150" s="3"/>
    </row>
    <row r="1151" ht="15.75" customHeight="1">
      <c r="A1151" s="34">
        <v>1165.0</v>
      </c>
      <c r="B1151" s="34">
        <v>103609.0</v>
      </c>
      <c r="C1151" s="34" t="s">
        <v>832</v>
      </c>
      <c r="D1151" s="34" t="s">
        <v>2006</v>
      </c>
      <c r="E1151" s="34" t="s">
        <v>2007</v>
      </c>
      <c r="F1151" s="34">
        <v>2017.0</v>
      </c>
      <c r="G1151" s="34" t="s">
        <v>2008</v>
      </c>
      <c r="H1151" s="34" t="s">
        <v>718</v>
      </c>
      <c r="I1151" s="34" t="s">
        <v>2009</v>
      </c>
      <c r="J1151" s="35"/>
      <c r="K1151" s="36"/>
      <c r="L1151" s="36"/>
      <c r="M1151" s="36"/>
      <c r="N1151" s="36"/>
      <c r="O1151" s="36"/>
      <c r="P1151" s="37">
        <v>-22.9</v>
      </c>
      <c r="Q1151" s="36" t="s">
        <v>96</v>
      </c>
      <c r="R1151" s="36" t="s">
        <v>96</v>
      </c>
      <c r="S1151" s="36">
        <v>30.0</v>
      </c>
      <c r="T1151" s="36" t="s">
        <v>2010</v>
      </c>
      <c r="U1151" s="36" t="s">
        <v>2011</v>
      </c>
      <c r="V1151" s="36">
        <v>21.0</v>
      </c>
      <c r="W1151" s="36" t="s">
        <v>88</v>
      </c>
      <c r="X1151" s="38">
        <v>2.0</v>
      </c>
      <c r="Y1151" s="38" t="s">
        <v>2019</v>
      </c>
      <c r="Z1151" s="38"/>
      <c r="AA1151" s="38" t="s">
        <v>86</v>
      </c>
      <c r="AB1151" s="38"/>
      <c r="AC1151" s="38"/>
      <c r="AD1151" s="38" t="s">
        <v>198</v>
      </c>
      <c r="AE1151" s="38"/>
      <c r="AF1151" s="38"/>
      <c r="AG1151" s="38"/>
      <c r="AH1151" s="38"/>
      <c r="AI1151" s="40"/>
      <c r="AJ1151" s="40"/>
      <c r="AK1151" s="41"/>
      <c r="AL1151" s="40"/>
      <c r="AM1151" s="49"/>
      <c r="AN1151" s="43"/>
      <c r="AO1151" s="42"/>
      <c r="AP1151" s="43"/>
      <c r="AQ1151" s="44" t="str">
        <f t="shared" si="109"/>
        <v>CRO</v>
      </c>
      <c r="AR1151" s="44" t="str">
        <f t="shared" si="106"/>
        <v/>
      </c>
      <c r="AS1151" s="44"/>
      <c r="AT1151" s="44" t="str">
        <f t="shared" si="110"/>
        <v/>
      </c>
      <c r="AU1151" s="44" t="str">
        <f t="shared" si="111"/>
        <v/>
      </c>
      <c r="AV1151" s="38"/>
      <c r="AW1151" s="38"/>
      <c r="AX1151" s="38"/>
      <c r="AY1151" s="38"/>
      <c r="AZ1151" s="29">
        <v>30.0</v>
      </c>
      <c r="BA1151" s="29">
        <v>1.0</v>
      </c>
      <c r="BB1151" s="29">
        <v>2.0</v>
      </c>
      <c r="BC1151" s="29" t="s">
        <v>2021</v>
      </c>
      <c r="BD1151" s="29" t="s">
        <v>88</v>
      </c>
      <c r="BE1151" s="29"/>
      <c r="BF1151" s="29" t="s">
        <v>939</v>
      </c>
      <c r="BG1151" s="29" t="s">
        <v>220</v>
      </c>
      <c r="BH1151" s="29"/>
      <c r="BI1151" s="29"/>
      <c r="BJ1151" s="29"/>
      <c r="BK1151" s="29" t="s">
        <v>180</v>
      </c>
      <c r="BL1151" s="29"/>
      <c r="BM1151" s="45"/>
      <c r="BN1151" s="45">
        <v>1.0</v>
      </c>
      <c r="BO1151" s="46" t="s">
        <v>2014</v>
      </c>
      <c r="BP1151" s="2"/>
      <c r="BQ1151" s="3"/>
    </row>
    <row r="1152" ht="15.75" customHeight="1">
      <c r="A1152" s="34">
        <v>1166.0</v>
      </c>
      <c r="B1152" s="34">
        <v>103609.0</v>
      </c>
      <c r="C1152" s="34" t="s">
        <v>832</v>
      </c>
      <c r="D1152" s="34" t="s">
        <v>2006</v>
      </c>
      <c r="E1152" s="34" t="s">
        <v>2007</v>
      </c>
      <c r="F1152" s="34">
        <v>2017.0</v>
      </c>
      <c r="G1152" s="34" t="s">
        <v>2008</v>
      </c>
      <c r="H1152" s="34" t="s">
        <v>718</v>
      </c>
      <c r="I1152" s="34" t="s">
        <v>2009</v>
      </c>
      <c r="J1152" s="35"/>
      <c r="K1152" s="36"/>
      <c r="L1152" s="36"/>
      <c r="M1152" s="36"/>
      <c r="N1152" s="36"/>
      <c r="O1152" s="36"/>
      <c r="P1152" s="37">
        <v>0.99</v>
      </c>
      <c r="Q1152" s="36" t="s">
        <v>96</v>
      </c>
      <c r="R1152" s="36" t="s">
        <v>96</v>
      </c>
      <c r="S1152" s="36">
        <v>1000.0</v>
      </c>
      <c r="T1152" s="36" t="s">
        <v>2010</v>
      </c>
      <c r="U1152" s="36" t="s">
        <v>2011</v>
      </c>
      <c r="V1152" s="36">
        <v>33.0</v>
      </c>
      <c r="W1152" s="36" t="s">
        <v>92</v>
      </c>
      <c r="X1152" s="38">
        <v>2.0</v>
      </c>
      <c r="Y1152" s="38" t="s">
        <v>2019</v>
      </c>
      <c r="Z1152" s="38"/>
      <c r="AA1152" s="38" t="s">
        <v>86</v>
      </c>
      <c r="AB1152" s="38"/>
      <c r="AC1152" s="38"/>
      <c r="AD1152" s="38" t="s">
        <v>198</v>
      </c>
      <c r="AE1152" s="38"/>
      <c r="AF1152" s="38"/>
      <c r="AG1152" s="38"/>
      <c r="AH1152" s="38"/>
      <c r="AI1152" s="40"/>
      <c r="AJ1152" s="40"/>
      <c r="AK1152" s="41"/>
      <c r="AL1152" s="40"/>
      <c r="AM1152" s="49"/>
      <c r="AN1152" s="43"/>
      <c r="AO1152" s="42"/>
      <c r="AP1152" s="43"/>
      <c r="AQ1152" s="44" t="str">
        <f t="shared" si="109"/>
        <v>CRO</v>
      </c>
      <c r="AR1152" s="44" t="str">
        <f t="shared" si="106"/>
        <v/>
      </c>
      <c r="AS1152" s="44"/>
      <c r="AT1152" s="44" t="str">
        <f t="shared" si="110"/>
        <v/>
      </c>
      <c r="AU1152" s="44" t="str">
        <f t="shared" si="111"/>
        <v/>
      </c>
      <c r="AV1152" s="38"/>
      <c r="AW1152" s="38"/>
      <c r="AX1152" s="38"/>
      <c r="AY1152" s="38"/>
      <c r="AZ1152" s="29">
        <v>1000.0</v>
      </c>
      <c r="BA1152" s="29">
        <v>1.0</v>
      </c>
      <c r="BB1152" s="29">
        <v>2.0</v>
      </c>
      <c r="BC1152" s="29" t="s">
        <v>2022</v>
      </c>
      <c r="BD1152" s="29" t="s">
        <v>88</v>
      </c>
      <c r="BE1152" s="29"/>
      <c r="BF1152" s="29" t="s">
        <v>939</v>
      </c>
      <c r="BG1152" s="29" t="s">
        <v>220</v>
      </c>
      <c r="BH1152" s="29"/>
      <c r="BI1152" s="29"/>
      <c r="BJ1152" s="29"/>
      <c r="BK1152" s="29" t="s">
        <v>148</v>
      </c>
      <c r="BL1152" s="29"/>
      <c r="BM1152" s="45"/>
      <c r="BN1152" s="45">
        <v>1.0</v>
      </c>
      <c r="BO1152" s="46" t="s">
        <v>2014</v>
      </c>
      <c r="BP1152" s="2"/>
      <c r="BQ1152" s="3"/>
    </row>
    <row r="1153" ht="15.75" customHeight="1">
      <c r="A1153" s="34">
        <v>1167.0</v>
      </c>
      <c r="B1153" s="34">
        <v>103609.0</v>
      </c>
      <c r="C1153" s="34" t="s">
        <v>832</v>
      </c>
      <c r="D1153" s="34" t="s">
        <v>2006</v>
      </c>
      <c r="E1153" s="34" t="s">
        <v>2007</v>
      </c>
      <c r="F1153" s="34">
        <v>2017.0</v>
      </c>
      <c r="G1153" s="34" t="s">
        <v>2008</v>
      </c>
      <c r="H1153" s="34" t="s">
        <v>718</v>
      </c>
      <c r="I1153" s="34" t="s">
        <v>2009</v>
      </c>
      <c r="J1153" s="35"/>
      <c r="K1153" s="36"/>
      <c r="L1153" s="36"/>
      <c r="M1153" s="36"/>
      <c r="N1153" s="36"/>
      <c r="O1153" s="36"/>
      <c r="P1153" s="37">
        <v>-1.13</v>
      </c>
      <c r="Q1153" s="36" t="s">
        <v>96</v>
      </c>
      <c r="R1153" s="36" t="s">
        <v>96</v>
      </c>
      <c r="S1153" s="36">
        <v>1000.0</v>
      </c>
      <c r="T1153" s="36" t="s">
        <v>2010</v>
      </c>
      <c r="U1153" s="36" t="s">
        <v>2011</v>
      </c>
      <c r="V1153" s="36">
        <v>21.0</v>
      </c>
      <c r="W1153" s="36" t="s">
        <v>88</v>
      </c>
      <c r="X1153" s="38">
        <v>2.0</v>
      </c>
      <c r="Y1153" s="38" t="s">
        <v>2019</v>
      </c>
      <c r="Z1153" s="38"/>
      <c r="AA1153" s="38" t="s">
        <v>86</v>
      </c>
      <c r="AB1153" s="38"/>
      <c r="AC1153" s="38"/>
      <c r="AD1153" s="38" t="s">
        <v>198</v>
      </c>
      <c r="AE1153" s="38"/>
      <c r="AF1153" s="38"/>
      <c r="AG1153" s="38"/>
      <c r="AH1153" s="38"/>
      <c r="AI1153" s="40"/>
      <c r="AJ1153" s="40"/>
      <c r="AK1153" s="41"/>
      <c r="AL1153" s="40"/>
      <c r="AM1153" s="49"/>
      <c r="AN1153" s="43"/>
      <c r="AO1153" s="42"/>
      <c r="AP1153" s="43"/>
      <c r="AQ1153" s="44" t="str">
        <f t="shared" si="109"/>
        <v>CRO</v>
      </c>
      <c r="AR1153" s="44" t="str">
        <f t="shared" si="106"/>
        <v/>
      </c>
      <c r="AS1153" s="44"/>
      <c r="AT1153" s="44" t="str">
        <f t="shared" si="110"/>
        <v/>
      </c>
      <c r="AU1153" s="44" t="str">
        <f t="shared" si="111"/>
        <v/>
      </c>
      <c r="AV1153" s="38"/>
      <c r="AW1153" s="38"/>
      <c r="AX1153" s="38"/>
      <c r="AY1153" s="38"/>
      <c r="AZ1153" s="29">
        <v>1000.0</v>
      </c>
      <c r="BA1153" s="29">
        <v>1.0</v>
      </c>
      <c r="BB1153" s="29">
        <v>2.0</v>
      </c>
      <c r="BC1153" s="29" t="s">
        <v>2023</v>
      </c>
      <c r="BD1153" s="29" t="s">
        <v>88</v>
      </c>
      <c r="BE1153" s="29"/>
      <c r="BF1153" s="29" t="s">
        <v>939</v>
      </c>
      <c r="BG1153" s="29" t="s">
        <v>220</v>
      </c>
      <c r="BH1153" s="29"/>
      <c r="BI1153" s="29"/>
      <c r="BJ1153" s="29"/>
      <c r="BK1153" s="29" t="s">
        <v>148</v>
      </c>
      <c r="BL1153" s="29"/>
      <c r="BM1153" s="45"/>
      <c r="BN1153" s="45">
        <v>1.0</v>
      </c>
      <c r="BO1153" s="46" t="s">
        <v>2014</v>
      </c>
      <c r="BP1153" s="2"/>
      <c r="BQ1153" s="3"/>
    </row>
    <row r="1154" ht="15.75" customHeight="1">
      <c r="A1154" s="34">
        <v>1168.0</v>
      </c>
      <c r="B1154" s="34">
        <v>103609.0</v>
      </c>
      <c r="C1154" s="34" t="s">
        <v>832</v>
      </c>
      <c r="D1154" s="34" t="s">
        <v>2006</v>
      </c>
      <c r="E1154" s="34" t="s">
        <v>2007</v>
      </c>
      <c r="F1154" s="34">
        <v>2017.0</v>
      </c>
      <c r="G1154" s="34" t="s">
        <v>2008</v>
      </c>
      <c r="H1154" s="34" t="s">
        <v>718</v>
      </c>
      <c r="I1154" s="34" t="s">
        <v>2009</v>
      </c>
      <c r="J1154" s="35"/>
      <c r="K1154" s="36"/>
      <c r="L1154" s="36"/>
      <c r="M1154" s="36"/>
      <c r="N1154" s="36"/>
      <c r="O1154" s="36"/>
      <c r="P1154" s="37">
        <v>2.6</v>
      </c>
      <c r="Q1154" s="36" t="s">
        <v>96</v>
      </c>
      <c r="R1154" s="36" t="s">
        <v>96</v>
      </c>
      <c r="S1154" s="36">
        <v>30.0</v>
      </c>
      <c r="T1154" s="36" t="s">
        <v>2010</v>
      </c>
      <c r="U1154" s="36" t="s">
        <v>2011</v>
      </c>
      <c r="V1154" s="36">
        <v>33.0</v>
      </c>
      <c r="W1154" s="36" t="s">
        <v>92</v>
      </c>
      <c r="X1154" s="38">
        <v>1.0</v>
      </c>
      <c r="Y1154" s="38" t="s">
        <v>1638</v>
      </c>
      <c r="Z1154" s="38"/>
      <c r="AA1154" s="38" t="s">
        <v>86</v>
      </c>
      <c r="AB1154" s="38">
        <v>40.1786</v>
      </c>
      <c r="AC1154" s="38">
        <v>116.4432</v>
      </c>
      <c r="AD1154" s="38" t="s">
        <v>198</v>
      </c>
      <c r="AE1154" s="38"/>
      <c r="AF1154" s="38"/>
      <c r="AG1154" s="38"/>
      <c r="AH1154" s="38"/>
      <c r="AI1154" s="50">
        <v>40.1786</v>
      </c>
      <c r="AJ1154" s="50">
        <v>116.4432</v>
      </c>
      <c r="AK1154" s="41" t="s">
        <v>86</v>
      </c>
      <c r="AL1154" s="40"/>
      <c r="AM1154" s="49">
        <v>40.0</v>
      </c>
      <c r="AN1154" s="43"/>
      <c r="AO1154" s="42" t="s">
        <v>293</v>
      </c>
      <c r="AP1154" s="43"/>
      <c r="AQ1154" s="44" t="str">
        <f t="shared" si="109"/>
        <v>CRO</v>
      </c>
      <c r="AR1154" s="44">
        <f t="shared" si="106"/>
        <v>40</v>
      </c>
      <c r="AS1154" s="44" t="str">
        <f t="shared" ref="AS1154:AS1187" si="112">LEFT(AO1154,1)</f>
        <v>B</v>
      </c>
      <c r="AT1154" s="44" t="s">
        <v>1863</v>
      </c>
      <c r="AU1154" s="44" t="str">
        <f>AO1154</f>
        <v>BSk</v>
      </c>
      <c r="AV1154" s="38"/>
      <c r="AW1154" s="38"/>
      <c r="AX1154" s="38"/>
      <c r="AY1154" s="38"/>
      <c r="AZ1154" s="29">
        <v>30.0</v>
      </c>
      <c r="BA1154" s="29">
        <v>1.0</v>
      </c>
      <c r="BB1154" s="29">
        <v>2.0</v>
      </c>
      <c r="BC1154" s="29" t="s">
        <v>2024</v>
      </c>
      <c r="BD1154" s="29" t="s">
        <v>88</v>
      </c>
      <c r="BE1154" s="29"/>
      <c r="BF1154" s="29" t="s">
        <v>939</v>
      </c>
      <c r="BG1154" s="29" t="s">
        <v>220</v>
      </c>
      <c r="BH1154" s="29"/>
      <c r="BI1154" s="29"/>
      <c r="BJ1154" s="29"/>
      <c r="BK1154" s="29" t="s">
        <v>2025</v>
      </c>
      <c r="BL1154" s="29"/>
      <c r="BM1154" s="45"/>
      <c r="BN1154" s="45">
        <v>1.0</v>
      </c>
      <c r="BO1154" s="46" t="s">
        <v>2014</v>
      </c>
      <c r="BP1154" s="2"/>
      <c r="BQ1154" s="3"/>
    </row>
    <row r="1155" ht="15.75" customHeight="1">
      <c r="A1155" s="34">
        <v>1170.0</v>
      </c>
      <c r="B1155" s="34">
        <v>101585.0</v>
      </c>
      <c r="C1155" s="34" t="s">
        <v>415</v>
      </c>
      <c r="D1155" s="34" t="s">
        <v>2026</v>
      </c>
      <c r="E1155" s="34" t="s">
        <v>2027</v>
      </c>
      <c r="F1155" s="34">
        <v>2013.0</v>
      </c>
      <c r="G1155" s="34" t="s">
        <v>2028</v>
      </c>
      <c r="H1155" s="34" t="s">
        <v>2029</v>
      </c>
      <c r="I1155" s="34" t="s">
        <v>2030</v>
      </c>
      <c r="J1155" s="35"/>
      <c r="K1155" s="36"/>
      <c r="L1155" s="36"/>
      <c r="M1155" s="36"/>
      <c r="N1155" s="36">
        <v>-20.27</v>
      </c>
      <c r="O1155" s="36">
        <v>467.4</v>
      </c>
      <c r="P1155" s="83">
        <f t="shared" ref="P1155:P1172" si="113">N1155*100/O1155</f>
        <v>-4.336756525</v>
      </c>
      <c r="Q1155" s="36"/>
      <c r="R1155" s="36" t="s">
        <v>82</v>
      </c>
      <c r="S1155" s="36">
        <v>60.0</v>
      </c>
      <c r="T1155" s="36" t="s">
        <v>2031</v>
      </c>
      <c r="U1155" s="36" t="s">
        <v>2032</v>
      </c>
      <c r="V1155" s="36">
        <v>835.0</v>
      </c>
      <c r="W1155" s="36"/>
      <c r="X1155" s="38">
        <v>1.0</v>
      </c>
      <c r="Y1155" s="38" t="s">
        <v>2033</v>
      </c>
      <c r="Z1155" s="38" t="s">
        <v>2034</v>
      </c>
      <c r="AA1155" s="38" t="s">
        <v>86</v>
      </c>
      <c r="AB1155" s="38" t="s">
        <v>2035</v>
      </c>
      <c r="AC1155" s="38"/>
      <c r="AD1155" s="39" t="s">
        <v>87</v>
      </c>
      <c r="AE1155" s="38"/>
      <c r="AF1155" s="38" t="s">
        <v>2036</v>
      </c>
      <c r="AG1155" s="38"/>
      <c r="AH1155" s="38"/>
      <c r="AI1155" s="50">
        <v>41.978664</v>
      </c>
      <c r="AJ1155" s="50">
        <v>-93.739613</v>
      </c>
      <c r="AK1155" s="41" t="s">
        <v>86</v>
      </c>
      <c r="AL1155" s="40" t="s">
        <v>86</v>
      </c>
      <c r="AM1155" s="49">
        <v>323.0</v>
      </c>
      <c r="AN1155" s="51">
        <v>323.0</v>
      </c>
      <c r="AO1155" s="42" t="s">
        <v>107</v>
      </c>
      <c r="AP1155" s="43" t="s">
        <v>108</v>
      </c>
      <c r="AQ1155" s="44" t="str">
        <f t="shared" si="109"/>
        <v>CRO</v>
      </c>
      <c r="AR1155" s="44">
        <f t="shared" si="106"/>
        <v>323</v>
      </c>
      <c r="AS1155" s="44" t="str">
        <f t="shared" si="112"/>
        <v>D</v>
      </c>
      <c r="AT1155" s="44" t="str">
        <f t="shared" ref="AT1155:AT1650" si="114">LEFT(AP1155,2)</f>
        <v>Df</v>
      </c>
      <c r="AU1155" s="44" t="str">
        <f t="shared" ref="AU1155:AU1650" si="115">AP1155</f>
        <v>Dfa</v>
      </c>
      <c r="AV1155" s="38">
        <v>3.0</v>
      </c>
      <c r="AW1155" s="38"/>
      <c r="AX1155" s="38">
        <v>100.0</v>
      </c>
      <c r="AY1155" s="38" t="s">
        <v>92</v>
      </c>
      <c r="AZ1155" s="29">
        <v>60.0</v>
      </c>
      <c r="BA1155" s="29">
        <v>1.0</v>
      </c>
      <c r="BB1155" s="29">
        <v>1.0</v>
      </c>
      <c r="BC1155" s="29"/>
      <c r="BD1155" s="29" t="s">
        <v>92</v>
      </c>
      <c r="BE1155" s="29"/>
      <c r="BF1155" s="29" t="s">
        <v>2037</v>
      </c>
      <c r="BG1155" s="29" t="s">
        <v>220</v>
      </c>
      <c r="BH1155" s="29" t="s">
        <v>88</v>
      </c>
      <c r="BI1155" s="29" t="s">
        <v>882</v>
      </c>
      <c r="BJ1155" s="29" t="s">
        <v>2038</v>
      </c>
      <c r="BK1155" s="29" t="s">
        <v>2038</v>
      </c>
      <c r="BL1155" s="29"/>
      <c r="BM1155" s="45"/>
      <c r="BN1155" s="45">
        <v>1.0</v>
      </c>
      <c r="BO1155" s="46">
        <v>1.0</v>
      </c>
      <c r="BP1155" s="2"/>
      <c r="BQ1155" s="3"/>
    </row>
    <row r="1156" ht="15.75" customHeight="1">
      <c r="A1156" s="34">
        <v>1171.0</v>
      </c>
      <c r="B1156" s="34">
        <v>101585.0</v>
      </c>
      <c r="C1156" s="34" t="s">
        <v>415</v>
      </c>
      <c r="D1156" s="34" t="s">
        <v>2039</v>
      </c>
      <c r="E1156" s="34" t="s">
        <v>2027</v>
      </c>
      <c r="F1156" s="34">
        <v>2013.0</v>
      </c>
      <c r="G1156" s="34" t="s">
        <v>2028</v>
      </c>
      <c r="H1156" s="34" t="s">
        <v>2029</v>
      </c>
      <c r="I1156" s="34" t="s">
        <v>2030</v>
      </c>
      <c r="J1156" s="35"/>
      <c r="K1156" s="36"/>
      <c r="L1156" s="36"/>
      <c r="M1156" s="36"/>
      <c r="N1156" s="36">
        <v>-26.26</v>
      </c>
      <c r="O1156" s="36">
        <v>540.9</v>
      </c>
      <c r="P1156" s="83">
        <f t="shared" si="113"/>
        <v>-4.85487151</v>
      </c>
      <c r="Q1156" s="36"/>
      <c r="R1156" s="36" t="s">
        <v>82</v>
      </c>
      <c r="S1156" s="36">
        <v>60.0</v>
      </c>
      <c r="T1156" s="36" t="s">
        <v>2031</v>
      </c>
      <c r="U1156" s="36" t="s">
        <v>2032</v>
      </c>
      <c r="V1156" s="36">
        <v>840.0</v>
      </c>
      <c r="W1156" s="36"/>
      <c r="X1156" s="38">
        <v>1.0</v>
      </c>
      <c r="Y1156" s="38" t="s">
        <v>2040</v>
      </c>
      <c r="Z1156" s="38" t="s">
        <v>2041</v>
      </c>
      <c r="AA1156" s="38" t="s">
        <v>86</v>
      </c>
      <c r="AB1156" s="38"/>
      <c r="AC1156" s="38"/>
      <c r="AD1156" s="39" t="s">
        <v>87</v>
      </c>
      <c r="AE1156" s="38"/>
      <c r="AF1156" s="38" t="s">
        <v>525</v>
      </c>
      <c r="AG1156" s="38"/>
      <c r="AH1156" s="38"/>
      <c r="AI1156" s="50">
        <v>41.930754</v>
      </c>
      <c r="AJ1156" s="50">
        <v>-93.754406</v>
      </c>
      <c r="AK1156" s="41" t="s">
        <v>86</v>
      </c>
      <c r="AL1156" s="40" t="s">
        <v>86</v>
      </c>
      <c r="AM1156" s="49">
        <v>312.0</v>
      </c>
      <c r="AN1156" s="51">
        <v>312.0</v>
      </c>
      <c r="AO1156" s="42" t="s">
        <v>107</v>
      </c>
      <c r="AP1156" s="43" t="s">
        <v>108</v>
      </c>
      <c r="AQ1156" s="44" t="str">
        <f t="shared" si="109"/>
        <v>CRO</v>
      </c>
      <c r="AR1156" s="44">
        <f t="shared" si="106"/>
        <v>312</v>
      </c>
      <c r="AS1156" s="44" t="str">
        <f t="shared" si="112"/>
        <v>D</v>
      </c>
      <c r="AT1156" s="44" t="str">
        <f t="shared" si="114"/>
        <v>Df</v>
      </c>
      <c r="AU1156" s="44" t="str">
        <f t="shared" si="115"/>
        <v>Dfa</v>
      </c>
      <c r="AV1156" s="38">
        <v>3.0</v>
      </c>
      <c r="AW1156" s="38"/>
      <c r="AX1156" s="38">
        <v>100.0</v>
      </c>
      <c r="AY1156" s="38" t="s">
        <v>92</v>
      </c>
      <c r="AZ1156" s="29">
        <v>60.0</v>
      </c>
      <c r="BA1156" s="29">
        <v>1.0</v>
      </c>
      <c r="BB1156" s="29">
        <v>1.0</v>
      </c>
      <c r="BC1156" s="29"/>
      <c r="BD1156" s="29" t="s">
        <v>92</v>
      </c>
      <c r="BE1156" s="29"/>
      <c r="BF1156" s="29" t="s">
        <v>2037</v>
      </c>
      <c r="BG1156" s="29" t="s">
        <v>220</v>
      </c>
      <c r="BH1156" s="29" t="s">
        <v>88</v>
      </c>
      <c r="BI1156" s="29" t="s">
        <v>882</v>
      </c>
      <c r="BJ1156" s="29" t="s">
        <v>2038</v>
      </c>
      <c r="BK1156" s="29" t="s">
        <v>2038</v>
      </c>
      <c r="BL1156" s="29"/>
      <c r="BM1156" s="45"/>
      <c r="BN1156" s="45"/>
      <c r="BO1156" s="46"/>
      <c r="BP1156" s="2"/>
      <c r="BQ1156" s="3"/>
    </row>
    <row r="1157" ht="15.75" customHeight="1">
      <c r="A1157" s="34">
        <v>1172.0</v>
      </c>
      <c r="B1157" s="34">
        <v>101585.0</v>
      </c>
      <c r="C1157" s="34" t="s">
        <v>415</v>
      </c>
      <c r="D1157" s="34" t="s">
        <v>2042</v>
      </c>
      <c r="E1157" s="34" t="s">
        <v>2027</v>
      </c>
      <c r="F1157" s="34">
        <v>2013.0</v>
      </c>
      <c r="G1157" s="34" t="s">
        <v>2028</v>
      </c>
      <c r="H1157" s="34" t="s">
        <v>2029</v>
      </c>
      <c r="I1157" s="34" t="s">
        <v>2030</v>
      </c>
      <c r="J1157" s="35"/>
      <c r="K1157" s="36"/>
      <c r="L1157" s="36"/>
      <c r="M1157" s="36"/>
      <c r="N1157" s="36">
        <v>0.92</v>
      </c>
      <c r="O1157" s="36">
        <v>304.1</v>
      </c>
      <c r="P1157" s="83">
        <f t="shared" si="113"/>
        <v>0.3025320618</v>
      </c>
      <c r="Q1157" s="36"/>
      <c r="R1157" s="36" t="s">
        <v>82</v>
      </c>
      <c r="S1157" s="36">
        <v>60.0</v>
      </c>
      <c r="T1157" s="36" t="s">
        <v>2031</v>
      </c>
      <c r="U1157" s="36" t="s">
        <v>2032</v>
      </c>
      <c r="V1157" s="36">
        <v>771.0</v>
      </c>
      <c r="W1157" s="36"/>
      <c r="X1157" s="38">
        <v>1.0</v>
      </c>
      <c r="Y1157" s="38" t="s">
        <v>2043</v>
      </c>
      <c r="Z1157" s="38" t="s">
        <v>2044</v>
      </c>
      <c r="AA1157" s="38" t="s">
        <v>86</v>
      </c>
      <c r="AB1157" s="38"/>
      <c r="AC1157" s="38"/>
      <c r="AD1157" s="39" t="s">
        <v>87</v>
      </c>
      <c r="AE1157" s="38"/>
      <c r="AF1157" s="68" t="s">
        <v>2036</v>
      </c>
      <c r="AG1157" s="38"/>
      <c r="AH1157" s="38"/>
      <c r="AI1157" s="50">
        <v>41.95</v>
      </c>
      <c r="AJ1157" s="50">
        <v>-93.69</v>
      </c>
      <c r="AK1157" s="41" t="s">
        <v>86</v>
      </c>
      <c r="AL1157" s="40" t="s">
        <v>86</v>
      </c>
      <c r="AM1157" s="49">
        <v>315.0</v>
      </c>
      <c r="AN1157" s="51">
        <v>315.0</v>
      </c>
      <c r="AO1157" s="42" t="s">
        <v>107</v>
      </c>
      <c r="AP1157" s="43" t="s">
        <v>108</v>
      </c>
      <c r="AQ1157" s="44" t="str">
        <f t="shared" si="109"/>
        <v>CRO</v>
      </c>
      <c r="AR1157" s="44">
        <f t="shared" si="106"/>
        <v>315</v>
      </c>
      <c r="AS1157" s="44" t="str">
        <f t="shared" si="112"/>
        <v>D</v>
      </c>
      <c r="AT1157" s="44" t="str">
        <f t="shared" si="114"/>
        <v>Df</v>
      </c>
      <c r="AU1157" s="44" t="str">
        <f t="shared" si="115"/>
        <v>Dfa</v>
      </c>
      <c r="AV1157" s="38">
        <v>3.0</v>
      </c>
      <c r="AW1157" s="38"/>
      <c r="AX1157" s="38">
        <v>100.0</v>
      </c>
      <c r="AY1157" s="38" t="s">
        <v>92</v>
      </c>
      <c r="AZ1157" s="29">
        <v>60.0</v>
      </c>
      <c r="BA1157" s="29">
        <v>1.0</v>
      </c>
      <c r="BB1157" s="29">
        <v>1.0</v>
      </c>
      <c r="BC1157" s="29"/>
      <c r="BD1157" s="29" t="s">
        <v>92</v>
      </c>
      <c r="BE1157" s="29"/>
      <c r="BF1157" s="29" t="s">
        <v>2037</v>
      </c>
      <c r="BG1157" s="29" t="s">
        <v>220</v>
      </c>
      <c r="BH1157" s="29" t="s">
        <v>88</v>
      </c>
      <c r="BI1157" s="29" t="s">
        <v>882</v>
      </c>
      <c r="BJ1157" s="29" t="s">
        <v>2038</v>
      </c>
      <c r="BK1157" s="29" t="s">
        <v>2038</v>
      </c>
      <c r="BL1157" s="29"/>
      <c r="BM1157" s="45"/>
      <c r="BN1157" s="45"/>
      <c r="BO1157" s="46"/>
      <c r="BP1157" s="2"/>
      <c r="BQ1157" s="3"/>
    </row>
    <row r="1158" ht="15.75" customHeight="1">
      <c r="A1158" s="34">
        <v>1173.0</v>
      </c>
      <c r="B1158" s="34">
        <v>101585.0</v>
      </c>
      <c r="C1158" s="34" t="s">
        <v>415</v>
      </c>
      <c r="D1158" s="34" t="s">
        <v>2045</v>
      </c>
      <c r="E1158" s="34" t="s">
        <v>2027</v>
      </c>
      <c r="F1158" s="34">
        <v>2013.0</v>
      </c>
      <c r="G1158" s="34" t="s">
        <v>2028</v>
      </c>
      <c r="H1158" s="34" t="s">
        <v>2029</v>
      </c>
      <c r="I1158" s="34" t="s">
        <v>2030</v>
      </c>
      <c r="J1158" s="35"/>
      <c r="K1158" s="36"/>
      <c r="L1158" s="36"/>
      <c r="M1158" s="36"/>
      <c r="N1158" s="36">
        <v>5.36</v>
      </c>
      <c r="O1158" s="36">
        <v>414.8</v>
      </c>
      <c r="P1158" s="83">
        <f t="shared" si="113"/>
        <v>1.292189007</v>
      </c>
      <c r="Q1158" s="36"/>
      <c r="R1158" s="36" t="s">
        <v>82</v>
      </c>
      <c r="S1158" s="36">
        <v>60.0</v>
      </c>
      <c r="T1158" s="36" t="s">
        <v>2031</v>
      </c>
      <c r="U1158" s="36" t="s">
        <v>2032</v>
      </c>
      <c r="V1158" s="36">
        <v>827.0</v>
      </c>
      <c r="W1158" s="36"/>
      <c r="X1158" s="38">
        <v>1.0</v>
      </c>
      <c r="Y1158" s="38" t="s">
        <v>2046</v>
      </c>
      <c r="Z1158" s="38" t="s">
        <v>2047</v>
      </c>
      <c r="AA1158" s="38" t="s">
        <v>86</v>
      </c>
      <c r="AB1158" s="38"/>
      <c r="AC1158" s="38"/>
      <c r="AD1158" s="39" t="s">
        <v>87</v>
      </c>
      <c r="AE1158" s="38"/>
      <c r="AF1158" s="68" t="s">
        <v>2036</v>
      </c>
      <c r="AG1158" s="38"/>
      <c r="AH1158" s="38"/>
      <c r="AI1158" s="50">
        <v>41.942925</v>
      </c>
      <c r="AJ1158" s="50">
        <v>-93.698088</v>
      </c>
      <c r="AK1158" s="41" t="s">
        <v>86</v>
      </c>
      <c r="AL1158" s="40" t="s">
        <v>86</v>
      </c>
      <c r="AM1158" s="49">
        <v>319.0</v>
      </c>
      <c r="AN1158" s="51">
        <v>319.0</v>
      </c>
      <c r="AO1158" s="42" t="s">
        <v>107</v>
      </c>
      <c r="AP1158" s="43" t="s">
        <v>108</v>
      </c>
      <c r="AQ1158" s="44" t="str">
        <f t="shared" si="109"/>
        <v>CRO</v>
      </c>
      <c r="AR1158" s="44">
        <f t="shared" si="106"/>
        <v>319</v>
      </c>
      <c r="AS1158" s="44" t="str">
        <f t="shared" si="112"/>
        <v>D</v>
      </c>
      <c r="AT1158" s="44" t="str">
        <f t="shared" si="114"/>
        <v>Df</v>
      </c>
      <c r="AU1158" s="44" t="str">
        <f t="shared" si="115"/>
        <v>Dfa</v>
      </c>
      <c r="AV1158" s="38">
        <v>3.0</v>
      </c>
      <c r="AW1158" s="38"/>
      <c r="AX1158" s="38">
        <v>100.0</v>
      </c>
      <c r="AY1158" s="38" t="s">
        <v>92</v>
      </c>
      <c r="AZ1158" s="29">
        <v>60.0</v>
      </c>
      <c r="BA1158" s="29">
        <v>1.0</v>
      </c>
      <c r="BB1158" s="29">
        <v>1.0</v>
      </c>
      <c r="BC1158" s="29"/>
      <c r="BD1158" s="29" t="s">
        <v>92</v>
      </c>
      <c r="BE1158" s="29"/>
      <c r="BF1158" s="29" t="s">
        <v>2037</v>
      </c>
      <c r="BG1158" s="29" t="s">
        <v>220</v>
      </c>
      <c r="BH1158" s="29" t="s">
        <v>88</v>
      </c>
      <c r="BI1158" s="29" t="s">
        <v>882</v>
      </c>
      <c r="BJ1158" s="29" t="s">
        <v>2038</v>
      </c>
      <c r="BK1158" s="29" t="s">
        <v>2038</v>
      </c>
      <c r="BL1158" s="29"/>
      <c r="BM1158" s="45"/>
      <c r="BN1158" s="45"/>
      <c r="BO1158" s="46"/>
      <c r="BP1158" s="2"/>
      <c r="BQ1158" s="3"/>
    </row>
    <row r="1159" ht="15.75" customHeight="1">
      <c r="A1159" s="34">
        <v>1174.0</v>
      </c>
      <c r="B1159" s="34">
        <v>101585.0</v>
      </c>
      <c r="C1159" s="34" t="s">
        <v>415</v>
      </c>
      <c r="D1159" s="34" t="s">
        <v>2048</v>
      </c>
      <c r="E1159" s="34" t="s">
        <v>2027</v>
      </c>
      <c r="F1159" s="34">
        <v>2013.0</v>
      </c>
      <c r="G1159" s="34" t="s">
        <v>2028</v>
      </c>
      <c r="H1159" s="34" t="s">
        <v>2029</v>
      </c>
      <c r="I1159" s="34" t="s">
        <v>2030</v>
      </c>
      <c r="J1159" s="35"/>
      <c r="K1159" s="36"/>
      <c r="L1159" s="36"/>
      <c r="M1159" s="36"/>
      <c r="N1159" s="36">
        <v>10.79</v>
      </c>
      <c r="O1159" s="36">
        <v>524.1</v>
      </c>
      <c r="P1159" s="83">
        <f t="shared" si="113"/>
        <v>2.058767411</v>
      </c>
      <c r="Q1159" s="36"/>
      <c r="R1159" s="36" t="s">
        <v>82</v>
      </c>
      <c r="S1159" s="36">
        <v>60.0</v>
      </c>
      <c r="T1159" s="36" t="s">
        <v>2031</v>
      </c>
      <c r="U1159" s="36" t="s">
        <v>2032</v>
      </c>
      <c r="V1159" s="36">
        <v>625.0</v>
      </c>
      <c r="W1159" s="36"/>
      <c r="X1159" s="38">
        <v>1.0</v>
      </c>
      <c r="Y1159" s="38" t="s">
        <v>2049</v>
      </c>
      <c r="Z1159" s="38" t="s">
        <v>2050</v>
      </c>
      <c r="AA1159" s="38" t="s">
        <v>86</v>
      </c>
      <c r="AB1159" s="38"/>
      <c r="AC1159" s="38"/>
      <c r="AD1159" s="39" t="s">
        <v>87</v>
      </c>
      <c r="AE1159" s="38"/>
      <c r="AF1159" s="68" t="s">
        <v>2036</v>
      </c>
      <c r="AG1159" s="38"/>
      <c r="AH1159" s="38"/>
      <c r="AI1159" s="109">
        <v>41.9895</v>
      </c>
      <c r="AJ1159" s="109">
        <v>-93.53973</v>
      </c>
      <c r="AK1159" s="41" t="s">
        <v>86</v>
      </c>
      <c r="AL1159" s="40" t="s">
        <v>86</v>
      </c>
      <c r="AM1159" s="49">
        <v>288.0</v>
      </c>
      <c r="AN1159" s="51">
        <v>288.0</v>
      </c>
      <c r="AO1159" s="42" t="s">
        <v>107</v>
      </c>
      <c r="AP1159" s="43" t="s">
        <v>108</v>
      </c>
      <c r="AQ1159" s="44" t="str">
        <f t="shared" si="109"/>
        <v>CRO</v>
      </c>
      <c r="AR1159" s="44">
        <f t="shared" si="106"/>
        <v>288</v>
      </c>
      <c r="AS1159" s="44" t="str">
        <f t="shared" si="112"/>
        <v>D</v>
      </c>
      <c r="AT1159" s="44" t="str">
        <f t="shared" si="114"/>
        <v>Df</v>
      </c>
      <c r="AU1159" s="44" t="str">
        <f t="shared" si="115"/>
        <v>Dfa</v>
      </c>
      <c r="AV1159" s="38">
        <v>3.0</v>
      </c>
      <c r="AW1159" s="38"/>
      <c r="AX1159" s="38">
        <v>100.0</v>
      </c>
      <c r="AY1159" s="38" t="s">
        <v>92</v>
      </c>
      <c r="AZ1159" s="29">
        <v>60.0</v>
      </c>
      <c r="BA1159" s="29">
        <v>1.0</v>
      </c>
      <c r="BB1159" s="29">
        <v>1.0</v>
      </c>
      <c r="BC1159" s="29"/>
      <c r="BD1159" s="29" t="s">
        <v>92</v>
      </c>
      <c r="BE1159" s="29"/>
      <c r="BF1159" s="29" t="s">
        <v>2037</v>
      </c>
      <c r="BG1159" s="29" t="s">
        <v>220</v>
      </c>
      <c r="BH1159" s="29" t="s">
        <v>88</v>
      </c>
      <c r="BI1159" s="29" t="s">
        <v>882</v>
      </c>
      <c r="BJ1159" s="29" t="s">
        <v>2038</v>
      </c>
      <c r="BK1159" s="29" t="s">
        <v>2038</v>
      </c>
      <c r="BL1159" s="29"/>
      <c r="BM1159" s="45"/>
      <c r="BN1159" s="45"/>
      <c r="BO1159" s="46"/>
      <c r="BP1159" s="2"/>
      <c r="BQ1159" s="3"/>
    </row>
    <row r="1160" ht="15.75" customHeight="1">
      <c r="A1160" s="34">
        <v>1175.0</v>
      </c>
      <c r="B1160" s="34">
        <v>101585.0</v>
      </c>
      <c r="C1160" s="34" t="s">
        <v>415</v>
      </c>
      <c r="D1160" s="34" t="s">
        <v>2051</v>
      </c>
      <c r="E1160" s="34" t="s">
        <v>2027</v>
      </c>
      <c r="F1160" s="34">
        <v>2013.0</v>
      </c>
      <c r="G1160" s="34" t="s">
        <v>2028</v>
      </c>
      <c r="H1160" s="34" t="s">
        <v>2029</v>
      </c>
      <c r="I1160" s="34" t="s">
        <v>2030</v>
      </c>
      <c r="J1160" s="35"/>
      <c r="K1160" s="36"/>
      <c r="L1160" s="36"/>
      <c r="M1160" s="36"/>
      <c r="N1160" s="36">
        <v>-14.87</v>
      </c>
      <c r="O1160" s="36">
        <v>516.7</v>
      </c>
      <c r="P1160" s="83">
        <f t="shared" si="113"/>
        <v>-2.877878847</v>
      </c>
      <c r="Q1160" s="36"/>
      <c r="R1160" s="36" t="s">
        <v>82</v>
      </c>
      <c r="S1160" s="36">
        <v>60.0</v>
      </c>
      <c r="T1160" s="36" t="s">
        <v>2031</v>
      </c>
      <c r="U1160" s="36" t="s">
        <v>2032</v>
      </c>
      <c r="V1160" s="36">
        <v>538.0</v>
      </c>
      <c r="W1160" s="36"/>
      <c r="X1160" s="38">
        <v>1.0</v>
      </c>
      <c r="Y1160" s="38" t="s">
        <v>2052</v>
      </c>
      <c r="Z1160" s="38" t="s">
        <v>2053</v>
      </c>
      <c r="AA1160" s="38" t="s">
        <v>86</v>
      </c>
      <c r="AB1160" s="38"/>
      <c r="AC1160" s="38"/>
      <c r="AD1160" s="39" t="s">
        <v>87</v>
      </c>
      <c r="AE1160" s="38"/>
      <c r="AF1160" s="38" t="s">
        <v>525</v>
      </c>
      <c r="AG1160" s="38"/>
      <c r="AH1160" s="38"/>
      <c r="AI1160" s="50">
        <v>41.974058</v>
      </c>
      <c r="AJ1160" s="50">
        <v>-93.646436</v>
      </c>
      <c r="AK1160" s="41" t="s">
        <v>86</v>
      </c>
      <c r="AL1160" s="40" t="s">
        <v>86</v>
      </c>
      <c r="AM1160" s="49">
        <v>303.0</v>
      </c>
      <c r="AN1160" s="51">
        <v>303.0</v>
      </c>
      <c r="AO1160" s="42" t="s">
        <v>107</v>
      </c>
      <c r="AP1160" s="43" t="s">
        <v>108</v>
      </c>
      <c r="AQ1160" s="44" t="str">
        <f t="shared" si="109"/>
        <v>CRO</v>
      </c>
      <c r="AR1160" s="44">
        <f t="shared" si="106"/>
        <v>303</v>
      </c>
      <c r="AS1160" s="44" t="str">
        <f t="shared" si="112"/>
        <v>D</v>
      </c>
      <c r="AT1160" s="44" t="str">
        <f t="shared" si="114"/>
        <v>Df</v>
      </c>
      <c r="AU1160" s="44" t="str">
        <f t="shared" si="115"/>
        <v>Dfa</v>
      </c>
      <c r="AV1160" s="38">
        <v>3.0</v>
      </c>
      <c r="AW1160" s="38"/>
      <c r="AX1160" s="38">
        <v>100.0</v>
      </c>
      <c r="AY1160" s="38" t="s">
        <v>92</v>
      </c>
      <c r="AZ1160" s="29">
        <v>60.0</v>
      </c>
      <c r="BA1160" s="29">
        <v>1.0</v>
      </c>
      <c r="BB1160" s="29">
        <v>1.0</v>
      </c>
      <c r="BC1160" s="29"/>
      <c r="BD1160" s="29" t="s">
        <v>92</v>
      </c>
      <c r="BE1160" s="29"/>
      <c r="BF1160" s="29" t="s">
        <v>2037</v>
      </c>
      <c r="BG1160" s="29" t="s">
        <v>220</v>
      </c>
      <c r="BH1160" s="29" t="s">
        <v>88</v>
      </c>
      <c r="BI1160" s="29" t="s">
        <v>882</v>
      </c>
      <c r="BJ1160" s="29" t="s">
        <v>2038</v>
      </c>
      <c r="BK1160" s="29" t="s">
        <v>2038</v>
      </c>
      <c r="BL1160" s="29"/>
      <c r="BM1160" s="45"/>
      <c r="BN1160" s="45"/>
      <c r="BO1160" s="46"/>
      <c r="BP1160" s="2"/>
      <c r="BQ1160" s="3"/>
    </row>
    <row r="1161" ht="15.75" customHeight="1">
      <c r="A1161" s="34">
        <v>1176.0</v>
      </c>
      <c r="B1161" s="34">
        <v>101585.0</v>
      </c>
      <c r="C1161" s="34" t="s">
        <v>415</v>
      </c>
      <c r="D1161" s="34" t="s">
        <v>2054</v>
      </c>
      <c r="E1161" s="34" t="s">
        <v>2027</v>
      </c>
      <c r="F1161" s="34">
        <v>2013.0</v>
      </c>
      <c r="G1161" s="34" t="s">
        <v>2028</v>
      </c>
      <c r="H1161" s="34" t="s">
        <v>2029</v>
      </c>
      <c r="I1161" s="34" t="s">
        <v>2030</v>
      </c>
      <c r="J1161" s="35"/>
      <c r="K1161" s="36"/>
      <c r="L1161" s="36"/>
      <c r="M1161" s="36"/>
      <c r="N1161" s="36">
        <v>3.51</v>
      </c>
      <c r="O1161" s="36">
        <v>456.6</v>
      </c>
      <c r="P1161" s="83">
        <f t="shared" si="113"/>
        <v>0.7687253614</v>
      </c>
      <c r="Q1161" s="36"/>
      <c r="R1161" s="36" t="s">
        <v>82</v>
      </c>
      <c r="S1161" s="36">
        <v>60.0</v>
      </c>
      <c r="T1161" s="36" t="s">
        <v>2031</v>
      </c>
      <c r="U1161" s="36" t="s">
        <v>2032</v>
      </c>
      <c r="V1161" s="36">
        <v>488.0</v>
      </c>
      <c r="W1161" s="36"/>
      <c r="X1161" s="38">
        <v>1.0</v>
      </c>
      <c r="Y1161" s="38" t="s">
        <v>2055</v>
      </c>
      <c r="Z1161" s="38" t="s">
        <v>2056</v>
      </c>
      <c r="AA1161" s="38" t="s">
        <v>86</v>
      </c>
      <c r="AB1161" s="38"/>
      <c r="AC1161" s="38"/>
      <c r="AD1161" s="39" t="s">
        <v>87</v>
      </c>
      <c r="AE1161" s="38"/>
      <c r="AF1161" s="38" t="s">
        <v>525</v>
      </c>
      <c r="AG1161" s="38"/>
      <c r="AH1161" s="38"/>
      <c r="AI1161" s="50">
        <v>41.939206</v>
      </c>
      <c r="AJ1161" s="50">
        <v>-93.543548</v>
      </c>
      <c r="AK1161" s="41" t="s">
        <v>86</v>
      </c>
      <c r="AL1161" s="40" t="s">
        <v>86</v>
      </c>
      <c r="AM1161" s="49">
        <v>261.0</v>
      </c>
      <c r="AN1161" s="51">
        <v>261.0</v>
      </c>
      <c r="AO1161" s="42" t="s">
        <v>107</v>
      </c>
      <c r="AP1161" s="43" t="s">
        <v>108</v>
      </c>
      <c r="AQ1161" s="44" t="str">
        <f t="shared" si="109"/>
        <v>CRO</v>
      </c>
      <c r="AR1161" s="44">
        <f t="shared" si="106"/>
        <v>261</v>
      </c>
      <c r="AS1161" s="44" t="str">
        <f t="shared" si="112"/>
        <v>D</v>
      </c>
      <c r="AT1161" s="44" t="str">
        <f t="shared" si="114"/>
        <v>Df</v>
      </c>
      <c r="AU1161" s="44" t="str">
        <f t="shared" si="115"/>
        <v>Dfa</v>
      </c>
      <c r="AV1161" s="38">
        <v>3.0</v>
      </c>
      <c r="AW1161" s="38"/>
      <c r="AX1161" s="38">
        <v>100.0</v>
      </c>
      <c r="AY1161" s="38" t="s">
        <v>92</v>
      </c>
      <c r="AZ1161" s="29">
        <v>60.0</v>
      </c>
      <c r="BA1161" s="29">
        <v>1.0</v>
      </c>
      <c r="BB1161" s="29">
        <v>1.0</v>
      </c>
      <c r="BC1161" s="29"/>
      <c r="BD1161" s="29" t="s">
        <v>92</v>
      </c>
      <c r="BE1161" s="29"/>
      <c r="BF1161" s="29" t="s">
        <v>2037</v>
      </c>
      <c r="BG1161" s="29" t="s">
        <v>220</v>
      </c>
      <c r="BH1161" s="29" t="s">
        <v>88</v>
      </c>
      <c r="BI1161" s="29" t="s">
        <v>882</v>
      </c>
      <c r="BJ1161" s="29" t="s">
        <v>2038</v>
      </c>
      <c r="BK1161" s="29" t="s">
        <v>2038</v>
      </c>
      <c r="BL1161" s="29"/>
      <c r="BM1161" s="45"/>
      <c r="BN1161" s="45"/>
      <c r="BO1161" s="46"/>
      <c r="BP1161" s="2"/>
      <c r="BQ1161" s="3"/>
    </row>
    <row r="1162" ht="15.75" customHeight="1">
      <c r="A1162" s="34">
        <v>1177.0</v>
      </c>
      <c r="B1162" s="34">
        <v>101585.0</v>
      </c>
      <c r="C1162" s="34" t="s">
        <v>415</v>
      </c>
      <c r="D1162" s="34" t="s">
        <v>2057</v>
      </c>
      <c r="E1162" s="34" t="s">
        <v>2027</v>
      </c>
      <c r="F1162" s="34">
        <v>2013.0</v>
      </c>
      <c r="G1162" s="34" t="s">
        <v>2028</v>
      </c>
      <c r="H1162" s="34" t="s">
        <v>2029</v>
      </c>
      <c r="I1162" s="34" t="s">
        <v>2030</v>
      </c>
      <c r="J1162" s="35"/>
      <c r="K1162" s="36"/>
      <c r="L1162" s="36"/>
      <c r="M1162" s="36"/>
      <c r="N1162" s="36">
        <v>-21.51</v>
      </c>
      <c r="O1162" s="36">
        <v>445.9</v>
      </c>
      <c r="P1162" s="83">
        <f t="shared" si="113"/>
        <v>-4.823951559</v>
      </c>
      <c r="Q1162" s="36"/>
      <c r="R1162" s="36" t="s">
        <v>82</v>
      </c>
      <c r="S1162" s="36">
        <v>60.0</v>
      </c>
      <c r="T1162" s="36" t="s">
        <v>2031</v>
      </c>
      <c r="U1162" s="36" t="s">
        <v>2032</v>
      </c>
      <c r="V1162" s="36">
        <v>801.0</v>
      </c>
      <c r="W1162" s="36"/>
      <c r="X1162" s="38">
        <v>1.0</v>
      </c>
      <c r="Y1162" s="38" t="s">
        <v>2058</v>
      </c>
      <c r="Z1162" s="38" t="s">
        <v>2059</v>
      </c>
      <c r="AA1162" s="38" t="s">
        <v>86</v>
      </c>
      <c r="AB1162" s="38"/>
      <c r="AC1162" s="38"/>
      <c r="AD1162" s="39" t="s">
        <v>87</v>
      </c>
      <c r="AE1162" s="38"/>
      <c r="AF1162" s="38" t="s">
        <v>525</v>
      </c>
      <c r="AG1162" s="38"/>
      <c r="AH1162" s="38"/>
      <c r="AI1162" s="50">
        <v>41.99</v>
      </c>
      <c r="AJ1162" s="50">
        <v>-93.54</v>
      </c>
      <c r="AK1162" s="41" t="s">
        <v>86</v>
      </c>
      <c r="AL1162" s="40" t="s">
        <v>86</v>
      </c>
      <c r="AM1162" s="49">
        <v>288.0</v>
      </c>
      <c r="AN1162" s="51">
        <v>288.0</v>
      </c>
      <c r="AO1162" s="42" t="s">
        <v>107</v>
      </c>
      <c r="AP1162" s="43" t="s">
        <v>108</v>
      </c>
      <c r="AQ1162" s="44" t="str">
        <f t="shared" si="109"/>
        <v>CRO</v>
      </c>
      <c r="AR1162" s="44">
        <f t="shared" si="106"/>
        <v>288</v>
      </c>
      <c r="AS1162" s="44" t="str">
        <f t="shared" si="112"/>
        <v>D</v>
      </c>
      <c r="AT1162" s="44" t="str">
        <f t="shared" si="114"/>
        <v>Df</v>
      </c>
      <c r="AU1162" s="44" t="str">
        <f t="shared" si="115"/>
        <v>Dfa</v>
      </c>
      <c r="AV1162" s="38">
        <v>3.0</v>
      </c>
      <c r="AW1162" s="38"/>
      <c r="AX1162" s="38">
        <v>100.0</v>
      </c>
      <c r="AY1162" s="38" t="s">
        <v>92</v>
      </c>
      <c r="AZ1162" s="29">
        <v>60.0</v>
      </c>
      <c r="BA1162" s="29">
        <v>1.0</v>
      </c>
      <c r="BB1162" s="29">
        <v>1.0</v>
      </c>
      <c r="BC1162" s="29"/>
      <c r="BD1162" s="29" t="s">
        <v>92</v>
      </c>
      <c r="BE1162" s="29"/>
      <c r="BF1162" s="29" t="s">
        <v>2037</v>
      </c>
      <c r="BG1162" s="29" t="s">
        <v>220</v>
      </c>
      <c r="BH1162" s="29" t="s">
        <v>88</v>
      </c>
      <c r="BI1162" s="29" t="s">
        <v>882</v>
      </c>
      <c r="BJ1162" s="29" t="s">
        <v>2038</v>
      </c>
      <c r="BK1162" s="29" t="s">
        <v>2038</v>
      </c>
      <c r="BL1162" s="29"/>
      <c r="BM1162" s="45"/>
      <c r="BN1162" s="45"/>
      <c r="BO1162" s="46"/>
      <c r="BP1162" s="2"/>
      <c r="BQ1162" s="3"/>
    </row>
    <row r="1163" ht="15.75" customHeight="1">
      <c r="A1163" s="34">
        <v>1178.0</v>
      </c>
      <c r="B1163" s="34">
        <v>101585.0</v>
      </c>
      <c r="C1163" s="34" t="s">
        <v>415</v>
      </c>
      <c r="D1163" s="34" t="s">
        <v>2060</v>
      </c>
      <c r="E1163" s="34" t="s">
        <v>2027</v>
      </c>
      <c r="F1163" s="34">
        <v>2013.0</v>
      </c>
      <c r="G1163" s="34" t="s">
        <v>2028</v>
      </c>
      <c r="H1163" s="34" t="s">
        <v>2029</v>
      </c>
      <c r="I1163" s="34" t="s">
        <v>2030</v>
      </c>
      <c r="J1163" s="35"/>
      <c r="K1163" s="36"/>
      <c r="L1163" s="36"/>
      <c r="M1163" s="36"/>
      <c r="N1163" s="36">
        <v>-17.74</v>
      </c>
      <c r="O1163" s="36">
        <v>329.3</v>
      </c>
      <c r="P1163" s="83">
        <f t="shared" si="113"/>
        <v>-5.387184938</v>
      </c>
      <c r="Q1163" s="36"/>
      <c r="R1163" s="36" t="s">
        <v>82</v>
      </c>
      <c r="S1163" s="36">
        <v>60.0</v>
      </c>
      <c r="T1163" s="36" t="s">
        <v>2031</v>
      </c>
      <c r="U1163" s="36" t="s">
        <v>2032</v>
      </c>
      <c r="V1163" s="36">
        <v>372.0</v>
      </c>
      <c r="W1163" s="36"/>
      <c r="X1163" s="38">
        <v>1.0</v>
      </c>
      <c r="Y1163" s="38" t="s">
        <v>2061</v>
      </c>
      <c r="Z1163" s="38" t="s">
        <v>2062</v>
      </c>
      <c r="AA1163" s="38" t="s">
        <v>86</v>
      </c>
      <c r="AB1163" s="38"/>
      <c r="AC1163" s="38"/>
      <c r="AD1163" s="39" t="s">
        <v>87</v>
      </c>
      <c r="AE1163" s="38"/>
      <c r="AF1163" s="38" t="s">
        <v>525</v>
      </c>
      <c r="AG1163" s="38"/>
      <c r="AH1163" s="38"/>
      <c r="AI1163" s="50">
        <v>41.935057</v>
      </c>
      <c r="AJ1163" s="50">
        <v>-93.668214</v>
      </c>
      <c r="AK1163" s="41" t="s">
        <v>86</v>
      </c>
      <c r="AL1163" s="40" t="s">
        <v>86</v>
      </c>
      <c r="AM1163" s="49">
        <v>312.0</v>
      </c>
      <c r="AN1163" s="51">
        <v>312.0</v>
      </c>
      <c r="AO1163" s="42" t="s">
        <v>107</v>
      </c>
      <c r="AP1163" s="43" t="s">
        <v>108</v>
      </c>
      <c r="AQ1163" s="44" t="str">
        <f t="shared" si="109"/>
        <v>CRO</v>
      </c>
      <c r="AR1163" s="44">
        <f t="shared" si="106"/>
        <v>312</v>
      </c>
      <c r="AS1163" s="44" t="str">
        <f t="shared" si="112"/>
        <v>D</v>
      </c>
      <c r="AT1163" s="44" t="str">
        <f t="shared" si="114"/>
        <v>Df</v>
      </c>
      <c r="AU1163" s="44" t="str">
        <f t="shared" si="115"/>
        <v>Dfa</v>
      </c>
      <c r="AV1163" s="38">
        <v>3.0</v>
      </c>
      <c r="AW1163" s="38"/>
      <c r="AX1163" s="38">
        <v>100.0</v>
      </c>
      <c r="AY1163" s="38" t="s">
        <v>92</v>
      </c>
      <c r="AZ1163" s="29">
        <v>60.0</v>
      </c>
      <c r="BA1163" s="29">
        <v>1.0</v>
      </c>
      <c r="BB1163" s="29">
        <v>1.0</v>
      </c>
      <c r="BC1163" s="29"/>
      <c r="BD1163" s="29" t="s">
        <v>92</v>
      </c>
      <c r="BE1163" s="29"/>
      <c r="BF1163" s="29" t="s">
        <v>2037</v>
      </c>
      <c r="BG1163" s="29" t="s">
        <v>220</v>
      </c>
      <c r="BH1163" s="29" t="s">
        <v>88</v>
      </c>
      <c r="BI1163" s="29" t="s">
        <v>882</v>
      </c>
      <c r="BJ1163" s="29" t="s">
        <v>2038</v>
      </c>
      <c r="BK1163" s="29" t="s">
        <v>2038</v>
      </c>
      <c r="BL1163" s="29"/>
      <c r="BM1163" s="45"/>
      <c r="BN1163" s="45"/>
      <c r="BO1163" s="46"/>
      <c r="BP1163" s="2"/>
      <c r="BQ1163" s="3"/>
    </row>
    <row r="1164" ht="15.75" customHeight="1">
      <c r="A1164" s="34">
        <v>1179.0</v>
      </c>
      <c r="B1164" s="34">
        <v>101585.0</v>
      </c>
      <c r="C1164" s="34" t="s">
        <v>415</v>
      </c>
      <c r="D1164" s="34" t="s">
        <v>2063</v>
      </c>
      <c r="E1164" s="34" t="s">
        <v>2027</v>
      </c>
      <c r="F1164" s="34">
        <v>2013.0</v>
      </c>
      <c r="G1164" s="34" t="s">
        <v>2028</v>
      </c>
      <c r="H1164" s="34" t="s">
        <v>2029</v>
      </c>
      <c r="I1164" s="34" t="s">
        <v>2030</v>
      </c>
      <c r="J1164" s="35"/>
      <c r="K1164" s="36"/>
      <c r="L1164" s="36"/>
      <c r="M1164" s="36"/>
      <c r="N1164" s="36">
        <v>18.725</v>
      </c>
      <c r="O1164" s="36">
        <v>467.5</v>
      </c>
      <c r="P1164" s="83">
        <f t="shared" si="113"/>
        <v>4.005347594</v>
      </c>
      <c r="Q1164" s="36"/>
      <c r="R1164" s="36" t="s">
        <v>82</v>
      </c>
      <c r="S1164" s="36">
        <v>60.0</v>
      </c>
      <c r="T1164" s="36" t="s">
        <v>2031</v>
      </c>
      <c r="U1164" s="36" t="s">
        <v>2032</v>
      </c>
      <c r="V1164" s="36">
        <v>789.0</v>
      </c>
      <c r="W1164" s="36"/>
      <c r="X1164" s="38">
        <v>1.0</v>
      </c>
      <c r="Y1164" s="38" t="s">
        <v>2064</v>
      </c>
      <c r="Z1164" s="38" t="s">
        <v>2065</v>
      </c>
      <c r="AA1164" s="38" t="s">
        <v>86</v>
      </c>
      <c r="AB1164" s="38"/>
      <c r="AC1164" s="38"/>
      <c r="AD1164" s="39" t="s">
        <v>87</v>
      </c>
      <c r="AE1164" s="38"/>
      <c r="AF1164" s="38" t="s">
        <v>525</v>
      </c>
      <c r="AG1164" s="38"/>
      <c r="AH1164" s="38"/>
      <c r="AI1164" s="50">
        <v>41.933874</v>
      </c>
      <c r="AJ1164" s="50">
        <v>-93.665612</v>
      </c>
      <c r="AK1164" s="41" t="s">
        <v>86</v>
      </c>
      <c r="AL1164" s="40" t="s">
        <v>86</v>
      </c>
      <c r="AM1164" s="49">
        <v>316.0</v>
      </c>
      <c r="AN1164" s="51">
        <v>316.0</v>
      </c>
      <c r="AO1164" s="42" t="s">
        <v>107</v>
      </c>
      <c r="AP1164" s="43" t="s">
        <v>108</v>
      </c>
      <c r="AQ1164" s="44" t="str">
        <f t="shared" si="109"/>
        <v>CRO</v>
      </c>
      <c r="AR1164" s="44">
        <f t="shared" si="106"/>
        <v>316</v>
      </c>
      <c r="AS1164" s="44" t="str">
        <f t="shared" si="112"/>
        <v>D</v>
      </c>
      <c r="AT1164" s="44" t="str">
        <f t="shared" si="114"/>
        <v>Df</v>
      </c>
      <c r="AU1164" s="44" t="str">
        <f t="shared" si="115"/>
        <v>Dfa</v>
      </c>
      <c r="AV1164" s="38">
        <v>3.0</v>
      </c>
      <c r="AW1164" s="38"/>
      <c r="AX1164" s="38">
        <v>100.0</v>
      </c>
      <c r="AY1164" s="38" t="s">
        <v>92</v>
      </c>
      <c r="AZ1164" s="29">
        <v>60.0</v>
      </c>
      <c r="BA1164" s="29">
        <v>1.0</v>
      </c>
      <c r="BB1164" s="29">
        <v>1.0</v>
      </c>
      <c r="BC1164" s="29"/>
      <c r="BD1164" s="29" t="s">
        <v>92</v>
      </c>
      <c r="BE1164" s="29"/>
      <c r="BF1164" s="29" t="s">
        <v>2037</v>
      </c>
      <c r="BG1164" s="29" t="s">
        <v>220</v>
      </c>
      <c r="BH1164" s="29" t="s">
        <v>88</v>
      </c>
      <c r="BI1164" s="29" t="s">
        <v>882</v>
      </c>
      <c r="BJ1164" s="29" t="s">
        <v>2038</v>
      </c>
      <c r="BK1164" s="29" t="s">
        <v>2038</v>
      </c>
      <c r="BL1164" s="29"/>
      <c r="BM1164" s="45"/>
      <c r="BN1164" s="45"/>
      <c r="BO1164" s="46"/>
      <c r="BP1164" s="2"/>
      <c r="BQ1164" s="3"/>
    </row>
    <row r="1165" ht="15.75" customHeight="1">
      <c r="A1165" s="34">
        <v>1180.0</v>
      </c>
      <c r="B1165" s="34">
        <v>101585.0</v>
      </c>
      <c r="C1165" s="34" t="s">
        <v>415</v>
      </c>
      <c r="D1165" s="34" t="s">
        <v>2066</v>
      </c>
      <c r="E1165" s="34" t="s">
        <v>2027</v>
      </c>
      <c r="F1165" s="34">
        <v>2013.0</v>
      </c>
      <c r="G1165" s="34" t="s">
        <v>2028</v>
      </c>
      <c r="H1165" s="34" t="s">
        <v>2029</v>
      </c>
      <c r="I1165" s="34" t="s">
        <v>2030</v>
      </c>
      <c r="J1165" s="35"/>
      <c r="K1165" s="36"/>
      <c r="L1165" s="36"/>
      <c r="M1165" s="36"/>
      <c r="N1165" s="36">
        <v>13.19</v>
      </c>
      <c r="O1165" s="36">
        <v>392.1</v>
      </c>
      <c r="P1165" s="83">
        <f t="shared" si="113"/>
        <v>3.363937771</v>
      </c>
      <c r="Q1165" s="36"/>
      <c r="R1165" s="36" t="s">
        <v>82</v>
      </c>
      <c r="S1165" s="36">
        <v>60.0</v>
      </c>
      <c r="T1165" s="36" t="s">
        <v>2031</v>
      </c>
      <c r="U1165" s="36" t="s">
        <v>2032</v>
      </c>
      <c r="V1165" s="36">
        <v>664.0</v>
      </c>
      <c r="W1165" s="36"/>
      <c r="X1165" s="38">
        <v>1.0</v>
      </c>
      <c r="Y1165" s="38" t="s">
        <v>2067</v>
      </c>
      <c r="Z1165" s="38" t="s">
        <v>2068</v>
      </c>
      <c r="AA1165" s="38" t="s">
        <v>86</v>
      </c>
      <c r="AB1165" s="38"/>
      <c r="AC1165" s="38"/>
      <c r="AD1165" s="39" t="s">
        <v>87</v>
      </c>
      <c r="AE1165" s="38"/>
      <c r="AF1165" s="68" t="s">
        <v>2036</v>
      </c>
      <c r="AG1165" s="38"/>
      <c r="AH1165" s="38"/>
      <c r="AI1165" s="50">
        <v>41.931567</v>
      </c>
      <c r="AJ1165" s="50">
        <v>-93.668629</v>
      </c>
      <c r="AK1165" s="41" t="s">
        <v>86</v>
      </c>
      <c r="AL1165" s="40" t="s">
        <v>86</v>
      </c>
      <c r="AM1165" s="49">
        <v>314.0</v>
      </c>
      <c r="AN1165" s="51">
        <v>314.0</v>
      </c>
      <c r="AO1165" s="42" t="s">
        <v>107</v>
      </c>
      <c r="AP1165" s="43" t="s">
        <v>108</v>
      </c>
      <c r="AQ1165" s="44" t="str">
        <f t="shared" si="109"/>
        <v>CRO</v>
      </c>
      <c r="AR1165" s="44">
        <f t="shared" si="106"/>
        <v>314</v>
      </c>
      <c r="AS1165" s="44" t="str">
        <f t="shared" si="112"/>
        <v>D</v>
      </c>
      <c r="AT1165" s="44" t="str">
        <f t="shared" si="114"/>
        <v>Df</v>
      </c>
      <c r="AU1165" s="44" t="str">
        <f t="shared" si="115"/>
        <v>Dfa</v>
      </c>
      <c r="AV1165" s="38">
        <v>3.0</v>
      </c>
      <c r="AW1165" s="38"/>
      <c r="AX1165" s="38">
        <v>100.0</v>
      </c>
      <c r="AY1165" s="38" t="s">
        <v>92</v>
      </c>
      <c r="AZ1165" s="29">
        <v>60.0</v>
      </c>
      <c r="BA1165" s="29">
        <v>1.0</v>
      </c>
      <c r="BB1165" s="29">
        <v>1.0</v>
      </c>
      <c r="BC1165" s="29"/>
      <c r="BD1165" s="29" t="s">
        <v>92</v>
      </c>
      <c r="BE1165" s="29"/>
      <c r="BF1165" s="29" t="s">
        <v>2037</v>
      </c>
      <c r="BG1165" s="29" t="s">
        <v>220</v>
      </c>
      <c r="BH1165" s="29" t="s">
        <v>88</v>
      </c>
      <c r="BI1165" s="29" t="s">
        <v>882</v>
      </c>
      <c r="BJ1165" s="29" t="s">
        <v>2038</v>
      </c>
      <c r="BK1165" s="29" t="s">
        <v>2038</v>
      </c>
      <c r="BL1165" s="29"/>
      <c r="BM1165" s="45"/>
      <c r="BN1165" s="45"/>
      <c r="BO1165" s="46"/>
      <c r="BP1165" s="2"/>
      <c r="BQ1165" s="3"/>
    </row>
    <row r="1166" ht="15.75" customHeight="1">
      <c r="A1166" s="34">
        <v>1181.0</v>
      </c>
      <c r="B1166" s="34">
        <v>101585.0</v>
      </c>
      <c r="C1166" s="34" t="s">
        <v>415</v>
      </c>
      <c r="D1166" s="34" t="s">
        <v>2069</v>
      </c>
      <c r="E1166" s="34" t="s">
        <v>2027</v>
      </c>
      <c r="F1166" s="34">
        <v>2013.0</v>
      </c>
      <c r="G1166" s="34" t="s">
        <v>2028</v>
      </c>
      <c r="H1166" s="34" t="s">
        <v>2029</v>
      </c>
      <c r="I1166" s="34" t="s">
        <v>2030</v>
      </c>
      <c r="J1166" s="35"/>
      <c r="K1166" s="36"/>
      <c r="L1166" s="36"/>
      <c r="M1166" s="36"/>
      <c r="N1166" s="36">
        <v>-27.04</v>
      </c>
      <c r="O1166" s="36">
        <v>413.8</v>
      </c>
      <c r="P1166" s="83">
        <f t="shared" si="113"/>
        <v>-6.534557757</v>
      </c>
      <c r="Q1166" s="36"/>
      <c r="R1166" s="36" t="s">
        <v>82</v>
      </c>
      <c r="S1166" s="36">
        <v>60.0</v>
      </c>
      <c r="T1166" s="36" t="s">
        <v>2031</v>
      </c>
      <c r="U1166" s="36" t="s">
        <v>2032</v>
      </c>
      <c r="V1166" s="36">
        <v>772.0</v>
      </c>
      <c r="W1166" s="36"/>
      <c r="X1166" s="38">
        <v>1.0</v>
      </c>
      <c r="Y1166" s="38" t="s">
        <v>2070</v>
      </c>
      <c r="Z1166" s="38" t="s">
        <v>2071</v>
      </c>
      <c r="AA1166" s="38" t="s">
        <v>86</v>
      </c>
      <c r="AB1166" s="38"/>
      <c r="AC1166" s="38"/>
      <c r="AD1166" s="38" t="s">
        <v>87</v>
      </c>
      <c r="AE1166" s="38"/>
      <c r="AF1166" s="68" t="s">
        <v>2036</v>
      </c>
      <c r="AG1166" s="38"/>
      <c r="AH1166" s="38"/>
      <c r="AI1166" s="50">
        <v>41.930206</v>
      </c>
      <c r="AJ1166" s="50">
        <v>-93.664902</v>
      </c>
      <c r="AK1166" s="41" t="s">
        <v>86</v>
      </c>
      <c r="AL1166" s="40" t="s">
        <v>86</v>
      </c>
      <c r="AM1166" s="49">
        <v>315.0</v>
      </c>
      <c r="AN1166" s="51">
        <v>315.0</v>
      </c>
      <c r="AO1166" s="42" t="s">
        <v>107</v>
      </c>
      <c r="AP1166" s="43" t="s">
        <v>108</v>
      </c>
      <c r="AQ1166" s="44" t="str">
        <f t="shared" si="109"/>
        <v>CRO</v>
      </c>
      <c r="AR1166" s="44">
        <f t="shared" si="106"/>
        <v>315</v>
      </c>
      <c r="AS1166" s="44" t="str">
        <f t="shared" si="112"/>
        <v>D</v>
      </c>
      <c r="AT1166" s="44" t="str">
        <f t="shared" si="114"/>
        <v>Df</v>
      </c>
      <c r="AU1166" s="44" t="str">
        <f t="shared" si="115"/>
        <v>Dfa</v>
      </c>
      <c r="AV1166" s="38">
        <v>3.0</v>
      </c>
      <c r="AW1166" s="38"/>
      <c r="AX1166" s="38">
        <v>100.0</v>
      </c>
      <c r="AY1166" s="38" t="s">
        <v>92</v>
      </c>
      <c r="AZ1166" s="29">
        <v>60.0</v>
      </c>
      <c r="BA1166" s="29">
        <v>1.0</v>
      </c>
      <c r="BB1166" s="29">
        <v>1.0</v>
      </c>
      <c r="BC1166" s="29"/>
      <c r="BD1166" s="29" t="s">
        <v>92</v>
      </c>
      <c r="BE1166" s="29"/>
      <c r="BF1166" s="29" t="s">
        <v>2037</v>
      </c>
      <c r="BG1166" s="29" t="s">
        <v>220</v>
      </c>
      <c r="BH1166" s="29" t="s">
        <v>88</v>
      </c>
      <c r="BI1166" s="29" t="s">
        <v>882</v>
      </c>
      <c r="BJ1166" s="29" t="s">
        <v>2038</v>
      </c>
      <c r="BK1166" s="29" t="s">
        <v>2038</v>
      </c>
      <c r="BL1166" s="29"/>
      <c r="BM1166" s="45"/>
      <c r="BN1166" s="45"/>
      <c r="BO1166" s="46"/>
      <c r="BP1166" s="2"/>
      <c r="BQ1166" s="3"/>
    </row>
    <row r="1167" ht="15.75" customHeight="1">
      <c r="A1167" s="34">
        <v>1182.0</v>
      </c>
      <c r="B1167" s="34">
        <v>103842.0</v>
      </c>
      <c r="C1167" s="34" t="s">
        <v>415</v>
      </c>
      <c r="D1167" s="34" t="s">
        <v>2072</v>
      </c>
      <c r="E1167" s="34" t="s">
        <v>2073</v>
      </c>
      <c r="F1167" s="34">
        <v>2016.0</v>
      </c>
      <c r="G1167" s="34" t="s">
        <v>2074</v>
      </c>
      <c r="H1167" s="34" t="s">
        <v>2029</v>
      </c>
      <c r="I1167" s="34" t="s">
        <v>2075</v>
      </c>
      <c r="J1167" s="35"/>
      <c r="K1167" s="36"/>
      <c r="L1167" s="36"/>
      <c r="M1167" s="36"/>
      <c r="N1167" s="36">
        <v>-71.44</v>
      </c>
      <c r="O1167" s="36">
        <v>425.07</v>
      </c>
      <c r="P1167" s="52">
        <f t="shared" si="113"/>
        <v>-16.80664361</v>
      </c>
      <c r="Q1167" s="36"/>
      <c r="R1167" s="36" t="s">
        <v>82</v>
      </c>
      <c r="S1167" s="36"/>
      <c r="T1167" s="36" t="s">
        <v>651</v>
      </c>
      <c r="U1167" s="36" t="s">
        <v>652</v>
      </c>
      <c r="V1167" s="36"/>
      <c r="W1167" s="36"/>
      <c r="X1167" s="38">
        <v>1.0</v>
      </c>
      <c r="Y1167" s="38" t="s">
        <v>2076</v>
      </c>
      <c r="Z1167" s="38" t="s">
        <v>2077</v>
      </c>
      <c r="AA1167" s="38" t="s">
        <v>214</v>
      </c>
      <c r="AB1167" s="38">
        <v>100.446</v>
      </c>
      <c r="AC1167" s="38">
        <v>38.975</v>
      </c>
      <c r="AD1167" s="38" t="s">
        <v>198</v>
      </c>
      <c r="AE1167" s="38">
        <v>1460.0</v>
      </c>
      <c r="AF1167" s="38" t="s">
        <v>2078</v>
      </c>
      <c r="AG1167" s="38"/>
      <c r="AH1167" s="38">
        <v>5.2</v>
      </c>
      <c r="AI1167" s="50">
        <v>38.975</v>
      </c>
      <c r="AJ1167" s="50">
        <v>100.446</v>
      </c>
      <c r="AK1167" s="41" t="s">
        <v>86</v>
      </c>
      <c r="AL1167" s="40" t="s">
        <v>86</v>
      </c>
      <c r="AM1167" s="49">
        <v>1459.0</v>
      </c>
      <c r="AN1167" s="51">
        <v>1459.0</v>
      </c>
      <c r="AO1167" s="42" t="s">
        <v>261</v>
      </c>
      <c r="AP1167" s="43" t="s">
        <v>261</v>
      </c>
      <c r="AQ1167" s="44" t="str">
        <f t="shared" si="109"/>
        <v>WET</v>
      </c>
      <c r="AR1167" s="44">
        <f t="shared" si="106"/>
        <v>1459</v>
      </c>
      <c r="AS1167" s="44" t="str">
        <f t="shared" si="112"/>
        <v>B</v>
      </c>
      <c r="AT1167" s="44" t="str">
        <f t="shared" si="114"/>
        <v>BW</v>
      </c>
      <c r="AU1167" s="44" t="str">
        <f t="shared" si="115"/>
        <v>BWk</v>
      </c>
      <c r="AV1167" s="38">
        <v>2.0</v>
      </c>
      <c r="AW1167" s="38"/>
      <c r="AX1167" s="38"/>
      <c r="AY1167" s="38"/>
      <c r="AZ1167" s="29">
        <v>1000.0</v>
      </c>
      <c r="BA1167" s="29">
        <v>1.0</v>
      </c>
      <c r="BB1167" s="29">
        <v>1.0</v>
      </c>
      <c r="BC1167" s="29"/>
      <c r="BD1167" s="29" t="s">
        <v>88</v>
      </c>
      <c r="BE1167" s="29"/>
      <c r="BF1167" s="29" t="s">
        <v>2079</v>
      </c>
      <c r="BG1167" s="29" t="s">
        <v>572</v>
      </c>
      <c r="BH1167" s="29"/>
      <c r="BI1167" s="29" t="s">
        <v>2080</v>
      </c>
      <c r="BJ1167" s="29"/>
      <c r="BK1167" s="29" t="s">
        <v>148</v>
      </c>
      <c r="BL1167" s="29" t="s">
        <v>148</v>
      </c>
      <c r="BM1167" s="45"/>
      <c r="BN1167" s="45">
        <v>1.0</v>
      </c>
      <c r="BO1167" s="46" t="s">
        <v>2081</v>
      </c>
      <c r="BP1167" s="2"/>
      <c r="BQ1167" s="3"/>
    </row>
    <row r="1168" ht="15.75" customHeight="1">
      <c r="A1168" s="34">
        <v>1183.0</v>
      </c>
      <c r="B1168" s="34">
        <v>103842.0</v>
      </c>
      <c r="C1168" s="34" t="s">
        <v>415</v>
      </c>
      <c r="D1168" s="34" t="s">
        <v>2072</v>
      </c>
      <c r="E1168" s="34" t="s">
        <v>2073</v>
      </c>
      <c r="F1168" s="34">
        <v>2016.0</v>
      </c>
      <c r="G1168" s="34" t="s">
        <v>2074</v>
      </c>
      <c r="H1168" s="34" t="s">
        <v>2029</v>
      </c>
      <c r="I1168" s="34" t="s">
        <v>2075</v>
      </c>
      <c r="J1168" s="35"/>
      <c r="K1168" s="36"/>
      <c r="L1168" s="36"/>
      <c r="M1168" s="36"/>
      <c r="N1168" s="36">
        <v>-43.77</v>
      </c>
      <c r="O1168" s="36">
        <v>452.25</v>
      </c>
      <c r="P1168" s="52">
        <f t="shared" si="113"/>
        <v>-9.67827529</v>
      </c>
      <c r="Q1168" s="36"/>
      <c r="R1168" s="36" t="s">
        <v>82</v>
      </c>
      <c r="S1168" s="36"/>
      <c r="T1168" s="36" t="s">
        <v>651</v>
      </c>
      <c r="U1168" s="36" t="s">
        <v>652</v>
      </c>
      <c r="V1168" s="36"/>
      <c r="W1168" s="36"/>
      <c r="X1168" s="38">
        <v>1.0</v>
      </c>
      <c r="Y1168" s="38" t="s">
        <v>2082</v>
      </c>
      <c r="Z1168" s="38" t="s">
        <v>2083</v>
      </c>
      <c r="AA1168" s="38" t="s">
        <v>86</v>
      </c>
      <c r="AB1168" s="38">
        <v>100.358</v>
      </c>
      <c r="AC1168" s="38">
        <v>38.893</v>
      </c>
      <c r="AD1168" s="38" t="s">
        <v>198</v>
      </c>
      <c r="AE1168" s="38">
        <v>1552.0</v>
      </c>
      <c r="AF1168" s="38" t="s">
        <v>2078</v>
      </c>
      <c r="AG1168" s="38"/>
      <c r="AH1168" s="38">
        <v>3.8</v>
      </c>
      <c r="AI1168" s="50">
        <v>38.893</v>
      </c>
      <c r="AJ1168" s="50">
        <v>100.358</v>
      </c>
      <c r="AK1168" s="41" t="s">
        <v>86</v>
      </c>
      <c r="AL1168" s="40" t="s">
        <v>86</v>
      </c>
      <c r="AM1168" s="49">
        <v>1557.0</v>
      </c>
      <c r="AN1168" s="51">
        <v>1557.0</v>
      </c>
      <c r="AO1168" s="42" t="s">
        <v>261</v>
      </c>
      <c r="AP1168" s="43" t="s">
        <v>261</v>
      </c>
      <c r="AQ1168" s="44" t="str">
        <f t="shared" si="109"/>
        <v>CRO</v>
      </c>
      <c r="AR1168" s="44">
        <f t="shared" si="106"/>
        <v>1557</v>
      </c>
      <c r="AS1168" s="44" t="str">
        <f t="shared" si="112"/>
        <v>B</v>
      </c>
      <c r="AT1168" s="44" t="str">
        <f t="shared" si="114"/>
        <v>BW</v>
      </c>
      <c r="AU1168" s="44" t="str">
        <f t="shared" si="115"/>
        <v>BWk</v>
      </c>
      <c r="AV1168" s="38">
        <v>2.0</v>
      </c>
      <c r="AW1168" s="38"/>
      <c r="AX1168" s="38"/>
      <c r="AY1168" s="38"/>
      <c r="AZ1168" s="29">
        <v>1000.0</v>
      </c>
      <c r="BA1168" s="29">
        <v>1.0</v>
      </c>
      <c r="BB1168" s="29">
        <v>1.0</v>
      </c>
      <c r="BC1168" s="29"/>
      <c r="BD1168" s="29" t="s">
        <v>88</v>
      </c>
      <c r="BE1168" s="29"/>
      <c r="BF1168" s="29" t="s">
        <v>2079</v>
      </c>
      <c r="BG1168" s="29" t="s">
        <v>572</v>
      </c>
      <c r="BH1168" s="29"/>
      <c r="BI1168" s="29" t="s">
        <v>2080</v>
      </c>
      <c r="BJ1168" s="29"/>
      <c r="BK1168" s="29" t="s">
        <v>148</v>
      </c>
      <c r="BL1168" s="29" t="s">
        <v>148</v>
      </c>
      <c r="BM1168" s="45"/>
      <c r="BN1168" s="45"/>
      <c r="BO1168" s="46"/>
      <c r="BP1168" s="2"/>
      <c r="BQ1168" s="3"/>
    </row>
    <row r="1169">
      <c r="A1169" s="34">
        <v>1184.0</v>
      </c>
      <c r="B1169" s="34">
        <v>103842.0</v>
      </c>
      <c r="C1169" s="34" t="s">
        <v>415</v>
      </c>
      <c r="D1169" s="34" t="s">
        <v>2072</v>
      </c>
      <c r="E1169" s="34" t="s">
        <v>2073</v>
      </c>
      <c r="F1169" s="34">
        <v>2016.0</v>
      </c>
      <c r="G1169" s="34" t="s">
        <v>2074</v>
      </c>
      <c r="H1169" s="34" t="s">
        <v>2029</v>
      </c>
      <c r="I1169" s="34" t="s">
        <v>2075</v>
      </c>
      <c r="J1169" s="35"/>
      <c r="K1169" s="36"/>
      <c r="L1169" s="36"/>
      <c r="M1169" s="36"/>
      <c r="N1169" s="36">
        <v>-221.56</v>
      </c>
      <c r="O1169" s="36">
        <v>354.37</v>
      </c>
      <c r="P1169" s="52">
        <f t="shared" si="113"/>
        <v>-62.52222254</v>
      </c>
      <c r="Q1169" s="36"/>
      <c r="R1169" s="36" t="s">
        <v>82</v>
      </c>
      <c r="S1169" s="36"/>
      <c r="T1169" s="36" t="s">
        <v>651</v>
      </c>
      <c r="U1169" s="36" t="s">
        <v>652</v>
      </c>
      <c r="V1169" s="36"/>
      <c r="W1169" s="36"/>
      <c r="X1169" s="38">
        <v>1.0</v>
      </c>
      <c r="Y1169" s="38" t="s">
        <v>2084</v>
      </c>
      <c r="Z1169" s="38" t="s">
        <v>2085</v>
      </c>
      <c r="AA1169" s="38" t="s">
        <v>86</v>
      </c>
      <c r="AB1169" s="38">
        <v>38.845</v>
      </c>
      <c r="AC1169" s="38">
        <v>100.37</v>
      </c>
      <c r="AD1169" s="38" t="s">
        <v>198</v>
      </c>
      <c r="AE1169" s="38">
        <v>1559.0</v>
      </c>
      <c r="AF1169" s="38" t="s">
        <v>2078</v>
      </c>
      <c r="AG1169" s="38"/>
      <c r="AH1169" s="38">
        <v>7.0</v>
      </c>
      <c r="AI1169" s="50">
        <v>38.845</v>
      </c>
      <c r="AJ1169" s="50">
        <v>100.37</v>
      </c>
      <c r="AK1169" s="41" t="s">
        <v>86</v>
      </c>
      <c r="AL1169" s="40" t="s">
        <v>86</v>
      </c>
      <c r="AM1169" s="49">
        <v>1563.0</v>
      </c>
      <c r="AN1169" s="51">
        <v>1563.0</v>
      </c>
      <c r="AO1169" s="42" t="s">
        <v>261</v>
      </c>
      <c r="AP1169" s="43" t="s">
        <v>261</v>
      </c>
      <c r="AQ1169" s="44" t="str">
        <f t="shared" si="109"/>
        <v>CRO</v>
      </c>
      <c r="AR1169" s="44">
        <f t="shared" si="106"/>
        <v>1563</v>
      </c>
      <c r="AS1169" s="44" t="str">
        <f t="shared" si="112"/>
        <v>B</v>
      </c>
      <c r="AT1169" s="44" t="str">
        <f t="shared" si="114"/>
        <v>BW</v>
      </c>
      <c r="AU1169" s="44" t="str">
        <f t="shared" si="115"/>
        <v>BWk</v>
      </c>
      <c r="AV1169" s="38">
        <v>2.0</v>
      </c>
      <c r="AW1169" s="38"/>
      <c r="AX1169" s="38"/>
      <c r="AY1169" s="38"/>
      <c r="AZ1169" s="29">
        <v>1000.0</v>
      </c>
      <c r="BA1169" s="29">
        <v>1.0</v>
      </c>
      <c r="BB1169" s="29">
        <v>1.0</v>
      </c>
      <c r="BC1169" s="29"/>
      <c r="BD1169" s="29" t="s">
        <v>88</v>
      </c>
      <c r="BE1169" s="29"/>
      <c r="BF1169" s="29" t="s">
        <v>2079</v>
      </c>
      <c r="BG1169" s="29" t="s">
        <v>572</v>
      </c>
      <c r="BH1169" s="29"/>
      <c r="BI1169" s="29" t="s">
        <v>2080</v>
      </c>
      <c r="BJ1169" s="29"/>
      <c r="BK1169" s="29" t="s">
        <v>148</v>
      </c>
      <c r="BL1169" s="29" t="s">
        <v>148</v>
      </c>
      <c r="BM1169" s="45"/>
      <c r="BN1169" s="45"/>
      <c r="BO1169" s="46"/>
      <c r="BP1169" s="2"/>
      <c r="BQ1169" s="3"/>
    </row>
    <row r="1170" ht="15.75" customHeight="1">
      <c r="A1170" s="34">
        <v>1185.0</v>
      </c>
      <c r="B1170" s="34">
        <v>103842.0</v>
      </c>
      <c r="C1170" s="34" t="s">
        <v>415</v>
      </c>
      <c r="D1170" s="34" t="s">
        <v>2072</v>
      </c>
      <c r="E1170" s="34" t="s">
        <v>2073</v>
      </c>
      <c r="F1170" s="34">
        <v>2016.0</v>
      </c>
      <c r="G1170" s="34" t="s">
        <v>2074</v>
      </c>
      <c r="H1170" s="34" t="s">
        <v>2029</v>
      </c>
      <c r="I1170" s="34" t="s">
        <v>2075</v>
      </c>
      <c r="J1170" s="35"/>
      <c r="K1170" s="36"/>
      <c r="L1170" s="36"/>
      <c r="M1170" s="36"/>
      <c r="N1170" s="36">
        <v>143.77</v>
      </c>
      <c r="O1170" s="36">
        <v>441.1</v>
      </c>
      <c r="P1170" s="52">
        <f t="shared" si="113"/>
        <v>32.59351621</v>
      </c>
      <c r="Q1170" s="36"/>
      <c r="R1170" s="36" t="s">
        <v>82</v>
      </c>
      <c r="S1170" s="36"/>
      <c r="T1170" s="36" t="s">
        <v>651</v>
      </c>
      <c r="U1170" s="36" t="s">
        <v>652</v>
      </c>
      <c r="V1170" s="36"/>
      <c r="W1170" s="36"/>
      <c r="X1170" s="38">
        <v>1.0</v>
      </c>
      <c r="Y1170" s="38" t="s">
        <v>2086</v>
      </c>
      <c r="Z1170" s="38" t="s">
        <v>2087</v>
      </c>
      <c r="AA1170" s="38" t="s">
        <v>505</v>
      </c>
      <c r="AB1170" s="38">
        <v>100.358</v>
      </c>
      <c r="AC1170" s="38">
        <v>38.878</v>
      </c>
      <c r="AD1170" s="38" t="s">
        <v>198</v>
      </c>
      <c r="AE1170" s="38">
        <v>1561.0</v>
      </c>
      <c r="AF1170" s="38" t="s">
        <v>2088</v>
      </c>
      <c r="AG1170" s="38"/>
      <c r="AH1170" s="38">
        <v>4.2</v>
      </c>
      <c r="AI1170" s="50">
        <v>38.878</v>
      </c>
      <c r="AJ1170" s="50">
        <v>100.358</v>
      </c>
      <c r="AK1170" s="41" t="s">
        <v>86</v>
      </c>
      <c r="AL1170" s="40" t="s">
        <v>86</v>
      </c>
      <c r="AM1170" s="49">
        <v>1567.0</v>
      </c>
      <c r="AN1170" s="51">
        <v>1567.0</v>
      </c>
      <c r="AO1170" s="42" t="s">
        <v>261</v>
      </c>
      <c r="AP1170" s="43" t="s">
        <v>261</v>
      </c>
      <c r="AQ1170" s="44" t="str">
        <f t="shared" si="109"/>
        <v>URB</v>
      </c>
      <c r="AR1170" s="44">
        <f t="shared" si="106"/>
        <v>1567</v>
      </c>
      <c r="AS1170" s="44" t="str">
        <f t="shared" si="112"/>
        <v>B</v>
      </c>
      <c r="AT1170" s="44" t="str">
        <f t="shared" si="114"/>
        <v>BW</v>
      </c>
      <c r="AU1170" s="44" t="str">
        <f t="shared" si="115"/>
        <v>BWk</v>
      </c>
      <c r="AV1170" s="38">
        <v>2.0</v>
      </c>
      <c r="AW1170" s="38"/>
      <c r="AX1170" s="38"/>
      <c r="AY1170" s="38"/>
      <c r="AZ1170" s="29">
        <v>1000.0</v>
      </c>
      <c r="BA1170" s="29">
        <v>1.0</v>
      </c>
      <c r="BB1170" s="29">
        <v>1.0</v>
      </c>
      <c r="BC1170" s="29"/>
      <c r="BD1170" s="29" t="s">
        <v>88</v>
      </c>
      <c r="BE1170" s="29"/>
      <c r="BF1170" s="29" t="s">
        <v>2079</v>
      </c>
      <c r="BG1170" s="29" t="s">
        <v>572</v>
      </c>
      <c r="BH1170" s="29"/>
      <c r="BI1170" s="29" t="s">
        <v>2080</v>
      </c>
      <c r="BJ1170" s="29"/>
      <c r="BK1170" s="29" t="s">
        <v>148</v>
      </c>
      <c r="BL1170" s="29" t="s">
        <v>148</v>
      </c>
      <c r="BM1170" s="45"/>
      <c r="BN1170" s="45"/>
      <c r="BO1170" s="46"/>
      <c r="BP1170" s="2"/>
      <c r="BQ1170" s="3"/>
    </row>
    <row r="1171" ht="15.75" customHeight="1">
      <c r="A1171" s="34">
        <v>1186.0</v>
      </c>
      <c r="B1171" s="34">
        <v>103842.0</v>
      </c>
      <c r="C1171" s="34" t="s">
        <v>415</v>
      </c>
      <c r="D1171" s="34" t="s">
        <v>2072</v>
      </c>
      <c r="E1171" s="34" t="s">
        <v>2073</v>
      </c>
      <c r="F1171" s="34">
        <v>2016.0</v>
      </c>
      <c r="G1171" s="34" t="s">
        <v>2074</v>
      </c>
      <c r="H1171" s="34" t="s">
        <v>2029</v>
      </c>
      <c r="I1171" s="34" t="s">
        <v>2075</v>
      </c>
      <c r="J1171" s="35"/>
      <c r="K1171" s="36"/>
      <c r="L1171" s="36"/>
      <c r="M1171" s="36"/>
      <c r="N1171" s="36">
        <v>48.33</v>
      </c>
      <c r="O1171" s="36">
        <v>233.28</v>
      </c>
      <c r="P1171" s="52">
        <f t="shared" si="113"/>
        <v>20.71759259</v>
      </c>
      <c r="Q1171" s="36"/>
      <c r="R1171" s="36" t="s">
        <v>82</v>
      </c>
      <c r="S1171" s="36"/>
      <c r="T1171" s="36" t="s">
        <v>651</v>
      </c>
      <c r="U1171" s="36" t="s">
        <v>652</v>
      </c>
      <c r="V1171" s="36"/>
      <c r="W1171" s="36"/>
      <c r="X1171" s="38">
        <v>1.0</v>
      </c>
      <c r="Y1171" s="38" t="s">
        <v>2089</v>
      </c>
      <c r="Z1171" s="38" t="s">
        <v>2090</v>
      </c>
      <c r="AA1171" s="38"/>
      <c r="AB1171" s="38">
        <v>38.915</v>
      </c>
      <c r="AC1171" s="38">
        <v>100.304</v>
      </c>
      <c r="AD1171" s="38" t="s">
        <v>198</v>
      </c>
      <c r="AE1171" s="53">
        <v>1562.0</v>
      </c>
      <c r="AF1171" s="38" t="s">
        <v>2088</v>
      </c>
      <c r="AG1171" s="38"/>
      <c r="AH1171" s="38">
        <v>4.6</v>
      </c>
      <c r="AI1171" s="50">
        <v>38.915</v>
      </c>
      <c r="AJ1171" s="50">
        <v>100.304</v>
      </c>
      <c r="AK1171" s="41" t="s">
        <v>288</v>
      </c>
      <c r="AL1171" s="40" t="s">
        <v>288</v>
      </c>
      <c r="AM1171" s="49">
        <v>1566.0</v>
      </c>
      <c r="AN1171" s="51">
        <v>1566.0</v>
      </c>
      <c r="AO1171" s="42" t="s">
        <v>261</v>
      </c>
      <c r="AP1171" s="43" t="s">
        <v>261</v>
      </c>
      <c r="AQ1171" s="80" t="s">
        <v>288</v>
      </c>
      <c r="AR1171" s="44">
        <f t="shared" si="106"/>
        <v>1566</v>
      </c>
      <c r="AS1171" s="44" t="str">
        <f t="shared" si="112"/>
        <v>B</v>
      </c>
      <c r="AT1171" s="44" t="str">
        <f t="shared" si="114"/>
        <v>BW</v>
      </c>
      <c r="AU1171" s="44" t="str">
        <f t="shared" si="115"/>
        <v>BWk</v>
      </c>
      <c r="AV1171" s="38">
        <v>2.0</v>
      </c>
      <c r="AW1171" s="38"/>
      <c r="AX1171" s="38"/>
      <c r="AY1171" s="38"/>
      <c r="AZ1171" s="29">
        <v>1000.0</v>
      </c>
      <c r="BA1171" s="29">
        <v>1.0</v>
      </c>
      <c r="BB1171" s="29">
        <v>1.0</v>
      </c>
      <c r="BC1171" s="29"/>
      <c r="BD1171" s="29" t="s">
        <v>88</v>
      </c>
      <c r="BE1171" s="29"/>
      <c r="BF1171" s="29" t="s">
        <v>2079</v>
      </c>
      <c r="BG1171" s="29" t="s">
        <v>572</v>
      </c>
      <c r="BH1171" s="29"/>
      <c r="BI1171" s="29" t="s">
        <v>2080</v>
      </c>
      <c r="BJ1171" s="29"/>
      <c r="BK1171" s="29" t="s">
        <v>148</v>
      </c>
      <c r="BL1171" s="29" t="s">
        <v>148</v>
      </c>
      <c r="BM1171" s="45"/>
      <c r="BN1171" s="45"/>
      <c r="BO1171" s="46"/>
      <c r="BP1171" s="2"/>
      <c r="BQ1171" s="3"/>
    </row>
    <row r="1172" ht="15.75" customHeight="1">
      <c r="A1172" s="34">
        <v>1187.0</v>
      </c>
      <c r="B1172" s="34">
        <v>103842.0</v>
      </c>
      <c r="C1172" s="34" t="s">
        <v>415</v>
      </c>
      <c r="D1172" s="34" t="s">
        <v>2072</v>
      </c>
      <c r="E1172" s="34" t="s">
        <v>2073</v>
      </c>
      <c r="F1172" s="34">
        <v>2016.0</v>
      </c>
      <c r="G1172" s="34" t="s">
        <v>2074</v>
      </c>
      <c r="H1172" s="34" t="s">
        <v>2029</v>
      </c>
      <c r="I1172" s="34" t="s">
        <v>2075</v>
      </c>
      <c r="J1172" s="35"/>
      <c r="K1172" s="36"/>
      <c r="L1172" s="36"/>
      <c r="M1172" s="36"/>
      <c r="N1172" s="36">
        <v>-92.32</v>
      </c>
      <c r="O1172" s="36">
        <v>120.48</v>
      </c>
      <c r="P1172" s="52">
        <f t="shared" si="113"/>
        <v>-76.62682603</v>
      </c>
      <c r="Q1172" s="36"/>
      <c r="R1172" s="36" t="s">
        <v>82</v>
      </c>
      <c r="S1172" s="36"/>
      <c r="T1172" s="36" t="s">
        <v>651</v>
      </c>
      <c r="U1172" s="36" t="s">
        <v>652</v>
      </c>
      <c r="V1172" s="36"/>
      <c r="W1172" s="36"/>
      <c r="X1172" s="38">
        <v>1.0</v>
      </c>
      <c r="Y1172" s="38" t="s">
        <v>666</v>
      </c>
      <c r="Z1172" s="38" t="s">
        <v>2091</v>
      </c>
      <c r="AA1172" s="38"/>
      <c r="AB1172" s="38">
        <v>100.493</v>
      </c>
      <c r="AC1172" s="38">
        <v>38.789</v>
      </c>
      <c r="AD1172" s="38" t="s">
        <v>198</v>
      </c>
      <c r="AE1172" s="53">
        <v>1594.0</v>
      </c>
      <c r="AF1172" s="38" t="s">
        <v>2088</v>
      </c>
      <c r="AG1172" s="38"/>
      <c r="AH1172" s="38">
        <v>4.6</v>
      </c>
      <c r="AI1172" s="50">
        <v>38.789</v>
      </c>
      <c r="AJ1172" s="50">
        <v>100.493</v>
      </c>
      <c r="AK1172" s="41" t="s">
        <v>664</v>
      </c>
      <c r="AL1172" s="40" t="s">
        <v>664</v>
      </c>
      <c r="AM1172" s="49">
        <v>1548.0</v>
      </c>
      <c r="AN1172" s="51">
        <v>1548.0</v>
      </c>
      <c r="AO1172" s="42" t="s">
        <v>261</v>
      </c>
      <c r="AP1172" s="43" t="s">
        <v>293</v>
      </c>
      <c r="AQ1172" s="80" t="s">
        <v>664</v>
      </c>
      <c r="AR1172" s="44">
        <f t="shared" si="106"/>
        <v>1548</v>
      </c>
      <c r="AS1172" s="44" t="str">
        <f t="shared" si="112"/>
        <v>B</v>
      </c>
      <c r="AT1172" s="44" t="str">
        <f t="shared" si="114"/>
        <v>BS</v>
      </c>
      <c r="AU1172" s="44" t="str">
        <f t="shared" si="115"/>
        <v>BSk</v>
      </c>
      <c r="AV1172" s="38">
        <v>2.0</v>
      </c>
      <c r="AW1172" s="38"/>
      <c r="AX1172" s="38"/>
      <c r="AY1172" s="38"/>
      <c r="AZ1172" s="29">
        <v>1000.0</v>
      </c>
      <c r="BA1172" s="29">
        <v>1.0</v>
      </c>
      <c r="BB1172" s="29">
        <v>1.0</v>
      </c>
      <c r="BC1172" s="29"/>
      <c r="BD1172" s="29" t="s">
        <v>88</v>
      </c>
      <c r="BE1172" s="29"/>
      <c r="BF1172" s="29" t="s">
        <v>2079</v>
      </c>
      <c r="BG1172" s="29" t="s">
        <v>572</v>
      </c>
      <c r="BH1172" s="29"/>
      <c r="BI1172" s="29" t="s">
        <v>2080</v>
      </c>
      <c r="BJ1172" s="29"/>
      <c r="BK1172" s="29" t="s">
        <v>148</v>
      </c>
      <c r="BL1172" s="29" t="s">
        <v>148</v>
      </c>
      <c r="BM1172" s="45"/>
      <c r="BN1172" s="45"/>
      <c r="BO1172" s="46"/>
      <c r="BP1172" s="2"/>
      <c r="BQ1172" s="3"/>
    </row>
    <row r="1173" ht="15.75" customHeight="1">
      <c r="A1173" s="34">
        <v>1188.0</v>
      </c>
      <c r="B1173" s="34">
        <v>102599.0</v>
      </c>
      <c r="C1173" s="34" t="s">
        <v>415</v>
      </c>
      <c r="D1173" s="34" t="s">
        <v>2092</v>
      </c>
      <c r="E1173" s="34" t="s">
        <v>2093</v>
      </c>
      <c r="F1173" s="34">
        <v>2020.0</v>
      </c>
      <c r="G1173" s="34" t="s">
        <v>2094</v>
      </c>
      <c r="H1173" s="34" t="s">
        <v>2029</v>
      </c>
      <c r="I1173" s="99" t="s">
        <v>2095</v>
      </c>
      <c r="J1173" s="35"/>
      <c r="K1173" s="36">
        <v>5.47</v>
      </c>
      <c r="L1173" s="36">
        <v>50.8</v>
      </c>
      <c r="M1173" s="36"/>
      <c r="N1173" s="36"/>
      <c r="O1173" s="36"/>
      <c r="P1173" s="37">
        <v>10.3</v>
      </c>
      <c r="Q1173" s="36" t="s">
        <v>191</v>
      </c>
      <c r="R1173" s="36" t="s">
        <v>191</v>
      </c>
      <c r="S1173" s="36"/>
      <c r="T1173" s="36" t="s">
        <v>818</v>
      </c>
      <c r="U1173" s="36" t="s">
        <v>2096</v>
      </c>
      <c r="V1173" s="36"/>
      <c r="W1173" s="36"/>
      <c r="X1173" s="38">
        <v>1.0</v>
      </c>
      <c r="Y1173" s="38" t="s">
        <v>2097</v>
      </c>
      <c r="Z1173" s="38" t="s">
        <v>2097</v>
      </c>
      <c r="AA1173" s="38" t="s">
        <v>86</v>
      </c>
      <c r="AB1173" s="38">
        <v>38.1847</v>
      </c>
      <c r="AC1173" s="53" t="s">
        <v>2098</v>
      </c>
      <c r="AD1173" s="39" t="s">
        <v>87</v>
      </c>
      <c r="AE1173" s="38"/>
      <c r="AF1173" s="38"/>
      <c r="AG1173" s="38"/>
      <c r="AH1173" s="38"/>
      <c r="AI1173" s="50">
        <v>38.1847</v>
      </c>
      <c r="AJ1173" s="109">
        <v>-84.9033</v>
      </c>
      <c r="AK1173" s="41" t="s">
        <v>313</v>
      </c>
      <c r="AL1173" s="40" t="s">
        <v>313</v>
      </c>
      <c r="AM1173" s="49">
        <v>234.0</v>
      </c>
      <c r="AN1173" s="51">
        <v>234.0</v>
      </c>
      <c r="AO1173" s="42" t="s">
        <v>201</v>
      </c>
      <c r="AP1173" s="43" t="s">
        <v>201</v>
      </c>
      <c r="AQ1173" s="44" t="str">
        <f t="shared" ref="AQ1173:AQ1174" si="116">AA1173</f>
        <v>CRO</v>
      </c>
      <c r="AR1173" s="44">
        <f t="shared" si="106"/>
        <v>234</v>
      </c>
      <c r="AS1173" s="44" t="str">
        <f t="shared" si="112"/>
        <v>C</v>
      </c>
      <c r="AT1173" s="44" t="str">
        <f t="shared" si="114"/>
        <v>Cf</v>
      </c>
      <c r="AU1173" s="44" t="str">
        <f t="shared" si="115"/>
        <v>Cfa</v>
      </c>
      <c r="AV1173" s="38"/>
      <c r="AW1173" s="38"/>
      <c r="AX1173" s="38"/>
      <c r="AY1173" s="38"/>
      <c r="AZ1173" s="29"/>
      <c r="BA1173" s="29">
        <v>1.0</v>
      </c>
      <c r="BB1173" s="29">
        <v>1.0</v>
      </c>
      <c r="BC1173" s="29"/>
      <c r="BD1173" s="29"/>
      <c r="BE1173" s="29"/>
      <c r="BF1173" s="29" t="s">
        <v>802</v>
      </c>
      <c r="BG1173" s="29" t="s">
        <v>572</v>
      </c>
      <c r="BH1173" s="29"/>
      <c r="BI1173" s="29" t="s">
        <v>1052</v>
      </c>
      <c r="BJ1173" s="29"/>
      <c r="BK1173" s="29" t="s">
        <v>148</v>
      </c>
      <c r="BL1173" s="29"/>
      <c r="BM1173" s="45"/>
      <c r="BN1173" s="45">
        <v>1.0</v>
      </c>
      <c r="BO1173" s="46" t="s">
        <v>802</v>
      </c>
      <c r="BP1173" s="2"/>
      <c r="BQ1173" s="3"/>
    </row>
    <row r="1174" ht="15.75" customHeight="1">
      <c r="A1174" s="34">
        <v>1189.0</v>
      </c>
      <c r="B1174" s="34">
        <v>101304.0</v>
      </c>
      <c r="C1174" s="34" t="s">
        <v>415</v>
      </c>
      <c r="D1174" s="34" t="s">
        <v>2099</v>
      </c>
      <c r="E1174" s="34" t="s">
        <v>2100</v>
      </c>
      <c r="F1174" s="34">
        <v>2015.0</v>
      </c>
      <c r="G1174" s="34" t="s">
        <v>2101</v>
      </c>
      <c r="H1174" s="34" t="s">
        <v>2102</v>
      </c>
      <c r="I1174" s="34" t="s">
        <v>2103</v>
      </c>
      <c r="J1174" s="35"/>
      <c r="K1174" s="36">
        <v>-73.0</v>
      </c>
      <c r="L1174" s="36">
        <v>436.0</v>
      </c>
      <c r="M1174" s="36"/>
      <c r="N1174" s="36"/>
      <c r="O1174" s="36"/>
      <c r="P1174" s="52">
        <v>-16.74311927</v>
      </c>
      <c r="Q1174" s="36" t="s">
        <v>13</v>
      </c>
      <c r="R1174" s="36" t="s">
        <v>13</v>
      </c>
      <c r="S1174" s="36">
        <v>1000.0</v>
      </c>
      <c r="T1174" s="36" t="s">
        <v>193</v>
      </c>
      <c r="U1174" s="36" t="s">
        <v>285</v>
      </c>
      <c r="V1174" s="36"/>
      <c r="W1174" s="36"/>
      <c r="X1174" s="38">
        <v>1.0</v>
      </c>
      <c r="Y1174" s="38" t="s">
        <v>2104</v>
      </c>
      <c r="Z1174" s="38" t="s">
        <v>2105</v>
      </c>
      <c r="AA1174" s="38" t="s">
        <v>288</v>
      </c>
      <c r="AB1174" s="38">
        <v>49.43</v>
      </c>
      <c r="AC1174" s="38">
        <v>112.56</v>
      </c>
      <c r="AD1174" s="38" t="s">
        <v>395</v>
      </c>
      <c r="AE1174" s="38"/>
      <c r="AF1174" s="38"/>
      <c r="AG1174" s="38"/>
      <c r="AH1174" s="38"/>
      <c r="AI1174" s="50">
        <v>49.43</v>
      </c>
      <c r="AJ1174" s="50">
        <v>-112.56</v>
      </c>
      <c r="AK1174" s="41" t="s">
        <v>86</v>
      </c>
      <c r="AL1174" s="40" t="s">
        <v>86</v>
      </c>
      <c r="AM1174" s="49">
        <v>977.0</v>
      </c>
      <c r="AN1174" s="51">
        <v>977.0</v>
      </c>
      <c r="AO1174" s="42" t="s">
        <v>372</v>
      </c>
      <c r="AP1174" s="43" t="s">
        <v>293</v>
      </c>
      <c r="AQ1174" s="44" t="str">
        <f t="shared" si="116"/>
        <v>GRA</v>
      </c>
      <c r="AR1174" s="44">
        <f t="shared" si="106"/>
        <v>977</v>
      </c>
      <c r="AS1174" s="44" t="str">
        <f t="shared" si="112"/>
        <v>D</v>
      </c>
      <c r="AT1174" s="44" t="str">
        <f t="shared" si="114"/>
        <v>BS</v>
      </c>
      <c r="AU1174" s="44" t="str">
        <f t="shared" si="115"/>
        <v>BSk</v>
      </c>
      <c r="AV1174" s="38">
        <v>3.0</v>
      </c>
      <c r="AW1174" s="38"/>
      <c r="AX1174" s="38"/>
      <c r="AY1174" s="38" t="s">
        <v>92</v>
      </c>
      <c r="AZ1174" s="29">
        <v>1000.0</v>
      </c>
      <c r="BA1174" s="29">
        <v>1.0</v>
      </c>
      <c r="BB1174" s="29">
        <v>2.0</v>
      </c>
      <c r="BC1174" s="29" t="s">
        <v>219</v>
      </c>
      <c r="BD1174" s="29"/>
      <c r="BE1174" s="29"/>
      <c r="BF1174" s="29" t="s">
        <v>2106</v>
      </c>
      <c r="BG1174" s="29" t="s">
        <v>220</v>
      </c>
      <c r="BH1174" s="29" t="s">
        <v>92</v>
      </c>
      <c r="BI1174" s="29" t="s">
        <v>2107</v>
      </c>
      <c r="BJ1174" s="29" t="s">
        <v>148</v>
      </c>
      <c r="BK1174" s="29" t="s">
        <v>148</v>
      </c>
      <c r="BL1174" s="29"/>
      <c r="BM1174" s="45"/>
      <c r="BN1174" s="45"/>
      <c r="BO1174" s="46"/>
      <c r="BP1174" s="2"/>
      <c r="BQ1174" s="3"/>
    </row>
    <row r="1175" ht="15.75" customHeight="1">
      <c r="A1175" s="34">
        <v>1190.0</v>
      </c>
      <c r="B1175" s="34">
        <v>101304.0</v>
      </c>
      <c r="C1175" s="34" t="s">
        <v>415</v>
      </c>
      <c r="D1175" s="34" t="s">
        <v>2099</v>
      </c>
      <c r="E1175" s="34" t="s">
        <v>2100</v>
      </c>
      <c r="F1175" s="34">
        <v>2015.0</v>
      </c>
      <c r="G1175" s="34" t="s">
        <v>2101</v>
      </c>
      <c r="H1175" s="34" t="s">
        <v>2102</v>
      </c>
      <c r="I1175" s="34" t="s">
        <v>2103</v>
      </c>
      <c r="J1175" s="35"/>
      <c r="K1175" s="36">
        <v>15.0</v>
      </c>
      <c r="L1175" s="36">
        <v>376.0</v>
      </c>
      <c r="M1175" s="36"/>
      <c r="N1175" s="36"/>
      <c r="O1175" s="36"/>
      <c r="P1175" s="52">
        <v>3.989361702</v>
      </c>
      <c r="Q1175" s="36" t="s">
        <v>13</v>
      </c>
      <c r="R1175" s="36" t="s">
        <v>13</v>
      </c>
      <c r="S1175" s="36">
        <v>1000.0</v>
      </c>
      <c r="T1175" s="36" t="s">
        <v>295</v>
      </c>
      <c r="U1175" s="36" t="s">
        <v>285</v>
      </c>
      <c r="V1175" s="36"/>
      <c r="W1175" s="36"/>
      <c r="X1175" s="38">
        <v>1.0</v>
      </c>
      <c r="Y1175" s="38" t="s">
        <v>2108</v>
      </c>
      <c r="Z1175" s="38" t="s">
        <v>2109</v>
      </c>
      <c r="AA1175" s="38"/>
      <c r="AB1175" s="38">
        <v>54.95</v>
      </c>
      <c r="AC1175" s="38">
        <v>112.46</v>
      </c>
      <c r="AD1175" s="38" t="s">
        <v>395</v>
      </c>
      <c r="AE1175" s="38"/>
      <c r="AF1175" s="38"/>
      <c r="AG1175" s="38"/>
      <c r="AH1175" s="38"/>
      <c r="AI1175" s="50">
        <v>54.95</v>
      </c>
      <c r="AJ1175" s="50">
        <v>-112.46</v>
      </c>
      <c r="AK1175" s="41" t="s">
        <v>197</v>
      </c>
      <c r="AL1175" s="40" t="s">
        <v>197</v>
      </c>
      <c r="AM1175" s="49">
        <v>545.0</v>
      </c>
      <c r="AN1175" s="51">
        <v>545.0</v>
      </c>
      <c r="AO1175" s="42" t="s">
        <v>372</v>
      </c>
      <c r="AP1175" s="43" t="s">
        <v>107</v>
      </c>
      <c r="AQ1175" s="80" t="str">
        <f t="shared" ref="AQ1175:AR1175" si="117">AL1175</f>
        <v>ENF</v>
      </c>
      <c r="AR1175" s="44">
        <f t="shared" si="117"/>
        <v>545</v>
      </c>
      <c r="AS1175" s="44" t="str">
        <f t="shared" si="112"/>
        <v>D</v>
      </c>
      <c r="AT1175" s="44" t="str">
        <f t="shared" si="114"/>
        <v>Df</v>
      </c>
      <c r="AU1175" s="44" t="str">
        <f t="shared" si="115"/>
        <v>Dfb</v>
      </c>
      <c r="AV1175" s="38">
        <v>3.0</v>
      </c>
      <c r="AW1175" s="38"/>
      <c r="AX1175" s="38"/>
      <c r="AY1175" s="38" t="s">
        <v>92</v>
      </c>
      <c r="AZ1175" s="29">
        <v>1000.0</v>
      </c>
      <c r="BA1175" s="29">
        <v>1.0</v>
      </c>
      <c r="BB1175" s="29">
        <v>2.0</v>
      </c>
      <c r="BC1175" s="29" t="s">
        <v>219</v>
      </c>
      <c r="BD1175" s="29"/>
      <c r="BE1175" s="29"/>
      <c r="BF1175" s="29" t="s">
        <v>2106</v>
      </c>
      <c r="BG1175" s="29" t="s">
        <v>220</v>
      </c>
      <c r="BH1175" s="29" t="s">
        <v>92</v>
      </c>
      <c r="BI1175" s="29" t="s">
        <v>2107</v>
      </c>
      <c r="BJ1175" s="29" t="s">
        <v>148</v>
      </c>
      <c r="BK1175" s="29" t="s">
        <v>148</v>
      </c>
      <c r="BL1175" s="29"/>
      <c r="BM1175" s="45"/>
      <c r="BN1175" s="45"/>
      <c r="BO1175" s="46"/>
      <c r="BP1175" s="2"/>
      <c r="BQ1175" s="3"/>
    </row>
    <row r="1176" ht="15.75" customHeight="1">
      <c r="A1176" s="34">
        <v>1191.0</v>
      </c>
      <c r="B1176" s="34">
        <v>101304.0</v>
      </c>
      <c r="C1176" s="34" t="s">
        <v>415</v>
      </c>
      <c r="D1176" s="34" t="s">
        <v>2099</v>
      </c>
      <c r="E1176" s="34" t="s">
        <v>2100</v>
      </c>
      <c r="F1176" s="34">
        <v>2015.0</v>
      </c>
      <c r="G1176" s="34" t="s">
        <v>2101</v>
      </c>
      <c r="H1176" s="34" t="s">
        <v>2102</v>
      </c>
      <c r="I1176" s="34" t="s">
        <v>2103</v>
      </c>
      <c r="J1176" s="35"/>
      <c r="K1176" s="36">
        <v>18.0</v>
      </c>
      <c r="L1176" s="36">
        <v>465.0</v>
      </c>
      <c r="M1176" s="36"/>
      <c r="N1176" s="36"/>
      <c r="O1176" s="36"/>
      <c r="P1176" s="52">
        <v>3.870967742</v>
      </c>
      <c r="Q1176" s="36" t="s">
        <v>13</v>
      </c>
      <c r="R1176" s="36" t="s">
        <v>13</v>
      </c>
      <c r="S1176" s="36">
        <v>1000.0</v>
      </c>
      <c r="T1176" s="36" t="s">
        <v>2110</v>
      </c>
      <c r="U1176" s="36" t="s">
        <v>351</v>
      </c>
      <c r="V1176" s="36"/>
      <c r="W1176" s="36"/>
      <c r="X1176" s="38">
        <v>1.0</v>
      </c>
      <c r="Y1176" s="38" t="s">
        <v>2111</v>
      </c>
      <c r="Z1176" s="38" t="s">
        <v>758</v>
      </c>
      <c r="AA1176" s="38"/>
      <c r="AB1176" s="38">
        <v>48.87</v>
      </c>
      <c r="AC1176" s="38">
        <v>125.35</v>
      </c>
      <c r="AD1176" s="38" t="s">
        <v>395</v>
      </c>
      <c r="AE1176" s="38"/>
      <c r="AF1176" s="38"/>
      <c r="AG1176" s="38"/>
      <c r="AH1176" s="38"/>
      <c r="AI1176" s="50">
        <v>48.87</v>
      </c>
      <c r="AJ1176" s="50">
        <v>-125.35</v>
      </c>
      <c r="AK1176" s="41" t="s">
        <v>1085</v>
      </c>
      <c r="AL1176" s="40" t="s">
        <v>1085</v>
      </c>
      <c r="AM1176" s="49">
        <v>0.0</v>
      </c>
      <c r="AN1176" s="51">
        <v>0.0</v>
      </c>
      <c r="AO1176" s="42"/>
      <c r="AP1176" s="43" t="s">
        <v>376</v>
      </c>
      <c r="AQ1176" s="80" t="str">
        <f t="shared" ref="AQ1176:AR1176" si="118">AL1176</f>
        <v>WAT</v>
      </c>
      <c r="AR1176" s="44">
        <f t="shared" si="118"/>
        <v>0</v>
      </c>
      <c r="AS1176" s="44" t="str">
        <f t="shared" si="112"/>
        <v/>
      </c>
      <c r="AT1176" s="44" t="str">
        <f t="shared" si="114"/>
        <v>Cf</v>
      </c>
      <c r="AU1176" s="44" t="str">
        <f t="shared" si="115"/>
        <v>Cfb</v>
      </c>
      <c r="AV1176" s="38">
        <v>3.0</v>
      </c>
      <c r="AW1176" s="38"/>
      <c r="AX1176" s="38"/>
      <c r="AY1176" s="38" t="s">
        <v>92</v>
      </c>
      <c r="AZ1176" s="29">
        <v>1000.0</v>
      </c>
      <c r="BA1176" s="29">
        <v>1.0</v>
      </c>
      <c r="BB1176" s="29">
        <v>2.0</v>
      </c>
      <c r="BC1176" s="29" t="s">
        <v>219</v>
      </c>
      <c r="BD1176" s="29"/>
      <c r="BE1176" s="29"/>
      <c r="BF1176" s="29" t="s">
        <v>2106</v>
      </c>
      <c r="BG1176" s="29" t="s">
        <v>220</v>
      </c>
      <c r="BH1176" s="29" t="s">
        <v>92</v>
      </c>
      <c r="BI1176" s="29" t="s">
        <v>2107</v>
      </c>
      <c r="BJ1176" s="29" t="s">
        <v>148</v>
      </c>
      <c r="BK1176" s="29" t="s">
        <v>148</v>
      </c>
      <c r="BL1176" s="29"/>
      <c r="BM1176" s="45"/>
      <c r="BN1176" s="45"/>
      <c r="BO1176" s="46"/>
      <c r="BP1176" s="2"/>
      <c r="BQ1176" s="3"/>
    </row>
    <row r="1177" ht="15.75" customHeight="1">
      <c r="A1177" s="34">
        <v>1192.0</v>
      </c>
      <c r="B1177" s="34">
        <v>101304.0</v>
      </c>
      <c r="C1177" s="34" t="s">
        <v>415</v>
      </c>
      <c r="D1177" s="34" t="s">
        <v>2099</v>
      </c>
      <c r="E1177" s="34" t="s">
        <v>2100</v>
      </c>
      <c r="F1177" s="34">
        <v>2015.0</v>
      </c>
      <c r="G1177" s="34" t="s">
        <v>2101</v>
      </c>
      <c r="H1177" s="34" t="s">
        <v>2102</v>
      </c>
      <c r="I1177" s="34" t="s">
        <v>2103</v>
      </c>
      <c r="J1177" s="35"/>
      <c r="K1177" s="36">
        <v>165.0</v>
      </c>
      <c r="L1177" s="36">
        <v>343.0</v>
      </c>
      <c r="M1177" s="36"/>
      <c r="N1177" s="36"/>
      <c r="O1177" s="36"/>
      <c r="P1177" s="52">
        <v>48.10495627</v>
      </c>
      <c r="Q1177" s="36" t="s">
        <v>13</v>
      </c>
      <c r="R1177" s="36" t="s">
        <v>13</v>
      </c>
      <c r="S1177" s="36">
        <v>1000.0</v>
      </c>
      <c r="T1177" s="36" t="s">
        <v>328</v>
      </c>
      <c r="U1177" s="36" t="s">
        <v>507</v>
      </c>
      <c r="V1177" s="36"/>
      <c r="W1177" s="36"/>
      <c r="X1177" s="38">
        <v>1.0</v>
      </c>
      <c r="Y1177" s="38" t="s">
        <v>2112</v>
      </c>
      <c r="Z1177" s="38" t="s">
        <v>762</v>
      </c>
      <c r="AA1177" s="38"/>
      <c r="AB1177" s="38">
        <v>49.87</v>
      </c>
      <c r="AC1177" s="38">
        <v>125.29</v>
      </c>
      <c r="AD1177" s="38" t="s">
        <v>395</v>
      </c>
      <c r="AE1177" s="38"/>
      <c r="AF1177" s="38"/>
      <c r="AG1177" s="38"/>
      <c r="AH1177" s="38"/>
      <c r="AI1177" s="50">
        <v>49.87</v>
      </c>
      <c r="AJ1177" s="50">
        <v>-125.29</v>
      </c>
      <c r="AK1177" s="41" t="s">
        <v>197</v>
      </c>
      <c r="AL1177" s="40" t="s">
        <v>197</v>
      </c>
      <c r="AM1177" s="49">
        <v>196.0</v>
      </c>
      <c r="AN1177" s="51">
        <v>196.0</v>
      </c>
      <c r="AO1177" s="42" t="s">
        <v>445</v>
      </c>
      <c r="AP1177" s="43" t="s">
        <v>445</v>
      </c>
      <c r="AQ1177" s="80" t="str">
        <f t="shared" ref="AQ1177:AR1177" si="119">AL1177</f>
        <v>ENF</v>
      </c>
      <c r="AR1177" s="44">
        <f t="shared" si="119"/>
        <v>196</v>
      </c>
      <c r="AS1177" s="44" t="str">
        <f t="shared" si="112"/>
        <v>C</v>
      </c>
      <c r="AT1177" s="44" t="str">
        <f t="shared" si="114"/>
        <v>Cs</v>
      </c>
      <c r="AU1177" s="44" t="str">
        <f t="shared" si="115"/>
        <v>Csb</v>
      </c>
      <c r="AV1177" s="38">
        <v>3.0</v>
      </c>
      <c r="AW1177" s="38"/>
      <c r="AX1177" s="38"/>
      <c r="AY1177" s="38" t="s">
        <v>92</v>
      </c>
      <c r="AZ1177" s="29">
        <v>1000.0</v>
      </c>
      <c r="BA1177" s="29">
        <v>1.0</v>
      </c>
      <c r="BB1177" s="29">
        <v>2.0</v>
      </c>
      <c r="BC1177" s="29" t="s">
        <v>219</v>
      </c>
      <c r="BD1177" s="29"/>
      <c r="BE1177" s="29"/>
      <c r="BF1177" s="29" t="s">
        <v>2106</v>
      </c>
      <c r="BG1177" s="29" t="s">
        <v>220</v>
      </c>
      <c r="BH1177" s="29" t="s">
        <v>92</v>
      </c>
      <c r="BI1177" s="29" t="s">
        <v>2107</v>
      </c>
      <c r="BJ1177" s="29" t="s">
        <v>148</v>
      </c>
      <c r="BK1177" s="29" t="s">
        <v>148</v>
      </c>
      <c r="BL1177" s="29"/>
      <c r="BM1177" s="45"/>
      <c r="BN1177" s="45"/>
      <c r="BO1177" s="46"/>
      <c r="BP1177" s="2"/>
      <c r="BQ1177" s="3"/>
    </row>
    <row r="1178" ht="15.75" customHeight="1">
      <c r="A1178" s="34">
        <v>1193.0</v>
      </c>
      <c r="B1178" s="34">
        <v>101304.0</v>
      </c>
      <c r="C1178" s="34" t="s">
        <v>415</v>
      </c>
      <c r="D1178" s="34" t="s">
        <v>2099</v>
      </c>
      <c r="E1178" s="34" t="s">
        <v>2100</v>
      </c>
      <c r="F1178" s="34">
        <v>2015.0</v>
      </c>
      <c r="G1178" s="34" t="s">
        <v>2101</v>
      </c>
      <c r="H1178" s="34" t="s">
        <v>2102</v>
      </c>
      <c r="I1178" s="34" t="s">
        <v>2103</v>
      </c>
      <c r="J1178" s="35"/>
      <c r="K1178" s="36">
        <v>-9.0</v>
      </c>
      <c r="L1178" s="36">
        <v>469.0</v>
      </c>
      <c r="M1178" s="36"/>
      <c r="N1178" s="36"/>
      <c r="O1178" s="36"/>
      <c r="P1178" s="52">
        <v>-1.918976546</v>
      </c>
      <c r="Q1178" s="36" t="s">
        <v>13</v>
      </c>
      <c r="R1178" s="36" t="s">
        <v>13</v>
      </c>
      <c r="S1178" s="36">
        <v>1000.0</v>
      </c>
      <c r="T1178" s="36" t="s">
        <v>284</v>
      </c>
      <c r="U1178" s="36" t="s">
        <v>507</v>
      </c>
      <c r="V1178" s="36"/>
      <c r="W1178" s="36"/>
      <c r="X1178" s="38">
        <v>1.0</v>
      </c>
      <c r="Y1178" s="38" t="s">
        <v>2113</v>
      </c>
      <c r="Z1178" s="38" t="s">
        <v>766</v>
      </c>
      <c r="AA1178" s="38"/>
      <c r="AB1178" s="38">
        <v>49.52</v>
      </c>
      <c r="AC1178" s="38">
        <v>124.9</v>
      </c>
      <c r="AD1178" s="38" t="s">
        <v>395</v>
      </c>
      <c r="AE1178" s="38"/>
      <c r="AF1178" s="38"/>
      <c r="AG1178" s="38"/>
      <c r="AH1178" s="38"/>
      <c r="AI1178" s="50">
        <v>49.52</v>
      </c>
      <c r="AJ1178" s="50">
        <v>-124.9</v>
      </c>
      <c r="AK1178" s="41" t="s">
        <v>197</v>
      </c>
      <c r="AL1178" s="40" t="s">
        <v>197</v>
      </c>
      <c r="AM1178" s="49">
        <v>127.0</v>
      </c>
      <c r="AN1178" s="51">
        <v>127.0</v>
      </c>
      <c r="AO1178" s="42" t="s">
        <v>445</v>
      </c>
      <c r="AP1178" s="43" t="s">
        <v>445</v>
      </c>
      <c r="AQ1178" s="80" t="str">
        <f t="shared" ref="AQ1178:AR1178" si="120">AL1178</f>
        <v>ENF</v>
      </c>
      <c r="AR1178" s="44">
        <f t="shared" si="120"/>
        <v>127</v>
      </c>
      <c r="AS1178" s="44" t="str">
        <f t="shared" si="112"/>
        <v>C</v>
      </c>
      <c r="AT1178" s="44" t="str">
        <f t="shared" si="114"/>
        <v>Cs</v>
      </c>
      <c r="AU1178" s="44" t="str">
        <f t="shared" si="115"/>
        <v>Csb</v>
      </c>
      <c r="AV1178" s="38">
        <v>3.0</v>
      </c>
      <c r="AW1178" s="38"/>
      <c r="AX1178" s="38"/>
      <c r="AY1178" s="38" t="s">
        <v>92</v>
      </c>
      <c r="AZ1178" s="29">
        <v>1000.0</v>
      </c>
      <c r="BA1178" s="29">
        <v>1.0</v>
      </c>
      <c r="BB1178" s="29">
        <v>2.0</v>
      </c>
      <c r="BC1178" s="29" t="s">
        <v>219</v>
      </c>
      <c r="BD1178" s="29"/>
      <c r="BE1178" s="29"/>
      <c r="BF1178" s="29" t="s">
        <v>2106</v>
      </c>
      <c r="BG1178" s="29" t="s">
        <v>220</v>
      </c>
      <c r="BH1178" s="29" t="s">
        <v>92</v>
      </c>
      <c r="BI1178" s="29" t="s">
        <v>2107</v>
      </c>
      <c r="BJ1178" s="29" t="s">
        <v>148</v>
      </c>
      <c r="BK1178" s="29" t="s">
        <v>148</v>
      </c>
      <c r="BL1178" s="29"/>
      <c r="BM1178" s="45"/>
      <c r="BN1178" s="45"/>
      <c r="BO1178" s="46"/>
      <c r="BP1178" s="2"/>
      <c r="BQ1178" s="3"/>
    </row>
    <row r="1179" ht="15.75" customHeight="1">
      <c r="A1179" s="34">
        <v>1194.0</v>
      </c>
      <c r="B1179" s="34">
        <v>101304.0</v>
      </c>
      <c r="C1179" s="34" t="s">
        <v>415</v>
      </c>
      <c r="D1179" s="34" t="s">
        <v>2099</v>
      </c>
      <c r="E1179" s="34" t="s">
        <v>2100</v>
      </c>
      <c r="F1179" s="34">
        <v>2015.0</v>
      </c>
      <c r="G1179" s="34" t="s">
        <v>2101</v>
      </c>
      <c r="H1179" s="34" t="s">
        <v>2102</v>
      </c>
      <c r="I1179" s="34" t="s">
        <v>2103</v>
      </c>
      <c r="J1179" s="35"/>
      <c r="K1179" s="36">
        <v>34.0</v>
      </c>
      <c r="L1179" s="36">
        <v>323.0</v>
      </c>
      <c r="M1179" s="36"/>
      <c r="N1179" s="36"/>
      <c r="O1179" s="36"/>
      <c r="P1179" s="52">
        <v>10.52631579</v>
      </c>
      <c r="Q1179" s="36" t="s">
        <v>13</v>
      </c>
      <c r="R1179" s="36" t="s">
        <v>13</v>
      </c>
      <c r="S1179" s="36">
        <v>1000.0</v>
      </c>
      <c r="T1179" s="36" t="s">
        <v>193</v>
      </c>
      <c r="U1179" s="36" t="s">
        <v>285</v>
      </c>
      <c r="V1179" s="36"/>
      <c r="W1179" s="36"/>
      <c r="X1179" s="38">
        <v>1.0</v>
      </c>
      <c r="Y1179" s="38" t="s">
        <v>2114</v>
      </c>
      <c r="Z1179" s="38" t="s">
        <v>2115</v>
      </c>
      <c r="AA1179" s="38"/>
      <c r="AB1179" s="38">
        <v>55.89</v>
      </c>
      <c r="AC1179" s="38">
        <v>98.48</v>
      </c>
      <c r="AD1179" s="38" t="s">
        <v>395</v>
      </c>
      <c r="AE1179" s="38"/>
      <c r="AF1179" s="38"/>
      <c r="AG1179" s="38"/>
      <c r="AH1179" s="38"/>
      <c r="AI1179" s="50">
        <v>55.89</v>
      </c>
      <c r="AJ1179" s="50">
        <v>-98.48</v>
      </c>
      <c r="AK1179" s="41" t="s">
        <v>200</v>
      </c>
      <c r="AL1179" s="40" t="s">
        <v>200</v>
      </c>
      <c r="AM1179" s="49">
        <v>255.0</v>
      </c>
      <c r="AN1179" s="51">
        <v>255.0</v>
      </c>
      <c r="AO1179" s="42" t="s">
        <v>412</v>
      </c>
      <c r="AP1179" s="43" t="s">
        <v>372</v>
      </c>
      <c r="AQ1179" s="80" t="str">
        <f t="shared" ref="AQ1179:AR1179" si="121">AL1179</f>
        <v>WSA</v>
      </c>
      <c r="AR1179" s="44">
        <f t="shared" si="121"/>
        <v>255</v>
      </c>
      <c r="AS1179" s="44" t="str">
        <f t="shared" si="112"/>
        <v>D</v>
      </c>
      <c r="AT1179" s="44" t="str">
        <f t="shared" si="114"/>
        <v>Df</v>
      </c>
      <c r="AU1179" s="44" t="str">
        <f t="shared" si="115"/>
        <v>Dfc</v>
      </c>
      <c r="AV1179" s="38">
        <v>3.0</v>
      </c>
      <c r="AW1179" s="38"/>
      <c r="AX1179" s="38"/>
      <c r="AY1179" s="38" t="s">
        <v>92</v>
      </c>
      <c r="AZ1179" s="29">
        <v>1000.0</v>
      </c>
      <c r="BA1179" s="29">
        <v>1.0</v>
      </c>
      <c r="BB1179" s="29">
        <v>2.0</v>
      </c>
      <c r="BC1179" s="29" t="s">
        <v>219</v>
      </c>
      <c r="BD1179" s="29"/>
      <c r="BE1179" s="29"/>
      <c r="BF1179" s="29" t="s">
        <v>2106</v>
      </c>
      <c r="BG1179" s="29" t="s">
        <v>220</v>
      </c>
      <c r="BH1179" s="29" t="s">
        <v>92</v>
      </c>
      <c r="BI1179" s="29" t="s">
        <v>2107</v>
      </c>
      <c r="BJ1179" s="29" t="s">
        <v>148</v>
      </c>
      <c r="BK1179" s="29" t="s">
        <v>148</v>
      </c>
      <c r="BL1179" s="29"/>
      <c r="BM1179" s="45"/>
      <c r="BN1179" s="45"/>
      <c r="BO1179" s="46"/>
      <c r="BP1179" s="2"/>
      <c r="BQ1179" s="3"/>
    </row>
    <row r="1180" ht="15.75" customHeight="1">
      <c r="A1180" s="34">
        <v>1195.0</v>
      </c>
      <c r="B1180" s="34">
        <v>101304.0</v>
      </c>
      <c r="C1180" s="34" t="s">
        <v>415</v>
      </c>
      <c r="D1180" s="34" t="s">
        <v>2099</v>
      </c>
      <c r="E1180" s="34" t="s">
        <v>2100</v>
      </c>
      <c r="F1180" s="34">
        <v>2015.0</v>
      </c>
      <c r="G1180" s="34" t="s">
        <v>2101</v>
      </c>
      <c r="H1180" s="34" t="s">
        <v>2102</v>
      </c>
      <c r="I1180" s="34" t="s">
        <v>2103</v>
      </c>
      <c r="J1180" s="35"/>
      <c r="K1180" s="36">
        <v>-44.0</v>
      </c>
      <c r="L1180" s="36">
        <v>560.0</v>
      </c>
      <c r="M1180" s="36"/>
      <c r="N1180" s="36"/>
      <c r="O1180" s="36"/>
      <c r="P1180" s="52">
        <v>-7.857142857</v>
      </c>
      <c r="Q1180" s="36" t="s">
        <v>13</v>
      </c>
      <c r="R1180" s="36" t="s">
        <v>13</v>
      </c>
      <c r="S1180" s="36">
        <v>1000.0</v>
      </c>
      <c r="T1180" s="36" t="s">
        <v>295</v>
      </c>
      <c r="U1180" s="36" t="s">
        <v>194</v>
      </c>
      <c r="V1180" s="36"/>
      <c r="W1180" s="36"/>
      <c r="X1180" s="38">
        <v>1.0</v>
      </c>
      <c r="Y1180" s="38" t="s">
        <v>2116</v>
      </c>
      <c r="Z1180" s="38" t="s">
        <v>2117</v>
      </c>
      <c r="AA1180" s="38"/>
      <c r="AB1180" s="38">
        <v>46.47</v>
      </c>
      <c r="AC1180" s="38">
        <v>67.1</v>
      </c>
      <c r="AD1180" s="38" t="s">
        <v>395</v>
      </c>
      <c r="AE1180" s="38"/>
      <c r="AF1180" s="38"/>
      <c r="AG1180" s="38"/>
      <c r="AH1180" s="38"/>
      <c r="AI1180" s="50">
        <v>46.47</v>
      </c>
      <c r="AJ1180" s="50">
        <v>-67.1</v>
      </c>
      <c r="AK1180" s="41" t="s">
        <v>452</v>
      </c>
      <c r="AL1180" s="40" t="s">
        <v>452</v>
      </c>
      <c r="AM1180" s="49">
        <v>319.0</v>
      </c>
      <c r="AN1180" s="51">
        <v>319.0</v>
      </c>
      <c r="AO1180" s="42" t="s">
        <v>372</v>
      </c>
      <c r="AP1180" s="43" t="s">
        <v>107</v>
      </c>
      <c r="AQ1180" s="80" t="str">
        <f t="shared" ref="AQ1180:AR1180" si="122">AL1180</f>
        <v>MF</v>
      </c>
      <c r="AR1180" s="44">
        <f t="shared" si="122"/>
        <v>319</v>
      </c>
      <c r="AS1180" s="44" t="str">
        <f t="shared" si="112"/>
        <v>D</v>
      </c>
      <c r="AT1180" s="44" t="str">
        <f t="shared" si="114"/>
        <v>Df</v>
      </c>
      <c r="AU1180" s="44" t="str">
        <f t="shared" si="115"/>
        <v>Dfb</v>
      </c>
      <c r="AV1180" s="38">
        <v>3.0</v>
      </c>
      <c r="AW1180" s="38"/>
      <c r="AX1180" s="38"/>
      <c r="AY1180" s="38" t="s">
        <v>92</v>
      </c>
      <c r="AZ1180" s="29">
        <v>1000.0</v>
      </c>
      <c r="BA1180" s="29">
        <v>1.0</v>
      </c>
      <c r="BB1180" s="29">
        <v>2.0</v>
      </c>
      <c r="BC1180" s="29" t="s">
        <v>219</v>
      </c>
      <c r="BD1180" s="29"/>
      <c r="BE1180" s="29"/>
      <c r="BF1180" s="29" t="s">
        <v>2106</v>
      </c>
      <c r="BG1180" s="29" t="s">
        <v>220</v>
      </c>
      <c r="BH1180" s="29" t="s">
        <v>92</v>
      </c>
      <c r="BI1180" s="29" t="s">
        <v>2107</v>
      </c>
      <c r="BJ1180" s="29" t="s">
        <v>148</v>
      </c>
      <c r="BK1180" s="29" t="s">
        <v>148</v>
      </c>
      <c r="BL1180" s="29"/>
      <c r="BM1180" s="45"/>
      <c r="BN1180" s="45"/>
      <c r="BO1180" s="46"/>
      <c r="BP1180" s="2"/>
      <c r="BQ1180" s="3"/>
    </row>
    <row r="1181" ht="15.75" customHeight="1">
      <c r="A1181" s="34">
        <v>1196.0</v>
      </c>
      <c r="B1181" s="34">
        <v>101304.0</v>
      </c>
      <c r="C1181" s="34" t="s">
        <v>415</v>
      </c>
      <c r="D1181" s="34" t="s">
        <v>2099</v>
      </c>
      <c r="E1181" s="34" t="s">
        <v>2100</v>
      </c>
      <c r="F1181" s="34">
        <v>2015.0</v>
      </c>
      <c r="G1181" s="34" t="s">
        <v>2101</v>
      </c>
      <c r="H1181" s="34" t="s">
        <v>2102</v>
      </c>
      <c r="I1181" s="34" t="s">
        <v>2103</v>
      </c>
      <c r="J1181" s="35"/>
      <c r="K1181" s="36">
        <v>0.0</v>
      </c>
      <c r="L1181" s="36">
        <v>492.0</v>
      </c>
      <c r="M1181" s="36"/>
      <c r="N1181" s="36"/>
      <c r="O1181" s="36"/>
      <c r="P1181" s="52">
        <v>0.0</v>
      </c>
      <c r="Q1181" s="36" t="s">
        <v>13</v>
      </c>
      <c r="R1181" s="36" t="s">
        <v>13</v>
      </c>
      <c r="S1181" s="36">
        <v>1000.0</v>
      </c>
      <c r="T1181" s="36" t="s">
        <v>193</v>
      </c>
      <c r="U1181" s="36" t="s">
        <v>285</v>
      </c>
      <c r="V1181" s="36"/>
      <c r="W1181" s="36"/>
      <c r="X1181" s="38">
        <v>1.0</v>
      </c>
      <c r="Y1181" s="38" t="s">
        <v>2118</v>
      </c>
      <c r="Z1181" s="38" t="s">
        <v>2119</v>
      </c>
      <c r="AA1181" s="38"/>
      <c r="AB1181" s="38">
        <v>45.41</v>
      </c>
      <c r="AC1181" s="38">
        <v>75.52</v>
      </c>
      <c r="AD1181" s="38" t="s">
        <v>395</v>
      </c>
      <c r="AE1181" s="38"/>
      <c r="AF1181" s="38"/>
      <c r="AG1181" s="38"/>
      <c r="AH1181" s="38"/>
      <c r="AI1181" s="50">
        <v>45.41</v>
      </c>
      <c r="AJ1181" s="50">
        <v>-75.52</v>
      </c>
      <c r="AK1181" s="41" t="s">
        <v>200</v>
      </c>
      <c r="AL1181" s="40" t="s">
        <v>200</v>
      </c>
      <c r="AM1181" s="49">
        <v>67.0</v>
      </c>
      <c r="AN1181" s="51">
        <v>67.0</v>
      </c>
      <c r="AO1181" s="42" t="s">
        <v>372</v>
      </c>
      <c r="AP1181" s="43" t="s">
        <v>107</v>
      </c>
      <c r="AQ1181" s="80" t="str">
        <f t="shared" ref="AQ1181:AR1181" si="123">AL1181</f>
        <v>WSA</v>
      </c>
      <c r="AR1181" s="44">
        <f t="shared" si="123"/>
        <v>67</v>
      </c>
      <c r="AS1181" s="44" t="str">
        <f t="shared" si="112"/>
        <v>D</v>
      </c>
      <c r="AT1181" s="44" t="str">
        <f t="shared" si="114"/>
        <v>Df</v>
      </c>
      <c r="AU1181" s="44" t="str">
        <f t="shared" si="115"/>
        <v>Dfb</v>
      </c>
      <c r="AV1181" s="38">
        <v>3.0</v>
      </c>
      <c r="AW1181" s="38"/>
      <c r="AX1181" s="38"/>
      <c r="AY1181" s="38" t="s">
        <v>92</v>
      </c>
      <c r="AZ1181" s="29">
        <v>1000.0</v>
      </c>
      <c r="BA1181" s="29">
        <v>1.0</v>
      </c>
      <c r="BB1181" s="29">
        <v>2.0</v>
      </c>
      <c r="BC1181" s="29" t="s">
        <v>219</v>
      </c>
      <c r="BD1181" s="29"/>
      <c r="BE1181" s="29"/>
      <c r="BF1181" s="29" t="s">
        <v>2106</v>
      </c>
      <c r="BG1181" s="29" t="s">
        <v>220</v>
      </c>
      <c r="BH1181" s="29" t="s">
        <v>92</v>
      </c>
      <c r="BI1181" s="29" t="s">
        <v>2107</v>
      </c>
      <c r="BJ1181" s="29" t="s">
        <v>148</v>
      </c>
      <c r="BK1181" s="29" t="s">
        <v>148</v>
      </c>
      <c r="BL1181" s="29"/>
      <c r="BM1181" s="45"/>
      <c r="BN1181" s="45"/>
      <c r="BO1181" s="46"/>
      <c r="BP1181" s="2"/>
      <c r="BQ1181" s="3"/>
    </row>
    <row r="1182" ht="15.75" customHeight="1">
      <c r="A1182" s="34">
        <v>1197.0</v>
      </c>
      <c r="B1182" s="34">
        <v>101304.0</v>
      </c>
      <c r="C1182" s="34" t="s">
        <v>415</v>
      </c>
      <c r="D1182" s="34" t="s">
        <v>2099</v>
      </c>
      <c r="E1182" s="34" t="s">
        <v>2100</v>
      </c>
      <c r="F1182" s="34">
        <v>2015.0</v>
      </c>
      <c r="G1182" s="34" t="s">
        <v>2101</v>
      </c>
      <c r="H1182" s="34" t="s">
        <v>2102</v>
      </c>
      <c r="I1182" s="34" t="s">
        <v>2103</v>
      </c>
      <c r="J1182" s="35"/>
      <c r="K1182" s="36">
        <v>16.0</v>
      </c>
      <c r="L1182" s="36">
        <v>494.0</v>
      </c>
      <c r="M1182" s="36"/>
      <c r="N1182" s="36"/>
      <c r="O1182" s="36"/>
      <c r="P1182" s="52">
        <v>3.238866397</v>
      </c>
      <c r="Q1182" s="36" t="s">
        <v>13</v>
      </c>
      <c r="R1182" s="36" t="s">
        <v>13</v>
      </c>
      <c r="S1182" s="36">
        <v>1000.0</v>
      </c>
      <c r="T1182" s="36" t="s">
        <v>295</v>
      </c>
      <c r="U1182" s="36" t="s">
        <v>285</v>
      </c>
      <c r="V1182" s="36"/>
      <c r="W1182" s="36"/>
      <c r="X1182" s="38">
        <v>1.0</v>
      </c>
      <c r="Y1182" s="38" t="s">
        <v>2120</v>
      </c>
      <c r="Z1182" s="38" t="s">
        <v>2121</v>
      </c>
      <c r="AA1182" s="38"/>
      <c r="AB1182" s="38">
        <v>48.22</v>
      </c>
      <c r="AC1182" s="38">
        <v>82.16</v>
      </c>
      <c r="AD1182" s="38" t="s">
        <v>395</v>
      </c>
      <c r="AE1182" s="38"/>
      <c r="AF1182" s="38"/>
      <c r="AG1182" s="38"/>
      <c r="AH1182" s="38"/>
      <c r="AI1182" s="50">
        <v>48.22</v>
      </c>
      <c r="AJ1182" s="50">
        <v>-82.16</v>
      </c>
      <c r="AK1182" s="41" t="s">
        <v>452</v>
      </c>
      <c r="AL1182" s="40" t="s">
        <v>452</v>
      </c>
      <c r="AM1182" s="49">
        <v>350.0</v>
      </c>
      <c r="AN1182" s="51">
        <v>350.0</v>
      </c>
      <c r="AO1182" s="42" t="s">
        <v>372</v>
      </c>
      <c r="AP1182" s="43" t="s">
        <v>107</v>
      </c>
      <c r="AQ1182" s="80" t="str">
        <f t="shared" ref="AQ1182:AR1182" si="124">AL1182</f>
        <v>MF</v>
      </c>
      <c r="AR1182" s="44">
        <f t="shared" si="124"/>
        <v>350</v>
      </c>
      <c r="AS1182" s="44" t="str">
        <f t="shared" si="112"/>
        <v>D</v>
      </c>
      <c r="AT1182" s="44" t="str">
        <f t="shared" si="114"/>
        <v>Df</v>
      </c>
      <c r="AU1182" s="44" t="str">
        <f t="shared" si="115"/>
        <v>Dfb</v>
      </c>
      <c r="AV1182" s="38">
        <v>3.0</v>
      </c>
      <c r="AW1182" s="38"/>
      <c r="AX1182" s="38"/>
      <c r="AY1182" s="38" t="s">
        <v>92</v>
      </c>
      <c r="AZ1182" s="29">
        <v>1000.0</v>
      </c>
      <c r="BA1182" s="29">
        <v>1.0</v>
      </c>
      <c r="BB1182" s="29">
        <v>2.0</v>
      </c>
      <c r="BC1182" s="29" t="s">
        <v>219</v>
      </c>
      <c r="BD1182" s="29"/>
      <c r="BE1182" s="29"/>
      <c r="BF1182" s="29" t="s">
        <v>2106</v>
      </c>
      <c r="BG1182" s="29" t="s">
        <v>220</v>
      </c>
      <c r="BH1182" s="29" t="s">
        <v>92</v>
      </c>
      <c r="BI1182" s="29" t="s">
        <v>2107</v>
      </c>
      <c r="BJ1182" s="29" t="s">
        <v>148</v>
      </c>
      <c r="BK1182" s="29" t="s">
        <v>148</v>
      </c>
      <c r="BL1182" s="29"/>
      <c r="BM1182" s="45"/>
      <c r="BN1182" s="45"/>
      <c r="BO1182" s="46"/>
      <c r="BP1182" s="2"/>
      <c r="BQ1182" s="3"/>
    </row>
    <row r="1183" ht="15.75" customHeight="1">
      <c r="A1183" s="34">
        <v>1198.0</v>
      </c>
      <c r="B1183" s="34">
        <v>101304.0</v>
      </c>
      <c r="C1183" s="34" t="s">
        <v>415</v>
      </c>
      <c r="D1183" s="34" t="s">
        <v>2099</v>
      </c>
      <c r="E1183" s="34" t="s">
        <v>2100</v>
      </c>
      <c r="F1183" s="34">
        <v>2015.0</v>
      </c>
      <c r="G1183" s="34" t="s">
        <v>2101</v>
      </c>
      <c r="H1183" s="34" t="s">
        <v>2102</v>
      </c>
      <c r="I1183" s="34" t="s">
        <v>2103</v>
      </c>
      <c r="J1183" s="35"/>
      <c r="K1183" s="36">
        <v>72.0</v>
      </c>
      <c r="L1183" s="36">
        <v>457.0</v>
      </c>
      <c r="M1183" s="36"/>
      <c r="N1183" s="36"/>
      <c r="O1183" s="36"/>
      <c r="P1183" s="52">
        <v>15.75492341</v>
      </c>
      <c r="Q1183" s="36" t="s">
        <v>13</v>
      </c>
      <c r="R1183" s="36" t="s">
        <v>13</v>
      </c>
      <c r="S1183" s="36">
        <v>1000.0</v>
      </c>
      <c r="T1183" s="36" t="s">
        <v>193</v>
      </c>
      <c r="U1183" s="36" t="s">
        <v>285</v>
      </c>
      <c r="V1183" s="36"/>
      <c r="W1183" s="36"/>
      <c r="X1183" s="38">
        <v>1.0</v>
      </c>
      <c r="Y1183" s="38" t="s">
        <v>2122</v>
      </c>
      <c r="Z1183" s="38" t="s">
        <v>2123</v>
      </c>
      <c r="AA1183" s="38"/>
      <c r="AB1183" s="38">
        <v>42.71</v>
      </c>
      <c r="AC1183" s="38">
        <v>80.36</v>
      </c>
      <c r="AD1183" s="38" t="s">
        <v>395</v>
      </c>
      <c r="AE1183" s="38"/>
      <c r="AF1183" s="38"/>
      <c r="AG1183" s="38"/>
      <c r="AH1183" s="38"/>
      <c r="AI1183" s="50">
        <v>42.71</v>
      </c>
      <c r="AJ1183" s="50">
        <v>-80.36</v>
      </c>
      <c r="AK1183" s="41" t="s">
        <v>452</v>
      </c>
      <c r="AL1183" s="40" t="s">
        <v>452</v>
      </c>
      <c r="AM1183" s="49">
        <v>233.0</v>
      </c>
      <c r="AN1183" s="51">
        <v>233.0</v>
      </c>
      <c r="AO1183" s="42" t="s">
        <v>372</v>
      </c>
      <c r="AP1183" s="43" t="s">
        <v>107</v>
      </c>
      <c r="AQ1183" s="80" t="str">
        <f t="shared" ref="AQ1183:AR1183" si="125">AL1183</f>
        <v>MF</v>
      </c>
      <c r="AR1183" s="44">
        <f t="shared" si="125"/>
        <v>233</v>
      </c>
      <c r="AS1183" s="44" t="str">
        <f t="shared" si="112"/>
        <v>D</v>
      </c>
      <c r="AT1183" s="44" t="str">
        <f t="shared" si="114"/>
        <v>Df</v>
      </c>
      <c r="AU1183" s="44" t="str">
        <f t="shared" si="115"/>
        <v>Dfb</v>
      </c>
      <c r="AV1183" s="38">
        <v>3.0</v>
      </c>
      <c r="AW1183" s="38"/>
      <c r="AX1183" s="38"/>
      <c r="AY1183" s="38" t="s">
        <v>92</v>
      </c>
      <c r="AZ1183" s="29">
        <v>1000.0</v>
      </c>
      <c r="BA1183" s="29">
        <v>1.0</v>
      </c>
      <c r="BB1183" s="29">
        <v>2.0</v>
      </c>
      <c r="BC1183" s="29" t="s">
        <v>219</v>
      </c>
      <c r="BD1183" s="29"/>
      <c r="BE1183" s="29"/>
      <c r="BF1183" s="29" t="s">
        <v>2106</v>
      </c>
      <c r="BG1183" s="29" t="s">
        <v>220</v>
      </c>
      <c r="BH1183" s="29" t="s">
        <v>92</v>
      </c>
      <c r="BI1183" s="29" t="s">
        <v>2107</v>
      </c>
      <c r="BJ1183" s="29" t="s">
        <v>148</v>
      </c>
      <c r="BK1183" s="29" t="s">
        <v>148</v>
      </c>
      <c r="BL1183" s="29"/>
      <c r="BM1183" s="45"/>
      <c r="BN1183" s="45"/>
      <c r="BO1183" s="46"/>
      <c r="BP1183" s="2"/>
      <c r="BQ1183" s="3"/>
    </row>
    <row r="1184" ht="15.75" customHeight="1">
      <c r="A1184" s="34">
        <v>1199.0</v>
      </c>
      <c r="B1184" s="34">
        <v>101304.0</v>
      </c>
      <c r="C1184" s="34" t="s">
        <v>415</v>
      </c>
      <c r="D1184" s="34" t="s">
        <v>2099</v>
      </c>
      <c r="E1184" s="34" t="s">
        <v>2100</v>
      </c>
      <c r="F1184" s="34">
        <v>2015.0</v>
      </c>
      <c r="G1184" s="34" t="s">
        <v>2101</v>
      </c>
      <c r="H1184" s="34" t="s">
        <v>2102</v>
      </c>
      <c r="I1184" s="34" t="s">
        <v>2103</v>
      </c>
      <c r="J1184" s="35"/>
      <c r="K1184" s="36">
        <v>85.0</v>
      </c>
      <c r="L1184" s="36">
        <v>355.0</v>
      </c>
      <c r="M1184" s="36"/>
      <c r="N1184" s="36"/>
      <c r="O1184" s="36"/>
      <c r="P1184" s="52">
        <v>23.94366197</v>
      </c>
      <c r="Q1184" s="36" t="s">
        <v>13</v>
      </c>
      <c r="R1184" s="36" t="s">
        <v>13</v>
      </c>
      <c r="S1184" s="36">
        <v>1000.0</v>
      </c>
      <c r="T1184" s="36" t="s">
        <v>295</v>
      </c>
      <c r="U1184" s="36" t="s">
        <v>285</v>
      </c>
      <c r="V1184" s="36"/>
      <c r="W1184" s="36"/>
      <c r="X1184" s="38">
        <v>1.0</v>
      </c>
      <c r="Y1184" s="38" t="s">
        <v>2124</v>
      </c>
      <c r="Z1184" s="38" t="s">
        <v>2125</v>
      </c>
      <c r="AA1184" s="38"/>
      <c r="AB1184" s="38">
        <v>49.69</v>
      </c>
      <c r="AC1184" s="38">
        <v>74.43</v>
      </c>
      <c r="AD1184" s="38" t="s">
        <v>395</v>
      </c>
      <c r="AE1184" s="38"/>
      <c r="AF1184" s="38"/>
      <c r="AG1184" s="38"/>
      <c r="AH1184" s="38"/>
      <c r="AI1184" s="50">
        <v>49.69</v>
      </c>
      <c r="AJ1184" s="50">
        <v>-74.43</v>
      </c>
      <c r="AK1184" s="41" t="s">
        <v>200</v>
      </c>
      <c r="AL1184" s="40" t="s">
        <v>200</v>
      </c>
      <c r="AM1184" s="49">
        <v>389.0</v>
      </c>
      <c r="AN1184" s="51">
        <v>389.0</v>
      </c>
      <c r="AO1184" s="42" t="s">
        <v>372</v>
      </c>
      <c r="AP1184" s="43" t="s">
        <v>107</v>
      </c>
      <c r="AQ1184" s="80" t="str">
        <f t="shared" ref="AQ1184:AR1184" si="126">AL1184</f>
        <v>WSA</v>
      </c>
      <c r="AR1184" s="44">
        <f t="shared" si="126"/>
        <v>389</v>
      </c>
      <c r="AS1184" s="44" t="str">
        <f t="shared" si="112"/>
        <v>D</v>
      </c>
      <c r="AT1184" s="44" t="str">
        <f t="shared" si="114"/>
        <v>Df</v>
      </c>
      <c r="AU1184" s="44" t="str">
        <f t="shared" si="115"/>
        <v>Dfb</v>
      </c>
      <c r="AV1184" s="38">
        <v>3.0</v>
      </c>
      <c r="AW1184" s="38"/>
      <c r="AX1184" s="38"/>
      <c r="AY1184" s="38" t="s">
        <v>92</v>
      </c>
      <c r="AZ1184" s="29">
        <v>1000.0</v>
      </c>
      <c r="BA1184" s="29">
        <v>1.0</v>
      </c>
      <c r="BB1184" s="29">
        <v>2.0</v>
      </c>
      <c r="BC1184" s="29" t="s">
        <v>219</v>
      </c>
      <c r="BD1184" s="29"/>
      <c r="BE1184" s="29"/>
      <c r="BF1184" s="29" t="s">
        <v>2106</v>
      </c>
      <c r="BG1184" s="29" t="s">
        <v>220</v>
      </c>
      <c r="BH1184" s="29" t="s">
        <v>92</v>
      </c>
      <c r="BI1184" s="29" t="s">
        <v>2107</v>
      </c>
      <c r="BJ1184" s="29" t="s">
        <v>148</v>
      </c>
      <c r="BK1184" s="29" t="s">
        <v>148</v>
      </c>
      <c r="BL1184" s="29"/>
      <c r="BM1184" s="45"/>
      <c r="BN1184" s="45"/>
      <c r="BO1184" s="46"/>
      <c r="BP1184" s="2"/>
      <c r="BQ1184" s="3"/>
    </row>
    <row r="1185" ht="15.75" customHeight="1">
      <c r="A1185" s="34">
        <v>1200.0</v>
      </c>
      <c r="B1185" s="34">
        <v>101304.0</v>
      </c>
      <c r="C1185" s="34" t="s">
        <v>415</v>
      </c>
      <c r="D1185" s="34" t="s">
        <v>2099</v>
      </c>
      <c r="E1185" s="34" t="s">
        <v>2100</v>
      </c>
      <c r="F1185" s="34">
        <v>2015.0</v>
      </c>
      <c r="G1185" s="34" t="s">
        <v>2101</v>
      </c>
      <c r="H1185" s="34" t="s">
        <v>2102</v>
      </c>
      <c r="I1185" s="34" t="s">
        <v>2103</v>
      </c>
      <c r="J1185" s="35"/>
      <c r="K1185" s="36">
        <v>3.0</v>
      </c>
      <c r="L1185" s="36">
        <v>415.0</v>
      </c>
      <c r="M1185" s="36"/>
      <c r="N1185" s="36"/>
      <c r="O1185" s="36"/>
      <c r="P1185" s="52">
        <v>0.7228915663</v>
      </c>
      <c r="Q1185" s="36" t="s">
        <v>13</v>
      </c>
      <c r="R1185" s="36" t="s">
        <v>13</v>
      </c>
      <c r="S1185" s="36">
        <v>1000.0</v>
      </c>
      <c r="T1185" s="36" t="s">
        <v>1058</v>
      </c>
      <c r="U1185" s="36" t="s">
        <v>285</v>
      </c>
      <c r="V1185" s="36"/>
      <c r="W1185" s="36"/>
      <c r="X1185" s="38">
        <v>1.0</v>
      </c>
      <c r="Y1185" s="38" t="s">
        <v>2126</v>
      </c>
      <c r="Z1185" s="38" t="s">
        <v>2127</v>
      </c>
      <c r="AA1185" s="38"/>
      <c r="AB1185" s="38">
        <v>53.63</v>
      </c>
      <c r="AC1185" s="38">
        <v>106.2</v>
      </c>
      <c r="AD1185" s="38" t="s">
        <v>395</v>
      </c>
      <c r="AE1185" s="38"/>
      <c r="AF1185" s="38"/>
      <c r="AG1185" s="38"/>
      <c r="AH1185" s="38"/>
      <c r="AI1185" s="50">
        <v>53.63</v>
      </c>
      <c r="AJ1185" s="50">
        <v>-106.2</v>
      </c>
      <c r="AK1185" s="41" t="s">
        <v>370</v>
      </c>
      <c r="AL1185" s="40" t="s">
        <v>370</v>
      </c>
      <c r="AM1185" s="49">
        <v>596.0</v>
      </c>
      <c r="AN1185" s="51">
        <v>596.0</v>
      </c>
      <c r="AO1185" s="42" t="s">
        <v>372</v>
      </c>
      <c r="AP1185" s="43" t="s">
        <v>107</v>
      </c>
      <c r="AQ1185" s="80" t="str">
        <f t="shared" ref="AQ1185:AR1185" si="127">AL1185</f>
        <v>DBF</v>
      </c>
      <c r="AR1185" s="44">
        <f t="shared" si="127"/>
        <v>596</v>
      </c>
      <c r="AS1185" s="44" t="str">
        <f t="shared" si="112"/>
        <v>D</v>
      </c>
      <c r="AT1185" s="44" t="str">
        <f t="shared" si="114"/>
        <v>Df</v>
      </c>
      <c r="AU1185" s="44" t="str">
        <f t="shared" si="115"/>
        <v>Dfb</v>
      </c>
      <c r="AV1185" s="38">
        <v>3.0</v>
      </c>
      <c r="AW1185" s="38"/>
      <c r="AX1185" s="38"/>
      <c r="AY1185" s="38" t="s">
        <v>92</v>
      </c>
      <c r="AZ1185" s="29">
        <v>1000.0</v>
      </c>
      <c r="BA1185" s="29">
        <v>1.0</v>
      </c>
      <c r="BB1185" s="29">
        <v>2.0</v>
      </c>
      <c r="BC1185" s="29" t="s">
        <v>219</v>
      </c>
      <c r="BD1185" s="29"/>
      <c r="BE1185" s="29"/>
      <c r="BF1185" s="29" t="s">
        <v>2106</v>
      </c>
      <c r="BG1185" s="29" t="s">
        <v>220</v>
      </c>
      <c r="BH1185" s="29" t="s">
        <v>92</v>
      </c>
      <c r="BI1185" s="29" t="s">
        <v>2107</v>
      </c>
      <c r="BJ1185" s="29" t="s">
        <v>148</v>
      </c>
      <c r="BK1185" s="29" t="s">
        <v>148</v>
      </c>
      <c r="BL1185" s="29"/>
      <c r="BM1185" s="45"/>
      <c r="BN1185" s="45"/>
      <c r="BO1185" s="46"/>
      <c r="BP1185" s="2"/>
      <c r="BQ1185" s="3"/>
    </row>
    <row r="1186" ht="15.75" customHeight="1">
      <c r="A1186" s="34">
        <v>1201.0</v>
      </c>
      <c r="B1186" s="34">
        <v>101304.0</v>
      </c>
      <c r="C1186" s="34" t="s">
        <v>415</v>
      </c>
      <c r="D1186" s="34" t="s">
        <v>2099</v>
      </c>
      <c r="E1186" s="34" t="s">
        <v>2100</v>
      </c>
      <c r="F1186" s="34">
        <v>2015.0</v>
      </c>
      <c r="G1186" s="34" t="s">
        <v>2101</v>
      </c>
      <c r="H1186" s="34" t="s">
        <v>2102</v>
      </c>
      <c r="I1186" s="34" t="s">
        <v>2103</v>
      </c>
      <c r="J1186" s="35"/>
      <c r="K1186" s="36">
        <v>44.0</v>
      </c>
      <c r="L1186" s="36">
        <v>286.0</v>
      </c>
      <c r="M1186" s="36"/>
      <c r="N1186" s="36"/>
      <c r="O1186" s="36"/>
      <c r="P1186" s="52">
        <v>15.38461538</v>
      </c>
      <c r="Q1186" s="36" t="s">
        <v>13</v>
      </c>
      <c r="R1186" s="36" t="s">
        <v>13</v>
      </c>
      <c r="S1186" s="36">
        <v>1000.0</v>
      </c>
      <c r="T1186" s="36" t="s">
        <v>328</v>
      </c>
      <c r="U1186" s="36" t="s">
        <v>285</v>
      </c>
      <c r="V1186" s="36"/>
      <c r="W1186" s="36"/>
      <c r="X1186" s="38">
        <v>1.0</v>
      </c>
      <c r="Y1186" s="38" t="s">
        <v>2128</v>
      </c>
      <c r="Z1186" s="38" t="s">
        <v>2129</v>
      </c>
      <c r="AA1186" s="38"/>
      <c r="AB1186" s="38">
        <v>53.92</v>
      </c>
      <c r="AC1186" s="38">
        <v>104.69</v>
      </c>
      <c r="AD1186" s="38" t="s">
        <v>395</v>
      </c>
      <c r="AE1186" s="38"/>
      <c r="AF1186" s="38"/>
      <c r="AG1186" s="38"/>
      <c r="AH1186" s="38"/>
      <c r="AI1186" s="50">
        <v>53.92</v>
      </c>
      <c r="AJ1186" s="50">
        <v>-104.69</v>
      </c>
      <c r="AK1186" s="41" t="s">
        <v>200</v>
      </c>
      <c r="AL1186" s="40" t="s">
        <v>200</v>
      </c>
      <c r="AM1186" s="49">
        <v>514.0</v>
      </c>
      <c r="AN1186" s="51">
        <v>514.0</v>
      </c>
      <c r="AO1186" s="42" t="s">
        <v>372</v>
      </c>
      <c r="AP1186" s="43" t="s">
        <v>107</v>
      </c>
      <c r="AQ1186" s="80" t="str">
        <f t="shared" ref="AQ1186:AR1186" si="128">AL1186</f>
        <v>WSA</v>
      </c>
      <c r="AR1186" s="44">
        <f t="shared" si="128"/>
        <v>514</v>
      </c>
      <c r="AS1186" s="44" t="str">
        <f t="shared" si="112"/>
        <v>D</v>
      </c>
      <c r="AT1186" s="44" t="str">
        <f t="shared" si="114"/>
        <v>Df</v>
      </c>
      <c r="AU1186" s="44" t="str">
        <f t="shared" si="115"/>
        <v>Dfb</v>
      </c>
      <c r="AV1186" s="38">
        <v>3.0</v>
      </c>
      <c r="AW1186" s="38"/>
      <c r="AX1186" s="38"/>
      <c r="AY1186" s="38" t="s">
        <v>92</v>
      </c>
      <c r="AZ1186" s="29">
        <v>1000.0</v>
      </c>
      <c r="BA1186" s="29">
        <v>1.0</v>
      </c>
      <c r="BB1186" s="29">
        <v>2.0</v>
      </c>
      <c r="BC1186" s="29" t="s">
        <v>219</v>
      </c>
      <c r="BD1186" s="29"/>
      <c r="BE1186" s="29"/>
      <c r="BF1186" s="29" t="s">
        <v>2106</v>
      </c>
      <c r="BG1186" s="29" t="s">
        <v>220</v>
      </c>
      <c r="BH1186" s="29" t="s">
        <v>92</v>
      </c>
      <c r="BI1186" s="29" t="s">
        <v>2107</v>
      </c>
      <c r="BJ1186" s="29" t="s">
        <v>148</v>
      </c>
      <c r="BK1186" s="29" t="s">
        <v>148</v>
      </c>
      <c r="BL1186" s="29"/>
      <c r="BM1186" s="45"/>
      <c r="BN1186" s="45"/>
      <c r="BO1186" s="46"/>
      <c r="BP1186" s="2"/>
      <c r="BQ1186" s="3"/>
    </row>
    <row r="1187" ht="15.75" customHeight="1">
      <c r="A1187" s="34">
        <v>1202.0</v>
      </c>
      <c r="B1187" s="34">
        <v>101304.0</v>
      </c>
      <c r="C1187" s="34" t="s">
        <v>415</v>
      </c>
      <c r="D1187" s="34" t="s">
        <v>2099</v>
      </c>
      <c r="E1187" s="34" t="s">
        <v>2100</v>
      </c>
      <c r="F1187" s="34">
        <v>2015.0</v>
      </c>
      <c r="G1187" s="34" t="s">
        <v>2101</v>
      </c>
      <c r="H1187" s="34" t="s">
        <v>2102</v>
      </c>
      <c r="I1187" s="34" t="s">
        <v>2103</v>
      </c>
      <c r="J1187" s="35"/>
      <c r="K1187" s="36">
        <v>28.0</v>
      </c>
      <c r="L1187" s="36">
        <v>334.0</v>
      </c>
      <c r="M1187" s="36"/>
      <c r="N1187" s="36"/>
      <c r="O1187" s="36"/>
      <c r="P1187" s="52">
        <v>8.383233533</v>
      </c>
      <c r="Q1187" s="36" t="s">
        <v>13</v>
      </c>
      <c r="R1187" s="36" t="s">
        <v>13</v>
      </c>
      <c r="S1187" s="36">
        <v>1000.0</v>
      </c>
      <c r="T1187" s="36" t="s">
        <v>356</v>
      </c>
      <c r="U1187" s="36" t="s">
        <v>285</v>
      </c>
      <c r="V1187" s="36"/>
      <c r="W1187" s="36"/>
      <c r="X1187" s="38">
        <v>1.0</v>
      </c>
      <c r="Y1187" s="38" t="s">
        <v>2130</v>
      </c>
      <c r="Z1187" s="38" t="s">
        <v>2131</v>
      </c>
      <c r="AA1187" s="38"/>
      <c r="AB1187" s="38">
        <v>53.99</v>
      </c>
      <c r="AC1187" s="38">
        <v>105.12</v>
      </c>
      <c r="AD1187" s="38" t="s">
        <v>395</v>
      </c>
      <c r="AE1187" s="38"/>
      <c r="AF1187" s="38"/>
      <c r="AG1187" s="38"/>
      <c r="AH1187" s="38"/>
      <c r="AI1187" s="50">
        <v>53.99</v>
      </c>
      <c r="AJ1187" s="50">
        <v>-105.12</v>
      </c>
      <c r="AK1187" s="41" t="s">
        <v>197</v>
      </c>
      <c r="AL1187" s="40" t="s">
        <v>197</v>
      </c>
      <c r="AM1187" s="49">
        <v>590.0</v>
      </c>
      <c r="AN1187" s="51">
        <v>590.0</v>
      </c>
      <c r="AO1187" s="42" t="s">
        <v>372</v>
      </c>
      <c r="AP1187" s="43" t="s">
        <v>107</v>
      </c>
      <c r="AQ1187" s="80" t="str">
        <f t="shared" ref="AQ1187:AR1187" si="129">AL1187</f>
        <v>ENF</v>
      </c>
      <c r="AR1187" s="44">
        <f t="shared" si="129"/>
        <v>590</v>
      </c>
      <c r="AS1187" s="44" t="str">
        <f t="shared" si="112"/>
        <v>D</v>
      </c>
      <c r="AT1187" s="44" t="str">
        <f t="shared" si="114"/>
        <v>Df</v>
      </c>
      <c r="AU1187" s="44" t="str">
        <f t="shared" si="115"/>
        <v>Dfb</v>
      </c>
      <c r="AV1187" s="38">
        <v>3.0</v>
      </c>
      <c r="AW1187" s="38"/>
      <c r="AX1187" s="38"/>
      <c r="AY1187" s="38" t="s">
        <v>92</v>
      </c>
      <c r="AZ1187" s="29">
        <v>1000.0</v>
      </c>
      <c r="BA1187" s="29">
        <v>1.0</v>
      </c>
      <c r="BB1187" s="29">
        <v>2.0</v>
      </c>
      <c r="BC1187" s="29" t="s">
        <v>219</v>
      </c>
      <c r="BD1187" s="29"/>
      <c r="BE1187" s="29"/>
      <c r="BF1187" s="29" t="s">
        <v>2106</v>
      </c>
      <c r="BG1187" s="29" t="s">
        <v>220</v>
      </c>
      <c r="BH1187" s="29" t="s">
        <v>92</v>
      </c>
      <c r="BI1187" s="29" t="s">
        <v>2107</v>
      </c>
      <c r="BJ1187" s="29" t="s">
        <v>148</v>
      </c>
      <c r="BK1187" s="29" t="s">
        <v>148</v>
      </c>
      <c r="BL1187" s="29"/>
      <c r="BM1187" s="45"/>
      <c r="BN1187" s="45"/>
      <c r="BO1187" s="46"/>
      <c r="BP1187" s="2"/>
      <c r="BQ1187" s="3"/>
    </row>
    <row r="1188" ht="15.75" customHeight="1">
      <c r="A1188" s="34">
        <v>1203.0</v>
      </c>
      <c r="B1188" s="34">
        <v>101304.0</v>
      </c>
      <c r="C1188" s="34" t="s">
        <v>415</v>
      </c>
      <c r="D1188" s="34" t="s">
        <v>2099</v>
      </c>
      <c r="E1188" s="34" t="s">
        <v>2100</v>
      </c>
      <c r="F1188" s="34">
        <v>2015.0</v>
      </c>
      <c r="G1188" s="34" t="s">
        <v>2101</v>
      </c>
      <c r="H1188" s="34" t="s">
        <v>2102</v>
      </c>
      <c r="I1188" s="34" t="s">
        <v>2103</v>
      </c>
      <c r="J1188" s="35"/>
      <c r="K1188" s="36">
        <v>32.0</v>
      </c>
      <c r="L1188" s="36">
        <v>415.0</v>
      </c>
      <c r="M1188" s="36"/>
      <c r="N1188" s="36"/>
      <c r="O1188" s="36"/>
      <c r="P1188" s="52">
        <f>K1188/L1188*100</f>
        <v>7.710843373</v>
      </c>
      <c r="Q1188" s="36" t="s">
        <v>13</v>
      </c>
      <c r="R1188" s="36" t="s">
        <v>13</v>
      </c>
      <c r="S1188" s="36">
        <v>1000.0</v>
      </c>
      <c r="T1188" s="36" t="s">
        <v>1058</v>
      </c>
      <c r="U1188" s="36" t="s">
        <v>507</v>
      </c>
      <c r="V1188" s="36"/>
      <c r="W1188" s="36"/>
      <c r="X1188" s="38">
        <v>14.0</v>
      </c>
      <c r="Y1188" s="38"/>
      <c r="Z1188" s="38"/>
      <c r="AA1188" s="38"/>
      <c r="AB1188" s="38"/>
      <c r="AC1188" s="38"/>
      <c r="AD1188" s="38" t="s">
        <v>395</v>
      </c>
      <c r="AE1188" s="38"/>
      <c r="AF1188" s="38"/>
      <c r="AG1188" s="38"/>
      <c r="AH1188" s="38"/>
      <c r="AI1188" s="50"/>
      <c r="AJ1188" s="50"/>
      <c r="AK1188" s="41"/>
      <c r="AL1188" s="40"/>
      <c r="AM1188" s="49"/>
      <c r="AN1188" s="110"/>
      <c r="AO1188" s="42"/>
      <c r="AP1188" s="110"/>
      <c r="AQ1188" s="44"/>
      <c r="AR1188" s="44" t="str">
        <f>AM1188</f>
        <v/>
      </c>
      <c r="AS1188" s="44"/>
      <c r="AT1188" s="44" t="str">
        <f t="shared" si="114"/>
        <v/>
      </c>
      <c r="AU1188" s="44" t="str">
        <f t="shared" si="115"/>
        <v/>
      </c>
      <c r="AV1188" s="38">
        <v>3.0</v>
      </c>
      <c r="AW1188" s="38"/>
      <c r="AX1188" s="38"/>
      <c r="AY1188" s="38" t="s">
        <v>92</v>
      </c>
      <c r="AZ1188" s="29">
        <v>1000.0</v>
      </c>
      <c r="BA1188" s="29">
        <v>1.0</v>
      </c>
      <c r="BB1188" s="29">
        <v>2.0</v>
      </c>
      <c r="BC1188" s="29" t="s">
        <v>219</v>
      </c>
      <c r="BD1188" s="29"/>
      <c r="BE1188" s="29"/>
      <c r="BF1188" s="29" t="s">
        <v>2106</v>
      </c>
      <c r="BG1188" s="29" t="s">
        <v>220</v>
      </c>
      <c r="BH1188" s="29" t="s">
        <v>92</v>
      </c>
      <c r="BI1188" s="29" t="s">
        <v>2107</v>
      </c>
      <c r="BJ1188" s="29" t="s">
        <v>148</v>
      </c>
      <c r="BK1188" s="29" t="s">
        <v>148</v>
      </c>
      <c r="BL1188" s="29"/>
      <c r="BM1188" s="73"/>
      <c r="BN1188" s="73"/>
      <c r="BO1188" s="2"/>
      <c r="BP1188" s="2"/>
      <c r="BQ1188" s="3"/>
    </row>
    <row r="1189" ht="15.75" customHeight="1">
      <c r="A1189" s="34">
        <v>1204.0</v>
      </c>
      <c r="B1189" s="34">
        <v>102898.0</v>
      </c>
      <c r="C1189" s="34" t="s">
        <v>415</v>
      </c>
      <c r="D1189" s="34" t="s">
        <v>2132</v>
      </c>
      <c r="E1189" s="34" t="s">
        <v>2133</v>
      </c>
      <c r="F1189" s="34">
        <v>2019.0</v>
      </c>
      <c r="G1189" s="34" t="s">
        <v>2134</v>
      </c>
      <c r="H1189" s="34" t="s">
        <v>2135</v>
      </c>
      <c r="I1189" s="99" t="s">
        <v>2136</v>
      </c>
      <c r="J1189" s="35"/>
      <c r="K1189" s="36"/>
      <c r="L1189" s="36">
        <v>333.0</v>
      </c>
      <c r="M1189" s="36"/>
      <c r="N1189" s="36"/>
      <c r="O1189" s="36"/>
      <c r="P1189" s="37">
        <v>-3.3</v>
      </c>
      <c r="Q1189" s="36"/>
      <c r="R1189" s="36"/>
      <c r="S1189" s="36"/>
      <c r="T1189" s="36" t="s">
        <v>2137</v>
      </c>
      <c r="U1189" s="36" t="s">
        <v>2138</v>
      </c>
      <c r="V1189" s="36"/>
      <c r="W1189" s="36"/>
      <c r="X1189" s="38">
        <v>1.0</v>
      </c>
      <c r="Y1189" s="38" t="s">
        <v>2139</v>
      </c>
      <c r="Z1189" s="38"/>
      <c r="AA1189" s="38"/>
      <c r="AB1189" s="38">
        <v>46.78</v>
      </c>
      <c r="AC1189" s="38">
        <v>7.08</v>
      </c>
      <c r="AD1189" s="38" t="s">
        <v>87</v>
      </c>
      <c r="AE1189" s="53"/>
      <c r="AF1189" s="38" t="s">
        <v>2140</v>
      </c>
      <c r="AG1189" s="57"/>
      <c r="AH1189" s="38"/>
      <c r="AI1189" s="50">
        <v>46.78</v>
      </c>
      <c r="AJ1189" s="50">
        <v>-117.09</v>
      </c>
      <c r="AK1189" s="41" t="s">
        <v>86</v>
      </c>
      <c r="AL1189" s="40" t="s">
        <v>86</v>
      </c>
      <c r="AM1189" s="49">
        <v>781.0</v>
      </c>
      <c r="AN1189" s="51">
        <v>781.0</v>
      </c>
      <c r="AO1189" s="42" t="s">
        <v>321</v>
      </c>
      <c r="AP1189" s="43" t="s">
        <v>321</v>
      </c>
      <c r="AQ1189" s="80" t="str">
        <f t="shared" ref="AQ1189:AR1189" si="130">AL1189</f>
        <v>CRO</v>
      </c>
      <c r="AR1189" s="44">
        <f t="shared" si="130"/>
        <v>781</v>
      </c>
      <c r="AS1189" s="44" t="str">
        <f t="shared" ref="AS1189:AS1243" si="132">LEFT(AO1189,1)</f>
        <v>D</v>
      </c>
      <c r="AT1189" s="44" t="str">
        <f t="shared" si="114"/>
        <v>Ds</v>
      </c>
      <c r="AU1189" s="44" t="str">
        <f t="shared" si="115"/>
        <v>Dsb</v>
      </c>
      <c r="AV1189" s="38"/>
      <c r="AW1189" s="38"/>
      <c r="AX1189" s="38"/>
      <c r="AY1189" s="38"/>
      <c r="AZ1189" s="29"/>
      <c r="BA1189" s="29"/>
      <c r="BB1189" s="29">
        <v>1.0</v>
      </c>
      <c r="BC1189" s="29"/>
      <c r="BD1189" s="29" t="s">
        <v>88</v>
      </c>
      <c r="BE1189" s="29"/>
      <c r="BF1189" s="29" t="s">
        <v>984</v>
      </c>
      <c r="BG1189" s="29" t="s">
        <v>572</v>
      </c>
      <c r="BH1189" s="29"/>
      <c r="BI1189" s="29" t="s">
        <v>2141</v>
      </c>
      <c r="BJ1189" s="29"/>
      <c r="BK1189" s="29"/>
      <c r="BL1189" s="29"/>
      <c r="BM1189" s="45"/>
      <c r="BN1189" s="45">
        <v>1.0</v>
      </c>
      <c r="BO1189" s="46" t="s">
        <v>984</v>
      </c>
      <c r="BP1189" s="2"/>
      <c r="BQ1189" s="3"/>
    </row>
    <row r="1190" ht="15.75" customHeight="1">
      <c r="A1190" s="34">
        <v>1205.0</v>
      </c>
      <c r="B1190" s="34">
        <v>102898.0</v>
      </c>
      <c r="C1190" s="34" t="s">
        <v>415</v>
      </c>
      <c r="D1190" s="34" t="s">
        <v>2132</v>
      </c>
      <c r="E1190" s="34" t="s">
        <v>2133</v>
      </c>
      <c r="F1190" s="34">
        <v>2019.0</v>
      </c>
      <c r="G1190" s="34" t="s">
        <v>2134</v>
      </c>
      <c r="H1190" s="34" t="s">
        <v>2135</v>
      </c>
      <c r="I1190" s="99" t="s">
        <v>2136</v>
      </c>
      <c r="J1190" s="35"/>
      <c r="K1190" s="36"/>
      <c r="L1190" s="36">
        <v>427.0</v>
      </c>
      <c r="M1190" s="36"/>
      <c r="N1190" s="36"/>
      <c r="O1190" s="36"/>
      <c r="P1190" s="37">
        <v>-4.7</v>
      </c>
      <c r="Q1190" s="36"/>
      <c r="R1190" s="36"/>
      <c r="S1190" s="36"/>
      <c r="T1190" s="36" t="s">
        <v>2142</v>
      </c>
      <c r="U1190" s="36" t="s">
        <v>2143</v>
      </c>
      <c r="V1190" s="36"/>
      <c r="W1190" s="36"/>
      <c r="X1190" s="38">
        <v>1.0</v>
      </c>
      <c r="Y1190" s="38" t="s">
        <v>2139</v>
      </c>
      <c r="Z1190" s="38"/>
      <c r="AA1190" s="38"/>
      <c r="AB1190" s="38">
        <v>46.78</v>
      </c>
      <c r="AC1190" s="38">
        <v>7.08</v>
      </c>
      <c r="AD1190" s="38" t="s">
        <v>87</v>
      </c>
      <c r="AE1190" s="53"/>
      <c r="AF1190" s="38" t="s">
        <v>423</v>
      </c>
      <c r="AG1190" s="57"/>
      <c r="AH1190" s="38"/>
      <c r="AI1190" s="50">
        <v>46.78</v>
      </c>
      <c r="AJ1190" s="50">
        <v>-117.09</v>
      </c>
      <c r="AK1190" s="41" t="s">
        <v>86</v>
      </c>
      <c r="AL1190" s="40" t="s">
        <v>86</v>
      </c>
      <c r="AM1190" s="49">
        <v>781.0</v>
      </c>
      <c r="AN1190" s="51">
        <v>781.0</v>
      </c>
      <c r="AO1190" s="42" t="s">
        <v>321</v>
      </c>
      <c r="AP1190" s="43" t="s">
        <v>321</v>
      </c>
      <c r="AQ1190" s="80" t="str">
        <f t="shared" ref="AQ1190:AR1190" si="131">AL1190</f>
        <v>CRO</v>
      </c>
      <c r="AR1190" s="44">
        <f t="shared" si="131"/>
        <v>781</v>
      </c>
      <c r="AS1190" s="44" t="str">
        <f t="shared" si="132"/>
        <v>D</v>
      </c>
      <c r="AT1190" s="44" t="str">
        <f t="shared" si="114"/>
        <v>Ds</v>
      </c>
      <c r="AU1190" s="44" t="str">
        <f t="shared" si="115"/>
        <v>Dsb</v>
      </c>
      <c r="AV1190" s="38"/>
      <c r="AW1190" s="38"/>
      <c r="AX1190" s="38"/>
      <c r="AY1190" s="38"/>
      <c r="AZ1190" s="29"/>
      <c r="BA1190" s="29"/>
      <c r="BB1190" s="29">
        <v>1.0</v>
      </c>
      <c r="BC1190" s="29"/>
      <c r="BD1190" s="29" t="s">
        <v>88</v>
      </c>
      <c r="BE1190" s="29"/>
      <c r="BF1190" s="29" t="s">
        <v>984</v>
      </c>
      <c r="BG1190" s="29" t="s">
        <v>572</v>
      </c>
      <c r="BH1190" s="29"/>
      <c r="BI1190" s="29" t="s">
        <v>2141</v>
      </c>
      <c r="BJ1190" s="29"/>
      <c r="BK1190" s="29"/>
      <c r="BL1190" s="29"/>
      <c r="BM1190" s="45"/>
      <c r="BN1190" s="45">
        <v>1.0</v>
      </c>
      <c r="BO1190" s="46" t="s">
        <v>984</v>
      </c>
      <c r="BP1190" s="2"/>
      <c r="BQ1190" s="3"/>
    </row>
    <row r="1191" ht="15.75" customHeight="1">
      <c r="A1191" s="34">
        <v>1206.0</v>
      </c>
      <c r="B1191" s="34">
        <v>102898.0</v>
      </c>
      <c r="C1191" s="34" t="s">
        <v>415</v>
      </c>
      <c r="D1191" s="34" t="s">
        <v>2132</v>
      </c>
      <c r="E1191" s="34" t="s">
        <v>2133</v>
      </c>
      <c r="F1191" s="34">
        <v>2019.0</v>
      </c>
      <c r="G1191" s="34" t="s">
        <v>2134</v>
      </c>
      <c r="H1191" s="34" t="s">
        <v>2135</v>
      </c>
      <c r="I1191" s="99" t="s">
        <v>2136</v>
      </c>
      <c r="J1191" s="35"/>
      <c r="K1191" s="36"/>
      <c r="L1191" s="36">
        <v>345.0</v>
      </c>
      <c r="M1191" s="36"/>
      <c r="N1191" s="36"/>
      <c r="O1191" s="36"/>
      <c r="P1191" s="37">
        <v>11.9</v>
      </c>
      <c r="Q1191" s="36"/>
      <c r="R1191" s="36"/>
      <c r="S1191" s="36"/>
      <c r="T1191" s="36" t="s">
        <v>2144</v>
      </c>
      <c r="U1191" s="36" t="s">
        <v>2145</v>
      </c>
      <c r="V1191" s="36"/>
      <c r="W1191" s="36"/>
      <c r="X1191" s="38">
        <v>1.0</v>
      </c>
      <c r="Y1191" s="38" t="s">
        <v>2139</v>
      </c>
      <c r="Z1191" s="38"/>
      <c r="AA1191" s="38"/>
      <c r="AB1191" s="38">
        <v>46.78</v>
      </c>
      <c r="AC1191" s="38">
        <v>7.08</v>
      </c>
      <c r="AD1191" s="38" t="s">
        <v>87</v>
      </c>
      <c r="AE1191" s="53"/>
      <c r="AF1191" s="38" t="s">
        <v>2146</v>
      </c>
      <c r="AG1191" s="57"/>
      <c r="AH1191" s="38"/>
      <c r="AI1191" s="50">
        <v>46.78</v>
      </c>
      <c r="AJ1191" s="50">
        <v>-117.09</v>
      </c>
      <c r="AK1191" s="41" t="s">
        <v>86</v>
      </c>
      <c r="AL1191" s="40" t="s">
        <v>86</v>
      </c>
      <c r="AM1191" s="49">
        <v>781.0</v>
      </c>
      <c r="AN1191" s="51">
        <v>781.0</v>
      </c>
      <c r="AO1191" s="42" t="s">
        <v>321</v>
      </c>
      <c r="AP1191" s="43" t="s">
        <v>321</v>
      </c>
      <c r="AQ1191" s="80" t="str">
        <f t="shared" ref="AQ1191:AR1191" si="133">AL1191</f>
        <v>CRO</v>
      </c>
      <c r="AR1191" s="44">
        <f t="shared" si="133"/>
        <v>781</v>
      </c>
      <c r="AS1191" s="44" t="str">
        <f t="shared" si="132"/>
        <v>D</v>
      </c>
      <c r="AT1191" s="44" t="str">
        <f t="shared" si="114"/>
        <v>Ds</v>
      </c>
      <c r="AU1191" s="44" t="str">
        <f t="shared" si="115"/>
        <v>Dsb</v>
      </c>
      <c r="AV1191" s="38"/>
      <c r="AW1191" s="38"/>
      <c r="AX1191" s="38"/>
      <c r="AY1191" s="38"/>
      <c r="AZ1191" s="29"/>
      <c r="BA1191" s="29"/>
      <c r="BB1191" s="29">
        <v>1.0</v>
      </c>
      <c r="BC1191" s="29"/>
      <c r="BD1191" s="29" t="s">
        <v>88</v>
      </c>
      <c r="BE1191" s="29"/>
      <c r="BF1191" s="29" t="s">
        <v>984</v>
      </c>
      <c r="BG1191" s="29" t="s">
        <v>572</v>
      </c>
      <c r="BH1191" s="29"/>
      <c r="BI1191" s="29" t="s">
        <v>2141</v>
      </c>
      <c r="BJ1191" s="29"/>
      <c r="BK1191" s="29"/>
      <c r="BL1191" s="29"/>
      <c r="BM1191" s="45"/>
      <c r="BN1191" s="45">
        <v>1.0</v>
      </c>
      <c r="BO1191" s="46" t="s">
        <v>984</v>
      </c>
      <c r="BP1191" s="2"/>
      <c r="BQ1191" s="3"/>
    </row>
    <row r="1192" ht="15.75" customHeight="1">
      <c r="A1192" s="34">
        <v>1207.0</v>
      </c>
      <c r="B1192" s="34">
        <v>102898.0</v>
      </c>
      <c r="C1192" s="34" t="s">
        <v>415</v>
      </c>
      <c r="D1192" s="34" t="s">
        <v>2132</v>
      </c>
      <c r="E1192" s="34" t="s">
        <v>2133</v>
      </c>
      <c r="F1192" s="34">
        <v>2019.0</v>
      </c>
      <c r="G1192" s="34" t="s">
        <v>2134</v>
      </c>
      <c r="H1192" s="34" t="s">
        <v>2135</v>
      </c>
      <c r="I1192" s="99" t="s">
        <v>2136</v>
      </c>
      <c r="J1192" s="35"/>
      <c r="K1192" s="36"/>
      <c r="L1192" s="36">
        <v>306.0</v>
      </c>
      <c r="M1192" s="36"/>
      <c r="N1192" s="36"/>
      <c r="O1192" s="36"/>
      <c r="P1192" s="37">
        <v>-2.9</v>
      </c>
      <c r="Q1192" s="36"/>
      <c r="R1192" s="36"/>
      <c r="S1192" s="36"/>
      <c r="T1192" s="36" t="s">
        <v>2137</v>
      </c>
      <c r="U1192" s="36" t="s">
        <v>2138</v>
      </c>
      <c r="V1192" s="36"/>
      <c r="W1192" s="36"/>
      <c r="X1192" s="38">
        <v>1.0</v>
      </c>
      <c r="Y1192" s="38" t="s">
        <v>2147</v>
      </c>
      <c r="Z1192" s="38"/>
      <c r="AA1192" s="38"/>
      <c r="AB1192" s="38">
        <v>46.78</v>
      </c>
      <c r="AC1192" s="38">
        <v>7.09</v>
      </c>
      <c r="AD1192" s="38" t="s">
        <v>87</v>
      </c>
      <c r="AE1192" s="53"/>
      <c r="AF1192" s="38" t="s">
        <v>2140</v>
      </c>
      <c r="AG1192" s="57"/>
      <c r="AH1192" s="38"/>
      <c r="AI1192" s="50">
        <v>46.78</v>
      </c>
      <c r="AJ1192" s="50">
        <v>-117.08</v>
      </c>
      <c r="AK1192" s="41" t="s">
        <v>86</v>
      </c>
      <c r="AL1192" s="40" t="s">
        <v>86</v>
      </c>
      <c r="AM1192" s="49">
        <v>799.0</v>
      </c>
      <c r="AN1192" s="51">
        <v>799.0</v>
      </c>
      <c r="AO1192" s="42" t="s">
        <v>321</v>
      </c>
      <c r="AP1192" s="43" t="s">
        <v>321</v>
      </c>
      <c r="AQ1192" s="80" t="str">
        <f t="shared" ref="AQ1192:AR1192" si="134">AL1192</f>
        <v>CRO</v>
      </c>
      <c r="AR1192" s="44">
        <f t="shared" si="134"/>
        <v>799</v>
      </c>
      <c r="AS1192" s="44" t="str">
        <f t="shared" si="132"/>
        <v>D</v>
      </c>
      <c r="AT1192" s="44" t="str">
        <f t="shared" si="114"/>
        <v>Ds</v>
      </c>
      <c r="AU1192" s="44" t="str">
        <f t="shared" si="115"/>
        <v>Dsb</v>
      </c>
      <c r="AV1192" s="38"/>
      <c r="AW1192" s="38"/>
      <c r="AX1192" s="38"/>
      <c r="AY1192" s="38"/>
      <c r="AZ1192" s="29"/>
      <c r="BA1192" s="29"/>
      <c r="BB1192" s="29">
        <v>1.0</v>
      </c>
      <c r="BC1192" s="29"/>
      <c r="BD1192" s="29" t="s">
        <v>88</v>
      </c>
      <c r="BE1192" s="29"/>
      <c r="BF1192" s="29" t="s">
        <v>984</v>
      </c>
      <c r="BG1192" s="29" t="s">
        <v>572</v>
      </c>
      <c r="BH1192" s="29"/>
      <c r="BI1192" s="29" t="s">
        <v>2141</v>
      </c>
      <c r="BJ1192" s="29"/>
      <c r="BK1192" s="29"/>
      <c r="BL1192" s="29"/>
      <c r="BM1192" s="45"/>
      <c r="BN1192" s="45">
        <v>1.0</v>
      </c>
      <c r="BO1192" s="46" t="s">
        <v>984</v>
      </c>
      <c r="BP1192" s="2"/>
      <c r="BQ1192" s="3"/>
    </row>
    <row r="1193" ht="15.75" customHeight="1">
      <c r="A1193" s="34">
        <v>1208.0</v>
      </c>
      <c r="B1193" s="34">
        <v>102898.0</v>
      </c>
      <c r="C1193" s="34" t="s">
        <v>415</v>
      </c>
      <c r="D1193" s="34" t="s">
        <v>2132</v>
      </c>
      <c r="E1193" s="34" t="s">
        <v>2133</v>
      </c>
      <c r="F1193" s="34">
        <v>2019.0</v>
      </c>
      <c r="G1193" s="34" t="s">
        <v>2134</v>
      </c>
      <c r="H1193" s="34" t="s">
        <v>2135</v>
      </c>
      <c r="I1193" s="99" t="s">
        <v>2136</v>
      </c>
      <c r="J1193" s="35"/>
      <c r="K1193" s="36"/>
      <c r="L1193" s="36">
        <v>423.0</v>
      </c>
      <c r="M1193" s="36"/>
      <c r="N1193" s="36"/>
      <c r="O1193" s="36"/>
      <c r="P1193" s="37">
        <v>15.8</v>
      </c>
      <c r="Q1193" s="36"/>
      <c r="R1193" s="36"/>
      <c r="S1193" s="36"/>
      <c r="T1193" s="36" t="s">
        <v>2142</v>
      </c>
      <c r="U1193" s="36" t="s">
        <v>2143</v>
      </c>
      <c r="V1193" s="36"/>
      <c r="W1193" s="36"/>
      <c r="X1193" s="38">
        <v>1.0</v>
      </c>
      <c r="Y1193" s="38" t="s">
        <v>2147</v>
      </c>
      <c r="Z1193" s="38"/>
      <c r="AA1193" s="38"/>
      <c r="AB1193" s="38">
        <v>46.78</v>
      </c>
      <c r="AC1193" s="38">
        <v>7.09</v>
      </c>
      <c r="AD1193" s="38" t="s">
        <v>87</v>
      </c>
      <c r="AE1193" s="53"/>
      <c r="AF1193" s="38" t="s">
        <v>423</v>
      </c>
      <c r="AG1193" s="57"/>
      <c r="AH1193" s="38"/>
      <c r="AI1193" s="50">
        <v>46.78</v>
      </c>
      <c r="AJ1193" s="50">
        <v>-117.08</v>
      </c>
      <c r="AK1193" s="41" t="s">
        <v>86</v>
      </c>
      <c r="AL1193" s="40" t="s">
        <v>86</v>
      </c>
      <c r="AM1193" s="49">
        <v>799.0</v>
      </c>
      <c r="AN1193" s="51">
        <v>799.0</v>
      </c>
      <c r="AO1193" s="42" t="s">
        <v>321</v>
      </c>
      <c r="AP1193" s="43" t="s">
        <v>321</v>
      </c>
      <c r="AQ1193" s="80" t="str">
        <f t="shared" ref="AQ1193:AR1193" si="135">AL1193</f>
        <v>CRO</v>
      </c>
      <c r="AR1193" s="44">
        <f t="shared" si="135"/>
        <v>799</v>
      </c>
      <c r="AS1193" s="44" t="str">
        <f t="shared" si="132"/>
        <v>D</v>
      </c>
      <c r="AT1193" s="44" t="str">
        <f t="shared" si="114"/>
        <v>Ds</v>
      </c>
      <c r="AU1193" s="44" t="str">
        <f t="shared" si="115"/>
        <v>Dsb</v>
      </c>
      <c r="AV1193" s="38"/>
      <c r="AW1193" s="38"/>
      <c r="AX1193" s="38"/>
      <c r="AY1193" s="38"/>
      <c r="AZ1193" s="29"/>
      <c r="BA1193" s="29"/>
      <c r="BB1193" s="29">
        <v>1.0</v>
      </c>
      <c r="BC1193" s="29"/>
      <c r="BD1193" s="29" t="s">
        <v>88</v>
      </c>
      <c r="BE1193" s="29"/>
      <c r="BF1193" s="29" t="s">
        <v>984</v>
      </c>
      <c r="BG1193" s="29" t="s">
        <v>572</v>
      </c>
      <c r="BH1193" s="29"/>
      <c r="BI1193" s="29" t="s">
        <v>2141</v>
      </c>
      <c r="BJ1193" s="29"/>
      <c r="BK1193" s="29"/>
      <c r="BL1193" s="29"/>
      <c r="BM1193" s="45"/>
      <c r="BN1193" s="45">
        <v>1.0</v>
      </c>
      <c r="BO1193" s="46" t="s">
        <v>984</v>
      </c>
      <c r="BP1193" s="2"/>
      <c r="BQ1193" s="3"/>
    </row>
    <row r="1194" ht="15.75" customHeight="1">
      <c r="A1194" s="34">
        <v>1209.0</v>
      </c>
      <c r="B1194" s="34">
        <v>102898.0</v>
      </c>
      <c r="C1194" s="34" t="s">
        <v>415</v>
      </c>
      <c r="D1194" s="34" t="s">
        <v>2132</v>
      </c>
      <c r="E1194" s="34" t="s">
        <v>2133</v>
      </c>
      <c r="F1194" s="34">
        <v>2019.0</v>
      </c>
      <c r="G1194" s="34" t="s">
        <v>2134</v>
      </c>
      <c r="H1194" s="34" t="s">
        <v>2135</v>
      </c>
      <c r="I1194" s="99" t="s">
        <v>2136</v>
      </c>
      <c r="J1194" s="35"/>
      <c r="K1194" s="36"/>
      <c r="L1194" s="36">
        <v>360.0</v>
      </c>
      <c r="M1194" s="36"/>
      <c r="N1194" s="36"/>
      <c r="O1194" s="36"/>
      <c r="P1194" s="37">
        <v>13.9</v>
      </c>
      <c r="Q1194" s="36"/>
      <c r="R1194" s="36"/>
      <c r="S1194" s="36"/>
      <c r="T1194" s="36" t="s">
        <v>2144</v>
      </c>
      <c r="U1194" s="36" t="s">
        <v>2145</v>
      </c>
      <c r="V1194" s="36"/>
      <c r="W1194" s="36"/>
      <c r="X1194" s="38">
        <v>1.0</v>
      </c>
      <c r="Y1194" s="38" t="s">
        <v>2147</v>
      </c>
      <c r="Z1194" s="38"/>
      <c r="AA1194" s="38"/>
      <c r="AB1194" s="38">
        <v>46.78</v>
      </c>
      <c r="AC1194" s="38">
        <v>7.09</v>
      </c>
      <c r="AD1194" s="38" t="s">
        <v>87</v>
      </c>
      <c r="AE1194" s="53"/>
      <c r="AF1194" s="38" t="s">
        <v>2146</v>
      </c>
      <c r="AG1194" s="57"/>
      <c r="AH1194" s="38"/>
      <c r="AI1194" s="50">
        <v>46.78</v>
      </c>
      <c r="AJ1194" s="50">
        <v>-117.08</v>
      </c>
      <c r="AK1194" s="41" t="s">
        <v>86</v>
      </c>
      <c r="AL1194" s="40" t="s">
        <v>86</v>
      </c>
      <c r="AM1194" s="49">
        <v>799.0</v>
      </c>
      <c r="AN1194" s="51">
        <v>799.0</v>
      </c>
      <c r="AO1194" s="42" t="s">
        <v>321</v>
      </c>
      <c r="AP1194" s="43" t="s">
        <v>321</v>
      </c>
      <c r="AQ1194" s="80" t="str">
        <f t="shared" ref="AQ1194:AR1194" si="136">AL1194</f>
        <v>CRO</v>
      </c>
      <c r="AR1194" s="44">
        <f t="shared" si="136"/>
        <v>799</v>
      </c>
      <c r="AS1194" s="44" t="str">
        <f t="shared" si="132"/>
        <v>D</v>
      </c>
      <c r="AT1194" s="44" t="str">
        <f t="shared" si="114"/>
        <v>Ds</v>
      </c>
      <c r="AU1194" s="44" t="str">
        <f t="shared" si="115"/>
        <v>Dsb</v>
      </c>
      <c r="AV1194" s="38"/>
      <c r="AW1194" s="38"/>
      <c r="AX1194" s="38"/>
      <c r="AY1194" s="38"/>
      <c r="AZ1194" s="29"/>
      <c r="BA1194" s="29"/>
      <c r="BB1194" s="29">
        <v>1.0</v>
      </c>
      <c r="BC1194" s="29"/>
      <c r="BD1194" s="29" t="s">
        <v>88</v>
      </c>
      <c r="BE1194" s="29"/>
      <c r="BF1194" s="29" t="s">
        <v>984</v>
      </c>
      <c r="BG1194" s="29" t="s">
        <v>572</v>
      </c>
      <c r="BH1194" s="29"/>
      <c r="BI1194" s="29" t="s">
        <v>2141</v>
      </c>
      <c r="BJ1194" s="29"/>
      <c r="BK1194" s="29"/>
      <c r="BL1194" s="29"/>
      <c r="BM1194" s="45"/>
      <c r="BN1194" s="45">
        <v>1.0</v>
      </c>
      <c r="BO1194" s="46" t="s">
        <v>984</v>
      </c>
      <c r="BP1194" s="2"/>
      <c r="BQ1194" s="3"/>
    </row>
    <row r="1195" ht="15.75" customHeight="1">
      <c r="A1195" s="34">
        <v>1210.0</v>
      </c>
      <c r="B1195" s="34">
        <v>102898.0</v>
      </c>
      <c r="C1195" s="34" t="s">
        <v>415</v>
      </c>
      <c r="D1195" s="34" t="s">
        <v>2132</v>
      </c>
      <c r="E1195" s="34" t="s">
        <v>2133</v>
      </c>
      <c r="F1195" s="34">
        <v>2019.0</v>
      </c>
      <c r="G1195" s="34" t="s">
        <v>2134</v>
      </c>
      <c r="H1195" s="34" t="s">
        <v>2135</v>
      </c>
      <c r="I1195" s="99" t="s">
        <v>2136</v>
      </c>
      <c r="J1195" s="35"/>
      <c r="K1195" s="36"/>
      <c r="L1195" s="36">
        <v>235.0</v>
      </c>
      <c r="M1195" s="36"/>
      <c r="N1195" s="36"/>
      <c r="O1195" s="36"/>
      <c r="P1195" s="37">
        <v>23.4</v>
      </c>
      <c r="Q1195" s="36"/>
      <c r="R1195" s="36"/>
      <c r="S1195" s="36"/>
      <c r="T1195" s="36" t="s">
        <v>2137</v>
      </c>
      <c r="U1195" s="36" t="s">
        <v>2138</v>
      </c>
      <c r="V1195" s="36"/>
      <c r="W1195" s="36"/>
      <c r="X1195" s="38">
        <v>1.0</v>
      </c>
      <c r="Y1195" s="38" t="s">
        <v>2148</v>
      </c>
      <c r="Z1195" s="38"/>
      <c r="AA1195" s="38"/>
      <c r="AB1195" s="38">
        <v>46.99</v>
      </c>
      <c r="AC1195" s="38">
        <v>8.6</v>
      </c>
      <c r="AD1195" s="38" t="s">
        <v>87</v>
      </c>
      <c r="AE1195" s="38">
        <v>475.0</v>
      </c>
      <c r="AF1195" s="38" t="s">
        <v>423</v>
      </c>
      <c r="AG1195" s="38"/>
      <c r="AH1195" s="38"/>
      <c r="AI1195" s="50">
        <v>46.99</v>
      </c>
      <c r="AJ1195" s="50">
        <v>-118.6</v>
      </c>
      <c r="AK1195" s="41" t="s">
        <v>86</v>
      </c>
      <c r="AL1195" s="40" t="s">
        <v>86</v>
      </c>
      <c r="AM1195" s="49">
        <v>469.0</v>
      </c>
      <c r="AN1195" s="51">
        <v>469.0</v>
      </c>
      <c r="AO1195" s="42" t="s">
        <v>261</v>
      </c>
      <c r="AP1195" s="43" t="s">
        <v>293</v>
      </c>
      <c r="AQ1195" s="80" t="str">
        <f t="shared" ref="AQ1195:AR1195" si="137">AL1195</f>
        <v>CRO</v>
      </c>
      <c r="AR1195" s="44">
        <f t="shared" si="137"/>
        <v>469</v>
      </c>
      <c r="AS1195" s="44" t="str">
        <f t="shared" si="132"/>
        <v>B</v>
      </c>
      <c r="AT1195" s="44" t="str">
        <f t="shared" si="114"/>
        <v>BS</v>
      </c>
      <c r="AU1195" s="44" t="str">
        <f t="shared" si="115"/>
        <v>BSk</v>
      </c>
      <c r="AV1195" s="38"/>
      <c r="AW1195" s="38"/>
      <c r="AX1195" s="38"/>
      <c r="AY1195" s="38"/>
      <c r="AZ1195" s="29"/>
      <c r="BA1195" s="29"/>
      <c r="BB1195" s="29">
        <v>1.0</v>
      </c>
      <c r="BC1195" s="29"/>
      <c r="BD1195" s="29" t="s">
        <v>88</v>
      </c>
      <c r="BE1195" s="29"/>
      <c r="BF1195" s="29" t="s">
        <v>984</v>
      </c>
      <c r="BG1195" s="29" t="s">
        <v>572</v>
      </c>
      <c r="BH1195" s="29"/>
      <c r="BI1195" s="29" t="s">
        <v>2141</v>
      </c>
      <c r="BJ1195" s="29"/>
      <c r="BK1195" s="29"/>
      <c r="BL1195" s="29"/>
      <c r="BM1195" s="45"/>
      <c r="BN1195" s="45">
        <v>1.0</v>
      </c>
      <c r="BO1195" s="46" t="s">
        <v>984</v>
      </c>
      <c r="BP1195" s="2"/>
      <c r="BQ1195" s="3"/>
    </row>
    <row r="1196" ht="15.75" customHeight="1">
      <c r="A1196" s="34">
        <v>1211.0</v>
      </c>
      <c r="B1196" s="34">
        <v>102898.0</v>
      </c>
      <c r="C1196" s="34" t="s">
        <v>415</v>
      </c>
      <c r="D1196" s="34" t="s">
        <v>2132</v>
      </c>
      <c r="E1196" s="34" t="s">
        <v>2133</v>
      </c>
      <c r="F1196" s="34">
        <v>2019.0</v>
      </c>
      <c r="G1196" s="34" t="s">
        <v>2134</v>
      </c>
      <c r="H1196" s="34" t="s">
        <v>2135</v>
      </c>
      <c r="I1196" s="99" t="s">
        <v>2136</v>
      </c>
      <c r="J1196" s="35"/>
      <c r="K1196" s="36"/>
      <c r="L1196" s="36">
        <v>106.0</v>
      </c>
      <c r="M1196" s="36"/>
      <c r="N1196" s="36"/>
      <c r="O1196" s="36"/>
      <c r="P1196" s="37">
        <v>25.5</v>
      </c>
      <c r="Q1196" s="36"/>
      <c r="R1196" s="36"/>
      <c r="S1196" s="36"/>
      <c r="T1196" s="36" t="s">
        <v>2142</v>
      </c>
      <c r="U1196" s="36" t="s">
        <v>2143</v>
      </c>
      <c r="V1196" s="36"/>
      <c r="W1196" s="36"/>
      <c r="X1196" s="38">
        <v>1.0</v>
      </c>
      <c r="Y1196" s="38" t="s">
        <v>2148</v>
      </c>
      <c r="Z1196" s="38"/>
      <c r="AA1196" s="38"/>
      <c r="AB1196" s="38">
        <v>46.99</v>
      </c>
      <c r="AC1196" s="38">
        <v>8.6</v>
      </c>
      <c r="AD1196" s="38" t="s">
        <v>87</v>
      </c>
      <c r="AE1196" s="38">
        <v>475.0</v>
      </c>
      <c r="AF1196" s="38" t="s">
        <v>2149</v>
      </c>
      <c r="AG1196" s="38"/>
      <c r="AH1196" s="38"/>
      <c r="AI1196" s="50">
        <v>46.99</v>
      </c>
      <c r="AJ1196" s="50">
        <v>-118.6</v>
      </c>
      <c r="AK1196" s="41" t="s">
        <v>86</v>
      </c>
      <c r="AL1196" s="40" t="s">
        <v>86</v>
      </c>
      <c r="AM1196" s="49">
        <v>469.0</v>
      </c>
      <c r="AN1196" s="51">
        <v>469.0</v>
      </c>
      <c r="AO1196" s="42" t="s">
        <v>261</v>
      </c>
      <c r="AP1196" s="43" t="s">
        <v>293</v>
      </c>
      <c r="AQ1196" s="80" t="str">
        <f t="shared" ref="AQ1196:AR1196" si="138">AL1196</f>
        <v>CRO</v>
      </c>
      <c r="AR1196" s="44">
        <f t="shared" si="138"/>
        <v>469</v>
      </c>
      <c r="AS1196" s="44" t="str">
        <f t="shared" si="132"/>
        <v>B</v>
      </c>
      <c r="AT1196" s="44" t="str">
        <f t="shared" si="114"/>
        <v>BS</v>
      </c>
      <c r="AU1196" s="44" t="str">
        <f t="shared" si="115"/>
        <v>BSk</v>
      </c>
      <c r="AV1196" s="38"/>
      <c r="AW1196" s="38"/>
      <c r="AX1196" s="38"/>
      <c r="AY1196" s="38"/>
      <c r="AZ1196" s="29"/>
      <c r="BA1196" s="29"/>
      <c r="BB1196" s="29">
        <v>1.0</v>
      </c>
      <c r="BC1196" s="29"/>
      <c r="BD1196" s="29" t="s">
        <v>88</v>
      </c>
      <c r="BE1196" s="29"/>
      <c r="BF1196" s="29" t="s">
        <v>984</v>
      </c>
      <c r="BG1196" s="29" t="s">
        <v>572</v>
      </c>
      <c r="BH1196" s="29"/>
      <c r="BI1196" s="29" t="s">
        <v>2141</v>
      </c>
      <c r="BJ1196" s="29"/>
      <c r="BK1196" s="29"/>
      <c r="BL1196" s="29"/>
      <c r="BM1196" s="45"/>
      <c r="BN1196" s="45">
        <v>1.0</v>
      </c>
      <c r="BO1196" s="46" t="s">
        <v>984</v>
      </c>
      <c r="BP1196" s="2"/>
      <c r="BQ1196" s="3"/>
    </row>
    <row r="1197" ht="15.75" customHeight="1">
      <c r="A1197" s="34">
        <v>1212.0</v>
      </c>
      <c r="B1197" s="34">
        <v>102898.0</v>
      </c>
      <c r="C1197" s="34" t="s">
        <v>415</v>
      </c>
      <c r="D1197" s="34" t="s">
        <v>2132</v>
      </c>
      <c r="E1197" s="34" t="s">
        <v>2133</v>
      </c>
      <c r="F1197" s="34">
        <v>2019.0</v>
      </c>
      <c r="G1197" s="34" t="s">
        <v>2134</v>
      </c>
      <c r="H1197" s="34" t="s">
        <v>2135</v>
      </c>
      <c r="I1197" s="99" t="s">
        <v>2136</v>
      </c>
      <c r="J1197" s="35"/>
      <c r="K1197" s="36"/>
      <c r="L1197" s="36">
        <v>151.0</v>
      </c>
      <c r="M1197" s="36"/>
      <c r="N1197" s="36"/>
      <c r="O1197" s="36"/>
      <c r="P1197" s="37">
        <v>6.6</v>
      </c>
      <c r="Q1197" s="36"/>
      <c r="R1197" s="36"/>
      <c r="S1197" s="36"/>
      <c r="T1197" s="36" t="s">
        <v>2144</v>
      </c>
      <c r="U1197" s="36" t="s">
        <v>2145</v>
      </c>
      <c r="V1197" s="36"/>
      <c r="W1197" s="36"/>
      <c r="X1197" s="38">
        <v>1.0</v>
      </c>
      <c r="Y1197" s="38" t="s">
        <v>2148</v>
      </c>
      <c r="Z1197" s="38"/>
      <c r="AA1197" s="38"/>
      <c r="AB1197" s="38">
        <v>46.99</v>
      </c>
      <c r="AC1197" s="38">
        <v>8.6</v>
      </c>
      <c r="AD1197" s="38" t="s">
        <v>87</v>
      </c>
      <c r="AE1197" s="38">
        <v>475.0</v>
      </c>
      <c r="AF1197" s="38" t="s">
        <v>423</v>
      </c>
      <c r="AG1197" s="38"/>
      <c r="AH1197" s="38"/>
      <c r="AI1197" s="50">
        <v>46.99</v>
      </c>
      <c r="AJ1197" s="50">
        <v>-118.6</v>
      </c>
      <c r="AK1197" s="41" t="s">
        <v>86</v>
      </c>
      <c r="AL1197" s="40" t="s">
        <v>86</v>
      </c>
      <c r="AM1197" s="49">
        <v>469.0</v>
      </c>
      <c r="AN1197" s="51">
        <v>469.0</v>
      </c>
      <c r="AO1197" s="42" t="s">
        <v>261</v>
      </c>
      <c r="AP1197" s="43" t="s">
        <v>293</v>
      </c>
      <c r="AQ1197" s="80" t="str">
        <f t="shared" ref="AQ1197:AR1197" si="139">AL1197</f>
        <v>CRO</v>
      </c>
      <c r="AR1197" s="44">
        <f t="shared" si="139"/>
        <v>469</v>
      </c>
      <c r="AS1197" s="44" t="str">
        <f t="shared" si="132"/>
        <v>B</v>
      </c>
      <c r="AT1197" s="44" t="str">
        <f t="shared" si="114"/>
        <v>BS</v>
      </c>
      <c r="AU1197" s="44" t="str">
        <f t="shared" si="115"/>
        <v>BSk</v>
      </c>
      <c r="AV1197" s="38"/>
      <c r="AW1197" s="38"/>
      <c r="AX1197" s="38"/>
      <c r="AY1197" s="38"/>
      <c r="AZ1197" s="29"/>
      <c r="BA1197" s="29"/>
      <c r="BB1197" s="29">
        <v>1.0</v>
      </c>
      <c r="BC1197" s="29"/>
      <c r="BD1197" s="29" t="s">
        <v>88</v>
      </c>
      <c r="BE1197" s="29"/>
      <c r="BF1197" s="29" t="s">
        <v>984</v>
      </c>
      <c r="BG1197" s="29" t="s">
        <v>572</v>
      </c>
      <c r="BH1197" s="29"/>
      <c r="BI1197" s="29" t="s">
        <v>2141</v>
      </c>
      <c r="BJ1197" s="29"/>
      <c r="BK1197" s="29"/>
      <c r="BL1197" s="29"/>
      <c r="BM1197" s="45"/>
      <c r="BN1197" s="45">
        <v>1.0</v>
      </c>
      <c r="BO1197" s="46" t="s">
        <v>984</v>
      </c>
      <c r="BP1197" s="2"/>
      <c r="BQ1197" s="3"/>
    </row>
    <row r="1198" ht="15.75" customHeight="1">
      <c r="A1198" s="34">
        <v>1213.0</v>
      </c>
      <c r="B1198" s="34">
        <v>102898.0</v>
      </c>
      <c r="C1198" s="34" t="s">
        <v>415</v>
      </c>
      <c r="D1198" s="34" t="s">
        <v>2132</v>
      </c>
      <c r="E1198" s="34" t="s">
        <v>2133</v>
      </c>
      <c r="F1198" s="34">
        <v>2019.0</v>
      </c>
      <c r="G1198" s="34" t="s">
        <v>2134</v>
      </c>
      <c r="H1198" s="34" t="s">
        <v>2135</v>
      </c>
      <c r="I1198" s="99" t="s">
        <v>2136</v>
      </c>
      <c r="J1198" s="35"/>
      <c r="K1198" s="36"/>
      <c r="L1198" s="36">
        <v>385.0</v>
      </c>
      <c r="M1198" s="36"/>
      <c r="N1198" s="36"/>
      <c r="O1198" s="36"/>
      <c r="P1198" s="37">
        <v>1.3</v>
      </c>
      <c r="Q1198" s="36"/>
      <c r="R1198" s="36"/>
      <c r="S1198" s="36"/>
      <c r="T1198" s="36" t="s">
        <v>2137</v>
      </c>
      <c r="U1198" s="36" t="s">
        <v>2138</v>
      </c>
      <c r="V1198" s="36"/>
      <c r="W1198" s="36"/>
      <c r="X1198" s="38">
        <v>1.0</v>
      </c>
      <c r="Y1198" s="38" t="s">
        <v>2150</v>
      </c>
      <c r="Z1198" s="38"/>
      <c r="AA1198" s="38"/>
      <c r="AB1198" s="38">
        <v>46.75</v>
      </c>
      <c r="AC1198" s="38">
        <v>-116.95</v>
      </c>
      <c r="AD1198" s="38" t="s">
        <v>87</v>
      </c>
      <c r="AE1198" s="38">
        <v>815.0</v>
      </c>
      <c r="AF1198" s="38" t="s">
        <v>2151</v>
      </c>
      <c r="AG1198" s="38"/>
      <c r="AH1198" s="38"/>
      <c r="AI1198" s="50">
        <v>46.75</v>
      </c>
      <c r="AJ1198" s="50">
        <v>-116.95</v>
      </c>
      <c r="AK1198" s="41" t="s">
        <v>86</v>
      </c>
      <c r="AL1198" s="40" t="s">
        <v>86</v>
      </c>
      <c r="AM1198" s="49">
        <v>827.0</v>
      </c>
      <c r="AN1198" s="51">
        <v>827.0</v>
      </c>
      <c r="AO1198" s="42" t="s">
        <v>321</v>
      </c>
      <c r="AP1198" s="43" t="s">
        <v>321</v>
      </c>
      <c r="AQ1198" s="80" t="str">
        <f t="shared" ref="AQ1198:AR1198" si="140">AL1198</f>
        <v>CRO</v>
      </c>
      <c r="AR1198" s="44">
        <f t="shared" si="140"/>
        <v>827</v>
      </c>
      <c r="AS1198" s="44" t="str">
        <f t="shared" si="132"/>
        <v>D</v>
      </c>
      <c r="AT1198" s="44" t="str">
        <f t="shared" si="114"/>
        <v>Ds</v>
      </c>
      <c r="AU1198" s="44" t="str">
        <f t="shared" si="115"/>
        <v>Dsb</v>
      </c>
      <c r="AV1198" s="38"/>
      <c r="AW1198" s="38"/>
      <c r="AX1198" s="38"/>
      <c r="AY1198" s="38"/>
      <c r="AZ1198" s="29"/>
      <c r="BA1198" s="29"/>
      <c r="BB1198" s="29">
        <v>1.0</v>
      </c>
      <c r="BC1198" s="29"/>
      <c r="BD1198" s="29" t="s">
        <v>88</v>
      </c>
      <c r="BE1198" s="29"/>
      <c r="BF1198" s="29" t="s">
        <v>984</v>
      </c>
      <c r="BG1198" s="29" t="s">
        <v>572</v>
      </c>
      <c r="BH1198" s="29"/>
      <c r="BI1198" s="29" t="s">
        <v>2141</v>
      </c>
      <c r="BJ1198" s="29"/>
      <c r="BK1198" s="29"/>
      <c r="BL1198" s="29"/>
      <c r="BM1198" s="45"/>
      <c r="BN1198" s="45">
        <v>1.0</v>
      </c>
      <c r="BO1198" s="46" t="s">
        <v>984</v>
      </c>
      <c r="BP1198" s="2"/>
      <c r="BQ1198" s="3"/>
    </row>
    <row r="1199" ht="15.75" customHeight="1">
      <c r="A1199" s="34">
        <v>1214.0</v>
      </c>
      <c r="B1199" s="34">
        <v>102898.0</v>
      </c>
      <c r="C1199" s="34" t="s">
        <v>415</v>
      </c>
      <c r="D1199" s="34" t="s">
        <v>2132</v>
      </c>
      <c r="E1199" s="34" t="s">
        <v>2133</v>
      </c>
      <c r="F1199" s="34">
        <v>2019.0</v>
      </c>
      <c r="G1199" s="34" t="s">
        <v>2134</v>
      </c>
      <c r="H1199" s="34" t="s">
        <v>2135</v>
      </c>
      <c r="I1199" s="99" t="s">
        <v>2136</v>
      </c>
      <c r="J1199" s="35"/>
      <c r="K1199" s="36"/>
      <c r="L1199" s="36">
        <v>438.0</v>
      </c>
      <c r="M1199" s="36"/>
      <c r="N1199" s="36"/>
      <c r="O1199" s="36"/>
      <c r="P1199" s="37">
        <v>7.3</v>
      </c>
      <c r="Q1199" s="36"/>
      <c r="R1199" s="36"/>
      <c r="S1199" s="36"/>
      <c r="T1199" s="36" t="s">
        <v>2142</v>
      </c>
      <c r="U1199" s="36" t="s">
        <v>2143</v>
      </c>
      <c r="V1199" s="36"/>
      <c r="W1199" s="36"/>
      <c r="X1199" s="38">
        <v>1.0</v>
      </c>
      <c r="Y1199" s="38" t="s">
        <v>2150</v>
      </c>
      <c r="Z1199" s="38"/>
      <c r="AA1199" s="38"/>
      <c r="AB1199" s="38">
        <v>46.75</v>
      </c>
      <c r="AC1199" s="38">
        <v>-116.95</v>
      </c>
      <c r="AD1199" s="38" t="s">
        <v>87</v>
      </c>
      <c r="AE1199" s="38">
        <v>815.0</v>
      </c>
      <c r="AF1199" s="38" t="s">
        <v>2152</v>
      </c>
      <c r="AG1199" s="38"/>
      <c r="AH1199" s="38"/>
      <c r="AI1199" s="50">
        <v>46.75</v>
      </c>
      <c r="AJ1199" s="50">
        <v>-116.95</v>
      </c>
      <c r="AK1199" s="41" t="s">
        <v>86</v>
      </c>
      <c r="AL1199" s="40" t="s">
        <v>86</v>
      </c>
      <c r="AM1199" s="49">
        <v>827.0</v>
      </c>
      <c r="AN1199" s="51">
        <v>827.0</v>
      </c>
      <c r="AO1199" s="42" t="s">
        <v>321</v>
      </c>
      <c r="AP1199" s="43" t="s">
        <v>321</v>
      </c>
      <c r="AQ1199" s="80" t="str">
        <f t="shared" ref="AQ1199:AR1199" si="141">AL1199</f>
        <v>CRO</v>
      </c>
      <c r="AR1199" s="44">
        <f t="shared" si="141"/>
        <v>827</v>
      </c>
      <c r="AS1199" s="44" t="str">
        <f t="shared" si="132"/>
        <v>D</v>
      </c>
      <c r="AT1199" s="44" t="str">
        <f t="shared" si="114"/>
        <v>Ds</v>
      </c>
      <c r="AU1199" s="44" t="str">
        <f t="shared" si="115"/>
        <v>Dsb</v>
      </c>
      <c r="AV1199" s="38"/>
      <c r="AW1199" s="38"/>
      <c r="AX1199" s="38"/>
      <c r="AY1199" s="38"/>
      <c r="AZ1199" s="29"/>
      <c r="BA1199" s="29"/>
      <c r="BB1199" s="29">
        <v>1.0</v>
      </c>
      <c r="BC1199" s="29"/>
      <c r="BD1199" s="29" t="s">
        <v>88</v>
      </c>
      <c r="BE1199" s="29"/>
      <c r="BF1199" s="29" t="s">
        <v>984</v>
      </c>
      <c r="BG1199" s="29" t="s">
        <v>572</v>
      </c>
      <c r="BH1199" s="29"/>
      <c r="BI1199" s="29" t="s">
        <v>2141</v>
      </c>
      <c r="BJ1199" s="29"/>
      <c r="BK1199" s="29"/>
      <c r="BL1199" s="29"/>
      <c r="BM1199" s="45"/>
      <c r="BN1199" s="45">
        <v>1.0</v>
      </c>
      <c r="BO1199" s="46" t="s">
        <v>984</v>
      </c>
      <c r="BP1199" s="2"/>
      <c r="BQ1199" s="3"/>
    </row>
    <row r="1200" ht="15.75" customHeight="1">
      <c r="A1200" s="34">
        <v>1215.0</v>
      </c>
      <c r="B1200" s="34">
        <v>102898.0</v>
      </c>
      <c r="C1200" s="34" t="s">
        <v>415</v>
      </c>
      <c r="D1200" s="34" t="s">
        <v>2132</v>
      </c>
      <c r="E1200" s="34" t="s">
        <v>2133</v>
      </c>
      <c r="F1200" s="34">
        <v>2019.0</v>
      </c>
      <c r="G1200" s="34" t="s">
        <v>2134</v>
      </c>
      <c r="H1200" s="34" t="s">
        <v>2135</v>
      </c>
      <c r="I1200" s="99" t="s">
        <v>2136</v>
      </c>
      <c r="J1200" s="35"/>
      <c r="K1200" s="36"/>
      <c r="L1200" s="36">
        <v>433.0</v>
      </c>
      <c r="M1200" s="36"/>
      <c r="N1200" s="36"/>
      <c r="O1200" s="36"/>
      <c r="P1200" s="37">
        <v>13.2</v>
      </c>
      <c r="Q1200" s="36"/>
      <c r="R1200" s="36"/>
      <c r="S1200" s="36"/>
      <c r="T1200" s="36" t="s">
        <v>2144</v>
      </c>
      <c r="U1200" s="36" t="s">
        <v>2145</v>
      </c>
      <c r="V1200" s="36"/>
      <c r="W1200" s="36"/>
      <c r="X1200" s="38">
        <v>1.0</v>
      </c>
      <c r="Y1200" s="38" t="s">
        <v>2150</v>
      </c>
      <c r="Z1200" s="38"/>
      <c r="AA1200" s="38"/>
      <c r="AB1200" s="38">
        <v>46.75</v>
      </c>
      <c r="AC1200" s="38">
        <v>-116.95</v>
      </c>
      <c r="AD1200" s="38" t="s">
        <v>87</v>
      </c>
      <c r="AE1200" s="38">
        <v>815.0</v>
      </c>
      <c r="AF1200" s="38" t="s">
        <v>423</v>
      </c>
      <c r="AG1200" s="38"/>
      <c r="AH1200" s="38"/>
      <c r="AI1200" s="50">
        <v>46.75</v>
      </c>
      <c r="AJ1200" s="50">
        <v>-116.95</v>
      </c>
      <c r="AK1200" s="41" t="s">
        <v>86</v>
      </c>
      <c r="AL1200" s="40" t="s">
        <v>86</v>
      </c>
      <c r="AM1200" s="49">
        <v>827.0</v>
      </c>
      <c r="AN1200" s="51">
        <v>827.0</v>
      </c>
      <c r="AO1200" s="42" t="s">
        <v>321</v>
      </c>
      <c r="AP1200" s="43" t="s">
        <v>321</v>
      </c>
      <c r="AQ1200" s="80" t="str">
        <f t="shared" ref="AQ1200:AR1200" si="142">AL1200</f>
        <v>CRO</v>
      </c>
      <c r="AR1200" s="44">
        <f t="shared" si="142"/>
        <v>827</v>
      </c>
      <c r="AS1200" s="44" t="str">
        <f t="shared" si="132"/>
        <v>D</v>
      </c>
      <c r="AT1200" s="44" t="str">
        <f t="shared" si="114"/>
        <v>Ds</v>
      </c>
      <c r="AU1200" s="44" t="str">
        <f t="shared" si="115"/>
        <v>Dsb</v>
      </c>
      <c r="AV1200" s="38"/>
      <c r="AW1200" s="38"/>
      <c r="AX1200" s="38"/>
      <c r="AY1200" s="38"/>
      <c r="AZ1200" s="29"/>
      <c r="BA1200" s="29"/>
      <c r="BB1200" s="29">
        <v>1.0</v>
      </c>
      <c r="BC1200" s="29"/>
      <c r="BD1200" s="29" t="s">
        <v>88</v>
      </c>
      <c r="BE1200" s="29"/>
      <c r="BF1200" s="29" t="s">
        <v>984</v>
      </c>
      <c r="BG1200" s="29" t="s">
        <v>572</v>
      </c>
      <c r="BH1200" s="29"/>
      <c r="BI1200" s="29" t="s">
        <v>2141</v>
      </c>
      <c r="BJ1200" s="29"/>
      <c r="BK1200" s="29"/>
      <c r="BL1200" s="29"/>
      <c r="BM1200" s="45"/>
      <c r="BN1200" s="45">
        <v>1.0</v>
      </c>
      <c r="BO1200" s="46" t="s">
        <v>984</v>
      </c>
      <c r="BP1200" s="2"/>
      <c r="BQ1200" s="3"/>
    </row>
    <row r="1201" ht="15.75" customHeight="1">
      <c r="A1201" s="34">
        <v>1218.0</v>
      </c>
      <c r="B1201" s="34">
        <v>103045.0</v>
      </c>
      <c r="C1201" s="34" t="s">
        <v>832</v>
      </c>
      <c r="D1201" s="34" t="s">
        <v>2153</v>
      </c>
      <c r="E1201" s="34" t="s">
        <v>2154</v>
      </c>
      <c r="F1201" s="34">
        <v>2018.0</v>
      </c>
      <c r="G1201" s="34" t="s">
        <v>2155</v>
      </c>
      <c r="H1201" s="34" t="s">
        <v>816</v>
      </c>
      <c r="I1201" s="34" t="s">
        <v>2156</v>
      </c>
      <c r="J1201" s="35"/>
      <c r="K1201" s="36"/>
      <c r="L1201" s="36"/>
      <c r="M1201" s="36"/>
      <c r="N1201" s="36"/>
      <c r="O1201" s="36"/>
      <c r="P1201" s="37">
        <v>-4.0</v>
      </c>
      <c r="Q1201" s="36"/>
      <c r="R1201" s="36" t="s">
        <v>96</v>
      </c>
      <c r="S1201" s="36">
        <v>30.0</v>
      </c>
      <c r="T1201" s="36" t="s">
        <v>2157</v>
      </c>
      <c r="U1201" s="36" t="s">
        <v>2158</v>
      </c>
      <c r="V1201" s="36">
        <v>16.0</v>
      </c>
      <c r="W1201" s="36"/>
      <c r="X1201" s="38">
        <v>1.0</v>
      </c>
      <c r="Y1201" s="38" t="s">
        <v>533</v>
      </c>
      <c r="Z1201" s="38" t="s">
        <v>534</v>
      </c>
      <c r="AA1201" s="38" t="s">
        <v>86</v>
      </c>
      <c r="AB1201" s="38">
        <v>38.1159</v>
      </c>
      <c r="AC1201" s="38">
        <v>-121.6467</v>
      </c>
      <c r="AD1201" s="38" t="s">
        <v>87</v>
      </c>
      <c r="AE1201" s="38">
        <v>-9.0</v>
      </c>
      <c r="AF1201" s="38" t="s">
        <v>2159</v>
      </c>
      <c r="AG1201" s="38" t="s">
        <v>175</v>
      </c>
      <c r="AH1201" s="38">
        <v>2.8</v>
      </c>
      <c r="AI1201" s="50">
        <v>38.1159</v>
      </c>
      <c r="AJ1201" s="50">
        <v>-121.6467</v>
      </c>
      <c r="AK1201" s="41" t="s">
        <v>86</v>
      </c>
      <c r="AL1201" s="40" t="s">
        <v>86</v>
      </c>
      <c r="AM1201" s="49">
        <v>-3.0</v>
      </c>
      <c r="AN1201" s="51">
        <v>-3.0</v>
      </c>
      <c r="AO1201" s="42" t="s">
        <v>175</v>
      </c>
      <c r="AP1201" s="43" t="s">
        <v>175</v>
      </c>
      <c r="AQ1201" s="44" t="str">
        <f t="shared" ref="AQ1201:AQ1221" si="143">AA1201</f>
        <v>CRO</v>
      </c>
      <c r="AR1201" s="44">
        <f t="shared" ref="AR1201:AR1646" si="144">AM1201</f>
        <v>-3</v>
      </c>
      <c r="AS1201" s="44" t="str">
        <f t="shared" si="132"/>
        <v>C</v>
      </c>
      <c r="AT1201" s="44" t="str">
        <f t="shared" si="114"/>
        <v>Cs</v>
      </c>
      <c r="AU1201" s="44" t="str">
        <f t="shared" si="115"/>
        <v>Csa</v>
      </c>
      <c r="AV1201" s="38"/>
      <c r="AW1201" s="38"/>
      <c r="AX1201" s="38"/>
      <c r="AY1201" s="38"/>
      <c r="AZ1201" s="29">
        <v>30.0</v>
      </c>
      <c r="BA1201" s="29">
        <v>1.0</v>
      </c>
      <c r="BB1201" s="29">
        <v>1.0</v>
      </c>
      <c r="BC1201" s="29"/>
      <c r="BD1201" s="29" t="s">
        <v>88</v>
      </c>
      <c r="BE1201" s="29" t="s">
        <v>89</v>
      </c>
      <c r="BF1201" s="29" t="s">
        <v>984</v>
      </c>
      <c r="BG1201" s="29" t="s">
        <v>572</v>
      </c>
      <c r="BH1201" s="29" t="s">
        <v>88</v>
      </c>
      <c r="BI1201" s="29" t="s">
        <v>2160</v>
      </c>
      <c r="BJ1201" s="29" t="s">
        <v>2161</v>
      </c>
      <c r="BK1201" s="29" t="s">
        <v>180</v>
      </c>
      <c r="BL1201" s="29" t="s">
        <v>180</v>
      </c>
      <c r="BM1201" s="45"/>
      <c r="BN1201" s="45">
        <v>1.0</v>
      </c>
      <c r="BO1201" s="46" t="s">
        <v>984</v>
      </c>
      <c r="BP1201" s="2"/>
      <c r="BQ1201" s="3"/>
    </row>
    <row r="1202" ht="15.75" customHeight="1">
      <c r="A1202" s="34">
        <v>1219.0</v>
      </c>
      <c r="B1202" s="34">
        <v>103045.0</v>
      </c>
      <c r="C1202" s="34" t="s">
        <v>832</v>
      </c>
      <c r="D1202" s="34" t="s">
        <v>2153</v>
      </c>
      <c r="E1202" s="34" t="s">
        <v>2154</v>
      </c>
      <c r="F1202" s="34">
        <v>2018.0</v>
      </c>
      <c r="G1202" s="34" t="s">
        <v>2155</v>
      </c>
      <c r="H1202" s="34" t="s">
        <v>816</v>
      </c>
      <c r="I1202" s="34" t="s">
        <v>2156</v>
      </c>
      <c r="J1202" s="35"/>
      <c r="K1202" s="36"/>
      <c r="L1202" s="36"/>
      <c r="M1202" s="36"/>
      <c r="N1202" s="36"/>
      <c r="O1202" s="36"/>
      <c r="P1202" s="37">
        <v>18.0</v>
      </c>
      <c r="Q1202" s="36"/>
      <c r="R1202" s="36" t="s">
        <v>96</v>
      </c>
      <c r="S1202" s="36">
        <v>30.0</v>
      </c>
      <c r="T1202" s="36" t="s">
        <v>2157</v>
      </c>
      <c r="U1202" s="36" t="s">
        <v>2158</v>
      </c>
      <c r="V1202" s="36">
        <v>16.0</v>
      </c>
      <c r="W1202" s="36"/>
      <c r="X1202" s="38">
        <v>1.0</v>
      </c>
      <c r="Y1202" s="38" t="s">
        <v>533</v>
      </c>
      <c r="Z1202" s="38" t="s">
        <v>534</v>
      </c>
      <c r="AA1202" s="38" t="s">
        <v>86</v>
      </c>
      <c r="AB1202" s="38">
        <v>38.1159</v>
      </c>
      <c r="AC1202" s="38">
        <v>-121.6467</v>
      </c>
      <c r="AD1202" s="38" t="s">
        <v>87</v>
      </c>
      <c r="AE1202" s="38">
        <v>-9.0</v>
      </c>
      <c r="AF1202" s="38" t="s">
        <v>2159</v>
      </c>
      <c r="AG1202" s="38" t="s">
        <v>175</v>
      </c>
      <c r="AH1202" s="38">
        <v>2.8</v>
      </c>
      <c r="AI1202" s="50">
        <v>38.1159</v>
      </c>
      <c r="AJ1202" s="50">
        <v>-121.6467</v>
      </c>
      <c r="AK1202" s="41" t="s">
        <v>86</v>
      </c>
      <c r="AL1202" s="40" t="s">
        <v>86</v>
      </c>
      <c r="AM1202" s="49">
        <v>-3.0</v>
      </c>
      <c r="AN1202" s="51">
        <v>-3.0</v>
      </c>
      <c r="AO1202" s="42" t="s">
        <v>175</v>
      </c>
      <c r="AP1202" s="43" t="s">
        <v>175</v>
      </c>
      <c r="AQ1202" s="44" t="str">
        <f t="shared" si="143"/>
        <v>CRO</v>
      </c>
      <c r="AR1202" s="44">
        <f t="shared" si="144"/>
        <v>-3</v>
      </c>
      <c r="AS1202" s="44" t="str">
        <f t="shared" si="132"/>
        <v>C</v>
      </c>
      <c r="AT1202" s="44" t="str">
        <f t="shared" si="114"/>
        <v>Cs</v>
      </c>
      <c r="AU1202" s="44" t="str">
        <f t="shared" si="115"/>
        <v>Csa</v>
      </c>
      <c r="AV1202" s="38"/>
      <c r="AW1202" s="38"/>
      <c r="AX1202" s="38"/>
      <c r="AY1202" s="38"/>
      <c r="AZ1202" s="29">
        <v>30.0</v>
      </c>
      <c r="BA1202" s="29">
        <v>1.0</v>
      </c>
      <c r="BB1202" s="29">
        <v>1.0</v>
      </c>
      <c r="BC1202" s="29"/>
      <c r="BD1202" s="29" t="s">
        <v>88</v>
      </c>
      <c r="BE1202" s="29" t="s">
        <v>263</v>
      </c>
      <c r="BF1202" s="29" t="s">
        <v>984</v>
      </c>
      <c r="BG1202" s="29" t="s">
        <v>572</v>
      </c>
      <c r="BH1202" s="29" t="s">
        <v>88</v>
      </c>
      <c r="BI1202" s="29" t="s">
        <v>2160</v>
      </c>
      <c r="BJ1202" s="29" t="s">
        <v>2161</v>
      </c>
      <c r="BK1202" s="29" t="s">
        <v>180</v>
      </c>
      <c r="BL1202" s="29" t="s">
        <v>180</v>
      </c>
      <c r="BM1202" s="45"/>
      <c r="BN1202" s="45">
        <v>1.0</v>
      </c>
      <c r="BO1202" s="46" t="s">
        <v>984</v>
      </c>
      <c r="BP1202" s="2"/>
      <c r="BQ1202" s="3"/>
    </row>
    <row r="1203" ht="15.75" customHeight="1">
      <c r="A1203" s="34">
        <v>1220.0</v>
      </c>
      <c r="B1203" s="34">
        <v>103045.0</v>
      </c>
      <c r="C1203" s="34" t="s">
        <v>832</v>
      </c>
      <c r="D1203" s="34" t="s">
        <v>2153</v>
      </c>
      <c r="E1203" s="34" t="s">
        <v>2154</v>
      </c>
      <c r="F1203" s="34">
        <v>2018.0</v>
      </c>
      <c r="G1203" s="34" t="s">
        <v>2155</v>
      </c>
      <c r="H1203" s="34" t="s">
        <v>816</v>
      </c>
      <c r="I1203" s="34" t="s">
        <v>2156</v>
      </c>
      <c r="J1203" s="35"/>
      <c r="K1203" s="36"/>
      <c r="L1203" s="36"/>
      <c r="M1203" s="36"/>
      <c r="N1203" s="36"/>
      <c r="O1203" s="36"/>
      <c r="P1203" s="37">
        <v>-25.0</v>
      </c>
      <c r="Q1203" s="36"/>
      <c r="R1203" s="36" t="s">
        <v>96</v>
      </c>
      <c r="S1203" s="36">
        <v>30.0</v>
      </c>
      <c r="T1203" s="36" t="s">
        <v>2157</v>
      </c>
      <c r="U1203" s="36" t="s">
        <v>2158</v>
      </c>
      <c r="V1203" s="36">
        <v>16.0</v>
      </c>
      <c r="W1203" s="36"/>
      <c r="X1203" s="38">
        <v>1.0</v>
      </c>
      <c r="Y1203" s="38" t="s">
        <v>533</v>
      </c>
      <c r="Z1203" s="38" t="s">
        <v>534</v>
      </c>
      <c r="AA1203" s="38" t="s">
        <v>86</v>
      </c>
      <c r="AB1203" s="38">
        <v>38.1159</v>
      </c>
      <c r="AC1203" s="38">
        <v>-121.6467</v>
      </c>
      <c r="AD1203" s="38" t="s">
        <v>87</v>
      </c>
      <c r="AE1203" s="38">
        <v>-9.0</v>
      </c>
      <c r="AF1203" s="38" t="s">
        <v>2159</v>
      </c>
      <c r="AG1203" s="38" t="s">
        <v>175</v>
      </c>
      <c r="AH1203" s="38">
        <v>2.8</v>
      </c>
      <c r="AI1203" s="50">
        <v>38.1159</v>
      </c>
      <c r="AJ1203" s="50">
        <v>-121.6467</v>
      </c>
      <c r="AK1203" s="41" t="s">
        <v>86</v>
      </c>
      <c r="AL1203" s="40" t="s">
        <v>86</v>
      </c>
      <c r="AM1203" s="49">
        <v>-3.0</v>
      </c>
      <c r="AN1203" s="51">
        <v>-3.0</v>
      </c>
      <c r="AO1203" s="42" t="s">
        <v>175</v>
      </c>
      <c r="AP1203" s="43" t="s">
        <v>175</v>
      </c>
      <c r="AQ1203" s="44" t="str">
        <f t="shared" si="143"/>
        <v>CRO</v>
      </c>
      <c r="AR1203" s="44">
        <f t="shared" si="144"/>
        <v>-3</v>
      </c>
      <c r="AS1203" s="44" t="str">
        <f t="shared" si="132"/>
        <v>C</v>
      </c>
      <c r="AT1203" s="44" t="str">
        <f t="shared" si="114"/>
        <v>Cs</v>
      </c>
      <c r="AU1203" s="44" t="str">
        <f t="shared" si="115"/>
        <v>Csa</v>
      </c>
      <c r="AV1203" s="38"/>
      <c r="AW1203" s="38"/>
      <c r="AX1203" s="38"/>
      <c r="AY1203" s="38"/>
      <c r="AZ1203" s="29">
        <v>30.0</v>
      </c>
      <c r="BA1203" s="29">
        <v>1.0</v>
      </c>
      <c r="BB1203" s="29">
        <v>1.0</v>
      </c>
      <c r="BC1203" s="29"/>
      <c r="BD1203" s="29" t="s">
        <v>88</v>
      </c>
      <c r="BE1203" s="29" t="s">
        <v>263</v>
      </c>
      <c r="BF1203" s="29" t="s">
        <v>2162</v>
      </c>
      <c r="BG1203" s="29" t="s">
        <v>572</v>
      </c>
      <c r="BH1203" s="29" t="s">
        <v>88</v>
      </c>
      <c r="BI1203" s="29" t="s">
        <v>2160</v>
      </c>
      <c r="BJ1203" s="29" t="s">
        <v>2161</v>
      </c>
      <c r="BK1203" s="29" t="s">
        <v>180</v>
      </c>
      <c r="BL1203" s="29" t="s">
        <v>180</v>
      </c>
      <c r="BM1203" s="45"/>
      <c r="BN1203" s="45">
        <v>1.0</v>
      </c>
      <c r="BO1203" s="46" t="s">
        <v>984</v>
      </c>
      <c r="BP1203" s="2"/>
      <c r="BQ1203" s="3"/>
    </row>
    <row r="1204" ht="15.75" customHeight="1">
      <c r="A1204" s="34">
        <v>1221.0</v>
      </c>
      <c r="B1204" s="34">
        <v>103045.0</v>
      </c>
      <c r="C1204" s="34" t="s">
        <v>832</v>
      </c>
      <c r="D1204" s="34" t="s">
        <v>2153</v>
      </c>
      <c r="E1204" s="34" t="s">
        <v>2154</v>
      </c>
      <c r="F1204" s="34">
        <v>2018.0</v>
      </c>
      <c r="G1204" s="34" t="s">
        <v>2155</v>
      </c>
      <c r="H1204" s="34" t="s">
        <v>816</v>
      </c>
      <c r="I1204" s="34" t="s">
        <v>2156</v>
      </c>
      <c r="J1204" s="35"/>
      <c r="K1204" s="36"/>
      <c r="L1204" s="36"/>
      <c r="M1204" s="36"/>
      <c r="N1204" s="36"/>
      <c r="O1204" s="36"/>
      <c r="P1204" s="37">
        <v>-4.0</v>
      </c>
      <c r="Q1204" s="36"/>
      <c r="R1204" s="36" t="s">
        <v>96</v>
      </c>
      <c r="S1204" s="36">
        <v>30.0</v>
      </c>
      <c r="T1204" s="36" t="s">
        <v>2157</v>
      </c>
      <c r="U1204" s="36" t="s">
        <v>2158</v>
      </c>
      <c r="V1204" s="36">
        <v>16.0</v>
      </c>
      <c r="W1204" s="36"/>
      <c r="X1204" s="38">
        <v>1.0</v>
      </c>
      <c r="Y1204" s="38" t="s">
        <v>533</v>
      </c>
      <c r="Z1204" s="38" t="s">
        <v>534</v>
      </c>
      <c r="AA1204" s="38" t="s">
        <v>86</v>
      </c>
      <c r="AB1204" s="38">
        <v>38.1159</v>
      </c>
      <c r="AC1204" s="38">
        <v>-121.6467</v>
      </c>
      <c r="AD1204" s="38" t="s">
        <v>87</v>
      </c>
      <c r="AE1204" s="38">
        <v>-9.0</v>
      </c>
      <c r="AF1204" s="38" t="s">
        <v>2159</v>
      </c>
      <c r="AG1204" s="38" t="s">
        <v>175</v>
      </c>
      <c r="AH1204" s="38">
        <v>2.8</v>
      </c>
      <c r="AI1204" s="50">
        <v>38.1159</v>
      </c>
      <c r="AJ1204" s="50">
        <v>-121.6467</v>
      </c>
      <c r="AK1204" s="41" t="s">
        <v>86</v>
      </c>
      <c r="AL1204" s="40" t="s">
        <v>86</v>
      </c>
      <c r="AM1204" s="49">
        <v>-3.0</v>
      </c>
      <c r="AN1204" s="51">
        <v>-3.0</v>
      </c>
      <c r="AO1204" s="42" t="s">
        <v>175</v>
      </c>
      <c r="AP1204" s="43" t="s">
        <v>175</v>
      </c>
      <c r="AQ1204" s="44" t="str">
        <f t="shared" si="143"/>
        <v>CRO</v>
      </c>
      <c r="AR1204" s="44">
        <f t="shared" si="144"/>
        <v>-3</v>
      </c>
      <c r="AS1204" s="44" t="str">
        <f t="shared" si="132"/>
        <v>C</v>
      </c>
      <c r="AT1204" s="44" t="str">
        <f t="shared" si="114"/>
        <v>Cs</v>
      </c>
      <c r="AU1204" s="44" t="str">
        <f t="shared" si="115"/>
        <v>Csa</v>
      </c>
      <c r="AV1204" s="38"/>
      <c r="AW1204" s="38"/>
      <c r="AX1204" s="38"/>
      <c r="AY1204" s="38"/>
      <c r="AZ1204" s="29">
        <v>30.0</v>
      </c>
      <c r="BA1204" s="29">
        <v>1.0</v>
      </c>
      <c r="BB1204" s="29">
        <v>1.0</v>
      </c>
      <c r="BC1204" s="29"/>
      <c r="BD1204" s="29" t="s">
        <v>88</v>
      </c>
      <c r="BE1204" s="29" t="s">
        <v>263</v>
      </c>
      <c r="BF1204" s="29" t="s">
        <v>2163</v>
      </c>
      <c r="BG1204" s="29" t="s">
        <v>572</v>
      </c>
      <c r="BH1204" s="29" t="s">
        <v>88</v>
      </c>
      <c r="BI1204" s="29" t="s">
        <v>2160</v>
      </c>
      <c r="BJ1204" s="29" t="s">
        <v>2161</v>
      </c>
      <c r="BK1204" s="29" t="s">
        <v>180</v>
      </c>
      <c r="BL1204" s="29" t="s">
        <v>180</v>
      </c>
      <c r="BM1204" s="45"/>
      <c r="BN1204" s="45">
        <v>1.0</v>
      </c>
      <c r="BO1204" s="46" t="s">
        <v>984</v>
      </c>
      <c r="BP1204" s="2"/>
      <c r="BQ1204" s="3"/>
    </row>
    <row r="1205" ht="15.75" customHeight="1">
      <c r="A1205" s="34">
        <v>1222.0</v>
      </c>
      <c r="B1205" s="34">
        <v>103045.0</v>
      </c>
      <c r="C1205" s="34" t="s">
        <v>832</v>
      </c>
      <c r="D1205" s="34" t="s">
        <v>2153</v>
      </c>
      <c r="E1205" s="34" t="s">
        <v>2154</v>
      </c>
      <c r="F1205" s="34">
        <v>2018.0</v>
      </c>
      <c r="G1205" s="34" t="s">
        <v>2155</v>
      </c>
      <c r="H1205" s="34" t="s">
        <v>816</v>
      </c>
      <c r="I1205" s="34" t="s">
        <v>2156</v>
      </c>
      <c r="J1205" s="35"/>
      <c r="K1205" s="36"/>
      <c r="L1205" s="36"/>
      <c r="M1205" s="36"/>
      <c r="N1205" s="36"/>
      <c r="O1205" s="36"/>
      <c r="P1205" s="37">
        <v>-1.0</v>
      </c>
      <c r="Q1205" s="36"/>
      <c r="R1205" s="36" t="s">
        <v>96</v>
      </c>
      <c r="S1205" s="36">
        <v>30.0</v>
      </c>
      <c r="T1205" s="36" t="s">
        <v>2157</v>
      </c>
      <c r="U1205" s="36" t="s">
        <v>2158</v>
      </c>
      <c r="V1205" s="36">
        <v>16.0</v>
      </c>
      <c r="W1205" s="36"/>
      <c r="X1205" s="38">
        <v>1.0</v>
      </c>
      <c r="Y1205" s="38" t="s">
        <v>533</v>
      </c>
      <c r="Z1205" s="38" t="s">
        <v>534</v>
      </c>
      <c r="AA1205" s="38" t="s">
        <v>86</v>
      </c>
      <c r="AB1205" s="38">
        <v>38.1159</v>
      </c>
      <c r="AC1205" s="38">
        <v>-121.6467</v>
      </c>
      <c r="AD1205" s="38" t="s">
        <v>87</v>
      </c>
      <c r="AE1205" s="38">
        <v>-9.0</v>
      </c>
      <c r="AF1205" s="38" t="s">
        <v>2159</v>
      </c>
      <c r="AG1205" s="38" t="s">
        <v>175</v>
      </c>
      <c r="AH1205" s="38">
        <v>2.8</v>
      </c>
      <c r="AI1205" s="50">
        <v>38.1159</v>
      </c>
      <c r="AJ1205" s="50">
        <v>-121.6467</v>
      </c>
      <c r="AK1205" s="41" t="s">
        <v>86</v>
      </c>
      <c r="AL1205" s="40" t="s">
        <v>86</v>
      </c>
      <c r="AM1205" s="49">
        <v>-3.0</v>
      </c>
      <c r="AN1205" s="51">
        <v>-3.0</v>
      </c>
      <c r="AO1205" s="42" t="s">
        <v>175</v>
      </c>
      <c r="AP1205" s="43" t="s">
        <v>175</v>
      </c>
      <c r="AQ1205" s="44" t="str">
        <f t="shared" si="143"/>
        <v>CRO</v>
      </c>
      <c r="AR1205" s="44">
        <f t="shared" si="144"/>
        <v>-3</v>
      </c>
      <c r="AS1205" s="44" t="str">
        <f t="shared" si="132"/>
        <v>C</v>
      </c>
      <c r="AT1205" s="44" t="str">
        <f t="shared" si="114"/>
        <v>Cs</v>
      </c>
      <c r="AU1205" s="44" t="str">
        <f t="shared" si="115"/>
        <v>Csa</v>
      </c>
      <c r="AV1205" s="38"/>
      <c r="AW1205" s="38"/>
      <c r="AX1205" s="38"/>
      <c r="AY1205" s="38"/>
      <c r="AZ1205" s="29">
        <v>30.0</v>
      </c>
      <c r="BA1205" s="29">
        <v>1.0</v>
      </c>
      <c r="BB1205" s="29">
        <v>1.0</v>
      </c>
      <c r="BC1205" s="29"/>
      <c r="BD1205" s="29" t="s">
        <v>88</v>
      </c>
      <c r="BE1205" s="29" t="s">
        <v>263</v>
      </c>
      <c r="BF1205" s="29" t="s">
        <v>2164</v>
      </c>
      <c r="BG1205" s="29" t="s">
        <v>572</v>
      </c>
      <c r="BH1205" s="29" t="s">
        <v>88</v>
      </c>
      <c r="BI1205" s="29" t="s">
        <v>2160</v>
      </c>
      <c r="BJ1205" s="29" t="s">
        <v>2161</v>
      </c>
      <c r="BK1205" s="29" t="s">
        <v>180</v>
      </c>
      <c r="BL1205" s="29" t="s">
        <v>180</v>
      </c>
      <c r="BM1205" s="45"/>
      <c r="BN1205" s="45">
        <v>1.0</v>
      </c>
      <c r="BO1205" s="46" t="s">
        <v>984</v>
      </c>
      <c r="BP1205" s="2"/>
      <c r="BQ1205" s="3"/>
    </row>
    <row r="1206" ht="15.75" customHeight="1">
      <c r="A1206" s="34">
        <v>1223.0</v>
      </c>
      <c r="B1206" s="34">
        <v>103045.0</v>
      </c>
      <c r="C1206" s="34" t="s">
        <v>832</v>
      </c>
      <c r="D1206" s="34" t="s">
        <v>2153</v>
      </c>
      <c r="E1206" s="34" t="s">
        <v>2154</v>
      </c>
      <c r="F1206" s="34">
        <v>2018.0</v>
      </c>
      <c r="G1206" s="34" t="s">
        <v>2155</v>
      </c>
      <c r="H1206" s="34" t="s">
        <v>816</v>
      </c>
      <c r="I1206" s="34" t="s">
        <v>2156</v>
      </c>
      <c r="J1206" s="35"/>
      <c r="K1206" s="36"/>
      <c r="L1206" s="36"/>
      <c r="M1206" s="36"/>
      <c r="N1206" s="36"/>
      <c r="O1206" s="36"/>
      <c r="P1206" s="37">
        <v>-7.0</v>
      </c>
      <c r="Q1206" s="36"/>
      <c r="R1206" s="36" t="s">
        <v>96</v>
      </c>
      <c r="S1206" s="36">
        <v>30.0</v>
      </c>
      <c r="T1206" s="36" t="s">
        <v>2165</v>
      </c>
      <c r="U1206" s="36" t="s">
        <v>2166</v>
      </c>
      <c r="V1206" s="36">
        <v>9.0</v>
      </c>
      <c r="W1206" s="36"/>
      <c r="X1206" s="38">
        <v>1.0</v>
      </c>
      <c r="Y1206" s="38" t="s">
        <v>533</v>
      </c>
      <c r="Z1206" s="38" t="s">
        <v>534</v>
      </c>
      <c r="AA1206" s="38" t="s">
        <v>86</v>
      </c>
      <c r="AB1206" s="38">
        <v>38.1159</v>
      </c>
      <c r="AC1206" s="38">
        <v>-121.6467</v>
      </c>
      <c r="AD1206" s="38" t="s">
        <v>87</v>
      </c>
      <c r="AE1206" s="38">
        <v>-9.0</v>
      </c>
      <c r="AF1206" s="38" t="s">
        <v>2159</v>
      </c>
      <c r="AG1206" s="38" t="s">
        <v>175</v>
      </c>
      <c r="AH1206" s="38">
        <v>2.8</v>
      </c>
      <c r="AI1206" s="50">
        <v>38.1159</v>
      </c>
      <c r="AJ1206" s="50">
        <v>-121.6467</v>
      </c>
      <c r="AK1206" s="41" t="s">
        <v>86</v>
      </c>
      <c r="AL1206" s="40" t="s">
        <v>86</v>
      </c>
      <c r="AM1206" s="49">
        <v>-3.0</v>
      </c>
      <c r="AN1206" s="51">
        <v>-3.0</v>
      </c>
      <c r="AO1206" s="42" t="s">
        <v>175</v>
      </c>
      <c r="AP1206" s="43" t="s">
        <v>175</v>
      </c>
      <c r="AQ1206" s="44" t="str">
        <f t="shared" si="143"/>
        <v>CRO</v>
      </c>
      <c r="AR1206" s="44">
        <f t="shared" si="144"/>
        <v>-3</v>
      </c>
      <c r="AS1206" s="44" t="str">
        <f t="shared" si="132"/>
        <v>C</v>
      </c>
      <c r="AT1206" s="44" t="str">
        <f t="shared" si="114"/>
        <v>Cs</v>
      </c>
      <c r="AU1206" s="44" t="str">
        <f t="shared" si="115"/>
        <v>Csa</v>
      </c>
      <c r="AV1206" s="38"/>
      <c r="AW1206" s="38"/>
      <c r="AX1206" s="38"/>
      <c r="AY1206" s="38"/>
      <c r="AZ1206" s="29">
        <v>30.0</v>
      </c>
      <c r="BA1206" s="29">
        <v>1.0</v>
      </c>
      <c r="BB1206" s="29">
        <v>1.0</v>
      </c>
      <c r="BC1206" s="29"/>
      <c r="BD1206" s="29" t="s">
        <v>88</v>
      </c>
      <c r="BE1206" s="29" t="s">
        <v>89</v>
      </c>
      <c r="BF1206" s="29" t="s">
        <v>984</v>
      </c>
      <c r="BG1206" s="29" t="s">
        <v>572</v>
      </c>
      <c r="BH1206" s="29" t="s">
        <v>88</v>
      </c>
      <c r="BI1206" s="29" t="s">
        <v>2160</v>
      </c>
      <c r="BJ1206" s="29" t="s">
        <v>2161</v>
      </c>
      <c r="BK1206" s="29" t="s">
        <v>180</v>
      </c>
      <c r="BL1206" s="29" t="s">
        <v>180</v>
      </c>
      <c r="BM1206" s="45"/>
      <c r="BN1206" s="45">
        <v>1.0</v>
      </c>
      <c r="BO1206" s="46" t="s">
        <v>984</v>
      </c>
      <c r="BP1206" s="2"/>
      <c r="BQ1206" s="3"/>
    </row>
    <row r="1207" ht="15.75" customHeight="1">
      <c r="A1207" s="34">
        <v>1224.0</v>
      </c>
      <c r="B1207" s="34">
        <v>103045.0</v>
      </c>
      <c r="C1207" s="34" t="s">
        <v>832</v>
      </c>
      <c r="D1207" s="34" t="s">
        <v>2153</v>
      </c>
      <c r="E1207" s="34" t="s">
        <v>2154</v>
      </c>
      <c r="F1207" s="34">
        <v>2018.0</v>
      </c>
      <c r="G1207" s="34" t="s">
        <v>2155</v>
      </c>
      <c r="H1207" s="34" t="s">
        <v>816</v>
      </c>
      <c r="I1207" s="34" t="s">
        <v>2156</v>
      </c>
      <c r="J1207" s="35"/>
      <c r="K1207" s="36"/>
      <c r="L1207" s="36"/>
      <c r="M1207" s="36"/>
      <c r="N1207" s="36"/>
      <c r="O1207" s="36"/>
      <c r="P1207" s="37">
        <v>11.0</v>
      </c>
      <c r="Q1207" s="36"/>
      <c r="R1207" s="36" t="s">
        <v>96</v>
      </c>
      <c r="S1207" s="36">
        <v>30.0</v>
      </c>
      <c r="T1207" s="36" t="s">
        <v>2165</v>
      </c>
      <c r="U1207" s="36" t="s">
        <v>2166</v>
      </c>
      <c r="V1207" s="36">
        <v>9.0</v>
      </c>
      <c r="W1207" s="36"/>
      <c r="X1207" s="38">
        <v>1.0</v>
      </c>
      <c r="Y1207" s="38" t="s">
        <v>533</v>
      </c>
      <c r="Z1207" s="38" t="s">
        <v>534</v>
      </c>
      <c r="AA1207" s="38" t="s">
        <v>86</v>
      </c>
      <c r="AB1207" s="38">
        <v>38.1159</v>
      </c>
      <c r="AC1207" s="38">
        <v>-121.6467</v>
      </c>
      <c r="AD1207" s="38" t="s">
        <v>87</v>
      </c>
      <c r="AE1207" s="38">
        <v>-9.0</v>
      </c>
      <c r="AF1207" s="38" t="s">
        <v>2159</v>
      </c>
      <c r="AG1207" s="38" t="s">
        <v>175</v>
      </c>
      <c r="AH1207" s="38">
        <v>2.8</v>
      </c>
      <c r="AI1207" s="50">
        <v>38.1159</v>
      </c>
      <c r="AJ1207" s="50">
        <v>-121.6467</v>
      </c>
      <c r="AK1207" s="41" t="s">
        <v>86</v>
      </c>
      <c r="AL1207" s="40" t="s">
        <v>86</v>
      </c>
      <c r="AM1207" s="49">
        <v>-3.0</v>
      </c>
      <c r="AN1207" s="51">
        <v>-3.0</v>
      </c>
      <c r="AO1207" s="42" t="s">
        <v>175</v>
      </c>
      <c r="AP1207" s="43" t="s">
        <v>175</v>
      </c>
      <c r="AQ1207" s="44" t="str">
        <f t="shared" si="143"/>
        <v>CRO</v>
      </c>
      <c r="AR1207" s="44">
        <f t="shared" si="144"/>
        <v>-3</v>
      </c>
      <c r="AS1207" s="44" t="str">
        <f t="shared" si="132"/>
        <v>C</v>
      </c>
      <c r="AT1207" s="44" t="str">
        <f t="shared" si="114"/>
        <v>Cs</v>
      </c>
      <c r="AU1207" s="44" t="str">
        <f t="shared" si="115"/>
        <v>Csa</v>
      </c>
      <c r="AV1207" s="38"/>
      <c r="AW1207" s="38"/>
      <c r="AX1207" s="38"/>
      <c r="AY1207" s="38"/>
      <c r="AZ1207" s="29">
        <v>30.0</v>
      </c>
      <c r="BA1207" s="29">
        <v>1.0</v>
      </c>
      <c r="BB1207" s="29">
        <v>1.0</v>
      </c>
      <c r="BC1207" s="29"/>
      <c r="BD1207" s="29" t="s">
        <v>88</v>
      </c>
      <c r="BE1207" s="29" t="s">
        <v>263</v>
      </c>
      <c r="BF1207" s="29" t="s">
        <v>984</v>
      </c>
      <c r="BG1207" s="29" t="s">
        <v>572</v>
      </c>
      <c r="BH1207" s="29" t="s">
        <v>88</v>
      </c>
      <c r="BI1207" s="29" t="s">
        <v>2160</v>
      </c>
      <c r="BJ1207" s="29" t="s">
        <v>2161</v>
      </c>
      <c r="BK1207" s="29" t="s">
        <v>180</v>
      </c>
      <c r="BL1207" s="29" t="s">
        <v>180</v>
      </c>
      <c r="BM1207" s="45"/>
      <c r="BN1207" s="45">
        <v>1.0</v>
      </c>
      <c r="BO1207" s="46" t="s">
        <v>984</v>
      </c>
      <c r="BP1207" s="2"/>
      <c r="BQ1207" s="3"/>
    </row>
    <row r="1208" ht="15.75" customHeight="1">
      <c r="A1208" s="34">
        <v>1225.0</v>
      </c>
      <c r="B1208" s="34">
        <v>103045.0</v>
      </c>
      <c r="C1208" s="34" t="s">
        <v>832</v>
      </c>
      <c r="D1208" s="34" t="s">
        <v>2153</v>
      </c>
      <c r="E1208" s="34" t="s">
        <v>2154</v>
      </c>
      <c r="F1208" s="34">
        <v>2018.0</v>
      </c>
      <c r="G1208" s="34" t="s">
        <v>2155</v>
      </c>
      <c r="H1208" s="34" t="s">
        <v>816</v>
      </c>
      <c r="I1208" s="34" t="s">
        <v>2156</v>
      </c>
      <c r="J1208" s="35"/>
      <c r="K1208" s="36"/>
      <c r="L1208" s="36"/>
      <c r="M1208" s="36"/>
      <c r="N1208" s="36"/>
      <c r="O1208" s="36"/>
      <c r="P1208" s="37">
        <v>-29.0</v>
      </c>
      <c r="Q1208" s="36"/>
      <c r="R1208" s="36" t="s">
        <v>96</v>
      </c>
      <c r="S1208" s="36">
        <v>30.0</v>
      </c>
      <c r="T1208" s="36" t="s">
        <v>2165</v>
      </c>
      <c r="U1208" s="36" t="s">
        <v>2166</v>
      </c>
      <c r="V1208" s="36">
        <v>9.0</v>
      </c>
      <c r="W1208" s="36"/>
      <c r="X1208" s="38">
        <v>1.0</v>
      </c>
      <c r="Y1208" s="38" t="s">
        <v>533</v>
      </c>
      <c r="Z1208" s="38" t="s">
        <v>534</v>
      </c>
      <c r="AA1208" s="38" t="s">
        <v>86</v>
      </c>
      <c r="AB1208" s="38">
        <v>38.1159</v>
      </c>
      <c r="AC1208" s="38">
        <v>-121.6467</v>
      </c>
      <c r="AD1208" s="38" t="s">
        <v>87</v>
      </c>
      <c r="AE1208" s="38">
        <v>-9.0</v>
      </c>
      <c r="AF1208" s="38" t="s">
        <v>2159</v>
      </c>
      <c r="AG1208" s="38" t="s">
        <v>175</v>
      </c>
      <c r="AH1208" s="38">
        <v>2.8</v>
      </c>
      <c r="AI1208" s="50">
        <v>38.1159</v>
      </c>
      <c r="AJ1208" s="50">
        <v>-121.6467</v>
      </c>
      <c r="AK1208" s="41" t="s">
        <v>86</v>
      </c>
      <c r="AL1208" s="40" t="s">
        <v>86</v>
      </c>
      <c r="AM1208" s="49">
        <v>-3.0</v>
      </c>
      <c r="AN1208" s="51">
        <v>-3.0</v>
      </c>
      <c r="AO1208" s="42" t="s">
        <v>175</v>
      </c>
      <c r="AP1208" s="43" t="s">
        <v>175</v>
      </c>
      <c r="AQ1208" s="44" t="str">
        <f t="shared" si="143"/>
        <v>CRO</v>
      </c>
      <c r="AR1208" s="44">
        <f t="shared" si="144"/>
        <v>-3</v>
      </c>
      <c r="AS1208" s="44" t="str">
        <f t="shared" si="132"/>
        <v>C</v>
      </c>
      <c r="AT1208" s="44" t="str">
        <f t="shared" si="114"/>
        <v>Cs</v>
      </c>
      <c r="AU1208" s="44" t="str">
        <f t="shared" si="115"/>
        <v>Csa</v>
      </c>
      <c r="AV1208" s="38"/>
      <c r="AW1208" s="38"/>
      <c r="AX1208" s="38"/>
      <c r="AY1208" s="38"/>
      <c r="AZ1208" s="29">
        <v>30.0</v>
      </c>
      <c r="BA1208" s="29">
        <v>1.0</v>
      </c>
      <c r="BB1208" s="29">
        <v>1.0</v>
      </c>
      <c r="BC1208" s="29"/>
      <c r="BD1208" s="29" t="s">
        <v>88</v>
      </c>
      <c r="BE1208" s="29" t="s">
        <v>263</v>
      </c>
      <c r="BF1208" s="29" t="s">
        <v>2162</v>
      </c>
      <c r="BG1208" s="29" t="s">
        <v>572</v>
      </c>
      <c r="BH1208" s="29" t="s">
        <v>88</v>
      </c>
      <c r="BI1208" s="29" t="s">
        <v>2160</v>
      </c>
      <c r="BJ1208" s="29" t="s">
        <v>2161</v>
      </c>
      <c r="BK1208" s="29" t="s">
        <v>180</v>
      </c>
      <c r="BL1208" s="29" t="s">
        <v>180</v>
      </c>
      <c r="BM1208" s="45"/>
      <c r="BN1208" s="45">
        <v>1.0</v>
      </c>
      <c r="BO1208" s="46" t="s">
        <v>984</v>
      </c>
      <c r="BP1208" s="2"/>
      <c r="BQ1208" s="3"/>
    </row>
    <row r="1209" ht="15.75" customHeight="1">
      <c r="A1209" s="34">
        <v>1226.0</v>
      </c>
      <c r="B1209" s="34">
        <v>103045.0</v>
      </c>
      <c r="C1209" s="34" t="s">
        <v>832</v>
      </c>
      <c r="D1209" s="34" t="s">
        <v>2153</v>
      </c>
      <c r="E1209" s="34" t="s">
        <v>2154</v>
      </c>
      <c r="F1209" s="34">
        <v>2018.0</v>
      </c>
      <c r="G1209" s="34" t="s">
        <v>2155</v>
      </c>
      <c r="H1209" s="34" t="s">
        <v>816</v>
      </c>
      <c r="I1209" s="34" t="s">
        <v>2156</v>
      </c>
      <c r="J1209" s="35"/>
      <c r="K1209" s="36"/>
      <c r="L1209" s="36"/>
      <c r="M1209" s="36"/>
      <c r="N1209" s="36"/>
      <c r="O1209" s="36"/>
      <c r="P1209" s="37">
        <v>-4.0</v>
      </c>
      <c r="Q1209" s="36"/>
      <c r="R1209" s="36" t="s">
        <v>96</v>
      </c>
      <c r="S1209" s="36">
        <v>30.0</v>
      </c>
      <c r="T1209" s="36" t="s">
        <v>2165</v>
      </c>
      <c r="U1209" s="36" t="s">
        <v>2166</v>
      </c>
      <c r="V1209" s="36">
        <v>9.0</v>
      </c>
      <c r="W1209" s="36"/>
      <c r="X1209" s="38">
        <v>1.0</v>
      </c>
      <c r="Y1209" s="38" t="s">
        <v>533</v>
      </c>
      <c r="Z1209" s="38" t="s">
        <v>534</v>
      </c>
      <c r="AA1209" s="38" t="s">
        <v>86</v>
      </c>
      <c r="AB1209" s="38">
        <v>38.1159</v>
      </c>
      <c r="AC1209" s="38">
        <v>-121.6467</v>
      </c>
      <c r="AD1209" s="38" t="s">
        <v>87</v>
      </c>
      <c r="AE1209" s="38">
        <v>-9.0</v>
      </c>
      <c r="AF1209" s="38" t="s">
        <v>2159</v>
      </c>
      <c r="AG1209" s="38" t="s">
        <v>175</v>
      </c>
      <c r="AH1209" s="38">
        <v>2.8</v>
      </c>
      <c r="AI1209" s="50">
        <v>38.1159</v>
      </c>
      <c r="AJ1209" s="50">
        <v>-121.6467</v>
      </c>
      <c r="AK1209" s="41" t="s">
        <v>86</v>
      </c>
      <c r="AL1209" s="40" t="s">
        <v>86</v>
      </c>
      <c r="AM1209" s="49">
        <v>-3.0</v>
      </c>
      <c r="AN1209" s="51">
        <v>-3.0</v>
      </c>
      <c r="AO1209" s="42" t="s">
        <v>175</v>
      </c>
      <c r="AP1209" s="43" t="s">
        <v>175</v>
      </c>
      <c r="AQ1209" s="44" t="str">
        <f t="shared" si="143"/>
        <v>CRO</v>
      </c>
      <c r="AR1209" s="44">
        <f t="shared" si="144"/>
        <v>-3</v>
      </c>
      <c r="AS1209" s="44" t="str">
        <f t="shared" si="132"/>
        <v>C</v>
      </c>
      <c r="AT1209" s="44" t="str">
        <f t="shared" si="114"/>
        <v>Cs</v>
      </c>
      <c r="AU1209" s="44" t="str">
        <f t="shared" si="115"/>
        <v>Csa</v>
      </c>
      <c r="AV1209" s="38"/>
      <c r="AW1209" s="38"/>
      <c r="AX1209" s="38"/>
      <c r="AY1209" s="38"/>
      <c r="AZ1209" s="29">
        <v>30.0</v>
      </c>
      <c r="BA1209" s="29">
        <v>1.0</v>
      </c>
      <c r="BB1209" s="29">
        <v>1.0</v>
      </c>
      <c r="BC1209" s="29"/>
      <c r="BD1209" s="29" t="s">
        <v>88</v>
      </c>
      <c r="BE1209" s="29" t="s">
        <v>263</v>
      </c>
      <c r="BF1209" s="29" t="s">
        <v>2163</v>
      </c>
      <c r="BG1209" s="29" t="s">
        <v>572</v>
      </c>
      <c r="BH1209" s="29" t="s">
        <v>88</v>
      </c>
      <c r="BI1209" s="29" t="s">
        <v>2160</v>
      </c>
      <c r="BJ1209" s="29" t="s">
        <v>2161</v>
      </c>
      <c r="BK1209" s="29" t="s">
        <v>180</v>
      </c>
      <c r="BL1209" s="29" t="s">
        <v>180</v>
      </c>
      <c r="BM1209" s="45"/>
      <c r="BN1209" s="45">
        <v>1.0</v>
      </c>
      <c r="BO1209" s="46" t="s">
        <v>984</v>
      </c>
      <c r="BP1209" s="2"/>
      <c r="BQ1209" s="3"/>
    </row>
    <row r="1210" ht="15.75" customHeight="1">
      <c r="A1210" s="34">
        <v>1227.0</v>
      </c>
      <c r="B1210" s="34">
        <v>103045.0</v>
      </c>
      <c r="C1210" s="34" t="s">
        <v>832</v>
      </c>
      <c r="D1210" s="34" t="s">
        <v>2153</v>
      </c>
      <c r="E1210" s="34" t="s">
        <v>2154</v>
      </c>
      <c r="F1210" s="34">
        <v>2018.0</v>
      </c>
      <c r="G1210" s="34" t="s">
        <v>2155</v>
      </c>
      <c r="H1210" s="34" t="s">
        <v>816</v>
      </c>
      <c r="I1210" s="34" t="s">
        <v>2156</v>
      </c>
      <c r="J1210" s="35"/>
      <c r="K1210" s="36"/>
      <c r="L1210" s="36"/>
      <c r="M1210" s="36"/>
      <c r="N1210" s="36"/>
      <c r="O1210" s="36"/>
      <c r="P1210" s="37">
        <v>-14.0</v>
      </c>
      <c r="Q1210" s="36"/>
      <c r="R1210" s="36" t="s">
        <v>96</v>
      </c>
      <c r="S1210" s="36">
        <v>30.0</v>
      </c>
      <c r="T1210" s="36" t="s">
        <v>2165</v>
      </c>
      <c r="U1210" s="36" t="s">
        <v>2166</v>
      </c>
      <c r="V1210" s="36">
        <v>9.0</v>
      </c>
      <c r="W1210" s="36"/>
      <c r="X1210" s="38">
        <v>1.0</v>
      </c>
      <c r="Y1210" s="38" t="s">
        <v>533</v>
      </c>
      <c r="Z1210" s="38" t="s">
        <v>534</v>
      </c>
      <c r="AA1210" s="38" t="s">
        <v>86</v>
      </c>
      <c r="AB1210" s="38">
        <v>38.1159</v>
      </c>
      <c r="AC1210" s="38">
        <v>-121.6467</v>
      </c>
      <c r="AD1210" s="38" t="s">
        <v>87</v>
      </c>
      <c r="AE1210" s="38">
        <v>-9.0</v>
      </c>
      <c r="AF1210" s="38" t="s">
        <v>2159</v>
      </c>
      <c r="AG1210" s="38" t="s">
        <v>175</v>
      </c>
      <c r="AH1210" s="38">
        <v>2.8</v>
      </c>
      <c r="AI1210" s="50">
        <v>38.1159</v>
      </c>
      <c r="AJ1210" s="50">
        <v>-121.6467</v>
      </c>
      <c r="AK1210" s="41" t="s">
        <v>86</v>
      </c>
      <c r="AL1210" s="40" t="s">
        <v>86</v>
      </c>
      <c r="AM1210" s="49">
        <v>-3.0</v>
      </c>
      <c r="AN1210" s="51">
        <v>-3.0</v>
      </c>
      <c r="AO1210" s="42" t="s">
        <v>175</v>
      </c>
      <c r="AP1210" s="43" t="s">
        <v>175</v>
      </c>
      <c r="AQ1210" s="44" t="str">
        <f t="shared" si="143"/>
        <v>CRO</v>
      </c>
      <c r="AR1210" s="44">
        <f t="shared" si="144"/>
        <v>-3</v>
      </c>
      <c r="AS1210" s="44" t="str">
        <f t="shared" si="132"/>
        <v>C</v>
      </c>
      <c r="AT1210" s="44" t="str">
        <f t="shared" si="114"/>
        <v>Cs</v>
      </c>
      <c r="AU1210" s="44" t="str">
        <f t="shared" si="115"/>
        <v>Csa</v>
      </c>
      <c r="AV1210" s="38"/>
      <c r="AW1210" s="38"/>
      <c r="AX1210" s="38"/>
      <c r="AY1210" s="38"/>
      <c r="AZ1210" s="29">
        <v>30.0</v>
      </c>
      <c r="BA1210" s="29">
        <v>1.0</v>
      </c>
      <c r="BB1210" s="29">
        <v>1.0</v>
      </c>
      <c r="BC1210" s="29"/>
      <c r="BD1210" s="29" t="s">
        <v>88</v>
      </c>
      <c r="BE1210" s="29" t="s">
        <v>263</v>
      </c>
      <c r="BF1210" s="29" t="s">
        <v>2164</v>
      </c>
      <c r="BG1210" s="29" t="s">
        <v>572</v>
      </c>
      <c r="BH1210" s="29" t="s">
        <v>88</v>
      </c>
      <c r="BI1210" s="29" t="s">
        <v>2160</v>
      </c>
      <c r="BJ1210" s="29" t="s">
        <v>2161</v>
      </c>
      <c r="BK1210" s="29" t="s">
        <v>180</v>
      </c>
      <c r="BL1210" s="29" t="s">
        <v>180</v>
      </c>
      <c r="BM1210" s="45"/>
      <c r="BN1210" s="45">
        <v>1.0</v>
      </c>
      <c r="BO1210" s="46" t="s">
        <v>984</v>
      </c>
      <c r="BP1210" s="2"/>
      <c r="BQ1210" s="3"/>
    </row>
    <row r="1211" ht="15.75" customHeight="1">
      <c r="A1211" s="34">
        <v>1228.0</v>
      </c>
      <c r="B1211" s="34">
        <v>103045.0</v>
      </c>
      <c r="C1211" s="34" t="s">
        <v>832</v>
      </c>
      <c r="D1211" s="34" t="s">
        <v>2153</v>
      </c>
      <c r="E1211" s="34" t="s">
        <v>2154</v>
      </c>
      <c r="F1211" s="34">
        <v>2018.0</v>
      </c>
      <c r="G1211" s="34" t="s">
        <v>2155</v>
      </c>
      <c r="H1211" s="34" t="s">
        <v>816</v>
      </c>
      <c r="I1211" s="34" t="s">
        <v>2156</v>
      </c>
      <c r="J1211" s="35"/>
      <c r="K1211" s="36"/>
      <c r="L1211" s="36"/>
      <c r="M1211" s="36"/>
      <c r="N1211" s="36"/>
      <c r="O1211" s="36"/>
      <c r="P1211" s="37">
        <v>-9.0</v>
      </c>
      <c r="Q1211" s="36"/>
      <c r="R1211" s="36" t="s">
        <v>96</v>
      </c>
      <c r="S1211" s="36">
        <v>30.0</v>
      </c>
      <c r="T1211" s="36" t="s">
        <v>2167</v>
      </c>
      <c r="U1211" s="36" t="s">
        <v>2168</v>
      </c>
      <c r="V1211" s="36">
        <v>17.0</v>
      </c>
      <c r="W1211" s="36"/>
      <c r="X1211" s="38">
        <v>1.0</v>
      </c>
      <c r="Y1211" s="38" t="s">
        <v>533</v>
      </c>
      <c r="Z1211" s="38" t="s">
        <v>534</v>
      </c>
      <c r="AA1211" s="38" t="s">
        <v>86</v>
      </c>
      <c r="AB1211" s="38">
        <v>38.1159</v>
      </c>
      <c r="AC1211" s="38">
        <v>-121.6467</v>
      </c>
      <c r="AD1211" s="38" t="s">
        <v>87</v>
      </c>
      <c r="AE1211" s="38">
        <v>-9.0</v>
      </c>
      <c r="AF1211" s="38" t="s">
        <v>2159</v>
      </c>
      <c r="AG1211" s="38" t="s">
        <v>175</v>
      </c>
      <c r="AH1211" s="38">
        <v>2.8</v>
      </c>
      <c r="AI1211" s="50">
        <v>38.1159</v>
      </c>
      <c r="AJ1211" s="50">
        <v>-121.6467</v>
      </c>
      <c r="AK1211" s="41" t="s">
        <v>86</v>
      </c>
      <c r="AL1211" s="40" t="s">
        <v>86</v>
      </c>
      <c r="AM1211" s="49">
        <v>-3.0</v>
      </c>
      <c r="AN1211" s="51">
        <v>-3.0</v>
      </c>
      <c r="AO1211" s="42" t="s">
        <v>175</v>
      </c>
      <c r="AP1211" s="43" t="s">
        <v>175</v>
      </c>
      <c r="AQ1211" s="44" t="str">
        <f t="shared" si="143"/>
        <v>CRO</v>
      </c>
      <c r="AR1211" s="44">
        <f t="shared" si="144"/>
        <v>-3</v>
      </c>
      <c r="AS1211" s="44" t="str">
        <f t="shared" si="132"/>
        <v>C</v>
      </c>
      <c r="AT1211" s="44" t="str">
        <f t="shared" si="114"/>
        <v>Cs</v>
      </c>
      <c r="AU1211" s="44" t="str">
        <f t="shared" si="115"/>
        <v>Csa</v>
      </c>
      <c r="AV1211" s="38"/>
      <c r="AW1211" s="38"/>
      <c r="AX1211" s="38"/>
      <c r="AY1211" s="38"/>
      <c r="AZ1211" s="29">
        <v>30.0</v>
      </c>
      <c r="BA1211" s="29">
        <v>1.0</v>
      </c>
      <c r="BB1211" s="29">
        <v>1.0</v>
      </c>
      <c r="BC1211" s="29"/>
      <c r="BD1211" s="29" t="s">
        <v>88</v>
      </c>
      <c r="BE1211" s="29" t="s">
        <v>89</v>
      </c>
      <c r="BF1211" s="29" t="s">
        <v>984</v>
      </c>
      <c r="BG1211" s="29" t="s">
        <v>572</v>
      </c>
      <c r="BH1211" s="29" t="s">
        <v>88</v>
      </c>
      <c r="BI1211" s="29" t="s">
        <v>2160</v>
      </c>
      <c r="BJ1211" s="29" t="s">
        <v>2161</v>
      </c>
      <c r="BK1211" s="29" t="s">
        <v>180</v>
      </c>
      <c r="BL1211" s="29" t="s">
        <v>180</v>
      </c>
      <c r="BM1211" s="45"/>
      <c r="BN1211" s="45">
        <v>1.0</v>
      </c>
      <c r="BO1211" s="46" t="s">
        <v>984</v>
      </c>
      <c r="BP1211" s="2"/>
      <c r="BQ1211" s="3"/>
    </row>
    <row r="1212" ht="15.75" customHeight="1">
      <c r="A1212" s="34">
        <v>1229.0</v>
      </c>
      <c r="B1212" s="34">
        <v>103045.0</v>
      </c>
      <c r="C1212" s="34" t="s">
        <v>832</v>
      </c>
      <c r="D1212" s="34" t="s">
        <v>2153</v>
      </c>
      <c r="E1212" s="34" t="s">
        <v>2154</v>
      </c>
      <c r="F1212" s="34">
        <v>2018.0</v>
      </c>
      <c r="G1212" s="34" t="s">
        <v>2155</v>
      </c>
      <c r="H1212" s="34" t="s">
        <v>816</v>
      </c>
      <c r="I1212" s="34" t="s">
        <v>2156</v>
      </c>
      <c r="J1212" s="35"/>
      <c r="K1212" s="36"/>
      <c r="L1212" s="36"/>
      <c r="M1212" s="36"/>
      <c r="N1212" s="36"/>
      <c r="O1212" s="36"/>
      <c r="P1212" s="37">
        <v>8.0</v>
      </c>
      <c r="Q1212" s="36"/>
      <c r="R1212" s="36" t="s">
        <v>96</v>
      </c>
      <c r="S1212" s="36">
        <v>30.0</v>
      </c>
      <c r="T1212" s="36" t="s">
        <v>2167</v>
      </c>
      <c r="U1212" s="36" t="s">
        <v>2168</v>
      </c>
      <c r="V1212" s="36">
        <v>17.0</v>
      </c>
      <c r="W1212" s="36"/>
      <c r="X1212" s="38">
        <v>1.0</v>
      </c>
      <c r="Y1212" s="38" t="s">
        <v>533</v>
      </c>
      <c r="Z1212" s="38" t="s">
        <v>534</v>
      </c>
      <c r="AA1212" s="38" t="s">
        <v>86</v>
      </c>
      <c r="AB1212" s="38">
        <v>38.1159</v>
      </c>
      <c r="AC1212" s="38">
        <v>-121.6467</v>
      </c>
      <c r="AD1212" s="38" t="s">
        <v>87</v>
      </c>
      <c r="AE1212" s="38">
        <v>-9.0</v>
      </c>
      <c r="AF1212" s="38" t="s">
        <v>2159</v>
      </c>
      <c r="AG1212" s="38" t="s">
        <v>175</v>
      </c>
      <c r="AH1212" s="38">
        <v>2.8</v>
      </c>
      <c r="AI1212" s="50">
        <v>38.1159</v>
      </c>
      <c r="AJ1212" s="50">
        <v>-121.6467</v>
      </c>
      <c r="AK1212" s="41" t="s">
        <v>86</v>
      </c>
      <c r="AL1212" s="40" t="s">
        <v>86</v>
      </c>
      <c r="AM1212" s="49">
        <v>-3.0</v>
      </c>
      <c r="AN1212" s="51">
        <v>-3.0</v>
      </c>
      <c r="AO1212" s="42" t="s">
        <v>175</v>
      </c>
      <c r="AP1212" s="43" t="s">
        <v>175</v>
      </c>
      <c r="AQ1212" s="44" t="str">
        <f t="shared" si="143"/>
        <v>CRO</v>
      </c>
      <c r="AR1212" s="44">
        <f t="shared" si="144"/>
        <v>-3</v>
      </c>
      <c r="AS1212" s="44" t="str">
        <f t="shared" si="132"/>
        <v>C</v>
      </c>
      <c r="AT1212" s="44" t="str">
        <f t="shared" si="114"/>
        <v>Cs</v>
      </c>
      <c r="AU1212" s="44" t="str">
        <f t="shared" si="115"/>
        <v>Csa</v>
      </c>
      <c r="AV1212" s="38"/>
      <c r="AW1212" s="38"/>
      <c r="AX1212" s="38"/>
      <c r="AY1212" s="38"/>
      <c r="AZ1212" s="29">
        <v>30.0</v>
      </c>
      <c r="BA1212" s="29">
        <v>1.0</v>
      </c>
      <c r="BB1212" s="29">
        <v>1.0</v>
      </c>
      <c r="BC1212" s="29"/>
      <c r="BD1212" s="29" t="s">
        <v>88</v>
      </c>
      <c r="BE1212" s="29" t="s">
        <v>263</v>
      </c>
      <c r="BF1212" s="29" t="s">
        <v>984</v>
      </c>
      <c r="BG1212" s="29" t="s">
        <v>572</v>
      </c>
      <c r="BH1212" s="29" t="s">
        <v>88</v>
      </c>
      <c r="BI1212" s="29" t="s">
        <v>2160</v>
      </c>
      <c r="BJ1212" s="29" t="s">
        <v>2161</v>
      </c>
      <c r="BK1212" s="29" t="s">
        <v>180</v>
      </c>
      <c r="BL1212" s="29" t="s">
        <v>180</v>
      </c>
      <c r="BM1212" s="45"/>
      <c r="BN1212" s="45">
        <v>1.0</v>
      </c>
      <c r="BO1212" s="46" t="s">
        <v>984</v>
      </c>
      <c r="BP1212" s="2"/>
      <c r="BQ1212" s="3"/>
    </row>
    <row r="1213" ht="15.75" customHeight="1">
      <c r="A1213" s="34">
        <v>1230.0</v>
      </c>
      <c r="B1213" s="34">
        <v>103045.0</v>
      </c>
      <c r="C1213" s="34" t="s">
        <v>832</v>
      </c>
      <c r="D1213" s="34" t="s">
        <v>2153</v>
      </c>
      <c r="E1213" s="34" t="s">
        <v>2154</v>
      </c>
      <c r="F1213" s="34">
        <v>2018.0</v>
      </c>
      <c r="G1213" s="34" t="s">
        <v>2155</v>
      </c>
      <c r="H1213" s="34" t="s">
        <v>816</v>
      </c>
      <c r="I1213" s="34" t="s">
        <v>2156</v>
      </c>
      <c r="J1213" s="35"/>
      <c r="K1213" s="36"/>
      <c r="L1213" s="36"/>
      <c r="M1213" s="36"/>
      <c r="N1213" s="36"/>
      <c r="O1213" s="36"/>
      <c r="P1213" s="37">
        <v>-28.0</v>
      </c>
      <c r="Q1213" s="36"/>
      <c r="R1213" s="36" t="s">
        <v>96</v>
      </c>
      <c r="S1213" s="36">
        <v>30.0</v>
      </c>
      <c r="T1213" s="36" t="s">
        <v>2167</v>
      </c>
      <c r="U1213" s="36" t="s">
        <v>2168</v>
      </c>
      <c r="V1213" s="36">
        <v>17.0</v>
      </c>
      <c r="W1213" s="36"/>
      <c r="X1213" s="38">
        <v>1.0</v>
      </c>
      <c r="Y1213" s="38" t="s">
        <v>533</v>
      </c>
      <c r="Z1213" s="38" t="s">
        <v>534</v>
      </c>
      <c r="AA1213" s="38" t="s">
        <v>86</v>
      </c>
      <c r="AB1213" s="38">
        <v>38.1159</v>
      </c>
      <c r="AC1213" s="38">
        <v>-121.6467</v>
      </c>
      <c r="AD1213" s="38" t="s">
        <v>87</v>
      </c>
      <c r="AE1213" s="38">
        <v>-9.0</v>
      </c>
      <c r="AF1213" s="38" t="s">
        <v>2159</v>
      </c>
      <c r="AG1213" s="38" t="s">
        <v>175</v>
      </c>
      <c r="AH1213" s="38">
        <v>2.8</v>
      </c>
      <c r="AI1213" s="50">
        <v>38.1159</v>
      </c>
      <c r="AJ1213" s="50">
        <v>-121.6467</v>
      </c>
      <c r="AK1213" s="41" t="s">
        <v>86</v>
      </c>
      <c r="AL1213" s="40" t="s">
        <v>86</v>
      </c>
      <c r="AM1213" s="49">
        <v>-3.0</v>
      </c>
      <c r="AN1213" s="51">
        <v>-3.0</v>
      </c>
      <c r="AO1213" s="42" t="s">
        <v>175</v>
      </c>
      <c r="AP1213" s="43" t="s">
        <v>175</v>
      </c>
      <c r="AQ1213" s="44" t="str">
        <f t="shared" si="143"/>
        <v>CRO</v>
      </c>
      <c r="AR1213" s="44">
        <f t="shared" si="144"/>
        <v>-3</v>
      </c>
      <c r="AS1213" s="44" t="str">
        <f t="shared" si="132"/>
        <v>C</v>
      </c>
      <c r="AT1213" s="44" t="str">
        <f t="shared" si="114"/>
        <v>Cs</v>
      </c>
      <c r="AU1213" s="44" t="str">
        <f t="shared" si="115"/>
        <v>Csa</v>
      </c>
      <c r="AV1213" s="38"/>
      <c r="AW1213" s="38"/>
      <c r="AX1213" s="38"/>
      <c r="AY1213" s="38"/>
      <c r="AZ1213" s="29">
        <v>30.0</v>
      </c>
      <c r="BA1213" s="29">
        <v>1.0</v>
      </c>
      <c r="BB1213" s="29">
        <v>1.0</v>
      </c>
      <c r="BC1213" s="29"/>
      <c r="BD1213" s="29" t="s">
        <v>88</v>
      </c>
      <c r="BE1213" s="29" t="s">
        <v>263</v>
      </c>
      <c r="BF1213" s="29" t="s">
        <v>2162</v>
      </c>
      <c r="BG1213" s="29" t="s">
        <v>572</v>
      </c>
      <c r="BH1213" s="29" t="s">
        <v>88</v>
      </c>
      <c r="BI1213" s="29" t="s">
        <v>2160</v>
      </c>
      <c r="BJ1213" s="29" t="s">
        <v>2161</v>
      </c>
      <c r="BK1213" s="29" t="s">
        <v>180</v>
      </c>
      <c r="BL1213" s="29" t="s">
        <v>180</v>
      </c>
      <c r="BM1213" s="45"/>
      <c r="BN1213" s="45">
        <v>1.0</v>
      </c>
      <c r="BO1213" s="46" t="s">
        <v>984</v>
      </c>
      <c r="BP1213" s="2"/>
      <c r="BQ1213" s="3"/>
    </row>
    <row r="1214" ht="15.75" customHeight="1">
      <c r="A1214" s="34">
        <v>1231.0</v>
      </c>
      <c r="B1214" s="34">
        <v>103045.0</v>
      </c>
      <c r="C1214" s="34" t="s">
        <v>832</v>
      </c>
      <c r="D1214" s="34" t="s">
        <v>2153</v>
      </c>
      <c r="E1214" s="34" t="s">
        <v>2154</v>
      </c>
      <c r="F1214" s="34">
        <v>2018.0</v>
      </c>
      <c r="G1214" s="34" t="s">
        <v>2155</v>
      </c>
      <c r="H1214" s="34" t="s">
        <v>816</v>
      </c>
      <c r="I1214" s="34" t="s">
        <v>2156</v>
      </c>
      <c r="J1214" s="35"/>
      <c r="K1214" s="36"/>
      <c r="L1214" s="36"/>
      <c r="M1214" s="36"/>
      <c r="N1214" s="36"/>
      <c r="O1214" s="36"/>
      <c r="P1214" s="37">
        <v>-9.0</v>
      </c>
      <c r="Q1214" s="36"/>
      <c r="R1214" s="36" t="s">
        <v>96</v>
      </c>
      <c r="S1214" s="36">
        <v>30.0</v>
      </c>
      <c r="T1214" s="36" t="s">
        <v>2167</v>
      </c>
      <c r="U1214" s="36" t="s">
        <v>2168</v>
      </c>
      <c r="V1214" s="36">
        <v>17.0</v>
      </c>
      <c r="W1214" s="36"/>
      <c r="X1214" s="38">
        <v>1.0</v>
      </c>
      <c r="Y1214" s="38" t="s">
        <v>533</v>
      </c>
      <c r="Z1214" s="38" t="s">
        <v>534</v>
      </c>
      <c r="AA1214" s="38" t="s">
        <v>86</v>
      </c>
      <c r="AB1214" s="38">
        <v>38.1159</v>
      </c>
      <c r="AC1214" s="38">
        <v>-121.6467</v>
      </c>
      <c r="AD1214" s="38" t="s">
        <v>87</v>
      </c>
      <c r="AE1214" s="38">
        <v>-9.0</v>
      </c>
      <c r="AF1214" s="38" t="s">
        <v>2159</v>
      </c>
      <c r="AG1214" s="38" t="s">
        <v>175</v>
      </c>
      <c r="AH1214" s="38">
        <v>2.8</v>
      </c>
      <c r="AI1214" s="50">
        <v>38.1159</v>
      </c>
      <c r="AJ1214" s="50">
        <v>-121.6467</v>
      </c>
      <c r="AK1214" s="41" t="s">
        <v>86</v>
      </c>
      <c r="AL1214" s="40" t="s">
        <v>86</v>
      </c>
      <c r="AM1214" s="49">
        <v>-3.0</v>
      </c>
      <c r="AN1214" s="51">
        <v>-3.0</v>
      </c>
      <c r="AO1214" s="42" t="s">
        <v>175</v>
      </c>
      <c r="AP1214" s="43" t="s">
        <v>175</v>
      </c>
      <c r="AQ1214" s="44" t="str">
        <f t="shared" si="143"/>
        <v>CRO</v>
      </c>
      <c r="AR1214" s="44">
        <f t="shared" si="144"/>
        <v>-3</v>
      </c>
      <c r="AS1214" s="44" t="str">
        <f t="shared" si="132"/>
        <v>C</v>
      </c>
      <c r="AT1214" s="44" t="str">
        <f t="shared" si="114"/>
        <v>Cs</v>
      </c>
      <c r="AU1214" s="44" t="str">
        <f t="shared" si="115"/>
        <v>Csa</v>
      </c>
      <c r="AV1214" s="38"/>
      <c r="AW1214" s="38"/>
      <c r="AX1214" s="38"/>
      <c r="AY1214" s="38"/>
      <c r="AZ1214" s="29">
        <v>30.0</v>
      </c>
      <c r="BA1214" s="29">
        <v>1.0</v>
      </c>
      <c r="BB1214" s="29">
        <v>1.0</v>
      </c>
      <c r="BC1214" s="29"/>
      <c r="BD1214" s="29" t="s">
        <v>88</v>
      </c>
      <c r="BE1214" s="29" t="s">
        <v>263</v>
      </c>
      <c r="BF1214" s="29" t="s">
        <v>2169</v>
      </c>
      <c r="BG1214" s="29" t="s">
        <v>572</v>
      </c>
      <c r="BH1214" s="29" t="s">
        <v>88</v>
      </c>
      <c r="BI1214" s="29" t="s">
        <v>2160</v>
      </c>
      <c r="BJ1214" s="29" t="s">
        <v>2161</v>
      </c>
      <c r="BK1214" s="29" t="s">
        <v>180</v>
      </c>
      <c r="BL1214" s="29" t="s">
        <v>180</v>
      </c>
      <c r="BM1214" s="45"/>
      <c r="BN1214" s="45">
        <v>1.0</v>
      </c>
      <c r="BO1214" s="46" t="s">
        <v>984</v>
      </c>
      <c r="BP1214" s="2"/>
      <c r="BQ1214" s="3"/>
    </row>
    <row r="1215" ht="15.75" customHeight="1">
      <c r="A1215" s="34">
        <v>1232.0</v>
      </c>
      <c r="B1215" s="34">
        <v>103045.0</v>
      </c>
      <c r="C1215" s="34" t="s">
        <v>832</v>
      </c>
      <c r="D1215" s="34" t="s">
        <v>2153</v>
      </c>
      <c r="E1215" s="34" t="s">
        <v>2154</v>
      </c>
      <c r="F1215" s="34">
        <v>2018.0</v>
      </c>
      <c r="G1215" s="34" t="s">
        <v>2155</v>
      </c>
      <c r="H1215" s="34" t="s">
        <v>816</v>
      </c>
      <c r="I1215" s="34" t="s">
        <v>2156</v>
      </c>
      <c r="J1215" s="35"/>
      <c r="K1215" s="36"/>
      <c r="L1215" s="36"/>
      <c r="M1215" s="36"/>
      <c r="N1215" s="36"/>
      <c r="O1215" s="36"/>
      <c r="P1215" s="37">
        <v>-10.0</v>
      </c>
      <c r="Q1215" s="36"/>
      <c r="R1215" s="36" t="s">
        <v>96</v>
      </c>
      <c r="S1215" s="36">
        <v>30.0</v>
      </c>
      <c r="T1215" s="36" t="s">
        <v>2167</v>
      </c>
      <c r="U1215" s="36" t="s">
        <v>2168</v>
      </c>
      <c r="V1215" s="36">
        <v>17.0</v>
      </c>
      <c r="W1215" s="36"/>
      <c r="X1215" s="38">
        <v>1.0</v>
      </c>
      <c r="Y1215" s="38" t="s">
        <v>533</v>
      </c>
      <c r="Z1215" s="38" t="s">
        <v>534</v>
      </c>
      <c r="AA1215" s="38" t="s">
        <v>86</v>
      </c>
      <c r="AB1215" s="38">
        <v>38.1159</v>
      </c>
      <c r="AC1215" s="38">
        <v>-121.6467</v>
      </c>
      <c r="AD1215" s="38" t="s">
        <v>87</v>
      </c>
      <c r="AE1215" s="38">
        <v>-9.0</v>
      </c>
      <c r="AF1215" s="38" t="s">
        <v>2159</v>
      </c>
      <c r="AG1215" s="38" t="s">
        <v>175</v>
      </c>
      <c r="AH1215" s="38">
        <v>2.8</v>
      </c>
      <c r="AI1215" s="50">
        <v>38.1159</v>
      </c>
      <c r="AJ1215" s="50">
        <v>-121.6467</v>
      </c>
      <c r="AK1215" s="41" t="s">
        <v>86</v>
      </c>
      <c r="AL1215" s="40" t="s">
        <v>86</v>
      </c>
      <c r="AM1215" s="49">
        <v>-3.0</v>
      </c>
      <c r="AN1215" s="51">
        <v>-3.0</v>
      </c>
      <c r="AO1215" s="42" t="s">
        <v>175</v>
      </c>
      <c r="AP1215" s="43" t="s">
        <v>175</v>
      </c>
      <c r="AQ1215" s="44" t="str">
        <f t="shared" si="143"/>
        <v>CRO</v>
      </c>
      <c r="AR1215" s="44">
        <f t="shared" si="144"/>
        <v>-3</v>
      </c>
      <c r="AS1215" s="44" t="str">
        <f t="shared" si="132"/>
        <v>C</v>
      </c>
      <c r="AT1215" s="44" t="str">
        <f t="shared" si="114"/>
        <v>Cs</v>
      </c>
      <c r="AU1215" s="44" t="str">
        <f t="shared" si="115"/>
        <v>Csa</v>
      </c>
      <c r="AV1215" s="38"/>
      <c r="AW1215" s="38"/>
      <c r="AX1215" s="38"/>
      <c r="AY1215" s="38"/>
      <c r="AZ1215" s="29">
        <v>30.0</v>
      </c>
      <c r="BA1215" s="29">
        <v>1.0</v>
      </c>
      <c r="BB1215" s="29">
        <v>1.0</v>
      </c>
      <c r="BC1215" s="29"/>
      <c r="BD1215" s="29" t="s">
        <v>88</v>
      </c>
      <c r="BE1215" s="29" t="s">
        <v>263</v>
      </c>
      <c r="BF1215" s="29" t="s">
        <v>2164</v>
      </c>
      <c r="BG1215" s="29" t="s">
        <v>572</v>
      </c>
      <c r="BH1215" s="29" t="s">
        <v>88</v>
      </c>
      <c r="BI1215" s="29" t="s">
        <v>2160</v>
      </c>
      <c r="BJ1215" s="29" t="s">
        <v>2161</v>
      </c>
      <c r="BK1215" s="29" t="s">
        <v>180</v>
      </c>
      <c r="BL1215" s="29" t="s">
        <v>180</v>
      </c>
      <c r="BM1215" s="45"/>
      <c r="BN1215" s="45">
        <v>1.0</v>
      </c>
      <c r="BO1215" s="46" t="s">
        <v>984</v>
      </c>
      <c r="BP1215" s="2"/>
      <c r="BQ1215" s="3"/>
    </row>
    <row r="1216" ht="15.75" customHeight="1">
      <c r="A1216" s="34">
        <v>1233.0</v>
      </c>
      <c r="B1216" s="34">
        <v>102927.0</v>
      </c>
      <c r="C1216" s="34" t="s">
        <v>832</v>
      </c>
      <c r="D1216" s="34" t="s">
        <v>2170</v>
      </c>
      <c r="E1216" s="34" t="s">
        <v>2171</v>
      </c>
      <c r="F1216" s="34">
        <v>2019.0</v>
      </c>
      <c r="G1216" s="34" t="s">
        <v>2172</v>
      </c>
      <c r="H1216" s="34" t="s">
        <v>816</v>
      </c>
      <c r="I1216" s="34" t="s">
        <v>2173</v>
      </c>
      <c r="J1216" s="35"/>
      <c r="K1216" s="36"/>
      <c r="L1216" s="36"/>
      <c r="M1216" s="36"/>
      <c r="N1216" s="36"/>
      <c r="O1216" s="36"/>
      <c r="P1216" s="37">
        <v>60.0</v>
      </c>
      <c r="Q1216" s="36"/>
      <c r="R1216" s="36" t="s">
        <v>96</v>
      </c>
      <c r="S1216" s="36">
        <v>10.0</v>
      </c>
      <c r="T1216" s="36" t="s">
        <v>2174</v>
      </c>
      <c r="U1216" s="36" t="s">
        <v>2175</v>
      </c>
      <c r="V1216" s="36">
        <v>11.0</v>
      </c>
      <c r="W1216" s="36"/>
      <c r="X1216" s="38">
        <v>1.0</v>
      </c>
      <c r="Y1216" s="38" t="s">
        <v>2176</v>
      </c>
      <c r="Z1216" s="38" t="s">
        <v>2177</v>
      </c>
      <c r="AA1216" s="38" t="s">
        <v>86</v>
      </c>
      <c r="AB1216" s="38">
        <v>37.333333</v>
      </c>
      <c r="AC1216" s="38">
        <v>14.883333</v>
      </c>
      <c r="AD1216" s="38" t="s">
        <v>237</v>
      </c>
      <c r="AE1216" s="53"/>
      <c r="AF1216" s="38" t="s">
        <v>2178</v>
      </c>
      <c r="AG1216" s="38"/>
      <c r="AH1216" s="38">
        <v>7.0</v>
      </c>
      <c r="AI1216" s="50">
        <v>37.333333</v>
      </c>
      <c r="AJ1216" s="50">
        <v>14.883333</v>
      </c>
      <c r="AK1216" s="41" t="s">
        <v>86</v>
      </c>
      <c r="AL1216" s="40" t="s">
        <v>86</v>
      </c>
      <c r="AM1216" s="49">
        <v>76.0</v>
      </c>
      <c r="AN1216" s="51">
        <v>76.0</v>
      </c>
      <c r="AO1216" s="42" t="s">
        <v>175</v>
      </c>
      <c r="AP1216" s="43" t="s">
        <v>175</v>
      </c>
      <c r="AQ1216" s="44" t="str">
        <f t="shared" si="143"/>
        <v>CRO</v>
      </c>
      <c r="AR1216" s="44">
        <f t="shared" si="144"/>
        <v>76</v>
      </c>
      <c r="AS1216" s="44" t="str">
        <f t="shared" si="132"/>
        <v>C</v>
      </c>
      <c r="AT1216" s="44" t="str">
        <f t="shared" si="114"/>
        <v>Cs</v>
      </c>
      <c r="AU1216" s="44" t="str">
        <f t="shared" si="115"/>
        <v>Csa</v>
      </c>
      <c r="AV1216" s="38">
        <v>3.0</v>
      </c>
      <c r="AW1216" s="38"/>
      <c r="AX1216" s="38"/>
      <c r="AY1216" s="38"/>
      <c r="AZ1216" s="29">
        <v>10.0</v>
      </c>
      <c r="BA1216" s="29">
        <v>1.0</v>
      </c>
      <c r="BB1216" s="29">
        <v>1.0</v>
      </c>
      <c r="BC1216" s="29"/>
      <c r="BD1216" s="29" t="s">
        <v>88</v>
      </c>
      <c r="BE1216" s="29" t="s">
        <v>263</v>
      </c>
      <c r="BF1216" s="29" t="s">
        <v>2179</v>
      </c>
      <c r="BG1216" s="29" t="s">
        <v>738</v>
      </c>
      <c r="BH1216" s="29" t="s">
        <v>88</v>
      </c>
      <c r="BI1216" s="29" t="s">
        <v>2180</v>
      </c>
      <c r="BJ1216" s="29"/>
      <c r="BK1216" s="29" t="s">
        <v>2181</v>
      </c>
      <c r="BL1216" s="29"/>
      <c r="BM1216" s="45"/>
      <c r="BN1216" s="45">
        <v>1.0</v>
      </c>
      <c r="BO1216" s="46" t="s">
        <v>2182</v>
      </c>
      <c r="BP1216" s="2"/>
      <c r="BQ1216" s="3"/>
    </row>
    <row r="1217" ht="15.75" customHeight="1">
      <c r="A1217" s="34">
        <v>1234.0</v>
      </c>
      <c r="B1217" s="34">
        <v>102927.0</v>
      </c>
      <c r="C1217" s="34" t="s">
        <v>832</v>
      </c>
      <c r="D1217" s="34" t="s">
        <v>2170</v>
      </c>
      <c r="E1217" s="34" t="s">
        <v>2171</v>
      </c>
      <c r="F1217" s="34">
        <v>2019.0</v>
      </c>
      <c r="G1217" s="34" t="s">
        <v>2172</v>
      </c>
      <c r="H1217" s="34" t="s">
        <v>816</v>
      </c>
      <c r="I1217" s="34" t="s">
        <v>2173</v>
      </c>
      <c r="J1217" s="35"/>
      <c r="K1217" s="36"/>
      <c r="L1217" s="36"/>
      <c r="M1217" s="36"/>
      <c r="N1217" s="36"/>
      <c r="O1217" s="36"/>
      <c r="P1217" s="37">
        <v>40.0</v>
      </c>
      <c r="Q1217" s="36"/>
      <c r="R1217" s="36" t="s">
        <v>96</v>
      </c>
      <c r="S1217" s="36">
        <v>10.0</v>
      </c>
      <c r="T1217" s="36" t="s">
        <v>2174</v>
      </c>
      <c r="U1217" s="36" t="s">
        <v>2175</v>
      </c>
      <c r="V1217" s="36">
        <v>11.0</v>
      </c>
      <c r="W1217" s="36"/>
      <c r="X1217" s="38">
        <v>1.0</v>
      </c>
      <c r="Y1217" s="38" t="s">
        <v>2176</v>
      </c>
      <c r="Z1217" s="38" t="s">
        <v>2177</v>
      </c>
      <c r="AA1217" s="38" t="s">
        <v>86</v>
      </c>
      <c r="AB1217" s="38">
        <v>37.333333</v>
      </c>
      <c r="AC1217" s="38">
        <v>14.883333</v>
      </c>
      <c r="AD1217" s="38" t="s">
        <v>237</v>
      </c>
      <c r="AE1217" s="53"/>
      <c r="AF1217" s="38" t="s">
        <v>2178</v>
      </c>
      <c r="AG1217" s="38"/>
      <c r="AH1217" s="38">
        <v>7.0</v>
      </c>
      <c r="AI1217" s="50">
        <v>37.333333</v>
      </c>
      <c r="AJ1217" s="50">
        <v>14.883333</v>
      </c>
      <c r="AK1217" s="41" t="s">
        <v>86</v>
      </c>
      <c r="AL1217" s="40" t="s">
        <v>86</v>
      </c>
      <c r="AM1217" s="49">
        <v>76.0</v>
      </c>
      <c r="AN1217" s="51">
        <v>76.0</v>
      </c>
      <c r="AO1217" s="42" t="s">
        <v>175</v>
      </c>
      <c r="AP1217" s="43" t="s">
        <v>175</v>
      </c>
      <c r="AQ1217" s="44" t="str">
        <f t="shared" si="143"/>
        <v>CRO</v>
      </c>
      <c r="AR1217" s="44">
        <f t="shared" si="144"/>
        <v>76</v>
      </c>
      <c r="AS1217" s="44" t="str">
        <f t="shared" si="132"/>
        <v>C</v>
      </c>
      <c r="AT1217" s="44" t="str">
        <f t="shared" si="114"/>
        <v>Cs</v>
      </c>
      <c r="AU1217" s="44" t="str">
        <f t="shared" si="115"/>
        <v>Csa</v>
      </c>
      <c r="AV1217" s="38">
        <v>3.0</v>
      </c>
      <c r="AW1217" s="38"/>
      <c r="AX1217" s="38"/>
      <c r="AY1217" s="38"/>
      <c r="AZ1217" s="29">
        <v>10.0</v>
      </c>
      <c r="BA1217" s="29">
        <v>1.0</v>
      </c>
      <c r="BB1217" s="29">
        <v>1.0</v>
      </c>
      <c r="BC1217" s="29"/>
      <c r="BD1217" s="29" t="s">
        <v>88</v>
      </c>
      <c r="BE1217" s="29" t="s">
        <v>89</v>
      </c>
      <c r="BF1217" s="29" t="s">
        <v>2183</v>
      </c>
      <c r="BG1217" s="29" t="s">
        <v>738</v>
      </c>
      <c r="BH1217" s="29" t="s">
        <v>88</v>
      </c>
      <c r="BI1217" s="29" t="s">
        <v>2180</v>
      </c>
      <c r="BJ1217" s="29"/>
      <c r="BK1217" s="29" t="s">
        <v>2181</v>
      </c>
      <c r="BL1217" s="29"/>
      <c r="BM1217" s="45"/>
      <c r="BN1217" s="45">
        <v>1.0</v>
      </c>
      <c r="BO1217" s="46" t="s">
        <v>2182</v>
      </c>
      <c r="BP1217" s="2"/>
      <c r="BQ1217" s="3"/>
    </row>
    <row r="1218" ht="15.75" customHeight="1">
      <c r="A1218" s="34">
        <v>1235.0</v>
      </c>
      <c r="B1218" s="34">
        <v>102789.0</v>
      </c>
      <c r="C1218" s="34" t="s">
        <v>832</v>
      </c>
      <c r="D1218" s="34" t="s">
        <v>2184</v>
      </c>
      <c r="E1218" s="34" t="s">
        <v>2185</v>
      </c>
      <c r="F1218" s="34">
        <v>2019.0</v>
      </c>
      <c r="G1218" s="34" t="s">
        <v>2186</v>
      </c>
      <c r="H1218" s="34" t="s">
        <v>816</v>
      </c>
      <c r="I1218" s="34" t="s">
        <v>2187</v>
      </c>
      <c r="J1218" s="35"/>
      <c r="K1218" s="36"/>
      <c r="L1218" s="36">
        <v>27.6</v>
      </c>
      <c r="M1218" s="36"/>
      <c r="N1218" s="36"/>
      <c r="O1218" s="36"/>
      <c r="P1218" s="37">
        <v>1.7</v>
      </c>
      <c r="Q1218" s="36"/>
      <c r="R1218" s="36" t="s">
        <v>191</v>
      </c>
      <c r="S1218" s="36">
        <v>90.0</v>
      </c>
      <c r="T1218" s="36" t="s">
        <v>350</v>
      </c>
      <c r="U1218" s="36" t="s">
        <v>246</v>
      </c>
      <c r="V1218" s="36"/>
      <c r="W1218" s="36"/>
      <c r="X1218" s="38">
        <v>1.0</v>
      </c>
      <c r="Y1218" s="38" t="s">
        <v>2188</v>
      </c>
      <c r="Z1218" s="38" t="s">
        <v>2189</v>
      </c>
      <c r="AA1218" s="38" t="s">
        <v>288</v>
      </c>
      <c r="AB1218" s="38"/>
      <c r="AC1218" s="38"/>
      <c r="AD1218" s="38" t="s">
        <v>87</v>
      </c>
      <c r="AE1218" s="38">
        <v>1596.0</v>
      </c>
      <c r="AF1218" s="38" t="s">
        <v>2189</v>
      </c>
      <c r="AG1218" s="38" t="s">
        <v>303</v>
      </c>
      <c r="AH1218" s="38">
        <v>27.6</v>
      </c>
      <c r="AI1218" s="50">
        <v>34.3623</v>
      </c>
      <c r="AJ1218" s="50">
        <v>-106.702</v>
      </c>
      <c r="AK1218" s="41" t="s">
        <v>288</v>
      </c>
      <c r="AL1218" s="40" t="s">
        <v>288</v>
      </c>
      <c r="AM1218" s="49">
        <v>1594.0</v>
      </c>
      <c r="AN1218" s="51">
        <v>1594.0</v>
      </c>
      <c r="AO1218" s="42" t="s">
        <v>261</v>
      </c>
      <c r="AP1218" s="43" t="s">
        <v>261</v>
      </c>
      <c r="AQ1218" s="44" t="str">
        <f t="shared" si="143"/>
        <v>GRA</v>
      </c>
      <c r="AR1218" s="44">
        <f t="shared" si="144"/>
        <v>1594</v>
      </c>
      <c r="AS1218" s="44" t="str">
        <f t="shared" si="132"/>
        <v>B</v>
      </c>
      <c r="AT1218" s="44" t="str">
        <f t="shared" si="114"/>
        <v>BW</v>
      </c>
      <c r="AU1218" s="44" t="str">
        <f t="shared" si="115"/>
        <v>BWk</v>
      </c>
      <c r="AV1218" s="38"/>
      <c r="AW1218" s="38"/>
      <c r="AX1218" s="38"/>
      <c r="AY1218" s="38"/>
      <c r="AZ1218" s="29">
        <v>30.0</v>
      </c>
      <c r="BA1218" s="29">
        <v>1.0</v>
      </c>
      <c r="BB1218" s="29">
        <v>1.0</v>
      </c>
      <c r="BC1218" s="29"/>
      <c r="BD1218" s="29" t="s">
        <v>88</v>
      </c>
      <c r="BE1218" s="29" t="s">
        <v>263</v>
      </c>
      <c r="BF1218" s="29" t="s">
        <v>2190</v>
      </c>
      <c r="BG1218" s="29" t="s">
        <v>572</v>
      </c>
      <c r="BH1218" s="29" t="s">
        <v>92</v>
      </c>
      <c r="BI1218" s="29" t="s">
        <v>2191</v>
      </c>
      <c r="BJ1218" s="29" t="s">
        <v>2192</v>
      </c>
      <c r="BK1218" s="29" t="s">
        <v>2193</v>
      </c>
      <c r="BL1218" s="29" t="s">
        <v>2193</v>
      </c>
      <c r="BM1218" s="45"/>
      <c r="BN1218" s="45">
        <v>1.0</v>
      </c>
      <c r="BO1218" s="46" t="s">
        <v>802</v>
      </c>
      <c r="BP1218" s="2"/>
      <c r="BQ1218" s="3"/>
    </row>
    <row r="1219" ht="15.75" customHeight="1">
      <c r="A1219" s="34">
        <v>1236.0</v>
      </c>
      <c r="B1219" s="34">
        <v>102789.0</v>
      </c>
      <c r="C1219" s="34" t="s">
        <v>832</v>
      </c>
      <c r="D1219" s="34" t="s">
        <v>2184</v>
      </c>
      <c r="E1219" s="34" t="s">
        <v>2185</v>
      </c>
      <c r="F1219" s="34">
        <v>2019.0</v>
      </c>
      <c r="G1219" s="34" t="s">
        <v>2186</v>
      </c>
      <c r="H1219" s="34" t="s">
        <v>816</v>
      </c>
      <c r="I1219" s="34" t="s">
        <v>2187</v>
      </c>
      <c r="J1219" s="35"/>
      <c r="K1219" s="36"/>
      <c r="L1219" s="36">
        <v>27.1</v>
      </c>
      <c r="M1219" s="36"/>
      <c r="N1219" s="36"/>
      <c r="O1219" s="36"/>
      <c r="P1219" s="37">
        <v>-0.7</v>
      </c>
      <c r="Q1219" s="36"/>
      <c r="R1219" s="36" t="s">
        <v>191</v>
      </c>
      <c r="S1219" s="36">
        <v>90.0</v>
      </c>
      <c r="T1219" s="36" t="s">
        <v>350</v>
      </c>
      <c r="U1219" s="36" t="s">
        <v>246</v>
      </c>
      <c r="V1219" s="36"/>
      <c r="W1219" s="36"/>
      <c r="X1219" s="38">
        <v>1.0</v>
      </c>
      <c r="Y1219" s="38" t="s">
        <v>2194</v>
      </c>
      <c r="Z1219" s="38" t="s">
        <v>2195</v>
      </c>
      <c r="AA1219" s="38" t="s">
        <v>292</v>
      </c>
      <c r="AB1219" s="38"/>
      <c r="AC1219" s="38"/>
      <c r="AD1219" s="38" t="s">
        <v>87</v>
      </c>
      <c r="AE1219" s="38">
        <v>1604.0</v>
      </c>
      <c r="AF1219" s="38" t="s">
        <v>2195</v>
      </c>
      <c r="AG1219" s="38" t="s">
        <v>303</v>
      </c>
      <c r="AH1219" s="38">
        <v>27.1</v>
      </c>
      <c r="AI1219" s="50">
        <v>34.3349</v>
      </c>
      <c r="AJ1219" s="50">
        <v>-106.7442</v>
      </c>
      <c r="AK1219" s="41" t="s">
        <v>292</v>
      </c>
      <c r="AL1219" s="40" t="s">
        <v>292</v>
      </c>
      <c r="AM1219" s="49">
        <v>1594.0</v>
      </c>
      <c r="AN1219" s="51">
        <v>1594.0</v>
      </c>
      <c r="AO1219" s="42" t="s">
        <v>261</v>
      </c>
      <c r="AP1219" s="43" t="s">
        <v>261</v>
      </c>
      <c r="AQ1219" s="44" t="str">
        <f t="shared" si="143"/>
        <v>OSH</v>
      </c>
      <c r="AR1219" s="44">
        <f t="shared" si="144"/>
        <v>1594</v>
      </c>
      <c r="AS1219" s="44" t="str">
        <f t="shared" si="132"/>
        <v>B</v>
      </c>
      <c r="AT1219" s="44" t="str">
        <f t="shared" si="114"/>
        <v>BW</v>
      </c>
      <c r="AU1219" s="44" t="str">
        <f t="shared" si="115"/>
        <v>BWk</v>
      </c>
      <c r="AV1219" s="38"/>
      <c r="AW1219" s="38"/>
      <c r="AX1219" s="38"/>
      <c r="AY1219" s="38"/>
      <c r="AZ1219" s="29">
        <v>30.0</v>
      </c>
      <c r="BA1219" s="29">
        <v>1.0</v>
      </c>
      <c r="BB1219" s="29">
        <v>1.0</v>
      </c>
      <c r="BC1219" s="29"/>
      <c r="BD1219" s="29" t="s">
        <v>88</v>
      </c>
      <c r="BE1219" s="29" t="s">
        <v>263</v>
      </c>
      <c r="BF1219" s="29" t="s">
        <v>2190</v>
      </c>
      <c r="BG1219" s="29" t="s">
        <v>572</v>
      </c>
      <c r="BH1219" s="29" t="s">
        <v>92</v>
      </c>
      <c r="BI1219" s="29" t="s">
        <v>2191</v>
      </c>
      <c r="BJ1219" s="29" t="s">
        <v>2192</v>
      </c>
      <c r="BK1219" s="29" t="s">
        <v>2193</v>
      </c>
      <c r="BL1219" s="29" t="s">
        <v>2193</v>
      </c>
      <c r="BM1219" s="45"/>
      <c r="BN1219" s="45">
        <v>1.0</v>
      </c>
      <c r="BO1219" s="46" t="s">
        <v>802</v>
      </c>
      <c r="BP1219" s="2"/>
      <c r="BQ1219" s="3"/>
    </row>
    <row r="1220" ht="15.75" customHeight="1">
      <c r="A1220" s="34">
        <v>1237.0</v>
      </c>
      <c r="B1220" s="34">
        <v>102789.0</v>
      </c>
      <c r="C1220" s="34" t="s">
        <v>832</v>
      </c>
      <c r="D1220" s="34" t="s">
        <v>2184</v>
      </c>
      <c r="E1220" s="34" t="s">
        <v>2185</v>
      </c>
      <c r="F1220" s="34">
        <v>2019.0</v>
      </c>
      <c r="G1220" s="34" t="s">
        <v>2186</v>
      </c>
      <c r="H1220" s="34" t="s">
        <v>816</v>
      </c>
      <c r="I1220" s="34" t="s">
        <v>2187</v>
      </c>
      <c r="J1220" s="35"/>
      <c r="K1220" s="36"/>
      <c r="L1220" s="36">
        <v>26.4</v>
      </c>
      <c r="M1220" s="36"/>
      <c r="N1220" s="36"/>
      <c r="O1220" s="36"/>
      <c r="P1220" s="37">
        <v>3.1</v>
      </c>
      <c r="Q1220" s="36"/>
      <c r="R1220" s="36" t="s">
        <v>191</v>
      </c>
      <c r="S1220" s="36">
        <v>90.0</v>
      </c>
      <c r="T1220" s="36" t="s">
        <v>350</v>
      </c>
      <c r="U1220" s="36" t="s">
        <v>246</v>
      </c>
      <c r="V1220" s="36"/>
      <c r="W1220" s="36"/>
      <c r="X1220" s="38">
        <v>1.0</v>
      </c>
      <c r="Y1220" s="38" t="s">
        <v>2196</v>
      </c>
      <c r="Z1220" s="38" t="s">
        <v>2197</v>
      </c>
      <c r="AA1220" s="38" t="s">
        <v>313</v>
      </c>
      <c r="AB1220" s="38"/>
      <c r="AC1220" s="38"/>
      <c r="AD1220" s="38" t="s">
        <v>87</v>
      </c>
      <c r="AE1220" s="38">
        <v>1931.0</v>
      </c>
      <c r="AF1220" s="38" t="s">
        <v>2198</v>
      </c>
      <c r="AG1220" s="38"/>
      <c r="AH1220" s="38">
        <v>26.4</v>
      </c>
      <c r="AI1220" s="50">
        <v>34.4255</v>
      </c>
      <c r="AJ1220" s="50">
        <v>-105.8615</v>
      </c>
      <c r="AK1220" s="41" t="s">
        <v>288</v>
      </c>
      <c r="AL1220" s="40" t="s">
        <v>288</v>
      </c>
      <c r="AM1220" s="49">
        <v>1926.0</v>
      </c>
      <c r="AN1220" s="51">
        <v>1926.0</v>
      </c>
      <c r="AO1220" s="42" t="s">
        <v>293</v>
      </c>
      <c r="AP1220" s="43" t="s">
        <v>293</v>
      </c>
      <c r="AQ1220" s="44" t="str">
        <f t="shared" si="143"/>
        <v>SAV</v>
      </c>
      <c r="AR1220" s="44">
        <f t="shared" si="144"/>
        <v>1926</v>
      </c>
      <c r="AS1220" s="44" t="str">
        <f t="shared" si="132"/>
        <v>B</v>
      </c>
      <c r="AT1220" s="44" t="str">
        <f t="shared" si="114"/>
        <v>BS</v>
      </c>
      <c r="AU1220" s="44" t="str">
        <f t="shared" si="115"/>
        <v>BSk</v>
      </c>
      <c r="AV1220" s="38"/>
      <c r="AW1220" s="38"/>
      <c r="AX1220" s="38"/>
      <c r="AY1220" s="38"/>
      <c r="AZ1220" s="29">
        <v>30.0</v>
      </c>
      <c r="BA1220" s="29">
        <v>1.0</v>
      </c>
      <c r="BB1220" s="29">
        <v>1.0</v>
      </c>
      <c r="BC1220" s="29"/>
      <c r="BD1220" s="29" t="s">
        <v>88</v>
      </c>
      <c r="BE1220" s="29" t="s">
        <v>263</v>
      </c>
      <c r="BF1220" s="29" t="s">
        <v>2190</v>
      </c>
      <c r="BG1220" s="29" t="s">
        <v>572</v>
      </c>
      <c r="BH1220" s="29" t="s">
        <v>92</v>
      </c>
      <c r="BI1220" s="29" t="s">
        <v>2191</v>
      </c>
      <c r="BJ1220" s="29" t="s">
        <v>2192</v>
      </c>
      <c r="BK1220" s="29" t="s">
        <v>2193</v>
      </c>
      <c r="BL1220" s="29" t="s">
        <v>2193</v>
      </c>
      <c r="BM1220" s="45"/>
      <c r="BN1220" s="45">
        <v>1.0</v>
      </c>
      <c r="BO1220" s="46" t="s">
        <v>802</v>
      </c>
      <c r="BP1220" s="2"/>
      <c r="BQ1220" s="3"/>
    </row>
    <row r="1221" ht="15.75" customHeight="1">
      <c r="A1221" s="34">
        <v>1238.0</v>
      </c>
      <c r="B1221" s="34">
        <v>102789.0</v>
      </c>
      <c r="C1221" s="34" t="s">
        <v>832</v>
      </c>
      <c r="D1221" s="34" t="s">
        <v>2184</v>
      </c>
      <c r="E1221" s="34" t="s">
        <v>2185</v>
      </c>
      <c r="F1221" s="34">
        <v>2019.0</v>
      </c>
      <c r="G1221" s="34" t="s">
        <v>2186</v>
      </c>
      <c r="H1221" s="34" t="s">
        <v>816</v>
      </c>
      <c r="I1221" s="34" t="s">
        <v>2187</v>
      </c>
      <c r="J1221" s="35"/>
      <c r="K1221" s="36"/>
      <c r="L1221" s="36">
        <v>30.1</v>
      </c>
      <c r="M1221" s="36"/>
      <c r="N1221" s="36"/>
      <c r="O1221" s="36"/>
      <c r="P1221" s="37">
        <v>-0.9</v>
      </c>
      <c r="Q1221" s="36"/>
      <c r="R1221" s="36" t="s">
        <v>191</v>
      </c>
      <c r="S1221" s="36">
        <v>90.0</v>
      </c>
      <c r="T1221" s="36" t="s">
        <v>350</v>
      </c>
      <c r="U1221" s="36" t="s">
        <v>246</v>
      </c>
      <c r="V1221" s="36"/>
      <c r="W1221" s="36"/>
      <c r="X1221" s="38">
        <v>1.0</v>
      </c>
      <c r="Y1221" s="38" t="s">
        <v>2199</v>
      </c>
      <c r="Z1221" s="38" t="s">
        <v>2200</v>
      </c>
      <c r="AA1221" s="38" t="s">
        <v>200</v>
      </c>
      <c r="AB1221" s="38"/>
      <c r="AC1221" s="38"/>
      <c r="AD1221" s="38" t="s">
        <v>87</v>
      </c>
      <c r="AE1221" s="38">
        <v>2196.0</v>
      </c>
      <c r="AF1221" s="38" t="s">
        <v>1197</v>
      </c>
      <c r="AG1221" s="38" t="s">
        <v>303</v>
      </c>
      <c r="AH1221" s="38">
        <v>30.1</v>
      </c>
      <c r="AI1221" s="50">
        <v>34.4385</v>
      </c>
      <c r="AJ1221" s="50">
        <v>-106.2377</v>
      </c>
      <c r="AK1221" s="41" t="s">
        <v>292</v>
      </c>
      <c r="AL1221" s="40" t="s">
        <v>292</v>
      </c>
      <c r="AM1221" s="49">
        <v>2193.0</v>
      </c>
      <c r="AN1221" s="51">
        <v>2193.0</v>
      </c>
      <c r="AO1221" s="42" t="s">
        <v>293</v>
      </c>
      <c r="AP1221" s="43" t="s">
        <v>293</v>
      </c>
      <c r="AQ1221" s="44" t="str">
        <f t="shared" si="143"/>
        <v>WSA</v>
      </c>
      <c r="AR1221" s="44">
        <f t="shared" si="144"/>
        <v>2193</v>
      </c>
      <c r="AS1221" s="44" t="str">
        <f t="shared" si="132"/>
        <v>B</v>
      </c>
      <c r="AT1221" s="44" t="str">
        <f t="shared" si="114"/>
        <v>BS</v>
      </c>
      <c r="AU1221" s="44" t="str">
        <f t="shared" si="115"/>
        <v>BSk</v>
      </c>
      <c r="AV1221" s="38"/>
      <c r="AW1221" s="38"/>
      <c r="AX1221" s="38"/>
      <c r="AY1221" s="38"/>
      <c r="AZ1221" s="29">
        <v>30.0</v>
      </c>
      <c r="BA1221" s="29">
        <v>1.0</v>
      </c>
      <c r="BB1221" s="29">
        <v>1.0</v>
      </c>
      <c r="BC1221" s="29"/>
      <c r="BD1221" s="29" t="s">
        <v>88</v>
      </c>
      <c r="BE1221" s="29" t="s">
        <v>263</v>
      </c>
      <c r="BF1221" s="29" t="s">
        <v>2190</v>
      </c>
      <c r="BG1221" s="29" t="s">
        <v>572</v>
      </c>
      <c r="BH1221" s="29" t="s">
        <v>92</v>
      </c>
      <c r="BI1221" s="29" t="s">
        <v>2191</v>
      </c>
      <c r="BJ1221" s="29" t="s">
        <v>2192</v>
      </c>
      <c r="BK1221" s="29" t="s">
        <v>2193</v>
      </c>
      <c r="BL1221" s="29" t="s">
        <v>2193</v>
      </c>
      <c r="BM1221" s="45"/>
      <c r="BN1221" s="45">
        <v>1.0</v>
      </c>
      <c r="BO1221" s="46" t="s">
        <v>802</v>
      </c>
      <c r="BP1221" s="2"/>
      <c r="BQ1221" s="3"/>
    </row>
    <row r="1222" ht="15.75" customHeight="1">
      <c r="A1222" s="34">
        <v>1239.0</v>
      </c>
      <c r="B1222" s="34">
        <v>102789.0</v>
      </c>
      <c r="C1222" s="34" t="s">
        <v>832</v>
      </c>
      <c r="D1222" s="34" t="s">
        <v>2184</v>
      </c>
      <c r="E1222" s="34" t="s">
        <v>2185</v>
      </c>
      <c r="F1222" s="34">
        <v>2019.0</v>
      </c>
      <c r="G1222" s="34" t="s">
        <v>2186</v>
      </c>
      <c r="H1222" s="34" t="s">
        <v>816</v>
      </c>
      <c r="I1222" s="34" t="s">
        <v>2187</v>
      </c>
      <c r="J1222" s="35"/>
      <c r="K1222" s="36"/>
      <c r="L1222" s="36">
        <v>48.8</v>
      </c>
      <c r="M1222" s="36"/>
      <c r="N1222" s="36"/>
      <c r="O1222" s="36"/>
      <c r="P1222" s="37">
        <v>13.7</v>
      </c>
      <c r="Q1222" s="36"/>
      <c r="R1222" s="36" t="s">
        <v>191</v>
      </c>
      <c r="S1222" s="36">
        <v>90.0</v>
      </c>
      <c r="T1222" s="36" t="s">
        <v>350</v>
      </c>
      <c r="U1222" s="36" t="s">
        <v>246</v>
      </c>
      <c r="V1222" s="36"/>
      <c r="W1222" s="36"/>
      <c r="X1222" s="38">
        <v>1.0</v>
      </c>
      <c r="Y1222" s="38" t="s">
        <v>2201</v>
      </c>
      <c r="Z1222" s="38" t="s">
        <v>2202</v>
      </c>
      <c r="AA1222" s="38"/>
      <c r="AB1222" s="38"/>
      <c r="AC1222" s="38"/>
      <c r="AD1222" s="38" t="s">
        <v>87</v>
      </c>
      <c r="AE1222" s="38">
        <v>2500.0</v>
      </c>
      <c r="AF1222" s="38" t="s">
        <v>2203</v>
      </c>
      <c r="AG1222" s="38"/>
      <c r="AH1222" s="38">
        <v>48.8</v>
      </c>
      <c r="AI1222" s="50">
        <v>35.8642</v>
      </c>
      <c r="AJ1222" s="50">
        <v>-106.5967</v>
      </c>
      <c r="AK1222" s="41" t="s">
        <v>200</v>
      </c>
      <c r="AL1222" s="40" t="s">
        <v>200</v>
      </c>
      <c r="AM1222" s="49">
        <v>2503.0</v>
      </c>
      <c r="AN1222" s="51">
        <v>2503.0</v>
      </c>
      <c r="AO1222" s="42" t="s">
        <v>372</v>
      </c>
      <c r="AP1222" s="43" t="s">
        <v>107</v>
      </c>
      <c r="AQ1222" s="80" t="s">
        <v>200</v>
      </c>
      <c r="AR1222" s="44">
        <f t="shared" si="144"/>
        <v>2503</v>
      </c>
      <c r="AS1222" s="44" t="str">
        <f t="shared" si="132"/>
        <v>D</v>
      </c>
      <c r="AT1222" s="44" t="str">
        <f t="shared" si="114"/>
        <v>Df</v>
      </c>
      <c r="AU1222" s="44" t="str">
        <f t="shared" si="115"/>
        <v>Dfb</v>
      </c>
      <c r="AV1222" s="38"/>
      <c r="AW1222" s="38"/>
      <c r="AX1222" s="38"/>
      <c r="AY1222" s="38"/>
      <c r="AZ1222" s="29">
        <v>30.0</v>
      </c>
      <c r="BA1222" s="29">
        <v>1.0</v>
      </c>
      <c r="BB1222" s="29">
        <v>1.0</v>
      </c>
      <c r="BC1222" s="29"/>
      <c r="BD1222" s="29" t="s">
        <v>88</v>
      </c>
      <c r="BE1222" s="29" t="s">
        <v>263</v>
      </c>
      <c r="BF1222" s="29" t="s">
        <v>2190</v>
      </c>
      <c r="BG1222" s="29" t="s">
        <v>572</v>
      </c>
      <c r="BH1222" s="29" t="s">
        <v>92</v>
      </c>
      <c r="BI1222" s="29" t="s">
        <v>2191</v>
      </c>
      <c r="BJ1222" s="29" t="s">
        <v>2192</v>
      </c>
      <c r="BK1222" s="29" t="s">
        <v>2193</v>
      </c>
      <c r="BL1222" s="29" t="s">
        <v>2193</v>
      </c>
      <c r="BM1222" s="45"/>
      <c r="BN1222" s="45">
        <v>1.0</v>
      </c>
      <c r="BO1222" s="46" t="s">
        <v>802</v>
      </c>
      <c r="BP1222" s="2"/>
      <c r="BQ1222" s="3"/>
    </row>
    <row r="1223" ht="15.75" customHeight="1">
      <c r="A1223" s="34">
        <v>1240.0</v>
      </c>
      <c r="B1223" s="34">
        <v>102789.0</v>
      </c>
      <c r="C1223" s="34" t="s">
        <v>832</v>
      </c>
      <c r="D1223" s="34" t="s">
        <v>2184</v>
      </c>
      <c r="E1223" s="34" t="s">
        <v>2185</v>
      </c>
      <c r="F1223" s="34">
        <v>2019.0</v>
      </c>
      <c r="G1223" s="34" t="s">
        <v>2186</v>
      </c>
      <c r="H1223" s="34" t="s">
        <v>816</v>
      </c>
      <c r="I1223" s="34" t="s">
        <v>2187</v>
      </c>
      <c r="J1223" s="35"/>
      <c r="K1223" s="36"/>
      <c r="L1223" s="36">
        <v>40.3</v>
      </c>
      <c r="M1223" s="36"/>
      <c r="N1223" s="36"/>
      <c r="O1223" s="36"/>
      <c r="P1223" s="37">
        <v>-10.6</v>
      </c>
      <c r="Q1223" s="36"/>
      <c r="R1223" s="36" t="s">
        <v>191</v>
      </c>
      <c r="S1223" s="36">
        <v>90.0</v>
      </c>
      <c r="T1223" s="36" t="s">
        <v>350</v>
      </c>
      <c r="U1223" s="36" t="s">
        <v>246</v>
      </c>
      <c r="V1223" s="36"/>
      <c r="W1223" s="36"/>
      <c r="X1223" s="38">
        <v>1.0</v>
      </c>
      <c r="Y1223" s="38" t="s">
        <v>2204</v>
      </c>
      <c r="Z1223" s="38" t="s">
        <v>2205</v>
      </c>
      <c r="AA1223" s="38" t="s">
        <v>452</v>
      </c>
      <c r="AB1223" s="38"/>
      <c r="AC1223" s="38"/>
      <c r="AD1223" s="38" t="s">
        <v>87</v>
      </c>
      <c r="AE1223" s="38">
        <v>3030.0</v>
      </c>
      <c r="AF1223" s="38" t="s">
        <v>2206</v>
      </c>
      <c r="AG1223" s="38"/>
      <c r="AH1223" s="38">
        <v>40.3</v>
      </c>
      <c r="AI1223" s="50">
        <v>35.8884</v>
      </c>
      <c r="AJ1223" s="50">
        <v>-106.5321</v>
      </c>
      <c r="AK1223" s="41" t="s">
        <v>200</v>
      </c>
      <c r="AL1223" s="40" t="s">
        <v>200</v>
      </c>
      <c r="AM1223" s="49">
        <v>3043.0</v>
      </c>
      <c r="AN1223" s="51">
        <v>3043.0</v>
      </c>
      <c r="AO1223" s="42" t="s">
        <v>372</v>
      </c>
      <c r="AP1223" s="43" t="s">
        <v>107</v>
      </c>
      <c r="AQ1223" s="44" t="str">
        <f t="shared" ref="AQ1223:AQ1226" si="145">AA1223</f>
        <v>MF</v>
      </c>
      <c r="AR1223" s="44">
        <f t="shared" si="144"/>
        <v>3043</v>
      </c>
      <c r="AS1223" s="44" t="str">
        <f t="shared" si="132"/>
        <v>D</v>
      </c>
      <c r="AT1223" s="44" t="str">
        <f t="shared" si="114"/>
        <v>Df</v>
      </c>
      <c r="AU1223" s="44" t="str">
        <f t="shared" si="115"/>
        <v>Dfb</v>
      </c>
      <c r="AV1223" s="38"/>
      <c r="AW1223" s="38"/>
      <c r="AX1223" s="38"/>
      <c r="AY1223" s="38"/>
      <c r="AZ1223" s="29">
        <v>30.0</v>
      </c>
      <c r="BA1223" s="29">
        <v>1.0</v>
      </c>
      <c r="BB1223" s="29">
        <v>1.0</v>
      </c>
      <c r="BC1223" s="29"/>
      <c r="BD1223" s="29" t="s">
        <v>88</v>
      </c>
      <c r="BE1223" s="29" t="s">
        <v>263</v>
      </c>
      <c r="BF1223" s="29" t="s">
        <v>2190</v>
      </c>
      <c r="BG1223" s="29" t="s">
        <v>572</v>
      </c>
      <c r="BH1223" s="29" t="s">
        <v>92</v>
      </c>
      <c r="BI1223" s="29" t="s">
        <v>2191</v>
      </c>
      <c r="BJ1223" s="29" t="s">
        <v>2192</v>
      </c>
      <c r="BK1223" s="29" t="s">
        <v>2193</v>
      </c>
      <c r="BL1223" s="29" t="s">
        <v>2193</v>
      </c>
      <c r="BM1223" s="45"/>
      <c r="BN1223" s="45">
        <v>1.0</v>
      </c>
      <c r="BO1223" s="46" t="s">
        <v>802</v>
      </c>
      <c r="BP1223" s="2"/>
      <c r="BQ1223" s="3"/>
    </row>
    <row r="1224" ht="15.75" customHeight="1">
      <c r="A1224" s="34">
        <v>1241.0</v>
      </c>
      <c r="B1224" s="34">
        <v>102611.0</v>
      </c>
      <c r="C1224" s="34" t="s">
        <v>832</v>
      </c>
      <c r="D1224" s="34" t="s">
        <v>2207</v>
      </c>
      <c r="E1224" s="34" t="s">
        <v>2208</v>
      </c>
      <c r="F1224" s="34">
        <v>2020.0</v>
      </c>
      <c r="G1224" s="34" t="s">
        <v>2209</v>
      </c>
      <c r="H1224" s="34" t="s">
        <v>816</v>
      </c>
      <c r="I1224" s="34" t="s">
        <v>2210</v>
      </c>
      <c r="J1224" s="35"/>
      <c r="K1224" s="36"/>
      <c r="L1224" s="36"/>
      <c r="M1224" s="36"/>
      <c r="N1224" s="36"/>
      <c r="O1224" s="36"/>
      <c r="P1224" s="37">
        <v>-8.85</v>
      </c>
      <c r="Q1224" s="36"/>
      <c r="R1224" s="36" t="s">
        <v>191</v>
      </c>
      <c r="S1224" s="36">
        <v>1000.0</v>
      </c>
      <c r="T1224" s="36" t="s">
        <v>2211</v>
      </c>
      <c r="U1224" s="36" t="s">
        <v>246</v>
      </c>
      <c r="V1224" s="36"/>
      <c r="W1224" s="36"/>
      <c r="X1224" s="38">
        <v>1.0</v>
      </c>
      <c r="Y1224" s="38" t="s">
        <v>1256</v>
      </c>
      <c r="Z1224" s="38" t="s">
        <v>1256</v>
      </c>
      <c r="AA1224" s="38" t="s">
        <v>288</v>
      </c>
      <c r="AB1224" s="38">
        <v>38.04</v>
      </c>
      <c r="AC1224" s="38">
        <v>100.46</v>
      </c>
      <c r="AD1224" s="38" t="s">
        <v>198</v>
      </c>
      <c r="AE1224" s="38">
        <v>3033.0</v>
      </c>
      <c r="AF1224" s="38" t="s">
        <v>1259</v>
      </c>
      <c r="AG1224" s="38"/>
      <c r="AH1224" s="38"/>
      <c r="AI1224" s="50">
        <v>38.04</v>
      </c>
      <c r="AJ1224" s="50">
        <v>100.46</v>
      </c>
      <c r="AK1224" s="41" t="s">
        <v>288</v>
      </c>
      <c r="AL1224" s="40" t="s">
        <v>288</v>
      </c>
      <c r="AM1224" s="49">
        <v>3028.0</v>
      </c>
      <c r="AN1224" s="51">
        <v>3028.0</v>
      </c>
      <c r="AO1224" s="42" t="s">
        <v>597</v>
      </c>
      <c r="AP1224" s="43" t="s">
        <v>597</v>
      </c>
      <c r="AQ1224" s="44" t="str">
        <f t="shared" si="145"/>
        <v>GRA</v>
      </c>
      <c r="AR1224" s="44">
        <f t="shared" si="144"/>
        <v>3028</v>
      </c>
      <c r="AS1224" s="44" t="str">
        <f t="shared" si="132"/>
        <v>D</v>
      </c>
      <c r="AT1224" s="44" t="str">
        <f t="shared" si="114"/>
        <v>Dw</v>
      </c>
      <c r="AU1224" s="44" t="str">
        <f t="shared" si="115"/>
        <v>Dwc</v>
      </c>
      <c r="AV1224" s="38"/>
      <c r="AW1224" s="38"/>
      <c r="AX1224" s="38"/>
      <c r="AY1224" s="38"/>
      <c r="AZ1224" s="29">
        <v>1000.0</v>
      </c>
      <c r="BA1224" s="29">
        <v>1.0</v>
      </c>
      <c r="BB1224" s="29">
        <v>1.0</v>
      </c>
      <c r="BC1224" s="29"/>
      <c r="BD1224" s="29" t="s">
        <v>88</v>
      </c>
      <c r="BE1224" s="29"/>
      <c r="BF1224" s="29" t="s">
        <v>2212</v>
      </c>
      <c r="BG1224" s="29" t="s">
        <v>220</v>
      </c>
      <c r="BH1224" s="29" t="s">
        <v>88</v>
      </c>
      <c r="BI1224" s="29" t="s">
        <v>2213</v>
      </c>
      <c r="BJ1224" s="29"/>
      <c r="BK1224" s="29" t="s">
        <v>2214</v>
      </c>
      <c r="BL1224" s="29" t="s">
        <v>2215</v>
      </c>
      <c r="BM1224" s="45"/>
      <c r="BN1224" s="45">
        <v>1.0</v>
      </c>
      <c r="BO1224" s="46">
        <v>1.0</v>
      </c>
      <c r="BP1224" s="2"/>
      <c r="BQ1224" s="3"/>
    </row>
    <row r="1225" ht="15.75" customHeight="1">
      <c r="A1225" s="34">
        <v>1242.0</v>
      </c>
      <c r="B1225" s="34">
        <v>102611.0</v>
      </c>
      <c r="C1225" s="34" t="s">
        <v>832</v>
      </c>
      <c r="D1225" s="34" t="s">
        <v>2207</v>
      </c>
      <c r="E1225" s="34" t="s">
        <v>2208</v>
      </c>
      <c r="F1225" s="34">
        <v>2020.0</v>
      </c>
      <c r="G1225" s="34" t="s">
        <v>2209</v>
      </c>
      <c r="H1225" s="34" t="s">
        <v>816</v>
      </c>
      <c r="I1225" s="34" t="s">
        <v>2210</v>
      </c>
      <c r="J1225" s="35"/>
      <c r="K1225" s="36"/>
      <c r="L1225" s="36"/>
      <c r="M1225" s="36"/>
      <c r="N1225" s="36"/>
      <c r="O1225" s="36"/>
      <c r="P1225" s="37">
        <v>-9.88</v>
      </c>
      <c r="Q1225" s="36"/>
      <c r="R1225" s="36" t="s">
        <v>191</v>
      </c>
      <c r="S1225" s="36">
        <v>1000.0</v>
      </c>
      <c r="T1225" s="36" t="s">
        <v>506</v>
      </c>
      <c r="U1225" s="36" t="s">
        <v>507</v>
      </c>
      <c r="V1225" s="36"/>
      <c r="W1225" s="36"/>
      <c r="X1225" s="38">
        <v>1.0</v>
      </c>
      <c r="Y1225" s="38" t="s">
        <v>275</v>
      </c>
      <c r="Z1225" s="38" t="s">
        <v>275</v>
      </c>
      <c r="AA1225" s="38" t="s">
        <v>86</v>
      </c>
      <c r="AB1225" s="38">
        <v>38.86</v>
      </c>
      <c r="AC1225" s="38">
        <v>100.41</v>
      </c>
      <c r="AD1225" s="38" t="s">
        <v>198</v>
      </c>
      <c r="AE1225" s="38">
        <v>1519.0</v>
      </c>
      <c r="AF1225" s="38" t="s">
        <v>2216</v>
      </c>
      <c r="AG1225" s="38"/>
      <c r="AH1225" s="38"/>
      <c r="AI1225" s="50">
        <v>38.86</v>
      </c>
      <c r="AJ1225" s="50">
        <v>100.416667</v>
      </c>
      <c r="AK1225" s="41" t="s">
        <v>86</v>
      </c>
      <c r="AL1225" s="40" t="s">
        <v>86</v>
      </c>
      <c r="AM1225" s="49">
        <v>1522.0</v>
      </c>
      <c r="AN1225" s="51">
        <v>1522.0</v>
      </c>
      <c r="AO1225" s="42" t="s">
        <v>261</v>
      </c>
      <c r="AP1225" s="43" t="s">
        <v>261</v>
      </c>
      <c r="AQ1225" s="44" t="str">
        <f t="shared" si="145"/>
        <v>CRO</v>
      </c>
      <c r="AR1225" s="44">
        <f t="shared" si="144"/>
        <v>1522</v>
      </c>
      <c r="AS1225" s="44" t="str">
        <f t="shared" si="132"/>
        <v>B</v>
      </c>
      <c r="AT1225" s="44" t="str">
        <f t="shared" si="114"/>
        <v>BW</v>
      </c>
      <c r="AU1225" s="44" t="str">
        <f t="shared" si="115"/>
        <v>BWk</v>
      </c>
      <c r="AV1225" s="38"/>
      <c r="AW1225" s="38"/>
      <c r="AX1225" s="38"/>
      <c r="AY1225" s="38"/>
      <c r="AZ1225" s="29">
        <v>1000.0</v>
      </c>
      <c r="BA1225" s="29">
        <v>1.0</v>
      </c>
      <c r="BB1225" s="29">
        <v>1.0</v>
      </c>
      <c r="BC1225" s="29"/>
      <c r="BD1225" s="29" t="s">
        <v>88</v>
      </c>
      <c r="BE1225" s="29"/>
      <c r="BF1225" s="29" t="s">
        <v>2217</v>
      </c>
      <c r="BG1225" s="29" t="s">
        <v>220</v>
      </c>
      <c r="BH1225" s="29" t="s">
        <v>88</v>
      </c>
      <c r="BI1225" s="29" t="s">
        <v>2213</v>
      </c>
      <c r="BJ1225" s="29"/>
      <c r="BK1225" s="29" t="s">
        <v>2214</v>
      </c>
      <c r="BL1225" s="29" t="s">
        <v>2215</v>
      </c>
      <c r="BM1225" s="45"/>
      <c r="BN1225" s="45">
        <v>1.0</v>
      </c>
      <c r="BO1225" s="46">
        <v>1.0</v>
      </c>
      <c r="BP1225" s="2"/>
      <c r="BQ1225" s="3"/>
    </row>
    <row r="1226" ht="15.75" customHeight="1">
      <c r="A1226" s="34">
        <v>1243.0</v>
      </c>
      <c r="B1226" s="34">
        <v>102611.0</v>
      </c>
      <c r="C1226" s="34" t="s">
        <v>832</v>
      </c>
      <c r="D1226" s="34" t="s">
        <v>2207</v>
      </c>
      <c r="E1226" s="34" t="s">
        <v>2208</v>
      </c>
      <c r="F1226" s="34">
        <v>2020.0</v>
      </c>
      <c r="G1226" s="34" t="s">
        <v>2209</v>
      </c>
      <c r="H1226" s="34" t="s">
        <v>816</v>
      </c>
      <c r="I1226" s="34" t="s">
        <v>2210</v>
      </c>
      <c r="J1226" s="35"/>
      <c r="K1226" s="36"/>
      <c r="L1226" s="36"/>
      <c r="M1226" s="36"/>
      <c r="N1226" s="36"/>
      <c r="O1226" s="36"/>
      <c r="P1226" s="37">
        <v>-9.88</v>
      </c>
      <c r="Q1226" s="36"/>
      <c r="R1226" s="36" t="s">
        <v>191</v>
      </c>
      <c r="S1226" s="36">
        <v>1000.0</v>
      </c>
      <c r="T1226" s="36" t="s">
        <v>1156</v>
      </c>
      <c r="U1226" s="36" t="s">
        <v>246</v>
      </c>
      <c r="V1226" s="36"/>
      <c r="W1226" s="36"/>
      <c r="X1226" s="38">
        <v>1.0</v>
      </c>
      <c r="Y1226" s="53" t="s">
        <v>256</v>
      </c>
      <c r="Z1226" s="38" t="s">
        <v>257</v>
      </c>
      <c r="AA1226" s="38" t="s">
        <v>86</v>
      </c>
      <c r="AB1226" s="38">
        <v>38.85</v>
      </c>
      <c r="AC1226" s="38">
        <v>100.37</v>
      </c>
      <c r="AD1226" s="38" t="s">
        <v>198</v>
      </c>
      <c r="AE1226" s="53"/>
      <c r="AF1226" s="38" t="s">
        <v>2216</v>
      </c>
      <c r="AG1226" s="57"/>
      <c r="AH1226" s="38"/>
      <c r="AI1226" s="50">
        <v>38.875</v>
      </c>
      <c r="AJ1226" s="50">
        <v>100.375</v>
      </c>
      <c r="AK1226" s="41" t="s">
        <v>86</v>
      </c>
      <c r="AL1226" s="40" t="s">
        <v>86</v>
      </c>
      <c r="AM1226" s="49">
        <v>1554.0</v>
      </c>
      <c r="AN1226" s="51">
        <v>1554.0</v>
      </c>
      <c r="AO1226" s="42" t="s">
        <v>261</v>
      </c>
      <c r="AP1226" s="43" t="s">
        <v>261</v>
      </c>
      <c r="AQ1226" s="44" t="str">
        <f t="shared" si="145"/>
        <v>CRO</v>
      </c>
      <c r="AR1226" s="44">
        <f t="shared" si="144"/>
        <v>1554</v>
      </c>
      <c r="AS1226" s="44" t="str">
        <f t="shared" si="132"/>
        <v>B</v>
      </c>
      <c r="AT1226" s="44" t="str">
        <f t="shared" si="114"/>
        <v>BW</v>
      </c>
      <c r="AU1226" s="44" t="str">
        <f t="shared" si="115"/>
        <v>BWk</v>
      </c>
      <c r="AV1226" s="38"/>
      <c r="AW1226" s="38"/>
      <c r="AX1226" s="38"/>
      <c r="AY1226" s="38"/>
      <c r="AZ1226" s="29">
        <v>1000.0</v>
      </c>
      <c r="BA1226" s="29">
        <v>1.0</v>
      </c>
      <c r="BB1226" s="29">
        <v>1.0</v>
      </c>
      <c r="BC1226" s="29"/>
      <c r="BD1226" s="29" t="s">
        <v>88</v>
      </c>
      <c r="BE1226" s="29"/>
      <c r="BF1226" s="29" t="s">
        <v>2218</v>
      </c>
      <c r="BG1226" s="29" t="s">
        <v>220</v>
      </c>
      <c r="BH1226" s="29" t="s">
        <v>88</v>
      </c>
      <c r="BI1226" s="29" t="s">
        <v>2213</v>
      </c>
      <c r="BJ1226" s="29"/>
      <c r="BK1226" s="29" t="s">
        <v>2214</v>
      </c>
      <c r="BL1226" s="29" t="s">
        <v>2215</v>
      </c>
      <c r="BM1226" s="45"/>
      <c r="BN1226" s="45">
        <v>1.0</v>
      </c>
      <c r="BO1226" s="46">
        <v>1.0</v>
      </c>
      <c r="BP1226" s="2"/>
      <c r="BQ1226" s="3"/>
    </row>
    <row r="1227" ht="15.75" customHeight="1">
      <c r="A1227" s="34">
        <v>1244.0</v>
      </c>
      <c r="B1227" s="34">
        <v>102611.0</v>
      </c>
      <c r="C1227" s="34" t="s">
        <v>832</v>
      </c>
      <c r="D1227" s="34" t="s">
        <v>2207</v>
      </c>
      <c r="E1227" s="34" t="s">
        <v>2208</v>
      </c>
      <c r="F1227" s="34">
        <v>2020.0</v>
      </c>
      <c r="G1227" s="34" t="s">
        <v>2209</v>
      </c>
      <c r="H1227" s="34" t="s">
        <v>816</v>
      </c>
      <c r="I1227" s="34" t="s">
        <v>2210</v>
      </c>
      <c r="J1227" s="35"/>
      <c r="K1227" s="36"/>
      <c r="L1227" s="36"/>
      <c r="M1227" s="36"/>
      <c r="N1227" s="36"/>
      <c r="O1227" s="36"/>
      <c r="P1227" s="37">
        <v>-3.96</v>
      </c>
      <c r="Q1227" s="36"/>
      <c r="R1227" s="36" t="s">
        <v>191</v>
      </c>
      <c r="S1227" s="36">
        <v>1000.0</v>
      </c>
      <c r="T1227" s="36" t="s">
        <v>2219</v>
      </c>
      <c r="U1227" s="36" t="s">
        <v>2220</v>
      </c>
      <c r="V1227" s="36"/>
      <c r="W1227" s="36"/>
      <c r="X1227" s="38">
        <v>1.0</v>
      </c>
      <c r="Y1227" s="38" t="s">
        <v>905</v>
      </c>
      <c r="Z1227" s="38" t="s">
        <v>905</v>
      </c>
      <c r="AA1227" s="38"/>
      <c r="AB1227" s="38">
        <v>42.0</v>
      </c>
      <c r="AC1227" s="38">
        <v>101.14</v>
      </c>
      <c r="AD1227" s="38" t="s">
        <v>198</v>
      </c>
      <c r="AE1227" s="38">
        <v>873.0</v>
      </c>
      <c r="AF1227" s="38" t="s">
        <v>2221</v>
      </c>
      <c r="AG1227" s="38"/>
      <c r="AH1227" s="38"/>
      <c r="AI1227" s="50">
        <v>42.0012</v>
      </c>
      <c r="AJ1227" s="50">
        <v>101.1374</v>
      </c>
      <c r="AK1227" s="41" t="s">
        <v>288</v>
      </c>
      <c r="AL1227" s="40" t="s">
        <v>288</v>
      </c>
      <c r="AM1227" s="49">
        <v>932.0</v>
      </c>
      <c r="AN1227" s="51">
        <v>932.0</v>
      </c>
      <c r="AO1227" s="42" t="s">
        <v>261</v>
      </c>
      <c r="AP1227" s="43" t="s">
        <v>261</v>
      </c>
      <c r="AQ1227" s="80" t="str">
        <f t="shared" ref="AQ1227:AQ1229" si="146">AK1227</f>
        <v>GRA</v>
      </c>
      <c r="AR1227" s="44">
        <f t="shared" si="144"/>
        <v>932</v>
      </c>
      <c r="AS1227" s="44" t="str">
        <f t="shared" si="132"/>
        <v>B</v>
      </c>
      <c r="AT1227" s="44" t="str">
        <f t="shared" si="114"/>
        <v>BW</v>
      </c>
      <c r="AU1227" s="44" t="str">
        <f t="shared" si="115"/>
        <v>BWk</v>
      </c>
      <c r="AV1227" s="38"/>
      <c r="AW1227" s="38"/>
      <c r="AX1227" s="38"/>
      <c r="AY1227" s="38"/>
      <c r="AZ1227" s="29">
        <v>1000.0</v>
      </c>
      <c r="BA1227" s="29">
        <v>1.0</v>
      </c>
      <c r="BB1227" s="29">
        <v>1.0</v>
      </c>
      <c r="BC1227" s="29"/>
      <c r="BD1227" s="29" t="s">
        <v>88</v>
      </c>
      <c r="BE1227" s="29"/>
      <c r="BF1227" s="29" t="s">
        <v>2222</v>
      </c>
      <c r="BG1227" s="29" t="s">
        <v>220</v>
      </c>
      <c r="BH1227" s="29" t="s">
        <v>88</v>
      </c>
      <c r="BI1227" s="29" t="s">
        <v>2213</v>
      </c>
      <c r="BJ1227" s="29"/>
      <c r="BK1227" s="29" t="s">
        <v>2214</v>
      </c>
      <c r="BL1227" s="29" t="s">
        <v>2215</v>
      </c>
      <c r="BM1227" s="45"/>
      <c r="BN1227" s="45">
        <v>1.0</v>
      </c>
      <c r="BO1227" s="46">
        <v>1.0</v>
      </c>
      <c r="BP1227" s="2"/>
      <c r="BQ1227" s="3"/>
    </row>
    <row r="1228" ht="15.75" customHeight="1">
      <c r="A1228" s="34">
        <v>1245.0</v>
      </c>
      <c r="B1228" s="34">
        <v>102611.0</v>
      </c>
      <c r="C1228" s="34" t="s">
        <v>832</v>
      </c>
      <c r="D1228" s="34" t="s">
        <v>2207</v>
      </c>
      <c r="E1228" s="34" t="s">
        <v>2208</v>
      </c>
      <c r="F1228" s="34">
        <v>2020.0</v>
      </c>
      <c r="G1228" s="34" t="s">
        <v>2209</v>
      </c>
      <c r="H1228" s="34" t="s">
        <v>816</v>
      </c>
      <c r="I1228" s="34" t="s">
        <v>2210</v>
      </c>
      <c r="J1228" s="35"/>
      <c r="K1228" s="36"/>
      <c r="L1228" s="36"/>
      <c r="M1228" s="36"/>
      <c r="N1228" s="36"/>
      <c r="O1228" s="36"/>
      <c r="P1228" s="37">
        <v>-16.97</v>
      </c>
      <c r="Q1228" s="36"/>
      <c r="R1228" s="36" t="s">
        <v>191</v>
      </c>
      <c r="S1228" s="36">
        <v>1000.0</v>
      </c>
      <c r="T1228" s="36" t="s">
        <v>2223</v>
      </c>
      <c r="U1228" s="36" t="s">
        <v>246</v>
      </c>
      <c r="V1228" s="36"/>
      <c r="W1228" s="36"/>
      <c r="X1228" s="38">
        <v>1.0</v>
      </c>
      <c r="Y1228" s="38" t="s">
        <v>2224</v>
      </c>
      <c r="Z1228" s="38" t="s">
        <v>2224</v>
      </c>
      <c r="AA1228" s="38"/>
      <c r="AB1228" s="38">
        <v>38.77</v>
      </c>
      <c r="AC1228" s="38">
        <v>100.32</v>
      </c>
      <c r="AD1228" s="38" t="s">
        <v>198</v>
      </c>
      <c r="AE1228" s="53"/>
      <c r="AF1228" s="38" t="s">
        <v>666</v>
      </c>
      <c r="AG1228" s="57"/>
      <c r="AH1228" s="38"/>
      <c r="AI1228" s="50">
        <v>38.77</v>
      </c>
      <c r="AJ1228" s="50">
        <v>100.32</v>
      </c>
      <c r="AK1228" s="41" t="s">
        <v>288</v>
      </c>
      <c r="AL1228" s="40" t="s">
        <v>288</v>
      </c>
      <c r="AM1228" s="49">
        <v>1713.0</v>
      </c>
      <c r="AN1228" s="51">
        <v>1713.0</v>
      </c>
      <c r="AO1228" s="42" t="s">
        <v>293</v>
      </c>
      <c r="AP1228" s="43" t="s">
        <v>293</v>
      </c>
      <c r="AQ1228" s="80" t="str">
        <f t="shared" si="146"/>
        <v>GRA</v>
      </c>
      <c r="AR1228" s="44">
        <f t="shared" si="144"/>
        <v>1713</v>
      </c>
      <c r="AS1228" s="44" t="str">
        <f t="shared" si="132"/>
        <v>B</v>
      </c>
      <c r="AT1228" s="44" t="str">
        <f t="shared" si="114"/>
        <v>BS</v>
      </c>
      <c r="AU1228" s="44" t="str">
        <f t="shared" si="115"/>
        <v>BSk</v>
      </c>
      <c r="AV1228" s="38"/>
      <c r="AW1228" s="38"/>
      <c r="AX1228" s="38"/>
      <c r="AY1228" s="38"/>
      <c r="AZ1228" s="29">
        <v>1000.0</v>
      </c>
      <c r="BA1228" s="29">
        <v>1.0</v>
      </c>
      <c r="BB1228" s="29">
        <v>1.0</v>
      </c>
      <c r="BC1228" s="29"/>
      <c r="BD1228" s="29" t="s">
        <v>88</v>
      </c>
      <c r="BE1228" s="29"/>
      <c r="BF1228" s="29" t="s">
        <v>2225</v>
      </c>
      <c r="BG1228" s="29" t="s">
        <v>220</v>
      </c>
      <c r="BH1228" s="29" t="s">
        <v>88</v>
      </c>
      <c r="BI1228" s="29" t="s">
        <v>2213</v>
      </c>
      <c r="BJ1228" s="29"/>
      <c r="BK1228" s="29" t="s">
        <v>2214</v>
      </c>
      <c r="BL1228" s="29" t="s">
        <v>2215</v>
      </c>
      <c r="BM1228" s="45"/>
      <c r="BN1228" s="45">
        <v>1.0</v>
      </c>
      <c r="BO1228" s="46">
        <v>1.0</v>
      </c>
      <c r="BP1228" s="2" t="s">
        <v>2226</v>
      </c>
      <c r="BQ1228" s="3"/>
    </row>
    <row r="1229" ht="15.75" customHeight="1">
      <c r="A1229" s="34">
        <v>1246.0</v>
      </c>
      <c r="B1229" s="34">
        <v>102611.0</v>
      </c>
      <c r="C1229" s="34" t="s">
        <v>832</v>
      </c>
      <c r="D1229" s="34" t="s">
        <v>2207</v>
      </c>
      <c r="E1229" s="34" t="s">
        <v>2208</v>
      </c>
      <c r="F1229" s="34">
        <v>2020.0</v>
      </c>
      <c r="G1229" s="34" t="s">
        <v>2209</v>
      </c>
      <c r="H1229" s="34" t="s">
        <v>816</v>
      </c>
      <c r="I1229" s="34" t="s">
        <v>2210</v>
      </c>
      <c r="J1229" s="35"/>
      <c r="K1229" s="36"/>
      <c r="L1229" s="36"/>
      <c r="M1229" s="36"/>
      <c r="N1229" s="36"/>
      <c r="O1229" s="36"/>
      <c r="P1229" s="37">
        <v>15.97</v>
      </c>
      <c r="Q1229" s="36"/>
      <c r="R1229" s="36" t="s">
        <v>191</v>
      </c>
      <c r="S1229" s="36">
        <v>1000.0</v>
      </c>
      <c r="T1229" s="36" t="s">
        <v>2223</v>
      </c>
      <c r="U1229" s="36" t="s">
        <v>246</v>
      </c>
      <c r="V1229" s="36"/>
      <c r="W1229" s="36"/>
      <c r="X1229" s="38">
        <v>1.0</v>
      </c>
      <c r="Y1229" s="38" t="s">
        <v>2227</v>
      </c>
      <c r="Z1229" s="38" t="s">
        <v>2227</v>
      </c>
      <c r="AA1229" s="38"/>
      <c r="AB1229" s="38">
        <v>38.79</v>
      </c>
      <c r="AC1229" s="38">
        <v>100.49</v>
      </c>
      <c r="AD1229" s="38" t="s">
        <v>198</v>
      </c>
      <c r="AE1229" s="38">
        <v>1594.0</v>
      </c>
      <c r="AF1229" s="38" t="s">
        <v>666</v>
      </c>
      <c r="AG1229" s="38"/>
      <c r="AH1229" s="38"/>
      <c r="AI1229" s="50">
        <v>38.79</v>
      </c>
      <c r="AJ1229" s="50">
        <v>100.49</v>
      </c>
      <c r="AK1229" s="41" t="s">
        <v>664</v>
      </c>
      <c r="AL1229" s="40" t="s">
        <v>664</v>
      </c>
      <c r="AM1229" s="49">
        <v>1549.0</v>
      </c>
      <c r="AN1229" s="51">
        <v>1549.0</v>
      </c>
      <c r="AO1229" s="42" t="s">
        <v>261</v>
      </c>
      <c r="AP1229" s="43" t="s">
        <v>293</v>
      </c>
      <c r="AQ1229" s="80" t="str">
        <f t="shared" si="146"/>
        <v>BSV</v>
      </c>
      <c r="AR1229" s="44">
        <f t="shared" si="144"/>
        <v>1549</v>
      </c>
      <c r="AS1229" s="44" t="str">
        <f t="shared" si="132"/>
        <v>B</v>
      </c>
      <c r="AT1229" s="44" t="str">
        <f t="shared" si="114"/>
        <v>BS</v>
      </c>
      <c r="AU1229" s="44" t="str">
        <f t="shared" si="115"/>
        <v>BSk</v>
      </c>
      <c r="AV1229" s="38"/>
      <c r="AW1229" s="38"/>
      <c r="AX1229" s="38"/>
      <c r="AY1229" s="38"/>
      <c r="AZ1229" s="29">
        <v>1000.0</v>
      </c>
      <c r="BA1229" s="29">
        <v>1.0</v>
      </c>
      <c r="BB1229" s="29">
        <v>1.0</v>
      </c>
      <c r="BC1229" s="29"/>
      <c r="BD1229" s="29" t="s">
        <v>88</v>
      </c>
      <c r="BE1229" s="29"/>
      <c r="BF1229" s="29" t="s">
        <v>2228</v>
      </c>
      <c r="BG1229" s="29" t="s">
        <v>220</v>
      </c>
      <c r="BH1229" s="29" t="s">
        <v>88</v>
      </c>
      <c r="BI1229" s="29" t="s">
        <v>2213</v>
      </c>
      <c r="BJ1229" s="29"/>
      <c r="BK1229" s="29" t="s">
        <v>2214</v>
      </c>
      <c r="BL1229" s="29" t="s">
        <v>2215</v>
      </c>
      <c r="BM1229" s="45"/>
      <c r="BN1229" s="45">
        <v>1.0</v>
      </c>
      <c r="BO1229" s="46">
        <v>1.0</v>
      </c>
      <c r="BP1229" s="2"/>
      <c r="BQ1229" s="3"/>
    </row>
    <row r="1230" ht="15.75" customHeight="1">
      <c r="A1230" s="34">
        <v>1247.0</v>
      </c>
      <c r="B1230" s="34">
        <v>104243.0</v>
      </c>
      <c r="C1230" s="34" t="s">
        <v>832</v>
      </c>
      <c r="D1230" s="34" t="s">
        <v>2229</v>
      </c>
      <c r="E1230" s="34" t="s">
        <v>2230</v>
      </c>
      <c r="F1230" s="34">
        <v>2021.0</v>
      </c>
      <c r="G1230" s="34" t="s">
        <v>2231</v>
      </c>
      <c r="H1230" s="34" t="s">
        <v>816</v>
      </c>
      <c r="I1230" s="34" t="s">
        <v>2232</v>
      </c>
      <c r="J1230" s="35"/>
      <c r="K1230" s="36"/>
      <c r="L1230" s="36"/>
      <c r="M1230" s="36"/>
      <c r="N1230" s="36"/>
      <c r="O1230" s="36"/>
      <c r="P1230" s="37">
        <v>0.2</v>
      </c>
      <c r="Q1230" s="36"/>
      <c r="R1230" s="36"/>
      <c r="S1230" s="36" t="s">
        <v>2233</v>
      </c>
      <c r="T1230" s="36" t="s">
        <v>284</v>
      </c>
      <c r="U1230" s="36" t="s">
        <v>363</v>
      </c>
      <c r="V1230" s="36"/>
      <c r="W1230" s="36" t="s">
        <v>88</v>
      </c>
      <c r="X1230" s="38">
        <v>1.0</v>
      </c>
      <c r="Y1230" s="38" t="s">
        <v>2234</v>
      </c>
      <c r="Z1230" s="38"/>
      <c r="AA1230" s="38" t="s">
        <v>86</v>
      </c>
      <c r="AB1230" s="38">
        <v>31.666667</v>
      </c>
      <c r="AC1230" s="38">
        <v>7.591667</v>
      </c>
      <c r="AD1230" s="38" t="s">
        <v>2235</v>
      </c>
      <c r="AE1230" s="38"/>
      <c r="AF1230" s="38" t="s">
        <v>1112</v>
      </c>
      <c r="AG1230" s="38"/>
      <c r="AH1230" s="38"/>
      <c r="AI1230" s="50">
        <v>31.666667</v>
      </c>
      <c r="AJ1230" s="50">
        <v>-7.591667</v>
      </c>
      <c r="AK1230" s="41" t="s">
        <v>86</v>
      </c>
      <c r="AL1230" s="40" t="s">
        <v>86</v>
      </c>
      <c r="AM1230" s="49">
        <v>577.0</v>
      </c>
      <c r="AN1230" s="51">
        <v>577.0</v>
      </c>
      <c r="AO1230" s="42" t="s">
        <v>304</v>
      </c>
      <c r="AP1230" s="43" t="s">
        <v>304</v>
      </c>
      <c r="AQ1230" s="44" t="str">
        <f t="shared" ref="AQ1230:AQ1370" si="147">AA1230</f>
        <v>CRO</v>
      </c>
      <c r="AR1230" s="44">
        <f t="shared" si="144"/>
        <v>577</v>
      </c>
      <c r="AS1230" s="44" t="str">
        <f t="shared" si="132"/>
        <v>B</v>
      </c>
      <c r="AT1230" s="44" t="str">
        <f t="shared" si="114"/>
        <v>BS</v>
      </c>
      <c r="AU1230" s="44" t="str">
        <f t="shared" si="115"/>
        <v>BSh</v>
      </c>
      <c r="AV1230" s="38"/>
      <c r="AW1230" s="38"/>
      <c r="AX1230" s="38"/>
      <c r="AY1230" s="38"/>
      <c r="AZ1230" s="29"/>
      <c r="BA1230" s="29">
        <v>1.0</v>
      </c>
      <c r="BB1230" s="29">
        <v>1.0</v>
      </c>
      <c r="BC1230" s="29"/>
      <c r="BD1230" s="29"/>
      <c r="BE1230" s="29"/>
      <c r="BF1230" s="29" t="s">
        <v>2236</v>
      </c>
      <c r="BG1230" s="29" t="s">
        <v>738</v>
      </c>
      <c r="BH1230" s="29" t="s">
        <v>88</v>
      </c>
      <c r="BI1230" s="29"/>
      <c r="BJ1230" s="29" t="s">
        <v>2237</v>
      </c>
      <c r="BK1230" s="29" t="s">
        <v>2237</v>
      </c>
      <c r="BL1230" s="29"/>
      <c r="BM1230" s="45"/>
      <c r="BN1230" s="45">
        <v>1.0</v>
      </c>
      <c r="BO1230" s="46" t="s">
        <v>2238</v>
      </c>
      <c r="BP1230" s="2"/>
      <c r="BQ1230" s="3"/>
    </row>
    <row r="1231" ht="15.75" customHeight="1">
      <c r="A1231" s="34">
        <v>1248.0</v>
      </c>
      <c r="B1231" s="34">
        <v>104243.0</v>
      </c>
      <c r="C1231" s="34" t="s">
        <v>832</v>
      </c>
      <c r="D1231" s="34" t="s">
        <v>2229</v>
      </c>
      <c r="E1231" s="34" t="s">
        <v>2230</v>
      </c>
      <c r="F1231" s="34">
        <v>2021.0</v>
      </c>
      <c r="G1231" s="34" t="s">
        <v>2231</v>
      </c>
      <c r="H1231" s="34" t="s">
        <v>816</v>
      </c>
      <c r="I1231" s="34" t="s">
        <v>2232</v>
      </c>
      <c r="J1231" s="35"/>
      <c r="K1231" s="36"/>
      <c r="L1231" s="36"/>
      <c r="M1231" s="36"/>
      <c r="N1231" s="36"/>
      <c r="O1231" s="36"/>
      <c r="P1231" s="37">
        <v>0.02</v>
      </c>
      <c r="Q1231" s="36"/>
      <c r="R1231" s="36"/>
      <c r="S1231" s="36" t="s">
        <v>2239</v>
      </c>
      <c r="T1231" s="36" t="s">
        <v>837</v>
      </c>
      <c r="U1231" s="36" t="s">
        <v>168</v>
      </c>
      <c r="V1231" s="36"/>
      <c r="W1231" s="36" t="s">
        <v>88</v>
      </c>
      <c r="X1231" s="38">
        <v>1.0</v>
      </c>
      <c r="Y1231" s="38" t="s">
        <v>2240</v>
      </c>
      <c r="Z1231" s="38"/>
      <c r="AA1231" s="38" t="s">
        <v>86</v>
      </c>
      <c r="AB1231" s="38">
        <v>31.641667</v>
      </c>
      <c r="AC1231" s="38">
        <v>7.608333</v>
      </c>
      <c r="AD1231" s="38" t="s">
        <v>2235</v>
      </c>
      <c r="AE1231" s="38"/>
      <c r="AF1231" s="38" t="s">
        <v>1112</v>
      </c>
      <c r="AG1231" s="38"/>
      <c r="AH1231" s="38"/>
      <c r="AI1231" s="50">
        <v>31.641667</v>
      </c>
      <c r="AJ1231" s="50">
        <v>-7.608333</v>
      </c>
      <c r="AK1231" s="41" t="s">
        <v>86</v>
      </c>
      <c r="AL1231" s="40" t="s">
        <v>86</v>
      </c>
      <c r="AM1231" s="49">
        <v>581.0</v>
      </c>
      <c r="AN1231" s="51">
        <v>581.0</v>
      </c>
      <c r="AO1231" s="42" t="s">
        <v>304</v>
      </c>
      <c r="AP1231" s="43" t="s">
        <v>304</v>
      </c>
      <c r="AQ1231" s="44" t="str">
        <f t="shared" si="147"/>
        <v>CRO</v>
      </c>
      <c r="AR1231" s="44">
        <f t="shared" si="144"/>
        <v>581</v>
      </c>
      <c r="AS1231" s="44" t="str">
        <f t="shared" si="132"/>
        <v>B</v>
      </c>
      <c r="AT1231" s="44" t="str">
        <f t="shared" si="114"/>
        <v>BS</v>
      </c>
      <c r="AU1231" s="44" t="str">
        <f t="shared" si="115"/>
        <v>BSh</v>
      </c>
      <c r="AV1231" s="38"/>
      <c r="AW1231" s="38"/>
      <c r="AX1231" s="38"/>
      <c r="AY1231" s="38"/>
      <c r="AZ1231" s="29"/>
      <c r="BA1231" s="29">
        <v>1.0</v>
      </c>
      <c r="BB1231" s="29">
        <v>1.0</v>
      </c>
      <c r="BC1231" s="29"/>
      <c r="BD1231" s="29"/>
      <c r="BE1231" s="29"/>
      <c r="BF1231" s="29" t="s">
        <v>2236</v>
      </c>
      <c r="BG1231" s="29" t="s">
        <v>738</v>
      </c>
      <c r="BH1231" s="29" t="s">
        <v>88</v>
      </c>
      <c r="BI1231" s="29"/>
      <c r="BJ1231" s="29" t="s">
        <v>2237</v>
      </c>
      <c r="BK1231" s="29" t="s">
        <v>2237</v>
      </c>
      <c r="BL1231" s="29"/>
      <c r="BM1231" s="45"/>
      <c r="BN1231" s="45">
        <v>1.0</v>
      </c>
      <c r="BO1231" s="46" t="s">
        <v>2238</v>
      </c>
      <c r="BP1231" s="2"/>
      <c r="BQ1231" s="3"/>
    </row>
    <row r="1232" ht="15.75" customHeight="1">
      <c r="A1232" s="34">
        <v>1249.0</v>
      </c>
      <c r="B1232" s="34">
        <v>104243.0</v>
      </c>
      <c r="C1232" s="34" t="s">
        <v>832</v>
      </c>
      <c r="D1232" s="34" t="s">
        <v>2229</v>
      </c>
      <c r="E1232" s="34" t="s">
        <v>2230</v>
      </c>
      <c r="F1232" s="34">
        <v>2021.0</v>
      </c>
      <c r="G1232" s="34" t="s">
        <v>2231</v>
      </c>
      <c r="H1232" s="34" t="s">
        <v>816</v>
      </c>
      <c r="I1232" s="34" t="s">
        <v>2232</v>
      </c>
      <c r="J1232" s="35"/>
      <c r="K1232" s="36"/>
      <c r="L1232" s="36"/>
      <c r="M1232" s="36"/>
      <c r="N1232" s="36"/>
      <c r="O1232" s="36"/>
      <c r="P1232" s="37">
        <v>16.5</v>
      </c>
      <c r="Q1232" s="36"/>
      <c r="R1232" s="36"/>
      <c r="S1232" s="36" t="s">
        <v>2241</v>
      </c>
      <c r="T1232" s="36" t="s">
        <v>837</v>
      </c>
      <c r="U1232" s="36" t="s">
        <v>168</v>
      </c>
      <c r="V1232" s="36"/>
      <c r="W1232" s="36" t="s">
        <v>88</v>
      </c>
      <c r="X1232" s="38">
        <v>1.0</v>
      </c>
      <c r="Y1232" s="38" t="s">
        <v>2242</v>
      </c>
      <c r="Z1232" s="38"/>
      <c r="AA1232" s="38" t="s">
        <v>86</v>
      </c>
      <c r="AB1232" s="38">
        <v>31.638889</v>
      </c>
      <c r="AC1232" s="38">
        <v>7.6</v>
      </c>
      <c r="AD1232" s="38" t="s">
        <v>2235</v>
      </c>
      <c r="AE1232" s="38"/>
      <c r="AF1232" s="38" t="s">
        <v>1112</v>
      </c>
      <c r="AG1232" s="38"/>
      <c r="AH1232" s="38"/>
      <c r="AI1232" s="50">
        <v>31.638889</v>
      </c>
      <c r="AJ1232" s="50">
        <v>-7.6</v>
      </c>
      <c r="AK1232" s="41" t="s">
        <v>86</v>
      </c>
      <c r="AL1232" s="40" t="s">
        <v>86</v>
      </c>
      <c r="AM1232" s="49">
        <v>590.0</v>
      </c>
      <c r="AN1232" s="51">
        <v>590.0</v>
      </c>
      <c r="AO1232" s="42" t="s">
        <v>304</v>
      </c>
      <c r="AP1232" s="43" t="s">
        <v>304</v>
      </c>
      <c r="AQ1232" s="44" t="str">
        <f t="shared" si="147"/>
        <v>CRO</v>
      </c>
      <c r="AR1232" s="44">
        <f t="shared" si="144"/>
        <v>590</v>
      </c>
      <c r="AS1232" s="44" t="str">
        <f t="shared" si="132"/>
        <v>B</v>
      </c>
      <c r="AT1232" s="44" t="str">
        <f t="shared" si="114"/>
        <v>BS</v>
      </c>
      <c r="AU1232" s="44" t="str">
        <f t="shared" si="115"/>
        <v>BSh</v>
      </c>
      <c r="AV1232" s="38"/>
      <c r="AW1232" s="38"/>
      <c r="AX1232" s="38"/>
      <c r="AY1232" s="38"/>
      <c r="AZ1232" s="29"/>
      <c r="BA1232" s="29">
        <v>1.0</v>
      </c>
      <c r="BB1232" s="29">
        <v>1.0</v>
      </c>
      <c r="BC1232" s="29"/>
      <c r="BD1232" s="29"/>
      <c r="BE1232" s="29"/>
      <c r="BF1232" s="29" t="s">
        <v>2236</v>
      </c>
      <c r="BG1232" s="29" t="s">
        <v>738</v>
      </c>
      <c r="BH1232" s="29" t="s">
        <v>88</v>
      </c>
      <c r="BI1232" s="29"/>
      <c r="BJ1232" s="29" t="s">
        <v>2237</v>
      </c>
      <c r="BK1232" s="29" t="s">
        <v>2237</v>
      </c>
      <c r="BL1232" s="29"/>
      <c r="BM1232" s="45"/>
      <c r="BN1232" s="45">
        <v>1.0</v>
      </c>
      <c r="BO1232" s="46" t="s">
        <v>2238</v>
      </c>
      <c r="BP1232" s="2"/>
      <c r="BQ1232" s="3"/>
    </row>
    <row r="1233" ht="15.75" customHeight="1">
      <c r="A1233" s="34">
        <v>1250.0</v>
      </c>
      <c r="B1233" s="34">
        <v>104243.0</v>
      </c>
      <c r="C1233" s="34" t="s">
        <v>832</v>
      </c>
      <c r="D1233" s="34" t="s">
        <v>2229</v>
      </c>
      <c r="E1233" s="34" t="s">
        <v>2230</v>
      </c>
      <c r="F1233" s="34">
        <v>2021.0</v>
      </c>
      <c r="G1233" s="34" t="s">
        <v>2231</v>
      </c>
      <c r="H1233" s="34" t="s">
        <v>816</v>
      </c>
      <c r="I1233" s="34" t="s">
        <v>2232</v>
      </c>
      <c r="J1233" s="35"/>
      <c r="K1233" s="36"/>
      <c r="L1233" s="36"/>
      <c r="M1233" s="36"/>
      <c r="N1233" s="36"/>
      <c r="O1233" s="36"/>
      <c r="P1233" s="37">
        <v>4.2</v>
      </c>
      <c r="Q1233" s="36"/>
      <c r="R1233" s="36"/>
      <c r="S1233" s="36" t="s">
        <v>1981</v>
      </c>
      <c r="T1233" s="36" t="s">
        <v>284</v>
      </c>
      <c r="U1233" s="36" t="s">
        <v>363</v>
      </c>
      <c r="V1233" s="36"/>
      <c r="W1233" s="36" t="s">
        <v>88</v>
      </c>
      <c r="X1233" s="38">
        <v>1.0</v>
      </c>
      <c r="Y1233" s="38" t="s">
        <v>2243</v>
      </c>
      <c r="Z1233" s="38"/>
      <c r="AA1233" s="38" t="s">
        <v>86</v>
      </c>
      <c r="AB1233" s="38">
        <v>31.598611</v>
      </c>
      <c r="AC1233" s="38">
        <v>7.972222</v>
      </c>
      <c r="AD1233" s="38" t="s">
        <v>2235</v>
      </c>
      <c r="AE1233" s="38"/>
      <c r="AF1233" s="38" t="s">
        <v>2244</v>
      </c>
      <c r="AG1233" s="38"/>
      <c r="AH1233" s="38"/>
      <c r="AI1233" s="50">
        <v>31.598611</v>
      </c>
      <c r="AJ1233" s="50">
        <v>-7.972222</v>
      </c>
      <c r="AK1233" s="41" t="s">
        <v>505</v>
      </c>
      <c r="AL1233" s="40" t="s">
        <v>505</v>
      </c>
      <c r="AM1233" s="49">
        <v>491.0</v>
      </c>
      <c r="AN1233" s="51">
        <v>491.0</v>
      </c>
      <c r="AO1233" s="42" t="s">
        <v>304</v>
      </c>
      <c r="AP1233" s="43" t="s">
        <v>355</v>
      </c>
      <c r="AQ1233" s="44" t="str">
        <f t="shared" si="147"/>
        <v>CRO</v>
      </c>
      <c r="AR1233" s="44">
        <f t="shared" si="144"/>
        <v>491</v>
      </c>
      <c r="AS1233" s="44" t="str">
        <f t="shared" si="132"/>
        <v>B</v>
      </c>
      <c r="AT1233" s="44" t="str">
        <f t="shared" si="114"/>
        <v>BW</v>
      </c>
      <c r="AU1233" s="44" t="str">
        <f t="shared" si="115"/>
        <v>BWh</v>
      </c>
      <c r="AV1233" s="38"/>
      <c r="AW1233" s="38"/>
      <c r="AX1233" s="38"/>
      <c r="AY1233" s="38"/>
      <c r="AZ1233" s="29"/>
      <c r="BA1233" s="29">
        <v>1.0</v>
      </c>
      <c r="BB1233" s="29">
        <v>1.0</v>
      </c>
      <c r="BC1233" s="29"/>
      <c r="BD1233" s="29"/>
      <c r="BE1233" s="29"/>
      <c r="BF1233" s="29" t="s">
        <v>2236</v>
      </c>
      <c r="BG1233" s="29" t="s">
        <v>738</v>
      </c>
      <c r="BH1233" s="29" t="s">
        <v>88</v>
      </c>
      <c r="BI1233" s="29"/>
      <c r="BJ1233" s="29" t="s">
        <v>2237</v>
      </c>
      <c r="BK1233" s="29" t="s">
        <v>2237</v>
      </c>
      <c r="BL1233" s="29"/>
      <c r="BM1233" s="45"/>
      <c r="BN1233" s="45">
        <v>1.0</v>
      </c>
      <c r="BO1233" s="46" t="s">
        <v>2238</v>
      </c>
      <c r="BP1233" s="2"/>
      <c r="BQ1233" s="3"/>
    </row>
    <row r="1234" ht="15.75" customHeight="1">
      <c r="A1234" s="34">
        <v>1251.0</v>
      </c>
      <c r="B1234" s="34">
        <v>104243.0</v>
      </c>
      <c r="C1234" s="34" t="s">
        <v>832</v>
      </c>
      <c r="D1234" s="34" t="s">
        <v>2229</v>
      </c>
      <c r="E1234" s="34" t="s">
        <v>2230</v>
      </c>
      <c r="F1234" s="34">
        <v>2021.0</v>
      </c>
      <c r="G1234" s="34" t="s">
        <v>2231</v>
      </c>
      <c r="H1234" s="34" t="s">
        <v>816</v>
      </c>
      <c r="I1234" s="34" t="s">
        <v>2232</v>
      </c>
      <c r="J1234" s="35"/>
      <c r="K1234" s="36"/>
      <c r="L1234" s="36"/>
      <c r="M1234" s="36"/>
      <c r="N1234" s="36"/>
      <c r="O1234" s="36"/>
      <c r="P1234" s="37">
        <v>-1.8</v>
      </c>
      <c r="Q1234" s="36"/>
      <c r="R1234" s="36"/>
      <c r="S1234" s="36" t="s">
        <v>2233</v>
      </c>
      <c r="T1234" s="36" t="s">
        <v>284</v>
      </c>
      <c r="U1234" s="36" t="s">
        <v>363</v>
      </c>
      <c r="V1234" s="36"/>
      <c r="W1234" s="36" t="s">
        <v>88</v>
      </c>
      <c r="X1234" s="38">
        <v>1.0</v>
      </c>
      <c r="Y1234" s="38" t="s">
        <v>2245</v>
      </c>
      <c r="Z1234" s="38" t="s">
        <v>2246</v>
      </c>
      <c r="AA1234" s="38" t="s">
        <v>86</v>
      </c>
      <c r="AB1234" s="38">
        <v>31.658333</v>
      </c>
      <c r="AC1234" s="38">
        <v>7.608333</v>
      </c>
      <c r="AD1234" s="38" t="s">
        <v>2235</v>
      </c>
      <c r="AE1234" s="38"/>
      <c r="AF1234" s="38" t="s">
        <v>1112</v>
      </c>
      <c r="AG1234" s="38"/>
      <c r="AH1234" s="38"/>
      <c r="AI1234" s="50">
        <v>31.658333</v>
      </c>
      <c r="AJ1234" s="50">
        <v>-7.608333</v>
      </c>
      <c r="AK1234" s="41" t="s">
        <v>86</v>
      </c>
      <c r="AL1234" s="40" t="s">
        <v>86</v>
      </c>
      <c r="AM1234" s="49">
        <v>573.0</v>
      </c>
      <c r="AN1234" s="51">
        <v>573.0</v>
      </c>
      <c r="AO1234" s="42" t="s">
        <v>304</v>
      </c>
      <c r="AP1234" s="43" t="s">
        <v>304</v>
      </c>
      <c r="AQ1234" s="44" t="str">
        <f t="shared" si="147"/>
        <v>CRO</v>
      </c>
      <c r="AR1234" s="44">
        <f t="shared" si="144"/>
        <v>573</v>
      </c>
      <c r="AS1234" s="44" t="str">
        <f t="shared" si="132"/>
        <v>B</v>
      </c>
      <c r="AT1234" s="44" t="str">
        <f t="shared" si="114"/>
        <v>BS</v>
      </c>
      <c r="AU1234" s="44" t="str">
        <f t="shared" si="115"/>
        <v>BSh</v>
      </c>
      <c r="AV1234" s="38"/>
      <c r="AW1234" s="38"/>
      <c r="AX1234" s="38"/>
      <c r="AY1234" s="38"/>
      <c r="AZ1234" s="29"/>
      <c r="BA1234" s="29">
        <v>2.0</v>
      </c>
      <c r="BB1234" s="29">
        <v>1.0</v>
      </c>
      <c r="BC1234" s="29"/>
      <c r="BD1234" s="29"/>
      <c r="BE1234" s="29"/>
      <c r="BF1234" s="29" t="s">
        <v>2247</v>
      </c>
      <c r="BG1234" s="29" t="s">
        <v>738</v>
      </c>
      <c r="BH1234" s="29" t="s">
        <v>88</v>
      </c>
      <c r="BI1234" s="29"/>
      <c r="BJ1234" s="29" t="s">
        <v>2237</v>
      </c>
      <c r="BK1234" s="29" t="s">
        <v>2237</v>
      </c>
      <c r="BL1234" s="29"/>
      <c r="BM1234" s="45"/>
      <c r="BN1234" s="45">
        <v>1.0</v>
      </c>
      <c r="BO1234" s="46" t="s">
        <v>2238</v>
      </c>
      <c r="BP1234" s="2"/>
      <c r="BQ1234" s="3"/>
    </row>
    <row r="1235" ht="15.75" customHeight="1">
      <c r="A1235" s="34">
        <v>1252.0</v>
      </c>
      <c r="B1235" s="34">
        <v>104243.0</v>
      </c>
      <c r="C1235" s="34" t="s">
        <v>832</v>
      </c>
      <c r="D1235" s="34" t="s">
        <v>2229</v>
      </c>
      <c r="E1235" s="34" t="s">
        <v>2230</v>
      </c>
      <c r="F1235" s="34">
        <v>2021.0</v>
      </c>
      <c r="G1235" s="34" t="s">
        <v>2231</v>
      </c>
      <c r="H1235" s="34" t="s">
        <v>816</v>
      </c>
      <c r="I1235" s="34" t="s">
        <v>2232</v>
      </c>
      <c r="J1235" s="35"/>
      <c r="K1235" s="36"/>
      <c r="L1235" s="36"/>
      <c r="M1235" s="36"/>
      <c r="N1235" s="36"/>
      <c r="O1235" s="36"/>
      <c r="P1235" s="37">
        <v>-9.9</v>
      </c>
      <c r="Q1235" s="36"/>
      <c r="R1235" s="36"/>
      <c r="S1235" s="36" t="s">
        <v>2233</v>
      </c>
      <c r="T1235" s="36" t="s">
        <v>284</v>
      </c>
      <c r="U1235" s="36" t="s">
        <v>363</v>
      </c>
      <c r="V1235" s="36"/>
      <c r="W1235" s="36" t="s">
        <v>88</v>
      </c>
      <c r="X1235" s="38">
        <v>1.0</v>
      </c>
      <c r="Y1235" s="38" t="s">
        <v>2248</v>
      </c>
      <c r="Z1235" s="38" t="s">
        <v>2249</v>
      </c>
      <c r="AA1235" s="38" t="s">
        <v>86</v>
      </c>
      <c r="AB1235" s="38">
        <v>31.668056</v>
      </c>
      <c r="AC1235" s="38">
        <v>7.595833</v>
      </c>
      <c r="AD1235" s="38" t="s">
        <v>2235</v>
      </c>
      <c r="AE1235" s="38"/>
      <c r="AF1235" s="38" t="s">
        <v>1112</v>
      </c>
      <c r="AG1235" s="38"/>
      <c r="AH1235" s="38"/>
      <c r="AI1235" s="50">
        <v>31.668056</v>
      </c>
      <c r="AJ1235" s="50">
        <v>-7.595833</v>
      </c>
      <c r="AK1235" s="41" t="s">
        <v>86</v>
      </c>
      <c r="AL1235" s="40" t="s">
        <v>86</v>
      </c>
      <c r="AM1235" s="49">
        <v>575.0</v>
      </c>
      <c r="AN1235" s="51">
        <v>575.0</v>
      </c>
      <c r="AO1235" s="42" t="s">
        <v>304</v>
      </c>
      <c r="AP1235" s="43" t="s">
        <v>304</v>
      </c>
      <c r="AQ1235" s="44" t="str">
        <f t="shared" si="147"/>
        <v>CRO</v>
      </c>
      <c r="AR1235" s="44">
        <f t="shared" si="144"/>
        <v>575</v>
      </c>
      <c r="AS1235" s="44" t="str">
        <f t="shared" si="132"/>
        <v>B</v>
      </c>
      <c r="AT1235" s="44" t="str">
        <f t="shared" si="114"/>
        <v>BS</v>
      </c>
      <c r="AU1235" s="44" t="str">
        <f t="shared" si="115"/>
        <v>BSh</v>
      </c>
      <c r="AV1235" s="38"/>
      <c r="AW1235" s="38"/>
      <c r="AX1235" s="38"/>
      <c r="AY1235" s="38"/>
      <c r="AZ1235" s="29"/>
      <c r="BA1235" s="29">
        <v>2.0</v>
      </c>
      <c r="BB1235" s="29">
        <v>1.0</v>
      </c>
      <c r="BC1235" s="29"/>
      <c r="BD1235" s="29"/>
      <c r="BE1235" s="29"/>
      <c r="BF1235" s="29" t="s">
        <v>2247</v>
      </c>
      <c r="BG1235" s="29" t="s">
        <v>738</v>
      </c>
      <c r="BH1235" s="29" t="s">
        <v>88</v>
      </c>
      <c r="BI1235" s="29"/>
      <c r="BJ1235" s="29" t="s">
        <v>2237</v>
      </c>
      <c r="BK1235" s="29" t="s">
        <v>2237</v>
      </c>
      <c r="BL1235" s="29"/>
      <c r="BM1235" s="45"/>
      <c r="BN1235" s="45">
        <v>1.0</v>
      </c>
      <c r="BO1235" s="46" t="s">
        <v>2238</v>
      </c>
      <c r="BP1235" s="2"/>
      <c r="BQ1235" s="3"/>
    </row>
    <row r="1236" ht="15.75" customHeight="1">
      <c r="A1236" s="34">
        <v>1253.0</v>
      </c>
      <c r="B1236" s="34">
        <v>104243.0</v>
      </c>
      <c r="C1236" s="34" t="s">
        <v>832</v>
      </c>
      <c r="D1236" s="34" t="s">
        <v>2229</v>
      </c>
      <c r="E1236" s="34" t="s">
        <v>2230</v>
      </c>
      <c r="F1236" s="34">
        <v>2021.0</v>
      </c>
      <c r="G1236" s="34" t="s">
        <v>2231</v>
      </c>
      <c r="H1236" s="34" t="s">
        <v>816</v>
      </c>
      <c r="I1236" s="34" t="s">
        <v>2232</v>
      </c>
      <c r="J1236" s="35"/>
      <c r="K1236" s="36"/>
      <c r="L1236" s="36"/>
      <c r="M1236" s="36"/>
      <c r="N1236" s="36"/>
      <c r="O1236" s="36"/>
      <c r="P1236" s="37">
        <v>0.8</v>
      </c>
      <c r="Q1236" s="36"/>
      <c r="R1236" s="36"/>
      <c r="S1236" s="36" t="s">
        <v>2250</v>
      </c>
      <c r="T1236" s="36" t="s">
        <v>818</v>
      </c>
      <c r="U1236" s="36" t="s">
        <v>914</v>
      </c>
      <c r="V1236" s="36"/>
      <c r="W1236" s="36" t="s">
        <v>88</v>
      </c>
      <c r="X1236" s="38">
        <v>1.0</v>
      </c>
      <c r="Y1236" s="38" t="s">
        <v>2251</v>
      </c>
      <c r="Z1236" s="38" t="s">
        <v>2252</v>
      </c>
      <c r="AA1236" s="38" t="s">
        <v>86</v>
      </c>
      <c r="AB1236" s="38">
        <v>31.426944</v>
      </c>
      <c r="AC1236" s="38">
        <v>8.65</v>
      </c>
      <c r="AD1236" s="38" t="s">
        <v>2235</v>
      </c>
      <c r="AE1236" s="38"/>
      <c r="AF1236" s="38" t="s">
        <v>1112</v>
      </c>
      <c r="AG1236" s="38"/>
      <c r="AH1236" s="38"/>
      <c r="AI1236" s="50">
        <v>31.426944</v>
      </c>
      <c r="AJ1236" s="50">
        <v>-8.65</v>
      </c>
      <c r="AK1236" s="41" t="s">
        <v>86</v>
      </c>
      <c r="AL1236" s="40" t="s">
        <v>86</v>
      </c>
      <c r="AM1236" s="49">
        <v>511.0</v>
      </c>
      <c r="AN1236" s="51">
        <v>511.0</v>
      </c>
      <c r="AO1236" s="42" t="s">
        <v>304</v>
      </c>
      <c r="AP1236" s="43" t="s">
        <v>304</v>
      </c>
      <c r="AQ1236" s="44" t="str">
        <f t="shared" si="147"/>
        <v>CRO</v>
      </c>
      <c r="AR1236" s="44">
        <f t="shared" si="144"/>
        <v>511</v>
      </c>
      <c r="AS1236" s="44" t="str">
        <f t="shared" si="132"/>
        <v>B</v>
      </c>
      <c r="AT1236" s="44" t="str">
        <f t="shared" si="114"/>
        <v>BS</v>
      </c>
      <c r="AU1236" s="44" t="str">
        <f t="shared" si="115"/>
        <v>BSh</v>
      </c>
      <c r="AV1236" s="38"/>
      <c r="AW1236" s="38"/>
      <c r="AX1236" s="38"/>
      <c r="AY1236" s="38"/>
      <c r="AZ1236" s="29"/>
      <c r="BA1236" s="29">
        <v>2.0</v>
      </c>
      <c r="BB1236" s="29">
        <v>1.0</v>
      </c>
      <c r="BC1236" s="29"/>
      <c r="BD1236" s="29"/>
      <c r="BE1236" s="29"/>
      <c r="BF1236" s="29" t="s">
        <v>2247</v>
      </c>
      <c r="BG1236" s="29" t="s">
        <v>738</v>
      </c>
      <c r="BH1236" s="29" t="s">
        <v>88</v>
      </c>
      <c r="BI1236" s="29"/>
      <c r="BJ1236" s="29" t="s">
        <v>2237</v>
      </c>
      <c r="BK1236" s="29" t="s">
        <v>2237</v>
      </c>
      <c r="BL1236" s="29"/>
      <c r="BM1236" s="45"/>
      <c r="BN1236" s="45">
        <v>1.0</v>
      </c>
      <c r="BO1236" s="46" t="s">
        <v>2238</v>
      </c>
      <c r="BP1236" s="2"/>
      <c r="BQ1236" s="3"/>
    </row>
    <row r="1237" ht="15.75" customHeight="1">
      <c r="A1237" s="34">
        <v>1254.0</v>
      </c>
      <c r="B1237" s="34">
        <v>104243.0</v>
      </c>
      <c r="C1237" s="34" t="s">
        <v>832</v>
      </c>
      <c r="D1237" s="34" t="s">
        <v>2229</v>
      </c>
      <c r="E1237" s="34" t="s">
        <v>2230</v>
      </c>
      <c r="F1237" s="34">
        <v>2021.0</v>
      </c>
      <c r="G1237" s="34" t="s">
        <v>2231</v>
      </c>
      <c r="H1237" s="34" t="s">
        <v>816</v>
      </c>
      <c r="I1237" s="34" t="s">
        <v>2232</v>
      </c>
      <c r="J1237" s="35"/>
      <c r="K1237" s="36"/>
      <c r="L1237" s="36"/>
      <c r="M1237" s="36"/>
      <c r="N1237" s="36"/>
      <c r="O1237" s="36"/>
      <c r="P1237" s="37">
        <v>-11.6</v>
      </c>
      <c r="Q1237" s="36"/>
      <c r="R1237" s="36"/>
      <c r="S1237" s="36" t="s">
        <v>2253</v>
      </c>
      <c r="T1237" s="36" t="s">
        <v>317</v>
      </c>
      <c r="U1237" s="36" t="s">
        <v>285</v>
      </c>
      <c r="V1237" s="36"/>
      <c r="W1237" s="36" t="s">
        <v>88</v>
      </c>
      <c r="X1237" s="38">
        <v>1.0</v>
      </c>
      <c r="Y1237" s="38" t="s">
        <v>2254</v>
      </c>
      <c r="Z1237" s="38" t="s">
        <v>2255</v>
      </c>
      <c r="AA1237" s="38" t="s">
        <v>86</v>
      </c>
      <c r="AB1237" s="38">
        <v>31.669444</v>
      </c>
      <c r="AC1237" s="38">
        <v>7.6</v>
      </c>
      <c r="AD1237" s="38" t="s">
        <v>2235</v>
      </c>
      <c r="AE1237" s="38"/>
      <c r="AF1237" s="38" t="s">
        <v>2244</v>
      </c>
      <c r="AG1237" s="38"/>
      <c r="AH1237" s="38"/>
      <c r="AI1237" s="50">
        <v>31.669444</v>
      </c>
      <c r="AJ1237" s="50">
        <v>-7.6</v>
      </c>
      <c r="AK1237" s="41" t="s">
        <v>86</v>
      </c>
      <c r="AL1237" s="40" t="s">
        <v>86</v>
      </c>
      <c r="AM1237" s="49">
        <v>570.0</v>
      </c>
      <c r="AN1237" s="51">
        <v>570.0</v>
      </c>
      <c r="AO1237" s="42" t="s">
        <v>304</v>
      </c>
      <c r="AP1237" s="43" t="s">
        <v>304</v>
      </c>
      <c r="AQ1237" s="44" t="str">
        <f t="shared" si="147"/>
        <v>CRO</v>
      </c>
      <c r="AR1237" s="44">
        <f t="shared" si="144"/>
        <v>570</v>
      </c>
      <c r="AS1237" s="44" t="str">
        <f t="shared" si="132"/>
        <v>B</v>
      </c>
      <c r="AT1237" s="44" t="str">
        <f t="shared" si="114"/>
        <v>BS</v>
      </c>
      <c r="AU1237" s="44" t="str">
        <f t="shared" si="115"/>
        <v>BSh</v>
      </c>
      <c r="AV1237" s="38"/>
      <c r="AW1237" s="38"/>
      <c r="AX1237" s="38"/>
      <c r="AY1237" s="38"/>
      <c r="AZ1237" s="29"/>
      <c r="BA1237" s="29">
        <v>2.0</v>
      </c>
      <c r="BB1237" s="29">
        <v>1.0</v>
      </c>
      <c r="BC1237" s="29"/>
      <c r="BD1237" s="29"/>
      <c r="BE1237" s="29"/>
      <c r="BF1237" s="29" t="s">
        <v>2247</v>
      </c>
      <c r="BG1237" s="29" t="s">
        <v>738</v>
      </c>
      <c r="BH1237" s="29" t="s">
        <v>88</v>
      </c>
      <c r="BI1237" s="29"/>
      <c r="BJ1237" s="29" t="s">
        <v>2237</v>
      </c>
      <c r="BK1237" s="29" t="s">
        <v>2237</v>
      </c>
      <c r="BL1237" s="29"/>
      <c r="BM1237" s="45"/>
      <c r="BN1237" s="45">
        <v>1.0</v>
      </c>
      <c r="BO1237" s="46" t="s">
        <v>2238</v>
      </c>
      <c r="BP1237" s="2"/>
      <c r="BQ1237" s="3"/>
    </row>
    <row r="1238" ht="15.75" customHeight="1">
      <c r="A1238" s="34">
        <v>1256.0</v>
      </c>
      <c r="B1238" s="34">
        <v>104220.0</v>
      </c>
      <c r="C1238" s="34" t="s">
        <v>832</v>
      </c>
      <c r="D1238" s="34" t="s">
        <v>2256</v>
      </c>
      <c r="E1238" s="34" t="s">
        <v>2257</v>
      </c>
      <c r="F1238" s="34">
        <v>2021.0</v>
      </c>
      <c r="G1238" s="34" t="s">
        <v>2258</v>
      </c>
      <c r="H1238" s="34" t="s">
        <v>816</v>
      </c>
      <c r="I1238" s="34" t="s">
        <v>2259</v>
      </c>
      <c r="J1238" s="35"/>
      <c r="K1238" s="36"/>
      <c r="L1238" s="36"/>
      <c r="M1238" s="36"/>
      <c r="N1238" s="36"/>
      <c r="O1238" s="36"/>
      <c r="P1238" s="37">
        <v>-35.0</v>
      </c>
      <c r="Q1238" s="36"/>
      <c r="R1238" s="36" t="s">
        <v>191</v>
      </c>
      <c r="S1238" s="36">
        <v>500.0</v>
      </c>
      <c r="T1238" s="36" t="s">
        <v>969</v>
      </c>
      <c r="U1238" s="36" t="s">
        <v>2096</v>
      </c>
      <c r="V1238" s="36">
        <v>57.0</v>
      </c>
      <c r="W1238" s="36" t="s">
        <v>2260</v>
      </c>
      <c r="X1238" s="38">
        <v>1.0</v>
      </c>
      <c r="Y1238" s="38" t="s">
        <v>2261</v>
      </c>
      <c r="Z1238" s="38" t="s">
        <v>2262</v>
      </c>
      <c r="AA1238" s="38" t="s">
        <v>197</v>
      </c>
      <c r="AB1238" s="38">
        <v>37.0671</v>
      </c>
      <c r="AC1238" s="38">
        <v>-118.9871</v>
      </c>
      <c r="AD1238" s="38" t="s">
        <v>87</v>
      </c>
      <c r="AE1238" s="53"/>
      <c r="AF1238" s="38" t="s">
        <v>2263</v>
      </c>
      <c r="AG1238" s="57"/>
      <c r="AH1238" s="38" t="s">
        <v>2264</v>
      </c>
      <c r="AI1238" s="50">
        <v>37.0671</v>
      </c>
      <c r="AJ1238" s="50">
        <v>-118.9871</v>
      </c>
      <c r="AK1238" s="41" t="s">
        <v>200</v>
      </c>
      <c r="AL1238" s="40" t="s">
        <v>200</v>
      </c>
      <c r="AM1238" s="49">
        <v>2714.0</v>
      </c>
      <c r="AN1238" s="51">
        <v>2714.0</v>
      </c>
      <c r="AO1238" s="42" t="s">
        <v>753</v>
      </c>
      <c r="AP1238" s="43" t="s">
        <v>321</v>
      </c>
      <c r="AQ1238" s="44" t="str">
        <f t="shared" si="147"/>
        <v>ENF</v>
      </c>
      <c r="AR1238" s="44">
        <f t="shared" si="144"/>
        <v>2714</v>
      </c>
      <c r="AS1238" s="44" t="str">
        <f t="shared" si="132"/>
        <v>D</v>
      </c>
      <c r="AT1238" s="44" t="str">
        <f t="shared" si="114"/>
        <v>Ds</v>
      </c>
      <c r="AU1238" s="44" t="str">
        <f t="shared" si="115"/>
        <v>Dsb</v>
      </c>
      <c r="AV1238" s="38"/>
      <c r="AW1238" s="38"/>
      <c r="AX1238" s="38" t="s">
        <v>2265</v>
      </c>
      <c r="AY1238" s="38"/>
      <c r="AZ1238" s="29">
        <v>500.0</v>
      </c>
      <c r="BA1238" s="29">
        <v>1.0</v>
      </c>
      <c r="BB1238" s="29">
        <v>2.0</v>
      </c>
      <c r="BC1238" s="29" t="s">
        <v>2266</v>
      </c>
      <c r="BD1238" s="29"/>
      <c r="BE1238" s="29" t="s">
        <v>89</v>
      </c>
      <c r="BF1238" s="29" t="s">
        <v>2267</v>
      </c>
      <c r="BG1238" s="29" t="s">
        <v>220</v>
      </c>
      <c r="BH1238" s="29" t="s">
        <v>92</v>
      </c>
      <c r="BI1238" s="29"/>
      <c r="BJ1238" s="29"/>
      <c r="BK1238" s="29"/>
      <c r="BL1238" s="29"/>
      <c r="BM1238" s="45"/>
      <c r="BN1238" s="45">
        <v>1.0</v>
      </c>
      <c r="BO1238" s="46" t="s">
        <v>1795</v>
      </c>
      <c r="BP1238" s="2"/>
      <c r="BQ1238" s="3"/>
    </row>
    <row r="1239" ht="15.75" customHeight="1">
      <c r="A1239" s="34">
        <v>1257.0</v>
      </c>
      <c r="B1239" s="34">
        <v>104220.0</v>
      </c>
      <c r="C1239" s="34" t="s">
        <v>832</v>
      </c>
      <c r="D1239" s="34" t="s">
        <v>2256</v>
      </c>
      <c r="E1239" s="34" t="s">
        <v>2257</v>
      </c>
      <c r="F1239" s="34">
        <v>2021.0</v>
      </c>
      <c r="G1239" s="34" t="s">
        <v>2258</v>
      </c>
      <c r="H1239" s="34" t="s">
        <v>816</v>
      </c>
      <c r="I1239" s="34" t="s">
        <v>2259</v>
      </c>
      <c r="J1239" s="35"/>
      <c r="K1239" s="36"/>
      <c r="L1239" s="36"/>
      <c r="M1239" s="36"/>
      <c r="N1239" s="36"/>
      <c r="O1239" s="36"/>
      <c r="P1239" s="37">
        <v>1.7</v>
      </c>
      <c r="Q1239" s="36"/>
      <c r="R1239" s="36" t="s">
        <v>191</v>
      </c>
      <c r="S1239" s="36">
        <v>500.0</v>
      </c>
      <c r="T1239" s="36" t="s">
        <v>969</v>
      </c>
      <c r="U1239" s="36" t="s">
        <v>2096</v>
      </c>
      <c r="V1239" s="36">
        <v>57.0</v>
      </c>
      <c r="W1239" s="36" t="s">
        <v>2260</v>
      </c>
      <c r="X1239" s="38">
        <v>1.0</v>
      </c>
      <c r="Y1239" s="38" t="s">
        <v>2261</v>
      </c>
      <c r="Z1239" s="38" t="s">
        <v>2262</v>
      </c>
      <c r="AA1239" s="38" t="s">
        <v>197</v>
      </c>
      <c r="AB1239" s="38">
        <v>37.0671</v>
      </c>
      <c r="AC1239" s="38">
        <v>-118.9871</v>
      </c>
      <c r="AD1239" s="38" t="s">
        <v>87</v>
      </c>
      <c r="AE1239" s="53"/>
      <c r="AF1239" s="38" t="s">
        <v>2263</v>
      </c>
      <c r="AG1239" s="57"/>
      <c r="AH1239" s="38" t="s">
        <v>2264</v>
      </c>
      <c r="AI1239" s="50">
        <v>37.0671</v>
      </c>
      <c r="AJ1239" s="50">
        <v>-118.9871</v>
      </c>
      <c r="AK1239" s="41" t="s">
        <v>200</v>
      </c>
      <c r="AL1239" s="40" t="s">
        <v>200</v>
      </c>
      <c r="AM1239" s="49">
        <v>2714.0</v>
      </c>
      <c r="AN1239" s="51">
        <v>2714.0</v>
      </c>
      <c r="AO1239" s="42" t="s">
        <v>753</v>
      </c>
      <c r="AP1239" s="43" t="s">
        <v>321</v>
      </c>
      <c r="AQ1239" s="44" t="str">
        <f t="shared" si="147"/>
        <v>ENF</v>
      </c>
      <c r="AR1239" s="44">
        <f t="shared" si="144"/>
        <v>2714</v>
      </c>
      <c r="AS1239" s="44" t="str">
        <f t="shared" si="132"/>
        <v>D</v>
      </c>
      <c r="AT1239" s="44" t="str">
        <f t="shared" si="114"/>
        <v>Ds</v>
      </c>
      <c r="AU1239" s="44" t="str">
        <f t="shared" si="115"/>
        <v>Dsb</v>
      </c>
      <c r="AV1239" s="38"/>
      <c r="AW1239" s="38"/>
      <c r="AX1239" s="38" t="s">
        <v>2265</v>
      </c>
      <c r="AY1239" s="38"/>
      <c r="AZ1239" s="29">
        <v>500.0</v>
      </c>
      <c r="BA1239" s="29">
        <v>1.0</v>
      </c>
      <c r="BB1239" s="29">
        <v>1.0</v>
      </c>
      <c r="BC1239" s="29" t="s">
        <v>2268</v>
      </c>
      <c r="BD1239" s="29"/>
      <c r="BE1239" s="29" t="s">
        <v>263</v>
      </c>
      <c r="BF1239" s="29" t="s">
        <v>2269</v>
      </c>
      <c r="BG1239" s="29" t="s">
        <v>644</v>
      </c>
      <c r="BH1239" s="29" t="s">
        <v>88</v>
      </c>
      <c r="BI1239" s="29"/>
      <c r="BJ1239" s="29"/>
      <c r="BK1239" s="29"/>
      <c r="BL1239" s="29"/>
      <c r="BM1239" s="45"/>
      <c r="BN1239" s="45">
        <v>1.0</v>
      </c>
      <c r="BO1239" s="46" t="s">
        <v>1795</v>
      </c>
      <c r="BP1239" s="2"/>
      <c r="BQ1239" s="3"/>
    </row>
    <row r="1240" ht="15.75" customHeight="1">
      <c r="A1240" s="34">
        <v>1258.0</v>
      </c>
      <c r="B1240" s="34">
        <v>104220.0</v>
      </c>
      <c r="C1240" s="34" t="s">
        <v>832</v>
      </c>
      <c r="D1240" s="34" t="s">
        <v>2256</v>
      </c>
      <c r="E1240" s="34" t="s">
        <v>2257</v>
      </c>
      <c r="F1240" s="34">
        <v>2021.0</v>
      </c>
      <c r="G1240" s="34" t="s">
        <v>2258</v>
      </c>
      <c r="H1240" s="34" t="s">
        <v>816</v>
      </c>
      <c r="I1240" s="34" t="s">
        <v>2259</v>
      </c>
      <c r="J1240" s="35"/>
      <c r="K1240" s="36"/>
      <c r="L1240" s="36"/>
      <c r="M1240" s="36"/>
      <c r="N1240" s="36"/>
      <c r="O1240" s="36"/>
      <c r="P1240" s="37">
        <v>-50.0</v>
      </c>
      <c r="Q1240" s="36"/>
      <c r="R1240" s="36" t="s">
        <v>191</v>
      </c>
      <c r="S1240" s="36">
        <v>500.0</v>
      </c>
      <c r="T1240" s="36" t="s">
        <v>536</v>
      </c>
      <c r="U1240" s="36" t="s">
        <v>2096</v>
      </c>
      <c r="V1240" s="36">
        <v>104.0</v>
      </c>
      <c r="W1240" s="36" t="s">
        <v>2260</v>
      </c>
      <c r="X1240" s="38">
        <v>1.0</v>
      </c>
      <c r="Y1240" s="38" t="s">
        <v>2270</v>
      </c>
      <c r="Z1240" s="38" t="s">
        <v>2271</v>
      </c>
      <c r="AA1240" s="38" t="s">
        <v>197</v>
      </c>
      <c r="AB1240" s="38">
        <v>37.0673</v>
      </c>
      <c r="AC1240" s="38">
        <v>-119.1948</v>
      </c>
      <c r="AD1240" s="38" t="s">
        <v>87</v>
      </c>
      <c r="AE1240" s="53"/>
      <c r="AF1240" s="38" t="s">
        <v>2272</v>
      </c>
      <c r="AG1240" s="57"/>
      <c r="AH1240" s="38" t="s">
        <v>2264</v>
      </c>
      <c r="AI1240" s="50">
        <v>37.0673</v>
      </c>
      <c r="AJ1240" s="50">
        <v>-119.1948</v>
      </c>
      <c r="AK1240" s="41" t="s">
        <v>200</v>
      </c>
      <c r="AL1240" s="40" t="s">
        <v>200</v>
      </c>
      <c r="AM1240" s="49">
        <v>2030.0</v>
      </c>
      <c r="AN1240" s="51">
        <v>2030.0</v>
      </c>
      <c r="AO1240" s="42" t="s">
        <v>445</v>
      </c>
      <c r="AP1240" s="43" t="s">
        <v>445</v>
      </c>
      <c r="AQ1240" s="44" t="str">
        <f t="shared" si="147"/>
        <v>ENF</v>
      </c>
      <c r="AR1240" s="44">
        <f t="shared" si="144"/>
        <v>2030</v>
      </c>
      <c r="AS1240" s="44" t="str">
        <f t="shared" si="132"/>
        <v>C</v>
      </c>
      <c r="AT1240" s="44" t="str">
        <f t="shared" si="114"/>
        <v>Cs</v>
      </c>
      <c r="AU1240" s="44" t="str">
        <f t="shared" si="115"/>
        <v>Csb</v>
      </c>
      <c r="AV1240" s="38"/>
      <c r="AW1240" s="38"/>
      <c r="AX1240" s="38" t="s">
        <v>2265</v>
      </c>
      <c r="AY1240" s="38"/>
      <c r="AZ1240" s="29">
        <v>500.0</v>
      </c>
      <c r="BA1240" s="29">
        <v>1.0</v>
      </c>
      <c r="BB1240" s="29">
        <v>2.0</v>
      </c>
      <c r="BC1240" s="29" t="s">
        <v>2266</v>
      </c>
      <c r="BD1240" s="29"/>
      <c r="BE1240" s="29" t="s">
        <v>89</v>
      </c>
      <c r="BF1240" s="29" t="s">
        <v>2267</v>
      </c>
      <c r="BG1240" s="29" t="s">
        <v>220</v>
      </c>
      <c r="BH1240" s="29" t="s">
        <v>92</v>
      </c>
      <c r="BI1240" s="29"/>
      <c r="BJ1240" s="29"/>
      <c r="BK1240" s="29"/>
      <c r="BL1240" s="29"/>
      <c r="BM1240" s="45"/>
      <c r="BN1240" s="45">
        <v>1.0</v>
      </c>
      <c r="BO1240" s="46" t="s">
        <v>1795</v>
      </c>
      <c r="BP1240" s="2"/>
      <c r="BQ1240" s="3"/>
    </row>
    <row r="1241" ht="15.75" customHeight="1">
      <c r="A1241" s="34">
        <v>1259.0</v>
      </c>
      <c r="B1241" s="34">
        <v>104220.0</v>
      </c>
      <c r="C1241" s="34" t="s">
        <v>832</v>
      </c>
      <c r="D1241" s="34" t="s">
        <v>2256</v>
      </c>
      <c r="E1241" s="34" t="s">
        <v>2257</v>
      </c>
      <c r="F1241" s="34">
        <v>2021.0</v>
      </c>
      <c r="G1241" s="34" t="s">
        <v>2258</v>
      </c>
      <c r="H1241" s="34" t="s">
        <v>816</v>
      </c>
      <c r="I1241" s="34" t="s">
        <v>2259</v>
      </c>
      <c r="J1241" s="35"/>
      <c r="K1241" s="36"/>
      <c r="L1241" s="36"/>
      <c r="M1241" s="36"/>
      <c r="N1241" s="36"/>
      <c r="O1241" s="36"/>
      <c r="P1241" s="37">
        <v>-1.5</v>
      </c>
      <c r="Q1241" s="36"/>
      <c r="R1241" s="36" t="s">
        <v>191</v>
      </c>
      <c r="S1241" s="36">
        <v>500.0</v>
      </c>
      <c r="T1241" s="36" t="s">
        <v>536</v>
      </c>
      <c r="U1241" s="36" t="s">
        <v>2096</v>
      </c>
      <c r="V1241" s="36">
        <v>104.0</v>
      </c>
      <c r="W1241" s="36" t="s">
        <v>2260</v>
      </c>
      <c r="X1241" s="38">
        <v>1.0</v>
      </c>
      <c r="Y1241" s="38" t="s">
        <v>2261</v>
      </c>
      <c r="Z1241" s="38" t="s">
        <v>2262</v>
      </c>
      <c r="AA1241" s="38" t="s">
        <v>197</v>
      </c>
      <c r="AB1241" s="38">
        <v>37.0673</v>
      </c>
      <c r="AC1241" s="38">
        <v>-119.1948</v>
      </c>
      <c r="AD1241" s="38" t="s">
        <v>87</v>
      </c>
      <c r="AE1241" s="53"/>
      <c r="AF1241" s="38" t="s">
        <v>2272</v>
      </c>
      <c r="AG1241" s="57"/>
      <c r="AH1241" s="38" t="s">
        <v>2264</v>
      </c>
      <c r="AI1241" s="50">
        <v>37.0673</v>
      </c>
      <c r="AJ1241" s="50">
        <v>-119.1948</v>
      </c>
      <c r="AK1241" s="41" t="s">
        <v>200</v>
      </c>
      <c r="AL1241" s="40" t="s">
        <v>200</v>
      </c>
      <c r="AM1241" s="49">
        <v>2030.0</v>
      </c>
      <c r="AN1241" s="51">
        <v>2030.0</v>
      </c>
      <c r="AO1241" s="42" t="s">
        <v>445</v>
      </c>
      <c r="AP1241" s="43" t="s">
        <v>445</v>
      </c>
      <c r="AQ1241" s="44" t="str">
        <f t="shared" si="147"/>
        <v>ENF</v>
      </c>
      <c r="AR1241" s="44">
        <f t="shared" si="144"/>
        <v>2030</v>
      </c>
      <c r="AS1241" s="44" t="str">
        <f t="shared" si="132"/>
        <v>C</v>
      </c>
      <c r="AT1241" s="44" t="str">
        <f t="shared" si="114"/>
        <v>Cs</v>
      </c>
      <c r="AU1241" s="44" t="str">
        <f t="shared" si="115"/>
        <v>Csb</v>
      </c>
      <c r="AV1241" s="38"/>
      <c r="AW1241" s="38"/>
      <c r="AX1241" s="38" t="s">
        <v>2265</v>
      </c>
      <c r="AY1241" s="38"/>
      <c r="AZ1241" s="29">
        <v>500.0</v>
      </c>
      <c r="BA1241" s="29">
        <v>1.0</v>
      </c>
      <c r="BB1241" s="29">
        <v>1.0</v>
      </c>
      <c r="BC1241" s="29" t="s">
        <v>2268</v>
      </c>
      <c r="BD1241" s="29"/>
      <c r="BE1241" s="29" t="s">
        <v>263</v>
      </c>
      <c r="BF1241" s="29" t="s">
        <v>2269</v>
      </c>
      <c r="BG1241" s="29" t="s">
        <v>644</v>
      </c>
      <c r="BH1241" s="29" t="s">
        <v>88</v>
      </c>
      <c r="BI1241" s="29"/>
      <c r="BJ1241" s="29"/>
      <c r="BK1241" s="29"/>
      <c r="BL1241" s="29"/>
      <c r="BM1241" s="45"/>
      <c r="BN1241" s="45">
        <v>1.0</v>
      </c>
      <c r="BO1241" s="46" t="s">
        <v>1795</v>
      </c>
      <c r="BP1241" s="2"/>
      <c r="BQ1241" s="3"/>
    </row>
    <row r="1242" ht="15.75" customHeight="1">
      <c r="A1242" s="34">
        <v>1260.0</v>
      </c>
      <c r="B1242" s="34">
        <v>104220.0</v>
      </c>
      <c r="C1242" s="34" t="s">
        <v>832</v>
      </c>
      <c r="D1242" s="34" t="s">
        <v>2256</v>
      </c>
      <c r="E1242" s="34" t="s">
        <v>2257</v>
      </c>
      <c r="F1242" s="34">
        <v>2021.0</v>
      </c>
      <c r="G1242" s="34" t="s">
        <v>2258</v>
      </c>
      <c r="H1242" s="34" t="s">
        <v>816</v>
      </c>
      <c r="I1242" s="34" t="s">
        <v>2259</v>
      </c>
      <c r="J1242" s="35"/>
      <c r="K1242" s="36"/>
      <c r="L1242" s="36"/>
      <c r="M1242" s="36"/>
      <c r="N1242" s="36"/>
      <c r="O1242" s="36"/>
      <c r="P1242" s="37">
        <v>-49.0</v>
      </c>
      <c r="Q1242" s="36"/>
      <c r="R1242" s="36" t="s">
        <v>191</v>
      </c>
      <c r="S1242" s="36">
        <v>500.0</v>
      </c>
      <c r="T1242" s="36" t="s">
        <v>233</v>
      </c>
      <c r="U1242" s="36" t="s">
        <v>2096</v>
      </c>
      <c r="V1242" s="36">
        <v>91.0</v>
      </c>
      <c r="W1242" s="36" t="s">
        <v>2260</v>
      </c>
      <c r="X1242" s="38">
        <v>1.0</v>
      </c>
      <c r="Y1242" s="38" t="s">
        <v>2273</v>
      </c>
      <c r="Z1242" s="38" t="s">
        <v>2274</v>
      </c>
      <c r="AA1242" s="38" t="s">
        <v>197</v>
      </c>
      <c r="AB1242" s="38">
        <v>37.0311</v>
      </c>
      <c r="AC1242" s="38">
        <v>-119.2563</v>
      </c>
      <c r="AD1242" s="38" t="s">
        <v>87</v>
      </c>
      <c r="AE1242" s="53"/>
      <c r="AF1242" s="38" t="s">
        <v>2275</v>
      </c>
      <c r="AG1242" s="57"/>
      <c r="AH1242" s="38" t="s">
        <v>2264</v>
      </c>
      <c r="AI1242" s="50">
        <v>37.0311</v>
      </c>
      <c r="AJ1242" s="50">
        <v>-119.2563</v>
      </c>
      <c r="AK1242" s="41" t="s">
        <v>197</v>
      </c>
      <c r="AL1242" s="40" t="s">
        <v>197</v>
      </c>
      <c r="AM1242" s="49">
        <v>1180.0</v>
      </c>
      <c r="AN1242" s="51">
        <v>1180.0</v>
      </c>
      <c r="AO1242" s="42" t="s">
        <v>175</v>
      </c>
      <c r="AP1242" s="43" t="s">
        <v>175</v>
      </c>
      <c r="AQ1242" s="44" t="str">
        <f t="shared" si="147"/>
        <v>ENF</v>
      </c>
      <c r="AR1242" s="44">
        <f t="shared" si="144"/>
        <v>1180</v>
      </c>
      <c r="AS1242" s="44" t="str">
        <f t="shared" si="132"/>
        <v>C</v>
      </c>
      <c r="AT1242" s="44" t="str">
        <f t="shared" si="114"/>
        <v>Cs</v>
      </c>
      <c r="AU1242" s="44" t="str">
        <f t="shared" si="115"/>
        <v>Csa</v>
      </c>
      <c r="AV1242" s="38"/>
      <c r="AW1242" s="38"/>
      <c r="AX1242" s="38" t="s">
        <v>2265</v>
      </c>
      <c r="AY1242" s="38"/>
      <c r="AZ1242" s="29">
        <v>500.0</v>
      </c>
      <c r="BA1242" s="29">
        <v>1.0</v>
      </c>
      <c r="BB1242" s="29">
        <v>2.0</v>
      </c>
      <c r="BC1242" s="29" t="s">
        <v>2266</v>
      </c>
      <c r="BD1242" s="29"/>
      <c r="BE1242" s="29" t="s">
        <v>89</v>
      </c>
      <c r="BF1242" s="29" t="s">
        <v>2267</v>
      </c>
      <c r="BG1242" s="29" t="s">
        <v>220</v>
      </c>
      <c r="BH1242" s="29" t="s">
        <v>92</v>
      </c>
      <c r="BI1242" s="29"/>
      <c r="BJ1242" s="29"/>
      <c r="BK1242" s="29"/>
      <c r="BL1242" s="29"/>
      <c r="BM1242" s="45"/>
      <c r="BN1242" s="45">
        <v>1.0</v>
      </c>
      <c r="BO1242" s="46" t="s">
        <v>1795</v>
      </c>
      <c r="BP1242" s="2"/>
      <c r="BQ1242" s="3"/>
    </row>
    <row r="1243" ht="15.75" customHeight="1">
      <c r="A1243" s="34">
        <v>1261.0</v>
      </c>
      <c r="B1243" s="34">
        <v>104220.0</v>
      </c>
      <c r="C1243" s="34" t="s">
        <v>832</v>
      </c>
      <c r="D1243" s="34" t="s">
        <v>2256</v>
      </c>
      <c r="E1243" s="34" t="s">
        <v>2257</v>
      </c>
      <c r="F1243" s="34">
        <v>2021.0</v>
      </c>
      <c r="G1243" s="34" t="s">
        <v>2258</v>
      </c>
      <c r="H1243" s="34" t="s">
        <v>816</v>
      </c>
      <c r="I1243" s="34" t="s">
        <v>2259</v>
      </c>
      <c r="J1243" s="35"/>
      <c r="K1243" s="36"/>
      <c r="L1243" s="36"/>
      <c r="M1243" s="36"/>
      <c r="N1243" s="36"/>
      <c r="O1243" s="36"/>
      <c r="P1243" s="37">
        <v>-1.3</v>
      </c>
      <c r="Q1243" s="36"/>
      <c r="R1243" s="36" t="s">
        <v>191</v>
      </c>
      <c r="S1243" s="36">
        <v>500.0</v>
      </c>
      <c r="T1243" s="36" t="s">
        <v>233</v>
      </c>
      <c r="U1243" s="36" t="s">
        <v>2096</v>
      </c>
      <c r="V1243" s="36">
        <v>91.0</v>
      </c>
      <c r="W1243" s="36" t="s">
        <v>2260</v>
      </c>
      <c r="X1243" s="38">
        <v>1.0</v>
      </c>
      <c r="Y1243" s="38" t="s">
        <v>2273</v>
      </c>
      <c r="Z1243" s="38" t="s">
        <v>2274</v>
      </c>
      <c r="AA1243" s="38" t="s">
        <v>197</v>
      </c>
      <c r="AB1243" s="38">
        <v>37.0311</v>
      </c>
      <c r="AC1243" s="38">
        <v>-119.2563</v>
      </c>
      <c r="AD1243" s="38" t="s">
        <v>87</v>
      </c>
      <c r="AE1243" s="53"/>
      <c r="AF1243" s="38" t="s">
        <v>2275</v>
      </c>
      <c r="AG1243" s="57"/>
      <c r="AH1243" s="38" t="s">
        <v>2264</v>
      </c>
      <c r="AI1243" s="50">
        <v>37.0311</v>
      </c>
      <c r="AJ1243" s="50">
        <v>-119.2563</v>
      </c>
      <c r="AK1243" s="41" t="s">
        <v>197</v>
      </c>
      <c r="AL1243" s="40" t="s">
        <v>197</v>
      </c>
      <c r="AM1243" s="49">
        <v>1180.0</v>
      </c>
      <c r="AN1243" s="51">
        <v>1180.0</v>
      </c>
      <c r="AO1243" s="42" t="s">
        <v>175</v>
      </c>
      <c r="AP1243" s="43" t="s">
        <v>175</v>
      </c>
      <c r="AQ1243" s="44" t="str">
        <f t="shared" si="147"/>
        <v>ENF</v>
      </c>
      <c r="AR1243" s="44">
        <f t="shared" si="144"/>
        <v>1180</v>
      </c>
      <c r="AS1243" s="44" t="str">
        <f t="shared" si="132"/>
        <v>C</v>
      </c>
      <c r="AT1243" s="44" t="str">
        <f t="shared" si="114"/>
        <v>Cs</v>
      </c>
      <c r="AU1243" s="44" t="str">
        <f t="shared" si="115"/>
        <v>Csa</v>
      </c>
      <c r="AV1243" s="38"/>
      <c r="AW1243" s="38"/>
      <c r="AX1243" s="38" t="s">
        <v>2265</v>
      </c>
      <c r="AY1243" s="38"/>
      <c r="AZ1243" s="29">
        <v>500.0</v>
      </c>
      <c r="BA1243" s="29">
        <v>1.0</v>
      </c>
      <c r="BB1243" s="29">
        <v>1.0</v>
      </c>
      <c r="BC1243" s="29" t="s">
        <v>2268</v>
      </c>
      <c r="BD1243" s="29"/>
      <c r="BE1243" s="29" t="s">
        <v>263</v>
      </c>
      <c r="BF1243" s="29" t="s">
        <v>2269</v>
      </c>
      <c r="BG1243" s="29" t="s">
        <v>644</v>
      </c>
      <c r="BH1243" s="29" t="s">
        <v>88</v>
      </c>
      <c r="BI1243" s="29"/>
      <c r="BJ1243" s="29"/>
      <c r="BK1243" s="29"/>
      <c r="BL1243" s="29"/>
      <c r="BM1243" s="45"/>
      <c r="BN1243" s="45">
        <v>1.0</v>
      </c>
      <c r="BO1243" s="46" t="s">
        <v>1795</v>
      </c>
      <c r="BP1243" s="2"/>
      <c r="BQ1243" s="3"/>
    </row>
    <row r="1244" ht="15.75" customHeight="1">
      <c r="A1244" s="34">
        <v>1262.0</v>
      </c>
      <c r="B1244" s="34">
        <v>104220.0</v>
      </c>
      <c r="C1244" s="34" t="s">
        <v>832</v>
      </c>
      <c r="D1244" s="34" t="s">
        <v>2256</v>
      </c>
      <c r="E1244" s="34" t="s">
        <v>2257</v>
      </c>
      <c r="F1244" s="34">
        <v>2021.0</v>
      </c>
      <c r="G1244" s="34" t="s">
        <v>2258</v>
      </c>
      <c r="H1244" s="34" t="s">
        <v>816</v>
      </c>
      <c r="I1244" s="34" t="s">
        <v>2259</v>
      </c>
      <c r="J1244" s="35"/>
      <c r="K1244" s="36"/>
      <c r="L1244" s="36"/>
      <c r="M1244" s="36"/>
      <c r="N1244" s="36"/>
      <c r="O1244" s="36"/>
      <c r="P1244" s="37">
        <v>-47.0</v>
      </c>
      <c r="Q1244" s="36"/>
      <c r="R1244" s="36" t="s">
        <v>191</v>
      </c>
      <c r="S1244" s="36">
        <v>500.0</v>
      </c>
      <c r="T1244" s="36" t="s">
        <v>536</v>
      </c>
      <c r="U1244" s="36" t="s">
        <v>2096</v>
      </c>
      <c r="V1244" s="36">
        <v>252.0</v>
      </c>
      <c r="W1244" s="36" t="s">
        <v>2260</v>
      </c>
      <c r="X1244" s="38">
        <v>3.0</v>
      </c>
      <c r="Y1244" s="38" t="s">
        <v>2276</v>
      </c>
      <c r="Z1244" s="38"/>
      <c r="AA1244" s="38"/>
      <c r="AB1244" s="38"/>
      <c r="AC1244" s="38"/>
      <c r="AD1244" s="39" t="s">
        <v>87</v>
      </c>
      <c r="AE1244" s="38"/>
      <c r="AF1244" s="38"/>
      <c r="AG1244" s="38"/>
      <c r="AH1244" s="38" t="s">
        <v>2264</v>
      </c>
      <c r="AI1244" s="50"/>
      <c r="AJ1244" s="50"/>
      <c r="AK1244" s="41"/>
      <c r="AL1244" s="40"/>
      <c r="AM1244" s="49"/>
      <c r="AN1244" s="43"/>
      <c r="AO1244" s="42"/>
      <c r="AP1244" s="43"/>
      <c r="AQ1244" s="44" t="str">
        <f t="shared" si="147"/>
        <v/>
      </c>
      <c r="AR1244" s="44" t="str">
        <f t="shared" si="144"/>
        <v/>
      </c>
      <c r="AS1244" s="44"/>
      <c r="AT1244" s="44" t="str">
        <f t="shared" si="114"/>
        <v/>
      </c>
      <c r="AU1244" s="44" t="str">
        <f t="shared" si="115"/>
        <v/>
      </c>
      <c r="AV1244" s="38"/>
      <c r="AW1244" s="38"/>
      <c r="AX1244" s="38" t="s">
        <v>2265</v>
      </c>
      <c r="AY1244" s="38"/>
      <c r="AZ1244" s="29">
        <v>500.0</v>
      </c>
      <c r="BA1244" s="29">
        <v>1.0</v>
      </c>
      <c r="BB1244" s="29">
        <v>2.0</v>
      </c>
      <c r="BC1244" s="29" t="s">
        <v>2266</v>
      </c>
      <c r="BD1244" s="29"/>
      <c r="BE1244" s="29" t="s">
        <v>89</v>
      </c>
      <c r="BF1244" s="29" t="s">
        <v>2267</v>
      </c>
      <c r="BG1244" s="29" t="s">
        <v>220</v>
      </c>
      <c r="BH1244" s="29" t="s">
        <v>92</v>
      </c>
      <c r="BI1244" s="29"/>
      <c r="BJ1244" s="29"/>
      <c r="BK1244" s="29"/>
      <c r="BL1244" s="29"/>
      <c r="BM1244" s="45"/>
      <c r="BN1244" s="45">
        <v>1.0</v>
      </c>
      <c r="BO1244" s="46" t="s">
        <v>1795</v>
      </c>
      <c r="BP1244" s="2"/>
      <c r="BQ1244" s="3"/>
    </row>
    <row r="1245" ht="15.75" customHeight="1">
      <c r="A1245" s="34">
        <v>1263.0</v>
      </c>
      <c r="B1245" s="34">
        <v>104220.0</v>
      </c>
      <c r="C1245" s="34" t="s">
        <v>832</v>
      </c>
      <c r="D1245" s="34" t="s">
        <v>2256</v>
      </c>
      <c r="E1245" s="34" t="s">
        <v>2257</v>
      </c>
      <c r="F1245" s="34">
        <v>2021.0</v>
      </c>
      <c r="G1245" s="34" t="s">
        <v>2258</v>
      </c>
      <c r="H1245" s="34" t="s">
        <v>816</v>
      </c>
      <c r="I1245" s="34" t="s">
        <v>2259</v>
      </c>
      <c r="J1245" s="35"/>
      <c r="K1245" s="36"/>
      <c r="L1245" s="36"/>
      <c r="M1245" s="36"/>
      <c r="N1245" s="36"/>
      <c r="O1245" s="36"/>
      <c r="P1245" s="37">
        <v>-0.89</v>
      </c>
      <c r="Q1245" s="36"/>
      <c r="R1245" s="36" t="s">
        <v>191</v>
      </c>
      <c r="S1245" s="36">
        <v>500.0</v>
      </c>
      <c r="T1245" s="36" t="s">
        <v>536</v>
      </c>
      <c r="U1245" s="36" t="s">
        <v>2096</v>
      </c>
      <c r="V1245" s="36">
        <v>252.0</v>
      </c>
      <c r="W1245" s="36" t="s">
        <v>2260</v>
      </c>
      <c r="X1245" s="38">
        <v>3.0</v>
      </c>
      <c r="Y1245" s="38" t="s">
        <v>2276</v>
      </c>
      <c r="Z1245" s="38"/>
      <c r="AA1245" s="38"/>
      <c r="AB1245" s="38"/>
      <c r="AC1245" s="38"/>
      <c r="AD1245" s="39" t="s">
        <v>87</v>
      </c>
      <c r="AE1245" s="38"/>
      <c r="AF1245" s="38"/>
      <c r="AG1245" s="38"/>
      <c r="AH1245" s="38" t="s">
        <v>2264</v>
      </c>
      <c r="AI1245" s="50"/>
      <c r="AJ1245" s="50"/>
      <c r="AK1245" s="41"/>
      <c r="AL1245" s="40"/>
      <c r="AM1245" s="49"/>
      <c r="AN1245" s="43"/>
      <c r="AO1245" s="42"/>
      <c r="AP1245" s="43"/>
      <c r="AQ1245" s="44" t="str">
        <f t="shared" si="147"/>
        <v/>
      </c>
      <c r="AR1245" s="44" t="str">
        <f t="shared" si="144"/>
        <v/>
      </c>
      <c r="AS1245" s="44"/>
      <c r="AT1245" s="44" t="str">
        <f t="shared" si="114"/>
        <v/>
      </c>
      <c r="AU1245" s="44" t="str">
        <f t="shared" si="115"/>
        <v/>
      </c>
      <c r="AV1245" s="38"/>
      <c r="AW1245" s="38"/>
      <c r="AX1245" s="38" t="s">
        <v>2265</v>
      </c>
      <c r="AY1245" s="38"/>
      <c r="AZ1245" s="29">
        <v>500.0</v>
      </c>
      <c r="BA1245" s="29">
        <v>1.0</v>
      </c>
      <c r="BB1245" s="29">
        <v>1.0</v>
      </c>
      <c r="BC1245" s="29" t="s">
        <v>2268</v>
      </c>
      <c r="BD1245" s="29"/>
      <c r="BE1245" s="29" t="s">
        <v>263</v>
      </c>
      <c r="BF1245" s="29" t="s">
        <v>2269</v>
      </c>
      <c r="BG1245" s="29" t="s">
        <v>644</v>
      </c>
      <c r="BH1245" s="29" t="s">
        <v>88</v>
      </c>
      <c r="BI1245" s="29"/>
      <c r="BJ1245" s="29"/>
      <c r="BK1245" s="29"/>
      <c r="BL1245" s="29"/>
      <c r="BM1245" s="45"/>
      <c r="BN1245" s="45">
        <v>1.0</v>
      </c>
      <c r="BO1245" s="46" t="s">
        <v>1795</v>
      </c>
      <c r="BP1245" s="2" t="s">
        <v>682</v>
      </c>
      <c r="BQ1245" s="3"/>
    </row>
    <row r="1246" ht="16.5" customHeight="1">
      <c r="A1246" s="34">
        <v>1264.0</v>
      </c>
      <c r="B1246" s="34">
        <v>104220.0</v>
      </c>
      <c r="C1246" s="34" t="s">
        <v>832</v>
      </c>
      <c r="D1246" s="34" t="s">
        <v>2256</v>
      </c>
      <c r="E1246" s="34" t="s">
        <v>2257</v>
      </c>
      <c r="F1246" s="34">
        <v>2021.0</v>
      </c>
      <c r="G1246" s="34" t="s">
        <v>2258</v>
      </c>
      <c r="H1246" s="34" t="s">
        <v>816</v>
      </c>
      <c r="I1246" s="34" t="s">
        <v>2259</v>
      </c>
      <c r="J1246" s="35"/>
      <c r="K1246" s="36"/>
      <c r="L1246" s="36"/>
      <c r="M1246" s="36"/>
      <c r="N1246" s="36"/>
      <c r="O1246" s="36"/>
      <c r="P1246" s="37">
        <v>-32.0</v>
      </c>
      <c r="Q1246" s="36"/>
      <c r="R1246" s="36" t="s">
        <v>191</v>
      </c>
      <c r="S1246" s="36">
        <v>500.0</v>
      </c>
      <c r="T1246" s="36" t="s">
        <v>969</v>
      </c>
      <c r="U1246" s="36" t="s">
        <v>2096</v>
      </c>
      <c r="V1246" s="36">
        <v>39.0</v>
      </c>
      <c r="W1246" s="36" t="s">
        <v>2277</v>
      </c>
      <c r="X1246" s="38">
        <v>1.0</v>
      </c>
      <c r="Y1246" s="38" t="s">
        <v>2261</v>
      </c>
      <c r="Z1246" s="38" t="s">
        <v>2262</v>
      </c>
      <c r="AA1246" s="38" t="s">
        <v>197</v>
      </c>
      <c r="AB1246" s="38">
        <v>37.0671</v>
      </c>
      <c r="AC1246" s="38">
        <v>-118.9871</v>
      </c>
      <c r="AD1246" s="38" t="s">
        <v>87</v>
      </c>
      <c r="AE1246" s="53"/>
      <c r="AF1246" s="38" t="s">
        <v>2263</v>
      </c>
      <c r="AG1246" s="57"/>
      <c r="AH1246" s="38" t="s">
        <v>2264</v>
      </c>
      <c r="AI1246" s="50">
        <v>37.0671</v>
      </c>
      <c r="AJ1246" s="50">
        <v>-118.9871</v>
      </c>
      <c r="AK1246" s="41" t="s">
        <v>200</v>
      </c>
      <c r="AL1246" s="40" t="s">
        <v>200</v>
      </c>
      <c r="AM1246" s="49">
        <v>2714.0</v>
      </c>
      <c r="AN1246" s="51">
        <v>2714.0</v>
      </c>
      <c r="AO1246" s="42" t="s">
        <v>753</v>
      </c>
      <c r="AP1246" s="43" t="s">
        <v>321</v>
      </c>
      <c r="AQ1246" s="44" t="str">
        <f t="shared" si="147"/>
        <v>ENF</v>
      </c>
      <c r="AR1246" s="44">
        <f t="shared" si="144"/>
        <v>2714</v>
      </c>
      <c r="AS1246" s="44" t="str">
        <f t="shared" ref="AS1246:AS1251" si="148">LEFT(AO1246,1)</f>
        <v>D</v>
      </c>
      <c r="AT1246" s="44" t="str">
        <f t="shared" si="114"/>
        <v>Ds</v>
      </c>
      <c r="AU1246" s="44" t="str">
        <f t="shared" si="115"/>
        <v>Dsb</v>
      </c>
      <c r="AV1246" s="38"/>
      <c r="AW1246" s="38"/>
      <c r="AX1246" s="38" t="s">
        <v>2265</v>
      </c>
      <c r="AY1246" s="38"/>
      <c r="AZ1246" s="29">
        <v>500.0</v>
      </c>
      <c r="BA1246" s="29">
        <v>1.0</v>
      </c>
      <c r="BB1246" s="29">
        <v>2.0</v>
      </c>
      <c r="BC1246" s="29" t="s">
        <v>2266</v>
      </c>
      <c r="BD1246" s="29"/>
      <c r="BE1246" s="29" t="s">
        <v>89</v>
      </c>
      <c r="BF1246" s="29" t="s">
        <v>2267</v>
      </c>
      <c r="BG1246" s="29" t="s">
        <v>220</v>
      </c>
      <c r="BH1246" s="29" t="s">
        <v>92</v>
      </c>
      <c r="BI1246" s="29"/>
      <c r="BJ1246" s="29"/>
      <c r="BK1246" s="29"/>
      <c r="BL1246" s="29"/>
      <c r="BM1246" s="45"/>
      <c r="BN1246" s="45">
        <v>1.0</v>
      </c>
      <c r="BO1246" s="46" t="s">
        <v>1795</v>
      </c>
      <c r="BP1246" s="2"/>
      <c r="BQ1246" s="3"/>
    </row>
    <row r="1247" ht="16.5" customHeight="1">
      <c r="A1247" s="34">
        <v>1265.0</v>
      </c>
      <c r="B1247" s="34">
        <v>104220.0</v>
      </c>
      <c r="C1247" s="34" t="s">
        <v>832</v>
      </c>
      <c r="D1247" s="34" t="s">
        <v>2256</v>
      </c>
      <c r="E1247" s="34" t="s">
        <v>2257</v>
      </c>
      <c r="F1247" s="34">
        <v>2021.0</v>
      </c>
      <c r="G1247" s="34" t="s">
        <v>2258</v>
      </c>
      <c r="H1247" s="34" t="s">
        <v>816</v>
      </c>
      <c r="I1247" s="34" t="s">
        <v>2259</v>
      </c>
      <c r="J1247" s="35"/>
      <c r="K1247" s="36"/>
      <c r="L1247" s="36"/>
      <c r="M1247" s="36"/>
      <c r="N1247" s="36"/>
      <c r="O1247" s="36"/>
      <c r="P1247" s="37">
        <v>2.2</v>
      </c>
      <c r="Q1247" s="36"/>
      <c r="R1247" s="36" t="s">
        <v>191</v>
      </c>
      <c r="S1247" s="36">
        <v>500.0</v>
      </c>
      <c r="T1247" s="36" t="s">
        <v>969</v>
      </c>
      <c r="U1247" s="36" t="s">
        <v>2096</v>
      </c>
      <c r="V1247" s="36">
        <v>39.0</v>
      </c>
      <c r="W1247" s="36" t="s">
        <v>2277</v>
      </c>
      <c r="X1247" s="38">
        <v>1.0</v>
      </c>
      <c r="Y1247" s="38" t="s">
        <v>2261</v>
      </c>
      <c r="Z1247" s="38" t="s">
        <v>2262</v>
      </c>
      <c r="AA1247" s="38" t="s">
        <v>197</v>
      </c>
      <c r="AB1247" s="38">
        <v>37.0671</v>
      </c>
      <c r="AC1247" s="38">
        <v>-118.9871</v>
      </c>
      <c r="AD1247" s="38" t="s">
        <v>87</v>
      </c>
      <c r="AE1247" s="53"/>
      <c r="AF1247" s="38" t="s">
        <v>2263</v>
      </c>
      <c r="AG1247" s="57"/>
      <c r="AH1247" s="38" t="s">
        <v>2264</v>
      </c>
      <c r="AI1247" s="50">
        <v>37.0671</v>
      </c>
      <c r="AJ1247" s="50">
        <v>-118.9871</v>
      </c>
      <c r="AK1247" s="41" t="s">
        <v>200</v>
      </c>
      <c r="AL1247" s="40" t="s">
        <v>200</v>
      </c>
      <c r="AM1247" s="49">
        <v>2714.0</v>
      </c>
      <c r="AN1247" s="51">
        <v>2714.0</v>
      </c>
      <c r="AO1247" s="42" t="s">
        <v>753</v>
      </c>
      <c r="AP1247" s="43" t="s">
        <v>321</v>
      </c>
      <c r="AQ1247" s="44" t="str">
        <f t="shared" si="147"/>
        <v>ENF</v>
      </c>
      <c r="AR1247" s="44">
        <f t="shared" si="144"/>
        <v>2714</v>
      </c>
      <c r="AS1247" s="44" t="str">
        <f t="shared" si="148"/>
        <v>D</v>
      </c>
      <c r="AT1247" s="44" t="str">
        <f t="shared" si="114"/>
        <v>Ds</v>
      </c>
      <c r="AU1247" s="44" t="str">
        <f t="shared" si="115"/>
        <v>Dsb</v>
      </c>
      <c r="AV1247" s="38"/>
      <c r="AW1247" s="38"/>
      <c r="AX1247" s="38" t="s">
        <v>2265</v>
      </c>
      <c r="AY1247" s="38"/>
      <c r="AZ1247" s="29">
        <v>500.0</v>
      </c>
      <c r="BA1247" s="29">
        <v>1.0</v>
      </c>
      <c r="BB1247" s="29">
        <v>1.0</v>
      </c>
      <c r="BC1247" s="29" t="s">
        <v>2268</v>
      </c>
      <c r="BD1247" s="29"/>
      <c r="BE1247" s="29" t="s">
        <v>263</v>
      </c>
      <c r="BF1247" s="29" t="s">
        <v>2269</v>
      </c>
      <c r="BG1247" s="29" t="s">
        <v>644</v>
      </c>
      <c r="BH1247" s="29" t="s">
        <v>88</v>
      </c>
      <c r="BI1247" s="29"/>
      <c r="BJ1247" s="29"/>
      <c r="BK1247" s="29"/>
      <c r="BL1247" s="29"/>
      <c r="BM1247" s="45"/>
      <c r="BN1247" s="45">
        <v>1.0</v>
      </c>
      <c r="BO1247" s="46" t="s">
        <v>1795</v>
      </c>
      <c r="BP1247" s="73"/>
      <c r="BQ1247" s="17"/>
    </row>
    <row r="1248" ht="16.5" customHeight="1">
      <c r="A1248" s="34">
        <v>1266.0</v>
      </c>
      <c r="B1248" s="34">
        <v>104220.0</v>
      </c>
      <c r="C1248" s="34" t="s">
        <v>832</v>
      </c>
      <c r="D1248" s="34" t="s">
        <v>2256</v>
      </c>
      <c r="E1248" s="34" t="s">
        <v>2257</v>
      </c>
      <c r="F1248" s="34">
        <v>2021.0</v>
      </c>
      <c r="G1248" s="34" t="s">
        <v>2258</v>
      </c>
      <c r="H1248" s="34" t="s">
        <v>816</v>
      </c>
      <c r="I1248" s="34" t="s">
        <v>2259</v>
      </c>
      <c r="J1248" s="35"/>
      <c r="K1248" s="36"/>
      <c r="L1248" s="36"/>
      <c r="M1248" s="36"/>
      <c r="N1248" s="36"/>
      <c r="O1248" s="36"/>
      <c r="P1248" s="37">
        <v>-57.0</v>
      </c>
      <c r="Q1248" s="36"/>
      <c r="R1248" s="36" t="s">
        <v>191</v>
      </c>
      <c r="S1248" s="36">
        <v>500.0</v>
      </c>
      <c r="T1248" s="36" t="s">
        <v>536</v>
      </c>
      <c r="U1248" s="36" t="s">
        <v>2096</v>
      </c>
      <c r="V1248" s="36">
        <v>46.0</v>
      </c>
      <c r="W1248" s="36" t="s">
        <v>2277</v>
      </c>
      <c r="X1248" s="38">
        <v>1.0</v>
      </c>
      <c r="Y1248" s="38" t="s">
        <v>2278</v>
      </c>
      <c r="Z1248" s="38" t="s">
        <v>2279</v>
      </c>
      <c r="AA1248" s="38" t="s">
        <v>197</v>
      </c>
      <c r="AB1248" s="38">
        <v>37.0673</v>
      </c>
      <c r="AC1248" s="38">
        <v>-119.1948</v>
      </c>
      <c r="AD1248" s="38" t="s">
        <v>87</v>
      </c>
      <c r="AE1248" s="53"/>
      <c r="AF1248" s="38" t="s">
        <v>2272</v>
      </c>
      <c r="AG1248" s="57"/>
      <c r="AH1248" s="38" t="s">
        <v>2264</v>
      </c>
      <c r="AI1248" s="50">
        <v>37.0673</v>
      </c>
      <c r="AJ1248" s="50">
        <v>-119.1948</v>
      </c>
      <c r="AK1248" s="41" t="s">
        <v>200</v>
      </c>
      <c r="AL1248" s="40" t="s">
        <v>200</v>
      </c>
      <c r="AM1248" s="49">
        <v>2030.0</v>
      </c>
      <c r="AN1248" s="51">
        <v>2030.0</v>
      </c>
      <c r="AO1248" s="42" t="s">
        <v>445</v>
      </c>
      <c r="AP1248" s="43" t="s">
        <v>445</v>
      </c>
      <c r="AQ1248" s="44" t="str">
        <f t="shared" si="147"/>
        <v>ENF</v>
      </c>
      <c r="AR1248" s="44">
        <f t="shared" si="144"/>
        <v>2030</v>
      </c>
      <c r="AS1248" s="44" t="str">
        <f t="shared" si="148"/>
        <v>C</v>
      </c>
      <c r="AT1248" s="44" t="str">
        <f t="shared" si="114"/>
        <v>Cs</v>
      </c>
      <c r="AU1248" s="44" t="str">
        <f t="shared" si="115"/>
        <v>Csb</v>
      </c>
      <c r="AV1248" s="38"/>
      <c r="AW1248" s="38"/>
      <c r="AX1248" s="38" t="s">
        <v>2265</v>
      </c>
      <c r="AY1248" s="38"/>
      <c r="AZ1248" s="29">
        <v>500.0</v>
      </c>
      <c r="BA1248" s="29">
        <v>1.0</v>
      </c>
      <c r="BB1248" s="29">
        <v>2.0</v>
      </c>
      <c r="BC1248" s="29" t="s">
        <v>2266</v>
      </c>
      <c r="BD1248" s="29"/>
      <c r="BE1248" s="29" t="s">
        <v>89</v>
      </c>
      <c r="BF1248" s="29" t="s">
        <v>2267</v>
      </c>
      <c r="BG1248" s="29" t="s">
        <v>220</v>
      </c>
      <c r="BH1248" s="29" t="s">
        <v>92</v>
      </c>
      <c r="BI1248" s="29"/>
      <c r="BJ1248" s="29"/>
      <c r="BK1248" s="29"/>
      <c r="BL1248" s="29"/>
      <c r="BM1248" s="45"/>
      <c r="BN1248" s="45">
        <v>1.0</v>
      </c>
      <c r="BO1248" s="46" t="s">
        <v>1795</v>
      </c>
      <c r="BP1248" s="2"/>
      <c r="BQ1248" s="3"/>
    </row>
    <row r="1249" ht="16.5" customHeight="1">
      <c r="A1249" s="34">
        <v>1267.0</v>
      </c>
      <c r="B1249" s="34">
        <v>104220.0</v>
      </c>
      <c r="C1249" s="34" t="s">
        <v>832</v>
      </c>
      <c r="D1249" s="34" t="s">
        <v>2256</v>
      </c>
      <c r="E1249" s="34" t="s">
        <v>2257</v>
      </c>
      <c r="F1249" s="34">
        <v>2021.0</v>
      </c>
      <c r="G1249" s="34" t="s">
        <v>2258</v>
      </c>
      <c r="H1249" s="34" t="s">
        <v>816</v>
      </c>
      <c r="I1249" s="34" t="s">
        <v>2259</v>
      </c>
      <c r="J1249" s="35"/>
      <c r="K1249" s="36"/>
      <c r="L1249" s="36"/>
      <c r="M1249" s="36"/>
      <c r="N1249" s="36"/>
      <c r="O1249" s="36"/>
      <c r="P1249" s="37">
        <v>-12.0</v>
      </c>
      <c r="Q1249" s="36"/>
      <c r="R1249" s="36" t="s">
        <v>191</v>
      </c>
      <c r="S1249" s="36">
        <v>500.0</v>
      </c>
      <c r="T1249" s="36" t="s">
        <v>536</v>
      </c>
      <c r="U1249" s="36" t="s">
        <v>2096</v>
      </c>
      <c r="V1249" s="36">
        <v>46.0</v>
      </c>
      <c r="W1249" s="36" t="s">
        <v>2277</v>
      </c>
      <c r="X1249" s="38">
        <v>1.0</v>
      </c>
      <c r="Y1249" s="38" t="s">
        <v>2280</v>
      </c>
      <c r="Z1249" s="38" t="s">
        <v>2281</v>
      </c>
      <c r="AA1249" s="38" t="s">
        <v>197</v>
      </c>
      <c r="AB1249" s="38">
        <v>37.0673</v>
      </c>
      <c r="AC1249" s="38">
        <v>-119.1948</v>
      </c>
      <c r="AD1249" s="38" t="s">
        <v>87</v>
      </c>
      <c r="AE1249" s="53"/>
      <c r="AF1249" s="38" t="s">
        <v>2272</v>
      </c>
      <c r="AG1249" s="57"/>
      <c r="AH1249" s="38" t="s">
        <v>2264</v>
      </c>
      <c r="AI1249" s="50">
        <v>37.0673</v>
      </c>
      <c r="AJ1249" s="50">
        <v>-119.1948</v>
      </c>
      <c r="AK1249" s="41" t="s">
        <v>200</v>
      </c>
      <c r="AL1249" s="40" t="s">
        <v>200</v>
      </c>
      <c r="AM1249" s="49">
        <v>2030.0</v>
      </c>
      <c r="AN1249" s="51">
        <v>2030.0</v>
      </c>
      <c r="AO1249" s="42" t="s">
        <v>445</v>
      </c>
      <c r="AP1249" s="43" t="s">
        <v>445</v>
      </c>
      <c r="AQ1249" s="44" t="str">
        <f t="shared" si="147"/>
        <v>ENF</v>
      </c>
      <c r="AR1249" s="44">
        <f t="shared" si="144"/>
        <v>2030</v>
      </c>
      <c r="AS1249" s="44" t="str">
        <f t="shared" si="148"/>
        <v>C</v>
      </c>
      <c r="AT1249" s="44" t="str">
        <f t="shared" si="114"/>
        <v>Cs</v>
      </c>
      <c r="AU1249" s="44" t="str">
        <f t="shared" si="115"/>
        <v>Csb</v>
      </c>
      <c r="AV1249" s="38"/>
      <c r="AW1249" s="38"/>
      <c r="AX1249" s="38" t="s">
        <v>2265</v>
      </c>
      <c r="AY1249" s="38"/>
      <c r="AZ1249" s="29">
        <v>500.0</v>
      </c>
      <c r="BA1249" s="29">
        <v>1.0</v>
      </c>
      <c r="BB1249" s="29">
        <v>1.0</v>
      </c>
      <c r="BC1249" s="29" t="s">
        <v>2268</v>
      </c>
      <c r="BD1249" s="29"/>
      <c r="BE1249" s="29" t="s">
        <v>263</v>
      </c>
      <c r="BF1249" s="29" t="s">
        <v>2269</v>
      </c>
      <c r="BG1249" s="29" t="s">
        <v>644</v>
      </c>
      <c r="BH1249" s="29" t="s">
        <v>88</v>
      </c>
      <c r="BI1249" s="29"/>
      <c r="BJ1249" s="29"/>
      <c r="BK1249" s="29"/>
      <c r="BL1249" s="29"/>
      <c r="BM1249" s="45"/>
      <c r="BN1249" s="45">
        <v>1.0</v>
      </c>
      <c r="BO1249" s="46" t="s">
        <v>1795</v>
      </c>
      <c r="BP1249" s="2" t="s">
        <v>682</v>
      </c>
      <c r="BQ1249" s="3"/>
    </row>
    <row r="1250" ht="16.5" customHeight="1">
      <c r="A1250" s="34">
        <v>1268.0</v>
      </c>
      <c r="B1250" s="34">
        <v>104220.0</v>
      </c>
      <c r="C1250" s="34" t="s">
        <v>832</v>
      </c>
      <c r="D1250" s="34" t="s">
        <v>2256</v>
      </c>
      <c r="E1250" s="34" t="s">
        <v>2257</v>
      </c>
      <c r="F1250" s="34">
        <v>2021.0</v>
      </c>
      <c r="G1250" s="34" t="s">
        <v>2258</v>
      </c>
      <c r="H1250" s="34" t="s">
        <v>816</v>
      </c>
      <c r="I1250" s="34" t="s">
        <v>2259</v>
      </c>
      <c r="J1250" s="35"/>
      <c r="K1250" s="36"/>
      <c r="L1250" s="36"/>
      <c r="M1250" s="36"/>
      <c r="N1250" s="36"/>
      <c r="O1250" s="36"/>
      <c r="P1250" s="37">
        <v>-53.0</v>
      </c>
      <c r="Q1250" s="36"/>
      <c r="R1250" s="36" t="s">
        <v>191</v>
      </c>
      <c r="S1250" s="36">
        <v>500.0</v>
      </c>
      <c r="T1250" s="36" t="s">
        <v>233</v>
      </c>
      <c r="U1250" s="36" t="s">
        <v>2096</v>
      </c>
      <c r="V1250" s="36">
        <v>33.0</v>
      </c>
      <c r="W1250" s="36" t="s">
        <v>2277</v>
      </c>
      <c r="X1250" s="38">
        <v>1.0</v>
      </c>
      <c r="Y1250" s="38" t="s">
        <v>2273</v>
      </c>
      <c r="Z1250" s="38" t="s">
        <v>2274</v>
      </c>
      <c r="AA1250" s="38" t="s">
        <v>197</v>
      </c>
      <c r="AB1250" s="38">
        <v>37.0311</v>
      </c>
      <c r="AC1250" s="38">
        <v>-119.2563</v>
      </c>
      <c r="AD1250" s="38" t="s">
        <v>87</v>
      </c>
      <c r="AE1250" s="53"/>
      <c r="AF1250" s="38" t="s">
        <v>2275</v>
      </c>
      <c r="AG1250" s="57"/>
      <c r="AH1250" s="38" t="s">
        <v>2264</v>
      </c>
      <c r="AI1250" s="50">
        <v>37.0311</v>
      </c>
      <c r="AJ1250" s="50">
        <v>-119.2563</v>
      </c>
      <c r="AK1250" s="41" t="s">
        <v>197</v>
      </c>
      <c r="AL1250" s="40" t="s">
        <v>197</v>
      </c>
      <c r="AM1250" s="49">
        <v>1180.0</v>
      </c>
      <c r="AN1250" s="51">
        <v>1180.0</v>
      </c>
      <c r="AO1250" s="42" t="s">
        <v>175</v>
      </c>
      <c r="AP1250" s="43" t="s">
        <v>175</v>
      </c>
      <c r="AQ1250" s="44" t="str">
        <f t="shared" si="147"/>
        <v>ENF</v>
      </c>
      <c r="AR1250" s="44">
        <f t="shared" si="144"/>
        <v>1180</v>
      </c>
      <c r="AS1250" s="44" t="str">
        <f t="shared" si="148"/>
        <v>C</v>
      </c>
      <c r="AT1250" s="44" t="str">
        <f t="shared" si="114"/>
        <v>Cs</v>
      </c>
      <c r="AU1250" s="44" t="str">
        <f t="shared" si="115"/>
        <v>Csa</v>
      </c>
      <c r="AV1250" s="38"/>
      <c r="AW1250" s="38"/>
      <c r="AX1250" s="38" t="s">
        <v>2265</v>
      </c>
      <c r="AY1250" s="38"/>
      <c r="AZ1250" s="29">
        <v>500.0</v>
      </c>
      <c r="BA1250" s="29">
        <v>1.0</v>
      </c>
      <c r="BB1250" s="29">
        <v>2.0</v>
      </c>
      <c r="BC1250" s="29" t="s">
        <v>2266</v>
      </c>
      <c r="BD1250" s="29"/>
      <c r="BE1250" s="29" t="s">
        <v>89</v>
      </c>
      <c r="BF1250" s="29" t="s">
        <v>2267</v>
      </c>
      <c r="BG1250" s="29" t="s">
        <v>220</v>
      </c>
      <c r="BH1250" s="29" t="s">
        <v>92</v>
      </c>
      <c r="BI1250" s="29"/>
      <c r="BJ1250" s="29"/>
      <c r="BK1250" s="29"/>
      <c r="BL1250" s="29"/>
      <c r="BM1250" s="45"/>
      <c r="BN1250" s="45">
        <v>1.0</v>
      </c>
      <c r="BO1250" s="46" t="s">
        <v>1795</v>
      </c>
      <c r="BP1250" s="2" t="s">
        <v>682</v>
      </c>
      <c r="BQ1250" s="3"/>
    </row>
    <row r="1251" ht="16.5" customHeight="1">
      <c r="A1251" s="34">
        <v>1269.0</v>
      </c>
      <c r="B1251" s="34">
        <v>104220.0</v>
      </c>
      <c r="C1251" s="34" t="s">
        <v>832</v>
      </c>
      <c r="D1251" s="34" t="s">
        <v>2256</v>
      </c>
      <c r="E1251" s="34" t="s">
        <v>2257</v>
      </c>
      <c r="F1251" s="34">
        <v>2021.0</v>
      </c>
      <c r="G1251" s="34" t="s">
        <v>2258</v>
      </c>
      <c r="H1251" s="34" t="s">
        <v>816</v>
      </c>
      <c r="I1251" s="34" t="s">
        <v>2259</v>
      </c>
      <c r="J1251" s="35"/>
      <c r="K1251" s="36"/>
      <c r="L1251" s="36"/>
      <c r="M1251" s="36"/>
      <c r="N1251" s="36"/>
      <c r="O1251" s="36"/>
      <c r="P1251" s="37">
        <v>-7.0</v>
      </c>
      <c r="Q1251" s="36"/>
      <c r="R1251" s="36" t="s">
        <v>191</v>
      </c>
      <c r="S1251" s="36">
        <v>500.0</v>
      </c>
      <c r="T1251" s="36" t="s">
        <v>233</v>
      </c>
      <c r="U1251" s="36" t="s">
        <v>2096</v>
      </c>
      <c r="V1251" s="36">
        <v>33.0</v>
      </c>
      <c r="W1251" s="36" t="s">
        <v>2277</v>
      </c>
      <c r="X1251" s="38">
        <v>1.0</v>
      </c>
      <c r="Y1251" s="38" t="s">
        <v>2273</v>
      </c>
      <c r="Z1251" s="38" t="s">
        <v>2274</v>
      </c>
      <c r="AA1251" s="38" t="s">
        <v>197</v>
      </c>
      <c r="AB1251" s="38">
        <v>37.0311</v>
      </c>
      <c r="AC1251" s="38">
        <v>-119.2563</v>
      </c>
      <c r="AD1251" s="38" t="s">
        <v>87</v>
      </c>
      <c r="AE1251" s="53"/>
      <c r="AF1251" s="38" t="s">
        <v>2275</v>
      </c>
      <c r="AG1251" s="57"/>
      <c r="AH1251" s="38" t="s">
        <v>2264</v>
      </c>
      <c r="AI1251" s="50">
        <v>37.0311</v>
      </c>
      <c r="AJ1251" s="50">
        <v>-119.2563</v>
      </c>
      <c r="AK1251" s="41" t="s">
        <v>197</v>
      </c>
      <c r="AL1251" s="40" t="s">
        <v>197</v>
      </c>
      <c r="AM1251" s="49">
        <v>1180.0</v>
      </c>
      <c r="AN1251" s="51">
        <v>1180.0</v>
      </c>
      <c r="AO1251" s="42" t="s">
        <v>175</v>
      </c>
      <c r="AP1251" s="43" t="s">
        <v>175</v>
      </c>
      <c r="AQ1251" s="44" t="str">
        <f t="shared" si="147"/>
        <v>ENF</v>
      </c>
      <c r="AR1251" s="44">
        <f t="shared" si="144"/>
        <v>1180</v>
      </c>
      <c r="AS1251" s="44" t="str">
        <f t="shared" si="148"/>
        <v>C</v>
      </c>
      <c r="AT1251" s="44" t="str">
        <f t="shared" si="114"/>
        <v>Cs</v>
      </c>
      <c r="AU1251" s="44" t="str">
        <f t="shared" si="115"/>
        <v>Csa</v>
      </c>
      <c r="AV1251" s="38"/>
      <c r="AW1251" s="38"/>
      <c r="AX1251" s="38" t="s">
        <v>2265</v>
      </c>
      <c r="AY1251" s="38"/>
      <c r="AZ1251" s="29">
        <v>500.0</v>
      </c>
      <c r="BA1251" s="29">
        <v>1.0</v>
      </c>
      <c r="BB1251" s="29">
        <v>1.0</v>
      </c>
      <c r="BC1251" s="29" t="s">
        <v>2268</v>
      </c>
      <c r="BD1251" s="29"/>
      <c r="BE1251" s="29" t="s">
        <v>263</v>
      </c>
      <c r="BF1251" s="29" t="s">
        <v>2269</v>
      </c>
      <c r="BG1251" s="29" t="s">
        <v>644</v>
      </c>
      <c r="BH1251" s="29" t="s">
        <v>88</v>
      </c>
      <c r="BI1251" s="29"/>
      <c r="BJ1251" s="29"/>
      <c r="BK1251" s="29"/>
      <c r="BL1251" s="29"/>
      <c r="BM1251" s="45"/>
      <c r="BN1251" s="45">
        <v>1.0</v>
      </c>
      <c r="BO1251" s="46" t="s">
        <v>1795</v>
      </c>
      <c r="BP1251" s="2" t="s">
        <v>682</v>
      </c>
      <c r="BQ1251" s="3"/>
    </row>
    <row r="1252" ht="16.5" customHeight="1">
      <c r="A1252" s="34">
        <v>1270.0</v>
      </c>
      <c r="B1252" s="34">
        <v>104220.0</v>
      </c>
      <c r="C1252" s="34" t="s">
        <v>832</v>
      </c>
      <c r="D1252" s="34" t="s">
        <v>2256</v>
      </c>
      <c r="E1252" s="34" t="s">
        <v>2257</v>
      </c>
      <c r="F1252" s="34">
        <v>2021.0</v>
      </c>
      <c r="G1252" s="34" t="s">
        <v>2258</v>
      </c>
      <c r="H1252" s="34" t="s">
        <v>816</v>
      </c>
      <c r="I1252" s="34" t="s">
        <v>2259</v>
      </c>
      <c r="J1252" s="35"/>
      <c r="K1252" s="36"/>
      <c r="L1252" s="36"/>
      <c r="M1252" s="36"/>
      <c r="N1252" s="36"/>
      <c r="O1252" s="36"/>
      <c r="P1252" s="37">
        <v>-49.0</v>
      </c>
      <c r="Q1252" s="36"/>
      <c r="R1252" s="36" t="s">
        <v>191</v>
      </c>
      <c r="S1252" s="36">
        <v>500.0</v>
      </c>
      <c r="T1252" s="36" t="s">
        <v>536</v>
      </c>
      <c r="U1252" s="36" t="s">
        <v>2096</v>
      </c>
      <c r="V1252" s="36">
        <v>118.0</v>
      </c>
      <c r="W1252" s="36" t="s">
        <v>2277</v>
      </c>
      <c r="X1252" s="38">
        <v>3.0</v>
      </c>
      <c r="Y1252" s="38" t="s">
        <v>2276</v>
      </c>
      <c r="Z1252" s="38"/>
      <c r="AA1252" s="38"/>
      <c r="AB1252" s="38"/>
      <c r="AC1252" s="38"/>
      <c r="AD1252" s="39" t="s">
        <v>87</v>
      </c>
      <c r="AE1252" s="38"/>
      <c r="AF1252" s="38"/>
      <c r="AG1252" s="38"/>
      <c r="AH1252" s="38" t="s">
        <v>2264</v>
      </c>
      <c r="AI1252" s="50"/>
      <c r="AJ1252" s="50"/>
      <c r="AK1252" s="41"/>
      <c r="AL1252" s="40"/>
      <c r="AM1252" s="49"/>
      <c r="AN1252" s="43"/>
      <c r="AO1252" s="42"/>
      <c r="AP1252" s="43"/>
      <c r="AQ1252" s="44" t="str">
        <f t="shared" si="147"/>
        <v/>
      </c>
      <c r="AR1252" s="44" t="str">
        <f t="shared" si="144"/>
        <v/>
      </c>
      <c r="AS1252" s="44"/>
      <c r="AT1252" s="44" t="str">
        <f t="shared" si="114"/>
        <v/>
      </c>
      <c r="AU1252" s="44" t="str">
        <f t="shared" si="115"/>
        <v/>
      </c>
      <c r="AV1252" s="38"/>
      <c r="AW1252" s="38"/>
      <c r="AX1252" s="38" t="s">
        <v>2265</v>
      </c>
      <c r="AY1252" s="38"/>
      <c r="AZ1252" s="29">
        <v>500.0</v>
      </c>
      <c r="BA1252" s="29">
        <v>1.0</v>
      </c>
      <c r="BB1252" s="29">
        <v>2.0</v>
      </c>
      <c r="BC1252" s="29" t="s">
        <v>2266</v>
      </c>
      <c r="BD1252" s="29"/>
      <c r="BE1252" s="29" t="s">
        <v>89</v>
      </c>
      <c r="BF1252" s="29" t="s">
        <v>2267</v>
      </c>
      <c r="BG1252" s="29" t="s">
        <v>220</v>
      </c>
      <c r="BH1252" s="29" t="s">
        <v>92</v>
      </c>
      <c r="BI1252" s="29"/>
      <c r="BJ1252" s="29"/>
      <c r="BK1252" s="29"/>
      <c r="BL1252" s="29"/>
      <c r="BM1252" s="45"/>
      <c r="BN1252" s="45">
        <v>1.0</v>
      </c>
      <c r="BO1252" s="46" t="s">
        <v>1795</v>
      </c>
      <c r="BP1252" s="2" t="s">
        <v>682</v>
      </c>
      <c r="BQ1252" s="3"/>
    </row>
    <row r="1253" ht="16.5" customHeight="1">
      <c r="A1253" s="34">
        <v>1271.0</v>
      </c>
      <c r="B1253" s="34">
        <v>104220.0</v>
      </c>
      <c r="C1253" s="34" t="s">
        <v>832</v>
      </c>
      <c r="D1253" s="34" t="s">
        <v>2256</v>
      </c>
      <c r="E1253" s="34" t="s">
        <v>2257</v>
      </c>
      <c r="F1253" s="34">
        <v>2021.0</v>
      </c>
      <c r="G1253" s="34" t="s">
        <v>2258</v>
      </c>
      <c r="H1253" s="34" t="s">
        <v>816</v>
      </c>
      <c r="I1253" s="34" t="s">
        <v>2259</v>
      </c>
      <c r="J1253" s="35"/>
      <c r="K1253" s="36"/>
      <c r="L1253" s="36"/>
      <c r="M1253" s="36"/>
      <c r="N1253" s="36"/>
      <c r="O1253" s="36"/>
      <c r="P1253" s="37">
        <v>-7.1</v>
      </c>
      <c r="Q1253" s="36"/>
      <c r="R1253" s="36" t="s">
        <v>191</v>
      </c>
      <c r="S1253" s="36">
        <v>500.0</v>
      </c>
      <c r="T1253" s="36" t="s">
        <v>536</v>
      </c>
      <c r="U1253" s="36" t="s">
        <v>2096</v>
      </c>
      <c r="V1253" s="36">
        <v>118.0</v>
      </c>
      <c r="W1253" s="36" t="s">
        <v>2277</v>
      </c>
      <c r="X1253" s="38">
        <v>3.0</v>
      </c>
      <c r="Y1253" s="38" t="s">
        <v>2276</v>
      </c>
      <c r="Z1253" s="38"/>
      <c r="AA1253" s="38"/>
      <c r="AB1253" s="38"/>
      <c r="AC1253" s="38"/>
      <c r="AD1253" s="39" t="s">
        <v>87</v>
      </c>
      <c r="AE1253" s="38"/>
      <c r="AF1253" s="38"/>
      <c r="AG1253" s="38"/>
      <c r="AH1253" s="38" t="s">
        <v>2264</v>
      </c>
      <c r="AI1253" s="50"/>
      <c r="AJ1253" s="50"/>
      <c r="AK1253" s="41"/>
      <c r="AL1253" s="40"/>
      <c r="AM1253" s="49"/>
      <c r="AN1253" s="43"/>
      <c r="AO1253" s="42"/>
      <c r="AP1253" s="43"/>
      <c r="AQ1253" s="44" t="str">
        <f t="shared" si="147"/>
        <v/>
      </c>
      <c r="AR1253" s="44" t="str">
        <f t="shared" si="144"/>
        <v/>
      </c>
      <c r="AS1253" s="44"/>
      <c r="AT1253" s="44" t="str">
        <f t="shared" si="114"/>
        <v/>
      </c>
      <c r="AU1253" s="44" t="str">
        <f t="shared" si="115"/>
        <v/>
      </c>
      <c r="AV1253" s="38"/>
      <c r="AW1253" s="38"/>
      <c r="AX1253" s="38" t="s">
        <v>2265</v>
      </c>
      <c r="AY1253" s="38"/>
      <c r="AZ1253" s="29">
        <v>500.0</v>
      </c>
      <c r="BA1253" s="29">
        <v>1.0</v>
      </c>
      <c r="BB1253" s="29">
        <v>1.0</v>
      </c>
      <c r="BC1253" s="29" t="s">
        <v>2268</v>
      </c>
      <c r="BD1253" s="29"/>
      <c r="BE1253" s="29" t="s">
        <v>263</v>
      </c>
      <c r="BF1253" s="29" t="s">
        <v>2269</v>
      </c>
      <c r="BG1253" s="29" t="s">
        <v>644</v>
      </c>
      <c r="BH1253" s="29" t="s">
        <v>88</v>
      </c>
      <c r="BI1253" s="29"/>
      <c r="BJ1253" s="29"/>
      <c r="BK1253" s="29"/>
      <c r="BL1253" s="29"/>
      <c r="BM1253" s="45"/>
      <c r="BN1253" s="45">
        <v>1.0</v>
      </c>
      <c r="BO1253" s="46" t="s">
        <v>1795</v>
      </c>
      <c r="BP1253" s="2"/>
      <c r="BQ1253" s="3"/>
    </row>
    <row r="1254" ht="16.5" customHeight="1">
      <c r="A1254" s="34">
        <v>1272.0</v>
      </c>
      <c r="B1254" s="34">
        <v>104220.0</v>
      </c>
      <c r="C1254" s="34" t="s">
        <v>832</v>
      </c>
      <c r="D1254" s="34" t="s">
        <v>2256</v>
      </c>
      <c r="E1254" s="34" t="s">
        <v>2257</v>
      </c>
      <c r="F1254" s="34">
        <v>2021.0</v>
      </c>
      <c r="G1254" s="34" t="s">
        <v>2258</v>
      </c>
      <c r="H1254" s="34" t="s">
        <v>816</v>
      </c>
      <c r="I1254" s="34" t="s">
        <v>2259</v>
      </c>
      <c r="J1254" s="35"/>
      <c r="K1254" s="36"/>
      <c r="L1254" s="36"/>
      <c r="M1254" s="36"/>
      <c r="N1254" s="36"/>
      <c r="O1254" s="36"/>
      <c r="P1254" s="37">
        <v>-40.0</v>
      </c>
      <c r="Q1254" s="36"/>
      <c r="R1254" s="36" t="s">
        <v>191</v>
      </c>
      <c r="S1254" s="36">
        <v>500.0</v>
      </c>
      <c r="T1254" s="36" t="s">
        <v>969</v>
      </c>
      <c r="U1254" s="36" t="s">
        <v>2096</v>
      </c>
      <c r="V1254" s="36">
        <v>18.0</v>
      </c>
      <c r="W1254" s="36" t="s">
        <v>2282</v>
      </c>
      <c r="X1254" s="38">
        <v>1.0</v>
      </c>
      <c r="Y1254" s="38" t="s">
        <v>2261</v>
      </c>
      <c r="Z1254" s="38" t="s">
        <v>2262</v>
      </c>
      <c r="AA1254" s="38" t="s">
        <v>197</v>
      </c>
      <c r="AB1254" s="38">
        <v>37.0671</v>
      </c>
      <c r="AC1254" s="38">
        <v>-118.9871</v>
      </c>
      <c r="AD1254" s="38" t="s">
        <v>87</v>
      </c>
      <c r="AE1254" s="53"/>
      <c r="AF1254" s="38" t="s">
        <v>2263</v>
      </c>
      <c r="AG1254" s="57" t="s">
        <v>175</v>
      </c>
      <c r="AH1254" s="38" t="s">
        <v>2264</v>
      </c>
      <c r="AI1254" s="50">
        <v>37.0671</v>
      </c>
      <c r="AJ1254" s="50">
        <v>-118.9871</v>
      </c>
      <c r="AK1254" s="41" t="s">
        <v>200</v>
      </c>
      <c r="AL1254" s="40" t="s">
        <v>200</v>
      </c>
      <c r="AM1254" s="49">
        <v>2714.0</v>
      </c>
      <c r="AN1254" s="51">
        <v>2714.0</v>
      </c>
      <c r="AO1254" s="42" t="s">
        <v>753</v>
      </c>
      <c r="AP1254" s="43" t="s">
        <v>321</v>
      </c>
      <c r="AQ1254" s="44" t="str">
        <f t="shared" si="147"/>
        <v>ENF</v>
      </c>
      <c r="AR1254" s="44">
        <f t="shared" si="144"/>
        <v>2714</v>
      </c>
      <c r="AS1254" s="44" t="str">
        <f t="shared" ref="AS1254:AS1259" si="149">LEFT(AO1254,1)</f>
        <v>D</v>
      </c>
      <c r="AT1254" s="44" t="str">
        <f t="shared" si="114"/>
        <v>Ds</v>
      </c>
      <c r="AU1254" s="44" t="str">
        <f t="shared" si="115"/>
        <v>Dsb</v>
      </c>
      <c r="AV1254" s="38"/>
      <c r="AW1254" s="38"/>
      <c r="AX1254" s="38" t="s">
        <v>2265</v>
      </c>
      <c r="AY1254" s="38"/>
      <c r="AZ1254" s="29">
        <v>500.0</v>
      </c>
      <c r="BA1254" s="29">
        <v>1.0</v>
      </c>
      <c r="BB1254" s="29">
        <v>2.0</v>
      </c>
      <c r="BC1254" s="29" t="s">
        <v>2266</v>
      </c>
      <c r="BD1254" s="29"/>
      <c r="BE1254" s="29" t="s">
        <v>89</v>
      </c>
      <c r="BF1254" s="29" t="s">
        <v>2267</v>
      </c>
      <c r="BG1254" s="29" t="s">
        <v>220</v>
      </c>
      <c r="BH1254" s="29" t="s">
        <v>92</v>
      </c>
      <c r="BI1254" s="29"/>
      <c r="BJ1254" s="29"/>
      <c r="BK1254" s="29"/>
      <c r="BL1254" s="29"/>
      <c r="BM1254" s="45"/>
      <c r="BN1254" s="45">
        <v>1.0</v>
      </c>
      <c r="BO1254" s="46" t="s">
        <v>1795</v>
      </c>
      <c r="BP1254" s="2"/>
      <c r="BQ1254" s="3"/>
    </row>
    <row r="1255" ht="16.5" customHeight="1">
      <c r="A1255" s="34">
        <v>1273.0</v>
      </c>
      <c r="B1255" s="34">
        <v>104220.0</v>
      </c>
      <c r="C1255" s="34" t="s">
        <v>832</v>
      </c>
      <c r="D1255" s="34" t="s">
        <v>2256</v>
      </c>
      <c r="E1255" s="34" t="s">
        <v>2257</v>
      </c>
      <c r="F1255" s="34">
        <v>2021.0</v>
      </c>
      <c r="G1255" s="34" t="s">
        <v>2258</v>
      </c>
      <c r="H1255" s="34" t="s">
        <v>816</v>
      </c>
      <c r="I1255" s="34" t="s">
        <v>2259</v>
      </c>
      <c r="J1255" s="35"/>
      <c r="K1255" s="36"/>
      <c r="L1255" s="36"/>
      <c r="M1255" s="36"/>
      <c r="N1255" s="36"/>
      <c r="O1255" s="36"/>
      <c r="P1255" s="37">
        <v>0.67</v>
      </c>
      <c r="Q1255" s="36"/>
      <c r="R1255" s="36" t="s">
        <v>191</v>
      </c>
      <c r="S1255" s="36">
        <v>500.0</v>
      </c>
      <c r="T1255" s="36" t="s">
        <v>969</v>
      </c>
      <c r="U1255" s="36" t="s">
        <v>2096</v>
      </c>
      <c r="V1255" s="36">
        <v>18.0</v>
      </c>
      <c r="W1255" s="36" t="s">
        <v>2282</v>
      </c>
      <c r="X1255" s="38">
        <v>1.0</v>
      </c>
      <c r="Y1255" s="38" t="s">
        <v>2261</v>
      </c>
      <c r="Z1255" s="38" t="s">
        <v>2262</v>
      </c>
      <c r="AA1255" s="38" t="s">
        <v>197</v>
      </c>
      <c r="AB1255" s="38">
        <v>37.0671</v>
      </c>
      <c r="AC1255" s="38">
        <v>-118.9871</v>
      </c>
      <c r="AD1255" s="38" t="s">
        <v>87</v>
      </c>
      <c r="AE1255" s="53"/>
      <c r="AF1255" s="38" t="s">
        <v>2263</v>
      </c>
      <c r="AG1255" s="57" t="s">
        <v>175</v>
      </c>
      <c r="AH1255" s="38" t="s">
        <v>2264</v>
      </c>
      <c r="AI1255" s="50">
        <v>37.0671</v>
      </c>
      <c r="AJ1255" s="50">
        <v>-118.9871</v>
      </c>
      <c r="AK1255" s="41" t="s">
        <v>200</v>
      </c>
      <c r="AL1255" s="40" t="s">
        <v>200</v>
      </c>
      <c r="AM1255" s="49">
        <v>2714.0</v>
      </c>
      <c r="AN1255" s="51">
        <v>2714.0</v>
      </c>
      <c r="AO1255" s="42" t="s">
        <v>753</v>
      </c>
      <c r="AP1255" s="43" t="s">
        <v>321</v>
      </c>
      <c r="AQ1255" s="44" t="str">
        <f t="shared" si="147"/>
        <v>ENF</v>
      </c>
      <c r="AR1255" s="44">
        <f t="shared" si="144"/>
        <v>2714</v>
      </c>
      <c r="AS1255" s="44" t="str">
        <f t="shared" si="149"/>
        <v>D</v>
      </c>
      <c r="AT1255" s="44" t="str">
        <f t="shared" si="114"/>
        <v>Ds</v>
      </c>
      <c r="AU1255" s="44" t="str">
        <f t="shared" si="115"/>
        <v>Dsb</v>
      </c>
      <c r="AV1255" s="38"/>
      <c r="AW1255" s="38"/>
      <c r="AX1255" s="38" t="s">
        <v>2265</v>
      </c>
      <c r="AY1255" s="38"/>
      <c r="AZ1255" s="29">
        <v>500.0</v>
      </c>
      <c r="BA1255" s="29">
        <v>1.0</v>
      </c>
      <c r="BB1255" s="29">
        <v>1.0</v>
      </c>
      <c r="BC1255" s="29" t="s">
        <v>2268</v>
      </c>
      <c r="BD1255" s="29"/>
      <c r="BE1255" s="29" t="s">
        <v>263</v>
      </c>
      <c r="BF1255" s="29" t="s">
        <v>2269</v>
      </c>
      <c r="BG1255" s="29" t="s">
        <v>644</v>
      </c>
      <c r="BH1255" s="29" t="s">
        <v>88</v>
      </c>
      <c r="BI1255" s="29"/>
      <c r="BJ1255" s="29"/>
      <c r="BK1255" s="29"/>
      <c r="BL1255" s="29"/>
      <c r="BM1255" s="45"/>
      <c r="BN1255" s="45">
        <v>1.0</v>
      </c>
      <c r="BO1255" s="46" t="s">
        <v>1795</v>
      </c>
      <c r="BP1255" s="2"/>
      <c r="BQ1255" s="3"/>
    </row>
    <row r="1256" ht="16.5" customHeight="1">
      <c r="A1256" s="34">
        <v>1274.0</v>
      </c>
      <c r="B1256" s="34">
        <v>104220.0</v>
      </c>
      <c r="C1256" s="34" t="s">
        <v>832</v>
      </c>
      <c r="D1256" s="34" t="s">
        <v>2256</v>
      </c>
      <c r="E1256" s="34" t="s">
        <v>2257</v>
      </c>
      <c r="F1256" s="34">
        <v>2021.0</v>
      </c>
      <c r="G1256" s="34" t="s">
        <v>2258</v>
      </c>
      <c r="H1256" s="34" t="s">
        <v>816</v>
      </c>
      <c r="I1256" s="34" t="s">
        <v>2259</v>
      </c>
      <c r="J1256" s="35"/>
      <c r="K1256" s="36"/>
      <c r="L1256" s="36"/>
      <c r="M1256" s="36"/>
      <c r="N1256" s="36"/>
      <c r="O1256" s="36"/>
      <c r="P1256" s="37">
        <v>-43.0</v>
      </c>
      <c r="Q1256" s="36"/>
      <c r="R1256" s="36" t="s">
        <v>191</v>
      </c>
      <c r="S1256" s="36">
        <v>500.0</v>
      </c>
      <c r="T1256" s="36" t="s">
        <v>536</v>
      </c>
      <c r="U1256" s="36" t="s">
        <v>2096</v>
      </c>
      <c r="V1256" s="36">
        <v>58.0</v>
      </c>
      <c r="W1256" s="36" t="s">
        <v>2282</v>
      </c>
      <c r="X1256" s="38">
        <v>1.0</v>
      </c>
      <c r="Y1256" s="38" t="s">
        <v>2283</v>
      </c>
      <c r="Z1256" s="38" t="s">
        <v>2284</v>
      </c>
      <c r="AA1256" s="38" t="s">
        <v>197</v>
      </c>
      <c r="AB1256" s="38">
        <v>37.0673</v>
      </c>
      <c r="AC1256" s="38">
        <v>-119.1948</v>
      </c>
      <c r="AD1256" s="38" t="s">
        <v>87</v>
      </c>
      <c r="AE1256" s="53"/>
      <c r="AF1256" s="38" t="s">
        <v>2272</v>
      </c>
      <c r="AG1256" s="57" t="s">
        <v>175</v>
      </c>
      <c r="AH1256" s="38" t="s">
        <v>2264</v>
      </c>
      <c r="AI1256" s="50">
        <v>37.0673</v>
      </c>
      <c r="AJ1256" s="50">
        <v>-119.1948</v>
      </c>
      <c r="AK1256" s="41" t="s">
        <v>200</v>
      </c>
      <c r="AL1256" s="40" t="s">
        <v>200</v>
      </c>
      <c r="AM1256" s="49">
        <v>2030.0</v>
      </c>
      <c r="AN1256" s="51">
        <v>2030.0</v>
      </c>
      <c r="AO1256" s="42" t="s">
        <v>445</v>
      </c>
      <c r="AP1256" s="43" t="s">
        <v>445</v>
      </c>
      <c r="AQ1256" s="44" t="str">
        <f t="shared" si="147"/>
        <v>ENF</v>
      </c>
      <c r="AR1256" s="44">
        <f t="shared" si="144"/>
        <v>2030</v>
      </c>
      <c r="AS1256" s="44" t="str">
        <f t="shared" si="149"/>
        <v>C</v>
      </c>
      <c r="AT1256" s="44" t="str">
        <f t="shared" si="114"/>
        <v>Cs</v>
      </c>
      <c r="AU1256" s="44" t="str">
        <f t="shared" si="115"/>
        <v>Csb</v>
      </c>
      <c r="AV1256" s="38"/>
      <c r="AW1256" s="38"/>
      <c r="AX1256" s="38" t="s">
        <v>2265</v>
      </c>
      <c r="AY1256" s="38"/>
      <c r="AZ1256" s="29">
        <v>500.0</v>
      </c>
      <c r="BA1256" s="29">
        <v>1.0</v>
      </c>
      <c r="BB1256" s="29">
        <v>2.0</v>
      </c>
      <c r="BC1256" s="29" t="s">
        <v>2266</v>
      </c>
      <c r="BD1256" s="29"/>
      <c r="BE1256" s="29" t="s">
        <v>89</v>
      </c>
      <c r="BF1256" s="29" t="s">
        <v>2267</v>
      </c>
      <c r="BG1256" s="29" t="s">
        <v>220</v>
      </c>
      <c r="BH1256" s="29" t="s">
        <v>92</v>
      </c>
      <c r="BI1256" s="29"/>
      <c r="BJ1256" s="29"/>
      <c r="BK1256" s="29"/>
      <c r="BL1256" s="29"/>
      <c r="BM1256" s="45"/>
      <c r="BN1256" s="45">
        <v>1.0</v>
      </c>
      <c r="BO1256" s="46" t="s">
        <v>1795</v>
      </c>
      <c r="BP1256" s="2"/>
      <c r="BQ1256" s="3"/>
    </row>
    <row r="1257" ht="16.5" customHeight="1">
      <c r="A1257" s="34">
        <v>1275.0</v>
      </c>
      <c r="B1257" s="34">
        <v>104220.0</v>
      </c>
      <c r="C1257" s="34" t="s">
        <v>832</v>
      </c>
      <c r="D1257" s="34" t="s">
        <v>2256</v>
      </c>
      <c r="E1257" s="34" t="s">
        <v>2257</v>
      </c>
      <c r="F1257" s="34">
        <v>2021.0</v>
      </c>
      <c r="G1257" s="34" t="s">
        <v>2258</v>
      </c>
      <c r="H1257" s="34" t="s">
        <v>816</v>
      </c>
      <c r="I1257" s="34" t="s">
        <v>2259</v>
      </c>
      <c r="J1257" s="35"/>
      <c r="K1257" s="36"/>
      <c r="L1257" s="36"/>
      <c r="M1257" s="36"/>
      <c r="N1257" s="36"/>
      <c r="O1257" s="36"/>
      <c r="P1257" s="37">
        <v>9.3</v>
      </c>
      <c r="Q1257" s="36"/>
      <c r="R1257" s="36" t="s">
        <v>191</v>
      </c>
      <c r="S1257" s="36">
        <v>500.0</v>
      </c>
      <c r="T1257" s="36" t="s">
        <v>536</v>
      </c>
      <c r="U1257" s="36" t="s">
        <v>2096</v>
      </c>
      <c r="V1257" s="36">
        <v>58.0</v>
      </c>
      <c r="W1257" s="36" t="s">
        <v>2282</v>
      </c>
      <c r="X1257" s="38">
        <v>1.0</v>
      </c>
      <c r="Y1257" s="38" t="s">
        <v>2285</v>
      </c>
      <c r="Z1257" s="38" t="s">
        <v>2286</v>
      </c>
      <c r="AA1257" s="38" t="s">
        <v>197</v>
      </c>
      <c r="AB1257" s="38">
        <v>37.0673</v>
      </c>
      <c r="AC1257" s="38">
        <v>-119.1948</v>
      </c>
      <c r="AD1257" s="38" t="s">
        <v>87</v>
      </c>
      <c r="AE1257" s="53"/>
      <c r="AF1257" s="38" t="s">
        <v>2272</v>
      </c>
      <c r="AG1257" s="57" t="s">
        <v>175</v>
      </c>
      <c r="AH1257" s="38" t="s">
        <v>2264</v>
      </c>
      <c r="AI1257" s="50">
        <v>37.0673</v>
      </c>
      <c r="AJ1257" s="50">
        <v>-119.1948</v>
      </c>
      <c r="AK1257" s="41" t="s">
        <v>200</v>
      </c>
      <c r="AL1257" s="40" t="s">
        <v>200</v>
      </c>
      <c r="AM1257" s="49">
        <v>2030.0</v>
      </c>
      <c r="AN1257" s="51">
        <v>2030.0</v>
      </c>
      <c r="AO1257" s="42" t="s">
        <v>445</v>
      </c>
      <c r="AP1257" s="43" t="s">
        <v>445</v>
      </c>
      <c r="AQ1257" s="44" t="str">
        <f t="shared" si="147"/>
        <v>ENF</v>
      </c>
      <c r="AR1257" s="44">
        <f t="shared" si="144"/>
        <v>2030</v>
      </c>
      <c r="AS1257" s="44" t="str">
        <f t="shared" si="149"/>
        <v>C</v>
      </c>
      <c r="AT1257" s="44" t="str">
        <f t="shared" si="114"/>
        <v>Cs</v>
      </c>
      <c r="AU1257" s="44" t="str">
        <f t="shared" si="115"/>
        <v>Csb</v>
      </c>
      <c r="AV1257" s="38"/>
      <c r="AW1257" s="38"/>
      <c r="AX1257" s="38" t="s">
        <v>2265</v>
      </c>
      <c r="AY1257" s="38"/>
      <c r="AZ1257" s="29">
        <v>500.0</v>
      </c>
      <c r="BA1257" s="29">
        <v>1.0</v>
      </c>
      <c r="BB1257" s="29">
        <v>1.0</v>
      </c>
      <c r="BC1257" s="29" t="s">
        <v>2268</v>
      </c>
      <c r="BD1257" s="29"/>
      <c r="BE1257" s="29" t="s">
        <v>263</v>
      </c>
      <c r="BF1257" s="29" t="s">
        <v>2269</v>
      </c>
      <c r="BG1257" s="29" t="s">
        <v>644</v>
      </c>
      <c r="BH1257" s="29" t="s">
        <v>88</v>
      </c>
      <c r="BI1257" s="29"/>
      <c r="BJ1257" s="29"/>
      <c r="BK1257" s="29"/>
      <c r="BL1257" s="29"/>
      <c r="BM1257" s="45"/>
      <c r="BN1257" s="45">
        <v>1.0</v>
      </c>
      <c r="BO1257" s="46" t="s">
        <v>1795</v>
      </c>
      <c r="BP1257" s="2"/>
      <c r="BQ1257" s="3"/>
    </row>
    <row r="1258" ht="16.5" customHeight="1">
      <c r="A1258" s="34">
        <v>1276.0</v>
      </c>
      <c r="B1258" s="34">
        <v>104220.0</v>
      </c>
      <c r="C1258" s="34" t="s">
        <v>832</v>
      </c>
      <c r="D1258" s="34" t="s">
        <v>2256</v>
      </c>
      <c r="E1258" s="34" t="s">
        <v>2257</v>
      </c>
      <c r="F1258" s="34">
        <v>2021.0</v>
      </c>
      <c r="G1258" s="34" t="s">
        <v>2258</v>
      </c>
      <c r="H1258" s="34" t="s">
        <v>816</v>
      </c>
      <c r="I1258" s="34" t="s">
        <v>2259</v>
      </c>
      <c r="J1258" s="35"/>
      <c r="K1258" s="36"/>
      <c r="L1258" s="36"/>
      <c r="M1258" s="36"/>
      <c r="N1258" s="36"/>
      <c r="O1258" s="36"/>
      <c r="P1258" s="37">
        <v>-47.0</v>
      </c>
      <c r="Q1258" s="36"/>
      <c r="R1258" s="36" t="s">
        <v>191</v>
      </c>
      <c r="S1258" s="36">
        <v>500.0</v>
      </c>
      <c r="T1258" s="36" t="s">
        <v>233</v>
      </c>
      <c r="U1258" s="36" t="s">
        <v>2096</v>
      </c>
      <c r="V1258" s="36">
        <v>58.0</v>
      </c>
      <c r="W1258" s="36" t="s">
        <v>2282</v>
      </c>
      <c r="X1258" s="38">
        <v>1.0</v>
      </c>
      <c r="Y1258" s="38" t="s">
        <v>2273</v>
      </c>
      <c r="Z1258" s="38" t="s">
        <v>2274</v>
      </c>
      <c r="AA1258" s="38" t="s">
        <v>197</v>
      </c>
      <c r="AB1258" s="38">
        <v>37.0311</v>
      </c>
      <c r="AC1258" s="38">
        <v>-119.2563</v>
      </c>
      <c r="AD1258" s="38" t="s">
        <v>87</v>
      </c>
      <c r="AE1258" s="53"/>
      <c r="AF1258" s="38" t="s">
        <v>2275</v>
      </c>
      <c r="AG1258" s="57" t="s">
        <v>175</v>
      </c>
      <c r="AH1258" s="38" t="s">
        <v>2264</v>
      </c>
      <c r="AI1258" s="50">
        <v>37.0311</v>
      </c>
      <c r="AJ1258" s="50">
        <v>-119.2563</v>
      </c>
      <c r="AK1258" s="41" t="s">
        <v>197</v>
      </c>
      <c r="AL1258" s="40" t="s">
        <v>197</v>
      </c>
      <c r="AM1258" s="49">
        <v>1180.0</v>
      </c>
      <c r="AN1258" s="51">
        <v>1180.0</v>
      </c>
      <c r="AO1258" s="42" t="s">
        <v>175</v>
      </c>
      <c r="AP1258" s="43" t="s">
        <v>175</v>
      </c>
      <c r="AQ1258" s="44" t="str">
        <f t="shared" si="147"/>
        <v>ENF</v>
      </c>
      <c r="AR1258" s="44">
        <f t="shared" si="144"/>
        <v>1180</v>
      </c>
      <c r="AS1258" s="44" t="str">
        <f t="shared" si="149"/>
        <v>C</v>
      </c>
      <c r="AT1258" s="44" t="str">
        <f t="shared" si="114"/>
        <v>Cs</v>
      </c>
      <c r="AU1258" s="44" t="str">
        <f t="shared" si="115"/>
        <v>Csa</v>
      </c>
      <c r="AV1258" s="38"/>
      <c r="AW1258" s="38"/>
      <c r="AX1258" s="38" t="s">
        <v>2265</v>
      </c>
      <c r="AY1258" s="38"/>
      <c r="AZ1258" s="29">
        <v>500.0</v>
      </c>
      <c r="BA1258" s="29">
        <v>1.0</v>
      </c>
      <c r="BB1258" s="29">
        <v>2.0</v>
      </c>
      <c r="BC1258" s="29" t="s">
        <v>2266</v>
      </c>
      <c r="BD1258" s="29"/>
      <c r="BE1258" s="29" t="s">
        <v>89</v>
      </c>
      <c r="BF1258" s="29" t="s">
        <v>2267</v>
      </c>
      <c r="BG1258" s="29" t="s">
        <v>220</v>
      </c>
      <c r="BH1258" s="29" t="s">
        <v>92</v>
      </c>
      <c r="BI1258" s="29"/>
      <c r="BJ1258" s="29"/>
      <c r="BK1258" s="29"/>
      <c r="BL1258" s="29"/>
      <c r="BM1258" s="45"/>
      <c r="BN1258" s="45">
        <v>1.0</v>
      </c>
      <c r="BO1258" s="46" t="s">
        <v>1795</v>
      </c>
      <c r="BP1258" s="2"/>
      <c r="BQ1258" s="3"/>
    </row>
    <row r="1259" ht="16.5" customHeight="1">
      <c r="A1259" s="34">
        <v>1277.0</v>
      </c>
      <c r="B1259" s="34">
        <v>104220.0</v>
      </c>
      <c r="C1259" s="34" t="s">
        <v>832</v>
      </c>
      <c r="D1259" s="34" t="s">
        <v>2256</v>
      </c>
      <c r="E1259" s="34" t="s">
        <v>2257</v>
      </c>
      <c r="F1259" s="34">
        <v>2021.0</v>
      </c>
      <c r="G1259" s="34" t="s">
        <v>2258</v>
      </c>
      <c r="H1259" s="34" t="s">
        <v>816</v>
      </c>
      <c r="I1259" s="34" t="s">
        <v>2259</v>
      </c>
      <c r="J1259" s="35"/>
      <c r="K1259" s="36"/>
      <c r="L1259" s="36"/>
      <c r="M1259" s="36"/>
      <c r="N1259" s="36"/>
      <c r="O1259" s="36"/>
      <c r="P1259" s="37">
        <v>2.1</v>
      </c>
      <c r="Q1259" s="36"/>
      <c r="R1259" s="36" t="s">
        <v>191</v>
      </c>
      <c r="S1259" s="36">
        <v>500.0</v>
      </c>
      <c r="T1259" s="36" t="s">
        <v>233</v>
      </c>
      <c r="U1259" s="36" t="s">
        <v>2096</v>
      </c>
      <c r="V1259" s="36">
        <v>58.0</v>
      </c>
      <c r="W1259" s="36" t="s">
        <v>2282</v>
      </c>
      <c r="X1259" s="38">
        <v>1.0</v>
      </c>
      <c r="Y1259" s="38" t="s">
        <v>2273</v>
      </c>
      <c r="Z1259" s="38" t="s">
        <v>2274</v>
      </c>
      <c r="AA1259" s="38" t="s">
        <v>197</v>
      </c>
      <c r="AB1259" s="38">
        <v>37.0311</v>
      </c>
      <c r="AC1259" s="38">
        <v>-119.2563</v>
      </c>
      <c r="AD1259" s="38" t="s">
        <v>87</v>
      </c>
      <c r="AE1259" s="53"/>
      <c r="AF1259" s="38" t="s">
        <v>2275</v>
      </c>
      <c r="AG1259" s="57" t="s">
        <v>175</v>
      </c>
      <c r="AH1259" s="38" t="s">
        <v>2264</v>
      </c>
      <c r="AI1259" s="50">
        <v>37.0311</v>
      </c>
      <c r="AJ1259" s="50">
        <v>-119.2563</v>
      </c>
      <c r="AK1259" s="41" t="s">
        <v>197</v>
      </c>
      <c r="AL1259" s="40" t="s">
        <v>197</v>
      </c>
      <c r="AM1259" s="49">
        <v>1180.0</v>
      </c>
      <c r="AN1259" s="51">
        <v>1180.0</v>
      </c>
      <c r="AO1259" s="42" t="s">
        <v>175</v>
      </c>
      <c r="AP1259" s="43" t="s">
        <v>175</v>
      </c>
      <c r="AQ1259" s="44" t="str">
        <f t="shared" si="147"/>
        <v>ENF</v>
      </c>
      <c r="AR1259" s="44">
        <f t="shared" si="144"/>
        <v>1180</v>
      </c>
      <c r="AS1259" s="44" t="str">
        <f t="shared" si="149"/>
        <v>C</v>
      </c>
      <c r="AT1259" s="44" t="str">
        <f t="shared" si="114"/>
        <v>Cs</v>
      </c>
      <c r="AU1259" s="44" t="str">
        <f t="shared" si="115"/>
        <v>Csa</v>
      </c>
      <c r="AV1259" s="38"/>
      <c r="AW1259" s="38"/>
      <c r="AX1259" s="38" t="s">
        <v>2265</v>
      </c>
      <c r="AY1259" s="38"/>
      <c r="AZ1259" s="29">
        <v>500.0</v>
      </c>
      <c r="BA1259" s="29">
        <v>1.0</v>
      </c>
      <c r="BB1259" s="29">
        <v>1.0</v>
      </c>
      <c r="BC1259" s="29" t="s">
        <v>2268</v>
      </c>
      <c r="BD1259" s="29"/>
      <c r="BE1259" s="29" t="s">
        <v>263</v>
      </c>
      <c r="BF1259" s="29" t="s">
        <v>2269</v>
      </c>
      <c r="BG1259" s="29" t="s">
        <v>644</v>
      </c>
      <c r="BH1259" s="29" t="s">
        <v>88</v>
      </c>
      <c r="BI1259" s="29"/>
      <c r="BJ1259" s="29"/>
      <c r="BK1259" s="29"/>
      <c r="BL1259" s="29"/>
      <c r="BM1259" s="45"/>
      <c r="BN1259" s="45">
        <v>1.0</v>
      </c>
      <c r="BO1259" s="46" t="s">
        <v>1795</v>
      </c>
      <c r="BP1259" s="2" t="s">
        <v>682</v>
      </c>
      <c r="BQ1259" s="3"/>
    </row>
    <row r="1260" ht="16.5" customHeight="1">
      <c r="A1260" s="34">
        <v>1278.0</v>
      </c>
      <c r="B1260" s="34">
        <v>104220.0</v>
      </c>
      <c r="C1260" s="34" t="s">
        <v>832</v>
      </c>
      <c r="D1260" s="34" t="s">
        <v>2256</v>
      </c>
      <c r="E1260" s="34" t="s">
        <v>2257</v>
      </c>
      <c r="F1260" s="34">
        <v>2021.0</v>
      </c>
      <c r="G1260" s="34" t="s">
        <v>2258</v>
      </c>
      <c r="H1260" s="34" t="s">
        <v>816</v>
      </c>
      <c r="I1260" s="34" t="s">
        <v>2259</v>
      </c>
      <c r="J1260" s="35"/>
      <c r="K1260" s="36"/>
      <c r="L1260" s="36"/>
      <c r="M1260" s="36"/>
      <c r="N1260" s="36"/>
      <c r="O1260" s="36"/>
      <c r="P1260" s="37">
        <v>-44.0</v>
      </c>
      <c r="Q1260" s="36"/>
      <c r="R1260" s="36" t="s">
        <v>191</v>
      </c>
      <c r="S1260" s="36">
        <v>500.0</v>
      </c>
      <c r="T1260" s="36" t="s">
        <v>536</v>
      </c>
      <c r="U1260" s="36" t="s">
        <v>2096</v>
      </c>
      <c r="V1260" s="36">
        <v>134.0</v>
      </c>
      <c r="W1260" s="36" t="s">
        <v>2282</v>
      </c>
      <c r="X1260" s="38">
        <v>3.0</v>
      </c>
      <c r="Y1260" s="38" t="s">
        <v>2276</v>
      </c>
      <c r="Z1260" s="38"/>
      <c r="AA1260" s="38"/>
      <c r="AB1260" s="38"/>
      <c r="AC1260" s="38"/>
      <c r="AD1260" s="39" t="s">
        <v>87</v>
      </c>
      <c r="AE1260" s="38"/>
      <c r="AF1260" s="38"/>
      <c r="AG1260" s="38"/>
      <c r="AH1260" s="38" t="s">
        <v>2264</v>
      </c>
      <c r="AI1260" s="50"/>
      <c r="AJ1260" s="50"/>
      <c r="AK1260" s="41"/>
      <c r="AL1260" s="40"/>
      <c r="AM1260" s="49"/>
      <c r="AN1260" s="43"/>
      <c r="AO1260" s="42"/>
      <c r="AP1260" s="43"/>
      <c r="AQ1260" s="44" t="str">
        <f t="shared" si="147"/>
        <v/>
      </c>
      <c r="AR1260" s="44" t="str">
        <f t="shared" si="144"/>
        <v/>
      </c>
      <c r="AS1260" s="44"/>
      <c r="AT1260" s="44" t="str">
        <f t="shared" si="114"/>
        <v/>
      </c>
      <c r="AU1260" s="44" t="str">
        <f t="shared" si="115"/>
        <v/>
      </c>
      <c r="AV1260" s="38"/>
      <c r="AW1260" s="38"/>
      <c r="AX1260" s="38" t="s">
        <v>2287</v>
      </c>
      <c r="AY1260" s="38"/>
      <c r="AZ1260" s="29">
        <v>500.0</v>
      </c>
      <c r="BA1260" s="29">
        <v>1.0</v>
      </c>
      <c r="BB1260" s="29">
        <v>2.0</v>
      </c>
      <c r="BC1260" s="29" t="s">
        <v>2266</v>
      </c>
      <c r="BD1260" s="29"/>
      <c r="BE1260" s="29" t="s">
        <v>89</v>
      </c>
      <c r="BF1260" s="29" t="s">
        <v>2267</v>
      </c>
      <c r="BG1260" s="29" t="s">
        <v>220</v>
      </c>
      <c r="BH1260" s="29" t="s">
        <v>92</v>
      </c>
      <c r="BI1260" s="29"/>
      <c r="BJ1260" s="29"/>
      <c r="BK1260" s="29"/>
      <c r="BL1260" s="29"/>
      <c r="BM1260" s="45"/>
      <c r="BN1260" s="45">
        <v>1.0</v>
      </c>
      <c r="BO1260" s="46" t="s">
        <v>1795</v>
      </c>
      <c r="BP1260" s="2"/>
      <c r="BQ1260" s="3"/>
    </row>
    <row r="1261" ht="15.75" customHeight="1">
      <c r="A1261" s="34">
        <v>1279.0</v>
      </c>
      <c r="B1261" s="34">
        <v>104220.0</v>
      </c>
      <c r="C1261" s="34" t="s">
        <v>832</v>
      </c>
      <c r="D1261" s="34" t="s">
        <v>2256</v>
      </c>
      <c r="E1261" s="34" t="s">
        <v>2257</v>
      </c>
      <c r="F1261" s="34">
        <v>2021.0</v>
      </c>
      <c r="G1261" s="34" t="s">
        <v>2258</v>
      </c>
      <c r="H1261" s="34" t="s">
        <v>816</v>
      </c>
      <c r="I1261" s="34" t="s">
        <v>2259</v>
      </c>
      <c r="J1261" s="35"/>
      <c r="K1261" s="36"/>
      <c r="L1261" s="36"/>
      <c r="M1261" s="36"/>
      <c r="N1261" s="36"/>
      <c r="O1261" s="36"/>
      <c r="P1261" s="37">
        <v>4.9</v>
      </c>
      <c r="Q1261" s="36"/>
      <c r="R1261" s="36" t="s">
        <v>191</v>
      </c>
      <c r="S1261" s="36">
        <v>500.0</v>
      </c>
      <c r="T1261" s="36" t="s">
        <v>536</v>
      </c>
      <c r="U1261" s="36" t="s">
        <v>2096</v>
      </c>
      <c r="V1261" s="36">
        <v>134.0</v>
      </c>
      <c r="W1261" s="36" t="s">
        <v>2282</v>
      </c>
      <c r="X1261" s="38">
        <v>3.0</v>
      </c>
      <c r="Y1261" s="38" t="s">
        <v>2276</v>
      </c>
      <c r="Z1261" s="38"/>
      <c r="AA1261" s="38"/>
      <c r="AB1261" s="38"/>
      <c r="AC1261" s="38"/>
      <c r="AD1261" s="39" t="s">
        <v>87</v>
      </c>
      <c r="AE1261" s="38"/>
      <c r="AF1261" s="38"/>
      <c r="AG1261" s="38"/>
      <c r="AH1261" s="38" t="s">
        <v>2264</v>
      </c>
      <c r="AI1261" s="50"/>
      <c r="AJ1261" s="50"/>
      <c r="AK1261" s="41"/>
      <c r="AL1261" s="40"/>
      <c r="AM1261" s="49"/>
      <c r="AN1261" s="43"/>
      <c r="AO1261" s="42"/>
      <c r="AP1261" s="43"/>
      <c r="AQ1261" s="44" t="str">
        <f t="shared" si="147"/>
        <v/>
      </c>
      <c r="AR1261" s="44" t="str">
        <f t="shared" si="144"/>
        <v/>
      </c>
      <c r="AS1261" s="44"/>
      <c r="AT1261" s="44" t="str">
        <f t="shared" si="114"/>
        <v/>
      </c>
      <c r="AU1261" s="44" t="str">
        <f t="shared" si="115"/>
        <v/>
      </c>
      <c r="AV1261" s="38"/>
      <c r="AW1261" s="38"/>
      <c r="AX1261" s="38" t="s">
        <v>2288</v>
      </c>
      <c r="AY1261" s="38"/>
      <c r="AZ1261" s="29">
        <v>500.0</v>
      </c>
      <c r="BA1261" s="29">
        <v>1.0</v>
      </c>
      <c r="BB1261" s="29">
        <v>1.0</v>
      </c>
      <c r="BC1261" s="29" t="s">
        <v>2268</v>
      </c>
      <c r="BD1261" s="29"/>
      <c r="BE1261" s="29" t="s">
        <v>263</v>
      </c>
      <c r="BF1261" s="29" t="s">
        <v>2269</v>
      </c>
      <c r="BG1261" s="29" t="s">
        <v>644</v>
      </c>
      <c r="BH1261" s="29" t="s">
        <v>88</v>
      </c>
      <c r="BI1261" s="29"/>
      <c r="BJ1261" s="29"/>
      <c r="BK1261" s="29"/>
      <c r="BL1261" s="29"/>
      <c r="BM1261" s="45"/>
      <c r="BN1261" s="45">
        <v>1.0</v>
      </c>
      <c r="BO1261" s="46" t="s">
        <v>1795</v>
      </c>
      <c r="BP1261" s="2"/>
      <c r="BQ1261" s="3"/>
    </row>
    <row r="1262" ht="15.75" customHeight="1">
      <c r="A1262" s="34">
        <v>1280.0</v>
      </c>
      <c r="B1262" s="34">
        <v>104206.0</v>
      </c>
      <c r="C1262" s="34" t="s">
        <v>832</v>
      </c>
      <c r="D1262" s="34" t="s">
        <v>2289</v>
      </c>
      <c r="E1262" s="34" t="s">
        <v>2290</v>
      </c>
      <c r="F1262" s="34">
        <v>2021.0</v>
      </c>
      <c r="G1262" s="34" t="s">
        <v>2291</v>
      </c>
      <c r="H1262" s="34" t="s">
        <v>816</v>
      </c>
      <c r="I1262" s="34" t="s">
        <v>2292</v>
      </c>
      <c r="J1262" s="35"/>
      <c r="K1262" s="36"/>
      <c r="L1262" s="36"/>
      <c r="M1262" s="36"/>
      <c r="N1262" s="36"/>
      <c r="O1262" s="36"/>
      <c r="P1262" s="37">
        <v>-12.0</v>
      </c>
      <c r="Q1262" s="36"/>
      <c r="R1262" s="36" t="s">
        <v>96</v>
      </c>
      <c r="S1262" s="36">
        <v>1000.0</v>
      </c>
      <c r="T1262" s="36" t="s">
        <v>536</v>
      </c>
      <c r="U1262" s="36" t="s">
        <v>234</v>
      </c>
      <c r="V1262" s="36"/>
      <c r="W1262" s="36" t="s">
        <v>838</v>
      </c>
      <c r="X1262" s="38">
        <v>1.0</v>
      </c>
      <c r="Y1262" s="38" t="s">
        <v>275</v>
      </c>
      <c r="Z1262" s="38" t="s">
        <v>275</v>
      </c>
      <c r="AA1262" s="38" t="s">
        <v>86</v>
      </c>
      <c r="AB1262" s="38">
        <v>38.85</v>
      </c>
      <c r="AC1262" s="38">
        <v>100.416667</v>
      </c>
      <c r="AD1262" s="38" t="s">
        <v>198</v>
      </c>
      <c r="AE1262" s="38">
        <v>1519.0</v>
      </c>
      <c r="AF1262" s="38" t="s">
        <v>797</v>
      </c>
      <c r="AG1262" s="38"/>
      <c r="AH1262" s="38"/>
      <c r="AI1262" s="50">
        <v>38.85</v>
      </c>
      <c r="AJ1262" s="50">
        <v>100.416667</v>
      </c>
      <c r="AK1262" s="41" t="s">
        <v>86</v>
      </c>
      <c r="AL1262" s="40" t="s">
        <v>86</v>
      </c>
      <c r="AM1262" s="49">
        <v>1525.0</v>
      </c>
      <c r="AN1262" s="51">
        <v>1525.0</v>
      </c>
      <c r="AO1262" s="42" t="s">
        <v>261</v>
      </c>
      <c r="AP1262" s="43" t="s">
        <v>261</v>
      </c>
      <c r="AQ1262" s="44" t="str">
        <f t="shared" si="147"/>
        <v>CRO</v>
      </c>
      <c r="AR1262" s="44">
        <f t="shared" si="144"/>
        <v>1525</v>
      </c>
      <c r="AS1262" s="44" t="str">
        <f t="shared" ref="AS1262:AS1306" si="150">LEFT(AO1262,1)</f>
        <v>B</v>
      </c>
      <c r="AT1262" s="44" t="str">
        <f t="shared" si="114"/>
        <v>BW</v>
      </c>
      <c r="AU1262" s="44" t="str">
        <f t="shared" si="115"/>
        <v>BWk</v>
      </c>
      <c r="AV1262" s="38"/>
      <c r="AW1262" s="38"/>
      <c r="AX1262" s="38"/>
      <c r="AY1262" s="38"/>
      <c r="AZ1262" s="29">
        <v>1000.0</v>
      </c>
      <c r="BA1262" s="29">
        <v>1.0</v>
      </c>
      <c r="BB1262" s="29">
        <v>1.0</v>
      </c>
      <c r="BC1262" s="29"/>
      <c r="BD1262" s="29" t="s">
        <v>92</v>
      </c>
      <c r="BE1262" s="29"/>
      <c r="BF1262" s="29" t="s">
        <v>669</v>
      </c>
      <c r="BG1262" s="29" t="s">
        <v>669</v>
      </c>
      <c r="BH1262" s="29" t="s">
        <v>92</v>
      </c>
      <c r="BI1262" s="29" t="s">
        <v>2293</v>
      </c>
      <c r="BJ1262" s="29" t="s">
        <v>2294</v>
      </c>
      <c r="BK1262" s="29" t="s">
        <v>2295</v>
      </c>
      <c r="BL1262" s="29" t="s">
        <v>2296</v>
      </c>
      <c r="BM1262" s="45"/>
      <c r="BN1262" s="45">
        <v>1.0</v>
      </c>
      <c r="BO1262" s="46" t="s">
        <v>1083</v>
      </c>
      <c r="BP1262" s="2" t="s">
        <v>2297</v>
      </c>
      <c r="BQ1262" s="3"/>
    </row>
    <row r="1263" ht="15.75" customHeight="1">
      <c r="A1263" s="34">
        <v>1281.0</v>
      </c>
      <c r="B1263" s="34">
        <v>104205.0</v>
      </c>
      <c r="C1263" s="34" t="s">
        <v>832</v>
      </c>
      <c r="D1263" s="34" t="s">
        <v>2298</v>
      </c>
      <c r="E1263" s="34" t="s">
        <v>2299</v>
      </c>
      <c r="F1263" s="34">
        <v>2021.0</v>
      </c>
      <c r="G1263" s="34" t="s">
        <v>2300</v>
      </c>
      <c r="H1263" s="34" t="s">
        <v>816</v>
      </c>
      <c r="I1263" s="34" t="s">
        <v>2301</v>
      </c>
      <c r="J1263" s="35"/>
      <c r="K1263" s="36"/>
      <c r="L1263" s="36"/>
      <c r="M1263" s="36"/>
      <c r="N1263" s="36"/>
      <c r="O1263" s="36"/>
      <c r="P1263" s="37">
        <v>11.98</v>
      </c>
      <c r="Q1263" s="36"/>
      <c r="R1263" s="36" t="s">
        <v>96</v>
      </c>
      <c r="S1263" s="36">
        <v>30.0</v>
      </c>
      <c r="T1263" s="36" t="s">
        <v>2302</v>
      </c>
      <c r="U1263" s="36" t="s">
        <v>2302</v>
      </c>
      <c r="V1263" s="36">
        <v>1.0</v>
      </c>
      <c r="W1263" s="36"/>
      <c r="X1263" s="38">
        <v>1.0</v>
      </c>
      <c r="Y1263" s="38" t="s">
        <v>2303</v>
      </c>
      <c r="Z1263" s="38" t="s">
        <v>2304</v>
      </c>
      <c r="AA1263" s="38" t="s">
        <v>292</v>
      </c>
      <c r="AB1263" s="38">
        <v>38.4454444</v>
      </c>
      <c r="AC1263" s="38">
        <v>109.4674167</v>
      </c>
      <c r="AD1263" s="38" t="s">
        <v>198</v>
      </c>
      <c r="AE1263" s="38">
        <v>1233.0</v>
      </c>
      <c r="AF1263" s="38" t="s">
        <v>2305</v>
      </c>
      <c r="AG1263" s="38"/>
      <c r="AH1263" s="38"/>
      <c r="AI1263" s="50">
        <v>38.4454444</v>
      </c>
      <c r="AJ1263" s="50">
        <v>109.4674167</v>
      </c>
      <c r="AK1263" s="41" t="s">
        <v>288</v>
      </c>
      <c r="AL1263" s="40" t="s">
        <v>288</v>
      </c>
      <c r="AM1263" s="49">
        <v>1236.0</v>
      </c>
      <c r="AN1263" s="51">
        <v>1236.0</v>
      </c>
      <c r="AO1263" s="42" t="s">
        <v>293</v>
      </c>
      <c r="AP1263" s="43" t="s">
        <v>293</v>
      </c>
      <c r="AQ1263" s="44" t="str">
        <f t="shared" si="147"/>
        <v>OSH</v>
      </c>
      <c r="AR1263" s="44">
        <f t="shared" si="144"/>
        <v>1236</v>
      </c>
      <c r="AS1263" s="44" t="str">
        <f t="shared" si="150"/>
        <v>B</v>
      </c>
      <c r="AT1263" s="44" t="str">
        <f t="shared" si="114"/>
        <v>BS</v>
      </c>
      <c r="AU1263" s="44" t="str">
        <f t="shared" si="115"/>
        <v>BSk</v>
      </c>
      <c r="AV1263" s="38"/>
      <c r="AW1263" s="38"/>
      <c r="AX1263" s="38"/>
      <c r="AY1263" s="38"/>
      <c r="AZ1263" s="29">
        <v>30.0</v>
      </c>
      <c r="BA1263" s="29">
        <v>1.0</v>
      </c>
      <c r="BB1263" s="29">
        <v>1.0</v>
      </c>
      <c r="BC1263" s="29"/>
      <c r="BD1263" s="29" t="s">
        <v>88</v>
      </c>
      <c r="BE1263" s="29"/>
      <c r="BF1263" s="29" t="s">
        <v>571</v>
      </c>
      <c r="BG1263" s="29" t="s">
        <v>572</v>
      </c>
      <c r="BH1263" s="29" t="s">
        <v>88</v>
      </c>
      <c r="BI1263" s="29" t="s">
        <v>2306</v>
      </c>
      <c r="BJ1263" s="29" t="s">
        <v>2307</v>
      </c>
      <c r="BK1263" s="29" t="s">
        <v>180</v>
      </c>
      <c r="BL1263" s="29" t="s">
        <v>180</v>
      </c>
      <c r="BM1263" s="45"/>
      <c r="BN1263" s="45">
        <v>1.0</v>
      </c>
      <c r="BO1263" s="46" t="s">
        <v>571</v>
      </c>
      <c r="BP1263" s="2"/>
      <c r="BQ1263" s="3"/>
    </row>
    <row r="1264" ht="15.75" customHeight="1">
      <c r="A1264" s="34">
        <v>1282.0</v>
      </c>
      <c r="B1264" s="34">
        <v>104205.0</v>
      </c>
      <c r="C1264" s="34" t="s">
        <v>832</v>
      </c>
      <c r="D1264" s="34" t="s">
        <v>2298</v>
      </c>
      <c r="E1264" s="34" t="s">
        <v>2299</v>
      </c>
      <c r="F1264" s="34">
        <v>2021.0</v>
      </c>
      <c r="G1264" s="34" t="s">
        <v>2300</v>
      </c>
      <c r="H1264" s="34" t="s">
        <v>816</v>
      </c>
      <c r="I1264" s="34" t="s">
        <v>2301</v>
      </c>
      <c r="J1264" s="35"/>
      <c r="K1264" s="36"/>
      <c r="L1264" s="36"/>
      <c r="M1264" s="36"/>
      <c r="N1264" s="36"/>
      <c r="O1264" s="36"/>
      <c r="P1264" s="37">
        <v>32.9</v>
      </c>
      <c r="Q1264" s="36"/>
      <c r="R1264" s="36" t="s">
        <v>96</v>
      </c>
      <c r="S1264" s="36">
        <v>500.0</v>
      </c>
      <c r="T1264" s="36" t="s">
        <v>2302</v>
      </c>
      <c r="U1264" s="36" t="s">
        <v>2302</v>
      </c>
      <c r="V1264" s="36">
        <v>1.0</v>
      </c>
      <c r="W1264" s="36"/>
      <c r="X1264" s="38">
        <v>1.0</v>
      </c>
      <c r="Y1264" s="38" t="s">
        <v>2303</v>
      </c>
      <c r="Z1264" s="38" t="s">
        <v>2304</v>
      </c>
      <c r="AA1264" s="38" t="s">
        <v>292</v>
      </c>
      <c r="AB1264" s="38">
        <v>38.4454444</v>
      </c>
      <c r="AC1264" s="38">
        <v>109.4674167</v>
      </c>
      <c r="AD1264" s="38" t="s">
        <v>198</v>
      </c>
      <c r="AE1264" s="38">
        <v>1233.0</v>
      </c>
      <c r="AF1264" s="38" t="s">
        <v>2305</v>
      </c>
      <c r="AG1264" s="38"/>
      <c r="AH1264" s="38"/>
      <c r="AI1264" s="50">
        <v>38.4454444</v>
      </c>
      <c r="AJ1264" s="50">
        <v>109.4674167</v>
      </c>
      <c r="AK1264" s="41" t="s">
        <v>288</v>
      </c>
      <c r="AL1264" s="40" t="s">
        <v>288</v>
      </c>
      <c r="AM1264" s="49">
        <v>1236.0</v>
      </c>
      <c r="AN1264" s="51">
        <v>1236.0</v>
      </c>
      <c r="AO1264" s="42" t="s">
        <v>293</v>
      </c>
      <c r="AP1264" s="43" t="s">
        <v>293</v>
      </c>
      <c r="AQ1264" s="44" t="str">
        <f t="shared" si="147"/>
        <v>OSH</v>
      </c>
      <c r="AR1264" s="44">
        <f t="shared" si="144"/>
        <v>1236</v>
      </c>
      <c r="AS1264" s="44" t="str">
        <f t="shared" si="150"/>
        <v>B</v>
      </c>
      <c r="AT1264" s="44" t="str">
        <f t="shared" si="114"/>
        <v>BS</v>
      </c>
      <c r="AU1264" s="44" t="str">
        <f t="shared" si="115"/>
        <v>BSk</v>
      </c>
      <c r="AV1264" s="38"/>
      <c r="AW1264" s="38"/>
      <c r="AX1264" s="38"/>
      <c r="AY1264" s="38"/>
      <c r="AZ1264" s="29">
        <v>500.0</v>
      </c>
      <c r="BA1264" s="29">
        <v>1.0</v>
      </c>
      <c r="BB1264" s="29">
        <v>1.0</v>
      </c>
      <c r="BC1264" s="29"/>
      <c r="BD1264" s="29" t="s">
        <v>88</v>
      </c>
      <c r="BE1264" s="29"/>
      <c r="BF1264" s="29" t="s">
        <v>571</v>
      </c>
      <c r="BG1264" s="29" t="s">
        <v>572</v>
      </c>
      <c r="BH1264" s="29" t="s">
        <v>88</v>
      </c>
      <c r="BI1264" s="29" t="s">
        <v>2306</v>
      </c>
      <c r="BJ1264" s="29" t="s">
        <v>2307</v>
      </c>
      <c r="BK1264" s="29" t="s">
        <v>148</v>
      </c>
      <c r="BL1264" s="29" t="s">
        <v>148</v>
      </c>
      <c r="BM1264" s="45"/>
      <c r="BN1264" s="45">
        <v>1.0</v>
      </c>
      <c r="BO1264" s="46" t="s">
        <v>571</v>
      </c>
      <c r="BP1264" s="2"/>
      <c r="BQ1264" s="3"/>
    </row>
    <row r="1265" ht="15.75" customHeight="1">
      <c r="A1265" s="34">
        <v>1283.0</v>
      </c>
      <c r="B1265" s="34">
        <v>104205.0</v>
      </c>
      <c r="C1265" s="34" t="s">
        <v>832</v>
      </c>
      <c r="D1265" s="34" t="s">
        <v>2298</v>
      </c>
      <c r="E1265" s="34" t="s">
        <v>2299</v>
      </c>
      <c r="F1265" s="34">
        <v>2021.0</v>
      </c>
      <c r="G1265" s="34" t="s">
        <v>2300</v>
      </c>
      <c r="H1265" s="34" t="s">
        <v>816</v>
      </c>
      <c r="I1265" s="34" t="s">
        <v>2301</v>
      </c>
      <c r="J1265" s="35"/>
      <c r="K1265" s="36"/>
      <c r="L1265" s="36"/>
      <c r="M1265" s="36"/>
      <c r="N1265" s="36"/>
      <c r="O1265" s="36"/>
      <c r="P1265" s="37">
        <v>3.6</v>
      </c>
      <c r="Q1265" s="36"/>
      <c r="R1265" s="36" t="s">
        <v>96</v>
      </c>
      <c r="S1265" s="36">
        <v>1100.0</v>
      </c>
      <c r="T1265" s="36" t="s">
        <v>2302</v>
      </c>
      <c r="U1265" s="36" t="s">
        <v>2302</v>
      </c>
      <c r="V1265" s="36">
        <v>1.0</v>
      </c>
      <c r="W1265" s="36"/>
      <c r="X1265" s="38">
        <v>1.0</v>
      </c>
      <c r="Y1265" s="38" t="s">
        <v>2303</v>
      </c>
      <c r="Z1265" s="38" t="s">
        <v>2304</v>
      </c>
      <c r="AA1265" s="38" t="s">
        <v>292</v>
      </c>
      <c r="AB1265" s="38">
        <v>38.4454444</v>
      </c>
      <c r="AC1265" s="38">
        <v>109.4674167</v>
      </c>
      <c r="AD1265" s="38" t="s">
        <v>198</v>
      </c>
      <c r="AE1265" s="38">
        <v>1233.0</v>
      </c>
      <c r="AF1265" s="38" t="s">
        <v>2305</v>
      </c>
      <c r="AG1265" s="38"/>
      <c r="AH1265" s="38"/>
      <c r="AI1265" s="50">
        <v>38.4454444</v>
      </c>
      <c r="AJ1265" s="50">
        <v>109.4674167</v>
      </c>
      <c r="AK1265" s="41" t="s">
        <v>288</v>
      </c>
      <c r="AL1265" s="40" t="s">
        <v>288</v>
      </c>
      <c r="AM1265" s="49">
        <v>1236.0</v>
      </c>
      <c r="AN1265" s="51">
        <v>1236.0</v>
      </c>
      <c r="AO1265" s="42" t="s">
        <v>293</v>
      </c>
      <c r="AP1265" s="43" t="s">
        <v>293</v>
      </c>
      <c r="AQ1265" s="44" t="str">
        <f t="shared" si="147"/>
        <v>OSH</v>
      </c>
      <c r="AR1265" s="44">
        <f t="shared" si="144"/>
        <v>1236</v>
      </c>
      <c r="AS1265" s="44" t="str">
        <f t="shared" si="150"/>
        <v>B</v>
      </c>
      <c r="AT1265" s="44" t="str">
        <f t="shared" si="114"/>
        <v>BS</v>
      </c>
      <c r="AU1265" s="44" t="str">
        <f t="shared" si="115"/>
        <v>BSk</v>
      </c>
      <c r="AV1265" s="38"/>
      <c r="AW1265" s="38"/>
      <c r="AX1265" s="38"/>
      <c r="AY1265" s="38"/>
      <c r="AZ1265" s="29">
        <v>1100.0</v>
      </c>
      <c r="BA1265" s="29">
        <v>1.0</v>
      </c>
      <c r="BB1265" s="29">
        <v>1.0</v>
      </c>
      <c r="BC1265" s="29"/>
      <c r="BD1265" s="29" t="s">
        <v>88</v>
      </c>
      <c r="BE1265" s="29"/>
      <c r="BF1265" s="29" t="s">
        <v>571</v>
      </c>
      <c r="BG1265" s="29" t="s">
        <v>572</v>
      </c>
      <c r="BH1265" s="29" t="s">
        <v>88</v>
      </c>
      <c r="BI1265" s="29" t="s">
        <v>2306</v>
      </c>
      <c r="BJ1265" s="29" t="s">
        <v>2307</v>
      </c>
      <c r="BK1265" s="29" t="s">
        <v>681</v>
      </c>
      <c r="BL1265" s="29" t="s">
        <v>681</v>
      </c>
      <c r="BM1265" s="45"/>
      <c r="BN1265" s="45">
        <v>1.0</v>
      </c>
      <c r="BO1265" s="46" t="s">
        <v>571</v>
      </c>
      <c r="BP1265" s="2"/>
      <c r="BQ1265" s="3"/>
    </row>
    <row r="1266" ht="15.75" customHeight="1">
      <c r="A1266" s="34">
        <v>1284.0</v>
      </c>
      <c r="B1266" s="34">
        <v>203547.0</v>
      </c>
      <c r="C1266" s="34" t="s">
        <v>832</v>
      </c>
      <c r="D1266" s="34" t="s">
        <v>2308</v>
      </c>
      <c r="E1266" s="34" t="s">
        <v>2309</v>
      </c>
      <c r="F1266" s="34">
        <v>2021.0</v>
      </c>
      <c r="G1266" s="34" t="s">
        <v>2310</v>
      </c>
      <c r="H1266" s="34" t="s">
        <v>816</v>
      </c>
      <c r="I1266" s="34" t="s">
        <v>2311</v>
      </c>
      <c r="J1266" s="35"/>
      <c r="K1266" s="36"/>
      <c r="L1266" s="36">
        <v>2.57</v>
      </c>
      <c r="M1266" s="36"/>
      <c r="N1266" s="36"/>
      <c r="O1266" s="36"/>
      <c r="P1266" s="37">
        <v>33.2</v>
      </c>
      <c r="Q1266" s="36" t="s">
        <v>96</v>
      </c>
      <c r="R1266" s="36" t="s">
        <v>96</v>
      </c>
      <c r="S1266" s="36">
        <v>30.0</v>
      </c>
      <c r="T1266" s="36" t="s">
        <v>2312</v>
      </c>
      <c r="U1266" s="36" t="s">
        <v>2313</v>
      </c>
      <c r="V1266" s="36">
        <v>9.0</v>
      </c>
      <c r="W1266" s="36" t="s">
        <v>88</v>
      </c>
      <c r="X1266" s="38">
        <v>1.0</v>
      </c>
      <c r="Y1266" s="38" t="s">
        <v>2314</v>
      </c>
      <c r="Z1266" s="38" t="s">
        <v>2315</v>
      </c>
      <c r="AA1266" s="38" t="s">
        <v>86</v>
      </c>
      <c r="AB1266" s="38">
        <v>47.124444</v>
      </c>
      <c r="AC1266" s="38">
        <v>-117.53055556</v>
      </c>
      <c r="AD1266" s="39" t="s">
        <v>87</v>
      </c>
      <c r="AE1266" s="38">
        <v>657.0</v>
      </c>
      <c r="AF1266" s="38" t="s">
        <v>2316</v>
      </c>
      <c r="AG1266" s="38" t="s">
        <v>445</v>
      </c>
      <c r="AH1266" s="38"/>
      <c r="AI1266" s="50">
        <v>47.124444</v>
      </c>
      <c r="AJ1266" s="50">
        <v>-117.53055556</v>
      </c>
      <c r="AK1266" s="41" t="s">
        <v>86</v>
      </c>
      <c r="AL1266" s="40" t="s">
        <v>86</v>
      </c>
      <c r="AM1266" s="49">
        <v>657.0</v>
      </c>
      <c r="AN1266" s="51">
        <v>657.0</v>
      </c>
      <c r="AO1266" s="42" t="s">
        <v>293</v>
      </c>
      <c r="AP1266" s="43" t="s">
        <v>293</v>
      </c>
      <c r="AQ1266" s="44" t="str">
        <f t="shared" si="147"/>
        <v>CRO</v>
      </c>
      <c r="AR1266" s="44">
        <f t="shared" si="144"/>
        <v>657</v>
      </c>
      <c r="AS1266" s="44" t="str">
        <f t="shared" si="150"/>
        <v>B</v>
      </c>
      <c r="AT1266" s="44" t="str">
        <f t="shared" si="114"/>
        <v>BS</v>
      </c>
      <c r="AU1266" s="44" t="str">
        <f t="shared" si="115"/>
        <v>BSk</v>
      </c>
      <c r="AV1266" s="38"/>
      <c r="AW1266" s="38"/>
      <c r="AX1266" s="38"/>
      <c r="AY1266" s="38" t="s">
        <v>2317</v>
      </c>
      <c r="AZ1266" s="29">
        <v>30.0</v>
      </c>
      <c r="BA1266" s="29">
        <v>1.0</v>
      </c>
      <c r="BB1266" s="29">
        <v>1.0</v>
      </c>
      <c r="BC1266" s="29"/>
      <c r="BD1266" s="29" t="s">
        <v>88</v>
      </c>
      <c r="BE1266" s="29" t="s">
        <v>263</v>
      </c>
      <c r="BF1266" s="29" t="s">
        <v>2318</v>
      </c>
      <c r="BG1266" s="29" t="s">
        <v>572</v>
      </c>
      <c r="BH1266" s="29" t="s">
        <v>92</v>
      </c>
      <c r="BI1266" s="29" t="s">
        <v>2319</v>
      </c>
      <c r="BJ1266" s="29" t="s">
        <v>2320</v>
      </c>
      <c r="BK1266" s="29" t="s">
        <v>180</v>
      </c>
      <c r="BL1266" s="29" t="s">
        <v>180</v>
      </c>
      <c r="BM1266" s="45"/>
      <c r="BN1266" s="45">
        <v>1.0</v>
      </c>
      <c r="BO1266" s="46" t="s">
        <v>2321</v>
      </c>
      <c r="BP1266" s="2"/>
      <c r="BQ1266" s="3"/>
    </row>
    <row r="1267" ht="15.75" customHeight="1">
      <c r="A1267" s="34">
        <v>1285.0</v>
      </c>
      <c r="B1267" s="34">
        <v>203547.0</v>
      </c>
      <c r="C1267" s="34" t="s">
        <v>832</v>
      </c>
      <c r="D1267" s="34" t="s">
        <v>2308</v>
      </c>
      <c r="E1267" s="34" t="s">
        <v>2309</v>
      </c>
      <c r="F1267" s="34">
        <v>2021.0</v>
      </c>
      <c r="G1267" s="34" t="s">
        <v>2310</v>
      </c>
      <c r="H1267" s="34" t="s">
        <v>816</v>
      </c>
      <c r="I1267" s="34" t="s">
        <v>2311</v>
      </c>
      <c r="J1267" s="35"/>
      <c r="K1267" s="36"/>
      <c r="L1267" s="36">
        <v>2.42</v>
      </c>
      <c r="M1267" s="36"/>
      <c r="N1267" s="36"/>
      <c r="O1267" s="36"/>
      <c r="P1267" s="37">
        <v>39.1</v>
      </c>
      <c r="Q1267" s="36" t="s">
        <v>96</v>
      </c>
      <c r="R1267" s="36" t="s">
        <v>96</v>
      </c>
      <c r="S1267" s="36">
        <v>30.0</v>
      </c>
      <c r="T1267" s="36" t="s">
        <v>2312</v>
      </c>
      <c r="U1267" s="36" t="s">
        <v>2313</v>
      </c>
      <c r="V1267" s="36">
        <v>9.0</v>
      </c>
      <c r="W1267" s="36" t="s">
        <v>88</v>
      </c>
      <c r="X1267" s="38">
        <v>1.0</v>
      </c>
      <c r="Y1267" s="38" t="s">
        <v>2322</v>
      </c>
      <c r="Z1267" s="38" t="s">
        <v>2323</v>
      </c>
      <c r="AA1267" s="38" t="s">
        <v>86</v>
      </c>
      <c r="AB1267" s="38">
        <v>47.1225</v>
      </c>
      <c r="AC1267" s="38">
        <v>-117.527222</v>
      </c>
      <c r="AD1267" s="39" t="s">
        <v>87</v>
      </c>
      <c r="AE1267" s="38">
        <v>664.0</v>
      </c>
      <c r="AF1267" s="38" t="s">
        <v>2324</v>
      </c>
      <c r="AG1267" s="38" t="s">
        <v>445</v>
      </c>
      <c r="AH1267" s="38"/>
      <c r="AI1267" s="50">
        <v>47.1225</v>
      </c>
      <c r="AJ1267" s="50">
        <v>-117.527222</v>
      </c>
      <c r="AK1267" s="41" t="s">
        <v>86</v>
      </c>
      <c r="AL1267" s="40" t="s">
        <v>86</v>
      </c>
      <c r="AM1267" s="49">
        <v>661.0</v>
      </c>
      <c r="AN1267" s="51">
        <v>661.0</v>
      </c>
      <c r="AO1267" s="42" t="s">
        <v>293</v>
      </c>
      <c r="AP1267" s="43" t="s">
        <v>293</v>
      </c>
      <c r="AQ1267" s="44" t="str">
        <f t="shared" si="147"/>
        <v>CRO</v>
      </c>
      <c r="AR1267" s="44">
        <f t="shared" si="144"/>
        <v>661</v>
      </c>
      <c r="AS1267" s="44" t="str">
        <f t="shared" si="150"/>
        <v>B</v>
      </c>
      <c r="AT1267" s="44" t="str">
        <f t="shared" si="114"/>
        <v>BS</v>
      </c>
      <c r="AU1267" s="44" t="str">
        <f t="shared" si="115"/>
        <v>BSk</v>
      </c>
      <c r="AV1267" s="38"/>
      <c r="AW1267" s="38"/>
      <c r="AX1267" s="38"/>
      <c r="AY1267" s="38" t="s">
        <v>2317</v>
      </c>
      <c r="AZ1267" s="29">
        <v>30.0</v>
      </c>
      <c r="BA1267" s="29">
        <v>1.0</v>
      </c>
      <c r="BB1267" s="29">
        <v>1.0</v>
      </c>
      <c r="BC1267" s="29"/>
      <c r="BD1267" s="29" t="s">
        <v>88</v>
      </c>
      <c r="BE1267" s="29" t="s">
        <v>263</v>
      </c>
      <c r="BF1267" s="29" t="s">
        <v>2318</v>
      </c>
      <c r="BG1267" s="29" t="s">
        <v>572</v>
      </c>
      <c r="BH1267" s="29" t="s">
        <v>92</v>
      </c>
      <c r="BI1267" s="29" t="s">
        <v>2319</v>
      </c>
      <c r="BJ1267" s="29" t="s">
        <v>2320</v>
      </c>
      <c r="BK1267" s="29" t="s">
        <v>180</v>
      </c>
      <c r="BL1267" s="29" t="s">
        <v>180</v>
      </c>
      <c r="BM1267" s="45"/>
      <c r="BN1267" s="45"/>
      <c r="BO1267" s="46"/>
      <c r="BP1267" s="2"/>
      <c r="BQ1267" s="3"/>
    </row>
    <row r="1268" ht="16.5" customHeight="1">
      <c r="A1268" s="34">
        <v>1286.0</v>
      </c>
      <c r="B1268" s="34">
        <v>203547.0</v>
      </c>
      <c r="C1268" s="34" t="s">
        <v>832</v>
      </c>
      <c r="D1268" s="34" t="s">
        <v>2308</v>
      </c>
      <c r="E1268" s="34" t="s">
        <v>2309</v>
      </c>
      <c r="F1268" s="34">
        <v>2021.0</v>
      </c>
      <c r="G1268" s="34" t="s">
        <v>2310</v>
      </c>
      <c r="H1268" s="34" t="s">
        <v>816</v>
      </c>
      <c r="I1268" s="34" t="s">
        <v>2311</v>
      </c>
      <c r="J1268" s="35"/>
      <c r="K1268" s="36"/>
      <c r="L1268" s="36">
        <v>2.17</v>
      </c>
      <c r="M1268" s="36"/>
      <c r="N1268" s="36"/>
      <c r="O1268" s="36"/>
      <c r="P1268" s="37">
        <v>51.7</v>
      </c>
      <c r="Q1268" s="36" t="s">
        <v>96</v>
      </c>
      <c r="R1268" s="36" t="s">
        <v>96</v>
      </c>
      <c r="S1268" s="36">
        <v>30.0</v>
      </c>
      <c r="T1268" s="36" t="s">
        <v>2312</v>
      </c>
      <c r="U1268" s="36" t="s">
        <v>2313</v>
      </c>
      <c r="V1268" s="36">
        <v>9.0</v>
      </c>
      <c r="W1268" s="36" t="s">
        <v>88</v>
      </c>
      <c r="X1268" s="38">
        <v>1.0</v>
      </c>
      <c r="Y1268" s="38" t="s">
        <v>2325</v>
      </c>
      <c r="Z1268" s="38" t="s">
        <v>2326</v>
      </c>
      <c r="AA1268" s="38" t="s">
        <v>86</v>
      </c>
      <c r="AB1268" s="38">
        <v>47.12611111</v>
      </c>
      <c r="AC1268" s="38">
        <v>-117.5261111</v>
      </c>
      <c r="AD1268" s="39" t="s">
        <v>87</v>
      </c>
      <c r="AE1268" s="38">
        <v>687.0</v>
      </c>
      <c r="AF1268" s="38" t="s">
        <v>2316</v>
      </c>
      <c r="AG1268" s="38" t="s">
        <v>445</v>
      </c>
      <c r="AH1268" s="38"/>
      <c r="AI1268" s="50">
        <v>47.12611111</v>
      </c>
      <c r="AJ1268" s="50">
        <v>-117.5261111</v>
      </c>
      <c r="AK1268" s="41" t="s">
        <v>86</v>
      </c>
      <c r="AL1268" s="40" t="s">
        <v>86</v>
      </c>
      <c r="AM1268" s="49">
        <v>686.0</v>
      </c>
      <c r="AN1268" s="51">
        <v>686.0</v>
      </c>
      <c r="AO1268" s="42" t="s">
        <v>293</v>
      </c>
      <c r="AP1268" s="43" t="s">
        <v>293</v>
      </c>
      <c r="AQ1268" s="44" t="str">
        <f t="shared" si="147"/>
        <v>CRO</v>
      </c>
      <c r="AR1268" s="44">
        <f t="shared" si="144"/>
        <v>686</v>
      </c>
      <c r="AS1268" s="44" t="str">
        <f t="shared" si="150"/>
        <v>B</v>
      </c>
      <c r="AT1268" s="44" t="str">
        <f t="shared" si="114"/>
        <v>BS</v>
      </c>
      <c r="AU1268" s="44" t="str">
        <f t="shared" si="115"/>
        <v>BSk</v>
      </c>
      <c r="AV1268" s="38"/>
      <c r="AW1268" s="38"/>
      <c r="AX1268" s="38"/>
      <c r="AY1268" s="38" t="s">
        <v>2317</v>
      </c>
      <c r="AZ1268" s="29">
        <v>30.0</v>
      </c>
      <c r="BA1268" s="29">
        <v>1.0</v>
      </c>
      <c r="BB1268" s="29">
        <v>1.0</v>
      </c>
      <c r="BC1268" s="29"/>
      <c r="BD1268" s="29" t="s">
        <v>88</v>
      </c>
      <c r="BE1268" s="29" t="s">
        <v>263</v>
      </c>
      <c r="BF1268" s="29" t="s">
        <v>2318</v>
      </c>
      <c r="BG1268" s="29" t="s">
        <v>572</v>
      </c>
      <c r="BH1268" s="29" t="s">
        <v>92</v>
      </c>
      <c r="BI1268" s="29" t="s">
        <v>2319</v>
      </c>
      <c r="BJ1268" s="29" t="s">
        <v>2320</v>
      </c>
      <c r="BK1268" s="29" t="s">
        <v>180</v>
      </c>
      <c r="BL1268" s="29" t="s">
        <v>180</v>
      </c>
      <c r="BM1268" s="45"/>
      <c r="BN1268" s="45"/>
      <c r="BO1268" s="46"/>
      <c r="BP1268" s="2"/>
      <c r="BQ1268" s="3"/>
    </row>
    <row r="1269" ht="15.75" customHeight="1">
      <c r="A1269" s="34">
        <v>1287.0</v>
      </c>
      <c r="B1269" s="34">
        <v>203547.0</v>
      </c>
      <c r="C1269" s="34" t="s">
        <v>832</v>
      </c>
      <c r="D1269" s="34" t="s">
        <v>2308</v>
      </c>
      <c r="E1269" s="34" t="s">
        <v>2309</v>
      </c>
      <c r="F1269" s="34">
        <v>2021.0</v>
      </c>
      <c r="G1269" s="34" t="s">
        <v>2310</v>
      </c>
      <c r="H1269" s="34" t="s">
        <v>816</v>
      </c>
      <c r="I1269" s="34" t="s">
        <v>2311</v>
      </c>
      <c r="J1269" s="35"/>
      <c r="K1269" s="36"/>
      <c r="L1269" s="36">
        <v>4.12</v>
      </c>
      <c r="M1269" s="36"/>
      <c r="N1269" s="36"/>
      <c r="O1269" s="36"/>
      <c r="P1269" s="37">
        <v>-2.3</v>
      </c>
      <c r="Q1269" s="36" t="s">
        <v>96</v>
      </c>
      <c r="R1269" s="36" t="s">
        <v>96</v>
      </c>
      <c r="S1269" s="36">
        <v>30.0</v>
      </c>
      <c r="T1269" s="36" t="s">
        <v>2327</v>
      </c>
      <c r="U1269" s="36" t="s">
        <v>2328</v>
      </c>
      <c r="V1269" s="36">
        <v>14.0</v>
      </c>
      <c r="W1269" s="36" t="s">
        <v>88</v>
      </c>
      <c r="X1269" s="38">
        <v>1.0</v>
      </c>
      <c r="Y1269" s="38" t="s">
        <v>2329</v>
      </c>
      <c r="Z1269" s="38" t="s">
        <v>2330</v>
      </c>
      <c r="AA1269" s="38" t="s">
        <v>86</v>
      </c>
      <c r="AB1269" s="38">
        <v>46.500833333</v>
      </c>
      <c r="AC1269" s="38">
        <v>-116.8066667</v>
      </c>
      <c r="AD1269" s="39" t="s">
        <v>87</v>
      </c>
      <c r="AE1269" s="53"/>
      <c r="AF1269" s="38" t="s">
        <v>2316</v>
      </c>
      <c r="AG1269" s="57" t="s">
        <v>303</v>
      </c>
      <c r="AH1269" s="38"/>
      <c r="AI1269" s="50">
        <v>46.500833333</v>
      </c>
      <c r="AJ1269" s="50">
        <v>-116.8066667</v>
      </c>
      <c r="AK1269" s="41" t="s">
        <v>86</v>
      </c>
      <c r="AL1269" s="40" t="s">
        <v>86</v>
      </c>
      <c r="AM1269" s="49">
        <v>742.0</v>
      </c>
      <c r="AN1269" s="51">
        <v>742.0</v>
      </c>
      <c r="AO1269" s="42" t="s">
        <v>293</v>
      </c>
      <c r="AP1269" s="43" t="s">
        <v>321</v>
      </c>
      <c r="AQ1269" s="44" t="str">
        <f t="shared" si="147"/>
        <v>CRO</v>
      </c>
      <c r="AR1269" s="44">
        <f t="shared" si="144"/>
        <v>742</v>
      </c>
      <c r="AS1269" s="44" t="str">
        <f t="shared" si="150"/>
        <v>B</v>
      </c>
      <c r="AT1269" s="44" t="str">
        <f t="shared" si="114"/>
        <v>Ds</v>
      </c>
      <c r="AU1269" s="44" t="str">
        <f t="shared" si="115"/>
        <v>Dsb</v>
      </c>
      <c r="AV1269" s="38"/>
      <c r="AW1269" s="38"/>
      <c r="AX1269" s="38"/>
      <c r="AY1269" s="38" t="s">
        <v>2317</v>
      </c>
      <c r="AZ1269" s="29">
        <v>30.0</v>
      </c>
      <c r="BA1269" s="29">
        <v>1.0</v>
      </c>
      <c r="BB1269" s="29">
        <v>1.0</v>
      </c>
      <c r="BC1269" s="29"/>
      <c r="BD1269" s="29" t="s">
        <v>88</v>
      </c>
      <c r="BE1269" s="29" t="s">
        <v>263</v>
      </c>
      <c r="BF1269" s="29" t="s">
        <v>2318</v>
      </c>
      <c r="BG1269" s="29" t="s">
        <v>572</v>
      </c>
      <c r="BH1269" s="29" t="s">
        <v>92</v>
      </c>
      <c r="BI1269" s="29" t="s">
        <v>2319</v>
      </c>
      <c r="BJ1269" s="29" t="s">
        <v>2320</v>
      </c>
      <c r="BK1269" s="29" t="s">
        <v>180</v>
      </c>
      <c r="BL1269" s="29" t="s">
        <v>180</v>
      </c>
      <c r="BM1269" s="45"/>
      <c r="BN1269" s="45"/>
      <c r="BO1269" s="46"/>
      <c r="BP1269" s="2"/>
      <c r="BQ1269" s="3"/>
    </row>
    <row r="1270" ht="15.75" customHeight="1">
      <c r="A1270" s="34">
        <v>1288.0</v>
      </c>
      <c r="B1270" s="34">
        <v>203547.0</v>
      </c>
      <c r="C1270" s="34" t="s">
        <v>832</v>
      </c>
      <c r="D1270" s="34" t="s">
        <v>2308</v>
      </c>
      <c r="E1270" s="34" t="s">
        <v>2309</v>
      </c>
      <c r="F1270" s="34">
        <v>2021.0</v>
      </c>
      <c r="G1270" s="34" t="s">
        <v>2310</v>
      </c>
      <c r="H1270" s="34" t="s">
        <v>816</v>
      </c>
      <c r="I1270" s="34" t="s">
        <v>2311</v>
      </c>
      <c r="J1270" s="35"/>
      <c r="K1270" s="36"/>
      <c r="L1270" s="36">
        <v>3.24</v>
      </c>
      <c r="M1270" s="36"/>
      <c r="N1270" s="36"/>
      <c r="O1270" s="36"/>
      <c r="P1270" s="37">
        <v>28.9</v>
      </c>
      <c r="Q1270" s="36" t="s">
        <v>96</v>
      </c>
      <c r="R1270" s="36" t="s">
        <v>96</v>
      </c>
      <c r="S1270" s="36">
        <v>30.0</v>
      </c>
      <c r="T1270" s="36" t="s">
        <v>2327</v>
      </c>
      <c r="U1270" s="36" t="s">
        <v>2328</v>
      </c>
      <c r="V1270" s="36">
        <v>14.0</v>
      </c>
      <c r="W1270" s="36" t="s">
        <v>88</v>
      </c>
      <c r="X1270" s="38">
        <v>1.0</v>
      </c>
      <c r="Y1270" s="38" t="s">
        <v>2331</v>
      </c>
      <c r="Z1270" s="38" t="s">
        <v>2332</v>
      </c>
      <c r="AA1270" s="38" t="s">
        <v>86</v>
      </c>
      <c r="AB1270" s="38">
        <v>46.49777778</v>
      </c>
      <c r="AC1270" s="38">
        <v>-116.80472222</v>
      </c>
      <c r="AD1270" s="39" t="s">
        <v>87</v>
      </c>
      <c r="AE1270" s="53"/>
      <c r="AF1270" s="38" t="s">
        <v>2316</v>
      </c>
      <c r="AG1270" s="57" t="s">
        <v>303</v>
      </c>
      <c r="AH1270" s="38"/>
      <c r="AI1270" s="50">
        <v>46.49777778</v>
      </c>
      <c r="AJ1270" s="50">
        <v>-116.80472222</v>
      </c>
      <c r="AK1270" s="41" t="s">
        <v>86</v>
      </c>
      <c r="AL1270" s="40" t="s">
        <v>86</v>
      </c>
      <c r="AM1270" s="49">
        <v>728.0</v>
      </c>
      <c r="AN1270" s="51">
        <v>728.0</v>
      </c>
      <c r="AO1270" s="42" t="s">
        <v>293</v>
      </c>
      <c r="AP1270" s="43" t="s">
        <v>293</v>
      </c>
      <c r="AQ1270" s="44" t="str">
        <f t="shared" si="147"/>
        <v>CRO</v>
      </c>
      <c r="AR1270" s="44">
        <f t="shared" si="144"/>
        <v>728</v>
      </c>
      <c r="AS1270" s="44" t="str">
        <f t="shared" si="150"/>
        <v>B</v>
      </c>
      <c r="AT1270" s="44" t="str">
        <f t="shared" si="114"/>
        <v>BS</v>
      </c>
      <c r="AU1270" s="44" t="str">
        <f t="shared" si="115"/>
        <v>BSk</v>
      </c>
      <c r="AV1270" s="38"/>
      <c r="AW1270" s="38"/>
      <c r="AX1270" s="38"/>
      <c r="AY1270" s="38" t="s">
        <v>2317</v>
      </c>
      <c r="AZ1270" s="29">
        <v>30.0</v>
      </c>
      <c r="BA1270" s="29">
        <v>1.0</v>
      </c>
      <c r="BB1270" s="29">
        <v>1.0</v>
      </c>
      <c r="BC1270" s="29"/>
      <c r="BD1270" s="29" t="s">
        <v>88</v>
      </c>
      <c r="BE1270" s="29" t="s">
        <v>263</v>
      </c>
      <c r="BF1270" s="29" t="s">
        <v>2318</v>
      </c>
      <c r="BG1270" s="29" t="s">
        <v>572</v>
      </c>
      <c r="BH1270" s="29" t="s">
        <v>92</v>
      </c>
      <c r="BI1270" s="29" t="s">
        <v>2319</v>
      </c>
      <c r="BJ1270" s="29" t="s">
        <v>2320</v>
      </c>
      <c r="BK1270" s="29" t="s">
        <v>180</v>
      </c>
      <c r="BL1270" s="29" t="s">
        <v>180</v>
      </c>
      <c r="BM1270" s="45"/>
      <c r="BN1270" s="45"/>
      <c r="BO1270" s="46"/>
      <c r="BP1270" s="2"/>
      <c r="BQ1270" s="3"/>
    </row>
    <row r="1271" ht="15.75" customHeight="1">
      <c r="A1271" s="34">
        <v>1289.0</v>
      </c>
      <c r="B1271" s="34">
        <v>203547.0</v>
      </c>
      <c r="C1271" s="34" t="s">
        <v>832</v>
      </c>
      <c r="D1271" s="34" t="s">
        <v>2308</v>
      </c>
      <c r="E1271" s="34" t="s">
        <v>2309</v>
      </c>
      <c r="F1271" s="34">
        <v>2021.0</v>
      </c>
      <c r="G1271" s="34" t="s">
        <v>2310</v>
      </c>
      <c r="H1271" s="34" t="s">
        <v>816</v>
      </c>
      <c r="I1271" s="34" t="s">
        <v>2311</v>
      </c>
      <c r="J1271" s="35"/>
      <c r="K1271" s="36"/>
      <c r="L1271" s="36">
        <v>3.52</v>
      </c>
      <c r="M1271" s="36"/>
      <c r="N1271" s="36"/>
      <c r="O1271" s="36"/>
      <c r="P1271" s="37">
        <v>15.1</v>
      </c>
      <c r="Q1271" s="36" t="s">
        <v>96</v>
      </c>
      <c r="R1271" s="36" t="s">
        <v>96</v>
      </c>
      <c r="S1271" s="36">
        <v>30.0</v>
      </c>
      <c r="T1271" s="36" t="s">
        <v>2327</v>
      </c>
      <c r="U1271" s="36" t="s">
        <v>2328</v>
      </c>
      <c r="V1271" s="36">
        <v>14.0</v>
      </c>
      <c r="W1271" s="36" t="s">
        <v>88</v>
      </c>
      <c r="X1271" s="38">
        <v>1.0</v>
      </c>
      <c r="Y1271" s="38" t="s">
        <v>2333</v>
      </c>
      <c r="Z1271" s="38" t="s">
        <v>2334</v>
      </c>
      <c r="AA1271" s="38" t="s">
        <v>86</v>
      </c>
      <c r="AB1271" s="38">
        <v>46.495</v>
      </c>
      <c r="AC1271" s="38">
        <v>-116.8022222</v>
      </c>
      <c r="AD1271" s="39" t="s">
        <v>87</v>
      </c>
      <c r="AE1271" s="53"/>
      <c r="AF1271" s="38" t="s">
        <v>2316</v>
      </c>
      <c r="AG1271" s="57"/>
      <c r="AH1271" s="38"/>
      <c r="AI1271" s="50">
        <v>46.495</v>
      </c>
      <c r="AJ1271" s="50">
        <v>-116.8022222</v>
      </c>
      <c r="AK1271" s="41" t="s">
        <v>86</v>
      </c>
      <c r="AL1271" s="40" t="s">
        <v>86</v>
      </c>
      <c r="AM1271" s="49">
        <v>712.0</v>
      </c>
      <c r="AN1271" s="51">
        <v>712.0</v>
      </c>
      <c r="AO1271" s="42" t="s">
        <v>293</v>
      </c>
      <c r="AP1271" s="43" t="s">
        <v>293</v>
      </c>
      <c r="AQ1271" s="44" t="str">
        <f t="shared" si="147"/>
        <v>CRO</v>
      </c>
      <c r="AR1271" s="44">
        <f t="shared" si="144"/>
        <v>712</v>
      </c>
      <c r="AS1271" s="44" t="str">
        <f t="shared" si="150"/>
        <v>B</v>
      </c>
      <c r="AT1271" s="44" t="str">
        <f t="shared" si="114"/>
        <v>BS</v>
      </c>
      <c r="AU1271" s="44" t="str">
        <f t="shared" si="115"/>
        <v>BSk</v>
      </c>
      <c r="AV1271" s="38"/>
      <c r="AW1271" s="38"/>
      <c r="AX1271" s="38"/>
      <c r="AY1271" s="38" t="s">
        <v>2317</v>
      </c>
      <c r="AZ1271" s="29">
        <v>30.0</v>
      </c>
      <c r="BA1271" s="29">
        <v>1.0</v>
      </c>
      <c r="BB1271" s="29">
        <v>1.0</v>
      </c>
      <c r="BC1271" s="29"/>
      <c r="BD1271" s="29" t="s">
        <v>88</v>
      </c>
      <c r="BE1271" s="29" t="s">
        <v>263</v>
      </c>
      <c r="BF1271" s="29" t="s">
        <v>2318</v>
      </c>
      <c r="BG1271" s="29" t="s">
        <v>572</v>
      </c>
      <c r="BH1271" s="29" t="s">
        <v>92</v>
      </c>
      <c r="BI1271" s="29" t="s">
        <v>2319</v>
      </c>
      <c r="BJ1271" s="29" t="s">
        <v>2320</v>
      </c>
      <c r="BK1271" s="29" t="s">
        <v>180</v>
      </c>
      <c r="BL1271" s="29" t="s">
        <v>180</v>
      </c>
      <c r="BM1271" s="45"/>
      <c r="BN1271" s="45"/>
      <c r="BO1271" s="46"/>
      <c r="BP1271" s="2"/>
      <c r="BQ1271" s="3"/>
    </row>
    <row r="1272" ht="15.75" customHeight="1">
      <c r="A1272" s="34">
        <v>1290.0</v>
      </c>
      <c r="B1272" s="34">
        <v>203547.0</v>
      </c>
      <c r="C1272" s="34" t="s">
        <v>832</v>
      </c>
      <c r="D1272" s="34" t="s">
        <v>2308</v>
      </c>
      <c r="E1272" s="34" t="s">
        <v>2309</v>
      </c>
      <c r="F1272" s="34">
        <v>2021.0</v>
      </c>
      <c r="G1272" s="34" t="s">
        <v>2310</v>
      </c>
      <c r="H1272" s="34" t="s">
        <v>816</v>
      </c>
      <c r="I1272" s="34" t="s">
        <v>2311</v>
      </c>
      <c r="J1272" s="35"/>
      <c r="K1272" s="36"/>
      <c r="L1272" s="36">
        <v>2.33</v>
      </c>
      <c r="M1272" s="36"/>
      <c r="N1272" s="36"/>
      <c r="O1272" s="36"/>
      <c r="P1272" s="37">
        <v>8.2</v>
      </c>
      <c r="Q1272" s="36" t="s">
        <v>96</v>
      </c>
      <c r="R1272" s="36" t="s">
        <v>96</v>
      </c>
      <c r="S1272" s="36">
        <v>30.0</v>
      </c>
      <c r="T1272" s="36" t="s">
        <v>2335</v>
      </c>
      <c r="U1272" s="36" t="s">
        <v>2336</v>
      </c>
      <c r="V1272" s="36">
        <v>9.0</v>
      </c>
      <c r="W1272" s="36" t="s">
        <v>88</v>
      </c>
      <c r="X1272" s="38">
        <v>1.0</v>
      </c>
      <c r="Y1272" s="38" t="s">
        <v>2322</v>
      </c>
      <c r="Z1272" s="38" t="s">
        <v>2323</v>
      </c>
      <c r="AA1272" s="38" t="s">
        <v>86</v>
      </c>
      <c r="AB1272" s="38">
        <v>47.1225</v>
      </c>
      <c r="AC1272" s="38">
        <v>-117.527222</v>
      </c>
      <c r="AD1272" s="39" t="s">
        <v>87</v>
      </c>
      <c r="AE1272" s="38">
        <v>664.0</v>
      </c>
      <c r="AF1272" s="38" t="s">
        <v>2324</v>
      </c>
      <c r="AG1272" s="38" t="s">
        <v>445</v>
      </c>
      <c r="AH1272" s="38"/>
      <c r="AI1272" s="50">
        <v>47.1225</v>
      </c>
      <c r="AJ1272" s="50">
        <v>-117.527222</v>
      </c>
      <c r="AK1272" s="41" t="s">
        <v>86</v>
      </c>
      <c r="AL1272" s="40" t="s">
        <v>86</v>
      </c>
      <c r="AM1272" s="49">
        <v>661.0</v>
      </c>
      <c r="AN1272" s="51">
        <v>661.0</v>
      </c>
      <c r="AO1272" s="42" t="s">
        <v>293</v>
      </c>
      <c r="AP1272" s="43" t="s">
        <v>293</v>
      </c>
      <c r="AQ1272" s="44" t="str">
        <f t="shared" si="147"/>
        <v>CRO</v>
      </c>
      <c r="AR1272" s="44">
        <f t="shared" si="144"/>
        <v>661</v>
      </c>
      <c r="AS1272" s="44" t="str">
        <f t="shared" si="150"/>
        <v>B</v>
      </c>
      <c r="AT1272" s="44" t="str">
        <f t="shared" si="114"/>
        <v>BS</v>
      </c>
      <c r="AU1272" s="44" t="str">
        <f t="shared" si="115"/>
        <v>BSk</v>
      </c>
      <c r="AV1272" s="38"/>
      <c r="AW1272" s="38"/>
      <c r="AX1272" s="38"/>
      <c r="AY1272" s="38" t="s">
        <v>2317</v>
      </c>
      <c r="AZ1272" s="29">
        <v>30.0</v>
      </c>
      <c r="BA1272" s="29">
        <v>1.0</v>
      </c>
      <c r="BB1272" s="29">
        <v>1.0</v>
      </c>
      <c r="BC1272" s="29"/>
      <c r="BD1272" s="29" t="s">
        <v>88</v>
      </c>
      <c r="BE1272" s="29" t="s">
        <v>263</v>
      </c>
      <c r="BF1272" s="29" t="s">
        <v>2318</v>
      </c>
      <c r="BG1272" s="29" t="s">
        <v>572</v>
      </c>
      <c r="BH1272" s="29" t="s">
        <v>92</v>
      </c>
      <c r="BI1272" s="29" t="s">
        <v>2319</v>
      </c>
      <c r="BJ1272" s="29" t="s">
        <v>2320</v>
      </c>
      <c r="BK1272" s="29" t="s">
        <v>180</v>
      </c>
      <c r="BL1272" s="29" t="s">
        <v>180</v>
      </c>
      <c r="BM1272" s="45"/>
      <c r="BN1272" s="45"/>
      <c r="BO1272" s="46"/>
      <c r="BP1272" s="2"/>
      <c r="BQ1272" s="3"/>
    </row>
    <row r="1273" ht="15.75" customHeight="1">
      <c r="A1273" s="34">
        <v>1291.0</v>
      </c>
      <c r="B1273" s="34">
        <v>203547.0</v>
      </c>
      <c r="C1273" s="34" t="s">
        <v>832</v>
      </c>
      <c r="D1273" s="34" t="s">
        <v>2308</v>
      </c>
      <c r="E1273" s="34" t="s">
        <v>2309</v>
      </c>
      <c r="F1273" s="34">
        <v>2021.0</v>
      </c>
      <c r="G1273" s="34" t="s">
        <v>2310</v>
      </c>
      <c r="H1273" s="34" t="s">
        <v>816</v>
      </c>
      <c r="I1273" s="34" t="s">
        <v>2311</v>
      </c>
      <c r="J1273" s="35"/>
      <c r="K1273" s="36"/>
      <c r="L1273" s="36">
        <v>2.96</v>
      </c>
      <c r="M1273" s="36"/>
      <c r="N1273" s="36"/>
      <c r="O1273" s="36"/>
      <c r="P1273" s="37">
        <v>-9.9</v>
      </c>
      <c r="Q1273" s="36" t="s">
        <v>96</v>
      </c>
      <c r="R1273" s="36" t="s">
        <v>96</v>
      </c>
      <c r="S1273" s="36">
        <v>30.0</v>
      </c>
      <c r="T1273" s="36" t="s">
        <v>2337</v>
      </c>
      <c r="U1273" s="36" t="s">
        <v>2338</v>
      </c>
      <c r="V1273" s="36">
        <v>15.0</v>
      </c>
      <c r="W1273" s="36" t="s">
        <v>88</v>
      </c>
      <c r="X1273" s="38">
        <v>1.0</v>
      </c>
      <c r="Y1273" s="38" t="s">
        <v>2329</v>
      </c>
      <c r="Z1273" s="38" t="s">
        <v>2330</v>
      </c>
      <c r="AA1273" s="38" t="s">
        <v>86</v>
      </c>
      <c r="AB1273" s="38">
        <v>46.500833333</v>
      </c>
      <c r="AC1273" s="38">
        <v>-116.8066667</v>
      </c>
      <c r="AD1273" s="39" t="s">
        <v>87</v>
      </c>
      <c r="AE1273" s="53"/>
      <c r="AF1273" s="38" t="s">
        <v>2316</v>
      </c>
      <c r="AG1273" s="57"/>
      <c r="AH1273" s="38"/>
      <c r="AI1273" s="50">
        <v>46.500833333</v>
      </c>
      <c r="AJ1273" s="50">
        <v>-116.8066667</v>
      </c>
      <c r="AK1273" s="41" t="s">
        <v>86</v>
      </c>
      <c r="AL1273" s="40" t="s">
        <v>86</v>
      </c>
      <c r="AM1273" s="49">
        <v>742.0</v>
      </c>
      <c r="AN1273" s="51">
        <v>742.0</v>
      </c>
      <c r="AO1273" s="42" t="s">
        <v>293</v>
      </c>
      <c r="AP1273" s="43" t="s">
        <v>321</v>
      </c>
      <c r="AQ1273" s="44" t="str">
        <f t="shared" si="147"/>
        <v>CRO</v>
      </c>
      <c r="AR1273" s="44">
        <f t="shared" si="144"/>
        <v>742</v>
      </c>
      <c r="AS1273" s="44" t="str">
        <f t="shared" si="150"/>
        <v>B</v>
      </c>
      <c r="AT1273" s="44" t="str">
        <f t="shared" si="114"/>
        <v>Ds</v>
      </c>
      <c r="AU1273" s="44" t="str">
        <f t="shared" si="115"/>
        <v>Dsb</v>
      </c>
      <c r="AV1273" s="38"/>
      <c r="AW1273" s="38"/>
      <c r="AX1273" s="38"/>
      <c r="AY1273" s="38" t="s">
        <v>2317</v>
      </c>
      <c r="AZ1273" s="29">
        <v>30.0</v>
      </c>
      <c r="BA1273" s="29">
        <v>1.0</v>
      </c>
      <c r="BB1273" s="29">
        <v>1.0</v>
      </c>
      <c r="BC1273" s="29"/>
      <c r="BD1273" s="29" t="s">
        <v>88</v>
      </c>
      <c r="BE1273" s="29" t="s">
        <v>263</v>
      </c>
      <c r="BF1273" s="29" t="s">
        <v>2318</v>
      </c>
      <c r="BG1273" s="29" t="s">
        <v>572</v>
      </c>
      <c r="BH1273" s="29" t="s">
        <v>92</v>
      </c>
      <c r="BI1273" s="29" t="s">
        <v>2319</v>
      </c>
      <c r="BJ1273" s="29" t="s">
        <v>2320</v>
      </c>
      <c r="BK1273" s="29" t="s">
        <v>180</v>
      </c>
      <c r="BL1273" s="29" t="s">
        <v>180</v>
      </c>
      <c r="BM1273" s="45"/>
      <c r="BN1273" s="45"/>
      <c r="BO1273" s="46"/>
      <c r="BP1273" s="2"/>
      <c r="BQ1273" s="3"/>
    </row>
    <row r="1274" ht="15.75" customHeight="1">
      <c r="A1274" s="34">
        <v>1292.0</v>
      </c>
      <c r="B1274" s="34">
        <v>203547.0</v>
      </c>
      <c r="C1274" s="34" t="s">
        <v>832</v>
      </c>
      <c r="D1274" s="34" t="s">
        <v>2308</v>
      </c>
      <c r="E1274" s="34" t="s">
        <v>2309</v>
      </c>
      <c r="F1274" s="34">
        <v>2021.0</v>
      </c>
      <c r="G1274" s="34" t="s">
        <v>2310</v>
      </c>
      <c r="H1274" s="34" t="s">
        <v>816</v>
      </c>
      <c r="I1274" s="34" t="s">
        <v>2311</v>
      </c>
      <c r="J1274" s="35"/>
      <c r="K1274" s="36"/>
      <c r="L1274" s="36">
        <v>2.34</v>
      </c>
      <c r="M1274" s="36"/>
      <c r="N1274" s="36"/>
      <c r="O1274" s="36"/>
      <c r="P1274" s="37">
        <v>17.9</v>
      </c>
      <c r="Q1274" s="36" t="s">
        <v>96</v>
      </c>
      <c r="R1274" s="36" t="s">
        <v>96</v>
      </c>
      <c r="S1274" s="36">
        <v>30.0</v>
      </c>
      <c r="T1274" s="36" t="s">
        <v>2337</v>
      </c>
      <c r="U1274" s="36" t="s">
        <v>2338</v>
      </c>
      <c r="V1274" s="36">
        <v>15.0</v>
      </c>
      <c r="W1274" s="36" t="s">
        <v>88</v>
      </c>
      <c r="X1274" s="38">
        <v>1.0</v>
      </c>
      <c r="Y1274" s="38" t="s">
        <v>2331</v>
      </c>
      <c r="Z1274" s="38" t="s">
        <v>2332</v>
      </c>
      <c r="AA1274" s="38" t="s">
        <v>86</v>
      </c>
      <c r="AB1274" s="38">
        <v>46.49777778</v>
      </c>
      <c r="AC1274" s="38">
        <v>-116.80472222</v>
      </c>
      <c r="AD1274" s="39" t="s">
        <v>87</v>
      </c>
      <c r="AE1274" s="53"/>
      <c r="AF1274" s="38" t="s">
        <v>2316</v>
      </c>
      <c r="AG1274" s="57"/>
      <c r="AH1274" s="38"/>
      <c r="AI1274" s="50">
        <v>46.49777778</v>
      </c>
      <c r="AJ1274" s="50">
        <v>-116.80472222</v>
      </c>
      <c r="AK1274" s="41" t="s">
        <v>86</v>
      </c>
      <c r="AL1274" s="40" t="s">
        <v>86</v>
      </c>
      <c r="AM1274" s="49">
        <v>728.0</v>
      </c>
      <c r="AN1274" s="51">
        <v>728.0</v>
      </c>
      <c r="AO1274" s="42" t="s">
        <v>293</v>
      </c>
      <c r="AP1274" s="43" t="s">
        <v>293</v>
      </c>
      <c r="AQ1274" s="44" t="str">
        <f t="shared" si="147"/>
        <v>CRO</v>
      </c>
      <c r="AR1274" s="44">
        <f t="shared" si="144"/>
        <v>728</v>
      </c>
      <c r="AS1274" s="44" t="str">
        <f t="shared" si="150"/>
        <v>B</v>
      </c>
      <c r="AT1274" s="44" t="str">
        <f t="shared" si="114"/>
        <v>BS</v>
      </c>
      <c r="AU1274" s="44" t="str">
        <f t="shared" si="115"/>
        <v>BSk</v>
      </c>
      <c r="AV1274" s="38"/>
      <c r="AW1274" s="38"/>
      <c r="AX1274" s="38"/>
      <c r="AY1274" s="38" t="s">
        <v>2317</v>
      </c>
      <c r="AZ1274" s="29">
        <v>30.0</v>
      </c>
      <c r="BA1274" s="29">
        <v>1.0</v>
      </c>
      <c r="BB1274" s="29">
        <v>1.0</v>
      </c>
      <c r="BC1274" s="29"/>
      <c r="BD1274" s="29" t="s">
        <v>88</v>
      </c>
      <c r="BE1274" s="29" t="s">
        <v>263</v>
      </c>
      <c r="BF1274" s="29" t="s">
        <v>2318</v>
      </c>
      <c r="BG1274" s="29" t="s">
        <v>572</v>
      </c>
      <c r="BH1274" s="29" t="s">
        <v>92</v>
      </c>
      <c r="BI1274" s="29" t="s">
        <v>2319</v>
      </c>
      <c r="BJ1274" s="29" t="s">
        <v>2320</v>
      </c>
      <c r="BK1274" s="29" t="s">
        <v>180</v>
      </c>
      <c r="BL1274" s="29" t="s">
        <v>180</v>
      </c>
      <c r="BM1274" s="45"/>
      <c r="BN1274" s="45"/>
      <c r="BO1274" s="46"/>
      <c r="BP1274" s="2"/>
      <c r="BQ1274" s="3"/>
    </row>
    <row r="1275" ht="15.75" customHeight="1">
      <c r="A1275" s="34">
        <v>1293.0</v>
      </c>
      <c r="B1275" s="34">
        <v>203547.0</v>
      </c>
      <c r="C1275" s="34" t="s">
        <v>832</v>
      </c>
      <c r="D1275" s="34" t="s">
        <v>2308</v>
      </c>
      <c r="E1275" s="34" t="s">
        <v>2309</v>
      </c>
      <c r="F1275" s="34">
        <v>2021.0</v>
      </c>
      <c r="G1275" s="34" t="s">
        <v>2310</v>
      </c>
      <c r="H1275" s="34" t="s">
        <v>816</v>
      </c>
      <c r="I1275" s="34" t="s">
        <v>2311</v>
      </c>
      <c r="J1275" s="35"/>
      <c r="K1275" s="36"/>
      <c r="L1275" s="36">
        <v>2.57</v>
      </c>
      <c r="M1275" s="36"/>
      <c r="N1275" s="36"/>
      <c r="O1275" s="36"/>
      <c r="P1275" s="37">
        <v>66.5</v>
      </c>
      <c r="Q1275" s="36" t="s">
        <v>96</v>
      </c>
      <c r="R1275" s="36" t="s">
        <v>96</v>
      </c>
      <c r="S1275" s="36">
        <v>30.0</v>
      </c>
      <c r="T1275" s="36" t="s">
        <v>2312</v>
      </c>
      <c r="U1275" s="36" t="s">
        <v>2313</v>
      </c>
      <c r="V1275" s="36">
        <v>9.0</v>
      </c>
      <c r="W1275" s="36" t="s">
        <v>88</v>
      </c>
      <c r="X1275" s="38">
        <v>1.0</v>
      </c>
      <c r="Y1275" s="38" t="s">
        <v>2314</v>
      </c>
      <c r="Z1275" s="38" t="s">
        <v>2315</v>
      </c>
      <c r="AA1275" s="38" t="s">
        <v>86</v>
      </c>
      <c r="AB1275" s="38">
        <v>47.124444</v>
      </c>
      <c r="AC1275" s="38">
        <v>-117.53055556</v>
      </c>
      <c r="AD1275" s="39" t="s">
        <v>87</v>
      </c>
      <c r="AE1275" s="38">
        <v>657.0</v>
      </c>
      <c r="AF1275" s="38" t="s">
        <v>2316</v>
      </c>
      <c r="AG1275" s="38" t="s">
        <v>445</v>
      </c>
      <c r="AH1275" s="38"/>
      <c r="AI1275" s="50">
        <v>47.124444</v>
      </c>
      <c r="AJ1275" s="50">
        <v>-117.53055556</v>
      </c>
      <c r="AK1275" s="41" t="s">
        <v>86</v>
      </c>
      <c r="AL1275" s="40" t="s">
        <v>86</v>
      </c>
      <c r="AM1275" s="49">
        <v>657.0</v>
      </c>
      <c r="AN1275" s="51">
        <v>657.0</v>
      </c>
      <c r="AO1275" s="42" t="s">
        <v>293</v>
      </c>
      <c r="AP1275" s="43" t="s">
        <v>293</v>
      </c>
      <c r="AQ1275" s="44" t="str">
        <f t="shared" si="147"/>
        <v>CRO</v>
      </c>
      <c r="AR1275" s="44">
        <f t="shared" si="144"/>
        <v>657</v>
      </c>
      <c r="AS1275" s="44" t="str">
        <f t="shared" si="150"/>
        <v>B</v>
      </c>
      <c r="AT1275" s="44" t="str">
        <f t="shared" si="114"/>
        <v>BS</v>
      </c>
      <c r="AU1275" s="44" t="str">
        <f t="shared" si="115"/>
        <v>BSk</v>
      </c>
      <c r="AV1275" s="38"/>
      <c r="AW1275" s="38"/>
      <c r="AX1275" s="38"/>
      <c r="AY1275" s="38" t="s">
        <v>2317</v>
      </c>
      <c r="AZ1275" s="29">
        <v>30.0</v>
      </c>
      <c r="BA1275" s="29">
        <v>1.0</v>
      </c>
      <c r="BB1275" s="29">
        <v>1.0</v>
      </c>
      <c r="BC1275" s="29"/>
      <c r="BD1275" s="29" t="s">
        <v>88</v>
      </c>
      <c r="BE1275" s="29" t="s">
        <v>89</v>
      </c>
      <c r="BF1275" s="29" t="s">
        <v>2339</v>
      </c>
      <c r="BG1275" s="29" t="s">
        <v>572</v>
      </c>
      <c r="BH1275" s="29" t="s">
        <v>92</v>
      </c>
      <c r="BI1275" s="29" t="s">
        <v>2319</v>
      </c>
      <c r="BJ1275" s="29" t="s">
        <v>2320</v>
      </c>
      <c r="BK1275" s="29" t="s">
        <v>180</v>
      </c>
      <c r="BL1275" s="29" t="s">
        <v>180</v>
      </c>
      <c r="BM1275" s="45"/>
      <c r="BN1275" s="45">
        <v>1.0</v>
      </c>
      <c r="BO1275" s="46" t="s">
        <v>2321</v>
      </c>
      <c r="BP1275" s="2"/>
      <c r="BQ1275" s="3"/>
    </row>
    <row r="1276" ht="15.75" customHeight="1">
      <c r="A1276" s="34">
        <v>1294.0</v>
      </c>
      <c r="B1276" s="34">
        <v>203547.0</v>
      </c>
      <c r="C1276" s="34" t="s">
        <v>832</v>
      </c>
      <c r="D1276" s="34" t="s">
        <v>2308</v>
      </c>
      <c r="E1276" s="34" t="s">
        <v>2309</v>
      </c>
      <c r="F1276" s="34">
        <v>2021.0</v>
      </c>
      <c r="G1276" s="34" t="s">
        <v>2310</v>
      </c>
      <c r="H1276" s="34" t="s">
        <v>816</v>
      </c>
      <c r="I1276" s="34" t="s">
        <v>2311</v>
      </c>
      <c r="J1276" s="35"/>
      <c r="K1276" s="36"/>
      <c r="L1276" s="36">
        <v>2.42</v>
      </c>
      <c r="M1276" s="36"/>
      <c r="N1276" s="36"/>
      <c r="O1276" s="36"/>
      <c r="P1276" s="37">
        <v>73.9</v>
      </c>
      <c r="Q1276" s="36" t="s">
        <v>96</v>
      </c>
      <c r="R1276" s="36" t="s">
        <v>96</v>
      </c>
      <c r="S1276" s="36">
        <v>30.0</v>
      </c>
      <c r="T1276" s="36" t="s">
        <v>2312</v>
      </c>
      <c r="U1276" s="36" t="s">
        <v>2313</v>
      </c>
      <c r="V1276" s="36">
        <v>9.0</v>
      </c>
      <c r="W1276" s="36" t="s">
        <v>88</v>
      </c>
      <c r="X1276" s="38">
        <v>1.0</v>
      </c>
      <c r="Y1276" s="38" t="s">
        <v>2322</v>
      </c>
      <c r="Z1276" s="38" t="s">
        <v>2323</v>
      </c>
      <c r="AA1276" s="38" t="s">
        <v>86</v>
      </c>
      <c r="AB1276" s="38">
        <v>47.1225</v>
      </c>
      <c r="AC1276" s="38">
        <v>-117.527222</v>
      </c>
      <c r="AD1276" s="39" t="s">
        <v>87</v>
      </c>
      <c r="AE1276" s="38">
        <v>664.0</v>
      </c>
      <c r="AF1276" s="38" t="s">
        <v>2324</v>
      </c>
      <c r="AG1276" s="38" t="s">
        <v>445</v>
      </c>
      <c r="AH1276" s="38"/>
      <c r="AI1276" s="50">
        <v>47.1225</v>
      </c>
      <c r="AJ1276" s="50">
        <v>-117.527222</v>
      </c>
      <c r="AK1276" s="41" t="s">
        <v>86</v>
      </c>
      <c r="AL1276" s="40" t="s">
        <v>86</v>
      </c>
      <c r="AM1276" s="49">
        <v>661.0</v>
      </c>
      <c r="AN1276" s="51">
        <v>661.0</v>
      </c>
      <c r="AO1276" s="42" t="s">
        <v>293</v>
      </c>
      <c r="AP1276" s="43" t="s">
        <v>293</v>
      </c>
      <c r="AQ1276" s="44" t="str">
        <f t="shared" si="147"/>
        <v>CRO</v>
      </c>
      <c r="AR1276" s="44">
        <f t="shared" si="144"/>
        <v>661</v>
      </c>
      <c r="AS1276" s="44" t="str">
        <f t="shared" si="150"/>
        <v>B</v>
      </c>
      <c r="AT1276" s="44" t="str">
        <f t="shared" si="114"/>
        <v>BS</v>
      </c>
      <c r="AU1276" s="44" t="str">
        <f t="shared" si="115"/>
        <v>BSk</v>
      </c>
      <c r="AV1276" s="38"/>
      <c r="AW1276" s="38"/>
      <c r="AX1276" s="38"/>
      <c r="AY1276" s="38" t="s">
        <v>2317</v>
      </c>
      <c r="AZ1276" s="29">
        <v>30.0</v>
      </c>
      <c r="BA1276" s="29">
        <v>1.0</v>
      </c>
      <c r="BB1276" s="29">
        <v>1.0</v>
      </c>
      <c r="BC1276" s="29"/>
      <c r="BD1276" s="29" t="s">
        <v>88</v>
      </c>
      <c r="BE1276" s="29" t="s">
        <v>89</v>
      </c>
      <c r="BF1276" s="29" t="s">
        <v>2339</v>
      </c>
      <c r="BG1276" s="29" t="s">
        <v>572</v>
      </c>
      <c r="BH1276" s="29" t="s">
        <v>92</v>
      </c>
      <c r="BI1276" s="29" t="s">
        <v>2319</v>
      </c>
      <c r="BJ1276" s="29" t="s">
        <v>2320</v>
      </c>
      <c r="BK1276" s="29" t="s">
        <v>180</v>
      </c>
      <c r="BL1276" s="29" t="s">
        <v>180</v>
      </c>
      <c r="BM1276" s="45"/>
      <c r="BN1276" s="45"/>
      <c r="BO1276" s="46"/>
      <c r="BP1276" s="2"/>
      <c r="BQ1276" s="3"/>
    </row>
    <row r="1277" ht="15.75" customHeight="1">
      <c r="A1277" s="34">
        <v>1295.0</v>
      </c>
      <c r="B1277" s="34">
        <v>203547.0</v>
      </c>
      <c r="C1277" s="34" t="s">
        <v>832</v>
      </c>
      <c r="D1277" s="34" t="s">
        <v>2308</v>
      </c>
      <c r="E1277" s="34" t="s">
        <v>2309</v>
      </c>
      <c r="F1277" s="34">
        <v>2021.0</v>
      </c>
      <c r="G1277" s="34" t="s">
        <v>2310</v>
      </c>
      <c r="H1277" s="34" t="s">
        <v>816</v>
      </c>
      <c r="I1277" s="34" t="s">
        <v>2311</v>
      </c>
      <c r="J1277" s="35"/>
      <c r="K1277" s="36"/>
      <c r="L1277" s="36">
        <v>2.17</v>
      </c>
      <c r="M1277" s="36"/>
      <c r="N1277" s="36"/>
      <c r="O1277" s="36"/>
      <c r="P1277" s="37">
        <v>89.7</v>
      </c>
      <c r="Q1277" s="36" t="s">
        <v>96</v>
      </c>
      <c r="R1277" s="36" t="s">
        <v>96</v>
      </c>
      <c r="S1277" s="36">
        <v>30.0</v>
      </c>
      <c r="T1277" s="36" t="s">
        <v>2312</v>
      </c>
      <c r="U1277" s="36" t="s">
        <v>2313</v>
      </c>
      <c r="V1277" s="36">
        <v>9.0</v>
      </c>
      <c r="W1277" s="36" t="s">
        <v>88</v>
      </c>
      <c r="X1277" s="38">
        <v>1.0</v>
      </c>
      <c r="Y1277" s="38" t="s">
        <v>2325</v>
      </c>
      <c r="Z1277" s="38" t="s">
        <v>2326</v>
      </c>
      <c r="AA1277" s="38" t="s">
        <v>86</v>
      </c>
      <c r="AB1277" s="38">
        <v>47.12611111</v>
      </c>
      <c r="AC1277" s="38">
        <v>-117.5261111</v>
      </c>
      <c r="AD1277" s="39" t="s">
        <v>87</v>
      </c>
      <c r="AE1277" s="38">
        <v>687.0</v>
      </c>
      <c r="AF1277" s="38" t="s">
        <v>2316</v>
      </c>
      <c r="AG1277" s="38" t="s">
        <v>445</v>
      </c>
      <c r="AH1277" s="38"/>
      <c r="AI1277" s="50">
        <v>47.12611111</v>
      </c>
      <c r="AJ1277" s="50">
        <v>-117.5261111</v>
      </c>
      <c r="AK1277" s="41" t="s">
        <v>86</v>
      </c>
      <c r="AL1277" s="40" t="s">
        <v>86</v>
      </c>
      <c r="AM1277" s="49">
        <v>686.0</v>
      </c>
      <c r="AN1277" s="51">
        <v>686.0</v>
      </c>
      <c r="AO1277" s="42" t="s">
        <v>293</v>
      </c>
      <c r="AP1277" s="43" t="s">
        <v>293</v>
      </c>
      <c r="AQ1277" s="44" t="str">
        <f t="shared" si="147"/>
        <v>CRO</v>
      </c>
      <c r="AR1277" s="44">
        <f t="shared" si="144"/>
        <v>686</v>
      </c>
      <c r="AS1277" s="44" t="str">
        <f t="shared" si="150"/>
        <v>B</v>
      </c>
      <c r="AT1277" s="44" t="str">
        <f t="shared" si="114"/>
        <v>BS</v>
      </c>
      <c r="AU1277" s="44" t="str">
        <f t="shared" si="115"/>
        <v>BSk</v>
      </c>
      <c r="AV1277" s="38"/>
      <c r="AW1277" s="38"/>
      <c r="AX1277" s="38"/>
      <c r="AY1277" s="38" t="s">
        <v>2317</v>
      </c>
      <c r="AZ1277" s="29">
        <v>30.0</v>
      </c>
      <c r="BA1277" s="29">
        <v>1.0</v>
      </c>
      <c r="BB1277" s="29">
        <v>1.0</v>
      </c>
      <c r="BC1277" s="29"/>
      <c r="BD1277" s="29" t="s">
        <v>88</v>
      </c>
      <c r="BE1277" s="29" t="s">
        <v>89</v>
      </c>
      <c r="BF1277" s="29" t="s">
        <v>2339</v>
      </c>
      <c r="BG1277" s="29" t="s">
        <v>572</v>
      </c>
      <c r="BH1277" s="29" t="s">
        <v>92</v>
      </c>
      <c r="BI1277" s="29" t="s">
        <v>2319</v>
      </c>
      <c r="BJ1277" s="29" t="s">
        <v>2320</v>
      </c>
      <c r="BK1277" s="29" t="s">
        <v>180</v>
      </c>
      <c r="BL1277" s="29" t="s">
        <v>180</v>
      </c>
      <c r="BM1277" s="45"/>
      <c r="BN1277" s="45"/>
      <c r="BO1277" s="46"/>
      <c r="BP1277" s="2"/>
      <c r="BQ1277" s="3"/>
    </row>
    <row r="1278" ht="15.75" customHeight="1">
      <c r="A1278" s="34">
        <v>1296.0</v>
      </c>
      <c r="B1278" s="34">
        <v>203547.0</v>
      </c>
      <c r="C1278" s="34" t="s">
        <v>832</v>
      </c>
      <c r="D1278" s="34" t="s">
        <v>2308</v>
      </c>
      <c r="E1278" s="34" t="s">
        <v>2309</v>
      </c>
      <c r="F1278" s="34">
        <v>2021.0</v>
      </c>
      <c r="G1278" s="34" t="s">
        <v>2310</v>
      </c>
      <c r="H1278" s="34" t="s">
        <v>816</v>
      </c>
      <c r="I1278" s="34" t="s">
        <v>2311</v>
      </c>
      <c r="J1278" s="35"/>
      <c r="K1278" s="36"/>
      <c r="L1278" s="36">
        <v>4.12</v>
      </c>
      <c r="M1278" s="36"/>
      <c r="N1278" s="36"/>
      <c r="O1278" s="36"/>
      <c r="P1278" s="37">
        <v>23.1</v>
      </c>
      <c r="Q1278" s="36" t="s">
        <v>96</v>
      </c>
      <c r="R1278" s="36" t="s">
        <v>96</v>
      </c>
      <c r="S1278" s="36">
        <v>30.0</v>
      </c>
      <c r="T1278" s="36" t="s">
        <v>2327</v>
      </c>
      <c r="U1278" s="36" t="s">
        <v>2328</v>
      </c>
      <c r="V1278" s="36">
        <v>14.0</v>
      </c>
      <c r="W1278" s="36" t="s">
        <v>88</v>
      </c>
      <c r="X1278" s="38">
        <v>1.0</v>
      </c>
      <c r="Y1278" s="38" t="s">
        <v>2329</v>
      </c>
      <c r="Z1278" s="38" t="s">
        <v>2330</v>
      </c>
      <c r="AA1278" s="38" t="s">
        <v>86</v>
      </c>
      <c r="AB1278" s="38">
        <v>46.500833333</v>
      </c>
      <c r="AC1278" s="38">
        <v>-116.8066667</v>
      </c>
      <c r="AD1278" s="39" t="s">
        <v>87</v>
      </c>
      <c r="AE1278" s="53"/>
      <c r="AF1278" s="38" t="s">
        <v>2316</v>
      </c>
      <c r="AG1278" s="57"/>
      <c r="AH1278" s="38"/>
      <c r="AI1278" s="50">
        <v>46.500833333</v>
      </c>
      <c r="AJ1278" s="50">
        <v>-116.8066667</v>
      </c>
      <c r="AK1278" s="41" t="s">
        <v>86</v>
      </c>
      <c r="AL1278" s="40" t="s">
        <v>86</v>
      </c>
      <c r="AM1278" s="49">
        <v>742.0</v>
      </c>
      <c r="AN1278" s="51">
        <v>742.0</v>
      </c>
      <c r="AO1278" s="42" t="s">
        <v>293</v>
      </c>
      <c r="AP1278" s="43" t="s">
        <v>321</v>
      </c>
      <c r="AQ1278" s="44" t="str">
        <f t="shared" si="147"/>
        <v>CRO</v>
      </c>
      <c r="AR1278" s="44">
        <f t="shared" si="144"/>
        <v>742</v>
      </c>
      <c r="AS1278" s="44" t="str">
        <f t="shared" si="150"/>
        <v>B</v>
      </c>
      <c r="AT1278" s="44" t="str">
        <f t="shared" si="114"/>
        <v>Ds</v>
      </c>
      <c r="AU1278" s="44" t="str">
        <f t="shared" si="115"/>
        <v>Dsb</v>
      </c>
      <c r="AV1278" s="38"/>
      <c r="AW1278" s="38"/>
      <c r="AX1278" s="38"/>
      <c r="AY1278" s="38" t="s">
        <v>2317</v>
      </c>
      <c r="AZ1278" s="29">
        <v>30.0</v>
      </c>
      <c r="BA1278" s="29">
        <v>1.0</v>
      </c>
      <c r="BB1278" s="29">
        <v>1.0</v>
      </c>
      <c r="BC1278" s="29"/>
      <c r="BD1278" s="29" t="s">
        <v>88</v>
      </c>
      <c r="BE1278" s="29" t="s">
        <v>89</v>
      </c>
      <c r="BF1278" s="29" t="s">
        <v>2339</v>
      </c>
      <c r="BG1278" s="29" t="s">
        <v>572</v>
      </c>
      <c r="BH1278" s="29" t="s">
        <v>92</v>
      </c>
      <c r="BI1278" s="29" t="s">
        <v>2319</v>
      </c>
      <c r="BJ1278" s="29" t="s">
        <v>2320</v>
      </c>
      <c r="BK1278" s="29" t="s">
        <v>180</v>
      </c>
      <c r="BL1278" s="29" t="s">
        <v>180</v>
      </c>
      <c r="BM1278" s="45"/>
      <c r="BN1278" s="45"/>
      <c r="BO1278" s="46"/>
      <c r="BP1278" s="2"/>
      <c r="BQ1278" s="3"/>
    </row>
    <row r="1279" ht="15.75" customHeight="1">
      <c r="A1279" s="34">
        <v>1297.0</v>
      </c>
      <c r="B1279" s="34">
        <v>203547.0</v>
      </c>
      <c r="C1279" s="34" t="s">
        <v>832</v>
      </c>
      <c r="D1279" s="34" t="s">
        <v>2308</v>
      </c>
      <c r="E1279" s="34" t="s">
        <v>2309</v>
      </c>
      <c r="F1279" s="34">
        <v>2021.0</v>
      </c>
      <c r="G1279" s="34" t="s">
        <v>2310</v>
      </c>
      <c r="H1279" s="34" t="s">
        <v>816</v>
      </c>
      <c r="I1279" s="34" t="s">
        <v>2311</v>
      </c>
      <c r="J1279" s="35"/>
      <c r="K1279" s="36"/>
      <c r="L1279" s="36">
        <v>3.24</v>
      </c>
      <c r="M1279" s="36"/>
      <c r="N1279" s="36"/>
      <c r="O1279" s="36"/>
      <c r="P1279" s="37">
        <v>62.3</v>
      </c>
      <c r="Q1279" s="36" t="s">
        <v>96</v>
      </c>
      <c r="R1279" s="36" t="s">
        <v>96</v>
      </c>
      <c r="S1279" s="36">
        <v>30.0</v>
      </c>
      <c r="T1279" s="36" t="s">
        <v>2327</v>
      </c>
      <c r="U1279" s="36" t="s">
        <v>2328</v>
      </c>
      <c r="V1279" s="36">
        <v>14.0</v>
      </c>
      <c r="W1279" s="36" t="s">
        <v>88</v>
      </c>
      <c r="X1279" s="38">
        <v>1.0</v>
      </c>
      <c r="Y1279" s="38" t="s">
        <v>2331</v>
      </c>
      <c r="Z1279" s="38" t="s">
        <v>2332</v>
      </c>
      <c r="AA1279" s="38" t="s">
        <v>86</v>
      </c>
      <c r="AB1279" s="38">
        <v>46.49777778</v>
      </c>
      <c r="AC1279" s="38">
        <v>-116.80472222</v>
      </c>
      <c r="AD1279" s="39" t="s">
        <v>87</v>
      </c>
      <c r="AE1279" s="53"/>
      <c r="AF1279" s="38" t="s">
        <v>2316</v>
      </c>
      <c r="AG1279" s="57"/>
      <c r="AH1279" s="38"/>
      <c r="AI1279" s="50">
        <v>46.49777778</v>
      </c>
      <c r="AJ1279" s="50">
        <v>-116.80472222</v>
      </c>
      <c r="AK1279" s="41" t="s">
        <v>86</v>
      </c>
      <c r="AL1279" s="40" t="s">
        <v>86</v>
      </c>
      <c r="AM1279" s="49">
        <v>728.0</v>
      </c>
      <c r="AN1279" s="51">
        <v>728.0</v>
      </c>
      <c r="AO1279" s="42" t="s">
        <v>293</v>
      </c>
      <c r="AP1279" s="43" t="s">
        <v>293</v>
      </c>
      <c r="AQ1279" s="44" t="str">
        <f t="shared" si="147"/>
        <v>CRO</v>
      </c>
      <c r="AR1279" s="44">
        <f t="shared" si="144"/>
        <v>728</v>
      </c>
      <c r="AS1279" s="44" t="str">
        <f t="shared" si="150"/>
        <v>B</v>
      </c>
      <c r="AT1279" s="44" t="str">
        <f t="shared" si="114"/>
        <v>BS</v>
      </c>
      <c r="AU1279" s="44" t="str">
        <f t="shared" si="115"/>
        <v>BSk</v>
      </c>
      <c r="AV1279" s="38"/>
      <c r="AW1279" s="38"/>
      <c r="AX1279" s="38"/>
      <c r="AY1279" s="38" t="s">
        <v>2317</v>
      </c>
      <c r="AZ1279" s="29">
        <v>30.0</v>
      </c>
      <c r="BA1279" s="29">
        <v>1.0</v>
      </c>
      <c r="BB1279" s="29">
        <v>1.0</v>
      </c>
      <c r="BC1279" s="29"/>
      <c r="BD1279" s="29" t="s">
        <v>88</v>
      </c>
      <c r="BE1279" s="29" t="s">
        <v>89</v>
      </c>
      <c r="BF1279" s="29" t="s">
        <v>2339</v>
      </c>
      <c r="BG1279" s="29" t="s">
        <v>572</v>
      </c>
      <c r="BH1279" s="29" t="s">
        <v>92</v>
      </c>
      <c r="BI1279" s="29" t="s">
        <v>2319</v>
      </c>
      <c r="BJ1279" s="29" t="s">
        <v>2320</v>
      </c>
      <c r="BK1279" s="29" t="s">
        <v>180</v>
      </c>
      <c r="BL1279" s="29" t="s">
        <v>180</v>
      </c>
      <c r="BM1279" s="45"/>
      <c r="BN1279" s="45"/>
      <c r="BO1279" s="46"/>
      <c r="BP1279" s="2"/>
      <c r="BQ1279" s="3"/>
    </row>
    <row r="1280" ht="15.75" customHeight="1">
      <c r="A1280" s="34">
        <v>1298.0</v>
      </c>
      <c r="B1280" s="34">
        <v>203547.0</v>
      </c>
      <c r="C1280" s="34" t="s">
        <v>832</v>
      </c>
      <c r="D1280" s="34" t="s">
        <v>2308</v>
      </c>
      <c r="E1280" s="34" t="s">
        <v>2309</v>
      </c>
      <c r="F1280" s="34">
        <v>2021.0</v>
      </c>
      <c r="G1280" s="34" t="s">
        <v>2310</v>
      </c>
      <c r="H1280" s="34" t="s">
        <v>816</v>
      </c>
      <c r="I1280" s="34" t="s">
        <v>2311</v>
      </c>
      <c r="J1280" s="35"/>
      <c r="K1280" s="36"/>
      <c r="L1280" s="36">
        <v>3.52</v>
      </c>
      <c r="M1280" s="36"/>
      <c r="N1280" s="36"/>
      <c r="O1280" s="36"/>
      <c r="P1280" s="37">
        <v>43.7</v>
      </c>
      <c r="Q1280" s="36" t="s">
        <v>96</v>
      </c>
      <c r="R1280" s="36" t="s">
        <v>96</v>
      </c>
      <c r="S1280" s="36">
        <v>30.0</v>
      </c>
      <c r="T1280" s="36" t="s">
        <v>2327</v>
      </c>
      <c r="U1280" s="36" t="s">
        <v>2328</v>
      </c>
      <c r="V1280" s="36">
        <v>14.0</v>
      </c>
      <c r="W1280" s="36" t="s">
        <v>88</v>
      </c>
      <c r="X1280" s="38">
        <v>1.0</v>
      </c>
      <c r="Y1280" s="38" t="s">
        <v>2333</v>
      </c>
      <c r="Z1280" s="38" t="s">
        <v>2334</v>
      </c>
      <c r="AA1280" s="38" t="s">
        <v>86</v>
      </c>
      <c r="AB1280" s="38">
        <v>46.495</v>
      </c>
      <c r="AC1280" s="38">
        <v>-116.8022222</v>
      </c>
      <c r="AD1280" s="39" t="s">
        <v>87</v>
      </c>
      <c r="AE1280" s="53"/>
      <c r="AF1280" s="38" t="s">
        <v>2316</v>
      </c>
      <c r="AG1280" s="57"/>
      <c r="AH1280" s="38"/>
      <c r="AI1280" s="50">
        <v>46.495</v>
      </c>
      <c r="AJ1280" s="50">
        <v>-116.8022222</v>
      </c>
      <c r="AK1280" s="41" t="s">
        <v>86</v>
      </c>
      <c r="AL1280" s="40" t="s">
        <v>86</v>
      </c>
      <c r="AM1280" s="49">
        <v>712.0</v>
      </c>
      <c r="AN1280" s="51">
        <v>712.0</v>
      </c>
      <c r="AO1280" s="42" t="s">
        <v>293</v>
      </c>
      <c r="AP1280" s="43" t="s">
        <v>293</v>
      </c>
      <c r="AQ1280" s="44" t="str">
        <f t="shared" si="147"/>
        <v>CRO</v>
      </c>
      <c r="AR1280" s="44">
        <f t="shared" si="144"/>
        <v>712</v>
      </c>
      <c r="AS1280" s="44" t="str">
        <f t="shared" si="150"/>
        <v>B</v>
      </c>
      <c r="AT1280" s="44" t="str">
        <f t="shared" si="114"/>
        <v>BS</v>
      </c>
      <c r="AU1280" s="44" t="str">
        <f t="shared" si="115"/>
        <v>BSk</v>
      </c>
      <c r="AV1280" s="38"/>
      <c r="AW1280" s="38"/>
      <c r="AX1280" s="38"/>
      <c r="AY1280" s="38" t="s">
        <v>2317</v>
      </c>
      <c r="AZ1280" s="29">
        <v>30.0</v>
      </c>
      <c r="BA1280" s="29">
        <v>1.0</v>
      </c>
      <c r="BB1280" s="29">
        <v>1.0</v>
      </c>
      <c r="BC1280" s="29"/>
      <c r="BD1280" s="29" t="s">
        <v>88</v>
      </c>
      <c r="BE1280" s="29" t="s">
        <v>89</v>
      </c>
      <c r="BF1280" s="29" t="s">
        <v>2339</v>
      </c>
      <c r="BG1280" s="29" t="s">
        <v>572</v>
      </c>
      <c r="BH1280" s="29" t="s">
        <v>92</v>
      </c>
      <c r="BI1280" s="29" t="s">
        <v>2319</v>
      </c>
      <c r="BJ1280" s="29" t="s">
        <v>2320</v>
      </c>
      <c r="BK1280" s="29" t="s">
        <v>180</v>
      </c>
      <c r="BL1280" s="29" t="s">
        <v>180</v>
      </c>
      <c r="BM1280" s="45"/>
      <c r="BN1280" s="45"/>
      <c r="BO1280" s="46"/>
      <c r="BP1280" s="2"/>
      <c r="BQ1280" s="3"/>
    </row>
    <row r="1281" ht="15.75" customHeight="1">
      <c r="A1281" s="34">
        <v>1299.0</v>
      </c>
      <c r="B1281" s="34">
        <v>203547.0</v>
      </c>
      <c r="C1281" s="34" t="s">
        <v>832</v>
      </c>
      <c r="D1281" s="34" t="s">
        <v>2308</v>
      </c>
      <c r="E1281" s="34" t="s">
        <v>2309</v>
      </c>
      <c r="F1281" s="34">
        <v>2021.0</v>
      </c>
      <c r="G1281" s="34" t="s">
        <v>2310</v>
      </c>
      <c r="H1281" s="34" t="s">
        <v>816</v>
      </c>
      <c r="I1281" s="34" t="s">
        <v>2311</v>
      </c>
      <c r="J1281" s="35"/>
      <c r="K1281" s="36"/>
      <c r="L1281" s="36">
        <v>2.33</v>
      </c>
      <c r="M1281" s="36"/>
      <c r="N1281" s="36"/>
      <c r="O1281" s="36"/>
      <c r="P1281" s="37">
        <v>35.2</v>
      </c>
      <c r="Q1281" s="36" t="s">
        <v>96</v>
      </c>
      <c r="R1281" s="36" t="s">
        <v>96</v>
      </c>
      <c r="S1281" s="36">
        <v>30.0</v>
      </c>
      <c r="T1281" s="36" t="s">
        <v>2335</v>
      </c>
      <c r="U1281" s="36" t="s">
        <v>2336</v>
      </c>
      <c r="V1281" s="36">
        <v>9.0</v>
      </c>
      <c r="W1281" s="36" t="s">
        <v>88</v>
      </c>
      <c r="X1281" s="38">
        <v>1.0</v>
      </c>
      <c r="Y1281" s="38" t="s">
        <v>2322</v>
      </c>
      <c r="Z1281" s="38" t="s">
        <v>2323</v>
      </c>
      <c r="AA1281" s="38" t="s">
        <v>86</v>
      </c>
      <c r="AB1281" s="38">
        <v>47.1225</v>
      </c>
      <c r="AC1281" s="38">
        <v>-117.527222</v>
      </c>
      <c r="AD1281" s="39" t="s">
        <v>87</v>
      </c>
      <c r="AE1281" s="38">
        <v>664.0</v>
      </c>
      <c r="AF1281" s="38" t="s">
        <v>2324</v>
      </c>
      <c r="AG1281" s="38" t="s">
        <v>445</v>
      </c>
      <c r="AH1281" s="38"/>
      <c r="AI1281" s="50">
        <v>47.1225</v>
      </c>
      <c r="AJ1281" s="50">
        <v>-117.527222</v>
      </c>
      <c r="AK1281" s="41" t="s">
        <v>86</v>
      </c>
      <c r="AL1281" s="40" t="s">
        <v>86</v>
      </c>
      <c r="AM1281" s="49">
        <v>661.0</v>
      </c>
      <c r="AN1281" s="51">
        <v>661.0</v>
      </c>
      <c r="AO1281" s="42" t="s">
        <v>293</v>
      </c>
      <c r="AP1281" s="43" t="s">
        <v>293</v>
      </c>
      <c r="AQ1281" s="44" t="str">
        <f t="shared" si="147"/>
        <v>CRO</v>
      </c>
      <c r="AR1281" s="44">
        <f t="shared" si="144"/>
        <v>661</v>
      </c>
      <c r="AS1281" s="44" t="str">
        <f t="shared" si="150"/>
        <v>B</v>
      </c>
      <c r="AT1281" s="44" t="str">
        <f t="shared" si="114"/>
        <v>BS</v>
      </c>
      <c r="AU1281" s="44" t="str">
        <f t="shared" si="115"/>
        <v>BSk</v>
      </c>
      <c r="AV1281" s="38"/>
      <c r="AW1281" s="38"/>
      <c r="AX1281" s="38"/>
      <c r="AY1281" s="38" t="s">
        <v>2317</v>
      </c>
      <c r="AZ1281" s="29">
        <v>30.0</v>
      </c>
      <c r="BA1281" s="29">
        <v>1.0</v>
      </c>
      <c r="BB1281" s="29">
        <v>1.0</v>
      </c>
      <c r="BC1281" s="29"/>
      <c r="BD1281" s="29" t="s">
        <v>88</v>
      </c>
      <c r="BE1281" s="29" t="s">
        <v>89</v>
      </c>
      <c r="BF1281" s="29" t="s">
        <v>2339</v>
      </c>
      <c r="BG1281" s="29" t="s">
        <v>572</v>
      </c>
      <c r="BH1281" s="29" t="s">
        <v>92</v>
      </c>
      <c r="BI1281" s="29" t="s">
        <v>2319</v>
      </c>
      <c r="BJ1281" s="29" t="s">
        <v>2320</v>
      </c>
      <c r="BK1281" s="29" t="s">
        <v>180</v>
      </c>
      <c r="BL1281" s="29" t="s">
        <v>180</v>
      </c>
      <c r="BM1281" s="45"/>
      <c r="BN1281" s="45"/>
      <c r="BO1281" s="46"/>
      <c r="BP1281" s="2"/>
      <c r="BQ1281" s="3"/>
    </row>
    <row r="1282" ht="15.75" customHeight="1">
      <c r="A1282" s="34">
        <v>1300.0</v>
      </c>
      <c r="B1282" s="34">
        <v>203547.0</v>
      </c>
      <c r="C1282" s="34" t="s">
        <v>832</v>
      </c>
      <c r="D1282" s="34" t="s">
        <v>2308</v>
      </c>
      <c r="E1282" s="34" t="s">
        <v>2309</v>
      </c>
      <c r="F1282" s="34">
        <v>2021.0</v>
      </c>
      <c r="G1282" s="34" t="s">
        <v>2310</v>
      </c>
      <c r="H1282" s="34" t="s">
        <v>816</v>
      </c>
      <c r="I1282" s="34" t="s">
        <v>2311</v>
      </c>
      <c r="J1282" s="35"/>
      <c r="K1282" s="36"/>
      <c r="L1282" s="36">
        <v>2.96</v>
      </c>
      <c r="M1282" s="36"/>
      <c r="N1282" s="36"/>
      <c r="O1282" s="36"/>
      <c r="P1282" s="37">
        <v>12.7</v>
      </c>
      <c r="Q1282" s="36" t="s">
        <v>96</v>
      </c>
      <c r="R1282" s="36" t="s">
        <v>96</v>
      </c>
      <c r="S1282" s="36">
        <v>30.0</v>
      </c>
      <c r="T1282" s="36" t="s">
        <v>2337</v>
      </c>
      <c r="U1282" s="36" t="s">
        <v>2338</v>
      </c>
      <c r="V1282" s="36">
        <v>15.0</v>
      </c>
      <c r="W1282" s="36" t="s">
        <v>88</v>
      </c>
      <c r="X1282" s="38">
        <v>1.0</v>
      </c>
      <c r="Y1282" s="38" t="s">
        <v>2329</v>
      </c>
      <c r="Z1282" s="38" t="s">
        <v>2330</v>
      </c>
      <c r="AA1282" s="38" t="s">
        <v>86</v>
      </c>
      <c r="AB1282" s="38">
        <v>46.500833333</v>
      </c>
      <c r="AC1282" s="38">
        <v>-116.8066667</v>
      </c>
      <c r="AD1282" s="39" t="s">
        <v>87</v>
      </c>
      <c r="AE1282" s="53"/>
      <c r="AF1282" s="38" t="s">
        <v>2316</v>
      </c>
      <c r="AG1282" s="57"/>
      <c r="AH1282" s="38"/>
      <c r="AI1282" s="50">
        <v>46.500833333</v>
      </c>
      <c r="AJ1282" s="50">
        <v>-116.8066667</v>
      </c>
      <c r="AK1282" s="41" t="s">
        <v>86</v>
      </c>
      <c r="AL1282" s="40" t="s">
        <v>86</v>
      </c>
      <c r="AM1282" s="49">
        <v>742.0</v>
      </c>
      <c r="AN1282" s="51">
        <v>742.0</v>
      </c>
      <c r="AO1282" s="42" t="s">
        <v>293</v>
      </c>
      <c r="AP1282" s="43" t="s">
        <v>321</v>
      </c>
      <c r="AQ1282" s="44" t="str">
        <f t="shared" si="147"/>
        <v>CRO</v>
      </c>
      <c r="AR1282" s="44">
        <f t="shared" si="144"/>
        <v>742</v>
      </c>
      <c r="AS1282" s="44" t="str">
        <f t="shared" si="150"/>
        <v>B</v>
      </c>
      <c r="AT1282" s="44" t="str">
        <f t="shared" si="114"/>
        <v>Ds</v>
      </c>
      <c r="AU1282" s="44" t="str">
        <f t="shared" si="115"/>
        <v>Dsb</v>
      </c>
      <c r="AV1282" s="38"/>
      <c r="AW1282" s="38"/>
      <c r="AX1282" s="38"/>
      <c r="AY1282" s="38" t="s">
        <v>2317</v>
      </c>
      <c r="AZ1282" s="29">
        <v>30.0</v>
      </c>
      <c r="BA1282" s="29">
        <v>1.0</v>
      </c>
      <c r="BB1282" s="29">
        <v>1.0</v>
      </c>
      <c r="BC1282" s="29"/>
      <c r="BD1282" s="29" t="s">
        <v>88</v>
      </c>
      <c r="BE1282" s="29" t="s">
        <v>89</v>
      </c>
      <c r="BF1282" s="29" t="s">
        <v>2339</v>
      </c>
      <c r="BG1282" s="29" t="s">
        <v>572</v>
      </c>
      <c r="BH1282" s="29" t="s">
        <v>92</v>
      </c>
      <c r="BI1282" s="29" t="s">
        <v>2319</v>
      </c>
      <c r="BJ1282" s="29" t="s">
        <v>2320</v>
      </c>
      <c r="BK1282" s="29" t="s">
        <v>180</v>
      </c>
      <c r="BL1282" s="29" t="s">
        <v>180</v>
      </c>
      <c r="BM1282" s="45"/>
      <c r="BN1282" s="45"/>
      <c r="BO1282" s="46"/>
      <c r="BP1282" s="2"/>
      <c r="BQ1282" s="3"/>
    </row>
    <row r="1283" ht="15.75" customHeight="1">
      <c r="A1283" s="34">
        <v>1301.0</v>
      </c>
      <c r="B1283" s="34">
        <v>203547.0</v>
      </c>
      <c r="C1283" s="34" t="s">
        <v>832</v>
      </c>
      <c r="D1283" s="34" t="s">
        <v>2308</v>
      </c>
      <c r="E1283" s="34" t="s">
        <v>2309</v>
      </c>
      <c r="F1283" s="34">
        <v>2021.0</v>
      </c>
      <c r="G1283" s="34" t="s">
        <v>2310</v>
      </c>
      <c r="H1283" s="34" t="s">
        <v>816</v>
      </c>
      <c r="I1283" s="34" t="s">
        <v>2311</v>
      </c>
      <c r="J1283" s="35"/>
      <c r="K1283" s="36"/>
      <c r="L1283" s="36">
        <v>2.34</v>
      </c>
      <c r="M1283" s="36"/>
      <c r="N1283" s="36"/>
      <c r="O1283" s="36"/>
      <c r="P1283" s="37">
        <v>47.6</v>
      </c>
      <c r="Q1283" s="36" t="s">
        <v>96</v>
      </c>
      <c r="R1283" s="36" t="s">
        <v>96</v>
      </c>
      <c r="S1283" s="36">
        <v>30.0</v>
      </c>
      <c r="T1283" s="36" t="s">
        <v>2337</v>
      </c>
      <c r="U1283" s="36" t="s">
        <v>2338</v>
      </c>
      <c r="V1283" s="36">
        <v>15.0</v>
      </c>
      <c r="W1283" s="36" t="s">
        <v>88</v>
      </c>
      <c r="X1283" s="38">
        <v>1.0</v>
      </c>
      <c r="Y1283" s="38" t="s">
        <v>2331</v>
      </c>
      <c r="Z1283" s="38" t="s">
        <v>2332</v>
      </c>
      <c r="AA1283" s="38" t="s">
        <v>86</v>
      </c>
      <c r="AB1283" s="38">
        <v>46.49777778</v>
      </c>
      <c r="AC1283" s="38">
        <v>-116.80472222</v>
      </c>
      <c r="AD1283" s="39" t="s">
        <v>87</v>
      </c>
      <c r="AE1283" s="53"/>
      <c r="AF1283" s="38" t="s">
        <v>2316</v>
      </c>
      <c r="AG1283" s="57"/>
      <c r="AH1283" s="38"/>
      <c r="AI1283" s="50">
        <v>46.49777778</v>
      </c>
      <c r="AJ1283" s="50">
        <v>-116.80472222</v>
      </c>
      <c r="AK1283" s="41" t="s">
        <v>86</v>
      </c>
      <c r="AL1283" s="40" t="s">
        <v>86</v>
      </c>
      <c r="AM1283" s="49">
        <v>728.0</v>
      </c>
      <c r="AN1283" s="51">
        <v>728.0</v>
      </c>
      <c r="AO1283" s="42" t="s">
        <v>293</v>
      </c>
      <c r="AP1283" s="43" t="s">
        <v>293</v>
      </c>
      <c r="AQ1283" s="44" t="str">
        <f t="shared" si="147"/>
        <v>CRO</v>
      </c>
      <c r="AR1283" s="44">
        <f t="shared" si="144"/>
        <v>728</v>
      </c>
      <c r="AS1283" s="44" t="str">
        <f t="shared" si="150"/>
        <v>B</v>
      </c>
      <c r="AT1283" s="44" t="str">
        <f t="shared" si="114"/>
        <v>BS</v>
      </c>
      <c r="AU1283" s="44" t="str">
        <f t="shared" si="115"/>
        <v>BSk</v>
      </c>
      <c r="AV1283" s="38"/>
      <c r="AW1283" s="38"/>
      <c r="AX1283" s="38"/>
      <c r="AY1283" s="38" t="s">
        <v>2317</v>
      </c>
      <c r="AZ1283" s="29">
        <v>30.0</v>
      </c>
      <c r="BA1283" s="29">
        <v>1.0</v>
      </c>
      <c r="BB1283" s="29">
        <v>1.0</v>
      </c>
      <c r="BC1283" s="29"/>
      <c r="BD1283" s="29" t="s">
        <v>88</v>
      </c>
      <c r="BE1283" s="29" t="s">
        <v>89</v>
      </c>
      <c r="BF1283" s="29" t="s">
        <v>2339</v>
      </c>
      <c r="BG1283" s="29" t="s">
        <v>572</v>
      </c>
      <c r="BH1283" s="29" t="s">
        <v>92</v>
      </c>
      <c r="BI1283" s="29" t="s">
        <v>2319</v>
      </c>
      <c r="BJ1283" s="29" t="s">
        <v>2320</v>
      </c>
      <c r="BK1283" s="29" t="s">
        <v>180</v>
      </c>
      <c r="BL1283" s="29" t="s">
        <v>180</v>
      </c>
      <c r="BM1283" s="45"/>
      <c r="BN1283" s="45"/>
      <c r="BO1283" s="46"/>
      <c r="BP1283" s="2"/>
      <c r="BQ1283" s="3"/>
    </row>
    <row r="1284" ht="15.75" customHeight="1">
      <c r="A1284" s="34">
        <v>1302.0</v>
      </c>
      <c r="B1284" s="34">
        <v>203547.0</v>
      </c>
      <c r="C1284" s="34" t="s">
        <v>832</v>
      </c>
      <c r="D1284" s="34" t="s">
        <v>2308</v>
      </c>
      <c r="E1284" s="34" t="s">
        <v>2309</v>
      </c>
      <c r="F1284" s="34">
        <v>2021.0</v>
      </c>
      <c r="G1284" s="34" t="s">
        <v>2310</v>
      </c>
      <c r="H1284" s="34" t="s">
        <v>816</v>
      </c>
      <c r="I1284" s="34" t="s">
        <v>2311</v>
      </c>
      <c r="J1284" s="35"/>
      <c r="K1284" s="36"/>
      <c r="L1284" s="36"/>
      <c r="M1284" s="36"/>
      <c r="N1284" s="36"/>
      <c r="O1284" s="36"/>
      <c r="P1284" s="37">
        <v>8.3</v>
      </c>
      <c r="Q1284" s="36" t="s">
        <v>96</v>
      </c>
      <c r="R1284" s="36" t="s">
        <v>96</v>
      </c>
      <c r="S1284" s="36">
        <v>30.0</v>
      </c>
      <c r="T1284" s="36" t="s">
        <v>2312</v>
      </c>
      <c r="U1284" s="36" t="s">
        <v>2313</v>
      </c>
      <c r="V1284" s="36">
        <v>9.0</v>
      </c>
      <c r="W1284" s="36" t="s">
        <v>2340</v>
      </c>
      <c r="X1284" s="38">
        <v>1.0</v>
      </c>
      <c r="Y1284" s="38" t="s">
        <v>2314</v>
      </c>
      <c r="Z1284" s="38" t="s">
        <v>2315</v>
      </c>
      <c r="AA1284" s="38" t="s">
        <v>86</v>
      </c>
      <c r="AB1284" s="38">
        <v>47.124444</v>
      </c>
      <c r="AC1284" s="38">
        <v>-117.53055556</v>
      </c>
      <c r="AD1284" s="39" t="s">
        <v>87</v>
      </c>
      <c r="AE1284" s="38">
        <v>657.0</v>
      </c>
      <c r="AF1284" s="38" t="s">
        <v>2316</v>
      </c>
      <c r="AG1284" s="38" t="s">
        <v>445</v>
      </c>
      <c r="AH1284" s="38"/>
      <c r="AI1284" s="50">
        <v>47.124444</v>
      </c>
      <c r="AJ1284" s="50">
        <v>-117.53055556</v>
      </c>
      <c r="AK1284" s="41" t="s">
        <v>86</v>
      </c>
      <c r="AL1284" s="40" t="s">
        <v>86</v>
      </c>
      <c r="AM1284" s="49">
        <v>657.0</v>
      </c>
      <c r="AN1284" s="51">
        <v>657.0</v>
      </c>
      <c r="AO1284" s="42" t="s">
        <v>293</v>
      </c>
      <c r="AP1284" s="43" t="s">
        <v>293</v>
      </c>
      <c r="AQ1284" s="44" t="str">
        <f t="shared" si="147"/>
        <v>CRO</v>
      </c>
      <c r="AR1284" s="44">
        <f t="shared" si="144"/>
        <v>657</v>
      </c>
      <c r="AS1284" s="44" t="str">
        <f t="shared" si="150"/>
        <v>B</v>
      </c>
      <c r="AT1284" s="44" t="str">
        <f t="shared" si="114"/>
        <v>BS</v>
      </c>
      <c r="AU1284" s="44" t="str">
        <f t="shared" si="115"/>
        <v>BSk</v>
      </c>
      <c r="AV1284" s="38"/>
      <c r="AW1284" s="38"/>
      <c r="AX1284" s="38"/>
      <c r="AY1284" s="38" t="s">
        <v>2317</v>
      </c>
      <c r="AZ1284" s="29">
        <v>30.0</v>
      </c>
      <c r="BA1284" s="29">
        <v>1.0</v>
      </c>
      <c r="BB1284" s="29">
        <v>1.0</v>
      </c>
      <c r="BC1284" s="29"/>
      <c r="BD1284" s="29" t="s">
        <v>88</v>
      </c>
      <c r="BE1284" s="29" t="s">
        <v>263</v>
      </c>
      <c r="BF1284" s="29" t="s">
        <v>2318</v>
      </c>
      <c r="BG1284" s="29" t="s">
        <v>572</v>
      </c>
      <c r="BH1284" s="29" t="s">
        <v>92</v>
      </c>
      <c r="BI1284" s="29" t="s">
        <v>2319</v>
      </c>
      <c r="BJ1284" s="29" t="s">
        <v>2320</v>
      </c>
      <c r="BK1284" s="29" t="s">
        <v>180</v>
      </c>
      <c r="BL1284" s="29" t="s">
        <v>180</v>
      </c>
      <c r="BM1284" s="45"/>
      <c r="BN1284" s="45">
        <v>1.0</v>
      </c>
      <c r="BO1284" s="46" t="s">
        <v>2321</v>
      </c>
      <c r="BP1284" s="2"/>
      <c r="BQ1284" s="3"/>
    </row>
    <row r="1285" ht="15.75" customHeight="1">
      <c r="A1285" s="34">
        <v>1303.0</v>
      </c>
      <c r="B1285" s="34">
        <v>203547.0</v>
      </c>
      <c r="C1285" s="34" t="s">
        <v>832</v>
      </c>
      <c r="D1285" s="34" t="s">
        <v>2308</v>
      </c>
      <c r="E1285" s="34" t="s">
        <v>2309</v>
      </c>
      <c r="F1285" s="34">
        <v>2021.0</v>
      </c>
      <c r="G1285" s="34" t="s">
        <v>2310</v>
      </c>
      <c r="H1285" s="34" t="s">
        <v>816</v>
      </c>
      <c r="I1285" s="34" t="s">
        <v>2311</v>
      </c>
      <c r="J1285" s="35"/>
      <c r="K1285" s="36"/>
      <c r="L1285" s="36"/>
      <c r="M1285" s="36"/>
      <c r="N1285" s="36"/>
      <c r="O1285" s="36"/>
      <c r="P1285" s="37">
        <v>14.6</v>
      </c>
      <c r="Q1285" s="36" t="s">
        <v>96</v>
      </c>
      <c r="R1285" s="36" t="s">
        <v>96</v>
      </c>
      <c r="S1285" s="36">
        <v>30.0</v>
      </c>
      <c r="T1285" s="36" t="s">
        <v>2312</v>
      </c>
      <c r="U1285" s="36" t="s">
        <v>2313</v>
      </c>
      <c r="V1285" s="36">
        <v>9.0</v>
      </c>
      <c r="W1285" s="36" t="s">
        <v>2340</v>
      </c>
      <c r="X1285" s="38">
        <v>1.0</v>
      </c>
      <c r="Y1285" s="38" t="s">
        <v>2322</v>
      </c>
      <c r="Z1285" s="38" t="s">
        <v>2323</v>
      </c>
      <c r="AA1285" s="38" t="s">
        <v>86</v>
      </c>
      <c r="AB1285" s="38">
        <v>47.1225</v>
      </c>
      <c r="AC1285" s="38">
        <v>-117.527222</v>
      </c>
      <c r="AD1285" s="39" t="s">
        <v>87</v>
      </c>
      <c r="AE1285" s="38">
        <v>664.0</v>
      </c>
      <c r="AF1285" s="38" t="s">
        <v>2324</v>
      </c>
      <c r="AG1285" s="38" t="s">
        <v>445</v>
      </c>
      <c r="AH1285" s="38"/>
      <c r="AI1285" s="50">
        <v>47.1225</v>
      </c>
      <c r="AJ1285" s="50">
        <v>-117.527222</v>
      </c>
      <c r="AK1285" s="41" t="s">
        <v>86</v>
      </c>
      <c r="AL1285" s="40" t="s">
        <v>86</v>
      </c>
      <c r="AM1285" s="49">
        <v>661.0</v>
      </c>
      <c r="AN1285" s="51">
        <v>661.0</v>
      </c>
      <c r="AO1285" s="42" t="s">
        <v>293</v>
      </c>
      <c r="AP1285" s="43" t="s">
        <v>293</v>
      </c>
      <c r="AQ1285" s="44" t="str">
        <f t="shared" si="147"/>
        <v>CRO</v>
      </c>
      <c r="AR1285" s="44">
        <f t="shared" si="144"/>
        <v>661</v>
      </c>
      <c r="AS1285" s="44" t="str">
        <f t="shared" si="150"/>
        <v>B</v>
      </c>
      <c r="AT1285" s="44" t="str">
        <f t="shared" si="114"/>
        <v>BS</v>
      </c>
      <c r="AU1285" s="44" t="str">
        <f t="shared" si="115"/>
        <v>BSk</v>
      </c>
      <c r="AV1285" s="38"/>
      <c r="AW1285" s="38"/>
      <c r="AX1285" s="38"/>
      <c r="AY1285" s="38" t="s">
        <v>2317</v>
      </c>
      <c r="AZ1285" s="29">
        <v>30.0</v>
      </c>
      <c r="BA1285" s="29">
        <v>1.0</v>
      </c>
      <c r="BB1285" s="29">
        <v>1.0</v>
      </c>
      <c r="BC1285" s="29"/>
      <c r="BD1285" s="29" t="s">
        <v>88</v>
      </c>
      <c r="BE1285" s="29" t="s">
        <v>263</v>
      </c>
      <c r="BF1285" s="29" t="s">
        <v>2318</v>
      </c>
      <c r="BG1285" s="29" t="s">
        <v>572</v>
      </c>
      <c r="BH1285" s="29" t="s">
        <v>92</v>
      </c>
      <c r="BI1285" s="29" t="s">
        <v>2319</v>
      </c>
      <c r="BJ1285" s="29" t="s">
        <v>2320</v>
      </c>
      <c r="BK1285" s="29" t="s">
        <v>180</v>
      </c>
      <c r="BL1285" s="29" t="s">
        <v>180</v>
      </c>
      <c r="BM1285" s="45"/>
      <c r="BN1285" s="45"/>
      <c r="BO1285" s="46"/>
      <c r="BP1285" s="2"/>
      <c r="BQ1285" s="3"/>
    </row>
    <row r="1286" ht="15.75" customHeight="1">
      <c r="A1286" s="34">
        <v>1304.0</v>
      </c>
      <c r="B1286" s="34">
        <v>203547.0</v>
      </c>
      <c r="C1286" s="34" t="s">
        <v>832</v>
      </c>
      <c r="D1286" s="34" t="s">
        <v>2308</v>
      </c>
      <c r="E1286" s="34" t="s">
        <v>2309</v>
      </c>
      <c r="F1286" s="34">
        <v>2021.0</v>
      </c>
      <c r="G1286" s="34" t="s">
        <v>2310</v>
      </c>
      <c r="H1286" s="34" t="s">
        <v>816</v>
      </c>
      <c r="I1286" s="34" t="s">
        <v>2311</v>
      </c>
      <c r="J1286" s="35"/>
      <c r="K1286" s="36"/>
      <c r="L1286" s="36"/>
      <c r="M1286" s="36"/>
      <c r="N1286" s="36"/>
      <c r="O1286" s="36"/>
      <c r="P1286" s="37">
        <v>19.3</v>
      </c>
      <c r="Q1286" s="36" t="s">
        <v>96</v>
      </c>
      <c r="R1286" s="36" t="s">
        <v>96</v>
      </c>
      <c r="S1286" s="36">
        <v>30.0</v>
      </c>
      <c r="T1286" s="36" t="s">
        <v>2312</v>
      </c>
      <c r="U1286" s="36" t="s">
        <v>2313</v>
      </c>
      <c r="V1286" s="36">
        <v>9.0</v>
      </c>
      <c r="W1286" s="36" t="s">
        <v>2340</v>
      </c>
      <c r="X1286" s="38">
        <v>1.0</v>
      </c>
      <c r="Y1286" s="38" t="s">
        <v>2325</v>
      </c>
      <c r="Z1286" s="38" t="s">
        <v>2326</v>
      </c>
      <c r="AA1286" s="38" t="s">
        <v>86</v>
      </c>
      <c r="AB1286" s="38">
        <v>47.12611111</v>
      </c>
      <c r="AC1286" s="38">
        <v>-117.5261111</v>
      </c>
      <c r="AD1286" s="39" t="s">
        <v>87</v>
      </c>
      <c r="AE1286" s="38">
        <v>687.0</v>
      </c>
      <c r="AF1286" s="38" t="s">
        <v>2316</v>
      </c>
      <c r="AG1286" s="38" t="s">
        <v>445</v>
      </c>
      <c r="AH1286" s="38"/>
      <c r="AI1286" s="50">
        <v>47.12611111</v>
      </c>
      <c r="AJ1286" s="50">
        <v>-117.5261111</v>
      </c>
      <c r="AK1286" s="41" t="s">
        <v>86</v>
      </c>
      <c r="AL1286" s="40" t="s">
        <v>86</v>
      </c>
      <c r="AM1286" s="49">
        <v>686.0</v>
      </c>
      <c r="AN1286" s="51">
        <v>686.0</v>
      </c>
      <c r="AO1286" s="42" t="s">
        <v>293</v>
      </c>
      <c r="AP1286" s="43" t="s">
        <v>293</v>
      </c>
      <c r="AQ1286" s="44" t="str">
        <f t="shared" si="147"/>
        <v>CRO</v>
      </c>
      <c r="AR1286" s="44">
        <f t="shared" si="144"/>
        <v>686</v>
      </c>
      <c r="AS1286" s="44" t="str">
        <f t="shared" si="150"/>
        <v>B</v>
      </c>
      <c r="AT1286" s="44" t="str">
        <f t="shared" si="114"/>
        <v>BS</v>
      </c>
      <c r="AU1286" s="44" t="str">
        <f t="shared" si="115"/>
        <v>BSk</v>
      </c>
      <c r="AV1286" s="38"/>
      <c r="AW1286" s="38"/>
      <c r="AX1286" s="38"/>
      <c r="AY1286" s="38" t="s">
        <v>2317</v>
      </c>
      <c r="AZ1286" s="29">
        <v>30.0</v>
      </c>
      <c r="BA1286" s="29">
        <v>1.0</v>
      </c>
      <c r="BB1286" s="29">
        <v>1.0</v>
      </c>
      <c r="BC1286" s="29"/>
      <c r="BD1286" s="29" t="s">
        <v>88</v>
      </c>
      <c r="BE1286" s="29" t="s">
        <v>263</v>
      </c>
      <c r="BF1286" s="29" t="s">
        <v>2318</v>
      </c>
      <c r="BG1286" s="29" t="s">
        <v>572</v>
      </c>
      <c r="BH1286" s="29" t="s">
        <v>92</v>
      </c>
      <c r="BI1286" s="29" t="s">
        <v>2319</v>
      </c>
      <c r="BJ1286" s="29" t="s">
        <v>2320</v>
      </c>
      <c r="BK1286" s="29" t="s">
        <v>180</v>
      </c>
      <c r="BL1286" s="29" t="s">
        <v>180</v>
      </c>
      <c r="BM1286" s="45"/>
      <c r="BN1286" s="45"/>
      <c r="BO1286" s="46"/>
      <c r="BP1286" s="2"/>
      <c r="BQ1286" s="3"/>
    </row>
    <row r="1287" ht="15.75" customHeight="1">
      <c r="A1287" s="34">
        <v>1305.0</v>
      </c>
      <c r="B1287" s="34">
        <v>203547.0</v>
      </c>
      <c r="C1287" s="34" t="s">
        <v>832</v>
      </c>
      <c r="D1287" s="34" t="s">
        <v>2308</v>
      </c>
      <c r="E1287" s="34" t="s">
        <v>2309</v>
      </c>
      <c r="F1287" s="34">
        <v>2021.0</v>
      </c>
      <c r="G1287" s="34" t="s">
        <v>2310</v>
      </c>
      <c r="H1287" s="34" t="s">
        <v>816</v>
      </c>
      <c r="I1287" s="34" t="s">
        <v>2311</v>
      </c>
      <c r="J1287" s="35"/>
      <c r="K1287" s="36"/>
      <c r="L1287" s="36"/>
      <c r="M1287" s="36"/>
      <c r="N1287" s="36"/>
      <c r="O1287" s="36"/>
      <c r="P1287" s="37">
        <v>-16.6</v>
      </c>
      <c r="Q1287" s="36" t="s">
        <v>96</v>
      </c>
      <c r="R1287" s="36" t="s">
        <v>96</v>
      </c>
      <c r="S1287" s="36">
        <v>30.0</v>
      </c>
      <c r="T1287" s="36" t="s">
        <v>2327</v>
      </c>
      <c r="U1287" s="36" t="s">
        <v>2328</v>
      </c>
      <c r="V1287" s="36">
        <v>14.0</v>
      </c>
      <c r="W1287" s="36" t="s">
        <v>2340</v>
      </c>
      <c r="X1287" s="38">
        <v>1.0</v>
      </c>
      <c r="Y1287" s="38" t="s">
        <v>2329</v>
      </c>
      <c r="Z1287" s="38" t="s">
        <v>2330</v>
      </c>
      <c r="AA1287" s="38" t="s">
        <v>86</v>
      </c>
      <c r="AB1287" s="38">
        <v>46.500833333</v>
      </c>
      <c r="AC1287" s="38">
        <v>-116.8066667</v>
      </c>
      <c r="AD1287" s="39" t="s">
        <v>87</v>
      </c>
      <c r="AE1287" s="53"/>
      <c r="AF1287" s="38" t="s">
        <v>2316</v>
      </c>
      <c r="AG1287" s="57"/>
      <c r="AH1287" s="38"/>
      <c r="AI1287" s="50">
        <v>46.500833333</v>
      </c>
      <c r="AJ1287" s="50">
        <v>-116.8066667</v>
      </c>
      <c r="AK1287" s="41" t="s">
        <v>86</v>
      </c>
      <c r="AL1287" s="40" t="s">
        <v>86</v>
      </c>
      <c r="AM1287" s="49">
        <v>742.0</v>
      </c>
      <c r="AN1287" s="51">
        <v>742.0</v>
      </c>
      <c r="AO1287" s="42" t="s">
        <v>293</v>
      </c>
      <c r="AP1287" s="43" t="s">
        <v>321</v>
      </c>
      <c r="AQ1287" s="44" t="str">
        <f t="shared" si="147"/>
        <v>CRO</v>
      </c>
      <c r="AR1287" s="44">
        <f t="shared" si="144"/>
        <v>742</v>
      </c>
      <c r="AS1287" s="44" t="str">
        <f t="shared" si="150"/>
        <v>B</v>
      </c>
      <c r="AT1287" s="44" t="str">
        <f t="shared" si="114"/>
        <v>Ds</v>
      </c>
      <c r="AU1287" s="44" t="str">
        <f t="shared" si="115"/>
        <v>Dsb</v>
      </c>
      <c r="AV1287" s="38"/>
      <c r="AW1287" s="38"/>
      <c r="AX1287" s="38"/>
      <c r="AY1287" s="38" t="s">
        <v>2317</v>
      </c>
      <c r="AZ1287" s="29">
        <v>30.0</v>
      </c>
      <c r="BA1287" s="29">
        <v>1.0</v>
      </c>
      <c r="BB1287" s="29">
        <v>1.0</v>
      </c>
      <c r="BC1287" s="29"/>
      <c r="BD1287" s="29" t="s">
        <v>88</v>
      </c>
      <c r="BE1287" s="29" t="s">
        <v>263</v>
      </c>
      <c r="BF1287" s="29" t="s">
        <v>2318</v>
      </c>
      <c r="BG1287" s="29" t="s">
        <v>572</v>
      </c>
      <c r="BH1287" s="29" t="s">
        <v>92</v>
      </c>
      <c r="BI1287" s="29" t="s">
        <v>2319</v>
      </c>
      <c r="BJ1287" s="29" t="s">
        <v>2320</v>
      </c>
      <c r="BK1287" s="29" t="s">
        <v>180</v>
      </c>
      <c r="BL1287" s="29" t="s">
        <v>180</v>
      </c>
      <c r="BM1287" s="45"/>
      <c r="BN1287" s="45"/>
      <c r="BO1287" s="46"/>
      <c r="BP1287" s="2"/>
      <c r="BQ1287" s="3"/>
    </row>
    <row r="1288" ht="15.75" customHeight="1">
      <c r="A1288" s="34">
        <v>1306.0</v>
      </c>
      <c r="B1288" s="34">
        <v>203547.0</v>
      </c>
      <c r="C1288" s="34" t="s">
        <v>832</v>
      </c>
      <c r="D1288" s="34" t="s">
        <v>2308</v>
      </c>
      <c r="E1288" s="34" t="s">
        <v>2309</v>
      </c>
      <c r="F1288" s="34">
        <v>2021.0</v>
      </c>
      <c r="G1288" s="34" t="s">
        <v>2310</v>
      </c>
      <c r="H1288" s="34" t="s">
        <v>816</v>
      </c>
      <c r="I1288" s="34" t="s">
        <v>2311</v>
      </c>
      <c r="J1288" s="35"/>
      <c r="K1288" s="36"/>
      <c r="L1288" s="36"/>
      <c r="M1288" s="36"/>
      <c r="N1288" s="36"/>
      <c r="O1288" s="36"/>
      <c r="P1288" s="37">
        <v>8.8</v>
      </c>
      <c r="Q1288" s="36" t="s">
        <v>96</v>
      </c>
      <c r="R1288" s="36" t="s">
        <v>96</v>
      </c>
      <c r="S1288" s="36">
        <v>30.0</v>
      </c>
      <c r="T1288" s="36" t="s">
        <v>2327</v>
      </c>
      <c r="U1288" s="36" t="s">
        <v>2328</v>
      </c>
      <c r="V1288" s="36">
        <v>14.0</v>
      </c>
      <c r="W1288" s="36" t="s">
        <v>2340</v>
      </c>
      <c r="X1288" s="38">
        <v>1.0</v>
      </c>
      <c r="Y1288" s="38" t="s">
        <v>2331</v>
      </c>
      <c r="Z1288" s="38" t="s">
        <v>2332</v>
      </c>
      <c r="AA1288" s="38" t="s">
        <v>86</v>
      </c>
      <c r="AB1288" s="38">
        <v>46.49777778</v>
      </c>
      <c r="AC1288" s="38">
        <v>-116.80472222</v>
      </c>
      <c r="AD1288" s="39" t="s">
        <v>87</v>
      </c>
      <c r="AE1288" s="53"/>
      <c r="AF1288" s="38" t="s">
        <v>2316</v>
      </c>
      <c r="AG1288" s="57"/>
      <c r="AH1288" s="38"/>
      <c r="AI1288" s="50">
        <v>46.49777778</v>
      </c>
      <c r="AJ1288" s="50">
        <v>-116.80472222</v>
      </c>
      <c r="AK1288" s="41" t="s">
        <v>86</v>
      </c>
      <c r="AL1288" s="40" t="s">
        <v>86</v>
      </c>
      <c r="AM1288" s="49">
        <v>728.0</v>
      </c>
      <c r="AN1288" s="51">
        <v>728.0</v>
      </c>
      <c r="AO1288" s="42" t="s">
        <v>293</v>
      </c>
      <c r="AP1288" s="43" t="s">
        <v>293</v>
      </c>
      <c r="AQ1288" s="44" t="str">
        <f t="shared" si="147"/>
        <v>CRO</v>
      </c>
      <c r="AR1288" s="44">
        <f t="shared" si="144"/>
        <v>728</v>
      </c>
      <c r="AS1288" s="44" t="str">
        <f t="shared" si="150"/>
        <v>B</v>
      </c>
      <c r="AT1288" s="44" t="str">
        <f t="shared" si="114"/>
        <v>BS</v>
      </c>
      <c r="AU1288" s="44" t="str">
        <f t="shared" si="115"/>
        <v>BSk</v>
      </c>
      <c r="AV1288" s="38"/>
      <c r="AW1288" s="38"/>
      <c r="AX1288" s="38"/>
      <c r="AY1288" s="38" t="s">
        <v>2317</v>
      </c>
      <c r="AZ1288" s="29">
        <v>30.0</v>
      </c>
      <c r="BA1288" s="29">
        <v>1.0</v>
      </c>
      <c r="BB1288" s="29">
        <v>1.0</v>
      </c>
      <c r="BC1288" s="29"/>
      <c r="BD1288" s="29" t="s">
        <v>88</v>
      </c>
      <c r="BE1288" s="29" t="s">
        <v>263</v>
      </c>
      <c r="BF1288" s="29" t="s">
        <v>2318</v>
      </c>
      <c r="BG1288" s="29" t="s">
        <v>572</v>
      </c>
      <c r="BH1288" s="29" t="s">
        <v>92</v>
      </c>
      <c r="BI1288" s="29" t="s">
        <v>2319</v>
      </c>
      <c r="BJ1288" s="29" t="s">
        <v>2320</v>
      </c>
      <c r="BK1288" s="29" t="s">
        <v>180</v>
      </c>
      <c r="BL1288" s="29" t="s">
        <v>180</v>
      </c>
      <c r="BM1288" s="45"/>
      <c r="BN1288" s="45"/>
      <c r="BO1288" s="46"/>
      <c r="BP1288" s="2"/>
      <c r="BQ1288" s="3"/>
    </row>
    <row r="1289" ht="15.75" customHeight="1">
      <c r="A1289" s="34">
        <v>1307.0</v>
      </c>
      <c r="B1289" s="34">
        <v>203547.0</v>
      </c>
      <c r="C1289" s="34" t="s">
        <v>832</v>
      </c>
      <c r="D1289" s="34" t="s">
        <v>2308</v>
      </c>
      <c r="E1289" s="34" t="s">
        <v>2309</v>
      </c>
      <c r="F1289" s="34">
        <v>2021.0</v>
      </c>
      <c r="G1289" s="34" t="s">
        <v>2310</v>
      </c>
      <c r="H1289" s="34" t="s">
        <v>816</v>
      </c>
      <c r="I1289" s="34" t="s">
        <v>2311</v>
      </c>
      <c r="J1289" s="35"/>
      <c r="K1289" s="36"/>
      <c r="L1289" s="36"/>
      <c r="M1289" s="36"/>
      <c r="N1289" s="36"/>
      <c r="O1289" s="36"/>
      <c r="P1289" s="37">
        <v>0.6</v>
      </c>
      <c r="Q1289" s="36" t="s">
        <v>96</v>
      </c>
      <c r="R1289" s="36" t="s">
        <v>96</v>
      </c>
      <c r="S1289" s="36">
        <v>30.0</v>
      </c>
      <c r="T1289" s="36" t="s">
        <v>2327</v>
      </c>
      <c r="U1289" s="36" t="s">
        <v>2328</v>
      </c>
      <c r="V1289" s="36">
        <v>14.0</v>
      </c>
      <c r="W1289" s="36" t="s">
        <v>2340</v>
      </c>
      <c r="X1289" s="38">
        <v>1.0</v>
      </c>
      <c r="Y1289" s="38" t="s">
        <v>2333</v>
      </c>
      <c r="Z1289" s="38" t="s">
        <v>2334</v>
      </c>
      <c r="AA1289" s="38" t="s">
        <v>86</v>
      </c>
      <c r="AB1289" s="38">
        <v>46.495</v>
      </c>
      <c r="AC1289" s="38">
        <v>-116.8022222</v>
      </c>
      <c r="AD1289" s="39" t="s">
        <v>87</v>
      </c>
      <c r="AE1289" s="53"/>
      <c r="AF1289" s="38" t="s">
        <v>2316</v>
      </c>
      <c r="AG1289" s="57"/>
      <c r="AH1289" s="38"/>
      <c r="AI1289" s="50">
        <v>46.495</v>
      </c>
      <c r="AJ1289" s="50">
        <v>-116.8022222</v>
      </c>
      <c r="AK1289" s="41" t="s">
        <v>86</v>
      </c>
      <c r="AL1289" s="40" t="s">
        <v>86</v>
      </c>
      <c r="AM1289" s="49">
        <v>712.0</v>
      </c>
      <c r="AN1289" s="51">
        <v>712.0</v>
      </c>
      <c r="AO1289" s="42" t="s">
        <v>293</v>
      </c>
      <c r="AP1289" s="43" t="s">
        <v>293</v>
      </c>
      <c r="AQ1289" s="44" t="str">
        <f t="shared" si="147"/>
        <v>CRO</v>
      </c>
      <c r="AR1289" s="44">
        <f t="shared" si="144"/>
        <v>712</v>
      </c>
      <c r="AS1289" s="44" t="str">
        <f t="shared" si="150"/>
        <v>B</v>
      </c>
      <c r="AT1289" s="44" t="str">
        <f t="shared" si="114"/>
        <v>BS</v>
      </c>
      <c r="AU1289" s="44" t="str">
        <f t="shared" si="115"/>
        <v>BSk</v>
      </c>
      <c r="AV1289" s="38"/>
      <c r="AW1289" s="38"/>
      <c r="AX1289" s="38"/>
      <c r="AY1289" s="38" t="s">
        <v>2317</v>
      </c>
      <c r="AZ1289" s="29">
        <v>30.0</v>
      </c>
      <c r="BA1289" s="29">
        <v>1.0</v>
      </c>
      <c r="BB1289" s="29">
        <v>1.0</v>
      </c>
      <c r="BC1289" s="29"/>
      <c r="BD1289" s="29" t="s">
        <v>88</v>
      </c>
      <c r="BE1289" s="29" t="s">
        <v>263</v>
      </c>
      <c r="BF1289" s="29" t="s">
        <v>2318</v>
      </c>
      <c r="BG1289" s="29" t="s">
        <v>572</v>
      </c>
      <c r="BH1289" s="29" t="s">
        <v>92</v>
      </c>
      <c r="BI1289" s="29" t="s">
        <v>2319</v>
      </c>
      <c r="BJ1289" s="29" t="s">
        <v>2320</v>
      </c>
      <c r="BK1289" s="29" t="s">
        <v>180</v>
      </c>
      <c r="BL1289" s="29" t="s">
        <v>180</v>
      </c>
      <c r="BM1289" s="45"/>
      <c r="BN1289" s="45"/>
      <c r="BO1289" s="46"/>
      <c r="BP1289" s="2"/>
      <c r="BQ1289" s="3"/>
    </row>
    <row r="1290" ht="15.75" customHeight="1">
      <c r="A1290" s="34">
        <v>1308.0</v>
      </c>
      <c r="B1290" s="34">
        <v>203547.0</v>
      </c>
      <c r="C1290" s="34" t="s">
        <v>832</v>
      </c>
      <c r="D1290" s="34" t="s">
        <v>2308</v>
      </c>
      <c r="E1290" s="34" t="s">
        <v>2309</v>
      </c>
      <c r="F1290" s="34">
        <v>2021.0</v>
      </c>
      <c r="G1290" s="34" t="s">
        <v>2310</v>
      </c>
      <c r="H1290" s="34" t="s">
        <v>816</v>
      </c>
      <c r="I1290" s="34" t="s">
        <v>2311</v>
      </c>
      <c r="J1290" s="35"/>
      <c r="K1290" s="36"/>
      <c r="L1290" s="36"/>
      <c r="M1290" s="36"/>
      <c r="N1290" s="36"/>
      <c r="O1290" s="36"/>
      <c r="P1290" s="37">
        <v>-14.7</v>
      </c>
      <c r="Q1290" s="36" t="s">
        <v>96</v>
      </c>
      <c r="R1290" s="36" t="s">
        <v>96</v>
      </c>
      <c r="S1290" s="36">
        <v>30.0</v>
      </c>
      <c r="T1290" s="36" t="s">
        <v>2335</v>
      </c>
      <c r="U1290" s="36" t="s">
        <v>2336</v>
      </c>
      <c r="V1290" s="36">
        <v>9.0</v>
      </c>
      <c r="W1290" s="36" t="s">
        <v>2340</v>
      </c>
      <c r="X1290" s="38">
        <v>1.0</v>
      </c>
      <c r="Y1290" s="38" t="s">
        <v>2322</v>
      </c>
      <c r="Z1290" s="38" t="s">
        <v>2323</v>
      </c>
      <c r="AA1290" s="38" t="s">
        <v>86</v>
      </c>
      <c r="AB1290" s="38">
        <v>47.1225</v>
      </c>
      <c r="AC1290" s="38">
        <v>-117.527222</v>
      </c>
      <c r="AD1290" s="39" t="s">
        <v>87</v>
      </c>
      <c r="AE1290" s="38">
        <v>664.0</v>
      </c>
      <c r="AF1290" s="38" t="s">
        <v>2324</v>
      </c>
      <c r="AG1290" s="38" t="s">
        <v>445</v>
      </c>
      <c r="AH1290" s="38"/>
      <c r="AI1290" s="50">
        <v>47.1225</v>
      </c>
      <c r="AJ1290" s="50">
        <v>-117.527222</v>
      </c>
      <c r="AK1290" s="41" t="s">
        <v>86</v>
      </c>
      <c r="AL1290" s="40" t="s">
        <v>86</v>
      </c>
      <c r="AM1290" s="49">
        <v>661.0</v>
      </c>
      <c r="AN1290" s="51">
        <v>661.0</v>
      </c>
      <c r="AO1290" s="42" t="s">
        <v>293</v>
      </c>
      <c r="AP1290" s="43" t="s">
        <v>293</v>
      </c>
      <c r="AQ1290" s="44" t="str">
        <f t="shared" si="147"/>
        <v>CRO</v>
      </c>
      <c r="AR1290" s="44">
        <f t="shared" si="144"/>
        <v>661</v>
      </c>
      <c r="AS1290" s="44" t="str">
        <f t="shared" si="150"/>
        <v>B</v>
      </c>
      <c r="AT1290" s="44" t="str">
        <f t="shared" si="114"/>
        <v>BS</v>
      </c>
      <c r="AU1290" s="44" t="str">
        <f t="shared" si="115"/>
        <v>BSk</v>
      </c>
      <c r="AV1290" s="38"/>
      <c r="AW1290" s="38"/>
      <c r="AX1290" s="38"/>
      <c r="AY1290" s="38" t="s">
        <v>2317</v>
      </c>
      <c r="AZ1290" s="29">
        <v>30.0</v>
      </c>
      <c r="BA1290" s="29">
        <v>1.0</v>
      </c>
      <c r="BB1290" s="29">
        <v>1.0</v>
      </c>
      <c r="BC1290" s="29"/>
      <c r="BD1290" s="29" t="s">
        <v>88</v>
      </c>
      <c r="BE1290" s="29" t="s">
        <v>263</v>
      </c>
      <c r="BF1290" s="29" t="s">
        <v>2318</v>
      </c>
      <c r="BG1290" s="29" t="s">
        <v>572</v>
      </c>
      <c r="BH1290" s="29" t="s">
        <v>92</v>
      </c>
      <c r="BI1290" s="29" t="s">
        <v>2319</v>
      </c>
      <c r="BJ1290" s="29" t="s">
        <v>2320</v>
      </c>
      <c r="BK1290" s="29" t="s">
        <v>180</v>
      </c>
      <c r="BL1290" s="29" t="s">
        <v>180</v>
      </c>
      <c r="BM1290" s="45"/>
      <c r="BN1290" s="45"/>
      <c r="BO1290" s="46"/>
      <c r="BP1290" s="2"/>
      <c r="BQ1290" s="3"/>
    </row>
    <row r="1291" ht="15.75" customHeight="1">
      <c r="A1291" s="34">
        <v>1309.0</v>
      </c>
      <c r="B1291" s="34">
        <v>203547.0</v>
      </c>
      <c r="C1291" s="34" t="s">
        <v>832</v>
      </c>
      <c r="D1291" s="34" t="s">
        <v>2308</v>
      </c>
      <c r="E1291" s="34" t="s">
        <v>2309</v>
      </c>
      <c r="F1291" s="34">
        <v>2021.0</v>
      </c>
      <c r="G1291" s="34" t="s">
        <v>2310</v>
      </c>
      <c r="H1291" s="34" t="s">
        <v>816</v>
      </c>
      <c r="I1291" s="34" t="s">
        <v>2311</v>
      </c>
      <c r="J1291" s="35"/>
      <c r="K1291" s="36"/>
      <c r="L1291" s="36"/>
      <c r="M1291" s="36"/>
      <c r="N1291" s="36"/>
      <c r="O1291" s="36"/>
      <c r="P1291" s="37">
        <v>-20.7</v>
      </c>
      <c r="Q1291" s="36" t="s">
        <v>96</v>
      </c>
      <c r="R1291" s="36" t="s">
        <v>96</v>
      </c>
      <c r="S1291" s="36">
        <v>30.0</v>
      </c>
      <c r="T1291" s="36" t="s">
        <v>2337</v>
      </c>
      <c r="U1291" s="36" t="s">
        <v>2338</v>
      </c>
      <c r="V1291" s="36">
        <v>15.0</v>
      </c>
      <c r="W1291" s="36" t="s">
        <v>2340</v>
      </c>
      <c r="X1291" s="38">
        <v>1.0</v>
      </c>
      <c r="Y1291" s="38" t="s">
        <v>2329</v>
      </c>
      <c r="Z1291" s="38" t="s">
        <v>2330</v>
      </c>
      <c r="AA1291" s="38" t="s">
        <v>86</v>
      </c>
      <c r="AB1291" s="38">
        <v>46.500833333</v>
      </c>
      <c r="AC1291" s="38">
        <v>-116.8066667</v>
      </c>
      <c r="AD1291" s="39" t="s">
        <v>87</v>
      </c>
      <c r="AE1291" s="53"/>
      <c r="AF1291" s="38" t="s">
        <v>2316</v>
      </c>
      <c r="AG1291" s="57"/>
      <c r="AH1291" s="38"/>
      <c r="AI1291" s="50">
        <v>46.500833333</v>
      </c>
      <c r="AJ1291" s="50">
        <v>-116.8066667</v>
      </c>
      <c r="AK1291" s="41" t="s">
        <v>86</v>
      </c>
      <c r="AL1291" s="40" t="s">
        <v>86</v>
      </c>
      <c r="AM1291" s="49">
        <v>742.0</v>
      </c>
      <c r="AN1291" s="51">
        <v>742.0</v>
      </c>
      <c r="AO1291" s="42" t="s">
        <v>293</v>
      </c>
      <c r="AP1291" s="43" t="s">
        <v>321</v>
      </c>
      <c r="AQ1291" s="44" t="str">
        <f t="shared" si="147"/>
        <v>CRO</v>
      </c>
      <c r="AR1291" s="44">
        <f t="shared" si="144"/>
        <v>742</v>
      </c>
      <c r="AS1291" s="44" t="str">
        <f t="shared" si="150"/>
        <v>B</v>
      </c>
      <c r="AT1291" s="44" t="str">
        <f t="shared" si="114"/>
        <v>Ds</v>
      </c>
      <c r="AU1291" s="44" t="str">
        <f t="shared" si="115"/>
        <v>Dsb</v>
      </c>
      <c r="AV1291" s="38"/>
      <c r="AW1291" s="38"/>
      <c r="AX1291" s="38"/>
      <c r="AY1291" s="38" t="s">
        <v>2317</v>
      </c>
      <c r="AZ1291" s="29">
        <v>30.0</v>
      </c>
      <c r="BA1291" s="29">
        <v>1.0</v>
      </c>
      <c r="BB1291" s="29">
        <v>1.0</v>
      </c>
      <c r="BC1291" s="29"/>
      <c r="BD1291" s="29" t="s">
        <v>88</v>
      </c>
      <c r="BE1291" s="29" t="s">
        <v>263</v>
      </c>
      <c r="BF1291" s="29" t="s">
        <v>2318</v>
      </c>
      <c r="BG1291" s="29" t="s">
        <v>572</v>
      </c>
      <c r="BH1291" s="29" t="s">
        <v>92</v>
      </c>
      <c r="BI1291" s="29" t="s">
        <v>2319</v>
      </c>
      <c r="BJ1291" s="29" t="s">
        <v>2320</v>
      </c>
      <c r="BK1291" s="29" t="s">
        <v>180</v>
      </c>
      <c r="BL1291" s="29" t="s">
        <v>180</v>
      </c>
      <c r="BM1291" s="45"/>
      <c r="BN1291" s="45"/>
      <c r="BO1291" s="46"/>
      <c r="BP1291" s="2"/>
      <c r="BQ1291" s="3"/>
    </row>
    <row r="1292" ht="15.75" customHeight="1">
      <c r="A1292" s="34">
        <v>1310.0</v>
      </c>
      <c r="B1292" s="34">
        <v>203547.0</v>
      </c>
      <c r="C1292" s="34" t="s">
        <v>832</v>
      </c>
      <c r="D1292" s="34" t="s">
        <v>2308</v>
      </c>
      <c r="E1292" s="34" t="s">
        <v>2309</v>
      </c>
      <c r="F1292" s="34">
        <v>2021.0</v>
      </c>
      <c r="G1292" s="34" t="s">
        <v>2310</v>
      </c>
      <c r="H1292" s="34" t="s">
        <v>816</v>
      </c>
      <c r="I1292" s="34" t="s">
        <v>2311</v>
      </c>
      <c r="J1292" s="35"/>
      <c r="K1292" s="36"/>
      <c r="L1292" s="36"/>
      <c r="M1292" s="36"/>
      <c r="N1292" s="36"/>
      <c r="O1292" s="36"/>
      <c r="P1292" s="37">
        <v>3.5</v>
      </c>
      <c r="Q1292" s="36" t="s">
        <v>96</v>
      </c>
      <c r="R1292" s="36" t="s">
        <v>96</v>
      </c>
      <c r="S1292" s="36">
        <v>30.0</v>
      </c>
      <c r="T1292" s="36" t="s">
        <v>2337</v>
      </c>
      <c r="U1292" s="36" t="s">
        <v>2338</v>
      </c>
      <c r="V1292" s="36">
        <v>15.0</v>
      </c>
      <c r="W1292" s="36" t="s">
        <v>2340</v>
      </c>
      <c r="X1292" s="38">
        <v>1.0</v>
      </c>
      <c r="Y1292" s="38" t="s">
        <v>2331</v>
      </c>
      <c r="Z1292" s="38" t="s">
        <v>2332</v>
      </c>
      <c r="AA1292" s="38" t="s">
        <v>86</v>
      </c>
      <c r="AB1292" s="38">
        <v>46.49777778</v>
      </c>
      <c r="AC1292" s="38">
        <v>-116.80472222</v>
      </c>
      <c r="AD1292" s="39" t="s">
        <v>87</v>
      </c>
      <c r="AE1292" s="53"/>
      <c r="AF1292" s="38" t="s">
        <v>2316</v>
      </c>
      <c r="AG1292" s="57"/>
      <c r="AH1292" s="38"/>
      <c r="AI1292" s="50">
        <v>46.49777778</v>
      </c>
      <c r="AJ1292" s="50">
        <v>-116.80472222</v>
      </c>
      <c r="AK1292" s="41" t="s">
        <v>86</v>
      </c>
      <c r="AL1292" s="40" t="s">
        <v>86</v>
      </c>
      <c r="AM1292" s="49">
        <v>728.0</v>
      </c>
      <c r="AN1292" s="51">
        <v>728.0</v>
      </c>
      <c r="AO1292" s="42" t="s">
        <v>293</v>
      </c>
      <c r="AP1292" s="43" t="s">
        <v>293</v>
      </c>
      <c r="AQ1292" s="44" t="str">
        <f t="shared" si="147"/>
        <v>CRO</v>
      </c>
      <c r="AR1292" s="44">
        <f t="shared" si="144"/>
        <v>728</v>
      </c>
      <c r="AS1292" s="44" t="str">
        <f t="shared" si="150"/>
        <v>B</v>
      </c>
      <c r="AT1292" s="44" t="str">
        <f t="shared" si="114"/>
        <v>BS</v>
      </c>
      <c r="AU1292" s="44" t="str">
        <f t="shared" si="115"/>
        <v>BSk</v>
      </c>
      <c r="AV1292" s="38"/>
      <c r="AW1292" s="38"/>
      <c r="AX1292" s="38"/>
      <c r="AY1292" s="38" t="s">
        <v>2317</v>
      </c>
      <c r="AZ1292" s="29">
        <v>30.0</v>
      </c>
      <c r="BA1292" s="29">
        <v>1.0</v>
      </c>
      <c r="BB1292" s="29">
        <v>1.0</v>
      </c>
      <c r="BC1292" s="29"/>
      <c r="BD1292" s="29" t="s">
        <v>88</v>
      </c>
      <c r="BE1292" s="29" t="s">
        <v>263</v>
      </c>
      <c r="BF1292" s="29" t="s">
        <v>2318</v>
      </c>
      <c r="BG1292" s="29" t="s">
        <v>572</v>
      </c>
      <c r="BH1292" s="29" t="s">
        <v>92</v>
      </c>
      <c r="BI1292" s="29" t="s">
        <v>2319</v>
      </c>
      <c r="BJ1292" s="29" t="s">
        <v>2320</v>
      </c>
      <c r="BK1292" s="29" t="s">
        <v>180</v>
      </c>
      <c r="BL1292" s="29" t="s">
        <v>180</v>
      </c>
      <c r="BM1292" s="45"/>
      <c r="BN1292" s="45"/>
      <c r="BO1292" s="46"/>
      <c r="BP1292" s="2"/>
      <c r="BQ1292" s="3"/>
    </row>
    <row r="1293" ht="15.75" customHeight="1">
      <c r="A1293" s="34">
        <v>1311.0</v>
      </c>
      <c r="B1293" s="34">
        <v>203547.0</v>
      </c>
      <c r="C1293" s="34" t="s">
        <v>832</v>
      </c>
      <c r="D1293" s="34" t="s">
        <v>2308</v>
      </c>
      <c r="E1293" s="34" t="s">
        <v>2309</v>
      </c>
      <c r="F1293" s="34">
        <v>2021.0</v>
      </c>
      <c r="G1293" s="34" t="s">
        <v>2310</v>
      </c>
      <c r="H1293" s="34" t="s">
        <v>816</v>
      </c>
      <c r="I1293" s="34" t="s">
        <v>2311</v>
      </c>
      <c r="J1293" s="35"/>
      <c r="K1293" s="36"/>
      <c r="L1293" s="36"/>
      <c r="M1293" s="36"/>
      <c r="N1293" s="36"/>
      <c r="O1293" s="36"/>
      <c r="P1293" s="37">
        <v>35.4</v>
      </c>
      <c r="Q1293" s="36" t="s">
        <v>96</v>
      </c>
      <c r="R1293" s="36" t="s">
        <v>96</v>
      </c>
      <c r="S1293" s="36">
        <v>30.0</v>
      </c>
      <c r="T1293" s="36" t="s">
        <v>2312</v>
      </c>
      <c r="U1293" s="36" t="s">
        <v>2313</v>
      </c>
      <c r="V1293" s="36">
        <v>9.0</v>
      </c>
      <c r="W1293" s="36" t="s">
        <v>2340</v>
      </c>
      <c r="X1293" s="38">
        <v>1.0</v>
      </c>
      <c r="Y1293" s="38" t="s">
        <v>2314</v>
      </c>
      <c r="Z1293" s="38" t="s">
        <v>2315</v>
      </c>
      <c r="AA1293" s="38" t="s">
        <v>86</v>
      </c>
      <c r="AB1293" s="38">
        <v>47.124444</v>
      </c>
      <c r="AC1293" s="38">
        <v>-117.53055556</v>
      </c>
      <c r="AD1293" s="39" t="s">
        <v>87</v>
      </c>
      <c r="AE1293" s="38">
        <v>657.0</v>
      </c>
      <c r="AF1293" s="38" t="s">
        <v>2316</v>
      </c>
      <c r="AG1293" s="38" t="s">
        <v>445</v>
      </c>
      <c r="AH1293" s="38"/>
      <c r="AI1293" s="50">
        <v>47.124444</v>
      </c>
      <c r="AJ1293" s="50">
        <v>-117.53055556</v>
      </c>
      <c r="AK1293" s="41" t="s">
        <v>86</v>
      </c>
      <c r="AL1293" s="40" t="s">
        <v>86</v>
      </c>
      <c r="AM1293" s="49">
        <v>657.0</v>
      </c>
      <c r="AN1293" s="51">
        <v>657.0</v>
      </c>
      <c r="AO1293" s="42" t="s">
        <v>293</v>
      </c>
      <c r="AP1293" s="43" t="s">
        <v>293</v>
      </c>
      <c r="AQ1293" s="44" t="str">
        <f t="shared" si="147"/>
        <v>CRO</v>
      </c>
      <c r="AR1293" s="44">
        <f t="shared" si="144"/>
        <v>657</v>
      </c>
      <c r="AS1293" s="44" t="str">
        <f t="shared" si="150"/>
        <v>B</v>
      </c>
      <c r="AT1293" s="44" t="str">
        <f t="shared" si="114"/>
        <v>BS</v>
      </c>
      <c r="AU1293" s="44" t="str">
        <f t="shared" si="115"/>
        <v>BSk</v>
      </c>
      <c r="AV1293" s="38"/>
      <c r="AW1293" s="38"/>
      <c r="AX1293" s="38"/>
      <c r="AY1293" s="38" t="s">
        <v>2317</v>
      </c>
      <c r="AZ1293" s="29">
        <v>30.0</v>
      </c>
      <c r="BA1293" s="29">
        <v>1.0</v>
      </c>
      <c r="BB1293" s="29">
        <v>1.0</v>
      </c>
      <c r="BC1293" s="29"/>
      <c r="BD1293" s="29" t="s">
        <v>88</v>
      </c>
      <c r="BE1293" s="29" t="s">
        <v>89</v>
      </c>
      <c r="BF1293" s="29" t="s">
        <v>2339</v>
      </c>
      <c r="BG1293" s="29" t="s">
        <v>572</v>
      </c>
      <c r="BH1293" s="29" t="s">
        <v>92</v>
      </c>
      <c r="BI1293" s="29" t="s">
        <v>2319</v>
      </c>
      <c r="BJ1293" s="29" t="s">
        <v>2320</v>
      </c>
      <c r="BK1293" s="29" t="s">
        <v>180</v>
      </c>
      <c r="BL1293" s="29" t="s">
        <v>180</v>
      </c>
      <c r="BM1293" s="45"/>
      <c r="BN1293" s="45">
        <v>1.0</v>
      </c>
      <c r="BO1293" s="46" t="s">
        <v>2321</v>
      </c>
      <c r="BP1293" s="2"/>
      <c r="BQ1293" s="3"/>
    </row>
    <row r="1294" ht="15.75" customHeight="1">
      <c r="A1294" s="34">
        <v>1312.0</v>
      </c>
      <c r="B1294" s="34">
        <v>203547.0</v>
      </c>
      <c r="C1294" s="34" t="s">
        <v>832</v>
      </c>
      <c r="D1294" s="34" t="s">
        <v>2308</v>
      </c>
      <c r="E1294" s="34" t="s">
        <v>2309</v>
      </c>
      <c r="F1294" s="34">
        <v>2021.0</v>
      </c>
      <c r="G1294" s="34" t="s">
        <v>2310</v>
      </c>
      <c r="H1294" s="34" t="s">
        <v>816</v>
      </c>
      <c r="I1294" s="34" t="s">
        <v>2311</v>
      </c>
      <c r="J1294" s="35"/>
      <c r="K1294" s="36"/>
      <c r="L1294" s="36"/>
      <c r="M1294" s="36"/>
      <c r="N1294" s="36"/>
      <c r="O1294" s="36"/>
      <c r="P1294" s="37">
        <v>43.2</v>
      </c>
      <c r="Q1294" s="36" t="s">
        <v>96</v>
      </c>
      <c r="R1294" s="36" t="s">
        <v>96</v>
      </c>
      <c r="S1294" s="36">
        <v>30.0</v>
      </c>
      <c r="T1294" s="36" t="s">
        <v>2312</v>
      </c>
      <c r="U1294" s="36" t="s">
        <v>2313</v>
      </c>
      <c r="V1294" s="36">
        <v>9.0</v>
      </c>
      <c r="W1294" s="36" t="s">
        <v>2340</v>
      </c>
      <c r="X1294" s="38">
        <v>1.0</v>
      </c>
      <c r="Y1294" s="38" t="s">
        <v>2322</v>
      </c>
      <c r="Z1294" s="38" t="s">
        <v>2323</v>
      </c>
      <c r="AA1294" s="38" t="s">
        <v>86</v>
      </c>
      <c r="AB1294" s="38">
        <v>47.1225</v>
      </c>
      <c r="AC1294" s="38">
        <v>-117.527222</v>
      </c>
      <c r="AD1294" s="39" t="s">
        <v>87</v>
      </c>
      <c r="AE1294" s="38">
        <v>664.0</v>
      </c>
      <c r="AF1294" s="38" t="s">
        <v>2324</v>
      </c>
      <c r="AG1294" s="38" t="s">
        <v>445</v>
      </c>
      <c r="AH1294" s="38"/>
      <c r="AI1294" s="50">
        <v>47.1225</v>
      </c>
      <c r="AJ1294" s="50">
        <v>-117.527222</v>
      </c>
      <c r="AK1294" s="41" t="s">
        <v>86</v>
      </c>
      <c r="AL1294" s="40" t="s">
        <v>86</v>
      </c>
      <c r="AM1294" s="49">
        <v>661.0</v>
      </c>
      <c r="AN1294" s="51">
        <v>661.0</v>
      </c>
      <c r="AO1294" s="42" t="s">
        <v>293</v>
      </c>
      <c r="AP1294" s="43" t="s">
        <v>293</v>
      </c>
      <c r="AQ1294" s="44" t="str">
        <f t="shared" si="147"/>
        <v>CRO</v>
      </c>
      <c r="AR1294" s="44">
        <f t="shared" si="144"/>
        <v>661</v>
      </c>
      <c r="AS1294" s="44" t="str">
        <f t="shared" si="150"/>
        <v>B</v>
      </c>
      <c r="AT1294" s="44" t="str">
        <f t="shared" si="114"/>
        <v>BS</v>
      </c>
      <c r="AU1294" s="44" t="str">
        <f t="shared" si="115"/>
        <v>BSk</v>
      </c>
      <c r="AV1294" s="38"/>
      <c r="AW1294" s="38"/>
      <c r="AX1294" s="38"/>
      <c r="AY1294" s="38" t="s">
        <v>2317</v>
      </c>
      <c r="AZ1294" s="29">
        <v>30.0</v>
      </c>
      <c r="BA1294" s="29">
        <v>1.0</v>
      </c>
      <c r="BB1294" s="29">
        <v>1.0</v>
      </c>
      <c r="BC1294" s="29"/>
      <c r="BD1294" s="29" t="s">
        <v>88</v>
      </c>
      <c r="BE1294" s="29" t="s">
        <v>89</v>
      </c>
      <c r="BF1294" s="29" t="s">
        <v>2339</v>
      </c>
      <c r="BG1294" s="29" t="s">
        <v>572</v>
      </c>
      <c r="BH1294" s="29" t="s">
        <v>92</v>
      </c>
      <c r="BI1294" s="29" t="s">
        <v>2319</v>
      </c>
      <c r="BJ1294" s="29" t="s">
        <v>2320</v>
      </c>
      <c r="BK1294" s="29" t="s">
        <v>180</v>
      </c>
      <c r="BL1294" s="29" t="s">
        <v>180</v>
      </c>
      <c r="BM1294" s="45"/>
      <c r="BN1294" s="45"/>
      <c r="BO1294" s="46"/>
      <c r="BP1294" s="2"/>
      <c r="BQ1294" s="3"/>
    </row>
    <row r="1295" ht="15.75" customHeight="1">
      <c r="A1295" s="34">
        <v>1313.0</v>
      </c>
      <c r="B1295" s="34">
        <v>203547.0</v>
      </c>
      <c r="C1295" s="34" t="s">
        <v>832</v>
      </c>
      <c r="D1295" s="34" t="s">
        <v>2308</v>
      </c>
      <c r="E1295" s="34" t="s">
        <v>2309</v>
      </c>
      <c r="F1295" s="34">
        <v>2021.0</v>
      </c>
      <c r="G1295" s="34" t="s">
        <v>2310</v>
      </c>
      <c r="H1295" s="34" t="s">
        <v>816</v>
      </c>
      <c r="I1295" s="34" t="s">
        <v>2311</v>
      </c>
      <c r="J1295" s="35"/>
      <c r="K1295" s="36"/>
      <c r="L1295" s="36"/>
      <c r="M1295" s="36"/>
      <c r="N1295" s="36"/>
      <c r="O1295" s="36"/>
      <c r="P1295" s="37">
        <v>49.2</v>
      </c>
      <c r="Q1295" s="36" t="s">
        <v>96</v>
      </c>
      <c r="R1295" s="36" t="s">
        <v>96</v>
      </c>
      <c r="S1295" s="36">
        <v>30.0</v>
      </c>
      <c r="T1295" s="36" t="s">
        <v>2312</v>
      </c>
      <c r="U1295" s="36" t="s">
        <v>2313</v>
      </c>
      <c r="V1295" s="36">
        <v>9.0</v>
      </c>
      <c r="W1295" s="36" t="s">
        <v>2340</v>
      </c>
      <c r="X1295" s="38">
        <v>1.0</v>
      </c>
      <c r="Y1295" s="38" t="s">
        <v>2325</v>
      </c>
      <c r="Z1295" s="38" t="s">
        <v>2326</v>
      </c>
      <c r="AA1295" s="38" t="s">
        <v>86</v>
      </c>
      <c r="AB1295" s="38">
        <v>47.12611111</v>
      </c>
      <c r="AC1295" s="38">
        <v>-117.5261111</v>
      </c>
      <c r="AD1295" s="39" t="s">
        <v>87</v>
      </c>
      <c r="AE1295" s="38">
        <v>687.0</v>
      </c>
      <c r="AF1295" s="38" t="s">
        <v>2316</v>
      </c>
      <c r="AG1295" s="38" t="s">
        <v>445</v>
      </c>
      <c r="AH1295" s="38"/>
      <c r="AI1295" s="50">
        <v>47.12611111</v>
      </c>
      <c r="AJ1295" s="50">
        <v>-117.5261111</v>
      </c>
      <c r="AK1295" s="41" t="s">
        <v>86</v>
      </c>
      <c r="AL1295" s="40" t="s">
        <v>86</v>
      </c>
      <c r="AM1295" s="49">
        <v>686.0</v>
      </c>
      <c r="AN1295" s="51">
        <v>686.0</v>
      </c>
      <c r="AO1295" s="42" t="s">
        <v>293</v>
      </c>
      <c r="AP1295" s="43" t="s">
        <v>293</v>
      </c>
      <c r="AQ1295" s="44" t="str">
        <f t="shared" si="147"/>
        <v>CRO</v>
      </c>
      <c r="AR1295" s="44">
        <f t="shared" si="144"/>
        <v>686</v>
      </c>
      <c r="AS1295" s="44" t="str">
        <f t="shared" si="150"/>
        <v>B</v>
      </c>
      <c r="AT1295" s="44" t="str">
        <f t="shared" si="114"/>
        <v>BS</v>
      </c>
      <c r="AU1295" s="44" t="str">
        <f t="shared" si="115"/>
        <v>BSk</v>
      </c>
      <c r="AV1295" s="38"/>
      <c r="AW1295" s="38"/>
      <c r="AX1295" s="38"/>
      <c r="AY1295" s="38" t="s">
        <v>2317</v>
      </c>
      <c r="AZ1295" s="29">
        <v>30.0</v>
      </c>
      <c r="BA1295" s="29">
        <v>1.0</v>
      </c>
      <c r="BB1295" s="29">
        <v>1.0</v>
      </c>
      <c r="BC1295" s="29"/>
      <c r="BD1295" s="29" t="s">
        <v>88</v>
      </c>
      <c r="BE1295" s="29" t="s">
        <v>89</v>
      </c>
      <c r="BF1295" s="29" t="s">
        <v>2339</v>
      </c>
      <c r="BG1295" s="29" t="s">
        <v>572</v>
      </c>
      <c r="BH1295" s="29" t="s">
        <v>92</v>
      </c>
      <c r="BI1295" s="29" t="s">
        <v>2319</v>
      </c>
      <c r="BJ1295" s="29" t="s">
        <v>2320</v>
      </c>
      <c r="BK1295" s="29" t="s">
        <v>180</v>
      </c>
      <c r="BL1295" s="29" t="s">
        <v>180</v>
      </c>
      <c r="BM1295" s="45"/>
      <c r="BN1295" s="45"/>
      <c r="BO1295" s="46"/>
      <c r="BP1295" s="2"/>
      <c r="BQ1295" s="3"/>
    </row>
    <row r="1296" ht="15.75" customHeight="1">
      <c r="A1296" s="34">
        <v>1314.0</v>
      </c>
      <c r="B1296" s="34">
        <v>203547.0</v>
      </c>
      <c r="C1296" s="34" t="s">
        <v>832</v>
      </c>
      <c r="D1296" s="34" t="s">
        <v>2308</v>
      </c>
      <c r="E1296" s="34" t="s">
        <v>2309</v>
      </c>
      <c r="F1296" s="34">
        <v>2021.0</v>
      </c>
      <c r="G1296" s="34" t="s">
        <v>2310</v>
      </c>
      <c r="H1296" s="34" t="s">
        <v>816</v>
      </c>
      <c r="I1296" s="34" t="s">
        <v>2311</v>
      </c>
      <c r="J1296" s="35"/>
      <c r="K1296" s="36"/>
      <c r="L1296" s="36"/>
      <c r="M1296" s="36"/>
      <c r="N1296" s="36"/>
      <c r="O1296" s="36"/>
      <c r="P1296" s="37">
        <v>5.3</v>
      </c>
      <c r="Q1296" s="36" t="s">
        <v>96</v>
      </c>
      <c r="R1296" s="36" t="s">
        <v>96</v>
      </c>
      <c r="S1296" s="36">
        <v>30.0</v>
      </c>
      <c r="T1296" s="36" t="s">
        <v>2327</v>
      </c>
      <c r="U1296" s="36" t="s">
        <v>2328</v>
      </c>
      <c r="V1296" s="36">
        <v>14.0</v>
      </c>
      <c r="W1296" s="36" t="s">
        <v>2340</v>
      </c>
      <c r="X1296" s="38">
        <v>1.0</v>
      </c>
      <c r="Y1296" s="38" t="s">
        <v>2329</v>
      </c>
      <c r="Z1296" s="38" t="s">
        <v>2330</v>
      </c>
      <c r="AA1296" s="38" t="s">
        <v>86</v>
      </c>
      <c r="AB1296" s="38">
        <v>46.500833333</v>
      </c>
      <c r="AC1296" s="38">
        <v>-116.8066667</v>
      </c>
      <c r="AD1296" s="39" t="s">
        <v>87</v>
      </c>
      <c r="AE1296" s="53"/>
      <c r="AF1296" s="38" t="s">
        <v>2316</v>
      </c>
      <c r="AG1296" s="57"/>
      <c r="AH1296" s="38"/>
      <c r="AI1296" s="50">
        <v>46.500833333</v>
      </c>
      <c r="AJ1296" s="50">
        <v>-116.8066667</v>
      </c>
      <c r="AK1296" s="41" t="s">
        <v>86</v>
      </c>
      <c r="AL1296" s="40" t="s">
        <v>86</v>
      </c>
      <c r="AM1296" s="49">
        <v>742.0</v>
      </c>
      <c r="AN1296" s="51">
        <v>742.0</v>
      </c>
      <c r="AO1296" s="42" t="s">
        <v>293</v>
      </c>
      <c r="AP1296" s="43" t="s">
        <v>321</v>
      </c>
      <c r="AQ1296" s="44" t="str">
        <f t="shared" si="147"/>
        <v>CRO</v>
      </c>
      <c r="AR1296" s="44">
        <f t="shared" si="144"/>
        <v>742</v>
      </c>
      <c r="AS1296" s="44" t="str">
        <f t="shared" si="150"/>
        <v>B</v>
      </c>
      <c r="AT1296" s="44" t="str">
        <f t="shared" si="114"/>
        <v>Ds</v>
      </c>
      <c r="AU1296" s="44" t="str">
        <f t="shared" si="115"/>
        <v>Dsb</v>
      </c>
      <c r="AV1296" s="38"/>
      <c r="AW1296" s="38"/>
      <c r="AX1296" s="38"/>
      <c r="AY1296" s="38" t="s">
        <v>2317</v>
      </c>
      <c r="AZ1296" s="29">
        <v>30.0</v>
      </c>
      <c r="BA1296" s="29">
        <v>1.0</v>
      </c>
      <c r="BB1296" s="29">
        <v>1.0</v>
      </c>
      <c r="BC1296" s="29"/>
      <c r="BD1296" s="29" t="s">
        <v>88</v>
      </c>
      <c r="BE1296" s="29" t="s">
        <v>89</v>
      </c>
      <c r="BF1296" s="29" t="s">
        <v>2339</v>
      </c>
      <c r="BG1296" s="29" t="s">
        <v>572</v>
      </c>
      <c r="BH1296" s="29" t="s">
        <v>92</v>
      </c>
      <c r="BI1296" s="29" t="s">
        <v>2319</v>
      </c>
      <c r="BJ1296" s="29" t="s">
        <v>2320</v>
      </c>
      <c r="BK1296" s="29" t="s">
        <v>180</v>
      </c>
      <c r="BL1296" s="29" t="s">
        <v>180</v>
      </c>
      <c r="BM1296" s="45"/>
      <c r="BN1296" s="45"/>
      <c r="BO1296" s="46"/>
      <c r="BP1296" s="2"/>
      <c r="BQ1296" s="3"/>
    </row>
    <row r="1297" ht="15.75" customHeight="1">
      <c r="A1297" s="34">
        <v>1315.0</v>
      </c>
      <c r="B1297" s="34">
        <v>203547.0</v>
      </c>
      <c r="C1297" s="34" t="s">
        <v>832</v>
      </c>
      <c r="D1297" s="34" t="s">
        <v>2308</v>
      </c>
      <c r="E1297" s="34" t="s">
        <v>2309</v>
      </c>
      <c r="F1297" s="34">
        <v>2021.0</v>
      </c>
      <c r="G1297" s="34" t="s">
        <v>2310</v>
      </c>
      <c r="H1297" s="34" t="s">
        <v>816</v>
      </c>
      <c r="I1297" s="34" t="s">
        <v>2311</v>
      </c>
      <c r="J1297" s="35"/>
      <c r="K1297" s="36"/>
      <c r="L1297" s="36"/>
      <c r="M1297" s="36"/>
      <c r="N1297" s="36"/>
      <c r="O1297" s="36"/>
      <c r="P1297" s="37">
        <v>37.4</v>
      </c>
      <c r="Q1297" s="36" t="s">
        <v>96</v>
      </c>
      <c r="R1297" s="36" t="s">
        <v>96</v>
      </c>
      <c r="S1297" s="36">
        <v>30.0</v>
      </c>
      <c r="T1297" s="36" t="s">
        <v>2327</v>
      </c>
      <c r="U1297" s="36" t="s">
        <v>2328</v>
      </c>
      <c r="V1297" s="36">
        <v>14.0</v>
      </c>
      <c r="W1297" s="36" t="s">
        <v>2340</v>
      </c>
      <c r="X1297" s="38">
        <v>1.0</v>
      </c>
      <c r="Y1297" s="38" t="s">
        <v>2331</v>
      </c>
      <c r="Z1297" s="38" t="s">
        <v>2332</v>
      </c>
      <c r="AA1297" s="38" t="s">
        <v>86</v>
      </c>
      <c r="AB1297" s="38">
        <v>46.49777778</v>
      </c>
      <c r="AC1297" s="38">
        <v>-116.80472222</v>
      </c>
      <c r="AD1297" s="39" t="s">
        <v>87</v>
      </c>
      <c r="AE1297" s="53"/>
      <c r="AF1297" s="38" t="s">
        <v>2316</v>
      </c>
      <c r="AG1297" s="57"/>
      <c r="AH1297" s="38"/>
      <c r="AI1297" s="50">
        <v>46.49777778</v>
      </c>
      <c r="AJ1297" s="50">
        <v>-116.80472222</v>
      </c>
      <c r="AK1297" s="41" t="s">
        <v>86</v>
      </c>
      <c r="AL1297" s="40" t="s">
        <v>86</v>
      </c>
      <c r="AM1297" s="49">
        <v>728.0</v>
      </c>
      <c r="AN1297" s="51">
        <v>728.0</v>
      </c>
      <c r="AO1297" s="42" t="s">
        <v>293</v>
      </c>
      <c r="AP1297" s="43" t="s">
        <v>293</v>
      </c>
      <c r="AQ1297" s="44" t="str">
        <f t="shared" si="147"/>
        <v>CRO</v>
      </c>
      <c r="AR1297" s="44">
        <f t="shared" si="144"/>
        <v>728</v>
      </c>
      <c r="AS1297" s="44" t="str">
        <f t="shared" si="150"/>
        <v>B</v>
      </c>
      <c r="AT1297" s="44" t="str">
        <f t="shared" si="114"/>
        <v>BS</v>
      </c>
      <c r="AU1297" s="44" t="str">
        <f t="shared" si="115"/>
        <v>BSk</v>
      </c>
      <c r="AV1297" s="38"/>
      <c r="AW1297" s="38"/>
      <c r="AX1297" s="38"/>
      <c r="AY1297" s="38" t="s">
        <v>2317</v>
      </c>
      <c r="AZ1297" s="29">
        <v>30.0</v>
      </c>
      <c r="BA1297" s="29">
        <v>1.0</v>
      </c>
      <c r="BB1297" s="29">
        <v>1.0</v>
      </c>
      <c r="BC1297" s="29"/>
      <c r="BD1297" s="29" t="s">
        <v>88</v>
      </c>
      <c r="BE1297" s="29" t="s">
        <v>89</v>
      </c>
      <c r="BF1297" s="29" t="s">
        <v>2339</v>
      </c>
      <c r="BG1297" s="29" t="s">
        <v>572</v>
      </c>
      <c r="BH1297" s="29" t="s">
        <v>92</v>
      </c>
      <c r="BI1297" s="29" t="s">
        <v>2319</v>
      </c>
      <c r="BJ1297" s="29" t="s">
        <v>2320</v>
      </c>
      <c r="BK1297" s="29" t="s">
        <v>180</v>
      </c>
      <c r="BL1297" s="29" t="s">
        <v>180</v>
      </c>
      <c r="BM1297" s="45"/>
      <c r="BN1297" s="45"/>
      <c r="BO1297" s="46"/>
      <c r="BP1297" s="2"/>
      <c r="BQ1297" s="3"/>
    </row>
    <row r="1298" ht="15.75" customHeight="1">
      <c r="A1298" s="34">
        <v>1316.0</v>
      </c>
      <c r="B1298" s="34">
        <v>203547.0</v>
      </c>
      <c r="C1298" s="34" t="s">
        <v>832</v>
      </c>
      <c r="D1298" s="34" t="s">
        <v>2308</v>
      </c>
      <c r="E1298" s="34" t="s">
        <v>2309</v>
      </c>
      <c r="F1298" s="34">
        <v>2021.0</v>
      </c>
      <c r="G1298" s="34" t="s">
        <v>2310</v>
      </c>
      <c r="H1298" s="34" t="s">
        <v>816</v>
      </c>
      <c r="I1298" s="34" t="s">
        <v>2311</v>
      </c>
      <c r="J1298" s="35"/>
      <c r="K1298" s="36"/>
      <c r="L1298" s="36"/>
      <c r="M1298" s="36"/>
      <c r="N1298" s="36"/>
      <c r="O1298" s="36"/>
      <c r="P1298" s="37">
        <v>25.7</v>
      </c>
      <c r="Q1298" s="36" t="s">
        <v>96</v>
      </c>
      <c r="R1298" s="36" t="s">
        <v>96</v>
      </c>
      <c r="S1298" s="36">
        <v>30.0</v>
      </c>
      <c r="T1298" s="36" t="s">
        <v>2327</v>
      </c>
      <c r="U1298" s="36" t="s">
        <v>2328</v>
      </c>
      <c r="V1298" s="36">
        <v>14.0</v>
      </c>
      <c r="W1298" s="36" t="s">
        <v>2340</v>
      </c>
      <c r="X1298" s="38">
        <v>1.0</v>
      </c>
      <c r="Y1298" s="38" t="s">
        <v>2333</v>
      </c>
      <c r="Z1298" s="38" t="s">
        <v>2334</v>
      </c>
      <c r="AA1298" s="38" t="s">
        <v>86</v>
      </c>
      <c r="AB1298" s="38">
        <v>46.495</v>
      </c>
      <c r="AC1298" s="38">
        <v>-116.8022222</v>
      </c>
      <c r="AD1298" s="39" t="s">
        <v>87</v>
      </c>
      <c r="AE1298" s="53"/>
      <c r="AF1298" s="38" t="s">
        <v>2316</v>
      </c>
      <c r="AG1298" s="57"/>
      <c r="AH1298" s="38"/>
      <c r="AI1298" s="50">
        <v>46.495</v>
      </c>
      <c r="AJ1298" s="50">
        <v>-116.8022222</v>
      </c>
      <c r="AK1298" s="41" t="s">
        <v>86</v>
      </c>
      <c r="AL1298" s="40" t="s">
        <v>86</v>
      </c>
      <c r="AM1298" s="49">
        <v>712.0</v>
      </c>
      <c r="AN1298" s="51">
        <v>712.0</v>
      </c>
      <c r="AO1298" s="42" t="s">
        <v>293</v>
      </c>
      <c r="AP1298" s="43" t="s">
        <v>293</v>
      </c>
      <c r="AQ1298" s="44" t="str">
        <f t="shared" si="147"/>
        <v>CRO</v>
      </c>
      <c r="AR1298" s="44">
        <f t="shared" si="144"/>
        <v>712</v>
      </c>
      <c r="AS1298" s="44" t="str">
        <f t="shared" si="150"/>
        <v>B</v>
      </c>
      <c r="AT1298" s="44" t="str">
        <f t="shared" si="114"/>
        <v>BS</v>
      </c>
      <c r="AU1298" s="44" t="str">
        <f t="shared" si="115"/>
        <v>BSk</v>
      </c>
      <c r="AV1298" s="38"/>
      <c r="AW1298" s="38"/>
      <c r="AX1298" s="38"/>
      <c r="AY1298" s="38" t="s">
        <v>2317</v>
      </c>
      <c r="AZ1298" s="29">
        <v>30.0</v>
      </c>
      <c r="BA1298" s="29">
        <v>1.0</v>
      </c>
      <c r="BB1298" s="29">
        <v>1.0</v>
      </c>
      <c r="BC1298" s="29"/>
      <c r="BD1298" s="29" t="s">
        <v>88</v>
      </c>
      <c r="BE1298" s="29" t="s">
        <v>89</v>
      </c>
      <c r="BF1298" s="29" t="s">
        <v>2339</v>
      </c>
      <c r="BG1298" s="29" t="s">
        <v>572</v>
      </c>
      <c r="BH1298" s="29" t="s">
        <v>92</v>
      </c>
      <c r="BI1298" s="29" t="s">
        <v>2319</v>
      </c>
      <c r="BJ1298" s="29" t="s">
        <v>2320</v>
      </c>
      <c r="BK1298" s="29" t="s">
        <v>180</v>
      </c>
      <c r="BL1298" s="29" t="s">
        <v>180</v>
      </c>
      <c r="BM1298" s="45"/>
      <c r="BN1298" s="45"/>
      <c r="BO1298" s="46"/>
      <c r="BP1298" s="2"/>
      <c r="BQ1298" s="3"/>
    </row>
    <row r="1299" ht="15.75" customHeight="1">
      <c r="A1299" s="34">
        <v>1317.0</v>
      </c>
      <c r="B1299" s="34">
        <v>203547.0</v>
      </c>
      <c r="C1299" s="34" t="s">
        <v>832</v>
      </c>
      <c r="D1299" s="34" t="s">
        <v>2308</v>
      </c>
      <c r="E1299" s="34" t="s">
        <v>2309</v>
      </c>
      <c r="F1299" s="34">
        <v>2021.0</v>
      </c>
      <c r="G1299" s="34" t="s">
        <v>2310</v>
      </c>
      <c r="H1299" s="34" t="s">
        <v>816</v>
      </c>
      <c r="I1299" s="34" t="s">
        <v>2311</v>
      </c>
      <c r="J1299" s="35"/>
      <c r="K1299" s="36"/>
      <c r="L1299" s="36"/>
      <c r="M1299" s="36"/>
      <c r="N1299" s="36"/>
      <c r="O1299" s="36"/>
      <c r="P1299" s="37">
        <v>6.7</v>
      </c>
      <c r="Q1299" s="36" t="s">
        <v>96</v>
      </c>
      <c r="R1299" s="36" t="s">
        <v>96</v>
      </c>
      <c r="S1299" s="36">
        <v>30.0</v>
      </c>
      <c r="T1299" s="36" t="s">
        <v>2335</v>
      </c>
      <c r="U1299" s="36" t="s">
        <v>2336</v>
      </c>
      <c r="V1299" s="36">
        <v>9.0</v>
      </c>
      <c r="W1299" s="36" t="s">
        <v>2340</v>
      </c>
      <c r="X1299" s="38">
        <v>1.0</v>
      </c>
      <c r="Y1299" s="38" t="s">
        <v>2322</v>
      </c>
      <c r="Z1299" s="38" t="s">
        <v>2323</v>
      </c>
      <c r="AA1299" s="38" t="s">
        <v>86</v>
      </c>
      <c r="AB1299" s="38">
        <v>47.1225</v>
      </c>
      <c r="AC1299" s="38">
        <v>-117.527222</v>
      </c>
      <c r="AD1299" s="39" t="s">
        <v>87</v>
      </c>
      <c r="AE1299" s="38">
        <v>664.0</v>
      </c>
      <c r="AF1299" s="38" t="s">
        <v>2324</v>
      </c>
      <c r="AG1299" s="38" t="s">
        <v>445</v>
      </c>
      <c r="AH1299" s="38"/>
      <c r="AI1299" s="50">
        <v>47.1225</v>
      </c>
      <c r="AJ1299" s="50">
        <v>-117.527222</v>
      </c>
      <c r="AK1299" s="41" t="s">
        <v>86</v>
      </c>
      <c r="AL1299" s="40" t="s">
        <v>86</v>
      </c>
      <c r="AM1299" s="49">
        <v>661.0</v>
      </c>
      <c r="AN1299" s="51">
        <v>661.0</v>
      </c>
      <c r="AO1299" s="42" t="s">
        <v>293</v>
      </c>
      <c r="AP1299" s="43" t="s">
        <v>293</v>
      </c>
      <c r="AQ1299" s="44" t="str">
        <f t="shared" si="147"/>
        <v>CRO</v>
      </c>
      <c r="AR1299" s="44">
        <f t="shared" si="144"/>
        <v>661</v>
      </c>
      <c r="AS1299" s="44" t="str">
        <f t="shared" si="150"/>
        <v>B</v>
      </c>
      <c r="AT1299" s="44" t="str">
        <f t="shared" si="114"/>
        <v>BS</v>
      </c>
      <c r="AU1299" s="44" t="str">
        <f t="shared" si="115"/>
        <v>BSk</v>
      </c>
      <c r="AV1299" s="38"/>
      <c r="AW1299" s="38"/>
      <c r="AX1299" s="38"/>
      <c r="AY1299" s="38" t="s">
        <v>2317</v>
      </c>
      <c r="AZ1299" s="29">
        <v>30.0</v>
      </c>
      <c r="BA1299" s="29">
        <v>1.0</v>
      </c>
      <c r="BB1299" s="29">
        <v>1.0</v>
      </c>
      <c r="BC1299" s="29"/>
      <c r="BD1299" s="29" t="s">
        <v>88</v>
      </c>
      <c r="BE1299" s="29" t="s">
        <v>89</v>
      </c>
      <c r="BF1299" s="29" t="s">
        <v>2339</v>
      </c>
      <c r="BG1299" s="29" t="s">
        <v>572</v>
      </c>
      <c r="BH1299" s="29" t="s">
        <v>92</v>
      </c>
      <c r="BI1299" s="29" t="s">
        <v>2319</v>
      </c>
      <c r="BJ1299" s="29" t="s">
        <v>2320</v>
      </c>
      <c r="BK1299" s="29" t="s">
        <v>180</v>
      </c>
      <c r="BL1299" s="29" t="s">
        <v>180</v>
      </c>
      <c r="BM1299" s="45"/>
      <c r="BN1299" s="45"/>
      <c r="BO1299" s="46"/>
      <c r="BP1299" s="2"/>
      <c r="BQ1299" s="3"/>
    </row>
    <row r="1300" ht="15.75" customHeight="1">
      <c r="A1300" s="34">
        <v>1318.0</v>
      </c>
      <c r="B1300" s="34">
        <v>203547.0</v>
      </c>
      <c r="C1300" s="34" t="s">
        <v>832</v>
      </c>
      <c r="D1300" s="34" t="s">
        <v>2308</v>
      </c>
      <c r="E1300" s="34" t="s">
        <v>2309</v>
      </c>
      <c r="F1300" s="34">
        <v>2021.0</v>
      </c>
      <c r="G1300" s="34" t="s">
        <v>2310</v>
      </c>
      <c r="H1300" s="34" t="s">
        <v>816</v>
      </c>
      <c r="I1300" s="34" t="s">
        <v>2311</v>
      </c>
      <c r="J1300" s="35"/>
      <c r="K1300" s="36"/>
      <c r="L1300" s="36"/>
      <c r="M1300" s="36"/>
      <c r="N1300" s="36"/>
      <c r="O1300" s="36"/>
      <c r="P1300" s="37">
        <v>-0.8</v>
      </c>
      <c r="Q1300" s="36" t="s">
        <v>96</v>
      </c>
      <c r="R1300" s="36" t="s">
        <v>96</v>
      </c>
      <c r="S1300" s="36">
        <v>30.0</v>
      </c>
      <c r="T1300" s="36" t="s">
        <v>2337</v>
      </c>
      <c r="U1300" s="36" t="s">
        <v>2338</v>
      </c>
      <c r="V1300" s="36">
        <v>15.0</v>
      </c>
      <c r="W1300" s="36" t="s">
        <v>2340</v>
      </c>
      <c r="X1300" s="38">
        <v>1.0</v>
      </c>
      <c r="Y1300" s="38" t="s">
        <v>2329</v>
      </c>
      <c r="Z1300" s="38" t="s">
        <v>2330</v>
      </c>
      <c r="AA1300" s="38" t="s">
        <v>86</v>
      </c>
      <c r="AB1300" s="38">
        <v>46.500833333</v>
      </c>
      <c r="AC1300" s="38">
        <v>-116.8066667</v>
      </c>
      <c r="AD1300" s="39" t="s">
        <v>87</v>
      </c>
      <c r="AE1300" s="53"/>
      <c r="AF1300" s="38" t="s">
        <v>2316</v>
      </c>
      <c r="AG1300" s="57"/>
      <c r="AH1300" s="38"/>
      <c r="AI1300" s="50">
        <v>46.500833333</v>
      </c>
      <c r="AJ1300" s="50">
        <v>-116.8066667</v>
      </c>
      <c r="AK1300" s="41" t="s">
        <v>86</v>
      </c>
      <c r="AL1300" s="40" t="s">
        <v>86</v>
      </c>
      <c r="AM1300" s="49">
        <v>742.0</v>
      </c>
      <c r="AN1300" s="51">
        <v>742.0</v>
      </c>
      <c r="AO1300" s="42" t="s">
        <v>293</v>
      </c>
      <c r="AP1300" s="43" t="s">
        <v>321</v>
      </c>
      <c r="AQ1300" s="44" t="str">
        <f t="shared" si="147"/>
        <v>CRO</v>
      </c>
      <c r="AR1300" s="44">
        <f t="shared" si="144"/>
        <v>742</v>
      </c>
      <c r="AS1300" s="44" t="str">
        <f t="shared" si="150"/>
        <v>B</v>
      </c>
      <c r="AT1300" s="44" t="str">
        <f t="shared" si="114"/>
        <v>Ds</v>
      </c>
      <c r="AU1300" s="44" t="str">
        <f t="shared" si="115"/>
        <v>Dsb</v>
      </c>
      <c r="AV1300" s="38"/>
      <c r="AW1300" s="38"/>
      <c r="AX1300" s="38"/>
      <c r="AY1300" s="38" t="s">
        <v>2317</v>
      </c>
      <c r="AZ1300" s="29">
        <v>30.0</v>
      </c>
      <c r="BA1300" s="29">
        <v>1.0</v>
      </c>
      <c r="BB1300" s="29">
        <v>1.0</v>
      </c>
      <c r="BC1300" s="29"/>
      <c r="BD1300" s="29" t="s">
        <v>88</v>
      </c>
      <c r="BE1300" s="29" t="s">
        <v>89</v>
      </c>
      <c r="BF1300" s="29" t="s">
        <v>2339</v>
      </c>
      <c r="BG1300" s="29" t="s">
        <v>572</v>
      </c>
      <c r="BH1300" s="29" t="s">
        <v>92</v>
      </c>
      <c r="BI1300" s="29" t="s">
        <v>2319</v>
      </c>
      <c r="BJ1300" s="29" t="s">
        <v>2320</v>
      </c>
      <c r="BK1300" s="29" t="s">
        <v>180</v>
      </c>
      <c r="BL1300" s="29" t="s">
        <v>180</v>
      </c>
      <c r="BM1300" s="45"/>
      <c r="BN1300" s="45"/>
      <c r="BO1300" s="46"/>
      <c r="BP1300" s="2"/>
      <c r="BQ1300" s="3"/>
    </row>
    <row r="1301" ht="15.75" customHeight="1">
      <c r="A1301" s="34">
        <v>1319.0</v>
      </c>
      <c r="B1301" s="34">
        <v>203547.0</v>
      </c>
      <c r="C1301" s="34" t="s">
        <v>832</v>
      </c>
      <c r="D1301" s="34" t="s">
        <v>2308</v>
      </c>
      <c r="E1301" s="34" t="s">
        <v>2309</v>
      </c>
      <c r="F1301" s="34">
        <v>2021.0</v>
      </c>
      <c r="G1301" s="34" t="s">
        <v>2310</v>
      </c>
      <c r="H1301" s="34" t="s">
        <v>816</v>
      </c>
      <c r="I1301" s="34" t="s">
        <v>2311</v>
      </c>
      <c r="J1301" s="35"/>
      <c r="K1301" s="36"/>
      <c r="L1301" s="36"/>
      <c r="M1301" s="36"/>
      <c r="N1301" s="36"/>
      <c r="O1301" s="36"/>
      <c r="P1301" s="37">
        <v>29.3</v>
      </c>
      <c r="Q1301" s="36" t="s">
        <v>96</v>
      </c>
      <c r="R1301" s="36" t="s">
        <v>96</v>
      </c>
      <c r="S1301" s="36">
        <v>30.0</v>
      </c>
      <c r="T1301" s="36" t="s">
        <v>2337</v>
      </c>
      <c r="U1301" s="36" t="s">
        <v>2338</v>
      </c>
      <c r="V1301" s="36">
        <v>15.0</v>
      </c>
      <c r="W1301" s="36" t="s">
        <v>2340</v>
      </c>
      <c r="X1301" s="38">
        <v>1.0</v>
      </c>
      <c r="Y1301" s="38" t="s">
        <v>2331</v>
      </c>
      <c r="Z1301" s="38" t="s">
        <v>2332</v>
      </c>
      <c r="AA1301" s="38" t="s">
        <v>86</v>
      </c>
      <c r="AB1301" s="38">
        <v>46.49777778</v>
      </c>
      <c r="AC1301" s="38">
        <v>-116.80472222</v>
      </c>
      <c r="AD1301" s="39" t="s">
        <v>87</v>
      </c>
      <c r="AE1301" s="53"/>
      <c r="AF1301" s="38" t="s">
        <v>2316</v>
      </c>
      <c r="AG1301" s="57"/>
      <c r="AH1301" s="38"/>
      <c r="AI1301" s="50">
        <v>46.49777778</v>
      </c>
      <c r="AJ1301" s="50">
        <v>-116.80472222</v>
      </c>
      <c r="AK1301" s="41" t="s">
        <v>86</v>
      </c>
      <c r="AL1301" s="40" t="s">
        <v>86</v>
      </c>
      <c r="AM1301" s="49">
        <v>728.0</v>
      </c>
      <c r="AN1301" s="51">
        <v>728.0</v>
      </c>
      <c r="AO1301" s="42" t="s">
        <v>293</v>
      </c>
      <c r="AP1301" s="43" t="s">
        <v>293</v>
      </c>
      <c r="AQ1301" s="44" t="str">
        <f t="shared" si="147"/>
        <v>CRO</v>
      </c>
      <c r="AR1301" s="44">
        <f t="shared" si="144"/>
        <v>728</v>
      </c>
      <c r="AS1301" s="44" t="str">
        <f t="shared" si="150"/>
        <v>B</v>
      </c>
      <c r="AT1301" s="44" t="str">
        <f t="shared" si="114"/>
        <v>BS</v>
      </c>
      <c r="AU1301" s="44" t="str">
        <f t="shared" si="115"/>
        <v>BSk</v>
      </c>
      <c r="AV1301" s="38"/>
      <c r="AW1301" s="38"/>
      <c r="AX1301" s="38"/>
      <c r="AY1301" s="38" t="s">
        <v>2317</v>
      </c>
      <c r="AZ1301" s="29">
        <v>30.0</v>
      </c>
      <c r="BA1301" s="29">
        <v>1.0</v>
      </c>
      <c r="BB1301" s="29">
        <v>1.0</v>
      </c>
      <c r="BC1301" s="29"/>
      <c r="BD1301" s="29" t="s">
        <v>88</v>
      </c>
      <c r="BE1301" s="29" t="s">
        <v>89</v>
      </c>
      <c r="BF1301" s="29" t="s">
        <v>2339</v>
      </c>
      <c r="BG1301" s="29" t="s">
        <v>572</v>
      </c>
      <c r="BH1301" s="29" t="s">
        <v>92</v>
      </c>
      <c r="BI1301" s="29" t="s">
        <v>2319</v>
      </c>
      <c r="BJ1301" s="29" t="s">
        <v>2320</v>
      </c>
      <c r="BK1301" s="29" t="s">
        <v>180</v>
      </c>
      <c r="BL1301" s="29" t="s">
        <v>180</v>
      </c>
      <c r="BM1301" s="45"/>
      <c r="BN1301" s="45"/>
      <c r="BO1301" s="46"/>
      <c r="BP1301" s="2"/>
      <c r="BQ1301" s="3"/>
    </row>
    <row r="1302" ht="15.75" customHeight="1">
      <c r="A1302" s="34">
        <v>1321.0</v>
      </c>
      <c r="B1302" s="34">
        <v>101320.0</v>
      </c>
      <c r="C1302" s="34" t="s">
        <v>832</v>
      </c>
      <c r="D1302" s="34" t="s">
        <v>2341</v>
      </c>
      <c r="E1302" s="34" t="s">
        <v>2342</v>
      </c>
      <c r="F1302" s="34">
        <v>2015.0</v>
      </c>
      <c r="G1302" s="34" t="s">
        <v>2343</v>
      </c>
      <c r="H1302" s="34" t="s">
        <v>816</v>
      </c>
      <c r="I1302" s="34" t="s">
        <v>2344</v>
      </c>
      <c r="J1302" s="35"/>
      <c r="K1302" s="36">
        <v>-0.357</v>
      </c>
      <c r="L1302" s="36">
        <v>2.302</v>
      </c>
      <c r="M1302" s="36"/>
      <c r="N1302" s="36"/>
      <c r="O1302" s="36"/>
      <c r="P1302" s="52">
        <f t="shared" ref="P1302:P1313" si="151">K1302*100/L1302</f>
        <v>-15.50825369</v>
      </c>
      <c r="Q1302" s="36" t="s">
        <v>96</v>
      </c>
      <c r="R1302" s="36" t="s">
        <v>490</v>
      </c>
      <c r="S1302" s="36" t="s">
        <v>2345</v>
      </c>
      <c r="T1302" s="36" t="s">
        <v>506</v>
      </c>
      <c r="U1302" s="36" t="s">
        <v>507</v>
      </c>
      <c r="V1302" s="36"/>
      <c r="W1302" s="36" t="s">
        <v>2346</v>
      </c>
      <c r="X1302" s="38">
        <v>1.0</v>
      </c>
      <c r="Y1302" s="38" t="s">
        <v>2347</v>
      </c>
      <c r="Z1302" s="38" t="s">
        <v>2348</v>
      </c>
      <c r="AA1302" s="38" t="s">
        <v>214</v>
      </c>
      <c r="AB1302" s="38">
        <v>25.752778</v>
      </c>
      <c r="AC1302" s="38">
        <v>81.100278</v>
      </c>
      <c r="AD1302" s="39" t="s">
        <v>87</v>
      </c>
      <c r="AE1302" s="38">
        <v>1.2</v>
      </c>
      <c r="AF1302" s="38" t="s">
        <v>2349</v>
      </c>
      <c r="AG1302" s="38" t="s">
        <v>201</v>
      </c>
      <c r="AH1302" s="38">
        <v>38.0</v>
      </c>
      <c r="AI1302" s="50">
        <v>25.752778</v>
      </c>
      <c r="AJ1302" s="50">
        <v>-81.100278</v>
      </c>
      <c r="AK1302" s="41" t="s">
        <v>214</v>
      </c>
      <c r="AL1302" s="40" t="s">
        <v>214</v>
      </c>
      <c r="AM1302" s="49">
        <v>4.0</v>
      </c>
      <c r="AN1302" s="51">
        <v>4.0</v>
      </c>
      <c r="AO1302" s="42" t="s">
        <v>1024</v>
      </c>
      <c r="AP1302" s="43" t="s">
        <v>335</v>
      </c>
      <c r="AQ1302" s="44" t="str">
        <f t="shared" si="147"/>
        <v>WET</v>
      </c>
      <c r="AR1302" s="44">
        <f t="shared" si="144"/>
        <v>4</v>
      </c>
      <c r="AS1302" s="44" t="str">
        <f t="shared" si="150"/>
        <v>A</v>
      </c>
      <c r="AT1302" s="44" t="str">
        <f t="shared" si="114"/>
        <v>Aw</v>
      </c>
      <c r="AU1302" s="44" t="str">
        <f t="shared" si="115"/>
        <v>Aw</v>
      </c>
      <c r="AV1302" s="38"/>
      <c r="AW1302" s="38"/>
      <c r="AX1302" s="38"/>
      <c r="AY1302" s="38"/>
      <c r="AZ1302" s="29">
        <v>960.0</v>
      </c>
      <c r="BA1302" s="29">
        <v>1.0</v>
      </c>
      <c r="BB1302" s="29">
        <v>1.0</v>
      </c>
      <c r="BC1302" s="29"/>
      <c r="BD1302" s="29" t="s">
        <v>88</v>
      </c>
      <c r="BE1302" s="29"/>
      <c r="BF1302" s="29" t="s">
        <v>2350</v>
      </c>
      <c r="BG1302" s="29" t="s">
        <v>572</v>
      </c>
      <c r="BH1302" s="29" t="s">
        <v>88</v>
      </c>
      <c r="BI1302" s="29" t="s">
        <v>2351</v>
      </c>
      <c r="BJ1302" s="29" t="s">
        <v>2352</v>
      </c>
      <c r="BK1302" s="29" t="s">
        <v>148</v>
      </c>
      <c r="BL1302" s="29" t="s">
        <v>148</v>
      </c>
      <c r="BM1302" s="45"/>
      <c r="BN1302" s="45">
        <v>1.0</v>
      </c>
      <c r="BO1302" s="46" t="s">
        <v>2353</v>
      </c>
      <c r="BP1302" s="2"/>
      <c r="BQ1302" s="3"/>
    </row>
    <row r="1303" ht="15.75" customHeight="1">
      <c r="A1303" s="34">
        <v>1322.0</v>
      </c>
      <c r="B1303" s="34">
        <v>101320.0</v>
      </c>
      <c r="C1303" s="34" t="s">
        <v>832</v>
      </c>
      <c r="D1303" s="34" t="s">
        <v>2341</v>
      </c>
      <c r="E1303" s="34" t="s">
        <v>2342</v>
      </c>
      <c r="F1303" s="34">
        <v>2015.0</v>
      </c>
      <c r="G1303" s="34" t="s">
        <v>2343</v>
      </c>
      <c r="H1303" s="34" t="s">
        <v>816</v>
      </c>
      <c r="I1303" s="34" t="s">
        <v>2344</v>
      </c>
      <c r="J1303" s="35"/>
      <c r="K1303" s="36">
        <v>-0.042</v>
      </c>
      <c r="L1303" s="36">
        <v>1.816</v>
      </c>
      <c r="M1303" s="36"/>
      <c r="N1303" s="36"/>
      <c r="O1303" s="36"/>
      <c r="P1303" s="52">
        <f t="shared" si="151"/>
        <v>-2.31277533</v>
      </c>
      <c r="Q1303" s="36" t="s">
        <v>96</v>
      </c>
      <c r="R1303" s="36" t="s">
        <v>490</v>
      </c>
      <c r="S1303" s="36" t="s">
        <v>2345</v>
      </c>
      <c r="T1303" s="36" t="s">
        <v>506</v>
      </c>
      <c r="U1303" s="36" t="s">
        <v>507</v>
      </c>
      <c r="V1303" s="36"/>
      <c r="W1303" s="36" t="s">
        <v>2346</v>
      </c>
      <c r="X1303" s="38">
        <v>1.0</v>
      </c>
      <c r="Y1303" s="38" t="s">
        <v>2354</v>
      </c>
      <c r="Z1303" s="38" t="s">
        <v>2355</v>
      </c>
      <c r="AA1303" s="38" t="s">
        <v>214</v>
      </c>
      <c r="AB1303" s="38">
        <v>25.999722</v>
      </c>
      <c r="AC1303" s="38">
        <v>80.924722</v>
      </c>
      <c r="AD1303" s="39" t="s">
        <v>87</v>
      </c>
      <c r="AE1303" s="38">
        <v>3.04</v>
      </c>
      <c r="AF1303" s="38" t="s">
        <v>2356</v>
      </c>
      <c r="AG1303" s="38" t="s">
        <v>592</v>
      </c>
      <c r="AH1303" s="38">
        <v>38.0</v>
      </c>
      <c r="AI1303" s="50">
        <v>26.0004</v>
      </c>
      <c r="AJ1303" s="50">
        <v>-80.924722</v>
      </c>
      <c r="AK1303" s="41" t="s">
        <v>214</v>
      </c>
      <c r="AL1303" s="40" t="s">
        <v>214</v>
      </c>
      <c r="AM1303" s="49">
        <v>4.0</v>
      </c>
      <c r="AN1303" s="51">
        <v>4.0</v>
      </c>
      <c r="AO1303" s="42" t="s">
        <v>1024</v>
      </c>
      <c r="AP1303" s="43" t="s">
        <v>1024</v>
      </c>
      <c r="AQ1303" s="44" t="str">
        <f t="shared" si="147"/>
        <v>WET</v>
      </c>
      <c r="AR1303" s="44">
        <f t="shared" si="144"/>
        <v>4</v>
      </c>
      <c r="AS1303" s="44" t="str">
        <f t="shared" si="150"/>
        <v>A</v>
      </c>
      <c r="AT1303" s="44" t="str">
        <f t="shared" si="114"/>
        <v>Am</v>
      </c>
      <c r="AU1303" s="44" t="str">
        <f t="shared" si="115"/>
        <v>Am</v>
      </c>
      <c r="AV1303" s="38"/>
      <c r="AW1303" s="38"/>
      <c r="AX1303" s="38"/>
      <c r="AY1303" s="38"/>
      <c r="AZ1303" s="29">
        <v>960.0</v>
      </c>
      <c r="BA1303" s="29">
        <v>1.0</v>
      </c>
      <c r="BB1303" s="29">
        <v>1.0</v>
      </c>
      <c r="BC1303" s="29"/>
      <c r="BD1303" s="29" t="s">
        <v>88</v>
      </c>
      <c r="BE1303" s="29"/>
      <c r="BF1303" s="29" t="s">
        <v>2350</v>
      </c>
      <c r="BG1303" s="29" t="s">
        <v>572</v>
      </c>
      <c r="BH1303" s="29" t="s">
        <v>88</v>
      </c>
      <c r="BI1303" s="29" t="s">
        <v>2351</v>
      </c>
      <c r="BJ1303" s="29" t="s">
        <v>2352</v>
      </c>
      <c r="BK1303" s="29" t="s">
        <v>148</v>
      </c>
      <c r="BL1303" s="29" t="s">
        <v>148</v>
      </c>
      <c r="BM1303" s="45"/>
      <c r="BN1303" s="45">
        <v>1.0</v>
      </c>
      <c r="BO1303" s="46" t="s">
        <v>2353</v>
      </c>
      <c r="BP1303" s="2"/>
      <c r="BQ1303" s="3"/>
    </row>
    <row r="1304" ht="15.75" customHeight="1">
      <c r="A1304" s="34">
        <v>1323.0</v>
      </c>
      <c r="B1304" s="34">
        <v>101320.0</v>
      </c>
      <c r="C1304" s="34" t="s">
        <v>832</v>
      </c>
      <c r="D1304" s="34" t="s">
        <v>2341</v>
      </c>
      <c r="E1304" s="34" t="s">
        <v>2342</v>
      </c>
      <c r="F1304" s="34">
        <v>2015.0</v>
      </c>
      <c r="G1304" s="34" t="s">
        <v>2343</v>
      </c>
      <c r="H1304" s="34" t="s">
        <v>816</v>
      </c>
      <c r="I1304" s="34" t="s">
        <v>2344</v>
      </c>
      <c r="J1304" s="35"/>
      <c r="K1304" s="36">
        <v>-0.206</v>
      </c>
      <c r="L1304" s="36">
        <v>2.209</v>
      </c>
      <c r="M1304" s="36"/>
      <c r="N1304" s="36"/>
      <c r="O1304" s="36"/>
      <c r="P1304" s="52">
        <f t="shared" si="151"/>
        <v>-9.325486646</v>
      </c>
      <c r="Q1304" s="36" t="s">
        <v>96</v>
      </c>
      <c r="R1304" s="36" t="s">
        <v>490</v>
      </c>
      <c r="S1304" s="36" t="s">
        <v>2345</v>
      </c>
      <c r="T1304" s="36" t="s">
        <v>506</v>
      </c>
      <c r="U1304" s="36" t="s">
        <v>507</v>
      </c>
      <c r="V1304" s="36"/>
      <c r="W1304" s="36" t="s">
        <v>2346</v>
      </c>
      <c r="X1304" s="38">
        <v>1.0</v>
      </c>
      <c r="Y1304" s="38" t="s">
        <v>2357</v>
      </c>
      <c r="Z1304" s="38" t="s">
        <v>2358</v>
      </c>
      <c r="AA1304" s="38" t="s">
        <v>214</v>
      </c>
      <c r="AB1304" s="38">
        <v>25.7625</v>
      </c>
      <c r="AC1304" s="38">
        <v>80.9075</v>
      </c>
      <c r="AD1304" s="39" t="s">
        <v>87</v>
      </c>
      <c r="AE1304" s="53"/>
      <c r="AF1304" s="38" t="s">
        <v>2359</v>
      </c>
      <c r="AG1304" s="57"/>
      <c r="AH1304" s="38">
        <v>16.5</v>
      </c>
      <c r="AI1304" s="50">
        <v>25.7625</v>
      </c>
      <c r="AJ1304" s="50">
        <v>-80.9075</v>
      </c>
      <c r="AK1304" s="41" t="s">
        <v>214</v>
      </c>
      <c r="AL1304" s="40" t="s">
        <v>214</v>
      </c>
      <c r="AM1304" s="49">
        <v>6.0</v>
      </c>
      <c r="AN1304" s="51">
        <v>6.0</v>
      </c>
      <c r="AO1304" s="42" t="s">
        <v>1024</v>
      </c>
      <c r="AP1304" s="43" t="s">
        <v>1024</v>
      </c>
      <c r="AQ1304" s="44" t="str">
        <f t="shared" si="147"/>
        <v>WET</v>
      </c>
      <c r="AR1304" s="44">
        <f t="shared" si="144"/>
        <v>6</v>
      </c>
      <c r="AS1304" s="44" t="str">
        <f t="shared" si="150"/>
        <v>A</v>
      </c>
      <c r="AT1304" s="44" t="str">
        <f t="shared" si="114"/>
        <v>Am</v>
      </c>
      <c r="AU1304" s="44" t="str">
        <f t="shared" si="115"/>
        <v>Am</v>
      </c>
      <c r="AV1304" s="38"/>
      <c r="AW1304" s="38"/>
      <c r="AX1304" s="38"/>
      <c r="AY1304" s="38"/>
      <c r="AZ1304" s="29">
        <v>960.0</v>
      </c>
      <c r="BA1304" s="29">
        <v>1.0</v>
      </c>
      <c r="BB1304" s="29">
        <v>1.0</v>
      </c>
      <c r="BC1304" s="29"/>
      <c r="BD1304" s="29" t="s">
        <v>88</v>
      </c>
      <c r="BE1304" s="29"/>
      <c r="BF1304" s="29" t="s">
        <v>2350</v>
      </c>
      <c r="BG1304" s="29" t="s">
        <v>572</v>
      </c>
      <c r="BH1304" s="29" t="s">
        <v>88</v>
      </c>
      <c r="BI1304" s="29" t="s">
        <v>2351</v>
      </c>
      <c r="BJ1304" s="29" t="s">
        <v>2352</v>
      </c>
      <c r="BK1304" s="29" t="s">
        <v>148</v>
      </c>
      <c r="BL1304" s="29" t="s">
        <v>148</v>
      </c>
      <c r="BM1304" s="45"/>
      <c r="BN1304" s="45">
        <v>1.0</v>
      </c>
      <c r="BO1304" s="46" t="s">
        <v>2353</v>
      </c>
      <c r="BP1304" s="2"/>
      <c r="BQ1304" s="3"/>
    </row>
    <row r="1305" ht="15.75" customHeight="1">
      <c r="A1305" s="34">
        <v>1324.0</v>
      </c>
      <c r="B1305" s="34">
        <v>101320.0</v>
      </c>
      <c r="C1305" s="34" t="s">
        <v>832</v>
      </c>
      <c r="D1305" s="34" t="s">
        <v>2341</v>
      </c>
      <c r="E1305" s="34" t="s">
        <v>2342</v>
      </c>
      <c r="F1305" s="34">
        <v>2015.0</v>
      </c>
      <c r="G1305" s="34" t="s">
        <v>2343</v>
      </c>
      <c r="H1305" s="34" t="s">
        <v>816</v>
      </c>
      <c r="I1305" s="34" t="s">
        <v>2344</v>
      </c>
      <c r="J1305" s="35"/>
      <c r="K1305" s="36">
        <v>-0.045</v>
      </c>
      <c r="L1305" s="36">
        <v>2.013</v>
      </c>
      <c r="M1305" s="36"/>
      <c r="N1305" s="36"/>
      <c r="O1305" s="36"/>
      <c r="P1305" s="52">
        <f t="shared" si="151"/>
        <v>-2.235469449</v>
      </c>
      <c r="Q1305" s="36" t="s">
        <v>96</v>
      </c>
      <c r="R1305" s="36" t="s">
        <v>490</v>
      </c>
      <c r="S1305" s="36" t="s">
        <v>2345</v>
      </c>
      <c r="T1305" s="36" t="s">
        <v>506</v>
      </c>
      <c r="U1305" s="36" t="s">
        <v>507</v>
      </c>
      <c r="V1305" s="36"/>
      <c r="W1305" s="36" t="s">
        <v>2346</v>
      </c>
      <c r="X1305" s="38">
        <v>1.0</v>
      </c>
      <c r="Y1305" s="38" t="s">
        <v>1566</v>
      </c>
      <c r="Z1305" s="38" t="s">
        <v>2360</v>
      </c>
      <c r="AA1305" s="38" t="s">
        <v>214</v>
      </c>
      <c r="AB1305" s="38">
        <v>26.199167</v>
      </c>
      <c r="AC1305" s="38">
        <v>26.199167</v>
      </c>
      <c r="AD1305" s="39" t="s">
        <v>87</v>
      </c>
      <c r="AE1305" s="38">
        <v>0.0</v>
      </c>
      <c r="AF1305" s="38" t="s">
        <v>2361</v>
      </c>
      <c r="AG1305" s="38" t="s">
        <v>201</v>
      </c>
      <c r="AH1305" s="38">
        <v>3.6</v>
      </c>
      <c r="AI1305" s="50">
        <v>26.1157</v>
      </c>
      <c r="AJ1305" s="50">
        <v>-81.1558</v>
      </c>
      <c r="AK1305" s="41" t="s">
        <v>214</v>
      </c>
      <c r="AL1305" s="40" t="s">
        <v>214</v>
      </c>
      <c r="AM1305" s="49">
        <v>6.0</v>
      </c>
      <c r="AN1305" s="51">
        <v>6.0</v>
      </c>
      <c r="AO1305" s="42" t="s">
        <v>1024</v>
      </c>
      <c r="AP1305" s="43" t="s">
        <v>1024</v>
      </c>
      <c r="AQ1305" s="44" t="str">
        <f t="shared" si="147"/>
        <v>WET</v>
      </c>
      <c r="AR1305" s="44">
        <f t="shared" si="144"/>
        <v>6</v>
      </c>
      <c r="AS1305" s="44" t="str">
        <f t="shared" si="150"/>
        <v>A</v>
      </c>
      <c r="AT1305" s="44" t="str">
        <f t="shared" si="114"/>
        <v>Am</v>
      </c>
      <c r="AU1305" s="44" t="str">
        <f t="shared" si="115"/>
        <v>Am</v>
      </c>
      <c r="AV1305" s="38"/>
      <c r="AW1305" s="38"/>
      <c r="AX1305" s="38"/>
      <c r="AY1305" s="38"/>
      <c r="AZ1305" s="29">
        <v>960.0</v>
      </c>
      <c r="BA1305" s="29">
        <v>1.0</v>
      </c>
      <c r="BB1305" s="29">
        <v>1.0</v>
      </c>
      <c r="BC1305" s="29"/>
      <c r="BD1305" s="29" t="s">
        <v>88</v>
      </c>
      <c r="BE1305" s="29"/>
      <c r="BF1305" s="29" t="s">
        <v>2350</v>
      </c>
      <c r="BG1305" s="29" t="s">
        <v>572</v>
      </c>
      <c r="BH1305" s="29" t="s">
        <v>88</v>
      </c>
      <c r="BI1305" s="29" t="s">
        <v>2351</v>
      </c>
      <c r="BJ1305" s="29" t="s">
        <v>2352</v>
      </c>
      <c r="BK1305" s="29" t="s">
        <v>148</v>
      </c>
      <c r="BL1305" s="29" t="s">
        <v>148</v>
      </c>
      <c r="BM1305" s="45"/>
      <c r="BN1305" s="45">
        <v>1.0</v>
      </c>
      <c r="BO1305" s="46" t="s">
        <v>2353</v>
      </c>
      <c r="BP1305" s="2"/>
      <c r="BQ1305" s="3"/>
    </row>
    <row r="1306" ht="17.25" customHeight="1">
      <c r="A1306" s="34">
        <v>1325.0</v>
      </c>
      <c r="B1306" s="34">
        <v>101320.0</v>
      </c>
      <c r="C1306" s="34" t="s">
        <v>832</v>
      </c>
      <c r="D1306" s="34" t="s">
        <v>2341</v>
      </c>
      <c r="E1306" s="34" t="s">
        <v>2342</v>
      </c>
      <c r="F1306" s="34">
        <v>2015.0</v>
      </c>
      <c r="G1306" s="34" t="s">
        <v>2343</v>
      </c>
      <c r="H1306" s="34" t="s">
        <v>816</v>
      </c>
      <c r="I1306" s="34" t="s">
        <v>2344</v>
      </c>
      <c r="J1306" s="35"/>
      <c r="K1306" s="36">
        <v>-0.414</v>
      </c>
      <c r="L1306" s="36">
        <v>2.36</v>
      </c>
      <c r="M1306" s="36"/>
      <c r="N1306" s="36"/>
      <c r="O1306" s="36"/>
      <c r="P1306" s="52">
        <f t="shared" si="151"/>
        <v>-17.54237288</v>
      </c>
      <c r="Q1306" s="36" t="s">
        <v>96</v>
      </c>
      <c r="R1306" s="36" t="s">
        <v>490</v>
      </c>
      <c r="S1306" s="36" t="s">
        <v>2345</v>
      </c>
      <c r="T1306" s="36" t="s">
        <v>506</v>
      </c>
      <c r="U1306" s="36" t="s">
        <v>507</v>
      </c>
      <c r="V1306" s="36"/>
      <c r="W1306" s="36" t="s">
        <v>2346</v>
      </c>
      <c r="X1306" s="38">
        <v>1.0</v>
      </c>
      <c r="Y1306" s="38" t="s">
        <v>2362</v>
      </c>
      <c r="Z1306" s="38" t="s">
        <v>2363</v>
      </c>
      <c r="AA1306" s="38" t="s">
        <v>214</v>
      </c>
      <c r="AB1306" s="38">
        <v>25.744722</v>
      </c>
      <c r="AC1306" s="38">
        <v>80.94</v>
      </c>
      <c r="AD1306" s="39" t="s">
        <v>87</v>
      </c>
      <c r="AE1306" s="53"/>
      <c r="AF1306" s="38" t="s">
        <v>2364</v>
      </c>
      <c r="AG1306" s="57"/>
      <c r="AH1306" s="38">
        <v>3.6</v>
      </c>
      <c r="AI1306" s="50">
        <v>25.744722</v>
      </c>
      <c r="AJ1306" s="50">
        <v>-80.94</v>
      </c>
      <c r="AK1306" s="41" t="s">
        <v>214</v>
      </c>
      <c r="AL1306" s="40" t="s">
        <v>214</v>
      </c>
      <c r="AM1306" s="49">
        <v>5.0</v>
      </c>
      <c r="AN1306" s="51">
        <v>5.0</v>
      </c>
      <c r="AO1306" s="42" t="s">
        <v>1024</v>
      </c>
      <c r="AP1306" s="43" t="s">
        <v>1024</v>
      </c>
      <c r="AQ1306" s="44" t="str">
        <f t="shared" si="147"/>
        <v>WET</v>
      </c>
      <c r="AR1306" s="44">
        <f t="shared" si="144"/>
        <v>5</v>
      </c>
      <c r="AS1306" s="44" t="str">
        <f t="shared" si="150"/>
        <v>A</v>
      </c>
      <c r="AT1306" s="44" t="str">
        <f t="shared" si="114"/>
        <v>Am</v>
      </c>
      <c r="AU1306" s="44" t="str">
        <f t="shared" si="115"/>
        <v>Am</v>
      </c>
      <c r="AV1306" s="38"/>
      <c r="AW1306" s="38"/>
      <c r="AX1306" s="38"/>
      <c r="AY1306" s="38"/>
      <c r="AZ1306" s="29">
        <v>960.0</v>
      </c>
      <c r="BA1306" s="29">
        <v>1.0</v>
      </c>
      <c r="BB1306" s="29">
        <v>1.0</v>
      </c>
      <c r="BC1306" s="29"/>
      <c r="BD1306" s="29" t="s">
        <v>88</v>
      </c>
      <c r="BE1306" s="29"/>
      <c r="BF1306" s="29" t="s">
        <v>2350</v>
      </c>
      <c r="BG1306" s="29" t="s">
        <v>572</v>
      </c>
      <c r="BH1306" s="29" t="s">
        <v>88</v>
      </c>
      <c r="BI1306" s="29" t="s">
        <v>2351</v>
      </c>
      <c r="BJ1306" s="29" t="s">
        <v>2352</v>
      </c>
      <c r="BK1306" s="29" t="s">
        <v>148</v>
      </c>
      <c r="BL1306" s="29" t="s">
        <v>148</v>
      </c>
      <c r="BM1306" s="45"/>
      <c r="BN1306" s="45">
        <v>1.0</v>
      </c>
      <c r="BO1306" s="46" t="s">
        <v>2353</v>
      </c>
      <c r="BP1306" s="2"/>
      <c r="BQ1306" s="3"/>
    </row>
    <row r="1307" ht="15.75" customHeight="1">
      <c r="A1307" s="34">
        <v>1326.0</v>
      </c>
      <c r="B1307" s="34">
        <v>101320.0</v>
      </c>
      <c r="C1307" s="34" t="s">
        <v>832</v>
      </c>
      <c r="D1307" s="34" t="s">
        <v>2341</v>
      </c>
      <c r="E1307" s="34" t="s">
        <v>2342</v>
      </c>
      <c r="F1307" s="34">
        <v>2015.0</v>
      </c>
      <c r="G1307" s="34" t="s">
        <v>2343</v>
      </c>
      <c r="H1307" s="34" t="s">
        <v>816</v>
      </c>
      <c r="I1307" s="34" t="s">
        <v>2344</v>
      </c>
      <c r="J1307" s="35"/>
      <c r="K1307" s="36">
        <v>-0.213</v>
      </c>
      <c r="L1307" s="36">
        <v>2.14</v>
      </c>
      <c r="M1307" s="36"/>
      <c r="N1307" s="36"/>
      <c r="O1307" s="36"/>
      <c r="P1307" s="52">
        <f t="shared" si="151"/>
        <v>-9.953271028</v>
      </c>
      <c r="Q1307" s="36" t="s">
        <v>96</v>
      </c>
      <c r="R1307" s="36" t="s">
        <v>490</v>
      </c>
      <c r="S1307" s="36" t="s">
        <v>2345</v>
      </c>
      <c r="T1307" s="36" t="s">
        <v>506</v>
      </c>
      <c r="U1307" s="36" t="s">
        <v>507</v>
      </c>
      <c r="V1307" s="36"/>
      <c r="W1307" s="36" t="s">
        <v>2346</v>
      </c>
      <c r="X1307" s="38">
        <v>5.0</v>
      </c>
      <c r="Y1307" s="38" t="s">
        <v>2365</v>
      </c>
      <c r="Z1307" s="38"/>
      <c r="AA1307" s="38"/>
      <c r="AB1307" s="38"/>
      <c r="AC1307" s="38"/>
      <c r="AD1307" s="39" t="s">
        <v>87</v>
      </c>
      <c r="AE1307" s="38"/>
      <c r="AF1307" s="38"/>
      <c r="AG1307" s="38"/>
      <c r="AH1307" s="38"/>
      <c r="AI1307" s="50"/>
      <c r="AJ1307" s="50"/>
      <c r="AK1307" s="41"/>
      <c r="AL1307" s="40"/>
      <c r="AM1307" s="49"/>
      <c r="AN1307" s="43"/>
      <c r="AO1307" s="42"/>
      <c r="AP1307" s="43"/>
      <c r="AQ1307" s="44" t="str">
        <f t="shared" si="147"/>
        <v/>
      </c>
      <c r="AR1307" s="44" t="str">
        <f t="shared" si="144"/>
        <v/>
      </c>
      <c r="AS1307" s="44"/>
      <c r="AT1307" s="44" t="str">
        <f t="shared" si="114"/>
        <v/>
      </c>
      <c r="AU1307" s="44" t="str">
        <f t="shared" si="115"/>
        <v/>
      </c>
      <c r="AV1307" s="38"/>
      <c r="AW1307" s="38"/>
      <c r="AX1307" s="38"/>
      <c r="AY1307" s="38"/>
      <c r="AZ1307" s="29">
        <v>960.0</v>
      </c>
      <c r="BA1307" s="29">
        <v>1.0</v>
      </c>
      <c r="BB1307" s="29">
        <v>1.0</v>
      </c>
      <c r="BC1307" s="29"/>
      <c r="BD1307" s="29" t="s">
        <v>88</v>
      </c>
      <c r="BE1307" s="29"/>
      <c r="BF1307" s="29" t="s">
        <v>2350</v>
      </c>
      <c r="BG1307" s="29" t="s">
        <v>572</v>
      </c>
      <c r="BH1307" s="29" t="s">
        <v>88</v>
      </c>
      <c r="BI1307" s="29" t="s">
        <v>2351</v>
      </c>
      <c r="BJ1307" s="29" t="s">
        <v>2352</v>
      </c>
      <c r="BK1307" s="29" t="s">
        <v>148</v>
      </c>
      <c r="BL1307" s="29" t="s">
        <v>148</v>
      </c>
      <c r="BM1307" s="45"/>
      <c r="BN1307" s="45">
        <v>1.0</v>
      </c>
      <c r="BO1307" s="46" t="s">
        <v>2353</v>
      </c>
      <c r="BP1307" s="2"/>
      <c r="BQ1307" s="3"/>
    </row>
    <row r="1308" ht="15.75" customHeight="1">
      <c r="A1308" s="34">
        <v>1327.0</v>
      </c>
      <c r="B1308" s="34">
        <v>101320.0</v>
      </c>
      <c r="C1308" s="34" t="s">
        <v>832</v>
      </c>
      <c r="D1308" s="34" t="s">
        <v>2341</v>
      </c>
      <c r="E1308" s="34" t="s">
        <v>2342</v>
      </c>
      <c r="F1308" s="34">
        <v>2015.0</v>
      </c>
      <c r="G1308" s="34" t="s">
        <v>2343</v>
      </c>
      <c r="H1308" s="34" t="s">
        <v>816</v>
      </c>
      <c r="I1308" s="34" t="s">
        <v>2344</v>
      </c>
      <c r="J1308" s="35"/>
      <c r="K1308" s="36">
        <v>-1.954</v>
      </c>
      <c r="L1308" s="36">
        <v>3.543</v>
      </c>
      <c r="M1308" s="36"/>
      <c r="N1308" s="36"/>
      <c r="O1308" s="36"/>
      <c r="P1308" s="52">
        <f t="shared" si="151"/>
        <v>-55.15100198</v>
      </c>
      <c r="Q1308" s="36" t="s">
        <v>96</v>
      </c>
      <c r="R1308" s="36" t="s">
        <v>490</v>
      </c>
      <c r="S1308" s="36" t="s">
        <v>2345</v>
      </c>
      <c r="T1308" s="36" t="s">
        <v>506</v>
      </c>
      <c r="U1308" s="36" t="s">
        <v>507</v>
      </c>
      <c r="V1308" s="36"/>
      <c r="W1308" s="36" t="s">
        <v>2366</v>
      </c>
      <c r="X1308" s="38">
        <v>1.0</v>
      </c>
      <c r="Y1308" s="38" t="s">
        <v>2347</v>
      </c>
      <c r="Z1308" s="38" t="s">
        <v>2348</v>
      </c>
      <c r="AA1308" s="38" t="s">
        <v>214</v>
      </c>
      <c r="AB1308" s="38">
        <v>25.752778</v>
      </c>
      <c r="AC1308" s="38">
        <v>81.100278</v>
      </c>
      <c r="AD1308" s="39" t="s">
        <v>87</v>
      </c>
      <c r="AE1308" s="38">
        <v>1.2</v>
      </c>
      <c r="AF1308" s="38" t="s">
        <v>2349</v>
      </c>
      <c r="AG1308" s="38" t="s">
        <v>201</v>
      </c>
      <c r="AH1308" s="38">
        <v>38.0</v>
      </c>
      <c r="AI1308" s="50">
        <v>25.752778</v>
      </c>
      <c r="AJ1308" s="50">
        <v>-81.100278</v>
      </c>
      <c r="AK1308" s="41" t="s">
        <v>214</v>
      </c>
      <c r="AL1308" s="40" t="s">
        <v>214</v>
      </c>
      <c r="AM1308" s="49">
        <v>4.0</v>
      </c>
      <c r="AN1308" s="51">
        <v>4.0</v>
      </c>
      <c r="AO1308" s="42" t="s">
        <v>1024</v>
      </c>
      <c r="AP1308" s="43" t="s">
        <v>335</v>
      </c>
      <c r="AQ1308" s="44" t="str">
        <f t="shared" si="147"/>
        <v>WET</v>
      </c>
      <c r="AR1308" s="44">
        <f t="shared" si="144"/>
        <v>4</v>
      </c>
      <c r="AS1308" s="44" t="str">
        <f t="shared" ref="AS1308:AS1312" si="152">LEFT(AO1308,1)</f>
        <v>A</v>
      </c>
      <c r="AT1308" s="44" t="str">
        <f t="shared" si="114"/>
        <v>Aw</v>
      </c>
      <c r="AU1308" s="44" t="str">
        <f t="shared" si="115"/>
        <v>Aw</v>
      </c>
      <c r="AV1308" s="38"/>
      <c r="AW1308" s="38"/>
      <c r="AX1308" s="38"/>
      <c r="AY1308" s="38"/>
      <c r="AZ1308" s="29">
        <v>960.0</v>
      </c>
      <c r="BA1308" s="29">
        <v>1.0</v>
      </c>
      <c r="BB1308" s="29">
        <v>1.0</v>
      </c>
      <c r="BC1308" s="29"/>
      <c r="BD1308" s="29" t="s">
        <v>88</v>
      </c>
      <c r="BE1308" s="29"/>
      <c r="BF1308" s="29" t="s">
        <v>2350</v>
      </c>
      <c r="BG1308" s="29" t="s">
        <v>572</v>
      </c>
      <c r="BH1308" s="29" t="s">
        <v>88</v>
      </c>
      <c r="BI1308" s="29" t="s">
        <v>2351</v>
      </c>
      <c r="BJ1308" s="29" t="s">
        <v>2352</v>
      </c>
      <c r="BK1308" s="29" t="s">
        <v>148</v>
      </c>
      <c r="BL1308" s="29" t="s">
        <v>148</v>
      </c>
      <c r="BM1308" s="45"/>
      <c r="BN1308" s="45">
        <v>1.0</v>
      </c>
      <c r="BO1308" s="46" t="s">
        <v>2353</v>
      </c>
      <c r="BP1308" s="2"/>
      <c r="BQ1308" s="3"/>
    </row>
    <row r="1309" ht="15.75" customHeight="1">
      <c r="A1309" s="34">
        <v>1328.0</v>
      </c>
      <c r="B1309" s="34">
        <v>101320.0</v>
      </c>
      <c r="C1309" s="34" t="s">
        <v>832</v>
      </c>
      <c r="D1309" s="34" t="s">
        <v>2341</v>
      </c>
      <c r="E1309" s="34" t="s">
        <v>2342</v>
      </c>
      <c r="F1309" s="34">
        <v>2015.0</v>
      </c>
      <c r="G1309" s="34" t="s">
        <v>2343</v>
      </c>
      <c r="H1309" s="34" t="s">
        <v>816</v>
      </c>
      <c r="I1309" s="34" t="s">
        <v>2344</v>
      </c>
      <c r="J1309" s="35"/>
      <c r="K1309" s="36">
        <v>-0.96</v>
      </c>
      <c r="L1309" s="36">
        <v>2.784</v>
      </c>
      <c r="M1309" s="36"/>
      <c r="N1309" s="36"/>
      <c r="O1309" s="36"/>
      <c r="P1309" s="52">
        <f t="shared" si="151"/>
        <v>-34.48275862</v>
      </c>
      <c r="Q1309" s="36" t="s">
        <v>96</v>
      </c>
      <c r="R1309" s="36" t="s">
        <v>490</v>
      </c>
      <c r="S1309" s="36" t="s">
        <v>2345</v>
      </c>
      <c r="T1309" s="36" t="s">
        <v>506</v>
      </c>
      <c r="U1309" s="36" t="s">
        <v>507</v>
      </c>
      <c r="V1309" s="36"/>
      <c r="W1309" s="36" t="s">
        <v>2366</v>
      </c>
      <c r="X1309" s="38">
        <v>1.0</v>
      </c>
      <c r="Y1309" s="38" t="s">
        <v>2354</v>
      </c>
      <c r="Z1309" s="38" t="s">
        <v>2355</v>
      </c>
      <c r="AA1309" s="38" t="s">
        <v>214</v>
      </c>
      <c r="AB1309" s="38">
        <v>25.999722</v>
      </c>
      <c r="AC1309" s="38">
        <v>80.924722</v>
      </c>
      <c r="AD1309" s="39" t="s">
        <v>87</v>
      </c>
      <c r="AE1309" s="38">
        <v>3.04</v>
      </c>
      <c r="AF1309" s="38" t="s">
        <v>2356</v>
      </c>
      <c r="AG1309" s="38" t="s">
        <v>592</v>
      </c>
      <c r="AH1309" s="38">
        <v>38.0</v>
      </c>
      <c r="AI1309" s="50">
        <v>26.0004</v>
      </c>
      <c r="AJ1309" s="50">
        <v>-80.924722</v>
      </c>
      <c r="AK1309" s="41" t="s">
        <v>214</v>
      </c>
      <c r="AL1309" s="40" t="s">
        <v>214</v>
      </c>
      <c r="AM1309" s="49">
        <v>4.0</v>
      </c>
      <c r="AN1309" s="51">
        <v>4.0</v>
      </c>
      <c r="AO1309" s="42" t="s">
        <v>1024</v>
      </c>
      <c r="AP1309" s="43" t="s">
        <v>1024</v>
      </c>
      <c r="AQ1309" s="44" t="str">
        <f t="shared" si="147"/>
        <v>WET</v>
      </c>
      <c r="AR1309" s="44">
        <f t="shared" si="144"/>
        <v>4</v>
      </c>
      <c r="AS1309" s="44" t="str">
        <f t="shared" si="152"/>
        <v>A</v>
      </c>
      <c r="AT1309" s="44" t="str">
        <f t="shared" si="114"/>
        <v>Am</v>
      </c>
      <c r="AU1309" s="44" t="str">
        <f t="shared" si="115"/>
        <v>Am</v>
      </c>
      <c r="AV1309" s="38"/>
      <c r="AW1309" s="38"/>
      <c r="AX1309" s="38"/>
      <c r="AY1309" s="38"/>
      <c r="AZ1309" s="29">
        <v>960.0</v>
      </c>
      <c r="BA1309" s="29">
        <v>1.0</v>
      </c>
      <c r="BB1309" s="29">
        <v>1.0</v>
      </c>
      <c r="BC1309" s="29"/>
      <c r="BD1309" s="29" t="s">
        <v>88</v>
      </c>
      <c r="BE1309" s="29"/>
      <c r="BF1309" s="29" t="s">
        <v>2350</v>
      </c>
      <c r="BG1309" s="29" t="s">
        <v>572</v>
      </c>
      <c r="BH1309" s="29" t="s">
        <v>88</v>
      </c>
      <c r="BI1309" s="29" t="s">
        <v>2351</v>
      </c>
      <c r="BJ1309" s="29" t="s">
        <v>2352</v>
      </c>
      <c r="BK1309" s="29" t="s">
        <v>148</v>
      </c>
      <c r="BL1309" s="29" t="s">
        <v>148</v>
      </c>
      <c r="BM1309" s="45"/>
      <c r="BN1309" s="45">
        <v>1.0</v>
      </c>
      <c r="BO1309" s="46" t="s">
        <v>2353</v>
      </c>
      <c r="BP1309" s="2"/>
      <c r="BQ1309" s="3"/>
    </row>
    <row r="1310" ht="15.75" customHeight="1">
      <c r="A1310" s="34">
        <v>1329.0</v>
      </c>
      <c r="B1310" s="34">
        <v>101320.0</v>
      </c>
      <c r="C1310" s="34" t="s">
        <v>832</v>
      </c>
      <c r="D1310" s="34" t="s">
        <v>2341</v>
      </c>
      <c r="E1310" s="34" t="s">
        <v>2342</v>
      </c>
      <c r="F1310" s="34">
        <v>2015.0</v>
      </c>
      <c r="G1310" s="34" t="s">
        <v>2343</v>
      </c>
      <c r="H1310" s="34" t="s">
        <v>816</v>
      </c>
      <c r="I1310" s="34" t="s">
        <v>2344</v>
      </c>
      <c r="J1310" s="35"/>
      <c r="K1310" s="36">
        <v>-1.409</v>
      </c>
      <c r="L1310" s="36">
        <v>3.381</v>
      </c>
      <c r="M1310" s="36"/>
      <c r="N1310" s="36"/>
      <c r="O1310" s="36"/>
      <c r="P1310" s="52">
        <f t="shared" si="151"/>
        <v>-41.67406093</v>
      </c>
      <c r="Q1310" s="36" t="s">
        <v>96</v>
      </c>
      <c r="R1310" s="36" t="s">
        <v>490</v>
      </c>
      <c r="S1310" s="36" t="s">
        <v>2345</v>
      </c>
      <c r="T1310" s="36" t="s">
        <v>506</v>
      </c>
      <c r="U1310" s="36" t="s">
        <v>507</v>
      </c>
      <c r="V1310" s="36"/>
      <c r="W1310" s="36" t="s">
        <v>2366</v>
      </c>
      <c r="X1310" s="38">
        <v>1.0</v>
      </c>
      <c r="Y1310" s="38" t="s">
        <v>2357</v>
      </c>
      <c r="Z1310" s="38" t="s">
        <v>2358</v>
      </c>
      <c r="AA1310" s="38" t="s">
        <v>214</v>
      </c>
      <c r="AB1310" s="38">
        <v>25.7625</v>
      </c>
      <c r="AC1310" s="38">
        <v>80.9075</v>
      </c>
      <c r="AD1310" s="39" t="s">
        <v>87</v>
      </c>
      <c r="AE1310" s="53"/>
      <c r="AF1310" s="38" t="s">
        <v>2359</v>
      </c>
      <c r="AG1310" s="57"/>
      <c r="AH1310" s="38">
        <v>16.5</v>
      </c>
      <c r="AI1310" s="50">
        <v>25.7625</v>
      </c>
      <c r="AJ1310" s="50">
        <v>-80.9075</v>
      </c>
      <c r="AK1310" s="41" t="s">
        <v>214</v>
      </c>
      <c r="AL1310" s="40" t="s">
        <v>214</v>
      </c>
      <c r="AM1310" s="49">
        <v>6.0</v>
      </c>
      <c r="AN1310" s="51">
        <v>6.0</v>
      </c>
      <c r="AO1310" s="42" t="s">
        <v>1024</v>
      </c>
      <c r="AP1310" s="43" t="s">
        <v>1024</v>
      </c>
      <c r="AQ1310" s="44" t="str">
        <f t="shared" si="147"/>
        <v>WET</v>
      </c>
      <c r="AR1310" s="44">
        <f t="shared" si="144"/>
        <v>6</v>
      </c>
      <c r="AS1310" s="44" t="str">
        <f t="shared" si="152"/>
        <v>A</v>
      </c>
      <c r="AT1310" s="44" t="str">
        <f t="shared" si="114"/>
        <v>Am</v>
      </c>
      <c r="AU1310" s="44" t="str">
        <f t="shared" si="115"/>
        <v>Am</v>
      </c>
      <c r="AV1310" s="38"/>
      <c r="AW1310" s="38"/>
      <c r="AX1310" s="38"/>
      <c r="AY1310" s="38"/>
      <c r="AZ1310" s="29">
        <v>960.0</v>
      </c>
      <c r="BA1310" s="29">
        <v>1.0</v>
      </c>
      <c r="BB1310" s="29">
        <v>1.0</v>
      </c>
      <c r="BC1310" s="29"/>
      <c r="BD1310" s="29" t="s">
        <v>88</v>
      </c>
      <c r="BE1310" s="29"/>
      <c r="BF1310" s="29" t="s">
        <v>2350</v>
      </c>
      <c r="BG1310" s="29" t="s">
        <v>572</v>
      </c>
      <c r="BH1310" s="29" t="s">
        <v>88</v>
      </c>
      <c r="BI1310" s="29" t="s">
        <v>2351</v>
      </c>
      <c r="BJ1310" s="29" t="s">
        <v>2352</v>
      </c>
      <c r="BK1310" s="29" t="s">
        <v>148</v>
      </c>
      <c r="BL1310" s="29" t="s">
        <v>148</v>
      </c>
      <c r="BM1310" s="45"/>
      <c r="BN1310" s="45">
        <v>1.0</v>
      </c>
      <c r="BO1310" s="46" t="s">
        <v>2353</v>
      </c>
      <c r="BP1310" s="2"/>
      <c r="BQ1310" s="3"/>
    </row>
    <row r="1311" ht="15.75" customHeight="1">
      <c r="A1311" s="34">
        <v>1330.0</v>
      </c>
      <c r="B1311" s="34">
        <v>101320.0</v>
      </c>
      <c r="C1311" s="34" t="s">
        <v>832</v>
      </c>
      <c r="D1311" s="34" t="s">
        <v>2341</v>
      </c>
      <c r="E1311" s="34" t="s">
        <v>2342</v>
      </c>
      <c r="F1311" s="34">
        <v>2015.0</v>
      </c>
      <c r="G1311" s="34" t="s">
        <v>2343</v>
      </c>
      <c r="H1311" s="34" t="s">
        <v>816</v>
      </c>
      <c r="I1311" s="34" t="s">
        <v>2344</v>
      </c>
      <c r="J1311" s="35"/>
      <c r="K1311" s="36">
        <v>-0.871</v>
      </c>
      <c r="L1311" s="36">
        <v>2.795</v>
      </c>
      <c r="M1311" s="36"/>
      <c r="N1311" s="36"/>
      <c r="O1311" s="36"/>
      <c r="P1311" s="52">
        <f t="shared" si="151"/>
        <v>-31.1627907</v>
      </c>
      <c r="Q1311" s="36" t="s">
        <v>96</v>
      </c>
      <c r="R1311" s="36" t="s">
        <v>490</v>
      </c>
      <c r="S1311" s="36" t="s">
        <v>2345</v>
      </c>
      <c r="T1311" s="36" t="s">
        <v>506</v>
      </c>
      <c r="U1311" s="36" t="s">
        <v>507</v>
      </c>
      <c r="V1311" s="36"/>
      <c r="W1311" s="36" t="s">
        <v>2366</v>
      </c>
      <c r="X1311" s="38">
        <v>1.0</v>
      </c>
      <c r="Y1311" s="38" t="s">
        <v>1566</v>
      </c>
      <c r="Z1311" s="38" t="s">
        <v>2360</v>
      </c>
      <c r="AA1311" s="38" t="s">
        <v>214</v>
      </c>
      <c r="AB1311" s="38">
        <v>26.199167</v>
      </c>
      <c r="AC1311" s="38">
        <v>26.199167</v>
      </c>
      <c r="AD1311" s="39" t="s">
        <v>87</v>
      </c>
      <c r="AE1311" s="38">
        <v>0.0</v>
      </c>
      <c r="AF1311" s="38" t="s">
        <v>2361</v>
      </c>
      <c r="AG1311" s="38" t="s">
        <v>201</v>
      </c>
      <c r="AH1311" s="38">
        <v>3.6</v>
      </c>
      <c r="AI1311" s="50">
        <v>26.1157</v>
      </c>
      <c r="AJ1311" s="50">
        <v>-81.1558</v>
      </c>
      <c r="AK1311" s="41" t="s">
        <v>214</v>
      </c>
      <c r="AL1311" s="40" t="s">
        <v>214</v>
      </c>
      <c r="AM1311" s="49">
        <v>6.0</v>
      </c>
      <c r="AN1311" s="51">
        <v>6.0</v>
      </c>
      <c r="AO1311" s="42" t="s">
        <v>1024</v>
      </c>
      <c r="AP1311" s="43" t="s">
        <v>1024</v>
      </c>
      <c r="AQ1311" s="44" t="str">
        <f t="shared" si="147"/>
        <v>WET</v>
      </c>
      <c r="AR1311" s="44">
        <f t="shared" si="144"/>
        <v>6</v>
      </c>
      <c r="AS1311" s="44" t="str">
        <f t="shared" si="152"/>
        <v>A</v>
      </c>
      <c r="AT1311" s="44" t="str">
        <f t="shared" si="114"/>
        <v>Am</v>
      </c>
      <c r="AU1311" s="44" t="str">
        <f t="shared" si="115"/>
        <v>Am</v>
      </c>
      <c r="AV1311" s="38"/>
      <c r="AW1311" s="38"/>
      <c r="AX1311" s="38"/>
      <c r="AY1311" s="38"/>
      <c r="AZ1311" s="29">
        <v>960.0</v>
      </c>
      <c r="BA1311" s="29">
        <v>1.0</v>
      </c>
      <c r="BB1311" s="29">
        <v>1.0</v>
      </c>
      <c r="BC1311" s="29"/>
      <c r="BD1311" s="29" t="s">
        <v>88</v>
      </c>
      <c r="BE1311" s="29"/>
      <c r="BF1311" s="29" t="s">
        <v>2350</v>
      </c>
      <c r="BG1311" s="29" t="s">
        <v>572</v>
      </c>
      <c r="BH1311" s="29" t="s">
        <v>88</v>
      </c>
      <c r="BI1311" s="29" t="s">
        <v>2351</v>
      </c>
      <c r="BJ1311" s="29" t="s">
        <v>2352</v>
      </c>
      <c r="BK1311" s="29" t="s">
        <v>148</v>
      </c>
      <c r="BL1311" s="29" t="s">
        <v>148</v>
      </c>
      <c r="BM1311" s="45"/>
      <c r="BN1311" s="45">
        <v>1.0</v>
      </c>
      <c r="BO1311" s="46" t="s">
        <v>2353</v>
      </c>
      <c r="BP1311" s="2"/>
      <c r="BQ1311" s="3"/>
    </row>
    <row r="1312" ht="15.75" customHeight="1">
      <c r="A1312" s="34">
        <v>1331.0</v>
      </c>
      <c r="B1312" s="34">
        <v>101320.0</v>
      </c>
      <c r="C1312" s="34" t="s">
        <v>832</v>
      </c>
      <c r="D1312" s="34" t="s">
        <v>2341</v>
      </c>
      <c r="E1312" s="34" t="s">
        <v>2342</v>
      </c>
      <c r="F1312" s="34">
        <v>2015.0</v>
      </c>
      <c r="G1312" s="34" t="s">
        <v>2343</v>
      </c>
      <c r="H1312" s="34" t="s">
        <v>816</v>
      </c>
      <c r="I1312" s="34" t="s">
        <v>2344</v>
      </c>
      <c r="J1312" s="35"/>
      <c r="K1312" s="36">
        <v>-1.509</v>
      </c>
      <c r="L1312" s="36">
        <v>3.443</v>
      </c>
      <c r="M1312" s="36"/>
      <c r="N1312" s="36"/>
      <c r="O1312" s="36"/>
      <c r="P1312" s="52">
        <f t="shared" si="151"/>
        <v>-43.82805693</v>
      </c>
      <c r="Q1312" s="36" t="s">
        <v>96</v>
      </c>
      <c r="R1312" s="36" t="s">
        <v>490</v>
      </c>
      <c r="S1312" s="36" t="s">
        <v>2345</v>
      </c>
      <c r="T1312" s="36" t="s">
        <v>506</v>
      </c>
      <c r="U1312" s="36" t="s">
        <v>507</v>
      </c>
      <c r="V1312" s="36"/>
      <c r="W1312" s="36" t="s">
        <v>2366</v>
      </c>
      <c r="X1312" s="38">
        <v>1.0</v>
      </c>
      <c r="Y1312" s="38" t="s">
        <v>2362</v>
      </c>
      <c r="Z1312" s="38" t="s">
        <v>2363</v>
      </c>
      <c r="AA1312" s="38" t="s">
        <v>214</v>
      </c>
      <c r="AB1312" s="38">
        <v>25.744722</v>
      </c>
      <c r="AC1312" s="38">
        <v>80.94</v>
      </c>
      <c r="AD1312" s="39" t="s">
        <v>87</v>
      </c>
      <c r="AE1312" s="53"/>
      <c r="AF1312" s="38" t="s">
        <v>2364</v>
      </c>
      <c r="AG1312" s="57"/>
      <c r="AH1312" s="38">
        <v>3.6</v>
      </c>
      <c r="AI1312" s="50">
        <v>25.744722</v>
      </c>
      <c r="AJ1312" s="50">
        <v>-80.94</v>
      </c>
      <c r="AK1312" s="41" t="s">
        <v>214</v>
      </c>
      <c r="AL1312" s="40" t="s">
        <v>214</v>
      </c>
      <c r="AM1312" s="49">
        <v>5.0</v>
      </c>
      <c r="AN1312" s="51">
        <v>5.0</v>
      </c>
      <c r="AO1312" s="42" t="s">
        <v>1024</v>
      </c>
      <c r="AP1312" s="43" t="s">
        <v>1024</v>
      </c>
      <c r="AQ1312" s="44" t="str">
        <f t="shared" si="147"/>
        <v>WET</v>
      </c>
      <c r="AR1312" s="44">
        <f t="shared" si="144"/>
        <v>5</v>
      </c>
      <c r="AS1312" s="44" t="str">
        <f t="shared" si="152"/>
        <v>A</v>
      </c>
      <c r="AT1312" s="44" t="str">
        <f t="shared" si="114"/>
        <v>Am</v>
      </c>
      <c r="AU1312" s="44" t="str">
        <f t="shared" si="115"/>
        <v>Am</v>
      </c>
      <c r="AV1312" s="38"/>
      <c r="AW1312" s="38"/>
      <c r="AX1312" s="38"/>
      <c r="AY1312" s="38"/>
      <c r="AZ1312" s="29">
        <v>960.0</v>
      </c>
      <c r="BA1312" s="29">
        <v>1.0</v>
      </c>
      <c r="BB1312" s="29">
        <v>1.0</v>
      </c>
      <c r="BC1312" s="29"/>
      <c r="BD1312" s="29" t="s">
        <v>88</v>
      </c>
      <c r="BE1312" s="29"/>
      <c r="BF1312" s="29" t="s">
        <v>2350</v>
      </c>
      <c r="BG1312" s="29" t="s">
        <v>572</v>
      </c>
      <c r="BH1312" s="29" t="s">
        <v>88</v>
      </c>
      <c r="BI1312" s="29" t="s">
        <v>2351</v>
      </c>
      <c r="BJ1312" s="29" t="s">
        <v>2352</v>
      </c>
      <c r="BK1312" s="29" t="s">
        <v>148</v>
      </c>
      <c r="BL1312" s="29" t="s">
        <v>148</v>
      </c>
      <c r="BM1312" s="45"/>
      <c r="BN1312" s="45">
        <v>1.0</v>
      </c>
      <c r="BO1312" s="46" t="s">
        <v>2353</v>
      </c>
      <c r="BP1312" s="2"/>
      <c r="BQ1312" s="3"/>
    </row>
    <row r="1313" ht="15.75" customHeight="1">
      <c r="A1313" s="34">
        <v>1332.0</v>
      </c>
      <c r="B1313" s="34">
        <v>101320.0</v>
      </c>
      <c r="C1313" s="34" t="s">
        <v>832</v>
      </c>
      <c r="D1313" s="34" t="s">
        <v>2341</v>
      </c>
      <c r="E1313" s="34" t="s">
        <v>2342</v>
      </c>
      <c r="F1313" s="34">
        <v>2015.0</v>
      </c>
      <c r="G1313" s="34" t="s">
        <v>2343</v>
      </c>
      <c r="H1313" s="34" t="s">
        <v>816</v>
      </c>
      <c r="I1313" s="34" t="s">
        <v>2344</v>
      </c>
      <c r="J1313" s="35"/>
      <c r="K1313" s="36">
        <v>-1.281</v>
      </c>
      <c r="L1313" s="36">
        <v>3.189</v>
      </c>
      <c r="M1313" s="36"/>
      <c r="N1313" s="36"/>
      <c r="O1313" s="36"/>
      <c r="P1313" s="52">
        <f t="shared" si="151"/>
        <v>-40.16933208</v>
      </c>
      <c r="Q1313" s="36" t="s">
        <v>96</v>
      </c>
      <c r="R1313" s="36" t="s">
        <v>490</v>
      </c>
      <c r="S1313" s="36" t="s">
        <v>2345</v>
      </c>
      <c r="T1313" s="36" t="s">
        <v>506</v>
      </c>
      <c r="U1313" s="36" t="s">
        <v>507</v>
      </c>
      <c r="V1313" s="36"/>
      <c r="W1313" s="36" t="s">
        <v>2366</v>
      </c>
      <c r="X1313" s="38">
        <v>5.0</v>
      </c>
      <c r="Y1313" s="38" t="s">
        <v>2365</v>
      </c>
      <c r="Z1313" s="38"/>
      <c r="AA1313" s="38"/>
      <c r="AB1313" s="38"/>
      <c r="AC1313" s="38"/>
      <c r="AD1313" s="39" t="s">
        <v>87</v>
      </c>
      <c r="AE1313" s="38"/>
      <c r="AF1313" s="38"/>
      <c r="AG1313" s="38"/>
      <c r="AH1313" s="38"/>
      <c r="AI1313" s="50"/>
      <c r="AJ1313" s="50"/>
      <c r="AK1313" s="41"/>
      <c r="AL1313" s="40"/>
      <c r="AM1313" s="49"/>
      <c r="AN1313" s="43"/>
      <c r="AO1313" s="42"/>
      <c r="AP1313" s="43"/>
      <c r="AQ1313" s="44" t="str">
        <f t="shared" si="147"/>
        <v/>
      </c>
      <c r="AR1313" s="44" t="str">
        <f t="shared" si="144"/>
        <v/>
      </c>
      <c r="AS1313" s="44"/>
      <c r="AT1313" s="44" t="str">
        <f t="shared" si="114"/>
        <v/>
      </c>
      <c r="AU1313" s="44" t="str">
        <f t="shared" si="115"/>
        <v/>
      </c>
      <c r="AV1313" s="38"/>
      <c r="AW1313" s="38"/>
      <c r="AX1313" s="38"/>
      <c r="AY1313" s="38"/>
      <c r="AZ1313" s="29">
        <v>960.0</v>
      </c>
      <c r="BA1313" s="29">
        <v>1.0</v>
      </c>
      <c r="BB1313" s="29">
        <v>1.0</v>
      </c>
      <c r="BC1313" s="29"/>
      <c r="BD1313" s="29" t="s">
        <v>88</v>
      </c>
      <c r="BE1313" s="29"/>
      <c r="BF1313" s="29" t="s">
        <v>2350</v>
      </c>
      <c r="BG1313" s="29" t="s">
        <v>572</v>
      </c>
      <c r="BH1313" s="29" t="s">
        <v>88</v>
      </c>
      <c r="BI1313" s="29" t="s">
        <v>2351</v>
      </c>
      <c r="BJ1313" s="29" t="s">
        <v>2352</v>
      </c>
      <c r="BK1313" s="29" t="s">
        <v>148</v>
      </c>
      <c r="BL1313" s="29" t="s">
        <v>148</v>
      </c>
      <c r="BM1313" s="45"/>
      <c r="BN1313" s="45">
        <v>1.0</v>
      </c>
      <c r="BO1313" s="46" t="s">
        <v>2353</v>
      </c>
      <c r="BP1313" s="2"/>
      <c r="BQ1313" s="3"/>
    </row>
    <row r="1314" ht="15.75" customHeight="1">
      <c r="A1314" s="34">
        <v>1333.0</v>
      </c>
      <c r="B1314" s="34">
        <v>101335.0</v>
      </c>
      <c r="C1314" s="34" t="s">
        <v>832</v>
      </c>
      <c r="D1314" s="34" t="s">
        <v>2367</v>
      </c>
      <c r="E1314" s="34" t="s">
        <v>2368</v>
      </c>
      <c r="F1314" s="34">
        <v>2015.0</v>
      </c>
      <c r="G1314" s="34" t="s">
        <v>2369</v>
      </c>
      <c r="H1314" s="34" t="s">
        <v>816</v>
      </c>
      <c r="I1314" s="34" t="s">
        <v>2370</v>
      </c>
      <c r="J1314" s="35"/>
      <c r="K1314" s="36"/>
      <c r="L1314" s="36"/>
      <c r="M1314" s="36"/>
      <c r="N1314" s="36"/>
      <c r="O1314" s="36"/>
      <c r="P1314" s="37">
        <v>19.97</v>
      </c>
      <c r="Q1314" s="36"/>
      <c r="R1314" s="36" t="s">
        <v>96</v>
      </c>
      <c r="S1314" s="36">
        <v>90.0</v>
      </c>
      <c r="T1314" s="36" t="s">
        <v>2371</v>
      </c>
      <c r="U1314" s="36" t="s">
        <v>2372</v>
      </c>
      <c r="V1314" s="36">
        <f t="shared" ref="V1314:V1316" si="153">17*3</f>
        <v>51</v>
      </c>
      <c r="W1314" s="36" t="s">
        <v>2373</v>
      </c>
      <c r="X1314" s="38">
        <v>17.0</v>
      </c>
      <c r="Y1314" s="38" t="s">
        <v>2374</v>
      </c>
      <c r="Z1314" s="38"/>
      <c r="AA1314" s="38" t="s">
        <v>86</v>
      </c>
      <c r="AB1314" s="38">
        <v>38.883333</v>
      </c>
      <c r="AC1314" s="38">
        <v>100.383333</v>
      </c>
      <c r="AD1314" s="38" t="s">
        <v>198</v>
      </c>
      <c r="AE1314" s="53"/>
      <c r="AF1314" s="38" t="s">
        <v>2375</v>
      </c>
      <c r="AG1314" s="38"/>
      <c r="AH1314" s="38"/>
      <c r="AI1314" s="50"/>
      <c r="AJ1314" s="50"/>
      <c r="AK1314" s="41"/>
      <c r="AL1314" s="40"/>
      <c r="AM1314" s="49"/>
      <c r="AN1314" s="51"/>
      <c r="AO1314" s="42"/>
      <c r="AP1314" s="43"/>
      <c r="AQ1314" s="44" t="str">
        <f t="shared" si="147"/>
        <v>CRO</v>
      </c>
      <c r="AR1314" s="44" t="str">
        <f t="shared" si="144"/>
        <v/>
      </c>
      <c r="AS1314" s="44"/>
      <c r="AT1314" s="44" t="str">
        <f t="shared" si="114"/>
        <v/>
      </c>
      <c r="AU1314" s="44" t="str">
        <f t="shared" si="115"/>
        <v/>
      </c>
      <c r="AV1314" s="38"/>
      <c r="AW1314" s="38"/>
      <c r="AX1314" s="38"/>
      <c r="AY1314" s="38" t="s">
        <v>2376</v>
      </c>
      <c r="AZ1314" s="29">
        <v>90.0</v>
      </c>
      <c r="BA1314" s="29">
        <v>1.0</v>
      </c>
      <c r="BB1314" s="29">
        <v>1.0</v>
      </c>
      <c r="BC1314" s="29"/>
      <c r="BD1314" s="29" t="s">
        <v>88</v>
      </c>
      <c r="BE1314" s="29" t="s">
        <v>89</v>
      </c>
      <c r="BF1314" s="29" t="s">
        <v>2377</v>
      </c>
      <c r="BG1314" s="29" t="s">
        <v>220</v>
      </c>
      <c r="BH1314" s="29" t="s">
        <v>88</v>
      </c>
      <c r="BI1314" s="29" t="s">
        <v>2378</v>
      </c>
      <c r="BJ1314" s="29"/>
      <c r="BK1314" s="29" t="s">
        <v>2379</v>
      </c>
      <c r="BL1314" s="29" t="s">
        <v>2379</v>
      </c>
      <c r="BM1314" s="45"/>
      <c r="BN1314" s="45">
        <v>1.0</v>
      </c>
      <c r="BO1314" s="46" t="s">
        <v>939</v>
      </c>
      <c r="BP1314" s="2"/>
      <c r="BQ1314" s="3"/>
    </row>
    <row r="1315" ht="15.75" customHeight="1">
      <c r="A1315" s="34">
        <v>1334.0</v>
      </c>
      <c r="B1315" s="34">
        <v>101335.0</v>
      </c>
      <c r="C1315" s="34" t="s">
        <v>832</v>
      </c>
      <c r="D1315" s="34" t="s">
        <v>2367</v>
      </c>
      <c r="E1315" s="34" t="s">
        <v>2368</v>
      </c>
      <c r="F1315" s="34">
        <v>2015.0</v>
      </c>
      <c r="G1315" s="34" t="s">
        <v>2369</v>
      </c>
      <c r="H1315" s="34" t="s">
        <v>816</v>
      </c>
      <c r="I1315" s="34" t="s">
        <v>2370</v>
      </c>
      <c r="J1315" s="35"/>
      <c r="K1315" s="36"/>
      <c r="L1315" s="36"/>
      <c r="M1315" s="36"/>
      <c r="N1315" s="36"/>
      <c r="O1315" s="36"/>
      <c r="P1315" s="37">
        <v>12.77</v>
      </c>
      <c r="Q1315" s="36"/>
      <c r="R1315" s="36" t="s">
        <v>96</v>
      </c>
      <c r="S1315" s="36">
        <v>90.0</v>
      </c>
      <c r="T1315" s="36" t="s">
        <v>2371</v>
      </c>
      <c r="U1315" s="36" t="s">
        <v>2372</v>
      </c>
      <c r="V1315" s="36">
        <f t="shared" si="153"/>
        <v>51</v>
      </c>
      <c r="W1315" s="36" t="s">
        <v>2373</v>
      </c>
      <c r="X1315" s="38">
        <v>17.0</v>
      </c>
      <c r="Y1315" s="38" t="s">
        <v>2374</v>
      </c>
      <c r="Z1315" s="38"/>
      <c r="AA1315" s="38" t="s">
        <v>86</v>
      </c>
      <c r="AB1315" s="38">
        <v>38.883333</v>
      </c>
      <c r="AC1315" s="38">
        <v>100.383333</v>
      </c>
      <c r="AD1315" s="38" t="s">
        <v>198</v>
      </c>
      <c r="AE1315" s="53"/>
      <c r="AF1315" s="38" t="s">
        <v>2375</v>
      </c>
      <c r="AG1315" s="38"/>
      <c r="AH1315" s="38"/>
      <c r="AI1315" s="50"/>
      <c r="AJ1315" s="50"/>
      <c r="AK1315" s="41"/>
      <c r="AL1315" s="40"/>
      <c r="AM1315" s="49"/>
      <c r="AN1315" s="51"/>
      <c r="AO1315" s="42"/>
      <c r="AP1315" s="43"/>
      <c r="AQ1315" s="44" t="str">
        <f t="shared" si="147"/>
        <v>CRO</v>
      </c>
      <c r="AR1315" s="44" t="str">
        <f t="shared" si="144"/>
        <v/>
      </c>
      <c r="AS1315" s="44"/>
      <c r="AT1315" s="44" t="str">
        <f t="shared" si="114"/>
        <v/>
      </c>
      <c r="AU1315" s="44" t="str">
        <f t="shared" si="115"/>
        <v/>
      </c>
      <c r="AV1315" s="38"/>
      <c r="AW1315" s="38"/>
      <c r="AX1315" s="38"/>
      <c r="AY1315" s="38" t="s">
        <v>2376</v>
      </c>
      <c r="AZ1315" s="29">
        <v>90.0</v>
      </c>
      <c r="BA1315" s="29">
        <v>1.0</v>
      </c>
      <c r="BB1315" s="29">
        <v>1.0</v>
      </c>
      <c r="BC1315" s="29"/>
      <c r="BD1315" s="29" t="s">
        <v>88</v>
      </c>
      <c r="BE1315" s="29" t="s">
        <v>263</v>
      </c>
      <c r="BF1315" s="29" t="s">
        <v>2380</v>
      </c>
      <c r="BG1315" s="29" t="s">
        <v>220</v>
      </c>
      <c r="BH1315" s="29" t="s">
        <v>88</v>
      </c>
      <c r="BI1315" s="29" t="s">
        <v>2378</v>
      </c>
      <c r="BJ1315" s="29"/>
      <c r="BK1315" s="29" t="s">
        <v>2379</v>
      </c>
      <c r="BL1315" s="29" t="s">
        <v>2379</v>
      </c>
      <c r="BM1315" s="45"/>
      <c r="BN1315" s="45">
        <v>1.0</v>
      </c>
      <c r="BO1315" s="46" t="s">
        <v>939</v>
      </c>
      <c r="BP1315" s="2"/>
      <c r="BQ1315" s="3"/>
    </row>
    <row r="1316" ht="15.75" customHeight="1">
      <c r="A1316" s="34">
        <v>1335.0</v>
      </c>
      <c r="B1316" s="34">
        <v>101335.0</v>
      </c>
      <c r="C1316" s="34" t="s">
        <v>832</v>
      </c>
      <c r="D1316" s="34" t="s">
        <v>2367</v>
      </c>
      <c r="E1316" s="34" t="s">
        <v>2368</v>
      </c>
      <c r="F1316" s="34">
        <v>2015.0</v>
      </c>
      <c r="G1316" s="34" t="s">
        <v>2369</v>
      </c>
      <c r="H1316" s="34" t="s">
        <v>816</v>
      </c>
      <c r="I1316" s="34" t="s">
        <v>2370</v>
      </c>
      <c r="J1316" s="35"/>
      <c r="K1316" s="36"/>
      <c r="L1316" s="36"/>
      <c r="M1316" s="36"/>
      <c r="N1316" s="36"/>
      <c r="O1316" s="36"/>
      <c r="P1316" s="37">
        <v>7.26</v>
      </c>
      <c r="Q1316" s="36"/>
      <c r="R1316" s="36" t="s">
        <v>96</v>
      </c>
      <c r="S1316" s="36">
        <v>90.0</v>
      </c>
      <c r="T1316" s="36" t="s">
        <v>2371</v>
      </c>
      <c r="U1316" s="36" t="s">
        <v>2372</v>
      </c>
      <c r="V1316" s="36">
        <f t="shared" si="153"/>
        <v>51</v>
      </c>
      <c r="W1316" s="36" t="s">
        <v>2373</v>
      </c>
      <c r="X1316" s="38">
        <v>17.0</v>
      </c>
      <c r="Y1316" s="38" t="s">
        <v>2374</v>
      </c>
      <c r="Z1316" s="38"/>
      <c r="AA1316" s="38" t="s">
        <v>86</v>
      </c>
      <c r="AB1316" s="38">
        <v>38.883333</v>
      </c>
      <c r="AC1316" s="38">
        <v>100.383333</v>
      </c>
      <c r="AD1316" s="38" t="s">
        <v>198</v>
      </c>
      <c r="AE1316" s="53"/>
      <c r="AF1316" s="38" t="s">
        <v>2375</v>
      </c>
      <c r="AG1316" s="38"/>
      <c r="AH1316" s="38"/>
      <c r="AI1316" s="50"/>
      <c r="AJ1316" s="50"/>
      <c r="AK1316" s="41"/>
      <c r="AL1316" s="40"/>
      <c r="AM1316" s="49"/>
      <c r="AN1316" s="51"/>
      <c r="AO1316" s="42"/>
      <c r="AP1316" s="43"/>
      <c r="AQ1316" s="44" t="str">
        <f t="shared" si="147"/>
        <v>CRO</v>
      </c>
      <c r="AR1316" s="44" t="str">
        <f t="shared" si="144"/>
        <v/>
      </c>
      <c r="AS1316" s="44"/>
      <c r="AT1316" s="44" t="str">
        <f t="shared" si="114"/>
        <v/>
      </c>
      <c r="AU1316" s="44" t="str">
        <f t="shared" si="115"/>
        <v/>
      </c>
      <c r="AV1316" s="38"/>
      <c r="AW1316" s="38"/>
      <c r="AX1316" s="38"/>
      <c r="AY1316" s="38" t="s">
        <v>2376</v>
      </c>
      <c r="AZ1316" s="29">
        <v>90.0</v>
      </c>
      <c r="BA1316" s="29">
        <v>1.0</v>
      </c>
      <c r="BB1316" s="29">
        <v>1.0</v>
      </c>
      <c r="BC1316" s="29"/>
      <c r="BD1316" s="29" t="s">
        <v>88</v>
      </c>
      <c r="BE1316" s="29" t="s">
        <v>263</v>
      </c>
      <c r="BF1316" s="29" t="s">
        <v>2381</v>
      </c>
      <c r="BG1316" s="29" t="s">
        <v>220</v>
      </c>
      <c r="BH1316" s="29" t="s">
        <v>88</v>
      </c>
      <c r="BI1316" s="29" t="s">
        <v>2378</v>
      </c>
      <c r="BJ1316" s="29"/>
      <c r="BK1316" s="29" t="s">
        <v>2379</v>
      </c>
      <c r="BL1316" s="29" t="s">
        <v>2379</v>
      </c>
      <c r="BM1316" s="45"/>
      <c r="BN1316" s="45">
        <v>1.0</v>
      </c>
      <c r="BO1316" s="46" t="s">
        <v>939</v>
      </c>
      <c r="BP1316" s="2"/>
      <c r="BQ1316" s="3"/>
    </row>
    <row r="1317" ht="15.75" customHeight="1">
      <c r="A1317" s="34">
        <v>1336.0</v>
      </c>
      <c r="B1317" s="34">
        <v>103849.0</v>
      </c>
      <c r="C1317" s="34" t="s">
        <v>832</v>
      </c>
      <c r="D1317" s="34" t="s">
        <v>2382</v>
      </c>
      <c r="E1317" s="34" t="s">
        <v>2383</v>
      </c>
      <c r="F1317" s="34">
        <v>2016.0</v>
      </c>
      <c r="G1317" s="34" t="s">
        <v>2384</v>
      </c>
      <c r="H1317" s="34" t="s">
        <v>816</v>
      </c>
      <c r="I1317" s="34" t="s">
        <v>2385</v>
      </c>
      <c r="J1317" s="35"/>
      <c r="K1317" s="36">
        <v>0.13</v>
      </c>
      <c r="L1317" s="36">
        <v>3.24</v>
      </c>
      <c r="M1317" s="36"/>
      <c r="N1317" s="36"/>
      <c r="O1317" s="36"/>
      <c r="P1317" s="52">
        <f t="shared" ref="P1317:P1320" si="154">K1317*100/L1317</f>
        <v>4.012345679</v>
      </c>
      <c r="Q1317" s="36" t="s">
        <v>96</v>
      </c>
      <c r="R1317" s="36" t="s">
        <v>96</v>
      </c>
      <c r="S1317" s="36">
        <v>90.0</v>
      </c>
      <c r="T1317" s="36" t="s">
        <v>969</v>
      </c>
      <c r="U1317" s="36" t="s">
        <v>234</v>
      </c>
      <c r="V1317" s="36">
        <v>14.0</v>
      </c>
      <c r="W1317" s="36"/>
      <c r="X1317" s="38">
        <v>1.0</v>
      </c>
      <c r="Y1317" s="38" t="s">
        <v>2386</v>
      </c>
      <c r="Z1317" s="38" t="s">
        <v>2387</v>
      </c>
      <c r="AA1317" s="38" t="s">
        <v>86</v>
      </c>
      <c r="AB1317" s="38">
        <v>-35.421389</v>
      </c>
      <c r="AC1317" s="38">
        <v>71.399167</v>
      </c>
      <c r="AD1317" s="38" t="s">
        <v>1361</v>
      </c>
      <c r="AE1317" s="38">
        <v>197.0</v>
      </c>
      <c r="AF1317" s="38" t="s">
        <v>2388</v>
      </c>
      <c r="AG1317" s="38"/>
      <c r="AH1317" s="38">
        <v>6.0</v>
      </c>
      <c r="AI1317" s="50">
        <v>-35.421389</v>
      </c>
      <c r="AJ1317" s="50">
        <v>-71.399167</v>
      </c>
      <c r="AK1317" s="41" t="s">
        <v>86</v>
      </c>
      <c r="AL1317" s="40" t="s">
        <v>86</v>
      </c>
      <c r="AM1317" s="49">
        <v>198.0</v>
      </c>
      <c r="AN1317" s="51">
        <v>198.0</v>
      </c>
      <c r="AO1317" s="42" t="s">
        <v>445</v>
      </c>
      <c r="AP1317" s="43" t="s">
        <v>445</v>
      </c>
      <c r="AQ1317" s="44" t="str">
        <f t="shared" si="147"/>
        <v>CRO</v>
      </c>
      <c r="AR1317" s="44">
        <f t="shared" si="144"/>
        <v>198</v>
      </c>
      <c r="AS1317" s="44" t="str">
        <f t="shared" ref="AS1317:AS1352" si="155">LEFT(AO1317,1)</f>
        <v>C</v>
      </c>
      <c r="AT1317" s="44" t="str">
        <f t="shared" si="114"/>
        <v>Cs</v>
      </c>
      <c r="AU1317" s="44" t="str">
        <f t="shared" si="115"/>
        <v>Csb</v>
      </c>
      <c r="AV1317" s="38"/>
      <c r="AW1317" s="38"/>
      <c r="AX1317" s="38">
        <v>278.0</v>
      </c>
      <c r="AY1317" s="38" t="s">
        <v>2389</v>
      </c>
      <c r="AZ1317" s="29">
        <v>30.0</v>
      </c>
      <c r="BA1317" s="29">
        <v>1.0</v>
      </c>
      <c r="BB1317" s="29">
        <v>1.0</v>
      </c>
      <c r="BC1317" s="29"/>
      <c r="BD1317" s="29" t="s">
        <v>88</v>
      </c>
      <c r="BE1317" s="29"/>
      <c r="BF1317" s="29" t="s">
        <v>2390</v>
      </c>
      <c r="BG1317" s="29" t="s">
        <v>738</v>
      </c>
      <c r="BH1317" s="29" t="s">
        <v>88</v>
      </c>
      <c r="BI1317" s="29" t="s">
        <v>882</v>
      </c>
      <c r="BJ1317" s="29"/>
      <c r="BK1317" s="29" t="s">
        <v>180</v>
      </c>
      <c r="BL1317" s="29"/>
      <c r="BM1317" s="45"/>
      <c r="BN1317" s="45">
        <v>1.0</v>
      </c>
      <c r="BO1317" s="46" t="s">
        <v>2391</v>
      </c>
      <c r="BP1317" s="2"/>
      <c r="BQ1317" s="3"/>
    </row>
    <row r="1318" ht="15.75" customHeight="1">
      <c r="A1318" s="34">
        <v>1337.0</v>
      </c>
      <c r="B1318" s="34">
        <v>103849.0</v>
      </c>
      <c r="C1318" s="34" t="s">
        <v>832</v>
      </c>
      <c r="D1318" s="34" t="s">
        <v>2382</v>
      </c>
      <c r="E1318" s="34" t="s">
        <v>2383</v>
      </c>
      <c r="F1318" s="34">
        <v>2016.0</v>
      </c>
      <c r="G1318" s="34" t="s">
        <v>2384</v>
      </c>
      <c r="H1318" s="34" t="s">
        <v>816</v>
      </c>
      <c r="I1318" s="34" t="s">
        <v>2385</v>
      </c>
      <c r="J1318" s="35"/>
      <c r="K1318" s="36">
        <v>-0.24</v>
      </c>
      <c r="L1318" s="36">
        <v>3.01</v>
      </c>
      <c r="M1318" s="36"/>
      <c r="N1318" s="36"/>
      <c r="O1318" s="36"/>
      <c r="P1318" s="52">
        <f t="shared" si="154"/>
        <v>-7.973421927</v>
      </c>
      <c r="Q1318" s="36" t="s">
        <v>96</v>
      </c>
      <c r="R1318" s="36" t="s">
        <v>96</v>
      </c>
      <c r="S1318" s="36">
        <v>90.0</v>
      </c>
      <c r="T1318" s="36" t="s">
        <v>969</v>
      </c>
      <c r="U1318" s="36" t="s">
        <v>234</v>
      </c>
      <c r="V1318" s="36">
        <v>11.0</v>
      </c>
      <c r="W1318" s="36"/>
      <c r="X1318" s="38">
        <v>1.0</v>
      </c>
      <c r="Y1318" s="38" t="s">
        <v>2386</v>
      </c>
      <c r="Z1318" s="38" t="s">
        <v>2387</v>
      </c>
      <c r="AA1318" s="38" t="s">
        <v>86</v>
      </c>
      <c r="AB1318" s="38">
        <v>-35.421389</v>
      </c>
      <c r="AC1318" s="38">
        <v>71.399167</v>
      </c>
      <c r="AD1318" s="38" t="s">
        <v>1361</v>
      </c>
      <c r="AE1318" s="38">
        <v>197.0</v>
      </c>
      <c r="AF1318" s="38" t="s">
        <v>2388</v>
      </c>
      <c r="AG1318" s="38"/>
      <c r="AH1318" s="38">
        <v>6.0</v>
      </c>
      <c r="AI1318" s="50">
        <v>-35.421389</v>
      </c>
      <c r="AJ1318" s="50">
        <v>-71.399167</v>
      </c>
      <c r="AK1318" s="41" t="s">
        <v>86</v>
      </c>
      <c r="AL1318" s="40" t="s">
        <v>86</v>
      </c>
      <c r="AM1318" s="49">
        <v>198.0</v>
      </c>
      <c r="AN1318" s="51">
        <v>198.0</v>
      </c>
      <c r="AO1318" s="42" t="s">
        <v>445</v>
      </c>
      <c r="AP1318" s="43" t="s">
        <v>445</v>
      </c>
      <c r="AQ1318" s="44" t="str">
        <f t="shared" si="147"/>
        <v>CRO</v>
      </c>
      <c r="AR1318" s="44">
        <f t="shared" si="144"/>
        <v>198</v>
      </c>
      <c r="AS1318" s="44" t="str">
        <f t="shared" si="155"/>
        <v>C</v>
      </c>
      <c r="AT1318" s="44" t="str">
        <f t="shared" si="114"/>
        <v>Cs</v>
      </c>
      <c r="AU1318" s="44" t="str">
        <f t="shared" si="115"/>
        <v>Csb</v>
      </c>
      <c r="AV1318" s="38"/>
      <c r="AW1318" s="38"/>
      <c r="AX1318" s="38">
        <v>278.0</v>
      </c>
      <c r="AY1318" s="38" t="s">
        <v>2389</v>
      </c>
      <c r="AZ1318" s="29">
        <v>30.0</v>
      </c>
      <c r="BA1318" s="29">
        <v>1.0</v>
      </c>
      <c r="BB1318" s="29">
        <v>1.0</v>
      </c>
      <c r="BC1318" s="29"/>
      <c r="BD1318" s="29" t="s">
        <v>88</v>
      </c>
      <c r="BE1318" s="29"/>
      <c r="BF1318" s="29" t="s">
        <v>2390</v>
      </c>
      <c r="BG1318" s="29" t="s">
        <v>738</v>
      </c>
      <c r="BH1318" s="29" t="s">
        <v>88</v>
      </c>
      <c r="BI1318" s="29" t="s">
        <v>882</v>
      </c>
      <c r="BJ1318" s="29"/>
      <c r="BK1318" s="29" t="s">
        <v>180</v>
      </c>
      <c r="BL1318" s="29"/>
      <c r="BM1318" s="45"/>
      <c r="BN1318" s="45">
        <v>1.0</v>
      </c>
      <c r="BO1318" s="46" t="s">
        <v>2391</v>
      </c>
      <c r="BP1318" s="2"/>
      <c r="BQ1318" s="3"/>
    </row>
    <row r="1319" ht="15.75" customHeight="1">
      <c r="A1319" s="34">
        <v>1338.0</v>
      </c>
      <c r="B1319" s="34">
        <v>103849.0</v>
      </c>
      <c r="C1319" s="34" t="s">
        <v>832</v>
      </c>
      <c r="D1319" s="34" t="s">
        <v>2382</v>
      </c>
      <c r="E1319" s="34" t="s">
        <v>2383</v>
      </c>
      <c r="F1319" s="34">
        <v>2016.0</v>
      </c>
      <c r="G1319" s="34" t="s">
        <v>2384</v>
      </c>
      <c r="H1319" s="34" t="s">
        <v>816</v>
      </c>
      <c r="I1319" s="34" t="s">
        <v>2385</v>
      </c>
      <c r="J1319" s="35"/>
      <c r="K1319" s="36">
        <v>0.1</v>
      </c>
      <c r="L1319" s="36">
        <v>3.24</v>
      </c>
      <c r="M1319" s="36"/>
      <c r="N1319" s="36"/>
      <c r="O1319" s="36"/>
      <c r="P1319" s="52">
        <f t="shared" si="154"/>
        <v>3.086419753</v>
      </c>
      <c r="Q1319" s="36" t="s">
        <v>96</v>
      </c>
      <c r="R1319" s="36" t="s">
        <v>182</v>
      </c>
      <c r="S1319" s="36">
        <v>90.0</v>
      </c>
      <c r="T1319" s="36" t="s">
        <v>242</v>
      </c>
      <c r="U1319" s="36" t="s">
        <v>244</v>
      </c>
      <c r="V1319" s="36">
        <v>14.0</v>
      </c>
      <c r="W1319" s="36"/>
      <c r="X1319" s="38">
        <v>1.0</v>
      </c>
      <c r="Y1319" s="38" t="s">
        <v>2386</v>
      </c>
      <c r="Z1319" s="38" t="s">
        <v>2387</v>
      </c>
      <c r="AA1319" s="38" t="s">
        <v>86</v>
      </c>
      <c r="AB1319" s="38">
        <v>-35.421389</v>
      </c>
      <c r="AC1319" s="38">
        <v>71.399167</v>
      </c>
      <c r="AD1319" s="38" t="s">
        <v>1361</v>
      </c>
      <c r="AE1319" s="38">
        <v>197.0</v>
      </c>
      <c r="AF1319" s="38" t="s">
        <v>2388</v>
      </c>
      <c r="AG1319" s="38"/>
      <c r="AH1319" s="38">
        <v>6.0</v>
      </c>
      <c r="AI1319" s="50">
        <v>-35.421389</v>
      </c>
      <c r="AJ1319" s="50">
        <v>-71.399167</v>
      </c>
      <c r="AK1319" s="41" t="s">
        <v>86</v>
      </c>
      <c r="AL1319" s="40" t="s">
        <v>86</v>
      </c>
      <c r="AM1319" s="49">
        <v>198.0</v>
      </c>
      <c r="AN1319" s="51">
        <v>198.0</v>
      </c>
      <c r="AO1319" s="42" t="s">
        <v>445</v>
      </c>
      <c r="AP1319" s="43" t="s">
        <v>445</v>
      </c>
      <c r="AQ1319" s="44" t="str">
        <f t="shared" si="147"/>
        <v>CRO</v>
      </c>
      <c r="AR1319" s="44">
        <f t="shared" si="144"/>
        <v>198</v>
      </c>
      <c r="AS1319" s="44" t="str">
        <f t="shared" si="155"/>
        <v>C</v>
      </c>
      <c r="AT1319" s="44" t="str">
        <f t="shared" si="114"/>
        <v>Cs</v>
      </c>
      <c r="AU1319" s="44" t="str">
        <f t="shared" si="115"/>
        <v>Csb</v>
      </c>
      <c r="AV1319" s="38"/>
      <c r="AW1319" s="38"/>
      <c r="AX1319" s="38">
        <v>278.0</v>
      </c>
      <c r="AY1319" s="38" t="s">
        <v>2389</v>
      </c>
      <c r="AZ1319" s="29">
        <v>30.0</v>
      </c>
      <c r="BA1319" s="29">
        <v>1.0</v>
      </c>
      <c r="BB1319" s="29">
        <v>1.0</v>
      </c>
      <c r="BC1319" s="29"/>
      <c r="BD1319" s="29" t="s">
        <v>88</v>
      </c>
      <c r="BE1319" s="29"/>
      <c r="BF1319" s="29" t="s">
        <v>2390</v>
      </c>
      <c r="BG1319" s="29" t="s">
        <v>738</v>
      </c>
      <c r="BH1319" s="29" t="s">
        <v>88</v>
      </c>
      <c r="BI1319" s="29" t="s">
        <v>882</v>
      </c>
      <c r="BJ1319" s="29"/>
      <c r="BK1319" s="29" t="s">
        <v>180</v>
      </c>
      <c r="BL1319" s="29"/>
      <c r="BM1319" s="45"/>
      <c r="BN1319" s="45">
        <v>1.0</v>
      </c>
      <c r="BO1319" s="46" t="s">
        <v>2391</v>
      </c>
      <c r="BP1319" s="2"/>
      <c r="BQ1319" s="3"/>
    </row>
    <row r="1320" ht="15.75" customHeight="1">
      <c r="A1320" s="34">
        <v>1339.0</v>
      </c>
      <c r="B1320" s="34">
        <v>103849.0</v>
      </c>
      <c r="C1320" s="34" t="s">
        <v>832</v>
      </c>
      <c r="D1320" s="34" t="s">
        <v>2382</v>
      </c>
      <c r="E1320" s="34" t="s">
        <v>2383</v>
      </c>
      <c r="F1320" s="34">
        <v>2016.0</v>
      </c>
      <c r="G1320" s="34" t="s">
        <v>2384</v>
      </c>
      <c r="H1320" s="34" t="s">
        <v>816</v>
      </c>
      <c r="I1320" s="34" t="s">
        <v>2385</v>
      </c>
      <c r="J1320" s="35"/>
      <c r="K1320" s="36">
        <v>-0.26</v>
      </c>
      <c r="L1320" s="36">
        <v>3.01</v>
      </c>
      <c r="M1320" s="36"/>
      <c r="N1320" s="36"/>
      <c r="O1320" s="36"/>
      <c r="P1320" s="52">
        <f t="shared" si="154"/>
        <v>-8.637873754</v>
      </c>
      <c r="Q1320" s="36" t="s">
        <v>96</v>
      </c>
      <c r="R1320" s="36" t="s">
        <v>182</v>
      </c>
      <c r="S1320" s="36">
        <v>90.0</v>
      </c>
      <c r="T1320" s="36" t="s">
        <v>242</v>
      </c>
      <c r="U1320" s="36" t="s">
        <v>244</v>
      </c>
      <c r="V1320" s="36">
        <v>11.0</v>
      </c>
      <c r="W1320" s="36"/>
      <c r="X1320" s="38">
        <v>1.0</v>
      </c>
      <c r="Y1320" s="38" t="s">
        <v>2386</v>
      </c>
      <c r="Z1320" s="38" t="s">
        <v>2387</v>
      </c>
      <c r="AA1320" s="38" t="s">
        <v>86</v>
      </c>
      <c r="AB1320" s="38">
        <v>-35.421389</v>
      </c>
      <c r="AC1320" s="38">
        <v>71.399167</v>
      </c>
      <c r="AD1320" s="38" t="s">
        <v>1361</v>
      </c>
      <c r="AE1320" s="38">
        <v>197.0</v>
      </c>
      <c r="AF1320" s="38" t="s">
        <v>2388</v>
      </c>
      <c r="AG1320" s="38"/>
      <c r="AH1320" s="38">
        <v>6.0</v>
      </c>
      <c r="AI1320" s="50">
        <v>-35.421389</v>
      </c>
      <c r="AJ1320" s="50">
        <v>-71.399167</v>
      </c>
      <c r="AK1320" s="41" t="s">
        <v>86</v>
      </c>
      <c r="AL1320" s="40" t="s">
        <v>86</v>
      </c>
      <c r="AM1320" s="49">
        <v>198.0</v>
      </c>
      <c r="AN1320" s="51">
        <v>198.0</v>
      </c>
      <c r="AO1320" s="42" t="s">
        <v>445</v>
      </c>
      <c r="AP1320" s="43" t="s">
        <v>445</v>
      </c>
      <c r="AQ1320" s="44" t="str">
        <f t="shared" si="147"/>
        <v>CRO</v>
      </c>
      <c r="AR1320" s="44">
        <f t="shared" si="144"/>
        <v>198</v>
      </c>
      <c r="AS1320" s="44" t="str">
        <f t="shared" si="155"/>
        <v>C</v>
      </c>
      <c r="AT1320" s="44" t="str">
        <f t="shared" si="114"/>
        <v>Cs</v>
      </c>
      <c r="AU1320" s="44" t="str">
        <f t="shared" si="115"/>
        <v>Csb</v>
      </c>
      <c r="AV1320" s="38"/>
      <c r="AW1320" s="38"/>
      <c r="AX1320" s="38">
        <v>278.0</v>
      </c>
      <c r="AY1320" s="38" t="s">
        <v>2389</v>
      </c>
      <c r="AZ1320" s="29">
        <v>30.0</v>
      </c>
      <c r="BA1320" s="29">
        <v>1.0</v>
      </c>
      <c r="BB1320" s="29">
        <v>1.0</v>
      </c>
      <c r="BC1320" s="29"/>
      <c r="BD1320" s="29" t="s">
        <v>88</v>
      </c>
      <c r="BE1320" s="29"/>
      <c r="BF1320" s="29" t="s">
        <v>2390</v>
      </c>
      <c r="BG1320" s="29" t="s">
        <v>738</v>
      </c>
      <c r="BH1320" s="29" t="s">
        <v>88</v>
      </c>
      <c r="BI1320" s="29" t="s">
        <v>882</v>
      </c>
      <c r="BJ1320" s="29"/>
      <c r="BK1320" s="29" t="s">
        <v>180</v>
      </c>
      <c r="BL1320" s="29"/>
      <c r="BM1320" s="45"/>
      <c r="BN1320" s="45">
        <v>1.0</v>
      </c>
      <c r="BO1320" s="46" t="s">
        <v>2391</v>
      </c>
      <c r="BP1320" s="2"/>
      <c r="BQ1320" s="3"/>
    </row>
    <row r="1321" ht="15.75" customHeight="1">
      <c r="A1321" s="34">
        <v>1342.0</v>
      </c>
      <c r="B1321" s="34">
        <v>103363.0</v>
      </c>
      <c r="C1321" s="34" t="s">
        <v>832</v>
      </c>
      <c r="D1321" s="34" t="s">
        <v>2392</v>
      </c>
      <c r="E1321" s="34" t="s">
        <v>2393</v>
      </c>
      <c r="F1321" s="34">
        <v>2017.0</v>
      </c>
      <c r="G1321" s="34" t="s">
        <v>2394</v>
      </c>
      <c r="H1321" s="34" t="s">
        <v>816</v>
      </c>
      <c r="I1321" s="34" t="s">
        <v>2395</v>
      </c>
      <c r="J1321" s="35"/>
      <c r="K1321" s="36"/>
      <c r="L1321" s="36"/>
      <c r="M1321" s="36"/>
      <c r="N1321" s="36"/>
      <c r="O1321" s="36"/>
      <c r="P1321" s="37">
        <v>71.0</v>
      </c>
      <c r="Q1321" s="36" t="s">
        <v>191</v>
      </c>
      <c r="R1321" s="36" t="s">
        <v>191</v>
      </c>
      <c r="S1321" s="36"/>
      <c r="T1321" s="36"/>
      <c r="U1321" s="36"/>
      <c r="V1321" s="36"/>
      <c r="W1321" s="36"/>
      <c r="X1321" s="38">
        <v>1.0</v>
      </c>
      <c r="Y1321" s="38" t="s">
        <v>2396</v>
      </c>
      <c r="Z1321" s="38" t="s">
        <v>2397</v>
      </c>
      <c r="AA1321" s="38" t="s">
        <v>370</v>
      </c>
      <c r="AB1321" s="38"/>
      <c r="AC1321" s="38"/>
      <c r="AD1321" s="38" t="s">
        <v>87</v>
      </c>
      <c r="AE1321" s="38">
        <v>230.0</v>
      </c>
      <c r="AF1321" s="38"/>
      <c r="AG1321" s="38" t="s">
        <v>108</v>
      </c>
      <c r="AH1321" s="38"/>
      <c r="AI1321" s="50">
        <v>41.5545</v>
      </c>
      <c r="AJ1321" s="50">
        <v>-83.8438</v>
      </c>
      <c r="AK1321" s="41" t="s">
        <v>370</v>
      </c>
      <c r="AL1321" s="40" t="s">
        <v>370</v>
      </c>
      <c r="AM1321" s="49">
        <v>215.0</v>
      </c>
      <c r="AN1321" s="51">
        <v>215.0</v>
      </c>
      <c r="AO1321" s="42" t="s">
        <v>107</v>
      </c>
      <c r="AP1321" s="43" t="s">
        <v>108</v>
      </c>
      <c r="AQ1321" s="44" t="str">
        <f t="shared" si="147"/>
        <v>DBF</v>
      </c>
      <c r="AR1321" s="44">
        <f t="shared" si="144"/>
        <v>215</v>
      </c>
      <c r="AS1321" s="44" t="str">
        <f t="shared" si="155"/>
        <v>D</v>
      </c>
      <c r="AT1321" s="44" t="str">
        <f t="shared" si="114"/>
        <v>Df</v>
      </c>
      <c r="AU1321" s="44" t="str">
        <f t="shared" si="115"/>
        <v>Dfa</v>
      </c>
      <c r="AV1321" s="38"/>
      <c r="AW1321" s="38"/>
      <c r="AX1321" s="38"/>
      <c r="AY1321" s="38"/>
      <c r="AZ1321" s="29"/>
      <c r="BA1321" s="29">
        <v>1.0</v>
      </c>
      <c r="BB1321" s="29">
        <v>1.0</v>
      </c>
      <c r="BC1321" s="29"/>
      <c r="BD1321" s="29" t="s">
        <v>88</v>
      </c>
      <c r="BE1321" s="29" t="s">
        <v>263</v>
      </c>
      <c r="BF1321" s="29" t="s">
        <v>2398</v>
      </c>
      <c r="BG1321" s="29" t="s">
        <v>572</v>
      </c>
      <c r="BH1321" s="29"/>
      <c r="BI1321" s="29"/>
      <c r="BJ1321" s="29"/>
      <c r="BK1321" s="29"/>
      <c r="BL1321" s="29"/>
      <c r="BM1321" s="45"/>
      <c r="BN1321" s="45">
        <v>1.0</v>
      </c>
      <c r="BO1321" s="46" t="s">
        <v>2399</v>
      </c>
      <c r="BP1321" s="2"/>
      <c r="BQ1321" s="3"/>
    </row>
    <row r="1322" ht="15.75" customHeight="1">
      <c r="A1322" s="34">
        <v>1343.0</v>
      </c>
      <c r="B1322" s="34">
        <v>103363.0</v>
      </c>
      <c r="C1322" s="34" t="s">
        <v>832</v>
      </c>
      <c r="D1322" s="34" t="s">
        <v>2392</v>
      </c>
      <c r="E1322" s="34" t="s">
        <v>2393</v>
      </c>
      <c r="F1322" s="34">
        <v>2017.0</v>
      </c>
      <c r="G1322" s="34" t="s">
        <v>2394</v>
      </c>
      <c r="H1322" s="34" t="s">
        <v>816</v>
      </c>
      <c r="I1322" s="34" t="s">
        <v>2395</v>
      </c>
      <c r="J1322" s="35"/>
      <c r="K1322" s="36"/>
      <c r="L1322" s="36"/>
      <c r="M1322" s="36"/>
      <c r="N1322" s="36"/>
      <c r="O1322" s="36"/>
      <c r="P1322" s="37">
        <v>93.0</v>
      </c>
      <c r="Q1322" s="36" t="s">
        <v>191</v>
      </c>
      <c r="R1322" s="36" t="s">
        <v>191</v>
      </c>
      <c r="S1322" s="36"/>
      <c r="T1322" s="36"/>
      <c r="U1322" s="36"/>
      <c r="V1322" s="36"/>
      <c r="W1322" s="36"/>
      <c r="X1322" s="38">
        <v>1.0</v>
      </c>
      <c r="Y1322" s="38" t="s">
        <v>2194</v>
      </c>
      <c r="Z1322" s="38" t="s">
        <v>2195</v>
      </c>
      <c r="AA1322" s="38" t="s">
        <v>292</v>
      </c>
      <c r="AB1322" s="38"/>
      <c r="AC1322" s="38"/>
      <c r="AD1322" s="38" t="s">
        <v>87</v>
      </c>
      <c r="AE1322" s="38">
        <v>1604.0</v>
      </c>
      <c r="AF1322" s="38" t="s">
        <v>2195</v>
      </c>
      <c r="AG1322" s="38" t="s">
        <v>303</v>
      </c>
      <c r="AH1322" s="38"/>
      <c r="AI1322" s="50">
        <v>34.3349</v>
      </c>
      <c r="AJ1322" s="50">
        <v>-106.7442</v>
      </c>
      <c r="AK1322" s="41" t="s">
        <v>292</v>
      </c>
      <c r="AL1322" s="40" t="s">
        <v>292</v>
      </c>
      <c r="AM1322" s="49">
        <v>1594.0</v>
      </c>
      <c r="AN1322" s="51">
        <v>1594.0</v>
      </c>
      <c r="AO1322" s="42" t="s">
        <v>261</v>
      </c>
      <c r="AP1322" s="43" t="s">
        <v>261</v>
      </c>
      <c r="AQ1322" s="44" t="str">
        <f t="shared" si="147"/>
        <v>OSH</v>
      </c>
      <c r="AR1322" s="44">
        <f t="shared" si="144"/>
        <v>1594</v>
      </c>
      <c r="AS1322" s="44" t="str">
        <f t="shared" si="155"/>
        <v>B</v>
      </c>
      <c r="AT1322" s="44" t="str">
        <f t="shared" si="114"/>
        <v>BW</v>
      </c>
      <c r="AU1322" s="44" t="str">
        <f t="shared" si="115"/>
        <v>BWk</v>
      </c>
      <c r="AV1322" s="38"/>
      <c r="AW1322" s="38"/>
      <c r="AX1322" s="38"/>
      <c r="AY1322" s="38"/>
      <c r="AZ1322" s="29"/>
      <c r="BA1322" s="29">
        <v>1.0</v>
      </c>
      <c r="BB1322" s="29">
        <v>1.0</v>
      </c>
      <c r="BC1322" s="29"/>
      <c r="BD1322" s="29" t="s">
        <v>88</v>
      </c>
      <c r="BE1322" s="29" t="s">
        <v>263</v>
      </c>
      <c r="BF1322" s="29" t="s">
        <v>2398</v>
      </c>
      <c r="BG1322" s="29" t="s">
        <v>572</v>
      </c>
      <c r="BH1322" s="29"/>
      <c r="BI1322" s="29"/>
      <c r="BJ1322" s="29"/>
      <c r="BK1322" s="29"/>
      <c r="BL1322" s="29"/>
      <c r="BM1322" s="45"/>
      <c r="BN1322" s="45">
        <v>1.0</v>
      </c>
      <c r="BO1322" s="46" t="s">
        <v>2399</v>
      </c>
      <c r="BP1322" s="2"/>
      <c r="BQ1322" s="3"/>
    </row>
    <row r="1323" ht="15.75" customHeight="1">
      <c r="A1323" s="34">
        <v>1344.0</v>
      </c>
      <c r="B1323" s="34">
        <v>103363.0</v>
      </c>
      <c r="C1323" s="34" t="s">
        <v>832</v>
      </c>
      <c r="D1323" s="34" t="s">
        <v>2392</v>
      </c>
      <c r="E1323" s="34" t="s">
        <v>2393</v>
      </c>
      <c r="F1323" s="34">
        <v>2017.0</v>
      </c>
      <c r="G1323" s="34" t="s">
        <v>2394</v>
      </c>
      <c r="H1323" s="34" t="s">
        <v>816</v>
      </c>
      <c r="I1323" s="34" t="s">
        <v>2395</v>
      </c>
      <c r="J1323" s="35"/>
      <c r="K1323" s="36"/>
      <c r="L1323" s="36"/>
      <c r="M1323" s="36"/>
      <c r="N1323" s="36"/>
      <c r="O1323" s="36"/>
      <c r="P1323" s="37">
        <v>-89.0</v>
      </c>
      <c r="Q1323" s="36" t="s">
        <v>191</v>
      </c>
      <c r="R1323" s="36" t="s">
        <v>191</v>
      </c>
      <c r="S1323" s="36"/>
      <c r="T1323" s="36"/>
      <c r="U1323" s="36"/>
      <c r="V1323" s="36"/>
      <c r="W1323" s="36"/>
      <c r="X1323" s="38">
        <v>1.0</v>
      </c>
      <c r="Y1323" s="38" t="s">
        <v>1669</v>
      </c>
      <c r="Z1323" s="38" t="s">
        <v>1670</v>
      </c>
      <c r="AA1323" s="38" t="s">
        <v>291</v>
      </c>
      <c r="AB1323" s="38"/>
      <c r="AC1323" s="38"/>
      <c r="AD1323" s="39" t="s">
        <v>87</v>
      </c>
      <c r="AE1323" s="38">
        <v>480.0</v>
      </c>
      <c r="AF1323" s="38"/>
      <c r="AG1323" s="38" t="s">
        <v>107</v>
      </c>
      <c r="AH1323" s="38"/>
      <c r="AI1323" s="50">
        <v>46.0827</v>
      </c>
      <c r="AJ1323" s="50">
        <v>-89.9792</v>
      </c>
      <c r="AK1323" s="41" t="s">
        <v>214</v>
      </c>
      <c r="AL1323" s="40" t="s">
        <v>214</v>
      </c>
      <c r="AM1323" s="49">
        <v>478.0</v>
      </c>
      <c r="AN1323" s="51">
        <v>478.0</v>
      </c>
      <c r="AO1323" s="42" t="s">
        <v>372</v>
      </c>
      <c r="AP1323" s="43" t="s">
        <v>107</v>
      </c>
      <c r="AQ1323" s="44" t="str">
        <f t="shared" si="147"/>
        <v>CSH</v>
      </c>
      <c r="AR1323" s="44">
        <f t="shared" si="144"/>
        <v>478</v>
      </c>
      <c r="AS1323" s="44" t="str">
        <f t="shared" si="155"/>
        <v>D</v>
      </c>
      <c r="AT1323" s="44" t="str">
        <f t="shared" si="114"/>
        <v>Df</v>
      </c>
      <c r="AU1323" s="44" t="str">
        <f t="shared" si="115"/>
        <v>Dfb</v>
      </c>
      <c r="AV1323" s="38"/>
      <c r="AW1323" s="38"/>
      <c r="AX1323" s="38"/>
      <c r="AY1323" s="38"/>
      <c r="AZ1323" s="29"/>
      <c r="BA1323" s="29">
        <v>1.0</v>
      </c>
      <c r="BB1323" s="29">
        <v>1.0</v>
      </c>
      <c r="BC1323" s="29"/>
      <c r="BD1323" s="29" t="s">
        <v>88</v>
      </c>
      <c r="BE1323" s="29" t="s">
        <v>263</v>
      </c>
      <c r="BF1323" s="29" t="s">
        <v>2398</v>
      </c>
      <c r="BG1323" s="29" t="s">
        <v>572</v>
      </c>
      <c r="BH1323" s="29"/>
      <c r="BI1323" s="29"/>
      <c r="BJ1323" s="29"/>
      <c r="BK1323" s="29"/>
      <c r="BL1323" s="29"/>
      <c r="BM1323" s="45"/>
      <c r="BN1323" s="45">
        <v>1.0</v>
      </c>
      <c r="BO1323" s="46" t="s">
        <v>2399</v>
      </c>
      <c r="BP1323" s="2"/>
      <c r="BQ1323" s="3"/>
    </row>
    <row r="1324" ht="15.75" customHeight="1">
      <c r="A1324" s="34">
        <v>1345.0</v>
      </c>
      <c r="B1324" s="34">
        <v>103363.0</v>
      </c>
      <c r="C1324" s="34" t="s">
        <v>832</v>
      </c>
      <c r="D1324" s="34" t="s">
        <v>2392</v>
      </c>
      <c r="E1324" s="34" t="s">
        <v>2393</v>
      </c>
      <c r="F1324" s="34">
        <v>2017.0</v>
      </c>
      <c r="G1324" s="34" t="s">
        <v>2394</v>
      </c>
      <c r="H1324" s="34" t="s">
        <v>816</v>
      </c>
      <c r="I1324" s="34" t="s">
        <v>2395</v>
      </c>
      <c r="J1324" s="35"/>
      <c r="K1324" s="36"/>
      <c r="L1324" s="36"/>
      <c r="M1324" s="36"/>
      <c r="N1324" s="36"/>
      <c r="O1324" s="36"/>
      <c r="P1324" s="37">
        <v>73.0</v>
      </c>
      <c r="Q1324" s="36" t="s">
        <v>191</v>
      </c>
      <c r="R1324" s="36" t="s">
        <v>191</v>
      </c>
      <c r="S1324" s="36"/>
      <c r="T1324" s="36"/>
      <c r="U1324" s="36"/>
      <c r="V1324" s="36"/>
      <c r="W1324" s="36"/>
      <c r="X1324" s="38">
        <v>1.0</v>
      </c>
      <c r="Y1324" s="38" t="s">
        <v>2188</v>
      </c>
      <c r="Z1324" s="38" t="s">
        <v>2189</v>
      </c>
      <c r="AA1324" s="38" t="s">
        <v>288</v>
      </c>
      <c r="AB1324" s="38"/>
      <c r="AC1324" s="38"/>
      <c r="AD1324" s="38" t="s">
        <v>87</v>
      </c>
      <c r="AE1324" s="38">
        <v>1596.0</v>
      </c>
      <c r="AF1324" s="38" t="s">
        <v>2189</v>
      </c>
      <c r="AG1324" s="38" t="s">
        <v>303</v>
      </c>
      <c r="AH1324" s="38"/>
      <c r="AI1324" s="50">
        <v>34.3623</v>
      </c>
      <c r="AJ1324" s="50">
        <v>-106.702</v>
      </c>
      <c r="AK1324" s="41" t="s">
        <v>288</v>
      </c>
      <c r="AL1324" s="40" t="s">
        <v>288</v>
      </c>
      <c r="AM1324" s="49">
        <v>1594.0</v>
      </c>
      <c r="AN1324" s="51">
        <v>1594.0</v>
      </c>
      <c r="AO1324" s="42" t="s">
        <v>261</v>
      </c>
      <c r="AP1324" s="43" t="s">
        <v>261</v>
      </c>
      <c r="AQ1324" s="44" t="str">
        <f t="shared" si="147"/>
        <v>GRA</v>
      </c>
      <c r="AR1324" s="44">
        <f t="shared" si="144"/>
        <v>1594</v>
      </c>
      <c r="AS1324" s="44" t="str">
        <f t="shared" si="155"/>
        <v>B</v>
      </c>
      <c r="AT1324" s="44" t="str">
        <f t="shared" si="114"/>
        <v>BW</v>
      </c>
      <c r="AU1324" s="44" t="str">
        <f t="shared" si="115"/>
        <v>BWk</v>
      </c>
      <c r="AV1324" s="38"/>
      <c r="AW1324" s="38"/>
      <c r="AX1324" s="38"/>
      <c r="AY1324" s="38"/>
      <c r="AZ1324" s="29"/>
      <c r="BA1324" s="29">
        <v>1.0</v>
      </c>
      <c r="BB1324" s="29">
        <v>1.0</v>
      </c>
      <c r="BC1324" s="29"/>
      <c r="BD1324" s="29" t="s">
        <v>88</v>
      </c>
      <c r="BE1324" s="29" t="s">
        <v>263</v>
      </c>
      <c r="BF1324" s="29" t="s">
        <v>2398</v>
      </c>
      <c r="BG1324" s="29" t="s">
        <v>572</v>
      </c>
      <c r="BH1324" s="29"/>
      <c r="BI1324" s="29"/>
      <c r="BJ1324" s="29"/>
      <c r="BK1324" s="29"/>
      <c r="BL1324" s="29"/>
      <c r="BM1324" s="45"/>
      <c r="BN1324" s="45">
        <v>1.0</v>
      </c>
      <c r="BO1324" s="46" t="s">
        <v>2399</v>
      </c>
      <c r="BP1324" s="2"/>
      <c r="BQ1324" s="3"/>
    </row>
    <row r="1325" ht="15.75" customHeight="1">
      <c r="A1325" s="34">
        <v>1346.0</v>
      </c>
      <c r="B1325" s="34">
        <v>103363.0</v>
      </c>
      <c r="C1325" s="34" t="s">
        <v>832</v>
      </c>
      <c r="D1325" s="34" t="s">
        <v>2392</v>
      </c>
      <c r="E1325" s="34" t="s">
        <v>2393</v>
      </c>
      <c r="F1325" s="34">
        <v>2017.0</v>
      </c>
      <c r="G1325" s="34" t="s">
        <v>2394</v>
      </c>
      <c r="H1325" s="34" t="s">
        <v>816</v>
      </c>
      <c r="I1325" s="34" t="s">
        <v>2395</v>
      </c>
      <c r="J1325" s="35"/>
      <c r="K1325" s="36"/>
      <c r="L1325" s="36"/>
      <c r="M1325" s="36"/>
      <c r="N1325" s="36"/>
      <c r="O1325" s="36"/>
      <c r="P1325" s="37">
        <v>-65.0</v>
      </c>
      <c r="Q1325" s="36" t="s">
        <v>191</v>
      </c>
      <c r="R1325" s="36" t="s">
        <v>191</v>
      </c>
      <c r="S1325" s="36"/>
      <c r="T1325" s="36"/>
      <c r="U1325" s="36"/>
      <c r="V1325" s="36"/>
      <c r="W1325" s="36"/>
      <c r="X1325" s="38">
        <v>1.0</v>
      </c>
      <c r="Y1325" s="38" t="s">
        <v>2400</v>
      </c>
      <c r="Z1325" s="38" t="s">
        <v>2401</v>
      </c>
      <c r="AA1325" s="38" t="s">
        <v>452</v>
      </c>
      <c r="AB1325" s="38"/>
      <c r="AC1325" s="38"/>
      <c r="AD1325" s="38" t="s">
        <v>87</v>
      </c>
      <c r="AE1325" s="38">
        <v>470.0</v>
      </c>
      <c r="AF1325" s="38"/>
      <c r="AG1325" s="38" t="s">
        <v>107</v>
      </c>
      <c r="AH1325" s="38"/>
      <c r="AI1325" s="50">
        <v>45.9459</v>
      </c>
      <c r="AJ1325" s="50">
        <v>-90.2723</v>
      </c>
      <c r="AK1325" s="41" t="s">
        <v>214</v>
      </c>
      <c r="AL1325" s="40" t="s">
        <v>214</v>
      </c>
      <c r="AM1325" s="49">
        <v>471.0</v>
      </c>
      <c r="AN1325" s="51">
        <v>471.0</v>
      </c>
      <c r="AO1325" s="42" t="s">
        <v>372</v>
      </c>
      <c r="AP1325" s="43" t="s">
        <v>107</v>
      </c>
      <c r="AQ1325" s="44" t="str">
        <f t="shared" si="147"/>
        <v>MF</v>
      </c>
      <c r="AR1325" s="44">
        <f t="shared" si="144"/>
        <v>471</v>
      </c>
      <c r="AS1325" s="44" t="str">
        <f t="shared" si="155"/>
        <v>D</v>
      </c>
      <c r="AT1325" s="44" t="str">
        <f t="shared" si="114"/>
        <v>Df</v>
      </c>
      <c r="AU1325" s="44" t="str">
        <f t="shared" si="115"/>
        <v>Dfb</v>
      </c>
      <c r="AV1325" s="38"/>
      <c r="AW1325" s="38"/>
      <c r="AX1325" s="38"/>
      <c r="AY1325" s="38"/>
      <c r="AZ1325" s="29"/>
      <c r="BA1325" s="29">
        <v>1.0</v>
      </c>
      <c r="BB1325" s="29">
        <v>1.0</v>
      </c>
      <c r="BC1325" s="29"/>
      <c r="BD1325" s="29" t="s">
        <v>88</v>
      </c>
      <c r="BE1325" s="29" t="s">
        <v>263</v>
      </c>
      <c r="BF1325" s="29" t="s">
        <v>2398</v>
      </c>
      <c r="BG1325" s="29" t="s">
        <v>572</v>
      </c>
      <c r="BH1325" s="29"/>
      <c r="BI1325" s="29"/>
      <c r="BJ1325" s="29"/>
      <c r="BK1325" s="29"/>
      <c r="BL1325" s="29"/>
      <c r="BM1325" s="45"/>
      <c r="BN1325" s="45">
        <v>1.0</v>
      </c>
      <c r="BO1325" s="46" t="s">
        <v>2399</v>
      </c>
      <c r="BP1325" s="2"/>
      <c r="BQ1325" s="3"/>
    </row>
    <row r="1326" ht="15.75" customHeight="1">
      <c r="A1326" s="34">
        <v>1347.0</v>
      </c>
      <c r="B1326" s="34">
        <v>103363.0</v>
      </c>
      <c r="C1326" s="34" t="s">
        <v>832</v>
      </c>
      <c r="D1326" s="34" t="s">
        <v>2392</v>
      </c>
      <c r="E1326" s="34" t="s">
        <v>2393</v>
      </c>
      <c r="F1326" s="34">
        <v>2017.0</v>
      </c>
      <c r="G1326" s="34" t="s">
        <v>2394</v>
      </c>
      <c r="H1326" s="34" t="s">
        <v>816</v>
      </c>
      <c r="I1326" s="34" t="s">
        <v>2395</v>
      </c>
      <c r="J1326" s="35"/>
      <c r="K1326" s="36"/>
      <c r="L1326" s="36"/>
      <c r="M1326" s="36"/>
      <c r="N1326" s="36"/>
      <c r="O1326" s="36"/>
      <c r="P1326" s="37">
        <v>-83.0</v>
      </c>
      <c r="Q1326" s="36" t="s">
        <v>191</v>
      </c>
      <c r="R1326" s="36" t="s">
        <v>191</v>
      </c>
      <c r="S1326" s="36"/>
      <c r="T1326" s="36"/>
      <c r="U1326" s="36"/>
      <c r="V1326" s="36"/>
      <c r="W1326" s="36"/>
      <c r="X1326" s="38">
        <v>1.0</v>
      </c>
      <c r="Y1326" s="85" t="s">
        <v>1326</v>
      </c>
      <c r="Z1326" s="38" t="s">
        <v>369</v>
      </c>
      <c r="AA1326" s="38" t="s">
        <v>197</v>
      </c>
      <c r="AB1326" s="38"/>
      <c r="AC1326" s="38"/>
      <c r="AD1326" s="38" t="s">
        <v>87</v>
      </c>
      <c r="AE1326" s="111">
        <v>371.0</v>
      </c>
      <c r="AF1326" s="38" t="s">
        <v>1327</v>
      </c>
      <c r="AG1326" s="38" t="s">
        <v>1328</v>
      </c>
      <c r="AH1326" s="38"/>
      <c r="AI1326" s="50">
        <v>45.8205</v>
      </c>
      <c r="AJ1326" s="50">
        <v>-121.9519</v>
      </c>
      <c r="AK1326" s="41" t="s">
        <v>197</v>
      </c>
      <c r="AL1326" s="40" t="s">
        <v>197</v>
      </c>
      <c r="AM1326" s="49">
        <v>397.0</v>
      </c>
      <c r="AN1326" s="51">
        <v>397.0</v>
      </c>
      <c r="AO1326" s="42" t="s">
        <v>445</v>
      </c>
      <c r="AP1326" s="43" t="s">
        <v>445</v>
      </c>
      <c r="AQ1326" s="44" t="str">
        <f t="shared" si="147"/>
        <v>ENF</v>
      </c>
      <c r="AR1326" s="44">
        <f t="shared" si="144"/>
        <v>397</v>
      </c>
      <c r="AS1326" s="44" t="str">
        <f t="shared" si="155"/>
        <v>C</v>
      </c>
      <c r="AT1326" s="44" t="str">
        <f t="shared" si="114"/>
        <v>Cs</v>
      </c>
      <c r="AU1326" s="44" t="str">
        <f t="shared" si="115"/>
        <v>Csb</v>
      </c>
      <c r="AV1326" s="38"/>
      <c r="AW1326" s="38"/>
      <c r="AX1326" s="38"/>
      <c r="AY1326" s="38"/>
      <c r="AZ1326" s="29"/>
      <c r="BA1326" s="29">
        <v>1.0</v>
      </c>
      <c r="BB1326" s="29">
        <v>1.0</v>
      </c>
      <c r="BC1326" s="29"/>
      <c r="BD1326" s="29" t="s">
        <v>88</v>
      </c>
      <c r="BE1326" s="29" t="s">
        <v>263</v>
      </c>
      <c r="BF1326" s="29" t="s">
        <v>2398</v>
      </c>
      <c r="BG1326" s="29" t="s">
        <v>572</v>
      </c>
      <c r="BH1326" s="29"/>
      <c r="BI1326" s="29"/>
      <c r="BJ1326" s="29"/>
      <c r="BK1326" s="29"/>
      <c r="BL1326" s="29"/>
      <c r="BM1326" s="45"/>
      <c r="BN1326" s="45">
        <v>1.0</v>
      </c>
      <c r="BO1326" s="46" t="s">
        <v>2399</v>
      </c>
      <c r="BP1326" s="2"/>
      <c r="BQ1326" s="3"/>
    </row>
    <row r="1327" ht="15.75" customHeight="1">
      <c r="A1327" s="34">
        <v>1348.0</v>
      </c>
      <c r="B1327" s="34">
        <v>103363.0</v>
      </c>
      <c r="C1327" s="34" t="s">
        <v>832</v>
      </c>
      <c r="D1327" s="34" t="s">
        <v>2392</v>
      </c>
      <c r="E1327" s="34" t="s">
        <v>2393</v>
      </c>
      <c r="F1327" s="34">
        <v>2017.0</v>
      </c>
      <c r="G1327" s="34" t="s">
        <v>2394</v>
      </c>
      <c r="H1327" s="34" t="s">
        <v>816</v>
      </c>
      <c r="I1327" s="34" t="s">
        <v>2395</v>
      </c>
      <c r="J1327" s="35"/>
      <c r="K1327" s="36"/>
      <c r="L1327" s="36"/>
      <c r="M1327" s="36"/>
      <c r="N1327" s="36"/>
      <c r="O1327" s="36"/>
      <c r="P1327" s="37">
        <v>-48.0</v>
      </c>
      <c r="Q1327" s="36" t="s">
        <v>191</v>
      </c>
      <c r="R1327" s="36" t="s">
        <v>191</v>
      </c>
      <c r="S1327" s="36"/>
      <c r="T1327" s="36"/>
      <c r="U1327" s="36"/>
      <c r="V1327" s="36"/>
      <c r="W1327" s="36"/>
      <c r="X1327" s="38">
        <v>1.0</v>
      </c>
      <c r="Y1327" s="38" t="s">
        <v>330</v>
      </c>
      <c r="Z1327" s="38" t="s">
        <v>331</v>
      </c>
      <c r="AA1327" s="38" t="s">
        <v>197</v>
      </c>
      <c r="AB1327" s="38"/>
      <c r="AC1327" s="38"/>
      <c r="AD1327" s="38" t="s">
        <v>87</v>
      </c>
      <c r="AE1327" s="38">
        <v>50.0</v>
      </c>
      <c r="AF1327" s="38"/>
      <c r="AG1327" s="38" t="s">
        <v>201</v>
      </c>
      <c r="AH1327" s="38"/>
      <c r="AI1327" s="50">
        <v>29.7381</v>
      </c>
      <c r="AJ1327" s="50">
        <v>-82.2188</v>
      </c>
      <c r="AK1327" s="41" t="s">
        <v>197</v>
      </c>
      <c r="AL1327" s="40" t="s">
        <v>197</v>
      </c>
      <c r="AM1327" s="49">
        <v>50.0</v>
      </c>
      <c r="AN1327" s="51">
        <v>50.0</v>
      </c>
      <c r="AO1327" s="42" t="s">
        <v>201</v>
      </c>
      <c r="AP1327" s="43" t="s">
        <v>201</v>
      </c>
      <c r="AQ1327" s="44" t="str">
        <f t="shared" si="147"/>
        <v>ENF</v>
      </c>
      <c r="AR1327" s="44">
        <f t="shared" si="144"/>
        <v>50</v>
      </c>
      <c r="AS1327" s="44" t="str">
        <f t="shared" si="155"/>
        <v>C</v>
      </c>
      <c r="AT1327" s="44" t="str">
        <f t="shared" si="114"/>
        <v>Cf</v>
      </c>
      <c r="AU1327" s="44" t="str">
        <f t="shared" si="115"/>
        <v>Cfa</v>
      </c>
      <c r="AV1327" s="38"/>
      <c r="AW1327" s="38"/>
      <c r="AX1327" s="38"/>
      <c r="AY1327" s="38"/>
      <c r="AZ1327" s="29"/>
      <c r="BA1327" s="29">
        <v>1.0</v>
      </c>
      <c r="BB1327" s="29">
        <v>1.0</v>
      </c>
      <c r="BC1327" s="29"/>
      <c r="BD1327" s="29" t="s">
        <v>88</v>
      </c>
      <c r="BE1327" s="29" t="s">
        <v>263</v>
      </c>
      <c r="BF1327" s="29" t="s">
        <v>2398</v>
      </c>
      <c r="BG1327" s="29" t="s">
        <v>572</v>
      </c>
      <c r="BH1327" s="29"/>
      <c r="BI1327" s="29"/>
      <c r="BJ1327" s="29"/>
      <c r="BK1327" s="29"/>
      <c r="BL1327" s="29"/>
      <c r="BM1327" s="45"/>
      <c r="BN1327" s="45">
        <v>1.0</v>
      </c>
      <c r="BO1327" s="46" t="s">
        <v>2399</v>
      </c>
      <c r="BP1327" s="2"/>
      <c r="BQ1327" s="3"/>
    </row>
    <row r="1328" ht="15.75" customHeight="1">
      <c r="A1328" s="34">
        <v>1349.0</v>
      </c>
      <c r="B1328" s="34">
        <v>103363.0</v>
      </c>
      <c r="C1328" s="34" t="s">
        <v>832</v>
      </c>
      <c r="D1328" s="34" t="s">
        <v>2392</v>
      </c>
      <c r="E1328" s="34" t="s">
        <v>2393</v>
      </c>
      <c r="F1328" s="34">
        <v>2017.0</v>
      </c>
      <c r="G1328" s="34" t="s">
        <v>2394</v>
      </c>
      <c r="H1328" s="34" t="s">
        <v>816</v>
      </c>
      <c r="I1328" s="34" t="s">
        <v>2395</v>
      </c>
      <c r="J1328" s="35"/>
      <c r="K1328" s="36"/>
      <c r="L1328" s="36"/>
      <c r="M1328" s="36"/>
      <c r="N1328" s="36"/>
      <c r="O1328" s="36"/>
      <c r="P1328" s="37">
        <v>67.0</v>
      </c>
      <c r="Q1328" s="36" t="s">
        <v>191</v>
      </c>
      <c r="R1328" s="36" t="s">
        <v>191</v>
      </c>
      <c r="S1328" s="36"/>
      <c r="T1328" s="36"/>
      <c r="U1328" s="36"/>
      <c r="V1328" s="36"/>
      <c r="W1328" s="36"/>
      <c r="X1328" s="38">
        <v>1.0</v>
      </c>
      <c r="Y1328" s="38" t="s">
        <v>2402</v>
      </c>
      <c r="Z1328" s="38" t="s">
        <v>2403</v>
      </c>
      <c r="AA1328" s="38" t="s">
        <v>292</v>
      </c>
      <c r="AB1328" s="38"/>
      <c r="AC1328" s="38"/>
      <c r="AD1328" s="38" t="s">
        <v>87</v>
      </c>
      <c r="AE1328" s="38">
        <v>950.0</v>
      </c>
      <c r="AF1328" s="38"/>
      <c r="AG1328" s="38" t="s">
        <v>2404</v>
      </c>
      <c r="AH1328" s="38"/>
      <c r="AI1328" s="50">
        <v>31.9083</v>
      </c>
      <c r="AJ1328" s="50">
        <v>-110.8395</v>
      </c>
      <c r="AK1328" s="41" t="s">
        <v>292</v>
      </c>
      <c r="AL1328" s="40" t="s">
        <v>292</v>
      </c>
      <c r="AM1328" s="49">
        <v>993.0</v>
      </c>
      <c r="AN1328" s="51">
        <v>993.0</v>
      </c>
      <c r="AO1328" s="42" t="s">
        <v>304</v>
      </c>
      <c r="AP1328" s="43" t="s">
        <v>355</v>
      </c>
      <c r="AQ1328" s="44" t="str">
        <f t="shared" si="147"/>
        <v>OSH</v>
      </c>
      <c r="AR1328" s="44">
        <f t="shared" si="144"/>
        <v>993</v>
      </c>
      <c r="AS1328" s="44" t="str">
        <f t="shared" si="155"/>
        <v>B</v>
      </c>
      <c r="AT1328" s="44" t="str">
        <f t="shared" si="114"/>
        <v>BW</v>
      </c>
      <c r="AU1328" s="44" t="str">
        <f t="shared" si="115"/>
        <v>BWh</v>
      </c>
      <c r="AV1328" s="38"/>
      <c r="AW1328" s="38"/>
      <c r="AX1328" s="38"/>
      <c r="AY1328" s="38"/>
      <c r="AZ1328" s="29"/>
      <c r="BA1328" s="29">
        <v>1.0</v>
      </c>
      <c r="BB1328" s="29">
        <v>1.0</v>
      </c>
      <c r="BC1328" s="29"/>
      <c r="BD1328" s="29" t="s">
        <v>88</v>
      </c>
      <c r="BE1328" s="29" t="s">
        <v>263</v>
      </c>
      <c r="BF1328" s="29" t="s">
        <v>2398</v>
      </c>
      <c r="BG1328" s="29" t="s">
        <v>572</v>
      </c>
      <c r="BH1328" s="29"/>
      <c r="BI1328" s="29"/>
      <c r="BJ1328" s="29"/>
      <c r="BK1328" s="29"/>
      <c r="BL1328" s="29"/>
      <c r="BM1328" s="45"/>
      <c r="BN1328" s="45">
        <v>1.0</v>
      </c>
      <c r="BO1328" s="46" t="s">
        <v>2399</v>
      </c>
      <c r="BP1328" s="2"/>
      <c r="BQ1328" s="3"/>
    </row>
    <row r="1329" ht="15.75" customHeight="1">
      <c r="A1329" s="34">
        <v>1350.0</v>
      </c>
      <c r="B1329" s="34">
        <v>103363.0</v>
      </c>
      <c r="C1329" s="34" t="s">
        <v>832</v>
      </c>
      <c r="D1329" s="34" t="s">
        <v>2392</v>
      </c>
      <c r="E1329" s="34" t="s">
        <v>2393</v>
      </c>
      <c r="F1329" s="34">
        <v>2017.0</v>
      </c>
      <c r="G1329" s="34" t="s">
        <v>2394</v>
      </c>
      <c r="H1329" s="34" t="s">
        <v>816</v>
      </c>
      <c r="I1329" s="34" t="s">
        <v>2395</v>
      </c>
      <c r="J1329" s="35"/>
      <c r="K1329" s="36"/>
      <c r="L1329" s="36"/>
      <c r="M1329" s="36"/>
      <c r="N1329" s="36"/>
      <c r="O1329" s="36"/>
      <c r="P1329" s="37">
        <v>69.0</v>
      </c>
      <c r="Q1329" s="36" t="s">
        <v>191</v>
      </c>
      <c r="R1329" s="36" t="s">
        <v>191</v>
      </c>
      <c r="S1329" s="36"/>
      <c r="T1329" s="36"/>
      <c r="U1329" s="36"/>
      <c r="V1329" s="36"/>
      <c r="W1329" s="36"/>
      <c r="X1329" s="38">
        <v>1.0</v>
      </c>
      <c r="Y1329" s="38" t="s">
        <v>2405</v>
      </c>
      <c r="Z1329" s="38" t="s">
        <v>2406</v>
      </c>
      <c r="AA1329" s="38" t="s">
        <v>292</v>
      </c>
      <c r="AB1329" s="38"/>
      <c r="AC1329" s="38"/>
      <c r="AD1329" s="38" t="s">
        <v>87</v>
      </c>
      <c r="AE1329" s="38">
        <v>2069.0</v>
      </c>
      <c r="AF1329" s="38"/>
      <c r="AG1329" s="38" t="s">
        <v>2407</v>
      </c>
      <c r="AH1329" s="38"/>
      <c r="AI1329" s="50">
        <v>41.3966</v>
      </c>
      <c r="AJ1329" s="50">
        <v>-106.8024</v>
      </c>
      <c r="AK1329" s="41" t="s">
        <v>288</v>
      </c>
      <c r="AL1329" s="40" t="s">
        <v>288</v>
      </c>
      <c r="AM1329" s="49">
        <v>2179.0</v>
      </c>
      <c r="AN1329" s="51">
        <v>2179.0</v>
      </c>
      <c r="AO1329" s="42" t="s">
        <v>293</v>
      </c>
      <c r="AP1329" s="43" t="s">
        <v>293</v>
      </c>
      <c r="AQ1329" s="44" t="str">
        <f t="shared" si="147"/>
        <v>OSH</v>
      </c>
      <c r="AR1329" s="44">
        <f t="shared" si="144"/>
        <v>2179</v>
      </c>
      <c r="AS1329" s="44" t="str">
        <f t="shared" si="155"/>
        <v>B</v>
      </c>
      <c r="AT1329" s="44" t="str">
        <f t="shared" si="114"/>
        <v>BS</v>
      </c>
      <c r="AU1329" s="44" t="str">
        <f t="shared" si="115"/>
        <v>BSk</v>
      </c>
      <c r="AV1329" s="38"/>
      <c r="AW1329" s="38"/>
      <c r="AX1329" s="38"/>
      <c r="AY1329" s="38"/>
      <c r="AZ1329" s="29"/>
      <c r="BA1329" s="29">
        <v>1.0</v>
      </c>
      <c r="BB1329" s="29">
        <v>1.0</v>
      </c>
      <c r="BC1329" s="29"/>
      <c r="BD1329" s="29" t="s">
        <v>88</v>
      </c>
      <c r="BE1329" s="29" t="s">
        <v>263</v>
      </c>
      <c r="BF1329" s="29" t="s">
        <v>2398</v>
      </c>
      <c r="BG1329" s="29" t="s">
        <v>572</v>
      </c>
      <c r="BH1329" s="29"/>
      <c r="BI1329" s="29"/>
      <c r="BJ1329" s="29"/>
      <c r="BK1329" s="29"/>
      <c r="BL1329" s="29"/>
      <c r="BM1329" s="45"/>
      <c r="BN1329" s="45">
        <v>1.0</v>
      </c>
      <c r="BO1329" s="46" t="s">
        <v>2399</v>
      </c>
      <c r="BP1329" s="2"/>
      <c r="BQ1329" s="3"/>
    </row>
    <row r="1330" ht="15.75" customHeight="1">
      <c r="A1330" s="34">
        <v>1351.0</v>
      </c>
      <c r="B1330" s="34">
        <v>103363.0</v>
      </c>
      <c r="C1330" s="34" t="s">
        <v>832</v>
      </c>
      <c r="D1330" s="34" t="s">
        <v>2392</v>
      </c>
      <c r="E1330" s="34" t="s">
        <v>2393</v>
      </c>
      <c r="F1330" s="34">
        <v>2017.0</v>
      </c>
      <c r="G1330" s="34" t="s">
        <v>2394</v>
      </c>
      <c r="H1330" s="34" t="s">
        <v>816</v>
      </c>
      <c r="I1330" s="34" t="s">
        <v>2395</v>
      </c>
      <c r="J1330" s="35"/>
      <c r="K1330" s="36"/>
      <c r="L1330" s="36"/>
      <c r="M1330" s="36"/>
      <c r="N1330" s="36"/>
      <c r="O1330" s="36"/>
      <c r="P1330" s="37">
        <v>-58.0</v>
      </c>
      <c r="Q1330" s="36" t="s">
        <v>191</v>
      </c>
      <c r="R1330" s="36" t="s">
        <v>191</v>
      </c>
      <c r="S1330" s="36"/>
      <c r="T1330" s="36"/>
      <c r="U1330" s="36"/>
      <c r="V1330" s="36"/>
      <c r="W1330" s="36"/>
      <c r="X1330" s="38">
        <v>1.0</v>
      </c>
      <c r="Y1330" s="38" t="s">
        <v>1331</v>
      </c>
      <c r="Z1330" s="38" t="s">
        <v>2408</v>
      </c>
      <c r="AA1330" s="38" t="s">
        <v>452</v>
      </c>
      <c r="AB1330" s="38"/>
      <c r="AC1330" s="38"/>
      <c r="AD1330" s="39" t="s">
        <v>87</v>
      </c>
      <c r="AE1330" s="38">
        <v>377.5</v>
      </c>
      <c r="AF1330" s="38"/>
      <c r="AG1330" s="38" t="s">
        <v>107</v>
      </c>
      <c r="AH1330" s="38"/>
      <c r="AI1330" s="50">
        <v>42.54</v>
      </c>
      <c r="AJ1330" s="50">
        <v>-72.19</v>
      </c>
      <c r="AK1330" s="41" t="s">
        <v>370</v>
      </c>
      <c r="AL1330" s="40" t="s">
        <v>370</v>
      </c>
      <c r="AM1330" s="49">
        <v>365.0</v>
      </c>
      <c r="AN1330" s="51">
        <v>365.0</v>
      </c>
      <c r="AO1330" s="42" t="s">
        <v>372</v>
      </c>
      <c r="AP1330" s="43" t="s">
        <v>107</v>
      </c>
      <c r="AQ1330" s="44" t="str">
        <f t="shared" si="147"/>
        <v>MF</v>
      </c>
      <c r="AR1330" s="44">
        <f t="shared" si="144"/>
        <v>365</v>
      </c>
      <c r="AS1330" s="44" t="str">
        <f t="shared" si="155"/>
        <v>D</v>
      </c>
      <c r="AT1330" s="44" t="str">
        <f t="shared" si="114"/>
        <v>Df</v>
      </c>
      <c r="AU1330" s="44" t="str">
        <f t="shared" si="115"/>
        <v>Dfb</v>
      </c>
      <c r="AV1330" s="38"/>
      <c r="AW1330" s="38"/>
      <c r="AX1330" s="38"/>
      <c r="AY1330" s="38"/>
      <c r="AZ1330" s="29"/>
      <c r="BA1330" s="29">
        <v>1.0</v>
      </c>
      <c r="BB1330" s="29">
        <v>1.0</v>
      </c>
      <c r="BC1330" s="29"/>
      <c r="BD1330" s="29" t="s">
        <v>88</v>
      </c>
      <c r="BE1330" s="29" t="s">
        <v>263</v>
      </c>
      <c r="BF1330" s="29" t="s">
        <v>2398</v>
      </c>
      <c r="BG1330" s="29" t="s">
        <v>572</v>
      </c>
      <c r="BH1330" s="29"/>
      <c r="BI1330" s="29"/>
      <c r="BJ1330" s="29"/>
      <c r="BK1330" s="29"/>
      <c r="BL1330" s="29"/>
      <c r="BM1330" s="45"/>
      <c r="BN1330" s="45">
        <v>1.0</v>
      </c>
      <c r="BO1330" s="46" t="s">
        <v>2399</v>
      </c>
      <c r="BP1330" s="2"/>
      <c r="BQ1330" s="3"/>
    </row>
    <row r="1331" ht="15.75" customHeight="1">
      <c r="A1331" s="34">
        <v>1352.0</v>
      </c>
      <c r="B1331" s="34">
        <v>103363.0</v>
      </c>
      <c r="C1331" s="34" t="s">
        <v>832</v>
      </c>
      <c r="D1331" s="34" t="s">
        <v>2392</v>
      </c>
      <c r="E1331" s="34" t="s">
        <v>2393</v>
      </c>
      <c r="F1331" s="34">
        <v>2017.0</v>
      </c>
      <c r="G1331" s="34" t="s">
        <v>2394</v>
      </c>
      <c r="H1331" s="34" t="s">
        <v>816</v>
      </c>
      <c r="I1331" s="34" t="s">
        <v>2395</v>
      </c>
      <c r="J1331" s="35"/>
      <c r="K1331" s="36"/>
      <c r="L1331" s="36"/>
      <c r="M1331" s="36"/>
      <c r="N1331" s="36"/>
      <c r="O1331" s="36"/>
      <c r="P1331" s="37">
        <v>74.0</v>
      </c>
      <c r="Q1331" s="36" t="s">
        <v>191</v>
      </c>
      <c r="R1331" s="36" t="s">
        <v>191</v>
      </c>
      <c r="S1331" s="36"/>
      <c r="T1331" s="36"/>
      <c r="U1331" s="36"/>
      <c r="V1331" s="36"/>
      <c r="W1331" s="36"/>
      <c r="X1331" s="38">
        <v>1.0</v>
      </c>
      <c r="Y1331" s="38" t="s">
        <v>2396</v>
      </c>
      <c r="Z1331" s="38" t="s">
        <v>2397</v>
      </c>
      <c r="AA1331" s="38" t="s">
        <v>370</v>
      </c>
      <c r="AB1331" s="38"/>
      <c r="AC1331" s="38"/>
      <c r="AD1331" s="38" t="s">
        <v>87</v>
      </c>
      <c r="AE1331" s="38">
        <v>230.0</v>
      </c>
      <c r="AF1331" s="38"/>
      <c r="AG1331" s="38" t="s">
        <v>108</v>
      </c>
      <c r="AH1331" s="38"/>
      <c r="AI1331" s="50">
        <v>41.5545</v>
      </c>
      <c r="AJ1331" s="50">
        <v>-83.8438</v>
      </c>
      <c r="AK1331" s="41" t="s">
        <v>370</v>
      </c>
      <c r="AL1331" s="40" t="s">
        <v>370</v>
      </c>
      <c r="AM1331" s="49">
        <v>215.0</v>
      </c>
      <c r="AN1331" s="51">
        <v>215.0</v>
      </c>
      <c r="AO1331" s="42" t="s">
        <v>107</v>
      </c>
      <c r="AP1331" s="43" t="s">
        <v>108</v>
      </c>
      <c r="AQ1331" s="44" t="str">
        <f t="shared" si="147"/>
        <v>DBF</v>
      </c>
      <c r="AR1331" s="44">
        <f t="shared" si="144"/>
        <v>215</v>
      </c>
      <c r="AS1331" s="44" t="str">
        <f t="shared" si="155"/>
        <v>D</v>
      </c>
      <c r="AT1331" s="44" t="str">
        <f t="shared" si="114"/>
        <v>Df</v>
      </c>
      <c r="AU1331" s="44" t="str">
        <f t="shared" si="115"/>
        <v>Dfa</v>
      </c>
      <c r="AV1331" s="38"/>
      <c r="AW1331" s="38"/>
      <c r="AX1331" s="38"/>
      <c r="AY1331" s="38"/>
      <c r="AZ1331" s="29"/>
      <c r="BA1331" s="29">
        <v>1.0</v>
      </c>
      <c r="BB1331" s="29">
        <v>2.0</v>
      </c>
      <c r="BC1331" s="29" t="s">
        <v>802</v>
      </c>
      <c r="BD1331" s="29" t="s">
        <v>88</v>
      </c>
      <c r="BE1331" s="29" t="s">
        <v>89</v>
      </c>
      <c r="BF1331" s="29" t="s">
        <v>802</v>
      </c>
      <c r="BG1331" s="29" t="s">
        <v>572</v>
      </c>
      <c r="BH1331" s="29"/>
      <c r="BI1331" s="29"/>
      <c r="BJ1331" s="29"/>
      <c r="BK1331" s="29"/>
      <c r="BL1331" s="29"/>
      <c r="BM1331" s="45"/>
      <c r="BN1331" s="45">
        <v>1.0</v>
      </c>
      <c r="BO1331" s="46" t="s">
        <v>2399</v>
      </c>
      <c r="BP1331" s="2" t="s">
        <v>682</v>
      </c>
      <c r="BQ1331" s="3"/>
    </row>
    <row r="1332" ht="15.75" customHeight="1">
      <c r="A1332" s="34">
        <v>1353.0</v>
      </c>
      <c r="B1332" s="34">
        <v>103363.0</v>
      </c>
      <c r="C1332" s="34" t="s">
        <v>832</v>
      </c>
      <c r="D1332" s="34" t="s">
        <v>2392</v>
      </c>
      <c r="E1332" s="34" t="s">
        <v>2393</v>
      </c>
      <c r="F1332" s="34">
        <v>2017.0</v>
      </c>
      <c r="G1332" s="34" t="s">
        <v>2394</v>
      </c>
      <c r="H1332" s="34" t="s">
        <v>816</v>
      </c>
      <c r="I1332" s="34" t="s">
        <v>2395</v>
      </c>
      <c r="J1332" s="35"/>
      <c r="K1332" s="36"/>
      <c r="L1332" s="36"/>
      <c r="M1332" s="36"/>
      <c r="N1332" s="36"/>
      <c r="O1332" s="36"/>
      <c r="P1332" s="37">
        <v>92.0</v>
      </c>
      <c r="Q1332" s="36" t="s">
        <v>191</v>
      </c>
      <c r="R1332" s="36" t="s">
        <v>191</v>
      </c>
      <c r="S1332" s="36"/>
      <c r="T1332" s="36"/>
      <c r="U1332" s="36"/>
      <c r="V1332" s="36"/>
      <c r="W1332" s="36"/>
      <c r="X1332" s="38">
        <v>1.0</v>
      </c>
      <c r="Y1332" s="38" t="s">
        <v>2194</v>
      </c>
      <c r="Z1332" s="38" t="s">
        <v>2195</v>
      </c>
      <c r="AA1332" s="38" t="s">
        <v>292</v>
      </c>
      <c r="AB1332" s="38"/>
      <c r="AC1332" s="38"/>
      <c r="AD1332" s="38" t="s">
        <v>87</v>
      </c>
      <c r="AE1332" s="38">
        <v>1604.0</v>
      </c>
      <c r="AF1332" s="38" t="s">
        <v>2195</v>
      </c>
      <c r="AG1332" s="38" t="s">
        <v>303</v>
      </c>
      <c r="AH1332" s="38"/>
      <c r="AI1332" s="50">
        <v>34.3349</v>
      </c>
      <c r="AJ1332" s="50">
        <v>-106.7442</v>
      </c>
      <c r="AK1332" s="41" t="s">
        <v>292</v>
      </c>
      <c r="AL1332" s="40" t="s">
        <v>292</v>
      </c>
      <c r="AM1332" s="49">
        <v>1594.0</v>
      </c>
      <c r="AN1332" s="51">
        <v>1594.0</v>
      </c>
      <c r="AO1332" s="42" t="s">
        <v>261</v>
      </c>
      <c r="AP1332" s="43" t="s">
        <v>261</v>
      </c>
      <c r="AQ1332" s="44" t="str">
        <f t="shared" si="147"/>
        <v>OSH</v>
      </c>
      <c r="AR1332" s="44">
        <f t="shared" si="144"/>
        <v>1594</v>
      </c>
      <c r="AS1332" s="44" t="str">
        <f t="shared" si="155"/>
        <v>B</v>
      </c>
      <c r="AT1332" s="44" t="str">
        <f t="shared" si="114"/>
        <v>BW</v>
      </c>
      <c r="AU1332" s="44" t="str">
        <f t="shared" si="115"/>
        <v>BWk</v>
      </c>
      <c r="AV1332" s="38"/>
      <c r="AW1332" s="38"/>
      <c r="AX1332" s="38"/>
      <c r="AY1332" s="38"/>
      <c r="AZ1332" s="29"/>
      <c r="BA1332" s="29">
        <v>1.0</v>
      </c>
      <c r="BB1332" s="29">
        <v>2.0</v>
      </c>
      <c r="BC1332" s="29" t="s">
        <v>802</v>
      </c>
      <c r="BD1332" s="29" t="s">
        <v>88</v>
      </c>
      <c r="BE1332" s="29" t="s">
        <v>89</v>
      </c>
      <c r="BF1332" s="29" t="s">
        <v>802</v>
      </c>
      <c r="BG1332" s="29" t="s">
        <v>572</v>
      </c>
      <c r="BH1332" s="29"/>
      <c r="BI1332" s="29"/>
      <c r="BJ1332" s="29"/>
      <c r="BK1332" s="29"/>
      <c r="BL1332" s="29"/>
      <c r="BM1332" s="45"/>
      <c r="BN1332" s="45">
        <v>1.0</v>
      </c>
      <c r="BO1332" s="46" t="s">
        <v>2399</v>
      </c>
      <c r="BP1332" s="2"/>
      <c r="BQ1332" s="3"/>
    </row>
    <row r="1333" ht="15.75" customHeight="1">
      <c r="A1333" s="34">
        <v>1354.0</v>
      </c>
      <c r="B1333" s="34">
        <v>103363.0</v>
      </c>
      <c r="C1333" s="34" t="s">
        <v>832</v>
      </c>
      <c r="D1333" s="34" t="s">
        <v>2392</v>
      </c>
      <c r="E1333" s="34" t="s">
        <v>2393</v>
      </c>
      <c r="F1333" s="34">
        <v>2017.0</v>
      </c>
      <c r="G1333" s="34" t="s">
        <v>2394</v>
      </c>
      <c r="H1333" s="34" t="s">
        <v>816</v>
      </c>
      <c r="I1333" s="34" t="s">
        <v>2395</v>
      </c>
      <c r="J1333" s="35"/>
      <c r="K1333" s="36"/>
      <c r="L1333" s="36"/>
      <c r="M1333" s="36"/>
      <c r="N1333" s="36"/>
      <c r="O1333" s="36"/>
      <c r="P1333" s="37">
        <v>-66.0</v>
      </c>
      <c r="Q1333" s="36" t="s">
        <v>191</v>
      </c>
      <c r="R1333" s="36" t="s">
        <v>191</v>
      </c>
      <c r="S1333" s="36"/>
      <c r="T1333" s="36"/>
      <c r="U1333" s="36"/>
      <c r="V1333" s="36"/>
      <c r="W1333" s="36"/>
      <c r="X1333" s="38">
        <v>1.0</v>
      </c>
      <c r="Y1333" s="38" t="s">
        <v>1669</v>
      </c>
      <c r="Z1333" s="38" t="s">
        <v>1670</v>
      </c>
      <c r="AA1333" s="38" t="s">
        <v>291</v>
      </c>
      <c r="AB1333" s="38"/>
      <c r="AC1333" s="38"/>
      <c r="AD1333" s="39" t="s">
        <v>87</v>
      </c>
      <c r="AE1333" s="38">
        <v>480.0</v>
      </c>
      <c r="AF1333" s="38"/>
      <c r="AG1333" s="38" t="s">
        <v>107</v>
      </c>
      <c r="AH1333" s="38"/>
      <c r="AI1333" s="50">
        <v>46.0827</v>
      </c>
      <c r="AJ1333" s="50">
        <v>-89.9792</v>
      </c>
      <c r="AK1333" s="41" t="s">
        <v>214</v>
      </c>
      <c r="AL1333" s="40" t="s">
        <v>214</v>
      </c>
      <c r="AM1333" s="49">
        <v>478.0</v>
      </c>
      <c r="AN1333" s="51">
        <v>478.0</v>
      </c>
      <c r="AO1333" s="42" t="s">
        <v>372</v>
      </c>
      <c r="AP1333" s="43" t="s">
        <v>107</v>
      </c>
      <c r="AQ1333" s="44" t="str">
        <f t="shared" si="147"/>
        <v>CSH</v>
      </c>
      <c r="AR1333" s="44">
        <f t="shared" si="144"/>
        <v>478</v>
      </c>
      <c r="AS1333" s="44" t="str">
        <f t="shared" si="155"/>
        <v>D</v>
      </c>
      <c r="AT1333" s="44" t="str">
        <f t="shared" si="114"/>
        <v>Df</v>
      </c>
      <c r="AU1333" s="44" t="str">
        <f t="shared" si="115"/>
        <v>Dfb</v>
      </c>
      <c r="AV1333" s="38"/>
      <c r="AW1333" s="38"/>
      <c r="AX1333" s="38"/>
      <c r="AY1333" s="38"/>
      <c r="AZ1333" s="29"/>
      <c r="BA1333" s="29">
        <v>1.0</v>
      </c>
      <c r="BB1333" s="29">
        <v>2.0</v>
      </c>
      <c r="BC1333" s="29" t="s">
        <v>802</v>
      </c>
      <c r="BD1333" s="29" t="s">
        <v>88</v>
      </c>
      <c r="BE1333" s="29" t="s">
        <v>89</v>
      </c>
      <c r="BF1333" s="29" t="s">
        <v>802</v>
      </c>
      <c r="BG1333" s="29" t="s">
        <v>572</v>
      </c>
      <c r="BH1333" s="29"/>
      <c r="BI1333" s="29"/>
      <c r="BJ1333" s="29"/>
      <c r="BK1333" s="29"/>
      <c r="BL1333" s="29"/>
      <c r="BM1333" s="45"/>
      <c r="BN1333" s="45">
        <v>1.0</v>
      </c>
      <c r="BO1333" s="46" t="s">
        <v>2399</v>
      </c>
      <c r="BP1333" s="2"/>
      <c r="BQ1333" s="3"/>
    </row>
    <row r="1334" ht="15.75" customHeight="1">
      <c r="A1334" s="34">
        <v>1355.0</v>
      </c>
      <c r="B1334" s="34">
        <v>103363.0</v>
      </c>
      <c r="C1334" s="34" t="s">
        <v>832</v>
      </c>
      <c r="D1334" s="34" t="s">
        <v>2392</v>
      </c>
      <c r="E1334" s="34" t="s">
        <v>2393</v>
      </c>
      <c r="F1334" s="34">
        <v>2017.0</v>
      </c>
      <c r="G1334" s="34" t="s">
        <v>2394</v>
      </c>
      <c r="H1334" s="34" t="s">
        <v>816</v>
      </c>
      <c r="I1334" s="34" t="s">
        <v>2395</v>
      </c>
      <c r="J1334" s="35"/>
      <c r="K1334" s="36"/>
      <c r="L1334" s="36"/>
      <c r="M1334" s="36"/>
      <c r="N1334" s="36"/>
      <c r="O1334" s="36"/>
      <c r="P1334" s="37">
        <v>77.0</v>
      </c>
      <c r="Q1334" s="36" t="s">
        <v>191</v>
      </c>
      <c r="R1334" s="36" t="s">
        <v>191</v>
      </c>
      <c r="S1334" s="36"/>
      <c r="T1334" s="36"/>
      <c r="U1334" s="36"/>
      <c r="V1334" s="36"/>
      <c r="W1334" s="36"/>
      <c r="X1334" s="38">
        <v>1.0</v>
      </c>
      <c r="Y1334" s="38" t="s">
        <v>2188</v>
      </c>
      <c r="Z1334" s="38" t="s">
        <v>2189</v>
      </c>
      <c r="AA1334" s="38" t="s">
        <v>288</v>
      </c>
      <c r="AB1334" s="38"/>
      <c r="AC1334" s="38"/>
      <c r="AD1334" s="38" t="s">
        <v>87</v>
      </c>
      <c r="AE1334" s="38">
        <v>1596.0</v>
      </c>
      <c r="AF1334" s="38" t="s">
        <v>2189</v>
      </c>
      <c r="AG1334" s="38" t="s">
        <v>303</v>
      </c>
      <c r="AH1334" s="38"/>
      <c r="AI1334" s="50">
        <v>34.3623</v>
      </c>
      <c r="AJ1334" s="50">
        <v>-106.702</v>
      </c>
      <c r="AK1334" s="41" t="s">
        <v>288</v>
      </c>
      <c r="AL1334" s="40" t="s">
        <v>288</v>
      </c>
      <c r="AM1334" s="49">
        <v>1594.0</v>
      </c>
      <c r="AN1334" s="51">
        <v>1594.0</v>
      </c>
      <c r="AO1334" s="42" t="s">
        <v>261</v>
      </c>
      <c r="AP1334" s="43" t="s">
        <v>261</v>
      </c>
      <c r="AQ1334" s="44" t="str">
        <f t="shared" si="147"/>
        <v>GRA</v>
      </c>
      <c r="AR1334" s="44">
        <f t="shared" si="144"/>
        <v>1594</v>
      </c>
      <c r="AS1334" s="44" t="str">
        <f t="shared" si="155"/>
        <v>B</v>
      </c>
      <c r="AT1334" s="44" t="str">
        <f t="shared" si="114"/>
        <v>BW</v>
      </c>
      <c r="AU1334" s="44" t="str">
        <f t="shared" si="115"/>
        <v>BWk</v>
      </c>
      <c r="AV1334" s="38"/>
      <c r="AW1334" s="38"/>
      <c r="AX1334" s="38"/>
      <c r="AY1334" s="38"/>
      <c r="AZ1334" s="29"/>
      <c r="BA1334" s="29">
        <v>1.0</v>
      </c>
      <c r="BB1334" s="29">
        <v>2.0</v>
      </c>
      <c r="BC1334" s="29" t="s">
        <v>802</v>
      </c>
      <c r="BD1334" s="29" t="s">
        <v>88</v>
      </c>
      <c r="BE1334" s="29" t="s">
        <v>89</v>
      </c>
      <c r="BF1334" s="29" t="s">
        <v>802</v>
      </c>
      <c r="BG1334" s="29" t="s">
        <v>572</v>
      </c>
      <c r="BH1334" s="29"/>
      <c r="BI1334" s="29"/>
      <c r="BJ1334" s="29"/>
      <c r="BK1334" s="29"/>
      <c r="BL1334" s="29"/>
      <c r="BM1334" s="45"/>
      <c r="BN1334" s="45">
        <v>1.0</v>
      </c>
      <c r="BO1334" s="46" t="s">
        <v>2399</v>
      </c>
      <c r="BP1334" s="2"/>
      <c r="BQ1334" s="3"/>
    </row>
    <row r="1335" ht="15.75" customHeight="1">
      <c r="A1335" s="34">
        <v>1356.0</v>
      </c>
      <c r="B1335" s="34">
        <v>103363.0</v>
      </c>
      <c r="C1335" s="34" t="s">
        <v>832</v>
      </c>
      <c r="D1335" s="34" t="s">
        <v>2392</v>
      </c>
      <c r="E1335" s="34" t="s">
        <v>2393</v>
      </c>
      <c r="F1335" s="34">
        <v>2017.0</v>
      </c>
      <c r="G1335" s="34" t="s">
        <v>2394</v>
      </c>
      <c r="H1335" s="34" t="s">
        <v>816</v>
      </c>
      <c r="I1335" s="34" t="s">
        <v>2395</v>
      </c>
      <c r="J1335" s="35"/>
      <c r="K1335" s="36"/>
      <c r="L1335" s="36"/>
      <c r="M1335" s="36"/>
      <c r="N1335" s="36"/>
      <c r="O1335" s="36"/>
      <c r="P1335" s="37">
        <v>-59.0</v>
      </c>
      <c r="Q1335" s="36" t="s">
        <v>191</v>
      </c>
      <c r="R1335" s="36" t="s">
        <v>191</v>
      </c>
      <c r="S1335" s="36"/>
      <c r="T1335" s="36"/>
      <c r="U1335" s="36"/>
      <c r="V1335" s="36"/>
      <c r="W1335" s="36"/>
      <c r="X1335" s="38">
        <v>1.0</v>
      </c>
      <c r="Y1335" s="38" t="s">
        <v>2400</v>
      </c>
      <c r="Z1335" s="38" t="s">
        <v>2401</v>
      </c>
      <c r="AA1335" s="38" t="s">
        <v>452</v>
      </c>
      <c r="AB1335" s="38"/>
      <c r="AC1335" s="38"/>
      <c r="AD1335" s="38" t="s">
        <v>87</v>
      </c>
      <c r="AE1335" s="38">
        <v>470.0</v>
      </c>
      <c r="AF1335" s="38"/>
      <c r="AG1335" s="38" t="s">
        <v>107</v>
      </c>
      <c r="AH1335" s="38"/>
      <c r="AI1335" s="50">
        <v>45.9459</v>
      </c>
      <c r="AJ1335" s="50">
        <v>-90.2723</v>
      </c>
      <c r="AK1335" s="41" t="s">
        <v>214</v>
      </c>
      <c r="AL1335" s="40" t="s">
        <v>214</v>
      </c>
      <c r="AM1335" s="49">
        <v>471.0</v>
      </c>
      <c r="AN1335" s="51">
        <v>471.0</v>
      </c>
      <c r="AO1335" s="42" t="s">
        <v>372</v>
      </c>
      <c r="AP1335" s="43" t="s">
        <v>107</v>
      </c>
      <c r="AQ1335" s="44" t="str">
        <f t="shared" si="147"/>
        <v>MF</v>
      </c>
      <c r="AR1335" s="44">
        <f t="shared" si="144"/>
        <v>471</v>
      </c>
      <c r="AS1335" s="44" t="str">
        <f t="shared" si="155"/>
        <v>D</v>
      </c>
      <c r="AT1335" s="44" t="str">
        <f t="shared" si="114"/>
        <v>Df</v>
      </c>
      <c r="AU1335" s="44" t="str">
        <f t="shared" si="115"/>
        <v>Dfb</v>
      </c>
      <c r="AV1335" s="38"/>
      <c r="AW1335" s="38"/>
      <c r="AX1335" s="38"/>
      <c r="AY1335" s="38"/>
      <c r="AZ1335" s="29"/>
      <c r="BA1335" s="29">
        <v>1.0</v>
      </c>
      <c r="BB1335" s="29">
        <v>2.0</v>
      </c>
      <c r="BC1335" s="29" t="s">
        <v>802</v>
      </c>
      <c r="BD1335" s="29" t="s">
        <v>88</v>
      </c>
      <c r="BE1335" s="29" t="s">
        <v>89</v>
      </c>
      <c r="BF1335" s="29" t="s">
        <v>802</v>
      </c>
      <c r="BG1335" s="29" t="s">
        <v>572</v>
      </c>
      <c r="BH1335" s="29"/>
      <c r="BI1335" s="29"/>
      <c r="BJ1335" s="29"/>
      <c r="BK1335" s="29"/>
      <c r="BL1335" s="29"/>
      <c r="BM1335" s="45"/>
      <c r="BN1335" s="45">
        <v>1.0</v>
      </c>
      <c r="BO1335" s="46" t="s">
        <v>2399</v>
      </c>
      <c r="BP1335" s="2"/>
      <c r="BQ1335" s="3"/>
    </row>
    <row r="1336" ht="15.75" customHeight="1">
      <c r="A1336" s="34">
        <v>1357.0</v>
      </c>
      <c r="B1336" s="34">
        <v>103363.0</v>
      </c>
      <c r="C1336" s="34" t="s">
        <v>832</v>
      </c>
      <c r="D1336" s="34" t="s">
        <v>2392</v>
      </c>
      <c r="E1336" s="34" t="s">
        <v>2393</v>
      </c>
      <c r="F1336" s="34">
        <v>2017.0</v>
      </c>
      <c r="G1336" s="34" t="s">
        <v>2394</v>
      </c>
      <c r="H1336" s="34" t="s">
        <v>816</v>
      </c>
      <c r="I1336" s="34" t="s">
        <v>2395</v>
      </c>
      <c r="J1336" s="35"/>
      <c r="K1336" s="36"/>
      <c r="L1336" s="36"/>
      <c r="M1336" s="36"/>
      <c r="N1336" s="36"/>
      <c r="O1336" s="36"/>
      <c r="P1336" s="37">
        <v>-75.0</v>
      </c>
      <c r="Q1336" s="36" t="s">
        <v>191</v>
      </c>
      <c r="R1336" s="36" t="s">
        <v>191</v>
      </c>
      <c r="S1336" s="36"/>
      <c r="T1336" s="36"/>
      <c r="U1336" s="36"/>
      <c r="V1336" s="36"/>
      <c r="W1336" s="36"/>
      <c r="X1336" s="38">
        <v>1.0</v>
      </c>
      <c r="Y1336" s="85" t="s">
        <v>1326</v>
      </c>
      <c r="Z1336" s="38" t="s">
        <v>369</v>
      </c>
      <c r="AA1336" s="38" t="s">
        <v>197</v>
      </c>
      <c r="AB1336" s="38"/>
      <c r="AC1336" s="38"/>
      <c r="AD1336" s="38" t="s">
        <v>87</v>
      </c>
      <c r="AE1336" s="111">
        <v>371.0</v>
      </c>
      <c r="AF1336" s="38" t="s">
        <v>1327</v>
      </c>
      <c r="AG1336" s="38" t="s">
        <v>1328</v>
      </c>
      <c r="AH1336" s="38"/>
      <c r="AI1336" s="50">
        <v>45.8205</v>
      </c>
      <c r="AJ1336" s="50">
        <v>-121.9519</v>
      </c>
      <c r="AK1336" s="41" t="s">
        <v>197</v>
      </c>
      <c r="AL1336" s="40" t="s">
        <v>197</v>
      </c>
      <c r="AM1336" s="49">
        <v>397.0</v>
      </c>
      <c r="AN1336" s="51">
        <v>397.0</v>
      </c>
      <c r="AO1336" s="42" t="s">
        <v>445</v>
      </c>
      <c r="AP1336" s="43" t="s">
        <v>445</v>
      </c>
      <c r="AQ1336" s="44" t="str">
        <f t="shared" si="147"/>
        <v>ENF</v>
      </c>
      <c r="AR1336" s="44">
        <f t="shared" si="144"/>
        <v>397</v>
      </c>
      <c r="AS1336" s="44" t="str">
        <f t="shared" si="155"/>
        <v>C</v>
      </c>
      <c r="AT1336" s="44" t="str">
        <f t="shared" si="114"/>
        <v>Cs</v>
      </c>
      <c r="AU1336" s="44" t="str">
        <f t="shared" si="115"/>
        <v>Csb</v>
      </c>
      <c r="AV1336" s="38"/>
      <c r="AW1336" s="38"/>
      <c r="AX1336" s="38"/>
      <c r="AY1336" s="38"/>
      <c r="AZ1336" s="29"/>
      <c r="BA1336" s="29">
        <v>1.0</v>
      </c>
      <c r="BB1336" s="29">
        <v>2.0</v>
      </c>
      <c r="BC1336" s="29" t="s">
        <v>802</v>
      </c>
      <c r="BD1336" s="29" t="s">
        <v>88</v>
      </c>
      <c r="BE1336" s="29" t="s">
        <v>89</v>
      </c>
      <c r="BF1336" s="29" t="s">
        <v>802</v>
      </c>
      <c r="BG1336" s="29" t="s">
        <v>572</v>
      </c>
      <c r="BH1336" s="29"/>
      <c r="BI1336" s="29"/>
      <c r="BJ1336" s="29"/>
      <c r="BK1336" s="29"/>
      <c r="BL1336" s="29"/>
      <c r="BM1336" s="45"/>
      <c r="BN1336" s="45">
        <v>1.0</v>
      </c>
      <c r="BO1336" s="46" t="s">
        <v>2399</v>
      </c>
      <c r="BP1336" s="2"/>
      <c r="BQ1336" s="3"/>
    </row>
    <row r="1337" ht="15.75" customHeight="1">
      <c r="A1337" s="34">
        <v>1358.0</v>
      </c>
      <c r="B1337" s="34">
        <v>103363.0</v>
      </c>
      <c r="C1337" s="34" t="s">
        <v>832</v>
      </c>
      <c r="D1337" s="34" t="s">
        <v>2392</v>
      </c>
      <c r="E1337" s="34" t="s">
        <v>2393</v>
      </c>
      <c r="F1337" s="34">
        <v>2017.0</v>
      </c>
      <c r="G1337" s="34" t="s">
        <v>2394</v>
      </c>
      <c r="H1337" s="34" t="s">
        <v>816</v>
      </c>
      <c r="I1337" s="34" t="s">
        <v>2395</v>
      </c>
      <c r="J1337" s="35"/>
      <c r="K1337" s="36"/>
      <c r="L1337" s="36"/>
      <c r="M1337" s="36"/>
      <c r="N1337" s="36"/>
      <c r="O1337" s="36"/>
      <c r="P1337" s="37">
        <v>-66.0</v>
      </c>
      <c r="Q1337" s="36" t="s">
        <v>191</v>
      </c>
      <c r="R1337" s="36" t="s">
        <v>191</v>
      </c>
      <c r="S1337" s="36"/>
      <c r="T1337" s="36"/>
      <c r="U1337" s="36"/>
      <c r="V1337" s="36"/>
      <c r="W1337" s="36"/>
      <c r="X1337" s="38">
        <v>1.0</v>
      </c>
      <c r="Y1337" s="38" t="s">
        <v>330</v>
      </c>
      <c r="Z1337" s="38" t="s">
        <v>331</v>
      </c>
      <c r="AA1337" s="38" t="s">
        <v>197</v>
      </c>
      <c r="AB1337" s="38"/>
      <c r="AC1337" s="38"/>
      <c r="AD1337" s="38" t="s">
        <v>87</v>
      </c>
      <c r="AE1337" s="38">
        <v>50.0</v>
      </c>
      <c r="AF1337" s="38"/>
      <c r="AG1337" s="38" t="s">
        <v>201</v>
      </c>
      <c r="AH1337" s="38"/>
      <c r="AI1337" s="50">
        <v>29.7381</v>
      </c>
      <c r="AJ1337" s="50">
        <v>-82.2188</v>
      </c>
      <c r="AK1337" s="41" t="s">
        <v>197</v>
      </c>
      <c r="AL1337" s="40" t="s">
        <v>197</v>
      </c>
      <c r="AM1337" s="49">
        <v>50.0</v>
      </c>
      <c r="AN1337" s="51">
        <v>50.0</v>
      </c>
      <c r="AO1337" s="42" t="s">
        <v>201</v>
      </c>
      <c r="AP1337" s="43" t="s">
        <v>201</v>
      </c>
      <c r="AQ1337" s="44" t="str">
        <f t="shared" si="147"/>
        <v>ENF</v>
      </c>
      <c r="AR1337" s="44">
        <f t="shared" si="144"/>
        <v>50</v>
      </c>
      <c r="AS1337" s="44" t="str">
        <f t="shared" si="155"/>
        <v>C</v>
      </c>
      <c r="AT1337" s="44" t="str">
        <f t="shared" si="114"/>
        <v>Cf</v>
      </c>
      <c r="AU1337" s="44" t="str">
        <f t="shared" si="115"/>
        <v>Cfa</v>
      </c>
      <c r="AV1337" s="38"/>
      <c r="AW1337" s="38"/>
      <c r="AX1337" s="38"/>
      <c r="AY1337" s="38"/>
      <c r="AZ1337" s="29"/>
      <c r="BA1337" s="29">
        <v>1.0</v>
      </c>
      <c r="BB1337" s="29">
        <v>2.0</v>
      </c>
      <c r="BC1337" s="29" t="s">
        <v>802</v>
      </c>
      <c r="BD1337" s="29" t="s">
        <v>88</v>
      </c>
      <c r="BE1337" s="29" t="s">
        <v>89</v>
      </c>
      <c r="BF1337" s="29" t="s">
        <v>802</v>
      </c>
      <c r="BG1337" s="29" t="s">
        <v>572</v>
      </c>
      <c r="BH1337" s="29"/>
      <c r="BI1337" s="29"/>
      <c r="BJ1337" s="29"/>
      <c r="BK1337" s="29"/>
      <c r="BL1337" s="29"/>
      <c r="BM1337" s="45"/>
      <c r="BN1337" s="45">
        <v>1.0</v>
      </c>
      <c r="BO1337" s="46" t="s">
        <v>2399</v>
      </c>
      <c r="BP1337" s="2"/>
      <c r="BQ1337" s="3"/>
    </row>
    <row r="1338" ht="15.75" customHeight="1">
      <c r="A1338" s="34">
        <v>1359.0</v>
      </c>
      <c r="B1338" s="34">
        <v>103363.0</v>
      </c>
      <c r="C1338" s="34" t="s">
        <v>832</v>
      </c>
      <c r="D1338" s="34" t="s">
        <v>2392</v>
      </c>
      <c r="E1338" s="34" t="s">
        <v>2393</v>
      </c>
      <c r="F1338" s="34">
        <v>2017.0</v>
      </c>
      <c r="G1338" s="34" t="s">
        <v>2394</v>
      </c>
      <c r="H1338" s="34" t="s">
        <v>816</v>
      </c>
      <c r="I1338" s="34" t="s">
        <v>2395</v>
      </c>
      <c r="J1338" s="35"/>
      <c r="K1338" s="36"/>
      <c r="L1338" s="36"/>
      <c r="M1338" s="36"/>
      <c r="N1338" s="36"/>
      <c r="O1338" s="36"/>
      <c r="P1338" s="37">
        <v>54.0</v>
      </c>
      <c r="Q1338" s="36" t="s">
        <v>191</v>
      </c>
      <c r="R1338" s="36" t="s">
        <v>191</v>
      </c>
      <c r="S1338" s="36"/>
      <c r="T1338" s="36"/>
      <c r="U1338" s="36"/>
      <c r="V1338" s="36"/>
      <c r="W1338" s="36"/>
      <c r="X1338" s="38">
        <v>1.0</v>
      </c>
      <c r="Y1338" s="38" t="s">
        <v>2402</v>
      </c>
      <c r="Z1338" s="38" t="s">
        <v>2403</v>
      </c>
      <c r="AA1338" s="38" t="s">
        <v>292</v>
      </c>
      <c r="AB1338" s="38"/>
      <c r="AC1338" s="38"/>
      <c r="AD1338" s="38" t="s">
        <v>87</v>
      </c>
      <c r="AE1338" s="38">
        <v>950.0</v>
      </c>
      <c r="AF1338" s="38"/>
      <c r="AG1338" s="38" t="s">
        <v>2409</v>
      </c>
      <c r="AH1338" s="38"/>
      <c r="AI1338" s="50">
        <v>31.9083</v>
      </c>
      <c r="AJ1338" s="50">
        <v>-110.8395</v>
      </c>
      <c r="AK1338" s="41" t="s">
        <v>292</v>
      </c>
      <c r="AL1338" s="40" t="s">
        <v>292</v>
      </c>
      <c r="AM1338" s="49">
        <v>993.0</v>
      </c>
      <c r="AN1338" s="51">
        <v>993.0</v>
      </c>
      <c r="AO1338" s="42" t="s">
        <v>304</v>
      </c>
      <c r="AP1338" s="43" t="s">
        <v>355</v>
      </c>
      <c r="AQ1338" s="44" t="str">
        <f t="shared" si="147"/>
        <v>OSH</v>
      </c>
      <c r="AR1338" s="44">
        <f t="shared" si="144"/>
        <v>993</v>
      </c>
      <c r="AS1338" s="44" t="str">
        <f t="shared" si="155"/>
        <v>B</v>
      </c>
      <c r="AT1338" s="44" t="str">
        <f t="shared" si="114"/>
        <v>BW</v>
      </c>
      <c r="AU1338" s="44" t="str">
        <f t="shared" si="115"/>
        <v>BWh</v>
      </c>
      <c r="AV1338" s="38"/>
      <c r="AW1338" s="38"/>
      <c r="AX1338" s="38"/>
      <c r="AY1338" s="38"/>
      <c r="AZ1338" s="29"/>
      <c r="BA1338" s="29">
        <v>1.0</v>
      </c>
      <c r="BB1338" s="29">
        <v>2.0</v>
      </c>
      <c r="BC1338" s="29" t="s">
        <v>802</v>
      </c>
      <c r="BD1338" s="29" t="s">
        <v>88</v>
      </c>
      <c r="BE1338" s="29" t="s">
        <v>89</v>
      </c>
      <c r="BF1338" s="29" t="s">
        <v>802</v>
      </c>
      <c r="BG1338" s="29" t="s">
        <v>572</v>
      </c>
      <c r="BH1338" s="29"/>
      <c r="BI1338" s="29"/>
      <c r="BJ1338" s="29"/>
      <c r="BK1338" s="29"/>
      <c r="BL1338" s="29"/>
      <c r="BM1338" s="45"/>
      <c r="BN1338" s="45">
        <v>1.0</v>
      </c>
      <c r="BO1338" s="46" t="s">
        <v>2399</v>
      </c>
      <c r="BP1338" s="2"/>
      <c r="BQ1338" s="3"/>
    </row>
    <row r="1339" ht="15.75" customHeight="1">
      <c r="A1339" s="34">
        <v>1360.0</v>
      </c>
      <c r="B1339" s="34">
        <v>103363.0</v>
      </c>
      <c r="C1339" s="34" t="s">
        <v>832</v>
      </c>
      <c r="D1339" s="34" t="s">
        <v>2392</v>
      </c>
      <c r="E1339" s="34" t="s">
        <v>2393</v>
      </c>
      <c r="F1339" s="34">
        <v>2017.0</v>
      </c>
      <c r="G1339" s="34" t="s">
        <v>2394</v>
      </c>
      <c r="H1339" s="34" t="s">
        <v>816</v>
      </c>
      <c r="I1339" s="34" t="s">
        <v>2395</v>
      </c>
      <c r="J1339" s="35"/>
      <c r="K1339" s="36"/>
      <c r="L1339" s="36"/>
      <c r="M1339" s="36"/>
      <c r="N1339" s="36"/>
      <c r="O1339" s="36"/>
      <c r="P1339" s="37">
        <v>76.0</v>
      </c>
      <c r="Q1339" s="36" t="s">
        <v>191</v>
      </c>
      <c r="R1339" s="36" t="s">
        <v>191</v>
      </c>
      <c r="S1339" s="36"/>
      <c r="T1339" s="36"/>
      <c r="U1339" s="36"/>
      <c r="V1339" s="36"/>
      <c r="W1339" s="36"/>
      <c r="X1339" s="38">
        <v>1.0</v>
      </c>
      <c r="Y1339" s="38" t="s">
        <v>2405</v>
      </c>
      <c r="Z1339" s="38" t="s">
        <v>2406</v>
      </c>
      <c r="AA1339" s="38" t="s">
        <v>292</v>
      </c>
      <c r="AB1339" s="38"/>
      <c r="AC1339" s="38"/>
      <c r="AD1339" s="38" t="s">
        <v>87</v>
      </c>
      <c r="AE1339" s="38">
        <v>2069.0</v>
      </c>
      <c r="AF1339" s="38"/>
      <c r="AG1339" s="38" t="s">
        <v>2407</v>
      </c>
      <c r="AH1339" s="38"/>
      <c r="AI1339" s="50">
        <v>41.3966</v>
      </c>
      <c r="AJ1339" s="50">
        <v>-106.8024</v>
      </c>
      <c r="AK1339" s="41" t="s">
        <v>288</v>
      </c>
      <c r="AL1339" s="40" t="s">
        <v>288</v>
      </c>
      <c r="AM1339" s="49">
        <v>2179.0</v>
      </c>
      <c r="AN1339" s="51">
        <v>2179.0</v>
      </c>
      <c r="AO1339" s="42" t="s">
        <v>293</v>
      </c>
      <c r="AP1339" s="43" t="s">
        <v>293</v>
      </c>
      <c r="AQ1339" s="44" t="str">
        <f t="shared" si="147"/>
        <v>OSH</v>
      </c>
      <c r="AR1339" s="44">
        <f t="shared" si="144"/>
        <v>2179</v>
      </c>
      <c r="AS1339" s="44" t="str">
        <f t="shared" si="155"/>
        <v>B</v>
      </c>
      <c r="AT1339" s="44" t="str">
        <f t="shared" si="114"/>
        <v>BS</v>
      </c>
      <c r="AU1339" s="44" t="str">
        <f t="shared" si="115"/>
        <v>BSk</v>
      </c>
      <c r="AV1339" s="38"/>
      <c r="AW1339" s="38"/>
      <c r="AX1339" s="38"/>
      <c r="AY1339" s="38"/>
      <c r="AZ1339" s="29"/>
      <c r="BA1339" s="29">
        <v>1.0</v>
      </c>
      <c r="BB1339" s="29">
        <v>2.0</v>
      </c>
      <c r="BC1339" s="29" t="s">
        <v>802</v>
      </c>
      <c r="BD1339" s="29" t="s">
        <v>88</v>
      </c>
      <c r="BE1339" s="29" t="s">
        <v>89</v>
      </c>
      <c r="BF1339" s="29" t="s">
        <v>802</v>
      </c>
      <c r="BG1339" s="29" t="s">
        <v>572</v>
      </c>
      <c r="BH1339" s="29"/>
      <c r="BI1339" s="29"/>
      <c r="BJ1339" s="29"/>
      <c r="BK1339" s="29"/>
      <c r="BL1339" s="29"/>
      <c r="BM1339" s="45"/>
      <c r="BN1339" s="45">
        <v>1.0</v>
      </c>
      <c r="BO1339" s="46" t="s">
        <v>2399</v>
      </c>
      <c r="BP1339" s="2"/>
      <c r="BQ1339" s="3"/>
    </row>
    <row r="1340" ht="15.75" customHeight="1">
      <c r="A1340" s="34">
        <v>1361.0</v>
      </c>
      <c r="B1340" s="34">
        <v>103363.0</v>
      </c>
      <c r="C1340" s="34" t="s">
        <v>832</v>
      </c>
      <c r="D1340" s="34" t="s">
        <v>2392</v>
      </c>
      <c r="E1340" s="34" t="s">
        <v>2393</v>
      </c>
      <c r="F1340" s="34">
        <v>2017.0</v>
      </c>
      <c r="G1340" s="34" t="s">
        <v>2394</v>
      </c>
      <c r="H1340" s="34" t="s">
        <v>816</v>
      </c>
      <c r="I1340" s="34" t="s">
        <v>2395</v>
      </c>
      <c r="J1340" s="35"/>
      <c r="K1340" s="36"/>
      <c r="L1340" s="36"/>
      <c r="M1340" s="36"/>
      <c r="N1340" s="36"/>
      <c r="O1340" s="36"/>
      <c r="P1340" s="37">
        <v>-45.0</v>
      </c>
      <c r="Q1340" s="36" t="s">
        <v>191</v>
      </c>
      <c r="R1340" s="36" t="s">
        <v>191</v>
      </c>
      <c r="S1340" s="36"/>
      <c r="T1340" s="36"/>
      <c r="U1340" s="36"/>
      <c r="V1340" s="36"/>
      <c r="W1340" s="36"/>
      <c r="X1340" s="38">
        <v>1.0</v>
      </c>
      <c r="Y1340" s="38" t="s">
        <v>1331</v>
      </c>
      <c r="Z1340" s="38" t="s">
        <v>2408</v>
      </c>
      <c r="AA1340" s="38" t="s">
        <v>452</v>
      </c>
      <c r="AB1340" s="38"/>
      <c r="AC1340" s="38"/>
      <c r="AD1340" s="39" t="s">
        <v>87</v>
      </c>
      <c r="AE1340" s="38">
        <v>377.5</v>
      </c>
      <c r="AF1340" s="38"/>
      <c r="AG1340" s="38" t="s">
        <v>107</v>
      </c>
      <c r="AH1340" s="38"/>
      <c r="AI1340" s="50">
        <v>42.54</v>
      </c>
      <c r="AJ1340" s="50">
        <v>-72.19</v>
      </c>
      <c r="AK1340" s="41" t="s">
        <v>370</v>
      </c>
      <c r="AL1340" s="40" t="s">
        <v>370</v>
      </c>
      <c r="AM1340" s="49">
        <v>365.0</v>
      </c>
      <c r="AN1340" s="51">
        <v>365.0</v>
      </c>
      <c r="AO1340" s="42" t="s">
        <v>372</v>
      </c>
      <c r="AP1340" s="43" t="s">
        <v>107</v>
      </c>
      <c r="AQ1340" s="44" t="str">
        <f t="shared" si="147"/>
        <v>MF</v>
      </c>
      <c r="AR1340" s="44">
        <f t="shared" si="144"/>
        <v>365</v>
      </c>
      <c r="AS1340" s="44" t="str">
        <f t="shared" si="155"/>
        <v>D</v>
      </c>
      <c r="AT1340" s="44" t="str">
        <f t="shared" si="114"/>
        <v>Df</v>
      </c>
      <c r="AU1340" s="44" t="str">
        <f t="shared" si="115"/>
        <v>Dfb</v>
      </c>
      <c r="AV1340" s="38"/>
      <c r="AW1340" s="38"/>
      <c r="AX1340" s="38"/>
      <c r="AY1340" s="38"/>
      <c r="AZ1340" s="29"/>
      <c r="BA1340" s="29">
        <v>1.0</v>
      </c>
      <c r="BB1340" s="29">
        <v>2.0</v>
      </c>
      <c r="BC1340" s="29" t="s">
        <v>802</v>
      </c>
      <c r="BD1340" s="29" t="s">
        <v>88</v>
      </c>
      <c r="BE1340" s="29" t="s">
        <v>89</v>
      </c>
      <c r="BF1340" s="29" t="s">
        <v>802</v>
      </c>
      <c r="BG1340" s="29" t="s">
        <v>572</v>
      </c>
      <c r="BH1340" s="29"/>
      <c r="BI1340" s="29"/>
      <c r="BJ1340" s="29"/>
      <c r="BK1340" s="29"/>
      <c r="BL1340" s="29"/>
      <c r="BM1340" s="45"/>
      <c r="BN1340" s="45">
        <v>1.0</v>
      </c>
      <c r="BO1340" s="46" t="s">
        <v>2399</v>
      </c>
      <c r="BP1340" s="2"/>
      <c r="BQ1340" s="3"/>
    </row>
    <row r="1341" ht="15.75" customHeight="1">
      <c r="A1341" s="34">
        <v>1362.0</v>
      </c>
      <c r="B1341" s="34">
        <v>103363.0</v>
      </c>
      <c r="C1341" s="34" t="s">
        <v>832</v>
      </c>
      <c r="D1341" s="34" t="s">
        <v>2392</v>
      </c>
      <c r="E1341" s="34" t="s">
        <v>2393</v>
      </c>
      <c r="F1341" s="34">
        <v>2017.0</v>
      </c>
      <c r="G1341" s="34" t="s">
        <v>2394</v>
      </c>
      <c r="H1341" s="34" t="s">
        <v>816</v>
      </c>
      <c r="I1341" s="34" t="s">
        <v>2395</v>
      </c>
      <c r="J1341" s="35"/>
      <c r="K1341" s="36"/>
      <c r="L1341" s="36"/>
      <c r="M1341" s="36"/>
      <c r="N1341" s="36"/>
      <c r="O1341" s="36"/>
      <c r="P1341" s="72">
        <v>-164.0</v>
      </c>
      <c r="Q1341" s="36" t="s">
        <v>191</v>
      </c>
      <c r="R1341" s="36" t="s">
        <v>191</v>
      </c>
      <c r="S1341" s="36"/>
      <c r="T1341" s="36"/>
      <c r="U1341" s="36"/>
      <c r="V1341" s="36"/>
      <c r="W1341" s="36"/>
      <c r="X1341" s="38">
        <v>1.0</v>
      </c>
      <c r="Y1341" s="38" t="s">
        <v>2396</v>
      </c>
      <c r="Z1341" s="38" t="s">
        <v>2397</v>
      </c>
      <c r="AA1341" s="38" t="s">
        <v>370</v>
      </c>
      <c r="AB1341" s="38"/>
      <c r="AC1341" s="38"/>
      <c r="AD1341" s="38" t="s">
        <v>87</v>
      </c>
      <c r="AE1341" s="38">
        <v>230.0</v>
      </c>
      <c r="AF1341" s="38"/>
      <c r="AG1341" s="38" t="s">
        <v>108</v>
      </c>
      <c r="AH1341" s="38"/>
      <c r="AI1341" s="50">
        <v>41.5545</v>
      </c>
      <c r="AJ1341" s="50">
        <v>-83.8438</v>
      </c>
      <c r="AK1341" s="41" t="s">
        <v>370</v>
      </c>
      <c r="AL1341" s="40" t="s">
        <v>370</v>
      </c>
      <c r="AM1341" s="49">
        <v>215.0</v>
      </c>
      <c r="AN1341" s="51">
        <v>215.0</v>
      </c>
      <c r="AO1341" s="42" t="s">
        <v>107</v>
      </c>
      <c r="AP1341" s="43" t="s">
        <v>108</v>
      </c>
      <c r="AQ1341" s="44" t="str">
        <f t="shared" si="147"/>
        <v>DBF</v>
      </c>
      <c r="AR1341" s="44">
        <f t="shared" si="144"/>
        <v>215</v>
      </c>
      <c r="AS1341" s="44" t="str">
        <f t="shared" si="155"/>
        <v>D</v>
      </c>
      <c r="AT1341" s="44" t="str">
        <f t="shared" si="114"/>
        <v>Df</v>
      </c>
      <c r="AU1341" s="44" t="str">
        <f t="shared" si="115"/>
        <v>Dfa</v>
      </c>
      <c r="AV1341" s="38"/>
      <c r="AW1341" s="38"/>
      <c r="AX1341" s="38"/>
      <c r="AY1341" s="38"/>
      <c r="AZ1341" s="29"/>
      <c r="BA1341" s="29">
        <v>1.0</v>
      </c>
      <c r="BB1341" s="29">
        <v>2.0</v>
      </c>
      <c r="BC1341" s="29" t="s">
        <v>219</v>
      </c>
      <c r="BD1341" s="29" t="s">
        <v>88</v>
      </c>
      <c r="BE1341" s="29"/>
      <c r="BF1341" s="29" t="s">
        <v>219</v>
      </c>
      <c r="BG1341" s="29" t="s">
        <v>220</v>
      </c>
      <c r="BH1341" s="29"/>
      <c r="BI1341" s="29"/>
      <c r="BJ1341" s="29"/>
      <c r="BK1341" s="29"/>
      <c r="BL1341" s="29"/>
      <c r="BM1341" s="45"/>
      <c r="BN1341" s="45">
        <v>1.0</v>
      </c>
      <c r="BO1341" s="46" t="s">
        <v>2399</v>
      </c>
      <c r="BP1341" s="2"/>
      <c r="BQ1341" s="3"/>
    </row>
    <row r="1342" ht="15.75" customHeight="1">
      <c r="A1342" s="34">
        <v>1363.0</v>
      </c>
      <c r="B1342" s="34">
        <v>103363.0</v>
      </c>
      <c r="C1342" s="34" t="s">
        <v>832</v>
      </c>
      <c r="D1342" s="34" t="s">
        <v>2392</v>
      </c>
      <c r="E1342" s="34" t="s">
        <v>2393</v>
      </c>
      <c r="F1342" s="34">
        <v>2017.0</v>
      </c>
      <c r="G1342" s="34" t="s">
        <v>2394</v>
      </c>
      <c r="H1342" s="34" t="s">
        <v>816</v>
      </c>
      <c r="I1342" s="34" t="s">
        <v>2395</v>
      </c>
      <c r="J1342" s="35"/>
      <c r="K1342" s="36"/>
      <c r="L1342" s="36"/>
      <c r="M1342" s="36"/>
      <c r="N1342" s="36"/>
      <c r="O1342" s="36"/>
      <c r="P1342" s="37">
        <v>70.0</v>
      </c>
      <c r="Q1342" s="36" t="s">
        <v>191</v>
      </c>
      <c r="R1342" s="36" t="s">
        <v>191</v>
      </c>
      <c r="S1342" s="36"/>
      <c r="T1342" s="36"/>
      <c r="U1342" s="36"/>
      <c r="V1342" s="36"/>
      <c r="W1342" s="36"/>
      <c r="X1342" s="38">
        <v>1.0</v>
      </c>
      <c r="Y1342" s="38" t="s">
        <v>2194</v>
      </c>
      <c r="Z1342" s="38" t="s">
        <v>2195</v>
      </c>
      <c r="AA1342" s="38" t="s">
        <v>292</v>
      </c>
      <c r="AB1342" s="38"/>
      <c r="AC1342" s="38"/>
      <c r="AD1342" s="38" t="s">
        <v>87</v>
      </c>
      <c r="AE1342" s="38">
        <v>1604.0</v>
      </c>
      <c r="AF1342" s="38" t="s">
        <v>2195</v>
      </c>
      <c r="AG1342" s="38" t="s">
        <v>303</v>
      </c>
      <c r="AH1342" s="38"/>
      <c r="AI1342" s="50">
        <v>34.3349</v>
      </c>
      <c r="AJ1342" s="50">
        <v>-106.7442</v>
      </c>
      <c r="AK1342" s="41" t="s">
        <v>292</v>
      </c>
      <c r="AL1342" s="40" t="s">
        <v>292</v>
      </c>
      <c r="AM1342" s="49">
        <v>1594.0</v>
      </c>
      <c r="AN1342" s="51">
        <v>1594.0</v>
      </c>
      <c r="AO1342" s="42" t="s">
        <v>261</v>
      </c>
      <c r="AP1342" s="43" t="s">
        <v>261</v>
      </c>
      <c r="AQ1342" s="44" t="str">
        <f t="shared" si="147"/>
        <v>OSH</v>
      </c>
      <c r="AR1342" s="44">
        <f t="shared" si="144"/>
        <v>1594</v>
      </c>
      <c r="AS1342" s="44" t="str">
        <f t="shared" si="155"/>
        <v>B</v>
      </c>
      <c r="AT1342" s="44" t="str">
        <f t="shared" si="114"/>
        <v>BW</v>
      </c>
      <c r="AU1342" s="44" t="str">
        <f t="shared" si="115"/>
        <v>BWk</v>
      </c>
      <c r="AV1342" s="38"/>
      <c r="AW1342" s="38"/>
      <c r="AX1342" s="38"/>
      <c r="AY1342" s="38"/>
      <c r="AZ1342" s="29"/>
      <c r="BA1342" s="29">
        <v>1.0</v>
      </c>
      <c r="BB1342" s="29">
        <v>2.0</v>
      </c>
      <c r="BC1342" s="29" t="s">
        <v>219</v>
      </c>
      <c r="BD1342" s="29" t="s">
        <v>88</v>
      </c>
      <c r="BE1342" s="29"/>
      <c r="BF1342" s="29" t="s">
        <v>219</v>
      </c>
      <c r="BG1342" s="29" t="s">
        <v>220</v>
      </c>
      <c r="BH1342" s="29"/>
      <c r="BI1342" s="29"/>
      <c r="BJ1342" s="29"/>
      <c r="BK1342" s="29"/>
      <c r="BL1342" s="29"/>
      <c r="BM1342" s="45"/>
      <c r="BN1342" s="45">
        <v>1.0</v>
      </c>
      <c r="BO1342" s="46" t="s">
        <v>2399</v>
      </c>
      <c r="BP1342" s="2"/>
      <c r="BQ1342" s="3"/>
    </row>
    <row r="1343" ht="15.75" customHeight="1">
      <c r="A1343" s="34">
        <v>1364.0</v>
      </c>
      <c r="B1343" s="34">
        <v>103363.0</v>
      </c>
      <c r="C1343" s="34" t="s">
        <v>832</v>
      </c>
      <c r="D1343" s="34" t="s">
        <v>2392</v>
      </c>
      <c r="E1343" s="34" t="s">
        <v>2393</v>
      </c>
      <c r="F1343" s="34">
        <v>2017.0</v>
      </c>
      <c r="G1343" s="34" t="s">
        <v>2394</v>
      </c>
      <c r="H1343" s="34" t="s">
        <v>816</v>
      </c>
      <c r="I1343" s="34" t="s">
        <v>2395</v>
      </c>
      <c r="J1343" s="35"/>
      <c r="K1343" s="36"/>
      <c r="L1343" s="36"/>
      <c r="M1343" s="36"/>
      <c r="N1343" s="36"/>
      <c r="O1343" s="36"/>
      <c r="P1343" s="37">
        <v>-80.0</v>
      </c>
      <c r="Q1343" s="36" t="s">
        <v>191</v>
      </c>
      <c r="R1343" s="36" t="s">
        <v>191</v>
      </c>
      <c r="S1343" s="36"/>
      <c r="T1343" s="36"/>
      <c r="U1343" s="36"/>
      <c r="V1343" s="36"/>
      <c r="W1343" s="36"/>
      <c r="X1343" s="38">
        <v>1.0</v>
      </c>
      <c r="Y1343" s="38" t="s">
        <v>1669</v>
      </c>
      <c r="Z1343" s="38" t="s">
        <v>1670</v>
      </c>
      <c r="AA1343" s="38" t="s">
        <v>291</v>
      </c>
      <c r="AB1343" s="38"/>
      <c r="AC1343" s="38"/>
      <c r="AD1343" s="39" t="s">
        <v>87</v>
      </c>
      <c r="AE1343" s="38">
        <v>480.0</v>
      </c>
      <c r="AF1343" s="38"/>
      <c r="AG1343" s="38" t="s">
        <v>107</v>
      </c>
      <c r="AH1343" s="38"/>
      <c r="AI1343" s="50">
        <v>46.0827</v>
      </c>
      <c r="AJ1343" s="50">
        <v>-89.9792</v>
      </c>
      <c r="AK1343" s="41" t="s">
        <v>214</v>
      </c>
      <c r="AL1343" s="40" t="s">
        <v>214</v>
      </c>
      <c r="AM1343" s="49">
        <v>478.0</v>
      </c>
      <c r="AN1343" s="51">
        <v>478.0</v>
      </c>
      <c r="AO1343" s="42" t="s">
        <v>372</v>
      </c>
      <c r="AP1343" s="43" t="s">
        <v>107</v>
      </c>
      <c r="AQ1343" s="44" t="str">
        <f t="shared" si="147"/>
        <v>CSH</v>
      </c>
      <c r="AR1343" s="44">
        <f t="shared" si="144"/>
        <v>478</v>
      </c>
      <c r="AS1343" s="44" t="str">
        <f t="shared" si="155"/>
        <v>D</v>
      </c>
      <c r="AT1343" s="44" t="str">
        <f t="shared" si="114"/>
        <v>Df</v>
      </c>
      <c r="AU1343" s="44" t="str">
        <f t="shared" si="115"/>
        <v>Dfb</v>
      </c>
      <c r="AV1343" s="38"/>
      <c r="AW1343" s="38"/>
      <c r="AX1343" s="38"/>
      <c r="AY1343" s="38"/>
      <c r="AZ1343" s="29"/>
      <c r="BA1343" s="29">
        <v>1.0</v>
      </c>
      <c r="BB1343" s="29">
        <v>2.0</v>
      </c>
      <c r="BC1343" s="29" t="s">
        <v>219</v>
      </c>
      <c r="BD1343" s="29" t="s">
        <v>88</v>
      </c>
      <c r="BE1343" s="29"/>
      <c r="BF1343" s="29" t="s">
        <v>219</v>
      </c>
      <c r="BG1343" s="29" t="s">
        <v>220</v>
      </c>
      <c r="BH1343" s="29"/>
      <c r="BI1343" s="29"/>
      <c r="BJ1343" s="29"/>
      <c r="BK1343" s="29"/>
      <c r="BL1343" s="29"/>
      <c r="BM1343" s="45"/>
      <c r="BN1343" s="45">
        <v>1.0</v>
      </c>
      <c r="BO1343" s="46" t="s">
        <v>2399</v>
      </c>
      <c r="BP1343" s="2"/>
      <c r="BQ1343" s="3"/>
    </row>
    <row r="1344" ht="15.75" customHeight="1">
      <c r="A1344" s="34">
        <v>1365.0</v>
      </c>
      <c r="B1344" s="34">
        <v>103363.0</v>
      </c>
      <c r="C1344" s="34" t="s">
        <v>832</v>
      </c>
      <c r="D1344" s="34" t="s">
        <v>2392</v>
      </c>
      <c r="E1344" s="34" t="s">
        <v>2393</v>
      </c>
      <c r="F1344" s="34">
        <v>2017.0</v>
      </c>
      <c r="G1344" s="34" t="s">
        <v>2394</v>
      </c>
      <c r="H1344" s="34" t="s">
        <v>816</v>
      </c>
      <c r="I1344" s="34" t="s">
        <v>2395</v>
      </c>
      <c r="J1344" s="35"/>
      <c r="K1344" s="36"/>
      <c r="L1344" s="36"/>
      <c r="M1344" s="36"/>
      <c r="N1344" s="36"/>
      <c r="O1344" s="36"/>
      <c r="P1344" s="37">
        <v>58.0</v>
      </c>
      <c r="Q1344" s="36" t="s">
        <v>191</v>
      </c>
      <c r="R1344" s="36" t="s">
        <v>191</v>
      </c>
      <c r="S1344" s="36"/>
      <c r="T1344" s="36"/>
      <c r="U1344" s="36"/>
      <c r="V1344" s="36"/>
      <c r="W1344" s="36"/>
      <c r="X1344" s="38">
        <v>1.0</v>
      </c>
      <c r="Y1344" s="38" t="s">
        <v>2188</v>
      </c>
      <c r="Z1344" s="38" t="s">
        <v>2189</v>
      </c>
      <c r="AA1344" s="38" t="s">
        <v>288</v>
      </c>
      <c r="AB1344" s="38"/>
      <c r="AC1344" s="38"/>
      <c r="AD1344" s="38" t="s">
        <v>87</v>
      </c>
      <c r="AE1344" s="38">
        <v>1596.0</v>
      </c>
      <c r="AF1344" s="38" t="s">
        <v>2189</v>
      </c>
      <c r="AG1344" s="38" t="s">
        <v>303</v>
      </c>
      <c r="AH1344" s="38"/>
      <c r="AI1344" s="50">
        <v>34.3623</v>
      </c>
      <c r="AJ1344" s="50">
        <v>-106.702</v>
      </c>
      <c r="AK1344" s="41" t="s">
        <v>288</v>
      </c>
      <c r="AL1344" s="40" t="s">
        <v>288</v>
      </c>
      <c r="AM1344" s="49">
        <v>1594.0</v>
      </c>
      <c r="AN1344" s="51">
        <v>1594.0</v>
      </c>
      <c r="AO1344" s="42" t="s">
        <v>261</v>
      </c>
      <c r="AP1344" s="43" t="s">
        <v>261</v>
      </c>
      <c r="AQ1344" s="44" t="str">
        <f t="shared" si="147"/>
        <v>GRA</v>
      </c>
      <c r="AR1344" s="44">
        <f t="shared" si="144"/>
        <v>1594</v>
      </c>
      <c r="AS1344" s="44" t="str">
        <f t="shared" si="155"/>
        <v>B</v>
      </c>
      <c r="AT1344" s="44" t="str">
        <f t="shared" si="114"/>
        <v>BW</v>
      </c>
      <c r="AU1344" s="44" t="str">
        <f t="shared" si="115"/>
        <v>BWk</v>
      </c>
      <c r="AV1344" s="38"/>
      <c r="AW1344" s="38"/>
      <c r="AX1344" s="38"/>
      <c r="AY1344" s="38"/>
      <c r="AZ1344" s="29"/>
      <c r="BA1344" s="29">
        <v>1.0</v>
      </c>
      <c r="BB1344" s="29">
        <v>2.0</v>
      </c>
      <c r="BC1344" s="29" t="s">
        <v>219</v>
      </c>
      <c r="BD1344" s="29" t="s">
        <v>88</v>
      </c>
      <c r="BE1344" s="29"/>
      <c r="BF1344" s="29" t="s">
        <v>219</v>
      </c>
      <c r="BG1344" s="29" t="s">
        <v>220</v>
      </c>
      <c r="BH1344" s="29"/>
      <c r="BI1344" s="29"/>
      <c r="BJ1344" s="29"/>
      <c r="BK1344" s="29"/>
      <c r="BL1344" s="29"/>
      <c r="BM1344" s="45"/>
      <c r="BN1344" s="45">
        <v>1.0</v>
      </c>
      <c r="BO1344" s="46" t="s">
        <v>2399</v>
      </c>
      <c r="BP1344" s="2"/>
      <c r="BQ1344" s="3"/>
    </row>
    <row r="1345" ht="15.75" customHeight="1">
      <c r="A1345" s="34">
        <v>1366.0</v>
      </c>
      <c r="B1345" s="34">
        <v>103363.0</v>
      </c>
      <c r="C1345" s="34" t="s">
        <v>832</v>
      </c>
      <c r="D1345" s="34" t="s">
        <v>2392</v>
      </c>
      <c r="E1345" s="34" t="s">
        <v>2393</v>
      </c>
      <c r="F1345" s="34">
        <v>2017.0</v>
      </c>
      <c r="G1345" s="34" t="s">
        <v>2394</v>
      </c>
      <c r="H1345" s="34" t="s">
        <v>816</v>
      </c>
      <c r="I1345" s="34" t="s">
        <v>2395</v>
      </c>
      <c r="J1345" s="35"/>
      <c r="K1345" s="36"/>
      <c r="L1345" s="36"/>
      <c r="M1345" s="36"/>
      <c r="N1345" s="36"/>
      <c r="O1345" s="36"/>
      <c r="P1345" s="37">
        <v>-76.0</v>
      </c>
      <c r="Q1345" s="36" t="s">
        <v>191</v>
      </c>
      <c r="R1345" s="36" t="s">
        <v>191</v>
      </c>
      <c r="S1345" s="36"/>
      <c r="T1345" s="36"/>
      <c r="U1345" s="36"/>
      <c r="V1345" s="36"/>
      <c r="W1345" s="36"/>
      <c r="X1345" s="38">
        <v>1.0</v>
      </c>
      <c r="Y1345" s="38" t="s">
        <v>2400</v>
      </c>
      <c r="Z1345" s="38" t="s">
        <v>2401</v>
      </c>
      <c r="AA1345" s="38" t="s">
        <v>452</v>
      </c>
      <c r="AB1345" s="38"/>
      <c r="AC1345" s="38"/>
      <c r="AD1345" s="38" t="s">
        <v>87</v>
      </c>
      <c r="AE1345" s="38">
        <v>470.0</v>
      </c>
      <c r="AF1345" s="38"/>
      <c r="AG1345" s="38" t="s">
        <v>107</v>
      </c>
      <c r="AH1345" s="38"/>
      <c r="AI1345" s="50">
        <v>45.9459</v>
      </c>
      <c r="AJ1345" s="50">
        <v>-90.2723</v>
      </c>
      <c r="AK1345" s="41" t="s">
        <v>214</v>
      </c>
      <c r="AL1345" s="40" t="s">
        <v>214</v>
      </c>
      <c r="AM1345" s="49">
        <v>471.0</v>
      </c>
      <c r="AN1345" s="51">
        <v>471.0</v>
      </c>
      <c r="AO1345" s="42" t="s">
        <v>372</v>
      </c>
      <c r="AP1345" s="43" t="s">
        <v>107</v>
      </c>
      <c r="AQ1345" s="44" t="str">
        <f t="shared" si="147"/>
        <v>MF</v>
      </c>
      <c r="AR1345" s="44">
        <f t="shared" si="144"/>
        <v>471</v>
      </c>
      <c r="AS1345" s="44" t="str">
        <f t="shared" si="155"/>
        <v>D</v>
      </c>
      <c r="AT1345" s="44" t="str">
        <f t="shared" si="114"/>
        <v>Df</v>
      </c>
      <c r="AU1345" s="44" t="str">
        <f t="shared" si="115"/>
        <v>Dfb</v>
      </c>
      <c r="AV1345" s="38"/>
      <c r="AW1345" s="38"/>
      <c r="AX1345" s="38"/>
      <c r="AY1345" s="38"/>
      <c r="AZ1345" s="29"/>
      <c r="BA1345" s="29">
        <v>1.0</v>
      </c>
      <c r="BB1345" s="29">
        <v>2.0</v>
      </c>
      <c r="BC1345" s="29" t="s">
        <v>219</v>
      </c>
      <c r="BD1345" s="29" t="s">
        <v>88</v>
      </c>
      <c r="BE1345" s="29"/>
      <c r="BF1345" s="29" t="s">
        <v>219</v>
      </c>
      <c r="BG1345" s="29" t="s">
        <v>220</v>
      </c>
      <c r="BH1345" s="29"/>
      <c r="BI1345" s="29"/>
      <c r="BJ1345" s="29"/>
      <c r="BK1345" s="29"/>
      <c r="BL1345" s="29"/>
      <c r="BM1345" s="45"/>
      <c r="BN1345" s="45">
        <v>1.0</v>
      </c>
      <c r="BO1345" s="46" t="s">
        <v>2399</v>
      </c>
      <c r="BP1345" s="2"/>
      <c r="BQ1345" s="3"/>
    </row>
    <row r="1346" ht="15.75" customHeight="1">
      <c r="A1346" s="34">
        <v>1367.0</v>
      </c>
      <c r="B1346" s="34">
        <v>103363.0</v>
      </c>
      <c r="C1346" s="34" t="s">
        <v>832</v>
      </c>
      <c r="D1346" s="34" t="s">
        <v>2392</v>
      </c>
      <c r="E1346" s="34" t="s">
        <v>2393</v>
      </c>
      <c r="F1346" s="34">
        <v>2017.0</v>
      </c>
      <c r="G1346" s="34" t="s">
        <v>2394</v>
      </c>
      <c r="H1346" s="34" t="s">
        <v>816</v>
      </c>
      <c r="I1346" s="34" t="s">
        <v>2395</v>
      </c>
      <c r="J1346" s="35"/>
      <c r="K1346" s="36"/>
      <c r="L1346" s="36"/>
      <c r="M1346" s="36"/>
      <c r="N1346" s="36"/>
      <c r="O1346" s="36"/>
      <c r="P1346" s="37">
        <v>-38.0</v>
      </c>
      <c r="Q1346" s="36" t="s">
        <v>191</v>
      </c>
      <c r="R1346" s="36" t="s">
        <v>191</v>
      </c>
      <c r="S1346" s="36"/>
      <c r="T1346" s="36"/>
      <c r="U1346" s="36"/>
      <c r="V1346" s="36"/>
      <c r="W1346" s="36"/>
      <c r="X1346" s="38">
        <v>1.0</v>
      </c>
      <c r="Y1346" s="85" t="s">
        <v>1326</v>
      </c>
      <c r="Z1346" s="38" t="s">
        <v>369</v>
      </c>
      <c r="AA1346" s="38" t="s">
        <v>197</v>
      </c>
      <c r="AB1346" s="38"/>
      <c r="AC1346" s="38"/>
      <c r="AD1346" s="38" t="s">
        <v>87</v>
      </c>
      <c r="AE1346" s="111">
        <v>371.0</v>
      </c>
      <c r="AF1346" s="38" t="s">
        <v>1327</v>
      </c>
      <c r="AG1346" s="38" t="s">
        <v>1328</v>
      </c>
      <c r="AH1346" s="38"/>
      <c r="AI1346" s="50">
        <v>45.8205</v>
      </c>
      <c r="AJ1346" s="50">
        <v>-121.9519</v>
      </c>
      <c r="AK1346" s="41" t="s">
        <v>197</v>
      </c>
      <c r="AL1346" s="40" t="s">
        <v>197</v>
      </c>
      <c r="AM1346" s="49">
        <v>397.0</v>
      </c>
      <c r="AN1346" s="51">
        <v>397.0</v>
      </c>
      <c r="AO1346" s="42" t="s">
        <v>445</v>
      </c>
      <c r="AP1346" s="43" t="s">
        <v>445</v>
      </c>
      <c r="AQ1346" s="44" t="str">
        <f t="shared" si="147"/>
        <v>ENF</v>
      </c>
      <c r="AR1346" s="44">
        <f t="shared" si="144"/>
        <v>397</v>
      </c>
      <c r="AS1346" s="44" t="str">
        <f t="shared" si="155"/>
        <v>C</v>
      </c>
      <c r="AT1346" s="44" t="str">
        <f t="shared" si="114"/>
        <v>Cs</v>
      </c>
      <c r="AU1346" s="44" t="str">
        <f t="shared" si="115"/>
        <v>Csb</v>
      </c>
      <c r="AV1346" s="38"/>
      <c r="AW1346" s="38"/>
      <c r="AX1346" s="38"/>
      <c r="AY1346" s="38"/>
      <c r="AZ1346" s="29"/>
      <c r="BA1346" s="29">
        <v>1.0</v>
      </c>
      <c r="BB1346" s="29">
        <v>2.0</v>
      </c>
      <c r="BC1346" s="29" t="s">
        <v>219</v>
      </c>
      <c r="BD1346" s="29" t="s">
        <v>88</v>
      </c>
      <c r="BE1346" s="29"/>
      <c r="BF1346" s="29" t="s">
        <v>219</v>
      </c>
      <c r="BG1346" s="29" t="s">
        <v>220</v>
      </c>
      <c r="BH1346" s="29"/>
      <c r="BI1346" s="29"/>
      <c r="BJ1346" s="29"/>
      <c r="BK1346" s="29"/>
      <c r="BL1346" s="29"/>
      <c r="BM1346" s="45"/>
      <c r="BN1346" s="45">
        <v>1.0</v>
      </c>
      <c r="BO1346" s="46" t="s">
        <v>2399</v>
      </c>
      <c r="BP1346" s="2"/>
      <c r="BQ1346" s="3"/>
    </row>
    <row r="1347" ht="15.75" customHeight="1">
      <c r="A1347" s="34">
        <v>1368.0</v>
      </c>
      <c r="B1347" s="34">
        <v>103363.0</v>
      </c>
      <c r="C1347" s="34" t="s">
        <v>832</v>
      </c>
      <c r="D1347" s="34" t="s">
        <v>2392</v>
      </c>
      <c r="E1347" s="34" t="s">
        <v>2393</v>
      </c>
      <c r="F1347" s="34">
        <v>2017.0</v>
      </c>
      <c r="G1347" s="34" t="s">
        <v>2394</v>
      </c>
      <c r="H1347" s="34" t="s">
        <v>816</v>
      </c>
      <c r="I1347" s="34" t="s">
        <v>2395</v>
      </c>
      <c r="J1347" s="35"/>
      <c r="K1347" s="36"/>
      <c r="L1347" s="36"/>
      <c r="M1347" s="36"/>
      <c r="N1347" s="36"/>
      <c r="O1347" s="36"/>
      <c r="P1347" s="37">
        <v>-73.0</v>
      </c>
      <c r="Q1347" s="36" t="s">
        <v>191</v>
      </c>
      <c r="R1347" s="36" t="s">
        <v>191</v>
      </c>
      <c r="S1347" s="36"/>
      <c r="T1347" s="36"/>
      <c r="U1347" s="36"/>
      <c r="V1347" s="36"/>
      <c r="W1347" s="36"/>
      <c r="X1347" s="38">
        <v>1.0</v>
      </c>
      <c r="Y1347" s="38" t="s">
        <v>330</v>
      </c>
      <c r="Z1347" s="38" t="s">
        <v>331</v>
      </c>
      <c r="AA1347" s="38" t="s">
        <v>197</v>
      </c>
      <c r="AB1347" s="38"/>
      <c r="AC1347" s="38"/>
      <c r="AD1347" s="38" t="s">
        <v>87</v>
      </c>
      <c r="AE1347" s="38">
        <v>50.0</v>
      </c>
      <c r="AF1347" s="38"/>
      <c r="AG1347" s="38" t="s">
        <v>201</v>
      </c>
      <c r="AH1347" s="38"/>
      <c r="AI1347" s="50">
        <v>29.7381</v>
      </c>
      <c r="AJ1347" s="50">
        <v>-82.2188</v>
      </c>
      <c r="AK1347" s="41" t="s">
        <v>197</v>
      </c>
      <c r="AL1347" s="40" t="s">
        <v>197</v>
      </c>
      <c r="AM1347" s="49">
        <v>50.0</v>
      </c>
      <c r="AN1347" s="51">
        <v>50.0</v>
      </c>
      <c r="AO1347" s="42" t="s">
        <v>201</v>
      </c>
      <c r="AP1347" s="43" t="s">
        <v>201</v>
      </c>
      <c r="AQ1347" s="44" t="str">
        <f t="shared" si="147"/>
        <v>ENF</v>
      </c>
      <c r="AR1347" s="44">
        <f t="shared" si="144"/>
        <v>50</v>
      </c>
      <c r="AS1347" s="44" t="str">
        <f t="shared" si="155"/>
        <v>C</v>
      </c>
      <c r="AT1347" s="44" t="str">
        <f t="shared" si="114"/>
        <v>Cf</v>
      </c>
      <c r="AU1347" s="44" t="str">
        <f t="shared" si="115"/>
        <v>Cfa</v>
      </c>
      <c r="AV1347" s="38"/>
      <c r="AW1347" s="38"/>
      <c r="AX1347" s="38"/>
      <c r="AY1347" s="38"/>
      <c r="AZ1347" s="29"/>
      <c r="BA1347" s="29">
        <v>1.0</v>
      </c>
      <c r="BB1347" s="29">
        <v>2.0</v>
      </c>
      <c r="BC1347" s="29" t="s">
        <v>219</v>
      </c>
      <c r="BD1347" s="29" t="s">
        <v>88</v>
      </c>
      <c r="BE1347" s="29"/>
      <c r="BF1347" s="29" t="s">
        <v>219</v>
      </c>
      <c r="BG1347" s="29" t="s">
        <v>220</v>
      </c>
      <c r="BH1347" s="29"/>
      <c r="BI1347" s="29"/>
      <c r="BJ1347" s="29"/>
      <c r="BK1347" s="29"/>
      <c r="BL1347" s="29"/>
      <c r="BM1347" s="45"/>
      <c r="BN1347" s="45">
        <v>1.0</v>
      </c>
      <c r="BO1347" s="46" t="s">
        <v>2399</v>
      </c>
      <c r="BP1347" s="2"/>
      <c r="BQ1347" s="3"/>
    </row>
    <row r="1348" ht="15.75" customHeight="1">
      <c r="A1348" s="34">
        <v>1369.0</v>
      </c>
      <c r="B1348" s="34">
        <v>103363.0</v>
      </c>
      <c r="C1348" s="34" t="s">
        <v>832</v>
      </c>
      <c r="D1348" s="34" t="s">
        <v>2392</v>
      </c>
      <c r="E1348" s="34" t="s">
        <v>2393</v>
      </c>
      <c r="F1348" s="34">
        <v>2017.0</v>
      </c>
      <c r="G1348" s="34" t="s">
        <v>2394</v>
      </c>
      <c r="H1348" s="34" t="s">
        <v>816</v>
      </c>
      <c r="I1348" s="34" t="s">
        <v>2395</v>
      </c>
      <c r="J1348" s="35"/>
      <c r="K1348" s="36"/>
      <c r="L1348" s="36"/>
      <c r="M1348" s="36"/>
      <c r="N1348" s="36"/>
      <c r="O1348" s="36"/>
      <c r="P1348" s="37">
        <v>65.0</v>
      </c>
      <c r="Q1348" s="36" t="s">
        <v>191</v>
      </c>
      <c r="R1348" s="36" t="s">
        <v>191</v>
      </c>
      <c r="S1348" s="36"/>
      <c r="T1348" s="36"/>
      <c r="U1348" s="36"/>
      <c r="V1348" s="36"/>
      <c r="W1348" s="36"/>
      <c r="X1348" s="38">
        <v>1.0</v>
      </c>
      <c r="Y1348" s="38" t="s">
        <v>2402</v>
      </c>
      <c r="Z1348" s="38" t="s">
        <v>2403</v>
      </c>
      <c r="AA1348" s="38" t="s">
        <v>292</v>
      </c>
      <c r="AB1348" s="38"/>
      <c r="AC1348" s="38"/>
      <c r="AD1348" s="38" t="s">
        <v>87</v>
      </c>
      <c r="AE1348" s="38">
        <v>950.0</v>
      </c>
      <c r="AF1348" s="38"/>
      <c r="AG1348" s="38" t="s">
        <v>2409</v>
      </c>
      <c r="AH1348" s="38"/>
      <c r="AI1348" s="50">
        <v>31.9083</v>
      </c>
      <c r="AJ1348" s="50">
        <v>-110.8395</v>
      </c>
      <c r="AK1348" s="41" t="s">
        <v>292</v>
      </c>
      <c r="AL1348" s="40" t="s">
        <v>292</v>
      </c>
      <c r="AM1348" s="49">
        <v>993.0</v>
      </c>
      <c r="AN1348" s="51">
        <v>993.0</v>
      </c>
      <c r="AO1348" s="42" t="s">
        <v>304</v>
      </c>
      <c r="AP1348" s="43" t="s">
        <v>355</v>
      </c>
      <c r="AQ1348" s="44" t="str">
        <f t="shared" si="147"/>
        <v>OSH</v>
      </c>
      <c r="AR1348" s="44">
        <f t="shared" si="144"/>
        <v>993</v>
      </c>
      <c r="AS1348" s="44" t="str">
        <f t="shared" si="155"/>
        <v>B</v>
      </c>
      <c r="AT1348" s="44" t="str">
        <f t="shared" si="114"/>
        <v>BW</v>
      </c>
      <c r="AU1348" s="44" t="str">
        <f t="shared" si="115"/>
        <v>BWh</v>
      </c>
      <c r="AV1348" s="38"/>
      <c r="AW1348" s="38"/>
      <c r="AX1348" s="38"/>
      <c r="AY1348" s="38"/>
      <c r="AZ1348" s="29"/>
      <c r="BA1348" s="29">
        <v>1.0</v>
      </c>
      <c r="BB1348" s="29">
        <v>2.0</v>
      </c>
      <c r="BC1348" s="29" t="s">
        <v>219</v>
      </c>
      <c r="BD1348" s="29" t="s">
        <v>88</v>
      </c>
      <c r="BE1348" s="29"/>
      <c r="BF1348" s="29" t="s">
        <v>219</v>
      </c>
      <c r="BG1348" s="29" t="s">
        <v>220</v>
      </c>
      <c r="BH1348" s="29"/>
      <c r="BI1348" s="29"/>
      <c r="BJ1348" s="29"/>
      <c r="BK1348" s="29"/>
      <c r="BL1348" s="29"/>
      <c r="BM1348" s="45"/>
      <c r="BN1348" s="45">
        <v>1.0</v>
      </c>
      <c r="BO1348" s="46" t="s">
        <v>2399</v>
      </c>
      <c r="BP1348" s="2"/>
      <c r="BQ1348" s="3"/>
    </row>
    <row r="1349">
      <c r="A1349" s="34">
        <v>1370.0</v>
      </c>
      <c r="B1349" s="34">
        <v>103363.0</v>
      </c>
      <c r="C1349" s="34" t="s">
        <v>832</v>
      </c>
      <c r="D1349" s="34" t="s">
        <v>2392</v>
      </c>
      <c r="E1349" s="34" t="s">
        <v>2393</v>
      </c>
      <c r="F1349" s="34">
        <v>2017.0</v>
      </c>
      <c r="G1349" s="34" t="s">
        <v>2394</v>
      </c>
      <c r="H1349" s="34" t="s">
        <v>816</v>
      </c>
      <c r="I1349" s="34" t="s">
        <v>2395</v>
      </c>
      <c r="J1349" s="35"/>
      <c r="K1349" s="36"/>
      <c r="L1349" s="36"/>
      <c r="M1349" s="36"/>
      <c r="N1349" s="36"/>
      <c r="O1349" s="36"/>
      <c r="P1349" s="37">
        <v>37.0</v>
      </c>
      <c r="Q1349" s="36" t="s">
        <v>191</v>
      </c>
      <c r="R1349" s="36" t="s">
        <v>191</v>
      </c>
      <c r="S1349" s="36"/>
      <c r="T1349" s="36"/>
      <c r="U1349" s="36"/>
      <c r="V1349" s="36"/>
      <c r="W1349" s="36"/>
      <c r="X1349" s="38">
        <v>1.0</v>
      </c>
      <c r="Y1349" s="38" t="s">
        <v>2405</v>
      </c>
      <c r="Z1349" s="38" t="s">
        <v>2406</v>
      </c>
      <c r="AA1349" s="38" t="s">
        <v>292</v>
      </c>
      <c r="AB1349" s="38"/>
      <c r="AC1349" s="38"/>
      <c r="AD1349" s="38" t="s">
        <v>87</v>
      </c>
      <c r="AE1349" s="38">
        <v>2069.0</v>
      </c>
      <c r="AF1349" s="38"/>
      <c r="AG1349" s="38" t="s">
        <v>2407</v>
      </c>
      <c r="AH1349" s="38"/>
      <c r="AI1349" s="50">
        <v>41.3966</v>
      </c>
      <c r="AJ1349" s="50">
        <v>-106.8024</v>
      </c>
      <c r="AK1349" s="41" t="s">
        <v>288</v>
      </c>
      <c r="AL1349" s="40" t="s">
        <v>288</v>
      </c>
      <c r="AM1349" s="49">
        <v>2179.0</v>
      </c>
      <c r="AN1349" s="51">
        <v>2179.0</v>
      </c>
      <c r="AO1349" s="42" t="s">
        <v>293</v>
      </c>
      <c r="AP1349" s="43" t="s">
        <v>293</v>
      </c>
      <c r="AQ1349" s="44" t="str">
        <f t="shared" si="147"/>
        <v>OSH</v>
      </c>
      <c r="AR1349" s="44">
        <f t="shared" si="144"/>
        <v>2179</v>
      </c>
      <c r="AS1349" s="44" t="str">
        <f t="shared" si="155"/>
        <v>B</v>
      </c>
      <c r="AT1349" s="44" t="str">
        <f t="shared" si="114"/>
        <v>BS</v>
      </c>
      <c r="AU1349" s="44" t="str">
        <f t="shared" si="115"/>
        <v>BSk</v>
      </c>
      <c r="AV1349" s="38"/>
      <c r="AW1349" s="38"/>
      <c r="AX1349" s="38"/>
      <c r="AY1349" s="38"/>
      <c r="AZ1349" s="29"/>
      <c r="BA1349" s="29">
        <v>1.0</v>
      </c>
      <c r="BB1349" s="29">
        <v>2.0</v>
      </c>
      <c r="BC1349" s="29" t="s">
        <v>219</v>
      </c>
      <c r="BD1349" s="29" t="s">
        <v>88</v>
      </c>
      <c r="BE1349" s="29"/>
      <c r="BF1349" s="29" t="s">
        <v>219</v>
      </c>
      <c r="BG1349" s="29" t="s">
        <v>220</v>
      </c>
      <c r="BH1349" s="29"/>
      <c r="BI1349" s="29"/>
      <c r="BJ1349" s="29"/>
      <c r="BK1349" s="29"/>
      <c r="BL1349" s="29"/>
      <c r="BM1349" s="45"/>
      <c r="BN1349" s="45">
        <v>1.0</v>
      </c>
      <c r="BO1349" s="46" t="s">
        <v>2399</v>
      </c>
      <c r="BP1349" s="2"/>
      <c r="BQ1349" s="3"/>
    </row>
    <row r="1350" ht="15.75" customHeight="1">
      <c r="A1350" s="34">
        <v>1371.0</v>
      </c>
      <c r="B1350" s="34">
        <v>103363.0</v>
      </c>
      <c r="C1350" s="34" t="s">
        <v>832</v>
      </c>
      <c r="D1350" s="34" t="s">
        <v>2392</v>
      </c>
      <c r="E1350" s="34" t="s">
        <v>2393</v>
      </c>
      <c r="F1350" s="34">
        <v>2017.0</v>
      </c>
      <c r="G1350" s="34" t="s">
        <v>2394</v>
      </c>
      <c r="H1350" s="34" t="s">
        <v>816</v>
      </c>
      <c r="I1350" s="34" t="s">
        <v>2395</v>
      </c>
      <c r="J1350" s="35"/>
      <c r="K1350" s="36"/>
      <c r="L1350" s="36"/>
      <c r="M1350" s="36"/>
      <c r="N1350" s="36"/>
      <c r="O1350" s="36"/>
      <c r="P1350" s="37">
        <v>-68.0</v>
      </c>
      <c r="Q1350" s="36" t="s">
        <v>191</v>
      </c>
      <c r="R1350" s="36" t="s">
        <v>191</v>
      </c>
      <c r="S1350" s="36"/>
      <c r="T1350" s="36"/>
      <c r="U1350" s="36"/>
      <c r="V1350" s="36"/>
      <c r="W1350" s="36"/>
      <c r="X1350" s="38">
        <v>1.0</v>
      </c>
      <c r="Y1350" s="38" t="s">
        <v>1331</v>
      </c>
      <c r="Z1350" s="38" t="s">
        <v>2408</v>
      </c>
      <c r="AA1350" s="38" t="s">
        <v>452</v>
      </c>
      <c r="AB1350" s="38"/>
      <c r="AC1350" s="38"/>
      <c r="AD1350" s="39" t="s">
        <v>87</v>
      </c>
      <c r="AE1350" s="38">
        <v>377.5</v>
      </c>
      <c r="AF1350" s="38"/>
      <c r="AG1350" s="38" t="s">
        <v>107</v>
      </c>
      <c r="AH1350" s="38"/>
      <c r="AI1350" s="50">
        <v>42.54</v>
      </c>
      <c r="AJ1350" s="50">
        <v>-72.19</v>
      </c>
      <c r="AK1350" s="41" t="s">
        <v>370</v>
      </c>
      <c r="AL1350" s="40" t="s">
        <v>370</v>
      </c>
      <c r="AM1350" s="49">
        <v>365.0</v>
      </c>
      <c r="AN1350" s="51">
        <v>365.0</v>
      </c>
      <c r="AO1350" s="42" t="s">
        <v>372</v>
      </c>
      <c r="AP1350" s="43" t="s">
        <v>107</v>
      </c>
      <c r="AQ1350" s="44" t="str">
        <f t="shared" si="147"/>
        <v>MF</v>
      </c>
      <c r="AR1350" s="44">
        <f t="shared" si="144"/>
        <v>365</v>
      </c>
      <c r="AS1350" s="44" t="str">
        <f t="shared" si="155"/>
        <v>D</v>
      </c>
      <c r="AT1350" s="44" t="str">
        <f t="shared" si="114"/>
        <v>Df</v>
      </c>
      <c r="AU1350" s="44" t="str">
        <f t="shared" si="115"/>
        <v>Dfb</v>
      </c>
      <c r="AV1350" s="38"/>
      <c r="AW1350" s="38"/>
      <c r="AX1350" s="38"/>
      <c r="AY1350" s="38"/>
      <c r="AZ1350" s="29"/>
      <c r="BA1350" s="29">
        <v>1.0</v>
      </c>
      <c r="BB1350" s="29">
        <v>2.0</v>
      </c>
      <c r="BC1350" s="29" t="s">
        <v>219</v>
      </c>
      <c r="BD1350" s="29" t="s">
        <v>88</v>
      </c>
      <c r="BE1350" s="29"/>
      <c r="BF1350" s="29" t="s">
        <v>219</v>
      </c>
      <c r="BG1350" s="29" t="s">
        <v>220</v>
      </c>
      <c r="BH1350" s="29"/>
      <c r="BI1350" s="29"/>
      <c r="BJ1350" s="29"/>
      <c r="BK1350" s="29"/>
      <c r="BL1350" s="29"/>
      <c r="BM1350" s="45"/>
      <c r="BN1350" s="45">
        <v>1.0</v>
      </c>
      <c r="BO1350" s="46" t="s">
        <v>2399</v>
      </c>
      <c r="BP1350" s="2"/>
      <c r="BQ1350" s="3"/>
    </row>
    <row r="1351" ht="15.75" customHeight="1">
      <c r="A1351" s="34">
        <v>1372.0</v>
      </c>
      <c r="B1351" s="34">
        <v>103272.0</v>
      </c>
      <c r="C1351" s="34" t="s">
        <v>832</v>
      </c>
      <c r="D1351" s="34" t="s">
        <v>2410</v>
      </c>
      <c r="E1351" s="34" t="s">
        <v>2411</v>
      </c>
      <c r="F1351" s="34">
        <v>2018.0</v>
      </c>
      <c r="G1351" s="34" t="s">
        <v>2412</v>
      </c>
      <c r="H1351" s="34" t="s">
        <v>1028</v>
      </c>
      <c r="I1351" s="34" t="s">
        <v>2413</v>
      </c>
      <c r="J1351" s="35"/>
      <c r="K1351" s="36"/>
      <c r="L1351" s="36"/>
      <c r="M1351" s="36"/>
      <c r="N1351" s="36"/>
      <c r="O1351" s="36"/>
      <c r="P1351" s="37">
        <v>-12.0</v>
      </c>
      <c r="Q1351" s="36"/>
      <c r="R1351" s="36" t="s">
        <v>82</v>
      </c>
      <c r="S1351" s="36"/>
      <c r="T1351" s="36" t="s">
        <v>2414</v>
      </c>
      <c r="U1351" s="36" t="s">
        <v>2415</v>
      </c>
      <c r="V1351" s="36">
        <v>7.0</v>
      </c>
      <c r="W1351" s="36"/>
      <c r="X1351" s="38">
        <v>1.0</v>
      </c>
      <c r="Y1351" s="38" t="s">
        <v>1491</v>
      </c>
      <c r="Z1351" s="38" t="s">
        <v>1491</v>
      </c>
      <c r="AA1351" s="38" t="s">
        <v>86</v>
      </c>
      <c r="AB1351" s="38">
        <v>-35.383333</v>
      </c>
      <c r="AC1351" s="38">
        <v>71.733333</v>
      </c>
      <c r="AD1351" s="38" t="s">
        <v>1361</v>
      </c>
      <c r="AE1351" s="38">
        <v>96.0</v>
      </c>
      <c r="AF1351" s="38" t="s">
        <v>2416</v>
      </c>
      <c r="AG1351" s="38"/>
      <c r="AH1351" s="38">
        <v>4.8</v>
      </c>
      <c r="AI1351" s="50">
        <v>-35.383333</v>
      </c>
      <c r="AJ1351" s="50">
        <v>-71.733333</v>
      </c>
      <c r="AK1351" s="41" t="s">
        <v>313</v>
      </c>
      <c r="AL1351" s="40" t="s">
        <v>313</v>
      </c>
      <c r="AM1351" s="49">
        <v>150.0</v>
      </c>
      <c r="AN1351" s="51">
        <v>150.0</v>
      </c>
      <c r="AO1351" s="42" t="s">
        <v>445</v>
      </c>
      <c r="AP1351" s="43" t="s">
        <v>445</v>
      </c>
      <c r="AQ1351" s="44" t="str">
        <f t="shared" si="147"/>
        <v>CRO</v>
      </c>
      <c r="AR1351" s="44">
        <f t="shared" si="144"/>
        <v>150</v>
      </c>
      <c r="AS1351" s="44" t="str">
        <f t="shared" si="155"/>
        <v>C</v>
      </c>
      <c r="AT1351" s="44" t="str">
        <f t="shared" si="114"/>
        <v>Cs</v>
      </c>
      <c r="AU1351" s="44" t="str">
        <f t="shared" si="115"/>
        <v>Csb</v>
      </c>
      <c r="AV1351" s="38">
        <v>3.0</v>
      </c>
      <c r="AW1351" s="38"/>
      <c r="AX1351" s="38"/>
      <c r="AY1351" s="38" t="s">
        <v>88</v>
      </c>
      <c r="AZ1351" s="29"/>
      <c r="BA1351" s="29">
        <v>1.0</v>
      </c>
      <c r="BB1351" s="29">
        <v>1.0</v>
      </c>
      <c r="BC1351" s="29"/>
      <c r="BD1351" s="29" t="s">
        <v>88</v>
      </c>
      <c r="BE1351" s="29"/>
      <c r="BF1351" s="29" t="s">
        <v>2417</v>
      </c>
      <c r="BG1351" s="29" t="s">
        <v>220</v>
      </c>
      <c r="BH1351" s="29" t="s">
        <v>88</v>
      </c>
      <c r="BI1351" s="29" t="s">
        <v>882</v>
      </c>
      <c r="BJ1351" s="29"/>
      <c r="BK1351" s="29" t="s">
        <v>180</v>
      </c>
      <c r="BL1351" s="29"/>
      <c r="BM1351" s="45"/>
      <c r="BN1351" s="45">
        <v>1.0</v>
      </c>
      <c r="BO1351" s="46" t="s">
        <v>2418</v>
      </c>
      <c r="BP1351" s="2"/>
      <c r="BQ1351" s="3"/>
    </row>
    <row r="1352" ht="15.75" customHeight="1">
      <c r="A1352" s="34">
        <v>1373.0</v>
      </c>
      <c r="B1352" s="34">
        <v>103272.0</v>
      </c>
      <c r="C1352" s="34" t="s">
        <v>832</v>
      </c>
      <c r="D1352" s="34" t="s">
        <v>2410</v>
      </c>
      <c r="E1352" s="34" t="s">
        <v>2411</v>
      </c>
      <c r="F1352" s="34">
        <v>2018.0</v>
      </c>
      <c r="G1352" s="34" t="s">
        <v>2412</v>
      </c>
      <c r="H1352" s="34" t="s">
        <v>1028</v>
      </c>
      <c r="I1352" s="34" t="s">
        <v>2413</v>
      </c>
      <c r="J1352" s="35"/>
      <c r="K1352" s="36"/>
      <c r="L1352" s="36"/>
      <c r="M1352" s="36"/>
      <c r="N1352" s="36"/>
      <c r="O1352" s="36"/>
      <c r="P1352" s="37">
        <v>-10.0</v>
      </c>
      <c r="Q1352" s="36"/>
      <c r="R1352" s="36" t="s">
        <v>96</v>
      </c>
      <c r="S1352" s="36"/>
      <c r="T1352" s="36" t="s">
        <v>2414</v>
      </c>
      <c r="U1352" s="36" t="s">
        <v>2415</v>
      </c>
      <c r="V1352" s="36">
        <v>7.0</v>
      </c>
      <c r="W1352" s="36"/>
      <c r="X1352" s="38">
        <v>1.0</v>
      </c>
      <c r="Y1352" s="38" t="s">
        <v>1491</v>
      </c>
      <c r="Z1352" s="38" t="s">
        <v>1491</v>
      </c>
      <c r="AA1352" s="38" t="s">
        <v>86</v>
      </c>
      <c r="AB1352" s="38">
        <v>-35.383333</v>
      </c>
      <c r="AC1352" s="38">
        <v>71.733333</v>
      </c>
      <c r="AD1352" s="38" t="s">
        <v>1361</v>
      </c>
      <c r="AE1352" s="38">
        <v>96.0</v>
      </c>
      <c r="AF1352" s="38" t="s">
        <v>2416</v>
      </c>
      <c r="AG1352" s="38"/>
      <c r="AH1352" s="38">
        <v>4.8</v>
      </c>
      <c r="AI1352" s="50">
        <v>-35.383333</v>
      </c>
      <c r="AJ1352" s="50">
        <v>-71.733333</v>
      </c>
      <c r="AK1352" s="41" t="s">
        <v>313</v>
      </c>
      <c r="AL1352" s="40" t="s">
        <v>313</v>
      </c>
      <c r="AM1352" s="49">
        <v>150.0</v>
      </c>
      <c r="AN1352" s="51">
        <v>150.0</v>
      </c>
      <c r="AO1352" s="42" t="s">
        <v>445</v>
      </c>
      <c r="AP1352" s="43" t="s">
        <v>445</v>
      </c>
      <c r="AQ1352" s="44" t="str">
        <f t="shared" si="147"/>
        <v>CRO</v>
      </c>
      <c r="AR1352" s="44">
        <f t="shared" si="144"/>
        <v>150</v>
      </c>
      <c r="AS1352" s="44" t="str">
        <f t="shared" si="155"/>
        <v>C</v>
      </c>
      <c r="AT1352" s="44" t="str">
        <f t="shared" si="114"/>
        <v>Cs</v>
      </c>
      <c r="AU1352" s="44" t="str">
        <f t="shared" si="115"/>
        <v>Csb</v>
      </c>
      <c r="AV1352" s="38">
        <v>3.0</v>
      </c>
      <c r="AW1352" s="38"/>
      <c r="AX1352" s="38"/>
      <c r="AY1352" s="38" t="s">
        <v>88</v>
      </c>
      <c r="AZ1352" s="29"/>
      <c r="BA1352" s="29">
        <v>1.0</v>
      </c>
      <c r="BB1352" s="29">
        <v>1.0</v>
      </c>
      <c r="BC1352" s="29"/>
      <c r="BD1352" s="29" t="s">
        <v>88</v>
      </c>
      <c r="BE1352" s="29"/>
      <c r="BF1352" s="29" t="s">
        <v>2417</v>
      </c>
      <c r="BG1352" s="29" t="s">
        <v>220</v>
      </c>
      <c r="BH1352" s="29" t="s">
        <v>88</v>
      </c>
      <c r="BI1352" s="29" t="s">
        <v>882</v>
      </c>
      <c r="BJ1352" s="29"/>
      <c r="BK1352" s="29" t="s">
        <v>180</v>
      </c>
      <c r="BL1352" s="29"/>
      <c r="BM1352" s="45"/>
      <c r="BN1352" s="45">
        <v>1.0</v>
      </c>
      <c r="BO1352" s="46" t="s">
        <v>2418</v>
      </c>
      <c r="BP1352" s="2" t="s">
        <v>2018</v>
      </c>
      <c r="BQ1352" s="3"/>
    </row>
    <row r="1353" ht="15.75" customHeight="1">
      <c r="A1353" s="34">
        <v>1374.0</v>
      </c>
      <c r="B1353" s="34">
        <v>101279.0</v>
      </c>
      <c r="C1353" s="34" t="s">
        <v>832</v>
      </c>
      <c r="D1353" s="34" t="s">
        <v>2419</v>
      </c>
      <c r="E1353" s="34" t="s">
        <v>2420</v>
      </c>
      <c r="F1353" s="34">
        <v>2015.0</v>
      </c>
      <c r="G1353" s="34" t="s">
        <v>2421</v>
      </c>
      <c r="H1353" s="34" t="s">
        <v>1028</v>
      </c>
      <c r="I1353" s="34" t="s">
        <v>2422</v>
      </c>
      <c r="J1353" s="35"/>
      <c r="K1353" s="36"/>
      <c r="L1353" s="36"/>
      <c r="M1353" s="36"/>
      <c r="N1353" s="36">
        <f>466.7-O1353</f>
        <v>4.8</v>
      </c>
      <c r="O1353" s="36">
        <v>461.9</v>
      </c>
      <c r="P1353" s="52">
        <f t="shared" ref="P1353:P1360" si="156">N1353*100/O1353</f>
        <v>1.039185971</v>
      </c>
      <c r="Q1353" s="36"/>
      <c r="R1353" s="36" t="s">
        <v>96</v>
      </c>
      <c r="S1353" s="36">
        <v>90.0</v>
      </c>
      <c r="T1353" s="36" t="s">
        <v>2423</v>
      </c>
      <c r="U1353" s="36" t="s">
        <v>2423</v>
      </c>
      <c r="V1353" s="36">
        <v>8.0</v>
      </c>
      <c r="W1353" s="36"/>
      <c r="X1353" s="38">
        <v>8.0</v>
      </c>
      <c r="Y1353" s="38" t="s">
        <v>2424</v>
      </c>
      <c r="Z1353" s="38"/>
      <c r="AA1353" s="38" t="s">
        <v>86</v>
      </c>
      <c r="AB1353" s="38">
        <v>38.866667</v>
      </c>
      <c r="AC1353" s="38">
        <v>100.36667</v>
      </c>
      <c r="AD1353" s="38" t="s">
        <v>198</v>
      </c>
      <c r="AE1353" s="53"/>
      <c r="AF1353" s="38" t="s">
        <v>1048</v>
      </c>
      <c r="AG1353" s="38"/>
      <c r="AH1353" s="38"/>
      <c r="AI1353" s="50"/>
      <c r="AJ1353" s="50"/>
      <c r="AK1353" s="41"/>
      <c r="AL1353" s="40"/>
      <c r="AM1353" s="49"/>
      <c r="AN1353" s="51"/>
      <c r="AO1353" s="42"/>
      <c r="AP1353" s="43"/>
      <c r="AQ1353" s="44" t="str">
        <f t="shared" si="147"/>
        <v>CRO</v>
      </c>
      <c r="AR1353" s="44" t="str">
        <f t="shared" si="144"/>
        <v/>
      </c>
      <c r="AS1353" s="44"/>
      <c r="AT1353" s="44" t="str">
        <f t="shared" si="114"/>
        <v/>
      </c>
      <c r="AU1353" s="44" t="str">
        <f t="shared" si="115"/>
        <v/>
      </c>
      <c r="AV1353" s="38">
        <v>3.0</v>
      </c>
      <c r="AW1353" s="38"/>
      <c r="AX1353" s="38"/>
      <c r="AY1353" s="38" t="s">
        <v>88</v>
      </c>
      <c r="AZ1353" s="29">
        <v>90.0</v>
      </c>
      <c r="BA1353" s="29">
        <v>1.0</v>
      </c>
      <c r="BB1353" s="29">
        <v>1.0</v>
      </c>
      <c r="BC1353" s="29"/>
      <c r="BD1353" s="29" t="s">
        <v>88</v>
      </c>
      <c r="BE1353" s="29" t="s">
        <v>2425</v>
      </c>
      <c r="BF1353" s="29" t="s">
        <v>2426</v>
      </c>
      <c r="BG1353" s="29" t="s">
        <v>91</v>
      </c>
      <c r="BH1353" s="29" t="s">
        <v>88</v>
      </c>
      <c r="BI1353" s="29" t="s">
        <v>882</v>
      </c>
      <c r="BJ1353" s="29"/>
      <c r="BK1353" s="29" t="s">
        <v>1995</v>
      </c>
      <c r="BL1353" s="29" t="s">
        <v>1995</v>
      </c>
      <c r="BM1353" s="45"/>
      <c r="BN1353" s="45">
        <v>1.0</v>
      </c>
      <c r="BO1353" s="46" t="s">
        <v>2427</v>
      </c>
      <c r="BP1353" s="2"/>
      <c r="BQ1353" s="3"/>
    </row>
    <row r="1354" ht="15.75" customHeight="1">
      <c r="A1354" s="34">
        <v>1375.0</v>
      </c>
      <c r="B1354" s="34">
        <v>101279.0</v>
      </c>
      <c r="C1354" s="34" t="s">
        <v>832</v>
      </c>
      <c r="D1354" s="34" t="s">
        <v>2419</v>
      </c>
      <c r="E1354" s="34" t="s">
        <v>2420</v>
      </c>
      <c r="F1354" s="34">
        <v>2015.0</v>
      </c>
      <c r="G1354" s="34" t="s">
        <v>2421</v>
      </c>
      <c r="H1354" s="34" t="s">
        <v>1028</v>
      </c>
      <c r="I1354" s="34" t="s">
        <v>2422</v>
      </c>
      <c r="J1354" s="35"/>
      <c r="K1354" s="36"/>
      <c r="L1354" s="36"/>
      <c r="M1354" s="36"/>
      <c r="N1354" s="36">
        <f>496.4-O1354</f>
        <v>1.1</v>
      </c>
      <c r="O1354" s="36">
        <v>495.3</v>
      </c>
      <c r="P1354" s="52">
        <f t="shared" si="156"/>
        <v>0.2220876237</v>
      </c>
      <c r="Q1354" s="36"/>
      <c r="R1354" s="36" t="s">
        <v>96</v>
      </c>
      <c r="S1354" s="36">
        <v>90.0</v>
      </c>
      <c r="T1354" s="36" t="s">
        <v>2428</v>
      </c>
      <c r="U1354" s="36" t="s">
        <v>2428</v>
      </c>
      <c r="V1354" s="36">
        <v>9.0</v>
      </c>
      <c r="W1354" s="36"/>
      <c r="X1354" s="38">
        <v>9.0</v>
      </c>
      <c r="Y1354" s="38" t="s">
        <v>2424</v>
      </c>
      <c r="Z1354" s="38"/>
      <c r="AA1354" s="38" t="s">
        <v>86</v>
      </c>
      <c r="AB1354" s="38">
        <v>38.866667</v>
      </c>
      <c r="AC1354" s="38">
        <v>100.36667</v>
      </c>
      <c r="AD1354" s="38" t="s">
        <v>198</v>
      </c>
      <c r="AE1354" s="53"/>
      <c r="AF1354" s="38" t="s">
        <v>1048</v>
      </c>
      <c r="AG1354" s="38"/>
      <c r="AH1354" s="38"/>
      <c r="AI1354" s="50"/>
      <c r="AJ1354" s="50"/>
      <c r="AK1354" s="41"/>
      <c r="AL1354" s="40"/>
      <c r="AM1354" s="49"/>
      <c r="AN1354" s="51"/>
      <c r="AO1354" s="42"/>
      <c r="AP1354" s="43"/>
      <c r="AQ1354" s="44" t="str">
        <f t="shared" si="147"/>
        <v>CRO</v>
      </c>
      <c r="AR1354" s="44" t="str">
        <f t="shared" si="144"/>
        <v/>
      </c>
      <c r="AS1354" s="44"/>
      <c r="AT1354" s="44" t="str">
        <f t="shared" si="114"/>
        <v/>
      </c>
      <c r="AU1354" s="44" t="str">
        <f t="shared" si="115"/>
        <v/>
      </c>
      <c r="AV1354" s="38">
        <v>3.0</v>
      </c>
      <c r="AW1354" s="38"/>
      <c r="AX1354" s="38"/>
      <c r="AY1354" s="38" t="s">
        <v>88</v>
      </c>
      <c r="AZ1354" s="29">
        <v>90.0</v>
      </c>
      <c r="BA1354" s="29">
        <v>1.0</v>
      </c>
      <c r="BB1354" s="29">
        <v>1.0</v>
      </c>
      <c r="BC1354" s="29"/>
      <c r="BD1354" s="29" t="s">
        <v>88</v>
      </c>
      <c r="BE1354" s="29" t="s">
        <v>2425</v>
      </c>
      <c r="BF1354" s="29" t="s">
        <v>2426</v>
      </c>
      <c r="BG1354" s="29" t="s">
        <v>91</v>
      </c>
      <c r="BH1354" s="29" t="s">
        <v>88</v>
      </c>
      <c r="BI1354" s="29" t="s">
        <v>882</v>
      </c>
      <c r="BJ1354" s="29"/>
      <c r="BK1354" s="29" t="s">
        <v>1995</v>
      </c>
      <c r="BL1354" s="29" t="s">
        <v>1995</v>
      </c>
      <c r="BM1354" s="45"/>
      <c r="BN1354" s="45">
        <v>1.0</v>
      </c>
      <c r="BO1354" s="46" t="s">
        <v>2427</v>
      </c>
      <c r="BP1354" s="2"/>
      <c r="BQ1354" s="3"/>
    </row>
    <row r="1355" ht="15.75" customHeight="1">
      <c r="A1355" s="34">
        <v>1376.0</v>
      </c>
      <c r="B1355" s="34">
        <v>101279.0</v>
      </c>
      <c r="C1355" s="34" t="s">
        <v>832</v>
      </c>
      <c r="D1355" s="34" t="s">
        <v>2419</v>
      </c>
      <c r="E1355" s="34" t="s">
        <v>2420</v>
      </c>
      <c r="F1355" s="34">
        <v>2015.0</v>
      </c>
      <c r="G1355" s="34" t="s">
        <v>2421</v>
      </c>
      <c r="H1355" s="34" t="s">
        <v>1028</v>
      </c>
      <c r="I1355" s="34" t="s">
        <v>2422</v>
      </c>
      <c r="J1355" s="35"/>
      <c r="K1355" s="36"/>
      <c r="L1355" s="36"/>
      <c r="M1355" s="36"/>
      <c r="N1355" s="36">
        <f>395.9-O1355</f>
        <v>9.8</v>
      </c>
      <c r="O1355" s="36">
        <v>386.1</v>
      </c>
      <c r="P1355" s="52">
        <f t="shared" si="156"/>
        <v>2.538202538</v>
      </c>
      <c r="Q1355" s="36"/>
      <c r="R1355" s="36" t="s">
        <v>96</v>
      </c>
      <c r="S1355" s="36">
        <v>90.0</v>
      </c>
      <c r="T1355" s="36" t="s">
        <v>2429</v>
      </c>
      <c r="U1355" s="36" t="s">
        <v>2429</v>
      </c>
      <c r="V1355" s="36">
        <v>9.0</v>
      </c>
      <c r="W1355" s="36"/>
      <c r="X1355" s="38">
        <v>9.0</v>
      </c>
      <c r="Y1355" s="38" t="s">
        <v>2424</v>
      </c>
      <c r="Z1355" s="38"/>
      <c r="AA1355" s="38" t="s">
        <v>86</v>
      </c>
      <c r="AB1355" s="38">
        <v>38.866667</v>
      </c>
      <c r="AC1355" s="38">
        <v>100.36667</v>
      </c>
      <c r="AD1355" s="38" t="s">
        <v>198</v>
      </c>
      <c r="AE1355" s="53"/>
      <c r="AF1355" s="38" t="s">
        <v>1048</v>
      </c>
      <c r="AG1355" s="38"/>
      <c r="AH1355" s="38"/>
      <c r="AI1355" s="50"/>
      <c r="AJ1355" s="50"/>
      <c r="AK1355" s="41"/>
      <c r="AL1355" s="40"/>
      <c r="AM1355" s="49"/>
      <c r="AN1355" s="51"/>
      <c r="AO1355" s="42"/>
      <c r="AP1355" s="43"/>
      <c r="AQ1355" s="44" t="str">
        <f t="shared" si="147"/>
        <v>CRO</v>
      </c>
      <c r="AR1355" s="44" t="str">
        <f t="shared" si="144"/>
        <v/>
      </c>
      <c r="AS1355" s="44"/>
      <c r="AT1355" s="44" t="str">
        <f t="shared" si="114"/>
        <v/>
      </c>
      <c r="AU1355" s="44" t="str">
        <f t="shared" si="115"/>
        <v/>
      </c>
      <c r="AV1355" s="38">
        <v>3.0</v>
      </c>
      <c r="AW1355" s="38"/>
      <c r="AX1355" s="38"/>
      <c r="AY1355" s="38" t="s">
        <v>88</v>
      </c>
      <c r="AZ1355" s="29">
        <v>90.0</v>
      </c>
      <c r="BA1355" s="29">
        <v>1.0</v>
      </c>
      <c r="BB1355" s="29">
        <v>1.0</v>
      </c>
      <c r="BC1355" s="29"/>
      <c r="BD1355" s="29" t="s">
        <v>88</v>
      </c>
      <c r="BE1355" s="29" t="s">
        <v>2425</v>
      </c>
      <c r="BF1355" s="29" t="s">
        <v>2426</v>
      </c>
      <c r="BG1355" s="29" t="s">
        <v>91</v>
      </c>
      <c r="BH1355" s="29" t="s">
        <v>88</v>
      </c>
      <c r="BI1355" s="29" t="s">
        <v>882</v>
      </c>
      <c r="BJ1355" s="29"/>
      <c r="BK1355" s="29" t="s">
        <v>1995</v>
      </c>
      <c r="BL1355" s="29" t="s">
        <v>1995</v>
      </c>
      <c r="BM1355" s="45"/>
      <c r="BN1355" s="45">
        <v>1.0</v>
      </c>
      <c r="BO1355" s="46" t="s">
        <v>2427</v>
      </c>
      <c r="BP1355" s="2"/>
      <c r="BQ1355" s="3"/>
    </row>
    <row r="1356">
      <c r="A1356" s="34">
        <v>1377.0</v>
      </c>
      <c r="B1356" s="34">
        <v>101279.0</v>
      </c>
      <c r="C1356" s="34" t="s">
        <v>832</v>
      </c>
      <c r="D1356" s="34" t="s">
        <v>2419</v>
      </c>
      <c r="E1356" s="34" t="s">
        <v>2420</v>
      </c>
      <c r="F1356" s="34">
        <v>2015.0</v>
      </c>
      <c r="G1356" s="34" t="s">
        <v>2421</v>
      </c>
      <c r="H1356" s="34" t="s">
        <v>1028</v>
      </c>
      <c r="I1356" s="34" t="s">
        <v>2422</v>
      </c>
      <c r="J1356" s="35"/>
      <c r="K1356" s="36"/>
      <c r="L1356" s="36"/>
      <c r="M1356" s="36"/>
      <c r="N1356" s="36">
        <f>302.8-O1356</f>
        <v>0.6</v>
      </c>
      <c r="O1356" s="36">
        <v>302.2</v>
      </c>
      <c r="P1356" s="52">
        <f t="shared" si="156"/>
        <v>0.1985440106</v>
      </c>
      <c r="Q1356" s="36"/>
      <c r="R1356" s="36" t="s">
        <v>96</v>
      </c>
      <c r="S1356" s="36">
        <v>90.0</v>
      </c>
      <c r="T1356" s="36" t="s">
        <v>1993</v>
      </c>
      <c r="U1356" s="36" t="s">
        <v>1993</v>
      </c>
      <c r="V1356" s="36">
        <v>9.0</v>
      </c>
      <c r="W1356" s="36"/>
      <c r="X1356" s="38">
        <v>9.0</v>
      </c>
      <c r="Y1356" s="38" t="s">
        <v>2424</v>
      </c>
      <c r="Z1356" s="38"/>
      <c r="AA1356" s="38" t="s">
        <v>86</v>
      </c>
      <c r="AB1356" s="38">
        <v>38.866667</v>
      </c>
      <c r="AC1356" s="38">
        <v>100.36667</v>
      </c>
      <c r="AD1356" s="38" t="s">
        <v>198</v>
      </c>
      <c r="AE1356" s="53"/>
      <c r="AF1356" s="38" t="s">
        <v>1048</v>
      </c>
      <c r="AG1356" s="38"/>
      <c r="AH1356" s="38"/>
      <c r="AI1356" s="50"/>
      <c r="AJ1356" s="50"/>
      <c r="AK1356" s="41"/>
      <c r="AL1356" s="40"/>
      <c r="AM1356" s="49"/>
      <c r="AN1356" s="51"/>
      <c r="AO1356" s="42"/>
      <c r="AP1356" s="43"/>
      <c r="AQ1356" s="44" t="str">
        <f t="shared" si="147"/>
        <v>CRO</v>
      </c>
      <c r="AR1356" s="44" t="str">
        <f t="shared" si="144"/>
        <v/>
      </c>
      <c r="AS1356" s="44"/>
      <c r="AT1356" s="44" t="str">
        <f t="shared" si="114"/>
        <v/>
      </c>
      <c r="AU1356" s="44" t="str">
        <f t="shared" si="115"/>
        <v/>
      </c>
      <c r="AV1356" s="38">
        <v>3.0</v>
      </c>
      <c r="AW1356" s="38"/>
      <c r="AX1356" s="38"/>
      <c r="AY1356" s="38" t="s">
        <v>88</v>
      </c>
      <c r="AZ1356" s="29">
        <v>90.0</v>
      </c>
      <c r="BA1356" s="29">
        <v>1.0</v>
      </c>
      <c r="BB1356" s="29">
        <v>1.0</v>
      </c>
      <c r="BC1356" s="29"/>
      <c r="BD1356" s="29" t="s">
        <v>88</v>
      </c>
      <c r="BE1356" s="29" t="s">
        <v>2425</v>
      </c>
      <c r="BF1356" s="29" t="s">
        <v>2426</v>
      </c>
      <c r="BG1356" s="29" t="s">
        <v>91</v>
      </c>
      <c r="BH1356" s="29" t="s">
        <v>88</v>
      </c>
      <c r="BI1356" s="29" t="s">
        <v>882</v>
      </c>
      <c r="BJ1356" s="29"/>
      <c r="BK1356" s="29" t="s">
        <v>1995</v>
      </c>
      <c r="BL1356" s="29" t="s">
        <v>1995</v>
      </c>
      <c r="BM1356" s="45"/>
      <c r="BN1356" s="45">
        <v>1.0</v>
      </c>
      <c r="BO1356" s="46" t="s">
        <v>2427</v>
      </c>
      <c r="BP1356" s="2"/>
      <c r="BQ1356" s="3"/>
    </row>
    <row r="1357" ht="15.75" customHeight="1">
      <c r="A1357" s="34">
        <v>1378.0</v>
      </c>
      <c r="B1357" s="34">
        <v>101279.0</v>
      </c>
      <c r="C1357" s="34" t="s">
        <v>832</v>
      </c>
      <c r="D1357" s="34" t="s">
        <v>2419</v>
      </c>
      <c r="E1357" s="34" t="s">
        <v>2420</v>
      </c>
      <c r="F1357" s="34">
        <v>2015.0</v>
      </c>
      <c r="G1357" s="34" t="s">
        <v>2421</v>
      </c>
      <c r="H1357" s="34" t="s">
        <v>1028</v>
      </c>
      <c r="I1357" s="34" t="s">
        <v>2422</v>
      </c>
      <c r="J1357" s="35"/>
      <c r="K1357" s="36"/>
      <c r="L1357" s="36"/>
      <c r="M1357" s="36"/>
      <c r="N1357" s="36">
        <f>527.7-O1357</f>
        <v>65.8</v>
      </c>
      <c r="O1357" s="36">
        <v>461.9</v>
      </c>
      <c r="P1357" s="52">
        <f t="shared" si="156"/>
        <v>14.24550769</v>
      </c>
      <c r="Q1357" s="36"/>
      <c r="R1357" s="36" t="s">
        <v>96</v>
      </c>
      <c r="S1357" s="36">
        <v>90.0</v>
      </c>
      <c r="T1357" s="36" t="s">
        <v>2423</v>
      </c>
      <c r="U1357" s="36" t="s">
        <v>2423</v>
      </c>
      <c r="V1357" s="36">
        <v>8.0</v>
      </c>
      <c r="W1357" s="36"/>
      <c r="X1357" s="38">
        <v>8.0</v>
      </c>
      <c r="Y1357" s="38" t="s">
        <v>2424</v>
      </c>
      <c r="Z1357" s="38"/>
      <c r="AA1357" s="38" t="s">
        <v>86</v>
      </c>
      <c r="AB1357" s="38">
        <v>38.866667</v>
      </c>
      <c r="AC1357" s="38">
        <v>100.36667</v>
      </c>
      <c r="AD1357" s="38" t="s">
        <v>198</v>
      </c>
      <c r="AE1357" s="53"/>
      <c r="AF1357" s="38" t="s">
        <v>1048</v>
      </c>
      <c r="AG1357" s="38"/>
      <c r="AH1357" s="38"/>
      <c r="AI1357" s="50"/>
      <c r="AJ1357" s="50"/>
      <c r="AK1357" s="41"/>
      <c r="AL1357" s="40"/>
      <c r="AM1357" s="49"/>
      <c r="AN1357" s="51"/>
      <c r="AO1357" s="42"/>
      <c r="AP1357" s="43"/>
      <c r="AQ1357" s="44" t="str">
        <f t="shared" si="147"/>
        <v>CRO</v>
      </c>
      <c r="AR1357" s="44" t="str">
        <f t="shared" si="144"/>
        <v/>
      </c>
      <c r="AS1357" s="44"/>
      <c r="AT1357" s="44" t="str">
        <f t="shared" si="114"/>
        <v/>
      </c>
      <c r="AU1357" s="44" t="str">
        <f t="shared" si="115"/>
        <v/>
      </c>
      <c r="AV1357" s="38">
        <v>3.0</v>
      </c>
      <c r="AW1357" s="38"/>
      <c r="AX1357" s="38"/>
      <c r="AY1357" s="38" t="s">
        <v>88</v>
      </c>
      <c r="AZ1357" s="29">
        <v>90.0</v>
      </c>
      <c r="BA1357" s="29">
        <v>1.0</v>
      </c>
      <c r="BB1357" s="29">
        <v>1.0</v>
      </c>
      <c r="BC1357" s="29"/>
      <c r="BD1357" s="29" t="s">
        <v>88</v>
      </c>
      <c r="BE1357" s="29" t="s">
        <v>2430</v>
      </c>
      <c r="BF1357" s="29" t="s">
        <v>2426</v>
      </c>
      <c r="BG1357" s="29" t="s">
        <v>91</v>
      </c>
      <c r="BH1357" s="29" t="s">
        <v>88</v>
      </c>
      <c r="BI1357" s="29" t="s">
        <v>882</v>
      </c>
      <c r="BJ1357" s="29"/>
      <c r="BK1357" s="29" t="s">
        <v>1995</v>
      </c>
      <c r="BL1357" s="29" t="s">
        <v>1995</v>
      </c>
      <c r="BM1357" s="45"/>
      <c r="BN1357" s="45">
        <v>1.0</v>
      </c>
      <c r="BO1357" s="46" t="s">
        <v>2427</v>
      </c>
      <c r="BP1357" s="2"/>
      <c r="BQ1357" s="3"/>
    </row>
    <row r="1358" ht="15.75" customHeight="1">
      <c r="A1358" s="34">
        <v>1379.0</v>
      </c>
      <c r="B1358" s="34">
        <v>101279.0</v>
      </c>
      <c r="C1358" s="34" t="s">
        <v>832</v>
      </c>
      <c r="D1358" s="34" t="s">
        <v>2419</v>
      </c>
      <c r="E1358" s="34" t="s">
        <v>2420</v>
      </c>
      <c r="F1358" s="34">
        <v>2015.0</v>
      </c>
      <c r="G1358" s="34" t="s">
        <v>2421</v>
      </c>
      <c r="H1358" s="34" t="s">
        <v>1028</v>
      </c>
      <c r="I1358" s="34" t="s">
        <v>2422</v>
      </c>
      <c r="J1358" s="35"/>
      <c r="K1358" s="36"/>
      <c r="L1358" s="36"/>
      <c r="M1358" s="36"/>
      <c r="N1358" s="36">
        <f>520.5-O1358</f>
        <v>25.2</v>
      </c>
      <c r="O1358" s="36">
        <v>495.3</v>
      </c>
      <c r="P1358" s="52">
        <f t="shared" si="156"/>
        <v>5.08782556</v>
      </c>
      <c r="Q1358" s="36"/>
      <c r="R1358" s="36" t="s">
        <v>96</v>
      </c>
      <c r="S1358" s="36">
        <v>90.0</v>
      </c>
      <c r="T1358" s="36" t="s">
        <v>2428</v>
      </c>
      <c r="U1358" s="36" t="s">
        <v>2428</v>
      </c>
      <c r="V1358" s="36">
        <v>9.0</v>
      </c>
      <c r="W1358" s="36"/>
      <c r="X1358" s="38">
        <v>9.0</v>
      </c>
      <c r="Y1358" s="38" t="s">
        <v>2424</v>
      </c>
      <c r="Z1358" s="38"/>
      <c r="AA1358" s="38" t="s">
        <v>86</v>
      </c>
      <c r="AB1358" s="38">
        <v>38.866667</v>
      </c>
      <c r="AC1358" s="38">
        <v>100.36667</v>
      </c>
      <c r="AD1358" s="38" t="s">
        <v>198</v>
      </c>
      <c r="AE1358" s="53"/>
      <c r="AF1358" s="38" t="s">
        <v>1048</v>
      </c>
      <c r="AG1358" s="38"/>
      <c r="AH1358" s="38"/>
      <c r="AI1358" s="50"/>
      <c r="AJ1358" s="50"/>
      <c r="AK1358" s="41"/>
      <c r="AL1358" s="40"/>
      <c r="AM1358" s="49"/>
      <c r="AN1358" s="51"/>
      <c r="AO1358" s="42"/>
      <c r="AP1358" s="43"/>
      <c r="AQ1358" s="44" t="str">
        <f t="shared" si="147"/>
        <v>CRO</v>
      </c>
      <c r="AR1358" s="44" t="str">
        <f t="shared" si="144"/>
        <v/>
      </c>
      <c r="AS1358" s="44"/>
      <c r="AT1358" s="44" t="str">
        <f t="shared" si="114"/>
        <v/>
      </c>
      <c r="AU1358" s="44" t="str">
        <f t="shared" si="115"/>
        <v/>
      </c>
      <c r="AV1358" s="38">
        <v>3.0</v>
      </c>
      <c r="AW1358" s="38"/>
      <c r="AX1358" s="38"/>
      <c r="AY1358" s="38" t="s">
        <v>88</v>
      </c>
      <c r="AZ1358" s="29">
        <v>90.0</v>
      </c>
      <c r="BA1358" s="29">
        <v>1.0</v>
      </c>
      <c r="BB1358" s="29">
        <v>1.0</v>
      </c>
      <c r="BC1358" s="29"/>
      <c r="BD1358" s="29" t="s">
        <v>88</v>
      </c>
      <c r="BE1358" s="29" t="s">
        <v>2430</v>
      </c>
      <c r="BF1358" s="29" t="s">
        <v>2426</v>
      </c>
      <c r="BG1358" s="29" t="s">
        <v>91</v>
      </c>
      <c r="BH1358" s="29" t="s">
        <v>88</v>
      </c>
      <c r="BI1358" s="29" t="s">
        <v>882</v>
      </c>
      <c r="BJ1358" s="29"/>
      <c r="BK1358" s="29" t="s">
        <v>1995</v>
      </c>
      <c r="BL1358" s="29" t="s">
        <v>1995</v>
      </c>
      <c r="BM1358" s="45"/>
      <c r="BN1358" s="45">
        <v>1.0</v>
      </c>
      <c r="BO1358" s="46" t="s">
        <v>2427</v>
      </c>
      <c r="BP1358" s="73"/>
      <c r="BQ1358" s="17"/>
    </row>
    <row r="1359" ht="15.75" customHeight="1">
      <c r="A1359" s="34">
        <v>1380.0</v>
      </c>
      <c r="B1359" s="34">
        <v>101279.0</v>
      </c>
      <c r="C1359" s="34" t="s">
        <v>832</v>
      </c>
      <c r="D1359" s="34" t="s">
        <v>2419</v>
      </c>
      <c r="E1359" s="34" t="s">
        <v>2420</v>
      </c>
      <c r="F1359" s="34">
        <v>2015.0</v>
      </c>
      <c r="G1359" s="34" t="s">
        <v>2421</v>
      </c>
      <c r="H1359" s="34" t="s">
        <v>1028</v>
      </c>
      <c r="I1359" s="34" t="s">
        <v>2422</v>
      </c>
      <c r="J1359" s="35"/>
      <c r="K1359" s="36"/>
      <c r="L1359" s="36"/>
      <c r="M1359" s="36"/>
      <c r="N1359" s="36">
        <f>462.8-O1359</f>
        <v>76.7</v>
      </c>
      <c r="O1359" s="36">
        <v>386.1</v>
      </c>
      <c r="P1359" s="52">
        <f t="shared" si="156"/>
        <v>19.86531987</v>
      </c>
      <c r="Q1359" s="36"/>
      <c r="R1359" s="36" t="s">
        <v>96</v>
      </c>
      <c r="S1359" s="36">
        <v>90.0</v>
      </c>
      <c r="T1359" s="36" t="s">
        <v>2429</v>
      </c>
      <c r="U1359" s="36" t="s">
        <v>2429</v>
      </c>
      <c r="V1359" s="36">
        <v>9.0</v>
      </c>
      <c r="W1359" s="36"/>
      <c r="X1359" s="38">
        <v>9.0</v>
      </c>
      <c r="Y1359" s="38" t="s">
        <v>2424</v>
      </c>
      <c r="Z1359" s="38"/>
      <c r="AA1359" s="38" t="s">
        <v>86</v>
      </c>
      <c r="AB1359" s="38">
        <v>38.866667</v>
      </c>
      <c r="AC1359" s="38">
        <v>100.36667</v>
      </c>
      <c r="AD1359" s="38" t="s">
        <v>198</v>
      </c>
      <c r="AE1359" s="53"/>
      <c r="AF1359" s="38" t="s">
        <v>1048</v>
      </c>
      <c r="AG1359" s="38"/>
      <c r="AH1359" s="38"/>
      <c r="AI1359" s="50"/>
      <c r="AJ1359" s="50"/>
      <c r="AK1359" s="41"/>
      <c r="AL1359" s="40"/>
      <c r="AM1359" s="49"/>
      <c r="AN1359" s="51"/>
      <c r="AO1359" s="42"/>
      <c r="AP1359" s="43"/>
      <c r="AQ1359" s="44" t="str">
        <f t="shared" si="147"/>
        <v>CRO</v>
      </c>
      <c r="AR1359" s="44" t="str">
        <f t="shared" si="144"/>
        <v/>
      </c>
      <c r="AS1359" s="44"/>
      <c r="AT1359" s="44" t="str">
        <f t="shared" si="114"/>
        <v/>
      </c>
      <c r="AU1359" s="44" t="str">
        <f t="shared" si="115"/>
        <v/>
      </c>
      <c r="AV1359" s="38">
        <v>3.0</v>
      </c>
      <c r="AW1359" s="38"/>
      <c r="AX1359" s="38"/>
      <c r="AY1359" s="38" t="s">
        <v>88</v>
      </c>
      <c r="AZ1359" s="29">
        <v>90.0</v>
      </c>
      <c r="BA1359" s="29">
        <v>1.0</v>
      </c>
      <c r="BB1359" s="29">
        <v>1.0</v>
      </c>
      <c r="BC1359" s="29"/>
      <c r="BD1359" s="29" t="s">
        <v>88</v>
      </c>
      <c r="BE1359" s="29" t="s">
        <v>2430</v>
      </c>
      <c r="BF1359" s="29" t="s">
        <v>2426</v>
      </c>
      <c r="BG1359" s="29" t="s">
        <v>91</v>
      </c>
      <c r="BH1359" s="29" t="s">
        <v>88</v>
      </c>
      <c r="BI1359" s="29" t="s">
        <v>882</v>
      </c>
      <c r="BJ1359" s="29"/>
      <c r="BK1359" s="29" t="s">
        <v>1995</v>
      </c>
      <c r="BL1359" s="29" t="s">
        <v>1995</v>
      </c>
      <c r="BM1359" s="45"/>
      <c r="BN1359" s="45">
        <v>1.0</v>
      </c>
      <c r="BO1359" s="46" t="s">
        <v>2427</v>
      </c>
      <c r="BP1359" s="2"/>
      <c r="BQ1359" s="3"/>
    </row>
    <row r="1360">
      <c r="A1360" s="34">
        <v>1381.0</v>
      </c>
      <c r="B1360" s="34">
        <v>101279.0</v>
      </c>
      <c r="C1360" s="34" t="s">
        <v>832</v>
      </c>
      <c r="D1360" s="34" t="s">
        <v>2419</v>
      </c>
      <c r="E1360" s="34" t="s">
        <v>2420</v>
      </c>
      <c r="F1360" s="34">
        <v>2015.0</v>
      </c>
      <c r="G1360" s="34" t="s">
        <v>2421</v>
      </c>
      <c r="H1360" s="34" t="s">
        <v>1028</v>
      </c>
      <c r="I1360" s="34" t="s">
        <v>2422</v>
      </c>
      <c r="J1360" s="35"/>
      <c r="K1360" s="36"/>
      <c r="L1360" s="36"/>
      <c r="M1360" s="36"/>
      <c r="N1360" s="36">
        <f>396.6-O1360</f>
        <v>94.4</v>
      </c>
      <c r="O1360" s="36">
        <v>302.2</v>
      </c>
      <c r="P1360" s="52">
        <f t="shared" si="156"/>
        <v>31.237591</v>
      </c>
      <c r="Q1360" s="36"/>
      <c r="R1360" s="36" t="s">
        <v>96</v>
      </c>
      <c r="S1360" s="36">
        <v>90.0</v>
      </c>
      <c r="T1360" s="36" t="s">
        <v>1993</v>
      </c>
      <c r="U1360" s="36" t="s">
        <v>1993</v>
      </c>
      <c r="V1360" s="36">
        <v>9.0</v>
      </c>
      <c r="W1360" s="36"/>
      <c r="X1360" s="38">
        <v>9.0</v>
      </c>
      <c r="Y1360" s="38" t="s">
        <v>2424</v>
      </c>
      <c r="Z1360" s="38"/>
      <c r="AA1360" s="38" t="s">
        <v>86</v>
      </c>
      <c r="AB1360" s="38">
        <v>38.866667</v>
      </c>
      <c r="AC1360" s="38">
        <v>100.36667</v>
      </c>
      <c r="AD1360" s="38" t="s">
        <v>198</v>
      </c>
      <c r="AE1360" s="53"/>
      <c r="AF1360" s="38" t="s">
        <v>1048</v>
      </c>
      <c r="AG1360" s="38"/>
      <c r="AH1360" s="38"/>
      <c r="AI1360" s="50"/>
      <c r="AJ1360" s="50"/>
      <c r="AK1360" s="41"/>
      <c r="AL1360" s="40"/>
      <c r="AM1360" s="49"/>
      <c r="AN1360" s="51"/>
      <c r="AO1360" s="42"/>
      <c r="AP1360" s="43"/>
      <c r="AQ1360" s="44" t="str">
        <f t="shared" si="147"/>
        <v>CRO</v>
      </c>
      <c r="AR1360" s="44" t="str">
        <f t="shared" si="144"/>
        <v/>
      </c>
      <c r="AS1360" s="44"/>
      <c r="AT1360" s="44" t="str">
        <f t="shared" si="114"/>
        <v/>
      </c>
      <c r="AU1360" s="44" t="str">
        <f t="shared" si="115"/>
        <v/>
      </c>
      <c r="AV1360" s="38">
        <v>3.0</v>
      </c>
      <c r="AW1360" s="38"/>
      <c r="AX1360" s="38"/>
      <c r="AY1360" s="38" t="s">
        <v>88</v>
      </c>
      <c r="AZ1360" s="29">
        <v>90.0</v>
      </c>
      <c r="BA1360" s="29">
        <v>1.0</v>
      </c>
      <c r="BB1360" s="29">
        <v>1.0</v>
      </c>
      <c r="BC1360" s="29"/>
      <c r="BD1360" s="29" t="s">
        <v>88</v>
      </c>
      <c r="BE1360" s="29" t="s">
        <v>2430</v>
      </c>
      <c r="BF1360" s="29" t="s">
        <v>2426</v>
      </c>
      <c r="BG1360" s="29" t="s">
        <v>91</v>
      </c>
      <c r="BH1360" s="29" t="s">
        <v>88</v>
      </c>
      <c r="BI1360" s="29" t="s">
        <v>882</v>
      </c>
      <c r="BJ1360" s="29"/>
      <c r="BK1360" s="29" t="s">
        <v>1995</v>
      </c>
      <c r="BL1360" s="29" t="s">
        <v>1995</v>
      </c>
      <c r="BM1360" s="45"/>
      <c r="BN1360" s="45">
        <v>1.0</v>
      </c>
      <c r="BO1360" s="46" t="s">
        <v>2427</v>
      </c>
      <c r="BP1360" s="2"/>
      <c r="BQ1360" s="3"/>
    </row>
    <row r="1361" ht="15.75" customHeight="1">
      <c r="A1361" s="34">
        <v>1383.0</v>
      </c>
      <c r="B1361" s="34">
        <v>103809.0</v>
      </c>
      <c r="C1361" s="34" t="s">
        <v>832</v>
      </c>
      <c r="D1361" s="34" t="s">
        <v>2431</v>
      </c>
      <c r="E1361" s="34" t="s">
        <v>2432</v>
      </c>
      <c r="F1361" s="34">
        <v>2016.0</v>
      </c>
      <c r="G1361" s="34" t="s">
        <v>2433</v>
      </c>
      <c r="H1361" s="34" t="s">
        <v>2434</v>
      </c>
      <c r="I1361" s="34" t="s">
        <v>2435</v>
      </c>
      <c r="J1361" s="35"/>
      <c r="K1361" s="36"/>
      <c r="L1361" s="36"/>
      <c r="M1361" s="36"/>
      <c r="N1361" s="36"/>
      <c r="O1361" s="36"/>
      <c r="P1361" s="37">
        <v>68.0</v>
      </c>
      <c r="Q1361" s="36"/>
      <c r="R1361" s="36" t="s">
        <v>2436</v>
      </c>
      <c r="S1361" s="36" t="s">
        <v>2437</v>
      </c>
      <c r="T1361" s="36" t="s">
        <v>2438</v>
      </c>
      <c r="U1361" s="36" t="s">
        <v>350</v>
      </c>
      <c r="V1361" s="36"/>
      <c r="W1361" s="36"/>
      <c r="X1361" s="38">
        <v>45.0</v>
      </c>
      <c r="Y1361" s="38" t="s">
        <v>2439</v>
      </c>
      <c r="Z1361" s="38"/>
      <c r="AA1361" s="38"/>
      <c r="AB1361" s="38"/>
      <c r="AC1361" s="38"/>
      <c r="AD1361" s="38" t="s">
        <v>2440</v>
      </c>
      <c r="AE1361" s="53"/>
      <c r="AF1361" s="38"/>
      <c r="AG1361" s="38"/>
      <c r="AH1361" s="38"/>
      <c r="AI1361" s="50"/>
      <c r="AJ1361" s="50"/>
      <c r="AK1361" s="41"/>
      <c r="AL1361" s="40"/>
      <c r="AM1361" s="49"/>
      <c r="AN1361" s="43"/>
      <c r="AO1361" s="42"/>
      <c r="AP1361" s="43"/>
      <c r="AQ1361" s="44" t="str">
        <f t="shared" si="147"/>
        <v/>
      </c>
      <c r="AR1361" s="44" t="str">
        <f t="shared" si="144"/>
        <v/>
      </c>
      <c r="AS1361" s="44"/>
      <c r="AT1361" s="44" t="str">
        <f t="shared" si="114"/>
        <v/>
      </c>
      <c r="AU1361" s="44" t="str">
        <f t="shared" si="115"/>
        <v/>
      </c>
      <c r="AV1361" s="38"/>
      <c r="AW1361" s="38"/>
      <c r="AX1361" s="38"/>
      <c r="AY1361" s="38"/>
      <c r="AZ1361" s="29" t="s">
        <v>1675</v>
      </c>
      <c r="BA1361" s="29">
        <v>1.0</v>
      </c>
      <c r="BB1361" s="29">
        <v>1.0</v>
      </c>
      <c r="BC1361" s="29"/>
      <c r="BD1361" s="29" t="s">
        <v>88</v>
      </c>
      <c r="BE1361" s="29" t="s">
        <v>2430</v>
      </c>
      <c r="BF1361" s="29" t="s">
        <v>936</v>
      </c>
      <c r="BG1361" s="29" t="s">
        <v>572</v>
      </c>
      <c r="BH1361" s="29" t="s">
        <v>88</v>
      </c>
      <c r="BI1361" s="29" t="s">
        <v>882</v>
      </c>
      <c r="BJ1361" s="29"/>
      <c r="BK1361" s="29" t="s">
        <v>2441</v>
      </c>
      <c r="BL1361" s="29" t="s">
        <v>2442</v>
      </c>
      <c r="BM1361" s="45"/>
      <c r="BN1361" s="45">
        <v>1.0</v>
      </c>
      <c r="BO1361" s="46" t="s">
        <v>2443</v>
      </c>
      <c r="BP1361" s="2"/>
      <c r="BQ1361" s="3"/>
    </row>
    <row r="1362" ht="15.75" customHeight="1">
      <c r="A1362" s="34">
        <v>1384.0</v>
      </c>
      <c r="B1362" s="34">
        <v>103809.0</v>
      </c>
      <c r="C1362" s="34" t="s">
        <v>832</v>
      </c>
      <c r="D1362" s="34" t="s">
        <v>2431</v>
      </c>
      <c r="E1362" s="34" t="s">
        <v>2432</v>
      </c>
      <c r="F1362" s="34">
        <v>2016.0</v>
      </c>
      <c r="G1362" s="34" t="s">
        <v>2433</v>
      </c>
      <c r="H1362" s="34" t="s">
        <v>2434</v>
      </c>
      <c r="I1362" s="34" t="s">
        <v>2435</v>
      </c>
      <c r="J1362" s="35"/>
      <c r="K1362" s="36"/>
      <c r="L1362" s="36"/>
      <c r="M1362" s="36"/>
      <c r="N1362" s="36"/>
      <c r="O1362" s="36"/>
      <c r="P1362" s="37">
        <v>41.0</v>
      </c>
      <c r="Q1362" s="36"/>
      <c r="R1362" s="36" t="s">
        <v>2436</v>
      </c>
      <c r="S1362" s="36" t="s">
        <v>2437</v>
      </c>
      <c r="T1362" s="36" t="s">
        <v>2438</v>
      </c>
      <c r="U1362" s="36" t="s">
        <v>350</v>
      </c>
      <c r="V1362" s="36"/>
      <c r="W1362" s="36"/>
      <c r="X1362" s="38">
        <v>45.0</v>
      </c>
      <c r="Y1362" s="38" t="s">
        <v>2439</v>
      </c>
      <c r="Z1362" s="38"/>
      <c r="AA1362" s="38"/>
      <c r="AB1362" s="38"/>
      <c r="AC1362" s="38"/>
      <c r="AD1362" s="38" t="s">
        <v>2440</v>
      </c>
      <c r="AE1362" s="53"/>
      <c r="AF1362" s="38"/>
      <c r="AG1362" s="38"/>
      <c r="AH1362" s="38"/>
      <c r="AI1362" s="50"/>
      <c r="AJ1362" s="50"/>
      <c r="AK1362" s="41"/>
      <c r="AL1362" s="40"/>
      <c r="AM1362" s="49"/>
      <c r="AN1362" s="43"/>
      <c r="AO1362" s="42"/>
      <c r="AP1362" s="43"/>
      <c r="AQ1362" s="44" t="str">
        <f t="shared" si="147"/>
        <v/>
      </c>
      <c r="AR1362" s="44" t="str">
        <f t="shared" si="144"/>
        <v/>
      </c>
      <c r="AS1362" s="44"/>
      <c r="AT1362" s="44" t="str">
        <f t="shared" si="114"/>
        <v/>
      </c>
      <c r="AU1362" s="44" t="str">
        <f t="shared" si="115"/>
        <v/>
      </c>
      <c r="AV1362" s="38"/>
      <c r="AW1362" s="38"/>
      <c r="AX1362" s="38"/>
      <c r="AY1362" s="38"/>
      <c r="AZ1362" s="29" t="s">
        <v>1675</v>
      </c>
      <c r="BA1362" s="29">
        <v>1.0</v>
      </c>
      <c r="BB1362" s="29">
        <v>1.0</v>
      </c>
      <c r="BC1362" s="29"/>
      <c r="BD1362" s="29" t="s">
        <v>88</v>
      </c>
      <c r="BE1362" s="29" t="s">
        <v>2430</v>
      </c>
      <c r="BF1362" s="29" t="s">
        <v>881</v>
      </c>
      <c r="BG1362" s="29" t="s">
        <v>203</v>
      </c>
      <c r="BH1362" s="29" t="s">
        <v>88</v>
      </c>
      <c r="BI1362" s="29" t="s">
        <v>882</v>
      </c>
      <c r="BJ1362" s="29"/>
      <c r="BK1362" s="29" t="s">
        <v>2441</v>
      </c>
      <c r="BL1362" s="29"/>
      <c r="BM1362" s="45"/>
      <c r="BN1362" s="45">
        <v>1.0</v>
      </c>
      <c r="BO1362" s="46" t="s">
        <v>2443</v>
      </c>
      <c r="BP1362" s="2"/>
      <c r="BQ1362" s="3"/>
    </row>
    <row r="1363" ht="15.75" customHeight="1">
      <c r="A1363" s="34">
        <v>1385.0</v>
      </c>
      <c r="B1363" s="34">
        <v>103809.0</v>
      </c>
      <c r="C1363" s="34" t="s">
        <v>832</v>
      </c>
      <c r="D1363" s="34" t="s">
        <v>2431</v>
      </c>
      <c r="E1363" s="34" t="s">
        <v>2432</v>
      </c>
      <c r="F1363" s="34">
        <v>2016.0</v>
      </c>
      <c r="G1363" s="34" t="s">
        <v>2433</v>
      </c>
      <c r="H1363" s="34" t="s">
        <v>2434</v>
      </c>
      <c r="I1363" s="34" t="s">
        <v>2435</v>
      </c>
      <c r="J1363" s="35"/>
      <c r="K1363" s="36"/>
      <c r="L1363" s="36"/>
      <c r="M1363" s="36"/>
      <c r="N1363" s="36"/>
      <c r="O1363" s="36"/>
      <c r="P1363" s="37">
        <v>52.0</v>
      </c>
      <c r="Q1363" s="36"/>
      <c r="R1363" s="36" t="s">
        <v>2436</v>
      </c>
      <c r="S1363" s="36" t="s">
        <v>2437</v>
      </c>
      <c r="T1363" s="36" t="s">
        <v>2438</v>
      </c>
      <c r="U1363" s="36" t="s">
        <v>350</v>
      </c>
      <c r="V1363" s="36"/>
      <c r="W1363" s="36"/>
      <c r="X1363" s="38">
        <v>45.0</v>
      </c>
      <c r="Y1363" s="38" t="s">
        <v>2439</v>
      </c>
      <c r="Z1363" s="38"/>
      <c r="AA1363" s="38"/>
      <c r="AB1363" s="38"/>
      <c r="AC1363" s="38"/>
      <c r="AD1363" s="38" t="s">
        <v>2440</v>
      </c>
      <c r="AE1363" s="53"/>
      <c r="AF1363" s="38"/>
      <c r="AG1363" s="38"/>
      <c r="AH1363" s="38"/>
      <c r="AI1363" s="50"/>
      <c r="AJ1363" s="50"/>
      <c r="AK1363" s="41"/>
      <c r="AL1363" s="40"/>
      <c r="AM1363" s="49"/>
      <c r="AN1363" s="43"/>
      <c r="AO1363" s="42"/>
      <c r="AP1363" s="43"/>
      <c r="AQ1363" s="44" t="str">
        <f t="shared" si="147"/>
        <v/>
      </c>
      <c r="AR1363" s="44" t="str">
        <f t="shared" si="144"/>
        <v/>
      </c>
      <c r="AS1363" s="44"/>
      <c r="AT1363" s="44" t="str">
        <f t="shared" si="114"/>
        <v/>
      </c>
      <c r="AU1363" s="44" t="str">
        <f t="shared" si="115"/>
        <v/>
      </c>
      <c r="AV1363" s="38"/>
      <c r="AW1363" s="38"/>
      <c r="AX1363" s="38"/>
      <c r="AY1363" s="38"/>
      <c r="AZ1363" s="29" t="s">
        <v>1675</v>
      </c>
      <c r="BA1363" s="29">
        <v>1.0</v>
      </c>
      <c r="BB1363" s="29">
        <v>1.0</v>
      </c>
      <c r="BC1363" s="29"/>
      <c r="BD1363" s="29" t="s">
        <v>88</v>
      </c>
      <c r="BE1363" s="29" t="s">
        <v>2430</v>
      </c>
      <c r="BF1363" s="29" t="s">
        <v>2444</v>
      </c>
      <c r="BG1363" s="29" t="s">
        <v>220</v>
      </c>
      <c r="BH1363" s="29" t="s">
        <v>88</v>
      </c>
      <c r="BI1363" s="29" t="s">
        <v>882</v>
      </c>
      <c r="BJ1363" s="29"/>
      <c r="BK1363" s="29" t="s">
        <v>2441</v>
      </c>
      <c r="BL1363" s="29"/>
      <c r="BM1363" s="45"/>
      <c r="BN1363" s="45">
        <v>1.0</v>
      </c>
      <c r="BO1363" s="46" t="s">
        <v>2443</v>
      </c>
      <c r="BP1363" s="2"/>
      <c r="BQ1363" s="3"/>
    </row>
    <row r="1364" ht="15.75" customHeight="1">
      <c r="A1364" s="34">
        <v>1386.0</v>
      </c>
      <c r="B1364" s="34">
        <v>103809.0</v>
      </c>
      <c r="C1364" s="34" t="s">
        <v>832</v>
      </c>
      <c r="D1364" s="34" t="s">
        <v>2431</v>
      </c>
      <c r="E1364" s="34" t="s">
        <v>2432</v>
      </c>
      <c r="F1364" s="34">
        <v>2016.0</v>
      </c>
      <c r="G1364" s="34" t="s">
        <v>2433</v>
      </c>
      <c r="H1364" s="34" t="s">
        <v>2434</v>
      </c>
      <c r="I1364" s="34" t="s">
        <v>2435</v>
      </c>
      <c r="J1364" s="35"/>
      <c r="K1364" s="36"/>
      <c r="L1364" s="36"/>
      <c r="M1364" s="36"/>
      <c r="N1364" s="36"/>
      <c r="O1364" s="36"/>
      <c r="P1364" s="37">
        <v>43.0</v>
      </c>
      <c r="Q1364" s="36"/>
      <c r="R1364" s="36" t="s">
        <v>2436</v>
      </c>
      <c r="S1364" s="36" t="s">
        <v>2437</v>
      </c>
      <c r="T1364" s="36" t="s">
        <v>2438</v>
      </c>
      <c r="U1364" s="36" t="s">
        <v>350</v>
      </c>
      <c r="V1364" s="36"/>
      <c r="W1364" s="36"/>
      <c r="X1364" s="38">
        <v>45.0</v>
      </c>
      <c r="Y1364" s="38" t="s">
        <v>2439</v>
      </c>
      <c r="Z1364" s="38"/>
      <c r="AA1364" s="38"/>
      <c r="AB1364" s="38"/>
      <c r="AC1364" s="38"/>
      <c r="AD1364" s="38" t="s">
        <v>2440</v>
      </c>
      <c r="AE1364" s="53"/>
      <c r="AF1364" s="38"/>
      <c r="AG1364" s="38"/>
      <c r="AH1364" s="38"/>
      <c r="AI1364" s="50"/>
      <c r="AJ1364" s="50"/>
      <c r="AK1364" s="41"/>
      <c r="AL1364" s="40"/>
      <c r="AM1364" s="49"/>
      <c r="AN1364" s="43"/>
      <c r="AO1364" s="42"/>
      <c r="AP1364" s="43"/>
      <c r="AQ1364" s="44" t="str">
        <f t="shared" si="147"/>
        <v/>
      </c>
      <c r="AR1364" s="44" t="str">
        <f t="shared" si="144"/>
        <v/>
      </c>
      <c r="AS1364" s="44"/>
      <c r="AT1364" s="44" t="str">
        <f t="shared" si="114"/>
        <v/>
      </c>
      <c r="AU1364" s="44" t="str">
        <f t="shared" si="115"/>
        <v/>
      </c>
      <c r="AV1364" s="38"/>
      <c r="AW1364" s="38"/>
      <c r="AX1364" s="38"/>
      <c r="AY1364" s="38"/>
      <c r="AZ1364" s="29" t="s">
        <v>1675</v>
      </c>
      <c r="BA1364" s="29">
        <v>1.0</v>
      </c>
      <c r="BB1364" s="29">
        <v>1.0</v>
      </c>
      <c r="BC1364" s="29"/>
      <c r="BD1364" s="29" t="s">
        <v>88</v>
      </c>
      <c r="BE1364" s="29" t="s">
        <v>2430</v>
      </c>
      <c r="BF1364" s="29" t="s">
        <v>202</v>
      </c>
      <c r="BG1364" s="29" t="s">
        <v>203</v>
      </c>
      <c r="BH1364" s="29" t="s">
        <v>88</v>
      </c>
      <c r="BI1364" s="29" t="s">
        <v>882</v>
      </c>
      <c r="BJ1364" s="29"/>
      <c r="BK1364" s="29" t="s">
        <v>2441</v>
      </c>
      <c r="BL1364" s="29"/>
      <c r="BM1364" s="45"/>
      <c r="BN1364" s="45">
        <v>1.0</v>
      </c>
      <c r="BO1364" s="46" t="s">
        <v>2443</v>
      </c>
      <c r="BP1364" s="2"/>
      <c r="BQ1364" s="3"/>
    </row>
    <row r="1365" ht="15.75" customHeight="1">
      <c r="A1365" s="34">
        <v>1387.0</v>
      </c>
      <c r="B1365" s="34">
        <v>103809.0</v>
      </c>
      <c r="C1365" s="34" t="s">
        <v>832</v>
      </c>
      <c r="D1365" s="34" t="s">
        <v>2431</v>
      </c>
      <c r="E1365" s="34" t="s">
        <v>2432</v>
      </c>
      <c r="F1365" s="34">
        <v>2016.0</v>
      </c>
      <c r="G1365" s="34" t="s">
        <v>2433</v>
      </c>
      <c r="H1365" s="34" t="s">
        <v>2434</v>
      </c>
      <c r="I1365" s="34" t="s">
        <v>2435</v>
      </c>
      <c r="J1365" s="35"/>
      <c r="K1365" s="36"/>
      <c r="L1365" s="36"/>
      <c r="M1365" s="36"/>
      <c r="N1365" s="36"/>
      <c r="O1365" s="36"/>
      <c r="P1365" s="37">
        <v>87.0</v>
      </c>
      <c r="Q1365" s="36"/>
      <c r="R1365" s="36" t="s">
        <v>2436</v>
      </c>
      <c r="S1365" s="36" t="s">
        <v>2437</v>
      </c>
      <c r="T1365" s="36" t="s">
        <v>2438</v>
      </c>
      <c r="U1365" s="36" t="s">
        <v>350</v>
      </c>
      <c r="V1365" s="36"/>
      <c r="W1365" s="36"/>
      <c r="X1365" s="38">
        <v>45.0</v>
      </c>
      <c r="Y1365" s="38" t="s">
        <v>2439</v>
      </c>
      <c r="Z1365" s="38"/>
      <c r="AA1365" s="38"/>
      <c r="AB1365" s="38"/>
      <c r="AC1365" s="38"/>
      <c r="AD1365" s="38" t="s">
        <v>2440</v>
      </c>
      <c r="AE1365" s="53"/>
      <c r="AF1365" s="38"/>
      <c r="AG1365" s="38"/>
      <c r="AH1365" s="38"/>
      <c r="AI1365" s="50"/>
      <c r="AJ1365" s="50"/>
      <c r="AK1365" s="41"/>
      <c r="AL1365" s="40"/>
      <c r="AM1365" s="49"/>
      <c r="AN1365" s="43"/>
      <c r="AO1365" s="42"/>
      <c r="AP1365" s="43"/>
      <c r="AQ1365" s="44" t="str">
        <f t="shared" si="147"/>
        <v/>
      </c>
      <c r="AR1365" s="44" t="str">
        <f t="shared" si="144"/>
        <v/>
      </c>
      <c r="AS1365" s="44"/>
      <c r="AT1365" s="44" t="str">
        <f t="shared" si="114"/>
        <v/>
      </c>
      <c r="AU1365" s="44" t="str">
        <f t="shared" si="115"/>
        <v/>
      </c>
      <c r="AV1365" s="38"/>
      <c r="AW1365" s="38"/>
      <c r="AX1365" s="38"/>
      <c r="AY1365" s="38"/>
      <c r="AZ1365" s="29" t="s">
        <v>1675</v>
      </c>
      <c r="BA1365" s="29">
        <v>1.0</v>
      </c>
      <c r="BB1365" s="29">
        <v>1.0</v>
      </c>
      <c r="BC1365" s="29"/>
      <c r="BD1365" s="29" t="s">
        <v>88</v>
      </c>
      <c r="BE1365" s="29" t="s">
        <v>2430</v>
      </c>
      <c r="BF1365" s="29" t="s">
        <v>936</v>
      </c>
      <c r="BG1365" s="29" t="s">
        <v>572</v>
      </c>
      <c r="BH1365" s="29" t="s">
        <v>92</v>
      </c>
      <c r="BI1365" s="29" t="s">
        <v>2445</v>
      </c>
      <c r="BJ1365" s="29"/>
      <c r="BK1365" s="29" t="s">
        <v>2441</v>
      </c>
      <c r="BL1365" s="29" t="s">
        <v>2445</v>
      </c>
      <c r="BM1365" s="45"/>
      <c r="BN1365" s="45">
        <v>1.0</v>
      </c>
      <c r="BO1365" s="46" t="s">
        <v>2443</v>
      </c>
      <c r="BP1365" s="2"/>
      <c r="BQ1365" s="3"/>
    </row>
    <row r="1366" ht="15.75" customHeight="1">
      <c r="A1366" s="34">
        <v>1388.0</v>
      </c>
      <c r="B1366" s="34">
        <v>103809.0</v>
      </c>
      <c r="C1366" s="34" t="s">
        <v>832</v>
      </c>
      <c r="D1366" s="34" t="s">
        <v>2431</v>
      </c>
      <c r="E1366" s="34" t="s">
        <v>2432</v>
      </c>
      <c r="F1366" s="34">
        <v>2016.0</v>
      </c>
      <c r="G1366" s="34" t="s">
        <v>2433</v>
      </c>
      <c r="H1366" s="34" t="s">
        <v>2434</v>
      </c>
      <c r="I1366" s="34" t="s">
        <v>2435</v>
      </c>
      <c r="J1366" s="35"/>
      <c r="K1366" s="36"/>
      <c r="L1366" s="36"/>
      <c r="M1366" s="36"/>
      <c r="N1366" s="36"/>
      <c r="O1366" s="36"/>
      <c r="P1366" s="37">
        <v>56.0</v>
      </c>
      <c r="Q1366" s="36"/>
      <c r="R1366" s="36" t="s">
        <v>2436</v>
      </c>
      <c r="S1366" s="36" t="s">
        <v>2437</v>
      </c>
      <c r="T1366" s="36" t="s">
        <v>2438</v>
      </c>
      <c r="U1366" s="36" t="s">
        <v>350</v>
      </c>
      <c r="V1366" s="36"/>
      <c r="W1366" s="36"/>
      <c r="X1366" s="38">
        <v>45.0</v>
      </c>
      <c r="Y1366" s="38" t="s">
        <v>2439</v>
      </c>
      <c r="Z1366" s="38"/>
      <c r="AA1366" s="38"/>
      <c r="AB1366" s="38"/>
      <c r="AC1366" s="38"/>
      <c r="AD1366" s="38" t="s">
        <v>2440</v>
      </c>
      <c r="AE1366" s="53"/>
      <c r="AF1366" s="38"/>
      <c r="AG1366" s="38"/>
      <c r="AH1366" s="38"/>
      <c r="AI1366" s="50"/>
      <c r="AJ1366" s="50"/>
      <c r="AK1366" s="41"/>
      <c r="AL1366" s="40"/>
      <c r="AM1366" s="49"/>
      <c r="AN1366" s="43"/>
      <c r="AO1366" s="42"/>
      <c r="AP1366" s="43"/>
      <c r="AQ1366" s="44" t="str">
        <f t="shared" si="147"/>
        <v/>
      </c>
      <c r="AR1366" s="44" t="str">
        <f t="shared" si="144"/>
        <v/>
      </c>
      <c r="AS1366" s="44"/>
      <c r="AT1366" s="44" t="str">
        <f t="shared" si="114"/>
        <v/>
      </c>
      <c r="AU1366" s="44" t="str">
        <f t="shared" si="115"/>
        <v/>
      </c>
      <c r="AV1366" s="38"/>
      <c r="AW1366" s="38"/>
      <c r="AX1366" s="38"/>
      <c r="AY1366" s="38"/>
      <c r="AZ1366" s="29" t="s">
        <v>1675</v>
      </c>
      <c r="BA1366" s="29">
        <v>1.0</v>
      </c>
      <c r="BB1366" s="29">
        <v>1.0</v>
      </c>
      <c r="BC1366" s="29"/>
      <c r="BD1366" s="29" t="s">
        <v>88</v>
      </c>
      <c r="BE1366" s="29" t="s">
        <v>2430</v>
      </c>
      <c r="BF1366" s="29" t="s">
        <v>881</v>
      </c>
      <c r="BG1366" s="29" t="s">
        <v>203</v>
      </c>
      <c r="BH1366" s="29" t="s">
        <v>92</v>
      </c>
      <c r="BI1366" s="29" t="s">
        <v>2445</v>
      </c>
      <c r="BJ1366" s="29"/>
      <c r="BK1366" s="29" t="s">
        <v>2441</v>
      </c>
      <c r="BL1366" s="29"/>
      <c r="BM1366" s="45"/>
      <c r="BN1366" s="45">
        <v>1.0</v>
      </c>
      <c r="BO1366" s="46" t="s">
        <v>2443</v>
      </c>
      <c r="BP1366" s="2"/>
      <c r="BQ1366" s="3"/>
    </row>
    <row r="1367" ht="15.75" customHeight="1">
      <c r="A1367" s="34">
        <v>1389.0</v>
      </c>
      <c r="B1367" s="34">
        <v>103809.0</v>
      </c>
      <c r="C1367" s="34" t="s">
        <v>832</v>
      </c>
      <c r="D1367" s="34" t="s">
        <v>2431</v>
      </c>
      <c r="E1367" s="34" t="s">
        <v>2432</v>
      </c>
      <c r="F1367" s="34">
        <v>2016.0</v>
      </c>
      <c r="G1367" s="34" t="s">
        <v>2433</v>
      </c>
      <c r="H1367" s="34" t="s">
        <v>2434</v>
      </c>
      <c r="I1367" s="34" t="s">
        <v>2435</v>
      </c>
      <c r="J1367" s="35"/>
      <c r="K1367" s="36"/>
      <c r="L1367" s="36"/>
      <c r="M1367" s="36"/>
      <c r="N1367" s="36"/>
      <c r="O1367" s="36"/>
      <c r="P1367" s="37">
        <v>64.0</v>
      </c>
      <c r="Q1367" s="36"/>
      <c r="R1367" s="36" t="s">
        <v>2436</v>
      </c>
      <c r="S1367" s="36" t="s">
        <v>2437</v>
      </c>
      <c r="T1367" s="36" t="s">
        <v>2438</v>
      </c>
      <c r="U1367" s="36" t="s">
        <v>350</v>
      </c>
      <c r="V1367" s="36"/>
      <c r="W1367" s="36"/>
      <c r="X1367" s="38">
        <v>45.0</v>
      </c>
      <c r="Y1367" s="38" t="s">
        <v>2439</v>
      </c>
      <c r="Z1367" s="38"/>
      <c r="AA1367" s="38"/>
      <c r="AB1367" s="38"/>
      <c r="AC1367" s="38"/>
      <c r="AD1367" s="38" t="s">
        <v>2440</v>
      </c>
      <c r="AE1367" s="53"/>
      <c r="AF1367" s="38"/>
      <c r="AG1367" s="38"/>
      <c r="AH1367" s="38"/>
      <c r="AI1367" s="50"/>
      <c r="AJ1367" s="50"/>
      <c r="AK1367" s="41"/>
      <c r="AL1367" s="40"/>
      <c r="AM1367" s="49"/>
      <c r="AN1367" s="43"/>
      <c r="AO1367" s="42"/>
      <c r="AP1367" s="43"/>
      <c r="AQ1367" s="44" t="str">
        <f t="shared" si="147"/>
        <v/>
      </c>
      <c r="AR1367" s="44" t="str">
        <f t="shared" si="144"/>
        <v/>
      </c>
      <c r="AS1367" s="44"/>
      <c r="AT1367" s="44" t="str">
        <f t="shared" si="114"/>
        <v/>
      </c>
      <c r="AU1367" s="44" t="str">
        <f t="shared" si="115"/>
        <v/>
      </c>
      <c r="AV1367" s="38"/>
      <c r="AW1367" s="38"/>
      <c r="AX1367" s="38"/>
      <c r="AY1367" s="38"/>
      <c r="AZ1367" s="29" t="s">
        <v>1675</v>
      </c>
      <c r="BA1367" s="29">
        <v>1.0</v>
      </c>
      <c r="BB1367" s="29">
        <v>1.0</v>
      </c>
      <c r="BC1367" s="29"/>
      <c r="BD1367" s="29" t="s">
        <v>88</v>
      </c>
      <c r="BE1367" s="29" t="s">
        <v>2430</v>
      </c>
      <c r="BF1367" s="29" t="s">
        <v>2444</v>
      </c>
      <c r="BG1367" s="29" t="s">
        <v>220</v>
      </c>
      <c r="BH1367" s="29" t="s">
        <v>92</v>
      </c>
      <c r="BI1367" s="29" t="s">
        <v>2445</v>
      </c>
      <c r="BJ1367" s="29"/>
      <c r="BK1367" s="29" t="s">
        <v>2441</v>
      </c>
      <c r="BL1367" s="29"/>
      <c r="BM1367" s="45"/>
      <c r="BN1367" s="45">
        <v>1.0</v>
      </c>
      <c r="BO1367" s="46" t="s">
        <v>2443</v>
      </c>
      <c r="BP1367" s="2"/>
      <c r="BQ1367" s="3"/>
    </row>
    <row r="1368" ht="15.75" customHeight="1">
      <c r="A1368" s="34">
        <v>1390.0</v>
      </c>
      <c r="B1368" s="34">
        <v>103809.0</v>
      </c>
      <c r="C1368" s="34" t="s">
        <v>832</v>
      </c>
      <c r="D1368" s="34" t="s">
        <v>2431</v>
      </c>
      <c r="E1368" s="34" t="s">
        <v>2432</v>
      </c>
      <c r="F1368" s="34">
        <v>2016.0</v>
      </c>
      <c r="G1368" s="34" t="s">
        <v>2433</v>
      </c>
      <c r="H1368" s="34" t="s">
        <v>2434</v>
      </c>
      <c r="I1368" s="34" t="s">
        <v>2435</v>
      </c>
      <c r="J1368" s="35"/>
      <c r="K1368" s="36"/>
      <c r="L1368" s="36"/>
      <c r="M1368" s="36"/>
      <c r="N1368" s="36"/>
      <c r="O1368" s="36"/>
      <c r="P1368" s="37">
        <v>58.0</v>
      </c>
      <c r="Q1368" s="36"/>
      <c r="R1368" s="36" t="s">
        <v>2436</v>
      </c>
      <c r="S1368" s="36" t="s">
        <v>2437</v>
      </c>
      <c r="T1368" s="36" t="s">
        <v>2438</v>
      </c>
      <c r="U1368" s="36" t="s">
        <v>350</v>
      </c>
      <c r="V1368" s="36"/>
      <c r="W1368" s="36"/>
      <c r="X1368" s="38">
        <v>45.0</v>
      </c>
      <c r="Y1368" s="38" t="s">
        <v>2439</v>
      </c>
      <c r="Z1368" s="38"/>
      <c r="AA1368" s="38"/>
      <c r="AB1368" s="38"/>
      <c r="AC1368" s="38"/>
      <c r="AD1368" s="38" t="s">
        <v>2440</v>
      </c>
      <c r="AE1368" s="53"/>
      <c r="AF1368" s="38"/>
      <c r="AG1368" s="38"/>
      <c r="AH1368" s="38"/>
      <c r="AI1368" s="50"/>
      <c r="AJ1368" s="50"/>
      <c r="AK1368" s="41"/>
      <c r="AL1368" s="40"/>
      <c r="AM1368" s="49"/>
      <c r="AN1368" s="43"/>
      <c r="AO1368" s="42"/>
      <c r="AP1368" s="43"/>
      <c r="AQ1368" s="44" t="str">
        <f t="shared" si="147"/>
        <v/>
      </c>
      <c r="AR1368" s="44" t="str">
        <f t="shared" si="144"/>
        <v/>
      </c>
      <c r="AS1368" s="44"/>
      <c r="AT1368" s="44" t="str">
        <f t="shared" si="114"/>
        <v/>
      </c>
      <c r="AU1368" s="44" t="str">
        <f t="shared" si="115"/>
        <v/>
      </c>
      <c r="AV1368" s="38"/>
      <c r="AW1368" s="38"/>
      <c r="AX1368" s="38"/>
      <c r="AY1368" s="38"/>
      <c r="AZ1368" s="29" t="s">
        <v>1675</v>
      </c>
      <c r="BA1368" s="29">
        <v>1.0</v>
      </c>
      <c r="BB1368" s="29">
        <v>1.0</v>
      </c>
      <c r="BC1368" s="29"/>
      <c r="BD1368" s="29" t="s">
        <v>88</v>
      </c>
      <c r="BE1368" s="29" t="s">
        <v>2430</v>
      </c>
      <c r="BF1368" s="29" t="s">
        <v>202</v>
      </c>
      <c r="BG1368" s="29" t="s">
        <v>203</v>
      </c>
      <c r="BH1368" s="29" t="s">
        <v>92</v>
      </c>
      <c r="BI1368" s="29" t="s">
        <v>2445</v>
      </c>
      <c r="BJ1368" s="29"/>
      <c r="BK1368" s="29" t="s">
        <v>2441</v>
      </c>
      <c r="BL1368" s="29"/>
      <c r="BM1368" s="45"/>
      <c r="BN1368" s="45">
        <v>1.0</v>
      </c>
      <c r="BO1368" s="46" t="s">
        <v>2443</v>
      </c>
      <c r="BP1368" s="2"/>
      <c r="BQ1368" s="3"/>
    </row>
    <row r="1369" ht="15.75" customHeight="1">
      <c r="A1369" s="34">
        <v>1391.0</v>
      </c>
      <c r="B1369" s="34">
        <v>102079.0</v>
      </c>
      <c r="C1369" s="34" t="s">
        <v>832</v>
      </c>
      <c r="D1369" s="34" t="s">
        <v>2446</v>
      </c>
      <c r="E1369" s="34" t="s">
        <v>2447</v>
      </c>
      <c r="F1369" s="34">
        <v>2011.0</v>
      </c>
      <c r="G1369" s="34" t="s">
        <v>2448</v>
      </c>
      <c r="H1369" s="34" t="s">
        <v>2449</v>
      </c>
      <c r="I1369" s="34" t="s">
        <v>2450</v>
      </c>
      <c r="J1369" s="35"/>
      <c r="K1369" s="36"/>
      <c r="L1369" s="36"/>
      <c r="M1369" s="36"/>
      <c r="N1369" s="36"/>
      <c r="O1369" s="36"/>
      <c r="P1369" s="37">
        <v>-5.0</v>
      </c>
      <c r="Q1369" s="36"/>
      <c r="R1369" s="36" t="s">
        <v>13</v>
      </c>
      <c r="S1369" s="36" t="s">
        <v>861</v>
      </c>
      <c r="T1369" s="36" t="s">
        <v>317</v>
      </c>
      <c r="U1369" s="36" t="s">
        <v>194</v>
      </c>
      <c r="V1369" s="36"/>
      <c r="W1369" s="36"/>
      <c r="X1369" s="38">
        <v>43.0</v>
      </c>
      <c r="Y1369" s="38" t="s">
        <v>2439</v>
      </c>
      <c r="Z1369" s="38"/>
      <c r="AA1369" s="38"/>
      <c r="AB1369" s="38"/>
      <c r="AC1369" s="38"/>
      <c r="AD1369" s="38" t="s">
        <v>2451</v>
      </c>
      <c r="AE1369" s="53"/>
      <c r="AF1369" s="38"/>
      <c r="AG1369" s="38"/>
      <c r="AH1369" s="38"/>
      <c r="AI1369" s="50"/>
      <c r="AJ1369" s="50"/>
      <c r="AK1369" s="41"/>
      <c r="AL1369" s="40"/>
      <c r="AM1369" s="49"/>
      <c r="AN1369" s="43"/>
      <c r="AO1369" s="42"/>
      <c r="AP1369" s="43"/>
      <c r="AQ1369" s="44" t="str">
        <f t="shared" si="147"/>
        <v/>
      </c>
      <c r="AR1369" s="44" t="str">
        <f t="shared" si="144"/>
        <v/>
      </c>
      <c r="AS1369" s="44"/>
      <c r="AT1369" s="44" t="str">
        <f t="shared" si="114"/>
        <v/>
      </c>
      <c r="AU1369" s="44" t="str">
        <f t="shared" si="115"/>
        <v/>
      </c>
      <c r="AV1369" s="38"/>
      <c r="AW1369" s="38"/>
      <c r="AX1369" s="38"/>
      <c r="AY1369" s="38"/>
      <c r="AZ1369" s="29" t="s">
        <v>861</v>
      </c>
      <c r="BA1369" s="29">
        <v>1.0</v>
      </c>
      <c r="BB1369" s="29">
        <v>1.0</v>
      </c>
      <c r="BC1369" s="29"/>
      <c r="BD1369" s="29" t="s">
        <v>88</v>
      </c>
      <c r="BE1369" s="29" t="s">
        <v>89</v>
      </c>
      <c r="BF1369" s="29" t="s">
        <v>202</v>
      </c>
      <c r="BG1369" s="29" t="s">
        <v>203</v>
      </c>
      <c r="BH1369" s="29" t="s">
        <v>92</v>
      </c>
      <c r="BI1369" s="29" t="s">
        <v>2452</v>
      </c>
      <c r="BJ1369" s="29"/>
      <c r="BK1369" s="29"/>
      <c r="BL1369" s="29" t="s">
        <v>2453</v>
      </c>
      <c r="BM1369" s="45"/>
      <c r="BN1369" s="45">
        <v>1.0</v>
      </c>
      <c r="BO1369" s="46" t="s">
        <v>202</v>
      </c>
      <c r="BP1369" s="2"/>
      <c r="BQ1369" s="3"/>
    </row>
    <row r="1370" ht="15.75" customHeight="1">
      <c r="A1370" s="34">
        <v>1392.0</v>
      </c>
      <c r="B1370" s="34">
        <v>200499.0</v>
      </c>
      <c r="C1370" s="34" t="s">
        <v>832</v>
      </c>
      <c r="D1370" s="34" t="s">
        <v>2454</v>
      </c>
      <c r="E1370" s="34" t="s">
        <v>2455</v>
      </c>
      <c r="F1370" s="34">
        <v>2013.0</v>
      </c>
      <c r="G1370" s="34" t="s">
        <v>2456</v>
      </c>
      <c r="H1370" s="34" t="s">
        <v>2449</v>
      </c>
      <c r="I1370" s="34" t="s">
        <v>2457</v>
      </c>
      <c r="J1370" s="35"/>
      <c r="K1370" s="36"/>
      <c r="L1370" s="36"/>
      <c r="M1370" s="36"/>
      <c r="N1370" s="36"/>
      <c r="O1370" s="36"/>
      <c r="P1370" s="37">
        <v>32.23</v>
      </c>
      <c r="Q1370" s="36"/>
      <c r="R1370" s="36" t="s">
        <v>191</v>
      </c>
      <c r="S1370" s="36" t="s">
        <v>2437</v>
      </c>
      <c r="T1370" s="36" t="s">
        <v>356</v>
      </c>
      <c r="U1370" s="36" t="s">
        <v>357</v>
      </c>
      <c r="V1370" s="36"/>
      <c r="W1370" s="36"/>
      <c r="X1370" s="38">
        <v>1.0</v>
      </c>
      <c r="Y1370" s="38" t="s">
        <v>2458</v>
      </c>
      <c r="Z1370" s="38" t="s">
        <v>2459</v>
      </c>
      <c r="AA1370" s="38" t="s">
        <v>200</v>
      </c>
      <c r="AB1370" s="38">
        <v>-19.93</v>
      </c>
      <c r="AC1370" s="38">
        <v>23.57</v>
      </c>
      <c r="AD1370" s="38" t="s">
        <v>361</v>
      </c>
      <c r="AE1370" s="38"/>
      <c r="AF1370" s="38"/>
      <c r="AG1370" s="38"/>
      <c r="AH1370" s="38"/>
      <c r="AI1370" s="50">
        <v>-19.93</v>
      </c>
      <c r="AJ1370" s="50">
        <v>23.57</v>
      </c>
      <c r="AK1370" s="41" t="s">
        <v>291</v>
      </c>
      <c r="AL1370" s="40" t="s">
        <v>291</v>
      </c>
      <c r="AM1370" s="49">
        <v>945.0</v>
      </c>
      <c r="AN1370" s="51">
        <v>945.0</v>
      </c>
      <c r="AO1370" s="42" t="s">
        <v>304</v>
      </c>
      <c r="AP1370" s="43" t="s">
        <v>304</v>
      </c>
      <c r="AQ1370" s="44" t="str">
        <f t="shared" si="147"/>
        <v>WSA</v>
      </c>
      <c r="AR1370" s="44">
        <f t="shared" si="144"/>
        <v>945</v>
      </c>
      <c r="AS1370" s="44" t="str">
        <f t="shared" ref="AS1370:AS1384" si="157">LEFT(AO1370,1)</f>
        <v>B</v>
      </c>
      <c r="AT1370" s="44" t="str">
        <f t="shared" si="114"/>
        <v>BS</v>
      </c>
      <c r="AU1370" s="44" t="str">
        <f t="shared" si="115"/>
        <v>BSh</v>
      </c>
      <c r="AV1370" s="38"/>
      <c r="AW1370" s="38"/>
      <c r="AX1370" s="38"/>
      <c r="AY1370" s="38"/>
      <c r="AZ1370" s="29" t="s">
        <v>2437</v>
      </c>
      <c r="BA1370" s="29">
        <v>1.0</v>
      </c>
      <c r="BB1370" s="29">
        <v>1.0</v>
      </c>
      <c r="BC1370" s="29"/>
      <c r="BD1370" s="29" t="s">
        <v>88</v>
      </c>
      <c r="BE1370" s="29" t="s">
        <v>2430</v>
      </c>
      <c r="BF1370" s="29" t="s">
        <v>881</v>
      </c>
      <c r="BG1370" s="29" t="s">
        <v>203</v>
      </c>
      <c r="BH1370" s="29" t="s">
        <v>92</v>
      </c>
      <c r="BI1370" s="29" t="s">
        <v>1441</v>
      </c>
      <c r="BJ1370" s="29"/>
      <c r="BK1370" s="29" t="s">
        <v>148</v>
      </c>
      <c r="BL1370" s="29"/>
      <c r="BM1370" s="45"/>
      <c r="BN1370" s="45">
        <v>1.0</v>
      </c>
      <c r="BO1370" s="46" t="s">
        <v>881</v>
      </c>
      <c r="BP1370" s="2"/>
      <c r="BQ1370" s="3"/>
    </row>
    <row r="1371" ht="15.75" customHeight="1">
      <c r="A1371" s="34">
        <v>1393.0</v>
      </c>
      <c r="B1371" s="34">
        <v>200499.0</v>
      </c>
      <c r="C1371" s="34" t="s">
        <v>832</v>
      </c>
      <c r="D1371" s="34" t="s">
        <v>2454</v>
      </c>
      <c r="E1371" s="34" t="s">
        <v>2455</v>
      </c>
      <c r="F1371" s="34">
        <v>2013.0</v>
      </c>
      <c r="G1371" s="34" t="s">
        <v>2456</v>
      </c>
      <c r="H1371" s="34" t="s">
        <v>2449</v>
      </c>
      <c r="I1371" s="34" t="s">
        <v>2457</v>
      </c>
      <c r="J1371" s="35"/>
      <c r="K1371" s="36"/>
      <c r="L1371" s="36"/>
      <c r="M1371" s="36"/>
      <c r="N1371" s="36"/>
      <c r="O1371" s="36"/>
      <c r="P1371" s="37">
        <v>29.85</v>
      </c>
      <c r="Q1371" s="36"/>
      <c r="R1371" s="36" t="s">
        <v>191</v>
      </c>
      <c r="S1371" s="36" t="s">
        <v>2437</v>
      </c>
      <c r="T1371" s="36" t="s">
        <v>295</v>
      </c>
      <c r="U1371" s="36" t="s">
        <v>285</v>
      </c>
      <c r="V1371" s="36"/>
      <c r="W1371" s="36"/>
      <c r="X1371" s="38">
        <v>1.0</v>
      </c>
      <c r="Y1371" s="38" t="s">
        <v>2460</v>
      </c>
      <c r="Z1371" s="38" t="s">
        <v>2461</v>
      </c>
      <c r="AA1371" s="38" t="s">
        <v>2462</v>
      </c>
      <c r="AB1371" s="38">
        <v>-11.98</v>
      </c>
      <c r="AC1371" s="38">
        <v>11.98</v>
      </c>
      <c r="AD1371" s="38" t="s">
        <v>2463</v>
      </c>
      <c r="AE1371" s="53"/>
      <c r="AF1371" s="38"/>
      <c r="AG1371" s="38"/>
      <c r="AH1371" s="38"/>
      <c r="AI1371" s="50">
        <v>-11.98</v>
      </c>
      <c r="AJ1371" s="50">
        <v>11.98</v>
      </c>
      <c r="AK1371" s="41" t="s">
        <v>1085</v>
      </c>
      <c r="AL1371" s="40" t="s">
        <v>1085</v>
      </c>
      <c r="AM1371" s="49"/>
      <c r="AN1371" s="43"/>
      <c r="AO1371" s="42"/>
      <c r="AP1371" s="43"/>
      <c r="AQ1371" s="44" t="s">
        <v>336</v>
      </c>
      <c r="AR1371" s="44" t="str">
        <f t="shared" si="144"/>
        <v/>
      </c>
      <c r="AS1371" s="44" t="str">
        <f t="shared" si="157"/>
        <v/>
      </c>
      <c r="AT1371" s="44" t="str">
        <f t="shared" si="114"/>
        <v/>
      </c>
      <c r="AU1371" s="44" t="str">
        <f t="shared" si="115"/>
        <v/>
      </c>
      <c r="AV1371" s="38"/>
      <c r="AW1371" s="38"/>
      <c r="AX1371" s="38"/>
      <c r="AY1371" s="38"/>
      <c r="AZ1371" s="29" t="s">
        <v>2437</v>
      </c>
      <c r="BA1371" s="29">
        <v>1.0</v>
      </c>
      <c r="BB1371" s="29">
        <v>1.0</v>
      </c>
      <c r="BC1371" s="29"/>
      <c r="BD1371" s="29" t="s">
        <v>88</v>
      </c>
      <c r="BE1371" s="29" t="s">
        <v>2430</v>
      </c>
      <c r="BF1371" s="29" t="s">
        <v>881</v>
      </c>
      <c r="BG1371" s="29" t="s">
        <v>203</v>
      </c>
      <c r="BH1371" s="29" t="s">
        <v>92</v>
      </c>
      <c r="BI1371" s="29" t="s">
        <v>1441</v>
      </c>
      <c r="BJ1371" s="29"/>
      <c r="BK1371" s="29" t="s">
        <v>148</v>
      </c>
      <c r="BL1371" s="29"/>
      <c r="BM1371" s="45"/>
      <c r="BN1371" s="45"/>
      <c r="BO1371" s="46"/>
      <c r="BP1371" s="2"/>
      <c r="BQ1371" s="3"/>
    </row>
    <row r="1372" ht="15.75" customHeight="1">
      <c r="A1372" s="34">
        <v>1394.0</v>
      </c>
      <c r="B1372" s="34">
        <v>200499.0</v>
      </c>
      <c r="C1372" s="34" t="s">
        <v>832</v>
      </c>
      <c r="D1372" s="34" t="s">
        <v>2454</v>
      </c>
      <c r="E1372" s="34" t="s">
        <v>2455</v>
      </c>
      <c r="F1372" s="34">
        <v>2013.0</v>
      </c>
      <c r="G1372" s="34" t="s">
        <v>2456</v>
      </c>
      <c r="H1372" s="34" t="s">
        <v>2449</v>
      </c>
      <c r="I1372" s="34" t="s">
        <v>2457</v>
      </c>
      <c r="J1372" s="35"/>
      <c r="K1372" s="36"/>
      <c r="L1372" s="36"/>
      <c r="M1372" s="36"/>
      <c r="N1372" s="36"/>
      <c r="O1372" s="36"/>
      <c r="P1372" s="72">
        <v>163.85</v>
      </c>
      <c r="Q1372" s="36"/>
      <c r="R1372" s="36" t="s">
        <v>191</v>
      </c>
      <c r="S1372" s="36" t="s">
        <v>2437</v>
      </c>
      <c r="T1372" s="36" t="s">
        <v>341</v>
      </c>
      <c r="U1372" s="36" t="s">
        <v>676</v>
      </c>
      <c r="V1372" s="36"/>
      <c r="W1372" s="36"/>
      <c r="X1372" s="38">
        <v>1.0</v>
      </c>
      <c r="Y1372" s="38" t="s">
        <v>2464</v>
      </c>
      <c r="Z1372" s="38" t="s">
        <v>1512</v>
      </c>
      <c r="AA1372" s="38" t="s">
        <v>313</v>
      </c>
      <c r="AB1372" s="38">
        <v>-11.66</v>
      </c>
      <c r="AC1372" s="38">
        <v>11.66</v>
      </c>
      <c r="AD1372" s="38" t="s">
        <v>2463</v>
      </c>
      <c r="AE1372" s="53"/>
      <c r="AF1372" s="38"/>
      <c r="AG1372" s="38"/>
      <c r="AH1372" s="38"/>
      <c r="AI1372" s="50">
        <v>-11.66</v>
      </c>
      <c r="AJ1372" s="50">
        <v>11.66</v>
      </c>
      <c r="AK1372" s="41" t="s">
        <v>1085</v>
      </c>
      <c r="AL1372" s="40" t="s">
        <v>1085</v>
      </c>
      <c r="AM1372" s="49"/>
      <c r="AN1372" s="43"/>
      <c r="AO1372" s="42"/>
      <c r="AP1372" s="43"/>
      <c r="AQ1372" s="44" t="str">
        <f t="shared" ref="AQ1372:AQ1376" si="158">AA1372</f>
        <v>SAV</v>
      </c>
      <c r="AR1372" s="44" t="str">
        <f t="shared" si="144"/>
        <v/>
      </c>
      <c r="AS1372" s="44" t="str">
        <f t="shared" si="157"/>
        <v/>
      </c>
      <c r="AT1372" s="44" t="str">
        <f t="shared" si="114"/>
        <v/>
      </c>
      <c r="AU1372" s="44" t="str">
        <f t="shared" si="115"/>
        <v/>
      </c>
      <c r="AV1372" s="38"/>
      <c r="AW1372" s="38"/>
      <c r="AX1372" s="38"/>
      <c r="AY1372" s="38"/>
      <c r="AZ1372" s="29" t="s">
        <v>2437</v>
      </c>
      <c r="BA1372" s="29">
        <v>1.0</v>
      </c>
      <c r="BB1372" s="29">
        <v>1.0</v>
      </c>
      <c r="BC1372" s="29"/>
      <c r="BD1372" s="29" t="s">
        <v>88</v>
      </c>
      <c r="BE1372" s="29" t="s">
        <v>2430</v>
      </c>
      <c r="BF1372" s="29" t="s">
        <v>881</v>
      </c>
      <c r="BG1372" s="29" t="s">
        <v>203</v>
      </c>
      <c r="BH1372" s="29" t="s">
        <v>92</v>
      </c>
      <c r="BI1372" s="29" t="s">
        <v>1441</v>
      </c>
      <c r="BJ1372" s="29"/>
      <c r="BK1372" s="29" t="s">
        <v>148</v>
      </c>
      <c r="BL1372" s="29"/>
      <c r="BM1372" s="45"/>
      <c r="BN1372" s="45"/>
      <c r="BO1372" s="46"/>
      <c r="BP1372" s="2"/>
      <c r="BQ1372" s="3"/>
    </row>
    <row r="1373" ht="15.75" customHeight="1">
      <c r="A1373" s="34">
        <v>1395.0</v>
      </c>
      <c r="B1373" s="34">
        <v>200499.0</v>
      </c>
      <c r="C1373" s="34" t="s">
        <v>832</v>
      </c>
      <c r="D1373" s="34" t="s">
        <v>2454</v>
      </c>
      <c r="E1373" s="34" t="s">
        <v>2455</v>
      </c>
      <c r="F1373" s="34">
        <v>2013.0</v>
      </c>
      <c r="G1373" s="34" t="s">
        <v>2456</v>
      </c>
      <c r="H1373" s="34" t="s">
        <v>2449</v>
      </c>
      <c r="I1373" s="34" t="s">
        <v>2457</v>
      </c>
      <c r="J1373" s="35"/>
      <c r="K1373" s="36"/>
      <c r="L1373" s="36"/>
      <c r="M1373" s="36"/>
      <c r="N1373" s="36"/>
      <c r="O1373" s="36"/>
      <c r="P1373" s="37">
        <v>67.82</v>
      </c>
      <c r="Q1373" s="36"/>
      <c r="R1373" s="36" t="s">
        <v>191</v>
      </c>
      <c r="S1373" s="36" t="s">
        <v>2437</v>
      </c>
      <c r="T1373" s="36" t="s">
        <v>341</v>
      </c>
      <c r="U1373" s="36" t="s">
        <v>285</v>
      </c>
      <c r="V1373" s="36"/>
      <c r="W1373" s="36"/>
      <c r="X1373" s="38">
        <v>1.0</v>
      </c>
      <c r="Y1373" s="38" t="s">
        <v>2465</v>
      </c>
      <c r="Z1373" s="38" t="s">
        <v>2466</v>
      </c>
      <c r="AA1373" s="38" t="s">
        <v>86</v>
      </c>
      <c r="AB1373" s="38">
        <v>13.65</v>
      </c>
      <c r="AC1373" s="38">
        <v>2.63</v>
      </c>
      <c r="AD1373" s="38" t="s">
        <v>2467</v>
      </c>
      <c r="AE1373" s="38"/>
      <c r="AF1373" s="38"/>
      <c r="AG1373" s="38"/>
      <c r="AH1373" s="38"/>
      <c r="AI1373" s="50">
        <v>13.65</v>
      </c>
      <c r="AJ1373" s="50">
        <v>2.63</v>
      </c>
      <c r="AK1373" s="41" t="s">
        <v>288</v>
      </c>
      <c r="AL1373" s="40" t="s">
        <v>288</v>
      </c>
      <c r="AM1373" s="49">
        <v>236.0</v>
      </c>
      <c r="AN1373" s="51">
        <v>236.0</v>
      </c>
      <c r="AO1373" s="42" t="s">
        <v>355</v>
      </c>
      <c r="AP1373" s="43" t="s">
        <v>355</v>
      </c>
      <c r="AQ1373" s="44" t="str">
        <f t="shared" si="158"/>
        <v>CRO</v>
      </c>
      <c r="AR1373" s="44">
        <f t="shared" si="144"/>
        <v>236</v>
      </c>
      <c r="AS1373" s="44" t="str">
        <f t="shared" si="157"/>
        <v>B</v>
      </c>
      <c r="AT1373" s="44" t="str">
        <f t="shared" si="114"/>
        <v>BW</v>
      </c>
      <c r="AU1373" s="44" t="str">
        <f t="shared" si="115"/>
        <v>BWh</v>
      </c>
      <c r="AV1373" s="38"/>
      <c r="AW1373" s="38"/>
      <c r="AX1373" s="38"/>
      <c r="AY1373" s="38"/>
      <c r="AZ1373" s="29" t="s">
        <v>2437</v>
      </c>
      <c r="BA1373" s="29">
        <v>1.0</v>
      </c>
      <c r="BB1373" s="29">
        <v>1.0</v>
      </c>
      <c r="BC1373" s="29"/>
      <c r="BD1373" s="29" t="s">
        <v>88</v>
      </c>
      <c r="BE1373" s="29" t="s">
        <v>2430</v>
      </c>
      <c r="BF1373" s="29" t="s">
        <v>881</v>
      </c>
      <c r="BG1373" s="29" t="s">
        <v>203</v>
      </c>
      <c r="BH1373" s="29" t="s">
        <v>92</v>
      </c>
      <c r="BI1373" s="29" t="s">
        <v>1441</v>
      </c>
      <c r="BJ1373" s="29"/>
      <c r="BK1373" s="29" t="s">
        <v>148</v>
      </c>
      <c r="BL1373" s="29"/>
      <c r="BM1373" s="45"/>
      <c r="BN1373" s="45"/>
      <c r="BO1373" s="46"/>
      <c r="BP1373" s="2"/>
      <c r="BQ1373" s="3"/>
    </row>
    <row r="1374" ht="15.75" customHeight="1">
      <c r="A1374" s="34">
        <v>1396.0</v>
      </c>
      <c r="B1374" s="34">
        <v>200499.0</v>
      </c>
      <c r="C1374" s="34" t="s">
        <v>832</v>
      </c>
      <c r="D1374" s="34" t="s">
        <v>2454</v>
      </c>
      <c r="E1374" s="34" t="s">
        <v>2455</v>
      </c>
      <c r="F1374" s="34">
        <v>2013.0</v>
      </c>
      <c r="G1374" s="34" t="s">
        <v>2456</v>
      </c>
      <c r="H1374" s="34" t="s">
        <v>2449</v>
      </c>
      <c r="I1374" s="34" t="s">
        <v>2457</v>
      </c>
      <c r="J1374" s="35"/>
      <c r="K1374" s="36"/>
      <c r="L1374" s="36"/>
      <c r="M1374" s="36"/>
      <c r="N1374" s="36"/>
      <c r="O1374" s="36"/>
      <c r="P1374" s="37">
        <v>54.81</v>
      </c>
      <c r="Q1374" s="36"/>
      <c r="R1374" s="36" t="s">
        <v>191</v>
      </c>
      <c r="S1374" s="36" t="s">
        <v>2437</v>
      </c>
      <c r="T1374" s="36" t="s">
        <v>317</v>
      </c>
      <c r="U1374" s="36" t="s">
        <v>676</v>
      </c>
      <c r="V1374" s="36"/>
      <c r="W1374" s="36"/>
      <c r="X1374" s="38">
        <v>1.0</v>
      </c>
      <c r="Y1374" s="38" t="s">
        <v>1505</v>
      </c>
      <c r="Z1374" s="38" t="s">
        <v>353</v>
      </c>
      <c r="AA1374" s="38" t="s">
        <v>313</v>
      </c>
      <c r="AB1374" s="38">
        <v>13.28</v>
      </c>
      <c r="AC1374" s="38">
        <v>30.48</v>
      </c>
      <c r="AD1374" s="38" t="s">
        <v>354</v>
      </c>
      <c r="AE1374" s="38"/>
      <c r="AF1374" s="38" t="s">
        <v>1506</v>
      </c>
      <c r="AG1374" s="38"/>
      <c r="AH1374" s="38"/>
      <c r="AI1374" s="50">
        <v>13.2829</v>
      </c>
      <c r="AJ1374" s="50">
        <v>30.4783</v>
      </c>
      <c r="AK1374" s="41" t="s">
        <v>288</v>
      </c>
      <c r="AL1374" s="40" t="s">
        <v>288</v>
      </c>
      <c r="AM1374" s="49">
        <v>538.0</v>
      </c>
      <c r="AN1374" s="51">
        <v>538.0</v>
      </c>
      <c r="AO1374" s="42" t="s">
        <v>355</v>
      </c>
      <c r="AP1374" s="43" t="s">
        <v>355</v>
      </c>
      <c r="AQ1374" s="44" t="str">
        <f t="shared" si="158"/>
        <v>SAV</v>
      </c>
      <c r="AR1374" s="44">
        <f t="shared" si="144"/>
        <v>538</v>
      </c>
      <c r="AS1374" s="44" t="str">
        <f t="shared" si="157"/>
        <v>B</v>
      </c>
      <c r="AT1374" s="44" t="str">
        <f t="shared" si="114"/>
        <v>BW</v>
      </c>
      <c r="AU1374" s="44" t="str">
        <f t="shared" si="115"/>
        <v>BWh</v>
      </c>
      <c r="AV1374" s="38"/>
      <c r="AW1374" s="38"/>
      <c r="AX1374" s="38"/>
      <c r="AY1374" s="38"/>
      <c r="AZ1374" s="29" t="s">
        <v>2437</v>
      </c>
      <c r="BA1374" s="29">
        <v>1.0</v>
      </c>
      <c r="BB1374" s="29">
        <v>1.0</v>
      </c>
      <c r="BC1374" s="29"/>
      <c r="BD1374" s="29" t="s">
        <v>88</v>
      </c>
      <c r="BE1374" s="29" t="s">
        <v>2430</v>
      </c>
      <c r="BF1374" s="29" t="s">
        <v>881</v>
      </c>
      <c r="BG1374" s="29" t="s">
        <v>203</v>
      </c>
      <c r="BH1374" s="29" t="s">
        <v>92</v>
      </c>
      <c r="BI1374" s="29" t="s">
        <v>1441</v>
      </c>
      <c r="BJ1374" s="29"/>
      <c r="BK1374" s="29" t="s">
        <v>148</v>
      </c>
      <c r="BL1374" s="29"/>
      <c r="BM1374" s="45"/>
      <c r="BN1374" s="45"/>
      <c r="BO1374" s="46"/>
      <c r="BP1374" s="2"/>
      <c r="BQ1374" s="3"/>
    </row>
    <row r="1375" ht="15.75" customHeight="1">
      <c r="A1375" s="34">
        <v>1397.0</v>
      </c>
      <c r="B1375" s="34">
        <v>200499.0</v>
      </c>
      <c r="C1375" s="34" t="s">
        <v>832</v>
      </c>
      <c r="D1375" s="34" t="s">
        <v>2454</v>
      </c>
      <c r="E1375" s="34" t="s">
        <v>2455</v>
      </c>
      <c r="F1375" s="34">
        <v>2013.0</v>
      </c>
      <c r="G1375" s="34" t="s">
        <v>2456</v>
      </c>
      <c r="H1375" s="34" t="s">
        <v>2449</v>
      </c>
      <c r="I1375" s="34" t="s">
        <v>2457</v>
      </c>
      <c r="J1375" s="35"/>
      <c r="K1375" s="36"/>
      <c r="L1375" s="36"/>
      <c r="M1375" s="36"/>
      <c r="N1375" s="36"/>
      <c r="O1375" s="36"/>
      <c r="P1375" s="37">
        <v>87.7</v>
      </c>
      <c r="Q1375" s="36"/>
      <c r="R1375" s="36" t="s">
        <v>191</v>
      </c>
      <c r="S1375" s="36" t="s">
        <v>2437</v>
      </c>
      <c r="T1375" s="36" t="s">
        <v>356</v>
      </c>
      <c r="U1375" s="36" t="s">
        <v>676</v>
      </c>
      <c r="V1375" s="36"/>
      <c r="W1375" s="36"/>
      <c r="X1375" s="38">
        <v>1.0</v>
      </c>
      <c r="Y1375" s="38" t="s">
        <v>1014</v>
      </c>
      <c r="Z1375" s="38" t="s">
        <v>365</v>
      </c>
      <c r="AA1375" s="38" t="s">
        <v>313</v>
      </c>
      <c r="AB1375" s="38">
        <v>-25.02</v>
      </c>
      <c r="AC1375" s="38">
        <v>31.5</v>
      </c>
      <c r="AD1375" s="38" t="s">
        <v>367</v>
      </c>
      <c r="AE1375" s="38"/>
      <c r="AF1375" s="38" t="s">
        <v>1015</v>
      </c>
      <c r="AG1375" s="38"/>
      <c r="AH1375" s="38"/>
      <c r="AI1375" s="50">
        <v>-25.0197</v>
      </c>
      <c r="AJ1375" s="50">
        <v>31.4969</v>
      </c>
      <c r="AK1375" s="41" t="s">
        <v>313</v>
      </c>
      <c r="AL1375" s="40" t="s">
        <v>313</v>
      </c>
      <c r="AM1375" s="49">
        <v>362.0</v>
      </c>
      <c r="AN1375" s="51">
        <v>362.0</v>
      </c>
      <c r="AO1375" s="42" t="s">
        <v>304</v>
      </c>
      <c r="AP1375" s="43" t="s">
        <v>304</v>
      </c>
      <c r="AQ1375" s="44" t="str">
        <f t="shared" si="158"/>
        <v>SAV</v>
      </c>
      <c r="AR1375" s="44">
        <f t="shared" si="144"/>
        <v>362</v>
      </c>
      <c r="AS1375" s="44" t="str">
        <f t="shared" si="157"/>
        <v>B</v>
      </c>
      <c r="AT1375" s="44" t="str">
        <f t="shared" si="114"/>
        <v>BS</v>
      </c>
      <c r="AU1375" s="44" t="str">
        <f t="shared" si="115"/>
        <v>BSh</v>
      </c>
      <c r="AV1375" s="38"/>
      <c r="AW1375" s="38"/>
      <c r="AX1375" s="38"/>
      <c r="AY1375" s="38"/>
      <c r="AZ1375" s="29" t="s">
        <v>2437</v>
      </c>
      <c r="BA1375" s="29">
        <v>1.0</v>
      </c>
      <c r="BB1375" s="29">
        <v>1.0</v>
      </c>
      <c r="BC1375" s="29"/>
      <c r="BD1375" s="29" t="s">
        <v>88</v>
      </c>
      <c r="BE1375" s="29" t="s">
        <v>2430</v>
      </c>
      <c r="BF1375" s="29" t="s">
        <v>881</v>
      </c>
      <c r="BG1375" s="29" t="s">
        <v>203</v>
      </c>
      <c r="BH1375" s="29" t="s">
        <v>92</v>
      </c>
      <c r="BI1375" s="29" t="s">
        <v>1441</v>
      </c>
      <c r="BJ1375" s="29"/>
      <c r="BK1375" s="29" t="s">
        <v>148</v>
      </c>
      <c r="BL1375" s="29"/>
      <c r="BM1375" s="45"/>
      <c r="BN1375" s="45"/>
      <c r="BO1375" s="46"/>
      <c r="BP1375" s="2"/>
      <c r="BQ1375" s="3"/>
    </row>
    <row r="1376" ht="15.75" customHeight="1">
      <c r="A1376" s="34">
        <v>1398.0</v>
      </c>
      <c r="B1376" s="34">
        <v>200499.0</v>
      </c>
      <c r="C1376" s="34" t="s">
        <v>832</v>
      </c>
      <c r="D1376" s="34" t="s">
        <v>2454</v>
      </c>
      <c r="E1376" s="34" t="s">
        <v>2455</v>
      </c>
      <c r="F1376" s="34">
        <v>2013.0</v>
      </c>
      <c r="G1376" s="34" t="s">
        <v>2456</v>
      </c>
      <c r="H1376" s="34" t="s">
        <v>2449</v>
      </c>
      <c r="I1376" s="34" t="s">
        <v>2457</v>
      </c>
      <c r="J1376" s="35"/>
      <c r="K1376" s="36"/>
      <c r="L1376" s="36"/>
      <c r="M1376" s="36"/>
      <c r="N1376" s="36"/>
      <c r="O1376" s="36"/>
      <c r="P1376" s="37">
        <v>24.99</v>
      </c>
      <c r="Q1376" s="36"/>
      <c r="R1376" s="36" t="s">
        <v>191</v>
      </c>
      <c r="S1376" s="36" t="s">
        <v>2437</v>
      </c>
      <c r="T1376" s="36" t="s">
        <v>356</v>
      </c>
      <c r="U1376" s="36" t="s">
        <v>357</v>
      </c>
      <c r="V1376" s="36"/>
      <c r="W1376" s="36"/>
      <c r="X1376" s="38">
        <v>1.0</v>
      </c>
      <c r="Y1376" s="38" t="s">
        <v>2458</v>
      </c>
      <c r="Z1376" s="38" t="s">
        <v>2459</v>
      </c>
      <c r="AA1376" s="38" t="s">
        <v>200</v>
      </c>
      <c r="AB1376" s="38">
        <v>-19.93</v>
      </c>
      <c r="AC1376" s="38">
        <v>23.57</v>
      </c>
      <c r="AD1376" s="38" t="s">
        <v>361</v>
      </c>
      <c r="AE1376" s="38"/>
      <c r="AF1376" s="38"/>
      <c r="AG1376" s="38"/>
      <c r="AH1376" s="38"/>
      <c r="AI1376" s="50">
        <v>-19.93</v>
      </c>
      <c r="AJ1376" s="50">
        <v>23.57</v>
      </c>
      <c r="AK1376" s="41" t="s">
        <v>291</v>
      </c>
      <c r="AL1376" s="40" t="s">
        <v>291</v>
      </c>
      <c r="AM1376" s="49">
        <v>945.0</v>
      </c>
      <c r="AN1376" s="51">
        <v>945.0</v>
      </c>
      <c r="AO1376" s="42" t="s">
        <v>304</v>
      </c>
      <c r="AP1376" s="43" t="s">
        <v>304</v>
      </c>
      <c r="AQ1376" s="44" t="str">
        <f t="shared" si="158"/>
        <v>WSA</v>
      </c>
      <c r="AR1376" s="44">
        <f t="shared" si="144"/>
        <v>945</v>
      </c>
      <c r="AS1376" s="44" t="str">
        <f t="shared" si="157"/>
        <v>B</v>
      </c>
      <c r="AT1376" s="44" t="str">
        <f t="shared" si="114"/>
        <v>BS</v>
      </c>
      <c r="AU1376" s="44" t="str">
        <f t="shared" si="115"/>
        <v>BSh</v>
      </c>
      <c r="AV1376" s="38"/>
      <c r="AW1376" s="38"/>
      <c r="AX1376" s="38"/>
      <c r="AY1376" s="38"/>
      <c r="AZ1376" s="29" t="s">
        <v>2437</v>
      </c>
      <c r="BA1376" s="29">
        <v>1.0</v>
      </c>
      <c r="BB1376" s="29">
        <v>1.0</v>
      </c>
      <c r="BC1376" s="29"/>
      <c r="BD1376" s="29" t="s">
        <v>88</v>
      </c>
      <c r="BE1376" s="29"/>
      <c r="BF1376" s="29" t="s">
        <v>2468</v>
      </c>
      <c r="BG1376" s="29" t="s">
        <v>203</v>
      </c>
      <c r="BH1376" s="29" t="s">
        <v>92</v>
      </c>
      <c r="BI1376" s="29" t="s">
        <v>1441</v>
      </c>
      <c r="BJ1376" s="29"/>
      <c r="BK1376" s="29" t="s">
        <v>148</v>
      </c>
      <c r="BL1376" s="29"/>
      <c r="BM1376" s="45"/>
      <c r="BN1376" s="45"/>
      <c r="BO1376" s="46"/>
      <c r="BP1376" s="2"/>
      <c r="BQ1376" s="3"/>
    </row>
    <row r="1377" ht="15.75" customHeight="1">
      <c r="A1377" s="34">
        <v>1399.0</v>
      </c>
      <c r="B1377" s="34">
        <v>200499.0</v>
      </c>
      <c r="C1377" s="34" t="s">
        <v>832</v>
      </c>
      <c r="D1377" s="34" t="s">
        <v>2454</v>
      </c>
      <c r="E1377" s="34" t="s">
        <v>2455</v>
      </c>
      <c r="F1377" s="34">
        <v>2013.0</v>
      </c>
      <c r="G1377" s="34" t="s">
        <v>2456</v>
      </c>
      <c r="H1377" s="34" t="s">
        <v>2449</v>
      </c>
      <c r="I1377" s="34" t="s">
        <v>2457</v>
      </c>
      <c r="J1377" s="35"/>
      <c r="K1377" s="36"/>
      <c r="L1377" s="36"/>
      <c r="M1377" s="36"/>
      <c r="N1377" s="36"/>
      <c r="O1377" s="36"/>
      <c r="P1377" s="37">
        <v>16.44</v>
      </c>
      <c r="Q1377" s="36"/>
      <c r="R1377" s="36" t="s">
        <v>191</v>
      </c>
      <c r="S1377" s="36" t="s">
        <v>2437</v>
      </c>
      <c r="T1377" s="36" t="s">
        <v>295</v>
      </c>
      <c r="U1377" s="36" t="s">
        <v>285</v>
      </c>
      <c r="V1377" s="36"/>
      <c r="W1377" s="36"/>
      <c r="X1377" s="38">
        <v>1.0</v>
      </c>
      <c r="Y1377" s="38" t="s">
        <v>2460</v>
      </c>
      <c r="Z1377" s="38" t="s">
        <v>2461</v>
      </c>
      <c r="AA1377" s="38" t="s">
        <v>2462</v>
      </c>
      <c r="AB1377" s="38">
        <v>-11.98</v>
      </c>
      <c r="AC1377" s="38">
        <v>11.98</v>
      </c>
      <c r="AD1377" s="38" t="s">
        <v>2463</v>
      </c>
      <c r="AE1377" s="53"/>
      <c r="AF1377" s="38"/>
      <c r="AG1377" s="38"/>
      <c r="AH1377" s="38"/>
      <c r="AI1377" s="50">
        <v>-11.98</v>
      </c>
      <c r="AJ1377" s="50">
        <v>11.98</v>
      </c>
      <c r="AK1377" s="41" t="s">
        <v>1085</v>
      </c>
      <c r="AL1377" s="40" t="s">
        <v>1085</v>
      </c>
      <c r="AM1377" s="49"/>
      <c r="AN1377" s="43"/>
      <c r="AO1377" s="42"/>
      <c r="AP1377" s="43"/>
      <c r="AQ1377" s="44" t="s">
        <v>336</v>
      </c>
      <c r="AR1377" s="44" t="str">
        <f t="shared" si="144"/>
        <v/>
      </c>
      <c r="AS1377" s="44" t="str">
        <f t="shared" si="157"/>
        <v/>
      </c>
      <c r="AT1377" s="44" t="str">
        <f t="shared" si="114"/>
        <v/>
      </c>
      <c r="AU1377" s="44" t="str">
        <f t="shared" si="115"/>
        <v/>
      </c>
      <c r="AV1377" s="38"/>
      <c r="AW1377" s="38"/>
      <c r="AX1377" s="38"/>
      <c r="AY1377" s="38"/>
      <c r="AZ1377" s="29" t="s">
        <v>2437</v>
      </c>
      <c r="BA1377" s="29">
        <v>1.0</v>
      </c>
      <c r="BB1377" s="29">
        <v>1.0</v>
      </c>
      <c r="BC1377" s="29"/>
      <c r="BD1377" s="29" t="s">
        <v>88</v>
      </c>
      <c r="BE1377" s="29"/>
      <c r="BF1377" s="29" t="s">
        <v>2468</v>
      </c>
      <c r="BG1377" s="29" t="s">
        <v>203</v>
      </c>
      <c r="BH1377" s="29" t="s">
        <v>92</v>
      </c>
      <c r="BI1377" s="29" t="s">
        <v>1441</v>
      </c>
      <c r="BJ1377" s="29"/>
      <c r="BK1377" s="29" t="s">
        <v>148</v>
      </c>
      <c r="BL1377" s="29"/>
      <c r="BM1377" s="45"/>
      <c r="BN1377" s="45"/>
      <c r="BO1377" s="46"/>
      <c r="BP1377" s="2"/>
      <c r="BQ1377" s="3"/>
    </row>
    <row r="1378" ht="15.75" customHeight="1">
      <c r="A1378" s="34">
        <v>1400.0</v>
      </c>
      <c r="B1378" s="34">
        <v>200499.0</v>
      </c>
      <c r="C1378" s="34" t="s">
        <v>832</v>
      </c>
      <c r="D1378" s="34" t="s">
        <v>2454</v>
      </c>
      <c r="E1378" s="34" t="s">
        <v>2455</v>
      </c>
      <c r="F1378" s="34">
        <v>2013.0</v>
      </c>
      <c r="G1378" s="34" t="s">
        <v>2456</v>
      </c>
      <c r="H1378" s="34" t="s">
        <v>2449</v>
      </c>
      <c r="I1378" s="34" t="s">
        <v>2457</v>
      </c>
      <c r="J1378" s="35"/>
      <c r="K1378" s="36"/>
      <c r="L1378" s="36"/>
      <c r="M1378" s="36"/>
      <c r="N1378" s="36"/>
      <c r="O1378" s="36"/>
      <c r="P1378" s="37">
        <v>92.82</v>
      </c>
      <c r="Q1378" s="36"/>
      <c r="R1378" s="36" t="s">
        <v>191</v>
      </c>
      <c r="S1378" s="36" t="s">
        <v>2437</v>
      </c>
      <c r="T1378" s="36" t="s">
        <v>341</v>
      </c>
      <c r="U1378" s="36" t="s">
        <v>676</v>
      </c>
      <c r="V1378" s="36"/>
      <c r="W1378" s="36"/>
      <c r="X1378" s="38">
        <v>1.0</v>
      </c>
      <c r="Y1378" s="38" t="s">
        <v>2464</v>
      </c>
      <c r="Z1378" s="38" t="s">
        <v>1512</v>
      </c>
      <c r="AA1378" s="38" t="s">
        <v>313</v>
      </c>
      <c r="AB1378" s="38">
        <v>-11.66</v>
      </c>
      <c r="AC1378" s="38">
        <v>11.66</v>
      </c>
      <c r="AD1378" s="38" t="s">
        <v>2463</v>
      </c>
      <c r="AE1378" s="53"/>
      <c r="AF1378" s="38"/>
      <c r="AG1378" s="38"/>
      <c r="AH1378" s="38"/>
      <c r="AI1378" s="50">
        <v>-11.66</v>
      </c>
      <c r="AJ1378" s="50">
        <v>11.66</v>
      </c>
      <c r="AK1378" s="41" t="s">
        <v>1085</v>
      </c>
      <c r="AL1378" s="40" t="s">
        <v>1085</v>
      </c>
      <c r="AM1378" s="49"/>
      <c r="AN1378" s="43"/>
      <c r="AO1378" s="42"/>
      <c r="AP1378" s="43"/>
      <c r="AQ1378" s="44" t="str">
        <f t="shared" ref="AQ1378:AQ1461" si="159">AA1378</f>
        <v>SAV</v>
      </c>
      <c r="AR1378" s="44" t="str">
        <f t="shared" si="144"/>
        <v/>
      </c>
      <c r="AS1378" s="44" t="str">
        <f t="shared" si="157"/>
        <v/>
      </c>
      <c r="AT1378" s="44" t="str">
        <f t="shared" si="114"/>
        <v/>
      </c>
      <c r="AU1378" s="44" t="str">
        <f t="shared" si="115"/>
        <v/>
      </c>
      <c r="AV1378" s="38"/>
      <c r="AW1378" s="38"/>
      <c r="AX1378" s="38"/>
      <c r="AY1378" s="38"/>
      <c r="AZ1378" s="29" t="s">
        <v>2437</v>
      </c>
      <c r="BA1378" s="29">
        <v>1.0</v>
      </c>
      <c r="BB1378" s="29">
        <v>1.0</v>
      </c>
      <c r="BC1378" s="29"/>
      <c r="BD1378" s="29" t="s">
        <v>88</v>
      </c>
      <c r="BE1378" s="29"/>
      <c r="BF1378" s="29" t="s">
        <v>2468</v>
      </c>
      <c r="BG1378" s="29" t="s">
        <v>203</v>
      </c>
      <c r="BH1378" s="29" t="s">
        <v>92</v>
      </c>
      <c r="BI1378" s="29" t="s">
        <v>1441</v>
      </c>
      <c r="BJ1378" s="29"/>
      <c r="BK1378" s="29" t="s">
        <v>148</v>
      </c>
      <c r="BL1378" s="29"/>
      <c r="BM1378" s="45"/>
      <c r="BN1378" s="45"/>
      <c r="BO1378" s="46"/>
      <c r="BP1378" s="2"/>
      <c r="BQ1378" s="3"/>
    </row>
    <row r="1379" ht="15.75" customHeight="1">
      <c r="A1379" s="34">
        <v>1401.0</v>
      </c>
      <c r="B1379" s="34">
        <v>200499.0</v>
      </c>
      <c r="C1379" s="34" t="s">
        <v>832</v>
      </c>
      <c r="D1379" s="34" t="s">
        <v>2454</v>
      </c>
      <c r="E1379" s="34" t="s">
        <v>2455</v>
      </c>
      <c r="F1379" s="34">
        <v>2013.0</v>
      </c>
      <c r="G1379" s="34" t="s">
        <v>2456</v>
      </c>
      <c r="H1379" s="34" t="s">
        <v>2449</v>
      </c>
      <c r="I1379" s="34" t="s">
        <v>2457</v>
      </c>
      <c r="J1379" s="35"/>
      <c r="K1379" s="36"/>
      <c r="L1379" s="36"/>
      <c r="M1379" s="36"/>
      <c r="N1379" s="36"/>
      <c r="O1379" s="36"/>
      <c r="P1379" s="37">
        <v>56.02</v>
      </c>
      <c r="Q1379" s="36"/>
      <c r="R1379" s="36" t="s">
        <v>191</v>
      </c>
      <c r="S1379" s="36" t="s">
        <v>2437</v>
      </c>
      <c r="T1379" s="36" t="s">
        <v>341</v>
      </c>
      <c r="U1379" s="36" t="s">
        <v>285</v>
      </c>
      <c r="V1379" s="36"/>
      <c r="W1379" s="36"/>
      <c r="X1379" s="38">
        <v>1.0</v>
      </c>
      <c r="Y1379" s="38" t="s">
        <v>2465</v>
      </c>
      <c r="Z1379" s="38" t="s">
        <v>2466</v>
      </c>
      <c r="AA1379" s="38" t="s">
        <v>86</v>
      </c>
      <c r="AB1379" s="38">
        <v>13.65</v>
      </c>
      <c r="AC1379" s="38">
        <v>2.63</v>
      </c>
      <c r="AD1379" s="38" t="s">
        <v>2467</v>
      </c>
      <c r="AE1379" s="38"/>
      <c r="AF1379" s="38"/>
      <c r="AG1379" s="38"/>
      <c r="AH1379" s="38"/>
      <c r="AI1379" s="50">
        <v>13.65</v>
      </c>
      <c r="AJ1379" s="50">
        <v>2.63</v>
      </c>
      <c r="AK1379" s="41" t="s">
        <v>288</v>
      </c>
      <c r="AL1379" s="40" t="s">
        <v>288</v>
      </c>
      <c r="AM1379" s="49">
        <v>236.0</v>
      </c>
      <c r="AN1379" s="51">
        <v>236.0</v>
      </c>
      <c r="AO1379" s="42" t="s">
        <v>355</v>
      </c>
      <c r="AP1379" s="43" t="s">
        <v>355</v>
      </c>
      <c r="AQ1379" s="44" t="str">
        <f t="shared" si="159"/>
        <v>CRO</v>
      </c>
      <c r="AR1379" s="44">
        <f t="shared" si="144"/>
        <v>236</v>
      </c>
      <c r="AS1379" s="44" t="str">
        <f t="shared" si="157"/>
        <v>B</v>
      </c>
      <c r="AT1379" s="44" t="str">
        <f t="shared" si="114"/>
        <v>BW</v>
      </c>
      <c r="AU1379" s="44" t="str">
        <f t="shared" si="115"/>
        <v>BWh</v>
      </c>
      <c r="AV1379" s="38"/>
      <c r="AW1379" s="38"/>
      <c r="AX1379" s="38"/>
      <c r="AY1379" s="38"/>
      <c r="AZ1379" s="29" t="s">
        <v>2437</v>
      </c>
      <c r="BA1379" s="29">
        <v>1.0</v>
      </c>
      <c r="BB1379" s="29">
        <v>1.0</v>
      </c>
      <c r="BC1379" s="29"/>
      <c r="BD1379" s="29" t="s">
        <v>88</v>
      </c>
      <c r="BE1379" s="29"/>
      <c r="BF1379" s="29" t="s">
        <v>2468</v>
      </c>
      <c r="BG1379" s="29" t="s">
        <v>203</v>
      </c>
      <c r="BH1379" s="29" t="s">
        <v>92</v>
      </c>
      <c r="BI1379" s="29" t="s">
        <v>1441</v>
      </c>
      <c r="BJ1379" s="29"/>
      <c r="BK1379" s="29" t="s">
        <v>148</v>
      </c>
      <c r="BL1379" s="29"/>
      <c r="BM1379" s="45"/>
      <c r="BN1379" s="45"/>
      <c r="BO1379" s="46"/>
      <c r="BP1379" s="2" t="s">
        <v>2469</v>
      </c>
      <c r="BQ1379" s="3"/>
    </row>
    <row r="1380" ht="15.75" customHeight="1">
      <c r="A1380" s="34">
        <v>1402.0</v>
      </c>
      <c r="B1380" s="34">
        <v>200499.0</v>
      </c>
      <c r="C1380" s="34" t="s">
        <v>832</v>
      </c>
      <c r="D1380" s="34" t="s">
        <v>2454</v>
      </c>
      <c r="E1380" s="34" t="s">
        <v>2455</v>
      </c>
      <c r="F1380" s="34">
        <v>2013.0</v>
      </c>
      <c r="G1380" s="34" t="s">
        <v>2456</v>
      </c>
      <c r="H1380" s="34" t="s">
        <v>2449</v>
      </c>
      <c r="I1380" s="34" t="s">
        <v>2457</v>
      </c>
      <c r="J1380" s="35"/>
      <c r="K1380" s="36"/>
      <c r="L1380" s="36"/>
      <c r="M1380" s="36"/>
      <c r="N1380" s="36"/>
      <c r="O1380" s="36"/>
      <c r="P1380" s="37">
        <v>45.0</v>
      </c>
      <c r="Q1380" s="36"/>
      <c r="R1380" s="36" t="s">
        <v>191</v>
      </c>
      <c r="S1380" s="36" t="s">
        <v>2437</v>
      </c>
      <c r="T1380" s="36" t="s">
        <v>317</v>
      </c>
      <c r="U1380" s="36" t="s">
        <v>676</v>
      </c>
      <c r="V1380" s="36"/>
      <c r="W1380" s="36"/>
      <c r="X1380" s="38">
        <v>1.0</v>
      </c>
      <c r="Y1380" s="38" t="s">
        <v>1505</v>
      </c>
      <c r="Z1380" s="38" t="s">
        <v>353</v>
      </c>
      <c r="AA1380" s="38" t="s">
        <v>313</v>
      </c>
      <c r="AB1380" s="38">
        <v>13.28</v>
      </c>
      <c r="AC1380" s="38">
        <v>30.48</v>
      </c>
      <c r="AD1380" s="38" t="s">
        <v>354</v>
      </c>
      <c r="AE1380" s="38"/>
      <c r="AF1380" s="38" t="s">
        <v>1506</v>
      </c>
      <c r="AG1380" s="38"/>
      <c r="AH1380" s="38"/>
      <c r="AI1380" s="50">
        <v>13.2829</v>
      </c>
      <c r="AJ1380" s="50">
        <v>30.4783</v>
      </c>
      <c r="AK1380" s="41" t="s">
        <v>288</v>
      </c>
      <c r="AL1380" s="40" t="s">
        <v>288</v>
      </c>
      <c r="AM1380" s="49">
        <v>538.0</v>
      </c>
      <c r="AN1380" s="51">
        <v>538.0</v>
      </c>
      <c r="AO1380" s="42" t="s">
        <v>355</v>
      </c>
      <c r="AP1380" s="43" t="s">
        <v>355</v>
      </c>
      <c r="AQ1380" s="44" t="str">
        <f t="shared" si="159"/>
        <v>SAV</v>
      </c>
      <c r="AR1380" s="44">
        <f t="shared" si="144"/>
        <v>538</v>
      </c>
      <c r="AS1380" s="44" t="str">
        <f t="shared" si="157"/>
        <v>B</v>
      </c>
      <c r="AT1380" s="44" t="str">
        <f t="shared" si="114"/>
        <v>BW</v>
      </c>
      <c r="AU1380" s="44" t="str">
        <f t="shared" si="115"/>
        <v>BWh</v>
      </c>
      <c r="AV1380" s="38"/>
      <c r="AW1380" s="38"/>
      <c r="AX1380" s="38"/>
      <c r="AY1380" s="38"/>
      <c r="AZ1380" s="29" t="s">
        <v>2437</v>
      </c>
      <c r="BA1380" s="29">
        <v>1.0</v>
      </c>
      <c r="BB1380" s="29">
        <v>1.0</v>
      </c>
      <c r="BC1380" s="29"/>
      <c r="BD1380" s="29" t="s">
        <v>88</v>
      </c>
      <c r="BE1380" s="29"/>
      <c r="BF1380" s="29" t="s">
        <v>2468</v>
      </c>
      <c r="BG1380" s="29" t="s">
        <v>203</v>
      </c>
      <c r="BH1380" s="29" t="s">
        <v>92</v>
      </c>
      <c r="BI1380" s="29" t="s">
        <v>1441</v>
      </c>
      <c r="BJ1380" s="29"/>
      <c r="BK1380" s="29" t="s">
        <v>148</v>
      </c>
      <c r="BL1380" s="29"/>
      <c r="BM1380" s="45"/>
      <c r="BN1380" s="45"/>
      <c r="BO1380" s="46"/>
      <c r="BP1380" s="2"/>
      <c r="BQ1380" s="3"/>
    </row>
    <row r="1381" ht="15.75" customHeight="1">
      <c r="A1381" s="34">
        <v>1403.0</v>
      </c>
      <c r="B1381" s="34">
        <v>200499.0</v>
      </c>
      <c r="C1381" s="34" t="s">
        <v>832</v>
      </c>
      <c r="D1381" s="34" t="s">
        <v>2454</v>
      </c>
      <c r="E1381" s="34" t="s">
        <v>2455</v>
      </c>
      <c r="F1381" s="34">
        <v>2013.0</v>
      </c>
      <c r="G1381" s="34" t="s">
        <v>2456</v>
      </c>
      <c r="H1381" s="34" t="s">
        <v>2449</v>
      </c>
      <c r="I1381" s="34" t="s">
        <v>2457</v>
      </c>
      <c r="J1381" s="35"/>
      <c r="K1381" s="36"/>
      <c r="L1381" s="36"/>
      <c r="M1381" s="36"/>
      <c r="N1381" s="36"/>
      <c r="O1381" s="36"/>
      <c r="P1381" s="37">
        <v>56.67</v>
      </c>
      <c r="Q1381" s="36"/>
      <c r="R1381" s="36" t="s">
        <v>191</v>
      </c>
      <c r="S1381" s="36" t="s">
        <v>2437</v>
      </c>
      <c r="T1381" s="36" t="s">
        <v>356</v>
      </c>
      <c r="U1381" s="36" t="s">
        <v>676</v>
      </c>
      <c r="V1381" s="36"/>
      <c r="W1381" s="36"/>
      <c r="X1381" s="38">
        <v>1.0</v>
      </c>
      <c r="Y1381" s="38" t="s">
        <v>1014</v>
      </c>
      <c r="Z1381" s="38" t="s">
        <v>365</v>
      </c>
      <c r="AA1381" s="38" t="s">
        <v>313</v>
      </c>
      <c r="AB1381" s="38">
        <v>-25.02</v>
      </c>
      <c r="AC1381" s="38">
        <v>31.5</v>
      </c>
      <c r="AD1381" s="38" t="s">
        <v>367</v>
      </c>
      <c r="AE1381" s="38"/>
      <c r="AF1381" s="38" t="s">
        <v>1015</v>
      </c>
      <c r="AG1381" s="38"/>
      <c r="AH1381" s="38"/>
      <c r="AI1381" s="50">
        <v>-25.0197</v>
      </c>
      <c r="AJ1381" s="50">
        <v>31.4969</v>
      </c>
      <c r="AK1381" s="41" t="s">
        <v>313</v>
      </c>
      <c r="AL1381" s="40" t="s">
        <v>313</v>
      </c>
      <c r="AM1381" s="49">
        <v>362.0</v>
      </c>
      <c r="AN1381" s="51">
        <v>362.0</v>
      </c>
      <c r="AO1381" s="42" t="s">
        <v>304</v>
      </c>
      <c r="AP1381" s="43" t="s">
        <v>304</v>
      </c>
      <c r="AQ1381" s="44" t="str">
        <f t="shared" si="159"/>
        <v>SAV</v>
      </c>
      <c r="AR1381" s="44">
        <f t="shared" si="144"/>
        <v>362</v>
      </c>
      <c r="AS1381" s="44" t="str">
        <f t="shared" si="157"/>
        <v>B</v>
      </c>
      <c r="AT1381" s="44" t="str">
        <f t="shared" si="114"/>
        <v>BS</v>
      </c>
      <c r="AU1381" s="44" t="str">
        <f t="shared" si="115"/>
        <v>BSh</v>
      </c>
      <c r="AV1381" s="38"/>
      <c r="AW1381" s="38"/>
      <c r="AX1381" s="38"/>
      <c r="AY1381" s="38"/>
      <c r="AZ1381" s="29" t="s">
        <v>2437</v>
      </c>
      <c r="BA1381" s="29">
        <v>1.0</v>
      </c>
      <c r="BB1381" s="29">
        <v>1.0</v>
      </c>
      <c r="BC1381" s="29"/>
      <c r="BD1381" s="29" t="s">
        <v>88</v>
      </c>
      <c r="BE1381" s="29"/>
      <c r="BF1381" s="29" t="s">
        <v>2468</v>
      </c>
      <c r="BG1381" s="29" t="s">
        <v>203</v>
      </c>
      <c r="BH1381" s="29" t="s">
        <v>92</v>
      </c>
      <c r="BI1381" s="29" t="s">
        <v>1441</v>
      </c>
      <c r="BJ1381" s="29"/>
      <c r="BK1381" s="29" t="s">
        <v>148</v>
      </c>
      <c r="BL1381" s="29"/>
      <c r="BM1381" s="45"/>
      <c r="BN1381" s="45"/>
      <c r="BO1381" s="46"/>
      <c r="BP1381" s="2"/>
      <c r="BQ1381" s="3"/>
    </row>
    <row r="1382" ht="15.75" customHeight="1">
      <c r="A1382" s="34">
        <v>1404.0</v>
      </c>
      <c r="B1382" s="34">
        <v>103351.0</v>
      </c>
      <c r="C1382" s="34" t="s">
        <v>832</v>
      </c>
      <c r="D1382" s="34" t="s">
        <v>2470</v>
      </c>
      <c r="E1382" s="34" t="s">
        <v>2471</v>
      </c>
      <c r="F1382" s="34">
        <v>2017.0</v>
      </c>
      <c r="G1382" s="34" t="s">
        <v>2472</v>
      </c>
      <c r="H1382" s="34" t="s">
        <v>2449</v>
      </c>
      <c r="I1382" s="34" t="s">
        <v>2473</v>
      </c>
      <c r="J1382" s="35"/>
      <c r="K1382" s="36">
        <v>0.04</v>
      </c>
      <c r="L1382" s="36"/>
      <c r="M1382" s="36"/>
      <c r="N1382" s="36"/>
      <c r="O1382" s="36"/>
      <c r="P1382" s="37">
        <v>6.6</v>
      </c>
      <c r="Q1382" s="36" t="s">
        <v>977</v>
      </c>
      <c r="R1382" s="36" t="s">
        <v>96</v>
      </c>
      <c r="S1382" s="36"/>
      <c r="T1382" s="36" t="s">
        <v>2219</v>
      </c>
      <c r="U1382" s="36" t="s">
        <v>2138</v>
      </c>
      <c r="V1382" s="36">
        <v>8.0</v>
      </c>
      <c r="W1382" s="36"/>
      <c r="X1382" s="38">
        <v>1.0</v>
      </c>
      <c r="Y1382" s="38" t="s">
        <v>2474</v>
      </c>
      <c r="Z1382" s="38" t="s">
        <v>1401</v>
      </c>
      <c r="AA1382" s="38" t="s">
        <v>86</v>
      </c>
      <c r="AB1382" s="38">
        <v>24.172222</v>
      </c>
      <c r="AC1382" s="38">
        <v>48.06805556</v>
      </c>
      <c r="AD1382" s="38" t="s">
        <v>877</v>
      </c>
      <c r="AE1382" s="38"/>
      <c r="AF1382" s="38" t="s">
        <v>2475</v>
      </c>
      <c r="AG1382" s="38"/>
      <c r="AH1382" s="38">
        <v>3.67</v>
      </c>
      <c r="AI1382" s="50">
        <v>24.172222</v>
      </c>
      <c r="AJ1382" s="50">
        <v>48.06805556</v>
      </c>
      <c r="AK1382" s="41" t="s">
        <v>664</v>
      </c>
      <c r="AL1382" s="40" t="s">
        <v>664</v>
      </c>
      <c r="AM1382" s="49">
        <v>360.0</v>
      </c>
      <c r="AN1382" s="51">
        <v>360.0</v>
      </c>
      <c r="AO1382" s="42" t="s">
        <v>355</v>
      </c>
      <c r="AP1382" s="43" t="s">
        <v>355</v>
      </c>
      <c r="AQ1382" s="44" t="str">
        <f t="shared" si="159"/>
        <v>CRO</v>
      </c>
      <c r="AR1382" s="44">
        <f t="shared" si="144"/>
        <v>360</v>
      </c>
      <c r="AS1382" s="44" t="str">
        <f t="shared" si="157"/>
        <v>B</v>
      </c>
      <c r="AT1382" s="44" t="str">
        <f t="shared" si="114"/>
        <v>BW</v>
      </c>
      <c r="AU1382" s="44" t="str">
        <f t="shared" si="115"/>
        <v>BWh</v>
      </c>
      <c r="AV1382" s="38"/>
      <c r="AW1382" s="38"/>
      <c r="AX1382" s="38">
        <v>122.0</v>
      </c>
      <c r="AY1382" s="38" t="s">
        <v>2476</v>
      </c>
      <c r="AZ1382" s="29"/>
      <c r="BA1382" s="29">
        <v>1.0</v>
      </c>
      <c r="BB1382" s="29">
        <v>1.0</v>
      </c>
      <c r="BC1382" s="29"/>
      <c r="BD1382" s="29" t="s">
        <v>88</v>
      </c>
      <c r="BE1382" s="29"/>
      <c r="BF1382" s="29" t="s">
        <v>984</v>
      </c>
      <c r="BG1382" s="29" t="s">
        <v>572</v>
      </c>
      <c r="BH1382" s="29"/>
      <c r="BI1382" s="29"/>
      <c r="BJ1382" s="29"/>
      <c r="BK1382" s="29" t="s">
        <v>180</v>
      </c>
      <c r="BL1382" s="29" t="s">
        <v>180</v>
      </c>
      <c r="BM1382" s="45"/>
      <c r="BN1382" s="45">
        <v>1.0</v>
      </c>
      <c r="BO1382" s="46" t="s">
        <v>984</v>
      </c>
      <c r="BP1382" s="2"/>
      <c r="BQ1382" s="3"/>
    </row>
    <row r="1383" ht="15.75" customHeight="1">
      <c r="A1383" s="34">
        <v>1405.0</v>
      </c>
      <c r="B1383" s="34">
        <v>103351.0</v>
      </c>
      <c r="C1383" s="34" t="s">
        <v>832</v>
      </c>
      <c r="D1383" s="34" t="s">
        <v>2470</v>
      </c>
      <c r="E1383" s="34" t="s">
        <v>2471</v>
      </c>
      <c r="F1383" s="34">
        <v>2017.0</v>
      </c>
      <c r="G1383" s="34" t="s">
        <v>2472</v>
      </c>
      <c r="H1383" s="34" t="s">
        <v>2449</v>
      </c>
      <c r="I1383" s="34" t="s">
        <v>2473</v>
      </c>
      <c r="J1383" s="35"/>
      <c r="K1383" s="36">
        <v>0.38</v>
      </c>
      <c r="L1383" s="36"/>
      <c r="M1383" s="36"/>
      <c r="N1383" s="36"/>
      <c r="O1383" s="36"/>
      <c r="P1383" s="37">
        <v>4.2</v>
      </c>
      <c r="Q1383" s="36" t="s">
        <v>96</v>
      </c>
      <c r="R1383" s="36" t="s">
        <v>96</v>
      </c>
      <c r="S1383" s="36"/>
      <c r="T1383" s="36" t="s">
        <v>2219</v>
      </c>
      <c r="U1383" s="36" t="s">
        <v>2138</v>
      </c>
      <c r="V1383" s="36">
        <v>8.0</v>
      </c>
      <c r="W1383" s="36"/>
      <c r="X1383" s="38">
        <v>1.0</v>
      </c>
      <c r="Y1383" s="38" t="s">
        <v>2474</v>
      </c>
      <c r="Z1383" s="38" t="s">
        <v>1401</v>
      </c>
      <c r="AA1383" s="38" t="s">
        <v>86</v>
      </c>
      <c r="AB1383" s="38">
        <v>24.172222</v>
      </c>
      <c r="AC1383" s="38">
        <v>48.06805556</v>
      </c>
      <c r="AD1383" s="38" t="s">
        <v>877</v>
      </c>
      <c r="AE1383" s="38"/>
      <c r="AF1383" s="38" t="s">
        <v>2475</v>
      </c>
      <c r="AG1383" s="38"/>
      <c r="AH1383" s="38">
        <v>3.67</v>
      </c>
      <c r="AI1383" s="50">
        <v>24.172222</v>
      </c>
      <c r="AJ1383" s="50">
        <v>48.06805556</v>
      </c>
      <c r="AK1383" s="41" t="s">
        <v>664</v>
      </c>
      <c r="AL1383" s="40" t="s">
        <v>664</v>
      </c>
      <c r="AM1383" s="49">
        <v>360.0</v>
      </c>
      <c r="AN1383" s="51">
        <v>360.0</v>
      </c>
      <c r="AO1383" s="42" t="s">
        <v>355</v>
      </c>
      <c r="AP1383" s="43" t="s">
        <v>355</v>
      </c>
      <c r="AQ1383" s="44" t="str">
        <f t="shared" si="159"/>
        <v>CRO</v>
      </c>
      <c r="AR1383" s="44">
        <f t="shared" si="144"/>
        <v>360</v>
      </c>
      <c r="AS1383" s="44" t="str">
        <f t="shared" si="157"/>
        <v>B</v>
      </c>
      <c r="AT1383" s="44" t="str">
        <f t="shared" si="114"/>
        <v>BW</v>
      </c>
      <c r="AU1383" s="44" t="str">
        <f t="shared" si="115"/>
        <v>BWh</v>
      </c>
      <c r="AV1383" s="38"/>
      <c r="AW1383" s="38"/>
      <c r="AX1383" s="38">
        <v>122.0</v>
      </c>
      <c r="AY1383" s="38" t="s">
        <v>2476</v>
      </c>
      <c r="AZ1383" s="29"/>
      <c r="BA1383" s="29">
        <v>1.0</v>
      </c>
      <c r="BB1383" s="29">
        <v>1.0</v>
      </c>
      <c r="BC1383" s="29"/>
      <c r="BD1383" s="29" t="s">
        <v>88</v>
      </c>
      <c r="BE1383" s="29"/>
      <c r="BF1383" s="29" t="s">
        <v>984</v>
      </c>
      <c r="BG1383" s="29" t="s">
        <v>572</v>
      </c>
      <c r="BH1383" s="29"/>
      <c r="BI1383" s="29"/>
      <c r="BJ1383" s="29"/>
      <c r="BK1383" s="29" t="s">
        <v>180</v>
      </c>
      <c r="BL1383" s="29" t="s">
        <v>180</v>
      </c>
      <c r="BM1383" s="45"/>
      <c r="BN1383" s="45"/>
      <c r="BO1383" s="46"/>
      <c r="BP1383" s="2"/>
      <c r="BQ1383" s="3"/>
    </row>
    <row r="1384" ht="15.75" customHeight="1">
      <c r="A1384" s="34">
        <v>1406.0</v>
      </c>
      <c r="B1384" s="34">
        <v>103351.0</v>
      </c>
      <c r="C1384" s="34" t="s">
        <v>832</v>
      </c>
      <c r="D1384" s="34" t="s">
        <v>2470</v>
      </c>
      <c r="E1384" s="34" t="s">
        <v>2471</v>
      </c>
      <c r="F1384" s="34">
        <v>2017.0</v>
      </c>
      <c r="G1384" s="34" t="s">
        <v>2472</v>
      </c>
      <c r="H1384" s="34" t="s">
        <v>2449</v>
      </c>
      <c r="I1384" s="34" t="s">
        <v>2473</v>
      </c>
      <c r="J1384" s="35"/>
      <c r="K1384" s="36"/>
      <c r="L1384" s="36"/>
      <c r="M1384" s="36"/>
      <c r="N1384" s="36">
        <v>2.45</v>
      </c>
      <c r="O1384" s="36"/>
      <c r="P1384" s="37">
        <v>0.73</v>
      </c>
      <c r="Q1384" s="36"/>
      <c r="R1384" s="36" t="s">
        <v>82</v>
      </c>
      <c r="S1384" s="36"/>
      <c r="T1384" s="36" t="s">
        <v>2219</v>
      </c>
      <c r="U1384" s="36" t="s">
        <v>2138</v>
      </c>
      <c r="V1384" s="36">
        <v>8.0</v>
      </c>
      <c r="W1384" s="36"/>
      <c r="X1384" s="38">
        <v>1.0</v>
      </c>
      <c r="Y1384" s="38" t="s">
        <v>2474</v>
      </c>
      <c r="Z1384" s="38" t="s">
        <v>1401</v>
      </c>
      <c r="AA1384" s="38" t="s">
        <v>86</v>
      </c>
      <c r="AB1384" s="38">
        <v>24.172222</v>
      </c>
      <c r="AC1384" s="38">
        <v>48.06805556</v>
      </c>
      <c r="AD1384" s="38" t="s">
        <v>877</v>
      </c>
      <c r="AE1384" s="38"/>
      <c r="AF1384" s="38" t="s">
        <v>2475</v>
      </c>
      <c r="AG1384" s="38"/>
      <c r="AH1384" s="38">
        <v>3.67</v>
      </c>
      <c r="AI1384" s="50">
        <v>24.172222</v>
      </c>
      <c r="AJ1384" s="50">
        <v>48.06805556</v>
      </c>
      <c r="AK1384" s="41" t="s">
        <v>664</v>
      </c>
      <c r="AL1384" s="40" t="s">
        <v>664</v>
      </c>
      <c r="AM1384" s="49">
        <v>360.0</v>
      </c>
      <c r="AN1384" s="51">
        <v>360.0</v>
      </c>
      <c r="AO1384" s="42" t="s">
        <v>355</v>
      </c>
      <c r="AP1384" s="43" t="s">
        <v>355</v>
      </c>
      <c r="AQ1384" s="44" t="str">
        <f t="shared" si="159"/>
        <v>CRO</v>
      </c>
      <c r="AR1384" s="44">
        <f t="shared" si="144"/>
        <v>360</v>
      </c>
      <c r="AS1384" s="44" t="str">
        <f t="shared" si="157"/>
        <v>B</v>
      </c>
      <c r="AT1384" s="44" t="str">
        <f t="shared" si="114"/>
        <v>BW</v>
      </c>
      <c r="AU1384" s="44" t="str">
        <f t="shared" si="115"/>
        <v>BWh</v>
      </c>
      <c r="AV1384" s="38"/>
      <c r="AW1384" s="38"/>
      <c r="AX1384" s="38">
        <v>122.0</v>
      </c>
      <c r="AY1384" s="38" t="s">
        <v>2476</v>
      </c>
      <c r="AZ1384" s="29"/>
      <c r="BA1384" s="29">
        <v>1.0</v>
      </c>
      <c r="BB1384" s="29">
        <v>1.0</v>
      </c>
      <c r="BC1384" s="29"/>
      <c r="BD1384" s="29" t="s">
        <v>88</v>
      </c>
      <c r="BE1384" s="29"/>
      <c r="BF1384" s="29" t="s">
        <v>984</v>
      </c>
      <c r="BG1384" s="29" t="s">
        <v>572</v>
      </c>
      <c r="BH1384" s="29"/>
      <c r="BI1384" s="29"/>
      <c r="BJ1384" s="29"/>
      <c r="BK1384" s="29" t="s">
        <v>180</v>
      </c>
      <c r="BL1384" s="29" t="s">
        <v>180</v>
      </c>
      <c r="BM1384" s="45"/>
      <c r="BN1384" s="45"/>
      <c r="BO1384" s="46"/>
      <c r="BP1384" s="2"/>
      <c r="BQ1384" s="3"/>
    </row>
    <row r="1385" ht="15.75" customHeight="1">
      <c r="A1385" s="34">
        <v>1408.0</v>
      </c>
      <c r="B1385" s="34">
        <v>103241.0</v>
      </c>
      <c r="C1385" s="34" t="s">
        <v>832</v>
      </c>
      <c r="D1385" s="34" t="s">
        <v>2477</v>
      </c>
      <c r="E1385" s="34" t="s">
        <v>2478</v>
      </c>
      <c r="F1385" s="34">
        <v>2018.0</v>
      </c>
      <c r="G1385" s="34" t="s">
        <v>2479</v>
      </c>
      <c r="H1385" s="34" t="s">
        <v>2449</v>
      </c>
      <c r="I1385" s="34" t="s">
        <v>2480</v>
      </c>
      <c r="J1385" s="35"/>
      <c r="K1385" s="36"/>
      <c r="L1385" s="36"/>
      <c r="M1385" s="36"/>
      <c r="N1385" s="36"/>
      <c r="O1385" s="36"/>
      <c r="P1385" s="37">
        <v>7.0</v>
      </c>
      <c r="Q1385" s="36"/>
      <c r="R1385" s="36" t="s">
        <v>209</v>
      </c>
      <c r="S1385" s="36">
        <v>1000.0</v>
      </c>
      <c r="T1385" s="36" t="s">
        <v>193</v>
      </c>
      <c r="U1385" s="36" t="s">
        <v>244</v>
      </c>
      <c r="V1385" s="36"/>
      <c r="W1385" s="36" t="s">
        <v>1509</v>
      </c>
      <c r="X1385" s="38">
        <v>13.0</v>
      </c>
      <c r="Y1385" s="38" t="s">
        <v>540</v>
      </c>
      <c r="Z1385" s="38"/>
      <c r="AA1385" s="38"/>
      <c r="AB1385" s="38"/>
      <c r="AC1385" s="38"/>
      <c r="AD1385" s="39" t="s">
        <v>87</v>
      </c>
      <c r="AE1385" s="38"/>
      <c r="AF1385" s="38"/>
      <c r="AG1385" s="38"/>
      <c r="AH1385" s="38"/>
      <c r="AI1385" s="50"/>
      <c r="AJ1385" s="50"/>
      <c r="AK1385" s="41"/>
      <c r="AL1385" s="40"/>
      <c r="AM1385" s="49"/>
      <c r="AN1385" s="43"/>
      <c r="AO1385" s="42"/>
      <c r="AP1385" s="43"/>
      <c r="AQ1385" s="44" t="str">
        <f t="shared" si="159"/>
        <v/>
      </c>
      <c r="AR1385" s="44" t="str">
        <f t="shared" si="144"/>
        <v/>
      </c>
      <c r="AS1385" s="44"/>
      <c r="AT1385" s="44" t="str">
        <f t="shared" si="114"/>
        <v/>
      </c>
      <c r="AU1385" s="44" t="str">
        <f t="shared" si="115"/>
        <v/>
      </c>
      <c r="AV1385" s="38"/>
      <c r="AW1385" s="38"/>
      <c r="AX1385" s="38"/>
      <c r="AY1385" s="38"/>
      <c r="AZ1385" s="29">
        <v>1000.0</v>
      </c>
      <c r="BA1385" s="29">
        <v>1.0</v>
      </c>
      <c r="BB1385" s="29">
        <v>1.0</v>
      </c>
      <c r="BC1385" s="29"/>
      <c r="BD1385" s="29"/>
      <c r="BE1385" s="29"/>
      <c r="BF1385" s="29" t="s">
        <v>2481</v>
      </c>
      <c r="BG1385" s="29" t="s">
        <v>572</v>
      </c>
      <c r="BH1385" s="29" t="s">
        <v>92</v>
      </c>
      <c r="BI1385" s="29" t="s">
        <v>2482</v>
      </c>
      <c r="BJ1385" s="29"/>
      <c r="BK1385" s="29" t="s">
        <v>148</v>
      </c>
      <c r="BL1385" s="29" t="s">
        <v>148</v>
      </c>
      <c r="BM1385" s="45"/>
      <c r="BN1385" s="45">
        <v>1.0</v>
      </c>
      <c r="BO1385" s="46" t="s">
        <v>294</v>
      </c>
      <c r="BP1385" s="2"/>
      <c r="BQ1385" s="3"/>
    </row>
    <row r="1386" ht="15.75" customHeight="1">
      <c r="A1386" s="34">
        <v>1409.0</v>
      </c>
      <c r="B1386" s="34">
        <v>103241.0</v>
      </c>
      <c r="C1386" s="34" t="s">
        <v>832</v>
      </c>
      <c r="D1386" s="34" t="s">
        <v>2477</v>
      </c>
      <c r="E1386" s="34" t="s">
        <v>2478</v>
      </c>
      <c r="F1386" s="34">
        <v>2018.0</v>
      </c>
      <c r="G1386" s="34" t="s">
        <v>2479</v>
      </c>
      <c r="H1386" s="34" t="s">
        <v>2449</v>
      </c>
      <c r="I1386" s="34" t="s">
        <v>2480</v>
      </c>
      <c r="J1386" s="35"/>
      <c r="K1386" s="36"/>
      <c r="L1386" s="36"/>
      <c r="M1386" s="36"/>
      <c r="N1386" s="36"/>
      <c r="O1386" s="36"/>
      <c r="P1386" s="37">
        <v>44.0</v>
      </c>
      <c r="Q1386" s="36"/>
      <c r="R1386" s="36" t="s">
        <v>209</v>
      </c>
      <c r="S1386" s="36">
        <v>1000.0</v>
      </c>
      <c r="T1386" s="36" t="s">
        <v>193</v>
      </c>
      <c r="U1386" s="36" t="s">
        <v>244</v>
      </c>
      <c r="V1386" s="36"/>
      <c r="W1386" s="36" t="s">
        <v>1509</v>
      </c>
      <c r="X1386" s="38">
        <v>13.0</v>
      </c>
      <c r="Y1386" s="38" t="s">
        <v>540</v>
      </c>
      <c r="Z1386" s="38"/>
      <c r="AA1386" s="38"/>
      <c r="AB1386" s="38"/>
      <c r="AC1386" s="38"/>
      <c r="AD1386" s="39" t="s">
        <v>87</v>
      </c>
      <c r="AE1386" s="38"/>
      <c r="AF1386" s="38"/>
      <c r="AG1386" s="38"/>
      <c r="AH1386" s="38"/>
      <c r="AI1386" s="50"/>
      <c r="AJ1386" s="50"/>
      <c r="AK1386" s="41"/>
      <c r="AL1386" s="40"/>
      <c r="AM1386" s="49"/>
      <c r="AN1386" s="43"/>
      <c r="AO1386" s="42"/>
      <c r="AP1386" s="43"/>
      <c r="AQ1386" s="44" t="str">
        <f t="shared" si="159"/>
        <v/>
      </c>
      <c r="AR1386" s="44" t="str">
        <f t="shared" si="144"/>
        <v/>
      </c>
      <c r="AS1386" s="44"/>
      <c r="AT1386" s="44" t="str">
        <f t="shared" si="114"/>
        <v/>
      </c>
      <c r="AU1386" s="44" t="str">
        <f t="shared" si="115"/>
        <v/>
      </c>
      <c r="AV1386" s="38"/>
      <c r="AW1386" s="38"/>
      <c r="AX1386" s="38"/>
      <c r="AY1386" s="38"/>
      <c r="AZ1386" s="29">
        <v>1000.0</v>
      </c>
      <c r="BA1386" s="29">
        <v>1.0</v>
      </c>
      <c r="BB1386" s="29">
        <v>1.0</v>
      </c>
      <c r="BC1386" s="29"/>
      <c r="BD1386" s="29"/>
      <c r="BE1386" s="29"/>
      <c r="BF1386" s="29" t="s">
        <v>936</v>
      </c>
      <c r="BG1386" s="29" t="s">
        <v>572</v>
      </c>
      <c r="BH1386" s="29" t="s">
        <v>92</v>
      </c>
      <c r="BI1386" s="29" t="s">
        <v>2482</v>
      </c>
      <c r="BJ1386" s="29"/>
      <c r="BK1386" s="29" t="s">
        <v>148</v>
      </c>
      <c r="BL1386" s="29" t="s">
        <v>148</v>
      </c>
      <c r="BM1386" s="45"/>
      <c r="BN1386" s="45"/>
      <c r="BO1386" s="46"/>
      <c r="BP1386" s="2"/>
      <c r="BQ1386" s="3"/>
    </row>
    <row r="1387" ht="15.75" customHeight="1">
      <c r="A1387" s="34">
        <v>1410.0</v>
      </c>
      <c r="B1387" s="34">
        <v>103241.0</v>
      </c>
      <c r="C1387" s="34" t="s">
        <v>832</v>
      </c>
      <c r="D1387" s="34" t="s">
        <v>2477</v>
      </c>
      <c r="E1387" s="34" t="s">
        <v>2478</v>
      </c>
      <c r="F1387" s="34">
        <v>2018.0</v>
      </c>
      <c r="G1387" s="34" t="s">
        <v>2479</v>
      </c>
      <c r="H1387" s="34" t="s">
        <v>2449</v>
      </c>
      <c r="I1387" s="34" t="s">
        <v>2480</v>
      </c>
      <c r="J1387" s="35"/>
      <c r="K1387" s="36"/>
      <c r="L1387" s="36"/>
      <c r="M1387" s="36"/>
      <c r="N1387" s="36"/>
      <c r="O1387" s="36"/>
      <c r="P1387" s="37">
        <v>-25.0</v>
      </c>
      <c r="Q1387" s="36"/>
      <c r="R1387" s="36" t="s">
        <v>209</v>
      </c>
      <c r="S1387" s="36">
        <v>1000.0</v>
      </c>
      <c r="T1387" s="36" t="s">
        <v>193</v>
      </c>
      <c r="U1387" s="36" t="s">
        <v>244</v>
      </c>
      <c r="V1387" s="36"/>
      <c r="W1387" s="36" t="s">
        <v>1509</v>
      </c>
      <c r="X1387" s="38">
        <v>13.0</v>
      </c>
      <c r="Y1387" s="38" t="s">
        <v>540</v>
      </c>
      <c r="Z1387" s="38"/>
      <c r="AA1387" s="38"/>
      <c r="AB1387" s="38"/>
      <c r="AC1387" s="38"/>
      <c r="AD1387" s="39" t="s">
        <v>87</v>
      </c>
      <c r="AE1387" s="38"/>
      <c r="AF1387" s="38"/>
      <c r="AG1387" s="38"/>
      <c r="AH1387" s="38"/>
      <c r="AI1387" s="50"/>
      <c r="AJ1387" s="50"/>
      <c r="AK1387" s="41"/>
      <c r="AL1387" s="40"/>
      <c r="AM1387" s="49"/>
      <c r="AN1387" s="43"/>
      <c r="AO1387" s="42"/>
      <c r="AP1387" s="43"/>
      <c r="AQ1387" s="44" t="str">
        <f t="shared" si="159"/>
        <v/>
      </c>
      <c r="AR1387" s="44" t="str">
        <f t="shared" si="144"/>
        <v/>
      </c>
      <c r="AS1387" s="44"/>
      <c r="AT1387" s="44" t="str">
        <f t="shared" si="114"/>
        <v/>
      </c>
      <c r="AU1387" s="44" t="str">
        <f t="shared" si="115"/>
        <v/>
      </c>
      <c r="AV1387" s="38"/>
      <c r="AW1387" s="38"/>
      <c r="AX1387" s="38"/>
      <c r="AY1387" s="38"/>
      <c r="AZ1387" s="29">
        <v>1000.0</v>
      </c>
      <c r="BA1387" s="29">
        <v>1.0</v>
      </c>
      <c r="BB1387" s="29">
        <v>2.0</v>
      </c>
      <c r="BC1387" s="29" t="s">
        <v>2266</v>
      </c>
      <c r="BD1387" s="29" t="s">
        <v>88</v>
      </c>
      <c r="BE1387" s="29"/>
      <c r="BF1387" s="29" t="s">
        <v>219</v>
      </c>
      <c r="BG1387" s="29" t="s">
        <v>220</v>
      </c>
      <c r="BH1387" s="29" t="s">
        <v>92</v>
      </c>
      <c r="BI1387" s="29"/>
      <c r="BJ1387" s="29"/>
      <c r="BK1387" s="29" t="s">
        <v>148</v>
      </c>
      <c r="BL1387" s="29" t="s">
        <v>148</v>
      </c>
      <c r="BM1387" s="45"/>
      <c r="BN1387" s="45"/>
      <c r="BO1387" s="46"/>
      <c r="BP1387" s="2"/>
      <c r="BQ1387" s="3"/>
    </row>
    <row r="1388" ht="15.75" customHeight="1">
      <c r="A1388" s="34">
        <v>1411.0</v>
      </c>
      <c r="B1388" s="34">
        <v>103241.0</v>
      </c>
      <c r="C1388" s="34" t="s">
        <v>832</v>
      </c>
      <c r="D1388" s="34" t="s">
        <v>2477</v>
      </c>
      <c r="E1388" s="34" t="s">
        <v>2478</v>
      </c>
      <c r="F1388" s="34">
        <v>2018.0</v>
      </c>
      <c r="G1388" s="34" t="s">
        <v>2479</v>
      </c>
      <c r="H1388" s="34" t="s">
        <v>2449</v>
      </c>
      <c r="I1388" s="34" t="s">
        <v>2480</v>
      </c>
      <c r="J1388" s="35"/>
      <c r="K1388" s="36"/>
      <c r="L1388" s="36"/>
      <c r="M1388" s="36"/>
      <c r="N1388" s="36"/>
      <c r="O1388" s="36"/>
      <c r="P1388" s="37">
        <v>-6.0</v>
      </c>
      <c r="Q1388" s="36"/>
      <c r="R1388" s="36" t="s">
        <v>209</v>
      </c>
      <c r="S1388" s="36">
        <v>1000.0</v>
      </c>
      <c r="T1388" s="36" t="s">
        <v>193</v>
      </c>
      <c r="U1388" s="36" t="s">
        <v>507</v>
      </c>
      <c r="V1388" s="36"/>
      <c r="W1388" s="36" t="s">
        <v>2483</v>
      </c>
      <c r="X1388" s="38">
        <v>13.0</v>
      </c>
      <c r="Y1388" s="38" t="s">
        <v>540</v>
      </c>
      <c r="Z1388" s="38"/>
      <c r="AA1388" s="38"/>
      <c r="AB1388" s="38"/>
      <c r="AC1388" s="38"/>
      <c r="AD1388" s="39" t="s">
        <v>87</v>
      </c>
      <c r="AE1388" s="38"/>
      <c r="AF1388" s="38"/>
      <c r="AG1388" s="38"/>
      <c r="AH1388" s="38"/>
      <c r="AI1388" s="50"/>
      <c r="AJ1388" s="50"/>
      <c r="AK1388" s="41"/>
      <c r="AL1388" s="40"/>
      <c r="AM1388" s="49"/>
      <c r="AN1388" s="43"/>
      <c r="AO1388" s="42"/>
      <c r="AP1388" s="43"/>
      <c r="AQ1388" s="44" t="str">
        <f t="shared" si="159"/>
        <v/>
      </c>
      <c r="AR1388" s="44" t="str">
        <f t="shared" si="144"/>
        <v/>
      </c>
      <c r="AS1388" s="44"/>
      <c r="AT1388" s="44" t="str">
        <f t="shared" si="114"/>
        <v/>
      </c>
      <c r="AU1388" s="44" t="str">
        <f t="shared" si="115"/>
        <v/>
      </c>
      <c r="AV1388" s="38"/>
      <c r="AW1388" s="38"/>
      <c r="AX1388" s="38"/>
      <c r="AY1388" s="38"/>
      <c r="AZ1388" s="29">
        <v>1000.0</v>
      </c>
      <c r="BA1388" s="29">
        <v>1.0</v>
      </c>
      <c r="BB1388" s="29">
        <v>1.0</v>
      </c>
      <c r="BC1388" s="29"/>
      <c r="BD1388" s="29"/>
      <c r="BE1388" s="29"/>
      <c r="BF1388" s="29" t="s">
        <v>2481</v>
      </c>
      <c r="BG1388" s="29" t="s">
        <v>572</v>
      </c>
      <c r="BH1388" s="29" t="s">
        <v>92</v>
      </c>
      <c r="BI1388" s="29" t="s">
        <v>2482</v>
      </c>
      <c r="BJ1388" s="29"/>
      <c r="BK1388" s="29" t="s">
        <v>148</v>
      </c>
      <c r="BL1388" s="29" t="s">
        <v>148</v>
      </c>
      <c r="BM1388" s="45"/>
      <c r="BN1388" s="45"/>
      <c r="BO1388" s="46"/>
      <c r="BP1388" s="2"/>
      <c r="BQ1388" s="3"/>
    </row>
    <row r="1389" ht="15.75" customHeight="1">
      <c r="A1389" s="34">
        <v>1412.0</v>
      </c>
      <c r="B1389" s="34">
        <v>103241.0</v>
      </c>
      <c r="C1389" s="34" t="s">
        <v>832</v>
      </c>
      <c r="D1389" s="34" t="s">
        <v>2477</v>
      </c>
      <c r="E1389" s="34" t="s">
        <v>2478</v>
      </c>
      <c r="F1389" s="34">
        <v>2018.0</v>
      </c>
      <c r="G1389" s="34" t="s">
        <v>2479</v>
      </c>
      <c r="H1389" s="34" t="s">
        <v>2449</v>
      </c>
      <c r="I1389" s="34" t="s">
        <v>2480</v>
      </c>
      <c r="J1389" s="35"/>
      <c r="K1389" s="36"/>
      <c r="L1389" s="36"/>
      <c r="M1389" s="36"/>
      <c r="N1389" s="36"/>
      <c r="O1389" s="36"/>
      <c r="P1389" s="37">
        <v>29.0</v>
      </c>
      <c r="Q1389" s="36"/>
      <c r="R1389" s="36" t="s">
        <v>209</v>
      </c>
      <c r="S1389" s="36">
        <v>1000.0</v>
      </c>
      <c r="T1389" s="36" t="s">
        <v>193</v>
      </c>
      <c r="U1389" s="36" t="s">
        <v>507</v>
      </c>
      <c r="V1389" s="36"/>
      <c r="W1389" s="36" t="s">
        <v>2483</v>
      </c>
      <c r="X1389" s="38">
        <v>13.0</v>
      </c>
      <c r="Y1389" s="38" t="s">
        <v>540</v>
      </c>
      <c r="Z1389" s="38"/>
      <c r="AA1389" s="38"/>
      <c r="AB1389" s="38"/>
      <c r="AC1389" s="38"/>
      <c r="AD1389" s="39" t="s">
        <v>87</v>
      </c>
      <c r="AE1389" s="38"/>
      <c r="AF1389" s="38"/>
      <c r="AG1389" s="38"/>
      <c r="AH1389" s="38"/>
      <c r="AI1389" s="50"/>
      <c r="AJ1389" s="50"/>
      <c r="AK1389" s="41"/>
      <c r="AL1389" s="40"/>
      <c r="AM1389" s="49"/>
      <c r="AN1389" s="43"/>
      <c r="AO1389" s="42"/>
      <c r="AP1389" s="43"/>
      <c r="AQ1389" s="44" t="str">
        <f t="shared" si="159"/>
        <v/>
      </c>
      <c r="AR1389" s="44" t="str">
        <f t="shared" si="144"/>
        <v/>
      </c>
      <c r="AS1389" s="44"/>
      <c r="AT1389" s="44" t="str">
        <f t="shared" si="114"/>
        <v/>
      </c>
      <c r="AU1389" s="44" t="str">
        <f t="shared" si="115"/>
        <v/>
      </c>
      <c r="AV1389" s="38"/>
      <c r="AW1389" s="38"/>
      <c r="AX1389" s="38"/>
      <c r="AY1389" s="38"/>
      <c r="AZ1389" s="29">
        <v>1000.0</v>
      </c>
      <c r="BA1389" s="29">
        <v>1.0</v>
      </c>
      <c r="BB1389" s="29">
        <v>1.0</v>
      </c>
      <c r="BC1389" s="29"/>
      <c r="BD1389" s="29"/>
      <c r="BE1389" s="29"/>
      <c r="BF1389" s="29" t="s">
        <v>936</v>
      </c>
      <c r="BG1389" s="29" t="s">
        <v>572</v>
      </c>
      <c r="BH1389" s="29" t="s">
        <v>92</v>
      </c>
      <c r="BI1389" s="29" t="s">
        <v>2482</v>
      </c>
      <c r="BJ1389" s="29"/>
      <c r="BK1389" s="29" t="s">
        <v>148</v>
      </c>
      <c r="BL1389" s="29" t="s">
        <v>148</v>
      </c>
      <c r="BM1389" s="45"/>
      <c r="BN1389" s="45"/>
      <c r="BO1389" s="46"/>
      <c r="BP1389" s="2"/>
      <c r="BQ1389" s="3"/>
    </row>
    <row r="1390" ht="15.75" customHeight="1">
      <c r="A1390" s="34">
        <v>1413.0</v>
      </c>
      <c r="B1390" s="34">
        <v>103241.0</v>
      </c>
      <c r="C1390" s="34" t="s">
        <v>832</v>
      </c>
      <c r="D1390" s="34" t="s">
        <v>2477</v>
      </c>
      <c r="E1390" s="34" t="s">
        <v>2478</v>
      </c>
      <c r="F1390" s="34">
        <v>2018.0</v>
      </c>
      <c r="G1390" s="34" t="s">
        <v>2479</v>
      </c>
      <c r="H1390" s="34" t="s">
        <v>2449</v>
      </c>
      <c r="I1390" s="34" t="s">
        <v>2480</v>
      </c>
      <c r="J1390" s="35"/>
      <c r="K1390" s="36"/>
      <c r="L1390" s="36"/>
      <c r="M1390" s="36"/>
      <c r="N1390" s="36"/>
      <c r="O1390" s="36"/>
      <c r="P1390" s="37">
        <v>-32.0</v>
      </c>
      <c r="Q1390" s="36"/>
      <c r="R1390" s="36" t="s">
        <v>209</v>
      </c>
      <c r="S1390" s="36">
        <v>1000.0</v>
      </c>
      <c r="T1390" s="36" t="s">
        <v>193</v>
      </c>
      <c r="U1390" s="36" t="s">
        <v>507</v>
      </c>
      <c r="V1390" s="36"/>
      <c r="W1390" s="36" t="s">
        <v>2483</v>
      </c>
      <c r="X1390" s="38">
        <v>13.0</v>
      </c>
      <c r="Y1390" s="38" t="s">
        <v>540</v>
      </c>
      <c r="Z1390" s="38"/>
      <c r="AA1390" s="38"/>
      <c r="AB1390" s="38"/>
      <c r="AC1390" s="38"/>
      <c r="AD1390" s="39" t="s">
        <v>87</v>
      </c>
      <c r="AE1390" s="38"/>
      <c r="AF1390" s="38"/>
      <c r="AG1390" s="38"/>
      <c r="AH1390" s="38"/>
      <c r="AI1390" s="50"/>
      <c r="AJ1390" s="50"/>
      <c r="AK1390" s="41"/>
      <c r="AL1390" s="40"/>
      <c r="AM1390" s="49"/>
      <c r="AN1390" s="43"/>
      <c r="AO1390" s="42"/>
      <c r="AP1390" s="43"/>
      <c r="AQ1390" s="44" t="str">
        <f t="shared" si="159"/>
        <v/>
      </c>
      <c r="AR1390" s="44" t="str">
        <f t="shared" si="144"/>
        <v/>
      </c>
      <c r="AS1390" s="44"/>
      <c r="AT1390" s="44" t="str">
        <f t="shared" si="114"/>
        <v/>
      </c>
      <c r="AU1390" s="44" t="str">
        <f t="shared" si="115"/>
        <v/>
      </c>
      <c r="AV1390" s="38"/>
      <c r="AW1390" s="38"/>
      <c r="AX1390" s="38"/>
      <c r="AY1390" s="38"/>
      <c r="AZ1390" s="29">
        <v>1000.0</v>
      </c>
      <c r="BA1390" s="29">
        <v>1.0</v>
      </c>
      <c r="BB1390" s="29">
        <v>2.0</v>
      </c>
      <c r="BC1390" s="29" t="s">
        <v>2266</v>
      </c>
      <c r="BD1390" s="29" t="s">
        <v>88</v>
      </c>
      <c r="BE1390" s="29"/>
      <c r="BF1390" s="29" t="s">
        <v>219</v>
      </c>
      <c r="BG1390" s="29" t="s">
        <v>220</v>
      </c>
      <c r="BH1390" s="29" t="s">
        <v>92</v>
      </c>
      <c r="BI1390" s="29"/>
      <c r="BJ1390" s="29"/>
      <c r="BK1390" s="29" t="s">
        <v>148</v>
      </c>
      <c r="BL1390" s="29" t="s">
        <v>148</v>
      </c>
      <c r="BM1390" s="45"/>
      <c r="BN1390" s="45"/>
      <c r="BO1390" s="46"/>
      <c r="BP1390" s="2"/>
      <c r="BQ1390" s="3"/>
    </row>
    <row r="1391" ht="15.75" customHeight="1">
      <c r="A1391" s="34">
        <v>1414.0</v>
      </c>
      <c r="B1391" s="34">
        <v>103241.0</v>
      </c>
      <c r="C1391" s="34" t="s">
        <v>832</v>
      </c>
      <c r="D1391" s="34" t="s">
        <v>2477</v>
      </c>
      <c r="E1391" s="34" t="s">
        <v>2478</v>
      </c>
      <c r="F1391" s="34">
        <v>2018.0</v>
      </c>
      <c r="G1391" s="34" t="s">
        <v>2479</v>
      </c>
      <c r="H1391" s="34" t="s">
        <v>2449</v>
      </c>
      <c r="I1391" s="34" t="s">
        <v>2480</v>
      </c>
      <c r="J1391" s="35"/>
      <c r="K1391" s="36"/>
      <c r="L1391" s="36"/>
      <c r="M1391" s="36"/>
      <c r="N1391" s="36"/>
      <c r="O1391" s="36"/>
      <c r="P1391" s="37">
        <v>-11.0</v>
      </c>
      <c r="Q1391" s="36"/>
      <c r="R1391" s="36" t="s">
        <v>209</v>
      </c>
      <c r="S1391" s="36">
        <v>1000.0</v>
      </c>
      <c r="T1391" s="36" t="s">
        <v>317</v>
      </c>
      <c r="U1391" s="36" t="s">
        <v>246</v>
      </c>
      <c r="V1391" s="36"/>
      <c r="W1391" s="36" t="s">
        <v>1504</v>
      </c>
      <c r="X1391" s="38">
        <v>13.0</v>
      </c>
      <c r="Y1391" s="38" t="s">
        <v>540</v>
      </c>
      <c r="Z1391" s="38"/>
      <c r="AA1391" s="38"/>
      <c r="AB1391" s="38"/>
      <c r="AC1391" s="38"/>
      <c r="AD1391" s="39" t="s">
        <v>87</v>
      </c>
      <c r="AE1391" s="38"/>
      <c r="AF1391" s="38"/>
      <c r="AG1391" s="38"/>
      <c r="AH1391" s="38"/>
      <c r="AI1391" s="50"/>
      <c r="AJ1391" s="50"/>
      <c r="AK1391" s="41"/>
      <c r="AL1391" s="40"/>
      <c r="AM1391" s="49"/>
      <c r="AN1391" s="43"/>
      <c r="AO1391" s="42"/>
      <c r="AP1391" s="43"/>
      <c r="AQ1391" s="44" t="str">
        <f t="shared" si="159"/>
        <v/>
      </c>
      <c r="AR1391" s="44" t="str">
        <f t="shared" si="144"/>
        <v/>
      </c>
      <c r="AS1391" s="44"/>
      <c r="AT1391" s="44" t="str">
        <f t="shared" si="114"/>
        <v/>
      </c>
      <c r="AU1391" s="44" t="str">
        <f t="shared" si="115"/>
        <v/>
      </c>
      <c r="AV1391" s="38"/>
      <c r="AW1391" s="38"/>
      <c r="AX1391" s="38"/>
      <c r="AY1391" s="38"/>
      <c r="AZ1391" s="29">
        <v>1000.0</v>
      </c>
      <c r="BA1391" s="29">
        <v>1.0</v>
      </c>
      <c r="BB1391" s="29">
        <v>1.0</v>
      </c>
      <c r="BC1391" s="29"/>
      <c r="BD1391" s="29"/>
      <c r="BE1391" s="29"/>
      <c r="BF1391" s="29" t="s">
        <v>2481</v>
      </c>
      <c r="BG1391" s="29" t="s">
        <v>572</v>
      </c>
      <c r="BH1391" s="29" t="s">
        <v>92</v>
      </c>
      <c r="BI1391" s="29" t="s">
        <v>2482</v>
      </c>
      <c r="BJ1391" s="29"/>
      <c r="BK1391" s="29" t="s">
        <v>148</v>
      </c>
      <c r="BL1391" s="29" t="s">
        <v>148</v>
      </c>
      <c r="BM1391" s="45"/>
      <c r="BN1391" s="45"/>
      <c r="BO1391" s="46"/>
      <c r="BP1391" s="2"/>
      <c r="BQ1391" s="3"/>
    </row>
    <row r="1392" ht="15.75" customHeight="1">
      <c r="A1392" s="34">
        <v>1415.0</v>
      </c>
      <c r="B1392" s="34">
        <v>103241.0</v>
      </c>
      <c r="C1392" s="34" t="s">
        <v>832</v>
      </c>
      <c r="D1392" s="34" t="s">
        <v>2477</v>
      </c>
      <c r="E1392" s="34" t="s">
        <v>2478</v>
      </c>
      <c r="F1392" s="34">
        <v>2018.0</v>
      </c>
      <c r="G1392" s="34" t="s">
        <v>2479</v>
      </c>
      <c r="H1392" s="34" t="s">
        <v>2449</v>
      </c>
      <c r="I1392" s="34" t="s">
        <v>2480</v>
      </c>
      <c r="J1392" s="35"/>
      <c r="K1392" s="36"/>
      <c r="L1392" s="36"/>
      <c r="M1392" s="36"/>
      <c r="N1392" s="36"/>
      <c r="O1392" s="36"/>
      <c r="P1392" s="37">
        <v>13.0</v>
      </c>
      <c r="Q1392" s="36"/>
      <c r="R1392" s="36" t="s">
        <v>209</v>
      </c>
      <c r="S1392" s="36">
        <v>1000.0</v>
      </c>
      <c r="T1392" s="36" t="s">
        <v>317</v>
      </c>
      <c r="U1392" s="36" t="s">
        <v>246</v>
      </c>
      <c r="V1392" s="36"/>
      <c r="W1392" s="36" t="s">
        <v>1504</v>
      </c>
      <c r="X1392" s="38">
        <v>13.0</v>
      </c>
      <c r="Y1392" s="38" t="s">
        <v>540</v>
      </c>
      <c r="Z1392" s="38"/>
      <c r="AA1392" s="38"/>
      <c r="AB1392" s="38"/>
      <c r="AC1392" s="38"/>
      <c r="AD1392" s="39" t="s">
        <v>87</v>
      </c>
      <c r="AE1392" s="38"/>
      <c r="AF1392" s="38"/>
      <c r="AG1392" s="38"/>
      <c r="AH1392" s="38"/>
      <c r="AI1392" s="50"/>
      <c r="AJ1392" s="50"/>
      <c r="AK1392" s="41"/>
      <c r="AL1392" s="40"/>
      <c r="AM1392" s="49"/>
      <c r="AN1392" s="43"/>
      <c r="AO1392" s="42"/>
      <c r="AP1392" s="43"/>
      <c r="AQ1392" s="44" t="str">
        <f t="shared" si="159"/>
        <v/>
      </c>
      <c r="AR1392" s="44" t="str">
        <f t="shared" si="144"/>
        <v/>
      </c>
      <c r="AS1392" s="44"/>
      <c r="AT1392" s="44" t="str">
        <f t="shared" si="114"/>
        <v/>
      </c>
      <c r="AU1392" s="44" t="str">
        <f t="shared" si="115"/>
        <v/>
      </c>
      <c r="AV1392" s="38"/>
      <c r="AW1392" s="38"/>
      <c r="AX1392" s="38"/>
      <c r="AY1392" s="38"/>
      <c r="AZ1392" s="29">
        <v>1000.0</v>
      </c>
      <c r="BA1392" s="29">
        <v>1.0</v>
      </c>
      <c r="BB1392" s="29">
        <v>1.0</v>
      </c>
      <c r="BC1392" s="29"/>
      <c r="BD1392" s="29"/>
      <c r="BE1392" s="29"/>
      <c r="BF1392" s="29" t="s">
        <v>936</v>
      </c>
      <c r="BG1392" s="29" t="s">
        <v>572</v>
      </c>
      <c r="BH1392" s="29" t="s">
        <v>92</v>
      </c>
      <c r="BI1392" s="29" t="s">
        <v>2482</v>
      </c>
      <c r="BJ1392" s="29"/>
      <c r="BK1392" s="29" t="s">
        <v>148</v>
      </c>
      <c r="BL1392" s="29" t="s">
        <v>148</v>
      </c>
      <c r="BM1392" s="45"/>
      <c r="BN1392" s="45"/>
      <c r="BO1392" s="46"/>
      <c r="BP1392" s="2"/>
      <c r="BQ1392" s="3"/>
    </row>
    <row r="1393" ht="15.75" customHeight="1">
      <c r="A1393" s="34">
        <v>1416.0</v>
      </c>
      <c r="B1393" s="34">
        <v>103241.0</v>
      </c>
      <c r="C1393" s="34" t="s">
        <v>832</v>
      </c>
      <c r="D1393" s="34" t="s">
        <v>2477</v>
      </c>
      <c r="E1393" s="34" t="s">
        <v>2478</v>
      </c>
      <c r="F1393" s="34">
        <v>2018.0</v>
      </c>
      <c r="G1393" s="34" t="s">
        <v>2479</v>
      </c>
      <c r="H1393" s="34" t="s">
        <v>2449</v>
      </c>
      <c r="I1393" s="34" t="s">
        <v>2480</v>
      </c>
      <c r="J1393" s="35"/>
      <c r="K1393" s="36"/>
      <c r="L1393" s="36"/>
      <c r="M1393" s="36"/>
      <c r="N1393" s="36"/>
      <c r="O1393" s="36"/>
      <c r="P1393" s="37">
        <v>-25.0</v>
      </c>
      <c r="Q1393" s="36"/>
      <c r="R1393" s="36" t="s">
        <v>209</v>
      </c>
      <c r="S1393" s="36">
        <v>1000.0</v>
      </c>
      <c r="T1393" s="36" t="s">
        <v>317</v>
      </c>
      <c r="U1393" s="36" t="s">
        <v>246</v>
      </c>
      <c r="V1393" s="36"/>
      <c r="W1393" s="36" t="s">
        <v>1504</v>
      </c>
      <c r="X1393" s="38">
        <v>13.0</v>
      </c>
      <c r="Y1393" s="38" t="s">
        <v>540</v>
      </c>
      <c r="Z1393" s="38"/>
      <c r="AA1393" s="38"/>
      <c r="AB1393" s="38"/>
      <c r="AC1393" s="38"/>
      <c r="AD1393" s="39" t="s">
        <v>87</v>
      </c>
      <c r="AE1393" s="38"/>
      <c r="AF1393" s="38"/>
      <c r="AG1393" s="38"/>
      <c r="AH1393" s="38"/>
      <c r="AI1393" s="50"/>
      <c r="AJ1393" s="50"/>
      <c r="AK1393" s="41"/>
      <c r="AL1393" s="40"/>
      <c r="AM1393" s="49"/>
      <c r="AN1393" s="43"/>
      <c r="AO1393" s="42"/>
      <c r="AP1393" s="43"/>
      <c r="AQ1393" s="44" t="str">
        <f t="shared" si="159"/>
        <v/>
      </c>
      <c r="AR1393" s="44" t="str">
        <f t="shared" si="144"/>
        <v/>
      </c>
      <c r="AS1393" s="44"/>
      <c r="AT1393" s="44" t="str">
        <f t="shared" si="114"/>
        <v/>
      </c>
      <c r="AU1393" s="44" t="str">
        <f t="shared" si="115"/>
        <v/>
      </c>
      <c r="AV1393" s="38"/>
      <c r="AW1393" s="38"/>
      <c r="AX1393" s="38"/>
      <c r="AY1393" s="38"/>
      <c r="AZ1393" s="29">
        <v>1000.0</v>
      </c>
      <c r="BA1393" s="29">
        <v>1.0</v>
      </c>
      <c r="BB1393" s="29">
        <v>2.0</v>
      </c>
      <c r="BC1393" s="29" t="s">
        <v>2266</v>
      </c>
      <c r="BD1393" s="29" t="s">
        <v>88</v>
      </c>
      <c r="BE1393" s="29"/>
      <c r="BF1393" s="29" t="s">
        <v>219</v>
      </c>
      <c r="BG1393" s="29" t="s">
        <v>220</v>
      </c>
      <c r="BH1393" s="29" t="s">
        <v>92</v>
      </c>
      <c r="BI1393" s="29"/>
      <c r="BJ1393" s="29"/>
      <c r="BK1393" s="29" t="s">
        <v>148</v>
      </c>
      <c r="BL1393" s="29" t="s">
        <v>148</v>
      </c>
      <c r="BM1393" s="45"/>
      <c r="BN1393" s="45"/>
      <c r="BO1393" s="46"/>
      <c r="BP1393" s="2"/>
      <c r="BQ1393" s="3"/>
    </row>
    <row r="1394" ht="15.75" customHeight="1">
      <c r="A1394" s="34">
        <v>1417.0</v>
      </c>
      <c r="B1394" s="34">
        <v>103241.0</v>
      </c>
      <c r="C1394" s="34" t="s">
        <v>832</v>
      </c>
      <c r="D1394" s="34" t="s">
        <v>2477</v>
      </c>
      <c r="E1394" s="34" t="s">
        <v>2478</v>
      </c>
      <c r="F1394" s="34">
        <v>2018.0</v>
      </c>
      <c r="G1394" s="34" t="s">
        <v>2479</v>
      </c>
      <c r="H1394" s="34" t="s">
        <v>2449</v>
      </c>
      <c r="I1394" s="34" t="s">
        <v>2480</v>
      </c>
      <c r="J1394" s="35"/>
      <c r="K1394" s="36"/>
      <c r="L1394" s="36"/>
      <c r="M1394" s="36"/>
      <c r="N1394" s="36"/>
      <c r="O1394" s="36"/>
      <c r="P1394" s="37">
        <v>-19.0</v>
      </c>
      <c r="Q1394" s="36"/>
      <c r="R1394" s="36" t="s">
        <v>209</v>
      </c>
      <c r="S1394" s="36">
        <v>1000.0</v>
      </c>
      <c r="T1394" s="36"/>
      <c r="U1394" s="36"/>
      <c r="V1394" s="36">
        <v>80.0</v>
      </c>
      <c r="W1394" s="36"/>
      <c r="X1394" s="38">
        <v>1.0</v>
      </c>
      <c r="Y1394" s="38" t="s">
        <v>1314</v>
      </c>
      <c r="Z1394" s="38" t="s">
        <v>1315</v>
      </c>
      <c r="AA1394" s="38" t="s">
        <v>197</v>
      </c>
      <c r="AB1394" s="38">
        <v>44.4523</v>
      </c>
      <c r="AC1394" s="38">
        <v>-121.557</v>
      </c>
      <c r="AD1394" s="38" t="s">
        <v>87</v>
      </c>
      <c r="AE1394" s="38">
        <v>1253.0</v>
      </c>
      <c r="AF1394" s="38"/>
      <c r="AG1394" s="38" t="s">
        <v>445</v>
      </c>
      <c r="AH1394" s="38"/>
      <c r="AI1394" s="50">
        <v>44.4523</v>
      </c>
      <c r="AJ1394" s="50">
        <v>-121.557</v>
      </c>
      <c r="AK1394" s="41" t="s">
        <v>197</v>
      </c>
      <c r="AL1394" s="40" t="s">
        <v>197</v>
      </c>
      <c r="AM1394" s="49">
        <v>1259.0</v>
      </c>
      <c r="AN1394" s="51">
        <v>1259.0</v>
      </c>
      <c r="AO1394" s="42" t="s">
        <v>321</v>
      </c>
      <c r="AP1394" s="43" t="s">
        <v>321</v>
      </c>
      <c r="AQ1394" s="44" t="str">
        <f t="shared" si="159"/>
        <v>ENF</v>
      </c>
      <c r="AR1394" s="44">
        <f t="shared" si="144"/>
        <v>1259</v>
      </c>
      <c r="AS1394" s="44" t="str">
        <f t="shared" ref="AS1394:AS1432" si="160">LEFT(AO1394,1)</f>
        <v>D</v>
      </c>
      <c r="AT1394" s="44" t="str">
        <f t="shared" si="114"/>
        <v>Ds</v>
      </c>
      <c r="AU1394" s="44" t="str">
        <f t="shared" si="115"/>
        <v>Dsb</v>
      </c>
      <c r="AV1394" s="38"/>
      <c r="AW1394" s="38"/>
      <c r="AX1394" s="38"/>
      <c r="AY1394" s="38"/>
      <c r="AZ1394" s="29">
        <v>1000.0</v>
      </c>
      <c r="BA1394" s="29">
        <v>1.0</v>
      </c>
      <c r="BB1394" s="29">
        <v>1.0</v>
      </c>
      <c r="BC1394" s="29"/>
      <c r="BD1394" s="29"/>
      <c r="BE1394" s="29"/>
      <c r="BF1394" s="29" t="s">
        <v>2481</v>
      </c>
      <c r="BG1394" s="29" t="s">
        <v>572</v>
      </c>
      <c r="BH1394" s="29" t="s">
        <v>92</v>
      </c>
      <c r="BI1394" s="29" t="s">
        <v>2482</v>
      </c>
      <c r="BJ1394" s="29"/>
      <c r="BK1394" s="29" t="s">
        <v>148</v>
      </c>
      <c r="BL1394" s="29" t="s">
        <v>148</v>
      </c>
      <c r="BM1394" s="45"/>
      <c r="BN1394" s="45"/>
      <c r="BO1394" s="46"/>
      <c r="BP1394" s="2"/>
      <c r="BQ1394" s="3"/>
    </row>
    <row r="1395" ht="15.75" customHeight="1">
      <c r="A1395" s="34">
        <v>1418.0</v>
      </c>
      <c r="B1395" s="34">
        <v>103241.0</v>
      </c>
      <c r="C1395" s="34" t="s">
        <v>832</v>
      </c>
      <c r="D1395" s="34" t="s">
        <v>2477</v>
      </c>
      <c r="E1395" s="34" t="s">
        <v>2478</v>
      </c>
      <c r="F1395" s="34">
        <v>2018.0</v>
      </c>
      <c r="G1395" s="34" t="s">
        <v>2479</v>
      </c>
      <c r="H1395" s="34" t="s">
        <v>2449</v>
      </c>
      <c r="I1395" s="34" t="s">
        <v>2480</v>
      </c>
      <c r="J1395" s="35"/>
      <c r="K1395" s="36"/>
      <c r="L1395" s="36"/>
      <c r="M1395" s="36"/>
      <c r="N1395" s="36"/>
      <c r="O1395" s="36"/>
      <c r="P1395" s="37">
        <v>80.0</v>
      </c>
      <c r="Q1395" s="36"/>
      <c r="R1395" s="36" t="s">
        <v>209</v>
      </c>
      <c r="S1395" s="36">
        <v>1000.0</v>
      </c>
      <c r="T1395" s="36"/>
      <c r="U1395" s="36"/>
      <c r="V1395" s="36">
        <v>109.0</v>
      </c>
      <c r="W1395" s="36"/>
      <c r="X1395" s="38">
        <v>1.0</v>
      </c>
      <c r="Y1395" s="38" t="s">
        <v>309</v>
      </c>
      <c r="Z1395" s="38" t="s">
        <v>310</v>
      </c>
      <c r="AA1395" s="38" t="s">
        <v>200</v>
      </c>
      <c r="AB1395" s="38">
        <v>38.4316</v>
      </c>
      <c r="AC1395" s="38">
        <v>-120.966</v>
      </c>
      <c r="AD1395" s="38" t="s">
        <v>87</v>
      </c>
      <c r="AE1395" s="38">
        <v>177.0</v>
      </c>
      <c r="AF1395" s="38"/>
      <c r="AG1395" s="38" t="s">
        <v>175</v>
      </c>
      <c r="AH1395" s="38"/>
      <c r="AI1395" s="50">
        <v>38.4316</v>
      </c>
      <c r="AJ1395" s="50">
        <v>-120.966</v>
      </c>
      <c r="AK1395" s="41" t="s">
        <v>313</v>
      </c>
      <c r="AL1395" s="40" t="s">
        <v>313</v>
      </c>
      <c r="AM1395" s="49">
        <v>170.0</v>
      </c>
      <c r="AN1395" s="51">
        <v>170.0</v>
      </c>
      <c r="AO1395" s="42" t="s">
        <v>175</v>
      </c>
      <c r="AP1395" s="43" t="s">
        <v>175</v>
      </c>
      <c r="AQ1395" s="44" t="str">
        <f t="shared" si="159"/>
        <v>WSA</v>
      </c>
      <c r="AR1395" s="44">
        <f t="shared" si="144"/>
        <v>170</v>
      </c>
      <c r="AS1395" s="44" t="str">
        <f t="shared" si="160"/>
        <v>C</v>
      </c>
      <c r="AT1395" s="44" t="str">
        <f t="shared" si="114"/>
        <v>Cs</v>
      </c>
      <c r="AU1395" s="44" t="str">
        <f t="shared" si="115"/>
        <v>Csa</v>
      </c>
      <c r="AV1395" s="38"/>
      <c r="AW1395" s="38"/>
      <c r="AX1395" s="38"/>
      <c r="AY1395" s="38"/>
      <c r="AZ1395" s="29">
        <v>1000.0</v>
      </c>
      <c r="BA1395" s="29">
        <v>1.0</v>
      </c>
      <c r="BB1395" s="29">
        <v>1.0</v>
      </c>
      <c r="BC1395" s="29"/>
      <c r="BD1395" s="29"/>
      <c r="BE1395" s="29"/>
      <c r="BF1395" s="29" t="s">
        <v>2481</v>
      </c>
      <c r="BG1395" s="29" t="s">
        <v>572</v>
      </c>
      <c r="BH1395" s="29" t="s">
        <v>92</v>
      </c>
      <c r="BI1395" s="29" t="s">
        <v>2482</v>
      </c>
      <c r="BJ1395" s="29"/>
      <c r="BK1395" s="29" t="s">
        <v>148</v>
      </c>
      <c r="BL1395" s="29" t="s">
        <v>148</v>
      </c>
      <c r="BM1395" s="45"/>
      <c r="BN1395" s="45"/>
      <c r="BO1395" s="46"/>
      <c r="BP1395" s="2"/>
      <c r="BQ1395" s="3"/>
    </row>
    <row r="1396" ht="15.75" customHeight="1">
      <c r="A1396" s="34">
        <v>1419.0</v>
      </c>
      <c r="B1396" s="34">
        <v>103241.0</v>
      </c>
      <c r="C1396" s="34" t="s">
        <v>832</v>
      </c>
      <c r="D1396" s="34" t="s">
        <v>2477</v>
      </c>
      <c r="E1396" s="34" t="s">
        <v>2478</v>
      </c>
      <c r="F1396" s="34">
        <v>2018.0</v>
      </c>
      <c r="G1396" s="34" t="s">
        <v>2479</v>
      </c>
      <c r="H1396" s="34" t="s">
        <v>2449</v>
      </c>
      <c r="I1396" s="34" t="s">
        <v>2480</v>
      </c>
      <c r="J1396" s="35"/>
      <c r="K1396" s="36"/>
      <c r="L1396" s="36"/>
      <c r="M1396" s="36"/>
      <c r="N1396" s="36"/>
      <c r="O1396" s="36"/>
      <c r="P1396" s="37">
        <v>2.0</v>
      </c>
      <c r="Q1396" s="36"/>
      <c r="R1396" s="36" t="s">
        <v>209</v>
      </c>
      <c r="S1396" s="36">
        <v>1000.0</v>
      </c>
      <c r="T1396" s="36"/>
      <c r="U1396" s="36"/>
      <c r="V1396" s="36">
        <v>82.0</v>
      </c>
      <c r="W1396" s="36"/>
      <c r="X1396" s="38">
        <v>1.0</v>
      </c>
      <c r="Y1396" s="38" t="s">
        <v>300</v>
      </c>
      <c r="Z1396" s="38" t="s">
        <v>301</v>
      </c>
      <c r="AA1396" s="38" t="s">
        <v>200</v>
      </c>
      <c r="AB1396" s="38">
        <v>31.82</v>
      </c>
      <c r="AC1396" s="38">
        <v>-110.87</v>
      </c>
      <c r="AD1396" s="38" t="s">
        <v>87</v>
      </c>
      <c r="AE1396" s="38">
        <v>1120.0</v>
      </c>
      <c r="AF1396" s="38"/>
      <c r="AG1396" s="38" t="s">
        <v>303</v>
      </c>
      <c r="AH1396" s="38"/>
      <c r="AI1396" s="50">
        <v>31.8214</v>
      </c>
      <c r="AJ1396" s="50">
        <v>-110.867</v>
      </c>
      <c r="AK1396" s="41" t="s">
        <v>291</v>
      </c>
      <c r="AL1396" s="40" t="s">
        <v>291</v>
      </c>
      <c r="AM1396" s="49">
        <v>1118.0</v>
      </c>
      <c r="AN1396" s="51">
        <v>1118.0</v>
      </c>
      <c r="AO1396" s="42" t="s">
        <v>304</v>
      </c>
      <c r="AP1396" s="43" t="s">
        <v>304</v>
      </c>
      <c r="AQ1396" s="44" t="str">
        <f t="shared" si="159"/>
        <v>WSA</v>
      </c>
      <c r="AR1396" s="44">
        <f t="shared" si="144"/>
        <v>1118</v>
      </c>
      <c r="AS1396" s="44" t="str">
        <f t="shared" si="160"/>
        <v>B</v>
      </c>
      <c r="AT1396" s="44" t="str">
        <f t="shared" si="114"/>
        <v>BS</v>
      </c>
      <c r="AU1396" s="44" t="str">
        <f t="shared" si="115"/>
        <v>BSh</v>
      </c>
      <c r="AV1396" s="38"/>
      <c r="AW1396" s="38"/>
      <c r="AX1396" s="38"/>
      <c r="AY1396" s="38"/>
      <c r="AZ1396" s="29">
        <v>1000.0</v>
      </c>
      <c r="BA1396" s="29">
        <v>1.0</v>
      </c>
      <c r="BB1396" s="29">
        <v>1.0</v>
      </c>
      <c r="BC1396" s="29"/>
      <c r="BD1396" s="29"/>
      <c r="BE1396" s="29"/>
      <c r="BF1396" s="29" t="s">
        <v>2481</v>
      </c>
      <c r="BG1396" s="29" t="s">
        <v>572</v>
      </c>
      <c r="BH1396" s="29" t="s">
        <v>92</v>
      </c>
      <c r="BI1396" s="29" t="s">
        <v>2482</v>
      </c>
      <c r="BJ1396" s="29"/>
      <c r="BK1396" s="29" t="s">
        <v>148</v>
      </c>
      <c r="BL1396" s="29" t="s">
        <v>148</v>
      </c>
      <c r="BM1396" s="45"/>
      <c r="BN1396" s="45"/>
      <c r="BO1396" s="46"/>
      <c r="BP1396" s="2"/>
      <c r="BQ1396" s="3"/>
    </row>
    <row r="1397" ht="15.75" customHeight="1">
      <c r="A1397" s="34">
        <v>1420.0</v>
      </c>
      <c r="B1397" s="34">
        <v>103241.0</v>
      </c>
      <c r="C1397" s="34" t="s">
        <v>832</v>
      </c>
      <c r="D1397" s="34" t="s">
        <v>2477</v>
      </c>
      <c r="E1397" s="34" t="s">
        <v>2478</v>
      </c>
      <c r="F1397" s="34">
        <v>2018.0</v>
      </c>
      <c r="G1397" s="34" t="s">
        <v>2479</v>
      </c>
      <c r="H1397" s="34" t="s">
        <v>2449</v>
      </c>
      <c r="I1397" s="34" t="s">
        <v>2480</v>
      </c>
      <c r="J1397" s="35"/>
      <c r="K1397" s="36"/>
      <c r="L1397" s="36"/>
      <c r="M1397" s="36"/>
      <c r="N1397" s="36"/>
      <c r="O1397" s="36"/>
      <c r="P1397" s="37">
        <v>2.0</v>
      </c>
      <c r="Q1397" s="36"/>
      <c r="R1397" s="36" t="s">
        <v>209</v>
      </c>
      <c r="S1397" s="36">
        <v>1000.0</v>
      </c>
      <c r="T1397" s="36"/>
      <c r="U1397" s="36"/>
      <c r="V1397" s="36">
        <v>85.0</v>
      </c>
      <c r="W1397" s="36"/>
      <c r="X1397" s="38">
        <v>1.0</v>
      </c>
      <c r="Y1397" s="38" t="s">
        <v>2484</v>
      </c>
      <c r="Z1397" s="38" t="s">
        <v>2485</v>
      </c>
      <c r="AA1397" s="38" t="s">
        <v>288</v>
      </c>
      <c r="AB1397" s="38">
        <v>31.7894</v>
      </c>
      <c r="AC1397" s="38">
        <v>-110.828</v>
      </c>
      <c r="AD1397" s="38" t="s">
        <v>87</v>
      </c>
      <c r="AE1397" s="38">
        <v>1291.0</v>
      </c>
      <c r="AF1397" s="38"/>
      <c r="AG1397" s="38" t="s">
        <v>303</v>
      </c>
      <c r="AH1397" s="38"/>
      <c r="AI1397" s="50">
        <v>31.7894</v>
      </c>
      <c r="AJ1397" s="50">
        <v>-110.828</v>
      </c>
      <c r="AK1397" s="41" t="s">
        <v>288</v>
      </c>
      <c r="AL1397" s="40" t="s">
        <v>288</v>
      </c>
      <c r="AM1397" s="49">
        <v>1293.0</v>
      </c>
      <c r="AN1397" s="51">
        <v>1293.0</v>
      </c>
      <c r="AO1397" s="42" t="s">
        <v>304</v>
      </c>
      <c r="AP1397" s="43" t="s">
        <v>293</v>
      </c>
      <c r="AQ1397" s="44" t="str">
        <f t="shared" si="159"/>
        <v>GRA</v>
      </c>
      <c r="AR1397" s="44">
        <f t="shared" si="144"/>
        <v>1293</v>
      </c>
      <c r="AS1397" s="44" t="str">
        <f t="shared" si="160"/>
        <v>B</v>
      </c>
      <c r="AT1397" s="44" t="str">
        <f t="shared" si="114"/>
        <v>BS</v>
      </c>
      <c r="AU1397" s="44" t="str">
        <f t="shared" si="115"/>
        <v>BSk</v>
      </c>
      <c r="AV1397" s="38"/>
      <c r="AW1397" s="38"/>
      <c r="AX1397" s="38"/>
      <c r="AY1397" s="38"/>
      <c r="AZ1397" s="29">
        <v>1000.0</v>
      </c>
      <c r="BA1397" s="29">
        <v>1.0</v>
      </c>
      <c r="BB1397" s="29">
        <v>1.0</v>
      </c>
      <c r="BC1397" s="29"/>
      <c r="BD1397" s="29"/>
      <c r="BE1397" s="29"/>
      <c r="BF1397" s="29" t="s">
        <v>2481</v>
      </c>
      <c r="BG1397" s="29" t="s">
        <v>572</v>
      </c>
      <c r="BH1397" s="29" t="s">
        <v>92</v>
      </c>
      <c r="BI1397" s="29" t="s">
        <v>2482</v>
      </c>
      <c r="BJ1397" s="29"/>
      <c r="BK1397" s="29" t="s">
        <v>148</v>
      </c>
      <c r="BL1397" s="29" t="s">
        <v>148</v>
      </c>
      <c r="BM1397" s="45"/>
      <c r="BN1397" s="45"/>
      <c r="BO1397" s="46"/>
      <c r="BP1397" s="2"/>
      <c r="BQ1397" s="3"/>
    </row>
    <row r="1398" ht="15.75" customHeight="1">
      <c r="A1398" s="34">
        <v>1421.0</v>
      </c>
      <c r="B1398" s="34">
        <v>103241.0</v>
      </c>
      <c r="C1398" s="34" t="s">
        <v>832</v>
      </c>
      <c r="D1398" s="34" t="s">
        <v>2477</v>
      </c>
      <c r="E1398" s="34" t="s">
        <v>2478</v>
      </c>
      <c r="F1398" s="34">
        <v>2018.0</v>
      </c>
      <c r="G1398" s="34" t="s">
        <v>2479</v>
      </c>
      <c r="H1398" s="34" t="s">
        <v>2449</v>
      </c>
      <c r="I1398" s="34" t="s">
        <v>2480</v>
      </c>
      <c r="J1398" s="35"/>
      <c r="K1398" s="36"/>
      <c r="L1398" s="36"/>
      <c r="M1398" s="36"/>
      <c r="N1398" s="36"/>
      <c r="O1398" s="36"/>
      <c r="P1398" s="37">
        <v>16.0</v>
      </c>
      <c r="Q1398" s="36"/>
      <c r="R1398" s="36" t="s">
        <v>209</v>
      </c>
      <c r="S1398" s="36">
        <v>1000.0</v>
      </c>
      <c r="T1398" s="36"/>
      <c r="U1398" s="36"/>
      <c r="V1398" s="36">
        <v>128.0</v>
      </c>
      <c r="W1398" s="36"/>
      <c r="X1398" s="38">
        <v>1.0</v>
      </c>
      <c r="Y1398" s="38" t="s">
        <v>314</v>
      </c>
      <c r="Z1398" s="38" t="s">
        <v>315</v>
      </c>
      <c r="AA1398" s="38" t="s">
        <v>288</v>
      </c>
      <c r="AB1398" s="38">
        <v>31.7365</v>
      </c>
      <c r="AC1398" s="38">
        <v>-109.942</v>
      </c>
      <c r="AD1398" s="38" t="s">
        <v>87</v>
      </c>
      <c r="AE1398" s="38">
        <v>1531.0</v>
      </c>
      <c r="AF1398" s="38"/>
      <c r="AG1398" s="38" t="s">
        <v>303</v>
      </c>
      <c r="AH1398" s="38"/>
      <c r="AI1398" s="50">
        <v>31.7365</v>
      </c>
      <c r="AJ1398" s="50">
        <v>-109.942</v>
      </c>
      <c r="AK1398" s="41" t="s">
        <v>291</v>
      </c>
      <c r="AL1398" s="40" t="s">
        <v>291</v>
      </c>
      <c r="AM1398" s="49">
        <v>1527.0</v>
      </c>
      <c r="AN1398" s="51">
        <v>1527.0</v>
      </c>
      <c r="AO1398" s="42" t="s">
        <v>293</v>
      </c>
      <c r="AP1398" s="43" t="s">
        <v>293</v>
      </c>
      <c r="AQ1398" s="44" t="str">
        <f t="shared" si="159"/>
        <v>GRA</v>
      </c>
      <c r="AR1398" s="44">
        <f t="shared" si="144"/>
        <v>1527</v>
      </c>
      <c r="AS1398" s="44" t="str">
        <f t="shared" si="160"/>
        <v>B</v>
      </c>
      <c r="AT1398" s="44" t="str">
        <f t="shared" si="114"/>
        <v>BS</v>
      </c>
      <c r="AU1398" s="44" t="str">
        <f t="shared" si="115"/>
        <v>BSk</v>
      </c>
      <c r="AV1398" s="38"/>
      <c r="AW1398" s="38"/>
      <c r="AX1398" s="38"/>
      <c r="AY1398" s="38"/>
      <c r="AZ1398" s="29">
        <v>1000.0</v>
      </c>
      <c r="BA1398" s="29">
        <v>1.0</v>
      </c>
      <c r="BB1398" s="29">
        <v>1.0</v>
      </c>
      <c r="BC1398" s="29"/>
      <c r="BD1398" s="29"/>
      <c r="BE1398" s="29"/>
      <c r="BF1398" s="29" t="s">
        <v>2481</v>
      </c>
      <c r="BG1398" s="29" t="s">
        <v>572</v>
      </c>
      <c r="BH1398" s="29" t="s">
        <v>92</v>
      </c>
      <c r="BI1398" s="29" t="s">
        <v>2482</v>
      </c>
      <c r="BJ1398" s="29"/>
      <c r="BK1398" s="29" t="s">
        <v>148</v>
      </c>
      <c r="BL1398" s="29" t="s">
        <v>148</v>
      </c>
      <c r="BM1398" s="45"/>
      <c r="BN1398" s="45"/>
      <c r="BO1398" s="46"/>
      <c r="BP1398" s="2"/>
      <c r="BQ1398" s="3"/>
    </row>
    <row r="1399" ht="15.75" customHeight="1">
      <c r="A1399" s="34">
        <v>1422.0</v>
      </c>
      <c r="B1399" s="34">
        <v>103241.0</v>
      </c>
      <c r="C1399" s="34" t="s">
        <v>832</v>
      </c>
      <c r="D1399" s="34" t="s">
        <v>2477</v>
      </c>
      <c r="E1399" s="34" t="s">
        <v>2478</v>
      </c>
      <c r="F1399" s="34">
        <v>2018.0</v>
      </c>
      <c r="G1399" s="34" t="s">
        <v>2479</v>
      </c>
      <c r="H1399" s="34" t="s">
        <v>2449</v>
      </c>
      <c r="I1399" s="34" t="s">
        <v>2480</v>
      </c>
      <c r="J1399" s="35"/>
      <c r="K1399" s="36"/>
      <c r="L1399" s="36"/>
      <c r="M1399" s="36"/>
      <c r="N1399" s="36"/>
      <c r="O1399" s="36"/>
      <c r="P1399" s="37">
        <v>-14.0</v>
      </c>
      <c r="Q1399" s="36"/>
      <c r="R1399" s="36" t="s">
        <v>209</v>
      </c>
      <c r="S1399" s="36">
        <v>1000.0</v>
      </c>
      <c r="T1399" s="36"/>
      <c r="U1399" s="36"/>
      <c r="V1399" s="36">
        <v>116.0</v>
      </c>
      <c r="W1399" s="36"/>
      <c r="X1399" s="38">
        <v>1.0</v>
      </c>
      <c r="Y1399" s="38" t="s">
        <v>2486</v>
      </c>
      <c r="Z1399" s="38" t="s">
        <v>2487</v>
      </c>
      <c r="AA1399" s="38" t="s">
        <v>197</v>
      </c>
      <c r="AB1399" s="38">
        <v>40.0329</v>
      </c>
      <c r="AC1399" s="38">
        <v>-105.546</v>
      </c>
      <c r="AD1399" s="38" t="s">
        <v>87</v>
      </c>
      <c r="AE1399" s="38">
        <v>3050.0</v>
      </c>
      <c r="AF1399" s="38"/>
      <c r="AG1399" s="38" t="s">
        <v>372</v>
      </c>
      <c r="AH1399" s="38"/>
      <c r="AI1399" s="50">
        <v>40.0329</v>
      </c>
      <c r="AJ1399" s="50">
        <v>-105.546</v>
      </c>
      <c r="AK1399" s="41" t="s">
        <v>197</v>
      </c>
      <c r="AL1399" s="40" t="s">
        <v>197</v>
      </c>
      <c r="AM1399" s="49">
        <v>3056.0</v>
      </c>
      <c r="AN1399" s="51">
        <v>3056.0</v>
      </c>
      <c r="AO1399" s="42" t="s">
        <v>412</v>
      </c>
      <c r="AP1399" s="43" t="s">
        <v>372</v>
      </c>
      <c r="AQ1399" s="44" t="str">
        <f t="shared" si="159"/>
        <v>ENF</v>
      </c>
      <c r="AR1399" s="44">
        <f t="shared" si="144"/>
        <v>3056</v>
      </c>
      <c r="AS1399" s="44" t="str">
        <f t="shared" si="160"/>
        <v>D</v>
      </c>
      <c r="AT1399" s="44" t="str">
        <f t="shared" si="114"/>
        <v>Df</v>
      </c>
      <c r="AU1399" s="44" t="str">
        <f t="shared" si="115"/>
        <v>Dfc</v>
      </c>
      <c r="AV1399" s="38"/>
      <c r="AW1399" s="38"/>
      <c r="AX1399" s="38"/>
      <c r="AY1399" s="38"/>
      <c r="AZ1399" s="29">
        <v>1000.0</v>
      </c>
      <c r="BA1399" s="29">
        <v>1.0</v>
      </c>
      <c r="BB1399" s="29">
        <v>1.0</v>
      </c>
      <c r="BC1399" s="29"/>
      <c r="BD1399" s="29"/>
      <c r="BE1399" s="29"/>
      <c r="BF1399" s="29" t="s">
        <v>2481</v>
      </c>
      <c r="BG1399" s="29" t="s">
        <v>572</v>
      </c>
      <c r="BH1399" s="29" t="s">
        <v>92</v>
      </c>
      <c r="BI1399" s="29" t="s">
        <v>2482</v>
      </c>
      <c r="BJ1399" s="29"/>
      <c r="BK1399" s="29" t="s">
        <v>148</v>
      </c>
      <c r="BL1399" s="29" t="s">
        <v>148</v>
      </c>
      <c r="BM1399" s="45"/>
      <c r="BN1399" s="45"/>
      <c r="BO1399" s="46"/>
      <c r="BP1399" s="2"/>
      <c r="BQ1399" s="3"/>
    </row>
    <row r="1400" ht="15.75" customHeight="1">
      <c r="A1400" s="34">
        <v>1423.0</v>
      </c>
      <c r="B1400" s="34">
        <v>103241.0</v>
      </c>
      <c r="C1400" s="34" t="s">
        <v>832</v>
      </c>
      <c r="D1400" s="34" t="s">
        <v>2477</v>
      </c>
      <c r="E1400" s="34" t="s">
        <v>2478</v>
      </c>
      <c r="F1400" s="34">
        <v>2018.0</v>
      </c>
      <c r="G1400" s="34" t="s">
        <v>2479</v>
      </c>
      <c r="H1400" s="34" t="s">
        <v>2449</v>
      </c>
      <c r="I1400" s="34" t="s">
        <v>2480</v>
      </c>
      <c r="J1400" s="35"/>
      <c r="K1400" s="36"/>
      <c r="L1400" s="36"/>
      <c r="M1400" s="36"/>
      <c r="N1400" s="36"/>
      <c r="O1400" s="36"/>
      <c r="P1400" s="37">
        <v>-23.0</v>
      </c>
      <c r="Q1400" s="36"/>
      <c r="R1400" s="36" t="s">
        <v>209</v>
      </c>
      <c r="S1400" s="36">
        <v>1000.0</v>
      </c>
      <c r="T1400" s="36"/>
      <c r="U1400" s="36"/>
      <c r="V1400" s="36">
        <v>59.0</v>
      </c>
      <c r="W1400" s="36"/>
      <c r="X1400" s="38">
        <v>1.0</v>
      </c>
      <c r="Y1400" s="38" t="s">
        <v>2488</v>
      </c>
      <c r="Z1400" s="38" t="s">
        <v>2489</v>
      </c>
      <c r="AA1400" s="38" t="s">
        <v>288</v>
      </c>
      <c r="AB1400" s="38">
        <v>39.0824</v>
      </c>
      <c r="AC1400" s="38">
        <v>-96.5603</v>
      </c>
      <c r="AD1400" s="38" t="s">
        <v>87</v>
      </c>
      <c r="AE1400" s="38">
        <v>330.0</v>
      </c>
      <c r="AF1400" s="38"/>
      <c r="AG1400" s="38" t="s">
        <v>201</v>
      </c>
      <c r="AH1400" s="38"/>
      <c r="AI1400" s="50">
        <v>39.0824</v>
      </c>
      <c r="AJ1400" s="50">
        <v>-96.5603</v>
      </c>
      <c r="AK1400" s="41" t="s">
        <v>288</v>
      </c>
      <c r="AL1400" s="40" t="s">
        <v>288</v>
      </c>
      <c r="AM1400" s="49">
        <v>446.0</v>
      </c>
      <c r="AN1400" s="51">
        <v>446.0</v>
      </c>
      <c r="AO1400" s="42" t="s">
        <v>107</v>
      </c>
      <c r="AP1400" s="43" t="s">
        <v>108</v>
      </c>
      <c r="AQ1400" s="44" t="str">
        <f t="shared" si="159"/>
        <v>GRA</v>
      </c>
      <c r="AR1400" s="44">
        <f t="shared" si="144"/>
        <v>446</v>
      </c>
      <c r="AS1400" s="44" t="str">
        <f t="shared" si="160"/>
        <v>D</v>
      </c>
      <c r="AT1400" s="44" t="str">
        <f t="shared" si="114"/>
        <v>Df</v>
      </c>
      <c r="AU1400" s="44" t="str">
        <f t="shared" si="115"/>
        <v>Dfa</v>
      </c>
      <c r="AV1400" s="38"/>
      <c r="AW1400" s="38"/>
      <c r="AX1400" s="38"/>
      <c r="AY1400" s="38"/>
      <c r="AZ1400" s="29">
        <v>1000.0</v>
      </c>
      <c r="BA1400" s="29">
        <v>1.0</v>
      </c>
      <c r="BB1400" s="29">
        <v>1.0</v>
      </c>
      <c r="BC1400" s="29"/>
      <c r="BD1400" s="29"/>
      <c r="BE1400" s="29"/>
      <c r="BF1400" s="29" t="s">
        <v>2481</v>
      </c>
      <c r="BG1400" s="29" t="s">
        <v>572</v>
      </c>
      <c r="BH1400" s="29" t="s">
        <v>92</v>
      </c>
      <c r="BI1400" s="29" t="s">
        <v>2482</v>
      </c>
      <c r="BJ1400" s="29"/>
      <c r="BK1400" s="29" t="s">
        <v>148</v>
      </c>
      <c r="BL1400" s="29" t="s">
        <v>148</v>
      </c>
      <c r="BM1400" s="45"/>
      <c r="BN1400" s="45"/>
      <c r="BO1400" s="46"/>
      <c r="BP1400" s="2"/>
      <c r="BQ1400" s="3"/>
    </row>
    <row r="1401" ht="15.75" customHeight="1">
      <c r="A1401" s="34">
        <v>1424.0</v>
      </c>
      <c r="B1401" s="34">
        <v>103241.0</v>
      </c>
      <c r="C1401" s="34" t="s">
        <v>832</v>
      </c>
      <c r="D1401" s="34" t="s">
        <v>2477</v>
      </c>
      <c r="E1401" s="34" t="s">
        <v>2478</v>
      </c>
      <c r="F1401" s="34">
        <v>2018.0</v>
      </c>
      <c r="G1401" s="34" t="s">
        <v>2479</v>
      </c>
      <c r="H1401" s="34" t="s">
        <v>2449</v>
      </c>
      <c r="I1401" s="34" t="s">
        <v>2480</v>
      </c>
      <c r="J1401" s="35"/>
      <c r="K1401" s="36"/>
      <c r="L1401" s="36"/>
      <c r="M1401" s="36"/>
      <c r="N1401" s="36"/>
      <c r="O1401" s="36"/>
      <c r="P1401" s="37">
        <v>-13.0</v>
      </c>
      <c r="Q1401" s="36"/>
      <c r="R1401" s="36" t="s">
        <v>209</v>
      </c>
      <c r="S1401" s="36">
        <v>1000.0</v>
      </c>
      <c r="T1401" s="36"/>
      <c r="U1401" s="36"/>
      <c r="V1401" s="36">
        <v>88.0</v>
      </c>
      <c r="W1401" s="36"/>
      <c r="X1401" s="38">
        <v>1.0</v>
      </c>
      <c r="Y1401" s="38" t="s">
        <v>2490</v>
      </c>
      <c r="Z1401" s="38" t="s">
        <v>2491</v>
      </c>
      <c r="AA1401" s="38" t="s">
        <v>288</v>
      </c>
      <c r="AB1401" s="38">
        <v>39.0561</v>
      </c>
      <c r="AC1401" s="38">
        <v>-95.1907</v>
      </c>
      <c r="AD1401" s="38" t="s">
        <v>87</v>
      </c>
      <c r="AE1401" s="38">
        <v>310.0</v>
      </c>
      <c r="AF1401" s="38"/>
      <c r="AG1401" s="38" t="s">
        <v>201</v>
      </c>
      <c r="AH1401" s="38"/>
      <c r="AI1401" s="50">
        <v>39.0561</v>
      </c>
      <c r="AJ1401" s="50">
        <v>-95.1907</v>
      </c>
      <c r="AK1401" s="41" t="s">
        <v>313</v>
      </c>
      <c r="AL1401" s="40" t="s">
        <v>313</v>
      </c>
      <c r="AM1401" s="49">
        <v>333.0</v>
      </c>
      <c r="AN1401" s="51">
        <v>333.0</v>
      </c>
      <c r="AO1401" s="42" t="s">
        <v>107</v>
      </c>
      <c r="AP1401" s="43" t="s">
        <v>108</v>
      </c>
      <c r="AQ1401" s="44" t="str">
        <f t="shared" si="159"/>
        <v>GRA</v>
      </c>
      <c r="AR1401" s="44">
        <f t="shared" si="144"/>
        <v>333</v>
      </c>
      <c r="AS1401" s="44" t="str">
        <f t="shared" si="160"/>
        <v>D</v>
      </c>
      <c r="AT1401" s="44" t="str">
        <f t="shared" si="114"/>
        <v>Df</v>
      </c>
      <c r="AU1401" s="44" t="str">
        <f t="shared" si="115"/>
        <v>Dfa</v>
      </c>
      <c r="AV1401" s="38"/>
      <c r="AW1401" s="38"/>
      <c r="AX1401" s="38"/>
      <c r="AY1401" s="38"/>
      <c r="AZ1401" s="29">
        <v>1000.0</v>
      </c>
      <c r="BA1401" s="29">
        <v>1.0</v>
      </c>
      <c r="BB1401" s="29">
        <v>1.0</v>
      </c>
      <c r="BC1401" s="29"/>
      <c r="BD1401" s="29"/>
      <c r="BE1401" s="29"/>
      <c r="BF1401" s="29" t="s">
        <v>2481</v>
      </c>
      <c r="BG1401" s="29" t="s">
        <v>572</v>
      </c>
      <c r="BH1401" s="29" t="s">
        <v>92</v>
      </c>
      <c r="BI1401" s="29" t="s">
        <v>2482</v>
      </c>
      <c r="BJ1401" s="29"/>
      <c r="BK1401" s="29" t="s">
        <v>148</v>
      </c>
      <c r="BL1401" s="29" t="s">
        <v>148</v>
      </c>
      <c r="BM1401" s="45"/>
      <c r="BN1401" s="45"/>
      <c r="BO1401" s="46"/>
      <c r="BP1401" s="2"/>
      <c r="BQ1401" s="3"/>
    </row>
    <row r="1402" ht="15.75" customHeight="1">
      <c r="A1402" s="34">
        <v>1425.0</v>
      </c>
      <c r="B1402" s="34">
        <v>103241.0</v>
      </c>
      <c r="C1402" s="34" t="s">
        <v>832</v>
      </c>
      <c r="D1402" s="34" t="s">
        <v>2477</v>
      </c>
      <c r="E1402" s="34" t="s">
        <v>2478</v>
      </c>
      <c r="F1402" s="34">
        <v>2018.0</v>
      </c>
      <c r="G1402" s="34" t="s">
        <v>2479</v>
      </c>
      <c r="H1402" s="34" t="s">
        <v>2449</v>
      </c>
      <c r="I1402" s="34" t="s">
        <v>2480</v>
      </c>
      <c r="J1402" s="35"/>
      <c r="K1402" s="36"/>
      <c r="L1402" s="36"/>
      <c r="M1402" s="36"/>
      <c r="N1402" s="36"/>
      <c r="O1402" s="36"/>
      <c r="P1402" s="37">
        <v>11.0</v>
      </c>
      <c r="Q1402" s="36"/>
      <c r="R1402" s="36" t="s">
        <v>209</v>
      </c>
      <c r="S1402" s="36">
        <v>1000.0</v>
      </c>
      <c r="T1402" s="36"/>
      <c r="U1402" s="36"/>
      <c r="V1402" s="36">
        <v>61.0</v>
      </c>
      <c r="W1402" s="36"/>
      <c r="X1402" s="38">
        <v>1.0</v>
      </c>
      <c r="Y1402" s="38" t="s">
        <v>519</v>
      </c>
      <c r="Z1402" s="38" t="s">
        <v>520</v>
      </c>
      <c r="AA1402" s="38" t="s">
        <v>86</v>
      </c>
      <c r="AB1402" s="38">
        <v>36.6058</v>
      </c>
      <c r="AC1402" s="38">
        <v>-97.4888</v>
      </c>
      <c r="AD1402" s="38" t="s">
        <v>87</v>
      </c>
      <c r="AE1402" s="38">
        <v>314.0</v>
      </c>
      <c r="AF1402" s="38"/>
      <c r="AG1402" s="38" t="s">
        <v>201</v>
      </c>
      <c r="AH1402" s="38"/>
      <c r="AI1402" s="50">
        <v>36.6058</v>
      </c>
      <c r="AJ1402" s="50">
        <v>-97.4884</v>
      </c>
      <c r="AK1402" s="41" t="s">
        <v>86</v>
      </c>
      <c r="AL1402" s="40" t="s">
        <v>86</v>
      </c>
      <c r="AM1402" s="49">
        <v>322.0</v>
      </c>
      <c r="AN1402" s="51">
        <v>322.0</v>
      </c>
      <c r="AO1402" s="42" t="s">
        <v>201</v>
      </c>
      <c r="AP1402" s="43" t="s">
        <v>201</v>
      </c>
      <c r="AQ1402" s="44" t="str">
        <f t="shared" si="159"/>
        <v>CRO</v>
      </c>
      <c r="AR1402" s="44">
        <f t="shared" si="144"/>
        <v>322</v>
      </c>
      <c r="AS1402" s="44" t="str">
        <f t="shared" si="160"/>
        <v>C</v>
      </c>
      <c r="AT1402" s="44" t="str">
        <f t="shared" si="114"/>
        <v>Cf</v>
      </c>
      <c r="AU1402" s="44" t="str">
        <f t="shared" si="115"/>
        <v>Cfa</v>
      </c>
      <c r="AV1402" s="38"/>
      <c r="AW1402" s="38"/>
      <c r="AX1402" s="38"/>
      <c r="AY1402" s="38"/>
      <c r="AZ1402" s="29">
        <v>1000.0</v>
      </c>
      <c r="BA1402" s="29">
        <v>1.0</v>
      </c>
      <c r="BB1402" s="29">
        <v>1.0</v>
      </c>
      <c r="BC1402" s="29"/>
      <c r="BD1402" s="29"/>
      <c r="BE1402" s="29"/>
      <c r="BF1402" s="29" t="s">
        <v>2481</v>
      </c>
      <c r="BG1402" s="29" t="s">
        <v>572</v>
      </c>
      <c r="BH1402" s="29" t="s">
        <v>92</v>
      </c>
      <c r="BI1402" s="29" t="s">
        <v>2482</v>
      </c>
      <c r="BJ1402" s="29"/>
      <c r="BK1402" s="29" t="s">
        <v>148</v>
      </c>
      <c r="BL1402" s="29" t="s">
        <v>148</v>
      </c>
      <c r="BM1402" s="45"/>
      <c r="BN1402" s="45"/>
      <c r="BO1402" s="46"/>
      <c r="BP1402" s="2"/>
      <c r="BQ1402" s="3"/>
    </row>
    <row r="1403" ht="15.75" customHeight="1">
      <c r="A1403" s="34">
        <v>1426.0</v>
      </c>
      <c r="B1403" s="34">
        <v>103241.0</v>
      </c>
      <c r="C1403" s="34" t="s">
        <v>832</v>
      </c>
      <c r="D1403" s="34" t="s">
        <v>2477</v>
      </c>
      <c r="E1403" s="34" t="s">
        <v>2478</v>
      </c>
      <c r="F1403" s="34">
        <v>2018.0</v>
      </c>
      <c r="G1403" s="34" t="s">
        <v>2479</v>
      </c>
      <c r="H1403" s="34" t="s">
        <v>2449</v>
      </c>
      <c r="I1403" s="34" t="s">
        <v>2480</v>
      </c>
      <c r="J1403" s="35"/>
      <c r="K1403" s="36"/>
      <c r="L1403" s="36"/>
      <c r="M1403" s="36"/>
      <c r="N1403" s="36"/>
      <c r="O1403" s="36"/>
      <c r="P1403" s="37">
        <v>-32.0</v>
      </c>
      <c r="Q1403" s="36"/>
      <c r="R1403" s="36" t="s">
        <v>209</v>
      </c>
      <c r="S1403" s="36">
        <v>1000.0</v>
      </c>
      <c r="T1403" s="36"/>
      <c r="U1403" s="36"/>
      <c r="V1403" s="36">
        <v>114.0</v>
      </c>
      <c r="W1403" s="36"/>
      <c r="X1403" s="38">
        <v>1.0</v>
      </c>
      <c r="Y1403" s="38" t="s">
        <v>523</v>
      </c>
      <c r="Z1403" s="38" t="s">
        <v>524</v>
      </c>
      <c r="AA1403" s="38" t="s">
        <v>86</v>
      </c>
      <c r="AB1403" s="38">
        <v>41.1651</v>
      </c>
      <c r="AC1403" s="38">
        <v>-96.4766</v>
      </c>
      <c r="AD1403" s="38" t="s">
        <v>87</v>
      </c>
      <c r="AE1403" s="38">
        <v>361.0</v>
      </c>
      <c r="AF1403" s="38"/>
      <c r="AG1403" s="38" t="s">
        <v>108</v>
      </c>
      <c r="AH1403" s="38"/>
      <c r="AI1403" s="50">
        <v>41.1651</v>
      </c>
      <c r="AJ1403" s="50">
        <v>-96.4766</v>
      </c>
      <c r="AK1403" s="41" t="s">
        <v>86</v>
      </c>
      <c r="AL1403" s="40" t="s">
        <v>86</v>
      </c>
      <c r="AM1403" s="49">
        <v>356.0</v>
      </c>
      <c r="AN1403" s="51">
        <v>356.0</v>
      </c>
      <c r="AO1403" s="42" t="s">
        <v>107</v>
      </c>
      <c r="AP1403" s="43" t="s">
        <v>108</v>
      </c>
      <c r="AQ1403" s="44" t="str">
        <f t="shared" si="159"/>
        <v>CRO</v>
      </c>
      <c r="AR1403" s="44">
        <f t="shared" si="144"/>
        <v>356</v>
      </c>
      <c r="AS1403" s="44" t="str">
        <f t="shared" si="160"/>
        <v>D</v>
      </c>
      <c r="AT1403" s="44" t="str">
        <f t="shared" si="114"/>
        <v>Df</v>
      </c>
      <c r="AU1403" s="44" t="str">
        <f t="shared" si="115"/>
        <v>Dfa</v>
      </c>
      <c r="AV1403" s="38"/>
      <c r="AW1403" s="38"/>
      <c r="AX1403" s="38"/>
      <c r="AY1403" s="38"/>
      <c r="AZ1403" s="29">
        <v>1000.0</v>
      </c>
      <c r="BA1403" s="29">
        <v>1.0</v>
      </c>
      <c r="BB1403" s="29">
        <v>1.0</v>
      </c>
      <c r="BC1403" s="29"/>
      <c r="BD1403" s="29"/>
      <c r="BE1403" s="29"/>
      <c r="BF1403" s="29" t="s">
        <v>2481</v>
      </c>
      <c r="BG1403" s="29" t="s">
        <v>572</v>
      </c>
      <c r="BH1403" s="29" t="s">
        <v>92</v>
      </c>
      <c r="BI1403" s="29" t="s">
        <v>2482</v>
      </c>
      <c r="BJ1403" s="29"/>
      <c r="BK1403" s="29" t="s">
        <v>148</v>
      </c>
      <c r="BL1403" s="29" t="s">
        <v>148</v>
      </c>
      <c r="BM1403" s="45"/>
      <c r="BN1403" s="45"/>
      <c r="BO1403" s="46"/>
      <c r="BP1403" s="2" t="s">
        <v>1005</v>
      </c>
      <c r="BQ1403" s="3"/>
    </row>
    <row r="1404" ht="15.75" customHeight="1">
      <c r="A1404" s="34">
        <v>1427.0</v>
      </c>
      <c r="B1404" s="34">
        <v>103241.0</v>
      </c>
      <c r="C1404" s="34" t="s">
        <v>832</v>
      </c>
      <c r="D1404" s="34" t="s">
        <v>2477</v>
      </c>
      <c r="E1404" s="34" t="s">
        <v>2478</v>
      </c>
      <c r="F1404" s="34">
        <v>2018.0</v>
      </c>
      <c r="G1404" s="34" t="s">
        <v>2479</v>
      </c>
      <c r="H1404" s="34" t="s">
        <v>2449</v>
      </c>
      <c r="I1404" s="34" t="s">
        <v>2480</v>
      </c>
      <c r="J1404" s="35"/>
      <c r="K1404" s="36"/>
      <c r="L1404" s="36"/>
      <c r="M1404" s="36"/>
      <c r="N1404" s="36"/>
      <c r="O1404" s="36"/>
      <c r="P1404" s="37">
        <v>11.0</v>
      </c>
      <c r="Q1404" s="36"/>
      <c r="R1404" s="36" t="s">
        <v>209</v>
      </c>
      <c r="S1404" s="36">
        <v>1000.0</v>
      </c>
      <c r="T1404" s="36"/>
      <c r="U1404" s="36"/>
      <c r="V1404" s="36">
        <v>108.0</v>
      </c>
      <c r="W1404" s="36"/>
      <c r="X1404" s="38">
        <v>1.0</v>
      </c>
      <c r="Y1404" s="38" t="s">
        <v>1309</v>
      </c>
      <c r="Z1404" s="38" t="s">
        <v>1310</v>
      </c>
      <c r="AA1404" s="38" t="s">
        <v>370</v>
      </c>
      <c r="AB1404" s="38">
        <v>39.3232</v>
      </c>
      <c r="AC1404" s="38">
        <v>-86.4131</v>
      </c>
      <c r="AD1404" s="38" t="s">
        <v>87</v>
      </c>
      <c r="AE1404" s="38">
        <v>275.0</v>
      </c>
      <c r="AF1404" s="38"/>
      <c r="AG1404" s="38" t="s">
        <v>201</v>
      </c>
      <c r="AH1404" s="38"/>
      <c r="AI1404" s="50">
        <v>39.3232</v>
      </c>
      <c r="AJ1404" s="50">
        <v>-86.4131</v>
      </c>
      <c r="AK1404" s="41" t="s">
        <v>370</v>
      </c>
      <c r="AL1404" s="40" t="s">
        <v>370</v>
      </c>
      <c r="AM1404" s="49">
        <v>297.0</v>
      </c>
      <c r="AN1404" s="51">
        <v>297.0</v>
      </c>
      <c r="AO1404" s="42" t="s">
        <v>107</v>
      </c>
      <c r="AP1404" s="43" t="s">
        <v>108</v>
      </c>
      <c r="AQ1404" s="44" t="str">
        <f t="shared" si="159"/>
        <v>DBF</v>
      </c>
      <c r="AR1404" s="44">
        <f t="shared" si="144"/>
        <v>297</v>
      </c>
      <c r="AS1404" s="44" t="str">
        <f t="shared" si="160"/>
        <v>D</v>
      </c>
      <c r="AT1404" s="44" t="str">
        <f t="shared" si="114"/>
        <v>Df</v>
      </c>
      <c r="AU1404" s="44" t="str">
        <f t="shared" si="115"/>
        <v>Dfa</v>
      </c>
      <c r="AV1404" s="38"/>
      <c r="AW1404" s="38"/>
      <c r="AX1404" s="38"/>
      <c r="AY1404" s="38"/>
      <c r="AZ1404" s="29">
        <v>1000.0</v>
      </c>
      <c r="BA1404" s="29">
        <v>1.0</v>
      </c>
      <c r="BB1404" s="29">
        <v>1.0</v>
      </c>
      <c r="BC1404" s="29"/>
      <c r="BD1404" s="29"/>
      <c r="BE1404" s="29"/>
      <c r="BF1404" s="29" t="s">
        <v>2481</v>
      </c>
      <c r="BG1404" s="29" t="s">
        <v>572</v>
      </c>
      <c r="BH1404" s="29" t="s">
        <v>92</v>
      </c>
      <c r="BI1404" s="29" t="s">
        <v>2482</v>
      </c>
      <c r="BJ1404" s="29"/>
      <c r="BK1404" s="29" t="s">
        <v>148</v>
      </c>
      <c r="BL1404" s="29" t="s">
        <v>148</v>
      </c>
      <c r="BM1404" s="45"/>
      <c r="BN1404" s="45"/>
      <c r="BO1404" s="46"/>
      <c r="BP1404" s="2"/>
      <c r="BQ1404" s="3"/>
    </row>
    <row r="1405" ht="15.75" customHeight="1">
      <c r="A1405" s="34">
        <v>1428.0</v>
      </c>
      <c r="B1405" s="34">
        <v>103241.0</v>
      </c>
      <c r="C1405" s="34" t="s">
        <v>832</v>
      </c>
      <c r="D1405" s="34" t="s">
        <v>2477</v>
      </c>
      <c r="E1405" s="34" t="s">
        <v>2478</v>
      </c>
      <c r="F1405" s="34">
        <v>2018.0</v>
      </c>
      <c r="G1405" s="34" t="s">
        <v>2479</v>
      </c>
      <c r="H1405" s="34" t="s">
        <v>2449</v>
      </c>
      <c r="I1405" s="34" t="s">
        <v>2480</v>
      </c>
      <c r="J1405" s="35"/>
      <c r="K1405" s="36"/>
      <c r="L1405" s="36"/>
      <c r="M1405" s="36"/>
      <c r="N1405" s="36"/>
      <c r="O1405" s="36"/>
      <c r="P1405" s="37">
        <v>16.0</v>
      </c>
      <c r="Q1405" s="36"/>
      <c r="R1405" s="36" t="s">
        <v>209</v>
      </c>
      <c r="S1405" s="36">
        <v>1000.0</v>
      </c>
      <c r="T1405" s="36"/>
      <c r="U1405" s="36"/>
      <c r="V1405" s="36">
        <v>75.0</v>
      </c>
      <c r="W1405" s="36"/>
      <c r="X1405" s="38">
        <v>1.0</v>
      </c>
      <c r="Y1405" s="38" t="s">
        <v>546</v>
      </c>
      <c r="Z1405" s="38" t="s">
        <v>547</v>
      </c>
      <c r="AA1405" s="38" t="s">
        <v>197</v>
      </c>
      <c r="AB1405" s="38">
        <v>35.8118</v>
      </c>
      <c r="AC1405" s="38">
        <v>-76.7119</v>
      </c>
      <c r="AD1405" s="38" t="s">
        <v>87</v>
      </c>
      <c r="AE1405" s="38">
        <v>5.0</v>
      </c>
      <c r="AF1405" s="38" t="s">
        <v>550</v>
      </c>
      <c r="AG1405" s="38" t="s">
        <v>201</v>
      </c>
      <c r="AH1405" s="38"/>
      <c r="AI1405" s="50">
        <v>35.8118</v>
      </c>
      <c r="AJ1405" s="50">
        <v>-76.7119</v>
      </c>
      <c r="AK1405" s="41" t="s">
        <v>197</v>
      </c>
      <c r="AL1405" s="40" t="s">
        <v>197</v>
      </c>
      <c r="AM1405" s="49">
        <v>26.0</v>
      </c>
      <c r="AN1405" s="51">
        <v>26.0</v>
      </c>
      <c r="AO1405" s="42" t="s">
        <v>201</v>
      </c>
      <c r="AP1405" s="43" t="s">
        <v>201</v>
      </c>
      <c r="AQ1405" s="44" t="str">
        <f t="shared" si="159"/>
        <v>ENF</v>
      </c>
      <c r="AR1405" s="44">
        <f t="shared" si="144"/>
        <v>26</v>
      </c>
      <c r="AS1405" s="44" t="str">
        <f t="shared" si="160"/>
        <v>C</v>
      </c>
      <c r="AT1405" s="44" t="str">
        <f t="shared" si="114"/>
        <v>Cf</v>
      </c>
      <c r="AU1405" s="44" t="str">
        <f t="shared" si="115"/>
        <v>Cfa</v>
      </c>
      <c r="AV1405" s="38"/>
      <c r="AW1405" s="38"/>
      <c r="AX1405" s="38"/>
      <c r="AY1405" s="38"/>
      <c r="AZ1405" s="29">
        <v>1000.0</v>
      </c>
      <c r="BA1405" s="29">
        <v>1.0</v>
      </c>
      <c r="BB1405" s="29">
        <v>1.0</v>
      </c>
      <c r="BC1405" s="29"/>
      <c r="BD1405" s="29"/>
      <c r="BE1405" s="29"/>
      <c r="BF1405" s="29" t="s">
        <v>2481</v>
      </c>
      <c r="BG1405" s="29" t="s">
        <v>572</v>
      </c>
      <c r="BH1405" s="29" t="s">
        <v>92</v>
      </c>
      <c r="BI1405" s="29" t="s">
        <v>2482</v>
      </c>
      <c r="BJ1405" s="29"/>
      <c r="BK1405" s="29" t="s">
        <v>148</v>
      </c>
      <c r="BL1405" s="29" t="s">
        <v>148</v>
      </c>
      <c r="BM1405" s="45"/>
      <c r="BN1405" s="45"/>
      <c r="BO1405" s="46"/>
      <c r="BP1405" s="2"/>
      <c r="BQ1405" s="3"/>
    </row>
    <row r="1406" ht="15.75" customHeight="1">
      <c r="A1406" s="34">
        <v>1429.0</v>
      </c>
      <c r="B1406" s="34">
        <v>103241.0</v>
      </c>
      <c r="C1406" s="34" t="s">
        <v>832</v>
      </c>
      <c r="D1406" s="34" t="s">
        <v>2477</v>
      </c>
      <c r="E1406" s="34" t="s">
        <v>2478</v>
      </c>
      <c r="F1406" s="34">
        <v>2018.0</v>
      </c>
      <c r="G1406" s="34" t="s">
        <v>2479</v>
      </c>
      <c r="H1406" s="34" t="s">
        <v>2449</v>
      </c>
      <c r="I1406" s="34" t="s">
        <v>2480</v>
      </c>
      <c r="J1406" s="35"/>
      <c r="K1406" s="36"/>
      <c r="L1406" s="36"/>
      <c r="M1406" s="36"/>
      <c r="N1406" s="36"/>
      <c r="O1406" s="36"/>
      <c r="P1406" s="37">
        <v>-17.0</v>
      </c>
      <c r="Q1406" s="36"/>
      <c r="R1406" s="36" t="s">
        <v>209</v>
      </c>
      <c r="S1406" s="36">
        <v>1000.0</v>
      </c>
      <c r="T1406" s="36"/>
      <c r="U1406" s="36"/>
      <c r="V1406" s="36">
        <v>65.0</v>
      </c>
      <c r="W1406" s="36"/>
      <c r="X1406" s="38">
        <v>1.0</v>
      </c>
      <c r="Y1406" s="38" t="s">
        <v>556</v>
      </c>
      <c r="Z1406" s="38" t="s">
        <v>557</v>
      </c>
      <c r="AA1406" s="38" t="s">
        <v>197</v>
      </c>
      <c r="AB1406" s="38">
        <v>35.803</v>
      </c>
      <c r="AC1406" s="38">
        <v>-76.6685</v>
      </c>
      <c r="AD1406" s="38" t="s">
        <v>87</v>
      </c>
      <c r="AE1406" s="38">
        <v>5.0</v>
      </c>
      <c r="AF1406" s="38" t="s">
        <v>550</v>
      </c>
      <c r="AG1406" s="38" t="s">
        <v>201</v>
      </c>
      <c r="AH1406" s="38"/>
      <c r="AI1406" s="50">
        <v>35.803</v>
      </c>
      <c r="AJ1406" s="50">
        <v>-76.6685</v>
      </c>
      <c r="AK1406" s="41" t="s">
        <v>197</v>
      </c>
      <c r="AL1406" s="40" t="s">
        <v>197</v>
      </c>
      <c r="AM1406" s="49">
        <v>9.0</v>
      </c>
      <c r="AN1406" s="51">
        <v>9.0</v>
      </c>
      <c r="AO1406" s="42" t="s">
        <v>201</v>
      </c>
      <c r="AP1406" s="43" t="s">
        <v>201</v>
      </c>
      <c r="AQ1406" s="44" t="str">
        <f t="shared" si="159"/>
        <v>ENF</v>
      </c>
      <c r="AR1406" s="44">
        <f t="shared" si="144"/>
        <v>9</v>
      </c>
      <c r="AS1406" s="44" t="str">
        <f t="shared" si="160"/>
        <v>C</v>
      </c>
      <c r="AT1406" s="44" t="str">
        <f t="shared" si="114"/>
        <v>Cf</v>
      </c>
      <c r="AU1406" s="44" t="str">
        <f t="shared" si="115"/>
        <v>Cfa</v>
      </c>
      <c r="AV1406" s="38"/>
      <c r="AW1406" s="38"/>
      <c r="AX1406" s="38"/>
      <c r="AY1406" s="38"/>
      <c r="AZ1406" s="29">
        <v>1000.0</v>
      </c>
      <c r="BA1406" s="29">
        <v>1.0</v>
      </c>
      <c r="BB1406" s="29">
        <v>1.0</v>
      </c>
      <c r="BC1406" s="29"/>
      <c r="BD1406" s="29"/>
      <c r="BE1406" s="29"/>
      <c r="BF1406" s="29" t="s">
        <v>2481</v>
      </c>
      <c r="BG1406" s="29" t="s">
        <v>572</v>
      </c>
      <c r="BH1406" s="29" t="s">
        <v>92</v>
      </c>
      <c r="BI1406" s="29" t="s">
        <v>2482</v>
      </c>
      <c r="BJ1406" s="29"/>
      <c r="BK1406" s="29" t="s">
        <v>148</v>
      </c>
      <c r="BL1406" s="29" t="s">
        <v>148</v>
      </c>
      <c r="BM1406" s="45"/>
      <c r="BN1406" s="45"/>
      <c r="BO1406" s="46"/>
      <c r="BP1406" s="2" t="s">
        <v>1005</v>
      </c>
      <c r="BQ1406" s="3"/>
    </row>
    <row r="1407" ht="15.75" customHeight="1">
      <c r="A1407" s="34">
        <v>1430.0</v>
      </c>
      <c r="B1407" s="34">
        <v>103241.0</v>
      </c>
      <c r="C1407" s="34" t="s">
        <v>832</v>
      </c>
      <c r="D1407" s="34" t="s">
        <v>2477</v>
      </c>
      <c r="E1407" s="34" t="s">
        <v>2478</v>
      </c>
      <c r="F1407" s="34">
        <v>2018.0</v>
      </c>
      <c r="G1407" s="34" t="s">
        <v>2479</v>
      </c>
      <c r="H1407" s="34" t="s">
        <v>2449</v>
      </c>
      <c r="I1407" s="34" t="s">
        <v>2480</v>
      </c>
      <c r="J1407" s="35"/>
      <c r="K1407" s="36"/>
      <c r="L1407" s="36"/>
      <c r="M1407" s="36"/>
      <c r="N1407" s="36"/>
      <c r="O1407" s="36"/>
      <c r="P1407" s="37">
        <v>33.0</v>
      </c>
      <c r="Q1407" s="36"/>
      <c r="R1407" s="36" t="s">
        <v>209</v>
      </c>
      <c r="S1407" s="36">
        <v>1000.0</v>
      </c>
      <c r="T1407" s="36"/>
      <c r="U1407" s="36"/>
      <c r="V1407" s="36">
        <v>80.0</v>
      </c>
      <c r="W1407" s="36"/>
      <c r="X1407" s="38">
        <v>1.0</v>
      </c>
      <c r="Y1407" s="38" t="s">
        <v>1314</v>
      </c>
      <c r="Z1407" s="38" t="s">
        <v>1315</v>
      </c>
      <c r="AA1407" s="38" t="s">
        <v>197</v>
      </c>
      <c r="AB1407" s="38">
        <v>44.4523</v>
      </c>
      <c r="AC1407" s="38">
        <v>-121.557</v>
      </c>
      <c r="AD1407" s="38" t="s">
        <v>87</v>
      </c>
      <c r="AE1407" s="38">
        <v>1253.0</v>
      </c>
      <c r="AF1407" s="38"/>
      <c r="AG1407" s="38" t="s">
        <v>445</v>
      </c>
      <c r="AH1407" s="38"/>
      <c r="AI1407" s="50">
        <v>44.4523</v>
      </c>
      <c r="AJ1407" s="50">
        <v>-121.557</v>
      </c>
      <c r="AK1407" s="41" t="s">
        <v>197</v>
      </c>
      <c r="AL1407" s="40" t="s">
        <v>197</v>
      </c>
      <c r="AM1407" s="49">
        <v>1259.0</v>
      </c>
      <c r="AN1407" s="51">
        <v>1259.0</v>
      </c>
      <c r="AO1407" s="42" t="s">
        <v>321</v>
      </c>
      <c r="AP1407" s="43" t="s">
        <v>321</v>
      </c>
      <c r="AQ1407" s="44" t="str">
        <f t="shared" si="159"/>
        <v>ENF</v>
      </c>
      <c r="AR1407" s="44">
        <f t="shared" si="144"/>
        <v>1259</v>
      </c>
      <c r="AS1407" s="44" t="str">
        <f t="shared" si="160"/>
        <v>D</v>
      </c>
      <c r="AT1407" s="44" t="str">
        <f t="shared" si="114"/>
        <v>Ds</v>
      </c>
      <c r="AU1407" s="44" t="str">
        <f t="shared" si="115"/>
        <v>Dsb</v>
      </c>
      <c r="AV1407" s="38"/>
      <c r="AW1407" s="38"/>
      <c r="AX1407" s="38"/>
      <c r="AY1407" s="38"/>
      <c r="AZ1407" s="29">
        <v>1000.0</v>
      </c>
      <c r="BA1407" s="29">
        <v>1.0</v>
      </c>
      <c r="BB1407" s="29">
        <v>1.0</v>
      </c>
      <c r="BC1407" s="29"/>
      <c r="BD1407" s="29"/>
      <c r="BE1407" s="29"/>
      <c r="BF1407" s="29" t="s">
        <v>936</v>
      </c>
      <c r="BG1407" s="29" t="s">
        <v>572</v>
      </c>
      <c r="BH1407" s="29" t="s">
        <v>92</v>
      </c>
      <c r="BI1407" s="29" t="s">
        <v>2482</v>
      </c>
      <c r="BJ1407" s="29"/>
      <c r="BK1407" s="29" t="s">
        <v>148</v>
      </c>
      <c r="BL1407" s="29" t="s">
        <v>148</v>
      </c>
      <c r="BM1407" s="45"/>
      <c r="BN1407" s="45"/>
      <c r="BO1407" s="46"/>
      <c r="BP1407" s="2"/>
      <c r="BQ1407" s="3"/>
    </row>
    <row r="1408" ht="15.75" customHeight="1">
      <c r="A1408" s="34">
        <v>1431.0</v>
      </c>
      <c r="B1408" s="34">
        <v>103241.0</v>
      </c>
      <c r="C1408" s="34" t="s">
        <v>832</v>
      </c>
      <c r="D1408" s="34" t="s">
        <v>2477</v>
      </c>
      <c r="E1408" s="34" t="s">
        <v>2478</v>
      </c>
      <c r="F1408" s="34">
        <v>2018.0</v>
      </c>
      <c r="G1408" s="34" t="s">
        <v>2479</v>
      </c>
      <c r="H1408" s="34" t="s">
        <v>2449</v>
      </c>
      <c r="I1408" s="34" t="s">
        <v>2480</v>
      </c>
      <c r="J1408" s="35"/>
      <c r="K1408" s="36"/>
      <c r="L1408" s="36"/>
      <c r="M1408" s="36"/>
      <c r="N1408" s="36"/>
      <c r="O1408" s="36"/>
      <c r="P1408" s="72">
        <v>179.0</v>
      </c>
      <c r="Q1408" s="36"/>
      <c r="R1408" s="36" t="s">
        <v>209</v>
      </c>
      <c r="S1408" s="36">
        <v>1000.0</v>
      </c>
      <c r="T1408" s="36"/>
      <c r="U1408" s="36"/>
      <c r="V1408" s="36">
        <v>109.0</v>
      </c>
      <c r="W1408" s="36"/>
      <c r="X1408" s="38">
        <v>1.0</v>
      </c>
      <c r="Y1408" s="38" t="s">
        <v>309</v>
      </c>
      <c r="Z1408" s="38" t="s">
        <v>310</v>
      </c>
      <c r="AA1408" s="38" t="s">
        <v>200</v>
      </c>
      <c r="AB1408" s="38">
        <v>38.4316</v>
      </c>
      <c r="AC1408" s="38">
        <v>-120.966</v>
      </c>
      <c r="AD1408" s="38" t="s">
        <v>87</v>
      </c>
      <c r="AE1408" s="38">
        <v>177.0</v>
      </c>
      <c r="AF1408" s="38"/>
      <c r="AG1408" s="38" t="s">
        <v>175</v>
      </c>
      <c r="AH1408" s="38"/>
      <c r="AI1408" s="50">
        <v>38.4316</v>
      </c>
      <c r="AJ1408" s="50">
        <v>-120.966</v>
      </c>
      <c r="AK1408" s="41" t="s">
        <v>313</v>
      </c>
      <c r="AL1408" s="40" t="s">
        <v>313</v>
      </c>
      <c r="AM1408" s="49">
        <v>170.0</v>
      </c>
      <c r="AN1408" s="51">
        <v>170.0</v>
      </c>
      <c r="AO1408" s="42" t="s">
        <v>175</v>
      </c>
      <c r="AP1408" s="43" t="s">
        <v>175</v>
      </c>
      <c r="AQ1408" s="44" t="str">
        <f t="shared" si="159"/>
        <v>WSA</v>
      </c>
      <c r="AR1408" s="44">
        <f t="shared" si="144"/>
        <v>170</v>
      </c>
      <c r="AS1408" s="44" t="str">
        <f t="shared" si="160"/>
        <v>C</v>
      </c>
      <c r="AT1408" s="44" t="str">
        <f t="shared" si="114"/>
        <v>Cs</v>
      </c>
      <c r="AU1408" s="44" t="str">
        <f t="shared" si="115"/>
        <v>Csa</v>
      </c>
      <c r="AV1408" s="38"/>
      <c r="AW1408" s="38"/>
      <c r="AX1408" s="38"/>
      <c r="AY1408" s="38"/>
      <c r="AZ1408" s="29">
        <v>1000.0</v>
      </c>
      <c r="BA1408" s="29">
        <v>1.0</v>
      </c>
      <c r="BB1408" s="29">
        <v>1.0</v>
      </c>
      <c r="BC1408" s="29"/>
      <c r="BD1408" s="29"/>
      <c r="BE1408" s="29"/>
      <c r="BF1408" s="29" t="s">
        <v>936</v>
      </c>
      <c r="BG1408" s="29" t="s">
        <v>572</v>
      </c>
      <c r="BH1408" s="29" t="s">
        <v>92</v>
      </c>
      <c r="BI1408" s="29" t="s">
        <v>2482</v>
      </c>
      <c r="BJ1408" s="29"/>
      <c r="BK1408" s="29" t="s">
        <v>148</v>
      </c>
      <c r="BL1408" s="29" t="s">
        <v>148</v>
      </c>
      <c r="BM1408" s="45"/>
      <c r="BN1408" s="45"/>
      <c r="BO1408" s="46"/>
      <c r="BP1408" s="2"/>
      <c r="BQ1408" s="3"/>
    </row>
    <row r="1409" ht="15.75" customHeight="1">
      <c r="A1409" s="34">
        <v>1432.0</v>
      </c>
      <c r="B1409" s="34">
        <v>103241.0</v>
      </c>
      <c r="C1409" s="34" t="s">
        <v>832</v>
      </c>
      <c r="D1409" s="34" t="s">
        <v>2477</v>
      </c>
      <c r="E1409" s="34" t="s">
        <v>2478</v>
      </c>
      <c r="F1409" s="34">
        <v>2018.0</v>
      </c>
      <c r="G1409" s="34" t="s">
        <v>2479</v>
      </c>
      <c r="H1409" s="34" t="s">
        <v>2449</v>
      </c>
      <c r="I1409" s="34" t="s">
        <v>2480</v>
      </c>
      <c r="J1409" s="35"/>
      <c r="K1409" s="36"/>
      <c r="L1409" s="36"/>
      <c r="M1409" s="36"/>
      <c r="N1409" s="36"/>
      <c r="O1409" s="36"/>
      <c r="P1409" s="37">
        <v>64.0</v>
      </c>
      <c r="Q1409" s="36"/>
      <c r="R1409" s="36" t="s">
        <v>209</v>
      </c>
      <c r="S1409" s="36">
        <v>1000.0</v>
      </c>
      <c r="T1409" s="36"/>
      <c r="U1409" s="36"/>
      <c r="V1409" s="36">
        <v>82.0</v>
      </c>
      <c r="W1409" s="36"/>
      <c r="X1409" s="38">
        <v>1.0</v>
      </c>
      <c r="Y1409" s="38" t="s">
        <v>300</v>
      </c>
      <c r="Z1409" s="38" t="s">
        <v>301</v>
      </c>
      <c r="AA1409" s="38" t="s">
        <v>200</v>
      </c>
      <c r="AB1409" s="38">
        <v>31.82</v>
      </c>
      <c r="AC1409" s="38">
        <v>-110.87</v>
      </c>
      <c r="AD1409" s="38" t="s">
        <v>87</v>
      </c>
      <c r="AE1409" s="38">
        <v>1120.0</v>
      </c>
      <c r="AF1409" s="38"/>
      <c r="AG1409" s="38" t="s">
        <v>303</v>
      </c>
      <c r="AH1409" s="38"/>
      <c r="AI1409" s="50">
        <v>31.8214</v>
      </c>
      <c r="AJ1409" s="50">
        <v>-110.867</v>
      </c>
      <c r="AK1409" s="41" t="s">
        <v>291</v>
      </c>
      <c r="AL1409" s="40" t="s">
        <v>291</v>
      </c>
      <c r="AM1409" s="49">
        <v>1118.0</v>
      </c>
      <c r="AN1409" s="51">
        <v>1118.0</v>
      </c>
      <c r="AO1409" s="42" t="s">
        <v>304</v>
      </c>
      <c r="AP1409" s="43" t="s">
        <v>304</v>
      </c>
      <c r="AQ1409" s="44" t="str">
        <f t="shared" si="159"/>
        <v>WSA</v>
      </c>
      <c r="AR1409" s="44">
        <f t="shared" si="144"/>
        <v>1118</v>
      </c>
      <c r="AS1409" s="44" t="str">
        <f t="shared" si="160"/>
        <v>B</v>
      </c>
      <c r="AT1409" s="44" t="str">
        <f t="shared" si="114"/>
        <v>BS</v>
      </c>
      <c r="AU1409" s="44" t="str">
        <f t="shared" si="115"/>
        <v>BSh</v>
      </c>
      <c r="AV1409" s="38"/>
      <c r="AW1409" s="38"/>
      <c r="AX1409" s="38"/>
      <c r="AY1409" s="38"/>
      <c r="AZ1409" s="29">
        <v>1000.0</v>
      </c>
      <c r="BA1409" s="29">
        <v>1.0</v>
      </c>
      <c r="BB1409" s="29">
        <v>1.0</v>
      </c>
      <c r="BC1409" s="29"/>
      <c r="BD1409" s="29"/>
      <c r="BE1409" s="29"/>
      <c r="BF1409" s="29" t="s">
        <v>936</v>
      </c>
      <c r="BG1409" s="29" t="s">
        <v>572</v>
      </c>
      <c r="BH1409" s="29" t="s">
        <v>92</v>
      </c>
      <c r="BI1409" s="29" t="s">
        <v>2482</v>
      </c>
      <c r="BJ1409" s="29"/>
      <c r="BK1409" s="29" t="s">
        <v>148</v>
      </c>
      <c r="BL1409" s="29" t="s">
        <v>148</v>
      </c>
      <c r="BM1409" s="45"/>
      <c r="BN1409" s="45"/>
      <c r="BO1409" s="46"/>
      <c r="BP1409" s="2"/>
      <c r="BQ1409" s="3"/>
    </row>
    <row r="1410" ht="15.75" customHeight="1">
      <c r="A1410" s="34">
        <v>1433.0</v>
      </c>
      <c r="B1410" s="34">
        <v>103241.0</v>
      </c>
      <c r="C1410" s="34" t="s">
        <v>832</v>
      </c>
      <c r="D1410" s="34" t="s">
        <v>2477</v>
      </c>
      <c r="E1410" s="34" t="s">
        <v>2478</v>
      </c>
      <c r="F1410" s="34">
        <v>2018.0</v>
      </c>
      <c r="G1410" s="34" t="s">
        <v>2479</v>
      </c>
      <c r="H1410" s="34" t="s">
        <v>2449</v>
      </c>
      <c r="I1410" s="34" t="s">
        <v>2480</v>
      </c>
      <c r="J1410" s="35"/>
      <c r="K1410" s="36"/>
      <c r="L1410" s="36"/>
      <c r="M1410" s="36"/>
      <c r="N1410" s="36"/>
      <c r="O1410" s="36"/>
      <c r="P1410" s="37">
        <v>69.0</v>
      </c>
      <c r="Q1410" s="36"/>
      <c r="R1410" s="36" t="s">
        <v>209</v>
      </c>
      <c r="S1410" s="36">
        <v>1000.0</v>
      </c>
      <c r="T1410" s="36"/>
      <c r="U1410" s="36"/>
      <c r="V1410" s="36">
        <v>85.0</v>
      </c>
      <c r="W1410" s="36"/>
      <c r="X1410" s="38">
        <v>1.0</v>
      </c>
      <c r="Y1410" s="38" t="s">
        <v>2484</v>
      </c>
      <c r="Z1410" s="38" t="s">
        <v>2485</v>
      </c>
      <c r="AA1410" s="38" t="s">
        <v>288</v>
      </c>
      <c r="AB1410" s="38">
        <v>31.7894</v>
      </c>
      <c r="AC1410" s="38">
        <v>-110.828</v>
      </c>
      <c r="AD1410" s="38" t="s">
        <v>87</v>
      </c>
      <c r="AE1410" s="38">
        <v>1291.0</v>
      </c>
      <c r="AF1410" s="38"/>
      <c r="AG1410" s="38" t="s">
        <v>303</v>
      </c>
      <c r="AH1410" s="38"/>
      <c r="AI1410" s="50">
        <v>31.7894</v>
      </c>
      <c r="AJ1410" s="50">
        <v>-110.828</v>
      </c>
      <c r="AK1410" s="41" t="s">
        <v>288</v>
      </c>
      <c r="AL1410" s="40" t="s">
        <v>288</v>
      </c>
      <c r="AM1410" s="49">
        <v>1293.0</v>
      </c>
      <c r="AN1410" s="51">
        <v>1293.0</v>
      </c>
      <c r="AO1410" s="42" t="s">
        <v>304</v>
      </c>
      <c r="AP1410" s="43" t="s">
        <v>293</v>
      </c>
      <c r="AQ1410" s="44" t="str">
        <f t="shared" si="159"/>
        <v>GRA</v>
      </c>
      <c r="AR1410" s="44">
        <f t="shared" si="144"/>
        <v>1293</v>
      </c>
      <c r="AS1410" s="44" t="str">
        <f t="shared" si="160"/>
        <v>B</v>
      </c>
      <c r="AT1410" s="44" t="str">
        <f t="shared" si="114"/>
        <v>BS</v>
      </c>
      <c r="AU1410" s="44" t="str">
        <f t="shared" si="115"/>
        <v>BSk</v>
      </c>
      <c r="AV1410" s="38"/>
      <c r="AW1410" s="38"/>
      <c r="AX1410" s="38"/>
      <c r="AY1410" s="38"/>
      <c r="AZ1410" s="29">
        <v>1000.0</v>
      </c>
      <c r="BA1410" s="29">
        <v>1.0</v>
      </c>
      <c r="BB1410" s="29">
        <v>1.0</v>
      </c>
      <c r="BC1410" s="29"/>
      <c r="BD1410" s="29"/>
      <c r="BE1410" s="29"/>
      <c r="BF1410" s="29" t="s">
        <v>936</v>
      </c>
      <c r="BG1410" s="29" t="s">
        <v>572</v>
      </c>
      <c r="BH1410" s="29" t="s">
        <v>92</v>
      </c>
      <c r="BI1410" s="29" t="s">
        <v>2482</v>
      </c>
      <c r="BJ1410" s="29"/>
      <c r="BK1410" s="29" t="s">
        <v>148</v>
      </c>
      <c r="BL1410" s="29" t="s">
        <v>148</v>
      </c>
      <c r="BM1410" s="45"/>
      <c r="BN1410" s="45"/>
      <c r="BO1410" s="46"/>
      <c r="BP1410" s="2"/>
      <c r="BQ1410" s="3"/>
    </row>
    <row r="1411" ht="15.75" customHeight="1">
      <c r="A1411" s="34">
        <v>1434.0</v>
      </c>
      <c r="B1411" s="34">
        <v>103241.0</v>
      </c>
      <c r="C1411" s="34" t="s">
        <v>832</v>
      </c>
      <c r="D1411" s="34" t="s">
        <v>2477</v>
      </c>
      <c r="E1411" s="34" t="s">
        <v>2478</v>
      </c>
      <c r="F1411" s="34">
        <v>2018.0</v>
      </c>
      <c r="G1411" s="34" t="s">
        <v>2479</v>
      </c>
      <c r="H1411" s="34" t="s">
        <v>2449</v>
      </c>
      <c r="I1411" s="34" t="s">
        <v>2480</v>
      </c>
      <c r="J1411" s="35"/>
      <c r="K1411" s="36"/>
      <c r="L1411" s="36"/>
      <c r="M1411" s="36"/>
      <c r="N1411" s="36"/>
      <c r="O1411" s="36"/>
      <c r="P1411" s="72">
        <v>119.0</v>
      </c>
      <c r="Q1411" s="36"/>
      <c r="R1411" s="36" t="s">
        <v>209</v>
      </c>
      <c r="S1411" s="36">
        <v>1000.0</v>
      </c>
      <c r="T1411" s="36"/>
      <c r="U1411" s="36"/>
      <c r="V1411" s="36">
        <v>128.0</v>
      </c>
      <c r="W1411" s="36"/>
      <c r="X1411" s="38">
        <v>1.0</v>
      </c>
      <c r="Y1411" s="38" t="s">
        <v>314</v>
      </c>
      <c r="Z1411" s="38" t="s">
        <v>315</v>
      </c>
      <c r="AA1411" s="38" t="s">
        <v>288</v>
      </c>
      <c r="AB1411" s="38">
        <v>31.7365</v>
      </c>
      <c r="AC1411" s="38">
        <v>-109.942</v>
      </c>
      <c r="AD1411" s="38" t="s">
        <v>87</v>
      </c>
      <c r="AE1411" s="38">
        <v>1531.0</v>
      </c>
      <c r="AF1411" s="38"/>
      <c r="AG1411" s="38" t="s">
        <v>303</v>
      </c>
      <c r="AH1411" s="38"/>
      <c r="AI1411" s="50">
        <v>31.7365</v>
      </c>
      <c r="AJ1411" s="50">
        <v>-109.942</v>
      </c>
      <c r="AK1411" s="41" t="s">
        <v>291</v>
      </c>
      <c r="AL1411" s="40" t="s">
        <v>291</v>
      </c>
      <c r="AM1411" s="49">
        <v>1527.0</v>
      </c>
      <c r="AN1411" s="51">
        <v>1527.0</v>
      </c>
      <c r="AO1411" s="42" t="s">
        <v>293</v>
      </c>
      <c r="AP1411" s="43" t="s">
        <v>293</v>
      </c>
      <c r="AQ1411" s="44" t="str">
        <f t="shared" si="159"/>
        <v>GRA</v>
      </c>
      <c r="AR1411" s="44">
        <f t="shared" si="144"/>
        <v>1527</v>
      </c>
      <c r="AS1411" s="44" t="str">
        <f t="shared" si="160"/>
        <v>B</v>
      </c>
      <c r="AT1411" s="44" t="str">
        <f t="shared" si="114"/>
        <v>BS</v>
      </c>
      <c r="AU1411" s="44" t="str">
        <f t="shared" si="115"/>
        <v>BSk</v>
      </c>
      <c r="AV1411" s="38"/>
      <c r="AW1411" s="38"/>
      <c r="AX1411" s="38"/>
      <c r="AY1411" s="38"/>
      <c r="AZ1411" s="29">
        <v>1000.0</v>
      </c>
      <c r="BA1411" s="29">
        <v>1.0</v>
      </c>
      <c r="BB1411" s="29">
        <v>1.0</v>
      </c>
      <c r="BC1411" s="29"/>
      <c r="BD1411" s="29"/>
      <c r="BE1411" s="29"/>
      <c r="BF1411" s="29" t="s">
        <v>936</v>
      </c>
      <c r="BG1411" s="29" t="s">
        <v>572</v>
      </c>
      <c r="BH1411" s="29" t="s">
        <v>92</v>
      </c>
      <c r="BI1411" s="29" t="s">
        <v>2482</v>
      </c>
      <c r="BJ1411" s="29"/>
      <c r="BK1411" s="29" t="s">
        <v>148</v>
      </c>
      <c r="BL1411" s="29" t="s">
        <v>148</v>
      </c>
      <c r="BM1411" s="45"/>
      <c r="BN1411" s="45"/>
      <c r="BO1411" s="46"/>
      <c r="BP1411" s="2"/>
      <c r="BQ1411" s="3"/>
    </row>
    <row r="1412" ht="15.75" customHeight="1">
      <c r="A1412" s="34">
        <v>1435.0</v>
      </c>
      <c r="B1412" s="34">
        <v>103241.0</v>
      </c>
      <c r="C1412" s="34" t="s">
        <v>832</v>
      </c>
      <c r="D1412" s="34" t="s">
        <v>2477</v>
      </c>
      <c r="E1412" s="34" t="s">
        <v>2478</v>
      </c>
      <c r="F1412" s="34">
        <v>2018.0</v>
      </c>
      <c r="G1412" s="34" t="s">
        <v>2479</v>
      </c>
      <c r="H1412" s="34" t="s">
        <v>2449</v>
      </c>
      <c r="I1412" s="34" t="s">
        <v>2480</v>
      </c>
      <c r="J1412" s="35"/>
      <c r="K1412" s="36"/>
      <c r="L1412" s="36"/>
      <c r="M1412" s="36"/>
      <c r="N1412" s="36"/>
      <c r="O1412" s="36"/>
      <c r="P1412" s="37">
        <v>5.0</v>
      </c>
      <c r="Q1412" s="36"/>
      <c r="R1412" s="36" t="s">
        <v>209</v>
      </c>
      <c r="S1412" s="36">
        <v>1000.0</v>
      </c>
      <c r="T1412" s="36"/>
      <c r="U1412" s="36"/>
      <c r="V1412" s="36">
        <v>116.0</v>
      </c>
      <c r="W1412" s="36"/>
      <c r="X1412" s="38">
        <v>1.0</v>
      </c>
      <c r="Y1412" s="38" t="s">
        <v>2486</v>
      </c>
      <c r="Z1412" s="38" t="s">
        <v>2487</v>
      </c>
      <c r="AA1412" s="38" t="s">
        <v>197</v>
      </c>
      <c r="AB1412" s="38">
        <v>40.0329</v>
      </c>
      <c r="AC1412" s="38">
        <v>-105.546</v>
      </c>
      <c r="AD1412" s="38" t="s">
        <v>87</v>
      </c>
      <c r="AE1412" s="38">
        <v>3050.0</v>
      </c>
      <c r="AF1412" s="38"/>
      <c r="AG1412" s="38" t="s">
        <v>372</v>
      </c>
      <c r="AH1412" s="38"/>
      <c r="AI1412" s="50">
        <v>40.0329</v>
      </c>
      <c r="AJ1412" s="50">
        <v>-105.546</v>
      </c>
      <c r="AK1412" s="41" t="s">
        <v>197</v>
      </c>
      <c r="AL1412" s="40" t="s">
        <v>197</v>
      </c>
      <c r="AM1412" s="49">
        <v>3056.0</v>
      </c>
      <c r="AN1412" s="51">
        <v>3056.0</v>
      </c>
      <c r="AO1412" s="42" t="s">
        <v>412</v>
      </c>
      <c r="AP1412" s="43" t="s">
        <v>372</v>
      </c>
      <c r="AQ1412" s="44" t="str">
        <f t="shared" si="159"/>
        <v>ENF</v>
      </c>
      <c r="AR1412" s="44">
        <f t="shared" si="144"/>
        <v>3056</v>
      </c>
      <c r="AS1412" s="44" t="str">
        <f t="shared" si="160"/>
        <v>D</v>
      </c>
      <c r="AT1412" s="44" t="str">
        <f t="shared" si="114"/>
        <v>Df</v>
      </c>
      <c r="AU1412" s="44" t="str">
        <f t="shared" si="115"/>
        <v>Dfc</v>
      </c>
      <c r="AV1412" s="38"/>
      <c r="AW1412" s="38"/>
      <c r="AX1412" s="38"/>
      <c r="AY1412" s="38"/>
      <c r="AZ1412" s="29">
        <v>1000.0</v>
      </c>
      <c r="BA1412" s="29">
        <v>1.0</v>
      </c>
      <c r="BB1412" s="29">
        <v>1.0</v>
      </c>
      <c r="BC1412" s="29"/>
      <c r="BD1412" s="29"/>
      <c r="BE1412" s="29"/>
      <c r="BF1412" s="29" t="s">
        <v>936</v>
      </c>
      <c r="BG1412" s="29" t="s">
        <v>572</v>
      </c>
      <c r="BH1412" s="29" t="s">
        <v>92</v>
      </c>
      <c r="BI1412" s="29" t="s">
        <v>2482</v>
      </c>
      <c r="BJ1412" s="29"/>
      <c r="BK1412" s="29" t="s">
        <v>148</v>
      </c>
      <c r="BL1412" s="29" t="s">
        <v>148</v>
      </c>
      <c r="BM1412" s="45"/>
      <c r="BN1412" s="45"/>
      <c r="BO1412" s="46"/>
      <c r="BP1412" s="2"/>
      <c r="BQ1412" s="3"/>
    </row>
    <row r="1413" ht="15.75" customHeight="1">
      <c r="A1413" s="34">
        <v>1436.0</v>
      </c>
      <c r="B1413" s="34">
        <v>103241.0</v>
      </c>
      <c r="C1413" s="34" t="s">
        <v>832</v>
      </c>
      <c r="D1413" s="34" t="s">
        <v>2477</v>
      </c>
      <c r="E1413" s="34" t="s">
        <v>2478</v>
      </c>
      <c r="F1413" s="34">
        <v>2018.0</v>
      </c>
      <c r="G1413" s="34" t="s">
        <v>2479</v>
      </c>
      <c r="H1413" s="34" t="s">
        <v>2449</v>
      </c>
      <c r="I1413" s="34" t="s">
        <v>2480</v>
      </c>
      <c r="J1413" s="35"/>
      <c r="K1413" s="36"/>
      <c r="L1413" s="36"/>
      <c r="M1413" s="36"/>
      <c r="N1413" s="36"/>
      <c r="O1413" s="36"/>
      <c r="P1413" s="37">
        <v>0.0</v>
      </c>
      <c r="Q1413" s="36"/>
      <c r="R1413" s="36" t="s">
        <v>209</v>
      </c>
      <c r="S1413" s="36">
        <v>1000.0</v>
      </c>
      <c r="T1413" s="36"/>
      <c r="U1413" s="36"/>
      <c r="V1413" s="36">
        <v>59.0</v>
      </c>
      <c r="W1413" s="36"/>
      <c r="X1413" s="38">
        <v>1.0</v>
      </c>
      <c r="Y1413" s="38" t="s">
        <v>2488</v>
      </c>
      <c r="Z1413" s="38" t="s">
        <v>2489</v>
      </c>
      <c r="AA1413" s="38" t="s">
        <v>288</v>
      </c>
      <c r="AB1413" s="38">
        <v>39.0824</v>
      </c>
      <c r="AC1413" s="38">
        <v>-96.5603</v>
      </c>
      <c r="AD1413" s="38" t="s">
        <v>87</v>
      </c>
      <c r="AE1413" s="38">
        <v>330.0</v>
      </c>
      <c r="AF1413" s="38"/>
      <c r="AG1413" s="38" t="s">
        <v>201</v>
      </c>
      <c r="AH1413" s="38"/>
      <c r="AI1413" s="50">
        <v>39.0824</v>
      </c>
      <c r="AJ1413" s="50">
        <v>-96.5603</v>
      </c>
      <c r="AK1413" s="41" t="s">
        <v>288</v>
      </c>
      <c r="AL1413" s="40" t="s">
        <v>288</v>
      </c>
      <c r="AM1413" s="49">
        <v>446.0</v>
      </c>
      <c r="AN1413" s="51">
        <v>446.0</v>
      </c>
      <c r="AO1413" s="42" t="s">
        <v>107</v>
      </c>
      <c r="AP1413" s="43" t="s">
        <v>108</v>
      </c>
      <c r="AQ1413" s="44" t="str">
        <f t="shared" si="159"/>
        <v>GRA</v>
      </c>
      <c r="AR1413" s="44">
        <f t="shared" si="144"/>
        <v>446</v>
      </c>
      <c r="AS1413" s="44" t="str">
        <f t="shared" si="160"/>
        <v>D</v>
      </c>
      <c r="AT1413" s="44" t="str">
        <f t="shared" si="114"/>
        <v>Df</v>
      </c>
      <c r="AU1413" s="44" t="str">
        <f t="shared" si="115"/>
        <v>Dfa</v>
      </c>
      <c r="AV1413" s="38"/>
      <c r="AW1413" s="38"/>
      <c r="AX1413" s="38"/>
      <c r="AY1413" s="38"/>
      <c r="AZ1413" s="29">
        <v>1000.0</v>
      </c>
      <c r="BA1413" s="29">
        <v>1.0</v>
      </c>
      <c r="BB1413" s="29">
        <v>1.0</v>
      </c>
      <c r="BC1413" s="29"/>
      <c r="BD1413" s="29"/>
      <c r="BE1413" s="29"/>
      <c r="BF1413" s="29" t="s">
        <v>936</v>
      </c>
      <c r="BG1413" s="29" t="s">
        <v>572</v>
      </c>
      <c r="BH1413" s="29" t="s">
        <v>92</v>
      </c>
      <c r="BI1413" s="29" t="s">
        <v>2482</v>
      </c>
      <c r="BJ1413" s="29"/>
      <c r="BK1413" s="29" t="s">
        <v>148</v>
      </c>
      <c r="BL1413" s="29" t="s">
        <v>148</v>
      </c>
      <c r="BM1413" s="45"/>
      <c r="BN1413" s="45"/>
      <c r="BO1413" s="46"/>
      <c r="BP1413" s="2"/>
      <c r="BQ1413" s="3"/>
    </row>
    <row r="1414" ht="15.75" customHeight="1">
      <c r="A1414" s="34">
        <v>1437.0</v>
      </c>
      <c r="B1414" s="34">
        <v>103241.0</v>
      </c>
      <c r="C1414" s="34" t="s">
        <v>832</v>
      </c>
      <c r="D1414" s="34" t="s">
        <v>2477</v>
      </c>
      <c r="E1414" s="34" t="s">
        <v>2478</v>
      </c>
      <c r="F1414" s="34">
        <v>2018.0</v>
      </c>
      <c r="G1414" s="34" t="s">
        <v>2479</v>
      </c>
      <c r="H1414" s="34" t="s">
        <v>2449</v>
      </c>
      <c r="I1414" s="34" t="s">
        <v>2480</v>
      </c>
      <c r="J1414" s="35"/>
      <c r="K1414" s="36"/>
      <c r="L1414" s="36"/>
      <c r="M1414" s="36"/>
      <c r="N1414" s="36"/>
      <c r="O1414" s="36"/>
      <c r="P1414" s="37">
        <v>2.0</v>
      </c>
      <c r="Q1414" s="36"/>
      <c r="R1414" s="36" t="s">
        <v>209</v>
      </c>
      <c r="S1414" s="36">
        <v>1000.0</v>
      </c>
      <c r="T1414" s="36"/>
      <c r="U1414" s="36"/>
      <c r="V1414" s="36">
        <v>88.0</v>
      </c>
      <c r="W1414" s="36"/>
      <c r="X1414" s="38">
        <v>1.0</v>
      </c>
      <c r="Y1414" s="38" t="s">
        <v>2490</v>
      </c>
      <c r="Z1414" s="38" t="s">
        <v>2491</v>
      </c>
      <c r="AA1414" s="38" t="s">
        <v>288</v>
      </c>
      <c r="AB1414" s="38">
        <v>39.0561</v>
      </c>
      <c r="AC1414" s="38">
        <v>-95.1907</v>
      </c>
      <c r="AD1414" s="38" t="s">
        <v>87</v>
      </c>
      <c r="AE1414" s="38">
        <v>310.0</v>
      </c>
      <c r="AF1414" s="38"/>
      <c r="AG1414" s="38" t="s">
        <v>201</v>
      </c>
      <c r="AH1414" s="38"/>
      <c r="AI1414" s="50">
        <v>39.0561</v>
      </c>
      <c r="AJ1414" s="50">
        <v>-95.1907</v>
      </c>
      <c r="AK1414" s="41" t="s">
        <v>313</v>
      </c>
      <c r="AL1414" s="40" t="s">
        <v>313</v>
      </c>
      <c r="AM1414" s="49">
        <v>333.0</v>
      </c>
      <c r="AN1414" s="51">
        <v>333.0</v>
      </c>
      <c r="AO1414" s="42" t="s">
        <v>107</v>
      </c>
      <c r="AP1414" s="43" t="s">
        <v>108</v>
      </c>
      <c r="AQ1414" s="44" t="str">
        <f t="shared" si="159"/>
        <v>GRA</v>
      </c>
      <c r="AR1414" s="44">
        <f t="shared" si="144"/>
        <v>333</v>
      </c>
      <c r="AS1414" s="44" t="str">
        <f t="shared" si="160"/>
        <v>D</v>
      </c>
      <c r="AT1414" s="44" t="str">
        <f t="shared" si="114"/>
        <v>Df</v>
      </c>
      <c r="AU1414" s="44" t="str">
        <f t="shared" si="115"/>
        <v>Dfa</v>
      </c>
      <c r="AV1414" s="38"/>
      <c r="AW1414" s="38"/>
      <c r="AX1414" s="38"/>
      <c r="AY1414" s="38"/>
      <c r="AZ1414" s="29">
        <v>1000.0</v>
      </c>
      <c r="BA1414" s="29">
        <v>1.0</v>
      </c>
      <c r="BB1414" s="29">
        <v>1.0</v>
      </c>
      <c r="BC1414" s="29"/>
      <c r="BD1414" s="29"/>
      <c r="BE1414" s="29"/>
      <c r="BF1414" s="29" t="s">
        <v>936</v>
      </c>
      <c r="BG1414" s="29" t="s">
        <v>572</v>
      </c>
      <c r="BH1414" s="29" t="s">
        <v>92</v>
      </c>
      <c r="BI1414" s="29" t="s">
        <v>2482</v>
      </c>
      <c r="BJ1414" s="29"/>
      <c r="BK1414" s="29" t="s">
        <v>148</v>
      </c>
      <c r="BL1414" s="29" t="s">
        <v>148</v>
      </c>
      <c r="BM1414" s="45"/>
      <c r="BN1414" s="45"/>
      <c r="BO1414" s="46"/>
      <c r="BP1414" s="2"/>
      <c r="BQ1414" s="3"/>
    </row>
    <row r="1415" ht="15.75" customHeight="1">
      <c r="A1415" s="34">
        <v>1438.0</v>
      </c>
      <c r="B1415" s="34">
        <v>103241.0</v>
      </c>
      <c r="C1415" s="34" t="s">
        <v>832</v>
      </c>
      <c r="D1415" s="34" t="s">
        <v>2477</v>
      </c>
      <c r="E1415" s="34" t="s">
        <v>2478</v>
      </c>
      <c r="F1415" s="34">
        <v>2018.0</v>
      </c>
      <c r="G1415" s="34" t="s">
        <v>2479</v>
      </c>
      <c r="H1415" s="34" t="s">
        <v>2449</v>
      </c>
      <c r="I1415" s="34" t="s">
        <v>2480</v>
      </c>
      <c r="J1415" s="35"/>
      <c r="K1415" s="36"/>
      <c r="L1415" s="36"/>
      <c r="M1415" s="36"/>
      <c r="N1415" s="36"/>
      <c r="O1415" s="36"/>
      <c r="P1415" s="37">
        <v>48.0</v>
      </c>
      <c r="Q1415" s="36"/>
      <c r="R1415" s="36" t="s">
        <v>209</v>
      </c>
      <c r="S1415" s="36">
        <v>1000.0</v>
      </c>
      <c r="T1415" s="36"/>
      <c r="U1415" s="36"/>
      <c r="V1415" s="36">
        <v>61.0</v>
      </c>
      <c r="W1415" s="36"/>
      <c r="X1415" s="38">
        <v>1.0</v>
      </c>
      <c r="Y1415" s="38" t="s">
        <v>519</v>
      </c>
      <c r="Z1415" s="38" t="s">
        <v>520</v>
      </c>
      <c r="AA1415" s="38" t="s">
        <v>86</v>
      </c>
      <c r="AB1415" s="38">
        <v>36.6058</v>
      </c>
      <c r="AC1415" s="38">
        <v>-97.4888</v>
      </c>
      <c r="AD1415" s="38" t="s">
        <v>87</v>
      </c>
      <c r="AE1415" s="38">
        <v>314.0</v>
      </c>
      <c r="AF1415" s="38"/>
      <c r="AG1415" s="38" t="s">
        <v>201</v>
      </c>
      <c r="AH1415" s="38"/>
      <c r="AI1415" s="50">
        <v>36.6058</v>
      </c>
      <c r="AJ1415" s="50">
        <v>-97.4884</v>
      </c>
      <c r="AK1415" s="41" t="s">
        <v>86</v>
      </c>
      <c r="AL1415" s="40" t="s">
        <v>86</v>
      </c>
      <c r="AM1415" s="49">
        <v>322.0</v>
      </c>
      <c r="AN1415" s="51">
        <v>322.0</v>
      </c>
      <c r="AO1415" s="42" t="s">
        <v>201</v>
      </c>
      <c r="AP1415" s="43" t="s">
        <v>201</v>
      </c>
      <c r="AQ1415" s="44" t="str">
        <f t="shared" si="159"/>
        <v>CRO</v>
      </c>
      <c r="AR1415" s="44">
        <f t="shared" si="144"/>
        <v>322</v>
      </c>
      <c r="AS1415" s="44" t="str">
        <f t="shared" si="160"/>
        <v>C</v>
      </c>
      <c r="AT1415" s="44" t="str">
        <f t="shared" si="114"/>
        <v>Cf</v>
      </c>
      <c r="AU1415" s="44" t="str">
        <f t="shared" si="115"/>
        <v>Cfa</v>
      </c>
      <c r="AV1415" s="38"/>
      <c r="AW1415" s="38"/>
      <c r="AX1415" s="38"/>
      <c r="AY1415" s="38"/>
      <c r="AZ1415" s="29">
        <v>1000.0</v>
      </c>
      <c r="BA1415" s="29">
        <v>1.0</v>
      </c>
      <c r="BB1415" s="29">
        <v>1.0</v>
      </c>
      <c r="BC1415" s="29"/>
      <c r="BD1415" s="29"/>
      <c r="BE1415" s="29"/>
      <c r="BF1415" s="29" t="s">
        <v>936</v>
      </c>
      <c r="BG1415" s="29" t="s">
        <v>572</v>
      </c>
      <c r="BH1415" s="29" t="s">
        <v>92</v>
      </c>
      <c r="BI1415" s="29" t="s">
        <v>2482</v>
      </c>
      <c r="BJ1415" s="29"/>
      <c r="BK1415" s="29" t="s">
        <v>148</v>
      </c>
      <c r="BL1415" s="29" t="s">
        <v>148</v>
      </c>
      <c r="BM1415" s="45"/>
      <c r="BN1415" s="45"/>
      <c r="BO1415" s="46"/>
      <c r="BP1415" s="2"/>
      <c r="BQ1415" s="3"/>
    </row>
    <row r="1416" ht="15.75" customHeight="1">
      <c r="A1416" s="34">
        <v>1439.0</v>
      </c>
      <c r="B1416" s="34">
        <v>103241.0</v>
      </c>
      <c r="C1416" s="34" t="s">
        <v>832</v>
      </c>
      <c r="D1416" s="34" t="s">
        <v>2477</v>
      </c>
      <c r="E1416" s="34" t="s">
        <v>2478</v>
      </c>
      <c r="F1416" s="34">
        <v>2018.0</v>
      </c>
      <c r="G1416" s="34" t="s">
        <v>2479</v>
      </c>
      <c r="H1416" s="34" t="s">
        <v>2449</v>
      </c>
      <c r="I1416" s="34" t="s">
        <v>2480</v>
      </c>
      <c r="J1416" s="35"/>
      <c r="K1416" s="36"/>
      <c r="L1416" s="36"/>
      <c r="M1416" s="36"/>
      <c r="N1416" s="36"/>
      <c r="O1416" s="36"/>
      <c r="P1416" s="37">
        <v>-15.0</v>
      </c>
      <c r="Q1416" s="36"/>
      <c r="R1416" s="36" t="s">
        <v>209</v>
      </c>
      <c r="S1416" s="36">
        <v>1000.0</v>
      </c>
      <c r="T1416" s="36"/>
      <c r="U1416" s="36"/>
      <c r="V1416" s="36">
        <v>114.0</v>
      </c>
      <c r="W1416" s="36"/>
      <c r="X1416" s="38">
        <v>1.0</v>
      </c>
      <c r="Y1416" s="38" t="s">
        <v>523</v>
      </c>
      <c r="Z1416" s="38" t="s">
        <v>524</v>
      </c>
      <c r="AA1416" s="38" t="s">
        <v>86</v>
      </c>
      <c r="AB1416" s="38">
        <v>41.1651</v>
      </c>
      <c r="AC1416" s="38">
        <v>-96.4766</v>
      </c>
      <c r="AD1416" s="38" t="s">
        <v>87</v>
      </c>
      <c r="AE1416" s="38">
        <v>361.0</v>
      </c>
      <c r="AF1416" s="38"/>
      <c r="AG1416" s="38" t="s">
        <v>108</v>
      </c>
      <c r="AH1416" s="38"/>
      <c r="AI1416" s="50">
        <v>41.1651</v>
      </c>
      <c r="AJ1416" s="50">
        <v>-96.4766</v>
      </c>
      <c r="AK1416" s="41" t="s">
        <v>86</v>
      </c>
      <c r="AL1416" s="40" t="s">
        <v>86</v>
      </c>
      <c r="AM1416" s="49">
        <v>356.0</v>
      </c>
      <c r="AN1416" s="51">
        <v>356.0</v>
      </c>
      <c r="AO1416" s="42" t="s">
        <v>107</v>
      </c>
      <c r="AP1416" s="43" t="s">
        <v>108</v>
      </c>
      <c r="AQ1416" s="44" t="str">
        <f t="shared" si="159"/>
        <v>CRO</v>
      </c>
      <c r="AR1416" s="44">
        <f t="shared" si="144"/>
        <v>356</v>
      </c>
      <c r="AS1416" s="44" t="str">
        <f t="shared" si="160"/>
        <v>D</v>
      </c>
      <c r="AT1416" s="44" t="str">
        <f t="shared" si="114"/>
        <v>Df</v>
      </c>
      <c r="AU1416" s="44" t="str">
        <f t="shared" si="115"/>
        <v>Dfa</v>
      </c>
      <c r="AV1416" s="38"/>
      <c r="AW1416" s="38"/>
      <c r="AX1416" s="38"/>
      <c r="AY1416" s="38"/>
      <c r="AZ1416" s="29">
        <v>1000.0</v>
      </c>
      <c r="BA1416" s="29">
        <v>1.0</v>
      </c>
      <c r="BB1416" s="29">
        <v>1.0</v>
      </c>
      <c r="BC1416" s="29"/>
      <c r="BD1416" s="29"/>
      <c r="BE1416" s="29"/>
      <c r="BF1416" s="29" t="s">
        <v>936</v>
      </c>
      <c r="BG1416" s="29" t="s">
        <v>572</v>
      </c>
      <c r="BH1416" s="29" t="s">
        <v>92</v>
      </c>
      <c r="BI1416" s="29" t="s">
        <v>2482</v>
      </c>
      <c r="BJ1416" s="29"/>
      <c r="BK1416" s="29" t="s">
        <v>148</v>
      </c>
      <c r="BL1416" s="29" t="s">
        <v>148</v>
      </c>
      <c r="BM1416" s="45"/>
      <c r="BN1416" s="45"/>
      <c r="BO1416" s="46"/>
      <c r="BP1416" s="2"/>
      <c r="BQ1416" s="3"/>
    </row>
    <row r="1417" ht="15.75" customHeight="1">
      <c r="A1417" s="34">
        <v>1440.0</v>
      </c>
      <c r="B1417" s="34">
        <v>103241.0</v>
      </c>
      <c r="C1417" s="34" t="s">
        <v>832</v>
      </c>
      <c r="D1417" s="34" t="s">
        <v>2477</v>
      </c>
      <c r="E1417" s="34" t="s">
        <v>2478</v>
      </c>
      <c r="F1417" s="34">
        <v>2018.0</v>
      </c>
      <c r="G1417" s="34" t="s">
        <v>2479</v>
      </c>
      <c r="H1417" s="34" t="s">
        <v>2449</v>
      </c>
      <c r="I1417" s="34" t="s">
        <v>2480</v>
      </c>
      <c r="J1417" s="35"/>
      <c r="K1417" s="36"/>
      <c r="L1417" s="36"/>
      <c r="M1417" s="36"/>
      <c r="N1417" s="36"/>
      <c r="O1417" s="36"/>
      <c r="P1417" s="37">
        <v>17.0</v>
      </c>
      <c r="Q1417" s="36"/>
      <c r="R1417" s="36" t="s">
        <v>209</v>
      </c>
      <c r="S1417" s="36">
        <v>1000.0</v>
      </c>
      <c r="T1417" s="36"/>
      <c r="U1417" s="36"/>
      <c r="V1417" s="36">
        <v>108.0</v>
      </c>
      <c r="W1417" s="36"/>
      <c r="X1417" s="38">
        <v>1.0</v>
      </c>
      <c r="Y1417" s="38" t="s">
        <v>1309</v>
      </c>
      <c r="Z1417" s="38" t="s">
        <v>1310</v>
      </c>
      <c r="AA1417" s="38" t="s">
        <v>370</v>
      </c>
      <c r="AB1417" s="38">
        <v>39.3232</v>
      </c>
      <c r="AC1417" s="38">
        <v>-86.4131</v>
      </c>
      <c r="AD1417" s="38" t="s">
        <v>87</v>
      </c>
      <c r="AE1417" s="38">
        <v>275.0</v>
      </c>
      <c r="AF1417" s="38"/>
      <c r="AG1417" s="38" t="s">
        <v>201</v>
      </c>
      <c r="AH1417" s="38"/>
      <c r="AI1417" s="50">
        <v>39.3232</v>
      </c>
      <c r="AJ1417" s="50">
        <v>-86.4131</v>
      </c>
      <c r="AK1417" s="41" t="s">
        <v>370</v>
      </c>
      <c r="AL1417" s="40" t="s">
        <v>370</v>
      </c>
      <c r="AM1417" s="49">
        <v>297.0</v>
      </c>
      <c r="AN1417" s="51">
        <v>297.0</v>
      </c>
      <c r="AO1417" s="42" t="s">
        <v>107</v>
      </c>
      <c r="AP1417" s="43" t="s">
        <v>108</v>
      </c>
      <c r="AQ1417" s="44" t="str">
        <f t="shared" si="159"/>
        <v>DBF</v>
      </c>
      <c r="AR1417" s="44">
        <f t="shared" si="144"/>
        <v>297</v>
      </c>
      <c r="AS1417" s="44" t="str">
        <f t="shared" si="160"/>
        <v>D</v>
      </c>
      <c r="AT1417" s="44" t="str">
        <f t="shared" si="114"/>
        <v>Df</v>
      </c>
      <c r="AU1417" s="44" t="str">
        <f t="shared" si="115"/>
        <v>Dfa</v>
      </c>
      <c r="AV1417" s="38"/>
      <c r="AW1417" s="38"/>
      <c r="AX1417" s="38"/>
      <c r="AY1417" s="38"/>
      <c r="AZ1417" s="29">
        <v>1000.0</v>
      </c>
      <c r="BA1417" s="29">
        <v>1.0</v>
      </c>
      <c r="BB1417" s="29">
        <v>1.0</v>
      </c>
      <c r="BC1417" s="29"/>
      <c r="BD1417" s="29"/>
      <c r="BE1417" s="29"/>
      <c r="BF1417" s="29" t="s">
        <v>936</v>
      </c>
      <c r="BG1417" s="29" t="s">
        <v>572</v>
      </c>
      <c r="BH1417" s="29" t="s">
        <v>92</v>
      </c>
      <c r="BI1417" s="29" t="s">
        <v>2482</v>
      </c>
      <c r="BJ1417" s="29"/>
      <c r="BK1417" s="29" t="s">
        <v>148</v>
      </c>
      <c r="BL1417" s="29" t="s">
        <v>148</v>
      </c>
      <c r="BM1417" s="45"/>
      <c r="BN1417" s="45"/>
      <c r="BO1417" s="46"/>
      <c r="BP1417" s="2"/>
      <c r="BQ1417" s="3"/>
    </row>
    <row r="1418" ht="15.75" customHeight="1">
      <c r="A1418" s="34">
        <v>1441.0</v>
      </c>
      <c r="B1418" s="34">
        <v>103241.0</v>
      </c>
      <c r="C1418" s="34" t="s">
        <v>832</v>
      </c>
      <c r="D1418" s="34" t="s">
        <v>2477</v>
      </c>
      <c r="E1418" s="34" t="s">
        <v>2478</v>
      </c>
      <c r="F1418" s="34">
        <v>2018.0</v>
      </c>
      <c r="G1418" s="34" t="s">
        <v>2479</v>
      </c>
      <c r="H1418" s="34" t="s">
        <v>2449</v>
      </c>
      <c r="I1418" s="34" t="s">
        <v>2480</v>
      </c>
      <c r="J1418" s="35"/>
      <c r="K1418" s="36"/>
      <c r="L1418" s="36"/>
      <c r="M1418" s="36"/>
      <c r="N1418" s="36"/>
      <c r="O1418" s="36"/>
      <c r="P1418" s="37">
        <v>23.0</v>
      </c>
      <c r="Q1418" s="36"/>
      <c r="R1418" s="36" t="s">
        <v>209</v>
      </c>
      <c r="S1418" s="36">
        <v>1000.0</v>
      </c>
      <c r="T1418" s="36"/>
      <c r="U1418" s="36"/>
      <c r="V1418" s="36">
        <v>75.0</v>
      </c>
      <c r="W1418" s="36"/>
      <c r="X1418" s="38">
        <v>1.0</v>
      </c>
      <c r="Y1418" s="38" t="s">
        <v>546</v>
      </c>
      <c r="Z1418" s="38" t="s">
        <v>2492</v>
      </c>
      <c r="AA1418" s="38" t="s">
        <v>197</v>
      </c>
      <c r="AB1418" s="38">
        <v>35.8118</v>
      </c>
      <c r="AC1418" s="38">
        <v>-76.7119</v>
      </c>
      <c r="AD1418" s="38" t="s">
        <v>87</v>
      </c>
      <c r="AE1418" s="38">
        <v>5.0</v>
      </c>
      <c r="AF1418" s="38" t="s">
        <v>550</v>
      </c>
      <c r="AG1418" s="38" t="s">
        <v>201</v>
      </c>
      <c r="AH1418" s="38"/>
      <c r="AI1418" s="50">
        <v>35.8118</v>
      </c>
      <c r="AJ1418" s="50">
        <v>-76.7119</v>
      </c>
      <c r="AK1418" s="41" t="s">
        <v>197</v>
      </c>
      <c r="AL1418" s="40" t="s">
        <v>197</v>
      </c>
      <c r="AM1418" s="49">
        <v>26.0</v>
      </c>
      <c r="AN1418" s="51">
        <v>26.0</v>
      </c>
      <c r="AO1418" s="42" t="s">
        <v>201</v>
      </c>
      <c r="AP1418" s="43" t="s">
        <v>201</v>
      </c>
      <c r="AQ1418" s="44" t="str">
        <f t="shared" si="159"/>
        <v>ENF</v>
      </c>
      <c r="AR1418" s="44">
        <f t="shared" si="144"/>
        <v>26</v>
      </c>
      <c r="AS1418" s="44" t="str">
        <f t="shared" si="160"/>
        <v>C</v>
      </c>
      <c r="AT1418" s="44" t="str">
        <f t="shared" si="114"/>
        <v>Cf</v>
      </c>
      <c r="AU1418" s="44" t="str">
        <f t="shared" si="115"/>
        <v>Cfa</v>
      </c>
      <c r="AV1418" s="38"/>
      <c r="AW1418" s="38"/>
      <c r="AX1418" s="38"/>
      <c r="AY1418" s="38"/>
      <c r="AZ1418" s="29">
        <v>1000.0</v>
      </c>
      <c r="BA1418" s="29">
        <v>1.0</v>
      </c>
      <c r="BB1418" s="29">
        <v>1.0</v>
      </c>
      <c r="BC1418" s="29"/>
      <c r="BD1418" s="29"/>
      <c r="BE1418" s="29"/>
      <c r="BF1418" s="29" t="s">
        <v>936</v>
      </c>
      <c r="BG1418" s="29" t="s">
        <v>572</v>
      </c>
      <c r="BH1418" s="29" t="s">
        <v>92</v>
      </c>
      <c r="BI1418" s="29" t="s">
        <v>2482</v>
      </c>
      <c r="BJ1418" s="29"/>
      <c r="BK1418" s="29" t="s">
        <v>148</v>
      </c>
      <c r="BL1418" s="29" t="s">
        <v>148</v>
      </c>
      <c r="BM1418" s="45"/>
      <c r="BN1418" s="45"/>
      <c r="BO1418" s="46"/>
      <c r="BP1418" s="2"/>
      <c r="BQ1418" s="3"/>
    </row>
    <row r="1419" ht="15.75" customHeight="1">
      <c r="A1419" s="34">
        <v>1442.0</v>
      </c>
      <c r="B1419" s="34">
        <v>103241.0</v>
      </c>
      <c r="C1419" s="34" t="s">
        <v>832</v>
      </c>
      <c r="D1419" s="34" t="s">
        <v>2477</v>
      </c>
      <c r="E1419" s="34" t="s">
        <v>2478</v>
      </c>
      <c r="F1419" s="34">
        <v>2018.0</v>
      </c>
      <c r="G1419" s="34" t="s">
        <v>2479</v>
      </c>
      <c r="H1419" s="34" t="s">
        <v>2449</v>
      </c>
      <c r="I1419" s="34" t="s">
        <v>2480</v>
      </c>
      <c r="J1419" s="35"/>
      <c r="K1419" s="36"/>
      <c r="L1419" s="36"/>
      <c r="M1419" s="36"/>
      <c r="N1419" s="36"/>
      <c r="O1419" s="36"/>
      <c r="P1419" s="37">
        <v>-20.0</v>
      </c>
      <c r="Q1419" s="36"/>
      <c r="R1419" s="36" t="s">
        <v>209</v>
      </c>
      <c r="S1419" s="36">
        <v>1000.0</v>
      </c>
      <c r="T1419" s="36"/>
      <c r="U1419" s="36"/>
      <c r="V1419" s="36">
        <v>65.0</v>
      </c>
      <c r="W1419" s="36"/>
      <c r="X1419" s="38">
        <v>1.0</v>
      </c>
      <c r="Y1419" s="38" t="s">
        <v>556</v>
      </c>
      <c r="Z1419" s="38" t="s">
        <v>557</v>
      </c>
      <c r="AA1419" s="38" t="s">
        <v>197</v>
      </c>
      <c r="AB1419" s="38">
        <v>35.803</v>
      </c>
      <c r="AC1419" s="38">
        <v>-76.6685</v>
      </c>
      <c r="AD1419" s="38" t="s">
        <v>87</v>
      </c>
      <c r="AE1419" s="38">
        <v>5.0</v>
      </c>
      <c r="AF1419" s="38" t="s">
        <v>550</v>
      </c>
      <c r="AG1419" s="38" t="s">
        <v>201</v>
      </c>
      <c r="AH1419" s="38"/>
      <c r="AI1419" s="50">
        <v>35.803</v>
      </c>
      <c r="AJ1419" s="50">
        <v>-76.6685</v>
      </c>
      <c r="AK1419" s="41" t="s">
        <v>197</v>
      </c>
      <c r="AL1419" s="40" t="s">
        <v>197</v>
      </c>
      <c r="AM1419" s="49">
        <v>9.0</v>
      </c>
      <c r="AN1419" s="51">
        <v>9.0</v>
      </c>
      <c r="AO1419" s="42" t="s">
        <v>201</v>
      </c>
      <c r="AP1419" s="43" t="s">
        <v>201</v>
      </c>
      <c r="AQ1419" s="44" t="str">
        <f t="shared" si="159"/>
        <v>ENF</v>
      </c>
      <c r="AR1419" s="44">
        <f t="shared" si="144"/>
        <v>9</v>
      </c>
      <c r="AS1419" s="44" t="str">
        <f t="shared" si="160"/>
        <v>C</v>
      </c>
      <c r="AT1419" s="44" t="str">
        <f t="shared" si="114"/>
        <v>Cf</v>
      </c>
      <c r="AU1419" s="44" t="str">
        <f t="shared" si="115"/>
        <v>Cfa</v>
      </c>
      <c r="AV1419" s="38"/>
      <c r="AW1419" s="38"/>
      <c r="AX1419" s="38"/>
      <c r="AY1419" s="38"/>
      <c r="AZ1419" s="29">
        <v>1000.0</v>
      </c>
      <c r="BA1419" s="29">
        <v>1.0</v>
      </c>
      <c r="BB1419" s="29">
        <v>1.0</v>
      </c>
      <c r="BC1419" s="29"/>
      <c r="BD1419" s="29"/>
      <c r="BE1419" s="29"/>
      <c r="BF1419" s="29" t="s">
        <v>936</v>
      </c>
      <c r="BG1419" s="29" t="s">
        <v>572</v>
      </c>
      <c r="BH1419" s="29" t="s">
        <v>92</v>
      </c>
      <c r="BI1419" s="29" t="s">
        <v>2482</v>
      </c>
      <c r="BJ1419" s="29"/>
      <c r="BK1419" s="29" t="s">
        <v>148</v>
      </c>
      <c r="BL1419" s="29" t="s">
        <v>148</v>
      </c>
      <c r="BM1419" s="45"/>
      <c r="BN1419" s="45"/>
      <c r="BO1419" s="46"/>
      <c r="BP1419" s="2"/>
      <c r="BQ1419" s="3"/>
    </row>
    <row r="1420" ht="15.75" customHeight="1">
      <c r="A1420" s="34">
        <v>1443.0</v>
      </c>
      <c r="B1420" s="34">
        <v>103241.0</v>
      </c>
      <c r="C1420" s="34" t="s">
        <v>832</v>
      </c>
      <c r="D1420" s="34" t="s">
        <v>2477</v>
      </c>
      <c r="E1420" s="34" t="s">
        <v>2478</v>
      </c>
      <c r="F1420" s="34">
        <v>2018.0</v>
      </c>
      <c r="G1420" s="34" t="s">
        <v>2479</v>
      </c>
      <c r="H1420" s="34" t="s">
        <v>2449</v>
      </c>
      <c r="I1420" s="34" t="s">
        <v>2480</v>
      </c>
      <c r="J1420" s="35"/>
      <c r="K1420" s="36"/>
      <c r="L1420" s="36"/>
      <c r="M1420" s="36"/>
      <c r="N1420" s="36"/>
      <c r="O1420" s="36"/>
      <c r="P1420" s="37">
        <v>-21.0</v>
      </c>
      <c r="Q1420" s="36"/>
      <c r="R1420" s="36" t="s">
        <v>209</v>
      </c>
      <c r="S1420" s="36">
        <v>1000.0</v>
      </c>
      <c r="T1420" s="36"/>
      <c r="U1420" s="36"/>
      <c r="V1420" s="36">
        <v>80.0</v>
      </c>
      <c r="W1420" s="36"/>
      <c r="X1420" s="38">
        <v>1.0</v>
      </c>
      <c r="Y1420" s="38" t="s">
        <v>1314</v>
      </c>
      <c r="Z1420" s="38" t="s">
        <v>1315</v>
      </c>
      <c r="AA1420" s="38" t="s">
        <v>197</v>
      </c>
      <c r="AB1420" s="38">
        <v>44.4523</v>
      </c>
      <c r="AC1420" s="38">
        <v>-121.557</v>
      </c>
      <c r="AD1420" s="38" t="s">
        <v>87</v>
      </c>
      <c r="AE1420" s="38">
        <v>1253.0</v>
      </c>
      <c r="AF1420" s="38"/>
      <c r="AG1420" s="38" t="s">
        <v>445</v>
      </c>
      <c r="AH1420" s="38"/>
      <c r="AI1420" s="50">
        <v>44.4523</v>
      </c>
      <c r="AJ1420" s="50">
        <v>-121.557</v>
      </c>
      <c r="AK1420" s="41" t="s">
        <v>197</v>
      </c>
      <c r="AL1420" s="40" t="s">
        <v>197</v>
      </c>
      <c r="AM1420" s="49">
        <v>1259.0</v>
      </c>
      <c r="AN1420" s="51">
        <v>1259.0</v>
      </c>
      <c r="AO1420" s="42" t="s">
        <v>321</v>
      </c>
      <c r="AP1420" s="43" t="s">
        <v>321</v>
      </c>
      <c r="AQ1420" s="44" t="str">
        <f t="shared" si="159"/>
        <v>ENF</v>
      </c>
      <c r="AR1420" s="44">
        <f t="shared" si="144"/>
        <v>1259</v>
      </c>
      <c r="AS1420" s="44" t="str">
        <f t="shared" si="160"/>
        <v>D</v>
      </c>
      <c r="AT1420" s="44" t="str">
        <f t="shared" si="114"/>
        <v>Ds</v>
      </c>
      <c r="AU1420" s="44" t="str">
        <f t="shared" si="115"/>
        <v>Dsb</v>
      </c>
      <c r="AV1420" s="38"/>
      <c r="AW1420" s="38"/>
      <c r="AX1420" s="38"/>
      <c r="AY1420" s="38"/>
      <c r="AZ1420" s="29">
        <v>1000.0</v>
      </c>
      <c r="BA1420" s="29">
        <v>1.0</v>
      </c>
      <c r="BB1420" s="29">
        <v>2.0</v>
      </c>
      <c r="BC1420" s="29" t="s">
        <v>2266</v>
      </c>
      <c r="BD1420" s="29" t="s">
        <v>88</v>
      </c>
      <c r="BE1420" s="29"/>
      <c r="BF1420" s="29" t="s">
        <v>219</v>
      </c>
      <c r="BG1420" s="29" t="s">
        <v>220</v>
      </c>
      <c r="BH1420" s="29" t="s">
        <v>92</v>
      </c>
      <c r="BI1420" s="29"/>
      <c r="BJ1420" s="29"/>
      <c r="BK1420" s="29" t="s">
        <v>148</v>
      </c>
      <c r="BL1420" s="29" t="s">
        <v>148</v>
      </c>
      <c r="BM1420" s="45"/>
      <c r="BN1420" s="45"/>
      <c r="BO1420" s="46"/>
      <c r="BP1420" s="2"/>
      <c r="BQ1420" s="3"/>
    </row>
    <row r="1421" ht="15.75" customHeight="1">
      <c r="A1421" s="34">
        <v>1444.0</v>
      </c>
      <c r="B1421" s="34">
        <v>103241.0</v>
      </c>
      <c r="C1421" s="34" t="s">
        <v>832</v>
      </c>
      <c r="D1421" s="34" t="s">
        <v>2477</v>
      </c>
      <c r="E1421" s="34" t="s">
        <v>2478</v>
      </c>
      <c r="F1421" s="34">
        <v>2018.0</v>
      </c>
      <c r="G1421" s="34" t="s">
        <v>2479</v>
      </c>
      <c r="H1421" s="34" t="s">
        <v>2449</v>
      </c>
      <c r="I1421" s="34" t="s">
        <v>2480</v>
      </c>
      <c r="J1421" s="35"/>
      <c r="K1421" s="36"/>
      <c r="L1421" s="36"/>
      <c r="M1421" s="36"/>
      <c r="N1421" s="36"/>
      <c r="O1421" s="36"/>
      <c r="P1421" s="37">
        <v>10.0</v>
      </c>
      <c r="Q1421" s="36"/>
      <c r="R1421" s="36" t="s">
        <v>209</v>
      </c>
      <c r="S1421" s="36">
        <v>1000.0</v>
      </c>
      <c r="T1421" s="36"/>
      <c r="U1421" s="36"/>
      <c r="V1421" s="36">
        <v>109.0</v>
      </c>
      <c r="W1421" s="36"/>
      <c r="X1421" s="38">
        <v>1.0</v>
      </c>
      <c r="Y1421" s="38" t="s">
        <v>309</v>
      </c>
      <c r="Z1421" s="38" t="s">
        <v>310</v>
      </c>
      <c r="AA1421" s="38" t="s">
        <v>200</v>
      </c>
      <c r="AB1421" s="38">
        <v>38.4316</v>
      </c>
      <c r="AC1421" s="38">
        <v>-120.966</v>
      </c>
      <c r="AD1421" s="38" t="s">
        <v>87</v>
      </c>
      <c r="AE1421" s="38">
        <v>177.0</v>
      </c>
      <c r="AF1421" s="38"/>
      <c r="AG1421" s="38" t="s">
        <v>175</v>
      </c>
      <c r="AH1421" s="38"/>
      <c r="AI1421" s="50">
        <v>38.4316</v>
      </c>
      <c r="AJ1421" s="50">
        <v>-120.966</v>
      </c>
      <c r="AK1421" s="41" t="s">
        <v>313</v>
      </c>
      <c r="AL1421" s="40" t="s">
        <v>313</v>
      </c>
      <c r="AM1421" s="49">
        <v>170.0</v>
      </c>
      <c r="AN1421" s="51">
        <v>170.0</v>
      </c>
      <c r="AO1421" s="42" t="s">
        <v>175</v>
      </c>
      <c r="AP1421" s="43" t="s">
        <v>175</v>
      </c>
      <c r="AQ1421" s="44" t="str">
        <f t="shared" si="159"/>
        <v>WSA</v>
      </c>
      <c r="AR1421" s="44">
        <f t="shared" si="144"/>
        <v>170</v>
      </c>
      <c r="AS1421" s="44" t="str">
        <f t="shared" si="160"/>
        <v>C</v>
      </c>
      <c r="AT1421" s="44" t="str">
        <f t="shared" si="114"/>
        <v>Cs</v>
      </c>
      <c r="AU1421" s="44" t="str">
        <f t="shared" si="115"/>
        <v>Csa</v>
      </c>
      <c r="AV1421" s="38"/>
      <c r="AW1421" s="38"/>
      <c r="AX1421" s="38"/>
      <c r="AY1421" s="38"/>
      <c r="AZ1421" s="29">
        <v>1000.0</v>
      </c>
      <c r="BA1421" s="29">
        <v>1.0</v>
      </c>
      <c r="BB1421" s="29">
        <v>2.0</v>
      </c>
      <c r="BC1421" s="29" t="s">
        <v>2266</v>
      </c>
      <c r="BD1421" s="29" t="s">
        <v>88</v>
      </c>
      <c r="BE1421" s="29"/>
      <c r="BF1421" s="29" t="s">
        <v>219</v>
      </c>
      <c r="BG1421" s="29" t="s">
        <v>220</v>
      </c>
      <c r="BH1421" s="29" t="s">
        <v>92</v>
      </c>
      <c r="BI1421" s="29"/>
      <c r="BJ1421" s="29"/>
      <c r="BK1421" s="29" t="s">
        <v>148</v>
      </c>
      <c r="BL1421" s="29" t="s">
        <v>148</v>
      </c>
      <c r="BM1421" s="45"/>
      <c r="BN1421" s="45"/>
      <c r="BO1421" s="46"/>
      <c r="BP1421" s="2"/>
      <c r="BQ1421" s="3"/>
    </row>
    <row r="1422" ht="15.75" customHeight="1">
      <c r="A1422" s="34">
        <v>1445.0</v>
      </c>
      <c r="B1422" s="34">
        <v>103241.0</v>
      </c>
      <c r="C1422" s="34" t="s">
        <v>832</v>
      </c>
      <c r="D1422" s="34" t="s">
        <v>2477</v>
      </c>
      <c r="E1422" s="34" t="s">
        <v>2478</v>
      </c>
      <c r="F1422" s="34">
        <v>2018.0</v>
      </c>
      <c r="G1422" s="34" t="s">
        <v>2479</v>
      </c>
      <c r="H1422" s="34" t="s">
        <v>2449</v>
      </c>
      <c r="I1422" s="34" t="s">
        <v>2480</v>
      </c>
      <c r="J1422" s="35"/>
      <c r="K1422" s="36"/>
      <c r="L1422" s="36"/>
      <c r="M1422" s="36"/>
      <c r="N1422" s="36"/>
      <c r="O1422" s="36"/>
      <c r="P1422" s="37">
        <v>-71.0</v>
      </c>
      <c r="Q1422" s="36"/>
      <c r="R1422" s="36" t="s">
        <v>209</v>
      </c>
      <c r="S1422" s="36">
        <v>1000.0</v>
      </c>
      <c r="T1422" s="36"/>
      <c r="U1422" s="36"/>
      <c r="V1422" s="36">
        <v>82.0</v>
      </c>
      <c r="W1422" s="36"/>
      <c r="X1422" s="38">
        <v>1.0</v>
      </c>
      <c r="Y1422" s="38" t="s">
        <v>300</v>
      </c>
      <c r="Z1422" s="38" t="s">
        <v>301</v>
      </c>
      <c r="AA1422" s="38" t="s">
        <v>200</v>
      </c>
      <c r="AB1422" s="38">
        <v>31.82</v>
      </c>
      <c r="AC1422" s="38">
        <v>-110.87</v>
      </c>
      <c r="AD1422" s="38" t="s">
        <v>87</v>
      </c>
      <c r="AE1422" s="38">
        <v>1120.0</v>
      </c>
      <c r="AF1422" s="38"/>
      <c r="AG1422" s="38" t="s">
        <v>303</v>
      </c>
      <c r="AH1422" s="38"/>
      <c r="AI1422" s="50">
        <v>31.8214</v>
      </c>
      <c r="AJ1422" s="50">
        <v>-110.867</v>
      </c>
      <c r="AK1422" s="41" t="s">
        <v>291</v>
      </c>
      <c r="AL1422" s="40" t="s">
        <v>291</v>
      </c>
      <c r="AM1422" s="49">
        <v>1118.0</v>
      </c>
      <c r="AN1422" s="51">
        <v>1118.0</v>
      </c>
      <c r="AO1422" s="42" t="s">
        <v>304</v>
      </c>
      <c r="AP1422" s="43" t="s">
        <v>304</v>
      </c>
      <c r="AQ1422" s="44" t="str">
        <f t="shared" si="159"/>
        <v>WSA</v>
      </c>
      <c r="AR1422" s="44">
        <f t="shared" si="144"/>
        <v>1118</v>
      </c>
      <c r="AS1422" s="44" t="str">
        <f t="shared" si="160"/>
        <v>B</v>
      </c>
      <c r="AT1422" s="44" t="str">
        <f t="shared" si="114"/>
        <v>BS</v>
      </c>
      <c r="AU1422" s="44" t="str">
        <f t="shared" si="115"/>
        <v>BSh</v>
      </c>
      <c r="AV1422" s="38"/>
      <c r="AW1422" s="38"/>
      <c r="AX1422" s="38"/>
      <c r="AY1422" s="38"/>
      <c r="AZ1422" s="29">
        <v>1000.0</v>
      </c>
      <c r="BA1422" s="29">
        <v>1.0</v>
      </c>
      <c r="BB1422" s="29">
        <v>2.0</v>
      </c>
      <c r="BC1422" s="29" t="s">
        <v>2266</v>
      </c>
      <c r="BD1422" s="29" t="s">
        <v>88</v>
      </c>
      <c r="BE1422" s="29"/>
      <c r="BF1422" s="29" t="s">
        <v>219</v>
      </c>
      <c r="BG1422" s="29" t="s">
        <v>220</v>
      </c>
      <c r="BH1422" s="29" t="s">
        <v>92</v>
      </c>
      <c r="BI1422" s="29"/>
      <c r="BJ1422" s="29"/>
      <c r="BK1422" s="29" t="s">
        <v>148</v>
      </c>
      <c r="BL1422" s="29" t="s">
        <v>148</v>
      </c>
      <c r="BM1422" s="45"/>
      <c r="BN1422" s="45"/>
      <c r="BO1422" s="46"/>
      <c r="BP1422" s="2"/>
      <c r="BQ1422" s="3"/>
    </row>
    <row r="1423" ht="15.75" customHeight="1">
      <c r="A1423" s="34">
        <v>1446.0</v>
      </c>
      <c r="B1423" s="34">
        <v>103241.0</v>
      </c>
      <c r="C1423" s="34" t="s">
        <v>832</v>
      </c>
      <c r="D1423" s="34" t="s">
        <v>2477</v>
      </c>
      <c r="E1423" s="34" t="s">
        <v>2478</v>
      </c>
      <c r="F1423" s="34">
        <v>2018.0</v>
      </c>
      <c r="G1423" s="34" t="s">
        <v>2479</v>
      </c>
      <c r="H1423" s="34" t="s">
        <v>2449</v>
      </c>
      <c r="I1423" s="34" t="s">
        <v>2480</v>
      </c>
      <c r="J1423" s="35"/>
      <c r="K1423" s="36"/>
      <c r="L1423" s="36"/>
      <c r="M1423" s="36"/>
      <c r="N1423" s="36"/>
      <c r="O1423" s="36"/>
      <c r="P1423" s="37">
        <v>-68.0</v>
      </c>
      <c r="Q1423" s="36"/>
      <c r="R1423" s="36" t="s">
        <v>209</v>
      </c>
      <c r="S1423" s="36">
        <v>1000.0</v>
      </c>
      <c r="T1423" s="36"/>
      <c r="U1423" s="36"/>
      <c r="V1423" s="36">
        <v>85.0</v>
      </c>
      <c r="W1423" s="36"/>
      <c r="X1423" s="38">
        <v>1.0</v>
      </c>
      <c r="Y1423" s="38" t="s">
        <v>2484</v>
      </c>
      <c r="Z1423" s="38" t="s">
        <v>2485</v>
      </c>
      <c r="AA1423" s="38" t="s">
        <v>288</v>
      </c>
      <c r="AB1423" s="38">
        <v>31.7894</v>
      </c>
      <c r="AC1423" s="38">
        <v>-110.828</v>
      </c>
      <c r="AD1423" s="38" t="s">
        <v>87</v>
      </c>
      <c r="AE1423" s="38">
        <v>1291.0</v>
      </c>
      <c r="AF1423" s="38"/>
      <c r="AG1423" s="38" t="s">
        <v>303</v>
      </c>
      <c r="AH1423" s="38"/>
      <c r="AI1423" s="50">
        <v>31.7894</v>
      </c>
      <c r="AJ1423" s="50">
        <v>-110.828</v>
      </c>
      <c r="AK1423" s="41" t="s">
        <v>288</v>
      </c>
      <c r="AL1423" s="40" t="s">
        <v>288</v>
      </c>
      <c r="AM1423" s="49">
        <v>1293.0</v>
      </c>
      <c r="AN1423" s="51">
        <v>1293.0</v>
      </c>
      <c r="AO1423" s="42" t="s">
        <v>304</v>
      </c>
      <c r="AP1423" s="43" t="s">
        <v>293</v>
      </c>
      <c r="AQ1423" s="44" t="str">
        <f t="shared" si="159"/>
        <v>GRA</v>
      </c>
      <c r="AR1423" s="44">
        <f t="shared" si="144"/>
        <v>1293</v>
      </c>
      <c r="AS1423" s="44" t="str">
        <f t="shared" si="160"/>
        <v>B</v>
      </c>
      <c r="AT1423" s="44" t="str">
        <f t="shared" si="114"/>
        <v>BS</v>
      </c>
      <c r="AU1423" s="44" t="str">
        <f t="shared" si="115"/>
        <v>BSk</v>
      </c>
      <c r="AV1423" s="38"/>
      <c r="AW1423" s="38"/>
      <c r="AX1423" s="38"/>
      <c r="AY1423" s="38"/>
      <c r="AZ1423" s="29">
        <v>1000.0</v>
      </c>
      <c r="BA1423" s="29">
        <v>1.0</v>
      </c>
      <c r="BB1423" s="29">
        <v>2.0</v>
      </c>
      <c r="BC1423" s="29" t="s">
        <v>2266</v>
      </c>
      <c r="BD1423" s="29" t="s">
        <v>88</v>
      </c>
      <c r="BE1423" s="29"/>
      <c r="BF1423" s="29" t="s">
        <v>219</v>
      </c>
      <c r="BG1423" s="29" t="s">
        <v>220</v>
      </c>
      <c r="BH1423" s="29" t="s">
        <v>92</v>
      </c>
      <c r="BI1423" s="29"/>
      <c r="BJ1423" s="29"/>
      <c r="BK1423" s="29" t="s">
        <v>148</v>
      </c>
      <c r="BL1423" s="29" t="s">
        <v>148</v>
      </c>
      <c r="BM1423" s="45"/>
      <c r="BN1423" s="45"/>
      <c r="BO1423" s="46"/>
      <c r="BP1423" s="2"/>
      <c r="BQ1423" s="3"/>
    </row>
    <row r="1424" ht="15.75" customHeight="1">
      <c r="A1424" s="34">
        <v>1447.0</v>
      </c>
      <c r="B1424" s="34">
        <v>103241.0</v>
      </c>
      <c r="C1424" s="34" t="s">
        <v>832</v>
      </c>
      <c r="D1424" s="34" t="s">
        <v>2477</v>
      </c>
      <c r="E1424" s="34" t="s">
        <v>2478</v>
      </c>
      <c r="F1424" s="34">
        <v>2018.0</v>
      </c>
      <c r="G1424" s="34" t="s">
        <v>2479</v>
      </c>
      <c r="H1424" s="34" t="s">
        <v>2449</v>
      </c>
      <c r="I1424" s="34" t="s">
        <v>2480</v>
      </c>
      <c r="J1424" s="35"/>
      <c r="K1424" s="36"/>
      <c r="L1424" s="36"/>
      <c r="M1424" s="36"/>
      <c r="N1424" s="36"/>
      <c r="O1424" s="36"/>
      <c r="P1424" s="37">
        <v>-64.0</v>
      </c>
      <c r="Q1424" s="36"/>
      <c r="R1424" s="36" t="s">
        <v>209</v>
      </c>
      <c r="S1424" s="36">
        <v>1000.0</v>
      </c>
      <c r="T1424" s="36"/>
      <c r="U1424" s="36"/>
      <c r="V1424" s="36">
        <v>128.0</v>
      </c>
      <c r="W1424" s="36"/>
      <c r="X1424" s="38">
        <v>1.0</v>
      </c>
      <c r="Y1424" s="38" t="s">
        <v>314</v>
      </c>
      <c r="Z1424" s="38" t="s">
        <v>315</v>
      </c>
      <c r="AA1424" s="38" t="s">
        <v>288</v>
      </c>
      <c r="AB1424" s="38">
        <v>31.7365</v>
      </c>
      <c r="AC1424" s="38">
        <v>-109.942</v>
      </c>
      <c r="AD1424" s="38" t="s">
        <v>87</v>
      </c>
      <c r="AE1424" s="38">
        <v>1531.0</v>
      </c>
      <c r="AF1424" s="38"/>
      <c r="AG1424" s="38" t="s">
        <v>303</v>
      </c>
      <c r="AH1424" s="38"/>
      <c r="AI1424" s="50">
        <v>31.7365</v>
      </c>
      <c r="AJ1424" s="50">
        <v>-109.942</v>
      </c>
      <c r="AK1424" s="41" t="s">
        <v>291</v>
      </c>
      <c r="AL1424" s="40" t="s">
        <v>291</v>
      </c>
      <c r="AM1424" s="49">
        <v>1527.0</v>
      </c>
      <c r="AN1424" s="51">
        <v>1527.0</v>
      </c>
      <c r="AO1424" s="42" t="s">
        <v>293</v>
      </c>
      <c r="AP1424" s="43" t="s">
        <v>293</v>
      </c>
      <c r="AQ1424" s="44" t="str">
        <f t="shared" si="159"/>
        <v>GRA</v>
      </c>
      <c r="AR1424" s="44">
        <f t="shared" si="144"/>
        <v>1527</v>
      </c>
      <c r="AS1424" s="44" t="str">
        <f t="shared" si="160"/>
        <v>B</v>
      </c>
      <c r="AT1424" s="44" t="str">
        <f t="shared" si="114"/>
        <v>BS</v>
      </c>
      <c r="AU1424" s="44" t="str">
        <f t="shared" si="115"/>
        <v>BSk</v>
      </c>
      <c r="AV1424" s="38"/>
      <c r="AW1424" s="38"/>
      <c r="AX1424" s="38"/>
      <c r="AY1424" s="38"/>
      <c r="AZ1424" s="29">
        <v>1000.0</v>
      </c>
      <c r="BA1424" s="29">
        <v>1.0</v>
      </c>
      <c r="BB1424" s="29">
        <v>2.0</v>
      </c>
      <c r="BC1424" s="29" t="s">
        <v>2266</v>
      </c>
      <c r="BD1424" s="29" t="s">
        <v>88</v>
      </c>
      <c r="BE1424" s="29"/>
      <c r="BF1424" s="29" t="s">
        <v>219</v>
      </c>
      <c r="BG1424" s="29" t="s">
        <v>220</v>
      </c>
      <c r="BH1424" s="29" t="s">
        <v>92</v>
      </c>
      <c r="BI1424" s="29"/>
      <c r="BJ1424" s="29"/>
      <c r="BK1424" s="29" t="s">
        <v>148</v>
      </c>
      <c r="BL1424" s="29" t="s">
        <v>148</v>
      </c>
      <c r="BM1424" s="45"/>
      <c r="BN1424" s="45"/>
      <c r="BO1424" s="46"/>
      <c r="BP1424" s="2"/>
      <c r="BQ1424" s="3"/>
    </row>
    <row r="1425" ht="15.75" customHeight="1">
      <c r="A1425" s="34">
        <v>1448.0</v>
      </c>
      <c r="B1425" s="34">
        <v>103241.0</v>
      </c>
      <c r="C1425" s="34" t="s">
        <v>832</v>
      </c>
      <c r="D1425" s="34" t="s">
        <v>2477</v>
      </c>
      <c r="E1425" s="34" t="s">
        <v>2478</v>
      </c>
      <c r="F1425" s="34">
        <v>2018.0</v>
      </c>
      <c r="G1425" s="34" t="s">
        <v>2479</v>
      </c>
      <c r="H1425" s="34" t="s">
        <v>2449</v>
      </c>
      <c r="I1425" s="34" t="s">
        <v>2480</v>
      </c>
      <c r="J1425" s="35"/>
      <c r="K1425" s="36"/>
      <c r="L1425" s="36"/>
      <c r="M1425" s="36"/>
      <c r="N1425" s="36"/>
      <c r="O1425" s="36"/>
      <c r="P1425" s="37">
        <v>-44.0</v>
      </c>
      <c r="Q1425" s="36"/>
      <c r="R1425" s="36" t="s">
        <v>209</v>
      </c>
      <c r="S1425" s="36">
        <v>1000.0</v>
      </c>
      <c r="T1425" s="36"/>
      <c r="U1425" s="36"/>
      <c r="V1425" s="36">
        <v>116.0</v>
      </c>
      <c r="W1425" s="36"/>
      <c r="X1425" s="38">
        <v>1.0</v>
      </c>
      <c r="Y1425" s="38" t="s">
        <v>2486</v>
      </c>
      <c r="Z1425" s="38" t="s">
        <v>2487</v>
      </c>
      <c r="AA1425" s="38" t="s">
        <v>197</v>
      </c>
      <c r="AB1425" s="38">
        <v>40.0329</v>
      </c>
      <c r="AC1425" s="38">
        <v>-105.546</v>
      </c>
      <c r="AD1425" s="38" t="s">
        <v>87</v>
      </c>
      <c r="AE1425" s="38">
        <v>3050.0</v>
      </c>
      <c r="AF1425" s="38"/>
      <c r="AG1425" s="38" t="s">
        <v>372</v>
      </c>
      <c r="AH1425" s="38"/>
      <c r="AI1425" s="50">
        <v>40.0329</v>
      </c>
      <c r="AJ1425" s="50">
        <v>-105.546</v>
      </c>
      <c r="AK1425" s="41" t="s">
        <v>197</v>
      </c>
      <c r="AL1425" s="40" t="s">
        <v>197</v>
      </c>
      <c r="AM1425" s="49">
        <v>3056.0</v>
      </c>
      <c r="AN1425" s="51">
        <v>3056.0</v>
      </c>
      <c r="AO1425" s="42" t="s">
        <v>412</v>
      </c>
      <c r="AP1425" s="43" t="s">
        <v>372</v>
      </c>
      <c r="AQ1425" s="44" t="str">
        <f t="shared" si="159"/>
        <v>ENF</v>
      </c>
      <c r="AR1425" s="44">
        <f t="shared" si="144"/>
        <v>3056</v>
      </c>
      <c r="AS1425" s="44" t="str">
        <f t="shared" si="160"/>
        <v>D</v>
      </c>
      <c r="AT1425" s="44" t="str">
        <f t="shared" si="114"/>
        <v>Df</v>
      </c>
      <c r="AU1425" s="44" t="str">
        <f t="shared" si="115"/>
        <v>Dfc</v>
      </c>
      <c r="AV1425" s="38"/>
      <c r="AW1425" s="38"/>
      <c r="AX1425" s="38"/>
      <c r="AY1425" s="38"/>
      <c r="AZ1425" s="29">
        <v>1000.0</v>
      </c>
      <c r="BA1425" s="29">
        <v>1.0</v>
      </c>
      <c r="BB1425" s="29">
        <v>2.0</v>
      </c>
      <c r="BC1425" s="29" t="s">
        <v>2266</v>
      </c>
      <c r="BD1425" s="29" t="s">
        <v>88</v>
      </c>
      <c r="BE1425" s="29"/>
      <c r="BF1425" s="29" t="s">
        <v>219</v>
      </c>
      <c r="BG1425" s="29" t="s">
        <v>220</v>
      </c>
      <c r="BH1425" s="29" t="s">
        <v>92</v>
      </c>
      <c r="BI1425" s="29"/>
      <c r="BJ1425" s="29"/>
      <c r="BK1425" s="29" t="s">
        <v>148</v>
      </c>
      <c r="BL1425" s="29" t="s">
        <v>148</v>
      </c>
      <c r="BM1425" s="45"/>
      <c r="BN1425" s="45"/>
      <c r="BO1425" s="46"/>
      <c r="BP1425" s="2"/>
      <c r="BQ1425" s="3"/>
    </row>
    <row r="1426" ht="15.75" customHeight="1">
      <c r="A1426" s="34">
        <v>1449.0</v>
      </c>
      <c r="B1426" s="34">
        <v>103241.0</v>
      </c>
      <c r="C1426" s="34" t="s">
        <v>832</v>
      </c>
      <c r="D1426" s="34" t="s">
        <v>2477</v>
      </c>
      <c r="E1426" s="34" t="s">
        <v>2478</v>
      </c>
      <c r="F1426" s="34">
        <v>2018.0</v>
      </c>
      <c r="G1426" s="34" t="s">
        <v>2479</v>
      </c>
      <c r="H1426" s="34" t="s">
        <v>2449</v>
      </c>
      <c r="I1426" s="34" t="s">
        <v>2480</v>
      </c>
      <c r="J1426" s="35"/>
      <c r="K1426" s="36"/>
      <c r="L1426" s="36"/>
      <c r="M1426" s="36"/>
      <c r="N1426" s="36"/>
      <c r="O1426" s="36"/>
      <c r="P1426" s="37">
        <v>-21.0</v>
      </c>
      <c r="Q1426" s="36"/>
      <c r="R1426" s="36" t="s">
        <v>209</v>
      </c>
      <c r="S1426" s="36">
        <v>1000.0</v>
      </c>
      <c r="T1426" s="36"/>
      <c r="U1426" s="36"/>
      <c r="V1426" s="36">
        <v>59.0</v>
      </c>
      <c r="W1426" s="36"/>
      <c r="X1426" s="38">
        <v>1.0</v>
      </c>
      <c r="Y1426" s="38" t="s">
        <v>2488</v>
      </c>
      <c r="Z1426" s="38" t="s">
        <v>2489</v>
      </c>
      <c r="AA1426" s="38" t="s">
        <v>288</v>
      </c>
      <c r="AB1426" s="38">
        <v>39.0824</v>
      </c>
      <c r="AC1426" s="38">
        <v>-96.5603</v>
      </c>
      <c r="AD1426" s="38" t="s">
        <v>87</v>
      </c>
      <c r="AE1426" s="38">
        <v>330.0</v>
      </c>
      <c r="AF1426" s="38"/>
      <c r="AG1426" s="38" t="s">
        <v>201</v>
      </c>
      <c r="AH1426" s="38"/>
      <c r="AI1426" s="50">
        <v>39.0824</v>
      </c>
      <c r="AJ1426" s="50">
        <v>-96.5603</v>
      </c>
      <c r="AK1426" s="41" t="s">
        <v>288</v>
      </c>
      <c r="AL1426" s="40" t="s">
        <v>288</v>
      </c>
      <c r="AM1426" s="49">
        <v>446.0</v>
      </c>
      <c r="AN1426" s="51">
        <v>446.0</v>
      </c>
      <c r="AO1426" s="42" t="s">
        <v>107</v>
      </c>
      <c r="AP1426" s="43" t="s">
        <v>108</v>
      </c>
      <c r="AQ1426" s="44" t="str">
        <f t="shared" si="159"/>
        <v>GRA</v>
      </c>
      <c r="AR1426" s="44">
        <f t="shared" si="144"/>
        <v>446</v>
      </c>
      <c r="AS1426" s="44" t="str">
        <f t="shared" si="160"/>
        <v>D</v>
      </c>
      <c r="AT1426" s="44" t="str">
        <f t="shared" si="114"/>
        <v>Df</v>
      </c>
      <c r="AU1426" s="44" t="str">
        <f t="shared" si="115"/>
        <v>Dfa</v>
      </c>
      <c r="AV1426" s="38"/>
      <c r="AW1426" s="38"/>
      <c r="AX1426" s="38"/>
      <c r="AY1426" s="38"/>
      <c r="AZ1426" s="29">
        <v>1000.0</v>
      </c>
      <c r="BA1426" s="29">
        <v>1.0</v>
      </c>
      <c r="BB1426" s="29">
        <v>2.0</v>
      </c>
      <c r="BC1426" s="29" t="s">
        <v>2266</v>
      </c>
      <c r="BD1426" s="29" t="s">
        <v>88</v>
      </c>
      <c r="BE1426" s="29"/>
      <c r="BF1426" s="29" t="s">
        <v>219</v>
      </c>
      <c r="BG1426" s="29" t="s">
        <v>220</v>
      </c>
      <c r="BH1426" s="29" t="s">
        <v>92</v>
      </c>
      <c r="BI1426" s="29"/>
      <c r="BJ1426" s="29"/>
      <c r="BK1426" s="29" t="s">
        <v>148</v>
      </c>
      <c r="BL1426" s="29" t="s">
        <v>148</v>
      </c>
      <c r="BM1426" s="45"/>
      <c r="BN1426" s="45"/>
      <c r="BO1426" s="46"/>
      <c r="BP1426" s="2"/>
      <c r="BQ1426" s="3"/>
    </row>
    <row r="1427" ht="15.75" customHeight="1">
      <c r="A1427" s="34">
        <v>1450.0</v>
      </c>
      <c r="B1427" s="34">
        <v>103241.0</v>
      </c>
      <c r="C1427" s="34" t="s">
        <v>832</v>
      </c>
      <c r="D1427" s="34" t="s">
        <v>2477</v>
      </c>
      <c r="E1427" s="34" t="s">
        <v>2478</v>
      </c>
      <c r="F1427" s="34">
        <v>2018.0</v>
      </c>
      <c r="G1427" s="34" t="s">
        <v>2479</v>
      </c>
      <c r="H1427" s="34" t="s">
        <v>2449</v>
      </c>
      <c r="I1427" s="34" t="s">
        <v>2480</v>
      </c>
      <c r="J1427" s="35"/>
      <c r="K1427" s="36"/>
      <c r="L1427" s="36"/>
      <c r="M1427" s="36"/>
      <c r="N1427" s="36"/>
      <c r="O1427" s="36"/>
      <c r="P1427" s="37">
        <v>-20.0</v>
      </c>
      <c r="Q1427" s="36"/>
      <c r="R1427" s="36" t="s">
        <v>209</v>
      </c>
      <c r="S1427" s="36">
        <v>1000.0</v>
      </c>
      <c r="T1427" s="36"/>
      <c r="U1427" s="36"/>
      <c r="V1427" s="36">
        <v>88.0</v>
      </c>
      <c r="W1427" s="36"/>
      <c r="X1427" s="38">
        <v>1.0</v>
      </c>
      <c r="Y1427" s="38" t="s">
        <v>2490</v>
      </c>
      <c r="Z1427" s="38" t="s">
        <v>2491</v>
      </c>
      <c r="AA1427" s="38" t="s">
        <v>288</v>
      </c>
      <c r="AB1427" s="38">
        <v>39.0561</v>
      </c>
      <c r="AC1427" s="38">
        <v>-95.1907</v>
      </c>
      <c r="AD1427" s="38" t="s">
        <v>87</v>
      </c>
      <c r="AE1427" s="38">
        <v>310.0</v>
      </c>
      <c r="AF1427" s="38"/>
      <c r="AG1427" s="38" t="s">
        <v>201</v>
      </c>
      <c r="AH1427" s="38"/>
      <c r="AI1427" s="50">
        <v>39.0561</v>
      </c>
      <c r="AJ1427" s="50">
        <v>-95.1907</v>
      </c>
      <c r="AK1427" s="41" t="s">
        <v>313</v>
      </c>
      <c r="AL1427" s="40" t="s">
        <v>313</v>
      </c>
      <c r="AM1427" s="49">
        <v>333.0</v>
      </c>
      <c r="AN1427" s="51">
        <v>333.0</v>
      </c>
      <c r="AO1427" s="42" t="s">
        <v>107</v>
      </c>
      <c r="AP1427" s="43" t="s">
        <v>108</v>
      </c>
      <c r="AQ1427" s="44" t="str">
        <f t="shared" si="159"/>
        <v>GRA</v>
      </c>
      <c r="AR1427" s="44">
        <f t="shared" si="144"/>
        <v>333</v>
      </c>
      <c r="AS1427" s="44" t="str">
        <f t="shared" si="160"/>
        <v>D</v>
      </c>
      <c r="AT1427" s="44" t="str">
        <f t="shared" si="114"/>
        <v>Df</v>
      </c>
      <c r="AU1427" s="44" t="str">
        <f t="shared" si="115"/>
        <v>Dfa</v>
      </c>
      <c r="AV1427" s="38"/>
      <c r="AW1427" s="38"/>
      <c r="AX1427" s="38"/>
      <c r="AY1427" s="38"/>
      <c r="AZ1427" s="29">
        <v>1000.0</v>
      </c>
      <c r="BA1427" s="29">
        <v>1.0</v>
      </c>
      <c r="BB1427" s="29">
        <v>2.0</v>
      </c>
      <c r="BC1427" s="29" t="s">
        <v>2266</v>
      </c>
      <c r="BD1427" s="29" t="s">
        <v>88</v>
      </c>
      <c r="BE1427" s="29"/>
      <c r="BF1427" s="29" t="s">
        <v>219</v>
      </c>
      <c r="BG1427" s="29" t="s">
        <v>220</v>
      </c>
      <c r="BH1427" s="29" t="s">
        <v>92</v>
      </c>
      <c r="BI1427" s="29"/>
      <c r="BJ1427" s="29"/>
      <c r="BK1427" s="29" t="s">
        <v>148</v>
      </c>
      <c r="BL1427" s="29" t="s">
        <v>148</v>
      </c>
      <c r="BM1427" s="45"/>
      <c r="BN1427" s="45"/>
      <c r="BO1427" s="46"/>
      <c r="BP1427" s="2"/>
      <c r="BQ1427" s="3"/>
    </row>
    <row r="1428" ht="15.75" customHeight="1">
      <c r="A1428" s="34">
        <v>1451.0</v>
      </c>
      <c r="B1428" s="34">
        <v>103241.0</v>
      </c>
      <c r="C1428" s="34" t="s">
        <v>832</v>
      </c>
      <c r="D1428" s="34" t="s">
        <v>2477</v>
      </c>
      <c r="E1428" s="34" t="s">
        <v>2478</v>
      </c>
      <c r="F1428" s="34">
        <v>2018.0</v>
      </c>
      <c r="G1428" s="34" t="s">
        <v>2479</v>
      </c>
      <c r="H1428" s="34" t="s">
        <v>2449</v>
      </c>
      <c r="I1428" s="34" t="s">
        <v>2480</v>
      </c>
      <c r="J1428" s="35"/>
      <c r="K1428" s="36"/>
      <c r="L1428" s="36"/>
      <c r="M1428" s="36"/>
      <c r="N1428" s="36"/>
      <c r="O1428" s="36"/>
      <c r="P1428" s="37">
        <v>-41.0</v>
      </c>
      <c r="Q1428" s="36"/>
      <c r="R1428" s="36" t="s">
        <v>209</v>
      </c>
      <c r="S1428" s="36">
        <v>1000.0</v>
      </c>
      <c r="T1428" s="36"/>
      <c r="U1428" s="36"/>
      <c r="V1428" s="36">
        <v>61.0</v>
      </c>
      <c r="W1428" s="36"/>
      <c r="X1428" s="38">
        <v>1.0</v>
      </c>
      <c r="Y1428" s="38" t="s">
        <v>519</v>
      </c>
      <c r="Z1428" s="38" t="s">
        <v>520</v>
      </c>
      <c r="AA1428" s="38" t="s">
        <v>86</v>
      </c>
      <c r="AB1428" s="38">
        <v>36.6058</v>
      </c>
      <c r="AC1428" s="38">
        <v>-97.4888</v>
      </c>
      <c r="AD1428" s="38" t="s">
        <v>87</v>
      </c>
      <c r="AE1428" s="38">
        <v>314.0</v>
      </c>
      <c r="AF1428" s="38"/>
      <c r="AG1428" s="38" t="s">
        <v>201</v>
      </c>
      <c r="AH1428" s="38"/>
      <c r="AI1428" s="50">
        <v>36.6058</v>
      </c>
      <c r="AJ1428" s="50">
        <v>-97.4884</v>
      </c>
      <c r="AK1428" s="41" t="s">
        <v>86</v>
      </c>
      <c r="AL1428" s="40" t="s">
        <v>86</v>
      </c>
      <c r="AM1428" s="49">
        <v>322.0</v>
      </c>
      <c r="AN1428" s="51">
        <v>322.0</v>
      </c>
      <c r="AO1428" s="42" t="s">
        <v>201</v>
      </c>
      <c r="AP1428" s="43" t="s">
        <v>201</v>
      </c>
      <c r="AQ1428" s="44" t="str">
        <f t="shared" si="159"/>
        <v>CRO</v>
      </c>
      <c r="AR1428" s="44">
        <f t="shared" si="144"/>
        <v>322</v>
      </c>
      <c r="AS1428" s="44" t="str">
        <f t="shared" si="160"/>
        <v>C</v>
      </c>
      <c r="AT1428" s="44" t="str">
        <f t="shared" si="114"/>
        <v>Cf</v>
      </c>
      <c r="AU1428" s="44" t="str">
        <f t="shared" si="115"/>
        <v>Cfa</v>
      </c>
      <c r="AV1428" s="38"/>
      <c r="AW1428" s="38"/>
      <c r="AX1428" s="38"/>
      <c r="AY1428" s="38"/>
      <c r="AZ1428" s="29">
        <v>1000.0</v>
      </c>
      <c r="BA1428" s="29">
        <v>1.0</v>
      </c>
      <c r="BB1428" s="29">
        <v>2.0</v>
      </c>
      <c r="BC1428" s="29" t="s">
        <v>2266</v>
      </c>
      <c r="BD1428" s="29" t="s">
        <v>88</v>
      </c>
      <c r="BE1428" s="29"/>
      <c r="BF1428" s="29" t="s">
        <v>219</v>
      </c>
      <c r="BG1428" s="29" t="s">
        <v>220</v>
      </c>
      <c r="BH1428" s="29" t="s">
        <v>92</v>
      </c>
      <c r="BI1428" s="29"/>
      <c r="BJ1428" s="29"/>
      <c r="BK1428" s="29" t="s">
        <v>148</v>
      </c>
      <c r="BL1428" s="29" t="s">
        <v>148</v>
      </c>
      <c r="BM1428" s="45"/>
      <c r="BN1428" s="45"/>
      <c r="BO1428" s="46"/>
      <c r="BP1428" s="2"/>
      <c r="BQ1428" s="3"/>
    </row>
    <row r="1429" ht="15.75" customHeight="1">
      <c r="A1429" s="34">
        <v>1452.0</v>
      </c>
      <c r="B1429" s="34">
        <v>103241.0</v>
      </c>
      <c r="C1429" s="34" t="s">
        <v>832</v>
      </c>
      <c r="D1429" s="34" t="s">
        <v>2477</v>
      </c>
      <c r="E1429" s="34" t="s">
        <v>2478</v>
      </c>
      <c r="F1429" s="34">
        <v>2018.0</v>
      </c>
      <c r="G1429" s="34" t="s">
        <v>2479</v>
      </c>
      <c r="H1429" s="34" t="s">
        <v>2449</v>
      </c>
      <c r="I1429" s="34" t="s">
        <v>2480</v>
      </c>
      <c r="J1429" s="35"/>
      <c r="K1429" s="36"/>
      <c r="L1429" s="36"/>
      <c r="M1429" s="36"/>
      <c r="N1429" s="36"/>
      <c r="O1429" s="36"/>
      <c r="P1429" s="37">
        <v>-50.0</v>
      </c>
      <c r="Q1429" s="36"/>
      <c r="R1429" s="36" t="s">
        <v>209</v>
      </c>
      <c r="S1429" s="36">
        <v>1000.0</v>
      </c>
      <c r="T1429" s="36"/>
      <c r="U1429" s="36"/>
      <c r="V1429" s="36">
        <v>114.0</v>
      </c>
      <c r="W1429" s="36"/>
      <c r="X1429" s="38">
        <v>1.0</v>
      </c>
      <c r="Y1429" s="38" t="s">
        <v>523</v>
      </c>
      <c r="Z1429" s="38" t="s">
        <v>524</v>
      </c>
      <c r="AA1429" s="38" t="s">
        <v>86</v>
      </c>
      <c r="AB1429" s="38">
        <v>41.1651</v>
      </c>
      <c r="AC1429" s="38">
        <v>-96.4766</v>
      </c>
      <c r="AD1429" s="38" t="s">
        <v>87</v>
      </c>
      <c r="AE1429" s="38">
        <v>361.0</v>
      </c>
      <c r="AF1429" s="38"/>
      <c r="AG1429" s="38" t="s">
        <v>108</v>
      </c>
      <c r="AH1429" s="38"/>
      <c r="AI1429" s="50">
        <v>41.1651</v>
      </c>
      <c r="AJ1429" s="50">
        <v>-96.4766</v>
      </c>
      <c r="AK1429" s="41" t="s">
        <v>86</v>
      </c>
      <c r="AL1429" s="40" t="s">
        <v>86</v>
      </c>
      <c r="AM1429" s="49">
        <v>356.0</v>
      </c>
      <c r="AN1429" s="51">
        <v>356.0</v>
      </c>
      <c r="AO1429" s="42" t="s">
        <v>107</v>
      </c>
      <c r="AP1429" s="43" t="s">
        <v>108</v>
      </c>
      <c r="AQ1429" s="44" t="str">
        <f t="shared" si="159"/>
        <v>CRO</v>
      </c>
      <c r="AR1429" s="44">
        <f t="shared" si="144"/>
        <v>356</v>
      </c>
      <c r="AS1429" s="44" t="str">
        <f t="shared" si="160"/>
        <v>D</v>
      </c>
      <c r="AT1429" s="44" t="str">
        <f t="shared" si="114"/>
        <v>Df</v>
      </c>
      <c r="AU1429" s="44" t="str">
        <f t="shared" si="115"/>
        <v>Dfa</v>
      </c>
      <c r="AV1429" s="38"/>
      <c r="AW1429" s="38"/>
      <c r="AX1429" s="38"/>
      <c r="AY1429" s="38"/>
      <c r="AZ1429" s="29">
        <v>1000.0</v>
      </c>
      <c r="BA1429" s="29">
        <v>1.0</v>
      </c>
      <c r="BB1429" s="29">
        <v>2.0</v>
      </c>
      <c r="BC1429" s="29" t="s">
        <v>2266</v>
      </c>
      <c r="BD1429" s="29" t="s">
        <v>88</v>
      </c>
      <c r="BE1429" s="29"/>
      <c r="BF1429" s="29" t="s">
        <v>219</v>
      </c>
      <c r="BG1429" s="29" t="s">
        <v>220</v>
      </c>
      <c r="BH1429" s="29" t="s">
        <v>92</v>
      </c>
      <c r="BI1429" s="29"/>
      <c r="BJ1429" s="29"/>
      <c r="BK1429" s="29" t="s">
        <v>148</v>
      </c>
      <c r="BL1429" s="29" t="s">
        <v>148</v>
      </c>
      <c r="BM1429" s="45"/>
      <c r="BN1429" s="45"/>
      <c r="BO1429" s="46"/>
      <c r="BP1429" s="2"/>
      <c r="BQ1429" s="3"/>
    </row>
    <row r="1430" ht="15.75" customHeight="1">
      <c r="A1430" s="34">
        <v>1453.0</v>
      </c>
      <c r="B1430" s="34">
        <v>103241.0</v>
      </c>
      <c r="C1430" s="34" t="s">
        <v>832</v>
      </c>
      <c r="D1430" s="34" t="s">
        <v>2477</v>
      </c>
      <c r="E1430" s="34" t="s">
        <v>2478</v>
      </c>
      <c r="F1430" s="34">
        <v>2018.0</v>
      </c>
      <c r="G1430" s="34" t="s">
        <v>2479</v>
      </c>
      <c r="H1430" s="34" t="s">
        <v>2449</v>
      </c>
      <c r="I1430" s="34" t="s">
        <v>2480</v>
      </c>
      <c r="J1430" s="35"/>
      <c r="K1430" s="36"/>
      <c r="L1430" s="36"/>
      <c r="M1430" s="36"/>
      <c r="N1430" s="36"/>
      <c r="O1430" s="36"/>
      <c r="P1430" s="37">
        <v>12.0</v>
      </c>
      <c r="Q1430" s="36"/>
      <c r="R1430" s="36" t="s">
        <v>209</v>
      </c>
      <c r="S1430" s="36">
        <v>1000.0</v>
      </c>
      <c r="T1430" s="36"/>
      <c r="U1430" s="36"/>
      <c r="V1430" s="36">
        <v>108.0</v>
      </c>
      <c r="W1430" s="36"/>
      <c r="X1430" s="38">
        <v>1.0</v>
      </c>
      <c r="Y1430" s="38" t="s">
        <v>1309</v>
      </c>
      <c r="Z1430" s="38" t="s">
        <v>1310</v>
      </c>
      <c r="AA1430" s="38" t="s">
        <v>370</v>
      </c>
      <c r="AB1430" s="38">
        <v>39.3232</v>
      </c>
      <c r="AC1430" s="38">
        <v>-86.4131</v>
      </c>
      <c r="AD1430" s="38" t="s">
        <v>87</v>
      </c>
      <c r="AE1430" s="38">
        <v>275.0</v>
      </c>
      <c r="AF1430" s="38"/>
      <c r="AG1430" s="38" t="s">
        <v>201</v>
      </c>
      <c r="AH1430" s="38"/>
      <c r="AI1430" s="50">
        <v>39.3232</v>
      </c>
      <c r="AJ1430" s="50">
        <v>-86.4131</v>
      </c>
      <c r="AK1430" s="41" t="s">
        <v>370</v>
      </c>
      <c r="AL1430" s="40" t="s">
        <v>370</v>
      </c>
      <c r="AM1430" s="49">
        <v>297.0</v>
      </c>
      <c r="AN1430" s="51">
        <v>297.0</v>
      </c>
      <c r="AO1430" s="42" t="s">
        <v>107</v>
      </c>
      <c r="AP1430" s="43" t="s">
        <v>108</v>
      </c>
      <c r="AQ1430" s="44" t="str">
        <f t="shared" si="159"/>
        <v>DBF</v>
      </c>
      <c r="AR1430" s="44">
        <f t="shared" si="144"/>
        <v>297</v>
      </c>
      <c r="AS1430" s="44" t="str">
        <f t="shared" si="160"/>
        <v>D</v>
      </c>
      <c r="AT1430" s="44" t="str">
        <f t="shared" si="114"/>
        <v>Df</v>
      </c>
      <c r="AU1430" s="44" t="str">
        <f t="shared" si="115"/>
        <v>Dfa</v>
      </c>
      <c r="AV1430" s="38"/>
      <c r="AW1430" s="38"/>
      <c r="AX1430" s="38"/>
      <c r="AY1430" s="38"/>
      <c r="AZ1430" s="29">
        <v>1000.0</v>
      </c>
      <c r="BA1430" s="29">
        <v>1.0</v>
      </c>
      <c r="BB1430" s="29">
        <v>2.0</v>
      </c>
      <c r="BC1430" s="29" t="s">
        <v>2266</v>
      </c>
      <c r="BD1430" s="29" t="s">
        <v>88</v>
      </c>
      <c r="BE1430" s="29"/>
      <c r="BF1430" s="29" t="s">
        <v>219</v>
      </c>
      <c r="BG1430" s="29" t="s">
        <v>220</v>
      </c>
      <c r="BH1430" s="29" t="s">
        <v>92</v>
      </c>
      <c r="BI1430" s="29"/>
      <c r="BJ1430" s="29"/>
      <c r="BK1430" s="29" t="s">
        <v>148</v>
      </c>
      <c r="BL1430" s="29" t="s">
        <v>148</v>
      </c>
      <c r="BM1430" s="45"/>
      <c r="BN1430" s="45"/>
      <c r="BO1430" s="46"/>
      <c r="BP1430" s="2"/>
      <c r="BQ1430" s="3"/>
    </row>
    <row r="1431" ht="15.75" customHeight="1">
      <c r="A1431" s="34">
        <v>1454.0</v>
      </c>
      <c r="B1431" s="34">
        <v>103241.0</v>
      </c>
      <c r="C1431" s="34" t="s">
        <v>832</v>
      </c>
      <c r="D1431" s="34" t="s">
        <v>2477</v>
      </c>
      <c r="E1431" s="34" t="s">
        <v>2478</v>
      </c>
      <c r="F1431" s="34">
        <v>2018.0</v>
      </c>
      <c r="G1431" s="34" t="s">
        <v>2479</v>
      </c>
      <c r="H1431" s="34" t="s">
        <v>2449</v>
      </c>
      <c r="I1431" s="34" t="s">
        <v>2480</v>
      </c>
      <c r="J1431" s="35"/>
      <c r="K1431" s="36"/>
      <c r="L1431" s="36"/>
      <c r="M1431" s="36"/>
      <c r="N1431" s="36"/>
      <c r="O1431" s="36"/>
      <c r="P1431" s="37">
        <v>7.0</v>
      </c>
      <c r="Q1431" s="36"/>
      <c r="R1431" s="36" t="s">
        <v>209</v>
      </c>
      <c r="S1431" s="36">
        <v>1000.0</v>
      </c>
      <c r="T1431" s="36"/>
      <c r="U1431" s="36"/>
      <c r="V1431" s="36">
        <v>75.0</v>
      </c>
      <c r="W1431" s="36"/>
      <c r="X1431" s="38">
        <v>1.0</v>
      </c>
      <c r="Y1431" s="38" t="s">
        <v>546</v>
      </c>
      <c r="Z1431" s="38" t="s">
        <v>547</v>
      </c>
      <c r="AA1431" s="38" t="s">
        <v>197</v>
      </c>
      <c r="AB1431" s="38">
        <v>35.8118</v>
      </c>
      <c r="AC1431" s="38">
        <v>-76.7119</v>
      </c>
      <c r="AD1431" s="38" t="s">
        <v>87</v>
      </c>
      <c r="AE1431" s="38">
        <v>5.0</v>
      </c>
      <c r="AF1431" s="38" t="s">
        <v>550</v>
      </c>
      <c r="AG1431" s="38" t="s">
        <v>201</v>
      </c>
      <c r="AH1431" s="38"/>
      <c r="AI1431" s="50">
        <v>35.8118</v>
      </c>
      <c r="AJ1431" s="50">
        <v>-76.7119</v>
      </c>
      <c r="AK1431" s="41" t="s">
        <v>197</v>
      </c>
      <c r="AL1431" s="40" t="s">
        <v>197</v>
      </c>
      <c r="AM1431" s="49">
        <v>26.0</v>
      </c>
      <c r="AN1431" s="51">
        <v>26.0</v>
      </c>
      <c r="AO1431" s="42" t="s">
        <v>201</v>
      </c>
      <c r="AP1431" s="43" t="s">
        <v>201</v>
      </c>
      <c r="AQ1431" s="44" t="str">
        <f t="shared" si="159"/>
        <v>ENF</v>
      </c>
      <c r="AR1431" s="44">
        <f t="shared" si="144"/>
        <v>26</v>
      </c>
      <c r="AS1431" s="44" t="str">
        <f t="shared" si="160"/>
        <v>C</v>
      </c>
      <c r="AT1431" s="44" t="str">
        <f t="shared" si="114"/>
        <v>Cf</v>
      </c>
      <c r="AU1431" s="44" t="str">
        <f t="shared" si="115"/>
        <v>Cfa</v>
      </c>
      <c r="AV1431" s="38"/>
      <c r="AW1431" s="38"/>
      <c r="AX1431" s="38"/>
      <c r="AY1431" s="38"/>
      <c r="AZ1431" s="29">
        <v>1000.0</v>
      </c>
      <c r="BA1431" s="29">
        <v>1.0</v>
      </c>
      <c r="BB1431" s="29">
        <v>2.0</v>
      </c>
      <c r="BC1431" s="29" t="s">
        <v>2266</v>
      </c>
      <c r="BD1431" s="29" t="s">
        <v>88</v>
      </c>
      <c r="BE1431" s="29"/>
      <c r="BF1431" s="29" t="s">
        <v>219</v>
      </c>
      <c r="BG1431" s="29" t="s">
        <v>220</v>
      </c>
      <c r="BH1431" s="29" t="s">
        <v>92</v>
      </c>
      <c r="BI1431" s="29"/>
      <c r="BJ1431" s="29"/>
      <c r="BK1431" s="29" t="s">
        <v>148</v>
      </c>
      <c r="BL1431" s="29" t="s">
        <v>148</v>
      </c>
      <c r="BM1431" s="45"/>
      <c r="BN1431" s="45"/>
      <c r="BO1431" s="46"/>
      <c r="BP1431" s="2"/>
      <c r="BQ1431" s="3"/>
    </row>
    <row r="1432" ht="15.75" customHeight="1">
      <c r="A1432" s="34">
        <v>1455.0</v>
      </c>
      <c r="B1432" s="34">
        <v>103241.0</v>
      </c>
      <c r="C1432" s="34" t="s">
        <v>832</v>
      </c>
      <c r="D1432" s="34" t="s">
        <v>2477</v>
      </c>
      <c r="E1432" s="34" t="s">
        <v>2478</v>
      </c>
      <c r="F1432" s="34">
        <v>2018.0</v>
      </c>
      <c r="G1432" s="34" t="s">
        <v>2479</v>
      </c>
      <c r="H1432" s="34" t="s">
        <v>2449</v>
      </c>
      <c r="I1432" s="34" t="s">
        <v>2480</v>
      </c>
      <c r="J1432" s="35"/>
      <c r="K1432" s="36"/>
      <c r="L1432" s="36"/>
      <c r="M1432" s="36"/>
      <c r="N1432" s="36"/>
      <c r="O1432" s="36"/>
      <c r="P1432" s="37">
        <v>-6.0</v>
      </c>
      <c r="Q1432" s="36"/>
      <c r="R1432" s="36" t="s">
        <v>209</v>
      </c>
      <c r="S1432" s="36">
        <v>1000.0</v>
      </c>
      <c r="T1432" s="36"/>
      <c r="U1432" s="36"/>
      <c r="V1432" s="36">
        <v>65.0</v>
      </c>
      <c r="W1432" s="36"/>
      <c r="X1432" s="38">
        <v>1.0</v>
      </c>
      <c r="Y1432" s="38" t="s">
        <v>556</v>
      </c>
      <c r="Z1432" s="38" t="s">
        <v>557</v>
      </c>
      <c r="AA1432" s="38" t="s">
        <v>197</v>
      </c>
      <c r="AB1432" s="38">
        <v>35.803</v>
      </c>
      <c r="AC1432" s="38">
        <v>-76.6685</v>
      </c>
      <c r="AD1432" s="38" t="s">
        <v>87</v>
      </c>
      <c r="AE1432" s="38">
        <v>5.0</v>
      </c>
      <c r="AF1432" s="38" t="s">
        <v>550</v>
      </c>
      <c r="AG1432" s="38" t="s">
        <v>201</v>
      </c>
      <c r="AH1432" s="38"/>
      <c r="AI1432" s="50">
        <v>35.803</v>
      </c>
      <c r="AJ1432" s="50">
        <v>-76.6685</v>
      </c>
      <c r="AK1432" s="41" t="s">
        <v>197</v>
      </c>
      <c r="AL1432" s="40" t="s">
        <v>197</v>
      </c>
      <c r="AM1432" s="49">
        <v>9.0</v>
      </c>
      <c r="AN1432" s="51">
        <v>9.0</v>
      </c>
      <c r="AO1432" s="42" t="s">
        <v>201</v>
      </c>
      <c r="AP1432" s="43" t="s">
        <v>201</v>
      </c>
      <c r="AQ1432" s="44" t="str">
        <f t="shared" si="159"/>
        <v>ENF</v>
      </c>
      <c r="AR1432" s="44">
        <f t="shared" si="144"/>
        <v>9</v>
      </c>
      <c r="AS1432" s="44" t="str">
        <f t="shared" si="160"/>
        <v>C</v>
      </c>
      <c r="AT1432" s="44" t="str">
        <f t="shared" si="114"/>
        <v>Cf</v>
      </c>
      <c r="AU1432" s="44" t="str">
        <f t="shared" si="115"/>
        <v>Cfa</v>
      </c>
      <c r="AV1432" s="38"/>
      <c r="AW1432" s="38"/>
      <c r="AX1432" s="38"/>
      <c r="AY1432" s="38"/>
      <c r="AZ1432" s="29">
        <v>1000.0</v>
      </c>
      <c r="BA1432" s="29">
        <v>1.0</v>
      </c>
      <c r="BB1432" s="29">
        <v>2.0</v>
      </c>
      <c r="BC1432" s="29" t="s">
        <v>2266</v>
      </c>
      <c r="BD1432" s="29" t="s">
        <v>88</v>
      </c>
      <c r="BE1432" s="29"/>
      <c r="BF1432" s="29" t="s">
        <v>219</v>
      </c>
      <c r="BG1432" s="29" t="s">
        <v>220</v>
      </c>
      <c r="BH1432" s="29" t="s">
        <v>92</v>
      </c>
      <c r="BI1432" s="29"/>
      <c r="BJ1432" s="29"/>
      <c r="BK1432" s="29" t="s">
        <v>148</v>
      </c>
      <c r="BL1432" s="29" t="s">
        <v>148</v>
      </c>
      <c r="BM1432" s="45"/>
      <c r="BN1432" s="45"/>
      <c r="BO1432" s="46"/>
      <c r="BP1432" s="2"/>
      <c r="BQ1432" s="3"/>
    </row>
    <row r="1433" ht="15.75" customHeight="1">
      <c r="A1433" s="34">
        <v>1456.0</v>
      </c>
      <c r="B1433" s="34">
        <v>103241.0</v>
      </c>
      <c r="C1433" s="34" t="s">
        <v>832</v>
      </c>
      <c r="D1433" s="34" t="s">
        <v>2477</v>
      </c>
      <c r="E1433" s="34" t="s">
        <v>2478</v>
      </c>
      <c r="F1433" s="34">
        <v>2018.0</v>
      </c>
      <c r="G1433" s="34" t="s">
        <v>2479</v>
      </c>
      <c r="H1433" s="34" t="s">
        <v>2449</v>
      </c>
      <c r="I1433" s="34" t="s">
        <v>2480</v>
      </c>
      <c r="J1433" s="35"/>
      <c r="K1433" s="36"/>
      <c r="L1433" s="36"/>
      <c r="M1433" s="36"/>
      <c r="N1433" s="36"/>
      <c r="O1433" s="36"/>
      <c r="P1433" s="37">
        <v>-9.0</v>
      </c>
      <c r="Q1433" s="36"/>
      <c r="R1433" s="36" t="s">
        <v>209</v>
      </c>
      <c r="S1433" s="36">
        <v>1000.0</v>
      </c>
      <c r="T1433" s="36"/>
      <c r="U1433" s="36"/>
      <c r="V1433" s="36"/>
      <c r="W1433" s="36"/>
      <c r="X1433" s="38">
        <v>4.0</v>
      </c>
      <c r="Y1433" s="38"/>
      <c r="Z1433" s="38"/>
      <c r="AA1433" s="38" t="s">
        <v>197</v>
      </c>
      <c r="AB1433" s="38"/>
      <c r="AC1433" s="38"/>
      <c r="AD1433" s="39" t="s">
        <v>87</v>
      </c>
      <c r="AE1433" s="38"/>
      <c r="AF1433" s="38"/>
      <c r="AG1433" s="38"/>
      <c r="AH1433" s="38"/>
      <c r="AI1433" s="50"/>
      <c r="AJ1433" s="50"/>
      <c r="AK1433" s="41"/>
      <c r="AL1433" s="40"/>
      <c r="AM1433" s="49"/>
      <c r="AN1433" s="43"/>
      <c r="AO1433" s="42"/>
      <c r="AP1433" s="43"/>
      <c r="AQ1433" s="44" t="str">
        <f t="shared" si="159"/>
        <v>ENF</v>
      </c>
      <c r="AR1433" s="44" t="str">
        <f t="shared" si="144"/>
        <v/>
      </c>
      <c r="AS1433" s="44"/>
      <c r="AT1433" s="44" t="str">
        <f t="shared" si="114"/>
        <v/>
      </c>
      <c r="AU1433" s="44" t="str">
        <f t="shared" si="115"/>
        <v/>
      </c>
      <c r="AV1433" s="38"/>
      <c r="AW1433" s="38"/>
      <c r="AX1433" s="38"/>
      <c r="AY1433" s="38"/>
      <c r="AZ1433" s="29">
        <v>1000.0</v>
      </c>
      <c r="BA1433" s="29">
        <v>1.0</v>
      </c>
      <c r="BB1433" s="29">
        <v>1.0</v>
      </c>
      <c r="BC1433" s="29"/>
      <c r="BD1433" s="29"/>
      <c r="BE1433" s="29"/>
      <c r="BF1433" s="29" t="s">
        <v>2481</v>
      </c>
      <c r="BG1433" s="29" t="s">
        <v>572</v>
      </c>
      <c r="BH1433" s="29" t="s">
        <v>92</v>
      </c>
      <c r="BI1433" s="29" t="s">
        <v>2482</v>
      </c>
      <c r="BJ1433" s="29"/>
      <c r="BK1433" s="29" t="s">
        <v>148</v>
      </c>
      <c r="BL1433" s="29" t="s">
        <v>148</v>
      </c>
      <c r="BM1433" s="45"/>
      <c r="BN1433" s="45"/>
      <c r="BO1433" s="46"/>
      <c r="BP1433" s="2"/>
      <c r="BQ1433" s="3"/>
    </row>
    <row r="1434" ht="15.75" customHeight="1">
      <c r="A1434" s="34">
        <v>1457.0</v>
      </c>
      <c r="B1434" s="34">
        <v>103241.0</v>
      </c>
      <c r="C1434" s="34" t="s">
        <v>832</v>
      </c>
      <c r="D1434" s="34" t="s">
        <v>2477</v>
      </c>
      <c r="E1434" s="34" t="s">
        <v>2478</v>
      </c>
      <c r="F1434" s="34">
        <v>2018.0</v>
      </c>
      <c r="G1434" s="34" t="s">
        <v>2479</v>
      </c>
      <c r="H1434" s="34" t="s">
        <v>2449</v>
      </c>
      <c r="I1434" s="34" t="s">
        <v>2480</v>
      </c>
      <c r="J1434" s="35"/>
      <c r="K1434" s="36"/>
      <c r="L1434" s="36"/>
      <c r="M1434" s="36"/>
      <c r="N1434" s="36"/>
      <c r="O1434" s="36"/>
      <c r="P1434" s="37">
        <v>44.0</v>
      </c>
      <c r="Q1434" s="36"/>
      <c r="R1434" s="36" t="s">
        <v>209</v>
      </c>
      <c r="S1434" s="36">
        <v>1000.0</v>
      </c>
      <c r="T1434" s="36"/>
      <c r="U1434" s="36"/>
      <c r="V1434" s="36"/>
      <c r="W1434" s="36"/>
      <c r="X1434" s="38">
        <v>2.0</v>
      </c>
      <c r="Y1434" s="38"/>
      <c r="Z1434" s="38"/>
      <c r="AA1434" s="38" t="s">
        <v>200</v>
      </c>
      <c r="AB1434" s="38"/>
      <c r="AC1434" s="38"/>
      <c r="AD1434" s="39" t="s">
        <v>87</v>
      </c>
      <c r="AE1434" s="38"/>
      <c r="AF1434" s="38"/>
      <c r="AG1434" s="38"/>
      <c r="AH1434" s="38"/>
      <c r="AI1434" s="50"/>
      <c r="AJ1434" s="50"/>
      <c r="AK1434" s="41"/>
      <c r="AL1434" s="40"/>
      <c r="AM1434" s="49"/>
      <c r="AN1434" s="43"/>
      <c r="AO1434" s="42"/>
      <c r="AP1434" s="43"/>
      <c r="AQ1434" s="44" t="str">
        <f t="shared" si="159"/>
        <v>WSA</v>
      </c>
      <c r="AR1434" s="44" t="str">
        <f t="shared" si="144"/>
        <v/>
      </c>
      <c r="AS1434" s="44"/>
      <c r="AT1434" s="44" t="str">
        <f t="shared" si="114"/>
        <v/>
      </c>
      <c r="AU1434" s="44" t="str">
        <f t="shared" si="115"/>
        <v/>
      </c>
      <c r="AV1434" s="38"/>
      <c r="AW1434" s="38"/>
      <c r="AX1434" s="38"/>
      <c r="AY1434" s="38"/>
      <c r="AZ1434" s="29">
        <v>1000.0</v>
      </c>
      <c r="BA1434" s="29">
        <v>1.0</v>
      </c>
      <c r="BB1434" s="29">
        <v>1.0</v>
      </c>
      <c r="BC1434" s="29"/>
      <c r="BD1434" s="29"/>
      <c r="BE1434" s="29"/>
      <c r="BF1434" s="29" t="s">
        <v>2481</v>
      </c>
      <c r="BG1434" s="29" t="s">
        <v>572</v>
      </c>
      <c r="BH1434" s="29" t="s">
        <v>92</v>
      </c>
      <c r="BI1434" s="29" t="s">
        <v>2482</v>
      </c>
      <c r="BJ1434" s="29"/>
      <c r="BK1434" s="29" t="s">
        <v>148</v>
      </c>
      <c r="BL1434" s="29" t="s">
        <v>148</v>
      </c>
      <c r="BM1434" s="45"/>
      <c r="BN1434" s="45"/>
      <c r="BO1434" s="46"/>
      <c r="BP1434" s="2"/>
      <c r="BQ1434" s="3"/>
    </row>
    <row r="1435" ht="15.75" customHeight="1">
      <c r="A1435" s="34">
        <v>1458.0</v>
      </c>
      <c r="B1435" s="34">
        <v>103241.0</v>
      </c>
      <c r="C1435" s="34" t="s">
        <v>832</v>
      </c>
      <c r="D1435" s="34" t="s">
        <v>2477</v>
      </c>
      <c r="E1435" s="34" t="s">
        <v>2478</v>
      </c>
      <c r="F1435" s="34">
        <v>2018.0</v>
      </c>
      <c r="G1435" s="34" t="s">
        <v>2479</v>
      </c>
      <c r="H1435" s="34" t="s">
        <v>2449</v>
      </c>
      <c r="I1435" s="34" t="s">
        <v>2480</v>
      </c>
      <c r="J1435" s="35"/>
      <c r="K1435" s="36"/>
      <c r="L1435" s="36"/>
      <c r="M1435" s="36"/>
      <c r="N1435" s="36"/>
      <c r="O1435" s="36"/>
      <c r="P1435" s="37">
        <v>-6.0</v>
      </c>
      <c r="Q1435" s="36"/>
      <c r="R1435" s="36" t="s">
        <v>209</v>
      </c>
      <c r="S1435" s="36">
        <v>1000.0</v>
      </c>
      <c r="T1435" s="36"/>
      <c r="U1435" s="36"/>
      <c r="V1435" s="36"/>
      <c r="W1435" s="36"/>
      <c r="X1435" s="38">
        <v>4.0</v>
      </c>
      <c r="Y1435" s="38"/>
      <c r="Z1435" s="38"/>
      <c r="AA1435" s="38" t="s">
        <v>288</v>
      </c>
      <c r="AB1435" s="38"/>
      <c r="AC1435" s="38"/>
      <c r="AD1435" s="39" t="s">
        <v>87</v>
      </c>
      <c r="AE1435" s="38"/>
      <c r="AF1435" s="38"/>
      <c r="AG1435" s="38"/>
      <c r="AH1435" s="38"/>
      <c r="AI1435" s="50"/>
      <c r="AJ1435" s="50"/>
      <c r="AK1435" s="41"/>
      <c r="AL1435" s="40"/>
      <c r="AM1435" s="49"/>
      <c r="AN1435" s="43"/>
      <c r="AO1435" s="42"/>
      <c r="AP1435" s="43"/>
      <c r="AQ1435" s="44" t="str">
        <f t="shared" si="159"/>
        <v>GRA</v>
      </c>
      <c r="AR1435" s="44" t="str">
        <f t="shared" si="144"/>
        <v/>
      </c>
      <c r="AS1435" s="44"/>
      <c r="AT1435" s="44" t="str">
        <f t="shared" si="114"/>
        <v/>
      </c>
      <c r="AU1435" s="44" t="str">
        <f t="shared" si="115"/>
        <v/>
      </c>
      <c r="AV1435" s="38"/>
      <c r="AW1435" s="38"/>
      <c r="AX1435" s="38"/>
      <c r="AY1435" s="38"/>
      <c r="AZ1435" s="29">
        <v>1000.0</v>
      </c>
      <c r="BA1435" s="29">
        <v>1.0</v>
      </c>
      <c r="BB1435" s="29">
        <v>1.0</v>
      </c>
      <c r="BC1435" s="29"/>
      <c r="BD1435" s="29"/>
      <c r="BE1435" s="29"/>
      <c r="BF1435" s="29" t="s">
        <v>2481</v>
      </c>
      <c r="BG1435" s="29" t="s">
        <v>572</v>
      </c>
      <c r="BH1435" s="29" t="s">
        <v>92</v>
      </c>
      <c r="BI1435" s="29" t="s">
        <v>2482</v>
      </c>
      <c r="BJ1435" s="29"/>
      <c r="BK1435" s="29" t="s">
        <v>148</v>
      </c>
      <c r="BL1435" s="29" t="s">
        <v>148</v>
      </c>
      <c r="BM1435" s="45"/>
      <c r="BN1435" s="45"/>
      <c r="BO1435" s="46"/>
      <c r="BP1435" s="2"/>
      <c r="BQ1435" s="3"/>
    </row>
    <row r="1436" ht="15.75" customHeight="1">
      <c r="A1436" s="34">
        <v>1459.0</v>
      </c>
      <c r="B1436" s="34">
        <v>103241.0</v>
      </c>
      <c r="C1436" s="34" t="s">
        <v>832</v>
      </c>
      <c r="D1436" s="34" t="s">
        <v>2477</v>
      </c>
      <c r="E1436" s="34" t="s">
        <v>2478</v>
      </c>
      <c r="F1436" s="34">
        <v>2018.0</v>
      </c>
      <c r="G1436" s="34" t="s">
        <v>2479</v>
      </c>
      <c r="H1436" s="34" t="s">
        <v>2449</v>
      </c>
      <c r="I1436" s="34" t="s">
        <v>2480</v>
      </c>
      <c r="J1436" s="35"/>
      <c r="K1436" s="36"/>
      <c r="L1436" s="36"/>
      <c r="M1436" s="36"/>
      <c r="N1436" s="36"/>
      <c r="O1436" s="36"/>
      <c r="P1436" s="37">
        <v>11.0</v>
      </c>
      <c r="Q1436" s="36"/>
      <c r="R1436" s="36" t="s">
        <v>209</v>
      </c>
      <c r="S1436" s="36">
        <v>1000.0</v>
      </c>
      <c r="T1436" s="36"/>
      <c r="U1436" s="36"/>
      <c r="V1436" s="36"/>
      <c r="W1436" s="36"/>
      <c r="X1436" s="38">
        <v>1.0</v>
      </c>
      <c r="Y1436" s="38" t="s">
        <v>1309</v>
      </c>
      <c r="Z1436" s="38" t="s">
        <v>1310</v>
      </c>
      <c r="AA1436" s="38" t="s">
        <v>370</v>
      </c>
      <c r="AB1436" s="38"/>
      <c r="AC1436" s="38"/>
      <c r="AD1436" s="39" t="s">
        <v>87</v>
      </c>
      <c r="AE1436" s="38">
        <v>275.0</v>
      </c>
      <c r="AF1436" s="38"/>
      <c r="AG1436" s="38" t="s">
        <v>201</v>
      </c>
      <c r="AH1436" s="38"/>
      <c r="AI1436" s="50">
        <v>39.3232</v>
      </c>
      <c r="AJ1436" s="50">
        <v>-86.4131</v>
      </c>
      <c r="AK1436" s="41" t="s">
        <v>370</v>
      </c>
      <c r="AL1436" s="40" t="s">
        <v>370</v>
      </c>
      <c r="AM1436" s="49">
        <v>297.0</v>
      </c>
      <c r="AN1436" s="51">
        <v>297.0</v>
      </c>
      <c r="AO1436" s="42" t="s">
        <v>107</v>
      </c>
      <c r="AP1436" s="43" t="s">
        <v>108</v>
      </c>
      <c r="AQ1436" s="44" t="str">
        <f t="shared" si="159"/>
        <v>DBF</v>
      </c>
      <c r="AR1436" s="44">
        <f t="shared" si="144"/>
        <v>297</v>
      </c>
      <c r="AS1436" s="44" t="str">
        <f>LEFT(AO1436,1)</f>
        <v>D</v>
      </c>
      <c r="AT1436" s="44" t="str">
        <f t="shared" si="114"/>
        <v>Df</v>
      </c>
      <c r="AU1436" s="44" t="str">
        <f t="shared" si="115"/>
        <v>Dfa</v>
      </c>
      <c r="AV1436" s="38"/>
      <c r="AW1436" s="38"/>
      <c r="AX1436" s="38"/>
      <c r="AY1436" s="38"/>
      <c r="AZ1436" s="29">
        <v>1000.0</v>
      </c>
      <c r="BA1436" s="29">
        <v>1.0</v>
      </c>
      <c r="BB1436" s="29">
        <v>1.0</v>
      </c>
      <c r="BC1436" s="29"/>
      <c r="BD1436" s="29"/>
      <c r="BE1436" s="29"/>
      <c r="BF1436" s="29" t="s">
        <v>2481</v>
      </c>
      <c r="BG1436" s="29" t="s">
        <v>572</v>
      </c>
      <c r="BH1436" s="29" t="s">
        <v>92</v>
      </c>
      <c r="BI1436" s="29" t="s">
        <v>2482</v>
      </c>
      <c r="BJ1436" s="29"/>
      <c r="BK1436" s="29" t="s">
        <v>148</v>
      </c>
      <c r="BL1436" s="29" t="s">
        <v>148</v>
      </c>
      <c r="BM1436" s="45"/>
      <c r="BN1436" s="45"/>
      <c r="BO1436" s="46"/>
      <c r="BP1436" s="2"/>
      <c r="BQ1436" s="3"/>
    </row>
    <row r="1437" ht="15.75" customHeight="1">
      <c r="A1437" s="34">
        <v>1460.0</v>
      </c>
      <c r="B1437" s="34">
        <v>103241.0</v>
      </c>
      <c r="C1437" s="34" t="s">
        <v>832</v>
      </c>
      <c r="D1437" s="34" t="s">
        <v>2477</v>
      </c>
      <c r="E1437" s="34" t="s">
        <v>2478</v>
      </c>
      <c r="F1437" s="34">
        <v>2018.0</v>
      </c>
      <c r="G1437" s="34" t="s">
        <v>2479</v>
      </c>
      <c r="H1437" s="34" t="s">
        <v>2449</v>
      </c>
      <c r="I1437" s="34" t="s">
        <v>2480</v>
      </c>
      <c r="J1437" s="35"/>
      <c r="K1437" s="36"/>
      <c r="L1437" s="36"/>
      <c r="M1437" s="36"/>
      <c r="N1437" s="36"/>
      <c r="O1437" s="36"/>
      <c r="P1437" s="37">
        <v>-20.0</v>
      </c>
      <c r="Q1437" s="36"/>
      <c r="R1437" s="36" t="s">
        <v>209</v>
      </c>
      <c r="S1437" s="36">
        <v>1000.0</v>
      </c>
      <c r="T1437" s="36"/>
      <c r="U1437" s="36"/>
      <c r="V1437" s="36"/>
      <c r="W1437" s="36"/>
      <c r="X1437" s="38">
        <v>2.0</v>
      </c>
      <c r="Y1437" s="38"/>
      <c r="Z1437" s="38"/>
      <c r="AA1437" s="38" t="s">
        <v>86</v>
      </c>
      <c r="AB1437" s="38"/>
      <c r="AC1437" s="38"/>
      <c r="AD1437" s="39" t="s">
        <v>87</v>
      </c>
      <c r="AE1437" s="38"/>
      <c r="AF1437" s="38"/>
      <c r="AG1437" s="38"/>
      <c r="AH1437" s="38"/>
      <c r="AI1437" s="50"/>
      <c r="AJ1437" s="50"/>
      <c r="AK1437" s="41"/>
      <c r="AL1437" s="40"/>
      <c r="AM1437" s="49"/>
      <c r="AN1437" s="43"/>
      <c r="AO1437" s="42"/>
      <c r="AP1437" s="43"/>
      <c r="AQ1437" s="44" t="str">
        <f t="shared" si="159"/>
        <v>CRO</v>
      </c>
      <c r="AR1437" s="44" t="str">
        <f t="shared" si="144"/>
        <v/>
      </c>
      <c r="AS1437" s="44"/>
      <c r="AT1437" s="44" t="str">
        <f t="shared" si="114"/>
        <v/>
      </c>
      <c r="AU1437" s="44" t="str">
        <f t="shared" si="115"/>
        <v/>
      </c>
      <c r="AV1437" s="38"/>
      <c r="AW1437" s="38"/>
      <c r="AX1437" s="38"/>
      <c r="AY1437" s="38"/>
      <c r="AZ1437" s="29">
        <v>1000.0</v>
      </c>
      <c r="BA1437" s="29">
        <v>1.0</v>
      </c>
      <c r="BB1437" s="29">
        <v>1.0</v>
      </c>
      <c r="BC1437" s="29"/>
      <c r="BD1437" s="29"/>
      <c r="BE1437" s="29"/>
      <c r="BF1437" s="29" t="s">
        <v>2481</v>
      </c>
      <c r="BG1437" s="29" t="s">
        <v>572</v>
      </c>
      <c r="BH1437" s="29" t="s">
        <v>92</v>
      </c>
      <c r="BI1437" s="29" t="s">
        <v>2482</v>
      </c>
      <c r="BJ1437" s="29"/>
      <c r="BK1437" s="29" t="s">
        <v>148</v>
      </c>
      <c r="BL1437" s="29" t="s">
        <v>148</v>
      </c>
      <c r="BM1437" s="45"/>
      <c r="BN1437" s="45"/>
      <c r="BO1437" s="46"/>
      <c r="BP1437" s="2"/>
      <c r="BQ1437" s="3"/>
    </row>
    <row r="1438" ht="15.75" customHeight="1">
      <c r="A1438" s="34">
        <v>1461.0</v>
      </c>
      <c r="B1438" s="34">
        <v>103241.0</v>
      </c>
      <c r="C1438" s="34" t="s">
        <v>832</v>
      </c>
      <c r="D1438" s="34" t="s">
        <v>2477</v>
      </c>
      <c r="E1438" s="34" t="s">
        <v>2478</v>
      </c>
      <c r="F1438" s="34">
        <v>2018.0</v>
      </c>
      <c r="G1438" s="34" t="s">
        <v>2479</v>
      </c>
      <c r="H1438" s="34" t="s">
        <v>2449</v>
      </c>
      <c r="I1438" s="34" t="s">
        <v>2480</v>
      </c>
      <c r="J1438" s="35"/>
      <c r="K1438" s="36"/>
      <c r="L1438" s="36"/>
      <c r="M1438" s="36"/>
      <c r="N1438" s="36"/>
      <c r="O1438" s="36"/>
      <c r="P1438" s="37">
        <v>8.0</v>
      </c>
      <c r="Q1438" s="36"/>
      <c r="R1438" s="36" t="s">
        <v>209</v>
      </c>
      <c r="S1438" s="36">
        <v>1000.0</v>
      </c>
      <c r="T1438" s="36"/>
      <c r="U1438" s="36"/>
      <c r="V1438" s="36"/>
      <c r="W1438" s="36"/>
      <c r="X1438" s="38">
        <v>4.0</v>
      </c>
      <c r="Y1438" s="38"/>
      <c r="Z1438" s="38"/>
      <c r="AA1438" s="38" t="s">
        <v>197</v>
      </c>
      <c r="AB1438" s="38"/>
      <c r="AC1438" s="38"/>
      <c r="AD1438" s="39" t="s">
        <v>87</v>
      </c>
      <c r="AE1438" s="38"/>
      <c r="AF1438" s="38"/>
      <c r="AG1438" s="38"/>
      <c r="AH1438" s="38"/>
      <c r="AI1438" s="50"/>
      <c r="AJ1438" s="50"/>
      <c r="AK1438" s="41"/>
      <c r="AL1438" s="40"/>
      <c r="AM1438" s="49"/>
      <c r="AN1438" s="43"/>
      <c r="AO1438" s="42"/>
      <c r="AP1438" s="43"/>
      <c r="AQ1438" s="44" t="str">
        <f t="shared" si="159"/>
        <v>ENF</v>
      </c>
      <c r="AR1438" s="44" t="str">
        <f t="shared" si="144"/>
        <v/>
      </c>
      <c r="AS1438" s="44"/>
      <c r="AT1438" s="44" t="str">
        <f t="shared" si="114"/>
        <v/>
      </c>
      <c r="AU1438" s="44" t="str">
        <f t="shared" si="115"/>
        <v/>
      </c>
      <c r="AV1438" s="38"/>
      <c r="AW1438" s="38"/>
      <c r="AX1438" s="38"/>
      <c r="AY1438" s="38"/>
      <c r="AZ1438" s="29">
        <v>1000.0</v>
      </c>
      <c r="BA1438" s="29">
        <v>1.0</v>
      </c>
      <c r="BB1438" s="29">
        <v>1.0</v>
      </c>
      <c r="BC1438" s="29"/>
      <c r="BD1438" s="29"/>
      <c r="BE1438" s="29"/>
      <c r="BF1438" s="29" t="s">
        <v>936</v>
      </c>
      <c r="BG1438" s="29" t="s">
        <v>572</v>
      </c>
      <c r="BH1438" s="29" t="s">
        <v>92</v>
      </c>
      <c r="BI1438" s="29" t="s">
        <v>2482</v>
      </c>
      <c r="BJ1438" s="29"/>
      <c r="BK1438" s="29" t="s">
        <v>148</v>
      </c>
      <c r="BL1438" s="29" t="s">
        <v>148</v>
      </c>
      <c r="BM1438" s="45"/>
      <c r="BN1438" s="45"/>
      <c r="BO1438" s="46"/>
      <c r="BP1438" s="2"/>
      <c r="BQ1438" s="3"/>
    </row>
    <row r="1439" ht="15.75" customHeight="1">
      <c r="A1439" s="34">
        <v>1462.0</v>
      </c>
      <c r="B1439" s="34">
        <v>103241.0</v>
      </c>
      <c r="C1439" s="34" t="s">
        <v>832</v>
      </c>
      <c r="D1439" s="34" t="s">
        <v>2477</v>
      </c>
      <c r="E1439" s="34" t="s">
        <v>2478</v>
      </c>
      <c r="F1439" s="34">
        <v>2018.0</v>
      </c>
      <c r="G1439" s="34" t="s">
        <v>2479</v>
      </c>
      <c r="H1439" s="34" t="s">
        <v>2449</v>
      </c>
      <c r="I1439" s="34" t="s">
        <v>2480</v>
      </c>
      <c r="J1439" s="35"/>
      <c r="K1439" s="36"/>
      <c r="L1439" s="36"/>
      <c r="M1439" s="36"/>
      <c r="N1439" s="36"/>
      <c r="O1439" s="36"/>
      <c r="P1439" s="72">
        <v>125.0</v>
      </c>
      <c r="Q1439" s="36"/>
      <c r="R1439" s="36" t="s">
        <v>209</v>
      </c>
      <c r="S1439" s="36">
        <v>1000.0</v>
      </c>
      <c r="T1439" s="36"/>
      <c r="U1439" s="36"/>
      <c r="V1439" s="36"/>
      <c r="W1439" s="36"/>
      <c r="X1439" s="38">
        <v>2.0</v>
      </c>
      <c r="Y1439" s="38"/>
      <c r="Z1439" s="38"/>
      <c r="AA1439" s="38" t="s">
        <v>200</v>
      </c>
      <c r="AB1439" s="38"/>
      <c r="AC1439" s="38"/>
      <c r="AD1439" s="39" t="s">
        <v>87</v>
      </c>
      <c r="AE1439" s="38"/>
      <c r="AF1439" s="38"/>
      <c r="AG1439" s="38"/>
      <c r="AH1439" s="38"/>
      <c r="AI1439" s="50"/>
      <c r="AJ1439" s="50"/>
      <c r="AK1439" s="41"/>
      <c r="AL1439" s="40"/>
      <c r="AM1439" s="49"/>
      <c r="AN1439" s="43"/>
      <c r="AO1439" s="42"/>
      <c r="AP1439" s="43"/>
      <c r="AQ1439" s="44" t="str">
        <f t="shared" si="159"/>
        <v>WSA</v>
      </c>
      <c r="AR1439" s="44" t="str">
        <f t="shared" si="144"/>
        <v/>
      </c>
      <c r="AS1439" s="44"/>
      <c r="AT1439" s="44" t="str">
        <f t="shared" si="114"/>
        <v/>
      </c>
      <c r="AU1439" s="44" t="str">
        <f t="shared" si="115"/>
        <v/>
      </c>
      <c r="AV1439" s="38"/>
      <c r="AW1439" s="38"/>
      <c r="AX1439" s="38"/>
      <c r="AY1439" s="38"/>
      <c r="AZ1439" s="29">
        <v>1000.0</v>
      </c>
      <c r="BA1439" s="29">
        <v>1.0</v>
      </c>
      <c r="BB1439" s="29">
        <v>1.0</v>
      </c>
      <c r="BC1439" s="29"/>
      <c r="BD1439" s="29"/>
      <c r="BE1439" s="29"/>
      <c r="BF1439" s="29" t="s">
        <v>936</v>
      </c>
      <c r="BG1439" s="29" t="s">
        <v>572</v>
      </c>
      <c r="BH1439" s="29" t="s">
        <v>92</v>
      </c>
      <c r="BI1439" s="29" t="s">
        <v>2482</v>
      </c>
      <c r="BJ1439" s="29"/>
      <c r="BK1439" s="29" t="s">
        <v>148</v>
      </c>
      <c r="BL1439" s="29" t="s">
        <v>148</v>
      </c>
      <c r="BM1439" s="45"/>
      <c r="BN1439" s="45"/>
      <c r="BO1439" s="46"/>
      <c r="BP1439" s="2" t="s">
        <v>1005</v>
      </c>
      <c r="BQ1439" s="3"/>
    </row>
    <row r="1440" ht="15.75" customHeight="1">
      <c r="A1440" s="34">
        <v>1463.0</v>
      </c>
      <c r="B1440" s="34">
        <v>103241.0</v>
      </c>
      <c r="C1440" s="34" t="s">
        <v>832</v>
      </c>
      <c r="D1440" s="34" t="s">
        <v>2477</v>
      </c>
      <c r="E1440" s="34" t="s">
        <v>2478</v>
      </c>
      <c r="F1440" s="34">
        <v>2018.0</v>
      </c>
      <c r="G1440" s="34" t="s">
        <v>2479</v>
      </c>
      <c r="H1440" s="34" t="s">
        <v>2449</v>
      </c>
      <c r="I1440" s="34" t="s">
        <v>2480</v>
      </c>
      <c r="J1440" s="35"/>
      <c r="K1440" s="36"/>
      <c r="L1440" s="36"/>
      <c r="M1440" s="36"/>
      <c r="N1440" s="36"/>
      <c r="O1440" s="36"/>
      <c r="P1440" s="37">
        <v>41.0</v>
      </c>
      <c r="Q1440" s="36"/>
      <c r="R1440" s="36" t="s">
        <v>209</v>
      </c>
      <c r="S1440" s="36">
        <v>1000.0</v>
      </c>
      <c r="T1440" s="36"/>
      <c r="U1440" s="36"/>
      <c r="V1440" s="36"/>
      <c r="W1440" s="36"/>
      <c r="X1440" s="38">
        <v>4.0</v>
      </c>
      <c r="Y1440" s="38"/>
      <c r="Z1440" s="38"/>
      <c r="AA1440" s="38" t="s">
        <v>288</v>
      </c>
      <c r="AB1440" s="38"/>
      <c r="AC1440" s="38"/>
      <c r="AD1440" s="39" t="s">
        <v>87</v>
      </c>
      <c r="AE1440" s="38"/>
      <c r="AF1440" s="38"/>
      <c r="AG1440" s="38"/>
      <c r="AH1440" s="38"/>
      <c r="AI1440" s="50"/>
      <c r="AJ1440" s="50"/>
      <c r="AK1440" s="41"/>
      <c r="AL1440" s="40"/>
      <c r="AM1440" s="49"/>
      <c r="AN1440" s="43"/>
      <c r="AO1440" s="42"/>
      <c r="AP1440" s="43"/>
      <c r="AQ1440" s="44" t="str">
        <f t="shared" si="159"/>
        <v>GRA</v>
      </c>
      <c r="AR1440" s="44" t="str">
        <f t="shared" si="144"/>
        <v/>
      </c>
      <c r="AS1440" s="44"/>
      <c r="AT1440" s="44" t="str">
        <f t="shared" si="114"/>
        <v/>
      </c>
      <c r="AU1440" s="44" t="str">
        <f t="shared" si="115"/>
        <v/>
      </c>
      <c r="AV1440" s="38"/>
      <c r="AW1440" s="38"/>
      <c r="AX1440" s="38"/>
      <c r="AY1440" s="38"/>
      <c r="AZ1440" s="29">
        <v>1000.0</v>
      </c>
      <c r="BA1440" s="29">
        <v>1.0</v>
      </c>
      <c r="BB1440" s="29">
        <v>1.0</v>
      </c>
      <c r="BC1440" s="29"/>
      <c r="BD1440" s="29"/>
      <c r="BE1440" s="29"/>
      <c r="BF1440" s="29" t="s">
        <v>936</v>
      </c>
      <c r="BG1440" s="29" t="s">
        <v>572</v>
      </c>
      <c r="BH1440" s="29" t="s">
        <v>92</v>
      </c>
      <c r="BI1440" s="29" t="s">
        <v>2482</v>
      </c>
      <c r="BJ1440" s="29"/>
      <c r="BK1440" s="29" t="s">
        <v>148</v>
      </c>
      <c r="BL1440" s="29" t="s">
        <v>148</v>
      </c>
      <c r="BM1440" s="45"/>
      <c r="BN1440" s="45"/>
      <c r="BO1440" s="46"/>
      <c r="BP1440" s="2"/>
      <c r="BQ1440" s="3"/>
    </row>
    <row r="1441" ht="15.75" customHeight="1">
      <c r="A1441" s="34">
        <v>1464.0</v>
      </c>
      <c r="B1441" s="34">
        <v>103241.0</v>
      </c>
      <c r="C1441" s="34" t="s">
        <v>832</v>
      </c>
      <c r="D1441" s="34" t="s">
        <v>2477</v>
      </c>
      <c r="E1441" s="34" t="s">
        <v>2478</v>
      </c>
      <c r="F1441" s="34">
        <v>2018.0</v>
      </c>
      <c r="G1441" s="34" t="s">
        <v>2479</v>
      </c>
      <c r="H1441" s="34" t="s">
        <v>2449</v>
      </c>
      <c r="I1441" s="34" t="s">
        <v>2480</v>
      </c>
      <c r="J1441" s="35"/>
      <c r="K1441" s="36"/>
      <c r="L1441" s="36"/>
      <c r="M1441" s="36"/>
      <c r="N1441" s="36"/>
      <c r="O1441" s="36"/>
      <c r="P1441" s="37">
        <v>17.0</v>
      </c>
      <c r="Q1441" s="36"/>
      <c r="R1441" s="36" t="s">
        <v>209</v>
      </c>
      <c r="S1441" s="36">
        <v>1000.0</v>
      </c>
      <c r="T1441" s="36"/>
      <c r="U1441" s="36"/>
      <c r="V1441" s="36"/>
      <c r="W1441" s="36"/>
      <c r="X1441" s="38">
        <v>1.0</v>
      </c>
      <c r="Y1441" s="38" t="s">
        <v>1309</v>
      </c>
      <c r="Z1441" s="38" t="s">
        <v>1310</v>
      </c>
      <c r="AA1441" s="38" t="s">
        <v>370</v>
      </c>
      <c r="AB1441" s="38"/>
      <c r="AC1441" s="38"/>
      <c r="AD1441" s="39" t="s">
        <v>87</v>
      </c>
      <c r="AE1441" s="38">
        <v>275.0</v>
      </c>
      <c r="AF1441" s="38"/>
      <c r="AG1441" s="38" t="s">
        <v>201</v>
      </c>
      <c r="AH1441" s="38"/>
      <c r="AI1441" s="50">
        <v>39.3232</v>
      </c>
      <c r="AJ1441" s="50">
        <v>-86.4131</v>
      </c>
      <c r="AK1441" s="41" t="s">
        <v>370</v>
      </c>
      <c r="AL1441" s="40" t="s">
        <v>370</v>
      </c>
      <c r="AM1441" s="49">
        <v>297.0</v>
      </c>
      <c r="AN1441" s="51">
        <v>297.0</v>
      </c>
      <c r="AO1441" s="42" t="s">
        <v>107</v>
      </c>
      <c r="AP1441" s="43" t="s">
        <v>108</v>
      </c>
      <c r="AQ1441" s="44" t="str">
        <f t="shared" si="159"/>
        <v>DBF</v>
      </c>
      <c r="AR1441" s="44">
        <f t="shared" si="144"/>
        <v>297</v>
      </c>
      <c r="AS1441" s="44" t="str">
        <f>LEFT(AO1441,1)</f>
        <v>D</v>
      </c>
      <c r="AT1441" s="44" t="str">
        <f t="shared" si="114"/>
        <v>Df</v>
      </c>
      <c r="AU1441" s="44" t="str">
        <f t="shared" si="115"/>
        <v>Dfa</v>
      </c>
      <c r="AV1441" s="38"/>
      <c r="AW1441" s="38"/>
      <c r="AX1441" s="38"/>
      <c r="AY1441" s="38"/>
      <c r="AZ1441" s="29">
        <v>1000.0</v>
      </c>
      <c r="BA1441" s="29">
        <v>1.0</v>
      </c>
      <c r="BB1441" s="29">
        <v>1.0</v>
      </c>
      <c r="BC1441" s="29"/>
      <c r="BD1441" s="29"/>
      <c r="BE1441" s="29"/>
      <c r="BF1441" s="29" t="s">
        <v>936</v>
      </c>
      <c r="BG1441" s="29" t="s">
        <v>572</v>
      </c>
      <c r="BH1441" s="29" t="s">
        <v>92</v>
      </c>
      <c r="BI1441" s="29" t="s">
        <v>2482</v>
      </c>
      <c r="BJ1441" s="29"/>
      <c r="BK1441" s="29" t="s">
        <v>148</v>
      </c>
      <c r="BL1441" s="29" t="s">
        <v>148</v>
      </c>
      <c r="BM1441" s="45"/>
      <c r="BN1441" s="45"/>
      <c r="BO1441" s="46"/>
      <c r="BP1441" s="2"/>
      <c r="BQ1441" s="3"/>
    </row>
    <row r="1442" ht="15.75" customHeight="1">
      <c r="A1442" s="34">
        <v>1465.0</v>
      </c>
      <c r="B1442" s="34">
        <v>103241.0</v>
      </c>
      <c r="C1442" s="34" t="s">
        <v>832</v>
      </c>
      <c r="D1442" s="34" t="s">
        <v>2477</v>
      </c>
      <c r="E1442" s="34" t="s">
        <v>2478</v>
      </c>
      <c r="F1442" s="34">
        <v>2018.0</v>
      </c>
      <c r="G1442" s="34" t="s">
        <v>2479</v>
      </c>
      <c r="H1442" s="34" t="s">
        <v>2449</v>
      </c>
      <c r="I1442" s="34" t="s">
        <v>2480</v>
      </c>
      <c r="J1442" s="35"/>
      <c r="K1442" s="36"/>
      <c r="L1442" s="36"/>
      <c r="M1442" s="36"/>
      <c r="N1442" s="36"/>
      <c r="O1442" s="36"/>
      <c r="P1442" s="37">
        <v>3.0</v>
      </c>
      <c r="Q1442" s="36"/>
      <c r="R1442" s="36" t="s">
        <v>209</v>
      </c>
      <c r="S1442" s="36">
        <v>1000.0</v>
      </c>
      <c r="T1442" s="36"/>
      <c r="U1442" s="36"/>
      <c r="V1442" s="36"/>
      <c r="W1442" s="36"/>
      <c r="X1442" s="38">
        <v>2.0</v>
      </c>
      <c r="Y1442" s="38"/>
      <c r="Z1442" s="38"/>
      <c r="AA1442" s="38" t="s">
        <v>86</v>
      </c>
      <c r="AB1442" s="38"/>
      <c r="AC1442" s="38"/>
      <c r="AD1442" s="39" t="s">
        <v>87</v>
      </c>
      <c r="AE1442" s="38"/>
      <c r="AF1442" s="38"/>
      <c r="AG1442" s="38"/>
      <c r="AH1442" s="38"/>
      <c r="AI1442" s="50"/>
      <c r="AJ1442" s="50"/>
      <c r="AK1442" s="41"/>
      <c r="AL1442" s="40"/>
      <c r="AM1442" s="49"/>
      <c r="AN1442" s="43"/>
      <c r="AO1442" s="42"/>
      <c r="AP1442" s="43"/>
      <c r="AQ1442" s="44" t="str">
        <f t="shared" si="159"/>
        <v>CRO</v>
      </c>
      <c r="AR1442" s="44" t="str">
        <f t="shared" si="144"/>
        <v/>
      </c>
      <c r="AS1442" s="44"/>
      <c r="AT1442" s="44" t="str">
        <f t="shared" si="114"/>
        <v/>
      </c>
      <c r="AU1442" s="44" t="str">
        <f t="shared" si="115"/>
        <v/>
      </c>
      <c r="AV1442" s="38"/>
      <c r="AW1442" s="38"/>
      <c r="AX1442" s="38"/>
      <c r="AY1442" s="38"/>
      <c r="AZ1442" s="29">
        <v>1000.0</v>
      </c>
      <c r="BA1442" s="29">
        <v>1.0</v>
      </c>
      <c r="BB1442" s="29">
        <v>1.0</v>
      </c>
      <c r="BC1442" s="29"/>
      <c r="BD1442" s="29"/>
      <c r="BE1442" s="29"/>
      <c r="BF1442" s="29" t="s">
        <v>936</v>
      </c>
      <c r="BG1442" s="29" t="s">
        <v>572</v>
      </c>
      <c r="BH1442" s="29" t="s">
        <v>92</v>
      </c>
      <c r="BI1442" s="29" t="s">
        <v>2482</v>
      </c>
      <c r="BJ1442" s="29"/>
      <c r="BK1442" s="29" t="s">
        <v>148</v>
      </c>
      <c r="BL1442" s="29" t="s">
        <v>148</v>
      </c>
      <c r="BM1442" s="45"/>
      <c r="BN1442" s="45"/>
      <c r="BO1442" s="46"/>
      <c r="BP1442" s="2"/>
      <c r="BQ1442" s="3"/>
    </row>
    <row r="1443" ht="15.75" customHeight="1">
      <c r="A1443" s="34">
        <v>1466.0</v>
      </c>
      <c r="B1443" s="34">
        <v>103241.0</v>
      </c>
      <c r="C1443" s="34" t="s">
        <v>832</v>
      </c>
      <c r="D1443" s="34" t="s">
        <v>2477</v>
      </c>
      <c r="E1443" s="34" t="s">
        <v>2478</v>
      </c>
      <c r="F1443" s="34">
        <v>2018.0</v>
      </c>
      <c r="G1443" s="34" t="s">
        <v>2479</v>
      </c>
      <c r="H1443" s="34" t="s">
        <v>2449</v>
      </c>
      <c r="I1443" s="34" t="s">
        <v>2480</v>
      </c>
      <c r="J1443" s="35"/>
      <c r="K1443" s="36"/>
      <c r="L1443" s="36"/>
      <c r="M1443" s="36"/>
      <c r="N1443" s="36"/>
      <c r="O1443" s="36"/>
      <c r="P1443" s="37">
        <v>-17.0</v>
      </c>
      <c r="Q1443" s="36"/>
      <c r="R1443" s="36" t="s">
        <v>209</v>
      </c>
      <c r="S1443" s="112">
        <v>1000.0</v>
      </c>
      <c r="T1443" s="36"/>
      <c r="U1443" s="36"/>
      <c r="V1443" s="36"/>
      <c r="W1443" s="36"/>
      <c r="X1443" s="38">
        <v>4.0</v>
      </c>
      <c r="Y1443" s="38"/>
      <c r="Z1443" s="38"/>
      <c r="AA1443" s="38" t="s">
        <v>197</v>
      </c>
      <c r="AB1443" s="38"/>
      <c r="AC1443" s="38"/>
      <c r="AD1443" s="39" t="s">
        <v>87</v>
      </c>
      <c r="AE1443" s="38"/>
      <c r="AF1443" s="38"/>
      <c r="AG1443" s="38"/>
      <c r="AH1443" s="38"/>
      <c r="AI1443" s="50"/>
      <c r="AJ1443" s="50"/>
      <c r="AK1443" s="41"/>
      <c r="AL1443" s="40"/>
      <c r="AM1443" s="49"/>
      <c r="AN1443" s="43"/>
      <c r="AO1443" s="42"/>
      <c r="AP1443" s="43"/>
      <c r="AQ1443" s="44" t="str">
        <f t="shared" si="159"/>
        <v>ENF</v>
      </c>
      <c r="AR1443" s="44" t="str">
        <f t="shared" si="144"/>
        <v/>
      </c>
      <c r="AS1443" s="44"/>
      <c r="AT1443" s="44" t="str">
        <f t="shared" si="114"/>
        <v/>
      </c>
      <c r="AU1443" s="44" t="str">
        <f t="shared" si="115"/>
        <v/>
      </c>
      <c r="AV1443" s="38"/>
      <c r="AW1443" s="38"/>
      <c r="AX1443" s="38"/>
      <c r="AY1443" s="38"/>
      <c r="AZ1443" s="113">
        <v>1000.0</v>
      </c>
      <c r="BA1443" s="113">
        <v>1.0</v>
      </c>
      <c r="BB1443" s="113">
        <v>2.0</v>
      </c>
      <c r="BC1443" s="114" t="s">
        <v>2266</v>
      </c>
      <c r="BD1443" s="29" t="s">
        <v>88</v>
      </c>
      <c r="BE1443" s="104"/>
      <c r="BF1443" s="104" t="s">
        <v>219</v>
      </c>
      <c r="BG1443" s="104" t="s">
        <v>220</v>
      </c>
      <c r="BH1443" s="104" t="s">
        <v>92</v>
      </c>
      <c r="BI1443" s="104"/>
      <c r="BJ1443" s="104"/>
      <c r="BK1443" s="104" t="s">
        <v>148</v>
      </c>
      <c r="BL1443" s="104" t="s">
        <v>148</v>
      </c>
      <c r="BM1443" s="45"/>
      <c r="BN1443" s="45"/>
      <c r="BO1443" s="46"/>
      <c r="BP1443" s="2"/>
      <c r="BQ1443" s="3"/>
    </row>
    <row r="1444" ht="15.75" customHeight="1">
      <c r="A1444" s="34">
        <v>1467.0</v>
      </c>
      <c r="B1444" s="34">
        <v>103241.0</v>
      </c>
      <c r="C1444" s="34" t="s">
        <v>832</v>
      </c>
      <c r="D1444" s="34" t="s">
        <v>2477</v>
      </c>
      <c r="E1444" s="34" t="s">
        <v>2478</v>
      </c>
      <c r="F1444" s="34">
        <v>2018.0</v>
      </c>
      <c r="G1444" s="34" t="s">
        <v>2479</v>
      </c>
      <c r="H1444" s="34" t="s">
        <v>2449</v>
      </c>
      <c r="I1444" s="34" t="s">
        <v>2480</v>
      </c>
      <c r="J1444" s="35"/>
      <c r="K1444" s="36"/>
      <c r="L1444" s="36"/>
      <c r="M1444" s="36"/>
      <c r="N1444" s="36"/>
      <c r="O1444" s="36"/>
      <c r="P1444" s="37">
        <v>-28.0</v>
      </c>
      <c r="Q1444" s="36"/>
      <c r="R1444" s="36" t="s">
        <v>209</v>
      </c>
      <c r="S1444" s="112">
        <v>1000.0</v>
      </c>
      <c r="T1444" s="36"/>
      <c r="U1444" s="36"/>
      <c r="V1444" s="36"/>
      <c r="W1444" s="36"/>
      <c r="X1444" s="38">
        <v>2.0</v>
      </c>
      <c r="Y1444" s="38"/>
      <c r="Z1444" s="38"/>
      <c r="AA1444" s="38" t="s">
        <v>200</v>
      </c>
      <c r="AB1444" s="38"/>
      <c r="AC1444" s="38"/>
      <c r="AD1444" s="39" t="s">
        <v>87</v>
      </c>
      <c r="AE1444" s="38"/>
      <c r="AF1444" s="38"/>
      <c r="AG1444" s="38"/>
      <c r="AH1444" s="38"/>
      <c r="AI1444" s="50"/>
      <c r="AJ1444" s="50"/>
      <c r="AK1444" s="41"/>
      <c r="AL1444" s="40"/>
      <c r="AM1444" s="49"/>
      <c r="AN1444" s="43"/>
      <c r="AO1444" s="42"/>
      <c r="AP1444" s="43"/>
      <c r="AQ1444" s="44" t="str">
        <f t="shared" si="159"/>
        <v>WSA</v>
      </c>
      <c r="AR1444" s="44" t="str">
        <f t="shared" si="144"/>
        <v/>
      </c>
      <c r="AS1444" s="44"/>
      <c r="AT1444" s="44" t="str">
        <f t="shared" si="114"/>
        <v/>
      </c>
      <c r="AU1444" s="44" t="str">
        <f t="shared" si="115"/>
        <v/>
      </c>
      <c r="AV1444" s="38"/>
      <c r="AW1444" s="38"/>
      <c r="AX1444" s="38"/>
      <c r="AY1444" s="38"/>
      <c r="AZ1444" s="113">
        <v>1000.0</v>
      </c>
      <c r="BA1444" s="113">
        <v>1.0</v>
      </c>
      <c r="BB1444" s="113">
        <v>2.0</v>
      </c>
      <c r="BC1444" s="114" t="s">
        <v>2266</v>
      </c>
      <c r="BD1444" s="29" t="s">
        <v>88</v>
      </c>
      <c r="BE1444" s="104"/>
      <c r="BF1444" s="104" t="s">
        <v>219</v>
      </c>
      <c r="BG1444" s="104" t="s">
        <v>220</v>
      </c>
      <c r="BH1444" s="104" t="s">
        <v>92</v>
      </c>
      <c r="BI1444" s="104"/>
      <c r="BJ1444" s="104"/>
      <c r="BK1444" s="104" t="s">
        <v>148</v>
      </c>
      <c r="BL1444" s="104" t="s">
        <v>148</v>
      </c>
      <c r="BM1444" s="45"/>
      <c r="BN1444" s="45"/>
      <c r="BO1444" s="46"/>
      <c r="BP1444" s="2"/>
      <c r="BQ1444" s="3"/>
    </row>
    <row r="1445" ht="15.75" customHeight="1">
      <c r="A1445" s="34">
        <v>1468.0</v>
      </c>
      <c r="B1445" s="34">
        <v>103241.0</v>
      </c>
      <c r="C1445" s="34" t="s">
        <v>832</v>
      </c>
      <c r="D1445" s="34" t="s">
        <v>2477</v>
      </c>
      <c r="E1445" s="34" t="s">
        <v>2478</v>
      </c>
      <c r="F1445" s="34">
        <v>2018.0</v>
      </c>
      <c r="G1445" s="34" t="s">
        <v>2479</v>
      </c>
      <c r="H1445" s="34" t="s">
        <v>2449</v>
      </c>
      <c r="I1445" s="34" t="s">
        <v>2480</v>
      </c>
      <c r="J1445" s="35"/>
      <c r="K1445" s="36"/>
      <c r="L1445" s="36"/>
      <c r="M1445" s="36"/>
      <c r="N1445" s="36"/>
      <c r="O1445" s="36"/>
      <c r="P1445" s="37">
        <v>-40.0</v>
      </c>
      <c r="Q1445" s="36"/>
      <c r="R1445" s="36" t="s">
        <v>209</v>
      </c>
      <c r="S1445" s="112">
        <v>1000.0</v>
      </c>
      <c r="T1445" s="36"/>
      <c r="U1445" s="36"/>
      <c r="V1445" s="36"/>
      <c r="W1445" s="36"/>
      <c r="X1445" s="38">
        <v>4.0</v>
      </c>
      <c r="Y1445" s="38"/>
      <c r="Z1445" s="38"/>
      <c r="AA1445" s="38" t="s">
        <v>288</v>
      </c>
      <c r="AB1445" s="38"/>
      <c r="AC1445" s="38"/>
      <c r="AD1445" s="39" t="s">
        <v>87</v>
      </c>
      <c r="AE1445" s="38"/>
      <c r="AF1445" s="38"/>
      <c r="AG1445" s="38"/>
      <c r="AH1445" s="38"/>
      <c r="AI1445" s="50"/>
      <c r="AJ1445" s="50"/>
      <c r="AK1445" s="41"/>
      <c r="AL1445" s="40"/>
      <c r="AM1445" s="49"/>
      <c r="AN1445" s="43"/>
      <c r="AO1445" s="42"/>
      <c r="AP1445" s="43"/>
      <c r="AQ1445" s="44" t="str">
        <f t="shared" si="159"/>
        <v>GRA</v>
      </c>
      <c r="AR1445" s="44" t="str">
        <f t="shared" si="144"/>
        <v/>
      </c>
      <c r="AS1445" s="44"/>
      <c r="AT1445" s="44" t="str">
        <f t="shared" si="114"/>
        <v/>
      </c>
      <c r="AU1445" s="44" t="str">
        <f t="shared" si="115"/>
        <v/>
      </c>
      <c r="AV1445" s="38"/>
      <c r="AW1445" s="38"/>
      <c r="AX1445" s="38"/>
      <c r="AY1445" s="38"/>
      <c r="AZ1445" s="113">
        <v>1000.0</v>
      </c>
      <c r="BA1445" s="113">
        <v>1.0</v>
      </c>
      <c r="BB1445" s="113">
        <v>2.0</v>
      </c>
      <c r="BC1445" s="114" t="s">
        <v>2266</v>
      </c>
      <c r="BD1445" s="29" t="s">
        <v>88</v>
      </c>
      <c r="BE1445" s="104"/>
      <c r="BF1445" s="104" t="s">
        <v>219</v>
      </c>
      <c r="BG1445" s="104" t="s">
        <v>220</v>
      </c>
      <c r="BH1445" s="104" t="s">
        <v>92</v>
      </c>
      <c r="BI1445" s="104"/>
      <c r="BJ1445" s="104"/>
      <c r="BK1445" s="104" t="s">
        <v>148</v>
      </c>
      <c r="BL1445" s="104" t="s">
        <v>148</v>
      </c>
      <c r="BM1445" s="45"/>
      <c r="BN1445" s="45"/>
      <c r="BO1445" s="46"/>
      <c r="BP1445" s="2"/>
      <c r="BQ1445" s="3"/>
    </row>
    <row r="1446" ht="15.75" customHeight="1">
      <c r="A1446" s="34">
        <v>1469.0</v>
      </c>
      <c r="B1446" s="34">
        <v>103241.0</v>
      </c>
      <c r="C1446" s="34" t="s">
        <v>832</v>
      </c>
      <c r="D1446" s="34" t="s">
        <v>2477</v>
      </c>
      <c r="E1446" s="34" t="s">
        <v>2478</v>
      </c>
      <c r="F1446" s="34">
        <v>2018.0</v>
      </c>
      <c r="G1446" s="34" t="s">
        <v>2479</v>
      </c>
      <c r="H1446" s="34" t="s">
        <v>2449</v>
      </c>
      <c r="I1446" s="34" t="s">
        <v>2480</v>
      </c>
      <c r="J1446" s="35"/>
      <c r="K1446" s="36"/>
      <c r="L1446" s="36"/>
      <c r="M1446" s="36"/>
      <c r="N1446" s="36"/>
      <c r="O1446" s="36"/>
      <c r="P1446" s="37">
        <v>12.0</v>
      </c>
      <c r="Q1446" s="36"/>
      <c r="R1446" s="36" t="s">
        <v>209</v>
      </c>
      <c r="S1446" s="112">
        <v>1000.0</v>
      </c>
      <c r="T1446" s="36"/>
      <c r="U1446" s="36"/>
      <c r="V1446" s="36"/>
      <c r="W1446" s="36"/>
      <c r="X1446" s="38">
        <v>1.0</v>
      </c>
      <c r="Y1446" s="38" t="s">
        <v>1309</v>
      </c>
      <c r="Z1446" s="38" t="s">
        <v>1310</v>
      </c>
      <c r="AA1446" s="38" t="s">
        <v>370</v>
      </c>
      <c r="AB1446" s="38"/>
      <c r="AC1446" s="38"/>
      <c r="AD1446" s="39" t="s">
        <v>87</v>
      </c>
      <c r="AE1446" s="38">
        <v>275.0</v>
      </c>
      <c r="AF1446" s="38"/>
      <c r="AG1446" s="38" t="s">
        <v>201</v>
      </c>
      <c r="AH1446" s="38"/>
      <c r="AI1446" s="50">
        <v>39.3232</v>
      </c>
      <c r="AJ1446" s="50">
        <v>-86.4131</v>
      </c>
      <c r="AK1446" s="41" t="s">
        <v>370</v>
      </c>
      <c r="AL1446" s="40" t="s">
        <v>370</v>
      </c>
      <c r="AM1446" s="49">
        <v>297.0</v>
      </c>
      <c r="AN1446" s="51">
        <v>297.0</v>
      </c>
      <c r="AO1446" s="42" t="s">
        <v>107</v>
      </c>
      <c r="AP1446" s="43" t="s">
        <v>108</v>
      </c>
      <c r="AQ1446" s="44" t="str">
        <f t="shared" si="159"/>
        <v>DBF</v>
      </c>
      <c r="AR1446" s="44">
        <f t="shared" si="144"/>
        <v>297</v>
      </c>
      <c r="AS1446" s="44" t="str">
        <f>LEFT(AO1446,1)</f>
        <v>D</v>
      </c>
      <c r="AT1446" s="44" t="str">
        <f t="shared" si="114"/>
        <v>Df</v>
      </c>
      <c r="AU1446" s="44" t="str">
        <f t="shared" si="115"/>
        <v>Dfa</v>
      </c>
      <c r="AV1446" s="38"/>
      <c r="AW1446" s="38"/>
      <c r="AX1446" s="38"/>
      <c r="AY1446" s="38"/>
      <c r="AZ1446" s="113">
        <v>1000.0</v>
      </c>
      <c r="BA1446" s="113">
        <v>1.0</v>
      </c>
      <c r="BB1446" s="113">
        <v>2.0</v>
      </c>
      <c r="BC1446" s="114" t="s">
        <v>2266</v>
      </c>
      <c r="BD1446" s="29" t="s">
        <v>88</v>
      </c>
      <c r="BE1446" s="104"/>
      <c r="BF1446" s="104" t="s">
        <v>219</v>
      </c>
      <c r="BG1446" s="104" t="s">
        <v>220</v>
      </c>
      <c r="BH1446" s="104" t="s">
        <v>92</v>
      </c>
      <c r="BI1446" s="104"/>
      <c r="BJ1446" s="104"/>
      <c r="BK1446" s="104" t="s">
        <v>148</v>
      </c>
      <c r="BL1446" s="104" t="s">
        <v>148</v>
      </c>
      <c r="BM1446" s="45"/>
      <c r="BN1446" s="45"/>
      <c r="BO1446" s="46"/>
      <c r="BP1446" s="2"/>
      <c r="BQ1446" s="3"/>
    </row>
    <row r="1447" ht="15.75" customHeight="1">
      <c r="A1447" s="34">
        <v>1470.0</v>
      </c>
      <c r="B1447" s="34">
        <v>103241.0</v>
      </c>
      <c r="C1447" s="34" t="s">
        <v>832</v>
      </c>
      <c r="D1447" s="34" t="s">
        <v>2477</v>
      </c>
      <c r="E1447" s="34" t="s">
        <v>2478</v>
      </c>
      <c r="F1447" s="34">
        <v>2018.0</v>
      </c>
      <c r="G1447" s="34" t="s">
        <v>2479</v>
      </c>
      <c r="H1447" s="34" t="s">
        <v>2449</v>
      </c>
      <c r="I1447" s="34" t="s">
        <v>2480</v>
      </c>
      <c r="J1447" s="35"/>
      <c r="K1447" s="36"/>
      <c r="L1447" s="36"/>
      <c r="M1447" s="36"/>
      <c r="N1447" s="36"/>
      <c r="O1447" s="36"/>
      <c r="P1447" s="37">
        <v>-48.0</v>
      </c>
      <c r="Q1447" s="36"/>
      <c r="R1447" s="36" t="s">
        <v>209</v>
      </c>
      <c r="S1447" s="112">
        <v>1000.0</v>
      </c>
      <c r="T1447" s="36"/>
      <c r="U1447" s="36"/>
      <c r="V1447" s="36"/>
      <c r="W1447" s="36"/>
      <c r="X1447" s="38">
        <v>2.0</v>
      </c>
      <c r="Y1447" s="38"/>
      <c r="Z1447" s="38"/>
      <c r="AA1447" s="38" t="s">
        <v>86</v>
      </c>
      <c r="AB1447" s="38"/>
      <c r="AC1447" s="38"/>
      <c r="AD1447" s="39" t="s">
        <v>87</v>
      </c>
      <c r="AE1447" s="38"/>
      <c r="AF1447" s="38"/>
      <c r="AG1447" s="38"/>
      <c r="AH1447" s="38"/>
      <c r="AI1447" s="50"/>
      <c r="AJ1447" s="50"/>
      <c r="AK1447" s="41"/>
      <c r="AL1447" s="40"/>
      <c r="AM1447" s="49"/>
      <c r="AN1447" s="43"/>
      <c r="AO1447" s="42"/>
      <c r="AP1447" s="43"/>
      <c r="AQ1447" s="44" t="str">
        <f t="shared" si="159"/>
        <v>CRO</v>
      </c>
      <c r="AR1447" s="44" t="str">
        <f t="shared" si="144"/>
        <v/>
      </c>
      <c r="AS1447" s="44"/>
      <c r="AT1447" s="44" t="str">
        <f t="shared" si="114"/>
        <v/>
      </c>
      <c r="AU1447" s="44" t="str">
        <f t="shared" si="115"/>
        <v/>
      </c>
      <c r="AV1447" s="38"/>
      <c r="AW1447" s="38"/>
      <c r="AX1447" s="38"/>
      <c r="AY1447" s="38"/>
      <c r="AZ1447" s="113">
        <v>1000.0</v>
      </c>
      <c r="BA1447" s="113">
        <v>1.0</v>
      </c>
      <c r="BB1447" s="113">
        <v>2.0</v>
      </c>
      <c r="BC1447" s="114" t="s">
        <v>2266</v>
      </c>
      <c r="BD1447" s="29" t="s">
        <v>88</v>
      </c>
      <c r="BE1447" s="104"/>
      <c r="BF1447" s="104" t="s">
        <v>219</v>
      </c>
      <c r="BG1447" s="104" t="s">
        <v>220</v>
      </c>
      <c r="BH1447" s="104" t="s">
        <v>92</v>
      </c>
      <c r="BI1447" s="104"/>
      <c r="BJ1447" s="104"/>
      <c r="BK1447" s="104" t="s">
        <v>148</v>
      </c>
      <c r="BL1447" s="104" t="s">
        <v>148</v>
      </c>
      <c r="BM1447" s="45"/>
      <c r="BN1447" s="45"/>
      <c r="BO1447" s="46"/>
      <c r="BP1447" s="2"/>
      <c r="BQ1447" s="3"/>
    </row>
    <row r="1448" ht="15.75" customHeight="1">
      <c r="A1448" s="34">
        <v>1471.0</v>
      </c>
      <c r="B1448" s="34">
        <v>103241.0</v>
      </c>
      <c r="C1448" s="34" t="s">
        <v>832</v>
      </c>
      <c r="D1448" s="34" t="s">
        <v>2477</v>
      </c>
      <c r="E1448" s="34" t="s">
        <v>2478</v>
      </c>
      <c r="F1448" s="34">
        <v>2018.0</v>
      </c>
      <c r="G1448" s="34" t="s">
        <v>2479</v>
      </c>
      <c r="H1448" s="34" t="s">
        <v>2449</v>
      </c>
      <c r="I1448" s="34" t="s">
        <v>2480</v>
      </c>
      <c r="J1448" s="35"/>
      <c r="K1448" s="36"/>
      <c r="L1448" s="36"/>
      <c r="M1448" s="36"/>
      <c r="N1448" s="36"/>
      <c r="O1448" s="36"/>
      <c r="P1448" s="37">
        <v>-6.0</v>
      </c>
      <c r="Q1448" s="36"/>
      <c r="R1448" s="36" t="s">
        <v>13</v>
      </c>
      <c r="S1448" s="36">
        <v>1000.0</v>
      </c>
      <c r="T1448" s="36" t="s">
        <v>193</v>
      </c>
      <c r="U1448" s="36" t="s">
        <v>246</v>
      </c>
      <c r="V1448" s="36"/>
      <c r="W1448" s="36"/>
      <c r="X1448" s="38">
        <v>13.0</v>
      </c>
      <c r="Y1448" s="38"/>
      <c r="Z1448" s="38"/>
      <c r="AA1448" s="38"/>
      <c r="AB1448" s="38"/>
      <c r="AC1448" s="38"/>
      <c r="AD1448" s="39" t="s">
        <v>87</v>
      </c>
      <c r="AE1448" s="38"/>
      <c r="AF1448" s="38"/>
      <c r="AG1448" s="38"/>
      <c r="AH1448" s="38"/>
      <c r="AI1448" s="50"/>
      <c r="AJ1448" s="50"/>
      <c r="AK1448" s="41"/>
      <c r="AL1448" s="40"/>
      <c r="AM1448" s="49"/>
      <c r="AN1448" s="43"/>
      <c r="AO1448" s="42"/>
      <c r="AP1448" s="43"/>
      <c r="AQ1448" s="44" t="str">
        <f t="shared" si="159"/>
        <v/>
      </c>
      <c r="AR1448" s="44" t="str">
        <f t="shared" si="144"/>
        <v/>
      </c>
      <c r="AS1448" s="44"/>
      <c r="AT1448" s="44" t="str">
        <f t="shared" si="114"/>
        <v/>
      </c>
      <c r="AU1448" s="44" t="str">
        <f t="shared" si="115"/>
        <v/>
      </c>
      <c r="AV1448" s="38"/>
      <c r="AW1448" s="38"/>
      <c r="AX1448" s="38"/>
      <c r="AY1448" s="38"/>
      <c r="AZ1448" s="29">
        <v>1000.0</v>
      </c>
      <c r="BA1448" s="29">
        <v>1.0</v>
      </c>
      <c r="BB1448" s="29">
        <v>1.0</v>
      </c>
      <c r="BC1448" s="29"/>
      <c r="BD1448" s="29"/>
      <c r="BE1448" s="29"/>
      <c r="BF1448" s="29" t="s">
        <v>2481</v>
      </c>
      <c r="BG1448" s="29" t="s">
        <v>572</v>
      </c>
      <c r="BH1448" s="29" t="s">
        <v>92</v>
      </c>
      <c r="BI1448" s="29" t="s">
        <v>2482</v>
      </c>
      <c r="BJ1448" s="29"/>
      <c r="BK1448" s="29" t="s">
        <v>148</v>
      </c>
      <c r="BL1448" s="29" t="s">
        <v>148</v>
      </c>
      <c r="BM1448" s="45"/>
      <c r="BN1448" s="45"/>
      <c r="BO1448" s="46"/>
      <c r="BP1448" s="2"/>
      <c r="BQ1448" s="3"/>
    </row>
    <row r="1449" ht="15.75" customHeight="1">
      <c r="A1449" s="34">
        <v>1472.0</v>
      </c>
      <c r="B1449" s="34">
        <v>103241.0</v>
      </c>
      <c r="C1449" s="34" t="s">
        <v>832</v>
      </c>
      <c r="D1449" s="34" t="s">
        <v>2477</v>
      </c>
      <c r="E1449" s="34" t="s">
        <v>2478</v>
      </c>
      <c r="F1449" s="34">
        <v>2018.0</v>
      </c>
      <c r="G1449" s="34" t="s">
        <v>2479</v>
      </c>
      <c r="H1449" s="34" t="s">
        <v>2449</v>
      </c>
      <c r="I1449" s="34" t="s">
        <v>2480</v>
      </c>
      <c r="J1449" s="35"/>
      <c r="K1449" s="36"/>
      <c r="L1449" s="36"/>
      <c r="M1449" s="36"/>
      <c r="N1449" s="36"/>
      <c r="O1449" s="36"/>
      <c r="P1449" s="37">
        <v>23.0</v>
      </c>
      <c r="Q1449" s="36"/>
      <c r="R1449" s="36" t="s">
        <v>13</v>
      </c>
      <c r="S1449" s="36">
        <v>1000.0</v>
      </c>
      <c r="T1449" s="36" t="s">
        <v>193</v>
      </c>
      <c r="U1449" s="36" t="s">
        <v>246</v>
      </c>
      <c r="V1449" s="36"/>
      <c r="W1449" s="36"/>
      <c r="X1449" s="38">
        <v>13.0</v>
      </c>
      <c r="Y1449" s="38"/>
      <c r="Z1449" s="38"/>
      <c r="AA1449" s="38"/>
      <c r="AB1449" s="38"/>
      <c r="AC1449" s="38"/>
      <c r="AD1449" s="39" t="s">
        <v>87</v>
      </c>
      <c r="AE1449" s="38"/>
      <c r="AF1449" s="38"/>
      <c r="AG1449" s="38"/>
      <c r="AH1449" s="38"/>
      <c r="AI1449" s="50"/>
      <c r="AJ1449" s="50"/>
      <c r="AK1449" s="41"/>
      <c r="AL1449" s="40"/>
      <c r="AM1449" s="49"/>
      <c r="AN1449" s="43"/>
      <c r="AO1449" s="42"/>
      <c r="AP1449" s="43"/>
      <c r="AQ1449" s="44" t="str">
        <f t="shared" si="159"/>
        <v/>
      </c>
      <c r="AR1449" s="44" t="str">
        <f t="shared" si="144"/>
        <v/>
      </c>
      <c r="AS1449" s="44"/>
      <c r="AT1449" s="44" t="str">
        <f t="shared" si="114"/>
        <v/>
      </c>
      <c r="AU1449" s="44" t="str">
        <f t="shared" si="115"/>
        <v/>
      </c>
      <c r="AV1449" s="38"/>
      <c r="AW1449" s="38"/>
      <c r="AX1449" s="38"/>
      <c r="AY1449" s="38"/>
      <c r="AZ1449" s="29">
        <v>1000.0</v>
      </c>
      <c r="BA1449" s="29">
        <v>1.0</v>
      </c>
      <c r="BB1449" s="29">
        <v>1.0</v>
      </c>
      <c r="BC1449" s="29"/>
      <c r="BD1449" s="29" t="s">
        <v>88</v>
      </c>
      <c r="BE1449" s="29" t="s">
        <v>89</v>
      </c>
      <c r="BF1449" s="29" t="s">
        <v>936</v>
      </c>
      <c r="BG1449" s="29" t="s">
        <v>572</v>
      </c>
      <c r="BH1449" s="29" t="s">
        <v>92</v>
      </c>
      <c r="BI1449" s="29" t="s">
        <v>2482</v>
      </c>
      <c r="BJ1449" s="29"/>
      <c r="BK1449" s="29" t="s">
        <v>148</v>
      </c>
      <c r="BL1449" s="29" t="s">
        <v>148</v>
      </c>
      <c r="BM1449" s="45"/>
      <c r="BN1449" s="45"/>
      <c r="BO1449" s="46"/>
      <c r="BP1449" s="2"/>
      <c r="BQ1449" s="3"/>
    </row>
    <row r="1450" ht="15.75" customHeight="1">
      <c r="A1450" s="34">
        <v>1473.0</v>
      </c>
      <c r="B1450" s="34">
        <v>103241.0</v>
      </c>
      <c r="C1450" s="34" t="s">
        <v>832</v>
      </c>
      <c r="D1450" s="34" t="s">
        <v>2477</v>
      </c>
      <c r="E1450" s="34" t="s">
        <v>2478</v>
      </c>
      <c r="F1450" s="34">
        <v>2018.0</v>
      </c>
      <c r="G1450" s="34" t="s">
        <v>2479</v>
      </c>
      <c r="H1450" s="34" t="s">
        <v>2449</v>
      </c>
      <c r="I1450" s="34" t="s">
        <v>2480</v>
      </c>
      <c r="J1450" s="35"/>
      <c r="K1450" s="36"/>
      <c r="L1450" s="36"/>
      <c r="M1450" s="36"/>
      <c r="N1450" s="36"/>
      <c r="O1450" s="36"/>
      <c r="P1450" s="37">
        <v>-30.0</v>
      </c>
      <c r="Q1450" s="36"/>
      <c r="R1450" s="36" t="s">
        <v>13</v>
      </c>
      <c r="S1450" s="36">
        <v>1000.0</v>
      </c>
      <c r="T1450" s="36" t="s">
        <v>193</v>
      </c>
      <c r="U1450" s="36" t="s">
        <v>246</v>
      </c>
      <c r="V1450" s="36"/>
      <c r="W1450" s="36"/>
      <c r="X1450" s="38">
        <v>13.0</v>
      </c>
      <c r="Y1450" s="38"/>
      <c r="Z1450" s="38"/>
      <c r="AA1450" s="38"/>
      <c r="AB1450" s="38"/>
      <c r="AC1450" s="38"/>
      <c r="AD1450" s="39" t="s">
        <v>87</v>
      </c>
      <c r="AE1450" s="38"/>
      <c r="AF1450" s="38"/>
      <c r="AG1450" s="38"/>
      <c r="AH1450" s="38"/>
      <c r="AI1450" s="50"/>
      <c r="AJ1450" s="50"/>
      <c r="AK1450" s="41"/>
      <c r="AL1450" s="40"/>
      <c r="AM1450" s="49"/>
      <c r="AN1450" s="43"/>
      <c r="AO1450" s="42"/>
      <c r="AP1450" s="43"/>
      <c r="AQ1450" s="44" t="str">
        <f t="shared" si="159"/>
        <v/>
      </c>
      <c r="AR1450" s="44" t="str">
        <f t="shared" si="144"/>
        <v/>
      </c>
      <c r="AS1450" s="44"/>
      <c r="AT1450" s="44" t="str">
        <f t="shared" si="114"/>
        <v/>
      </c>
      <c r="AU1450" s="44" t="str">
        <f t="shared" si="115"/>
        <v/>
      </c>
      <c r="AV1450" s="38"/>
      <c r="AW1450" s="38"/>
      <c r="AX1450" s="38"/>
      <c r="AY1450" s="38"/>
      <c r="AZ1450" s="29">
        <v>1000.0</v>
      </c>
      <c r="BA1450" s="29">
        <v>1.0</v>
      </c>
      <c r="BB1450" s="29">
        <v>2.0</v>
      </c>
      <c r="BC1450" s="29" t="s">
        <v>2266</v>
      </c>
      <c r="BD1450" s="29" t="s">
        <v>88</v>
      </c>
      <c r="BE1450" s="29"/>
      <c r="BF1450" s="29" t="s">
        <v>219</v>
      </c>
      <c r="BG1450" s="29" t="s">
        <v>220</v>
      </c>
      <c r="BH1450" s="29" t="s">
        <v>92</v>
      </c>
      <c r="BI1450" s="29"/>
      <c r="BJ1450" s="29"/>
      <c r="BK1450" s="29" t="s">
        <v>148</v>
      </c>
      <c r="BL1450" s="29" t="s">
        <v>148</v>
      </c>
      <c r="BM1450" s="45"/>
      <c r="BN1450" s="45"/>
      <c r="BO1450" s="46"/>
      <c r="BP1450" s="2"/>
      <c r="BQ1450" s="3"/>
    </row>
    <row r="1451" ht="15.75" customHeight="1">
      <c r="A1451" s="34">
        <v>1474.0</v>
      </c>
      <c r="B1451" s="34">
        <v>103241.0</v>
      </c>
      <c r="C1451" s="34" t="s">
        <v>832</v>
      </c>
      <c r="D1451" s="34" t="s">
        <v>2477</v>
      </c>
      <c r="E1451" s="34" t="s">
        <v>2478</v>
      </c>
      <c r="F1451" s="34">
        <v>2018.0</v>
      </c>
      <c r="G1451" s="34" t="s">
        <v>2479</v>
      </c>
      <c r="H1451" s="34" t="s">
        <v>2449</v>
      </c>
      <c r="I1451" s="34" t="s">
        <v>2480</v>
      </c>
      <c r="J1451" s="35"/>
      <c r="K1451" s="36"/>
      <c r="L1451" s="36"/>
      <c r="M1451" s="36"/>
      <c r="N1451" s="36"/>
      <c r="O1451" s="36"/>
      <c r="P1451" s="37">
        <v>-14.0</v>
      </c>
      <c r="Q1451" s="36"/>
      <c r="R1451" s="36" t="s">
        <v>13</v>
      </c>
      <c r="S1451" s="36">
        <v>1000.0</v>
      </c>
      <c r="T1451" s="36" t="s">
        <v>193</v>
      </c>
      <c r="U1451" s="36" t="s">
        <v>246</v>
      </c>
      <c r="V1451" s="36"/>
      <c r="W1451" s="36"/>
      <c r="X1451" s="38">
        <v>13.0</v>
      </c>
      <c r="Y1451" s="38"/>
      <c r="Z1451" s="38"/>
      <c r="AA1451" s="38"/>
      <c r="AB1451" s="38"/>
      <c r="AC1451" s="38"/>
      <c r="AD1451" s="39" t="s">
        <v>87</v>
      </c>
      <c r="AE1451" s="38"/>
      <c r="AF1451" s="38"/>
      <c r="AG1451" s="38"/>
      <c r="AH1451" s="38"/>
      <c r="AI1451" s="50"/>
      <c r="AJ1451" s="50"/>
      <c r="AK1451" s="41"/>
      <c r="AL1451" s="40"/>
      <c r="AM1451" s="49"/>
      <c r="AN1451" s="43"/>
      <c r="AO1451" s="42"/>
      <c r="AP1451" s="43"/>
      <c r="AQ1451" s="44" t="str">
        <f t="shared" si="159"/>
        <v/>
      </c>
      <c r="AR1451" s="44" t="str">
        <f t="shared" si="144"/>
        <v/>
      </c>
      <c r="AS1451" s="44"/>
      <c r="AT1451" s="44" t="str">
        <f t="shared" si="114"/>
        <v/>
      </c>
      <c r="AU1451" s="44" t="str">
        <f t="shared" si="115"/>
        <v/>
      </c>
      <c r="AV1451" s="38"/>
      <c r="AW1451" s="38"/>
      <c r="AX1451" s="38"/>
      <c r="AY1451" s="38"/>
      <c r="AZ1451" s="29">
        <v>1000.0</v>
      </c>
      <c r="BA1451" s="29">
        <v>1.0</v>
      </c>
      <c r="BB1451" s="29">
        <v>1.0</v>
      </c>
      <c r="BC1451" s="29"/>
      <c r="BD1451" s="29" t="s">
        <v>88</v>
      </c>
      <c r="BE1451" s="29" t="s">
        <v>2493</v>
      </c>
      <c r="BF1451" s="29" t="s">
        <v>2494</v>
      </c>
      <c r="BG1451" s="29" t="s">
        <v>572</v>
      </c>
      <c r="BH1451" s="29" t="s">
        <v>92</v>
      </c>
      <c r="BI1451" s="29" t="s">
        <v>2482</v>
      </c>
      <c r="BJ1451" s="29"/>
      <c r="BK1451" s="29" t="s">
        <v>148</v>
      </c>
      <c r="BL1451" s="29" t="s">
        <v>148</v>
      </c>
      <c r="BM1451" s="45"/>
      <c r="BN1451" s="45"/>
      <c r="BO1451" s="46"/>
      <c r="BP1451" s="2"/>
      <c r="BQ1451" s="3"/>
    </row>
    <row r="1452" ht="15.75" customHeight="1">
      <c r="A1452" s="34">
        <v>1475.0</v>
      </c>
      <c r="B1452" s="34">
        <v>102503.0</v>
      </c>
      <c r="C1452" s="34" t="s">
        <v>832</v>
      </c>
      <c r="D1452" s="34" t="s">
        <v>2495</v>
      </c>
      <c r="E1452" s="34" t="s">
        <v>2496</v>
      </c>
      <c r="F1452" s="34">
        <v>2020.0</v>
      </c>
      <c r="G1452" s="34" t="s">
        <v>2497</v>
      </c>
      <c r="H1452" s="34" t="s">
        <v>2449</v>
      </c>
      <c r="I1452" s="34" t="s">
        <v>2498</v>
      </c>
      <c r="J1452" s="35"/>
      <c r="K1452" s="36"/>
      <c r="L1452" s="36"/>
      <c r="M1452" s="36"/>
      <c r="N1452" s="36"/>
      <c r="O1452" s="36"/>
      <c r="P1452" s="37">
        <v>-12.7</v>
      </c>
      <c r="Q1452" s="36"/>
      <c r="R1452" s="36" t="s">
        <v>191</v>
      </c>
      <c r="S1452" s="36">
        <v>30.0</v>
      </c>
      <c r="T1452" s="36" t="s">
        <v>328</v>
      </c>
      <c r="U1452" s="36" t="s">
        <v>243</v>
      </c>
      <c r="V1452" s="36"/>
      <c r="W1452" s="36"/>
      <c r="X1452" s="38">
        <v>1.0</v>
      </c>
      <c r="Y1452" s="38" t="s">
        <v>523</v>
      </c>
      <c r="Z1452" s="38" t="s">
        <v>524</v>
      </c>
      <c r="AA1452" s="38" t="s">
        <v>86</v>
      </c>
      <c r="AB1452" s="38">
        <v>41.1651</v>
      </c>
      <c r="AC1452" s="38">
        <v>-96.4766</v>
      </c>
      <c r="AD1452" s="39" t="s">
        <v>87</v>
      </c>
      <c r="AE1452" s="38">
        <v>361.0</v>
      </c>
      <c r="AF1452" s="38" t="s">
        <v>525</v>
      </c>
      <c r="AG1452" s="38" t="s">
        <v>108</v>
      </c>
      <c r="AH1452" s="38"/>
      <c r="AI1452" s="50">
        <v>41.1651</v>
      </c>
      <c r="AJ1452" s="50">
        <v>-96.4766</v>
      </c>
      <c r="AK1452" s="41" t="s">
        <v>86</v>
      </c>
      <c r="AL1452" s="40" t="s">
        <v>86</v>
      </c>
      <c r="AM1452" s="49">
        <v>356.0</v>
      </c>
      <c r="AN1452" s="51">
        <v>356.0</v>
      </c>
      <c r="AO1452" s="42" t="s">
        <v>107</v>
      </c>
      <c r="AP1452" s="43" t="s">
        <v>108</v>
      </c>
      <c r="AQ1452" s="44" t="str">
        <f t="shared" si="159"/>
        <v>CRO</v>
      </c>
      <c r="AR1452" s="44">
        <f t="shared" si="144"/>
        <v>356</v>
      </c>
      <c r="AS1452" s="44" t="str">
        <f t="shared" ref="AS1452:AS1457" si="161">LEFT(AO1452,1)</f>
        <v>D</v>
      </c>
      <c r="AT1452" s="44" t="str">
        <f t="shared" si="114"/>
        <v>Df</v>
      </c>
      <c r="AU1452" s="44" t="str">
        <f t="shared" si="115"/>
        <v>Dfa</v>
      </c>
      <c r="AV1452" s="38"/>
      <c r="AW1452" s="38"/>
      <c r="AX1452" s="38"/>
      <c r="AY1452" s="38"/>
      <c r="AZ1452" s="29">
        <v>30.0</v>
      </c>
      <c r="BA1452" s="29">
        <v>1.0</v>
      </c>
      <c r="BB1452" s="29">
        <v>1.0</v>
      </c>
      <c r="BC1452" s="29"/>
      <c r="BD1452" s="29"/>
      <c r="BE1452" s="29"/>
      <c r="BF1452" s="29" t="s">
        <v>2499</v>
      </c>
      <c r="BG1452" s="29" t="s">
        <v>220</v>
      </c>
      <c r="BH1452" s="29" t="s">
        <v>92</v>
      </c>
      <c r="BI1452" s="29" t="s">
        <v>2500</v>
      </c>
      <c r="BJ1452" s="29" t="s">
        <v>2501</v>
      </c>
      <c r="BK1452" s="29" t="s">
        <v>1917</v>
      </c>
      <c r="BL1452" s="29"/>
      <c r="BM1452" s="45"/>
      <c r="BN1452" s="45">
        <v>1.0</v>
      </c>
      <c r="BO1452" s="46" t="s">
        <v>2499</v>
      </c>
      <c r="BP1452" s="2"/>
      <c r="BQ1452" s="3"/>
    </row>
    <row r="1453" ht="15.75" customHeight="1">
      <c r="A1453" s="34">
        <v>1476.0</v>
      </c>
      <c r="B1453" s="34">
        <v>102503.0</v>
      </c>
      <c r="C1453" s="34" t="s">
        <v>832</v>
      </c>
      <c r="D1453" s="34" t="s">
        <v>2495</v>
      </c>
      <c r="E1453" s="34" t="s">
        <v>2496</v>
      </c>
      <c r="F1453" s="34">
        <v>2020.0</v>
      </c>
      <c r="G1453" s="34" t="s">
        <v>2497</v>
      </c>
      <c r="H1453" s="34" t="s">
        <v>2449</v>
      </c>
      <c r="I1453" s="34" t="s">
        <v>2498</v>
      </c>
      <c r="J1453" s="35"/>
      <c r="K1453" s="36"/>
      <c r="L1453" s="36"/>
      <c r="M1453" s="36"/>
      <c r="N1453" s="36"/>
      <c r="O1453" s="36"/>
      <c r="P1453" s="37">
        <v>-14.2</v>
      </c>
      <c r="Q1453" s="36"/>
      <c r="R1453" s="36" t="s">
        <v>191</v>
      </c>
      <c r="S1453" s="36">
        <v>30.0</v>
      </c>
      <c r="T1453" s="36" t="s">
        <v>328</v>
      </c>
      <c r="U1453" s="36" t="s">
        <v>243</v>
      </c>
      <c r="V1453" s="36"/>
      <c r="W1453" s="36"/>
      <c r="X1453" s="38">
        <v>1.0</v>
      </c>
      <c r="Y1453" s="38" t="s">
        <v>526</v>
      </c>
      <c r="Z1453" s="38" t="s">
        <v>527</v>
      </c>
      <c r="AA1453" s="38" t="s">
        <v>86</v>
      </c>
      <c r="AB1453" s="38">
        <v>41.1649</v>
      </c>
      <c r="AC1453" s="38">
        <v>-96.4701</v>
      </c>
      <c r="AD1453" s="39" t="s">
        <v>87</v>
      </c>
      <c r="AE1453" s="38">
        <v>362.0</v>
      </c>
      <c r="AF1453" s="38" t="s">
        <v>528</v>
      </c>
      <c r="AG1453" s="38" t="s">
        <v>108</v>
      </c>
      <c r="AH1453" s="38"/>
      <c r="AI1453" s="50">
        <v>41.1649</v>
      </c>
      <c r="AJ1453" s="50">
        <v>-96.4701</v>
      </c>
      <c r="AK1453" s="41" t="s">
        <v>86</v>
      </c>
      <c r="AL1453" s="40" t="s">
        <v>86</v>
      </c>
      <c r="AM1453" s="49">
        <v>355.0</v>
      </c>
      <c r="AN1453" s="51">
        <v>355.0</v>
      </c>
      <c r="AO1453" s="42" t="s">
        <v>107</v>
      </c>
      <c r="AP1453" s="43" t="s">
        <v>108</v>
      </c>
      <c r="AQ1453" s="44" t="str">
        <f t="shared" si="159"/>
        <v>CRO</v>
      </c>
      <c r="AR1453" s="44">
        <f t="shared" si="144"/>
        <v>355</v>
      </c>
      <c r="AS1453" s="44" t="str">
        <f t="shared" si="161"/>
        <v>D</v>
      </c>
      <c r="AT1453" s="44" t="str">
        <f t="shared" si="114"/>
        <v>Df</v>
      </c>
      <c r="AU1453" s="44" t="str">
        <f t="shared" si="115"/>
        <v>Dfa</v>
      </c>
      <c r="AV1453" s="38"/>
      <c r="AW1453" s="38"/>
      <c r="AX1453" s="38"/>
      <c r="AY1453" s="38"/>
      <c r="AZ1453" s="29">
        <v>30.0</v>
      </c>
      <c r="BA1453" s="29">
        <v>1.0</v>
      </c>
      <c r="BB1453" s="29">
        <v>1.0</v>
      </c>
      <c r="BC1453" s="29"/>
      <c r="BD1453" s="29"/>
      <c r="BE1453" s="29"/>
      <c r="BF1453" s="29" t="s">
        <v>2499</v>
      </c>
      <c r="BG1453" s="29" t="s">
        <v>220</v>
      </c>
      <c r="BH1453" s="29" t="s">
        <v>92</v>
      </c>
      <c r="BI1453" s="29" t="s">
        <v>2500</v>
      </c>
      <c r="BJ1453" s="29" t="s">
        <v>2501</v>
      </c>
      <c r="BK1453" s="29" t="s">
        <v>1917</v>
      </c>
      <c r="BL1453" s="29"/>
      <c r="BM1453" s="45"/>
      <c r="BN1453" s="45">
        <v>1.0</v>
      </c>
      <c r="BO1453" s="46" t="s">
        <v>2499</v>
      </c>
      <c r="BP1453" s="2"/>
      <c r="BQ1453" s="3"/>
    </row>
    <row r="1454" ht="15.75" customHeight="1">
      <c r="A1454" s="34">
        <v>1477.0</v>
      </c>
      <c r="B1454" s="34">
        <v>102503.0</v>
      </c>
      <c r="C1454" s="34" t="s">
        <v>832</v>
      </c>
      <c r="D1454" s="34" t="s">
        <v>2495</v>
      </c>
      <c r="E1454" s="34" t="s">
        <v>2496</v>
      </c>
      <c r="F1454" s="34">
        <v>2020.0</v>
      </c>
      <c r="G1454" s="34" t="s">
        <v>2497</v>
      </c>
      <c r="H1454" s="34" t="s">
        <v>2449</v>
      </c>
      <c r="I1454" s="34" t="s">
        <v>2498</v>
      </c>
      <c r="J1454" s="35"/>
      <c r="K1454" s="36"/>
      <c r="L1454" s="36"/>
      <c r="M1454" s="36"/>
      <c r="N1454" s="36"/>
      <c r="O1454" s="36"/>
      <c r="P1454" s="37">
        <v>-16.0</v>
      </c>
      <c r="Q1454" s="36"/>
      <c r="R1454" s="36" t="s">
        <v>191</v>
      </c>
      <c r="S1454" s="36">
        <v>30.0</v>
      </c>
      <c r="T1454" s="36" t="s">
        <v>328</v>
      </c>
      <c r="U1454" s="36" t="s">
        <v>243</v>
      </c>
      <c r="V1454" s="36"/>
      <c r="W1454" s="36"/>
      <c r="X1454" s="38">
        <v>1.0</v>
      </c>
      <c r="Y1454" s="38" t="s">
        <v>529</v>
      </c>
      <c r="Z1454" s="38" t="s">
        <v>530</v>
      </c>
      <c r="AA1454" s="38" t="s">
        <v>86</v>
      </c>
      <c r="AB1454" s="38">
        <v>41.1797</v>
      </c>
      <c r="AC1454" s="38">
        <v>-96.4397</v>
      </c>
      <c r="AD1454" s="39" t="s">
        <v>87</v>
      </c>
      <c r="AE1454" s="38">
        <v>363.0</v>
      </c>
      <c r="AF1454" s="38" t="s">
        <v>528</v>
      </c>
      <c r="AG1454" s="38" t="s">
        <v>108</v>
      </c>
      <c r="AH1454" s="38"/>
      <c r="AI1454" s="50">
        <v>41.1797</v>
      </c>
      <c r="AJ1454" s="50">
        <v>-96.4397</v>
      </c>
      <c r="AK1454" s="41" t="s">
        <v>86</v>
      </c>
      <c r="AL1454" s="40" t="s">
        <v>86</v>
      </c>
      <c r="AM1454" s="49">
        <v>359.0</v>
      </c>
      <c r="AN1454" s="51">
        <v>359.0</v>
      </c>
      <c r="AO1454" s="42" t="s">
        <v>107</v>
      </c>
      <c r="AP1454" s="43" t="s">
        <v>108</v>
      </c>
      <c r="AQ1454" s="44" t="str">
        <f t="shared" si="159"/>
        <v>CRO</v>
      </c>
      <c r="AR1454" s="44">
        <f t="shared" si="144"/>
        <v>359</v>
      </c>
      <c r="AS1454" s="44" t="str">
        <f t="shared" si="161"/>
        <v>D</v>
      </c>
      <c r="AT1454" s="44" t="str">
        <f t="shared" si="114"/>
        <v>Df</v>
      </c>
      <c r="AU1454" s="44" t="str">
        <f t="shared" si="115"/>
        <v>Dfa</v>
      </c>
      <c r="AV1454" s="38"/>
      <c r="AW1454" s="38"/>
      <c r="AX1454" s="38"/>
      <c r="AY1454" s="38"/>
      <c r="AZ1454" s="29">
        <v>30.0</v>
      </c>
      <c r="BA1454" s="29">
        <v>1.0</v>
      </c>
      <c r="BB1454" s="29">
        <v>1.0</v>
      </c>
      <c r="BC1454" s="29"/>
      <c r="BD1454" s="29"/>
      <c r="BE1454" s="29"/>
      <c r="BF1454" s="29" t="s">
        <v>2499</v>
      </c>
      <c r="BG1454" s="29" t="s">
        <v>220</v>
      </c>
      <c r="BH1454" s="29" t="s">
        <v>92</v>
      </c>
      <c r="BI1454" s="29" t="s">
        <v>2500</v>
      </c>
      <c r="BJ1454" s="29" t="s">
        <v>2501</v>
      </c>
      <c r="BK1454" s="29" t="s">
        <v>1917</v>
      </c>
      <c r="BL1454" s="29"/>
      <c r="BM1454" s="45"/>
      <c r="BN1454" s="45"/>
      <c r="BO1454" s="46"/>
      <c r="BP1454" s="2"/>
      <c r="BQ1454" s="3"/>
    </row>
    <row r="1455" ht="15.75" customHeight="1">
      <c r="A1455" s="34">
        <v>1478.0</v>
      </c>
      <c r="B1455" s="34">
        <v>102503.0</v>
      </c>
      <c r="C1455" s="34" t="s">
        <v>832</v>
      </c>
      <c r="D1455" s="34" t="s">
        <v>2495</v>
      </c>
      <c r="E1455" s="34" t="s">
        <v>2496</v>
      </c>
      <c r="F1455" s="34">
        <v>2020.0</v>
      </c>
      <c r="G1455" s="34" t="s">
        <v>2497</v>
      </c>
      <c r="H1455" s="34" t="s">
        <v>2449</v>
      </c>
      <c r="I1455" s="34" t="s">
        <v>2498</v>
      </c>
      <c r="J1455" s="35"/>
      <c r="K1455" s="36"/>
      <c r="L1455" s="36"/>
      <c r="M1455" s="36"/>
      <c r="N1455" s="36"/>
      <c r="O1455" s="36"/>
      <c r="P1455" s="37">
        <v>-23.6</v>
      </c>
      <c r="Q1455" s="36"/>
      <c r="R1455" s="36" t="s">
        <v>96</v>
      </c>
      <c r="S1455" s="36">
        <v>30.0</v>
      </c>
      <c r="T1455" s="36" t="s">
        <v>328</v>
      </c>
      <c r="U1455" s="36" t="s">
        <v>243</v>
      </c>
      <c r="V1455" s="36"/>
      <c r="W1455" s="36"/>
      <c r="X1455" s="38">
        <v>1.0</v>
      </c>
      <c r="Y1455" s="38" t="s">
        <v>523</v>
      </c>
      <c r="Z1455" s="38" t="s">
        <v>524</v>
      </c>
      <c r="AA1455" s="38" t="s">
        <v>86</v>
      </c>
      <c r="AB1455" s="38">
        <v>41.1651</v>
      </c>
      <c r="AC1455" s="38">
        <v>-96.4766</v>
      </c>
      <c r="AD1455" s="39" t="s">
        <v>87</v>
      </c>
      <c r="AE1455" s="38">
        <v>361.0</v>
      </c>
      <c r="AF1455" s="38" t="s">
        <v>525</v>
      </c>
      <c r="AG1455" s="38" t="s">
        <v>108</v>
      </c>
      <c r="AH1455" s="38"/>
      <c r="AI1455" s="50">
        <v>41.1651</v>
      </c>
      <c r="AJ1455" s="50">
        <v>-96.4766</v>
      </c>
      <c r="AK1455" s="41" t="s">
        <v>86</v>
      </c>
      <c r="AL1455" s="40" t="s">
        <v>86</v>
      </c>
      <c r="AM1455" s="49">
        <v>356.0</v>
      </c>
      <c r="AN1455" s="51">
        <v>356.0</v>
      </c>
      <c r="AO1455" s="42" t="s">
        <v>107</v>
      </c>
      <c r="AP1455" s="43" t="s">
        <v>108</v>
      </c>
      <c r="AQ1455" s="44" t="str">
        <f t="shared" si="159"/>
        <v>CRO</v>
      </c>
      <c r="AR1455" s="44">
        <f t="shared" si="144"/>
        <v>356</v>
      </c>
      <c r="AS1455" s="44" t="str">
        <f t="shared" si="161"/>
        <v>D</v>
      </c>
      <c r="AT1455" s="44" t="str">
        <f t="shared" si="114"/>
        <v>Df</v>
      </c>
      <c r="AU1455" s="44" t="str">
        <f t="shared" si="115"/>
        <v>Dfa</v>
      </c>
      <c r="AV1455" s="38"/>
      <c r="AW1455" s="38"/>
      <c r="AX1455" s="38"/>
      <c r="AY1455" s="38"/>
      <c r="AZ1455" s="29">
        <v>30.0</v>
      </c>
      <c r="BA1455" s="29">
        <v>1.0</v>
      </c>
      <c r="BB1455" s="29">
        <v>1.0</v>
      </c>
      <c r="BC1455" s="29"/>
      <c r="BD1455" s="29"/>
      <c r="BE1455" s="29"/>
      <c r="BF1455" s="29" t="s">
        <v>2499</v>
      </c>
      <c r="BG1455" s="29" t="s">
        <v>220</v>
      </c>
      <c r="BH1455" s="29" t="s">
        <v>92</v>
      </c>
      <c r="BI1455" s="29" t="s">
        <v>2500</v>
      </c>
      <c r="BJ1455" s="29" t="s">
        <v>2501</v>
      </c>
      <c r="BK1455" s="29" t="s">
        <v>1917</v>
      </c>
      <c r="BL1455" s="29"/>
      <c r="BM1455" s="45"/>
      <c r="BN1455" s="45"/>
      <c r="BO1455" s="46"/>
      <c r="BP1455" s="2"/>
      <c r="BQ1455" s="3"/>
    </row>
    <row r="1456" ht="15.75" customHeight="1">
      <c r="A1456" s="34">
        <v>1479.0</v>
      </c>
      <c r="B1456" s="34">
        <v>102503.0</v>
      </c>
      <c r="C1456" s="34" t="s">
        <v>832</v>
      </c>
      <c r="D1456" s="34" t="s">
        <v>2495</v>
      </c>
      <c r="E1456" s="34" t="s">
        <v>2496</v>
      </c>
      <c r="F1456" s="34">
        <v>2020.0</v>
      </c>
      <c r="G1456" s="34" t="s">
        <v>2497</v>
      </c>
      <c r="H1456" s="34" t="s">
        <v>2449</v>
      </c>
      <c r="I1456" s="34" t="s">
        <v>2498</v>
      </c>
      <c r="J1456" s="35"/>
      <c r="K1456" s="36"/>
      <c r="L1456" s="36"/>
      <c r="M1456" s="36"/>
      <c r="N1456" s="36"/>
      <c r="O1456" s="36"/>
      <c r="P1456" s="37">
        <v>-25.3</v>
      </c>
      <c r="Q1456" s="36"/>
      <c r="R1456" s="36" t="s">
        <v>96</v>
      </c>
      <c r="S1456" s="36">
        <v>30.0</v>
      </c>
      <c r="T1456" s="36" t="s">
        <v>328</v>
      </c>
      <c r="U1456" s="36" t="s">
        <v>243</v>
      </c>
      <c r="V1456" s="36"/>
      <c r="W1456" s="36"/>
      <c r="X1456" s="38">
        <v>1.0</v>
      </c>
      <c r="Y1456" s="38" t="s">
        <v>526</v>
      </c>
      <c r="Z1456" s="38" t="s">
        <v>527</v>
      </c>
      <c r="AA1456" s="38" t="s">
        <v>86</v>
      </c>
      <c r="AB1456" s="38">
        <v>41.1649</v>
      </c>
      <c r="AC1456" s="38">
        <v>-96.4701</v>
      </c>
      <c r="AD1456" s="39" t="s">
        <v>87</v>
      </c>
      <c r="AE1456" s="38">
        <v>362.0</v>
      </c>
      <c r="AF1456" s="38" t="s">
        <v>528</v>
      </c>
      <c r="AG1456" s="38" t="s">
        <v>108</v>
      </c>
      <c r="AH1456" s="38"/>
      <c r="AI1456" s="50">
        <v>41.1649</v>
      </c>
      <c r="AJ1456" s="50">
        <v>-96.4701</v>
      </c>
      <c r="AK1456" s="41" t="s">
        <v>86</v>
      </c>
      <c r="AL1456" s="40" t="s">
        <v>86</v>
      </c>
      <c r="AM1456" s="49">
        <v>355.0</v>
      </c>
      <c r="AN1456" s="51">
        <v>355.0</v>
      </c>
      <c r="AO1456" s="42" t="s">
        <v>107</v>
      </c>
      <c r="AP1456" s="43" t="s">
        <v>108</v>
      </c>
      <c r="AQ1456" s="44" t="str">
        <f t="shared" si="159"/>
        <v>CRO</v>
      </c>
      <c r="AR1456" s="44">
        <f t="shared" si="144"/>
        <v>355</v>
      </c>
      <c r="AS1456" s="44" t="str">
        <f t="shared" si="161"/>
        <v>D</v>
      </c>
      <c r="AT1456" s="44" t="str">
        <f t="shared" si="114"/>
        <v>Df</v>
      </c>
      <c r="AU1456" s="44" t="str">
        <f t="shared" si="115"/>
        <v>Dfa</v>
      </c>
      <c r="AV1456" s="38"/>
      <c r="AW1456" s="38"/>
      <c r="AX1456" s="38"/>
      <c r="AY1456" s="38"/>
      <c r="AZ1456" s="29">
        <v>30.0</v>
      </c>
      <c r="BA1456" s="29">
        <v>1.0</v>
      </c>
      <c r="BB1456" s="29">
        <v>1.0</v>
      </c>
      <c r="BC1456" s="29"/>
      <c r="BD1456" s="29"/>
      <c r="BE1456" s="29"/>
      <c r="BF1456" s="29" t="s">
        <v>2499</v>
      </c>
      <c r="BG1456" s="29" t="s">
        <v>220</v>
      </c>
      <c r="BH1456" s="29" t="s">
        <v>92</v>
      </c>
      <c r="BI1456" s="29" t="s">
        <v>2500</v>
      </c>
      <c r="BJ1456" s="29" t="s">
        <v>2501</v>
      </c>
      <c r="BK1456" s="29" t="s">
        <v>1917</v>
      </c>
      <c r="BL1456" s="29"/>
      <c r="BM1456" s="45"/>
      <c r="BN1456" s="45"/>
      <c r="BO1456" s="46"/>
      <c r="BP1456" s="2"/>
      <c r="BQ1456" s="3"/>
    </row>
    <row r="1457" ht="15.75" customHeight="1">
      <c r="A1457" s="34">
        <v>1480.0</v>
      </c>
      <c r="B1457" s="34">
        <v>102503.0</v>
      </c>
      <c r="C1457" s="34" t="s">
        <v>832</v>
      </c>
      <c r="D1457" s="34" t="s">
        <v>2495</v>
      </c>
      <c r="E1457" s="34" t="s">
        <v>2496</v>
      </c>
      <c r="F1457" s="34">
        <v>2020.0</v>
      </c>
      <c r="G1457" s="34" t="s">
        <v>2497</v>
      </c>
      <c r="H1457" s="34" t="s">
        <v>2449</v>
      </c>
      <c r="I1457" s="34" t="s">
        <v>2498</v>
      </c>
      <c r="J1457" s="35"/>
      <c r="K1457" s="36"/>
      <c r="L1457" s="36"/>
      <c r="M1457" s="36"/>
      <c r="N1457" s="36"/>
      <c r="O1457" s="36"/>
      <c r="P1457" s="37">
        <v>26.9</v>
      </c>
      <c r="Q1457" s="36"/>
      <c r="R1457" s="36" t="s">
        <v>96</v>
      </c>
      <c r="S1457" s="36">
        <v>30.0</v>
      </c>
      <c r="T1457" s="36" t="s">
        <v>328</v>
      </c>
      <c r="U1457" s="36" t="s">
        <v>243</v>
      </c>
      <c r="V1457" s="36"/>
      <c r="W1457" s="36"/>
      <c r="X1457" s="38">
        <v>1.0</v>
      </c>
      <c r="Y1457" s="38" t="s">
        <v>529</v>
      </c>
      <c r="Z1457" s="38" t="s">
        <v>530</v>
      </c>
      <c r="AA1457" s="38" t="s">
        <v>86</v>
      </c>
      <c r="AB1457" s="38">
        <v>41.1797</v>
      </c>
      <c r="AC1457" s="38">
        <v>-96.4397</v>
      </c>
      <c r="AD1457" s="39" t="s">
        <v>87</v>
      </c>
      <c r="AE1457" s="38">
        <v>363.0</v>
      </c>
      <c r="AF1457" s="38" t="s">
        <v>528</v>
      </c>
      <c r="AG1457" s="38" t="s">
        <v>108</v>
      </c>
      <c r="AH1457" s="38"/>
      <c r="AI1457" s="50">
        <v>41.1797</v>
      </c>
      <c r="AJ1457" s="50">
        <v>-96.4397</v>
      </c>
      <c r="AK1457" s="41" t="s">
        <v>86</v>
      </c>
      <c r="AL1457" s="40" t="s">
        <v>86</v>
      </c>
      <c r="AM1457" s="49">
        <v>359.0</v>
      </c>
      <c r="AN1457" s="51">
        <v>359.0</v>
      </c>
      <c r="AO1457" s="42" t="s">
        <v>107</v>
      </c>
      <c r="AP1457" s="43" t="s">
        <v>108</v>
      </c>
      <c r="AQ1457" s="44" t="str">
        <f t="shared" si="159"/>
        <v>CRO</v>
      </c>
      <c r="AR1457" s="44">
        <f t="shared" si="144"/>
        <v>359</v>
      </c>
      <c r="AS1457" s="44" t="str">
        <f t="shared" si="161"/>
        <v>D</v>
      </c>
      <c r="AT1457" s="44" t="str">
        <f t="shared" si="114"/>
        <v>Df</v>
      </c>
      <c r="AU1457" s="44" t="str">
        <f t="shared" si="115"/>
        <v>Dfa</v>
      </c>
      <c r="AV1457" s="38"/>
      <c r="AW1457" s="38"/>
      <c r="AX1457" s="38"/>
      <c r="AY1457" s="38"/>
      <c r="AZ1457" s="29">
        <v>30.0</v>
      </c>
      <c r="BA1457" s="29">
        <v>1.0</v>
      </c>
      <c r="BB1457" s="29">
        <v>1.0</v>
      </c>
      <c r="BC1457" s="29"/>
      <c r="BD1457" s="29"/>
      <c r="BE1457" s="29"/>
      <c r="BF1457" s="29" t="s">
        <v>2499</v>
      </c>
      <c r="BG1457" s="29" t="s">
        <v>220</v>
      </c>
      <c r="BH1457" s="29" t="s">
        <v>92</v>
      </c>
      <c r="BI1457" s="29" t="s">
        <v>2500</v>
      </c>
      <c r="BJ1457" s="29" t="s">
        <v>2501</v>
      </c>
      <c r="BK1457" s="29" t="s">
        <v>1917</v>
      </c>
      <c r="BL1457" s="29"/>
      <c r="BM1457" s="45"/>
      <c r="BN1457" s="45"/>
      <c r="BO1457" s="46"/>
      <c r="BP1457" s="2"/>
      <c r="BQ1457" s="3"/>
    </row>
    <row r="1458" ht="15.75" customHeight="1">
      <c r="A1458" s="34">
        <v>1481.0</v>
      </c>
      <c r="B1458" s="34">
        <v>102503.0</v>
      </c>
      <c r="C1458" s="34" t="s">
        <v>832</v>
      </c>
      <c r="D1458" s="34" t="s">
        <v>2495</v>
      </c>
      <c r="E1458" s="34" t="s">
        <v>2496</v>
      </c>
      <c r="F1458" s="34">
        <v>2020.0</v>
      </c>
      <c r="G1458" s="34" t="s">
        <v>2497</v>
      </c>
      <c r="H1458" s="34" t="s">
        <v>2449</v>
      </c>
      <c r="I1458" s="34" t="s">
        <v>2498</v>
      </c>
      <c r="J1458" s="35"/>
      <c r="K1458" s="36"/>
      <c r="L1458" s="36"/>
      <c r="M1458" s="36"/>
      <c r="N1458" s="36"/>
      <c r="O1458" s="36"/>
      <c r="P1458" s="37">
        <v>-27.4</v>
      </c>
      <c r="Q1458" s="36"/>
      <c r="R1458" s="36" t="s">
        <v>96</v>
      </c>
      <c r="S1458" s="36">
        <v>30.0</v>
      </c>
      <c r="T1458" s="36" t="s">
        <v>356</v>
      </c>
      <c r="U1458" s="36" t="s">
        <v>168</v>
      </c>
      <c r="V1458" s="36"/>
      <c r="W1458" s="36"/>
      <c r="X1458" s="38">
        <v>12.0</v>
      </c>
      <c r="Y1458" s="38"/>
      <c r="Z1458" s="38"/>
      <c r="AA1458" s="38"/>
      <c r="AB1458" s="38"/>
      <c r="AC1458" s="38"/>
      <c r="AD1458" s="39" t="s">
        <v>87</v>
      </c>
      <c r="AE1458" s="38"/>
      <c r="AF1458" s="38"/>
      <c r="AG1458" s="38"/>
      <c r="AH1458" s="38"/>
      <c r="AI1458" s="50"/>
      <c r="AJ1458" s="50"/>
      <c r="AK1458" s="41"/>
      <c r="AL1458" s="40"/>
      <c r="AM1458" s="49"/>
      <c r="AN1458" s="43"/>
      <c r="AO1458" s="42"/>
      <c r="AP1458" s="43"/>
      <c r="AQ1458" s="44" t="str">
        <f t="shared" si="159"/>
        <v/>
      </c>
      <c r="AR1458" s="44" t="str">
        <f t="shared" si="144"/>
        <v/>
      </c>
      <c r="AS1458" s="44"/>
      <c r="AT1458" s="44" t="str">
        <f t="shared" si="114"/>
        <v/>
      </c>
      <c r="AU1458" s="44" t="str">
        <f t="shared" si="115"/>
        <v/>
      </c>
      <c r="AV1458" s="38"/>
      <c r="AW1458" s="38"/>
      <c r="AX1458" s="38"/>
      <c r="AY1458" s="38"/>
      <c r="AZ1458" s="29">
        <v>30.0</v>
      </c>
      <c r="BA1458" s="29">
        <v>1.0</v>
      </c>
      <c r="BB1458" s="29">
        <v>1.0</v>
      </c>
      <c r="BC1458" s="29"/>
      <c r="BD1458" s="29"/>
      <c r="BE1458" s="29" t="s">
        <v>263</v>
      </c>
      <c r="BF1458" s="29" t="s">
        <v>2502</v>
      </c>
      <c r="BG1458" s="29" t="s">
        <v>220</v>
      </c>
      <c r="BH1458" s="29" t="s">
        <v>92</v>
      </c>
      <c r="BI1458" s="29" t="s">
        <v>2500</v>
      </c>
      <c r="BJ1458" s="29" t="s">
        <v>2501</v>
      </c>
      <c r="BK1458" s="29" t="s">
        <v>1917</v>
      </c>
      <c r="BL1458" s="29"/>
      <c r="BM1458" s="45"/>
      <c r="BN1458" s="45"/>
      <c r="BO1458" s="46"/>
      <c r="BP1458" s="2"/>
      <c r="BQ1458" s="3"/>
    </row>
    <row r="1459" ht="15.75" customHeight="1">
      <c r="A1459" s="34">
        <v>1482.0</v>
      </c>
      <c r="B1459" s="34">
        <v>102503.0</v>
      </c>
      <c r="C1459" s="34" t="s">
        <v>832</v>
      </c>
      <c r="D1459" s="34" t="s">
        <v>2495</v>
      </c>
      <c r="E1459" s="34" t="s">
        <v>2496</v>
      </c>
      <c r="F1459" s="34">
        <v>2020.0</v>
      </c>
      <c r="G1459" s="34" t="s">
        <v>2497</v>
      </c>
      <c r="H1459" s="34" t="s">
        <v>2449</v>
      </c>
      <c r="I1459" s="34" t="s">
        <v>2498</v>
      </c>
      <c r="J1459" s="35"/>
      <c r="K1459" s="36"/>
      <c r="L1459" s="36"/>
      <c r="M1459" s="36"/>
      <c r="N1459" s="36"/>
      <c r="O1459" s="36"/>
      <c r="P1459" s="37">
        <v>27.9</v>
      </c>
      <c r="Q1459" s="36"/>
      <c r="R1459" s="36" t="s">
        <v>96</v>
      </c>
      <c r="S1459" s="36">
        <v>30.0</v>
      </c>
      <c r="T1459" s="36" t="s">
        <v>356</v>
      </c>
      <c r="U1459" s="36" t="s">
        <v>168</v>
      </c>
      <c r="V1459" s="36"/>
      <c r="W1459" s="36"/>
      <c r="X1459" s="38">
        <v>12.0</v>
      </c>
      <c r="Y1459" s="38"/>
      <c r="Z1459" s="38"/>
      <c r="AA1459" s="38"/>
      <c r="AB1459" s="38"/>
      <c r="AC1459" s="38"/>
      <c r="AD1459" s="39" t="s">
        <v>87</v>
      </c>
      <c r="AE1459" s="38"/>
      <c r="AF1459" s="38"/>
      <c r="AG1459" s="38"/>
      <c r="AH1459" s="38"/>
      <c r="AI1459" s="50"/>
      <c r="AJ1459" s="50"/>
      <c r="AK1459" s="41"/>
      <c r="AL1459" s="40"/>
      <c r="AM1459" s="49"/>
      <c r="AN1459" s="43"/>
      <c r="AO1459" s="42"/>
      <c r="AP1459" s="43"/>
      <c r="AQ1459" s="44" t="str">
        <f t="shared" si="159"/>
        <v/>
      </c>
      <c r="AR1459" s="44" t="str">
        <f t="shared" si="144"/>
        <v/>
      </c>
      <c r="AS1459" s="44"/>
      <c r="AT1459" s="44" t="str">
        <f t="shared" si="114"/>
        <v/>
      </c>
      <c r="AU1459" s="44" t="str">
        <f t="shared" si="115"/>
        <v/>
      </c>
      <c r="AV1459" s="38"/>
      <c r="AW1459" s="38"/>
      <c r="AX1459" s="38"/>
      <c r="AY1459" s="38"/>
      <c r="AZ1459" s="29">
        <v>30.0</v>
      </c>
      <c r="BA1459" s="29">
        <v>1.0</v>
      </c>
      <c r="BB1459" s="29">
        <v>1.0</v>
      </c>
      <c r="BC1459" s="29"/>
      <c r="BD1459" s="29"/>
      <c r="BE1459" s="29" t="s">
        <v>263</v>
      </c>
      <c r="BF1459" s="29" t="s">
        <v>2503</v>
      </c>
      <c r="BG1459" s="29" t="s">
        <v>220</v>
      </c>
      <c r="BH1459" s="29" t="s">
        <v>92</v>
      </c>
      <c r="BI1459" s="29" t="s">
        <v>2500</v>
      </c>
      <c r="BJ1459" s="29" t="s">
        <v>2501</v>
      </c>
      <c r="BK1459" s="29" t="s">
        <v>1917</v>
      </c>
      <c r="BL1459" s="29"/>
      <c r="BM1459" s="45"/>
      <c r="BN1459" s="45"/>
      <c r="BO1459" s="46"/>
      <c r="BP1459" s="2"/>
      <c r="BQ1459" s="3"/>
    </row>
    <row r="1460" ht="15.75" customHeight="1">
      <c r="A1460" s="34">
        <v>1483.0</v>
      </c>
      <c r="B1460" s="34">
        <v>102503.0</v>
      </c>
      <c r="C1460" s="34" t="s">
        <v>832</v>
      </c>
      <c r="D1460" s="34" t="s">
        <v>2495</v>
      </c>
      <c r="E1460" s="34" t="s">
        <v>2496</v>
      </c>
      <c r="F1460" s="34">
        <v>2020.0</v>
      </c>
      <c r="G1460" s="34" t="s">
        <v>2497</v>
      </c>
      <c r="H1460" s="34" t="s">
        <v>2449</v>
      </c>
      <c r="I1460" s="34" t="s">
        <v>2498</v>
      </c>
      <c r="J1460" s="35"/>
      <c r="K1460" s="36"/>
      <c r="L1460" s="36"/>
      <c r="M1460" s="36"/>
      <c r="N1460" s="36"/>
      <c r="O1460" s="36"/>
      <c r="P1460" s="37">
        <v>-30.2</v>
      </c>
      <c r="Q1460" s="36"/>
      <c r="R1460" s="36" t="s">
        <v>96</v>
      </c>
      <c r="S1460" s="36">
        <v>30.0</v>
      </c>
      <c r="T1460" s="36" t="s">
        <v>356</v>
      </c>
      <c r="U1460" s="36" t="s">
        <v>168</v>
      </c>
      <c r="V1460" s="36"/>
      <c r="W1460" s="36"/>
      <c r="X1460" s="38">
        <v>12.0</v>
      </c>
      <c r="Y1460" s="38"/>
      <c r="Z1460" s="38"/>
      <c r="AA1460" s="38"/>
      <c r="AB1460" s="38"/>
      <c r="AC1460" s="38"/>
      <c r="AD1460" s="39" t="s">
        <v>87</v>
      </c>
      <c r="AE1460" s="38"/>
      <c r="AF1460" s="38"/>
      <c r="AG1460" s="38"/>
      <c r="AH1460" s="38"/>
      <c r="AI1460" s="50"/>
      <c r="AJ1460" s="50"/>
      <c r="AK1460" s="41"/>
      <c r="AL1460" s="40"/>
      <c r="AM1460" s="49"/>
      <c r="AN1460" s="43"/>
      <c r="AO1460" s="42"/>
      <c r="AP1460" s="43"/>
      <c r="AQ1460" s="44" t="str">
        <f t="shared" si="159"/>
        <v/>
      </c>
      <c r="AR1460" s="44" t="str">
        <f t="shared" si="144"/>
        <v/>
      </c>
      <c r="AS1460" s="44"/>
      <c r="AT1460" s="44" t="str">
        <f t="shared" si="114"/>
        <v/>
      </c>
      <c r="AU1460" s="44" t="str">
        <f t="shared" si="115"/>
        <v/>
      </c>
      <c r="AV1460" s="38"/>
      <c r="AW1460" s="38"/>
      <c r="AX1460" s="38"/>
      <c r="AY1460" s="38"/>
      <c r="AZ1460" s="29">
        <v>30.0</v>
      </c>
      <c r="BA1460" s="29">
        <v>1.0</v>
      </c>
      <c r="BB1460" s="29">
        <v>1.0</v>
      </c>
      <c r="BC1460" s="29"/>
      <c r="BD1460" s="29"/>
      <c r="BE1460" s="29" t="s">
        <v>89</v>
      </c>
      <c r="BF1460" s="29" t="s">
        <v>2504</v>
      </c>
      <c r="BG1460" s="29" t="s">
        <v>220</v>
      </c>
      <c r="BH1460" s="29" t="s">
        <v>92</v>
      </c>
      <c r="BI1460" s="29" t="s">
        <v>2500</v>
      </c>
      <c r="BJ1460" s="29" t="s">
        <v>2501</v>
      </c>
      <c r="BK1460" s="29" t="s">
        <v>148</v>
      </c>
      <c r="BL1460" s="29"/>
      <c r="BM1460" s="45"/>
      <c r="BN1460" s="45"/>
      <c r="BO1460" s="46"/>
      <c r="BP1460" s="2"/>
      <c r="BQ1460" s="3"/>
    </row>
    <row r="1461" ht="15.75" customHeight="1">
      <c r="A1461" s="34">
        <v>1484.0</v>
      </c>
      <c r="B1461" s="34">
        <v>101770.0</v>
      </c>
      <c r="C1461" s="34" t="s">
        <v>832</v>
      </c>
      <c r="D1461" s="34" t="s">
        <v>2505</v>
      </c>
      <c r="E1461" s="34" t="s">
        <v>2506</v>
      </c>
      <c r="F1461" s="34">
        <v>2013.0</v>
      </c>
      <c r="G1461" s="34" t="s">
        <v>2507</v>
      </c>
      <c r="H1461" s="34" t="s">
        <v>2508</v>
      </c>
      <c r="I1461" s="34"/>
      <c r="J1461" s="35"/>
      <c r="K1461" s="36"/>
      <c r="L1461" s="36"/>
      <c r="M1461" s="36"/>
      <c r="N1461" s="36"/>
      <c r="O1461" s="36"/>
      <c r="P1461" s="37">
        <v>10.5</v>
      </c>
      <c r="Q1461" s="36"/>
      <c r="R1461" s="36" t="s">
        <v>96</v>
      </c>
      <c r="S1461" s="36">
        <v>3000.0</v>
      </c>
      <c r="T1461" s="36" t="s">
        <v>2509</v>
      </c>
      <c r="U1461" s="36" t="s">
        <v>2510</v>
      </c>
      <c r="V1461" s="36">
        <v>12.0</v>
      </c>
      <c r="W1461" s="36"/>
      <c r="X1461" s="38">
        <v>1.0</v>
      </c>
      <c r="Y1461" s="38" t="s">
        <v>2511</v>
      </c>
      <c r="Z1461" s="38" t="s">
        <v>1388</v>
      </c>
      <c r="AA1461" s="38" t="s">
        <v>214</v>
      </c>
      <c r="AB1461" s="38">
        <v>47.58333</v>
      </c>
      <c r="AC1461" s="38">
        <v>133.51667</v>
      </c>
      <c r="AD1461" s="38" t="s">
        <v>198</v>
      </c>
      <c r="AE1461" s="38"/>
      <c r="AF1461" s="38"/>
      <c r="AG1461" s="38"/>
      <c r="AH1461" s="38"/>
      <c r="AI1461" s="50">
        <v>47.58333</v>
      </c>
      <c r="AJ1461" s="50">
        <v>133.51667</v>
      </c>
      <c r="AK1461" s="41" t="s">
        <v>86</v>
      </c>
      <c r="AL1461" s="40" t="s">
        <v>86</v>
      </c>
      <c r="AM1461" s="49">
        <v>57.0</v>
      </c>
      <c r="AN1461" s="51">
        <v>57.0</v>
      </c>
      <c r="AO1461" s="42" t="s">
        <v>218</v>
      </c>
      <c r="AP1461" s="43" t="s">
        <v>218</v>
      </c>
      <c r="AQ1461" s="44" t="str">
        <f t="shared" si="159"/>
        <v>WET</v>
      </c>
      <c r="AR1461" s="44">
        <f t="shared" si="144"/>
        <v>57</v>
      </c>
      <c r="AS1461" s="44" t="str">
        <f t="shared" ref="AS1461:AS1466" si="162">LEFT(AO1461,1)</f>
        <v>D</v>
      </c>
      <c r="AT1461" s="44" t="str">
        <f t="shared" si="114"/>
        <v>Dw</v>
      </c>
      <c r="AU1461" s="44" t="str">
        <f t="shared" si="115"/>
        <v>Dwa</v>
      </c>
      <c r="AV1461" s="38"/>
      <c r="AW1461" s="38"/>
      <c r="AX1461" s="38"/>
      <c r="AY1461" s="38" t="s">
        <v>92</v>
      </c>
      <c r="AZ1461" s="29">
        <v>1000.0</v>
      </c>
      <c r="BA1461" s="29">
        <v>1.0</v>
      </c>
      <c r="BB1461" s="29">
        <v>1.0</v>
      </c>
      <c r="BC1461" s="29"/>
      <c r="BD1461" s="29" t="s">
        <v>88</v>
      </c>
      <c r="BE1461" s="29"/>
      <c r="BF1461" s="29" t="s">
        <v>571</v>
      </c>
      <c r="BG1461" s="29" t="s">
        <v>572</v>
      </c>
      <c r="BH1461" s="29" t="s">
        <v>88</v>
      </c>
      <c r="BI1461" s="29" t="s">
        <v>2512</v>
      </c>
      <c r="BJ1461" s="29"/>
      <c r="BK1461" s="29" t="s">
        <v>148</v>
      </c>
      <c r="BL1461" s="29" t="s">
        <v>148</v>
      </c>
      <c r="BM1461" s="45"/>
      <c r="BN1461" s="45">
        <v>1.0</v>
      </c>
      <c r="BO1461" s="46" t="s">
        <v>571</v>
      </c>
      <c r="BP1461" s="2"/>
      <c r="BQ1461" s="3"/>
    </row>
    <row r="1462" ht="15.75" customHeight="1">
      <c r="A1462" s="34">
        <v>1486.0</v>
      </c>
      <c r="B1462" s="34">
        <v>101370.0</v>
      </c>
      <c r="C1462" s="34" t="s">
        <v>76</v>
      </c>
      <c r="D1462" s="34" t="s">
        <v>2513</v>
      </c>
      <c r="E1462" s="34" t="s">
        <v>2514</v>
      </c>
      <c r="F1462" s="34">
        <v>2014.0</v>
      </c>
      <c r="G1462" s="34" t="s">
        <v>2515</v>
      </c>
      <c r="H1462" s="34" t="s">
        <v>1184</v>
      </c>
      <c r="I1462" s="34" t="s">
        <v>2516</v>
      </c>
      <c r="J1462" s="35"/>
      <c r="K1462" s="36"/>
      <c r="L1462" s="36">
        <v>185.0</v>
      </c>
      <c r="M1462" s="36"/>
      <c r="N1462" s="36"/>
      <c r="O1462" s="36"/>
      <c r="P1462" s="37">
        <v>-2.0</v>
      </c>
      <c r="Q1462" s="36" t="s">
        <v>2517</v>
      </c>
      <c r="R1462" s="36" t="s">
        <v>182</v>
      </c>
      <c r="S1462" s="36">
        <v>1.0</v>
      </c>
      <c r="T1462" s="36" t="s">
        <v>1979</v>
      </c>
      <c r="U1462" s="36" t="s">
        <v>2518</v>
      </c>
      <c r="V1462" s="36"/>
      <c r="W1462" s="36" t="s">
        <v>88</v>
      </c>
      <c r="X1462" s="38">
        <v>1.0</v>
      </c>
      <c r="Y1462" s="38" t="s">
        <v>2519</v>
      </c>
      <c r="Z1462" s="38" t="s">
        <v>2520</v>
      </c>
      <c r="AA1462" s="38" t="s">
        <v>2521</v>
      </c>
      <c r="AB1462" s="38" t="s">
        <v>2522</v>
      </c>
      <c r="AC1462" s="38" t="s">
        <v>2523</v>
      </c>
      <c r="AD1462" s="38" t="s">
        <v>395</v>
      </c>
      <c r="AE1462" s="38"/>
      <c r="AF1462" s="38" t="s">
        <v>2524</v>
      </c>
      <c r="AG1462" s="38"/>
      <c r="AH1462" s="38">
        <v>22.5</v>
      </c>
      <c r="AI1462" s="50">
        <v>56.04</v>
      </c>
      <c r="AJ1462" s="50">
        <v>-115.28</v>
      </c>
      <c r="AK1462" s="41" t="s">
        <v>200</v>
      </c>
      <c r="AL1462" s="40" t="s">
        <v>200</v>
      </c>
      <c r="AM1462" s="49">
        <v>640.0</v>
      </c>
      <c r="AN1462" s="51">
        <v>640.0</v>
      </c>
      <c r="AO1462" s="42" t="s">
        <v>412</v>
      </c>
      <c r="AP1462" s="43" t="s">
        <v>372</v>
      </c>
      <c r="AQ1462" s="80" t="s">
        <v>200</v>
      </c>
      <c r="AR1462" s="44">
        <f t="shared" si="144"/>
        <v>640</v>
      </c>
      <c r="AS1462" s="44" t="str">
        <f t="shared" si="162"/>
        <v>D</v>
      </c>
      <c r="AT1462" s="44" t="str">
        <f t="shared" si="114"/>
        <v>Df</v>
      </c>
      <c r="AU1462" s="44" t="str">
        <f t="shared" si="115"/>
        <v>Dfc</v>
      </c>
      <c r="AV1462" s="38"/>
      <c r="AW1462" s="38"/>
      <c r="AX1462" s="38"/>
      <c r="AY1462" s="38" t="s">
        <v>2525</v>
      </c>
      <c r="AZ1462" s="29">
        <v>1.0</v>
      </c>
      <c r="BA1462" s="29"/>
      <c r="BB1462" s="29">
        <v>1.0</v>
      </c>
      <c r="BC1462" s="29"/>
      <c r="BD1462" s="29" t="s">
        <v>88</v>
      </c>
      <c r="BE1462" s="29"/>
      <c r="BF1462" s="29" t="s">
        <v>2526</v>
      </c>
      <c r="BG1462" s="29" t="s">
        <v>220</v>
      </c>
      <c r="BH1462" s="29" t="s">
        <v>88</v>
      </c>
      <c r="BI1462" s="29" t="s">
        <v>2527</v>
      </c>
      <c r="BJ1462" s="29"/>
      <c r="BK1462" s="29" t="s">
        <v>2528</v>
      </c>
      <c r="BL1462" s="29"/>
      <c r="BM1462" s="45">
        <v>1.0</v>
      </c>
      <c r="BN1462" s="45"/>
      <c r="BO1462" s="46" t="s">
        <v>826</v>
      </c>
      <c r="BP1462" s="2"/>
      <c r="BQ1462" s="3"/>
    </row>
    <row r="1463" ht="15.75" customHeight="1">
      <c r="A1463" s="34">
        <v>1487.0</v>
      </c>
      <c r="B1463" s="34">
        <v>101370.0</v>
      </c>
      <c r="C1463" s="34" t="s">
        <v>76</v>
      </c>
      <c r="D1463" s="34" t="s">
        <v>2513</v>
      </c>
      <c r="E1463" s="34" t="s">
        <v>2514</v>
      </c>
      <c r="F1463" s="34">
        <v>2014.0</v>
      </c>
      <c r="G1463" s="34" t="s">
        <v>2515</v>
      </c>
      <c r="H1463" s="34" t="s">
        <v>1184</v>
      </c>
      <c r="I1463" s="34" t="s">
        <v>2516</v>
      </c>
      <c r="J1463" s="35"/>
      <c r="K1463" s="36"/>
      <c r="L1463" s="36">
        <v>202.0</v>
      </c>
      <c r="M1463" s="36"/>
      <c r="N1463" s="36"/>
      <c r="O1463" s="36"/>
      <c r="P1463" s="37">
        <v>7.0</v>
      </c>
      <c r="Q1463" s="36" t="s">
        <v>2517</v>
      </c>
      <c r="R1463" s="36" t="s">
        <v>182</v>
      </c>
      <c r="S1463" s="36">
        <v>1.0</v>
      </c>
      <c r="T1463" s="36" t="s">
        <v>1979</v>
      </c>
      <c r="U1463" s="36" t="s">
        <v>2518</v>
      </c>
      <c r="V1463" s="36"/>
      <c r="W1463" s="36" t="s">
        <v>88</v>
      </c>
      <c r="X1463" s="38">
        <v>1.0</v>
      </c>
      <c r="Y1463" s="38" t="s">
        <v>2519</v>
      </c>
      <c r="Z1463" s="38" t="s">
        <v>2520</v>
      </c>
      <c r="AA1463" s="38" t="s">
        <v>2521</v>
      </c>
      <c r="AB1463" s="38" t="s">
        <v>2522</v>
      </c>
      <c r="AC1463" s="38" t="s">
        <v>2523</v>
      </c>
      <c r="AD1463" s="38" t="s">
        <v>395</v>
      </c>
      <c r="AE1463" s="38"/>
      <c r="AF1463" s="38" t="s">
        <v>2524</v>
      </c>
      <c r="AG1463" s="38"/>
      <c r="AH1463" s="38">
        <v>22.5</v>
      </c>
      <c r="AI1463" s="50">
        <v>56.04</v>
      </c>
      <c r="AJ1463" s="50">
        <v>-115.28</v>
      </c>
      <c r="AK1463" s="41" t="s">
        <v>200</v>
      </c>
      <c r="AL1463" s="40" t="s">
        <v>200</v>
      </c>
      <c r="AM1463" s="49">
        <v>640.0</v>
      </c>
      <c r="AN1463" s="51">
        <v>640.0</v>
      </c>
      <c r="AO1463" s="42" t="s">
        <v>412</v>
      </c>
      <c r="AP1463" s="43" t="s">
        <v>372</v>
      </c>
      <c r="AQ1463" s="80" t="s">
        <v>200</v>
      </c>
      <c r="AR1463" s="44">
        <f t="shared" si="144"/>
        <v>640</v>
      </c>
      <c r="AS1463" s="44" t="str">
        <f t="shared" si="162"/>
        <v>D</v>
      </c>
      <c r="AT1463" s="44" t="str">
        <f t="shared" si="114"/>
        <v>Df</v>
      </c>
      <c r="AU1463" s="44" t="str">
        <f t="shared" si="115"/>
        <v>Dfc</v>
      </c>
      <c r="AV1463" s="38"/>
      <c r="AW1463" s="38"/>
      <c r="AX1463" s="38"/>
      <c r="AY1463" s="38" t="s">
        <v>2525</v>
      </c>
      <c r="AZ1463" s="29">
        <v>1.0</v>
      </c>
      <c r="BA1463" s="29"/>
      <c r="BB1463" s="29">
        <v>1.0</v>
      </c>
      <c r="BC1463" s="29"/>
      <c r="BD1463" s="29" t="s">
        <v>88</v>
      </c>
      <c r="BE1463" s="29"/>
      <c r="BF1463" s="29" t="s">
        <v>2529</v>
      </c>
      <c r="BG1463" s="29" t="s">
        <v>220</v>
      </c>
      <c r="BH1463" s="29" t="s">
        <v>88</v>
      </c>
      <c r="BI1463" s="29" t="s">
        <v>2527</v>
      </c>
      <c r="BJ1463" s="29"/>
      <c r="BK1463" s="29" t="s">
        <v>2528</v>
      </c>
      <c r="BL1463" s="29"/>
      <c r="BM1463" s="45"/>
      <c r="BN1463" s="45"/>
      <c r="BO1463" s="46"/>
      <c r="BP1463" s="2"/>
      <c r="BQ1463" s="3"/>
    </row>
    <row r="1464" ht="15.75" customHeight="1">
      <c r="A1464" s="34">
        <v>1488.0</v>
      </c>
      <c r="B1464" s="34">
        <v>101370.0</v>
      </c>
      <c r="C1464" s="34" t="s">
        <v>76</v>
      </c>
      <c r="D1464" s="34" t="s">
        <v>2513</v>
      </c>
      <c r="E1464" s="34" t="s">
        <v>2514</v>
      </c>
      <c r="F1464" s="34">
        <v>2014.0</v>
      </c>
      <c r="G1464" s="34" t="s">
        <v>2515</v>
      </c>
      <c r="H1464" s="34" t="s">
        <v>1184</v>
      </c>
      <c r="I1464" s="34" t="s">
        <v>2516</v>
      </c>
      <c r="J1464" s="35"/>
      <c r="K1464" s="36"/>
      <c r="L1464" s="36">
        <v>64.0</v>
      </c>
      <c r="M1464" s="36"/>
      <c r="N1464" s="36"/>
      <c r="O1464" s="36"/>
      <c r="P1464" s="37">
        <v>-3.0</v>
      </c>
      <c r="Q1464" s="36" t="s">
        <v>2517</v>
      </c>
      <c r="R1464" s="36" t="s">
        <v>182</v>
      </c>
      <c r="S1464" s="36">
        <v>1.0</v>
      </c>
      <c r="T1464" s="36" t="s">
        <v>1979</v>
      </c>
      <c r="U1464" s="36" t="s">
        <v>2518</v>
      </c>
      <c r="V1464" s="36"/>
      <c r="W1464" s="36" t="s">
        <v>88</v>
      </c>
      <c r="X1464" s="38">
        <v>1.0</v>
      </c>
      <c r="Y1464" s="38" t="s">
        <v>2519</v>
      </c>
      <c r="Z1464" s="38" t="s">
        <v>2520</v>
      </c>
      <c r="AA1464" s="38" t="s">
        <v>2521</v>
      </c>
      <c r="AB1464" s="38" t="s">
        <v>2522</v>
      </c>
      <c r="AC1464" s="38" t="s">
        <v>2523</v>
      </c>
      <c r="AD1464" s="38" t="s">
        <v>395</v>
      </c>
      <c r="AE1464" s="38"/>
      <c r="AF1464" s="38" t="s">
        <v>2524</v>
      </c>
      <c r="AG1464" s="38"/>
      <c r="AH1464" s="38">
        <v>3.0</v>
      </c>
      <c r="AI1464" s="50">
        <v>56.04</v>
      </c>
      <c r="AJ1464" s="50">
        <v>-115.28</v>
      </c>
      <c r="AK1464" s="41" t="s">
        <v>200</v>
      </c>
      <c r="AL1464" s="40" t="s">
        <v>200</v>
      </c>
      <c r="AM1464" s="49">
        <v>640.0</v>
      </c>
      <c r="AN1464" s="51">
        <v>640.0</v>
      </c>
      <c r="AO1464" s="42" t="s">
        <v>412</v>
      </c>
      <c r="AP1464" s="43" t="s">
        <v>372</v>
      </c>
      <c r="AQ1464" s="80" t="s">
        <v>200</v>
      </c>
      <c r="AR1464" s="44">
        <f t="shared" si="144"/>
        <v>640</v>
      </c>
      <c r="AS1464" s="44" t="str">
        <f t="shared" si="162"/>
        <v>D</v>
      </c>
      <c r="AT1464" s="44" t="str">
        <f t="shared" si="114"/>
        <v>Df</v>
      </c>
      <c r="AU1464" s="44" t="str">
        <f t="shared" si="115"/>
        <v>Dfc</v>
      </c>
      <c r="AV1464" s="38"/>
      <c r="AW1464" s="38"/>
      <c r="AX1464" s="38"/>
      <c r="AY1464" s="38" t="s">
        <v>2525</v>
      </c>
      <c r="AZ1464" s="29">
        <v>1.0</v>
      </c>
      <c r="BA1464" s="29"/>
      <c r="BB1464" s="29">
        <v>1.0</v>
      </c>
      <c r="BC1464" s="29"/>
      <c r="BD1464" s="29" t="s">
        <v>88</v>
      </c>
      <c r="BE1464" s="29"/>
      <c r="BF1464" s="29" t="s">
        <v>2526</v>
      </c>
      <c r="BG1464" s="29" t="s">
        <v>220</v>
      </c>
      <c r="BH1464" s="29" t="s">
        <v>88</v>
      </c>
      <c r="BI1464" s="29" t="s">
        <v>2527</v>
      </c>
      <c r="BJ1464" s="29"/>
      <c r="BK1464" s="29" t="s">
        <v>2528</v>
      </c>
      <c r="BL1464" s="29"/>
      <c r="BM1464" s="45"/>
      <c r="BN1464" s="45"/>
      <c r="BO1464" s="46"/>
      <c r="BP1464" s="2"/>
      <c r="BQ1464" s="3"/>
    </row>
    <row r="1465" ht="15.75" customHeight="1">
      <c r="A1465" s="34">
        <v>1489.0</v>
      </c>
      <c r="B1465" s="34">
        <v>101370.0</v>
      </c>
      <c r="C1465" s="34" t="s">
        <v>76</v>
      </c>
      <c r="D1465" s="34" t="s">
        <v>2513</v>
      </c>
      <c r="E1465" s="34" t="s">
        <v>2514</v>
      </c>
      <c r="F1465" s="34">
        <v>2014.0</v>
      </c>
      <c r="G1465" s="34" t="s">
        <v>2515</v>
      </c>
      <c r="H1465" s="34" t="s">
        <v>1184</v>
      </c>
      <c r="I1465" s="34" t="s">
        <v>2516</v>
      </c>
      <c r="J1465" s="35"/>
      <c r="K1465" s="36"/>
      <c r="L1465" s="36">
        <v>63.0</v>
      </c>
      <c r="M1465" s="36"/>
      <c r="N1465" s="36"/>
      <c r="O1465" s="36"/>
      <c r="P1465" s="37">
        <v>-5.0</v>
      </c>
      <c r="Q1465" s="36" t="s">
        <v>2517</v>
      </c>
      <c r="R1465" s="36" t="s">
        <v>182</v>
      </c>
      <c r="S1465" s="36">
        <v>1.0</v>
      </c>
      <c r="T1465" s="36" t="s">
        <v>1979</v>
      </c>
      <c r="U1465" s="36" t="s">
        <v>2518</v>
      </c>
      <c r="V1465" s="36"/>
      <c r="W1465" s="36" t="s">
        <v>88</v>
      </c>
      <c r="X1465" s="38">
        <v>1.0</v>
      </c>
      <c r="Y1465" s="38" t="s">
        <v>2519</v>
      </c>
      <c r="Z1465" s="38" t="s">
        <v>2520</v>
      </c>
      <c r="AA1465" s="38" t="s">
        <v>2521</v>
      </c>
      <c r="AB1465" s="38" t="s">
        <v>2522</v>
      </c>
      <c r="AC1465" s="38" t="s">
        <v>2523</v>
      </c>
      <c r="AD1465" s="38" t="s">
        <v>395</v>
      </c>
      <c r="AE1465" s="38"/>
      <c r="AF1465" s="38" t="s">
        <v>2524</v>
      </c>
      <c r="AG1465" s="38"/>
      <c r="AH1465" s="38">
        <v>3.0</v>
      </c>
      <c r="AI1465" s="50">
        <v>56.04</v>
      </c>
      <c r="AJ1465" s="50">
        <v>-115.28</v>
      </c>
      <c r="AK1465" s="41" t="s">
        <v>200</v>
      </c>
      <c r="AL1465" s="40" t="s">
        <v>200</v>
      </c>
      <c r="AM1465" s="49">
        <v>640.0</v>
      </c>
      <c r="AN1465" s="51">
        <v>640.0</v>
      </c>
      <c r="AO1465" s="42" t="s">
        <v>412</v>
      </c>
      <c r="AP1465" s="43" t="s">
        <v>372</v>
      </c>
      <c r="AQ1465" s="80" t="s">
        <v>200</v>
      </c>
      <c r="AR1465" s="44">
        <f t="shared" si="144"/>
        <v>640</v>
      </c>
      <c r="AS1465" s="44" t="str">
        <f t="shared" si="162"/>
        <v>D</v>
      </c>
      <c r="AT1465" s="44" t="str">
        <f t="shared" si="114"/>
        <v>Df</v>
      </c>
      <c r="AU1465" s="44" t="str">
        <f t="shared" si="115"/>
        <v>Dfc</v>
      </c>
      <c r="AV1465" s="38"/>
      <c r="AW1465" s="38"/>
      <c r="AX1465" s="38"/>
      <c r="AY1465" s="38" t="s">
        <v>2525</v>
      </c>
      <c r="AZ1465" s="29">
        <v>1.0</v>
      </c>
      <c r="BA1465" s="29"/>
      <c r="BB1465" s="29">
        <v>1.0</v>
      </c>
      <c r="BC1465" s="29"/>
      <c r="BD1465" s="29" t="s">
        <v>88</v>
      </c>
      <c r="BE1465" s="29"/>
      <c r="BF1465" s="29" t="s">
        <v>2529</v>
      </c>
      <c r="BG1465" s="29" t="s">
        <v>220</v>
      </c>
      <c r="BH1465" s="29" t="s">
        <v>88</v>
      </c>
      <c r="BI1465" s="29" t="s">
        <v>2527</v>
      </c>
      <c r="BJ1465" s="29"/>
      <c r="BK1465" s="29" t="s">
        <v>2528</v>
      </c>
      <c r="BL1465" s="29"/>
      <c r="BM1465" s="45"/>
      <c r="BN1465" s="45"/>
      <c r="BO1465" s="46"/>
      <c r="BP1465" s="2"/>
      <c r="BQ1465" s="3"/>
    </row>
    <row r="1466" ht="15.75" customHeight="1">
      <c r="A1466" s="34">
        <v>1500.0</v>
      </c>
      <c r="B1466" s="34">
        <v>101434.0</v>
      </c>
      <c r="C1466" s="34" t="s">
        <v>76</v>
      </c>
      <c r="D1466" s="34" t="s">
        <v>2530</v>
      </c>
      <c r="E1466" s="34" t="s">
        <v>78</v>
      </c>
      <c r="F1466" s="34">
        <v>2014.0</v>
      </c>
      <c r="G1466" s="34" t="s">
        <v>2531</v>
      </c>
      <c r="H1466" s="34" t="s">
        <v>1431</v>
      </c>
      <c r="I1466" s="34" t="s">
        <v>2532</v>
      </c>
      <c r="J1466" s="35"/>
      <c r="K1466" s="36"/>
      <c r="L1466" s="36"/>
      <c r="M1466" s="36">
        <v>-0.8</v>
      </c>
      <c r="N1466" s="48">
        <f t="shared" ref="N1466:N1467" si="163">M1466*11.57407407</f>
        <v>-9.259259256</v>
      </c>
      <c r="O1466" s="47">
        <f>13.2*11.57407407</f>
        <v>152.7777777</v>
      </c>
      <c r="P1466" s="52">
        <f t="shared" ref="P1466:P1467" si="164">N1466/O1466*100</f>
        <v>-6.060606061</v>
      </c>
      <c r="Q1466" s="36"/>
      <c r="R1466" s="36" t="s">
        <v>96</v>
      </c>
      <c r="S1466" s="36">
        <v>30.0</v>
      </c>
      <c r="T1466" s="36" t="s">
        <v>1552</v>
      </c>
      <c r="U1466" s="36" t="s">
        <v>2533</v>
      </c>
      <c r="V1466" s="36">
        <v>15.0</v>
      </c>
      <c r="W1466" s="36" t="s">
        <v>88</v>
      </c>
      <c r="X1466" s="38">
        <v>1.0</v>
      </c>
      <c r="Y1466" s="38" t="s">
        <v>2534</v>
      </c>
      <c r="Z1466" s="38" t="s">
        <v>2535</v>
      </c>
      <c r="AA1466" s="38" t="s">
        <v>86</v>
      </c>
      <c r="AB1466" s="38" t="s">
        <v>2536</v>
      </c>
      <c r="AC1466" s="38" t="s">
        <v>2537</v>
      </c>
      <c r="AD1466" s="39" t="s">
        <v>87</v>
      </c>
      <c r="AE1466" s="38"/>
      <c r="AF1466" s="38" t="s">
        <v>2538</v>
      </c>
      <c r="AG1466" s="38"/>
      <c r="AH1466" s="38">
        <v>2.5</v>
      </c>
      <c r="AI1466" s="50">
        <v>35.11</v>
      </c>
      <c r="AJ1466" s="50">
        <v>-102.4</v>
      </c>
      <c r="AK1466" s="41" t="s">
        <v>86</v>
      </c>
      <c r="AL1466" s="40" t="s">
        <v>86</v>
      </c>
      <c r="AM1466" s="49">
        <v>1228.0</v>
      </c>
      <c r="AN1466" s="51">
        <v>1228.0</v>
      </c>
      <c r="AO1466" s="42" t="s">
        <v>293</v>
      </c>
      <c r="AP1466" s="43" t="s">
        <v>293</v>
      </c>
      <c r="AQ1466" s="44" t="str">
        <f t="shared" ref="AQ1466:AQ1546" si="165">AA1466</f>
        <v>CRO</v>
      </c>
      <c r="AR1466" s="44">
        <f t="shared" si="144"/>
        <v>1228</v>
      </c>
      <c r="AS1466" s="44" t="str">
        <f t="shared" si="162"/>
        <v>B</v>
      </c>
      <c r="AT1466" s="44" t="str">
        <f t="shared" si="114"/>
        <v>BS</v>
      </c>
      <c r="AU1466" s="44" t="str">
        <f t="shared" si="115"/>
        <v>BSk</v>
      </c>
      <c r="AV1466" s="38"/>
      <c r="AW1466" s="38"/>
      <c r="AX1466" s="38"/>
      <c r="AY1466" s="38"/>
      <c r="AZ1466" s="29">
        <v>30.0</v>
      </c>
      <c r="BA1466" s="29"/>
      <c r="BB1466" s="29">
        <v>1.0</v>
      </c>
      <c r="BC1466" s="29"/>
      <c r="BD1466" s="29" t="s">
        <v>88</v>
      </c>
      <c r="BE1466" s="29"/>
      <c r="BF1466" s="29" t="s">
        <v>2539</v>
      </c>
      <c r="BG1466" s="29" t="s">
        <v>91</v>
      </c>
      <c r="BH1466" s="29" t="s">
        <v>92</v>
      </c>
      <c r="BI1466" s="29" t="s">
        <v>2540</v>
      </c>
      <c r="BJ1466" s="29" t="s">
        <v>2541</v>
      </c>
      <c r="BK1466" s="29" t="s">
        <v>1178</v>
      </c>
      <c r="BL1466" s="29" t="s">
        <v>1178</v>
      </c>
      <c r="BM1466" s="45">
        <v>1.0</v>
      </c>
      <c r="BN1466" s="45"/>
      <c r="BO1466" s="46" t="s">
        <v>176</v>
      </c>
      <c r="BP1466" s="2"/>
      <c r="BQ1466" s="3"/>
    </row>
    <row r="1467" ht="15.75" customHeight="1">
      <c r="A1467" s="34">
        <v>1501.0</v>
      </c>
      <c r="B1467" s="34">
        <v>101434.0</v>
      </c>
      <c r="C1467" s="34" t="s">
        <v>76</v>
      </c>
      <c r="D1467" s="34" t="s">
        <v>2530</v>
      </c>
      <c r="E1467" s="34" t="s">
        <v>78</v>
      </c>
      <c r="F1467" s="34">
        <v>2014.0</v>
      </c>
      <c r="G1467" s="34" t="s">
        <v>2531</v>
      </c>
      <c r="H1467" s="34" t="s">
        <v>1431</v>
      </c>
      <c r="I1467" s="34" t="s">
        <v>2532</v>
      </c>
      <c r="J1467" s="35"/>
      <c r="K1467" s="36"/>
      <c r="L1467" s="36"/>
      <c r="M1467" s="36">
        <v>-0.6</v>
      </c>
      <c r="N1467" s="48">
        <f t="shared" si="163"/>
        <v>-6.944444442</v>
      </c>
      <c r="O1467" s="47">
        <f>12.2*11.57407407</f>
        <v>141.2037037</v>
      </c>
      <c r="P1467" s="52">
        <f t="shared" si="164"/>
        <v>-4.918032787</v>
      </c>
      <c r="Q1467" s="36"/>
      <c r="R1467" s="36" t="s">
        <v>96</v>
      </c>
      <c r="S1467" s="36">
        <v>30.0</v>
      </c>
      <c r="T1467" s="36" t="s">
        <v>2542</v>
      </c>
      <c r="U1467" s="36" t="s">
        <v>2543</v>
      </c>
      <c r="V1467" s="36">
        <v>18.0</v>
      </c>
      <c r="W1467" s="36" t="s">
        <v>88</v>
      </c>
      <c r="X1467" s="38">
        <v>3.0</v>
      </c>
      <c r="Y1467" s="38" t="s">
        <v>2544</v>
      </c>
      <c r="Z1467" s="38" t="s">
        <v>2545</v>
      </c>
      <c r="AA1467" s="38" t="s">
        <v>86</v>
      </c>
      <c r="AB1467" s="38" t="s">
        <v>2546</v>
      </c>
      <c r="AC1467" s="38" t="s">
        <v>2547</v>
      </c>
      <c r="AD1467" s="39" t="s">
        <v>87</v>
      </c>
      <c r="AE1467" s="38">
        <v>362.0</v>
      </c>
      <c r="AF1467" s="38" t="s">
        <v>2548</v>
      </c>
      <c r="AG1467" s="38" t="s">
        <v>108</v>
      </c>
      <c r="AH1467" s="38">
        <v>2.5</v>
      </c>
      <c r="AI1467" s="50"/>
      <c r="AJ1467" s="50"/>
      <c r="AK1467" s="41"/>
      <c r="AL1467" s="40"/>
      <c r="AM1467" s="49"/>
      <c r="AN1467" s="51"/>
      <c r="AO1467" s="42"/>
      <c r="AP1467" s="43"/>
      <c r="AQ1467" s="44" t="str">
        <f t="shared" si="165"/>
        <v>CRO</v>
      </c>
      <c r="AR1467" s="44" t="str">
        <f t="shared" si="144"/>
        <v/>
      </c>
      <c r="AS1467" s="44"/>
      <c r="AT1467" s="44" t="str">
        <f t="shared" si="114"/>
        <v/>
      </c>
      <c r="AU1467" s="44" t="str">
        <f t="shared" si="115"/>
        <v/>
      </c>
      <c r="AV1467" s="38"/>
      <c r="AW1467" s="38"/>
      <c r="AX1467" s="38"/>
      <c r="AY1467" s="38"/>
      <c r="AZ1467" s="29">
        <v>30.0</v>
      </c>
      <c r="BA1467" s="29"/>
      <c r="BB1467" s="29">
        <v>1.0</v>
      </c>
      <c r="BC1467" s="29"/>
      <c r="BD1467" s="29" t="s">
        <v>88</v>
      </c>
      <c r="BE1467" s="29"/>
      <c r="BF1467" s="29" t="s">
        <v>2539</v>
      </c>
      <c r="BG1467" s="29" t="s">
        <v>91</v>
      </c>
      <c r="BH1467" s="29" t="s">
        <v>92</v>
      </c>
      <c r="BI1467" s="29" t="s">
        <v>2540</v>
      </c>
      <c r="BJ1467" s="29" t="s">
        <v>2541</v>
      </c>
      <c r="BK1467" s="29" t="s">
        <v>1178</v>
      </c>
      <c r="BL1467" s="29" t="s">
        <v>1178</v>
      </c>
      <c r="BM1467" s="45">
        <v>1.0</v>
      </c>
      <c r="BN1467" s="45"/>
      <c r="BO1467" s="46" t="s">
        <v>176</v>
      </c>
      <c r="BP1467" s="2"/>
      <c r="BQ1467" s="3"/>
    </row>
    <row r="1468" ht="15.75" customHeight="1">
      <c r="A1468" s="34">
        <v>1505.0</v>
      </c>
      <c r="B1468" s="34">
        <v>103040.0</v>
      </c>
      <c r="C1468" s="34" t="s">
        <v>76</v>
      </c>
      <c r="D1468" s="34" t="s">
        <v>2549</v>
      </c>
      <c r="E1468" s="34" t="s">
        <v>2550</v>
      </c>
      <c r="F1468" s="34">
        <v>2018.0</v>
      </c>
      <c r="G1468" s="34" t="s">
        <v>2551</v>
      </c>
      <c r="H1468" s="34" t="s">
        <v>1431</v>
      </c>
      <c r="I1468" s="34" t="s">
        <v>2552</v>
      </c>
      <c r="J1468" s="35"/>
      <c r="K1468" s="36">
        <v>4.7</v>
      </c>
      <c r="L1468" s="36"/>
      <c r="M1468" s="36"/>
      <c r="N1468" s="36"/>
      <c r="O1468" s="36"/>
      <c r="P1468" s="37">
        <v>84.0</v>
      </c>
      <c r="Q1468" s="36" t="s">
        <v>96</v>
      </c>
      <c r="R1468" s="36" t="s">
        <v>96</v>
      </c>
      <c r="S1468" s="36">
        <v>30.0</v>
      </c>
      <c r="T1468" s="36" t="s">
        <v>2553</v>
      </c>
      <c r="U1468" s="36" t="s">
        <v>2554</v>
      </c>
      <c r="V1468" s="36">
        <v>16.0</v>
      </c>
      <c r="W1468" s="36" t="s">
        <v>88</v>
      </c>
      <c r="X1468" s="38">
        <v>1.0</v>
      </c>
      <c r="Y1468" s="38" t="s">
        <v>2555</v>
      </c>
      <c r="Z1468" s="38" t="s">
        <v>2556</v>
      </c>
      <c r="AA1468" s="38" t="s">
        <v>86</v>
      </c>
      <c r="AB1468" s="38" t="s">
        <v>2557</v>
      </c>
      <c r="AC1468" s="38" t="s">
        <v>2558</v>
      </c>
      <c r="AD1468" s="38" t="s">
        <v>87</v>
      </c>
      <c r="AE1468" s="53"/>
      <c r="AF1468" s="38" t="s">
        <v>2559</v>
      </c>
      <c r="AG1468" s="57" t="s">
        <v>303</v>
      </c>
      <c r="AH1468" s="38">
        <v>6.0</v>
      </c>
      <c r="AI1468" s="50">
        <v>36.15</v>
      </c>
      <c r="AJ1468" s="50">
        <v>-119.3</v>
      </c>
      <c r="AK1468" s="41" t="s">
        <v>86</v>
      </c>
      <c r="AL1468" s="40" t="s">
        <v>86</v>
      </c>
      <c r="AM1468" s="49">
        <v>85.0</v>
      </c>
      <c r="AN1468" s="51">
        <v>85.0</v>
      </c>
      <c r="AO1468" s="42" t="s">
        <v>304</v>
      </c>
      <c r="AP1468" s="43" t="s">
        <v>304</v>
      </c>
      <c r="AQ1468" s="44" t="str">
        <f t="shared" si="165"/>
        <v>CRO</v>
      </c>
      <c r="AR1468" s="44">
        <f t="shared" si="144"/>
        <v>85</v>
      </c>
      <c r="AS1468" s="44" t="str">
        <f t="shared" ref="AS1468:AS1469" si="166">LEFT(AO1468,1)</f>
        <v>B</v>
      </c>
      <c r="AT1468" s="44" t="str">
        <f t="shared" si="114"/>
        <v>BS</v>
      </c>
      <c r="AU1468" s="44" t="str">
        <f t="shared" si="115"/>
        <v>BSh</v>
      </c>
      <c r="AV1468" s="38"/>
      <c r="AW1468" s="38"/>
      <c r="AX1468" s="38" t="s">
        <v>2560</v>
      </c>
      <c r="AY1468" s="38"/>
      <c r="AZ1468" s="29">
        <v>30.0</v>
      </c>
      <c r="BA1468" s="29"/>
      <c r="BB1468" s="29">
        <v>1.0</v>
      </c>
      <c r="BC1468" s="29"/>
      <c r="BD1468" s="29" t="s">
        <v>88</v>
      </c>
      <c r="BE1468" s="29" t="s">
        <v>263</v>
      </c>
      <c r="BF1468" s="29" t="s">
        <v>984</v>
      </c>
      <c r="BG1468" s="29" t="s">
        <v>572</v>
      </c>
      <c r="BH1468" s="29" t="s">
        <v>88</v>
      </c>
      <c r="BI1468" s="29" t="s">
        <v>2561</v>
      </c>
      <c r="BJ1468" s="29"/>
      <c r="BK1468" s="29" t="s">
        <v>180</v>
      </c>
      <c r="BL1468" s="29" t="s">
        <v>180</v>
      </c>
      <c r="BM1468" s="45">
        <v>1.0</v>
      </c>
      <c r="BN1468" s="45"/>
      <c r="BO1468" s="46" t="s">
        <v>984</v>
      </c>
      <c r="BP1468" s="2"/>
      <c r="BQ1468" s="3"/>
    </row>
    <row r="1469" ht="15.75" customHeight="1">
      <c r="A1469" s="34">
        <v>1506.0</v>
      </c>
      <c r="B1469" s="34">
        <v>103040.0</v>
      </c>
      <c r="C1469" s="34" t="s">
        <v>76</v>
      </c>
      <c r="D1469" s="34" t="s">
        <v>2549</v>
      </c>
      <c r="E1469" s="34" t="s">
        <v>2550</v>
      </c>
      <c r="F1469" s="34">
        <v>2018.0</v>
      </c>
      <c r="G1469" s="34" t="s">
        <v>2551</v>
      </c>
      <c r="H1469" s="34" t="s">
        <v>1431</v>
      </c>
      <c r="I1469" s="34" t="s">
        <v>2552</v>
      </c>
      <c r="J1469" s="35"/>
      <c r="K1469" s="36">
        <v>3.3</v>
      </c>
      <c r="L1469" s="36"/>
      <c r="M1469" s="36"/>
      <c r="N1469" s="36"/>
      <c r="O1469" s="36"/>
      <c r="P1469" s="37">
        <v>73.0</v>
      </c>
      <c r="Q1469" s="36" t="s">
        <v>96</v>
      </c>
      <c r="R1469" s="36" t="s">
        <v>96</v>
      </c>
      <c r="S1469" s="36">
        <v>30.0</v>
      </c>
      <c r="T1469" s="36" t="s">
        <v>2562</v>
      </c>
      <c r="U1469" s="36" t="s">
        <v>2554</v>
      </c>
      <c r="V1469" s="36">
        <v>8.0</v>
      </c>
      <c r="W1469" s="36" t="s">
        <v>88</v>
      </c>
      <c r="X1469" s="38">
        <v>1.0</v>
      </c>
      <c r="Y1469" s="38" t="s">
        <v>2563</v>
      </c>
      <c r="Z1469" s="38" t="s">
        <v>2564</v>
      </c>
      <c r="AA1469" s="38" t="s">
        <v>86</v>
      </c>
      <c r="AB1469" s="38" t="s">
        <v>2565</v>
      </c>
      <c r="AC1469" s="38" t="s">
        <v>2566</v>
      </c>
      <c r="AD1469" s="38" t="s">
        <v>87</v>
      </c>
      <c r="AE1469" s="38">
        <v>72.0</v>
      </c>
      <c r="AF1469" s="38" t="s">
        <v>2559</v>
      </c>
      <c r="AG1469" s="38" t="s">
        <v>303</v>
      </c>
      <c r="AH1469" s="38">
        <v>6.0</v>
      </c>
      <c r="AI1469" s="50">
        <v>36.14</v>
      </c>
      <c r="AJ1469" s="50">
        <v>-119.56</v>
      </c>
      <c r="AK1469" s="41" t="s">
        <v>86</v>
      </c>
      <c r="AL1469" s="40" t="s">
        <v>86</v>
      </c>
      <c r="AM1469" s="49">
        <v>63.0</v>
      </c>
      <c r="AN1469" s="51">
        <v>63.0</v>
      </c>
      <c r="AO1469" s="42" t="s">
        <v>304</v>
      </c>
      <c r="AP1469" s="43" t="s">
        <v>304</v>
      </c>
      <c r="AQ1469" s="44" t="str">
        <f t="shared" si="165"/>
        <v>CRO</v>
      </c>
      <c r="AR1469" s="44">
        <f t="shared" si="144"/>
        <v>63</v>
      </c>
      <c r="AS1469" s="44" t="str">
        <f t="shared" si="166"/>
        <v>B</v>
      </c>
      <c r="AT1469" s="44" t="str">
        <f t="shared" si="114"/>
        <v>BS</v>
      </c>
      <c r="AU1469" s="44" t="str">
        <f t="shared" si="115"/>
        <v>BSh</v>
      </c>
      <c r="AV1469" s="38"/>
      <c r="AW1469" s="38"/>
      <c r="AX1469" s="38" t="s">
        <v>2567</v>
      </c>
      <c r="AY1469" s="38"/>
      <c r="AZ1469" s="29">
        <v>30.0</v>
      </c>
      <c r="BA1469" s="29"/>
      <c r="BB1469" s="29">
        <v>1.0</v>
      </c>
      <c r="BC1469" s="29"/>
      <c r="BD1469" s="29" t="s">
        <v>88</v>
      </c>
      <c r="BE1469" s="29" t="s">
        <v>263</v>
      </c>
      <c r="BF1469" s="29" t="s">
        <v>984</v>
      </c>
      <c r="BG1469" s="29" t="s">
        <v>572</v>
      </c>
      <c r="BH1469" s="29" t="s">
        <v>88</v>
      </c>
      <c r="BI1469" s="29" t="s">
        <v>2561</v>
      </c>
      <c r="BJ1469" s="29"/>
      <c r="BK1469" s="29" t="s">
        <v>180</v>
      </c>
      <c r="BL1469" s="29" t="s">
        <v>180</v>
      </c>
      <c r="BM1469" s="45">
        <v>1.0</v>
      </c>
      <c r="BN1469" s="45"/>
      <c r="BO1469" s="46"/>
      <c r="BP1469" s="2"/>
      <c r="BQ1469" s="3"/>
    </row>
    <row r="1470" ht="15.75" customHeight="1">
      <c r="A1470" s="34">
        <v>1507.0</v>
      </c>
      <c r="B1470" s="34">
        <v>103040.0</v>
      </c>
      <c r="C1470" s="34" t="s">
        <v>76</v>
      </c>
      <c r="D1470" s="34" t="s">
        <v>2549</v>
      </c>
      <c r="E1470" s="34" t="s">
        <v>2550</v>
      </c>
      <c r="F1470" s="34">
        <v>2018.0</v>
      </c>
      <c r="G1470" s="34" t="s">
        <v>2551</v>
      </c>
      <c r="H1470" s="34" t="s">
        <v>1431</v>
      </c>
      <c r="I1470" s="34" t="s">
        <v>2552</v>
      </c>
      <c r="J1470" s="35"/>
      <c r="K1470" s="36">
        <v>2.4</v>
      </c>
      <c r="L1470" s="36"/>
      <c r="M1470" s="36"/>
      <c r="N1470" s="36"/>
      <c r="O1470" s="36"/>
      <c r="P1470" s="37">
        <v>61.0</v>
      </c>
      <c r="Q1470" s="36" t="s">
        <v>96</v>
      </c>
      <c r="R1470" s="36" t="s">
        <v>96</v>
      </c>
      <c r="S1470" s="36">
        <v>30.0</v>
      </c>
      <c r="T1470" s="36" t="s">
        <v>2562</v>
      </c>
      <c r="U1470" s="36" t="s">
        <v>2554</v>
      </c>
      <c r="V1470" s="36">
        <v>48.0</v>
      </c>
      <c r="W1470" s="36" t="s">
        <v>88</v>
      </c>
      <c r="X1470" s="38">
        <v>6.0</v>
      </c>
      <c r="Y1470" s="38" t="s">
        <v>2563</v>
      </c>
      <c r="Z1470" s="38"/>
      <c r="AA1470" s="38" t="s">
        <v>86</v>
      </c>
      <c r="AB1470" s="38" t="s">
        <v>2565</v>
      </c>
      <c r="AC1470" s="38" t="s">
        <v>2566</v>
      </c>
      <c r="AD1470" s="38" t="s">
        <v>87</v>
      </c>
      <c r="AE1470" s="38">
        <v>72.0</v>
      </c>
      <c r="AF1470" s="38" t="s">
        <v>2559</v>
      </c>
      <c r="AG1470" s="38"/>
      <c r="AH1470" s="38">
        <v>6.0</v>
      </c>
      <c r="AI1470" s="50"/>
      <c r="AJ1470" s="50"/>
      <c r="AK1470" s="41"/>
      <c r="AL1470" s="40"/>
      <c r="AM1470" s="49"/>
      <c r="AN1470" s="51"/>
      <c r="AO1470" s="42"/>
      <c r="AP1470" s="43"/>
      <c r="AQ1470" s="44" t="str">
        <f t="shared" si="165"/>
        <v>CRO</v>
      </c>
      <c r="AR1470" s="44" t="str">
        <f t="shared" si="144"/>
        <v/>
      </c>
      <c r="AS1470" s="44"/>
      <c r="AT1470" s="44" t="str">
        <f t="shared" si="114"/>
        <v/>
      </c>
      <c r="AU1470" s="44" t="str">
        <f t="shared" si="115"/>
        <v/>
      </c>
      <c r="AV1470" s="38"/>
      <c r="AW1470" s="38"/>
      <c r="AX1470" s="38" t="s">
        <v>2568</v>
      </c>
      <c r="AY1470" s="38"/>
      <c r="AZ1470" s="29">
        <v>30.0</v>
      </c>
      <c r="BA1470" s="29"/>
      <c r="BB1470" s="29">
        <v>1.0</v>
      </c>
      <c r="BC1470" s="29"/>
      <c r="BD1470" s="29" t="s">
        <v>88</v>
      </c>
      <c r="BE1470" s="29" t="s">
        <v>263</v>
      </c>
      <c r="BF1470" s="29" t="s">
        <v>984</v>
      </c>
      <c r="BG1470" s="29" t="s">
        <v>572</v>
      </c>
      <c r="BH1470" s="29" t="s">
        <v>88</v>
      </c>
      <c r="BI1470" s="29" t="s">
        <v>2561</v>
      </c>
      <c r="BJ1470" s="29"/>
      <c r="BK1470" s="29" t="s">
        <v>180</v>
      </c>
      <c r="BL1470" s="29" t="s">
        <v>180</v>
      </c>
      <c r="BM1470" s="45">
        <v>1.0</v>
      </c>
      <c r="BN1470" s="45"/>
      <c r="BO1470" s="46"/>
      <c r="BP1470" s="2"/>
      <c r="BQ1470" s="3"/>
    </row>
    <row r="1471" ht="15.75" customHeight="1">
      <c r="A1471" s="34">
        <v>1508.0</v>
      </c>
      <c r="B1471" s="34">
        <v>103040.0</v>
      </c>
      <c r="C1471" s="34" t="s">
        <v>76</v>
      </c>
      <c r="D1471" s="34" t="s">
        <v>2549</v>
      </c>
      <c r="E1471" s="34" t="s">
        <v>2550</v>
      </c>
      <c r="F1471" s="34">
        <v>2018.0</v>
      </c>
      <c r="G1471" s="34" t="s">
        <v>2551</v>
      </c>
      <c r="H1471" s="34" t="s">
        <v>1431</v>
      </c>
      <c r="I1471" s="34" t="s">
        <v>2552</v>
      </c>
      <c r="J1471" s="35"/>
      <c r="K1471" s="36">
        <v>3.0</v>
      </c>
      <c r="L1471" s="36"/>
      <c r="M1471" s="36"/>
      <c r="N1471" s="36"/>
      <c r="O1471" s="36"/>
      <c r="P1471" s="37">
        <v>67.0</v>
      </c>
      <c r="Q1471" s="36" t="s">
        <v>96</v>
      </c>
      <c r="R1471" s="36" t="s">
        <v>96</v>
      </c>
      <c r="S1471" s="36">
        <v>30.0</v>
      </c>
      <c r="T1471" s="36" t="s">
        <v>2553</v>
      </c>
      <c r="U1471" s="36" t="s">
        <v>2554</v>
      </c>
      <c r="V1471" s="36">
        <v>72.0</v>
      </c>
      <c r="W1471" s="36" t="s">
        <v>88</v>
      </c>
      <c r="X1471" s="38">
        <v>8.0</v>
      </c>
      <c r="Y1471" s="38" t="s">
        <v>2569</v>
      </c>
      <c r="Z1471" s="38"/>
      <c r="AA1471" s="38" t="s">
        <v>86</v>
      </c>
      <c r="AB1471" s="38"/>
      <c r="AC1471" s="38"/>
      <c r="AD1471" s="39" t="s">
        <v>87</v>
      </c>
      <c r="AE1471" s="53"/>
      <c r="AF1471" s="38" t="s">
        <v>2559</v>
      </c>
      <c r="AG1471" s="38"/>
      <c r="AH1471" s="38">
        <v>6.0</v>
      </c>
      <c r="AI1471" s="50"/>
      <c r="AJ1471" s="50"/>
      <c r="AK1471" s="41"/>
      <c r="AL1471" s="40"/>
      <c r="AM1471" s="49"/>
      <c r="AN1471" s="43"/>
      <c r="AO1471" s="42"/>
      <c r="AP1471" s="43"/>
      <c r="AQ1471" s="44" t="str">
        <f t="shared" si="165"/>
        <v>CRO</v>
      </c>
      <c r="AR1471" s="44" t="str">
        <f t="shared" si="144"/>
        <v/>
      </c>
      <c r="AS1471" s="44"/>
      <c r="AT1471" s="44" t="str">
        <f t="shared" si="114"/>
        <v/>
      </c>
      <c r="AU1471" s="44" t="str">
        <f t="shared" si="115"/>
        <v/>
      </c>
      <c r="AV1471" s="38"/>
      <c r="AW1471" s="38"/>
      <c r="AX1471" s="38" t="s">
        <v>2570</v>
      </c>
      <c r="AY1471" s="38"/>
      <c r="AZ1471" s="29">
        <v>30.0</v>
      </c>
      <c r="BA1471" s="29"/>
      <c r="BB1471" s="29">
        <v>1.0</v>
      </c>
      <c r="BC1471" s="29"/>
      <c r="BD1471" s="29" t="s">
        <v>88</v>
      </c>
      <c r="BE1471" s="29" t="s">
        <v>263</v>
      </c>
      <c r="BF1471" s="29" t="s">
        <v>984</v>
      </c>
      <c r="BG1471" s="29" t="s">
        <v>572</v>
      </c>
      <c r="BH1471" s="29" t="s">
        <v>88</v>
      </c>
      <c r="BI1471" s="29" t="s">
        <v>2561</v>
      </c>
      <c r="BJ1471" s="29"/>
      <c r="BK1471" s="29" t="s">
        <v>180</v>
      </c>
      <c r="BL1471" s="29" t="s">
        <v>180</v>
      </c>
      <c r="BM1471" s="45">
        <v>1.0</v>
      </c>
      <c r="BN1471" s="45"/>
      <c r="BO1471" s="46"/>
      <c r="BP1471" s="2"/>
      <c r="BQ1471" s="3"/>
    </row>
    <row r="1472" ht="15.75" customHeight="1">
      <c r="A1472" s="34">
        <v>1509.0</v>
      </c>
      <c r="B1472" s="34">
        <v>103040.0</v>
      </c>
      <c r="C1472" s="34" t="s">
        <v>76</v>
      </c>
      <c r="D1472" s="34" t="s">
        <v>2549</v>
      </c>
      <c r="E1472" s="34" t="s">
        <v>2550</v>
      </c>
      <c r="F1472" s="34">
        <v>2018.0</v>
      </c>
      <c r="G1472" s="34" t="s">
        <v>2551</v>
      </c>
      <c r="H1472" s="34" t="s">
        <v>1431</v>
      </c>
      <c r="I1472" s="34" t="s">
        <v>2552</v>
      </c>
      <c r="J1472" s="35"/>
      <c r="K1472" s="36">
        <v>1.8</v>
      </c>
      <c r="L1472" s="36"/>
      <c r="M1472" s="36"/>
      <c r="N1472" s="36"/>
      <c r="O1472" s="36"/>
      <c r="P1472" s="37">
        <v>34.0</v>
      </c>
      <c r="Q1472" s="36" t="s">
        <v>96</v>
      </c>
      <c r="R1472" s="36" t="s">
        <v>96</v>
      </c>
      <c r="S1472" s="36">
        <v>30.0</v>
      </c>
      <c r="T1472" s="36" t="s">
        <v>2553</v>
      </c>
      <c r="U1472" s="36" t="s">
        <v>2554</v>
      </c>
      <c r="V1472" s="36">
        <v>16.0</v>
      </c>
      <c r="W1472" s="36" t="s">
        <v>88</v>
      </c>
      <c r="X1472" s="38">
        <v>1.0</v>
      </c>
      <c r="Y1472" s="38" t="s">
        <v>2555</v>
      </c>
      <c r="Z1472" s="38" t="s">
        <v>2556</v>
      </c>
      <c r="AA1472" s="38" t="s">
        <v>86</v>
      </c>
      <c r="AB1472" s="38" t="s">
        <v>2557</v>
      </c>
      <c r="AC1472" s="38" t="s">
        <v>2558</v>
      </c>
      <c r="AD1472" s="38" t="s">
        <v>87</v>
      </c>
      <c r="AE1472" s="53"/>
      <c r="AF1472" s="38" t="s">
        <v>2559</v>
      </c>
      <c r="AG1472" s="57"/>
      <c r="AH1472" s="38">
        <v>6.0</v>
      </c>
      <c r="AI1472" s="50">
        <v>36.15</v>
      </c>
      <c r="AJ1472" s="50">
        <v>-119.3</v>
      </c>
      <c r="AK1472" s="41" t="s">
        <v>86</v>
      </c>
      <c r="AL1472" s="40" t="s">
        <v>86</v>
      </c>
      <c r="AM1472" s="49">
        <v>85.0</v>
      </c>
      <c r="AN1472" s="51">
        <v>85.0</v>
      </c>
      <c r="AO1472" s="42" t="s">
        <v>304</v>
      </c>
      <c r="AP1472" s="43" t="s">
        <v>304</v>
      </c>
      <c r="AQ1472" s="44" t="str">
        <f t="shared" si="165"/>
        <v>CRO</v>
      </c>
      <c r="AR1472" s="44">
        <f t="shared" si="144"/>
        <v>85</v>
      </c>
      <c r="AS1472" s="44" t="str">
        <f t="shared" ref="AS1472:AS1473" si="167">LEFT(AO1472,1)</f>
        <v>B</v>
      </c>
      <c r="AT1472" s="44" t="str">
        <f t="shared" si="114"/>
        <v>BS</v>
      </c>
      <c r="AU1472" s="44" t="str">
        <f t="shared" si="115"/>
        <v>BSh</v>
      </c>
      <c r="AV1472" s="38"/>
      <c r="AW1472" s="38"/>
      <c r="AX1472" s="38" t="s">
        <v>2571</v>
      </c>
      <c r="AY1472" s="38"/>
      <c r="AZ1472" s="29">
        <v>30.0</v>
      </c>
      <c r="BA1472" s="29"/>
      <c r="BB1472" s="29">
        <v>1.0</v>
      </c>
      <c r="BC1472" s="29"/>
      <c r="BD1472" s="29" t="s">
        <v>88</v>
      </c>
      <c r="BE1472" s="29" t="s">
        <v>263</v>
      </c>
      <c r="BF1472" s="29" t="s">
        <v>984</v>
      </c>
      <c r="BG1472" s="29" t="s">
        <v>572</v>
      </c>
      <c r="BH1472" s="29" t="s">
        <v>88</v>
      </c>
      <c r="BI1472" s="29" t="s">
        <v>2561</v>
      </c>
      <c r="BJ1472" s="29"/>
      <c r="BK1472" s="29" t="s">
        <v>180</v>
      </c>
      <c r="BL1472" s="29" t="s">
        <v>180</v>
      </c>
      <c r="BM1472" s="45">
        <v>1.0</v>
      </c>
      <c r="BN1472" s="45"/>
      <c r="BO1472" s="46"/>
      <c r="BP1472" s="2"/>
      <c r="BQ1472" s="3"/>
    </row>
    <row r="1473" ht="15.75" customHeight="1">
      <c r="A1473" s="34">
        <v>1510.0</v>
      </c>
      <c r="B1473" s="34">
        <v>103040.0</v>
      </c>
      <c r="C1473" s="34" t="s">
        <v>76</v>
      </c>
      <c r="D1473" s="34" t="s">
        <v>2549</v>
      </c>
      <c r="E1473" s="34" t="s">
        <v>2550</v>
      </c>
      <c r="F1473" s="34">
        <v>2018.0</v>
      </c>
      <c r="G1473" s="34" t="s">
        <v>2551</v>
      </c>
      <c r="H1473" s="34" t="s">
        <v>1431</v>
      </c>
      <c r="I1473" s="34" t="s">
        <v>2552</v>
      </c>
      <c r="J1473" s="35"/>
      <c r="K1473" s="36">
        <v>0.6</v>
      </c>
      <c r="L1473" s="36"/>
      <c r="M1473" s="36"/>
      <c r="N1473" s="36"/>
      <c r="O1473" s="36"/>
      <c r="P1473" s="37">
        <v>29.0</v>
      </c>
      <c r="Q1473" s="36" t="s">
        <v>96</v>
      </c>
      <c r="R1473" s="36" t="s">
        <v>96</v>
      </c>
      <c r="S1473" s="36">
        <v>30.0</v>
      </c>
      <c r="T1473" s="36" t="s">
        <v>2562</v>
      </c>
      <c r="U1473" s="36" t="s">
        <v>2554</v>
      </c>
      <c r="V1473" s="36">
        <v>8.0</v>
      </c>
      <c r="W1473" s="36" t="s">
        <v>88</v>
      </c>
      <c r="X1473" s="38">
        <v>1.0</v>
      </c>
      <c r="Y1473" s="38" t="s">
        <v>2563</v>
      </c>
      <c r="Z1473" s="38" t="s">
        <v>2564</v>
      </c>
      <c r="AA1473" s="38" t="s">
        <v>86</v>
      </c>
      <c r="AB1473" s="38" t="s">
        <v>2565</v>
      </c>
      <c r="AC1473" s="38" t="s">
        <v>2566</v>
      </c>
      <c r="AD1473" s="38" t="s">
        <v>87</v>
      </c>
      <c r="AE1473" s="38">
        <v>72.0</v>
      </c>
      <c r="AF1473" s="38" t="s">
        <v>2559</v>
      </c>
      <c r="AG1473" s="38" t="s">
        <v>303</v>
      </c>
      <c r="AH1473" s="38">
        <v>6.0</v>
      </c>
      <c r="AI1473" s="50">
        <v>36.14</v>
      </c>
      <c r="AJ1473" s="50">
        <v>-119.56</v>
      </c>
      <c r="AK1473" s="41" t="s">
        <v>86</v>
      </c>
      <c r="AL1473" s="40" t="s">
        <v>86</v>
      </c>
      <c r="AM1473" s="49">
        <v>63.0</v>
      </c>
      <c r="AN1473" s="51">
        <v>63.0</v>
      </c>
      <c r="AO1473" s="42" t="s">
        <v>304</v>
      </c>
      <c r="AP1473" s="43" t="s">
        <v>304</v>
      </c>
      <c r="AQ1473" s="44" t="str">
        <f t="shared" si="165"/>
        <v>CRO</v>
      </c>
      <c r="AR1473" s="44">
        <f t="shared" si="144"/>
        <v>63</v>
      </c>
      <c r="AS1473" s="44" t="str">
        <f t="shared" si="167"/>
        <v>B</v>
      </c>
      <c r="AT1473" s="44" t="str">
        <f t="shared" si="114"/>
        <v>BS</v>
      </c>
      <c r="AU1473" s="44" t="str">
        <f t="shared" si="115"/>
        <v>BSh</v>
      </c>
      <c r="AV1473" s="38"/>
      <c r="AW1473" s="38"/>
      <c r="AX1473" s="38" t="s">
        <v>2572</v>
      </c>
      <c r="AY1473" s="38"/>
      <c r="AZ1473" s="29">
        <v>30.0</v>
      </c>
      <c r="BA1473" s="29"/>
      <c r="BB1473" s="29">
        <v>1.0</v>
      </c>
      <c r="BC1473" s="29"/>
      <c r="BD1473" s="29" t="s">
        <v>88</v>
      </c>
      <c r="BE1473" s="29" t="s">
        <v>263</v>
      </c>
      <c r="BF1473" s="29" t="s">
        <v>984</v>
      </c>
      <c r="BG1473" s="29" t="s">
        <v>572</v>
      </c>
      <c r="BH1473" s="29" t="s">
        <v>88</v>
      </c>
      <c r="BI1473" s="29" t="s">
        <v>2561</v>
      </c>
      <c r="BJ1473" s="29"/>
      <c r="BK1473" s="29" t="s">
        <v>180</v>
      </c>
      <c r="BL1473" s="29" t="s">
        <v>180</v>
      </c>
      <c r="BM1473" s="45">
        <v>1.0</v>
      </c>
      <c r="BN1473" s="45"/>
      <c r="BO1473" s="46"/>
      <c r="BP1473" s="2"/>
      <c r="BQ1473" s="3"/>
    </row>
    <row r="1474" ht="15.75" customHeight="1">
      <c r="A1474" s="34">
        <v>1511.0</v>
      </c>
      <c r="B1474" s="34">
        <v>103040.0</v>
      </c>
      <c r="C1474" s="34" t="s">
        <v>76</v>
      </c>
      <c r="D1474" s="34" t="s">
        <v>2549</v>
      </c>
      <c r="E1474" s="34" t="s">
        <v>2550</v>
      </c>
      <c r="F1474" s="34">
        <v>2018.0</v>
      </c>
      <c r="G1474" s="34" t="s">
        <v>2551</v>
      </c>
      <c r="H1474" s="34" t="s">
        <v>1431</v>
      </c>
      <c r="I1474" s="34" t="s">
        <v>2552</v>
      </c>
      <c r="J1474" s="35"/>
      <c r="K1474" s="36">
        <v>0.1</v>
      </c>
      <c r="L1474" s="36"/>
      <c r="M1474" s="36"/>
      <c r="N1474" s="36"/>
      <c r="O1474" s="36"/>
      <c r="P1474" s="37">
        <v>23.0</v>
      </c>
      <c r="Q1474" s="36" t="s">
        <v>96</v>
      </c>
      <c r="R1474" s="36" t="s">
        <v>96</v>
      </c>
      <c r="S1474" s="36">
        <v>30.0</v>
      </c>
      <c r="T1474" s="36" t="s">
        <v>2562</v>
      </c>
      <c r="U1474" s="36" t="s">
        <v>2554</v>
      </c>
      <c r="V1474" s="36">
        <v>48.0</v>
      </c>
      <c r="W1474" s="36" t="s">
        <v>88</v>
      </c>
      <c r="X1474" s="38">
        <v>6.0</v>
      </c>
      <c r="Y1474" s="38" t="s">
        <v>2563</v>
      </c>
      <c r="Z1474" s="38"/>
      <c r="AA1474" s="38" t="s">
        <v>86</v>
      </c>
      <c r="AB1474" s="38" t="s">
        <v>2565</v>
      </c>
      <c r="AC1474" s="38" t="s">
        <v>2566</v>
      </c>
      <c r="AD1474" s="38" t="s">
        <v>87</v>
      </c>
      <c r="AE1474" s="38">
        <v>72.0</v>
      </c>
      <c r="AF1474" s="38" t="s">
        <v>2559</v>
      </c>
      <c r="AG1474" s="38"/>
      <c r="AH1474" s="38">
        <v>6.0</v>
      </c>
      <c r="AI1474" s="50"/>
      <c r="AJ1474" s="50"/>
      <c r="AK1474" s="41"/>
      <c r="AL1474" s="40"/>
      <c r="AM1474" s="49"/>
      <c r="AN1474" s="51"/>
      <c r="AO1474" s="42"/>
      <c r="AP1474" s="43"/>
      <c r="AQ1474" s="44" t="str">
        <f t="shared" si="165"/>
        <v>CRO</v>
      </c>
      <c r="AR1474" s="44" t="str">
        <f t="shared" si="144"/>
        <v/>
      </c>
      <c r="AS1474" s="44"/>
      <c r="AT1474" s="44" t="str">
        <f t="shared" si="114"/>
        <v/>
      </c>
      <c r="AU1474" s="44" t="str">
        <f t="shared" si="115"/>
        <v/>
      </c>
      <c r="AV1474" s="38"/>
      <c r="AW1474" s="38"/>
      <c r="AX1474" s="38" t="s">
        <v>2573</v>
      </c>
      <c r="AY1474" s="38"/>
      <c r="AZ1474" s="29">
        <v>30.0</v>
      </c>
      <c r="BA1474" s="29"/>
      <c r="BB1474" s="29">
        <v>1.0</v>
      </c>
      <c r="BC1474" s="29"/>
      <c r="BD1474" s="29" t="s">
        <v>88</v>
      </c>
      <c r="BE1474" s="29" t="s">
        <v>263</v>
      </c>
      <c r="BF1474" s="29" t="s">
        <v>984</v>
      </c>
      <c r="BG1474" s="29" t="s">
        <v>572</v>
      </c>
      <c r="BH1474" s="29" t="s">
        <v>88</v>
      </c>
      <c r="BI1474" s="29" t="s">
        <v>2561</v>
      </c>
      <c r="BJ1474" s="29"/>
      <c r="BK1474" s="29" t="s">
        <v>180</v>
      </c>
      <c r="BL1474" s="29" t="s">
        <v>180</v>
      </c>
      <c r="BM1474" s="45">
        <v>1.0</v>
      </c>
      <c r="BN1474" s="45"/>
      <c r="BO1474" s="46"/>
      <c r="BP1474" s="2"/>
      <c r="BQ1474" s="3"/>
    </row>
    <row r="1475" ht="15.75" customHeight="1">
      <c r="A1475" s="34">
        <v>1512.0</v>
      </c>
      <c r="B1475" s="34">
        <v>103040.0</v>
      </c>
      <c r="C1475" s="34" t="s">
        <v>76</v>
      </c>
      <c r="D1475" s="34" t="s">
        <v>2549</v>
      </c>
      <c r="E1475" s="34" t="s">
        <v>2550</v>
      </c>
      <c r="F1475" s="34">
        <v>2018.0</v>
      </c>
      <c r="G1475" s="34" t="s">
        <v>2551</v>
      </c>
      <c r="H1475" s="34" t="s">
        <v>1431</v>
      </c>
      <c r="I1475" s="34" t="s">
        <v>2552</v>
      </c>
      <c r="J1475" s="35"/>
      <c r="K1475" s="36">
        <v>0.6</v>
      </c>
      <c r="L1475" s="36"/>
      <c r="M1475" s="36"/>
      <c r="N1475" s="36"/>
      <c r="O1475" s="36"/>
      <c r="P1475" s="37">
        <v>26.0</v>
      </c>
      <c r="Q1475" s="36" t="s">
        <v>96</v>
      </c>
      <c r="R1475" s="36" t="s">
        <v>96</v>
      </c>
      <c r="S1475" s="36">
        <v>30.0</v>
      </c>
      <c r="T1475" s="36" t="s">
        <v>2553</v>
      </c>
      <c r="U1475" s="36" t="s">
        <v>2554</v>
      </c>
      <c r="V1475" s="36">
        <v>72.0</v>
      </c>
      <c r="W1475" s="36" t="s">
        <v>88</v>
      </c>
      <c r="X1475" s="38">
        <v>8.0</v>
      </c>
      <c r="Y1475" s="38" t="s">
        <v>2569</v>
      </c>
      <c r="Z1475" s="38"/>
      <c r="AA1475" s="38" t="s">
        <v>86</v>
      </c>
      <c r="AB1475" s="38"/>
      <c r="AC1475" s="38"/>
      <c r="AD1475" s="39" t="s">
        <v>87</v>
      </c>
      <c r="AE1475" s="53"/>
      <c r="AF1475" s="38" t="s">
        <v>2559</v>
      </c>
      <c r="AG1475" s="38"/>
      <c r="AH1475" s="38">
        <v>6.0</v>
      </c>
      <c r="AI1475" s="50"/>
      <c r="AJ1475" s="50"/>
      <c r="AK1475" s="41"/>
      <c r="AL1475" s="40"/>
      <c r="AM1475" s="49"/>
      <c r="AN1475" s="43"/>
      <c r="AO1475" s="42"/>
      <c r="AP1475" s="43"/>
      <c r="AQ1475" s="44" t="str">
        <f t="shared" si="165"/>
        <v>CRO</v>
      </c>
      <c r="AR1475" s="44" t="str">
        <f t="shared" si="144"/>
        <v/>
      </c>
      <c r="AS1475" s="44"/>
      <c r="AT1475" s="44" t="str">
        <f t="shared" si="114"/>
        <v/>
      </c>
      <c r="AU1475" s="44" t="str">
        <f t="shared" si="115"/>
        <v/>
      </c>
      <c r="AV1475" s="38"/>
      <c r="AW1475" s="38"/>
      <c r="AX1475" s="38" t="s">
        <v>2574</v>
      </c>
      <c r="AY1475" s="38"/>
      <c r="AZ1475" s="29">
        <v>30.0</v>
      </c>
      <c r="BA1475" s="29"/>
      <c r="BB1475" s="29">
        <v>1.0</v>
      </c>
      <c r="BC1475" s="29"/>
      <c r="BD1475" s="29" t="s">
        <v>88</v>
      </c>
      <c r="BE1475" s="29" t="s">
        <v>263</v>
      </c>
      <c r="BF1475" s="29" t="s">
        <v>984</v>
      </c>
      <c r="BG1475" s="29" t="s">
        <v>572</v>
      </c>
      <c r="BH1475" s="29" t="s">
        <v>88</v>
      </c>
      <c r="BI1475" s="29" t="s">
        <v>2561</v>
      </c>
      <c r="BJ1475" s="29"/>
      <c r="BK1475" s="29" t="s">
        <v>180</v>
      </c>
      <c r="BL1475" s="29" t="s">
        <v>180</v>
      </c>
      <c r="BM1475" s="45">
        <v>1.0</v>
      </c>
      <c r="BN1475" s="45"/>
      <c r="BO1475" s="46"/>
      <c r="BP1475" s="2"/>
      <c r="BQ1475" s="3"/>
    </row>
    <row r="1476" ht="15.75" customHeight="1">
      <c r="A1476" s="34">
        <v>1513.0</v>
      </c>
      <c r="B1476" s="34">
        <v>103040.0</v>
      </c>
      <c r="C1476" s="34" t="s">
        <v>76</v>
      </c>
      <c r="D1476" s="34" t="s">
        <v>2549</v>
      </c>
      <c r="E1476" s="34" t="s">
        <v>2550</v>
      </c>
      <c r="F1476" s="34">
        <v>2018.0</v>
      </c>
      <c r="G1476" s="34" t="s">
        <v>2551</v>
      </c>
      <c r="H1476" s="34" t="s">
        <v>1431</v>
      </c>
      <c r="I1476" s="34" t="s">
        <v>2552</v>
      </c>
      <c r="J1476" s="35"/>
      <c r="K1476" s="36">
        <v>1.5</v>
      </c>
      <c r="L1476" s="36"/>
      <c r="M1476" s="36"/>
      <c r="N1476" s="36"/>
      <c r="O1476" s="36"/>
      <c r="P1476" s="37">
        <v>29.0</v>
      </c>
      <c r="Q1476" s="36" t="s">
        <v>96</v>
      </c>
      <c r="R1476" s="36" t="s">
        <v>96</v>
      </c>
      <c r="S1476" s="36">
        <v>30.0</v>
      </c>
      <c r="T1476" s="36" t="s">
        <v>2553</v>
      </c>
      <c r="U1476" s="36" t="s">
        <v>2554</v>
      </c>
      <c r="V1476" s="36">
        <v>16.0</v>
      </c>
      <c r="W1476" s="36" t="s">
        <v>88</v>
      </c>
      <c r="X1476" s="38">
        <v>1.0</v>
      </c>
      <c r="Y1476" s="38" t="s">
        <v>2555</v>
      </c>
      <c r="Z1476" s="38" t="s">
        <v>2556</v>
      </c>
      <c r="AA1476" s="38" t="s">
        <v>86</v>
      </c>
      <c r="AB1476" s="38" t="s">
        <v>2557</v>
      </c>
      <c r="AC1476" s="38" t="s">
        <v>2558</v>
      </c>
      <c r="AD1476" s="38" t="s">
        <v>87</v>
      </c>
      <c r="AE1476" s="53"/>
      <c r="AF1476" s="38" t="s">
        <v>2559</v>
      </c>
      <c r="AG1476" s="57" t="s">
        <v>201</v>
      </c>
      <c r="AH1476" s="38">
        <v>6.0</v>
      </c>
      <c r="AI1476" s="50">
        <v>36.15</v>
      </c>
      <c r="AJ1476" s="50">
        <v>-119.3</v>
      </c>
      <c r="AK1476" s="41" t="s">
        <v>86</v>
      </c>
      <c r="AL1476" s="40" t="s">
        <v>86</v>
      </c>
      <c r="AM1476" s="49">
        <v>85.0</v>
      </c>
      <c r="AN1476" s="51">
        <v>85.0</v>
      </c>
      <c r="AO1476" s="42" t="s">
        <v>304</v>
      </c>
      <c r="AP1476" s="43" t="s">
        <v>304</v>
      </c>
      <c r="AQ1476" s="44" t="str">
        <f t="shared" si="165"/>
        <v>CRO</v>
      </c>
      <c r="AR1476" s="44">
        <f t="shared" si="144"/>
        <v>85</v>
      </c>
      <c r="AS1476" s="44" t="str">
        <f t="shared" ref="AS1476:AS1477" si="168">LEFT(AO1476,1)</f>
        <v>B</v>
      </c>
      <c r="AT1476" s="44" t="str">
        <f t="shared" si="114"/>
        <v>BS</v>
      </c>
      <c r="AU1476" s="44" t="str">
        <f t="shared" si="115"/>
        <v>BSh</v>
      </c>
      <c r="AV1476" s="38"/>
      <c r="AW1476" s="38"/>
      <c r="AX1476" s="38" t="s">
        <v>2575</v>
      </c>
      <c r="AY1476" s="38"/>
      <c r="AZ1476" s="29">
        <v>30.0</v>
      </c>
      <c r="BA1476" s="29"/>
      <c r="BB1476" s="29">
        <v>1.0</v>
      </c>
      <c r="BC1476" s="29"/>
      <c r="BD1476" s="29" t="s">
        <v>88</v>
      </c>
      <c r="BE1476" s="29" t="s">
        <v>263</v>
      </c>
      <c r="BF1476" s="29" t="s">
        <v>984</v>
      </c>
      <c r="BG1476" s="29" t="s">
        <v>572</v>
      </c>
      <c r="BH1476" s="29" t="s">
        <v>88</v>
      </c>
      <c r="BI1476" s="29" t="s">
        <v>2561</v>
      </c>
      <c r="BJ1476" s="29"/>
      <c r="BK1476" s="29" t="s">
        <v>180</v>
      </c>
      <c r="BL1476" s="29" t="s">
        <v>180</v>
      </c>
      <c r="BM1476" s="45">
        <v>1.0</v>
      </c>
      <c r="BN1476" s="45"/>
      <c r="BO1476" s="46"/>
      <c r="BP1476" s="2"/>
      <c r="BQ1476" s="3"/>
    </row>
    <row r="1477" ht="15.75" customHeight="1">
      <c r="A1477" s="34">
        <v>1514.0</v>
      </c>
      <c r="B1477" s="34">
        <v>103040.0</v>
      </c>
      <c r="C1477" s="34" t="s">
        <v>76</v>
      </c>
      <c r="D1477" s="34" t="s">
        <v>2549</v>
      </c>
      <c r="E1477" s="34" t="s">
        <v>2550</v>
      </c>
      <c r="F1477" s="34">
        <v>2018.0</v>
      </c>
      <c r="G1477" s="34" t="s">
        <v>2551</v>
      </c>
      <c r="H1477" s="34" t="s">
        <v>1431</v>
      </c>
      <c r="I1477" s="34" t="s">
        <v>2552</v>
      </c>
      <c r="J1477" s="35"/>
      <c r="K1477" s="36">
        <v>0.6</v>
      </c>
      <c r="L1477" s="36"/>
      <c r="M1477" s="36"/>
      <c r="N1477" s="36"/>
      <c r="O1477" s="36"/>
      <c r="P1477" s="37">
        <v>28.0</v>
      </c>
      <c r="Q1477" s="36" t="s">
        <v>96</v>
      </c>
      <c r="R1477" s="36" t="s">
        <v>96</v>
      </c>
      <c r="S1477" s="36">
        <v>30.0</v>
      </c>
      <c r="T1477" s="36" t="s">
        <v>2562</v>
      </c>
      <c r="U1477" s="36" t="s">
        <v>2554</v>
      </c>
      <c r="V1477" s="36">
        <v>8.0</v>
      </c>
      <c r="W1477" s="36" t="s">
        <v>88</v>
      </c>
      <c r="X1477" s="38">
        <v>1.0</v>
      </c>
      <c r="Y1477" s="38" t="s">
        <v>2563</v>
      </c>
      <c r="Z1477" s="38" t="s">
        <v>2564</v>
      </c>
      <c r="AA1477" s="38" t="s">
        <v>86</v>
      </c>
      <c r="AB1477" s="38" t="s">
        <v>2565</v>
      </c>
      <c r="AC1477" s="38" t="s">
        <v>2566</v>
      </c>
      <c r="AD1477" s="38" t="s">
        <v>87</v>
      </c>
      <c r="AE1477" s="38">
        <v>72.0</v>
      </c>
      <c r="AF1477" s="38" t="s">
        <v>2559</v>
      </c>
      <c r="AG1477" s="38" t="s">
        <v>303</v>
      </c>
      <c r="AH1477" s="38">
        <v>6.0</v>
      </c>
      <c r="AI1477" s="50">
        <v>36.14</v>
      </c>
      <c r="AJ1477" s="50">
        <v>-119.56</v>
      </c>
      <c r="AK1477" s="41" t="s">
        <v>86</v>
      </c>
      <c r="AL1477" s="40" t="s">
        <v>86</v>
      </c>
      <c r="AM1477" s="49">
        <v>63.0</v>
      </c>
      <c r="AN1477" s="51">
        <v>63.0</v>
      </c>
      <c r="AO1477" s="42" t="s">
        <v>304</v>
      </c>
      <c r="AP1477" s="43" t="s">
        <v>304</v>
      </c>
      <c r="AQ1477" s="44" t="str">
        <f t="shared" si="165"/>
        <v>CRO</v>
      </c>
      <c r="AR1477" s="44">
        <f t="shared" si="144"/>
        <v>63</v>
      </c>
      <c r="AS1477" s="44" t="str">
        <f t="shared" si="168"/>
        <v>B</v>
      </c>
      <c r="AT1477" s="44" t="str">
        <f t="shared" si="114"/>
        <v>BS</v>
      </c>
      <c r="AU1477" s="44" t="str">
        <f t="shared" si="115"/>
        <v>BSh</v>
      </c>
      <c r="AV1477" s="38"/>
      <c r="AW1477" s="38"/>
      <c r="AX1477" s="38" t="s">
        <v>2576</v>
      </c>
      <c r="AY1477" s="38"/>
      <c r="AZ1477" s="29">
        <v>30.0</v>
      </c>
      <c r="BA1477" s="29"/>
      <c r="BB1477" s="29">
        <v>1.0</v>
      </c>
      <c r="BC1477" s="29"/>
      <c r="BD1477" s="29" t="s">
        <v>88</v>
      </c>
      <c r="BE1477" s="29" t="s">
        <v>263</v>
      </c>
      <c r="BF1477" s="29" t="s">
        <v>984</v>
      </c>
      <c r="BG1477" s="29" t="s">
        <v>572</v>
      </c>
      <c r="BH1477" s="29" t="s">
        <v>88</v>
      </c>
      <c r="BI1477" s="29" t="s">
        <v>2561</v>
      </c>
      <c r="BJ1477" s="29"/>
      <c r="BK1477" s="29" t="s">
        <v>180</v>
      </c>
      <c r="BL1477" s="29" t="s">
        <v>180</v>
      </c>
      <c r="BM1477" s="45">
        <v>1.0</v>
      </c>
      <c r="BN1477" s="45"/>
      <c r="BO1477" s="46"/>
      <c r="BP1477" s="2"/>
      <c r="BQ1477" s="3"/>
    </row>
    <row r="1478" ht="15.75" customHeight="1">
      <c r="A1478" s="34">
        <v>1515.0</v>
      </c>
      <c r="B1478" s="34">
        <v>103040.0</v>
      </c>
      <c r="C1478" s="34" t="s">
        <v>76</v>
      </c>
      <c r="D1478" s="34" t="s">
        <v>2549</v>
      </c>
      <c r="E1478" s="34" t="s">
        <v>2550</v>
      </c>
      <c r="F1478" s="34">
        <v>2018.0</v>
      </c>
      <c r="G1478" s="34" t="s">
        <v>2551</v>
      </c>
      <c r="H1478" s="34" t="s">
        <v>1431</v>
      </c>
      <c r="I1478" s="34" t="s">
        <v>2552</v>
      </c>
      <c r="J1478" s="35"/>
      <c r="K1478" s="36">
        <v>0.1</v>
      </c>
      <c r="L1478" s="36"/>
      <c r="M1478" s="36"/>
      <c r="N1478" s="36"/>
      <c r="O1478" s="36"/>
      <c r="P1478" s="37">
        <v>24.0</v>
      </c>
      <c r="Q1478" s="36" t="s">
        <v>96</v>
      </c>
      <c r="R1478" s="36" t="s">
        <v>96</v>
      </c>
      <c r="S1478" s="36">
        <v>30.0</v>
      </c>
      <c r="T1478" s="36" t="s">
        <v>2562</v>
      </c>
      <c r="U1478" s="36" t="s">
        <v>2554</v>
      </c>
      <c r="V1478" s="36">
        <v>48.0</v>
      </c>
      <c r="W1478" s="36" t="s">
        <v>88</v>
      </c>
      <c r="X1478" s="38">
        <v>6.0</v>
      </c>
      <c r="Y1478" s="38" t="s">
        <v>2563</v>
      </c>
      <c r="Z1478" s="38"/>
      <c r="AA1478" s="38" t="s">
        <v>86</v>
      </c>
      <c r="AB1478" s="38" t="s">
        <v>2565</v>
      </c>
      <c r="AC1478" s="38" t="s">
        <v>2566</v>
      </c>
      <c r="AD1478" s="38" t="s">
        <v>87</v>
      </c>
      <c r="AE1478" s="38">
        <v>72.0</v>
      </c>
      <c r="AF1478" s="38" t="s">
        <v>2559</v>
      </c>
      <c r="AG1478" s="38"/>
      <c r="AH1478" s="38">
        <v>6.0</v>
      </c>
      <c r="AI1478" s="50"/>
      <c r="AJ1478" s="50"/>
      <c r="AK1478" s="41"/>
      <c r="AL1478" s="40"/>
      <c r="AM1478" s="49"/>
      <c r="AN1478" s="51"/>
      <c r="AO1478" s="42"/>
      <c r="AP1478" s="43"/>
      <c r="AQ1478" s="44" t="str">
        <f t="shared" si="165"/>
        <v>CRO</v>
      </c>
      <c r="AR1478" s="44" t="str">
        <f t="shared" si="144"/>
        <v/>
      </c>
      <c r="AS1478" s="44"/>
      <c r="AT1478" s="44" t="str">
        <f t="shared" si="114"/>
        <v/>
      </c>
      <c r="AU1478" s="44" t="str">
        <f t="shared" si="115"/>
        <v/>
      </c>
      <c r="AV1478" s="38"/>
      <c r="AW1478" s="38"/>
      <c r="AX1478" s="38" t="s">
        <v>2577</v>
      </c>
      <c r="AY1478" s="38"/>
      <c r="AZ1478" s="29">
        <v>30.0</v>
      </c>
      <c r="BA1478" s="29"/>
      <c r="BB1478" s="29">
        <v>1.0</v>
      </c>
      <c r="BC1478" s="29"/>
      <c r="BD1478" s="29" t="s">
        <v>88</v>
      </c>
      <c r="BE1478" s="29" t="s">
        <v>263</v>
      </c>
      <c r="BF1478" s="29" t="s">
        <v>984</v>
      </c>
      <c r="BG1478" s="29" t="s">
        <v>572</v>
      </c>
      <c r="BH1478" s="29" t="s">
        <v>88</v>
      </c>
      <c r="BI1478" s="29" t="s">
        <v>2561</v>
      </c>
      <c r="BJ1478" s="29"/>
      <c r="BK1478" s="29" t="s">
        <v>180</v>
      </c>
      <c r="BL1478" s="29" t="s">
        <v>180</v>
      </c>
      <c r="BM1478" s="45">
        <v>1.0</v>
      </c>
      <c r="BN1478" s="45"/>
      <c r="BO1478" s="46"/>
      <c r="BP1478" s="2"/>
      <c r="BQ1478" s="3"/>
    </row>
    <row r="1479" ht="15.75" customHeight="1">
      <c r="A1479" s="34">
        <v>1516.0</v>
      </c>
      <c r="B1479" s="34">
        <v>103040.0</v>
      </c>
      <c r="C1479" s="34" t="s">
        <v>76</v>
      </c>
      <c r="D1479" s="34" t="s">
        <v>2549</v>
      </c>
      <c r="E1479" s="34" t="s">
        <v>2550</v>
      </c>
      <c r="F1479" s="34">
        <v>2018.0</v>
      </c>
      <c r="G1479" s="34" t="s">
        <v>2551</v>
      </c>
      <c r="H1479" s="34" t="s">
        <v>1431</v>
      </c>
      <c r="I1479" s="34" t="s">
        <v>2552</v>
      </c>
      <c r="J1479" s="35"/>
      <c r="K1479" s="36">
        <v>0.5</v>
      </c>
      <c r="L1479" s="36"/>
      <c r="M1479" s="36"/>
      <c r="N1479" s="36"/>
      <c r="O1479" s="36"/>
      <c r="P1479" s="37">
        <v>25.0</v>
      </c>
      <c r="Q1479" s="36" t="s">
        <v>96</v>
      </c>
      <c r="R1479" s="36" t="s">
        <v>96</v>
      </c>
      <c r="S1479" s="36">
        <v>30.0</v>
      </c>
      <c r="T1479" s="36" t="s">
        <v>2553</v>
      </c>
      <c r="U1479" s="36" t="s">
        <v>2554</v>
      </c>
      <c r="V1479" s="36">
        <v>72.0</v>
      </c>
      <c r="W1479" s="36" t="s">
        <v>88</v>
      </c>
      <c r="X1479" s="38">
        <v>8.0</v>
      </c>
      <c r="Y1479" s="38" t="s">
        <v>2569</v>
      </c>
      <c r="Z1479" s="38"/>
      <c r="AA1479" s="38" t="s">
        <v>86</v>
      </c>
      <c r="AB1479" s="38"/>
      <c r="AC1479" s="38"/>
      <c r="AD1479" s="39" t="s">
        <v>87</v>
      </c>
      <c r="AE1479" s="53"/>
      <c r="AF1479" s="38" t="s">
        <v>2559</v>
      </c>
      <c r="AG1479" s="38"/>
      <c r="AH1479" s="38">
        <v>6.0</v>
      </c>
      <c r="AI1479" s="50"/>
      <c r="AJ1479" s="50"/>
      <c r="AK1479" s="41"/>
      <c r="AL1479" s="40"/>
      <c r="AM1479" s="49"/>
      <c r="AN1479" s="43"/>
      <c r="AO1479" s="42"/>
      <c r="AP1479" s="43"/>
      <c r="AQ1479" s="44" t="str">
        <f t="shared" si="165"/>
        <v>CRO</v>
      </c>
      <c r="AR1479" s="44" t="str">
        <f t="shared" si="144"/>
        <v/>
      </c>
      <c r="AS1479" s="44"/>
      <c r="AT1479" s="44" t="str">
        <f t="shared" si="114"/>
        <v/>
      </c>
      <c r="AU1479" s="44" t="str">
        <f t="shared" si="115"/>
        <v/>
      </c>
      <c r="AV1479" s="38"/>
      <c r="AW1479" s="38"/>
      <c r="AX1479" s="38" t="s">
        <v>2578</v>
      </c>
      <c r="AY1479" s="38"/>
      <c r="AZ1479" s="29">
        <v>30.0</v>
      </c>
      <c r="BA1479" s="29"/>
      <c r="BB1479" s="29">
        <v>1.0</v>
      </c>
      <c r="BC1479" s="29"/>
      <c r="BD1479" s="29" t="s">
        <v>88</v>
      </c>
      <c r="BE1479" s="29" t="s">
        <v>263</v>
      </c>
      <c r="BF1479" s="29" t="s">
        <v>984</v>
      </c>
      <c r="BG1479" s="29" t="s">
        <v>572</v>
      </c>
      <c r="BH1479" s="29" t="s">
        <v>88</v>
      </c>
      <c r="BI1479" s="29" t="s">
        <v>2561</v>
      </c>
      <c r="BJ1479" s="29"/>
      <c r="BK1479" s="29" t="s">
        <v>180</v>
      </c>
      <c r="BL1479" s="29" t="s">
        <v>180</v>
      </c>
      <c r="BM1479" s="45">
        <v>1.0</v>
      </c>
      <c r="BN1479" s="45"/>
      <c r="BO1479" s="46"/>
      <c r="BP1479" s="2"/>
      <c r="BQ1479" s="3"/>
    </row>
    <row r="1480" ht="15.75" customHeight="1">
      <c r="A1480" s="34">
        <v>1517.0</v>
      </c>
      <c r="B1480" s="34">
        <v>103040.0</v>
      </c>
      <c r="C1480" s="34" t="s">
        <v>76</v>
      </c>
      <c r="D1480" s="34" t="s">
        <v>2549</v>
      </c>
      <c r="E1480" s="34" t="s">
        <v>2550</v>
      </c>
      <c r="F1480" s="34">
        <v>2018.0</v>
      </c>
      <c r="G1480" s="34" t="s">
        <v>2551</v>
      </c>
      <c r="H1480" s="34" t="s">
        <v>1431</v>
      </c>
      <c r="I1480" s="34" t="s">
        <v>2552</v>
      </c>
      <c r="J1480" s="35"/>
      <c r="K1480" s="36">
        <v>0.6</v>
      </c>
      <c r="L1480" s="36"/>
      <c r="M1480" s="36"/>
      <c r="N1480" s="36"/>
      <c r="O1480" s="36"/>
      <c r="P1480" s="37">
        <v>13.0</v>
      </c>
      <c r="Q1480" s="36" t="s">
        <v>96</v>
      </c>
      <c r="R1480" s="36" t="s">
        <v>96</v>
      </c>
      <c r="S1480" s="36">
        <v>30.0</v>
      </c>
      <c r="T1480" s="36" t="s">
        <v>2553</v>
      </c>
      <c r="U1480" s="36" t="s">
        <v>2554</v>
      </c>
      <c r="V1480" s="36">
        <v>16.0</v>
      </c>
      <c r="W1480" s="36" t="s">
        <v>88</v>
      </c>
      <c r="X1480" s="38">
        <v>1.0</v>
      </c>
      <c r="Y1480" s="38" t="s">
        <v>2555</v>
      </c>
      <c r="Z1480" s="38" t="s">
        <v>2556</v>
      </c>
      <c r="AA1480" s="38" t="s">
        <v>86</v>
      </c>
      <c r="AB1480" s="38" t="s">
        <v>2557</v>
      </c>
      <c r="AC1480" s="38" t="s">
        <v>2558</v>
      </c>
      <c r="AD1480" s="38" t="s">
        <v>87</v>
      </c>
      <c r="AE1480" s="53"/>
      <c r="AF1480" s="38" t="s">
        <v>2559</v>
      </c>
      <c r="AG1480" s="57" t="s">
        <v>201</v>
      </c>
      <c r="AH1480" s="38">
        <v>6.0</v>
      </c>
      <c r="AI1480" s="50">
        <v>36.15</v>
      </c>
      <c r="AJ1480" s="50">
        <v>-119.3</v>
      </c>
      <c r="AK1480" s="41" t="s">
        <v>86</v>
      </c>
      <c r="AL1480" s="40" t="s">
        <v>86</v>
      </c>
      <c r="AM1480" s="49">
        <v>85.0</v>
      </c>
      <c r="AN1480" s="51">
        <v>85.0</v>
      </c>
      <c r="AO1480" s="42" t="s">
        <v>304</v>
      </c>
      <c r="AP1480" s="43" t="s">
        <v>304</v>
      </c>
      <c r="AQ1480" s="44" t="str">
        <f t="shared" si="165"/>
        <v>CRO</v>
      </c>
      <c r="AR1480" s="44">
        <f t="shared" si="144"/>
        <v>85</v>
      </c>
      <c r="AS1480" s="44" t="str">
        <f t="shared" ref="AS1480:AS1481" si="169">LEFT(AO1480,1)</f>
        <v>B</v>
      </c>
      <c r="AT1480" s="44" t="str">
        <f t="shared" si="114"/>
        <v>BS</v>
      </c>
      <c r="AU1480" s="44" t="str">
        <f t="shared" si="115"/>
        <v>BSh</v>
      </c>
      <c r="AV1480" s="38"/>
      <c r="AW1480" s="38"/>
      <c r="AX1480" s="38" t="s">
        <v>2579</v>
      </c>
      <c r="AY1480" s="38"/>
      <c r="AZ1480" s="29">
        <v>30.0</v>
      </c>
      <c r="BA1480" s="29"/>
      <c r="BB1480" s="29">
        <v>1.0</v>
      </c>
      <c r="BC1480" s="29"/>
      <c r="BD1480" s="29" t="s">
        <v>88</v>
      </c>
      <c r="BE1480" s="29" t="s">
        <v>263</v>
      </c>
      <c r="BF1480" s="29" t="s">
        <v>984</v>
      </c>
      <c r="BG1480" s="29" t="s">
        <v>572</v>
      </c>
      <c r="BH1480" s="29" t="s">
        <v>88</v>
      </c>
      <c r="BI1480" s="29" t="s">
        <v>2561</v>
      </c>
      <c r="BJ1480" s="29"/>
      <c r="BK1480" s="29" t="s">
        <v>180</v>
      </c>
      <c r="BL1480" s="29" t="s">
        <v>180</v>
      </c>
      <c r="BM1480" s="45">
        <v>1.0</v>
      </c>
      <c r="BN1480" s="45"/>
      <c r="BO1480" s="46"/>
      <c r="BP1480" s="2"/>
      <c r="BQ1480" s="3"/>
    </row>
    <row r="1481" ht="15.75" customHeight="1">
      <c r="A1481" s="34">
        <v>1518.0</v>
      </c>
      <c r="B1481" s="34">
        <v>103040.0</v>
      </c>
      <c r="C1481" s="34" t="s">
        <v>76</v>
      </c>
      <c r="D1481" s="34" t="s">
        <v>2549</v>
      </c>
      <c r="E1481" s="34" t="s">
        <v>2550</v>
      </c>
      <c r="F1481" s="34">
        <v>2018.0</v>
      </c>
      <c r="G1481" s="34" t="s">
        <v>2551</v>
      </c>
      <c r="H1481" s="34" t="s">
        <v>1431</v>
      </c>
      <c r="I1481" s="34" t="s">
        <v>2552</v>
      </c>
      <c r="J1481" s="35"/>
      <c r="K1481" s="36">
        <v>-0.5</v>
      </c>
      <c r="L1481" s="36"/>
      <c r="M1481" s="36"/>
      <c r="N1481" s="36"/>
      <c r="O1481" s="36"/>
      <c r="P1481" s="37">
        <v>19.0</v>
      </c>
      <c r="Q1481" s="36" t="s">
        <v>96</v>
      </c>
      <c r="R1481" s="36" t="s">
        <v>96</v>
      </c>
      <c r="S1481" s="36">
        <v>30.0</v>
      </c>
      <c r="T1481" s="36" t="s">
        <v>2562</v>
      </c>
      <c r="U1481" s="36" t="s">
        <v>2554</v>
      </c>
      <c r="V1481" s="36">
        <v>8.0</v>
      </c>
      <c r="W1481" s="36" t="s">
        <v>88</v>
      </c>
      <c r="X1481" s="38">
        <v>1.0</v>
      </c>
      <c r="Y1481" s="38" t="s">
        <v>2563</v>
      </c>
      <c r="Z1481" s="38" t="s">
        <v>2564</v>
      </c>
      <c r="AA1481" s="38" t="s">
        <v>86</v>
      </c>
      <c r="AB1481" s="38" t="s">
        <v>2565</v>
      </c>
      <c r="AC1481" s="38" t="s">
        <v>2566</v>
      </c>
      <c r="AD1481" s="38" t="s">
        <v>87</v>
      </c>
      <c r="AE1481" s="38">
        <v>72.0</v>
      </c>
      <c r="AF1481" s="38" t="s">
        <v>2559</v>
      </c>
      <c r="AG1481" s="38" t="s">
        <v>303</v>
      </c>
      <c r="AH1481" s="38">
        <v>6.0</v>
      </c>
      <c r="AI1481" s="50">
        <v>36.14</v>
      </c>
      <c r="AJ1481" s="50">
        <v>-119.56</v>
      </c>
      <c r="AK1481" s="41" t="s">
        <v>86</v>
      </c>
      <c r="AL1481" s="40" t="s">
        <v>86</v>
      </c>
      <c r="AM1481" s="49">
        <v>63.0</v>
      </c>
      <c r="AN1481" s="51">
        <v>63.0</v>
      </c>
      <c r="AO1481" s="42" t="s">
        <v>304</v>
      </c>
      <c r="AP1481" s="43" t="s">
        <v>304</v>
      </c>
      <c r="AQ1481" s="44" t="str">
        <f t="shared" si="165"/>
        <v>CRO</v>
      </c>
      <c r="AR1481" s="44">
        <f t="shared" si="144"/>
        <v>63</v>
      </c>
      <c r="AS1481" s="44" t="str">
        <f t="shared" si="169"/>
        <v>B</v>
      </c>
      <c r="AT1481" s="44" t="str">
        <f t="shared" si="114"/>
        <v>BS</v>
      </c>
      <c r="AU1481" s="44" t="str">
        <f t="shared" si="115"/>
        <v>BSh</v>
      </c>
      <c r="AV1481" s="38"/>
      <c r="AW1481" s="38"/>
      <c r="AX1481" s="38" t="s">
        <v>2580</v>
      </c>
      <c r="AY1481" s="38"/>
      <c r="AZ1481" s="29">
        <v>30.0</v>
      </c>
      <c r="BA1481" s="29"/>
      <c r="BB1481" s="29">
        <v>1.0</v>
      </c>
      <c r="BC1481" s="29"/>
      <c r="BD1481" s="29" t="s">
        <v>88</v>
      </c>
      <c r="BE1481" s="29" t="s">
        <v>263</v>
      </c>
      <c r="BF1481" s="29" t="s">
        <v>984</v>
      </c>
      <c r="BG1481" s="29" t="s">
        <v>572</v>
      </c>
      <c r="BH1481" s="29" t="s">
        <v>88</v>
      </c>
      <c r="BI1481" s="29" t="s">
        <v>2561</v>
      </c>
      <c r="BJ1481" s="29"/>
      <c r="BK1481" s="29" t="s">
        <v>180</v>
      </c>
      <c r="BL1481" s="29" t="s">
        <v>180</v>
      </c>
      <c r="BM1481" s="45">
        <v>1.0</v>
      </c>
      <c r="BN1481" s="45"/>
      <c r="BO1481" s="46"/>
      <c r="BP1481" s="2"/>
      <c r="BQ1481" s="3"/>
    </row>
    <row r="1482" ht="15.75" customHeight="1">
      <c r="A1482" s="34">
        <v>1519.0</v>
      </c>
      <c r="B1482" s="34">
        <v>103040.0</v>
      </c>
      <c r="C1482" s="34" t="s">
        <v>76</v>
      </c>
      <c r="D1482" s="34" t="s">
        <v>2549</v>
      </c>
      <c r="E1482" s="34" t="s">
        <v>2550</v>
      </c>
      <c r="F1482" s="34">
        <v>2018.0</v>
      </c>
      <c r="G1482" s="34" t="s">
        <v>2551</v>
      </c>
      <c r="H1482" s="34" t="s">
        <v>1431</v>
      </c>
      <c r="I1482" s="34" t="s">
        <v>2552</v>
      </c>
      <c r="J1482" s="35"/>
      <c r="K1482" s="36">
        <v>-0.9</v>
      </c>
      <c r="L1482" s="36"/>
      <c r="M1482" s="36"/>
      <c r="N1482" s="36"/>
      <c r="O1482" s="36"/>
      <c r="P1482" s="37">
        <v>24.0</v>
      </c>
      <c r="Q1482" s="36" t="s">
        <v>96</v>
      </c>
      <c r="R1482" s="36" t="s">
        <v>96</v>
      </c>
      <c r="S1482" s="36">
        <v>30.0</v>
      </c>
      <c r="T1482" s="36" t="s">
        <v>2562</v>
      </c>
      <c r="U1482" s="36" t="s">
        <v>2554</v>
      </c>
      <c r="V1482" s="36">
        <v>48.0</v>
      </c>
      <c r="W1482" s="36" t="s">
        <v>88</v>
      </c>
      <c r="X1482" s="38">
        <v>6.0</v>
      </c>
      <c r="Y1482" s="38" t="s">
        <v>2563</v>
      </c>
      <c r="Z1482" s="38"/>
      <c r="AA1482" s="38" t="s">
        <v>86</v>
      </c>
      <c r="AB1482" s="38" t="s">
        <v>2565</v>
      </c>
      <c r="AC1482" s="38" t="s">
        <v>2566</v>
      </c>
      <c r="AD1482" s="38" t="s">
        <v>87</v>
      </c>
      <c r="AE1482" s="38">
        <v>72.0</v>
      </c>
      <c r="AF1482" s="38" t="s">
        <v>2559</v>
      </c>
      <c r="AG1482" s="38"/>
      <c r="AH1482" s="38">
        <v>6.0</v>
      </c>
      <c r="AI1482" s="50"/>
      <c r="AJ1482" s="50"/>
      <c r="AK1482" s="41"/>
      <c r="AL1482" s="40"/>
      <c r="AM1482" s="49"/>
      <c r="AN1482" s="51"/>
      <c r="AO1482" s="42"/>
      <c r="AP1482" s="43"/>
      <c r="AQ1482" s="44" t="str">
        <f t="shared" si="165"/>
        <v>CRO</v>
      </c>
      <c r="AR1482" s="44" t="str">
        <f t="shared" si="144"/>
        <v/>
      </c>
      <c r="AS1482" s="44"/>
      <c r="AT1482" s="44" t="str">
        <f t="shared" si="114"/>
        <v/>
      </c>
      <c r="AU1482" s="44" t="str">
        <f t="shared" si="115"/>
        <v/>
      </c>
      <c r="AV1482" s="38"/>
      <c r="AW1482" s="38"/>
      <c r="AX1482" s="38" t="s">
        <v>2581</v>
      </c>
      <c r="AY1482" s="38"/>
      <c r="AZ1482" s="29">
        <v>30.0</v>
      </c>
      <c r="BA1482" s="29"/>
      <c r="BB1482" s="29">
        <v>1.0</v>
      </c>
      <c r="BC1482" s="29"/>
      <c r="BD1482" s="29" t="s">
        <v>88</v>
      </c>
      <c r="BE1482" s="29" t="s">
        <v>263</v>
      </c>
      <c r="BF1482" s="29" t="s">
        <v>984</v>
      </c>
      <c r="BG1482" s="29" t="s">
        <v>572</v>
      </c>
      <c r="BH1482" s="29" t="s">
        <v>88</v>
      </c>
      <c r="BI1482" s="29" t="s">
        <v>2561</v>
      </c>
      <c r="BJ1482" s="29"/>
      <c r="BK1482" s="29" t="s">
        <v>180</v>
      </c>
      <c r="BL1482" s="29" t="s">
        <v>180</v>
      </c>
      <c r="BM1482" s="45">
        <v>1.0</v>
      </c>
      <c r="BN1482" s="45"/>
      <c r="BO1482" s="46"/>
      <c r="BP1482" s="2"/>
      <c r="BQ1482" s="3"/>
    </row>
    <row r="1483" ht="15.75" customHeight="1">
      <c r="A1483" s="34">
        <v>1520.0</v>
      </c>
      <c r="B1483" s="34">
        <v>103040.0</v>
      </c>
      <c r="C1483" s="34" t="s">
        <v>76</v>
      </c>
      <c r="D1483" s="34" t="s">
        <v>2549</v>
      </c>
      <c r="E1483" s="34" t="s">
        <v>2550</v>
      </c>
      <c r="F1483" s="34">
        <v>2018.0</v>
      </c>
      <c r="G1483" s="34" t="s">
        <v>2551</v>
      </c>
      <c r="H1483" s="34" t="s">
        <v>1431</v>
      </c>
      <c r="I1483" s="34" t="s">
        <v>2552</v>
      </c>
      <c r="J1483" s="35"/>
      <c r="K1483" s="36">
        <v>-0.5</v>
      </c>
      <c r="L1483" s="36"/>
      <c r="M1483" s="36"/>
      <c r="N1483" s="36"/>
      <c r="O1483" s="36"/>
      <c r="P1483" s="37">
        <v>21.0</v>
      </c>
      <c r="Q1483" s="36" t="s">
        <v>96</v>
      </c>
      <c r="R1483" s="36" t="s">
        <v>96</v>
      </c>
      <c r="S1483" s="36">
        <v>30.0</v>
      </c>
      <c r="T1483" s="36" t="s">
        <v>2553</v>
      </c>
      <c r="U1483" s="36" t="s">
        <v>2554</v>
      </c>
      <c r="V1483" s="36">
        <v>72.0</v>
      </c>
      <c r="W1483" s="36" t="s">
        <v>88</v>
      </c>
      <c r="X1483" s="38">
        <v>8.0</v>
      </c>
      <c r="Y1483" s="38" t="s">
        <v>2569</v>
      </c>
      <c r="Z1483" s="38"/>
      <c r="AA1483" s="38" t="s">
        <v>86</v>
      </c>
      <c r="AB1483" s="38"/>
      <c r="AC1483" s="38"/>
      <c r="AD1483" s="39" t="s">
        <v>87</v>
      </c>
      <c r="AE1483" s="53"/>
      <c r="AF1483" s="38" t="s">
        <v>2559</v>
      </c>
      <c r="AG1483" s="38"/>
      <c r="AH1483" s="38">
        <v>6.0</v>
      </c>
      <c r="AI1483" s="50"/>
      <c r="AJ1483" s="50"/>
      <c r="AK1483" s="41"/>
      <c r="AL1483" s="40"/>
      <c r="AM1483" s="49"/>
      <c r="AN1483" s="43"/>
      <c r="AO1483" s="42"/>
      <c r="AP1483" s="43"/>
      <c r="AQ1483" s="44" t="str">
        <f t="shared" si="165"/>
        <v>CRO</v>
      </c>
      <c r="AR1483" s="44" t="str">
        <f t="shared" si="144"/>
        <v/>
      </c>
      <c r="AS1483" s="44"/>
      <c r="AT1483" s="44" t="str">
        <f t="shared" si="114"/>
        <v/>
      </c>
      <c r="AU1483" s="44" t="str">
        <f t="shared" si="115"/>
        <v/>
      </c>
      <c r="AV1483" s="38"/>
      <c r="AW1483" s="38"/>
      <c r="AX1483" s="38" t="s">
        <v>2582</v>
      </c>
      <c r="AY1483" s="38"/>
      <c r="AZ1483" s="29">
        <v>30.0</v>
      </c>
      <c r="BA1483" s="29"/>
      <c r="BB1483" s="29">
        <v>1.0</v>
      </c>
      <c r="BC1483" s="29"/>
      <c r="BD1483" s="29" t="s">
        <v>88</v>
      </c>
      <c r="BE1483" s="29" t="s">
        <v>263</v>
      </c>
      <c r="BF1483" s="29" t="s">
        <v>984</v>
      </c>
      <c r="BG1483" s="29" t="s">
        <v>572</v>
      </c>
      <c r="BH1483" s="29" t="s">
        <v>88</v>
      </c>
      <c r="BI1483" s="29" t="s">
        <v>2561</v>
      </c>
      <c r="BJ1483" s="29"/>
      <c r="BK1483" s="29" t="s">
        <v>180</v>
      </c>
      <c r="BL1483" s="29" t="s">
        <v>180</v>
      </c>
      <c r="BM1483" s="45">
        <v>1.0</v>
      </c>
      <c r="BN1483" s="45"/>
      <c r="BO1483" s="46"/>
      <c r="BP1483" s="2"/>
      <c r="BQ1483" s="3"/>
    </row>
    <row r="1484" ht="15.75" customHeight="1">
      <c r="A1484" s="34">
        <v>1524.0</v>
      </c>
      <c r="B1484" s="34">
        <v>103803.0</v>
      </c>
      <c r="C1484" s="34" t="s">
        <v>76</v>
      </c>
      <c r="D1484" s="34" t="s">
        <v>2583</v>
      </c>
      <c r="E1484" s="34" t="s">
        <v>2584</v>
      </c>
      <c r="F1484" s="34">
        <v>2016.0</v>
      </c>
      <c r="G1484" s="34" t="s">
        <v>2585</v>
      </c>
      <c r="H1484" s="34" t="s">
        <v>231</v>
      </c>
      <c r="I1484" s="34" t="s">
        <v>2586</v>
      </c>
      <c r="J1484" s="35"/>
      <c r="K1484" s="36">
        <v>14.530000000000001</v>
      </c>
      <c r="L1484" s="36">
        <v>16.25</v>
      </c>
      <c r="M1484" s="36">
        <v>30.78</v>
      </c>
      <c r="N1484" s="36"/>
      <c r="O1484" s="36"/>
      <c r="P1484" s="52">
        <f t="shared" ref="P1484:P1492" si="170">K1484*100/L1484</f>
        <v>89.41538462</v>
      </c>
      <c r="Q1484" s="36" t="s">
        <v>191</v>
      </c>
      <c r="R1484" s="36" t="s">
        <v>191</v>
      </c>
      <c r="S1484" s="36">
        <v>30.0</v>
      </c>
      <c r="T1484" s="36" t="s">
        <v>2137</v>
      </c>
      <c r="U1484" s="36" t="s">
        <v>2587</v>
      </c>
      <c r="V1484" s="36">
        <v>1.0</v>
      </c>
      <c r="W1484" s="36" t="s">
        <v>88</v>
      </c>
      <c r="X1484" s="38">
        <v>1.0</v>
      </c>
      <c r="Y1484" s="53" t="s">
        <v>256</v>
      </c>
      <c r="Z1484" s="38" t="s">
        <v>257</v>
      </c>
      <c r="AA1484" s="38" t="s">
        <v>86</v>
      </c>
      <c r="AB1484" s="38">
        <v>38.856</v>
      </c>
      <c r="AC1484" s="38">
        <v>100.372</v>
      </c>
      <c r="AD1484" s="38" t="s">
        <v>198</v>
      </c>
      <c r="AE1484" s="53"/>
      <c r="AF1484" s="38" t="s">
        <v>1048</v>
      </c>
      <c r="AG1484" s="57"/>
      <c r="AH1484" s="38">
        <v>4.5</v>
      </c>
      <c r="AI1484" s="50">
        <v>38.875</v>
      </c>
      <c r="AJ1484" s="50">
        <v>100.375</v>
      </c>
      <c r="AK1484" s="41" t="s">
        <v>86</v>
      </c>
      <c r="AL1484" s="40" t="s">
        <v>86</v>
      </c>
      <c r="AM1484" s="49">
        <v>1554.0</v>
      </c>
      <c r="AN1484" s="51">
        <v>1554.0</v>
      </c>
      <c r="AO1484" s="42" t="s">
        <v>261</v>
      </c>
      <c r="AP1484" s="43" t="s">
        <v>261</v>
      </c>
      <c r="AQ1484" s="44" t="str">
        <f t="shared" si="165"/>
        <v>CRO</v>
      </c>
      <c r="AR1484" s="44">
        <f t="shared" si="144"/>
        <v>1554</v>
      </c>
      <c r="AS1484" s="44" t="str">
        <f t="shared" ref="AS1484:AS1497" si="171">LEFT(AO1484,1)</f>
        <v>B</v>
      </c>
      <c r="AT1484" s="44" t="str">
        <f t="shared" si="114"/>
        <v>BW</v>
      </c>
      <c r="AU1484" s="44" t="str">
        <f t="shared" si="115"/>
        <v>BWk</v>
      </c>
      <c r="AV1484" s="38">
        <v>3.0</v>
      </c>
      <c r="AW1484" s="38"/>
      <c r="AX1484" s="38"/>
      <c r="AY1484" s="38"/>
      <c r="AZ1484" s="29">
        <v>30.0</v>
      </c>
      <c r="BA1484" s="29"/>
      <c r="BB1484" s="29">
        <v>1.0</v>
      </c>
      <c r="BC1484" s="29" t="s">
        <v>984</v>
      </c>
      <c r="BD1484" s="29" t="s">
        <v>88</v>
      </c>
      <c r="BE1484" s="29"/>
      <c r="BF1484" s="29" t="s">
        <v>984</v>
      </c>
      <c r="BG1484" s="29" t="s">
        <v>572</v>
      </c>
      <c r="BH1484" s="29" t="s">
        <v>88</v>
      </c>
      <c r="BI1484" s="29" t="s">
        <v>2588</v>
      </c>
      <c r="BJ1484" s="29"/>
      <c r="BK1484" s="29" t="s">
        <v>2589</v>
      </c>
      <c r="BL1484" s="29" t="s">
        <v>2589</v>
      </c>
      <c r="BM1484" s="45">
        <v>1.0</v>
      </c>
      <c r="BN1484" s="45"/>
      <c r="BO1484" s="46" t="s">
        <v>2590</v>
      </c>
      <c r="BP1484" s="2"/>
      <c r="BQ1484" s="3"/>
    </row>
    <row r="1485" ht="15.75" customHeight="1">
      <c r="A1485" s="34">
        <v>1525.0</v>
      </c>
      <c r="B1485" s="34">
        <v>103803.0</v>
      </c>
      <c r="C1485" s="34" t="s">
        <v>76</v>
      </c>
      <c r="D1485" s="34" t="s">
        <v>2583</v>
      </c>
      <c r="E1485" s="34" t="s">
        <v>2584</v>
      </c>
      <c r="F1485" s="34">
        <v>2016.0</v>
      </c>
      <c r="G1485" s="34" t="s">
        <v>2585</v>
      </c>
      <c r="H1485" s="34" t="s">
        <v>231</v>
      </c>
      <c r="I1485" s="34" t="s">
        <v>2586</v>
      </c>
      <c r="J1485" s="35"/>
      <c r="K1485" s="36">
        <v>46.39</v>
      </c>
      <c r="L1485" s="36">
        <v>67.54</v>
      </c>
      <c r="M1485" s="36">
        <v>113.93</v>
      </c>
      <c r="N1485" s="36"/>
      <c r="O1485" s="36"/>
      <c r="P1485" s="52">
        <f t="shared" si="170"/>
        <v>68.68522357</v>
      </c>
      <c r="Q1485" s="36" t="s">
        <v>191</v>
      </c>
      <c r="R1485" s="36" t="s">
        <v>191</v>
      </c>
      <c r="S1485" s="36">
        <v>30.0</v>
      </c>
      <c r="T1485" s="36" t="s">
        <v>2591</v>
      </c>
      <c r="U1485" s="36" t="s">
        <v>2592</v>
      </c>
      <c r="V1485" s="36">
        <v>1.0</v>
      </c>
      <c r="W1485" s="36" t="s">
        <v>88</v>
      </c>
      <c r="X1485" s="38">
        <v>1.0</v>
      </c>
      <c r="Y1485" s="53" t="s">
        <v>256</v>
      </c>
      <c r="Z1485" s="38" t="s">
        <v>257</v>
      </c>
      <c r="AA1485" s="38" t="s">
        <v>86</v>
      </c>
      <c r="AB1485" s="38">
        <v>38.856</v>
      </c>
      <c r="AC1485" s="38">
        <v>100.372</v>
      </c>
      <c r="AD1485" s="38" t="s">
        <v>198</v>
      </c>
      <c r="AE1485" s="53"/>
      <c r="AF1485" s="38" t="s">
        <v>1048</v>
      </c>
      <c r="AG1485" s="57"/>
      <c r="AH1485" s="38">
        <v>4.5</v>
      </c>
      <c r="AI1485" s="50">
        <v>38.875</v>
      </c>
      <c r="AJ1485" s="50">
        <v>100.375</v>
      </c>
      <c r="AK1485" s="41" t="s">
        <v>86</v>
      </c>
      <c r="AL1485" s="40" t="s">
        <v>86</v>
      </c>
      <c r="AM1485" s="49">
        <v>1554.0</v>
      </c>
      <c r="AN1485" s="51">
        <v>1554.0</v>
      </c>
      <c r="AO1485" s="42" t="s">
        <v>261</v>
      </c>
      <c r="AP1485" s="43" t="s">
        <v>261</v>
      </c>
      <c r="AQ1485" s="44" t="str">
        <f t="shared" si="165"/>
        <v>CRO</v>
      </c>
      <c r="AR1485" s="44">
        <f t="shared" si="144"/>
        <v>1554</v>
      </c>
      <c r="AS1485" s="44" t="str">
        <f t="shared" si="171"/>
        <v>B</v>
      </c>
      <c r="AT1485" s="44" t="str">
        <f t="shared" si="114"/>
        <v>BW</v>
      </c>
      <c r="AU1485" s="44" t="str">
        <f t="shared" si="115"/>
        <v>BWk</v>
      </c>
      <c r="AV1485" s="38">
        <v>3.0</v>
      </c>
      <c r="AW1485" s="38"/>
      <c r="AX1485" s="38"/>
      <c r="AY1485" s="38"/>
      <c r="AZ1485" s="29">
        <v>30.0</v>
      </c>
      <c r="BA1485" s="29"/>
      <c r="BB1485" s="29">
        <v>1.0</v>
      </c>
      <c r="BC1485" s="29" t="s">
        <v>984</v>
      </c>
      <c r="BD1485" s="29" t="s">
        <v>88</v>
      </c>
      <c r="BE1485" s="29"/>
      <c r="BF1485" s="29" t="s">
        <v>984</v>
      </c>
      <c r="BG1485" s="29" t="s">
        <v>572</v>
      </c>
      <c r="BH1485" s="29" t="s">
        <v>88</v>
      </c>
      <c r="BI1485" s="29" t="s">
        <v>2588</v>
      </c>
      <c r="BJ1485" s="29"/>
      <c r="BK1485" s="29" t="s">
        <v>2589</v>
      </c>
      <c r="BL1485" s="29" t="s">
        <v>2589</v>
      </c>
      <c r="BM1485" s="45">
        <v>1.0</v>
      </c>
      <c r="BN1485" s="45"/>
      <c r="BO1485" s="46" t="s">
        <v>2590</v>
      </c>
      <c r="BP1485" s="2"/>
      <c r="BQ1485" s="3"/>
    </row>
    <row r="1486" ht="15.75" customHeight="1">
      <c r="A1486" s="34">
        <v>1526.0</v>
      </c>
      <c r="B1486" s="34">
        <v>103803.0</v>
      </c>
      <c r="C1486" s="34" t="s">
        <v>76</v>
      </c>
      <c r="D1486" s="34" t="s">
        <v>2583</v>
      </c>
      <c r="E1486" s="34" t="s">
        <v>2584</v>
      </c>
      <c r="F1486" s="34">
        <v>2016.0</v>
      </c>
      <c r="G1486" s="34" t="s">
        <v>2585</v>
      </c>
      <c r="H1486" s="34" t="s">
        <v>231</v>
      </c>
      <c r="I1486" s="34" t="s">
        <v>2586</v>
      </c>
      <c r="J1486" s="35"/>
      <c r="K1486" s="36">
        <v>14.120000000000005</v>
      </c>
      <c r="L1486" s="36">
        <v>134.69</v>
      </c>
      <c r="M1486" s="36">
        <v>148.81</v>
      </c>
      <c r="N1486" s="36"/>
      <c r="O1486" s="36"/>
      <c r="P1486" s="52">
        <f t="shared" si="170"/>
        <v>10.4833321</v>
      </c>
      <c r="Q1486" s="36" t="s">
        <v>191</v>
      </c>
      <c r="R1486" s="36" t="s">
        <v>191</v>
      </c>
      <c r="S1486" s="36">
        <v>30.0</v>
      </c>
      <c r="T1486" s="36" t="s">
        <v>2593</v>
      </c>
      <c r="U1486" s="36" t="s">
        <v>2594</v>
      </c>
      <c r="V1486" s="36">
        <v>1.0</v>
      </c>
      <c r="W1486" s="36" t="s">
        <v>88</v>
      </c>
      <c r="X1486" s="38">
        <v>1.0</v>
      </c>
      <c r="Y1486" s="53" t="s">
        <v>256</v>
      </c>
      <c r="Z1486" s="38" t="s">
        <v>257</v>
      </c>
      <c r="AA1486" s="38" t="s">
        <v>86</v>
      </c>
      <c r="AB1486" s="38">
        <v>38.856</v>
      </c>
      <c r="AC1486" s="38">
        <v>100.372</v>
      </c>
      <c r="AD1486" s="38" t="s">
        <v>198</v>
      </c>
      <c r="AE1486" s="53"/>
      <c r="AF1486" s="38" t="s">
        <v>1048</v>
      </c>
      <c r="AG1486" s="57"/>
      <c r="AH1486" s="38">
        <v>4.5</v>
      </c>
      <c r="AI1486" s="50">
        <v>38.875</v>
      </c>
      <c r="AJ1486" s="50">
        <v>100.375</v>
      </c>
      <c r="AK1486" s="41" t="s">
        <v>86</v>
      </c>
      <c r="AL1486" s="40" t="s">
        <v>86</v>
      </c>
      <c r="AM1486" s="49">
        <v>1554.0</v>
      </c>
      <c r="AN1486" s="51">
        <v>1554.0</v>
      </c>
      <c r="AO1486" s="42" t="s">
        <v>261</v>
      </c>
      <c r="AP1486" s="43" t="s">
        <v>261</v>
      </c>
      <c r="AQ1486" s="44" t="str">
        <f t="shared" si="165"/>
        <v>CRO</v>
      </c>
      <c r="AR1486" s="44">
        <f t="shared" si="144"/>
        <v>1554</v>
      </c>
      <c r="AS1486" s="44" t="str">
        <f t="shared" si="171"/>
        <v>B</v>
      </c>
      <c r="AT1486" s="44" t="str">
        <f t="shared" si="114"/>
        <v>BW</v>
      </c>
      <c r="AU1486" s="44" t="str">
        <f t="shared" si="115"/>
        <v>BWk</v>
      </c>
      <c r="AV1486" s="38">
        <v>3.0</v>
      </c>
      <c r="AW1486" s="38"/>
      <c r="AX1486" s="38"/>
      <c r="AY1486" s="38"/>
      <c r="AZ1486" s="29">
        <v>30.0</v>
      </c>
      <c r="BA1486" s="29"/>
      <c r="BB1486" s="29">
        <v>1.0</v>
      </c>
      <c r="BC1486" s="29" t="s">
        <v>984</v>
      </c>
      <c r="BD1486" s="29" t="s">
        <v>88</v>
      </c>
      <c r="BE1486" s="29"/>
      <c r="BF1486" s="29" t="s">
        <v>984</v>
      </c>
      <c r="BG1486" s="29" t="s">
        <v>572</v>
      </c>
      <c r="BH1486" s="29" t="s">
        <v>88</v>
      </c>
      <c r="BI1486" s="29" t="s">
        <v>2588</v>
      </c>
      <c r="BJ1486" s="29"/>
      <c r="BK1486" s="29" t="s">
        <v>2589</v>
      </c>
      <c r="BL1486" s="29" t="s">
        <v>2589</v>
      </c>
      <c r="BM1486" s="45">
        <v>1.0</v>
      </c>
      <c r="BN1486" s="45"/>
      <c r="BO1486" s="46" t="s">
        <v>2590</v>
      </c>
      <c r="BP1486" s="2"/>
      <c r="BQ1486" s="3"/>
    </row>
    <row r="1487" ht="15.75" customHeight="1">
      <c r="A1487" s="34">
        <v>1527.0</v>
      </c>
      <c r="B1487" s="34">
        <v>103803.0</v>
      </c>
      <c r="C1487" s="34" t="s">
        <v>76</v>
      </c>
      <c r="D1487" s="34" t="s">
        <v>2583</v>
      </c>
      <c r="E1487" s="34" t="s">
        <v>2584</v>
      </c>
      <c r="F1487" s="34">
        <v>2016.0</v>
      </c>
      <c r="G1487" s="34" t="s">
        <v>2585</v>
      </c>
      <c r="H1487" s="34" t="s">
        <v>231</v>
      </c>
      <c r="I1487" s="34" t="s">
        <v>2586</v>
      </c>
      <c r="J1487" s="35"/>
      <c r="K1487" s="36">
        <v>17.26000000000002</v>
      </c>
      <c r="L1487" s="36">
        <v>138.95</v>
      </c>
      <c r="M1487" s="36">
        <v>156.21</v>
      </c>
      <c r="N1487" s="36"/>
      <c r="O1487" s="36"/>
      <c r="P1487" s="52">
        <f t="shared" si="170"/>
        <v>12.42173444</v>
      </c>
      <c r="Q1487" s="36" t="s">
        <v>191</v>
      </c>
      <c r="R1487" s="36" t="s">
        <v>191</v>
      </c>
      <c r="S1487" s="36">
        <v>30.0</v>
      </c>
      <c r="T1487" s="36" t="s">
        <v>2219</v>
      </c>
      <c r="U1487" s="36" t="s">
        <v>2595</v>
      </c>
      <c r="V1487" s="36">
        <v>1.0</v>
      </c>
      <c r="W1487" s="36" t="s">
        <v>88</v>
      </c>
      <c r="X1487" s="38">
        <v>1.0</v>
      </c>
      <c r="Y1487" s="53" t="s">
        <v>256</v>
      </c>
      <c r="Z1487" s="38" t="s">
        <v>257</v>
      </c>
      <c r="AA1487" s="38" t="s">
        <v>86</v>
      </c>
      <c r="AB1487" s="38">
        <v>38.856</v>
      </c>
      <c r="AC1487" s="38">
        <v>100.372</v>
      </c>
      <c r="AD1487" s="38" t="s">
        <v>198</v>
      </c>
      <c r="AE1487" s="53"/>
      <c r="AF1487" s="38" t="s">
        <v>1048</v>
      </c>
      <c r="AG1487" s="57" t="s">
        <v>201</v>
      </c>
      <c r="AH1487" s="38">
        <v>4.5</v>
      </c>
      <c r="AI1487" s="50">
        <v>38.875</v>
      </c>
      <c r="AJ1487" s="50">
        <v>100.375</v>
      </c>
      <c r="AK1487" s="41" t="s">
        <v>86</v>
      </c>
      <c r="AL1487" s="40" t="s">
        <v>86</v>
      </c>
      <c r="AM1487" s="49">
        <v>1554.0</v>
      </c>
      <c r="AN1487" s="51">
        <v>1554.0</v>
      </c>
      <c r="AO1487" s="42" t="s">
        <v>261</v>
      </c>
      <c r="AP1487" s="43" t="s">
        <v>261</v>
      </c>
      <c r="AQ1487" s="44" t="str">
        <f t="shared" si="165"/>
        <v>CRO</v>
      </c>
      <c r="AR1487" s="44">
        <f t="shared" si="144"/>
        <v>1554</v>
      </c>
      <c r="AS1487" s="44" t="str">
        <f t="shared" si="171"/>
        <v>B</v>
      </c>
      <c r="AT1487" s="44" t="str">
        <f t="shared" si="114"/>
        <v>BW</v>
      </c>
      <c r="AU1487" s="44" t="str">
        <f t="shared" si="115"/>
        <v>BWk</v>
      </c>
      <c r="AV1487" s="38">
        <v>3.0</v>
      </c>
      <c r="AW1487" s="38"/>
      <c r="AX1487" s="38"/>
      <c r="AY1487" s="38"/>
      <c r="AZ1487" s="29">
        <v>30.0</v>
      </c>
      <c r="BA1487" s="29"/>
      <c r="BB1487" s="29">
        <v>1.0</v>
      </c>
      <c r="BC1487" s="29" t="s">
        <v>984</v>
      </c>
      <c r="BD1487" s="29" t="s">
        <v>88</v>
      </c>
      <c r="BE1487" s="29"/>
      <c r="BF1487" s="29" t="s">
        <v>984</v>
      </c>
      <c r="BG1487" s="29" t="s">
        <v>572</v>
      </c>
      <c r="BH1487" s="29" t="s">
        <v>88</v>
      </c>
      <c r="BI1487" s="29" t="s">
        <v>2588</v>
      </c>
      <c r="BJ1487" s="29"/>
      <c r="BK1487" s="29" t="s">
        <v>2589</v>
      </c>
      <c r="BL1487" s="29" t="s">
        <v>2589</v>
      </c>
      <c r="BM1487" s="45">
        <v>1.0</v>
      </c>
      <c r="BN1487" s="45"/>
      <c r="BO1487" s="46" t="s">
        <v>2590</v>
      </c>
      <c r="BP1487" s="2"/>
      <c r="BQ1487" s="3"/>
    </row>
    <row r="1488" ht="15.75" customHeight="1">
      <c r="A1488" s="34">
        <v>1528.0</v>
      </c>
      <c r="B1488" s="34">
        <v>103803.0</v>
      </c>
      <c r="C1488" s="34" t="s">
        <v>76</v>
      </c>
      <c r="D1488" s="34" t="s">
        <v>2583</v>
      </c>
      <c r="E1488" s="34" t="s">
        <v>2584</v>
      </c>
      <c r="F1488" s="34">
        <v>2016.0</v>
      </c>
      <c r="G1488" s="34" t="s">
        <v>2585</v>
      </c>
      <c r="H1488" s="34" t="s">
        <v>231</v>
      </c>
      <c r="I1488" s="34" t="s">
        <v>2586</v>
      </c>
      <c r="J1488" s="35"/>
      <c r="K1488" s="36">
        <v>-0.4099999999999966</v>
      </c>
      <c r="L1488" s="36">
        <v>135.52</v>
      </c>
      <c r="M1488" s="36">
        <v>135.11</v>
      </c>
      <c r="N1488" s="36"/>
      <c r="O1488" s="36"/>
      <c r="P1488" s="52">
        <f t="shared" si="170"/>
        <v>-0.3025383707</v>
      </c>
      <c r="Q1488" s="36" t="s">
        <v>191</v>
      </c>
      <c r="R1488" s="36" t="s">
        <v>191</v>
      </c>
      <c r="S1488" s="36">
        <v>30.0</v>
      </c>
      <c r="T1488" s="36" t="s">
        <v>2596</v>
      </c>
      <c r="U1488" s="36" t="s">
        <v>2597</v>
      </c>
      <c r="V1488" s="36">
        <v>1.0</v>
      </c>
      <c r="W1488" s="36" t="s">
        <v>88</v>
      </c>
      <c r="X1488" s="38">
        <v>1.0</v>
      </c>
      <c r="Y1488" s="53" t="s">
        <v>256</v>
      </c>
      <c r="Z1488" s="38" t="s">
        <v>257</v>
      </c>
      <c r="AA1488" s="38" t="s">
        <v>86</v>
      </c>
      <c r="AB1488" s="38">
        <v>38.856</v>
      </c>
      <c r="AC1488" s="38">
        <v>100.372</v>
      </c>
      <c r="AD1488" s="38" t="s">
        <v>198</v>
      </c>
      <c r="AE1488" s="53"/>
      <c r="AF1488" s="38" t="s">
        <v>1048</v>
      </c>
      <c r="AG1488" s="57"/>
      <c r="AH1488" s="38">
        <v>4.5</v>
      </c>
      <c r="AI1488" s="50">
        <v>38.875</v>
      </c>
      <c r="AJ1488" s="50">
        <v>100.375</v>
      </c>
      <c r="AK1488" s="41" t="s">
        <v>86</v>
      </c>
      <c r="AL1488" s="40" t="s">
        <v>86</v>
      </c>
      <c r="AM1488" s="49">
        <v>1554.0</v>
      </c>
      <c r="AN1488" s="51">
        <v>1554.0</v>
      </c>
      <c r="AO1488" s="42" t="s">
        <v>261</v>
      </c>
      <c r="AP1488" s="43" t="s">
        <v>261</v>
      </c>
      <c r="AQ1488" s="44" t="str">
        <f t="shared" si="165"/>
        <v>CRO</v>
      </c>
      <c r="AR1488" s="44">
        <f t="shared" si="144"/>
        <v>1554</v>
      </c>
      <c r="AS1488" s="44" t="str">
        <f t="shared" si="171"/>
        <v>B</v>
      </c>
      <c r="AT1488" s="44" t="str">
        <f t="shared" si="114"/>
        <v>BW</v>
      </c>
      <c r="AU1488" s="44" t="str">
        <f t="shared" si="115"/>
        <v>BWk</v>
      </c>
      <c r="AV1488" s="38">
        <v>3.0</v>
      </c>
      <c r="AW1488" s="38"/>
      <c r="AX1488" s="38"/>
      <c r="AY1488" s="38"/>
      <c r="AZ1488" s="29">
        <v>30.0</v>
      </c>
      <c r="BA1488" s="29"/>
      <c r="BB1488" s="29">
        <v>1.0</v>
      </c>
      <c r="BC1488" s="29" t="s">
        <v>984</v>
      </c>
      <c r="BD1488" s="29" t="s">
        <v>88</v>
      </c>
      <c r="BE1488" s="29"/>
      <c r="BF1488" s="29" t="s">
        <v>984</v>
      </c>
      <c r="BG1488" s="29" t="s">
        <v>572</v>
      </c>
      <c r="BH1488" s="29" t="s">
        <v>88</v>
      </c>
      <c r="BI1488" s="29" t="s">
        <v>2588</v>
      </c>
      <c r="BJ1488" s="29"/>
      <c r="BK1488" s="29" t="s">
        <v>2589</v>
      </c>
      <c r="BL1488" s="29" t="s">
        <v>2589</v>
      </c>
      <c r="BM1488" s="45">
        <v>1.0</v>
      </c>
      <c r="BN1488" s="45"/>
      <c r="BO1488" s="46" t="s">
        <v>2590</v>
      </c>
      <c r="BP1488" s="2"/>
      <c r="BQ1488" s="3"/>
    </row>
    <row r="1489" ht="15.75" customHeight="1">
      <c r="A1489" s="34">
        <v>1529.0</v>
      </c>
      <c r="B1489" s="34">
        <v>103803.0</v>
      </c>
      <c r="C1489" s="34" t="s">
        <v>76</v>
      </c>
      <c r="D1489" s="34" t="s">
        <v>2583</v>
      </c>
      <c r="E1489" s="34" t="s">
        <v>2584</v>
      </c>
      <c r="F1489" s="34">
        <v>2016.0</v>
      </c>
      <c r="G1489" s="34" t="s">
        <v>2585</v>
      </c>
      <c r="H1489" s="34" t="s">
        <v>231</v>
      </c>
      <c r="I1489" s="34" t="s">
        <v>2586</v>
      </c>
      <c r="J1489" s="35"/>
      <c r="K1489" s="36">
        <v>15.549999999999997</v>
      </c>
      <c r="L1489" s="36">
        <v>96.94</v>
      </c>
      <c r="M1489" s="36">
        <v>112.49</v>
      </c>
      <c r="N1489" s="36"/>
      <c r="O1489" s="36"/>
      <c r="P1489" s="52">
        <f t="shared" si="170"/>
        <v>16.04085001</v>
      </c>
      <c r="Q1489" s="36" t="s">
        <v>191</v>
      </c>
      <c r="R1489" s="36" t="s">
        <v>191</v>
      </c>
      <c r="S1489" s="36">
        <v>30.0</v>
      </c>
      <c r="T1489" s="36" t="s">
        <v>2598</v>
      </c>
      <c r="U1489" s="36" t="s">
        <v>2599</v>
      </c>
      <c r="V1489" s="36">
        <v>1.0</v>
      </c>
      <c r="W1489" s="36" t="s">
        <v>88</v>
      </c>
      <c r="X1489" s="38">
        <v>1.0</v>
      </c>
      <c r="Y1489" s="53" t="s">
        <v>256</v>
      </c>
      <c r="Z1489" s="38" t="s">
        <v>257</v>
      </c>
      <c r="AA1489" s="38" t="s">
        <v>86</v>
      </c>
      <c r="AB1489" s="38">
        <v>38.856</v>
      </c>
      <c r="AC1489" s="38">
        <v>100.372</v>
      </c>
      <c r="AD1489" s="38" t="s">
        <v>198</v>
      </c>
      <c r="AE1489" s="53"/>
      <c r="AF1489" s="38" t="s">
        <v>1048</v>
      </c>
      <c r="AG1489" s="57"/>
      <c r="AH1489" s="38">
        <v>4.5</v>
      </c>
      <c r="AI1489" s="50">
        <v>38.875</v>
      </c>
      <c r="AJ1489" s="50">
        <v>100.375</v>
      </c>
      <c r="AK1489" s="41" t="s">
        <v>86</v>
      </c>
      <c r="AL1489" s="40" t="s">
        <v>86</v>
      </c>
      <c r="AM1489" s="49">
        <v>1554.0</v>
      </c>
      <c r="AN1489" s="51">
        <v>1554.0</v>
      </c>
      <c r="AO1489" s="42" t="s">
        <v>261</v>
      </c>
      <c r="AP1489" s="43" t="s">
        <v>261</v>
      </c>
      <c r="AQ1489" s="44" t="str">
        <f t="shared" si="165"/>
        <v>CRO</v>
      </c>
      <c r="AR1489" s="44">
        <f t="shared" si="144"/>
        <v>1554</v>
      </c>
      <c r="AS1489" s="44" t="str">
        <f t="shared" si="171"/>
        <v>B</v>
      </c>
      <c r="AT1489" s="44" t="str">
        <f t="shared" si="114"/>
        <v>BW</v>
      </c>
      <c r="AU1489" s="44" t="str">
        <f t="shared" si="115"/>
        <v>BWk</v>
      </c>
      <c r="AV1489" s="38">
        <v>3.0</v>
      </c>
      <c r="AW1489" s="38"/>
      <c r="AX1489" s="38"/>
      <c r="AY1489" s="38"/>
      <c r="AZ1489" s="29">
        <v>30.0</v>
      </c>
      <c r="BA1489" s="29"/>
      <c r="BB1489" s="29">
        <v>1.0</v>
      </c>
      <c r="BC1489" s="29" t="s">
        <v>984</v>
      </c>
      <c r="BD1489" s="29" t="s">
        <v>88</v>
      </c>
      <c r="BE1489" s="29"/>
      <c r="BF1489" s="29" t="s">
        <v>984</v>
      </c>
      <c r="BG1489" s="29" t="s">
        <v>572</v>
      </c>
      <c r="BH1489" s="29" t="s">
        <v>88</v>
      </c>
      <c r="BI1489" s="29" t="s">
        <v>2588</v>
      </c>
      <c r="BJ1489" s="29"/>
      <c r="BK1489" s="29" t="s">
        <v>2589</v>
      </c>
      <c r="BL1489" s="29" t="s">
        <v>2589</v>
      </c>
      <c r="BM1489" s="45">
        <v>1.0</v>
      </c>
      <c r="BN1489" s="45"/>
      <c r="BO1489" s="46" t="s">
        <v>2590</v>
      </c>
      <c r="BP1489" s="2"/>
      <c r="BQ1489" s="3"/>
    </row>
    <row r="1490" ht="15.75" customHeight="1">
      <c r="A1490" s="34">
        <v>1530.0</v>
      </c>
      <c r="B1490" s="34">
        <v>103803.0</v>
      </c>
      <c r="C1490" s="34" t="s">
        <v>76</v>
      </c>
      <c r="D1490" s="34" t="s">
        <v>2583</v>
      </c>
      <c r="E1490" s="34" t="s">
        <v>2584</v>
      </c>
      <c r="F1490" s="34">
        <v>2016.0</v>
      </c>
      <c r="G1490" s="34" t="s">
        <v>2585</v>
      </c>
      <c r="H1490" s="34" t="s">
        <v>231</v>
      </c>
      <c r="I1490" s="34" t="s">
        <v>2586</v>
      </c>
      <c r="J1490" s="35"/>
      <c r="K1490" s="36">
        <v>17.90666666666668</v>
      </c>
      <c r="L1490" s="36">
        <v>98.315</v>
      </c>
      <c r="M1490" s="36">
        <f>average(M1484:M1489)</f>
        <v>116.2216667</v>
      </c>
      <c r="N1490" s="36"/>
      <c r="O1490" s="36"/>
      <c r="P1490" s="52">
        <f t="shared" si="170"/>
        <v>18.21356524</v>
      </c>
      <c r="Q1490" s="36" t="s">
        <v>191</v>
      </c>
      <c r="R1490" s="36" t="s">
        <v>191</v>
      </c>
      <c r="S1490" s="36">
        <v>30.0</v>
      </c>
      <c r="T1490" s="36" t="s">
        <v>2137</v>
      </c>
      <c r="U1490" s="36" t="s">
        <v>2599</v>
      </c>
      <c r="V1490" s="36">
        <v>6.0</v>
      </c>
      <c r="W1490" s="36" t="s">
        <v>88</v>
      </c>
      <c r="X1490" s="38">
        <v>1.0</v>
      </c>
      <c r="Y1490" s="53" t="s">
        <v>256</v>
      </c>
      <c r="Z1490" s="38" t="s">
        <v>257</v>
      </c>
      <c r="AA1490" s="38" t="s">
        <v>86</v>
      </c>
      <c r="AB1490" s="38">
        <v>38.856</v>
      </c>
      <c r="AC1490" s="38">
        <v>100.372</v>
      </c>
      <c r="AD1490" s="38" t="s">
        <v>198</v>
      </c>
      <c r="AE1490" s="53"/>
      <c r="AF1490" s="38" t="s">
        <v>1048</v>
      </c>
      <c r="AG1490" s="57"/>
      <c r="AH1490" s="38">
        <v>4.5</v>
      </c>
      <c r="AI1490" s="50">
        <v>38.875</v>
      </c>
      <c r="AJ1490" s="50">
        <v>100.375</v>
      </c>
      <c r="AK1490" s="41" t="s">
        <v>86</v>
      </c>
      <c r="AL1490" s="40" t="s">
        <v>86</v>
      </c>
      <c r="AM1490" s="49">
        <v>1554.0</v>
      </c>
      <c r="AN1490" s="51">
        <v>1554.0</v>
      </c>
      <c r="AO1490" s="42" t="s">
        <v>261</v>
      </c>
      <c r="AP1490" s="43" t="s">
        <v>261</v>
      </c>
      <c r="AQ1490" s="44" t="str">
        <f t="shared" si="165"/>
        <v>CRO</v>
      </c>
      <c r="AR1490" s="44">
        <f t="shared" si="144"/>
        <v>1554</v>
      </c>
      <c r="AS1490" s="44" t="str">
        <f t="shared" si="171"/>
        <v>B</v>
      </c>
      <c r="AT1490" s="44" t="str">
        <f t="shared" si="114"/>
        <v>BW</v>
      </c>
      <c r="AU1490" s="44" t="str">
        <f t="shared" si="115"/>
        <v>BWk</v>
      </c>
      <c r="AV1490" s="38">
        <v>3.0</v>
      </c>
      <c r="AW1490" s="38"/>
      <c r="AX1490" s="38"/>
      <c r="AY1490" s="38"/>
      <c r="AZ1490" s="29">
        <v>30.0</v>
      </c>
      <c r="BA1490" s="29"/>
      <c r="BB1490" s="29">
        <v>1.0</v>
      </c>
      <c r="BC1490" s="29" t="s">
        <v>984</v>
      </c>
      <c r="BD1490" s="29" t="s">
        <v>88</v>
      </c>
      <c r="BE1490" s="29"/>
      <c r="BF1490" s="29" t="s">
        <v>984</v>
      </c>
      <c r="BG1490" s="29" t="s">
        <v>572</v>
      </c>
      <c r="BH1490" s="29" t="s">
        <v>88</v>
      </c>
      <c r="BI1490" s="29" t="s">
        <v>2588</v>
      </c>
      <c r="BJ1490" s="29"/>
      <c r="BK1490" s="29" t="s">
        <v>2589</v>
      </c>
      <c r="BL1490" s="29" t="s">
        <v>2589</v>
      </c>
      <c r="BM1490" s="45">
        <v>1.0</v>
      </c>
      <c r="BN1490" s="45"/>
      <c r="BO1490" s="46" t="s">
        <v>2590</v>
      </c>
      <c r="BP1490" s="2"/>
      <c r="BQ1490" s="3"/>
    </row>
    <row r="1491" ht="15.75" customHeight="1">
      <c r="A1491" s="34">
        <v>1531.0</v>
      </c>
      <c r="B1491" s="34">
        <v>103803.0</v>
      </c>
      <c r="C1491" s="34" t="s">
        <v>76</v>
      </c>
      <c r="D1491" s="34" t="s">
        <v>2583</v>
      </c>
      <c r="E1491" s="34" t="s">
        <v>2584</v>
      </c>
      <c r="F1491" s="34">
        <v>2016.0</v>
      </c>
      <c r="G1491" s="34" t="s">
        <v>2585</v>
      </c>
      <c r="H1491" s="34" t="s">
        <v>231</v>
      </c>
      <c r="I1491" s="34" t="s">
        <v>2586</v>
      </c>
      <c r="J1491" s="35"/>
      <c r="K1491" s="36">
        <v>36.15</v>
      </c>
      <c r="L1491" s="36">
        <v>38.02</v>
      </c>
      <c r="M1491" s="36">
        <v>74.17</v>
      </c>
      <c r="N1491" s="36"/>
      <c r="O1491" s="36"/>
      <c r="P1491" s="52">
        <f t="shared" si="170"/>
        <v>95.08153603</v>
      </c>
      <c r="Q1491" s="36" t="s">
        <v>191</v>
      </c>
      <c r="R1491" s="36" t="s">
        <v>191</v>
      </c>
      <c r="S1491" s="36">
        <v>30.0</v>
      </c>
      <c r="T1491" s="36" t="s">
        <v>2137</v>
      </c>
      <c r="U1491" s="36" t="s">
        <v>2587</v>
      </c>
      <c r="V1491" s="36">
        <v>1.0</v>
      </c>
      <c r="W1491" s="36" t="s">
        <v>88</v>
      </c>
      <c r="X1491" s="38">
        <v>1.0</v>
      </c>
      <c r="Y1491" s="38" t="s">
        <v>654</v>
      </c>
      <c r="Z1491" s="38" t="s">
        <v>654</v>
      </c>
      <c r="AA1491" s="38" t="s">
        <v>214</v>
      </c>
      <c r="AB1491" s="38">
        <v>38.975</v>
      </c>
      <c r="AC1491" s="38">
        <v>100.446</v>
      </c>
      <c r="AD1491" s="38" t="s">
        <v>198</v>
      </c>
      <c r="AE1491" s="38">
        <v>1460.0</v>
      </c>
      <c r="AF1491" s="38" t="s">
        <v>2076</v>
      </c>
      <c r="AG1491" s="38"/>
      <c r="AH1491" s="38">
        <v>5.2</v>
      </c>
      <c r="AI1491" s="50">
        <v>38.975</v>
      </c>
      <c r="AJ1491" s="50">
        <v>100.446</v>
      </c>
      <c r="AK1491" s="41" t="s">
        <v>86</v>
      </c>
      <c r="AL1491" s="40" t="s">
        <v>86</v>
      </c>
      <c r="AM1491" s="49">
        <v>1459.0</v>
      </c>
      <c r="AN1491" s="51">
        <v>1459.0</v>
      </c>
      <c r="AO1491" s="42" t="s">
        <v>261</v>
      </c>
      <c r="AP1491" s="43" t="s">
        <v>261</v>
      </c>
      <c r="AQ1491" s="44" t="str">
        <f t="shared" si="165"/>
        <v>WET</v>
      </c>
      <c r="AR1491" s="44">
        <f t="shared" si="144"/>
        <v>1459</v>
      </c>
      <c r="AS1491" s="44" t="str">
        <f t="shared" si="171"/>
        <v>B</v>
      </c>
      <c r="AT1491" s="44" t="str">
        <f t="shared" si="114"/>
        <v>BW</v>
      </c>
      <c r="AU1491" s="44" t="str">
        <f t="shared" si="115"/>
        <v>BWk</v>
      </c>
      <c r="AV1491" s="38">
        <v>3.0</v>
      </c>
      <c r="AW1491" s="38"/>
      <c r="AX1491" s="38"/>
      <c r="AY1491" s="38"/>
      <c r="AZ1491" s="29">
        <v>30.0</v>
      </c>
      <c r="BA1491" s="29"/>
      <c r="BB1491" s="29">
        <v>1.0</v>
      </c>
      <c r="BC1491" s="29" t="s">
        <v>984</v>
      </c>
      <c r="BD1491" s="29" t="s">
        <v>88</v>
      </c>
      <c r="BE1491" s="29"/>
      <c r="BF1491" s="29" t="s">
        <v>984</v>
      </c>
      <c r="BG1491" s="29" t="s">
        <v>572</v>
      </c>
      <c r="BH1491" s="29" t="s">
        <v>88</v>
      </c>
      <c r="BI1491" s="29" t="s">
        <v>2588</v>
      </c>
      <c r="BJ1491" s="29"/>
      <c r="BK1491" s="29" t="s">
        <v>2589</v>
      </c>
      <c r="BL1491" s="29" t="s">
        <v>2589</v>
      </c>
      <c r="BM1491" s="45">
        <v>1.0</v>
      </c>
      <c r="BN1491" s="45"/>
      <c r="BO1491" s="46" t="s">
        <v>2590</v>
      </c>
      <c r="BP1491" s="2"/>
      <c r="BQ1491" s="3"/>
    </row>
    <row r="1492" ht="15.75" customHeight="1">
      <c r="A1492" s="34">
        <v>1532.0</v>
      </c>
      <c r="B1492" s="34">
        <v>103803.0</v>
      </c>
      <c r="C1492" s="34" t="s">
        <v>76</v>
      </c>
      <c r="D1492" s="34" t="s">
        <v>2583</v>
      </c>
      <c r="E1492" s="34" t="s">
        <v>2584</v>
      </c>
      <c r="F1492" s="34">
        <v>2016.0</v>
      </c>
      <c r="G1492" s="34" t="s">
        <v>2585</v>
      </c>
      <c r="H1492" s="34" t="s">
        <v>231</v>
      </c>
      <c r="I1492" s="34" t="s">
        <v>2586</v>
      </c>
      <c r="J1492" s="35"/>
      <c r="K1492" s="36">
        <v>60.36999999999999</v>
      </c>
      <c r="L1492" s="36">
        <v>111.36</v>
      </c>
      <c r="M1492" s="36">
        <v>171.73</v>
      </c>
      <c r="N1492" s="36"/>
      <c r="O1492" s="36"/>
      <c r="P1492" s="52">
        <f t="shared" si="170"/>
        <v>54.21156609</v>
      </c>
      <c r="Q1492" s="36" t="s">
        <v>191</v>
      </c>
      <c r="R1492" s="36" t="s">
        <v>191</v>
      </c>
      <c r="S1492" s="36">
        <v>30.0</v>
      </c>
      <c r="T1492" s="36" t="s">
        <v>2591</v>
      </c>
      <c r="U1492" s="36" t="s">
        <v>2592</v>
      </c>
      <c r="V1492" s="36">
        <v>1.0</v>
      </c>
      <c r="W1492" s="36" t="s">
        <v>88</v>
      </c>
      <c r="X1492" s="38">
        <v>1.0</v>
      </c>
      <c r="Y1492" s="38" t="s">
        <v>654</v>
      </c>
      <c r="Z1492" s="38" t="s">
        <v>654</v>
      </c>
      <c r="AA1492" s="38" t="s">
        <v>214</v>
      </c>
      <c r="AB1492" s="38">
        <v>38.975</v>
      </c>
      <c r="AC1492" s="38">
        <v>100.446</v>
      </c>
      <c r="AD1492" s="38" t="s">
        <v>198</v>
      </c>
      <c r="AE1492" s="38">
        <v>1460.0</v>
      </c>
      <c r="AF1492" s="38" t="s">
        <v>2076</v>
      </c>
      <c r="AG1492" s="38"/>
      <c r="AH1492" s="38">
        <v>5.2</v>
      </c>
      <c r="AI1492" s="50">
        <v>38.975</v>
      </c>
      <c r="AJ1492" s="50">
        <v>100.446</v>
      </c>
      <c r="AK1492" s="41" t="s">
        <v>86</v>
      </c>
      <c r="AL1492" s="40" t="s">
        <v>86</v>
      </c>
      <c r="AM1492" s="49">
        <v>1459.0</v>
      </c>
      <c r="AN1492" s="51">
        <v>1459.0</v>
      </c>
      <c r="AO1492" s="42" t="s">
        <v>261</v>
      </c>
      <c r="AP1492" s="43" t="s">
        <v>261</v>
      </c>
      <c r="AQ1492" s="44" t="str">
        <f t="shared" si="165"/>
        <v>WET</v>
      </c>
      <c r="AR1492" s="44">
        <f t="shared" si="144"/>
        <v>1459</v>
      </c>
      <c r="AS1492" s="44" t="str">
        <f t="shared" si="171"/>
        <v>B</v>
      </c>
      <c r="AT1492" s="44" t="str">
        <f t="shared" si="114"/>
        <v>BW</v>
      </c>
      <c r="AU1492" s="44" t="str">
        <f t="shared" si="115"/>
        <v>BWk</v>
      </c>
      <c r="AV1492" s="38">
        <v>3.0</v>
      </c>
      <c r="AW1492" s="38"/>
      <c r="AX1492" s="38"/>
      <c r="AY1492" s="38"/>
      <c r="AZ1492" s="29">
        <v>30.0</v>
      </c>
      <c r="BA1492" s="29"/>
      <c r="BB1492" s="29">
        <v>1.0</v>
      </c>
      <c r="BC1492" s="29" t="s">
        <v>984</v>
      </c>
      <c r="BD1492" s="29" t="s">
        <v>88</v>
      </c>
      <c r="BE1492" s="29"/>
      <c r="BF1492" s="29" t="s">
        <v>984</v>
      </c>
      <c r="BG1492" s="29" t="s">
        <v>572</v>
      </c>
      <c r="BH1492" s="29" t="s">
        <v>88</v>
      </c>
      <c r="BI1492" s="29" t="s">
        <v>2588</v>
      </c>
      <c r="BJ1492" s="29"/>
      <c r="BK1492" s="29" t="s">
        <v>2589</v>
      </c>
      <c r="BL1492" s="29" t="s">
        <v>2589</v>
      </c>
      <c r="BM1492" s="45">
        <v>1.0</v>
      </c>
      <c r="BN1492" s="45"/>
      <c r="BO1492" s="46" t="s">
        <v>2590</v>
      </c>
      <c r="BP1492" s="2"/>
      <c r="BQ1492" s="3"/>
    </row>
    <row r="1493" ht="15.75" customHeight="1">
      <c r="A1493" s="34">
        <v>1533.0</v>
      </c>
      <c r="B1493" s="34">
        <v>103803.0</v>
      </c>
      <c r="C1493" s="34" t="s">
        <v>76</v>
      </c>
      <c r="D1493" s="34" t="s">
        <v>2583</v>
      </c>
      <c r="E1493" s="34" t="s">
        <v>2584</v>
      </c>
      <c r="F1493" s="34">
        <v>2016.0</v>
      </c>
      <c r="G1493" s="34" t="s">
        <v>2585</v>
      </c>
      <c r="H1493" s="34" t="s">
        <v>231</v>
      </c>
      <c r="I1493" s="34" t="s">
        <v>2586</v>
      </c>
      <c r="J1493" s="35"/>
      <c r="K1493" s="36">
        <v>-43.599999999999994</v>
      </c>
      <c r="L1493" s="36">
        <v>208.0</v>
      </c>
      <c r="M1493" s="36">
        <v>164.4</v>
      </c>
      <c r="N1493" s="36"/>
      <c r="O1493" s="36"/>
      <c r="P1493" s="52">
        <f t="shared" ref="P1493:P1549" si="172">K1493/L1493*100</f>
        <v>-20.96153846</v>
      </c>
      <c r="Q1493" s="36" t="s">
        <v>191</v>
      </c>
      <c r="R1493" s="36" t="s">
        <v>191</v>
      </c>
      <c r="S1493" s="36">
        <v>30.0</v>
      </c>
      <c r="T1493" s="36" t="s">
        <v>2593</v>
      </c>
      <c r="U1493" s="36" t="s">
        <v>2594</v>
      </c>
      <c r="V1493" s="36">
        <v>1.0</v>
      </c>
      <c r="W1493" s="36" t="s">
        <v>88</v>
      </c>
      <c r="X1493" s="38">
        <v>1.0</v>
      </c>
      <c r="Y1493" s="38" t="s">
        <v>654</v>
      </c>
      <c r="Z1493" s="38" t="s">
        <v>654</v>
      </c>
      <c r="AA1493" s="38" t="s">
        <v>214</v>
      </c>
      <c r="AB1493" s="38">
        <v>38.975</v>
      </c>
      <c r="AC1493" s="38">
        <v>100.446</v>
      </c>
      <c r="AD1493" s="38" t="s">
        <v>198</v>
      </c>
      <c r="AE1493" s="38">
        <v>1460.0</v>
      </c>
      <c r="AF1493" s="38" t="s">
        <v>2076</v>
      </c>
      <c r="AG1493" s="38"/>
      <c r="AH1493" s="38">
        <v>5.2</v>
      </c>
      <c r="AI1493" s="50">
        <v>38.975</v>
      </c>
      <c r="AJ1493" s="50">
        <v>100.446</v>
      </c>
      <c r="AK1493" s="41" t="s">
        <v>86</v>
      </c>
      <c r="AL1493" s="40" t="s">
        <v>86</v>
      </c>
      <c r="AM1493" s="49">
        <v>1459.0</v>
      </c>
      <c r="AN1493" s="51">
        <v>1459.0</v>
      </c>
      <c r="AO1493" s="42" t="s">
        <v>261</v>
      </c>
      <c r="AP1493" s="43" t="s">
        <v>261</v>
      </c>
      <c r="AQ1493" s="44" t="str">
        <f t="shared" si="165"/>
        <v>WET</v>
      </c>
      <c r="AR1493" s="44">
        <f t="shared" si="144"/>
        <v>1459</v>
      </c>
      <c r="AS1493" s="44" t="str">
        <f t="shared" si="171"/>
        <v>B</v>
      </c>
      <c r="AT1493" s="44" t="str">
        <f t="shared" si="114"/>
        <v>BW</v>
      </c>
      <c r="AU1493" s="44" t="str">
        <f t="shared" si="115"/>
        <v>BWk</v>
      </c>
      <c r="AV1493" s="38">
        <v>3.0</v>
      </c>
      <c r="AW1493" s="38"/>
      <c r="AX1493" s="38"/>
      <c r="AY1493" s="38"/>
      <c r="AZ1493" s="29">
        <v>30.0</v>
      </c>
      <c r="BA1493" s="29"/>
      <c r="BB1493" s="29">
        <v>1.0</v>
      </c>
      <c r="BC1493" s="29" t="s">
        <v>984</v>
      </c>
      <c r="BD1493" s="29" t="s">
        <v>88</v>
      </c>
      <c r="BE1493" s="29"/>
      <c r="BF1493" s="29" t="s">
        <v>984</v>
      </c>
      <c r="BG1493" s="29" t="s">
        <v>572</v>
      </c>
      <c r="BH1493" s="29" t="s">
        <v>88</v>
      </c>
      <c r="BI1493" s="29" t="s">
        <v>2588</v>
      </c>
      <c r="BJ1493" s="29"/>
      <c r="BK1493" s="29" t="s">
        <v>2589</v>
      </c>
      <c r="BL1493" s="29" t="s">
        <v>2589</v>
      </c>
      <c r="BM1493" s="45">
        <v>1.0</v>
      </c>
      <c r="BN1493" s="45"/>
      <c r="BO1493" s="46" t="s">
        <v>2590</v>
      </c>
      <c r="BP1493" s="2"/>
      <c r="BQ1493" s="3"/>
    </row>
    <row r="1494" ht="15.75" customHeight="1">
      <c r="A1494" s="34">
        <v>1534.0</v>
      </c>
      <c r="B1494" s="34">
        <v>103803.0</v>
      </c>
      <c r="C1494" s="34" t="s">
        <v>76</v>
      </c>
      <c r="D1494" s="34" t="s">
        <v>2583</v>
      </c>
      <c r="E1494" s="34" t="s">
        <v>2584</v>
      </c>
      <c r="F1494" s="34">
        <v>2016.0</v>
      </c>
      <c r="G1494" s="34" t="s">
        <v>2585</v>
      </c>
      <c r="H1494" s="34" t="s">
        <v>231</v>
      </c>
      <c r="I1494" s="34" t="s">
        <v>2586</v>
      </c>
      <c r="J1494" s="35"/>
      <c r="K1494" s="36">
        <v>-14.549999999999983</v>
      </c>
      <c r="L1494" s="36">
        <v>190.67</v>
      </c>
      <c r="M1494" s="36">
        <v>176.12</v>
      </c>
      <c r="N1494" s="36"/>
      <c r="O1494" s="36"/>
      <c r="P1494" s="52">
        <f t="shared" si="172"/>
        <v>-7.630985472</v>
      </c>
      <c r="Q1494" s="36" t="s">
        <v>191</v>
      </c>
      <c r="R1494" s="36" t="s">
        <v>191</v>
      </c>
      <c r="S1494" s="36">
        <v>30.0</v>
      </c>
      <c r="T1494" s="36" t="s">
        <v>2219</v>
      </c>
      <c r="U1494" s="36" t="s">
        <v>2595</v>
      </c>
      <c r="V1494" s="36">
        <v>1.0</v>
      </c>
      <c r="W1494" s="36" t="s">
        <v>88</v>
      </c>
      <c r="X1494" s="38">
        <v>1.0</v>
      </c>
      <c r="Y1494" s="38" t="s">
        <v>654</v>
      </c>
      <c r="Z1494" s="38" t="s">
        <v>654</v>
      </c>
      <c r="AA1494" s="38" t="s">
        <v>214</v>
      </c>
      <c r="AB1494" s="38">
        <v>38.975</v>
      </c>
      <c r="AC1494" s="38">
        <v>100.446</v>
      </c>
      <c r="AD1494" s="38" t="s">
        <v>198</v>
      </c>
      <c r="AE1494" s="38">
        <v>1460.0</v>
      </c>
      <c r="AF1494" s="38" t="s">
        <v>2076</v>
      </c>
      <c r="AG1494" s="38"/>
      <c r="AH1494" s="38">
        <v>5.2</v>
      </c>
      <c r="AI1494" s="50">
        <v>38.975</v>
      </c>
      <c r="AJ1494" s="50">
        <v>100.446</v>
      </c>
      <c r="AK1494" s="41" t="s">
        <v>86</v>
      </c>
      <c r="AL1494" s="40" t="s">
        <v>86</v>
      </c>
      <c r="AM1494" s="49">
        <v>1459.0</v>
      </c>
      <c r="AN1494" s="51">
        <v>1459.0</v>
      </c>
      <c r="AO1494" s="42" t="s">
        <v>261</v>
      </c>
      <c r="AP1494" s="43" t="s">
        <v>261</v>
      </c>
      <c r="AQ1494" s="44" t="str">
        <f t="shared" si="165"/>
        <v>WET</v>
      </c>
      <c r="AR1494" s="44">
        <f t="shared" si="144"/>
        <v>1459</v>
      </c>
      <c r="AS1494" s="44" t="str">
        <f t="shared" si="171"/>
        <v>B</v>
      </c>
      <c r="AT1494" s="44" t="str">
        <f t="shared" si="114"/>
        <v>BW</v>
      </c>
      <c r="AU1494" s="44" t="str">
        <f t="shared" si="115"/>
        <v>BWk</v>
      </c>
      <c r="AV1494" s="38">
        <v>3.0</v>
      </c>
      <c r="AW1494" s="38"/>
      <c r="AX1494" s="38"/>
      <c r="AY1494" s="38"/>
      <c r="AZ1494" s="29">
        <v>30.0</v>
      </c>
      <c r="BA1494" s="29"/>
      <c r="BB1494" s="29">
        <v>1.0</v>
      </c>
      <c r="BC1494" s="29" t="s">
        <v>984</v>
      </c>
      <c r="BD1494" s="29" t="s">
        <v>88</v>
      </c>
      <c r="BE1494" s="29"/>
      <c r="BF1494" s="29" t="s">
        <v>984</v>
      </c>
      <c r="BG1494" s="29" t="s">
        <v>572</v>
      </c>
      <c r="BH1494" s="29" t="s">
        <v>88</v>
      </c>
      <c r="BI1494" s="29" t="s">
        <v>2588</v>
      </c>
      <c r="BJ1494" s="29"/>
      <c r="BK1494" s="29" t="s">
        <v>2589</v>
      </c>
      <c r="BL1494" s="29" t="s">
        <v>2589</v>
      </c>
      <c r="BM1494" s="45">
        <v>1.0</v>
      </c>
      <c r="BN1494" s="45"/>
      <c r="BO1494" s="46" t="s">
        <v>2590</v>
      </c>
      <c r="BP1494" s="2"/>
      <c r="BQ1494" s="3"/>
    </row>
    <row r="1495" ht="15.75" customHeight="1">
      <c r="A1495" s="34">
        <v>1535.0</v>
      </c>
      <c r="B1495" s="34">
        <v>103803.0</v>
      </c>
      <c r="C1495" s="34" t="s">
        <v>76</v>
      </c>
      <c r="D1495" s="34" t="s">
        <v>2583</v>
      </c>
      <c r="E1495" s="34" t="s">
        <v>2584</v>
      </c>
      <c r="F1495" s="34">
        <v>2016.0</v>
      </c>
      <c r="G1495" s="34" t="s">
        <v>2585</v>
      </c>
      <c r="H1495" s="34" t="s">
        <v>231</v>
      </c>
      <c r="I1495" s="34" t="s">
        <v>2586</v>
      </c>
      <c r="J1495" s="35"/>
      <c r="K1495" s="36">
        <v>-16.55000000000001</v>
      </c>
      <c r="L1495" s="36">
        <v>187.12</v>
      </c>
      <c r="M1495" s="36">
        <v>170.57</v>
      </c>
      <c r="N1495" s="36"/>
      <c r="O1495" s="36"/>
      <c r="P1495" s="52">
        <f t="shared" si="172"/>
        <v>-8.844591706</v>
      </c>
      <c r="Q1495" s="36" t="s">
        <v>191</v>
      </c>
      <c r="R1495" s="36" t="s">
        <v>191</v>
      </c>
      <c r="S1495" s="36">
        <v>30.0</v>
      </c>
      <c r="T1495" s="36" t="s">
        <v>2596</v>
      </c>
      <c r="U1495" s="36" t="s">
        <v>2597</v>
      </c>
      <c r="V1495" s="36">
        <v>1.0</v>
      </c>
      <c r="W1495" s="36" t="s">
        <v>88</v>
      </c>
      <c r="X1495" s="38">
        <v>1.0</v>
      </c>
      <c r="Y1495" s="38" t="s">
        <v>654</v>
      </c>
      <c r="Z1495" s="38" t="s">
        <v>654</v>
      </c>
      <c r="AA1495" s="38" t="s">
        <v>214</v>
      </c>
      <c r="AB1495" s="38">
        <v>38.975</v>
      </c>
      <c r="AC1495" s="38">
        <v>100.446</v>
      </c>
      <c r="AD1495" s="38" t="s">
        <v>198</v>
      </c>
      <c r="AE1495" s="38">
        <v>1460.0</v>
      </c>
      <c r="AF1495" s="38" t="s">
        <v>2076</v>
      </c>
      <c r="AG1495" s="38"/>
      <c r="AH1495" s="38">
        <v>5.2</v>
      </c>
      <c r="AI1495" s="50">
        <v>38.975</v>
      </c>
      <c r="AJ1495" s="50">
        <v>100.446</v>
      </c>
      <c r="AK1495" s="41" t="s">
        <v>86</v>
      </c>
      <c r="AL1495" s="40" t="s">
        <v>86</v>
      </c>
      <c r="AM1495" s="49">
        <v>1459.0</v>
      </c>
      <c r="AN1495" s="51">
        <v>1459.0</v>
      </c>
      <c r="AO1495" s="42" t="s">
        <v>261</v>
      </c>
      <c r="AP1495" s="43" t="s">
        <v>261</v>
      </c>
      <c r="AQ1495" s="44" t="str">
        <f t="shared" si="165"/>
        <v>WET</v>
      </c>
      <c r="AR1495" s="44">
        <f t="shared" si="144"/>
        <v>1459</v>
      </c>
      <c r="AS1495" s="44" t="str">
        <f t="shared" si="171"/>
        <v>B</v>
      </c>
      <c r="AT1495" s="44" t="str">
        <f t="shared" si="114"/>
        <v>BW</v>
      </c>
      <c r="AU1495" s="44" t="str">
        <f t="shared" si="115"/>
        <v>BWk</v>
      </c>
      <c r="AV1495" s="38">
        <v>3.0</v>
      </c>
      <c r="AW1495" s="38"/>
      <c r="AX1495" s="38"/>
      <c r="AY1495" s="38"/>
      <c r="AZ1495" s="29">
        <v>30.0</v>
      </c>
      <c r="BA1495" s="29"/>
      <c r="BB1495" s="29">
        <v>1.0</v>
      </c>
      <c r="BC1495" s="29" t="s">
        <v>984</v>
      </c>
      <c r="BD1495" s="29" t="s">
        <v>88</v>
      </c>
      <c r="BE1495" s="29"/>
      <c r="BF1495" s="29" t="s">
        <v>984</v>
      </c>
      <c r="BG1495" s="29" t="s">
        <v>572</v>
      </c>
      <c r="BH1495" s="29" t="s">
        <v>88</v>
      </c>
      <c r="BI1495" s="29" t="s">
        <v>2588</v>
      </c>
      <c r="BJ1495" s="29"/>
      <c r="BK1495" s="29" t="s">
        <v>2589</v>
      </c>
      <c r="BL1495" s="29" t="s">
        <v>2589</v>
      </c>
      <c r="BM1495" s="45">
        <v>1.0</v>
      </c>
      <c r="BN1495" s="45"/>
      <c r="BO1495" s="46" t="s">
        <v>2590</v>
      </c>
      <c r="BP1495" s="2"/>
      <c r="BQ1495" s="3"/>
    </row>
    <row r="1496" ht="15.75" customHeight="1">
      <c r="A1496" s="34">
        <v>1536.0</v>
      </c>
      <c r="B1496" s="34">
        <v>103803.0</v>
      </c>
      <c r="C1496" s="34" t="s">
        <v>76</v>
      </c>
      <c r="D1496" s="34" t="s">
        <v>2583</v>
      </c>
      <c r="E1496" s="34" t="s">
        <v>2584</v>
      </c>
      <c r="F1496" s="34">
        <v>2016.0</v>
      </c>
      <c r="G1496" s="34" t="s">
        <v>2585</v>
      </c>
      <c r="H1496" s="34" t="s">
        <v>231</v>
      </c>
      <c r="I1496" s="34" t="s">
        <v>2586</v>
      </c>
      <c r="J1496" s="35"/>
      <c r="K1496" s="36">
        <v>-18.52000000000001</v>
      </c>
      <c r="L1496" s="36">
        <v>170.52</v>
      </c>
      <c r="M1496" s="36">
        <v>152.0</v>
      </c>
      <c r="N1496" s="36"/>
      <c r="O1496" s="36"/>
      <c r="P1496" s="52">
        <f t="shared" si="172"/>
        <v>-10.86089608</v>
      </c>
      <c r="Q1496" s="36" t="s">
        <v>191</v>
      </c>
      <c r="R1496" s="36" t="s">
        <v>191</v>
      </c>
      <c r="S1496" s="36">
        <v>30.0</v>
      </c>
      <c r="T1496" s="36" t="s">
        <v>2598</v>
      </c>
      <c r="U1496" s="36" t="s">
        <v>2599</v>
      </c>
      <c r="V1496" s="36">
        <v>1.0</v>
      </c>
      <c r="W1496" s="36" t="s">
        <v>88</v>
      </c>
      <c r="X1496" s="38">
        <v>1.0</v>
      </c>
      <c r="Y1496" s="38" t="s">
        <v>654</v>
      </c>
      <c r="Z1496" s="38" t="s">
        <v>654</v>
      </c>
      <c r="AA1496" s="38" t="s">
        <v>214</v>
      </c>
      <c r="AB1496" s="38">
        <v>38.975</v>
      </c>
      <c r="AC1496" s="38">
        <v>100.446</v>
      </c>
      <c r="AD1496" s="38" t="s">
        <v>198</v>
      </c>
      <c r="AE1496" s="38">
        <v>1460.0</v>
      </c>
      <c r="AF1496" s="38" t="s">
        <v>2076</v>
      </c>
      <c r="AG1496" s="38"/>
      <c r="AH1496" s="38">
        <v>5.2</v>
      </c>
      <c r="AI1496" s="50">
        <v>38.975</v>
      </c>
      <c r="AJ1496" s="50">
        <v>100.446</v>
      </c>
      <c r="AK1496" s="41" t="s">
        <v>86</v>
      </c>
      <c r="AL1496" s="40" t="s">
        <v>86</v>
      </c>
      <c r="AM1496" s="49">
        <v>1459.0</v>
      </c>
      <c r="AN1496" s="51">
        <v>1459.0</v>
      </c>
      <c r="AO1496" s="42" t="s">
        <v>261</v>
      </c>
      <c r="AP1496" s="43" t="s">
        <v>261</v>
      </c>
      <c r="AQ1496" s="44" t="str">
        <f t="shared" si="165"/>
        <v>WET</v>
      </c>
      <c r="AR1496" s="44">
        <f t="shared" si="144"/>
        <v>1459</v>
      </c>
      <c r="AS1496" s="44" t="str">
        <f t="shared" si="171"/>
        <v>B</v>
      </c>
      <c r="AT1496" s="44" t="str">
        <f t="shared" si="114"/>
        <v>BW</v>
      </c>
      <c r="AU1496" s="44" t="str">
        <f t="shared" si="115"/>
        <v>BWk</v>
      </c>
      <c r="AV1496" s="38">
        <v>3.0</v>
      </c>
      <c r="AW1496" s="38"/>
      <c r="AX1496" s="38"/>
      <c r="AY1496" s="38"/>
      <c r="AZ1496" s="29">
        <v>30.0</v>
      </c>
      <c r="BA1496" s="29"/>
      <c r="BB1496" s="29">
        <v>1.0</v>
      </c>
      <c r="BC1496" s="29" t="s">
        <v>984</v>
      </c>
      <c r="BD1496" s="29" t="s">
        <v>88</v>
      </c>
      <c r="BE1496" s="29"/>
      <c r="BF1496" s="29" t="s">
        <v>984</v>
      </c>
      <c r="BG1496" s="29" t="s">
        <v>572</v>
      </c>
      <c r="BH1496" s="29" t="s">
        <v>88</v>
      </c>
      <c r="BI1496" s="29" t="s">
        <v>2588</v>
      </c>
      <c r="BJ1496" s="29"/>
      <c r="BK1496" s="29" t="s">
        <v>2589</v>
      </c>
      <c r="BL1496" s="29" t="s">
        <v>2589</v>
      </c>
      <c r="BM1496" s="45">
        <v>1.0</v>
      </c>
      <c r="BN1496" s="45"/>
      <c r="BO1496" s="46" t="s">
        <v>2590</v>
      </c>
      <c r="BP1496" s="2"/>
      <c r="BQ1496" s="3"/>
    </row>
    <row r="1497" ht="15.75" customHeight="1">
      <c r="A1497" s="34">
        <v>1537.0</v>
      </c>
      <c r="B1497" s="34">
        <v>103803.0</v>
      </c>
      <c r="C1497" s="34" t="s">
        <v>76</v>
      </c>
      <c r="D1497" s="34" t="s">
        <v>2583</v>
      </c>
      <c r="E1497" s="34" t="s">
        <v>2584</v>
      </c>
      <c r="F1497" s="34">
        <v>2016.0</v>
      </c>
      <c r="G1497" s="34" t="s">
        <v>2585</v>
      </c>
      <c r="H1497" s="34" t="s">
        <v>231</v>
      </c>
      <c r="I1497" s="34" t="s">
        <v>2586</v>
      </c>
      <c r="J1497" s="35"/>
      <c r="K1497" s="36">
        <v>0.5500333333333458</v>
      </c>
      <c r="L1497" s="36">
        <v>150.9483</v>
      </c>
      <c r="M1497" s="36">
        <f>average(M1491:M1496)</f>
        <v>151.4983333</v>
      </c>
      <c r="N1497" s="36"/>
      <c r="O1497" s="36"/>
      <c r="P1497" s="52">
        <f t="shared" si="172"/>
        <v>0.3643852454</v>
      </c>
      <c r="Q1497" s="36" t="s">
        <v>191</v>
      </c>
      <c r="R1497" s="36" t="s">
        <v>191</v>
      </c>
      <c r="S1497" s="36">
        <v>30.0</v>
      </c>
      <c r="T1497" s="36" t="s">
        <v>2137</v>
      </c>
      <c r="U1497" s="36" t="s">
        <v>2599</v>
      </c>
      <c r="V1497" s="36">
        <v>6.0</v>
      </c>
      <c r="W1497" s="36" t="s">
        <v>88</v>
      </c>
      <c r="X1497" s="38">
        <v>1.0</v>
      </c>
      <c r="Y1497" s="38" t="s">
        <v>654</v>
      </c>
      <c r="Z1497" s="38" t="s">
        <v>654</v>
      </c>
      <c r="AA1497" s="38" t="s">
        <v>214</v>
      </c>
      <c r="AB1497" s="38">
        <v>38.975</v>
      </c>
      <c r="AC1497" s="38">
        <v>100.446</v>
      </c>
      <c r="AD1497" s="38" t="s">
        <v>198</v>
      </c>
      <c r="AE1497" s="38">
        <v>1460.0</v>
      </c>
      <c r="AF1497" s="38" t="s">
        <v>2076</v>
      </c>
      <c r="AG1497" s="38"/>
      <c r="AH1497" s="38">
        <v>5.2</v>
      </c>
      <c r="AI1497" s="50">
        <v>38.975</v>
      </c>
      <c r="AJ1497" s="50">
        <v>100.446</v>
      </c>
      <c r="AK1497" s="41" t="s">
        <v>86</v>
      </c>
      <c r="AL1497" s="40" t="s">
        <v>86</v>
      </c>
      <c r="AM1497" s="49">
        <v>1459.0</v>
      </c>
      <c r="AN1497" s="51">
        <v>1459.0</v>
      </c>
      <c r="AO1497" s="42" t="s">
        <v>261</v>
      </c>
      <c r="AP1497" s="43" t="s">
        <v>261</v>
      </c>
      <c r="AQ1497" s="44" t="str">
        <f t="shared" si="165"/>
        <v>WET</v>
      </c>
      <c r="AR1497" s="44">
        <f t="shared" si="144"/>
        <v>1459</v>
      </c>
      <c r="AS1497" s="44" t="str">
        <f t="shared" si="171"/>
        <v>B</v>
      </c>
      <c r="AT1497" s="44" t="str">
        <f t="shared" si="114"/>
        <v>BW</v>
      </c>
      <c r="AU1497" s="44" t="str">
        <f t="shared" si="115"/>
        <v>BWk</v>
      </c>
      <c r="AV1497" s="38">
        <v>3.0</v>
      </c>
      <c r="AW1497" s="38"/>
      <c r="AX1497" s="38"/>
      <c r="AY1497" s="38"/>
      <c r="AZ1497" s="29">
        <v>30.0</v>
      </c>
      <c r="BA1497" s="29"/>
      <c r="BB1497" s="29">
        <v>1.0</v>
      </c>
      <c r="BC1497" s="29" t="s">
        <v>984</v>
      </c>
      <c r="BD1497" s="29" t="s">
        <v>88</v>
      </c>
      <c r="BE1497" s="29"/>
      <c r="BF1497" s="29" t="s">
        <v>984</v>
      </c>
      <c r="BG1497" s="29" t="s">
        <v>572</v>
      </c>
      <c r="BH1497" s="29" t="s">
        <v>88</v>
      </c>
      <c r="BI1497" s="29" t="s">
        <v>2588</v>
      </c>
      <c r="BJ1497" s="29"/>
      <c r="BK1497" s="29" t="s">
        <v>2589</v>
      </c>
      <c r="BL1497" s="29" t="s">
        <v>2589</v>
      </c>
      <c r="BM1497" s="45">
        <v>1.0</v>
      </c>
      <c r="BN1497" s="45"/>
      <c r="BO1497" s="46" t="s">
        <v>2590</v>
      </c>
      <c r="BP1497" s="2"/>
      <c r="BQ1497" s="3"/>
    </row>
    <row r="1498" ht="15.75" customHeight="1">
      <c r="A1498" s="34">
        <v>1538.0</v>
      </c>
      <c r="B1498" s="34">
        <v>103803.0</v>
      </c>
      <c r="C1498" s="34" t="s">
        <v>76</v>
      </c>
      <c r="D1498" s="34" t="s">
        <v>2583</v>
      </c>
      <c r="E1498" s="34" t="s">
        <v>2584</v>
      </c>
      <c r="F1498" s="34">
        <v>2016.0</v>
      </c>
      <c r="G1498" s="34" t="s">
        <v>2585</v>
      </c>
      <c r="H1498" s="34" t="s">
        <v>231</v>
      </c>
      <c r="I1498" s="34" t="s">
        <v>2586</v>
      </c>
      <c r="J1498" s="35"/>
      <c r="K1498" s="36">
        <v>13.07</v>
      </c>
      <c r="L1498" s="36">
        <v>0.36</v>
      </c>
      <c r="M1498" s="36">
        <v>13.43</v>
      </c>
      <c r="N1498" s="36"/>
      <c r="O1498" s="36"/>
      <c r="P1498" s="86">
        <f t="shared" si="172"/>
        <v>3630.555556</v>
      </c>
      <c r="Q1498" s="36" t="s">
        <v>191</v>
      </c>
      <c r="R1498" s="36" t="s">
        <v>191</v>
      </c>
      <c r="S1498" s="36">
        <v>30.0</v>
      </c>
      <c r="T1498" s="36" t="s">
        <v>2137</v>
      </c>
      <c r="U1498" s="36" t="s">
        <v>2587</v>
      </c>
      <c r="V1498" s="36">
        <v>1.0</v>
      </c>
      <c r="W1498" s="36" t="s">
        <v>88</v>
      </c>
      <c r="X1498" s="38">
        <v>3.0</v>
      </c>
      <c r="Y1498" s="38" t="s">
        <v>2600</v>
      </c>
      <c r="Z1498" s="38"/>
      <c r="AA1498" s="38"/>
      <c r="AB1498" s="38"/>
      <c r="AC1498" s="38"/>
      <c r="AD1498" s="38" t="s">
        <v>198</v>
      </c>
      <c r="AE1498" s="38"/>
      <c r="AF1498" s="38" t="s">
        <v>666</v>
      </c>
      <c r="AG1498" s="38"/>
      <c r="AH1498" s="38"/>
      <c r="AI1498" s="50"/>
      <c r="AJ1498" s="50"/>
      <c r="AK1498" s="41"/>
      <c r="AL1498" s="40"/>
      <c r="AM1498" s="49"/>
      <c r="AN1498" s="43"/>
      <c r="AO1498" s="42"/>
      <c r="AP1498" s="43"/>
      <c r="AQ1498" s="44" t="str">
        <f t="shared" si="165"/>
        <v/>
      </c>
      <c r="AR1498" s="44" t="str">
        <f t="shared" si="144"/>
        <v/>
      </c>
      <c r="AS1498" s="44"/>
      <c r="AT1498" s="44" t="str">
        <f t="shared" si="114"/>
        <v/>
      </c>
      <c r="AU1498" s="44" t="str">
        <f t="shared" si="115"/>
        <v/>
      </c>
      <c r="AV1498" s="38">
        <v>3.0</v>
      </c>
      <c r="AW1498" s="38"/>
      <c r="AX1498" s="38"/>
      <c r="AY1498" s="38"/>
      <c r="AZ1498" s="29">
        <v>30.0</v>
      </c>
      <c r="BA1498" s="29"/>
      <c r="BB1498" s="29">
        <v>1.0</v>
      </c>
      <c r="BC1498" s="29" t="s">
        <v>984</v>
      </c>
      <c r="BD1498" s="29" t="s">
        <v>88</v>
      </c>
      <c r="BE1498" s="29"/>
      <c r="BF1498" s="29" t="s">
        <v>984</v>
      </c>
      <c r="BG1498" s="29" t="s">
        <v>572</v>
      </c>
      <c r="BH1498" s="29" t="s">
        <v>88</v>
      </c>
      <c r="BI1498" s="29" t="s">
        <v>2588</v>
      </c>
      <c r="BJ1498" s="29"/>
      <c r="BK1498" s="29" t="s">
        <v>2589</v>
      </c>
      <c r="BL1498" s="29" t="s">
        <v>2589</v>
      </c>
      <c r="BM1498" s="45">
        <v>1.0</v>
      </c>
      <c r="BN1498" s="45"/>
      <c r="BO1498" s="46" t="s">
        <v>2590</v>
      </c>
      <c r="BP1498" s="2"/>
      <c r="BQ1498" s="3"/>
    </row>
    <row r="1499" ht="15.75" customHeight="1">
      <c r="A1499" s="34">
        <v>1539.0</v>
      </c>
      <c r="B1499" s="34">
        <v>103803.0</v>
      </c>
      <c r="C1499" s="34" t="s">
        <v>76</v>
      </c>
      <c r="D1499" s="34" t="s">
        <v>2583</v>
      </c>
      <c r="E1499" s="34" t="s">
        <v>2584</v>
      </c>
      <c r="F1499" s="34">
        <v>2016.0</v>
      </c>
      <c r="G1499" s="34" t="s">
        <v>2585</v>
      </c>
      <c r="H1499" s="34" t="s">
        <v>231</v>
      </c>
      <c r="I1499" s="34" t="s">
        <v>2586</v>
      </c>
      <c r="J1499" s="35"/>
      <c r="K1499" s="36">
        <v>3.6999999999999993</v>
      </c>
      <c r="L1499" s="36">
        <v>13.05</v>
      </c>
      <c r="M1499" s="36">
        <v>16.75</v>
      </c>
      <c r="N1499" s="36"/>
      <c r="O1499" s="36"/>
      <c r="P1499" s="52">
        <f t="shared" si="172"/>
        <v>28.35249042</v>
      </c>
      <c r="Q1499" s="36" t="s">
        <v>191</v>
      </c>
      <c r="R1499" s="36" t="s">
        <v>191</v>
      </c>
      <c r="S1499" s="36">
        <v>30.0</v>
      </c>
      <c r="T1499" s="36" t="s">
        <v>2591</v>
      </c>
      <c r="U1499" s="36" t="s">
        <v>2592</v>
      </c>
      <c r="V1499" s="36">
        <v>1.0</v>
      </c>
      <c r="W1499" s="36" t="s">
        <v>88</v>
      </c>
      <c r="X1499" s="38">
        <v>3.0</v>
      </c>
      <c r="Y1499" s="38" t="s">
        <v>2600</v>
      </c>
      <c r="Z1499" s="38"/>
      <c r="AA1499" s="38"/>
      <c r="AB1499" s="38"/>
      <c r="AC1499" s="38"/>
      <c r="AD1499" s="38" t="s">
        <v>198</v>
      </c>
      <c r="AE1499" s="38"/>
      <c r="AF1499" s="38" t="s">
        <v>666</v>
      </c>
      <c r="AG1499" s="38"/>
      <c r="AH1499" s="38"/>
      <c r="AI1499" s="50"/>
      <c r="AJ1499" s="50"/>
      <c r="AK1499" s="41"/>
      <c r="AL1499" s="40"/>
      <c r="AM1499" s="49"/>
      <c r="AN1499" s="43"/>
      <c r="AO1499" s="42"/>
      <c r="AP1499" s="43"/>
      <c r="AQ1499" s="44" t="str">
        <f t="shared" si="165"/>
        <v/>
      </c>
      <c r="AR1499" s="44" t="str">
        <f t="shared" si="144"/>
        <v/>
      </c>
      <c r="AS1499" s="44"/>
      <c r="AT1499" s="44" t="str">
        <f t="shared" si="114"/>
        <v/>
      </c>
      <c r="AU1499" s="44" t="str">
        <f t="shared" si="115"/>
        <v/>
      </c>
      <c r="AV1499" s="38">
        <v>3.0</v>
      </c>
      <c r="AW1499" s="38"/>
      <c r="AX1499" s="38"/>
      <c r="AY1499" s="38"/>
      <c r="AZ1499" s="29">
        <v>30.0</v>
      </c>
      <c r="BA1499" s="29"/>
      <c r="BB1499" s="29">
        <v>1.0</v>
      </c>
      <c r="BC1499" s="29" t="s">
        <v>984</v>
      </c>
      <c r="BD1499" s="29" t="s">
        <v>88</v>
      </c>
      <c r="BE1499" s="29"/>
      <c r="BF1499" s="29" t="s">
        <v>984</v>
      </c>
      <c r="BG1499" s="29" t="s">
        <v>572</v>
      </c>
      <c r="BH1499" s="29" t="s">
        <v>88</v>
      </c>
      <c r="BI1499" s="29" t="s">
        <v>2588</v>
      </c>
      <c r="BJ1499" s="29"/>
      <c r="BK1499" s="29" t="s">
        <v>2589</v>
      </c>
      <c r="BL1499" s="29" t="s">
        <v>2589</v>
      </c>
      <c r="BM1499" s="45">
        <v>1.0</v>
      </c>
      <c r="BN1499" s="45"/>
      <c r="BO1499" s="46" t="s">
        <v>2590</v>
      </c>
      <c r="BP1499" s="2"/>
      <c r="BQ1499" s="3"/>
    </row>
    <row r="1500" ht="15.75" customHeight="1">
      <c r="A1500" s="34">
        <v>1540.0</v>
      </c>
      <c r="B1500" s="34">
        <v>103803.0</v>
      </c>
      <c r="C1500" s="34" t="s">
        <v>76</v>
      </c>
      <c r="D1500" s="34" t="s">
        <v>2583</v>
      </c>
      <c r="E1500" s="34" t="s">
        <v>2584</v>
      </c>
      <c r="F1500" s="34">
        <v>2016.0</v>
      </c>
      <c r="G1500" s="34" t="s">
        <v>2585</v>
      </c>
      <c r="H1500" s="34" t="s">
        <v>231</v>
      </c>
      <c r="I1500" s="34" t="s">
        <v>2586</v>
      </c>
      <c r="J1500" s="35"/>
      <c r="K1500" s="36">
        <v>-25.64</v>
      </c>
      <c r="L1500" s="36">
        <v>40.02</v>
      </c>
      <c r="M1500" s="36">
        <v>14.38</v>
      </c>
      <c r="N1500" s="36"/>
      <c r="O1500" s="36"/>
      <c r="P1500" s="52">
        <f t="shared" si="172"/>
        <v>-64.06796602</v>
      </c>
      <c r="Q1500" s="36" t="s">
        <v>191</v>
      </c>
      <c r="R1500" s="36" t="s">
        <v>191</v>
      </c>
      <c r="S1500" s="36">
        <v>30.0</v>
      </c>
      <c r="T1500" s="36" t="s">
        <v>2593</v>
      </c>
      <c r="U1500" s="36" t="s">
        <v>2594</v>
      </c>
      <c r="V1500" s="36">
        <v>1.0</v>
      </c>
      <c r="W1500" s="36" t="s">
        <v>88</v>
      </c>
      <c r="X1500" s="38">
        <v>3.0</v>
      </c>
      <c r="Y1500" s="38" t="s">
        <v>2600</v>
      </c>
      <c r="Z1500" s="38"/>
      <c r="AA1500" s="38"/>
      <c r="AB1500" s="38"/>
      <c r="AC1500" s="38"/>
      <c r="AD1500" s="38" t="s">
        <v>198</v>
      </c>
      <c r="AE1500" s="38"/>
      <c r="AF1500" s="38" t="s">
        <v>666</v>
      </c>
      <c r="AG1500" s="38"/>
      <c r="AH1500" s="38"/>
      <c r="AI1500" s="50"/>
      <c r="AJ1500" s="50"/>
      <c r="AK1500" s="41"/>
      <c r="AL1500" s="40"/>
      <c r="AM1500" s="49"/>
      <c r="AN1500" s="43"/>
      <c r="AO1500" s="42"/>
      <c r="AP1500" s="43"/>
      <c r="AQ1500" s="44" t="str">
        <f t="shared" si="165"/>
        <v/>
      </c>
      <c r="AR1500" s="44" t="str">
        <f t="shared" si="144"/>
        <v/>
      </c>
      <c r="AS1500" s="44"/>
      <c r="AT1500" s="44" t="str">
        <f t="shared" si="114"/>
        <v/>
      </c>
      <c r="AU1500" s="44" t="str">
        <f t="shared" si="115"/>
        <v/>
      </c>
      <c r="AV1500" s="38">
        <v>3.0</v>
      </c>
      <c r="AW1500" s="38"/>
      <c r="AX1500" s="38"/>
      <c r="AY1500" s="38"/>
      <c r="AZ1500" s="29">
        <v>30.0</v>
      </c>
      <c r="BA1500" s="29"/>
      <c r="BB1500" s="29">
        <v>1.0</v>
      </c>
      <c r="BC1500" s="29" t="s">
        <v>984</v>
      </c>
      <c r="BD1500" s="29" t="s">
        <v>88</v>
      </c>
      <c r="BE1500" s="29"/>
      <c r="BF1500" s="29" t="s">
        <v>984</v>
      </c>
      <c r="BG1500" s="29" t="s">
        <v>572</v>
      </c>
      <c r="BH1500" s="29" t="s">
        <v>88</v>
      </c>
      <c r="BI1500" s="29" t="s">
        <v>2588</v>
      </c>
      <c r="BJ1500" s="29"/>
      <c r="BK1500" s="29" t="s">
        <v>2589</v>
      </c>
      <c r="BL1500" s="29" t="s">
        <v>2589</v>
      </c>
      <c r="BM1500" s="45">
        <v>1.0</v>
      </c>
      <c r="BN1500" s="45"/>
      <c r="BO1500" s="46" t="s">
        <v>2590</v>
      </c>
      <c r="BP1500" s="2"/>
      <c r="BQ1500" s="3"/>
    </row>
    <row r="1501" ht="15.75" customHeight="1">
      <c r="A1501" s="34">
        <v>1541.0</v>
      </c>
      <c r="B1501" s="34">
        <v>103803.0</v>
      </c>
      <c r="C1501" s="34" t="s">
        <v>76</v>
      </c>
      <c r="D1501" s="34" t="s">
        <v>2583</v>
      </c>
      <c r="E1501" s="34" t="s">
        <v>2584</v>
      </c>
      <c r="F1501" s="34">
        <v>2016.0</v>
      </c>
      <c r="G1501" s="34" t="s">
        <v>2585</v>
      </c>
      <c r="H1501" s="34" t="s">
        <v>231</v>
      </c>
      <c r="I1501" s="34" t="s">
        <v>2586</v>
      </c>
      <c r="J1501" s="35"/>
      <c r="K1501" s="36">
        <v>-37.03</v>
      </c>
      <c r="L1501" s="36">
        <v>57.41</v>
      </c>
      <c r="M1501" s="36">
        <v>20.38</v>
      </c>
      <c r="N1501" s="36"/>
      <c r="O1501" s="36"/>
      <c r="P1501" s="52">
        <f t="shared" si="172"/>
        <v>-64.50095802</v>
      </c>
      <c r="Q1501" s="36" t="s">
        <v>191</v>
      </c>
      <c r="R1501" s="36" t="s">
        <v>191</v>
      </c>
      <c r="S1501" s="36">
        <v>30.0</v>
      </c>
      <c r="T1501" s="36" t="s">
        <v>2219</v>
      </c>
      <c r="U1501" s="36" t="s">
        <v>2595</v>
      </c>
      <c r="V1501" s="36">
        <v>1.0</v>
      </c>
      <c r="W1501" s="36" t="s">
        <v>88</v>
      </c>
      <c r="X1501" s="38">
        <v>3.0</v>
      </c>
      <c r="Y1501" s="38" t="s">
        <v>2600</v>
      </c>
      <c r="Z1501" s="38"/>
      <c r="AA1501" s="38"/>
      <c r="AB1501" s="38"/>
      <c r="AC1501" s="38"/>
      <c r="AD1501" s="38" t="s">
        <v>198</v>
      </c>
      <c r="AE1501" s="38"/>
      <c r="AF1501" s="38" t="s">
        <v>666</v>
      </c>
      <c r="AG1501" s="38"/>
      <c r="AH1501" s="38"/>
      <c r="AI1501" s="50"/>
      <c r="AJ1501" s="50"/>
      <c r="AK1501" s="41"/>
      <c r="AL1501" s="40"/>
      <c r="AM1501" s="49"/>
      <c r="AN1501" s="43"/>
      <c r="AO1501" s="42"/>
      <c r="AP1501" s="43"/>
      <c r="AQ1501" s="44" t="str">
        <f t="shared" si="165"/>
        <v/>
      </c>
      <c r="AR1501" s="44" t="str">
        <f t="shared" si="144"/>
        <v/>
      </c>
      <c r="AS1501" s="44"/>
      <c r="AT1501" s="44" t="str">
        <f t="shared" si="114"/>
        <v/>
      </c>
      <c r="AU1501" s="44" t="str">
        <f t="shared" si="115"/>
        <v/>
      </c>
      <c r="AV1501" s="38">
        <v>3.0</v>
      </c>
      <c r="AW1501" s="38"/>
      <c r="AX1501" s="38"/>
      <c r="AY1501" s="38"/>
      <c r="AZ1501" s="29">
        <v>30.0</v>
      </c>
      <c r="BA1501" s="29"/>
      <c r="BB1501" s="29">
        <v>1.0</v>
      </c>
      <c r="BC1501" s="29" t="s">
        <v>984</v>
      </c>
      <c r="BD1501" s="29" t="s">
        <v>88</v>
      </c>
      <c r="BE1501" s="29"/>
      <c r="BF1501" s="29" t="s">
        <v>984</v>
      </c>
      <c r="BG1501" s="29" t="s">
        <v>572</v>
      </c>
      <c r="BH1501" s="29" t="s">
        <v>88</v>
      </c>
      <c r="BI1501" s="29" t="s">
        <v>2588</v>
      </c>
      <c r="BJ1501" s="29"/>
      <c r="BK1501" s="29" t="s">
        <v>2589</v>
      </c>
      <c r="BL1501" s="29" t="s">
        <v>2589</v>
      </c>
      <c r="BM1501" s="45">
        <v>1.0</v>
      </c>
      <c r="BN1501" s="45"/>
      <c r="BO1501" s="46" t="s">
        <v>2590</v>
      </c>
      <c r="BP1501" s="2"/>
      <c r="BQ1501" s="3"/>
    </row>
    <row r="1502" ht="15.75" customHeight="1">
      <c r="A1502" s="34">
        <v>1542.0</v>
      </c>
      <c r="B1502" s="34">
        <v>103803.0</v>
      </c>
      <c r="C1502" s="34" t="s">
        <v>76</v>
      </c>
      <c r="D1502" s="34" t="s">
        <v>2583</v>
      </c>
      <c r="E1502" s="34" t="s">
        <v>2584</v>
      </c>
      <c r="F1502" s="34">
        <v>2016.0</v>
      </c>
      <c r="G1502" s="34" t="s">
        <v>2585</v>
      </c>
      <c r="H1502" s="34" t="s">
        <v>231</v>
      </c>
      <c r="I1502" s="34" t="s">
        <v>2586</v>
      </c>
      <c r="J1502" s="35"/>
      <c r="K1502" s="36">
        <v>-20.110000000000003</v>
      </c>
      <c r="L1502" s="36">
        <v>45.38</v>
      </c>
      <c r="M1502" s="36">
        <v>25.27</v>
      </c>
      <c r="N1502" s="36"/>
      <c r="O1502" s="36"/>
      <c r="P1502" s="52">
        <f t="shared" si="172"/>
        <v>-44.31467607</v>
      </c>
      <c r="Q1502" s="36" t="s">
        <v>191</v>
      </c>
      <c r="R1502" s="36" t="s">
        <v>191</v>
      </c>
      <c r="S1502" s="36">
        <v>30.0</v>
      </c>
      <c r="T1502" s="36" t="s">
        <v>2596</v>
      </c>
      <c r="U1502" s="36" t="s">
        <v>2597</v>
      </c>
      <c r="V1502" s="36">
        <v>1.0</v>
      </c>
      <c r="W1502" s="36" t="s">
        <v>88</v>
      </c>
      <c r="X1502" s="38">
        <v>3.0</v>
      </c>
      <c r="Y1502" s="38" t="s">
        <v>2600</v>
      </c>
      <c r="Z1502" s="38"/>
      <c r="AA1502" s="38"/>
      <c r="AB1502" s="38"/>
      <c r="AC1502" s="38"/>
      <c r="AD1502" s="38" t="s">
        <v>198</v>
      </c>
      <c r="AE1502" s="38"/>
      <c r="AF1502" s="38" t="s">
        <v>666</v>
      </c>
      <c r="AG1502" s="38"/>
      <c r="AH1502" s="38"/>
      <c r="AI1502" s="50"/>
      <c r="AJ1502" s="50"/>
      <c r="AK1502" s="41"/>
      <c r="AL1502" s="40"/>
      <c r="AM1502" s="49"/>
      <c r="AN1502" s="43"/>
      <c r="AO1502" s="42"/>
      <c r="AP1502" s="43"/>
      <c r="AQ1502" s="44" t="str">
        <f t="shared" si="165"/>
        <v/>
      </c>
      <c r="AR1502" s="44" t="str">
        <f t="shared" si="144"/>
        <v/>
      </c>
      <c r="AS1502" s="44"/>
      <c r="AT1502" s="44" t="str">
        <f t="shared" si="114"/>
        <v/>
      </c>
      <c r="AU1502" s="44" t="str">
        <f t="shared" si="115"/>
        <v/>
      </c>
      <c r="AV1502" s="38">
        <v>3.0</v>
      </c>
      <c r="AW1502" s="38"/>
      <c r="AX1502" s="38"/>
      <c r="AY1502" s="38"/>
      <c r="AZ1502" s="29">
        <v>30.0</v>
      </c>
      <c r="BA1502" s="29"/>
      <c r="BB1502" s="29">
        <v>1.0</v>
      </c>
      <c r="BC1502" s="29" t="s">
        <v>984</v>
      </c>
      <c r="BD1502" s="29" t="s">
        <v>88</v>
      </c>
      <c r="BE1502" s="29"/>
      <c r="BF1502" s="29" t="s">
        <v>984</v>
      </c>
      <c r="BG1502" s="29" t="s">
        <v>572</v>
      </c>
      <c r="BH1502" s="29" t="s">
        <v>88</v>
      </c>
      <c r="BI1502" s="29" t="s">
        <v>2588</v>
      </c>
      <c r="BJ1502" s="29"/>
      <c r="BK1502" s="29" t="s">
        <v>2589</v>
      </c>
      <c r="BL1502" s="29" t="s">
        <v>2589</v>
      </c>
      <c r="BM1502" s="45">
        <v>1.0</v>
      </c>
      <c r="BN1502" s="45"/>
      <c r="BO1502" s="46" t="s">
        <v>2590</v>
      </c>
      <c r="BP1502" s="2"/>
      <c r="BQ1502" s="3"/>
    </row>
    <row r="1503" ht="15.75" customHeight="1">
      <c r="A1503" s="34">
        <v>1543.0</v>
      </c>
      <c r="B1503" s="34">
        <v>103803.0</v>
      </c>
      <c r="C1503" s="34" t="s">
        <v>76</v>
      </c>
      <c r="D1503" s="34" t="s">
        <v>2583</v>
      </c>
      <c r="E1503" s="34" t="s">
        <v>2584</v>
      </c>
      <c r="F1503" s="34">
        <v>2016.0</v>
      </c>
      <c r="G1503" s="34" t="s">
        <v>2585</v>
      </c>
      <c r="H1503" s="34" t="s">
        <v>231</v>
      </c>
      <c r="I1503" s="34" t="s">
        <v>2586</v>
      </c>
      <c r="J1503" s="35"/>
      <c r="K1503" s="36">
        <v>-0.14000000000000057</v>
      </c>
      <c r="L1503" s="36">
        <v>24.44</v>
      </c>
      <c r="M1503" s="36">
        <v>24.3</v>
      </c>
      <c r="N1503" s="36"/>
      <c r="O1503" s="36"/>
      <c r="P1503" s="52">
        <f t="shared" si="172"/>
        <v>-0.5728314239</v>
      </c>
      <c r="Q1503" s="36" t="s">
        <v>191</v>
      </c>
      <c r="R1503" s="36" t="s">
        <v>191</v>
      </c>
      <c r="S1503" s="36">
        <v>30.0</v>
      </c>
      <c r="T1503" s="36" t="s">
        <v>2598</v>
      </c>
      <c r="U1503" s="36" t="s">
        <v>2599</v>
      </c>
      <c r="V1503" s="36">
        <v>1.0</v>
      </c>
      <c r="W1503" s="36" t="s">
        <v>88</v>
      </c>
      <c r="X1503" s="38">
        <v>3.0</v>
      </c>
      <c r="Y1503" s="38" t="s">
        <v>2600</v>
      </c>
      <c r="Z1503" s="38"/>
      <c r="AA1503" s="38"/>
      <c r="AB1503" s="38"/>
      <c r="AC1503" s="38"/>
      <c r="AD1503" s="38" t="s">
        <v>198</v>
      </c>
      <c r="AE1503" s="38"/>
      <c r="AF1503" s="38" t="s">
        <v>666</v>
      </c>
      <c r="AG1503" s="38"/>
      <c r="AH1503" s="38"/>
      <c r="AI1503" s="50"/>
      <c r="AJ1503" s="50"/>
      <c r="AK1503" s="41"/>
      <c r="AL1503" s="40"/>
      <c r="AM1503" s="49"/>
      <c r="AN1503" s="43"/>
      <c r="AO1503" s="42"/>
      <c r="AP1503" s="43"/>
      <c r="AQ1503" s="44" t="str">
        <f t="shared" si="165"/>
        <v/>
      </c>
      <c r="AR1503" s="44" t="str">
        <f t="shared" si="144"/>
        <v/>
      </c>
      <c r="AS1503" s="44"/>
      <c r="AT1503" s="44" t="str">
        <f t="shared" si="114"/>
        <v/>
      </c>
      <c r="AU1503" s="44" t="str">
        <f t="shared" si="115"/>
        <v/>
      </c>
      <c r="AV1503" s="38">
        <v>3.0</v>
      </c>
      <c r="AW1503" s="38"/>
      <c r="AX1503" s="38"/>
      <c r="AY1503" s="38"/>
      <c r="AZ1503" s="29">
        <v>30.0</v>
      </c>
      <c r="BA1503" s="29"/>
      <c r="BB1503" s="29">
        <v>1.0</v>
      </c>
      <c r="BC1503" s="29" t="s">
        <v>984</v>
      </c>
      <c r="BD1503" s="29" t="s">
        <v>88</v>
      </c>
      <c r="BE1503" s="29"/>
      <c r="BF1503" s="29" t="s">
        <v>984</v>
      </c>
      <c r="BG1503" s="29" t="s">
        <v>572</v>
      </c>
      <c r="BH1503" s="29" t="s">
        <v>88</v>
      </c>
      <c r="BI1503" s="29" t="s">
        <v>2588</v>
      </c>
      <c r="BJ1503" s="29"/>
      <c r="BK1503" s="29" t="s">
        <v>2589</v>
      </c>
      <c r="BL1503" s="29" t="s">
        <v>2589</v>
      </c>
      <c r="BM1503" s="45">
        <v>1.0</v>
      </c>
      <c r="BN1503" s="45"/>
      <c r="BO1503" s="46" t="s">
        <v>2590</v>
      </c>
      <c r="BP1503" s="2"/>
      <c r="BQ1503" s="3"/>
    </row>
    <row r="1504" ht="15.75" customHeight="1">
      <c r="A1504" s="34">
        <v>1544.0</v>
      </c>
      <c r="B1504" s="34">
        <v>103803.0</v>
      </c>
      <c r="C1504" s="34" t="s">
        <v>76</v>
      </c>
      <c r="D1504" s="34" t="s">
        <v>2583</v>
      </c>
      <c r="E1504" s="34" t="s">
        <v>2584</v>
      </c>
      <c r="F1504" s="34">
        <v>2016.0</v>
      </c>
      <c r="G1504" s="34" t="s">
        <v>2585</v>
      </c>
      <c r="H1504" s="34" t="s">
        <v>231</v>
      </c>
      <c r="I1504" s="34" t="s">
        <v>2586</v>
      </c>
      <c r="J1504" s="35"/>
      <c r="K1504" s="36">
        <v>-11.025000000000002</v>
      </c>
      <c r="L1504" s="36">
        <v>30.11</v>
      </c>
      <c r="M1504" s="36">
        <f>average(M1498:M1503)</f>
        <v>19.085</v>
      </c>
      <c r="N1504" s="36"/>
      <c r="O1504" s="36"/>
      <c r="P1504" s="52">
        <f t="shared" si="172"/>
        <v>-36.61574228</v>
      </c>
      <c r="Q1504" s="36" t="s">
        <v>191</v>
      </c>
      <c r="R1504" s="36" t="s">
        <v>191</v>
      </c>
      <c r="S1504" s="36">
        <v>30.0</v>
      </c>
      <c r="T1504" s="36" t="s">
        <v>2137</v>
      </c>
      <c r="U1504" s="36" t="s">
        <v>2599</v>
      </c>
      <c r="V1504" s="36">
        <v>6.0</v>
      </c>
      <c r="W1504" s="36" t="s">
        <v>88</v>
      </c>
      <c r="X1504" s="38">
        <v>3.0</v>
      </c>
      <c r="Y1504" s="38" t="s">
        <v>2600</v>
      </c>
      <c r="Z1504" s="38"/>
      <c r="AA1504" s="38"/>
      <c r="AB1504" s="38"/>
      <c r="AC1504" s="38"/>
      <c r="AD1504" s="38" t="s">
        <v>198</v>
      </c>
      <c r="AE1504" s="38"/>
      <c r="AF1504" s="38" t="s">
        <v>666</v>
      </c>
      <c r="AG1504" s="38"/>
      <c r="AH1504" s="38"/>
      <c r="AI1504" s="50"/>
      <c r="AJ1504" s="50"/>
      <c r="AK1504" s="41"/>
      <c r="AL1504" s="40"/>
      <c r="AM1504" s="49"/>
      <c r="AN1504" s="43"/>
      <c r="AO1504" s="42"/>
      <c r="AP1504" s="43"/>
      <c r="AQ1504" s="44" t="str">
        <f t="shared" si="165"/>
        <v/>
      </c>
      <c r="AR1504" s="44" t="str">
        <f t="shared" si="144"/>
        <v/>
      </c>
      <c r="AS1504" s="44"/>
      <c r="AT1504" s="44" t="str">
        <f t="shared" si="114"/>
        <v/>
      </c>
      <c r="AU1504" s="44" t="str">
        <f t="shared" si="115"/>
        <v/>
      </c>
      <c r="AV1504" s="38">
        <v>3.0</v>
      </c>
      <c r="AW1504" s="38"/>
      <c r="AX1504" s="38"/>
      <c r="AY1504" s="38"/>
      <c r="AZ1504" s="29">
        <v>30.0</v>
      </c>
      <c r="BA1504" s="29"/>
      <c r="BB1504" s="29">
        <v>1.0</v>
      </c>
      <c r="BC1504" s="29" t="s">
        <v>984</v>
      </c>
      <c r="BD1504" s="29" t="s">
        <v>88</v>
      </c>
      <c r="BE1504" s="29"/>
      <c r="BF1504" s="29" t="s">
        <v>984</v>
      </c>
      <c r="BG1504" s="29" t="s">
        <v>572</v>
      </c>
      <c r="BH1504" s="29" t="s">
        <v>88</v>
      </c>
      <c r="BI1504" s="29" t="s">
        <v>2588</v>
      </c>
      <c r="BJ1504" s="29"/>
      <c r="BK1504" s="29" t="s">
        <v>2589</v>
      </c>
      <c r="BL1504" s="29" t="s">
        <v>2589</v>
      </c>
      <c r="BM1504" s="45">
        <v>1.0</v>
      </c>
      <c r="BN1504" s="45"/>
      <c r="BO1504" s="46" t="s">
        <v>2590</v>
      </c>
      <c r="BP1504" s="2"/>
      <c r="BQ1504" s="3"/>
    </row>
    <row r="1505" ht="15.75" customHeight="1">
      <c r="A1505" s="34">
        <v>1545.0</v>
      </c>
      <c r="B1505" s="34">
        <v>103803.0</v>
      </c>
      <c r="C1505" s="34" t="s">
        <v>76</v>
      </c>
      <c r="D1505" s="34" t="s">
        <v>2583</v>
      </c>
      <c r="E1505" s="34" t="s">
        <v>2584</v>
      </c>
      <c r="F1505" s="34">
        <v>2016.0</v>
      </c>
      <c r="G1505" s="34" t="s">
        <v>2585</v>
      </c>
      <c r="H1505" s="34" t="s">
        <v>231</v>
      </c>
      <c r="I1505" s="34" t="s">
        <v>2586</v>
      </c>
      <c r="J1505" s="35"/>
      <c r="K1505" s="36">
        <v>29.33</v>
      </c>
      <c r="L1505" s="36">
        <v>16.25</v>
      </c>
      <c r="M1505" s="36">
        <v>45.58</v>
      </c>
      <c r="N1505" s="36"/>
      <c r="O1505" s="36"/>
      <c r="P1505" s="86">
        <f t="shared" si="172"/>
        <v>180.4923077</v>
      </c>
      <c r="Q1505" s="36" t="s">
        <v>191</v>
      </c>
      <c r="R1505" s="36" t="s">
        <v>191</v>
      </c>
      <c r="S1505" s="36">
        <v>30.0</v>
      </c>
      <c r="T1505" s="36" t="s">
        <v>2137</v>
      </c>
      <c r="U1505" s="36" t="s">
        <v>2587</v>
      </c>
      <c r="V1505" s="36">
        <v>1.0</v>
      </c>
      <c r="W1505" s="36" t="s">
        <v>88</v>
      </c>
      <c r="X1505" s="38">
        <v>1.0</v>
      </c>
      <c r="Y1505" s="53" t="s">
        <v>256</v>
      </c>
      <c r="Z1505" s="38" t="s">
        <v>257</v>
      </c>
      <c r="AA1505" s="38" t="s">
        <v>86</v>
      </c>
      <c r="AB1505" s="38">
        <v>38.856</v>
      </c>
      <c r="AC1505" s="38">
        <v>100.372</v>
      </c>
      <c r="AD1505" s="38" t="s">
        <v>198</v>
      </c>
      <c r="AE1505" s="53"/>
      <c r="AF1505" s="38" t="s">
        <v>1048</v>
      </c>
      <c r="AG1505" s="57"/>
      <c r="AH1505" s="38">
        <v>4.5</v>
      </c>
      <c r="AI1505" s="50">
        <v>38.875</v>
      </c>
      <c r="AJ1505" s="50">
        <v>100.375</v>
      </c>
      <c r="AK1505" s="41" t="s">
        <v>86</v>
      </c>
      <c r="AL1505" s="40" t="s">
        <v>86</v>
      </c>
      <c r="AM1505" s="49">
        <v>1554.0</v>
      </c>
      <c r="AN1505" s="51">
        <v>1554.0</v>
      </c>
      <c r="AO1505" s="42" t="s">
        <v>261</v>
      </c>
      <c r="AP1505" s="43" t="s">
        <v>261</v>
      </c>
      <c r="AQ1505" s="44" t="str">
        <f t="shared" si="165"/>
        <v>CRO</v>
      </c>
      <c r="AR1505" s="44">
        <f t="shared" si="144"/>
        <v>1554</v>
      </c>
      <c r="AS1505" s="44" t="str">
        <f t="shared" ref="AS1505:AS1518" si="173">LEFT(AO1505,1)</f>
        <v>B</v>
      </c>
      <c r="AT1505" s="44" t="str">
        <f t="shared" si="114"/>
        <v>BW</v>
      </c>
      <c r="AU1505" s="44" t="str">
        <f t="shared" si="115"/>
        <v>BWk</v>
      </c>
      <c r="AV1505" s="38">
        <v>3.0</v>
      </c>
      <c r="AW1505" s="38"/>
      <c r="AX1505" s="38"/>
      <c r="AY1505" s="38"/>
      <c r="AZ1505" s="29">
        <v>30.0</v>
      </c>
      <c r="BA1505" s="29"/>
      <c r="BB1505" s="29">
        <v>1.0</v>
      </c>
      <c r="BC1505" s="115" t="s">
        <v>669</v>
      </c>
      <c r="BD1505" s="29" t="s">
        <v>88</v>
      </c>
      <c r="BE1505" s="29"/>
      <c r="BF1505" s="115" t="s">
        <v>669</v>
      </c>
      <c r="BG1505" s="115" t="s">
        <v>669</v>
      </c>
      <c r="BH1505" s="29" t="s">
        <v>88</v>
      </c>
      <c r="BI1505" s="29" t="s">
        <v>2588</v>
      </c>
      <c r="BJ1505" s="29"/>
      <c r="BK1505" s="29" t="s">
        <v>2589</v>
      </c>
      <c r="BL1505" s="29" t="s">
        <v>2589</v>
      </c>
      <c r="BM1505" s="45">
        <v>1.0</v>
      </c>
      <c r="BN1505" s="45"/>
      <c r="BO1505" s="46" t="s">
        <v>2590</v>
      </c>
      <c r="BP1505" s="2"/>
      <c r="BQ1505" s="3"/>
    </row>
    <row r="1506" ht="15.75" customHeight="1">
      <c r="A1506" s="34">
        <v>1546.0</v>
      </c>
      <c r="B1506" s="34">
        <v>103803.0</v>
      </c>
      <c r="C1506" s="34" t="s">
        <v>76</v>
      </c>
      <c r="D1506" s="34" t="s">
        <v>2583</v>
      </c>
      <c r="E1506" s="34" t="s">
        <v>2584</v>
      </c>
      <c r="F1506" s="34">
        <v>2016.0</v>
      </c>
      <c r="G1506" s="34" t="s">
        <v>2585</v>
      </c>
      <c r="H1506" s="34" t="s">
        <v>231</v>
      </c>
      <c r="I1506" s="34" t="s">
        <v>2586</v>
      </c>
      <c r="J1506" s="35"/>
      <c r="K1506" s="36">
        <v>39.519999999999996</v>
      </c>
      <c r="L1506" s="36">
        <v>67.54</v>
      </c>
      <c r="M1506" s="36">
        <v>107.06</v>
      </c>
      <c r="N1506" s="36"/>
      <c r="O1506" s="36"/>
      <c r="P1506" s="52">
        <f t="shared" si="172"/>
        <v>58.5134735</v>
      </c>
      <c r="Q1506" s="36" t="s">
        <v>191</v>
      </c>
      <c r="R1506" s="36" t="s">
        <v>191</v>
      </c>
      <c r="S1506" s="36">
        <v>30.0</v>
      </c>
      <c r="T1506" s="36" t="s">
        <v>2591</v>
      </c>
      <c r="U1506" s="36" t="s">
        <v>2592</v>
      </c>
      <c r="V1506" s="36">
        <v>1.0</v>
      </c>
      <c r="W1506" s="36" t="s">
        <v>88</v>
      </c>
      <c r="X1506" s="38">
        <v>1.0</v>
      </c>
      <c r="Y1506" s="53" t="s">
        <v>256</v>
      </c>
      <c r="Z1506" s="38" t="s">
        <v>257</v>
      </c>
      <c r="AA1506" s="38" t="s">
        <v>86</v>
      </c>
      <c r="AB1506" s="38">
        <v>38.856</v>
      </c>
      <c r="AC1506" s="38">
        <v>100.372</v>
      </c>
      <c r="AD1506" s="38" t="s">
        <v>198</v>
      </c>
      <c r="AE1506" s="53"/>
      <c r="AF1506" s="38" t="s">
        <v>1048</v>
      </c>
      <c r="AG1506" s="57"/>
      <c r="AH1506" s="38">
        <v>4.5</v>
      </c>
      <c r="AI1506" s="50">
        <v>38.875</v>
      </c>
      <c r="AJ1506" s="50">
        <v>100.375</v>
      </c>
      <c r="AK1506" s="41" t="s">
        <v>86</v>
      </c>
      <c r="AL1506" s="40" t="s">
        <v>86</v>
      </c>
      <c r="AM1506" s="49">
        <v>1554.0</v>
      </c>
      <c r="AN1506" s="51">
        <v>1554.0</v>
      </c>
      <c r="AO1506" s="42" t="s">
        <v>261</v>
      </c>
      <c r="AP1506" s="43" t="s">
        <v>261</v>
      </c>
      <c r="AQ1506" s="44" t="str">
        <f t="shared" si="165"/>
        <v>CRO</v>
      </c>
      <c r="AR1506" s="44">
        <f t="shared" si="144"/>
        <v>1554</v>
      </c>
      <c r="AS1506" s="44" t="str">
        <f t="shared" si="173"/>
        <v>B</v>
      </c>
      <c r="AT1506" s="44" t="str">
        <f t="shared" si="114"/>
        <v>BW</v>
      </c>
      <c r="AU1506" s="44" t="str">
        <f t="shared" si="115"/>
        <v>BWk</v>
      </c>
      <c r="AV1506" s="38">
        <v>3.0</v>
      </c>
      <c r="AW1506" s="38"/>
      <c r="AX1506" s="38"/>
      <c r="AY1506" s="38"/>
      <c r="AZ1506" s="29">
        <v>30.0</v>
      </c>
      <c r="BA1506" s="29"/>
      <c r="BB1506" s="29">
        <v>1.0</v>
      </c>
      <c r="BC1506" s="115" t="s">
        <v>669</v>
      </c>
      <c r="BD1506" s="29" t="s">
        <v>88</v>
      </c>
      <c r="BE1506" s="29"/>
      <c r="BF1506" s="115" t="s">
        <v>669</v>
      </c>
      <c r="BG1506" s="115" t="s">
        <v>669</v>
      </c>
      <c r="BH1506" s="29" t="s">
        <v>88</v>
      </c>
      <c r="BI1506" s="29" t="s">
        <v>2588</v>
      </c>
      <c r="BJ1506" s="29"/>
      <c r="BK1506" s="29" t="s">
        <v>2589</v>
      </c>
      <c r="BL1506" s="29" t="s">
        <v>2589</v>
      </c>
      <c r="BM1506" s="45">
        <v>1.0</v>
      </c>
      <c r="BN1506" s="45"/>
      <c r="BO1506" s="46" t="s">
        <v>2590</v>
      </c>
      <c r="BP1506" s="2"/>
      <c r="BQ1506" s="3"/>
    </row>
    <row r="1507" ht="15.75" customHeight="1">
      <c r="A1507" s="34">
        <v>1547.0</v>
      </c>
      <c r="B1507" s="34">
        <v>103803.0</v>
      </c>
      <c r="C1507" s="34" t="s">
        <v>76</v>
      </c>
      <c r="D1507" s="34" t="s">
        <v>2583</v>
      </c>
      <c r="E1507" s="34" t="s">
        <v>2584</v>
      </c>
      <c r="F1507" s="34">
        <v>2016.0</v>
      </c>
      <c r="G1507" s="34" t="s">
        <v>2585</v>
      </c>
      <c r="H1507" s="34" t="s">
        <v>231</v>
      </c>
      <c r="I1507" s="34" t="s">
        <v>2586</v>
      </c>
      <c r="J1507" s="35"/>
      <c r="K1507" s="36">
        <v>4.610000000000014</v>
      </c>
      <c r="L1507" s="36">
        <v>134.69</v>
      </c>
      <c r="M1507" s="36">
        <v>139.3</v>
      </c>
      <c r="N1507" s="36"/>
      <c r="O1507" s="36"/>
      <c r="P1507" s="52">
        <f t="shared" si="172"/>
        <v>3.422674289</v>
      </c>
      <c r="Q1507" s="36" t="s">
        <v>191</v>
      </c>
      <c r="R1507" s="36" t="s">
        <v>191</v>
      </c>
      <c r="S1507" s="36">
        <v>30.0</v>
      </c>
      <c r="T1507" s="36" t="s">
        <v>2593</v>
      </c>
      <c r="U1507" s="36" t="s">
        <v>2594</v>
      </c>
      <c r="V1507" s="36">
        <v>1.0</v>
      </c>
      <c r="W1507" s="36" t="s">
        <v>88</v>
      </c>
      <c r="X1507" s="38">
        <v>1.0</v>
      </c>
      <c r="Y1507" s="53" t="s">
        <v>256</v>
      </c>
      <c r="Z1507" s="38" t="s">
        <v>257</v>
      </c>
      <c r="AA1507" s="38" t="s">
        <v>86</v>
      </c>
      <c r="AB1507" s="38">
        <v>38.856</v>
      </c>
      <c r="AC1507" s="38">
        <v>100.372</v>
      </c>
      <c r="AD1507" s="38" t="s">
        <v>198</v>
      </c>
      <c r="AE1507" s="53"/>
      <c r="AF1507" s="38" t="s">
        <v>1048</v>
      </c>
      <c r="AG1507" s="57"/>
      <c r="AH1507" s="38">
        <v>4.5</v>
      </c>
      <c r="AI1507" s="50">
        <v>38.875</v>
      </c>
      <c r="AJ1507" s="50">
        <v>100.375</v>
      </c>
      <c r="AK1507" s="41" t="s">
        <v>86</v>
      </c>
      <c r="AL1507" s="40" t="s">
        <v>86</v>
      </c>
      <c r="AM1507" s="49">
        <v>1554.0</v>
      </c>
      <c r="AN1507" s="51">
        <v>1554.0</v>
      </c>
      <c r="AO1507" s="42" t="s">
        <v>261</v>
      </c>
      <c r="AP1507" s="43" t="s">
        <v>261</v>
      </c>
      <c r="AQ1507" s="44" t="str">
        <f t="shared" si="165"/>
        <v>CRO</v>
      </c>
      <c r="AR1507" s="44">
        <f t="shared" si="144"/>
        <v>1554</v>
      </c>
      <c r="AS1507" s="44" t="str">
        <f t="shared" si="173"/>
        <v>B</v>
      </c>
      <c r="AT1507" s="44" t="str">
        <f t="shared" si="114"/>
        <v>BW</v>
      </c>
      <c r="AU1507" s="44" t="str">
        <f t="shared" si="115"/>
        <v>BWk</v>
      </c>
      <c r="AV1507" s="38">
        <v>3.0</v>
      </c>
      <c r="AW1507" s="38"/>
      <c r="AX1507" s="38"/>
      <c r="AY1507" s="38"/>
      <c r="AZ1507" s="29">
        <v>30.0</v>
      </c>
      <c r="BA1507" s="29"/>
      <c r="BB1507" s="29">
        <v>1.0</v>
      </c>
      <c r="BC1507" s="115" t="s">
        <v>669</v>
      </c>
      <c r="BD1507" s="29" t="s">
        <v>88</v>
      </c>
      <c r="BE1507" s="29"/>
      <c r="BF1507" s="115" t="s">
        <v>669</v>
      </c>
      <c r="BG1507" s="115" t="s">
        <v>669</v>
      </c>
      <c r="BH1507" s="29" t="s">
        <v>88</v>
      </c>
      <c r="BI1507" s="29" t="s">
        <v>2588</v>
      </c>
      <c r="BJ1507" s="29"/>
      <c r="BK1507" s="29" t="s">
        <v>2589</v>
      </c>
      <c r="BL1507" s="29" t="s">
        <v>2589</v>
      </c>
      <c r="BM1507" s="45">
        <v>1.0</v>
      </c>
      <c r="BN1507" s="45"/>
      <c r="BO1507" s="46" t="s">
        <v>2590</v>
      </c>
      <c r="BP1507" s="2"/>
      <c r="BQ1507" s="3"/>
    </row>
    <row r="1508" ht="15.75" customHeight="1">
      <c r="A1508" s="34">
        <v>1548.0</v>
      </c>
      <c r="B1508" s="34">
        <v>103803.0</v>
      </c>
      <c r="C1508" s="34" t="s">
        <v>76</v>
      </c>
      <c r="D1508" s="34" t="s">
        <v>2583</v>
      </c>
      <c r="E1508" s="34" t="s">
        <v>2584</v>
      </c>
      <c r="F1508" s="34">
        <v>2016.0</v>
      </c>
      <c r="G1508" s="34" t="s">
        <v>2585</v>
      </c>
      <c r="H1508" s="34" t="s">
        <v>231</v>
      </c>
      <c r="I1508" s="34" t="s">
        <v>2586</v>
      </c>
      <c r="J1508" s="35"/>
      <c r="K1508" s="36">
        <v>26.55000000000001</v>
      </c>
      <c r="L1508" s="36">
        <v>138.95</v>
      </c>
      <c r="M1508" s="36">
        <v>165.5</v>
      </c>
      <c r="N1508" s="36"/>
      <c r="O1508" s="36"/>
      <c r="P1508" s="52">
        <f t="shared" si="172"/>
        <v>19.10759266</v>
      </c>
      <c r="Q1508" s="36" t="s">
        <v>191</v>
      </c>
      <c r="R1508" s="36" t="s">
        <v>191</v>
      </c>
      <c r="S1508" s="36">
        <v>30.0</v>
      </c>
      <c r="T1508" s="36" t="s">
        <v>2219</v>
      </c>
      <c r="U1508" s="36" t="s">
        <v>2595</v>
      </c>
      <c r="V1508" s="36">
        <v>1.0</v>
      </c>
      <c r="W1508" s="36" t="s">
        <v>88</v>
      </c>
      <c r="X1508" s="38">
        <v>1.0</v>
      </c>
      <c r="Y1508" s="53" t="s">
        <v>256</v>
      </c>
      <c r="Z1508" s="38" t="s">
        <v>257</v>
      </c>
      <c r="AA1508" s="38" t="s">
        <v>86</v>
      </c>
      <c r="AB1508" s="38">
        <v>38.856</v>
      </c>
      <c r="AC1508" s="38">
        <v>100.372</v>
      </c>
      <c r="AD1508" s="38" t="s">
        <v>198</v>
      </c>
      <c r="AE1508" s="53"/>
      <c r="AF1508" s="38" t="s">
        <v>1048</v>
      </c>
      <c r="AG1508" s="57"/>
      <c r="AH1508" s="38">
        <v>4.5</v>
      </c>
      <c r="AI1508" s="50">
        <v>38.875</v>
      </c>
      <c r="AJ1508" s="50">
        <v>100.375</v>
      </c>
      <c r="AK1508" s="41" t="s">
        <v>86</v>
      </c>
      <c r="AL1508" s="40" t="s">
        <v>86</v>
      </c>
      <c r="AM1508" s="49">
        <v>1554.0</v>
      </c>
      <c r="AN1508" s="51">
        <v>1554.0</v>
      </c>
      <c r="AO1508" s="42" t="s">
        <v>261</v>
      </c>
      <c r="AP1508" s="43" t="s">
        <v>261</v>
      </c>
      <c r="AQ1508" s="44" t="str">
        <f t="shared" si="165"/>
        <v>CRO</v>
      </c>
      <c r="AR1508" s="44">
        <f t="shared" si="144"/>
        <v>1554</v>
      </c>
      <c r="AS1508" s="44" t="str">
        <f t="shared" si="173"/>
        <v>B</v>
      </c>
      <c r="AT1508" s="44" t="str">
        <f t="shared" si="114"/>
        <v>BW</v>
      </c>
      <c r="AU1508" s="44" t="str">
        <f t="shared" si="115"/>
        <v>BWk</v>
      </c>
      <c r="AV1508" s="38">
        <v>3.0</v>
      </c>
      <c r="AW1508" s="38"/>
      <c r="AX1508" s="38"/>
      <c r="AY1508" s="38"/>
      <c r="AZ1508" s="29">
        <v>30.0</v>
      </c>
      <c r="BA1508" s="29"/>
      <c r="BB1508" s="29">
        <v>1.0</v>
      </c>
      <c r="BC1508" s="115" t="s">
        <v>669</v>
      </c>
      <c r="BD1508" s="29" t="s">
        <v>88</v>
      </c>
      <c r="BE1508" s="29"/>
      <c r="BF1508" s="115" t="s">
        <v>669</v>
      </c>
      <c r="BG1508" s="115" t="s">
        <v>669</v>
      </c>
      <c r="BH1508" s="29" t="s">
        <v>88</v>
      </c>
      <c r="BI1508" s="29" t="s">
        <v>2588</v>
      </c>
      <c r="BJ1508" s="29"/>
      <c r="BK1508" s="29" t="s">
        <v>2589</v>
      </c>
      <c r="BL1508" s="29" t="s">
        <v>2589</v>
      </c>
      <c r="BM1508" s="45">
        <v>1.0</v>
      </c>
      <c r="BN1508" s="45"/>
      <c r="BO1508" s="46" t="s">
        <v>2590</v>
      </c>
      <c r="BP1508" s="2"/>
      <c r="BQ1508" s="3"/>
    </row>
    <row r="1509" ht="15.75" customHeight="1">
      <c r="A1509" s="34">
        <v>1549.0</v>
      </c>
      <c r="B1509" s="34">
        <v>103803.0</v>
      </c>
      <c r="C1509" s="34" t="s">
        <v>76</v>
      </c>
      <c r="D1509" s="34" t="s">
        <v>2583</v>
      </c>
      <c r="E1509" s="34" t="s">
        <v>2584</v>
      </c>
      <c r="F1509" s="34">
        <v>2016.0</v>
      </c>
      <c r="G1509" s="34" t="s">
        <v>2585</v>
      </c>
      <c r="H1509" s="34" t="s">
        <v>231</v>
      </c>
      <c r="I1509" s="34" t="s">
        <v>2586</v>
      </c>
      <c r="J1509" s="35"/>
      <c r="K1509" s="36">
        <v>5.429999999999978</v>
      </c>
      <c r="L1509" s="36">
        <v>135.52</v>
      </c>
      <c r="M1509" s="36">
        <v>140.95</v>
      </c>
      <c r="N1509" s="36"/>
      <c r="O1509" s="36"/>
      <c r="P1509" s="52">
        <f t="shared" si="172"/>
        <v>4.006788666</v>
      </c>
      <c r="Q1509" s="36" t="s">
        <v>191</v>
      </c>
      <c r="R1509" s="36" t="s">
        <v>191</v>
      </c>
      <c r="S1509" s="36">
        <v>30.0</v>
      </c>
      <c r="T1509" s="36" t="s">
        <v>2596</v>
      </c>
      <c r="U1509" s="36" t="s">
        <v>2597</v>
      </c>
      <c r="V1509" s="36">
        <v>1.0</v>
      </c>
      <c r="W1509" s="36" t="s">
        <v>88</v>
      </c>
      <c r="X1509" s="38">
        <v>1.0</v>
      </c>
      <c r="Y1509" s="53" t="s">
        <v>256</v>
      </c>
      <c r="Z1509" s="38" t="s">
        <v>257</v>
      </c>
      <c r="AA1509" s="38" t="s">
        <v>86</v>
      </c>
      <c r="AB1509" s="38">
        <v>38.856</v>
      </c>
      <c r="AC1509" s="38">
        <v>100.372</v>
      </c>
      <c r="AD1509" s="38" t="s">
        <v>198</v>
      </c>
      <c r="AE1509" s="53"/>
      <c r="AF1509" s="38" t="s">
        <v>1048</v>
      </c>
      <c r="AG1509" s="57"/>
      <c r="AH1509" s="38">
        <v>4.5</v>
      </c>
      <c r="AI1509" s="50">
        <v>38.875</v>
      </c>
      <c r="AJ1509" s="50">
        <v>100.375</v>
      </c>
      <c r="AK1509" s="41" t="s">
        <v>86</v>
      </c>
      <c r="AL1509" s="40" t="s">
        <v>86</v>
      </c>
      <c r="AM1509" s="49">
        <v>1554.0</v>
      </c>
      <c r="AN1509" s="51">
        <v>1554.0</v>
      </c>
      <c r="AO1509" s="42" t="s">
        <v>261</v>
      </c>
      <c r="AP1509" s="43" t="s">
        <v>261</v>
      </c>
      <c r="AQ1509" s="44" t="str">
        <f t="shared" si="165"/>
        <v>CRO</v>
      </c>
      <c r="AR1509" s="44">
        <f t="shared" si="144"/>
        <v>1554</v>
      </c>
      <c r="AS1509" s="44" t="str">
        <f t="shared" si="173"/>
        <v>B</v>
      </c>
      <c r="AT1509" s="44" t="str">
        <f t="shared" si="114"/>
        <v>BW</v>
      </c>
      <c r="AU1509" s="44" t="str">
        <f t="shared" si="115"/>
        <v>BWk</v>
      </c>
      <c r="AV1509" s="38">
        <v>3.0</v>
      </c>
      <c r="AW1509" s="38"/>
      <c r="AX1509" s="38"/>
      <c r="AY1509" s="38"/>
      <c r="AZ1509" s="29">
        <v>30.0</v>
      </c>
      <c r="BA1509" s="29"/>
      <c r="BB1509" s="29">
        <v>1.0</v>
      </c>
      <c r="BC1509" s="115" t="s">
        <v>669</v>
      </c>
      <c r="BD1509" s="29" t="s">
        <v>88</v>
      </c>
      <c r="BE1509" s="29"/>
      <c r="BF1509" s="115" t="s">
        <v>669</v>
      </c>
      <c r="BG1509" s="115" t="s">
        <v>669</v>
      </c>
      <c r="BH1509" s="29" t="s">
        <v>88</v>
      </c>
      <c r="BI1509" s="29" t="s">
        <v>2588</v>
      </c>
      <c r="BJ1509" s="29"/>
      <c r="BK1509" s="29" t="s">
        <v>2589</v>
      </c>
      <c r="BL1509" s="29" t="s">
        <v>2589</v>
      </c>
      <c r="BM1509" s="45">
        <v>1.0</v>
      </c>
      <c r="BN1509" s="45"/>
      <c r="BO1509" s="46" t="s">
        <v>2590</v>
      </c>
      <c r="BP1509" s="2"/>
      <c r="BQ1509" s="3"/>
    </row>
    <row r="1510" ht="15.75" customHeight="1">
      <c r="A1510" s="34">
        <v>1550.0</v>
      </c>
      <c r="B1510" s="34">
        <v>103803.0</v>
      </c>
      <c r="C1510" s="34" t="s">
        <v>76</v>
      </c>
      <c r="D1510" s="34" t="s">
        <v>2583</v>
      </c>
      <c r="E1510" s="34" t="s">
        <v>2584</v>
      </c>
      <c r="F1510" s="34">
        <v>2016.0</v>
      </c>
      <c r="G1510" s="34" t="s">
        <v>2585</v>
      </c>
      <c r="H1510" s="34" t="s">
        <v>231</v>
      </c>
      <c r="I1510" s="34" t="s">
        <v>2586</v>
      </c>
      <c r="J1510" s="35"/>
      <c r="K1510" s="36">
        <v>17.47</v>
      </c>
      <c r="L1510" s="36">
        <v>96.94</v>
      </c>
      <c r="M1510" s="36">
        <v>114.41</v>
      </c>
      <c r="N1510" s="36"/>
      <c r="O1510" s="36"/>
      <c r="P1510" s="52">
        <f t="shared" si="172"/>
        <v>18.02145657</v>
      </c>
      <c r="Q1510" s="36" t="s">
        <v>191</v>
      </c>
      <c r="R1510" s="36" t="s">
        <v>191</v>
      </c>
      <c r="S1510" s="36">
        <v>30.0</v>
      </c>
      <c r="T1510" s="36" t="s">
        <v>2598</v>
      </c>
      <c r="U1510" s="36" t="s">
        <v>2599</v>
      </c>
      <c r="V1510" s="36">
        <v>1.0</v>
      </c>
      <c r="W1510" s="36" t="s">
        <v>88</v>
      </c>
      <c r="X1510" s="38">
        <v>1.0</v>
      </c>
      <c r="Y1510" s="53" t="s">
        <v>256</v>
      </c>
      <c r="Z1510" s="38" t="s">
        <v>257</v>
      </c>
      <c r="AA1510" s="38" t="s">
        <v>86</v>
      </c>
      <c r="AB1510" s="38">
        <v>38.856</v>
      </c>
      <c r="AC1510" s="38">
        <v>100.372</v>
      </c>
      <c r="AD1510" s="38" t="s">
        <v>198</v>
      </c>
      <c r="AE1510" s="53"/>
      <c r="AF1510" s="38" t="s">
        <v>1048</v>
      </c>
      <c r="AG1510" s="57"/>
      <c r="AH1510" s="38">
        <v>4.5</v>
      </c>
      <c r="AI1510" s="50">
        <v>38.875</v>
      </c>
      <c r="AJ1510" s="50">
        <v>100.375</v>
      </c>
      <c r="AK1510" s="41" t="s">
        <v>86</v>
      </c>
      <c r="AL1510" s="40" t="s">
        <v>86</v>
      </c>
      <c r="AM1510" s="49">
        <v>1554.0</v>
      </c>
      <c r="AN1510" s="51">
        <v>1554.0</v>
      </c>
      <c r="AO1510" s="42" t="s">
        <v>261</v>
      </c>
      <c r="AP1510" s="43" t="s">
        <v>261</v>
      </c>
      <c r="AQ1510" s="44" t="str">
        <f t="shared" si="165"/>
        <v>CRO</v>
      </c>
      <c r="AR1510" s="44">
        <f t="shared" si="144"/>
        <v>1554</v>
      </c>
      <c r="AS1510" s="44" t="str">
        <f t="shared" si="173"/>
        <v>B</v>
      </c>
      <c r="AT1510" s="44" t="str">
        <f t="shared" si="114"/>
        <v>BW</v>
      </c>
      <c r="AU1510" s="44" t="str">
        <f t="shared" si="115"/>
        <v>BWk</v>
      </c>
      <c r="AV1510" s="38">
        <v>3.0</v>
      </c>
      <c r="AW1510" s="38"/>
      <c r="AX1510" s="38"/>
      <c r="AY1510" s="38"/>
      <c r="AZ1510" s="29">
        <v>30.0</v>
      </c>
      <c r="BA1510" s="29"/>
      <c r="BB1510" s="29">
        <v>1.0</v>
      </c>
      <c r="BC1510" s="115" t="s">
        <v>669</v>
      </c>
      <c r="BD1510" s="29" t="s">
        <v>88</v>
      </c>
      <c r="BE1510" s="29"/>
      <c r="BF1510" s="115" t="s">
        <v>669</v>
      </c>
      <c r="BG1510" s="115" t="s">
        <v>669</v>
      </c>
      <c r="BH1510" s="29" t="s">
        <v>88</v>
      </c>
      <c r="BI1510" s="29" t="s">
        <v>2588</v>
      </c>
      <c r="BJ1510" s="29"/>
      <c r="BK1510" s="29" t="s">
        <v>2589</v>
      </c>
      <c r="BL1510" s="29" t="s">
        <v>2589</v>
      </c>
      <c r="BM1510" s="45">
        <v>1.0</v>
      </c>
      <c r="BN1510" s="45"/>
      <c r="BO1510" s="46" t="s">
        <v>2590</v>
      </c>
      <c r="BP1510" s="2"/>
      <c r="BQ1510" s="3"/>
    </row>
    <row r="1511" ht="15.75" customHeight="1">
      <c r="A1511" s="34">
        <v>1551.0</v>
      </c>
      <c r="B1511" s="34">
        <v>103803.0</v>
      </c>
      <c r="C1511" s="34" t="s">
        <v>76</v>
      </c>
      <c r="D1511" s="34" t="s">
        <v>2583</v>
      </c>
      <c r="E1511" s="34" t="s">
        <v>2584</v>
      </c>
      <c r="F1511" s="34">
        <v>2016.0</v>
      </c>
      <c r="G1511" s="34" t="s">
        <v>2585</v>
      </c>
      <c r="H1511" s="34" t="s">
        <v>231</v>
      </c>
      <c r="I1511" s="34" t="s">
        <v>2586</v>
      </c>
      <c r="J1511" s="35"/>
      <c r="K1511" s="36">
        <v>20.485</v>
      </c>
      <c r="L1511" s="36">
        <v>98.315</v>
      </c>
      <c r="M1511" s="36">
        <f>average(M1505:M1510)</f>
        <v>118.8</v>
      </c>
      <c r="N1511" s="36"/>
      <c r="O1511" s="36"/>
      <c r="P1511" s="52">
        <f t="shared" si="172"/>
        <v>20.83608808</v>
      </c>
      <c r="Q1511" s="36" t="s">
        <v>191</v>
      </c>
      <c r="R1511" s="36" t="s">
        <v>191</v>
      </c>
      <c r="S1511" s="36">
        <v>30.0</v>
      </c>
      <c r="T1511" s="36" t="s">
        <v>2137</v>
      </c>
      <c r="U1511" s="36" t="s">
        <v>2599</v>
      </c>
      <c r="V1511" s="36">
        <v>6.0</v>
      </c>
      <c r="W1511" s="36" t="s">
        <v>88</v>
      </c>
      <c r="X1511" s="38">
        <v>1.0</v>
      </c>
      <c r="Y1511" s="53" t="s">
        <v>256</v>
      </c>
      <c r="Z1511" s="38" t="s">
        <v>257</v>
      </c>
      <c r="AA1511" s="38" t="s">
        <v>86</v>
      </c>
      <c r="AB1511" s="38">
        <v>38.856</v>
      </c>
      <c r="AC1511" s="38">
        <v>100.372</v>
      </c>
      <c r="AD1511" s="38" t="s">
        <v>198</v>
      </c>
      <c r="AE1511" s="53"/>
      <c r="AF1511" s="38" t="s">
        <v>1048</v>
      </c>
      <c r="AG1511" s="57"/>
      <c r="AH1511" s="38">
        <v>4.5</v>
      </c>
      <c r="AI1511" s="50">
        <v>38.875</v>
      </c>
      <c r="AJ1511" s="50">
        <v>100.375</v>
      </c>
      <c r="AK1511" s="41" t="s">
        <v>86</v>
      </c>
      <c r="AL1511" s="40" t="s">
        <v>86</v>
      </c>
      <c r="AM1511" s="49">
        <v>1554.0</v>
      </c>
      <c r="AN1511" s="51">
        <v>1554.0</v>
      </c>
      <c r="AO1511" s="42" t="s">
        <v>261</v>
      </c>
      <c r="AP1511" s="43" t="s">
        <v>261</v>
      </c>
      <c r="AQ1511" s="44" t="str">
        <f t="shared" si="165"/>
        <v>CRO</v>
      </c>
      <c r="AR1511" s="44">
        <f t="shared" si="144"/>
        <v>1554</v>
      </c>
      <c r="AS1511" s="44" t="str">
        <f t="shared" si="173"/>
        <v>B</v>
      </c>
      <c r="AT1511" s="44" t="str">
        <f t="shared" si="114"/>
        <v>BW</v>
      </c>
      <c r="AU1511" s="44" t="str">
        <f t="shared" si="115"/>
        <v>BWk</v>
      </c>
      <c r="AV1511" s="38">
        <v>3.0</v>
      </c>
      <c r="AW1511" s="38"/>
      <c r="AX1511" s="38"/>
      <c r="AY1511" s="38"/>
      <c r="AZ1511" s="29">
        <v>30.0</v>
      </c>
      <c r="BA1511" s="29"/>
      <c r="BB1511" s="29">
        <v>1.0</v>
      </c>
      <c r="BC1511" s="115" t="s">
        <v>669</v>
      </c>
      <c r="BD1511" s="29" t="s">
        <v>88</v>
      </c>
      <c r="BE1511" s="29"/>
      <c r="BF1511" s="115" t="s">
        <v>669</v>
      </c>
      <c r="BG1511" s="115" t="s">
        <v>669</v>
      </c>
      <c r="BH1511" s="29" t="s">
        <v>88</v>
      </c>
      <c r="BI1511" s="29" t="s">
        <v>2588</v>
      </c>
      <c r="BJ1511" s="29"/>
      <c r="BK1511" s="29" t="s">
        <v>2589</v>
      </c>
      <c r="BL1511" s="29" t="s">
        <v>2589</v>
      </c>
      <c r="BM1511" s="45">
        <v>1.0</v>
      </c>
      <c r="BN1511" s="45"/>
      <c r="BO1511" s="46" t="s">
        <v>2590</v>
      </c>
      <c r="BP1511" s="2"/>
      <c r="BQ1511" s="3"/>
    </row>
    <row r="1512" ht="15.75" customHeight="1">
      <c r="A1512" s="34">
        <v>1552.0</v>
      </c>
      <c r="B1512" s="34">
        <v>103803.0</v>
      </c>
      <c r="C1512" s="34" t="s">
        <v>76</v>
      </c>
      <c r="D1512" s="34" t="s">
        <v>2583</v>
      </c>
      <c r="E1512" s="34" t="s">
        <v>2584</v>
      </c>
      <c r="F1512" s="34">
        <v>2016.0</v>
      </c>
      <c r="G1512" s="34" t="s">
        <v>2585</v>
      </c>
      <c r="H1512" s="34" t="s">
        <v>231</v>
      </c>
      <c r="I1512" s="34" t="s">
        <v>2586</v>
      </c>
      <c r="J1512" s="35"/>
      <c r="K1512" s="36">
        <v>103.63999999999999</v>
      </c>
      <c r="L1512" s="36">
        <v>38.02</v>
      </c>
      <c r="M1512" s="36">
        <v>141.66</v>
      </c>
      <c r="N1512" s="36"/>
      <c r="O1512" s="36"/>
      <c r="P1512" s="86">
        <f t="shared" si="172"/>
        <v>272.5933719</v>
      </c>
      <c r="Q1512" s="36" t="s">
        <v>191</v>
      </c>
      <c r="R1512" s="36" t="s">
        <v>191</v>
      </c>
      <c r="S1512" s="36">
        <v>30.0</v>
      </c>
      <c r="T1512" s="36" t="s">
        <v>2137</v>
      </c>
      <c r="U1512" s="36" t="s">
        <v>2587</v>
      </c>
      <c r="V1512" s="36">
        <v>1.0</v>
      </c>
      <c r="W1512" s="36" t="s">
        <v>88</v>
      </c>
      <c r="X1512" s="38">
        <v>1.0</v>
      </c>
      <c r="Y1512" s="38" t="s">
        <v>654</v>
      </c>
      <c r="Z1512" s="38" t="s">
        <v>654</v>
      </c>
      <c r="AA1512" s="38" t="s">
        <v>214</v>
      </c>
      <c r="AB1512" s="38">
        <v>38.975</v>
      </c>
      <c r="AC1512" s="38">
        <v>100.446</v>
      </c>
      <c r="AD1512" s="38" t="s">
        <v>198</v>
      </c>
      <c r="AE1512" s="38">
        <v>1460.0</v>
      </c>
      <c r="AF1512" s="38" t="s">
        <v>2076</v>
      </c>
      <c r="AG1512" s="38"/>
      <c r="AH1512" s="38">
        <v>5.2</v>
      </c>
      <c r="AI1512" s="50">
        <v>38.975</v>
      </c>
      <c r="AJ1512" s="50">
        <v>100.446</v>
      </c>
      <c r="AK1512" s="41" t="s">
        <v>86</v>
      </c>
      <c r="AL1512" s="40" t="s">
        <v>86</v>
      </c>
      <c r="AM1512" s="49">
        <v>1459.0</v>
      </c>
      <c r="AN1512" s="51">
        <v>1459.0</v>
      </c>
      <c r="AO1512" s="42" t="s">
        <v>261</v>
      </c>
      <c r="AP1512" s="43" t="s">
        <v>261</v>
      </c>
      <c r="AQ1512" s="44" t="str">
        <f t="shared" si="165"/>
        <v>WET</v>
      </c>
      <c r="AR1512" s="44">
        <f t="shared" si="144"/>
        <v>1459</v>
      </c>
      <c r="AS1512" s="44" t="str">
        <f t="shared" si="173"/>
        <v>B</v>
      </c>
      <c r="AT1512" s="44" t="str">
        <f t="shared" si="114"/>
        <v>BW</v>
      </c>
      <c r="AU1512" s="44" t="str">
        <f t="shared" si="115"/>
        <v>BWk</v>
      </c>
      <c r="AV1512" s="38">
        <v>3.0</v>
      </c>
      <c r="AW1512" s="38"/>
      <c r="AX1512" s="38"/>
      <c r="AY1512" s="38"/>
      <c r="AZ1512" s="29">
        <v>30.0</v>
      </c>
      <c r="BA1512" s="29"/>
      <c r="BB1512" s="29">
        <v>1.0</v>
      </c>
      <c r="BC1512" s="115" t="s">
        <v>669</v>
      </c>
      <c r="BD1512" s="29" t="s">
        <v>88</v>
      </c>
      <c r="BE1512" s="29"/>
      <c r="BF1512" s="115" t="s">
        <v>669</v>
      </c>
      <c r="BG1512" s="115" t="s">
        <v>669</v>
      </c>
      <c r="BH1512" s="29" t="s">
        <v>88</v>
      </c>
      <c r="BI1512" s="29" t="s">
        <v>2588</v>
      </c>
      <c r="BJ1512" s="29"/>
      <c r="BK1512" s="29" t="s">
        <v>2589</v>
      </c>
      <c r="BL1512" s="29" t="s">
        <v>2589</v>
      </c>
      <c r="BM1512" s="45">
        <v>1.0</v>
      </c>
      <c r="BN1512" s="45"/>
      <c r="BO1512" s="46" t="s">
        <v>2590</v>
      </c>
      <c r="BP1512" s="2"/>
      <c r="BQ1512" s="3"/>
    </row>
    <row r="1513" ht="15.75" customHeight="1">
      <c r="A1513" s="34">
        <v>1553.0</v>
      </c>
      <c r="B1513" s="34">
        <v>103803.0</v>
      </c>
      <c r="C1513" s="34" t="s">
        <v>76</v>
      </c>
      <c r="D1513" s="34" t="s">
        <v>2583</v>
      </c>
      <c r="E1513" s="34" t="s">
        <v>2584</v>
      </c>
      <c r="F1513" s="34">
        <v>2016.0</v>
      </c>
      <c r="G1513" s="34" t="s">
        <v>2585</v>
      </c>
      <c r="H1513" s="34" t="s">
        <v>231</v>
      </c>
      <c r="I1513" s="34" t="s">
        <v>2586</v>
      </c>
      <c r="J1513" s="35"/>
      <c r="K1513" s="36">
        <v>166.89</v>
      </c>
      <c r="L1513" s="36">
        <v>111.36</v>
      </c>
      <c r="M1513" s="36">
        <v>278.25</v>
      </c>
      <c r="N1513" s="36"/>
      <c r="O1513" s="36"/>
      <c r="P1513" s="86">
        <f t="shared" si="172"/>
        <v>149.8653017</v>
      </c>
      <c r="Q1513" s="36" t="s">
        <v>191</v>
      </c>
      <c r="R1513" s="36" t="s">
        <v>191</v>
      </c>
      <c r="S1513" s="36">
        <v>30.0</v>
      </c>
      <c r="T1513" s="36" t="s">
        <v>2591</v>
      </c>
      <c r="U1513" s="36" t="s">
        <v>2592</v>
      </c>
      <c r="V1513" s="36">
        <v>1.0</v>
      </c>
      <c r="W1513" s="36" t="s">
        <v>88</v>
      </c>
      <c r="X1513" s="38">
        <v>1.0</v>
      </c>
      <c r="Y1513" s="38" t="s">
        <v>654</v>
      </c>
      <c r="Z1513" s="38" t="s">
        <v>654</v>
      </c>
      <c r="AA1513" s="38" t="s">
        <v>214</v>
      </c>
      <c r="AB1513" s="38">
        <v>38.975</v>
      </c>
      <c r="AC1513" s="38">
        <v>100.446</v>
      </c>
      <c r="AD1513" s="38" t="s">
        <v>198</v>
      </c>
      <c r="AE1513" s="38">
        <v>1460.0</v>
      </c>
      <c r="AF1513" s="38" t="s">
        <v>2076</v>
      </c>
      <c r="AG1513" s="38"/>
      <c r="AH1513" s="38">
        <v>5.2</v>
      </c>
      <c r="AI1513" s="50">
        <v>38.975</v>
      </c>
      <c r="AJ1513" s="50">
        <v>100.446</v>
      </c>
      <c r="AK1513" s="41" t="s">
        <v>86</v>
      </c>
      <c r="AL1513" s="40" t="s">
        <v>86</v>
      </c>
      <c r="AM1513" s="49">
        <v>1459.0</v>
      </c>
      <c r="AN1513" s="51">
        <v>1459.0</v>
      </c>
      <c r="AO1513" s="42" t="s">
        <v>261</v>
      </c>
      <c r="AP1513" s="43" t="s">
        <v>261</v>
      </c>
      <c r="AQ1513" s="44" t="str">
        <f t="shared" si="165"/>
        <v>WET</v>
      </c>
      <c r="AR1513" s="44">
        <f t="shared" si="144"/>
        <v>1459</v>
      </c>
      <c r="AS1513" s="44" t="str">
        <f t="shared" si="173"/>
        <v>B</v>
      </c>
      <c r="AT1513" s="44" t="str">
        <f t="shared" si="114"/>
        <v>BW</v>
      </c>
      <c r="AU1513" s="44" t="str">
        <f t="shared" si="115"/>
        <v>BWk</v>
      </c>
      <c r="AV1513" s="38">
        <v>3.0</v>
      </c>
      <c r="AW1513" s="38"/>
      <c r="AX1513" s="38"/>
      <c r="AY1513" s="38"/>
      <c r="AZ1513" s="29">
        <v>30.0</v>
      </c>
      <c r="BA1513" s="29"/>
      <c r="BB1513" s="29">
        <v>1.0</v>
      </c>
      <c r="BC1513" s="115" t="s">
        <v>669</v>
      </c>
      <c r="BD1513" s="29" t="s">
        <v>88</v>
      </c>
      <c r="BE1513" s="29"/>
      <c r="BF1513" s="115" t="s">
        <v>669</v>
      </c>
      <c r="BG1513" s="115" t="s">
        <v>669</v>
      </c>
      <c r="BH1513" s="29" t="s">
        <v>88</v>
      </c>
      <c r="BI1513" s="29" t="s">
        <v>2588</v>
      </c>
      <c r="BJ1513" s="29"/>
      <c r="BK1513" s="29" t="s">
        <v>2589</v>
      </c>
      <c r="BL1513" s="29" t="s">
        <v>2589</v>
      </c>
      <c r="BM1513" s="45">
        <v>1.0</v>
      </c>
      <c r="BN1513" s="45"/>
      <c r="BO1513" s="46" t="s">
        <v>2590</v>
      </c>
      <c r="BP1513" s="2"/>
      <c r="BQ1513" s="3"/>
    </row>
    <row r="1514" ht="15.75" customHeight="1">
      <c r="A1514" s="34">
        <v>1554.0</v>
      </c>
      <c r="B1514" s="34">
        <v>103803.0</v>
      </c>
      <c r="C1514" s="34" t="s">
        <v>76</v>
      </c>
      <c r="D1514" s="34" t="s">
        <v>2583</v>
      </c>
      <c r="E1514" s="34" t="s">
        <v>2584</v>
      </c>
      <c r="F1514" s="34">
        <v>2016.0</v>
      </c>
      <c r="G1514" s="34" t="s">
        <v>2585</v>
      </c>
      <c r="H1514" s="34" t="s">
        <v>231</v>
      </c>
      <c r="I1514" s="34" t="s">
        <v>2586</v>
      </c>
      <c r="J1514" s="35"/>
      <c r="K1514" s="36">
        <v>-1.490000000000009</v>
      </c>
      <c r="L1514" s="36">
        <v>208.0</v>
      </c>
      <c r="M1514" s="36">
        <v>206.51</v>
      </c>
      <c r="N1514" s="36"/>
      <c r="O1514" s="36"/>
      <c r="P1514" s="52">
        <f t="shared" si="172"/>
        <v>-0.7163461538</v>
      </c>
      <c r="Q1514" s="36" t="s">
        <v>191</v>
      </c>
      <c r="R1514" s="36" t="s">
        <v>191</v>
      </c>
      <c r="S1514" s="36">
        <v>30.0</v>
      </c>
      <c r="T1514" s="36" t="s">
        <v>2593</v>
      </c>
      <c r="U1514" s="36" t="s">
        <v>2594</v>
      </c>
      <c r="V1514" s="36">
        <v>1.0</v>
      </c>
      <c r="W1514" s="36" t="s">
        <v>88</v>
      </c>
      <c r="X1514" s="38">
        <v>1.0</v>
      </c>
      <c r="Y1514" s="38" t="s">
        <v>654</v>
      </c>
      <c r="Z1514" s="38" t="s">
        <v>654</v>
      </c>
      <c r="AA1514" s="38" t="s">
        <v>214</v>
      </c>
      <c r="AB1514" s="38">
        <v>38.975</v>
      </c>
      <c r="AC1514" s="38">
        <v>100.446</v>
      </c>
      <c r="AD1514" s="38" t="s">
        <v>198</v>
      </c>
      <c r="AE1514" s="38">
        <v>1460.0</v>
      </c>
      <c r="AF1514" s="38" t="s">
        <v>2076</v>
      </c>
      <c r="AG1514" s="38"/>
      <c r="AH1514" s="38">
        <v>5.2</v>
      </c>
      <c r="AI1514" s="50">
        <v>38.975</v>
      </c>
      <c r="AJ1514" s="50">
        <v>100.446</v>
      </c>
      <c r="AK1514" s="41" t="s">
        <v>86</v>
      </c>
      <c r="AL1514" s="40" t="s">
        <v>86</v>
      </c>
      <c r="AM1514" s="49">
        <v>1459.0</v>
      </c>
      <c r="AN1514" s="51">
        <v>1459.0</v>
      </c>
      <c r="AO1514" s="42" t="s">
        <v>261</v>
      </c>
      <c r="AP1514" s="43" t="s">
        <v>261</v>
      </c>
      <c r="AQ1514" s="44" t="str">
        <f t="shared" si="165"/>
        <v>WET</v>
      </c>
      <c r="AR1514" s="44">
        <f t="shared" si="144"/>
        <v>1459</v>
      </c>
      <c r="AS1514" s="44" t="str">
        <f t="shared" si="173"/>
        <v>B</v>
      </c>
      <c r="AT1514" s="44" t="str">
        <f t="shared" si="114"/>
        <v>BW</v>
      </c>
      <c r="AU1514" s="44" t="str">
        <f t="shared" si="115"/>
        <v>BWk</v>
      </c>
      <c r="AV1514" s="38">
        <v>3.0</v>
      </c>
      <c r="AW1514" s="38"/>
      <c r="AX1514" s="38"/>
      <c r="AY1514" s="38"/>
      <c r="AZ1514" s="29">
        <v>30.0</v>
      </c>
      <c r="BA1514" s="29"/>
      <c r="BB1514" s="29">
        <v>1.0</v>
      </c>
      <c r="BC1514" s="115" t="s">
        <v>669</v>
      </c>
      <c r="BD1514" s="29" t="s">
        <v>88</v>
      </c>
      <c r="BE1514" s="29"/>
      <c r="BF1514" s="115" t="s">
        <v>669</v>
      </c>
      <c r="BG1514" s="115" t="s">
        <v>669</v>
      </c>
      <c r="BH1514" s="29" t="s">
        <v>88</v>
      </c>
      <c r="BI1514" s="29" t="s">
        <v>2588</v>
      </c>
      <c r="BJ1514" s="29"/>
      <c r="BK1514" s="29" t="s">
        <v>2589</v>
      </c>
      <c r="BL1514" s="29" t="s">
        <v>2589</v>
      </c>
      <c r="BM1514" s="45">
        <v>1.0</v>
      </c>
      <c r="BN1514" s="45"/>
      <c r="BO1514" s="46" t="s">
        <v>2590</v>
      </c>
      <c r="BP1514" s="2"/>
      <c r="BQ1514" s="3"/>
    </row>
    <row r="1515" ht="15.75" customHeight="1">
      <c r="A1515" s="34">
        <v>1555.0</v>
      </c>
      <c r="B1515" s="34">
        <v>103803.0</v>
      </c>
      <c r="C1515" s="34" t="s">
        <v>76</v>
      </c>
      <c r="D1515" s="34" t="s">
        <v>2583</v>
      </c>
      <c r="E1515" s="34" t="s">
        <v>2584</v>
      </c>
      <c r="F1515" s="34">
        <v>2016.0</v>
      </c>
      <c r="G1515" s="34" t="s">
        <v>2585</v>
      </c>
      <c r="H1515" s="34" t="s">
        <v>231</v>
      </c>
      <c r="I1515" s="34" t="s">
        <v>2586</v>
      </c>
      <c r="J1515" s="35"/>
      <c r="K1515" s="36">
        <v>-8.23999999999998</v>
      </c>
      <c r="L1515" s="36">
        <v>190.67</v>
      </c>
      <c r="M1515" s="36">
        <v>182.43</v>
      </c>
      <c r="N1515" s="36"/>
      <c r="O1515" s="36"/>
      <c r="P1515" s="52">
        <f t="shared" si="172"/>
        <v>-4.321602769</v>
      </c>
      <c r="Q1515" s="36" t="s">
        <v>191</v>
      </c>
      <c r="R1515" s="36" t="s">
        <v>191</v>
      </c>
      <c r="S1515" s="36">
        <v>30.0</v>
      </c>
      <c r="T1515" s="36" t="s">
        <v>2219</v>
      </c>
      <c r="U1515" s="36" t="s">
        <v>2595</v>
      </c>
      <c r="V1515" s="36">
        <v>1.0</v>
      </c>
      <c r="W1515" s="36" t="s">
        <v>88</v>
      </c>
      <c r="X1515" s="38">
        <v>1.0</v>
      </c>
      <c r="Y1515" s="38" t="s">
        <v>654</v>
      </c>
      <c r="Z1515" s="38" t="s">
        <v>654</v>
      </c>
      <c r="AA1515" s="38" t="s">
        <v>214</v>
      </c>
      <c r="AB1515" s="38">
        <v>38.975</v>
      </c>
      <c r="AC1515" s="38">
        <v>100.446</v>
      </c>
      <c r="AD1515" s="38" t="s">
        <v>198</v>
      </c>
      <c r="AE1515" s="38">
        <v>1460.0</v>
      </c>
      <c r="AF1515" s="38" t="s">
        <v>2076</v>
      </c>
      <c r="AG1515" s="38"/>
      <c r="AH1515" s="38">
        <v>5.2</v>
      </c>
      <c r="AI1515" s="50">
        <v>38.975</v>
      </c>
      <c r="AJ1515" s="50">
        <v>100.446</v>
      </c>
      <c r="AK1515" s="41" t="s">
        <v>86</v>
      </c>
      <c r="AL1515" s="40" t="s">
        <v>86</v>
      </c>
      <c r="AM1515" s="49">
        <v>1459.0</v>
      </c>
      <c r="AN1515" s="51">
        <v>1459.0</v>
      </c>
      <c r="AO1515" s="42" t="s">
        <v>261</v>
      </c>
      <c r="AP1515" s="43" t="s">
        <v>261</v>
      </c>
      <c r="AQ1515" s="44" t="str">
        <f t="shared" si="165"/>
        <v>WET</v>
      </c>
      <c r="AR1515" s="44">
        <f t="shared" si="144"/>
        <v>1459</v>
      </c>
      <c r="AS1515" s="44" t="str">
        <f t="shared" si="173"/>
        <v>B</v>
      </c>
      <c r="AT1515" s="44" t="str">
        <f t="shared" si="114"/>
        <v>BW</v>
      </c>
      <c r="AU1515" s="44" t="str">
        <f t="shared" si="115"/>
        <v>BWk</v>
      </c>
      <c r="AV1515" s="38">
        <v>3.0</v>
      </c>
      <c r="AW1515" s="38"/>
      <c r="AX1515" s="38"/>
      <c r="AY1515" s="38"/>
      <c r="AZ1515" s="29">
        <v>30.0</v>
      </c>
      <c r="BA1515" s="29"/>
      <c r="BB1515" s="29">
        <v>1.0</v>
      </c>
      <c r="BC1515" s="115" t="s">
        <v>669</v>
      </c>
      <c r="BD1515" s="29" t="s">
        <v>88</v>
      </c>
      <c r="BE1515" s="29"/>
      <c r="BF1515" s="115" t="s">
        <v>669</v>
      </c>
      <c r="BG1515" s="115" t="s">
        <v>669</v>
      </c>
      <c r="BH1515" s="29" t="s">
        <v>88</v>
      </c>
      <c r="BI1515" s="29" t="s">
        <v>2588</v>
      </c>
      <c r="BJ1515" s="29"/>
      <c r="BK1515" s="29" t="s">
        <v>2589</v>
      </c>
      <c r="BL1515" s="29" t="s">
        <v>2589</v>
      </c>
      <c r="BM1515" s="45">
        <v>1.0</v>
      </c>
      <c r="BN1515" s="45"/>
      <c r="BO1515" s="46" t="s">
        <v>2590</v>
      </c>
      <c r="BP1515" s="2"/>
      <c r="BQ1515" s="3"/>
    </row>
    <row r="1516" ht="15.75" customHeight="1">
      <c r="A1516" s="34">
        <v>1556.0</v>
      </c>
      <c r="B1516" s="34">
        <v>103803.0</v>
      </c>
      <c r="C1516" s="34" t="s">
        <v>76</v>
      </c>
      <c r="D1516" s="34" t="s">
        <v>2583</v>
      </c>
      <c r="E1516" s="34" t="s">
        <v>2584</v>
      </c>
      <c r="F1516" s="34">
        <v>2016.0</v>
      </c>
      <c r="G1516" s="34" t="s">
        <v>2585</v>
      </c>
      <c r="H1516" s="34" t="s">
        <v>231</v>
      </c>
      <c r="I1516" s="34" t="s">
        <v>2586</v>
      </c>
      <c r="J1516" s="35"/>
      <c r="K1516" s="36">
        <v>-10.219999999999999</v>
      </c>
      <c r="L1516" s="36">
        <v>187.12</v>
      </c>
      <c r="M1516" s="36">
        <v>176.9</v>
      </c>
      <c r="N1516" s="36"/>
      <c r="O1516" s="36"/>
      <c r="P1516" s="52">
        <f t="shared" si="172"/>
        <v>-5.461735785</v>
      </c>
      <c r="Q1516" s="36" t="s">
        <v>191</v>
      </c>
      <c r="R1516" s="36" t="s">
        <v>191</v>
      </c>
      <c r="S1516" s="36">
        <v>30.0</v>
      </c>
      <c r="T1516" s="36" t="s">
        <v>2596</v>
      </c>
      <c r="U1516" s="36" t="s">
        <v>2597</v>
      </c>
      <c r="V1516" s="36">
        <v>1.0</v>
      </c>
      <c r="W1516" s="36" t="s">
        <v>88</v>
      </c>
      <c r="X1516" s="38">
        <v>1.0</v>
      </c>
      <c r="Y1516" s="38" t="s">
        <v>654</v>
      </c>
      <c r="Z1516" s="38" t="s">
        <v>654</v>
      </c>
      <c r="AA1516" s="38" t="s">
        <v>214</v>
      </c>
      <c r="AB1516" s="38">
        <v>38.975</v>
      </c>
      <c r="AC1516" s="38">
        <v>100.446</v>
      </c>
      <c r="AD1516" s="38" t="s">
        <v>198</v>
      </c>
      <c r="AE1516" s="38">
        <v>1460.0</v>
      </c>
      <c r="AF1516" s="38" t="s">
        <v>2076</v>
      </c>
      <c r="AG1516" s="38"/>
      <c r="AH1516" s="38">
        <v>5.2</v>
      </c>
      <c r="AI1516" s="50">
        <v>38.975</v>
      </c>
      <c r="AJ1516" s="50">
        <v>100.446</v>
      </c>
      <c r="AK1516" s="41" t="s">
        <v>86</v>
      </c>
      <c r="AL1516" s="40" t="s">
        <v>86</v>
      </c>
      <c r="AM1516" s="49">
        <v>1459.0</v>
      </c>
      <c r="AN1516" s="51">
        <v>1459.0</v>
      </c>
      <c r="AO1516" s="42" t="s">
        <v>261</v>
      </c>
      <c r="AP1516" s="43" t="s">
        <v>261</v>
      </c>
      <c r="AQ1516" s="44" t="str">
        <f t="shared" si="165"/>
        <v>WET</v>
      </c>
      <c r="AR1516" s="44">
        <f t="shared" si="144"/>
        <v>1459</v>
      </c>
      <c r="AS1516" s="44" t="str">
        <f t="shared" si="173"/>
        <v>B</v>
      </c>
      <c r="AT1516" s="44" t="str">
        <f t="shared" si="114"/>
        <v>BW</v>
      </c>
      <c r="AU1516" s="44" t="str">
        <f t="shared" si="115"/>
        <v>BWk</v>
      </c>
      <c r="AV1516" s="38">
        <v>3.0</v>
      </c>
      <c r="AW1516" s="38"/>
      <c r="AX1516" s="38"/>
      <c r="AY1516" s="38"/>
      <c r="AZ1516" s="29">
        <v>30.0</v>
      </c>
      <c r="BA1516" s="29"/>
      <c r="BB1516" s="29">
        <v>1.0</v>
      </c>
      <c r="BC1516" s="115" t="s">
        <v>669</v>
      </c>
      <c r="BD1516" s="29" t="s">
        <v>88</v>
      </c>
      <c r="BE1516" s="29"/>
      <c r="BF1516" s="115" t="s">
        <v>669</v>
      </c>
      <c r="BG1516" s="115" t="s">
        <v>669</v>
      </c>
      <c r="BH1516" s="29" t="s">
        <v>88</v>
      </c>
      <c r="BI1516" s="29" t="s">
        <v>2588</v>
      </c>
      <c r="BJ1516" s="29"/>
      <c r="BK1516" s="29" t="s">
        <v>2589</v>
      </c>
      <c r="BL1516" s="29" t="s">
        <v>2589</v>
      </c>
      <c r="BM1516" s="45">
        <v>1.0</v>
      </c>
      <c r="BN1516" s="45"/>
      <c r="BO1516" s="46" t="s">
        <v>2590</v>
      </c>
      <c r="BP1516" s="2"/>
      <c r="BQ1516" s="3"/>
    </row>
    <row r="1517" ht="15.75" customHeight="1">
      <c r="A1517" s="34">
        <v>1557.0</v>
      </c>
      <c r="B1517" s="34">
        <v>103803.0</v>
      </c>
      <c r="C1517" s="34" t="s">
        <v>76</v>
      </c>
      <c r="D1517" s="34" t="s">
        <v>2583</v>
      </c>
      <c r="E1517" s="34" t="s">
        <v>2584</v>
      </c>
      <c r="F1517" s="34">
        <v>2016.0</v>
      </c>
      <c r="G1517" s="34" t="s">
        <v>2585</v>
      </c>
      <c r="H1517" s="34" t="s">
        <v>231</v>
      </c>
      <c r="I1517" s="34" t="s">
        <v>2586</v>
      </c>
      <c r="J1517" s="35"/>
      <c r="K1517" s="36">
        <v>-11.150000000000006</v>
      </c>
      <c r="L1517" s="36">
        <v>170.52</v>
      </c>
      <c r="M1517" s="36">
        <v>159.37</v>
      </c>
      <c r="N1517" s="36"/>
      <c r="O1517" s="36"/>
      <c r="P1517" s="52">
        <f t="shared" si="172"/>
        <v>-6.538822426</v>
      </c>
      <c r="Q1517" s="36" t="s">
        <v>191</v>
      </c>
      <c r="R1517" s="36" t="s">
        <v>191</v>
      </c>
      <c r="S1517" s="36">
        <v>30.0</v>
      </c>
      <c r="T1517" s="36" t="s">
        <v>2598</v>
      </c>
      <c r="U1517" s="36" t="s">
        <v>2599</v>
      </c>
      <c r="V1517" s="36">
        <v>1.0</v>
      </c>
      <c r="W1517" s="36" t="s">
        <v>88</v>
      </c>
      <c r="X1517" s="38">
        <v>1.0</v>
      </c>
      <c r="Y1517" s="38" t="s">
        <v>654</v>
      </c>
      <c r="Z1517" s="38" t="s">
        <v>654</v>
      </c>
      <c r="AA1517" s="38" t="s">
        <v>214</v>
      </c>
      <c r="AB1517" s="38">
        <v>38.975</v>
      </c>
      <c r="AC1517" s="38">
        <v>100.446</v>
      </c>
      <c r="AD1517" s="38" t="s">
        <v>198</v>
      </c>
      <c r="AE1517" s="38">
        <v>1460.0</v>
      </c>
      <c r="AF1517" s="38" t="s">
        <v>2076</v>
      </c>
      <c r="AG1517" s="38"/>
      <c r="AH1517" s="38">
        <v>5.2</v>
      </c>
      <c r="AI1517" s="50">
        <v>38.975</v>
      </c>
      <c r="AJ1517" s="50">
        <v>100.446</v>
      </c>
      <c r="AK1517" s="41" t="s">
        <v>86</v>
      </c>
      <c r="AL1517" s="40" t="s">
        <v>86</v>
      </c>
      <c r="AM1517" s="49">
        <v>1459.0</v>
      </c>
      <c r="AN1517" s="51">
        <v>1459.0</v>
      </c>
      <c r="AO1517" s="42" t="s">
        <v>261</v>
      </c>
      <c r="AP1517" s="43" t="s">
        <v>261</v>
      </c>
      <c r="AQ1517" s="44" t="str">
        <f t="shared" si="165"/>
        <v>WET</v>
      </c>
      <c r="AR1517" s="44">
        <f t="shared" si="144"/>
        <v>1459</v>
      </c>
      <c r="AS1517" s="44" t="str">
        <f t="shared" si="173"/>
        <v>B</v>
      </c>
      <c r="AT1517" s="44" t="str">
        <f t="shared" si="114"/>
        <v>BW</v>
      </c>
      <c r="AU1517" s="44" t="str">
        <f t="shared" si="115"/>
        <v>BWk</v>
      </c>
      <c r="AV1517" s="38">
        <v>3.0</v>
      </c>
      <c r="AW1517" s="38"/>
      <c r="AX1517" s="38"/>
      <c r="AY1517" s="38"/>
      <c r="AZ1517" s="29">
        <v>30.0</v>
      </c>
      <c r="BA1517" s="29"/>
      <c r="BB1517" s="29">
        <v>1.0</v>
      </c>
      <c r="BC1517" s="115" t="s">
        <v>669</v>
      </c>
      <c r="BD1517" s="29" t="s">
        <v>88</v>
      </c>
      <c r="BE1517" s="29"/>
      <c r="BF1517" s="115" t="s">
        <v>669</v>
      </c>
      <c r="BG1517" s="115" t="s">
        <v>669</v>
      </c>
      <c r="BH1517" s="29" t="s">
        <v>88</v>
      </c>
      <c r="BI1517" s="29" t="s">
        <v>2588</v>
      </c>
      <c r="BJ1517" s="29"/>
      <c r="BK1517" s="29" t="s">
        <v>2589</v>
      </c>
      <c r="BL1517" s="29" t="s">
        <v>2589</v>
      </c>
      <c r="BM1517" s="45">
        <v>1.0</v>
      </c>
      <c r="BN1517" s="45"/>
      <c r="BO1517" s="46" t="s">
        <v>2590</v>
      </c>
      <c r="BP1517" s="2"/>
      <c r="BQ1517" s="3"/>
    </row>
    <row r="1518" ht="15.75" customHeight="1">
      <c r="A1518" s="34">
        <v>1558.0</v>
      </c>
      <c r="B1518" s="34">
        <v>103803.0</v>
      </c>
      <c r="C1518" s="34" t="s">
        <v>76</v>
      </c>
      <c r="D1518" s="34" t="s">
        <v>2583</v>
      </c>
      <c r="E1518" s="34" t="s">
        <v>2584</v>
      </c>
      <c r="F1518" s="34">
        <v>2016.0</v>
      </c>
      <c r="G1518" s="34" t="s">
        <v>2585</v>
      </c>
      <c r="H1518" s="34" t="s">
        <v>231</v>
      </c>
      <c r="I1518" s="34" t="s">
        <v>2586</v>
      </c>
      <c r="J1518" s="35"/>
      <c r="K1518" s="36">
        <v>39.905033333333336</v>
      </c>
      <c r="L1518" s="36">
        <v>150.9483</v>
      </c>
      <c r="M1518" s="36">
        <f>average(M1512:M1517)</f>
        <v>190.8533333</v>
      </c>
      <c r="N1518" s="36"/>
      <c r="O1518" s="36"/>
      <c r="P1518" s="52">
        <f t="shared" si="172"/>
        <v>26.43622574</v>
      </c>
      <c r="Q1518" s="36" t="s">
        <v>191</v>
      </c>
      <c r="R1518" s="36" t="s">
        <v>191</v>
      </c>
      <c r="S1518" s="36">
        <v>30.0</v>
      </c>
      <c r="T1518" s="36" t="s">
        <v>2137</v>
      </c>
      <c r="U1518" s="36" t="s">
        <v>2599</v>
      </c>
      <c r="V1518" s="36">
        <v>6.0</v>
      </c>
      <c r="W1518" s="36" t="s">
        <v>88</v>
      </c>
      <c r="X1518" s="38">
        <v>1.0</v>
      </c>
      <c r="Y1518" s="38" t="s">
        <v>654</v>
      </c>
      <c r="Z1518" s="38" t="s">
        <v>654</v>
      </c>
      <c r="AA1518" s="38" t="s">
        <v>214</v>
      </c>
      <c r="AB1518" s="38">
        <v>38.975</v>
      </c>
      <c r="AC1518" s="38">
        <v>100.446</v>
      </c>
      <c r="AD1518" s="38" t="s">
        <v>198</v>
      </c>
      <c r="AE1518" s="38">
        <v>1460.0</v>
      </c>
      <c r="AF1518" s="38" t="s">
        <v>2076</v>
      </c>
      <c r="AG1518" s="38"/>
      <c r="AH1518" s="38">
        <v>5.2</v>
      </c>
      <c r="AI1518" s="50">
        <v>38.975</v>
      </c>
      <c r="AJ1518" s="50">
        <v>100.446</v>
      </c>
      <c r="AK1518" s="41" t="s">
        <v>86</v>
      </c>
      <c r="AL1518" s="40" t="s">
        <v>86</v>
      </c>
      <c r="AM1518" s="49">
        <v>1459.0</v>
      </c>
      <c r="AN1518" s="51">
        <v>1459.0</v>
      </c>
      <c r="AO1518" s="42" t="s">
        <v>261</v>
      </c>
      <c r="AP1518" s="43" t="s">
        <v>261</v>
      </c>
      <c r="AQ1518" s="44" t="str">
        <f t="shared" si="165"/>
        <v>WET</v>
      </c>
      <c r="AR1518" s="44">
        <f t="shared" si="144"/>
        <v>1459</v>
      </c>
      <c r="AS1518" s="44" t="str">
        <f t="shared" si="173"/>
        <v>B</v>
      </c>
      <c r="AT1518" s="44" t="str">
        <f t="shared" si="114"/>
        <v>BW</v>
      </c>
      <c r="AU1518" s="44" t="str">
        <f t="shared" si="115"/>
        <v>BWk</v>
      </c>
      <c r="AV1518" s="38">
        <v>3.0</v>
      </c>
      <c r="AW1518" s="38"/>
      <c r="AX1518" s="38"/>
      <c r="AY1518" s="38"/>
      <c r="AZ1518" s="29">
        <v>30.0</v>
      </c>
      <c r="BA1518" s="29"/>
      <c r="BB1518" s="29">
        <v>1.0</v>
      </c>
      <c r="BC1518" s="115" t="s">
        <v>669</v>
      </c>
      <c r="BD1518" s="29" t="s">
        <v>88</v>
      </c>
      <c r="BE1518" s="29"/>
      <c r="BF1518" s="115" t="s">
        <v>669</v>
      </c>
      <c r="BG1518" s="115" t="s">
        <v>669</v>
      </c>
      <c r="BH1518" s="29" t="s">
        <v>88</v>
      </c>
      <c r="BI1518" s="29" t="s">
        <v>2588</v>
      </c>
      <c r="BJ1518" s="29"/>
      <c r="BK1518" s="29" t="s">
        <v>2589</v>
      </c>
      <c r="BL1518" s="29" t="s">
        <v>2589</v>
      </c>
      <c r="BM1518" s="45">
        <v>1.0</v>
      </c>
      <c r="BN1518" s="45"/>
      <c r="BO1518" s="46" t="s">
        <v>2590</v>
      </c>
      <c r="BP1518" s="2"/>
      <c r="BQ1518" s="3"/>
    </row>
    <row r="1519" ht="15.75" customHeight="1">
      <c r="A1519" s="34">
        <v>1559.0</v>
      </c>
      <c r="B1519" s="34">
        <v>103803.0</v>
      </c>
      <c r="C1519" s="34" t="s">
        <v>76</v>
      </c>
      <c r="D1519" s="34" t="s">
        <v>2583</v>
      </c>
      <c r="E1519" s="34" t="s">
        <v>2584</v>
      </c>
      <c r="F1519" s="34">
        <v>2016.0</v>
      </c>
      <c r="G1519" s="34" t="s">
        <v>2585</v>
      </c>
      <c r="H1519" s="34" t="s">
        <v>231</v>
      </c>
      <c r="I1519" s="34" t="s">
        <v>2586</v>
      </c>
      <c r="J1519" s="35"/>
      <c r="K1519" s="36">
        <v>9.4</v>
      </c>
      <c r="L1519" s="36">
        <v>0.36</v>
      </c>
      <c r="M1519" s="36">
        <v>9.76</v>
      </c>
      <c r="N1519" s="36"/>
      <c r="O1519" s="36"/>
      <c r="P1519" s="86">
        <f t="shared" si="172"/>
        <v>2611.111111</v>
      </c>
      <c r="Q1519" s="36" t="s">
        <v>191</v>
      </c>
      <c r="R1519" s="36" t="s">
        <v>191</v>
      </c>
      <c r="S1519" s="36">
        <v>30.0</v>
      </c>
      <c r="T1519" s="36" t="s">
        <v>2137</v>
      </c>
      <c r="U1519" s="36" t="s">
        <v>2587</v>
      </c>
      <c r="V1519" s="36">
        <v>1.0</v>
      </c>
      <c r="W1519" s="36" t="s">
        <v>88</v>
      </c>
      <c r="X1519" s="38">
        <v>3.0</v>
      </c>
      <c r="Y1519" s="38" t="s">
        <v>2600</v>
      </c>
      <c r="Z1519" s="38"/>
      <c r="AA1519" s="38"/>
      <c r="AB1519" s="38"/>
      <c r="AC1519" s="38"/>
      <c r="AD1519" s="38" t="s">
        <v>198</v>
      </c>
      <c r="AE1519" s="38"/>
      <c r="AF1519" s="38" t="s">
        <v>666</v>
      </c>
      <c r="AG1519" s="38"/>
      <c r="AH1519" s="38"/>
      <c r="AI1519" s="50"/>
      <c r="AJ1519" s="50"/>
      <c r="AK1519" s="41"/>
      <c r="AL1519" s="40"/>
      <c r="AM1519" s="49"/>
      <c r="AN1519" s="43"/>
      <c r="AO1519" s="42"/>
      <c r="AP1519" s="43"/>
      <c r="AQ1519" s="44" t="str">
        <f t="shared" si="165"/>
        <v/>
      </c>
      <c r="AR1519" s="44" t="str">
        <f t="shared" si="144"/>
        <v/>
      </c>
      <c r="AS1519" s="44"/>
      <c r="AT1519" s="44" t="str">
        <f t="shared" si="114"/>
        <v/>
      </c>
      <c r="AU1519" s="44" t="str">
        <f t="shared" si="115"/>
        <v/>
      </c>
      <c r="AV1519" s="38">
        <v>3.0</v>
      </c>
      <c r="AW1519" s="38"/>
      <c r="AX1519" s="38"/>
      <c r="AY1519" s="38"/>
      <c r="AZ1519" s="29">
        <v>30.0</v>
      </c>
      <c r="BA1519" s="29"/>
      <c r="BB1519" s="29">
        <v>1.0</v>
      </c>
      <c r="BC1519" s="115" t="s">
        <v>669</v>
      </c>
      <c r="BD1519" s="29" t="s">
        <v>88</v>
      </c>
      <c r="BE1519" s="29"/>
      <c r="BF1519" s="115" t="s">
        <v>669</v>
      </c>
      <c r="BG1519" s="29" t="s">
        <v>669</v>
      </c>
      <c r="BH1519" s="29" t="s">
        <v>88</v>
      </c>
      <c r="BI1519" s="29" t="s">
        <v>2588</v>
      </c>
      <c r="BJ1519" s="29"/>
      <c r="BK1519" s="29" t="s">
        <v>2589</v>
      </c>
      <c r="BL1519" s="29" t="s">
        <v>2589</v>
      </c>
      <c r="BM1519" s="45">
        <v>1.0</v>
      </c>
      <c r="BN1519" s="45"/>
      <c r="BO1519" s="46" t="s">
        <v>2590</v>
      </c>
      <c r="BP1519" s="2"/>
      <c r="BQ1519" s="3"/>
    </row>
    <row r="1520" ht="15.75" customHeight="1">
      <c r="A1520" s="34">
        <v>1560.0</v>
      </c>
      <c r="B1520" s="34">
        <v>103803.0</v>
      </c>
      <c r="C1520" s="34" t="s">
        <v>76</v>
      </c>
      <c r="D1520" s="34" t="s">
        <v>2583</v>
      </c>
      <c r="E1520" s="34" t="s">
        <v>2584</v>
      </c>
      <c r="F1520" s="34">
        <v>2016.0</v>
      </c>
      <c r="G1520" s="34" t="s">
        <v>2585</v>
      </c>
      <c r="H1520" s="34" t="s">
        <v>231</v>
      </c>
      <c r="I1520" s="34" t="s">
        <v>2586</v>
      </c>
      <c r="J1520" s="35"/>
      <c r="K1520" s="36">
        <v>0.009999999999999787</v>
      </c>
      <c r="L1520" s="36">
        <v>13.05</v>
      </c>
      <c r="M1520" s="36">
        <v>13.06</v>
      </c>
      <c r="N1520" s="36"/>
      <c r="O1520" s="36"/>
      <c r="P1520" s="52">
        <f t="shared" si="172"/>
        <v>0.07662835249</v>
      </c>
      <c r="Q1520" s="36" t="s">
        <v>191</v>
      </c>
      <c r="R1520" s="36" t="s">
        <v>191</v>
      </c>
      <c r="S1520" s="36">
        <v>30.0</v>
      </c>
      <c r="T1520" s="36" t="s">
        <v>2591</v>
      </c>
      <c r="U1520" s="36" t="s">
        <v>2592</v>
      </c>
      <c r="V1520" s="36">
        <v>1.0</v>
      </c>
      <c r="W1520" s="36" t="s">
        <v>88</v>
      </c>
      <c r="X1520" s="38">
        <v>3.0</v>
      </c>
      <c r="Y1520" s="38" t="s">
        <v>2600</v>
      </c>
      <c r="Z1520" s="38"/>
      <c r="AA1520" s="38"/>
      <c r="AB1520" s="38"/>
      <c r="AC1520" s="38"/>
      <c r="AD1520" s="38" t="s">
        <v>198</v>
      </c>
      <c r="AE1520" s="38"/>
      <c r="AF1520" s="38" t="s">
        <v>666</v>
      </c>
      <c r="AG1520" s="38"/>
      <c r="AH1520" s="38"/>
      <c r="AI1520" s="50"/>
      <c r="AJ1520" s="50"/>
      <c r="AK1520" s="41"/>
      <c r="AL1520" s="40"/>
      <c r="AM1520" s="49"/>
      <c r="AN1520" s="43"/>
      <c r="AO1520" s="42"/>
      <c r="AP1520" s="43"/>
      <c r="AQ1520" s="44" t="str">
        <f t="shared" si="165"/>
        <v/>
      </c>
      <c r="AR1520" s="44" t="str">
        <f t="shared" si="144"/>
        <v/>
      </c>
      <c r="AS1520" s="44"/>
      <c r="AT1520" s="44" t="str">
        <f t="shared" si="114"/>
        <v/>
      </c>
      <c r="AU1520" s="44" t="str">
        <f t="shared" si="115"/>
        <v/>
      </c>
      <c r="AV1520" s="38">
        <v>3.0</v>
      </c>
      <c r="AW1520" s="38"/>
      <c r="AX1520" s="38"/>
      <c r="AY1520" s="38"/>
      <c r="AZ1520" s="29">
        <v>30.0</v>
      </c>
      <c r="BA1520" s="29"/>
      <c r="BB1520" s="29">
        <v>1.0</v>
      </c>
      <c r="BC1520" s="115" t="s">
        <v>669</v>
      </c>
      <c r="BD1520" s="29" t="s">
        <v>88</v>
      </c>
      <c r="BE1520" s="29"/>
      <c r="BF1520" s="115" t="s">
        <v>669</v>
      </c>
      <c r="BG1520" s="29" t="s">
        <v>669</v>
      </c>
      <c r="BH1520" s="29" t="s">
        <v>88</v>
      </c>
      <c r="BI1520" s="29" t="s">
        <v>2588</v>
      </c>
      <c r="BJ1520" s="29"/>
      <c r="BK1520" s="29" t="s">
        <v>2589</v>
      </c>
      <c r="BL1520" s="29" t="s">
        <v>2589</v>
      </c>
      <c r="BM1520" s="45">
        <v>1.0</v>
      </c>
      <c r="BN1520" s="45"/>
      <c r="BO1520" s="46" t="s">
        <v>2590</v>
      </c>
      <c r="BP1520" s="2"/>
      <c r="BQ1520" s="3"/>
    </row>
    <row r="1521" ht="15.75" customHeight="1">
      <c r="A1521" s="34">
        <v>1561.0</v>
      </c>
      <c r="B1521" s="34">
        <v>103803.0</v>
      </c>
      <c r="C1521" s="34" t="s">
        <v>76</v>
      </c>
      <c r="D1521" s="34" t="s">
        <v>2583</v>
      </c>
      <c r="E1521" s="34" t="s">
        <v>2584</v>
      </c>
      <c r="F1521" s="34">
        <v>2016.0</v>
      </c>
      <c r="G1521" s="34" t="s">
        <v>2585</v>
      </c>
      <c r="H1521" s="34" t="s">
        <v>231</v>
      </c>
      <c r="I1521" s="34" t="s">
        <v>2586</v>
      </c>
      <c r="J1521" s="35"/>
      <c r="K1521" s="36">
        <v>-33.050000000000004</v>
      </c>
      <c r="L1521" s="36">
        <v>40.02</v>
      </c>
      <c r="M1521" s="36">
        <v>6.97</v>
      </c>
      <c r="N1521" s="36"/>
      <c r="O1521" s="36"/>
      <c r="P1521" s="52">
        <f t="shared" si="172"/>
        <v>-82.58370815</v>
      </c>
      <c r="Q1521" s="36" t="s">
        <v>191</v>
      </c>
      <c r="R1521" s="36" t="s">
        <v>191</v>
      </c>
      <c r="S1521" s="36">
        <v>30.0</v>
      </c>
      <c r="T1521" s="36" t="s">
        <v>2593</v>
      </c>
      <c r="U1521" s="36" t="s">
        <v>2594</v>
      </c>
      <c r="V1521" s="36">
        <v>1.0</v>
      </c>
      <c r="W1521" s="36" t="s">
        <v>88</v>
      </c>
      <c r="X1521" s="38">
        <v>3.0</v>
      </c>
      <c r="Y1521" s="38" t="s">
        <v>2600</v>
      </c>
      <c r="Z1521" s="38"/>
      <c r="AA1521" s="38"/>
      <c r="AB1521" s="38"/>
      <c r="AC1521" s="38"/>
      <c r="AD1521" s="38" t="s">
        <v>198</v>
      </c>
      <c r="AE1521" s="38"/>
      <c r="AF1521" s="38" t="s">
        <v>666</v>
      </c>
      <c r="AG1521" s="38"/>
      <c r="AH1521" s="38"/>
      <c r="AI1521" s="50"/>
      <c r="AJ1521" s="50"/>
      <c r="AK1521" s="41"/>
      <c r="AL1521" s="40"/>
      <c r="AM1521" s="49"/>
      <c r="AN1521" s="43"/>
      <c r="AO1521" s="42"/>
      <c r="AP1521" s="43"/>
      <c r="AQ1521" s="44" t="str">
        <f t="shared" si="165"/>
        <v/>
      </c>
      <c r="AR1521" s="44" t="str">
        <f t="shared" si="144"/>
        <v/>
      </c>
      <c r="AS1521" s="44"/>
      <c r="AT1521" s="44" t="str">
        <f t="shared" si="114"/>
        <v/>
      </c>
      <c r="AU1521" s="44" t="str">
        <f t="shared" si="115"/>
        <v/>
      </c>
      <c r="AV1521" s="38">
        <v>3.0</v>
      </c>
      <c r="AW1521" s="38"/>
      <c r="AX1521" s="38"/>
      <c r="AY1521" s="38"/>
      <c r="AZ1521" s="29">
        <v>30.0</v>
      </c>
      <c r="BA1521" s="29"/>
      <c r="BB1521" s="29">
        <v>1.0</v>
      </c>
      <c r="BC1521" s="115" t="s">
        <v>669</v>
      </c>
      <c r="BD1521" s="29" t="s">
        <v>88</v>
      </c>
      <c r="BE1521" s="29"/>
      <c r="BF1521" s="115" t="s">
        <v>669</v>
      </c>
      <c r="BG1521" s="29" t="s">
        <v>669</v>
      </c>
      <c r="BH1521" s="29" t="s">
        <v>88</v>
      </c>
      <c r="BI1521" s="29" t="s">
        <v>2588</v>
      </c>
      <c r="BJ1521" s="29"/>
      <c r="BK1521" s="29" t="s">
        <v>2589</v>
      </c>
      <c r="BL1521" s="29" t="s">
        <v>2589</v>
      </c>
      <c r="BM1521" s="45">
        <v>1.0</v>
      </c>
      <c r="BN1521" s="45"/>
      <c r="BO1521" s="46" t="s">
        <v>2590</v>
      </c>
      <c r="BP1521" s="2"/>
      <c r="BQ1521" s="3"/>
    </row>
    <row r="1522" ht="15.75" customHeight="1">
      <c r="A1522" s="34">
        <v>1562.0</v>
      </c>
      <c r="B1522" s="34">
        <v>103803.0</v>
      </c>
      <c r="C1522" s="34" t="s">
        <v>76</v>
      </c>
      <c r="D1522" s="34" t="s">
        <v>2583</v>
      </c>
      <c r="E1522" s="34" t="s">
        <v>2584</v>
      </c>
      <c r="F1522" s="34">
        <v>2016.0</v>
      </c>
      <c r="G1522" s="34" t="s">
        <v>2585</v>
      </c>
      <c r="H1522" s="34" t="s">
        <v>231</v>
      </c>
      <c r="I1522" s="34" t="s">
        <v>2586</v>
      </c>
      <c r="J1522" s="35"/>
      <c r="K1522" s="36">
        <v>-44.199999999999996</v>
      </c>
      <c r="L1522" s="36">
        <v>57.41</v>
      </c>
      <c r="M1522" s="36">
        <v>13.21</v>
      </c>
      <c r="N1522" s="36"/>
      <c r="O1522" s="36"/>
      <c r="P1522" s="52">
        <f t="shared" si="172"/>
        <v>-76.99007142</v>
      </c>
      <c r="Q1522" s="36" t="s">
        <v>191</v>
      </c>
      <c r="R1522" s="36" t="s">
        <v>191</v>
      </c>
      <c r="S1522" s="36">
        <v>30.0</v>
      </c>
      <c r="T1522" s="36" t="s">
        <v>2219</v>
      </c>
      <c r="U1522" s="36" t="s">
        <v>2595</v>
      </c>
      <c r="V1522" s="36">
        <v>1.0</v>
      </c>
      <c r="W1522" s="36" t="s">
        <v>88</v>
      </c>
      <c r="X1522" s="38">
        <v>3.0</v>
      </c>
      <c r="Y1522" s="38" t="s">
        <v>2600</v>
      </c>
      <c r="Z1522" s="38"/>
      <c r="AA1522" s="38"/>
      <c r="AB1522" s="38"/>
      <c r="AC1522" s="38"/>
      <c r="AD1522" s="38" t="s">
        <v>198</v>
      </c>
      <c r="AE1522" s="38"/>
      <c r="AF1522" s="38" t="s">
        <v>666</v>
      </c>
      <c r="AG1522" s="38"/>
      <c r="AH1522" s="38"/>
      <c r="AI1522" s="50"/>
      <c r="AJ1522" s="50"/>
      <c r="AK1522" s="41"/>
      <c r="AL1522" s="40"/>
      <c r="AM1522" s="49"/>
      <c r="AN1522" s="43"/>
      <c r="AO1522" s="42"/>
      <c r="AP1522" s="43"/>
      <c r="AQ1522" s="44" t="str">
        <f t="shared" si="165"/>
        <v/>
      </c>
      <c r="AR1522" s="44" t="str">
        <f t="shared" si="144"/>
        <v/>
      </c>
      <c r="AS1522" s="44"/>
      <c r="AT1522" s="44" t="str">
        <f t="shared" si="114"/>
        <v/>
      </c>
      <c r="AU1522" s="44" t="str">
        <f t="shared" si="115"/>
        <v/>
      </c>
      <c r="AV1522" s="38">
        <v>3.0</v>
      </c>
      <c r="AW1522" s="38"/>
      <c r="AX1522" s="38"/>
      <c r="AY1522" s="38"/>
      <c r="AZ1522" s="29">
        <v>30.0</v>
      </c>
      <c r="BA1522" s="29"/>
      <c r="BB1522" s="29">
        <v>1.0</v>
      </c>
      <c r="BC1522" s="115" t="s">
        <v>669</v>
      </c>
      <c r="BD1522" s="29" t="s">
        <v>88</v>
      </c>
      <c r="BE1522" s="29"/>
      <c r="BF1522" s="115" t="s">
        <v>669</v>
      </c>
      <c r="BG1522" s="29" t="s">
        <v>669</v>
      </c>
      <c r="BH1522" s="29" t="s">
        <v>88</v>
      </c>
      <c r="BI1522" s="29" t="s">
        <v>2588</v>
      </c>
      <c r="BJ1522" s="29"/>
      <c r="BK1522" s="29" t="s">
        <v>2589</v>
      </c>
      <c r="BL1522" s="29" t="s">
        <v>2589</v>
      </c>
      <c r="BM1522" s="45">
        <v>1.0</v>
      </c>
      <c r="BN1522" s="45"/>
      <c r="BO1522" s="46" t="s">
        <v>2590</v>
      </c>
      <c r="BP1522" s="2"/>
      <c r="BQ1522" s="3"/>
    </row>
    <row r="1523" ht="15.75" customHeight="1">
      <c r="A1523" s="34">
        <v>1563.0</v>
      </c>
      <c r="B1523" s="34">
        <v>103803.0</v>
      </c>
      <c r="C1523" s="34" t="s">
        <v>76</v>
      </c>
      <c r="D1523" s="34" t="s">
        <v>2583</v>
      </c>
      <c r="E1523" s="34" t="s">
        <v>2584</v>
      </c>
      <c r="F1523" s="34">
        <v>2016.0</v>
      </c>
      <c r="G1523" s="34" t="s">
        <v>2585</v>
      </c>
      <c r="H1523" s="34" t="s">
        <v>231</v>
      </c>
      <c r="I1523" s="34" t="s">
        <v>2586</v>
      </c>
      <c r="J1523" s="35"/>
      <c r="K1523" s="36">
        <v>-29.440000000000005</v>
      </c>
      <c r="L1523" s="36">
        <v>45.38</v>
      </c>
      <c r="M1523" s="36">
        <v>15.94</v>
      </c>
      <c r="N1523" s="36"/>
      <c r="O1523" s="36"/>
      <c r="P1523" s="52">
        <f t="shared" si="172"/>
        <v>-64.87439401</v>
      </c>
      <c r="Q1523" s="36" t="s">
        <v>191</v>
      </c>
      <c r="R1523" s="36" t="s">
        <v>191</v>
      </c>
      <c r="S1523" s="36">
        <v>30.0</v>
      </c>
      <c r="T1523" s="36" t="s">
        <v>2596</v>
      </c>
      <c r="U1523" s="36" t="s">
        <v>2597</v>
      </c>
      <c r="V1523" s="36">
        <v>1.0</v>
      </c>
      <c r="W1523" s="36" t="s">
        <v>88</v>
      </c>
      <c r="X1523" s="38">
        <v>3.0</v>
      </c>
      <c r="Y1523" s="38" t="s">
        <v>2600</v>
      </c>
      <c r="Z1523" s="38"/>
      <c r="AA1523" s="38"/>
      <c r="AB1523" s="38"/>
      <c r="AC1523" s="38"/>
      <c r="AD1523" s="38" t="s">
        <v>198</v>
      </c>
      <c r="AE1523" s="38"/>
      <c r="AF1523" s="38" t="s">
        <v>666</v>
      </c>
      <c r="AG1523" s="38"/>
      <c r="AH1523" s="38"/>
      <c r="AI1523" s="50"/>
      <c r="AJ1523" s="50"/>
      <c r="AK1523" s="41"/>
      <c r="AL1523" s="40"/>
      <c r="AM1523" s="49"/>
      <c r="AN1523" s="43"/>
      <c r="AO1523" s="42"/>
      <c r="AP1523" s="43"/>
      <c r="AQ1523" s="44" t="str">
        <f t="shared" si="165"/>
        <v/>
      </c>
      <c r="AR1523" s="44" t="str">
        <f t="shared" si="144"/>
        <v/>
      </c>
      <c r="AS1523" s="44"/>
      <c r="AT1523" s="44" t="str">
        <f t="shared" si="114"/>
        <v/>
      </c>
      <c r="AU1523" s="44" t="str">
        <f t="shared" si="115"/>
        <v/>
      </c>
      <c r="AV1523" s="38">
        <v>3.0</v>
      </c>
      <c r="AW1523" s="38"/>
      <c r="AX1523" s="38"/>
      <c r="AY1523" s="38"/>
      <c r="AZ1523" s="29">
        <v>30.0</v>
      </c>
      <c r="BA1523" s="29"/>
      <c r="BB1523" s="29">
        <v>1.0</v>
      </c>
      <c r="BC1523" s="115" t="s">
        <v>669</v>
      </c>
      <c r="BD1523" s="29" t="s">
        <v>88</v>
      </c>
      <c r="BE1523" s="29"/>
      <c r="BF1523" s="115" t="s">
        <v>669</v>
      </c>
      <c r="BG1523" s="29" t="s">
        <v>669</v>
      </c>
      <c r="BH1523" s="29" t="s">
        <v>88</v>
      </c>
      <c r="BI1523" s="29" t="s">
        <v>2588</v>
      </c>
      <c r="BJ1523" s="29"/>
      <c r="BK1523" s="29" t="s">
        <v>2589</v>
      </c>
      <c r="BL1523" s="29" t="s">
        <v>2589</v>
      </c>
      <c r="BM1523" s="45">
        <v>1.0</v>
      </c>
      <c r="BN1523" s="45"/>
      <c r="BO1523" s="46" t="s">
        <v>2590</v>
      </c>
      <c r="BP1523" s="2"/>
      <c r="BQ1523" s="3"/>
    </row>
    <row r="1524" ht="15.75" customHeight="1">
      <c r="A1524" s="34">
        <v>1564.0</v>
      </c>
      <c r="B1524" s="34">
        <v>103803.0</v>
      </c>
      <c r="C1524" s="34" t="s">
        <v>76</v>
      </c>
      <c r="D1524" s="34" t="s">
        <v>2583</v>
      </c>
      <c r="E1524" s="34" t="s">
        <v>2584</v>
      </c>
      <c r="F1524" s="34">
        <v>2016.0</v>
      </c>
      <c r="G1524" s="34" t="s">
        <v>2585</v>
      </c>
      <c r="H1524" s="34" t="s">
        <v>231</v>
      </c>
      <c r="I1524" s="34" t="s">
        <v>2586</v>
      </c>
      <c r="J1524" s="35"/>
      <c r="K1524" s="36">
        <v>-10.31</v>
      </c>
      <c r="L1524" s="36">
        <v>24.44</v>
      </c>
      <c r="M1524" s="36">
        <v>14.13</v>
      </c>
      <c r="N1524" s="36"/>
      <c r="O1524" s="36"/>
      <c r="P1524" s="52">
        <f t="shared" si="172"/>
        <v>-42.18494272</v>
      </c>
      <c r="Q1524" s="36" t="s">
        <v>191</v>
      </c>
      <c r="R1524" s="36" t="s">
        <v>191</v>
      </c>
      <c r="S1524" s="36">
        <v>30.0</v>
      </c>
      <c r="T1524" s="36" t="s">
        <v>2598</v>
      </c>
      <c r="U1524" s="36" t="s">
        <v>2599</v>
      </c>
      <c r="V1524" s="36">
        <v>1.0</v>
      </c>
      <c r="W1524" s="36" t="s">
        <v>88</v>
      </c>
      <c r="X1524" s="38">
        <v>3.0</v>
      </c>
      <c r="Y1524" s="38" t="s">
        <v>2600</v>
      </c>
      <c r="Z1524" s="38"/>
      <c r="AA1524" s="38"/>
      <c r="AB1524" s="38"/>
      <c r="AC1524" s="38"/>
      <c r="AD1524" s="38" t="s">
        <v>198</v>
      </c>
      <c r="AE1524" s="38"/>
      <c r="AF1524" s="38" t="s">
        <v>666</v>
      </c>
      <c r="AG1524" s="38"/>
      <c r="AH1524" s="38"/>
      <c r="AI1524" s="50"/>
      <c r="AJ1524" s="50"/>
      <c r="AK1524" s="41"/>
      <c r="AL1524" s="40"/>
      <c r="AM1524" s="49"/>
      <c r="AN1524" s="43"/>
      <c r="AO1524" s="42"/>
      <c r="AP1524" s="43"/>
      <c r="AQ1524" s="44" t="str">
        <f t="shared" si="165"/>
        <v/>
      </c>
      <c r="AR1524" s="44" t="str">
        <f t="shared" si="144"/>
        <v/>
      </c>
      <c r="AS1524" s="44"/>
      <c r="AT1524" s="44" t="str">
        <f t="shared" si="114"/>
        <v/>
      </c>
      <c r="AU1524" s="44" t="str">
        <f t="shared" si="115"/>
        <v/>
      </c>
      <c r="AV1524" s="38">
        <v>3.0</v>
      </c>
      <c r="AW1524" s="38"/>
      <c r="AX1524" s="38"/>
      <c r="AY1524" s="38"/>
      <c r="AZ1524" s="29">
        <v>30.0</v>
      </c>
      <c r="BA1524" s="29"/>
      <c r="BB1524" s="29">
        <v>1.0</v>
      </c>
      <c r="BC1524" s="115" t="s">
        <v>669</v>
      </c>
      <c r="BD1524" s="29" t="s">
        <v>88</v>
      </c>
      <c r="BE1524" s="29"/>
      <c r="BF1524" s="115" t="s">
        <v>669</v>
      </c>
      <c r="BG1524" s="29" t="s">
        <v>669</v>
      </c>
      <c r="BH1524" s="29" t="s">
        <v>88</v>
      </c>
      <c r="BI1524" s="29" t="s">
        <v>2588</v>
      </c>
      <c r="BJ1524" s="29"/>
      <c r="BK1524" s="29" t="s">
        <v>2589</v>
      </c>
      <c r="BL1524" s="29" t="s">
        <v>2589</v>
      </c>
      <c r="BM1524" s="45">
        <v>1.0</v>
      </c>
      <c r="BN1524" s="45"/>
      <c r="BO1524" s="46" t="s">
        <v>2590</v>
      </c>
      <c r="BP1524" s="2" t="s">
        <v>682</v>
      </c>
      <c r="BQ1524" s="3"/>
    </row>
    <row r="1525" ht="15.75" customHeight="1">
      <c r="A1525" s="34">
        <v>1565.0</v>
      </c>
      <c r="B1525" s="34">
        <v>103803.0</v>
      </c>
      <c r="C1525" s="34" t="s">
        <v>76</v>
      </c>
      <c r="D1525" s="34" t="s">
        <v>2583</v>
      </c>
      <c r="E1525" s="34" t="s">
        <v>2584</v>
      </c>
      <c r="F1525" s="34">
        <v>2016.0</v>
      </c>
      <c r="G1525" s="34" t="s">
        <v>2585</v>
      </c>
      <c r="H1525" s="34" t="s">
        <v>231</v>
      </c>
      <c r="I1525" s="34" t="s">
        <v>2586</v>
      </c>
      <c r="J1525" s="35"/>
      <c r="K1525" s="36">
        <v>-17.931666666666665</v>
      </c>
      <c r="L1525" s="36">
        <v>30.11</v>
      </c>
      <c r="M1525" s="36">
        <f>average(M1519:M1524)</f>
        <v>12.17833333</v>
      </c>
      <c r="N1525" s="36"/>
      <c r="O1525" s="36"/>
      <c r="P1525" s="52">
        <f t="shared" si="172"/>
        <v>-59.55385808</v>
      </c>
      <c r="Q1525" s="36" t="s">
        <v>191</v>
      </c>
      <c r="R1525" s="36" t="s">
        <v>191</v>
      </c>
      <c r="S1525" s="36">
        <v>30.0</v>
      </c>
      <c r="T1525" s="36" t="s">
        <v>2137</v>
      </c>
      <c r="U1525" s="36" t="s">
        <v>2599</v>
      </c>
      <c r="V1525" s="36">
        <v>6.0</v>
      </c>
      <c r="W1525" s="36" t="s">
        <v>88</v>
      </c>
      <c r="X1525" s="38">
        <v>3.0</v>
      </c>
      <c r="Y1525" s="38" t="s">
        <v>2600</v>
      </c>
      <c r="Z1525" s="38"/>
      <c r="AA1525" s="38"/>
      <c r="AB1525" s="38"/>
      <c r="AC1525" s="38"/>
      <c r="AD1525" s="38" t="s">
        <v>198</v>
      </c>
      <c r="AE1525" s="38"/>
      <c r="AF1525" s="38" t="s">
        <v>666</v>
      </c>
      <c r="AG1525" s="38"/>
      <c r="AH1525" s="38"/>
      <c r="AI1525" s="50"/>
      <c r="AJ1525" s="50"/>
      <c r="AK1525" s="41"/>
      <c r="AL1525" s="40"/>
      <c r="AM1525" s="49"/>
      <c r="AN1525" s="43"/>
      <c r="AO1525" s="42"/>
      <c r="AP1525" s="43"/>
      <c r="AQ1525" s="44" t="str">
        <f t="shared" si="165"/>
        <v/>
      </c>
      <c r="AR1525" s="44" t="str">
        <f t="shared" si="144"/>
        <v/>
      </c>
      <c r="AS1525" s="44"/>
      <c r="AT1525" s="44" t="str">
        <f t="shared" si="114"/>
        <v/>
      </c>
      <c r="AU1525" s="44" t="str">
        <f t="shared" si="115"/>
        <v/>
      </c>
      <c r="AV1525" s="38">
        <v>3.0</v>
      </c>
      <c r="AW1525" s="38"/>
      <c r="AX1525" s="38"/>
      <c r="AY1525" s="38"/>
      <c r="AZ1525" s="29">
        <v>30.0</v>
      </c>
      <c r="BA1525" s="29"/>
      <c r="BB1525" s="29">
        <v>1.0</v>
      </c>
      <c r="BC1525" s="115" t="s">
        <v>669</v>
      </c>
      <c r="BD1525" s="29" t="s">
        <v>88</v>
      </c>
      <c r="BE1525" s="29"/>
      <c r="BF1525" s="115" t="s">
        <v>669</v>
      </c>
      <c r="BG1525" s="29" t="s">
        <v>669</v>
      </c>
      <c r="BH1525" s="29" t="s">
        <v>88</v>
      </c>
      <c r="BI1525" s="29" t="s">
        <v>2588</v>
      </c>
      <c r="BJ1525" s="29"/>
      <c r="BK1525" s="29" t="s">
        <v>2589</v>
      </c>
      <c r="BL1525" s="29" t="s">
        <v>2589</v>
      </c>
      <c r="BM1525" s="45">
        <v>1.0</v>
      </c>
      <c r="BN1525" s="45"/>
      <c r="BO1525" s="46" t="s">
        <v>2590</v>
      </c>
      <c r="BP1525" s="2" t="s">
        <v>682</v>
      </c>
      <c r="BQ1525" s="3"/>
    </row>
    <row r="1526" ht="15.75" customHeight="1">
      <c r="A1526" s="34">
        <v>1566.0</v>
      </c>
      <c r="B1526" s="34">
        <v>103803.0</v>
      </c>
      <c r="C1526" s="34" t="s">
        <v>76</v>
      </c>
      <c r="D1526" s="34" t="s">
        <v>2583</v>
      </c>
      <c r="E1526" s="34" t="s">
        <v>2584</v>
      </c>
      <c r="F1526" s="34">
        <v>2016.0</v>
      </c>
      <c r="G1526" s="34" t="s">
        <v>2585</v>
      </c>
      <c r="H1526" s="34" t="s">
        <v>231</v>
      </c>
      <c r="I1526" s="34" t="s">
        <v>2586</v>
      </c>
      <c r="J1526" s="35"/>
      <c r="K1526" s="36">
        <v>18.619999999999997</v>
      </c>
      <c r="L1526" s="36">
        <v>16.25</v>
      </c>
      <c r="M1526" s="36">
        <v>34.87</v>
      </c>
      <c r="N1526" s="36"/>
      <c r="O1526" s="36"/>
      <c r="P1526" s="86">
        <f t="shared" si="172"/>
        <v>114.5846154</v>
      </c>
      <c r="Q1526" s="36" t="s">
        <v>191</v>
      </c>
      <c r="R1526" s="36" t="s">
        <v>191</v>
      </c>
      <c r="S1526" s="36">
        <v>30.0</v>
      </c>
      <c r="T1526" s="36" t="s">
        <v>2137</v>
      </c>
      <c r="U1526" s="36" t="s">
        <v>2587</v>
      </c>
      <c r="V1526" s="36">
        <v>1.0</v>
      </c>
      <c r="W1526" s="36" t="s">
        <v>88</v>
      </c>
      <c r="X1526" s="38">
        <v>1.0</v>
      </c>
      <c r="Y1526" s="53" t="s">
        <v>256</v>
      </c>
      <c r="Z1526" s="38" t="s">
        <v>257</v>
      </c>
      <c r="AA1526" s="38" t="s">
        <v>86</v>
      </c>
      <c r="AB1526" s="38">
        <v>38.856</v>
      </c>
      <c r="AC1526" s="38">
        <v>100.372</v>
      </c>
      <c r="AD1526" s="38" t="s">
        <v>198</v>
      </c>
      <c r="AE1526" s="53"/>
      <c r="AF1526" s="38" t="s">
        <v>1048</v>
      </c>
      <c r="AG1526" s="57"/>
      <c r="AH1526" s="38">
        <v>4.5</v>
      </c>
      <c r="AI1526" s="50">
        <v>38.875</v>
      </c>
      <c r="AJ1526" s="50">
        <v>100.375</v>
      </c>
      <c r="AK1526" s="41" t="s">
        <v>86</v>
      </c>
      <c r="AL1526" s="40" t="s">
        <v>86</v>
      </c>
      <c r="AM1526" s="49">
        <v>1554.0</v>
      </c>
      <c r="AN1526" s="51">
        <v>1554.0</v>
      </c>
      <c r="AO1526" s="42" t="s">
        <v>261</v>
      </c>
      <c r="AP1526" s="43" t="s">
        <v>261</v>
      </c>
      <c r="AQ1526" s="44" t="str">
        <f t="shared" si="165"/>
        <v>CRO</v>
      </c>
      <c r="AR1526" s="44">
        <f t="shared" si="144"/>
        <v>1554</v>
      </c>
      <c r="AS1526" s="44" t="str">
        <f t="shared" ref="AS1526:AS1539" si="174">LEFT(AO1526,1)</f>
        <v>B</v>
      </c>
      <c r="AT1526" s="44" t="str">
        <f t="shared" si="114"/>
        <v>BW</v>
      </c>
      <c r="AU1526" s="44" t="str">
        <f t="shared" si="115"/>
        <v>BWk</v>
      </c>
      <c r="AV1526" s="38">
        <v>3.0</v>
      </c>
      <c r="AW1526" s="38"/>
      <c r="AX1526" s="38"/>
      <c r="AY1526" s="38"/>
      <c r="AZ1526" s="29">
        <v>30.0</v>
      </c>
      <c r="BA1526" s="29"/>
      <c r="BB1526" s="29">
        <v>1.0</v>
      </c>
      <c r="BC1526" s="115" t="s">
        <v>2350</v>
      </c>
      <c r="BD1526" s="29" t="s">
        <v>88</v>
      </c>
      <c r="BE1526" s="29"/>
      <c r="BF1526" s="115" t="s">
        <v>2350</v>
      </c>
      <c r="BG1526" s="29" t="s">
        <v>572</v>
      </c>
      <c r="BH1526" s="29" t="s">
        <v>88</v>
      </c>
      <c r="BI1526" s="29" t="s">
        <v>2588</v>
      </c>
      <c r="BJ1526" s="29"/>
      <c r="BK1526" s="29" t="s">
        <v>2589</v>
      </c>
      <c r="BL1526" s="29" t="s">
        <v>2589</v>
      </c>
      <c r="BM1526" s="45">
        <v>1.0</v>
      </c>
      <c r="BN1526" s="45"/>
      <c r="BO1526" s="46" t="s">
        <v>2590</v>
      </c>
      <c r="BP1526" s="2"/>
      <c r="BQ1526" s="3"/>
    </row>
    <row r="1527" ht="15.75" customHeight="1">
      <c r="A1527" s="34">
        <v>1567.0</v>
      </c>
      <c r="B1527" s="34">
        <v>103803.0</v>
      </c>
      <c r="C1527" s="34" t="s">
        <v>76</v>
      </c>
      <c r="D1527" s="34" t="s">
        <v>2583</v>
      </c>
      <c r="E1527" s="34" t="s">
        <v>2584</v>
      </c>
      <c r="F1527" s="34">
        <v>2016.0</v>
      </c>
      <c r="G1527" s="34" t="s">
        <v>2585</v>
      </c>
      <c r="H1527" s="34" t="s">
        <v>231</v>
      </c>
      <c r="I1527" s="34" t="s">
        <v>2586</v>
      </c>
      <c r="J1527" s="35"/>
      <c r="K1527" s="36">
        <v>31.50999999999999</v>
      </c>
      <c r="L1527" s="36">
        <v>67.54</v>
      </c>
      <c r="M1527" s="36">
        <v>99.05</v>
      </c>
      <c r="N1527" s="36"/>
      <c r="O1527" s="36"/>
      <c r="P1527" s="52">
        <f t="shared" si="172"/>
        <v>46.65383476</v>
      </c>
      <c r="Q1527" s="36" t="s">
        <v>191</v>
      </c>
      <c r="R1527" s="36" t="s">
        <v>191</v>
      </c>
      <c r="S1527" s="36">
        <v>30.0</v>
      </c>
      <c r="T1527" s="36" t="s">
        <v>2591</v>
      </c>
      <c r="U1527" s="36" t="s">
        <v>2592</v>
      </c>
      <c r="V1527" s="36">
        <v>1.0</v>
      </c>
      <c r="W1527" s="36" t="s">
        <v>88</v>
      </c>
      <c r="X1527" s="38">
        <v>1.0</v>
      </c>
      <c r="Y1527" s="53" t="s">
        <v>256</v>
      </c>
      <c r="Z1527" s="38" t="s">
        <v>257</v>
      </c>
      <c r="AA1527" s="38" t="s">
        <v>86</v>
      </c>
      <c r="AB1527" s="38">
        <v>38.856</v>
      </c>
      <c r="AC1527" s="38">
        <v>100.372</v>
      </c>
      <c r="AD1527" s="38" t="s">
        <v>198</v>
      </c>
      <c r="AE1527" s="53"/>
      <c r="AF1527" s="38" t="s">
        <v>1048</v>
      </c>
      <c r="AG1527" s="57"/>
      <c r="AH1527" s="38">
        <v>4.5</v>
      </c>
      <c r="AI1527" s="50">
        <v>38.875</v>
      </c>
      <c r="AJ1527" s="50">
        <v>100.375</v>
      </c>
      <c r="AK1527" s="41" t="s">
        <v>86</v>
      </c>
      <c r="AL1527" s="40" t="s">
        <v>86</v>
      </c>
      <c r="AM1527" s="49">
        <v>1554.0</v>
      </c>
      <c r="AN1527" s="51">
        <v>1554.0</v>
      </c>
      <c r="AO1527" s="42" t="s">
        <v>261</v>
      </c>
      <c r="AP1527" s="43" t="s">
        <v>261</v>
      </c>
      <c r="AQ1527" s="44" t="str">
        <f t="shared" si="165"/>
        <v>CRO</v>
      </c>
      <c r="AR1527" s="44">
        <f t="shared" si="144"/>
        <v>1554</v>
      </c>
      <c r="AS1527" s="44" t="str">
        <f t="shared" si="174"/>
        <v>B</v>
      </c>
      <c r="AT1527" s="44" t="str">
        <f t="shared" si="114"/>
        <v>BW</v>
      </c>
      <c r="AU1527" s="44" t="str">
        <f t="shared" si="115"/>
        <v>BWk</v>
      </c>
      <c r="AV1527" s="38">
        <v>3.0</v>
      </c>
      <c r="AW1527" s="38"/>
      <c r="AX1527" s="38"/>
      <c r="AY1527" s="38"/>
      <c r="AZ1527" s="29">
        <v>30.0</v>
      </c>
      <c r="BA1527" s="29"/>
      <c r="BB1527" s="29">
        <v>1.0</v>
      </c>
      <c r="BC1527" s="115" t="s">
        <v>2350</v>
      </c>
      <c r="BD1527" s="29" t="s">
        <v>88</v>
      </c>
      <c r="BE1527" s="29"/>
      <c r="BF1527" s="115" t="s">
        <v>2350</v>
      </c>
      <c r="BG1527" s="29" t="s">
        <v>572</v>
      </c>
      <c r="BH1527" s="29" t="s">
        <v>88</v>
      </c>
      <c r="BI1527" s="29" t="s">
        <v>2588</v>
      </c>
      <c r="BJ1527" s="29"/>
      <c r="BK1527" s="29" t="s">
        <v>2589</v>
      </c>
      <c r="BL1527" s="29" t="s">
        <v>2589</v>
      </c>
      <c r="BM1527" s="45">
        <v>1.0</v>
      </c>
      <c r="BN1527" s="45"/>
      <c r="BO1527" s="46" t="s">
        <v>2590</v>
      </c>
      <c r="BP1527" s="2"/>
      <c r="BQ1527" s="3"/>
    </row>
    <row r="1528" ht="15.75" customHeight="1">
      <c r="A1528" s="34">
        <v>1568.0</v>
      </c>
      <c r="B1528" s="34">
        <v>103803.0</v>
      </c>
      <c r="C1528" s="34" t="s">
        <v>76</v>
      </c>
      <c r="D1528" s="34" t="s">
        <v>2583</v>
      </c>
      <c r="E1528" s="34" t="s">
        <v>2584</v>
      </c>
      <c r="F1528" s="34">
        <v>2016.0</v>
      </c>
      <c r="G1528" s="34" t="s">
        <v>2585</v>
      </c>
      <c r="H1528" s="34" t="s">
        <v>231</v>
      </c>
      <c r="I1528" s="34" t="s">
        <v>2586</v>
      </c>
      <c r="J1528" s="35"/>
      <c r="K1528" s="36">
        <v>-5.079999999999984</v>
      </c>
      <c r="L1528" s="36">
        <v>134.69</v>
      </c>
      <c r="M1528" s="36">
        <v>129.61</v>
      </c>
      <c r="N1528" s="36"/>
      <c r="O1528" s="36"/>
      <c r="P1528" s="52">
        <f t="shared" si="172"/>
        <v>-3.771623729</v>
      </c>
      <c r="Q1528" s="36" t="s">
        <v>191</v>
      </c>
      <c r="R1528" s="36" t="s">
        <v>191</v>
      </c>
      <c r="S1528" s="36">
        <v>30.0</v>
      </c>
      <c r="T1528" s="36" t="s">
        <v>2593</v>
      </c>
      <c r="U1528" s="36" t="s">
        <v>2594</v>
      </c>
      <c r="V1528" s="36">
        <v>1.0</v>
      </c>
      <c r="W1528" s="36" t="s">
        <v>88</v>
      </c>
      <c r="X1528" s="38">
        <v>1.0</v>
      </c>
      <c r="Y1528" s="53" t="s">
        <v>256</v>
      </c>
      <c r="Z1528" s="38" t="s">
        <v>257</v>
      </c>
      <c r="AA1528" s="38" t="s">
        <v>86</v>
      </c>
      <c r="AB1528" s="38">
        <v>38.856</v>
      </c>
      <c r="AC1528" s="38">
        <v>100.372</v>
      </c>
      <c r="AD1528" s="38" t="s">
        <v>198</v>
      </c>
      <c r="AE1528" s="53"/>
      <c r="AF1528" s="38" t="s">
        <v>1048</v>
      </c>
      <c r="AG1528" s="57"/>
      <c r="AH1528" s="38">
        <v>4.5</v>
      </c>
      <c r="AI1528" s="50">
        <v>38.875</v>
      </c>
      <c r="AJ1528" s="50">
        <v>100.375</v>
      </c>
      <c r="AK1528" s="41" t="s">
        <v>86</v>
      </c>
      <c r="AL1528" s="40" t="s">
        <v>86</v>
      </c>
      <c r="AM1528" s="49">
        <v>1554.0</v>
      </c>
      <c r="AN1528" s="51">
        <v>1554.0</v>
      </c>
      <c r="AO1528" s="42" t="s">
        <v>261</v>
      </c>
      <c r="AP1528" s="43" t="s">
        <v>261</v>
      </c>
      <c r="AQ1528" s="44" t="str">
        <f t="shared" si="165"/>
        <v>CRO</v>
      </c>
      <c r="AR1528" s="44">
        <f t="shared" si="144"/>
        <v>1554</v>
      </c>
      <c r="AS1528" s="44" t="str">
        <f t="shared" si="174"/>
        <v>B</v>
      </c>
      <c r="AT1528" s="44" t="str">
        <f t="shared" si="114"/>
        <v>BW</v>
      </c>
      <c r="AU1528" s="44" t="str">
        <f t="shared" si="115"/>
        <v>BWk</v>
      </c>
      <c r="AV1528" s="38">
        <v>3.0</v>
      </c>
      <c r="AW1528" s="38"/>
      <c r="AX1528" s="38"/>
      <c r="AY1528" s="38"/>
      <c r="AZ1528" s="29">
        <v>30.0</v>
      </c>
      <c r="BA1528" s="29"/>
      <c r="BB1528" s="29">
        <v>1.0</v>
      </c>
      <c r="BC1528" s="115" t="s">
        <v>2350</v>
      </c>
      <c r="BD1528" s="29" t="s">
        <v>88</v>
      </c>
      <c r="BE1528" s="29"/>
      <c r="BF1528" s="115" t="s">
        <v>2350</v>
      </c>
      <c r="BG1528" s="29" t="s">
        <v>572</v>
      </c>
      <c r="BH1528" s="29" t="s">
        <v>88</v>
      </c>
      <c r="BI1528" s="29" t="s">
        <v>2588</v>
      </c>
      <c r="BJ1528" s="29"/>
      <c r="BK1528" s="29" t="s">
        <v>2589</v>
      </c>
      <c r="BL1528" s="29" t="s">
        <v>2589</v>
      </c>
      <c r="BM1528" s="45">
        <v>1.0</v>
      </c>
      <c r="BN1528" s="45"/>
      <c r="BO1528" s="46" t="s">
        <v>2590</v>
      </c>
      <c r="BP1528" s="2"/>
      <c r="BQ1528" s="3"/>
    </row>
    <row r="1529" ht="15.75" customHeight="1">
      <c r="A1529" s="34">
        <v>1569.0</v>
      </c>
      <c r="B1529" s="34">
        <v>103803.0</v>
      </c>
      <c r="C1529" s="34" t="s">
        <v>76</v>
      </c>
      <c r="D1529" s="34" t="s">
        <v>2583</v>
      </c>
      <c r="E1529" s="34" t="s">
        <v>2584</v>
      </c>
      <c r="F1529" s="34">
        <v>2016.0</v>
      </c>
      <c r="G1529" s="34" t="s">
        <v>2585</v>
      </c>
      <c r="H1529" s="34" t="s">
        <v>231</v>
      </c>
      <c r="I1529" s="34" t="s">
        <v>2586</v>
      </c>
      <c r="J1529" s="35"/>
      <c r="K1529" s="36">
        <v>6.110000000000014</v>
      </c>
      <c r="L1529" s="36">
        <v>138.95</v>
      </c>
      <c r="M1529" s="36">
        <v>145.06</v>
      </c>
      <c r="N1529" s="36"/>
      <c r="O1529" s="36"/>
      <c r="P1529" s="52">
        <f t="shared" si="172"/>
        <v>4.397265203</v>
      </c>
      <c r="Q1529" s="36" t="s">
        <v>191</v>
      </c>
      <c r="R1529" s="36" t="s">
        <v>191</v>
      </c>
      <c r="S1529" s="36">
        <v>30.0</v>
      </c>
      <c r="T1529" s="36" t="s">
        <v>2219</v>
      </c>
      <c r="U1529" s="36" t="s">
        <v>2595</v>
      </c>
      <c r="V1529" s="36">
        <v>1.0</v>
      </c>
      <c r="W1529" s="36" t="s">
        <v>88</v>
      </c>
      <c r="X1529" s="38">
        <v>1.0</v>
      </c>
      <c r="Y1529" s="53" t="s">
        <v>256</v>
      </c>
      <c r="Z1529" s="38" t="s">
        <v>257</v>
      </c>
      <c r="AA1529" s="38" t="s">
        <v>86</v>
      </c>
      <c r="AB1529" s="38">
        <v>38.856</v>
      </c>
      <c r="AC1529" s="38">
        <v>100.372</v>
      </c>
      <c r="AD1529" s="38" t="s">
        <v>198</v>
      </c>
      <c r="AE1529" s="53"/>
      <c r="AF1529" s="38" t="s">
        <v>1048</v>
      </c>
      <c r="AG1529" s="57"/>
      <c r="AH1529" s="38">
        <v>4.5</v>
      </c>
      <c r="AI1529" s="50">
        <v>38.875</v>
      </c>
      <c r="AJ1529" s="50">
        <v>100.375</v>
      </c>
      <c r="AK1529" s="41" t="s">
        <v>86</v>
      </c>
      <c r="AL1529" s="40" t="s">
        <v>86</v>
      </c>
      <c r="AM1529" s="49">
        <v>1554.0</v>
      </c>
      <c r="AN1529" s="51">
        <v>1554.0</v>
      </c>
      <c r="AO1529" s="42" t="s">
        <v>261</v>
      </c>
      <c r="AP1529" s="43" t="s">
        <v>261</v>
      </c>
      <c r="AQ1529" s="44" t="str">
        <f t="shared" si="165"/>
        <v>CRO</v>
      </c>
      <c r="AR1529" s="44">
        <f t="shared" si="144"/>
        <v>1554</v>
      </c>
      <c r="AS1529" s="44" t="str">
        <f t="shared" si="174"/>
        <v>B</v>
      </c>
      <c r="AT1529" s="44" t="str">
        <f t="shared" si="114"/>
        <v>BW</v>
      </c>
      <c r="AU1529" s="44" t="str">
        <f t="shared" si="115"/>
        <v>BWk</v>
      </c>
      <c r="AV1529" s="38">
        <v>3.0</v>
      </c>
      <c r="AW1529" s="38"/>
      <c r="AX1529" s="38"/>
      <c r="AY1529" s="38"/>
      <c r="AZ1529" s="29">
        <v>30.0</v>
      </c>
      <c r="BA1529" s="29"/>
      <c r="BB1529" s="29">
        <v>1.0</v>
      </c>
      <c r="BC1529" s="115" t="s">
        <v>2350</v>
      </c>
      <c r="BD1529" s="29" t="s">
        <v>88</v>
      </c>
      <c r="BE1529" s="29"/>
      <c r="BF1529" s="115" t="s">
        <v>2350</v>
      </c>
      <c r="BG1529" s="29" t="s">
        <v>572</v>
      </c>
      <c r="BH1529" s="29" t="s">
        <v>88</v>
      </c>
      <c r="BI1529" s="29" t="s">
        <v>2588</v>
      </c>
      <c r="BJ1529" s="29"/>
      <c r="BK1529" s="29" t="s">
        <v>2589</v>
      </c>
      <c r="BL1529" s="29" t="s">
        <v>2589</v>
      </c>
      <c r="BM1529" s="45">
        <v>1.0</v>
      </c>
      <c r="BN1529" s="45"/>
      <c r="BO1529" s="46" t="s">
        <v>2590</v>
      </c>
      <c r="BP1529" s="2" t="s">
        <v>1005</v>
      </c>
      <c r="BQ1529" s="3"/>
    </row>
    <row r="1530" ht="15.75" customHeight="1">
      <c r="A1530" s="34">
        <v>1570.0</v>
      </c>
      <c r="B1530" s="34">
        <v>103803.0</v>
      </c>
      <c r="C1530" s="34" t="s">
        <v>76</v>
      </c>
      <c r="D1530" s="34" t="s">
        <v>2583</v>
      </c>
      <c r="E1530" s="34" t="s">
        <v>2584</v>
      </c>
      <c r="F1530" s="34">
        <v>2016.0</v>
      </c>
      <c r="G1530" s="34" t="s">
        <v>2585</v>
      </c>
      <c r="H1530" s="34" t="s">
        <v>231</v>
      </c>
      <c r="I1530" s="34" t="s">
        <v>2586</v>
      </c>
      <c r="J1530" s="35"/>
      <c r="K1530" s="36">
        <v>-13.190000000000012</v>
      </c>
      <c r="L1530" s="36">
        <v>135.52</v>
      </c>
      <c r="M1530" s="36">
        <v>122.33</v>
      </c>
      <c r="N1530" s="36"/>
      <c r="O1530" s="36"/>
      <c r="P1530" s="52">
        <f t="shared" si="172"/>
        <v>-9.732880756</v>
      </c>
      <c r="Q1530" s="36" t="s">
        <v>191</v>
      </c>
      <c r="R1530" s="36" t="s">
        <v>191</v>
      </c>
      <c r="S1530" s="36">
        <v>30.0</v>
      </c>
      <c r="T1530" s="36" t="s">
        <v>2596</v>
      </c>
      <c r="U1530" s="36" t="s">
        <v>2597</v>
      </c>
      <c r="V1530" s="36">
        <v>1.0</v>
      </c>
      <c r="W1530" s="36" t="s">
        <v>88</v>
      </c>
      <c r="X1530" s="38">
        <v>1.0</v>
      </c>
      <c r="Y1530" s="53" t="s">
        <v>256</v>
      </c>
      <c r="Z1530" s="38" t="s">
        <v>257</v>
      </c>
      <c r="AA1530" s="38" t="s">
        <v>86</v>
      </c>
      <c r="AB1530" s="38">
        <v>38.856</v>
      </c>
      <c r="AC1530" s="38">
        <v>100.372</v>
      </c>
      <c r="AD1530" s="38" t="s">
        <v>198</v>
      </c>
      <c r="AE1530" s="53"/>
      <c r="AF1530" s="38" t="s">
        <v>1048</v>
      </c>
      <c r="AG1530" s="57"/>
      <c r="AH1530" s="38">
        <v>4.5</v>
      </c>
      <c r="AI1530" s="50">
        <v>38.875</v>
      </c>
      <c r="AJ1530" s="50">
        <v>100.375</v>
      </c>
      <c r="AK1530" s="41" t="s">
        <v>86</v>
      </c>
      <c r="AL1530" s="40" t="s">
        <v>86</v>
      </c>
      <c r="AM1530" s="49">
        <v>1554.0</v>
      </c>
      <c r="AN1530" s="51">
        <v>1554.0</v>
      </c>
      <c r="AO1530" s="42" t="s">
        <v>261</v>
      </c>
      <c r="AP1530" s="43" t="s">
        <v>261</v>
      </c>
      <c r="AQ1530" s="44" t="str">
        <f t="shared" si="165"/>
        <v>CRO</v>
      </c>
      <c r="AR1530" s="44">
        <f t="shared" si="144"/>
        <v>1554</v>
      </c>
      <c r="AS1530" s="44" t="str">
        <f t="shared" si="174"/>
        <v>B</v>
      </c>
      <c r="AT1530" s="44" t="str">
        <f t="shared" si="114"/>
        <v>BW</v>
      </c>
      <c r="AU1530" s="44" t="str">
        <f t="shared" si="115"/>
        <v>BWk</v>
      </c>
      <c r="AV1530" s="38">
        <v>3.0</v>
      </c>
      <c r="AW1530" s="38"/>
      <c r="AX1530" s="38"/>
      <c r="AY1530" s="38"/>
      <c r="AZ1530" s="29">
        <v>30.0</v>
      </c>
      <c r="BA1530" s="29"/>
      <c r="BB1530" s="29">
        <v>1.0</v>
      </c>
      <c r="BC1530" s="115" t="s">
        <v>2350</v>
      </c>
      <c r="BD1530" s="29" t="s">
        <v>88</v>
      </c>
      <c r="BE1530" s="29"/>
      <c r="BF1530" s="115" t="s">
        <v>2350</v>
      </c>
      <c r="BG1530" s="29" t="s">
        <v>572</v>
      </c>
      <c r="BH1530" s="29" t="s">
        <v>88</v>
      </c>
      <c r="BI1530" s="29" t="s">
        <v>2588</v>
      </c>
      <c r="BJ1530" s="29"/>
      <c r="BK1530" s="29" t="s">
        <v>2589</v>
      </c>
      <c r="BL1530" s="29" t="s">
        <v>2589</v>
      </c>
      <c r="BM1530" s="45">
        <v>1.0</v>
      </c>
      <c r="BN1530" s="45"/>
      <c r="BO1530" s="46" t="s">
        <v>2590</v>
      </c>
      <c r="BP1530" s="2"/>
      <c r="BQ1530" s="3"/>
    </row>
    <row r="1531" ht="15.75" customHeight="1">
      <c r="A1531" s="34">
        <v>1571.0</v>
      </c>
      <c r="B1531" s="34">
        <v>103803.0</v>
      </c>
      <c r="C1531" s="34" t="s">
        <v>76</v>
      </c>
      <c r="D1531" s="34" t="s">
        <v>2583</v>
      </c>
      <c r="E1531" s="34" t="s">
        <v>2584</v>
      </c>
      <c r="F1531" s="34">
        <v>2016.0</v>
      </c>
      <c r="G1531" s="34" t="s">
        <v>2585</v>
      </c>
      <c r="H1531" s="34" t="s">
        <v>231</v>
      </c>
      <c r="I1531" s="34" t="s">
        <v>2586</v>
      </c>
      <c r="J1531" s="35"/>
      <c r="K1531" s="36">
        <v>-0.8400000000000034</v>
      </c>
      <c r="L1531" s="36">
        <v>96.94</v>
      </c>
      <c r="M1531" s="36">
        <v>96.1</v>
      </c>
      <c r="N1531" s="36"/>
      <c r="O1531" s="36"/>
      <c r="P1531" s="52">
        <f t="shared" si="172"/>
        <v>-0.8665153703</v>
      </c>
      <c r="Q1531" s="36" t="s">
        <v>191</v>
      </c>
      <c r="R1531" s="36" t="s">
        <v>191</v>
      </c>
      <c r="S1531" s="36">
        <v>30.0</v>
      </c>
      <c r="T1531" s="36" t="s">
        <v>2598</v>
      </c>
      <c r="U1531" s="36" t="s">
        <v>2599</v>
      </c>
      <c r="V1531" s="36">
        <v>1.0</v>
      </c>
      <c r="W1531" s="36" t="s">
        <v>88</v>
      </c>
      <c r="X1531" s="38">
        <v>1.0</v>
      </c>
      <c r="Y1531" s="53" t="s">
        <v>256</v>
      </c>
      <c r="Z1531" s="38" t="s">
        <v>257</v>
      </c>
      <c r="AA1531" s="38" t="s">
        <v>86</v>
      </c>
      <c r="AB1531" s="38">
        <v>38.856</v>
      </c>
      <c r="AC1531" s="38">
        <v>100.372</v>
      </c>
      <c r="AD1531" s="38" t="s">
        <v>198</v>
      </c>
      <c r="AE1531" s="53"/>
      <c r="AF1531" s="38" t="s">
        <v>1048</v>
      </c>
      <c r="AG1531" s="57"/>
      <c r="AH1531" s="38">
        <v>4.5</v>
      </c>
      <c r="AI1531" s="50">
        <v>38.875</v>
      </c>
      <c r="AJ1531" s="50">
        <v>100.375</v>
      </c>
      <c r="AK1531" s="41" t="s">
        <v>86</v>
      </c>
      <c r="AL1531" s="40" t="s">
        <v>86</v>
      </c>
      <c r="AM1531" s="49">
        <v>1554.0</v>
      </c>
      <c r="AN1531" s="51">
        <v>1554.0</v>
      </c>
      <c r="AO1531" s="42" t="s">
        <v>261</v>
      </c>
      <c r="AP1531" s="43" t="s">
        <v>261</v>
      </c>
      <c r="AQ1531" s="44" t="str">
        <f t="shared" si="165"/>
        <v>CRO</v>
      </c>
      <c r="AR1531" s="44">
        <f t="shared" si="144"/>
        <v>1554</v>
      </c>
      <c r="AS1531" s="44" t="str">
        <f t="shared" si="174"/>
        <v>B</v>
      </c>
      <c r="AT1531" s="44" t="str">
        <f t="shared" si="114"/>
        <v>BW</v>
      </c>
      <c r="AU1531" s="44" t="str">
        <f t="shared" si="115"/>
        <v>BWk</v>
      </c>
      <c r="AV1531" s="38">
        <v>3.0</v>
      </c>
      <c r="AW1531" s="38"/>
      <c r="AX1531" s="38"/>
      <c r="AY1531" s="38"/>
      <c r="AZ1531" s="29">
        <v>30.0</v>
      </c>
      <c r="BA1531" s="29"/>
      <c r="BB1531" s="29">
        <v>1.0</v>
      </c>
      <c r="BC1531" s="115" t="s">
        <v>2350</v>
      </c>
      <c r="BD1531" s="29" t="s">
        <v>88</v>
      </c>
      <c r="BE1531" s="29"/>
      <c r="BF1531" s="115" t="s">
        <v>2350</v>
      </c>
      <c r="BG1531" s="29" t="s">
        <v>572</v>
      </c>
      <c r="BH1531" s="29" t="s">
        <v>88</v>
      </c>
      <c r="BI1531" s="29" t="s">
        <v>2588</v>
      </c>
      <c r="BJ1531" s="29"/>
      <c r="BK1531" s="29" t="s">
        <v>2589</v>
      </c>
      <c r="BL1531" s="29" t="s">
        <v>2589</v>
      </c>
      <c r="BM1531" s="45">
        <v>1.0</v>
      </c>
      <c r="BN1531" s="45"/>
      <c r="BO1531" s="46" t="s">
        <v>2590</v>
      </c>
      <c r="BP1531" s="2"/>
      <c r="BQ1531" s="3"/>
    </row>
    <row r="1532" ht="15.75" customHeight="1">
      <c r="A1532" s="34">
        <v>1572.0</v>
      </c>
      <c r="B1532" s="34">
        <v>103803.0</v>
      </c>
      <c r="C1532" s="34" t="s">
        <v>76</v>
      </c>
      <c r="D1532" s="34" t="s">
        <v>2583</v>
      </c>
      <c r="E1532" s="34" t="s">
        <v>2584</v>
      </c>
      <c r="F1532" s="34">
        <v>2016.0</v>
      </c>
      <c r="G1532" s="34" t="s">
        <v>2585</v>
      </c>
      <c r="H1532" s="34" t="s">
        <v>231</v>
      </c>
      <c r="I1532" s="34" t="s">
        <v>2586</v>
      </c>
      <c r="J1532" s="35"/>
      <c r="K1532" s="36">
        <v>6.188333333333333</v>
      </c>
      <c r="L1532" s="36">
        <v>98.315</v>
      </c>
      <c r="M1532" s="36">
        <f>average(M1526:M1531)</f>
        <v>104.5033333</v>
      </c>
      <c r="N1532" s="36"/>
      <c r="O1532" s="36"/>
      <c r="P1532" s="52">
        <f t="shared" si="172"/>
        <v>6.29439387</v>
      </c>
      <c r="Q1532" s="36" t="s">
        <v>191</v>
      </c>
      <c r="R1532" s="36" t="s">
        <v>191</v>
      </c>
      <c r="S1532" s="36">
        <v>30.0</v>
      </c>
      <c r="T1532" s="36" t="s">
        <v>2137</v>
      </c>
      <c r="U1532" s="36" t="s">
        <v>2599</v>
      </c>
      <c r="V1532" s="36">
        <v>6.0</v>
      </c>
      <c r="W1532" s="36" t="s">
        <v>88</v>
      </c>
      <c r="X1532" s="38">
        <v>1.0</v>
      </c>
      <c r="Y1532" s="53" t="s">
        <v>256</v>
      </c>
      <c r="Z1532" s="38" t="s">
        <v>257</v>
      </c>
      <c r="AA1532" s="38" t="s">
        <v>86</v>
      </c>
      <c r="AB1532" s="38">
        <v>38.856</v>
      </c>
      <c r="AC1532" s="38">
        <v>100.372</v>
      </c>
      <c r="AD1532" s="38" t="s">
        <v>198</v>
      </c>
      <c r="AE1532" s="53"/>
      <c r="AF1532" s="38" t="s">
        <v>1048</v>
      </c>
      <c r="AG1532" s="57"/>
      <c r="AH1532" s="38">
        <v>4.5</v>
      </c>
      <c r="AI1532" s="50">
        <v>38.875</v>
      </c>
      <c r="AJ1532" s="50">
        <v>100.375</v>
      </c>
      <c r="AK1532" s="41" t="s">
        <v>86</v>
      </c>
      <c r="AL1532" s="40" t="s">
        <v>86</v>
      </c>
      <c r="AM1532" s="49">
        <v>1554.0</v>
      </c>
      <c r="AN1532" s="51">
        <v>1554.0</v>
      </c>
      <c r="AO1532" s="42" t="s">
        <v>261</v>
      </c>
      <c r="AP1532" s="43" t="s">
        <v>261</v>
      </c>
      <c r="AQ1532" s="44" t="str">
        <f t="shared" si="165"/>
        <v>CRO</v>
      </c>
      <c r="AR1532" s="44">
        <f t="shared" si="144"/>
        <v>1554</v>
      </c>
      <c r="AS1532" s="44" t="str">
        <f t="shared" si="174"/>
        <v>B</v>
      </c>
      <c r="AT1532" s="44" t="str">
        <f t="shared" si="114"/>
        <v>BW</v>
      </c>
      <c r="AU1532" s="44" t="str">
        <f t="shared" si="115"/>
        <v>BWk</v>
      </c>
      <c r="AV1532" s="38">
        <v>3.0</v>
      </c>
      <c r="AW1532" s="38"/>
      <c r="AX1532" s="38"/>
      <c r="AY1532" s="38"/>
      <c r="AZ1532" s="29">
        <v>30.0</v>
      </c>
      <c r="BA1532" s="29"/>
      <c r="BB1532" s="29">
        <v>1.0</v>
      </c>
      <c r="BC1532" s="115" t="s">
        <v>2350</v>
      </c>
      <c r="BD1532" s="29" t="s">
        <v>88</v>
      </c>
      <c r="BE1532" s="29"/>
      <c r="BF1532" s="115" t="s">
        <v>2350</v>
      </c>
      <c r="BG1532" s="29" t="s">
        <v>572</v>
      </c>
      <c r="BH1532" s="29" t="s">
        <v>88</v>
      </c>
      <c r="BI1532" s="29" t="s">
        <v>2588</v>
      </c>
      <c r="BJ1532" s="29"/>
      <c r="BK1532" s="29" t="s">
        <v>2589</v>
      </c>
      <c r="BL1532" s="29" t="s">
        <v>2589</v>
      </c>
      <c r="BM1532" s="45">
        <v>1.0</v>
      </c>
      <c r="BN1532" s="45"/>
      <c r="BO1532" s="46" t="s">
        <v>2590</v>
      </c>
      <c r="BP1532" s="2" t="s">
        <v>682</v>
      </c>
      <c r="BQ1532" s="3"/>
    </row>
    <row r="1533" ht="15.75" customHeight="1">
      <c r="A1533" s="34">
        <v>1573.0</v>
      </c>
      <c r="B1533" s="34">
        <v>103803.0</v>
      </c>
      <c r="C1533" s="34" t="s">
        <v>76</v>
      </c>
      <c r="D1533" s="34" t="s">
        <v>2583</v>
      </c>
      <c r="E1533" s="34" t="s">
        <v>2584</v>
      </c>
      <c r="F1533" s="34">
        <v>2016.0</v>
      </c>
      <c r="G1533" s="34" t="s">
        <v>2585</v>
      </c>
      <c r="H1533" s="34" t="s">
        <v>231</v>
      </c>
      <c r="I1533" s="34" t="s">
        <v>2586</v>
      </c>
      <c r="J1533" s="35"/>
      <c r="K1533" s="36">
        <v>47.089999999999996</v>
      </c>
      <c r="L1533" s="36">
        <v>38.02</v>
      </c>
      <c r="M1533" s="36">
        <v>85.11</v>
      </c>
      <c r="N1533" s="36"/>
      <c r="O1533" s="36"/>
      <c r="P1533" s="86">
        <f t="shared" si="172"/>
        <v>123.8558653</v>
      </c>
      <c r="Q1533" s="36" t="s">
        <v>191</v>
      </c>
      <c r="R1533" s="36" t="s">
        <v>191</v>
      </c>
      <c r="S1533" s="36">
        <v>30.0</v>
      </c>
      <c r="T1533" s="36" t="s">
        <v>2137</v>
      </c>
      <c r="U1533" s="36" t="s">
        <v>2587</v>
      </c>
      <c r="V1533" s="36">
        <v>1.0</v>
      </c>
      <c r="W1533" s="36" t="s">
        <v>88</v>
      </c>
      <c r="X1533" s="38">
        <v>1.0</v>
      </c>
      <c r="Y1533" s="38" t="s">
        <v>654</v>
      </c>
      <c r="Z1533" s="38" t="s">
        <v>654</v>
      </c>
      <c r="AA1533" s="38" t="s">
        <v>214</v>
      </c>
      <c r="AB1533" s="38">
        <v>38.975</v>
      </c>
      <c r="AC1533" s="38">
        <v>100.446</v>
      </c>
      <c r="AD1533" s="38" t="s">
        <v>198</v>
      </c>
      <c r="AE1533" s="38">
        <v>1460.0</v>
      </c>
      <c r="AF1533" s="38" t="s">
        <v>2076</v>
      </c>
      <c r="AG1533" s="38"/>
      <c r="AH1533" s="38">
        <v>5.2</v>
      </c>
      <c r="AI1533" s="50">
        <v>38.975</v>
      </c>
      <c r="AJ1533" s="50">
        <v>100.446</v>
      </c>
      <c r="AK1533" s="41" t="s">
        <v>86</v>
      </c>
      <c r="AL1533" s="40" t="s">
        <v>86</v>
      </c>
      <c r="AM1533" s="49">
        <v>1459.0</v>
      </c>
      <c r="AN1533" s="51">
        <v>1459.0</v>
      </c>
      <c r="AO1533" s="42" t="s">
        <v>261</v>
      </c>
      <c r="AP1533" s="43" t="s">
        <v>261</v>
      </c>
      <c r="AQ1533" s="44" t="str">
        <f t="shared" si="165"/>
        <v>WET</v>
      </c>
      <c r="AR1533" s="44">
        <f t="shared" si="144"/>
        <v>1459</v>
      </c>
      <c r="AS1533" s="44" t="str">
        <f t="shared" si="174"/>
        <v>B</v>
      </c>
      <c r="AT1533" s="44" t="str">
        <f t="shared" si="114"/>
        <v>BW</v>
      </c>
      <c r="AU1533" s="44" t="str">
        <f t="shared" si="115"/>
        <v>BWk</v>
      </c>
      <c r="AV1533" s="38">
        <v>3.0</v>
      </c>
      <c r="AW1533" s="38"/>
      <c r="AX1533" s="38"/>
      <c r="AY1533" s="38"/>
      <c r="AZ1533" s="29">
        <v>30.0</v>
      </c>
      <c r="BA1533" s="29"/>
      <c r="BB1533" s="29">
        <v>1.0</v>
      </c>
      <c r="BC1533" s="115" t="s">
        <v>2350</v>
      </c>
      <c r="BD1533" s="29" t="s">
        <v>88</v>
      </c>
      <c r="BE1533" s="29"/>
      <c r="BF1533" s="115" t="s">
        <v>2350</v>
      </c>
      <c r="BG1533" s="29" t="s">
        <v>572</v>
      </c>
      <c r="BH1533" s="29" t="s">
        <v>88</v>
      </c>
      <c r="BI1533" s="29" t="s">
        <v>2588</v>
      </c>
      <c r="BJ1533" s="29"/>
      <c r="BK1533" s="29" t="s">
        <v>2589</v>
      </c>
      <c r="BL1533" s="29" t="s">
        <v>2589</v>
      </c>
      <c r="BM1533" s="45">
        <v>1.0</v>
      </c>
      <c r="BN1533" s="45"/>
      <c r="BO1533" s="46" t="s">
        <v>2590</v>
      </c>
      <c r="BP1533" s="2" t="s">
        <v>682</v>
      </c>
      <c r="BQ1533" s="3"/>
    </row>
    <row r="1534" ht="15.75" customHeight="1">
      <c r="A1534" s="34">
        <v>1574.0</v>
      </c>
      <c r="B1534" s="34">
        <v>103803.0</v>
      </c>
      <c r="C1534" s="34" t="s">
        <v>76</v>
      </c>
      <c r="D1534" s="34" t="s">
        <v>2583</v>
      </c>
      <c r="E1534" s="34" t="s">
        <v>2584</v>
      </c>
      <c r="F1534" s="34">
        <v>2016.0</v>
      </c>
      <c r="G1534" s="34" t="s">
        <v>2585</v>
      </c>
      <c r="H1534" s="34" t="s">
        <v>231</v>
      </c>
      <c r="I1534" s="34" t="s">
        <v>2586</v>
      </c>
      <c r="J1534" s="35"/>
      <c r="K1534" s="36">
        <v>70.32000000000001</v>
      </c>
      <c r="L1534" s="36">
        <v>111.36</v>
      </c>
      <c r="M1534" s="36">
        <v>181.68</v>
      </c>
      <c r="N1534" s="36"/>
      <c r="O1534" s="36"/>
      <c r="P1534" s="52">
        <f t="shared" si="172"/>
        <v>63.14655172</v>
      </c>
      <c r="Q1534" s="36" t="s">
        <v>191</v>
      </c>
      <c r="R1534" s="36" t="s">
        <v>191</v>
      </c>
      <c r="S1534" s="36">
        <v>30.0</v>
      </c>
      <c r="T1534" s="36" t="s">
        <v>2591</v>
      </c>
      <c r="U1534" s="36" t="s">
        <v>2592</v>
      </c>
      <c r="V1534" s="36">
        <v>1.0</v>
      </c>
      <c r="W1534" s="36" t="s">
        <v>88</v>
      </c>
      <c r="X1534" s="38">
        <v>1.0</v>
      </c>
      <c r="Y1534" s="38" t="s">
        <v>654</v>
      </c>
      <c r="Z1534" s="38" t="s">
        <v>654</v>
      </c>
      <c r="AA1534" s="38" t="s">
        <v>214</v>
      </c>
      <c r="AB1534" s="38">
        <v>38.975</v>
      </c>
      <c r="AC1534" s="38">
        <v>100.446</v>
      </c>
      <c r="AD1534" s="38" t="s">
        <v>198</v>
      </c>
      <c r="AE1534" s="38">
        <v>1460.0</v>
      </c>
      <c r="AF1534" s="38" t="s">
        <v>2076</v>
      </c>
      <c r="AG1534" s="38"/>
      <c r="AH1534" s="38">
        <v>5.2</v>
      </c>
      <c r="AI1534" s="50">
        <v>38.975</v>
      </c>
      <c r="AJ1534" s="50">
        <v>100.446</v>
      </c>
      <c r="AK1534" s="41" t="s">
        <v>86</v>
      </c>
      <c r="AL1534" s="40" t="s">
        <v>86</v>
      </c>
      <c r="AM1534" s="49">
        <v>1459.0</v>
      </c>
      <c r="AN1534" s="51">
        <v>1459.0</v>
      </c>
      <c r="AO1534" s="42" t="s">
        <v>261</v>
      </c>
      <c r="AP1534" s="43" t="s">
        <v>261</v>
      </c>
      <c r="AQ1534" s="44" t="str">
        <f t="shared" si="165"/>
        <v>WET</v>
      </c>
      <c r="AR1534" s="44">
        <f t="shared" si="144"/>
        <v>1459</v>
      </c>
      <c r="AS1534" s="44" t="str">
        <f t="shared" si="174"/>
        <v>B</v>
      </c>
      <c r="AT1534" s="44" t="str">
        <f t="shared" si="114"/>
        <v>BW</v>
      </c>
      <c r="AU1534" s="44" t="str">
        <f t="shared" si="115"/>
        <v>BWk</v>
      </c>
      <c r="AV1534" s="38">
        <v>3.0</v>
      </c>
      <c r="AW1534" s="38"/>
      <c r="AX1534" s="38"/>
      <c r="AY1534" s="38"/>
      <c r="AZ1534" s="29">
        <v>30.0</v>
      </c>
      <c r="BA1534" s="29"/>
      <c r="BB1534" s="29">
        <v>1.0</v>
      </c>
      <c r="BC1534" s="115" t="s">
        <v>2350</v>
      </c>
      <c r="BD1534" s="29" t="s">
        <v>88</v>
      </c>
      <c r="BE1534" s="29"/>
      <c r="BF1534" s="115" t="s">
        <v>2350</v>
      </c>
      <c r="BG1534" s="29" t="s">
        <v>572</v>
      </c>
      <c r="BH1534" s="29" t="s">
        <v>88</v>
      </c>
      <c r="BI1534" s="29" t="s">
        <v>2588</v>
      </c>
      <c r="BJ1534" s="29"/>
      <c r="BK1534" s="29" t="s">
        <v>2589</v>
      </c>
      <c r="BL1534" s="29" t="s">
        <v>2589</v>
      </c>
      <c r="BM1534" s="45">
        <v>1.0</v>
      </c>
      <c r="BN1534" s="45"/>
      <c r="BO1534" s="46" t="s">
        <v>2590</v>
      </c>
      <c r="BP1534" s="2"/>
      <c r="BQ1534" s="3"/>
    </row>
    <row r="1535" ht="15.75" customHeight="1">
      <c r="A1535" s="34">
        <v>1575.0</v>
      </c>
      <c r="B1535" s="34">
        <v>103803.0</v>
      </c>
      <c r="C1535" s="34" t="s">
        <v>76</v>
      </c>
      <c r="D1535" s="34" t="s">
        <v>2583</v>
      </c>
      <c r="E1535" s="34" t="s">
        <v>2584</v>
      </c>
      <c r="F1535" s="34">
        <v>2016.0</v>
      </c>
      <c r="G1535" s="34" t="s">
        <v>2585</v>
      </c>
      <c r="H1535" s="34" t="s">
        <v>231</v>
      </c>
      <c r="I1535" s="34" t="s">
        <v>2586</v>
      </c>
      <c r="J1535" s="35"/>
      <c r="K1535" s="36">
        <v>-52.59</v>
      </c>
      <c r="L1535" s="36">
        <v>208.0</v>
      </c>
      <c r="M1535" s="36">
        <v>155.41</v>
      </c>
      <c r="N1535" s="36"/>
      <c r="O1535" s="36"/>
      <c r="P1535" s="52">
        <f t="shared" si="172"/>
        <v>-25.28365385</v>
      </c>
      <c r="Q1535" s="36" t="s">
        <v>191</v>
      </c>
      <c r="R1535" s="36" t="s">
        <v>191</v>
      </c>
      <c r="S1535" s="36">
        <v>30.0</v>
      </c>
      <c r="T1535" s="36" t="s">
        <v>2593</v>
      </c>
      <c r="U1535" s="36" t="s">
        <v>2594</v>
      </c>
      <c r="V1535" s="36">
        <v>1.0</v>
      </c>
      <c r="W1535" s="36" t="s">
        <v>88</v>
      </c>
      <c r="X1535" s="38">
        <v>1.0</v>
      </c>
      <c r="Y1535" s="38" t="s">
        <v>654</v>
      </c>
      <c r="Z1535" s="38" t="s">
        <v>654</v>
      </c>
      <c r="AA1535" s="38" t="s">
        <v>214</v>
      </c>
      <c r="AB1535" s="38">
        <v>38.975</v>
      </c>
      <c r="AC1535" s="38">
        <v>100.446</v>
      </c>
      <c r="AD1535" s="38" t="s">
        <v>198</v>
      </c>
      <c r="AE1535" s="38">
        <v>1460.0</v>
      </c>
      <c r="AF1535" s="38" t="s">
        <v>2076</v>
      </c>
      <c r="AG1535" s="38"/>
      <c r="AH1535" s="38">
        <v>5.2</v>
      </c>
      <c r="AI1535" s="50">
        <v>38.975</v>
      </c>
      <c r="AJ1535" s="50">
        <v>100.446</v>
      </c>
      <c r="AK1535" s="41" t="s">
        <v>86</v>
      </c>
      <c r="AL1535" s="40" t="s">
        <v>86</v>
      </c>
      <c r="AM1535" s="49">
        <v>1459.0</v>
      </c>
      <c r="AN1535" s="51">
        <v>1459.0</v>
      </c>
      <c r="AO1535" s="42" t="s">
        <v>261</v>
      </c>
      <c r="AP1535" s="43" t="s">
        <v>261</v>
      </c>
      <c r="AQ1535" s="44" t="str">
        <f t="shared" si="165"/>
        <v>WET</v>
      </c>
      <c r="AR1535" s="44">
        <f t="shared" si="144"/>
        <v>1459</v>
      </c>
      <c r="AS1535" s="44" t="str">
        <f t="shared" si="174"/>
        <v>B</v>
      </c>
      <c r="AT1535" s="44" t="str">
        <f t="shared" si="114"/>
        <v>BW</v>
      </c>
      <c r="AU1535" s="44" t="str">
        <f t="shared" si="115"/>
        <v>BWk</v>
      </c>
      <c r="AV1535" s="38">
        <v>3.0</v>
      </c>
      <c r="AW1535" s="38"/>
      <c r="AX1535" s="38"/>
      <c r="AY1535" s="38"/>
      <c r="AZ1535" s="29">
        <v>30.0</v>
      </c>
      <c r="BA1535" s="29"/>
      <c r="BB1535" s="29">
        <v>1.0</v>
      </c>
      <c r="BC1535" s="115" t="s">
        <v>2350</v>
      </c>
      <c r="BD1535" s="29" t="s">
        <v>88</v>
      </c>
      <c r="BE1535" s="29"/>
      <c r="BF1535" s="115" t="s">
        <v>2350</v>
      </c>
      <c r="BG1535" s="29" t="s">
        <v>572</v>
      </c>
      <c r="BH1535" s="29" t="s">
        <v>88</v>
      </c>
      <c r="BI1535" s="29" t="s">
        <v>2588</v>
      </c>
      <c r="BJ1535" s="29"/>
      <c r="BK1535" s="29" t="s">
        <v>2589</v>
      </c>
      <c r="BL1535" s="29" t="s">
        <v>2589</v>
      </c>
      <c r="BM1535" s="45">
        <v>1.0</v>
      </c>
      <c r="BN1535" s="45"/>
      <c r="BO1535" s="46" t="s">
        <v>2590</v>
      </c>
      <c r="BP1535" s="2"/>
      <c r="BQ1535" s="3"/>
    </row>
    <row r="1536" ht="15.75" customHeight="1">
      <c r="A1536" s="34">
        <v>1576.0</v>
      </c>
      <c r="B1536" s="34">
        <v>103803.0</v>
      </c>
      <c r="C1536" s="34" t="s">
        <v>76</v>
      </c>
      <c r="D1536" s="34" t="s">
        <v>2583</v>
      </c>
      <c r="E1536" s="34" t="s">
        <v>2584</v>
      </c>
      <c r="F1536" s="34">
        <v>2016.0</v>
      </c>
      <c r="G1536" s="34" t="s">
        <v>2585</v>
      </c>
      <c r="H1536" s="34" t="s">
        <v>231</v>
      </c>
      <c r="I1536" s="34" t="s">
        <v>2586</v>
      </c>
      <c r="J1536" s="35"/>
      <c r="K1536" s="36">
        <v>-37.48999999999998</v>
      </c>
      <c r="L1536" s="36">
        <v>190.67</v>
      </c>
      <c r="M1536" s="36">
        <v>153.18</v>
      </c>
      <c r="N1536" s="36"/>
      <c r="O1536" s="36"/>
      <c r="P1536" s="52">
        <f t="shared" si="172"/>
        <v>-19.66224367</v>
      </c>
      <c r="Q1536" s="36" t="s">
        <v>191</v>
      </c>
      <c r="R1536" s="36" t="s">
        <v>191</v>
      </c>
      <c r="S1536" s="36">
        <v>30.0</v>
      </c>
      <c r="T1536" s="36" t="s">
        <v>2219</v>
      </c>
      <c r="U1536" s="36" t="s">
        <v>2595</v>
      </c>
      <c r="V1536" s="36">
        <v>1.0</v>
      </c>
      <c r="W1536" s="36" t="s">
        <v>88</v>
      </c>
      <c r="X1536" s="38">
        <v>1.0</v>
      </c>
      <c r="Y1536" s="38" t="s">
        <v>654</v>
      </c>
      <c r="Z1536" s="38" t="s">
        <v>654</v>
      </c>
      <c r="AA1536" s="38" t="s">
        <v>214</v>
      </c>
      <c r="AB1536" s="38">
        <v>38.975</v>
      </c>
      <c r="AC1536" s="38">
        <v>100.446</v>
      </c>
      <c r="AD1536" s="38" t="s">
        <v>198</v>
      </c>
      <c r="AE1536" s="38">
        <v>1460.0</v>
      </c>
      <c r="AF1536" s="38" t="s">
        <v>2076</v>
      </c>
      <c r="AG1536" s="38"/>
      <c r="AH1536" s="38">
        <v>5.2</v>
      </c>
      <c r="AI1536" s="50">
        <v>38.975</v>
      </c>
      <c r="AJ1536" s="50">
        <v>100.446</v>
      </c>
      <c r="AK1536" s="41" t="s">
        <v>86</v>
      </c>
      <c r="AL1536" s="40" t="s">
        <v>86</v>
      </c>
      <c r="AM1536" s="49">
        <v>1459.0</v>
      </c>
      <c r="AN1536" s="51">
        <v>1459.0</v>
      </c>
      <c r="AO1536" s="42" t="s">
        <v>261</v>
      </c>
      <c r="AP1536" s="43" t="s">
        <v>261</v>
      </c>
      <c r="AQ1536" s="44" t="str">
        <f t="shared" si="165"/>
        <v>WET</v>
      </c>
      <c r="AR1536" s="44">
        <f t="shared" si="144"/>
        <v>1459</v>
      </c>
      <c r="AS1536" s="44" t="str">
        <f t="shared" si="174"/>
        <v>B</v>
      </c>
      <c r="AT1536" s="44" t="str">
        <f t="shared" si="114"/>
        <v>BW</v>
      </c>
      <c r="AU1536" s="44" t="str">
        <f t="shared" si="115"/>
        <v>BWk</v>
      </c>
      <c r="AV1536" s="38">
        <v>3.0</v>
      </c>
      <c r="AW1536" s="38"/>
      <c r="AX1536" s="38"/>
      <c r="AY1536" s="38"/>
      <c r="AZ1536" s="29">
        <v>30.0</v>
      </c>
      <c r="BA1536" s="29"/>
      <c r="BB1536" s="29">
        <v>1.0</v>
      </c>
      <c r="BC1536" s="115" t="s">
        <v>2350</v>
      </c>
      <c r="BD1536" s="29" t="s">
        <v>88</v>
      </c>
      <c r="BE1536" s="29"/>
      <c r="BF1536" s="115" t="s">
        <v>2350</v>
      </c>
      <c r="BG1536" s="29" t="s">
        <v>572</v>
      </c>
      <c r="BH1536" s="29" t="s">
        <v>88</v>
      </c>
      <c r="BI1536" s="29" t="s">
        <v>2588</v>
      </c>
      <c r="BJ1536" s="29"/>
      <c r="BK1536" s="29" t="s">
        <v>2589</v>
      </c>
      <c r="BL1536" s="29" t="s">
        <v>2589</v>
      </c>
      <c r="BM1536" s="45">
        <v>1.0</v>
      </c>
      <c r="BN1536" s="45"/>
      <c r="BO1536" s="46" t="s">
        <v>2590</v>
      </c>
      <c r="BP1536" s="2" t="s">
        <v>1005</v>
      </c>
      <c r="BQ1536" s="3"/>
    </row>
    <row r="1537" ht="15.75" customHeight="1">
      <c r="A1537" s="34">
        <v>1577.0</v>
      </c>
      <c r="B1537" s="34">
        <v>103803.0</v>
      </c>
      <c r="C1537" s="34" t="s">
        <v>76</v>
      </c>
      <c r="D1537" s="34" t="s">
        <v>2583</v>
      </c>
      <c r="E1537" s="34" t="s">
        <v>2584</v>
      </c>
      <c r="F1537" s="34">
        <v>2016.0</v>
      </c>
      <c r="G1537" s="34" t="s">
        <v>2585</v>
      </c>
      <c r="H1537" s="34" t="s">
        <v>231</v>
      </c>
      <c r="I1537" s="34" t="s">
        <v>2586</v>
      </c>
      <c r="J1537" s="35"/>
      <c r="K1537" s="36">
        <v>-41.69</v>
      </c>
      <c r="L1537" s="36">
        <v>187.12</v>
      </c>
      <c r="M1537" s="36">
        <v>145.43</v>
      </c>
      <c r="N1537" s="36"/>
      <c r="O1537" s="36"/>
      <c r="P1537" s="52">
        <f t="shared" si="172"/>
        <v>-22.27982044</v>
      </c>
      <c r="Q1537" s="36" t="s">
        <v>191</v>
      </c>
      <c r="R1537" s="36" t="s">
        <v>191</v>
      </c>
      <c r="S1537" s="36">
        <v>30.0</v>
      </c>
      <c r="T1537" s="36" t="s">
        <v>2596</v>
      </c>
      <c r="U1537" s="36" t="s">
        <v>2597</v>
      </c>
      <c r="V1537" s="36">
        <v>1.0</v>
      </c>
      <c r="W1537" s="36" t="s">
        <v>88</v>
      </c>
      <c r="X1537" s="38">
        <v>1.0</v>
      </c>
      <c r="Y1537" s="38" t="s">
        <v>654</v>
      </c>
      <c r="Z1537" s="38" t="s">
        <v>654</v>
      </c>
      <c r="AA1537" s="38" t="s">
        <v>214</v>
      </c>
      <c r="AB1537" s="38">
        <v>38.975</v>
      </c>
      <c r="AC1537" s="38">
        <v>100.446</v>
      </c>
      <c r="AD1537" s="38" t="s">
        <v>198</v>
      </c>
      <c r="AE1537" s="38">
        <v>1460.0</v>
      </c>
      <c r="AF1537" s="38" t="s">
        <v>2076</v>
      </c>
      <c r="AG1537" s="38"/>
      <c r="AH1537" s="38">
        <v>5.2</v>
      </c>
      <c r="AI1537" s="50">
        <v>38.975</v>
      </c>
      <c r="AJ1537" s="50">
        <v>100.446</v>
      </c>
      <c r="AK1537" s="41" t="s">
        <v>86</v>
      </c>
      <c r="AL1537" s="40" t="s">
        <v>86</v>
      </c>
      <c r="AM1537" s="49">
        <v>1459.0</v>
      </c>
      <c r="AN1537" s="51">
        <v>1459.0</v>
      </c>
      <c r="AO1537" s="42" t="s">
        <v>261</v>
      </c>
      <c r="AP1537" s="43" t="s">
        <v>261</v>
      </c>
      <c r="AQ1537" s="44" t="str">
        <f t="shared" si="165"/>
        <v>WET</v>
      </c>
      <c r="AR1537" s="44">
        <f t="shared" si="144"/>
        <v>1459</v>
      </c>
      <c r="AS1537" s="44" t="str">
        <f t="shared" si="174"/>
        <v>B</v>
      </c>
      <c r="AT1537" s="44" t="str">
        <f t="shared" si="114"/>
        <v>BW</v>
      </c>
      <c r="AU1537" s="44" t="str">
        <f t="shared" si="115"/>
        <v>BWk</v>
      </c>
      <c r="AV1537" s="38">
        <v>3.0</v>
      </c>
      <c r="AW1537" s="38"/>
      <c r="AX1537" s="38"/>
      <c r="AY1537" s="38"/>
      <c r="AZ1537" s="29">
        <v>30.0</v>
      </c>
      <c r="BA1537" s="29"/>
      <c r="BB1537" s="29">
        <v>1.0</v>
      </c>
      <c r="BC1537" s="115" t="s">
        <v>2350</v>
      </c>
      <c r="BD1537" s="29" t="s">
        <v>88</v>
      </c>
      <c r="BE1537" s="29"/>
      <c r="BF1537" s="115" t="s">
        <v>2350</v>
      </c>
      <c r="BG1537" s="29" t="s">
        <v>572</v>
      </c>
      <c r="BH1537" s="29" t="s">
        <v>88</v>
      </c>
      <c r="BI1537" s="29" t="s">
        <v>2588</v>
      </c>
      <c r="BJ1537" s="29"/>
      <c r="BK1537" s="29" t="s">
        <v>2589</v>
      </c>
      <c r="BL1537" s="29" t="s">
        <v>2589</v>
      </c>
      <c r="BM1537" s="45">
        <v>1.0</v>
      </c>
      <c r="BN1537" s="45"/>
      <c r="BO1537" s="46" t="s">
        <v>2590</v>
      </c>
      <c r="BP1537" s="2"/>
      <c r="BQ1537" s="3"/>
    </row>
    <row r="1538" ht="15.75" customHeight="1">
      <c r="A1538" s="34">
        <v>1578.0</v>
      </c>
      <c r="B1538" s="34">
        <v>103803.0</v>
      </c>
      <c r="C1538" s="34" t="s">
        <v>76</v>
      </c>
      <c r="D1538" s="34" t="s">
        <v>2583</v>
      </c>
      <c r="E1538" s="34" t="s">
        <v>2584</v>
      </c>
      <c r="F1538" s="34">
        <v>2016.0</v>
      </c>
      <c r="G1538" s="34" t="s">
        <v>2585</v>
      </c>
      <c r="H1538" s="34" t="s">
        <v>231</v>
      </c>
      <c r="I1538" s="34" t="s">
        <v>2586</v>
      </c>
      <c r="J1538" s="35"/>
      <c r="K1538" s="36">
        <v>-42.95000000000002</v>
      </c>
      <c r="L1538" s="36">
        <v>170.52</v>
      </c>
      <c r="M1538" s="36">
        <v>127.57</v>
      </c>
      <c r="N1538" s="36"/>
      <c r="O1538" s="36"/>
      <c r="P1538" s="52">
        <f t="shared" si="172"/>
        <v>-25.18766127</v>
      </c>
      <c r="Q1538" s="36" t="s">
        <v>191</v>
      </c>
      <c r="R1538" s="36" t="s">
        <v>191</v>
      </c>
      <c r="S1538" s="36">
        <v>30.0</v>
      </c>
      <c r="T1538" s="36" t="s">
        <v>2598</v>
      </c>
      <c r="U1538" s="36" t="s">
        <v>2599</v>
      </c>
      <c r="V1538" s="36">
        <v>1.0</v>
      </c>
      <c r="W1538" s="36" t="s">
        <v>88</v>
      </c>
      <c r="X1538" s="38">
        <v>1.0</v>
      </c>
      <c r="Y1538" s="38" t="s">
        <v>654</v>
      </c>
      <c r="Z1538" s="38" t="s">
        <v>654</v>
      </c>
      <c r="AA1538" s="38" t="s">
        <v>214</v>
      </c>
      <c r="AB1538" s="38">
        <v>38.975</v>
      </c>
      <c r="AC1538" s="38">
        <v>100.446</v>
      </c>
      <c r="AD1538" s="38" t="s">
        <v>198</v>
      </c>
      <c r="AE1538" s="38">
        <v>1460.0</v>
      </c>
      <c r="AF1538" s="38" t="s">
        <v>2076</v>
      </c>
      <c r="AG1538" s="38"/>
      <c r="AH1538" s="38">
        <v>5.2</v>
      </c>
      <c r="AI1538" s="50">
        <v>38.975</v>
      </c>
      <c r="AJ1538" s="50">
        <v>100.446</v>
      </c>
      <c r="AK1538" s="41" t="s">
        <v>86</v>
      </c>
      <c r="AL1538" s="40" t="s">
        <v>86</v>
      </c>
      <c r="AM1538" s="49">
        <v>1459.0</v>
      </c>
      <c r="AN1538" s="51">
        <v>1459.0</v>
      </c>
      <c r="AO1538" s="42" t="s">
        <v>261</v>
      </c>
      <c r="AP1538" s="43" t="s">
        <v>261</v>
      </c>
      <c r="AQ1538" s="44" t="str">
        <f t="shared" si="165"/>
        <v>WET</v>
      </c>
      <c r="AR1538" s="44">
        <f t="shared" si="144"/>
        <v>1459</v>
      </c>
      <c r="AS1538" s="44" t="str">
        <f t="shared" si="174"/>
        <v>B</v>
      </c>
      <c r="AT1538" s="44" t="str">
        <f t="shared" si="114"/>
        <v>BW</v>
      </c>
      <c r="AU1538" s="44" t="str">
        <f t="shared" si="115"/>
        <v>BWk</v>
      </c>
      <c r="AV1538" s="38">
        <v>3.0</v>
      </c>
      <c r="AW1538" s="38"/>
      <c r="AX1538" s="38"/>
      <c r="AY1538" s="38"/>
      <c r="AZ1538" s="29">
        <v>30.0</v>
      </c>
      <c r="BA1538" s="29"/>
      <c r="BB1538" s="29">
        <v>1.0</v>
      </c>
      <c r="BC1538" s="115" t="s">
        <v>2350</v>
      </c>
      <c r="BD1538" s="29" t="s">
        <v>88</v>
      </c>
      <c r="BE1538" s="29"/>
      <c r="BF1538" s="115" t="s">
        <v>2350</v>
      </c>
      <c r="BG1538" s="29" t="s">
        <v>572</v>
      </c>
      <c r="BH1538" s="29" t="s">
        <v>88</v>
      </c>
      <c r="BI1538" s="29" t="s">
        <v>2588</v>
      </c>
      <c r="BJ1538" s="29"/>
      <c r="BK1538" s="29" t="s">
        <v>2589</v>
      </c>
      <c r="BL1538" s="29" t="s">
        <v>2589</v>
      </c>
      <c r="BM1538" s="45">
        <v>1.0</v>
      </c>
      <c r="BN1538" s="45"/>
      <c r="BO1538" s="46" t="s">
        <v>2590</v>
      </c>
      <c r="BP1538" s="2"/>
      <c r="BQ1538" s="3"/>
    </row>
    <row r="1539" ht="15.75" customHeight="1">
      <c r="A1539" s="34">
        <v>1579.0</v>
      </c>
      <c r="B1539" s="34">
        <v>103803.0</v>
      </c>
      <c r="C1539" s="34" t="s">
        <v>76</v>
      </c>
      <c r="D1539" s="34" t="s">
        <v>2583</v>
      </c>
      <c r="E1539" s="34" t="s">
        <v>2584</v>
      </c>
      <c r="F1539" s="34">
        <v>2016.0</v>
      </c>
      <c r="G1539" s="34" t="s">
        <v>2585</v>
      </c>
      <c r="H1539" s="34" t="s">
        <v>231</v>
      </c>
      <c r="I1539" s="34" t="s">
        <v>2586</v>
      </c>
      <c r="J1539" s="35"/>
      <c r="K1539" s="36">
        <v>-9.551633333333314</v>
      </c>
      <c r="L1539" s="36">
        <v>150.9483</v>
      </c>
      <c r="M1539" s="36">
        <f>average(M1533:M1538)</f>
        <v>141.3966667</v>
      </c>
      <c r="N1539" s="36"/>
      <c r="O1539" s="36"/>
      <c r="P1539" s="52">
        <f t="shared" si="172"/>
        <v>-6.327751511</v>
      </c>
      <c r="Q1539" s="36" t="s">
        <v>191</v>
      </c>
      <c r="R1539" s="36" t="s">
        <v>191</v>
      </c>
      <c r="S1539" s="36">
        <v>30.0</v>
      </c>
      <c r="T1539" s="36" t="s">
        <v>2137</v>
      </c>
      <c r="U1539" s="36" t="s">
        <v>2599</v>
      </c>
      <c r="V1539" s="36">
        <v>6.0</v>
      </c>
      <c r="W1539" s="36" t="s">
        <v>88</v>
      </c>
      <c r="X1539" s="38">
        <v>1.0</v>
      </c>
      <c r="Y1539" s="38" t="s">
        <v>654</v>
      </c>
      <c r="Z1539" s="38" t="s">
        <v>654</v>
      </c>
      <c r="AA1539" s="38" t="s">
        <v>214</v>
      </c>
      <c r="AB1539" s="38">
        <v>38.975</v>
      </c>
      <c r="AC1539" s="38">
        <v>100.446</v>
      </c>
      <c r="AD1539" s="38" t="s">
        <v>198</v>
      </c>
      <c r="AE1539" s="38">
        <v>1460.0</v>
      </c>
      <c r="AF1539" s="38" t="s">
        <v>2076</v>
      </c>
      <c r="AG1539" s="38"/>
      <c r="AH1539" s="38">
        <v>5.2</v>
      </c>
      <c r="AI1539" s="50">
        <v>38.975</v>
      </c>
      <c r="AJ1539" s="50">
        <v>100.446</v>
      </c>
      <c r="AK1539" s="41" t="s">
        <v>86</v>
      </c>
      <c r="AL1539" s="40" t="s">
        <v>86</v>
      </c>
      <c r="AM1539" s="49">
        <v>1459.0</v>
      </c>
      <c r="AN1539" s="51">
        <v>1459.0</v>
      </c>
      <c r="AO1539" s="42" t="s">
        <v>261</v>
      </c>
      <c r="AP1539" s="43" t="s">
        <v>261</v>
      </c>
      <c r="AQ1539" s="44" t="str">
        <f t="shared" si="165"/>
        <v>WET</v>
      </c>
      <c r="AR1539" s="44">
        <f t="shared" si="144"/>
        <v>1459</v>
      </c>
      <c r="AS1539" s="44" t="str">
        <f t="shared" si="174"/>
        <v>B</v>
      </c>
      <c r="AT1539" s="44" t="str">
        <f t="shared" si="114"/>
        <v>BW</v>
      </c>
      <c r="AU1539" s="44" t="str">
        <f t="shared" si="115"/>
        <v>BWk</v>
      </c>
      <c r="AV1539" s="38">
        <v>3.0</v>
      </c>
      <c r="AW1539" s="38"/>
      <c r="AX1539" s="38"/>
      <c r="AY1539" s="38"/>
      <c r="AZ1539" s="29">
        <v>30.0</v>
      </c>
      <c r="BA1539" s="29"/>
      <c r="BB1539" s="29">
        <v>1.0</v>
      </c>
      <c r="BC1539" s="115" t="s">
        <v>2350</v>
      </c>
      <c r="BD1539" s="29" t="s">
        <v>88</v>
      </c>
      <c r="BE1539" s="29"/>
      <c r="BF1539" s="115" t="s">
        <v>2350</v>
      </c>
      <c r="BG1539" s="29" t="s">
        <v>572</v>
      </c>
      <c r="BH1539" s="29" t="s">
        <v>88</v>
      </c>
      <c r="BI1539" s="29" t="s">
        <v>2588</v>
      </c>
      <c r="BJ1539" s="29"/>
      <c r="BK1539" s="29" t="s">
        <v>2589</v>
      </c>
      <c r="BL1539" s="29" t="s">
        <v>2589</v>
      </c>
      <c r="BM1539" s="45">
        <v>1.0</v>
      </c>
      <c r="BN1539" s="45"/>
      <c r="BO1539" s="46" t="s">
        <v>2590</v>
      </c>
      <c r="BP1539" s="2"/>
      <c r="BQ1539" s="3"/>
    </row>
    <row r="1540" ht="15.75" customHeight="1">
      <c r="A1540" s="34">
        <v>1580.0</v>
      </c>
      <c r="B1540" s="34">
        <v>103803.0</v>
      </c>
      <c r="C1540" s="34" t="s">
        <v>76</v>
      </c>
      <c r="D1540" s="34" t="s">
        <v>2583</v>
      </c>
      <c r="E1540" s="34" t="s">
        <v>2584</v>
      </c>
      <c r="F1540" s="34">
        <v>2016.0</v>
      </c>
      <c r="G1540" s="34" t="s">
        <v>2585</v>
      </c>
      <c r="H1540" s="34" t="s">
        <v>231</v>
      </c>
      <c r="I1540" s="34" t="s">
        <v>2586</v>
      </c>
      <c r="J1540" s="35"/>
      <c r="K1540" s="36">
        <v>6.87</v>
      </c>
      <c r="L1540" s="36">
        <v>0.36</v>
      </c>
      <c r="M1540" s="36">
        <v>7.23</v>
      </c>
      <c r="N1540" s="36"/>
      <c r="O1540" s="36"/>
      <c r="P1540" s="86">
        <f t="shared" si="172"/>
        <v>1908.333333</v>
      </c>
      <c r="Q1540" s="36" t="s">
        <v>191</v>
      </c>
      <c r="R1540" s="36" t="s">
        <v>191</v>
      </c>
      <c r="S1540" s="36">
        <v>30.0</v>
      </c>
      <c r="T1540" s="36" t="s">
        <v>2137</v>
      </c>
      <c r="U1540" s="36" t="s">
        <v>2587</v>
      </c>
      <c r="V1540" s="36">
        <v>1.0</v>
      </c>
      <c r="W1540" s="36" t="s">
        <v>88</v>
      </c>
      <c r="X1540" s="38">
        <v>3.0</v>
      </c>
      <c r="Y1540" s="38" t="s">
        <v>2600</v>
      </c>
      <c r="Z1540" s="38"/>
      <c r="AA1540" s="38"/>
      <c r="AB1540" s="38"/>
      <c r="AC1540" s="38"/>
      <c r="AD1540" s="38" t="s">
        <v>198</v>
      </c>
      <c r="AE1540" s="38"/>
      <c r="AF1540" s="38" t="s">
        <v>666</v>
      </c>
      <c r="AG1540" s="38"/>
      <c r="AH1540" s="38"/>
      <c r="AI1540" s="50"/>
      <c r="AJ1540" s="50"/>
      <c r="AK1540" s="41"/>
      <c r="AL1540" s="40"/>
      <c r="AM1540" s="49"/>
      <c r="AN1540" s="43"/>
      <c r="AO1540" s="42"/>
      <c r="AP1540" s="43"/>
      <c r="AQ1540" s="44" t="str">
        <f t="shared" si="165"/>
        <v/>
      </c>
      <c r="AR1540" s="44" t="str">
        <f t="shared" si="144"/>
        <v/>
      </c>
      <c r="AS1540" s="44"/>
      <c r="AT1540" s="44" t="str">
        <f t="shared" si="114"/>
        <v/>
      </c>
      <c r="AU1540" s="44" t="str">
        <f t="shared" si="115"/>
        <v/>
      </c>
      <c r="AV1540" s="38">
        <v>3.0</v>
      </c>
      <c r="AW1540" s="38"/>
      <c r="AX1540" s="38"/>
      <c r="AY1540" s="38"/>
      <c r="AZ1540" s="29">
        <v>30.0</v>
      </c>
      <c r="BA1540" s="29"/>
      <c r="BB1540" s="29">
        <v>1.0</v>
      </c>
      <c r="BC1540" s="115" t="s">
        <v>2350</v>
      </c>
      <c r="BD1540" s="29" t="s">
        <v>88</v>
      </c>
      <c r="BE1540" s="29"/>
      <c r="BF1540" s="115" t="s">
        <v>2350</v>
      </c>
      <c r="BG1540" s="29" t="s">
        <v>572</v>
      </c>
      <c r="BH1540" s="29" t="s">
        <v>88</v>
      </c>
      <c r="BI1540" s="29" t="s">
        <v>2588</v>
      </c>
      <c r="BJ1540" s="29"/>
      <c r="BK1540" s="29" t="s">
        <v>2589</v>
      </c>
      <c r="BL1540" s="29" t="s">
        <v>2589</v>
      </c>
      <c r="BM1540" s="45">
        <v>1.0</v>
      </c>
      <c r="BN1540" s="45"/>
      <c r="BO1540" s="46" t="s">
        <v>2590</v>
      </c>
      <c r="BP1540" s="2"/>
      <c r="BQ1540" s="3"/>
    </row>
    <row r="1541" ht="15.75" customHeight="1">
      <c r="A1541" s="34">
        <v>1581.0</v>
      </c>
      <c r="B1541" s="34">
        <v>103803.0</v>
      </c>
      <c r="C1541" s="34" t="s">
        <v>76</v>
      </c>
      <c r="D1541" s="34" t="s">
        <v>2583</v>
      </c>
      <c r="E1541" s="34" t="s">
        <v>2584</v>
      </c>
      <c r="F1541" s="34">
        <v>2016.0</v>
      </c>
      <c r="G1541" s="34" t="s">
        <v>2585</v>
      </c>
      <c r="H1541" s="34" t="s">
        <v>231</v>
      </c>
      <c r="I1541" s="34" t="s">
        <v>2586</v>
      </c>
      <c r="J1541" s="35"/>
      <c r="K1541" s="36">
        <v>-0.9100000000000001</v>
      </c>
      <c r="L1541" s="36">
        <v>13.05</v>
      </c>
      <c r="M1541" s="36">
        <v>12.14</v>
      </c>
      <c r="N1541" s="36"/>
      <c r="O1541" s="36"/>
      <c r="P1541" s="52">
        <f t="shared" si="172"/>
        <v>-6.973180077</v>
      </c>
      <c r="Q1541" s="36" t="s">
        <v>191</v>
      </c>
      <c r="R1541" s="36" t="s">
        <v>191</v>
      </c>
      <c r="S1541" s="36">
        <v>30.0</v>
      </c>
      <c r="T1541" s="36" t="s">
        <v>2591</v>
      </c>
      <c r="U1541" s="36" t="s">
        <v>2592</v>
      </c>
      <c r="V1541" s="36">
        <v>1.0</v>
      </c>
      <c r="W1541" s="36" t="s">
        <v>88</v>
      </c>
      <c r="X1541" s="38">
        <v>3.0</v>
      </c>
      <c r="Y1541" s="38" t="s">
        <v>2600</v>
      </c>
      <c r="Z1541" s="38"/>
      <c r="AA1541" s="38"/>
      <c r="AB1541" s="38"/>
      <c r="AC1541" s="38"/>
      <c r="AD1541" s="38" t="s">
        <v>198</v>
      </c>
      <c r="AE1541" s="38"/>
      <c r="AF1541" s="38" t="s">
        <v>666</v>
      </c>
      <c r="AG1541" s="38"/>
      <c r="AH1541" s="38"/>
      <c r="AI1541" s="50"/>
      <c r="AJ1541" s="50"/>
      <c r="AK1541" s="41"/>
      <c r="AL1541" s="40"/>
      <c r="AM1541" s="49"/>
      <c r="AN1541" s="43"/>
      <c r="AO1541" s="42"/>
      <c r="AP1541" s="43"/>
      <c r="AQ1541" s="44" t="str">
        <f t="shared" si="165"/>
        <v/>
      </c>
      <c r="AR1541" s="44" t="str">
        <f t="shared" si="144"/>
        <v/>
      </c>
      <c r="AS1541" s="44"/>
      <c r="AT1541" s="44" t="str">
        <f t="shared" si="114"/>
        <v/>
      </c>
      <c r="AU1541" s="44" t="str">
        <f t="shared" si="115"/>
        <v/>
      </c>
      <c r="AV1541" s="38">
        <v>3.0</v>
      </c>
      <c r="AW1541" s="38"/>
      <c r="AX1541" s="38"/>
      <c r="AY1541" s="38"/>
      <c r="AZ1541" s="29">
        <v>30.0</v>
      </c>
      <c r="BA1541" s="29"/>
      <c r="BB1541" s="29">
        <v>1.0</v>
      </c>
      <c r="BC1541" s="115" t="s">
        <v>2350</v>
      </c>
      <c r="BD1541" s="29" t="s">
        <v>88</v>
      </c>
      <c r="BE1541" s="29"/>
      <c r="BF1541" s="115" t="s">
        <v>2350</v>
      </c>
      <c r="BG1541" s="29" t="s">
        <v>572</v>
      </c>
      <c r="BH1541" s="29" t="s">
        <v>88</v>
      </c>
      <c r="BI1541" s="29" t="s">
        <v>2588</v>
      </c>
      <c r="BJ1541" s="29"/>
      <c r="BK1541" s="29" t="s">
        <v>2589</v>
      </c>
      <c r="BL1541" s="29" t="s">
        <v>2589</v>
      </c>
      <c r="BM1541" s="45">
        <v>1.0</v>
      </c>
      <c r="BN1541" s="45"/>
      <c r="BO1541" s="46" t="s">
        <v>2590</v>
      </c>
      <c r="BP1541" s="2"/>
      <c r="BQ1541" s="3"/>
    </row>
    <row r="1542" ht="15.75" customHeight="1">
      <c r="A1542" s="34">
        <v>1582.0</v>
      </c>
      <c r="B1542" s="34">
        <v>103803.0</v>
      </c>
      <c r="C1542" s="34" t="s">
        <v>76</v>
      </c>
      <c r="D1542" s="34" t="s">
        <v>2583</v>
      </c>
      <c r="E1542" s="34" t="s">
        <v>2584</v>
      </c>
      <c r="F1542" s="34">
        <v>2016.0</v>
      </c>
      <c r="G1542" s="34" t="s">
        <v>2585</v>
      </c>
      <c r="H1542" s="34" t="s">
        <v>231</v>
      </c>
      <c r="I1542" s="34" t="s">
        <v>2586</v>
      </c>
      <c r="J1542" s="35"/>
      <c r="K1542" s="36">
        <v>-31.35</v>
      </c>
      <c r="L1542" s="36">
        <v>40.02</v>
      </c>
      <c r="M1542" s="36">
        <v>8.67</v>
      </c>
      <c r="N1542" s="36"/>
      <c r="O1542" s="36"/>
      <c r="P1542" s="52">
        <f t="shared" si="172"/>
        <v>-78.33583208</v>
      </c>
      <c r="Q1542" s="36" t="s">
        <v>191</v>
      </c>
      <c r="R1542" s="36" t="s">
        <v>191</v>
      </c>
      <c r="S1542" s="36">
        <v>30.0</v>
      </c>
      <c r="T1542" s="36" t="s">
        <v>2593</v>
      </c>
      <c r="U1542" s="36" t="s">
        <v>2594</v>
      </c>
      <c r="V1542" s="36">
        <v>1.0</v>
      </c>
      <c r="W1542" s="36" t="s">
        <v>88</v>
      </c>
      <c r="X1542" s="38">
        <v>3.0</v>
      </c>
      <c r="Y1542" s="38" t="s">
        <v>2600</v>
      </c>
      <c r="Z1542" s="38"/>
      <c r="AA1542" s="38"/>
      <c r="AB1542" s="38"/>
      <c r="AC1542" s="38"/>
      <c r="AD1542" s="38" t="s">
        <v>198</v>
      </c>
      <c r="AE1542" s="38"/>
      <c r="AF1542" s="38" t="s">
        <v>666</v>
      </c>
      <c r="AG1542" s="38"/>
      <c r="AH1542" s="38"/>
      <c r="AI1542" s="50"/>
      <c r="AJ1542" s="50"/>
      <c r="AK1542" s="41"/>
      <c r="AL1542" s="40"/>
      <c r="AM1542" s="49"/>
      <c r="AN1542" s="43"/>
      <c r="AO1542" s="42"/>
      <c r="AP1542" s="43"/>
      <c r="AQ1542" s="44" t="str">
        <f t="shared" si="165"/>
        <v/>
      </c>
      <c r="AR1542" s="44" t="str">
        <f t="shared" si="144"/>
        <v/>
      </c>
      <c r="AS1542" s="44"/>
      <c r="AT1542" s="44" t="str">
        <f t="shared" si="114"/>
        <v/>
      </c>
      <c r="AU1542" s="44" t="str">
        <f t="shared" si="115"/>
        <v/>
      </c>
      <c r="AV1542" s="38">
        <v>3.0</v>
      </c>
      <c r="AW1542" s="38"/>
      <c r="AX1542" s="38"/>
      <c r="AY1542" s="38"/>
      <c r="AZ1542" s="29">
        <v>30.0</v>
      </c>
      <c r="BA1542" s="29"/>
      <c r="BB1542" s="29">
        <v>1.0</v>
      </c>
      <c r="BC1542" s="115" t="s">
        <v>2350</v>
      </c>
      <c r="BD1542" s="29" t="s">
        <v>88</v>
      </c>
      <c r="BE1542" s="29"/>
      <c r="BF1542" s="115" t="s">
        <v>2350</v>
      </c>
      <c r="BG1542" s="29" t="s">
        <v>572</v>
      </c>
      <c r="BH1542" s="29" t="s">
        <v>88</v>
      </c>
      <c r="BI1542" s="29" t="s">
        <v>2588</v>
      </c>
      <c r="BJ1542" s="29"/>
      <c r="BK1542" s="29" t="s">
        <v>2589</v>
      </c>
      <c r="BL1542" s="29" t="s">
        <v>2589</v>
      </c>
      <c r="BM1542" s="45">
        <v>1.0</v>
      </c>
      <c r="BN1542" s="45"/>
      <c r="BO1542" s="46" t="s">
        <v>2590</v>
      </c>
      <c r="BP1542" s="2"/>
      <c r="BQ1542" s="3"/>
    </row>
    <row r="1543" ht="15.75" customHeight="1">
      <c r="A1543" s="34">
        <v>1583.0</v>
      </c>
      <c r="B1543" s="34">
        <v>103803.0</v>
      </c>
      <c r="C1543" s="34" t="s">
        <v>76</v>
      </c>
      <c r="D1543" s="34" t="s">
        <v>2583</v>
      </c>
      <c r="E1543" s="34" t="s">
        <v>2584</v>
      </c>
      <c r="F1543" s="34">
        <v>2016.0</v>
      </c>
      <c r="G1543" s="34" t="s">
        <v>2585</v>
      </c>
      <c r="H1543" s="34" t="s">
        <v>231</v>
      </c>
      <c r="I1543" s="34" t="s">
        <v>2586</v>
      </c>
      <c r="J1543" s="35"/>
      <c r="K1543" s="36">
        <v>-42.349999999999994</v>
      </c>
      <c r="L1543" s="36">
        <v>57.41</v>
      </c>
      <c r="M1543" s="36">
        <v>15.06</v>
      </c>
      <c r="N1543" s="36"/>
      <c r="O1543" s="36"/>
      <c r="P1543" s="52">
        <f t="shared" si="172"/>
        <v>-73.7676363</v>
      </c>
      <c r="Q1543" s="36" t="s">
        <v>191</v>
      </c>
      <c r="R1543" s="36" t="s">
        <v>191</v>
      </c>
      <c r="S1543" s="36">
        <v>30.0</v>
      </c>
      <c r="T1543" s="36" t="s">
        <v>2219</v>
      </c>
      <c r="U1543" s="36" t="s">
        <v>2595</v>
      </c>
      <c r="V1543" s="36">
        <v>1.0</v>
      </c>
      <c r="W1543" s="36" t="s">
        <v>88</v>
      </c>
      <c r="X1543" s="38">
        <v>3.0</v>
      </c>
      <c r="Y1543" s="38" t="s">
        <v>2600</v>
      </c>
      <c r="Z1543" s="38"/>
      <c r="AA1543" s="38"/>
      <c r="AB1543" s="38"/>
      <c r="AC1543" s="38"/>
      <c r="AD1543" s="38" t="s">
        <v>198</v>
      </c>
      <c r="AE1543" s="38"/>
      <c r="AF1543" s="38" t="s">
        <v>666</v>
      </c>
      <c r="AG1543" s="38"/>
      <c r="AH1543" s="38"/>
      <c r="AI1543" s="50"/>
      <c r="AJ1543" s="50"/>
      <c r="AK1543" s="41"/>
      <c r="AL1543" s="40"/>
      <c r="AM1543" s="49"/>
      <c r="AN1543" s="43"/>
      <c r="AO1543" s="42"/>
      <c r="AP1543" s="43"/>
      <c r="AQ1543" s="44" t="str">
        <f t="shared" si="165"/>
        <v/>
      </c>
      <c r="AR1543" s="44" t="str">
        <f t="shared" si="144"/>
        <v/>
      </c>
      <c r="AS1543" s="44"/>
      <c r="AT1543" s="44" t="str">
        <f t="shared" si="114"/>
        <v/>
      </c>
      <c r="AU1543" s="44" t="str">
        <f t="shared" si="115"/>
        <v/>
      </c>
      <c r="AV1543" s="38">
        <v>3.0</v>
      </c>
      <c r="AW1543" s="38"/>
      <c r="AX1543" s="38"/>
      <c r="AY1543" s="38"/>
      <c r="AZ1543" s="29">
        <v>30.0</v>
      </c>
      <c r="BA1543" s="29"/>
      <c r="BB1543" s="29">
        <v>1.0</v>
      </c>
      <c r="BC1543" s="115" t="s">
        <v>2350</v>
      </c>
      <c r="BD1543" s="29" t="s">
        <v>88</v>
      </c>
      <c r="BE1543" s="29"/>
      <c r="BF1543" s="115" t="s">
        <v>2350</v>
      </c>
      <c r="BG1543" s="29" t="s">
        <v>572</v>
      </c>
      <c r="BH1543" s="29" t="s">
        <v>88</v>
      </c>
      <c r="BI1543" s="29" t="s">
        <v>2588</v>
      </c>
      <c r="BJ1543" s="29"/>
      <c r="BK1543" s="29" t="s">
        <v>2589</v>
      </c>
      <c r="BL1543" s="29" t="s">
        <v>2589</v>
      </c>
      <c r="BM1543" s="45">
        <v>1.0</v>
      </c>
      <c r="BN1543" s="45"/>
      <c r="BO1543" s="46" t="s">
        <v>2590</v>
      </c>
      <c r="BP1543" s="2"/>
      <c r="BQ1543" s="3"/>
    </row>
    <row r="1544" ht="15.75" customHeight="1">
      <c r="A1544" s="34">
        <v>1584.0</v>
      </c>
      <c r="B1544" s="34">
        <v>103803.0</v>
      </c>
      <c r="C1544" s="34" t="s">
        <v>76</v>
      </c>
      <c r="D1544" s="34" t="s">
        <v>2583</v>
      </c>
      <c r="E1544" s="34" t="s">
        <v>2584</v>
      </c>
      <c r="F1544" s="34">
        <v>2016.0</v>
      </c>
      <c r="G1544" s="34" t="s">
        <v>2585</v>
      </c>
      <c r="H1544" s="34" t="s">
        <v>231</v>
      </c>
      <c r="I1544" s="34" t="s">
        <v>2586</v>
      </c>
      <c r="J1544" s="35"/>
      <c r="K1544" s="36">
        <v>-29.040000000000003</v>
      </c>
      <c r="L1544" s="36">
        <v>45.38</v>
      </c>
      <c r="M1544" s="36">
        <v>16.34</v>
      </c>
      <c r="N1544" s="36"/>
      <c r="O1544" s="36"/>
      <c r="P1544" s="52">
        <f t="shared" si="172"/>
        <v>-63.99294844</v>
      </c>
      <c r="Q1544" s="36" t="s">
        <v>191</v>
      </c>
      <c r="R1544" s="36" t="s">
        <v>191</v>
      </c>
      <c r="S1544" s="36">
        <v>30.0</v>
      </c>
      <c r="T1544" s="36" t="s">
        <v>2596</v>
      </c>
      <c r="U1544" s="36" t="s">
        <v>2597</v>
      </c>
      <c r="V1544" s="36">
        <v>1.0</v>
      </c>
      <c r="W1544" s="36" t="s">
        <v>88</v>
      </c>
      <c r="X1544" s="38">
        <v>3.0</v>
      </c>
      <c r="Y1544" s="38" t="s">
        <v>2600</v>
      </c>
      <c r="Z1544" s="38"/>
      <c r="AA1544" s="38"/>
      <c r="AB1544" s="38"/>
      <c r="AC1544" s="38"/>
      <c r="AD1544" s="38" t="s">
        <v>198</v>
      </c>
      <c r="AE1544" s="38"/>
      <c r="AF1544" s="38" t="s">
        <v>666</v>
      </c>
      <c r="AG1544" s="38"/>
      <c r="AH1544" s="38"/>
      <c r="AI1544" s="50"/>
      <c r="AJ1544" s="50"/>
      <c r="AK1544" s="41"/>
      <c r="AL1544" s="40"/>
      <c r="AM1544" s="49"/>
      <c r="AN1544" s="43"/>
      <c r="AO1544" s="42"/>
      <c r="AP1544" s="43"/>
      <c r="AQ1544" s="44" t="str">
        <f t="shared" si="165"/>
        <v/>
      </c>
      <c r="AR1544" s="44" t="str">
        <f t="shared" si="144"/>
        <v/>
      </c>
      <c r="AS1544" s="44"/>
      <c r="AT1544" s="44" t="str">
        <f t="shared" si="114"/>
        <v/>
      </c>
      <c r="AU1544" s="44" t="str">
        <f t="shared" si="115"/>
        <v/>
      </c>
      <c r="AV1544" s="38">
        <v>3.0</v>
      </c>
      <c r="AW1544" s="38"/>
      <c r="AX1544" s="38"/>
      <c r="AY1544" s="38"/>
      <c r="AZ1544" s="29">
        <v>30.0</v>
      </c>
      <c r="BA1544" s="29"/>
      <c r="BB1544" s="29">
        <v>1.0</v>
      </c>
      <c r="BC1544" s="115" t="s">
        <v>2350</v>
      </c>
      <c r="BD1544" s="29" t="s">
        <v>88</v>
      </c>
      <c r="BE1544" s="29"/>
      <c r="BF1544" s="115" t="s">
        <v>2350</v>
      </c>
      <c r="BG1544" s="29" t="s">
        <v>572</v>
      </c>
      <c r="BH1544" s="29" t="s">
        <v>88</v>
      </c>
      <c r="BI1544" s="29" t="s">
        <v>2588</v>
      </c>
      <c r="BJ1544" s="29"/>
      <c r="BK1544" s="29" t="s">
        <v>2589</v>
      </c>
      <c r="BL1544" s="29" t="s">
        <v>2589</v>
      </c>
      <c r="BM1544" s="45">
        <v>1.0</v>
      </c>
      <c r="BN1544" s="45"/>
      <c r="BO1544" s="46" t="s">
        <v>2590</v>
      </c>
      <c r="BP1544" s="2"/>
      <c r="BQ1544" s="3"/>
    </row>
    <row r="1545" ht="15.75" customHeight="1">
      <c r="A1545" s="34">
        <v>1585.0</v>
      </c>
      <c r="B1545" s="34">
        <v>103803.0</v>
      </c>
      <c r="C1545" s="34" t="s">
        <v>76</v>
      </c>
      <c r="D1545" s="34" t="s">
        <v>2583</v>
      </c>
      <c r="E1545" s="34" t="s">
        <v>2584</v>
      </c>
      <c r="F1545" s="34">
        <v>2016.0</v>
      </c>
      <c r="G1545" s="34" t="s">
        <v>2585</v>
      </c>
      <c r="H1545" s="34" t="s">
        <v>231</v>
      </c>
      <c r="I1545" s="34" t="s">
        <v>2586</v>
      </c>
      <c r="J1545" s="35"/>
      <c r="K1545" s="36">
        <v>-11.440000000000001</v>
      </c>
      <c r="L1545" s="36">
        <v>24.44</v>
      </c>
      <c r="M1545" s="36">
        <v>13.0</v>
      </c>
      <c r="N1545" s="36"/>
      <c r="O1545" s="36"/>
      <c r="P1545" s="52">
        <f t="shared" si="172"/>
        <v>-46.80851064</v>
      </c>
      <c r="Q1545" s="36" t="s">
        <v>191</v>
      </c>
      <c r="R1545" s="36" t="s">
        <v>191</v>
      </c>
      <c r="S1545" s="36">
        <v>30.0</v>
      </c>
      <c r="T1545" s="36" t="s">
        <v>2598</v>
      </c>
      <c r="U1545" s="36" t="s">
        <v>2599</v>
      </c>
      <c r="V1545" s="36">
        <v>1.0</v>
      </c>
      <c r="W1545" s="36" t="s">
        <v>88</v>
      </c>
      <c r="X1545" s="38">
        <v>3.0</v>
      </c>
      <c r="Y1545" s="38" t="s">
        <v>2600</v>
      </c>
      <c r="Z1545" s="38"/>
      <c r="AA1545" s="38"/>
      <c r="AB1545" s="38"/>
      <c r="AC1545" s="38"/>
      <c r="AD1545" s="38" t="s">
        <v>198</v>
      </c>
      <c r="AE1545" s="38"/>
      <c r="AF1545" s="38" t="s">
        <v>666</v>
      </c>
      <c r="AG1545" s="38"/>
      <c r="AH1545" s="38"/>
      <c r="AI1545" s="50"/>
      <c r="AJ1545" s="50"/>
      <c r="AK1545" s="41"/>
      <c r="AL1545" s="40"/>
      <c r="AM1545" s="49"/>
      <c r="AN1545" s="43"/>
      <c r="AO1545" s="42"/>
      <c r="AP1545" s="43"/>
      <c r="AQ1545" s="44" t="str">
        <f t="shared" si="165"/>
        <v/>
      </c>
      <c r="AR1545" s="44" t="str">
        <f t="shared" si="144"/>
        <v/>
      </c>
      <c r="AS1545" s="44"/>
      <c r="AT1545" s="44" t="str">
        <f t="shared" si="114"/>
        <v/>
      </c>
      <c r="AU1545" s="44" t="str">
        <f t="shared" si="115"/>
        <v/>
      </c>
      <c r="AV1545" s="38">
        <v>3.0</v>
      </c>
      <c r="AW1545" s="38"/>
      <c r="AX1545" s="38"/>
      <c r="AY1545" s="38"/>
      <c r="AZ1545" s="29">
        <v>30.0</v>
      </c>
      <c r="BA1545" s="29"/>
      <c r="BB1545" s="29">
        <v>1.0</v>
      </c>
      <c r="BC1545" s="115" t="s">
        <v>2350</v>
      </c>
      <c r="BD1545" s="29" t="s">
        <v>88</v>
      </c>
      <c r="BE1545" s="29"/>
      <c r="BF1545" s="115" t="s">
        <v>2350</v>
      </c>
      <c r="BG1545" s="29" t="s">
        <v>572</v>
      </c>
      <c r="BH1545" s="29" t="s">
        <v>88</v>
      </c>
      <c r="BI1545" s="29" t="s">
        <v>2588</v>
      </c>
      <c r="BJ1545" s="29"/>
      <c r="BK1545" s="29" t="s">
        <v>2589</v>
      </c>
      <c r="BL1545" s="29" t="s">
        <v>2589</v>
      </c>
      <c r="BM1545" s="45">
        <v>1.0</v>
      </c>
      <c r="BN1545" s="45"/>
      <c r="BO1545" s="46" t="s">
        <v>2590</v>
      </c>
      <c r="BP1545" s="2" t="s">
        <v>1005</v>
      </c>
      <c r="BQ1545" s="3"/>
    </row>
    <row r="1546" ht="15.75" customHeight="1">
      <c r="A1546" s="34">
        <v>1586.0</v>
      </c>
      <c r="B1546" s="34">
        <v>103803.0</v>
      </c>
      <c r="C1546" s="34" t="s">
        <v>76</v>
      </c>
      <c r="D1546" s="34" t="s">
        <v>2583</v>
      </c>
      <c r="E1546" s="34" t="s">
        <v>2584</v>
      </c>
      <c r="F1546" s="34">
        <v>2016.0</v>
      </c>
      <c r="G1546" s="34" t="s">
        <v>2585</v>
      </c>
      <c r="H1546" s="34" t="s">
        <v>231</v>
      </c>
      <c r="I1546" s="34" t="s">
        <v>2586</v>
      </c>
      <c r="J1546" s="35"/>
      <c r="K1546" s="36">
        <v>-18.03666666666667</v>
      </c>
      <c r="L1546" s="36">
        <v>30.11</v>
      </c>
      <c r="M1546" s="36">
        <f>average(M1540:M1545)</f>
        <v>12.07333333</v>
      </c>
      <c r="N1546" s="36"/>
      <c r="O1546" s="36"/>
      <c r="P1546" s="52">
        <f t="shared" si="172"/>
        <v>-59.90257943</v>
      </c>
      <c r="Q1546" s="36" t="s">
        <v>191</v>
      </c>
      <c r="R1546" s="36" t="s">
        <v>191</v>
      </c>
      <c r="S1546" s="36">
        <v>30.0</v>
      </c>
      <c r="T1546" s="36" t="s">
        <v>2137</v>
      </c>
      <c r="U1546" s="36" t="s">
        <v>2599</v>
      </c>
      <c r="V1546" s="36">
        <v>6.0</v>
      </c>
      <c r="W1546" s="36" t="s">
        <v>88</v>
      </c>
      <c r="X1546" s="38">
        <v>3.0</v>
      </c>
      <c r="Y1546" s="38" t="s">
        <v>2600</v>
      </c>
      <c r="Z1546" s="38"/>
      <c r="AA1546" s="38"/>
      <c r="AB1546" s="38"/>
      <c r="AC1546" s="38"/>
      <c r="AD1546" s="38" t="s">
        <v>198</v>
      </c>
      <c r="AE1546" s="38"/>
      <c r="AF1546" s="38" t="s">
        <v>666</v>
      </c>
      <c r="AG1546" s="38"/>
      <c r="AH1546" s="38"/>
      <c r="AI1546" s="50"/>
      <c r="AJ1546" s="50"/>
      <c r="AK1546" s="41"/>
      <c r="AL1546" s="40"/>
      <c r="AM1546" s="49"/>
      <c r="AN1546" s="43"/>
      <c r="AO1546" s="42"/>
      <c r="AP1546" s="43"/>
      <c r="AQ1546" s="44" t="str">
        <f t="shared" si="165"/>
        <v/>
      </c>
      <c r="AR1546" s="44" t="str">
        <f t="shared" si="144"/>
        <v/>
      </c>
      <c r="AS1546" s="44"/>
      <c r="AT1546" s="44" t="str">
        <f t="shared" si="114"/>
        <v/>
      </c>
      <c r="AU1546" s="44" t="str">
        <f t="shared" si="115"/>
        <v/>
      </c>
      <c r="AV1546" s="38">
        <v>3.0</v>
      </c>
      <c r="AW1546" s="38"/>
      <c r="AX1546" s="38"/>
      <c r="AY1546" s="38"/>
      <c r="AZ1546" s="29">
        <v>30.0</v>
      </c>
      <c r="BA1546" s="29"/>
      <c r="BB1546" s="29">
        <v>1.0</v>
      </c>
      <c r="BC1546" s="115" t="s">
        <v>2350</v>
      </c>
      <c r="BD1546" s="29" t="s">
        <v>88</v>
      </c>
      <c r="BE1546" s="29"/>
      <c r="BF1546" s="115" t="s">
        <v>2350</v>
      </c>
      <c r="BG1546" s="29" t="s">
        <v>572</v>
      </c>
      <c r="BH1546" s="29" t="s">
        <v>88</v>
      </c>
      <c r="BI1546" s="29" t="s">
        <v>2588</v>
      </c>
      <c r="BJ1546" s="29"/>
      <c r="BK1546" s="29" t="s">
        <v>2589</v>
      </c>
      <c r="BL1546" s="29" t="s">
        <v>2589</v>
      </c>
      <c r="BM1546" s="45">
        <v>1.0</v>
      </c>
      <c r="BN1546" s="45"/>
      <c r="BO1546" s="46" t="s">
        <v>2590</v>
      </c>
      <c r="BP1546" s="2"/>
      <c r="BQ1546" s="3"/>
    </row>
    <row r="1547" ht="15.75" customHeight="1">
      <c r="A1547" s="34">
        <v>1588.0</v>
      </c>
      <c r="B1547" s="34">
        <v>102840.0</v>
      </c>
      <c r="C1547" s="34" t="s">
        <v>76</v>
      </c>
      <c r="D1547" s="34" t="s">
        <v>2601</v>
      </c>
      <c r="E1547" s="34" t="s">
        <v>2602</v>
      </c>
      <c r="F1547" s="34">
        <v>2019.0</v>
      </c>
      <c r="G1547" s="34" t="s">
        <v>2603</v>
      </c>
      <c r="H1547" s="34" t="s">
        <v>231</v>
      </c>
      <c r="I1547" s="34" t="s">
        <v>2604</v>
      </c>
      <c r="J1547" s="35"/>
      <c r="K1547" s="36">
        <v>-0.65</v>
      </c>
      <c r="L1547" s="36">
        <v>4.2</v>
      </c>
      <c r="M1547" s="36"/>
      <c r="N1547" s="36"/>
      <c r="O1547" s="36"/>
      <c r="P1547" s="52">
        <f t="shared" si="172"/>
        <v>-15.47619048</v>
      </c>
      <c r="Q1547" s="36" t="s">
        <v>96</v>
      </c>
      <c r="R1547" s="36" t="s">
        <v>96</v>
      </c>
      <c r="S1547" s="36">
        <v>36000.0</v>
      </c>
      <c r="T1547" s="36" t="s">
        <v>2605</v>
      </c>
      <c r="U1547" s="36" t="s">
        <v>2606</v>
      </c>
      <c r="V1547" s="36">
        <v>50.0</v>
      </c>
      <c r="W1547" s="36" t="s">
        <v>88</v>
      </c>
      <c r="X1547" s="38">
        <v>5.0</v>
      </c>
      <c r="Y1547" s="38" t="s">
        <v>2607</v>
      </c>
      <c r="Z1547" s="38"/>
      <c r="AA1547" s="38" t="s">
        <v>2608</v>
      </c>
      <c r="AB1547" s="38" t="s">
        <v>2609</v>
      </c>
      <c r="AC1547" s="38" t="s">
        <v>2610</v>
      </c>
      <c r="AD1547" s="39" t="s">
        <v>87</v>
      </c>
      <c r="AE1547" s="38"/>
      <c r="AF1547" s="38"/>
      <c r="AG1547" s="38"/>
      <c r="AH1547" s="38"/>
      <c r="AI1547" s="50"/>
      <c r="AJ1547" s="50"/>
      <c r="AK1547" s="41"/>
      <c r="AL1547" s="40"/>
      <c r="AM1547" s="49"/>
      <c r="AN1547" s="51"/>
      <c r="AO1547" s="42"/>
      <c r="AP1547" s="43"/>
      <c r="AQ1547" s="44"/>
      <c r="AR1547" s="44" t="str">
        <f t="shared" si="144"/>
        <v/>
      </c>
      <c r="AS1547" s="44"/>
      <c r="AT1547" s="44" t="str">
        <f t="shared" si="114"/>
        <v/>
      </c>
      <c r="AU1547" s="44" t="str">
        <f t="shared" si="115"/>
        <v/>
      </c>
      <c r="AV1547" s="38"/>
      <c r="AW1547" s="38"/>
      <c r="AX1547" s="38"/>
      <c r="AY1547" s="38"/>
      <c r="AZ1547" s="29">
        <v>36000.0</v>
      </c>
      <c r="BA1547" s="29"/>
      <c r="BB1547" s="29">
        <v>1.0</v>
      </c>
      <c r="BC1547" s="29"/>
      <c r="BD1547" s="29"/>
      <c r="BE1547" s="29"/>
      <c r="BF1547" s="29" t="s">
        <v>2611</v>
      </c>
      <c r="BG1547" s="29" t="s">
        <v>203</v>
      </c>
      <c r="BH1547" s="29"/>
      <c r="BI1547" s="29" t="s">
        <v>2612</v>
      </c>
      <c r="BJ1547" s="29"/>
      <c r="BK1547" s="29" t="s">
        <v>148</v>
      </c>
      <c r="BL1547" s="29" t="s">
        <v>2613</v>
      </c>
      <c r="BM1547" s="45"/>
      <c r="BN1547" s="45"/>
      <c r="BO1547" s="46" t="s">
        <v>2614</v>
      </c>
      <c r="BP1547" s="2"/>
      <c r="BQ1547" s="3"/>
    </row>
    <row r="1548" ht="15.75" customHeight="1">
      <c r="A1548" s="34">
        <v>1589.0</v>
      </c>
      <c r="B1548" s="34">
        <v>102840.0</v>
      </c>
      <c r="C1548" s="34" t="s">
        <v>76</v>
      </c>
      <c r="D1548" s="34" t="s">
        <v>2601</v>
      </c>
      <c r="E1548" s="34" t="s">
        <v>2602</v>
      </c>
      <c r="F1548" s="34">
        <v>2019.0</v>
      </c>
      <c r="G1548" s="34" t="s">
        <v>2603</v>
      </c>
      <c r="H1548" s="34" t="s">
        <v>231</v>
      </c>
      <c r="I1548" s="34" t="s">
        <v>2604</v>
      </c>
      <c r="J1548" s="35"/>
      <c r="K1548" s="36">
        <v>-2.54</v>
      </c>
      <c r="L1548" s="36">
        <v>6.1</v>
      </c>
      <c r="M1548" s="36"/>
      <c r="N1548" s="36"/>
      <c r="O1548" s="36"/>
      <c r="P1548" s="52">
        <f t="shared" si="172"/>
        <v>-41.63934426</v>
      </c>
      <c r="Q1548" s="36" t="s">
        <v>96</v>
      </c>
      <c r="R1548" s="36" t="s">
        <v>96</v>
      </c>
      <c r="S1548" s="36">
        <v>500.0</v>
      </c>
      <c r="T1548" s="36" t="s">
        <v>2605</v>
      </c>
      <c r="U1548" s="36" t="s">
        <v>2606</v>
      </c>
      <c r="V1548" s="36">
        <v>50.0</v>
      </c>
      <c r="W1548" s="36" t="s">
        <v>88</v>
      </c>
      <c r="X1548" s="38">
        <v>5.0</v>
      </c>
      <c r="Y1548" s="38" t="s">
        <v>2607</v>
      </c>
      <c r="Z1548" s="38"/>
      <c r="AA1548" s="38" t="s">
        <v>2608</v>
      </c>
      <c r="AB1548" s="38" t="s">
        <v>2609</v>
      </c>
      <c r="AC1548" s="38" t="s">
        <v>2610</v>
      </c>
      <c r="AD1548" s="39" t="s">
        <v>87</v>
      </c>
      <c r="AE1548" s="38"/>
      <c r="AF1548" s="38"/>
      <c r="AG1548" s="38"/>
      <c r="AH1548" s="38"/>
      <c r="AI1548" s="50"/>
      <c r="AJ1548" s="50"/>
      <c r="AK1548" s="41"/>
      <c r="AL1548" s="40"/>
      <c r="AM1548" s="49"/>
      <c r="AN1548" s="51"/>
      <c r="AO1548" s="42"/>
      <c r="AP1548" s="43"/>
      <c r="AQ1548" s="44"/>
      <c r="AR1548" s="44" t="str">
        <f t="shared" si="144"/>
        <v/>
      </c>
      <c r="AS1548" s="44"/>
      <c r="AT1548" s="44" t="str">
        <f t="shared" si="114"/>
        <v/>
      </c>
      <c r="AU1548" s="44" t="str">
        <f t="shared" si="115"/>
        <v/>
      </c>
      <c r="AV1548" s="38"/>
      <c r="AW1548" s="38"/>
      <c r="AX1548" s="38"/>
      <c r="AY1548" s="38"/>
      <c r="AZ1548" s="29">
        <v>500.0</v>
      </c>
      <c r="BA1548" s="29"/>
      <c r="BB1548" s="29">
        <v>1.0</v>
      </c>
      <c r="BC1548" s="29"/>
      <c r="BD1548" s="29"/>
      <c r="BE1548" s="29"/>
      <c r="BF1548" s="29" t="s">
        <v>633</v>
      </c>
      <c r="BG1548" s="29" t="s">
        <v>203</v>
      </c>
      <c r="BH1548" s="29"/>
      <c r="BI1548" s="29" t="s">
        <v>2612</v>
      </c>
      <c r="BJ1548" s="29"/>
      <c r="BK1548" s="29" t="s">
        <v>148</v>
      </c>
      <c r="BL1548" s="29"/>
      <c r="BM1548" s="45"/>
      <c r="BN1548" s="45"/>
      <c r="BO1548" s="46" t="s">
        <v>2614</v>
      </c>
      <c r="BP1548" s="2"/>
      <c r="BQ1548" s="3"/>
    </row>
    <row r="1549" ht="15.75" customHeight="1">
      <c r="A1549" s="34">
        <v>1590.0</v>
      </c>
      <c r="B1549" s="34">
        <v>102840.0</v>
      </c>
      <c r="C1549" s="34" t="s">
        <v>76</v>
      </c>
      <c r="D1549" s="34" t="s">
        <v>2601</v>
      </c>
      <c r="E1549" s="34" t="s">
        <v>2602</v>
      </c>
      <c r="F1549" s="34">
        <v>2019.0</v>
      </c>
      <c r="G1549" s="34" t="s">
        <v>2603</v>
      </c>
      <c r="H1549" s="34" t="s">
        <v>231</v>
      </c>
      <c r="I1549" s="34" t="s">
        <v>2604</v>
      </c>
      <c r="J1549" s="35"/>
      <c r="K1549" s="36">
        <v>0.88</v>
      </c>
      <c r="L1549" s="36">
        <v>2.67</v>
      </c>
      <c r="M1549" s="36"/>
      <c r="N1549" s="36"/>
      <c r="O1549" s="36"/>
      <c r="P1549" s="52">
        <f t="shared" si="172"/>
        <v>32.9588015</v>
      </c>
      <c r="Q1549" s="36" t="s">
        <v>96</v>
      </c>
      <c r="R1549" s="36" t="s">
        <v>209</v>
      </c>
      <c r="S1549" s="36">
        <v>500.0</v>
      </c>
      <c r="T1549" s="36" t="s">
        <v>2605</v>
      </c>
      <c r="U1549" s="36" t="s">
        <v>2606</v>
      </c>
      <c r="V1549" s="36">
        <v>50.0</v>
      </c>
      <c r="W1549" s="36" t="s">
        <v>88</v>
      </c>
      <c r="X1549" s="38">
        <v>5.0</v>
      </c>
      <c r="Y1549" s="38" t="s">
        <v>2607</v>
      </c>
      <c r="Z1549" s="38"/>
      <c r="AA1549" s="38" t="s">
        <v>2608</v>
      </c>
      <c r="AB1549" s="38" t="s">
        <v>2609</v>
      </c>
      <c r="AC1549" s="38" t="s">
        <v>2610</v>
      </c>
      <c r="AD1549" s="39" t="s">
        <v>87</v>
      </c>
      <c r="AE1549" s="38"/>
      <c r="AF1549" s="38"/>
      <c r="AG1549" s="38"/>
      <c r="AH1549" s="38"/>
      <c r="AI1549" s="50"/>
      <c r="AJ1549" s="50"/>
      <c r="AK1549" s="41"/>
      <c r="AL1549" s="40"/>
      <c r="AM1549" s="49"/>
      <c r="AN1549" s="51"/>
      <c r="AO1549" s="42"/>
      <c r="AP1549" s="43"/>
      <c r="AQ1549" s="44"/>
      <c r="AR1549" s="44" t="str">
        <f t="shared" si="144"/>
        <v/>
      </c>
      <c r="AS1549" s="44"/>
      <c r="AT1549" s="44" t="str">
        <f t="shared" si="114"/>
        <v/>
      </c>
      <c r="AU1549" s="44" t="str">
        <f t="shared" si="115"/>
        <v/>
      </c>
      <c r="AV1549" s="38"/>
      <c r="AW1549" s="38"/>
      <c r="AX1549" s="38"/>
      <c r="AY1549" s="38"/>
      <c r="AZ1549" s="29">
        <v>500.0</v>
      </c>
      <c r="BA1549" s="29"/>
      <c r="BB1549" s="29">
        <v>2.0</v>
      </c>
      <c r="BC1549" s="29" t="s">
        <v>1795</v>
      </c>
      <c r="BD1549" s="29" t="s">
        <v>88</v>
      </c>
      <c r="BE1549" s="29"/>
      <c r="BF1549" s="29"/>
      <c r="BG1549" s="29" t="s">
        <v>220</v>
      </c>
      <c r="BH1549" s="29"/>
      <c r="BI1549" s="29"/>
      <c r="BJ1549" s="29"/>
      <c r="BK1549" s="29"/>
      <c r="BL1549" s="29"/>
      <c r="BM1549" s="45"/>
      <c r="BN1549" s="45"/>
      <c r="BO1549" s="46" t="s">
        <v>2614</v>
      </c>
      <c r="BP1549" s="2" t="s">
        <v>1005</v>
      </c>
      <c r="BQ1549" s="3"/>
    </row>
    <row r="1550" ht="15.75" customHeight="1">
      <c r="A1550" s="34">
        <v>1592.0</v>
      </c>
      <c r="B1550" s="34">
        <v>102337.0</v>
      </c>
      <c r="C1550" s="34" t="s">
        <v>76</v>
      </c>
      <c r="D1550" s="34" t="s">
        <v>2615</v>
      </c>
      <c r="E1550" s="34" t="s">
        <v>2616</v>
      </c>
      <c r="F1550" s="34">
        <v>2020.0</v>
      </c>
      <c r="G1550" s="34" t="s">
        <v>2617</v>
      </c>
      <c r="H1550" s="34" t="s">
        <v>231</v>
      </c>
      <c r="I1550" s="34" t="s">
        <v>2618</v>
      </c>
      <c r="J1550" s="35"/>
      <c r="K1550" s="36">
        <v>0.6</v>
      </c>
      <c r="L1550" s="36">
        <v>2.18</v>
      </c>
      <c r="M1550" s="36"/>
      <c r="N1550" s="36"/>
      <c r="O1550" s="36"/>
      <c r="P1550" s="37">
        <v>27.7</v>
      </c>
      <c r="Q1550" s="36" t="s">
        <v>96</v>
      </c>
      <c r="R1550" s="36" t="s">
        <v>96</v>
      </c>
      <c r="S1550" s="36" t="s">
        <v>2619</v>
      </c>
      <c r="T1550" s="36" t="s">
        <v>2620</v>
      </c>
      <c r="U1550" s="36" t="s">
        <v>2621</v>
      </c>
      <c r="V1550" s="36"/>
      <c r="W1550" s="36" t="s">
        <v>2622</v>
      </c>
      <c r="X1550" s="38">
        <v>1.0</v>
      </c>
      <c r="Y1550" s="38" t="s">
        <v>2623</v>
      </c>
      <c r="Z1550" s="38" t="s">
        <v>2623</v>
      </c>
      <c r="AA1550" s="38" t="s">
        <v>86</v>
      </c>
      <c r="AB1550" s="38" t="s">
        <v>2624</v>
      </c>
      <c r="AC1550" s="38" t="s">
        <v>2625</v>
      </c>
      <c r="AD1550" s="38" t="s">
        <v>87</v>
      </c>
      <c r="AE1550" s="38">
        <v>355.0</v>
      </c>
      <c r="AF1550" s="38" t="s">
        <v>2316</v>
      </c>
      <c r="AG1550" s="38" t="s">
        <v>2409</v>
      </c>
      <c r="AH1550" s="38"/>
      <c r="AI1550" s="50">
        <v>33.439</v>
      </c>
      <c r="AJ1550" s="50">
        <v>-112.643</v>
      </c>
      <c r="AK1550" s="41" t="s">
        <v>292</v>
      </c>
      <c r="AL1550" s="40" t="s">
        <v>292</v>
      </c>
      <c r="AM1550" s="49">
        <v>334.0</v>
      </c>
      <c r="AN1550" s="51">
        <v>334.0</v>
      </c>
      <c r="AO1550" s="42" t="s">
        <v>355</v>
      </c>
      <c r="AP1550" s="43" t="s">
        <v>355</v>
      </c>
      <c r="AQ1550" s="44" t="str">
        <f t="shared" ref="AQ1550:AQ1579" si="175">AA1550</f>
        <v>CRO</v>
      </c>
      <c r="AR1550" s="44">
        <f t="shared" si="144"/>
        <v>334</v>
      </c>
      <c r="AS1550" s="44" t="str">
        <f t="shared" ref="AS1550:AS1607" si="176">LEFT(AO1550,1)</f>
        <v>B</v>
      </c>
      <c r="AT1550" s="44" t="str">
        <f t="shared" si="114"/>
        <v>BW</v>
      </c>
      <c r="AU1550" s="44" t="str">
        <f t="shared" si="115"/>
        <v>BWh</v>
      </c>
      <c r="AV1550" s="38">
        <v>3.0</v>
      </c>
      <c r="AW1550" s="38"/>
      <c r="AX1550" s="38"/>
      <c r="AY1550" s="38"/>
      <c r="AZ1550" s="29" t="s">
        <v>2619</v>
      </c>
      <c r="BA1550" s="29">
        <v>1.0</v>
      </c>
      <c r="BB1550" s="29">
        <v>1.0</v>
      </c>
      <c r="BC1550" s="29"/>
      <c r="BD1550" s="29" t="s">
        <v>88</v>
      </c>
      <c r="BE1550" s="29"/>
      <c r="BF1550" s="29" t="s">
        <v>2626</v>
      </c>
      <c r="BG1550" s="29" t="s">
        <v>738</v>
      </c>
      <c r="BH1550" s="29"/>
      <c r="BI1550" s="29"/>
      <c r="BJ1550" s="29"/>
      <c r="BK1550" s="29" t="s">
        <v>2627</v>
      </c>
      <c r="BL1550" s="29"/>
      <c r="BM1550" s="45">
        <v>1.0</v>
      </c>
      <c r="BN1550" s="45"/>
      <c r="BO1550" s="46" t="s">
        <v>2626</v>
      </c>
      <c r="BP1550" s="2"/>
      <c r="BQ1550" s="3"/>
    </row>
    <row r="1551" ht="15.75" customHeight="1">
      <c r="A1551" s="34">
        <v>1593.0</v>
      </c>
      <c r="B1551" s="34">
        <v>102337.0</v>
      </c>
      <c r="C1551" s="34" t="s">
        <v>76</v>
      </c>
      <c r="D1551" s="34" t="s">
        <v>2615</v>
      </c>
      <c r="E1551" s="34" t="s">
        <v>2616</v>
      </c>
      <c r="F1551" s="34">
        <v>2020.0</v>
      </c>
      <c r="G1551" s="34" t="s">
        <v>2617</v>
      </c>
      <c r="H1551" s="34" t="s">
        <v>231</v>
      </c>
      <c r="I1551" s="34" t="s">
        <v>2618</v>
      </c>
      <c r="J1551" s="35"/>
      <c r="K1551" s="36">
        <v>0.87</v>
      </c>
      <c r="L1551" s="36">
        <v>4.86</v>
      </c>
      <c r="M1551" s="36"/>
      <c r="N1551" s="48"/>
      <c r="O1551" s="36"/>
      <c r="P1551" s="37">
        <v>18.0</v>
      </c>
      <c r="Q1551" s="36" t="s">
        <v>96</v>
      </c>
      <c r="R1551" s="36" t="s">
        <v>96</v>
      </c>
      <c r="S1551" s="36" t="s">
        <v>2619</v>
      </c>
      <c r="T1551" s="36" t="s">
        <v>2621</v>
      </c>
      <c r="U1551" s="36" t="s">
        <v>2628</v>
      </c>
      <c r="V1551" s="36"/>
      <c r="W1551" s="36" t="s">
        <v>2629</v>
      </c>
      <c r="X1551" s="38">
        <v>1.0</v>
      </c>
      <c r="Y1551" s="38" t="s">
        <v>2623</v>
      </c>
      <c r="Z1551" s="38" t="s">
        <v>2623</v>
      </c>
      <c r="AA1551" s="38" t="s">
        <v>86</v>
      </c>
      <c r="AB1551" s="38" t="s">
        <v>2624</v>
      </c>
      <c r="AC1551" s="38" t="s">
        <v>2625</v>
      </c>
      <c r="AD1551" s="38" t="s">
        <v>87</v>
      </c>
      <c r="AE1551" s="38">
        <v>355.0</v>
      </c>
      <c r="AF1551" s="38" t="s">
        <v>2316</v>
      </c>
      <c r="AG1551" s="38" t="s">
        <v>2409</v>
      </c>
      <c r="AH1551" s="38"/>
      <c r="AI1551" s="50">
        <v>33.439</v>
      </c>
      <c r="AJ1551" s="50">
        <v>-112.643</v>
      </c>
      <c r="AK1551" s="41" t="s">
        <v>292</v>
      </c>
      <c r="AL1551" s="40" t="s">
        <v>292</v>
      </c>
      <c r="AM1551" s="49">
        <v>334.0</v>
      </c>
      <c r="AN1551" s="51">
        <v>334.0</v>
      </c>
      <c r="AO1551" s="42" t="s">
        <v>355</v>
      </c>
      <c r="AP1551" s="43" t="s">
        <v>355</v>
      </c>
      <c r="AQ1551" s="44" t="str">
        <f t="shared" si="175"/>
        <v>CRO</v>
      </c>
      <c r="AR1551" s="44">
        <f t="shared" si="144"/>
        <v>334</v>
      </c>
      <c r="AS1551" s="44" t="str">
        <f t="shared" si="176"/>
        <v>B</v>
      </c>
      <c r="AT1551" s="44" t="str">
        <f t="shared" si="114"/>
        <v>BW</v>
      </c>
      <c r="AU1551" s="44" t="str">
        <f t="shared" si="115"/>
        <v>BWh</v>
      </c>
      <c r="AV1551" s="38">
        <v>3.0</v>
      </c>
      <c r="AW1551" s="38"/>
      <c r="AX1551" s="38"/>
      <c r="AY1551" s="38"/>
      <c r="AZ1551" s="29" t="s">
        <v>2619</v>
      </c>
      <c r="BA1551" s="29">
        <v>1.0</v>
      </c>
      <c r="BB1551" s="29">
        <v>1.0</v>
      </c>
      <c r="BC1551" s="29"/>
      <c r="BD1551" s="29" t="s">
        <v>88</v>
      </c>
      <c r="BE1551" s="29"/>
      <c r="BF1551" s="29" t="s">
        <v>2626</v>
      </c>
      <c r="BG1551" s="29" t="s">
        <v>738</v>
      </c>
      <c r="BH1551" s="29"/>
      <c r="BI1551" s="29"/>
      <c r="BJ1551" s="29"/>
      <c r="BK1551" s="29" t="s">
        <v>2627</v>
      </c>
      <c r="BL1551" s="29"/>
      <c r="BM1551" s="45">
        <v>1.0</v>
      </c>
      <c r="BN1551" s="45"/>
      <c r="BO1551" s="46"/>
      <c r="BP1551" s="2"/>
      <c r="BQ1551" s="3"/>
    </row>
    <row r="1552" ht="15.75" customHeight="1">
      <c r="A1552" s="34">
        <v>1594.0</v>
      </c>
      <c r="B1552" s="34">
        <v>102337.0</v>
      </c>
      <c r="C1552" s="34" t="s">
        <v>76</v>
      </c>
      <c r="D1552" s="34" t="s">
        <v>2615</v>
      </c>
      <c r="E1552" s="34" t="s">
        <v>2616</v>
      </c>
      <c r="F1552" s="34">
        <v>2020.0</v>
      </c>
      <c r="G1552" s="34" t="s">
        <v>2617</v>
      </c>
      <c r="H1552" s="34" t="s">
        <v>231</v>
      </c>
      <c r="I1552" s="34" t="s">
        <v>2618</v>
      </c>
      <c r="J1552" s="35"/>
      <c r="K1552" s="36">
        <v>1.25</v>
      </c>
      <c r="L1552" s="36">
        <v>5.66</v>
      </c>
      <c r="M1552" s="36"/>
      <c r="N1552" s="48"/>
      <c r="O1552" s="36"/>
      <c r="P1552" s="37">
        <v>22.0</v>
      </c>
      <c r="Q1552" s="36" t="s">
        <v>96</v>
      </c>
      <c r="R1552" s="36" t="s">
        <v>96</v>
      </c>
      <c r="S1552" s="36" t="s">
        <v>2619</v>
      </c>
      <c r="T1552" s="36" t="s">
        <v>2628</v>
      </c>
      <c r="U1552" s="36" t="s">
        <v>2630</v>
      </c>
      <c r="V1552" s="36"/>
      <c r="W1552" s="36" t="s">
        <v>2631</v>
      </c>
      <c r="X1552" s="38">
        <v>1.0</v>
      </c>
      <c r="Y1552" s="38" t="s">
        <v>2623</v>
      </c>
      <c r="Z1552" s="38" t="s">
        <v>2623</v>
      </c>
      <c r="AA1552" s="38" t="s">
        <v>86</v>
      </c>
      <c r="AB1552" s="38" t="s">
        <v>2624</v>
      </c>
      <c r="AC1552" s="38" t="s">
        <v>2625</v>
      </c>
      <c r="AD1552" s="38" t="s">
        <v>87</v>
      </c>
      <c r="AE1552" s="38">
        <v>355.0</v>
      </c>
      <c r="AF1552" s="38" t="s">
        <v>2316</v>
      </c>
      <c r="AG1552" s="38" t="s">
        <v>2409</v>
      </c>
      <c r="AH1552" s="38"/>
      <c r="AI1552" s="50">
        <v>33.439</v>
      </c>
      <c r="AJ1552" s="50">
        <v>-112.643</v>
      </c>
      <c r="AK1552" s="41" t="s">
        <v>292</v>
      </c>
      <c r="AL1552" s="40" t="s">
        <v>292</v>
      </c>
      <c r="AM1552" s="49">
        <v>334.0</v>
      </c>
      <c r="AN1552" s="51">
        <v>334.0</v>
      </c>
      <c r="AO1552" s="42" t="s">
        <v>355</v>
      </c>
      <c r="AP1552" s="43" t="s">
        <v>355</v>
      </c>
      <c r="AQ1552" s="44" t="str">
        <f t="shared" si="175"/>
        <v>CRO</v>
      </c>
      <c r="AR1552" s="44">
        <f t="shared" si="144"/>
        <v>334</v>
      </c>
      <c r="AS1552" s="44" t="str">
        <f t="shared" si="176"/>
        <v>B</v>
      </c>
      <c r="AT1552" s="44" t="str">
        <f t="shared" si="114"/>
        <v>BW</v>
      </c>
      <c r="AU1552" s="44" t="str">
        <f t="shared" si="115"/>
        <v>BWh</v>
      </c>
      <c r="AV1552" s="38">
        <v>3.0</v>
      </c>
      <c r="AW1552" s="38"/>
      <c r="AX1552" s="38"/>
      <c r="AY1552" s="38"/>
      <c r="AZ1552" s="29" t="s">
        <v>2619</v>
      </c>
      <c r="BA1552" s="29">
        <v>1.0</v>
      </c>
      <c r="BB1552" s="29">
        <v>1.0</v>
      </c>
      <c r="BC1552" s="29"/>
      <c r="BD1552" s="29" t="s">
        <v>88</v>
      </c>
      <c r="BE1552" s="29"/>
      <c r="BF1552" s="29" t="s">
        <v>2626</v>
      </c>
      <c r="BG1552" s="29" t="s">
        <v>738</v>
      </c>
      <c r="BH1552" s="29"/>
      <c r="BI1552" s="29"/>
      <c r="BJ1552" s="29"/>
      <c r="BK1552" s="29" t="s">
        <v>2627</v>
      </c>
      <c r="BL1552" s="29"/>
      <c r="BM1552" s="45">
        <v>1.0</v>
      </c>
      <c r="BN1552" s="45"/>
      <c r="BO1552" s="46"/>
      <c r="BP1552" s="2"/>
      <c r="BQ1552" s="3"/>
    </row>
    <row r="1553" ht="15.75" customHeight="1">
      <c r="A1553" s="34">
        <v>1595.0</v>
      </c>
      <c r="B1553" s="34">
        <v>102337.0</v>
      </c>
      <c r="C1553" s="34" t="s">
        <v>76</v>
      </c>
      <c r="D1553" s="34" t="s">
        <v>2615</v>
      </c>
      <c r="E1553" s="34" t="s">
        <v>2616</v>
      </c>
      <c r="F1553" s="34">
        <v>2020.0</v>
      </c>
      <c r="G1553" s="34" t="s">
        <v>2617</v>
      </c>
      <c r="H1553" s="34" t="s">
        <v>231</v>
      </c>
      <c r="I1553" s="34" t="s">
        <v>2618</v>
      </c>
      <c r="J1553" s="35"/>
      <c r="K1553" s="36">
        <v>0.87</v>
      </c>
      <c r="L1553" s="36">
        <v>4.09</v>
      </c>
      <c r="M1553" s="36"/>
      <c r="N1553" s="48"/>
      <c r="O1553" s="36"/>
      <c r="P1553" s="37">
        <v>21.4</v>
      </c>
      <c r="Q1553" s="36" t="s">
        <v>96</v>
      </c>
      <c r="R1553" s="36" t="s">
        <v>96</v>
      </c>
      <c r="S1553" s="36" t="s">
        <v>2619</v>
      </c>
      <c r="T1553" s="36" t="s">
        <v>2620</v>
      </c>
      <c r="U1553" s="36" t="s">
        <v>2630</v>
      </c>
      <c r="V1553" s="36">
        <v>141.0</v>
      </c>
      <c r="W1553" s="36" t="s">
        <v>2632</v>
      </c>
      <c r="X1553" s="38">
        <v>1.0</v>
      </c>
      <c r="Y1553" s="38" t="s">
        <v>2623</v>
      </c>
      <c r="Z1553" s="38" t="s">
        <v>2623</v>
      </c>
      <c r="AA1553" s="38" t="s">
        <v>86</v>
      </c>
      <c r="AB1553" s="38" t="s">
        <v>2624</v>
      </c>
      <c r="AC1553" s="38" t="s">
        <v>2625</v>
      </c>
      <c r="AD1553" s="38" t="s">
        <v>87</v>
      </c>
      <c r="AE1553" s="38">
        <v>355.0</v>
      </c>
      <c r="AF1553" s="38" t="s">
        <v>2316</v>
      </c>
      <c r="AG1553" s="38" t="s">
        <v>2409</v>
      </c>
      <c r="AH1553" s="38"/>
      <c r="AI1553" s="50">
        <v>33.439</v>
      </c>
      <c r="AJ1553" s="50">
        <v>-112.643</v>
      </c>
      <c r="AK1553" s="41" t="s">
        <v>292</v>
      </c>
      <c r="AL1553" s="40" t="s">
        <v>292</v>
      </c>
      <c r="AM1553" s="49">
        <v>334.0</v>
      </c>
      <c r="AN1553" s="51">
        <v>334.0</v>
      </c>
      <c r="AO1553" s="42" t="s">
        <v>355</v>
      </c>
      <c r="AP1553" s="43" t="s">
        <v>355</v>
      </c>
      <c r="AQ1553" s="44" t="str">
        <f t="shared" si="175"/>
        <v>CRO</v>
      </c>
      <c r="AR1553" s="44">
        <f t="shared" si="144"/>
        <v>334</v>
      </c>
      <c r="AS1553" s="44" t="str">
        <f t="shared" si="176"/>
        <v>B</v>
      </c>
      <c r="AT1553" s="44" t="str">
        <f t="shared" si="114"/>
        <v>BW</v>
      </c>
      <c r="AU1553" s="44" t="str">
        <f t="shared" si="115"/>
        <v>BWh</v>
      </c>
      <c r="AV1553" s="38">
        <v>3.0</v>
      </c>
      <c r="AW1553" s="38"/>
      <c r="AX1553" s="38"/>
      <c r="AY1553" s="38"/>
      <c r="AZ1553" s="29" t="s">
        <v>2619</v>
      </c>
      <c r="BA1553" s="29">
        <v>1.0</v>
      </c>
      <c r="BB1553" s="29">
        <v>1.0</v>
      </c>
      <c r="BC1553" s="29"/>
      <c r="BD1553" s="29" t="s">
        <v>88</v>
      </c>
      <c r="BE1553" s="29"/>
      <c r="BF1553" s="29" t="s">
        <v>2626</v>
      </c>
      <c r="BG1553" s="29" t="s">
        <v>738</v>
      </c>
      <c r="BH1553" s="29"/>
      <c r="BI1553" s="29"/>
      <c r="BJ1553" s="29"/>
      <c r="BK1553" s="29" t="s">
        <v>2627</v>
      </c>
      <c r="BL1553" s="29"/>
      <c r="BM1553" s="45">
        <v>1.0</v>
      </c>
      <c r="BN1553" s="45"/>
      <c r="BO1553" s="46"/>
      <c r="BP1553" s="2"/>
      <c r="BQ1553" s="3"/>
    </row>
    <row r="1554" ht="15.75" customHeight="1">
      <c r="A1554" s="34">
        <v>1596.0</v>
      </c>
      <c r="B1554" s="34">
        <v>102268.0</v>
      </c>
      <c r="C1554" s="34" t="s">
        <v>76</v>
      </c>
      <c r="D1554" s="34" t="s">
        <v>2633</v>
      </c>
      <c r="E1554" s="34" t="s">
        <v>2634</v>
      </c>
      <c r="F1554" s="34">
        <v>2020.0</v>
      </c>
      <c r="G1554" s="34" t="s">
        <v>2635</v>
      </c>
      <c r="H1554" s="34" t="s">
        <v>231</v>
      </c>
      <c r="I1554" s="34" t="s">
        <v>2636</v>
      </c>
      <c r="J1554" s="35"/>
      <c r="K1554" s="36"/>
      <c r="L1554" s="36"/>
      <c r="M1554" s="36">
        <v>2.38</v>
      </c>
      <c r="N1554" s="48">
        <f t="shared" ref="N1554:N1555" si="177">M1554*11.57407407</f>
        <v>27.54629629</v>
      </c>
      <c r="O1554" s="47">
        <f>5.99*11.57407407</f>
        <v>69.32870368</v>
      </c>
      <c r="P1554" s="52">
        <f t="shared" ref="P1554:P1555" si="178">N1554/O1554*100</f>
        <v>39.73288815</v>
      </c>
      <c r="Q1554" s="36"/>
      <c r="R1554" s="36" t="s">
        <v>96</v>
      </c>
      <c r="S1554" s="36">
        <v>90.0</v>
      </c>
      <c r="T1554" s="36"/>
      <c r="U1554" s="36"/>
      <c r="V1554" s="36">
        <v>42.0</v>
      </c>
      <c r="W1554" s="36"/>
      <c r="X1554" s="38">
        <v>1.0</v>
      </c>
      <c r="Y1554" s="38" t="s">
        <v>2637</v>
      </c>
      <c r="Z1554" s="38" t="s">
        <v>2638</v>
      </c>
      <c r="AA1554" s="38" t="s">
        <v>86</v>
      </c>
      <c r="AB1554" s="38">
        <v>38.751</v>
      </c>
      <c r="AC1554" s="38">
        <v>-122.975</v>
      </c>
      <c r="AD1554" s="39" t="s">
        <v>87</v>
      </c>
      <c r="AE1554" s="38"/>
      <c r="AF1554" s="38" t="s">
        <v>174</v>
      </c>
      <c r="AG1554" s="38"/>
      <c r="AH1554" s="38">
        <v>4.5</v>
      </c>
      <c r="AI1554" s="50">
        <v>38.751</v>
      </c>
      <c r="AJ1554" s="50">
        <v>-122.975</v>
      </c>
      <c r="AK1554" s="41" t="s">
        <v>200</v>
      </c>
      <c r="AL1554" s="40" t="s">
        <v>86</v>
      </c>
      <c r="AM1554" s="49">
        <v>103.0</v>
      </c>
      <c r="AN1554" s="51">
        <v>103.0</v>
      </c>
      <c r="AO1554" s="42" t="s">
        <v>175</v>
      </c>
      <c r="AP1554" s="43" t="s">
        <v>175</v>
      </c>
      <c r="AQ1554" s="44" t="str">
        <f t="shared" si="175"/>
        <v>CRO</v>
      </c>
      <c r="AR1554" s="44">
        <f t="shared" si="144"/>
        <v>103</v>
      </c>
      <c r="AS1554" s="44" t="str">
        <f t="shared" si="176"/>
        <v>C</v>
      </c>
      <c r="AT1554" s="44" t="str">
        <f t="shared" si="114"/>
        <v>Cs</v>
      </c>
      <c r="AU1554" s="44" t="str">
        <f t="shared" si="115"/>
        <v>Csa</v>
      </c>
      <c r="AV1554" s="38">
        <v>1.0</v>
      </c>
      <c r="AW1554" s="38">
        <v>1.0</v>
      </c>
      <c r="AX1554" s="38"/>
      <c r="AY1554" s="38"/>
      <c r="AZ1554" s="29">
        <v>30.0</v>
      </c>
      <c r="BA1554" s="29"/>
      <c r="BB1554" s="29">
        <v>1.0</v>
      </c>
      <c r="BC1554" s="29"/>
      <c r="BD1554" s="29" t="s">
        <v>88</v>
      </c>
      <c r="BE1554" s="29"/>
      <c r="BF1554" s="29" t="s">
        <v>2639</v>
      </c>
      <c r="BG1554" s="29" t="s">
        <v>91</v>
      </c>
      <c r="BH1554" s="29" t="s">
        <v>92</v>
      </c>
      <c r="BI1554" s="29" t="s">
        <v>2640</v>
      </c>
      <c r="BJ1554" s="29" t="s">
        <v>2641</v>
      </c>
      <c r="BK1554" s="29" t="s">
        <v>1178</v>
      </c>
      <c r="BL1554" s="29" t="s">
        <v>1178</v>
      </c>
      <c r="BM1554" s="45">
        <v>1.0</v>
      </c>
      <c r="BN1554" s="45"/>
      <c r="BO1554" s="46" t="s">
        <v>176</v>
      </c>
      <c r="BP1554" s="2"/>
      <c r="BQ1554" s="3"/>
    </row>
    <row r="1555" ht="15.75" customHeight="1">
      <c r="A1555" s="34">
        <v>1597.0</v>
      </c>
      <c r="B1555" s="34">
        <v>102268.0</v>
      </c>
      <c r="C1555" s="34" t="s">
        <v>76</v>
      </c>
      <c r="D1555" s="34" t="s">
        <v>2633</v>
      </c>
      <c r="E1555" s="34" t="s">
        <v>2634</v>
      </c>
      <c r="F1555" s="34">
        <v>2020.0</v>
      </c>
      <c r="G1555" s="34" t="s">
        <v>2635</v>
      </c>
      <c r="H1555" s="34" t="s">
        <v>231</v>
      </c>
      <c r="I1555" s="34" t="s">
        <v>2636</v>
      </c>
      <c r="J1555" s="35"/>
      <c r="K1555" s="36"/>
      <c r="L1555" s="36"/>
      <c r="M1555" s="36">
        <v>1.41</v>
      </c>
      <c r="N1555" s="48">
        <f t="shared" si="177"/>
        <v>16.31944444</v>
      </c>
      <c r="O1555" s="47">
        <f>7.41*11.57407407</f>
        <v>85.76388886</v>
      </c>
      <c r="P1555" s="52">
        <f t="shared" si="178"/>
        <v>19.02834008</v>
      </c>
      <c r="Q1555" s="36"/>
      <c r="R1555" s="36" t="s">
        <v>96</v>
      </c>
      <c r="S1555" s="36">
        <v>90.0</v>
      </c>
      <c r="T1555" s="36"/>
      <c r="U1555" s="36"/>
      <c r="V1555" s="36">
        <v>36.0</v>
      </c>
      <c r="W1555" s="36"/>
      <c r="X1555" s="38">
        <v>1.0</v>
      </c>
      <c r="Y1555" s="38" t="s">
        <v>2637</v>
      </c>
      <c r="Z1555" s="38" t="s">
        <v>2638</v>
      </c>
      <c r="AA1555" s="38" t="s">
        <v>86</v>
      </c>
      <c r="AB1555" s="38">
        <v>38.751</v>
      </c>
      <c r="AC1555" s="38">
        <v>-122.975</v>
      </c>
      <c r="AD1555" s="39" t="s">
        <v>87</v>
      </c>
      <c r="AE1555" s="38"/>
      <c r="AF1555" s="38" t="s">
        <v>174</v>
      </c>
      <c r="AG1555" s="38"/>
      <c r="AH1555" s="38">
        <v>4.5</v>
      </c>
      <c r="AI1555" s="50">
        <v>38.751</v>
      </c>
      <c r="AJ1555" s="50">
        <v>-122.975</v>
      </c>
      <c r="AK1555" s="41" t="s">
        <v>200</v>
      </c>
      <c r="AL1555" s="40" t="s">
        <v>86</v>
      </c>
      <c r="AM1555" s="49">
        <v>103.0</v>
      </c>
      <c r="AN1555" s="51">
        <v>103.0</v>
      </c>
      <c r="AO1555" s="42" t="s">
        <v>175</v>
      </c>
      <c r="AP1555" s="43" t="s">
        <v>175</v>
      </c>
      <c r="AQ1555" s="44" t="str">
        <f t="shared" si="175"/>
        <v>CRO</v>
      </c>
      <c r="AR1555" s="44">
        <f t="shared" si="144"/>
        <v>103</v>
      </c>
      <c r="AS1555" s="44" t="str">
        <f t="shared" si="176"/>
        <v>C</v>
      </c>
      <c r="AT1555" s="44" t="str">
        <f t="shared" si="114"/>
        <v>Cs</v>
      </c>
      <c r="AU1555" s="44" t="str">
        <f t="shared" si="115"/>
        <v>Csa</v>
      </c>
      <c r="AV1555" s="38">
        <v>3.0</v>
      </c>
      <c r="AW1555" s="38">
        <v>1.0</v>
      </c>
      <c r="AX1555" s="38"/>
      <c r="AY1555" s="38"/>
      <c r="AZ1555" s="29">
        <v>30.0</v>
      </c>
      <c r="BA1555" s="29"/>
      <c r="BB1555" s="29">
        <v>1.0</v>
      </c>
      <c r="BC1555" s="29"/>
      <c r="BD1555" s="29" t="s">
        <v>88</v>
      </c>
      <c r="BE1555" s="29"/>
      <c r="BF1555" s="29" t="s">
        <v>2639</v>
      </c>
      <c r="BG1555" s="29" t="s">
        <v>91</v>
      </c>
      <c r="BH1555" s="29" t="s">
        <v>92</v>
      </c>
      <c r="BI1555" s="29" t="s">
        <v>2640</v>
      </c>
      <c r="BJ1555" s="29" t="s">
        <v>2641</v>
      </c>
      <c r="BK1555" s="29" t="s">
        <v>1178</v>
      </c>
      <c r="BL1555" s="29" t="s">
        <v>1178</v>
      </c>
      <c r="BM1555" s="45"/>
      <c r="BN1555" s="45"/>
      <c r="BO1555" s="46"/>
      <c r="BP1555" s="2"/>
      <c r="BQ1555" s="3"/>
    </row>
    <row r="1556" ht="15.75" customHeight="1">
      <c r="A1556" s="34">
        <v>1598.0</v>
      </c>
      <c r="B1556" s="34">
        <v>102268.0</v>
      </c>
      <c r="C1556" s="34" t="s">
        <v>76</v>
      </c>
      <c r="D1556" s="34" t="s">
        <v>2633</v>
      </c>
      <c r="E1556" s="34" t="s">
        <v>2634</v>
      </c>
      <c r="F1556" s="34">
        <v>2020.0</v>
      </c>
      <c r="G1556" s="34" t="s">
        <v>2635</v>
      </c>
      <c r="H1556" s="34" t="s">
        <v>231</v>
      </c>
      <c r="I1556" s="34" t="s">
        <v>2636</v>
      </c>
      <c r="J1556" s="35"/>
      <c r="K1556" s="36">
        <v>1.06</v>
      </c>
      <c r="L1556" s="36">
        <v>2.14</v>
      </c>
      <c r="M1556" s="36"/>
      <c r="N1556" s="36"/>
      <c r="O1556" s="47"/>
      <c r="P1556" s="52">
        <f t="shared" ref="P1556:P1558" si="179">K1556/L1556*100</f>
        <v>49.53271028</v>
      </c>
      <c r="Q1556" s="36" t="s">
        <v>96</v>
      </c>
      <c r="R1556" s="36" t="s">
        <v>96</v>
      </c>
      <c r="S1556" s="36">
        <v>90.0</v>
      </c>
      <c r="T1556" s="36"/>
      <c r="U1556" s="36"/>
      <c r="V1556" s="36">
        <v>386.0</v>
      </c>
      <c r="W1556" s="36"/>
      <c r="X1556" s="38">
        <v>1.0</v>
      </c>
      <c r="Y1556" s="38" t="s">
        <v>2637</v>
      </c>
      <c r="Z1556" s="38" t="s">
        <v>2638</v>
      </c>
      <c r="AA1556" s="38" t="s">
        <v>86</v>
      </c>
      <c r="AB1556" s="38">
        <v>38.751</v>
      </c>
      <c r="AC1556" s="38">
        <v>-122.975</v>
      </c>
      <c r="AD1556" s="39" t="s">
        <v>87</v>
      </c>
      <c r="AE1556" s="38"/>
      <c r="AF1556" s="38" t="s">
        <v>174</v>
      </c>
      <c r="AG1556" s="38"/>
      <c r="AH1556" s="38">
        <v>4.5</v>
      </c>
      <c r="AI1556" s="50">
        <v>38.751</v>
      </c>
      <c r="AJ1556" s="50">
        <v>-122.975</v>
      </c>
      <c r="AK1556" s="41" t="s">
        <v>200</v>
      </c>
      <c r="AL1556" s="40" t="s">
        <v>86</v>
      </c>
      <c r="AM1556" s="49">
        <v>103.0</v>
      </c>
      <c r="AN1556" s="51">
        <v>103.0</v>
      </c>
      <c r="AO1556" s="42" t="s">
        <v>175</v>
      </c>
      <c r="AP1556" s="43" t="s">
        <v>175</v>
      </c>
      <c r="AQ1556" s="44" t="str">
        <f t="shared" si="175"/>
        <v>CRO</v>
      </c>
      <c r="AR1556" s="44">
        <f t="shared" si="144"/>
        <v>103</v>
      </c>
      <c r="AS1556" s="44" t="str">
        <f t="shared" si="176"/>
        <v>C</v>
      </c>
      <c r="AT1556" s="44" t="str">
        <f t="shared" si="114"/>
        <v>Cs</v>
      </c>
      <c r="AU1556" s="44" t="str">
        <f t="shared" si="115"/>
        <v>Csa</v>
      </c>
      <c r="AV1556" s="38">
        <v>1.0</v>
      </c>
      <c r="AW1556" s="38">
        <v>1.0</v>
      </c>
      <c r="AX1556" s="38"/>
      <c r="AY1556" s="38"/>
      <c r="AZ1556" s="29">
        <v>30.0</v>
      </c>
      <c r="BA1556" s="29"/>
      <c r="BB1556" s="29">
        <v>1.0</v>
      </c>
      <c r="BC1556" s="29"/>
      <c r="BD1556" s="29" t="s">
        <v>88</v>
      </c>
      <c r="BE1556" s="29"/>
      <c r="BF1556" s="29" t="s">
        <v>2639</v>
      </c>
      <c r="BG1556" s="29" t="s">
        <v>91</v>
      </c>
      <c r="BH1556" s="29" t="s">
        <v>92</v>
      </c>
      <c r="BI1556" s="29" t="s">
        <v>2640</v>
      </c>
      <c r="BJ1556" s="29" t="s">
        <v>2641</v>
      </c>
      <c r="BK1556" s="29" t="s">
        <v>1178</v>
      </c>
      <c r="BL1556" s="29" t="s">
        <v>1178</v>
      </c>
      <c r="BM1556" s="45"/>
      <c r="BN1556" s="45"/>
      <c r="BO1556" s="46"/>
      <c r="BP1556" s="2"/>
      <c r="BQ1556" s="3"/>
    </row>
    <row r="1557" ht="15.75" customHeight="1">
      <c r="A1557" s="34">
        <v>1599.0</v>
      </c>
      <c r="B1557" s="34">
        <v>102268.0</v>
      </c>
      <c r="C1557" s="34" t="s">
        <v>76</v>
      </c>
      <c r="D1557" s="34" t="s">
        <v>2633</v>
      </c>
      <c r="E1557" s="34" t="s">
        <v>2634</v>
      </c>
      <c r="F1557" s="34">
        <v>2020.0</v>
      </c>
      <c r="G1557" s="34" t="s">
        <v>2635</v>
      </c>
      <c r="H1557" s="34" t="s">
        <v>231</v>
      </c>
      <c r="I1557" s="34" t="s">
        <v>2636</v>
      </c>
      <c r="J1557" s="35"/>
      <c r="K1557" s="36">
        <v>0.63</v>
      </c>
      <c r="L1557" s="36">
        <v>2.76</v>
      </c>
      <c r="M1557" s="36"/>
      <c r="N1557" s="36"/>
      <c r="O1557" s="47"/>
      <c r="P1557" s="52">
        <f t="shared" si="179"/>
        <v>22.82608696</v>
      </c>
      <c r="Q1557" s="36" t="s">
        <v>96</v>
      </c>
      <c r="R1557" s="36" t="s">
        <v>96</v>
      </c>
      <c r="S1557" s="36">
        <v>90.0</v>
      </c>
      <c r="T1557" s="36"/>
      <c r="U1557" s="36"/>
      <c r="V1557" s="36">
        <v>331.0</v>
      </c>
      <c r="W1557" s="36"/>
      <c r="X1557" s="38">
        <v>1.0</v>
      </c>
      <c r="Y1557" s="38" t="s">
        <v>2637</v>
      </c>
      <c r="Z1557" s="38" t="s">
        <v>2638</v>
      </c>
      <c r="AA1557" s="38" t="s">
        <v>86</v>
      </c>
      <c r="AB1557" s="38">
        <v>38.751</v>
      </c>
      <c r="AC1557" s="38">
        <v>-122.975</v>
      </c>
      <c r="AD1557" s="39" t="s">
        <v>87</v>
      </c>
      <c r="AE1557" s="38"/>
      <c r="AF1557" s="38" t="s">
        <v>174</v>
      </c>
      <c r="AG1557" s="38"/>
      <c r="AH1557" s="38">
        <v>4.5</v>
      </c>
      <c r="AI1557" s="50">
        <v>38.751</v>
      </c>
      <c r="AJ1557" s="50">
        <v>-122.975</v>
      </c>
      <c r="AK1557" s="41" t="s">
        <v>200</v>
      </c>
      <c r="AL1557" s="40" t="s">
        <v>86</v>
      </c>
      <c r="AM1557" s="49">
        <v>103.0</v>
      </c>
      <c r="AN1557" s="51">
        <v>103.0</v>
      </c>
      <c r="AO1557" s="42" t="s">
        <v>175</v>
      </c>
      <c r="AP1557" s="43" t="s">
        <v>175</v>
      </c>
      <c r="AQ1557" s="44" t="str">
        <f t="shared" si="175"/>
        <v>CRO</v>
      </c>
      <c r="AR1557" s="44">
        <f t="shared" si="144"/>
        <v>103</v>
      </c>
      <c r="AS1557" s="44" t="str">
        <f t="shared" si="176"/>
        <v>C</v>
      </c>
      <c r="AT1557" s="44" t="str">
        <f t="shared" si="114"/>
        <v>Cs</v>
      </c>
      <c r="AU1557" s="44" t="str">
        <f t="shared" si="115"/>
        <v>Csa</v>
      </c>
      <c r="AV1557" s="38">
        <v>3.0</v>
      </c>
      <c r="AW1557" s="38">
        <v>1.0</v>
      </c>
      <c r="AX1557" s="38"/>
      <c r="AY1557" s="38"/>
      <c r="AZ1557" s="29">
        <v>30.0</v>
      </c>
      <c r="BA1557" s="29"/>
      <c r="BB1557" s="29">
        <v>1.0</v>
      </c>
      <c r="BC1557" s="29"/>
      <c r="BD1557" s="29" t="s">
        <v>88</v>
      </c>
      <c r="BE1557" s="29"/>
      <c r="BF1557" s="29" t="s">
        <v>2639</v>
      </c>
      <c r="BG1557" s="29" t="s">
        <v>91</v>
      </c>
      <c r="BH1557" s="29" t="s">
        <v>92</v>
      </c>
      <c r="BI1557" s="29" t="s">
        <v>2640</v>
      </c>
      <c r="BJ1557" s="29" t="s">
        <v>2641</v>
      </c>
      <c r="BK1557" s="29" t="s">
        <v>1178</v>
      </c>
      <c r="BL1557" s="29" t="s">
        <v>1178</v>
      </c>
      <c r="BM1557" s="45"/>
      <c r="BN1557" s="45"/>
      <c r="BO1557" s="46"/>
      <c r="BP1557" s="2"/>
      <c r="BQ1557" s="3"/>
    </row>
    <row r="1558" ht="15.75" customHeight="1">
      <c r="A1558" s="34">
        <v>1600.0</v>
      </c>
      <c r="B1558" s="34">
        <v>102268.0</v>
      </c>
      <c r="C1558" s="34" t="s">
        <v>76</v>
      </c>
      <c r="D1558" s="34" t="s">
        <v>2633</v>
      </c>
      <c r="E1558" s="34" t="s">
        <v>2634</v>
      </c>
      <c r="F1558" s="34">
        <v>2020.0</v>
      </c>
      <c r="G1558" s="34" t="s">
        <v>2635</v>
      </c>
      <c r="H1558" s="34" t="s">
        <v>231</v>
      </c>
      <c r="I1558" s="34" t="s">
        <v>2636</v>
      </c>
      <c r="J1558" s="35"/>
      <c r="K1558" s="36">
        <v>0.5</v>
      </c>
      <c r="L1558" s="36">
        <v>2.67</v>
      </c>
      <c r="M1558" s="36"/>
      <c r="N1558" s="36"/>
      <c r="O1558" s="47"/>
      <c r="P1558" s="52">
        <f t="shared" si="179"/>
        <v>18.72659176</v>
      </c>
      <c r="Q1558" s="36" t="s">
        <v>96</v>
      </c>
      <c r="R1558" s="36" t="s">
        <v>182</v>
      </c>
      <c r="S1558" s="36">
        <v>90.0</v>
      </c>
      <c r="T1558" s="36"/>
      <c r="U1558" s="36"/>
      <c r="V1558" s="36">
        <v>73.0</v>
      </c>
      <c r="W1558" s="36"/>
      <c r="X1558" s="38">
        <v>1.0</v>
      </c>
      <c r="Y1558" s="38" t="s">
        <v>2637</v>
      </c>
      <c r="Z1558" s="38" t="s">
        <v>2638</v>
      </c>
      <c r="AA1558" s="38" t="s">
        <v>86</v>
      </c>
      <c r="AB1558" s="38">
        <v>38.751</v>
      </c>
      <c r="AC1558" s="38">
        <v>-122.975</v>
      </c>
      <c r="AD1558" s="39" t="s">
        <v>87</v>
      </c>
      <c r="AE1558" s="38"/>
      <c r="AF1558" s="38" t="s">
        <v>174</v>
      </c>
      <c r="AG1558" s="38"/>
      <c r="AH1558" s="38">
        <v>4.5</v>
      </c>
      <c r="AI1558" s="50">
        <v>38.751</v>
      </c>
      <c r="AJ1558" s="50">
        <v>-122.975</v>
      </c>
      <c r="AK1558" s="41" t="s">
        <v>200</v>
      </c>
      <c r="AL1558" s="40" t="s">
        <v>86</v>
      </c>
      <c r="AM1558" s="49">
        <v>103.0</v>
      </c>
      <c r="AN1558" s="51">
        <v>103.0</v>
      </c>
      <c r="AO1558" s="42" t="s">
        <v>175</v>
      </c>
      <c r="AP1558" s="43" t="s">
        <v>175</v>
      </c>
      <c r="AQ1558" s="44" t="str">
        <f t="shared" si="175"/>
        <v>CRO</v>
      </c>
      <c r="AR1558" s="44">
        <f t="shared" si="144"/>
        <v>103</v>
      </c>
      <c r="AS1558" s="44" t="str">
        <f t="shared" si="176"/>
        <v>C</v>
      </c>
      <c r="AT1558" s="44" t="str">
        <f t="shared" si="114"/>
        <v>Cs</v>
      </c>
      <c r="AU1558" s="44" t="str">
        <f t="shared" si="115"/>
        <v>Csa</v>
      </c>
      <c r="AV1558" s="38">
        <v>3.0</v>
      </c>
      <c r="AW1558" s="38"/>
      <c r="AX1558" s="38"/>
      <c r="AY1558" s="38"/>
      <c r="AZ1558" s="29">
        <v>30.0</v>
      </c>
      <c r="BA1558" s="29"/>
      <c r="BB1558" s="29">
        <v>1.0</v>
      </c>
      <c r="BC1558" s="29"/>
      <c r="BD1558" s="29" t="s">
        <v>88</v>
      </c>
      <c r="BE1558" s="29"/>
      <c r="BF1558" s="29" t="s">
        <v>2639</v>
      </c>
      <c r="BG1558" s="29" t="s">
        <v>91</v>
      </c>
      <c r="BH1558" s="29" t="s">
        <v>92</v>
      </c>
      <c r="BI1558" s="29" t="s">
        <v>2640</v>
      </c>
      <c r="BJ1558" s="29" t="s">
        <v>2641</v>
      </c>
      <c r="BK1558" s="29" t="s">
        <v>1178</v>
      </c>
      <c r="BL1558" s="29" t="s">
        <v>1178</v>
      </c>
      <c r="BM1558" s="45"/>
      <c r="BN1558" s="45"/>
      <c r="BO1558" s="46"/>
      <c r="BP1558" s="2"/>
      <c r="BQ1558" s="3"/>
    </row>
    <row r="1559" ht="15.75" customHeight="1">
      <c r="A1559" s="34">
        <v>1601.0</v>
      </c>
      <c r="B1559" s="34">
        <v>102268.0</v>
      </c>
      <c r="C1559" s="34" t="s">
        <v>76</v>
      </c>
      <c r="D1559" s="34" t="s">
        <v>2633</v>
      </c>
      <c r="E1559" s="34" t="s">
        <v>2634</v>
      </c>
      <c r="F1559" s="34">
        <v>2020.0</v>
      </c>
      <c r="G1559" s="34" t="s">
        <v>2635</v>
      </c>
      <c r="H1559" s="34" t="s">
        <v>231</v>
      </c>
      <c r="I1559" s="34" t="s">
        <v>2636</v>
      </c>
      <c r="J1559" s="35"/>
      <c r="K1559" s="36"/>
      <c r="L1559" s="36"/>
      <c r="M1559" s="36">
        <v>3.27</v>
      </c>
      <c r="N1559" s="48">
        <f t="shared" ref="N1559:N1560" si="180">M1559*11.57407407</f>
        <v>37.84722221</v>
      </c>
      <c r="O1559" s="47">
        <f>5.99*11.57407407</f>
        <v>69.32870368</v>
      </c>
      <c r="P1559" s="52">
        <f t="shared" ref="P1559:P1560" si="181">N1559/O1559*100</f>
        <v>54.59098497</v>
      </c>
      <c r="Q1559" s="36"/>
      <c r="R1559" s="36" t="s">
        <v>96</v>
      </c>
      <c r="S1559" s="36">
        <v>90.0</v>
      </c>
      <c r="T1559" s="36"/>
      <c r="U1559" s="36"/>
      <c r="V1559" s="36">
        <v>45.0</v>
      </c>
      <c r="W1559" s="36"/>
      <c r="X1559" s="38">
        <v>1.0</v>
      </c>
      <c r="Y1559" s="38" t="s">
        <v>170</v>
      </c>
      <c r="Z1559" s="38" t="s">
        <v>171</v>
      </c>
      <c r="AA1559" s="38" t="s">
        <v>86</v>
      </c>
      <c r="AB1559" s="38">
        <v>38.289</v>
      </c>
      <c r="AC1559" s="38">
        <v>-121.118</v>
      </c>
      <c r="AD1559" s="39" t="s">
        <v>87</v>
      </c>
      <c r="AE1559" s="53"/>
      <c r="AF1559" s="38" t="s">
        <v>174</v>
      </c>
      <c r="AG1559" s="38"/>
      <c r="AH1559" s="38">
        <v>5.0</v>
      </c>
      <c r="AI1559" s="50">
        <v>38.289</v>
      </c>
      <c r="AJ1559" s="50">
        <v>-121.118</v>
      </c>
      <c r="AK1559" s="41" t="s">
        <v>86</v>
      </c>
      <c r="AL1559" s="40" t="s">
        <v>86</v>
      </c>
      <c r="AM1559" s="49">
        <v>38.0</v>
      </c>
      <c r="AN1559" s="51">
        <v>38.0</v>
      </c>
      <c r="AO1559" s="42" t="s">
        <v>175</v>
      </c>
      <c r="AP1559" s="43" t="s">
        <v>175</v>
      </c>
      <c r="AQ1559" s="44" t="str">
        <f t="shared" si="175"/>
        <v>CRO</v>
      </c>
      <c r="AR1559" s="44">
        <f t="shared" si="144"/>
        <v>38</v>
      </c>
      <c r="AS1559" s="44" t="str">
        <f t="shared" si="176"/>
        <v>C</v>
      </c>
      <c r="AT1559" s="44" t="str">
        <f t="shared" si="114"/>
        <v>Cs</v>
      </c>
      <c r="AU1559" s="44" t="str">
        <f t="shared" si="115"/>
        <v>Csa</v>
      </c>
      <c r="AV1559" s="38">
        <v>1.0</v>
      </c>
      <c r="AW1559" s="38">
        <v>1.0</v>
      </c>
      <c r="AX1559" s="38"/>
      <c r="AY1559" s="38"/>
      <c r="AZ1559" s="29">
        <v>30.0</v>
      </c>
      <c r="BA1559" s="29"/>
      <c r="BB1559" s="29">
        <v>1.0</v>
      </c>
      <c r="BC1559" s="29"/>
      <c r="BD1559" s="29" t="s">
        <v>88</v>
      </c>
      <c r="BE1559" s="29"/>
      <c r="BF1559" s="29" t="s">
        <v>2639</v>
      </c>
      <c r="BG1559" s="29" t="s">
        <v>91</v>
      </c>
      <c r="BH1559" s="29" t="s">
        <v>92</v>
      </c>
      <c r="BI1559" s="29" t="s">
        <v>2640</v>
      </c>
      <c r="BJ1559" s="29" t="s">
        <v>2641</v>
      </c>
      <c r="BK1559" s="29" t="s">
        <v>1178</v>
      </c>
      <c r="BL1559" s="29" t="s">
        <v>1178</v>
      </c>
      <c r="BM1559" s="45"/>
      <c r="BN1559" s="45"/>
      <c r="BO1559" s="46"/>
      <c r="BP1559" s="2"/>
      <c r="BQ1559" s="3"/>
    </row>
    <row r="1560" ht="15.75" customHeight="1">
      <c r="A1560" s="34">
        <v>1602.0</v>
      </c>
      <c r="B1560" s="34">
        <v>102268.0</v>
      </c>
      <c r="C1560" s="34" t="s">
        <v>76</v>
      </c>
      <c r="D1560" s="34" t="s">
        <v>2633</v>
      </c>
      <c r="E1560" s="34" t="s">
        <v>2634</v>
      </c>
      <c r="F1560" s="34">
        <v>2020.0</v>
      </c>
      <c r="G1560" s="34" t="s">
        <v>2635</v>
      </c>
      <c r="H1560" s="34" t="s">
        <v>231</v>
      </c>
      <c r="I1560" s="34" t="s">
        <v>2636</v>
      </c>
      <c r="J1560" s="35"/>
      <c r="K1560" s="36"/>
      <c r="L1560" s="36"/>
      <c r="M1560" s="36">
        <v>2.71</v>
      </c>
      <c r="N1560" s="48">
        <f t="shared" si="180"/>
        <v>31.36574073</v>
      </c>
      <c r="O1560" s="47">
        <f>6.64*11.57407407</f>
        <v>76.85185182</v>
      </c>
      <c r="P1560" s="52">
        <f t="shared" si="181"/>
        <v>40.81325301</v>
      </c>
      <c r="Q1560" s="36"/>
      <c r="R1560" s="36" t="s">
        <v>96</v>
      </c>
      <c r="S1560" s="36">
        <v>90.0</v>
      </c>
      <c r="T1560" s="36"/>
      <c r="U1560" s="36"/>
      <c r="V1560" s="36">
        <v>44.0</v>
      </c>
      <c r="W1560" s="36"/>
      <c r="X1560" s="38">
        <v>1.0</v>
      </c>
      <c r="Y1560" s="38" t="s">
        <v>170</v>
      </c>
      <c r="Z1560" s="38" t="s">
        <v>171</v>
      </c>
      <c r="AA1560" s="38" t="s">
        <v>86</v>
      </c>
      <c r="AB1560" s="38">
        <v>38.289</v>
      </c>
      <c r="AC1560" s="38">
        <v>-121.118</v>
      </c>
      <c r="AD1560" s="39" t="s">
        <v>87</v>
      </c>
      <c r="AE1560" s="53"/>
      <c r="AF1560" s="38" t="s">
        <v>174</v>
      </c>
      <c r="AG1560" s="38"/>
      <c r="AH1560" s="38">
        <v>5.0</v>
      </c>
      <c r="AI1560" s="50">
        <v>38.289</v>
      </c>
      <c r="AJ1560" s="50">
        <v>-121.118</v>
      </c>
      <c r="AK1560" s="41" t="s">
        <v>86</v>
      </c>
      <c r="AL1560" s="40" t="s">
        <v>86</v>
      </c>
      <c r="AM1560" s="49">
        <v>38.0</v>
      </c>
      <c r="AN1560" s="51">
        <v>38.0</v>
      </c>
      <c r="AO1560" s="42" t="s">
        <v>175</v>
      </c>
      <c r="AP1560" s="43" t="s">
        <v>175</v>
      </c>
      <c r="AQ1560" s="44" t="str">
        <f t="shared" si="175"/>
        <v>CRO</v>
      </c>
      <c r="AR1560" s="44">
        <f t="shared" si="144"/>
        <v>38</v>
      </c>
      <c r="AS1560" s="44" t="str">
        <f t="shared" si="176"/>
        <v>C</v>
      </c>
      <c r="AT1560" s="44" t="str">
        <f t="shared" si="114"/>
        <v>Cs</v>
      </c>
      <c r="AU1560" s="44" t="str">
        <f t="shared" si="115"/>
        <v>Csa</v>
      </c>
      <c r="AV1560" s="38">
        <v>3.0</v>
      </c>
      <c r="AW1560" s="38">
        <v>1.0</v>
      </c>
      <c r="AX1560" s="38"/>
      <c r="AY1560" s="38"/>
      <c r="AZ1560" s="29">
        <v>30.0</v>
      </c>
      <c r="BA1560" s="29"/>
      <c r="BB1560" s="29">
        <v>1.0</v>
      </c>
      <c r="BC1560" s="29"/>
      <c r="BD1560" s="29" t="s">
        <v>88</v>
      </c>
      <c r="BE1560" s="29"/>
      <c r="BF1560" s="29" t="s">
        <v>2639</v>
      </c>
      <c r="BG1560" s="29" t="s">
        <v>91</v>
      </c>
      <c r="BH1560" s="29" t="s">
        <v>92</v>
      </c>
      <c r="BI1560" s="29" t="s">
        <v>2640</v>
      </c>
      <c r="BJ1560" s="29" t="s">
        <v>2641</v>
      </c>
      <c r="BK1560" s="29" t="s">
        <v>1178</v>
      </c>
      <c r="BL1560" s="29" t="s">
        <v>1178</v>
      </c>
      <c r="BM1560" s="45"/>
      <c r="BN1560" s="45"/>
      <c r="BO1560" s="46"/>
      <c r="BP1560" s="2"/>
      <c r="BQ1560" s="3"/>
    </row>
    <row r="1561" ht="15.75" customHeight="1">
      <c r="A1561" s="34">
        <v>1603.0</v>
      </c>
      <c r="B1561" s="34">
        <v>102268.0</v>
      </c>
      <c r="C1561" s="34" t="s">
        <v>76</v>
      </c>
      <c r="D1561" s="34" t="s">
        <v>2633</v>
      </c>
      <c r="E1561" s="34" t="s">
        <v>2634</v>
      </c>
      <c r="F1561" s="34">
        <v>2020.0</v>
      </c>
      <c r="G1561" s="34" t="s">
        <v>2635</v>
      </c>
      <c r="H1561" s="34" t="s">
        <v>231</v>
      </c>
      <c r="I1561" s="34" t="s">
        <v>2636</v>
      </c>
      <c r="J1561" s="35"/>
      <c r="K1561" s="36">
        <v>1.16</v>
      </c>
      <c r="L1561" s="36">
        <v>2.4</v>
      </c>
      <c r="M1561" s="36"/>
      <c r="N1561" s="36"/>
      <c r="O1561" s="47"/>
      <c r="P1561" s="52">
        <f t="shared" ref="P1561:P1563" si="182">K1561/L1561*100</f>
        <v>48.33333333</v>
      </c>
      <c r="Q1561" s="36" t="s">
        <v>96</v>
      </c>
      <c r="R1561" s="36" t="s">
        <v>96</v>
      </c>
      <c r="S1561" s="36">
        <v>90.0</v>
      </c>
      <c r="T1561" s="36"/>
      <c r="U1561" s="36"/>
      <c r="V1561" s="36">
        <v>454.0</v>
      </c>
      <c r="W1561" s="36"/>
      <c r="X1561" s="38">
        <v>1.0</v>
      </c>
      <c r="Y1561" s="38" t="s">
        <v>170</v>
      </c>
      <c r="Z1561" s="38" t="s">
        <v>171</v>
      </c>
      <c r="AA1561" s="38" t="s">
        <v>86</v>
      </c>
      <c r="AB1561" s="38">
        <v>38.289</v>
      </c>
      <c r="AC1561" s="38">
        <v>-121.118</v>
      </c>
      <c r="AD1561" s="39" t="s">
        <v>87</v>
      </c>
      <c r="AE1561" s="53"/>
      <c r="AF1561" s="38" t="s">
        <v>174</v>
      </c>
      <c r="AG1561" s="38"/>
      <c r="AH1561" s="38">
        <v>5.0</v>
      </c>
      <c r="AI1561" s="50">
        <v>38.289</v>
      </c>
      <c r="AJ1561" s="50">
        <v>-121.118</v>
      </c>
      <c r="AK1561" s="41" t="s">
        <v>86</v>
      </c>
      <c r="AL1561" s="40" t="s">
        <v>86</v>
      </c>
      <c r="AM1561" s="49">
        <v>38.0</v>
      </c>
      <c r="AN1561" s="51">
        <v>38.0</v>
      </c>
      <c r="AO1561" s="42" t="s">
        <v>175</v>
      </c>
      <c r="AP1561" s="43" t="s">
        <v>175</v>
      </c>
      <c r="AQ1561" s="44" t="str">
        <f t="shared" si="175"/>
        <v>CRO</v>
      </c>
      <c r="AR1561" s="44">
        <f t="shared" si="144"/>
        <v>38</v>
      </c>
      <c r="AS1561" s="44" t="str">
        <f t="shared" si="176"/>
        <v>C</v>
      </c>
      <c r="AT1561" s="44" t="str">
        <f t="shared" si="114"/>
        <v>Cs</v>
      </c>
      <c r="AU1561" s="44" t="str">
        <f t="shared" si="115"/>
        <v>Csa</v>
      </c>
      <c r="AV1561" s="38">
        <v>1.0</v>
      </c>
      <c r="AW1561" s="38">
        <v>1.0</v>
      </c>
      <c r="AX1561" s="38"/>
      <c r="AY1561" s="38"/>
      <c r="AZ1561" s="29">
        <v>30.0</v>
      </c>
      <c r="BA1561" s="29"/>
      <c r="BB1561" s="29">
        <v>1.0</v>
      </c>
      <c r="BC1561" s="29"/>
      <c r="BD1561" s="29" t="s">
        <v>88</v>
      </c>
      <c r="BE1561" s="29"/>
      <c r="BF1561" s="29" t="s">
        <v>2639</v>
      </c>
      <c r="BG1561" s="29" t="s">
        <v>91</v>
      </c>
      <c r="BH1561" s="29" t="s">
        <v>92</v>
      </c>
      <c r="BI1561" s="29" t="s">
        <v>2640</v>
      </c>
      <c r="BJ1561" s="29" t="s">
        <v>2641</v>
      </c>
      <c r="BK1561" s="29" t="s">
        <v>1178</v>
      </c>
      <c r="BL1561" s="29" t="s">
        <v>1178</v>
      </c>
      <c r="BM1561" s="45"/>
      <c r="BN1561" s="45"/>
      <c r="BO1561" s="46"/>
      <c r="BP1561" s="2"/>
      <c r="BQ1561" s="3"/>
    </row>
    <row r="1562" ht="15.75" customHeight="1">
      <c r="A1562" s="34">
        <v>1604.0</v>
      </c>
      <c r="B1562" s="34">
        <v>102268.0</v>
      </c>
      <c r="C1562" s="34" t="s">
        <v>76</v>
      </c>
      <c r="D1562" s="34" t="s">
        <v>2633</v>
      </c>
      <c r="E1562" s="34" t="s">
        <v>2634</v>
      </c>
      <c r="F1562" s="34">
        <v>2020.0</v>
      </c>
      <c r="G1562" s="34" t="s">
        <v>2635</v>
      </c>
      <c r="H1562" s="34" t="s">
        <v>231</v>
      </c>
      <c r="I1562" s="34" t="s">
        <v>2636</v>
      </c>
      <c r="J1562" s="35"/>
      <c r="K1562" s="36">
        <v>0.61</v>
      </c>
      <c r="L1562" s="36">
        <v>3.27</v>
      </c>
      <c r="M1562" s="36"/>
      <c r="N1562" s="36"/>
      <c r="O1562" s="47"/>
      <c r="P1562" s="52">
        <f t="shared" si="182"/>
        <v>18.65443425</v>
      </c>
      <c r="Q1562" s="36" t="s">
        <v>96</v>
      </c>
      <c r="R1562" s="36" t="s">
        <v>96</v>
      </c>
      <c r="S1562" s="36">
        <v>90.0</v>
      </c>
      <c r="T1562" s="36"/>
      <c r="U1562" s="36"/>
      <c r="V1562" s="36">
        <v>421.0</v>
      </c>
      <c r="W1562" s="36"/>
      <c r="X1562" s="38">
        <v>1.0</v>
      </c>
      <c r="Y1562" s="38" t="s">
        <v>170</v>
      </c>
      <c r="Z1562" s="38" t="s">
        <v>171</v>
      </c>
      <c r="AA1562" s="38" t="s">
        <v>86</v>
      </c>
      <c r="AB1562" s="38">
        <v>38.289</v>
      </c>
      <c r="AC1562" s="38">
        <v>-121.118</v>
      </c>
      <c r="AD1562" s="39" t="s">
        <v>87</v>
      </c>
      <c r="AE1562" s="53"/>
      <c r="AF1562" s="38" t="s">
        <v>174</v>
      </c>
      <c r="AG1562" s="38"/>
      <c r="AH1562" s="38">
        <v>5.0</v>
      </c>
      <c r="AI1562" s="50">
        <v>38.289</v>
      </c>
      <c r="AJ1562" s="50">
        <v>-121.118</v>
      </c>
      <c r="AK1562" s="41" t="s">
        <v>86</v>
      </c>
      <c r="AL1562" s="40" t="s">
        <v>86</v>
      </c>
      <c r="AM1562" s="49">
        <v>38.0</v>
      </c>
      <c r="AN1562" s="51">
        <v>38.0</v>
      </c>
      <c r="AO1562" s="42" t="s">
        <v>175</v>
      </c>
      <c r="AP1562" s="43" t="s">
        <v>175</v>
      </c>
      <c r="AQ1562" s="44" t="str">
        <f t="shared" si="175"/>
        <v>CRO</v>
      </c>
      <c r="AR1562" s="44">
        <f t="shared" si="144"/>
        <v>38</v>
      </c>
      <c r="AS1562" s="44" t="str">
        <f t="shared" si="176"/>
        <v>C</v>
      </c>
      <c r="AT1562" s="44" t="str">
        <f t="shared" si="114"/>
        <v>Cs</v>
      </c>
      <c r="AU1562" s="44" t="str">
        <f t="shared" si="115"/>
        <v>Csa</v>
      </c>
      <c r="AV1562" s="38">
        <v>3.0</v>
      </c>
      <c r="AW1562" s="38">
        <v>1.0</v>
      </c>
      <c r="AX1562" s="38"/>
      <c r="AY1562" s="38"/>
      <c r="AZ1562" s="29">
        <v>30.0</v>
      </c>
      <c r="BA1562" s="29"/>
      <c r="BB1562" s="29">
        <v>1.0</v>
      </c>
      <c r="BC1562" s="29"/>
      <c r="BD1562" s="29" t="s">
        <v>88</v>
      </c>
      <c r="BE1562" s="29"/>
      <c r="BF1562" s="29" t="s">
        <v>2639</v>
      </c>
      <c r="BG1562" s="29" t="s">
        <v>91</v>
      </c>
      <c r="BH1562" s="29" t="s">
        <v>92</v>
      </c>
      <c r="BI1562" s="29" t="s">
        <v>2640</v>
      </c>
      <c r="BJ1562" s="29" t="s">
        <v>2641</v>
      </c>
      <c r="BK1562" s="29" t="s">
        <v>1178</v>
      </c>
      <c r="BL1562" s="29" t="s">
        <v>1178</v>
      </c>
      <c r="BM1562" s="45"/>
      <c r="BN1562" s="45"/>
      <c r="BO1562" s="46"/>
      <c r="BP1562" s="2"/>
      <c r="BQ1562" s="3"/>
    </row>
    <row r="1563" ht="15.75" customHeight="1">
      <c r="A1563" s="34">
        <v>1605.0</v>
      </c>
      <c r="B1563" s="34">
        <v>102268.0</v>
      </c>
      <c r="C1563" s="34" t="s">
        <v>76</v>
      </c>
      <c r="D1563" s="34" t="s">
        <v>2633</v>
      </c>
      <c r="E1563" s="34" t="s">
        <v>2634</v>
      </c>
      <c r="F1563" s="34">
        <v>2020.0</v>
      </c>
      <c r="G1563" s="34" t="s">
        <v>2635</v>
      </c>
      <c r="H1563" s="34" t="s">
        <v>231</v>
      </c>
      <c r="I1563" s="34" t="s">
        <v>2636</v>
      </c>
      <c r="J1563" s="35"/>
      <c r="K1563" s="36">
        <v>0.49</v>
      </c>
      <c r="L1563" s="36">
        <v>2.98</v>
      </c>
      <c r="M1563" s="36"/>
      <c r="N1563" s="36"/>
      <c r="O1563" s="47"/>
      <c r="P1563" s="52">
        <f t="shared" si="182"/>
        <v>16.44295302</v>
      </c>
      <c r="Q1563" s="36" t="s">
        <v>96</v>
      </c>
      <c r="R1563" s="36" t="s">
        <v>182</v>
      </c>
      <c r="S1563" s="36">
        <v>90.0</v>
      </c>
      <c r="T1563" s="36"/>
      <c r="U1563" s="36"/>
      <c r="V1563" s="36">
        <v>83.0</v>
      </c>
      <c r="W1563" s="36"/>
      <c r="X1563" s="38">
        <v>1.0</v>
      </c>
      <c r="Y1563" s="38" t="s">
        <v>170</v>
      </c>
      <c r="Z1563" s="38" t="s">
        <v>171</v>
      </c>
      <c r="AA1563" s="38" t="s">
        <v>86</v>
      </c>
      <c r="AB1563" s="38">
        <v>38.289</v>
      </c>
      <c r="AC1563" s="38">
        <v>-121.118</v>
      </c>
      <c r="AD1563" s="39" t="s">
        <v>87</v>
      </c>
      <c r="AE1563" s="53"/>
      <c r="AF1563" s="38" t="s">
        <v>174</v>
      </c>
      <c r="AG1563" s="38"/>
      <c r="AH1563" s="38">
        <v>5.0</v>
      </c>
      <c r="AI1563" s="50">
        <v>38.289</v>
      </c>
      <c r="AJ1563" s="50">
        <v>-121.118</v>
      </c>
      <c r="AK1563" s="41" t="s">
        <v>86</v>
      </c>
      <c r="AL1563" s="40" t="s">
        <v>86</v>
      </c>
      <c r="AM1563" s="49">
        <v>38.0</v>
      </c>
      <c r="AN1563" s="51">
        <v>38.0</v>
      </c>
      <c r="AO1563" s="42" t="s">
        <v>175</v>
      </c>
      <c r="AP1563" s="43" t="s">
        <v>175</v>
      </c>
      <c r="AQ1563" s="44" t="str">
        <f t="shared" si="175"/>
        <v>CRO</v>
      </c>
      <c r="AR1563" s="44">
        <f t="shared" si="144"/>
        <v>38</v>
      </c>
      <c r="AS1563" s="44" t="str">
        <f t="shared" si="176"/>
        <v>C</v>
      </c>
      <c r="AT1563" s="44" t="str">
        <f t="shared" si="114"/>
        <v>Cs</v>
      </c>
      <c r="AU1563" s="44" t="str">
        <f t="shared" si="115"/>
        <v>Csa</v>
      </c>
      <c r="AV1563" s="38">
        <v>3.0</v>
      </c>
      <c r="AW1563" s="38"/>
      <c r="AX1563" s="38"/>
      <c r="AY1563" s="38"/>
      <c r="AZ1563" s="29">
        <v>30.0</v>
      </c>
      <c r="BA1563" s="29"/>
      <c r="BB1563" s="29">
        <v>1.0</v>
      </c>
      <c r="BC1563" s="29"/>
      <c r="BD1563" s="29" t="s">
        <v>88</v>
      </c>
      <c r="BE1563" s="29"/>
      <c r="BF1563" s="29" t="s">
        <v>2639</v>
      </c>
      <c r="BG1563" s="29" t="s">
        <v>91</v>
      </c>
      <c r="BH1563" s="29" t="s">
        <v>92</v>
      </c>
      <c r="BI1563" s="29" t="s">
        <v>2640</v>
      </c>
      <c r="BJ1563" s="29" t="s">
        <v>2641</v>
      </c>
      <c r="BK1563" s="29" t="s">
        <v>1178</v>
      </c>
      <c r="BL1563" s="29" t="s">
        <v>1178</v>
      </c>
      <c r="BM1563" s="45"/>
      <c r="BN1563" s="45"/>
      <c r="BO1563" s="46"/>
      <c r="BP1563" s="2"/>
      <c r="BQ1563" s="3"/>
    </row>
    <row r="1564" ht="15.75" customHeight="1">
      <c r="A1564" s="34">
        <v>1606.0</v>
      </c>
      <c r="B1564" s="34">
        <v>102268.0</v>
      </c>
      <c r="C1564" s="34" t="s">
        <v>76</v>
      </c>
      <c r="D1564" s="34" t="s">
        <v>2633</v>
      </c>
      <c r="E1564" s="34" t="s">
        <v>2634</v>
      </c>
      <c r="F1564" s="34">
        <v>2020.0</v>
      </c>
      <c r="G1564" s="34" t="s">
        <v>2635</v>
      </c>
      <c r="H1564" s="34" t="s">
        <v>231</v>
      </c>
      <c r="I1564" s="34" t="s">
        <v>2636</v>
      </c>
      <c r="J1564" s="35"/>
      <c r="K1564" s="36"/>
      <c r="L1564" s="36"/>
      <c r="M1564" s="36">
        <v>4.47</v>
      </c>
      <c r="N1564" s="48">
        <f t="shared" ref="N1564:N1565" si="183">M1564*11.57407407</f>
        <v>51.73611109</v>
      </c>
      <c r="O1564" s="47">
        <f>6.3*11.57407407</f>
        <v>72.91666664</v>
      </c>
      <c r="P1564" s="52">
        <f t="shared" ref="P1564:P1565" si="184">N1564/O1564*100</f>
        <v>70.95238095</v>
      </c>
      <c r="Q1564" s="36"/>
      <c r="R1564" s="36" t="s">
        <v>96</v>
      </c>
      <c r="S1564" s="36">
        <v>90.0</v>
      </c>
      <c r="T1564" s="36"/>
      <c r="U1564" s="36"/>
      <c r="V1564" s="36">
        <v>37.0</v>
      </c>
      <c r="W1564" s="36"/>
      <c r="X1564" s="38">
        <v>1.0</v>
      </c>
      <c r="Y1564" s="38" t="s">
        <v>183</v>
      </c>
      <c r="Z1564" s="38" t="s">
        <v>184</v>
      </c>
      <c r="AA1564" s="38" t="s">
        <v>86</v>
      </c>
      <c r="AB1564" s="38">
        <v>38.28</v>
      </c>
      <c r="AC1564" s="38">
        <v>-121.118</v>
      </c>
      <c r="AD1564" s="39" t="s">
        <v>87</v>
      </c>
      <c r="AE1564" s="53"/>
      <c r="AF1564" s="38" t="s">
        <v>174</v>
      </c>
      <c r="AG1564" s="38"/>
      <c r="AH1564" s="38">
        <v>5.0</v>
      </c>
      <c r="AI1564" s="50">
        <v>38.28</v>
      </c>
      <c r="AJ1564" s="50">
        <v>-121.118</v>
      </c>
      <c r="AK1564" s="41" t="s">
        <v>86</v>
      </c>
      <c r="AL1564" s="40" t="s">
        <v>86</v>
      </c>
      <c r="AM1564" s="49">
        <v>40.0</v>
      </c>
      <c r="AN1564" s="51">
        <v>40.0</v>
      </c>
      <c r="AO1564" s="42" t="s">
        <v>175</v>
      </c>
      <c r="AP1564" s="43" t="s">
        <v>175</v>
      </c>
      <c r="AQ1564" s="44" t="str">
        <f t="shared" si="175"/>
        <v>CRO</v>
      </c>
      <c r="AR1564" s="44">
        <f t="shared" si="144"/>
        <v>40</v>
      </c>
      <c r="AS1564" s="44" t="str">
        <f t="shared" si="176"/>
        <v>C</v>
      </c>
      <c r="AT1564" s="44" t="str">
        <f t="shared" si="114"/>
        <v>Cs</v>
      </c>
      <c r="AU1564" s="44" t="str">
        <f t="shared" si="115"/>
        <v>Csa</v>
      </c>
      <c r="AV1564" s="38">
        <v>1.0</v>
      </c>
      <c r="AW1564" s="38">
        <v>1.0</v>
      </c>
      <c r="AX1564" s="38"/>
      <c r="AY1564" s="38"/>
      <c r="AZ1564" s="29">
        <v>30.0</v>
      </c>
      <c r="BA1564" s="29"/>
      <c r="BB1564" s="29">
        <v>1.0</v>
      </c>
      <c r="BC1564" s="29"/>
      <c r="BD1564" s="29" t="s">
        <v>88</v>
      </c>
      <c r="BE1564" s="29"/>
      <c r="BF1564" s="29" t="s">
        <v>2639</v>
      </c>
      <c r="BG1564" s="29" t="s">
        <v>91</v>
      </c>
      <c r="BH1564" s="29" t="s">
        <v>92</v>
      </c>
      <c r="BI1564" s="29" t="s">
        <v>2640</v>
      </c>
      <c r="BJ1564" s="29" t="s">
        <v>2641</v>
      </c>
      <c r="BK1564" s="29" t="s">
        <v>1178</v>
      </c>
      <c r="BL1564" s="29" t="s">
        <v>1178</v>
      </c>
      <c r="BM1564" s="45"/>
      <c r="BN1564" s="45"/>
      <c r="BO1564" s="46"/>
      <c r="BP1564" s="2"/>
      <c r="BQ1564" s="3"/>
    </row>
    <row r="1565" ht="15.75" customHeight="1">
      <c r="A1565" s="34">
        <v>1607.0</v>
      </c>
      <c r="B1565" s="34">
        <v>102268.0</v>
      </c>
      <c r="C1565" s="34" t="s">
        <v>76</v>
      </c>
      <c r="D1565" s="34" t="s">
        <v>2633</v>
      </c>
      <c r="E1565" s="34" t="s">
        <v>2634</v>
      </c>
      <c r="F1565" s="34">
        <v>2020.0</v>
      </c>
      <c r="G1565" s="34" t="s">
        <v>2635</v>
      </c>
      <c r="H1565" s="34" t="s">
        <v>231</v>
      </c>
      <c r="I1565" s="34" t="s">
        <v>2636</v>
      </c>
      <c r="J1565" s="35"/>
      <c r="K1565" s="36"/>
      <c r="L1565" s="36"/>
      <c r="M1565" s="36">
        <v>3.14</v>
      </c>
      <c r="N1565" s="48">
        <f t="shared" si="183"/>
        <v>36.34259258</v>
      </c>
      <c r="O1565" s="47">
        <f>7.75*11.57407407</f>
        <v>89.69907404</v>
      </c>
      <c r="P1565" s="52">
        <f t="shared" si="184"/>
        <v>40.51612903</v>
      </c>
      <c r="Q1565" s="36"/>
      <c r="R1565" s="36" t="s">
        <v>96</v>
      </c>
      <c r="S1565" s="36">
        <v>90.0</v>
      </c>
      <c r="T1565" s="36"/>
      <c r="U1565" s="36"/>
      <c r="V1565" s="36">
        <v>33.0</v>
      </c>
      <c r="W1565" s="36"/>
      <c r="X1565" s="38">
        <v>1.0</v>
      </c>
      <c r="Y1565" s="38" t="s">
        <v>183</v>
      </c>
      <c r="Z1565" s="38" t="s">
        <v>184</v>
      </c>
      <c r="AA1565" s="38" t="s">
        <v>86</v>
      </c>
      <c r="AB1565" s="38">
        <v>38.28</v>
      </c>
      <c r="AC1565" s="38">
        <v>-121.118</v>
      </c>
      <c r="AD1565" s="39" t="s">
        <v>87</v>
      </c>
      <c r="AE1565" s="53"/>
      <c r="AF1565" s="38" t="s">
        <v>174</v>
      </c>
      <c r="AG1565" s="38"/>
      <c r="AH1565" s="38">
        <v>5.0</v>
      </c>
      <c r="AI1565" s="50">
        <v>38.28</v>
      </c>
      <c r="AJ1565" s="50">
        <v>-121.118</v>
      </c>
      <c r="AK1565" s="41" t="s">
        <v>86</v>
      </c>
      <c r="AL1565" s="40" t="s">
        <v>86</v>
      </c>
      <c r="AM1565" s="49">
        <v>40.0</v>
      </c>
      <c r="AN1565" s="51">
        <v>40.0</v>
      </c>
      <c r="AO1565" s="42" t="s">
        <v>175</v>
      </c>
      <c r="AP1565" s="43" t="s">
        <v>175</v>
      </c>
      <c r="AQ1565" s="44" t="str">
        <f t="shared" si="175"/>
        <v>CRO</v>
      </c>
      <c r="AR1565" s="44">
        <f t="shared" si="144"/>
        <v>40</v>
      </c>
      <c r="AS1565" s="44" t="str">
        <f t="shared" si="176"/>
        <v>C</v>
      </c>
      <c r="AT1565" s="44" t="str">
        <f t="shared" si="114"/>
        <v>Cs</v>
      </c>
      <c r="AU1565" s="44" t="str">
        <f t="shared" si="115"/>
        <v>Csa</v>
      </c>
      <c r="AV1565" s="38">
        <v>3.0</v>
      </c>
      <c r="AW1565" s="38">
        <v>1.0</v>
      </c>
      <c r="AX1565" s="38"/>
      <c r="AY1565" s="38"/>
      <c r="AZ1565" s="29">
        <v>30.0</v>
      </c>
      <c r="BA1565" s="29"/>
      <c r="BB1565" s="29">
        <v>1.0</v>
      </c>
      <c r="BC1565" s="29"/>
      <c r="BD1565" s="29" t="s">
        <v>88</v>
      </c>
      <c r="BE1565" s="29"/>
      <c r="BF1565" s="29" t="s">
        <v>2639</v>
      </c>
      <c r="BG1565" s="29" t="s">
        <v>91</v>
      </c>
      <c r="BH1565" s="29" t="s">
        <v>92</v>
      </c>
      <c r="BI1565" s="29" t="s">
        <v>2640</v>
      </c>
      <c r="BJ1565" s="29" t="s">
        <v>2641</v>
      </c>
      <c r="BK1565" s="29" t="s">
        <v>1178</v>
      </c>
      <c r="BL1565" s="29" t="s">
        <v>1178</v>
      </c>
      <c r="BM1565" s="45"/>
      <c r="BN1565" s="45"/>
      <c r="BO1565" s="46"/>
      <c r="BP1565" s="2"/>
      <c r="BQ1565" s="3"/>
    </row>
    <row r="1566" ht="15.75" customHeight="1">
      <c r="A1566" s="34">
        <v>1608.0</v>
      </c>
      <c r="B1566" s="34">
        <v>102268.0</v>
      </c>
      <c r="C1566" s="34" t="s">
        <v>76</v>
      </c>
      <c r="D1566" s="34" t="s">
        <v>2633</v>
      </c>
      <c r="E1566" s="34" t="s">
        <v>2634</v>
      </c>
      <c r="F1566" s="34">
        <v>2020.0</v>
      </c>
      <c r="G1566" s="34" t="s">
        <v>2635</v>
      </c>
      <c r="H1566" s="34" t="s">
        <v>231</v>
      </c>
      <c r="I1566" s="34" t="s">
        <v>2636</v>
      </c>
      <c r="J1566" s="35"/>
      <c r="K1566" s="36">
        <v>1.64</v>
      </c>
      <c r="L1566" s="36">
        <v>2.33</v>
      </c>
      <c r="M1566" s="36"/>
      <c r="N1566" s="36"/>
      <c r="O1566" s="36"/>
      <c r="P1566" s="52">
        <f t="shared" ref="P1566:P1568" si="185">K1566/L1566*100</f>
        <v>70.38626609</v>
      </c>
      <c r="Q1566" s="36" t="s">
        <v>96</v>
      </c>
      <c r="R1566" s="36" t="s">
        <v>96</v>
      </c>
      <c r="S1566" s="36">
        <v>90.0</v>
      </c>
      <c r="T1566" s="36"/>
      <c r="U1566" s="36"/>
      <c r="V1566" s="36">
        <v>404.0</v>
      </c>
      <c r="W1566" s="36"/>
      <c r="X1566" s="38">
        <v>1.0</v>
      </c>
      <c r="Y1566" s="38" t="s">
        <v>183</v>
      </c>
      <c r="Z1566" s="38" t="s">
        <v>184</v>
      </c>
      <c r="AA1566" s="38" t="s">
        <v>86</v>
      </c>
      <c r="AB1566" s="38">
        <v>38.28</v>
      </c>
      <c r="AC1566" s="38">
        <v>-121.118</v>
      </c>
      <c r="AD1566" s="39" t="s">
        <v>87</v>
      </c>
      <c r="AE1566" s="53"/>
      <c r="AF1566" s="38" t="s">
        <v>174</v>
      </c>
      <c r="AG1566" s="38"/>
      <c r="AH1566" s="38">
        <v>5.0</v>
      </c>
      <c r="AI1566" s="50">
        <v>38.28</v>
      </c>
      <c r="AJ1566" s="50">
        <v>-121.118</v>
      </c>
      <c r="AK1566" s="41" t="s">
        <v>86</v>
      </c>
      <c r="AL1566" s="40" t="s">
        <v>86</v>
      </c>
      <c r="AM1566" s="49">
        <v>40.0</v>
      </c>
      <c r="AN1566" s="51">
        <v>40.0</v>
      </c>
      <c r="AO1566" s="42" t="s">
        <v>175</v>
      </c>
      <c r="AP1566" s="43" t="s">
        <v>175</v>
      </c>
      <c r="AQ1566" s="44" t="str">
        <f t="shared" si="175"/>
        <v>CRO</v>
      </c>
      <c r="AR1566" s="44">
        <f t="shared" si="144"/>
        <v>40</v>
      </c>
      <c r="AS1566" s="44" t="str">
        <f t="shared" si="176"/>
        <v>C</v>
      </c>
      <c r="AT1566" s="44" t="str">
        <f t="shared" si="114"/>
        <v>Cs</v>
      </c>
      <c r="AU1566" s="44" t="str">
        <f t="shared" si="115"/>
        <v>Csa</v>
      </c>
      <c r="AV1566" s="38">
        <v>1.0</v>
      </c>
      <c r="AW1566" s="38">
        <v>1.0</v>
      </c>
      <c r="AX1566" s="38"/>
      <c r="AY1566" s="38"/>
      <c r="AZ1566" s="29">
        <v>30.0</v>
      </c>
      <c r="BA1566" s="29"/>
      <c r="BB1566" s="29">
        <v>1.0</v>
      </c>
      <c r="BC1566" s="29"/>
      <c r="BD1566" s="29" t="s">
        <v>88</v>
      </c>
      <c r="BE1566" s="29"/>
      <c r="BF1566" s="29" t="s">
        <v>2639</v>
      </c>
      <c r="BG1566" s="29" t="s">
        <v>91</v>
      </c>
      <c r="BH1566" s="29" t="s">
        <v>92</v>
      </c>
      <c r="BI1566" s="29" t="s">
        <v>2640</v>
      </c>
      <c r="BJ1566" s="29" t="s">
        <v>2641</v>
      </c>
      <c r="BK1566" s="29" t="s">
        <v>1178</v>
      </c>
      <c r="BL1566" s="29" t="s">
        <v>1178</v>
      </c>
      <c r="BM1566" s="45"/>
      <c r="BN1566" s="45"/>
      <c r="BO1566" s="46"/>
      <c r="BP1566" s="2"/>
      <c r="BQ1566" s="3"/>
    </row>
    <row r="1567" ht="15.75" customHeight="1">
      <c r="A1567" s="34">
        <v>1609.0</v>
      </c>
      <c r="B1567" s="34">
        <v>102268.0</v>
      </c>
      <c r="C1567" s="34" t="s">
        <v>76</v>
      </c>
      <c r="D1567" s="34" t="s">
        <v>2633</v>
      </c>
      <c r="E1567" s="34" t="s">
        <v>2634</v>
      </c>
      <c r="F1567" s="34">
        <v>2020.0</v>
      </c>
      <c r="G1567" s="34" t="s">
        <v>2635</v>
      </c>
      <c r="H1567" s="34" t="s">
        <v>231</v>
      </c>
      <c r="I1567" s="34" t="s">
        <v>2636</v>
      </c>
      <c r="J1567" s="35"/>
      <c r="K1567" s="36">
        <v>0.75</v>
      </c>
      <c r="L1567" s="36">
        <v>3.58</v>
      </c>
      <c r="M1567" s="36"/>
      <c r="N1567" s="36"/>
      <c r="O1567" s="36"/>
      <c r="P1567" s="52">
        <f t="shared" si="185"/>
        <v>20.94972067</v>
      </c>
      <c r="Q1567" s="36" t="s">
        <v>96</v>
      </c>
      <c r="R1567" s="36" t="s">
        <v>96</v>
      </c>
      <c r="S1567" s="36">
        <v>90.0</v>
      </c>
      <c r="T1567" s="36"/>
      <c r="U1567" s="36"/>
      <c r="V1567" s="36">
        <v>369.0</v>
      </c>
      <c r="W1567" s="36"/>
      <c r="X1567" s="38">
        <v>1.0</v>
      </c>
      <c r="Y1567" s="38" t="s">
        <v>183</v>
      </c>
      <c r="Z1567" s="38" t="s">
        <v>184</v>
      </c>
      <c r="AA1567" s="38" t="s">
        <v>86</v>
      </c>
      <c r="AB1567" s="38">
        <v>38.28</v>
      </c>
      <c r="AC1567" s="38">
        <v>-121.118</v>
      </c>
      <c r="AD1567" s="39" t="s">
        <v>87</v>
      </c>
      <c r="AE1567" s="53"/>
      <c r="AF1567" s="38" t="s">
        <v>174</v>
      </c>
      <c r="AG1567" s="38"/>
      <c r="AH1567" s="38">
        <v>5.0</v>
      </c>
      <c r="AI1567" s="50">
        <v>38.28</v>
      </c>
      <c r="AJ1567" s="50">
        <v>-121.118</v>
      </c>
      <c r="AK1567" s="41" t="s">
        <v>86</v>
      </c>
      <c r="AL1567" s="40" t="s">
        <v>86</v>
      </c>
      <c r="AM1567" s="49">
        <v>40.0</v>
      </c>
      <c r="AN1567" s="51">
        <v>40.0</v>
      </c>
      <c r="AO1567" s="42" t="s">
        <v>175</v>
      </c>
      <c r="AP1567" s="43" t="s">
        <v>175</v>
      </c>
      <c r="AQ1567" s="44" t="str">
        <f t="shared" si="175"/>
        <v>CRO</v>
      </c>
      <c r="AR1567" s="44">
        <f t="shared" si="144"/>
        <v>40</v>
      </c>
      <c r="AS1567" s="44" t="str">
        <f t="shared" si="176"/>
        <v>C</v>
      </c>
      <c r="AT1567" s="44" t="str">
        <f t="shared" si="114"/>
        <v>Cs</v>
      </c>
      <c r="AU1567" s="44" t="str">
        <f t="shared" si="115"/>
        <v>Csa</v>
      </c>
      <c r="AV1567" s="38">
        <v>3.0</v>
      </c>
      <c r="AW1567" s="38">
        <v>1.0</v>
      </c>
      <c r="AX1567" s="38"/>
      <c r="AY1567" s="38"/>
      <c r="AZ1567" s="29">
        <v>30.0</v>
      </c>
      <c r="BA1567" s="29"/>
      <c r="BB1567" s="29">
        <v>1.0</v>
      </c>
      <c r="BC1567" s="29"/>
      <c r="BD1567" s="29" t="s">
        <v>88</v>
      </c>
      <c r="BE1567" s="29"/>
      <c r="BF1567" s="29" t="s">
        <v>2639</v>
      </c>
      <c r="BG1567" s="29" t="s">
        <v>91</v>
      </c>
      <c r="BH1567" s="29" t="s">
        <v>92</v>
      </c>
      <c r="BI1567" s="29" t="s">
        <v>2640</v>
      </c>
      <c r="BJ1567" s="29" t="s">
        <v>2641</v>
      </c>
      <c r="BK1567" s="29" t="s">
        <v>1178</v>
      </c>
      <c r="BL1567" s="29" t="s">
        <v>1178</v>
      </c>
      <c r="BM1567" s="45"/>
      <c r="BN1567" s="45"/>
      <c r="BO1567" s="46"/>
      <c r="BP1567" s="2"/>
      <c r="BQ1567" s="3"/>
    </row>
    <row r="1568" ht="15.75" customHeight="1">
      <c r="A1568" s="34">
        <v>1610.0</v>
      </c>
      <c r="B1568" s="34">
        <v>102268.0</v>
      </c>
      <c r="C1568" s="34" t="s">
        <v>76</v>
      </c>
      <c r="D1568" s="34" t="s">
        <v>2633</v>
      </c>
      <c r="E1568" s="34" t="s">
        <v>2634</v>
      </c>
      <c r="F1568" s="34">
        <v>2020.0</v>
      </c>
      <c r="G1568" s="34" t="s">
        <v>2635</v>
      </c>
      <c r="H1568" s="34" t="s">
        <v>231</v>
      </c>
      <c r="I1568" s="34" t="s">
        <v>2636</v>
      </c>
      <c r="J1568" s="35"/>
      <c r="K1568" s="36">
        <v>0.67</v>
      </c>
      <c r="L1568" s="36">
        <v>3.3</v>
      </c>
      <c r="M1568" s="36"/>
      <c r="N1568" s="36"/>
      <c r="O1568" s="36"/>
      <c r="P1568" s="52">
        <f t="shared" si="185"/>
        <v>20.3030303</v>
      </c>
      <c r="Q1568" s="36" t="s">
        <v>96</v>
      </c>
      <c r="R1568" s="36" t="s">
        <v>182</v>
      </c>
      <c r="S1568" s="36">
        <v>90.0</v>
      </c>
      <c r="T1568" s="36"/>
      <c r="U1568" s="36"/>
      <c r="V1568" s="36">
        <v>78.0</v>
      </c>
      <c r="W1568" s="36"/>
      <c r="X1568" s="38">
        <v>1.0</v>
      </c>
      <c r="Y1568" s="38" t="s">
        <v>183</v>
      </c>
      <c r="Z1568" s="38" t="s">
        <v>184</v>
      </c>
      <c r="AA1568" s="38" t="s">
        <v>86</v>
      </c>
      <c r="AB1568" s="38">
        <v>38.28</v>
      </c>
      <c r="AC1568" s="38">
        <v>-121.118</v>
      </c>
      <c r="AD1568" s="39" t="s">
        <v>87</v>
      </c>
      <c r="AE1568" s="53"/>
      <c r="AF1568" s="38" t="s">
        <v>174</v>
      </c>
      <c r="AG1568" s="38"/>
      <c r="AH1568" s="38">
        <v>5.0</v>
      </c>
      <c r="AI1568" s="50">
        <v>38.28</v>
      </c>
      <c r="AJ1568" s="50">
        <v>-121.118</v>
      </c>
      <c r="AK1568" s="41" t="s">
        <v>86</v>
      </c>
      <c r="AL1568" s="40" t="s">
        <v>86</v>
      </c>
      <c r="AM1568" s="49">
        <v>40.0</v>
      </c>
      <c r="AN1568" s="51">
        <v>40.0</v>
      </c>
      <c r="AO1568" s="42" t="s">
        <v>175</v>
      </c>
      <c r="AP1568" s="43" t="s">
        <v>175</v>
      </c>
      <c r="AQ1568" s="44" t="str">
        <f t="shared" si="175"/>
        <v>CRO</v>
      </c>
      <c r="AR1568" s="44">
        <f t="shared" si="144"/>
        <v>40</v>
      </c>
      <c r="AS1568" s="44" t="str">
        <f t="shared" si="176"/>
        <v>C</v>
      </c>
      <c r="AT1568" s="44" t="str">
        <f t="shared" si="114"/>
        <v>Cs</v>
      </c>
      <c r="AU1568" s="44" t="str">
        <f t="shared" si="115"/>
        <v>Csa</v>
      </c>
      <c r="AV1568" s="38">
        <v>3.0</v>
      </c>
      <c r="AW1568" s="38"/>
      <c r="AX1568" s="38"/>
      <c r="AY1568" s="38"/>
      <c r="AZ1568" s="29">
        <v>30.0</v>
      </c>
      <c r="BA1568" s="29"/>
      <c r="BB1568" s="29">
        <v>1.0</v>
      </c>
      <c r="BC1568" s="29"/>
      <c r="BD1568" s="29" t="s">
        <v>88</v>
      </c>
      <c r="BE1568" s="29"/>
      <c r="BF1568" s="29" t="s">
        <v>2639</v>
      </c>
      <c r="BG1568" s="29" t="s">
        <v>91</v>
      </c>
      <c r="BH1568" s="29" t="s">
        <v>92</v>
      </c>
      <c r="BI1568" s="29" t="s">
        <v>2640</v>
      </c>
      <c r="BJ1568" s="29" t="s">
        <v>2641</v>
      </c>
      <c r="BK1568" s="29" t="s">
        <v>1178</v>
      </c>
      <c r="BL1568" s="29" t="s">
        <v>1178</v>
      </c>
      <c r="BM1568" s="45"/>
      <c r="BN1568" s="45"/>
      <c r="BO1568" s="46"/>
      <c r="BP1568" s="2"/>
      <c r="BQ1568" s="3"/>
    </row>
    <row r="1569" ht="15.75" customHeight="1">
      <c r="A1569" s="34">
        <v>1611.0</v>
      </c>
      <c r="B1569" s="34">
        <v>102268.0</v>
      </c>
      <c r="C1569" s="34" t="s">
        <v>76</v>
      </c>
      <c r="D1569" s="34" t="s">
        <v>2633</v>
      </c>
      <c r="E1569" s="34" t="s">
        <v>2634</v>
      </c>
      <c r="F1569" s="34">
        <v>2020.0</v>
      </c>
      <c r="G1569" s="34" t="s">
        <v>2635</v>
      </c>
      <c r="H1569" s="34" t="s">
        <v>231</v>
      </c>
      <c r="I1569" s="34" t="s">
        <v>2636</v>
      </c>
      <c r="J1569" s="35"/>
      <c r="K1569" s="36"/>
      <c r="L1569" s="36"/>
      <c r="M1569" s="36">
        <v>1.46</v>
      </c>
      <c r="N1569" s="48">
        <f t="shared" ref="N1569:N1570" si="186">M1569*11.57407407</f>
        <v>16.89814814</v>
      </c>
      <c r="O1569" s="47">
        <f>9.69*11.57407407</f>
        <v>112.1527777</v>
      </c>
      <c r="P1569" s="52">
        <f t="shared" ref="P1569:P1570" si="187">N1569/O1569*100</f>
        <v>15.06707946</v>
      </c>
      <c r="Q1569" s="36"/>
      <c r="R1569" s="36" t="s">
        <v>96</v>
      </c>
      <c r="S1569" s="36">
        <v>90.0</v>
      </c>
      <c r="T1569" s="36"/>
      <c r="U1569" s="36"/>
      <c r="V1569" s="36">
        <v>41.0</v>
      </c>
      <c r="W1569" s="36"/>
      <c r="X1569" s="38">
        <v>1.0</v>
      </c>
      <c r="Y1569" s="38" t="s">
        <v>2642</v>
      </c>
      <c r="Z1569" s="38" t="s">
        <v>2643</v>
      </c>
      <c r="AA1569" s="38" t="s">
        <v>86</v>
      </c>
      <c r="AB1569" s="38">
        <v>36.839</v>
      </c>
      <c r="AC1569" s="38">
        <v>-120.21</v>
      </c>
      <c r="AD1569" s="39" t="s">
        <v>87</v>
      </c>
      <c r="AE1569" s="38"/>
      <c r="AF1569" s="38" t="s">
        <v>174</v>
      </c>
      <c r="AG1569" s="38"/>
      <c r="AH1569" s="38">
        <v>5.0</v>
      </c>
      <c r="AI1569" s="50">
        <v>36.839</v>
      </c>
      <c r="AJ1569" s="50">
        <v>-120.21</v>
      </c>
      <c r="AK1569" s="41" t="s">
        <v>86</v>
      </c>
      <c r="AL1569" s="40" t="s">
        <v>86</v>
      </c>
      <c r="AM1569" s="49">
        <v>60.0</v>
      </c>
      <c r="AN1569" s="51">
        <v>60.0</v>
      </c>
      <c r="AO1569" s="42" t="s">
        <v>304</v>
      </c>
      <c r="AP1569" s="43" t="s">
        <v>304</v>
      </c>
      <c r="AQ1569" s="44" t="str">
        <f t="shared" si="175"/>
        <v>CRO</v>
      </c>
      <c r="AR1569" s="44">
        <f t="shared" si="144"/>
        <v>60</v>
      </c>
      <c r="AS1569" s="44" t="str">
        <f t="shared" si="176"/>
        <v>B</v>
      </c>
      <c r="AT1569" s="44" t="str">
        <f t="shared" si="114"/>
        <v>BS</v>
      </c>
      <c r="AU1569" s="44" t="str">
        <f t="shared" si="115"/>
        <v>BSh</v>
      </c>
      <c r="AV1569" s="38">
        <v>1.0</v>
      </c>
      <c r="AW1569" s="38">
        <v>1.0</v>
      </c>
      <c r="AX1569" s="38"/>
      <c r="AY1569" s="38"/>
      <c r="AZ1569" s="29">
        <v>30.0</v>
      </c>
      <c r="BA1569" s="29"/>
      <c r="BB1569" s="29">
        <v>1.0</v>
      </c>
      <c r="BC1569" s="29"/>
      <c r="BD1569" s="29" t="s">
        <v>88</v>
      </c>
      <c r="BE1569" s="29"/>
      <c r="BF1569" s="29" t="s">
        <v>2639</v>
      </c>
      <c r="BG1569" s="29" t="s">
        <v>91</v>
      </c>
      <c r="BH1569" s="29" t="s">
        <v>92</v>
      </c>
      <c r="BI1569" s="29" t="s">
        <v>2640</v>
      </c>
      <c r="BJ1569" s="29" t="s">
        <v>2641</v>
      </c>
      <c r="BK1569" s="29" t="s">
        <v>1178</v>
      </c>
      <c r="BL1569" s="29" t="s">
        <v>1178</v>
      </c>
      <c r="BM1569" s="45"/>
      <c r="BN1569" s="45"/>
      <c r="BO1569" s="46"/>
      <c r="BP1569" s="2"/>
      <c r="BQ1569" s="3"/>
    </row>
    <row r="1570" ht="15.75" customHeight="1">
      <c r="A1570" s="34">
        <v>1612.0</v>
      </c>
      <c r="B1570" s="34">
        <v>102268.0</v>
      </c>
      <c r="C1570" s="34" t="s">
        <v>76</v>
      </c>
      <c r="D1570" s="34" t="s">
        <v>2633</v>
      </c>
      <c r="E1570" s="34" t="s">
        <v>2634</v>
      </c>
      <c r="F1570" s="34">
        <v>2020.0</v>
      </c>
      <c r="G1570" s="34" t="s">
        <v>2635</v>
      </c>
      <c r="H1570" s="34" t="s">
        <v>231</v>
      </c>
      <c r="I1570" s="34" t="s">
        <v>2636</v>
      </c>
      <c r="J1570" s="35"/>
      <c r="K1570" s="36"/>
      <c r="L1570" s="36"/>
      <c r="M1570" s="36">
        <v>2.05</v>
      </c>
      <c r="N1570" s="48">
        <f t="shared" si="186"/>
        <v>23.72685184</v>
      </c>
      <c r="O1570" s="47">
        <f>13*11.57407407</f>
        <v>150.4629629</v>
      </c>
      <c r="P1570" s="52">
        <f t="shared" si="187"/>
        <v>15.76923077</v>
      </c>
      <c r="Q1570" s="36"/>
      <c r="R1570" s="36" t="s">
        <v>96</v>
      </c>
      <c r="S1570" s="36">
        <v>90.0</v>
      </c>
      <c r="T1570" s="36"/>
      <c r="U1570" s="36"/>
      <c r="V1570" s="36">
        <v>28.0</v>
      </c>
      <c r="W1570" s="36"/>
      <c r="X1570" s="38">
        <v>1.0</v>
      </c>
      <c r="Y1570" s="38" t="s">
        <v>2642</v>
      </c>
      <c r="Z1570" s="38" t="s">
        <v>2643</v>
      </c>
      <c r="AA1570" s="38" t="s">
        <v>86</v>
      </c>
      <c r="AB1570" s="38">
        <v>36.839</v>
      </c>
      <c r="AC1570" s="38">
        <v>-120.21</v>
      </c>
      <c r="AD1570" s="39" t="s">
        <v>87</v>
      </c>
      <c r="AE1570" s="38"/>
      <c r="AF1570" s="38" t="s">
        <v>174</v>
      </c>
      <c r="AG1570" s="38"/>
      <c r="AH1570" s="38">
        <v>5.0</v>
      </c>
      <c r="AI1570" s="50">
        <v>36.839</v>
      </c>
      <c r="AJ1570" s="50">
        <v>-120.21</v>
      </c>
      <c r="AK1570" s="41" t="s">
        <v>86</v>
      </c>
      <c r="AL1570" s="40" t="s">
        <v>86</v>
      </c>
      <c r="AM1570" s="49">
        <v>60.0</v>
      </c>
      <c r="AN1570" s="51">
        <v>60.0</v>
      </c>
      <c r="AO1570" s="42" t="s">
        <v>304</v>
      </c>
      <c r="AP1570" s="43" t="s">
        <v>304</v>
      </c>
      <c r="AQ1570" s="44" t="str">
        <f t="shared" si="175"/>
        <v>CRO</v>
      </c>
      <c r="AR1570" s="44">
        <f t="shared" si="144"/>
        <v>60</v>
      </c>
      <c r="AS1570" s="44" t="str">
        <f t="shared" si="176"/>
        <v>B</v>
      </c>
      <c r="AT1570" s="44" t="str">
        <f t="shared" si="114"/>
        <v>BS</v>
      </c>
      <c r="AU1570" s="44" t="str">
        <f t="shared" si="115"/>
        <v>BSh</v>
      </c>
      <c r="AV1570" s="38">
        <v>3.0</v>
      </c>
      <c r="AW1570" s="38">
        <v>1.0</v>
      </c>
      <c r="AX1570" s="38"/>
      <c r="AY1570" s="38"/>
      <c r="AZ1570" s="29">
        <v>30.0</v>
      </c>
      <c r="BA1570" s="29"/>
      <c r="BB1570" s="29">
        <v>1.0</v>
      </c>
      <c r="BC1570" s="29"/>
      <c r="BD1570" s="29" t="s">
        <v>88</v>
      </c>
      <c r="BE1570" s="29"/>
      <c r="BF1570" s="29" t="s">
        <v>2639</v>
      </c>
      <c r="BG1570" s="29" t="s">
        <v>91</v>
      </c>
      <c r="BH1570" s="29" t="s">
        <v>92</v>
      </c>
      <c r="BI1570" s="29" t="s">
        <v>2640</v>
      </c>
      <c r="BJ1570" s="29" t="s">
        <v>2641</v>
      </c>
      <c r="BK1570" s="29" t="s">
        <v>1178</v>
      </c>
      <c r="BL1570" s="29" t="s">
        <v>1178</v>
      </c>
      <c r="BM1570" s="45"/>
      <c r="BN1570" s="45"/>
      <c r="BO1570" s="46"/>
      <c r="BP1570" s="2"/>
      <c r="BQ1570" s="3"/>
    </row>
    <row r="1571" ht="15.75" customHeight="1">
      <c r="A1571" s="34">
        <v>1613.0</v>
      </c>
      <c r="B1571" s="34">
        <v>102268.0</v>
      </c>
      <c r="C1571" s="34" t="s">
        <v>76</v>
      </c>
      <c r="D1571" s="34" t="s">
        <v>2633</v>
      </c>
      <c r="E1571" s="34" t="s">
        <v>2634</v>
      </c>
      <c r="F1571" s="34">
        <v>2020.0</v>
      </c>
      <c r="G1571" s="34" t="s">
        <v>2635</v>
      </c>
      <c r="H1571" s="34" t="s">
        <v>231</v>
      </c>
      <c r="I1571" s="34" t="s">
        <v>2636</v>
      </c>
      <c r="J1571" s="35"/>
      <c r="K1571" s="36">
        <v>0.62</v>
      </c>
      <c r="L1571" s="36">
        <v>3.64</v>
      </c>
      <c r="M1571" s="36"/>
      <c r="N1571" s="36"/>
      <c r="O1571" s="36"/>
      <c r="P1571" s="52">
        <f t="shared" ref="P1571:P1599" si="188">K1571/L1571*100</f>
        <v>17.03296703</v>
      </c>
      <c r="Q1571" s="36" t="s">
        <v>96</v>
      </c>
      <c r="R1571" s="36" t="s">
        <v>96</v>
      </c>
      <c r="S1571" s="36">
        <v>90.0</v>
      </c>
      <c r="T1571" s="36"/>
      <c r="U1571" s="36"/>
      <c r="V1571" s="36">
        <v>398.0</v>
      </c>
      <c r="W1571" s="36"/>
      <c r="X1571" s="38">
        <v>1.0</v>
      </c>
      <c r="Y1571" s="38" t="s">
        <v>2642</v>
      </c>
      <c r="Z1571" s="38" t="s">
        <v>2643</v>
      </c>
      <c r="AA1571" s="38" t="s">
        <v>86</v>
      </c>
      <c r="AB1571" s="38">
        <v>36.839</v>
      </c>
      <c r="AC1571" s="38">
        <v>-120.21</v>
      </c>
      <c r="AD1571" s="39" t="s">
        <v>87</v>
      </c>
      <c r="AE1571" s="38"/>
      <c r="AF1571" s="38" t="s">
        <v>174</v>
      </c>
      <c r="AG1571" s="38"/>
      <c r="AH1571" s="38">
        <v>5.0</v>
      </c>
      <c r="AI1571" s="50">
        <v>36.839</v>
      </c>
      <c r="AJ1571" s="50">
        <v>-120.21</v>
      </c>
      <c r="AK1571" s="41" t="s">
        <v>86</v>
      </c>
      <c r="AL1571" s="40" t="s">
        <v>86</v>
      </c>
      <c r="AM1571" s="49">
        <v>60.0</v>
      </c>
      <c r="AN1571" s="51">
        <v>60.0</v>
      </c>
      <c r="AO1571" s="42" t="s">
        <v>304</v>
      </c>
      <c r="AP1571" s="43" t="s">
        <v>304</v>
      </c>
      <c r="AQ1571" s="44" t="str">
        <f t="shared" si="175"/>
        <v>CRO</v>
      </c>
      <c r="AR1571" s="44">
        <f t="shared" si="144"/>
        <v>60</v>
      </c>
      <c r="AS1571" s="44" t="str">
        <f t="shared" si="176"/>
        <v>B</v>
      </c>
      <c r="AT1571" s="44" t="str">
        <f t="shared" si="114"/>
        <v>BS</v>
      </c>
      <c r="AU1571" s="44" t="str">
        <f t="shared" si="115"/>
        <v>BSh</v>
      </c>
      <c r="AV1571" s="38">
        <v>1.0</v>
      </c>
      <c r="AW1571" s="38">
        <v>1.0</v>
      </c>
      <c r="AX1571" s="38"/>
      <c r="AY1571" s="38"/>
      <c r="AZ1571" s="29">
        <v>30.0</v>
      </c>
      <c r="BA1571" s="29"/>
      <c r="BB1571" s="29">
        <v>1.0</v>
      </c>
      <c r="BC1571" s="29"/>
      <c r="BD1571" s="29" t="s">
        <v>88</v>
      </c>
      <c r="BE1571" s="29"/>
      <c r="BF1571" s="29" t="s">
        <v>2639</v>
      </c>
      <c r="BG1571" s="29" t="s">
        <v>91</v>
      </c>
      <c r="BH1571" s="29" t="s">
        <v>92</v>
      </c>
      <c r="BI1571" s="29" t="s">
        <v>2640</v>
      </c>
      <c r="BJ1571" s="29" t="s">
        <v>2641</v>
      </c>
      <c r="BK1571" s="29" t="s">
        <v>1178</v>
      </c>
      <c r="BL1571" s="29" t="s">
        <v>1178</v>
      </c>
      <c r="BM1571" s="45"/>
      <c r="BN1571" s="45"/>
      <c r="BO1571" s="46"/>
      <c r="BP1571" s="2"/>
      <c r="BQ1571" s="3"/>
    </row>
    <row r="1572" ht="15.75" customHeight="1">
      <c r="A1572" s="34">
        <v>1614.0</v>
      </c>
      <c r="B1572" s="34">
        <v>102268.0</v>
      </c>
      <c r="C1572" s="34" t="s">
        <v>76</v>
      </c>
      <c r="D1572" s="34" t="s">
        <v>2633</v>
      </c>
      <c r="E1572" s="34" t="s">
        <v>2634</v>
      </c>
      <c r="F1572" s="34">
        <v>2020.0</v>
      </c>
      <c r="G1572" s="34" t="s">
        <v>2635</v>
      </c>
      <c r="H1572" s="34" t="s">
        <v>231</v>
      </c>
      <c r="I1572" s="34" t="s">
        <v>2636</v>
      </c>
      <c r="J1572" s="35"/>
      <c r="K1572" s="36">
        <v>0.8</v>
      </c>
      <c r="L1572" s="36">
        <v>4.85</v>
      </c>
      <c r="M1572" s="36"/>
      <c r="N1572" s="36"/>
      <c r="O1572" s="36"/>
      <c r="P1572" s="52">
        <f t="shared" si="188"/>
        <v>16.49484536</v>
      </c>
      <c r="Q1572" s="36" t="s">
        <v>96</v>
      </c>
      <c r="R1572" s="36" t="s">
        <v>96</v>
      </c>
      <c r="S1572" s="36">
        <v>90.0</v>
      </c>
      <c r="T1572" s="36"/>
      <c r="U1572" s="36"/>
      <c r="V1572" s="36">
        <v>277.0</v>
      </c>
      <c r="W1572" s="36"/>
      <c r="X1572" s="38">
        <v>1.0</v>
      </c>
      <c r="Y1572" s="38" t="s">
        <v>2642</v>
      </c>
      <c r="Z1572" s="38" t="s">
        <v>2643</v>
      </c>
      <c r="AA1572" s="38" t="s">
        <v>86</v>
      </c>
      <c r="AB1572" s="38">
        <v>36.839</v>
      </c>
      <c r="AC1572" s="38">
        <v>-120.21</v>
      </c>
      <c r="AD1572" s="39" t="s">
        <v>87</v>
      </c>
      <c r="AE1572" s="38"/>
      <c r="AF1572" s="38" t="s">
        <v>174</v>
      </c>
      <c r="AG1572" s="38"/>
      <c r="AH1572" s="38">
        <v>5.0</v>
      </c>
      <c r="AI1572" s="50">
        <v>36.839</v>
      </c>
      <c r="AJ1572" s="50">
        <v>-120.21</v>
      </c>
      <c r="AK1572" s="41" t="s">
        <v>86</v>
      </c>
      <c r="AL1572" s="40" t="s">
        <v>86</v>
      </c>
      <c r="AM1572" s="49">
        <v>60.0</v>
      </c>
      <c r="AN1572" s="51">
        <v>60.0</v>
      </c>
      <c r="AO1572" s="42" t="s">
        <v>304</v>
      </c>
      <c r="AP1572" s="43" t="s">
        <v>304</v>
      </c>
      <c r="AQ1572" s="44" t="str">
        <f t="shared" si="175"/>
        <v>CRO</v>
      </c>
      <c r="AR1572" s="44">
        <f t="shared" si="144"/>
        <v>60</v>
      </c>
      <c r="AS1572" s="44" t="str">
        <f t="shared" si="176"/>
        <v>B</v>
      </c>
      <c r="AT1572" s="44" t="str">
        <f t="shared" si="114"/>
        <v>BS</v>
      </c>
      <c r="AU1572" s="44" t="str">
        <f t="shared" si="115"/>
        <v>BSh</v>
      </c>
      <c r="AV1572" s="38">
        <v>3.0</v>
      </c>
      <c r="AW1572" s="38">
        <v>1.0</v>
      </c>
      <c r="AX1572" s="38"/>
      <c r="AY1572" s="38"/>
      <c r="AZ1572" s="29">
        <v>30.0</v>
      </c>
      <c r="BA1572" s="29"/>
      <c r="BB1572" s="29">
        <v>1.0</v>
      </c>
      <c r="BC1572" s="29"/>
      <c r="BD1572" s="29" t="s">
        <v>88</v>
      </c>
      <c r="BE1572" s="29"/>
      <c r="BF1572" s="29" t="s">
        <v>2639</v>
      </c>
      <c r="BG1572" s="29" t="s">
        <v>91</v>
      </c>
      <c r="BH1572" s="29" t="s">
        <v>92</v>
      </c>
      <c r="BI1572" s="29" t="s">
        <v>2640</v>
      </c>
      <c r="BJ1572" s="29" t="s">
        <v>2641</v>
      </c>
      <c r="BK1572" s="29" t="s">
        <v>1178</v>
      </c>
      <c r="BL1572" s="29" t="s">
        <v>1178</v>
      </c>
      <c r="BM1572" s="45"/>
      <c r="BN1572" s="45"/>
      <c r="BO1572" s="46"/>
      <c r="BP1572" s="2"/>
      <c r="BQ1572" s="3"/>
    </row>
    <row r="1573" ht="15.75" customHeight="1">
      <c r="A1573" s="34">
        <v>1615.0</v>
      </c>
      <c r="B1573" s="34">
        <v>102268.0</v>
      </c>
      <c r="C1573" s="34" t="s">
        <v>76</v>
      </c>
      <c r="D1573" s="34" t="s">
        <v>2633</v>
      </c>
      <c r="E1573" s="34" t="s">
        <v>2634</v>
      </c>
      <c r="F1573" s="34">
        <v>2020.0</v>
      </c>
      <c r="G1573" s="34" t="s">
        <v>2635</v>
      </c>
      <c r="H1573" s="34" t="s">
        <v>231</v>
      </c>
      <c r="I1573" s="34" t="s">
        <v>2636</v>
      </c>
      <c r="J1573" s="35"/>
      <c r="K1573" s="36">
        <v>0.63</v>
      </c>
      <c r="L1573" s="36">
        <v>4.0</v>
      </c>
      <c r="M1573" s="36"/>
      <c r="N1573" s="36"/>
      <c r="O1573" s="36"/>
      <c r="P1573" s="52">
        <f t="shared" si="188"/>
        <v>15.75</v>
      </c>
      <c r="Q1573" s="36" t="s">
        <v>96</v>
      </c>
      <c r="R1573" s="36" t="s">
        <v>182</v>
      </c>
      <c r="S1573" s="36">
        <v>90.0</v>
      </c>
      <c r="T1573" s="36"/>
      <c r="U1573" s="36"/>
      <c r="V1573" s="36">
        <v>51.0</v>
      </c>
      <c r="W1573" s="36"/>
      <c r="X1573" s="38">
        <v>1.0</v>
      </c>
      <c r="Y1573" s="38" t="s">
        <v>2642</v>
      </c>
      <c r="Z1573" s="38" t="s">
        <v>2643</v>
      </c>
      <c r="AA1573" s="38" t="s">
        <v>86</v>
      </c>
      <c r="AB1573" s="38">
        <v>36.839</v>
      </c>
      <c r="AC1573" s="38">
        <v>-120.21</v>
      </c>
      <c r="AD1573" s="39" t="s">
        <v>87</v>
      </c>
      <c r="AE1573" s="38"/>
      <c r="AF1573" s="38" t="s">
        <v>174</v>
      </c>
      <c r="AG1573" s="38"/>
      <c r="AH1573" s="38">
        <v>5.0</v>
      </c>
      <c r="AI1573" s="50">
        <v>36.839</v>
      </c>
      <c r="AJ1573" s="50">
        <v>-120.21</v>
      </c>
      <c r="AK1573" s="41" t="s">
        <v>86</v>
      </c>
      <c r="AL1573" s="40" t="s">
        <v>86</v>
      </c>
      <c r="AM1573" s="49">
        <v>60.0</v>
      </c>
      <c r="AN1573" s="51">
        <v>60.0</v>
      </c>
      <c r="AO1573" s="42" t="s">
        <v>304</v>
      </c>
      <c r="AP1573" s="43" t="s">
        <v>304</v>
      </c>
      <c r="AQ1573" s="44" t="str">
        <f t="shared" si="175"/>
        <v>CRO</v>
      </c>
      <c r="AR1573" s="44">
        <f t="shared" si="144"/>
        <v>60</v>
      </c>
      <c r="AS1573" s="44" t="str">
        <f t="shared" si="176"/>
        <v>B</v>
      </c>
      <c r="AT1573" s="44" t="str">
        <f t="shared" si="114"/>
        <v>BS</v>
      </c>
      <c r="AU1573" s="44" t="str">
        <f t="shared" si="115"/>
        <v>BSh</v>
      </c>
      <c r="AV1573" s="38">
        <v>3.0</v>
      </c>
      <c r="AW1573" s="38"/>
      <c r="AX1573" s="38"/>
      <c r="AY1573" s="38"/>
      <c r="AZ1573" s="29">
        <v>30.0</v>
      </c>
      <c r="BA1573" s="29"/>
      <c r="BB1573" s="29">
        <v>1.0</v>
      </c>
      <c r="BC1573" s="29"/>
      <c r="BD1573" s="29" t="s">
        <v>88</v>
      </c>
      <c r="BE1573" s="29"/>
      <c r="BF1573" s="29" t="s">
        <v>2639</v>
      </c>
      <c r="BG1573" s="29" t="s">
        <v>91</v>
      </c>
      <c r="BH1573" s="29" t="s">
        <v>92</v>
      </c>
      <c r="BI1573" s="29" t="s">
        <v>2640</v>
      </c>
      <c r="BJ1573" s="29" t="s">
        <v>2641</v>
      </c>
      <c r="BK1573" s="29" t="s">
        <v>1178</v>
      </c>
      <c r="BL1573" s="29" t="s">
        <v>1178</v>
      </c>
      <c r="BM1573" s="45"/>
      <c r="BN1573" s="45"/>
      <c r="BO1573" s="46"/>
      <c r="BP1573" s="2"/>
      <c r="BQ1573" s="3"/>
    </row>
    <row r="1574" ht="15.75" customHeight="1">
      <c r="A1574" s="34">
        <v>1616.0</v>
      </c>
      <c r="B1574" s="34">
        <v>104065.0</v>
      </c>
      <c r="C1574" s="34" t="s">
        <v>76</v>
      </c>
      <c r="D1574" s="34" t="s">
        <v>2644</v>
      </c>
      <c r="E1574" s="34" t="s">
        <v>2645</v>
      </c>
      <c r="F1574" s="34">
        <v>2021.0</v>
      </c>
      <c r="G1574" s="34" t="s">
        <v>2646</v>
      </c>
      <c r="H1574" s="34" t="s">
        <v>231</v>
      </c>
      <c r="I1574" s="34" t="s">
        <v>2647</v>
      </c>
      <c r="J1574" s="35"/>
      <c r="K1574" s="36">
        <v>-1.2</v>
      </c>
      <c r="L1574" s="36">
        <v>2.0</v>
      </c>
      <c r="M1574" s="36"/>
      <c r="N1574" s="36"/>
      <c r="O1574" s="36"/>
      <c r="P1574" s="37">
        <f t="shared" si="188"/>
        <v>-60</v>
      </c>
      <c r="Q1574" s="36" t="s">
        <v>96</v>
      </c>
      <c r="R1574" s="36" t="s">
        <v>96</v>
      </c>
      <c r="S1574" s="36">
        <v>1000.0</v>
      </c>
      <c r="T1574" s="36"/>
      <c r="U1574" s="36"/>
      <c r="V1574" s="36"/>
      <c r="W1574" s="36"/>
      <c r="X1574" s="38">
        <v>1.0</v>
      </c>
      <c r="Y1574" s="38" t="s">
        <v>1256</v>
      </c>
      <c r="Z1574" s="38" t="s">
        <v>1256</v>
      </c>
      <c r="AA1574" s="38" t="s">
        <v>288</v>
      </c>
      <c r="AB1574" s="38">
        <v>38.05</v>
      </c>
      <c r="AC1574" s="38">
        <v>100.46</v>
      </c>
      <c r="AD1574" s="38" t="s">
        <v>198</v>
      </c>
      <c r="AE1574" s="38">
        <v>3033.0</v>
      </c>
      <c r="AF1574" s="38" t="s">
        <v>1259</v>
      </c>
      <c r="AG1574" s="38"/>
      <c r="AH1574" s="38"/>
      <c r="AI1574" s="50">
        <v>38.04</v>
      </c>
      <c r="AJ1574" s="50">
        <v>100.46</v>
      </c>
      <c r="AK1574" s="41" t="s">
        <v>288</v>
      </c>
      <c r="AL1574" s="40" t="s">
        <v>288</v>
      </c>
      <c r="AM1574" s="49">
        <v>3028.0</v>
      </c>
      <c r="AN1574" s="51">
        <v>3028.0</v>
      </c>
      <c r="AO1574" s="42" t="s">
        <v>597</v>
      </c>
      <c r="AP1574" s="43" t="s">
        <v>597</v>
      </c>
      <c r="AQ1574" s="44" t="str">
        <f t="shared" si="175"/>
        <v>GRA</v>
      </c>
      <c r="AR1574" s="44">
        <f t="shared" si="144"/>
        <v>3028</v>
      </c>
      <c r="AS1574" s="44" t="str">
        <f t="shared" si="176"/>
        <v>D</v>
      </c>
      <c r="AT1574" s="44" t="str">
        <f t="shared" si="114"/>
        <v>Dw</v>
      </c>
      <c r="AU1574" s="44" t="str">
        <f t="shared" si="115"/>
        <v>Dwc</v>
      </c>
      <c r="AV1574" s="38"/>
      <c r="AW1574" s="38"/>
      <c r="AX1574" s="38"/>
      <c r="AY1574" s="38"/>
      <c r="AZ1574" s="29"/>
      <c r="BA1574" s="29"/>
      <c r="BB1574" s="29">
        <v>1.0</v>
      </c>
      <c r="BC1574" s="29"/>
      <c r="BD1574" s="29"/>
      <c r="BE1574" s="29"/>
      <c r="BF1574" s="29" t="s">
        <v>2648</v>
      </c>
      <c r="BG1574" s="29" t="s">
        <v>738</v>
      </c>
      <c r="BH1574" s="29"/>
      <c r="BI1574" s="29"/>
      <c r="BJ1574" s="29"/>
      <c r="BK1574" s="29"/>
      <c r="BL1574" s="29"/>
      <c r="BM1574" s="45">
        <v>1.0</v>
      </c>
      <c r="BN1574" s="45"/>
      <c r="BO1574" s="46" t="s">
        <v>2649</v>
      </c>
      <c r="BP1574" s="2" t="s">
        <v>682</v>
      </c>
      <c r="BQ1574" s="3"/>
    </row>
    <row r="1575" ht="15.75" customHeight="1">
      <c r="A1575" s="34">
        <v>1617.0</v>
      </c>
      <c r="B1575" s="34">
        <v>104065.0</v>
      </c>
      <c r="C1575" s="34" t="s">
        <v>76</v>
      </c>
      <c r="D1575" s="34" t="s">
        <v>2644</v>
      </c>
      <c r="E1575" s="34" t="s">
        <v>2645</v>
      </c>
      <c r="F1575" s="34">
        <v>2021.0</v>
      </c>
      <c r="G1575" s="34" t="s">
        <v>2646</v>
      </c>
      <c r="H1575" s="34" t="s">
        <v>231</v>
      </c>
      <c r="I1575" s="34" t="s">
        <v>2647</v>
      </c>
      <c r="J1575" s="35"/>
      <c r="K1575" s="36">
        <v>0.6</v>
      </c>
      <c r="L1575" s="36">
        <v>2.0</v>
      </c>
      <c r="M1575" s="36"/>
      <c r="N1575" s="36"/>
      <c r="O1575" s="36"/>
      <c r="P1575" s="37">
        <f t="shared" si="188"/>
        <v>30</v>
      </c>
      <c r="Q1575" s="36" t="s">
        <v>96</v>
      </c>
      <c r="R1575" s="36" t="s">
        <v>96</v>
      </c>
      <c r="S1575" s="36">
        <v>1000.0</v>
      </c>
      <c r="T1575" s="36"/>
      <c r="U1575" s="36"/>
      <c r="V1575" s="36"/>
      <c r="W1575" s="36"/>
      <c r="X1575" s="38">
        <v>1.0</v>
      </c>
      <c r="Y1575" s="38" t="s">
        <v>1256</v>
      </c>
      <c r="Z1575" s="38" t="s">
        <v>1256</v>
      </c>
      <c r="AA1575" s="38" t="s">
        <v>288</v>
      </c>
      <c r="AB1575" s="38">
        <v>38.05</v>
      </c>
      <c r="AC1575" s="38">
        <v>100.46</v>
      </c>
      <c r="AD1575" s="38" t="s">
        <v>198</v>
      </c>
      <c r="AE1575" s="38">
        <v>3033.0</v>
      </c>
      <c r="AF1575" s="38" t="s">
        <v>1259</v>
      </c>
      <c r="AG1575" s="38"/>
      <c r="AH1575" s="38"/>
      <c r="AI1575" s="50">
        <v>38.04</v>
      </c>
      <c r="AJ1575" s="50">
        <v>100.46</v>
      </c>
      <c r="AK1575" s="41" t="s">
        <v>288</v>
      </c>
      <c r="AL1575" s="40" t="s">
        <v>288</v>
      </c>
      <c r="AM1575" s="49">
        <v>3028.0</v>
      </c>
      <c r="AN1575" s="51">
        <v>3028.0</v>
      </c>
      <c r="AO1575" s="42" t="s">
        <v>597</v>
      </c>
      <c r="AP1575" s="43" t="s">
        <v>597</v>
      </c>
      <c r="AQ1575" s="44" t="str">
        <f t="shared" si="175"/>
        <v>GRA</v>
      </c>
      <c r="AR1575" s="44">
        <f t="shared" si="144"/>
        <v>3028</v>
      </c>
      <c r="AS1575" s="44" t="str">
        <f t="shared" si="176"/>
        <v>D</v>
      </c>
      <c r="AT1575" s="44" t="str">
        <f t="shared" si="114"/>
        <v>Dw</v>
      </c>
      <c r="AU1575" s="44" t="str">
        <f t="shared" si="115"/>
        <v>Dwc</v>
      </c>
      <c r="AV1575" s="38"/>
      <c r="AW1575" s="38"/>
      <c r="AX1575" s="38"/>
      <c r="AY1575" s="38"/>
      <c r="AZ1575" s="29"/>
      <c r="BA1575" s="29"/>
      <c r="BB1575" s="29">
        <v>1.0</v>
      </c>
      <c r="BC1575" s="29"/>
      <c r="BD1575" s="29"/>
      <c r="BE1575" s="29"/>
      <c r="BF1575" s="29" t="s">
        <v>2650</v>
      </c>
      <c r="BG1575" s="29" t="s">
        <v>572</v>
      </c>
      <c r="BH1575" s="29"/>
      <c r="BI1575" s="29"/>
      <c r="BJ1575" s="29"/>
      <c r="BK1575" s="29"/>
      <c r="BL1575" s="29"/>
      <c r="BM1575" s="45"/>
      <c r="BN1575" s="45"/>
      <c r="BO1575" s="46"/>
      <c r="BP1575" s="2"/>
      <c r="BQ1575" s="3"/>
    </row>
    <row r="1576" ht="15.75" customHeight="1">
      <c r="A1576" s="34">
        <v>1618.0</v>
      </c>
      <c r="B1576" s="34">
        <v>104065.0</v>
      </c>
      <c r="C1576" s="34" t="s">
        <v>76</v>
      </c>
      <c r="D1576" s="34" t="s">
        <v>2644</v>
      </c>
      <c r="E1576" s="34" t="s">
        <v>2645</v>
      </c>
      <c r="F1576" s="34">
        <v>2021.0</v>
      </c>
      <c r="G1576" s="34" t="s">
        <v>2646</v>
      </c>
      <c r="H1576" s="34" t="s">
        <v>231</v>
      </c>
      <c r="I1576" s="34" t="s">
        <v>2647</v>
      </c>
      <c r="J1576" s="35"/>
      <c r="K1576" s="36">
        <v>1.3</v>
      </c>
      <c r="L1576" s="36">
        <v>2.0</v>
      </c>
      <c r="M1576" s="36"/>
      <c r="N1576" s="36"/>
      <c r="O1576" s="36"/>
      <c r="P1576" s="37">
        <f t="shared" si="188"/>
        <v>65</v>
      </c>
      <c r="Q1576" s="36" t="s">
        <v>96</v>
      </c>
      <c r="R1576" s="36" t="s">
        <v>96</v>
      </c>
      <c r="S1576" s="36">
        <v>1000.0</v>
      </c>
      <c r="T1576" s="36"/>
      <c r="U1576" s="36"/>
      <c r="V1576" s="36"/>
      <c r="W1576" s="36"/>
      <c r="X1576" s="38">
        <v>1.0</v>
      </c>
      <c r="Y1576" s="38" t="s">
        <v>1256</v>
      </c>
      <c r="Z1576" s="38" t="s">
        <v>1256</v>
      </c>
      <c r="AA1576" s="38" t="s">
        <v>288</v>
      </c>
      <c r="AB1576" s="38">
        <v>38.05</v>
      </c>
      <c r="AC1576" s="38">
        <v>100.46</v>
      </c>
      <c r="AD1576" s="38" t="s">
        <v>198</v>
      </c>
      <c r="AE1576" s="38">
        <v>3033.0</v>
      </c>
      <c r="AF1576" s="38" t="s">
        <v>1259</v>
      </c>
      <c r="AG1576" s="38"/>
      <c r="AH1576" s="38"/>
      <c r="AI1576" s="50">
        <v>38.04</v>
      </c>
      <c r="AJ1576" s="50">
        <v>100.46</v>
      </c>
      <c r="AK1576" s="41" t="s">
        <v>288</v>
      </c>
      <c r="AL1576" s="40" t="s">
        <v>288</v>
      </c>
      <c r="AM1576" s="49">
        <v>3028.0</v>
      </c>
      <c r="AN1576" s="51">
        <v>3028.0</v>
      </c>
      <c r="AO1576" s="42" t="s">
        <v>597</v>
      </c>
      <c r="AP1576" s="43" t="s">
        <v>597</v>
      </c>
      <c r="AQ1576" s="44" t="str">
        <f t="shared" si="175"/>
        <v>GRA</v>
      </c>
      <c r="AR1576" s="44">
        <f t="shared" si="144"/>
        <v>3028</v>
      </c>
      <c r="AS1576" s="44" t="str">
        <f t="shared" si="176"/>
        <v>D</v>
      </c>
      <c r="AT1576" s="44" t="str">
        <f t="shared" si="114"/>
        <v>Dw</v>
      </c>
      <c r="AU1576" s="44" t="str">
        <f t="shared" si="115"/>
        <v>Dwc</v>
      </c>
      <c r="AV1576" s="38"/>
      <c r="AW1576" s="38"/>
      <c r="AX1576" s="38"/>
      <c r="AY1576" s="38"/>
      <c r="AZ1576" s="29"/>
      <c r="BA1576" s="29"/>
      <c r="BB1576" s="29">
        <v>1.0</v>
      </c>
      <c r="BC1576" s="29"/>
      <c r="BD1576" s="29"/>
      <c r="BE1576" s="29"/>
      <c r="BF1576" s="29" t="s">
        <v>2651</v>
      </c>
      <c r="BG1576" s="29" t="s">
        <v>91</v>
      </c>
      <c r="BH1576" s="29"/>
      <c r="BI1576" s="29"/>
      <c r="BJ1576" s="29"/>
      <c r="BK1576" s="29"/>
      <c r="BL1576" s="29"/>
      <c r="BM1576" s="45"/>
      <c r="BN1576" s="45"/>
      <c r="BO1576" s="46"/>
      <c r="BP1576" s="2"/>
      <c r="BQ1576" s="3"/>
    </row>
    <row r="1577" ht="15.75" customHeight="1">
      <c r="A1577" s="34">
        <v>1619.0</v>
      </c>
      <c r="B1577" s="34">
        <v>104065.0</v>
      </c>
      <c r="C1577" s="34" t="s">
        <v>76</v>
      </c>
      <c r="D1577" s="34" t="s">
        <v>2644</v>
      </c>
      <c r="E1577" s="34" t="s">
        <v>2645</v>
      </c>
      <c r="F1577" s="34">
        <v>2021.0</v>
      </c>
      <c r="G1577" s="34" t="s">
        <v>2646</v>
      </c>
      <c r="H1577" s="34" t="s">
        <v>231</v>
      </c>
      <c r="I1577" s="34" t="s">
        <v>2647</v>
      </c>
      <c r="J1577" s="35"/>
      <c r="K1577" s="36">
        <v>1.0</v>
      </c>
      <c r="L1577" s="36">
        <v>2.2</v>
      </c>
      <c r="M1577" s="36"/>
      <c r="N1577" s="36"/>
      <c r="O1577" s="36"/>
      <c r="P1577" s="52">
        <f t="shared" si="188"/>
        <v>45.45454545</v>
      </c>
      <c r="Q1577" s="36" t="s">
        <v>96</v>
      </c>
      <c r="R1577" s="36" t="s">
        <v>96</v>
      </c>
      <c r="S1577" s="36">
        <v>1000.0</v>
      </c>
      <c r="T1577" s="36"/>
      <c r="U1577" s="36"/>
      <c r="V1577" s="36"/>
      <c r="W1577" s="36"/>
      <c r="X1577" s="38">
        <v>1.0</v>
      </c>
      <c r="Y1577" s="53" t="s">
        <v>256</v>
      </c>
      <c r="Z1577" s="38" t="s">
        <v>257</v>
      </c>
      <c r="AA1577" s="38" t="s">
        <v>86</v>
      </c>
      <c r="AB1577" s="38">
        <v>38.86</v>
      </c>
      <c r="AC1577" s="38">
        <v>100.37</v>
      </c>
      <c r="AD1577" s="38" t="s">
        <v>198</v>
      </c>
      <c r="AE1577" s="53"/>
      <c r="AF1577" s="38" t="s">
        <v>1048</v>
      </c>
      <c r="AG1577" s="38"/>
      <c r="AH1577" s="38"/>
      <c r="AI1577" s="50">
        <v>38.875</v>
      </c>
      <c r="AJ1577" s="50">
        <v>100.375</v>
      </c>
      <c r="AK1577" s="41" t="s">
        <v>86</v>
      </c>
      <c r="AL1577" s="40" t="s">
        <v>86</v>
      </c>
      <c r="AM1577" s="49">
        <v>1554.0</v>
      </c>
      <c r="AN1577" s="51">
        <v>1554.0</v>
      </c>
      <c r="AO1577" s="42" t="s">
        <v>261</v>
      </c>
      <c r="AP1577" s="43" t="s">
        <v>261</v>
      </c>
      <c r="AQ1577" s="44" t="str">
        <f t="shared" si="175"/>
        <v>CRO</v>
      </c>
      <c r="AR1577" s="44">
        <f t="shared" si="144"/>
        <v>1554</v>
      </c>
      <c r="AS1577" s="44" t="str">
        <f t="shared" si="176"/>
        <v>B</v>
      </c>
      <c r="AT1577" s="44" t="str">
        <f t="shared" si="114"/>
        <v>BW</v>
      </c>
      <c r="AU1577" s="44" t="str">
        <f t="shared" si="115"/>
        <v>BWk</v>
      </c>
      <c r="AV1577" s="38"/>
      <c r="AW1577" s="38"/>
      <c r="AX1577" s="38"/>
      <c r="AY1577" s="38"/>
      <c r="AZ1577" s="29"/>
      <c r="BA1577" s="29"/>
      <c r="BB1577" s="29">
        <v>1.0</v>
      </c>
      <c r="BC1577" s="29"/>
      <c r="BD1577" s="29"/>
      <c r="BE1577" s="29"/>
      <c r="BF1577" s="29" t="s">
        <v>2648</v>
      </c>
      <c r="BG1577" s="29" t="s">
        <v>738</v>
      </c>
      <c r="BH1577" s="29"/>
      <c r="BI1577" s="29"/>
      <c r="BJ1577" s="29"/>
      <c r="BK1577" s="29"/>
      <c r="BL1577" s="29"/>
      <c r="BM1577" s="45"/>
      <c r="BN1577" s="45"/>
      <c r="BO1577" s="46"/>
      <c r="BP1577" s="2"/>
      <c r="BQ1577" s="3"/>
    </row>
    <row r="1578" ht="15.75" customHeight="1">
      <c r="A1578" s="34">
        <v>1620.0</v>
      </c>
      <c r="B1578" s="34">
        <v>104065.0</v>
      </c>
      <c r="C1578" s="34" t="s">
        <v>76</v>
      </c>
      <c r="D1578" s="34" t="s">
        <v>2644</v>
      </c>
      <c r="E1578" s="34" t="s">
        <v>2645</v>
      </c>
      <c r="F1578" s="34">
        <v>2021.0</v>
      </c>
      <c r="G1578" s="34" t="s">
        <v>2646</v>
      </c>
      <c r="H1578" s="34" t="s">
        <v>231</v>
      </c>
      <c r="I1578" s="34" t="s">
        <v>2647</v>
      </c>
      <c r="J1578" s="35"/>
      <c r="K1578" s="36">
        <v>1.0</v>
      </c>
      <c r="L1578" s="36">
        <v>2.2</v>
      </c>
      <c r="M1578" s="36"/>
      <c r="N1578" s="36"/>
      <c r="O1578" s="36"/>
      <c r="P1578" s="52">
        <f t="shared" si="188"/>
        <v>45.45454545</v>
      </c>
      <c r="Q1578" s="36" t="s">
        <v>96</v>
      </c>
      <c r="R1578" s="36" t="s">
        <v>96</v>
      </c>
      <c r="S1578" s="36">
        <v>1000.0</v>
      </c>
      <c r="T1578" s="36"/>
      <c r="U1578" s="36"/>
      <c r="V1578" s="36"/>
      <c r="W1578" s="36"/>
      <c r="X1578" s="38">
        <v>1.0</v>
      </c>
      <c r="Y1578" s="53" t="s">
        <v>256</v>
      </c>
      <c r="Z1578" s="38" t="s">
        <v>257</v>
      </c>
      <c r="AA1578" s="38" t="s">
        <v>86</v>
      </c>
      <c r="AB1578" s="38">
        <v>38.86</v>
      </c>
      <c r="AC1578" s="38">
        <v>100.37</v>
      </c>
      <c r="AD1578" s="38" t="s">
        <v>198</v>
      </c>
      <c r="AE1578" s="53"/>
      <c r="AF1578" s="38" t="s">
        <v>1048</v>
      </c>
      <c r="AG1578" s="38"/>
      <c r="AH1578" s="38"/>
      <c r="AI1578" s="50">
        <v>38.875</v>
      </c>
      <c r="AJ1578" s="50">
        <v>100.375</v>
      </c>
      <c r="AK1578" s="41" t="s">
        <v>86</v>
      </c>
      <c r="AL1578" s="40" t="s">
        <v>86</v>
      </c>
      <c r="AM1578" s="49">
        <v>1554.0</v>
      </c>
      <c r="AN1578" s="51">
        <v>1554.0</v>
      </c>
      <c r="AO1578" s="42" t="s">
        <v>261</v>
      </c>
      <c r="AP1578" s="43" t="s">
        <v>261</v>
      </c>
      <c r="AQ1578" s="44" t="str">
        <f t="shared" si="175"/>
        <v>CRO</v>
      </c>
      <c r="AR1578" s="44">
        <f t="shared" si="144"/>
        <v>1554</v>
      </c>
      <c r="AS1578" s="44" t="str">
        <f t="shared" si="176"/>
        <v>B</v>
      </c>
      <c r="AT1578" s="44" t="str">
        <f t="shared" si="114"/>
        <v>BW</v>
      </c>
      <c r="AU1578" s="44" t="str">
        <f t="shared" si="115"/>
        <v>BWk</v>
      </c>
      <c r="AV1578" s="38"/>
      <c r="AW1578" s="38"/>
      <c r="AX1578" s="38"/>
      <c r="AY1578" s="38"/>
      <c r="AZ1578" s="29"/>
      <c r="BA1578" s="29"/>
      <c r="BB1578" s="29">
        <v>1.0</v>
      </c>
      <c r="BC1578" s="29"/>
      <c r="BD1578" s="29"/>
      <c r="BE1578" s="29"/>
      <c r="BF1578" s="29" t="s">
        <v>2650</v>
      </c>
      <c r="BG1578" s="29" t="s">
        <v>572</v>
      </c>
      <c r="BH1578" s="29"/>
      <c r="BI1578" s="29"/>
      <c r="BJ1578" s="29"/>
      <c r="BK1578" s="29"/>
      <c r="BL1578" s="29"/>
      <c r="BM1578" s="45"/>
      <c r="BN1578" s="45"/>
      <c r="BO1578" s="46"/>
      <c r="BP1578" s="2"/>
      <c r="BQ1578" s="3"/>
    </row>
    <row r="1579" ht="15.75" customHeight="1">
      <c r="A1579" s="34">
        <v>1621.0</v>
      </c>
      <c r="B1579" s="34">
        <v>104065.0</v>
      </c>
      <c r="C1579" s="34" t="s">
        <v>76</v>
      </c>
      <c r="D1579" s="34" t="s">
        <v>2644</v>
      </c>
      <c r="E1579" s="34" t="s">
        <v>2645</v>
      </c>
      <c r="F1579" s="34">
        <v>2021.0</v>
      </c>
      <c r="G1579" s="34" t="s">
        <v>2646</v>
      </c>
      <c r="H1579" s="34" t="s">
        <v>231</v>
      </c>
      <c r="I1579" s="34" t="s">
        <v>2647</v>
      </c>
      <c r="J1579" s="35"/>
      <c r="K1579" s="36">
        <v>1.2</v>
      </c>
      <c r="L1579" s="36">
        <v>2.2</v>
      </c>
      <c r="M1579" s="36"/>
      <c r="N1579" s="36"/>
      <c r="O1579" s="36"/>
      <c r="P1579" s="52">
        <f t="shared" si="188"/>
        <v>54.54545455</v>
      </c>
      <c r="Q1579" s="36" t="s">
        <v>96</v>
      </c>
      <c r="R1579" s="36" t="s">
        <v>96</v>
      </c>
      <c r="S1579" s="36">
        <v>1000.0</v>
      </c>
      <c r="T1579" s="36"/>
      <c r="U1579" s="36"/>
      <c r="V1579" s="36"/>
      <c r="W1579" s="36"/>
      <c r="X1579" s="38">
        <v>1.0</v>
      </c>
      <c r="Y1579" s="53" t="s">
        <v>256</v>
      </c>
      <c r="Z1579" s="38" t="s">
        <v>257</v>
      </c>
      <c r="AA1579" s="38" t="s">
        <v>86</v>
      </c>
      <c r="AB1579" s="38">
        <v>38.86</v>
      </c>
      <c r="AC1579" s="38">
        <v>100.37</v>
      </c>
      <c r="AD1579" s="38" t="s">
        <v>198</v>
      </c>
      <c r="AE1579" s="53"/>
      <c r="AF1579" s="38" t="s">
        <v>1048</v>
      </c>
      <c r="AG1579" s="38"/>
      <c r="AH1579" s="38"/>
      <c r="AI1579" s="50">
        <v>38.875</v>
      </c>
      <c r="AJ1579" s="50">
        <v>100.375</v>
      </c>
      <c r="AK1579" s="41" t="s">
        <v>86</v>
      </c>
      <c r="AL1579" s="40" t="s">
        <v>86</v>
      </c>
      <c r="AM1579" s="49">
        <v>1554.0</v>
      </c>
      <c r="AN1579" s="51">
        <v>1554.0</v>
      </c>
      <c r="AO1579" s="42" t="s">
        <v>261</v>
      </c>
      <c r="AP1579" s="43" t="s">
        <v>261</v>
      </c>
      <c r="AQ1579" s="44" t="str">
        <f t="shared" si="175"/>
        <v>CRO</v>
      </c>
      <c r="AR1579" s="44">
        <f t="shared" si="144"/>
        <v>1554</v>
      </c>
      <c r="AS1579" s="44" t="str">
        <f t="shared" si="176"/>
        <v>B</v>
      </c>
      <c r="AT1579" s="44" t="str">
        <f t="shared" si="114"/>
        <v>BW</v>
      </c>
      <c r="AU1579" s="44" t="str">
        <f t="shared" si="115"/>
        <v>BWk</v>
      </c>
      <c r="AV1579" s="38"/>
      <c r="AW1579" s="38"/>
      <c r="AX1579" s="38"/>
      <c r="AY1579" s="38"/>
      <c r="AZ1579" s="29"/>
      <c r="BA1579" s="29"/>
      <c r="BB1579" s="29">
        <v>1.0</v>
      </c>
      <c r="BC1579" s="29"/>
      <c r="BD1579" s="29"/>
      <c r="BE1579" s="29"/>
      <c r="BF1579" s="29" t="s">
        <v>2651</v>
      </c>
      <c r="BG1579" s="29" t="s">
        <v>91</v>
      </c>
      <c r="BH1579" s="29"/>
      <c r="BI1579" s="29"/>
      <c r="BJ1579" s="29"/>
      <c r="BK1579" s="29"/>
      <c r="BL1579" s="29"/>
      <c r="BM1579" s="45"/>
      <c r="BN1579" s="45"/>
      <c r="BO1579" s="46"/>
      <c r="BP1579" s="2"/>
      <c r="BQ1579" s="3"/>
    </row>
    <row r="1580" ht="15.75" customHeight="1">
      <c r="A1580" s="34">
        <v>1622.0</v>
      </c>
      <c r="B1580" s="34">
        <v>104065.0</v>
      </c>
      <c r="C1580" s="34" t="s">
        <v>76</v>
      </c>
      <c r="D1580" s="34" t="s">
        <v>2644</v>
      </c>
      <c r="E1580" s="34" t="s">
        <v>2645</v>
      </c>
      <c r="F1580" s="34">
        <v>2021.0</v>
      </c>
      <c r="G1580" s="34" t="s">
        <v>2646</v>
      </c>
      <c r="H1580" s="34" t="s">
        <v>231</v>
      </c>
      <c r="I1580" s="34" t="s">
        <v>2647</v>
      </c>
      <c r="J1580" s="35"/>
      <c r="K1580" s="36">
        <v>0.1</v>
      </c>
      <c r="L1580" s="36">
        <v>3.1</v>
      </c>
      <c r="M1580" s="36"/>
      <c r="N1580" s="36"/>
      <c r="O1580" s="36"/>
      <c r="P1580" s="52">
        <f t="shared" si="188"/>
        <v>3.225806452</v>
      </c>
      <c r="Q1580" s="36" t="s">
        <v>96</v>
      </c>
      <c r="R1580" s="36" t="s">
        <v>96</v>
      </c>
      <c r="S1580" s="36">
        <v>1000.0</v>
      </c>
      <c r="T1580" s="36"/>
      <c r="U1580" s="36"/>
      <c r="V1580" s="36"/>
      <c r="W1580" s="36"/>
      <c r="X1580" s="38">
        <v>1.0</v>
      </c>
      <c r="Y1580" s="38" t="s">
        <v>905</v>
      </c>
      <c r="Z1580" s="38" t="s">
        <v>905</v>
      </c>
      <c r="AA1580" s="38"/>
      <c r="AB1580" s="38">
        <v>38.85</v>
      </c>
      <c r="AC1580" s="38">
        <v>100.37</v>
      </c>
      <c r="AD1580" s="38" t="s">
        <v>198</v>
      </c>
      <c r="AE1580" s="38"/>
      <c r="AF1580" s="38" t="s">
        <v>2652</v>
      </c>
      <c r="AG1580" s="38"/>
      <c r="AH1580" s="38"/>
      <c r="AI1580" s="50">
        <v>38.85</v>
      </c>
      <c r="AJ1580" s="50">
        <v>100.37</v>
      </c>
      <c r="AK1580" s="41" t="s">
        <v>86</v>
      </c>
      <c r="AL1580" s="40" t="s">
        <v>86</v>
      </c>
      <c r="AM1580" s="49">
        <v>1566.0</v>
      </c>
      <c r="AN1580" s="51">
        <v>1566.0</v>
      </c>
      <c r="AO1580" s="42" t="s">
        <v>261</v>
      </c>
      <c r="AP1580" s="43" t="s">
        <v>261</v>
      </c>
      <c r="AQ1580" s="80" t="s">
        <v>86</v>
      </c>
      <c r="AR1580" s="44">
        <f t="shared" si="144"/>
        <v>1566</v>
      </c>
      <c r="AS1580" s="44" t="str">
        <f t="shared" si="176"/>
        <v>B</v>
      </c>
      <c r="AT1580" s="44" t="str">
        <f t="shared" si="114"/>
        <v>BW</v>
      </c>
      <c r="AU1580" s="44" t="str">
        <f t="shared" si="115"/>
        <v>BWk</v>
      </c>
      <c r="AV1580" s="38"/>
      <c r="AW1580" s="38"/>
      <c r="AX1580" s="38"/>
      <c r="AY1580" s="38"/>
      <c r="AZ1580" s="29"/>
      <c r="BA1580" s="29"/>
      <c r="BB1580" s="29">
        <v>1.0</v>
      </c>
      <c r="BC1580" s="29"/>
      <c r="BD1580" s="29"/>
      <c r="BE1580" s="29"/>
      <c r="BF1580" s="29" t="s">
        <v>2648</v>
      </c>
      <c r="BG1580" s="29" t="s">
        <v>738</v>
      </c>
      <c r="BH1580" s="29"/>
      <c r="BI1580" s="29"/>
      <c r="BJ1580" s="29"/>
      <c r="BK1580" s="29"/>
      <c r="BL1580" s="29"/>
      <c r="BM1580" s="45"/>
      <c r="BN1580" s="45"/>
      <c r="BO1580" s="46"/>
      <c r="BP1580" s="2" t="s">
        <v>682</v>
      </c>
      <c r="BQ1580" s="3"/>
    </row>
    <row r="1581" ht="15.75" customHeight="1">
      <c r="A1581" s="34">
        <v>1623.0</v>
      </c>
      <c r="B1581" s="34">
        <v>104065.0</v>
      </c>
      <c r="C1581" s="34" t="s">
        <v>76</v>
      </c>
      <c r="D1581" s="34" t="s">
        <v>2644</v>
      </c>
      <c r="E1581" s="34" t="s">
        <v>2645</v>
      </c>
      <c r="F1581" s="34">
        <v>2021.0</v>
      </c>
      <c r="G1581" s="34" t="s">
        <v>2646</v>
      </c>
      <c r="H1581" s="34" t="s">
        <v>231</v>
      </c>
      <c r="I1581" s="34" t="s">
        <v>2647</v>
      </c>
      <c r="J1581" s="35"/>
      <c r="K1581" s="36">
        <v>0.1</v>
      </c>
      <c r="L1581" s="36">
        <v>3.1</v>
      </c>
      <c r="M1581" s="36"/>
      <c r="N1581" s="36"/>
      <c r="O1581" s="36"/>
      <c r="P1581" s="52">
        <f t="shared" si="188"/>
        <v>3.225806452</v>
      </c>
      <c r="Q1581" s="36" t="s">
        <v>96</v>
      </c>
      <c r="R1581" s="36" t="s">
        <v>96</v>
      </c>
      <c r="S1581" s="36">
        <v>1000.0</v>
      </c>
      <c r="T1581" s="36"/>
      <c r="U1581" s="36"/>
      <c r="V1581" s="36"/>
      <c r="W1581" s="36"/>
      <c r="X1581" s="38">
        <v>1.0</v>
      </c>
      <c r="Y1581" s="38" t="s">
        <v>905</v>
      </c>
      <c r="Z1581" s="38" t="s">
        <v>905</v>
      </c>
      <c r="AA1581" s="38"/>
      <c r="AB1581" s="38">
        <v>38.85</v>
      </c>
      <c r="AC1581" s="38">
        <v>100.37</v>
      </c>
      <c r="AD1581" s="38" t="s">
        <v>198</v>
      </c>
      <c r="AE1581" s="38"/>
      <c r="AF1581" s="38" t="s">
        <v>2652</v>
      </c>
      <c r="AG1581" s="38"/>
      <c r="AH1581" s="38"/>
      <c r="AI1581" s="50">
        <v>38.85</v>
      </c>
      <c r="AJ1581" s="50">
        <v>100.37</v>
      </c>
      <c r="AK1581" s="41" t="s">
        <v>86</v>
      </c>
      <c r="AL1581" s="40" t="s">
        <v>86</v>
      </c>
      <c r="AM1581" s="49">
        <v>1566.0</v>
      </c>
      <c r="AN1581" s="51">
        <v>1566.0</v>
      </c>
      <c r="AO1581" s="42" t="s">
        <v>261</v>
      </c>
      <c r="AP1581" s="43" t="s">
        <v>261</v>
      </c>
      <c r="AQ1581" s="80" t="s">
        <v>86</v>
      </c>
      <c r="AR1581" s="44">
        <f t="shared" si="144"/>
        <v>1566</v>
      </c>
      <c r="AS1581" s="44" t="str">
        <f t="shared" si="176"/>
        <v>B</v>
      </c>
      <c r="AT1581" s="44" t="str">
        <f t="shared" si="114"/>
        <v>BW</v>
      </c>
      <c r="AU1581" s="44" t="str">
        <f t="shared" si="115"/>
        <v>BWk</v>
      </c>
      <c r="AV1581" s="38"/>
      <c r="AW1581" s="38"/>
      <c r="AX1581" s="38"/>
      <c r="AY1581" s="38"/>
      <c r="AZ1581" s="29"/>
      <c r="BA1581" s="29"/>
      <c r="BB1581" s="29">
        <v>1.0</v>
      </c>
      <c r="BC1581" s="29"/>
      <c r="BD1581" s="29"/>
      <c r="BE1581" s="29"/>
      <c r="BF1581" s="29" t="s">
        <v>2650</v>
      </c>
      <c r="BG1581" s="29" t="s">
        <v>572</v>
      </c>
      <c r="BH1581" s="29"/>
      <c r="BI1581" s="29"/>
      <c r="BJ1581" s="29"/>
      <c r="BK1581" s="29"/>
      <c r="BL1581" s="29"/>
      <c r="BM1581" s="45"/>
      <c r="BN1581" s="45"/>
      <c r="BO1581" s="46"/>
      <c r="BP1581" s="2"/>
      <c r="BQ1581" s="3"/>
    </row>
    <row r="1582" ht="15.75" customHeight="1">
      <c r="A1582" s="34">
        <v>1624.0</v>
      </c>
      <c r="B1582" s="34">
        <v>104065.0</v>
      </c>
      <c r="C1582" s="34" t="s">
        <v>76</v>
      </c>
      <c r="D1582" s="34" t="s">
        <v>2644</v>
      </c>
      <c r="E1582" s="34" t="s">
        <v>2645</v>
      </c>
      <c r="F1582" s="34">
        <v>2021.0</v>
      </c>
      <c r="G1582" s="34" t="s">
        <v>2646</v>
      </c>
      <c r="H1582" s="34" t="s">
        <v>231</v>
      </c>
      <c r="I1582" s="34" t="s">
        <v>2647</v>
      </c>
      <c r="J1582" s="35"/>
      <c r="K1582" s="36">
        <v>-0.2</v>
      </c>
      <c r="L1582" s="36">
        <v>3.1</v>
      </c>
      <c r="M1582" s="36"/>
      <c r="N1582" s="36"/>
      <c r="O1582" s="36"/>
      <c r="P1582" s="52">
        <f t="shared" si="188"/>
        <v>-6.451612903</v>
      </c>
      <c r="Q1582" s="36" t="s">
        <v>96</v>
      </c>
      <c r="R1582" s="36" t="s">
        <v>96</v>
      </c>
      <c r="S1582" s="36">
        <v>1000.0</v>
      </c>
      <c r="T1582" s="36"/>
      <c r="U1582" s="36"/>
      <c r="V1582" s="36"/>
      <c r="W1582" s="36"/>
      <c r="X1582" s="38">
        <v>1.0</v>
      </c>
      <c r="Y1582" s="38" t="s">
        <v>905</v>
      </c>
      <c r="Z1582" s="38" t="s">
        <v>905</v>
      </c>
      <c r="AA1582" s="38"/>
      <c r="AB1582" s="38">
        <v>38.85</v>
      </c>
      <c r="AC1582" s="38">
        <v>100.37</v>
      </c>
      <c r="AD1582" s="38" t="s">
        <v>198</v>
      </c>
      <c r="AE1582" s="38"/>
      <c r="AF1582" s="38" t="s">
        <v>2652</v>
      </c>
      <c r="AG1582" s="38"/>
      <c r="AH1582" s="38"/>
      <c r="AI1582" s="50">
        <v>38.85</v>
      </c>
      <c r="AJ1582" s="50">
        <v>100.37</v>
      </c>
      <c r="AK1582" s="41" t="s">
        <v>86</v>
      </c>
      <c r="AL1582" s="40" t="s">
        <v>86</v>
      </c>
      <c r="AM1582" s="49">
        <v>1566.0</v>
      </c>
      <c r="AN1582" s="51">
        <v>1566.0</v>
      </c>
      <c r="AO1582" s="42" t="s">
        <v>261</v>
      </c>
      <c r="AP1582" s="43" t="s">
        <v>261</v>
      </c>
      <c r="AQ1582" s="80" t="s">
        <v>86</v>
      </c>
      <c r="AR1582" s="44">
        <f t="shared" si="144"/>
        <v>1566</v>
      </c>
      <c r="AS1582" s="44" t="str">
        <f t="shared" si="176"/>
        <v>B</v>
      </c>
      <c r="AT1582" s="44" t="str">
        <f t="shared" si="114"/>
        <v>BW</v>
      </c>
      <c r="AU1582" s="44" t="str">
        <f t="shared" si="115"/>
        <v>BWk</v>
      </c>
      <c r="AV1582" s="38"/>
      <c r="AW1582" s="38"/>
      <c r="AX1582" s="38"/>
      <c r="AY1582" s="38"/>
      <c r="AZ1582" s="29"/>
      <c r="BA1582" s="29"/>
      <c r="BB1582" s="29">
        <v>1.0</v>
      </c>
      <c r="BC1582" s="29"/>
      <c r="BD1582" s="29"/>
      <c r="BE1582" s="29"/>
      <c r="BF1582" s="29" t="s">
        <v>2651</v>
      </c>
      <c r="BG1582" s="29" t="s">
        <v>91</v>
      </c>
      <c r="BH1582" s="29"/>
      <c r="BI1582" s="29"/>
      <c r="BJ1582" s="29"/>
      <c r="BK1582" s="29"/>
      <c r="BL1582" s="29"/>
      <c r="BM1582" s="45"/>
      <c r="BN1582" s="45"/>
      <c r="BO1582" s="46"/>
      <c r="BP1582" s="2"/>
      <c r="BQ1582" s="3"/>
    </row>
    <row r="1583" ht="15.75" customHeight="1">
      <c r="A1583" s="34">
        <v>1626.0</v>
      </c>
      <c r="B1583" s="34">
        <v>200798.0</v>
      </c>
      <c r="C1583" s="34" t="s">
        <v>76</v>
      </c>
      <c r="D1583" s="34" t="s">
        <v>2653</v>
      </c>
      <c r="E1583" s="34" t="s">
        <v>2654</v>
      </c>
      <c r="F1583" s="34">
        <v>2014.0</v>
      </c>
      <c r="G1583" s="34" t="s">
        <v>2655</v>
      </c>
      <c r="H1583" s="34" t="s">
        <v>2656</v>
      </c>
      <c r="I1583" s="34" t="s">
        <v>2657</v>
      </c>
      <c r="J1583" s="35"/>
      <c r="K1583" s="36">
        <v>0.34</v>
      </c>
      <c r="L1583" s="36">
        <v>2.99</v>
      </c>
      <c r="M1583" s="36"/>
      <c r="N1583" s="36"/>
      <c r="O1583" s="36"/>
      <c r="P1583" s="52">
        <f t="shared" si="188"/>
        <v>11.37123746</v>
      </c>
      <c r="Q1583" s="36" t="s">
        <v>96</v>
      </c>
      <c r="R1583" s="36" t="s">
        <v>96</v>
      </c>
      <c r="S1583" s="36">
        <v>30.0</v>
      </c>
      <c r="T1583" s="36" t="s">
        <v>2658</v>
      </c>
      <c r="U1583" s="36" t="s">
        <v>2659</v>
      </c>
      <c r="V1583" s="36">
        <v>12.0</v>
      </c>
      <c r="W1583" s="36"/>
      <c r="X1583" s="38">
        <v>1.0</v>
      </c>
      <c r="Y1583" s="38" t="s">
        <v>1646</v>
      </c>
      <c r="Z1583" s="68" t="s">
        <v>1647</v>
      </c>
      <c r="AA1583" s="38" t="s">
        <v>86</v>
      </c>
      <c r="AB1583" s="38" t="s">
        <v>2660</v>
      </c>
      <c r="AC1583" s="38" t="s">
        <v>2661</v>
      </c>
      <c r="AD1583" s="38" t="s">
        <v>203</v>
      </c>
      <c r="AE1583" s="38">
        <v>143.0</v>
      </c>
      <c r="AF1583" s="38" t="s">
        <v>1650</v>
      </c>
      <c r="AG1583" s="38"/>
      <c r="AH1583" s="38">
        <v>4.8</v>
      </c>
      <c r="AI1583" s="50">
        <v>38.24046</v>
      </c>
      <c r="AJ1583" s="50">
        <v>-7.4304</v>
      </c>
      <c r="AK1583" s="41" t="s">
        <v>1085</v>
      </c>
      <c r="AL1583" s="40" t="s">
        <v>1085</v>
      </c>
      <c r="AM1583" s="49">
        <v>125.0</v>
      </c>
      <c r="AN1583" s="51">
        <v>125.0</v>
      </c>
      <c r="AO1583" s="42" t="s">
        <v>175</v>
      </c>
      <c r="AP1583" s="43" t="s">
        <v>175</v>
      </c>
      <c r="AQ1583" s="44" t="str">
        <f t="shared" ref="AQ1583:AQ1641" si="189">AA1583</f>
        <v>CRO</v>
      </c>
      <c r="AR1583" s="44">
        <f t="shared" si="144"/>
        <v>125</v>
      </c>
      <c r="AS1583" s="44" t="str">
        <f t="shared" si="176"/>
        <v>C</v>
      </c>
      <c r="AT1583" s="44" t="str">
        <f t="shared" si="114"/>
        <v>Cs</v>
      </c>
      <c r="AU1583" s="44" t="str">
        <f t="shared" si="115"/>
        <v>Csa</v>
      </c>
      <c r="AV1583" s="38"/>
      <c r="AW1583" s="38"/>
      <c r="AX1583" s="38"/>
      <c r="AY1583" s="38"/>
      <c r="AZ1583" s="29">
        <v>30.0</v>
      </c>
      <c r="BA1583" s="29"/>
      <c r="BB1583" s="29">
        <v>1.0</v>
      </c>
      <c r="BC1583" s="29" t="s">
        <v>984</v>
      </c>
      <c r="BD1583" s="29" t="s">
        <v>88</v>
      </c>
      <c r="BE1583" s="29"/>
      <c r="BF1583" s="29" t="s">
        <v>2662</v>
      </c>
      <c r="BG1583" s="29" t="s">
        <v>572</v>
      </c>
      <c r="BH1583" s="29" t="s">
        <v>88</v>
      </c>
      <c r="BI1583" s="29" t="s">
        <v>2663</v>
      </c>
      <c r="BJ1583" s="29" t="s">
        <v>2664</v>
      </c>
      <c r="BK1583" s="29" t="s">
        <v>180</v>
      </c>
      <c r="BL1583" s="29"/>
      <c r="BM1583" s="45">
        <v>1.0</v>
      </c>
      <c r="BN1583" s="45"/>
      <c r="BO1583" s="46" t="s">
        <v>984</v>
      </c>
      <c r="BP1583" s="2"/>
      <c r="BQ1583" s="3"/>
    </row>
    <row r="1584" ht="15.75" customHeight="1">
      <c r="A1584" s="34">
        <v>1627.0</v>
      </c>
      <c r="B1584" s="34">
        <v>103446.0</v>
      </c>
      <c r="C1584" s="34" t="s">
        <v>76</v>
      </c>
      <c r="D1584" s="34" t="s">
        <v>2665</v>
      </c>
      <c r="E1584" s="34" t="s">
        <v>2666</v>
      </c>
      <c r="F1584" s="34">
        <v>2017.0</v>
      </c>
      <c r="G1584" s="34" t="s">
        <v>2667</v>
      </c>
      <c r="H1584" s="34" t="s">
        <v>2668</v>
      </c>
      <c r="I1584" s="34" t="s">
        <v>2669</v>
      </c>
      <c r="J1584" s="35"/>
      <c r="K1584" s="36">
        <v>1.364</v>
      </c>
      <c r="L1584" s="36">
        <v>3.061</v>
      </c>
      <c r="M1584" s="36"/>
      <c r="N1584" s="36"/>
      <c r="O1584" s="36"/>
      <c r="P1584" s="52">
        <f t="shared" si="188"/>
        <v>44.56060111</v>
      </c>
      <c r="Q1584" s="36" t="s">
        <v>209</v>
      </c>
      <c r="R1584" s="36" t="s">
        <v>209</v>
      </c>
      <c r="S1584" s="36">
        <v>1000.0</v>
      </c>
      <c r="T1584" s="36" t="s">
        <v>167</v>
      </c>
      <c r="U1584" s="36" t="s">
        <v>244</v>
      </c>
      <c r="V1584" s="36"/>
      <c r="W1584" s="36"/>
      <c r="X1584" s="38">
        <v>1.0</v>
      </c>
      <c r="Y1584" s="38" t="s">
        <v>2670</v>
      </c>
      <c r="Z1584" s="68" t="s">
        <v>2671</v>
      </c>
      <c r="AA1584" s="38" t="s">
        <v>86</v>
      </c>
      <c r="AB1584" s="38" t="s">
        <v>2672</v>
      </c>
      <c r="AC1584" s="38" t="s">
        <v>2673</v>
      </c>
      <c r="AD1584" s="38" t="s">
        <v>1130</v>
      </c>
      <c r="AE1584" s="53"/>
      <c r="AF1584" s="38" t="s">
        <v>2674</v>
      </c>
      <c r="AG1584" s="57"/>
      <c r="AH1584" s="38">
        <v>10.0</v>
      </c>
      <c r="AI1584" s="50">
        <v>37.0935</v>
      </c>
      <c r="AJ1584" s="50">
        <v>127.391</v>
      </c>
      <c r="AK1584" s="41" t="s">
        <v>86</v>
      </c>
      <c r="AL1584" s="40" t="s">
        <v>86</v>
      </c>
      <c r="AM1584" s="49">
        <v>132.0</v>
      </c>
      <c r="AN1584" s="51">
        <v>132.0</v>
      </c>
      <c r="AO1584" s="42" t="s">
        <v>218</v>
      </c>
      <c r="AP1584" s="43" t="s">
        <v>218</v>
      </c>
      <c r="AQ1584" s="44" t="str">
        <f t="shared" si="189"/>
        <v>CRO</v>
      </c>
      <c r="AR1584" s="44">
        <f t="shared" si="144"/>
        <v>132</v>
      </c>
      <c r="AS1584" s="44" t="str">
        <f t="shared" si="176"/>
        <v>D</v>
      </c>
      <c r="AT1584" s="44" t="str">
        <f t="shared" si="114"/>
        <v>Dw</v>
      </c>
      <c r="AU1584" s="44" t="str">
        <f t="shared" si="115"/>
        <v>Dwa</v>
      </c>
      <c r="AV1584" s="38"/>
      <c r="AW1584" s="38"/>
      <c r="AX1584" s="38">
        <v>200.0</v>
      </c>
      <c r="AY1584" s="38" t="s">
        <v>2675</v>
      </c>
      <c r="AZ1584" s="29">
        <v>1000.0</v>
      </c>
      <c r="BA1584" s="29"/>
      <c r="BB1584" s="29">
        <v>1.0</v>
      </c>
      <c r="BC1584" s="29"/>
      <c r="BD1584" s="29"/>
      <c r="BE1584" s="29" t="s">
        <v>263</v>
      </c>
      <c r="BF1584" s="29" t="s">
        <v>2676</v>
      </c>
      <c r="BG1584" s="29" t="s">
        <v>738</v>
      </c>
      <c r="BH1584" s="29" t="s">
        <v>92</v>
      </c>
      <c r="BI1584" s="29" t="s">
        <v>148</v>
      </c>
      <c r="BJ1584" s="29"/>
      <c r="BK1584" s="29" t="s">
        <v>148</v>
      </c>
      <c r="BL1584" s="29" t="s">
        <v>148</v>
      </c>
      <c r="BM1584" s="45">
        <v>1.0</v>
      </c>
      <c r="BN1584" s="45"/>
      <c r="BO1584" s="46" t="s">
        <v>2676</v>
      </c>
      <c r="BP1584" s="2" t="s">
        <v>1005</v>
      </c>
      <c r="BQ1584" s="3"/>
    </row>
    <row r="1585" ht="15.75" customHeight="1">
      <c r="A1585" s="34">
        <v>1628.0</v>
      </c>
      <c r="B1585" s="34">
        <v>103446.0</v>
      </c>
      <c r="C1585" s="34" t="s">
        <v>76</v>
      </c>
      <c r="D1585" s="34" t="s">
        <v>2665</v>
      </c>
      <c r="E1585" s="34" t="s">
        <v>2666</v>
      </c>
      <c r="F1585" s="34">
        <v>2017.0</v>
      </c>
      <c r="G1585" s="34" t="s">
        <v>2667</v>
      </c>
      <c r="H1585" s="34" t="s">
        <v>2668</v>
      </c>
      <c r="I1585" s="34" t="s">
        <v>2669</v>
      </c>
      <c r="J1585" s="35"/>
      <c r="K1585" s="36">
        <v>-0.244</v>
      </c>
      <c r="L1585" s="36">
        <v>3.944</v>
      </c>
      <c r="M1585" s="36"/>
      <c r="N1585" s="36"/>
      <c r="O1585" s="36"/>
      <c r="P1585" s="52">
        <f t="shared" si="188"/>
        <v>-6.186612576</v>
      </c>
      <c r="Q1585" s="36" t="s">
        <v>209</v>
      </c>
      <c r="R1585" s="36" t="s">
        <v>209</v>
      </c>
      <c r="S1585" s="36">
        <v>1000.0</v>
      </c>
      <c r="T1585" s="36" t="s">
        <v>295</v>
      </c>
      <c r="U1585" s="36" t="s">
        <v>194</v>
      </c>
      <c r="V1585" s="36"/>
      <c r="W1585" s="36"/>
      <c r="X1585" s="38">
        <v>1.0</v>
      </c>
      <c r="Y1585" s="38" t="s">
        <v>1193</v>
      </c>
      <c r="Z1585" s="38" t="s">
        <v>1194</v>
      </c>
      <c r="AA1585" s="38" t="s">
        <v>86</v>
      </c>
      <c r="AB1585" s="38" t="s">
        <v>2677</v>
      </c>
      <c r="AC1585" s="38" t="s">
        <v>2678</v>
      </c>
      <c r="AD1585" s="38" t="s">
        <v>736</v>
      </c>
      <c r="AE1585" s="38">
        <v>13.0</v>
      </c>
      <c r="AF1585" s="38" t="s">
        <v>2679</v>
      </c>
      <c r="AG1585" s="38"/>
      <c r="AH1585" s="38">
        <v>2.3</v>
      </c>
      <c r="AI1585" s="50">
        <v>36.0314</v>
      </c>
      <c r="AJ1585" s="50">
        <v>140.0137</v>
      </c>
      <c r="AK1585" s="41" t="s">
        <v>86</v>
      </c>
      <c r="AL1585" s="40" t="s">
        <v>86</v>
      </c>
      <c r="AM1585" s="49">
        <v>11.0</v>
      </c>
      <c r="AN1585" s="51">
        <v>11.0</v>
      </c>
      <c r="AO1585" s="42" t="s">
        <v>201</v>
      </c>
      <c r="AP1585" s="43" t="s">
        <v>201</v>
      </c>
      <c r="AQ1585" s="44" t="str">
        <f t="shared" si="189"/>
        <v>CRO</v>
      </c>
      <c r="AR1585" s="44">
        <f t="shared" si="144"/>
        <v>11</v>
      </c>
      <c r="AS1585" s="44" t="str">
        <f t="shared" si="176"/>
        <v>C</v>
      </c>
      <c r="AT1585" s="44" t="str">
        <f t="shared" si="114"/>
        <v>Cf</v>
      </c>
      <c r="AU1585" s="44" t="str">
        <f t="shared" si="115"/>
        <v>Cfa</v>
      </c>
      <c r="AV1585" s="38"/>
      <c r="AW1585" s="38"/>
      <c r="AX1585" s="38">
        <v>200.0</v>
      </c>
      <c r="AY1585" s="38" t="s">
        <v>2675</v>
      </c>
      <c r="AZ1585" s="29">
        <v>1000.0</v>
      </c>
      <c r="BA1585" s="29"/>
      <c r="BB1585" s="29">
        <v>1.0</v>
      </c>
      <c r="BC1585" s="29"/>
      <c r="BD1585" s="29"/>
      <c r="BE1585" s="29" t="s">
        <v>263</v>
      </c>
      <c r="BF1585" s="29" t="s">
        <v>2676</v>
      </c>
      <c r="BG1585" s="29" t="s">
        <v>738</v>
      </c>
      <c r="BH1585" s="29" t="s">
        <v>92</v>
      </c>
      <c r="BI1585" s="29" t="s">
        <v>148</v>
      </c>
      <c r="BJ1585" s="29"/>
      <c r="BK1585" s="29" t="s">
        <v>148</v>
      </c>
      <c r="BL1585" s="29" t="s">
        <v>148</v>
      </c>
      <c r="BM1585" s="45"/>
      <c r="BN1585" s="45"/>
      <c r="BO1585" s="46"/>
      <c r="BP1585" s="2"/>
      <c r="BQ1585" s="3"/>
    </row>
    <row r="1586" ht="15.75" customHeight="1">
      <c r="A1586" s="34">
        <v>1629.0</v>
      </c>
      <c r="B1586" s="34">
        <v>103446.0</v>
      </c>
      <c r="C1586" s="34" t="s">
        <v>76</v>
      </c>
      <c r="D1586" s="34" t="s">
        <v>2665</v>
      </c>
      <c r="E1586" s="34" t="s">
        <v>2666</v>
      </c>
      <c r="F1586" s="34">
        <v>2017.0</v>
      </c>
      <c r="G1586" s="34" t="s">
        <v>2667</v>
      </c>
      <c r="H1586" s="34" t="s">
        <v>2668</v>
      </c>
      <c r="I1586" s="34" t="s">
        <v>2669</v>
      </c>
      <c r="J1586" s="35"/>
      <c r="K1586" s="36">
        <v>0.711</v>
      </c>
      <c r="L1586" s="36">
        <v>2.031</v>
      </c>
      <c r="M1586" s="36"/>
      <c r="N1586" s="36"/>
      <c r="O1586" s="36"/>
      <c r="P1586" s="52">
        <f t="shared" si="188"/>
        <v>35.00738552</v>
      </c>
      <c r="Q1586" s="36" t="s">
        <v>209</v>
      </c>
      <c r="R1586" s="36" t="s">
        <v>209</v>
      </c>
      <c r="S1586" s="36">
        <v>1000.0</v>
      </c>
      <c r="T1586" s="36" t="s">
        <v>167</v>
      </c>
      <c r="U1586" s="36" t="s">
        <v>244</v>
      </c>
      <c r="V1586" s="36"/>
      <c r="W1586" s="36"/>
      <c r="X1586" s="38">
        <v>1.0</v>
      </c>
      <c r="Y1586" s="38" t="s">
        <v>2680</v>
      </c>
      <c r="Z1586" s="68" t="s">
        <v>1445</v>
      </c>
      <c r="AA1586" s="38" t="s">
        <v>452</v>
      </c>
      <c r="AB1586" s="38" t="s">
        <v>2681</v>
      </c>
      <c r="AC1586" s="38" t="s">
        <v>2682</v>
      </c>
      <c r="AD1586" s="38" t="s">
        <v>1130</v>
      </c>
      <c r="AE1586" s="38">
        <v>205.0</v>
      </c>
      <c r="AF1586" s="38"/>
      <c r="AG1586" s="38"/>
      <c r="AH1586" s="38">
        <v>19.2</v>
      </c>
      <c r="AI1586" s="50">
        <v>37.562</v>
      </c>
      <c r="AJ1586" s="50">
        <v>126.5717</v>
      </c>
      <c r="AK1586" s="41" t="s">
        <v>1085</v>
      </c>
      <c r="AL1586" s="40" t="s">
        <v>1085</v>
      </c>
      <c r="AM1586" s="49">
        <v>0.0</v>
      </c>
      <c r="AN1586" s="51">
        <v>0.0</v>
      </c>
      <c r="AO1586" s="42" t="e">
        <v>#N/A</v>
      </c>
      <c r="AP1586" s="43" t="s">
        <v>218</v>
      </c>
      <c r="AQ1586" s="44" t="str">
        <f t="shared" si="189"/>
        <v>MF</v>
      </c>
      <c r="AR1586" s="44">
        <f t="shared" si="144"/>
        <v>0</v>
      </c>
      <c r="AS1586" s="44" t="str">
        <f t="shared" si="176"/>
        <v>#N/A</v>
      </c>
      <c r="AT1586" s="44" t="str">
        <f t="shared" si="114"/>
        <v>Dw</v>
      </c>
      <c r="AU1586" s="44" t="str">
        <f t="shared" si="115"/>
        <v>Dwa</v>
      </c>
      <c r="AV1586" s="38"/>
      <c r="AW1586" s="38"/>
      <c r="AX1586" s="38">
        <v>200.0</v>
      </c>
      <c r="AY1586" s="38" t="s">
        <v>2675</v>
      </c>
      <c r="AZ1586" s="29">
        <v>1000.0</v>
      </c>
      <c r="BA1586" s="29"/>
      <c r="BB1586" s="29">
        <v>1.0</v>
      </c>
      <c r="BC1586" s="29"/>
      <c r="BD1586" s="29"/>
      <c r="BE1586" s="29" t="s">
        <v>263</v>
      </c>
      <c r="BF1586" s="29" t="s">
        <v>2676</v>
      </c>
      <c r="BG1586" s="29" t="s">
        <v>738</v>
      </c>
      <c r="BH1586" s="29" t="s">
        <v>92</v>
      </c>
      <c r="BI1586" s="29" t="s">
        <v>148</v>
      </c>
      <c r="BJ1586" s="29"/>
      <c r="BK1586" s="29" t="s">
        <v>148</v>
      </c>
      <c r="BL1586" s="29" t="s">
        <v>148</v>
      </c>
      <c r="BM1586" s="45"/>
      <c r="BN1586" s="45"/>
      <c r="BO1586" s="46"/>
      <c r="BP1586" s="2"/>
      <c r="BQ1586" s="3"/>
    </row>
    <row r="1587" ht="15.75" customHeight="1">
      <c r="A1587" s="34">
        <v>1630.0</v>
      </c>
      <c r="B1587" s="34">
        <v>103446.0</v>
      </c>
      <c r="C1587" s="34" t="s">
        <v>76</v>
      </c>
      <c r="D1587" s="34" t="s">
        <v>2665</v>
      </c>
      <c r="E1587" s="34" t="s">
        <v>2666</v>
      </c>
      <c r="F1587" s="34">
        <v>2017.0</v>
      </c>
      <c r="G1587" s="34" t="s">
        <v>2667</v>
      </c>
      <c r="H1587" s="34" t="s">
        <v>2668</v>
      </c>
      <c r="I1587" s="34" t="s">
        <v>2669</v>
      </c>
      <c r="J1587" s="35"/>
      <c r="K1587" s="36">
        <v>1.055</v>
      </c>
      <c r="L1587" s="36">
        <v>1.943</v>
      </c>
      <c r="M1587" s="36"/>
      <c r="N1587" s="36"/>
      <c r="O1587" s="36"/>
      <c r="P1587" s="52">
        <f t="shared" si="188"/>
        <v>54.29747813</v>
      </c>
      <c r="Q1587" s="36" t="s">
        <v>209</v>
      </c>
      <c r="R1587" s="36" t="s">
        <v>209</v>
      </c>
      <c r="S1587" s="36">
        <v>1000.0</v>
      </c>
      <c r="T1587" s="36" t="s">
        <v>317</v>
      </c>
      <c r="U1587" s="36" t="s">
        <v>194</v>
      </c>
      <c r="V1587" s="36"/>
      <c r="W1587" s="36"/>
      <c r="X1587" s="38">
        <v>1.0</v>
      </c>
      <c r="Y1587" s="38" t="s">
        <v>2683</v>
      </c>
      <c r="Z1587" s="68" t="s">
        <v>860</v>
      </c>
      <c r="AA1587" s="38" t="s">
        <v>452</v>
      </c>
      <c r="AB1587" s="38" t="s">
        <v>2684</v>
      </c>
      <c r="AC1587" s="38" t="s">
        <v>2685</v>
      </c>
      <c r="AD1587" s="38" t="s">
        <v>198</v>
      </c>
      <c r="AE1587" s="53"/>
      <c r="AF1587" s="38"/>
      <c r="AG1587" s="57"/>
      <c r="AH1587" s="38">
        <v>32.0</v>
      </c>
      <c r="AI1587" s="50">
        <v>41.4149</v>
      </c>
      <c r="AJ1587" s="50">
        <v>127.4255</v>
      </c>
      <c r="AK1587" s="41" t="s">
        <v>370</v>
      </c>
      <c r="AL1587" s="40" t="s">
        <v>370</v>
      </c>
      <c r="AM1587" s="49">
        <v>632.0</v>
      </c>
      <c r="AN1587" s="51">
        <v>632.0</v>
      </c>
      <c r="AO1587" s="42" t="s">
        <v>584</v>
      </c>
      <c r="AP1587" s="43" t="s">
        <v>584</v>
      </c>
      <c r="AQ1587" s="44" t="str">
        <f t="shared" si="189"/>
        <v>MF</v>
      </c>
      <c r="AR1587" s="44">
        <f t="shared" si="144"/>
        <v>632</v>
      </c>
      <c r="AS1587" s="44" t="str">
        <f t="shared" si="176"/>
        <v>D</v>
      </c>
      <c r="AT1587" s="44" t="str">
        <f t="shared" si="114"/>
        <v>Dw</v>
      </c>
      <c r="AU1587" s="44" t="str">
        <f t="shared" si="115"/>
        <v>Dwb</v>
      </c>
      <c r="AV1587" s="38"/>
      <c r="AW1587" s="38"/>
      <c r="AX1587" s="38">
        <v>200.0</v>
      </c>
      <c r="AY1587" s="38" t="s">
        <v>2675</v>
      </c>
      <c r="AZ1587" s="29">
        <v>1000.0</v>
      </c>
      <c r="BA1587" s="29"/>
      <c r="BB1587" s="29">
        <v>1.0</v>
      </c>
      <c r="BC1587" s="29"/>
      <c r="BD1587" s="29"/>
      <c r="BE1587" s="29" t="s">
        <v>263</v>
      </c>
      <c r="BF1587" s="29" t="s">
        <v>2676</v>
      </c>
      <c r="BG1587" s="29" t="s">
        <v>738</v>
      </c>
      <c r="BH1587" s="29" t="s">
        <v>92</v>
      </c>
      <c r="BI1587" s="29" t="s">
        <v>148</v>
      </c>
      <c r="BJ1587" s="29"/>
      <c r="BK1587" s="29" t="s">
        <v>148</v>
      </c>
      <c r="BL1587" s="29" t="s">
        <v>148</v>
      </c>
      <c r="BM1587" s="45"/>
      <c r="BN1587" s="45"/>
      <c r="BO1587" s="46"/>
      <c r="BP1587" s="2"/>
      <c r="BQ1587" s="3"/>
    </row>
    <row r="1588" ht="15.75" customHeight="1">
      <c r="A1588" s="34">
        <v>1633.0</v>
      </c>
      <c r="B1588" s="34">
        <v>103486.0</v>
      </c>
      <c r="C1588" s="34" t="s">
        <v>76</v>
      </c>
      <c r="D1588" s="34" t="s">
        <v>2686</v>
      </c>
      <c r="E1588" s="34" t="s">
        <v>1449</v>
      </c>
      <c r="F1588" s="34">
        <v>2017.0</v>
      </c>
      <c r="G1588" s="34" t="s">
        <v>2687</v>
      </c>
      <c r="H1588" s="34" t="s">
        <v>2688</v>
      </c>
      <c r="I1588" s="34" t="s">
        <v>2689</v>
      </c>
      <c r="J1588" s="35"/>
      <c r="K1588" s="36">
        <v>12.4</v>
      </c>
      <c r="L1588" s="36">
        <v>44.1</v>
      </c>
      <c r="M1588" s="36"/>
      <c r="N1588" s="36"/>
      <c r="O1588" s="36"/>
      <c r="P1588" s="52">
        <f t="shared" si="188"/>
        <v>28.11791383</v>
      </c>
      <c r="Q1588" s="36" t="s">
        <v>191</v>
      </c>
      <c r="R1588" s="36" t="s">
        <v>191</v>
      </c>
      <c r="S1588" s="36">
        <v>1000.0</v>
      </c>
      <c r="T1588" s="36" t="s">
        <v>356</v>
      </c>
      <c r="U1588" s="36" t="s">
        <v>246</v>
      </c>
      <c r="V1588" s="36"/>
      <c r="W1588" s="36"/>
      <c r="X1588" s="38">
        <v>1.0</v>
      </c>
      <c r="Y1588" s="38" t="s">
        <v>2690</v>
      </c>
      <c r="Z1588" s="68" t="s">
        <v>1434</v>
      </c>
      <c r="AA1588" s="38" t="s">
        <v>86</v>
      </c>
      <c r="AB1588" s="38" t="s">
        <v>1435</v>
      </c>
      <c r="AC1588" s="38" t="s">
        <v>1436</v>
      </c>
      <c r="AD1588" s="38" t="s">
        <v>1130</v>
      </c>
      <c r="AE1588" s="53"/>
      <c r="AF1588" s="38" t="s">
        <v>2674</v>
      </c>
      <c r="AG1588" s="57"/>
      <c r="AH1588" s="38">
        <v>10.0</v>
      </c>
      <c r="AI1588" s="50">
        <v>37.16</v>
      </c>
      <c r="AJ1588" s="50">
        <v>127.65</v>
      </c>
      <c r="AK1588" s="41" t="s">
        <v>86</v>
      </c>
      <c r="AL1588" s="40" t="s">
        <v>86</v>
      </c>
      <c r="AM1588" s="49">
        <v>65.0</v>
      </c>
      <c r="AN1588" s="51">
        <v>65.0</v>
      </c>
      <c r="AO1588" s="42" t="s">
        <v>218</v>
      </c>
      <c r="AP1588" s="43" t="s">
        <v>218</v>
      </c>
      <c r="AQ1588" s="44" t="str">
        <f t="shared" si="189"/>
        <v>CRO</v>
      </c>
      <c r="AR1588" s="44">
        <f t="shared" si="144"/>
        <v>65</v>
      </c>
      <c r="AS1588" s="44" t="str">
        <f t="shared" si="176"/>
        <v>D</v>
      </c>
      <c r="AT1588" s="44" t="str">
        <f t="shared" si="114"/>
        <v>Dw</v>
      </c>
      <c r="AU1588" s="44" t="str">
        <f t="shared" si="115"/>
        <v>Dwa</v>
      </c>
      <c r="AV1588" s="38">
        <v>1.0</v>
      </c>
      <c r="AW1588" s="38">
        <v>1.0</v>
      </c>
      <c r="AX1588" s="38"/>
      <c r="AY1588" s="38" t="s">
        <v>92</v>
      </c>
      <c r="AZ1588" s="29">
        <v>1000.0</v>
      </c>
      <c r="BA1588" s="29"/>
      <c r="BB1588" s="29">
        <v>1.0</v>
      </c>
      <c r="BC1588" s="29"/>
      <c r="BD1588" s="29" t="s">
        <v>88</v>
      </c>
      <c r="BE1588" s="29"/>
      <c r="BF1588" s="29" t="s">
        <v>936</v>
      </c>
      <c r="BG1588" s="29" t="s">
        <v>572</v>
      </c>
      <c r="BH1588" s="29" t="s">
        <v>92</v>
      </c>
      <c r="BI1588" s="29" t="s">
        <v>1441</v>
      </c>
      <c r="BJ1588" s="29"/>
      <c r="BK1588" s="29" t="s">
        <v>148</v>
      </c>
      <c r="BL1588" s="29" t="s">
        <v>148</v>
      </c>
      <c r="BM1588" s="45"/>
      <c r="BN1588" s="45"/>
      <c r="BO1588" s="46"/>
      <c r="BP1588" s="2"/>
      <c r="BQ1588" s="3"/>
    </row>
    <row r="1589" ht="15.75" customHeight="1">
      <c r="A1589" s="34">
        <v>1634.0</v>
      </c>
      <c r="B1589" s="34">
        <v>103486.0</v>
      </c>
      <c r="C1589" s="34" t="s">
        <v>76</v>
      </c>
      <c r="D1589" s="34" t="s">
        <v>2686</v>
      </c>
      <c r="E1589" s="34" t="s">
        <v>1449</v>
      </c>
      <c r="F1589" s="34">
        <v>2017.0</v>
      </c>
      <c r="G1589" s="34" t="s">
        <v>2687</v>
      </c>
      <c r="H1589" s="34" t="s">
        <v>2688</v>
      </c>
      <c r="I1589" s="34" t="s">
        <v>2689</v>
      </c>
      <c r="J1589" s="35"/>
      <c r="K1589" s="36">
        <v>-11.28</v>
      </c>
      <c r="L1589" s="36">
        <v>67.78</v>
      </c>
      <c r="M1589" s="36"/>
      <c r="N1589" s="36"/>
      <c r="O1589" s="36"/>
      <c r="P1589" s="52">
        <f t="shared" si="188"/>
        <v>-16.64207731</v>
      </c>
      <c r="Q1589" s="36" t="s">
        <v>191</v>
      </c>
      <c r="R1589" s="36" t="s">
        <v>191</v>
      </c>
      <c r="S1589" s="36">
        <v>1000.0</v>
      </c>
      <c r="T1589" s="36" t="s">
        <v>356</v>
      </c>
      <c r="U1589" s="36" t="s">
        <v>246</v>
      </c>
      <c r="V1589" s="36"/>
      <c r="W1589" s="36"/>
      <c r="X1589" s="38">
        <v>1.0</v>
      </c>
      <c r="Y1589" s="38" t="s">
        <v>2690</v>
      </c>
      <c r="Z1589" s="68" t="s">
        <v>1434</v>
      </c>
      <c r="AA1589" s="38" t="s">
        <v>86</v>
      </c>
      <c r="AB1589" s="38" t="s">
        <v>1435</v>
      </c>
      <c r="AC1589" s="38" t="s">
        <v>1436</v>
      </c>
      <c r="AD1589" s="38" t="s">
        <v>1130</v>
      </c>
      <c r="AE1589" s="53"/>
      <c r="AF1589" s="38" t="s">
        <v>2674</v>
      </c>
      <c r="AG1589" s="57"/>
      <c r="AH1589" s="38">
        <v>10.0</v>
      </c>
      <c r="AI1589" s="50">
        <v>37.16</v>
      </c>
      <c r="AJ1589" s="50">
        <v>127.65</v>
      </c>
      <c r="AK1589" s="41" t="s">
        <v>86</v>
      </c>
      <c r="AL1589" s="40" t="s">
        <v>86</v>
      </c>
      <c r="AM1589" s="49">
        <v>65.0</v>
      </c>
      <c r="AN1589" s="51">
        <v>65.0</v>
      </c>
      <c r="AO1589" s="42" t="s">
        <v>218</v>
      </c>
      <c r="AP1589" s="43" t="s">
        <v>218</v>
      </c>
      <c r="AQ1589" s="44" t="str">
        <f t="shared" si="189"/>
        <v>CRO</v>
      </c>
      <c r="AR1589" s="44">
        <f t="shared" si="144"/>
        <v>65</v>
      </c>
      <c r="AS1589" s="44" t="str">
        <f t="shared" si="176"/>
        <v>D</v>
      </c>
      <c r="AT1589" s="44" t="str">
        <f t="shared" si="114"/>
        <v>Dw</v>
      </c>
      <c r="AU1589" s="44" t="str">
        <f t="shared" si="115"/>
        <v>Dwa</v>
      </c>
      <c r="AV1589" s="38">
        <v>3.0</v>
      </c>
      <c r="AW1589" s="38">
        <v>1.0</v>
      </c>
      <c r="AX1589" s="38"/>
      <c r="AY1589" s="38" t="s">
        <v>92</v>
      </c>
      <c r="AZ1589" s="29">
        <v>1000.0</v>
      </c>
      <c r="BA1589" s="29"/>
      <c r="BB1589" s="29">
        <v>1.0</v>
      </c>
      <c r="BC1589" s="29"/>
      <c r="BD1589" s="29" t="s">
        <v>88</v>
      </c>
      <c r="BE1589" s="29"/>
      <c r="BF1589" s="29" t="s">
        <v>936</v>
      </c>
      <c r="BG1589" s="29" t="s">
        <v>572</v>
      </c>
      <c r="BH1589" s="29" t="s">
        <v>92</v>
      </c>
      <c r="BI1589" s="29" t="s">
        <v>1441</v>
      </c>
      <c r="BJ1589" s="29"/>
      <c r="BK1589" s="29" t="s">
        <v>148</v>
      </c>
      <c r="BL1589" s="29" t="s">
        <v>148</v>
      </c>
      <c r="BM1589" s="45"/>
      <c r="BN1589" s="45"/>
      <c r="BO1589" s="46"/>
      <c r="BP1589" s="2"/>
      <c r="BQ1589" s="3"/>
    </row>
    <row r="1590" ht="15.75" customHeight="1">
      <c r="A1590" s="34">
        <v>1635.0</v>
      </c>
      <c r="B1590" s="34">
        <v>103486.0</v>
      </c>
      <c r="C1590" s="34" t="s">
        <v>76</v>
      </c>
      <c r="D1590" s="34" t="s">
        <v>2686</v>
      </c>
      <c r="E1590" s="34" t="s">
        <v>1449</v>
      </c>
      <c r="F1590" s="34">
        <v>2017.0</v>
      </c>
      <c r="G1590" s="34" t="s">
        <v>2687</v>
      </c>
      <c r="H1590" s="34" t="s">
        <v>2688</v>
      </c>
      <c r="I1590" s="34" t="s">
        <v>2689</v>
      </c>
      <c r="J1590" s="35"/>
      <c r="K1590" s="36">
        <v>-19.31</v>
      </c>
      <c r="L1590" s="36">
        <v>75.81</v>
      </c>
      <c r="M1590" s="36"/>
      <c r="N1590" s="36"/>
      <c r="O1590" s="36"/>
      <c r="P1590" s="52">
        <f t="shared" si="188"/>
        <v>-25.47157367</v>
      </c>
      <c r="Q1590" s="36" t="s">
        <v>191</v>
      </c>
      <c r="R1590" s="36" t="s">
        <v>191</v>
      </c>
      <c r="S1590" s="36">
        <v>1000.0</v>
      </c>
      <c r="T1590" s="36" t="s">
        <v>356</v>
      </c>
      <c r="U1590" s="36" t="s">
        <v>246</v>
      </c>
      <c r="V1590" s="36"/>
      <c r="W1590" s="36"/>
      <c r="X1590" s="38">
        <v>1.0</v>
      </c>
      <c r="Y1590" s="38" t="s">
        <v>2690</v>
      </c>
      <c r="Z1590" s="68" t="s">
        <v>1434</v>
      </c>
      <c r="AA1590" s="38" t="s">
        <v>86</v>
      </c>
      <c r="AB1590" s="38" t="s">
        <v>1435</v>
      </c>
      <c r="AC1590" s="38" t="s">
        <v>1436</v>
      </c>
      <c r="AD1590" s="38" t="s">
        <v>1130</v>
      </c>
      <c r="AE1590" s="53"/>
      <c r="AF1590" s="38" t="s">
        <v>2674</v>
      </c>
      <c r="AG1590" s="57"/>
      <c r="AH1590" s="38">
        <v>10.0</v>
      </c>
      <c r="AI1590" s="50">
        <v>37.16</v>
      </c>
      <c r="AJ1590" s="50">
        <v>127.65</v>
      </c>
      <c r="AK1590" s="41" t="s">
        <v>86</v>
      </c>
      <c r="AL1590" s="40" t="s">
        <v>86</v>
      </c>
      <c r="AM1590" s="49">
        <v>65.0</v>
      </c>
      <c r="AN1590" s="51">
        <v>65.0</v>
      </c>
      <c r="AO1590" s="42" t="s">
        <v>218</v>
      </c>
      <c r="AP1590" s="43" t="s">
        <v>218</v>
      </c>
      <c r="AQ1590" s="44" t="str">
        <f t="shared" si="189"/>
        <v>CRO</v>
      </c>
      <c r="AR1590" s="44">
        <f t="shared" si="144"/>
        <v>65</v>
      </c>
      <c r="AS1590" s="44" t="str">
        <f t="shared" si="176"/>
        <v>D</v>
      </c>
      <c r="AT1590" s="44" t="str">
        <f t="shared" si="114"/>
        <v>Dw</v>
      </c>
      <c r="AU1590" s="44" t="str">
        <f t="shared" si="115"/>
        <v>Dwa</v>
      </c>
      <c r="AV1590" s="38">
        <v>2.0</v>
      </c>
      <c r="AW1590" s="38">
        <v>1.0</v>
      </c>
      <c r="AX1590" s="38"/>
      <c r="AY1590" s="38" t="s">
        <v>92</v>
      </c>
      <c r="AZ1590" s="29">
        <v>1000.0</v>
      </c>
      <c r="BA1590" s="29"/>
      <c r="BB1590" s="29">
        <v>1.0</v>
      </c>
      <c r="BC1590" s="29"/>
      <c r="BD1590" s="29" t="s">
        <v>88</v>
      </c>
      <c r="BE1590" s="29"/>
      <c r="BF1590" s="29" t="s">
        <v>936</v>
      </c>
      <c r="BG1590" s="29" t="s">
        <v>572</v>
      </c>
      <c r="BH1590" s="29" t="s">
        <v>92</v>
      </c>
      <c r="BI1590" s="29" t="s">
        <v>1441</v>
      </c>
      <c r="BJ1590" s="29"/>
      <c r="BK1590" s="29" t="s">
        <v>148</v>
      </c>
      <c r="BL1590" s="29" t="s">
        <v>148</v>
      </c>
      <c r="BM1590" s="45"/>
      <c r="BN1590" s="45"/>
      <c r="BO1590" s="46"/>
      <c r="BP1590" s="2"/>
      <c r="BQ1590" s="3"/>
    </row>
    <row r="1591" ht="15.75" customHeight="1">
      <c r="A1591" s="34">
        <v>1636.0</v>
      </c>
      <c r="B1591" s="34">
        <v>103486.0</v>
      </c>
      <c r="C1591" s="34" t="s">
        <v>76</v>
      </c>
      <c r="D1591" s="34" t="s">
        <v>2686</v>
      </c>
      <c r="E1591" s="34" t="s">
        <v>1449</v>
      </c>
      <c r="F1591" s="34">
        <v>2017.0</v>
      </c>
      <c r="G1591" s="34" t="s">
        <v>2687</v>
      </c>
      <c r="H1591" s="34" t="s">
        <v>2688</v>
      </c>
      <c r="I1591" s="34" t="s">
        <v>2689</v>
      </c>
      <c r="J1591" s="35"/>
      <c r="K1591" s="36">
        <v>17.84</v>
      </c>
      <c r="L1591" s="36">
        <v>27.12</v>
      </c>
      <c r="M1591" s="36"/>
      <c r="N1591" s="36"/>
      <c r="O1591" s="36"/>
      <c r="P1591" s="52">
        <f t="shared" si="188"/>
        <v>65.78171091</v>
      </c>
      <c r="Q1591" s="36" t="s">
        <v>191</v>
      </c>
      <c r="R1591" s="36" t="s">
        <v>191</v>
      </c>
      <c r="S1591" s="36">
        <v>1000.0</v>
      </c>
      <c r="T1591" s="36" t="s">
        <v>356</v>
      </c>
      <c r="U1591" s="36" t="s">
        <v>246</v>
      </c>
      <c r="V1591" s="36"/>
      <c r="W1591" s="36"/>
      <c r="X1591" s="38">
        <v>1.0</v>
      </c>
      <c r="Y1591" s="38" t="s">
        <v>2680</v>
      </c>
      <c r="Z1591" s="68" t="s">
        <v>1445</v>
      </c>
      <c r="AA1591" s="38" t="s">
        <v>452</v>
      </c>
      <c r="AB1591" s="38" t="s">
        <v>1446</v>
      </c>
      <c r="AC1591" s="38" t="s">
        <v>1447</v>
      </c>
      <c r="AD1591" s="38" t="s">
        <v>1130</v>
      </c>
      <c r="AE1591" s="38">
        <v>269.0</v>
      </c>
      <c r="AF1591" s="38"/>
      <c r="AG1591" s="38"/>
      <c r="AH1591" s="38">
        <v>20.0</v>
      </c>
      <c r="AI1591" s="50">
        <v>37.94</v>
      </c>
      <c r="AJ1591" s="50">
        <v>126.95</v>
      </c>
      <c r="AK1591" s="41" t="s">
        <v>370</v>
      </c>
      <c r="AL1591" s="40" t="s">
        <v>370</v>
      </c>
      <c r="AM1591" s="49">
        <v>244.0</v>
      </c>
      <c r="AN1591" s="51">
        <v>244.0</v>
      </c>
      <c r="AO1591" s="42" t="s">
        <v>218</v>
      </c>
      <c r="AP1591" s="43" t="s">
        <v>218</v>
      </c>
      <c r="AQ1591" s="44" t="str">
        <f t="shared" si="189"/>
        <v>MF</v>
      </c>
      <c r="AR1591" s="44">
        <f t="shared" si="144"/>
        <v>244</v>
      </c>
      <c r="AS1591" s="44" t="str">
        <f t="shared" si="176"/>
        <v>D</v>
      </c>
      <c r="AT1591" s="44" t="str">
        <f t="shared" si="114"/>
        <v>Dw</v>
      </c>
      <c r="AU1591" s="44" t="str">
        <f t="shared" si="115"/>
        <v>Dwa</v>
      </c>
      <c r="AV1591" s="38">
        <v>1.0</v>
      </c>
      <c r="AW1591" s="38">
        <v>1.0</v>
      </c>
      <c r="AX1591" s="38"/>
      <c r="AY1591" s="38" t="s">
        <v>92</v>
      </c>
      <c r="AZ1591" s="29">
        <v>1000.0</v>
      </c>
      <c r="BA1591" s="29"/>
      <c r="BB1591" s="29">
        <v>1.0</v>
      </c>
      <c r="BC1591" s="29"/>
      <c r="BD1591" s="29" t="s">
        <v>88</v>
      </c>
      <c r="BE1591" s="29"/>
      <c r="BF1591" s="29" t="s">
        <v>936</v>
      </c>
      <c r="BG1591" s="29" t="s">
        <v>572</v>
      </c>
      <c r="BH1591" s="29" t="s">
        <v>92</v>
      </c>
      <c r="BI1591" s="29" t="s">
        <v>1441</v>
      </c>
      <c r="BJ1591" s="29"/>
      <c r="BK1591" s="29" t="s">
        <v>148</v>
      </c>
      <c r="BL1591" s="29" t="s">
        <v>148</v>
      </c>
      <c r="BM1591" s="45"/>
      <c r="BN1591" s="45"/>
      <c r="BO1591" s="46"/>
      <c r="BP1591" s="2"/>
      <c r="BQ1591" s="3"/>
    </row>
    <row r="1592" ht="15.75" customHeight="1">
      <c r="A1592" s="34">
        <v>1637.0</v>
      </c>
      <c r="B1592" s="34">
        <v>103486.0</v>
      </c>
      <c r="C1592" s="34" t="s">
        <v>76</v>
      </c>
      <c r="D1592" s="34" t="s">
        <v>2686</v>
      </c>
      <c r="E1592" s="34" t="s">
        <v>1449</v>
      </c>
      <c r="F1592" s="34">
        <v>2017.0</v>
      </c>
      <c r="G1592" s="34" t="s">
        <v>2687</v>
      </c>
      <c r="H1592" s="34" t="s">
        <v>2688</v>
      </c>
      <c r="I1592" s="34" t="s">
        <v>2689</v>
      </c>
      <c r="J1592" s="35"/>
      <c r="K1592" s="36">
        <v>-6.59</v>
      </c>
      <c r="L1592" s="36">
        <v>51.55</v>
      </c>
      <c r="M1592" s="36"/>
      <c r="N1592" s="36"/>
      <c r="O1592" s="36"/>
      <c r="P1592" s="52">
        <f t="shared" si="188"/>
        <v>-12.78370514</v>
      </c>
      <c r="Q1592" s="36" t="s">
        <v>191</v>
      </c>
      <c r="R1592" s="36" t="s">
        <v>191</v>
      </c>
      <c r="S1592" s="36">
        <v>1000.0</v>
      </c>
      <c r="T1592" s="36" t="s">
        <v>356</v>
      </c>
      <c r="U1592" s="36" t="s">
        <v>246</v>
      </c>
      <c r="V1592" s="36"/>
      <c r="W1592" s="36"/>
      <c r="X1592" s="38">
        <v>1.0</v>
      </c>
      <c r="Y1592" s="38" t="s">
        <v>2680</v>
      </c>
      <c r="Z1592" s="68" t="s">
        <v>1445</v>
      </c>
      <c r="AA1592" s="38" t="s">
        <v>452</v>
      </c>
      <c r="AB1592" s="38" t="s">
        <v>1446</v>
      </c>
      <c r="AC1592" s="38" t="s">
        <v>1447</v>
      </c>
      <c r="AD1592" s="38" t="s">
        <v>1130</v>
      </c>
      <c r="AE1592" s="38">
        <v>269.0</v>
      </c>
      <c r="AF1592" s="38"/>
      <c r="AG1592" s="38"/>
      <c r="AH1592" s="38">
        <v>20.0</v>
      </c>
      <c r="AI1592" s="50">
        <v>37.94</v>
      </c>
      <c r="AJ1592" s="50">
        <v>126.95</v>
      </c>
      <c r="AK1592" s="41" t="s">
        <v>370</v>
      </c>
      <c r="AL1592" s="40" t="s">
        <v>370</v>
      </c>
      <c r="AM1592" s="49">
        <v>244.0</v>
      </c>
      <c r="AN1592" s="51">
        <v>244.0</v>
      </c>
      <c r="AO1592" s="42" t="s">
        <v>218</v>
      </c>
      <c r="AP1592" s="43" t="s">
        <v>218</v>
      </c>
      <c r="AQ1592" s="44" t="str">
        <f t="shared" si="189"/>
        <v>MF</v>
      </c>
      <c r="AR1592" s="44">
        <f t="shared" si="144"/>
        <v>244</v>
      </c>
      <c r="AS1592" s="44" t="str">
        <f t="shared" si="176"/>
        <v>D</v>
      </c>
      <c r="AT1592" s="44" t="str">
        <f t="shared" si="114"/>
        <v>Dw</v>
      </c>
      <c r="AU1592" s="44" t="str">
        <f t="shared" si="115"/>
        <v>Dwa</v>
      </c>
      <c r="AV1592" s="38">
        <v>3.0</v>
      </c>
      <c r="AW1592" s="38">
        <v>1.0</v>
      </c>
      <c r="AX1592" s="38"/>
      <c r="AY1592" s="38" t="s">
        <v>92</v>
      </c>
      <c r="AZ1592" s="29">
        <v>1000.0</v>
      </c>
      <c r="BA1592" s="29"/>
      <c r="BB1592" s="29">
        <v>1.0</v>
      </c>
      <c r="BC1592" s="29"/>
      <c r="BD1592" s="29" t="s">
        <v>88</v>
      </c>
      <c r="BE1592" s="29"/>
      <c r="BF1592" s="29" t="s">
        <v>936</v>
      </c>
      <c r="BG1592" s="29" t="s">
        <v>572</v>
      </c>
      <c r="BH1592" s="29" t="s">
        <v>92</v>
      </c>
      <c r="BI1592" s="29" t="s">
        <v>1441</v>
      </c>
      <c r="BJ1592" s="29"/>
      <c r="BK1592" s="29" t="s">
        <v>148</v>
      </c>
      <c r="BL1592" s="29" t="s">
        <v>148</v>
      </c>
      <c r="BM1592" s="45"/>
      <c r="BN1592" s="45"/>
      <c r="BO1592" s="46"/>
      <c r="BP1592" s="2"/>
      <c r="BQ1592" s="3"/>
    </row>
    <row r="1593" ht="15.75" customHeight="1">
      <c r="A1593" s="34">
        <v>1638.0</v>
      </c>
      <c r="B1593" s="34">
        <v>103486.0</v>
      </c>
      <c r="C1593" s="34" t="s">
        <v>76</v>
      </c>
      <c r="D1593" s="34" t="s">
        <v>2686</v>
      </c>
      <c r="E1593" s="34" t="s">
        <v>1449</v>
      </c>
      <c r="F1593" s="34">
        <v>2017.0</v>
      </c>
      <c r="G1593" s="34" t="s">
        <v>2687</v>
      </c>
      <c r="H1593" s="34" t="s">
        <v>2688</v>
      </c>
      <c r="I1593" s="34" t="s">
        <v>2689</v>
      </c>
      <c r="J1593" s="35"/>
      <c r="K1593" s="36">
        <v>-29.55</v>
      </c>
      <c r="L1593" s="36">
        <v>74.51</v>
      </c>
      <c r="M1593" s="36"/>
      <c r="N1593" s="36"/>
      <c r="O1593" s="36"/>
      <c r="P1593" s="52">
        <f t="shared" si="188"/>
        <v>-39.65910616</v>
      </c>
      <c r="Q1593" s="36" t="s">
        <v>191</v>
      </c>
      <c r="R1593" s="36" t="s">
        <v>191</v>
      </c>
      <c r="S1593" s="36">
        <v>1000.0</v>
      </c>
      <c r="T1593" s="36" t="s">
        <v>356</v>
      </c>
      <c r="U1593" s="36" t="s">
        <v>246</v>
      </c>
      <c r="V1593" s="36"/>
      <c r="W1593" s="36"/>
      <c r="X1593" s="38">
        <v>1.0</v>
      </c>
      <c r="Y1593" s="38" t="s">
        <v>2680</v>
      </c>
      <c r="Z1593" s="68" t="s">
        <v>1445</v>
      </c>
      <c r="AA1593" s="38" t="s">
        <v>452</v>
      </c>
      <c r="AB1593" s="38" t="s">
        <v>1446</v>
      </c>
      <c r="AC1593" s="38" t="s">
        <v>1447</v>
      </c>
      <c r="AD1593" s="38" t="s">
        <v>1130</v>
      </c>
      <c r="AE1593" s="38">
        <v>269.0</v>
      </c>
      <c r="AF1593" s="38"/>
      <c r="AG1593" s="38"/>
      <c r="AH1593" s="38">
        <v>20.0</v>
      </c>
      <c r="AI1593" s="50">
        <v>37.94</v>
      </c>
      <c r="AJ1593" s="50">
        <v>126.95</v>
      </c>
      <c r="AK1593" s="41" t="s">
        <v>370</v>
      </c>
      <c r="AL1593" s="40" t="s">
        <v>370</v>
      </c>
      <c r="AM1593" s="49">
        <v>244.0</v>
      </c>
      <c r="AN1593" s="51">
        <v>244.0</v>
      </c>
      <c r="AO1593" s="42" t="s">
        <v>218</v>
      </c>
      <c r="AP1593" s="43" t="s">
        <v>218</v>
      </c>
      <c r="AQ1593" s="44" t="str">
        <f t="shared" si="189"/>
        <v>MF</v>
      </c>
      <c r="AR1593" s="44">
        <f t="shared" si="144"/>
        <v>244</v>
      </c>
      <c r="AS1593" s="44" t="str">
        <f t="shared" si="176"/>
        <v>D</v>
      </c>
      <c r="AT1593" s="44" t="str">
        <f t="shared" si="114"/>
        <v>Dw</v>
      </c>
      <c r="AU1593" s="44" t="str">
        <f t="shared" si="115"/>
        <v>Dwa</v>
      </c>
      <c r="AV1593" s="38">
        <v>2.0</v>
      </c>
      <c r="AW1593" s="38">
        <v>1.0</v>
      </c>
      <c r="AX1593" s="38"/>
      <c r="AY1593" s="38" t="s">
        <v>92</v>
      </c>
      <c r="AZ1593" s="29">
        <v>1000.0</v>
      </c>
      <c r="BA1593" s="29"/>
      <c r="BB1593" s="29">
        <v>1.0</v>
      </c>
      <c r="BC1593" s="29"/>
      <c r="BD1593" s="29" t="s">
        <v>88</v>
      </c>
      <c r="BE1593" s="29"/>
      <c r="BF1593" s="29" t="s">
        <v>936</v>
      </c>
      <c r="BG1593" s="29" t="s">
        <v>572</v>
      </c>
      <c r="BH1593" s="29" t="s">
        <v>92</v>
      </c>
      <c r="BI1593" s="29" t="s">
        <v>1441</v>
      </c>
      <c r="BJ1593" s="29"/>
      <c r="BK1593" s="29" t="s">
        <v>148</v>
      </c>
      <c r="BL1593" s="29" t="s">
        <v>148</v>
      </c>
      <c r="BM1593" s="45">
        <v>1.0</v>
      </c>
      <c r="BN1593" s="45"/>
      <c r="BO1593" s="46" t="s">
        <v>936</v>
      </c>
      <c r="BP1593" s="2"/>
      <c r="BQ1593" s="3"/>
    </row>
    <row r="1594" ht="15.75" customHeight="1">
      <c r="A1594" s="34">
        <v>1639.0</v>
      </c>
      <c r="B1594" s="34">
        <v>103486.0</v>
      </c>
      <c r="C1594" s="34" t="s">
        <v>76</v>
      </c>
      <c r="D1594" s="34" t="s">
        <v>2686</v>
      </c>
      <c r="E1594" s="34" t="s">
        <v>1449</v>
      </c>
      <c r="F1594" s="34">
        <v>2017.0</v>
      </c>
      <c r="G1594" s="34" t="s">
        <v>2687</v>
      </c>
      <c r="H1594" s="34" t="s">
        <v>2688</v>
      </c>
      <c r="I1594" s="34" t="s">
        <v>2689</v>
      </c>
      <c r="J1594" s="35"/>
      <c r="K1594" s="36">
        <v>5.53</v>
      </c>
      <c r="L1594" s="36">
        <v>44.1</v>
      </c>
      <c r="M1594" s="36"/>
      <c r="N1594" s="36"/>
      <c r="O1594" s="36"/>
      <c r="P1594" s="52">
        <f t="shared" si="188"/>
        <v>12.53968254</v>
      </c>
      <c r="Q1594" s="36" t="s">
        <v>191</v>
      </c>
      <c r="R1594" s="36" t="s">
        <v>191</v>
      </c>
      <c r="S1594" s="36">
        <v>1000.0</v>
      </c>
      <c r="T1594" s="36" t="s">
        <v>356</v>
      </c>
      <c r="U1594" s="36" t="s">
        <v>246</v>
      </c>
      <c r="V1594" s="36"/>
      <c r="W1594" s="36"/>
      <c r="X1594" s="38">
        <v>1.0</v>
      </c>
      <c r="Y1594" s="38" t="s">
        <v>2690</v>
      </c>
      <c r="Z1594" s="68" t="s">
        <v>1434</v>
      </c>
      <c r="AA1594" s="38" t="s">
        <v>86</v>
      </c>
      <c r="AB1594" s="38" t="s">
        <v>1435</v>
      </c>
      <c r="AC1594" s="38" t="s">
        <v>1436</v>
      </c>
      <c r="AD1594" s="38" t="s">
        <v>1130</v>
      </c>
      <c r="AE1594" s="53"/>
      <c r="AF1594" s="38" t="s">
        <v>2674</v>
      </c>
      <c r="AG1594" s="57"/>
      <c r="AH1594" s="38">
        <v>10.0</v>
      </c>
      <c r="AI1594" s="50">
        <v>37.16</v>
      </c>
      <c r="AJ1594" s="50">
        <v>127.65</v>
      </c>
      <c r="AK1594" s="41" t="s">
        <v>86</v>
      </c>
      <c r="AL1594" s="40" t="s">
        <v>86</v>
      </c>
      <c r="AM1594" s="49">
        <v>65.0</v>
      </c>
      <c r="AN1594" s="51">
        <v>65.0</v>
      </c>
      <c r="AO1594" s="42" t="s">
        <v>218</v>
      </c>
      <c r="AP1594" s="43" t="s">
        <v>218</v>
      </c>
      <c r="AQ1594" s="44" t="str">
        <f t="shared" si="189"/>
        <v>CRO</v>
      </c>
      <c r="AR1594" s="44">
        <f t="shared" si="144"/>
        <v>65</v>
      </c>
      <c r="AS1594" s="44" t="str">
        <f t="shared" si="176"/>
        <v>D</v>
      </c>
      <c r="AT1594" s="44" t="str">
        <f t="shared" si="114"/>
        <v>Dw</v>
      </c>
      <c r="AU1594" s="44" t="str">
        <f t="shared" si="115"/>
        <v>Dwa</v>
      </c>
      <c r="AV1594" s="38">
        <v>1.0</v>
      </c>
      <c r="AW1594" s="38">
        <v>1.0</v>
      </c>
      <c r="AX1594" s="38"/>
      <c r="AY1594" s="38" t="s">
        <v>92</v>
      </c>
      <c r="AZ1594" s="29">
        <v>1000.0</v>
      </c>
      <c r="BA1594" s="29"/>
      <c r="BB1594" s="29">
        <v>2.0</v>
      </c>
      <c r="BC1594" s="29" t="s">
        <v>219</v>
      </c>
      <c r="BD1594" s="29" t="s">
        <v>88</v>
      </c>
      <c r="BE1594" s="29"/>
      <c r="BF1594" s="29"/>
      <c r="BG1594" s="29" t="s">
        <v>220</v>
      </c>
      <c r="BH1594" s="29" t="s">
        <v>92</v>
      </c>
      <c r="BI1594" s="29" t="s">
        <v>1441</v>
      </c>
      <c r="BJ1594" s="29"/>
      <c r="BK1594" s="29"/>
      <c r="BL1594" s="29"/>
      <c r="BM1594" s="45"/>
      <c r="BN1594" s="45"/>
      <c r="BO1594" s="46"/>
      <c r="BP1594" s="2"/>
      <c r="BQ1594" s="3"/>
    </row>
    <row r="1595" ht="15.75" customHeight="1">
      <c r="A1595" s="34">
        <v>1640.0</v>
      </c>
      <c r="B1595" s="34">
        <v>103486.0</v>
      </c>
      <c r="C1595" s="34" t="s">
        <v>76</v>
      </c>
      <c r="D1595" s="34" t="s">
        <v>2686</v>
      </c>
      <c r="E1595" s="34" t="s">
        <v>1449</v>
      </c>
      <c r="F1595" s="34">
        <v>2017.0</v>
      </c>
      <c r="G1595" s="34" t="s">
        <v>2687</v>
      </c>
      <c r="H1595" s="34" t="s">
        <v>2688</v>
      </c>
      <c r="I1595" s="34" t="s">
        <v>2689</v>
      </c>
      <c r="J1595" s="35"/>
      <c r="K1595" s="36">
        <v>-18.15</v>
      </c>
      <c r="L1595" s="36">
        <v>67.78</v>
      </c>
      <c r="M1595" s="36"/>
      <c r="N1595" s="36"/>
      <c r="O1595" s="36"/>
      <c r="P1595" s="52">
        <f t="shared" si="188"/>
        <v>-26.77781056</v>
      </c>
      <c r="Q1595" s="36" t="s">
        <v>191</v>
      </c>
      <c r="R1595" s="36" t="s">
        <v>191</v>
      </c>
      <c r="S1595" s="36">
        <v>1000.0</v>
      </c>
      <c r="T1595" s="36" t="s">
        <v>356</v>
      </c>
      <c r="U1595" s="36" t="s">
        <v>246</v>
      </c>
      <c r="V1595" s="36"/>
      <c r="W1595" s="36"/>
      <c r="X1595" s="38">
        <v>1.0</v>
      </c>
      <c r="Y1595" s="38" t="s">
        <v>2690</v>
      </c>
      <c r="Z1595" s="68" t="s">
        <v>1434</v>
      </c>
      <c r="AA1595" s="38" t="s">
        <v>86</v>
      </c>
      <c r="AB1595" s="38" t="s">
        <v>1435</v>
      </c>
      <c r="AC1595" s="38" t="s">
        <v>1436</v>
      </c>
      <c r="AD1595" s="38" t="s">
        <v>1130</v>
      </c>
      <c r="AE1595" s="53"/>
      <c r="AF1595" s="38" t="s">
        <v>2674</v>
      </c>
      <c r="AG1595" s="57"/>
      <c r="AH1595" s="38">
        <v>10.0</v>
      </c>
      <c r="AI1595" s="50">
        <v>37.16</v>
      </c>
      <c r="AJ1595" s="50">
        <v>127.65</v>
      </c>
      <c r="AK1595" s="41" t="s">
        <v>86</v>
      </c>
      <c r="AL1595" s="40" t="s">
        <v>86</v>
      </c>
      <c r="AM1595" s="49">
        <v>65.0</v>
      </c>
      <c r="AN1595" s="51">
        <v>65.0</v>
      </c>
      <c r="AO1595" s="42" t="s">
        <v>218</v>
      </c>
      <c r="AP1595" s="43" t="s">
        <v>218</v>
      </c>
      <c r="AQ1595" s="44" t="str">
        <f t="shared" si="189"/>
        <v>CRO</v>
      </c>
      <c r="AR1595" s="44">
        <f t="shared" si="144"/>
        <v>65</v>
      </c>
      <c r="AS1595" s="44" t="str">
        <f t="shared" si="176"/>
        <v>D</v>
      </c>
      <c r="AT1595" s="44" t="str">
        <f t="shared" si="114"/>
        <v>Dw</v>
      </c>
      <c r="AU1595" s="44" t="str">
        <f t="shared" si="115"/>
        <v>Dwa</v>
      </c>
      <c r="AV1595" s="38">
        <v>3.0</v>
      </c>
      <c r="AW1595" s="38">
        <v>1.0</v>
      </c>
      <c r="AX1595" s="38"/>
      <c r="AY1595" s="38" t="s">
        <v>92</v>
      </c>
      <c r="AZ1595" s="29">
        <v>1000.0</v>
      </c>
      <c r="BA1595" s="29"/>
      <c r="BB1595" s="29">
        <v>2.0</v>
      </c>
      <c r="BC1595" s="29" t="s">
        <v>219</v>
      </c>
      <c r="BD1595" s="29" t="s">
        <v>88</v>
      </c>
      <c r="BE1595" s="29"/>
      <c r="BF1595" s="29"/>
      <c r="BG1595" s="29" t="s">
        <v>220</v>
      </c>
      <c r="BH1595" s="29" t="s">
        <v>92</v>
      </c>
      <c r="BI1595" s="29" t="s">
        <v>1441</v>
      </c>
      <c r="BJ1595" s="29"/>
      <c r="BK1595" s="29"/>
      <c r="BL1595" s="29"/>
      <c r="BM1595" s="45"/>
      <c r="BN1595" s="45"/>
      <c r="BO1595" s="46"/>
      <c r="BP1595" s="2"/>
      <c r="BQ1595" s="3"/>
    </row>
    <row r="1596" ht="15.75" customHeight="1">
      <c r="A1596" s="34">
        <v>1641.0</v>
      </c>
      <c r="B1596" s="34">
        <v>103486.0</v>
      </c>
      <c r="C1596" s="34" t="s">
        <v>76</v>
      </c>
      <c r="D1596" s="34" t="s">
        <v>2686</v>
      </c>
      <c r="E1596" s="34" t="s">
        <v>1449</v>
      </c>
      <c r="F1596" s="34">
        <v>2017.0</v>
      </c>
      <c r="G1596" s="34" t="s">
        <v>2687</v>
      </c>
      <c r="H1596" s="34" t="s">
        <v>2688</v>
      </c>
      <c r="I1596" s="34" t="s">
        <v>2689</v>
      </c>
      <c r="J1596" s="35"/>
      <c r="K1596" s="36">
        <v>-26.18</v>
      </c>
      <c r="L1596" s="36">
        <v>75.81</v>
      </c>
      <c r="M1596" s="36"/>
      <c r="N1596" s="36"/>
      <c r="O1596" s="36"/>
      <c r="P1596" s="52">
        <f t="shared" si="188"/>
        <v>-34.53370268</v>
      </c>
      <c r="Q1596" s="36" t="s">
        <v>191</v>
      </c>
      <c r="R1596" s="36" t="s">
        <v>191</v>
      </c>
      <c r="S1596" s="36">
        <v>1000.0</v>
      </c>
      <c r="T1596" s="36" t="s">
        <v>356</v>
      </c>
      <c r="U1596" s="36" t="s">
        <v>246</v>
      </c>
      <c r="V1596" s="36"/>
      <c r="W1596" s="36"/>
      <c r="X1596" s="38">
        <v>1.0</v>
      </c>
      <c r="Y1596" s="38" t="s">
        <v>2690</v>
      </c>
      <c r="Z1596" s="68" t="s">
        <v>1434</v>
      </c>
      <c r="AA1596" s="38" t="s">
        <v>86</v>
      </c>
      <c r="AB1596" s="38" t="s">
        <v>1435</v>
      </c>
      <c r="AC1596" s="38" t="s">
        <v>1436</v>
      </c>
      <c r="AD1596" s="38" t="s">
        <v>1130</v>
      </c>
      <c r="AE1596" s="53"/>
      <c r="AF1596" s="38" t="s">
        <v>2674</v>
      </c>
      <c r="AG1596" s="57"/>
      <c r="AH1596" s="38">
        <v>10.0</v>
      </c>
      <c r="AI1596" s="50">
        <v>37.16</v>
      </c>
      <c r="AJ1596" s="50">
        <v>127.65</v>
      </c>
      <c r="AK1596" s="41" t="s">
        <v>86</v>
      </c>
      <c r="AL1596" s="40" t="s">
        <v>86</v>
      </c>
      <c r="AM1596" s="49">
        <v>65.0</v>
      </c>
      <c r="AN1596" s="51">
        <v>65.0</v>
      </c>
      <c r="AO1596" s="42" t="s">
        <v>218</v>
      </c>
      <c r="AP1596" s="43" t="s">
        <v>218</v>
      </c>
      <c r="AQ1596" s="44" t="str">
        <f t="shared" si="189"/>
        <v>CRO</v>
      </c>
      <c r="AR1596" s="44">
        <f t="shared" si="144"/>
        <v>65</v>
      </c>
      <c r="AS1596" s="44" t="str">
        <f t="shared" si="176"/>
        <v>D</v>
      </c>
      <c r="AT1596" s="44" t="str">
        <f t="shared" si="114"/>
        <v>Dw</v>
      </c>
      <c r="AU1596" s="44" t="str">
        <f t="shared" si="115"/>
        <v>Dwa</v>
      </c>
      <c r="AV1596" s="38">
        <v>2.0</v>
      </c>
      <c r="AW1596" s="38">
        <v>1.0</v>
      </c>
      <c r="AX1596" s="38"/>
      <c r="AY1596" s="38" t="s">
        <v>92</v>
      </c>
      <c r="AZ1596" s="29">
        <v>1000.0</v>
      </c>
      <c r="BA1596" s="29"/>
      <c r="BB1596" s="29">
        <v>2.0</v>
      </c>
      <c r="BC1596" s="29" t="s">
        <v>219</v>
      </c>
      <c r="BD1596" s="29" t="s">
        <v>88</v>
      </c>
      <c r="BE1596" s="29"/>
      <c r="BF1596" s="29"/>
      <c r="BG1596" s="29" t="s">
        <v>220</v>
      </c>
      <c r="BH1596" s="29" t="s">
        <v>92</v>
      </c>
      <c r="BI1596" s="29" t="s">
        <v>1441</v>
      </c>
      <c r="BJ1596" s="29"/>
      <c r="BK1596" s="29"/>
      <c r="BL1596" s="29"/>
      <c r="BM1596" s="45"/>
      <c r="BN1596" s="45"/>
      <c r="BO1596" s="46"/>
      <c r="BP1596" s="2" t="s">
        <v>682</v>
      </c>
      <c r="BQ1596" s="3"/>
    </row>
    <row r="1597" ht="15.75" customHeight="1">
      <c r="A1597" s="34">
        <v>1642.0</v>
      </c>
      <c r="B1597" s="34">
        <v>103486.0</v>
      </c>
      <c r="C1597" s="34" t="s">
        <v>76</v>
      </c>
      <c r="D1597" s="34" t="s">
        <v>2686</v>
      </c>
      <c r="E1597" s="34" t="s">
        <v>1449</v>
      </c>
      <c r="F1597" s="34">
        <v>2017.0</v>
      </c>
      <c r="G1597" s="34" t="s">
        <v>2687</v>
      </c>
      <c r="H1597" s="34" t="s">
        <v>2688</v>
      </c>
      <c r="I1597" s="34" t="s">
        <v>2689</v>
      </c>
      <c r="J1597" s="35"/>
      <c r="K1597" s="36">
        <v>34.06</v>
      </c>
      <c r="L1597" s="36">
        <v>27.12</v>
      </c>
      <c r="M1597" s="36"/>
      <c r="N1597" s="36"/>
      <c r="O1597" s="36"/>
      <c r="P1597" s="86">
        <f t="shared" si="188"/>
        <v>125.5899705</v>
      </c>
      <c r="Q1597" s="36" t="s">
        <v>191</v>
      </c>
      <c r="R1597" s="36" t="s">
        <v>191</v>
      </c>
      <c r="S1597" s="36">
        <v>1000.0</v>
      </c>
      <c r="T1597" s="36" t="s">
        <v>356</v>
      </c>
      <c r="U1597" s="36" t="s">
        <v>246</v>
      </c>
      <c r="V1597" s="36"/>
      <c r="W1597" s="36"/>
      <c r="X1597" s="38">
        <v>1.0</v>
      </c>
      <c r="Y1597" s="38" t="s">
        <v>2680</v>
      </c>
      <c r="Z1597" s="68" t="s">
        <v>1445</v>
      </c>
      <c r="AA1597" s="38" t="s">
        <v>452</v>
      </c>
      <c r="AB1597" s="38" t="s">
        <v>1446</v>
      </c>
      <c r="AC1597" s="38" t="s">
        <v>1447</v>
      </c>
      <c r="AD1597" s="38" t="s">
        <v>1130</v>
      </c>
      <c r="AE1597" s="38">
        <v>269.0</v>
      </c>
      <c r="AF1597" s="38"/>
      <c r="AG1597" s="38"/>
      <c r="AH1597" s="38">
        <v>20.0</v>
      </c>
      <c r="AI1597" s="50">
        <v>37.94</v>
      </c>
      <c r="AJ1597" s="50">
        <v>126.95</v>
      </c>
      <c r="AK1597" s="41" t="s">
        <v>370</v>
      </c>
      <c r="AL1597" s="40" t="s">
        <v>370</v>
      </c>
      <c r="AM1597" s="49">
        <v>244.0</v>
      </c>
      <c r="AN1597" s="51">
        <v>244.0</v>
      </c>
      <c r="AO1597" s="42" t="s">
        <v>218</v>
      </c>
      <c r="AP1597" s="43" t="s">
        <v>218</v>
      </c>
      <c r="AQ1597" s="44" t="str">
        <f t="shared" si="189"/>
        <v>MF</v>
      </c>
      <c r="AR1597" s="44">
        <f t="shared" si="144"/>
        <v>244</v>
      </c>
      <c r="AS1597" s="44" t="str">
        <f t="shared" si="176"/>
        <v>D</v>
      </c>
      <c r="AT1597" s="44" t="str">
        <f t="shared" si="114"/>
        <v>Dw</v>
      </c>
      <c r="AU1597" s="44" t="str">
        <f t="shared" si="115"/>
        <v>Dwa</v>
      </c>
      <c r="AV1597" s="38">
        <v>1.0</v>
      </c>
      <c r="AW1597" s="38">
        <v>1.0</v>
      </c>
      <c r="AX1597" s="38"/>
      <c r="AY1597" s="38" t="s">
        <v>92</v>
      </c>
      <c r="AZ1597" s="29">
        <v>1000.0</v>
      </c>
      <c r="BA1597" s="29"/>
      <c r="BB1597" s="29">
        <v>2.0</v>
      </c>
      <c r="BC1597" s="29" t="s">
        <v>219</v>
      </c>
      <c r="BD1597" s="29" t="s">
        <v>88</v>
      </c>
      <c r="BE1597" s="29"/>
      <c r="BF1597" s="29"/>
      <c r="BG1597" s="29" t="s">
        <v>220</v>
      </c>
      <c r="BH1597" s="29" t="s">
        <v>92</v>
      </c>
      <c r="BI1597" s="29" t="s">
        <v>1441</v>
      </c>
      <c r="BJ1597" s="29"/>
      <c r="BK1597" s="29"/>
      <c r="BL1597" s="29"/>
      <c r="BM1597" s="45"/>
      <c r="BN1597" s="45"/>
      <c r="BO1597" s="46"/>
      <c r="BP1597" s="2"/>
      <c r="BQ1597" s="3"/>
    </row>
    <row r="1598" ht="15.75" customHeight="1">
      <c r="A1598" s="34">
        <v>1643.0</v>
      </c>
      <c r="B1598" s="34">
        <v>103486.0</v>
      </c>
      <c r="C1598" s="34" t="s">
        <v>76</v>
      </c>
      <c r="D1598" s="34" t="s">
        <v>2686</v>
      </c>
      <c r="E1598" s="34" t="s">
        <v>1449</v>
      </c>
      <c r="F1598" s="34">
        <v>2017.0</v>
      </c>
      <c r="G1598" s="34" t="s">
        <v>2687</v>
      </c>
      <c r="H1598" s="34" t="s">
        <v>2688</v>
      </c>
      <c r="I1598" s="34" t="s">
        <v>2689</v>
      </c>
      <c r="J1598" s="35"/>
      <c r="K1598" s="36">
        <v>9.63</v>
      </c>
      <c r="L1598" s="36">
        <v>51.55</v>
      </c>
      <c r="M1598" s="36"/>
      <c r="N1598" s="36"/>
      <c r="O1598" s="36"/>
      <c r="P1598" s="52">
        <f t="shared" si="188"/>
        <v>18.68089234</v>
      </c>
      <c r="Q1598" s="36" t="s">
        <v>191</v>
      </c>
      <c r="R1598" s="36" t="s">
        <v>191</v>
      </c>
      <c r="S1598" s="36">
        <v>1000.0</v>
      </c>
      <c r="T1598" s="36" t="s">
        <v>356</v>
      </c>
      <c r="U1598" s="36" t="s">
        <v>246</v>
      </c>
      <c r="V1598" s="36"/>
      <c r="W1598" s="36"/>
      <c r="X1598" s="38">
        <v>1.0</v>
      </c>
      <c r="Y1598" s="38" t="s">
        <v>2680</v>
      </c>
      <c r="Z1598" s="68" t="s">
        <v>1445</v>
      </c>
      <c r="AA1598" s="38" t="s">
        <v>452</v>
      </c>
      <c r="AB1598" s="38" t="s">
        <v>1446</v>
      </c>
      <c r="AC1598" s="38" t="s">
        <v>1447</v>
      </c>
      <c r="AD1598" s="38" t="s">
        <v>1130</v>
      </c>
      <c r="AE1598" s="38">
        <v>269.0</v>
      </c>
      <c r="AF1598" s="38"/>
      <c r="AG1598" s="38"/>
      <c r="AH1598" s="38">
        <v>20.0</v>
      </c>
      <c r="AI1598" s="50">
        <v>37.94</v>
      </c>
      <c r="AJ1598" s="50">
        <v>126.95</v>
      </c>
      <c r="AK1598" s="41" t="s">
        <v>370</v>
      </c>
      <c r="AL1598" s="40" t="s">
        <v>370</v>
      </c>
      <c r="AM1598" s="49">
        <v>244.0</v>
      </c>
      <c r="AN1598" s="51">
        <v>244.0</v>
      </c>
      <c r="AO1598" s="42" t="s">
        <v>218</v>
      </c>
      <c r="AP1598" s="43" t="s">
        <v>218</v>
      </c>
      <c r="AQ1598" s="44" t="str">
        <f t="shared" si="189"/>
        <v>MF</v>
      </c>
      <c r="AR1598" s="44">
        <f t="shared" si="144"/>
        <v>244</v>
      </c>
      <c r="AS1598" s="44" t="str">
        <f t="shared" si="176"/>
        <v>D</v>
      </c>
      <c r="AT1598" s="44" t="str">
        <f t="shared" si="114"/>
        <v>Dw</v>
      </c>
      <c r="AU1598" s="44" t="str">
        <f t="shared" si="115"/>
        <v>Dwa</v>
      </c>
      <c r="AV1598" s="38">
        <v>3.0</v>
      </c>
      <c r="AW1598" s="38">
        <v>1.0</v>
      </c>
      <c r="AX1598" s="38"/>
      <c r="AY1598" s="38" t="s">
        <v>92</v>
      </c>
      <c r="AZ1598" s="29">
        <v>1000.0</v>
      </c>
      <c r="BA1598" s="29"/>
      <c r="BB1598" s="29">
        <v>2.0</v>
      </c>
      <c r="BC1598" s="29" t="s">
        <v>219</v>
      </c>
      <c r="BD1598" s="29" t="s">
        <v>88</v>
      </c>
      <c r="BE1598" s="29"/>
      <c r="BF1598" s="29"/>
      <c r="BG1598" s="29" t="s">
        <v>220</v>
      </c>
      <c r="BH1598" s="29" t="s">
        <v>92</v>
      </c>
      <c r="BI1598" s="29" t="s">
        <v>1441</v>
      </c>
      <c r="BJ1598" s="29"/>
      <c r="BK1598" s="29"/>
      <c r="BL1598" s="29"/>
      <c r="BM1598" s="45"/>
      <c r="BN1598" s="45"/>
      <c r="BO1598" s="46"/>
      <c r="BP1598" s="2"/>
      <c r="BQ1598" s="3"/>
    </row>
    <row r="1599" ht="15.75" customHeight="1">
      <c r="A1599" s="34">
        <v>1644.0</v>
      </c>
      <c r="B1599" s="34">
        <v>103486.0</v>
      </c>
      <c r="C1599" s="34" t="s">
        <v>76</v>
      </c>
      <c r="D1599" s="34" t="s">
        <v>2686</v>
      </c>
      <c r="E1599" s="34" t="s">
        <v>1449</v>
      </c>
      <c r="F1599" s="34">
        <v>2017.0</v>
      </c>
      <c r="G1599" s="34" t="s">
        <v>2687</v>
      </c>
      <c r="H1599" s="34" t="s">
        <v>2688</v>
      </c>
      <c r="I1599" s="34" t="s">
        <v>2689</v>
      </c>
      <c r="J1599" s="35"/>
      <c r="K1599" s="36">
        <v>-13.33</v>
      </c>
      <c r="L1599" s="36">
        <v>74.51</v>
      </c>
      <c r="M1599" s="36"/>
      <c r="N1599" s="36"/>
      <c r="O1599" s="36"/>
      <c r="P1599" s="52">
        <f t="shared" si="188"/>
        <v>-17.89021608</v>
      </c>
      <c r="Q1599" s="36" t="s">
        <v>191</v>
      </c>
      <c r="R1599" s="36" t="s">
        <v>191</v>
      </c>
      <c r="S1599" s="36">
        <v>1000.0</v>
      </c>
      <c r="T1599" s="36" t="s">
        <v>356</v>
      </c>
      <c r="U1599" s="36" t="s">
        <v>246</v>
      </c>
      <c r="V1599" s="36"/>
      <c r="W1599" s="36"/>
      <c r="X1599" s="38">
        <v>1.0</v>
      </c>
      <c r="Y1599" s="38" t="s">
        <v>2680</v>
      </c>
      <c r="Z1599" s="68" t="s">
        <v>1445</v>
      </c>
      <c r="AA1599" s="38" t="s">
        <v>452</v>
      </c>
      <c r="AB1599" s="38" t="s">
        <v>1446</v>
      </c>
      <c r="AC1599" s="38" t="s">
        <v>1447</v>
      </c>
      <c r="AD1599" s="38" t="s">
        <v>1130</v>
      </c>
      <c r="AE1599" s="38">
        <v>269.0</v>
      </c>
      <c r="AF1599" s="38"/>
      <c r="AG1599" s="38"/>
      <c r="AH1599" s="38">
        <v>20.0</v>
      </c>
      <c r="AI1599" s="50">
        <v>37.94</v>
      </c>
      <c r="AJ1599" s="50">
        <v>126.95</v>
      </c>
      <c r="AK1599" s="41" t="s">
        <v>370</v>
      </c>
      <c r="AL1599" s="40" t="s">
        <v>370</v>
      </c>
      <c r="AM1599" s="49">
        <v>244.0</v>
      </c>
      <c r="AN1599" s="51">
        <v>244.0</v>
      </c>
      <c r="AO1599" s="42" t="s">
        <v>218</v>
      </c>
      <c r="AP1599" s="43" t="s">
        <v>218</v>
      </c>
      <c r="AQ1599" s="44" t="str">
        <f t="shared" si="189"/>
        <v>MF</v>
      </c>
      <c r="AR1599" s="44">
        <f t="shared" si="144"/>
        <v>244</v>
      </c>
      <c r="AS1599" s="44" t="str">
        <f t="shared" si="176"/>
        <v>D</v>
      </c>
      <c r="AT1599" s="44" t="str">
        <f t="shared" si="114"/>
        <v>Dw</v>
      </c>
      <c r="AU1599" s="44" t="str">
        <f t="shared" si="115"/>
        <v>Dwa</v>
      </c>
      <c r="AV1599" s="38">
        <v>2.0</v>
      </c>
      <c r="AW1599" s="38">
        <v>1.0</v>
      </c>
      <c r="AX1599" s="38"/>
      <c r="AY1599" s="38" t="s">
        <v>92</v>
      </c>
      <c r="AZ1599" s="29">
        <v>1000.0</v>
      </c>
      <c r="BA1599" s="29"/>
      <c r="BB1599" s="29">
        <v>2.0</v>
      </c>
      <c r="BC1599" s="29" t="s">
        <v>219</v>
      </c>
      <c r="BD1599" s="29" t="s">
        <v>88</v>
      </c>
      <c r="BE1599" s="29"/>
      <c r="BF1599" s="29"/>
      <c r="BG1599" s="29" t="s">
        <v>220</v>
      </c>
      <c r="BH1599" s="29" t="s">
        <v>92</v>
      </c>
      <c r="BI1599" s="29" t="s">
        <v>1441</v>
      </c>
      <c r="BJ1599" s="29"/>
      <c r="BK1599" s="29"/>
      <c r="BL1599" s="29"/>
      <c r="BM1599" s="45"/>
      <c r="BN1599" s="45"/>
      <c r="BO1599" s="46"/>
      <c r="BP1599" s="2"/>
      <c r="BQ1599" s="3"/>
    </row>
    <row r="1600" ht="15.75" customHeight="1">
      <c r="A1600" s="34">
        <v>1654.0</v>
      </c>
      <c r="B1600" s="34">
        <v>203258.0</v>
      </c>
      <c r="C1600" s="34" t="s">
        <v>76</v>
      </c>
      <c r="D1600" s="34" t="s">
        <v>2691</v>
      </c>
      <c r="E1600" s="34" t="s">
        <v>2692</v>
      </c>
      <c r="F1600" s="34">
        <v>2021.0</v>
      </c>
      <c r="G1600" s="34" t="s">
        <v>2693</v>
      </c>
      <c r="H1600" s="34" t="s">
        <v>1614</v>
      </c>
      <c r="I1600" s="34" t="s">
        <v>2694</v>
      </c>
      <c r="J1600" s="35"/>
      <c r="K1600" s="36">
        <v>-0.42</v>
      </c>
      <c r="L1600" s="36"/>
      <c r="M1600" s="36"/>
      <c r="N1600" s="36"/>
      <c r="O1600" s="36"/>
      <c r="P1600" s="37">
        <v>-22.1</v>
      </c>
      <c r="Q1600" s="36"/>
      <c r="R1600" s="36" t="s">
        <v>96</v>
      </c>
      <c r="S1600" s="36">
        <v>1000.0</v>
      </c>
      <c r="T1600" s="36" t="s">
        <v>818</v>
      </c>
      <c r="U1600" s="36" t="s">
        <v>168</v>
      </c>
      <c r="V1600" s="36"/>
      <c r="W1600" s="36" t="s">
        <v>169</v>
      </c>
      <c r="X1600" s="38">
        <v>1.0</v>
      </c>
      <c r="Y1600" s="38" t="s">
        <v>819</v>
      </c>
      <c r="Z1600" s="38" t="s">
        <v>1163</v>
      </c>
      <c r="AA1600" s="38" t="s">
        <v>86</v>
      </c>
      <c r="AB1600" s="38" t="s">
        <v>2695</v>
      </c>
      <c r="AC1600" s="38" t="s">
        <v>2696</v>
      </c>
      <c r="AD1600" s="38" t="s">
        <v>198</v>
      </c>
      <c r="AE1600" s="53"/>
      <c r="AF1600" s="38" t="s">
        <v>260</v>
      </c>
      <c r="AG1600" s="38"/>
      <c r="AH1600" s="38"/>
      <c r="AI1600" s="50">
        <v>36.515</v>
      </c>
      <c r="AJ1600" s="50">
        <v>115.126</v>
      </c>
      <c r="AK1600" s="41" t="s">
        <v>86</v>
      </c>
      <c r="AL1600" s="40" t="s">
        <v>86</v>
      </c>
      <c r="AM1600" s="49">
        <v>42.0</v>
      </c>
      <c r="AN1600" s="51">
        <v>42.0</v>
      </c>
      <c r="AO1600" s="42" t="s">
        <v>293</v>
      </c>
      <c r="AP1600" s="43" t="s">
        <v>293</v>
      </c>
      <c r="AQ1600" s="44" t="str">
        <f t="shared" si="189"/>
        <v>CRO</v>
      </c>
      <c r="AR1600" s="44">
        <f t="shared" si="144"/>
        <v>42</v>
      </c>
      <c r="AS1600" s="44" t="str">
        <f t="shared" si="176"/>
        <v>B</v>
      </c>
      <c r="AT1600" s="44" t="str">
        <f t="shared" si="114"/>
        <v>BS</v>
      </c>
      <c r="AU1600" s="44" t="str">
        <f t="shared" si="115"/>
        <v>BSk</v>
      </c>
      <c r="AV1600" s="38">
        <v>3.0</v>
      </c>
      <c r="AW1600" s="38"/>
      <c r="AX1600" s="38"/>
      <c r="AY1600" s="38" t="s">
        <v>92</v>
      </c>
      <c r="AZ1600" s="29">
        <v>1000.0</v>
      </c>
      <c r="BA1600" s="29"/>
      <c r="BB1600" s="29">
        <v>1.0</v>
      </c>
      <c r="BC1600" s="29" t="s">
        <v>2697</v>
      </c>
      <c r="BD1600" s="29" t="s">
        <v>88</v>
      </c>
      <c r="BE1600" s="29" t="s">
        <v>89</v>
      </c>
      <c r="BF1600" s="29" t="s">
        <v>2698</v>
      </c>
      <c r="BG1600" s="29" t="s">
        <v>220</v>
      </c>
      <c r="BH1600" s="29" t="s">
        <v>92</v>
      </c>
      <c r="BI1600" s="29" t="s">
        <v>2699</v>
      </c>
      <c r="BJ1600" s="29"/>
      <c r="BK1600" s="29" t="s">
        <v>148</v>
      </c>
      <c r="BL1600" s="29"/>
      <c r="BM1600" s="45">
        <v>1.0</v>
      </c>
      <c r="BN1600" s="45"/>
      <c r="BO1600" s="46" t="s">
        <v>2700</v>
      </c>
      <c r="BP1600" s="2"/>
      <c r="BQ1600" s="3"/>
    </row>
    <row r="1601" ht="15.75" customHeight="1">
      <c r="A1601" s="34">
        <v>1655.0</v>
      </c>
      <c r="B1601" s="34">
        <v>203258.0</v>
      </c>
      <c r="C1601" s="34" t="s">
        <v>76</v>
      </c>
      <c r="D1601" s="34" t="s">
        <v>2691</v>
      </c>
      <c r="E1601" s="34" t="s">
        <v>2692</v>
      </c>
      <c r="F1601" s="34">
        <v>2021.0</v>
      </c>
      <c r="G1601" s="34" t="s">
        <v>2693</v>
      </c>
      <c r="H1601" s="34" t="s">
        <v>1614</v>
      </c>
      <c r="I1601" s="34" t="s">
        <v>2694</v>
      </c>
      <c r="J1601" s="35"/>
      <c r="K1601" s="36">
        <v>-0.07</v>
      </c>
      <c r="L1601" s="36"/>
      <c r="M1601" s="36"/>
      <c r="N1601" s="36"/>
      <c r="O1601" s="36"/>
      <c r="P1601" s="37">
        <v>-4.2</v>
      </c>
      <c r="Q1601" s="36"/>
      <c r="R1601" s="36" t="s">
        <v>96</v>
      </c>
      <c r="S1601" s="36">
        <v>1000.0</v>
      </c>
      <c r="T1601" s="36" t="s">
        <v>818</v>
      </c>
      <c r="U1601" s="36" t="s">
        <v>168</v>
      </c>
      <c r="V1601" s="36"/>
      <c r="W1601" s="36" t="s">
        <v>169</v>
      </c>
      <c r="X1601" s="38">
        <v>1.0</v>
      </c>
      <c r="Y1601" s="38" t="s">
        <v>827</v>
      </c>
      <c r="Z1601" s="68" t="s">
        <v>828</v>
      </c>
      <c r="AA1601" s="38" t="s">
        <v>86</v>
      </c>
      <c r="AB1601" s="38" t="s">
        <v>2701</v>
      </c>
      <c r="AC1601" s="38" t="s">
        <v>2702</v>
      </c>
      <c r="AD1601" s="38" t="s">
        <v>198</v>
      </c>
      <c r="AE1601" s="38"/>
      <c r="AF1601" s="38" t="s">
        <v>2703</v>
      </c>
      <c r="AG1601" s="38"/>
      <c r="AH1601" s="38"/>
      <c r="AI1601" s="50">
        <v>40.37</v>
      </c>
      <c r="AJ1601" s="50">
        <v>117.19</v>
      </c>
      <c r="AK1601" s="41" t="s">
        <v>288</v>
      </c>
      <c r="AL1601" s="40" t="s">
        <v>288</v>
      </c>
      <c r="AM1601" s="49">
        <v>585.0</v>
      </c>
      <c r="AN1601" s="51">
        <v>585.0</v>
      </c>
      <c r="AO1601" s="42" t="s">
        <v>218</v>
      </c>
      <c r="AP1601" s="43" t="s">
        <v>218</v>
      </c>
      <c r="AQ1601" s="44" t="str">
        <f t="shared" si="189"/>
        <v>CRO</v>
      </c>
      <c r="AR1601" s="44">
        <f t="shared" si="144"/>
        <v>585</v>
      </c>
      <c r="AS1601" s="44" t="str">
        <f t="shared" si="176"/>
        <v>D</v>
      </c>
      <c r="AT1601" s="44" t="str">
        <f t="shared" si="114"/>
        <v>Dw</v>
      </c>
      <c r="AU1601" s="44" t="str">
        <f t="shared" si="115"/>
        <v>Dwa</v>
      </c>
      <c r="AV1601" s="38">
        <v>3.0</v>
      </c>
      <c r="AW1601" s="38"/>
      <c r="AX1601" s="38"/>
      <c r="AY1601" s="38" t="s">
        <v>92</v>
      </c>
      <c r="AZ1601" s="29">
        <v>1000.0</v>
      </c>
      <c r="BA1601" s="29"/>
      <c r="BB1601" s="29">
        <v>1.0</v>
      </c>
      <c r="BC1601" s="29" t="s">
        <v>2697</v>
      </c>
      <c r="BD1601" s="29" t="s">
        <v>88</v>
      </c>
      <c r="BE1601" s="29" t="s">
        <v>89</v>
      </c>
      <c r="BF1601" s="29" t="s">
        <v>2704</v>
      </c>
      <c r="BG1601" s="29" t="s">
        <v>220</v>
      </c>
      <c r="BH1601" s="29" t="s">
        <v>92</v>
      </c>
      <c r="BI1601" s="29" t="s">
        <v>2699</v>
      </c>
      <c r="BJ1601" s="29"/>
      <c r="BK1601" s="29" t="s">
        <v>148</v>
      </c>
      <c r="BL1601" s="29"/>
      <c r="BM1601" s="45">
        <v>1.0</v>
      </c>
      <c r="BN1601" s="45"/>
      <c r="BO1601" s="46"/>
      <c r="BP1601" s="2"/>
      <c r="BQ1601" s="3"/>
    </row>
    <row r="1602" ht="15.75" customHeight="1">
      <c r="A1602" s="34">
        <v>1656.0</v>
      </c>
      <c r="B1602" s="34">
        <v>203258.0</v>
      </c>
      <c r="C1602" s="34" t="s">
        <v>76</v>
      </c>
      <c r="D1602" s="34" t="s">
        <v>2691</v>
      </c>
      <c r="E1602" s="34" t="s">
        <v>2692</v>
      </c>
      <c r="F1602" s="34">
        <v>2021.0</v>
      </c>
      <c r="G1602" s="34" t="s">
        <v>2693</v>
      </c>
      <c r="H1602" s="34" t="s">
        <v>1614</v>
      </c>
      <c r="I1602" s="34" t="s">
        <v>2694</v>
      </c>
      <c r="J1602" s="35"/>
      <c r="K1602" s="36">
        <v>-0.38</v>
      </c>
      <c r="L1602" s="36"/>
      <c r="M1602" s="36"/>
      <c r="N1602" s="36"/>
      <c r="O1602" s="36"/>
      <c r="P1602" s="37">
        <v>-22.5</v>
      </c>
      <c r="Q1602" s="36"/>
      <c r="R1602" s="36" t="s">
        <v>191</v>
      </c>
      <c r="S1602" s="36">
        <v>1000.0</v>
      </c>
      <c r="T1602" s="36" t="s">
        <v>818</v>
      </c>
      <c r="U1602" s="36" t="s">
        <v>168</v>
      </c>
      <c r="V1602" s="36"/>
      <c r="W1602" s="36" t="s">
        <v>169</v>
      </c>
      <c r="X1602" s="38">
        <v>1.0</v>
      </c>
      <c r="Y1602" s="38" t="s">
        <v>819</v>
      </c>
      <c r="Z1602" s="38" t="s">
        <v>1163</v>
      </c>
      <c r="AA1602" s="38" t="s">
        <v>86</v>
      </c>
      <c r="AB1602" s="38" t="s">
        <v>2695</v>
      </c>
      <c r="AC1602" s="38" t="s">
        <v>2696</v>
      </c>
      <c r="AD1602" s="38" t="s">
        <v>198</v>
      </c>
      <c r="AE1602" s="53"/>
      <c r="AF1602" s="38" t="s">
        <v>260</v>
      </c>
      <c r="AG1602" s="38"/>
      <c r="AH1602" s="38"/>
      <c r="AI1602" s="50">
        <v>36.515</v>
      </c>
      <c r="AJ1602" s="50">
        <v>115.126</v>
      </c>
      <c r="AK1602" s="41" t="s">
        <v>86</v>
      </c>
      <c r="AL1602" s="40" t="s">
        <v>86</v>
      </c>
      <c r="AM1602" s="49">
        <v>42.0</v>
      </c>
      <c r="AN1602" s="51">
        <v>42.0</v>
      </c>
      <c r="AO1602" s="42" t="s">
        <v>293</v>
      </c>
      <c r="AP1602" s="43" t="s">
        <v>293</v>
      </c>
      <c r="AQ1602" s="44" t="str">
        <f t="shared" si="189"/>
        <v>CRO</v>
      </c>
      <c r="AR1602" s="44">
        <f t="shared" si="144"/>
        <v>42</v>
      </c>
      <c r="AS1602" s="44" t="str">
        <f t="shared" si="176"/>
        <v>B</v>
      </c>
      <c r="AT1602" s="44" t="str">
        <f t="shared" si="114"/>
        <v>BS</v>
      </c>
      <c r="AU1602" s="44" t="str">
        <f t="shared" si="115"/>
        <v>BSk</v>
      </c>
      <c r="AV1602" s="38">
        <v>3.0</v>
      </c>
      <c r="AW1602" s="38"/>
      <c r="AX1602" s="38"/>
      <c r="AY1602" s="38" t="s">
        <v>92</v>
      </c>
      <c r="AZ1602" s="29">
        <v>1000.0</v>
      </c>
      <c r="BA1602" s="29"/>
      <c r="BB1602" s="29">
        <v>1.0</v>
      </c>
      <c r="BC1602" s="29" t="s">
        <v>2697</v>
      </c>
      <c r="BD1602" s="29" t="s">
        <v>88</v>
      </c>
      <c r="BE1602" s="29" t="s">
        <v>89</v>
      </c>
      <c r="BF1602" s="29" t="s">
        <v>2705</v>
      </c>
      <c r="BG1602" s="29" t="s">
        <v>220</v>
      </c>
      <c r="BH1602" s="29" t="s">
        <v>92</v>
      </c>
      <c r="BI1602" s="29" t="s">
        <v>2699</v>
      </c>
      <c r="BJ1602" s="29"/>
      <c r="BK1602" s="29" t="s">
        <v>148</v>
      </c>
      <c r="BL1602" s="29"/>
      <c r="BM1602" s="45">
        <v>1.0</v>
      </c>
      <c r="BN1602" s="45"/>
      <c r="BO1602" s="46"/>
      <c r="BP1602" s="2"/>
      <c r="BQ1602" s="3"/>
    </row>
    <row r="1603" ht="15.75" customHeight="1">
      <c r="A1603" s="34">
        <v>1657.0</v>
      </c>
      <c r="B1603" s="34">
        <v>203258.0</v>
      </c>
      <c r="C1603" s="34" t="s">
        <v>76</v>
      </c>
      <c r="D1603" s="34" t="s">
        <v>2691</v>
      </c>
      <c r="E1603" s="34" t="s">
        <v>2692</v>
      </c>
      <c r="F1603" s="34">
        <v>2021.0</v>
      </c>
      <c r="G1603" s="34" t="s">
        <v>2693</v>
      </c>
      <c r="H1603" s="34" t="s">
        <v>1614</v>
      </c>
      <c r="I1603" s="34" t="s">
        <v>2694</v>
      </c>
      <c r="J1603" s="35"/>
      <c r="K1603" s="36">
        <v>-0.06</v>
      </c>
      <c r="L1603" s="36"/>
      <c r="M1603" s="36"/>
      <c r="N1603" s="36"/>
      <c r="O1603" s="36"/>
      <c r="P1603" s="37">
        <v>-3.1</v>
      </c>
      <c r="Q1603" s="36"/>
      <c r="R1603" s="36" t="s">
        <v>191</v>
      </c>
      <c r="S1603" s="36">
        <v>1000.0</v>
      </c>
      <c r="T1603" s="36" t="s">
        <v>818</v>
      </c>
      <c r="U1603" s="36" t="s">
        <v>168</v>
      </c>
      <c r="V1603" s="36"/>
      <c r="W1603" s="36" t="s">
        <v>169</v>
      </c>
      <c r="X1603" s="38">
        <v>1.0</v>
      </c>
      <c r="Y1603" s="38" t="s">
        <v>827</v>
      </c>
      <c r="Z1603" s="68" t="s">
        <v>828</v>
      </c>
      <c r="AA1603" s="38" t="s">
        <v>86</v>
      </c>
      <c r="AB1603" s="38" t="s">
        <v>2701</v>
      </c>
      <c r="AC1603" s="38" t="s">
        <v>2702</v>
      </c>
      <c r="AD1603" s="38" t="s">
        <v>198</v>
      </c>
      <c r="AE1603" s="38"/>
      <c r="AF1603" s="38" t="s">
        <v>2703</v>
      </c>
      <c r="AG1603" s="38"/>
      <c r="AH1603" s="38"/>
      <c r="AI1603" s="50">
        <v>40.37</v>
      </c>
      <c r="AJ1603" s="50">
        <v>117.19</v>
      </c>
      <c r="AK1603" s="41" t="s">
        <v>288</v>
      </c>
      <c r="AL1603" s="40" t="s">
        <v>288</v>
      </c>
      <c r="AM1603" s="49">
        <v>585.0</v>
      </c>
      <c r="AN1603" s="51">
        <v>585.0</v>
      </c>
      <c r="AO1603" s="42" t="s">
        <v>218</v>
      </c>
      <c r="AP1603" s="43" t="s">
        <v>218</v>
      </c>
      <c r="AQ1603" s="44" t="str">
        <f t="shared" si="189"/>
        <v>CRO</v>
      </c>
      <c r="AR1603" s="44">
        <f t="shared" si="144"/>
        <v>585</v>
      </c>
      <c r="AS1603" s="44" t="str">
        <f t="shared" si="176"/>
        <v>D</v>
      </c>
      <c r="AT1603" s="44" t="str">
        <f t="shared" si="114"/>
        <v>Dw</v>
      </c>
      <c r="AU1603" s="44" t="str">
        <f t="shared" si="115"/>
        <v>Dwa</v>
      </c>
      <c r="AV1603" s="38">
        <v>3.0</v>
      </c>
      <c r="AW1603" s="38"/>
      <c r="AX1603" s="38"/>
      <c r="AY1603" s="38" t="s">
        <v>92</v>
      </c>
      <c r="AZ1603" s="29">
        <v>1000.0</v>
      </c>
      <c r="BA1603" s="29"/>
      <c r="BB1603" s="29">
        <v>1.0</v>
      </c>
      <c r="BC1603" s="29" t="s">
        <v>2697</v>
      </c>
      <c r="BD1603" s="29" t="s">
        <v>88</v>
      </c>
      <c r="BE1603" s="29" t="s">
        <v>89</v>
      </c>
      <c r="BF1603" s="29" t="s">
        <v>2706</v>
      </c>
      <c r="BG1603" s="29" t="s">
        <v>220</v>
      </c>
      <c r="BH1603" s="29" t="s">
        <v>92</v>
      </c>
      <c r="BI1603" s="29" t="s">
        <v>2699</v>
      </c>
      <c r="BJ1603" s="29"/>
      <c r="BK1603" s="29" t="s">
        <v>148</v>
      </c>
      <c r="BL1603" s="29"/>
      <c r="BM1603" s="45">
        <v>1.0</v>
      </c>
      <c r="BN1603" s="45"/>
      <c r="BO1603" s="46"/>
      <c r="BP1603" s="2"/>
      <c r="BQ1603" s="3"/>
    </row>
    <row r="1604" ht="15.75" customHeight="1">
      <c r="A1604" s="34">
        <v>1658.0</v>
      </c>
      <c r="B1604" s="34">
        <v>203258.0</v>
      </c>
      <c r="C1604" s="34" t="s">
        <v>76</v>
      </c>
      <c r="D1604" s="34" t="s">
        <v>2691</v>
      </c>
      <c r="E1604" s="34" t="s">
        <v>2692</v>
      </c>
      <c r="F1604" s="34">
        <v>2021.0</v>
      </c>
      <c r="G1604" s="34" t="s">
        <v>2693</v>
      </c>
      <c r="H1604" s="34" t="s">
        <v>1614</v>
      </c>
      <c r="I1604" s="34" t="s">
        <v>2694</v>
      </c>
      <c r="J1604" s="35"/>
      <c r="K1604" s="36">
        <v>-0.26</v>
      </c>
      <c r="L1604" s="36"/>
      <c r="M1604" s="36"/>
      <c r="N1604" s="36"/>
      <c r="O1604" s="36"/>
      <c r="P1604" s="37">
        <v>-12.5</v>
      </c>
      <c r="Q1604" s="36"/>
      <c r="R1604" s="36" t="s">
        <v>96</v>
      </c>
      <c r="S1604" s="36">
        <v>1000.0</v>
      </c>
      <c r="T1604" s="36" t="s">
        <v>818</v>
      </c>
      <c r="U1604" s="36" t="s">
        <v>168</v>
      </c>
      <c r="V1604" s="36"/>
      <c r="W1604" s="36" t="s">
        <v>169</v>
      </c>
      <c r="X1604" s="38">
        <v>1.0</v>
      </c>
      <c r="Y1604" s="38" t="s">
        <v>819</v>
      </c>
      <c r="Z1604" s="38" t="s">
        <v>1163</v>
      </c>
      <c r="AA1604" s="38" t="s">
        <v>86</v>
      </c>
      <c r="AB1604" s="38" t="s">
        <v>2695</v>
      </c>
      <c r="AC1604" s="38" t="s">
        <v>2696</v>
      </c>
      <c r="AD1604" s="38" t="s">
        <v>198</v>
      </c>
      <c r="AE1604" s="53"/>
      <c r="AF1604" s="38" t="s">
        <v>260</v>
      </c>
      <c r="AG1604" s="38"/>
      <c r="AH1604" s="38"/>
      <c r="AI1604" s="50">
        <v>36.515</v>
      </c>
      <c r="AJ1604" s="50">
        <v>115.126</v>
      </c>
      <c r="AK1604" s="41" t="s">
        <v>86</v>
      </c>
      <c r="AL1604" s="40" t="s">
        <v>86</v>
      </c>
      <c r="AM1604" s="49">
        <v>42.0</v>
      </c>
      <c r="AN1604" s="51">
        <v>42.0</v>
      </c>
      <c r="AO1604" s="42" t="s">
        <v>293</v>
      </c>
      <c r="AP1604" s="43" t="s">
        <v>293</v>
      </c>
      <c r="AQ1604" s="44" t="str">
        <f t="shared" si="189"/>
        <v>CRO</v>
      </c>
      <c r="AR1604" s="44">
        <f t="shared" si="144"/>
        <v>42</v>
      </c>
      <c r="AS1604" s="44" t="str">
        <f t="shared" si="176"/>
        <v>B</v>
      </c>
      <c r="AT1604" s="44" t="str">
        <f t="shared" si="114"/>
        <v>BS</v>
      </c>
      <c r="AU1604" s="44" t="str">
        <f t="shared" si="115"/>
        <v>BSk</v>
      </c>
      <c r="AV1604" s="38">
        <v>3.0</v>
      </c>
      <c r="AW1604" s="38"/>
      <c r="AX1604" s="38"/>
      <c r="AY1604" s="38" t="s">
        <v>92</v>
      </c>
      <c r="AZ1604" s="29">
        <v>1000.0</v>
      </c>
      <c r="BA1604" s="29"/>
      <c r="BB1604" s="29">
        <v>1.0</v>
      </c>
      <c r="BC1604" s="29" t="s">
        <v>2697</v>
      </c>
      <c r="BD1604" s="29" t="s">
        <v>88</v>
      </c>
      <c r="BE1604" s="29" t="s">
        <v>263</v>
      </c>
      <c r="BF1604" s="29" t="s">
        <v>2707</v>
      </c>
      <c r="BG1604" s="29" t="s">
        <v>220</v>
      </c>
      <c r="BH1604" s="29" t="s">
        <v>92</v>
      </c>
      <c r="BI1604" s="29" t="s">
        <v>2699</v>
      </c>
      <c r="BJ1604" s="29"/>
      <c r="BK1604" s="29" t="s">
        <v>148</v>
      </c>
      <c r="BL1604" s="29"/>
      <c r="BM1604" s="45">
        <v>1.0</v>
      </c>
      <c r="BN1604" s="45"/>
      <c r="BO1604" s="46"/>
      <c r="BP1604" s="2"/>
      <c r="BQ1604" s="3"/>
    </row>
    <row r="1605" ht="15.75" customHeight="1">
      <c r="A1605" s="34">
        <v>1659.0</v>
      </c>
      <c r="B1605" s="34">
        <v>203258.0</v>
      </c>
      <c r="C1605" s="34" t="s">
        <v>76</v>
      </c>
      <c r="D1605" s="34" t="s">
        <v>2691</v>
      </c>
      <c r="E1605" s="34" t="s">
        <v>2692</v>
      </c>
      <c r="F1605" s="34">
        <v>2021.0</v>
      </c>
      <c r="G1605" s="34" t="s">
        <v>2693</v>
      </c>
      <c r="H1605" s="34" t="s">
        <v>1614</v>
      </c>
      <c r="I1605" s="34" t="s">
        <v>2694</v>
      </c>
      <c r="J1605" s="35"/>
      <c r="K1605" s="36">
        <v>-0.05</v>
      </c>
      <c r="L1605" s="36"/>
      <c r="M1605" s="36"/>
      <c r="N1605" s="36"/>
      <c r="O1605" s="36"/>
      <c r="P1605" s="37">
        <v>-3.3</v>
      </c>
      <c r="Q1605" s="36"/>
      <c r="R1605" s="36" t="s">
        <v>96</v>
      </c>
      <c r="S1605" s="36">
        <v>1000.0</v>
      </c>
      <c r="T1605" s="36" t="s">
        <v>818</v>
      </c>
      <c r="U1605" s="36" t="s">
        <v>168</v>
      </c>
      <c r="V1605" s="36"/>
      <c r="W1605" s="36" t="s">
        <v>169</v>
      </c>
      <c r="X1605" s="38">
        <v>1.0</v>
      </c>
      <c r="Y1605" s="38" t="s">
        <v>827</v>
      </c>
      <c r="Z1605" s="68" t="s">
        <v>828</v>
      </c>
      <c r="AA1605" s="38" t="s">
        <v>86</v>
      </c>
      <c r="AB1605" s="38" t="s">
        <v>2701</v>
      </c>
      <c r="AC1605" s="38" t="s">
        <v>2702</v>
      </c>
      <c r="AD1605" s="38" t="s">
        <v>198</v>
      </c>
      <c r="AE1605" s="38"/>
      <c r="AF1605" s="38" t="s">
        <v>2703</v>
      </c>
      <c r="AG1605" s="38"/>
      <c r="AH1605" s="38"/>
      <c r="AI1605" s="50">
        <v>40.37</v>
      </c>
      <c r="AJ1605" s="50">
        <v>117.19</v>
      </c>
      <c r="AK1605" s="41" t="s">
        <v>288</v>
      </c>
      <c r="AL1605" s="40" t="s">
        <v>288</v>
      </c>
      <c r="AM1605" s="49">
        <v>585.0</v>
      </c>
      <c r="AN1605" s="51">
        <v>585.0</v>
      </c>
      <c r="AO1605" s="42" t="s">
        <v>218</v>
      </c>
      <c r="AP1605" s="43" t="s">
        <v>218</v>
      </c>
      <c r="AQ1605" s="44" t="str">
        <f t="shared" si="189"/>
        <v>CRO</v>
      </c>
      <c r="AR1605" s="44">
        <f t="shared" si="144"/>
        <v>585</v>
      </c>
      <c r="AS1605" s="44" t="str">
        <f t="shared" si="176"/>
        <v>D</v>
      </c>
      <c r="AT1605" s="44" t="str">
        <f t="shared" si="114"/>
        <v>Dw</v>
      </c>
      <c r="AU1605" s="44" t="str">
        <f t="shared" si="115"/>
        <v>Dwa</v>
      </c>
      <c r="AV1605" s="38">
        <v>3.0</v>
      </c>
      <c r="AW1605" s="38"/>
      <c r="AX1605" s="38"/>
      <c r="AY1605" s="38" t="s">
        <v>92</v>
      </c>
      <c r="AZ1605" s="29">
        <v>1000.0</v>
      </c>
      <c r="BA1605" s="29"/>
      <c r="BB1605" s="29">
        <v>1.0</v>
      </c>
      <c r="BC1605" s="29" t="s">
        <v>2697</v>
      </c>
      <c r="BD1605" s="29" t="s">
        <v>88</v>
      </c>
      <c r="BE1605" s="29" t="s">
        <v>263</v>
      </c>
      <c r="BF1605" s="29" t="s">
        <v>2708</v>
      </c>
      <c r="BG1605" s="29" t="s">
        <v>220</v>
      </c>
      <c r="BH1605" s="29" t="s">
        <v>92</v>
      </c>
      <c r="BI1605" s="29" t="s">
        <v>2699</v>
      </c>
      <c r="BJ1605" s="29"/>
      <c r="BK1605" s="29" t="s">
        <v>148</v>
      </c>
      <c r="BL1605" s="29"/>
      <c r="BM1605" s="45">
        <v>1.0</v>
      </c>
      <c r="BN1605" s="45"/>
      <c r="BO1605" s="46"/>
      <c r="BP1605" s="2"/>
      <c r="BQ1605" s="3"/>
    </row>
    <row r="1606" ht="15.75" customHeight="1">
      <c r="A1606" s="34">
        <v>1660.0</v>
      </c>
      <c r="B1606" s="34">
        <v>203258.0</v>
      </c>
      <c r="C1606" s="34" t="s">
        <v>76</v>
      </c>
      <c r="D1606" s="34" t="s">
        <v>2691</v>
      </c>
      <c r="E1606" s="34" t="s">
        <v>2692</v>
      </c>
      <c r="F1606" s="34">
        <v>2021.0</v>
      </c>
      <c r="G1606" s="34" t="s">
        <v>2693</v>
      </c>
      <c r="H1606" s="34" t="s">
        <v>1614</v>
      </c>
      <c r="I1606" s="34" t="s">
        <v>2694</v>
      </c>
      <c r="J1606" s="35"/>
      <c r="K1606" s="36">
        <v>-0.27</v>
      </c>
      <c r="L1606" s="36"/>
      <c r="M1606" s="36"/>
      <c r="N1606" s="36"/>
      <c r="O1606" s="36"/>
      <c r="P1606" s="37">
        <v>-14.6</v>
      </c>
      <c r="Q1606" s="36"/>
      <c r="R1606" s="36" t="s">
        <v>191</v>
      </c>
      <c r="S1606" s="36">
        <v>1000.0</v>
      </c>
      <c r="T1606" s="36" t="s">
        <v>818</v>
      </c>
      <c r="U1606" s="36" t="s">
        <v>168</v>
      </c>
      <c r="V1606" s="36"/>
      <c r="W1606" s="36" t="s">
        <v>169</v>
      </c>
      <c r="X1606" s="38">
        <v>1.0</v>
      </c>
      <c r="Y1606" s="38" t="s">
        <v>819</v>
      </c>
      <c r="Z1606" s="38" t="s">
        <v>1163</v>
      </c>
      <c r="AA1606" s="38" t="s">
        <v>86</v>
      </c>
      <c r="AB1606" s="38" t="s">
        <v>2695</v>
      </c>
      <c r="AC1606" s="38" t="s">
        <v>2696</v>
      </c>
      <c r="AD1606" s="38" t="s">
        <v>198</v>
      </c>
      <c r="AE1606" s="53"/>
      <c r="AF1606" s="38" t="s">
        <v>260</v>
      </c>
      <c r="AG1606" s="38"/>
      <c r="AH1606" s="38"/>
      <c r="AI1606" s="50">
        <v>36.515</v>
      </c>
      <c r="AJ1606" s="50">
        <v>115.126</v>
      </c>
      <c r="AK1606" s="41" t="s">
        <v>86</v>
      </c>
      <c r="AL1606" s="40" t="s">
        <v>86</v>
      </c>
      <c r="AM1606" s="49">
        <v>42.0</v>
      </c>
      <c r="AN1606" s="51">
        <v>42.0</v>
      </c>
      <c r="AO1606" s="42" t="s">
        <v>293</v>
      </c>
      <c r="AP1606" s="43" t="s">
        <v>293</v>
      </c>
      <c r="AQ1606" s="44" t="str">
        <f t="shared" si="189"/>
        <v>CRO</v>
      </c>
      <c r="AR1606" s="44">
        <f t="shared" si="144"/>
        <v>42</v>
      </c>
      <c r="AS1606" s="44" t="str">
        <f t="shared" si="176"/>
        <v>B</v>
      </c>
      <c r="AT1606" s="44" t="str">
        <f t="shared" si="114"/>
        <v>BS</v>
      </c>
      <c r="AU1606" s="44" t="str">
        <f t="shared" si="115"/>
        <v>BSk</v>
      </c>
      <c r="AV1606" s="38">
        <v>3.0</v>
      </c>
      <c r="AW1606" s="38"/>
      <c r="AX1606" s="38"/>
      <c r="AY1606" s="38" t="s">
        <v>92</v>
      </c>
      <c r="AZ1606" s="29">
        <v>1000.0</v>
      </c>
      <c r="BA1606" s="29"/>
      <c r="BB1606" s="29">
        <v>1.0</v>
      </c>
      <c r="BC1606" s="29" t="s">
        <v>2697</v>
      </c>
      <c r="BD1606" s="29" t="s">
        <v>88</v>
      </c>
      <c r="BE1606" s="29" t="s">
        <v>263</v>
      </c>
      <c r="BF1606" s="29" t="s">
        <v>2709</v>
      </c>
      <c r="BG1606" s="29" t="s">
        <v>220</v>
      </c>
      <c r="BH1606" s="29" t="s">
        <v>92</v>
      </c>
      <c r="BI1606" s="29" t="s">
        <v>2699</v>
      </c>
      <c r="BJ1606" s="29"/>
      <c r="BK1606" s="29" t="s">
        <v>148</v>
      </c>
      <c r="BL1606" s="29"/>
      <c r="BM1606" s="45">
        <v>1.0</v>
      </c>
      <c r="BN1606" s="45"/>
      <c r="BO1606" s="46"/>
      <c r="BP1606" s="2"/>
      <c r="BQ1606" s="3"/>
    </row>
    <row r="1607" ht="15.75" customHeight="1">
      <c r="A1607" s="34">
        <v>1661.0</v>
      </c>
      <c r="B1607" s="34">
        <v>203258.0</v>
      </c>
      <c r="C1607" s="34" t="s">
        <v>76</v>
      </c>
      <c r="D1607" s="34" t="s">
        <v>2691</v>
      </c>
      <c r="E1607" s="34" t="s">
        <v>2692</v>
      </c>
      <c r="F1607" s="34">
        <v>2021.0</v>
      </c>
      <c r="G1607" s="34" t="s">
        <v>2693</v>
      </c>
      <c r="H1607" s="34" t="s">
        <v>1614</v>
      </c>
      <c r="I1607" s="34" t="s">
        <v>2694</v>
      </c>
      <c r="J1607" s="35"/>
      <c r="K1607" s="36">
        <v>-0.05</v>
      </c>
      <c r="L1607" s="36"/>
      <c r="M1607" s="36"/>
      <c r="N1607" s="36"/>
      <c r="O1607" s="36"/>
      <c r="P1607" s="37">
        <v>-2.8</v>
      </c>
      <c r="Q1607" s="36"/>
      <c r="R1607" s="36" t="s">
        <v>191</v>
      </c>
      <c r="S1607" s="36">
        <v>1000.0</v>
      </c>
      <c r="T1607" s="36" t="s">
        <v>818</v>
      </c>
      <c r="U1607" s="36" t="s">
        <v>168</v>
      </c>
      <c r="V1607" s="36"/>
      <c r="W1607" s="36" t="s">
        <v>169</v>
      </c>
      <c r="X1607" s="38">
        <v>1.0</v>
      </c>
      <c r="Y1607" s="38" t="s">
        <v>827</v>
      </c>
      <c r="Z1607" s="68" t="s">
        <v>828</v>
      </c>
      <c r="AA1607" s="38" t="s">
        <v>86</v>
      </c>
      <c r="AB1607" s="38" t="s">
        <v>2701</v>
      </c>
      <c r="AC1607" s="38" t="s">
        <v>2702</v>
      </c>
      <c r="AD1607" s="38" t="s">
        <v>198</v>
      </c>
      <c r="AE1607" s="38"/>
      <c r="AF1607" s="38" t="s">
        <v>2703</v>
      </c>
      <c r="AG1607" s="38"/>
      <c r="AH1607" s="38"/>
      <c r="AI1607" s="50">
        <v>40.37</v>
      </c>
      <c r="AJ1607" s="50">
        <v>117.19</v>
      </c>
      <c r="AK1607" s="41" t="s">
        <v>288</v>
      </c>
      <c r="AL1607" s="40" t="s">
        <v>288</v>
      </c>
      <c r="AM1607" s="49">
        <v>585.0</v>
      </c>
      <c r="AN1607" s="51">
        <v>585.0</v>
      </c>
      <c r="AO1607" s="42" t="s">
        <v>218</v>
      </c>
      <c r="AP1607" s="43" t="s">
        <v>218</v>
      </c>
      <c r="AQ1607" s="44" t="str">
        <f t="shared" si="189"/>
        <v>CRO</v>
      </c>
      <c r="AR1607" s="44">
        <f t="shared" si="144"/>
        <v>585</v>
      </c>
      <c r="AS1607" s="44" t="str">
        <f t="shared" si="176"/>
        <v>D</v>
      </c>
      <c r="AT1607" s="44" t="str">
        <f t="shared" si="114"/>
        <v>Dw</v>
      </c>
      <c r="AU1607" s="44" t="str">
        <f t="shared" si="115"/>
        <v>Dwa</v>
      </c>
      <c r="AV1607" s="38">
        <v>3.0</v>
      </c>
      <c r="AW1607" s="38"/>
      <c r="AX1607" s="38"/>
      <c r="AY1607" s="38" t="s">
        <v>92</v>
      </c>
      <c r="AZ1607" s="29">
        <v>1000.0</v>
      </c>
      <c r="BA1607" s="29"/>
      <c r="BB1607" s="29">
        <v>1.0</v>
      </c>
      <c r="BC1607" s="29" t="s">
        <v>2697</v>
      </c>
      <c r="BD1607" s="29" t="s">
        <v>88</v>
      </c>
      <c r="BE1607" s="29" t="s">
        <v>263</v>
      </c>
      <c r="BF1607" s="29" t="s">
        <v>2710</v>
      </c>
      <c r="BG1607" s="29" t="s">
        <v>220</v>
      </c>
      <c r="BH1607" s="29" t="s">
        <v>92</v>
      </c>
      <c r="BI1607" s="29" t="s">
        <v>2699</v>
      </c>
      <c r="BJ1607" s="29"/>
      <c r="BK1607" s="29" t="s">
        <v>148</v>
      </c>
      <c r="BL1607" s="29"/>
      <c r="BM1607" s="45">
        <v>1.0</v>
      </c>
      <c r="BN1607" s="45"/>
      <c r="BO1607" s="46"/>
      <c r="BP1607" s="2"/>
      <c r="BQ1607" s="3"/>
    </row>
    <row r="1608" ht="15.75" customHeight="1">
      <c r="A1608" s="34">
        <v>1663.0</v>
      </c>
      <c r="B1608" s="34">
        <v>101891.0</v>
      </c>
      <c r="C1608" s="34" t="s">
        <v>76</v>
      </c>
      <c r="D1608" s="34" t="s">
        <v>2711</v>
      </c>
      <c r="E1608" s="34" t="s">
        <v>1823</v>
      </c>
      <c r="F1608" s="34">
        <v>2012.0</v>
      </c>
      <c r="G1608" s="34" t="s">
        <v>2712</v>
      </c>
      <c r="H1608" s="34" t="s">
        <v>282</v>
      </c>
      <c r="I1608" s="34" t="s">
        <v>2713</v>
      </c>
      <c r="J1608" s="35"/>
      <c r="K1608" s="36"/>
      <c r="L1608" s="36"/>
      <c r="M1608" s="36"/>
      <c r="N1608" s="36">
        <v>5.8</v>
      </c>
      <c r="O1608" s="36">
        <v>346.6</v>
      </c>
      <c r="P1608" s="52">
        <f t="shared" ref="P1608:P1620" si="190">N1608/O1608*100</f>
        <v>1.673398731</v>
      </c>
      <c r="Q1608" s="36"/>
      <c r="R1608" s="36" t="s">
        <v>82</v>
      </c>
      <c r="S1608" s="36">
        <v>120.0</v>
      </c>
      <c r="T1608" s="36" t="s">
        <v>1836</v>
      </c>
      <c r="U1608" s="36" t="s">
        <v>1836</v>
      </c>
      <c r="V1608" s="36">
        <v>9.0</v>
      </c>
      <c r="W1608" s="36"/>
      <c r="X1608" s="38">
        <v>9.0</v>
      </c>
      <c r="Y1608" s="38" t="s">
        <v>2714</v>
      </c>
      <c r="Z1608" s="38"/>
      <c r="AA1608" s="38" t="s">
        <v>86</v>
      </c>
      <c r="AB1608" s="38" t="s">
        <v>2715</v>
      </c>
      <c r="AC1608" s="38" t="s">
        <v>2716</v>
      </c>
      <c r="AD1608" s="39" t="s">
        <v>87</v>
      </c>
      <c r="AE1608" s="38"/>
      <c r="AF1608" s="38"/>
      <c r="AG1608" s="38"/>
      <c r="AH1608" s="38"/>
      <c r="AI1608" s="50"/>
      <c r="AJ1608" s="50"/>
      <c r="AK1608" s="41"/>
      <c r="AL1608" s="40"/>
      <c r="AM1608" s="49"/>
      <c r="AN1608" s="51"/>
      <c r="AO1608" s="42"/>
      <c r="AP1608" s="43"/>
      <c r="AQ1608" s="44" t="str">
        <f t="shared" si="189"/>
        <v>CRO</v>
      </c>
      <c r="AR1608" s="44" t="str">
        <f t="shared" si="144"/>
        <v/>
      </c>
      <c r="AS1608" s="44"/>
      <c r="AT1608" s="44" t="str">
        <f t="shared" si="114"/>
        <v/>
      </c>
      <c r="AU1608" s="44" t="str">
        <f t="shared" si="115"/>
        <v/>
      </c>
      <c r="AV1608" s="38">
        <v>3.0</v>
      </c>
      <c r="AW1608" s="38"/>
      <c r="AX1608" s="38"/>
      <c r="AY1608" s="38" t="s">
        <v>88</v>
      </c>
      <c r="AZ1608" s="29">
        <v>60.0</v>
      </c>
      <c r="BA1608" s="29"/>
      <c r="BB1608" s="29">
        <v>1.0</v>
      </c>
      <c r="BC1608" s="29" t="s">
        <v>2717</v>
      </c>
      <c r="BD1608" s="29" t="s">
        <v>88</v>
      </c>
      <c r="BE1608" s="29"/>
      <c r="BF1608" s="29" t="s">
        <v>2718</v>
      </c>
      <c r="BG1608" s="29" t="s">
        <v>91</v>
      </c>
      <c r="BH1608" s="29" t="s">
        <v>88</v>
      </c>
      <c r="BI1608" s="29" t="s">
        <v>1438</v>
      </c>
      <c r="BJ1608" s="29"/>
      <c r="BK1608" s="29" t="s">
        <v>180</v>
      </c>
      <c r="BL1608" s="29" t="s">
        <v>180</v>
      </c>
      <c r="BM1608" s="45">
        <v>1.0</v>
      </c>
      <c r="BN1608" s="45"/>
      <c r="BO1608" s="46" t="s">
        <v>2717</v>
      </c>
      <c r="BP1608" s="2"/>
      <c r="BQ1608" s="3"/>
    </row>
    <row r="1609" ht="15.75" customHeight="1">
      <c r="A1609" s="34">
        <v>1664.0</v>
      </c>
      <c r="B1609" s="34">
        <v>101891.0</v>
      </c>
      <c r="C1609" s="34" t="s">
        <v>76</v>
      </c>
      <c r="D1609" s="34" t="s">
        <v>2711</v>
      </c>
      <c r="E1609" s="34" t="s">
        <v>1823</v>
      </c>
      <c r="F1609" s="34">
        <v>2012.0</v>
      </c>
      <c r="G1609" s="34" t="s">
        <v>2712</v>
      </c>
      <c r="H1609" s="34" t="s">
        <v>282</v>
      </c>
      <c r="I1609" s="34" t="s">
        <v>2713</v>
      </c>
      <c r="J1609" s="35"/>
      <c r="K1609" s="36"/>
      <c r="L1609" s="36"/>
      <c r="M1609" s="36"/>
      <c r="N1609" s="36">
        <v>-16.7</v>
      </c>
      <c r="O1609" s="36">
        <v>286.3</v>
      </c>
      <c r="P1609" s="52">
        <f t="shared" si="190"/>
        <v>-5.833042263</v>
      </c>
      <c r="Q1609" s="36"/>
      <c r="R1609" s="36" t="s">
        <v>82</v>
      </c>
      <c r="S1609" s="36">
        <v>120.0</v>
      </c>
      <c r="T1609" s="36" t="s">
        <v>1836</v>
      </c>
      <c r="U1609" s="36" t="s">
        <v>1836</v>
      </c>
      <c r="V1609" s="36">
        <v>9.0</v>
      </c>
      <c r="W1609" s="36"/>
      <c r="X1609" s="38">
        <v>9.0</v>
      </c>
      <c r="Y1609" s="38" t="s">
        <v>2714</v>
      </c>
      <c r="Z1609" s="38"/>
      <c r="AA1609" s="38" t="s">
        <v>86</v>
      </c>
      <c r="AB1609" s="38" t="s">
        <v>2715</v>
      </c>
      <c r="AC1609" s="38" t="s">
        <v>2716</v>
      </c>
      <c r="AD1609" s="39" t="s">
        <v>87</v>
      </c>
      <c r="AE1609" s="38"/>
      <c r="AF1609" s="38" t="s">
        <v>106</v>
      </c>
      <c r="AG1609" s="38"/>
      <c r="AH1609" s="38"/>
      <c r="AI1609" s="50"/>
      <c r="AJ1609" s="50"/>
      <c r="AK1609" s="41"/>
      <c r="AL1609" s="40"/>
      <c r="AM1609" s="49"/>
      <c r="AN1609" s="51"/>
      <c r="AO1609" s="42"/>
      <c r="AP1609" s="43"/>
      <c r="AQ1609" s="44" t="str">
        <f t="shared" si="189"/>
        <v>CRO</v>
      </c>
      <c r="AR1609" s="44" t="str">
        <f t="shared" si="144"/>
        <v/>
      </c>
      <c r="AS1609" s="44"/>
      <c r="AT1609" s="44" t="str">
        <f t="shared" si="114"/>
        <v/>
      </c>
      <c r="AU1609" s="44" t="str">
        <f t="shared" si="115"/>
        <v/>
      </c>
      <c r="AV1609" s="38">
        <v>3.0</v>
      </c>
      <c r="AW1609" s="38"/>
      <c r="AX1609" s="38"/>
      <c r="AY1609" s="38" t="s">
        <v>88</v>
      </c>
      <c r="AZ1609" s="29">
        <v>60.0</v>
      </c>
      <c r="BA1609" s="29"/>
      <c r="BB1609" s="29">
        <v>1.0</v>
      </c>
      <c r="BC1609" s="29" t="s">
        <v>2717</v>
      </c>
      <c r="BD1609" s="29" t="s">
        <v>88</v>
      </c>
      <c r="BE1609" s="29"/>
      <c r="BF1609" s="29" t="s">
        <v>2718</v>
      </c>
      <c r="BG1609" s="29" t="s">
        <v>91</v>
      </c>
      <c r="BH1609" s="29" t="s">
        <v>88</v>
      </c>
      <c r="BI1609" s="29" t="s">
        <v>1438</v>
      </c>
      <c r="BJ1609" s="29"/>
      <c r="BK1609" s="29" t="s">
        <v>180</v>
      </c>
      <c r="BL1609" s="29" t="s">
        <v>180</v>
      </c>
      <c r="BM1609" s="45"/>
      <c r="BN1609" s="45"/>
      <c r="BO1609" s="46" t="s">
        <v>2717</v>
      </c>
      <c r="BP1609" s="2"/>
      <c r="BQ1609" s="3"/>
    </row>
    <row r="1610" ht="15.75" customHeight="1">
      <c r="A1610" s="34">
        <v>1665.0</v>
      </c>
      <c r="B1610" s="34">
        <v>101891.0</v>
      </c>
      <c r="C1610" s="34" t="s">
        <v>76</v>
      </c>
      <c r="D1610" s="34" t="s">
        <v>2711</v>
      </c>
      <c r="E1610" s="34" t="s">
        <v>1823</v>
      </c>
      <c r="F1610" s="34">
        <v>2012.0</v>
      </c>
      <c r="G1610" s="34" t="s">
        <v>2712</v>
      </c>
      <c r="H1610" s="34" t="s">
        <v>282</v>
      </c>
      <c r="I1610" s="34" t="s">
        <v>2713</v>
      </c>
      <c r="J1610" s="35"/>
      <c r="K1610" s="36"/>
      <c r="L1610" s="36"/>
      <c r="M1610" s="36"/>
      <c r="N1610" s="36">
        <v>33.9</v>
      </c>
      <c r="O1610" s="36">
        <v>421.9</v>
      </c>
      <c r="P1610" s="52">
        <f t="shared" si="190"/>
        <v>8.035079403</v>
      </c>
      <c r="Q1610" s="36"/>
      <c r="R1610" s="36" t="s">
        <v>82</v>
      </c>
      <c r="S1610" s="36">
        <v>120.0</v>
      </c>
      <c r="T1610" s="36" t="s">
        <v>1836</v>
      </c>
      <c r="U1610" s="36" t="s">
        <v>1836</v>
      </c>
      <c r="V1610" s="36">
        <v>9.0</v>
      </c>
      <c r="W1610" s="36"/>
      <c r="X1610" s="38">
        <v>9.0</v>
      </c>
      <c r="Y1610" s="38" t="s">
        <v>2714</v>
      </c>
      <c r="Z1610" s="38"/>
      <c r="AA1610" s="38" t="s">
        <v>86</v>
      </c>
      <c r="AB1610" s="38" t="s">
        <v>2715</v>
      </c>
      <c r="AC1610" s="38" t="s">
        <v>2716</v>
      </c>
      <c r="AD1610" s="39" t="s">
        <v>87</v>
      </c>
      <c r="AE1610" s="38"/>
      <c r="AF1610" s="38" t="s">
        <v>115</v>
      </c>
      <c r="AG1610" s="38"/>
      <c r="AH1610" s="38"/>
      <c r="AI1610" s="50"/>
      <c r="AJ1610" s="50"/>
      <c r="AK1610" s="41"/>
      <c r="AL1610" s="40"/>
      <c r="AM1610" s="49"/>
      <c r="AN1610" s="51"/>
      <c r="AO1610" s="42"/>
      <c r="AP1610" s="43"/>
      <c r="AQ1610" s="44" t="str">
        <f t="shared" si="189"/>
        <v>CRO</v>
      </c>
      <c r="AR1610" s="44" t="str">
        <f t="shared" si="144"/>
        <v/>
      </c>
      <c r="AS1610" s="44"/>
      <c r="AT1610" s="44" t="str">
        <f t="shared" si="114"/>
        <v/>
      </c>
      <c r="AU1610" s="44" t="str">
        <f t="shared" si="115"/>
        <v/>
      </c>
      <c r="AV1610" s="38">
        <v>3.0</v>
      </c>
      <c r="AW1610" s="38"/>
      <c r="AX1610" s="38"/>
      <c r="AY1610" s="38" t="s">
        <v>88</v>
      </c>
      <c r="AZ1610" s="29">
        <v>60.0</v>
      </c>
      <c r="BA1610" s="29"/>
      <c r="BB1610" s="29">
        <v>1.0</v>
      </c>
      <c r="BC1610" s="29" t="s">
        <v>2717</v>
      </c>
      <c r="BD1610" s="29" t="s">
        <v>88</v>
      </c>
      <c r="BE1610" s="29"/>
      <c r="BF1610" s="29" t="s">
        <v>2718</v>
      </c>
      <c r="BG1610" s="29" t="s">
        <v>91</v>
      </c>
      <c r="BH1610" s="29" t="s">
        <v>88</v>
      </c>
      <c r="BI1610" s="29" t="s">
        <v>1438</v>
      </c>
      <c r="BJ1610" s="29"/>
      <c r="BK1610" s="29" t="s">
        <v>180</v>
      </c>
      <c r="BL1610" s="29" t="s">
        <v>180</v>
      </c>
      <c r="BM1610" s="45"/>
      <c r="BN1610" s="45"/>
      <c r="BO1610" s="46" t="s">
        <v>2717</v>
      </c>
      <c r="BP1610" s="2"/>
      <c r="BQ1610" s="3"/>
    </row>
    <row r="1611" ht="15.75" customHeight="1">
      <c r="A1611" s="34">
        <v>1666.0</v>
      </c>
      <c r="B1611" s="34">
        <v>101891.0</v>
      </c>
      <c r="C1611" s="34" t="s">
        <v>76</v>
      </c>
      <c r="D1611" s="34" t="s">
        <v>2711</v>
      </c>
      <c r="E1611" s="34" t="s">
        <v>1823</v>
      </c>
      <c r="F1611" s="34">
        <v>2012.0</v>
      </c>
      <c r="G1611" s="34" t="s">
        <v>2712</v>
      </c>
      <c r="H1611" s="34" t="s">
        <v>282</v>
      </c>
      <c r="I1611" s="34" t="s">
        <v>2713</v>
      </c>
      <c r="J1611" s="35"/>
      <c r="K1611" s="36"/>
      <c r="L1611" s="36"/>
      <c r="M1611" s="36"/>
      <c r="N1611" s="36">
        <v>-4.1</v>
      </c>
      <c r="O1611" s="36">
        <v>399.8</v>
      </c>
      <c r="P1611" s="52">
        <f t="shared" si="190"/>
        <v>-1.025512756</v>
      </c>
      <c r="Q1611" s="36"/>
      <c r="R1611" s="36" t="s">
        <v>82</v>
      </c>
      <c r="S1611" s="36">
        <v>120.0</v>
      </c>
      <c r="T1611" s="36" t="s">
        <v>1837</v>
      </c>
      <c r="U1611" s="36" t="s">
        <v>1837</v>
      </c>
      <c r="V1611" s="36">
        <v>10.0</v>
      </c>
      <c r="W1611" s="36"/>
      <c r="X1611" s="38">
        <v>10.0</v>
      </c>
      <c r="Y1611" s="38" t="s">
        <v>2714</v>
      </c>
      <c r="Z1611" s="38"/>
      <c r="AA1611" s="38" t="s">
        <v>86</v>
      </c>
      <c r="AB1611" s="38" t="s">
        <v>2715</v>
      </c>
      <c r="AC1611" s="38" t="s">
        <v>2716</v>
      </c>
      <c r="AD1611" s="39" t="s">
        <v>87</v>
      </c>
      <c r="AE1611" s="38"/>
      <c r="AF1611" s="38"/>
      <c r="AG1611" s="38"/>
      <c r="AH1611" s="38"/>
      <c r="AI1611" s="50"/>
      <c r="AJ1611" s="50"/>
      <c r="AK1611" s="41"/>
      <c r="AL1611" s="40"/>
      <c r="AM1611" s="49"/>
      <c r="AN1611" s="51"/>
      <c r="AO1611" s="42"/>
      <c r="AP1611" s="43"/>
      <c r="AQ1611" s="44" t="str">
        <f t="shared" si="189"/>
        <v>CRO</v>
      </c>
      <c r="AR1611" s="44" t="str">
        <f t="shared" si="144"/>
        <v/>
      </c>
      <c r="AS1611" s="44"/>
      <c r="AT1611" s="44" t="str">
        <f t="shared" si="114"/>
        <v/>
      </c>
      <c r="AU1611" s="44" t="str">
        <f t="shared" si="115"/>
        <v/>
      </c>
      <c r="AV1611" s="38">
        <v>3.0</v>
      </c>
      <c r="AW1611" s="38"/>
      <c r="AX1611" s="38"/>
      <c r="AY1611" s="38" t="s">
        <v>88</v>
      </c>
      <c r="AZ1611" s="29">
        <v>60.0</v>
      </c>
      <c r="BA1611" s="29"/>
      <c r="BB1611" s="29">
        <v>1.0</v>
      </c>
      <c r="BC1611" s="29" t="s">
        <v>2717</v>
      </c>
      <c r="BD1611" s="29" t="s">
        <v>88</v>
      </c>
      <c r="BE1611" s="29"/>
      <c r="BF1611" s="29" t="s">
        <v>2718</v>
      </c>
      <c r="BG1611" s="29" t="s">
        <v>91</v>
      </c>
      <c r="BH1611" s="29" t="s">
        <v>88</v>
      </c>
      <c r="BI1611" s="29" t="s">
        <v>1438</v>
      </c>
      <c r="BJ1611" s="29"/>
      <c r="BK1611" s="29" t="s">
        <v>180</v>
      </c>
      <c r="BL1611" s="29" t="s">
        <v>180</v>
      </c>
      <c r="BM1611" s="45"/>
      <c r="BN1611" s="45"/>
      <c r="BO1611" s="46" t="s">
        <v>2717</v>
      </c>
      <c r="BP1611" s="2"/>
      <c r="BQ1611" s="3"/>
    </row>
    <row r="1612" ht="15.75" customHeight="1">
      <c r="A1612" s="34">
        <v>1667.0</v>
      </c>
      <c r="B1612" s="34">
        <v>101891.0</v>
      </c>
      <c r="C1612" s="34" t="s">
        <v>76</v>
      </c>
      <c r="D1612" s="34" t="s">
        <v>2711</v>
      </c>
      <c r="E1612" s="34" t="s">
        <v>1823</v>
      </c>
      <c r="F1612" s="34">
        <v>2012.0</v>
      </c>
      <c r="G1612" s="34" t="s">
        <v>2712</v>
      </c>
      <c r="H1612" s="34" t="s">
        <v>282</v>
      </c>
      <c r="I1612" s="34" t="s">
        <v>2713</v>
      </c>
      <c r="J1612" s="35"/>
      <c r="K1612" s="36"/>
      <c r="L1612" s="36"/>
      <c r="M1612" s="36"/>
      <c r="N1612" s="36">
        <v>-23.0</v>
      </c>
      <c r="O1612" s="36">
        <v>351.9</v>
      </c>
      <c r="P1612" s="52">
        <f t="shared" si="190"/>
        <v>-6.535947712</v>
      </c>
      <c r="Q1612" s="36"/>
      <c r="R1612" s="36" t="s">
        <v>82</v>
      </c>
      <c r="S1612" s="36">
        <v>120.0</v>
      </c>
      <c r="T1612" s="36" t="s">
        <v>1837</v>
      </c>
      <c r="U1612" s="36" t="s">
        <v>1837</v>
      </c>
      <c r="V1612" s="36">
        <v>10.0</v>
      </c>
      <c r="W1612" s="36"/>
      <c r="X1612" s="38">
        <v>10.0</v>
      </c>
      <c r="Y1612" s="38" t="s">
        <v>2714</v>
      </c>
      <c r="Z1612" s="38"/>
      <c r="AA1612" s="38" t="s">
        <v>86</v>
      </c>
      <c r="AB1612" s="38" t="s">
        <v>2715</v>
      </c>
      <c r="AC1612" s="38" t="s">
        <v>2716</v>
      </c>
      <c r="AD1612" s="39" t="s">
        <v>87</v>
      </c>
      <c r="AE1612" s="38"/>
      <c r="AF1612" s="38" t="s">
        <v>106</v>
      </c>
      <c r="AG1612" s="38"/>
      <c r="AH1612" s="38"/>
      <c r="AI1612" s="50"/>
      <c r="AJ1612" s="50"/>
      <c r="AK1612" s="41"/>
      <c r="AL1612" s="40"/>
      <c r="AM1612" s="49"/>
      <c r="AN1612" s="51"/>
      <c r="AO1612" s="42"/>
      <c r="AP1612" s="43"/>
      <c r="AQ1612" s="44" t="str">
        <f t="shared" si="189"/>
        <v>CRO</v>
      </c>
      <c r="AR1612" s="44" t="str">
        <f t="shared" si="144"/>
        <v/>
      </c>
      <c r="AS1612" s="44"/>
      <c r="AT1612" s="44" t="str">
        <f t="shared" si="114"/>
        <v/>
      </c>
      <c r="AU1612" s="44" t="str">
        <f t="shared" si="115"/>
        <v/>
      </c>
      <c r="AV1612" s="38">
        <v>3.0</v>
      </c>
      <c r="AW1612" s="38"/>
      <c r="AX1612" s="38"/>
      <c r="AY1612" s="38" t="s">
        <v>88</v>
      </c>
      <c r="AZ1612" s="29">
        <v>60.0</v>
      </c>
      <c r="BA1612" s="29"/>
      <c r="BB1612" s="29">
        <v>1.0</v>
      </c>
      <c r="BC1612" s="29" t="s">
        <v>2717</v>
      </c>
      <c r="BD1612" s="29" t="s">
        <v>88</v>
      </c>
      <c r="BE1612" s="29"/>
      <c r="BF1612" s="29" t="s">
        <v>2718</v>
      </c>
      <c r="BG1612" s="29" t="s">
        <v>91</v>
      </c>
      <c r="BH1612" s="29" t="s">
        <v>88</v>
      </c>
      <c r="BI1612" s="29" t="s">
        <v>1438</v>
      </c>
      <c r="BJ1612" s="29"/>
      <c r="BK1612" s="29" t="s">
        <v>180</v>
      </c>
      <c r="BL1612" s="29" t="s">
        <v>180</v>
      </c>
      <c r="BM1612" s="45"/>
      <c r="BN1612" s="45"/>
      <c r="BO1612" s="46" t="s">
        <v>2717</v>
      </c>
      <c r="BP1612" s="2"/>
      <c r="BQ1612" s="3"/>
    </row>
    <row r="1613" ht="15.75" customHeight="1">
      <c r="A1613" s="34">
        <v>1668.0</v>
      </c>
      <c r="B1613" s="34">
        <v>101891.0</v>
      </c>
      <c r="C1613" s="34" t="s">
        <v>76</v>
      </c>
      <c r="D1613" s="34" t="s">
        <v>2711</v>
      </c>
      <c r="E1613" s="34" t="s">
        <v>1823</v>
      </c>
      <c r="F1613" s="34">
        <v>2012.0</v>
      </c>
      <c r="G1613" s="34" t="s">
        <v>2712</v>
      </c>
      <c r="H1613" s="34" t="s">
        <v>282</v>
      </c>
      <c r="I1613" s="34" t="s">
        <v>2713</v>
      </c>
      <c r="J1613" s="35"/>
      <c r="K1613" s="36"/>
      <c r="L1613" s="36"/>
      <c r="M1613" s="36"/>
      <c r="N1613" s="36">
        <v>14.8</v>
      </c>
      <c r="O1613" s="36">
        <v>447.7</v>
      </c>
      <c r="P1613" s="52">
        <f t="shared" si="190"/>
        <v>3.305785124</v>
      </c>
      <c r="Q1613" s="36"/>
      <c r="R1613" s="36" t="s">
        <v>82</v>
      </c>
      <c r="S1613" s="36">
        <v>120.0</v>
      </c>
      <c r="T1613" s="36" t="s">
        <v>1837</v>
      </c>
      <c r="U1613" s="36" t="s">
        <v>1837</v>
      </c>
      <c r="V1613" s="36">
        <v>10.0</v>
      </c>
      <c r="W1613" s="36"/>
      <c r="X1613" s="38">
        <v>10.0</v>
      </c>
      <c r="Y1613" s="38" t="s">
        <v>2714</v>
      </c>
      <c r="Z1613" s="38"/>
      <c r="AA1613" s="38" t="s">
        <v>86</v>
      </c>
      <c r="AB1613" s="38" t="s">
        <v>2715</v>
      </c>
      <c r="AC1613" s="38" t="s">
        <v>2716</v>
      </c>
      <c r="AD1613" s="39" t="s">
        <v>87</v>
      </c>
      <c r="AE1613" s="38"/>
      <c r="AF1613" s="38" t="s">
        <v>115</v>
      </c>
      <c r="AG1613" s="38"/>
      <c r="AH1613" s="38"/>
      <c r="AI1613" s="50"/>
      <c r="AJ1613" s="50"/>
      <c r="AK1613" s="41"/>
      <c r="AL1613" s="40"/>
      <c r="AM1613" s="49"/>
      <c r="AN1613" s="51"/>
      <c r="AO1613" s="42"/>
      <c r="AP1613" s="43"/>
      <c r="AQ1613" s="44" t="str">
        <f t="shared" si="189"/>
        <v>CRO</v>
      </c>
      <c r="AR1613" s="44" t="str">
        <f t="shared" si="144"/>
        <v/>
      </c>
      <c r="AS1613" s="44"/>
      <c r="AT1613" s="44" t="str">
        <f t="shared" si="114"/>
        <v/>
      </c>
      <c r="AU1613" s="44" t="str">
        <f t="shared" si="115"/>
        <v/>
      </c>
      <c r="AV1613" s="38">
        <v>3.0</v>
      </c>
      <c r="AW1613" s="38"/>
      <c r="AX1613" s="38"/>
      <c r="AY1613" s="38" t="s">
        <v>88</v>
      </c>
      <c r="AZ1613" s="29">
        <v>60.0</v>
      </c>
      <c r="BA1613" s="29"/>
      <c r="BB1613" s="29">
        <v>1.0</v>
      </c>
      <c r="BC1613" s="29" t="s">
        <v>2717</v>
      </c>
      <c r="BD1613" s="29" t="s">
        <v>88</v>
      </c>
      <c r="BE1613" s="29"/>
      <c r="BF1613" s="29" t="s">
        <v>2718</v>
      </c>
      <c r="BG1613" s="29" t="s">
        <v>91</v>
      </c>
      <c r="BH1613" s="29" t="s">
        <v>88</v>
      </c>
      <c r="BI1613" s="29" t="s">
        <v>1438</v>
      </c>
      <c r="BJ1613" s="29"/>
      <c r="BK1613" s="29" t="s">
        <v>180</v>
      </c>
      <c r="BL1613" s="29" t="s">
        <v>180</v>
      </c>
      <c r="BM1613" s="45"/>
      <c r="BN1613" s="45"/>
      <c r="BO1613" s="46" t="s">
        <v>2717</v>
      </c>
      <c r="BP1613" s="2"/>
      <c r="BQ1613" s="3"/>
    </row>
    <row r="1614" ht="15.75" customHeight="1">
      <c r="A1614" s="34">
        <v>1669.0</v>
      </c>
      <c r="B1614" s="34">
        <v>101891.0</v>
      </c>
      <c r="C1614" s="34" t="s">
        <v>76</v>
      </c>
      <c r="D1614" s="34" t="s">
        <v>2711</v>
      </c>
      <c r="E1614" s="34" t="s">
        <v>1823</v>
      </c>
      <c r="F1614" s="34">
        <v>2012.0</v>
      </c>
      <c r="G1614" s="34" t="s">
        <v>2712</v>
      </c>
      <c r="H1614" s="34" t="s">
        <v>282</v>
      </c>
      <c r="I1614" s="34" t="s">
        <v>2713</v>
      </c>
      <c r="J1614" s="35"/>
      <c r="K1614" s="36"/>
      <c r="L1614" s="36"/>
      <c r="M1614" s="36"/>
      <c r="N1614" s="36">
        <v>26.1</v>
      </c>
      <c r="O1614" s="36">
        <v>501.3</v>
      </c>
      <c r="P1614" s="52">
        <f t="shared" si="190"/>
        <v>5.206463196</v>
      </c>
      <c r="Q1614" s="36"/>
      <c r="R1614" s="36" t="s">
        <v>82</v>
      </c>
      <c r="S1614" s="36">
        <v>120.0</v>
      </c>
      <c r="T1614" s="36" t="s">
        <v>1828</v>
      </c>
      <c r="U1614" s="36" t="s">
        <v>1828</v>
      </c>
      <c r="V1614" s="36">
        <v>11.0</v>
      </c>
      <c r="W1614" s="36"/>
      <c r="X1614" s="38">
        <v>11.0</v>
      </c>
      <c r="Y1614" s="38" t="s">
        <v>2714</v>
      </c>
      <c r="Z1614" s="38"/>
      <c r="AA1614" s="38" t="s">
        <v>86</v>
      </c>
      <c r="AB1614" s="38" t="s">
        <v>2715</v>
      </c>
      <c r="AC1614" s="38" t="s">
        <v>2716</v>
      </c>
      <c r="AD1614" s="39" t="s">
        <v>87</v>
      </c>
      <c r="AE1614" s="38"/>
      <c r="AF1614" s="38"/>
      <c r="AG1614" s="38"/>
      <c r="AH1614" s="38"/>
      <c r="AI1614" s="50"/>
      <c r="AJ1614" s="50"/>
      <c r="AK1614" s="41"/>
      <c r="AL1614" s="40"/>
      <c r="AM1614" s="49"/>
      <c r="AN1614" s="51"/>
      <c r="AO1614" s="42"/>
      <c r="AP1614" s="43"/>
      <c r="AQ1614" s="44" t="str">
        <f t="shared" si="189"/>
        <v>CRO</v>
      </c>
      <c r="AR1614" s="44" t="str">
        <f t="shared" si="144"/>
        <v/>
      </c>
      <c r="AS1614" s="44"/>
      <c r="AT1614" s="44" t="str">
        <f t="shared" si="114"/>
        <v/>
      </c>
      <c r="AU1614" s="44" t="str">
        <f t="shared" si="115"/>
        <v/>
      </c>
      <c r="AV1614" s="38">
        <v>3.0</v>
      </c>
      <c r="AW1614" s="38"/>
      <c r="AX1614" s="38"/>
      <c r="AY1614" s="38" t="s">
        <v>88</v>
      </c>
      <c r="AZ1614" s="29">
        <v>60.0</v>
      </c>
      <c r="BA1614" s="29"/>
      <c r="BB1614" s="29">
        <v>1.0</v>
      </c>
      <c r="BC1614" s="29" t="s">
        <v>2717</v>
      </c>
      <c r="BD1614" s="29" t="s">
        <v>88</v>
      </c>
      <c r="BE1614" s="29"/>
      <c r="BF1614" s="29" t="s">
        <v>2718</v>
      </c>
      <c r="BG1614" s="29" t="s">
        <v>91</v>
      </c>
      <c r="BH1614" s="29" t="s">
        <v>88</v>
      </c>
      <c r="BI1614" s="29" t="s">
        <v>1438</v>
      </c>
      <c r="BJ1614" s="29"/>
      <c r="BK1614" s="29" t="s">
        <v>180</v>
      </c>
      <c r="BL1614" s="29" t="s">
        <v>180</v>
      </c>
      <c r="BM1614" s="45"/>
      <c r="BN1614" s="45"/>
      <c r="BO1614" s="46" t="s">
        <v>2717</v>
      </c>
      <c r="BP1614" s="2"/>
      <c r="BQ1614" s="3"/>
    </row>
    <row r="1615" ht="15.75" customHeight="1">
      <c r="A1615" s="34">
        <v>1670.0</v>
      </c>
      <c r="B1615" s="34">
        <v>101891.0</v>
      </c>
      <c r="C1615" s="34" t="s">
        <v>76</v>
      </c>
      <c r="D1615" s="34" t="s">
        <v>2711</v>
      </c>
      <c r="E1615" s="34" t="s">
        <v>1823</v>
      </c>
      <c r="F1615" s="34">
        <v>2012.0</v>
      </c>
      <c r="G1615" s="34" t="s">
        <v>2712</v>
      </c>
      <c r="H1615" s="34" t="s">
        <v>282</v>
      </c>
      <c r="I1615" s="34" t="s">
        <v>2713</v>
      </c>
      <c r="J1615" s="35"/>
      <c r="K1615" s="36"/>
      <c r="L1615" s="36"/>
      <c r="M1615" s="36"/>
      <c r="N1615" s="36">
        <v>11.2</v>
      </c>
      <c r="O1615" s="36">
        <v>485.8</v>
      </c>
      <c r="P1615" s="52">
        <f t="shared" si="190"/>
        <v>2.305475504</v>
      </c>
      <c r="Q1615" s="36"/>
      <c r="R1615" s="36" t="s">
        <v>82</v>
      </c>
      <c r="S1615" s="36">
        <v>120.0</v>
      </c>
      <c r="T1615" s="36" t="s">
        <v>1828</v>
      </c>
      <c r="U1615" s="36" t="s">
        <v>1828</v>
      </c>
      <c r="V1615" s="36">
        <v>11.0</v>
      </c>
      <c r="W1615" s="36"/>
      <c r="X1615" s="38">
        <v>11.0</v>
      </c>
      <c r="Y1615" s="38" t="s">
        <v>2714</v>
      </c>
      <c r="Z1615" s="38"/>
      <c r="AA1615" s="38" t="s">
        <v>86</v>
      </c>
      <c r="AB1615" s="38" t="s">
        <v>2715</v>
      </c>
      <c r="AC1615" s="38" t="s">
        <v>2716</v>
      </c>
      <c r="AD1615" s="39" t="s">
        <v>87</v>
      </c>
      <c r="AE1615" s="38"/>
      <c r="AF1615" s="38" t="s">
        <v>106</v>
      </c>
      <c r="AG1615" s="38"/>
      <c r="AH1615" s="38"/>
      <c r="AI1615" s="50"/>
      <c r="AJ1615" s="50"/>
      <c r="AK1615" s="41"/>
      <c r="AL1615" s="40"/>
      <c r="AM1615" s="49"/>
      <c r="AN1615" s="51"/>
      <c r="AO1615" s="42"/>
      <c r="AP1615" s="43"/>
      <c r="AQ1615" s="44" t="str">
        <f t="shared" si="189"/>
        <v>CRO</v>
      </c>
      <c r="AR1615" s="44" t="str">
        <f t="shared" si="144"/>
        <v/>
      </c>
      <c r="AS1615" s="44"/>
      <c r="AT1615" s="44" t="str">
        <f t="shared" si="114"/>
        <v/>
      </c>
      <c r="AU1615" s="44" t="str">
        <f t="shared" si="115"/>
        <v/>
      </c>
      <c r="AV1615" s="38">
        <v>3.0</v>
      </c>
      <c r="AW1615" s="38"/>
      <c r="AX1615" s="38"/>
      <c r="AY1615" s="38" t="s">
        <v>88</v>
      </c>
      <c r="AZ1615" s="29">
        <v>60.0</v>
      </c>
      <c r="BA1615" s="29"/>
      <c r="BB1615" s="29">
        <v>1.0</v>
      </c>
      <c r="BC1615" s="29" t="s">
        <v>2717</v>
      </c>
      <c r="BD1615" s="29" t="s">
        <v>88</v>
      </c>
      <c r="BE1615" s="29"/>
      <c r="BF1615" s="29" t="s">
        <v>2718</v>
      </c>
      <c r="BG1615" s="29" t="s">
        <v>91</v>
      </c>
      <c r="BH1615" s="29" t="s">
        <v>88</v>
      </c>
      <c r="BI1615" s="29" t="s">
        <v>1438</v>
      </c>
      <c r="BJ1615" s="29"/>
      <c r="BK1615" s="29" t="s">
        <v>180</v>
      </c>
      <c r="BL1615" s="29" t="s">
        <v>180</v>
      </c>
      <c r="BM1615" s="45"/>
      <c r="BN1615" s="45"/>
      <c r="BO1615" s="46" t="s">
        <v>2717</v>
      </c>
      <c r="BP1615" s="2"/>
      <c r="BQ1615" s="3"/>
    </row>
    <row r="1616" ht="15.75" customHeight="1">
      <c r="A1616" s="34">
        <v>1671.0</v>
      </c>
      <c r="B1616" s="34">
        <v>101891.0</v>
      </c>
      <c r="C1616" s="34" t="s">
        <v>76</v>
      </c>
      <c r="D1616" s="34" t="s">
        <v>2711</v>
      </c>
      <c r="E1616" s="34" t="s">
        <v>1823</v>
      </c>
      <c r="F1616" s="34">
        <v>2012.0</v>
      </c>
      <c r="G1616" s="34" t="s">
        <v>2712</v>
      </c>
      <c r="H1616" s="34" t="s">
        <v>282</v>
      </c>
      <c r="I1616" s="34" t="s">
        <v>2713</v>
      </c>
      <c r="J1616" s="35"/>
      <c r="K1616" s="36"/>
      <c r="L1616" s="36"/>
      <c r="M1616" s="36"/>
      <c r="N1616" s="36">
        <v>44.0</v>
      </c>
      <c r="O1616" s="36">
        <v>519.9</v>
      </c>
      <c r="P1616" s="52">
        <f t="shared" si="190"/>
        <v>8.463165993</v>
      </c>
      <c r="Q1616" s="36"/>
      <c r="R1616" s="36" t="s">
        <v>82</v>
      </c>
      <c r="S1616" s="36">
        <v>120.0</v>
      </c>
      <c r="T1616" s="36" t="s">
        <v>1828</v>
      </c>
      <c r="U1616" s="36" t="s">
        <v>1828</v>
      </c>
      <c r="V1616" s="36">
        <v>11.0</v>
      </c>
      <c r="W1616" s="36"/>
      <c r="X1616" s="38">
        <v>11.0</v>
      </c>
      <c r="Y1616" s="38" t="s">
        <v>2714</v>
      </c>
      <c r="Z1616" s="38"/>
      <c r="AA1616" s="38" t="s">
        <v>86</v>
      </c>
      <c r="AB1616" s="38" t="s">
        <v>2715</v>
      </c>
      <c r="AC1616" s="38" t="s">
        <v>2716</v>
      </c>
      <c r="AD1616" s="39" t="s">
        <v>87</v>
      </c>
      <c r="AE1616" s="38"/>
      <c r="AF1616" s="38" t="s">
        <v>115</v>
      </c>
      <c r="AG1616" s="38"/>
      <c r="AH1616" s="38"/>
      <c r="AI1616" s="50"/>
      <c r="AJ1616" s="50"/>
      <c r="AK1616" s="41"/>
      <c r="AL1616" s="40"/>
      <c r="AM1616" s="49"/>
      <c r="AN1616" s="51"/>
      <c r="AO1616" s="42"/>
      <c r="AP1616" s="43"/>
      <c r="AQ1616" s="44" t="str">
        <f t="shared" si="189"/>
        <v>CRO</v>
      </c>
      <c r="AR1616" s="44" t="str">
        <f t="shared" si="144"/>
        <v/>
      </c>
      <c r="AS1616" s="44"/>
      <c r="AT1616" s="44" t="str">
        <f t="shared" si="114"/>
        <v/>
      </c>
      <c r="AU1616" s="44" t="str">
        <f t="shared" si="115"/>
        <v/>
      </c>
      <c r="AV1616" s="38">
        <v>3.0</v>
      </c>
      <c r="AW1616" s="38"/>
      <c r="AX1616" s="38"/>
      <c r="AY1616" s="38" t="s">
        <v>88</v>
      </c>
      <c r="AZ1616" s="29">
        <v>60.0</v>
      </c>
      <c r="BA1616" s="29"/>
      <c r="BB1616" s="29">
        <v>1.0</v>
      </c>
      <c r="BC1616" s="29" t="s">
        <v>2717</v>
      </c>
      <c r="BD1616" s="29" t="s">
        <v>88</v>
      </c>
      <c r="BE1616" s="29"/>
      <c r="BF1616" s="29" t="s">
        <v>2718</v>
      </c>
      <c r="BG1616" s="29" t="s">
        <v>91</v>
      </c>
      <c r="BH1616" s="29" t="s">
        <v>88</v>
      </c>
      <c r="BI1616" s="29" t="s">
        <v>1438</v>
      </c>
      <c r="BJ1616" s="29"/>
      <c r="BK1616" s="29" t="s">
        <v>180</v>
      </c>
      <c r="BL1616" s="29" t="s">
        <v>180</v>
      </c>
      <c r="BM1616" s="45"/>
      <c r="BN1616" s="45"/>
      <c r="BO1616" s="46" t="s">
        <v>2717</v>
      </c>
      <c r="BP1616" s="2"/>
      <c r="BQ1616" s="3"/>
    </row>
    <row r="1617" ht="15.75" customHeight="1">
      <c r="A1617" s="34">
        <v>1672.0</v>
      </c>
      <c r="B1617" s="34">
        <v>101891.0</v>
      </c>
      <c r="C1617" s="34" t="s">
        <v>76</v>
      </c>
      <c r="D1617" s="34" t="s">
        <v>2711</v>
      </c>
      <c r="E1617" s="34" t="s">
        <v>1823</v>
      </c>
      <c r="F1617" s="34">
        <v>2012.0</v>
      </c>
      <c r="G1617" s="34" t="s">
        <v>2712</v>
      </c>
      <c r="H1617" s="34" t="s">
        <v>282</v>
      </c>
      <c r="I1617" s="34" t="s">
        <v>2713</v>
      </c>
      <c r="J1617" s="35"/>
      <c r="K1617" s="36"/>
      <c r="L1617" s="36"/>
      <c r="M1617" s="36"/>
      <c r="N1617" s="36">
        <v>10.0</v>
      </c>
      <c r="O1617" s="36">
        <v>421.0</v>
      </c>
      <c r="P1617" s="52">
        <f t="shared" si="190"/>
        <v>2.375296912</v>
      </c>
      <c r="Q1617" s="36"/>
      <c r="R1617" s="36" t="s">
        <v>82</v>
      </c>
      <c r="S1617" s="36">
        <v>120.0</v>
      </c>
      <c r="T1617" s="36" t="s">
        <v>1836</v>
      </c>
      <c r="U1617" s="36" t="s">
        <v>1828</v>
      </c>
      <c r="V1617" s="36">
        <v>30.0</v>
      </c>
      <c r="W1617" s="36"/>
      <c r="X1617" s="38">
        <v>11.0</v>
      </c>
      <c r="Y1617" s="38" t="s">
        <v>2714</v>
      </c>
      <c r="Z1617" s="38"/>
      <c r="AA1617" s="38" t="s">
        <v>86</v>
      </c>
      <c r="AB1617" s="38" t="s">
        <v>2715</v>
      </c>
      <c r="AC1617" s="38" t="s">
        <v>2716</v>
      </c>
      <c r="AD1617" s="39" t="s">
        <v>87</v>
      </c>
      <c r="AE1617" s="38"/>
      <c r="AF1617" s="38"/>
      <c r="AG1617" s="38"/>
      <c r="AH1617" s="38"/>
      <c r="AI1617" s="50"/>
      <c r="AJ1617" s="50"/>
      <c r="AK1617" s="41"/>
      <c r="AL1617" s="40"/>
      <c r="AM1617" s="49"/>
      <c r="AN1617" s="51"/>
      <c r="AO1617" s="42"/>
      <c r="AP1617" s="43"/>
      <c r="AQ1617" s="44" t="str">
        <f t="shared" si="189"/>
        <v>CRO</v>
      </c>
      <c r="AR1617" s="44" t="str">
        <f t="shared" si="144"/>
        <v/>
      </c>
      <c r="AS1617" s="44"/>
      <c r="AT1617" s="44" t="str">
        <f t="shared" si="114"/>
        <v/>
      </c>
      <c r="AU1617" s="44" t="str">
        <f t="shared" si="115"/>
        <v/>
      </c>
      <c r="AV1617" s="38">
        <v>3.0</v>
      </c>
      <c r="AW1617" s="38"/>
      <c r="AX1617" s="38"/>
      <c r="AY1617" s="38" t="s">
        <v>88</v>
      </c>
      <c r="AZ1617" s="29">
        <v>60.0</v>
      </c>
      <c r="BA1617" s="29"/>
      <c r="BB1617" s="29">
        <v>1.0</v>
      </c>
      <c r="BC1617" s="29" t="s">
        <v>2717</v>
      </c>
      <c r="BD1617" s="29" t="s">
        <v>88</v>
      </c>
      <c r="BE1617" s="29"/>
      <c r="BF1617" s="29" t="s">
        <v>2718</v>
      </c>
      <c r="BG1617" s="29" t="s">
        <v>91</v>
      </c>
      <c r="BH1617" s="29" t="s">
        <v>88</v>
      </c>
      <c r="BI1617" s="29" t="s">
        <v>1438</v>
      </c>
      <c r="BJ1617" s="29"/>
      <c r="BK1617" s="29" t="s">
        <v>180</v>
      </c>
      <c r="BL1617" s="29" t="s">
        <v>180</v>
      </c>
      <c r="BM1617" s="45"/>
      <c r="BN1617" s="45"/>
      <c r="BO1617" s="46" t="s">
        <v>2717</v>
      </c>
      <c r="BP1617" s="2"/>
      <c r="BQ1617" s="3"/>
    </row>
    <row r="1618" ht="15.75" customHeight="1">
      <c r="A1618" s="34">
        <v>1673.0</v>
      </c>
      <c r="B1618" s="34">
        <v>101891.0</v>
      </c>
      <c r="C1618" s="34" t="s">
        <v>76</v>
      </c>
      <c r="D1618" s="34" t="s">
        <v>2711</v>
      </c>
      <c r="E1618" s="34" t="s">
        <v>1823</v>
      </c>
      <c r="F1618" s="34">
        <v>2012.0</v>
      </c>
      <c r="G1618" s="34" t="s">
        <v>2712</v>
      </c>
      <c r="H1618" s="34" t="s">
        <v>282</v>
      </c>
      <c r="I1618" s="34" t="s">
        <v>2713</v>
      </c>
      <c r="J1618" s="35"/>
      <c r="K1618" s="36"/>
      <c r="L1618" s="36"/>
      <c r="M1618" s="36"/>
      <c r="N1618" s="36">
        <v>-4.6</v>
      </c>
      <c r="O1618" s="36">
        <v>424.4</v>
      </c>
      <c r="P1618" s="52">
        <f t="shared" si="190"/>
        <v>-1.083883129</v>
      </c>
      <c r="Q1618" s="36"/>
      <c r="R1618" s="36" t="s">
        <v>82</v>
      </c>
      <c r="S1618" s="36">
        <v>120.0</v>
      </c>
      <c r="T1618" s="36" t="s">
        <v>1837</v>
      </c>
      <c r="U1618" s="36" t="s">
        <v>1837</v>
      </c>
      <c r="V1618" s="36">
        <v>10.0</v>
      </c>
      <c r="W1618" s="36"/>
      <c r="X1618" s="38">
        <v>10.0</v>
      </c>
      <c r="Y1618" s="38" t="s">
        <v>2714</v>
      </c>
      <c r="Z1618" s="38"/>
      <c r="AA1618" s="38" t="s">
        <v>86</v>
      </c>
      <c r="AB1618" s="38" t="s">
        <v>2715</v>
      </c>
      <c r="AC1618" s="38" t="s">
        <v>2716</v>
      </c>
      <c r="AD1618" s="39" t="s">
        <v>87</v>
      </c>
      <c r="AE1618" s="38"/>
      <c r="AF1618" s="38"/>
      <c r="AG1618" s="38"/>
      <c r="AH1618" s="38"/>
      <c r="AI1618" s="50"/>
      <c r="AJ1618" s="50"/>
      <c r="AK1618" s="41"/>
      <c r="AL1618" s="40"/>
      <c r="AM1618" s="49"/>
      <c r="AN1618" s="51"/>
      <c r="AO1618" s="42"/>
      <c r="AP1618" s="43"/>
      <c r="AQ1618" s="44" t="str">
        <f t="shared" si="189"/>
        <v>CRO</v>
      </c>
      <c r="AR1618" s="44" t="str">
        <f t="shared" si="144"/>
        <v/>
      </c>
      <c r="AS1618" s="44"/>
      <c r="AT1618" s="44" t="str">
        <f t="shared" si="114"/>
        <v/>
      </c>
      <c r="AU1618" s="44" t="str">
        <f t="shared" si="115"/>
        <v/>
      </c>
      <c r="AV1618" s="38">
        <v>3.0</v>
      </c>
      <c r="AW1618" s="38"/>
      <c r="AX1618" s="38"/>
      <c r="AY1618" s="38" t="s">
        <v>88</v>
      </c>
      <c r="AZ1618" s="29">
        <v>60.0</v>
      </c>
      <c r="BA1618" s="29"/>
      <c r="BB1618" s="29">
        <v>1.0</v>
      </c>
      <c r="BC1618" s="29" t="s">
        <v>2717</v>
      </c>
      <c r="BD1618" s="29" t="s">
        <v>88</v>
      </c>
      <c r="BE1618" s="29"/>
      <c r="BF1618" s="29" t="s">
        <v>2718</v>
      </c>
      <c r="BG1618" s="29" t="s">
        <v>91</v>
      </c>
      <c r="BH1618" s="29" t="s">
        <v>88</v>
      </c>
      <c r="BI1618" s="29" t="s">
        <v>1438</v>
      </c>
      <c r="BJ1618" s="29"/>
      <c r="BK1618" s="29" t="s">
        <v>2719</v>
      </c>
      <c r="BL1618" s="29" t="s">
        <v>2719</v>
      </c>
      <c r="BM1618" s="45"/>
      <c r="BN1618" s="45"/>
      <c r="BO1618" s="46"/>
      <c r="BP1618" s="2"/>
      <c r="BQ1618" s="3"/>
    </row>
    <row r="1619" ht="15.75" customHeight="1">
      <c r="A1619" s="34">
        <v>1674.0</v>
      </c>
      <c r="B1619" s="34">
        <v>101891.0</v>
      </c>
      <c r="C1619" s="34" t="s">
        <v>76</v>
      </c>
      <c r="D1619" s="34" t="s">
        <v>2711</v>
      </c>
      <c r="E1619" s="34" t="s">
        <v>1823</v>
      </c>
      <c r="F1619" s="34">
        <v>2012.0</v>
      </c>
      <c r="G1619" s="34" t="s">
        <v>2712</v>
      </c>
      <c r="H1619" s="34" t="s">
        <v>282</v>
      </c>
      <c r="I1619" s="34" t="s">
        <v>2713</v>
      </c>
      <c r="J1619" s="35"/>
      <c r="K1619" s="36"/>
      <c r="L1619" s="36"/>
      <c r="M1619" s="36"/>
      <c r="N1619" s="36">
        <v>-3.6</v>
      </c>
      <c r="O1619" s="36">
        <v>339.7</v>
      </c>
      <c r="P1619" s="52">
        <f t="shared" si="190"/>
        <v>-1.059758611</v>
      </c>
      <c r="Q1619" s="36"/>
      <c r="R1619" s="36" t="s">
        <v>82</v>
      </c>
      <c r="S1619" s="36">
        <v>120.0</v>
      </c>
      <c r="T1619" s="36" t="s">
        <v>1837</v>
      </c>
      <c r="U1619" s="36" t="s">
        <v>1837</v>
      </c>
      <c r="V1619" s="36">
        <v>10.0</v>
      </c>
      <c r="W1619" s="36"/>
      <c r="X1619" s="38">
        <v>10.0</v>
      </c>
      <c r="Y1619" s="38" t="s">
        <v>2714</v>
      </c>
      <c r="Z1619" s="38"/>
      <c r="AA1619" s="38" t="s">
        <v>86</v>
      </c>
      <c r="AB1619" s="38" t="s">
        <v>2715</v>
      </c>
      <c r="AC1619" s="38" t="s">
        <v>2716</v>
      </c>
      <c r="AD1619" s="39" t="s">
        <v>87</v>
      </c>
      <c r="AE1619" s="38"/>
      <c r="AF1619" s="38" t="s">
        <v>106</v>
      </c>
      <c r="AG1619" s="38"/>
      <c r="AH1619" s="38"/>
      <c r="AI1619" s="50"/>
      <c r="AJ1619" s="50"/>
      <c r="AK1619" s="41"/>
      <c r="AL1619" s="40"/>
      <c r="AM1619" s="49"/>
      <c r="AN1619" s="51"/>
      <c r="AO1619" s="42"/>
      <c r="AP1619" s="43"/>
      <c r="AQ1619" s="44" t="str">
        <f t="shared" si="189"/>
        <v>CRO</v>
      </c>
      <c r="AR1619" s="44" t="str">
        <f t="shared" si="144"/>
        <v/>
      </c>
      <c r="AS1619" s="44"/>
      <c r="AT1619" s="44" t="str">
        <f t="shared" si="114"/>
        <v/>
      </c>
      <c r="AU1619" s="44" t="str">
        <f t="shared" si="115"/>
        <v/>
      </c>
      <c r="AV1619" s="38">
        <v>3.0</v>
      </c>
      <c r="AW1619" s="38"/>
      <c r="AX1619" s="38"/>
      <c r="AY1619" s="38" t="s">
        <v>88</v>
      </c>
      <c r="AZ1619" s="29">
        <v>60.0</v>
      </c>
      <c r="BA1619" s="29"/>
      <c r="BB1619" s="29">
        <v>1.0</v>
      </c>
      <c r="BC1619" s="29" t="s">
        <v>2717</v>
      </c>
      <c r="BD1619" s="29" t="s">
        <v>88</v>
      </c>
      <c r="BE1619" s="29"/>
      <c r="BF1619" s="29" t="s">
        <v>2718</v>
      </c>
      <c r="BG1619" s="29" t="s">
        <v>91</v>
      </c>
      <c r="BH1619" s="29" t="s">
        <v>88</v>
      </c>
      <c r="BI1619" s="29" t="s">
        <v>1438</v>
      </c>
      <c r="BJ1619" s="29"/>
      <c r="BK1619" s="29" t="s">
        <v>2719</v>
      </c>
      <c r="BL1619" s="29" t="s">
        <v>2719</v>
      </c>
      <c r="BM1619" s="45"/>
      <c r="BN1619" s="45"/>
      <c r="BO1619" s="46"/>
      <c r="BP1619" s="2"/>
      <c r="BQ1619" s="3"/>
    </row>
    <row r="1620" ht="15.75" customHeight="1">
      <c r="A1620" s="34">
        <v>1675.0</v>
      </c>
      <c r="B1620" s="34">
        <v>101891.0</v>
      </c>
      <c r="C1620" s="34" t="s">
        <v>76</v>
      </c>
      <c r="D1620" s="34" t="s">
        <v>2711</v>
      </c>
      <c r="E1620" s="34" t="s">
        <v>1823</v>
      </c>
      <c r="F1620" s="34">
        <v>2012.0</v>
      </c>
      <c r="G1620" s="34" t="s">
        <v>2712</v>
      </c>
      <c r="H1620" s="34" t="s">
        <v>282</v>
      </c>
      <c r="I1620" s="34" t="s">
        <v>2713</v>
      </c>
      <c r="J1620" s="35"/>
      <c r="K1620" s="36"/>
      <c r="L1620" s="36"/>
      <c r="M1620" s="36"/>
      <c r="N1620" s="36">
        <v>-5.5</v>
      </c>
      <c r="O1620" s="36">
        <v>509.0</v>
      </c>
      <c r="P1620" s="52">
        <f t="shared" si="190"/>
        <v>-1.080550098</v>
      </c>
      <c r="Q1620" s="36"/>
      <c r="R1620" s="36" t="s">
        <v>82</v>
      </c>
      <c r="S1620" s="36">
        <v>120.0</v>
      </c>
      <c r="T1620" s="36" t="s">
        <v>1837</v>
      </c>
      <c r="U1620" s="36" t="s">
        <v>1837</v>
      </c>
      <c r="V1620" s="36">
        <v>10.0</v>
      </c>
      <c r="W1620" s="36"/>
      <c r="X1620" s="38">
        <v>10.0</v>
      </c>
      <c r="Y1620" s="38" t="s">
        <v>2714</v>
      </c>
      <c r="Z1620" s="38"/>
      <c r="AA1620" s="38" t="s">
        <v>86</v>
      </c>
      <c r="AB1620" s="38" t="s">
        <v>2715</v>
      </c>
      <c r="AC1620" s="38" t="s">
        <v>2716</v>
      </c>
      <c r="AD1620" s="39" t="s">
        <v>87</v>
      </c>
      <c r="AE1620" s="38"/>
      <c r="AF1620" s="38" t="s">
        <v>115</v>
      </c>
      <c r="AG1620" s="38"/>
      <c r="AH1620" s="38"/>
      <c r="AI1620" s="50"/>
      <c r="AJ1620" s="50"/>
      <c r="AK1620" s="41"/>
      <c r="AL1620" s="40"/>
      <c r="AM1620" s="49"/>
      <c r="AN1620" s="51"/>
      <c r="AO1620" s="42"/>
      <c r="AP1620" s="43"/>
      <c r="AQ1620" s="44" t="str">
        <f t="shared" si="189"/>
        <v>CRO</v>
      </c>
      <c r="AR1620" s="44" t="str">
        <f t="shared" si="144"/>
        <v/>
      </c>
      <c r="AS1620" s="44"/>
      <c r="AT1620" s="44" t="str">
        <f t="shared" si="114"/>
        <v/>
      </c>
      <c r="AU1620" s="44" t="str">
        <f t="shared" si="115"/>
        <v/>
      </c>
      <c r="AV1620" s="38">
        <v>3.0</v>
      </c>
      <c r="AW1620" s="38"/>
      <c r="AX1620" s="38"/>
      <c r="AY1620" s="38" t="s">
        <v>88</v>
      </c>
      <c r="AZ1620" s="29">
        <v>60.0</v>
      </c>
      <c r="BA1620" s="29"/>
      <c r="BB1620" s="29">
        <v>1.0</v>
      </c>
      <c r="BC1620" s="29" t="s">
        <v>2717</v>
      </c>
      <c r="BD1620" s="29" t="s">
        <v>88</v>
      </c>
      <c r="BE1620" s="29"/>
      <c r="BF1620" s="29" t="s">
        <v>2718</v>
      </c>
      <c r="BG1620" s="29" t="s">
        <v>91</v>
      </c>
      <c r="BH1620" s="29" t="s">
        <v>88</v>
      </c>
      <c r="BI1620" s="29" t="s">
        <v>1438</v>
      </c>
      <c r="BJ1620" s="29"/>
      <c r="BK1620" s="29" t="s">
        <v>2719</v>
      </c>
      <c r="BL1620" s="29" t="s">
        <v>2719</v>
      </c>
      <c r="BM1620" s="45"/>
      <c r="BN1620" s="45"/>
      <c r="BO1620" s="46"/>
      <c r="BP1620" s="2"/>
      <c r="BQ1620" s="3"/>
    </row>
    <row r="1621" ht="15.75" customHeight="1">
      <c r="A1621" s="34">
        <v>1677.0</v>
      </c>
      <c r="B1621" s="34">
        <v>101605.0</v>
      </c>
      <c r="C1621" s="34" t="s">
        <v>76</v>
      </c>
      <c r="D1621" s="34" t="s">
        <v>2720</v>
      </c>
      <c r="E1621" s="34" t="s">
        <v>2721</v>
      </c>
      <c r="F1621" s="34">
        <v>2013.0</v>
      </c>
      <c r="G1621" s="34" t="s">
        <v>2722</v>
      </c>
      <c r="H1621" s="34" t="s">
        <v>282</v>
      </c>
      <c r="I1621" s="34" t="s">
        <v>2723</v>
      </c>
      <c r="J1621" s="35"/>
      <c r="K1621" s="36">
        <v>0.4</v>
      </c>
      <c r="L1621" s="36">
        <v>4.1</v>
      </c>
      <c r="M1621" s="36"/>
      <c r="N1621" s="36"/>
      <c r="O1621" s="36"/>
      <c r="P1621" s="37">
        <v>9.0</v>
      </c>
      <c r="Q1621" s="36" t="s">
        <v>96</v>
      </c>
      <c r="R1621" s="36" t="s">
        <v>96</v>
      </c>
      <c r="S1621" s="36">
        <v>1000.0</v>
      </c>
      <c r="T1621" s="36" t="s">
        <v>613</v>
      </c>
      <c r="U1621" s="36" t="s">
        <v>2724</v>
      </c>
      <c r="V1621" s="36">
        <v>101.0</v>
      </c>
      <c r="W1621" s="36"/>
      <c r="X1621" s="38">
        <v>1.0</v>
      </c>
      <c r="Y1621" s="38" t="s">
        <v>497</v>
      </c>
      <c r="Z1621" s="38" t="s">
        <v>615</v>
      </c>
      <c r="AA1621" s="38" t="s">
        <v>86</v>
      </c>
      <c r="AB1621" s="38" t="s">
        <v>2725</v>
      </c>
      <c r="AC1621" s="38" t="s">
        <v>2726</v>
      </c>
      <c r="AD1621" s="38" t="s">
        <v>198</v>
      </c>
      <c r="AE1621" s="38"/>
      <c r="AF1621" s="38" t="s">
        <v>260</v>
      </c>
      <c r="AG1621" s="38"/>
      <c r="AH1621" s="38" t="s">
        <v>2727</v>
      </c>
      <c r="AI1621" s="50">
        <v>36.8291</v>
      </c>
      <c r="AJ1621" s="50">
        <v>116.5703</v>
      </c>
      <c r="AK1621" s="41" t="s">
        <v>86</v>
      </c>
      <c r="AL1621" s="40" t="s">
        <v>86</v>
      </c>
      <c r="AM1621" s="49">
        <v>26.0</v>
      </c>
      <c r="AN1621" s="51">
        <v>26.0</v>
      </c>
      <c r="AO1621" s="42" t="s">
        <v>218</v>
      </c>
      <c r="AP1621" s="43" t="s">
        <v>218</v>
      </c>
      <c r="AQ1621" s="44" t="str">
        <f t="shared" si="189"/>
        <v>CRO</v>
      </c>
      <c r="AR1621" s="44">
        <f t="shared" si="144"/>
        <v>26</v>
      </c>
      <c r="AS1621" s="44" t="str">
        <f t="shared" ref="AS1621:AS1624" si="191">LEFT(AO1621,1)</f>
        <v>D</v>
      </c>
      <c r="AT1621" s="44" t="str">
        <f t="shared" si="114"/>
        <v>Dw</v>
      </c>
      <c r="AU1621" s="44" t="str">
        <f t="shared" si="115"/>
        <v>Dwa</v>
      </c>
      <c r="AV1621" s="38">
        <v>2.0</v>
      </c>
      <c r="AW1621" s="38"/>
      <c r="AX1621" s="38"/>
      <c r="AY1621" s="38" t="s">
        <v>92</v>
      </c>
      <c r="AZ1621" s="29">
        <v>1000.0</v>
      </c>
      <c r="BA1621" s="29"/>
      <c r="BB1621" s="29">
        <v>1.0</v>
      </c>
      <c r="BC1621" s="29" t="s">
        <v>2426</v>
      </c>
      <c r="BD1621" s="29" t="s">
        <v>88</v>
      </c>
      <c r="BE1621" s="29"/>
      <c r="BF1621" s="29" t="s">
        <v>1682</v>
      </c>
      <c r="BG1621" s="29" t="s">
        <v>91</v>
      </c>
      <c r="BH1621" s="29" t="s">
        <v>88</v>
      </c>
      <c r="BI1621" s="29" t="s">
        <v>2180</v>
      </c>
      <c r="BJ1621" s="29"/>
      <c r="BK1621" s="29" t="s">
        <v>148</v>
      </c>
      <c r="BL1621" s="29" t="s">
        <v>148</v>
      </c>
      <c r="BM1621" s="45">
        <v>1.0</v>
      </c>
      <c r="BN1621" s="45"/>
      <c r="BO1621" s="46" t="s">
        <v>2426</v>
      </c>
      <c r="BP1621" s="2"/>
      <c r="BQ1621" s="3"/>
    </row>
    <row r="1622" ht="15.75" customHeight="1">
      <c r="A1622" s="34">
        <v>1678.0</v>
      </c>
      <c r="B1622" s="34">
        <v>101605.0</v>
      </c>
      <c r="C1622" s="34" t="s">
        <v>76</v>
      </c>
      <c r="D1622" s="34" t="s">
        <v>2720</v>
      </c>
      <c r="E1622" s="34" t="s">
        <v>2721</v>
      </c>
      <c r="F1622" s="34">
        <v>2013.0</v>
      </c>
      <c r="G1622" s="34" t="s">
        <v>2722</v>
      </c>
      <c r="H1622" s="34" t="s">
        <v>282</v>
      </c>
      <c r="I1622" s="34" t="s">
        <v>2723</v>
      </c>
      <c r="J1622" s="35"/>
      <c r="K1622" s="36">
        <v>-0.5</v>
      </c>
      <c r="L1622" s="36">
        <v>4.1</v>
      </c>
      <c r="M1622" s="36"/>
      <c r="N1622" s="36"/>
      <c r="O1622" s="36"/>
      <c r="P1622" s="37">
        <v>-11.0</v>
      </c>
      <c r="Q1622" s="36" t="s">
        <v>96</v>
      </c>
      <c r="R1622" s="36" t="s">
        <v>96</v>
      </c>
      <c r="S1622" s="36">
        <v>1000.0</v>
      </c>
      <c r="T1622" s="36" t="s">
        <v>613</v>
      </c>
      <c r="U1622" s="36" t="s">
        <v>2724</v>
      </c>
      <c r="V1622" s="36">
        <v>101.0</v>
      </c>
      <c r="W1622" s="36"/>
      <c r="X1622" s="38">
        <v>1.0</v>
      </c>
      <c r="Y1622" s="38" t="s">
        <v>497</v>
      </c>
      <c r="Z1622" s="38" t="s">
        <v>615</v>
      </c>
      <c r="AA1622" s="38" t="s">
        <v>86</v>
      </c>
      <c r="AB1622" s="38" t="s">
        <v>2725</v>
      </c>
      <c r="AC1622" s="38" t="s">
        <v>2726</v>
      </c>
      <c r="AD1622" s="38" t="s">
        <v>198</v>
      </c>
      <c r="AE1622" s="38"/>
      <c r="AF1622" s="38" t="s">
        <v>260</v>
      </c>
      <c r="AG1622" s="38"/>
      <c r="AH1622" s="38" t="s">
        <v>2727</v>
      </c>
      <c r="AI1622" s="50">
        <v>36.8291</v>
      </c>
      <c r="AJ1622" s="50">
        <v>116.5703</v>
      </c>
      <c r="AK1622" s="41" t="s">
        <v>86</v>
      </c>
      <c r="AL1622" s="40" t="s">
        <v>86</v>
      </c>
      <c r="AM1622" s="49">
        <v>26.0</v>
      </c>
      <c r="AN1622" s="51">
        <v>26.0</v>
      </c>
      <c r="AO1622" s="42" t="s">
        <v>218</v>
      </c>
      <c r="AP1622" s="43" t="s">
        <v>218</v>
      </c>
      <c r="AQ1622" s="44" t="str">
        <f t="shared" si="189"/>
        <v>CRO</v>
      </c>
      <c r="AR1622" s="44">
        <f t="shared" si="144"/>
        <v>26</v>
      </c>
      <c r="AS1622" s="44" t="str">
        <f t="shared" si="191"/>
        <v>D</v>
      </c>
      <c r="AT1622" s="44" t="str">
        <f t="shared" si="114"/>
        <v>Dw</v>
      </c>
      <c r="AU1622" s="44" t="str">
        <f t="shared" si="115"/>
        <v>Dwa</v>
      </c>
      <c r="AV1622" s="38">
        <v>2.0</v>
      </c>
      <c r="AW1622" s="38"/>
      <c r="AX1622" s="38"/>
      <c r="AY1622" s="38" t="s">
        <v>92</v>
      </c>
      <c r="AZ1622" s="29">
        <v>1000.0</v>
      </c>
      <c r="BA1622" s="29"/>
      <c r="BB1622" s="29">
        <v>1.0</v>
      </c>
      <c r="BC1622" s="29" t="s">
        <v>2426</v>
      </c>
      <c r="BD1622" s="29" t="s">
        <v>88</v>
      </c>
      <c r="BE1622" s="29"/>
      <c r="BF1622" s="29" t="s">
        <v>1682</v>
      </c>
      <c r="BG1622" s="29" t="s">
        <v>91</v>
      </c>
      <c r="BH1622" s="29" t="s">
        <v>88</v>
      </c>
      <c r="BI1622" s="29" t="s">
        <v>2180</v>
      </c>
      <c r="BJ1622" s="29"/>
      <c r="BK1622" s="29" t="s">
        <v>148</v>
      </c>
      <c r="BL1622" s="29" t="s">
        <v>148</v>
      </c>
      <c r="BM1622" s="45">
        <v>1.0</v>
      </c>
      <c r="BN1622" s="45"/>
      <c r="BO1622" s="46"/>
      <c r="BP1622" s="2"/>
      <c r="BQ1622" s="3"/>
    </row>
    <row r="1623" ht="15.75" customHeight="1">
      <c r="A1623" s="34">
        <v>1679.0</v>
      </c>
      <c r="B1623" s="34">
        <v>101605.0</v>
      </c>
      <c r="C1623" s="34" t="s">
        <v>76</v>
      </c>
      <c r="D1623" s="34" t="s">
        <v>2720</v>
      </c>
      <c r="E1623" s="34" t="s">
        <v>2721</v>
      </c>
      <c r="F1623" s="34">
        <v>2013.0</v>
      </c>
      <c r="G1623" s="34" t="s">
        <v>2722</v>
      </c>
      <c r="H1623" s="34" t="s">
        <v>282</v>
      </c>
      <c r="I1623" s="34" t="s">
        <v>2723</v>
      </c>
      <c r="J1623" s="35"/>
      <c r="K1623" s="36">
        <v>0.7</v>
      </c>
      <c r="L1623" s="36">
        <v>4.1</v>
      </c>
      <c r="M1623" s="36"/>
      <c r="N1623" s="36"/>
      <c r="O1623" s="36"/>
      <c r="P1623" s="37">
        <v>18.0</v>
      </c>
      <c r="Q1623" s="36" t="s">
        <v>96</v>
      </c>
      <c r="R1623" s="36" t="s">
        <v>96</v>
      </c>
      <c r="S1623" s="36">
        <v>1000.0</v>
      </c>
      <c r="T1623" s="36" t="s">
        <v>613</v>
      </c>
      <c r="U1623" s="36" t="s">
        <v>2724</v>
      </c>
      <c r="V1623" s="36">
        <v>101.0</v>
      </c>
      <c r="W1623" s="36"/>
      <c r="X1623" s="38">
        <v>1.0</v>
      </c>
      <c r="Y1623" s="38" t="s">
        <v>497</v>
      </c>
      <c r="Z1623" s="38" t="s">
        <v>615</v>
      </c>
      <c r="AA1623" s="38" t="s">
        <v>86</v>
      </c>
      <c r="AB1623" s="38" t="s">
        <v>2725</v>
      </c>
      <c r="AC1623" s="38" t="s">
        <v>2726</v>
      </c>
      <c r="AD1623" s="38" t="s">
        <v>198</v>
      </c>
      <c r="AE1623" s="38"/>
      <c r="AF1623" s="38" t="s">
        <v>260</v>
      </c>
      <c r="AG1623" s="38"/>
      <c r="AH1623" s="38" t="s">
        <v>2727</v>
      </c>
      <c r="AI1623" s="50">
        <v>36.8291</v>
      </c>
      <c r="AJ1623" s="50">
        <v>116.5703</v>
      </c>
      <c r="AK1623" s="41" t="s">
        <v>86</v>
      </c>
      <c r="AL1623" s="40" t="s">
        <v>86</v>
      </c>
      <c r="AM1623" s="49">
        <v>26.0</v>
      </c>
      <c r="AN1623" s="51">
        <v>26.0</v>
      </c>
      <c r="AO1623" s="42" t="s">
        <v>218</v>
      </c>
      <c r="AP1623" s="43" t="s">
        <v>218</v>
      </c>
      <c r="AQ1623" s="44" t="str">
        <f t="shared" si="189"/>
        <v>CRO</v>
      </c>
      <c r="AR1623" s="44">
        <f t="shared" si="144"/>
        <v>26</v>
      </c>
      <c r="AS1623" s="44" t="str">
        <f t="shared" si="191"/>
        <v>D</v>
      </c>
      <c r="AT1623" s="44" t="str">
        <f t="shared" si="114"/>
        <v>Dw</v>
      </c>
      <c r="AU1623" s="44" t="str">
        <f t="shared" si="115"/>
        <v>Dwa</v>
      </c>
      <c r="AV1623" s="38">
        <v>2.0</v>
      </c>
      <c r="AW1623" s="38"/>
      <c r="AX1623" s="38"/>
      <c r="AY1623" s="38" t="s">
        <v>92</v>
      </c>
      <c r="AZ1623" s="29">
        <v>1000.0</v>
      </c>
      <c r="BA1623" s="29"/>
      <c r="BB1623" s="29">
        <v>1.0</v>
      </c>
      <c r="BC1623" s="29" t="s">
        <v>2426</v>
      </c>
      <c r="BD1623" s="29" t="s">
        <v>88</v>
      </c>
      <c r="BE1623" s="29"/>
      <c r="BF1623" s="29" t="s">
        <v>1682</v>
      </c>
      <c r="BG1623" s="29" t="s">
        <v>91</v>
      </c>
      <c r="BH1623" s="29" t="s">
        <v>88</v>
      </c>
      <c r="BI1623" s="29" t="s">
        <v>2180</v>
      </c>
      <c r="BJ1623" s="29"/>
      <c r="BK1623" s="29" t="s">
        <v>148</v>
      </c>
      <c r="BL1623" s="29" t="s">
        <v>148</v>
      </c>
      <c r="BM1623" s="45">
        <v>1.0</v>
      </c>
      <c r="BN1623" s="45"/>
      <c r="BO1623" s="46"/>
      <c r="BP1623" s="2"/>
      <c r="BQ1623" s="3"/>
    </row>
    <row r="1624" ht="15.75" customHeight="1">
      <c r="A1624" s="34">
        <v>1680.0</v>
      </c>
      <c r="B1624" s="34">
        <v>101605.0</v>
      </c>
      <c r="C1624" s="34" t="s">
        <v>76</v>
      </c>
      <c r="D1624" s="34" t="s">
        <v>2720</v>
      </c>
      <c r="E1624" s="34" t="s">
        <v>2721</v>
      </c>
      <c r="F1624" s="34">
        <v>2013.0</v>
      </c>
      <c r="G1624" s="34" t="s">
        <v>2722</v>
      </c>
      <c r="H1624" s="34" t="s">
        <v>282</v>
      </c>
      <c r="I1624" s="34" t="s">
        <v>2723</v>
      </c>
      <c r="J1624" s="35"/>
      <c r="K1624" s="36">
        <v>0.2</v>
      </c>
      <c r="L1624" s="36">
        <v>4.1</v>
      </c>
      <c r="M1624" s="36"/>
      <c r="N1624" s="36"/>
      <c r="O1624" s="36"/>
      <c r="P1624" s="37">
        <v>5.0</v>
      </c>
      <c r="Q1624" s="36" t="s">
        <v>96</v>
      </c>
      <c r="R1624" s="36" t="s">
        <v>96</v>
      </c>
      <c r="S1624" s="36">
        <v>1000.0</v>
      </c>
      <c r="T1624" s="36" t="s">
        <v>613</v>
      </c>
      <c r="U1624" s="36" t="s">
        <v>2724</v>
      </c>
      <c r="V1624" s="36">
        <v>101.0</v>
      </c>
      <c r="W1624" s="36"/>
      <c r="X1624" s="38">
        <v>1.0</v>
      </c>
      <c r="Y1624" s="38" t="s">
        <v>497</v>
      </c>
      <c r="Z1624" s="38" t="s">
        <v>615</v>
      </c>
      <c r="AA1624" s="38" t="s">
        <v>86</v>
      </c>
      <c r="AB1624" s="38" t="s">
        <v>2725</v>
      </c>
      <c r="AC1624" s="38" t="s">
        <v>2726</v>
      </c>
      <c r="AD1624" s="38" t="s">
        <v>198</v>
      </c>
      <c r="AE1624" s="38"/>
      <c r="AF1624" s="38" t="s">
        <v>260</v>
      </c>
      <c r="AG1624" s="38"/>
      <c r="AH1624" s="38" t="s">
        <v>2727</v>
      </c>
      <c r="AI1624" s="50">
        <v>36.8291</v>
      </c>
      <c r="AJ1624" s="50">
        <v>116.5703</v>
      </c>
      <c r="AK1624" s="41" t="s">
        <v>86</v>
      </c>
      <c r="AL1624" s="40" t="s">
        <v>86</v>
      </c>
      <c r="AM1624" s="49">
        <v>26.0</v>
      </c>
      <c r="AN1624" s="51">
        <v>26.0</v>
      </c>
      <c r="AO1624" s="42" t="s">
        <v>218</v>
      </c>
      <c r="AP1624" s="43" t="s">
        <v>218</v>
      </c>
      <c r="AQ1624" s="44" t="str">
        <f t="shared" si="189"/>
        <v>CRO</v>
      </c>
      <c r="AR1624" s="44">
        <f t="shared" si="144"/>
        <v>26</v>
      </c>
      <c r="AS1624" s="44" t="str">
        <f t="shared" si="191"/>
        <v>D</v>
      </c>
      <c r="AT1624" s="44" t="str">
        <f t="shared" si="114"/>
        <v>Dw</v>
      </c>
      <c r="AU1624" s="44" t="str">
        <f t="shared" si="115"/>
        <v>Dwa</v>
      </c>
      <c r="AV1624" s="38">
        <v>2.0</v>
      </c>
      <c r="AW1624" s="38"/>
      <c r="AX1624" s="38"/>
      <c r="AY1624" s="38" t="s">
        <v>92</v>
      </c>
      <c r="AZ1624" s="29">
        <v>1000.0</v>
      </c>
      <c r="BA1624" s="29"/>
      <c r="BB1624" s="29">
        <v>1.0</v>
      </c>
      <c r="BC1624" s="29" t="s">
        <v>2426</v>
      </c>
      <c r="BD1624" s="29" t="s">
        <v>88</v>
      </c>
      <c r="BE1624" s="29"/>
      <c r="BF1624" s="29" t="s">
        <v>1682</v>
      </c>
      <c r="BG1624" s="29" t="s">
        <v>91</v>
      </c>
      <c r="BH1624" s="29" t="s">
        <v>88</v>
      </c>
      <c r="BI1624" s="29" t="s">
        <v>2180</v>
      </c>
      <c r="BJ1624" s="29"/>
      <c r="BK1624" s="29" t="s">
        <v>148</v>
      </c>
      <c r="BL1624" s="29" t="s">
        <v>148</v>
      </c>
      <c r="BM1624" s="45">
        <v>1.0</v>
      </c>
      <c r="BN1624" s="45"/>
      <c r="BO1624" s="46"/>
      <c r="BP1624" s="2"/>
      <c r="BQ1624" s="3"/>
    </row>
    <row r="1625" ht="15.75" customHeight="1">
      <c r="A1625" s="34">
        <v>1681.0</v>
      </c>
      <c r="B1625" s="34">
        <v>101595.0</v>
      </c>
      <c r="C1625" s="34" t="s">
        <v>76</v>
      </c>
      <c r="D1625" s="34" t="s">
        <v>2728</v>
      </c>
      <c r="E1625" s="34" t="s">
        <v>2729</v>
      </c>
      <c r="F1625" s="34">
        <v>2013.0</v>
      </c>
      <c r="G1625" s="34" t="s">
        <v>2730</v>
      </c>
      <c r="H1625" s="34" t="s">
        <v>282</v>
      </c>
      <c r="I1625" s="34" t="s">
        <v>2731</v>
      </c>
      <c r="J1625" s="35"/>
      <c r="K1625" s="36">
        <v>4.0</v>
      </c>
      <c r="L1625" s="36">
        <v>47.0</v>
      </c>
      <c r="M1625" s="36"/>
      <c r="N1625" s="36"/>
      <c r="O1625" s="36"/>
      <c r="P1625" s="52">
        <f t="shared" ref="P1625:P1674" si="192">K1625/L1625*100</f>
        <v>8.510638298</v>
      </c>
      <c r="Q1625" s="36" t="s">
        <v>191</v>
      </c>
      <c r="R1625" s="36" t="s">
        <v>191</v>
      </c>
      <c r="S1625" s="36">
        <v>1000.0</v>
      </c>
      <c r="T1625" s="36" t="s">
        <v>328</v>
      </c>
      <c r="U1625" s="36" t="s">
        <v>357</v>
      </c>
      <c r="V1625" s="36">
        <v>268.0</v>
      </c>
      <c r="W1625" s="36"/>
      <c r="X1625" s="38">
        <v>60.0</v>
      </c>
      <c r="Y1625" s="38" t="s">
        <v>915</v>
      </c>
      <c r="Z1625" s="38"/>
      <c r="AA1625" s="38"/>
      <c r="AB1625" s="38"/>
      <c r="AC1625" s="38"/>
      <c r="AD1625" s="39" t="s">
        <v>87</v>
      </c>
      <c r="AE1625" s="38"/>
      <c r="AF1625" s="38"/>
      <c r="AG1625" s="38"/>
      <c r="AH1625" s="38"/>
      <c r="AI1625" s="50"/>
      <c r="AJ1625" s="50"/>
      <c r="AK1625" s="41"/>
      <c r="AL1625" s="40"/>
      <c r="AM1625" s="49"/>
      <c r="AN1625" s="43"/>
      <c r="AO1625" s="42"/>
      <c r="AP1625" s="43"/>
      <c r="AQ1625" s="44" t="str">
        <f t="shared" si="189"/>
        <v/>
      </c>
      <c r="AR1625" s="44" t="str">
        <f t="shared" si="144"/>
        <v/>
      </c>
      <c r="AS1625" s="44"/>
      <c r="AT1625" s="44" t="str">
        <f t="shared" si="114"/>
        <v/>
      </c>
      <c r="AU1625" s="44" t="str">
        <f t="shared" si="115"/>
        <v/>
      </c>
      <c r="AV1625" s="38"/>
      <c r="AW1625" s="38"/>
      <c r="AX1625" s="38"/>
      <c r="AY1625" s="38"/>
      <c r="AZ1625" s="29">
        <v>1000.0</v>
      </c>
      <c r="BA1625" s="29"/>
      <c r="BB1625" s="29">
        <v>2.0</v>
      </c>
      <c r="BC1625" s="29" t="s">
        <v>219</v>
      </c>
      <c r="BD1625" s="29" t="s">
        <v>88</v>
      </c>
      <c r="BE1625" s="29"/>
      <c r="BF1625" s="29"/>
      <c r="BG1625" s="29" t="s">
        <v>220</v>
      </c>
      <c r="BH1625" s="29"/>
      <c r="BI1625" s="29"/>
      <c r="BJ1625" s="29"/>
      <c r="BK1625" s="29"/>
      <c r="BL1625" s="29"/>
      <c r="BM1625" s="45">
        <v>1.0</v>
      </c>
      <c r="BN1625" s="45"/>
      <c r="BO1625" s="46" t="s">
        <v>2732</v>
      </c>
      <c r="BP1625" s="2"/>
      <c r="BQ1625" s="3"/>
    </row>
    <row r="1626" ht="15.75" customHeight="1">
      <c r="A1626" s="34">
        <v>1682.0</v>
      </c>
      <c r="B1626" s="34">
        <v>101595.0</v>
      </c>
      <c r="C1626" s="34" t="s">
        <v>76</v>
      </c>
      <c r="D1626" s="34" t="s">
        <v>2728</v>
      </c>
      <c r="E1626" s="34" t="s">
        <v>2729</v>
      </c>
      <c r="F1626" s="34">
        <v>2013.0</v>
      </c>
      <c r="G1626" s="34" t="s">
        <v>2730</v>
      </c>
      <c r="H1626" s="34" t="s">
        <v>282</v>
      </c>
      <c r="I1626" s="34" t="s">
        <v>2731</v>
      </c>
      <c r="J1626" s="35"/>
      <c r="K1626" s="36">
        <v>8.0</v>
      </c>
      <c r="L1626" s="36">
        <v>44.0</v>
      </c>
      <c r="M1626" s="36"/>
      <c r="N1626" s="36"/>
      <c r="O1626" s="36"/>
      <c r="P1626" s="52">
        <f t="shared" si="192"/>
        <v>18.18181818</v>
      </c>
      <c r="Q1626" s="36" t="s">
        <v>191</v>
      </c>
      <c r="R1626" s="36" t="s">
        <v>191</v>
      </c>
      <c r="S1626" s="36">
        <v>1000.0</v>
      </c>
      <c r="T1626" s="36" t="s">
        <v>284</v>
      </c>
      <c r="U1626" s="36" t="s">
        <v>329</v>
      </c>
      <c r="V1626" s="36">
        <v>373.0</v>
      </c>
      <c r="W1626" s="36"/>
      <c r="X1626" s="38">
        <v>60.0</v>
      </c>
      <c r="Y1626" s="38" t="s">
        <v>915</v>
      </c>
      <c r="Z1626" s="38"/>
      <c r="AA1626" s="38"/>
      <c r="AB1626" s="38"/>
      <c r="AC1626" s="38"/>
      <c r="AD1626" s="39" t="s">
        <v>87</v>
      </c>
      <c r="AE1626" s="38"/>
      <c r="AF1626" s="38"/>
      <c r="AG1626" s="38"/>
      <c r="AH1626" s="38"/>
      <c r="AI1626" s="50"/>
      <c r="AJ1626" s="50"/>
      <c r="AK1626" s="41"/>
      <c r="AL1626" s="40"/>
      <c r="AM1626" s="49"/>
      <c r="AN1626" s="43"/>
      <c r="AO1626" s="42"/>
      <c r="AP1626" s="43"/>
      <c r="AQ1626" s="44" t="str">
        <f t="shared" si="189"/>
        <v/>
      </c>
      <c r="AR1626" s="44" t="str">
        <f t="shared" si="144"/>
        <v/>
      </c>
      <c r="AS1626" s="44"/>
      <c r="AT1626" s="44" t="str">
        <f t="shared" si="114"/>
        <v/>
      </c>
      <c r="AU1626" s="44" t="str">
        <f t="shared" si="115"/>
        <v/>
      </c>
      <c r="AV1626" s="38"/>
      <c r="AW1626" s="38"/>
      <c r="AX1626" s="38"/>
      <c r="AY1626" s="38"/>
      <c r="AZ1626" s="29">
        <v>1000.0</v>
      </c>
      <c r="BA1626" s="29"/>
      <c r="BB1626" s="29">
        <v>2.0</v>
      </c>
      <c r="BC1626" s="29" t="s">
        <v>219</v>
      </c>
      <c r="BD1626" s="29" t="s">
        <v>88</v>
      </c>
      <c r="BE1626" s="29"/>
      <c r="BF1626" s="29"/>
      <c r="BG1626" s="29" t="s">
        <v>220</v>
      </c>
      <c r="BH1626" s="29"/>
      <c r="BI1626" s="29"/>
      <c r="BJ1626" s="29"/>
      <c r="BK1626" s="29"/>
      <c r="BL1626" s="29"/>
      <c r="BM1626" s="45"/>
      <c r="BN1626" s="45"/>
      <c r="BO1626" s="46"/>
      <c r="BP1626" s="2"/>
      <c r="BQ1626" s="3"/>
    </row>
    <row r="1627" ht="15.75" customHeight="1">
      <c r="A1627" s="34">
        <v>1683.0</v>
      </c>
      <c r="B1627" s="34">
        <v>101595.0</v>
      </c>
      <c r="C1627" s="34" t="s">
        <v>76</v>
      </c>
      <c r="D1627" s="34" t="s">
        <v>2728</v>
      </c>
      <c r="E1627" s="34" t="s">
        <v>2729</v>
      </c>
      <c r="F1627" s="34">
        <v>2013.0</v>
      </c>
      <c r="G1627" s="34" t="s">
        <v>2730</v>
      </c>
      <c r="H1627" s="34" t="s">
        <v>282</v>
      </c>
      <c r="I1627" s="34" t="s">
        <v>2731</v>
      </c>
      <c r="J1627" s="35"/>
      <c r="K1627" s="36">
        <v>2.0</v>
      </c>
      <c r="L1627" s="36">
        <v>44.0</v>
      </c>
      <c r="M1627" s="36"/>
      <c r="N1627" s="36"/>
      <c r="O1627" s="36"/>
      <c r="P1627" s="52">
        <f t="shared" si="192"/>
        <v>4.545454545</v>
      </c>
      <c r="Q1627" s="36" t="s">
        <v>191</v>
      </c>
      <c r="R1627" s="36" t="s">
        <v>191</v>
      </c>
      <c r="S1627" s="36">
        <v>1000.0</v>
      </c>
      <c r="T1627" s="36" t="s">
        <v>193</v>
      </c>
      <c r="U1627" s="36" t="s">
        <v>363</v>
      </c>
      <c r="V1627" s="36">
        <v>338.0</v>
      </c>
      <c r="W1627" s="36"/>
      <c r="X1627" s="38">
        <v>60.0</v>
      </c>
      <c r="Y1627" s="38" t="s">
        <v>915</v>
      </c>
      <c r="Z1627" s="38"/>
      <c r="AA1627" s="38"/>
      <c r="AB1627" s="38"/>
      <c r="AC1627" s="38"/>
      <c r="AD1627" s="39" t="s">
        <v>87</v>
      </c>
      <c r="AE1627" s="38"/>
      <c r="AF1627" s="38"/>
      <c r="AG1627" s="38"/>
      <c r="AH1627" s="38"/>
      <c r="AI1627" s="50"/>
      <c r="AJ1627" s="50"/>
      <c r="AK1627" s="41"/>
      <c r="AL1627" s="40"/>
      <c r="AM1627" s="49"/>
      <c r="AN1627" s="43"/>
      <c r="AO1627" s="42"/>
      <c r="AP1627" s="43"/>
      <c r="AQ1627" s="44" t="str">
        <f t="shared" si="189"/>
        <v/>
      </c>
      <c r="AR1627" s="44" t="str">
        <f t="shared" si="144"/>
        <v/>
      </c>
      <c r="AS1627" s="44"/>
      <c r="AT1627" s="44" t="str">
        <f t="shared" si="114"/>
        <v/>
      </c>
      <c r="AU1627" s="44" t="str">
        <f t="shared" si="115"/>
        <v/>
      </c>
      <c r="AV1627" s="38"/>
      <c r="AW1627" s="38"/>
      <c r="AX1627" s="38"/>
      <c r="AY1627" s="38"/>
      <c r="AZ1627" s="29">
        <v>1000.0</v>
      </c>
      <c r="BA1627" s="29"/>
      <c r="BB1627" s="29">
        <v>2.0</v>
      </c>
      <c r="BC1627" s="29" t="s">
        <v>219</v>
      </c>
      <c r="BD1627" s="29" t="s">
        <v>88</v>
      </c>
      <c r="BE1627" s="29"/>
      <c r="BF1627" s="29"/>
      <c r="BG1627" s="29" t="s">
        <v>220</v>
      </c>
      <c r="BH1627" s="29"/>
      <c r="BI1627" s="29"/>
      <c r="BJ1627" s="29"/>
      <c r="BK1627" s="29"/>
      <c r="BL1627" s="29"/>
      <c r="BM1627" s="45"/>
      <c r="BN1627" s="45"/>
      <c r="BO1627" s="46"/>
      <c r="BP1627" s="2"/>
      <c r="BQ1627" s="3"/>
    </row>
    <row r="1628" ht="15.75" customHeight="1">
      <c r="A1628" s="34">
        <v>1684.0</v>
      </c>
      <c r="B1628" s="34">
        <v>101595.0</v>
      </c>
      <c r="C1628" s="34" t="s">
        <v>76</v>
      </c>
      <c r="D1628" s="34" t="s">
        <v>2728</v>
      </c>
      <c r="E1628" s="34" t="s">
        <v>2729</v>
      </c>
      <c r="F1628" s="34">
        <v>2013.0</v>
      </c>
      <c r="G1628" s="34" t="s">
        <v>2730</v>
      </c>
      <c r="H1628" s="34" t="s">
        <v>282</v>
      </c>
      <c r="I1628" s="34" t="s">
        <v>2731</v>
      </c>
      <c r="J1628" s="35"/>
      <c r="K1628" s="36">
        <v>-1.0</v>
      </c>
      <c r="L1628" s="36">
        <v>45.0</v>
      </c>
      <c r="M1628" s="36"/>
      <c r="N1628" s="36"/>
      <c r="O1628" s="36"/>
      <c r="P1628" s="52">
        <f t="shared" si="192"/>
        <v>-2.222222222</v>
      </c>
      <c r="Q1628" s="36" t="s">
        <v>191</v>
      </c>
      <c r="R1628" s="36" t="s">
        <v>191</v>
      </c>
      <c r="S1628" s="36">
        <v>1000.0</v>
      </c>
      <c r="T1628" s="36" t="s">
        <v>295</v>
      </c>
      <c r="U1628" s="36" t="s">
        <v>968</v>
      </c>
      <c r="V1628" s="36">
        <v>481.0</v>
      </c>
      <c r="W1628" s="36"/>
      <c r="X1628" s="38">
        <v>60.0</v>
      </c>
      <c r="Y1628" s="38" t="s">
        <v>915</v>
      </c>
      <c r="Z1628" s="38"/>
      <c r="AA1628" s="38"/>
      <c r="AB1628" s="38"/>
      <c r="AC1628" s="38"/>
      <c r="AD1628" s="39" t="s">
        <v>87</v>
      </c>
      <c r="AE1628" s="38"/>
      <c r="AF1628" s="38"/>
      <c r="AG1628" s="38"/>
      <c r="AH1628" s="38"/>
      <c r="AI1628" s="50"/>
      <c r="AJ1628" s="50"/>
      <c r="AK1628" s="41"/>
      <c r="AL1628" s="40"/>
      <c r="AM1628" s="49"/>
      <c r="AN1628" s="43"/>
      <c r="AO1628" s="42"/>
      <c r="AP1628" s="43"/>
      <c r="AQ1628" s="44" t="str">
        <f t="shared" si="189"/>
        <v/>
      </c>
      <c r="AR1628" s="44" t="str">
        <f t="shared" si="144"/>
        <v/>
      </c>
      <c r="AS1628" s="44"/>
      <c r="AT1628" s="44" t="str">
        <f t="shared" si="114"/>
        <v/>
      </c>
      <c r="AU1628" s="44" t="str">
        <f t="shared" si="115"/>
        <v/>
      </c>
      <c r="AV1628" s="38"/>
      <c r="AW1628" s="38"/>
      <c r="AX1628" s="38"/>
      <c r="AY1628" s="38"/>
      <c r="AZ1628" s="29">
        <v>1000.0</v>
      </c>
      <c r="BA1628" s="29"/>
      <c r="BB1628" s="29">
        <v>2.0</v>
      </c>
      <c r="BC1628" s="29" t="s">
        <v>219</v>
      </c>
      <c r="BD1628" s="29" t="s">
        <v>88</v>
      </c>
      <c r="BE1628" s="29"/>
      <c r="BF1628" s="29"/>
      <c r="BG1628" s="29" t="s">
        <v>220</v>
      </c>
      <c r="BH1628" s="29"/>
      <c r="BI1628" s="29"/>
      <c r="BJ1628" s="29"/>
      <c r="BK1628" s="29"/>
      <c r="BL1628" s="29"/>
      <c r="BM1628" s="45"/>
      <c r="BN1628" s="45"/>
      <c r="BO1628" s="46"/>
      <c r="BP1628" s="2"/>
      <c r="BQ1628" s="3"/>
    </row>
    <row r="1629" ht="15.75" customHeight="1">
      <c r="A1629" s="34">
        <v>1685.0</v>
      </c>
      <c r="B1629" s="34">
        <v>101595.0</v>
      </c>
      <c r="C1629" s="34" t="s">
        <v>76</v>
      </c>
      <c r="D1629" s="34" t="s">
        <v>2728</v>
      </c>
      <c r="E1629" s="34" t="s">
        <v>2729</v>
      </c>
      <c r="F1629" s="34">
        <v>2013.0</v>
      </c>
      <c r="G1629" s="34" t="s">
        <v>2730</v>
      </c>
      <c r="H1629" s="34" t="s">
        <v>282</v>
      </c>
      <c r="I1629" s="34" t="s">
        <v>2731</v>
      </c>
      <c r="J1629" s="35"/>
      <c r="K1629" s="36">
        <v>0.0</v>
      </c>
      <c r="L1629" s="36">
        <v>45.0</v>
      </c>
      <c r="M1629" s="36"/>
      <c r="N1629" s="36"/>
      <c r="O1629" s="36"/>
      <c r="P1629" s="52">
        <f t="shared" si="192"/>
        <v>0</v>
      </c>
      <c r="Q1629" s="36" t="s">
        <v>191</v>
      </c>
      <c r="R1629" s="36" t="s">
        <v>191</v>
      </c>
      <c r="S1629" s="36">
        <v>1000.0</v>
      </c>
      <c r="T1629" s="36" t="s">
        <v>317</v>
      </c>
      <c r="U1629" s="36" t="s">
        <v>194</v>
      </c>
      <c r="V1629" s="36">
        <v>496.0</v>
      </c>
      <c r="W1629" s="36"/>
      <c r="X1629" s="38">
        <v>60.0</v>
      </c>
      <c r="Y1629" s="38" t="s">
        <v>915</v>
      </c>
      <c r="Z1629" s="38"/>
      <c r="AA1629" s="38"/>
      <c r="AB1629" s="38"/>
      <c r="AC1629" s="38"/>
      <c r="AD1629" s="39" t="s">
        <v>87</v>
      </c>
      <c r="AE1629" s="38"/>
      <c r="AF1629" s="38"/>
      <c r="AG1629" s="38"/>
      <c r="AH1629" s="38"/>
      <c r="AI1629" s="50"/>
      <c r="AJ1629" s="50"/>
      <c r="AK1629" s="41"/>
      <c r="AL1629" s="40"/>
      <c r="AM1629" s="49"/>
      <c r="AN1629" s="43"/>
      <c r="AO1629" s="42"/>
      <c r="AP1629" s="43"/>
      <c r="AQ1629" s="44" t="str">
        <f t="shared" si="189"/>
        <v/>
      </c>
      <c r="AR1629" s="44" t="str">
        <f t="shared" si="144"/>
        <v/>
      </c>
      <c r="AS1629" s="44"/>
      <c r="AT1629" s="44" t="str">
        <f t="shared" si="114"/>
        <v/>
      </c>
      <c r="AU1629" s="44" t="str">
        <f t="shared" si="115"/>
        <v/>
      </c>
      <c r="AV1629" s="38"/>
      <c r="AW1629" s="38"/>
      <c r="AX1629" s="38"/>
      <c r="AY1629" s="38"/>
      <c r="AZ1629" s="29">
        <v>1000.0</v>
      </c>
      <c r="BA1629" s="29"/>
      <c r="BB1629" s="29">
        <v>2.0</v>
      </c>
      <c r="BC1629" s="29" t="s">
        <v>219</v>
      </c>
      <c r="BD1629" s="29" t="s">
        <v>88</v>
      </c>
      <c r="BE1629" s="29"/>
      <c r="BF1629" s="29"/>
      <c r="BG1629" s="29" t="s">
        <v>220</v>
      </c>
      <c r="BH1629" s="29"/>
      <c r="BI1629" s="29"/>
      <c r="BJ1629" s="29"/>
      <c r="BK1629" s="29"/>
      <c r="BL1629" s="29"/>
      <c r="BM1629" s="45"/>
      <c r="BN1629" s="45"/>
      <c r="BO1629" s="46"/>
      <c r="BP1629" s="2"/>
      <c r="BQ1629" s="3"/>
    </row>
    <row r="1630" ht="15.75" customHeight="1">
      <c r="A1630" s="34">
        <v>1686.0</v>
      </c>
      <c r="B1630" s="34">
        <v>101595.0</v>
      </c>
      <c r="C1630" s="34" t="s">
        <v>76</v>
      </c>
      <c r="D1630" s="34" t="s">
        <v>2728</v>
      </c>
      <c r="E1630" s="34" t="s">
        <v>2729</v>
      </c>
      <c r="F1630" s="34">
        <v>2013.0</v>
      </c>
      <c r="G1630" s="34" t="s">
        <v>2730</v>
      </c>
      <c r="H1630" s="34" t="s">
        <v>282</v>
      </c>
      <c r="I1630" s="34" t="s">
        <v>2731</v>
      </c>
      <c r="J1630" s="35"/>
      <c r="K1630" s="36">
        <v>-1.0</v>
      </c>
      <c r="L1630" s="36">
        <v>43.0</v>
      </c>
      <c r="M1630" s="36"/>
      <c r="N1630" s="36"/>
      <c r="O1630" s="36"/>
      <c r="P1630" s="52">
        <f t="shared" si="192"/>
        <v>-2.325581395</v>
      </c>
      <c r="Q1630" s="36" t="s">
        <v>191</v>
      </c>
      <c r="R1630" s="36" t="s">
        <v>191</v>
      </c>
      <c r="S1630" s="36">
        <v>1000.0</v>
      </c>
      <c r="T1630" s="36" t="s">
        <v>341</v>
      </c>
      <c r="U1630" s="36" t="s">
        <v>285</v>
      </c>
      <c r="V1630" s="36">
        <v>443.0</v>
      </c>
      <c r="W1630" s="36"/>
      <c r="X1630" s="38">
        <v>60.0</v>
      </c>
      <c r="Y1630" s="38" t="s">
        <v>915</v>
      </c>
      <c r="Z1630" s="38"/>
      <c r="AA1630" s="38"/>
      <c r="AB1630" s="38"/>
      <c r="AC1630" s="38"/>
      <c r="AD1630" s="39" t="s">
        <v>87</v>
      </c>
      <c r="AE1630" s="38"/>
      <c r="AF1630" s="38"/>
      <c r="AG1630" s="38"/>
      <c r="AH1630" s="38"/>
      <c r="AI1630" s="50"/>
      <c r="AJ1630" s="50"/>
      <c r="AK1630" s="41"/>
      <c r="AL1630" s="40"/>
      <c r="AM1630" s="49"/>
      <c r="AN1630" s="43"/>
      <c r="AO1630" s="42"/>
      <c r="AP1630" s="43"/>
      <c r="AQ1630" s="44" t="str">
        <f t="shared" si="189"/>
        <v/>
      </c>
      <c r="AR1630" s="44" t="str">
        <f t="shared" si="144"/>
        <v/>
      </c>
      <c r="AS1630" s="44"/>
      <c r="AT1630" s="44" t="str">
        <f t="shared" si="114"/>
        <v/>
      </c>
      <c r="AU1630" s="44" t="str">
        <f t="shared" si="115"/>
        <v/>
      </c>
      <c r="AV1630" s="38"/>
      <c r="AW1630" s="38"/>
      <c r="AX1630" s="38"/>
      <c r="AY1630" s="38"/>
      <c r="AZ1630" s="29">
        <v>1000.0</v>
      </c>
      <c r="BA1630" s="29"/>
      <c r="BB1630" s="29">
        <v>2.0</v>
      </c>
      <c r="BC1630" s="29" t="s">
        <v>219</v>
      </c>
      <c r="BD1630" s="29" t="s">
        <v>88</v>
      </c>
      <c r="BE1630" s="29"/>
      <c r="BF1630" s="29"/>
      <c r="BG1630" s="29" t="s">
        <v>220</v>
      </c>
      <c r="BH1630" s="29"/>
      <c r="BI1630" s="29"/>
      <c r="BJ1630" s="29"/>
      <c r="BK1630" s="29"/>
      <c r="BL1630" s="29"/>
      <c r="BM1630" s="45"/>
      <c r="BN1630" s="45"/>
      <c r="BO1630" s="46"/>
      <c r="BP1630" s="2"/>
      <c r="BQ1630" s="3"/>
    </row>
    <row r="1631" ht="15.75" customHeight="1">
      <c r="A1631" s="34">
        <v>1687.0</v>
      </c>
      <c r="B1631" s="34">
        <v>101595.0</v>
      </c>
      <c r="C1631" s="34" t="s">
        <v>76</v>
      </c>
      <c r="D1631" s="34" t="s">
        <v>2728</v>
      </c>
      <c r="E1631" s="34" t="s">
        <v>2729</v>
      </c>
      <c r="F1631" s="34">
        <v>2013.0</v>
      </c>
      <c r="G1631" s="34" t="s">
        <v>2730</v>
      </c>
      <c r="H1631" s="34" t="s">
        <v>282</v>
      </c>
      <c r="I1631" s="34" t="s">
        <v>2731</v>
      </c>
      <c r="J1631" s="35"/>
      <c r="K1631" s="36">
        <v>-10.0</v>
      </c>
      <c r="L1631" s="36">
        <v>47.0</v>
      </c>
      <c r="M1631" s="36"/>
      <c r="N1631" s="36"/>
      <c r="O1631" s="36"/>
      <c r="P1631" s="52">
        <f t="shared" si="192"/>
        <v>-21.27659574</v>
      </c>
      <c r="Q1631" s="36" t="s">
        <v>191</v>
      </c>
      <c r="R1631" s="36" t="s">
        <v>191</v>
      </c>
      <c r="S1631" s="36">
        <v>1000.0</v>
      </c>
      <c r="T1631" s="36" t="s">
        <v>350</v>
      </c>
      <c r="U1631" s="36" t="s">
        <v>342</v>
      </c>
      <c r="V1631" s="36">
        <v>113.0</v>
      </c>
      <c r="W1631" s="36"/>
      <c r="X1631" s="38">
        <v>60.0</v>
      </c>
      <c r="Y1631" s="38" t="s">
        <v>915</v>
      </c>
      <c r="Z1631" s="38"/>
      <c r="AA1631" s="38"/>
      <c r="AB1631" s="38"/>
      <c r="AC1631" s="38"/>
      <c r="AD1631" s="39" t="s">
        <v>87</v>
      </c>
      <c r="AE1631" s="38"/>
      <c r="AF1631" s="38"/>
      <c r="AG1631" s="38"/>
      <c r="AH1631" s="38"/>
      <c r="AI1631" s="50"/>
      <c r="AJ1631" s="50"/>
      <c r="AK1631" s="41"/>
      <c r="AL1631" s="40"/>
      <c r="AM1631" s="49"/>
      <c r="AN1631" s="43"/>
      <c r="AO1631" s="42"/>
      <c r="AP1631" s="43"/>
      <c r="AQ1631" s="44" t="str">
        <f t="shared" si="189"/>
        <v/>
      </c>
      <c r="AR1631" s="44" t="str">
        <f t="shared" si="144"/>
        <v/>
      </c>
      <c r="AS1631" s="44"/>
      <c r="AT1631" s="44" t="str">
        <f t="shared" si="114"/>
        <v/>
      </c>
      <c r="AU1631" s="44" t="str">
        <f t="shared" si="115"/>
        <v/>
      </c>
      <c r="AV1631" s="38"/>
      <c r="AW1631" s="38"/>
      <c r="AX1631" s="38"/>
      <c r="AY1631" s="38"/>
      <c r="AZ1631" s="29">
        <v>1000.0</v>
      </c>
      <c r="BA1631" s="29"/>
      <c r="BB1631" s="29">
        <v>2.0</v>
      </c>
      <c r="BC1631" s="29" t="s">
        <v>219</v>
      </c>
      <c r="BD1631" s="29" t="s">
        <v>88</v>
      </c>
      <c r="BE1631" s="29"/>
      <c r="BF1631" s="29"/>
      <c r="BG1631" s="29" t="s">
        <v>220</v>
      </c>
      <c r="BH1631" s="29"/>
      <c r="BI1631" s="29"/>
      <c r="BJ1631" s="29"/>
      <c r="BK1631" s="29"/>
      <c r="BL1631" s="29"/>
      <c r="BM1631" s="45"/>
      <c r="BN1631" s="45"/>
      <c r="BO1631" s="46"/>
      <c r="BP1631" s="2"/>
      <c r="BQ1631" s="3"/>
    </row>
    <row r="1632" ht="15.75" customHeight="1">
      <c r="A1632" s="34">
        <v>1688.0</v>
      </c>
      <c r="B1632" s="34">
        <v>101595.0</v>
      </c>
      <c r="C1632" s="34" t="s">
        <v>76</v>
      </c>
      <c r="D1632" s="34" t="s">
        <v>2728</v>
      </c>
      <c r="E1632" s="34" t="s">
        <v>2729</v>
      </c>
      <c r="F1632" s="34">
        <v>2013.0</v>
      </c>
      <c r="G1632" s="34" t="s">
        <v>2730</v>
      </c>
      <c r="H1632" s="34" t="s">
        <v>282</v>
      </c>
      <c r="I1632" s="34" t="s">
        <v>2731</v>
      </c>
      <c r="J1632" s="35"/>
      <c r="K1632" s="36">
        <v>1.0</v>
      </c>
      <c r="L1632" s="36">
        <v>45.0</v>
      </c>
      <c r="M1632" s="36"/>
      <c r="N1632" s="36"/>
      <c r="O1632" s="36"/>
      <c r="P1632" s="52">
        <f t="shared" si="192"/>
        <v>2.222222222</v>
      </c>
      <c r="Q1632" s="36" t="s">
        <v>191</v>
      </c>
      <c r="R1632" s="36" t="s">
        <v>191</v>
      </c>
      <c r="S1632" s="36">
        <v>1000.0</v>
      </c>
      <c r="T1632" s="36" t="s">
        <v>328</v>
      </c>
      <c r="U1632" s="36" t="s">
        <v>342</v>
      </c>
      <c r="V1632" s="36">
        <v>2512.0</v>
      </c>
      <c r="W1632" s="36"/>
      <c r="X1632" s="38">
        <v>60.0</v>
      </c>
      <c r="Y1632" s="38" t="s">
        <v>915</v>
      </c>
      <c r="Z1632" s="38"/>
      <c r="AA1632" s="38"/>
      <c r="AB1632" s="38"/>
      <c r="AC1632" s="38"/>
      <c r="AD1632" s="39" t="s">
        <v>87</v>
      </c>
      <c r="AE1632" s="38"/>
      <c r="AF1632" s="38"/>
      <c r="AG1632" s="38"/>
      <c r="AH1632" s="38"/>
      <c r="AI1632" s="50"/>
      <c r="AJ1632" s="50"/>
      <c r="AK1632" s="41"/>
      <c r="AL1632" s="40"/>
      <c r="AM1632" s="49"/>
      <c r="AN1632" s="43"/>
      <c r="AO1632" s="42"/>
      <c r="AP1632" s="43"/>
      <c r="AQ1632" s="44" t="str">
        <f t="shared" si="189"/>
        <v/>
      </c>
      <c r="AR1632" s="44" t="str">
        <f t="shared" si="144"/>
        <v/>
      </c>
      <c r="AS1632" s="44"/>
      <c r="AT1632" s="44" t="str">
        <f t="shared" si="114"/>
        <v/>
      </c>
      <c r="AU1632" s="44" t="str">
        <f t="shared" si="115"/>
        <v/>
      </c>
      <c r="AV1632" s="38"/>
      <c r="AW1632" s="38"/>
      <c r="AX1632" s="38"/>
      <c r="AY1632" s="38"/>
      <c r="AZ1632" s="29">
        <v>1000.0</v>
      </c>
      <c r="BA1632" s="29"/>
      <c r="BB1632" s="29">
        <v>2.0</v>
      </c>
      <c r="BC1632" s="29" t="s">
        <v>219</v>
      </c>
      <c r="BD1632" s="29" t="s">
        <v>88</v>
      </c>
      <c r="BE1632" s="29"/>
      <c r="BF1632" s="29"/>
      <c r="BG1632" s="29" t="s">
        <v>220</v>
      </c>
      <c r="BH1632" s="29"/>
      <c r="BI1632" s="29"/>
      <c r="BJ1632" s="29"/>
      <c r="BK1632" s="29"/>
      <c r="BL1632" s="29"/>
      <c r="BM1632" s="45"/>
      <c r="BN1632" s="45"/>
      <c r="BO1632" s="46"/>
      <c r="BP1632" s="2"/>
      <c r="BQ1632" s="3"/>
    </row>
    <row r="1633" ht="15.75" customHeight="1">
      <c r="A1633" s="34">
        <v>1689.0</v>
      </c>
      <c r="B1633" s="34">
        <v>101595.0</v>
      </c>
      <c r="C1633" s="34" t="s">
        <v>76</v>
      </c>
      <c r="D1633" s="34" t="s">
        <v>2728</v>
      </c>
      <c r="E1633" s="34" t="s">
        <v>2729</v>
      </c>
      <c r="F1633" s="34">
        <v>2013.0</v>
      </c>
      <c r="G1633" s="34" t="s">
        <v>2730</v>
      </c>
      <c r="H1633" s="34" t="s">
        <v>282</v>
      </c>
      <c r="I1633" s="34" t="s">
        <v>2731</v>
      </c>
      <c r="J1633" s="35"/>
      <c r="K1633" s="36">
        <v>0.0</v>
      </c>
      <c r="L1633" s="36">
        <v>47.0</v>
      </c>
      <c r="M1633" s="36"/>
      <c r="N1633" s="36"/>
      <c r="O1633" s="36"/>
      <c r="P1633" s="52">
        <f t="shared" si="192"/>
        <v>0</v>
      </c>
      <c r="Q1633" s="36" t="s">
        <v>191</v>
      </c>
      <c r="R1633" s="36" t="s">
        <v>191</v>
      </c>
      <c r="S1633" s="36">
        <v>1000.0</v>
      </c>
      <c r="T1633" s="36" t="s">
        <v>328</v>
      </c>
      <c r="U1633" s="36" t="s">
        <v>357</v>
      </c>
      <c r="V1633" s="36">
        <v>268.0</v>
      </c>
      <c r="W1633" s="36"/>
      <c r="X1633" s="38">
        <v>60.0</v>
      </c>
      <c r="Y1633" s="38" t="s">
        <v>915</v>
      </c>
      <c r="Z1633" s="38"/>
      <c r="AA1633" s="38"/>
      <c r="AB1633" s="38"/>
      <c r="AC1633" s="38"/>
      <c r="AD1633" s="39" t="s">
        <v>87</v>
      </c>
      <c r="AE1633" s="38"/>
      <c r="AF1633" s="38"/>
      <c r="AG1633" s="38"/>
      <c r="AH1633" s="38"/>
      <c r="AI1633" s="50"/>
      <c r="AJ1633" s="50"/>
      <c r="AK1633" s="41"/>
      <c r="AL1633" s="40"/>
      <c r="AM1633" s="49"/>
      <c r="AN1633" s="43"/>
      <c r="AO1633" s="42"/>
      <c r="AP1633" s="43"/>
      <c r="AQ1633" s="44" t="str">
        <f t="shared" si="189"/>
        <v/>
      </c>
      <c r="AR1633" s="44" t="str">
        <f t="shared" si="144"/>
        <v/>
      </c>
      <c r="AS1633" s="44"/>
      <c r="AT1633" s="44" t="str">
        <f t="shared" si="114"/>
        <v/>
      </c>
      <c r="AU1633" s="44" t="str">
        <f t="shared" si="115"/>
        <v/>
      </c>
      <c r="AV1633" s="38"/>
      <c r="AW1633" s="38"/>
      <c r="AX1633" s="38"/>
      <c r="AY1633" s="38"/>
      <c r="AZ1633" s="29">
        <v>1000.0</v>
      </c>
      <c r="BA1633" s="29"/>
      <c r="BB1633" s="29">
        <v>1.0</v>
      </c>
      <c r="BC1633" s="29"/>
      <c r="BD1633" s="29" t="s">
        <v>88</v>
      </c>
      <c r="BE1633" s="29"/>
      <c r="BF1633" s="29" t="s">
        <v>802</v>
      </c>
      <c r="BG1633" s="29" t="s">
        <v>572</v>
      </c>
      <c r="BH1633" s="29"/>
      <c r="BI1633" s="29"/>
      <c r="BJ1633" s="29"/>
      <c r="BK1633" s="29" t="s">
        <v>148</v>
      </c>
      <c r="BL1633" s="29" t="s">
        <v>148</v>
      </c>
      <c r="BM1633" s="45"/>
      <c r="BN1633" s="45"/>
      <c r="BO1633" s="46"/>
      <c r="BP1633" s="2"/>
      <c r="BQ1633" s="3"/>
    </row>
    <row r="1634" ht="15.75" customHeight="1">
      <c r="A1634" s="34">
        <v>1690.0</v>
      </c>
      <c r="B1634" s="34">
        <v>101595.0</v>
      </c>
      <c r="C1634" s="34" t="s">
        <v>76</v>
      </c>
      <c r="D1634" s="34" t="s">
        <v>2728</v>
      </c>
      <c r="E1634" s="34" t="s">
        <v>2729</v>
      </c>
      <c r="F1634" s="34">
        <v>2013.0</v>
      </c>
      <c r="G1634" s="34" t="s">
        <v>2730</v>
      </c>
      <c r="H1634" s="34" t="s">
        <v>282</v>
      </c>
      <c r="I1634" s="34" t="s">
        <v>2731</v>
      </c>
      <c r="J1634" s="35"/>
      <c r="K1634" s="36">
        <v>3.0</v>
      </c>
      <c r="L1634" s="36">
        <v>44.0</v>
      </c>
      <c r="M1634" s="36"/>
      <c r="N1634" s="36"/>
      <c r="O1634" s="36"/>
      <c r="P1634" s="52">
        <f t="shared" si="192"/>
        <v>6.818181818</v>
      </c>
      <c r="Q1634" s="36" t="s">
        <v>191</v>
      </c>
      <c r="R1634" s="36" t="s">
        <v>191</v>
      </c>
      <c r="S1634" s="36">
        <v>1000.0</v>
      </c>
      <c r="T1634" s="36" t="s">
        <v>284</v>
      </c>
      <c r="U1634" s="36" t="s">
        <v>329</v>
      </c>
      <c r="V1634" s="36">
        <v>373.0</v>
      </c>
      <c r="W1634" s="36"/>
      <c r="X1634" s="38">
        <v>60.0</v>
      </c>
      <c r="Y1634" s="38" t="s">
        <v>915</v>
      </c>
      <c r="Z1634" s="38"/>
      <c r="AA1634" s="38"/>
      <c r="AB1634" s="38"/>
      <c r="AC1634" s="38"/>
      <c r="AD1634" s="39" t="s">
        <v>87</v>
      </c>
      <c r="AE1634" s="38"/>
      <c r="AF1634" s="38"/>
      <c r="AG1634" s="38"/>
      <c r="AH1634" s="38"/>
      <c r="AI1634" s="50"/>
      <c r="AJ1634" s="50"/>
      <c r="AK1634" s="41"/>
      <c r="AL1634" s="40"/>
      <c r="AM1634" s="49"/>
      <c r="AN1634" s="43"/>
      <c r="AO1634" s="42"/>
      <c r="AP1634" s="43"/>
      <c r="AQ1634" s="44" t="str">
        <f t="shared" si="189"/>
        <v/>
      </c>
      <c r="AR1634" s="44" t="str">
        <f t="shared" si="144"/>
        <v/>
      </c>
      <c r="AS1634" s="44"/>
      <c r="AT1634" s="44" t="str">
        <f t="shared" si="114"/>
        <v/>
      </c>
      <c r="AU1634" s="44" t="str">
        <f t="shared" si="115"/>
        <v/>
      </c>
      <c r="AV1634" s="38"/>
      <c r="AW1634" s="38"/>
      <c r="AX1634" s="38"/>
      <c r="AY1634" s="38"/>
      <c r="AZ1634" s="29">
        <v>1000.0</v>
      </c>
      <c r="BA1634" s="29"/>
      <c r="BB1634" s="29">
        <v>1.0</v>
      </c>
      <c r="BC1634" s="29"/>
      <c r="BD1634" s="29" t="s">
        <v>88</v>
      </c>
      <c r="BE1634" s="29"/>
      <c r="BF1634" s="29" t="s">
        <v>802</v>
      </c>
      <c r="BG1634" s="29" t="s">
        <v>572</v>
      </c>
      <c r="BH1634" s="29"/>
      <c r="BI1634" s="29"/>
      <c r="BJ1634" s="29"/>
      <c r="BK1634" s="29" t="s">
        <v>148</v>
      </c>
      <c r="BL1634" s="29" t="s">
        <v>148</v>
      </c>
      <c r="BM1634" s="45"/>
      <c r="BN1634" s="45"/>
      <c r="BO1634" s="46"/>
      <c r="BP1634" s="2"/>
      <c r="BQ1634" s="3"/>
    </row>
    <row r="1635" ht="15.75" customHeight="1">
      <c r="A1635" s="34">
        <v>1691.0</v>
      </c>
      <c r="B1635" s="34">
        <v>101595.0</v>
      </c>
      <c r="C1635" s="34" t="s">
        <v>76</v>
      </c>
      <c r="D1635" s="34" t="s">
        <v>2728</v>
      </c>
      <c r="E1635" s="34" t="s">
        <v>2729</v>
      </c>
      <c r="F1635" s="34">
        <v>2013.0</v>
      </c>
      <c r="G1635" s="34" t="s">
        <v>2730</v>
      </c>
      <c r="H1635" s="34" t="s">
        <v>282</v>
      </c>
      <c r="I1635" s="34" t="s">
        <v>2731</v>
      </c>
      <c r="J1635" s="35"/>
      <c r="K1635" s="36">
        <v>4.0</v>
      </c>
      <c r="L1635" s="36">
        <v>44.0</v>
      </c>
      <c r="M1635" s="36"/>
      <c r="N1635" s="36"/>
      <c r="O1635" s="36"/>
      <c r="P1635" s="52">
        <f t="shared" si="192"/>
        <v>9.090909091</v>
      </c>
      <c r="Q1635" s="36" t="s">
        <v>191</v>
      </c>
      <c r="R1635" s="36" t="s">
        <v>191</v>
      </c>
      <c r="S1635" s="36">
        <v>1000.0</v>
      </c>
      <c r="T1635" s="36" t="s">
        <v>193</v>
      </c>
      <c r="U1635" s="36" t="s">
        <v>363</v>
      </c>
      <c r="V1635" s="36">
        <v>338.0</v>
      </c>
      <c r="W1635" s="36"/>
      <c r="X1635" s="38">
        <v>60.0</v>
      </c>
      <c r="Y1635" s="38" t="s">
        <v>915</v>
      </c>
      <c r="Z1635" s="38"/>
      <c r="AA1635" s="38"/>
      <c r="AB1635" s="38"/>
      <c r="AC1635" s="38"/>
      <c r="AD1635" s="39" t="s">
        <v>87</v>
      </c>
      <c r="AE1635" s="38"/>
      <c r="AF1635" s="38"/>
      <c r="AG1635" s="38"/>
      <c r="AH1635" s="38"/>
      <c r="AI1635" s="50"/>
      <c r="AJ1635" s="50"/>
      <c r="AK1635" s="41"/>
      <c r="AL1635" s="40"/>
      <c r="AM1635" s="49"/>
      <c r="AN1635" s="43"/>
      <c r="AO1635" s="42"/>
      <c r="AP1635" s="43"/>
      <c r="AQ1635" s="44" t="str">
        <f t="shared" si="189"/>
        <v/>
      </c>
      <c r="AR1635" s="44" t="str">
        <f t="shared" si="144"/>
        <v/>
      </c>
      <c r="AS1635" s="44"/>
      <c r="AT1635" s="44" t="str">
        <f t="shared" si="114"/>
        <v/>
      </c>
      <c r="AU1635" s="44" t="str">
        <f t="shared" si="115"/>
        <v/>
      </c>
      <c r="AV1635" s="38"/>
      <c r="AW1635" s="38"/>
      <c r="AX1635" s="38"/>
      <c r="AY1635" s="38"/>
      <c r="AZ1635" s="29">
        <v>1000.0</v>
      </c>
      <c r="BA1635" s="29"/>
      <c r="BB1635" s="29">
        <v>1.0</v>
      </c>
      <c r="BC1635" s="29"/>
      <c r="BD1635" s="29" t="s">
        <v>88</v>
      </c>
      <c r="BE1635" s="29"/>
      <c r="BF1635" s="29" t="s">
        <v>802</v>
      </c>
      <c r="BG1635" s="29" t="s">
        <v>572</v>
      </c>
      <c r="BH1635" s="29"/>
      <c r="BI1635" s="29"/>
      <c r="BJ1635" s="29"/>
      <c r="BK1635" s="29" t="s">
        <v>148</v>
      </c>
      <c r="BL1635" s="29" t="s">
        <v>148</v>
      </c>
      <c r="BM1635" s="45"/>
      <c r="BN1635" s="45"/>
      <c r="BO1635" s="46"/>
      <c r="BP1635" s="2"/>
      <c r="BQ1635" s="3"/>
    </row>
    <row r="1636" ht="15.75" customHeight="1">
      <c r="A1636" s="34">
        <v>1692.0</v>
      </c>
      <c r="B1636" s="34">
        <v>101595.0</v>
      </c>
      <c r="C1636" s="34" t="s">
        <v>76</v>
      </c>
      <c r="D1636" s="34" t="s">
        <v>2728</v>
      </c>
      <c r="E1636" s="34" t="s">
        <v>2729</v>
      </c>
      <c r="F1636" s="34">
        <v>2013.0</v>
      </c>
      <c r="G1636" s="34" t="s">
        <v>2730</v>
      </c>
      <c r="H1636" s="34" t="s">
        <v>282</v>
      </c>
      <c r="I1636" s="34" t="s">
        <v>2731</v>
      </c>
      <c r="J1636" s="35"/>
      <c r="K1636" s="36">
        <v>1.0</v>
      </c>
      <c r="L1636" s="36">
        <v>45.0</v>
      </c>
      <c r="M1636" s="36"/>
      <c r="N1636" s="36"/>
      <c r="O1636" s="36"/>
      <c r="P1636" s="52">
        <f t="shared" si="192"/>
        <v>2.222222222</v>
      </c>
      <c r="Q1636" s="36" t="s">
        <v>191</v>
      </c>
      <c r="R1636" s="36" t="s">
        <v>191</v>
      </c>
      <c r="S1636" s="36">
        <v>1000.0</v>
      </c>
      <c r="T1636" s="36" t="s">
        <v>295</v>
      </c>
      <c r="U1636" s="36" t="s">
        <v>968</v>
      </c>
      <c r="V1636" s="36">
        <v>481.0</v>
      </c>
      <c r="W1636" s="36"/>
      <c r="X1636" s="38">
        <v>60.0</v>
      </c>
      <c r="Y1636" s="38" t="s">
        <v>915</v>
      </c>
      <c r="Z1636" s="38"/>
      <c r="AA1636" s="38"/>
      <c r="AB1636" s="38"/>
      <c r="AC1636" s="38"/>
      <c r="AD1636" s="39" t="s">
        <v>87</v>
      </c>
      <c r="AE1636" s="38"/>
      <c r="AF1636" s="38"/>
      <c r="AG1636" s="38"/>
      <c r="AH1636" s="38"/>
      <c r="AI1636" s="50"/>
      <c r="AJ1636" s="50"/>
      <c r="AK1636" s="41"/>
      <c r="AL1636" s="40"/>
      <c r="AM1636" s="49"/>
      <c r="AN1636" s="43"/>
      <c r="AO1636" s="42"/>
      <c r="AP1636" s="43"/>
      <c r="AQ1636" s="44" t="str">
        <f t="shared" si="189"/>
        <v/>
      </c>
      <c r="AR1636" s="44" t="str">
        <f t="shared" si="144"/>
        <v/>
      </c>
      <c r="AS1636" s="44"/>
      <c r="AT1636" s="44" t="str">
        <f t="shared" si="114"/>
        <v/>
      </c>
      <c r="AU1636" s="44" t="str">
        <f t="shared" si="115"/>
        <v/>
      </c>
      <c r="AV1636" s="38"/>
      <c r="AW1636" s="38"/>
      <c r="AX1636" s="38"/>
      <c r="AY1636" s="38"/>
      <c r="AZ1636" s="29">
        <v>1000.0</v>
      </c>
      <c r="BA1636" s="29"/>
      <c r="BB1636" s="29">
        <v>1.0</v>
      </c>
      <c r="BC1636" s="29"/>
      <c r="BD1636" s="29" t="s">
        <v>88</v>
      </c>
      <c r="BE1636" s="29"/>
      <c r="BF1636" s="29" t="s">
        <v>802</v>
      </c>
      <c r="BG1636" s="29" t="s">
        <v>572</v>
      </c>
      <c r="BH1636" s="29"/>
      <c r="BI1636" s="29"/>
      <c r="BJ1636" s="29"/>
      <c r="BK1636" s="29" t="s">
        <v>148</v>
      </c>
      <c r="BL1636" s="29" t="s">
        <v>148</v>
      </c>
      <c r="BM1636" s="45"/>
      <c r="BN1636" s="45"/>
      <c r="BO1636" s="46"/>
      <c r="BP1636" s="2"/>
      <c r="BQ1636" s="3"/>
    </row>
    <row r="1637" ht="15.75" customHeight="1">
      <c r="A1637" s="34">
        <v>1693.0</v>
      </c>
      <c r="B1637" s="34">
        <v>101595.0</v>
      </c>
      <c r="C1637" s="34" t="s">
        <v>76</v>
      </c>
      <c r="D1637" s="34" t="s">
        <v>2728</v>
      </c>
      <c r="E1637" s="34" t="s">
        <v>2729</v>
      </c>
      <c r="F1637" s="34">
        <v>2013.0</v>
      </c>
      <c r="G1637" s="34" t="s">
        <v>2730</v>
      </c>
      <c r="H1637" s="34" t="s">
        <v>282</v>
      </c>
      <c r="I1637" s="34" t="s">
        <v>2731</v>
      </c>
      <c r="J1637" s="35"/>
      <c r="K1637" s="36">
        <v>-1.0</v>
      </c>
      <c r="L1637" s="36">
        <v>45.0</v>
      </c>
      <c r="M1637" s="36"/>
      <c r="N1637" s="36"/>
      <c r="O1637" s="36"/>
      <c r="P1637" s="52">
        <f t="shared" si="192"/>
        <v>-2.222222222</v>
      </c>
      <c r="Q1637" s="36" t="s">
        <v>191</v>
      </c>
      <c r="R1637" s="36" t="s">
        <v>191</v>
      </c>
      <c r="S1637" s="36">
        <v>1000.0</v>
      </c>
      <c r="T1637" s="36" t="s">
        <v>317</v>
      </c>
      <c r="U1637" s="36" t="s">
        <v>194</v>
      </c>
      <c r="V1637" s="36">
        <v>496.0</v>
      </c>
      <c r="W1637" s="36"/>
      <c r="X1637" s="38">
        <v>60.0</v>
      </c>
      <c r="Y1637" s="38" t="s">
        <v>915</v>
      </c>
      <c r="Z1637" s="38"/>
      <c r="AA1637" s="38"/>
      <c r="AB1637" s="38"/>
      <c r="AC1637" s="38"/>
      <c r="AD1637" s="39" t="s">
        <v>87</v>
      </c>
      <c r="AE1637" s="38"/>
      <c r="AF1637" s="38"/>
      <c r="AG1637" s="38"/>
      <c r="AH1637" s="38"/>
      <c r="AI1637" s="50"/>
      <c r="AJ1637" s="50"/>
      <c r="AK1637" s="41"/>
      <c r="AL1637" s="40"/>
      <c r="AM1637" s="49"/>
      <c r="AN1637" s="43"/>
      <c r="AO1637" s="42"/>
      <c r="AP1637" s="43"/>
      <c r="AQ1637" s="44" t="str">
        <f t="shared" si="189"/>
        <v/>
      </c>
      <c r="AR1637" s="44" t="str">
        <f t="shared" si="144"/>
        <v/>
      </c>
      <c r="AS1637" s="44"/>
      <c r="AT1637" s="44" t="str">
        <f t="shared" si="114"/>
        <v/>
      </c>
      <c r="AU1637" s="44" t="str">
        <f t="shared" si="115"/>
        <v/>
      </c>
      <c r="AV1637" s="38"/>
      <c r="AW1637" s="38"/>
      <c r="AX1637" s="38"/>
      <c r="AY1637" s="38"/>
      <c r="AZ1637" s="29">
        <v>1000.0</v>
      </c>
      <c r="BA1637" s="29"/>
      <c r="BB1637" s="29">
        <v>1.0</v>
      </c>
      <c r="BC1637" s="29"/>
      <c r="BD1637" s="29" t="s">
        <v>88</v>
      </c>
      <c r="BE1637" s="29"/>
      <c r="BF1637" s="29" t="s">
        <v>802</v>
      </c>
      <c r="BG1637" s="29" t="s">
        <v>572</v>
      </c>
      <c r="BH1637" s="29"/>
      <c r="BI1637" s="29"/>
      <c r="BJ1637" s="29"/>
      <c r="BK1637" s="29" t="s">
        <v>148</v>
      </c>
      <c r="BL1637" s="29" t="s">
        <v>148</v>
      </c>
      <c r="BM1637" s="45"/>
      <c r="BN1637" s="45"/>
      <c r="BO1637" s="46"/>
      <c r="BP1637" s="2"/>
      <c r="BQ1637" s="3"/>
    </row>
    <row r="1638" ht="15.75" customHeight="1">
      <c r="A1638" s="34">
        <v>1694.0</v>
      </c>
      <c r="B1638" s="34">
        <v>101595.0</v>
      </c>
      <c r="C1638" s="34" t="s">
        <v>76</v>
      </c>
      <c r="D1638" s="34" t="s">
        <v>2728</v>
      </c>
      <c r="E1638" s="34" t="s">
        <v>2729</v>
      </c>
      <c r="F1638" s="34">
        <v>2013.0</v>
      </c>
      <c r="G1638" s="34" t="s">
        <v>2730</v>
      </c>
      <c r="H1638" s="34" t="s">
        <v>282</v>
      </c>
      <c r="I1638" s="34" t="s">
        <v>2731</v>
      </c>
      <c r="J1638" s="35"/>
      <c r="K1638" s="36">
        <v>-1.0</v>
      </c>
      <c r="L1638" s="36">
        <v>43.0</v>
      </c>
      <c r="M1638" s="36"/>
      <c r="N1638" s="36"/>
      <c r="O1638" s="36"/>
      <c r="P1638" s="52">
        <f t="shared" si="192"/>
        <v>-2.325581395</v>
      </c>
      <c r="Q1638" s="36" t="s">
        <v>191</v>
      </c>
      <c r="R1638" s="36" t="s">
        <v>191</v>
      </c>
      <c r="S1638" s="36">
        <v>1000.0</v>
      </c>
      <c r="T1638" s="36" t="s">
        <v>341</v>
      </c>
      <c r="U1638" s="36" t="s">
        <v>285</v>
      </c>
      <c r="V1638" s="36">
        <v>443.0</v>
      </c>
      <c r="W1638" s="36"/>
      <c r="X1638" s="38">
        <v>60.0</v>
      </c>
      <c r="Y1638" s="38" t="s">
        <v>915</v>
      </c>
      <c r="Z1638" s="38"/>
      <c r="AA1638" s="38"/>
      <c r="AB1638" s="38"/>
      <c r="AC1638" s="38"/>
      <c r="AD1638" s="39" t="s">
        <v>87</v>
      </c>
      <c r="AE1638" s="38"/>
      <c r="AF1638" s="38"/>
      <c r="AG1638" s="38"/>
      <c r="AH1638" s="38"/>
      <c r="AI1638" s="50"/>
      <c r="AJ1638" s="50"/>
      <c r="AK1638" s="41"/>
      <c r="AL1638" s="40"/>
      <c r="AM1638" s="49"/>
      <c r="AN1638" s="43"/>
      <c r="AO1638" s="42"/>
      <c r="AP1638" s="43"/>
      <c r="AQ1638" s="44" t="str">
        <f t="shared" si="189"/>
        <v/>
      </c>
      <c r="AR1638" s="44" t="str">
        <f t="shared" si="144"/>
        <v/>
      </c>
      <c r="AS1638" s="44"/>
      <c r="AT1638" s="44" t="str">
        <f t="shared" si="114"/>
        <v/>
      </c>
      <c r="AU1638" s="44" t="str">
        <f t="shared" si="115"/>
        <v/>
      </c>
      <c r="AV1638" s="38"/>
      <c r="AW1638" s="38"/>
      <c r="AX1638" s="38"/>
      <c r="AY1638" s="38"/>
      <c r="AZ1638" s="29">
        <v>1000.0</v>
      </c>
      <c r="BA1638" s="29"/>
      <c r="BB1638" s="29">
        <v>1.0</v>
      </c>
      <c r="BC1638" s="29"/>
      <c r="BD1638" s="29" t="s">
        <v>88</v>
      </c>
      <c r="BE1638" s="29"/>
      <c r="BF1638" s="29" t="s">
        <v>802</v>
      </c>
      <c r="BG1638" s="29" t="s">
        <v>572</v>
      </c>
      <c r="BH1638" s="29"/>
      <c r="BI1638" s="29"/>
      <c r="BJ1638" s="29"/>
      <c r="BK1638" s="29" t="s">
        <v>148</v>
      </c>
      <c r="BL1638" s="29" t="s">
        <v>148</v>
      </c>
      <c r="BM1638" s="45"/>
      <c r="BN1638" s="45"/>
      <c r="BO1638" s="46"/>
      <c r="BP1638" s="2"/>
      <c r="BQ1638" s="3"/>
    </row>
    <row r="1639" ht="15.75" customHeight="1">
      <c r="A1639" s="34">
        <v>1695.0</v>
      </c>
      <c r="B1639" s="34">
        <v>101595.0</v>
      </c>
      <c r="C1639" s="34" t="s">
        <v>76</v>
      </c>
      <c r="D1639" s="34" t="s">
        <v>2728</v>
      </c>
      <c r="E1639" s="34" t="s">
        <v>2729</v>
      </c>
      <c r="F1639" s="34">
        <v>2013.0</v>
      </c>
      <c r="G1639" s="34" t="s">
        <v>2730</v>
      </c>
      <c r="H1639" s="34" t="s">
        <v>282</v>
      </c>
      <c r="I1639" s="34" t="s">
        <v>2731</v>
      </c>
      <c r="J1639" s="35"/>
      <c r="K1639" s="36">
        <v>2.0</v>
      </c>
      <c r="L1639" s="36">
        <v>47.0</v>
      </c>
      <c r="M1639" s="36"/>
      <c r="N1639" s="36"/>
      <c r="O1639" s="36"/>
      <c r="P1639" s="52">
        <f t="shared" si="192"/>
        <v>4.255319149</v>
      </c>
      <c r="Q1639" s="36" t="s">
        <v>191</v>
      </c>
      <c r="R1639" s="36" t="s">
        <v>191</v>
      </c>
      <c r="S1639" s="36">
        <v>1000.0</v>
      </c>
      <c r="T1639" s="36" t="s">
        <v>350</v>
      </c>
      <c r="U1639" s="36" t="s">
        <v>342</v>
      </c>
      <c r="V1639" s="36">
        <v>113.0</v>
      </c>
      <c r="W1639" s="36"/>
      <c r="X1639" s="38">
        <v>60.0</v>
      </c>
      <c r="Y1639" s="38" t="s">
        <v>915</v>
      </c>
      <c r="Z1639" s="38"/>
      <c r="AA1639" s="38"/>
      <c r="AB1639" s="38"/>
      <c r="AC1639" s="38"/>
      <c r="AD1639" s="39" t="s">
        <v>87</v>
      </c>
      <c r="AE1639" s="38"/>
      <c r="AF1639" s="38"/>
      <c r="AG1639" s="38"/>
      <c r="AH1639" s="38"/>
      <c r="AI1639" s="50"/>
      <c r="AJ1639" s="50"/>
      <c r="AK1639" s="41"/>
      <c r="AL1639" s="40"/>
      <c r="AM1639" s="49"/>
      <c r="AN1639" s="43"/>
      <c r="AO1639" s="42"/>
      <c r="AP1639" s="43"/>
      <c r="AQ1639" s="44" t="str">
        <f t="shared" si="189"/>
        <v/>
      </c>
      <c r="AR1639" s="44" t="str">
        <f t="shared" si="144"/>
        <v/>
      </c>
      <c r="AS1639" s="44"/>
      <c r="AT1639" s="44" t="str">
        <f t="shared" si="114"/>
        <v/>
      </c>
      <c r="AU1639" s="44" t="str">
        <f t="shared" si="115"/>
        <v/>
      </c>
      <c r="AV1639" s="38"/>
      <c r="AW1639" s="38"/>
      <c r="AX1639" s="38"/>
      <c r="AY1639" s="38"/>
      <c r="AZ1639" s="29">
        <v>1000.0</v>
      </c>
      <c r="BA1639" s="29"/>
      <c r="BB1639" s="29">
        <v>1.0</v>
      </c>
      <c r="BC1639" s="29"/>
      <c r="BD1639" s="29" t="s">
        <v>88</v>
      </c>
      <c r="BE1639" s="29"/>
      <c r="BF1639" s="29" t="s">
        <v>802</v>
      </c>
      <c r="BG1639" s="29" t="s">
        <v>572</v>
      </c>
      <c r="BH1639" s="29"/>
      <c r="BI1639" s="29"/>
      <c r="BJ1639" s="29"/>
      <c r="BK1639" s="29" t="s">
        <v>148</v>
      </c>
      <c r="BL1639" s="29" t="s">
        <v>148</v>
      </c>
      <c r="BM1639" s="45"/>
      <c r="BN1639" s="45"/>
      <c r="BO1639" s="46"/>
      <c r="BP1639" s="2"/>
      <c r="BQ1639" s="3"/>
    </row>
    <row r="1640" ht="15.75" customHeight="1">
      <c r="A1640" s="34">
        <v>1696.0</v>
      </c>
      <c r="B1640" s="34">
        <v>101595.0</v>
      </c>
      <c r="C1640" s="34" t="s">
        <v>76</v>
      </c>
      <c r="D1640" s="34" t="s">
        <v>2728</v>
      </c>
      <c r="E1640" s="34" t="s">
        <v>2729</v>
      </c>
      <c r="F1640" s="34">
        <v>2013.0</v>
      </c>
      <c r="G1640" s="34" t="s">
        <v>2730</v>
      </c>
      <c r="H1640" s="34" t="s">
        <v>282</v>
      </c>
      <c r="I1640" s="34" t="s">
        <v>2731</v>
      </c>
      <c r="J1640" s="35"/>
      <c r="K1640" s="36">
        <v>1.0</v>
      </c>
      <c r="L1640" s="36">
        <v>45.0</v>
      </c>
      <c r="M1640" s="36"/>
      <c r="N1640" s="36"/>
      <c r="O1640" s="36"/>
      <c r="P1640" s="52">
        <f t="shared" si="192"/>
        <v>2.222222222</v>
      </c>
      <c r="Q1640" s="36" t="s">
        <v>191</v>
      </c>
      <c r="R1640" s="36" t="s">
        <v>191</v>
      </c>
      <c r="S1640" s="36">
        <v>1000.0</v>
      </c>
      <c r="T1640" s="36" t="s">
        <v>328</v>
      </c>
      <c r="U1640" s="36" t="s">
        <v>342</v>
      </c>
      <c r="V1640" s="36">
        <v>2512.0</v>
      </c>
      <c r="W1640" s="36"/>
      <c r="X1640" s="38">
        <v>60.0</v>
      </c>
      <c r="Y1640" s="38" t="s">
        <v>915</v>
      </c>
      <c r="Z1640" s="38"/>
      <c r="AA1640" s="38"/>
      <c r="AB1640" s="38"/>
      <c r="AC1640" s="38"/>
      <c r="AD1640" s="39" t="s">
        <v>87</v>
      </c>
      <c r="AE1640" s="38"/>
      <c r="AF1640" s="38"/>
      <c r="AG1640" s="38"/>
      <c r="AH1640" s="38"/>
      <c r="AI1640" s="50"/>
      <c r="AJ1640" s="50"/>
      <c r="AK1640" s="41"/>
      <c r="AL1640" s="40"/>
      <c r="AM1640" s="49"/>
      <c r="AN1640" s="43"/>
      <c r="AO1640" s="42"/>
      <c r="AP1640" s="43"/>
      <c r="AQ1640" s="44" t="str">
        <f t="shared" si="189"/>
        <v/>
      </c>
      <c r="AR1640" s="44" t="str">
        <f t="shared" si="144"/>
        <v/>
      </c>
      <c r="AS1640" s="44"/>
      <c r="AT1640" s="44" t="str">
        <f t="shared" si="114"/>
        <v/>
      </c>
      <c r="AU1640" s="44" t="str">
        <f t="shared" si="115"/>
        <v/>
      </c>
      <c r="AV1640" s="38"/>
      <c r="AW1640" s="38"/>
      <c r="AX1640" s="38"/>
      <c r="AY1640" s="38"/>
      <c r="AZ1640" s="29">
        <v>1000.0</v>
      </c>
      <c r="BA1640" s="29"/>
      <c r="BB1640" s="29">
        <v>1.0</v>
      </c>
      <c r="BC1640" s="29"/>
      <c r="BD1640" s="29" t="s">
        <v>88</v>
      </c>
      <c r="BE1640" s="29"/>
      <c r="BF1640" s="29" t="s">
        <v>802</v>
      </c>
      <c r="BG1640" s="29" t="s">
        <v>572</v>
      </c>
      <c r="BH1640" s="29"/>
      <c r="BI1640" s="29"/>
      <c r="BJ1640" s="29"/>
      <c r="BK1640" s="29" t="s">
        <v>148</v>
      </c>
      <c r="BL1640" s="29" t="s">
        <v>148</v>
      </c>
      <c r="BM1640" s="45"/>
      <c r="BN1640" s="45"/>
      <c r="BO1640" s="46"/>
      <c r="BP1640" s="2"/>
      <c r="BQ1640" s="3"/>
    </row>
    <row r="1641" ht="15.75" customHeight="1">
      <c r="A1641" s="34">
        <v>1697.0</v>
      </c>
      <c r="B1641" s="34">
        <v>101595.0</v>
      </c>
      <c r="C1641" s="34" t="s">
        <v>76</v>
      </c>
      <c r="D1641" s="34" t="s">
        <v>2728</v>
      </c>
      <c r="E1641" s="34" t="s">
        <v>2729</v>
      </c>
      <c r="F1641" s="34">
        <v>2013.0</v>
      </c>
      <c r="G1641" s="34" t="s">
        <v>2730</v>
      </c>
      <c r="H1641" s="34" t="s">
        <v>282</v>
      </c>
      <c r="I1641" s="34" t="s">
        <v>2731</v>
      </c>
      <c r="J1641" s="35"/>
      <c r="K1641" s="36">
        <v>-10.0</v>
      </c>
      <c r="L1641" s="36">
        <v>50.0</v>
      </c>
      <c r="M1641" s="36"/>
      <c r="N1641" s="36"/>
      <c r="O1641" s="36"/>
      <c r="P1641" s="52">
        <f t="shared" si="192"/>
        <v>-20</v>
      </c>
      <c r="Q1641" s="36" t="s">
        <v>191</v>
      </c>
      <c r="R1641" s="36" t="s">
        <v>191</v>
      </c>
      <c r="S1641" s="36">
        <v>1000.0</v>
      </c>
      <c r="T1641" s="36" t="s">
        <v>328</v>
      </c>
      <c r="U1641" s="36" t="s">
        <v>342</v>
      </c>
      <c r="V1641" s="36">
        <v>390.0</v>
      </c>
      <c r="W1641" s="36"/>
      <c r="X1641" s="38">
        <v>7.0</v>
      </c>
      <c r="Y1641" s="38" t="s">
        <v>946</v>
      </c>
      <c r="Z1641" s="38"/>
      <c r="AA1641" s="38" t="s">
        <v>86</v>
      </c>
      <c r="AB1641" s="38"/>
      <c r="AC1641" s="38"/>
      <c r="AD1641" s="39" t="s">
        <v>87</v>
      </c>
      <c r="AE1641" s="38"/>
      <c r="AF1641" s="38"/>
      <c r="AG1641" s="38"/>
      <c r="AH1641" s="38"/>
      <c r="AI1641" s="50"/>
      <c r="AJ1641" s="50"/>
      <c r="AK1641" s="41"/>
      <c r="AL1641" s="40"/>
      <c r="AM1641" s="49"/>
      <c r="AN1641" s="43"/>
      <c r="AO1641" s="42"/>
      <c r="AP1641" s="43"/>
      <c r="AQ1641" s="44" t="str">
        <f t="shared" si="189"/>
        <v>CRO</v>
      </c>
      <c r="AR1641" s="44" t="str">
        <f t="shared" si="144"/>
        <v/>
      </c>
      <c r="AS1641" s="44"/>
      <c r="AT1641" s="44" t="str">
        <f t="shared" si="114"/>
        <v/>
      </c>
      <c r="AU1641" s="44" t="str">
        <f t="shared" si="115"/>
        <v/>
      </c>
      <c r="AV1641" s="38"/>
      <c r="AW1641" s="38"/>
      <c r="AX1641" s="38"/>
      <c r="AY1641" s="38"/>
      <c r="AZ1641" s="29">
        <v>1000.0</v>
      </c>
      <c r="BA1641" s="29"/>
      <c r="BB1641" s="29">
        <v>2.0</v>
      </c>
      <c r="BC1641" s="29" t="s">
        <v>219</v>
      </c>
      <c r="BD1641" s="29" t="s">
        <v>88</v>
      </c>
      <c r="BE1641" s="29"/>
      <c r="BF1641" s="29"/>
      <c r="BG1641" s="29" t="s">
        <v>220</v>
      </c>
      <c r="BH1641" s="29"/>
      <c r="BI1641" s="29"/>
      <c r="BJ1641" s="29"/>
      <c r="BK1641" s="29"/>
      <c r="BL1641" s="29"/>
      <c r="BM1641" s="45"/>
      <c r="BN1641" s="45"/>
      <c r="BO1641" s="46"/>
      <c r="BP1641" s="73"/>
      <c r="BQ1641" s="17"/>
    </row>
    <row r="1642" ht="15.75" customHeight="1">
      <c r="A1642" s="34">
        <v>1698.0</v>
      </c>
      <c r="B1642" s="34">
        <v>101595.0</v>
      </c>
      <c r="C1642" s="34" t="s">
        <v>76</v>
      </c>
      <c r="D1642" s="34" t="s">
        <v>2728</v>
      </c>
      <c r="E1642" s="34" t="s">
        <v>2729</v>
      </c>
      <c r="F1642" s="34">
        <v>2013.0</v>
      </c>
      <c r="G1642" s="34" t="s">
        <v>2730</v>
      </c>
      <c r="H1642" s="34" t="s">
        <v>282</v>
      </c>
      <c r="I1642" s="34" t="s">
        <v>2731</v>
      </c>
      <c r="J1642" s="35"/>
      <c r="K1642" s="36">
        <v>6.0</v>
      </c>
      <c r="L1642" s="36">
        <v>46.0</v>
      </c>
      <c r="M1642" s="36"/>
      <c r="N1642" s="36"/>
      <c r="O1642" s="36"/>
      <c r="P1642" s="52">
        <f t="shared" si="192"/>
        <v>13.04347826</v>
      </c>
      <c r="Q1642" s="36" t="s">
        <v>191</v>
      </c>
      <c r="R1642" s="36" t="s">
        <v>191</v>
      </c>
      <c r="S1642" s="36">
        <v>1000.0</v>
      </c>
      <c r="T1642" s="36" t="s">
        <v>328</v>
      </c>
      <c r="U1642" s="36" t="s">
        <v>342</v>
      </c>
      <c r="V1642" s="36">
        <v>1223.0</v>
      </c>
      <c r="W1642" s="36"/>
      <c r="X1642" s="38">
        <v>30.0</v>
      </c>
      <c r="Y1642" s="38" t="s">
        <v>943</v>
      </c>
      <c r="Z1642" s="38"/>
      <c r="AA1642" s="38" t="s">
        <v>199</v>
      </c>
      <c r="AB1642" s="38"/>
      <c r="AC1642" s="38"/>
      <c r="AD1642" s="39" t="s">
        <v>87</v>
      </c>
      <c r="AE1642" s="38"/>
      <c r="AF1642" s="38"/>
      <c r="AG1642" s="38"/>
      <c r="AH1642" s="38"/>
      <c r="AI1642" s="50"/>
      <c r="AJ1642" s="50"/>
      <c r="AK1642" s="41"/>
      <c r="AL1642" s="40"/>
      <c r="AM1642" s="49"/>
      <c r="AN1642" s="43"/>
      <c r="AO1642" s="42"/>
      <c r="AP1642" s="43"/>
      <c r="AQ1642" s="44" t="s">
        <v>452</v>
      </c>
      <c r="AR1642" s="44" t="str">
        <f t="shared" si="144"/>
        <v/>
      </c>
      <c r="AS1642" s="44"/>
      <c r="AT1642" s="44" t="str">
        <f t="shared" si="114"/>
        <v/>
      </c>
      <c r="AU1642" s="44" t="str">
        <f t="shared" si="115"/>
        <v/>
      </c>
      <c r="AV1642" s="38"/>
      <c r="AW1642" s="38"/>
      <c r="AX1642" s="38"/>
      <c r="AY1642" s="38"/>
      <c r="AZ1642" s="29">
        <v>1000.0</v>
      </c>
      <c r="BA1642" s="29"/>
      <c r="BB1642" s="29">
        <v>2.0</v>
      </c>
      <c r="BC1642" s="29" t="s">
        <v>219</v>
      </c>
      <c r="BD1642" s="29" t="s">
        <v>88</v>
      </c>
      <c r="BE1642" s="29"/>
      <c r="BF1642" s="29"/>
      <c r="BG1642" s="29" t="s">
        <v>220</v>
      </c>
      <c r="BH1642" s="29"/>
      <c r="BI1642" s="29"/>
      <c r="BJ1642" s="29"/>
      <c r="BK1642" s="29"/>
      <c r="BL1642" s="29"/>
      <c r="BM1642" s="45"/>
      <c r="BN1642" s="45"/>
      <c r="BO1642" s="46"/>
      <c r="BP1642" s="2"/>
      <c r="BQ1642" s="3"/>
    </row>
    <row r="1643" ht="15.75" customHeight="1">
      <c r="A1643" s="34">
        <v>1699.0</v>
      </c>
      <c r="B1643" s="34">
        <v>101595.0</v>
      </c>
      <c r="C1643" s="34" t="s">
        <v>76</v>
      </c>
      <c r="D1643" s="34" t="s">
        <v>2728</v>
      </c>
      <c r="E1643" s="34" t="s">
        <v>2729</v>
      </c>
      <c r="F1643" s="34">
        <v>2013.0</v>
      </c>
      <c r="G1643" s="34" t="s">
        <v>2730</v>
      </c>
      <c r="H1643" s="34" t="s">
        <v>282</v>
      </c>
      <c r="I1643" s="34" t="s">
        <v>2731</v>
      </c>
      <c r="J1643" s="35"/>
      <c r="K1643" s="36">
        <v>-3.0</v>
      </c>
      <c r="L1643" s="36">
        <v>38.0</v>
      </c>
      <c r="M1643" s="36"/>
      <c r="N1643" s="36"/>
      <c r="O1643" s="36"/>
      <c r="P1643" s="52">
        <f t="shared" si="192"/>
        <v>-7.894736842</v>
      </c>
      <c r="Q1643" s="36" t="s">
        <v>191</v>
      </c>
      <c r="R1643" s="36" t="s">
        <v>191</v>
      </c>
      <c r="S1643" s="36">
        <v>1000.0</v>
      </c>
      <c r="T1643" s="36" t="s">
        <v>328</v>
      </c>
      <c r="U1643" s="36" t="s">
        <v>342</v>
      </c>
      <c r="V1643" s="36">
        <v>147.0</v>
      </c>
      <c r="W1643" s="36"/>
      <c r="X1643" s="38">
        <v>3.0</v>
      </c>
      <c r="Y1643" s="38" t="s">
        <v>2733</v>
      </c>
      <c r="Z1643" s="38"/>
      <c r="AA1643" s="38" t="s">
        <v>2734</v>
      </c>
      <c r="AB1643" s="38"/>
      <c r="AC1643" s="38"/>
      <c r="AD1643" s="39" t="s">
        <v>87</v>
      </c>
      <c r="AE1643" s="38"/>
      <c r="AF1643" s="38"/>
      <c r="AG1643" s="38"/>
      <c r="AH1643" s="38"/>
      <c r="AI1643" s="50"/>
      <c r="AJ1643" s="50"/>
      <c r="AK1643" s="41"/>
      <c r="AL1643" s="40"/>
      <c r="AM1643" s="49"/>
      <c r="AN1643" s="43"/>
      <c r="AO1643" s="42"/>
      <c r="AP1643" s="43"/>
      <c r="AQ1643" s="44" t="s">
        <v>200</v>
      </c>
      <c r="AR1643" s="44" t="str">
        <f t="shared" si="144"/>
        <v/>
      </c>
      <c r="AS1643" s="44"/>
      <c r="AT1643" s="44" t="str">
        <f t="shared" si="114"/>
        <v/>
      </c>
      <c r="AU1643" s="44" t="str">
        <f t="shared" si="115"/>
        <v/>
      </c>
      <c r="AV1643" s="38"/>
      <c r="AW1643" s="38"/>
      <c r="AX1643" s="38"/>
      <c r="AY1643" s="38"/>
      <c r="AZ1643" s="29">
        <v>1000.0</v>
      </c>
      <c r="BA1643" s="29"/>
      <c r="BB1643" s="29">
        <v>2.0</v>
      </c>
      <c r="BC1643" s="29" t="s">
        <v>219</v>
      </c>
      <c r="BD1643" s="29" t="s">
        <v>88</v>
      </c>
      <c r="BE1643" s="29"/>
      <c r="BF1643" s="29"/>
      <c r="BG1643" s="29" t="s">
        <v>220</v>
      </c>
      <c r="BH1643" s="29"/>
      <c r="BI1643" s="29"/>
      <c r="BJ1643" s="29"/>
      <c r="BK1643" s="29"/>
      <c r="BL1643" s="29"/>
      <c r="BM1643" s="45"/>
      <c r="BN1643" s="45"/>
      <c r="BO1643" s="46"/>
      <c r="BP1643" s="2"/>
      <c r="BQ1643" s="3"/>
    </row>
    <row r="1644" ht="15.75" customHeight="1">
      <c r="A1644" s="34">
        <v>1700.0</v>
      </c>
      <c r="B1644" s="34">
        <v>101595.0</v>
      </c>
      <c r="C1644" s="34" t="s">
        <v>76</v>
      </c>
      <c r="D1644" s="34" t="s">
        <v>2728</v>
      </c>
      <c r="E1644" s="34" t="s">
        <v>2729</v>
      </c>
      <c r="F1644" s="34">
        <v>2013.0</v>
      </c>
      <c r="G1644" s="34" t="s">
        <v>2730</v>
      </c>
      <c r="H1644" s="34" t="s">
        <v>282</v>
      </c>
      <c r="I1644" s="34" t="s">
        <v>2731</v>
      </c>
      <c r="J1644" s="35"/>
      <c r="K1644" s="36">
        <v>-8.0</v>
      </c>
      <c r="L1644" s="36">
        <v>40.0</v>
      </c>
      <c r="M1644" s="36"/>
      <c r="N1644" s="36"/>
      <c r="O1644" s="36"/>
      <c r="P1644" s="52">
        <f t="shared" si="192"/>
        <v>-20</v>
      </c>
      <c r="Q1644" s="36" t="s">
        <v>191</v>
      </c>
      <c r="R1644" s="36" t="s">
        <v>191</v>
      </c>
      <c r="S1644" s="36">
        <v>1000.0</v>
      </c>
      <c r="T1644" s="36" t="s">
        <v>328</v>
      </c>
      <c r="U1644" s="36" t="s">
        <v>342</v>
      </c>
      <c r="V1644" s="36">
        <v>442.0</v>
      </c>
      <c r="W1644" s="36"/>
      <c r="X1644" s="38">
        <v>9.0</v>
      </c>
      <c r="Y1644" s="38" t="s">
        <v>945</v>
      </c>
      <c r="Z1644" s="38"/>
      <c r="AA1644" s="38" t="s">
        <v>288</v>
      </c>
      <c r="AB1644" s="38"/>
      <c r="AC1644" s="38"/>
      <c r="AD1644" s="39" t="s">
        <v>87</v>
      </c>
      <c r="AE1644" s="38"/>
      <c r="AF1644" s="38"/>
      <c r="AG1644" s="38"/>
      <c r="AH1644" s="38"/>
      <c r="AI1644" s="50"/>
      <c r="AJ1644" s="50"/>
      <c r="AK1644" s="41"/>
      <c r="AL1644" s="40"/>
      <c r="AM1644" s="49"/>
      <c r="AN1644" s="43"/>
      <c r="AO1644" s="42"/>
      <c r="AP1644" s="43"/>
      <c r="AQ1644" s="44" t="str">
        <f>AA1644</f>
        <v>GRA</v>
      </c>
      <c r="AR1644" s="44" t="str">
        <f t="shared" si="144"/>
        <v/>
      </c>
      <c r="AS1644" s="44"/>
      <c r="AT1644" s="44" t="str">
        <f t="shared" si="114"/>
        <v/>
      </c>
      <c r="AU1644" s="44" t="str">
        <f t="shared" si="115"/>
        <v/>
      </c>
      <c r="AV1644" s="38"/>
      <c r="AW1644" s="38"/>
      <c r="AX1644" s="38"/>
      <c r="AY1644" s="38"/>
      <c r="AZ1644" s="29">
        <v>1000.0</v>
      </c>
      <c r="BA1644" s="29"/>
      <c r="BB1644" s="29">
        <v>2.0</v>
      </c>
      <c r="BC1644" s="29" t="s">
        <v>219</v>
      </c>
      <c r="BD1644" s="29" t="s">
        <v>88</v>
      </c>
      <c r="BE1644" s="29"/>
      <c r="BF1644" s="29"/>
      <c r="BG1644" s="29" t="s">
        <v>220</v>
      </c>
      <c r="BH1644" s="29"/>
      <c r="BI1644" s="29"/>
      <c r="BJ1644" s="29"/>
      <c r="BK1644" s="29"/>
      <c r="BL1644" s="29"/>
      <c r="BM1644" s="45"/>
      <c r="BN1644" s="45"/>
      <c r="BO1644" s="46"/>
      <c r="BP1644" s="2"/>
      <c r="BQ1644" s="3"/>
    </row>
    <row r="1645" ht="15.75" customHeight="1">
      <c r="A1645" s="34">
        <v>1701.0</v>
      </c>
      <c r="B1645" s="34">
        <v>101595.0</v>
      </c>
      <c r="C1645" s="34" t="s">
        <v>76</v>
      </c>
      <c r="D1645" s="34" t="s">
        <v>2728</v>
      </c>
      <c r="E1645" s="34" t="s">
        <v>2729</v>
      </c>
      <c r="F1645" s="34">
        <v>2013.0</v>
      </c>
      <c r="G1645" s="34" t="s">
        <v>2730</v>
      </c>
      <c r="H1645" s="34" t="s">
        <v>282</v>
      </c>
      <c r="I1645" s="34" t="s">
        <v>2731</v>
      </c>
      <c r="J1645" s="35"/>
      <c r="K1645" s="36">
        <v>-14.0</v>
      </c>
      <c r="L1645" s="36">
        <v>47.0</v>
      </c>
      <c r="M1645" s="36"/>
      <c r="N1645" s="36"/>
      <c r="O1645" s="36"/>
      <c r="P1645" s="52">
        <f t="shared" si="192"/>
        <v>-29.78723404</v>
      </c>
      <c r="Q1645" s="36" t="s">
        <v>191</v>
      </c>
      <c r="R1645" s="36" t="s">
        <v>191</v>
      </c>
      <c r="S1645" s="36">
        <v>1000.0</v>
      </c>
      <c r="T1645" s="36" t="s">
        <v>328</v>
      </c>
      <c r="U1645" s="36" t="s">
        <v>342</v>
      </c>
      <c r="V1645" s="36">
        <v>212.0</v>
      </c>
      <c r="W1645" s="36"/>
      <c r="X1645" s="38">
        <v>8.0</v>
      </c>
      <c r="Y1645" s="38" t="s">
        <v>2735</v>
      </c>
      <c r="Z1645" s="38"/>
      <c r="AA1645" s="38" t="s">
        <v>637</v>
      </c>
      <c r="AB1645" s="38"/>
      <c r="AC1645" s="38"/>
      <c r="AD1645" s="39" t="s">
        <v>87</v>
      </c>
      <c r="AE1645" s="38"/>
      <c r="AF1645" s="38"/>
      <c r="AG1645" s="38"/>
      <c r="AH1645" s="38"/>
      <c r="AI1645" s="50"/>
      <c r="AJ1645" s="50"/>
      <c r="AK1645" s="41"/>
      <c r="AL1645" s="40"/>
      <c r="AM1645" s="49"/>
      <c r="AN1645" s="43"/>
      <c r="AO1645" s="42"/>
      <c r="AP1645" s="43"/>
      <c r="AQ1645" s="44" t="s">
        <v>292</v>
      </c>
      <c r="AR1645" s="44" t="str">
        <f t="shared" si="144"/>
        <v/>
      </c>
      <c r="AS1645" s="44"/>
      <c r="AT1645" s="44" t="str">
        <f t="shared" si="114"/>
        <v/>
      </c>
      <c r="AU1645" s="44" t="str">
        <f t="shared" si="115"/>
        <v/>
      </c>
      <c r="AV1645" s="38"/>
      <c r="AW1645" s="38"/>
      <c r="AX1645" s="38"/>
      <c r="AY1645" s="38"/>
      <c r="AZ1645" s="29">
        <v>1000.0</v>
      </c>
      <c r="BA1645" s="29"/>
      <c r="BB1645" s="29">
        <v>2.0</v>
      </c>
      <c r="BC1645" s="29" t="s">
        <v>219</v>
      </c>
      <c r="BD1645" s="29" t="s">
        <v>88</v>
      </c>
      <c r="BE1645" s="29"/>
      <c r="BF1645" s="29"/>
      <c r="BG1645" s="29" t="s">
        <v>220</v>
      </c>
      <c r="BH1645" s="29"/>
      <c r="BI1645" s="29"/>
      <c r="BJ1645" s="29"/>
      <c r="BK1645" s="29"/>
      <c r="BL1645" s="29"/>
      <c r="BM1645" s="45"/>
      <c r="BN1645" s="45"/>
      <c r="BO1645" s="46"/>
      <c r="BP1645" s="73"/>
      <c r="BQ1645" s="17"/>
    </row>
    <row r="1646" ht="15.75" customHeight="1">
      <c r="A1646" s="34">
        <v>1702.0</v>
      </c>
      <c r="B1646" s="34">
        <v>101595.0</v>
      </c>
      <c r="C1646" s="34" t="s">
        <v>76</v>
      </c>
      <c r="D1646" s="34" t="s">
        <v>2728</v>
      </c>
      <c r="E1646" s="34" t="s">
        <v>2729</v>
      </c>
      <c r="F1646" s="34">
        <v>2013.0</v>
      </c>
      <c r="G1646" s="34" t="s">
        <v>2730</v>
      </c>
      <c r="H1646" s="34" t="s">
        <v>282</v>
      </c>
      <c r="I1646" s="34" t="s">
        <v>2731</v>
      </c>
      <c r="J1646" s="35"/>
      <c r="K1646" s="36">
        <v>23.0</v>
      </c>
      <c r="L1646" s="36">
        <v>55.0</v>
      </c>
      <c r="M1646" s="36"/>
      <c r="N1646" s="36"/>
      <c r="O1646" s="36"/>
      <c r="P1646" s="52">
        <f t="shared" si="192"/>
        <v>41.81818182</v>
      </c>
      <c r="Q1646" s="36" t="s">
        <v>191</v>
      </c>
      <c r="R1646" s="36" t="s">
        <v>191</v>
      </c>
      <c r="S1646" s="36">
        <v>1000.0</v>
      </c>
      <c r="T1646" s="36" t="s">
        <v>328</v>
      </c>
      <c r="U1646" s="36" t="s">
        <v>342</v>
      </c>
      <c r="V1646" s="36">
        <v>23.0</v>
      </c>
      <c r="W1646" s="36"/>
      <c r="X1646" s="38">
        <v>1.0</v>
      </c>
      <c r="Y1646" s="38" t="s">
        <v>2736</v>
      </c>
      <c r="Z1646" s="38" t="s">
        <v>2737</v>
      </c>
      <c r="AA1646" s="38" t="s">
        <v>505</v>
      </c>
      <c r="AB1646" s="38"/>
      <c r="AC1646" s="38"/>
      <c r="AD1646" s="38" t="s">
        <v>87</v>
      </c>
      <c r="AE1646" s="53"/>
      <c r="AF1646" s="38"/>
      <c r="AG1646" s="57"/>
      <c r="AH1646" s="38"/>
      <c r="AI1646" s="50">
        <v>39.9712</v>
      </c>
      <c r="AJ1646" s="50">
        <v>-74.4346</v>
      </c>
      <c r="AK1646" s="41" t="s">
        <v>505</v>
      </c>
      <c r="AL1646" s="40" t="s">
        <v>505</v>
      </c>
      <c r="AM1646" s="49">
        <v>52.0</v>
      </c>
      <c r="AN1646" s="51">
        <v>52.0</v>
      </c>
      <c r="AO1646" s="42" t="s">
        <v>201</v>
      </c>
      <c r="AP1646" s="43" t="s">
        <v>201</v>
      </c>
      <c r="AQ1646" s="44" t="str">
        <f t="shared" ref="AQ1646:AQ1658" si="193">AA1646</f>
        <v>URB</v>
      </c>
      <c r="AR1646" s="44">
        <f t="shared" si="144"/>
        <v>52</v>
      </c>
      <c r="AS1646" s="44" t="str">
        <f>LEFT(AO1646,1)</f>
        <v>C</v>
      </c>
      <c r="AT1646" s="44" t="str">
        <f t="shared" si="114"/>
        <v>Cf</v>
      </c>
      <c r="AU1646" s="44" t="str">
        <f t="shared" si="115"/>
        <v>Cfa</v>
      </c>
      <c r="AV1646" s="38"/>
      <c r="AW1646" s="38"/>
      <c r="AX1646" s="38"/>
      <c r="AY1646" s="38"/>
      <c r="AZ1646" s="29">
        <v>1000.0</v>
      </c>
      <c r="BA1646" s="29"/>
      <c r="BB1646" s="29">
        <v>2.0</v>
      </c>
      <c r="BC1646" s="29" t="s">
        <v>219</v>
      </c>
      <c r="BD1646" s="29" t="s">
        <v>88</v>
      </c>
      <c r="BE1646" s="29"/>
      <c r="BF1646" s="29"/>
      <c r="BG1646" s="29" t="s">
        <v>220</v>
      </c>
      <c r="BH1646" s="29"/>
      <c r="BI1646" s="29"/>
      <c r="BJ1646" s="29"/>
      <c r="BK1646" s="29"/>
      <c r="BL1646" s="29"/>
      <c r="BM1646" s="45"/>
      <c r="BN1646" s="45"/>
      <c r="BO1646" s="46"/>
      <c r="BP1646" s="2"/>
      <c r="BQ1646" s="3"/>
    </row>
    <row r="1647" ht="15.75" customHeight="1">
      <c r="A1647" s="34">
        <v>1703.0</v>
      </c>
      <c r="B1647" s="34">
        <v>101595.0</v>
      </c>
      <c r="C1647" s="34" t="s">
        <v>76</v>
      </c>
      <c r="D1647" s="34" t="s">
        <v>2728</v>
      </c>
      <c r="E1647" s="34" t="s">
        <v>2729</v>
      </c>
      <c r="F1647" s="34">
        <v>2013.0</v>
      </c>
      <c r="G1647" s="34" t="s">
        <v>2730</v>
      </c>
      <c r="H1647" s="34" t="s">
        <v>282</v>
      </c>
      <c r="I1647" s="34" t="s">
        <v>2731</v>
      </c>
      <c r="J1647" s="35"/>
      <c r="K1647" s="36">
        <v>4.0</v>
      </c>
      <c r="L1647" s="36">
        <v>52.0</v>
      </c>
      <c r="M1647" s="36"/>
      <c r="N1647" s="36"/>
      <c r="O1647" s="36"/>
      <c r="P1647" s="52">
        <f t="shared" si="192"/>
        <v>7.692307692</v>
      </c>
      <c r="Q1647" s="36" t="s">
        <v>191</v>
      </c>
      <c r="R1647" s="36" t="s">
        <v>191</v>
      </c>
      <c r="S1647" s="36">
        <v>3000.0</v>
      </c>
      <c r="T1647" s="36" t="s">
        <v>328</v>
      </c>
      <c r="U1647" s="36" t="s">
        <v>342</v>
      </c>
      <c r="V1647" s="36">
        <v>647.0</v>
      </c>
      <c r="W1647" s="36"/>
      <c r="X1647" s="38">
        <v>13.0</v>
      </c>
      <c r="Y1647" s="38" t="s">
        <v>2738</v>
      </c>
      <c r="Z1647" s="38"/>
      <c r="AA1647" s="38"/>
      <c r="AB1647" s="38"/>
      <c r="AC1647" s="38"/>
      <c r="AD1647" s="38" t="s">
        <v>87</v>
      </c>
      <c r="AE1647" s="38" t="s">
        <v>2739</v>
      </c>
      <c r="AF1647" s="38"/>
      <c r="AG1647" s="38"/>
      <c r="AH1647" s="38"/>
      <c r="AI1647" s="50"/>
      <c r="AJ1647" s="50"/>
      <c r="AK1647" s="41"/>
      <c r="AL1647" s="40"/>
      <c r="AM1647" s="49"/>
      <c r="AN1647" s="43"/>
      <c r="AO1647" s="42"/>
      <c r="AP1647" s="43"/>
      <c r="AQ1647" s="44" t="str">
        <f t="shared" si="193"/>
        <v/>
      </c>
      <c r="AR1647" s="38"/>
      <c r="AS1647" s="44"/>
      <c r="AT1647" s="44" t="str">
        <f t="shared" si="114"/>
        <v/>
      </c>
      <c r="AU1647" s="44" t="str">
        <f t="shared" si="115"/>
        <v/>
      </c>
      <c r="AV1647" s="38"/>
      <c r="AW1647" s="38"/>
      <c r="AX1647" s="38"/>
      <c r="AY1647" s="38"/>
      <c r="AZ1647" s="29">
        <v>1000.0</v>
      </c>
      <c r="BA1647" s="29"/>
      <c r="BB1647" s="29">
        <v>2.0</v>
      </c>
      <c r="BC1647" s="29" t="s">
        <v>219</v>
      </c>
      <c r="BD1647" s="29" t="s">
        <v>88</v>
      </c>
      <c r="BE1647" s="29"/>
      <c r="BF1647" s="29"/>
      <c r="BG1647" s="29" t="s">
        <v>220</v>
      </c>
      <c r="BH1647" s="29"/>
      <c r="BI1647" s="29"/>
      <c r="BJ1647" s="29"/>
      <c r="BK1647" s="29"/>
      <c r="BL1647" s="29"/>
      <c r="BM1647" s="45"/>
      <c r="BN1647" s="45"/>
      <c r="BO1647" s="46"/>
      <c r="BP1647" s="2"/>
      <c r="BQ1647" s="3"/>
    </row>
    <row r="1648" ht="15.75" customHeight="1">
      <c r="A1648" s="34">
        <v>1704.0</v>
      </c>
      <c r="B1648" s="34">
        <v>101595.0</v>
      </c>
      <c r="C1648" s="34" t="s">
        <v>76</v>
      </c>
      <c r="D1648" s="34" t="s">
        <v>2728</v>
      </c>
      <c r="E1648" s="34" t="s">
        <v>2729</v>
      </c>
      <c r="F1648" s="34">
        <v>2013.0</v>
      </c>
      <c r="G1648" s="34" t="s">
        <v>2730</v>
      </c>
      <c r="H1648" s="34" t="s">
        <v>282</v>
      </c>
      <c r="I1648" s="34" t="s">
        <v>2731</v>
      </c>
      <c r="J1648" s="35"/>
      <c r="K1648" s="36">
        <v>-3.0</v>
      </c>
      <c r="L1648" s="36">
        <v>44.0</v>
      </c>
      <c r="M1648" s="36"/>
      <c r="N1648" s="36"/>
      <c r="O1648" s="36"/>
      <c r="P1648" s="52">
        <f t="shared" si="192"/>
        <v>-6.818181818</v>
      </c>
      <c r="Q1648" s="36" t="s">
        <v>191</v>
      </c>
      <c r="R1648" s="36" t="s">
        <v>191</v>
      </c>
      <c r="S1648" s="36">
        <v>3000.0</v>
      </c>
      <c r="T1648" s="36" t="s">
        <v>328</v>
      </c>
      <c r="U1648" s="36" t="s">
        <v>342</v>
      </c>
      <c r="V1648" s="36">
        <v>1066.0</v>
      </c>
      <c r="W1648" s="36"/>
      <c r="X1648" s="38">
        <v>29.0</v>
      </c>
      <c r="Y1648" s="38" t="s">
        <v>2740</v>
      </c>
      <c r="Z1648" s="38"/>
      <c r="AA1648" s="38"/>
      <c r="AB1648" s="38"/>
      <c r="AC1648" s="38"/>
      <c r="AD1648" s="38" t="s">
        <v>87</v>
      </c>
      <c r="AE1648" s="38" t="s">
        <v>2741</v>
      </c>
      <c r="AF1648" s="38"/>
      <c r="AG1648" s="38"/>
      <c r="AH1648" s="38"/>
      <c r="AI1648" s="50"/>
      <c r="AJ1648" s="50"/>
      <c r="AK1648" s="41"/>
      <c r="AL1648" s="40"/>
      <c r="AM1648" s="49"/>
      <c r="AN1648" s="43"/>
      <c r="AO1648" s="42"/>
      <c r="AP1648" s="43"/>
      <c r="AQ1648" s="44" t="str">
        <f t="shared" si="193"/>
        <v/>
      </c>
      <c r="AR1648" s="38"/>
      <c r="AS1648" s="44"/>
      <c r="AT1648" s="44" t="str">
        <f t="shared" si="114"/>
        <v/>
      </c>
      <c r="AU1648" s="44" t="str">
        <f t="shared" si="115"/>
        <v/>
      </c>
      <c r="AV1648" s="38"/>
      <c r="AW1648" s="38"/>
      <c r="AX1648" s="38"/>
      <c r="AY1648" s="38"/>
      <c r="AZ1648" s="29">
        <v>1000.0</v>
      </c>
      <c r="BA1648" s="29"/>
      <c r="BB1648" s="29">
        <v>2.0</v>
      </c>
      <c r="BC1648" s="29" t="s">
        <v>219</v>
      </c>
      <c r="BD1648" s="29" t="s">
        <v>88</v>
      </c>
      <c r="BE1648" s="29"/>
      <c r="BF1648" s="29"/>
      <c r="BG1648" s="29" t="s">
        <v>220</v>
      </c>
      <c r="BH1648" s="29"/>
      <c r="BI1648" s="29"/>
      <c r="BJ1648" s="29"/>
      <c r="BK1648" s="29"/>
      <c r="BL1648" s="29"/>
      <c r="BM1648" s="45"/>
      <c r="BN1648" s="45"/>
      <c r="BO1648" s="46"/>
      <c r="BP1648" s="2"/>
      <c r="BQ1648" s="3"/>
    </row>
    <row r="1649" ht="15.75" customHeight="1">
      <c r="A1649" s="34">
        <v>1705.0</v>
      </c>
      <c r="B1649" s="34">
        <v>101595.0</v>
      </c>
      <c r="C1649" s="34" t="s">
        <v>76</v>
      </c>
      <c r="D1649" s="34" t="s">
        <v>2728</v>
      </c>
      <c r="E1649" s="34" t="s">
        <v>2729</v>
      </c>
      <c r="F1649" s="34">
        <v>2013.0</v>
      </c>
      <c r="G1649" s="34" t="s">
        <v>2730</v>
      </c>
      <c r="H1649" s="34" t="s">
        <v>282</v>
      </c>
      <c r="I1649" s="34" t="s">
        <v>2731</v>
      </c>
      <c r="J1649" s="35"/>
      <c r="K1649" s="36">
        <v>-5.0</v>
      </c>
      <c r="L1649" s="36">
        <v>36.0</v>
      </c>
      <c r="M1649" s="36"/>
      <c r="N1649" s="36"/>
      <c r="O1649" s="36"/>
      <c r="P1649" s="52">
        <f t="shared" si="192"/>
        <v>-13.88888889</v>
      </c>
      <c r="Q1649" s="36" t="s">
        <v>191</v>
      </c>
      <c r="R1649" s="36" t="s">
        <v>191</v>
      </c>
      <c r="S1649" s="36">
        <v>3000.0</v>
      </c>
      <c r="T1649" s="36" t="s">
        <v>328</v>
      </c>
      <c r="U1649" s="36" t="s">
        <v>342</v>
      </c>
      <c r="V1649" s="36">
        <v>556.0</v>
      </c>
      <c r="W1649" s="36"/>
      <c r="X1649" s="38">
        <v>13.0</v>
      </c>
      <c r="Y1649" s="38" t="s">
        <v>955</v>
      </c>
      <c r="Z1649" s="38"/>
      <c r="AA1649" s="38"/>
      <c r="AB1649" s="38"/>
      <c r="AC1649" s="38"/>
      <c r="AD1649" s="38" t="s">
        <v>87</v>
      </c>
      <c r="AE1649" s="38" t="s">
        <v>956</v>
      </c>
      <c r="AF1649" s="38"/>
      <c r="AG1649" s="38"/>
      <c r="AH1649" s="38"/>
      <c r="AI1649" s="50"/>
      <c r="AJ1649" s="50"/>
      <c r="AK1649" s="41"/>
      <c r="AL1649" s="40"/>
      <c r="AM1649" s="49"/>
      <c r="AN1649" s="43"/>
      <c r="AO1649" s="42"/>
      <c r="AP1649" s="43"/>
      <c r="AQ1649" s="44" t="str">
        <f t="shared" si="193"/>
        <v/>
      </c>
      <c r="AR1649" s="38"/>
      <c r="AS1649" s="44"/>
      <c r="AT1649" s="44" t="str">
        <f t="shared" si="114"/>
        <v/>
      </c>
      <c r="AU1649" s="44" t="str">
        <f t="shared" si="115"/>
        <v/>
      </c>
      <c r="AV1649" s="38"/>
      <c r="AW1649" s="38"/>
      <c r="AX1649" s="38"/>
      <c r="AY1649" s="38"/>
      <c r="AZ1649" s="29">
        <v>1000.0</v>
      </c>
      <c r="BA1649" s="29"/>
      <c r="BB1649" s="29">
        <v>2.0</v>
      </c>
      <c r="BC1649" s="29" t="s">
        <v>219</v>
      </c>
      <c r="BD1649" s="29" t="s">
        <v>88</v>
      </c>
      <c r="BE1649" s="29"/>
      <c r="BF1649" s="29"/>
      <c r="BG1649" s="29" t="s">
        <v>220</v>
      </c>
      <c r="BH1649" s="29"/>
      <c r="BI1649" s="29"/>
      <c r="BJ1649" s="29"/>
      <c r="BK1649" s="29"/>
      <c r="BL1649" s="29"/>
      <c r="BM1649" s="45"/>
      <c r="BN1649" s="45"/>
      <c r="BO1649" s="46"/>
      <c r="BP1649" s="2"/>
      <c r="BQ1649" s="3"/>
    </row>
    <row r="1650" ht="15.75" customHeight="1">
      <c r="A1650" s="34">
        <v>1706.0</v>
      </c>
      <c r="B1650" s="34">
        <v>101595.0</v>
      </c>
      <c r="C1650" s="34" t="s">
        <v>76</v>
      </c>
      <c r="D1650" s="34" t="s">
        <v>2728</v>
      </c>
      <c r="E1650" s="34" t="s">
        <v>2729</v>
      </c>
      <c r="F1650" s="34">
        <v>2013.0</v>
      </c>
      <c r="G1650" s="34" t="s">
        <v>2730</v>
      </c>
      <c r="H1650" s="34" t="s">
        <v>282</v>
      </c>
      <c r="I1650" s="34" t="s">
        <v>2731</v>
      </c>
      <c r="J1650" s="35"/>
      <c r="K1650" s="36">
        <v>-17.0</v>
      </c>
      <c r="L1650" s="36">
        <v>37.0</v>
      </c>
      <c r="M1650" s="36"/>
      <c r="N1650" s="36"/>
      <c r="O1650" s="36"/>
      <c r="P1650" s="52">
        <f t="shared" si="192"/>
        <v>-45.94594595</v>
      </c>
      <c r="Q1650" s="36" t="s">
        <v>191</v>
      </c>
      <c r="R1650" s="36" t="s">
        <v>191</v>
      </c>
      <c r="S1650" s="36">
        <v>3000.0</v>
      </c>
      <c r="T1650" s="36" t="s">
        <v>328</v>
      </c>
      <c r="U1650" s="36" t="s">
        <v>342</v>
      </c>
      <c r="V1650" s="36">
        <v>201.0</v>
      </c>
      <c r="W1650" s="36"/>
      <c r="X1650" s="38">
        <v>5.0</v>
      </c>
      <c r="Y1650" s="38" t="s">
        <v>957</v>
      </c>
      <c r="Z1650" s="38"/>
      <c r="AA1650" s="38"/>
      <c r="AB1650" s="38"/>
      <c r="AC1650" s="38"/>
      <c r="AD1650" s="38" t="s">
        <v>87</v>
      </c>
      <c r="AE1650" s="38" t="s">
        <v>958</v>
      </c>
      <c r="AF1650" s="38"/>
      <c r="AG1650" s="38"/>
      <c r="AH1650" s="38"/>
      <c r="AI1650" s="50"/>
      <c r="AJ1650" s="50"/>
      <c r="AK1650" s="41"/>
      <c r="AL1650" s="40"/>
      <c r="AM1650" s="49"/>
      <c r="AN1650" s="43"/>
      <c r="AO1650" s="42"/>
      <c r="AP1650" s="43"/>
      <c r="AQ1650" s="44" t="str">
        <f t="shared" si="193"/>
        <v/>
      </c>
      <c r="AR1650" s="38"/>
      <c r="AS1650" s="44"/>
      <c r="AT1650" s="44" t="str">
        <f t="shared" si="114"/>
        <v/>
      </c>
      <c r="AU1650" s="44" t="str">
        <f t="shared" si="115"/>
        <v/>
      </c>
      <c r="AV1650" s="38"/>
      <c r="AW1650" s="38"/>
      <c r="AX1650" s="38"/>
      <c r="AY1650" s="38"/>
      <c r="AZ1650" s="29">
        <v>1000.0</v>
      </c>
      <c r="BA1650" s="29"/>
      <c r="BB1650" s="29">
        <v>2.0</v>
      </c>
      <c r="BC1650" s="29" t="s">
        <v>219</v>
      </c>
      <c r="BD1650" s="29" t="s">
        <v>88</v>
      </c>
      <c r="BE1650" s="29"/>
      <c r="BF1650" s="29"/>
      <c r="BG1650" s="29" t="s">
        <v>220</v>
      </c>
      <c r="BH1650" s="29"/>
      <c r="BI1650" s="29"/>
      <c r="BJ1650" s="29"/>
      <c r="BK1650" s="29"/>
      <c r="BL1650" s="29"/>
      <c r="BM1650" s="45"/>
      <c r="BN1650" s="45"/>
      <c r="BO1650" s="46"/>
      <c r="BP1650" s="2"/>
      <c r="BQ1650" s="3"/>
    </row>
    <row r="1651" ht="15.75" customHeight="1">
      <c r="A1651" s="34">
        <v>1707.0</v>
      </c>
      <c r="B1651" s="34">
        <v>101595.0</v>
      </c>
      <c r="C1651" s="34" t="s">
        <v>76</v>
      </c>
      <c r="D1651" s="34" t="s">
        <v>2728</v>
      </c>
      <c r="E1651" s="34" t="s">
        <v>2729</v>
      </c>
      <c r="F1651" s="34">
        <v>2013.0</v>
      </c>
      <c r="G1651" s="34" t="s">
        <v>2730</v>
      </c>
      <c r="H1651" s="34" t="s">
        <v>282</v>
      </c>
      <c r="I1651" s="34" t="s">
        <v>2731</v>
      </c>
      <c r="J1651" s="35"/>
      <c r="K1651" s="36">
        <v>-6.0</v>
      </c>
      <c r="L1651" s="36">
        <v>35.0</v>
      </c>
      <c r="M1651" s="36"/>
      <c r="N1651" s="36"/>
      <c r="O1651" s="36"/>
      <c r="P1651" s="52">
        <f t="shared" si="192"/>
        <v>-17.14285714</v>
      </c>
      <c r="Q1651" s="36" t="s">
        <v>191</v>
      </c>
      <c r="R1651" s="36" t="s">
        <v>191</v>
      </c>
      <c r="S1651" s="36">
        <v>3000.0</v>
      </c>
      <c r="T1651" s="36" t="s">
        <v>328</v>
      </c>
      <c r="U1651" s="36" t="s">
        <v>342</v>
      </c>
      <c r="V1651" s="36">
        <v>200.0</v>
      </c>
      <c r="W1651" s="36"/>
      <c r="X1651" s="38" t="s">
        <v>630</v>
      </c>
      <c r="Y1651" s="38" t="s">
        <v>2742</v>
      </c>
      <c r="Z1651" s="38"/>
      <c r="AA1651" s="38"/>
      <c r="AB1651" s="38"/>
      <c r="AC1651" s="38"/>
      <c r="AD1651" s="39" t="s">
        <v>87</v>
      </c>
      <c r="AE1651" s="38"/>
      <c r="AF1651" s="38"/>
      <c r="AG1651" s="38" t="s">
        <v>293</v>
      </c>
      <c r="AH1651" s="38"/>
      <c r="AI1651" s="50"/>
      <c r="AJ1651" s="50"/>
      <c r="AK1651" s="41"/>
      <c r="AL1651" s="40"/>
      <c r="AM1651" s="49"/>
      <c r="AN1651" s="43"/>
      <c r="AO1651" s="42"/>
      <c r="AP1651" s="43"/>
      <c r="AQ1651" s="44" t="str">
        <f t="shared" si="193"/>
        <v/>
      </c>
      <c r="AR1651" s="44" t="str">
        <f t="shared" ref="AR1651:AR1663" si="194">AM1651</f>
        <v/>
      </c>
      <c r="AS1651" s="44" t="s">
        <v>2743</v>
      </c>
      <c r="AT1651" s="44" t="s">
        <v>1863</v>
      </c>
      <c r="AU1651" s="44" t="str">
        <f t="shared" ref="AU1651:AU1655" si="195">AG1651</f>
        <v>BSk</v>
      </c>
      <c r="AV1651" s="38"/>
      <c r="AW1651" s="38"/>
      <c r="AX1651" s="38"/>
      <c r="AY1651" s="38"/>
      <c r="AZ1651" s="29">
        <v>1000.0</v>
      </c>
      <c r="BA1651" s="29"/>
      <c r="BB1651" s="29">
        <v>2.0</v>
      </c>
      <c r="BC1651" s="29" t="s">
        <v>219</v>
      </c>
      <c r="BD1651" s="29" t="s">
        <v>88</v>
      </c>
      <c r="BE1651" s="29"/>
      <c r="BF1651" s="29"/>
      <c r="BG1651" s="29" t="s">
        <v>220</v>
      </c>
      <c r="BH1651" s="29"/>
      <c r="BI1651" s="29"/>
      <c r="BJ1651" s="29"/>
      <c r="BK1651" s="29"/>
      <c r="BL1651" s="29"/>
      <c r="BM1651" s="45"/>
      <c r="BN1651" s="45"/>
      <c r="BO1651" s="46"/>
      <c r="BP1651" s="2"/>
      <c r="BQ1651" s="3"/>
    </row>
    <row r="1652" ht="15.75" customHeight="1">
      <c r="A1652" s="34">
        <v>1708.0</v>
      </c>
      <c r="B1652" s="34">
        <v>101595.0</v>
      </c>
      <c r="C1652" s="34" t="s">
        <v>76</v>
      </c>
      <c r="D1652" s="34" t="s">
        <v>2728</v>
      </c>
      <c r="E1652" s="34" t="s">
        <v>2729</v>
      </c>
      <c r="F1652" s="34">
        <v>2013.0</v>
      </c>
      <c r="G1652" s="34" t="s">
        <v>2730</v>
      </c>
      <c r="H1652" s="34" t="s">
        <v>282</v>
      </c>
      <c r="I1652" s="34" t="s">
        <v>2731</v>
      </c>
      <c r="J1652" s="35"/>
      <c r="K1652" s="36">
        <v>9.0</v>
      </c>
      <c r="L1652" s="36">
        <v>59.0</v>
      </c>
      <c r="M1652" s="36"/>
      <c r="N1652" s="36"/>
      <c r="O1652" s="36"/>
      <c r="P1652" s="52">
        <f t="shared" si="192"/>
        <v>15.25423729</v>
      </c>
      <c r="Q1652" s="36" t="s">
        <v>191</v>
      </c>
      <c r="R1652" s="36" t="s">
        <v>191</v>
      </c>
      <c r="S1652" s="36">
        <v>3000.0</v>
      </c>
      <c r="T1652" s="36" t="s">
        <v>328</v>
      </c>
      <c r="U1652" s="36" t="s">
        <v>342</v>
      </c>
      <c r="V1652" s="36">
        <v>635.0</v>
      </c>
      <c r="W1652" s="36"/>
      <c r="X1652" s="38" t="s">
        <v>630</v>
      </c>
      <c r="Y1652" s="38" t="s">
        <v>2744</v>
      </c>
      <c r="Z1652" s="38"/>
      <c r="AA1652" s="38"/>
      <c r="AB1652" s="38"/>
      <c r="AC1652" s="38"/>
      <c r="AD1652" s="39" t="s">
        <v>87</v>
      </c>
      <c r="AE1652" s="38"/>
      <c r="AF1652" s="38"/>
      <c r="AG1652" s="38" t="s">
        <v>201</v>
      </c>
      <c r="AH1652" s="38"/>
      <c r="AI1652" s="50"/>
      <c r="AJ1652" s="50"/>
      <c r="AK1652" s="41"/>
      <c r="AL1652" s="40"/>
      <c r="AM1652" s="49"/>
      <c r="AN1652" s="43"/>
      <c r="AO1652" s="42"/>
      <c r="AP1652" s="43"/>
      <c r="AQ1652" s="44" t="str">
        <f t="shared" si="193"/>
        <v/>
      </c>
      <c r="AR1652" s="44" t="str">
        <f t="shared" si="194"/>
        <v/>
      </c>
      <c r="AS1652" s="44" t="s">
        <v>2745</v>
      </c>
      <c r="AT1652" s="44" t="s">
        <v>1797</v>
      </c>
      <c r="AU1652" s="44" t="str">
        <f t="shared" si="195"/>
        <v>Cfa</v>
      </c>
      <c r="AV1652" s="38"/>
      <c r="AW1652" s="38"/>
      <c r="AX1652" s="38"/>
      <c r="AY1652" s="38"/>
      <c r="AZ1652" s="29">
        <v>1000.0</v>
      </c>
      <c r="BA1652" s="29"/>
      <c r="BB1652" s="29">
        <v>2.0</v>
      </c>
      <c r="BC1652" s="29" t="s">
        <v>219</v>
      </c>
      <c r="BD1652" s="29" t="s">
        <v>88</v>
      </c>
      <c r="BE1652" s="29"/>
      <c r="BF1652" s="29"/>
      <c r="BG1652" s="29" t="s">
        <v>220</v>
      </c>
      <c r="BH1652" s="29"/>
      <c r="BI1652" s="29"/>
      <c r="BJ1652" s="29"/>
      <c r="BK1652" s="29"/>
      <c r="BL1652" s="29"/>
      <c r="BM1652" s="45"/>
      <c r="BN1652" s="45"/>
      <c r="BO1652" s="46"/>
      <c r="BP1652" s="2"/>
      <c r="BQ1652" s="3"/>
    </row>
    <row r="1653" ht="15.75" customHeight="1">
      <c r="A1653" s="34">
        <v>1709.0</v>
      </c>
      <c r="B1653" s="34">
        <v>101595.0</v>
      </c>
      <c r="C1653" s="34" t="s">
        <v>76</v>
      </c>
      <c r="D1653" s="34" t="s">
        <v>2728</v>
      </c>
      <c r="E1653" s="34" t="s">
        <v>2729</v>
      </c>
      <c r="F1653" s="34">
        <v>2013.0</v>
      </c>
      <c r="G1653" s="34" t="s">
        <v>2730</v>
      </c>
      <c r="H1653" s="34" t="s">
        <v>282</v>
      </c>
      <c r="I1653" s="34" t="s">
        <v>2731</v>
      </c>
      <c r="J1653" s="35"/>
      <c r="K1653" s="36">
        <v>-5.0</v>
      </c>
      <c r="L1653" s="36">
        <v>38.0</v>
      </c>
      <c r="M1653" s="36"/>
      <c r="N1653" s="36"/>
      <c r="O1653" s="36"/>
      <c r="P1653" s="52">
        <f t="shared" si="192"/>
        <v>-13.15789474</v>
      </c>
      <c r="Q1653" s="36" t="s">
        <v>191</v>
      </c>
      <c r="R1653" s="36" t="s">
        <v>191</v>
      </c>
      <c r="S1653" s="36">
        <v>3000.0</v>
      </c>
      <c r="T1653" s="36" t="s">
        <v>328</v>
      </c>
      <c r="U1653" s="36" t="s">
        <v>342</v>
      </c>
      <c r="V1653" s="36">
        <v>269.0</v>
      </c>
      <c r="W1653" s="36"/>
      <c r="X1653" s="38" t="s">
        <v>630</v>
      </c>
      <c r="Y1653" s="38" t="s">
        <v>2746</v>
      </c>
      <c r="Z1653" s="38"/>
      <c r="AA1653" s="38"/>
      <c r="AB1653" s="38"/>
      <c r="AC1653" s="38"/>
      <c r="AD1653" s="39" t="s">
        <v>87</v>
      </c>
      <c r="AE1653" s="38"/>
      <c r="AF1653" s="38"/>
      <c r="AG1653" s="38" t="s">
        <v>175</v>
      </c>
      <c r="AH1653" s="38"/>
      <c r="AI1653" s="50"/>
      <c r="AJ1653" s="50"/>
      <c r="AK1653" s="41"/>
      <c r="AL1653" s="40"/>
      <c r="AM1653" s="49"/>
      <c r="AN1653" s="43"/>
      <c r="AO1653" s="42"/>
      <c r="AP1653" s="43"/>
      <c r="AQ1653" s="44" t="str">
        <f t="shared" si="193"/>
        <v/>
      </c>
      <c r="AR1653" s="44" t="str">
        <f t="shared" si="194"/>
        <v/>
      </c>
      <c r="AS1653" s="44" t="s">
        <v>2745</v>
      </c>
      <c r="AT1653" s="44" t="s">
        <v>1949</v>
      </c>
      <c r="AU1653" s="44" t="str">
        <f t="shared" si="195"/>
        <v>Csa</v>
      </c>
      <c r="AV1653" s="38"/>
      <c r="AW1653" s="38"/>
      <c r="AX1653" s="38"/>
      <c r="AY1653" s="38"/>
      <c r="AZ1653" s="29">
        <v>1000.0</v>
      </c>
      <c r="BA1653" s="29"/>
      <c r="BB1653" s="29">
        <v>2.0</v>
      </c>
      <c r="BC1653" s="29" t="s">
        <v>219</v>
      </c>
      <c r="BD1653" s="29" t="s">
        <v>88</v>
      </c>
      <c r="BE1653" s="29"/>
      <c r="BF1653" s="29"/>
      <c r="BG1653" s="29" t="s">
        <v>220</v>
      </c>
      <c r="BH1653" s="29"/>
      <c r="BI1653" s="29"/>
      <c r="BJ1653" s="29"/>
      <c r="BK1653" s="29"/>
      <c r="BL1653" s="29"/>
      <c r="BM1653" s="45"/>
      <c r="BN1653" s="45"/>
      <c r="BO1653" s="46"/>
      <c r="BP1653" s="2"/>
      <c r="BQ1653" s="3"/>
    </row>
    <row r="1654" ht="15.75" customHeight="1">
      <c r="A1654" s="34">
        <v>1710.0</v>
      </c>
      <c r="B1654" s="34">
        <v>101595.0</v>
      </c>
      <c r="C1654" s="34" t="s">
        <v>76</v>
      </c>
      <c r="D1654" s="34" t="s">
        <v>2728</v>
      </c>
      <c r="E1654" s="34" t="s">
        <v>2729</v>
      </c>
      <c r="F1654" s="34">
        <v>2013.0</v>
      </c>
      <c r="G1654" s="34" t="s">
        <v>2730</v>
      </c>
      <c r="H1654" s="34" t="s">
        <v>282</v>
      </c>
      <c r="I1654" s="34" t="s">
        <v>2731</v>
      </c>
      <c r="J1654" s="35"/>
      <c r="K1654" s="36">
        <v>-8.0</v>
      </c>
      <c r="L1654" s="36">
        <v>38.0</v>
      </c>
      <c r="M1654" s="36"/>
      <c r="N1654" s="36"/>
      <c r="O1654" s="36"/>
      <c r="P1654" s="52">
        <f t="shared" si="192"/>
        <v>-21.05263158</v>
      </c>
      <c r="Q1654" s="36" t="s">
        <v>191</v>
      </c>
      <c r="R1654" s="36" t="s">
        <v>191</v>
      </c>
      <c r="S1654" s="36">
        <v>3000.0</v>
      </c>
      <c r="T1654" s="36" t="s">
        <v>328</v>
      </c>
      <c r="U1654" s="36" t="s">
        <v>342</v>
      </c>
      <c r="V1654" s="36">
        <v>234.0</v>
      </c>
      <c r="W1654" s="36"/>
      <c r="X1654" s="38" t="s">
        <v>630</v>
      </c>
      <c r="Y1654" s="38" t="s">
        <v>2747</v>
      </c>
      <c r="Z1654" s="38"/>
      <c r="AA1654" s="38"/>
      <c r="AB1654" s="38"/>
      <c r="AC1654" s="38"/>
      <c r="AD1654" s="39" t="s">
        <v>87</v>
      </c>
      <c r="AE1654" s="38"/>
      <c r="AF1654" s="38"/>
      <c r="AG1654" s="38" t="s">
        <v>445</v>
      </c>
      <c r="AH1654" s="38"/>
      <c r="AI1654" s="50"/>
      <c r="AJ1654" s="50"/>
      <c r="AK1654" s="41"/>
      <c r="AL1654" s="40"/>
      <c r="AM1654" s="49"/>
      <c r="AN1654" s="43"/>
      <c r="AO1654" s="42"/>
      <c r="AP1654" s="43"/>
      <c r="AQ1654" s="44" t="str">
        <f t="shared" si="193"/>
        <v/>
      </c>
      <c r="AR1654" s="44" t="str">
        <f t="shared" si="194"/>
        <v/>
      </c>
      <c r="AS1654" s="44" t="s">
        <v>2745</v>
      </c>
      <c r="AT1654" s="44" t="s">
        <v>1949</v>
      </c>
      <c r="AU1654" s="44" t="str">
        <f t="shared" si="195"/>
        <v>Csb</v>
      </c>
      <c r="AV1654" s="38"/>
      <c r="AW1654" s="38"/>
      <c r="AX1654" s="38"/>
      <c r="AY1654" s="38"/>
      <c r="AZ1654" s="29">
        <v>1000.0</v>
      </c>
      <c r="BA1654" s="29"/>
      <c r="BB1654" s="29">
        <v>2.0</v>
      </c>
      <c r="BC1654" s="29" t="s">
        <v>219</v>
      </c>
      <c r="BD1654" s="29" t="s">
        <v>88</v>
      </c>
      <c r="BE1654" s="29"/>
      <c r="BF1654" s="29"/>
      <c r="BG1654" s="29" t="s">
        <v>220</v>
      </c>
      <c r="BH1654" s="29"/>
      <c r="BI1654" s="29"/>
      <c r="BJ1654" s="29"/>
      <c r="BK1654" s="29"/>
      <c r="BL1654" s="29"/>
      <c r="BM1654" s="45"/>
      <c r="BN1654" s="45"/>
      <c r="BO1654" s="46"/>
      <c r="BP1654" s="2"/>
      <c r="BQ1654" s="3"/>
    </row>
    <row r="1655" ht="15.75" customHeight="1">
      <c r="A1655" s="34">
        <v>1711.0</v>
      </c>
      <c r="B1655" s="34">
        <v>101595.0</v>
      </c>
      <c r="C1655" s="34" t="s">
        <v>76</v>
      </c>
      <c r="D1655" s="34" t="s">
        <v>2728</v>
      </c>
      <c r="E1655" s="34" t="s">
        <v>2729</v>
      </c>
      <c r="F1655" s="34">
        <v>2013.0</v>
      </c>
      <c r="G1655" s="34" t="s">
        <v>2730</v>
      </c>
      <c r="H1655" s="34" t="s">
        <v>282</v>
      </c>
      <c r="I1655" s="34" t="s">
        <v>2731</v>
      </c>
      <c r="J1655" s="35"/>
      <c r="K1655" s="36">
        <v>-8.0</v>
      </c>
      <c r="L1655" s="36">
        <v>51.0</v>
      </c>
      <c r="M1655" s="36"/>
      <c r="N1655" s="36"/>
      <c r="O1655" s="36"/>
      <c r="P1655" s="52">
        <f t="shared" si="192"/>
        <v>-15.68627451</v>
      </c>
      <c r="Q1655" s="36" t="s">
        <v>191</v>
      </c>
      <c r="R1655" s="36" t="s">
        <v>191</v>
      </c>
      <c r="S1655" s="36">
        <v>3000.0</v>
      </c>
      <c r="T1655" s="36" t="s">
        <v>328</v>
      </c>
      <c r="U1655" s="36" t="s">
        <v>342</v>
      </c>
      <c r="V1655" s="36">
        <v>337.0</v>
      </c>
      <c r="W1655" s="36"/>
      <c r="X1655" s="38" t="s">
        <v>630</v>
      </c>
      <c r="Y1655" s="38" t="s">
        <v>2748</v>
      </c>
      <c r="Z1655" s="38"/>
      <c r="AA1655" s="38"/>
      <c r="AB1655" s="38"/>
      <c r="AC1655" s="38"/>
      <c r="AD1655" s="39" t="s">
        <v>87</v>
      </c>
      <c r="AE1655" s="38"/>
      <c r="AF1655" s="38"/>
      <c r="AG1655" s="38" t="s">
        <v>108</v>
      </c>
      <c r="AH1655" s="38"/>
      <c r="AI1655" s="50"/>
      <c r="AJ1655" s="50"/>
      <c r="AK1655" s="41"/>
      <c r="AL1655" s="40"/>
      <c r="AM1655" s="49"/>
      <c r="AN1655" s="43"/>
      <c r="AO1655" s="42"/>
      <c r="AP1655" s="43"/>
      <c r="AQ1655" s="44" t="str">
        <f t="shared" si="193"/>
        <v/>
      </c>
      <c r="AR1655" s="44" t="str">
        <f t="shared" si="194"/>
        <v/>
      </c>
      <c r="AS1655" s="44" t="s">
        <v>109</v>
      </c>
      <c r="AT1655" s="44" t="s">
        <v>1942</v>
      </c>
      <c r="AU1655" s="44" t="str">
        <f t="shared" si="195"/>
        <v>Dfa</v>
      </c>
      <c r="AV1655" s="38"/>
      <c r="AW1655" s="38"/>
      <c r="AX1655" s="38"/>
      <c r="AY1655" s="38"/>
      <c r="AZ1655" s="29">
        <v>1000.0</v>
      </c>
      <c r="BA1655" s="29"/>
      <c r="BB1655" s="29">
        <v>2.0</v>
      </c>
      <c r="BC1655" s="29" t="s">
        <v>219</v>
      </c>
      <c r="BD1655" s="29" t="s">
        <v>88</v>
      </c>
      <c r="BE1655" s="29"/>
      <c r="BF1655" s="29"/>
      <c r="BG1655" s="29" t="s">
        <v>220</v>
      </c>
      <c r="BH1655" s="29"/>
      <c r="BI1655" s="29"/>
      <c r="BJ1655" s="29"/>
      <c r="BK1655" s="29"/>
      <c r="BL1655" s="29"/>
      <c r="BM1655" s="45"/>
      <c r="BN1655" s="45"/>
      <c r="BO1655" s="46"/>
      <c r="BP1655" s="2"/>
      <c r="BQ1655" s="3"/>
    </row>
    <row r="1656" ht="15.75" customHeight="1">
      <c r="A1656" s="34">
        <v>1712.0</v>
      </c>
      <c r="B1656" s="34">
        <v>101595.0</v>
      </c>
      <c r="C1656" s="34" t="s">
        <v>76</v>
      </c>
      <c r="D1656" s="34" t="s">
        <v>2728</v>
      </c>
      <c r="E1656" s="34" t="s">
        <v>2729</v>
      </c>
      <c r="F1656" s="34">
        <v>2013.0</v>
      </c>
      <c r="G1656" s="34" t="s">
        <v>2730</v>
      </c>
      <c r="H1656" s="34" t="s">
        <v>282</v>
      </c>
      <c r="I1656" s="34" t="s">
        <v>2731</v>
      </c>
      <c r="J1656" s="35"/>
      <c r="K1656" s="36">
        <v>13.0</v>
      </c>
      <c r="L1656" s="36">
        <v>39.0</v>
      </c>
      <c r="M1656" s="36"/>
      <c r="N1656" s="36"/>
      <c r="O1656" s="36"/>
      <c r="P1656" s="52">
        <f t="shared" si="192"/>
        <v>33.33333333</v>
      </c>
      <c r="Q1656" s="36" t="s">
        <v>191</v>
      </c>
      <c r="R1656" s="36" t="s">
        <v>191</v>
      </c>
      <c r="S1656" s="36">
        <v>3000.0</v>
      </c>
      <c r="T1656" s="36" t="s">
        <v>328</v>
      </c>
      <c r="U1656" s="36" t="s">
        <v>342</v>
      </c>
      <c r="V1656" s="36">
        <v>567.0</v>
      </c>
      <c r="W1656" s="36"/>
      <c r="X1656" s="38" t="s">
        <v>630</v>
      </c>
      <c r="Y1656" s="38" t="s">
        <v>2749</v>
      </c>
      <c r="Z1656" s="38"/>
      <c r="AA1656" s="38"/>
      <c r="AB1656" s="38"/>
      <c r="AC1656" s="38"/>
      <c r="AD1656" s="39" t="s">
        <v>87</v>
      </c>
      <c r="AE1656" s="38"/>
      <c r="AF1656" s="38"/>
      <c r="AG1656" s="38" t="s">
        <v>2750</v>
      </c>
      <c r="AH1656" s="38"/>
      <c r="AI1656" s="50"/>
      <c r="AJ1656" s="50"/>
      <c r="AK1656" s="41"/>
      <c r="AL1656" s="40"/>
      <c r="AM1656" s="49"/>
      <c r="AN1656" s="43"/>
      <c r="AO1656" s="42"/>
      <c r="AP1656" s="43"/>
      <c r="AQ1656" s="44" t="str">
        <f t="shared" si="193"/>
        <v/>
      </c>
      <c r="AR1656" s="44" t="str">
        <f t="shared" si="194"/>
        <v/>
      </c>
      <c r="AS1656" s="44" t="s">
        <v>109</v>
      </c>
      <c r="AT1656" s="44" t="s">
        <v>1942</v>
      </c>
      <c r="AU1656" s="44" t="s">
        <v>107</v>
      </c>
      <c r="AV1656" s="38"/>
      <c r="AW1656" s="38"/>
      <c r="AX1656" s="38"/>
      <c r="AY1656" s="38"/>
      <c r="AZ1656" s="29">
        <v>1000.0</v>
      </c>
      <c r="BA1656" s="29"/>
      <c r="BB1656" s="29">
        <v>2.0</v>
      </c>
      <c r="BC1656" s="29" t="s">
        <v>219</v>
      </c>
      <c r="BD1656" s="29" t="s">
        <v>88</v>
      </c>
      <c r="BE1656" s="29"/>
      <c r="BF1656" s="29"/>
      <c r="BG1656" s="29" t="s">
        <v>220</v>
      </c>
      <c r="BH1656" s="29"/>
      <c r="BI1656" s="29"/>
      <c r="BJ1656" s="29"/>
      <c r="BK1656" s="29"/>
      <c r="BL1656" s="29"/>
      <c r="BM1656" s="45"/>
      <c r="BN1656" s="45"/>
      <c r="BO1656" s="46"/>
      <c r="BP1656" s="2"/>
      <c r="BQ1656" s="3"/>
    </row>
    <row r="1657" ht="15.75" customHeight="1">
      <c r="A1657" s="34">
        <v>1713.0</v>
      </c>
      <c r="B1657" s="34">
        <v>101595.0</v>
      </c>
      <c r="C1657" s="34" t="s">
        <v>76</v>
      </c>
      <c r="D1657" s="34" t="s">
        <v>2728</v>
      </c>
      <c r="E1657" s="34" t="s">
        <v>2729</v>
      </c>
      <c r="F1657" s="34">
        <v>2013.0</v>
      </c>
      <c r="G1657" s="34" t="s">
        <v>2730</v>
      </c>
      <c r="H1657" s="34" t="s">
        <v>282</v>
      </c>
      <c r="I1657" s="34" t="s">
        <v>2731</v>
      </c>
      <c r="J1657" s="35"/>
      <c r="K1657" s="36">
        <v>-19.0</v>
      </c>
      <c r="L1657" s="36">
        <v>46.0</v>
      </c>
      <c r="M1657" s="36"/>
      <c r="N1657" s="36"/>
      <c r="O1657" s="36"/>
      <c r="P1657" s="52">
        <f t="shared" si="192"/>
        <v>-41.30434783</v>
      </c>
      <c r="Q1657" s="36" t="s">
        <v>191</v>
      </c>
      <c r="R1657" s="36" t="s">
        <v>191</v>
      </c>
      <c r="S1657" s="36">
        <v>3000.0</v>
      </c>
      <c r="T1657" s="36" t="s">
        <v>328</v>
      </c>
      <c r="U1657" s="36" t="s">
        <v>342</v>
      </c>
      <c r="V1657" s="36">
        <v>84.0</v>
      </c>
      <c r="W1657" s="36"/>
      <c r="X1657" s="38" t="s">
        <v>630</v>
      </c>
      <c r="Y1657" s="38" t="s">
        <v>2751</v>
      </c>
      <c r="Z1657" s="38"/>
      <c r="AA1657" s="38"/>
      <c r="AB1657" s="38"/>
      <c r="AC1657" s="38"/>
      <c r="AD1657" s="39" t="s">
        <v>87</v>
      </c>
      <c r="AE1657" s="38"/>
      <c r="AF1657" s="38"/>
      <c r="AG1657" s="38" t="s">
        <v>2752</v>
      </c>
      <c r="AH1657" s="38"/>
      <c r="AI1657" s="50"/>
      <c r="AJ1657" s="50"/>
      <c r="AK1657" s="41"/>
      <c r="AL1657" s="40"/>
      <c r="AM1657" s="49"/>
      <c r="AN1657" s="43"/>
      <c r="AO1657" s="42"/>
      <c r="AP1657" s="43"/>
      <c r="AQ1657" s="44" t="str">
        <f t="shared" si="193"/>
        <v/>
      </c>
      <c r="AR1657" s="44" t="str">
        <f t="shared" si="194"/>
        <v/>
      </c>
      <c r="AS1657" s="44" t="s">
        <v>109</v>
      </c>
      <c r="AT1657" s="44" t="s">
        <v>1942</v>
      </c>
      <c r="AU1657" s="44" t="s">
        <v>372</v>
      </c>
      <c r="AV1657" s="38"/>
      <c r="AW1657" s="38"/>
      <c r="AX1657" s="38"/>
      <c r="AY1657" s="38"/>
      <c r="AZ1657" s="29">
        <v>1000.0</v>
      </c>
      <c r="BA1657" s="29"/>
      <c r="BB1657" s="29">
        <v>2.0</v>
      </c>
      <c r="BC1657" s="29" t="s">
        <v>219</v>
      </c>
      <c r="BD1657" s="29" t="s">
        <v>88</v>
      </c>
      <c r="BE1657" s="29"/>
      <c r="BF1657" s="29"/>
      <c r="BG1657" s="29" t="s">
        <v>220</v>
      </c>
      <c r="BH1657" s="29"/>
      <c r="BI1657" s="29"/>
      <c r="BJ1657" s="29"/>
      <c r="BK1657" s="29"/>
      <c r="BL1657" s="29"/>
      <c r="BM1657" s="45"/>
      <c r="BN1657" s="45"/>
      <c r="BO1657" s="46"/>
      <c r="BP1657" s="2"/>
      <c r="BQ1657" s="3"/>
    </row>
    <row r="1658" ht="15.75" customHeight="1">
      <c r="A1658" s="34">
        <v>1714.0</v>
      </c>
      <c r="B1658" s="34">
        <v>101595.0</v>
      </c>
      <c r="C1658" s="34" t="s">
        <v>76</v>
      </c>
      <c r="D1658" s="34" t="s">
        <v>2728</v>
      </c>
      <c r="E1658" s="34" t="s">
        <v>2729</v>
      </c>
      <c r="F1658" s="34">
        <v>2013.0</v>
      </c>
      <c r="G1658" s="34" t="s">
        <v>2730</v>
      </c>
      <c r="H1658" s="34" t="s">
        <v>282</v>
      </c>
      <c r="I1658" s="34" t="s">
        <v>2731</v>
      </c>
      <c r="J1658" s="35"/>
      <c r="K1658" s="36">
        <v>-15.0</v>
      </c>
      <c r="L1658" s="36">
        <v>50.0</v>
      </c>
      <c r="M1658" s="36"/>
      <c r="N1658" s="36"/>
      <c r="O1658" s="36"/>
      <c r="P1658" s="52">
        <f t="shared" si="192"/>
        <v>-30</v>
      </c>
      <c r="Q1658" s="36" t="s">
        <v>191</v>
      </c>
      <c r="R1658" s="36" t="s">
        <v>191</v>
      </c>
      <c r="S1658" s="36">
        <v>3000.0</v>
      </c>
      <c r="T1658" s="36" t="s">
        <v>328</v>
      </c>
      <c r="U1658" s="36" t="s">
        <v>342</v>
      </c>
      <c r="V1658" s="36">
        <v>390.0</v>
      </c>
      <c r="W1658" s="36"/>
      <c r="X1658" s="38">
        <v>7.0</v>
      </c>
      <c r="Y1658" s="38" t="s">
        <v>946</v>
      </c>
      <c r="Z1658" s="38"/>
      <c r="AA1658" s="38" t="s">
        <v>86</v>
      </c>
      <c r="AB1658" s="38"/>
      <c r="AC1658" s="38"/>
      <c r="AD1658" s="39" t="s">
        <v>87</v>
      </c>
      <c r="AE1658" s="38"/>
      <c r="AF1658" s="38"/>
      <c r="AG1658" s="38"/>
      <c r="AH1658" s="38"/>
      <c r="AI1658" s="50"/>
      <c r="AJ1658" s="50"/>
      <c r="AK1658" s="41"/>
      <c r="AL1658" s="40"/>
      <c r="AM1658" s="49"/>
      <c r="AN1658" s="43"/>
      <c r="AO1658" s="42"/>
      <c r="AP1658" s="43"/>
      <c r="AQ1658" s="44" t="str">
        <f t="shared" si="193"/>
        <v>CRO</v>
      </c>
      <c r="AR1658" s="44" t="str">
        <f t="shared" si="194"/>
        <v/>
      </c>
      <c r="AS1658" s="44"/>
      <c r="AT1658" s="44" t="str">
        <f t="shared" ref="AT1658:AT1667" si="196">LEFT(AP1658,2)</f>
        <v/>
      </c>
      <c r="AU1658" s="44" t="str">
        <f t="shared" ref="AU1658:AU1667" si="197">AP1658</f>
        <v/>
      </c>
      <c r="AV1658" s="38"/>
      <c r="AW1658" s="38"/>
      <c r="AX1658" s="38"/>
      <c r="AY1658" s="38"/>
      <c r="AZ1658" s="29">
        <v>1000.0</v>
      </c>
      <c r="BA1658" s="29"/>
      <c r="BB1658" s="29">
        <v>1.0</v>
      </c>
      <c r="BC1658" s="29"/>
      <c r="BD1658" s="29" t="s">
        <v>88</v>
      </c>
      <c r="BE1658" s="29"/>
      <c r="BF1658" s="29" t="s">
        <v>802</v>
      </c>
      <c r="BG1658" s="29" t="s">
        <v>572</v>
      </c>
      <c r="BH1658" s="29"/>
      <c r="BI1658" s="29"/>
      <c r="BJ1658" s="29"/>
      <c r="BK1658" s="29" t="s">
        <v>148</v>
      </c>
      <c r="BL1658" s="29" t="s">
        <v>148</v>
      </c>
      <c r="BM1658" s="45"/>
      <c r="BN1658" s="45"/>
      <c r="BO1658" s="46"/>
      <c r="BP1658" s="2"/>
      <c r="BQ1658" s="3"/>
    </row>
    <row r="1659" ht="15.75" customHeight="1">
      <c r="A1659" s="34">
        <v>1715.0</v>
      </c>
      <c r="B1659" s="34">
        <v>101595.0</v>
      </c>
      <c r="C1659" s="34" t="s">
        <v>76</v>
      </c>
      <c r="D1659" s="34" t="s">
        <v>2728</v>
      </c>
      <c r="E1659" s="34" t="s">
        <v>2729</v>
      </c>
      <c r="F1659" s="34">
        <v>2013.0</v>
      </c>
      <c r="G1659" s="34" t="s">
        <v>2730</v>
      </c>
      <c r="H1659" s="34" t="s">
        <v>282</v>
      </c>
      <c r="I1659" s="34" t="s">
        <v>2731</v>
      </c>
      <c r="J1659" s="35"/>
      <c r="K1659" s="36">
        <v>4.0</v>
      </c>
      <c r="L1659" s="36">
        <v>46.0</v>
      </c>
      <c r="M1659" s="36"/>
      <c r="N1659" s="36"/>
      <c r="O1659" s="36"/>
      <c r="P1659" s="52">
        <f t="shared" si="192"/>
        <v>8.695652174</v>
      </c>
      <c r="Q1659" s="36" t="s">
        <v>191</v>
      </c>
      <c r="R1659" s="36" t="s">
        <v>191</v>
      </c>
      <c r="S1659" s="36">
        <v>3000.0</v>
      </c>
      <c r="T1659" s="36" t="s">
        <v>328</v>
      </c>
      <c r="U1659" s="36" t="s">
        <v>342</v>
      </c>
      <c r="V1659" s="36">
        <v>1223.0</v>
      </c>
      <c r="W1659" s="36"/>
      <c r="X1659" s="38">
        <v>30.0</v>
      </c>
      <c r="Y1659" s="38" t="s">
        <v>943</v>
      </c>
      <c r="Z1659" s="38"/>
      <c r="AA1659" s="38" t="s">
        <v>199</v>
      </c>
      <c r="AB1659" s="38"/>
      <c r="AC1659" s="38"/>
      <c r="AD1659" s="39" t="s">
        <v>87</v>
      </c>
      <c r="AE1659" s="38"/>
      <c r="AF1659" s="38"/>
      <c r="AG1659" s="38"/>
      <c r="AH1659" s="38"/>
      <c r="AI1659" s="50"/>
      <c r="AJ1659" s="50"/>
      <c r="AK1659" s="41"/>
      <c r="AL1659" s="40"/>
      <c r="AM1659" s="49"/>
      <c r="AN1659" s="43"/>
      <c r="AO1659" s="42"/>
      <c r="AP1659" s="43"/>
      <c r="AQ1659" s="44" t="s">
        <v>452</v>
      </c>
      <c r="AR1659" s="44" t="str">
        <f t="shared" si="194"/>
        <v/>
      </c>
      <c r="AS1659" s="44"/>
      <c r="AT1659" s="44" t="str">
        <f t="shared" si="196"/>
        <v/>
      </c>
      <c r="AU1659" s="44" t="str">
        <f t="shared" si="197"/>
        <v/>
      </c>
      <c r="AV1659" s="38"/>
      <c r="AW1659" s="38"/>
      <c r="AX1659" s="38"/>
      <c r="AY1659" s="38"/>
      <c r="AZ1659" s="29">
        <v>1000.0</v>
      </c>
      <c r="BA1659" s="29"/>
      <c r="BB1659" s="29">
        <v>1.0</v>
      </c>
      <c r="BC1659" s="29"/>
      <c r="BD1659" s="29" t="s">
        <v>88</v>
      </c>
      <c r="BE1659" s="29"/>
      <c r="BF1659" s="29" t="s">
        <v>802</v>
      </c>
      <c r="BG1659" s="29" t="s">
        <v>572</v>
      </c>
      <c r="BH1659" s="29"/>
      <c r="BI1659" s="29"/>
      <c r="BJ1659" s="29"/>
      <c r="BK1659" s="29" t="s">
        <v>148</v>
      </c>
      <c r="BL1659" s="29" t="s">
        <v>148</v>
      </c>
      <c r="BM1659" s="45"/>
      <c r="BN1659" s="45"/>
      <c r="BO1659" s="46"/>
      <c r="BP1659" s="2"/>
      <c r="BQ1659" s="3"/>
    </row>
    <row r="1660" ht="15.75" customHeight="1">
      <c r="A1660" s="34">
        <v>1716.0</v>
      </c>
      <c r="B1660" s="34">
        <v>101595.0</v>
      </c>
      <c r="C1660" s="34" t="s">
        <v>76</v>
      </c>
      <c r="D1660" s="34" t="s">
        <v>2728</v>
      </c>
      <c r="E1660" s="34" t="s">
        <v>2729</v>
      </c>
      <c r="F1660" s="34">
        <v>2013.0</v>
      </c>
      <c r="G1660" s="34" t="s">
        <v>2730</v>
      </c>
      <c r="H1660" s="34" t="s">
        <v>282</v>
      </c>
      <c r="I1660" s="34" t="s">
        <v>2731</v>
      </c>
      <c r="J1660" s="35"/>
      <c r="K1660" s="36">
        <v>3.0</v>
      </c>
      <c r="L1660" s="36">
        <v>38.0</v>
      </c>
      <c r="M1660" s="36"/>
      <c r="N1660" s="36"/>
      <c r="O1660" s="36"/>
      <c r="P1660" s="52">
        <f t="shared" si="192"/>
        <v>7.894736842</v>
      </c>
      <c r="Q1660" s="36" t="s">
        <v>191</v>
      </c>
      <c r="R1660" s="36" t="s">
        <v>191</v>
      </c>
      <c r="S1660" s="36">
        <v>3000.0</v>
      </c>
      <c r="T1660" s="36" t="s">
        <v>328</v>
      </c>
      <c r="U1660" s="36" t="s">
        <v>342</v>
      </c>
      <c r="V1660" s="36">
        <v>147.0</v>
      </c>
      <c r="W1660" s="36"/>
      <c r="X1660" s="38">
        <v>3.0</v>
      </c>
      <c r="Y1660" s="38" t="s">
        <v>2733</v>
      </c>
      <c r="Z1660" s="38"/>
      <c r="AA1660" s="38" t="s">
        <v>2734</v>
      </c>
      <c r="AB1660" s="38"/>
      <c r="AC1660" s="38"/>
      <c r="AD1660" s="39" t="s">
        <v>87</v>
      </c>
      <c r="AE1660" s="38"/>
      <c r="AF1660" s="38"/>
      <c r="AG1660" s="38"/>
      <c r="AH1660" s="38"/>
      <c r="AI1660" s="50"/>
      <c r="AJ1660" s="50"/>
      <c r="AK1660" s="41"/>
      <c r="AL1660" s="40"/>
      <c r="AM1660" s="49"/>
      <c r="AN1660" s="43"/>
      <c r="AO1660" s="42"/>
      <c r="AP1660" s="43"/>
      <c r="AQ1660" s="44" t="s">
        <v>2753</v>
      </c>
      <c r="AR1660" s="44" t="str">
        <f t="shared" si="194"/>
        <v/>
      </c>
      <c r="AS1660" s="44"/>
      <c r="AT1660" s="44" t="str">
        <f t="shared" si="196"/>
        <v/>
      </c>
      <c r="AU1660" s="44" t="str">
        <f t="shared" si="197"/>
        <v/>
      </c>
      <c r="AV1660" s="38"/>
      <c r="AW1660" s="38"/>
      <c r="AX1660" s="38"/>
      <c r="AY1660" s="38"/>
      <c r="AZ1660" s="29">
        <v>1000.0</v>
      </c>
      <c r="BA1660" s="29"/>
      <c r="BB1660" s="29">
        <v>1.0</v>
      </c>
      <c r="BC1660" s="29"/>
      <c r="BD1660" s="29" t="s">
        <v>88</v>
      </c>
      <c r="BE1660" s="29"/>
      <c r="BF1660" s="29" t="s">
        <v>802</v>
      </c>
      <c r="BG1660" s="29" t="s">
        <v>572</v>
      </c>
      <c r="BH1660" s="29"/>
      <c r="BI1660" s="29"/>
      <c r="BJ1660" s="29"/>
      <c r="BK1660" s="29" t="s">
        <v>148</v>
      </c>
      <c r="BL1660" s="29" t="s">
        <v>148</v>
      </c>
      <c r="BM1660" s="45"/>
      <c r="BN1660" s="45"/>
      <c r="BO1660" s="46"/>
      <c r="BP1660" s="2"/>
      <c r="BQ1660" s="3"/>
    </row>
    <row r="1661" ht="15.75" customHeight="1">
      <c r="A1661" s="34">
        <v>1717.0</v>
      </c>
      <c r="B1661" s="34">
        <v>101595.0</v>
      </c>
      <c r="C1661" s="34" t="s">
        <v>76</v>
      </c>
      <c r="D1661" s="34" t="s">
        <v>2728</v>
      </c>
      <c r="E1661" s="34" t="s">
        <v>2729</v>
      </c>
      <c r="F1661" s="34">
        <v>2013.0</v>
      </c>
      <c r="G1661" s="34" t="s">
        <v>2730</v>
      </c>
      <c r="H1661" s="34" t="s">
        <v>282</v>
      </c>
      <c r="I1661" s="34" t="s">
        <v>2731</v>
      </c>
      <c r="J1661" s="35"/>
      <c r="K1661" s="36">
        <v>-4.0</v>
      </c>
      <c r="L1661" s="36">
        <v>40.0</v>
      </c>
      <c r="M1661" s="36"/>
      <c r="N1661" s="36"/>
      <c r="O1661" s="36"/>
      <c r="P1661" s="52">
        <f t="shared" si="192"/>
        <v>-10</v>
      </c>
      <c r="Q1661" s="36" t="s">
        <v>191</v>
      </c>
      <c r="R1661" s="36" t="s">
        <v>191</v>
      </c>
      <c r="S1661" s="36">
        <v>3000.0</v>
      </c>
      <c r="T1661" s="36" t="s">
        <v>328</v>
      </c>
      <c r="U1661" s="36" t="s">
        <v>342</v>
      </c>
      <c r="V1661" s="36">
        <v>442.0</v>
      </c>
      <c r="W1661" s="36"/>
      <c r="X1661" s="38">
        <v>9.0</v>
      </c>
      <c r="Y1661" s="38" t="s">
        <v>945</v>
      </c>
      <c r="Z1661" s="38"/>
      <c r="AA1661" s="38" t="s">
        <v>288</v>
      </c>
      <c r="AB1661" s="38"/>
      <c r="AC1661" s="38"/>
      <c r="AD1661" s="39" t="s">
        <v>87</v>
      </c>
      <c r="AE1661" s="38"/>
      <c r="AF1661" s="38"/>
      <c r="AG1661" s="38"/>
      <c r="AH1661" s="38"/>
      <c r="AI1661" s="50"/>
      <c r="AJ1661" s="50"/>
      <c r="AK1661" s="41"/>
      <c r="AL1661" s="40"/>
      <c r="AM1661" s="49"/>
      <c r="AN1661" s="43"/>
      <c r="AO1661" s="42"/>
      <c r="AP1661" s="43"/>
      <c r="AQ1661" s="44" t="str">
        <f>AA1661</f>
        <v>GRA</v>
      </c>
      <c r="AR1661" s="44" t="str">
        <f t="shared" si="194"/>
        <v/>
      </c>
      <c r="AS1661" s="44"/>
      <c r="AT1661" s="44" t="str">
        <f t="shared" si="196"/>
        <v/>
      </c>
      <c r="AU1661" s="44" t="str">
        <f t="shared" si="197"/>
        <v/>
      </c>
      <c r="AV1661" s="38"/>
      <c r="AW1661" s="38"/>
      <c r="AX1661" s="38"/>
      <c r="AY1661" s="38"/>
      <c r="AZ1661" s="29">
        <v>1000.0</v>
      </c>
      <c r="BA1661" s="29"/>
      <c r="BB1661" s="29">
        <v>1.0</v>
      </c>
      <c r="BC1661" s="29"/>
      <c r="BD1661" s="29" t="s">
        <v>88</v>
      </c>
      <c r="BE1661" s="29"/>
      <c r="BF1661" s="29" t="s">
        <v>802</v>
      </c>
      <c r="BG1661" s="29" t="s">
        <v>572</v>
      </c>
      <c r="BH1661" s="29"/>
      <c r="BI1661" s="29"/>
      <c r="BJ1661" s="29"/>
      <c r="BK1661" s="29" t="s">
        <v>148</v>
      </c>
      <c r="BL1661" s="29" t="s">
        <v>148</v>
      </c>
      <c r="BM1661" s="45"/>
      <c r="BN1661" s="45"/>
      <c r="BO1661" s="46"/>
      <c r="BP1661" s="2"/>
      <c r="BQ1661" s="3"/>
    </row>
    <row r="1662" ht="15.75" customHeight="1">
      <c r="A1662" s="34">
        <v>1718.0</v>
      </c>
      <c r="B1662" s="34">
        <v>101595.0</v>
      </c>
      <c r="C1662" s="34" t="s">
        <v>76</v>
      </c>
      <c r="D1662" s="34" t="s">
        <v>2728</v>
      </c>
      <c r="E1662" s="34" t="s">
        <v>2729</v>
      </c>
      <c r="F1662" s="34">
        <v>2013.0</v>
      </c>
      <c r="G1662" s="34" t="s">
        <v>2730</v>
      </c>
      <c r="H1662" s="34" t="s">
        <v>282</v>
      </c>
      <c r="I1662" s="34" t="s">
        <v>2731</v>
      </c>
      <c r="J1662" s="35"/>
      <c r="K1662" s="36">
        <v>10.0</v>
      </c>
      <c r="L1662" s="36">
        <v>47.0</v>
      </c>
      <c r="M1662" s="36"/>
      <c r="N1662" s="36"/>
      <c r="O1662" s="36"/>
      <c r="P1662" s="52">
        <f t="shared" si="192"/>
        <v>21.27659574</v>
      </c>
      <c r="Q1662" s="36" t="s">
        <v>191</v>
      </c>
      <c r="R1662" s="36" t="s">
        <v>191</v>
      </c>
      <c r="S1662" s="36">
        <v>3000.0</v>
      </c>
      <c r="T1662" s="36" t="s">
        <v>328</v>
      </c>
      <c r="U1662" s="36" t="s">
        <v>342</v>
      </c>
      <c r="V1662" s="36">
        <v>212.0</v>
      </c>
      <c r="W1662" s="36"/>
      <c r="X1662" s="38">
        <v>8.0</v>
      </c>
      <c r="Y1662" s="38" t="s">
        <v>2735</v>
      </c>
      <c r="Z1662" s="38"/>
      <c r="AA1662" s="38" t="s">
        <v>637</v>
      </c>
      <c r="AB1662" s="38"/>
      <c r="AC1662" s="38"/>
      <c r="AD1662" s="39" t="s">
        <v>87</v>
      </c>
      <c r="AE1662" s="38"/>
      <c r="AF1662" s="38"/>
      <c r="AG1662" s="38"/>
      <c r="AH1662" s="38"/>
      <c r="AI1662" s="50"/>
      <c r="AJ1662" s="50"/>
      <c r="AK1662" s="41"/>
      <c r="AL1662" s="40"/>
      <c r="AM1662" s="49"/>
      <c r="AN1662" s="43"/>
      <c r="AO1662" s="42"/>
      <c r="AP1662" s="43"/>
      <c r="AQ1662" s="44" t="s">
        <v>292</v>
      </c>
      <c r="AR1662" s="44" t="str">
        <f t="shared" si="194"/>
        <v/>
      </c>
      <c r="AS1662" s="44"/>
      <c r="AT1662" s="44" t="str">
        <f t="shared" si="196"/>
        <v/>
      </c>
      <c r="AU1662" s="44" t="str">
        <f t="shared" si="197"/>
        <v/>
      </c>
      <c r="AV1662" s="38"/>
      <c r="AW1662" s="38"/>
      <c r="AX1662" s="38"/>
      <c r="AY1662" s="38"/>
      <c r="AZ1662" s="29">
        <v>1000.0</v>
      </c>
      <c r="BA1662" s="29"/>
      <c r="BB1662" s="29">
        <v>1.0</v>
      </c>
      <c r="BC1662" s="29"/>
      <c r="BD1662" s="29" t="s">
        <v>88</v>
      </c>
      <c r="BE1662" s="29"/>
      <c r="BF1662" s="29" t="s">
        <v>802</v>
      </c>
      <c r="BG1662" s="29" t="s">
        <v>572</v>
      </c>
      <c r="BH1662" s="29"/>
      <c r="BI1662" s="29"/>
      <c r="BJ1662" s="29"/>
      <c r="BK1662" s="29" t="s">
        <v>148</v>
      </c>
      <c r="BL1662" s="29" t="s">
        <v>148</v>
      </c>
      <c r="BM1662" s="45"/>
      <c r="BN1662" s="45"/>
      <c r="BO1662" s="46"/>
      <c r="BP1662" s="2"/>
      <c r="BQ1662" s="3"/>
    </row>
    <row r="1663" ht="15.75" customHeight="1">
      <c r="A1663" s="34">
        <v>1719.0</v>
      </c>
      <c r="B1663" s="34">
        <v>101595.0</v>
      </c>
      <c r="C1663" s="34" t="s">
        <v>76</v>
      </c>
      <c r="D1663" s="34" t="s">
        <v>2728</v>
      </c>
      <c r="E1663" s="34" t="s">
        <v>2729</v>
      </c>
      <c r="F1663" s="34">
        <v>2013.0</v>
      </c>
      <c r="G1663" s="34" t="s">
        <v>2730</v>
      </c>
      <c r="H1663" s="34" t="s">
        <v>282</v>
      </c>
      <c r="I1663" s="34" t="s">
        <v>2731</v>
      </c>
      <c r="J1663" s="35"/>
      <c r="K1663" s="36">
        <v>1.0</v>
      </c>
      <c r="L1663" s="36">
        <v>55.0</v>
      </c>
      <c r="M1663" s="36"/>
      <c r="N1663" s="36"/>
      <c r="O1663" s="36"/>
      <c r="P1663" s="52">
        <f t="shared" si="192"/>
        <v>1.818181818</v>
      </c>
      <c r="Q1663" s="36" t="s">
        <v>191</v>
      </c>
      <c r="R1663" s="36" t="s">
        <v>191</v>
      </c>
      <c r="S1663" s="36">
        <v>3000.0</v>
      </c>
      <c r="T1663" s="36" t="s">
        <v>328</v>
      </c>
      <c r="U1663" s="36" t="s">
        <v>342</v>
      </c>
      <c r="V1663" s="36">
        <v>23.0</v>
      </c>
      <c r="W1663" s="36"/>
      <c r="X1663" s="38">
        <v>1.0</v>
      </c>
      <c r="Y1663" s="38" t="s">
        <v>2736</v>
      </c>
      <c r="Z1663" s="38" t="s">
        <v>2737</v>
      </c>
      <c r="AA1663" s="38" t="s">
        <v>505</v>
      </c>
      <c r="AB1663" s="38"/>
      <c r="AC1663" s="38"/>
      <c r="AD1663" s="38" t="s">
        <v>87</v>
      </c>
      <c r="AE1663" s="53"/>
      <c r="AF1663" s="38"/>
      <c r="AG1663" s="57"/>
      <c r="AH1663" s="38"/>
      <c r="AI1663" s="50">
        <v>39.9712</v>
      </c>
      <c r="AJ1663" s="50">
        <v>-74.4346</v>
      </c>
      <c r="AK1663" s="41" t="s">
        <v>505</v>
      </c>
      <c r="AL1663" s="40" t="s">
        <v>505</v>
      </c>
      <c r="AM1663" s="49">
        <v>52.0</v>
      </c>
      <c r="AN1663" s="51">
        <v>52.0</v>
      </c>
      <c r="AO1663" s="42" t="s">
        <v>201</v>
      </c>
      <c r="AP1663" s="43" t="s">
        <v>201</v>
      </c>
      <c r="AQ1663" s="44" t="str">
        <f t="shared" ref="AQ1663:AQ1681" si="198">AA1663</f>
        <v>URB</v>
      </c>
      <c r="AR1663" s="44">
        <f t="shared" si="194"/>
        <v>52</v>
      </c>
      <c r="AS1663" s="44" t="str">
        <f>LEFT(AO1663,1)</f>
        <v>C</v>
      </c>
      <c r="AT1663" s="44" t="str">
        <f t="shared" si="196"/>
        <v>Cf</v>
      </c>
      <c r="AU1663" s="44" t="str">
        <f t="shared" si="197"/>
        <v>Cfa</v>
      </c>
      <c r="AV1663" s="38"/>
      <c r="AW1663" s="38"/>
      <c r="AX1663" s="38"/>
      <c r="AY1663" s="38"/>
      <c r="AZ1663" s="29">
        <v>1000.0</v>
      </c>
      <c r="BA1663" s="29"/>
      <c r="BB1663" s="29">
        <v>1.0</v>
      </c>
      <c r="BC1663" s="29"/>
      <c r="BD1663" s="29" t="s">
        <v>88</v>
      </c>
      <c r="BE1663" s="29"/>
      <c r="BF1663" s="29" t="s">
        <v>802</v>
      </c>
      <c r="BG1663" s="29" t="s">
        <v>572</v>
      </c>
      <c r="BH1663" s="29"/>
      <c r="BI1663" s="29"/>
      <c r="BJ1663" s="29"/>
      <c r="BK1663" s="29" t="s">
        <v>148</v>
      </c>
      <c r="BL1663" s="29" t="s">
        <v>148</v>
      </c>
      <c r="BM1663" s="45"/>
      <c r="BN1663" s="45"/>
      <c r="BO1663" s="46"/>
      <c r="BP1663" s="2"/>
      <c r="BQ1663" s="3"/>
    </row>
    <row r="1664" ht="15.75" customHeight="1">
      <c r="A1664" s="34">
        <v>1720.0</v>
      </c>
      <c r="B1664" s="34">
        <v>101595.0</v>
      </c>
      <c r="C1664" s="34" t="s">
        <v>76</v>
      </c>
      <c r="D1664" s="34" t="s">
        <v>2728</v>
      </c>
      <c r="E1664" s="34" t="s">
        <v>2729</v>
      </c>
      <c r="F1664" s="34">
        <v>2013.0</v>
      </c>
      <c r="G1664" s="34" t="s">
        <v>2730</v>
      </c>
      <c r="H1664" s="34" t="s">
        <v>282</v>
      </c>
      <c r="I1664" s="34" t="s">
        <v>2731</v>
      </c>
      <c r="J1664" s="35"/>
      <c r="K1664" s="36">
        <v>10.0</v>
      </c>
      <c r="L1664" s="36">
        <v>52.0</v>
      </c>
      <c r="M1664" s="36"/>
      <c r="N1664" s="36"/>
      <c r="O1664" s="36"/>
      <c r="P1664" s="52">
        <f t="shared" si="192"/>
        <v>19.23076923</v>
      </c>
      <c r="Q1664" s="36" t="s">
        <v>191</v>
      </c>
      <c r="R1664" s="36" t="s">
        <v>191</v>
      </c>
      <c r="S1664" s="36">
        <v>3000.0</v>
      </c>
      <c r="T1664" s="36" t="s">
        <v>328</v>
      </c>
      <c r="U1664" s="36" t="s">
        <v>342</v>
      </c>
      <c r="V1664" s="36">
        <v>647.0</v>
      </c>
      <c r="W1664" s="36"/>
      <c r="X1664" s="38">
        <v>13.0</v>
      </c>
      <c r="Y1664" s="38" t="s">
        <v>2738</v>
      </c>
      <c r="Z1664" s="38"/>
      <c r="AA1664" s="38"/>
      <c r="AB1664" s="38"/>
      <c r="AC1664" s="38"/>
      <c r="AD1664" s="38" t="s">
        <v>87</v>
      </c>
      <c r="AE1664" s="38" t="s">
        <v>2739</v>
      </c>
      <c r="AF1664" s="38"/>
      <c r="AG1664" s="38"/>
      <c r="AH1664" s="38"/>
      <c r="AI1664" s="50"/>
      <c r="AJ1664" s="50"/>
      <c r="AK1664" s="41"/>
      <c r="AL1664" s="40"/>
      <c r="AM1664" s="49"/>
      <c r="AN1664" s="43"/>
      <c r="AO1664" s="42"/>
      <c r="AP1664" s="43"/>
      <c r="AQ1664" s="44" t="str">
        <f t="shared" si="198"/>
        <v/>
      </c>
      <c r="AR1664" s="38"/>
      <c r="AS1664" s="44"/>
      <c r="AT1664" s="44" t="str">
        <f t="shared" si="196"/>
        <v/>
      </c>
      <c r="AU1664" s="44" t="str">
        <f t="shared" si="197"/>
        <v/>
      </c>
      <c r="AV1664" s="38"/>
      <c r="AW1664" s="38"/>
      <c r="AX1664" s="38"/>
      <c r="AY1664" s="38"/>
      <c r="AZ1664" s="29">
        <v>1000.0</v>
      </c>
      <c r="BA1664" s="29"/>
      <c r="BB1664" s="29">
        <v>1.0</v>
      </c>
      <c r="BC1664" s="29"/>
      <c r="BD1664" s="29" t="s">
        <v>88</v>
      </c>
      <c r="BE1664" s="29"/>
      <c r="BF1664" s="29" t="s">
        <v>802</v>
      </c>
      <c r="BG1664" s="29" t="s">
        <v>572</v>
      </c>
      <c r="BH1664" s="29"/>
      <c r="BI1664" s="29"/>
      <c r="BJ1664" s="29"/>
      <c r="BK1664" s="29" t="s">
        <v>148</v>
      </c>
      <c r="BL1664" s="29" t="s">
        <v>148</v>
      </c>
      <c r="BM1664" s="45"/>
      <c r="BN1664" s="45"/>
      <c r="BO1664" s="46"/>
      <c r="BP1664" s="2"/>
      <c r="BQ1664" s="3"/>
    </row>
    <row r="1665" ht="15.75" customHeight="1">
      <c r="A1665" s="34">
        <v>1721.0</v>
      </c>
      <c r="B1665" s="34">
        <v>101595.0</v>
      </c>
      <c r="C1665" s="34" t="s">
        <v>76</v>
      </c>
      <c r="D1665" s="34" t="s">
        <v>2728</v>
      </c>
      <c r="E1665" s="34" t="s">
        <v>2729</v>
      </c>
      <c r="F1665" s="34">
        <v>2013.0</v>
      </c>
      <c r="G1665" s="34" t="s">
        <v>2730</v>
      </c>
      <c r="H1665" s="34" t="s">
        <v>282</v>
      </c>
      <c r="I1665" s="34" t="s">
        <v>2731</v>
      </c>
      <c r="J1665" s="35"/>
      <c r="K1665" s="36">
        <v>-2.0</v>
      </c>
      <c r="L1665" s="36">
        <v>44.0</v>
      </c>
      <c r="M1665" s="36"/>
      <c r="N1665" s="36"/>
      <c r="O1665" s="36"/>
      <c r="P1665" s="52">
        <f t="shared" si="192"/>
        <v>-4.545454545</v>
      </c>
      <c r="Q1665" s="36" t="s">
        <v>191</v>
      </c>
      <c r="R1665" s="36" t="s">
        <v>191</v>
      </c>
      <c r="S1665" s="36">
        <v>3000.0</v>
      </c>
      <c r="T1665" s="36" t="s">
        <v>328</v>
      </c>
      <c r="U1665" s="36" t="s">
        <v>342</v>
      </c>
      <c r="V1665" s="36">
        <v>1066.0</v>
      </c>
      <c r="W1665" s="36"/>
      <c r="X1665" s="38">
        <v>29.0</v>
      </c>
      <c r="Y1665" s="38" t="s">
        <v>2740</v>
      </c>
      <c r="Z1665" s="38"/>
      <c r="AA1665" s="38"/>
      <c r="AB1665" s="38"/>
      <c r="AC1665" s="38"/>
      <c r="AD1665" s="38" t="s">
        <v>87</v>
      </c>
      <c r="AE1665" s="38" t="s">
        <v>2741</v>
      </c>
      <c r="AF1665" s="38"/>
      <c r="AG1665" s="38"/>
      <c r="AH1665" s="38"/>
      <c r="AI1665" s="50"/>
      <c r="AJ1665" s="50"/>
      <c r="AK1665" s="41"/>
      <c r="AL1665" s="40"/>
      <c r="AM1665" s="49"/>
      <c r="AN1665" s="43"/>
      <c r="AO1665" s="42"/>
      <c r="AP1665" s="43"/>
      <c r="AQ1665" s="44" t="str">
        <f t="shared" si="198"/>
        <v/>
      </c>
      <c r="AR1665" s="38"/>
      <c r="AS1665" s="44"/>
      <c r="AT1665" s="44" t="str">
        <f t="shared" si="196"/>
        <v/>
      </c>
      <c r="AU1665" s="44" t="str">
        <f t="shared" si="197"/>
        <v/>
      </c>
      <c r="AV1665" s="38"/>
      <c r="AW1665" s="38"/>
      <c r="AX1665" s="38"/>
      <c r="AY1665" s="38"/>
      <c r="AZ1665" s="29">
        <v>1000.0</v>
      </c>
      <c r="BA1665" s="29"/>
      <c r="BB1665" s="29">
        <v>1.0</v>
      </c>
      <c r="BC1665" s="29"/>
      <c r="BD1665" s="29" t="s">
        <v>88</v>
      </c>
      <c r="BE1665" s="29"/>
      <c r="BF1665" s="29" t="s">
        <v>802</v>
      </c>
      <c r="BG1665" s="29" t="s">
        <v>572</v>
      </c>
      <c r="BH1665" s="29"/>
      <c r="BI1665" s="29"/>
      <c r="BJ1665" s="29"/>
      <c r="BK1665" s="29" t="s">
        <v>148</v>
      </c>
      <c r="BL1665" s="29" t="s">
        <v>148</v>
      </c>
      <c r="BM1665" s="45"/>
      <c r="BN1665" s="45"/>
      <c r="BO1665" s="46"/>
      <c r="BP1665" s="2"/>
      <c r="BQ1665" s="3"/>
    </row>
    <row r="1666" ht="15.75" customHeight="1">
      <c r="A1666" s="34">
        <v>1722.0</v>
      </c>
      <c r="B1666" s="34">
        <v>101595.0</v>
      </c>
      <c r="C1666" s="34" t="s">
        <v>76</v>
      </c>
      <c r="D1666" s="34" t="s">
        <v>2728</v>
      </c>
      <c r="E1666" s="34" t="s">
        <v>2729</v>
      </c>
      <c r="F1666" s="34">
        <v>2013.0</v>
      </c>
      <c r="G1666" s="34" t="s">
        <v>2730</v>
      </c>
      <c r="H1666" s="34" t="s">
        <v>282</v>
      </c>
      <c r="I1666" s="34" t="s">
        <v>2731</v>
      </c>
      <c r="J1666" s="35"/>
      <c r="K1666" s="36">
        <v>-2.0</v>
      </c>
      <c r="L1666" s="36">
        <v>36.0</v>
      </c>
      <c r="M1666" s="36"/>
      <c r="N1666" s="36"/>
      <c r="O1666" s="36"/>
      <c r="P1666" s="52">
        <f t="shared" si="192"/>
        <v>-5.555555556</v>
      </c>
      <c r="Q1666" s="36" t="s">
        <v>191</v>
      </c>
      <c r="R1666" s="36" t="s">
        <v>191</v>
      </c>
      <c r="S1666" s="36">
        <v>3000.0</v>
      </c>
      <c r="T1666" s="36" t="s">
        <v>328</v>
      </c>
      <c r="U1666" s="36" t="s">
        <v>342</v>
      </c>
      <c r="V1666" s="36">
        <v>556.0</v>
      </c>
      <c r="W1666" s="36"/>
      <c r="X1666" s="38">
        <v>13.0</v>
      </c>
      <c r="Y1666" s="38" t="s">
        <v>955</v>
      </c>
      <c r="Z1666" s="38"/>
      <c r="AA1666" s="38"/>
      <c r="AB1666" s="38"/>
      <c r="AC1666" s="38"/>
      <c r="AD1666" s="38" t="s">
        <v>87</v>
      </c>
      <c r="AE1666" s="38" t="s">
        <v>956</v>
      </c>
      <c r="AF1666" s="38"/>
      <c r="AG1666" s="38"/>
      <c r="AH1666" s="38"/>
      <c r="AI1666" s="50"/>
      <c r="AJ1666" s="50"/>
      <c r="AK1666" s="41"/>
      <c r="AL1666" s="40"/>
      <c r="AM1666" s="49"/>
      <c r="AN1666" s="43"/>
      <c r="AO1666" s="42"/>
      <c r="AP1666" s="43"/>
      <c r="AQ1666" s="44" t="str">
        <f t="shared" si="198"/>
        <v/>
      </c>
      <c r="AR1666" s="38"/>
      <c r="AS1666" s="44"/>
      <c r="AT1666" s="44" t="str">
        <f t="shared" si="196"/>
        <v/>
      </c>
      <c r="AU1666" s="44" t="str">
        <f t="shared" si="197"/>
        <v/>
      </c>
      <c r="AV1666" s="38"/>
      <c r="AW1666" s="38"/>
      <c r="AX1666" s="38"/>
      <c r="AY1666" s="38"/>
      <c r="AZ1666" s="29">
        <v>1000.0</v>
      </c>
      <c r="BA1666" s="29"/>
      <c r="BB1666" s="29">
        <v>1.0</v>
      </c>
      <c r="BC1666" s="29"/>
      <c r="BD1666" s="29" t="s">
        <v>88</v>
      </c>
      <c r="BE1666" s="29"/>
      <c r="BF1666" s="29" t="s">
        <v>802</v>
      </c>
      <c r="BG1666" s="29" t="s">
        <v>572</v>
      </c>
      <c r="BH1666" s="29"/>
      <c r="BI1666" s="29"/>
      <c r="BJ1666" s="29"/>
      <c r="BK1666" s="29" t="s">
        <v>148</v>
      </c>
      <c r="BL1666" s="29" t="s">
        <v>148</v>
      </c>
      <c r="BM1666" s="45"/>
      <c r="BN1666" s="45"/>
      <c r="BO1666" s="46"/>
      <c r="BP1666" s="2"/>
      <c r="BQ1666" s="3"/>
    </row>
    <row r="1667" ht="15.75" customHeight="1">
      <c r="A1667" s="34">
        <v>1723.0</v>
      </c>
      <c r="B1667" s="34">
        <v>101595.0</v>
      </c>
      <c r="C1667" s="34" t="s">
        <v>76</v>
      </c>
      <c r="D1667" s="34" t="s">
        <v>2728</v>
      </c>
      <c r="E1667" s="34" t="s">
        <v>2729</v>
      </c>
      <c r="F1667" s="34">
        <v>2013.0</v>
      </c>
      <c r="G1667" s="34" t="s">
        <v>2730</v>
      </c>
      <c r="H1667" s="34" t="s">
        <v>282</v>
      </c>
      <c r="I1667" s="34" t="s">
        <v>2731</v>
      </c>
      <c r="J1667" s="35"/>
      <c r="K1667" s="36">
        <v>6.0</v>
      </c>
      <c r="L1667" s="36">
        <v>37.0</v>
      </c>
      <c r="M1667" s="36"/>
      <c r="N1667" s="36"/>
      <c r="O1667" s="36"/>
      <c r="P1667" s="52">
        <f t="shared" si="192"/>
        <v>16.21621622</v>
      </c>
      <c r="Q1667" s="36" t="s">
        <v>191</v>
      </c>
      <c r="R1667" s="36" t="s">
        <v>191</v>
      </c>
      <c r="S1667" s="36">
        <v>3000.0</v>
      </c>
      <c r="T1667" s="36" t="s">
        <v>328</v>
      </c>
      <c r="U1667" s="36" t="s">
        <v>342</v>
      </c>
      <c r="V1667" s="36">
        <v>201.0</v>
      </c>
      <c r="W1667" s="36"/>
      <c r="X1667" s="38">
        <v>5.0</v>
      </c>
      <c r="Y1667" s="38" t="s">
        <v>957</v>
      </c>
      <c r="Z1667" s="38"/>
      <c r="AA1667" s="38"/>
      <c r="AB1667" s="38"/>
      <c r="AC1667" s="38"/>
      <c r="AD1667" s="38" t="s">
        <v>87</v>
      </c>
      <c r="AE1667" s="38" t="s">
        <v>958</v>
      </c>
      <c r="AF1667" s="38"/>
      <c r="AG1667" s="38"/>
      <c r="AH1667" s="38"/>
      <c r="AI1667" s="50"/>
      <c r="AJ1667" s="50"/>
      <c r="AK1667" s="41"/>
      <c r="AL1667" s="40"/>
      <c r="AM1667" s="49"/>
      <c r="AN1667" s="43"/>
      <c r="AO1667" s="42"/>
      <c r="AP1667" s="43"/>
      <c r="AQ1667" s="44" t="str">
        <f t="shared" si="198"/>
        <v/>
      </c>
      <c r="AR1667" s="38"/>
      <c r="AS1667" s="44"/>
      <c r="AT1667" s="44" t="str">
        <f t="shared" si="196"/>
        <v/>
      </c>
      <c r="AU1667" s="44" t="str">
        <f t="shared" si="197"/>
        <v/>
      </c>
      <c r="AV1667" s="38"/>
      <c r="AW1667" s="38"/>
      <c r="AX1667" s="38"/>
      <c r="AY1667" s="38"/>
      <c r="AZ1667" s="29">
        <v>1000.0</v>
      </c>
      <c r="BA1667" s="29"/>
      <c r="BB1667" s="29">
        <v>1.0</v>
      </c>
      <c r="BC1667" s="29"/>
      <c r="BD1667" s="29" t="s">
        <v>88</v>
      </c>
      <c r="BE1667" s="29"/>
      <c r="BF1667" s="29" t="s">
        <v>802</v>
      </c>
      <c r="BG1667" s="29" t="s">
        <v>572</v>
      </c>
      <c r="BH1667" s="29"/>
      <c r="BI1667" s="29"/>
      <c r="BJ1667" s="29"/>
      <c r="BK1667" s="29" t="s">
        <v>148</v>
      </c>
      <c r="BL1667" s="29" t="s">
        <v>148</v>
      </c>
      <c r="BM1667" s="45"/>
      <c r="BN1667" s="45"/>
      <c r="BO1667" s="46"/>
      <c r="BP1667" s="2"/>
      <c r="BQ1667" s="3"/>
    </row>
    <row r="1668" ht="15.75" customHeight="1">
      <c r="A1668" s="34">
        <v>1724.0</v>
      </c>
      <c r="B1668" s="34">
        <v>101595.0</v>
      </c>
      <c r="C1668" s="34" t="s">
        <v>76</v>
      </c>
      <c r="D1668" s="34" t="s">
        <v>2728</v>
      </c>
      <c r="E1668" s="34" t="s">
        <v>2729</v>
      </c>
      <c r="F1668" s="34">
        <v>2013.0</v>
      </c>
      <c r="G1668" s="34" t="s">
        <v>2730</v>
      </c>
      <c r="H1668" s="34" t="s">
        <v>282</v>
      </c>
      <c r="I1668" s="34" t="s">
        <v>2731</v>
      </c>
      <c r="J1668" s="35"/>
      <c r="K1668" s="36">
        <v>-3.0</v>
      </c>
      <c r="L1668" s="36">
        <v>35.0</v>
      </c>
      <c r="M1668" s="36"/>
      <c r="N1668" s="36"/>
      <c r="O1668" s="36"/>
      <c r="P1668" s="52">
        <f t="shared" si="192"/>
        <v>-8.571428571</v>
      </c>
      <c r="Q1668" s="36" t="s">
        <v>191</v>
      </c>
      <c r="R1668" s="36" t="s">
        <v>191</v>
      </c>
      <c r="S1668" s="36">
        <v>3000.0</v>
      </c>
      <c r="T1668" s="36" t="s">
        <v>328</v>
      </c>
      <c r="U1668" s="36" t="s">
        <v>342</v>
      </c>
      <c r="V1668" s="36">
        <v>200.0</v>
      </c>
      <c r="W1668" s="36"/>
      <c r="X1668" s="38" t="s">
        <v>630</v>
      </c>
      <c r="Y1668" s="38" t="s">
        <v>2742</v>
      </c>
      <c r="Z1668" s="38"/>
      <c r="AA1668" s="38"/>
      <c r="AB1668" s="38"/>
      <c r="AC1668" s="38"/>
      <c r="AD1668" s="39" t="s">
        <v>87</v>
      </c>
      <c r="AE1668" s="38"/>
      <c r="AF1668" s="38"/>
      <c r="AG1668" s="38" t="s">
        <v>293</v>
      </c>
      <c r="AH1668" s="38"/>
      <c r="AI1668" s="50"/>
      <c r="AJ1668" s="50"/>
      <c r="AK1668" s="41"/>
      <c r="AL1668" s="40"/>
      <c r="AM1668" s="49"/>
      <c r="AN1668" s="43"/>
      <c r="AO1668" s="42"/>
      <c r="AP1668" s="43"/>
      <c r="AQ1668" s="44" t="str">
        <f t="shared" si="198"/>
        <v/>
      </c>
      <c r="AR1668" s="44" t="str">
        <f t="shared" ref="AR1668:AR2073" si="199">AM1668</f>
        <v/>
      </c>
      <c r="AS1668" s="44" t="s">
        <v>2743</v>
      </c>
      <c r="AT1668" s="44" t="s">
        <v>1863</v>
      </c>
      <c r="AU1668" s="44" t="str">
        <f t="shared" ref="AU1668:AU1672" si="200">AG1668</f>
        <v>BSk</v>
      </c>
      <c r="AV1668" s="38"/>
      <c r="AW1668" s="38"/>
      <c r="AX1668" s="38"/>
      <c r="AY1668" s="38"/>
      <c r="AZ1668" s="29">
        <v>1000.0</v>
      </c>
      <c r="BA1668" s="29"/>
      <c r="BB1668" s="29">
        <v>1.0</v>
      </c>
      <c r="BC1668" s="29"/>
      <c r="BD1668" s="29" t="s">
        <v>88</v>
      </c>
      <c r="BE1668" s="29"/>
      <c r="BF1668" s="29" t="s">
        <v>802</v>
      </c>
      <c r="BG1668" s="29" t="s">
        <v>572</v>
      </c>
      <c r="BH1668" s="29"/>
      <c r="BI1668" s="29"/>
      <c r="BJ1668" s="29"/>
      <c r="BK1668" s="29" t="s">
        <v>148</v>
      </c>
      <c r="BL1668" s="29" t="s">
        <v>148</v>
      </c>
      <c r="BM1668" s="45"/>
      <c r="BN1668" s="45"/>
      <c r="BO1668" s="46"/>
      <c r="BP1668" s="2"/>
      <c r="BQ1668" s="3"/>
    </row>
    <row r="1669" ht="15.75" customHeight="1">
      <c r="A1669" s="34">
        <v>1725.0</v>
      </c>
      <c r="B1669" s="34">
        <v>101595.0</v>
      </c>
      <c r="C1669" s="34" t="s">
        <v>76</v>
      </c>
      <c r="D1669" s="34" t="s">
        <v>2728</v>
      </c>
      <c r="E1669" s="34" t="s">
        <v>2729</v>
      </c>
      <c r="F1669" s="34">
        <v>2013.0</v>
      </c>
      <c r="G1669" s="34" t="s">
        <v>2730</v>
      </c>
      <c r="H1669" s="34" t="s">
        <v>282</v>
      </c>
      <c r="I1669" s="34" t="s">
        <v>2731</v>
      </c>
      <c r="J1669" s="35"/>
      <c r="K1669" s="36">
        <v>7.0</v>
      </c>
      <c r="L1669" s="36">
        <v>59.0</v>
      </c>
      <c r="M1669" s="36"/>
      <c r="N1669" s="36"/>
      <c r="O1669" s="36"/>
      <c r="P1669" s="52">
        <f t="shared" si="192"/>
        <v>11.86440678</v>
      </c>
      <c r="Q1669" s="36" t="s">
        <v>191</v>
      </c>
      <c r="R1669" s="36" t="s">
        <v>191</v>
      </c>
      <c r="S1669" s="36">
        <v>3000.0</v>
      </c>
      <c r="T1669" s="36" t="s">
        <v>328</v>
      </c>
      <c r="U1669" s="36" t="s">
        <v>342</v>
      </c>
      <c r="V1669" s="36">
        <v>635.0</v>
      </c>
      <c r="W1669" s="36"/>
      <c r="X1669" s="38" t="s">
        <v>630</v>
      </c>
      <c r="Y1669" s="38" t="s">
        <v>2744</v>
      </c>
      <c r="Z1669" s="38"/>
      <c r="AA1669" s="38"/>
      <c r="AB1669" s="38"/>
      <c r="AC1669" s="38"/>
      <c r="AD1669" s="39" t="s">
        <v>87</v>
      </c>
      <c r="AE1669" s="38"/>
      <c r="AF1669" s="38"/>
      <c r="AG1669" s="38" t="s">
        <v>201</v>
      </c>
      <c r="AH1669" s="38"/>
      <c r="AI1669" s="50"/>
      <c r="AJ1669" s="50"/>
      <c r="AK1669" s="41"/>
      <c r="AL1669" s="40"/>
      <c r="AM1669" s="49"/>
      <c r="AN1669" s="43"/>
      <c r="AO1669" s="42"/>
      <c r="AP1669" s="43"/>
      <c r="AQ1669" s="44" t="str">
        <f t="shared" si="198"/>
        <v/>
      </c>
      <c r="AR1669" s="44" t="str">
        <f t="shared" si="199"/>
        <v/>
      </c>
      <c r="AS1669" s="44" t="s">
        <v>2745</v>
      </c>
      <c r="AT1669" s="44" t="s">
        <v>1797</v>
      </c>
      <c r="AU1669" s="44" t="str">
        <f t="shared" si="200"/>
        <v>Cfa</v>
      </c>
      <c r="AV1669" s="38"/>
      <c r="AW1669" s="38"/>
      <c r="AX1669" s="38"/>
      <c r="AY1669" s="38"/>
      <c r="AZ1669" s="29">
        <v>1000.0</v>
      </c>
      <c r="BA1669" s="29"/>
      <c r="BB1669" s="29">
        <v>1.0</v>
      </c>
      <c r="BC1669" s="29"/>
      <c r="BD1669" s="29" t="s">
        <v>88</v>
      </c>
      <c r="BE1669" s="29"/>
      <c r="BF1669" s="29" t="s">
        <v>802</v>
      </c>
      <c r="BG1669" s="29" t="s">
        <v>572</v>
      </c>
      <c r="BH1669" s="29"/>
      <c r="BI1669" s="29"/>
      <c r="BJ1669" s="29"/>
      <c r="BK1669" s="29" t="s">
        <v>148</v>
      </c>
      <c r="BL1669" s="29" t="s">
        <v>148</v>
      </c>
      <c r="BM1669" s="45"/>
      <c r="BN1669" s="45"/>
      <c r="BO1669" s="46"/>
      <c r="BP1669" s="2"/>
      <c r="BQ1669" s="3"/>
    </row>
    <row r="1670" ht="15.75" customHeight="1">
      <c r="A1670" s="34">
        <v>1726.0</v>
      </c>
      <c r="B1670" s="34">
        <v>101595.0</v>
      </c>
      <c r="C1670" s="34" t="s">
        <v>76</v>
      </c>
      <c r="D1670" s="34" t="s">
        <v>2728</v>
      </c>
      <c r="E1670" s="34" t="s">
        <v>2729</v>
      </c>
      <c r="F1670" s="34">
        <v>2013.0</v>
      </c>
      <c r="G1670" s="34" t="s">
        <v>2730</v>
      </c>
      <c r="H1670" s="34" t="s">
        <v>282</v>
      </c>
      <c r="I1670" s="34" t="s">
        <v>2731</v>
      </c>
      <c r="J1670" s="35"/>
      <c r="K1670" s="36">
        <v>6.0</v>
      </c>
      <c r="L1670" s="36">
        <v>38.0</v>
      </c>
      <c r="M1670" s="36"/>
      <c r="N1670" s="36"/>
      <c r="O1670" s="36"/>
      <c r="P1670" s="52">
        <f t="shared" si="192"/>
        <v>15.78947368</v>
      </c>
      <c r="Q1670" s="36" t="s">
        <v>191</v>
      </c>
      <c r="R1670" s="36" t="s">
        <v>191</v>
      </c>
      <c r="S1670" s="36">
        <v>3000.0</v>
      </c>
      <c r="T1670" s="36" t="s">
        <v>328</v>
      </c>
      <c r="U1670" s="36" t="s">
        <v>342</v>
      </c>
      <c r="V1670" s="36">
        <v>269.0</v>
      </c>
      <c r="W1670" s="36"/>
      <c r="X1670" s="38" t="s">
        <v>630</v>
      </c>
      <c r="Y1670" s="38" t="s">
        <v>2746</v>
      </c>
      <c r="Z1670" s="38"/>
      <c r="AA1670" s="38"/>
      <c r="AB1670" s="38"/>
      <c r="AC1670" s="38"/>
      <c r="AD1670" s="39" t="s">
        <v>87</v>
      </c>
      <c r="AE1670" s="38"/>
      <c r="AF1670" s="38"/>
      <c r="AG1670" s="38" t="s">
        <v>175</v>
      </c>
      <c r="AH1670" s="38"/>
      <c r="AI1670" s="50"/>
      <c r="AJ1670" s="50"/>
      <c r="AK1670" s="41"/>
      <c r="AL1670" s="40"/>
      <c r="AM1670" s="49"/>
      <c r="AN1670" s="43"/>
      <c r="AO1670" s="42"/>
      <c r="AP1670" s="43"/>
      <c r="AQ1670" s="44" t="str">
        <f t="shared" si="198"/>
        <v/>
      </c>
      <c r="AR1670" s="44" t="str">
        <f t="shared" si="199"/>
        <v/>
      </c>
      <c r="AS1670" s="44" t="s">
        <v>2745</v>
      </c>
      <c r="AT1670" s="44" t="s">
        <v>1949</v>
      </c>
      <c r="AU1670" s="44" t="str">
        <f t="shared" si="200"/>
        <v>Csa</v>
      </c>
      <c r="AV1670" s="38"/>
      <c r="AW1670" s="38"/>
      <c r="AX1670" s="38"/>
      <c r="AY1670" s="38"/>
      <c r="AZ1670" s="29">
        <v>1000.0</v>
      </c>
      <c r="BA1670" s="29"/>
      <c r="BB1670" s="29">
        <v>1.0</v>
      </c>
      <c r="BC1670" s="29"/>
      <c r="BD1670" s="29" t="s">
        <v>88</v>
      </c>
      <c r="BE1670" s="29"/>
      <c r="BF1670" s="29" t="s">
        <v>802</v>
      </c>
      <c r="BG1670" s="29" t="s">
        <v>572</v>
      </c>
      <c r="BH1670" s="29"/>
      <c r="BI1670" s="29"/>
      <c r="BJ1670" s="29"/>
      <c r="BK1670" s="29" t="s">
        <v>148</v>
      </c>
      <c r="BL1670" s="29" t="s">
        <v>148</v>
      </c>
      <c r="BM1670" s="45"/>
      <c r="BN1670" s="45"/>
      <c r="BO1670" s="46"/>
      <c r="BP1670" s="2"/>
      <c r="BQ1670" s="3"/>
    </row>
    <row r="1671" ht="15.75" customHeight="1">
      <c r="A1671" s="34">
        <v>1727.0</v>
      </c>
      <c r="B1671" s="34">
        <v>101595.0</v>
      </c>
      <c r="C1671" s="34" t="s">
        <v>76</v>
      </c>
      <c r="D1671" s="34" t="s">
        <v>2728</v>
      </c>
      <c r="E1671" s="34" t="s">
        <v>2729</v>
      </c>
      <c r="F1671" s="34">
        <v>2013.0</v>
      </c>
      <c r="G1671" s="34" t="s">
        <v>2730</v>
      </c>
      <c r="H1671" s="34" t="s">
        <v>282</v>
      </c>
      <c r="I1671" s="34" t="s">
        <v>2731</v>
      </c>
      <c r="J1671" s="35"/>
      <c r="K1671" s="36">
        <v>0.0</v>
      </c>
      <c r="L1671" s="36">
        <v>38.0</v>
      </c>
      <c r="M1671" s="36"/>
      <c r="N1671" s="36"/>
      <c r="O1671" s="36"/>
      <c r="P1671" s="52">
        <f t="shared" si="192"/>
        <v>0</v>
      </c>
      <c r="Q1671" s="36" t="s">
        <v>191</v>
      </c>
      <c r="R1671" s="36" t="s">
        <v>191</v>
      </c>
      <c r="S1671" s="36">
        <v>3000.0</v>
      </c>
      <c r="T1671" s="36" t="s">
        <v>328</v>
      </c>
      <c r="U1671" s="36" t="s">
        <v>342</v>
      </c>
      <c r="V1671" s="36">
        <v>234.0</v>
      </c>
      <c r="W1671" s="36"/>
      <c r="X1671" s="38" t="s">
        <v>630</v>
      </c>
      <c r="Y1671" s="38" t="s">
        <v>2747</v>
      </c>
      <c r="Z1671" s="38"/>
      <c r="AA1671" s="38"/>
      <c r="AB1671" s="38"/>
      <c r="AC1671" s="38"/>
      <c r="AD1671" s="39" t="s">
        <v>87</v>
      </c>
      <c r="AE1671" s="38"/>
      <c r="AF1671" s="38"/>
      <c r="AG1671" s="38" t="s">
        <v>445</v>
      </c>
      <c r="AH1671" s="38"/>
      <c r="AI1671" s="50"/>
      <c r="AJ1671" s="50"/>
      <c r="AK1671" s="41"/>
      <c r="AL1671" s="40"/>
      <c r="AM1671" s="49"/>
      <c r="AN1671" s="43"/>
      <c r="AO1671" s="42"/>
      <c r="AP1671" s="43"/>
      <c r="AQ1671" s="44" t="str">
        <f t="shared" si="198"/>
        <v/>
      </c>
      <c r="AR1671" s="44" t="str">
        <f t="shared" si="199"/>
        <v/>
      </c>
      <c r="AS1671" s="44" t="s">
        <v>2745</v>
      </c>
      <c r="AT1671" s="44" t="s">
        <v>1949</v>
      </c>
      <c r="AU1671" s="44" t="str">
        <f t="shared" si="200"/>
        <v>Csb</v>
      </c>
      <c r="AV1671" s="38"/>
      <c r="AW1671" s="38"/>
      <c r="AX1671" s="38"/>
      <c r="AY1671" s="38"/>
      <c r="AZ1671" s="29">
        <v>1000.0</v>
      </c>
      <c r="BA1671" s="29"/>
      <c r="BB1671" s="29">
        <v>1.0</v>
      </c>
      <c r="BC1671" s="29"/>
      <c r="BD1671" s="29" t="s">
        <v>88</v>
      </c>
      <c r="BE1671" s="29"/>
      <c r="BF1671" s="29" t="s">
        <v>802</v>
      </c>
      <c r="BG1671" s="29" t="s">
        <v>572</v>
      </c>
      <c r="BH1671" s="29"/>
      <c r="BI1671" s="29"/>
      <c r="BJ1671" s="29"/>
      <c r="BK1671" s="29" t="s">
        <v>148</v>
      </c>
      <c r="BL1671" s="29" t="s">
        <v>148</v>
      </c>
      <c r="BM1671" s="45"/>
      <c r="BN1671" s="45"/>
      <c r="BO1671" s="46"/>
      <c r="BP1671" s="2"/>
      <c r="BQ1671" s="3"/>
    </row>
    <row r="1672" ht="15.75" customHeight="1">
      <c r="A1672" s="34">
        <v>1728.0</v>
      </c>
      <c r="B1672" s="34">
        <v>101595.0</v>
      </c>
      <c r="C1672" s="34" t="s">
        <v>76</v>
      </c>
      <c r="D1672" s="34" t="s">
        <v>2728</v>
      </c>
      <c r="E1672" s="34" t="s">
        <v>2729</v>
      </c>
      <c r="F1672" s="34">
        <v>2013.0</v>
      </c>
      <c r="G1672" s="34" t="s">
        <v>2730</v>
      </c>
      <c r="H1672" s="34" t="s">
        <v>282</v>
      </c>
      <c r="I1672" s="34" t="s">
        <v>2731</v>
      </c>
      <c r="J1672" s="35"/>
      <c r="K1672" s="36">
        <v>-15.0</v>
      </c>
      <c r="L1672" s="36">
        <v>51.0</v>
      </c>
      <c r="M1672" s="36"/>
      <c r="N1672" s="36"/>
      <c r="O1672" s="36"/>
      <c r="P1672" s="52">
        <f t="shared" si="192"/>
        <v>-29.41176471</v>
      </c>
      <c r="Q1672" s="36" t="s">
        <v>191</v>
      </c>
      <c r="R1672" s="36" t="s">
        <v>191</v>
      </c>
      <c r="S1672" s="36">
        <v>3000.0</v>
      </c>
      <c r="T1672" s="36" t="s">
        <v>328</v>
      </c>
      <c r="U1672" s="36" t="s">
        <v>342</v>
      </c>
      <c r="V1672" s="36">
        <v>337.0</v>
      </c>
      <c r="W1672" s="36"/>
      <c r="X1672" s="38" t="s">
        <v>630</v>
      </c>
      <c r="Y1672" s="38" t="s">
        <v>2748</v>
      </c>
      <c r="Z1672" s="38"/>
      <c r="AA1672" s="38"/>
      <c r="AB1672" s="38"/>
      <c r="AC1672" s="38"/>
      <c r="AD1672" s="39" t="s">
        <v>87</v>
      </c>
      <c r="AE1672" s="38"/>
      <c r="AF1672" s="38"/>
      <c r="AG1672" s="38" t="s">
        <v>108</v>
      </c>
      <c r="AH1672" s="38"/>
      <c r="AI1672" s="50"/>
      <c r="AJ1672" s="50"/>
      <c r="AK1672" s="41"/>
      <c r="AL1672" s="40"/>
      <c r="AM1672" s="49"/>
      <c r="AN1672" s="43"/>
      <c r="AO1672" s="42"/>
      <c r="AP1672" s="43"/>
      <c r="AQ1672" s="44" t="str">
        <f t="shared" si="198"/>
        <v/>
      </c>
      <c r="AR1672" s="44" t="str">
        <f t="shared" si="199"/>
        <v/>
      </c>
      <c r="AS1672" s="44" t="s">
        <v>109</v>
      </c>
      <c r="AT1672" s="44" t="s">
        <v>1942</v>
      </c>
      <c r="AU1672" s="44" t="str">
        <f t="shared" si="200"/>
        <v>Dfa</v>
      </c>
      <c r="AV1672" s="38"/>
      <c r="AW1672" s="38"/>
      <c r="AX1672" s="38"/>
      <c r="AY1672" s="38"/>
      <c r="AZ1672" s="29">
        <v>1000.0</v>
      </c>
      <c r="BA1672" s="29"/>
      <c r="BB1672" s="29">
        <v>1.0</v>
      </c>
      <c r="BC1672" s="29"/>
      <c r="BD1672" s="29" t="s">
        <v>88</v>
      </c>
      <c r="BE1672" s="29"/>
      <c r="BF1672" s="29" t="s">
        <v>802</v>
      </c>
      <c r="BG1672" s="29" t="s">
        <v>572</v>
      </c>
      <c r="BH1672" s="29"/>
      <c r="BI1672" s="29"/>
      <c r="BJ1672" s="29"/>
      <c r="BK1672" s="29" t="s">
        <v>148</v>
      </c>
      <c r="BL1672" s="29" t="s">
        <v>148</v>
      </c>
      <c r="BM1672" s="45"/>
      <c r="BN1672" s="45"/>
      <c r="BO1672" s="46"/>
      <c r="BP1672" s="2"/>
      <c r="BQ1672" s="3"/>
    </row>
    <row r="1673" ht="15.75" customHeight="1">
      <c r="A1673" s="34">
        <v>1729.0</v>
      </c>
      <c r="B1673" s="34">
        <v>101595.0</v>
      </c>
      <c r="C1673" s="34" t="s">
        <v>76</v>
      </c>
      <c r="D1673" s="34" t="s">
        <v>2728</v>
      </c>
      <c r="E1673" s="34" t="s">
        <v>2729</v>
      </c>
      <c r="F1673" s="34">
        <v>2013.0</v>
      </c>
      <c r="G1673" s="34" t="s">
        <v>2730</v>
      </c>
      <c r="H1673" s="34" t="s">
        <v>282</v>
      </c>
      <c r="I1673" s="34" t="s">
        <v>2731</v>
      </c>
      <c r="J1673" s="35"/>
      <c r="K1673" s="36">
        <v>6.0</v>
      </c>
      <c r="L1673" s="36">
        <v>39.0</v>
      </c>
      <c r="M1673" s="36"/>
      <c r="N1673" s="36"/>
      <c r="O1673" s="36"/>
      <c r="P1673" s="52">
        <f t="shared" si="192"/>
        <v>15.38461538</v>
      </c>
      <c r="Q1673" s="36" t="s">
        <v>191</v>
      </c>
      <c r="R1673" s="36" t="s">
        <v>191</v>
      </c>
      <c r="S1673" s="36">
        <v>3000.0</v>
      </c>
      <c r="T1673" s="36" t="s">
        <v>328</v>
      </c>
      <c r="U1673" s="36" t="s">
        <v>342</v>
      </c>
      <c r="V1673" s="36">
        <v>567.0</v>
      </c>
      <c r="W1673" s="36"/>
      <c r="X1673" s="38" t="s">
        <v>630</v>
      </c>
      <c r="Y1673" s="38" t="s">
        <v>2749</v>
      </c>
      <c r="Z1673" s="38"/>
      <c r="AA1673" s="38"/>
      <c r="AB1673" s="38"/>
      <c r="AC1673" s="38"/>
      <c r="AD1673" s="39" t="s">
        <v>87</v>
      </c>
      <c r="AE1673" s="38"/>
      <c r="AF1673" s="38"/>
      <c r="AG1673" s="38" t="s">
        <v>2750</v>
      </c>
      <c r="AH1673" s="38"/>
      <c r="AI1673" s="50"/>
      <c r="AJ1673" s="50"/>
      <c r="AK1673" s="41"/>
      <c r="AL1673" s="40"/>
      <c r="AM1673" s="49"/>
      <c r="AN1673" s="43"/>
      <c r="AO1673" s="42"/>
      <c r="AP1673" s="43"/>
      <c r="AQ1673" s="44" t="str">
        <f t="shared" si="198"/>
        <v/>
      </c>
      <c r="AR1673" s="44" t="str">
        <f t="shared" si="199"/>
        <v/>
      </c>
      <c r="AS1673" s="44" t="s">
        <v>109</v>
      </c>
      <c r="AT1673" s="44" t="s">
        <v>1942</v>
      </c>
      <c r="AU1673" s="44" t="s">
        <v>107</v>
      </c>
      <c r="AV1673" s="38"/>
      <c r="AW1673" s="38"/>
      <c r="AX1673" s="38"/>
      <c r="AY1673" s="38"/>
      <c r="AZ1673" s="29">
        <v>1000.0</v>
      </c>
      <c r="BA1673" s="29"/>
      <c r="BB1673" s="29">
        <v>1.0</v>
      </c>
      <c r="BC1673" s="29"/>
      <c r="BD1673" s="29" t="s">
        <v>88</v>
      </c>
      <c r="BE1673" s="29"/>
      <c r="BF1673" s="29" t="s">
        <v>802</v>
      </c>
      <c r="BG1673" s="29" t="s">
        <v>572</v>
      </c>
      <c r="BH1673" s="29"/>
      <c r="BI1673" s="29"/>
      <c r="BJ1673" s="29"/>
      <c r="BK1673" s="29" t="s">
        <v>148</v>
      </c>
      <c r="BL1673" s="29" t="s">
        <v>148</v>
      </c>
      <c r="BM1673" s="45"/>
      <c r="BN1673" s="45"/>
      <c r="BO1673" s="46"/>
      <c r="BP1673" s="2"/>
      <c r="BQ1673" s="3"/>
    </row>
    <row r="1674" ht="15.75" customHeight="1">
      <c r="A1674" s="34">
        <v>1730.0</v>
      </c>
      <c r="B1674" s="34">
        <v>101595.0</v>
      </c>
      <c r="C1674" s="34" t="s">
        <v>76</v>
      </c>
      <c r="D1674" s="34" t="s">
        <v>2728</v>
      </c>
      <c r="E1674" s="34" t="s">
        <v>2729</v>
      </c>
      <c r="F1674" s="34">
        <v>2013.0</v>
      </c>
      <c r="G1674" s="34" t="s">
        <v>2730</v>
      </c>
      <c r="H1674" s="34" t="s">
        <v>282</v>
      </c>
      <c r="I1674" s="34" t="s">
        <v>2731</v>
      </c>
      <c r="J1674" s="35"/>
      <c r="K1674" s="36">
        <v>2.0</v>
      </c>
      <c r="L1674" s="36">
        <v>46.0</v>
      </c>
      <c r="M1674" s="36"/>
      <c r="N1674" s="36"/>
      <c r="O1674" s="36"/>
      <c r="P1674" s="52">
        <f t="shared" si="192"/>
        <v>4.347826087</v>
      </c>
      <c r="Q1674" s="36" t="s">
        <v>191</v>
      </c>
      <c r="R1674" s="36" t="s">
        <v>191</v>
      </c>
      <c r="S1674" s="36">
        <v>3000.0</v>
      </c>
      <c r="T1674" s="36" t="s">
        <v>328</v>
      </c>
      <c r="U1674" s="36" t="s">
        <v>342</v>
      </c>
      <c r="V1674" s="36">
        <v>84.0</v>
      </c>
      <c r="W1674" s="36"/>
      <c r="X1674" s="38" t="s">
        <v>630</v>
      </c>
      <c r="Y1674" s="38" t="s">
        <v>2751</v>
      </c>
      <c r="Z1674" s="38"/>
      <c r="AA1674" s="38"/>
      <c r="AB1674" s="38"/>
      <c r="AC1674" s="38"/>
      <c r="AD1674" s="39" t="s">
        <v>87</v>
      </c>
      <c r="AE1674" s="38"/>
      <c r="AF1674" s="38"/>
      <c r="AG1674" s="38" t="s">
        <v>2752</v>
      </c>
      <c r="AH1674" s="38"/>
      <c r="AI1674" s="50"/>
      <c r="AJ1674" s="50"/>
      <c r="AK1674" s="41"/>
      <c r="AL1674" s="40"/>
      <c r="AM1674" s="49"/>
      <c r="AN1674" s="43"/>
      <c r="AO1674" s="42"/>
      <c r="AP1674" s="43"/>
      <c r="AQ1674" s="44" t="str">
        <f t="shared" si="198"/>
        <v/>
      </c>
      <c r="AR1674" s="44" t="str">
        <f t="shared" si="199"/>
        <v/>
      </c>
      <c r="AS1674" s="44" t="s">
        <v>109</v>
      </c>
      <c r="AT1674" s="44" t="s">
        <v>1942</v>
      </c>
      <c r="AU1674" s="44" t="s">
        <v>372</v>
      </c>
      <c r="AV1674" s="38"/>
      <c r="AW1674" s="38"/>
      <c r="AX1674" s="38"/>
      <c r="AY1674" s="38"/>
      <c r="AZ1674" s="29">
        <v>1000.0</v>
      </c>
      <c r="BA1674" s="29"/>
      <c r="BB1674" s="29">
        <v>1.0</v>
      </c>
      <c r="BC1674" s="29"/>
      <c r="BD1674" s="29" t="s">
        <v>88</v>
      </c>
      <c r="BE1674" s="29"/>
      <c r="BF1674" s="29" t="s">
        <v>802</v>
      </c>
      <c r="BG1674" s="29" t="s">
        <v>572</v>
      </c>
      <c r="BH1674" s="29"/>
      <c r="BI1674" s="29"/>
      <c r="BJ1674" s="29"/>
      <c r="BK1674" s="29" t="s">
        <v>148</v>
      </c>
      <c r="BL1674" s="29" t="s">
        <v>148</v>
      </c>
      <c r="BM1674" s="45"/>
      <c r="BN1674" s="45"/>
      <c r="BO1674" s="46"/>
      <c r="BP1674" s="2"/>
      <c r="BQ1674" s="3"/>
    </row>
    <row r="1675" ht="15.75" customHeight="1">
      <c r="A1675" s="34">
        <v>1733.0</v>
      </c>
      <c r="B1675" s="34">
        <v>200877.0</v>
      </c>
      <c r="C1675" s="34" t="s">
        <v>76</v>
      </c>
      <c r="D1675" s="34" t="s">
        <v>2754</v>
      </c>
      <c r="E1675" s="34" t="s">
        <v>2755</v>
      </c>
      <c r="F1675" s="34">
        <v>2015.0</v>
      </c>
      <c r="G1675" s="34" t="s">
        <v>2756</v>
      </c>
      <c r="H1675" s="34" t="s">
        <v>282</v>
      </c>
      <c r="I1675" s="34" t="s">
        <v>2757</v>
      </c>
      <c r="J1675" s="35"/>
      <c r="K1675" s="36"/>
      <c r="L1675" s="36"/>
      <c r="M1675" s="36"/>
      <c r="N1675" s="36">
        <v>-6.0</v>
      </c>
      <c r="O1675" s="36">
        <v>389.0</v>
      </c>
      <c r="P1675" s="52">
        <f t="shared" ref="P1675:P1677" si="201">N1675/O1675*100</f>
        <v>-1.542416452</v>
      </c>
      <c r="Q1675" s="36"/>
      <c r="R1675" s="36" t="s">
        <v>82</v>
      </c>
      <c r="S1675" s="36" t="s">
        <v>2758</v>
      </c>
      <c r="T1675" s="36" t="s">
        <v>1836</v>
      </c>
      <c r="U1675" s="36" t="s">
        <v>1837</v>
      </c>
      <c r="V1675" s="36">
        <v>2.0</v>
      </c>
      <c r="W1675" s="36" t="s">
        <v>88</v>
      </c>
      <c r="X1675" s="38">
        <v>12.0</v>
      </c>
      <c r="Y1675" s="38" t="s">
        <v>2759</v>
      </c>
      <c r="Z1675" s="38"/>
      <c r="AA1675" s="38" t="s">
        <v>86</v>
      </c>
      <c r="AB1675" s="38"/>
      <c r="AC1675" s="38"/>
      <c r="AD1675" s="39" t="s">
        <v>87</v>
      </c>
      <c r="AE1675" s="38"/>
      <c r="AF1675" s="38" t="s">
        <v>2760</v>
      </c>
      <c r="AG1675" s="38"/>
      <c r="AH1675" s="38"/>
      <c r="AI1675" s="50"/>
      <c r="AJ1675" s="50"/>
      <c r="AK1675" s="41"/>
      <c r="AL1675" s="40"/>
      <c r="AM1675" s="49"/>
      <c r="AN1675" s="43"/>
      <c r="AO1675" s="42"/>
      <c r="AP1675" s="43"/>
      <c r="AQ1675" s="44" t="str">
        <f t="shared" si="198"/>
        <v>CRO</v>
      </c>
      <c r="AR1675" s="44" t="str">
        <f t="shared" si="199"/>
        <v/>
      </c>
      <c r="AS1675" s="44"/>
      <c r="AT1675" s="44" t="str">
        <f t="shared" ref="AT1675:AT2073" si="202">LEFT(AP1675,2)</f>
        <v/>
      </c>
      <c r="AU1675" s="44" t="str">
        <f t="shared" ref="AU1675:AU2073" si="203">AP1675</f>
        <v/>
      </c>
      <c r="AV1675" s="38">
        <v>3.0</v>
      </c>
      <c r="AW1675" s="38"/>
      <c r="AX1675" s="38"/>
      <c r="AY1675" s="38"/>
      <c r="AZ1675" s="29" t="s">
        <v>2761</v>
      </c>
      <c r="BA1675" s="29"/>
      <c r="BB1675" s="29">
        <v>1.0</v>
      </c>
      <c r="BC1675" s="29"/>
      <c r="BD1675" s="29" t="s">
        <v>88</v>
      </c>
      <c r="BE1675" s="29"/>
      <c r="BF1675" s="29" t="s">
        <v>2762</v>
      </c>
      <c r="BG1675" s="29" t="s">
        <v>91</v>
      </c>
      <c r="BH1675" s="29" t="s">
        <v>88</v>
      </c>
      <c r="BI1675" s="29" t="s">
        <v>2763</v>
      </c>
      <c r="BJ1675" s="29" t="s">
        <v>2764</v>
      </c>
      <c r="BK1675" s="29" t="s">
        <v>180</v>
      </c>
      <c r="BL1675" s="29" t="s">
        <v>180</v>
      </c>
      <c r="BM1675" s="45">
        <v>1.0</v>
      </c>
      <c r="BN1675" s="45"/>
      <c r="BO1675" s="46" t="s">
        <v>2765</v>
      </c>
      <c r="BP1675" s="2" t="s">
        <v>1787</v>
      </c>
      <c r="BQ1675" s="3"/>
    </row>
    <row r="1676" ht="15.75" customHeight="1">
      <c r="A1676" s="34">
        <v>1734.0</v>
      </c>
      <c r="B1676" s="34">
        <v>200877.0</v>
      </c>
      <c r="C1676" s="34" t="s">
        <v>76</v>
      </c>
      <c r="D1676" s="34" t="s">
        <v>2754</v>
      </c>
      <c r="E1676" s="34" t="s">
        <v>2755</v>
      </c>
      <c r="F1676" s="34">
        <v>2015.0</v>
      </c>
      <c r="G1676" s="34" t="s">
        <v>2756</v>
      </c>
      <c r="H1676" s="34" t="s">
        <v>282</v>
      </c>
      <c r="I1676" s="34" t="s">
        <v>2757</v>
      </c>
      <c r="J1676" s="35"/>
      <c r="K1676" s="36"/>
      <c r="L1676" s="36"/>
      <c r="M1676" s="36"/>
      <c r="N1676" s="36">
        <v>36.0</v>
      </c>
      <c r="O1676" s="36">
        <v>389.0</v>
      </c>
      <c r="P1676" s="52">
        <f t="shared" si="201"/>
        <v>9.254498715</v>
      </c>
      <c r="Q1676" s="36"/>
      <c r="R1676" s="36" t="s">
        <v>82</v>
      </c>
      <c r="S1676" s="36" t="s">
        <v>2758</v>
      </c>
      <c r="T1676" s="36" t="s">
        <v>1836</v>
      </c>
      <c r="U1676" s="36" t="s">
        <v>1837</v>
      </c>
      <c r="V1676" s="36">
        <v>2.0</v>
      </c>
      <c r="W1676" s="36" t="s">
        <v>88</v>
      </c>
      <c r="X1676" s="38">
        <v>12.0</v>
      </c>
      <c r="Y1676" s="38" t="s">
        <v>2759</v>
      </c>
      <c r="Z1676" s="38"/>
      <c r="AA1676" s="38" t="s">
        <v>86</v>
      </c>
      <c r="AB1676" s="38"/>
      <c r="AC1676" s="38"/>
      <c r="AD1676" s="39" t="s">
        <v>87</v>
      </c>
      <c r="AE1676" s="38"/>
      <c r="AF1676" s="38" t="s">
        <v>2760</v>
      </c>
      <c r="AG1676" s="38"/>
      <c r="AH1676" s="38"/>
      <c r="AI1676" s="50"/>
      <c r="AJ1676" s="50"/>
      <c r="AK1676" s="41"/>
      <c r="AL1676" s="40"/>
      <c r="AM1676" s="49"/>
      <c r="AN1676" s="43"/>
      <c r="AO1676" s="42"/>
      <c r="AP1676" s="43"/>
      <c r="AQ1676" s="44" t="str">
        <f t="shared" si="198"/>
        <v>CRO</v>
      </c>
      <c r="AR1676" s="44" t="str">
        <f t="shared" si="199"/>
        <v/>
      </c>
      <c r="AS1676" s="44"/>
      <c r="AT1676" s="44" t="str">
        <f t="shared" si="202"/>
        <v/>
      </c>
      <c r="AU1676" s="44" t="str">
        <f t="shared" si="203"/>
        <v/>
      </c>
      <c r="AV1676" s="38">
        <v>3.0</v>
      </c>
      <c r="AW1676" s="38"/>
      <c r="AX1676" s="38"/>
      <c r="AY1676" s="38"/>
      <c r="AZ1676" s="29" t="s">
        <v>2761</v>
      </c>
      <c r="BA1676" s="29"/>
      <c r="BB1676" s="29">
        <v>1.0</v>
      </c>
      <c r="BC1676" s="29"/>
      <c r="BD1676" s="29" t="s">
        <v>88</v>
      </c>
      <c r="BE1676" s="29"/>
      <c r="BF1676" s="29" t="s">
        <v>2766</v>
      </c>
      <c r="BG1676" s="29" t="s">
        <v>669</v>
      </c>
      <c r="BH1676" s="29" t="s">
        <v>88</v>
      </c>
      <c r="BI1676" s="29" t="s">
        <v>2763</v>
      </c>
      <c r="BJ1676" s="29" t="s">
        <v>2764</v>
      </c>
      <c r="BK1676" s="29" t="s">
        <v>180</v>
      </c>
      <c r="BL1676" s="29" t="s">
        <v>180</v>
      </c>
      <c r="BM1676" s="45"/>
      <c r="BN1676" s="45"/>
      <c r="BO1676" s="46"/>
      <c r="BP1676" s="2"/>
      <c r="BQ1676" s="3"/>
    </row>
    <row r="1677" ht="15.75" customHeight="1">
      <c r="A1677" s="34">
        <v>1735.0</v>
      </c>
      <c r="B1677" s="34">
        <v>200877.0</v>
      </c>
      <c r="C1677" s="34" t="s">
        <v>76</v>
      </c>
      <c r="D1677" s="34" t="s">
        <v>2754</v>
      </c>
      <c r="E1677" s="34" t="s">
        <v>2755</v>
      </c>
      <c r="F1677" s="34">
        <v>2015.0</v>
      </c>
      <c r="G1677" s="34" t="s">
        <v>2756</v>
      </c>
      <c r="H1677" s="34" t="s">
        <v>282</v>
      </c>
      <c r="I1677" s="34" t="s">
        <v>2757</v>
      </c>
      <c r="J1677" s="35"/>
      <c r="K1677" s="36"/>
      <c r="L1677" s="36"/>
      <c r="M1677" s="36"/>
      <c r="N1677" s="36">
        <v>-134.0</v>
      </c>
      <c r="O1677" s="36">
        <v>389.0</v>
      </c>
      <c r="P1677" s="52">
        <f t="shared" si="201"/>
        <v>-34.44730077</v>
      </c>
      <c r="Q1677" s="36"/>
      <c r="R1677" s="36" t="s">
        <v>82</v>
      </c>
      <c r="S1677" s="36" t="s">
        <v>2758</v>
      </c>
      <c r="T1677" s="36" t="s">
        <v>1836</v>
      </c>
      <c r="U1677" s="36" t="s">
        <v>1837</v>
      </c>
      <c r="V1677" s="36">
        <v>2.0</v>
      </c>
      <c r="W1677" s="36" t="s">
        <v>88</v>
      </c>
      <c r="X1677" s="38">
        <v>12.0</v>
      </c>
      <c r="Y1677" s="38" t="s">
        <v>2759</v>
      </c>
      <c r="Z1677" s="38"/>
      <c r="AA1677" s="38" t="s">
        <v>86</v>
      </c>
      <c r="AB1677" s="38"/>
      <c r="AC1677" s="38"/>
      <c r="AD1677" s="39" t="s">
        <v>87</v>
      </c>
      <c r="AE1677" s="38"/>
      <c r="AF1677" s="38" t="s">
        <v>2760</v>
      </c>
      <c r="AG1677" s="38"/>
      <c r="AH1677" s="38"/>
      <c r="AI1677" s="50"/>
      <c r="AJ1677" s="50"/>
      <c r="AK1677" s="41"/>
      <c r="AL1677" s="40"/>
      <c r="AM1677" s="49"/>
      <c r="AN1677" s="43"/>
      <c r="AO1677" s="42"/>
      <c r="AP1677" s="43"/>
      <c r="AQ1677" s="44" t="str">
        <f t="shared" si="198"/>
        <v>CRO</v>
      </c>
      <c r="AR1677" s="44" t="str">
        <f t="shared" si="199"/>
        <v/>
      </c>
      <c r="AS1677" s="44"/>
      <c r="AT1677" s="44" t="str">
        <f t="shared" si="202"/>
        <v/>
      </c>
      <c r="AU1677" s="44" t="str">
        <f t="shared" si="203"/>
        <v/>
      </c>
      <c r="AV1677" s="38">
        <v>3.0</v>
      </c>
      <c r="AW1677" s="38"/>
      <c r="AX1677" s="38"/>
      <c r="AY1677" s="38"/>
      <c r="AZ1677" s="29" t="s">
        <v>2761</v>
      </c>
      <c r="BA1677" s="29"/>
      <c r="BB1677" s="29">
        <v>1.0</v>
      </c>
      <c r="BC1677" s="29"/>
      <c r="BD1677" s="29" t="s">
        <v>88</v>
      </c>
      <c r="BE1677" s="29"/>
      <c r="BF1677" s="29" t="s">
        <v>2767</v>
      </c>
      <c r="BG1677" s="29" t="s">
        <v>669</v>
      </c>
      <c r="BH1677" s="29" t="s">
        <v>88</v>
      </c>
      <c r="BI1677" s="29" t="s">
        <v>2763</v>
      </c>
      <c r="BJ1677" s="29" t="s">
        <v>2764</v>
      </c>
      <c r="BK1677" s="29" t="s">
        <v>180</v>
      </c>
      <c r="BL1677" s="29" t="s">
        <v>180</v>
      </c>
      <c r="BM1677" s="45"/>
      <c r="BN1677" s="45"/>
      <c r="BO1677" s="46"/>
      <c r="BP1677" s="2"/>
      <c r="BQ1677" s="3"/>
    </row>
    <row r="1678" ht="15.75" customHeight="1">
      <c r="A1678" s="34">
        <v>1737.0</v>
      </c>
      <c r="B1678" s="34">
        <v>103651.0</v>
      </c>
      <c r="C1678" s="34" t="s">
        <v>76</v>
      </c>
      <c r="D1678" s="34" t="s">
        <v>2768</v>
      </c>
      <c r="E1678" s="34" t="s">
        <v>2769</v>
      </c>
      <c r="F1678" s="34">
        <v>2016.0</v>
      </c>
      <c r="G1678" s="34" t="s">
        <v>2770</v>
      </c>
      <c r="H1678" s="34" t="s">
        <v>282</v>
      </c>
      <c r="I1678" s="34" t="s">
        <v>2771</v>
      </c>
      <c r="J1678" s="35"/>
      <c r="K1678" s="36">
        <v>-0.09</v>
      </c>
      <c r="L1678" s="48">
        <v>3.7726027397260276</v>
      </c>
      <c r="M1678" s="36"/>
      <c r="N1678" s="36"/>
      <c r="O1678" s="36"/>
      <c r="P1678" s="52">
        <f t="shared" ref="P1678:P1705" si="204">K1678/L1678*100</f>
        <v>-2.385620915</v>
      </c>
      <c r="Q1678" s="36" t="s">
        <v>96</v>
      </c>
      <c r="R1678" s="36" t="s">
        <v>209</v>
      </c>
      <c r="S1678" s="36">
        <v>1000.0</v>
      </c>
      <c r="T1678" s="36" t="s">
        <v>2772</v>
      </c>
      <c r="U1678" s="36" t="s">
        <v>245</v>
      </c>
      <c r="V1678" s="36"/>
      <c r="W1678" s="36"/>
      <c r="X1678" s="38">
        <v>20.0</v>
      </c>
      <c r="Y1678" s="38"/>
      <c r="Z1678" s="38"/>
      <c r="AA1678" s="38" t="s">
        <v>197</v>
      </c>
      <c r="AB1678" s="38"/>
      <c r="AC1678" s="38"/>
      <c r="AD1678" s="38"/>
      <c r="AE1678" s="38"/>
      <c r="AF1678" s="38"/>
      <c r="AG1678" s="38"/>
      <c r="AH1678" s="38"/>
      <c r="AI1678" s="50"/>
      <c r="AJ1678" s="50"/>
      <c r="AK1678" s="41"/>
      <c r="AL1678" s="40"/>
      <c r="AM1678" s="49"/>
      <c r="AN1678" s="43"/>
      <c r="AO1678" s="42"/>
      <c r="AP1678" s="43"/>
      <c r="AQ1678" s="44" t="str">
        <f t="shared" si="198"/>
        <v>ENF</v>
      </c>
      <c r="AR1678" s="44" t="str">
        <f t="shared" si="199"/>
        <v/>
      </c>
      <c r="AS1678" s="44"/>
      <c r="AT1678" s="44" t="str">
        <f t="shared" si="202"/>
        <v/>
      </c>
      <c r="AU1678" s="44" t="str">
        <f t="shared" si="203"/>
        <v/>
      </c>
      <c r="AV1678" s="38">
        <v>4.0</v>
      </c>
      <c r="AW1678" s="38"/>
      <c r="AX1678" s="38"/>
      <c r="AY1678" s="38"/>
      <c r="AZ1678" s="29">
        <v>1000.0</v>
      </c>
      <c r="BA1678" s="29"/>
      <c r="BB1678" s="29">
        <v>1.0</v>
      </c>
      <c r="BC1678" s="29" t="s">
        <v>1659</v>
      </c>
      <c r="BD1678" s="29" t="s">
        <v>88</v>
      </c>
      <c r="BE1678" s="29"/>
      <c r="BF1678" s="29" t="s">
        <v>2773</v>
      </c>
      <c r="BG1678" s="29" t="s">
        <v>220</v>
      </c>
      <c r="BH1678" s="29" t="s">
        <v>92</v>
      </c>
      <c r="BI1678" s="29" t="s">
        <v>2774</v>
      </c>
      <c r="BJ1678" s="29"/>
      <c r="BK1678" s="29" t="s">
        <v>148</v>
      </c>
      <c r="BL1678" s="29" t="s">
        <v>148</v>
      </c>
      <c r="BM1678" s="45">
        <v>1.0</v>
      </c>
      <c r="BN1678" s="45"/>
      <c r="BO1678" s="46" t="s">
        <v>1659</v>
      </c>
      <c r="BP1678" s="2"/>
      <c r="BQ1678" s="3"/>
    </row>
    <row r="1679" ht="15.75" customHeight="1">
      <c r="A1679" s="34">
        <v>1738.0</v>
      </c>
      <c r="B1679" s="34">
        <v>103651.0</v>
      </c>
      <c r="C1679" s="34" t="s">
        <v>76</v>
      </c>
      <c r="D1679" s="34" t="s">
        <v>2768</v>
      </c>
      <c r="E1679" s="34" t="s">
        <v>2769</v>
      </c>
      <c r="F1679" s="34">
        <v>2016.0</v>
      </c>
      <c r="G1679" s="34" t="s">
        <v>2770</v>
      </c>
      <c r="H1679" s="34" t="s">
        <v>282</v>
      </c>
      <c r="I1679" s="34" t="s">
        <v>2771</v>
      </c>
      <c r="J1679" s="35"/>
      <c r="K1679" s="36">
        <v>0.4</v>
      </c>
      <c r="L1679" s="48">
        <v>5.424657534246576</v>
      </c>
      <c r="M1679" s="36"/>
      <c r="N1679" s="36"/>
      <c r="O1679" s="36"/>
      <c r="P1679" s="52">
        <f t="shared" si="204"/>
        <v>7.373737374</v>
      </c>
      <c r="Q1679" s="36" t="s">
        <v>96</v>
      </c>
      <c r="R1679" s="36" t="s">
        <v>209</v>
      </c>
      <c r="S1679" s="36">
        <v>1000.0</v>
      </c>
      <c r="T1679" s="36" t="s">
        <v>2772</v>
      </c>
      <c r="U1679" s="36" t="s">
        <v>245</v>
      </c>
      <c r="V1679" s="36"/>
      <c r="W1679" s="36"/>
      <c r="X1679" s="38">
        <v>9.0</v>
      </c>
      <c r="Y1679" s="38"/>
      <c r="Z1679" s="38"/>
      <c r="AA1679" s="38" t="s">
        <v>336</v>
      </c>
      <c r="AB1679" s="38"/>
      <c r="AC1679" s="38"/>
      <c r="AD1679" s="38"/>
      <c r="AE1679" s="38"/>
      <c r="AF1679" s="38"/>
      <c r="AG1679" s="38"/>
      <c r="AH1679" s="38"/>
      <c r="AI1679" s="50"/>
      <c r="AJ1679" s="50"/>
      <c r="AK1679" s="41"/>
      <c r="AL1679" s="40"/>
      <c r="AM1679" s="49"/>
      <c r="AN1679" s="43"/>
      <c r="AO1679" s="42"/>
      <c r="AP1679" s="43"/>
      <c r="AQ1679" s="44" t="str">
        <f t="shared" si="198"/>
        <v>EBF</v>
      </c>
      <c r="AR1679" s="44" t="str">
        <f t="shared" si="199"/>
        <v/>
      </c>
      <c r="AS1679" s="44"/>
      <c r="AT1679" s="44" t="str">
        <f t="shared" si="202"/>
        <v/>
      </c>
      <c r="AU1679" s="44" t="str">
        <f t="shared" si="203"/>
        <v/>
      </c>
      <c r="AV1679" s="38">
        <v>4.0</v>
      </c>
      <c r="AW1679" s="38"/>
      <c r="AX1679" s="38"/>
      <c r="AY1679" s="38"/>
      <c r="AZ1679" s="29">
        <v>1000.0</v>
      </c>
      <c r="BA1679" s="29"/>
      <c r="BB1679" s="29">
        <v>1.0</v>
      </c>
      <c r="BC1679" s="29" t="s">
        <v>1659</v>
      </c>
      <c r="BD1679" s="29" t="s">
        <v>88</v>
      </c>
      <c r="BE1679" s="29"/>
      <c r="BF1679" s="29" t="s">
        <v>2773</v>
      </c>
      <c r="BG1679" s="29" t="s">
        <v>220</v>
      </c>
      <c r="BH1679" s="29" t="s">
        <v>92</v>
      </c>
      <c r="BI1679" s="29" t="s">
        <v>2774</v>
      </c>
      <c r="BJ1679" s="29"/>
      <c r="BK1679" s="29" t="s">
        <v>148</v>
      </c>
      <c r="BL1679" s="29" t="s">
        <v>148</v>
      </c>
      <c r="BM1679" s="45"/>
      <c r="BN1679" s="45"/>
      <c r="BO1679" s="46"/>
      <c r="BP1679" s="2"/>
      <c r="BQ1679" s="3"/>
    </row>
    <row r="1680" ht="15.75" customHeight="1">
      <c r="A1680" s="34">
        <v>1739.0</v>
      </c>
      <c r="B1680" s="34">
        <v>103651.0</v>
      </c>
      <c r="C1680" s="34" t="s">
        <v>76</v>
      </c>
      <c r="D1680" s="34" t="s">
        <v>2768</v>
      </c>
      <c r="E1680" s="34" t="s">
        <v>2769</v>
      </c>
      <c r="F1680" s="34">
        <v>2016.0</v>
      </c>
      <c r="G1680" s="34" t="s">
        <v>2770</v>
      </c>
      <c r="H1680" s="34" t="s">
        <v>282</v>
      </c>
      <c r="I1680" s="34" t="s">
        <v>2771</v>
      </c>
      <c r="J1680" s="35"/>
      <c r="K1680" s="36">
        <v>0.39</v>
      </c>
      <c r="L1680" s="48">
        <v>4.120547945205479</v>
      </c>
      <c r="M1680" s="36"/>
      <c r="N1680" s="36"/>
      <c r="O1680" s="36"/>
      <c r="P1680" s="52">
        <f t="shared" si="204"/>
        <v>9.464760638</v>
      </c>
      <c r="Q1680" s="36" t="s">
        <v>96</v>
      </c>
      <c r="R1680" s="36" t="s">
        <v>209</v>
      </c>
      <c r="S1680" s="36">
        <v>1000.0</v>
      </c>
      <c r="T1680" s="36" t="s">
        <v>2772</v>
      </c>
      <c r="U1680" s="36" t="s">
        <v>245</v>
      </c>
      <c r="V1680" s="36"/>
      <c r="W1680" s="36"/>
      <c r="X1680" s="38">
        <v>14.0</v>
      </c>
      <c r="Y1680" s="38"/>
      <c r="Z1680" s="38"/>
      <c r="AA1680" s="38" t="s">
        <v>370</v>
      </c>
      <c r="AB1680" s="38"/>
      <c r="AC1680" s="38"/>
      <c r="AD1680" s="38"/>
      <c r="AE1680" s="38"/>
      <c r="AF1680" s="38"/>
      <c r="AG1680" s="38"/>
      <c r="AH1680" s="38"/>
      <c r="AI1680" s="50"/>
      <c r="AJ1680" s="50"/>
      <c r="AK1680" s="41"/>
      <c r="AL1680" s="40"/>
      <c r="AM1680" s="49"/>
      <c r="AN1680" s="43"/>
      <c r="AO1680" s="42"/>
      <c r="AP1680" s="43"/>
      <c r="AQ1680" s="44" t="str">
        <f t="shared" si="198"/>
        <v>DBF</v>
      </c>
      <c r="AR1680" s="44" t="str">
        <f t="shared" si="199"/>
        <v/>
      </c>
      <c r="AS1680" s="44"/>
      <c r="AT1680" s="44" t="str">
        <f t="shared" si="202"/>
        <v/>
      </c>
      <c r="AU1680" s="44" t="str">
        <f t="shared" si="203"/>
        <v/>
      </c>
      <c r="AV1680" s="38">
        <v>4.0</v>
      </c>
      <c r="AW1680" s="38"/>
      <c r="AX1680" s="38"/>
      <c r="AY1680" s="38"/>
      <c r="AZ1680" s="29">
        <v>1000.0</v>
      </c>
      <c r="BA1680" s="29"/>
      <c r="BB1680" s="29">
        <v>1.0</v>
      </c>
      <c r="BC1680" s="29" t="s">
        <v>1659</v>
      </c>
      <c r="BD1680" s="29" t="s">
        <v>88</v>
      </c>
      <c r="BE1680" s="29"/>
      <c r="BF1680" s="29" t="s">
        <v>2773</v>
      </c>
      <c r="BG1680" s="29" t="s">
        <v>220</v>
      </c>
      <c r="BH1680" s="29" t="s">
        <v>92</v>
      </c>
      <c r="BI1680" s="29" t="s">
        <v>2774</v>
      </c>
      <c r="BJ1680" s="29"/>
      <c r="BK1680" s="29" t="s">
        <v>148</v>
      </c>
      <c r="BL1680" s="29" t="s">
        <v>148</v>
      </c>
      <c r="BM1680" s="45"/>
      <c r="BN1680" s="45"/>
      <c r="BO1680" s="46"/>
      <c r="BP1680" s="2"/>
      <c r="BQ1680" s="3"/>
    </row>
    <row r="1681" ht="15.75" customHeight="1">
      <c r="A1681" s="34">
        <v>1740.0</v>
      </c>
      <c r="B1681" s="34">
        <v>103651.0</v>
      </c>
      <c r="C1681" s="34" t="s">
        <v>76</v>
      </c>
      <c r="D1681" s="34" t="s">
        <v>2768</v>
      </c>
      <c r="E1681" s="34" t="s">
        <v>2769</v>
      </c>
      <c r="F1681" s="34">
        <v>2016.0</v>
      </c>
      <c r="G1681" s="34" t="s">
        <v>2770</v>
      </c>
      <c r="H1681" s="34" t="s">
        <v>282</v>
      </c>
      <c r="I1681" s="34" t="s">
        <v>2771</v>
      </c>
      <c r="J1681" s="35"/>
      <c r="K1681" s="36">
        <v>0.39</v>
      </c>
      <c r="L1681" s="48">
        <v>4.49041095890411</v>
      </c>
      <c r="M1681" s="36"/>
      <c r="N1681" s="36"/>
      <c r="O1681" s="36"/>
      <c r="P1681" s="52">
        <f t="shared" si="204"/>
        <v>8.685173887</v>
      </c>
      <c r="Q1681" s="36" t="s">
        <v>96</v>
      </c>
      <c r="R1681" s="36" t="s">
        <v>209</v>
      </c>
      <c r="S1681" s="36">
        <v>1000.0</v>
      </c>
      <c r="T1681" s="36" t="s">
        <v>2772</v>
      </c>
      <c r="U1681" s="36" t="s">
        <v>245</v>
      </c>
      <c r="V1681" s="36"/>
      <c r="W1681" s="36"/>
      <c r="X1681" s="38">
        <v>6.0</v>
      </c>
      <c r="Y1681" s="38"/>
      <c r="Z1681" s="38"/>
      <c r="AA1681" s="38" t="s">
        <v>452</v>
      </c>
      <c r="AB1681" s="38"/>
      <c r="AC1681" s="38"/>
      <c r="AD1681" s="38"/>
      <c r="AE1681" s="38"/>
      <c r="AF1681" s="38"/>
      <c r="AG1681" s="38"/>
      <c r="AH1681" s="38"/>
      <c r="AI1681" s="50"/>
      <c r="AJ1681" s="50"/>
      <c r="AK1681" s="41"/>
      <c r="AL1681" s="40"/>
      <c r="AM1681" s="49"/>
      <c r="AN1681" s="43"/>
      <c r="AO1681" s="42"/>
      <c r="AP1681" s="43"/>
      <c r="AQ1681" s="44" t="str">
        <f t="shared" si="198"/>
        <v>MF</v>
      </c>
      <c r="AR1681" s="44" t="str">
        <f t="shared" si="199"/>
        <v/>
      </c>
      <c r="AS1681" s="44"/>
      <c r="AT1681" s="44" t="str">
        <f t="shared" si="202"/>
        <v/>
      </c>
      <c r="AU1681" s="44" t="str">
        <f t="shared" si="203"/>
        <v/>
      </c>
      <c r="AV1681" s="38">
        <v>4.0</v>
      </c>
      <c r="AW1681" s="38"/>
      <c r="AX1681" s="38"/>
      <c r="AY1681" s="38"/>
      <c r="AZ1681" s="29">
        <v>1000.0</v>
      </c>
      <c r="BA1681" s="29"/>
      <c r="BB1681" s="29">
        <v>1.0</v>
      </c>
      <c r="BC1681" s="29" t="s">
        <v>1659</v>
      </c>
      <c r="BD1681" s="29" t="s">
        <v>88</v>
      </c>
      <c r="BE1681" s="29"/>
      <c r="BF1681" s="29" t="s">
        <v>2773</v>
      </c>
      <c r="BG1681" s="29" t="s">
        <v>220</v>
      </c>
      <c r="BH1681" s="29" t="s">
        <v>92</v>
      </c>
      <c r="BI1681" s="29" t="s">
        <v>2774</v>
      </c>
      <c r="BJ1681" s="29"/>
      <c r="BK1681" s="29" t="s">
        <v>148</v>
      </c>
      <c r="BL1681" s="29" t="s">
        <v>148</v>
      </c>
      <c r="BM1681" s="45"/>
      <c r="BN1681" s="45"/>
      <c r="BO1681" s="46"/>
      <c r="BP1681" s="2"/>
      <c r="BQ1681" s="3"/>
    </row>
    <row r="1682" ht="15.75" customHeight="1">
      <c r="A1682" s="34">
        <v>1741.0</v>
      </c>
      <c r="B1682" s="34">
        <v>103651.0</v>
      </c>
      <c r="C1682" s="34" t="s">
        <v>76</v>
      </c>
      <c r="D1682" s="34" t="s">
        <v>2768</v>
      </c>
      <c r="E1682" s="34" t="s">
        <v>2769</v>
      </c>
      <c r="F1682" s="34">
        <v>2016.0</v>
      </c>
      <c r="G1682" s="34" t="s">
        <v>2770</v>
      </c>
      <c r="H1682" s="34" t="s">
        <v>282</v>
      </c>
      <c r="I1682" s="34" t="s">
        <v>2771</v>
      </c>
      <c r="J1682" s="35"/>
      <c r="K1682" s="36">
        <v>0.4</v>
      </c>
      <c r="L1682" s="48">
        <v>1.3643835616438356</v>
      </c>
      <c r="M1682" s="36"/>
      <c r="N1682" s="36"/>
      <c r="O1682" s="36"/>
      <c r="P1682" s="52">
        <f t="shared" si="204"/>
        <v>29.31726908</v>
      </c>
      <c r="Q1682" s="36" t="s">
        <v>96</v>
      </c>
      <c r="R1682" s="36" t="s">
        <v>209</v>
      </c>
      <c r="S1682" s="36">
        <v>1000.0</v>
      </c>
      <c r="T1682" s="36" t="s">
        <v>2772</v>
      </c>
      <c r="U1682" s="36" t="s">
        <v>245</v>
      </c>
      <c r="V1682" s="36"/>
      <c r="W1682" s="36"/>
      <c r="X1682" s="38">
        <v>5.0</v>
      </c>
      <c r="Y1682" s="38"/>
      <c r="Z1682" s="38"/>
      <c r="AA1682" s="38" t="s">
        <v>2775</v>
      </c>
      <c r="AB1682" s="38"/>
      <c r="AC1682" s="38"/>
      <c r="AD1682" s="38"/>
      <c r="AE1682" s="38"/>
      <c r="AF1682" s="38"/>
      <c r="AG1682" s="38"/>
      <c r="AH1682" s="38"/>
      <c r="AI1682" s="50"/>
      <c r="AJ1682" s="50"/>
      <c r="AK1682" s="41"/>
      <c r="AL1682" s="40"/>
      <c r="AM1682" s="49"/>
      <c r="AN1682" s="43"/>
      <c r="AO1682" s="42"/>
      <c r="AP1682" s="43"/>
      <c r="AQ1682" s="44"/>
      <c r="AR1682" s="44" t="str">
        <f t="shared" si="199"/>
        <v/>
      </c>
      <c r="AS1682" s="44"/>
      <c r="AT1682" s="44" t="str">
        <f t="shared" si="202"/>
        <v/>
      </c>
      <c r="AU1682" s="44" t="str">
        <f t="shared" si="203"/>
        <v/>
      </c>
      <c r="AV1682" s="38">
        <v>4.0</v>
      </c>
      <c r="AW1682" s="38"/>
      <c r="AX1682" s="38"/>
      <c r="AY1682" s="38"/>
      <c r="AZ1682" s="29">
        <v>1000.0</v>
      </c>
      <c r="BA1682" s="29"/>
      <c r="BB1682" s="29">
        <v>1.0</v>
      </c>
      <c r="BC1682" s="29" t="s">
        <v>1659</v>
      </c>
      <c r="BD1682" s="29" t="s">
        <v>88</v>
      </c>
      <c r="BE1682" s="29"/>
      <c r="BF1682" s="29" t="s">
        <v>2773</v>
      </c>
      <c r="BG1682" s="29" t="s">
        <v>220</v>
      </c>
      <c r="BH1682" s="29" t="s">
        <v>92</v>
      </c>
      <c r="BI1682" s="29" t="s">
        <v>2774</v>
      </c>
      <c r="BJ1682" s="29"/>
      <c r="BK1682" s="29" t="s">
        <v>148</v>
      </c>
      <c r="BL1682" s="29" t="s">
        <v>148</v>
      </c>
      <c r="BM1682" s="45"/>
      <c r="BN1682" s="45"/>
      <c r="BO1682" s="46"/>
      <c r="BP1682" s="2"/>
      <c r="BQ1682" s="3"/>
    </row>
    <row r="1683" ht="15.75" customHeight="1">
      <c r="A1683" s="34">
        <v>1742.0</v>
      </c>
      <c r="B1683" s="34">
        <v>103651.0</v>
      </c>
      <c r="C1683" s="34" t="s">
        <v>76</v>
      </c>
      <c r="D1683" s="34" t="s">
        <v>2768</v>
      </c>
      <c r="E1683" s="34" t="s">
        <v>2769</v>
      </c>
      <c r="F1683" s="34">
        <v>2016.0</v>
      </c>
      <c r="G1683" s="34" t="s">
        <v>2770</v>
      </c>
      <c r="H1683" s="34" t="s">
        <v>282</v>
      </c>
      <c r="I1683" s="34" t="s">
        <v>2771</v>
      </c>
      <c r="J1683" s="35"/>
      <c r="K1683" s="36">
        <v>0.2</v>
      </c>
      <c r="L1683" s="48">
        <v>2.1835616438356165</v>
      </c>
      <c r="M1683" s="36"/>
      <c r="N1683" s="36"/>
      <c r="O1683" s="36"/>
      <c r="P1683" s="52">
        <f t="shared" si="204"/>
        <v>9.159347553</v>
      </c>
      <c r="Q1683" s="36" t="s">
        <v>96</v>
      </c>
      <c r="R1683" s="36" t="s">
        <v>209</v>
      </c>
      <c r="S1683" s="36">
        <v>1000.0</v>
      </c>
      <c r="T1683" s="36" t="s">
        <v>2772</v>
      </c>
      <c r="U1683" s="36" t="s">
        <v>245</v>
      </c>
      <c r="V1683" s="36"/>
      <c r="W1683" s="36"/>
      <c r="X1683" s="38">
        <v>10.0</v>
      </c>
      <c r="Y1683" s="38"/>
      <c r="Z1683" s="38"/>
      <c r="AA1683" s="38" t="s">
        <v>2776</v>
      </c>
      <c r="AB1683" s="38"/>
      <c r="AC1683" s="38"/>
      <c r="AD1683" s="38"/>
      <c r="AE1683" s="38"/>
      <c r="AF1683" s="38"/>
      <c r="AG1683" s="38"/>
      <c r="AH1683" s="38"/>
      <c r="AI1683" s="50"/>
      <c r="AJ1683" s="50"/>
      <c r="AK1683" s="41"/>
      <c r="AL1683" s="40"/>
      <c r="AM1683" s="49"/>
      <c r="AN1683" s="43"/>
      <c r="AO1683" s="42"/>
      <c r="AP1683" s="43"/>
      <c r="AQ1683" s="44"/>
      <c r="AR1683" s="44" t="str">
        <f t="shared" si="199"/>
        <v/>
      </c>
      <c r="AS1683" s="44"/>
      <c r="AT1683" s="44" t="str">
        <f t="shared" si="202"/>
        <v/>
      </c>
      <c r="AU1683" s="44" t="str">
        <f t="shared" si="203"/>
        <v/>
      </c>
      <c r="AV1683" s="38">
        <v>4.0</v>
      </c>
      <c r="AW1683" s="38"/>
      <c r="AX1683" s="38"/>
      <c r="AY1683" s="38"/>
      <c r="AZ1683" s="29">
        <v>1000.0</v>
      </c>
      <c r="BA1683" s="29"/>
      <c r="BB1683" s="29">
        <v>1.0</v>
      </c>
      <c r="BC1683" s="29" t="s">
        <v>1659</v>
      </c>
      <c r="BD1683" s="29" t="s">
        <v>88</v>
      </c>
      <c r="BE1683" s="29"/>
      <c r="BF1683" s="29" t="s">
        <v>2773</v>
      </c>
      <c r="BG1683" s="29" t="s">
        <v>220</v>
      </c>
      <c r="BH1683" s="29" t="s">
        <v>92</v>
      </c>
      <c r="BI1683" s="29" t="s">
        <v>2774</v>
      </c>
      <c r="BJ1683" s="29"/>
      <c r="BK1683" s="29" t="s">
        <v>148</v>
      </c>
      <c r="BL1683" s="29" t="s">
        <v>148</v>
      </c>
      <c r="BM1683" s="45"/>
      <c r="BN1683" s="45"/>
      <c r="BO1683" s="46"/>
      <c r="BP1683" s="2"/>
      <c r="BQ1683" s="3"/>
    </row>
    <row r="1684" ht="15.75" customHeight="1">
      <c r="A1684" s="34">
        <v>1743.0</v>
      </c>
      <c r="B1684" s="34">
        <v>103651.0</v>
      </c>
      <c r="C1684" s="34" t="s">
        <v>76</v>
      </c>
      <c r="D1684" s="34" t="s">
        <v>2768</v>
      </c>
      <c r="E1684" s="34" t="s">
        <v>2769</v>
      </c>
      <c r="F1684" s="34">
        <v>2016.0</v>
      </c>
      <c r="G1684" s="34" t="s">
        <v>2770</v>
      </c>
      <c r="H1684" s="34" t="s">
        <v>282</v>
      </c>
      <c r="I1684" s="34" t="s">
        <v>2771</v>
      </c>
      <c r="J1684" s="35"/>
      <c r="K1684" s="36">
        <v>0.11</v>
      </c>
      <c r="L1684" s="48">
        <v>2.83013698630137</v>
      </c>
      <c r="M1684" s="36"/>
      <c r="N1684" s="36"/>
      <c r="O1684" s="36"/>
      <c r="P1684" s="52">
        <f t="shared" si="204"/>
        <v>3.886737657</v>
      </c>
      <c r="Q1684" s="36" t="s">
        <v>96</v>
      </c>
      <c r="R1684" s="36" t="s">
        <v>209</v>
      </c>
      <c r="S1684" s="36">
        <v>1000.0</v>
      </c>
      <c r="T1684" s="36" t="s">
        <v>2772</v>
      </c>
      <c r="U1684" s="36" t="s">
        <v>245</v>
      </c>
      <c r="V1684" s="36"/>
      <c r="W1684" s="36"/>
      <c r="X1684" s="38">
        <v>25.0</v>
      </c>
      <c r="Y1684" s="38"/>
      <c r="Z1684" s="38"/>
      <c r="AA1684" s="38" t="s">
        <v>2777</v>
      </c>
      <c r="AB1684" s="38"/>
      <c r="AC1684" s="38"/>
      <c r="AD1684" s="38"/>
      <c r="AE1684" s="38"/>
      <c r="AF1684" s="38"/>
      <c r="AG1684" s="38"/>
      <c r="AH1684" s="38"/>
      <c r="AI1684" s="50"/>
      <c r="AJ1684" s="50"/>
      <c r="AK1684" s="41"/>
      <c r="AL1684" s="40"/>
      <c r="AM1684" s="49"/>
      <c r="AN1684" s="43"/>
      <c r="AO1684" s="42"/>
      <c r="AP1684" s="43"/>
      <c r="AQ1684" s="44"/>
      <c r="AR1684" s="44" t="str">
        <f t="shared" si="199"/>
        <v/>
      </c>
      <c r="AS1684" s="44"/>
      <c r="AT1684" s="44" t="str">
        <f t="shared" si="202"/>
        <v/>
      </c>
      <c r="AU1684" s="44" t="str">
        <f t="shared" si="203"/>
        <v/>
      </c>
      <c r="AV1684" s="38">
        <v>4.0</v>
      </c>
      <c r="AW1684" s="38"/>
      <c r="AX1684" s="38"/>
      <c r="AY1684" s="38"/>
      <c r="AZ1684" s="29">
        <v>1000.0</v>
      </c>
      <c r="BA1684" s="29"/>
      <c r="BB1684" s="29">
        <v>1.0</v>
      </c>
      <c r="BC1684" s="29" t="s">
        <v>1659</v>
      </c>
      <c r="BD1684" s="29" t="s">
        <v>88</v>
      </c>
      <c r="BE1684" s="29"/>
      <c r="BF1684" s="29" t="s">
        <v>2773</v>
      </c>
      <c r="BG1684" s="29" t="s">
        <v>220</v>
      </c>
      <c r="BH1684" s="29" t="s">
        <v>92</v>
      </c>
      <c r="BI1684" s="29" t="s">
        <v>2774</v>
      </c>
      <c r="BJ1684" s="29"/>
      <c r="BK1684" s="29" t="s">
        <v>148</v>
      </c>
      <c r="BL1684" s="29" t="s">
        <v>148</v>
      </c>
      <c r="BM1684" s="45"/>
      <c r="BN1684" s="45"/>
      <c r="BO1684" s="46"/>
      <c r="BP1684" s="2"/>
      <c r="BQ1684" s="3"/>
    </row>
    <row r="1685" ht="15.75" customHeight="1">
      <c r="A1685" s="34">
        <v>1744.0</v>
      </c>
      <c r="B1685" s="34">
        <v>103651.0</v>
      </c>
      <c r="C1685" s="34" t="s">
        <v>76</v>
      </c>
      <c r="D1685" s="34" t="s">
        <v>2768</v>
      </c>
      <c r="E1685" s="34" t="s">
        <v>2769</v>
      </c>
      <c r="F1685" s="34">
        <v>2016.0</v>
      </c>
      <c r="G1685" s="34" t="s">
        <v>2770</v>
      </c>
      <c r="H1685" s="34" t="s">
        <v>282</v>
      </c>
      <c r="I1685" s="34" t="s">
        <v>2771</v>
      </c>
      <c r="J1685" s="35"/>
      <c r="K1685" s="36">
        <v>-0.18</v>
      </c>
      <c r="L1685" s="48">
        <v>3.293150684931507</v>
      </c>
      <c r="M1685" s="36"/>
      <c r="N1685" s="36"/>
      <c r="O1685" s="36"/>
      <c r="P1685" s="52">
        <f t="shared" si="204"/>
        <v>-5.465890183</v>
      </c>
      <c r="Q1685" s="36" t="s">
        <v>96</v>
      </c>
      <c r="R1685" s="36" t="s">
        <v>209</v>
      </c>
      <c r="S1685" s="36">
        <v>1000.0</v>
      </c>
      <c r="T1685" s="36" t="s">
        <v>2772</v>
      </c>
      <c r="U1685" s="36" t="s">
        <v>245</v>
      </c>
      <c r="V1685" s="36"/>
      <c r="W1685" s="36"/>
      <c r="X1685" s="38">
        <v>10.0</v>
      </c>
      <c r="Y1685" s="38"/>
      <c r="Z1685" s="38"/>
      <c r="AA1685" s="38" t="s">
        <v>86</v>
      </c>
      <c r="AB1685" s="38"/>
      <c r="AC1685" s="38"/>
      <c r="AD1685" s="38"/>
      <c r="AE1685" s="38"/>
      <c r="AF1685" s="38"/>
      <c r="AG1685" s="38"/>
      <c r="AH1685" s="38"/>
      <c r="AI1685" s="50"/>
      <c r="AJ1685" s="50"/>
      <c r="AK1685" s="41"/>
      <c r="AL1685" s="40"/>
      <c r="AM1685" s="49"/>
      <c r="AN1685" s="43"/>
      <c r="AO1685" s="42"/>
      <c r="AP1685" s="43"/>
      <c r="AQ1685" s="44" t="str">
        <f>AA1685</f>
        <v>CRO</v>
      </c>
      <c r="AR1685" s="44" t="str">
        <f t="shared" si="199"/>
        <v/>
      </c>
      <c r="AS1685" s="44"/>
      <c r="AT1685" s="44" t="str">
        <f t="shared" si="202"/>
        <v/>
      </c>
      <c r="AU1685" s="44" t="str">
        <f t="shared" si="203"/>
        <v/>
      </c>
      <c r="AV1685" s="38">
        <v>4.0</v>
      </c>
      <c r="AW1685" s="38"/>
      <c r="AX1685" s="38"/>
      <c r="AY1685" s="38"/>
      <c r="AZ1685" s="29">
        <v>1000.0</v>
      </c>
      <c r="BA1685" s="29"/>
      <c r="BB1685" s="29">
        <v>1.0</v>
      </c>
      <c r="BC1685" s="29" t="s">
        <v>1659</v>
      </c>
      <c r="BD1685" s="29" t="s">
        <v>88</v>
      </c>
      <c r="BE1685" s="29"/>
      <c r="BF1685" s="29" t="s">
        <v>2773</v>
      </c>
      <c r="BG1685" s="29" t="s">
        <v>220</v>
      </c>
      <c r="BH1685" s="29" t="s">
        <v>92</v>
      </c>
      <c r="BI1685" s="29" t="s">
        <v>2774</v>
      </c>
      <c r="BJ1685" s="29"/>
      <c r="BK1685" s="29" t="s">
        <v>148</v>
      </c>
      <c r="BL1685" s="29" t="s">
        <v>148</v>
      </c>
      <c r="BM1685" s="45"/>
      <c r="BN1685" s="45"/>
      <c r="BO1685" s="46"/>
      <c r="BP1685" s="2"/>
      <c r="BQ1685" s="3"/>
    </row>
    <row r="1686" ht="15.75" customHeight="1">
      <c r="A1686" s="34">
        <v>1745.0</v>
      </c>
      <c r="B1686" s="34">
        <v>103651.0</v>
      </c>
      <c r="C1686" s="34" t="s">
        <v>76</v>
      </c>
      <c r="D1686" s="34" t="s">
        <v>2768</v>
      </c>
      <c r="E1686" s="34" t="s">
        <v>2769</v>
      </c>
      <c r="F1686" s="34">
        <v>2016.0</v>
      </c>
      <c r="G1686" s="34" t="s">
        <v>2770</v>
      </c>
      <c r="H1686" s="34" t="s">
        <v>282</v>
      </c>
      <c r="I1686" s="34" t="s">
        <v>2771</v>
      </c>
      <c r="J1686" s="35"/>
      <c r="K1686" s="36">
        <v>0.1</v>
      </c>
      <c r="L1686" s="48">
        <v>3.4465753424657533</v>
      </c>
      <c r="M1686" s="36"/>
      <c r="N1686" s="36"/>
      <c r="O1686" s="36"/>
      <c r="P1686" s="52">
        <f t="shared" si="204"/>
        <v>2.901430843</v>
      </c>
      <c r="Q1686" s="36" t="s">
        <v>96</v>
      </c>
      <c r="R1686" s="36" t="s">
        <v>209</v>
      </c>
      <c r="S1686" s="36">
        <v>1000.0</v>
      </c>
      <c r="T1686" s="36" t="s">
        <v>2772</v>
      </c>
      <c r="U1686" s="36" t="s">
        <v>245</v>
      </c>
      <c r="V1686" s="36"/>
      <c r="W1686" s="36"/>
      <c r="X1686" s="38">
        <v>99.0</v>
      </c>
      <c r="Y1686" s="38"/>
      <c r="Z1686" s="38"/>
      <c r="AA1686" s="38" t="s">
        <v>2778</v>
      </c>
      <c r="AB1686" s="38"/>
      <c r="AC1686" s="38"/>
      <c r="AD1686" s="38"/>
      <c r="AE1686" s="38"/>
      <c r="AF1686" s="38"/>
      <c r="AG1686" s="38"/>
      <c r="AH1686" s="38"/>
      <c r="AI1686" s="50"/>
      <c r="AJ1686" s="50"/>
      <c r="AK1686" s="41"/>
      <c r="AL1686" s="40"/>
      <c r="AM1686" s="49"/>
      <c r="AN1686" s="43"/>
      <c r="AO1686" s="42"/>
      <c r="AP1686" s="43"/>
      <c r="AQ1686" s="44"/>
      <c r="AR1686" s="44" t="str">
        <f t="shared" si="199"/>
        <v/>
      </c>
      <c r="AS1686" s="44"/>
      <c r="AT1686" s="44" t="str">
        <f t="shared" si="202"/>
        <v/>
      </c>
      <c r="AU1686" s="44" t="str">
        <f t="shared" si="203"/>
        <v/>
      </c>
      <c r="AV1686" s="38">
        <v>4.0</v>
      </c>
      <c r="AW1686" s="38"/>
      <c r="AX1686" s="38"/>
      <c r="AY1686" s="38"/>
      <c r="AZ1686" s="29">
        <v>1000.0</v>
      </c>
      <c r="BA1686" s="29"/>
      <c r="BB1686" s="29">
        <v>1.0</v>
      </c>
      <c r="BC1686" s="29" t="s">
        <v>1659</v>
      </c>
      <c r="BD1686" s="29" t="s">
        <v>88</v>
      </c>
      <c r="BE1686" s="29"/>
      <c r="BF1686" s="29" t="s">
        <v>2773</v>
      </c>
      <c r="BG1686" s="29" t="s">
        <v>220</v>
      </c>
      <c r="BH1686" s="29" t="s">
        <v>92</v>
      </c>
      <c r="BI1686" s="29" t="s">
        <v>2774</v>
      </c>
      <c r="BJ1686" s="29"/>
      <c r="BK1686" s="29" t="s">
        <v>148</v>
      </c>
      <c r="BL1686" s="29" t="s">
        <v>148</v>
      </c>
      <c r="BM1686" s="45"/>
      <c r="BN1686" s="45"/>
      <c r="BO1686" s="46"/>
      <c r="BP1686" s="2"/>
      <c r="BQ1686" s="3"/>
    </row>
    <row r="1687" ht="15.75" customHeight="1">
      <c r="A1687" s="34">
        <v>1746.0</v>
      </c>
      <c r="B1687" s="34">
        <v>103651.0</v>
      </c>
      <c r="C1687" s="34" t="s">
        <v>76</v>
      </c>
      <c r="D1687" s="34" t="s">
        <v>2768</v>
      </c>
      <c r="E1687" s="34" t="s">
        <v>2769</v>
      </c>
      <c r="F1687" s="34">
        <v>2016.0</v>
      </c>
      <c r="G1687" s="34" t="s">
        <v>2770</v>
      </c>
      <c r="H1687" s="34" t="s">
        <v>282</v>
      </c>
      <c r="I1687" s="34" t="s">
        <v>2771</v>
      </c>
      <c r="J1687" s="35"/>
      <c r="K1687" s="36">
        <v>0.11</v>
      </c>
      <c r="L1687" s="48">
        <v>3.7726027397260276</v>
      </c>
      <c r="M1687" s="36"/>
      <c r="N1687" s="36"/>
      <c r="O1687" s="36"/>
      <c r="P1687" s="52">
        <f t="shared" si="204"/>
        <v>2.915758896</v>
      </c>
      <c r="Q1687" s="36" t="s">
        <v>96</v>
      </c>
      <c r="R1687" s="36" t="s">
        <v>209</v>
      </c>
      <c r="S1687" s="36">
        <v>1000.0</v>
      </c>
      <c r="T1687" s="36" t="s">
        <v>2772</v>
      </c>
      <c r="U1687" s="36" t="s">
        <v>245</v>
      </c>
      <c r="V1687" s="36"/>
      <c r="W1687" s="36"/>
      <c r="X1687" s="38">
        <v>20.0</v>
      </c>
      <c r="Y1687" s="38"/>
      <c r="Z1687" s="38"/>
      <c r="AA1687" s="38" t="s">
        <v>197</v>
      </c>
      <c r="AB1687" s="38"/>
      <c r="AC1687" s="38"/>
      <c r="AD1687" s="38"/>
      <c r="AE1687" s="38"/>
      <c r="AF1687" s="38"/>
      <c r="AG1687" s="38"/>
      <c r="AH1687" s="38"/>
      <c r="AI1687" s="50"/>
      <c r="AJ1687" s="50"/>
      <c r="AK1687" s="41"/>
      <c r="AL1687" s="40"/>
      <c r="AM1687" s="49"/>
      <c r="AN1687" s="43"/>
      <c r="AO1687" s="42"/>
      <c r="AP1687" s="43"/>
      <c r="AQ1687" s="44" t="str">
        <f t="shared" ref="AQ1687:AQ1690" si="205">AA1687</f>
        <v>ENF</v>
      </c>
      <c r="AR1687" s="44" t="str">
        <f t="shared" si="199"/>
        <v/>
      </c>
      <c r="AS1687" s="44"/>
      <c r="AT1687" s="44" t="str">
        <f t="shared" si="202"/>
        <v/>
      </c>
      <c r="AU1687" s="44" t="str">
        <f t="shared" si="203"/>
        <v/>
      </c>
      <c r="AV1687" s="38">
        <v>4.0</v>
      </c>
      <c r="AW1687" s="38"/>
      <c r="AX1687" s="38"/>
      <c r="AY1687" s="38"/>
      <c r="AZ1687" s="29">
        <v>1000.0</v>
      </c>
      <c r="BA1687" s="29"/>
      <c r="BB1687" s="29">
        <v>2.0</v>
      </c>
      <c r="BC1687" s="29" t="s">
        <v>219</v>
      </c>
      <c r="BD1687" s="29" t="s">
        <v>88</v>
      </c>
      <c r="BE1687" s="29"/>
      <c r="BF1687" s="29"/>
      <c r="BG1687" s="29" t="s">
        <v>220</v>
      </c>
      <c r="BH1687" s="29"/>
      <c r="BI1687" s="29"/>
      <c r="BJ1687" s="29"/>
      <c r="BK1687" s="29"/>
      <c r="BL1687" s="29"/>
      <c r="BM1687" s="45"/>
      <c r="BN1687" s="45"/>
      <c r="BO1687" s="46"/>
      <c r="BP1687" s="2"/>
      <c r="BQ1687" s="3"/>
    </row>
    <row r="1688" ht="15.75" customHeight="1">
      <c r="A1688" s="34">
        <v>1747.0</v>
      </c>
      <c r="B1688" s="34">
        <v>103651.0</v>
      </c>
      <c r="C1688" s="34" t="s">
        <v>76</v>
      </c>
      <c r="D1688" s="34" t="s">
        <v>2768</v>
      </c>
      <c r="E1688" s="34" t="s">
        <v>2769</v>
      </c>
      <c r="F1688" s="34">
        <v>2016.0</v>
      </c>
      <c r="G1688" s="34" t="s">
        <v>2770</v>
      </c>
      <c r="H1688" s="34" t="s">
        <v>282</v>
      </c>
      <c r="I1688" s="34" t="s">
        <v>2771</v>
      </c>
      <c r="J1688" s="35"/>
      <c r="K1688" s="36">
        <v>0.87</v>
      </c>
      <c r="L1688" s="48">
        <v>5.424657534246576</v>
      </c>
      <c r="M1688" s="36"/>
      <c r="N1688" s="36"/>
      <c r="O1688" s="36"/>
      <c r="P1688" s="52">
        <f t="shared" si="204"/>
        <v>16.03787879</v>
      </c>
      <c r="Q1688" s="36" t="s">
        <v>96</v>
      </c>
      <c r="R1688" s="36" t="s">
        <v>209</v>
      </c>
      <c r="S1688" s="36">
        <v>1000.0</v>
      </c>
      <c r="T1688" s="36" t="s">
        <v>2772</v>
      </c>
      <c r="U1688" s="36" t="s">
        <v>245</v>
      </c>
      <c r="V1688" s="36"/>
      <c r="W1688" s="36"/>
      <c r="X1688" s="38">
        <v>9.0</v>
      </c>
      <c r="Y1688" s="38"/>
      <c r="Z1688" s="38"/>
      <c r="AA1688" s="38" t="s">
        <v>336</v>
      </c>
      <c r="AB1688" s="38"/>
      <c r="AC1688" s="38"/>
      <c r="AD1688" s="38"/>
      <c r="AE1688" s="38"/>
      <c r="AF1688" s="38"/>
      <c r="AG1688" s="38"/>
      <c r="AH1688" s="38"/>
      <c r="AI1688" s="50"/>
      <c r="AJ1688" s="50"/>
      <c r="AK1688" s="41"/>
      <c r="AL1688" s="40"/>
      <c r="AM1688" s="49"/>
      <c r="AN1688" s="43"/>
      <c r="AO1688" s="42"/>
      <c r="AP1688" s="43"/>
      <c r="AQ1688" s="44" t="str">
        <f t="shared" si="205"/>
        <v>EBF</v>
      </c>
      <c r="AR1688" s="44" t="str">
        <f t="shared" si="199"/>
        <v/>
      </c>
      <c r="AS1688" s="44"/>
      <c r="AT1688" s="44" t="str">
        <f t="shared" si="202"/>
        <v/>
      </c>
      <c r="AU1688" s="44" t="str">
        <f t="shared" si="203"/>
        <v/>
      </c>
      <c r="AV1688" s="38">
        <v>4.0</v>
      </c>
      <c r="AW1688" s="38"/>
      <c r="AX1688" s="38"/>
      <c r="AY1688" s="38"/>
      <c r="AZ1688" s="29">
        <v>1000.0</v>
      </c>
      <c r="BA1688" s="29"/>
      <c r="BB1688" s="29">
        <v>2.0</v>
      </c>
      <c r="BC1688" s="29" t="s">
        <v>219</v>
      </c>
      <c r="BD1688" s="29" t="s">
        <v>88</v>
      </c>
      <c r="BE1688" s="29"/>
      <c r="BF1688" s="29"/>
      <c r="BG1688" s="29" t="s">
        <v>220</v>
      </c>
      <c r="BH1688" s="29"/>
      <c r="BI1688" s="29"/>
      <c r="BJ1688" s="29"/>
      <c r="BK1688" s="29"/>
      <c r="BL1688" s="29"/>
      <c r="BM1688" s="45"/>
      <c r="BN1688" s="45"/>
      <c r="BO1688" s="46"/>
      <c r="BP1688" s="2"/>
      <c r="BQ1688" s="3"/>
    </row>
    <row r="1689" ht="15.75" customHeight="1">
      <c r="A1689" s="34">
        <v>1748.0</v>
      </c>
      <c r="B1689" s="34">
        <v>103651.0</v>
      </c>
      <c r="C1689" s="34" t="s">
        <v>76</v>
      </c>
      <c r="D1689" s="34" t="s">
        <v>2768</v>
      </c>
      <c r="E1689" s="34" t="s">
        <v>2769</v>
      </c>
      <c r="F1689" s="34">
        <v>2016.0</v>
      </c>
      <c r="G1689" s="34" t="s">
        <v>2770</v>
      </c>
      <c r="H1689" s="34" t="s">
        <v>282</v>
      </c>
      <c r="I1689" s="34" t="s">
        <v>2771</v>
      </c>
      <c r="J1689" s="35"/>
      <c r="K1689" s="36">
        <v>0.5</v>
      </c>
      <c r="L1689" s="48">
        <v>4.120547945205479</v>
      </c>
      <c r="M1689" s="36"/>
      <c r="N1689" s="36"/>
      <c r="O1689" s="36"/>
      <c r="P1689" s="52">
        <f t="shared" si="204"/>
        <v>12.13430851</v>
      </c>
      <c r="Q1689" s="36" t="s">
        <v>96</v>
      </c>
      <c r="R1689" s="36" t="s">
        <v>209</v>
      </c>
      <c r="S1689" s="36">
        <v>1000.0</v>
      </c>
      <c r="T1689" s="36" t="s">
        <v>2772</v>
      </c>
      <c r="U1689" s="36" t="s">
        <v>245</v>
      </c>
      <c r="V1689" s="36"/>
      <c r="W1689" s="36"/>
      <c r="X1689" s="38">
        <v>14.0</v>
      </c>
      <c r="Y1689" s="38"/>
      <c r="Z1689" s="38"/>
      <c r="AA1689" s="38" t="s">
        <v>370</v>
      </c>
      <c r="AB1689" s="38"/>
      <c r="AC1689" s="38"/>
      <c r="AD1689" s="38"/>
      <c r="AE1689" s="38"/>
      <c r="AF1689" s="38"/>
      <c r="AG1689" s="38"/>
      <c r="AH1689" s="38"/>
      <c r="AI1689" s="50"/>
      <c r="AJ1689" s="50"/>
      <c r="AK1689" s="41"/>
      <c r="AL1689" s="40"/>
      <c r="AM1689" s="49"/>
      <c r="AN1689" s="43"/>
      <c r="AO1689" s="42"/>
      <c r="AP1689" s="43"/>
      <c r="AQ1689" s="44" t="str">
        <f t="shared" si="205"/>
        <v>DBF</v>
      </c>
      <c r="AR1689" s="44" t="str">
        <f t="shared" si="199"/>
        <v/>
      </c>
      <c r="AS1689" s="44"/>
      <c r="AT1689" s="44" t="str">
        <f t="shared" si="202"/>
        <v/>
      </c>
      <c r="AU1689" s="44" t="str">
        <f t="shared" si="203"/>
        <v/>
      </c>
      <c r="AV1689" s="38">
        <v>4.0</v>
      </c>
      <c r="AW1689" s="38"/>
      <c r="AX1689" s="38"/>
      <c r="AY1689" s="38"/>
      <c r="AZ1689" s="29">
        <v>1000.0</v>
      </c>
      <c r="BA1689" s="29"/>
      <c r="BB1689" s="29">
        <v>2.0</v>
      </c>
      <c r="BC1689" s="29" t="s">
        <v>219</v>
      </c>
      <c r="BD1689" s="29" t="s">
        <v>88</v>
      </c>
      <c r="BE1689" s="29"/>
      <c r="BF1689" s="29"/>
      <c r="BG1689" s="29" t="s">
        <v>220</v>
      </c>
      <c r="BH1689" s="29"/>
      <c r="BI1689" s="29"/>
      <c r="BJ1689" s="29"/>
      <c r="BK1689" s="29"/>
      <c r="BL1689" s="29"/>
      <c r="BM1689" s="45"/>
      <c r="BN1689" s="45"/>
      <c r="BO1689" s="46"/>
      <c r="BP1689" s="2"/>
      <c r="BQ1689" s="3"/>
    </row>
    <row r="1690" ht="15.75" customHeight="1">
      <c r="A1690" s="34">
        <v>1749.0</v>
      </c>
      <c r="B1690" s="34">
        <v>103651.0</v>
      </c>
      <c r="C1690" s="34" t="s">
        <v>76</v>
      </c>
      <c r="D1690" s="34" t="s">
        <v>2768</v>
      </c>
      <c r="E1690" s="34" t="s">
        <v>2769</v>
      </c>
      <c r="F1690" s="34">
        <v>2016.0</v>
      </c>
      <c r="G1690" s="34" t="s">
        <v>2770</v>
      </c>
      <c r="H1690" s="34" t="s">
        <v>282</v>
      </c>
      <c r="I1690" s="34" t="s">
        <v>2771</v>
      </c>
      <c r="J1690" s="35"/>
      <c r="K1690" s="36">
        <v>0.67</v>
      </c>
      <c r="L1690" s="48">
        <v>4.49041095890411</v>
      </c>
      <c r="M1690" s="36"/>
      <c r="N1690" s="36"/>
      <c r="O1690" s="36"/>
      <c r="P1690" s="52">
        <f t="shared" si="204"/>
        <v>14.92068334</v>
      </c>
      <c r="Q1690" s="36" t="s">
        <v>96</v>
      </c>
      <c r="R1690" s="36" t="s">
        <v>209</v>
      </c>
      <c r="S1690" s="36">
        <v>1000.0</v>
      </c>
      <c r="T1690" s="36" t="s">
        <v>2772</v>
      </c>
      <c r="U1690" s="36" t="s">
        <v>245</v>
      </c>
      <c r="V1690" s="36"/>
      <c r="W1690" s="36"/>
      <c r="X1690" s="38">
        <v>6.0</v>
      </c>
      <c r="Y1690" s="38"/>
      <c r="Z1690" s="38"/>
      <c r="AA1690" s="38" t="s">
        <v>452</v>
      </c>
      <c r="AB1690" s="38"/>
      <c r="AC1690" s="38"/>
      <c r="AD1690" s="38"/>
      <c r="AE1690" s="38"/>
      <c r="AF1690" s="38"/>
      <c r="AG1690" s="38"/>
      <c r="AH1690" s="38"/>
      <c r="AI1690" s="50"/>
      <c r="AJ1690" s="50"/>
      <c r="AK1690" s="41"/>
      <c r="AL1690" s="40"/>
      <c r="AM1690" s="49"/>
      <c r="AN1690" s="43"/>
      <c r="AO1690" s="42"/>
      <c r="AP1690" s="43"/>
      <c r="AQ1690" s="44" t="str">
        <f t="shared" si="205"/>
        <v>MF</v>
      </c>
      <c r="AR1690" s="44" t="str">
        <f t="shared" si="199"/>
        <v/>
      </c>
      <c r="AS1690" s="44"/>
      <c r="AT1690" s="44" t="str">
        <f t="shared" si="202"/>
        <v/>
      </c>
      <c r="AU1690" s="44" t="str">
        <f t="shared" si="203"/>
        <v/>
      </c>
      <c r="AV1690" s="38">
        <v>4.0</v>
      </c>
      <c r="AW1690" s="38"/>
      <c r="AX1690" s="38"/>
      <c r="AY1690" s="38"/>
      <c r="AZ1690" s="29">
        <v>1000.0</v>
      </c>
      <c r="BA1690" s="29"/>
      <c r="BB1690" s="29">
        <v>2.0</v>
      </c>
      <c r="BC1690" s="29" t="s">
        <v>219</v>
      </c>
      <c r="BD1690" s="29" t="s">
        <v>88</v>
      </c>
      <c r="BE1690" s="29"/>
      <c r="BF1690" s="29"/>
      <c r="BG1690" s="29" t="s">
        <v>220</v>
      </c>
      <c r="BH1690" s="29"/>
      <c r="BI1690" s="29"/>
      <c r="BJ1690" s="29"/>
      <c r="BK1690" s="29"/>
      <c r="BL1690" s="29"/>
      <c r="BM1690" s="45"/>
      <c r="BN1690" s="45"/>
      <c r="BO1690" s="46"/>
      <c r="BP1690" s="2"/>
      <c r="BQ1690" s="3"/>
    </row>
    <row r="1691" ht="15.75" customHeight="1">
      <c r="A1691" s="34">
        <v>1750.0</v>
      </c>
      <c r="B1691" s="34">
        <v>103651.0</v>
      </c>
      <c r="C1691" s="34" t="s">
        <v>76</v>
      </c>
      <c r="D1691" s="34" t="s">
        <v>2768</v>
      </c>
      <c r="E1691" s="34" t="s">
        <v>2769</v>
      </c>
      <c r="F1691" s="34">
        <v>2016.0</v>
      </c>
      <c r="G1691" s="34" t="s">
        <v>2770</v>
      </c>
      <c r="H1691" s="34" t="s">
        <v>282</v>
      </c>
      <c r="I1691" s="34" t="s">
        <v>2771</v>
      </c>
      <c r="J1691" s="35"/>
      <c r="K1691" s="36">
        <v>0.0</v>
      </c>
      <c r="L1691" s="48">
        <v>1.3643835616438356</v>
      </c>
      <c r="M1691" s="36"/>
      <c r="N1691" s="36"/>
      <c r="O1691" s="36"/>
      <c r="P1691" s="52">
        <f t="shared" si="204"/>
        <v>0</v>
      </c>
      <c r="Q1691" s="36" t="s">
        <v>96</v>
      </c>
      <c r="R1691" s="36" t="s">
        <v>209</v>
      </c>
      <c r="S1691" s="36">
        <v>1000.0</v>
      </c>
      <c r="T1691" s="36" t="s">
        <v>2772</v>
      </c>
      <c r="U1691" s="36" t="s">
        <v>245</v>
      </c>
      <c r="V1691" s="36"/>
      <c r="W1691" s="36"/>
      <c r="X1691" s="38">
        <v>5.0</v>
      </c>
      <c r="Y1691" s="38"/>
      <c r="Z1691" s="38"/>
      <c r="AA1691" s="38" t="s">
        <v>2775</v>
      </c>
      <c r="AB1691" s="38"/>
      <c r="AC1691" s="38"/>
      <c r="AD1691" s="38"/>
      <c r="AE1691" s="38"/>
      <c r="AF1691" s="38"/>
      <c r="AG1691" s="38"/>
      <c r="AH1691" s="38"/>
      <c r="AI1691" s="50"/>
      <c r="AJ1691" s="50"/>
      <c r="AK1691" s="41"/>
      <c r="AL1691" s="40"/>
      <c r="AM1691" s="49"/>
      <c r="AN1691" s="43"/>
      <c r="AO1691" s="42"/>
      <c r="AP1691" s="43"/>
      <c r="AQ1691" s="44"/>
      <c r="AR1691" s="44" t="str">
        <f t="shared" si="199"/>
        <v/>
      </c>
      <c r="AS1691" s="44"/>
      <c r="AT1691" s="44" t="str">
        <f t="shared" si="202"/>
        <v/>
      </c>
      <c r="AU1691" s="44" t="str">
        <f t="shared" si="203"/>
        <v/>
      </c>
      <c r="AV1691" s="38">
        <v>4.0</v>
      </c>
      <c r="AW1691" s="38"/>
      <c r="AX1691" s="38"/>
      <c r="AY1691" s="38"/>
      <c r="AZ1691" s="29">
        <v>1000.0</v>
      </c>
      <c r="BA1691" s="29"/>
      <c r="BB1691" s="29">
        <v>2.0</v>
      </c>
      <c r="BC1691" s="29" t="s">
        <v>219</v>
      </c>
      <c r="BD1691" s="29" t="s">
        <v>88</v>
      </c>
      <c r="BE1691" s="29"/>
      <c r="BF1691" s="29"/>
      <c r="BG1691" s="29" t="s">
        <v>220</v>
      </c>
      <c r="BH1691" s="29"/>
      <c r="BI1691" s="29"/>
      <c r="BJ1691" s="29"/>
      <c r="BK1691" s="29"/>
      <c r="BL1691" s="29"/>
      <c r="BM1691" s="45"/>
      <c r="BN1691" s="45"/>
      <c r="BO1691" s="46"/>
      <c r="BP1691" s="2"/>
      <c r="BQ1691" s="3"/>
    </row>
    <row r="1692" ht="15.75" customHeight="1">
      <c r="A1692" s="34">
        <v>1751.0</v>
      </c>
      <c r="B1692" s="34">
        <v>103651.0</v>
      </c>
      <c r="C1692" s="34" t="s">
        <v>76</v>
      </c>
      <c r="D1692" s="34" t="s">
        <v>2768</v>
      </c>
      <c r="E1692" s="34" t="s">
        <v>2769</v>
      </c>
      <c r="F1692" s="34">
        <v>2016.0</v>
      </c>
      <c r="G1692" s="34" t="s">
        <v>2770</v>
      </c>
      <c r="H1692" s="34" t="s">
        <v>282</v>
      </c>
      <c r="I1692" s="34" t="s">
        <v>2771</v>
      </c>
      <c r="J1692" s="35"/>
      <c r="K1692" s="36">
        <v>-0.25</v>
      </c>
      <c r="L1692" s="48">
        <v>2.1835616438356165</v>
      </c>
      <c r="M1692" s="36"/>
      <c r="N1692" s="36"/>
      <c r="O1692" s="36"/>
      <c r="P1692" s="52">
        <f t="shared" si="204"/>
        <v>-11.44918444</v>
      </c>
      <c r="Q1692" s="36" t="s">
        <v>96</v>
      </c>
      <c r="R1692" s="36" t="s">
        <v>209</v>
      </c>
      <c r="S1692" s="36">
        <v>1000.0</v>
      </c>
      <c r="T1692" s="36" t="s">
        <v>2772</v>
      </c>
      <c r="U1692" s="36" t="s">
        <v>245</v>
      </c>
      <c r="V1692" s="36"/>
      <c r="W1692" s="36"/>
      <c r="X1692" s="38">
        <v>10.0</v>
      </c>
      <c r="Y1692" s="38"/>
      <c r="Z1692" s="38"/>
      <c r="AA1692" s="38" t="s">
        <v>2776</v>
      </c>
      <c r="AB1692" s="38"/>
      <c r="AC1692" s="38"/>
      <c r="AD1692" s="38"/>
      <c r="AE1692" s="38"/>
      <c r="AF1692" s="38"/>
      <c r="AG1692" s="38"/>
      <c r="AH1692" s="38"/>
      <c r="AI1692" s="50"/>
      <c r="AJ1692" s="50"/>
      <c r="AK1692" s="41"/>
      <c r="AL1692" s="40"/>
      <c r="AM1692" s="49"/>
      <c r="AN1692" s="43"/>
      <c r="AO1692" s="42"/>
      <c r="AP1692" s="43"/>
      <c r="AQ1692" s="44"/>
      <c r="AR1692" s="44" t="str">
        <f t="shared" si="199"/>
        <v/>
      </c>
      <c r="AS1692" s="44"/>
      <c r="AT1692" s="44" t="str">
        <f t="shared" si="202"/>
        <v/>
      </c>
      <c r="AU1692" s="44" t="str">
        <f t="shared" si="203"/>
        <v/>
      </c>
      <c r="AV1692" s="38">
        <v>4.0</v>
      </c>
      <c r="AW1692" s="38"/>
      <c r="AX1692" s="38"/>
      <c r="AY1692" s="38"/>
      <c r="AZ1692" s="29">
        <v>1000.0</v>
      </c>
      <c r="BA1692" s="29"/>
      <c r="BB1692" s="29">
        <v>2.0</v>
      </c>
      <c r="BC1692" s="29" t="s">
        <v>219</v>
      </c>
      <c r="BD1692" s="29" t="s">
        <v>88</v>
      </c>
      <c r="BE1692" s="29"/>
      <c r="BF1692" s="29"/>
      <c r="BG1692" s="29" t="s">
        <v>220</v>
      </c>
      <c r="BH1692" s="29"/>
      <c r="BI1692" s="29"/>
      <c r="BJ1692" s="29"/>
      <c r="BK1692" s="29"/>
      <c r="BL1692" s="29"/>
      <c r="BM1692" s="45"/>
      <c r="BN1692" s="45"/>
      <c r="BO1692" s="46"/>
      <c r="BP1692" s="2"/>
      <c r="BQ1692" s="3"/>
    </row>
    <row r="1693" ht="15.75" customHeight="1">
      <c r="A1693" s="34">
        <v>1752.0</v>
      </c>
      <c r="B1693" s="34">
        <v>103651.0</v>
      </c>
      <c r="C1693" s="34" t="s">
        <v>76</v>
      </c>
      <c r="D1693" s="34" t="s">
        <v>2768</v>
      </c>
      <c r="E1693" s="34" t="s">
        <v>2769</v>
      </c>
      <c r="F1693" s="34">
        <v>2016.0</v>
      </c>
      <c r="G1693" s="34" t="s">
        <v>2770</v>
      </c>
      <c r="H1693" s="34" t="s">
        <v>282</v>
      </c>
      <c r="I1693" s="34" t="s">
        <v>2771</v>
      </c>
      <c r="J1693" s="35"/>
      <c r="K1693" s="36">
        <v>0.12</v>
      </c>
      <c r="L1693" s="48">
        <v>2.83013698630137</v>
      </c>
      <c r="M1693" s="36"/>
      <c r="N1693" s="36"/>
      <c r="O1693" s="36"/>
      <c r="P1693" s="52">
        <f t="shared" si="204"/>
        <v>4.240077444</v>
      </c>
      <c r="Q1693" s="36" t="s">
        <v>96</v>
      </c>
      <c r="R1693" s="36" t="s">
        <v>209</v>
      </c>
      <c r="S1693" s="36">
        <v>1000.0</v>
      </c>
      <c r="T1693" s="36" t="s">
        <v>2772</v>
      </c>
      <c r="U1693" s="36" t="s">
        <v>245</v>
      </c>
      <c r="V1693" s="36"/>
      <c r="W1693" s="36"/>
      <c r="X1693" s="38">
        <v>25.0</v>
      </c>
      <c r="Y1693" s="38"/>
      <c r="Z1693" s="38"/>
      <c r="AA1693" s="38" t="s">
        <v>2777</v>
      </c>
      <c r="AB1693" s="38"/>
      <c r="AC1693" s="38"/>
      <c r="AD1693" s="38"/>
      <c r="AE1693" s="38"/>
      <c r="AF1693" s="38"/>
      <c r="AG1693" s="38"/>
      <c r="AH1693" s="38"/>
      <c r="AI1693" s="50"/>
      <c r="AJ1693" s="50"/>
      <c r="AK1693" s="41"/>
      <c r="AL1693" s="40"/>
      <c r="AM1693" s="49"/>
      <c r="AN1693" s="43"/>
      <c r="AO1693" s="42"/>
      <c r="AP1693" s="43"/>
      <c r="AQ1693" s="44"/>
      <c r="AR1693" s="44" t="str">
        <f t="shared" si="199"/>
        <v/>
      </c>
      <c r="AS1693" s="44"/>
      <c r="AT1693" s="44" t="str">
        <f t="shared" si="202"/>
        <v/>
      </c>
      <c r="AU1693" s="44" t="str">
        <f t="shared" si="203"/>
        <v/>
      </c>
      <c r="AV1693" s="38">
        <v>4.0</v>
      </c>
      <c r="AW1693" s="38"/>
      <c r="AX1693" s="38"/>
      <c r="AY1693" s="38"/>
      <c r="AZ1693" s="29">
        <v>1000.0</v>
      </c>
      <c r="BA1693" s="29"/>
      <c r="BB1693" s="29">
        <v>2.0</v>
      </c>
      <c r="BC1693" s="29" t="s">
        <v>219</v>
      </c>
      <c r="BD1693" s="29" t="s">
        <v>88</v>
      </c>
      <c r="BE1693" s="29"/>
      <c r="BF1693" s="29"/>
      <c r="BG1693" s="29" t="s">
        <v>220</v>
      </c>
      <c r="BH1693" s="29"/>
      <c r="BI1693" s="29"/>
      <c r="BJ1693" s="29"/>
      <c r="BK1693" s="29"/>
      <c r="BL1693" s="29"/>
      <c r="BM1693" s="45"/>
      <c r="BN1693" s="45"/>
      <c r="BO1693" s="46"/>
      <c r="BP1693" s="2"/>
      <c r="BQ1693" s="3"/>
    </row>
    <row r="1694" ht="15.75" customHeight="1">
      <c r="A1694" s="34">
        <v>1753.0</v>
      </c>
      <c r="B1694" s="34">
        <v>103651.0</v>
      </c>
      <c r="C1694" s="34" t="s">
        <v>76</v>
      </c>
      <c r="D1694" s="34" t="s">
        <v>2768</v>
      </c>
      <c r="E1694" s="34" t="s">
        <v>2769</v>
      </c>
      <c r="F1694" s="34">
        <v>2016.0</v>
      </c>
      <c r="G1694" s="34" t="s">
        <v>2770</v>
      </c>
      <c r="H1694" s="34" t="s">
        <v>282</v>
      </c>
      <c r="I1694" s="34" t="s">
        <v>2771</v>
      </c>
      <c r="J1694" s="35"/>
      <c r="K1694" s="36">
        <v>-0.17</v>
      </c>
      <c r="L1694" s="48">
        <v>3.293150684931507</v>
      </c>
      <c r="M1694" s="36"/>
      <c r="N1694" s="36"/>
      <c r="O1694" s="36"/>
      <c r="P1694" s="52">
        <f t="shared" si="204"/>
        <v>-5.162229617</v>
      </c>
      <c r="Q1694" s="36" t="s">
        <v>96</v>
      </c>
      <c r="R1694" s="36" t="s">
        <v>209</v>
      </c>
      <c r="S1694" s="36">
        <v>1000.0</v>
      </c>
      <c r="T1694" s="36" t="s">
        <v>2772</v>
      </c>
      <c r="U1694" s="36" t="s">
        <v>245</v>
      </c>
      <c r="V1694" s="36"/>
      <c r="W1694" s="36"/>
      <c r="X1694" s="38">
        <v>10.0</v>
      </c>
      <c r="Y1694" s="38"/>
      <c r="Z1694" s="38"/>
      <c r="AA1694" s="38" t="s">
        <v>86</v>
      </c>
      <c r="AB1694" s="38"/>
      <c r="AC1694" s="38"/>
      <c r="AD1694" s="38"/>
      <c r="AE1694" s="38"/>
      <c r="AF1694" s="38"/>
      <c r="AG1694" s="38"/>
      <c r="AH1694" s="38"/>
      <c r="AI1694" s="50"/>
      <c r="AJ1694" s="50"/>
      <c r="AK1694" s="41"/>
      <c r="AL1694" s="40"/>
      <c r="AM1694" s="49"/>
      <c r="AN1694" s="43"/>
      <c r="AO1694" s="42"/>
      <c r="AP1694" s="43"/>
      <c r="AQ1694" s="44" t="str">
        <f>AA1694</f>
        <v>CRO</v>
      </c>
      <c r="AR1694" s="44" t="str">
        <f t="shared" si="199"/>
        <v/>
      </c>
      <c r="AS1694" s="44"/>
      <c r="AT1694" s="44" t="str">
        <f t="shared" si="202"/>
        <v/>
      </c>
      <c r="AU1694" s="44" t="str">
        <f t="shared" si="203"/>
        <v/>
      </c>
      <c r="AV1694" s="38">
        <v>4.0</v>
      </c>
      <c r="AW1694" s="38"/>
      <c r="AX1694" s="38"/>
      <c r="AY1694" s="38"/>
      <c r="AZ1694" s="29">
        <v>1000.0</v>
      </c>
      <c r="BA1694" s="29"/>
      <c r="BB1694" s="29">
        <v>2.0</v>
      </c>
      <c r="BC1694" s="29" t="s">
        <v>219</v>
      </c>
      <c r="BD1694" s="29" t="s">
        <v>88</v>
      </c>
      <c r="BE1694" s="29"/>
      <c r="BF1694" s="29"/>
      <c r="BG1694" s="29" t="s">
        <v>220</v>
      </c>
      <c r="BH1694" s="29"/>
      <c r="BI1694" s="29"/>
      <c r="BJ1694" s="29"/>
      <c r="BK1694" s="29"/>
      <c r="BL1694" s="29"/>
      <c r="BM1694" s="45"/>
      <c r="BN1694" s="45"/>
      <c r="BO1694" s="46"/>
      <c r="BP1694" s="2"/>
      <c r="BQ1694" s="3"/>
    </row>
    <row r="1695" ht="15.75" customHeight="1">
      <c r="A1695" s="34">
        <v>1754.0</v>
      </c>
      <c r="B1695" s="34">
        <v>103651.0</v>
      </c>
      <c r="C1695" s="34" t="s">
        <v>76</v>
      </c>
      <c r="D1695" s="34" t="s">
        <v>2768</v>
      </c>
      <c r="E1695" s="34" t="s">
        <v>2769</v>
      </c>
      <c r="F1695" s="34">
        <v>2016.0</v>
      </c>
      <c r="G1695" s="34" t="s">
        <v>2770</v>
      </c>
      <c r="H1695" s="34" t="s">
        <v>282</v>
      </c>
      <c r="I1695" s="34" t="s">
        <v>2771</v>
      </c>
      <c r="J1695" s="35"/>
      <c r="K1695" s="36">
        <v>0.14</v>
      </c>
      <c r="L1695" s="48">
        <v>3.4465753424657533</v>
      </c>
      <c r="M1695" s="36"/>
      <c r="N1695" s="36"/>
      <c r="O1695" s="36"/>
      <c r="P1695" s="52">
        <f t="shared" si="204"/>
        <v>4.06200318</v>
      </c>
      <c r="Q1695" s="36" t="s">
        <v>96</v>
      </c>
      <c r="R1695" s="36" t="s">
        <v>209</v>
      </c>
      <c r="S1695" s="36">
        <v>1000.0</v>
      </c>
      <c r="T1695" s="36" t="s">
        <v>2772</v>
      </c>
      <c r="U1695" s="36" t="s">
        <v>245</v>
      </c>
      <c r="V1695" s="36"/>
      <c r="W1695" s="36"/>
      <c r="X1695" s="38">
        <v>99.0</v>
      </c>
      <c r="Y1695" s="38"/>
      <c r="Z1695" s="38"/>
      <c r="AA1695" s="38" t="s">
        <v>2778</v>
      </c>
      <c r="AB1695" s="38"/>
      <c r="AC1695" s="38"/>
      <c r="AD1695" s="38"/>
      <c r="AE1695" s="38"/>
      <c r="AF1695" s="38"/>
      <c r="AG1695" s="38"/>
      <c r="AH1695" s="38"/>
      <c r="AI1695" s="50"/>
      <c r="AJ1695" s="50"/>
      <c r="AK1695" s="41"/>
      <c r="AL1695" s="40"/>
      <c r="AM1695" s="49"/>
      <c r="AN1695" s="43"/>
      <c r="AO1695" s="42"/>
      <c r="AP1695" s="43"/>
      <c r="AQ1695" s="44"/>
      <c r="AR1695" s="44" t="str">
        <f t="shared" si="199"/>
        <v/>
      </c>
      <c r="AS1695" s="44"/>
      <c r="AT1695" s="44" t="str">
        <f t="shared" si="202"/>
        <v/>
      </c>
      <c r="AU1695" s="44" t="str">
        <f t="shared" si="203"/>
        <v/>
      </c>
      <c r="AV1695" s="38">
        <v>4.0</v>
      </c>
      <c r="AW1695" s="38"/>
      <c r="AX1695" s="38"/>
      <c r="AY1695" s="38"/>
      <c r="AZ1695" s="29">
        <v>1000.0</v>
      </c>
      <c r="BA1695" s="29"/>
      <c r="BB1695" s="29">
        <v>2.0</v>
      </c>
      <c r="BC1695" s="29" t="s">
        <v>219</v>
      </c>
      <c r="BD1695" s="29" t="s">
        <v>88</v>
      </c>
      <c r="BE1695" s="29"/>
      <c r="BF1695" s="29"/>
      <c r="BG1695" s="29" t="s">
        <v>220</v>
      </c>
      <c r="BH1695" s="29"/>
      <c r="BI1695" s="29"/>
      <c r="BJ1695" s="29"/>
      <c r="BK1695" s="29"/>
      <c r="BL1695" s="29"/>
      <c r="BM1695" s="45"/>
      <c r="BN1695" s="45"/>
      <c r="BO1695" s="46"/>
      <c r="BP1695" s="2"/>
      <c r="BQ1695" s="3"/>
    </row>
    <row r="1696" ht="15.75" customHeight="1">
      <c r="A1696" s="34">
        <v>1759.0</v>
      </c>
      <c r="B1696" s="34">
        <v>202130.0</v>
      </c>
      <c r="C1696" s="34" t="s">
        <v>76</v>
      </c>
      <c r="D1696" s="34" t="s">
        <v>2779</v>
      </c>
      <c r="E1696" s="34" t="s">
        <v>2780</v>
      </c>
      <c r="F1696" s="34">
        <v>2019.0</v>
      </c>
      <c r="G1696" s="34" t="s">
        <v>2781</v>
      </c>
      <c r="H1696" s="34" t="s">
        <v>282</v>
      </c>
      <c r="I1696" s="34" t="s">
        <v>2782</v>
      </c>
      <c r="J1696" s="35"/>
      <c r="K1696" s="36">
        <v>-0.14</v>
      </c>
      <c r="L1696" s="36">
        <v>1.98</v>
      </c>
      <c r="M1696" s="36"/>
      <c r="N1696" s="36"/>
      <c r="O1696" s="36"/>
      <c r="P1696" s="52">
        <f t="shared" si="204"/>
        <v>-7.070707071</v>
      </c>
      <c r="Q1696" s="36"/>
      <c r="R1696" s="36" t="s">
        <v>209</v>
      </c>
      <c r="S1696" s="36">
        <v>1000.0</v>
      </c>
      <c r="T1696" s="36" t="s">
        <v>506</v>
      </c>
      <c r="U1696" s="36" t="s">
        <v>351</v>
      </c>
      <c r="V1696" s="36"/>
      <c r="W1696" s="36"/>
      <c r="X1696" s="38">
        <v>1.0</v>
      </c>
      <c r="Y1696" s="38" t="s">
        <v>2783</v>
      </c>
      <c r="Z1696" s="38" t="s">
        <v>275</v>
      </c>
      <c r="AA1696" s="38" t="s">
        <v>86</v>
      </c>
      <c r="AB1696" s="38" t="s">
        <v>2784</v>
      </c>
      <c r="AC1696" s="38" t="s">
        <v>2785</v>
      </c>
      <c r="AD1696" s="38" t="s">
        <v>198</v>
      </c>
      <c r="AE1696" s="38">
        <v>1519.0</v>
      </c>
      <c r="AF1696" s="38" t="s">
        <v>1048</v>
      </c>
      <c r="AG1696" s="38" t="s">
        <v>657</v>
      </c>
      <c r="AH1696" s="38"/>
      <c r="AI1696" s="50">
        <v>38.86</v>
      </c>
      <c r="AJ1696" s="50">
        <v>100.41</v>
      </c>
      <c r="AK1696" s="41" t="s">
        <v>86</v>
      </c>
      <c r="AL1696" s="40" t="s">
        <v>86</v>
      </c>
      <c r="AM1696" s="49">
        <v>1528.0</v>
      </c>
      <c r="AN1696" s="51">
        <v>1528.0</v>
      </c>
      <c r="AO1696" s="42" t="s">
        <v>261</v>
      </c>
      <c r="AP1696" s="43" t="s">
        <v>261</v>
      </c>
      <c r="AQ1696" s="44" t="str">
        <f>AA1696</f>
        <v>CRO</v>
      </c>
      <c r="AR1696" s="44">
        <f t="shared" si="199"/>
        <v>1528</v>
      </c>
      <c r="AS1696" s="44" t="str">
        <f t="shared" ref="AS1696:AS1777" si="206">LEFT(AO1696,1)</f>
        <v>B</v>
      </c>
      <c r="AT1696" s="44" t="str">
        <f t="shared" si="202"/>
        <v>BW</v>
      </c>
      <c r="AU1696" s="44" t="str">
        <f t="shared" si="203"/>
        <v>BWk</v>
      </c>
      <c r="AV1696" s="38">
        <v>3.0</v>
      </c>
      <c r="AW1696" s="38"/>
      <c r="AX1696" s="38"/>
      <c r="AY1696" s="38"/>
      <c r="AZ1696" s="29">
        <v>1000.0</v>
      </c>
      <c r="BA1696" s="29">
        <v>2.0</v>
      </c>
      <c r="BB1696" s="29">
        <v>1.0</v>
      </c>
      <c r="BC1696" s="29" t="s">
        <v>2786</v>
      </c>
      <c r="BD1696" s="29" t="s">
        <v>88</v>
      </c>
      <c r="BE1696" s="29"/>
      <c r="BF1696" s="29" t="s">
        <v>2426</v>
      </c>
      <c r="BG1696" s="29" t="s">
        <v>91</v>
      </c>
      <c r="BH1696" s="29" t="s">
        <v>88</v>
      </c>
      <c r="BI1696" s="29" t="s">
        <v>1438</v>
      </c>
      <c r="BJ1696" s="29"/>
      <c r="BK1696" s="29" t="s">
        <v>148</v>
      </c>
      <c r="BL1696" s="29" t="s">
        <v>148</v>
      </c>
      <c r="BM1696" s="45">
        <v>1.0</v>
      </c>
      <c r="BN1696" s="45"/>
      <c r="BO1696" s="46" t="s">
        <v>2426</v>
      </c>
      <c r="BP1696" s="2"/>
      <c r="BQ1696" s="3"/>
    </row>
    <row r="1697" ht="15.75" customHeight="1">
      <c r="A1697" s="34">
        <v>1760.0</v>
      </c>
      <c r="B1697" s="34">
        <v>202130.0</v>
      </c>
      <c r="C1697" s="34" t="s">
        <v>76</v>
      </c>
      <c r="D1697" s="34" t="s">
        <v>2779</v>
      </c>
      <c r="E1697" s="34" t="s">
        <v>2780</v>
      </c>
      <c r="F1697" s="34">
        <v>2019.0</v>
      </c>
      <c r="G1697" s="34" t="s">
        <v>2781</v>
      </c>
      <c r="H1697" s="34" t="s">
        <v>282</v>
      </c>
      <c r="I1697" s="34" t="s">
        <v>2782</v>
      </c>
      <c r="J1697" s="35"/>
      <c r="K1697" s="36">
        <v>-0.01</v>
      </c>
      <c r="L1697" s="36">
        <v>1.04</v>
      </c>
      <c r="M1697" s="36"/>
      <c r="N1697" s="36"/>
      <c r="O1697" s="36"/>
      <c r="P1697" s="52">
        <f t="shared" si="204"/>
        <v>-0.9615384615</v>
      </c>
      <c r="Q1697" s="36"/>
      <c r="R1697" s="36" t="s">
        <v>209</v>
      </c>
      <c r="S1697" s="36">
        <v>1000.0</v>
      </c>
      <c r="T1697" s="36" t="s">
        <v>506</v>
      </c>
      <c r="U1697" s="36" t="s">
        <v>676</v>
      </c>
      <c r="V1697" s="36"/>
      <c r="W1697" s="36"/>
      <c r="X1697" s="38">
        <v>1.0</v>
      </c>
      <c r="Y1697" s="38" t="s">
        <v>2787</v>
      </c>
      <c r="Z1697" s="38" t="s">
        <v>2788</v>
      </c>
      <c r="AA1697" s="38" t="s">
        <v>1222</v>
      </c>
      <c r="AB1697" s="38" t="s">
        <v>2789</v>
      </c>
      <c r="AC1697" s="38" t="s">
        <v>2790</v>
      </c>
      <c r="AD1697" s="38" t="s">
        <v>198</v>
      </c>
      <c r="AE1697" s="53"/>
      <c r="AF1697" s="38"/>
      <c r="AG1697" s="57"/>
      <c r="AH1697" s="38"/>
      <c r="AI1697" s="50">
        <v>38.53</v>
      </c>
      <c r="AJ1697" s="50">
        <v>100.25</v>
      </c>
      <c r="AK1697" s="41" t="s">
        <v>197</v>
      </c>
      <c r="AL1697" s="40" t="s">
        <v>197</v>
      </c>
      <c r="AM1697" s="49">
        <v>2897.0</v>
      </c>
      <c r="AN1697" s="51">
        <v>2897.0</v>
      </c>
      <c r="AO1697" s="42" t="s">
        <v>597</v>
      </c>
      <c r="AP1697" s="43" t="s">
        <v>597</v>
      </c>
      <c r="AQ1697" s="80" t="s">
        <v>197</v>
      </c>
      <c r="AR1697" s="44">
        <f t="shared" si="199"/>
        <v>2897</v>
      </c>
      <c r="AS1697" s="44" t="str">
        <f t="shared" si="206"/>
        <v>D</v>
      </c>
      <c r="AT1697" s="44" t="str">
        <f t="shared" si="202"/>
        <v>Dw</v>
      </c>
      <c r="AU1697" s="44" t="str">
        <f t="shared" si="203"/>
        <v>Dwc</v>
      </c>
      <c r="AV1697" s="38">
        <v>3.0</v>
      </c>
      <c r="AW1697" s="38"/>
      <c r="AX1697" s="38"/>
      <c r="AY1697" s="38"/>
      <c r="AZ1697" s="29">
        <v>1000.0</v>
      </c>
      <c r="BA1697" s="29">
        <v>2.0</v>
      </c>
      <c r="BB1697" s="29">
        <v>1.0</v>
      </c>
      <c r="BC1697" s="29" t="s">
        <v>2786</v>
      </c>
      <c r="BD1697" s="29" t="s">
        <v>88</v>
      </c>
      <c r="BE1697" s="29"/>
      <c r="BF1697" s="29" t="s">
        <v>2426</v>
      </c>
      <c r="BG1697" s="29" t="s">
        <v>91</v>
      </c>
      <c r="BH1697" s="29" t="s">
        <v>88</v>
      </c>
      <c r="BI1697" s="29" t="s">
        <v>1438</v>
      </c>
      <c r="BJ1697" s="29"/>
      <c r="BK1697" s="29" t="s">
        <v>148</v>
      </c>
      <c r="BL1697" s="29" t="s">
        <v>148</v>
      </c>
      <c r="BM1697" s="45"/>
      <c r="BN1697" s="45"/>
      <c r="BO1697" s="46"/>
      <c r="BP1697" s="2"/>
      <c r="BQ1697" s="3"/>
    </row>
    <row r="1698" ht="15.75" customHeight="1">
      <c r="A1698" s="34">
        <v>1761.0</v>
      </c>
      <c r="B1698" s="34">
        <v>202130.0</v>
      </c>
      <c r="C1698" s="34" t="s">
        <v>76</v>
      </c>
      <c r="D1698" s="34" t="s">
        <v>2779</v>
      </c>
      <c r="E1698" s="34" t="s">
        <v>2780</v>
      </c>
      <c r="F1698" s="34">
        <v>2019.0</v>
      </c>
      <c r="G1698" s="34" t="s">
        <v>2781</v>
      </c>
      <c r="H1698" s="34" t="s">
        <v>282</v>
      </c>
      <c r="I1698" s="34" t="s">
        <v>2782</v>
      </c>
      <c r="J1698" s="35"/>
      <c r="K1698" s="36">
        <v>0.02</v>
      </c>
      <c r="L1698" s="36">
        <v>1.17</v>
      </c>
      <c r="M1698" s="36"/>
      <c r="N1698" s="36"/>
      <c r="O1698" s="36"/>
      <c r="P1698" s="52">
        <f t="shared" si="204"/>
        <v>1.709401709</v>
      </c>
      <c r="Q1698" s="36"/>
      <c r="R1698" s="36" t="s">
        <v>209</v>
      </c>
      <c r="S1698" s="36">
        <v>1000.0</v>
      </c>
      <c r="T1698" s="36" t="s">
        <v>193</v>
      </c>
      <c r="U1698" s="36" t="s">
        <v>968</v>
      </c>
      <c r="V1698" s="36"/>
      <c r="W1698" s="36"/>
      <c r="X1698" s="38">
        <v>1.0</v>
      </c>
      <c r="Y1698" s="38" t="s">
        <v>2791</v>
      </c>
      <c r="Z1698" s="38" t="s">
        <v>2792</v>
      </c>
      <c r="AA1698" s="38" t="s">
        <v>86</v>
      </c>
      <c r="AB1698" s="38" t="s">
        <v>2793</v>
      </c>
      <c r="AC1698" s="38" t="s">
        <v>2794</v>
      </c>
      <c r="AD1698" s="38" t="s">
        <v>198</v>
      </c>
      <c r="AE1698" s="38">
        <v>184.0</v>
      </c>
      <c r="AF1698" s="38" t="s">
        <v>1048</v>
      </c>
      <c r="AG1698" s="38" t="s">
        <v>1459</v>
      </c>
      <c r="AH1698" s="38"/>
      <c r="AI1698" s="50">
        <v>44.59</v>
      </c>
      <c r="AJ1698" s="50">
        <v>122.88</v>
      </c>
      <c r="AK1698" s="41" t="s">
        <v>86</v>
      </c>
      <c r="AL1698" s="40" t="s">
        <v>86</v>
      </c>
      <c r="AM1698" s="49">
        <v>152.0</v>
      </c>
      <c r="AN1698" s="51">
        <v>152.0</v>
      </c>
      <c r="AO1698" s="42" t="s">
        <v>293</v>
      </c>
      <c r="AP1698" s="43" t="s">
        <v>293</v>
      </c>
      <c r="AQ1698" s="44" t="str">
        <f t="shared" ref="AQ1698:AQ1703" si="207">AA1698</f>
        <v>CRO</v>
      </c>
      <c r="AR1698" s="44">
        <f t="shared" si="199"/>
        <v>152</v>
      </c>
      <c r="AS1698" s="44" t="str">
        <f t="shared" si="206"/>
        <v>B</v>
      </c>
      <c r="AT1698" s="44" t="str">
        <f t="shared" si="202"/>
        <v>BS</v>
      </c>
      <c r="AU1698" s="44" t="str">
        <f t="shared" si="203"/>
        <v>BSk</v>
      </c>
      <c r="AV1698" s="38">
        <v>3.0</v>
      </c>
      <c r="AW1698" s="38"/>
      <c r="AX1698" s="38"/>
      <c r="AY1698" s="38"/>
      <c r="AZ1698" s="29">
        <v>1000.0</v>
      </c>
      <c r="BA1698" s="29">
        <v>2.0</v>
      </c>
      <c r="BB1698" s="29">
        <v>1.0</v>
      </c>
      <c r="BC1698" s="29" t="s">
        <v>2786</v>
      </c>
      <c r="BD1698" s="29" t="s">
        <v>88</v>
      </c>
      <c r="BE1698" s="29"/>
      <c r="BF1698" s="29" t="s">
        <v>2426</v>
      </c>
      <c r="BG1698" s="29" t="s">
        <v>91</v>
      </c>
      <c r="BH1698" s="29" t="s">
        <v>88</v>
      </c>
      <c r="BI1698" s="29" t="s">
        <v>1438</v>
      </c>
      <c r="BJ1698" s="29"/>
      <c r="BK1698" s="29" t="s">
        <v>148</v>
      </c>
      <c r="BL1698" s="29" t="s">
        <v>148</v>
      </c>
      <c r="BM1698" s="45"/>
      <c r="BN1698" s="45"/>
      <c r="BO1698" s="46"/>
      <c r="BP1698" s="2"/>
      <c r="BQ1698" s="3"/>
    </row>
    <row r="1699" ht="15.75" customHeight="1">
      <c r="A1699" s="34">
        <v>1762.0</v>
      </c>
      <c r="B1699" s="34">
        <v>202130.0</v>
      </c>
      <c r="C1699" s="34" t="s">
        <v>76</v>
      </c>
      <c r="D1699" s="34" t="s">
        <v>2779</v>
      </c>
      <c r="E1699" s="34" t="s">
        <v>2780</v>
      </c>
      <c r="F1699" s="34">
        <v>2019.0</v>
      </c>
      <c r="G1699" s="34" t="s">
        <v>2781</v>
      </c>
      <c r="H1699" s="34" t="s">
        <v>282</v>
      </c>
      <c r="I1699" s="34" t="s">
        <v>2782</v>
      </c>
      <c r="J1699" s="35"/>
      <c r="K1699" s="36">
        <v>-0.01</v>
      </c>
      <c r="L1699" s="36">
        <v>1.17</v>
      </c>
      <c r="M1699" s="36"/>
      <c r="N1699" s="36"/>
      <c r="O1699" s="36"/>
      <c r="P1699" s="52">
        <f t="shared" si="204"/>
        <v>-0.8547008547</v>
      </c>
      <c r="Q1699" s="36"/>
      <c r="R1699" s="36" t="s">
        <v>209</v>
      </c>
      <c r="S1699" s="36">
        <v>1000.0</v>
      </c>
      <c r="T1699" s="36" t="s">
        <v>193</v>
      </c>
      <c r="U1699" s="36" t="s">
        <v>968</v>
      </c>
      <c r="V1699" s="36"/>
      <c r="W1699" s="36"/>
      <c r="X1699" s="38">
        <v>1.0</v>
      </c>
      <c r="Y1699" s="38" t="s">
        <v>2795</v>
      </c>
      <c r="Z1699" s="38" t="s">
        <v>2796</v>
      </c>
      <c r="AA1699" s="38" t="s">
        <v>288</v>
      </c>
      <c r="AB1699" s="38" t="s">
        <v>2797</v>
      </c>
      <c r="AC1699" s="38" t="s">
        <v>2798</v>
      </c>
      <c r="AD1699" s="38" t="s">
        <v>198</v>
      </c>
      <c r="AE1699" s="38"/>
      <c r="AF1699" s="38"/>
      <c r="AG1699" s="38" t="s">
        <v>1459</v>
      </c>
      <c r="AH1699" s="38"/>
      <c r="AI1699" s="50">
        <v>44.57</v>
      </c>
      <c r="AJ1699" s="50">
        <v>122.93</v>
      </c>
      <c r="AK1699" s="41" t="s">
        <v>288</v>
      </c>
      <c r="AL1699" s="40" t="s">
        <v>288</v>
      </c>
      <c r="AM1699" s="49">
        <v>152.0</v>
      </c>
      <c r="AN1699" s="51">
        <v>152.0</v>
      </c>
      <c r="AO1699" s="42" t="s">
        <v>293</v>
      </c>
      <c r="AP1699" s="43" t="s">
        <v>293</v>
      </c>
      <c r="AQ1699" s="44" t="str">
        <f t="shared" si="207"/>
        <v>GRA</v>
      </c>
      <c r="AR1699" s="44">
        <f t="shared" si="199"/>
        <v>152</v>
      </c>
      <c r="AS1699" s="44" t="str">
        <f t="shared" si="206"/>
        <v>B</v>
      </c>
      <c r="AT1699" s="44" t="str">
        <f t="shared" si="202"/>
        <v>BS</v>
      </c>
      <c r="AU1699" s="44" t="str">
        <f t="shared" si="203"/>
        <v>BSk</v>
      </c>
      <c r="AV1699" s="38">
        <v>3.0</v>
      </c>
      <c r="AW1699" s="38"/>
      <c r="AX1699" s="38"/>
      <c r="AY1699" s="38"/>
      <c r="AZ1699" s="29">
        <v>1000.0</v>
      </c>
      <c r="BA1699" s="29">
        <v>2.0</v>
      </c>
      <c r="BB1699" s="29">
        <v>1.0</v>
      </c>
      <c r="BC1699" s="29" t="s">
        <v>2786</v>
      </c>
      <c r="BD1699" s="29" t="s">
        <v>88</v>
      </c>
      <c r="BE1699" s="29"/>
      <c r="BF1699" s="29" t="s">
        <v>2426</v>
      </c>
      <c r="BG1699" s="29" t="s">
        <v>91</v>
      </c>
      <c r="BH1699" s="29" t="s">
        <v>88</v>
      </c>
      <c r="BI1699" s="29" t="s">
        <v>1438</v>
      </c>
      <c r="BJ1699" s="29"/>
      <c r="BK1699" s="29" t="s">
        <v>148</v>
      </c>
      <c r="BL1699" s="29" t="s">
        <v>148</v>
      </c>
      <c r="BM1699" s="45"/>
      <c r="BN1699" s="45"/>
      <c r="BO1699" s="46"/>
      <c r="BP1699" s="2"/>
      <c r="BQ1699" s="3"/>
    </row>
    <row r="1700" ht="15.75" customHeight="1">
      <c r="A1700" s="34">
        <v>1763.0</v>
      </c>
      <c r="B1700" s="34">
        <v>202130.0</v>
      </c>
      <c r="C1700" s="34" t="s">
        <v>76</v>
      </c>
      <c r="D1700" s="34" t="s">
        <v>2779</v>
      </c>
      <c r="E1700" s="34" t="s">
        <v>2780</v>
      </c>
      <c r="F1700" s="34">
        <v>2019.0</v>
      </c>
      <c r="G1700" s="34" t="s">
        <v>2781</v>
      </c>
      <c r="H1700" s="34" t="s">
        <v>282</v>
      </c>
      <c r="I1700" s="34" t="s">
        <v>2782</v>
      </c>
      <c r="J1700" s="35"/>
      <c r="K1700" s="36">
        <v>-0.07</v>
      </c>
      <c r="L1700" s="36">
        <v>1.62</v>
      </c>
      <c r="M1700" s="36"/>
      <c r="N1700" s="36"/>
      <c r="O1700" s="36"/>
      <c r="P1700" s="52">
        <f t="shared" si="204"/>
        <v>-4.320987654</v>
      </c>
      <c r="Q1700" s="36"/>
      <c r="R1700" s="36" t="s">
        <v>209</v>
      </c>
      <c r="S1700" s="36">
        <v>1000.0</v>
      </c>
      <c r="T1700" s="36" t="s">
        <v>536</v>
      </c>
      <c r="U1700" s="36" t="s">
        <v>507</v>
      </c>
      <c r="V1700" s="36"/>
      <c r="W1700" s="36"/>
      <c r="X1700" s="38">
        <v>1.0</v>
      </c>
      <c r="Y1700" s="38" t="s">
        <v>601</v>
      </c>
      <c r="Z1700" s="38" t="s">
        <v>1152</v>
      </c>
      <c r="AA1700" s="38" t="s">
        <v>86</v>
      </c>
      <c r="AB1700" s="38" t="s">
        <v>2799</v>
      </c>
      <c r="AC1700" s="38" t="s">
        <v>2800</v>
      </c>
      <c r="AD1700" s="38" t="s">
        <v>198</v>
      </c>
      <c r="AE1700" s="53"/>
      <c r="AF1700" s="38" t="s">
        <v>2801</v>
      </c>
      <c r="AG1700" s="57"/>
      <c r="AH1700" s="38"/>
      <c r="AI1700" s="50">
        <v>39.61</v>
      </c>
      <c r="AJ1700" s="50">
        <v>116.42</v>
      </c>
      <c r="AK1700" s="41" t="s">
        <v>86</v>
      </c>
      <c r="AL1700" s="40" t="s">
        <v>86</v>
      </c>
      <c r="AM1700" s="49">
        <v>32.0</v>
      </c>
      <c r="AN1700" s="51">
        <v>32.0</v>
      </c>
      <c r="AO1700" s="42" t="s">
        <v>293</v>
      </c>
      <c r="AP1700" s="43" t="s">
        <v>293</v>
      </c>
      <c r="AQ1700" s="44" t="str">
        <f t="shared" si="207"/>
        <v>CRO</v>
      </c>
      <c r="AR1700" s="44">
        <f t="shared" si="199"/>
        <v>32</v>
      </c>
      <c r="AS1700" s="44" t="str">
        <f t="shared" si="206"/>
        <v>B</v>
      </c>
      <c r="AT1700" s="44" t="str">
        <f t="shared" si="202"/>
        <v>BS</v>
      </c>
      <c r="AU1700" s="44" t="str">
        <f t="shared" si="203"/>
        <v>BSk</v>
      </c>
      <c r="AV1700" s="38">
        <v>3.0</v>
      </c>
      <c r="AW1700" s="38"/>
      <c r="AX1700" s="38"/>
      <c r="AY1700" s="38"/>
      <c r="AZ1700" s="29">
        <v>1000.0</v>
      </c>
      <c r="BA1700" s="29">
        <v>2.0</v>
      </c>
      <c r="BB1700" s="29">
        <v>1.0</v>
      </c>
      <c r="BC1700" s="29" t="s">
        <v>2786</v>
      </c>
      <c r="BD1700" s="29" t="s">
        <v>88</v>
      </c>
      <c r="BE1700" s="29"/>
      <c r="BF1700" s="29" t="s">
        <v>2426</v>
      </c>
      <c r="BG1700" s="29" t="s">
        <v>91</v>
      </c>
      <c r="BH1700" s="29" t="s">
        <v>88</v>
      </c>
      <c r="BI1700" s="29" t="s">
        <v>1438</v>
      </c>
      <c r="BJ1700" s="29"/>
      <c r="BK1700" s="29" t="s">
        <v>148</v>
      </c>
      <c r="BL1700" s="29" t="s">
        <v>148</v>
      </c>
      <c r="BM1700" s="45"/>
      <c r="BN1700" s="45"/>
      <c r="BO1700" s="46"/>
      <c r="BP1700" s="2"/>
      <c r="BQ1700" s="3"/>
    </row>
    <row r="1701" ht="15.75" customHeight="1">
      <c r="A1701" s="34">
        <v>1764.0</v>
      </c>
      <c r="B1701" s="34">
        <v>202130.0</v>
      </c>
      <c r="C1701" s="34" t="s">
        <v>76</v>
      </c>
      <c r="D1701" s="34" t="s">
        <v>2779</v>
      </c>
      <c r="E1701" s="34" t="s">
        <v>2780</v>
      </c>
      <c r="F1701" s="34">
        <v>2019.0</v>
      </c>
      <c r="G1701" s="34" t="s">
        <v>2781</v>
      </c>
      <c r="H1701" s="34" t="s">
        <v>282</v>
      </c>
      <c r="I1701" s="34" t="s">
        <v>2782</v>
      </c>
      <c r="J1701" s="35"/>
      <c r="K1701" s="36">
        <v>-0.08</v>
      </c>
      <c r="L1701" s="36">
        <v>1.51</v>
      </c>
      <c r="M1701" s="36"/>
      <c r="N1701" s="36"/>
      <c r="O1701" s="36"/>
      <c r="P1701" s="52">
        <f t="shared" si="204"/>
        <v>-5.298013245</v>
      </c>
      <c r="Q1701" s="36"/>
      <c r="R1701" s="36" t="s">
        <v>209</v>
      </c>
      <c r="S1701" s="36">
        <v>1000.0</v>
      </c>
      <c r="T1701" s="36" t="s">
        <v>969</v>
      </c>
      <c r="U1701" s="36" t="s">
        <v>507</v>
      </c>
      <c r="V1701" s="36"/>
      <c r="W1701" s="36"/>
      <c r="X1701" s="38">
        <v>1.0</v>
      </c>
      <c r="Y1701" s="38" t="s">
        <v>819</v>
      </c>
      <c r="Z1701" s="38" t="s">
        <v>1163</v>
      </c>
      <c r="AA1701" s="38" t="s">
        <v>86</v>
      </c>
      <c r="AB1701" s="38" t="s">
        <v>2802</v>
      </c>
      <c r="AC1701" s="38" t="s">
        <v>2803</v>
      </c>
      <c r="AD1701" s="38" t="s">
        <v>198</v>
      </c>
      <c r="AE1701" s="53"/>
      <c r="AF1701" s="38" t="s">
        <v>2804</v>
      </c>
      <c r="AG1701" s="57"/>
      <c r="AH1701" s="38"/>
      <c r="AI1701" s="50">
        <v>36.515</v>
      </c>
      <c r="AJ1701" s="50">
        <v>115.126</v>
      </c>
      <c r="AK1701" s="41" t="s">
        <v>86</v>
      </c>
      <c r="AL1701" s="40" t="s">
        <v>86</v>
      </c>
      <c r="AM1701" s="49">
        <v>42.0</v>
      </c>
      <c r="AN1701" s="51">
        <v>42.0</v>
      </c>
      <c r="AO1701" s="42" t="s">
        <v>293</v>
      </c>
      <c r="AP1701" s="43" t="s">
        <v>293</v>
      </c>
      <c r="AQ1701" s="44" t="str">
        <f t="shared" si="207"/>
        <v>CRO</v>
      </c>
      <c r="AR1701" s="44">
        <f t="shared" si="199"/>
        <v>42</v>
      </c>
      <c r="AS1701" s="44" t="str">
        <f t="shared" si="206"/>
        <v>B</v>
      </c>
      <c r="AT1701" s="44" t="str">
        <f t="shared" si="202"/>
        <v>BS</v>
      </c>
      <c r="AU1701" s="44" t="str">
        <f t="shared" si="203"/>
        <v>BSk</v>
      </c>
      <c r="AV1701" s="38">
        <v>3.0</v>
      </c>
      <c r="AW1701" s="38"/>
      <c r="AX1701" s="38"/>
      <c r="AY1701" s="38"/>
      <c r="AZ1701" s="29">
        <v>1000.0</v>
      </c>
      <c r="BA1701" s="29">
        <v>2.0</v>
      </c>
      <c r="BB1701" s="29">
        <v>1.0</v>
      </c>
      <c r="BC1701" s="29" t="s">
        <v>2786</v>
      </c>
      <c r="BD1701" s="29" t="s">
        <v>88</v>
      </c>
      <c r="BE1701" s="29"/>
      <c r="BF1701" s="29" t="s">
        <v>2426</v>
      </c>
      <c r="BG1701" s="29" t="s">
        <v>91</v>
      </c>
      <c r="BH1701" s="29" t="s">
        <v>88</v>
      </c>
      <c r="BI1701" s="29" t="s">
        <v>1438</v>
      </c>
      <c r="BJ1701" s="29"/>
      <c r="BK1701" s="29" t="s">
        <v>148</v>
      </c>
      <c r="BL1701" s="29" t="s">
        <v>148</v>
      </c>
      <c r="BM1701" s="45"/>
      <c r="BN1701" s="45"/>
      <c r="BO1701" s="46"/>
      <c r="BP1701" s="2"/>
      <c r="BQ1701" s="3"/>
    </row>
    <row r="1702" ht="15.75" customHeight="1">
      <c r="A1702" s="34">
        <v>1765.0</v>
      </c>
      <c r="B1702" s="34">
        <v>202130.0</v>
      </c>
      <c r="C1702" s="34" t="s">
        <v>76</v>
      </c>
      <c r="D1702" s="34" t="s">
        <v>2779</v>
      </c>
      <c r="E1702" s="34" t="s">
        <v>2780</v>
      </c>
      <c r="F1702" s="34">
        <v>2019.0</v>
      </c>
      <c r="G1702" s="34" t="s">
        <v>2781</v>
      </c>
      <c r="H1702" s="34" t="s">
        <v>282</v>
      </c>
      <c r="I1702" s="34" t="s">
        <v>2782</v>
      </c>
      <c r="J1702" s="35"/>
      <c r="K1702" s="36">
        <v>0.07</v>
      </c>
      <c r="L1702" s="36">
        <v>1.33</v>
      </c>
      <c r="M1702" s="36"/>
      <c r="N1702" s="36"/>
      <c r="O1702" s="36"/>
      <c r="P1702" s="52">
        <f t="shared" si="204"/>
        <v>5.263157895</v>
      </c>
      <c r="Q1702" s="36"/>
      <c r="R1702" s="36" t="s">
        <v>209</v>
      </c>
      <c r="S1702" s="36">
        <v>1000.0</v>
      </c>
      <c r="T1702" s="36" t="s">
        <v>506</v>
      </c>
      <c r="U1702" s="36" t="s">
        <v>351</v>
      </c>
      <c r="V1702" s="36"/>
      <c r="W1702" s="36"/>
      <c r="X1702" s="38">
        <v>1.0</v>
      </c>
      <c r="Y1702" s="38" t="s">
        <v>791</v>
      </c>
      <c r="Z1702" s="68" t="s">
        <v>828</v>
      </c>
      <c r="AA1702" s="38" t="s">
        <v>86</v>
      </c>
      <c r="AB1702" s="38" t="s">
        <v>2805</v>
      </c>
      <c r="AC1702" s="38" t="s">
        <v>2806</v>
      </c>
      <c r="AD1702" s="38" t="s">
        <v>198</v>
      </c>
      <c r="AE1702" s="38">
        <v>350.0</v>
      </c>
      <c r="AF1702" s="38" t="s">
        <v>2084</v>
      </c>
      <c r="AG1702" s="38" t="s">
        <v>2807</v>
      </c>
      <c r="AH1702" s="38"/>
      <c r="AI1702" s="50">
        <v>40.63</v>
      </c>
      <c r="AJ1702" s="50">
        <v>117.32</v>
      </c>
      <c r="AK1702" s="41" t="s">
        <v>288</v>
      </c>
      <c r="AL1702" s="40" t="s">
        <v>288</v>
      </c>
      <c r="AM1702" s="49">
        <v>364.0</v>
      </c>
      <c r="AN1702" s="51">
        <v>364.0</v>
      </c>
      <c r="AO1702" s="42" t="s">
        <v>218</v>
      </c>
      <c r="AP1702" s="43" t="s">
        <v>218</v>
      </c>
      <c r="AQ1702" s="44" t="str">
        <f t="shared" si="207"/>
        <v>CRO</v>
      </c>
      <c r="AR1702" s="44">
        <f t="shared" si="199"/>
        <v>364</v>
      </c>
      <c r="AS1702" s="44" t="str">
        <f t="shared" si="206"/>
        <v>D</v>
      </c>
      <c r="AT1702" s="44" t="str">
        <f t="shared" si="202"/>
        <v>Dw</v>
      </c>
      <c r="AU1702" s="44" t="str">
        <f t="shared" si="203"/>
        <v>Dwa</v>
      </c>
      <c r="AV1702" s="38">
        <v>3.0</v>
      </c>
      <c r="AW1702" s="38"/>
      <c r="AX1702" s="38"/>
      <c r="AY1702" s="38"/>
      <c r="AZ1702" s="29">
        <v>1000.0</v>
      </c>
      <c r="BA1702" s="29">
        <v>2.0</v>
      </c>
      <c r="BB1702" s="29">
        <v>1.0</v>
      </c>
      <c r="BC1702" s="29" t="s">
        <v>2786</v>
      </c>
      <c r="BD1702" s="29" t="s">
        <v>88</v>
      </c>
      <c r="BE1702" s="29"/>
      <c r="BF1702" s="29" t="s">
        <v>2426</v>
      </c>
      <c r="BG1702" s="29" t="s">
        <v>91</v>
      </c>
      <c r="BH1702" s="29" t="s">
        <v>88</v>
      </c>
      <c r="BI1702" s="29" t="s">
        <v>1438</v>
      </c>
      <c r="BJ1702" s="29"/>
      <c r="BK1702" s="29" t="s">
        <v>148</v>
      </c>
      <c r="BL1702" s="29" t="s">
        <v>148</v>
      </c>
      <c r="BM1702" s="45"/>
      <c r="BN1702" s="45"/>
      <c r="BO1702" s="46"/>
      <c r="BP1702" s="2"/>
      <c r="BQ1702" s="3"/>
    </row>
    <row r="1703" ht="15.75" customHeight="1">
      <c r="A1703" s="34">
        <v>1766.0</v>
      </c>
      <c r="B1703" s="34">
        <v>202130.0</v>
      </c>
      <c r="C1703" s="34" t="s">
        <v>76</v>
      </c>
      <c r="D1703" s="34" t="s">
        <v>2779</v>
      </c>
      <c r="E1703" s="34" t="s">
        <v>2780</v>
      </c>
      <c r="F1703" s="34">
        <v>2019.0</v>
      </c>
      <c r="G1703" s="34" t="s">
        <v>2781</v>
      </c>
      <c r="H1703" s="34" t="s">
        <v>282</v>
      </c>
      <c r="I1703" s="34" t="s">
        <v>2782</v>
      </c>
      <c r="J1703" s="35"/>
      <c r="K1703" s="36">
        <v>-0.08</v>
      </c>
      <c r="L1703" s="36">
        <v>1.76</v>
      </c>
      <c r="M1703" s="36"/>
      <c r="N1703" s="36"/>
      <c r="O1703" s="36"/>
      <c r="P1703" s="52">
        <f t="shared" si="204"/>
        <v>-4.545454545</v>
      </c>
      <c r="Q1703" s="36"/>
      <c r="R1703" s="36" t="s">
        <v>209</v>
      </c>
      <c r="S1703" s="36">
        <v>1000.0</v>
      </c>
      <c r="T1703" s="36" t="s">
        <v>193</v>
      </c>
      <c r="U1703" s="36" t="s">
        <v>194</v>
      </c>
      <c r="V1703" s="36"/>
      <c r="W1703" s="36"/>
      <c r="X1703" s="38">
        <v>1.0</v>
      </c>
      <c r="Y1703" s="38" t="s">
        <v>195</v>
      </c>
      <c r="Z1703" s="68" t="s">
        <v>196</v>
      </c>
      <c r="AA1703" s="38" t="s">
        <v>197</v>
      </c>
      <c r="AB1703" s="38" t="s">
        <v>2808</v>
      </c>
      <c r="AC1703" s="38" t="s">
        <v>2809</v>
      </c>
      <c r="AD1703" s="38" t="s">
        <v>198</v>
      </c>
      <c r="AE1703" s="38">
        <v>100.0</v>
      </c>
      <c r="AF1703" s="38" t="s">
        <v>199</v>
      </c>
      <c r="AG1703" s="38" t="s">
        <v>952</v>
      </c>
      <c r="AH1703" s="38"/>
      <c r="AI1703" s="50">
        <v>26.74</v>
      </c>
      <c r="AJ1703" s="50">
        <v>115.06</v>
      </c>
      <c r="AK1703" s="41" t="s">
        <v>200</v>
      </c>
      <c r="AL1703" s="40" t="s">
        <v>200</v>
      </c>
      <c r="AM1703" s="49">
        <v>110.0</v>
      </c>
      <c r="AN1703" s="51">
        <v>110.0</v>
      </c>
      <c r="AO1703" s="42" t="s">
        <v>201</v>
      </c>
      <c r="AP1703" s="43" t="s">
        <v>201</v>
      </c>
      <c r="AQ1703" s="44" t="str">
        <f t="shared" si="207"/>
        <v>ENF</v>
      </c>
      <c r="AR1703" s="44">
        <f t="shared" si="199"/>
        <v>110</v>
      </c>
      <c r="AS1703" s="44" t="str">
        <f t="shared" si="206"/>
        <v>C</v>
      </c>
      <c r="AT1703" s="44" t="str">
        <f t="shared" si="202"/>
        <v>Cf</v>
      </c>
      <c r="AU1703" s="44" t="str">
        <f t="shared" si="203"/>
        <v>Cfa</v>
      </c>
      <c r="AV1703" s="38">
        <v>3.0</v>
      </c>
      <c r="AW1703" s="38"/>
      <c r="AX1703" s="38"/>
      <c r="AY1703" s="38"/>
      <c r="AZ1703" s="29">
        <v>1000.0</v>
      </c>
      <c r="BA1703" s="29">
        <v>2.0</v>
      </c>
      <c r="BB1703" s="29">
        <v>1.0</v>
      </c>
      <c r="BC1703" s="29" t="s">
        <v>2786</v>
      </c>
      <c r="BD1703" s="29" t="s">
        <v>88</v>
      </c>
      <c r="BE1703" s="29"/>
      <c r="BF1703" s="29" t="s">
        <v>2426</v>
      </c>
      <c r="BG1703" s="29" t="s">
        <v>91</v>
      </c>
      <c r="BH1703" s="29" t="s">
        <v>88</v>
      </c>
      <c r="BI1703" s="29" t="s">
        <v>1438</v>
      </c>
      <c r="BJ1703" s="29"/>
      <c r="BK1703" s="29" t="s">
        <v>148</v>
      </c>
      <c r="BL1703" s="29" t="s">
        <v>148</v>
      </c>
      <c r="BM1703" s="45"/>
      <c r="BN1703" s="45"/>
      <c r="BO1703" s="46"/>
      <c r="BP1703" s="2"/>
      <c r="BQ1703" s="3"/>
    </row>
    <row r="1704" ht="15.75" customHeight="1">
      <c r="A1704" s="34">
        <v>1767.0</v>
      </c>
      <c r="B1704" s="34">
        <v>202130.0</v>
      </c>
      <c r="C1704" s="34" t="s">
        <v>76</v>
      </c>
      <c r="D1704" s="34" t="s">
        <v>2779</v>
      </c>
      <c r="E1704" s="34" t="s">
        <v>2780</v>
      </c>
      <c r="F1704" s="34">
        <v>2019.0</v>
      </c>
      <c r="G1704" s="34" t="s">
        <v>2781</v>
      </c>
      <c r="H1704" s="34" t="s">
        <v>282</v>
      </c>
      <c r="I1704" s="34" t="s">
        <v>2782</v>
      </c>
      <c r="J1704" s="35"/>
      <c r="K1704" s="36">
        <v>-0.08</v>
      </c>
      <c r="L1704" s="36">
        <v>1.65</v>
      </c>
      <c r="M1704" s="36"/>
      <c r="N1704" s="36"/>
      <c r="O1704" s="36"/>
      <c r="P1704" s="52">
        <f t="shared" si="204"/>
        <v>-4.848484848</v>
      </c>
      <c r="Q1704" s="36"/>
      <c r="R1704" s="36" t="s">
        <v>209</v>
      </c>
      <c r="S1704" s="36">
        <v>1000.0</v>
      </c>
      <c r="T1704" s="36" t="s">
        <v>193</v>
      </c>
      <c r="U1704" s="36" t="s">
        <v>194</v>
      </c>
      <c r="V1704" s="36"/>
      <c r="W1704" s="36"/>
      <c r="X1704" s="38">
        <v>1.0</v>
      </c>
      <c r="Y1704" s="38" t="s">
        <v>586</v>
      </c>
      <c r="Z1704" s="38" t="s">
        <v>587</v>
      </c>
      <c r="AA1704" s="38" t="s">
        <v>1222</v>
      </c>
      <c r="AB1704" s="38" t="s">
        <v>2810</v>
      </c>
      <c r="AC1704" s="38" t="s">
        <v>2811</v>
      </c>
      <c r="AD1704" s="38" t="s">
        <v>198</v>
      </c>
      <c r="AE1704" s="53"/>
      <c r="AF1704" s="38" t="s">
        <v>199</v>
      </c>
      <c r="AG1704" s="57" t="s">
        <v>201</v>
      </c>
      <c r="AH1704" s="38"/>
      <c r="AI1704" s="50">
        <v>23.17</v>
      </c>
      <c r="AJ1704" s="50">
        <v>112.53</v>
      </c>
      <c r="AK1704" s="41" t="s">
        <v>336</v>
      </c>
      <c r="AL1704" s="40" t="s">
        <v>336</v>
      </c>
      <c r="AM1704" s="49">
        <v>346.0</v>
      </c>
      <c r="AN1704" s="51">
        <v>346.0</v>
      </c>
      <c r="AO1704" s="42" t="s">
        <v>201</v>
      </c>
      <c r="AP1704" s="43" t="s">
        <v>201</v>
      </c>
      <c r="AQ1704" s="80" t="s">
        <v>336</v>
      </c>
      <c r="AR1704" s="44">
        <f t="shared" si="199"/>
        <v>346</v>
      </c>
      <c r="AS1704" s="44" t="str">
        <f t="shared" si="206"/>
        <v>C</v>
      </c>
      <c r="AT1704" s="44" t="str">
        <f t="shared" si="202"/>
        <v>Cf</v>
      </c>
      <c r="AU1704" s="44" t="str">
        <f t="shared" si="203"/>
        <v>Cfa</v>
      </c>
      <c r="AV1704" s="38">
        <v>3.0</v>
      </c>
      <c r="AW1704" s="38"/>
      <c r="AX1704" s="38"/>
      <c r="AY1704" s="38"/>
      <c r="AZ1704" s="29">
        <v>1000.0</v>
      </c>
      <c r="BA1704" s="29">
        <v>2.0</v>
      </c>
      <c r="BB1704" s="29">
        <v>1.0</v>
      </c>
      <c r="BC1704" s="29" t="s">
        <v>2786</v>
      </c>
      <c r="BD1704" s="29" t="s">
        <v>88</v>
      </c>
      <c r="BE1704" s="29"/>
      <c r="BF1704" s="29" t="s">
        <v>2426</v>
      </c>
      <c r="BG1704" s="29" t="s">
        <v>91</v>
      </c>
      <c r="BH1704" s="29" t="s">
        <v>88</v>
      </c>
      <c r="BI1704" s="29" t="s">
        <v>1438</v>
      </c>
      <c r="BJ1704" s="29"/>
      <c r="BK1704" s="29" t="s">
        <v>148</v>
      </c>
      <c r="BL1704" s="29" t="s">
        <v>148</v>
      </c>
      <c r="BM1704" s="45"/>
      <c r="BN1704" s="45"/>
      <c r="BO1704" s="46"/>
      <c r="BP1704" s="2"/>
      <c r="BQ1704" s="3"/>
    </row>
    <row r="1705" ht="15.75" customHeight="1">
      <c r="A1705" s="34">
        <v>1768.0</v>
      </c>
      <c r="B1705" s="34">
        <v>202130.0</v>
      </c>
      <c r="C1705" s="34" t="s">
        <v>76</v>
      </c>
      <c r="D1705" s="34" t="s">
        <v>2779</v>
      </c>
      <c r="E1705" s="34" t="s">
        <v>2780</v>
      </c>
      <c r="F1705" s="34">
        <v>2019.0</v>
      </c>
      <c r="G1705" s="34" t="s">
        <v>2781</v>
      </c>
      <c r="H1705" s="34" t="s">
        <v>282</v>
      </c>
      <c r="I1705" s="34" t="s">
        <v>2782</v>
      </c>
      <c r="J1705" s="35"/>
      <c r="K1705" s="36">
        <v>0.09</v>
      </c>
      <c r="L1705" s="36">
        <v>1.9</v>
      </c>
      <c r="M1705" s="36"/>
      <c r="N1705" s="36"/>
      <c r="O1705" s="36"/>
      <c r="P1705" s="52">
        <f t="shared" si="204"/>
        <v>4.736842105</v>
      </c>
      <c r="Q1705" s="36"/>
      <c r="R1705" s="36" t="s">
        <v>209</v>
      </c>
      <c r="S1705" s="36">
        <v>1000.0</v>
      </c>
      <c r="T1705" s="36" t="s">
        <v>193</v>
      </c>
      <c r="U1705" s="36" t="s">
        <v>194</v>
      </c>
      <c r="V1705" s="36"/>
      <c r="W1705" s="36"/>
      <c r="X1705" s="38">
        <v>1.0</v>
      </c>
      <c r="Y1705" s="38" t="s">
        <v>589</v>
      </c>
      <c r="Z1705" s="38" t="s">
        <v>590</v>
      </c>
      <c r="AA1705" s="38" t="s">
        <v>336</v>
      </c>
      <c r="AB1705" s="38" t="s">
        <v>2812</v>
      </c>
      <c r="AC1705" s="38" t="s">
        <v>2813</v>
      </c>
      <c r="AD1705" s="38" t="s">
        <v>198</v>
      </c>
      <c r="AE1705" s="38">
        <v>756.0</v>
      </c>
      <c r="AF1705" s="38" t="s">
        <v>199</v>
      </c>
      <c r="AG1705" s="38" t="s">
        <v>952</v>
      </c>
      <c r="AH1705" s="38"/>
      <c r="AI1705" s="50">
        <v>21.95</v>
      </c>
      <c r="AJ1705" s="50">
        <v>101.2</v>
      </c>
      <c r="AK1705" s="41" t="s">
        <v>336</v>
      </c>
      <c r="AL1705" s="40" t="s">
        <v>336</v>
      </c>
      <c r="AM1705" s="49">
        <v>732.0</v>
      </c>
      <c r="AN1705" s="51">
        <v>732.0</v>
      </c>
      <c r="AO1705" s="42" t="s">
        <v>592</v>
      </c>
      <c r="AP1705" s="43" t="s">
        <v>592</v>
      </c>
      <c r="AQ1705" s="44" t="str">
        <f t="shared" ref="AQ1705:AQ1715" si="208">AA1705</f>
        <v>EBF</v>
      </c>
      <c r="AR1705" s="44">
        <f t="shared" si="199"/>
        <v>732</v>
      </c>
      <c r="AS1705" s="44" t="str">
        <f t="shared" si="206"/>
        <v>C</v>
      </c>
      <c r="AT1705" s="44" t="str">
        <f t="shared" si="202"/>
        <v>Cw</v>
      </c>
      <c r="AU1705" s="44" t="str">
        <f t="shared" si="203"/>
        <v>Cwa</v>
      </c>
      <c r="AV1705" s="38">
        <v>3.0</v>
      </c>
      <c r="AW1705" s="38"/>
      <c r="AX1705" s="38"/>
      <c r="AY1705" s="38"/>
      <c r="AZ1705" s="29">
        <v>1000.0</v>
      </c>
      <c r="BA1705" s="29">
        <v>2.0</v>
      </c>
      <c r="BB1705" s="29">
        <v>1.0</v>
      </c>
      <c r="BC1705" s="29" t="s">
        <v>2786</v>
      </c>
      <c r="BD1705" s="29" t="s">
        <v>88</v>
      </c>
      <c r="BE1705" s="29"/>
      <c r="BF1705" s="29" t="s">
        <v>2426</v>
      </c>
      <c r="BG1705" s="29" t="s">
        <v>91</v>
      </c>
      <c r="BH1705" s="29" t="s">
        <v>88</v>
      </c>
      <c r="BI1705" s="29" t="s">
        <v>1438</v>
      </c>
      <c r="BJ1705" s="29"/>
      <c r="BK1705" s="29" t="s">
        <v>148</v>
      </c>
      <c r="BL1705" s="29" t="s">
        <v>148</v>
      </c>
      <c r="BM1705" s="45"/>
      <c r="BN1705" s="45"/>
      <c r="BO1705" s="46"/>
      <c r="BP1705" s="2"/>
      <c r="BQ1705" s="3"/>
    </row>
    <row r="1706" ht="15.75" customHeight="1">
      <c r="A1706" s="34">
        <v>1782.0</v>
      </c>
      <c r="B1706" s="34">
        <v>200134.0</v>
      </c>
      <c r="C1706" s="34" t="s">
        <v>76</v>
      </c>
      <c r="D1706" s="34" t="s">
        <v>2814</v>
      </c>
      <c r="E1706" s="34" t="s">
        <v>2815</v>
      </c>
      <c r="F1706" s="34">
        <v>2011.0</v>
      </c>
      <c r="G1706" s="34" t="s">
        <v>2816</v>
      </c>
      <c r="H1706" s="34" t="s">
        <v>578</v>
      </c>
      <c r="I1706" s="34" t="s">
        <v>2817</v>
      </c>
      <c r="J1706" s="35"/>
      <c r="K1706" s="36"/>
      <c r="L1706" s="36"/>
      <c r="M1706" s="36"/>
      <c r="N1706" s="36">
        <v>4.0</v>
      </c>
      <c r="O1706" s="36">
        <v>79.0</v>
      </c>
      <c r="P1706" s="52">
        <f t="shared" ref="P1706:P1729" si="209">N1706/O1706*100</f>
        <v>5.063291139</v>
      </c>
      <c r="Q1706" s="36"/>
      <c r="R1706" s="36" t="s">
        <v>96</v>
      </c>
      <c r="S1706" s="36">
        <v>25000.0</v>
      </c>
      <c r="T1706" s="36" t="s">
        <v>2818</v>
      </c>
      <c r="U1706" s="36" t="s">
        <v>150</v>
      </c>
      <c r="V1706" s="36"/>
      <c r="W1706" s="36"/>
      <c r="X1706" s="38">
        <v>1.0</v>
      </c>
      <c r="Y1706" s="38" t="s">
        <v>2043</v>
      </c>
      <c r="Z1706" s="38" t="s">
        <v>2044</v>
      </c>
      <c r="AA1706" s="38" t="s">
        <v>86</v>
      </c>
      <c r="AB1706" s="38" t="s">
        <v>2819</v>
      </c>
      <c r="AC1706" s="38" t="s">
        <v>2820</v>
      </c>
      <c r="AD1706" s="39" t="s">
        <v>87</v>
      </c>
      <c r="AE1706" s="38"/>
      <c r="AF1706" s="38" t="s">
        <v>2036</v>
      </c>
      <c r="AG1706" s="38"/>
      <c r="AH1706" s="38"/>
      <c r="AI1706" s="50">
        <v>41.95</v>
      </c>
      <c r="AJ1706" s="50">
        <v>-93.69</v>
      </c>
      <c r="AK1706" s="41" t="s">
        <v>86</v>
      </c>
      <c r="AL1706" s="40" t="s">
        <v>86</v>
      </c>
      <c r="AM1706" s="49">
        <v>315.0</v>
      </c>
      <c r="AN1706" s="51">
        <v>315.0</v>
      </c>
      <c r="AO1706" s="42" t="s">
        <v>107</v>
      </c>
      <c r="AP1706" s="43" t="s">
        <v>108</v>
      </c>
      <c r="AQ1706" s="44" t="str">
        <f t="shared" si="208"/>
        <v>CRO</v>
      </c>
      <c r="AR1706" s="44">
        <f t="shared" si="199"/>
        <v>315</v>
      </c>
      <c r="AS1706" s="44" t="str">
        <f t="shared" si="206"/>
        <v>D</v>
      </c>
      <c r="AT1706" s="44" t="str">
        <f t="shared" si="202"/>
        <v>Df</v>
      </c>
      <c r="AU1706" s="44" t="str">
        <f t="shared" si="203"/>
        <v>Dfa</v>
      </c>
      <c r="AV1706" s="38"/>
      <c r="AW1706" s="38"/>
      <c r="AX1706" s="38"/>
      <c r="AY1706" s="38"/>
      <c r="AZ1706" s="29">
        <v>25000.0</v>
      </c>
      <c r="BA1706" s="29"/>
      <c r="BB1706" s="29">
        <v>1.0</v>
      </c>
      <c r="BC1706" s="29"/>
      <c r="BD1706" s="29" t="s">
        <v>88</v>
      </c>
      <c r="BE1706" s="29"/>
      <c r="BF1706" s="29" t="s">
        <v>633</v>
      </c>
      <c r="BG1706" s="29" t="s">
        <v>203</v>
      </c>
      <c r="BH1706" s="29" t="s">
        <v>88</v>
      </c>
      <c r="BI1706" s="29" t="s">
        <v>2821</v>
      </c>
      <c r="BJ1706" s="29"/>
      <c r="BK1706" s="29"/>
      <c r="BL1706" s="29"/>
      <c r="BM1706" s="45"/>
      <c r="BN1706" s="45"/>
      <c r="BO1706" s="46"/>
      <c r="BP1706" s="2"/>
      <c r="BQ1706" s="3"/>
    </row>
    <row r="1707" ht="15.75" customHeight="1">
      <c r="A1707" s="34">
        <v>1783.0</v>
      </c>
      <c r="B1707" s="34">
        <v>200134.0</v>
      </c>
      <c r="C1707" s="34" t="s">
        <v>76</v>
      </c>
      <c r="D1707" s="34" t="s">
        <v>2814</v>
      </c>
      <c r="E1707" s="34" t="s">
        <v>2815</v>
      </c>
      <c r="F1707" s="34">
        <v>2011.0</v>
      </c>
      <c r="G1707" s="34" t="s">
        <v>2816</v>
      </c>
      <c r="H1707" s="34" t="s">
        <v>578</v>
      </c>
      <c r="I1707" s="34" t="s">
        <v>2817</v>
      </c>
      <c r="J1707" s="35"/>
      <c r="K1707" s="36"/>
      <c r="L1707" s="36"/>
      <c r="M1707" s="36"/>
      <c r="N1707" s="36">
        <v>44.0</v>
      </c>
      <c r="O1707" s="36">
        <v>107.0</v>
      </c>
      <c r="P1707" s="52">
        <f t="shared" si="209"/>
        <v>41.12149533</v>
      </c>
      <c r="Q1707" s="36"/>
      <c r="R1707" s="36" t="s">
        <v>96</v>
      </c>
      <c r="S1707" s="36">
        <v>25000.0</v>
      </c>
      <c r="T1707" s="36" t="s">
        <v>2818</v>
      </c>
      <c r="U1707" s="36" t="s">
        <v>150</v>
      </c>
      <c r="V1707" s="36"/>
      <c r="W1707" s="36"/>
      <c r="X1707" s="38">
        <v>1.0</v>
      </c>
      <c r="Y1707" s="38" t="s">
        <v>2049</v>
      </c>
      <c r="Z1707" s="38" t="s">
        <v>2822</v>
      </c>
      <c r="AA1707" s="38" t="s">
        <v>86</v>
      </c>
      <c r="AB1707" s="38" t="s">
        <v>2823</v>
      </c>
      <c r="AC1707" s="38" t="s">
        <v>2824</v>
      </c>
      <c r="AD1707" s="39" t="s">
        <v>87</v>
      </c>
      <c r="AE1707" s="38"/>
      <c r="AF1707" s="38" t="s">
        <v>2036</v>
      </c>
      <c r="AG1707" s="38"/>
      <c r="AH1707" s="38"/>
      <c r="AI1707" s="50">
        <v>41.99</v>
      </c>
      <c r="AJ1707" s="50">
        <v>-93.54</v>
      </c>
      <c r="AK1707" s="41" t="s">
        <v>86</v>
      </c>
      <c r="AL1707" s="40" t="s">
        <v>86</v>
      </c>
      <c r="AM1707" s="49">
        <v>288.0</v>
      </c>
      <c r="AN1707" s="51">
        <v>288.0</v>
      </c>
      <c r="AO1707" s="42" t="s">
        <v>107</v>
      </c>
      <c r="AP1707" s="43" t="s">
        <v>108</v>
      </c>
      <c r="AQ1707" s="44" t="str">
        <f t="shared" si="208"/>
        <v>CRO</v>
      </c>
      <c r="AR1707" s="44">
        <f t="shared" si="199"/>
        <v>288</v>
      </c>
      <c r="AS1707" s="44" t="str">
        <f t="shared" si="206"/>
        <v>D</v>
      </c>
      <c r="AT1707" s="44" t="str">
        <f t="shared" si="202"/>
        <v>Df</v>
      </c>
      <c r="AU1707" s="44" t="str">
        <f t="shared" si="203"/>
        <v>Dfa</v>
      </c>
      <c r="AV1707" s="38"/>
      <c r="AW1707" s="38"/>
      <c r="AX1707" s="38"/>
      <c r="AY1707" s="38"/>
      <c r="AZ1707" s="29">
        <v>25000.0</v>
      </c>
      <c r="BA1707" s="29"/>
      <c r="BB1707" s="29">
        <v>1.0</v>
      </c>
      <c r="BC1707" s="29"/>
      <c r="BD1707" s="29" t="s">
        <v>88</v>
      </c>
      <c r="BE1707" s="29"/>
      <c r="BF1707" s="29" t="s">
        <v>633</v>
      </c>
      <c r="BG1707" s="29" t="s">
        <v>203</v>
      </c>
      <c r="BH1707" s="29" t="s">
        <v>88</v>
      </c>
      <c r="BI1707" s="29" t="s">
        <v>2821</v>
      </c>
      <c r="BJ1707" s="29"/>
      <c r="BK1707" s="29"/>
      <c r="BL1707" s="29"/>
      <c r="BM1707" s="45"/>
      <c r="BN1707" s="45"/>
      <c r="BO1707" s="46"/>
      <c r="BP1707" s="2"/>
      <c r="BQ1707" s="3"/>
    </row>
    <row r="1708" ht="15.75" customHeight="1">
      <c r="A1708" s="34">
        <v>1784.0</v>
      </c>
      <c r="B1708" s="34">
        <v>200134.0</v>
      </c>
      <c r="C1708" s="34" t="s">
        <v>76</v>
      </c>
      <c r="D1708" s="34" t="s">
        <v>2814</v>
      </c>
      <c r="E1708" s="34" t="s">
        <v>2815</v>
      </c>
      <c r="F1708" s="34">
        <v>2011.0</v>
      </c>
      <c r="G1708" s="34" t="s">
        <v>2816</v>
      </c>
      <c r="H1708" s="34" t="s">
        <v>578</v>
      </c>
      <c r="I1708" s="34" t="s">
        <v>2817</v>
      </c>
      <c r="J1708" s="35"/>
      <c r="K1708" s="36"/>
      <c r="L1708" s="36"/>
      <c r="M1708" s="36"/>
      <c r="N1708" s="36">
        <v>-9.0</v>
      </c>
      <c r="O1708" s="36">
        <v>79.0</v>
      </c>
      <c r="P1708" s="52">
        <f t="shared" si="209"/>
        <v>-11.39240506</v>
      </c>
      <c r="Q1708" s="36"/>
      <c r="R1708" s="36" t="s">
        <v>96</v>
      </c>
      <c r="S1708" s="36">
        <v>25000.0</v>
      </c>
      <c r="T1708" s="36" t="s">
        <v>2818</v>
      </c>
      <c r="U1708" s="36" t="s">
        <v>150</v>
      </c>
      <c r="V1708" s="36"/>
      <c r="W1708" s="36"/>
      <c r="X1708" s="38">
        <v>1.0</v>
      </c>
      <c r="Y1708" s="38" t="s">
        <v>2043</v>
      </c>
      <c r="Z1708" s="38" t="s">
        <v>2044</v>
      </c>
      <c r="AA1708" s="38" t="s">
        <v>86</v>
      </c>
      <c r="AB1708" s="38" t="s">
        <v>2819</v>
      </c>
      <c r="AC1708" s="38" t="s">
        <v>2820</v>
      </c>
      <c r="AD1708" s="39" t="s">
        <v>87</v>
      </c>
      <c r="AE1708" s="38"/>
      <c r="AF1708" s="38" t="s">
        <v>2036</v>
      </c>
      <c r="AG1708" s="38"/>
      <c r="AH1708" s="38"/>
      <c r="AI1708" s="50">
        <v>41.95</v>
      </c>
      <c r="AJ1708" s="50">
        <v>-93.69</v>
      </c>
      <c r="AK1708" s="41" t="s">
        <v>86</v>
      </c>
      <c r="AL1708" s="40" t="s">
        <v>86</v>
      </c>
      <c r="AM1708" s="49">
        <v>315.0</v>
      </c>
      <c r="AN1708" s="51">
        <v>315.0</v>
      </c>
      <c r="AO1708" s="42" t="s">
        <v>107</v>
      </c>
      <c r="AP1708" s="43" t="s">
        <v>108</v>
      </c>
      <c r="AQ1708" s="44" t="str">
        <f t="shared" si="208"/>
        <v>CRO</v>
      </c>
      <c r="AR1708" s="44">
        <f t="shared" si="199"/>
        <v>315</v>
      </c>
      <c r="AS1708" s="44" t="str">
        <f t="shared" si="206"/>
        <v>D</v>
      </c>
      <c r="AT1708" s="44" t="str">
        <f t="shared" si="202"/>
        <v>Df</v>
      </c>
      <c r="AU1708" s="44" t="str">
        <f t="shared" si="203"/>
        <v>Dfa</v>
      </c>
      <c r="AV1708" s="38"/>
      <c r="AW1708" s="38"/>
      <c r="AX1708" s="38"/>
      <c r="AY1708" s="38"/>
      <c r="AZ1708" s="29">
        <v>25000.0</v>
      </c>
      <c r="BA1708" s="29"/>
      <c r="BB1708" s="29">
        <v>1.0</v>
      </c>
      <c r="BC1708" s="29"/>
      <c r="BD1708" s="29" t="s">
        <v>88</v>
      </c>
      <c r="BE1708" s="29"/>
      <c r="BF1708" s="29" t="s">
        <v>2825</v>
      </c>
      <c r="BG1708" s="29" t="s">
        <v>1095</v>
      </c>
      <c r="BH1708" s="29" t="s">
        <v>88</v>
      </c>
      <c r="BI1708" s="29" t="s">
        <v>2821</v>
      </c>
      <c r="BJ1708" s="29"/>
      <c r="BK1708" s="29"/>
      <c r="BL1708" s="29"/>
      <c r="BM1708" s="45"/>
      <c r="BN1708" s="45"/>
      <c r="BO1708" s="46"/>
      <c r="BP1708" s="2"/>
      <c r="BQ1708" s="3"/>
    </row>
    <row r="1709" ht="15.75" customHeight="1">
      <c r="A1709" s="34">
        <v>1785.0</v>
      </c>
      <c r="B1709" s="34">
        <v>200134.0</v>
      </c>
      <c r="C1709" s="34" t="s">
        <v>76</v>
      </c>
      <c r="D1709" s="34" t="s">
        <v>2814</v>
      </c>
      <c r="E1709" s="34" t="s">
        <v>2815</v>
      </c>
      <c r="F1709" s="34">
        <v>2011.0</v>
      </c>
      <c r="G1709" s="34" t="s">
        <v>2816</v>
      </c>
      <c r="H1709" s="34" t="s">
        <v>578</v>
      </c>
      <c r="I1709" s="34" t="s">
        <v>2817</v>
      </c>
      <c r="J1709" s="35"/>
      <c r="K1709" s="36"/>
      <c r="L1709" s="36"/>
      <c r="M1709" s="36"/>
      <c r="N1709" s="36">
        <v>28.0</v>
      </c>
      <c r="O1709" s="36">
        <v>107.0</v>
      </c>
      <c r="P1709" s="52">
        <f t="shared" si="209"/>
        <v>26.1682243</v>
      </c>
      <c r="Q1709" s="36"/>
      <c r="R1709" s="36" t="s">
        <v>96</v>
      </c>
      <c r="S1709" s="36">
        <v>25000.0</v>
      </c>
      <c r="T1709" s="36" t="s">
        <v>2818</v>
      </c>
      <c r="U1709" s="36" t="s">
        <v>150</v>
      </c>
      <c r="V1709" s="36"/>
      <c r="W1709" s="36"/>
      <c r="X1709" s="38">
        <v>1.0</v>
      </c>
      <c r="Y1709" s="38" t="s">
        <v>2049</v>
      </c>
      <c r="Z1709" s="38" t="s">
        <v>2822</v>
      </c>
      <c r="AA1709" s="38" t="s">
        <v>86</v>
      </c>
      <c r="AB1709" s="38" t="s">
        <v>2823</v>
      </c>
      <c r="AC1709" s="38" t="s">
        <v>2824</v>
      </c>
      <c r="AD1709" s="39" t="s">
        <v>87</v>
      </c>
      <c r="AE1709" s="38"/>
      <c r="AF1709" s="38" t="s">
        <v>2036</v>
      </c>
      <c r="AG1709" s="38"/>
      <c r="AH1709" s="38"/>
      <c r="AI1709" s="50">
        <v>41.99</v>
      </c>
      <c r="AJ1709" s="50">
        <v>-93.54</v>
      </c>
      <c r="AK1709" s="41" t="s">
        <v>86</v>
      </c>
      <c r="AL1709" s="40" t="s">
        <v>86</v>
      </c>
      <c r="AM1709" s="49">
        <v>288.0</v>
      </c>
      <c r="AN1709" s="51">
        <v>288.0</v>
      </c>
      <c r="AO1709" s="42" t="s">
        <v>107</v>
      </c>
      <c r="AP1709" s="43" t="s">
        <v>108</v>
      </c>
      <c r="AQ1709" s="44" t="str">
        <f t="shared" si="208"/>
        <v>CRO</v>
      </c>
      <c r="AR1709" s="44">
        <f t="shared" si="199"/>
        <v>288</v>
      </c>
      <c r="AS1709" s="44" t="str">
        <f t="shared" si="206"/>
        <v>D</v>
      </c>
      <c r="AT1709" s="44" t="str">
        <f t="shared" si="202"/>
        <v>Df</v>
      </c>
      <c r="AU1709" s="44" t="str">
        <f t="shared" si="203"/>
        <v>Dfa</v>
      </c>
      <c r="AV1709" s="38"/>
      <c r="AW1709" s="38"/>
      <c r="AX1709" s="38"/>
      <c r="AY1709" s="38"/>
      <c r="AZ1709" s="29">
        <v>25000.0</v>
      </c>
      <c r="BA1709" s="29"/>
      <c r="BB1709" s="29">
        <v>1.0</v>
      </c>
      <c r="BC1709" s="29"/>
      <c r="BD1709" s="29" t="s">
        <v>88</v>
      </c>
      <c r="BE1709" s="29"/>
      <c r="BF1709" s="29" t="s">
        <v>2825</v>
      </c>
      <c r="BG1709" s="29" t="s">
        <v>1095</v>
      </c>
      <c r="BH1709" s="29" t="s">
        <v>88</v>
      </c>
      <c r="BI1709" s="29" t="s">
        <v>2821</v>
      </c>
      <c r="BJ1709" s="29"/>
      <c r="BK1709" s="29"/>
      <c r="BL1709" s="29"/>
      <c r="BM1709" s="45"/>
      <c r="BN1709" s="45"/>
      <c r="BO1709" s="46"/>
      <c r="BP1709" s="2"/>
      <c r="BQ1709" s="3"/>
    </row>
    <row r="1710" ht="15.75" customHeight="1">
      <c r="A1710" s="34">
        <v>1786.0</v>
      </c>
      <c r="B1710" s="34">
        <v>200134.0</v>
      </c>
      <c r="C1710" s="34" t="s">
        <v>76</v>
      </c>
      <c r="D1710" s="34" t="s">
        <v>2814</v>
      </c>
      <c r="E1710" s="34" t="s">
        <v>2815</v>
      </c>
      <c r="F1710" s="34">
        <v>2011.0</v>
      </c>
      <c r="G1710" s="34" t="s">
        <v>2816</v>
      </c>
      <c r="H1710" s="34" t="s">
        <v>578</v>
      </c>
      <c r="I1710" s="34" t="s">
        <v>2817</v>
      </c>
      <c r="J1710" s="35"/>
      <c r="K1710" s="36"/>
      <c r="L1710" s="36"/>
      <c r="M1710" s="36"/>
      <c r="N1710" s="36">
        <v>10.0</v>
      </c>
      <c r="O1710" s="36">
        <v>194.0</v>
      </c>
      <c r="P1710" s="52">
        <f t="shared" si="209"/>
        <v>5.154639175</v>
      </c>
      <c r="Q1710" s="36"/>
      <c r="R1710" s="36" t="s">
        <v>96</v>
      </c>
      <c r="S1710" s="36">
        <v>25000.0</v>
      </c>
      <c r="T1710" s="36" t="s">
        <v>2818</v>
      </c>
      <c r="U1710" s="36" t="s">
        <v>150</v>
      </c>
      <c r="V1710" s="36"/>
      <c r="W1710" s="36"/>
      <c r="X1710" s="38">
        <v>1.0</v>
      </c>
      <c r="Y1710" s="38" t="s">
        <v>2043</v>
      </c>
      <c r="Z1710" s="38" t="s">
        <v>2044</v>
      </c>
      <c r="AA1710" s="38" t="s">
        <v>86</v>
      </c>
      <c r="AB1710" s="38" t="s">
        <v>2819</v>
      </c>
      <c r="AC1710" s="38" t="s">
        <v>2820</v>
      </c>
      <c r="AD1710" s="39" t="s">
        <v>87</v>
      </c>
      <c r="AE1710" s="38"/>
      <c r="AF1710" s="38" t="s">
        <v>2036</v>
      </c>
      <c r="AG1710" s="38"/>
      <c r="AH1710" s="38"/>
      <c r="AI1710" s="50">
        <v>41.95</v>
      </c>
      <c r="AJ1710" s="50">
        <v>-93.69</v>
      </c>
      <c r="AK1710" s="41" t="s">
        <v>86</v>
      </c>
      <c r="AL1710" s="40" t="s">
        <v>86</v>
      </c>
      <c r="AM1710" s="49">
        <v>315.0</v>
      </c>
      <c r="AN1710" s="51">
        <v>315.0</v>
      </c>
      <c r="AO1710" s="42" t="s">
        <v>107</v>
      </c>
      <c r="AP1710" s="43" t="s">
        <v>108</v>
      </c>
      <c r="AQ1710" s="44" t="str">
        <f t="shared" si="208"/>
        <v>CRO</v>
      </c>
      <c r="AR1710" s="44">
        <f t="shared" si="199"/>
        <v>315</v>
      </c>
      <c r="AS1710" s="44" t="str">
        <f t="shared" si="206"/>
        <v>D</v>
      </c>
      <c r="AT1710" s="44" t="str">
        <f t="shared" si="202"/>
        <v>Df</v>
      </c>
      <c r="AU1710" s="44" t="str">
        <f t="shared" si="203"/>
        <v>Dfa</v>
      </c>
      <c r="AV1710" s="38"/>
      <c r="AW1710" s="38"/>
      <c r="AX1710" s="38"/>
      <c r="AY1710" s="38"/>
      <c r="AZ1710" s="29">
        <v>25000.0</v>
      </c>
      <c r="BA1710" s="29"/>
      <c r="BB1710" s="29">
        <v>1.0</v>
      </c>
      <c r="BC1710" s="29"/>
      <c r="BD1710" s="29" t="s">
        <v>88</v>
      </c>
      <c r="BE1710" s="29"/>
      <c r="BF1710" s="29" t="s">
        <v>633</v>
      </c>
      <c r="BG1710" s="29" t="s">
        <v>203</v>
      </c>
      <c r="BH1710" s="29" t="s">
        <v>88</v>
      </c>
      <c r="BI1710" s="29" t="s">
        <v>2821</v>
      </c>
      <c r="BJ1710" s="29"/>
      <c r="BK1710" s="29"/>
      <c r="BL1710" s="29"/>
      <c r="BM1710" s="45"/>
      <c r="BN1710" s="45"/>
      <c r="BO1710" s="46"/>
      <c r="BP1710" s="2"/>
      <c r="BQ1710" s="3"/>
    </row>
    <row r="1711" ht="15.75" customHeight="1">
      <c r="A1711" s="34">
        <v>1787.0</v>
      </c>
      <c r="B1711" s="34">
        <v>200134.0</v>
      </c>
      <c r="C1711" s="34" t="s">
        <v>76</v>
      </c>
      <c r="D1711" s="34" t="s">
        <v>2814</v>
      </c>
      <c r="E1711" s="34" t="s">
        <v>2815</v>
      </c>
      <c r="F1711" s="34">
        <v>2011.0</v>
      </c>
      <c r="G1711" s="34" t="s">
        <v>2816</v>
      </c>
      <c r="H1711" s="34" t="s">
        <v>578</v>
      </c>
      <c r="I1711" s="34" t="s">
        <v>2817</v>
      </c>
      <c r="J1711" s="35"/>
      <c r="K1711" s="36"/>
      <c r="L1711" s="36"/>
      <c r="M1711" s="36"/>
      <c r="N1711" s="36">
        <v>83.0</v>
      </c>
      <c r="O1711" s="36">
        <v>247.0</v>
      </c>
      <c r="P1711" s="52">
        <f t="shared" si="209"/>
        <v>33.60323887</v>
      </c>
      <c r="Q1711" s="36"/>
      <c r="R1711" s="36" t="s">
        <v>96</v>
      </c>
      <c r="S1711" s="36">
        <v>25000.0</v>
      </c>
      <c r="T1711" s="36" t="s">
        <v>2818</v>
      </c>
      <c r="U1711" s="36" t="s">
        <v>150</v>
      </c>
      <c r="V1711" s="36"/>
      <c r="W1711" s="36"/>
      <c r="X1711" s="38">
        <v>1.0</v>
      </c>
      <c r="Y1711" s="38" t="s">
        <v>2049</v>
      </c>
      <c r="Z1711" s="38" t="s">
        <v>2822</v>
      </c>
      <c r="AA1711" s="38" t="s">
        <v>86</v>
      </c>
      <c r="AB1711" s="38" t="s">
        <v>2823</v>
      </c>
      <c r="AC1711" s="38" t="s">
        <v>2824</v>
      </c>
      <c r="AD1711" s="39" t="s">
        <v>87</v>
      </c>
      <c r="AE1711" s="38"/>
      <c r="AF1711" s="38" t="s">
        <v>2036</v>
      </c>
      <c r="AG1711" s="38"/>
      <c r="AH1711" s="38"/>
      <c r="AI1711" s="50">
        <v>41.99</v>
      </c>
      <c r="AJ1711" s="50">
        <v>-93.54</v>
      </c>
      <c r="AK1711" s="41" t="s">
        <v>86</v>
      </c>
      <c r="AL1711" s="40" t="s">
        <v>86</v>
      </c>
      <c r="AM1711" s="49">
        <v>288.0</v>
      </c>
      <c r="AN1711" s="51">
        <v>288.0</v>
      </c>
      <c r="AO1711" s="42" t="s">
        <v>107</v>
      </c>
      <c r="AP1711" s="43" t="s">
        <v>108</v>
      </c>
      <c r="AQ1711" s="44" t="str">
        <f t="shared" si="208"/>
        <v>CRO</v>
      </c>
      <c r="AR1711" s="44">
        <f t="shared" si="199"/>
        <v>288</v>
      </c>
      <c r="AS1711" s="44" t="str">
        <f t="shared" si="206"/>
        <v>D</v>
      </c>
      <c r="AT1711" s="44" t="str">
        <f t="shared" si="202"/>
        <v>Df</v>
      </c>
      <c r="AU1711" s="44" t="str">
        <f t="shared" si="203"/>
        <v>Dfa</v>
      </c>
      <c r="AV1711" s="38"/>
      <c r="AW1711" s="38"/>
      <c r="AX1711" s="38"/>
      <c r="AY1711" s="38"/>
      <c r="AZ1711" s="29">
        <v>25000.0</v>
      </c>
      <c r="BA1711" s="29"/>
      <c r="BB1711" s="29">
        <v>1.0</v>
      </c>
      <c r="BC1711" s="29"/>
      <c r="BD1711" s="29" t="s">
        <v>88</v>
      </c>
      <c r="BE1711" s="29"/>
      <c r="BF1711" s="29" t="s">
        <v>633</v>
      </c>
      <c r="BG1711" s="29" t="s">
        <v>203</v>
      </c>
      <c r="BH1711" s="29" t="s">
        <v>88</v>
      </c>
      <c r="BI1711" s="29" t="s">
        <v>2821</v>
      </c>
      <c r="BJ1711" s="29"/>
      <c r="BK1711" s="29"/>
      <c r="BL1711" s="29"/>
      <c r="BM1711" s="45"/>
      <c r="BN1711" s="45"/>
      <c r="BO1711" s="46"/>
      <c r="BP1711" s="2"/>
      <c r="BQ1711" s="3"/>
    </row>
    <row r="1712" ht="15.75" customHeight="1">
      <c r="A1712" s="34">
        <v>1788.0</v>
      </c>
      <c r="B1712" s="34">
        <v>200134.0</v>
      </c>
      <c r="C1712" s="34" t="s">
        <v>76</v>
      </c>
      <c r="D1712" s="34" t="s">
        <v>2814</v>
      </c>
      <c r="E1712" s="34" t="s">
        <v>2815</v>
      </c>
      <c r="F1712" s="34">
        <v>2011.0</v>
      </c>
      <c r="G1712" s="34" t="s">
        <v>2816</v>
      </c>
      <c r="H1712" s="34" t="s">
        <v>578</v>
      </c>
      <c r="I1712" s="34" t="s">
        <v>2817</v>
      </c>
      <c r="J1712" s="35"/>
      <c r="K1712" s="36"/>
      <c r="L1712" s="36"/>
      <c r="M1712" s="36"/>
      <c r="N1712" s="36">
        <v>-18.0</v>
      </c>
      <c r="O1712" s="36">
        <v>194.0</v>
      </c>
      <c r="P1712" s="52">
        <f t="shared" si="209"/>
        <v>-9.278350515</v>
      </c>
      <c r="Q1712" s="36"/>
      <c r="R1712" s="36" t="s">
        <v>96</v>
      </c>
      <c r="S1712" s="36">
        <v>25000.0</v>
      </c>
      <c r="T1712" s="36" t="s">
        <v>2818</v>
      </c>
      <c r="U1712" s="36" t="s">
        <v>150</v>
      </c>
      <c r="V1712" s="36"/>
      <c r="W1712" s="36"/>
      <c r="X1712" s="38">
        <v>1.0</v>
      </c>
      <c r="Y1712" s="38" t="s">
        <v>2043</v>
      </c>
      <c r="Z1712" s="38" t="s">
        <v>2044</v>
      </c>
      <c r="AA1712" s="38" t="s">
        <v>86</v>
      </c>
      <c r="AB1712" s="38" t="s">
        <v>2819</v>
      </c>
      <c r="AC1712" s="38" t="s">
        <v>2820</v>
      </c>
      <c r="AD1712" s="39" t="s">
        <v>87</v>
      </c>
      <c r="AE1712" s="38"/>
      <c r="AF1712" s="38" t="s">
        <v>2036</v>
      </c>
      <c r="AG1712" s="38"/>
      <c r="AH1712" s="38"/>
      <c r="AI1712" s="50">
        <v>41.95</v>
      </c>
      <c r="AJ1712" s="50">
        <v>-93.69</v>
      </c>
      <c r="AK1712" s="41" t="s">
        <v>86</v>
      </c>
      <c r="AL1712" s="40" t="s">
        <v>86</v>
      </c>
      <c r="AM1712" s="49">
        <v>315.0</v>
      </c>
      <c r="AN1712" s="51">
        <v>315.0</v>
      </c>
      <c r="AO1712" s="42" t="s">
        <v>107</v>
      </c>
      <c r="AP1712" s="43" t="s">
        <v>108</v>
      </c>
      <c r="AQ1712" s="44" t="str">
        <f t="shared" si="208"/>
        <v>CRO</v>
      </c>
      <c r="AR1712" s="44">
        <f t="shared" si="199"/>
        <v>315</v>
      </c>
      <c r="AS1712" s="44" t="str">
        <f t="shared" si="206"/>
        <v>D</v>
      </c>
      <c r="AT1712" s="44" t="str">
        <f t="shared" si="202"/>
        <v>Df</v>
      </c>
      <c r="AU1712" s="44" t="str">
        <f t="shared" si="203"/>
        <v>Dfa</v>
      </c>
      <c r="AV1712" s="38"/>
      <c r="AW1712" s="38"/>
      <c r="AX1712" s="38"/>
      <c r="AY1712" s="38"/>
      <c r="AZ1712" s="29">
        <v>25000.0</v>
      </c>
      <c r="BA1712" s="29"/>
      <c r="BB1712" s="29">
        <v>1.0</v>
      </c>
      <c r="BC1712" s="29"/>
      <c r="BD1712" s="29" t="s">
        <v>88</v>
      </c>
      <c r="BE1712" s="29"/>
      <c r="BF1712" s="29" t="s">
        <v>2825</v>
      </c>
      <c r="BG1712" s="29" t="s">
        <v>1095</v>
      </c>
      <c r="BH1712" s="29" t="s">
        <v>88</v>
      </c>
      <c r="BI1712" s="29" t="s">
        <v>2821</v>
      </c>
      <c r="BJ1712" s="29"/>
      <c r="BK1712" s="29"/>
      <c r="BL1712" s="29"/>
      <c r="BM1712" s="45"/>
      <c r="BN1712" s="45"/>
      <c r="BO1712" s="46"/>
      <c r="BP1712" s="2"/>
      <c r="BQ1712" s="3"/>
    </row>
    <row r="1713" ht="15.75" customHeight="1">
      <c r="A1713" s="34">
        <v>1789.0</v>
      </c>
      <c r="B1713" s="34">
        <v>200134.0</v>
      </c>
      <c r="C1713" s="34" t="s">
        <v>76</v>
      </c>
      <c r="D1713" s="34" t="s">
        <v>2814</v>
      </c>
      <c r="E1713" s="34" t="s">
        <v>2815</v>
      </c>
      <c r="F1713" s="34">
        <v>2011.0</v>
      </c>
      <c r="G1713" s="34" t="s">
        <v>2816</v>
      </c>
      <c r="H1713" s="34" t="s">
        <v>578</v>
      </c>
      <c r="I1713" s="34" t="s">
        <v>2817</v>
      </c>
      <c r="J1713" s="35"/>
      <c r="K1713" s="36"/>
      <c r="L1713" s="36"/>
      <c r="M1713" s="36"/>
      <c r="N1713" s="36">
        <v>44.0</v>
      </c>
      <c r="O1713" s="36">
        <v>247.0</v>
      </c>
      <c r="P1713" s="52">
        <f t="shared" si="209"/>
        <v>17.81376518</v>
      </c>
      <c r="Q1713" s="36"/>
      <c r="R1713" s="36" t="s">
        <v>96</v>
      </c>
      <c r="S1713" s="36">
        <v>25000.0</v>
      </c>
      <c r="T1713" s="36" t="s">
        <v>2818</v>
      </c>
      <c r="U1713" s="36" t="s">
        <v>150</v>
      </c>
      <c r="V1713" s="36"/>
      <c r="W1713" s="36"/>
      <c r="X1713" s="38">
        <v>1.0</v>
      </c>
      <c r="Y1713" s="38" t="s">
        <v>2049</v>
      </c>
      <c r="Z1713" s="38" t="s">
        <v>2822</v>
      </c>
      <c r="AA1713" s="38" t="s">
        <v>86</v>
      </c>
      <c r="AB1713" s="38" t="s">
        <v>2823</v>
      </c>
      <c r="AC1713" s="38" t="s">
        <v>2824</v>
      </c>
      <c r="AD1713" s="39" t="s">
        <v>87</v>
      </c>
      <c r="AE1713" s="38"/>
      <c r="AF1713" s="38" t="s">
        <v>2036</v>
      </c>
      <c r="AG1713" s="38"/>
      <c r="AH1713" s="38"/>
      <c r="AI1713" s="50">
        <v>41.99</v>
      </c>
      <c r="AJ1713" s="50">
        <v>-93.54</v>
      </c>
      <c r="AK1713" s="41" t="s">
        <v>86</v>
      </c>
      <c r="AL1713" s="40" t="s">
        <v>86</v>
      </c>
      <c r="AM1713" s="49">
        <v>288.0</v>
      </c>
      <c r="AN1713" s="51">
        <v>288.0</v>
      </c>
      <c r="AO1713" s="42" t="s">
        <v>107</v>
      </c>
      <c r="AP1713" s="43" t="s">
        <v>108</v>
      </c>
      <c r="AQ1713" s="44" t="str">
        <f t="shared" si="208"/>
        <v>CRO</v>
      </c>
      <c r="AR1713" s="44">
        <f t="shared" si="199"/>
        <v>288</v>
      </c>
      <c r="AS1713" s="44" t="str">
        <f t="shared" si="206"/>
        <v>D</v>
      </c>
      <c r="AT1713" s="44" t="str">
        <f t="shared" si="202"/>
        <v>Df</v>
      </c>
      <c r="AU1713" s="44" t="str">
        <f t="shared" si="203"/>
        <v>Dfa</v>
      </c>
      <c r="AV1713" s="38"/>
      <c r="AW1713" s="38"/>
      <c r="AX1713" s="38"/>
      <c r="AY1713" s="38"/>
      <c r="AZ1713" s="29">
        <v>25000.0</v>
      </c>
      <c r="BA1713" s="29"/>
      <c r="BB1713" s="29">
        <v>1.0</v>
      </c>
      <c r="BC1713" s="29"/>
      <c r="BD1713" s="29" t="s">
        <v>88</v>
      </c>
      <c r="BE1713" s="29"/>
      <c r="BF1713" s="29" t="s">
        <v>2825</v>
      </c>
      <c r="BG1713" s="29" t="s">
        <v>1095</v>
      </c>
      <c r="BH1713" s="29" t="s">
        <v>88</v>
      </c>
      <c r="BI1713" s="29" t="s">
        <v>2821</v>
      </c>
      <c r="BJ1713" s="29"/>
      <c r="BK1713" s="29"/>
      <c r="BL1713" s="29"/>
      <c r="BM1713" s="45"/>
      <c r="BN1713" s="45"/>
      <c r="BO1713" s="46"/>
      <c r="BP1713" s="2"/>
      <c r="BQ1713" s="3"/>
    </row>
    <row r="1714" ht="15.75" customHeight="1">
      <c r="A1714" s="34">
        <v>1790.0</v>
      </c>
      <c r="B1714" s="34">
        <v>200134.0</v>
      </c>
      <c r="C1714" s="34" t="s">
        <v>76</v>
      </c>
      <c r="D1714" s="34" t="s">
        <v>2814</v>
      </c>
      <c r="E1714" s="34" t="s">
        <v>2815</v>
      </c>
      <c r="F1714" s="34">
        <v>2011.0</v>
      </c>
      <c r="G1714" s="34" t="s">
        <v>2816</v>
      </c>
      <c r="H1714" s="34" t="s">
        <v>578</v>
      </c>
      <c r="I1714" s="34" t="s">
        <v>2817</v>
      </c>
      <c r="J1714" s="35"/>
      <c r="K1714" s="36"/>
      <c r="L1714" s="36"/>
      <c r="M1714" s="36"/>
      <c r="N1714" s="36">
        <v>28.0</v>
      </c>
      <c r="O1714" s="36">
        <v>194.0</v>
      </c>
      <c r="P1714" s="52">
        <f t="shared" si="209"/>
        <v>14.43298969</v>
      </c>
      <c r="Q1714" s="36"/>
      <c r="R1714" s="36" t="s">
        <v>96</v>
      </c>
      <c r="S1714" s="36">
        <v>25000.0</v>
      </c>
      <c r="T1714" s="36" t="s">
        <v>2818</v>
      </c>
      <c r="U1714" s="36" t="s">
        <v>150</v>
      </c>
      <c r="V1714" s="36"/>
      <c r="W1714" s="36"/>
      <c r="X1714" s="38">
        <v>1.0</v>
      </c>
      <c r="Y1714" s="38" t="s">
        <v>2043</v>
      </c>
      <c r="Z1714" s="38" t="s">
        <v>2044</v>
      </c>
      <c r="AA1714" s="38" t="s">
        <v>86</v>
      </c>
      <c r="AB1714" s="38" t="s">
        <v>2819</v>
      </c>
      <c r="AC1714" s="38" t="s">
        <v>2820</v>
      </c>
      <c r="AD1714" s="39" t="s">
        <v>87</v>
      </c>
      <c r="AE1714" s="38"/>
      <c r="AF1714" s="38" t="s">
        <v>2036</v>
      </c>
      <c r="AG1714" s="38"/>
      <c r="AH1714" s="38"/>
      <c r="AI1714" s="50">
        <v>41.95</v>
      </c>
      <c r="AJ1714" s="50">
        <v>-93.69</v>
      </c>
      <c r="AK1714" s="41" t="s">
        <v>86</v>
      </c>
      <c r="AL1714" s="40" t="s">
        <v>86</v>
      </c>
      <c r="AM1714" s="49">
        <v>315.0</v>
      </c>
      <c r="AN1714" s="51">
        <v>315.0</v>
      </c>
      <c r="AO1714" s="42" t="s">
        <v>107</v>
      </c>
      <c r="AP1714" s="43" t="s">
        <v>108</v>
      </c>
      <c r="AQ1714" s="44" t="str">
        <f t="shared" si="208"/>
        <v>CRO</v>
      </c>
      <c r="AR1714" s="44">
        <f t="shared" si="199"/>
        <v>315</v>
      </c>
      <c r="AS1714" s="44" t="str">
        <f t="shared" si="206"/>
        <v>D</v>
      </c>
      <c r="AT1714" s="44" t="str">
        <f t="shared" si="202"/>
        <v>Df</v>
      </c>
      <c r="AU1714" s="44" t="str">
        <f t="shared" si="203"/>
        <v>Dfa</v>
      </c>
      <c r="AV1714" s="38"/>
      <c r="AW1714" s="38"/>
      <c r="AX1714" s="38"/>
      <c r="AY1714" s="38"/>
      <c r="AZ1714" s="29">
        <v>25000.0</v>
      </c>
      <c r="BA1714" s="29"/>
      <c r="BB1714" s="29">
        <v>1.0</v>
      </c>
      <c r="BC1714" s="29"/>
      <c r="BD1714" s="29" t="s">
        <v>88</v>
      </c>
      <c r="BE1714" s="29"/>
      <c r="BF1714" s="29" t="s">
        <v>633</v>
      </c>
      <c r="BG1714" s="29" t="s">
        <v>203</v>
      </c>
      <c r="BH1714" s="29" t="s">
        <v>88</v>
      </c>
      <c r="BI1714" s="29" t="s">
        <v>2821</v>
      </c>
      <c r="BJ1714" s="29"/>
      <c r="BK1714" s="29"/>
      <c r="BL1714" s="29"/>
      <c r="BM1714" s="45"/>
      <c r="BN1714" s="45"/>
      <c r="BO1714" s="46"/>
      <c r="BP1714" s="2"/>
      <c r="BQ1714" s="3"/>
    </row>
    <row r="1715" ht="15.75" customHeight="1">
      <c r="A1715" s="34">
        <v>1791.0</v>
      </c>
      <c r="B1715" s="34">
        <v>200134.0</v>
      </c>
      <c r="C1715" s="34" t="s">
        <v>76</v>
      </c>
      <c r="D1715" s="34" t="s">
        <v>2814</v>
      </c>
      <c r="E1715" s="34" t="s">
        <v>2815</v>
      </c>
      <c r="F1715" s="34">
        <v>2011.0</v>
      </c>
      <c r="G1715" s="34" t="s">
        <v>2816</v>
      </c>
      <c r="H1715" s="34" t="s">
        <v>578</v>
      </c>
      <c r="I1715" s="34" t="s">
        <v>2817</v>
      </c>
      <c r="J1715" s="35"/>
      <c r="K1715" s="36"/>
      <c r="L1715" s="36"/>
      <c r="M1715" s="36"/>
      <c r="N1715" s="36">
        <v>44.0</v>
      </c>
      <c r="O1715" s="36">
        <v>247.0</v>
      </c>
      <c r="P1715" s="52">
        <f t="shared" si="209"/>
        <v>17.81376518</v>
      </c>
      <c r="Q1715" s="36"/>
      <c r="R1715" s="36" t="s">
        <v>96</v>
      </c>
      <c r="S1715" s="36">
        <v>25000.0</v>
      </c>
      <c r="T1715" s="36" t="s">
        <v>2818</v>
      </c>
      <c r="U1715" s="36" t="s">
        <v>150</v>
      </c>
      <c r="V1715" s="36"/>
      <c r="W1715" s="36"/>
      <c r="X1715" s="38">
        <v>1.0</v>
      </c>
      <c r="Y1715" s="38" t="s">
        <v>2049</v>
      </c>
      <c r="Z1715" s="38" t="s">
        <v>2822</v>
      </c>
      <c r="AA1715" s="38" t="s">
        <v>86</v>
      </c>
      <c r="AB1715" s="38" t="s">
        <v>2823</v>
      </c>
      <c r="AC1715" s="38" t="s">
        <v>2824</v>
      </c>
      <c r="AD1715" s="39" t="s">
        <v>87</v>
      </c>
      <c r="AE1715" s="38"/>
      <c r="AF1715" s="38" t="s">
        <v>2036</v>
      </c>
      <c r="AG1715" s="38"/>
      <c r="AH1715" s="38"/>
      <c r="AI1715" s="50">
        <v>41.99</v>
      </c>
      <c r="AJ1715" s="50">
        <v>-93.54</v>
      </c>
      <c r="AK1715" s="41" t="s">
        <v>86</v>
      </c>
      <c r="AL1715" s="40" t="s">
        <v>86</v>
      </c>
      <c r="AM1715" s="49">
        <v>288.0</v>
      </c>
      <c r="AN1715" s="51">
        <v>288.0</v>
      </c>
      <c r="AO1715" s="42" t="s">
        <v>107</v>
      </c>
      <c r="AP1715" s="43" t="s">
        <v>108</v>
      </c>
      <c r="AQ1715" s="44" t="str">
        <f t="shared" si="208"/>
        <v>CRO</v>
      </c>
      <c r="AR1715" s="44">
        <f t="shared" si="199"/>
        <v>288</v>
      </c>
      <c r="AS1715" s="44" t="str">
        <f t="shared" si="206"/>
        <v>D</v>
      </c>
      <c r="AT1715" s="44" t="str">
        <f t="shared" si="202"/>
        <v>Df</v>
      </c>
      <c r="AU1715" s="44" t="str">
        <f t="shared" si="203"/>
        <v>Dfa</v>
      </c>
      <c r="AV1715" s="38"/>
      <c r="AW1715" s="38"/>
      <c r="AX1715" s="38"/>
      <c r="AY1715" s="38"/>
      <c r="AZ1715" s="29">
        <v>25000.0</v>
      </c>
      <c r="BA1715" s="29"/>
      <c r="BB1715" s="29">
        <v>1.0</v>
      </c>
      <c r="BC1715" s="29"/>
      <c r="BD1715" s="29" t="s">
        <v>88</v>
      </c>
      <c r="BE1715" s="29"/>
      <c r="BF1715" s="29" t="s">
        <v>633</v>
      </c>
      <c r="BG1715" s="29" t="s">
        <v>203</v>
      </c>
      <c r="BH1715" s="29" t="s">
        <v>88</v>
      </c>
      <c r="BI1715" s="29" t="s">
        <v>2821</v>
      </c>
      <c r="BJ1715" s="29"/>
      <c r="BK1715" s="29"/>
      <c r="BL1715" s="29"/>
      <c r="BM1715" s="45"/>
      <c r="BN1715" s="45"/>
      <c r="BO1715" s="46"/>
      <c r="BP1715" s="2"/>
      <c r="BQ1715" s="3"/>
    </row>
    <row r="1716" ht="15.75" customHeight="1">
      <c r="A1716" s="34">
        <v>1792.0</v>
      </c>
      <c r="B1716" s="34">
        <v>200384.0</v>
      </c>
      <c r="C1716" s="34" t="s">
        <v>76</v>
      </c>
      <c r="D1716" s="34" t="s">
        <v>2826</v>
      </c>
      <c r="E1716" s="34" t="s">
        <v>2827</v>
      </c>
      <c r="F1716" s="34">
        <v>2013.0</v>
      </c>
      <c r="G1716" s="34" t="s">
        <v>2828</v>
      </c>
      <c r="H1716" s="34" t="s">
        <v>578</v>
      </c>
      <c r="I1716" s="34" t="s">
        <v>2829</v>
      </c>
      <c r="J1716" s="35"/>
      <c r="K1716" s="36"/>
      <c r="L1716" s="36"/>
      <c r="M1716" s="36"/>
      <c r="N1716" s="36">
        <v>140.8</v>
      </c>
      <c r="O1716" s="36">
        <v>170.9</v>
      </c>
      <c r="P1716" s="52">
        <f t="shared" si="209"/>
        <v>82.38736103</v>
      </c>
      <c r="Q1716" s="36"/>
      <c r="R1716" s="36" t="s">
        <v>96</v>
      </c>
      <c r="S1716" s="36">
        <v>1000.0</v>
      </c>
      <c r="T1716" s="36" t="s">
        <v>193</v>
      </c>
      <c r="U1716" s="36" t="s">
        <v>363</v>
      </c>
      <c r="V1716" s="36">
        <v>23.0</v>
      </c>
      <c r="W1716" s="36"/>
      <c r="X1716" s="38">
        <v>1.0</v>
      </c>
      <c r="Y1716" s="38" t="s">
        <v>1207</v>
      </c>
      <c r="Z1716" s="38" t="s">
        <v>1207</v>
      </c>
      <c r="AA1716" s="38" t="s">
        <v>2830</v>
      </c>
      <c r="AB1716" s="38" t="s">
        <v>2831</v>
      </c>
      <c r="AC1716" s="38" t="s">
        <v>2832</v>
      </c>
      <c r="AD1716" s="38" t="s">
        <v>198</v>
      </c>
      <c r="AE1716" s="38">
        <v>184.0</v>
      </c>
      <c r="AF1716" s="38"/>
      <c r="AG1716" s="38"/>
      <c r="AH1716" s="38"/>
      <c r="AI1716" s="50">
        <v>44.416</v>
      </c>
      <c r="AJ1716" s="50">
        <v>122.867</v>
      </c>
      <c r="AK1716" s="41" t="s">
        <v>288</v>
      </c>
      <c r="AL1716" s="40" t="s">
        <v>288</v>
      </c>
      <c r="AM1716" s="49">
        <v>153.0</v>
      </c>
      <c r="AN1716" s="51">
        <v>153.0</v>
      </c>
      <c r="AO1716" s="42" t="s">
        <v>293</v>
      </c>
      <c r="AP1716" s="43" t="s">
        <v>293</v>
      </c>
      <c r="AQ1716" s="80" t="s">
        <v>288</v>
      </c>
      <c r="AR1716" s="44">
        <f t="shared" si="199"/>
        <v>153</v>
      </c>
      <c r="AS1716" s="44" t="str">
        <f t="shared" si="206"/>
        <v>B</v>
      </c>
      <c r="AT1716" s="44" t="str">
        <f t="shared" si="202"/>
        <v>BS</v>
      </c>
      <c r="AU1716" s="44" t="str">
        <f t="shared" si="203"/>
        <v>BSk</v>
      </c>
      <c r="AV1716" s="38">
        <v>1.0</v>
      </c>
      <c r="AW1716" s="38">
        <v>1.0</v>
      </c>
      <c r="AX1716" s="38"/>
      <c r="AY1716" s="38"/>
      <c r="AZ1716" s="29">
        <v>1000.0</v>
      </c>
      <c r="BA1716" s="29"/>
      <c r="BB1716" s="29">
        <v>1.0</v>
      </c>
      <c r="BC1716" s="29"/>
      <c r="BD1716" s="29" t="s">
        <v>88</v>
      </c>
      <c r="BE1716" s="29"/>
      <c r="BF1716" s="29" t="s">
        <v>2833</v>
      </c>
      <c r="BG1716" s="29" t="s">
        <v>572</v>
      </c>
      <c r="BH1716" s="29" t="s">
        <v>88</v>
      </c>
      <c r="BI1716" s="29" t="s">
        <v>2821</v>
      </c>
      <c r="BJ1716" s="29"/>
      <c r="BK1716" s="29" t="s">
        <v>148</v>
      </c>
      <c r="BL1716" s="29"/>
      <c r="BM1716" s="45">
        <v>1.0</v>
      </c>
      <c r="BN1716" s="45"/>
      <c r="BO1716" s="46">
        <v>1.0</v>
      </c>
      <c r="BP1716" s="2"/>
      <c r="BQ1716" s="3"/>
    </row>
    <row r="1717" ht="15.75" customHeight="1">
      <c r="A1717" s="34">
        <v>1793.0</v>
      </c>
      <c r="B1717" s="34">
        <v>200384.0</v>
      </c>
      <c r="C1717" s="34" t="s">
        <v>76</v>
      </c>
      <c r="D1717" s="34" t="s">
        <v>2826</v>
      </c>
      <c r="E1717" s="34" t="s">
        <v>2827</v>
      </c>
      <c r="F1717" s="34">
        <v>2013.0</v>
      </c>
      <c r="G1717" s="34" t="s">
        <v>2828</v>
      </c>
      <c r="H1717" s="34" t="s">
        <v>578</v>
      </c>
      <c r="I1717" s="34" t="s">
        <v>2829</v>
      </c>
      <c r="J1717" s="35"/>
      <c r="K1717" s="36"/>
      <c r="L1717" s="36"/>
      <c r="M1717" s="36"/>
      <c r="N1717" s="36">
        <v>-14.9</v>
      </c>
      <c r="O1717" s="36">
        <v>326.6</v>
      </c>
      <c r="P1717" s="52">
        <f t="shared" si="209"/>
        <v>-4.562155542</v>
      </c>
      <c r="Q1717" s="36"/>
      <c r="R1717" s="36" t="s">
        <v>96</v>
      </c>
      <c r="S1717" s="36">
        <v>1000.0</v>
      </c>
      <c r="T1717" s="36" t="s">
        <v>193</v>
      </c>
      <c r="U1717" s="36" t="s">
        <v>363</v>
      </c>
      <c r="V1717" s="36">
        <v>23.0</v>
      </c>
      <c r="W1717" s="36"/>
      <c r="X1717" s="38">
        <v>1.0</v>
      </c>
      <c r="Y1717" s="38" t="s">
        <v>1207</v>
      </c>
      <c r="Z1717" s="38" t="s">
        <v>1207</v>
      </c>
      <c r="AA1717" s="38" t="s">
        <v>2830</v>
      </c>
      <c r="AB1717" s="38" t="s">
        <v>2831</v>
      </c>
      <c r="AC1717" s="38" t="s">
        <v>2832</v>
      </c>
      <c r="AD1717" s="38" t="s">
        <v>198</v>
      </c>
      <c r="AE1717" s="38">
        <v>184.0</v>
      </c>
      <c r="AF1717" s="38"/>
      <c r="AG1717" s="38"/>
      <c r="AH1717" s="38"/>
      <c r="AI1717" s="50">
        <v>44.416</v>
      </c>
      <c r="AJ1717" s="50">
        <v>122.867</v>
      </c>
      <c r="AK1717" s="41" t="s">
        <v>288</v>
      </c>
      <c r="AL1717" s="40" t="s">
        <v>288</v>
      </c>
      <c r="AM1717" s="49">
        <v>153.0</v>
      </c>
      <c r="AN1717" s="51">
        <v>153.0</v>
      </c>
      <c r="AO1717" s="42" t="s">
        <v>293</v>
      </c>
      <c r="AP1717" s="43" t="s">
        <v>293</v>
      </c>
      <c r="AQ1717" s="80" t="s">
        <v>288</v>
      </c>
      <c r="AR1717" s="44">
        <f t="shared" si="199"/>
        <v>153</v>
      </c>
      <c r="AS1717" s="44" t="str">
        <f t="shared" si="206"/>
        <v>B</v>
      </c>
      <c r="AT1717" s="44" t="str">
        <f t="shared" si="202"/>
        <v>BS</v>
      </c>
      <c r="AU1717" s="44" t="str">
        <f t="shared" si="203"/>
        <v>BSk</v>
      </c>
      <c r="AV1717" s="38">
        <v>2.0</v>
      </c>
      <c r="AW1717" s="38">
        <v>1.0</v>
      </c>
      <c r="AX1717" s="38"/>
      <c r="AY1717" s="38"/>
      <c r="AZ1717" s="29">
        <v>1000.0</v>
      </c>
      <c r="BA1717" s="29"/>
      <c r="BB1717" s="29">
        <v>1.0</v>
      </c>
      <c r="BC1717" s="29"/>
      <c r="BD1717" s="29" t="s">
        <v>88</v>
      </c>
      <c r="BE1717" s="29"/>
      <c r="BF1717" s="29" t="s">
        <v>2833</v>
      </c>
      <c r="BG1717" s="29" t="s">
        <v>572</v>
      </c>
      <c r="BH1717" s="29" t="s">
        <v>88</v>
      </c>
      <c r="BI1717" s="29" t="s">
        <v>2821</v>
      </c>
      <c r="BJ1717" s="29"/>
      <c r="BK1717" s="29" t="s">
        <v>148</v>
      </c>
      <c r="BL1717" s="29"/>
      <c r="BM1717" s="45"/>
      <c r="BN1717" s="45"/>
      <c r="BO1717" s="46"/>
      <c r="BP1717" s="2"/>
      <c r="BQ1717" s="3"/>
    </row>
    <row r="1718" ht="15.75" customHeight="1">
      <c r="A1718" s="34">
        <v>1794.0</v>
      </c>
      <c r="B1718" s="34">
        <v>200384.0</v>
      </c>
      <c r="C1718" s="34" t="s">
        <v>76</v>
      </c>
      <c r="D1718" s="34" t="s">
        <v>2826</v>
      </c>
      <c r="E1718" s="34" t="s">
        <v>2827</v>
      </c>
      <c r="F1718" s="34">
        <v>2013.0</v>
      </c>
      <c r="G1718" s="34" t="s">
        <v>2828</v>
      </c>
      <c r="H1718" s="34" t="s">
        <v>578</v>
      </c>
      <c r="I1718" s="34" t="s">
        <v>2829</v>
      </c>
      <c r="J1718" s="35"/>
      <c r="K1718" s="36"/>
      <c r="L1718" s="36"/>
      <c r="M1718" s="36"/>
      <c r="N1718" s="36">
        <v>125.6</v>
      </c>
      <c r="O1718" s="36">
        <v>305.1</v>
      </c>
      <c r="P1718" s="52">
        <f t="shared" si="209"/>
        <v>41.16683055</v>
      </c>
      <c r="Q1718" s="36"/>
      <c r="R1718" s="36" t="s">
        <v>96</v>
      </c>
      <c r="S1718" s="36">
        <v>1000.0</v>
      </c>
      <c r="T1718" s="36" t="s">
        <v>193</v>
      </c>
      <c r="U1718" s="36" t="s">
        <v>363</v>
      </c>
      <c r="V1718" s="36">
        <v>23.0</v>
      </c>
      <c r="W1718" s="36"/>
      <c r="X1718" s="38">
        <v>1.0</v>
      </c>
      <c r="Y1718" s="38" t="s">
        <v>1207</v>
      </c>
      <c r="Z1718" s="38" t="s">
        <v>1207</v>
      </c>
      <c r="AA1718" s="38" t="s">
        <v>2830</v>
      </c>
      <c r="AB1718" s="38" t="s">
        <v>2831</v>
      </c>
      <c r="AC1718" s="38" t="s">
        <v>2832</v>
      </c>
      <c r="AD1718" s="38" t="s">
        <v>198</v>
      </c>
      <c r="AE1718" s="38">
        <v>184.0</v>
      </c>
      <c r="AF1718" s="38"/>
      <c r="AG1718" s="38"/>
      <c r="AH1718" s="38"/>
      <c r="AI1718" s="50">
        <v>44.416</v>
      </c>
      <c r="AJ1718" s="50">
        <v>122.867</v>
      </c>
      <c r="AK1718" s="41" t="s">
        <v>288</v>
      </c>
      <c r="AL1718" s="40" t="s">
        <v>288</v>
      </c>
      <c r="AM1718" s="49">
        <v>153.0</v>
      </c>
      <c r="AN1718" s="51">
        <v>153.0</v>
      </c>
      <c r="AO1718" s="42" t="s">
        <v>293</v>
      </c>
      <c r="AP1718" s="43" t="s">
        <v>293</v>
      </c>
      <c r="AQ1718" s="80" t="s">
        <v>288</v>
      </c>
      <c r="AR1718" s="44">
        <f t="shared" si="199"/>
        <v>153</v>
      </c>
      <c r="AS1718" s="44" t="str">
        <f t="shared" si="206"/>
        <v>B</v>
      </c>
      <c r="AT1718" s="44" t="str">
        <f t="shared" si="202"/>
        <v>BS</v>
      </c>
      <c r="AU1718" s="44" t="str">
        <f t="shared" si="203"/>
        <v>BSk</v>
      </c>
      <c r="AV1718" s="38">
        <v>1.0</v>
      </c>
      <c r="AW1718" s="38">
        <v>1.0</v>
      </c>
      <c r="AX1718" s="38"/>
      <c r="AY1718" s="38"/>
      <c r="AZ1718" s="29">
        <v>1000.0</v>
      </c>
      <c r="BA1718" s="29"/>
      <c r="BB1718" s="29">
        <v>1.0</v>
      </c>
      <c r="BC1718" s="29"/>
      <c r="BD1718" s="29" t="s">
        <v>88</v>
      </c>
      <c r="BE1718" s="29"/>
      <c r="BF1718" s="29" t="s">
        <v>571</v>
      </c>
      <c r="BG1718" s="29" t="s">
        <v>572</v>
      </c>
      <c r="BH1718" s="29" t="s">
        <v>88</v>
      </c>
      <c r="BI1718" s="29" t="s">
        <v>2821</v>
      </c>
      <c r="BJ1718" s="29"/>
      <c r="BK1718" s="29" t="s">
        <v>148</v>
      </c>
      <c r="BL1718" s="29"/>
      <c r="BM1718" s="45"/>
      <c r="BN1718" s="45"/>
      <c r="BO1718" s="46"/>
      <c r="BP1718" s="2"/>
      <c r="BQ1718" s="3"/>
    </row>
    <row r="1719" ht="15.75" customHeight="1">
      <c r="A1719" s="34">
        <v>1795.0</v>
      </c>
      <c r="B1719" s="34">
        <v>200384.0</v>
      </c>
      <c r="C1719" s="34" t="s">
        <v>76</v>
      </c>
      <c r="D1719" s="34" t="s">
        <v>2826</v>
      </c>
      <c r="E1719" s="34" t="s">
        <v>2827</v>
      </c>
      <c r="F1719" s="34">
        <v>2013.0</v>
      </c>
      <c r="G1719" s="34" t="s">
        <v>2828</v>
      </c>
      <c r="H1719" s="34" t="s">
        <v>578</v>
      </c>
      <c r="I1719" s="34" t="s">
        <v>2829</v>
      </c>
      <c r="J1719" s="35"/>
      <c r="K1719" s="36"/>
      <c r="L1719" s="36"/>
      <c r="M1719" s="36"/>
      <c r="N1719" s="36">
        <v>14.2</v>
      </c>
      <c r="O1719" s="36">
        <v>458.3</v>
      </c>
      <c r="P1719" s="52">
        <f t="shared" si="209"/>
        <v>3.098407157</v>
      </c>
      <c r="Q1719" s="36"/>
      <c r="R1719" s="36" t="s">
        <v>96</v>
      </c>
      <c r="S1719" s="36">
        <v>1000.0</v>
      </c>
      <c r="T1719" s="36" t="s">
        <v>193</v>
      </c>
      <c r="U1719" s="36" t="s">
        <v>363</v>
      </c>
      <c r="V1719" s="36">
        <v>23.0</v>
      </c>
      <c r="W1719" s="36"/>
      <c r="X1719" s="38">
        <v>1.0</v>
      </c>
      <c r="Y1719" s="38" t="s">
        <v>1207</v>
      </c>
      <c r="Z1719" s="38" t="s">
        <v>1207</v>
      </c>
      <c r="AA1719" s="38" t="s">
        <v>2830</v>
      </c>
      <c r="AB1719" s="38" t="s">
        <v>2831</v>
      </c>
      <c r="AC1719" s="38" t="s">
        <v>2832</v>
      </c>
      <c r="AD1719" s="38" t="s">
        <v>198</v>
      </c>
      <c r="AE1719" s="38">
        <v>184.0</v>
      </c>
      <c r="AF1719" s="38"/>
      <c r="AG1719" s="38"/>
      <c r="AH1719" s="38"/>
      <c r="AI1719" s="50">
        <v>44.416</v>
      </c>
      <c r="AJ1719" s="50">
        <v>122.867</v>
      </c>
      <c r="AK1719" s="41" t="s">
        <v>288</v>
      </c>
      <c r="AL1719" s="40" t="s">
        <v>288</v>
      </c>
      <c r="AM1719" s="49">
        <v>153.0</v>
      </c>
      <c r="AN1719" s="51">
        <v>153.0</v>
      </c>
      <c r="AO1719" s="42" t="s">
        <v>293</v>
      </c>
      <c r="AP1719" s="43" t="s">
        <v>293</v>
      </c>
      <c r="AQ1719" s="80" t="s">
        <v>288</v>
      </c>
      <c r="AR1719" s="44">
        <f t="shared" si="199"/>
        <v>153</v>
      </c>
      <c r="AS1719" s="44" t="str">
        <f t="shared" si="206"/>
        <v>B</v>
      </c>
      <c r="AT1719" s="44" t="str">
        <f t="shared" si="202"/>
        <v>BS</v>
      </c>
      <c r="AU1719" s="44" t="str">
        <f t="shared" si="203"/>
        <v>BSk</v>
      </c>
      <c r="AV1719" s="38">
        <v>2.0</v>
      </c>
      <c r="AW1719" s="38">
        <v>1.0</v>
      </c>
      <c r="AX1719" s="38"/>
      <c r="AY1719" s="38"/>
      <c r="AZ1719" s="29">
        <v>1000.0</v>
      </c>
      <c r="BA1719" s="29"/>
      <c r="BB1719" s="29">
        <v>1.0</v>
      </c>
      <c r="BC1719" s="29"/>
      <c r="BD1719" s="29" t="s">
        <v>88</v>
      </c>
      <c r="BE1719" s="29"/>
      <c r="BF1719" s="29" t="s">
        <v>571</v>
      </c>
      <c r="BG1719" s="29" t="s">
        <v>572</v>
      </c>
      <c r="BH1719" s="29" t="s">
        <v>88</v>
      </c>
      <c r="BI1719" s="29" t="s">
        <v>2821</v>
      </c>
      <c r="BJ1719" s="29"/>
      <c r="BK1719" s="29" t="s">
        <v>148</v>
      </c>
      <c r="BL1719" s="29"/>
      <c r="BM1719" s="45"/>
      <c r="BN1719" s="45"/>
      <c r="BO1719" s="46"/>
      <c r="BP1719" s="2"/>
      <c r="BQ1719" s="3"/>
    </row>
    <row r="1720" ht="15.75" customHeight="1">
      <c r="A1720" s="34">
        <v>1796.0</v>
      </c>
      <c r="B1720" s="34">
        <v>200384.0</v>
      </c>
      <c r="C1720" s="34" t="s">
        <v>76</v>
      </c>
      <c r="D1720" s="34" t="s">
        <v>2826</v>
      </c>
      <c r="E1720" s="34" t="s">
        <v>2827</v>
      </c>
      <c r="F1720" s="34">
        <v>2013.0</v>
      </c>
      <c r="G1720" s="34" t="s">
        <v>2828</v>
      </c>
      <c r="H1720" s="34" t="s">
        <v>578</v>
      </c>
      <c r="I1720" s="34" t="s">
        <v>2829</v>
      </c>
      <c r="J1720" s="35"/>
      <c r="K1720" s="36"/>
      <c r="L1720" s="36"/>
      <c r="M1720" s="36"/>
      <c r="N1720" s="36">
        <v>54.2</v>
      </c>
      <c r="O1720" s="36">
        <v>170.9</v>
      </c>
      <c r="P1720" s="52">
        <f t="shared" si="209"/>
        <v>31.7144529</v>
      </c>
      <c r="Q1720" s="36"/>
      <c r="R1720" s="36" t="s">
        <v>96</v>
      </c>
      <c r="S1720" s="36">
        <v>1000.0</v>
      </c>
      <c r="T1720" s="36" t="s">
        <v>193</v>
      </c>
      <c r="U1720" s="36" t="s">
        <v>363</v>
      </c>
      <c r="V1720" s="36">
        <v>22.0</v>
      </c>
      <c r="W1720" s="36"/>
      <c r="X1720" s="38">
        <v>1.0</v>
      </c>
      <c r="Y1720" s="38" t="s">
        <v>384</v>
      </c>
      <c r="Z1720" s="38" t="s">
        <v>384</v>
      </c>
      <c r="AA1720" s="38" t="s">
        <v>288</v>
      </c>
      <c r="AB1720" s="38" t="s">
        <v>2834</v>
      </c>
      <c r="AC1720" s="38" t="s">
        <v>2835</v>
      </c>
      <c r="AD1720" s="38" t="s">
        <v>385</v>
      </c>
      <c r="AE1720" s="38">
        <v>0.7</v>
      </c>
      <c r="AF1720" s="38"/>
      <c r="AG1720" s="38"/>
      <c r="AH1720" s="38"/>
      <c r="AI1720" s="50">
        <v>51.97</v>
      </c>
      <c r="AJ1720" s="50">
        <v>4.93</v>
      </c>
      <c r="AK1720" s="41" t="s">
        <v>313</v>
      </c>
      <c r="AL1720" s="40" t="s">
        <v>313</v>
      </c>
      <c r="AM1720" s="49">
        <v>-1.0</v>
      </c>
      <c r="AN1720" s="51">
        <v>-1.0</v>
      </c>
      <c r="AO1720" s="42" t="s">
        <v>376</v>
      </c>
      <c r="AP1720" s="43" t="s">
        <v>376</v>
      </c>
      <c r="AQ1720" s="44" t="str">
        <f t="shared" ref="AQ1720:AQ1723" si="210">AA1720</f>
        <v>GRA</v>
      </c>
      <c r="AR1720" s="44">
        <f t="shared" si="199"/>
        <v>-1</v>
      </c>
      <c r="AS1720" s="44" t="str">
        <f t="shared" si="206"/>
        <v>C</v>
      </c>
      <c r="AT1720" s="44" t="str">
        <f t="shared" si="202"/>
        <v>Cf</v>
      </c>
      <c r="AU1720" s="44" t="str">
        <f t="shared" si="203"/>
        <v>Cfb</v>
      </c>
      <c r="AV1720" s="38">
        <v>1.0</v>
      </c>
      <c r="AW1720" s="38">
        <v>1.0</v>
      </c>
      <c r="AX1720" s="38"/>
      <c r="AY1720" s="38"/>
      <c r="AZ1720" s="29">
        <v>1000.0</v>
      </c>
      <c r="BA1720" s="29"/>
      <c r="BB1720" s="29">
        <v>1.0</v>
      </c>
      <c r="BC1720" s="29"/>
      <c r="BD1720" s="29" t="s">
        <v>88</v>
      </c>
      <c r="BE1720" s="29"/>
      <c r="BF1720" s="29" t="s">
        <v>2833</v>
      </c>
      <c r="BG1720" s="29" t="s">
        <v>572</v>
      </c>
      <c r="BH1720" s="29" t="s">
        <v>88</v>
      </c>
      <c r="BI1720" s="29" t="s">
        <v>2821</v>
      </c>
      <c r="BJ1720" s="29"/>
      <c r="BK1720" s="29" t="s">
        <v>148</v>
      </c>
      <c r="BL1720" s="29"/>
      <c r="BM1720" s="45"/>
      <c r="BN1720" s="45"/>
      <c r="BO1720" s="46"/>
      <c r="BP1720" s="2"/>
      <c r="BQ1720" s="3"/>
    </row>
    <row r="1721" ht="15.75" customHeight="1">
      <c r="A1721" s="34">
        <v>1797.0</v>
      </c>
      <c r="B1721" s="34">
        <v>200384.0</v>
      </c>
      <c r="C1721" s="34" t="s">
        <v>76</v>
      </c>
      <c r="D1721" s="34" t="s">
        <v>2826</v>
      </c>
      <c r="E1721" s="34" t="s">
        <v>2827</v>
      </c>
      <c r="F1721" s="34">
        <v>2013.0</v>
      </c>
      <c r="G1721" s="34" t="s">
        <v>2828</v>
      </c>
      <c r="H1721" s="34" t="s">
        <v>578</v>
      </c>
      <c r="I1721" s="34" t="s">
        <v>2829</v>
      </c>
      <c r="J1721" s="35"/>
      <c r="K1721" s="36"/>
      <c r="L1721" s="36"/>
      <c r="M1721" s="36"/>
      <c r="N1721" s="36">
        <v>-101.5</v>
      </c>
      <c r="O1721" s="36">
        <v>326.6</v>
      </c>
      <c r="P1721" s="52">
        <f t="shared" si="209"/>
        <v>-31.07777097</v>
      </c>
      <c r="Q1721" s="36"/>
      <c r="R1721" s="36" t="s">
        <v>96</v>
      </c>
      <c r="S1721" s="36">
        <v>1000.0</v>
      </c>
      <c r="T1721" s="36" t="s">
        <v>193</v>
      </c>
      <c r="U1721" s="36" t="s">
        <v>363</v>
      </c>
      <c r="V1721" s="36">
        <v>22.0</v>
      </c>
      <c r="W1721" s="36"/>
      <c r="X1721" s="38">
        <v>1.0</v>
      </c>
      <c r="Y1721" s="38" t="s">
        <v>384</v>
      </c>
      <c r="Z1721" s="38" t="s">
        <v>384</v>
      </c>
      <c r="AA1721" s="38" t="s">
        <v>288</v>
      </c>
      <c r="AB1721" s="38" t="s">
        <v>2834</v>
      </c>
      <c r="AC1721" s="38" t="s">
        <v>2835</v>
      </c>
      <c r="AD1721" s="38" t="s">
        <v>385</v>
      </c>
      <c r="AE1721" s="38">
        <v>0.7</v>
      </c>
      <c r="AF1721" s="38"/>
      <c r="AG1721" s="38"/>
      <c r="AH1721" s="38"/>
      <c r="AI1721" s="50">
        <v>51.97</v>
      </c>
      <c r="AJ1721" s="50">
        <v>4.93</v>
      </c>
      <c r="AK1721" s="41" t="s">
        <v>313</v>
      </c>
      <c r="AL1721" s="40" t="s">
        <v>313</v>
      </c>
      <c r="AM1721" s="49">
        <v>-1.0</v>
      </c>
      <c r="AN1721" s="51">
        <v>-1.0</v>
      </c>
      <c r="AO1721" s="42" t="s">
        <v>376</v>
      </c>
      <c r="AP1721" s="43" t="s">
        <v>376</v>
      </c>
      <c r="AQ1721" s="44" t="str">
        <f t="shared" si="210"/>
        <v>GRA</v>
      </c>
      <c r="AR1721" s="44">
        <f t="shared" si="199"/>
        <v>-1</v>
      </c>
      <c r="AS1721" s="44" t="str">
        <f t="shared" si="206"/>
        <v>C</v>
      </c>
      <c r="AT1721" s="44" t="str">
        <f t="shared" si="202"/>
        <v>Cf</v>
      </c>
      <c r="AU1721" s="44" t="str">
        <f t="shared" si="203"/>
        <v>Cfb</v>
      </c>
      <c r="AV1721" s="38">
        <v>2.0</v>
      </c>
      <c r="AW1721" s="38">
        <v>1.0</v>
      </c>
      <c r="AX1721" s="38"/>
      <c r="AY1721" s="38"/>
      <c r="AZ1721" s="29">
        <v>1000.0</v>
      </c>
      <c r="BA1721" s="29"/>
      <c r="BB1721" s="29">
        <v>1.0</v>
      </c>
      <c r="BC1721" s="29"/>
      <c r="BD1721" s="29" t="s">
        <v>88</v>
      </c>
      <c r="BE1721" s="29"/>
      <c r="BF1721" s="29" t="s">
        <v>2833</v>
      </c>
      <c r="BG1721" s="29" t="s">
        <v>572</v>
      </c>
      <c r="BH1721" s="29" t="s">
        <v>88</v>
      </c>
      <c r="BI1721" s="29" t="s">
        <v>2821</v>
      </c>
      <c r="BJ1721" s="29"/>
      <c r="BK1721" s="29" t="s">
        <v>148</v>
      </c>
      <c r="BL1721" s="29"/>
      <c r="BM1721" s="45"/>
      <c r="BN1721" s="45"/>
      <c r="BO1721" s="46"/>
      <c r="BP1721" s="2"/>
      <c r="BQ1721" s="3"/>
    </row>
    <row r="1722" ht="15.75" customHeight="1">
      <c r="A1722" s="34">
        <v>1798.0</v>
      </c>
      <c r="B1722" s="34">
        <v>200384.0</v>
      </c>
      <c r="C1722" s="34" t="s">
        <v>76</v>
      </c>
      <c r="D1722" s="34" t="s">
        <v>2826</v>
      </c>
      <c r="E1722" s="34" t="s">
        <v>2827</v>
      </c>
      <c r="F1722" s="34">
        <v>2013.0</v>
      </c>
      <c r="G1722" s="34" t="s">
        <v>2828</v>
      </c>
      <c r="H1722" s="34" t="s">
        <v>578</v>
      </c>
      <c r="I1722" s="34" t="s">
        <v>2829</v>
      </c>
      <c r="J1722" s="35"/>
      <c r="K1722" s="36"/>
      <c r="L1722" s="36"/>
      <c r="M1722" s="36"/>
      <c r="N1722" s="36">
        <v>20.3</v>
      </c>
      <c r="O1722" s="36">
        <v>305.1</v>
      </c>
      <c r="P1722" s="52">
        <f t="shared" si="209"/>
        <v>6.653556211</v>
      </c>
      <c r="Q1722" s="36"/>
      <c r="R1722" s="36" t="s">
        <v>96</v>
      </c>
      <c r="S1722" s="36">
        <v>1000.0</v>
      </c>
      <c r="T1722" s="36" t="s">
        <v>193</v>
      </c>
      <c r="U1722" s="36" t="s">
        <v>363</v>
      </c>
      <c r="V1722" s="36">
        <v>22.0</v>
      </c>
      <c r="W1722" s="36"/>
      <c r="X1722" s="38">
        <v>1.0</v>
      </c>
      <c r="Y1722" s="38" t="s">
        <v>384</v>
      </c>
      <c r="Z1722" s="38" t="s">
        <v>384</v>
      </c>
      <c r="AA1722" s="38" t="s">
        <v>288</v>
      </c>
      <c r="AB1722" s="38" t="s">
        <v>2834</v>
      </c>
      <c r="AC1722" s="38" t="s">
        <v>2835</v>
      </c>
      <c r="AD1722" s="38" t="s">
        <v>385</v>
      </c>
      <c r="AE1722" s="38">
        <v>0.7</v>
      </c>
      <c r="AF1722" s="38"/>
      <c r="AG1722" s="38"/>
      <c r="AH1722" s="38"/>
      <c r="AI1722" s="50">
        <v>51.97</v>
      </c>
      <c r="AJ1722" s="50">
        <v>4.93</v>
      </c>
      <c r="AK1722" s="41" t="s">
        <v>313</v>
      </c>
      <c r="AL1722" s="40" t="s">
        <v>313</v>
      </c>
      <c r="AM1722" s="49">
        <v>-1.0</v>
      </c>
      <c r="AN1722" s="51">
        <v>-1.0</v>
      </c>
      <c r="AO1722" s="42" t="s">
        <v>376</v>
      </c>
      <c r="AP1722" s="43" t="s">
        <v>376</v>
      </c>
      <c r="AQ1722" s="44" t="str">
        <f t="shared" si="210"/>
        <v>GRA</v>
      </c>
      <c r="AR1722" s="44">
        <f t="shared" si="199"/>
        <v>-1</v>
      </c>
      <c r="AS1722" s="44" t="str">
        <f t="shared" si="206"/>
        <v>C</v>
      </c>
      <c r="AT1722" s="44" t="str">
        <f t="shared" si="202"/>
        <v>Cf</v>
      </c>
      <c r="AU1722" s="44" t="str">
        <f t="shared" si="203"/>
        <v>Cfb</v>
      </c>
      <c r="AV1722" s="38">
        <v>1.0</v>
      </c>
      <c r="AW1722" s="38">
        <v>1.0</v>
      </c>
      <c r="AX1722" s="38"/>
      <c r="AY1722" s="38"/>
      <c r="AZ1722" s="29">
        <v>1000.0</v>
      </c>
      <c r="BA1722" s="29"/>
      <c r="BB1722" s="29">
        <v>1.0</v>
      </c>
      <c r="BC1722" s="29"/>
      <c r="BD1722" s="29" t="s">
        <v>88</v>
      </c>
      <c r="BE1722" s="29"/>
      <c r="BF1722" s="29" t="s">
        <v>571</v>
      </c>
      <c r="BG1722" s="29" t="s">
        <v>572</v>
      </c>
      <c r="BH1722" s="29" t="s">
        <v>88</v>
      </c>
      <c r="BI1722" s="29" t="s">
        <v>2821</v>
      </c>
      <c r="BJ1722" s="29"/>
      <c r="BK1722" s="29" t="s">
        <v>148</v>
      </c>
      <c r="BL1722" s="29"/>
      <c r="BM1722" s="45"/>
      <c r="BN1722" s="45"/>
      <c r="BO1722" s="46"/>
      <c r="BP1722" s="2"/>
      <c r="BQ1722" s="3"/>
    </row>
    <row r="1723" ht="15.75" customHeight="1">
      <c r="A1723" s="34">
        <v>1799.0</v>
      </c>
      <c r="B1723" s="34">
        <v>200384.0</v>
      </c>
      <c r="C1723" s="34" t="s">
        <v>76</v>
      </c>
      <c r="D1723" s="34" t="s">
        <v>2826</v>
      </c>
      <c r="E1723" s="34" t="s">
        <v>2827</v>
      </c>
      <c r="F1723" s="34">
        <v>2013.0</v>
      </c>
      <c r="G1723" s="34" t="s">
        <v>2828</v>
      </c>
      <c r="H1723" s="34" t="s">
        <v>578</v>
      </c>
      <c r="I1723" s="34" t="s">
        <v>2829</v>
      </c>
      <c r="J1723" s="35"/>
      <c r="K1723" s="36"/>
      <c r="L1723" s="36"/>
      <c r="M1723" s="36"/>
      <c r="N1723" s="36">
        <v>-91.1</v>
      </c>
      <c r="O1723" s="36">
        <v>458.3</v>
      </c>
      <c r="P1723" s="52">
        <f t="shared" si="209"/>
        <v>-19.8778093</v>
      </c>
      <c r="Q1723" s="36"/>
      <c r="R1723" s="36" t="s">
        <v>96</v>
      </c>
      <c r="S1723" s="36">
        <v>1000.0</v>
      </c>
      <c r="T1723" s="36" t="s">
        <v>193</v>
      </c>
      <c r="U1723" s="36" t="s">
        <v>363</v>
      </c>
      <c r="V1723" s="36">
        <v>22.0</v>
      </c>
      <c r="W1723" s="36"/>
      <c r="X1723" s="38">
        <v>1.0</v>
      </c>
      <c r="Y1723" s="38" t="s">
        <v>384</v>
      </c>
      <c r="Z1723" s="38" t="s">
        <v>384</v>
      </c>
      <c r="AA1723" s="38" t="s">
        <v>288</v>
      </c>
      <c r="AB1723" s="38" t="s">
        <v>2834</v>
      </c>
      <c r="AC1723" s="38" t="s">
        <v>2835</v>
      </c>
      <c r="AD1723" s="38" t="s">
        <v>385</v>
      </c>
      <c r="AE1723" s="38">
        <v>0.7</v>
      </c>
      <c r="AF1723" s="38"/>
      <c r="AG1723" s="38"/>
      <c r="AH1723" s="38"/>
      <c r="AI1723" s="50">
        <v>51.97</v>
      </c>
      <c r="AJ1723" s="50">
        <v>4.93</v>
      </c>
      <c r="AK1723" s="41" t="s">
        <v>313</v>
      </c>
      <c r="AL1723" s="40" t="s">
        <v>313</v>
      </c>
      <c r="AM1723" s="49">
        <v>-1.0</v>
      </c>
      <c r="AN1723" s="51">
        <v>-1.0</v>
      </c>
      <c r="AO1723" s="42" t="s">
        <v>376</v>
      </c>
      <c r="AP1723" s="43" t="s">
        <v>376</v>
      </c>
      <c r="AQ1723" s="44" t="str">
        <f t="shared" si="210"/>
        <v>GRA</v>
      </c>
      <c r="AR1723" s="44">
        <f t="shared" si="199"/>
        <v>-1</v>
      </c>
      <c r="AS1723" s="44" t="str">
        <f t="shared" si="206"/>
        <v>C</v>
      </c>
      <c r="AT1723" s="44" t="str">
        <f t="shared" si="202"/>
        <v>Cf</v>
      </c>
      <c r="AU1723" s="44" t="str">
        <f t="shared" si="203"/>
        <v>Cfb</v>
      </c>
      <c r="AV1723" s="38">
        <v>2.0</v>
      </c>
      <c r="AW1723" s="38">
        <v>1.0</v>
      </c>
      <c r="AX1723" s="38"/>
      <c r="AY1723" s="38"/>
      <c r="AZ1723" s="29">
        <v>1000.0</v>
      </c>
      <c r="BA1723" s="29"/>
      <c r="BB1723" s="29">
        <v>1.0</v>
      </c>
      <c r="BC1723" s="29"/>
      <c r="BD1723" s="29" t="s">
        <v>88</v>
      </c>
      <c r="BE1723" s="29"/>
      <c r="BF1723" s="29" t="s">
        <v>571</v>
      </c>
      <c r="BG1723" s="29" t="s">
        <v>572</v>
      </c>
      <c r="BH1723" s="29" t="s">
        <v>88</v>
      </c>
      <c r="BI1723" s="29" t="s">
        <v>2821</v>
      </c>
      <c r="BJ1723" s="29"/>
      <c r="BK1723" s="29" t="s">
        <v>148</v>
      </c>
      <c r="BL1723" s="29"/>
      <c r="BM1723" s="45"/>
      <c r="BN1723" s="45"/>
      <c r="BO1723" s="46"/>
      <c r="BP1723" s="2"/>
      <c r="BQ1723" s="3"/>
    </row>
    <row r="1724" ht="15.75" customHeight="1">
      <c r="A1724" s="34">
        <v>1803.0</v>
      </c>
      <c r="B1724" s="34">
        <v>104331.0</v>
      </c>
      <c r="C1724" s="34" t="s">
        <v>76</v>
      </c>
      <c r="D1724" s="34" t="s">
        <v>2836</v>
      </c>
      <c r="E1724" s="34" t="s">
        <v>2837</v>
      </c>
      <c r="F1724" s="34">
        <v>2021.0</v>
      </c>
      <c r="G1724" s="34" t="s">
        <v>2838</v>
      </c>
      <c r="H1724" s="34" t="s">
        <v>1954</v>
      </c>
      <c r="I1724" s="34" t="s">
        <v>2839</v>
      </c>
      <c r="J1724" s="35"/>
      <c r="K1724" s="36"/>
      <c r="L1724" s="36"/>
      <c r="M1724" s="36"/>
      <c r="N1724" s="36">
        <v>45.74</v>
      </c>
      <c r="O1724" s="36">
        <v>246.66</v>
      </c>
      <c r="P1724" s="52">
        <f t="shared" si="209"/>
        <v>18.54374443</v>
      </c>
      <c r="Q1724" s="36"/>
      <c r="R1724" s="36" t="s">
        <v>82</v>
      </c>
      <c r="S1724" s="36"/>
      <c r="T1724" s="36" t="s">
        <v>242</v>
      </c>
      <c r="U1724" s="36" t="s">
        <v>243</v>
      </c>
      <c r="V1724" s="36">
        <v>13.0</v>
      </c>
      <c r="W1724" s="36"/>
      <c r="X1724" s="38">
        <v>1.0</v>
      </c>
      <c r="Y1724" s="38" t="s">
        <v>2840</v>
      </c>
      <c r="Z1724" s="68" t="s">
        <v>1445</v>
      </c>
      <c r="AA1724" s="38" t="s">
        <v>1222</v>
      </c>
      <c r="AB1724" s="38">
        <v>37.94</v>
      </c>
      <c r="AC1724" s="38">
        <v>126.96</v>
      </c>
      <c r="AD1724" s="38" t="s">
        <v>1130</v>
      </c>
      <c r="AE1724" s="38"/>
      <c r="AF1724" s="38"/>
      <c r="AG1724" s="38"/>
      <c r="AH1724" s="38">
        <v>19.2</v>
      </c>
      <c r="AI1724" s="50">
        <v>37.94</v>
      </c>
      <c r="AJ1724" s="50">
        <v>126.96</v>
      </c>
      <c r="AK1724" s="41" t="s">
        <v>370</v>
      </c>
      <c r="AL1724" s="40" t="s">
        <v>370</v>
      </c>
      <c r="AM1724" s="49">
        <v>408.0</v>
      </c>
      <c r="AN1724" s="51">
        <v>408.0</v>
      </c>
      <c r="AO1724" s="42" t="s">
        <v>218</v>
      </c>
      <c r="AP1724" s="43" t="s">
        <v>218</v>
      </c>
      <c r="AQ1724" s="80" t="s">
        <v>370</v>
      </c>
      <c r="AR1724" s="44">
        <f t="shared" si="199"/>
        <v>408</v>
      </c>
      <c r="AS1724" s="44" t="str">
        <f t="shared" si="206"/>
        <v>D</v>
      </c>
      <c r="AT1724" s="44" t="str">
        <f t="shared" si="202"/>
        <v>Dw</v>
      </c>
      <c r="AU1724" s="44" t="str">
        <f t="shared" si="203"/>
        <v>Dwa</v>
      </c>
      <c r="AV1724" s="38">
        <v>3.0</v>
      </c>
      <c r="AW1724" s="38"/>
      <c r="AX1724" s="38"/>
      <c r="AY1724" s="38" t="s">
        <v>2841</v>
      </c>
      <c r="AZ1724" s="29"/>
      <c r="BA1724" s="29"/>
      <c r="BB1724" s="29">
        <v>1.0</v>
      </c>
      <c r="BC1724" s="29"/>
      <c r="BD1724" s="29" t="s">
        <v>88</v>
      </c>
      <c r="BE1724" s="29"/>
      <c r="BF1724" s="29" t="s">
        <v>2842</v>
      </c>
      <c r="BG1724" s="29" t="s">
        <v>91</v>
      </c>
      <c r="BH1724" s="29" t="s">
        <v>88</v>
      </c>
      <c r="BI1724" s="29" t="s">
        <v>1438</v>
      </c>
      <c r="BJ1724" s="29"/>
      <c r="BK1724" s="29" t="s">
        <v>180</v>
      </c>
      <c r="BL1724" s="29"/>
      <c r="BM1724" s="45">
        <v>1.0</v>
      </c>
      <c r="BN1724" s="45"/>
      <c r="BO1724" s="46" t="s">
        <v>2842</v>
      </c>
      <c r="BP1724" s="2"/>
      <c r="BQ1724" s="3"/>
    </row>
    <row r="1725" ht="15.75" customHeight="1">
      <c r="A1725" s="34">
        <v>1804.0</v>
      </c>
      <c r="B1725" s="34">
        <v>104331.0</v>
      </c>
      <c r="C1725" s="34" t="s">
        <v>76</v>
      </c>
      <c r="D1725" s="34" t="s">
        <v>2836</v>
      </c>
      <c r="E1725" s="34" t="s">
        <v>2837</v>
      </c>
      <c r="F1725" s="34">
        <v>2021.0</v>
      </c>
      <c r="G1725" s="34" t="s">
        <v>2838</v>
      </c>
      <c r="H1725" s="34" t="s">
        <v>1954</v>
      </c>
      <c r="I1725" s="34" t="s">
        <v>2839</v>
      </c>
      <c r="J1725" s="35"/>
      <c r="K1725" s="36"/>
      <c r="L1725" s="36"/>
      <c r="M1725" s="36"/>
      <c r="N1725" s="36">
        <v>39.01</v>
      </c>
      <c r="O1725" s="36">
        <v>161.16</v>
      </c>
      <c r="P1725" s="52">
        <f t="shared" si="209"/>
        <v>24.20575825</v>
      </c>
      <c r="Q1725" s="36"/>
      <c r="R1725" s="36" t="s">
        <v>82</v>
      </c>
      <c r="S1725" s="36"/>
      <c r="T1725" s="36" t="s">
        <v>193</v>
      </c>
      <c r="U1725" s="36" t="s">
        <v>968</v>
      </c>
      <c r="V1725" s="36">
        <v>11.0</v>
      </c>
      <c r="W1725" s="36"/>
      <c r="X1725" s="38">
        <v>1.0</v>
      </c>
      <c r="Y1725" s="38" t="s">
        <v>195</v>
      </c>
      <c r="Z1725" s="68" t="s">
        <v>196</v>
      </c>
      <c r="AA1725" s="38" t="s">
        <v>197</v>
      </c>
      <c r="AB1725" s="38">
        <v>26.73</v>
      </c>
      <c r="AC1725" s="38">
        <v>115.07</v>
      </c>
      <c r="AD1725" s="38" t="s">
        <v>198</v>
      </c>
      <c r="AE1725" s="38"/>
      <c r="AF1725" s="38" t="s">
        <v>199</v>
      </c>
      <c r="AG1725" s="38"/>
      <c r="AH1725" s="38">
        <v>23.0</v>
      </c>
      <c r="AI1725" s="50">
        <v>26.73</v>
      </c>
      <c r="AJ1725" s="50">
        <v>115.07</v>
      </c>
      <c r="AK1725" s="41" t="s">
        <v>200</v>
      </c>
      <c r="AL1725" s="40" t="s">
        <v>200</v>
      </c>
      <c r="AM1725" s="49">
        <v>81.0</v>
      </c>
      <c r="AN1725" s="51">
        <v>81.0</v>
      </c>
      <c r="AO1725" s="42" t="s">
        <v>201</v>
      </c>
      <c r="AP1725" s="43" t="s">
        <v>201</v>
      </c>
      <c r="AQ1725" s="44" t="str">
        <f t="shared" ref="AQ1725:AQ1729" si="211">AA1725</f>
        <v>ENF</v>
      </c>
      <c r="AR1725" s="44">
        <f t="shared" si="199"/>
        <v>81</v>
      </c>
      <c r="AS1725" s="44" t="str">
        <f t="shared" si="206"/>
        <v>C</v>
      </c>
      <c r="AT1725" s="44" t="str">
        <f t="shared" si="202"/>
        <v>Cf</v>
      </c>
      <c r="AU1725" s="44" t="str">
        <f t="shared" si="203"/>
        <v>Cfa</v>
      </c>
      <c r="AV1725" s="38">
        <v>3.0</v>
      </c>
      <c r="AW1725" s="38"/>
      <c r="AX1725" s="38"/>
      <c r="AY1725" s="38" t="s">
        <v>2841</v>
      </c>
      <c r="AZ1725" s="29"/>
      <c r="BA1725" s="29"/>
      <c r="BB1725" s="29">
        <v>1.0</v>
      </c>
      <c r="BC1725" s="29"/>
      <c r="BD1725" s="29" t="s">
        <v>88</v>
      </c>
      <c r="BE1725" s="29"/>
      <c r="BF1725" s="29" t="s">
        <v>2842</v>
      </c>
      <c r="BG1725" s="29" t="s">
        <v>91</v>
      </c>
      <c r="BH1725" s="29" t="s">
        <v>88</v>
      </c>
      <c r="BI1725" s="29" t="s">
        <v>1438</v>
      </c>
      <c r="BJ1725" s="29"/>
      <c r="BK1725" s="29" t="s">
        <v>180</v>
      </c>
      <c r="BL1725" s="29"/>
      <c r="BM1725" s="45"/>
      <c r="BN1725" s="45"/>
      <c r="BO1725" s="46"/>
      <c r="BP1725" s="2"/>
      <c r="BQ1725" s="3"/>
    </row>
    <row r="1726" ht="15.75" customHeight="1">
      <c r="A1726" s="34">
        <v>1805.0</v>
      </c>
      <c r="B1726" s="34">
        <v>104331.0</v>
      </c>
      <c r="C1726" s="34" t="s">
        <v>76</v>
      </c>
      <c r="D1726" s="34" t="s">
        <v>2836</v>
      </c>
      <c r="E1726" s="34" t="s">
        <v>2837</v>
      </c>
      <c r="F1726" s="34">
        <v>2021.0</v>
      </c>
      <c r="G1726" s="34" t="s">
        <v>2838</v>
      </c>
      <c r="H1726" s="34" t="s">
        <v>1954</v>
      </c>
      <c r="I1726" s="34" t="s">
        <v>2839</v>
      </c>
      <c r="J1726" s="35"/>
      <c r="K1726" s="36"/>
      <c r="L1726" s="36"/>
      <c r="M1726" s="36"/>
      <c r="N1726" s="36">
        <v>35.64</v>
      </c>
      <c r="O1726" s="36">
        <v>85.08</v>
      </c>
      <c r="P1726" s="52">
        <f t="shared" si="209"/>
        <v>41.8899859</v>
      </c>
      <c r="Q1726" s="36"/>
      <c r="R1726" s="36" t="s">
        <v>82</v>
      </c>
      <c r="S1726" s="36"/>
      <c r="T1726" s="36" t="s">
        <v>295</v>
      </c>
      <c r="U1726" s="36" t="s">
        <v>342</v>
      </c>
      <c r="V1726" s="36">
        <v>29.0</v>
      </c>
      <c r="W1726" s="36"/>
      <c r="X1726" s="38">
        <v>1.0</v>
      </c>
      <c r="Y1726" s="38" t="s">
        <v>1278</v>
      </c>
      <c r="Z1726" s="38" t="s">
        <v>1279</v>
      </c>
      <c r="AA1726" s="38" t="s">
        <v>288</v>
      </c>
      <c r="AB1726" s="38">
        <v>47.21</v>
      </c>
      <c r="AC1726" s="38">
        <v>108.73</v>
      </c>
      <c r="AD1726" s="38" t="s">
        <v>1250</v>
      </c>
      <c r="AE1726" s="38"/>
      <c r="AF1726" s="38"/>
      <c r="AG1726" s="38"/>
      <c r="AH1726" s="38">
        <v>3.5</v>
      </c>
      <c r="AI1726" s="50">
        <v>47.21</v>
      </c>
      <c r="AJ1726" s="50">
        <v>108.73</v>
      </c>
      <c r="AK1726" s="41" t="s">
        <v>288</v>
      </c>
      <c r="AL1726" s="40" t="s">
        <v>288</v>
      </c>
      <c r="AM1726" s="49">
        <v>1243.0</v>
      </c>
      <c r="AN1726" s="51">
        <v>1243.0</v>
      </c>
      <c r="AO1726" s="42" t="s">
        <v>293</v>
      </c>
      <c r="AP1726" s="43" t="s">
        <v>293</v>
      </c>
      <c r="AQ1726" s="44" t="str">
        <f t="shared" si="211"/>
        <v>GRA</v>
      </c>
      <c r="AR1726" s="44">
        <f t="shared" si="199"/>
        <v>1243</v>
      </c>
      <c r="AS1726" s="44" t="str">
        <f t="shared" si="206"/>
        <v>B</v>
      </c>
      <c r="AT1726" s="44" t="str">
        <f t="shared" si="202"/>
        <v>BS</v>
      </c>
      <c r="AU1726" s="44" t="str">
        <f t="shared" si="203"/>
        <v>BSk</v>
      </c>
      <c r="AV1726" s="38">
        <v>3.0</v>
      </c>
      <c r="AW1726" s="38"/>
      <c r="AX1726" s="38"/>
      <c r="AY1726" s="38" t="s">
        <v>2841</v>
      </c>
      <c r="AZ1726" s="29"/>
      <c r="BA1726" s="29"/>
      <c r="BB1726" s="29">
        <v>1.0</v>
      </c>
      <c r="BC1726" s="29"/>
      <c r="BD1726" s="29" t="s">
        <v>88</v>
      </c>
      <c r="BE1726" s="29"/>
      <c r="BF1726" s="29" t="s">
        <v>2842</v>
      </c>
      <c r="BG1726" s="29" t="s">
        <v>91</v>
      </c>
      <c r="BH1726" s="29" t="s">
        <v>88</v>
      </c>
      <c r="BI1726" s="29" t="s">
        <v>1438</v>
      </c>
      <c r="BJ1726" s="29"/>
      <c r="BK1726" s="29" t="s">
        <v>180</v>
      </c>
      <c r="BL1726" s="29"/>
      <c r="BM1726" s="45"/>
      <c r="BN1726" s="45"/>
      <c r="BO1726" s="46"/>
      <c r="BP1726" s="2"/>
      <c r="BQ1726" s="3"/>
    </row>
    <row r="1727" ht="15.75" customHeight="1">
      <c r="A1727" s="34">
        <v>1806.0</v>
      </c>
      <c r="B1727" s="34">
        <v>104331.0</v>
      </c>
      <c r="C1727" s="34" t="s">
        <v>76</v>
      </c>
      <c r="D1727" s="34" t="s">
        <v>2836</v>
      </c>
      <c r="E1727" s="34" t="s">
        <v>2837</v>
      </c>
      <c r="F1727" s="34">
        <v>2021.0</v>
      </c>
      <c r="G1727" s="34" t="s">
        <v>2838</v>
      </c>
      <c r="H1727" s="34" t="s">
        <v>1954</v>
      </c>
      <c r="I1727" s="34" t="s">
        <v>2839</v>
      </c>
      <c r="J1727" s="35"/>
      <c r="K1727" s="36"/>
      <c r="L1727" s="36"/>
      <c r="M1727" s="36"/>
      <c r="N1727" s="36">
        <v>106.17</v>
      </c>
      <c r="O1727" s="36">
        <v>274.09</v>
      </c>
      <c r="P1727" s="52">
        <f t="shared" si="209"/>
        <v>38.73545186</v>
      </c>
      <c r="Q1727" s="36"/>
      <c r="R1727" s="36" t="s">
        <v>82</v>
      </c>
      <c r="S1727" s="36"/>
      <c r="T1727" s="36" t="s">
        <v>284</v>
      </c>
      <c r="U1727" s="36" t="s">
        <v>968</v>
      </c>
      <c r="V1727" s="36">
        <v>12.0</v>
      </c>
      <c r="W1727" s="36"/>
      <c r="X1727" s="38">
        <v>1.0</v>
      </c>
      <c r="Y1727" s="38" t="s">
        <v>593</v>
      </c>
      <c r="Z1727" s="38" t="s">
        <v>594</v>
      </c>
      <c r="AA1727" s="38" t="s">
        <v>288</v>
      </c>
      <c r="AB1727" s="38">
        <v>37.6</v>
      </c>
      <c r="AC1727" s="38">
        <v>101.33</v>
      </c>
      <c r="AD1727" s="38" t="s">
        <v>198</v>
      </c>
      <c r="AE1727" s="38"/>
      <c r="AF1727" s="38" t="s">
        <v>1341</v>
      </c>
      <c r="AG1727" s="38"/>
      <c r="AH1727" s="38">
        <v>2.2</v>
      </c>
      <c r="AI1727" s="50">
        <v>37.61</v>
      </c>
      <c r="AJ1727" s="50">
        <v>101.33</v>
      </c>
      <c r="AK1727" s="41" t="s">
        <v>288</v>
      </c>
      <c r="AL1727" s="40" t="s">
        <v>288</v>
      </c>
      <c r="AM1727" s="49">
        <v>3201.0</v>
      </c>
      <c r="AN1727" s="51">
        <v>3201.0</v>
      </c>
      <c r="AO1727" s="42" t="s">
        <v>597</v>
      </c>
      <c r="AP1727" s="43" t="s">
        <v>597</v>
      </c>
      <c r="AQ1727" s="44" t="str">
        <f t="shared" si="211"/>
        <v>GRA</v>
      </c>
      <c r="AR1727" s="44">
        <f t="shared" si="199"/>
        <v>3201</v>
      </c>
      <c r="AS1727" s="44" t="str">
        <f t="shared" si="206"/>
        <v>D</v>
      </c>
      <c r="AT1727" s="44" t="str">
        <f t="shared" si="202"/>
        <v>Dw</v>
      </c>
      <c r="AU1727" s="44" t="str">
        <f t="shared" si="203"/>
        <v>Dwc</v>
      </c>
      <c r="AV1727" s="38">
        <v>3.0</v>
      </c>
      <c r="AW1727" s="38"/>
      <c r="AX1727" s="38"/>
      <c r="AY1727" s="38" t="s">
        <v>2841</v>
      </c>
      <c r="AZ1727" s="29"/>
      <c r="BA1727" s="29"/>
      <c r="BB1727" s="29">
        <v>1.0</v>
      </c>
      <c r="BC1727" s="29"/>
      <c r="BD1727" s="29" t="s">
        <v>88</v>
      </c>
      <c r="BE1727" s="29"/>
      <c r="BF1727" s="29" t="s">
        <v>2842</v>
      </c>
      <c r="BG1727" s="29" t="s">
        <v>91</v>
      </c>
      <c r="BH1727" s="29" t="s">
        <v>88</v>
      </c>
      <c r="BI1727" s="29" t="s">
        <v>1438</v>
      </c>
      <c r="BJ1727" s="29"/>
      <c r="BK1727" s="29" t="s">
        <v>180</v>
      </c>
      <c r="BL1727" s="29"/>
      <c r="BM1727" s="45"/>
      <c r="BN1727" s="45"/>
      <c r="BO1727" s="46"/>
      <c r="BP1727" s="2"/>
      <c r="BQ1727" s="3"/>
    </row>
    <row r="1728" ht="15.75" customHeight="1">
      <c r="A1728" s="34">
        <v>1807.0</v>
      </c>
      <c r="B1728" s="34">
        <v>104331.0</v>
      </c>
      <c r="C1728" s="34" t="s">
        <v>76</v>
      </c>
      <c r="D1728" s="34" t="s">
        <v>2836</v>
      </c>
      <c r="E1728" s="34" t="s">
        <v>2837</v>
      </c>
      <c r="F1728" s="34">
        <v>2021.0</v>
      </c>
      <c r="G1728" s="34" t="s">
        <v>2838</v>
      </c>
      <c r="H1728" s="34" t="s">
        <v>1954</v>
      </c>
      <c r="I1728" s="34" t="s">
        <v>2839</v>
      </c>
      <c r="J1728" s="35"/>
      <c r="K1728" s="36"/>
      <c r="L1728" s="36"/>
      <c r="M1728" s="36"/>
      <c r="N1728" s="36">
        <v>-35.75</v>
      </c>
      <c r="O1728" s="36">
        <v>219.3</v>
      </c>
      <c r="P1728" s="52">
        <f t="shared" si="209"/>
        <v>-16.30186959</v>
      </c>
      <c r="Q1728" s="36"/>
      <c r="R1728" s="36" t="s">
        <v>82</v>
      </c>
      <c r="S1728" s="36"/>
      <c r="T1728" s="36" t="s">
        <v>242</v>
      </c>
      <c r="U1728" s="36" t="s">
        <v>244</v>
      </c>
      <c r="V1728" s="36">
        <v>9.0</v>
      </c>
      <c r="W1728" s="36"/>
      <c r="X1728" s="38">
        <v>1.0</v>
      </c>
      <c r="Y1728" s="38" t="s">
        <v>2843</v>
      </c>
      <c r="Z1728" s="68" t="s">
        <v>1434</v>
      </c>
      <c r="AA1728" s="38" t="s">
        <v>86</v>
      </c>
      <c r="AB1728" s="38">
        <v>37.16</v>
      </c>
      <c r="AC1728" s="38">
        <v>127.65</v>
      </c>
      <c r="AD1728" s="38" t="s">
        <v>1130</v>
      </c>
      <c r="AE1728" s="53"/>
      <c r="AF1728" s="38"/>
      <c r="AG1728" s="38"/>
      <c r="AH1728" s="116">
        <v>45392.0</v>
      </c>
      <c r="AI1728" s="50">
        <v>37.16</v>
      </c>
      <c r="AJ1728" s="50">
        <v>127.65</v>
      </c>
      <c r="AK1728" s="41" t="s">
        <v>86</v>
      </c>
      <c r="AL1728" s="40" t="s">
        <v>86</v>
      </c>
      <c r="AM1728" s="49">
        <v>65.0</v>
      </c>
      <c r="AN1728" s="51">
        <v>65.0</v>
      </c>
      <c r="AO1728" s="42" t="s">
        <v>218</v>
      </c>
      <c r="AP1728" s="43" t="s">
        <v>218</v>
      </c>
      <c r="AQ1728" s="44" t="str">
        <f t="shared" si="211"/>
        <v>CRO</v>
      </c>
      <c r="AR1728" s="44">
        <f t="shared" si="199"/>
        <v>65</v>
      </c>
      <c r="AS1728" s="44" t="str">
        <f t="shared" si="206"/>
        <v>D</v>
      </c>
      <c r="AT1728" s="44" t="str">
        <f t="shared" si="202"/>
        <v>Dw</v>
      </c>
      <c r="AU1728" s="44" t="str">
        <f t="shared" si="203"/>
        <v>Dwa</v>
      </c>
      <c r="AV1728" s="38">
        <v>3.0</v>
      </c>
      <c r="AW1728" s="38"/>
      <c r="AX1728" s="38"/>
      <c r="AY1728" s="38" t="s">
        <v>2841</v>
      </c>
      <c r="AZ1728" s="29"/>
      <c r="BA1728" s="29"/>
      <c r="BB1728" s="29">
        <v>1.0</v>
      </c>
      <c r="BC1728" s="29"/>
      <c r="BD1728" s="29" t="s">
        <v>88</v>
      </c>
      <c r="BE1728" s="29"/>
      <c r="BF1728" s="29" t="s">
        <v>2842</v>
      </c>
      <c r="BG1728" s="29" t="s">
        <v>91</v>
      </c>
      <c r="BH1728" s="29" t="s">
        <v>88</v>
      </c>
      <c r="BI1728" s="29" t="s">
        <v>1438</v>
      </c>
      <c r="BJ1728" s="29"/>
      <c r="BK1728" s="29" t="s">
        <v>180</v>
      </c>
      <c r="BL1728" s="29"/>
      <c r="BM1728" s="45"/>
      <c r="BN1728" s="45"/>
      <c r="BO1728" s="46"/>
      <c r="BP1728" s="2"/>
      <c r="BQ1728" s="3"/>
    </row>
    <row r="1729" ht="15.75" customHeight="1">
      <c r="A1729" s="34">
        <v>1808.0</v>
      </c>
      <c r="B1729" s="34">
        <v>104331.0</v>
      </c>
      <c r="C1729" s="34" t="s">
        <v>76</v>
      </c>
      <c r="D1729" s="34" t="s">
        <v>2836</v>
      </c>
      <c r="E1729" s="34" t="s">
        <v>2837</v>
      </c>
      <c r="F1729" s="34">
        <v>2021.0</v>
      </c>
      <c r="G1729" s="34" t="s">
        <v>2838</v>
      </c>
      <c r="H1729" s="34" t="s">
        <v>1954</v>
      </c>
      <c r="I1729" s="34" t="s">
        <v>2839</v>
      </c>
      <c r="J1729" s="35"/>
      <c r="K1729" s="36"/>
      <c r="L1729" s="36"/>
      <c r="M1729" s="36"/>
      <c r="N1729" s="36">
        <v>43.27</v>
      </c>
      <c r="O1729" s="36">
        <v>133.86</v>
      </c>
      <c r="P1729" s="52">
        <f t="shared" si="209"/>
        <v>32.32481697</v>
      </c>
      <c r="Q1729" s="36"/>
      <c r="R1729" s="36" t="s">
        <v>82</v>
      </c>
      <c r="S1729" s="36"/>
      <c r="T1729" s="36" t="s">
        <v>284</v>
      </c>
      <c r="U1729" s="36" t="s">
        <v>968</v>
      </c>
      <c r="V1729" s="36">
        <v>23.0</v>
      </c>
      <c r="W1729" s="36"/>
      <c r="X1729" s="38">
        <v>1.0</v>
      </c>
      <c r="Y1729" s="38" t="s">
        <v>1193</v>
      </c>
      <c r="Z1729" s="38" t="s">
        <v>1194</v>
      </c>
      <c r="AA1729" s="38" t="s">
        <v>86</v>
      </c>
      <c r="AB1729" s="38">
        <v>36.05</v>
      </c>
      <c r="AC1729" s="38">
        <v>140.03</v>
      </c>
      <c r="AD1729" s="38" t="s">
        <v>736</v>
      </c>
      <c r="AE1729" s="38"/>
      <c r="AF1729" s="38" t="s">
        <v>1197</v>
      </c>
      <c r="AG1729" s="38"/>
      <c r="AH1729" s="38" t="s">
        <v>2844</v>
      </c>
      <c r="AI1729" s="50">
        <v>36.07</v>
      </c>
      <c r="AJ1729" s="50">
        <v>140.02</v>
      </c>
      <c r="AK1729" s="41" t="s">
        <v>362</v>
      </c>
      <c r="AL1729" s="40" t="s">
        <v>362</v>
      </c>
      <c r="AM1729" s="49">
        <v>16.0</v>
      </c>
      <c r="AN1729" s="51">
        <v>16.0</v>
      </c>
      <c r="AO1729" s="42" t="s">
        <v>201</v>
      </c>
      <c r="AP1729" s="43" t="s">
        <v>201</v>
      </c>
      <c r="AQ1729" s="44" t="str">
        <f t="shared" si="211"/>
        <v>CRO</v>
      </c>
      <c r="AR1729" s="44">
        <f t="shared" si="199"/>
        <v>16</v>
      </c>
      <c r="AS1729" s="44" t="str">
        <f t="shared" si="206"/>
        <v>C</v>
      </c>
      <c r="AT1729" s="44" t="str">
        <f t="shared" si="202"/>
        <v>Cf</v>
      </c>
      <c r="AU1729" s="44" t="str">
        <f t="shared" si="203"/>
        <v>Cfa</v>
      </c>
      <c r="AV1729" s="38">
        <v>3.0</v>
      </c>
      <c r="AW1729" s="38"/>
      <c r="AX1729" s="38"/>
      <c r="AY1729" s="38" t="s">
        <v>2841</v>
      </c>
      <c r="AZ1729" s="29"/>
      <c r="BA1729" s="29"/>
      <c r="BB1729" s="29">
        <v>1.0</v>
      </c>
      <c r="BC1729" s="29"/>
      <c r="BD1729" s="29" t="s">
        <v>88</v>
      </c>
      <c r="BE1729" s="29"/>
      <c r="BF1729" s="29" t="s">
        <v>2842</v>
      </c>
      <c r="BG1729" s="29" t="s">
        <v>91</v>
      </c>
      <c r="BH1729" s="29" t="s">
        <v>88</v>
      </c>
      <c r="BI1729" s="29" t="s">
        <v>1438</v>
      </c>
      <c r="BJ1729" s="29"/>
      <c r="BK1729" s="29" t="s">
        <v>180</v>
      </c>
      <c r="BL1729" s="29"/>
      <c r="BM1729" s="45"/>
      <c r="BN1729" s="45"/>
      <c r="BO1729" s="46"/>
      <c r="BP1729" s="2"/>
      <c r="BQ1729" s="3"/>
    </row>
    <row r="1730" ht="15.75" customHeight="1">
      <c r="A1730" s="34">
        <v>1809.0</v>
      </c>
      <c r="B1730" s="34">
        <v>104331.0</v>
      </c>
      <c r="C1730" s="34" t="s">
        <v>76</v>
      </c>
      <c r="D1730" s="34" t="s">
        <v>2836</v>
      </c>
      <c r="E1730" s="34" t="s">
        <v>2837</v>
      </c>
      <c r="F1730" s="34">
        <v>2021.0</v>
      </c>
      <c r="G1730" s="34" t="s">
        <v>2838</v>
      </c>
      <c r="H1730" s="34" t="s">
        <v>1954</v>
      </c>
      <c r="I1730" s="34" t="s">
        <v>2839</v>
      </c>
      <c r="J1730" s="35"/>
      <c r="K1730" s="36">
        <v>-0.14</v>
      </c>
      <c r="L1730" s="36">
        <v>2.3</v>
      </c>
      <c r="M1730" s="36"/>
      <c r="N1730" s="36"/>
      <c r="O1730" s="36"/>
      <c r="P1730" s="117">
        <f t="shared" ref="P1730:P1735" si="212">K1730/L1730*100</f>
        <v>-6.086956522</v>
      </c>
      <c r="Q1730" s="36" t="s">
        <v>96</v>
      </c>
      <c r="R1730" s="36" t="s">
        <v>96</v>
      </c>
      <c r="S1730" s="36"/>
      <c r="T1730" s="36" t="s">
        <v>242</v>
      </c>
      <c r="U1730" s="36" t="s">
        <v>243</v>
      </c>
      <c r="V1730" s="36">
        <v>13.0</v>
      </c>
      <c r="W1730" s="36"/>
      <c r="X1730" s="38">
        <v>1.0</v>
      </c>
      <c r="Y1730" s="38" t="s">
        <v>2840</v>
      </c>
      <c r="Z1730" s="68" t="s">
        <v>1445</v>
      </c>
      <c r="AA1730" s="38" t="s">
        <v>1222</v>
      </c>
      <c r="AB1730" s="38">
        <v>37.94</v>
      </c>
      <c r="AC1730" s="38">
        <v>126.96</v>
      </c>
      <c r="AD1730" s="38" t="s">
        <v>1130</v>
      </c>
      <c r="AE1730" s="38"/>
      <c r="AF1730" s="38"/>
      <c r="AG1730" s="38"/>
      <c r="AH1730" s="38">
        <v>19.2</v>
      </c>
      <c r="AI1730" s="50">
        <v>37.94</v>
      </c>
      <c r="AJ1730" s="50">
        <v>126.96</v>
      </c>
      <c r="AK1730" s="41" t="s">
        <v>370</v>
      </c>
      <c r="AL1730" s="40" t="s">
        <v>370</v>
      </c>
      <c r="AM1730" s="49">
        <v>408.0</v>
      </c>
      <c r="AN1730" s="51">
        <v>408.0</v>
      </c>
      <c r="AO1730" s="42" t="s">
        <v>218</v>
      </c>
      <c r="AP1730" s="43" t="s">
        <v>218</v>
      </c>
      <c r="AQ1730" s="80" t="s">
        <v>370</v>
      </c>
      <c r="AR1730" s="44">
        <f t="shared" si="199"/>
        <v>408</v>
      </c>
      <c r="AS1730" s="44" t="str">
        <f t="shared" si="206"/>
        <v>D</v>
      </c>
      <c r="AT1730" s="44" t="str">
        <f t="shared" si="202"/>
        <v>Dw</v>
      </c>
      <c r="AU1730" s="44" t="str">
        <f t="shared" si="203"/>
        <v>Dwa</v>
      </c>
      <c r="AV1730" s="38">
        <v>3.0</v>
      </c>
      <c r="AW1730" s="38"/>
      <c r="AX1730" s="38"/>
      <c r="AY1730" s="38" t="s">
        <v>2841</v>
      </c>
      <c r="AZ1730" s="29"/>
      <c r="BA1730" s="29"/>
      <c r="BB1730" s="29">
        <v>1.0</v>
      </c>
      <c r="BC1730" s="29"/>
      <c r="BD1730" s="29" t="s">
        <v>88</v>
      </c>
      <c r="BE1730" s="29"/>
      <c r="BF1730" s="29" t="s">
        <v>2842</v>
      </c>
      <c r="BG1730" s="29" t="s">
        <v>91</v>
      </c>
      <c r="BH1730" s="29" t="s">
        <v>88</v>
      </c>
      <c r="BI1730" s="29" t="s">
        <v>1438</v>
      </c>
      <c r="BJ1730" s="29"/>
      <c r="BK1730" s="29" t="s">
        <v>180</v>
      </c>
      <c r="BL1730" s="29"/>
      <c r="BM1730" s="45"/>
      <c r="BN1730" s="45"/>
      <c r="BO1730" s="46"/>
      <c r="BP1730" s="2"/>
      <c r="BQ1730" s="3"/>
    </row>
    <row r="1731" ht="15.75" customHeight="1">
      <c r="A1731" s="34">
        <v>1810.0</v>
      </c>
      <c r="B1731" s="34">
        <v>104331.0</v>
      </c>
      <c r="C1731" s="34" t="s">
        <v>76</v>
      </c>
      <c r="D1731" s="34" t="s">
        <v>2836</v>
      </c>
      <c r="E1731" s="34" t="s">
        <v>2837</v>
      </c>
      <c r="F1731" s="34">
        <v>2021.0</v>
      </c>
      <c r="G1731" s="34" t="s">
        <v>2838</v>
      </c>
      <c r="H1731" s="34" t="s">
        <v>1954</v>
      </c>
      <c r="I1731" s="34" t="s">
        <v>2839</v>
      </c>
      <c r="J1731" s="35"/>
      <c r="K1731" s="36">
        <v>-0.22</v>
      </c>
      <c r="L1731" s="36">
        <v>2.27</v>
      </c>
      <c r="M1731" s="36"/>
      <c r="N1731" s="36"/>
      <c r="O1731" s="36"/>
      <c r="P1731" s="117">
        <f t="shared" si="212"/>
        <v>-9.691629956</v>
      </c>
      <c r="Q1731" s="36" t="s">
        <v>96</v>
      </c>
      <c r="R1731" s="36" t="s">
        <v>96</v>
      </c>
      <c r="S1731" s="36"/>
      <c r="T1731" s="36" t="s">
        <v>193</v>
      </c>
      <c r="U1731" s="36" t="s">
        <v>968</v>
      </c>
      <c r="V1731" s="36">
        <v>11.0</v>
      </c>
      <c r="W1731" s="36"/>
      <c r="X1731" s="38">
        <v>1.0</v>
      </c>
      <c r="Y1731" s="38" t="s">
        <v>195</v>
      </c>
      <c r="Z1731" s="68" t="s">
        <v>196</v>
      </c>
      <c r="AA1731" s="38" t="s">
        <v>197</v>
      </c>
      <c r="AB1731" s="38">
        <v>26.73</v>
      </c>
      <c r="AC1731" s="38">
        <v>115.07</v>
      </c>
      <c r="AD1731" s="38" t="s">
        <v>198</v>
      </c>
      <c r="AE1731" s="38"/>
      <c r="AF1731" s="38" t="s">
        <v>199</v>
      </c>
      <c r="AG1731" s="38"/>
      <c r="AH1731" s="38">
        <v>23.0</v>
      </c>
      <c r="AI1731" s="50">
        <v>26.73</v>
      </c>
      <c r="AJ1731" s="50">
        <v>115.07</v>
      </c>
      <c r="AK1731" s="41" t="s">
        <v>200</v>
      </c>
      <c r="AL1731" s="40" t="s">
        <v>200</v>
      </c>
      <c r="AM1731" s="49">
        <v>81.0</v>
      </c>
      <c r="AN1731" s="51">
        <v>81.0</v>
      </c>
      <c r="AO1731" s="42" t="s">
        <v>201</v>
      </c>
      <c r="AP1731" s="43" t="s">
        <v>201</v>
      </c>
      <c r="AQ1731" s="44" t="str">
        <f t="shared" ref="AQ1731:AQ1735" si="213">AA1731</f>
        <v>ENF</v>
      </c>
      <c r="AR1731" s="44">
        <f t="shared" si="199"/>
        <v>81</v>
      </c>
      <c r="AS1731" s="44" t="str">
        <f t="shared" si="206"/>
        <v>C</v>
      </c>
      <c r="AT1731" s="44" t="str">
        <f t="shared" si="202"/>
        <v>Cf</v>
      </c>
      <c r="AU1731" s="44" t="str">
        <f t="shared" si="203"/>
        <v>Cfa</v>
      </c>
      <c r="AV1731" s="38">
        <v>3.0</v>
      </c>
      <c r="AW1731" s="38"/>
      <c r="AX1731" s="38"/>
      <c r="AY1731" s="38" t="s">
        <v>2841</v>
      </c>
      <c r="AZ1731" s="29"/>
      <c r="BA1731" s="29"/>
      <c r="BB1731" s="29">
        <v>1.0</v>
      </c>
      <c r="BC1731" s="29"/>
      <c r="BD1731" s="29" t="s">
        <v>88</v>
      </c>
      <c r="BE1731" s="29"/>
      <c r="BF1731" s="29" t="s">
        <v>2842</v>
      </c>
      <c r="BG1731" s="29" t="s">
        <v>91</v>
      </c>
      <c r="BH1731" s="29" t="s">
        <v>88</v>
      </c>
      <c r="BI1731" s="29" t="s">
        <v>1438</v>
      </c>
      <c r="BJ1731" s="29"/>
      <c r="BK1731" s="29" t="s">
        <v>180</v>
      </c>
      <c r="BL1731" s="29"/>
      <c r="BM1731" s="45"/>
      <c r="BN1731" s="45"/>
      <c r="BO1731" s="46"/>
      <c r="BP1731" s="2"/>
      <c r="BQ1731" s="3"/>
    </row>
    <row r="1732" ht="15.75" customHeight="1">
      <c r="A1732" s="34">
        <v>1811.0</v>
      </c>
      <c r="B1732" s="34">
        <v>104331.0</v>
      </c>
      <c r="C1732" s="34" t="s">
        <v>76</v>
      </c>
      <c r="D1732" s="34" t="s">
        <v>2836</v>
      </c>
      <c r="E1732" s="34" t="s">
        <v>2837</v>
      </c>
      <c r="F1732" s="34">
        <v>2021.0</v>
      </c>
      <c r="G1732" s="34" t="s">
        <v>2838</v>
      </c>
      <c r="H1732" s="34" t="s">
        <v>1954</v>
      </c>
      <c r="I1732" s="34" t="s">
        <v>2839</v>
      </c>
      <c r="J1732" s="35"/>
      <c r="K1732" s="36">
        <v>0.81</v>
      </c>
      <c r="L1732" s="36">
        <v>1.07</v>
      </c>
      <c r="M1732" s="36"/>
      <c r="N1732" s="36"/>
      <c r="O1732" s="36"/>
      <c r="P1732" s="117">
        <f t="shared" si="212"/>
        <v>75.70093458</v>
      </c>
      <c r="Q1732" s="36" t="s">
        <v>96</v>
      </c>
      <c r="R1732" s="36" t="s">
        <v>96</v>
      </c>
      <c r="S1732" s="36"/>
      <c r="T1732" s="36" t="s">
        <v>295</v>
      </c>
      <c r="U1732" s="36" t="s">
        <v>342</v>
      </c>
      <c r="V1732" s="36">
        <v>29.0</v>
      </c>
      <c r="W1732" s="36"/>
      <c r="X1732" s="38">
        <v>1.0</v>
      </c>
      <c r="Y1732" s="38" t="s">
        <v>1278</v>
      </c>
      <c r="Z1732" s="38" t="s">
        <v>1279</v>
      </c>
      <c r="AA1732" s="38" t="s">
        <v>288</v>
      </c>
      <c r="AB1732" s="38">
        <v>47.21</v>
      </c>
      <c r="AC1732" s="38">
        <v>108.73</v>
      </c>
      <c r="AD1732" s="38" t="s">
        <v>1250</v>
      </c>
      <c r="AE1732" s="38"/>
      <c r="AF1732" s="38"/>
      <c r="AG1732" s="38"/>
      <c r="AH1732" s="38">
        <v>3.5</v>
      </c>
      <c r="AI1732" s="50">
        <v>47.21</v>
      </c>
      <c r="AJ1732" s="50">
        <v>108.73</v>
      </c>
      <c r="AK1732" s="41" t="s">
        <v>288</v>
      </c>
      <c r="AL1732" s="40" t="s">
        <v>288</v>
      </c>
      <c r="AM1732" s="49">
        <v>1243.0</v>
      </c>
      <c r="AN1732" s="51">
        <v>1243.0</v>
      </c>
      <c r="AO1732" s="42" t="s">
        <v>293</v>
      </c>
      <c r="AP1732" s="43" t="s">
        <v>293</v>
      </c>
      <c r="AQ1732" s="44" t="str">
        <f t="shared" si="213"/>
        <v>GRA</v>
      </c>
      <c r="AR1732" s="44">
        <f t="shared" si="199"/>
        <v>1243</v>
      </c>
      <c r="AS1732" s="44" t="str">
        <f t="shared" si="206"/>
        <v>B</v>
      </c>
      <c r="AT1732" s="44" t="str">
        <f t="shared" si="202"/>
        <v>BS</v>
      </c>
      <c r="AU1732" s="44" t="str">
        <f t="shared" si="203"/>
        <v>BSk</v>
      </c>
      <c r="AV1732" s="38">
        <v>3.0</v>
      </c>
      <c r="AW1732" s="38"/>
      <c r="AX1732" s="38"/>
      <c r="AY1732" s="38" t="s">
        <v>2841</v>
      </c>
      <c r="AZ1732" s="29"/>
      <c r="BA1732" s="29"/>
      <c r="BB1732" s="29">
        <v>1.0</v>
      </c>
      <c r="BC1732" s="29"/>
      <c r="BD1732" s="29" t="s">
        <v>88</v>
      </c>
      <c r="BE1732" s="29"/>
      <c r="BF1732" s="29" t="s">
        <v>2842</v>
      </c>
      <c r="BG1732" s="29" t="s">
        <v>91</v>
      </c>
      <c r="BH1732" s="29" t="s">
        <v>88</v>
      </c>
      <c r="BI1732" s="29" t="s">
        <v>1438</v>
      </c>
      <c r="BJ1732" s="29"/>
      <c r="BK1732" s="29" t="s">
        <v>180</v>
      </c>
      <c r="BL1732" s="29"/>
      <c r="BM1732" s="45"/>
      <c r="BN1732" s="45"/>
      <c r="BO1732" s="46"/>
      <c r="BP1732" s="2"/>
      <c r="BQ1732" s="3"/>
    </row>
    <row r="1733" ht="15.75" customHeight="1">
      <c r="A1733" s="34">
        <v>1812.0</v>
      </c>
      <c r="B1733" s="34">
        <v>104331.0</v>
      </c>
      <c r="C1733" s="34" t="s">
        <v>76</v>
      </c>
      <c r="D1733" s="34" t="s">
        <v>2836</v>
      </c>
      <c r="E1733" s="34" t="s">
        <v>2837</v>
      </c>
      <c r="F1733" s="34">
        <v>2021.0</v>
      </c>
      <c r="G1733" s="34" t="s">
        <v>2838</v>
      </c>
      <c r="H1733" s="34" t="s">
        <v>1954</v>
      </c>
      <c r="I1733" s="34" t="s">
        <v>2839</v>
      </c>
      <c r="J1733" s="35"/>
      <c r="K1733" s="36">
        <v>1.11</v>
      </c>
      <c r="L1733" s="36">
        <v>3.52</v>
      </c>
      <c r="M1733" s="36"/>
      <c r="N1733" s="36"/>
      <c r="O1733" s="36"/>
      <c r="P1733" s="117">
        <f t="shared" si="212"/>
        <v>31.53409091</v>
      </c>
      <c r="Q1733" s="36" t="s">
        <v>96</v>
      </c>
      <c r="R1733" s="36" t="s">
        <v>96</v>
      </c>
      <c r="S1733" s="36"/>
      <c r="T1733" s="36" t="s">
        <v>284</v>
      </c>
      <c r="U1733" s="36" t="s">
        <v>968</v>
      </c>
      <c r="V1733" s="36">
        <v>12.0</v>
      </c>
      <c r="W1733" s="36"/>
      <c r="X1733" s="38">
        <v>1.0</v>
      </c>
      <c r="Y1733" s="38" t="s">
        <v>593</v>
      </c>
      <c r="Z1733" s="38" t="s">
        <v>594</v>
      </c>
      <c r="AA1733" s="38" t="s">
        <v>288</v>
      </c>
      <c r="AB1733" s="38">
        <v>37.6</v>
      </c>
      <c r="AC1733" s="38">
        <v>101.33</v>
      </c>
      <c r="AD1733" s="38" t="s">
        <v>198</v>
      </c>
      <c r="AE1733" s="38"/>
      <c r="AF1733" s="38" t="s">
        <v>1341</v>
      </c>
      <c r="AG1733" s="38"/>
      <c r="AH1733" s="38">
        <v>2.2</v>
      </c>
      <c r="AI1733" s="50">
        <v>37.61</v>
      </c>
      <c r="AJ1733" s="50">
        <v>101.33</v>
      </c>
      <c r="AK1733" s="41" t="s">
        <v>288</v>
      </c>
      <c r="AL1733" s="40" t="s">
        <v>288</v>
      </c>
      <c r="AM1733" s="49">
        <v>3201.0</v>
      </c>
      <c r="AN1733" s="51">
        <v>3201.0</v>
      </c>
      <c r="AO1733" s="42" t="s">
        <v>597</v>
      </c>
      <c r="AP1733" s="43" t="s">
        <v>597</v>
      </c>
      <c r="AQ1733" s="44" t="str">
        <f t="shared" si="213"/>
        <v>GRA</v>
      </c>
      <c r="AR1733" s="44">
        <f t="shared" si="199"/>
        <v>3201</v>
      </c>
      <c r="AS1733" s="44" t="str">
        <f t="shared" si="206"/>
        <v>D</v>
      </c>
      <c r="AT1733" s="44" t="str">
        <f t="shared" si="202"/>
        <v>Dw</v>
      </c>
      <c r="AU1733" s="44" t="str">
        <f t="shared" si="203"/>
        <v>Dwc</v>
      </c>
      <c r="AV1733" s="38">
        <v>3.0</v>
      </c>
      <c r="AW1733" s="38"/>
      <c r="AX1733" s="38"/>
      <c r="AY1733" s="38" t="s">
        <v>2841</v>
      </c>
      <c r="AZ1733" s="29"/>
      <c r="BA1733" s="29"/>
      <c r="BB1733" s="29">
        <v>1.0</v>
      </c>
      <c r="BC1733" s="29"/>
      <c r="BD1733" s="29" t="s">
        <v>88</v>
      </c>
      <c r="BE1733" s="29"/>
      <c r="BF1733" s="29" t="s">
        <v>2842</v>
      </c>
      <c r="BG1733" s="29" t="s">
        <v>91</v>
      </c>
      <c r="BH1733" s="29" t="s">
        <v>88</v>
      </c>
      <c r="BI1733" s="29" t="s">
        <v>1438</v>
      </c>
      <c r="BJ1733" s="29"/>
      <c r="BK1733" s="29" t="s">
        <v>180</v>
      </c>
      <c r="BL1733" s="29"/>
      <c r="BM1733" s="45"/>
      <c r="BN1733" s="45"/>
      <c r="BO1733" s="46"/>
      <c r="BP1733" s="2"/>
      <c r="BQ1733" s="3"/>
    </row>
    <row r="1734" ht="15.75" customHeight="1">
      <c r="A1734" s="34">
        <v>1813.0</v>
      </c>
      <c r="B1734" s="34">
        <v>104331.0</v>
      </c>
      <c r="C1734" s="34" t="s">
        <v>76</v>
      </c>
      <c r="D1734" s="34" t="s">
        <v>2836</v>
      </c>
      <c r="E1734" s="34" t="s">
        <v>2837</v>
      </c>
      <c r="F1734" s="34">
        <v>2021.0</v>
      </c>
      <c r="G1734" s="34" t="s">
        <v>2838</v>
      </c>
      <c r="H1734" s="34" t="s">
        <v>1954</v>
      </c>
      <c r="I1734" s="34" t="s">
        <v>2839</v>
      </c>
      <c r="J1734" s="35"/>
      <c r="K1734" s="36">
        <v>0.64</v>
      </c>
      <c r="L1734" s="36">
        <v>2.88</v>
      </c>
      <c r="M1734" s="36"/>
      <c r="N1734" s="36"/>
      <c r="O1734" s="36"/>
      <c r="P1734" s="117">
        <f t="shared" si="212"/>
        <v>22.22222222</v>
      </c>
      <c r="Q1734" s="36" t="s">
        <v>96</v>
      </c>
      <c r="R1734" s="36" t="s">
        <v>96</v>
      </c>
      <c r="S1734" s="36"/>
      <c r="T1734" s="36" t="s">
        <v>242</v>
      </c>
      <c r="U1734" s="36" t="s">
        <v>244</v>
      </c>
      <c r="V1734" s="36">
        <v>9.0</v>
      </c>
      <c r="W1734" s="36"/>
      <c r="X1734" s="38">
        <v>1.0</v>
      </c>
      <c r="Y1734" s="38" t="s">
        <v>2843</v>
      </c>
      <c r="Z1734" s="68" t="s">
        <v>1434</v>
      </c>
      <c r="AA1734" s="38" t="s">
        <v>86</v>
      </c>
      <c r="AB1734" s="38">
        <v>37.16</v>
      </c>
      <c r="AC1734" s="38">
        <v>127.65</v>
      </c>
      <c r="AD1734" s="38" t="s">
        <v>1130</v>
      </c>
      <c r="AE1734" s="53"/>
      <c r="AF1734" s="38"/>
      <c r="AG1734" s="38"/>
      <c r="AH1734" s="116">
        <v>45392.0</v>
      </c>
      <c r="AI1734" s="50">
        <v>37.16</v>
      </c>
      <c r="AJ1734" s="50">
        <v>127.65</v>
      </c>
      <c r="AK1734" s="41" t="s">
        <v>86</v>
      </c>
      <c r="AL1734" s="40" t="s">
        <v>86</v>
      </c>
      <c r="AM1734" s="49">
        <v>65.0</v>
      </c>
      <c r="AN1734" s="51">
        <v>65.0</v>
      </c>
      <c r="AO1734" s="42" t="s">
        <v>218</v>
      </c>
      <c r="AP1734" s="43" t="s">
        <v>218</v>
      </c>
      <c r="AQ1734" s="44" t="str">
        <f t="shared" si="213"/>
        <v>CRO</v>
      </c>
      <c r="AR1734" s="44">
        <f t="shared" si="199"/>
        <v>65</v>
      </c>
      <c r="AS1734" s="44" t="str">
        <f t="shared" si="206"/>
        <v>D</v>
      </c>
      <c r="AT1734" s="44" t="str">
        <f t="shared" si="202"/>
        <v>Dw</v>
      </c>
      <c r="AU1734" s="44" t="str">
        <f t="shared" si="203"/>
        <v>Dwa</v>
      </c>
      <c r="AV1734" s="38">
        <v>3.0</v>
      </c>
      <c r="AW1734" s="38"/>
      <c r="AX1734" s="38"/>
      <c r="AY1734" s="38" t="s">
        <v>2841</v>
      </c>
      <c r="AZ1734" s="29"/>
      <c r="BA1734" s="29"/>
      <c r="BB1734" s="29">
        <v>1.0</v>
      </c>
      <c r="BC1734" s="29"/>
      <c r="BD1734" s="29" t="s">
        <v>88</v>
      </c>
      <c r="BE1734" s="29"/>
      <c r="BF1734" s="29" t="s">
        <v>2842</v>
      </c>
      <c r="BG1734" s="29" t="s">
        <v>91</v>
      </c>
      <c r="BH1734" s="29" t="s">
        <v>88</v>
      </c>
      <c r="BI1734" s="29" t="s">
        <v>1438</v>
      </c>
      <c r="BJ1734" s="29"/>
      <c r="BK1734" s="29" t="s">
        <v>180</v>
      </c>
      <c r="BL1734" s="29"/>
      <c r="BM1734" s="45"/>
      <c r="BN1734" s="45"/>
      <c r="BO1734" s="46"/>
      <c r="BP1734" s="2"/>
      <c r="BQ1734" s="3"/>
    </row>
    <row r="1735" ht="15.75" customHeight="1">
      <c r="A1735" s="34">
        <v>1814.0</v>
      </c>
      <c r="B1735" s="34">
        <v>104331.0</v>
      </c>
      <c r="C1735" s="34" t="s">
        <v>76</v>
      </c>
      <c r="D1735" s="34" t="s">
        <v>2836</v>
      </c>
      <c r="E1735" s="34" t="s">
        <v>2837</v>
      </c>
      <c r="F1735" s="34">
        <v>2021.0</v>
      </c>
      <c r="G1735" s="34" t="s">
        <v>2838</v>
      </c>
      <c r="H1735" s="34" t="s">
        <v>1954</v>
      </c>
      <c r="I1735" s="34" t="s">
        <v>2839</v>
      </c>
      <c r="J1735" s="35"/>
      <c r="K1735" s="36">
        <v>-0.36</v>
      </c>
      <c r="L1735" s="36">
        <v>3.03</v>
      </c>
      <c r="M1735" s="36"/>
      <c r="N1735" s="36"/>
      <c r="O1735" s="36"/>
      <c r="P1735" s="117">
        <f t="shared" si="212"/>
        <v>-11.88118812</v>
      </c>
      <c r="Q1735" s="36" t="s">
        <v>96</v>
      </c>
      <c r="R1735" s="36" t="s">
        <v>96</v>
      </c>
      <c r="S1735" s="36"/>
      <c r="T1735" s="36" t="s">
        <v>284</v>
      </c>
      <c r="U1735" s="36" t="s">
        <v>968</v>
      </c>
      <c r="V1735" s="36">
        <v>23.0</v>
      </c>
      <c r="W1735" s="36"/>
      <c r="X1735" s="38">
        <v>1.0</v>
      </c>
      <c r="Y1735" s="38" t="s">
        <v>1193</v>
      </c>
      <c r="Z1735" s="38" t="s">
        <v>1194</v>
      </c>
      <c r="AA1735" s="38" t="s">
        <v>86</v>
      </c>
      <c r="AB1735" s="38">
        <v>36.05</v>
      </c>
      <c r="AC1735" s="38">
        <v>140.03</v>
      </c>
      <c r="AD1735" s="38" t="s">
        <v>736</v>
      </c>
      <c r="AE1735" s="38"/>
      <c r="AF1735" s="38" t="s">
        <v>1197</v>
      </c>
      <c r="AG1735" s="38"/>
      <c r="AH1735" s="38" t="s">
        <v>2844</v>
      </c>
      <c r="AI1735" s="50">
        <v>36.07</v>
      </c>
      <c r="AJ1735" s="50">
        <v>140.02</v>
      </c>
      <c r="AK1735" s="41" t="s">
        <v>362</v>
      </c>
      <c r="AL1735" s="40" t="s">
        <v>362</v>
      </c>
      <c r="AM1735" s="49">
        <v>16.0</v>
      </c>
      <c r="AN1735" s="51">
        <v>16.0</v>
      </c>
      <c r="AO1735" s="42" t="s">
        <v>201</v>
      </c>
      <c r="AP1735" s="43" t="s">
        <v>201</v>
      </c>
      <c r="AQ1735" s="44" t="str">
        <f t="shared" si="213"/>
        <v>CRO</v>
      </c>
      <c r="AR1735" s="44">
        <f t="shared" si="199"/>
        <v>16</v>
      </c>
      <c r="AS1735" s="44" t="str">
        <f t="shared" si="206"/>
        <v>C</v>
      </c>
      <c r="AT1735" s="44" t="str">
        <f t="shared" si="202"/>
        <v>Cf</v>
      </c>
      <c r="AU1735" s="44" t="str">
        <f t="shared" si="203"/>
        <v>Cfa</v>
      </c>
      <c r="AV1735" s="38">
        <v>3.0</v>
      </c>
      <c r="AW1735" s="38"/>
      <c r="AX1735" s="38"/>
      <c r="AY1735" s="38" t="s">
        <v>2841</v>
      </c>
      <c r="AZ1735" s="29"/>
      <c r="BA1735" s="29"/>
      <c r="BB1735" s="29">
        <v>1.0</v>
      </c>
      <c r="BC1735" s="29"/>
      <c r="BD1735" s="29" t="s">
        <v>88</v>
      </c>
      <c r="BE1735" s="29"/>
      <c r="BF1735" s="29" t="s">
        <v>2842</v>
      </c>
      <c r="BG1735" s="29" t="s">
        <v>91</v>
      </c>
      <c r="BH1735" s="29" t="s">
        <v>88</v>
      </c>
      <c r="BI1735" s="29" t="s">
        <v>1438</v>
      </c>
      <c r="BJ1735" s="29"/>
      <c r="BK1735" s="29" t="s">
        <v>180</v>
      </c>
      <c r="BL1735" s="29"/>
      <c r="BM1735" s="45"/>
      <c r="BN1735" s="45"/>
      <c r="BO1735" s="46"/>
      <c r="BP1735" s="2"/>
      <c r="BQ1735" s="3"/>
    </row>
    <row r="1736" ht="15.75" customHeight="1">
      <c r="A1736" s="34">
        <v>1815.0</v>
      </c>
      <c r="B1736" s="34">
        <v>104331.0</v>
      </c>
      <c r="C1736" s="34" t="s">
        <v>76</v>
      </c>
      <c r="D1736" s="34" t="s">
        <v>2836</v>
      </c>
      <c r="E1736" s="34" t="s">
        <v>2837</v>
      </c>
      <c r="F1736" s="34">
        <v>2021.0</v>
      </c>
      <c r="G1736" s="34" t="s">
        <v>2838</v>
      </c>
      <c r="H1736" s="34" t="s">
        <v>1954</v>
      </c>
      <c r="I1736" s="34" t="s">
        <v>2839</v>
      </c>
      <c r="J1736" s="35"/>
      <c r="K1736" s="36"/>
      <c r="L1736" s="36"/>
      <c r="M1736" s="36"/>
      <c r="N1736" s="36">
        <v>27.96</v>
      </c>
      <c r="O1736" s="36">
        <v>246.66</v>
      </c>
      <c r="P1736" s="52">
        <f t="shared" ref="P1736:P1741" si="214">N1736/O1736*100</f>
        <v>11.3354415</v>
      </c>
      <c r="Q1736" s="36"/>
      <c r="R1736" s="36" t="s">
        <v>82</v>
      </c>
      <c r="S1736" s="36"/>
      <c r="T1736" s="36" t="s">
        <v>242</v>
      </c>
      <c r="U1736" s="36" t="s">
        <v>243</v>
      </c>
      <c r="V1736" s="36">
        <v>13.0</v>
      </c>
      <c r="W1736" s="36"/>
      <c r="X1736" s="38">
        <v>1.0</v>
      </c>
      <c r="Y1736" s="38" t="s">
        <v>2840</v>
      </c>
      <c r="Z1736" s="68" t="s">
        <v>1445</v>
      </c>
      <c r="AA1736" s="38" t="s">
        <v>1222</v>
      </c>
      <c r="AB1736" s="38">
        <v>37.94</v>
      </c>
      <c r="AC1736" s="38">
        <v>126.96</v>
      </c>
      <c r="AD1736" s="38" t="s">
        <v>1130</v>
      </c>
      <c r="AE1736" s="38"/>
      <c r="AF1736" s="38"/>
      <c r="AG1736" s="38"/>
      <c r="AH1736" s="38">
        <v>19.2</v>
      </c>
      <c r="AI1736" s="50">
        <v>37.94</v>
      </c>
      <c r="AJ1736" s="50">
        <v>126.96</v>
      </c>
      <c r="AK1736" s="41" t="s">
        <v>370</v>
      </c>
      <c r="AL1736" s="40" t="s">
        <v>370</v>
      </c>
      <c r="AM1736" s="49">
        <v>408.0</v>
      </c>
      <c r="AN1736" s="51">
        <v>408.0</v>
      </c>
      <c r="AO1736" s="42" t="s">
        <v>218</v>
      </c>
      <c r="AP1736" s="43" t="s">
        <v>218</v>
      </c>
      <c r="AQ1736" s="80" t="s">
        <v>370</v>
      </c>
      <c r="AR1736" s="44">
        <f t="shared" si="199"/>
        <v>408</v>
      </c>
      <c r="AS1736" s="44" t="str">
        <f t="shared" si="206"/>
        <v>D</v>
      </c>
      <c r="AT1736" s="44" t="str">
        <f t="shared" si="202"/>
        <v>Dw</v>
      </c>
      <c r="AU1736" s="44" t="str">
        <f t="shared" si="203"/>
        <v>Dwa</v>
      </c>
      <c r="AV1736" s="38">
        <v>3.0</v>
      </c>
      <c r="AW1736" s="38"/>
      <c r="AX1736" s="38"/>
      <c r="AY1736" s="38" t="s">
        <v>2841</v>
      </c>
      <c r="AZ1736" s="29"/>
      <c r="BA1736" s="29"/>
      <c r="BB1736" s="29">
        <v>1.0</v>
      </c>
      <c r="BC1736" s="29"/>
      <c r="BD1736" s="29" t="s">
        <v>88</v>
      </c>
      <c r="BE1736" s="29"/>
      <c r="BF1736" s="29" t="s">
        <v>936</v>
      </c>
      <c r="BG1736" s="29" t="s">
        <v>572</v>
      </c>
      <c r="BH1736" s="29" t="s">
        <v>88</v>
      </c>
      <c r="BI1736" s="29" t="s">
        <v>1438</v>
      </c>
      <c r="BJ1736" s="29"/>
      <c r="BK1736" s="29" t="s">
        <v>180</v>
      </c>
      <c r="BL1736" s="29"/>
      <c r="BM1736" s="45"/>
      <c r="BN1736" s="45"/>
      <c r="BO1736" s="46"/>
      <c r="BP1736" s="2"/>
      <c r="BQ1736" s="3"/>
    </row>
    <row r="1737" ht="15.75" customHeight="1">
      <c r="A1737" s="34">
        <v>1816.0</v>
      </c>
      <c r="B1737" s="34">
        <v>104331.0</v>
      </c>
      <c r="C1737" s="34" t="s">
        <v>76</v>
      </c>
      <c r="D1737" s="34" t="s">
        <v>2836</v>
      </c>
      <c r="E1737" s="34" t="s">
        <v>2837</v>
      </c>
      <c r="F1737" s="34">
        <v>2021.0</v>
      </c>
      <c r="G1737" s="34" t="s">
        <v>2838</v>
      </c>
      <c r="H1737" s="34" t="s">
        <v>1954</v>
      </c>
      <c r="I1737" s="34" t="s">
        <v>2839</v>
      </c>
      <c r="J1737" s="35"/>
      <c r="K1737" s="36"/>
      <c r="L1737" s="36"/>
      <c r="M1737" s="36"/>
      <c r="N1737" s="36">
        <v>49.64</v>
      </c>
      <c r="O1737" s="36">
        <v>161.16</v>
      </c>
      <c r="P1737" s="52">
        <f t="shared" si="214"/>
        <v>30.80168776</v>
      </c>
      <c r="Q1737" s="36"/>
      <c r="R1737" s="36" t="s">
        <v>82</v>
      </c>
      <c r="S1737" s="36"/>
      <c r="T1737" s="36" t="s">
        <v>193</v>
      </c>
      <c r="U1737" s="36" t="s">
        <v>968</v>
      </c>
      <c r="V1737" s="36">
        <v>11.0</v>
      </c>
      <c r="W1737" s="36"/>
      <c r="X1737" s="38">
        <v>1.0</v>
      </c>
      <c r="Y1737" s="38" t="s">
        <v>195</v>
      </c>
      <c r="Z1737" s="68" t="s">
        <v>196</v>
      </c>
      <c r="AA1737" s="38" t="s">
        <v>197</v>
      </c>
      <c r="AB1737" s="38">
        <v>26.73</v>
      </c>
      <c r="AC1737" s="38">
        <v>115.07</v>
      </c>
      <c r="AD1737" s="38" t="s">
        <v>198</v>
      </c>
      <c r="AE1737" s="38"/>
      <c r="AF1737" s="38" t="s">
        <v>199</v>
      </c>
      <c r="AG1737" s="38"/>
      <c r="AH1737" s="38">
        <v>23.0</v>
      </c>
      <c r="AI1737" s="50">
        <v>26.73</v>
      </c>
      <c r="AJ1737" s="50">
        <v>115.07</v>
      </c>
      <c r="AK1737" s="41" t="s">
        <v>200</v>
      </c>
      <c r="AL1737" s="40" t="s">
        <v>200</v>
      </c>
      <c r="AM1737" s="49">
        <v>81.0</v>
      </c>
      <c r="AN1737" s="51">
        <v>81.0</v>
      </c>
      <c r="AO1737" s="42" t="s">
        <v>201</v>
      </c>
      <c r="AP1737" s="43" t="s">
        <v>201</v>
      </c>
      <c r="AQ1737" s="44" t="str">
        <f t="shared" ref="AQ1737:AQ1741" si="215">AA1737</f>
        <v>ENF</v>
      </c>
      <c r="AR1737" s="44">
        <f t="shared" si="199"/>
        <v>81</v>
      </c>
      <c r="AS1737" s="44" t="str">
        <f t="shared" si="206"/>
        <v>C</v>
      </c>
      <c r="AT1737" s="44" t="str">
        <f t="shared" si="202"/>
        <v>Cf</v>
      </c>
      <c r="AU1737" s="44" t="str">
        <f t="shared" si="203"/>
        <v>Cfa</v>
      </c>
      <c r="AV1737" s="38">
        <v>3.0</v>
      </c>
      <c r="AW1737" s="38"/>
      <c r="AX1737" s="38"/>
      <c r="AY1737" s="38" t="s">
        <v>2841</v>
      </c>
      <c r="AZ1737" s="29"/>
      <c r="BA1737" s="29"/>
      <c r="BB1737" s="29">
        <v>1.0</v>
      </c>
      <c r="BC1737" s="29"/>
      <c r="BD1737" s="29" t="s">
        <v>88</v>
      </c>
      <c r="BE1737" s="29"/>
      <c r="BF1737" s="29" t="s">
        <v>936</v>
      </c>
      <c r="BG1737" s="29" t="s">
        <v>572</v>
      </c>
      <c r="BH1737" s="29" t="s">
        <v>88</v>
      </c>
      <c r="BI1737" s="29" t="s">
        <v>1438</v>
      </c>
      <c r="BJ1737" s="29"/>
      <c r="BK1737" s="29" t="s">
        <v>180</v>
      </c>
      <c r="BL1737" s="29"/>
      <c r="BM1737" s="45"/>
      <c r="BN1737" s="45"/>
      <c r="BO1737" s="46"/>
      <c r="BP1737" s="2"/>
      <c r="BQ1737" s="3"/>
    </row>
    <row r="1738" ht="15.75" customHeight="1">
      <c r="A1738" s="34">
        <v>1817.0</v>
      </c>
      <c r="B1738" s="34">
        <v>104331.0</v>
      </c>
      <c r="C1738" s="34" t="s">
        <v>76</v>
      </c>
      <c r="D1738" s="34" t="s">
        <v>2836</v>
      </c>
      <c r="E1738" s="34" t="s">
        <v>2837</v>
      </c>
      <c r="F1738" s="34">
        <v>2021.0</v>
      </c>
      <c r="G1738" s="34" t="s">
        <v>2838</v>
      </c>
      <c r="H1738" s="34" t="s">
        <v>1954</v>
      </c>
      <c r="I1738" s="34" t="s">
        <v>2839</v>
      </c>
      <c r="J1738" s="35"/>
      <c r="K1738" s="36"/>
      <c r="L1738" s="36"/>
      <c r="M1738" s="36"/>
      <c r="N1738" s="36">
        <v>43.47</v>
      </c>
      <c r="O1738" s="36">
        <v>85.08</v>
      </c>
      <c r="P1738" s="52">
        <f t="shared" si="214"/>
        <v>51.09308886</v>
      </c>
      <c r="Q1738" s="36"/>
      <c r="R1738" s="36" t="s">
        <v>82</v>
      </c>
      <c r="S1738" s="36"/>
      <c r="T1738" s="36" t="s">
        <v>295</v>
      </c>
      <c r="U1738" s="36" t="s">
        <v>342</v>
      </c>
      <c r="V1738" s="36">
        <v>29.0</v>
      </c>
      <c r="W1738" s="36"/>
      <c r="X1738" s="38">
        <v>1.0</v>
      </c>
      <c r="Y1738" s="38" t="s">
        <v>1278</v>
      </c>
      <c r="Z1738" s="38" t="s">
        <v>1279</v>
      </c>
      <c r="AA1738" s="38" t="s">
        <v>288</v>
      </c>
      <c r="AB1738" s="38">
        <v>47.21</v>
      </c>
      <c r="AC1738" s="38">
        <v>108.73</v>
      </c>
      <c r="AD1738" s="38" t="s">
        <v>1250</v>
      </c>
      <c r="AE1738" s="38"/>
      <c r="AF1738" s="38"/>
      <c r="AG1738" s="38"/>
      <c r="AH1738" s="38">
        <v>3.5</v>
      </c>
      <c r="AI1738" s="50">
        <v>47.21</v>
      </c>
      <c r="AJ1738" s="50">
        <v>108.73</v>
      </c>
      <c r="AK1738" s="41" t="s">
        <v>288</v>
      </c>
      <c r="AL1738" s="40" t="s">
        <v>288</v>
      </c>
      <c r="AM1738" s="49">
        <v>1243.0</v>
      </c>
      <c r="AN1738" s="51">
        <v>1243.0</v>
      </c>
      <c r="AO1738" s="42" t="s">
        <v>293</v>
      </c>
      <c r="AP1738" s="43" t="s">
        <v>293</v>
      </c>
      <c r="AQ1738" s="44" t="str">
        <f t="shared" si="215"/>
        <v>GRA</v>
      </c>
      <c r="AR1738" s="44">
        <f t="shared" si="199"/>
        <v>1243</v>
      </c>
      <c r="AS1738" s="44" t="str">
        <f t="shared" si="206"/>
        <v>B</v>
      </c>
      <c r="AT1738" s="44" t="str">
        <f t="shared" si="202"/>
        <v>BS</v>
      </c>
      <c r="AU1738" s="44" t="str">
        <f t="shared" si="203"/>
        <v>BSk</v>
      </c>
      <c r="AV1738" s="38">
        <v>3.0</v>
      </c>
      <c r="AW1738" s="38"/>
      <c r="AX1738" s="38"/>
      <c r="AY1738" s="38" t="s">
        <v>2841</v>
      </c>
      <c r="AZ1738" s="29"/>
      <c r="BA1738" s="29"/>
      <c r="BB1738" s="29">
        <v>1.0</v>
      </c>
      <c r="BC1738" s="29"/>
      <c r="BD1738" s="29" t="s">
        <v>88</v>
      </c>
      <c r="BE1738" s="29"/>
      <c r="BF1738" s="29" t="s">
        <v>936</v>
      </c>
      <c r="BG1738" s="29" t="s">
        <v>572</v>
      </c>
      <c r="BH1738" s="29" t="s">
        <v>88</v>
      </c>
      <c r="BI1738" s="29" t="s">
        <v>1438</v>
      </c>
      <c r="BJ1738" s="29"/>
      <c r="BK1738" s="29" t="s">
        <v>180</v>
      </c>
      <c r="BL1738" s="29"/>
      <c r="BM1738" s="45"/>
      <c r="BN1738" s="45"/>
      <c r="BO1738" s="46"/>
      <c r="BP1738" s="2"/>
      <c r="BQ1738" s="3"/>
    </row>
    <row r="1739" ht="15.75" customHeight="1">
      <c r="A1739" s="34">
        <v>1818.0</v>
      </c>
      <c r="B1739" s="34">
        <v>104331.0</v>
      </c>
      <c r="C1739" s="34" t="s">
        <v>76</v>
      </c>
      <c r="D1739" s="34" t="s">
        <v>2836</v>
      </c>
      <c r="E1739" s="34" t="s">
        <v>2837</v>
      </c>
      <c r="F1739" s="34">
        <v>2021.0</v>
      </c>
      <c r="G1739" s="34" t="s">
        <v>2838</v>
      </c>
      <c r="H1739" s="34" t="s">
        <v>1954</v>
      </c>
      <c r="I1739" s="34" t="s">
        <v>2839</v>
      </c>
      <c r="J1739" s="35"/>
      <c r="K1739" s="36"/>
      <c r="L1739" s="36"/>
      <c r="M1739" s="36"/>
      <c r="N1739" s="36">
        <v>130.98</v>
      </c>
      <c r="O1739" s="36">
        <v>274.09</v>
      </c>
      <c r="P1739" s="52">
        <f t="shared" si="214"/>
        <v>47.78722317</v>
      </c>
      <c r="Q1739" s="36"/>
      <c r="R1739" s="36" t="s">
        <v>82</v>
      </c>
      <c r="S1739" s="36"/>
      <c r="T1739" s="36" t="s">
        <v>284</v>
      </c>
      <c r="U1739" s="36" t="s">
        <v>968</v>
      </c>
      <c r="V1739" s="36">
        <v>12.0</v>
      </c>
      <c r="W1739" s="36"/>
      <c r="X1739" s="38">
        <v>1.0</v>
      </c>
      <c r="Y1739" s="38" t="s">
        <v>593</v>
      </c>
      <c r="Z1739" s="38" t="s">
        <v>594</v>
      </c>
      <c r="AA1739" s="38" t="s">
        <v>288</v>
      </c>
      <c r="AB1739" s="38">
        <v>37.6</v>
      </c>
      <c r="AC1739" s="38">
        <v>101.33</v>
      </c>
      <c r="AD1739" s="38" t="s">
        <v>198</v>
      </c>
      <c r="AE1739" s="38"/>
      <c r="AF1739" s="38" t="s">
        <v>1341</v>
      </c>
      <c r="AG1739" s="38"/>
      <c r="AH1739" s="38">
        <v>2.2</v>
      </c>
      <c r="AI1739" s="50">
        <v>37.61</v>
      </c>
      <c r="AJ1739" s="50">
        <v>101.33</v>
      </c>
      <c r="AK1739" s="41" t="s">
        <v>288</v>
      </c>
      <c r="AL1739" s="40" t="s">
        <v>288</v>
      </c>
      <c r="AM1739" s="49">
        <v>3201.0</v>
      </c>
      <c r="AN1739" s="51">
        <v>3201.0</v>
      </c>
      <c r="AO1739" s="42" t="s">
        <v>597</v>
      </c>
      <c r="AP1739" s="43" t="s">
        <v>597</v>
      </c>
      <c r="AQ1739" s="44" t="str">
        <f t="shared" si="215"/>
        <v>GRA</v>
      </c>
      <c r="AR1739" s="44">
        <f t="shared" si="199"/>
        <v>3201</v>
      </c>
      <c r="AS1739" s="44" t="str">
        <f t="shared" si="206"/>
        <v>D</v>
      </c>
      <c r="AT1739" s="44" t="str">
        <f t="shared" si="202"/>
        <v>Dw</v>
      </c>
      <c r="AU1739" s="44" t="str">
        <f t="shared" si="203"/>
        <v>Dwc</v>
      </c>
      <c r="AV1739" s="38">
        <v>3.0</v>
      </c>
      <c r="AW1739" s="38"/>
      <c r="AX1739" s="38"/>
      <c r="AY1739" s="38" t="s">
        <v>2841</v>
      </c>
      <c r="AZ1739" s="29"/>
      <c r="BA1739" s="29"/>
      <c r="BB1739" s="29">
        <v>1.0</v>
      </c>
      <c r="BC1739" s="29"/>
      <c r="BD1739" s="29" t="s">
        <v>88</v>
      </c>
      <c r="BE1739" s="29"/>
      <c r="BF1739" s="29" t="s">
        <v>936</v>
      </c>
      <c r="BG1739" s="29" t="s">
        <v>572</v>
      </c>
      <c r="BH1739" s="29" t="s">
        <v>88</v>
      </c>
      <c r="BI1739" s="29" t="s">
        <v>1438</v>
      </c>
      <c r="BJ1739" s="29"/>
      <c r="BK1739" s="29" t="s">
        <v>180</v>
      </c>
      <c r="BL1739" s="29"/>
      <c r="BM1739" s="45"/>
      <c r="BN1739" s="45"/>
      <c r="BO1739" s="46"/>
      <c r="BP1739" s="2"/>
      <c r="BQ1739" s="3"/>
    </row>
    <row r="1740" ht="15.75" customHeight="1">
      <c r="A1740" s="34">
        <v>1819.0</v>
      </c>
      <c r="B1740" s="34">
        <v>104331.0</v>
      </c>
      <c r="C1740" s="34" t="s">
        <v>76</v>
      </c>
      <c r="D1740" s="34" t="s">
        <v>2836</v>
      </c>
      <c r="E1740" s="34" t="s">
        <v>2837</v>
      </c>
      <c r="F1740" s="34">
        <v>2021.0</v>
      </c>
      <c r="G1740" s="34" t="s">
        <v>2838</v>
      </c>
      <c r="H1740" s="34" t="s">
        <v>1954</v>
      </c>
      <c r="I1740" s="34" t="s">
        <v>2839</v>
      </c>
      <c r="J1740" s="35"/>
      <c r="K1740" s="36"/>
      <c r="L1740" s="36"/>
      <c r="M1740" s="36"/>
      <c r="N1740" s="36">
        <v>17.92</v>
      </c>
      <c r="O1740" s="36">
        <v>219.3</v>
      </c>
      <c r="P1740" s="52">
        <f t="shared" si="214"/>
        <v>8.171454628</v>
      </c>
      <c r="Q1740" s="36"/>
      <c r="R1740" s="36" t="s">
        <v>82</v>
      </c>
      <c r="S1740" s="36"/>
      <c r="T1740" s="36" t="s">
        <v>242</v>
      </c>
      <c r="U1740" s="36" t="s">
        <v>244</v>
      </c>
      <c r="V1740" s="36">
        <v>9.0</v>
      </c>
      <c r="W1740" s="36"/>
      <c r="X1740" s="38">
        <v>1.0</v>
      </c>
      <c r="Y1740" s="38" t="s">
        <v>2843</v>
      </c>
      <c r="Z1740" s="68" t="s">
        <v>1434</v>
      </c>
      <c r="AA1740" s="38" t="s">
        <v>86</v>
      </c>
      <c r="AB1740" s="38">
        <v>37.16</v>
      </c>
      <c r="AC1740" s="38">
        <v>127.65</v>
      </c>
      <c r="AD1740" s="38" t="s">
        <v>1130</v>
      </c>
      <c r="AE1740" s="53"/>
      <c r="AF1740" s="38"/>
      <c r="AG1740" s="38"/>
      <c r="AH1740" s="116">
        <v>45392.0</v>
      </c>
      <c r="AI1740" s="50">
        <v>37.16</v>
      </c>
      <c r="AJ1740" s="50">
        <v>127.65</v>
      </c>
      <c r="AK1740" s="41" t="s">
        <v>86</v>
      </c>
      <c r="AL1740" s="40" t="s">
        <v>86</v>
      </c>
      <c r="AM1740" s="49">
        <v>65.0</v>
      </c>
      <c r="AN1740" s="51">
        <v>65.0</v>
      </c>
      <c r="AO1740" s="42" t="s">
        <v>218</v>
      </c>
      <c r="AP1740" s="43" t="s">
        <v>218</v>
      </c>
      <c r="AQ1740" s="44" t="str">
        <f t="shared" si="215"/>
        <v>CRO</v>
      </c>
      <c r="AR1740" s="44">
        <f t="shared" si="199"/>
        <v>65</v>
      </c>
      <c r="AS1740" s="44" t="str">
        <f t="shared" si="206"/>
        <v>D</v>
      </c>
      <c r="AT1740" s="44" t="str">
        <f t="shared" si="202"/>
        <v>Dw</v>
      </c>
      <c r="AU1740" s="44" t="str">
        <f t="shared" si="203"/>
        <v>Dwa</v>
      </c>
      <c r="AV1740" s="38">
        <v>3.0</v>
      </c>
      <c r="AW1740" s="38"/>
      <c r="AX1740" s="38"/>
      <c r="AY1740" s="38" t="s">
        <v>2841</v>
      </c>
      <c r="AZ1740" s="29"/>
      <c r="BA1740" s="29"/>
      <c r="BB1740" s="29">
        <v>1.0</v>
      </c>
      <c r="BC1740" s="29"/>
      <c r="BD1740" s="29" t="s">
        <v>88</v>
      </c>
      <c r="BE1740" s="29"/>
      <c r="BF1740" s="29" t="s">
        <v>936</v>
      </c>
      <c r="BG1740" s="29" t="s">
        <v>572</v>
      </c>
      <c r="BH1740" s="29" t="s">
        <v>88</v>
      </c>
      <c r="BI1740" s="29" t="s">
        <v>1438</v>
      </c>
      <c r="BJ1740" s="29"/>
      <c r="BK1740" s="29" t="s">
        <v>180</v>
      </c>
      <c r="BL1740" s="29"/>
      <c r="BM1740" s="45"/>
      <c r="BN1740" s="45"/>
      <c r="BO1740" s="46"/>
      <c r="BP1740" s="2"/>
      <c r="BQ1740" s="3"/>
    </row>
    <row r="1741" ht="15.75" customHeight="1">
      <c r="A1741" s="34">
        <v>1820.0</v>
      </c>
      <c r="B1741" s="34">
        <v>104331.0</v>
      </c>
      <c r="C1741" s="34" t="s">
        <v>76</v>
      </c>
      <c r="D1741" s="34" t="s">
        <v>2836</v>
      </c>
      <c r="E1741" s="34" t="s">
        <v>2837</v>
      </c>
      <c r="F1741" s="34">
        <v>2021.0</v>
      </c>
      <c r="G1741" s="34" t="s">
        <v>2838</v>
      </c>
      <c r="H1741" s="34" t="s">
        <v>1954</v>
      </c>
      <c r="I1741" s="34" t="s">
        <v>2839</v>
      </c>
      <c r="J1741" s="35"/>
      <c r="K1741" s="36"/>
      <c r="L1741" s="36"/>
      <c r="M1741" s="36"/>
      <c r="N1741" s="36">
        <v>77.81</v>
      </c>
      <c r="O1741" s="36">
        <v>133.86</v>
      </c>
      <c r="P1741" s="52">
        <f t="shared" si="214"/>
        <v>58.12789482</v>
      </c>
      <c r="Q1741" s="36"/>
      <c r="R1741" s="36" t="s">
        <v>82</v>
      </c>
      <c r="S1741" s="36"/>
      <c r="T1741" s="36" t="s">
        <v>284</v>
      </c>
      <c r="U1741" s="36" t="s">
        <v>968</v>
      </c>
      <c r="V1741" s="36">
        <v>23.0</v>
      </c>
      <c r="W1741" s="36"/>
      <c r="X1741" s="38">
        <v>1.0</v>
      </c>
      <c r="Y1741" s="38" t="s">
        <v>1193</v>
      </c>
      <c r="Z1741" s="38" t="s">
        <v>1194</v>
      </c>
      <c r="AA1741" s="38" t="s">
        <v>86</v>
      </c>
      <c r="AB1741" s="38">
        <v>36.05</v>
      </c>
      <c r="AC1741" s="38">
        <v>140.03</v>
      </c>
      <c r="AD1741" s="38" t="s">
        <v>736</v>
      </c>
      <c r="AE1741" s="38"/>
      <c r="AF1741" s="38" t="s">
        <v>1197</v>
      </c>
      <c r="AG1741" s="38"/>
      <c r="AH1741" s="38" t="s">
        <v>2844</v>
      </c>
      <c r="AI1741" s="50">
        <v>36.07</v>
      </c>
      <c r="AJ1741" s="50">
        <v>140.02</v>
      </c>
      <c r="AK1741" s="41" t="s">
        <v>362</v>
      </c>
      <c r="AL1741" s="40" t="s">
        <v>362</v>
      </c>
      <c r="AM1741" s="49">
        <v>16.0</v>
      </c>
      <c r="AN1741" s="51">
        <v>16.0</v>
      </c>
      <c r="AO1741" s="42" t="s">
        <v>201</v>
      </c>
      <c r="AP1741" s="43" t="s">
        <v>201</v>
      </c>
      <c r="AQ1741" s="44" t="str">
        <f t="shared" si="215"/>
        <v>CRO</v>
      </c>
      <c r="AR1741" s="44">
        <f t="shared" si="199"/>
        <v>16</v>
      </c>
      <c r="AS1741" s="44" t="str">
        <f t="shared" si="206"/>
        <v>C</v>
      </c>
      <c r="AT1741" s="44" t="str">
        <f t="shared" si="202"/>
        <v>Cf</v>
      </c>
      <c r="AU1741" s="44" t="str">
        <f t="shared" si="203"/>
        <v>Cfa</v>
      </c>
      <c r="AV1741" s="38">
        <v>3.0</v>
      </c>
      <c r="AW1741" s="38"/>
      <c r="AX1741" s="38"/>
      <c r="AY1741" s="38" t="s">
        <v>2841</v>
      </c>
      <c r="AZ1741" s="29"/>
      <c r="BA1741" s="29"/>
      <c r="BB1741" s="29">
        <v>1.0</v>
      </c>
      <c r="BC1741" s="29"/>
      <c r="BD1741" s="29" t="s">
        <v>88</v>
      </c>
      <c r="BE1741" s="29"/>
      <c r="BF1741" s="29" t="s">
        <v>936</v>
      </c>
      <c r="BG1741" s="29" t="s">
        <v>572</v>
      </c>
      <c r="BH1741" s="29" t="s">
        <v>88</v>
      </c>
      <c r="BI1741" s="29" t="s">
        <v>1438</v>
      </c>
      <c r="BJ1741" s="29"/>
      <c r="BK1741" s="29" t="s">
        <v>180</v>
      </c>
      <c r="BL1741" s="29"/>
      <c r="BM1741" s="45"/>
      <c r="BN1741" s="45"/>
      <c r="BO1741" s="46"/>
      <c r="BP1741" s="2"/>
      <c r="BQ1741" s="3"/>
    </row>
    <row r="1742" ht="15.75" customHeight="1">
      <c r="A1742" s="34">
        <v>1821.0</v>
      </c>
      <c r="B1742" s="34">
        <v>104331.0</v>
      </c>
      <c r="C1742" s="34" t="s">
        <v>76</v>
      </c>
      <c r="D1742" s="34" t="s">
        <v>2836</v>
      </c>
      <c r="E1742" s="34" t="s">
        <v>2837</v>
      </c>
      <c r="F1742" s="34">
        <v>2021.0</v>
      </c>
      <c r="G1742" s="34" t="s">
        <v>2838</v>
      </c>
      <c r="H1742" s="34" t="s">
        <v>1954</v>
      </c>
      <c r="I1742" s="34" t="s">
        <v>2839</v>
      </c>
      <c r="J1742" s="35"/>
      <c r="K1742" s="36">
        <v>-0.17</v>
      </c>
      <c r="L1742" s="36">
        <v>2.3</v>
      </c>
      <c r="M1742" s="36"/>
      <c r="N1742" s="36"/>
      <c r="O1742" s="36"/>
      <c r="P1742" s="117">
        <f t="shared" ref="P1742:P1747" si="216">K1742/L1742*100</f>
        <v>-7.391304348</v>
      </c>
      <c r="Q1742" s="36" t="s">
        <v>96</v>
      </c>
      <c r="R1742" s="36" t="s">
        <v>96</v>
      </c>
      <c r="S1742" s="36"/>
      <c r="T1742" s="36" t="s">
        <v>242</v>
      </c>
      <c r="U1742" s="36" t="s">
        <v>243</v>
      </c>
      <c r="V1742" s="36">
        <v>13.0</v>
      </c>
      <c r="W1742" s="36"/>
      <c r="X1742" s="38">
        <v>1.0</v>
      </c>
      <c r="Y1742" s="38" t="s">
        <v>2840</v>
      </c>
      <c r="Z1742" s="68" t="s">
        <v>1445</v>
      </c>
      <c r="AA1742" s="38" t="s">
        <v>1222</v>
      </c>
      <c r="AB1742" s="38">
        <v>37.94</v>
      </c>
      <c r="AC1742" s="38">
        <v>126.96</v>
      </c>
      <c r="AD1742" s="38" t="s">
        <v>1130</v>
      </c>
      <c r="AE1742" s="38"/>
      <c r="AF1742" s="38"/>
      <c r="AG1742" s="38"/>
      <c r="AH1742" s="38">
        <v>19.2</v>
      </c>
      <c r="AI1742" s="50">
        <v>37.94</v>
      </c>
      <c r="AJ1742" s="50">
        <v>126.96</v>
      </c>
      <c r="AK1742" s="41" t="s">
        <v>370</v>
      </c>
      <c r="AL1742" s="40" t="s">
        <v>370</v>
      </c>
      <c r="AM1742" s="49">
        <v>408.0</v>
      </c>
      <c r="AN1742" s="51">
        <v>408.0</v>
      </c>
      <c r="AO1742" s="42" t="s">
        <v>218</v>
      </c>
      <c r="AP1742" s="43" t="s">
        <v>218</v>
      </c>
      <c r="AQ1742" s="80" t="s">
        <v>370</v>
      </c>
      <c r="AR1742" s="44">
        <f t="shared" si="199"/>
        <v>408</v>
      </c>
      <c r="AS1742" s="44" t="str">
        <f t="shared" si="206"/>
        <v>D</v>
      </c>
      <c r="AT1742" s="44" t="str">
        <f t="shared" si="202"/>
        <v>Dw</v>
      </c>
      <c r="AU1742" s="44" t="str">
        <f t="shared" si="203"/>
        <v>Dwa</v>
      </c>
      <c r="AV1742" s="38">
        <v>3.0</v>
      </c>
      <c r="AW1742" s="38"/>
      <c r="AX1742" s="38"/>
      <c r="AY1742" s="38" t="s">
        <v>2841</v>
      </c>
      <c r="AZ1742" s="29"/>
      <c r="BA1742" s="29"/>
      <c r="BB1742" s="29">
        <v>1.0</v>
      </c>
      <c r="BC1742" s="29"/>
      <c r="BD1742" s="29" t="s">
        <v>88</v>
      </c>
      <c r="BE1742" s="29"/>
      <c r="BF1742" s="29" t="s">
        <v>936</v>
      </c>
      <c r="BG1742" s="29" t="s">
        <v>572</v>
      </c>
      <c r="BH1742" s="29" t="s">
        <v>88</v>
      </c>
      <c r="BI1742" s="29" t="s">
        <v>1438</v>
      </c>
      <c r="BJ1742" s="29"/>
      <c r="BK1742" s="29" t="s">
        <v>180</v>
      </c>
      <c r="BL1742" s="29"/>
      <c r="BM1742" s="45"/>
      <c r="BN1742" s="45"/>
      <c r="BO1742" s="46"/>
      <c r="BP1742" s="2"/>
      <c r="BQ1742" s="3"/>
    </row>
    <row r="1743" ht="15.75" customHeight="1">
      <c r="A1743" s="34">
        <v>1822.0</v>
      </c>
      <c r="B1743" s="34">
        <v>104331.0</v>
      </c>
      <c r="C1743" s="34" t="s">
        <v>76</v>
      </c>
      <c r="D1743" s="34" t="s">
        <v>2836</v>
      </c>
      <c r="E1743" s="34" t="s">
        <v>2837</v>
      </c>
      <c r="F1743" s="34">
        <v>2021.0</v>
      </c>
      <c r="G1743" s="34" t="s">
        <v>2838</v>
      </c>
      <c r="H1743" s="34" t="s">
        <v>1954</v>
      </c>
      <c r="I1743" s="34" t="s">
        <v>2839</v>
      </c>
      <c r="J1743" s="35"/>
      <c r="K1743" s="36">
        <v>-0.14</v>
      </c>
      <c r="L1743" s="36">
        <v>2.27</v>
      </c>
      <c r="M1743" s="36"/>
      <c r="N1743" s="36"/>
      <c r="O1743" s="36"/>
      <c r="P1743" s="117">
        <f t="shared" si="216"/>
        <v>-6.167400881</v>
      </c>
      <c r="Q1743" s="36" t="s">
        <v>96</v>
      </c>
      <c r="R1743" s="36" t="s">
        <v>96</v>
      </c>
      <c r="S1743" s="36"/>
      <c r="T1743" s="36" t="s">
        <v>193</v>
      </c>
      <c r="U1743" s="36" t="s">
        <v>968</v>
      </c>
      <c r="V1743" s="36">
        <v>11.0</v>
      </c>
      <c r="W1743" s="36"/>
      <c r="X1743" s="38">
        <v>1.0</v>
      </c>
      <c r="Y1743" s="38" t="s">
        <v>195</v>
      </c>
      <c r="Z1743" s="68" t="s">
        <v>196</v>
      </c>
      <c r="AA1743" s="38" t="s">
        <v>197</v>
      </c>
      <c r="AB1743" s="38">
        <v>26.73</v>
      </c>
      <c r="AC1743" s="38">
        <v>115.07</v>
      </c>
      <c r="AD1743" s="38" t="s">
        <v>198</v>
      </c>
      <c r="AE1743" s="38"/>
      <c r="AF1743" s="38" t="s">
        <v>199</v>
      </c>
      <c r="AG1743" s="38"/>
      <c r="AH1743" s="38">
        <v>23.0</v>
      </c>
      <c r="AI1743" s="50">
        <v>26.73</v>
      </c>
      <c r="AJ1743" s="50">
        <v>115.07</v>
      </c>
      <c r="AK1743" s="41" t="s">
        <v>200</v>
      </c>
      <c r="AL1743" s="40" t="s">
        <v>200</v>
      </c>
      <c r="AM1743" s="49">
        <v>81.0</v>
      </c>
      <c r="AN1743" s="51">
        <v>81.0</v>
      </c>
      <c r="AO1743" s="42" t="s">
        <v>201</v>
      </c>
      <c r="AP1743" s="43" t="s">
        <v>201</v>
      </c>
      <c r="AQ1743" s="44" t="str">
        <f t="shared" ref="AQ1743:AQ1995" si="217">AA1743</f>
        <v>ENF</v>
      </c>
      <c r="AR1743" s="44">
        <f t="shared" si="199"/>
        <v>81</v>
      </c>
      <c r="AS1743" s="44" t="str">
        <f t="shared" si="206"/>
        <v>C</v>
      </c>
      <c r="AT1743" s="44" t="str">
        <f t="shared" si="202"/>
        <v>Cf</v>
      </c>
      <c r="AU1743" s="44" t="str">
        <f t="shared" si="203"/>
        <v>Cfa</v>
      </c>
      <c r="AV1743" s="38">
        <v>3.0</v>
      </c>
      <c r="AW1743" s="38"/>
      <c r="AX1743" s="38"/>
      <c r="AY1743" s="38" t="s">
        <v>2841</v>
      </c>
      <c r="AZ1743" s="29"/>
      <c r="BA1743" s="29"/>
      <c r="BB1743" s="29">
        <v>1.0</v>
      </c>
      <c r="BC1743" s="29"/>
      <c r="BD1743" s="29" t="s">
        <v>88</v>
      </c>
      <c r="BE1743" s="29"/>
      <c r="BF1743" s="29" t="s">
        <v>936</v>
      </c>
      <c r="BG1743" s="29" t="s">
        <v>572</v>
      </c>
      <c r="BH1743" s="29" t="s">
        <v>88</v>
      </c>
      <c r="BI1743" s="29" t="s">
        <v>1438</v>
      </c>
      <c r="BJ1743" s="29"/>
      <c r="BK1743" s="29" t="s">
        <v>180</v>
      </c>
      <c r="BL1743" s="29"/>
      <c r="BM1743" s="45"/>
      <c r="BN1743" s="45"/>
      <c r="BO1743" s="46"/>
      <c r="BP1743" s="2"/>
      <c r="BQ1743" s="3"/>
    </row>
    <row r="1744" ht="15.75" customHeight="1">
      <c r="A1744" s="34">
        <v>1823.0</v>
      </c>
      <c r="B1744" s="34">
        <v>104331.0</v>
      </c>
      <c r="C1744" s="34" t="s">
        <v>76</v>
      </c>
      <c r="D1744" s="34" t="s">
        <v>2836</v>
      </c>
      <c r="E1744" s="34" t="s">
        <v>2837</v>
      </c>
      <c r="F1744" s="34">
        <v>2021.0</v>
      </c>
      <c r="G1744" s="34" t="s">
        <v>2838</v>
      </c>
      <c r="H1744" s="34" t="s">
        <v>1954</v>
      </c>
      <c r="I1744" s="34" t="s">
        <v>2839</v>
      </c>
      <c r="J1744" s="35"/>
      <c r="K1744" s="36">
        <v>1.03</v>
      </c>
      <c r="L1744" s="36">
        <v>1.07</v>
      </c>
      <c r="M1744" s="36"/>
      <c r="N1744" s="36"/>
      <c r="O1744" s="36"/>
      <c r="P1744" s="117">
        <f t="shared" si="216"/>
        <v>96.26168224</v>
      </c>
      <c r="Q1744" s="36" t="s">
        <v>96</v>
      </c>
      <c r="R1744" s="36" t="s">
        <v>96</v>
      </c>
      <c r="S1744" s="36"/>
      <c r="T1744" s="36" t="s">
        <v>295</v>
      </c>
      <c r="U1744" s="36" t="s">
        <v>342</v>
      </c>
      <c r="V1744" s="36">
        <v>29.0</v>
      </c>
      <c r="W1744" s="36"/>
      <c r="X1744" s="38">
        <v>1.0</v>
      </c>
      <c r="Y1744" s="38" t="s">
        <v>1278</v>
      </c>
      <c r="Z1744" s="38" t="s">
        <v>1279</v>
      </c>
      <c r="AA1744" s="38" t="s">
        <v>288</v>
      </c>
      <c r="AB1744" s="38">
        <v>47.21</v>
      </c>
      <c r="AC1744" s="38">
        <v>108.73</v>
      </c>
      <c r="AD1744" s="38" t="s">
        <v>1250</v>
      </c>
      <c r="AE1744" s="38"/>
      <c r="AF1744" s="38"/>
      <c r="AG1744" s="38"/>
      <c r="AH1744" s="38">
        <v>3.5</v>
      </c>
      <c r="AI1744" s="50">
        <v>47.21</v>
      </c>
      <c r="AJ1744" s="50">
        <v>108.73</v>
      </c>
      <c r="AK1744" s="41" t="s">
        <v>288</v>
      </c>
      <c r="AL1744" s="40" t="s">
        <v>288</v>
      </c>
      <c r="AM1744" s="49">
        <v>1243.0</v>
      </c>
      <c r="AN1744" s="51">
        <v>1243.0</v>
      </c>
      <c r="AO1744" s="42" t="s">
        <v>293</v>
      </c>
      <c r="AP1744" s="43" t="s">
        <v>293</v>
      </c>
      <c r="AQ1744" s="44" t="str">
        <f t="shared" si="217"/>
        <v>GRA</v>
      </c>
      <c r="AR1744" s="44">
        <f t="shared" si="199"/>
        <v>1243</v>
      </c>
      <c r="AS1744" s="44" t="str">
        <f t="shared" si="206"/>
        <v>B</v>
      </c>
      <c r="AT1744" s="44" t="str">
        <f t="shared" si="202"/>
        <v>BS</v>
      </c>
      <c r="AU1744" s="44" t="str">
        <f t="shared" si="203"/>
        <v>BSk</v>
      </c>
      <c r="AV1744" s="38">
        <v>3.0</v>
      </c>
      <c r="AW1744" s="38"/>
      <c r="AX1744" s="38"/>
      <c r="AY1744" s="38" t="s">
        <v>2841</v>
      </c>
      <c r="AZ1744" s="29"/>
      <c r="BA1744" s="29"/>
      <c r="BB1744" s="29">
        <v>1.0</v>
      </c>
      <c r="BC1744" s="29"/>
      <c r="BD1744" s="29" t="s">
        <v>88</v>
      </c>
      <c r="BE1744" s="29"/>
      <c r="BF1744" s="29" t="s">
        <v>936</v>
      </c>
      <c r="BG1744" s="29" t="s">
        <v>572</v>
      </c>
      <c r="BH1744" s="29" t="s">
        <v>88</v>
      </c>
      <c r="BI1744" s="29" t="s">
        <v>1438</v>
      </c>
      <c r="BJ1744" s="29"/>
      <c r="BK1744" s="29" t="s">
        <v>180</v>
      </c>
      <c r="BL1744" s="29"/>
      <c r="BM1744" s="45"/>
      <c r="BN1744" s="45"/>
      <c r="BO1744" s="46"/>
      <c r="BP1744" s="2"/>
      <c r="BQ1744" s="3"/>
    </row>
    <row r="1745" ht="15.75" customHeight="1">
      <c r="A1745" s="34">
        <v>1824.0</v>
      </c>
      <c r="B1745" s="34">
        <v>104331.0</v>
      </c>
      <c r="C1745" s="34" t="s">
        <v>76</v>
      </c>
      <c r="D1745" s="34" t="s">
        <v>2836</v>
      </c>
      <c r="E1745" s="34" t="s">
        <v>2837</v>
      </c>
      <c r="F1745" s="34">
        <v>2021.0</v>
      </c>
      <c r="G1745" s="34" t="s">
        <v>2838</v>
      </c>
      <c r="H1745" s="34" t="s">
        <v>1954</v>
      </c>
      <c r="I1745" s="34" t="s">
        <v>2839</v>
      </c>
      <c r="J1745" s="35"/>
      <c r="K1745" s="36">
        <v>1.32</v>
      </c>
      <c r="L1745" s="36">
        <v>3.52</v>
      </c>
      <c r="M1745" s="36"/>
      <c r="N1745" s="36"/>
      <c r="O1745" s="36"/>
      <c r="P1745" s="117">
        <f t="shared" si="216"/>
        <v>37.5</v>
      </c>
      <c r="Q1745" s="36" t="s">
        <v>96</v>
      </c>
      <c r="R1745" s="36" t="s">
        <v>96</v>
      </c>
      <c r="S1745" s="36"/>
      <c r="T1745" s="36" t="s">
        <v>284</v>
      </c>
      <c r="U1745" s="36" t="s">
        <v>968</v>
      </c>
      <c r="V1745" s="36">
        <v>12.0</v>
      </c>
      <c r="W1745" s="36"/>
      <c r="X1745" s="38">
        <v>1.0</v>
      </c>
      <c r="Y1745" s="38" t="s">
        <v>593</v>
      </c>
      <c r="Z1745" s="38" t="s">
        <v>594</v>
      </c>
      <c r="AA1745" s="38" t="s">
        <v>288</v>
      </c>
      <c r="AB1745" s="38">
        <v>37.6</v>
      </c>
      <c r="AC1745" s="38">
        <v>101.33</v>
      </c>
      <c r="AD1745" s="38" t="s">
        <v>198</v>
      </c>
      <c r="AE1745" s="38"/>
      <c r="AF1745" s="38" t="s">
        <v>1341</v>
      </c>
      <c r="AG1745" s="38"/>
      <c r="AH1745" s="38">
        <v>2.2</v>
      </c>
      <c r="AI1745" s="50">
        <v>37.61</v>
      </c>
      <c r="AJ1745" s="50">
        <v>101.33</v>
      </c>
      <c r="AK1745" s="41" t="s">
        <v>288</v>
      </c>
      <c r="AL1745" s="40" t="s">
        <v>288</v>
      </c>
      <c r="AM1745" s="49">
        <v>3201.0</v>
      </c>
      <c r="AN1745" s="51">
        <v>3201.0</v>
      </c>
      <c r="AO1745" s="42" t="s">
        <v>597</v>
      </c>
      <c r="AP1745" s="43" t="s">
        <v>597</v>
      </c>
      <c r="AQ1745" s="44" t="str">
        <f t="shared" si="217"/>
        <v>GRA</v>
      </c>
      <c r="AR1745" s="44">
        <f t="shared" si="199"/>
        <v>3201</v>
      </c>
      <c r="AS1745" s="44" t="str">
        <f t="shared" si="206"/>
        <v>D</v>
      </c>
      <c r="AT1745" s="44" t="str">
        <f t="shared" si="202"/>
        <v>Dw</v>
      </c>
      <c r="AU1745" s="44" t="str">
        <f t="shared" si="203"/>
        <v>Dwc</v>
      </c>
      <c r="AV1745" s="38">
        <v>3.0</v>
      </c>
      <c r="AW1745" s="38"/>
      <c r="AX1745" s="38"/>
      <c r="AY1745" s="38" t="s">
        <v>2841</v>
      </c>
      <c r="AZ1745" s="29"/>
      <c r="BA1745" s="29"/>
      <c r="BB1745" s="29">
        <v>1.0</v>
      </c>
      <c r="BC1745" s="29"/>
      <c r="BD1745" s="29" t="s">
        <v>88</v>
      </c>
      <c r="BE1745" s="29"/>
      <c r="BF1745" s="29" t="s">
        <v>936</v>
      </c>
      <c r="BG1745" s="29" t="s">
        <v>572</v>
      </c>
      <c r="BH1745" s="29" t="s">
        <v>88</v>
      </c>
      <c r="BI1745" s="29" t="s">
        <v>1438</v>
      </c>
      <c r="BJ1745" s="29"/>
      <c r="BK1745" s="29" t="s">
        <v>180</v>
      </c>
      <c r="BL1745" s="29"/>
      <c r="BM1745" s="45"/>
      <c r="BN1745" s="45"/>
      <c r="BO1745" s="46"/>
      <c r="BP1745" s="2"/>
      <c r="BQ1745" s="3"/>
    </row>
    <row r="1746" ht="15.75" customHeight="1">
      <c r="A1746" s="34">
        <v>1825.0</v>
      </c>
      <c r="B1746" s="34">
        <v>104331.0</v>
      </c>
      <c r="C1746" s="34" t="s">
        <v>76</v>
      </c>
      <c r="D1746" s="34" t="s">
        <v>2836</v>
      </c>
      <c r="E1746" s="34" t="s">
        <v>2837</v>
      </c>
      <c r="F1746" s="34">
        <v>2021.0</v>
      </c>
      <c r="G1746" s="34" t="s">
        <v>2838</v>
      </c>
      <c r="H1746" s="34" t="s">
        <v>1954</v>
      </c>
      <c r="I1746" s="34" t="s">
        <v>2839</v>
      </c>
      <c r="J1746" s="35"/>
      <c r="K1746" s="36">
        <v>1.19</v>
      </c>
      <c r="L1746" s="36">
        <v>2.88</v>
      </c>
      <c r="M1746" s="36"/>
      <c r="N1746" s="36"/>
      <c r="O1746" s="36"/>
      <c r="P1746" s="117">
        <f t="shared" si="216"/>
        <v>41.31944444</v>
      </c>
      <c r="Q1746" s="36" t="s">
        <v>96</v>
      </c>
      <c r="R1746" s="36" t="s">
        <v>96</v>
      </c>
      <c r="S1746" s="36"/>
      <c r="T1746" s="36" t="s">
        <v>242</v>
      </c>
      <c r="U1746" s="36" t="s">
        <v>244</v>
      </c>
      <c r="V1746" s="36">
        <v>9.0</v>
      </c>
      <c r="W1746" s="36"/>
      <c r="X1746" s="38">
        <v>1.0</v>
      </c>
      <c r="Y1746" s="38" t="s">
        <v>2843</v>
      </c>
      <c r="Z1746" s="68" t="s">
        <v>1434</v>
      </c>
      <c r="AA1746" s="38" t="s">
        <v>86</v>
      </c>
      <c r="AB1746" s="38">
        <v>37.16</v>
      </c>
      <c r="AC1746" s="38">
        <v>127.65</v>
      </c>
      <c r="AD1746" s="38" t="s">
        <v>1130</v>
      </c>
      <c r="AE1746" s="53"/>
      <c r="AF1746" s="38"/>
      <c r="AG1746" s="38"/>
      <c r="AH1746" s="116">
        <v>45392.0</v>
      </c>
      <c r="AI1746" s="50">
        <v>37.16</v>
      </c>
      <c r="AJ1746" s="50">
        <v>127.65</v>
      </c>
      <c r="AK1746" s="41" t="s">
        <v>86</v>
      </c>
      <c r="AL1746" s="40" t="s">
        <v>86</v>
      </c>
      <c r="AM1746" s="49">
        <v>65.0</v>
      </c>
      <c r="AN1746" s="51">
        <v>65.0</v>
      </c>
      <c r="AO1746" s="42" t="s">
        <v>218</v>
      </c>
      <c r="AP1746" s="43" t="s">
        <v>218</v>
      </c>
      <c r="AQ1746" s="44" t="str">
        <f t="shared" si="217"/>
        <v>CRO</v>
      </c>
      <c r="AR1746" s="44">
        <f t="shared" si="199"/>
        <v>65</v>
      </c>
      <c r="AS1746" s="44" t="str">
        <f t="shared" si="206"/>
        <v>D</v>
      </c>
      <c r="AT1746" s="44" t="str">
        <f t="shared" si="202"/>
        <v>Dw</v>
      </c>
      <c r="AU1746" s="44" t="str">
        <f t="shared" si="203"/>
        <v>Dwa</v>
      </c>
      <c r="AV1746" s="38">
        <v>3.0</v>
      </c>
      <c r="AW1746" s="38"/>
      <c r="AX1746" s="38"/>
      <c r="AY1746" s="38" t="s">
        <v>2841</v>
      </c>
      <c r="AZ1746" s="29"/>
      <c r="BA1746" s="29"/>
      <c r="BB1746" s="29">
        <v>1.0</v>
      </c>
      <c r="BC1746" s="29"/>
      <c r="BD1746" s="29" t="s">
        <v>88</v>
      </c>
      <c r="BE1746" s="29"/>
      <c r="BF1746" s="29" t="s">
        <v>936</v>
      </c>
      <c r="BG1746" s="29" t="s">
        <v>572</v>
      </c>
      <c r="BH1746" s="29" t="s">
        <v>88</v>
      </c>
      <c r="BI1746" s="29" t="s">
        <v>1438</v>
      </c>
      <c r="BJ1746" s="29"/>
      <c r="BK1746" s="29" t="s">
        <v>180</v>
      </c>
      <c r="BL1746" s="29"/>
      <c r="BM1746" s="45"/>
      <c r="BN1746" s="45"/>
      <c r="BO1746" s="46"/>
      <c r="BP1746" s="2"/>
      <c r="BQ1746" s="3"/>
    </row>
    <row r="1747" ht="15.75" customHeight="1">
      <c r="A1747" s="34">
        <v>1826.0</v>
      </c>
      <c r="B1747" s="34">
        <v>104331.0</v>
      </c>
      <c r="C1747" s="34" t="s">
        <v>76</v>
      </c>
      <c r="D1747" s="34" t="s">
        <v>2836</v>
      </c>
      <c r="E1747" s="34" t="s">
        <v>2837</v>
      </c>
      <c r="F1747" s="34">
        <v>2021.0</v>
      </c>
      <c r="G1747" s="34" t="s">
        <v>2838</v>
      </c>
      <c r="H1747" s="34" t="s">
        <v>1954</v>
      </c>
      <c r="I1747" s="34" t="s">
        <v>2839</v>
      </c>
      <c r="J1747" s="35"/>
      <c r="K1747" s="36">
        <v>0.02</v>
      </c>
      <c r="L1747" s="36">
        <v>3.03</v>
      </c>
      <c r="M1747" s="36"/>
      <c r="N1747" s="36"/>
      <c r="O1747" s="36"/>
      <c r="P1747" s="117">
        <f t="shared" si="216"/>
        <v>0.6600660066</v>
      </c>
      <c r="Q1747" s="36" t="s">
        <v>96</v>
      </c>
      <c r="R1747" s="36" t="s">
        <v>96</v>
      </c>
      <c r="S1747" s="36"/>
      <c r="T1747" s="36" t="s">
        <v>284</v>
      </c>
      <c r="U1747" s="36" t="s">
        <v>968</v>
      </c>
      <c r="V1747" s="36">
        <v>23.0</v>
      </c>
      <c r="W1747" s="36"/>
      <c r="X1747" s="38">
        <v>1.0</v>
      </c>
      <c r="Y1747" s="38" t="s">
        <v>1193</v>
      </c>
      <c r="Z1747" s="38" t="s">
        <v>1194</v>
      </c>
      <c r="AA1747" s="38" t="s">
        <v>86</v>
      </c>
      <c r="AB1747" s="38">
        <v>36.05</v>
      </c>
      <c r="AC1747" s="38">
        <v>140.03</v>
      </c>
      <c r="AD1747" s="38" t="s">
        <v>736</v>
      </c>
      <c r="AE1747" s="38"/>
      <c r="AF1747" s="38" t="s">
        <v>1197</v>
      </c>
      <c r="AG1747" s="38"/>
      <c r="AH1747" s="38" t="s">
        <v>2844</v>
      </c>
      <c r="AI1747" s="50">
        <v>36.05</v>
      </c>
      <c r="AJ1747" s="50">
        <v>140.02</v>
      </c>
      <c r="AK1747" s="41" t="s">
        <v>86</v>
      </c>
      <c r="AL1747" s="40" t="s">
        <v>86</v>
      </c>
      <c r="AM1747" s="49">
        <v>8.0</v>
      </c>
      <c r="AN1747" s="51">
        <v>8.0</v>
      </c>
      <c r="AO1747" s="42" t="s">
        <v>201</v>
      </c>
      <c r="AP1747" s="43" t="s">
        <v>201</v>
      </c>
      <c r="AQ1747" s="44" t="str">
        <f t="shared" si="217"/>
        <v>CRO</v>
      </c>
      <c r="AR1747" s="44">
        <f t="shared" si="199"/>
        <v>8</v>
      </c>
      <c r="AS1747" s="44" t="str">
        <f t="shared" si="206"/>
        <v>C</v>
      </c>
      <c r="AT1747" s="44" t="str">
        <f t="shared" si="202"/>
        <v>Cf</v>
      </c>
      <c r="AU1747" s="44" t="str">
        <f t="shared" si="203"/>
        <v>Cfa</v>
      </c>
      <c r="AV1747" s="38">
        <v>3.0</v>
      </c>
      <c r="AW1747" s="38"/>
      <c r="AX1747" s="38"/>
      <c r="AY1747" s="38" t="s">
        <v>2841</v>
      </c>
      <c r="AZ1747" s="29"/>
      <c r="BA1747" s="29"/>
      <c r="BB1747" s="29">
        <v>1.0</v>
      </c>
      <c r="BC1747" s="29"/>
      <c r="BD1747" s="29" t="s">
        <v>88</v>
      </c>
      <c r="BE1747" s="29"/>
      <c r="BF1747" s="29" t="s">
        <v>936</v>
      </c>
      <c r="BG1747" s="29" t="s">
        <v>572</v>
      </c>
      <c r="BH1747" s="29" t="s">
        <v>88</v>
      </c>
      <c r="BI1747" s="29" t="s">
        <v>1438</v>
      </c>
      <c r="BJ1747" s="29"/>
      <c r="BK1747" s="29" t="s">
        <v>180</v>
      </c>
      <c r="BL1747" s="29"/>
      <c r="BM1747" s="45"/>
      <c r="BN1747" s="45"/>
      <c r="BO1747" s="46"/>
      <c r="BP1747" s="2"/>
      <c r="BQ1747" s="3"/>
    </row>
    <row r="1748" ht="15.75" customHeight="1">
      <c r="A1748" s="34">
        <v>1844.0</v>
      </c>
      <c r="B1748" s="34">
        <v>103075.0</v>
      </c>
      <c r="C1748" s="34" t="s">
        <v>76</v>
      </c>
      <c r="D1748" s="34" t="s">
        <v>2845</v>
      </c>
      <c r="E1748" s="34" t="s">
        <v>2846</v>
      </c>
      <c r="F1748" s="34">
        <v>2018.0</v>
      </c>
      <c r="G1748" s="34" t="s">
        <v>2847</v>
      </c>
      <c r="H1748" s="34" t="s">
        <v>2848</v>
      </c>
      <c r="I1748" s="34" t="s">
        <v>2849</v>
      </c>
      <c r="J1748" s="35"/>
      <c r="K1748" s="36"/>
      <c r="L1748" s="36"/>
      <c r="M1748" s="36"/>
      <c r="N1748" s="36">
        <v>-11.0</v>
      </c>
      <c r="O1748" s="36">
        <v>395.0</v>
      </c>
      <c r="P1748" s="52">
        <f t="shared" ref="P1748:P1763" si="218">N1748/O1748*100</f>
        <v>-2.784810127</v>
      </c>
      <c r="Q1748" s="36"/>
      <c r="R1748" s="36" t="s">
        <v>82</v>
      </c>
      <c r="S1748" s="36">
        <v>3000.0</v>
      </c>
      <c r="T1748" s="36" t="s">
        <v>536</v>
      </c>
      <c r="U1748" s="36" t="s">
        <v>234</v>
      </c>
      <c r="V1748" s="36">
        <v>20.0</v>
      </c>
      <c r="W1748" s="36" t="s">
        <v>88</v>
      </c>
      <c r="X1748" s="38">
        <v>1.0</v>
      </c>
      <c r="Y1748" s="38" t="s">
        <v>2850</v>
      </c>
      <c r="Z1748" s="38" t="s">
        <v>1031</v>
      </c>
      <c r="AA1748" s="38" t="s">
        <v>86</v>
      </c>
      <c r="AB1748" s="38" t="s">
        <v>2851</v>
      </c>
      <c r="AC1748" s="38" t="s">
        <v>2852</v>
      </c>
      <c r="AD1748" s="38" t="s">
        <v>334</v>
      </c>
      <c r="AE1748" s="38">
        <v>432.0</v>
      </c>
      <c r="AF1748" s="38" t="s">
        <v>2853</v>
      </c>
      <c r="AG1748" s="38" t="s">
        <v>201</v>
      </c>
      <c r="AH1748" s="38"/>
      <c r="AI1748" s="50">
        <v>-28.6036</v>
      </c>
      <c r="AJ1748" s="50">
        <v>-53.6736</v>
      </c>
      <c r="AK1748" s="41" t="s">
        <v>86</v>
      </c>
      <c r="AL1748" s="40" t="s">
        <v>86</v>
      </c>
      <c r="AM1748" s="49">
        <v>426.0</v>
      </c>
      <c r="AN1748" s="51">
        <v>426.0</v>
      </c>
      <c r="AO1748" s="42" t="s">
        <v>201</v>
      </c>
      <c r="AP1748" s="43" t="s">
        <v>201</v>
      </c>
      <c r="AQ1748" s="44" t="str">
        <f t="shared" si="217"/>
        <v>CRO</v>
      </c>
      <c r="AR1748" s="44">
        <f t="shared" si="199"/>
        <v>426</v>
      </c>
      <c r="AS1748" s="44" t="str">
        <f t="shared" si="206"/>
        <v>C</v>
      </c>
      <c r="AT1748" s="44" t="str">
        <f t="shared" si="202"/>
        <v>Cf</v>
      </c>
      <c r="AU1748" s="44" t="str">
        <f t="shared" si="203"/>
        <v>Cfa</v>
      </c>
      <c r="AV1748" s="38">
        <v>3.0</v>
      </c>
      <c r="AW1748" s="38"/>
      <c r="AX1748" s="38"/>
      <c r="AY1748" s="38" t="s">
        <v>92</v>
      </c>
      <c r="AZ1748" s="29">
        <v>1000.0</v>
      </c>
      <c r="BA1748" s="29"/>
      <c r="BB1748" s="29">
        <v>1.0</v>
      </c>
      <c r="BC1748" s="29" t="s">
        <v>2854</v>
      </c>
      <c r="BD1748" s="29" t="s">
        <v>88</v>
      </c>
      <c r="BE1748" s="29"/>
      <c r="BF1748" s="29" t="s">
        <v>2855</v>
      </c>
      <c r="BG1748" s="29" t="s">
        <v>572</v>
      </c>
      <c r="BH1748" s="29" t="s">
        <v>88</v>
      </c>
      <c r="BI1748" s="29" t="s">
        <v>2856</v>
      </c>
      <c r="BJ1748" s="29"/>
      <c r="BK1748" s="29" t="s">
        <v>148</v>
      </c>
      <c r="BL1748" s="29" t="s">
        <v>148</v>
      </c>
      <c r="BM1748" s="45">
        <v>1.0</v>
      </c>
      <c r="BN1748" s="45"/>
      <c r="BO1748" s="46" t="s">
        <v>2857</v>
      </c>
      <c r="BP1748" s="2"/>
      <c r="BQ1748" s="3"/>
    </row>
    <row r="1749" ht="15.75" customHeight="1">
      <c r="A1749" s="34">
        <v>1845.0</v>
      </c>
      <c r="B1749" s="34">
        <v>103075.0</v>
      </c>
      <c r="C1749" s="34" t="s">
        <v>76</v>
      </c>
      <c r="D1749" s="34" t="s">
        <v>2845</v>
      </c>
      <c r="E1749" s="34" t="s">
        <v>2846</v>
      </c>
      <c r="F1749" s="34">
        <v>2018.0</v>
      </c>
      <c r="G1749" s="34" t="s">
        <v>2847</v>
      </c>
      <c r="H1749" s="34" t="s">
        <v>2848</v>
      </c>
      <c r="I1749" s="34" t="s">
        <v>2849</v>
      </c>
      <c r="J1749" s="35"/>
      <c r="K1749" s="36"/>
      <c r="L1749" s="36"/>
      <c r="M1749" s="36"/>
      <c r="N1749" s="36">
        <v>-40.0</v>
      </c>
      <c r="O1749" s="36">
        <v>214.0</v>
      </c>
      <c r="P1749" s="52">
        <f t="shared" si="218"/>
        <v>-18.69158879</v>
      </c>
      <c r="Q1749" s="36"/>
      <c r="R1749" s="36" t="s">
        <v>82</v>
      </c>
      <c r="S1749" s="36">
        <v>3000.0</v>
      </c>
      <c r="T1749" s="36" t="s">
        <v>536</v>
      </c>
      <c r="U1749" s="36" t="s">
        <v>234</v>
      </c>
      <c r="V1749" s="36">
        <v>32.0</v>
      </c>
      <c r="W1749" s="36" t="s">
        <v>88</v>
      </c>
      <c r="X1749" s="38">
        <v>1.0</v>
      </c>
      <c r="Y1749" s="38" t="s">
        <v>2850</v>
      </c>
      <c r="Z1749" s="38" t="s">
        <v>1031</v>
      </c>
      <c r="AA1749" s="38" t="s">
        <v>86</v>
      </c>
      <c r="AB1749" s="38" t="s">
        <v>2858</v>
      </c>
      <c r="AC1749" s="38" t="s">
        <v>2859</v>
      </c>
      <c r="AD1749" s="38" t="s">
        <v>334</v>
      </c>
      <c r="AE1749" s="38">
        <v>432.0</v>
      </c>
      <c r="AF1749" s="38" t="s">
        <v>2860</v>
      </c>
      <c r="AG1749" s="38" t="s">
        <v>201</v>
      </c>
      <c r="AH1749" s="38"/>
      <c r="AI1749" s="50">
        <v>-28.6037</v>
      </c>
      <c r="AJ1749" s="50">
        <v>-53.6737</v>
      </c>
      <c r="AK1749" s="41" t="s">
        <v>86</v>
      </c>
      <c r="AL1749" s="40" t="s">
        <v>86</v>
      </c>
      <c r="AM1749" s="49">
        <v>426.0</v>
      </c>
      <c r="AN1749" s="51">
        <v>426.0</v>
      </c>
      <c r="AO1749" s="42" t="s">
        <v>201</v>
      </c>
      <c r="AP1749" s="43" t="s">
        <v>201</v>
      </c>
      <c r="AQ1749" s="44" t="str">
        <f t="shared" si="217"/>
        <v>CRO</v>
      </c>
      <c r="AR1749" s="44">
        <f t="shared" si="199"/>
        <v>426</v>
      </c>
      <c r="AS1749" s="44" t="str">
        <f t="shared" si="206"/>
        <v>C</v>
      </c>
      <c r="AT1749" s="44" t="str">
        <f t="shared" si="202"/>
        <v>Cf</v>
      </c>
      <c r="AU1749" s="44" t="str">
        <f t="shared" si="203"/>
        <v>Cfa</v>
      </c>
      <c r="AV1749" s="38">
        <v>3.0</v>
      </c>
      <c r="AW1749" s="38"/>
      <c r="AX1749" s="38"/>
      <c r="AY1749" s="38" t="s">
        <v>92</v>
      </c>
      <c r="AZ1749" s="29">
        <v>1000.0</v>
      </c>
      <c r="BA1749" s="29"/>
      <c r="BB1749" s="29">
        <v>1.0</v>
      </c>
      <c r="BC1749" s="29" t="s">
        <v>2854</v>
      </c>
      <c r="BD1749" s="29" t="s">
        <v>88</v>
      </c>
      <c r="BE1749" s="29"/>
      <c r="BF1749" s="29" t="s">
        <v>2855</v>
      </c>
      <c r="BG1749" s="29" t="s">
        <v>572</v>
      </c>
      <c r="BH1749" s="29" t="s">
        <v>88</v>
      </c>
      <c r="BI1749" s="29" t="s">
        <v>2856</v>
      </c>
      <c r="BJ1749" s="29"/>
      <c r="BK1749" s="29" t="s">
        <v>148</v>
      </c>
      <c r="BL1749" s="29" t="s">
        <v>148</v>
      </c>
      <c r="BM1749" s="45"/>
      <c r="BN1749" s="45"/>
      <c r="BO1749" s="46"/>
      <c r="BP1749" s="2"/>
      <c r="BQ1749" s="3"/>
    </row>
    <row r="1750" ht="15.75" customHeight="1">
      <c r="A1750" s="34">
        <v>1846.0</v>
      </c>
      <c r="B1750" s="34">
        <v>103075.0</v>
      </c>
      <c r="C1750" s="34" t="s">
        <v>76</v>
      </c>
      <c r="D1750" s="34" t="s">
        <v>2845</v>
      </c>
      <c r="E1750" s="34" t="s">
        <v>2846</v>
      </c>
      <c r="F1750" s="34">
        <v>2018.0</v>
      </c>
      <c r="G1750" s="34" t="s">
        <v>2847</v>
      </c>
      <c r="H1750" s="34" t="s">
        <v>2848</v>
      </c>
      <c r="I1750" s="34" t="s">
        <v>2849</v>
      </c>
      <c r="J1750" s="35"/>
      <c r="K1750" s="36"/>
      <c r="L1750" s="36"/>
      <c r="M1750" s="36"/>
      <c r="N1750" s="36">
        <v>14.0</v>
      </c>
      <c r="O1750" s="36">
        <v>188.0</v>
      </c>
      <c r="P1750" s="52">
        <f t="shared" si="218"/>
        <v>7.446808511</v>
      </c>
      <c r="Q1750" s="36"/>
      <c r="R1750" s="36" t="s">
        <v>82</v>
      </c>
      <c r="S1750" s="36">
        <v>3000.0</v>
      </c>
      <c r="T1750" s="36" t="s">
        <v>536</v>
      </c>
      <c r="U1750" s="36" t="s">
        <v>234</v>
      </c>
      <c r="V1750" s="36">
        <v>32.0</v>
      </c>
      <c r="W1750" s="36" t="s">
        <v>2861</v>
      </c>
      <c r="X1750" s="38">
        <v>1.0</v>
      </c>
      <c r="Y1750" s="38" t="s">
        <v>2850</v>
      </c>
      <c r="Z1750" s="38" t="s">
        <v>1031</v>
      </c>
      <c r="AA1750" s="38" t="s">
        <v>86</v>
      </c>
      <c r="AB1750" s="38" t="s">
        <v>2862</v>
      </c>
      <c r="AC1750" s="38" t="s">
        <v>2863</v>
      </c>
      <c r="AD1750" s="38" t="s">
        <v>334</v>
      </c>
      <c r="AE1750" s="38">
        <v>432.0</v>
      </c>
      <c r="AF1750" s="38" t="s">
        <v>2864</v>
      </c>
      <c r="AG1750" s="38" t="s">
        <v>201</v>
      </c>
      <c r="AH1750" s="38"/>
      <c r="AI1750" s="50">
        <v>-28.6038</v>
      </c>
      <c r="AJ1750" s="50">
        <v>-53.6738</v>
      </c>
      <c r="AK1750" s="41" t="s">
        <v>86</v>
      </c>
      <c r="AL1750" s="40" t="s">
        <v>86</v>
      </c>
      <c r="AM1750" s="49">
        <v>426.0</v>
      </c>
      <c r="AN1750" s="51">
        <v>426.0</v>
      </c>
      <c r="AO1750" s="42" t="s">
        <v>201</v>
      </c>
      <c r="AP1750" s="43" t="s">
        <v>201</v>
      </c>
      <c r="AQ1750" s="44" t="str">
        <f t="shared" si="217"/>
        <v>CRO</v>
      </c>
      <c r="AR1750" s="44">
        <f t="shared" si="199"/>
        <v>426</v>
      </c>
      <c r="AS1750" s="44" t="str">
        <f t="shared" si="206"/>
        <v>C</v>
      </c>
      <c r="AT1750" s="44" t="str">
        <f t="shared" si="202"/>
        <v>Cf</v>
      </c>
      <c r="AU1750" s="44" t="str">
        <f t="shared" si="203"/>
        <v>Cfa</v>
      </c>
      <c r="AV1750" s="38">
        <v>3.0</v>
      </c>
      <c r="AW1750" s="38"/>
      <c r="AX1750" s="38"/>
      <c r="AY1750" s="38" t="s">
        <v>92</v>
      </c>
      <c r="AZ1750" s="29">
        <v>1000.0</v>
      </c>
      <c r="BA1750" s="29"/>
      <c r="BB1750" s="29">
        <v>1.0</v>
      </c>
      <c r="BC1750" s="29" t="s">
        <v>2854</v>
      </c>
      <c r="BD1750" s="29" t="s">
        <v>88</v>
      </c>
      <c r="BE1750" s="29"/>
      <c r="BF1750" s="29" t="s">
        <v>2855</v>
      </c>
      <c r="BG1750" s="29" t="s">
        <v>572</v>
      </c>
      <c r="BH1750" s="29" t="s">
        <v>88</v>
      </c>
      <c r="BI1750" s="29" t="s">
        <v>2856</v>
      </c>
      <c r="BJ1750" s="29"/>
      <c r="BK1750" s="29" t="s">
        <v>148</v>
      </c>
      <c r="BL1750" s="29" t="s">
        <v>148</v>
      </c>
      <c r="BM1750" s="45"/>
      <c r="BN1750" s="45"/>
      <c r="BO1750" s="46"/>
      <c r="BP1750" s="2"/>
      <c r="BQ1750" s="3"/>
    </row>
    <row r="1751" ht="15.75" customHeight="1">
      <c r="A1751" s="34">
        <v>1847.0</v>
      </c>
      <c r="B1751" s="34">
        <v>103075.0</v>
      </c>
      <c r="C1751" s="34" t="s">
        <v>76</v>
      </c>
      <c r="D1751" s="34" t="s">
        <v>2845</v>
      </c>
      <c r="E1751" s="34" t="s">
        <v>2846</v>
      </c>
      <c r="F1751" s="34">
        <v>2018.0</v>
      </c>
      <c r="G1751" s="34" t="s">
        <v>2847</v>
      </c>
      <c r="H1751" s="34" t="s">
        <v>2848</v>
      </c>
      <c r="I1751" s="34" t="s">
        <v>2849</v>
      </c>
      <c r="J1751" s="35"/>
      <c r="K1751" s="36"/>
      <c r="L1751" s="36"/>
      <c r="M1751" s="36"/>
      <c r="N1751" s="36">
        <v>37.0</v>
      </c>
      <c r="O1751" s="36">
        <v>395.0</v>
      </c>
      <c r="P1751" s="52">
        <f t="shared" si="218"/>
        <v>9.367088608</v>
      </c>
      <c r="Q1751" s="36"/>
      <c r="R1751" s="36" t="s">
        <v>82</v>
      </c>
      <c r="S1751" s="36">
        <v>3000.0</v>
      </c>
      <c r="T1751" s="36" t="s">
        <v>536</v>
      </c>
      <c r="U1751" s="36" t="s">
        <v>234</v>
      </c>
      <c r="V1751" s="36">
        <v>20.0</v>
      </c>
      <c r="W1751" s="36" t="s">
        <v>88</v>
      </c>
      <c r="X1751" s="38">
        <v>1.0</v>
      </c>
      <c r="Y1751" s="38" t="s">
        <v>2850</v>
      </c>
      <c r="Z1751" s="38" t="s">
        <v>1031</v>
      </c>
      <c r="AA1751" s="38" t="s">
        <v>86</v>
      </c>
      <c r="AB1751" s="38" t="s">
        <v>2865</v>
      </c>
      <c r="AC1751" s="38" t="s">
        <v>2866</v>
      </c>
      <c r="AD1751" s="38" t="s">
        <v>334</v>
      </c>
      <c r="AE1751" s="38">
        <v>432.0</v>
      </c>
      <c r="AF1751" s="38" t="s">
        <v>2853</v>
      </c>
      <c r="AG1751" s="38" t="s">
        <v>201</v>
      </c>
      <c r="AH1751" s="38"/>
      <c r="AI1751" s="50">
        <v>-28.6039</v>
      </c>
      <c r="AJ1751" s="50">
        <v>-53.6739</v>
      </c>
      <c r="AK1751" s="41" t="s">
        <v>86</v>
      </c>
      <c r="AL1751" s="40" t="s">
        <v>86</v>
      </c>
      <c r="AM1751" s="49">
        <v>426.0</v>
      </c>
      <c r="AN1751" s="51">
        <v>426.0</v>
      </c>
      <c r="AO1751" s="42" t="s">
        <v>201</v>
      </c>
      <c r="AP1751" s="43" t="s">
        <v>201</v>
      </c>
      <c r="AQ1751" s="44" t="str">
        <f t="shared" si="217"/>
        <v>CRO</v>
      </c>
      <c r="AR1751" s="44">
        <f t="shared" si="199"/>
        <v>426</v>
      </c>
      <c r="AS1751" s="44" t="str">
        <f t="shared" si="206"/>
        <v>C</v>
      </c>
      <c r="AT1751" s="44" t="str">
        <f t="shared" si="202"/>
        <v>Cf</v>
      </c>
      <c r="AU1751" s="44" t="str">
        <f t="shared" si="203"/>
        <v>Cfa</v>
      </c>
      <c r="AV1751" s="38">
        <v>3.0</v>
      </c>
      <c r="AW1751" s="38"/>
      <c r="AX1751" s="38"/>
      <c r="AY1751" s="38" t="s">
        <v>92</v>
      </c>
      <c r="AZ1751" s="29">
        <v>1000.0</v>
      </c>
      <c r="BA1751" s="29"/>
      <c r="BB1751" s="29">
        <v>1.0</v>
      </c>
      <c r="BC1751" s="29"/>
      <c r="BD1751" s="29" t="s">
        <v>88</v>
      </c>
      <c r="BE1751" s="29"/>
      <c r="BF1751" s="29" t="s">
        <v>571</v>
      </c>
      <c r="BG1751" s="29" t="s">
        <v>572</v>
      </c>
      <c r="BH1751" s="29" t="s">
        <v>88</v>
      </c>
      <c r="BI1751" s="29" t="s">
        <v>2856</v>
      </c>
      <c r="BJ1751" s="29"/>
      <c r="BK1751" s="29" t="s">
        <v>148</v>
      </c>
      <c r="BL1751" s="29" t="s">
        <v>148</v>
      </c>
      <c r="BM1751" s="45"/>
      <c r="BN1751" s="45"/>
      <c r="BO1751" s="46"/>
      <c r="BP1751" s="2" t="s">
        <v>2018</v>
      </c>
      <c r="BQ1751" s="3"/>
    </row>
    <row r="1752" ht="15.75" customHeight="1">
      <c r="A1752" s="34">
        <v>1848.0</v>
      </c>
      <c r="B1752" s="34">
        <v>103075.0</v>
      </c>
      <c r="C1752" s="34" t="s">
        <v>76</v>
      </c>
      <c r="D1752" s="34" t="s">
        <v>2845</v>
      </c>
      <c r="E1752" s="34" t="s">
        <v>2846</v>
      </c>
      <c r="F1752" s="34">
        <v>2018.0</v>
      </c>
      <c r="G1752" s="34" t="s">
        <v>2847</v>
      </c>
      <c r="H1752" s="34" t="s">
        <v>2848</v>
      </c>
      <c r="I1752" s="34" t="s">
        <v>2849</v>
      </c>
      <c r="J1752" s="35"/>
      <c r="K1752" s="36"/>
      <c r="L1752" s="36"/>
      <c r="M1752" s="36"/>
      <c r="N1752" s="36">
        <v>16.0</v>
      </c>
      <c r="O1752" s="36">
        <v>214.0</v>
      </c>
      <c r="P1752" s="52">
        <f t="shared" si="218"/>
        <v>7.476635514</v>
      </c>
      <c r="Q1752" s="36"/>
      <c r="R1752" s="36" t="s">
        <v>82</v>
      </c>
      <c r="S1752" s="36">
        <v>3000.0</v>
      </c>
      <c r="T1752" s="36" t="s">
        <v>536</v>
      </c>
      <c r="U1752" s="36" t="s">
        <v>234</v>
      </c>
      <c r="V1752" s="36">
        <v>32.0</v>
      </c>
      <c r="W1752" s="36" t="s">
        <v>88</v>
      </c>
      <c r="X1752" s="38">
        <v>1.0</v>
      </c>
      <c r="Y1752" s="38" t="s">
        <v>2850</v>
      </c>
      <c r="Z1752" s="38" t="s">
        <v>1031</v>
      </c>
      <c r="AA1752" s="38" t="s">
        <v>86</v>
      </c>
      <c r="AB1752" s="38" t="s">
        <v>2867</v>
      </c>
      <c r="AC1752" s="38" t="s">
        <v>2868</v>
      </c>
      <c r="AD1752" s="38" t="s">
        <v>334</v>
      </c>
      <c r="AE1752" s="38">
        <v>432.0</v>
      </c>
      <c r="AF1752" s="38" t="s">
        <v>2860</v>
      </c>
      <c r="AG1752" s="38" t="s">
        <v>201</v>
      </c>
      <c r="AH1752" s="38"/>
      <c r="AI1752" s="50">
        <v>-28.604</v>
      </c>
      <c r="AJ1752" s="50">
        <v>-53.674</v>
      </c>
      <c r="AK1752" s="41" t="s">
        <v>86</v>
      </c>
      <c r="AL1752" s="40" t="s">
        <v>86</v>
      </c>
      <c r="AM1752" s="49">
        <v>426.0</v>
      </c>
      <c r="AN1752" s="51">
        <v>426.0</v>
      </c>
      <c r="AO1752" s="42" t="s">
        <v>201</v>
      </c>
      <c r="AP1752" s="43" t="s">
        <v>201</v>
      </c>
      <c r="AQ1752" s="44" t="str">
        <f t="shared" si="217"/>
        <v>CRO</v>
      </c>
      <c r="AR1752" s="44">
        <f t="shared" si="199"/>
        <v>426</v>
      </c>
      <c r="AS1752" s="44" t="str">
        <f t="shared" si="206"/>
        <v>C</v>
      </c>
      <c r="AT1752" s="44" t="str">
        <f t="shared" si="202"/>
        <v>Cf</v>
      </c>
      <c r="AU1752" s="44" t="str">
        <f t="shared" si="203"/>
        <v>Cfa</v>
      </c>
      <c r="AV1752" s="38">
        <v>3.0</v>
      </c>
      <c r="AW1752" s="38"/>
      <c r="AX1752" s="38"/>
      <c r="AY1752" s="38" t="s">
        <v>92</v>
      </c>
      <c r="AZ1752" s="29">
        <v>1000.0</v>
      </c>
      <c r="BA1752" s="29"/>
      <c r="BB1752" s="29">
        <v>1.0</v>
      </c>
      <c r="BC1752" s="29"/>
      <c r="BD1752" s="29" t="s">
        <v>88</v>
      </c>
      <c r="BE1752" s="29"/>
      <c r="BF1752" s="29" t="s">
        <v>571</v>
      </c>
      <c r="BG1752" s="29" t="s">
        <v>572</v>
      </c>
      <c r="BH1752" s="29" t="s">
        <v>88</v>
      </c>
      <c r="BI1752" s="29" t="s">
        <v>2856</v>
      </c>
      <c r="BJ1752" s="29"/>
      <c r="BK1752" s="29" t="s">
        <v>148</v>
      </c>
      <c r="BL1752" s="29" t="s">
        <v>148</v>
      </c>
      <c r="BM1752" s="45"/>
      <c r="BN1752" s="45"/>
      <c r="BO1752" s="46"/>
      <c r="BP1752" s="2" t="s">
        <v>2869</v>
      </c>
      <c r="BQ1752" s="3"/>
    </row>
    <row r="1753" ht="15.75" customHeight="1">
      <c r="A1753" s="34">
        <v>1849.0</v>
      </c>
      <c r="B1753" s="34">
        <v>103075.0</v>
      </c>
      <c r="C1753" s="34" t="s">
        <v>76</v>
      </c>
      <c r="D1753" s="34" t="s">
        <v>2845</v>
      </c>
      <c r="E1753" s="34" t="s">
        <v>2846</v>
      </c>
      <c r="F1753" s="34">
        <v>2018.0</v>
      </c>
      <c r="G1753" s="34" t="s">
        <v>2847</v>
      </c>
      <c r="H1753" s="34" t="s">
        <v>2848</v>
      </c>
      <c r="I1753" s="34" t="s">
        <v>2849</v>
      </c>
      <c r="J1753" s="35"/>
      <c r="K1753" s="36"/>
      <c r="L1753" s="36"/>
      <c r="M1753" s="36"/>
      <c r="N1753" s="36">
        <v>94.0</v>
      </c>
      <c r="O1753" s="36">
        <v>188.0</v>
      </c>
      <c r="P1753" s="52">
        <f t="shared" si="218"/>
        <v>50</v>
      </c>
      <c r="Q1753" s="36"/>
      <c r="R1753" s="36" t="s">
        <v>82</v>
      </c>
      <c r="S1753" s="36">
        <v>3000.0</v>
      </c>
      <c r="T1753" s="36" t="s">
        <v>536</v>
      </c>
      <c r="U1753" s="36" t="s">
        <v>234</v>
      </c>
      <c r="V1753" s="36">
        <v>32.0</v>
      </c>
      <c r="W1753" s="36" t="s">
        <v>2861</v>
      </c>
      <c r="X1753" s="38">
        <v>1.0</v>
      </c>
      <c r="Y1753" s="38" t="s">
        <v>2850</v>
      </c>
      <c r="Z1753" s="38" t="s">
        <v>1031</v>
      </c>
      <c r="AA1753" s="38" t="s">
        <v>86</v>
      </c>
      <c r="AB1753" s="38" t="s">
        <v>2870</v>
      </c>
      <c r="AC1753" s="38" t="s">
        <v>2871</v>
      </c>
      <c r="AD1753" s="38" t="s">
        <v>334</v>
      </c>
      <c r="AE1753" s="38">
        <v>432.0</v>
      </c>
      <c r="AF1753" s="38" t="s">
        <v>2864</v>
      </c>
      <c r="AG1753" s="38" t="s">
        <v>201</v>
      </c>
      <c r="AH1753" s="38"/>
      <c r="AI1753" s="50">
        <v>-28.6041</v>
      </c>
      <c r="AJ1753" s="50">
        <v>-53.6741</v>
      </c>
      <c r="AK1753" s="41" t="s">
        <v>86</v>
      </c>
      <c r="AL1753" s="40" t="s">
        <v>86</v>
      </c>
      <c r="AM1753" s="49">
        <v>426.0</v>
      </c>
      <c r="AN1753" s="51">
        <v>426.0</v>
      </c>
      <c r="AO1753" s="42" t="s">
        <v>201</v>
      </c>
      <c r="AP1753" s="43" t="s">
        <v>201</v>
      </c>
      <c r="AQ1753" s="44" t="str">
        <f t="shared" si="217"/>
        <v>CRO</v>
      </c>
      <c r="AR1753" s="44">
        <f t="shared" si="199"/>
        <v>426</v>
      </c>
      <c r="AS1753" s="44" t="str">
        <f t="shared" si="206"/>
        <v>C</v>
      </c>
      <c r="AT1753" s="44" t="str">
        <f t="shared" si="202"/>
        <v>Cf</v>
      </c>
      <c r="AU1753" s="44" t="str">
        <f t="shared" si="203"/>
        <v>Cfa</v>
      </c>
      <c r="AV1753" s="38">
        <v>3.0</v>
      </c>
      <c r="AW1753" s="38"/>
      <c r="AX1753" s="38"/>
      <c r="AY1753" s="38" t="s">
        <v>92</v>
      </c>
      <c r="AZ1753" s="29">
        <v>1000.0</v>
      </c>
      <c r="BA1753" s="29"/>
      <c r="BB1753" s="29">
        <v>1.0</v>
      </c>
      <c r="BC1753" s="29"/>
      <c r="BD1753" s="29" t="s">
        <v>88</v>
      </c>
      <c r="BE1753" s="29"/>
      <c r="BF1753" s="29" t="s">
        <v>571</v>
      </c>
      <c r="BG1753" s="29" t="s">
        <v>572</v>
      </c>
      <c r="BH1753" s="29" t="s">
        <v>88</v>
      </c>
      <c r="BI1753" s="29" t="s">
        <v>2856</v>
      </c>
      <c r="BJ1753" s="29"/>
      <c r="BK1753" s="29" t="s">
        <v>148</v>
      </c>
      <c r="BL1753" s="29" t="s">
        <v>148</v>
      </c>
      <c r="BM1753" s="45"/>
      <c r="BN1753" s="45"/>
      <c r="BO1753" s="46"/>
      <c r="BP1753" s="2"/>
      <c r="BQ1753" s="3"/>
    </row>
    <row r="1754" ht="15.75" customHeight="1">
      <c r="A1754" s="34">
        <v>1851.0</v>
      </c>
      <c r="B1754" s="34">
        <v>102472.0</v>
      </c>
      <c r="C1754" s="34" t="s">
        <v>76</v>
      </c>
      <c r="D1754" s="34" t="s">
        <v>2872</v>
      </c>
      <c r="E1754" s="34" t="s">
        <v>2873</v>
      </c>
      <c r="F1754" s="34">
        <v>2020.0</v>
      </c>
      <c r="G1754" s="34" t="s">
        <v>2874</v>
      </c>
      <c r="H1754" s="34" t="s">
        <v>2875</v>
      </c>
      <c r="I1754" s="34" t="s">
        <v>2876</v>
      </c>
      <c r="J1754" s="35"/>
      <c r="K1754" s="36"/>
      <c r="L1754" s="36"/>
      <c r="M1754" s="36"/>
      <c r="N1754" s="36">
        <f>288.2-O1754</f>
        <v>7.6</v>
      </c>
      <c r="O1754" s="36">
        <v>280.6</v>
      </c>
      <c r="P1754" s="52">
        <f t="shared" si="218"/>
        <v>2.708481825</v>
      </c>
      <c r="Q1754" s="36"/>
      <c r="R1754" s="36" t="s">
        <v>82</v>
      </c>
      <c r="S1754" s="36">
        <v>30.0</v>
      </c>
      <c r="T1754" s="36" t="s">
        <v>2877</v>
      </c>
      <c r="U1754" s="36" t="s">
        <v>2878</v>
      </c>
      <c r="V1754" s="36">
        <v>9.0</v>
      </c>
      <c r="W1754" s="36" t="s">
        <v>88</v>
      </c>
      <c r="X1754" s="38">
        <v>1.0</v>
      </c>
      <c r="Y1754" s="38" t="s">
        <v>2879</v>
      </c>
      <c r="Z1754" s="38" t="s">
        <v>2880</v>
      </c>
      <c r="AA1754" s="38" t="s">
        <v>86</v>
      </c>
      <c r="AB1754" s="38" t="s">
        <v>2881</v>
      </c>
      <c r="AC1754" s="38" t="s">
        <v>2882</v>
      </c>
      <c r="AD1754" s="38" t="s">
        <v>198</v>
      </c>
      <c r="AE1754" s="53"/>
      <c r="AF1754" s="38" t="s">
        <v>2883</v>
      </c>
      <c r="AG1754" s="38"/>
      <c r="AH1754" s="38"/>
      <c r="AI1754" s="50">
        <v>36.3</v>
      </c>
      <c r="AJ1754" s="50">
        <v>117.19</v>
      </c>
      <c r="AK1754" s="41" t="s">
        <v>86</v>
      </c>
      <c r="AL1754" s="40" t="s">
        <v>86</v>
      </c>
      <c r="AM1754" s="49">
        <v>256.0</v>
      </c>
      <c r="AN1754" s="51">
        <v>256.0</v>
      </c>
      <c r="AO1754" s="42" t="s">
        <v>218</v>
      </c>
      <c r="AP1754" s="43" t="s">
        <v>218</v>
      </c>
      <c r="AQ1754" s="44" t="str">
        <f t="shared" si="217"/>
        <v>CRO</v>
      </c>
      <c r="AR1754" s="44">
        <f t="shared" si="199"/>
        <v>256</v>
      </c>
      <c r="AS1754" s="44" t="str">
        <f t="shared" si="206"/>
        <v>D</v>
      </c>
      <c r="AT1754" s="44" t="str">
        <f t="shared" si="202"/>
        <v>Dw</v>
      </c>
      <c r="AU1754" s="44" t="str">
        <f t="shared" si="203"/>
        <v>Dwa</v>
      </c>
      <c r="AV1754" s="38">
        <v>3.0</v>
      </c>
      <c r="AW1754" s="38"/>
      <c r="AX1754" s="38"/>
      <c r="AY1754" s="38" t="s">
        <v>92</v>
      </c>
      <c r="AZ1754" s="29">
        <v>30.0</v>
      </c>
      <c r="BA1754" s="29"/>
      <c r="BB1754" s="29">
        <v>1.0</v>
      </c>
      <c r="BC1754" s="29"/>
      <c r="BD1754" s="29" t="s">
        <v>88</v>
      </c>
      <c r="BE1754" s="29"/>
      <c r="BF1754" s="29" t="s">
        <v>2426</v>
      </c>
      <c r="BG1754" s="29" t="s">
        <v>91</v>
      </c>
      <c r="BH1754" s="29" t="s">
        <v>88</v>
      </c>
      <c r="BI1754" s="29" t="s">
        <v>1438</v>
      </c>
      <c r="BJ1754" s="29"/>
      <c r="BK1754" s="29" t="s">
        <v>180</v>
      </c>
      <c r="BL1754" s="29" t="s">
        <v>180</v>
      </c>
      <c r="BM1754" s="45">
        <v>1.0</v>
      </c>
      <c r="BN1754" s="45"/>
      <c r="BO1754" s="46" t="s">
        <v>2884</v>
      </c>
      <c r="BP1754" s="73"/>
      <c r="BQ1754" s="17"/>
    </row>
    <row r="1755" ht="15.75" customHeight="1">
      <c r="A1755" s="34">
        <v>1852.0</v>
      </c>
      <c r="B1755" s="34">
        <v>102472.0</v>
      </c>
      <c r="C1755" s="34" t="s">
        <v>76</v>
      </c>
      <c r="D1755" s="34" t="s">
        <v>2872</v>
      </c>
      <c r="E1755" s="34" t="s">
        <v>2873</v>
      </c>
      <c r="F1755" s="34">
        <v>2020.0</v>
      </c>
      <c r="G1755" s="34" t="s">
        <v>2874</v>
      </c>
      <c r="H1755" s="34" t="s">
        <v>2875</v>
      </c>
      <c r="I1755" s="34" t="s">
        <v>2876</v>
      </c>
      <c r="J1755" s="35"/>
      <c r="K1755" s="36"/>
      <c r="L1755" s="36"/>
      <c r="M1755" s="36"/>
      <c r="N1755" s="36">
        <f>276.8-O1755</f>
        <v>-3.8</v>
      </c>
      <c r="O1755" s="36">
        <v>280.6</v>
      </c>
      <c r="P1755" s="52">
        <f t="shared" si="218"/>
        <v>-1.354240912</v>
      </c>
      <c r="Q1755" s="36"/>
      <c r="R1755" s="36" t="s">
        <v>82</v>
      </c>
      <c r="S1755" s="36">
        <v>30.0</v>
      </c>
      <c r="T1755" s="36" t="s">
        <v>2877</v>
      </c>
      <c r="U1755" s="36" t="s">
        <v>2878</v>
      </c>
      <c r="V1755" s="36">
        <v>9.0</v>
      </c>
      <c r="W1755" s="36" t="s">
        <v>88</v>
      </c>
      <c r="X1755" s="38">
        <v>1.0</v>
      </c>
      <c r="Y1755" s="38" t="s">
        <v>2879</v>
      </c>
      <c r="Z1755" s="38" t="s">
        <v>2880</v>
      </c>
      <c r="AA1755" s="38" t="s">
        <v>86</v>
      </c>
      <c r="AB1755" s="38" t="s">
        <v>2881</v>
      </c>
      <c r="AC1755" s="38" t="s">
        <v>2882</v>
      </c>
      <c r="AD1755" s="38" t="s">
        <v>198</v>
      </c>
      <c r="AE1755" s="53"/>
      <c r="AF1755" s="38" t="s">
        <v>2883</v>
      </c>
      <c r="AG1755" s="38"/>
      <c r="AH1755" s="38"/>
      <c r="AI1755" s="50">
        <v>36.3</v>
      </c>
      <c r="AJ1755" s="50">
        <v>117.19</v>
      </c>
      <c r="AK1755" s="41" t="s">
        <v>86</v>
      </c>
      <c r="AL1755" s="40" t="s">
        <v>86</v>
      </c>
      <c r="AM1755" s="49">
        <v>256.0</v>
      </c>
      <c r="AN1755" s="51">
        <v>256.0</v>
      </c>
      <c r="AO1755" s="42" t="s">
        <v>218</v>
      </c>
      <c r="AP1755" s="43" t="s">
        <v>218</v>
      </c>
      <c r="AQ1755" s="44" t="str">
        <f t="shared" si="217"/>
        <v>CRO</v>
      </c>
      <c r="AR1755" s="44">
        <f t="shared" si="199"/>
        <v>256</v>
      </c>
      <c r="AS1755" s="44" t="str">
        <f t="shared" si="206"/>
        <v>D</v>
      </c>
      <c r="AT1755" s="44" t="str">
        <f t="shared" si="202"/>
        <v>Dw</v>
      </c>
      <c r="AU1755" s="44" t="str">
        <f t="shared" si="203"/>
        <v>Dwa</v>
      </c>
      <c r="AV1755" s="38">
        <v>3.0</v>
      </c>
      <c r="AW1755" s="38"/>
      <c r="AX1755" s="38"/>
      <c r="AY1755" s="38" t="s">
        <v>92</v>
      </c>
      <c r="AZ1755" s="29">
        <v>30.0</v>
      </c>
      <c r="BA1755" s="29"/>
      <c r="BB1755" s="29">
        <v>1.0</v>
      </c>
      <c r="BC1755" s="29"/>
      <c r="BD1755" s="29" t="s">
        <v>88</v>
      </c>
      <c r="BE1755" s="29"/>
      <c r="BF1755" s="29" t="s">
        <v>2885</v>
      </c>
      <c r="BG1755" s="29" t="s">
        <v>220</v>
      </c>
      <c r="BH1755" s="29" t="s">
        <v>88</v>
      </c>
      <c r="BI1755" s="29" t="s">
        <v>1438</v>
      </c>
      <c r="BJ1755" s="29"/>
      <c r="BK1755" s="29" t="s">
        <v>180</v>
      </c>
      <c r="BL1755" s="29" t="s">
        <v>180</v>
      </c>
      <c r="BM1755" s="45"/>
      <c r="BN1755" s="45"/>
      <c r="BO1755" s="46"/>
      <c r="BP1755" s="73"/>
      <c r="BQ1755" s="17"/>
    </row>
    <row r="1756" ht="15.75" customHeight="1">
      <c r="A1756" s="34">
        <v>1853.0</v>
      </c>
      <c r="B1756" s="34">
        <v>102472.0</v>
      </c>
      <c r="C1756" s="34" t="s">
        <v>76</v>
      </c>
      <c r="D1756" s="34" t="s">
        <v>2872</v>
      </c>
      <c r="E1756" s="34" t="s">
        <v>2873</v>
      </c>
      <c r="F1756" s="34">
        <v>2020.0</v>
      </c>
      <c r="G1756" s="34" t="s">
        <v>2874</v>
      </c>
      <c r="H1756" s="34" t="s">
        <v>2875</v>
      </c>
      <c r="I1756" s="34" t="s">
        <v>2876</v>
      </c>
      <c r="J1756" s="35"/>
      <c r="K1756" s="36"/>
      <c r="L1756" s="36"/>
      <c r="M1756" s="36"/>
      <c r="N1756" s="36">
        <f>189.7-O1756</f>
        <v>-90.9</v>
      </c>
      <c r="O1756" s="36">
        <v>280.6</v>
      </c>
      <c r="P1756" s="52">
        <f t="shared" si="218"/>
        <v>-32.39486814</v>
      </c>
      <c r="Q1756" s="36"/>
      <c r="R1756" s="36" t="s">
        <v>82</v>
      </c>
      <c r="S1756" s="36">
        <v>30.0</v>
      </c>
      <c r="T1756" s="36" t="s">
        <v>2877</v>
      </c>
      <c r="U1756" s="36" t="s">
        <v>2878</v>
      </c>
      <c r="V1756" s="36">
        <v>9.0</v>
      </c>
      <c r="W1756" s="36" t="s">
        <v>88</v>
      </c>
      <c r="X1756" s="38">
        <v>1.0</v>
      </c>
      <c r="Y1756" s="38" t="s">
        <v>2879</v>
      </c>
      <c r="Z1756" s="38" t="s">
        <v>2880</v>
      </c>
      <c r="AA1756" s="38" t="s">
        <v>86</v>
      </c>
      <c r="AB1756" s="38" t="s">
        <v>2881</v>
      </c>
      <c r="AC1756" s="38" t="s">
        <v>2882</v>
      </c>
      <c r="AD1756" s="38" t="s">
        <v>198</v>
      </c>
      <c r="AE1756" s="53"/>
      <c r="AF1756" s="38" t="s">
        <v>2883</v>
      </c>
      <c r="AG1756" s="38"/>
      <c r="AH1756" s="38"/>
      <c r="AI1756" s="50">
        <v>36.3</v>
      </c>
      <c r="AJ1756" s="50">
        <v>117.19</v>
      </c>
      <c r="AK1756" s="41" t="s">
        <v>86</v>
      </c>
      <c r="AL1756" s="40" t="s">
        <v>86</v>
      </c>
      <c r="AM1756" s="49">
        <v>256.0</v>
      </c>
      <c r="AN1756" s="51">
        <v>256.0</v>
      </c>
      <c r="AO1756" s="42" t="s">
        <v>218</v>
      </c>
      <c r="AP1756" s="43" t="s">
        <v>218</v>
      </c>
      <c r="AQ1756" s="44" t="str">
        <f t="shared" si="217"/>
        <v>CRO</v>
      </c>
      <c r="AR1756" s="44">
        <f t="shared" si="199"/>
        <v>256</v>
      </c>
      <c r="AS1756" s="44" t="str">
        <f t="shared" si="206"/>
        <v>D</v>
      </c>
      <c r="AT1756" s="44" t="str">
        <f t="shared" si="202"/>
        <v>Dw</v>
      </c>
      <c r="AU1756" s="44" t="str">
        <f t="shared" si="203"/>
        <v>Dwa</v>
      </c>
      <c r="AV1756" s="38">
        <v>3.0</v>
      </c>
      <c r="AW1756" s="38"/>
      <c r="AX1756" s="38"/>
      <c r="AY1756" s="38" t="s">
        <v>92</v>
      </c>
      <c r="AZ1756" s="29">
        <v>30.0</v>
      </c>
      <c r="BA1756" s="29"/>
      <c r="BB1756" s="29">
        <v>1.0</v>
      </c>
      <c r="BC1756" s="29"/>
      <c r="BD1756" s="29" t="s">
        <v>88</v>
      </c>
      <c r="BE1756" s="29"/>
      <c r="BF1756" s="29" t="s">
        <v>881</v>
      </c>
      <c r="BG1756" s="29" t="s">
        <v>203</v>
      </c>
      <c r="BH1756" s="29" t="s">
        <v>88</v>
      </c>
      <c r="BI1756" s="29" t="s">
        <v>1438</v>
      </c>
      <c r="BJ1756" s="29"/>
      <c r="BK1756" s="29" t="s">
        <v>180</v>
      </c>
      <c r="BL1756" s="29" t="s">
        <v>180</v>
      </c>
      <c r="BM1756" s="45"/>
      <c r="BN1756" s="45"/>
      <c r="BO1756" s="46"/>
      <c r="BP1756" s="2"/>
      <c r="BQ1756" s="3"/>
    </row>
    <row r="1757" ht="15.75" customHeight="1">
      <c r="A1757" s="34">
        <v>1854.0</v>
      </c>
      <c r="B1757" s="34">
        <v>102472.0</v>
      </c>
      <c r="C1757" s="34" t="s">
        <v>76</v>
      </c>
      <c r="D1757" s="34" t="s">
        <v>2872</v>
      </c>
      <c r="E1757" s="34" t="s">
        <v>2873</v>
      </c>
      <c r="F1757" s="34">
        <v>2020.0</v>
      </c>
      <c r="G1757" s="34" t="s">
        <v>2874</v>
      </c>
      <c r="H1757" s="34" t="s">
        <v>2875</v>
      </c>
      <c r="I1757" s="34" t="s">
        <v>2876</v>
      </c>
      <c r="J1757" s="35"/>
      <c r="K1757" s="36"/>
      <c r="L1757" s="36"/>
      <c r="M1757" s="36"/>
      <c r="N1757" s="36">
        <f>419.3-O1757</f>
        <v>57.5</v>
      </c>
      <c r="O1757" s="36">
        <v>361.8</v>
      </c>
      <c r="P1757" s="52">
        <f t="shared" si="218"/>
        <v>15.89275843</v>
      </c>
      <c r="Q1757" s="36"/>
      <c r="R1757" s="36" t="s">
        <v>82</v>
      </c>
      <c r="S1757" s="36">
        <v>30.0</v>
      </c>
      <c r="T1757" s="36" t="s">
        <v>2877</v>
      </c>
      <c r="U1757" s="36" t="s">
        <v>2878</v>
      </c>
      <c r="V1757" s="36">
        <v>23.0</v>
      </c>
      <c r="W1757" s="36" t="s">
        <v>88</v>
      </c>
      <c r="X1757" s="38">
        <v>1.0</v>
      </c>
      <c r="Y1757" s="38" t="s">
        <v>2879</v>
      </c>
      <c r="Z1757" s="38" t="s">
        <v>2880</v>
      </c>
      <c r="AA1757" s="38" t="s">
        <v>86</v>
      </c>
      <c r="AB1757" s="38" t="s">
        <v>2881</v>
      </c>
      <c r="AC1757" s="38" t="s">
        <v>2882</v>
      </c>
      <c r="AD1757" s="38" t="s">
        <v>198</v>
      </c>
      <c r="AE1757" s="53"/>
      <c r="AF1757" s="38" t="s">
        <v>2886</v>
      </c>
      <c r="AG1757" s="38"/>
      <c r="AH1757" s="38"/>
      <c r="AI1757" s="50">
        <v>36.3</v>
      </c>
      <c r="AJ1757" s="50">
        <v>117.19</v>
      </c>
      <c r="AK1757" s="41" t="s">
        <v>86</v>
      </c>
      <c r="AL1757" s="40" t="s">
        <v>86</v>
      </c>
      <c r="AM1757" s="49">
        <v>256.0</v>
      </c>
      <c r="AN1757" s="51">
        <v>256.0</v>
      </c>
      <c r="AO1757" s="42" t="s">
        <v>218</v>
      </c>
      <c r="AP1757" s="43" t="s">
        <v>218</v>
      </c>
      <c r="AQ1757" s="44" t="str">
        <f t="shared" si="217"/>
        <v>CRO</v>
      </c>
      <c r="AR1757" s="44">
        <f t="shared" si="199"/>
        <v>256</v>
      </c>
      <c r="AS1757" s="44" t="str">
        <f t="shared" si="206"/>
        <v>D</v>
      </c>
      <c r="AT1757" s="44" t="str">
        <f t="shared" si="202"/>
        <v>Dw</v>
      </c>
      <c r="AU1757" s="44" t="str">
        <f t="shared" si="203"/>
        <v>Dwa</v>
      </c>
      <c r="AV1757" s="38">
        <v>3.0</v>
      </c>
      <c r="AW1757" s="38"/>
      <c r="AX1757" s="38"/>
      <c r="AY1757" s="38" t="s">
        <v>92</v>
      </c>
      <c r="AZ1757" s="29">
        <v>30.0</v>
      </c>
      <c r="BA1757" s="29"/>
      <c r="BB1757" s="29">
        <v>1.0</v>
      </c>
      <c r="BC1757" s="29"/>
      <c r="BD1757" s="29" t="s">
        <v>88</v>
      </c>
      <c r="BE1757" s="29"/>
      <c r="BF1757" s="29" t="s">
        <v>2426</v>
      </c>
      <c r="BG1757" s="29" t="s">
        <v>91</v>
      </c>
      <c r="BH1757" s="29" t="s">
        <v>88</v>
      </c>
      <c r="BI1757" s="29" t="s">
        <v>1438</v>
      </c>
      <c r="BJ1757" s="29"/>
      <c r="BK1757" s="29" t="s">
        <v>180</v>
      </c>
      <c r="BL1757" s="29" t="s">
        <v>180</v>
      </c>
      <c r="BM1757" s="45">
        <v>1.0</v>
      </c>
      <c r="BN1757" s="45"/>
      <c r="BO1757" s="46" t="s">
        <v>2884</v>
      </c>
      <c r="BP1757" s="2"/>
      <c r="BQ1757" s="3"/>
    </row>
    <row r="1758" ht="15.75" customHeight="1">
      <c r="A1758" s="34">
        <v>1855.0</v>
      </c>
      <c r="B1758" s="34">
        <v>102472.0</v>
      </c>
      <c r="C1758" s="34" t="s">
        <v>76</v>
      </c>
      <c r="D1758" s="34" t="s">
        <v>2872</v>
      </c>
      <c r="E1758" s="34" t="s">
        <v>2873</v>
      </c>
      <c r="F1758" s="34">
        <v>2020.0</v>
      </c>
      <c r="G1758" s="34" t="s">
        <v>2874</v>
      </c>
      <c r="H1758" s="34" t="s">
        <v>2875</v>
      </c>
      <c r="I1758" s="34" t="s">
        <v>2876</v>
      </c>
      <c r="J1758" s="35"/>
      <c r="K1758" s="36"/>
      <c r="L1758" s="36"/>
      <c r="M1758" s="36"/>
      <c r="N1758" s="36">
        <f>441.9-O1758</f>
        <v>80.1</v>
      </c>
      <c r="O1758" s="36">
        <v>361.8</v>
      </c>
      <c r="P1758" s="52">
        <f t="shared" si="218"/>
        <v>22.13930348</v>
      </c>
      <c r="Q1758" s="36"/>
      <c r="R1758" s="36" t="s">
        <v>82</v>
      </c>
      <c r="S1758" s="36">
        <v>30.0</v>
      </c>
      <c r="T1758" s="36" t="s">
        <v>2877</v>
      </c>
      <c r="U1758" s="36" t="s">
        <v>2878</v>
      </c>
      <c r="V1758" s="36">
        <v>23.0</v>
      </c>
      <c r="W1758" s="36" t="s">
        <v>88</v>
      </c>
      <c r="X1758" s="38">
        <v>1.0</v>
      </c>
      <c r="Y1758" s="38" t="s">
        <v>2879</v>
      </c>
      <c r="Z1758" s="38" t="s">
        <v>2880</v>
      </c>
      <c r="AA1758" s="38" t="s">
        <v>86</v>
      </c>
      <c r="AB1758" s="38" t="s">
        <v>2881</v>
      </c>
      <c r="AC1758" s="38" t="s">
        <v>2882</v>
      </c>
      <c r="AD1758" s="38" t="s">
        <v>198</v>
      </c>
      <c r="AE1758" s="53"/>
      <c r="AF1758" s="38" t="s">
        <v>2886</v>
      </c>
      <c r="AG1758" s="38"/>
      <c r="AH1758" s="38"/>
      <c r="AI1758" s="50">
        <v>36.3</v>
      </c>
      <c r="AJ1758" s="50">
        <v>117.19</v>
      </c>
      <c r="AK1758" s="41" t="s">
        <v>86</v>
      </c>
      <c r="AL1758" s="40" t="s">
        <v>86</v>
      </c>
      <c r="AM1758" s="49">
        <v>256.0</v>
      </c>
      <c r="AN1758" s="51">
        <v>256.0</v>
      </c>
      <c r="AO1758" s="42" t="s">
        <v>218</v>
      </c>
      <c r="AP1758" s="43" t="s">
        <v>218</v>
      </c>
      <c r="AQ1758" s="44" t="str">
        <f t="shared" si="217"/>
        <v>CRO</v>
      </c>
      <c r="AR1758" s="44">
        <f t="shared" si="199"/>
        <v>256</v>
      </c>
      <c r="AS1758" s="44" t="str">
        <f t="shared" si="206"/>
        <v>D</v>
      </c>
      <c r="AT1758" s="44" t="str">
        <f t="shared" si="202"/>
        <v>Dw</v>
      </c>
      <c r="AU1758" s="44" t="str">
        <f t="shared" si="203"/>
        <v>Dwa</v>
      </c>
      <c r="AV1758" s="38">
        <v>3.0</v>
      </c>
      <c r="AW1758" s="38"/>
      <c r="AX1758" s="38"/>
      <c r="AY1758" s="38" t="s">
        <v>92</v>
      </c>
      <c r="AZ1758" s="29">
        <v>30.0</v>
      </c>
      <c r="BA1758" s="29"/>
      <c r="BB1758" s="29">
        <v>1.0</v>
      </c>
      <c r="BC1758" s="29"/>
      <c r="BD1758" s="29" t="s">
        <v>88</v>
      </c>
      <c r="BE1758" s="29"/>
      <c r="BF1758" s="29" t="s">
        <v>2885</v>
      </c>
      <c r="BG1758" s="29" t="s">
        <v>220</v>
      </c>
      <c r="BH1758" s="29" t="s">
        <v>88</v>
      </c>
      <c r="BI1758" s="29" t="s">
        <v>1438</v>
      </c>
      <c r="BJ1758" s="29"/>
      <c r="BK1758" s="29" t="s">
        <v>180</v>
      </c>
      <c r="BL1758" s="29" t="s">
        <v>180</v>
      </c>
      <c r="BM1758" s="45"/>
      <c r="BN1758" s="45"/>
      <c r="BO1758" s="46"/>
      <c r="BP1758" s="2"/>
      <c r="BQ1758" s="3"/>
    </row>
    <row r="1759" ht="15.75" customHeight="1">
      <c r="A1759" s="34">
        <v>1856.0</v>
      </c>
      <c r="B1759" s="34">
        <v>102472.0</v>
      </c>
      <c r="C1759" s="34" t="s">
        <v>76</v>
      </c>
      <c r="D1759" s="34" t="s">
        <v>2872</v>
      </c>
      <c r="E1759" s="34" t="s">
        <v>2873</v>
      </c>
      <c r="F1759" s="34">
        <v>2020.0</v>
      </c>
      <c r="G1759" s="34" t="s">
        <v>2874</v>
      </c>
      <c r="H1759" s="34" t="s">
        <v>2875</v>
      </c>
      <c r="I1759" s="34" t="s">
        <v>2876</v>
      </c>
      <c r="J1759" s="35"/>
      <c r="K1759" s="36"/>
      <c r="L1759" s="36"/>
      <c r="M1759" s="36"/>
      <c r="N1759" s="36">
        <f>374.7-O1759</f>
        <v>12.9</v>
      </c>
      <c r="O1759" s="36">
        <v>361.8</v>
      </c>
      <c r="P1759" s="52">
        <f t="shared" si="218"/>
        <v>3.565505804</v>
      </c>
      <c r="Q1759" s="36"/>
      <c r="R1759" s="36" t="s">
        <v>82</v>
      </c>
      <c r="S1759" s="36">
        <v>30.0</v>
      </c>
      <c r="T1759" s="36" t="s">
        <v>2877</v>
      </c>
      <c r="U1759" s="36" t="s">
        <v>2878</v>
      </c>
      <c r="V1759" s="36">
        <v>23.0</v>
      </c>
      <c r="W1759" s="36" t="s">
        <v>88</v>
      </c>
      <c r="X1759" s="38">
        <v>1.0</v>
      </c>
      <c r="Y1759" s="38" t="s">
        <v>2879</v>
      </c>
      <c r="Z1759" s="38" t="s">
        <v>2880</v>
      </c>
      <c r="AA1759" s="38" t="s">
        <v>86</v>
      </c>
      <c r="AB1759" s="38" t="s">
        <v>2881</v>
      </c>
      <c r="AC1759" s="38" t="s">
        <v>2882</v>
      </c>
      <c r="AD1759" s="38" t="s">
        <v>198</v>
      </c>
      <c r="AE1759" s="53"/>
      <c r="AF1759" s="38" t="s">
        <v>2886</v>
      </c>
      <c r="AG1759" s="38"/>
      <c r="AH1759" s="38"/>
      <c r="AI1759" s="50">
        <v>36.3</v>
      </c>
      <c r="AJ1759" s="50">
        <v>117.19</v>
      </c>
      <c r="AK1759" s="41" t="s">
        <v>86</v>
      </c>
      <c r="AL1759" s="40" t="s">
        <v>86</v>
      </c>
      <c r="AM1759" s="49">
        <v>256.0</v>
      </c>
      <c r="AN1759" s="51">
        <v>256.0</v>
      </c>
      <c r="AO1759" s="42" t="s">
        <v>218</v>
      </c>
      <c r="AP1759" s="43" t="s">
        <v>218</v>
      </c>
      <c r="AQ1759" s="44" t="str">
        <f t="shared" si="217"/>
        <v>CRO</v>
      </c>
      <c r="AR1759" s="44">
        <f t="shared" si="199"/>
        <v>256</v>
      </c>
      <c r="AS1759" s="44" t="str">
        <f t="shared" si="206"/>
        <v>D</v>
      </c>
      <c r="AT1759" s="44" t="str">
        <f t="shared" si="202"/>
        <v>Dw</v>
      </c>
      <c r="AU1759" s="44" t="str">
        <f t="shared" si="203"/>
        <v>Dwa</v>
      </c>
      <c r="AV1759" s="38">
        <v>3.0</v>
      </c>
      <c r="AW1759" s="38"/>
      <c r="AX1759" s="38"/>
      <c r="AY1759" s="38" t="s">
        <v>92</v>
      </c>
      <c r="AZ1759" s="29">
        <v>30.0</v>
      </c>
      <c r="BA1759" s="29"/>
      <c r="BB1759" s="29">
        <v>1.0</v>
      </c>
      <c r="BC1759" s="29"/>
      <c r="BD1759" s="29" t="s">
        <v>88</v>
      </c>
      <c r="BE1759" s="29"/>
      <c r="BF1759" s="29" t="s">
        <v>881</v>
      </c>
      <c r="BG1759" s="29" t="s">
        <v>203</v>
      </c>
      <c r="BH1759" s="29" t="s">
        <v>88</v>
      </c>
      <c r="BI1759" s="29" t="s">
        <v>1438</v>
      </c>
      <c r="BJ1759" s="29"/>
      <c r="BK1759" s="29" t="s">
        <v>180</v>
      </c>
      <c r="BL1759" s="29" t="s">
        <v>180</v>
      </c>
      <c r="BM1759" s="45"/>
      <c r="BN1759" s="45"/>
      <c r="BO1759" s="46"/>
      <c r="BP1759" s="73"/>
      <c r="BQ1759" s="17"/>
    </row>
    <row r="1760" ht="15.75" customHeight="1">
      <c r="A1760" s="34">
        <v>1862.0</v>
      </c>
      <c r="B1760" s="34">
        <v>102807.0</v>
      </c>
      <c r="C1760" s="34" t="s">
        <v>76</v>
      </c>
      <c r="D1760" s="34" t="s">
        <v>2887</v>
      </c>
      <c r="E1760" s="34" t="s">
        <v>2888</v>
      </c>
      <c r="F1760" s="34">
        <v>2019.0</v>
      </c>
      <c r="G1760" s="34" t="s">
        <v>2889</v>
      </c>
      <c r="H1760" s="34" t="s">
        <v>816</v>
      </c>
      <c r="I1760" s="34" t="s">
        <v>2890</v>
      </c>
      <c r="J1760" s="35"/>
      <c r="K1760" s="36"/>
      <c r="L1760" s="36"/>
      <c r="M1760" s="36"/>
      <c r="N1760" s="36">
        <v>32.78</v>
      </c>
      <c r="O1760" s="36">
        <v>143.6</v>
      </c>
      <c r="P1760" s="52">
        <f t="shared" si="218"/>
        <v>22.82729805</v>
      </c>
      <c r="Q1760" s="36"/>
      <c r="R1760" s="36" t="s">
        <v>82</v>
      </c>
      <c r="S1760" s="36" t="s">
        <v>2891</v>
      </c>
      <c r="T1760" s="36" t="s">
        <v>193</v>
      </c>
      <c r="U1760" s="36" t="s">
        <v>363</v>
      </c>
      <c r="V1760" s="36"/>
      <c r="W1760" s="36"/>
      <c r="X1760" s="38">
        <v>1.0</v>
      </c>
      <c r="Y1760" s="38" t="s">
        <v>586</v>
      </c>
      <c r="Z1760" s="38" t="s">
        <v>587</v>
      </c>
      <c r="AA1760" s="38" t="s">
        <v>336</v>
      </c>
      <c r="AB1760" s="38" t="s">
        <v>2892</v>
      </c>
      <c r="AC1760" s="38" t="s">
        <v>2893</v>
      </c>
      <c r="AD1760" s="38" t="s">
        <v>198</v>
      </c>
      <c r="AE1760" s="53"/>
      <c r="AF1760" s="38" t="s">
        <v>2894</v>
      </c>
      <c r="AG1760" s="57"/>
      <c r="AH1760" s="38">
        <v>27.0</v>
      </c>
      <c r="AI1760" s="50">
        <v>23.1</v>
      </c>
      <c r="AJ1760" s="50">
        <v>112.34</v>
      </c>
      <c r="AK1760" s="41" t="s">
        <v>200</v>
      </c>
      <c r="AL1760" s="40" t="s">
        <v>200</v>
      </c>
      <c r="AM1760" s="49">
        <v>187.0</v>
      </c>
      <c r="AN1760" s="51">
        <v>187.0</v>
      </c>
      <c r="AO1760" s="42" t="s">
        <v>201</v>
      </c>
      <c r="AP1760" s="43" t="s">
        <v>201</v>
      </c>
      <c r="AQ1760" s="44" t="str">
        <f t="shared" si="217"/>
        <v>EBF</v>
      </c>
      <c r="AR1760" s="44">
        <f t="shared" si="199"/>
        <v>187</v>
      </c>
      <c r="AS1760" s="44" t="str">
        <f t="shared" si="206"/>
        <v>C</v>
      </c>
      <c r="AT1760" s="44" t="str">
        <f t="shared" si="202"/>
        <v>Cf</v>
      </c>
      <c r="AU1760" s="44" t="str">
        <f t="shared" si="203"/>
        <v>Cfa</v>
      </c>
      <c r="AV1760" s="38">
        <v>1.0</v>
      </c>
      <c r="AW1760" s="38"/>
      <c r="AX1760" s="38"/>
      <c r="AY1760" s="38" t="s">
        <v>92</v>
      </c>
      <c r="AZ1760" s="29" t="s">
        <v>2895</v>
      </c>
      <c r="BA1760" s="29"/>
      <c r="BB1760" s="29">
        <v>1.0</v>
      </c>
      <c r="BC1760" s="29"/>
      <c r="BD1760" s="29" t="s">
        <v>88</v>
      </c>
      <c r="BE1760" s="29"/>
      <c r="BF1760" s="29" t="s">
        <v>2896</v>
      </c>
      <c r="BG1760" s="29" t="s">
        <v>738</v>
      </c>
      <c r="BH1760" s="29" t="s">
        <v>92</v>
      </c>
      <c r="BI1760" s="29" t="s">
        <v>2897</v>
      </c>
      <c r="BJ1760" s="29"/>
      <c r="BK1760" s="29" t="s">
        <v>148</v>
      </c>
      <c r="BL1760" s="29"/>
      <c r="BM1760" s="45">
        <v>1.0</v>
      </c>
      <c r="BN1760" s="45"/>
      <c r="BO1760" s="46" t="s">
        <v>1760</v>
      </c>
      <c r="BP1760" s="2"/>
      <c r="BQ1760" s="3"/>
    </row>
    <row r="1761" ht="15.75" customHeight="1">
      <c r="A1761" s="34">
        <v>1863.0</v>
      </c>
      <c r="B1761" s="34">
        <v>102807.0</v>
      </c>
      <c r="C1761" s="34" t="s">
        <v>76</v>
      </c>
      <c r="D1761" s="34" t="s">
        <v>2887</v>
      </c>
      <c r="E1761" s="34" t="s">
        <v>2888</v>
      </c>
      <c r="F1761" s="34">
        <v>2019.0</v>
      </c>
      <c r="G1761" s="34" t="s">
        <v>2889</v>
      </c>
      <c r="H1761" s="34" t="s">
        <v>816</v>
      </c>
      <c r="I1761" s="34" t="s">
        <v>2890</v>
      </c>
      <c r="J1761" s="35"/>
      <c r="K1761" s="36"/>
      <c r="L1761" s="36"/>
      <c r="M1761" s="36"/>
      <c r="N1761" s="36">
        <v>19.06</v>
      </c>
      <c r="O1761" s="36">
        <v>157.97</v>
      </c>
      <c r="P1761" s="52">
        <f t="shared" si="218"/>
        <v>12.06558207</v>
      </c>
      <c r="Q1761" s="36"/>
      <c r="R1761" s="36" t="s">
        <v>82</v>
      </c>
      <c r="S1761" s="36" t="s">
        <v>2891</v>
      </c>
      <c r="T1761" s="36" t="s">
        <v>295</v>
      </c>
      <c r="U1761" s="36" t="s">
        <v>968</v>
      </c>
      <c r="V1761" s="36"/>
      <c r="W1761" s="36"/>
      <c r="X1761" s="38">
        <v>1.0</v>
      </c>
      <c r="Y1761" s="38" t="s">
        <v>586</v>
      </c>
      <c r="Z1761" s="38" t="s">
        <v>587</v>
      </c>
      <c r="AA1761" s="38" t="s">
        <v>336</v>
      </c>
      <c r="AB1761" s="38" t="s">
        <v>2892</v>
      </c>
      <c r="AC1761" s="38" t="s">
        <v>2893</v>
      </c>
      <c r="AD1761" s="38" t="s">
        <v>198</v>
      </c>
      <c r="AE1761" s="53"/>
      <c r="AF1761" s="38" t="s">
        <v>2894</v>
      </c>
      <c r="AG1761" s="57"/>
      <c r="AH1761" s="38">
        <v>27.0</v>
      </c>
      <c r="AI1761" s="50">
        <v>23.1</v>
      </c>
      <c r="AJ1761" s="50">
        <v>112.34</v>
      </c>
      <c r="AK1761" s="41" t="s">
        <v>200</v>
      </c>
      <c r="AL1761" s="40" t="s">
        <v>200</v>
      </c>
      <c r="AM1761" s="49">
        <v>187.0</v>
      </c>
      <c r="AN1761" s="51">
        <v>187.0</v>
      </c>
      <c r="AO1761" s="42" t="s">
        <v>201</v>
      </c>
      <c r="AP1761" s="43" t="s">
        <v>201</v>
      </c>
      <c r="AQ1761" s="44" t="str">
        <f t="shared" si="217"/>
        <v>EBF</v>
      </c>
      <c r="AR1761" s="44">
        <f t="shared" si="199"/>
        <v>187</v>
      </c>
      <c r="AS1761" s="44" t="str">
        <f t="shared" si="206"/>
        <v>C</v>
      </c>
      <c r="AT1761" s="44" t="str">
        <f t="shared" si="202"/>
        <v>Cf</v>
      </c>
      <c r="AU1761" s="44" t="str">
        <f t="shared" si="203"/>
        <v>Cfa</v>
      </c>
      <c r="AV1761" s="38">
        <v>1.0</v>
      </c>
      <c r="AW1761" s="38"/>
      <c r="AX1761" s="38"/>
      <c r="AY1761" s="38" t="s">
        <v>92</v>
      </c>
      <c r="AZ1761" s="29" t="s">
        <v>2895</v>
      </c>
      <c r="BA1761" s="29"/>
      <c r="BB1761" s="29">
        <v>1.0</v>
      </c>
      <c r="BC1761" s="29"/>
      <c r="BD1761" s="29" t="s">
        <v>88</v>
      </c>
      <c r="BE1761" s="29"/>
      <c r="BF1761" s="29" t="s">
        <v>2896</v>
      </c>
      <c r="BG1761" s="29" t="s">
        <v>738</v>
      </c>
      <c r="BH1761" s="29" t="s">
        <v>92</v>
      </c>
      <c r="BI1761" s="29" t="s">
        <v>2897</v>
      </c>
      <c r="BJ1761" s="29"/>
      <c r="BK1761" s="29" t="s">
        <v>148</v>
      </c>
      <c r="BL1761" s="29"/>
      <c r="BM1761" s="45"/>
      <c r="BN1761" s="45"/>
      <c r="BO1761" s="46"/>
      <c r="BP1761" s="2"/>
      <c r="BQ1761" s="3"/>
    </row>
    <row r="1762" ht="15.75" customHeight="1">
      <c r="A1762" s="34">
        <v>1864.0</v>
      </c>
      <c r="B1762" s="34">
        <v>102807.0</v>
      </c>
      <c r="C1762" s="34" t="s">
        <v>76</v>
      </c>
      <c r="D1762" s="34" t="s">
        <v>2887</v>
      </c>
      <c r="E1762" s="34" t="s">
        <v>2888</v>
      </c>
      <c r="F1762" s="34">
        <v>2019.0</v>
      </c>
      <c r="G1762" s="34" t="s">
        <v>2889</v>
      </c>
      <c r="H1762" s="34" t="s">
        <v>816</v>
      </c>
      <c r="I1762" s="34" t="s">
        <v>2890</v>
      </c>
      <c r="J1762" s="35"/>
      <c r="K1762" s="36"/>
      <c r="L1762" s="36"/>
      <c r="M1762" s="36"/>
      <c r="N1762" s="36">
        <v>17.4</v>
      </c>
      <c r="O1762" s="36">
        <v>132.65</v>
      </c>
      <c r="P1762" s="52">
        <f t="shared" si="218"/>
        <v>13.11722578</v>
      </c>
      <c r="Q1762" s="36"/>
      <c r="R1762" s="36" t="s">
        <v>82</v>
      </c>
      <c r="S1762" s="36" t="s">
        <v>2891</v>
      </c>
      <c r="T1762" s="36" t="s">
        <v>317</v>
      </c>
      <c r="U1762" s="36" t="s">
        <v>194</v>
      </c>
      <c r="V1762" s="36"/>
      <c r="W1762" s="36"/>
      <c r="X1762" s="38">
        <v>1.0</v>
      </c>
      <c r="Y1762" s="38" t="s">
        <v>586</v>
      </c>
      <c r="Z1762" s="38" t="s">
        <v>587</v>
      </c>
      <c r="AA1762" s="38" t="s">
        <v>336</v>
      </c>
      <c r="AB1762" s="38" t="s">
        <v>2892</v>
      </c>
      <c r="AC1762" s="38" t="s">
        <v>2893</v>
      </c>
      <c r="AD1762" s="38" t="s">
        <v>198</v>
      </c>
      <c r="AE1762" s="53"/>
      <c r="AF1762" s="38" t="s">
        <v>2894</v>
      </c>
      <c r="AG1762" s="57"/>
      <c r="AH1762" s="38">
        <v>27.0</v>
      </c>
      <c r="AI1762" s="50">
        <v>23.1</v>
      </c>
      <c r="AJ1762" s="50">
        <v>112.34</v>
      </c>
      <c r="AK1762" s="41" t="s">
        <v>200</v>
      </c>
      <c r="AL1762" s="40" t="s">
        <v>200</v>
      </c>
      <c r="AM1762" s="49">
        <v>187.0</v>
      </c>
      <c r="AN1762" s="51">
        <v>187.0</v>
      </c>
      <c r="AO1762" s="42" t="s">
        <v>201</v>
      </c>
      <c r="AP1762" s="43" t="s">
        <v>201</v>
      </c>
      <c r="AQ1762" s="44" t="str">
        <f t="shared" si="217"/>
        <v>EBF</v>
      </c>
      <c r="AR1762" s="44">
        <f t="shared" si="199"/>
        <v>187</v>
      </c>
      <c r="AS1762" s="44" t="str">
        <f t="shared" si="206"/>
        <v>C</v>
      </c>
      <c r="AT1762" s="44" t="str">
        <f t="shared" si="202"/>
        <v>Cf</v>
      </c>
      <c r="AU1762" s="44" t="str">
        <f t="shared" si="203"/>
        <v>Cfa</v>
      </c>
      <c r="AV1762" s="38">
        <v>1.0</v>
      </c>
      <c r="AW1762" s="38"/>
      <c r="AX1762" s="38"/>
      <c r="AY1762" s="38" t="s">
        <v>92</v>
      </c>
      <c r="AZ1762" s="29" t="s">
        <v>2895</v>
      </c>
      <c r="BA1762" s="29"/>
      <c r="BB1762" s="29">
        <v>1.0</v>
      </c>
      <c r="BC1762" s="29"/>
      <c r="BD1762" s="29" t="s">
        <v>88</v>
      </c>
      <c r="BE1762" s="29"/>
      <c r="BF1762" s="29" t="s">
        <v>2896</v>
      </c>
      <c r="BG1762" s="29" t="s">
        <v>738</v>
      </c>
      <c r="BH1762" s="29" t="s">
        <v>92</v>
      </c>
      <c r="BI1762" s="29" t="s">
        <v>2897</v>
      </c>
      <c r="BJ1762" s="29"/>
      <c r="BK1762" s="29" t="s">
        <v>148</v>
      </c>
      <c r="BL1762" s="29"/>
      <c r="BM1762" s="45"/>
      <c r="BN1762" s="45"/>
      <c r="BO1762" s="46"/>
      <c r="BP1762" s="2"/>
      <c r="BQ1762" s="3"/>
    </row>
    <row r="1763" ht="15.75" customHeight="1">
      <c r="A1763" s="34">
        <v>1865.0</v>
      </c>
      <c r="B1763" s="34">
        <v>102807.0</v>
      </c>
      <c r="C1763" s="34" t="s">
        <v>76</v>
      </c>
      <c r="D1763" s="34" t="s">
        <v>2887</v>
      </c>
      <c r="E1763" s="34" t="s">
        <v>2888</v>
      </c>
      <c r="F1763" s="34">
        <v>2019.0</v>
      </c>
      <c r="G1763" s="34" t="s">
        <v>2889</v>
      </c>
      <c r="H1763" s="34" t="s">
        <v>816</v>
      </c>
      <c r="I1763" s="34" t="s">
        <v>2890</v>
      </c>
      <c r="J1763" s="35"/>
      <c r="K1763" s="36"/>
      <c r="L1763" s="36"/>
      <c r="M1763" s="36"/>
      <c r="N1763" s="36">
        <v>23.08</v>
      </c>
      <c r="O1763" s="36">
        <v>144.74</v>
      </c>
      <c r="P1763" s="52">
        <f t="shared" si="218"/>
        <v>15.94583391</v>
      </c>
      <c r="Q1763" s="36"/>
      <c r="R1763" s="36" t="s">
        <v>82</v>
      </c>
      <c r="S1763" s="36" t="s">
        <v>2891</v>
      </c>
      <c r="T1763" s="36" t="s">
        <v>193</v>
      </c>
      <c r="U1763" s="36" t="s">
        <v>194</v>
      </c>
      <c r="V1763" s="36"/>
      <c r="W1763" s="36"/>
      <c r="X1763" s="38">
        <v>1.0</v>
      </c>
      <c r="Y1763" s="38" t="s">
        <v>586</v>
      </c>
      <c r="Z1763" s="38" t="s">
        <v>587</v>
      </c>
      <c r="AA1763" s="38" t="s">
        <v>336</v>
      </c>
      <c r="AB1763" s="38" t="s">
        <v>2892</v>
      </c>
      <c r="AC1763" s="38" t="s">
        <v>2893</v>
      </c>
      <c r="AD1763" s="38" t="s">
        <v>198</v>
      </c>
      <c r="AE1763" s="53"/>
      <c r="AF1763" s="38" t="s">
        <v>2894</v>
      </c>
      <c r="AG1763" s="57"/>
      <c r="AH1763" s="38">
        <v>27.0</v>
      </c>
      <c r="AI1763" s="50">
        <v>23.1</v>
      </c>
      <c r="AJ1763" s="50">
        <v>112.34</v>
      </c>
      <c r="AK1763" s="41" t="s">
        <v>200</v>
      </c>
      <c r="AL1763" s="40" t="s">
        <v>200</v>
      </c>
      <c r="AM1763" s="49">
        <v>187.0</v>
      </c>
      <c r="AN1763" s="51">
        <v>187.0</v>
      </c>
      <c r="AO1763" s="42" t="s">
        <v>201</v>
      </c>
      <c r="AP1763" s="43" t="s">
        <v>201</v>
      </c>
      <c r="AQ1763" s="44" t="str">
        <f t="shared" si="217"/>
        <v>EBF</v>
      </c>
      <c r="AR1763" s="44">
        <f t="shared" si="199"/>
        <v>187</v>
      </c>
      <c r="AS1763" s="44" t="str">
        <f t="shared" si="206"/>
        <v>C</v>
      </c>
      <c r="AT1763" s="44" t="str">
        <f t="shared" si="202"/>
        <v>Cf</v>
      </c>
      <c r="AU1763" s="44" t="str">
        <f t="shared" si="203"/>
        <v>Cfa</v>
      </c>
      <c r="AV1763" s="38">
        <v>1.0</v>
      </c>
      <c r="AW1763" s="38"/>
      <c r="AX1763" s="38"/>
      <c r="AY1763" s="38" t="s">
        <v>92</v>
      </c>
      <c r="AZ1763" s="29" t="s">
        <v>2895</v>
      </c>
      <c r="BA1763" s="29"/>
      <c r="BB1763" s="29">
        <v>1.0</v>
      </c>
      <c r="BC1763" s="29"/>
      <c r="BD1763" s="29" t="s">
        <v>88</v>
      </c>
      <c r="BE1763" s="29"/>
      <c r="BF1763" s="29" t="s">
        <v>2896</v>
      </c>
      <c r="BG1763" s="29" t="s">
        <v>738</v>
      </c>
      <c r="BH1763" s="29" t="s">
        <v>92</v>
      </c>
      <c r="BI1763" s="29" t="s">
        <v>2897</v>
      </c>
      <c r="BJ1763" s="29"/>
      <c r="BK1763" s="29" t="s">
        <v>148</v>
      </c>
      <c r="BL1763" s="29"/>
      <c r="BM1763" s="45"/>
      <c r="BN1763" s="45"/>
      <c r="BO1763" s="46"/>
      <c r="BP1763" s="2"/>
      <c r="BQ1763" s="3"/>
    </row>
    <row r="1764" ht="15.75" customHeight="1">
      <c r="A1764" s="34">
        <v>1866.0</v>
      </c>
      <c r="B1764" s="34">
        <v>102807.0</v>
      </c>
      <c r="C1764" s="34" t="s">
        <v>76</v>
      </c>
      <c r="D1764" s="34" t="s">
        <v>2887</v>
      </c>
      <c r="E1764" s="34" t="s">
        <v>2888</v>
      </c>
      <c r="F1764" s="34">
        <v>2019.0</v>
      </c>
      <c r="G1764" s="34" t="s">
        <v>2889</v>
      </c>
      <c r="H1764" s="34" t="s">
        <v>816</v>
      </c>
      <c r="I1764" s="34" t="s">
        <v>2890</v>
      </c>
      <c r="J1764" s="35"/>
      <c r="K1764" s="36"/>
      <c r="L1764" s="36"/>
      <c r="M1764" s="36"/>
      <c r="N1764" s="36"/>
      <c r="O1764" s="36"/>
      <c r="P1764" s="52">
        <v>14.3</v>
      </c>
      <c r="Q1764" s="36"/>
      <c r="R1764" s="36" t="s">
        <v>191</v>
      </c>
      <c r="S1764" s="36" t="s">
        <v>2891</v>
      </c>
      <c r="T1764" s="36" t="s">
        <v>193</v>
      </c>
      <c r="U1764" s="36" t="s">
        <v>194</v>
      </c>
      <c r="V1764" s="36"/>
      <c r="W1764" s="36"/>
      <c r="X1764" s="38">
        <v>1.0</v>
      </c>
      <c r="Y1764" s="38" t="s">
        <v>586</v>
      </c>
      <c r="Z1764" s="38" t="s">
        <v>587</v>
      </c>
      <c r="AA1764" s="38" t="s">
        <v>336</v>
      </c>
      <c r="AB1764" s="38" t="s">
        <v>2892</v>
      </c>
      <c r="AC1764" s="38" t="s">
        <v>2893</v>
      </c>
      <c r="AD1764" s="38" t="s">
        <v>198</v>
      </c>
      <c r="AE1764" s="53"/>
      <c r="AF1764" s="38" t="s">
        <v>2894</v>
      </c>
      <c r="AG1764" s="57"/>
      <c r="AH1764" s="38">
        <v>27.0</v>
      </c>
      <c r="AI1764" s="50">
        <v>23.1</v>
      </c>
      <c r="AJ1764" s="50">
        <v>112.34</v>
      </c>
      <c r="AK1764" s="41" t="s">
        <v>200</v>
      </c>
      <c r="AL1764" s="40" t="s">
        <v>200</v>
      </c>
      <c r="AM1764" s="49">
        <v>187.0</v>
      </c>
      <c r="AN1764" s="51">
        <v>187.0</v>
      </c>
      <c r="AO1764" s="42" t="s">
        <v>201</v>
      </c>
      <c r="AP1764" s="43" t="s">
        <v>201</v>
      </c>
      <c r="AQ1764" s="44" t="str">
        <f t="shared" si="217"/>
        <v>EBF</v>
      </c>
      <c r="AR1764" s="44">
        <f t="shared" si="199"/>
        <v>187</v>
      </c>
      <c r="AS1764" s="44" t="str">
        <f t="shared" si="206"/>
        <v>C</v>
      </c>
      <c r="AT1764" s="44" t="str">
        <f t="shared" si="202"/>
        <v>Cf</v>
      </c>
      <c r="AU1764" s="44" t="str">
        <f t="shared" si="203"/>
        <v>Cfa</v>
      </c>
      <c r="AV1764" s="38">
        <v>1.0</v>
      </c>
      <c r="AW1764" s="38"/>
      <c r="AX1764" s="38"/>
      <c r="AY1764" s="38" t="s">
        <v>92</v>
      </c>
      <c r="AZ1764" s="29" t="s">
        <v>2895</v>
      </c>
      <c r="BA1764" s="29"/>
      <c r="BB1764" s="29">
        <v>1.0</v>
      </c>
      <c r="BC1764" s="29"/>
      <c r="BD1764" s="29" t="s">
        <v>88</v>
      </c>
      <c r="BE1764" s="29"/>
      <c r="BF1764" s="29" t="s">
        <v>2896</v>
      </c>
      <c r="BG1764" s="29" t="s">
        <v>738</v>
      </c>
      <c r="BH1764" s="29" t="s">
        <v>92</v>
      </c>
      <c r="BI1764" s="29" t="s">
        <v>2897</v>
      </c>
      <c r="BJ1764" s="29"/>
      <c r="BK1764" s="29" t="s">
        <v>148</v>
      </c>
      <c r="BL1764" s="29"/>
      <c r="BM1764" s="45"/>
      <c r="BN1764" s="45"/>
      <c r="BO1764" s="46"/>
      <c r="BP1764" s="2"/>
      <c r="BQ1764" s="3"/>
    </row>
    <row r="1765" ht="15.75" customHeight="1">
      <c r="A1765" s="34">
        <v>1867.0</v>
      </c>
      <c r="B1765" s="34">
        <v>102807.0</v>
      </c>
      <c r="C1765" s="34" t="s">
        <v>76</v>
      </c>
      <c r="D1765" s="34" t="s">
        <v>2887</v>
      </c>
      <c r="E1765" s="34" t="s">
        <v>2888</v>
      </c>
      <c r="F1765" s="34">
        <v>2019.0</v>
      </c>
      <c r="G1765" s="34" t="s">
        <v>2889</v>
      </c>
      <c r="H1765" s="34" t="s">
        <v>816</v>
      </c>
      <c r="I1765" s="34" t="s">
        <v>2890</v>
      </c>
      <c r="J1765" s="35"/>
      <c r="K1765" s="36"/>
      <c r="L1765" s="36"/>
      <c r="M1765" s="36"/>
      <c r="N1765" s="36"/>
      <c r="O1765" s="36"/>
      <c r="P1765" s="52">
        <v>19.6</v>
      </c>
      <c r="Q1765" s="36"/>
      <c r="R1765" s="36" t="s">
        <v>191</v>
      </c>
      <c r="S1765" s="36" t="s">
        <v>2891</v>
      </c>
      <c r="T1765" s="36" t="s">
        <v>193</v>
      </c>
      <c r="U1765" s="36" t="s">
        <v>194</v>
      </c>
      <c r="V1765" s="36"/>
      <c r="W1765" s="36"/>
      <c r="X1765" s="38">
        <v>1.0</v>
      </c>
      <c r="Y1765" s="38" t="s">
        <v>586</v>
      </c>
      <c r="Z1765" s="38" t="s">
        <v>587</v>
      </c>
      <c r="AA1765" s="38" t="s">
        <v>336</v>
      </c>
      <c r="AB1765" s="38" t="s">
        <v>2892</v>
      </c>
      <c r="AC1765" s="38" t="s">
        <v>2893</v>
      </c>
      <c r="AD1765" s="38" t="s">
        <v>198</v>
      </c>
      <c r="AE1765" s="53"/>
      <c r="AF1765" s="38" t="s">
        <v>2894</v>
      </c>
      <c r="AG1765" s="57"/>
      <c r="AH1765" s="38">
        <v>27.0</v>
      </c>
      <c r="AI1765" s="50">
        <v>23.1</v>
      </c>
      <c r="AJ1765" s="50">
        <v>112.34</v>
      </c>
      <c r="AK1765" s="41" t="s">
        <v>200</v>
      </c>
      <c r="AL1765" s="40" t="s">
        <v>200</v>
      </c>
      <c r="AM1765" s="49">
        <v>187.0</v>
      </c>
      <c r="AN1765" s="51">
        <v>187.0</v>
      </c>
      <c r="AO1765" s="42" t="s">
        <v>201</v>
      </c>
      <c r="AP1765" s="43" t="s">
        <v>201</v>
      </c>
      <c r="AQ1765" s="44" t="str">
        <f t="shared" si="217"/>
        <v>EBF</v>
      </c>
      <c r="AR1765" s="44">
        <f t="shared" si="199"/>
        <v>187</v>
      </c>
      <c r="AS1765" s="44" t="str">
        <f t="shared" si="206"/>
        <v>C</v>
      </c>
      <c r="AT1765" s="44" t="str">
        <f t="shared" si="202"/>
        <v>Cf</v>
      </c>
      <c r="AU1765" s="44" t="str">
        <f t="shared" si="203"/>
        <v>Cfa</v>
      </c>
      <c r="AV1765" s="38">
        <v>1.0</v>
      </c>
      <c r="AW1765" s="38"/>
      <c r="AX1765" s="38"/>
      <c r="AY1765" s="38" t="s">
        <v>92</v>
      </c>
      <c r="AZ1765" s="29" t="s">
        <v>2895</v>
      </c>
      <c r="BA1765" s="29"/>
      <c r="BB1765" s="29">
        <v>1.0</v>
      </c>
      <c r="BC1765" s="29"/>
      <c r="BD1765" s="29" t="s">
        <v>88</v>
      </c>
      <c r="BE1765" s="29"/>
      <c r="BF1765" s="29" t="s">
        <v>2896</v>
      </c>
      <c r="BG1765" s="29" t="s">
        <v>738</v>
      </c>
      <c r="BH1765" s="29" t="s">
        <v>92</v>
      </c>
      <c r="BI1765" s="29" t="s">
        <v>2897</v>
      </c>
      <c r="BJ1765" s="29"/>
      <c r="BK1765" s="29" t="s">
        <v>148</v>
      </c>
      <c r="BL1765" s="29"/>
      <c r="BM1765" s="45"/>
      <c r="BN1765" s="45"/>
      <c r="BO1765" s="46"/>
      <c r="BP1765" s="2"/>
      <c r="BQ1765" s="3"/>
    </row>
    <row r="1766" ht="15.75" customHeight="1">
      <c r="A1766" s="34">
        <v>1868.0</v>
      </c>
      <c r="B1766" s="34">
        <v>102807.0</v>
      </c>
      <c r="C1766" s="34" t="s">
        <v>76</v>
      </c>
      <c r="D1766" s="34" t="s">
        <v>2887</v>
      </c>
      <c r="E1766" s="34" t="s">
        <v>2888</v>
      </c>
      <c r="F1766" s="34">
        <v>2019.0</v>
      </c>
      <c r="G1766" s="34" t="s">
        <v>2889</v>
      </c>
      <c r="H1766" s="34" t="s">
        <v>816</v>
      </c>
      <c r="I1766" s="34" t="s">
        <v>2890</v>
      </c>
      <c r="J1766" s="35"/>
      <c r="K1766" s="36"/>
      <c r="L1766" s="36"/>
      <c r="M1766" s="36"/>
      <c r="N1766" s="36">
        <v>3.04</v>
      </c>
      <c r="O1766" s="36">
        <v>179.28</v>
      </c>
      <c r="P1766" s="52">
        <f t="shared" ref="P1766:P1769" si="219">N1766/O1766*100</f>
        <v>1.695671575</v>
      </c>
      <c r="Q1766" s="36"/>
      <c r="R1766" s="36" t="s">
        <v>82</v>
      </c>
      <c r="S1766" s="36" t="s">
        <v>2891</v>
      </c>
      <c r="T1766" s="36" t="s">
        <v>193</v>
      </c>
      <c r="U1766" s="36" t="s">
        <v>363</v>
      </c>
      <c r="V1766" s="36"/>
      <c r="W1766" s="36"/>
      <c r="X1766" s="38">
        <v>1.0</v>
      </c>
      <c r="Y1766" s="38" t="s">
        <v>195</v>
      </c>
      <c r="Z1766" s="68" t="s">
        <v>196</v>
      </c>
      <c r="AA1766" s="38" t="s">
        <v>336</v>
      </c>
      <c r="AB1766" s="38" t="s">
        <v>2898</v>
      </c>
      <c r="AC1766" s="38" t="s">
        <v>2899</v>
      </c>
      <c r="AD1766" s="38" t="s">
        <v>198</v>
      </c>
      <c r="AE1766" s="38">
        <v>102.0</v>
      </c>
      <c r="AF1766" s="38" t="s">
        <v>2900</v>
      </c>
      <c r="AG1766" s="38"/>
      <c r="AH1766" s="38">
        <v>39.6</v>
      </c>
      <c r="AI1766" s="50">
        <v>23.1</v>
      </c>
      <c r="AJ1766" s="50">
        <v>112.34</v>
      </c>
      <c r="AK1766" s="41" t="s">
        <v>200</v>
      </c>
      <c r="AL1766" s="40" t="s">
        <v>200</v>
      </c>
      <c r="AM1766" s="49">
        <v>187.0</v>
      </c>
      <c r="AN1766" s="51">
        <v>187.0</v>
      </c>
      <c r="AO1766" s="42" t="s">
        <v>201</v>
      </c>
      <c r="AP1766" s="43" t="s">
        <v>201</v>
      </c>
      <c r="AQ1766" s="44" t="str">
        <f t="shared" si="217"/>
        <v>EBF</v>
      </c>
      <c r="AR1766" s="44">
        <f t="shared" si="199"/>
        <v>187</v>
      </c>
      <c r="AS1766" s="44" t="str">
        <f t="shared" si="206"/>
        <v>C</v>
      </c>
      <c r="AT1766" s="44" t="str">
        <f t="shared" si="202"/>
        <v>Cf</v>
      </c>
      <c r="AU1766" s="44" t="str">
        <f t="shared" si="203"/>
        <v>Cfa</v>
      </c>
      <c r="AV1766" s="38">
        <v>1.0</v>
      </c>
      <c r="AW1766" s="38"/>
      <c r="AX1766" s="38"/>
      <c r="AY1766" s="38" t="s">
        <v>92</v>
      </c>
      <c r="AZ1766" s="29" t="s">
        <v>2895</v>
      </c>
      <c r="BA1766" s="29"/>
      <c r="BB1766" s="29">
        <v>1.0</v>
      </c>
      <c r="BC1766" s="29"/>
      <c r="BD1766" s="29" t="s">
        <v>88</v>
      </c>
      <c r="BE1766" s="29"/>
      <c r="BF1766" s="29" t="s">
        <v>2896</v>
      </c>
      <c r="BG1766" s="29" t="s">
        <v>738</v>
      </c>
      <c r="BH1766" s="29" t="s">
        <v>92</v>
      </c>
      <c r="BI1766" s="29" t="s">
        <v>2897</v>
      </c>
      <c r="BJ1766" s="29"/>
      <c r="BK1766" s="29" t="s">
        <v>148</v>
      </c>
      <c r="BL1766" s="29"/>
      <c r="BM1766" s="45"/>
      <c r="BN1766" s="45"/>
      <c r="BO1766" s="46"/>
      <c r="BP1766" s="2"/>
      <c r="BQ1766" s="3"/>
    </row>
    <row r="1767" ht="15.75" customHeight="1">
      <c r="A1767" s="34">
        <v>1869.0</v>
      </c>
      <c r="B1767" s="34">
        <v>102807.0</v>
      </c>
      <c r="C1767" s="34" t="s">
        <v>76</v>
      </c>
      <c r="D1767" s="34" t="s">
        <v>2887</v>
      </c>
      <c r="E1767" s="34" t="s">
        <v>2888</v>
      </c>
      <c r="F1767" s="34">
        <v>2019.0</v>
      </c>
      <c r="G1767" s="34" t="s">
        <v>2889</v>
      </c>
      <c r="H1767" s="34" t="s">
        <v>816</v>
      </c>
      <c r="I1767" s="34" t="s">
        <v>2890</v>
      </c>
      <c r="J1767" s="35"/>
      <c r="K1767" s="36"/>
      <c r="L1767" s="36"/>
      <c r="M1767" s="36"/>
      <c r="N1767" s="36">
        <v>-23.87</v>
      </c>
      <c r="O1767" s="36">
        <v>200.35</v>
      </c>
      <c r="P1767" s="52">
        <f t="shared" si="219"/>
        <v>-11.91415024</v>
      </c>
      <c r="Q1767" s="36"/>
      <c r="R1767" s="36" t="s">
        <v>82</v>
      </c>
      <c r="S1767" s="36" t="s">
        <v>2891</v>
      </c>
      <c r="T1767" s="36" t="s">
        <v>295</v>
      </c>
      <c r="U1767" s="36" t="s">
        <v>968</v>
      </c>
      <c r="V1767" s="36"/>
      <c r="W1767" s="36"/>
      <c r="X1767" s="38">
        <v>1.0</v>
      </c>
      <c r="Y1767" s="38" t="s">
        <v>195</v>
      </c>
      <c r="Z1767" s="68" t="s">
        <v>196</v>
      </c>
      <c r="AA1767" s="38" t="s">
        <v>336</v>
      </c>
      <c r="AB1767" s="38" t="s">
        <v>2898</v>
      </c>
      <c r="AC1767" s="38" t="s">
        <v>2899</v>
      </c>
      <c r="AD1767" s="38" t="s">
        <v>198</v>
      </c>
      <c r="AE1767" s="38">
        <v>102.0</v>
      </c>
      <c r="AF1767" s="38" t="s">
        <v>2900</v>
      </c>
      <c r="AG1767" s="38"/>
      <c r="AH1767" s="38">
        <v>39.6</v>
      </c>
      <c r="AI1767" s="50">
        <v>23.1</v>
      </c>
      <c r="AJ1767" s="50">
        <v>112.34</v>
      </c>
      <c r="AK1767" s="41" t="s">
        <v>200</v>
      </c>
      <c r="AL1767" s="40" t="s">
        <v>200</v>
      </c>
      <c r="AM1767" s="49">
        <v>187.0</v>
      </c>
      <c r="AN1767" s="51">
        <v>187.0</v>
      </c>
      <c r="AO1767" s="42" t="s">
        <v>201</v>
      </c>
      <c r="AP1767" s="43" t="s">
        <v>201</v>
      </c>
      <c r="AQ1767" s="44" t="str">
        <f t="shared" si="217"/>
        <v>EBF</v>
      </c>
      <c r="AR1767" s="44">
        <f t="shared" si="199"/>
        <v>187</v>
      </c>
      <c r="AS1767" s="44" t="str">
        <f t="shared" si="206"/>
        <v>C</v>
      </c>
      <c r="AT1767" s="44" t="str">
        <f t="shared" si="202"/>
        <v>Cf</v>
      </c>
      <c r="AU1767" s="44" t="str">
        <f t="shared" si="203"/>
        <v>Cfa</v>
      </c>
      <c r="AV1767" s="38">
        <v>1.0</v>
      </c>
      <c r="AW1767" s="38"/>
      <c r="AX1767" s="38"/>
      <c r="AY1767" s="38" t="s">
        <v>92</v>
      </c>
      <c r="AZ1767" s="29" t="s">
        <v>2895</v>
      </c>
      <c r="BA1767" s="29"/>
      <c r="BB1767" s="29">
        <v>1.0</v>
      </c>
      <c r="BC1767" s="29"/>
      <c r="BD1767" s="29" t="s">
        <v>88</v>
      </c>
      <c r="BE1767" s="29"/>
      <c r="BF1767" s="29" t="s">
        <v>2896</v>
      </c>
      <c r="BG1767" s="29" t="s">
        <v>738</v>
      </c>
      <c r="BH1767" s="29" t="s">
        <v>92</v>
      </c>
      <c r="BI1767" s="29" t="s">
        <v>2897</v>
      </c>
      <c r="BJ1767" s="29"/>
      <c r="BK1767" s="29" t="s">
        <v>148</v>
      </c>
      <c r="BL1767" s="29"/>
      <c r="BM1767" s="45"/>
      <c r="BN1767" s="45"/>
      <c r="BO1767" s="46"/>
      <c r="BP1767" s="2"/>
      <c r="BQ1767" s="3"/>
    </row>
    <row r="1768" ht="15.75" customHeight="1">
      <c r="A1768" s="34">
        <v>1870.0</v>
      </c>
      <c r="B1768" s="34">
        <v>102807.0</v>
      </c>
      <c r="C1768" s="34" t="s">
        <v>76</v>
      </c>
      <c r="D1768" s="34" t="s">
        <v>2887</v>
      </c>
      <c r="E1768" s="34" t="s">
        <v>2888</v>
      </c>
      <c r="F1768" s="34">
        <v>2019.0</v>
      </c>
      <c r="G1768" s="34" t="s">
        <v>2889</v>
      </c>
      <c r="H1768" s="34" t="s">
        <v>816</v>
      </c>
      <c r="I1768" s="34" t="s">
        <v>2890</v>
      </c>
      <c r="J1768" s="35"/>
      <c r="K1768" s="36"/>
      <c r="L1768" s="36"/>
      <c r="M1768" s="36"/>
      <c r="N1768" s="36">
        <v>52.9</v>
      </c>
      <c r="O1768" s="36">
        <v>119.39</v>
      </c>
      <c r="P1768" s="52">
        <f t="shared" si="219"/>
        <v>44.30856856</v>
      </c>
      <c r="Q1768" s="36"/>
      <c r="R1768" s="36" t="s">
        <v>82</v>
      </c>
      <c r="S1768" s="36" t="s">
        <v>2891</v>
      </c>
      <c r="T1768" s="36" t="s">
        <v>317</v>
      </c>
      <c r="U1768" s="36" t="s">
        <v>194</v>
      </c>
      <c r="V1768" s="36"/>
      <c r="W1768" s="36"/>
      <c r="X1768" s="38">
        <v>1.0</v>
      </c>
      <c r="Y1768" s="38" t="s">
        <v>195</v>
      </c>
      <c r="Z1768" s="68" t="s">
        <v>196</v>
      </c>
      <c r="AA1768" s="38" t="s">
        <v>336</v>
      </c>
      <c r="AB1768" s="38" t="s">
        <v>2898</v>
      </c>
      <c r="AC1768" s="38" t="s">
        <v>2899</v>
      </c>
      <c r="AD1768" s="38" t="s">
        <v>198</v>
      </c>
      <c r="AE1768" s="38">
        <v>102.0</v>
      </c>
      <c r="AF1768" s="38" t="s">
        <v>2900</v>
      </c>
      <c r="AG1768" s="38"/>
      <c r="AH1768" s="38">
        <v>39.6</v>
      </c>
      <c r="AI1768" s="50">
        <v>23.1</v>
      </c>
      <c r="AJ1768" s="50">
        <v>112.34</v>
      </c>
      <c r="AK1768" s="41" t="s">
        <v>200</v>
      </c>
      <c r="AL1768" s="40" t="s">
        <v>200</v>
      </c>
      <c r="AM1768" s="49">
        <v>187.0</v>
      </c>
      <c r="AN1768" s="51">
        <v>187.0</v>
      </c>
      <c r="AO1768" s="42" t="s">
        <v>201</v>
      </c>
      <c r="AP1768" s="43" t="s">
        <v>201</v>
      </c>
      <c r="AQ1768" s="44" t="str">
        <f t="shared" si="217"/>
        <v>EBF</v>
      </c>
      <c r="AR1768" s="44">
        <f t="shared" si="199"/>
        <v>187</v>
      </c>
      <c r="AS1768" s="44" t="str">
        <f t="shared" si="206"/>
        <v>C</v>
      </c>
      <c r="AT1768" s="44" t="str">
        <f t="shared" si="202"/>
        <v>Cf</v>
      </c>
      <c r="AU1768" s="44" t="str">
        <f t="shared" si="203"/>
        <v>Cfa</v>
      </c>
      <c r="AV1768" s="38">
        <v>1.0</v>
      </c>
      <c r="AW1768" s="38"/>
      <c r="AX1768" s="38"/>
      <c r="AY1768" s="38" t="s">
        <v>92</v>
      </c>
      <c r="AZ1768" s="29" t="s">
        <v>2895</v>
      </c>
      <c r="BA1768" s="29"/>
      <c r="BB1768" s="29">
        <v>1.0</v>
      </c>
      <c r="BC1768" s="29"/>
      <c r="BD1768" s="29" t="s">
        <v>88</v>
      </c>
      <c r="BE1768" s="29"/>
      <c r="BF1768" s="29" t="s">
        <v>2896</v>
      </c>
      <c r="BG1768" s="29" t="s">
        <v>738</v>
      </c>
      <c r="BH1768" s="29" t="s">
        <v>92</v>
      </c>
      <c r="BI1768" s="29" t="s">
        <v>2897</v>
      </c>
      <c r="BJ1768" s="29"/>
      <c r="BK1768" s="29" t="s">
        <v>148</v>
      </c>
      <c r="BL1768" s="29"/>
      <c r="BM1768" s="45"/>
      <c r="BN1768" s="45"/>
      <c r="BO1768" s="46"/>
      <c r="BP1768" s="2" t="s">
        <v>2901</v>
      </c>
      <c r="BQ1768" s="3"/>
    </row>
    <row r="1769" ht="15.75" customHeight="1">
      <c r="A1769" s="34">
        <v>1871.0</v>
      </c>
      <c r="B1769" s="34">
        <v>102807.0</v>
      </c>
      <c r="C1769" s="34" t="s">
        <v>76</v>
      </c>
      <c r="D1769" s="34" t="s">
        <v>2887</v>
      </c>
      <c r="E1769" s="34" t="s">
        <v>2888</v>
      </c>
      <c r="F1769" s="34">
        <v>2019.0</v>
      </c>
      <c r="G1769" s="34" t="s">
        <v>2889</v>
      </c>
      <c r="H1769" s="34" t="s">
        <v>816</v>
      </c>
      <c r="I1769" s="34" t="s">
        <v>2890</v>
      </c>
      <c r="J1769" s="35"/>
      <c r="K1769" s="36"/>
      <c r="L1769" s="36"/>
      <c r="M1769" s="36"/>
      <c r="N1769" s="36">
        <v>10.69</v>
      </c>
      <c r="O1769" s="36">
        <v>166.34</v>
      </c>
      <c r="P1769" s="52">
        <f t="shared" si="219"/>
        <v>6.426596128</v>
      </c>
      <c r="Q1769" s="36"/>
      <c r="R1769" s="36" t="s">
        <v>82</v>
      </c>
      <c r="S1769" s="36" t="s">
        <v>2891</v>
      </c>
      <c r="T1769" s="36" t="s">
        <v>193</v>
      </c>
      <c r="U1769" s="36" t="s">
        <v>194</v>
      </c>
      <c r="V1769" s="36"/>
      <c r="W1769" s="36"/>
      <c r="X1769" s="38">
        <v>1.0</v>
      </c>
      <c r="Y1769" s="38" t="s">
        <v>195</v>
      </c>
      <c r="Z1769" s="68" t="s">
        <v>196</v>
      </c>
      <c r="AA1769" s="38" t="s">
        <v>336</v>
      </c>
      <c r="AB1769" s="38" t="s">
        <v>2898</v>
      </c>
      <c r="AC1769" s="38" t="s">
        <v>2899</v>
      </c>
      <c r="AD1769" s="38" t="s">
        <v>198</v>
      </c>
      <c r="AE1769" s="38">
        <v>102.0</v>
      </c>
      <c r="AF1769" s="38" t="s">
        <v>2900</v>
      </c>
      <c r="AG1769" s="38"/>
      <c r="AH1769" s="38">
        <v>39.6</v>
      </c>
      <c r="AI1769" s="50">
        <v>23.1</v>
      </c>
      <c r="AJ1769" s="50">
        <v>112.34</v>
      </c>
      <c r="AK1769" s="41" t="s">
        <v>200</v>
      </c>
      <c r="AL1769" s="40" t="s">
        <v>200</v>
      </c>
      <c r="AM1769" s="49">
        <v>187.0</v>
      </c>
      <c r="AN1769" s="51">
        <v>187.0</v>
      </c>
      <c r="AO1769" s="42" t="s">
        <v>201</v>
      </c>
      <c r="AP1769" s="43" t="s">
        <v>201</v>
      </c>
      <c r="AQ1769" s="44" t="str">
        <f t="shared" si="217"/>
        <v>EBF</v>
      </c>
      <c r="AR1769" s="44">
        <f t="shared" si="199"/>
        <v>187</v>
      </c>
      <c r="AS1769" s="44" t="str">
        <f t="shared" si="206"/>
        <v>C</v>
      </c>
      <c r="AT1769" s="44" t="str">
        <f t="shared" si="202"/>
        <v>Cf</v>
      </c>
      <c r="AU1769" s="44" t="str">
        <f t="shared" si="203"/>
        <v>Cfa</v>
      </c>
      <c r="AV1769" s="38">
        <v>1.0</v>
      </c>
      <c r="AW1769" s="38"/>
      <c r="AX1769" s="38"/>
      <c r="AY1769" s="38" t="s">
        <v>92</v>
      </c>
      <c r="AZ1769" s="29" t="s">
        <v>2895</v>
      </c>
      <c r="BA1769" s="29"/>
      <c r="BB1769" s="29">
        <v>1.0</v>
      </c>
      <c r="BC1769" s="29"/>
      <c r="BD1769" s="29" t="s">
        <v>88</v>
      </c>
      <c r="BE1769" s="29"/>
      <c r="BF1769" s="29" t="s">
        <v>2896</v>
      </c>
      <c r="BG1769" s="29" t="s">
        <v>738</v>
      </c>
      <c r="BH1769" s="29" t="s">
        <v>92</v>
      </c>
      <c r="BI1769" s="29" t="s">
        <v>2897</v>
      </c>
      <c r="BJ1769" s="29"/>
      <c r="BK1769" s="29" t="s">
        <v>148</v>
      </c>
      <c r="BL1769" s="29"/>
      <c r="BM1769" s="45"/>
      <c r="BN1769" s="45"/>
      <c r="BO1769" s="46"/>
      <c r="BP1769" s="2" t="s">
        <v>2902</v>
      </c>
      <c r="BQ1769" s="3"/>
    </row>
    <row r="1770" ht="15.75" customHeight="1">
      <c r="A1770" s="34">
        <v>1872.0</v>
      </c>
      <c r="B1770" s="34">
        <v>102807.0</v>
      </c>
      <c r="C1770" s="34" t="s">
        <v>76</v>
      </c>
      <c r="D1770" s="34" t="s">
        <v>2887</v>
      </c>
      <c r="E1770" s="34" t="s">
        <v>2888</v>
      </c>
      <c r="F1770" s="34">
        <v>2019.0</v>
      </c>
      <c r="G1770" s="34" t="s">
        <v>2889</v>
      </c>
      <c r="H1770" s="34" t="s">
        <v>816</v>
      </c>
      <c r="I1770" s="34" t="s">
        <v>2890</v>
      </c>
      <c r="J1770" s="35"/>
      <c r="K1770" s="36"/>
      <c r="L1770" s="36"/>
      <c r="M1770" s="36"/>
      <c r="N1770" s="36"/>
      <c r="O1770" s="36"/>
      <c r="P1770" s="52">
        <v>0.3</v>
      </c>
      <c r="Q1770" s="36"/>
      <c r="R1770" s="36" t="s">
        <v>191</v>
      </c>
      <c r="S1770" s="36" t="s">
        <v>2891</v>
      </c>
      <c r="T1770" s="36" t="s">
        <v>193</v>
      </c>
      <c r="U1770" s="36" t="s">
        <v>194</v>
      </c>
      <c r="V1770" s="36"/>
      <c r="W1770" s="36"/>
      <c r="X1770" s="38">
        <v>1.0</v>
      </c>
      <c r="Y1770" s="38" t="s">
        <v>195</v>
      </c>
      <c r="Z1770" s="68" t="s">
        <v>196</v>
      </c>
      <c r="AA1770" s="38" t="s">
        <v>336</v>
      </c>
      <c r="AB1770" s="38" t="s">
        <v>2898</v>
      </c>
      <c r="AC1770" s="38" t="s">
        <v>2899</v>
      </c>
      <c r="AD1770" s="38" t="s">
        <v>198</v>
      </c>
      <c r="AE1770" s="38">
        <v>102.0</v>
      </c>
      <c r="AF1770" s="38" t="s">
        <v>2900</v>
      </c>
      <c r="AG1770" s="38"/>
      <c r="AH1770" s="38">
        <v>39.6</v>
      </c>
      <c r="AI1770" s="50">
        <v>23.1</v>
      </c>
      <c r="AJ1770" s="50">
        <v>112.34</v>
      </c>
      <c r="AK1770" s="41" t="s">
        <v>200</v>
      </c>
      <c r="AL1770" s="40" t="s">
        <v>200</v>
      </c>
      <c r="AM1770" s="49">
        <v>187.0</v>
      </c>
      <c r="AN1770" s="51">
        <v>187.0</v>
      </c>
      <c r="AO1770" s="42" t="s">
        <v>201</v>
      </c>
      <c r="AP1770" s="43" t="s">
        <v>201</v>
      </c>
      <c r="AQ1770" s="44" t="str">
        <f t="shared" si="217"/>
        <v>EBF</v>
      </c>
      <c r="AR1770" s="44">
        <f t="shared" si="199"/>
        <v>187</v>
      </c>
      <c r="AS1770" s="44" t="str">
        <f t="shared" si="206"/>
        <v>C</v>
      </c>
      <c r="AT1770" s="44" t="str">
        <f t="shared" si="202"/>
        <v>Cf</v>
      </c>
      <c r="AU1770" s="44" t="str">
        <f t="shared" si="203"/>
        <v>Cfa</v>
      </c>
      <c r="AV1770" s="38">
        <v>1.0</v>
      </c>
      <c r="AW1770" s="38"/>
      <c r="AX1770" s="38"/>
      <c r="AY1770" s="38" t="s">
        <v>92</v>
      </c>
      <c r="AZ1770" s="29" t="s">
        <v>2895</v>
      </c>
      <c r="BA1770" s="29"/>
      <c r="BB1770" s="29">
        <v>1.0</v>
      </c>
      <c r="BC1770" s="29"/>
      <c r="BD1770" s="29" t="s">
        <v>88</v>
      </c>
      <c r="BE1770" s="29"/>
      <c r="BF1770" s="29" t="s">
        <v>2896</v>
      </c>
      <c r="BG1770" s="29" t="s">
        <v>738</v>
      </c>
      <c r="BH1770" s="29" t="s">
        <v>92</v>
      </c>
      <c r="BI1770" s="29" t="s">
        <v>2897</v>
      </c>
      <c r="BJ1770" s="29"/>
      <c r="BK1770" s="29" t="s">
        <v>148</v>
      </c>
      <c r="BL1770" s="29"/>
      <c r="BM1770" s="45"/>
      <c r="BN1770" s="45"/>
      <c r="BO1770" s="46"/>
      <c r="BP1770" s="2"/>
      <c r="BQ1770" s="3"/>
    </row>
    <row r="1771" ht="15.75" customHeight="1">
      <c r="A1771" s="34">
        <v>1873.0</v>
      </c>
      <c r="B1771" s="34">
        <v>102807.0</v>
      </c>
      <c r="C1771" s="34" t="s">
        <v>76</v>
      </c>
      <c r="D1771" s="34" t="s">
        <v>2887</v>
      </c>
      <c r="E1771" s="34" t="s">
        <v>2888</v>
      </c>
      <c r="F1771" s="34">
        <v>2019.0</v>
      </c>
      <c r="G1771" s="34" t="s">
        <v>2889</v>
      </c>
      <c r="H1771" s="34" t="s">
        <v>816</v>
      </c>
      <c r="I1771" s="34" t="s">
        <v>2890</v>
      </c>
      <c r="J1771" s="35"/>
      <c r="K1771" s="36"/>
      <c r="L1771" s="36"/>
      <c r="M1771" s="36"/>
      <c r="N1771" s="36"/>
      <c r="O1771" s="36"/>
      <c r="P1771" s="52">
        <v>6.0</v>
      </c>
      <c r="Q1771" s="36"/>
      <c r="R1771" s="36" t="s">
        <v>191</v>
      </c>
      <c r="S1771" s="36" t="s">
        <v>2891</v>
      </c>
      <c r="T1771" s="36" t="s">
        <v>193</v>
      </c>
      <c r="U1771" s="36" t="s">
        <v>194</v>
      </c>
      <c r="V1771" s="36"/>
      <c r="W1771" s="36"/>
      <c r="X1771" s="38">
        <v>1.0</v>
      </c>
      <c r="Y1771" s="38" t="s">
        <v>195</v>
      </c>
      <c r="Z1771" s="68" t="s">
        <v>196</v>
      </c>
      <c r="AA1771" s="38" t="s">
        <v>336</v>
      </c>
      <c r="AB1771" s="38" t="s">
        <v>2898</v>
      </c>
      <c r="AC1771" s="38" t="s">
        <v>2899</v>
      </c>
      <c r="AD1771" s="38" t="s">
        <v>198</v>
      </c>
      <c r="AE1771" s="38">
        <v>102.0</v>
      </c>
      <c r="AF1771" s="38" t="s">
        <v>2900</v>
      </c>
      <c r="AG1771" s="38"/>
      <c r="AH1771" s="38">
        <v>39.6</v>
      </c>
      <c r="AI1771" s="50">
        <v>23.1</v>
      </c>
      <c r="AJ1771" s="50">
        <v>112.34</v>
      </c>
      <c r="AK1771" s="41" t="s">
        <v>200</v>
      </c>
      <c r="AL1771" s="40" t="s">
        <v>200</v>
      </c>
      <c r="AM1771" s="49">
        <v>187.0</v>
      </c>
      <c r="AN1771" s="51">
        <v>187.0</v>
      </c>
      <c r="AO1771" s="42" t="s">
        <v>201</v>
      </c>
      <c r="AP1771" s="43" t="s">
        <v>201</v>
      </c>
      <c r="AQ1771" s="44" t="str">
        <f t="shared" si="217"/>
        <v>EBF</v>
      </c>
      <c r="AR1771" s="44">
        <f t="shared" si="199"/>
        <v>187</v>
      </c>
      <c r="AS1771" s="44" t="str">
        <f t="shared" si="206"/>
        <v>C</v>
      </c>
      <c r="AT1771" s="44" t="str">
        <f t="shared" si="202"/>
        <v>Cf</v>
      </c>
      <c r="AU1771" s="44" t="str">
        <f t="shared" si="203"/>
        <v>Cfa</v>
      </c>
      <c r="AV1771" s="38">
        <v>1.0</v>
      </c>
      <c r="AW1771" s="38"/>
      <c r="AX1771" s="38"/>
      <c r="AY1771" s="38" t="s">
        <v>92</v>
      </c>
      <c r="AZ1771" s="29" t="s">
        <v>2895</v>
      </c>
      <c r="BA1771" s="29"/>
      <c r="BB1771" s="29">
        <v>1.0</v>
      </c>
      <c r="BC1771" s="29"/>
      <c r="BD1771" s="29" t="s">
        <v>88</v>
      </c>
      <c r="BE1771" s="29"/>
      <c r="BF1771" s="29" t="s">
        <v>2896</v>
      </c>
      <c r="BG1771" s="29" t="s">
        <v>738</v>
      </c>
      <c r="BH1771" s="29" t="s">
        <v>92</v>
      </c>
      <c r="BI1771" s="29" t="s">
        <v>2897</v>
      </c>
      <c r="BJ1771" s="29"/>
      <c r="BK1771" s="29" t="s">
        <v>148</v>
      </c>
      <c r="BL1771" s="29"/>
      <c r="BM1771" s="45"/>
      <c r="BN1771" s="45"/>
      <c r="BO1771" s="46"/>
      <c r="BP1771" s="2"/>
      <c r="BQ1771" s="3"/>
    </row>
    <row r="1772" ht="15.75" customHeight="1">
      <c r="A1772" s="34">
        <v>1874.0</v>
      </c>
      <c r="B1772" s="34">
        <v>102807.0</v>
      </c>
      <c r="C1772" s="34" t="s">
        <v>76</v>
      </c>
      <c r="D1772" s="34" t="s">
        <v>2887</v>
      </c>
      <c r="E1772" s="34" t="s">
        <v>2888</v>
      </c>
      <c r="F1772" s="34">
        <v>2019.0</v>
      </c>
      <c r="G1772" s="34" t="s">
        <v>2889</v>
      </c>
      <c r="H1772" s="34" t="s">
        <v>816</v>
      </c>
      <c r="I1772" s="34" t="s">
        <v>2890</v>
      </c>
      <c r="J1772" s="35"/>
      <c r="K1772" s="36"/>
      <c r="L1772" s="36"/>
      <c r="M1772" s="36"/>
      <c r="N1772" s="36">
        <v>-30.74</v>
      </c>
      <c r="O1772" s="36">
        <v>165.59</v>
      </c>
      <c r="P1772" s="52">
        <f t="shared" ref="P1772:P1775" si="220">N1772/O1772*100</f>
        <v>-18.56392294</v>
      </c>
      <c r="Q1772" s="36"/>
      <c r="R1772" s="36" t="s">
        <v>82</v>
      </c>
      <c r="S1772" s="36" t="s">
        <v>2891</v>
      </c>
      <c r="T1772" s="36" t="s">
        <v>193</v>
      </c>
      <c r="U1772" s="36" t="s">
        <v>363</v>
      </c>
      <c r="V1772" s="36"/>
      <c r="W1772" s="36"/>
      <c r="X1772" s="38">
        <v>1.0</v>
      </c>
      <c r="Y1772" s="38" t="s">
        <v>581</v>
      </c>
      <c r="Z1772" s="68" t="s">
        <v>860</v>
      </c>
      <c r="AA1772" s="38" t="s">
        <v>370</v>
      </c>
      <c r="AB1772" s="38" t="s">
        <v>2903</v>
      </c>
      <c r="AC1772" s="38" t="s">
        <v>2904</v>
      </c>
      <c r="AD1772" s="38" t="s">
        <v>198</v>
      </c>
      <c r="AE1772" s="53"/>
      <c r="AF1772" s="38" t="s">
        <v>2905</v>
      </c>
      <c r="AG1772" s="57"/>
      <c r="AH1772" s="38">
        <v>40.0</v>
      </c>
      <c r="AI1772" s="50">
        <v>23.1</v>
      </c>
      <c r="AJ1772" s="50">
        <v>112.34</v>
      </c>
      <c r="AK1772" s="41" t="s">
        <v>200</v>
      </c>
      <c r="AL1772" s="40" t="s">
        <v>200</v>
      </c>
      <c r="AM1772" s="49">
        <v>187.0</v>
      </c>
      <c r="AN1772" s="51">
        <v>187.0</v>
      </c>
      <c r="AO1772" s="42" t="s">
        <v>201</v>
      </c>
      <c r="AP1772" s="43" t="s">
        <v>201</v>
      </c>
      <c r="AQ1772" s="44" t="str">
        <f t="shared" si="217"/>
        <v>DBF</v>
      </c>
      <c r="AR1772" s="44">
        <f t="shared" si="199"/>
        <v>187</v>
      </c>
      <c r="AS1772" s="44" t="str">
        <f t="shared" si="206"/>
        <v>C</v>
      </c>
      <c r="AT1772" s="44" t="str">
        <f t="shared" si="202"/>
        <v>Cf</v>
      </c>
      <c r="AU1772" s="44" t="str">
        <f t="shared" si="203"/>
        <v>Cfa</v>
      </c>
      <c r="AV1772" s="38">
        <v>1.0</v>
      </c>
      <c r="AW1772" s="38"/>
      <c r="AX1772" s="38"/>
      <c r="AY1772" s="38" t="s">
        <v>92</v>
      </c>
      <c r="AZ1772" s="29" t="s">
        <v>2895</v>
      </c>
      <c r="BA1772" s="29"/>
      <c r="BB1772" s="29">
        <v>1.0</v>
      </c>
      <c r="BC1772" s="29"/>
      <c r="BD1772" s="29" t="s">
        <v>88</v>
      </c>
      <c r="BE1772" s="29"/>
      <c r="BF1772" s="29" t="s">
        <v>2896</v>
      </c>
      <c r="BG1772" s="29" t="s">
        <v>738</v>
      </c>
      <c r="BH1772" s="29" t="s">
        <v>92</v>
      </c>
      <c r="BI1772" s="29" t="s">
        <v>2897</v>
      </c>
      <c r="BJ1772" s="29"/>
      <c r="BK1772" s="29" t="s">
        <v>148</v>
      </c>
      <c r="BL1772" s="29"/>
      <c r="BM1772" s="45"/>
      <c r="BN1772" s="45"/>
      <c r="BO1772" s="46"/>
      <c r="BP1772" s="2"/>
      <c r="BQ1772" s="3"/>
    </row>
    <row r="1773" ht="15.75" customHeight="1">
      <c r="A1773" s="34">
        <v>1875.0</v>
      </c>
      <c r="B1773" s="34">
        <v>102807.0</v>
      </c>
      <c r="C1773" s="34" t="s">
        <v>76</v>
      </c>
      <c r="D1773" s="34" t="s">
        <v>2887</v>
      </c>
      <c r="E1773" s="34" t="s">
        <v>2888</v>
      </c>
      <c r="F1773" s="34">
        <v>2019.0</v>
      </c>
      <c r="G1773" s="34" t="s">
        <v>2889</v>
      </c>
      <c r="H1773" s="34" t="s">
        <v>816</v>
      </c>
      <c r="I1773" s="34" t="s">
        <v>2890</v>
      </c>
      <c r="J1773" s="35"/>
      <c r="K1773" s="36"/>
      <c r="L1773" s="36"/>
      <c r="M1773" s="36"/>
      <c r="N1773" s="36">
        <v>-22.69</v>
      </c>
      <c r="O1773" s="36">
        <v>146.64</v>
      </c>
      <c r="P1773" s="52">
        <f t="shared" si="220"/>
        <v>-15.47326787</v>
      </c>
      <c r="Q1773" s="36"/>
      <c r="R1773" s="36" t="s">
        <v>82</v>
      </c>
      <c r="S1773" s="36" t="s">
        <v>2891</v>
      </c>
      <c r="T1773" s="36" t="s">
        <v>295</v>
      </c>
      <c r="U1773" s="36" t="s">
        <v>968</v>
      </c>
      <c r="V1773" s="36"/>
      <c r="W1773" s="36"/>
      <c r="X1773" s="38">
        <v>1.0</v>
      </c>
      <c r="Y1773" s="38" t="s">
        <v>581</v>
      </c>
      <c r="Z1773" s="68" t="s">
        <v>860</v>
      </c>
      <c r="AA1773" s="38" t="s">
        <v>370</v>
      </c>
      <c r="AB1773" s="38" t="s">
        <v>2903</v>
      </c>
      <c r="AC1773" s="38" t="s">
        <v>2904</v>
      </c>
      <c r="AD1773" s="38" t="s">
        <v>198</v>
      </c>
      <c r="AE1773" s="53"/>
      <c r="AF1773" s="38" t="s">
        <v>2905</v>
      </c>
      <c r="AG1773" s="57"/>
      <c r="AH1773" s="38">
        <v>40.0</v>
      </c>
      <c r="AI1773" s="50">
        <v>23.1</v>
      </c>
      <c r="AJ1773" s="50">
        <v>112.34</v>
      </c>
      <c r="AK1773" s="41" t="s">
        <v>200</v>
      </c>
      <c r="AL1773" s="40" t="s">
        <v>200</v>
      </c>
      <c r="AM1773" s="49">
        <v>187.0</v>
      </c>
      <c r="AN1773" s="51">
        <v>187.0</v>
      </c>
      <c r="AO1773" s="42" t="s">
        <v>201</v>
      </c>
      <c r="AP1773" s="43" t="s">
        <v>201</v>
      </c>
      <c r="AQ1773" s="44" t="str">
        <f t="shared" si="217"/>
        <v>DBF</v>
      </c>
      <c r="AR1773" s="44">
        <f t="shared" si="199"/>
        <v>187</v>
      </c>
      <c r="AS1773" s="44" t="str">
        <f t="shared" si="206"/>
        <v>C</v>
      </c>
      <c r="AT1773" s="44" t="str">
        <f t="shared" si="202"/>
        <v>Cf</v>
      </c>
      <c r="AU1773" s="44" t="str">
        <f t="shared" si="203"/>
        <v>Cfa</v>
      </c>
      <c r="AV1773" s="38">
        <v>1.0</v>
      </c>
      <c r="AW1773" s="38"/>
      <c r="AX1773" s="38"/>
      <c r="AY1773" s="38" t="s">
        <v>92</v>
      </c>
      <c r="AZ1773" s="29" t="s">
        <v>2895</v>
      </c>
      <c r="BA1773" s="29"/>
      <c r="BB1773" s="29">
        <v>1.0</v>
      </c>
      <c r="BC1773" s="29"/>
      <c r="BD1773" s="29" t="s">
        <v>88</v>
      </c>
      <c r="BE1773" s="29"/>
      <c r="BF1773" s="29" t="s">
        <v>2896</v>
      </c>
      <c r="BG1773" s="29" t="s">
        <v>738</v>
      </c>
      <c r="BH1773" s="29" t="s">
        <v>92</v>
      </c>
      <c r="BI1773" s="29" t="s">
        <v>2897</v>
      </c>
      <c r="BJ1773" s="29"/>
      <c r="BK1773" s="29" t="s">
        <v>148</v>
      </c>
      <c r="BL1773" s="29"/>
      <c r="BM1773" s="45"/>
      <c r="BN1773" s="45"/>
      <c r="BO1773" s="46"/>
      <c r="BP1773" s="2"/>
      <c r="BQ1773" s="3"/>
    </row>
    <row r="1774" ht="15.75" customHeight="1">
      <c r="A1774" s="34">
        <v>1876.0</v>
      </c>
      <c r="B1774" s="34">
        <v>102807.0</v>
      </c>
      <c r="C1774" s="34" t="s">
        <v>76</v>
      </c>
      <c r="D1774" s="34" t="s">
        <v>2887</v>
      </c>
      <c r="E1774" s="34" t="s">
        <v>2888</v>
      </c>
      <c r="F1774" s="34">
        <v>2019.0</v>
      </c>
      <c r="G1774" s="34" t="s">
        <v>2889</v>
      </c>
      <c r="H1774" s="34" t="s">
        <v>816</v>
      </c>
      <c r="I1774" s="34" t="s">
        <v>2890</v>
      </c>
      <c r="J1774" s="35"/>
      <c r="K1774" s="36"/>
      <c r="L1774" s="36"/>
      <c r="M1774" s="36"/>
      <c r="N1774" s="36">
        <v>6.72</v>
      </c>
      <c r="O1774" s="36">
        <v>130.54</v>
      </c>
      <c r="P1774" s="52">
        <f t="shared" si="220"/>
        <v>5.147847403</v>
      </c>
      <c r="Q1774" s="36"/>
      <c r="R1774" s="36" t="s">
        <v>82</v>
      </c>
      <c r="S1774" s="36" t="s">
        <v>2891</v>
      </c>
      <c r="T1774" s="36" t="s">
        <v>317</v>
      </c>
      <c r="U1774" s="36" t="s">
        <v>194</v>
      </c>
      <c r="V1774" s="36"/>
      <c r="W1774" s="36"/>
      <c r="X1774" s="38">
        <v>1.0</v>
      </c>
      <c r="Y1774" s="38" t="s">
        <v>581</v>
      </c>
      <c r="Z1774" s="68" t="s">
        <v>860</v>
      </c>
      <c r="AA1774" s="38" t="s">
        <v>370</v>
      </c>
      <c r="AB1774" s="38" t="s">
        <v>2903</v>
      </c>
      <c r="AC1774" s="38" t="s">
        <v>2904</v>
      </c>
      <c r="AD1774" s="38" t="s">
        <v>198</v>
      </c>
      <c r="AE1774" s="53"/>
      <c r="AF1774" s="38" t="s">
        <v>2905</v>
      </c>
      <c r="AG1774" s="57"/>
      <c r="AH1774" s="38">
        <v>40.0</v>
      </c>
      <c r="AI1774" s="50">
        <v>23.1</v>
      </c>
      <c r="AJ1774" s="50">
        <v>112.34</v>
      </c>
      <c r="AK1774" s="41" t="s">
        <v>200</v>
      </c>
      <c r="AL1774" s="40" t="s">
        <v>200</v>
      </c>
      <c r="AM1774" s="49">
        <v>187.0</v>
      </c>
      <c r="AN1774" s="51">
        <v>187.0</v>
      </c>
      <c r="AO1774" s="42" t="s">
        <v>201</v>
      </c>
      <c r="AP1774" s="43" t="s">
        <v>201</v>
      </c>
      <c r="AQ1774" s="44" t="str">
        <f t="shared" si="217"/>
        <v>DBF</v>
      </c>
      <c r="AR1774" s="44">
        <f t="shared" si="199"/>
        <v>187</v>
      </c>
      <c r="AS1774" s="44" t="str">
        <f t="shared" si="206"/>
        <v>C</v>
      </c>
      <c r="AT1774" s="44" t="str">
        <f t="shared" si="202"/>
        <v>Cf</v>
      </c>
      <c r="AU1774" s="44" t="str">
        <f t="shared" si="203"/>
        <v>Cfa</v>
      </c>
      <c r="AV1774" s="38">
        <v>1.0</v>
      </c>
      <c r="AW1774" s="38"/>
      <c r="AX1774" s="38"/>
      <c r="AY1774" s="38" t="s">
        <v>92</v>
      </c>
      <c r="AZ1774" s="29" t="s">
        <v>2895</v>
      </c>
      <c r="BA1774" s="29"/>
      <c r="BB1774" s="29">
        <v>1.0</v>
      </c>
      <c r="BC1774" s="29"/>
      <c r="BD1774" s="29" t="s">
        <v>88</v>
      </c>
      <c r="BE1774" s="29"/>
      <c r="BF1774" s="29" t="s">
        <v>2896</v>
      </c>
      <c r="BG1774" s="29" t="s">
        <v>738</v>
      </c>
      <c r="BH1774" s="29" t="s">
        <v>92</v>
      </c>
      <c r="BI1774" s="29" t="s">
        <v>2897</v>
      </c>
      <c r="BJ1774" s="29"/>
      <c r="BK1774" s="29" t="s">
        <v>148</v>
      </c>
      <c r="BL1774" s="29"/>
      <c r="BM1774" s="45"/>
      <c r="BN1774" s="45"/>
      <c r="BO1774" s="46"/>
      <c r="BP1774" s="2"/>
      <c r="BQ1774" s="3"/>
    </row>
    <row r="1775" ht="15.75" customHeight="1">
      <c r="A1775" s="34">
        <v>1877.0</v>
      </c>
      <c r="B1775" s="34">
        <v>102807.0</v>
      </c>
      <c r="C1775" s="34" t="s">
        <v>76</v>
      </c>
      <c r="D1775" s="34" t="s">
        <v>2887</v>
      </c>
      <c r="E1775" s="34" t="s">
        <v>2888</v>
      </c>
      <c r="F1775" s="34">
        <v>2019.0</v>
      </c>
      <c r="G1775" s="34" t="s">
        <v>2889</v>
      </c>
      <c r="H1775" s="34" t="s">
        <v>816</v>
      </c>
      <c r="I1775" s="34" t="s">
        <v>2890</v>
      </c>
      <c r="J1775" s="35"/>
      <c r="K1775" s="36"/>
      <c r="L1775" s="36"/>
      <c r="M1775" s="36"/>
      <c r="N1775" s="36">
        <v>-15.57</v>
      </c>
      <c r="O1775" s="36">
        <v>147.59</v>
      </c>
      <c r="P1775" s="52">
        <f t="shared" si="220"/>
        <v>-10.54949522</v>
      </c>
      <c r="Q1775" s="36"/>
      <c r="R1775" s="36" t="s">
        <v>82</v>
      </c>
      <c r="S1775" s="36" t="s">
        <v>2891</v>
      </c>
      <c r="T1775" s="36" t="s">
        <v>193</v>
      </c>
      <c r="U1775" s="36" t="s">
        <v>194</v>
      </c>
      <c r="V1775" s="36"/>
      <c r="W1775" s="36"/>
      <c r="X1775" s="38">
        <v>1.0</v>
      </c>
      <c r="Y1775" s="38" t="s">
        <v>581</v>
      </c>
      <c r="Z1775" s="68" t="s">
        <v>860</v>
      </c>
      <c r="AA1775" s="38" t="s">
        <v>370</v>
      </c>
      <c r="AB1775" s="38" t="s">
        <v>2903</v>
      </c>
      <c r="AC1775" s="38" t="s">
        <v>2904</v>
      </c>
      <c r="AD1775" s="38" t="s">
        <v>198</v>
      </c>
      <c r="AE1775" s="53"/>
      <c r="AF1775" s="38" t="s">
        <v>2905</v>
      </c>
      <c r="AG1775" s="57"/>
      <c r="AH1775" s="38">
        <v>40.0</v>
      </c>
      <c r="AI1775" s="50">
        <v>23.1</v>
      </c>
      <c r="AJ1775" s="50">
        <v>112.34</v>
      </c>
      <c r="AK1775" s="41" t="s">
        <v>200</v>
      </c>
      <c r="AL1775" s="40" t="s">
        <v>200</v>
      </c>
      <c r="AM1775" s="49">
        <v>187.0</v>
      </c>
      <c r="AN1775" s="51">
        <v>187.0</v>
      </c>
      <c r="AO1775" s="42" t="s">
        <v>201</v>
      </c>
      <c r="AP1775" s="43" t="s">
        <v>201</v>
      </c>
      <c r="AQ1775" s="44" t="str">
        <f t="shared" si="217"/>
        <v>DBF</v>
      </c>
      <c r="AR1775" s="44">
        <f t="shared" si="199"/>
        <v>187</v>
      </c>
      <c r="AS1775" s="44" t="str">
        <f t="shared" si="206"/>
        <v>C</v>
      </c>
      <c r="AT1775" s="44" t="str">
        <f t="shared" si="202"/>
        <v>Cf</v>
      </c>
      <c r="AU1775" s="44" t="str">
        <f t="shared" si="203"/>
        <v>Cfa</v>
      </c>
      <c r="AV1775" s="38">
        <v>1.0</v>
      </c>
      <c r="AW1775" s="38"/>
      <c r="AX1775" s="38"/>
      <c r="AY1775" s="38" t="s">
        <v>92</v>
      </c>
      <c r="AZ1775" s="29" t="s">
        <v>2895</v>
      </c>
      <c r="BA1775" s="29"/>
      <c r="BB1775" s="29">
        <v>1.0</v>
      </c>
      <c r="BC1775" s="29"/>
      <c r="BD1775" s="29" t="s">
        <v>88</v>
      </c>
      <c r="BE1775" s="29"/>
      <c r="BF1775" s="29" t="s">
        <v>2896</v>
      </c>
      <c r="BG1775" s="29" t="s">
        <v>738</v>
      </c>
      <c r="BH1775" s="29" t="s">
        <v>92</v>
      </c>
      <c r="BI1775" s="29" t="s">
        <v>2897</v>
      </c>
      <c r="BJ1775" s="29"/>
      <c r="BK1775" s="29" t="s">
        <v>148</v>
      </c>
      <c r="BL1775" s="29"/>
      <c r="BM1775" s="45"/>
      <c r="BN1775" s="45"/>
      <c r="BO1775" s="46"/>
      <c r="BP1775" s="2"/>
      <c r="BQ1775" s="3"/>
    </row>
    <row r="1776" ht="15.75" customHeight="1">
      <c r="A1776" s="34">
        <v>1878.0</v>
      </c>
      <c r="B1776" s="34">
        <v>102807.0</v>
      </c>
      <c r="C1776" s="34" t="s">
        <v>76</v>
      </c>
      <c r="D1776" s="34" t="s">
        <v>2887</v>
      </c>
      <c r="E1776" s="34" t="s">
        <v>2888</v>
      </c>
      <c r="F1776" s="34">
        <v>2019.0</v>
      </c>
      <c r="G1776" s="34" t="s">
        <v>2889</v>
      </c>
      <c r="H1776" s="34" t="s">
        <v>816</v>
      </c>
      <c r="I1776" s="34" t="s">
        <v>2890</v>
      </c>
      <c r="J1776" s="35"/>
      <c r="K1776" s="36"/>
      <c r="L1776" s="36"/>
      <c r="M1776" s="36"/>
      <c r="N1776" s="36"/>
      <c r="O1776" s="36"/>
      <c r="P1776" s="37">
        <v>-12.9</v>
      </c>
      <c r="Q1776" s="36"/>
      <c r="R1776" s="36" t="s">
        <v>191</v>
      </c>
      <c r="S1776" s="36" t="s">
        <v>2891</v>
      </c>
      <c r="T1776" s="36" t="s">
        <v>193</v>
      </c>
      <c r="U1776" s="36" t="s">
        <v>194</v>
      </c>
      <c r="V1776" s="36"/>
      <c r="W1776" s="36"/>
      <c r="X1776" s="38">
        <v>1.0</v>
      </c>
      <c r="Y1776" s="38" t="s">
        <v>581</v>
      </c>
      <c r="Z1776" s="68" t="s">
        <v>860</v>
      </c>
      <c r="AA1776" s="38" t="s">
        <v>370</v>
      </c>
      <c r="AB1776" s="38" t="s">
        <v>2903</v>
      </c>
      <c r="AC1776" s="38" t="s">
        <v>2904</v>
      </c>
      <c r="AD1776" s="38" t="s">
        <v>198</v>
      </c>
      <c r="AE1776" s="53"/>
      <c r="AF1776" s="38" t="s">
        <v>2905</v>
      </c>
      <c r="AG1776" s="57"/>
      <c r="AH1776" s="38">
        <v>40.0</v>
      </c>
      <c r="AI1776" s="50">
        <v>23.1</v>
      </c>
      <c r="AJ1776" s="50">
        <v>112.34</v>
      </c>
      <c r="AK1776" s="41" t="s">
        <v>200</v>
      </c>
      <c r="AL1776" s="40" t="s">
        <v>200</v>
      </c>
      <c r="AM1776" s="49">
        <v>187.0</v>
      </c>
      <c r="AN1776" s="51">
        <v>187.0</v>
      </c>
      <c r="AO1776" s="42" t="s">
        <v>201</v>
      </c>
      <c r="AP1776" s="43" t="s">
        <v>201</v>
      </c>
      <c r="AQ1776" s="44" t="str">
        <f t="shared" si="217"/>
        <v>DBF</v>
      </c>
      <c r="AR1776" s="44">
        <f t="shared" si="199"/>
        <v>187</v>
      </c>
      <c r="AS1776" s="44" t="str">
        <f t="shared" si="206"/>
        <v>C</v>
      </c>
      <c r="AT1776" s="44" t="str">
        <f t="shared" si="202"/>
        <v>Cf</v>
      </c>
      <c r="AU1776" s="44" t="str">
        <f t="shared" si="203"/>
        <v>Cfa</v>
      </c>
      <c r="AV1776" s="38">
        <v>1.0</v>
      </c>
      <c r="AW1776" s="38"/>
      <c r="AX1776" s="38"/>
      <c r="AY1776" s="38" t="s">
        <v>92</v>
      </c>
      <c r="AZ1776" s="29" t="s">
        <v>2895</v>
      </c>
      <c r="BA1776" s="29"/>
      <c r="BB1776" s="29">
        <v>1.0</v>
      </c>
      <c r="BC1776" s="29"/>
      <c r="BD1776" s="29" t="s">
        <v>88</v>
      </c>
      <c r="BE1776" s="29"/>
      <c r="BF1776" s="29" t="s">
        <v>2896</v>
      </c>
      <c r="BG1776" s="29" t="s">
        <v>738</v>
      </c>
      <c r="BH1776" s="29" t="s">
        <v>92</v>
      </c>
      <c r="BI1776" s="29" t="s">
        <v>2897</v>
      </c>
      <c r="BJ1776" s="29"/>
      <c r="BK1776" s="29" t="s">
        <v>148</v>
      </c>
      <c r="BL1776" s="29"/>
      <c r="BM1776" s="45"/>
      <c r="BN1776" s="45"/>
      <c r="BO1776" s="46"/>
      <c r="BP1776" s="2"/>
      <c r="BQ1776" s="3"/>
    </row>
    <row r="1777" ht="15.75" customHeight="1">
      <c r="A1777" s="34">
        <v>1879.0</v>
      </c>
      <c r="B1777" s="34">
        <v>102807.0</v>
      </c>
      <c r="C1777" s="34" t="s">
        <v>76</v>
      </c>
      <c r="D1777" s="34" t="s">
        <v>2887</v>
      </c>
      <c r="E1777" s="34" t="s">
        <v>2888</v>
      </c>
      <c r="F1777" s="34">
        <v>2019.0</v>
      </c>
      <c r="G1777" s="34" t="s">
        <v>2889</v>
      </c>
      <c r="H1777" s="34" t="s">
        <v>816</v>
      </c>
      <c r="I1777" s="34" t="s">
        <v>2890</v>
      </c>
      <c r="J1777" s="35"/>
      <c r="K1777" s="36"/>
      <c r="L1777" s="36"/>
      <c r="M1777" s="36"/>
      <c r="N1777" s="36"/>
      <c r="O1777" s="36"/>
      <c r="P1777" s="37">
        <v>-6.0</v>
      </c>
      <c r="Q1777" s="36"/>
      <c r="R1777" s="36" t="s">
        <v>191</v>
      </c>
      <c r="S1777" s="36" t="s">
        <v>2891</v>
      </c>
      <c r="T1777" s="36" t="s">
        <v>193</v>
      </c>
      <c r="U1777" s="36" t="s">
        <v>194</v>
      </c>
      <c r="V1777" s="36"/>
      <c r="W1777" s="36"/>
      <c r="X1777" s="38">
        <v>1.0</v>
      </c>
      <c r="Y1777" s="38" t="s">
        <v>581</v>
      </c>
      <c r="Z1777" s="68" t="s">
        <v>860</v>
      </c>
      <c r="AA1777" s="38" t="s">
        <v>370</v>
      </c>
      <c r="AB1777" s="38" t="s">
        <v>2903</v>
      </c>
      <c r="AC1777" s="38" t="s">
        <v>2904</v>
      </c>
      <c r="AD1777" s="38" t="s">
        <v>198</v>
      </c>
      <c r="AE1777" s="53"/>
      <c r="AF1777" s="38" t="s">
        <v>2905</v>
      </c>
      <c r="AG1777" s="57"/>
      <c r="AH1777" s="38">
        <v>40.0</v>
      </c>
      <c r="AI1777" s="50">
        <v>23.1</v>
      </c>
      <c r="AJ1777" s="50">
        <v>112.34</v>
      </c>
      <c r="AK1777" s="41" t="s">
        <v>200</v>
      </c>
      <c r="AL1777" s="40" t="s">
        <v>200</v>
      </c>
      <c r="AM1777" s="49">
        <v>187.0</v>
      </c>
      <c r="AN1777" s="51">
        <v>187.0</v>
      </c>
      <c r="AO1777" s="42" t="s">
        <v>201</v>
      </c>
      <c r="AP1777" s="43" t="s">
        <v>201</v>
      </c>
      <c r="AQ1777" s="44" t="str">
        <f t="shared" si="217"/>
        <v>DBF</v>
      </c>
      <c r="AR1777" s="44">
        <f t="shared" si="199"/>
        <v>187</v>
      </c>
      <c r="AS1777" s="44" t="str">
        <f t="shared" si="206"/>
        <v>C</v>
      </c>
      <c r="AT1777" s="44" t="str">
        <f t="shared" si="202"/>
        <v>Cf</v>
      </c>
      <c r="AU1777" s="44" t="str">
        <f t="shared" si="203"/>
        <v>Cfa</v>
      </c>
      <c r="AV1777" s="38">
        <v>1.0</v>
      </c>
      <c r="AW1777" s="38"/>
      <c r="AX1777" s="38"/>
      <c r="AY1777" s="38" t="s">
        <v>92</v>
      </c>
      <c r="AZ1777" s="29" t="s">
        <v>2895</v>
      </c>
      <c r="BA1777" s="29"/>
      <c r="BB1777" s="29">
        <v>1.0</v>
      </c>
      <c r="BC1777" s="29"/>
      <c r="BD1777" s="29" t="s">
        <v>88</v>
      </c>
      <c r="BE1777" s="29"/>
      <c r="BF1777" s="29" t="s">
        <v>2896</v>
      </c>
      <c r="BG1777" s="29" t="s">
        <v>738</v>
      </c>
      <c r="BH1777" s="29" t="s">
        <v>92</v>
      </c>
      <c r="BI1777" s="29" t="s">
        <v>2897</v>
      </c>
      <c r="BJ1777" s="29"/>
      <c r="BK1777" s="29" t="s">
        <v>148</v>
      </c>
      <c r="BL1777" s="29"/>
      <c r="BM1777" s="45"/>
      <c r="BN1777" s="45"/>
      <c r="BO1777" s="46"/>
      <c r="BP1777" s="2"/>
      <c r="BQ1777" s="3"/>
    </row>
    <row r="1778" ht="15.75" customHeight="1">
      <c r="A1778" s="34">
        <v>1886.0</v>
      </c>
      <c r="B1778" s="34">
        <v>102448.0</v>
      </c>
      <c r="C1778" s="34" t="s">
        <v>76</v>
      </c>
      <c r="D1778" s="34" t="s">
        <v>2906</v>
      </c>
      <c r="E1778" s="34" t="s">
        <v>2907</v>
      </c>
      <c r="F1778" s="34">
        <v>2020.0</v>
      </c>
      <c r="G1778" s="34" t="s">
        <v>2908</v>
      </c>
      <c r="H1778" s="34" t="s">
        <v>816</v>
      </c>
      <c r="I1778" s="34" t="s">
        <v>2909</v>
      </c>
      <c r="J1778" s="35"/>
      <c r="K1778" s="36"/>
      <c r="L1778" s="36"/>
      <c r="M1778" s="36"/>
      <c r="N1778" s="36">
        <v>-29.0</v>
      </c>
      <c r="O1778" s="36">
        <v>201.0</v>
      </c>
      <c r="P1778" s="52">
        <f t="shared" ref="P1778:P1823" si="221">N1778/O1778*100</f>
        <v>-14.4278607</v>
      </c>
      <c r="Q1778" s="36"/>
      <c r="R1778" s="36" t="s">
        <v>82</v>
      </c>
      <c r="S1778" s="36"/>
      <c r="T1778" s="36" t="s">
        <v>1474</v>
      </c>
      <c r="U1778" s="36" t="s">
        <v>914</v>
      </c>
      <c r="V1778" s="36">
        <v>417.0</v>
      </c>
      <c r="W1778" s="36"/>
      <c r="X1778" s="38">
        <v>11.0</v>
      </c>
      <c r="Y1778" s="38" t="s">
        <v>915</v>
      </c>
      <c r="Z1778" s="38"/>
      <c r="AA1778" s="38"/>
      <c r="AB1778" s="38"/>
      <c r="AC1778" s="38"/>
      <c r="AD1778" s="38" t="s">
        <v>2910</v>
      </c>
      <c r="AE1778" s="38"/>
      <c r="AF1778" s="38"/>
      <c r="AG1778" s="38"/>
      <c r="AH1778" s="38"/>
      <c r="AI1778" s="40"/>
      <c r="AJ1778" s="40"/>
      <c r="AK1778" s="41"/>
      <c r="AL1778" s="40"/>
      <c r="AM1778" s="49"/>
      <c r="AN1778" s="43"/>
      <c r="AO1778" s="42"/>
      <c r="AP1778" s="43"/>
      <c r="AQ1778" s="44" t="str">
        <f t="shared" si="217"/>
        <v/>
      </c>
      <c r="AR1778" s="44" t="str">
        <f t="shared" si="199"/>
        <v/>
      </c>
      <c r="AS1778" s="44"/>
      <c r="AT1778" s="44" t="str">
        <f t="shared" si="202"/>
        <v/>
      </c>
      <c r="AU1778" s="44" t="str">
        <f t="shared" si="203"/>
        <v/>
      </c>
      <c r="AV1778" s="38">
        <v>2.0</v>
      </c>
      <c r="AW1778" s="38">
        <v>1.0</v>
      </c>
      <c r="AX1778" s="38"/>
      <c r="AY1778" s="38"/>
      <c r="AZ1778" s="29"/>
      <c r="BA1778" s="29"/>
      <c r="BB1778" s="29">
        <v>1.0</v>
      </c>
      <c r="BC1778" s="29" t="s">
        <v>984</v>
      </c>
      <c r="BD1778" s="29"/>
      <c r="BE1778" s="29"/>
      <c r="BF1778" s="29" t="s">
        <v>2662</v>
      </c>
      <c r="BG1778" s="29" t="s">
        <v>572</v>
      </c>
      <c r="BH1778" s="29" t="s">
        <v>92</v>
      </c>
      <c r="BI1778" s="29" t="s">
        <v>2911</v>
      </c>
      <c r="BJ1778" s="29" t="s">
        <v>2912</v>
      </c>
      <c r="BK1778" s="29" t="s">
        <v>2913</v>
      </c>
      <c r="BL1778" s="29" t="s">
        <v>2914</v>
      </c>
      <c r="BM1778" s="45">
        <v>1.0</v>
      </c>
      <c r="BN1778" s="45"/>
      <c r="BO1778" s="46" t="s">
        <v>2915</v>
      </c>
      <c r="BP1778" s="2"/>
      <c r="BQ1778" s="3"/>
    </row>
    <row r="1779" ht="15.75" customHeight="1">
      <c r="A1779" s="34">
        <v>1887.0</v>
      </c>
      <c r="B1779" s="34">
        <v>102448.0</v>
      </c>
      <c r="C1779" s="34" t="s">
        <v>76</v>
      </c>
      <c r="D1779" s="34" t="s">
        <v>2906</v>
      </c>
      <c r="E1779" s="34" t="s">
        <v>2907</v>
      </c>
      <c r="F1779" s="34">
        <v>2020.0</v>
      </c>
      <c r="G1779" s="34" t="s">
        <v>2908</v>
      </c>
      <c r="H1779" s="34" t="s">
        <v>816</v>
      </c>
      <c r="I1779" s="34" t="s">
        <v>2909</v>
      </c>
      <c r="J1779" s="35"/>
      <c r="K1779" s="36"/>
      <c r="L1779" s="36"/>
      <c r="M1779" s="36"/>
      <c r="N1779" s="36">
        <v>22.0</v>
      </c>
      <c r="O1779" s="36">
        <v>194.0</v>
      </c>
      <c r="P1779" s="52">
        <f t="shared" si="221"/>
        <v>11.34020619</v>
      </c>
      <c r="Q1779" s="36"/>
      <c r="R1779" s="36" t="s">
        <v>82</v>
      </c>
      <c r="S1779" s="36"/>
      <c r="T1779" s="36" t="s">
        <v>1474</v>
      </c>
      <c r="U1779" s="36" t="s">
        <v>914</v>
      </c>
      <c r="V1779" s="36">
        <v>459.0</v>
      </c>
      <c r="W1779" s="36"/>
      <c r="X1779" s="38">
        <v>11.0</v>
      </c>
      <c r="Y1779" s="38" t="s">
        <v>915</v>
      </c>
      <c r="Z1779" s="38"/>
      <c r="AA1779" s="38"/>
      <c r="AB1779" s="38"/>
      <c r="AC1779" s="38"/>
      <c r="AD1779" s="38" t="s">
        <v>2910</v>
      </c>
      <c r="AE1779" s="38"/>
      <c r="AF1779" s="38"/>
      <c r="AG1779" s="38"/>
      <c r="AH1779" s="38"/>
      <c r="AI1779" s="40"/>
      <c r="AJ1779" s="40"/>
      <c r="AK1779" s="41"/>
      <c r="AL1779" s="40"/>
      <c r="AM1779" s="49"/>
      <c r="AN1779" s="43"/>
      <c r="AO1779" s="42"/>
      <c r="AP1779" s="43"/>
      <c r="AQ1779" s="44" t="str">
        <f t="shared" si="217"/>
        <v/>
      </c>
      <c r="AR1779" s="44" t="str">
        <f t="shared" si="199"/>
        <v/>
      </c>
      <c r="AS1779" s="44"/>
      <c r="AT1779" s="44" t="str">
        <f t="shared" si="202"/>
        <v/>
      </c>
      <c r="AU1779" s="44" t="str">
        <f t="shared" si="203"/>
        <v/>
      </c>
      <c r="AV1779" s="38">
        <v>2.0</v>
      </c>
      <c r="AW1779" s="38">
        <v>1.0</v>
      </c>
      <c r="AX1779" s="38"/>
      <c r="AY1779" s="38"/>
      <c r="AZ1779" s="29"/>
      <c r="BA1779" s="29"/>
      <c r="BB1779" s="29">
        <v>1.0</v>
      </c>
      <c r="BC1779" s="29" t="s">
        <v>2916</v>
      </c>
      <c r="BD1779" s="29"/>
      <c r="BE1779" s="29"/>
      <c r="BF1779" s="29" t="s">
        <v>2426</v>
      </c>
      <c r="BG1779" s="29" t="s">
        <v>91</v>
      </c>
      <c r="BH1779" s="29" t="s">
        <v>92</v>
      </c>
      <c r="BI1779" s="29" t="s">
        <v>2911</v>
      </c>
      <c r="BJ1779" s="29" t="s">
        <v>2912</v>
      </c>
      <c r="BK1779" s="29" t="s">
        <v>2913</v>
      </c>
      <c r="BL1779" s="29" t="s">
        <v>2914</v>
      </c>
      <c r="BM1779" s="45"/>
      <c r="BN1779" s="45"/>
      <c r="BO1779" s="46"/>
      <c r="BP1779" s="2"/>
      <c r="BQ1779" s="3"/>
    </row>
    <row r="1780" ht="15.75" customHeight="1">
      <c r="A1780" s="34">
        <v>1888.0</v>
      </c>
      <c r="B1780" s="34">
        <v>102448.0</v>
      </c>
      <c r="C1780" s="34" t="s">
        <v>76</v>
      </c>
      <c r="D1780" s="34" t="s">
        <v>2906</v>
      </c>
      <c r="E1780" s="34" t="s">
        <v>2907</v>
      </c>
      <c r="F1780" s="34">
        <v>2020.0</v>
      </c>
      <c r="G1780" s="34" t="s">
        <v>2908</v>
      </c>
      <c r="H1780" s="34" t="s">
        <v>816</v>
      </c>
      <c r="I1780" s="34" t="s">
        <v>2909</v>
      </c>
      <c r="J1780" s="35"/>
      <c r="K1780" s="36"/>
      <c r="L1780" s="36"/>
      <c r="M1780" s="36"/>
      <c r="N1780" s="36">
        <v>24.0</v>
      </c>
      <c r="O1780" s="36">
        <v>196.0</v>
      </c>
      <c r="P1780" s="52">
        <f t="shared" si="221"/>
        <v>12.24489796</v>
      </c>
      <c r="Q1780" s="36"/>
      <c r="R1780" s="36" t="s">
        <v>82</v>
      </c>
      <c r="S1780" s="36"/>
      <c r="T1780" s="36" t="s">
        <v>1474</v>
      </c>
      <c r="U1780" s="36" t="s">
        <v>914</v>
      </c>
      <c r="V1780" s="36">
        <v>442.0</v>
      </c>
      <c r="W1780" s="36"/>
      <c r="X1780" s="38">
        <v>11.0</v>
      </c>
      <c r="Y1780" s="38" t="s">
        <v>915</v>
      </c>
      <c r="Z1780" s="38"/>
      <c r="AA1780" s="38"/>
      <c r="AB1780" s="38"/>
      <c r="AC1780" s="38"/>
      <c r="AD1780" s="38" t="s">
        <v>2910</v>
      </c>
      <c r="AE1780" s="38"/>
      <c r="AF1780" s="38"/>
      <c r="AG1780" s="38"/>
      <c r="AH1780" s="38"/>
      <c r="AI1780" s="40"/>
      <c r="AJ1780" s="40"/>
      <c r="AK1780" s="41"/>
      <c r="AL1780" s="40"/>
      <c r="AM1780" s="49"/>
      <c r="AN1780" s="43"/>
      <c r="AO1780" s="42"/>
      <c r="AP1780" s="43"/>
      <c r="AQ1780" s="44" t="str">
        <f t="shared" si="217"/>
        <v/>
      </c>
      <c r="AR1780" s="44" t="str">
        <f t="shared" si="199"/>
        <v/>
      </c>
      <c r="AS1780" s="44"/>
      <c r="AT1780" s="44" t="str">
        <f t="shared" si="202"/>
        <v/>
      </c>
      <c r="AU1780" s="44" t="str">
        <f t="shared" si="203"/>
        <v/>
      </c>
      <c r="AV1780" s="38">
        <v>2.0</v>
      </c>
      <c r="AW1780" s="38">
        <v>1.0</v>
      </c>
      <c r="AX1780" s="38"/>
      <c r="AY1780" s="38"/>
      <c r="AZ1780" s="29"/>
      <c r="BA1780" s="29"/>
      <c r="BB1780" s="29">
        <v>1.0</v>
      </c>
      <c r="BC1780" s="29" t="s">
        <v>2917</v>
      </c>
      <c r="BD1780" s="29"/>
      <c r="BE1780" s="29"/>
      <c r="BF1780" s="29" t="s">
        <v>2426</v>
      </c>
      <c r="BG1780" s="29" t="s">
        <v>91</v>
      </c>
      <c r="BH1780" s="29" t="s">
        <v>92</v>
      </c>
      <c r="BI1780" s="29" t="s">
        <v>2911</v>
      </c>
      <c r="BJ1780" s="29" t="s">
        <v>2912</v>
      </c>
      <c r="BK1780" s="29" t="s">
        <v>2913</v>
      </c>
      <c r="BL1780" s="29" t="s">
        <v>2914</v>
      </c>
      <c r="BM1780" s="45"/>
      <c r="BN1780" s="45"/>
      <c r="BO1780" s="46"/>
      <c r="BP1780" s="2"/>
      <c r="BQ1780" s="3"/>
    </row>
    <row r="1781" ht="15.75" customHeight="1">
      <c r="A1781" s="34">
        <v>1889.0</v>
      </c>
      <c r="B1781" s="34">
        <v>102448.0</v>
      </c>
      <c r="C1781" s="34" t="s">
        <v>76</v>
      </c>
      <c r="D1781" s="34" t="s">
        <v>2906</v>
      </c>
      <c r="E1781" s="34" t="s">
        <v>2907</v>
      </c>
      <c r="F1781" s="34">
        <v>2020.0</v>
      </c>
      <c r="G1781" s="34" t="s">
        <v>2908</v>
      </c>
      <c r="H1781" s="34" t="s">
        <v>816</v>
      </c>
      <c r="I1781" s="34" t="s">
        <v>2909</v>
      </c>
      <c r="J1781" s="35"/>
      <c r="K1781" s="36"/>
      <c r="L1781" s="36"/>
      <c r="M1781" s="36"/>
      <c r="N1781" s="36">
        <v>-51.0</v>
      </c>
      <c r="O1781" s="36">
        <v>221.0</v>
      </c>
      <c r="P1781" s="52">
        <f t="shared" si="221"/>
        <v>-23.07692308</v>
      </c>
      <c r="Q1781" s="36"/>
      <c r="R1781" s="36" t="s">
        <v>82</v>
      </c>
      <c r="S1781" s="36"/>
      <c r="T1781" s="36" t="s">
        <v>1474</v>
      </c>
      <c r="U1781" s="36" t="s">
        <v>914</v>
      </c>
      <c r="V1781" s="36">
        <v>326.0</v>
      </c>
      <c r="W1781" s="36"/>
      <c r="X1781" s="38">
        <v>11.0</v>
      </c>
      <c r="Y1781" s="38" t="s">
        <v>915</v>
      </c>
      <c r="Z1781" s="38"/>
      <c r="AA1781" s="38"/>
      <c r="AB1781" s="38"/>
      <c r="AC1781" s="38"/>
      <c r="AD1781" s="38" t="s">
        <v>2910</v>
      </c>
      <c r="AE1781" s="38"/>
      <c r="AF1781" s="38"/>
      <c r="AG1781" s="38"/>
      <c r="AH1781" s="38"/>
      <c r="AI1781" s="40"/>
      <c r="AJ1781" s="40"/>
      <c r="AK1781" s="41"/>
      <c r="AL1781" s="40"/>
      <c r="AM1781" s="49"/>
      <c r="AN1781" s="43"/>
      <c r="AO1781" s="42"/>
      <c r="AP1781" s="43"/>
      <c r="AQ1781" s="44" t="str">
        <f t="shared" si="217"/>
        <v/>
      </c>
      <c r="AR1781" s="44" t="str">
        <f t="shared" si="199"/>
        <v/>
      </c>
      <c r="AS1781" s="44"/>
      <c r="AT1781" s="44" t="str">
        <f t="shared" si="202"/>
        <v/>
      </c>
      <c r="AU1781" s="44" t="str">
        <f t="shared" si="203"/>
        <v/>
      </c>
      <c r="AV1781" s="38">
        <v>2.0</v>
      </c>
      <c r="AW1781" s="38">
        <v>1.0</v>
      </c>
      <c r="AX1781" s="38"/>
      <c r="AY1781" s="38"/>
      <c r="AZ1781" s="29"/>
      <c r="BA1781" s="29"/>
      <c r="BB1781" s="29">
        <v>1.0</v>
      </c>
      <c r="BC1781" s="29" t="s">
        <v>895</v>
      </c>
      <c r="BD1781" s="29"/>
      <c r="BE1781" s="29"/>
      <c r="BF1781" s="29" t="s">
        <v>2426</v>
      </c>
      <c r="BG1781" s="29" t="s">
        <v>91</v>
      </c>
      <c r="BH1781" s="29" t="s">
        <v>92</v>
      </c>
      <c r="BI1781" s="29" t="s">
        <v>2911</v>
      </c>
      <c r="BJ1781" s="29" t="s">
        <v>2912</v>
      </c>
      <c r="BK1781" s="29" t="s">
        <v>2913</v>
      </c>
      <c r="BL1781" s="29" t="s">
        <v>2914</v>
      </c>
      <c r="BM1781" s="45"/>
      <c r="BN1781" s="45"/>
      <c r="BO1781" s="46"/>
      <c r="BP1781" s="2"/>
      <c r="BQ1781" s="3"/>
    </row>
    <row r="1782" ht="15.75" customHeight="1">
      <c r="A1782" s="34">
        <v>1890.0</v>
      </c>
      <c r="B1782" s="34">
        <v>102448.0</v>
      </c>
      <c r="C1782" s="34" t="s">
        <v>76</v>
      </c>
      <c r="D1782" s="34" t="s">
        <v>2906</v>
      </c>
      <c r="E1782" s="34" t="s">
        <v>2907</v>
      </c>
      <c r="F1782" s="34">
        <v>2020.0</v>
      </c>
      <c r="G1782" s="34" t="s">
        <v>2908</v>
      </c>
      <c r="H1782" s="34" t="s">
        <v>816</v>
      </c>
      <c r="I1782" s="34" t="s">
        <v>2909</v>
      </c>
      <c r="J1782" s="35"/>
      <c r="K1782" s="36"/>
      <c r="L1782" s="36"/>
      <c r="M1782" s="36"/>
      <c r="N1782" s="36">
        <v>31.0</v>
      </c>
      <c r="O1782" s="36">
        <v>141.0</v>
      </c>
      <c r="P1782" s="52">
        <f t="shared" si="221"/>
        <v>21.9858156</v>
      </c>
      <c r="Q1782" s="36"/>
      <c r="R1782" s="36" t="s">
        <v>82</v>
      </c>
      <c r="S1782" s="36"/>
      <c r="T1782" s="36" t="s">
        <v>1474</v>
      </c>
      <c r="U1782" s="36" t="s">
        <v>914</v>
      </c>
      <c r="V1782" s="36">
        <v>417.0</v>
      </c>
      <c r="W1782" s="36"/>
      <c r="X1782" s="38">
        <v>11.0</v>
      </c>
      <c r="Y1782" s="38" t="s">
        <v>915</v>
      </c>
      <c r="Z1782" s="38"/>
      <c r="AA1782" s="38"/>
      <c r="AB1782" s="38"/>
      <c r="AC1782" s="38"/>
      <c r="AD1782" s="38" t="s">
        <v>2910</v>
      </c>
      <c r="AE1782" s="38"/>
      <c r="AF1782" s="38"/>
      <c r="AG1782" s="38"/>
      <c r="AH1782" s="38"/>
      <c r="AI1782" s="40"/>
      <c r="AJ1782" s="40"/>
      <c r="AK1782" s="41"/>
      <c r="AL1782" s="40"/>
      <c r="AM1782" s="49"/>
      <c r="AN1782" s="43"/>
      <c r="AO1782" s="42"/>
      <c r="AP1782" s="43"/>
      <c r="AQ1782" s="44" t="str">
        <f t="shared" si="217"/>
        <v/>
      </c>
      <c r="AR1782" s="44" t="str">
        <f t="shared" si="199"/>
        <v/>
      </c>
      <c r="AS1782" s="44"/>
      <c r="AT1782" s="44" t="str">
        <f t="shared" si="202"/>
        <v/>
      </c>
      <c r="AU1782" s="44" t="str">
        <f t="shared" si="203"/>
        <v/>
      </c>
      <c r="AV1782" s="38">
        <v>3.0</v>
      </c>
      <c r="AW1782" s="38">
        <v>1.0</v>
      </c>
      <c r="AX1782" s="38"/>
      <c r="AY1782" s="38"/>
      <c r="AZ1782" s="29"/>
      <c r="BA1782" s="29"/>
      <c r="BB1782" s="29">
        <v>1.0</v>
      </c>
      <c r="BC1782" s="29" t="s">
        <v>984</v>
      </c>
      <c r="BD1782" s="29"/>
      <c r="BE1782" s="29"/>
      <c r="BF1782" s="29" t="s">
        <v>2662</v>
      </c>
      <c r="BG1782" s="29" t="s">
        <v>572</v>
      </c>
      <c r="BH1782" s="29" t="s">
        <v>92</v>
      </c>
      <c r="BI1782" s="29" t="s">
        <v>2911</v>
      </c>
      <c r="BJ1782" s="29" t="s">
        <v>2912</v>
      </c>
      <c r="BK1782" s="29" t="s">
        <v>2913</v>
      </c>
      <c r="BL1782" s="29" t="s">
        <v>2914</v>
      </c>
      <c r="BM1782" s="45"/>
      <c r="BN1782" s="45"/>
      <c r="BO1782" s="46"/>
      <c r="BP1782" s="2"/>
      <c r="BQ1782" s="3"/>
    </row>
    <row r="1783" ht="15.75" customHeight="1">
      <c r="A1783" s="34">
        <v>1891.0</v>
      </c>
      <c r="B1783" s="34">
        <v>102448.0</v>
      </c>
      <c r="C1783" s="34" t="s">
        <v>76</v>
      </c>
      <c r="D1783" s="34" t="s">
        <v>2906</v>
      </c>
      <c r="E1783" s="34" t="s">
        <v>2907</v>
      </c>
      <c r="F1783" s="34">
        <v>2020.0</v>
      </c>
      <c r="G1783" s="34" t="s">
        <v>2908</v>
      </c>
      <c r="H1783" s="34" t="s">
        <v>816</v>
      </c>
      <c r="I1783" s="34" t="s">
        <v>2909</v>
      </c>
      <c r="J1783" s="35"/>
      <c r="K1783" s="36"/>
      <c r="L1783" s="36"/>
      <c r="M1783" s="36"/>
      <c r="N1783" s="36">
        <v>82.0</v>
      </c>
      <c r="O1783" s="36">
        <v>134.0</v>
      </c>
      <c r="P1783" s="52">
        <f t="shared" si="221"/>
        <v>61.19402985</v>
      </c>
      <c r="Q1783" s="36"/>
      <c r="R1783" s="36" t="s">
        <v>82</v>
      </c>
      <c r="S1783" s="36"/>
      <c r="T1783" s="36" t="s">
        <v>1474</v>
      </c>
      <c r="U1783" s="36" t="s">
        <v>914</v>
      </c>
      <c r="V1783" s="36">
        <v>459.0</v>
      </c>
      <c r="W1783" s="36"/>
      <c r="X1783" s="38">
        <v>11.0</v>
      </c>
      <c r="Y1783" s="38" t="s">
        <v>915</v>
      </c>
      <c r="Z1783" s="38"/>
      <c r="AA1783" s="38"/>
      <c r="AB1783" s="38"/>
      <c r="AC1783" s="38"/>
      <c r="AD1783" s="38" t="s">
        <v>2910</v>
      </c>
      <c r="AE1783" s="38"/>
      <c r="AF1783" s="38"/>
      <c r="AG1783" s="38"/>
      <c r="AH1783" s="38"/>
      <c r="AI1783" s="40"/>
      <c r="AJ1783" s="40"/>
      <c r="AK1783" s="41"/>
      <c r="AL1783" s="40"/>
      <c r="AM1783" s="49"/>
      <c r="AN1783" s="43"/>
      <c r="AO1783" s="42"/>
      <c r="AP1783" s="43"/>
      <c r="AQ1783" s="44" t="str">
        <f t="shared" si="217"/>
        <v/>
      </c>
      <c r="AR1783" s="44" t="str">
        <f t="shared" si="199"/>
        <v/>
      </c>
      <c r="AS1783" s="44"/>
      <c r="AT1783" s="44" t="str">
        <f t="shared" si="202"/>
        <v/>
      </c>
      <c r="AU1783" s="44" t="str">
        <f t="shared" si="203"/>
        <v/>
      </c>
      <c r="AV1783" s="38">
        <v>3.0</v>
      </c>
      <c r="AW1783" s="38">
        <v>1.0</v>
      </c>
      <c r="AX1783" s="38"/>
      <c r="AY1783" s="38"/>
      <c r="AZ1783" s="29"/>
      <c r="BA1783" s="29"/>
      <c r="BB1783" s="29">
        <v>1.0</v>
      </c>
      <c r="BC1783" s="29" t="s">
        <v>2916</v>
      </c>
      <c r="BD1783" s="29"/>
      <c r="BE1783" s="29"/>
      <c r="BF1783" s="29" t="s">
        <v>2426</v>
      </c>
      <c r="BG1783" s="29" t="s">
        <v>91</v>
      </c>
      <c r="BH1783" s="29" t="s">
        <v>92</v>
      </c>
      <c r="BI1783" s="29" t="s">
        <v>2911</v>
      </c>
      <c r="BJ1783" s="29" t="s">
        <v>2912</v>
      </c>
      <c r="BK1783" s="29" t="s">
        <v>2913</v>
      </c>
      <c r="BL1783" s="29" t="s">
        <v>2914</v>
      </c>
      <c r="BM1783" s="45"/>
      <c r="BN1783" s="45"/>
      <c r="BO1783" s="46"/>
      <c r="BP1783" s="2"/>
      <c r="BQ1783" s="3"/>
    </row>
    <row r="1784" ht="15.75" customHeight="1">
      <c r="A1784" s="34">
        <v>1892.0</v>
      </c>
      <c r="B1784" s="34">
        <v>102448.0</v>
      </c>
      <c r="C1784" s="34" t="s">
        <v>76</v>
      </c>
      <c r="D1784" s="34" t="s">
        <v>2906</v>
      </c>
      <c r="E1784" s="34" t="s">
        <v>2907</v>
      </c>
      <c r="F1784" s="34">
        <v>2020.0</v>
      </c>
      <c r="G1784" s="34" t="s">
        <v>2908</v>
      </c>
      <c r="H1784" s="34" t="s">
        <v>816</v>
      </c>
      <c r="I1784" s="34" t="s">
        <v>2909</v>
      </c>
      <c r="J1784" s="35"/>
      <c r="K1784" s="36"/>
      <c r="L1784" s="36"/>
      <c r="M1784" s="36"/>
      <c r="N1784" s="36">
        <v>83.0</v>
      </c>
      <c r="O1784" s="36">
        <v>137.0</v>
      </c>
      <c r="P1784" s="52">
        <f t="shared" si="221"/>
        <v>60.58394161</v>
      </c>
      <c r="Q1784" s="36"/>
      <c r="R1784" s="36" t="s">
        <v>82</v>
      </c>
      <c r="S1784" s="36"/>
      <c r="T1784" s="36" t="s">
        <v>1474</v>
      </c>
      <c r="U1784" s="36" t="s">
        <v>914</v>
      </c>
      <c r="V1784" s="36">
        <v>442.0</v>
      </c>
      <c r="W1784" s="36"/>
      <c r="X1784" s="38">
        <v>11.0</v>
      </c>
      <c r="Y1784" s="38" t="s">
        <v>915</v>
      </c>
      <c r="Z1784" s="38"/>
      <c r="AA1784" s="38"/>
      <c r="AB1784" s="38"/>
      <c r="AC1784" s="38"/>
      <c r="AD1784" s="38" t="s">
        <v>2910</v>
      </c>
      <c r="AE1784" s="38"/>
      <c r="AF1784" s="38"/>
      <c r="AG1784" s="38"/>
      <c r="AH1784" s="38"/>
      <c r="AI1784" s="40"/>
      <c r="AJ1784" s="40"/>
      <c r="AK1784" s="41"/>
      <c r="AL1784" s="40"/>
      <c r="AM1784" s="49"/>
      <c r="AN1784" s="43"/>
      <c r="AO1784" s="42"/>
      <c r="AP1784" s="43"/>
      <c r="AQ1784" s="44" t="str">
        <f t="shared" si="217"/>
        <v/>
      </c>
      <c r="AR1784" s="44" t="str">
        <f t="shared" si="199"/>
        <v/>
      </c>
      <c r="AS1784" s="44"/>
      <c r="AT1784" s="44" t="str">
        <f t="shared" si="202"/>
        <v/>
      </c>
      <c r="AU1784" s="44" t="str">
        <f t="shared" si="203"/>
        <v/>
      </c>
      <c r="AV1784" s="38">
        <v>3.0</v>
      </c>
      <c r="AW1784" s="38">
        <v>1.0</v>
      </c>
      <c r="AX1784" s="38"/>
      <c r="AY1784" s="38"/>
      <c r="AZ1784" s="29"/>
      <c r="BA1784" s="29"/>
      <c r="BB1784" s="29">
        <v>1.0</v>
      </c>
      <c r="BC1784" s="29" t="s">
        <v>2917</v>
      </c>
      <c r="BD1784" s="29"/>
      <c r="BE1784" s="29"/>
      <c r="BF1784" s="29" t="s">
        <v>2426</v>
      </c>
      <c r="BG1784" s="29" t="s">
        <v>91</v>
      </c>
      <c r="BH1784" s="29" t="s">
        <v>92</v>
      </c>
      <c r="BI1784" s="29" t="s">
        <v>2911</v>
      </c>
      <c r="BJ1784" s="29" t="s">
        <v>2912</v>
      </c>
      <c r="BK1784" s="29" t="s">
        <v>2913</v>
      </c>
      <c r="BL1784" s="29" t="s">
        <v>2914</v>
      </c>
      <c r="BM1784" s="45"/>
      <c r="BN1784" s="45"/>
      <c r="BO1784" s="46"/>
      <c r="BP1784" s="2"/>
      <c r="BQ1784" s="3"/>
    </row>
    <row r="1785" ht="15.75" customHeight="1">
      <c r="A1785" s="34">
        <v>1893.0</v>
      </c>
      <c r="B1785" s="34">
        <v>102448.0</v>
      </c>
      <c r="C1785" s="34" t="s">
        <v>76</v>
      </c>
      <c r="D1785" s="34" t="s">
        <v>2906</v>
      </c>
      <c r="E1785" s="34" t="s">
        <v>2907</v>
      </c>
      <c r="F1785" s="34">
        <v>2020.0</v>
      </c>
      <c r="G1785" s="34" t="s">
        <v>2908</v>
      </c>
      <c r="H1785" s="34" t="s">
        <v>816</v>
      </c>
      <c r="I1785" s="34" t="s">
        <v>2909</v>
      </c>
      <c r="J1785" s="35"/>
      <c r="K1785" s="36"/>
      <c r="L1785" s="36"/>
      <c r="M1785" s="36"/>
      <c r="N1785" s="36">
        <v>12.0</v>
      </c>
      <c r="O1785" s="36">
        <v>158.0</v>
      </c>
      <c r="P1785" s="52">
        <f t="shared" si="221"/>
        <v>7.594936709</v>
      </c>
      <c r="Q1785" s="36"/>
      <c r="R1785" s="36" t="s">
        <v>82</v>
      </c>
      <c r="S1785" s="36"/>
      <c r="T1785" s="36" t="s">
        <v>1474</v>
      </c>
      <c r="U1785" s="36" t="s">
        <v>914</v>
      </c>
      <c r="V1785" s="36">
        <v>326.0</v>
      </c>
      <c r="W1785" s="36"/>
      <c r="X1785" s="38">
        <v>11.0</v>
      </c>
      <c r="Y1785" s="38" t="s">
        <v>915</v>
      </c>
      <c r="Z1785" s="38"/>
      <c r="AA1785" s="38"/>
      <c r="AB1785" s="38"/>
      <c r="AC1785" s="38"/>
      <c r="AD1785" s="38" t="s">
        <v>2910</v>
      </c>
      <c r="AE1785" s="38"/>
      <c r="AF1785" s="38"/>
      <c r="AG1785" s="38"/>
      <c r="AH1785" s="38"/>
      <c r="AI1785" s="40"/>
      <c r="AJ1785" s="40"/>
      <c r="AK1785" s="41"/>
      <c r="AL1785" s="40"/>
      <c r="AM1785" s="49"/>
      <c r="AN1785" s="43"/>
      <c r="AO1785" s="42"/>
      <c r="AP1785" s="43"/>
      <c r="AQ1785" s="44" t="str">
        <f t="shared" si="217"/>
        <v/>
      </c>
      <c r="AR1785" s="44" t="str">
        <f t="shared" si="199"/>
        <v/>
      </c>
      <c r="AS1785" s="44"/>
      <c r="AT1785" s="44" t="str">
        <f t="shared" si="202"/>
        <v/>
      </c>
      <c r="AU1785" s="44" t="str">
        <f t="shared" si="203"/>
        <v/>
      </c>
      <c r="AV1785" s="38">
        <v>3.0</v>
      </c>
      <c r="AW1785" s="38">
        <v>1.0</v>
      </c>
      <c r="AX1785" s="38"/>
      <c r="AY1785" s="38"/>
      <c r="AZ1785" s="29"/>
      <c r="BA1785" s="29"/>
      <c r="BB1785" s="29">
        <v>1.0</v>
      </c>
      <c r="BC1785" s="29" t="s">
        <v>895</v>
      </c>
      <c r="BD1785" s="29"/>
      <c r="BE1785" s="29"/>
      <c r="BF1785" s="29" t="s">
        <v>2426</v>
      </c>
      <c r="BG1785" s="29" t="s">
        <v>91</v>
      </c>
      <c r="BH1785" s="29" t="s">
        <v>92</v>
      </c>
      <c r="BI1785" s="29" t="s">
        <v>2911</v>
      </c>
      <c r="BJ1785" s="29" t="s">
        <v>2912</v>
      </c>
      <c r="BK1785" s="29" t="s">
        <v>2913</v>
      </c>
      <c r="BL1785" s="29" t="s">
        <v>2914</v>
      </c>
      <c r="BM1785" s="45"/>
      <c r="BN1785" s="45"/>
      <c r="BO1785" s="46"/>
      <c r="BP1785" s="2"/>
      <c r="BQ1785" s="3"/>
    </row>
    <row r="1786" ht="15.75" customHeight="1">
      <c r="A1786" s="34">
        <v>1894.0</v>
      </c>
      <c r="B1786" s="34">
        <v>102448.0</v>
      </c>
      <c r="C1786" s="34" t="s">
        <v>76</v>
      </c>
      <c r="D1786" s="34" t="s">
        <v>2906</v>
      </c>
      <c r="E1786" s="34" t="s">
        <v>2907</v>
      </c>
      <c r="F1786" s="34">
        <v>2020.0</v>
      </c>
      <c r="G1786" s="34" t="s">
        <v>2908</v>
      </c>
      <c r="H1786" s="34" t="s">
        <v>816</v>
      </c>
      <c r="I1786" s="34" t="s">
        <v>2909</v>
      </c>
      <c r="J1786" s="35"/>
      <c r="K1786" s="36"/>
      <c r="L1786" s="36"/>
      <c r="M1786" s="36"/>
      <c r="N1786" s="36">
        <v>-80.0</v>
      </c>
      <c r="O1786" s="36">
        <v>256.0</v>
      </c>
      <c r="P1786" s="52">
        <f t="shared" si="221"/>
        <v>-31.25</v>
      </c>
      <c r="Q1786" s="36"/>
      <c r="R1786" s="36" t="s">
        <v>82</v>
      </c>
      <c r="S1786" s="36"/>
      <c r="T1786" s="36" t="s">
        <v>1474</v>
      </c>
      <c r="U1786" s="36" t="s">
        <v>914</v>
      </c>
      <c r="V1786" s="36">
        <v>179.0</v>
      </c>
      <c r="W1786" s="36"/>
      <c r="X1786" s="38">
        <v>5.0</v>
      </c>
      <c r="Y1786" s="38" t="s">
        <v>946</v>
      </c>
      <c r="Z1786" s="38"/>
      <c r="AA1786" s="38" t="s">
        <v>86</v>
      </c>
      <c r="AB1786" s="38"/>
      <c r="AC1786" s="38"/>
      <c r="AD1786" s="38" t="s">
        <v>2918</v>
      </c>
      <c r="AE1786" s="38"/>
      <c r="AF1786" s="38"/>
      <c r="AG1786" s="38"/>
      <c r="AH1786" s="38"/>
      <c r="AI1786" s="40"/>
      <c r="AJ1786" s="40"/>
      <c r="AK1786" s="41"/>
      <c r="AL1786" s="40"/>
      <c r="AM1786" s="49"/>
      <c r="AN1786" s="43"/>
      <c r="AO1786" s="42"/>
      <c r="AP1786" s="43"/>
      <c r="AQ1786" s="44" t="str">
        <f t="shared" si="217"/>
        <v>CRO</v>
      </c>
      <c r="AR1786" s="44" t="str">
        <f t="shared" si="199"/>
        <v/>
      </c>
      <c r="AS1786" s="44"/>
      <c r="AT1786" s="44" t="str">
        <f t="shared" si="202"/>
        <v/>
      </c>
      <c r="AU1786" s="44" t="str">
        <f t="shared" si="203"/>
        <v/>
      </c>
      <c r="AV1786" s="38">
        <v>2.0</v>
      </c>
      <c r="AW1786" s="38"/>
      <c r="AX1786" s="38"/>
      <c r="AY1786" s="38"/>
      <c r="AZ1786" s="29"/>
      <c r="BA1786" s="29"/>
      <c r="BB1786" s="29">
        <v>1.0</v>
      </c>
      <c r="BC1786" s="29" t="s">
        <v>984</v>
      </c>
      <c r="BD1786" s="29"/>
      <c r="BE1786" s="29"/>
      <c r="BF1786" s="29" t="s">
        <v>2662</v>
      </c>
      <c r="BG1786" s="29" t="s">
        <v>572</v>
      </c>
      <c r="BH1786" s="29" t="s">
        <v>92</v>
      </c>
      <c r="BI1786" s="29" t="s">
        <v>2911</v>
      </c>
      <c r="BJ1786" s="29" t="s">
        <v>2912</v>
      </c>
      <c r="BK1786" s="29" t="s">
        <v>2913</v>
      </c>
      <c r="BL1786" s="29" t="s">
        <v>2914</v>
      </c>
      <c r="BM1786" s="45"/>
      <c r="BN1786" s="45"/>
      <c r="BO1786" s="46"/>
      <c r="BP1786" s="2"/>
      <c r="BQ1786" s="3"/>
    </row>
    <row r="1787" ht="15.75" customHeight="1">
      <c r="A1787" s="34">
        <v>1895.0</v>
      </c>
      <c r="B1787" s="34">
        <v>102448.0</v>
      </c>
      <c r="C1787" s="34" t="s">
        <v>76</v>
      </c>
      <c r="D1787" s="34" t="s">
        <v>2906</v>
      </c>
      <c r="E1787" s="34" t="s">
        <v>2907</v>
      </c>
      <c r="F1787" s="34">
        <v>2020.0</v>
      </c>
      <c r="G1787" s="34" t="s">
        <v>2908</v>
      </c>
      <c r="H1787" s="34" t="s">
        <v>816</v>
      </c>
      <c r="I1787" s="34" t="s">
        <v>2909</v>
      </c>
      <c r="J1787" s="35"/>
      <c r="K1787" s="36"/>
      <c r="L1787" s="36"/>
      <c r="M1787" s="36"/>
      <c r="N1787" s="36">
        <v>11.0</v>
      </c>
      <c r="O1787" s="36">
        <v>254.0</v>
      </c>
      <c r="P1787" s="52">
        <f t="shared" si="221"/>
        <v>4.330708661</v>
      </c>
      <c r="Q1787" s="36"/>
      <c r="R1787" s="36" t="s">
        <v>82</v>
      </c>
      <c r="S1787" s="36"/>
      <c r="T1787" s="36" t="s">
        <v>1474</v>
      </c>
      <c r="U1787" s="36" t="s">
        <v>914</v>
      </c>
      <c r="V1787" s="36">
        <v>183.0</v>
      </c>
      <c r="W1787" s="36"/>
      <c r="X1787" s="38">
        <v>5.0</v>
      </c>
      <c r="Y1787" s="38" t="s">
        <v>946</v>
      </c>
      <c r="Z1787" s="38"/>
      <c r="AA1787" s="38" t="s">
        <v>86</v>
      </c>
      <c r="AB1787" s="38"/>
      <c r="AC1787" s="38"/>
      <c r="AD1787" s="38" t="s">
        <v>2918</v>
      </c>
      <c r="AE1787" s="38"/>
      <c r="AF1787" s="38"/>
      <c r="AG1787" s="38"/>
      <c r="AH1787" s="38"/>
      <c r="AI1787" s="40"/>
      <c r="AJ1787" s="40"/>
      <c r="AK1787" s="41"/>
      <c r="AL1787" s="40"/>
      <c r="AM1787" s="49"/>
      <c r="AN1787" s="43"/>
      <c r="AO1787" s="42"/>
      <c r="AP1787" s="43"/>
      <c r="AQ1787" s="44" t="str">
        <f t="shared" si="217"/>
        <v>CRO</v>
      </c>
      <c r="AR1787" s="44" t="str">
        <f t="shared" si="199"/>
        <v/>
      </c>
      <c r="AS1787" s="44"/>
      <c r="AT1787" s="44" t="str">
        <f t="shared" si="202"/>
        <v/>
      </c>
      <c r="AU1787" s="44" t="str">
        <f t="shared" si="203"/>
        <v/>
      </c>
      <c r="AV1787" s="38">
        <v>2.0</v>
      </c>
      <c r="AW1787" s="38"/>
      <c r="AX1787" s="38"/>
      <c r="AY1787" s="38"/>
      <c r="AZ1787" s="29"/>
      <c r="BA1787" s="29"/>
      <c r="BB1787" s="29">
        <v>1.0</v>
      </c>
      <c r="BC1787" s="29" t="s">
        <v>2916</v>
      </c>
      <c r="BD1787" s="29"/>
      <c r="BE1787" s="29"/>
      <c r="BF1787" s="29" t="s">
        <v>2426</v>
      </c>
      <c r="BG1787" s="29" t="s">
        <v>91</v>
      </c>
      <c r="BH1787" s="29" t="s">
        <v>92</v>
      </c>
      <c r="BI1787" s="29" t="s">
        <v>2911</v>
      </c>
      <c r="BJ1787" s="29" t="s">
        <v>2912</v>
      </c>
      <c r="BK1787" s="29" t="s">
        <v>2913</v>
      </c>
      <c r="BL1787" s="29" t="s">
        <v>2914</v>
      </c>
      <c r="BM1787" s="45"/>
      <c r="BN1787" s="45"/>
      <c r="BO1787" s="46"/>
      <c r="BP1787" s="2"/>
      <c r="BQ1787" s="3"/>
    </row>
    <row r="1788" ht="15.75" customHeight="1">
      <c r="A1788" s="34">
        <v>1896.0</v>
      </c>
      <c r="B1788" s="34">
        <v>102448.0</v>
      </c>
      <c r="C1788" s="34" t="s">
        <v>76</v>
      </c>
      <c r="D1788" s="34" t="s">
        <v>2906</v>
      </c>
      <c r="E1788" s="34" t="s">
        <v>2907</v>
      </c>
      <c r="F1788" s="34">
        <v>2020.0</v>
      </c>
      <c r="G1788" s="34" t="s">
        <v>2908</v>
      </c>
      <c r="H1788" s="34" t="s">
        <v>816</v>
      </c>
      <c r="I1788" s="34" t="s">
        <v>2909</v>
      </c>
      <c r="J1788" s="35"/>
      <c r="K1788" s="36"/>
      <c r="L1788" s="36"/>
      <c r="M1788" s="36"/>
      <c r="N1788" s="36">
        <v>13.0</v>
      </c>
      <c r="O1788" s="36">
        <v>261.0</v>
      </c>
      <c r="P1788" s="52">
        <f t="shared" si="221"/>
        <v>4.980842912</v>
      </c>
      <c r="Q1788" s="36"/>
      <c r="R1788" s="36" t="s">
        <v>82</v>
      </c>
      <c r="S1788" s="36"/>
      <c r="T1788" s="36" t="s">
        <v>1474</v>
      </c>
      <c r="U1788" s="36" t="s">
        <v>914</v>
      </c>
      <c r="V1788" s="36">
        <v>169.0</v>
      </c>
      <c r="W1788" s="36"/>
      <c r="X1788" s="38">
        <v>5.0</v>
      </c>
      <c r="Y1788" s="38" t="s">
        <v>946</v>
      </c>
      <c r="Z1788" s="38"/>
      <c r="AA1788" s="38" t="s">
        <v>86</v>
      </c>
      <c r="AB1788" s="38"/>
      <c r="AC1788" s="38"/>
      <c r="AD1788" s="38" t="s">
        <v>2918</v>
      </c>
      <c r="AE1788" s="38"/>
      <c r="AF1788" s="38"/>
      <c r="AG1788" s="38"/>
      <c r="AH1788" s="38"/>
      <c r="AI1788" s="40"/>
      <c r="AJ1788" s="40"/>
      <c r="AK1788" s="41"/>
      <c r="AL1788" s="40"/>
      <c r="AM1788" s="49"/>
      <c r="AN1788" s="43"/>
      <c r="AO1788" s="42"/>
      <c r="AP1788" s="43"/>
      <c r="AQ1788" s="44" t="str">
        <f t="shared" si="217"/>
        <v>CRO</v>
      </c>
      <c r="AR1788" s="44" t="str">
        <f t="shared" si="199"/>
        <v/>
      </c>
      <c r="AS1788" s="44"/>
      <c r="AT1788" s="44" t="str">
        <f t="shared" si="202"/>
        <v/>
      </c>
      <c r="AU1788" s="44" t="str">
        <f t="shared" si="203"/>
        <v/>
      </c>
      <c r="AV1788" s="38">
        <v>2.0</v>
      </c>
      <c r="AW1788" s="38"/>
      <c r="AX1788" s="38"/>
      <c r="AY1788" s="38"/>
      <c r="AZ1788" s="29"/>
      <c r="BA1788" s="29"/>
      <c r="BB1788" s="29">
        <v>1.0</v>
      </c>
      <c r="BC1788" s="29" t="s">
        <v>2917</v>
      </c>
      <c r="BD1788" s="29"/>
      <c r="BE1788" s="29"/>
      <c r="BF1788" s="29" t="s">
        <v>2426</v>
      </c>
      <c r="BG1788" s="29" t="s">
        <v>91</v>
      </c>
      <c r="BH1788" s="29" t="s">
        <v>92</v>
      </c>
      <c r="BI1788" s="29" t="s">
        <v>2911</v>
      </c>
      <c r="BJ1788" s="29" t="s">
        <v>2912</v>
      </c>
      <c r="BK1788" s="29" t="s">
        <v>2913</v>
      </c>
      <c r="BL1788" s="29" t="s">
        <v>2914</v>
      </c>
      <c r="BM1788" s="45"/>
      <c r="BN1788" s="45"/>
      <c r="BO1788" s="46"/>
      <c r="BP1788" s="2"/>
      <c r="BQ1788" s="3"/>
    </row>
    <row r="1789" ht="15.75" customHeight="1">
      <c r="A1789" s="34">
        <v>1897.0</v>
      </c>
      <c r="B1789" s="34">
        <v>102448.0</v>
      </c>
      <c r="C1789" s="34" t="s">
        <v>76</v>
      </c>
      <c r="D1789" s="34" t="s">
        <v>2906</v>
      </c>
      <c r="E1789" s="34" t="s">
        <v>2907</v>
      </c>
      <c r="F1789" s="34">
        <v>2020.0</v>
      </c>
      <c r="G1789" s="34" t="s">
        <v>2908</v>
      </c>
      <c r="H1789" s="34" t="s">
        <v>816</v>
      </c>
      <c r="I1789" s="34" t="s">
        <v>2909</v>
      </c>
      <c r="J1789" s="35"/>
      <c r="K1789" s="36"/>
      <c r="L1789" s="36"/>
      <c r="M1789" s="36"/>
      <c r="N1789" s="36">
        <v>-83.0</v>
      </c>
      <c r="O1789" s="36">
        <v>269.0</v>
      </c>
      <c r="P1789" s="52">
        <f t="shared" si="221"/>
        <v>-30.85501859</v>
      </c>
      <c r="Q1789" s="36"/>
      <c r="R1789" s="36" t="s">
        <v>82</v>
      </c>
      <c r="S1789" s="36"/>
      <c r="T1789" s="36" t="s">
        <v>1474</v>
      </c>
      <c r="U1789" s="36" t="s">
        <v>914</v>
      </c>
      <c r="V1789" s="36">
        <v>145.0</v>
      </c>
      <c r="W1789" s="36"/>
      <c r="X1789" s="38">
        <v>5.0</v>
      </c>
      <c r="Y1789" s="38" t="s">
        <v>946</v>
      </c>
      <c r="Z1789" s="38"/>
      <c r="AA1789" s="38" t="s">
        <v>86</v>
      </c>
      <c r="AB1789" s="38"/>
      <c r="AC1789" s="38"/>
      <c r="AD1789" s="38" t="s">
        <v>2918</v>
      </c>
      <c r="AE1789" s="38"/>
      <c r="AF1789" s="38"/>
      <c r="AG1789" s="38"/>
      <c r="AH1789" s="38"/>
      <c r="AI1789" s="40"/>
      <c r="AJ1789" s="40"/>
      <c r="AK1789" s="41"/>
      <c r="AL1789" s="40"/>
      <c r="AM1789" s="49"/>
      <c r="AN1789" s="43"/>
      <c r="AO1789" s="42"/>
      <c r="AP1789" s="43"/>
      <c r="AQ1789" s="44" t="str">
        <f t="shared" si="217"/>
        <v>CRO</v>
      </c>
      <c r="AR1789" s="44" t="str">
        <f t="shared" si="199"/>
        <v/>
      </c>
      <c r="AS1789" s="44"/>
      <c r="AT1789" s="44" t="str">
        <f t="shared" si="202"/>
        <v/>
      </c>
      <c r="AU1789" s="44" t="str">
        <f t="shared" si="203"/>
        <v/>
      </c>
      <c r="AV1789" s="38">
        <v>2.0</v>
      </c>
      <c r="AW1789" s="38"/>
      <c r="AX1789" s="38"/>
      <c r="AY1789" s="38"/>
      <c r="AZ1789" s="29"/>
      <c r="BA1789" s="29"/>
      <c r="BB1789" s="29">
        <v>1.0</v>
      </c>
      <c r="BC1789" s="29" t="s">
        <v>895</v>
      </c>
      <c r="BD1789" s="29"/>
      <c r="BE1789" s="29"/>
      <c r="BF1789" s="29" t="s">
        <v>2426</v>
      </c>
      <c r="BG1789" s="29" t="s">
        <v>91</v>
      </c>
      <c r="BH1789" s="29" t="s">
        <v>92</v>
      </c>
      <c r="BI1789" s="29" t="s">
        <v>2911</v>
      </c>
      <c r="BJ1789" s="29" t="s">
        <v>2912</v>
      </c>
      <c r="BK1789" s="29" t="s">
        <v>2913</v>
      </c>
      <c r="BL1789" s="29" t="s">
        <v>2914</v>
      </c>
      <c r="BM1789" s="45"/>
      <c r="BN1789" s="45"/>
      <c r="BO1789" s="46"/>
      <c r="BP1789" s="2"/>
      <c r="BQ1789" s="3"/>
    </row>
    <row r="1790" ht="15.75" customHeight="1">
      <c r="A1790" s="34">
        <v>1898.0</v>
      </c>
      <c r="B1790" s="34">
        <v>102448.0</v>
      </c>
      <c r="C1790" s="34" t="s">
        <v>76</v>
      </c>
      <c r="D1790" s="34" t="s">
        <v>2906</v>
      </c>
      <c r="E1790" s="34" t="s">
        <v>2907</v>
      </c>
      <c r="F1790" s="34">
        <v>2020.0</v>
      </c>
      <c r="G1790" s="34" t="s">
        <v>2908</v>
      </c>
      <c r="H1790" s="34" t="s">
        <v>816</v>
      </c>
      <c r="I1790" s="34" t="s">
        <v>2909</v>
      </c>
      <c r="J1790" s="35"/>
      <c r="K1790" s="36"/>
      <c r="L1790" s="36"/>
      <c r="M1790" s="36"/>
      <c r="N1790" s="36">
        <v>88.0</v>
      </c>
      <c r="O1790" s="36">
        <v>136.0</v>
      </c>
      <c r="P1790" s="52">
        <f t="shared" si="221"/>
        <v>64.70588235</v>
      </c>
      <c r="Q1790" s="36"/>
      <c r="R1790" s="36" t="s">
        <v>82</v>
      </c>
      <c r="S1790" s="36"/>
      <c r="T1790" s="36" t="s">
        <v>1474</v>
      </c>
      <c r="U1790" s="36" t="s">
        <v>914</v>
      </c>
      <c r="V1790" s="36">
        <v>91.0</v>
      </c>
      <c r="W1790" s="36"/>
      <c r="X1790" s="38">
        <v>2.0</v>
      </c>
      <c r="Y1790" s="38" t="s">
        <v>945</v>
      </c>
      <c r="Z1790" s="38"/>
      <c r="AA1790" s="38" t="s">
        <v>288</v>
      </c>
      <c r="AB1790" s="38"/>
      <c r="AC1790" s="38"/>
      <c r="AD1790" s="38" t="s">
        <v>2918</v>
      </c>
      <c r="AE1790" s="38"/>
      <c r="AF1790" s="38"/>
      <c r="AG1790" s="38"/>
      <c r="AH1790" s="38"/>
      <c r="AI1790" s="40"/>
      <c r="AJ1790" s="40"/>
      <c r="AK1790" s="41"/>
      <c r="AL1790" s="40"/>
      <c r="AM1790" s="49"/>
      <c r="AN1790" s="43"/>
      <c r="AO1790" s="42"/>
      <c r="AP1790" s="43"/>
      <c r="AQ1790" s="44" t="str">
        <f t="shared" si="217"/>
        <v>GRA</v>
      </c>
      <c r="AR1790" s="44" t="str">
        <f t="shared" si="199"/>
        <v/>
      </c>
      <c r="AS1790" s="44"/>
      <c r="AT1790" s="44" t="str">
        <f t="shared" si="202"/>
        <v/>
      </c>
      <c r="AU1790" s="44" t="str">
        <f t="shared" si="203"/>
        <v/>
      </c>
      <c r="AV1790" s="38">
        <v>2.0</v>
      </c>
      <c r="AW1790" s="38"/>
      <c r="AX1790" s="38"/>
      <c r="AY1790" s="38"/>
      <c r="AZ1790" s="29"/>
      <c r="BA1790" s="29"/>
      <c r="BB1790" s="29">
        <v>1.0</v>
      </c>
      <c r="BC1790" s="29" t="s">
        <v>984</v>
      </c>
      <c r="BD1790" s="29"/>
      <c r="BE1790" s="29"/>
      <c r="BF1790" s="29" t="s">
        <v>2662</v>
      </c>
      <c r="BG1790" s="29" t="s">
        <v>572</v>
      </c>
      <c r="BH1790" s="29" t="s">
        <v>92</v>
      </c>
      <c r="BI1790" s="29" t="s">
        <v>2911</v>
      </c>
      <c r="BJ1790" s="29" t="s">
        <v>2912</v>
      </c>
      <c r="BK1790" s="29" t="s">
        <v>2913</v>
      </c>
      <c r="BL1790" s="29" t="s">
        <v>2914</v>
      </c>
      <c r="BM1790" s="45"/>
      <c r="BN1790" s="45"/>
      <c r="BO1790" s="46"/>
      <c r="BP1790" s="2"/>
      <c r="BQ1790" s="3"/>
    </row>
    <row r="1791" ht="15.75" customHeight="1">
      <c r="A1791" s="34">
        <v>1899.0</v>
      </c>
      <c r="B1791" s="34">
        <v>102448.0</v>
      </c>
      <c r="C1791" s="34" t="s">
        <v>76</v>
      </c>
      <c r="D1791" s="34" t="s">
        <v>2906</v>
      </c>
      <c r="E1791" s="34" t="s">
        <v>2907</v>
      </c>
      <c r="F1791" s="34">
        <v>2020.0</v>
      </c>
      <c r="G1791" s="34" t="s">
        <v>2908</v>
      </c>
      <c r="H1791" s="34" t="s">
        <v>816</v>
      </c>
      <c r="I1791" s="34" t="s">
        <v>2909</v>
      </c>
      <c r="J1791" s="35"/>
      <c r="K1791" s="36"/>
      <c r="L1791" s="36"/>
      <c r="M1791" s="36"/>
      <c r="N1791" s="36">
        <v>55.0</v>
      </c>
      <c r="O1791" s="36">
        <v>128.0</v>
      </c>
      <c r="P1791" s="52">
        <f t="shared" si="221"/>
        <v>42.96875</v>
      </c>
      <c r="Q1791" s="36"/>
      <c r="R1791" s="36" t="s">
        <v>82</v>
      </c>
      <c r="S1791" s="36"/>
      <c r="T1791" s="36" t="s">
        <v>1474</v>
      </c>
      <c r="U1791" s="36" t="s">
        <v>914</v>
      </c>
      <c r="V1791" s="36">
        <v>108.0</v>
      </c>
      <c r="W1791" s="36"/>
      <c r="X1791" s="38">
        <v>2.0</v>
      </c>
      <c r="Y1791" s="38" t="s">
        <v>945</v>
      </c>
      <c r="Z1791" s="38"/>
      <c r="AA1791" s="38" t="s">
        <v>288</v>
      </c>
      <c r="AB1791" s="38"/>
      <c r="AC1791" s="38"/>
      <c r="AD1791" s="38" t="s">
        <v>2918</v>
      </c>
      <c r="AE1791" s="38"/>
      <c r="AF1791" s="38"/>
      <c r="AG1791" s="38"/>
      <c r="AH1791" s="38"/>
      <c r="AI1791" s="40"/>
      <c r="AJ1791" s="40"/>
      <c r="AK1791" s="41"/>
      <c r="AL1791" s="40"/>
      <c r="AM1791" s="49"/>
      <c r="AN1791" s="43"/>
      <c r="AO1791" s="42"/>
      <c r="AP1791" s="43"/>
      <c r="AQ1791" s="44" t="str">
        <f t="shared" si="217"/>
        <v>GRA</v>
      </c>
      <c r="AR1791" s="44" t="str">
        <f t="shared" si="199"/>
        <v/>
      </c>
      <c r="AS1791" s="44"/>
      <c r="AT1791" s="44" t="str">
        <f t="shared" si="202"/>
        <v/>
      </c>
      <c r="AU1791" s="44" t="str">
        <f t="shared" si="203"/>
        <v/>
      </c>
      <c r="AV1791" s="38">
        <v>2.0</v>
      </c>
      <c r="AW1791" s="38"/>
      <c r="AX1791" s="38"/>
      <c r="AY1791" s="38"/>
      <c r="AZ1791" s="29"/>
      <c r="BA1791" s="29"/>
      <c r="BB1791" s="29">
        <v>1.0</v>
      </c>
      <c r="BC1791" s="29" t="s">
        <v>2916</v>
      </c>
      <c r="BD1791" s="29"/>
      <c r="BE1791" s="29"/>
      <c r="BF1791" s="29" t="s">
        <v>2426</v>
      </c>
      <c r="BG1791" s="29" t="s">
        <v>91</v>
      </c>
      <c r="BH1791" s="29" t="s">
        <v>92</v>
      </c>
      <c r="BI1791" s="29" t="s">
        <v>2911</v>
      </c>
      <c r="BJ1791" s="29" t="s">
        <v>2912</v>
      </c>
      <c r="BK1791" s="29" t="s">
        <v>2913</v>
      </c>
      <c r="BL1791" s="29" t="s">
        <v>2914</v>
      </c>
      <c r="BM1791" s="45"/>
      <c r="BN1791" s="45"/>
      <c r="BO1791" s="46"/>
      <c r="BP1791" s="2"/>
      <c r="BQ1791" s="3"/>
    </row>
    <row r="1792" ht="15.75" customHeight="1">
      <c r="A1792" s="34">
        <v>1900.0</v>
      </c>
      <c r="B1792" s="34">
        <v>102448.0</v>
      </c>
      <c r="C1792" s="34" t="s">
        <v>76</v>
      </c>
      <c r="D1792" s="34" t="s">
        <v>2906</v>
      </c>
      <c r="E1792" s="34" t="s">
        <v>2907</v>
      </c>
      <c r="F1792" s="34">
        <v>2020.0</v>
      </c>
      <c r="G1792" s="34" t="s">
        <v>2908</v>
      </c>
      <c r="H1792" s="34" t="s">
        <v>816</v>
      </c>
      <c r="I1792" s="34" t="s">
        <v>2909</v>
      </c>
      <c r="J1792" s="35"/>
      <c r="K1792" s="36"/>
      <c r="L1792" s="36"/>
      <c r="M1792" s="36"/>
      <c r="N1792" s="36">
        <v>64.0</v>
      </c>
      <c r="O1792" s="36">
        <v>127.0</v>
      </c>
      <c r="P1792" s="52">
        <f t="shared" si="221"/>
        <v>50.39370079</v>
      </c>
      <c r="Q1792" s="36"/>
      <c r="R1792" s="36" t="s">
        <v>82</v>
      </c>
      <c r="S1792" s="36"/>
      <c r="T1792" s="36" t="s">
        <v>1474</v>
      </c>
      <c r="U1792" s="36" t="s">
        <v>914</v>
      </c>
      <c r="V1792" s="36">
        <v>106.0</v>
      </c>
      <c r="W1792" s="36"/>
      <c r="X1792" s="38">
        <v>2.0</v>
      </c>
      <c r="Y1792" s="38" t="s">
        <v>945</v>
      </c>
      <c r="Z1792" s="38"/>
      <c r="AA1792" s="38" t="s">
        <v>288</v>
      </c>
      <c r="AB1792" s="38"/>
      <c r="AC1792" s="38"/>
      <c r="AD1792" s="38" t="s">
        <v>2918</v>
      </c>
      <c r="AE1792" s="38"/>
      <c r="AF1792" s="38"/>
      <c r="AG1792" s="38"/>
      <c r="AH1792" s="38"/>
      <c r="AI1792" s="40"/>
      <c r="AJ1792" s="40"/>
      <c r="AK1792" s="41"/>
      <c r="AL1792" s="40"/>
      <c r="AM1792" s="49"/>
      <c r="AN1792" s="43"/>
      <c r="AO1792" s="42"/>
      <c r="AP1792" s="43"/>
      <c r="AQ1792" s="44" t="str">
        <f t="shared" si="217"/>
        <v>GRA</v>
      </c>
      <c r="AR1792" s="44" t="str">
        <f t="shared" si="199"/>
        <v/>
      </c>
      <c r="AS1792" s="44"/>
      <c r="AT1792" s="44" t="str">
        <f t="shared" si="202"/>
        <v/>
      </c>
      <c r="AU1792" s="44" t="str">
        <f t="shared" si="203"/>
        <v/>
      </c>
      <c r="AV1792" s="38">
        <v>2.0</v>
      </c>
      <c r="AW1792" s="38"/>
      <c r="AX1792" s="38"/>
      <c r="AY1792" s="38"/>
      <c r="AZ1792" s="29"/>
      <c r="BA1792" s="29"/>
      <c r="BB1792" s="29">
        <v>1.0</v>
      </c>
      <c r="BC1792" s="29" t="s">
        <v>2917</v>
      </c>
      <c r="BD1792" s="29"/>
      <c r="BE1792" s="29"/>
      <c r="BF1792" s="29" t="s">
        <v>2426</v>
      </c>
      <c r="BG1792" s="29" t="s">
        <v>91</v>
      </c>
      <c r="BH1792" s="29" t="s">
        <v>92</v>
      </c>
      <c r="BI1792" s="29" t="s">
        <v>2911</v>
      </c>
      <c r="BJ1792" s="29" t="s">
        <v>2912</v>
      </c>
      <c r="BK1792" s="29" t="s">
        <v>2913</v>
      </c>
      <c r="BL1792" s="29" t="s">
        <v>2914</v>
      </c>
      <c r="BM1792" s="45"/>
      <c r="BN1792" s="45"/>
      <c r="BO1792" s="46"/>
      <c r="BP1792" s="2"/>
      <c r="BQ1792" s="3"/>
    </row>
    <row r="1793" ht="15.75" customHeight="1">
      <c r="A1793" s="34">
        <v>1901.0</v>
      </c>
      <c r="B1793" s="34">
        <v>102448.0</v>
      </c>
      <c r="C1793" s="34" t="s">
        <v>76</v>
      </c>
      <c r="D1793" s="34" t="s">
        <v>2906</v>
      </c>
      <c r="E1793" s="34" t="s">
        <v>2907</v>
      </c>
      <c r="F1793" s="34">
        <v>2020.0</v>
      </c>
      <c r="G1793" s="34" t="s">
        <v>2908</v>
      </c>
      <c r="H1793" s="34" t="s">
        <v>816</v>
      </c>
      <c r="I1793" s="34" t="s">
        <v>2909</v>
      </c>
      <c r="J1793" s="35"/>
      <c r="K1793" s="36"/>
      <c r="L1793" s="36"/>
      <c r="M1793" s="36"/>
      <c r="N1793" s="36">
        <v>31.0</v>
      </c>
      <c r="O1793" s="36">
        <v>134.0</v>
      </c>
      <c r="P1793" s="52">
        <f t="shared" si="221"/>
        <v>23.13432836</v>
      </c>
      <c r="Q1793" s="36"/>
      <c r="R1793" s="36" t="s">
        <v>82</v>
      </c>
      <c r="S1793" s="36"/>
      <c r="T1793" s="36" t="s">
        <v>1474</v>
      </c>
      <c r="U1793" s="36" t="s">
        <v>914</v>
      </c>
      <c r="V1793" s="36">
        <v>79.0</v>
      </c>
      <c r="W1793" s="36"/>
      <c r="X1793" s="38">
        <v>2.0</v>
      </c>
      <c r="Y1793" s="38" t="s">
        <v>945</v>
      </c>
      <c r="Z1793" s="38"/>
      <c r="AA1793" s="38" t="s">
        <v>288</v>
      </c>
      <c r="AB1793" s="38"/>
      <c r="AC1793" s="38"/>
      <c r="AD1793" s="38" t="s">
        <v>2918</v>
      </c>
      <c r="AE1793" s="38"/>
      <c r="AF1793" s="38"/>
      <c r="AG1793" s="38"/>
      <c r="AH1793" s="38"/>
      <c r="AI1793" s="40"/>
      <c r="AJ1793" s="40"/>
      <c r="AK1793" s="41"/>
      <c r="AL1793" s="40"/>
      <c r="AM1793" s="49"/>
      <c r="AN1793" s="43"/>
      <c r="AO1793" s="42"/>
      <c r="AP1793" s="43"/>
      <c r="AQ1793" s="44" t="str">
        <f t="shared" si="217"/>
        <v>GRA</v>
      </c>
      <c r="AR1793" s="44" t="str">
        <f t="shared" si="199"/>
        <v/>
      </c>
      <c r="AS1793" s="44"/>
      <c r="AT1793" s="44" t="str">
        <f t="shared" si="202"/>
        <v/>
      </c>
      <c r="AU1793" s="44" t="str">
        <f t="shared" si="203"/>
        <v/>
      </c>
      <c r="AV1793" s="38">
        <v>2.0</v>
      </c>
      <c r="AW1793" s="38"/>
      <c r="AX1793" s="38"/>
      <c r="AY1793" s="38"/>
      <c r="AZ1793" s="29"/>
      <c r="BA1793" s="29"/>
      <c r="BB1793" s="29">
        <v>1.0</v>
      </c>
      <c r="BC1793" s="29" t="s">
        <v>895</v>
      </c>
      <c r="BD1793" s="29"/>
      <c r="BE1793" s="29"/>
      <c r="BF1793" s="29" t="s">
        <v>2426</v>
      </c>
      <c r="BG1793" s="29" t="s">
        <v>91</v>
      </c>
      <c r="BH1793" s="29" t="s">
        <v>92</v>
      </c>
      <c r="BI1793" s="29" t="s">
        <v>2911</v>
      </c>
      <c r="BJ1793" s="29" t="s">
        <v>2912</v>
      </c>
      <c r="BK1793" s="29" t="s">
        <v>2913</v>
      </c>
      <c r="BL1793" s="29" t="s">
        <v>2914</v>
      </c>
      <c r="BM1793" s="45"/>
      <c r="BN1793" s="45"/>
      <c r="BO1793" s="46"/>
      <c r="BP1793" s="2"/>
      <c r="BQ1793" s="3"/>
    </row>
    <row r="1794" ht="15.75" customHeight="1">
      <c r="A1794" s="34">
        <v>1902.0</v>
      </c>
      <c r="B1794" s="34">
        <v>102448.0</v>
      </c>
      <c r="C1794" s="34" t="s">
        <v>76</v>
      </c>
      <c r="D1794" s="34" t="s">
        <v>2906</v>
      </c>
      <c r="E1794" s="34" t="s">
        <v>2907</v>
      </c>
      <c r="F1794" s="34">
        <v>2020.0</v>
      </c>
      <c r="G1794" s="34" t="s">
        <v>2908</v>
      </c>
      <c r="H1794" s="34" t="s">
        <v>816</v>
      </c>
      <c r="I1794" s="34" t="s">
        <v>2909</v>
      </c>
      <c r="J1794" s="35"/>
      <c r="K1794" s="36"/>
      <c r="L1794" s="36"/>
      <c r="M1794" s="36"/>
      <c r="N1794" s="36">
        <v>-38.0</v>
      </c>
      <c r="O1794" s="36">
        <v>165.0</v>
      </c>
      <c r="P1794" s="52">
        <f t="shared" si="221"/>
        <v>-23.03030303</v>
      </c>
      <c r="Q1794" s="36"/>
      <c r="R1794" s="36" t="s">
        <v>82</v>
      </c>
      <c r="S1794" s="36"/>
      <c r="T1794" s="36" t="s">
        <v>1474</v>
      </c>
      <c r="U1794" s="36" t="s">
        <v>914</v>
      </c>
      <c r="V1794" s="36">
        <v>140.0</v>
      </c>
      <c r="W1794" s="36"/>
      <c r="X1794" s="38">
        <v>2.0</v>
      </c>
      <c r="Y1794" s="38" t="s">
        <v>2919</v>
      </c>
      <c r="Z1794" s="38"/>
      <c r="AA1794" s="38" t="s">
        <v>313</v>
      </c>
      <c r="AB1794" s="38"/>
      <c r="AC1794" s="38"/>
      <c r="AD1794" s="38" t="s">
        <v>2920</v>
      </c>
      <c r="AE1794" s="38"/>
      <c r="AF1794" s="38"/>
      <c r="AG1794" s="38"/>
      <c r="AH1794" s="38"/>
      <c r="AI1794" s="40"/>
      <c r="AJ1794" s="40"/>
      <c r="AK1794" s="41"/>
      <c r="AL1794" s="40"/>
      <c r="AM1794" s="49"/>
      <c r="AN1794" s="43"/>
      <c r="AO1794" s="42"/>
      <c r="AP1794" s="43"/>
      <c r="AQ1794" s="44" t="str">
        <f t="shared" si="217"/>
        <v>SAV</v>
      </c>
      <c r="AR1794" s="44" t="str">
        <f t="shared" si="199"/>
        <v/>
      </c>
      <c r="AS1794" s="44"/>
      <c r="AT1794" s="44" t="str">
        <f t="shared" si="202"/>
        <v/>
      </c>
      <c r="AU1794" s="44" t="str">
        <f t="shared" si="203"/>
        <v/>
      </c>
      <c r="AV1794" s="38">
        <v>2.0</v>
      </c>
      <c r="AW1794" s="38"/>
      <c r="AX1794" s="38"/>
      <c r="AY1794" s="38"/>
      <c r="AZ1794" s="29"/>
      <c r="BA1794" s="29"/>
      <c r="BB1794" s="29">
        <v>1.0</v>
      </c>
      <c r="BC1794" s="29" t="s">
        <v>984</v>
      </c>
      <c r="BD1794" s="29"/>
      <c r="BE1794" s="29"/>
      <c r="BF1794" s="29" t="s">
        <v>2662</v>
      </c>
      <c r="BG1794" s="29" t="s">
        <v>572</v>
      </c>
      <c r="BH1794" s="29" t="s">
        <v>92</v>
      </c>
      <c r="BI1794" s="29" t="s">
        <v>2911</v>
      </c>
      <c r="BJ1794" s="29" t="s">
        <v>2912</v>
      </c>
      <c r="BK1794" s="29" t="s">
        <v>2913</v>
      </c>
      <c r="BL1794" s="29" t="s">
        <v>2914</v>
      </c>
      <c r="BM1794" s="45"/>
      <c r="BN1794" s="45"/>
      <c r="BO1794" s="46"/>
      <c r="BP1794" s="2"/>
      <c r="BQ1794" s="3"/>
    </row>
    <row r="1795" ht="15.75" customHeight="1">
      <c r="A1795" s="34">
        <v>1903.0</v>
      </c>
      <c r="B1795" s="34">
        <v>102448.0</v>
      </c>
      <c r="C1795" s="34" t="s">
        <v>76</v>
      </c>
      <c r="D1795" s="34" t="s">
        <v>2906</v>
      </c>
      <c r="E1795" s="34" t="s">
        <v>2907</v>
      </c>
      <c r="F1795" s="34">
        <v>2020.0</v>
      </c>
      <c r="G1795" s="34" t="s">
        <v>2908</v>
      </c>
      <c r="H1795" s="34" t="s">
        <v>816</v>
      </c>
      <c r="I1795" s="34" t="s">
        <v>2909</v>
      </c>
      <c r="J1795" s="35"/>
      <c r="K1795" s="36"/>
      <c r="L1795" s="36"/>
      <c r="M1795" s="36"/>
      <c r="N1795" s="36">
        <v>8.0</v>
      </c>
      <c r="O1795" s="36">
        <v>160.0</v>
      </c>
      <c r="P1795" s="52">
        <f t="shared" si="221"/>
        <v>5</v>
      </c>
      <c r="Q1795" s="36"/>
      <c r="R1795" s="36" t="s">
        <v>82</v>
      </c>
      <c r="S1795" s="36"/>
      <c r="T1795" s="36" t="s">
        <v>1474</v>
      </c>
      <c r="U1795" s="36" t="s">
        <v>914</v>
      </c>
      <c r="V1795" s="36">
        <v>151.0</v>
      </c>
      <c r="W1795" s="36"/>
      <c r="X1795" s="38">
        <v>2.0</v>
      </c>
      <c r="Y1795" s="38" t="s">
        <v>2919</v>
      </c>
      <c r="Z1795" s="38"/>
      <c r="AA1795" s="38" t="s">
        <v>313</v>
      </c>
      <c r="AB1795" s="38"/>
      <c r="AC1795" s="38"/>
      <c r="AD1795" s="38" t="s">
        <v>2920</v>
      </c>
      <c r="AE1795" s="38"/>
      <c r="AF1795" s="38"/>
      <c r="AG1795" s="38"/>
      <c r="AH1795" s="38"/>
      <c r="AI1795" s="40"/>
      <c r="AJ1795" s="40"/>
      <c r="AK1795" s="41"/>
      <c r="AL1795" s="40"/>
      <c r="AM1795" s="49"/>
      <c r="AN1795" s="43"/>
      <c r="AO1795" s="42"/>
      <c r="AP1795" s="43"/>
      <c r="AQ1795" s="44" t="str">
        <f t="shared" si="217"/>
        <v>SAV</v>
      </c>
      <c r="AR1795" s="44" t="str">
        <f t="shared" si="199"/>
        <v/>
      </c>
      <c r="AS1795" s="44"/>
      <c r="AT1795" s="44" t="str">
        <f t="shared" si="202"/>
        <v/>
      </c>
      <c r="AU1795" s="44" t="str">
        <f t="shared" si="203"/>
        <v/>
      </c>
      <c r="AV1795" s="38">
        <v>2.0</v>
      </c>
      <c r="AW1795" s="38"/>
      <c r="AX1795" s="38"/>
      <c r="AY1795" s="38"/>
      <c r="AZ1795" s="29"/>
      <c r="BA1795" s="29"/>
      <c r="BB1795" s="29">
        <v>1.0</v>
      </c>
      <c r="BC1795" s="29" t="s">
        <v>2916</v>
      </c>
      <c r="BD1795" s="29"/>
      <c r="BE1795" s="29"/>
      <c r="BF1795" s="29" t="s">
        <v>2426</v>
      </c>
      <c r="BG1795" s="29" t="s">
        <v>91</v>
      </c>
      <c r="BH1795" s="29" t="s">
        <v>92</v>
      </c>
      <c r="BI1795" s="29" t="s">
        <v>2911</v>
      </c>
      <c r="BJ1795" s="29" t="s">
        <v>2912</v>
      </c>
      <c r="BK1795" s="29" t="s">
        <v>2913</v>
      </c>
      <c r="BL1795" s="29" t="s">
        <v>2914</v>
      </c>
      <c r="BM1795" s="45"/>
      <c r="BN1795" s="45"/>
      <c r="BO1795" s="46"/>
      <c r="BP1795" s="2"/>
      <c r="BQ1795" s="3"/>
    </row>
    <row r="1796" ht="15.75" customHeight="1">
      <c r="A1796" s="34">
        <v>1904.0</v>
      </c>
      <c r="B1796" s="34">
        <v>102448.0</v>
      </c>
      <c r="C1796" s="34" t="s">
        <v>76</v>
      </c>
      <c r="D1796" s="34" t="s">
        <v>2906</v>
      </c>
      <c r="E1796" s="34" t="s">
        <v>2907</v>
      </c>
      <c r="F1796" s="34">
        <v>2020.0</v>
      </c>
      <c r="G1796" s="34" t="s">
        <v>2908</v>
      </c>
      <c r="H1796" s="34" t="s">
        <v>816</v>
      </c>
      <c r="I1796" s="34" t="s">
        <v>2909</v>
      </c>
      <c r="J1796" s="35"/>
      <c r="K1796" s="36"/>
      <c r="L1796" s="36"/>
      <c r="M1796" s="36"/>
      <c r="N1796" s="36">
        <v>5.0</v>
      </c>
      <c r="O1796" s="36">
        <v>161.0</v>
      </c>
      <c r="P1796" s="52">
        <f t="shared" si="221"/>
        <v>3.105590062</v>
      </c>
      <c r="Q1796" s="36"/>
      <c r="R1796" s="36" t="s">
        <v>82</v>
      </c>
      <c r="S1796" s="36"/>
      <c r="T1796" s="36" t="s">
        <v>1474</v>
      </c>
      <c r="U1796" s="36" t="s">
        <v>914</v>
      </c>
      <c r="V1796" s="36">
        <v>150.0</v>
      </c>
      <c r="W1796" s="36"/>
      <c r="X1796" s="38">
        <v>2.0</v>
      </c>
      <c r="Y1796" s="38" t="s">
        <v>2919</v>
      </c>
      <c r="Z1796" s="38"/>
      <c r="AA1796" s="38" t="s">
        <v>313</v>
      </c>
      <c r="AB1796" s="38"/>
      <c r="AC1796" s="38"/>
      <c r="AD1796" s="38" t="s">
        <v>2920</v>
      </c>
      <c r="AE1796" s="38"/>
      <c r="AF1796" s="38"/>
      <c r="AG1796" s="38"/>
      <c r="AH1796" s="38"/>
      <c r="AI1796" s="40"/>
      <c r="AJ1796" s="40"/>
      <c r="AK1796" s="41"/>
      <c r="AL1796" s="40"/>
      <c r="AM1796" s="49"/>
      <c r="AN1796" s="43"/>
      <c r="AO1796" s="42"/>
      <c r="AP1796" s="43"/>
      <c r="AQ1796" s="44" t="str">
        <f t="shared" si="217"/>
        <v>SAV</v>
      </c>
      <c r="AR1796" s="44" t="str">
        <f t="shared" si="199"/>
        <v/>
      </c>
      <c r="AS1796" s="44"/>
      <c r="AT1796" s="44" t="str">
        <f t="shared" si="202"/>
        <v/>
      </c>
      <c r="AU1796" s="44" t="str">
        <f t="shared" si="203"/>
        <v/>
      </c>
      <c r="AV1796" s="38">
        <v>2.0</v>
      </c>
      <c r="AW1796" s="38"/>
      <c r="AX1796" s="38"/>
      <c r="AY1796" s="38"/>
      <c r="AZ1796" s="29"/>
      <c r="BA1796" s="29"/>
      <c r="BB1796" s="29">
        <v>1.0</v>
      </c>
      <c r="BC1796" s="29" t="s">
        <v>2917</v>
      </c>
      <c r="BD1796" s="29"/>
      <c r="BE1796" s="29"/>
      <c r="BF1796" s="29" t="s">
        <v>2426</v>
      </c>
      <c r="BG1796" s="29" t="s">
        <v>91</v>
      </c>
      <c r="BH1796" s="29" t="s">
        <v>92</v>
      </c>
      <c r="BI1796" s="29" t="s">
        <v>2911</v>
      </c>
      <c r="BJ1796" s="29" t="s">
        <v>2912</v>
      </c>
      <c r="BK1796" s="29" t="s">
        <v>2913</v>
      </c>
      <c r="BL1796" s="29" t="s">
        <v>2914</v>
      </c>
      <c r="BM1796" s="45"/>
      <c r="BN1796" s="45"/>
      <c r="BO1796" s="46"/>
      <c r="BP1796" s="2"/>
      <c r="BQ1796" s="3"/>
    </row>
    <row r="1797" ht="15.75" customHeight="1">
      <c r="A1797" s="34">
        <v>1905.0</v>
      </c>
      <c r="B1797" s="34">
        <v>102448.0</v>
      </c>
      <c r="C1797" s="34" t="s">
        <v>76</v>
      </c>
      <c r="D1797" s="34" t="s">
        <v>2906</v>
      </c>
      <c r="E1797" s="34" t="s">
        <v>2907</v>
      </c>
      <c r="F1797" s="34">
        <v>2020.0</v>
      </c>
      <c r="G1797" s="34" t="s">
        <v>2908</v>
      </c>
      <c r="H1797" s="34" t="s">
        <v>816</v>
      </c>
      <c r="I1797" s="34" t="s">
        <v>2909</v>
      </c>
      <c r="J1797" s="35"/>
      <c r="K1797" s="36"/>
      <c r="L1797" s="36"/>
      <c r="M1797" s="36"/>
      <c r="N1797" s="36">
        <v>-67.0</v>
      </c>
      <c r="O1797" s="36">
        <v>215.0</v>
      </c>
      <c r="P1797" s="52">
        <f t="shared" si="221"/>
        <v>-31.1627907</v>
      </c>
      <c r="Q1797" s="36"/>
      <c r="R1797" s="36" t="s">
        <v>82</v>
      </c>
      <c r="S1797" s="36"/>
      <c r="T1797" s="36" t="s">
        <v>1474</v>
      </c>
      <c r="U1797" s="36" t="s">
        <v>914</v>
      </c>
      <c r="V1797" s="36">
        <v>89.0</v>
      </c>
      <c r="W1797" s="36"/>
      <c r="X1797" s="38">
        <v>2.0</v>
      </c>
      <c r="Y1797" s="38" t="s">
        <v>2919</v>
      </c>
      <c r="Z1797" s="38"/>
      <c r="AA1797" s="38" t="s">
        <v>313</v>
      </c>
      <c r="AB1797" s="38"/>
      <c r="AC1797" s="38"/>
      <c r="AD1797" s="38" t="s">
        <v>2920</v>
      </c>
      <c r="AE1797" s="38"/>
      <c r="AF1797" s="38"/>
      <c r="AG1797" s="38"/>
      <c r="AH1797" s="38"/>
      <c r="AI1797" s="40"/>
      <c r="AJ1797" s="40"/>
      <c r="AK1797" s="41"/>
      <c r="AL1797" s="40"/>
      <c r="AM1797" s="49"/>
      <c r="AN1797" s="43"/>
      <c r="AO1797" s="42"/>
      <c r="AP1797" s="43"/>
      <c r="AQ1797" s="44" t="str">
        <f t="shared" si="217"/>
        <v>SAV</v>
      </c>
      <c r="AR1797" s="44" t="str">
        <f t="shared" si="199"/>
        <v/>
      </c>
      <c r="AS1797" s="44"/>
      <c r="AT1797" s="44" t="str">
        <f t="shared" si="202"/>
        <v/>
      </c>
      <c r="AU1797" s="44" t="str">
        <f t="shared" si="203"/>
        <v/>
      </c>
      <c r="AV1797" s="38">
        <v>2.0</v>
      </c>
      <c r="AW1797" s="38"/>
      <c r="AX1797" s="38"/>
      <c r="AY1797" s="38"/>
      <c r="AZ1797" s="29"/>
      <c r="BA1797" s="29"/>
      <c r="BB1797" s="29">
        <v>1.0</v>
      </c>
      <c r="BC1797" s="29" t="s">
        <v>895</v>
      </c>
      <c r="BD1797" s="29"/>
      <c r="BE1797" s="29"/>
      <c r="BF1797" s="29" t="s">
        <v>2426</v>
      </c>
      <c r="BG1797" s="29" t="s">
        <v>91</v>
      </c>
      <c r="BH1797" s="29" t="s">
        <v>92</v>
      </c>
      <c r="BI1797" s="29" t="s">
        <v>2911</v>
      </c>
      <c r="BJ1797" s="29" t="s">
        <v>2912</v>
      </c>
      <c r="BK1797" s="29" t="s">
        <v>2913</v>
      </c>
      <c r="BL1797" s="29" t="s">
        <v>2914</v>
      </c>
      <c r="BM1797" s="45"/>
      <c r="BN1797" s="45"/>
      <c r="BO1797" s="46"/>
      <c r="BP1797" s="2"/>
      <c r="BQ1797" s="3"/>
    </row>
    <row r="1798" ht="15.75" customHeight="1">
      <c r="A1798" s="34">
        <v>1906.0</v>
      </c>
      <c r="B1798" s="34">
        <v>102448.0</v>
      </c>
      <c r="C1798" s="34" t="s">
        <v>76</v>
      </c>
      <c r="D1798" s="34" t="s">
        <v>2906</v>
      </c>
      <c r="E1798" s="34" t="s">
        <v>2907</v>
      </c>
      <c r="F1798" s="34">
        <v>2020.0</v>
      </c>
      <c r="G1798" s="34" t="s">
        <v>2908</v>
      </c>
      <c r="H1798" s="34" t="s">
        <v>816</v>
      </c>
      <c r="I1798" s="34" t="s">
        <v>2909</v>
      </c>
      <c r="J1798" s="35"/>
      <c r="K1798" s="36"/>
      <c r="L1798" s="36"/>
      <c r="M1798" s="36"/>
      <c r="N1798" s="36">
        <v>-64.0</v>
      </c>
      <c r="O1798" s="36">
        <v>337.0</v>
      </c>
      <c r="P1798" s="52">
        <f t="shared" si="221"/>
        <v>-18.99109792</v>
      </c>
      <c r="Q1798" s="36"/>
      <c r="R1798" s="36" t="s">
        <v>82</v>
      </c>
      <c r="S1798" s="36"/>
      <c r="T1798" s="36" t="s">
        <v>1474</v>
      </c>
      <c r="U1798" s="36" t="s">
        <v>914</v>
      </c>
      <c r="V1798" s="36">
        <v>7.0</v>
      </c>
      <c r="W1798" s="36"/>
      <c r="X1798" s="38">
        <v>2.0</v>
      </c>
      <c r="Y1798" s="38" t="s">
        <v>943</v>
      </c>
      <c r="Z1798" s="38"/>
      <c r="AA1798" s="38" t="s">
        <v>452</v>
      </c>
      <c r="AB1798" s="38"/>
      <c r="AC1798" s="38"/>
      <c r="AD1798" s="38" t="s">
        <v>2921</v>
      </c>
      <c r="AE1798" s="38"/>
      <c r="AF1798" s="38"/>
      <c r="AG1798" s="38"/>
      <c r="AH1798" s="38"/>
      <c r="AI1798" s="40"/>
      <c r="AJ1798" s="40"/>
      <c r="AK1798" s="41"/>
      <c r="AL1798" s="40"/>
      <c r="AM1798" s="49"/>
      <c r="AN1798" s="43"/>
      <c r="AO1798" s="42"/>
      <c r="AP1798" s="43"/>
      <c r="AQ1798" s="44" t="str">
        <f t="shared" si="217"/>
        <v>MF</v>
      </c>
      <c r="AR1798" s="44" t="str">
        <f t="shared" si="199"/>
        <v/>
      </c>
      <c r="AS1798" s="44"/>
      <c r="AT1798" s="44" t="str">
        <f t="shared" si="202"/>
        <v/>
      </c>
      <c r="AU1798" s="44" t="str">
        <f t="shared" si="203"/>
        <v/>
      </c>
      <c r="AV1798" s="38">
        <v>2.0</v>
      </c>
      <c r="AW1798" s="38"/>
      <c r="AX1798" s="38"/>
      <c r="AY1798" s="38"/>
      <c r="AZ1798" s="29"/>
      <c r="BA1798" s="29"/>
      <c r="BB1798" s="29">
        <v>1.0</v>
      </c>
      <c r="BC1798" s="29" t="s">
        <v>984</v>
      </c>
      <c r="BD1798" s="29"/>
      <c r="BE1798" s="29"/>
      <c r="BF1798" s="29" t="s">
        <v>2662</v>
      </c>
      <c r="BG1798" s="29" t="s">
        <v>572</v>
      </c>
      <c r="BH1798" s="29" t="s">
        <v>92</v>
      </c>
      <c r="BI1798" s="29" t="s">
        <v>2911</v>
      </c>
      <c r="BJ1798" s="29" t="s">
        <v>2912</v>
      </c>
      <c r="BK1798" s="29" t="s">
        <v>2913</v>
      </c>
      <c r="BL1798" s="29" t="s">
        <v>2914</v>
      </c>
      <c r="BM1798" s="45"/>
      <c r="BN1798" s="45"/>
      <c r="BO1798" s="46"/>
      <c r="BP1798" s="2"/>
      <c r="BQ1798" s="3"/>
    </row>
    <row r="1799" ht="15.75" customHeight="1">
      <c r="A1799" s="34">
        <v>1907.0</v>
      </c>
      <c r="B1799" s="34">
        <v>102448.0</v>
      </c>
      <c r="C1799" s="34" t="s">
        <v>76</v>
      </c>
      <c r="D1799" s="34" t="s">
        <v>2906</v>
      </c>
      <c r="E1799" s="34" t="s">
        <v>2907</v>
      </c>
      <c r="F1799" s="34">
        <v>2020.0</v>
      </c>
      <c r="G1799" s="34" t="s">
        <v>2908</v>
      </c>
      <c r="H1799" s="34" t="s">
        <v>816</v>
      </c>
      <c r="I1799" s="34" t="s">
        <v>2909</v>
      </c>
      <c r="J1799" s="35"/>
      <c r="K1799" s="36"/>
      <c r="L1799" s="36"/>
      <c r="M1799" s="36"/>
      <c r="N1799" s="36">
        <v>55.0</v>
      </c>
      <c r="O1799" s="36">
        <v>282.0</v>
      </c>
      <c r="P1799" s="52">
        <f t="shared" si="221"/>
        <v>19.5035461</v>
      </c>
      <c r="Q1799" s="36"/>
      <c r="R1799" s="36" t="s">
        <v>82</v>
      </c>
      <c r="S1799" s="36"/>
      <c r="T1799" s="36" t="s">
        <v>1474</v>
      </c>
      <c r="U1799" s="36" t="s">
        <v>914</v>
      </c>
      <c r="V1799" s="36">
        <v>17.0</v>
      </c>
      <c r="W1799" s="36"/>
      <c r="X1799" s="38">
        <v>2.0</v>
      </c>
      <c r="Y1799" s="38" t="s">
        <v>943</v>
      </c>
      <c r="Z1799" s="38"/>
      <c r="AA1799" s="38" t="s">
        <v>452</v>
      </c>
      <c r="AB1799" s="38"/>
      <c r="AC1799" s="38"/>
      <c r="AD1799" s="38" t="s">
        <v>2921</v>
      </c>
      <c r="AE1799" s="38"/>
      <c r="AF1799" s="38"/>
      <c r="AG1799" s="38"/>
      <c r="AH1799" s="38"/>
      <c r="AI1799" s="40"/>
      <c r="AJ1799" s="40"/>
      <c r="AK1799" s="41"/>
      <c r="AL1799" s="40"/>
      <c r="AM1799" s="49"/>
      <c r="AN1799" s="43"/>
      <c r="AO1799" s="42"/>
      <c r="AP1799" s="43"/>
      <c r="AQ1799" s="44" t="str">
        <f t="shared" si="217"/>
        <v>MF</v>
      </c>
      <c r="AR1799" s="44" t="str">
        <f t="shared" si="199"/>
        <v/>
      </c>
      <c r="AS1799" s="44"/>
      <c r="AT1799" s="44" t="str">
        <f t="shared" si="202"/>
        <v/>
      </c>
      <c r="AU1799" s="44" t="str">
        <f t="shared" si="203"/>
        <v/>
      </c>
      <c r="AV1799" s="38">
        <v>2.0</v>
      </c>
      <c r="AW1799" s="38"/>
      <c r="AX1799" s="38"/>
      <c r="AY1799" s="38"/>
      <c r="AZ1799" s="29"/>
      <c r="BA1799" s="29"/>
      <c r="BB1799" s="29">
        <v>1.0</v>
      </c>
      <c r="BC1799" s="29" t="s">
        <v>2916</v>
      </c>
      <c r="BD1799" s="29"/>
      <c r="BE1799" s="29"/>
      <c r="BF1799" s="29" t="s">
        <v>2426</v>
      </c>
      <c r="BG1799" s="29" t="s">
        <v>91</v>
      </c>
      <c r="BH1799" s="29" t="s">
        <v>92</v>
      </c>
      <c r="BI1799" s="29" t="s">
        <v>2911</v>
      </c>
      <c r="BJ1799" s="29" t="s">
        <v>2912</v>
      </c>
      <c r="BK1799" s="29" t="s">
        <v>2913</v>
      </c>
      <c r="BL1799" s="29" t="s">
        <v>2914</v>
      </c>
      <c r="BM1799" s="45"/>
      <c r="BN1799" s="45"/>
      <c r="BO1799" s="46"/>
      <c r="BP1799" s="2"/>
      <c r="BQ1799" s="3"/>
    </row>
    <row r="1800" ht="15.75" customHeight="1">
      <c r="A1800" s="34">
        <v>1908.0</v>
      </c>
      <c r="B1800" s="34">
        <v>102448.0</v>
      </c>
      <c r="C1800" s="34" t="s">
        <v>76</v>
      </c>
      <c r="D1800" s="34" t="s">
        <v>2906</v>
      </c>
      <c r="E1800" s="34" t="s">
        <v>2907</v>
      </c>
      <c r="F1800" s="34">
        <v>2020.0</v>
      </c>
      <c r="G1800" s="34" t="s">
        <v>2908</v>
      </c>
      <c r="H1800" s="34" t="s">
        <v>816</v>
      </c>
      <c r="I1800" s="34" t="s">
        <v>2909</v>
      </c>
      <c r="J1800" s="35"/>
      <c r="K1800" s="36"/>
      <c r="L1800" s="36"/>
      <c r="M1800" s="36"/>
      <c r="N1800" s="36">
        <v>51.0</v>
      </c>
      <c r="O1800" s="36">
        <v>282.0</v>
      </c>
      <c r="P1800" s="52">
        <f t="shared" si="221"/>
        <v>18.08510638</v>
      </c>
      <c r="Q1800" s="36"/>
      <c r="R1800" s="36" t="s">
        <v>82</v>
      </c>
      <c r="S1800" s="36"/>
      <c r="T1800" s="36" t="s">
        <v>1474</v>
      </c>
      <c r="U1800" s="36" t="s">
        <v>914</v>
      </c>
      <c r="V1800" s="36">
        <v>17.0</v>
      </c>
      <c r="W1800" s="36"/>
      <c r="X1800" s="38">
        <v>2.0</v>
      </c>
      <c r="Y1800" s="38" t="s">
        <v>943</v>
      </c>
      <c r="Z1800" s="38"/>
      <c r="AA1800" s="38" t="s">
        <v>452</v>
      </c>
      <c r="AB1800" s="38"/>
      <c r="AC1800" s="38"/>
      <c r="AD1800" s="38" t="s">
        <v>2921</v>
      </c>
      <c r="AE1800" s="38"/>
      <c r="AF1800" s="38"/>
      <c r="AG1800" s="38"/>
      <c r="AH1800" s="38"/>
      <c r="AI1800" s="40"/>
      <c r="AJ1800" s="40"/>
      <c r="AK1800" s="41"/>
      <c r="AL1800" s="40"/>
      <c r="AM1800" s="49"/>
      <c r="AN1800" s="43"/>
      <c r="AO1800" s="42"/>
      <c r="AP1800" s="43"/>
      <c r="AQ1800" s="44" t="str">
        <f t="shared" si="217"/>
        <v>MF</v>
      </c>
      <c r="AR1800" s="44" t="str">
        <f t="shared" si="199"/>
        <v/>
      </c>
      <c r="AS1800" s="44"/>
      <c r="AT1800" s="44" t="str">
        <f t="shared" si="202"/>
        <v/>
      </c>
      <c r="AU1800" s="44" t="str">
        <f t="shared" si="203"/>
        <v/>
      </c>
      <c r="AV1800" s="38">
        <v>2.0</v>
      </c>
      <c r="AW1800" s="38"/>
      <c r="AX1800" s="38"/>
      <c r="AY1800" s="38"/>
      <c r="AZ1800" s="29"/>
      <c r="BA1800" s="29"/>
      <c r="BB1800" s="29">
        <v>1.0</v>
      </c>
      <c r="BC1800" s="29" t="s">
        <v>2917</v>
      </c>
      <c r="BD1800" s="29"/>
      <c r="BE1800" s="29"/>
      <c r="BF1800" s="29" t="s">
        <v>2426</v>
      </c>
      <c r="BG1800" s="29" t="s">
        <v>91</v>
      </c>
      <c r="BH1800" s="29" t="s">
        <v>92</v>
      </c>
      <c r="BI1800" s="29" t="s">
        <v>2911</v>
      </c>
      <c r="BJ1800" s="29" t="s">
        <v>2912</v>
      </c>
      <c r="BK1800" s="29" t="s">
        <v>2913</v>
      </c>
      <c r="BL1800" s="29" t="s">
        <v>2914</v>
      </c>
      <c r="BM1800" s="45"/>
      <c r="BN1800" s="45"/>
      <c r="BO1800" s="46"/>
      <c r="BP1800" s="2"/>
      <c r="BQ1800" s="3"/>
    </row>
    <row r="1801" ht="15.75" customHeight="1">
      <c r="A1801" s="34">
        <v>1909.0</v>
      </c>
      <c r="B1801" s="34">
        <v>102448.0</v>
      </c>
      <c r="C1801" s="34" t="s">
        <v>76</v>
      </c>
      <c r="D1801" s="34" t="s">
        <v>2906</v>
      </c>
      <c r="E1801" s="34" t="s">
        <v>2907</v>
      </c>
      <c r="F1801" s="34">
        <v>2020.0</v>
      </c>
      <c r="G1801" s="34" t="s">
        <v>2908</v>
      </c>
      <c r="H1801" s="34" t="s">
        <v>816</v>
      </c>
      <c r="I1801" s="34" t="s">
        <v>2909</v>
      </c>
      <c r="J1801" s="35"/>
      <c r="K1801" s="36"/>
      <c r="L1801" s="36"/>
      <c r="M1801" s="36"/>
      <c r="N1801" s="36">
        <v>-93.0</v>
      </c>
      <c r="O1801" s="36">
        <v>256.0</v>
      </c>
      <c r="P1801" s="52">
        <f t="shared" si="221"/>
        <v>-36.328125</v>
      </c>
      <c r="Q1801" s="36"/>
      <c r="R1801" s="36" t="s">
        <v>82</v>
      </c>
      <c r="S1801" s="36"/>
      <c r="T1801" s="36" t="s">
        <v>1474</v>
      </c>
      <c r="U1801" s="36" t="s">
        <v>914</v>
      </c>
      <c r="V1801" s="36">
        <v>13.0</v>
      </c>
      <c r="W1801" s="36"/>
      <c r="X1801" s="38">
        <v>2.0</v>
      </c>
      <c r="Y1801" s="38" t="s">
        <v>943</v>
      </c>
      <c r="Z1801" s="38"/>
      <c r="AA1801" s="38" t="s">
        <v>452</v>
      </c>
      <c r="AB1801" s="38"/>
      <c r="AC1801" s="38"/>
      <c r="AD1801" s="38" t="s">
        <v>2921</v>
      </c>
      <c r="AE1801" s="38"/>
      <c r="AF1801" s="38"/>
      <c r="AG1801" s="38"/>
      <c r="AH1801" s="38"/>
      <c r="AI1801" s="40"/>
      <c r="AJ1801" s="40"/>
      <c r="AK1801" s="41"/>
      <c r="AL1801" s="40"/>
      <c r="AM1801" s="49"/>
      <c r="AN1801" s="43"/>
      <c r="AO1801" s="42"/>
      <c r="AP1801" s="43"/>
      <c r="AQ1801" s="44" t="str">
        <f t="shared" si="217"/>
        <v>MF</v>
      </c>
      <c r="AR1801" s="44" t="str">
        <f t="shared" si="199"/>
        <v/>
      </c>
      <c r="AS1801" s="44"/>
      <c r="AT1801" s="44" t="str">
        <f t="shared" si="202"/>
        <v/>
      </c>
      <c r="AU1801" s="44" t="str">
        <f t="shared" si="203"/>
        <v/>
      </c>
      <c r="AV1801" s="38">
        <v>2.0</v>
      </c>
      <c r="AW1801" s="38"/>
      <c r="AX1801" s="38"/>
      <c r="AY1801" s="38"/>
      <c r="AZ1801" s="29"/>
      <c r="BA1801" s="29"/>
      <c r="BB1801" s="29">
        <v>1.0</v>
      </c>
      <c r="BC1801" s="29" t="s">
        <v>895</v>
      </c>
      <c r="BD1801" s="29"/>
      <c r="BE1801" s="29"/>
      <c r="BF1801" s="29" t="s">
        <v>2426</v>
      </c>
      <c r="BG1801" s="29" t="s">
        <v>91</v>
      </c>
      <c r="BH1801" s="29" t="s">
        <v>92</v>
      </c>
      <c r="BI1801" s="29" t="s">
        <v>2911</v>
      </c>
      <c r="BJ1801" s="29" t="s">
        <v>2912</v>
      </c>
      <c r="BK1801" s="29" t="s">
        <v>2913</v>
      </c>
      <c r="BL1801" s="29" t="s">
        <v>2914</v>
      </c>
      <c r="BM1801" s="45"/>
      <c r="BN1801" s="45"/>
      <c r="BO1801" s="46"/>
      <c r="BP1801" s="2"/>
      <c r="BQ1801" s="3"/>
    </row>
    <row r="1802" ht="15.75" customHeight="1">
      <c r="A1802" s="34">
        <v>1910.0</v>
      </c>
      <c r="B1802" s="34">
        <v>102448.0</v>
      </c>
      <c r="C1802" s="34" t="s">
        <v>76</v>
      </c>
      <c r="D1802" s="34" t="s">
        <v>2906</v>
      </c>
      <c r="E1802" s="34" t="s">
        <v>2907</v>
      </c>
      <c r="F1802" s="34">
        <v>2020.0</v>
      </c>
      <c r="G1802" s="34" t="s">
        <v>2908</v>
      </c>
      <c r="H1802" s="34" t="s">
        <v>816</v>
      </c>
      <c r="I1802" s="34" t="s">
        <v>2909</v>
      </c>
      <c r="J1802" s="35"/>
      <c r="K1802" s="36"/>
      <c r="L1802" s="36"/>
      <c r="M1802" s="36"/>
      <c r="N1802" s="36">
        <v>-151.0</v>
      </c>
      <c r="O1802" s="36">
        <v>289.0</v>
      </c>
      <c r="P1802" s="52">
        <f t="shared" si="221"/>
        <v>-52.24913495</v>
      </c>
      <c r="Q1802" s="36"/>
      <c r="R1802" s="36" t="s">
        <v>82</v>
      </c>
      <c r="S1802" s="36"/>
      <c r="T1802" s="36" t="s">
        <v>1474</v>
      </c>
      <c r="U1802" s="36" t="s">
        <v>914</v>
      </c>
      <c r="V1802" s="36">
        <v>58.0</v>
      </c>
      <c r="W1802" s="36"/>
      <c r="X1802" s="38">
        <v>3.0</v>
      </c>
      <c r="Y1802" s="38" t="s">
        <v>2922</v>
      </c>
      <c r="Z1802" s="38"/>
      <c r="AA1802" s="38" t="s">
        <v>86</v>
      </c>
      <c r="AB1802" s="38"/>
      <c r="AC1802" s="38"/>
      <c r="AD1802" s="38" t="s">
        <v>2910</v>
      </c>
      <c r="AE1802" s="38"/>
      <c r="AF1802" s="38" t="s">
        <v>2923</v>
      </c>
      <c r="AG1802" s="38"/>
      <c r="AH1802" s="38"/>
      <c r="AI1802" s="40"/>
      <c r="AJ1802" s="40"/>
      <c r="AK1802" s="41"/>
      <c r="AL1802" s="40"/>
      <c r="AM1802" s="49"/>
      <c r="AN1802" s="43"/>
      <c r="AO1802" s="42"/>
      <c r="AP1802" s="43"/>
      <c r="AQ1802" s="44" t="str">
        <f t="shared" si="217"/>
        <v>CRO</v>
      </c>
      <c r="AR1802" s="44" t="str">
        <f t="shared" si="199"/>
        <v/>
      </c>
      <c r="AS1802" s="44"/>
      <c r="AT1802" s="44" t="str">
        <f t="shared" si="202"/>
        <v/>
      </c>
      <c r="AU1802" s="44" t="str">
        <f t="shared" si="203"/>
        <v/>
      </c>
      <c r="AV1802" s="38">
        <v>2.0</v>
      </c>
      <c r="AW1802" s="38"/>
      <c r="AX1802" s="38"/>
      <c r="AY1802" s="38"/>
      <c r="AZ1802" s="29"/>
      <c r="BA1802" s="29"/>
      <c r="BB1802" s="29">
        <v>1.0</v>
      </c>
      <c r="BC1802" s="29" t="s">
        <v>984</v>
      </c>
      <c r="BD1802" s="29"/>
      <c r="BE1802" s="29"/>
      <c r="BF1802" s="29" t="s">
        <v>2662</v>
      </c>
      <c r="BG1802" s="29" t="s">
        <v>572</v>
      </c>
      <c r="BH1802" s="29" t="s">
        <v>92</v>
      </c>
      <c r="BI1802" s="29" t="s">
        <v>2911</v>
      </c>
      <c r="BJ1802" s="29" t="s">
        <v>2912</v>
      </c>
      <c r="BK1802" s="29" t="s">
        <v>2913</v>
      </c>
      <c r="BL1802" s="29" t="s">
        <v>2914</v>
      </c>
      <c r="BM1802" s="45"/>
      <c r="BN1802" s="45"/>
      <c r="BO1802" s="46"/>
      <c r="BP1802" s="2"/>
      <c r="BQ1802" s="3"/>
    </row>
    <row r="1803" ht="15.75" customHeight="1">
      <c r="A1803" s="34">
        <v>1911.0</v>
      </c>
      <c r="B1803" s="34">
        <v>102448.0</v>
      </c>
      <c r="C1803" s="34" t="s">
        <v>76</v>
      </c>
      <c r="D1803" s="34" t="s">
        <v>2906</v>
      </c>
      <c r="E1803" s="34" t="s">
        <v>2907</v>
      </c>
      <c r="F1803" s="34">
        <v>2020.0</v>
      </c>
      <c r="G1803" s="34" t="s">
        <v>2908</v>
      </c>
      <c r="H1803" s="34" t="s">
        <v>816</v>
      </c>
      <c r="I1803" s="34" t="s">
        <v>2909</v>
      </c>
      <c r="J1803" s="35"/>
      <c r="K1803" s="36"/>
      <c r="L1803" s="36"/>
      <c r="M1803" s="36"/>
      <c r="N1803" s="36">
        <v>-42.0</v>
      </c>
      <c r="O1803" s="36">
        <v>288.0</v>
      </c>
      <c r="P1803" s="52">
        <f t="shared" si="221"/>
        <v>-14.58333333</v>
      </c>
      <c r="Q1803" s="36"/>
      <c r="R1803" s="36" t="s">
        <v>82</v>
      </c>
      <c r="S1803" s="36"/>
      <c r="T1803" s="36" t="s">
        <v>1474</v>
      </c>
      <c r="U1803" s="36" t="s">
        <v>914</v>
      </c>
      <c r="V1803" s="36">
        <v>59.0</v>
      </c>
      <c r="W1803" s="36"/>
      <c r="X1803" s="38">
        <v>3.0</v>
      </c>
      <c r="Y1803" s="38" t="s">
        <v>2922</v>
      </c>
      <c r="Z1803" s="38"/>
      <c r="AA1803" s="38" t="s">
        <v>86</v>
      </c>
      <c r="AB1803" s="38"/>
      <c r="AC1803" s="38"/>
      <c r="AD1803" s="38" t="s">
        <v>2910</v>
      </c>
      <c r="AE1803" s="38"/>
      <c r="AF1803" s="38" t="s">
        <v>2923</v>
      </c>
      <c r="AG1803" s="38"/>
      <c r="AH1803" s="38"/>
      <c r="AI1803" s="40"/>
      <c r="AJ1803" s="40"/>
      <c r="AK1803" s="41"/>
      <c r="AL1803" s="40"/>
      <c r="AM1803" s="49"/>
      <c r="AN1803" s="43"/>
      <c r="AO1803" s="42"/>
      <c r="AP1803" s="43"/>
      <c r="AQ1803" s="44" t="str">
        <f t="shared" si="217"/>
        <v>CRO</v>
      </c>
      <c r="AR1803" s="44" t="str">
        <f t="shared" si="199"/>
        <v/>
      </c>
      <c r="AS1803" s="44"/>
      <c r="AT1803" s="44" t="str">
        <f t="shared" si="202"/>
        <v/>
      </c>
      <c r="AU1803" s="44" t="str">
        <f t="shared" si="203"/>
        <v/>
      </c>
      <c r="AV1803" s="38">
        <v>2.0</v>
      </c>
      <c r="AW1803" s="38"/>
      <c r="AX1803" s="38"/>
      <c r="AY1803" s="38"/>
      <c r="AZ1803" s="29"/>
      <c r="BA1803" s="29"/>
      <c r="BB1803" s="29">
        <v>1.0</v>
      </c>
      <c r="BC1803" s="29" t="s">
        <v>2916</v>
      </c>
      <c r="BD1803" s="29"/>
      <c r="BE1803" s="29"/>
      <c r="BF1803" s="29" t="s">
        <v>2426</v>
      </c>
      <c r="BG1803" s="29" t="s">
        <v>91</v>
      </c>
      <c r="BH1803" s="29" t="s">
        <v>92</v>
      </c>
      <c r="BI1803" s="29" t="s">
        <v>2911</v>
      </c>
      <c r="BJ1803" s="29" t="s">
        <v>2912</v>
      </c>
      <c r="BK1803" s="29" t="s">
        <v>2913</v>
      </c>
      <c r="BL1803" s="29" t="s">
        <v>2914</v>
      </c>
      <c r="BM1803" s="45"/>
      <c r="BN1803" s="45"/>
      <c r="BO1803" s="46"/>
      <c r="BP1803" s="2"/>
      <c r="BQ1803" s="3"/>
    </row>
    <row r="1804" ht="15.75" customHeight="1">
      <c r="A1804" s="34">
        <v>1912.0</v>
      </c>
      <c r="B1804" s="34">
        <v>102448.0</v>
      </c>
      <c r="C1804" s="34" t="s">
        <v>76</v>
      </c>
      <c r="D1804" s="34" t="s">
        <v>2906</v>
      </c>
      <c r="E1804" s="34" t="s">
        <v>2907</v>
      </c>
      <c r="F1804" s="34">
        <v>2020.0</v>
      </c>
      <c r="G1804" s="34" t="s">
        <v>2908</v>
      </c>
      <c r="H1804" s="34" t="s">
        <v>816</v>
      </c>
      <c r="I1804" s="34" t="s">
        <v>2909</v>
      </c>
      <c r="J1804" s="35"/>
      <c r="K1804" s="36"/>
      <c r="L1804" s="36"/>
      <c r="M1804" s="36"/>
      <c r="N1804" s="36">
        <v>-33.0</v>
      </c>
      <c r="O1804" s="36">
        <v>288.0</v>
      </c>
      <c r="P1804" s="52">
        <f t="shared" si="221"/>
        <v>-11.45833333</v>
      </c>
      <c r="Q1804" s="36"/>
      <c r="R1804" s="36" t="s">
        <v>82</v>
      </c>
      <c r="S1804" s="36"/>
      <c r="T1804" s="36" t="s">
        <v>1474</v>
      </c>
      <c r="U1804" s="36" t="s">
        <v>914</v>
      </c>
      <c r="V1804" s="36">
        <v>59.0</v>
      </c>
      <c r="W1804" s="36"/>
      <c r="X1804" s="38">
        <v>3.0</v>
      </c>
      <c r="Y1804" s="38" t="s">
        <v>2922</v>
      </c>
      <c r="Z1804" s="38"/>
      <c r="AA1804" s="38" t="s">
        <v>86</v>
      </c>
      <c r="AB1804" s="38"/>
      <c r="AC1804" s="38"/>
      <c r="AD1804" s="38" t="s">
        <v>2910</v>
      </c>
      <c r="AE1804" s="38"/>
      <c r="AF1804" s="38" t="s">
        <v>2923</v>
      </c>
      <c r="AG1804" s="38"/>
      <c r="AH1804" s="38"/>
      <c r="AI1804" s="40"/>
      <c r="AJ1804" s="40"/>
      <c r="AK1804" s="41"/>
      <c r="AL1804" s="40"/>
      <c r="AM1804" s="49"/>
      <c r="AN1804" s="43"/>
      <c r="AO1804" s="42"/>
      <c r="AP1804" s="43"/>
      <c r="AQ1804" s="44" t="str">
        <f t="shared" si="217"/>
        <v>CRO</v>
      </c>
      <c r="AR1804" s="44" t="str">
        <f t="shared" si="199"/>
        <v/>
      </c>
      <c r="AS1804" s="44"/>
      <c r="AT1804" s="44" t="str">
        <f t="shared" si="202"/>
        <v/>
      </c>
      <c r="AU1804" s="44" t="str">
        <f t="shared" si="203"/>
        <v/>
      </c>
      <c r="AV1804" s="38">
        <v>2.0</v>
      </c>
      <c r="AW1804" s="38"/>
      <c r="AX1804" s="38"/>
      <c r="AY1804" s="38"/>
      <c r="AZ1804" s="29"/>
      <c r="BA1804" s="29"/>
      <c r="BB1804" s="29">
        <v>1.0</v>
      </c>
      <c r="BC1804" s="29" t="s">
        <v>2917</v>
      </c>
      <c r="BD1804" s="29"/>
      <c r="BE1804" s="29"/>
      <c r="BF1804" s="29" t="s">
        <v>2426</v>
      </c>
      <c r="BG1804" s="29" t="s">
        <v>91</v>
      </c>
      <c r="BH1804" s="29" t="s">
        <v>92</v>
      </c>
      <c r="BI1804" s="29" t="s">
        <v>2911</v>
      </c>
      <c r="BJ1804" s="29" t="s">
        <v>2912</v>
      </c>
      <c r="BK1804" s="29" t="s">
        <v>2913</v>
      </c>
      <c r="BL1804" s="29" t="s">
        <v>2914</v>
      </c>
      <c r="BM1804" s="45"/>
      <c r="BN1804" s="45"/>
      <c r="BO1804" s="46"/>
      <c r="BP1804" s="2"/>
      <c r="BQ1804" s="3"/>
    </row>
    <row r="1805" ht="15.75" customHeight="1">
      <c r="A1805" s="34">
        <v>1913.0</v>
      </c>
      <c r="B1805" s="34">
        <v>102448.0</v>
      </c>
      <c r="C1805" s="34" t="s">
        <v>76</v>
      </c>
      <c r="D1805" s="34" t="s">
        <v>2906</v>
      </c>
      <c r="E1805" s="34" t="s">
        <v>2907</v>
      </c>
      <c r="F1805" s="34">
        <v>2020.0</v>
      </c>
      <c r="G1805" s="34" t="s">
        <v>2908</v>
      </c>
      <c r="H1805" s="34" t="s">
        <v>816</v>
      </c>
      <c r="I1805" s="34" t="s">
        <v>2909</v>
      </c>
      <c r="J1805" s="35"/>
      <c r="K1805" s="36"/>
      <c r="L1805" s="36"/>
      <c r="M1805" s="36"/>
      <c r="N1805" s="36">
        <v>-118.0</v>
      </c>
      <c r="O1805" s="36">
        <v>285.0</v>
      </c>
      <c r="P1805" s="52">
        <f t="shared" si="221"/>
        <v>-41.40350877</v>
      </c>
      <c r="Q1805" s="36"/>
      <c r="R1805" s="36" t="s">
        <v>82</v>
      </c>
      <c r="S1805" s="36"/>
      <c r="T1805" s="36" t="s">
        <v>1474</v>
      </c>
      <c r="U1805" s="36" t="s">
        <v>914</v>
      </c>
      <c r="V1805" s="36">
        <v>55.0</v>
      </c>
      <c r="W1805" s="36"/>
      <c r="X1805" s="38">
        <v>3.0</v>
      </c>
      <c r="Y1805" s="38" t="s">
        <v>2922</v>
      </c>
      <c r="Z1805" s="38"/>
      <c r="AA1805" s="38" t="s">
        <v>86</v>
      </c>
      <c r="AB1805" s="38"/>
      <c r="AC1805" s="38"/>
      <c r="AD1805" s="38" t="s">
        <v>2910</v>
      </c>
      <c r="AE1805" s="38"/>
      <c r="AF1805" s="38" t="s">
        <v>2923</v>
      </c>
      <c r="AG1805" s="38"/>
      <c r="AH1805" s="38"/>
      <c r="AI1805" s="40"/>
      <c r="AJ1805" s="40"/>
      <c r="AK1805" s="41"/>
      <c r="AL1805" s="40"/>
      <c r="AM1805" s="49"/>
      <c r="AN1805" s="43"/>
      <c r="AO1805" s="42"/>
      <c r="AP1805" s="43"/>
      <c r="AQ1805" s="44" t="str">
        <f t="shared" si="217"/>
        <v>CRO</v>
      </c>
      <c r="AR1805" s="44" t="str">
        <f t="shared" si="199"/>
        <v/>
      </c>
      <c r="AS1805" s="44"/>
      <c r="AT1805" s="44" t="str">
        <f t="shared" si="202"/>
        <v/>
      </c>
      <c r="AU1805" s="44" t="str">
        <f t="shared" si="203"/>
        <v/>
      </c>
      <c r="AV1805" s="38">
        <v>2.0</v>
      </c>
      <c r="AW1805" s="38"/>
      <c r="AX1805" s="38"/>
      <c r="AY1805" s="38"/>
      <c r="AZ1805" s="29"/>
      <c r="BA1805" s="29"/>
      <c r="BB1805" s="29">
        <v>1.0</v>
      </c>
      <c r="BC1805" s="29" t="s">
        <v>895</v>
      </c>
      <c r="BD1805" s="29"/>
      <c r="BE1805" s="29"/>
      <c r="BF1805" s="29" t="s">
        <v>2426</v>
      </c>
      <c r="BG1805" s="29" t="s">
        <v>91</v>
      </c>
      <c r="BH1805" s="29" t="s">
        <v>92</v>
      </c>
      <c r="BI1805" s="29" t="s">
        <v>2911</v>
      </c>
      <c r="BJ1805" s="29" t="s">
        <v>2912</v>
      </c>
      <c r="BK1805" s="29" t="s">
        <v>2913</v>
      </c>
      <c r="BL1805" s="29" t="s">
        <v>2914</v>
      </c>
      <c r="BM1805" s="45"/>
      <c r="BN1805" s="45"/>
      <c r="BO1805" s="46"/>
      <c r="BP1805" s="2"/>
      <c r="BQ1805" s="3"/>
    </row>
    <row r="1806" ht="15.75" customHeight="1">
      <c r="A1806" s="34">
        <v>1914.0</v>
      </c>
      <c r="B1806" s="34">
        <v>102448.0</v>
      </c>
      <c r="C1806" s="34" t="s">
        <v>76</v>
      </c>
      <c r="D1806" s="34" t="s">
        <v>2906</v>
      </c>
      <c r="E1806" s="34" t="s">
        <v>2907</v>
      </c>
      <c r="F1806" s="34">
        <v>2020.0</v>
      </c>
      <c r="G1806" s="34" t="s">
        <v>2908</v>
      </c>
      <c r="H1806" s="34" t="s">
        <v>816</v>
      </c>
      <c r="I1806" s="34" t="s">
        <v>2909</v>
      </c>
      <c r="J1806" s="35"/>
      <c r="K1806" s="36"/>
      <c r="L1806" s="36"/>
      <c r="M1806" s="36"/>
      <c r="N1806" s="36">
        <v>-46.0</v>
      </c>
      <c r="O1806" s="36">
        <v>241.0</v>
      </c>
      <c r="P1806" s="52">
        <f t="shared" si="221"/>
        <v>-19.08713693</v>
      </c>
      <c r="Q1806" s="36"/>
      <c r="R1806" s="36" t="s">
        <v>82</v>
      </c>
      <c r="S1806" s="36"/>
      <c r="T1806" s="36" t="s">
        <v>1474</v>
      </c>
      <c r="U1806" s="36" t="s">
        <v>914</v>
      </c>
      <c r="V1806" s="36">
        <v>121.0</v>
      </c>
      <c r="W1806" s="36"/>
      <c r="X1806" s="38">
        <v>2.0</v>
      </c>
      <c r="Y1806" s="38" t="s">
        <v>2924</v>
      </c>
      <c r="Z1806" s="38"/>
      <c r="AA1806" s="38" t="s">
        <v>86</v>
      </c>
      <c r="AB1806" s="38"/>
      <c r="AC1806" s="38"/>
      <c r="AD1806" s="38" t="s">
        <v>2910</v>
      </c>
      <c r="AE1806" s="38"/>
      <c r="AF1806" s="38" t="s">
        <v>2925</v>
      </c>
      <c r="AG1806" s="38"/>
      <c r="AH1806" s="38"/>
      <c r="AI1806" s="40"/>
      <c r="AJ1806" s="40"/>
      <c r="AK1806" s="41"/>
      <c r="AL1806" s="40"/>
      <c r="AM1806" s="49"/>
      <c r="AN1806" s="43"/>
      <c r="AO1806" s="42"/>
      <c r="AP1806" s="43"/>
      <c r="AQ1806" s="44" t="str">
        <f t="shared" si="217"/>
        <v>CRO</v>
      </c>
      <c r="AR1806" s="44" t="str">
        <f t="shared" si="199"/>
        <v/>
      </c>
      <c r="AS1806" s="44"/>
      <c r="AT1806" s="44" t="str">
        <f t="shared" si="202"/>
        <v/>
      </c>
      <c r="AU1806" s="44" t="str">
        <f t="shared" si="203"/>
        <v/>
      </c>
      <c r="AV1806" s="38">
        <v>2.0</v>
      </c>
      <c r="AW1806" s="38"/>
      <c r="AX1806" s="38"/>
      <c r="AY1806" s="38"/>
      <c r="AZ1806" s="29"/>
      <c r="BA1806" s="29"/>
      <c r="BB1806" s="29">
        <v>1.0</v>
      </c>
      <c r="BC1806" s="29" t="s">
        <v>984</v>
      </c>
      <c r="BD1806" s="29"/>
      <c r="BE1806" s="29"/>
      <c r="BF1806" s="29" t="s">
        <v>2662</v>
      </c>
      <c r="BG1806" s="29" t="s">
        <v>572</v>
      </c>
      <c r="BH1806" s="29" t="s">
        <v>92</v>
      </c>
      <c r="BI1806" s="29" t="s">
        <v>2911</v>
      </c>
      <c r="BJ1806" s="29" t="s">
        <v>2912</v>
      </c>
      <c r="BK1806" s="29" t="s">
        <v>2913</v>
      </c>
      <c r="BL1806" s="29" t="s">
        <v>2914</v>
      </c>
      <c r="BM1806" s="45"/>
      <c r="BN1806" s="45"/>
      <c r="BO1806" s="46"/>
      <c r="BP1806" s="2"/>
      <c r="BQ1806" s="3"/>
    </row>
    <row r="1807" ht="15.75" customHeight="1">
      <c r="A1807" s="34">
        <v>1915.0</v>
      </c>
      <c r="B1807" s="34">
        <v>102448.0</v>
      </c>
      <c r="C1807" s="34" t="s">
        <v>76</v>
      </c>
      <c r="D1807" s="34" t="s">
        <v>2906</v>
      </c>
      <c r="E1807" s="34" t="s">
        <v>2907</v>
      </c>
      <c r="F1807" s="34">
        <v>2020.0</v>
      </c>
      <c r="G1807" s="34" t="s">
        <v>2908</v>
      </c>
      <c r="H1807" s="34" t="s">
        <v>816</v>
      </c>
      <c r="I1807" s="34" t="s">
        <v>2909</v>
      </c>
      <c r="J1807" s="35"/>
      <c r="K1807" s="36"/>
      <c r="L1807" s="36"/>
      <c r="M1807" s="36"/>
      <c r="N1807" s="36">
        <v>36.0</v>
      </c>
      <c r="O1807" s="36">
        <v>238.0</v>
      </c>
      <c r="P1807" s="52">
        <f t="shared" si="221"/>
        <v>15.12605042</v>
      </c>
      <c r="Q1807" s="36"/>
      <c r="R1807" s="36" t="s">
        <v>82</v>
      </c>
      <c r="S1807" s="36"/>
      <c r="T1807" s="36" t="s">
        <v>1474</v>
      </c>
      <c r="U1807" s="36" t="s">
        <v>914</v>
      </c>
      <c r="V1807" s="36">
        <v>124.0</v>
      </c>
      <c r="W1807" s="36"/>
      <c r="X1807" s="38">
        <v>2.0</v>
      </c>
      <c r="Y1807" s="38" t="s">
        <v>2924</v>
      </c>
      <c r="Z1807" s="38"/>
      <c r="AA1807" s="38" t="s">
        <v>86</v>
      </c>
      <c r="AB1807" s="38"/>
      <c r="AC1807" s="38"/>
      <c r="AD1807" s="38" t="s">
        <v>2910</v>
      </c>
      <c r="AE1807" s="38"/>
      <c r="AF1807" s="38" t="s">
        <v>2925</v>
      </c>
      <c r="AG1807" s="38"/>
      <c r="AH1807" s="38"/>
      <c r="AI1807" s="40"/>
      <c r="AJ1807" s="40"/>
      <c r="AK1807" s="41"/>
      <c r="AL1807" s="40"/>
      <c r="AM1807" s="49"/>
      <c r="AN1807" s="43"/>
      <c r="AO1807" s="42"/>
      <c r="AP1807" s="43"/>
      <c r="AQ1807" s="44" t="str">
        <f t="shared" si="217"/>
        <v>CRO</v>
      </c>
      <c r="AR1807" s="44" t="str">
        <f t="shared" si="199"/>
        <v/>
      </c>
      <c r="AS1807" s="44"/>
      <c r="AT1807" s="44" t="str">
        <f t="shared" si="202"/>
        <v/>
      </c>
      <c r="AU1807" s="44" t="str">
        <f t="shared" si="203"/>
        <v/>
      </c>
      <c r="AV1807" s="38">
        <v>2.0</v>
      </c>
      <c r="AW1807" s="38"/>
      <c r="AX1807" s="38"/>
      <c r="AY1807" s="38"/>
      <c r="AZ1807" s="29"/>
      <c r="BA1807" s="29"/>
      <c r="BB1807" s="29">
        <v>1.0</v>
      </c>
      <c r="BC1807" s="29" t="s">
        <v>2916</v>
      </c>
      <c r="BD1807" s="29"/>
      <c r="BE1807" s="29"/>
      <c r="BF1807" s="29" t="s">
        <v>2426</v>
      </c>
      <c r="BG1807" s="29" t="s">
        <v>91</v>
      </c>
      <c r="BH1807" s="29" t="s">
        <v>92</v>
      </c>
      <c r="BI1807" s="29" t="s">
        <v>2911</v>
      </c>
      <c r="BJ1807" s="29" t="s">
        <v>2912</v>
      </c>
      <c r="BK1807" s="29" t="s">
        <v>2913</v>
      </c>
      <c r="BL1807" s="29" t="s">
        <v>2914</v>
      </c>
      <c r="BM1807" s="45"/>
      <c r="BN1807" s="45"/>
      <c r="BO1807" s="46"/>
      <c r="BP1807" s="2"/>
      <c r="BQ1807" s="3"/>
    </row>
    <row r="1808" ht="15.75" customHeight="1">
      <c r="A1808" s="34">
        <v>1916.0</v>
      </c>
      <c r="B1808" s="34">
        <v>102448.0</v>
      </c>
      <c r="C1808" s="34" t="s">
        <v>76</v>
      </c>
      <c r="D1808" s="34" t="s">
        <v>2906</v>
      </c>
      <c r="E1808" s="34" t="s">
        <v>2907</v>
      </c>
      <c r="F1808" s="34">
        <v>2020.0</v>
      </c>
      <c r="G1808" s="34" t="s">
        <v>2908</v>
      </c>
      <c r="H1808" s="34" t="s">
        <v>816</v>
      </c>
      <c r="I1808" s="34" t="s">
        <v>2909</v>
      </c>
      <c r="J1808" s="35"/>
      <c r="K1808" s="36"/>
      <c r="L1808" s="36"/>
      <c r="M1808" s="36"/>
      <c r="N1808" s="36">
        <v>38.0</v>
      </c>
      <c r="O1808" s="36">
        <v>247.0</v>
      </c>
      <c r="P1808" s="52">
        <f t="shared" si="221"/>
        <v>15.38461538</v>
      </c>
      <c r="Q1808" s="36"/>
      <c r="R1808" s="36" t="s">
        <v>82</v>
      </c>
      <c r="S1808" s="36"/>
      <c r="T1808" s="36" t="s">
        <v>1474</v>
      </c>
      <c r="U1808" s="36" t="s">
        <v>914</v>
      </c>
      <c r="V1808" s="36">
        <v>110.0</v>
      </c>
      <c r="W1808" s="36"/>
      <c r="X1808" s="38">
        <v>2.0</v>
      </c>
      <c r="Y1808" s="38" t="s">
        <v>2924</v>
      </c>
      <c r="Z1808" s="38"/>
      <c r="AA1808" s="38" t="s">
        <v>86</v>
      </c>
      <c r="AB1808" s="38"/>
      <c r="AC1808" s="38"/>
      <c r="AD1808" s="38" t="s">
        <v>2910</v>
      </c>
      <c r="AE1808" s="38"/>
      <c r="AF1808" s="38" t="s">
        <v>2925</v>
      </c>
      <c r="AG1808" s="38"/>
      <c r="AH1808" s="38"/>
      <c r="AI1808" s="40"/>
      <c r="AJ1808" s="40"/>
      <c r="AK1808" s="41"/>
      <c r="AL1808" s="40"/>
      <c r="AM1808" s="49"/>
      <c r="AN1808" s="43"/>
      <c r="AO1808" s="42"/>
      <c r="AP1808" s="43"/>
      <c r="AQ1808" s="44" t="str">
        <f t="shared" si="217"/>
        <v>CRO</v>
      </c>
      <c r="AR1808" s="44" t="str">
        <f t="shared" si="199"/>
        <v/>
      </c>
      <c r="AS1808" s="44"/>
      <c r="AT1808" s="44" t="str">
        <f t="shared" si="202"/>
        <v/>
      </c>
      <c r="AU1808" s="44" t="str">
        <f t="shared" si="203"/>
        <v/>
      </c>
      <c r="AV1808" s="38">
        <v>2.0</v>
      </c>
      <c r="AW1808" s="38"/>
      <c r="AX1808" s="38"/>
      <c r="AY1808" s="38"/>
      <c r="AZ1808" s="29"/>
      <c r="BA1808" s="29"/>
      <c r="BB1808" s="29">
        <v>1.0</v>
      </c>
      <c r="BC1808" s="29" t="s">
        <v>2917</v>
      </c>
      <c r="BD1808" s="29"/>
      <c r="BE1808" s="29"/>
      <c r="BF1808" s="29" t="s">
        <v>2426</v>
      </c>
      <c r="BG1808" s="29" t="s">
        <v>91</v>
      </c>
      <c r="BH1808" s="29" t="s">
        <v>92</v>
      </c>
      <c r="BI1808" s="29" t="s">
        <v>2911</v>
      </c>
      <c r="BJ1808" s="29" t="s">
        <v>2912</v>
      </c>
      <c r="BK1808" s="29" t="s">
        <v>2913</v>
      </c>
      <c r="BL1808" s="29" t="s">
        <v>2914</v>
      </c>
      <c r="BM1808" s="45"/>
      <c r="BN1808" s="45"/>
      <c r="BO1808" s="46"/>
      <c r="BP1808" s="2"/>
      <c r="BQ1808" s="3"/>
    </row>
    <row r="1809" ht="15.75" customHeight="1">
      <c r="A1809" s="34">
        <v>1917.0</v>
      </c>
      <c r="B1809" s="34">
        <v>102448.0</v>
      </c>
      <c r="C1809" s="34" t="s">
        <v>76</v>
      </c>
      <c r="D1809" s="34" t="s">
        <v>2906</v>
      </c>
      <c r="E1809" s="34" t="s">
        <v>2907</v>
      </c>
      <c r="F1809" s="34">
        <v>2020.0</v>
      </c>
      <c r="G1809" s="34" t="s">
        <v>2908</v>
      </c>
      <c r="H1809" s="34" t="s">
        <v>816</v>
      </c>
      <c r="I1809" s="34" t="s">
        <v>2909</v>
      </c>
      <c r="J1809" s="35"/>
      <c r="K1809" s="36"/>
      <c r="L1809" s="36"/>
      <c r="M1809" s="36"/>
      <c r="N1809" s="36">
        <v>-62.0</v>
      </c>
      <c r="O1809" s="36">
        <v>259.0</v>
      </c>
      <c r="P1809" s="52">
        <f t="shared" si="221"/>
        <v>-23.93822394</v>
      </c>
      <c r="Q1809" s="36"/>
      <c r="R1809" s="36" t="s">
        <v>82</v>
      </c>
      <c r="S1809" s="36"/>
      <c r="T1809" s="36" t="s">
        <v>1474</v>
      </c>
      <c r="U1809" s="36" t="s">
        <v>914</v>
      </c>
      <c r="V1809" s="36">
        <v>90.0</v>
      </c>
      <c r="W1809" s="36"/>
      <c r="X1809" s="38">
        <v>2.0</v>
      </c>
      <c r="Y1809" s="38" t="s">
        <v>2924</v>
      </c>
      <c r="Z1809" s="38"/>
      <c r="AA1809" s="38" t="s">
        <v>86</v>
      </c>
      <c r="AB1809" s="38"/>
      <c r="AC1809" s="38"/>
      <c r="AD1809" s="38" t="s">
        <v>2910</v>
      </c>
      <c r="AE1809" s="38"/>
      <c r="AF1809" s="38" t="s">
        <v>2925</v>
      </c>
      <c r="AG1809" s="38"/>
      <c r="AH1809" s="38"/>
      <c r="AI1809" s="40"/>
      <c r="AJ1809" s="40"/>
      <c r="AK1809" s="41"/>
      <c r="AL1809" s="40"/>
      <c r="AM1809" s="49"/>
      <c r="AN1809" s="43"/>
      <c r="AO1809" s="42"/>
      <c r="AP1809" s="43"/>
      <c r="AQ1809" s="44" t="str">
        <f t="shared" si="217"/>
        <v>CRO</v>
      </c>
      <c r="AR1809" s="44" t="str">
        <f t="shared" si="199"/>
        <v/>
      </c>
      <c r="AS1809" s="44"/>
      <c r="AT1809" s="44" t="str">
        <f t="shared" si="202"/>
        <v/>
      </c>
      <c r="AU1809" s="44" t="str">
        <f t="shared" si="203"/>
        <v/>
      </c>
      <c r="AV1809" s="38">
        <v>2.0</v>
      </c>
      <c r="AW1809" s="38"/>
      <c r="AX1809" s="38"/>
      <c r="AY1809" s="38"/>
      <c r="AZ1809" s="29"/>
      <c r="BA1809" s="29"/>
      <c r="BB1809" s="29">
        <v>1.0</v>
      </c>
      <c r="BC1809" s="29" t="s">
        <v>895</v>
      </c>
      <c r="BD1809" s="29"/>
      <c r="BE1809" s="29"/>
      <c r="BF1809" s="29" t="s">
        <v>2426</v>
      </c>
      <c r="BG1809" s="29" t="s">
        <v>91</v>
      </c>
      <c r="BH1809" s="29" t="s">
        <v>92</v>
      </c>
      <c r="BI1809" s="29" t="s">
        <v>2911</v>
      </c>
      <c r="BJ1809" s="29" t="s">
        <v>2912</v>
      </c>
      <c r="BK1809" s="29" t="s">
        <v>2913</v>
      </c>
      <c r="BL1809" s="29" t="s">
        <v>2914</v>
      </c>
      <c r="BM1809" s="45"/>
      <c r="BN1809" s="45"/>
      <c r="BO1809" s="46"/>
      <c r="BP1809" s="2"/>
      <c r="BQ1809" s="3"/>
    </row>
    <row r="1810" ht="15.75" customHeight="1">
      <c r="A1810" s="34">
        <v>1918.0</v>
      </c>
      <c r="B1810" s="34">
        <v>102448.0</v>
      </c>
      <c r="C1810" s="34" t="s">
        <v>76</v>
      </c>
      <c r="D1810" s="34" t="s">
        <v>2906</v>
      </c>
      <c r="E1810" s="34" t="s">
        <v>2907</v>
      </c>
      <c r="F1810" s="34">
        <v>2020.0</v>
      </c>
      <c r="G1810" s="34" t="s">
        <v>2908</v>
      </c>
      <c r="H1810" s="34" t="s">
        <v>816</v>
      </c>
      <c r="I1810" s="34" t="s">
        <v>2909</v>
      </c>
      <c r="J1810" s="35"/>
      <c r="K1810" s="36"/>
      <c r="L1810" s="36"/>
      <c r="M1810" s="36"/>
      <c r="N1810" s="36">
        <v>-6.0</v>
      </c>
      <c r="O1810" s="36">
        <v>178.0</v>
      </c>
      <c r="P1810" s="52">
        <f t="shared" si="221"/>
        <v>-3.370786517</v>
      </c>
      <c r="Q1810" s="36"/>
      <c r="R1810" s="36" t="s">
        <v>82</v>
      </c>
      <c r="S1810" s="36"/>
      <c r="T1810" s="36" t="s">
        <v>1474</v>
      </c>
      <c r="U1810" s="36" t="s">
        <v>914</v>
      </c>
      <c r="V1810" s="36">
        <v>335.0</v>
      </c>
      <c r="W1810" s="36"/>
      <c r="X1810" s="38">
        <v>2.0</v>
      </c>
      <c r="Y1810" s="38" t="s">
        <v>2926</v>
      </c>
      <c r="Z1810" s="38"/>
      <c r="AA1810" s="38"/>
      <c r="AB1810" s="38"/>
      <c r="AC1810" s="38"/>
      <c r="AD1810" s="38" t="s">
        <v>2910</v>
      </c>
      <c r="AE1810" s="38"/>
      <c r="AF1810" s="38"/>
      <c r="AG1810" s="38" t="s">
        <v>1459</v>
      </c>
      <c r="AH1810" s="38"/>
      <c r="AI1810" s="40"/>
      <c r="AJ1810" s="40"/>
      <c r="AK1810" s="41"/>
      <c r="AL1810" s="40"/>
      <c r="AM1810" s="49"/>
      <c r="AN1810" s="43"/>
      <c r="AO1810" s="42"/>
      <c r="AP1810" s="43"/>
      <c r="AQ1810" s="44" t="str">
        <f t="shared" si="217"/>
        <v/>
      </c>
      <c r="AR1810" s="44" t="str">
        <f t="shared" si="199"/>
        <v/>
      </c>
      <c r="AS1810" s="44"/>
      <c r="AT1810" s="44" t="str">
        <f t="shared" si="202"/>
        <v/>
      </c>
      <c r="AU1810" s="44" t="str">
        <f t="shared" si="203"/>
        <v/>
      </c>
      <c r="AV1810" s="38">
        <v>2.0</v>
      </c>
      <c r="AW1810" s="38"/>
      <c r="AX1810" s="38"/>
      <c r="AY1810" s="38"/>
      <c r="AZ1810" s="29"/>
      <c r="BA1810" s="29"/>
      <c r="BB1810" s="29">
        <v>1.0</v>
      </c>
      <c r="BC1810" s="29" t="s">
        <v>984</v>
      </c>
      <c r="BD1810" s="29"/>
      <c r="BE1810" s="29"/>
      <c r="BF1810" s="29" t="s">
        <v>2662</v>
      </c>
      <c r="BG1810" s="29" t="s">
        <v>572</v>
      </c>
      <c r="BH1810" s="29" t="s">
        <v>92</v>
      </c>
      <c r="BI1810" s="29" t="s">
        <v>2911</v>
      </c>
      <c r="BJ1810" s="29" t="s">
        <v>2912</v>
      </c>
      <c r="BK1810" s="29" t="s">
        <v>2913</v>
      </c>
      <c r="BL1810" s="29" t="s">
        <v>2914</v>
      </c>
      <c r="BM1810" s="45"/>
      <c r="BN1810" s="45"/>
      <c r="BO1810" s="46"/>
      <c r="BP1810" s="2"/>
      <c r="BQ1810" s="3"/>
    </row>
    <row r="1811" ht="15.75" customHeight="1">
      <c r="A1811" s="34">
        <v>1919.0</v>
      </c>
      <c r="B1811" s="34">
        <v>102448.0</v>
      </c>
      <c r="C1811" s="34" t="s">
        <v>76</v>
      </c>
      <c r="D1811" s="34" t="s">
        <v>2906</v>
      </c>
      <c r="E1811" s="34" t="s">
        <v>2907</v>
      </c>
      <c r="F1811" s="34">
        <v>2020.0</v>
      </c>
      <c r="G1811" s="34" t="s">
        <v>2908</v>
      </c>
      <c r="H1811" s="34" t="s">
        <v>816</v>
      </c>
      <c r="I1811" s="34" t="s">
        <v>2909</v>
      </c>
      <c r="J1811" s="35"/>
      <c r="K1811" s="36"/>
      <c r="L1811" s="36"/>
      <c r="M1811" s="36"/>
      <c r="N1811" s="36">
        <v>32.0</v>
      </c>
      <c r="O1811" s="36">
        <v>170.0</v>
      </c>
      <c r="P1811" s="52">
        <f t="shared" si="221"/>
        <v>18.82352941</v>
      </c>
      <c r="Q1811" s="36"/>
      <c r="R1811" s="36" t="s">
        <v>82</v>
      </c>
      <c r="S1811" s="36"/>
      <c r="T1811" s="36" t="s">
        <v>1474</v>
      </c>
      <c r="U1811" s="36" t="s">
        <v>914</v>
      </c>
      <c r="V1811" s="36">
        <v>366.0</v>
      </c>
      <c r="W1811" s="36"/>
      <c r="X1811" s="38">
        <v>2.0</v>
      </c>
      <c r="Y1811" s="38" t="s">
        <v>2926</v>
      </c>
      <c r="Z1811" s="38"/>
      <c r="AA1811" s="38"/>
      <c r="AB1811" s="38"/>
      <c r="AC1811" s="38"/>
      <c r="AD1811" s="38" t="s">
        <v>2910</v>
      </c>
      <c r="AE1811" s="38"/>
      <c r="AF1811" s="38"/>
      <c r="AG1811" s="38" t="s">
        <v>1459</v>
      </c>
      <c r="AH1811" s="38"/>
      <c r="AI1811" s="40"/>
      <c r="AJ1811" s="40"/>
      <c r="AK1811" s="41"/>
      <c r="AL1811" s="40"/>
      <c r="AM1811" s="49"/>
      <c r="AN1811" s="43"/>
      <c r="AO1811" s="42"/>
      <c r="AP1811" s="43"/>
      <c r="AQ1811" s="44" t="str">
        <f t="shared" si="217"/>
        <v/>
      </c>
      <c r="AR1811" s="44" t="str">
        <f t="shared" si="199"/>
        <v/>
      </c>
      <c r="AS1811" s="44"/>
      <c r="AT1811" s="44" t="str">
        <f t="shared" si="202"/>
        <v/>
      </c>
      <c r="AU1811" s="44" t="str">
        <f t="shared" si="203"/>
        <v/>
      </c>
      <c r="AV1811" s="38">
        <v>2.0</v>
      </c>
      <c r="AW1811" s="38"/>
      <c r="AX1811" s="38"/>
      <c r="AY1811" s="38"/>
      <c r="AZ1811" s="29"/>
      <c r="BA1811" s="29"/>
      <c r="BB1811" s="29">
        <v>1.0</v>
      </c>
      <c r="BC1811" s="29" t="s">
        <v>2916</v>
      </c>
      <c r="BD1811" s="29"/>
      <c r="BE1811" s="29"/>
      <c r="BF1811" s="29" t="s">
        <v>2426</v>
      </c>
      <c r="BG1811" s="29" t="s">
        <v>91</v>
      </c>
      <c r="BH1811" s="29" t="s">
        <v>92</v>
      </c>
      <c r="BI1811" s="29" t="s">
        <v>2911</v>
      </c>
      <c r="BJ1811" s="29" t="s">
        <v>2912</v>
      </c>
      <c r="BK1811" s="29" t="s">
        <v>2913</v>
      </c>
      <c r="BL1811" s="29" t="s">
        <v>2914</v>
      </c>
      <c r="BM1811" s="45"/>
      <c r="BN1811" s="45"/>
      <c r="BO1811" s="46"/>
      <c r="BP1811" s="2"/>
      <c r="BQ1811" s="3"/>
    </row>
    <row r="1812" ht="15.75" customHeight="1">
      <c r="A1812" s="34">
        <v>1920.0</v>
      </c>
      <c r="B1812" s="34">
        <v>102448.0</v>
      </c>
      <c r="C1812" s="34" t="s">
        <v>76</v>
      </c>
      <c r="D1812" s="34" t="s">
        <v>2906</v>
      </c>
      <c r="E1812" s="34" t="s">
        <v>2907</v>
      </c>
      <c r="F1812" s="34">
        <v>2020.0</v>
      </c>
      <c r="G1812" s="34" t="s">
        <v>2908</v>
      </c>
      <c r="H1812" s="34" t="s">
        <v>816</v>
      </c>
      <c r="I1812" s="34" t="s">
        <v>2909</v>
      </c>
      <c r="J1812" s="35"/>
      <c r="K1812" s="36"/>
      <c r="L1812" s="36"/>
      <c r="M1812" s="36"/>
      <c r="N1812" s="36">
        <v>33.0</v>
      </c>
      <c r="O1812" s="36">
        <v>171.0</v>
      </c>
      <c r="P1812" s="52">
        <f t="shared" si="221"/>
        <v>19.29824561</v>
      </c>
      <c r="Q1812" s="36"/>
      <c r="R1812" s="36" t="s">
        <v>82</v>
      </c>
      <c r="S1812" s="36"/>
      <c r="T1812" s="36" t="s">
        <v>1474</v>
      </c>
      <c r="U1812" s="36" t="s">
        <v>914</v>
      </c>
      <c r="V1812" s="36">
        <v>349.0</v>
      </c>
      <c r="W1812" s="36"/>
      <c r="X1812" s="38">
        <v>2.0</v>
      </c>
      <c r="Y1812" s="38" t="s">
        <v>2926</v>
      </c>
      <c r="Z1812" s="38"/>
      <c r="AA1812" s="38"/>
      <c r="AB1812" s="38"/>
      <c r="AC1812" s="38"/>
      <c r="AD1812" s="38" t="s">
        <v>2910</v>
      </c>
      <c r="AE1812" s="38"/>
      <c r="AF1812" s="38"/>
      <c r="AG1812" s="38" t="s">
        <v>1459</v>
      </c>
      <c r="AH1812" s="38"/>
      <c r="AI1812" s="40"/>
      <c r="AJ1812" s="40"/>
      <c r="AK1812" s="41"/>
      <c r="AL1812" s="40"/>
      <c r="AM1812" s="49"/>
      <c r="AN1812" s="43"/>
      <c r="AO1812" s="42"/>
      <c r="AP1812" s="43"/>
      <c r="AQ1812" s="44" t="str">
        <f t="shared" si="217"/>
        <v/>
      </c>
      <c r="AR1812" s="44" t="str">
        <f t="shared" si="199"/>
        <v/>
      </c>
      <c r="AS1812" s="44"/>
      <c r="AT1812" s="44" t="str">
        <f t="shared" si="202"/>
        <v/>
      </c>
      <c r="AU1812" s="44" t="str">
        <f t="shared" si="203"/>
        <v/>
      </c>
      <c r="AV1812" s="38">
        <v>2.0</v>
      </c>
      <c r="AW1812" s="38"/>
      <c r="AX1812" s="38"/>
      <c r="AY1812" s="38"/>
      <c r="AZ1812" s="29"/>
      <c r="BA1812" s="29"/>
      <c r="BB1812" s="29">
        <v>1.0</v>
      </c>
      <c r="BC1812" s="29" t="s">
        <v>2917</v>
      </c>
      <c r="BD1812" s="29"/>
      <c r="BE1812" s="29"/>
      <c r="BF1812" s="29" t="s">
        <v>2426</v>
      </c>
      <c r="BG1812" s="29" t="s">
        <v>91</v>
      </c>
      <c r="BH1812" s="29" t="s">
        <v>92</v>
      </c>
      <c r="BI1812" s="29" t="s">
        <v>2911</v>
      </c>
      <c r="BJ1812" s="29" t="s">
        <v>2912</v>
      </c>
      <c r="BK1812" s="29" t="s">
        <v>2913</v>
      </c>
      <c r="BL1812" s="29" t="s">
        <v>2914</v>
      </c>
      <c r="BM1812" s="45"/>
      <c r="BN1812" s="45"/>
      <c r="BO1812" s="46"/>
      <c r="BP1812" s="2"/>
      <c r="BQ1812" s="3"/>
    </row>
    <row r="1813" ht="15.75" customHeight="1">
      <c r="A1813" s="34">
        <v>1921.0</v>
      </c>
      <c r="B1813" s="34">
        <v>102448.0</v>
      </c>
      <c r="C1813" s="34" t="s">
        <v>76</v>
      </c>
      <c r="D1813" s="34" t="s">
        <v>2906</v>
      </c>
      <c r="E1813" s="34" t="s">
        <v>2907</v>
      </c>
      <c r="F1813" s="34">
        <v>2020.0</v>
      </c>
      <c r="G1813" s="34" t="s">
        <v>2908</v>
      </c>
      <c r="H1813" s="34" t="s">
        <v>816</v>
      </c>
      <c r="I1813" s="34" t="s">
        <v>2909</v>
      </c>
      <c r="J1813" s="35"/>
      <c r="K1813" s="36"/>
      <c r="L1813" s="36"/>
      <c r="M1813" s="36"/>
      <c r="N1813" s="36">
        <v>-30.0</v>
      </c>
      <c r="O1813" s="36">
        <v>202.0</v>
      </c>
      <c r="P1813" s="52">
        <f t="shared" si="221"/>
        <v>-14.85148515</v>
      </c>
      <c r="Q1813" s="36"/>
      <c r="R1813" s="36" t="s">
        <v>82</v>
      </c>
      <c r="S1813" s="36"/>
      <c r="T1813" s="36" t="s">
        <v>1474</v>
      </c>
      <c r="U1813" s="36" t="s">
        <v>914</v>
      </c>
      <c r="V1813" s="36">
        <v>245.0</v>
      </c>
      <c r="W1813" s="36"/>
      <c r="X1813" s="38">
        <v>2.0</v>
      </c>
      <c r="Y1813" s="38" t="s">
        <v>2926</v>
      </c>
      <c r="Z1813" s="38"/>
      <c r="AA1813" s="38"/>
      <c r="AB1813" s="38"/>
      <c r="AC1813" s="38"/>
      <c r="AD1813" s="38" t="s">
        <v>2910</v>
      </c>
      <c r="AE1813" s="38"/>
      <c r="AF1813" s="38"/>
      <c r="AG1813" s="38" t="s">
        <v>1459</v>
      </c>
      <c r="AH1813" s="38"/>
      <c r="AI1813" s="40"/>
      <c r="AJ1813" s="40"/>
      <c r="AK1813" s="41"/>
      <c r="AL1813" s="40"/>
      <c r="AM1813" s="49"/>
      <c r="AN1813" s="43"/>
      <c r="AO1813" s="42"/>
      <c r="AP1813" s="43"/>
      <c r="AQ1813" s="44" t="str">
        <f t="shared" si="217"/>
        <v/>
      </c>
      <c r="AR1813" s="44" t="str">
        <f t="shared" si="199"/>
        <v/>
      </c>
      <c r="AS1813" s="44"/>
      <c r="AT1813" s="44" t="str">
        <f t="shared" si="202"/>
        <v/>
      </c>
      <c r="AU1813" s="44" t="str">
        <f t="shared" si="203"/>
        <v/>
      </c>
      <c r="AV1813" s="38">
        <v>2.0</v>
      </c>
      <c r="AW1813" s="38"/>
      <c r="AX1813" s="38"/>
      <c r="AY1813" s="38"/>
      <c r="AZ1813" s="29"/>
      <c r="BA1813" s="29"/>
      <c r="BB1813" s="29">
        <v>1.0</v>
      </c>
      <c r="BC1813" s="29" t="s">
        <v>895</v>
      </c>
      <c r="BD1813" s="29"/>
      <c r="BE1813" s="29"/>
      <c r="BF1813" s="29" t="s">
        <v>2426</v>
      </c>
      <c r="BG1813" s="29" t="s">
        <v>91</v>
      </c>
      <c r="BH1813" s="29" t="s">
        <v>92</v>
      </c>
      <c r="BI1813" s="29" t="s">
        <v>2911</v>
      </c>
      <c r="BJ1813" s="29" t="s">
        <v>2912</v>
      </c>
      <c r="BK1813" s="29" t="s">
        <v>2913</v>
      </c>
      <c r="BL1813" s="29" t="s">
        <v>2914</v>
      </c>
      <c r="BM1813" s="45"/>
      <c r="BN1813" s="45"/>
      <c r="BO1813" s="46"/>
      <c r="BP1813" s="2"/>
      <c r="BQ1813" s="3"/>
    </row>
    <row r="1814" ht="15.75" customHeight="1">
      <c r="A1814" s="34">
        <v>1922.0</v>
      </c>
      <c r="B1814" s="34">
        <v>102448.0</v>
      </c>
      <c r="C1814" s="34" t="s">
        <v>76</v>
      </c>
      <c r="D1814" s="34" t="s">
        <v>2906</v>
      </c>
      <c r="E1814" s="34" t="s">
        <v>2907</v>
      </c>
      <c r="F1814" s="34">
        <v>2020.0</v>
      </c>
      <c r="G1814" s="34" t="s">
        <v>2908</v>
      </c>
      <c r="H1814" s="34" t="s">
        <v>816</v>
      </c>
      <c r="I1814" s="34" t="s">
        <v>2909</v>
      </c>
      <c r="J1814" s="35"/>
      <c r="K1814" s="36"/>
      <c r="L1814" s="36"/>
      <c r="M1814" s="36"/>
      <c r="N1814" s="36">
        <v>-123.0</v>
      </c>
      <c r="O1814" s="36">
        <v>295.0</v>
      </c>
      <c r="P1814" s="52">
        <f t="shared" si="221"/>
        <v>-41.69491525</v>
      </c>
      <c r="Q1814" s="36"/>
      <c r="R1814" s="36" t="s">
        <v>82</v>
      </c>
      <c r="S1814" s="36"/>
      <c r="T1814" s="36" t="s">
        <v>1474</v>
      </c>
      <c r="U1814" s="36" t="s">
        <v>914</v>
      </c>
      <c r="V1814" s="36">
        <v>82.0</v>
      </c>
      <c r="W1814" s="36"/>
      <c r="X1814" s="38">
        <v>6.0</v>
      </c>
      <c r="Y1814" s="38" t="s">
        <v>2927</v>
      </c>
      <c r="Z1814" s="38"/>
      <c r="AA1814" s="38"/>
      <c r="AB1814" s="38"/>
      <c r="AC1814" s="38"/>
      <c r="AD1814" s="38" t="s">
        <v>2910</v>
      </c>
      <c r="AE1814" s="38"/>
      <c r="AF1814" s="38"/>
      <c r="AG1814" s="38" t="s">
        <v>2928</v>
      </c>
      <c r="AH1814" s="38"/>
      <c r="AI1814" s="40"/>
      <c r="AJ1814" s="40"/>
      <c r="AK1814" s="41"/>
      <c r="AL1814" s="40"/>
      <c r="AM1814" s="49"/>
      <c r="AN1814" s="43"/>
      <c r="AO1814" s="42"/>
      <c r="AP1814" s="43"/>
      <c r="AQ1814" s="44" t="str">
        <f t="shared" si="217"/>
        <v/>
      </c>
      <c r="AR1814" s="44" t="str">
        <f t="shared" si="199"/>
        <v/>
      </c>
      <c r="AS1814" s="44"/>
      <c r="AT1814" s="44" t="str">
        <f t="shared" si="202"/>
        <v/>
      </c>
      <c r="AU1814" s="44" t="str">
        <f t="shared" si="203"/>
        <v/>
      </c>
      <c r="AV1814" s="38">
        <v>2.0</v>
      </c>
      <c r="AW1814" s="38"/>
      <c r="AX1814" s="38"/>
      <c r="AY1814" s="38"/>
      <c r="AZ1814" s="29"/>
      <c r="BA1814" s="29"/>
      <c r="BB1814" s="29">
        <v>1.0</v>
      </c>
      <c r="BC1814" s="29" t="s">
        <v>984</v>
      </c>
      <c r="BD1814" s="29"/>
      <c r="BE1814" s="29"/>
      <c r="BF1814" s="29" t="s">
        <v>2662</v>
      </c>
      <c r="BG1814" s="29" t="s">
        <v>572</v>
      </c>
      <c r="BH1814" s="29" t="s">
        <v>92</v>
      </c>
      <c r="BI1814" s="29" t="s">
        <v>2911</v>
      </c>
      <c r="BJ1814" s="29" t="s">
        <v>2912</v>
      </c>
      <c r="BK1814" s="29" t="s">
        <v>2913</v>
      </c>
      <c r="BL1814" s="29" t="s">
        <v>2914</v>
      </c>
      <c r="BM1814" s="45"/>
      <c r="BN1814" s="45"/>
      <c r="BO1814" s="46"/>
      <c r="BP1814" s="2"/>
      <c r="BQ1814" s="3"/>
    </row>
    <row r="1815" ht="15.75" customHeight="1">
      <c r="A1815" s="34">
        <v>1923.0</v>
      </c>
      <c r="B1815" s="34">
        <v>102448.0</v>
      </c>
      <c r="C1815" s="34" t="s">
        <v>76</v>
      </c>
      <c r="D1815" s="34" t="s">
        <v>2906</v>
      </c>
      <c r="E1815" s="34" t="s">
        <v>2907</v>
      </c>
      <c r="F1815" s="34">
        <v>2020.0</v>
      </c>
      <c r="G1815" s="34" t="s">
        <v>2908</v>
      </c>
      <c r="H1815" s="34" t="s">
        <v>816</v>
      </c>
      <c r="I1815" s="34" t="s">
        <v>2909</v>
      </c>
      <c r="J1815" s="35"/>
      <c r="K1815" s="36"/>
      <c r="L1815" s="36"/>
      <c r="M1815" s="36"/>
      <c r="N1815" s="36">
        <v>-19.0</v>
      </c>
      <c r="O1815" s="36">
        <v>289.0</v>
      </c>
      <c r="P1815" s="52">
        <f t="shared" si="221"/>
        <v>-6.574394464</v>
      </c>
      <c r="Q1815" s="36"/>
      <c r="R1815" s="36" t="s">
        <v>82</v>
      </c>
      <c r="S1815" s="36"/>
      <c r="T1815" s="36" t="s">
        <v>1474</v>
      </c>
      <c r="U1815" s="36" t="s">
        <v>914</v>
      </c>
      <c r="V1815" s="36">
        <v>93.0</v>
      </c>
      <c r="W1815" s="36"/>
      <c r="X1815" s="38">
        <v>6.0</v>
      </c>
      <c r="Y1815" s="38" t="s">
        <v>2927</v>
      </c>
      <c r="Z1815" s="38"/>
      <c r="AA1815" s="38"/>
      <c r="AB1815" s="38"/>
      <c r="AC1815" s="38"/>
      <c r="AD1815" s="38" t="s">
        <v>2910</v>
      </c>
      <c r="AE1815" s="38"/>
      <c r="AF1815" s="38"/>
      <c r="AG1815" s="38" t="s">
        <v>2928</v>
      </c>
      <c r="AH1815" s="38"/>
      <c r="AI1815" s="40"/>
      <c r="AJ1815" s="40"/>
      <c r="AK1815" s="41"/>
      <c r="AL1815" s="40"/>
      <c r="AM1815" s="49"/>
      <c r="AN1815" s="43"/>
      <c r="AO1815" s="42"/>
      <c r="AP1815" s="43"/>
      <c r="AQ1815" s="44" t="str">
        <f t="shared" si="217"/>
        <v/>
      </c>
      <c r="AR1815" s="44" t="str">
        <f t="shared" si="199"/>
        <v/>
      </c>
      <c r="AS1815" s="44"/>
      <c r="AT1815" s="44" t="str">
        <f t="shared" si="202"/>
        <v/>
      </c>
      <c r="AU1815" s="44" t="str">
        <f t="shared" si="203"/>
        <v/>
      </c>
      <c r="AV1815" s="38">
        <v>2.0</v>
      </c>
      <c r="AW1815" s="38"/>
      <c r="AX1815" s="38"/>
      <c r="AY1815" s="38"/>
      <c r="AZ1815" s="29"/>
      <c r="BA1815" s="29"/>
      <c r="BB1815" s="29">
        <v>1.0</v>
      </c>
      <c r="BC1815" s="29" t="s">
        <v>2916</v>
      </c>
      <c r="BD1815" s="29"/>
      <c r="BE1815" s="29"/>
      <c r="BF1815" s="29" t="s">
        <v>2426</v>
      </c>
      <c r="BG1815" s="29" t="s">
        <v>91</v>
      </c>
      <c r="BH1815" s="29" t="s">
        <v>92</v>
      </c>
      <c r="BI1815" s="29" t="s">
        <v>2911</v>
      </c>
      <c r="BJ1815" s="29" t="s">
        <v>2912</v>
      </c>
      <c r="BK1815" s="29" t="s">
        <v>2913</v>
      </c>
      <c r="BL1815" s="29" t="s">
        <v>2914</v>
      </c>
      <c r="BM1815" s="45"/>
      <c r="BN1815" s="45"/>
      <c r="BO1815" s="46"/>
      <c r="BP1815" s="2"/>
      <c r="BQ1815" s="3"/>
    </row>
    <row r="1816" ht="15.75" customHeight="1">
      <c r="A1816" s="34">
        <v>1924.0</v>
      </c>
      <c r="B1816" s="34">
        <v>102448.0</v>
      </c>
      <c r="C1816" s="34" t="s">
        <v>76</v>
      </c>
      <c r="D1816" s="34" t="s">
        <v>2906</v>
      </c>
      <c r="E1816" s="34" t="s">
        <v>2907</v>
      </c>
      <c r="F1816" s="34">
        <v>2020.0</v>
      </c>
      <c r="G1816" s="34" t="s">
        <v>2908</v>
      </c>
      <c r="H1816" s="34" t="s">
        <v>816</v>
      </c>
      <c r="I1816" s="34" t="s">
        <v>2909</v>
      </c>
      <c r="J1816" s="35"/>
      <c r="K1816" s="36"/>
      <c r="L1816" s="36"/>
      <c r="M1816" s="36"/>
      <c r="N1816" s="36">
        <v>-10.0</v>
      </c>
      <c r="O1816" s="36">
        <v>289.0</v>
      </c>
      <c r="P1816" s="52">
        <f t="shared" si="221"/>
        <v>-3.460207612</v>
      </c>
      <c r="Q1816" s="36"/>
      <c r="R1816" s="36" t="s">
        <v>82</v>
      </c>
      <c r="S1816" s="36"/>
      <c r="T1816" s="36" t="s">
        <v>1474</v>
      </c>
      <c r="U1816" s="36" t="s">
        <v>914</v>
      </c>
      <c r="V1816" s="36">
        <v>93.0</v>
      </c>
      <c r="W1816" s="36"/>
      <c r="X1816" s="38">
        <v>6.0</v>
      </c>
      <c r="Y1816" s="38" t="s">
        <v>2927</v>
      </c>
      <c r="Z1816" s="38"/>
      <c r="AA1816" s="38"/>
      <c r="AB1816" s="38"/>
      <c r="AC1816" s="38"/>
      <c r="AD1816" s="38" t="s">
        <v>2910</v>
      </c>
      <c r="AE1816" s="38"/>
      <c r="AF1816" s="38"/>
      <c r="AG1816" s="38" t="s">
        <v>2928</v>
      </c>
      <c r="AH1816" s="38"/>
      <c r="AI1816" s="40"/>
      <c r="AJ1816" s="40"/>
      <c r="AK1816" s="41"/>
      <c r="AL1816" s="40"/>
      <c r="AM1816" s="49"/>
      <c r="AN1816" s="43"/>
      <c r="AO1816" s="42"/>
      <c r="AP1816" s="43"/>
      <c r="AQ1816" s="44" t="str">
        <f t="shared" si="217"/>
        <v/>
      </c>
      <c r="AR1816" s="44" t="str">
        <f t="shared" si="199"/>
        <v/>
      </c>
      <c r="AS1816" s="44"/>
      <c r="AT1816" s="44" t="str">
        <f t="shared" si="202"/>
        <v/>
      </c>
      <c r="AU1816" s="44" t="str">
        <f t="shared" si="203"/>
        <v/>
      </c>
      <c r="AV1816" s="38">
        <v>2.0</v>
      </c>
      <c r="AW1816" s="38"/>
      <c r="AX1816" s="38"/>
      <c r="AY1816" s="38"/>
      <c r="AZ1816" s="29"/>
      <c r="BA1816" s="29"/>
      <c r="BB1816" s="29">
        <v>1.0</v>
      </c>
      <c r="BC1816" s="29" t="s">
        <v>2917</v>
      </c>
      <c r="BD1816" s="29"/>
      <c r="BE1816" s="29"/>
      <c r="BF1816" s="29" t="s">
        <v>2426</v>
      </c>
      <c r="BG1816" s="29" t="s">
        <v>91</v>
      </c>
      <c r="BH1816" s="29" t="s">
        <v>92</v>
      </c>
      <c r="BI1816" s="29" t="s">
        <v>2911</v>
      </c>
      <c r="BJ1816" s="29" t="s">
        <v>2912</v>
      </c>
      <c r="BK1816" s="29" t="s">
        <v>2913</v>
      </c>
      <c r="BL1816" s="29" t="s">
        <v>2914</v>
      </c>
      <c r="BM1816" s="45"/>
      <c r="BN1816" s="45"/>
      <c r="BO1816" s="46"/>
      <c r="BP1816" s="2"/>
      <c r="BQ1816" s="3"/>
    </row>
    <row r="1817" ht="15.75" customHeight="1">
      <c r="A1817" s="34">
        <v>1925.0</v>
      </c>
      <c r="B1817" s="34">
        <v>102448.0</v>
      </c>
      <c r="C1817" s="34" t="s">
        <v>76</v>
      </c>
      <c r="D1817" s="34" t="s">
        <v>2906</v>
      </c>
      <c r="E1817" s="34" t="s">
        <v>2907</v>
      </c>
      <c r="F1817" s="34">
        <v>2020.0</v>
      </c>
      <c r="G1817" s="34" t="s">
        <v>2908</v>
      </c>
      <c r="H1817" s="34" t="s">
        <v>816</v>
      </c>
      <c r="I1817" s="34" t="s">
        <v>2909</v>
      </c>
      <c r="J1817" s="35"/>
      <c r="K1817" s="36"/>
      <c r="L1817" s="36"/>
      <c r="M1817" s="36"/>
      <c r="N1817" s="36">
        <v>-115.0</v>
      </c>
      <c r="O1817" s="36">
        <v>278.0</v>
      </c>
      <c r="P1817" s="52">
        <f t="shared" si="221"/>
        <v>-41.36690647</v>
      </c>
      <c r="Q1817" s="36"/>
      <c r="R1817" s="36" t="s">
        <v>82</v>
      </c>
      <c r="S1817" s="36"/>
      <c r="T1817" s="36" t="s">
        <v>1474</v>
      </c>
      <c r="U1817" s="36" t="s">
        <v>914</v>
      </c>
      <c r="V1817" s="36">
        <v>81.0</v>
      </c>
      <c r="W1817" s="36"/>
      <c r="X1817" s="38">
        <v>6.0</v>
      </c>
      <c r="Y1817" s="38" t="s">
        <v>2927</v>
      </c>
      <c r="Z1817" s="38"/>
      <c r="AA1817" s="38"/>
      <c r="AB1817" s="38"/>
      <c r="AC1817" s="38"/>
      <c r="AD1817" s="38" t="s">
        <v>2910</v>
      </c>
      <c r="AE1817" s="38"/>
      <c r="AF1817" s="38"/>
      <c r="AG1817" s="38" t="s">
        <v>2928</v>
      </c>
      <c r="AH1817" s="38"/>
      <c r="AI1817" s="40"/>
      <c r="AJ1817" s="40"/>
      <c r="AK1817" s="41"/>
      <c r="AL1817" s="40"/>
      <c r="AM1817" s="49"/>
      <c r="AN1817" s="43"/>
      <c r="AO1817" s="42"/>
      <c r="AP1817" s="43"/>
      <c r="AQ1817" s="44" t="str">
        <f t="shared" si="217"/>
        <v/>
      </c>
      <c r="AR1817" s="44" t="str">
        <f t="shared" si="199"/>
        <v/>
      </c>
      <c r="AS1817" s="44"/>
      <c r="AT1817" s="44" t="str">
        <f t="shared" si="202"/>
        <v/>
      </c>
      <c r="AU1817" s="44" t="str">
        <f t="shared" si="203"/>
        <v/>
      </c>
      <c r="AV1817" s="38">
        <v>2.0</v>
      </c>
      <c r="AW1817" s="38"/>
      <c r="AX1817" s="38"/>
      <c r="AY1817" s="38"/>
      <c r="AZ1817" s="29"/>
      <c r="BA1817" s="29"/>
      <c r="BB1817" s="29">
        <v>1.0</v>
      </c>
      <c r="BC1817" s="29" t="s">
        <v>895</v>
      </c>
      <c r="BD1817" s="29"/>
      <c r="BE1817" s="29"/>
      <c r="BF1817" s="29" t="s">
        <v>2426</v>
      </c>
      <c r="BG1817" s="29" t="s">
        <v>91</v>
      </c>
      <c r="BH1817" s="29" t="s">
        <v>92</v>
      </c>
      <c r="BI1817" s="29" t="s">
        <v>2911</v>
      </c>
      <c r="BJ1817" s="29" t="s">
        <v>2912</v>
      </c>
      <c r="BK1817" s="29" t="s">
        <v>2913</v>
      </c>
      <c r="BL1817" s="29" t="s">
        <v>2914</v>
      </c>
      <c r="BM1817" s="45"/>
      <c r="BN1817" s="45"/>
      <c r="BO1817" s="46"/>
      <c r="BP1817" s="2"/>
      <c r="BQ1817" s="3"/>
    </row>
    <row r="1818" ht="15.75" customHeight="1">
      <c r="A1818" s="34">
        <v>1926.0</v>
      </c>
      <c r="B1818" s="34">
        <v>102448.0</v>
      </c>
      <c r="C1818" s="34" t="s">
        <v>76</v>
      </c>
      <c r="D1818" s="34" t="s">
        <v>2906</v>
      </c>
      <c r="E1818" s="34" t="s">
        <v>2907</v>
      </c>
      <c r="F1818" s="34">
        <v>2020.0</v>
      </c>
      <c r="G1818" s="34" t="s">
        <v>2908</v>
      </c>
      <c r="H1818" s="34" t="s">
        <v>816</v>
      </c>
      <c r="I1818" s="34" t="s">
        <v>2909</v>
      </c>
      <c r="J1818" s="35"/>
      <c r="K1818" s="36"/>
      <c r="L1818" s="36"/>
      <c r="M1818" s="36"/>
      <c r="N1818" s="36">
        <v>22.0</v>
      </c>
      <c r="O1818" s="36">
        <v>194.0</v>
      </c>
      <c r="P1818" s="52">
        <f t="shared" si="221"/>
        <v>11.34020619</v>
      </c>
      <c r="Q1818" s="36"/>
      <c r="R1818" s="36" t="s">
        <v>82</v>
      </c>
      <c r="S1818" s="36"/>
      <c r="T1818" s="36" t="s">
        <v>1474</v>
      </c>
      <c r="U1818" s="36" t="s">
        <v>914</v>
      </c>
      <c r="V1818" s="36">
        <v>459.0</v>
      </c>
      <c r="W1818" s="36"/>
      <c r="X1818" s="38">
        <v>11.0</v>
      </c>
      <c r="Y1818" s="38" t="s">
        <v>915</v>
      </c>
      <c r="Z1818" s="38"/>
      <c r="AA1818" s="38"/>
      <c r="AB1818" s="38"/>
      <c r="AC1818" s="38"/>
      <c r="AD1818" s="38" t="s">
        <v>2910</v>
      </c>
      <c r="AE1818" s="38"/>
      <c r="AF1818" s="38"/>
      <c r="AG1818" s="38"/>
      <c r="AH1818" s="38"/>
      <c r="AI1818" s="40"/>
      <c r="AJ1818" s="40"/>
      <c r="AK1818" s="41"/>
      <c r="AL1818" s="40"/>
      <c r="AM1818" s="49"/>
      <c r="AN1818" s="43"/>
      <c r="AO1818" s="42"/>
      <c r="AP1818" s="43"/>
      <c r="AQ1818" s="44" t="str">
        <f t="shared" si="217"/>
        <v/>
      </c>
      <c r="AR1818" s="44" t="str">
        <f t="shared" si="199"/>
        <v/>
      </c>
      <c r="AS1818" s="44"/>
      <c r="AT1818" s="44" t="str">
        <f t="shared" si="202"/>
        <v/>
      </c>
      <c r="AU1818" s="44" t="str">
        <f t="shared" si="203"/>
        <v/>
      </c>
      <c r="AV1818" s="38">
        <v>2.0</v>
      </c>
      <c r="AW1818" s="38"/>
      <c r="AX1818" s="38"/>
      <c r="AY1818" s="38"/>
      <c r="AZ1818" s="29"/>
      <c r="BA1818" s="29"/>
      <c r="BB1818" s="29">
        <v>1.0</v>
      </c>
      <c r="BC1818" s="29" t="s">
        <v>2916</v>
      </c>
      <c r="BD1818" s="29"/>
      <c r="BE1818" s="29"/>
      <c r="BF1818" s="29" t="s">
        <v>2426</v>
      </c>
      <c r="BG1818" s="29" t="s">
        <v>91</v>
      </c>
      <c r="BH1818" s="29" t="s">
        <v>92</v>
      </c>
      <c r="BI1818" s="29" t="s">
        <v>2911</v>
      </c>
      <c r="BJ1818" s="29" t="s">
        <v>2912</v>
      </c>
      <c r="BK1818" s="29" t="s">
        <v>2929</v>
      </c>
      <c r="BL1818" s="29" t="s">
        <v>2914</v>
      </c>
      <c r="BM1818" s="45"/>
      <c r="BN1818" s="45"/>
      <c r="BO1818" s="46"/>
      <c r="BP1818" s="2"/>
      <c r="BQ1818" s="3"/>
    </row>
    <row r="1819" ht="15.75" customHeight="1">
      <c r="A1819" s="34">
        <v>1927.0</v>
      </c>
      <c r="B1819" s="34">
        <v>102448.0</v>
      </c>
      <c r="C1819" s="34" t="s">
        <v>76</v>
      </c>
      <c r="D1819" s="34" t="s">
        <v>2906</v>
      </c>
      <c r="E1819" s="34" t="s">
        <v>2907</v>
      </c>
      <c r="F1819" s="34">
        <v>2020.0</v>
      </c>
      <c r="G1819" s="34" t="s">
        <v>2908</v>
      </c>
      <c r="H1819" s="34" t="s">
        <v>816</v>
      </c>
      <c r="I1819" s="34" t="s">
        <v>2909</v>
      </c>
      <c r="J1819" s="35"/>
      <c r="K1819" s="36"/>
      <c r="L1819" s="36"/>
      <c r="M1819" s="36"/>
      <c r="N1819" s="36">
        <v>13.0</v>
      </c>
      <c r="O1819" s="36">
        <v>196.0</v>
      </c>
      <c r="P1819" s="52">
        <f t="shared" si="221"/>
        <v>6.632653061</v>
      </c>
      <c r="Q1819" s="36"/>
      <c r="R1819" s="36" t="s">
        <v>82</v>
      </c>
      <c r="S1819" s="36"/>
      <c r="T1819" s="36" t="s">
        <v>1474</v>
      </c>
      <c r="U1819" s="36" t="s">
        <v>914</v>
      </c>
      <c r="V1819" s="36">
        <v>446.0</v>
      </c>
      <c r="W1819" s="36"/>
      <c r="X1819" s="38">
        <v>11.0</v>
      </c>
      <c r="Y1819" s="38" t="s">
        <v>915</v>
      </c>
      <c r="Z1819" s="38"/>
      <c r="AA1819" s="38"/>
      <c r="AB1819" s="38"/>
      <c r="AC1819" s="38"/>
      <c r="AD1819" s="38" t="s">
        <v>2910</v>
      </c>
      <c r="AE1819" s="38"/>
      <c r="AF1819" s="38"/>
      <c r="AG1819" s="38"/>
      <c r="AH1819" s="38"/>
      <c r="AI1819" s="40"/>
      <c r="AJ1819" s="40"/>
      <c r="AK1819" s="41"/>
      <c r="AL1819" s="40"/>
      <c r="AM1819" s="49"/>
      <c r="AN1819" s="43"/>
      <c r="AO1819" s="42"/>
      <c r="AP1819" s="43"/>
      <c r="AQ1819" s="44" t="str">
        <f t="shared" si="217"/>
        <v/>
      </c>
      <c r="AR1819" s="44" t="str">
        <f t="shared" si="199"/>
        <v/>
      </c>
      <c r="AS1819" s="44"/>
      <c r="AT1819" s="44" t="str">
        <f t="shared" si="202"/>
        <v/>
      </c>
      <c r="AU1819" s="44" t="str">
        <f t="shared" si="203"/>
        <v/>
      </c>
      <c r="AV1819" s="38">
        <v>2.0</v>
      </c>
      <c r="AW1819" s="38"/>
      <c r="AX1819" s="38"/>
      <c r="AY1819" s="38"/>
      <c r="AZ1819" s="29"/>
      <c r="BA1819" s="29"/>
      <c r="BB1819" s="29">
        <v>1.0</v>
      </c>
      <c r="BC1819" s="29" t="s">
        <v>2916</v>
      </c>
      <c r="BD1819" s="29"/>
      <c r="BE1819" s="29"/>
      <c r="BF1819" s="29" t="s">
        <v>2426</v>
      </c>
      <c r="BG1819" s="29" t="s">
        <v>91</v>
      </c>
      <c r="BH1819" s="29" t="s">
        <v>92</v>
      </c>
      <c r="BI1819" s="29" t="s">
        <v>2911</v>
      </c>
      <c r="BJ1819" s="29" t="s">
        <v>2912</v>
      </c>
      <c r="BK1819" s="29" t="s">
        <v>2930</v>
      </c>
      <c r="BL1819" s="29" t="s">
        <v>2914</v>
      </c>
      <c r="BM1819" s="45"/>
      <c r="BN1819" s="45"/>
      <c r="BO1819" s="46"/>
      <c r="BP1819" s="2"/>
      <c r="BQ1819" s="3"/>
    </row>
    <row r="1820" ht="15.75" customHeight="1">
      <c r="A1820" s="34">
        <v>1928.0</v>
      </c>
      <c r="B1820" s="34">
        <v>102448.0</v>
      </c>
      <c r="C1820" s="34" t="s">
        <v>76</v>
      </c>
      <c r="D1820" s="34" t="s">
        <v>2906</v>
      </c>
      <c r="E1820" s="34" t="s">
        <v>2907</v>
      </c>
      <c r="F1820" s="34">
        <v>2020.0</v>
      </c>
      <c r="G1820" s="34" t="s">
        <v>2908</v>
      </c>
      <c r="H1820" s="34" t="s">
        <v>816</v>
      </c>
      <c r="I1820" s="34" t="s">
        <v>2909</v>
      </c>
      <c r="J1820" s="35"/>
      <c r="K1820" s="36"/>
      <c r="L1820" s="36"/>
      <c r="M1820" s="36"/>
      <c r="N1820" s="36">
        <v>-35.0</v>
      </c>
      <c r="O1820" s="36">
        <v>290.0</v>
      </c>
      <c r="P1820" s="52">
        <f t="shared" si="221"/>
        <v>-12.06896552</v>
      </c>
      <c r="Q1820" s="36"/>
      <c r="R1820" s="36" t="s">
        <v>82</v>
      </c>
      <c r="S1820" s="36"/>
      <c r="T1820" s="36" t="s">
        <v>1474</v>
      </c>
      <c r="U1820" s="36" t="s">
        <v>914</v>
      </c>
      <c r="V1820" s="36">
        <v>76.0</v>
      </c>
      <c r="W1820" s="36"/>
      <c r="X1820" s="38">
        <v>4.0</v>
      </c>
      <c r="Y1820" s="38" t="s">
        <v>2931</v>
      </c>
      <c r="Z1820" s="38"/>
      <c r="AA1820" s="38"/>
      <c r="AB1820" s="38"/>
      <c r="AC1820" s="38"/>
      <c r="AD1820" s="38" t="s">
        <v>2910</v>
      </c>
      <c r="AE1820" s="38"/>
      <c r="AF1820" s="38"/>
      <c r="AG1820" s="38"/>
      <c r="AH1820" s="38"/>
      <c r="AI1820" s="40"/>
      <c r="AJ1820" s="40"/>
      <c r="AK1820" s="41"/>
      <c r="AL1820" s="40"/>
      <c r="AM1820" s="49"/>
      <c r="AN1820" s="43"/>
      <c r="AO1820" s="42"/>
      <c r="AP1820" s="43"/>
      <c r="AQ1820" s="44" t="str">
        <f t="shared" si="217"/>
        <v/>
      </c>
      <c r="AR1820" s="44" t="str">
        <f t="shared" si="199"/>
        <v/>
      </c>
      <c r="AS1820" s="44"/>
      <c r="AT1820" s="44" t="str">
        <f t="shared" si="202"/>
        <v/>
      </c>
      <c r="AU1820" s="44" t="str">
        <f t="shared" si="203"/>
        <v/>
      </c>
      <c r="AV1820" s="38">
        <v>2.0</v>
      </c>
      <c r="AW1820" s="38"/>
      <c r="AX1820" s="38"/>
      <c r="AY1820" s="38"/>
      <c r="AZ1820" s="29"/>
      <c r="BA1820" s="29"/>
      <c r="BB1820" s="29">
        <v>1.0</v>
      </c>
      <c r="BC1820" s="29" t="s">
        <v>2916</v>
      </c>
      <c r="BD1820" s="29"/>
      <c r="BE1820" s="29"/>
      <c r="BF1820" s="29" t="s">
        <v>2426</v>
      </c>
      <c r="BG1820" s="29" t="s">
        <v>91</v>
      </c>
      <c r="BH1820" s="29" t="s">
        <v>92</v>
      </c>
      <c r="BI1820" s="29" t="s">
        <v>2911</v>
      </c>
      <c r="BJ1820" s="29" t="s">
        <v>2912</v>
      </c>
      <c r="BK1820" s="29" t="s">
        <v>2929</v>
      </c>
      <c r="BL1820" s="29" t="s">
        <v>2914</v>
      </c>
      <c r="BM1820" s="45"/>
      <c r="BN1820" s="45"/>
      <c r="BO1820" s="46"/>
      <c r="BP1820" s="2"/>
      <c r="BQ1820" s="3"/>
    </row>
    <row r="1821" ht="15.75" customHeight="1">
      <c r="A1821" s="34">
        <v>1929.0</v>
      </c>
      <c r="B1821" s="34">
        <v>102448.0</v>
      </c>
      <c r="C1821" s="34" t="s">
        <v>76</v>
      </c>
      <c r="D1821" s="34" t="s">
        <v>2906</v>
      </c>
      <c r="E1821" s="34" t="s">
        <v>2907</v>
      </c>
      <c r="F1821" s="34">
        <v>2020.0</v>
      </c>
      <c r="G1821" s="34" t="s">
        <v>2908</v>
      </c>
      <c r="H1821" s="34" t="s">
        <v>816</v>
      </c>
      <c r="I1821" s="34" t="s">
        <v>2909</v>
      </c>
      <c r="J1821" s="35"/>
      <c r="K1821" s="36"/>
      <c r="L1821" s="36"/>
      <c r="M1821" s="36"/>
      <c r="N1821" s="36">
        <v>-26.0</v>
      </c>
      <c r="O1821" s="36">
        <v>290.0</v>
      </c>
      <c r="P1821" s="52">
        <f t="shared" si="221"/>
        <v>-8.965517241</v>
      </c>
      <c r="Q1821" s="36"/>
      <c r="R1821" s="36" t="s">
        <v>82</v>
      </c>
      <c r="S1821" s="36"/>
      <c r="T1821" s="36" t="s">
        <v>1474</v>
      </c>
      <c r="U1821" s="36" t="s">
        <v>914</v>
      </c>
      <c r="V1821" s="36">
        <v>79.0</v>
      </c>
      <c r="W1821" s="36"/>
      <c r="X1821" s="38">
        <v>4.0</v>
      </c>
      <c r="Y1821" s="38" t="s">
        <v>2931</v>
      </c>
      <c r="Z1821" s="38"/>
      <c r="AA1821" s="38"/>
      <c r="AB1821" s="38"/>
      <c r="AC1821" s="38"/>
      <c r="AD1821" s="38" t="s">
        <v>2910</v>
      </c>
      <c r="AE1821" s="38"/>
      <c r="AF1821" s="38"/>
      <c r="AG1821" s="38"/>
      <c r="AH1821" s="38"/>
      <c r="AI1821" s="40"/>
      <c r="AJ1821" s="40"/>
      <c r="AK1821" s="41"/>
      <c r="AL1821" s="40"/>
      <c r="AM1821" s="49"/>
      <c r="AN1821" s="43"/>
      <c r="AO1821" s="42"/>
      <c r="AP1821" s="43"/>
      <c r="AQ1821" s="44" t="str">
        <f t="shared" si="217"/>
        <v/>
      </c>
      <c r="AR1821" s="44" t="str">
        <f t="shared" si="199"/>
        <v/>
      </c>
      <c r="AS1821" s="44"/>
      <c r="AT1821" s="44" t="str">
        <f t="shared" si="202"/>
        <v/>
      </c>
      <c r="AU1821" s="44" t="str">
        <f t="shared" si="203"/>
        <v/>
      </c>
      <c r="AV1821" s="38">
        <v>2.0</v>
      </c>
      <c r="AW1821" s="38"/>
      <c r="AX1821" s="38"/>
      <c r="AY1821" s="38"/>
      <c r="AZ1821" s="29"/>
      <c r="BA1821" s="29"/>
      <c r="BB1821" s="29">
        <v>1.0</v>
      </c>
      <c r="BC1821" s="29" t="s">
        <v>2916</v>
      </c>
      <c r="BD1821" s="29"/>
      <c r="BE1821" s="29"/>
      <c r="BF1821" s="29" t="s">
        <v>2426</v>
      </c>
      <c r="BG1821" s="29" t="s">
        <v>91</v>
      </c>
      <c r="BH1821" s="29" t="s">
        <v>92</v>
      </c>
      <c r="BI1821" s="29" t="s">
        <v>2911</v>
      </c>
      <c r="BJ1821" s="29" t="s">
        <v>2912</v>
      </c>
      <c r="BK1821" s="29" t="s">
        <v>2930</v>
      </c>
      <c r="BL1821" s="29" t="s">
        <v>2914</v>
      </c>
      <c r="BM1821" s="45"/>
      <c r="BN1821" s="45"/>
      <c r="BO1821" s="46"/>
      <c r="BP1821" s="2"/>
      <c r="BQ1821" s="3"/>
    </row>
    <row r="1822" ht="15.75" customHeight="1">
      <c r="A1822" s="34">
        <v>1930.0</v>
      </c>
      <c r="B1822" s="34">
        <v>102448.0</v>
      </c>
      <c r="C1822" s="34" t="s">
        <v>76</v>
      </c>
      <c r="D1822" s="34" t="s">
        <v>2906</v>
      </c>
      <c r="E1822" s="34" t="s">
        <v>2907</v>
      </c>
      <c r="F1822" s="34">
        <v>2020.0</v>
      </c>
      <c r="G1822" s="34" t="s">
        <v>2908</v>
      </c>
      <c r="H1822" s="34" t="s">
        <v>816</v>
      </c>
      <c r="I1822" s="34" t="s">
        <v>2909</v>
      </c>
      <c r="J1822" s="35"/>
      <c r="K1822" s="36"/>
      <c r="L1822" s="36"/>
      <c r="M1822" s="36"/>
      <c r="N1822" s="36">
        <v>33.0</v>
      </c>
      <c r="O1822" s="36">
        <v>175.0</v>
      </c>
      <c r="P1822" s="52">
        <f t="shared" si="221"/>
        <v>18.85714286</v>
      </c>
      <c r="Q1822" s="36"/>
      <c r="R1822" s="36" t="s">
        <v>82</v>
      </c>
      <c r="S1822" s="36"/>
      <c r="T1822" s="36" t="s">
        <v>1474</v>
      </c>
      <c r="U1822" s="36" t="s">
        <v>914</v>
      </c>
      <c r="V1822" s="36">
        <v>383.0</v>
      </c>
      <c r="W1822" s="36"/>
      <c r="X1822" s="38">
        <v>6.0</v>
      </c>
      <c r="Y1822" s="38" t="s">
        <v>2932</v>
      </c>
      <c r="Z1822" s="38"/>
      <c r="AA1822" s="38"/>
      <c r="AB1822" s="38"/>
      <c r="AC1822" s="38"/>
      <c r="AD1822" s="38" t="s">
        <v>2910</v>
      </c>
      <c r="AE1822" s="38"/>
      <c r="AF1822" s="38"/>
      <c r="AG1822" s="38"/>
      <c r="AH1822" s="38"/>
      <c r="AI1822" s="40"/>
      <c r="AJ1822" s="40"/>
      <c r="AK1822" s="41"/>
      <c r="AL1822" s="40"/>
      <c r="AM1822" s="49"/>
      <c r="AN1822" s="43"/>
      <c r="AO1822" s="42"/>
      <c r="AP1822" s="43"/>
      <c r="AQ1822" s="44" t="str">
        <f t="shared" si="217"/>
        <v/>
      </c>
      <c r="AR1822" s="44" t="str">
        <f t="shared" si="199"/>
        <v/>
      </c>
      <c r="AS1822" s="44"/>
      <c r="AT1822" s="44" t="str">
        <f t="shared" si="202"/>
        <v/>
      </c>
      <c r="AU1822" s="44" t="str">
        <f t="shared" si="203"/>
        <v/>
      </c>
      <c r="AV1822" s="38">
        <v>2.0</v>
      </c>
      <c r="AW1822" s="38"/>
      <c r="AX1822" s="38"/>
      <c r="AY1822" s="38"/>
      <c r="AZ1822" s="29"/>
      <c r="BA1822" s="29"/>
      <c r="BB1822" s="29">
        <v>1.0</v>
      </c>
      <c r="BC1822" s="29" t="s">
        <v>2916</v>
      </c>
      <c r="BD1822" s="29"/>
      <c r="BE1822" s="29"/>
      <c r="BF1822" s="29" t="s">
        <v>2426</v>
      </c>
      <c r="BG1822" s="29" t="s">
        <v>91</v>
      </c>
      <c r="BH1822" s="29" t="s">
        <v>92</v>
      </c>
      <c r="BI1822" s="29" t="s">
        <v>2911</v>
      </c>
      <c r="BJ1822" s="29" t="s">
        <v>2912</v>
      </c>
      <c r="BK1822" s="29" t="s">
        <v>2929</v>
      </c>
      <c r="BL1822" s="29" t="s">
        <v>2914</v>
      </c>
      <c r="BM1822" s="45"/>
      <c r="BN1822" s="45"/>
      <c r="BO1822" s="46"/>
      <c r="BP1822" s="2"/>
      <c r="BQ1822" s="3"/>
    </row>
    <row r="1823" ht="15.75" customHeight="1">
      <c r="A1823" s="34">
        <v>1931.0</v>
      </c>
      <c r="B1823" s="34">
        <v>102448.0</v>
      </c>
      <c r="C1823" s="34" t="s">
        <v>76</v>
      </c>
      <c r="D1823" s="34" t="s">
        <v>2906</v>
      </c>
      <c r="E1823" s="34" t="s">
        <v>2907</v>
      </c>
      <c r="F1823" s="34">
        <v>2020.0</v>
      </c>
      <c r="G1823" s="34" t="s">
        <v>2908</v>
      </c>
      <c r="H1823" s="34" t="s">
        <v>816</v>
      </c>
      <c r="I1823" s="34" t="s">
        <v>2909</v>
      </c>
      <c r="J1823" s="35"/>
      <c r="K1823" s="36"/>
      <c r="L1823" s="36"/>
      <c r="M1823" s="36"/>
      <c r="N1823" s="36">
        <v>21.0</v>
      </c>
      <c r="O1823" s="36">
        <v>176.0</v>
      </c>
      <c r="P1823" s="52">
        <f t="shared" si="221"/>
        <v>11.93181818</v>
      </c>
      <c r="Q1823" s="36"/>
      <c r="R1823" s="36" t="s">
        <v>82</v>
      </c>
      <c r="S1823" s="36"/>
      <c r="T1823" s="36" t="s">
        <v>1474</v>
      </c>
      <c r="U1823" s="36" t="s">
        <v>914</v>
      </c>
      <c r="V1823" s="36">
        <v>367.0</v>
      </c>
      <c r="W1823" s="36"/>
      <c r="X1823" s="38">
        <v>6.0</v>
      </c>
      <c r="Y1823" s="38" t="s">
        <v>2932</v>
      </c>
      <c r="Z1823" s="38"/>
      <c r="AA1823" s="38"/>
      <c r="AB1823" s="38"/>
      <c r="AC1823" s="38"/>
      <c r="AD1823" s="38" t="s">
        <v>2910</v>
      </c>
      <c r="AE1823" s="38"/>
      <c r="AF1823" s="38"/>
      <c r="AG1823" s="38"/>
      <c r="AH1823" s="38"/>
      <c r="AI1823" s="40"/>
      <c r="AJ1823" s="40"/>
      <c r="AK1823" s="41"/>
      <c r="AL1823" s="40"/>
      <c r="AM1823" s="49"/>
      <c r="AN1823" s="43"/>
      <c r="AO1823" s="42"/>
      <c r="AP1823" s="43"/>
      <c r="AQ1823" s="44" t="str">
        <f t="shared" si="217"/>
        <v/>
      </c>
      <c r="AR1823" s="44" t="str">
        <f t="shared" si="199"/>
        <v/>
      </c>
      <c r="AS1823" s="44"/>
      <c r="AT1823" s="44" t="str">
        <f t="shared" si="202"/>
        <v/>
      </c>
      <c r="AU1823" s="44" t="str">
        <f t="shared" si="203"/>
        <v/>
      </c>
      <c r="AV1823" s="38">
        <v>2.0</v>
      </c>
      <c r="AW1823" s="38"/>
      <c r="AX1823" s="38"/>
      <c r="AY1823" s="38"/>
      <c r="AZ1823" s="29"/>
      <c r="BA1823" s="29"/>
      <c r="BB1823" s="29">
        <v>1.0</v>
      </c>
      <c r="BC1823" s="29" t="s">
        <v>2916</v>
      </c>
      <c r="BD1823" s="29"/>
      <c r="BE1823" s="29"/>
      <c r="BF1823" s="29" t="s">
        <v>2426</v>
      </c>
      <c r="BG1823" s="29" t="s">
        <v>91</v>
      </c>
      <c r="BH1823" s="29" t="s">
        <v>92</v>
      </c>
      <c r="BI1823" s="29" t="s">
        <v>2911</v>
      </c>
      <c r="BJ1823" s="29" t="s">
        <v>2912</v>
      </c>
      <c r="BK1823" s="29" t="s">
        <v>2930</v>
      </c>
      <c r="BL1823" s="29" t="s">
        <v>2914</v>
      </c>
      <c r="BM1823" s="45"/>
      <c r="BN1823" s="45"/>
      <c r="BO1823" s="46"/>
      <c r="BP1823" s="2"/>
      <c r="BQ1823" s="3"/>
    </row>
    <row r="1824" ht="15.75" customHeight="1">
      <c r="A1824" s="34">
        <v>1936.0</v>
      </c>
      <c r="B1824" s="34">
        <v>104246.0</v>
      </c>
      <c r="C1824" s="34" t="s">
        <v>76</v>
      </c>
      <c r="D1824" s="34" t="s">
        <v>2933</v>
      </c>
      <c r="E1824" s="34" t="s">
        <v>2934</v>
      </c>
      <c r="F1824" s="34">
        <v>2021.0</v>
      </c>
      <c r="G1824" s="34" t="s">
        <v>2935</v>
      </c>
      <c r="H1824" s="34" t="s">
        <v>816</v>
      </c>
      <c r="I1824" s="34" t="s">
        <v>2936</v>
      </c>
      <c r="J1824" s="35"/>
      <c r="K1824" s="36"/>
      <c r="L1824" s="36">
        <v>375.0</v>
      </c>
      <c r="M1824" s="36"/>
      <c r="N1824" s="36"/>
      <c r="O1824" s="36"/>
      <c r="P1824" s="37">
        <v>-7.0</v>
      </c>
      <c r="Q1824" s="36" t="s">
        <v>1393</v>
      </c>
      <c r="R1824" s="36" t="s">
        <v>96</v>
      </c>
      <c r="S1824" s="36">
        <v>1000.0</v>
      </c>
      <c r="T1824" s="36" t="s">
        <v>341</v>
      </c>
      <c r="U1824" s="36" t="s">
        <v>285</v>
      </c>
      <c r="V1824" s="36">
        <v>246.0</v>
      </c>
      <c r="W1824" s="36"/>
      <c r="X1824" s="38">
        <v>1.0</v>
      </c>
      <c r="Y1824" s="38" t="s">
        <v>2937</v>
      </c>
      <c r="Z1824" s="38" t="s">
        <v>2938</v>
      </c>
      <c r="AA1824" s="38" t="s">
        <v>86</v>
      </c>
      <c r="AB1824" s="38" t="s">
        <v>2939</v>
      </c>
      <c r="AC1824" s="38" t="s">
        <v>2940</v>
      </c>
      <c r="AD1824" s="38" t="s">
        <v>382</v>
      </c>
      <c r="AE1824" s="38"/>
      <c r="AF1824" s="38" t="s">
        <v>2316</v>
      </c>
      <c r="AG1824" s="38" t="s">
        <v>2928</v>
      </c>
      <c r="AH1824" s="38"/>
      <c r="AI1824" s="50">
        <v>43.5497</v>
      </c>
      <c r="AJ1824" s="50">
        <v>1.1061</v>
      </c>
      <c r="AK1824" s="41" t="s">
        <v>86</v>
      </c>
      <c r="AL1824" s="40" t="s">
        <v>86</v>
      </c>
      <c r="AM1824" s="49">
        <v>246.0</v>
      </c>
      <c r="AN1824" s="51">
        <v>246.0</v>
      </c>
      <c r="AO1824" s="42" t="s">
        <v>376</v>
      </c>
      <c r="AP1824" s="43" t="s">
        <v>376</v>
      </c>
      <c r="AQ1824" s="44" t="str">
        <f t="shared" si="217"/>
        <v>CRO</v>
      </c>
      <c r="AR1824" s="44">
        <f t="shared" si="199"/>
        <v>246</v>
      </c>
      <c r="AS1824" s="44" t="str">
        <f t="shared" ref="AS1824:AS1998" si="222">LEFT(AO1824,1)</f>
        <v>C</v>
      </c>
      <c r="AT1824" s="44" t="str">
        <f t="shared" si="202"/>
        <v>Cf</v>
      </c>
      <c r="AU1824" s="44" t="str">
        <f t="shared" si="203"/>
        <v>Cfb</v>
      </c>
      <c r="AV1824" s="38">
        <v>2.0</v>
      </c>
      <c r="AW1824" s="38"/>
      <c r="AX1824" s="38"/>
      <c r="AY1824" s="38"/>
      <c r="AZ1824" s="29">
        <v>1000.0</v>
      </c>
      <c r="BA1824" s="29"/>
      <c r="BB1824" s="29">
        <v>1.0</v>
      </c>
      <c r="BC1824" s="29" t="s">
        <v>2941</v>
      </c>
      <c r="BD1824" s="29" t="s">
        <v>88</v>
      </c>
      <c r="BE1824" s="29" t="s">
        <v>263</v>
      </c>
      <c r="BF1824" s="29" t="s">
        <v>2942</v>
      </c>
      <c r="BG1824" s="29" t="s">
        <v>91</v>
      </c>
      <c r="BH1824" s="29" t="s">
        <v>88</v>
      </c>
      <c r="BI1824" s="29" t="s">
        <v>1438</v>
      </c>
      <c r="BJ1824" s="29"/>
      <c r="BK1824" s="29" t="s">
        <v>148</v>
      </c>
      <c r="BL1824" s="29" t="s">
        <v>148</v>
      </c>
      <c r="BM1824" s="45">
        <v>1.0</v>
      </c>
      <c r="BN1824" s="45"/>
      <c r="BO1824" s="46" t="s">
        <v>2942</v>
      </c>
      <c r="BP1824" s="2"/>
      <c r="BQ1824" s="3"/>
    </row>
    <row r="1825" ht="15.75" customHeight="1">
      <c r="A1825" s="34">
        <v>1937.0</v>
      </c>
      <c r="B1825" s="34">
        <v>104246.0</v>
      </c>
      <c r="C1825" s="34" t="s">
        <v>76</v>
      </c>
      <c r="D1825" s="34" t="s">
        <v>2933</v>
      </c>
      <c r="E1825" s="34" t="s">
        <v>2934</v>
      </c>
      <c r="F1825" s="34">
        <v>2021.0</v>
      </c>
      <c r="G1825" s="34" t="s">
        <v>2935</v>
      </c>
      <c r="H1825" s="34" t="s">
        <v>816</v>
      </c>
      <c r="I1825" s="34" t="s">
        <v>2936</v>
      </c>
      <c r="J1825" s="35"/>
      <c r="K1825" s="36"/>
      <c r="L1825" s="36">
        <v>268.0</v>
      </c>
      <c r="M1825" s="36"/>
      <c r="N1825" s="36"/>
      <c r="O1825" s="36"/>
      <c r="P1825" s="37">
        <v>23.0</v>
      </c>
      <c r="Q1825" s="36" t="s">
        <v>1393</v>
      </c>
      <c r="R1825" s="36" t="s">
        <v>96</v>
      </c>
      <c r="S1825" s="36">
        <v>1000.0</v>
      </c>
      <c r="T1825" s="36" t="s">
        <v>350</v>
      </c>
      <c r="U1825" s="36" t="s">
        <v>342</v>
      </c>
      <c r="V1825" s="36">
        <v>164.0</v>
      </c>
      <c r="W1825" s="36"/>
      <c r="X1825" s="38">
        <v>1.0</v>
      </c>
      <c r="Y1825" s="38" t="s">
        <v>2943</v>
      </c>
      <c r="Z1825" s="38" t="s">
        <v>2938</v>
      </c>
      <c r="AA1825" s="38" t="s">
        <v>86</v>
      </c>
      <c r="AB1825" s="38" t="s">
        <v>2939</v>
      </c>
      <c r="AC1825" s="38" t="s">
        <v>2940</v>
      </c>
      <c r="AD1825" s="38" t="s">
        <v>382</v>
      </c>
      <c r="AE1825" s="38"/>
      <c r="AF1825" s="38" t="s">
        <v>2944</v>
      </c>
      <c r="AG1825" s="38" t="s">
        <v>2928</v>
      </c>
      <c r="AH1825" s="38"/>
      <c r="AI1825" s="50">
        <v>43.5497</v>
      </c>
      <c r="AJ1825" s="50">
        <v>1.1061</v>
      </c>
      <c r="AK1825" s="41" t="s">
        <v>86</v>
      </c>
      <c r="AL1825" s="40" t="s">
        <v>86</v>
      </c>
      <c r="AM1825" s="49">
        <v>246.0</v>
      </c>
      <c r="AN1825" s="51">
        <v>246.0</v>
      </c>
      <c r="AO1825" s="42" t="s">
        <v>376</v>
      </c>
      <c r="AP1825" s="43" t="s">
        <v>376</v>
      </c>
      <c r="AQ1825" s="44" t="str">
        <f t="shared" si="217"/>
        <v>CRO</v>
      </c>
      <c r="AR1825" s="44">
        <f t="shared" si="199"/>
        <v>246</v>
      </c>
      <c r="AS1825" s="44" t="str">
        <f t="shared" si="222"/>
        <v>C</v>
      </c>
      <c r="AT1825" s="44" t="str">
        <f t="shared" si="202"/>
        <v>Cf</v>
      </c>
      <c r="AU1825" s="44" t="str">
        <f t="shared" si="203"/>
        <v>Cfb</v>
      </c>
      <c r="AV1825" s="38">
        <v>2.0</v>
      </c>
      <c r="AW1825" s="38"/>
      <c r="AX1825" s="38"/>
      <c r="AY1825" s="38"/>
      <c r="AZ1825" s="29">
        <v>1000.0</v>
      </c>
      <c r="BA1825" s="29"/>
      <c r="BB1825" s="29">
        <v>1.0</v>
      </c>
      <c r="BC1825" s="29" t="s">
        <v>2941</v>
      </c>
      <c r="BD1825" s="29" t="s">
        <v>88</v>
      </c>
      <c r="BE1825" s="29" t="s">
        <v>263</v>
      </c>
      <c r="BF1825" s="29" t="s">
        <v>2942</v>
      </c>
      <c r="BG1825" s="29" t="s">
        <v>91</v>
      </c>
      <c r="BH1825" s="29" t="s">
        <v>88</v>
      </c>
      <c r="BI1825" s="29" t="s">
        <v>1438</v>
      </c>
      <c r="BJ1825" s="29"/>
      <c r="BK1825" s="29" t="s">
        <v>148</v>
      </c>
      <c r="BL1825" s="29" t="s">
        <v>148</v>
      </c>
      <c r="BM1825" s="45"/>
      <c r="BN1825" s="45"/>
      <c r="BO1825" s="46"/>
      <c r="BP1825" s="2"/>
      <c r="BQ1825" s="3"/>
    </row>
    <row r="1826" ht="15.75" customHeight="1">
      <c r="A1826" s="34">
        <v>1938.0</v>
      </c>
      <c r="B1826" s="34">
        <v>104246.0</v>
      </c>
      <c r="C1826" s="34" t="s">
        <v>76</v>
      </c>
      <c r="D1826" s="34" t="s">
        <v>2933</v>
      </c>
      <c r="E1826" s="34" t="s">
        <v>2934</v>
      </c>
      <c r="F1826" s="34">
        <v>2021.0</v>
      </c>
      <c r="G1826" s="34" t="s">
        <v>2935</v>
      </c>
      <c r="H1826" s="34" t="s">
        <v>816</v>
      </c>
      <c r="I1826" s="34" t="s">
        <v>2936</v>
      </c>
      <c r="J1826" s="35"/>
      <c r="K1826" s="36"/>
      <c r="L1826" s="36">
        <v>218.0</v>
      </c>
      <c r="M1826" s="36"/>
      <c r="N1826" s="36"/>
      <c r="O1826" s="36"/>
      <c r="P1826" s="37">
        <v>19.0</v>
      </c>
      <c r="Q1826" s="36" t="s">
        <v>1393</v>
      </c>
      <c r="R1826" s="36" t="s">
        <v>96</v>
      </c>
      <c r="S1826" s="36">
        <v>1000.0</v>
      </c>
      <c r="T1826" s="36" t="s">
        <v>506</v>
      </c>
      <c r="U1826" s="36" t="s">
        <v>676</v>
      </c>
      <c r="V1826" s="36">
        <v>258.0</v>
      </c>
      <c r="W1826" s="36"/>
      <c r="X1826" s="38">
        <v>1.0</v>
      </c>
      <c r="Y1826" s="38" t="s">
        <v>2945</v>
      </c>
      <c r="Z1826" s="38" t="s">
        <v>2938</v>
      </c>
      <c r="AA1826" s="38" t="s">
        <v>86</v>
      </c>
      <c r="AB1826" s="38" t="s">
        <v>2939</v>
      </c>
      <c r="AC1826" s="38" t="s">
        <v>2940</v>
      </c>
      <c r="AD1826" s="38" t="s">
        <v>382</v>
      </c>
      <c r="AE1826" s="38"/>
      <c r="AF1826" s="38" t="s">
        <v>2316</v>
      </c>
      <c r="AG1826" s="38" t="s">
        <v>2928</v>
      </c>
      <c r="AH1826" s="38"/>
      <c r="AI1826" s="50">
        <v>43.5497</v>
      </c>
      <c r="AJ1826" s="50">
        <v>1.1061</v>
      </c>
      <c r="AK1826" s="41" t="s">
        <v>86</v>
      </c>
      <c r="AL1826" s="40" t="s">
        <v>86</v>
      </c>
      <c r="AM1826" s="49">
        <v>246.0</v>
      </c>
      <c r="AN1826" s="51">
        <v>246.0</v>
      </c>
      <c r="AO1826" s="42" t="s">
        <v>376</v>
      </c>
      <c r="AP1826" s="43" t="s">
        <v>376</v>
      </c>
      <c r="AQ1826" s="44" t="str">
        <f t="shared" si="217"/>
        <v>CRO</v>
      </c>
      <c r="AR1826" s="44">
        <f t="shared" si="199"/>
        <v>246</v>
      </c>
      <c r="AS1826" s="44" t="str">
        <f t="shared" si="222"/>
        <v>C</v>
      </c>
      <c r="AT1826" s="44" t="str">
        <f t="shared" si="202"/>
        <v>Cf</v>
      </c>
      <c r="AU1826" s="44" t="str">
        <f t="shared" si="203"/>
        <v>Cfb</v>
      </c>
      <c r="AV1826" s="38">
        <v>2.0</v>
      </c>
      <c r="AW1826" s="38"/>
      <c r="AX1826" s="38"/>
      <c r="AY1826" s="38"/>
      <c r="AZ1826" s="29">
        <v>1000.0</v>
      </c>
      <c r="BA1826" s="29"/>
      <c r="BB1826" s="29">
        <v>1.0</v>
      </c>
      <c r="BC1826" s="29" t="s">
        <v>2941</v>
      </c>
      <c r="BD1826" s="29" t="s">
        <v>88</v>
      </c>
      <c r="BE1826" s="29" t="s">
        <v>263</v>
      </c>
      <c r="BF1826" s="29" t="s">
        <v>2942</v>
      </c>
      <c r="BG1826" s="29" t="s">
        <v>91</v>
      </c>
      <c r="BH1826" s="29" t="s">
        <v>88</v>
      </c>
      <c r="BI1826" s="29" t="s">
        <v>1438</v>
      </c>
      <c r="BJ1826" s="29"/>
      <c r="BK1826" s="29" t="s">
        <v>148</v>
      </c>
      <c r="BL1826" s="29" t="s">
        <v>148</v>
      </c>
      <c r="BM1826" s="45"/>
      <c r="BN1826" s="45"/>
      <c r="BO1826" s="46"/>
      <c r="BP1826" s="2"/>
      <c r="BQ1826" s="3"/>
    </row>
    <row r="1827" ht="15.75" customHeight="1">
      <c r="A1827" s="34">
        <v>1939.0</v>
      </c>
      <c r="B1827" s="34">
        <v>104246.0</v>
      </c>
      <c r="C1827" s="34" t="s">
        <v>76</v>
      </c>
      <c r="D1827" s="34" t="s">
        <v>2933</v>
      </c>
      <c r="E1827" s="34" t="s">
        <v>2934</v>
      </c>
      <c r="F1827" s="34">
        <v>2021.0</v>
      </c>
      <c r="G1827" s="34" t="s">
        <v>2935</v>
      </c>
      <c r="H1827" s="34" t="s">
        <v>816</v>
      </c>
      <c r="I1827" s="34" t="s">
        <v>2936</v>
      </c>
      <c r="J1827" s="35"/>
      <c r="K1827" s="36"/>
      <c r="L1827" s="36">
        <v>340.0</v>
      </c>
      <c r="M1827" s="36"/>
      <c r="N1827" s="36"/>
      <c r="O1827" s="36"/>
      <c r="P1827" s="37">
        <v>27.0</v>
      </c>
      <c r="Q1827" s="36" t="s">
        <v>1393</v>
      </c>
      <c r="R1827" s="36" t="s">
        <v>96</v>
      </c>
      <c r="S1827" s="36">
        <v>1000.0</v>
      </c>
      <c r="T1827" s="36" t="s">
        <v>350</v>
      </c>
      <c r="U1827" s="36" t="s">
        <v>342</v>
      </c>
      <c r="V1827" s="36">
        <v>269.0</v>
      </c>
      <c r="W1827" s="36"/>
      <c r="X1827" s="38">
        <v>1.0</v>
      </c>
      <c r="Y1827" s="38" t="s">
        <v>2946</v>
      </c>
      <c r="Z1827" s="38" t="s">
        <v>2947</v>
      </c>
      <c r="AA1827" s="38" t="s">
        <v>86</v>
      </c>
      <c r="AB1827" s="38" t="s">
        <v>2948</v>
      </c>
      <c r="AC1827" s="38" t="s">
        <v>2949</v>
      </c>
      <c r="AD1827" s="38" t="s">
        <v>382</v>
      </c>
      <c r="AE1827" s="38"/>
      <c r="AF1827" s="38" t="s">
        <v>2316</v>
      </c>
      <c r="AG1827" s="38" t="s">
        <v>2928</v>
      </c>
      <c r="AH1827" s="38"/>
      <c r="AI1827" s="50">
        <v>43.5497</v>
      </c>
      <c r="AJ1827" s="50">
        <v>1.1061</v>
      </c>
      <c r="AK1827" s="41" t="s">
        <v>86</v>
      </c>
      <c r="AL1827" s="40" t="s">
        <v>86</v>
      </c>
      <c r="AM1827" s="49">
        <v>246.0</v>
      </c>
      <c r="AN1827" s="51">
        <v>246.0</v>
      </c>
      <c r="AO1827" s="42" t="s">
        <v>376</v>
      </c>
      <c r="AP1827" s="43" t="s">
        <v>376</v>
      </c>
      <c r="AQ1827" s="44" t="str">
        <f t="shared" si="217"/>
        <v>CRO</v>
      </c>
      <c r="AR1827" s="44">
        <f t="shared" si="199"/>
        <v>246</v>
      </c>
      <c r="AS1827" s="44" t="str">
        <f t="shared" si="222"/>
        <v>C</v>
      </c>
      <c r="AT1827" s="44" t="str">
        <f t="shared" si="202"/>
        <v>Cf</v>
      </c>
      <c r="AU1827" s="44" t="str">
        <f t="shared" si="203"/>
        <v>Cfb</v>
      </c>
      <c r="AV1827" s="38">
        <v>2.0</v>
      </c>
      <c r="AW1827" s="38"/>
      <c r="AX1827" s="38"/>
      <c r="AY1827" s="38"/>
      <c r="AZ1827" s="29">
        <v>1000.0</v>
      </c>
      <c r="BA1827" s="29"/>
      <c r="BB1827" s="29">
        <v>1.0</v>
      </c>
      <c r="BC1827" s="29" t="s">
        <v>2941</v>
      </c>
      <c r="BD1827" s="29" t="s">
        <v>88</v>
      </c>
      <c r="BE1827" s="29" t="s">
        <v>263</v>
      </c>
      <c r="BF1827" s="29" t="s">
        <v>2942</v>
      </c>
      <c r="BG1827" s="29" t="s">
        <v>91</v>
      </c>
      <c r="BH1827" s="29" t="s">
        <v>88</v>
      </c>
      <c r="BI1827" s="29" t="s">
        <v>1438</v>
      </c>
      <c r="BJ1827" s="29"/>
      <c r="BK1827" s="29" t="s">
        <v>148</v>
      </c>
      <c r="BL1827" s="29" t="s">
        <v>148</v>
      </c>
      <c r="BM1827" s="45"/>
      <c r="BN1827" s="45"/>
      <c r="BO1827" s="46"/>
      <c r="BP1827" s="2"/>
      <c r="BQ1827" s="3"/>
    </row>
    <row r="1828" ht="15.75" customHeight="1">
      <c r="A1828" s="34">
        <v>1940.0</v>
      </c>
      <c r="B1828" s="34">
        <v>104246.0</v>
      </c>
      <c r="C1828" s="34" t="s">
        <v>76</v>
      </c>
      <c r="D1828" s="34" t="s">
        <v>2933</v>
      </c>
      <c r="E1828" s="34" t="s">
        <v>2934</v>
      </c>
      <c r="F1828" s="34">
        <v>2021.0</v>
      </c>
      <c r="G1828" s="34" t="s">
        <v>2935</v>
      </c>
      <c r="H1828" s="34" t="s">
        <v>816</v>
      </c>
      <c r="I1828" s="34" t="s">
        <v>2936</v>
      </c>
      <c r="J1828" s="35"/>
      <c r="K1828" s="36"/>
      <c r="L1828" s="36">
        <v>427.0</v>
      </c>
      <c r="M1828" s="36"/>
      <c r="N1828" s="36"/>
      <c r="O1828" s="36"/>
      <c r="P1828" s="37">
        <v>-1.0</v>
      </c>
      <c r="Q1828" s="36" t="s">
        <v>1393</v>
      </c>
      <c r="R1828" s="36" t="s">
        <v>96</v>
      </c>
      <c r="S1828" s="36">
        <v>1000.0</v>
      </c>
      <c r="T1828" s="36" t="s">
        <v>506</v>
      </c>
      <c r="U1828" s="36" t="s">
        <v>676</v>
      </c>
      <c r="V1828" s="36">
        <v>161.0</v>
      </c>
      <c r="W1828" s="36"/>
      <c r="X1828" s="38">
        <v>1.0</v>
      </c>
      <c r="Y1828" s="38" t="s">
        <v>2950</v>
      </c>
      <c r="Z1828" s="38" t="s">
        <v>2947</v>
      </c>
      <c r="AA1828" s="38" t="s">
        <v>86</v>
      </c>
      <c r="AB1828" s="38" t="s">
        <v>2948</v>
      </c>
      <c r="AC1828" s="38" t="s">
        <v>2949</v>
      </c>
      <c r="AD1828" s="38" t="s">
        <v>382</v>
      </c>
      <c r="AE1828" s="38"/>
      <c r="AF1828" s="38" t="s">
        <v>525</v>
      </c>
      <c r="AG1828" s="38" t="s">
        <v>2928</v>
      </c>
      <c r="AH1828" s="38"/>
      <c r="AI1828" s="50">
        <v>43.5497</v>
      </c>
      <c r="AJ1828" s="50">
        <v>1.1061</v>
      </c>
      <c r="AK1828" s="41" t="s">
        <v>86</v>
      </c>
      <c r="AL1828" s="40" t="s">
        <v>86</v>
      </c>
      <c r="AM1828" s="49">
        <v>246.0</v>
      </c>
      <c r="AN1828" s="51">
        <v>246.0</v>
      </c>
      <c r="AO1828" s="42" t="s">
        <v>376</v>
      </c>
      <c r="AP1828" s="43" t="s">
        <v>376</v>
      </c>
      <c r="AQ1828" s="44" t="str">
        <f t="shared" si="217"/>
        <v>CRO</v>
      </c>
      <c r="AR1828" s="44">
        <f t="shared" si="199"/>
        <v>246</v>
      </c>
      <c r="AS1828" s="44" t="str">
        <f t="shared" si="222"/>
        <v>C</v>
      </c>
      <c r="AT1828" s="44" t="str">
        <f t="shared" si="202"/>
        <v>Cf</v>
      </c>
      <c r="AU1828" s="44" t="str">
        <f t="shared" si="203"/>
        <v>Cfb</v>
      </c>
      <c r="AV1828" s="38">
        <v>2.0</v>
      </c>
      <c r="AW1828" s="38"/>
      <c r="AX1828" s="38"/>
      <c r="AY1828" s="38"/>
      <c r="AZ1828" s="29">
        <v>1000.0</v>
      </c>
      <c r="BA1828" s="29"/>
      <c r="BB1828" s="29">
        <v>1.0</v>
      </c>
      <c r="BC1828" s="29" t="s">
        <v>2941</v>
      </c>
      <c r="BD1828" s="29" t="s">
        <v>88</v>
      </c>
      <c r="BE1828" s="29" t="s">
        <v>263</v>
      </c>
      <c r="BF1828" s="29" t="s">
        <v>2942</v>
      </c>
      <c r="BG1828" s="29" t="s">
        <v>91</v>
      </c>
      <c r="BH1828" s="29" t="s">
        <v>88</v>
      </c>
      <c r="BI1828" s="29" t="s">
        <v>1438</v>
      </c>
      <c r="BJ1828" s="29"/>
      <c r="BK1828" s="29" t="s">
        <v>148</v>
      </c>
      <c r="BL1828" s="29" t="s">
        <v>148</v>
      </c>
      <c r="BM1828" s="45"/>
      <c r="BN1828" s="45"/>
      <c r="BO1828" s="46"/>
      <c r="BP1828" s="2"/>
      <c r="BQ1828" s="3"/>
    </row>
    <row r="1829" ht="15.75" customHeight="1">
      <c r="A1829" s="34">
        <v>1941.0</v>
      </c>
      <c r="B1829" s="34">
        <v>104246.0</v>
      </c>
      <c r="C1829" s="34" t="s">
        <v>76</v>
      </c>
      <c r="D1829" s="34" t="s">
        <v>2933</v>
      </c>
      <c r="E1829" s="34" t="s">
        <v>2934</v>
      </c>
      <c r="F1829" s="34">
        <v>2021.0</v>
      </c>
      <c r="G1829" s="34" t="s">
        <v>2935</v>
      </c>
      <c r="H1829" s="34" t="s">
        <v>816</v>
      </c>
      <c r="I1829" s="34" t="s">
        <v>2936</v>
      </c>
      <c r="J1829" s="35"/>
      <c r="K1829" s="36"/>
      <c r="L1829" s="36">
        <v>251.0</v>
      </c>
      <c r="M1829" s="36"/>
      <c r="N1829" s="36"/>
      <c r="O1829" s="36"/>
      <c r="P1829" s="37">
        <v>47.0</v>
      </c>
      <c r="Q1829" s="36" t="s">
        <v>1393</v>
      </c>
      <c r="R1829" s="36" t="s">
        <v>96</v>
      </c>
      <c r="S1829" s="36">
        <v>1000.0</v>
      </c>
      <c r="T1829" s="36" t="s">
        <v>536</v>
      </c>
      <c r="U1829" s="36" t="s">
        <v>351</v>
      </c>
      <c r="V1829" s="36">
        <v>237.0</v>
      </c>
      <c r="W1829" s="36"/>
      <c r="X1829" s="38">
        <v>1.0</v>
      </c>
      <c r="Y1829" s="38" t="s">
        <v>2951</v>
      </c>
      <c r="Z1829" s="38" t="s">
        <v>2947</v>
      </c>
      <c r="AA1829" s="38" t="s">
        <v>86</v>
      </c>
      <c r="AB1829" s="38" t="s">
        <v>2948</v>
      </c>
      <c r="AC1829" s="38" t="s">
        <v>2949</v>
      </c>
      <c r="AD1829" s="38" t="s">
        <v>382</v>
      </c>
      <c r="AE1829" s="38"/>
      <c r="AF1829" s="38" t="s">
        <v>2316</v>
      </c>
      <c r="AG1829" s="38" t="s">
        <v>2928</v>
      </c>
      <c r="AH1829" s="38"/>
      <c r="AI1829" s="50">
        <v>43.5497</v>
      </c>
      <c r="AJ1829" s="50">
        <v>1.1061</v>
      </c>
      <c r="AK1829" s="41" t="s">
        <v>86</v>
      </c>
      <c r="AL1829" s="40" t="s">
        <v>86</v>
      </c>
      <c r="AM1829" s="49">
        <v>246.0</v>
      </c>
      <c r="AN1829" s="51">
        <v>246.0</v>
      </c>
      <c r="AO1829" s="42" t="s">
        <v>376</v>
      </c>
      <c r="AP1829" s="43" t="s">
        <v>376</v>
      </c>
      <c r="AQ1829" s="44" t="str">
        <f t="shared" si="217"/>
        <v>CRO</v>
      </c>
      <c r="AR1829" s="44">
        <f t="shared" si="199"/>
        <v>246</v>
      </c>
      <c r="AS1829" s="44" t="str">
        <f t="shared" si="222"/>
        <v>C</v>
      </c>
      <c r="AT1829" s="44" t="str">
        <f t="shared" si="202"/>
        <v>Cf</v>
      </c>
      <c r="AU1829" s="44" t="str">
        <f t="shared" si="203"/>
        <v>Cfb</v>
      </c>
      <c r="AV1829" s="38">
        <v>2.0</v>
      </c>
      <c r="AW1829" s="38"/>
      <c r="AX1829" s="38"/>
      <c r="AY1829" s="38"/>
      <c r="AZ1829" s="29">
        <v>1000.0</v>
      </c>
      <c r="BA1829" s="29"/>
      <c r="BB1829" s="29">
        <v>1.0</v>
      </c>
      <c r="BC1829" s="29" t="s">
        <v>2941</v>
      </c>
      <c r="BD1829" s="29" t="s">
        <v>88</v>
      </c>
      <c r="BE1829" s="29" t="s">
        <v>263</v>
      </c>
      <c r="BF1829" s="29" t="s">
        <v>2942</v>
      </c>
      <c r="BG1829" s="29" t="s">
        <v>91</v>
      </c>
      <c r="BH1829" s="29" t="s">
        <v>88</v>
      </c>
      <c r="BI1829" s="29" t="s">
        <v>1438</v>
      </c>
      <c r="BJ1829" s="29"/>
      <c r="BK1829" s="29" t="s">
        <v>148</v>
      </c>
      <c r="BL1829" s="29" t="s">
        <v>148</v>
      </c>
      <c r="BM1829" s="45"/>
      <c r="BN1829" s="45"/>
      <c r="BO1829" s="46"/>
      <c r="BP1829" s="2" t="s">
        <v>2901</v>
      </c>
      <c r="BQ1829" s="3"/>
    </row>
    <row r="1830" ht="15.75" customHeight="1">
      <c r="A1830" s="34">
        <v>1942.0</v>
      </c>
      <c r="B1830" s="34">
        <v>104246.0</v>
      </c>
      <c r="C1830" s="34" t="s">
        <v>76</v>
      </c>
      <c r="D1830" s="34" t="s">
        <v>2933</v>
      </c>
      <c r="E1830" s="34" t="s">
        <v>2934</v>
      </c>
      <c r="F1830" s="34">
        <v>2021.0</v>
      </c>
      <c r="G1830" s="34" t="s">
        <v>2935</v>
      </c>
      <c r="H1830" s="34" t="s">
        <v>816</v>
      </c>
      <c r="I1830" s="34" t="s">
        <v>2936</v>
      </c>
      <c r="J1830" s="35"/>
      <c r="K1830" s="36"/>
      <c r="L1830" s="36">
        <v>361.0</v>
      </c>
      <c r="M1830" s="36"/>
      <c r="N1830" s="36"/>
      <c r="O1830" s="36"/>
      <c r="P1830" s="37">
        <v>24.0</v>
      </c>
      <c r="Q1830" s="36" t="s">
        <v>1393</v>
      </c>
      <c r="R1830" s="36" t="s">
        <v>96</v>
      </c>
      <c r="S1830" s="36">
        <v>1000.0</v>
      </c>
      <c r="T1830" s="36" t="s">
        <v>969</v>
      </c>
      <c r="U1830" s="36" t="s">
        <v>507</v>
      </c>
      <c r="V1830" s="36">
        <v>180.0</v>
      </c>
      <c r="W1830" s="36"/>
      <c r="X1830" s="38">
        <v>1.0</v>
      </c>
      <c r="Y1830" s="38" t="s">
        <v>2952</v>
      </c>
      <c r="Z1830" s="38" t="s">
        <v>2947</v>
      </c>
      <c r="AA1830" s="38" t="s">
        <v>86</v>
      </c>
      <c r="AB1830" s="38" t="s">
        <v>2948</v>
      </c>
      <c r="AC1830" s="38" t="s">
        <v>2949</v>
      </c>
      <c r="AD1830" s="38" t="s">
        <v>382</v>
      </c>
      <c r="AE1830" s="38"/>
      <c r="AF1830" s="38" t="s">
        <v>525</v>
      </c>
      <c r="AG1830" s="38" t="s">
        <v>2928</v>
      </c>
      <c r="AH1830" s="38"/>
      <c r="AI1830" s="50">
        <v>43.5497</v>
      </c>
      <c r="AJ1830" s="50">
        <v>1.1061</v>
      </c>
      <c r="AK1830" s="41" t="s">
        <v>86</v>
      </c>
      <c r="AL1830" s="40" t="s">
        <v>86</v>
      </c>
      <c r="AM1830" s="49">
        <v>246.0</v>
      </c>
      <c r="AN1830" s="51">
        <v>246.0</v>
      </c>
      <c r="AO1830" s="42" t="s">
        <v>376</v>
      </c>
      <c r="AP1830" s="43" t="s">
        <v>376</v>
      </c>
      <c r="AQ1830" s="44" t="str">
        <f t="shared" si="217"/>
        <v>CRO</v>
      </c>
      <c r="AR1830" s="44">
        <f t="shared" si="199"/>
        <v>246</v>
      </c>
      <c r="AS1830" s="44" t="str">
        <f t="shared" si="222"/>
        <v>C</v>
      </c>
      <c r="AT1830" s="44" t="str">
        <f t="shared" si="202"/>
        <v>Cf</v>
      </c>
      <c r="AU1830" s="44" t="str">
        <f t="shared" si="203"/>
        <v>Cfb</v>
      </c>
      <c r="AV1830" s="38">
        <v>3.0</v>
      </c>
      <c r="AW1830" s="38"/>
      <c r="AX1830" s="38"/>
      <c r="AY1830" s="38"/>
      <c r="AZ1830" s="29">
        <v>1000.0</v>
      </c>
      <c r="BA1830" s="29"/>
      <c r="BB1830" s="29">
        <v>1.0</v>
      </c>
      <c r="BC1830" s="29" t="s">
        <v>2941</v>
      </c>
      <c r="BD1830" s="29" t="s">
        <v>88</v>
      </c>
      <c r="BE1830" s="29" t="s">
        <v>263</v>
      </c>
      <c r="BF1830" s="29" t="s">
        <v>2942</v>
      </c>
      <c r="BG1830" s="29" t="s">
        <v>91</v>
      </c>
      <c r="BH1830" s="29" t="s">
        <v>88</v>
      </c>
      <c r="BI1830" s="29" t="s">
        <v>1438</v>
      </c>
      <c r="BJ1830" s="29"/>
      <c r="BK1830" s="29" t="s">
        <v>148</v>
      </c>
      <c r="BL1830" s="29" t="s">
        <v>148</v>
      </c>
      <c r="BM1830" s="45"/>
      <c r="BN1830" s="45"/>
      <c r="BO1830" s="46"/>
      <c r="BP1830" s="2" t="s">
        <v>2901</v>
      </c>
      <c r="BQ1830" s="3"/>
    </row>
    <row r="1831" ht="15.75" customHeight="1">
      <c r="A1831" s="34">
        <v>1943.0</v>
      </c>
      <c r="B1831" s="34">
        <v>104246.0</v>
      </c>
      <c r="C1831" s="34" t="s">
        <v>76</v>
      </c>
      <c r="D1831" s="34" t="s">
        <v>2933</v>
      </c>
      <c r="E1831" s="34" t="s">
        <v>2934</v>
      </c>
      <c r="F1831" s="34">
        <v>2021.0</v>
      </c>
      <c r="G1831" s="34" t="s">
        <v>2935</v>
      </c>
      <c r="H1831" s="34" t="s">
        <v>816</v>
      </c>
      <c r="I1831" s="34" t="s">
        <v>2936</v>
      </c>
      <c r="J1831" s="35"/>
      <c r="K1831" s="36"/>
      <c r="L1831" s="36">
        <v>416.0</v>
      </c>
      <c r="M1831" s="36"/>
      <c r="N1831" s="36"/>
      <c r="O1831" s="36"/>
      <c r="P1831" s="37">
        <v>-2.0</v>
      </c>
      <c r="Q1831" s="36" t="s">
        <v>1393</v>
      </c>
      <c r="R1831" s="36" t="s">
        <v>96</v>
      </c>
      <c r="S1831" s="36">
        <v>1000.0</v>
      </c>
      <c r="T1831" s="36" t="s">
        <v>242</v>
      </c>
      <c r="U1831" s="36" t="s">
        <v>243</v>
      </c>
      <c r="V1831" s="36">
        <v>119.0</v>
      </c>
      <c r="W1831" s="36"/>
      <c r="X1831" s="38">
        <v>1.0</v>
      </c>
      <c r="Y1831" s="38" t="s">
        <v>2953</v>
      </c>
      <c r="Z1831" s="38" t="s">
        <v>2947</v>
      </c>
      <c r="AA1831" s="38" t="s">
        <v>86</v>
      </c>
      <c r="AB1831" s="38" t="s">
        <v>2948</v>
      </c>
      <c r="AC1831" s="38" t="s">
        <v>2949</v>
      </c>
      <c r="AD1831" s="38" t="s">
        <v>382</v>
      </c>
      <c r="AE1831" s="38"/>
      <c r="AF1831" s="38" t="s">
        <v>525</v>
      </c>
      <c r="AG1831" s="38" t="s">
        <v>2928</v>
      </c>
      <c r="AH1831" s="38"/>
      <c r="AI1831" s="50">
        <v>43.5497</v>
      </c>
      <c r="AJ1831" s="50">
        <v>1.1061</v>
      </c>
      <c r="AK1831" s="41" t="s">
        <v>86</v>
      </c>
      <c r="AL1831" s="40" t="s">
        <v>86</v>
      </c>
      <c r="AM1831" s="49">
        <v>246.0</v>
      </c>
      <c r="AN1831" s="51">
        <v>246.0</v>
      </c>
      <c r="AO1831" s="42" t="s">
        <v>376</v>
      </c>
      <c r="AP1831" s="43" t="s">
        <v>376</v>
      </c>
      <c r="AQ1831" s="44" t="str">
        <f t="shared" si="217"/>
        <v>CRO</v>
      </c>
      <c r="AR1831" s="44">
        <f t="shared" si="199"/>
        <v>246</v>
      </c>
      <c r="AS1831" s="44" t="str">
        <f t="shared" si="222"/>
        <v>C</v>
      </c>
      <c r="AT1831" s="44" t="str">
        <f t="shared" si="202"/>
        <v>Cf</v>
      </c>
      <c r="AU1831" s="44" t="str">
        <f t="shared" si="203"/>
        <v>Cfb</v>
      </c>
      <c r="AV1831" s="38">
        <v>2.0</v>
      </c>
      <c r="AW1831" s="38"/>
      <c r="AX1831" s="38"/>
      <c r="AY1831" s="38"/>
      <c r="AZ1831" s="29">
        <v>1000.0</v>
      </c>
      <c r="BA1831" s="29"/>
      <c r="BB1831" s="29">
        <v>1.0</v>
      </c>
      <c r="BC1831" s="29" t="s">
        <v>2941</v>
      </c>
      <c r="BD1831" s="29" t="s">
        <v>88</v>
      </c>
      <c r="BE1831" s="29" t="s">
        <v>263</v>
      </c>
      <c r="BF1831" s="29" t="s">
        <v>2942</v>
      </c>
      <c r="BG1831" s="29" t="s">
        <v>91</v>
      </c>
      <c r="BH1831" s="29" t="s">
        <v>88</v>
      </c>
      <c r="BI1831" s="29" t="s">
        <v>1438</v>
      </c>
      <c r="BJ1831" s="29"/>
      <c r="BK1831" s="29" t="s">
        <v>148</v>
      </c>
      <c r="BL1831" s="29" t="s">
        <v>148</v>
      </c>
      <c r="BM1831" s="45"/>
      <c r="BN1831" s="45"/>
      <c r="BO1831" s="46"/>
      <c r="BP1831" s="2" t="s">
        <v>2901</v>
      </c>
      <c r="BQ1831" s="3"/>
    </row>
    <row r="1832" ht="15.75" customHeight="1">
      <c r="A1832" s="34">
        <v>1944.0</v>
      </c>
      <c r="B1832" s="34">
        <v>104246.0</v>
      </c>
      <c r="C1832" s="34" t="s">
        <v>76</v>
      </c>
      <c r="D1832" s="34" t="s">
        <v>2933</v>
      </c>
      <c r="E1832" s="34" t="s">
        <v>2934</v>
      </c>
      <c r="F1832" s="34">
        <v>2021.0</v>
      </c>
      <c r="G1832" s="34" t="s">
        <v>2935</v>
      </c>
      <c r="H1832" s="34" t="s">
        <v>816</v>
      </c>
      <c r="I1832" s="34" t="s">
        <v>2936</v>
      </c>
      <c r="J1832" s="35"/>
      <c r="K1832" s="36"/>
      <c r="L1832" s="36">
        <v>389.0</v>
      </c>
      <c r="M1832" s="36"/>
      <c r="N1832" s="36"/>
      <c r="O1832" s="36"/>
      <c r="P1832" s="37">
        <v>-6.0</v>
      </c>
      <c r="Q1832" s="36" t="s">
        <v>1393</v>
      </c>
      <c r="R1832" s="36" t="s">
        <v>96</v>
      </c>
      <c r="S1832" s="36">
        <v>1000.0</v>
      </c>
      <c r="T1832" s="36" t="s">
        <v>245</v>
      </c>
      <c r="U1832" s="36" t="s">
        <v>246</v>
      </c>
      <c r="V1832" s="36">
        <v>126.0</v>
      </c>
      <c r="W1832" s="36"/>
      <c r="X1832" s="38">
        <v>1.0</v>
      </c>
      <c r="Y1832" s="38" t="s">
        <v>2954</v>
      </c>
      <c r="Z1832" s="38" t="s">
        <v>2947</v>
      </c>
      <c r="AA1832" s="38" t="s">
        <v>86</v>
      </c>
      <c r="AB1832" s="38" t="s">
        <v>2948</v>
      </c>
      <c r="AC1832" s="38" t="s">
        <v>2949</v>
      </c>
      <c r="AD1832" s="38" t="s">
        <v>382</v>
      </c>
      <c r="AE1832" s="38"/>
      <c r="AF1832" s="38" t="s">
        <v>525</v>
      </c>
      <c r="AG1832" s="38" t="s">
        <v>2928</v>
      </c>
      <c r="AH1832" s="38"/>
      <c r="AI1832" s="50">
        <v>43.5497</v>
      </c>
      <c r="AJ1832" s="50">
        <v>1.1061</v>
      </c>
      <c r="AK1832" s="41" t="s">
        <v>86</v>
      </c>
      <c r="AL1832" s="40" t="s">
        <v>86</v>
      </c>
      <c r="AM1832" s="49">
        <v>246.0</v>
      </c>
      <c r="AN1832" s="51">
        <v>246.0</v>
      </c>
      <c r="AO1832" s="42" t="s">
        <v>376</v>
      </c>
      <c r="AP1832" s="43" t="s">
        <v>376</v>
      </c>
      <c r="AQ1832" s="44" t="str">
        <f t="shared" si="217"/>
        <v>CRO</v>
      </c>
      <c r="AR1832" s="44">
        <f t="shared" si="199"/>
        <v>246</v>
      </c>
      <c r="AS1832" s="44" t="str">
        <f t="shared" si="222"/>
        <v>C</v>
      </c>
      <c r="AT1832" s="44" t="str">
        <f t="shared" si="202"/>
        <v>Cf</v>
      </c>
      <c r="AU1832" s="44" t="str">
        <f t="shared" si="203"/>
        <v>Cfb</v>
      </c>
      <c r="AV1832" s="38">
        <v>2.0</v>
      </c>
      <c r="AW1832" s="38"/>
      <c r="AX1832" s="38"/>
      <c r="AY1832" s="38"/>
      <c r="AZ1832" s="29">
        <v>1000.0</v>
      </c>
      <c r="BA1832" s="29"/>
      <c r="BB1832" s="29">
        <v>1.0</v>
      </c>
      <c r="BC1832" s="29" t="s">
        <v>2941</v>
      </c>
      <c r="BD1832" s="29" t="s">
        <v>88</v>
      </c>
      <c r="BE1832" s="29" t="s">
        <v>263</v>
      </c>
      <c r="BF1832" s="29" t="s">
        <v>2942</v>
      </c>
      <c r="BG1832" s="29" t="s">
        <v>91</v>
      </c>
      <c r="BH1832" s="29" t="s">
        <v>88</v>
      </c>
      <c r="BI1832" s="29" t="s">
        <v>1438</v>
      </c>
      <c r="BJ1832" s="29"/>
      <c r="BK1832" s="29" t="s">
        <v>148</v>
      </c>
      <c r="BL1832" s="29" t="s">
        <v>148</v>
      </c>
      <c r="BM1832" s="45"/>
      <c r="BN1832" s="45"/>
      <c r="BO1832" s="46"/>
      <c r="BP1832" s="2" t="s">
        <v>2901</v>
      </c>
      <c r="BQ1832" s="3"/>
    </row>
    <row r="1833" ht="15.75" customHeight="1">
      <c r="A1833" s="34">
        <v>1945.0</v>
      </c>
      <c r="B1833" s="34">
        <v>104246.0</v>
      </c>
      <c r="C1833" s="34" t="s">
        <v>76</v>
      </c>
      <c r="D1833" s="34" t="s">
        <v>2933</v>
      </c>
      <c r="E1833" s="34" t="s">
        <v>2934</v>
      </c>
      <c r="F1833" s="34">
        <v>2021.0</v>
      </c>
      <c r="G1833" s="34" t="s">
        <v>2935</v>
      </c>
      <c r="H1833" s="34" t="s">
        <v>816</v>
      </c>
      <c r="I1833" s="34" t="s">
        <v>2936</v>
      </c>
      <c r="J1833" s="35"/>
      <c r="K1833" s="36"/>
      <c r="L1833" s="36">
        <v>531.0</v>
      </c>
      <c r="M1833" s="36"/>
      <c r="N1833" s="36"/>
      <c r="O1833" s="36"/>
      <c r="P1833" s="37">
        <v>-24.0</v>
      </c>
      <c r="Q1833" s="36" t="s">
        <v>1393</v>
      </c>
      <c r="R1833" s="36" t="s">
        <v>96</v>
      </c>
      <c r="S1833" s="36">
        <v>1000.0</v>
      </c>
      <c r="T1833" s="36" t="s">
        <v>837</v>
      </c>
      <c r="U1833" s="36" t="s">
        <v>2955</v>
      </c>
      <c r="V1833" s="36">
        <v>127.0</v>
      </c>
      <c r="W1833" s="36"/>
      <c r="X1833" s="38">
        <v>1.0</v>
      </c>
      <c r="Y1833" s="38" t="s">
        <v>2956</v>
      </c>
      <c r="Z1833" s="38" t="s">
        <v>2947</v>
      </c>
      <c r="AA1833" s="38" t="s">
        <v>86</v>
      </c>
      <c r="AB1833" s="38" t="s">
        <v>2948</v>
      </c>
      <c r="AC1833" s="38" t="s">
        <v>2949</v>
      </c>
      <c r="AD1833" s="38" t="s">
        <v>382</v>
      </c>
      <c r="AE1833" s="38"/>
      <c r="AF1833" s="38" t="s">
        <v>525</v>
      </c>
      <c r="AG1833" s="38" t="s">
        <v>2928</v>
      </c>
      <c r="AH1833" s="38"/>
      <c r="AI1833" s="50">
        <v>43.5497</v>
      </c>
      <c r="AJ1833" s="50">
        <v>1.1061</v>
      </c>
      <c r="AK1833" s="41" t="s">
        <v>86</v>
      </c>
      <c r="AL1833" s="40" t="s">
        <v>86</v>
      </c>
      <c r="AM1833" s="49">
        <v>246.0</v>
      </c>
      <c r="AN1833" s="51">
        <v>246.0</v>
      </c>
      <c r="AO1833" s="42" t="s">
        <v>376</v>
      </c>
      <c r="AP1833" s="43" t="s">
        <v>376</v>
      </c>
      <c r="AQ1833" s="44" t="str">
        <f t="shared" si="217"/>
        <v>CRO</v>
      </c>
      <c r="AR1833" s="44">
        <f t="shared" si="199"/>
        <v>246</v>
      </c>
      <c r="AS1833" s="44" t="str">
        <f t="shared" si="222"/>
        <v>C</v>
      </c>
      <c r="AT1833" s="44" t="str">
        <f t="shared" si="202"/>
        <v>Cf</v>
      </c>
      <c r="AU1833" s="44" t="str">
        <f t="shared" si="203"/>
        <v>Cfb</v>
      </c>
      <c r="AV1833" s="38">
        <v>2.0</v>
      </c>
      <c r="AW1833" s="38"/>
      <c r="AX1833" s="38"/>
      <c r="AY1833" s="38"/>
      <c r="AZ1833" s="29">
        <v>1000.0</v>
      </c>
      <c r="BA1833" s="29"/>
      <c r="BB1833" s="29">
        <v>1.0</v>
      </c>
      <c r="BC1833" s="29" t="s">
        <v>2941</v>
      </c>
      <c r="BD1833" s="29" t="s">
        <v>88</v>
      </c>
      <c r="BE1833" s="29" t="s">
        <v>263</v>
      </c>
      <c r="BF1833" s="29" t="s">
        <v>2942</v>
      </c>
      <c r="BG1833" s="29" t="s">
        <v>91</v>
      </c>
      <c r="BH1833" s="29" t="s">
        <v>88</v>
      </c>
      <c r="BI1833" s="29" t="s">
        <v>1438</v>
      </c>
      <c r="BJ1833" s="29"/>
      <c r="BK1833" s="29" t="s">
        <v>148</v>
      </c>
      <c r="BL1833" s="29" t="s">
        <v>148</v>
      </c>
      <c r="BM1833" s="45"/>
      <c r="BN1833" s="45"/>
      <c r="BO1833" s="46"/>
      <c r="BP1833" s="2" t="s">
        <v>2901</v>
      </c>
      <c r="BQ1833" s="3"/>
    </row>
    <row r="1834" ht="15.75" customHeight="1">
      <c r="A1834" s="34">
        <v>1946.0</v>
      </c>
      <c r="B1834" s="34">
        <v>104246.0</v>
      </c>
      <c r="C1834" s="34" t="s">
        <v>76</v>
      </c>
      <c r="D1834" s="34" t="s">
        <v>2933</v>
      </c>
      <c r="E1834" s="34" t="s">
        <v>2934</v>
      </c>
      <c r="F1834" s="34">
        <v>2021.0</v>
      </c>
      <c r="G1834" s="34" t="s">
        <v>2935</v>
      </c>
      <c r="H1834" s="34" t="s">
        <v>816</v>
      </c>
      <c r="I1834" s="34" t="s">
        <v>2936</v>
      </c>
      <c r="J1834" s="35"/>
      <c r="K1834" s="36"/>
      <c r="L1834" s="36">
        <v>233.0</v>
      </c>
      <c r="M1834" s="36"/>
      <c r="N1834" s="36"/>
      <c r="O1834" s="36"/>
      <c r="P1834" s="37">
        <v>23.0</v>
      </c>
      <c r="Q1834" s="36" t="s">
        <v>1393</v>
      </c>
      <c r="R1834" s="36" t="s">
        <v>96</v>
      </c>
      <c r="S1834" s="36">
        <v>1000.0</v>
      </c>
      <c r="T1834" s="36" t="s">
        <v>317</v>
      </c>
      <c r="U1834" s="36" t="s">
        <v>194</v>
      </c>
      <c r="V1834" s="36">
        <v>160.0</v>
      </c>
      <c r="W1834" s="36"/>
      <c r="X1834" s="38">
        <v>1.0</v>
      </c>
      <c r="Y1834" s="38" t="s">
        <v>2957</v>
      </c>
      <c r="Z1834" s="38" t="s">
        <v>2958</v>
      </c>
      <c r="AA1834" s="38" t="s">
        <v>86</v>
      </c>
      <c r="AB1834" s="38" t="s">
        <v>2959</v>
      </c>
      <c r="AC1834" s="38" t="s">
        <v>2960</v>
      </c>
      <c r="AD1834" s="38" t="s">
        <v>382</v>
      </c>
      <c r="AE1834" s="38">
        <v>32.0</v>
      </c>
      <c r="AF1834" s="38" t="s">
        <v>2961</v>
      </c>
      <c r="AG1834" s="38" t="s">
        <v>2928</v>
      </c>
      <c r="AH1834" s="38"/>
      <c r="AI1834" s="50">
        <v>43.92</v>
      </c>
      <c r="AJ1834" s="50">
        <v>4.88</v>
      </c>
      <c r="AK1834" s="41" t="s">
        <v>505</v>
      </c>
      <c r="AL1834" s="40" t="s">
        <v>505</v>
      </c>
      <c r="AM1834" s="49">
        <v>71.0</v>
      </c>
      <c r="AN1834" s="51">
        <v>71.0</v>
      </c>
      <c r="AO1834" s="42" t="s">
        <v>175</v>
      </c>
      <c r="AP1834" s="43" t="s">
        <v>175</v>
      </c>
      <c r="AQ1834" s="44" t="str">
        <f t="shared" si="217"/>
        <v>CRO</v>
      </c>
      <c r="AR1834" s="44">
        <f t="shared" si="199"/>
        <v>71</v>
      </c>
      <c r="AS1834" s="44" t="str">
        <f t="shared" si="222"/>
        <v>C</v>
      </c>
      <c r="AT1834" s="44" t="str">
        <f t="shared" si="202"/>
        <v>Cs</v>
      </c>
      <c r="AU1834" s="44" t="str">
        <f t="shared" si="203"/>
        <v>Csa</v>
      </c>
      <c r="AV1834" s="38">
        <v>2.0</v>
      </c>
      <c r="AW1834" s="38"/>
      <c r="AX1834" s="38"/>
      <c r="AY1834" s="38"/>
      <c r="AZ1834" s="29">
        <v>1000.0</v>
      </c>
      <c r="BA1834" s="29"/>
      <c r="BB1834" s="29">
        <v>1.0</v>
      </c>
      <c r="BC1834" s="29" t="s">
        <v>2941</v>
      </c>
      <c r="BD1834" s="29" t="s">
        <v>88</v>
      </c>
      <c r="BE1834" s="29" t="s">
        <v>263</v>
      </c>
      <c r="BF1834" s="29" t="s">
        <v>2942</v>
      </c>
      <c r="BG1834" s="29" t="s">
        <v>91</v>
      </c>
      <c r="BH1834" s="29" t="s">
        <v>88</v>
      </c>
      <c r="BI1834" s="29" t="s">
        <v>1438</v>
      </c>
      <c r="BJ1834" s="29"/>
      <c r="BK1834" s="29" t="s">
        <v>148</v>
      </c>
      <c r="BL1834" s="29" t="s">
        <v>148</v>
      </c>
      <c r="BM1834" s="45"/>
      <c r="BN1834" s="45"/>
      <c r="BO1834" s="46"/>
      <c r="BP1834" s="2" t="s">
        <v>2901</v>
      </c>
      <c r="BQ1834" s="3"/>
    </row>
    <row r="1835" ht="15.75" customHeight="1">
      <c r="A1835" s="34">
        <v>1947.0</v>
      </c>
      <c r="B1835" s="34">
        <v>104246.0</v>
      </c>
      <c r="C1835" s="34" t="s">
        <v>76</v>
      </c>
      <c r="D1835" s="34" t="s">
        <v>2933</v>
      </c>
      <c r="E1835" s="34" t="s">
        <v>2934</v>
      </c>
      <c r="F1835" s="34">
        <v>2021.0</v>
      </c>
      <c r="G1835" s="34" t="s">
        <v>2935</v>
      </c>
      <c r="H1835" s="34" t="s">
        <v>816</v>
      </c>
      <c r="I1835" s="34" t="s">
        <v>2936</v>
      </c>
      <c r="J1835" s="35"/>
      <c r="K1835" s="36"/>
      <c r="L1835" s="36">
        <v>375.0</v>
      </c>
      <c r="M1835" s="36"/>
      <c r="N1835" s="36"/>
      <c r="O1835" s="36"/>
      <c r="P1835" s="37">
        <v>14.0</v>
      </c>
      <c r="Q1835" s="36" t="s">
        <v>1393</v>
      </c>
      <c r="R1835" s="36" t="s">
        <v>96</v>
      </c>
      <c r="S1835" s="36">
        <v>1000.0</v>
      </c>
      <c r="T1835" s="36" t="s">
        <v>341</v>
      </c>
      <c r="U1835" s="36" t="s">
        <v>285</v>
      </c>
      <c r="V1835" s="36">
        <v>246.0</v>
      </c>
      <c r="W1835" s="36"/>
      <c r="X1835" s="38">
        <v>1.0</v>
      </c>
      <c r="Y1835" s="38" t="s">
        <v>2962</v>
      </c>
      <c r="Z1835" s="38" t="s">
        <v>2958</v>
      </c>
      <c r="AA1835" s="38" t="s">
        <v>86</v>
      </c>
      <c r="AB1835" s="38" t="s">
        <v>2959</v>
      </c>
      <c r="AC1835" s="38" t="s">
        <v>2960</v>
      </c>
      <c r="AD1835" s="38" t="s">
        <v>382</v>
      </c>
      <c r="AE1835" s="38">
        <v>32.0</v>
      </c>
      <c r="AF1835" s="38" t="s">
        <v>2316</v>
      </c>
      <c r="AG1835" s="38" t="s">
        <v>2928</v>
      </c>
      <c r="AH1835" s="38"/>
      <c r="AI1835" s="50">
        <v>43.92</v>
      </c>
      <c r="AJ1835" s="50">
        <v>4.88</v>
      </c>
      <c r="AK1835" s="41" t="s">
        <v>505</v>
      </c>
      <c r="AL1835" s="40" t="s">
        <v>505</v>
      </c>
      <c r="AM1835" s="49">
        <v>71.0</v>
      </c>
      <c r="AN1835" s="51">
        <v>71.0</v>
      </c>
      <c r="AO1835" s="42" t="s">
        <v>175</v>
      </c>
      <c r="AP1835" s="43" t="s">
        <v>175</v>
      </c>
      <c r="AQ1835" s="44" t="str">
        <f t="shared" si="217"/>
        <v>CRO</v>
      </c>
      <c r="AR1835" s="44">
        <f t="shared" si="199"/>
        <v>71</v>
      </c>
      <c r="AS1835" s="44" t="str">
        <f t="shared" si="222"/>
        <v>C</v>
      </c>
      <c r="AT1835" s="44" t="str">
        <f t="shared" si="202"/>
        <v>Cs</v>
      </c>
      <c r="AU1835" s="44" t="str">
        <f t="shared" si="203"/>
        <v>Csa</v>
      </c>
      <c r="AV1835" s="38">
        <v>2.0</v>
      </c>
      <c r="AW1835" s="38"/>
      <c r="AX1835" s="38"/>
      <c r="AY1835" s="38"/>
      <c r="AZ1835" s="29">
        <v>1000.0</v>
      </c>
      <c r="BA1835" s="29"/>
      <c r="BB1835" s="29">
        <v>1.0</v>
      </c>
      <c r="BC1835" s="29" t="s">
        <v>2941</v>
      </c>
      <c r="BD1835" s="29" t="s">
        <v>88</v>
      </c>
      <c r="BE1835" s="29" t="s">
        <v>263</v>
      </c>
      <c r="BF1835" s="29" t="s">
        <v>2942</v>
      </c>
      <c r="BG1835" s="29" t="s">
        <v>91</v>
      </c>
      <c r="BH1835" s="29" t="s">
        <v>88</v>
      </c>
      <c r="BI1835" s="29" t="s">
        <v>1438</v>
      </c>
      <c r="BJ1835" s="29"/>
      <c r="BK1835" s="29" t="s">
        <v>148</v>
      </c>
      <c r="BL1835" s="29" t="s">
        <v>148</v>
      </c>
      <c r="BM1835" s="45"/>
      <c r="BN1835" s="45"/>
      <c r="BO1835" s="46"/>
      <c r="BP1835" s="2" t="s">
        <v>2901</v>
      </c>
      <c r="BQ1835" s="3"/>
    </row>
    <row r="1836" ht="15.75" customHeight="1">
      <c r="A1836" s="34">
        <v>1948.0</v>
      </c>
      <c r="B1836" s="34">
        <v>104246.0</v>
      </c>
      <c r="C1836" s="34" t="s">
        <v>76</v>
      </c>
      <c r="D1836" s="34" t="s">
        <v>2933</v>
      </c>
      <c r="E1836" s="34" t="s">
        <v>2934</v>
      </c>
      <c r="F1836" s="34">
        <v>2021.0</v>
      </c>
      <c r="G1836" s="34" t="s">
        <v>2935</v>
      </c>
      <c r="H1836" s="34" t="s">
        <v>816</v>
      </c>
      <c r="I1836" s="34" t="s">
        <v>2936</v>
      </c>
      <c r="J1836" s="35"/>
      <c r="K1836" s="36"/>
      <c r="L1836" s="36">
        <v>386.0</v>
      </c>
      <c r="M1836" s="36"/>
      <c r="N1836" s="36"/>
      <c r="O1836" s="36"/>
      <c r="P1836" s="37">
        <v>1.0</v>
      </c>
      <c r="Q1836" s="36" t="s">
        <v>1393</v>
      </c>
      <c r="R1836" s="36" t="s">
        <v>96</v>
      </c>
      <c r="S1836" s="36">
        <v>1000.0</v>
      </c>
      <c r="T1836" s="36" t="s">
        <v>350</v>
      </c>
      <c r="U1836" s="36" t="s">
        <v>342</v>
      </c>
      <c r="V1836" s="36">
        <v>161.0</v>
      </c>
      <c r="W1836" s="36"/>
      <c r="X1836" s="38">
        <v>1.0</v>
      </c>
      <c r="Y1836" s="38" t="s">
        <v>2963</v>
      </c>
      <c r="Z1836" s="38" t="s">
        <v>2958</v>
      </c>
      <c r="AA1836" s="38" t="s">
        <v>86</v>
      </c>
      <c r="AB1836" s="38" t="s">
        <v>2959</v>
      </c>
      <c r="AC1836" s="38" t="s">
        <v>2960</v>
      </c>
      <c r="AD1836" s="38" t="s">
        <v>382</v>
      </c>
      <c r="AE1836" s="38">
        <v>32.0</v>
      </c>
      <c r="AF1836" s="38" t="s">
        <v>2964</v>
      </c>
      <c r="AG1836" s="38" t="s">
        <v>2928</v>
      </c>
      <c r="AH1836" s="38"/>
      <c r="AI1836" s="50">
        <v>43.92</v>
      </c>
      <c r="AJ1836" s="50">
        <v>4.88</v>
      </c>
      <c r="AK1836" s="41" t="s">
        <v>505</v>
      </c>
      <c r="AL1836" s="40" t="s">
        <v>505</v>
      </c>
      <c r="AM1836" s="49">
        <v>71.0</v>
      </c>
      <c r="AN1836" s="51">
        <v>71.0</v>
      </c>
      <c r="AO1836" s="42" t="s">
        <v>175</v>
      </c>
      <c r="AP1836" s="43" t="s">
        <v>175</v>
      </c>
      <c r="AQ1836" s="44" t="str">
        <f t="shared" si="217"/>
        <v>CRO</v>
      </c>
      <c r="AR1836" s="44">
        <f t="shared" si="199"/>
        <v>71</v>
      </c>
      <c r="AS1836" s="44" t="str">
        <f t="shared" si="222"/>
        <v>C</v>
      </c>
      <c r="AT1836" s="44" t="str">
        <f t="shared" si="202"/>
        <v>Cs</v>
      </c>
      <c r="AU1836" s="44" t="str">
        <f t="shared" si="203"/>
        <v>Csa</v>
      </c>
      <c r="AV1836" s="38">
        <v>2.0</v>
      </c>
      <c r="AW1836" s="38"/>
      <c r="AX1836" s="38"/>
      <c r="AY1836" s="38"/>
      <c r="AZ1836" s="29">
        <v>1000.0</v>
      </c>
      <c r="BA1836" s="29"/>
      <c r="BB1836" s="29">
        <v>1.0</v>
      </c>
      <c r="BC1836" s="29" t="s">
        <v>2941</v>
      </c>
      <c r="BD1836" s="29" t="s">
        <v>88</v>
      </c>
      <c r="BE1836" s="29" t="s">
        <v>263</v>
      </c>
      <c r="BF1836" s="29" t="s">
        <v>2942</v>
      </c>
      <c r="BG1836" s="29" t="s">
        <v>91</v>
      </c>
      <c r="BH1836" s="29" t="s">
        <v>88</v>
      </c>
      <c r="BI1836" s="29" t="s">
        <v>1438</v>
      </c>
      <c r="BJ1836" s="29"/>
      <c r="BK1836" s="29" t="s">
        <v>148</v>
      </c>
      <c r="BL1836" s="29" t="s">
        <v>148</v>
      </c>
      <c r="BM1836" s="45"/>
      <c r="BN1836" s="45"/>
      <c r="BO1836" s="46"/>
      <c r="BP1836" s="2" t="s">
        <v>2901</v>
      </c>
      <c r="BQ1836" s="3"/>
    </row>
    <row r="1837" ht="15.75" customHeight="1">
      <c r="A1837" s="34">
        <v>1949.0</v>
      </c>
      <c r="B1837" s="34">
        <v>104246.0</v>
      </c>
      <c r="C1837" s="34" t="s">
        <v>76</v>
      </c>
      <c r="D1837" s="34" t="s">
        <v>2933</v>
      </c>
      <c r="E1837" s="34" t="s">
        <v>2934</v>
      </c>
      <c r="F1837" s="34">
        <v>2021.0</v>
      </c>
      <c r="G1837" s="34" t="s">
        <v>2935</v>
      </c>
      <c r="H1837" s="34" t="s">
        <v>816</v>
      </c>
      <c r="I1837" s="34" t="s">
        <v>2936</v>
      </c>
      <c r="J1837" s="35"/>
      <c r="K1837" s="36"/>
      <c r="L1837" s="36">
        <v>424.0</v>
      </c>
      <c r="M1837" s="36"/>
      <c r="N1837" s="36"/>
      <c r="O1837" s="36"/>
      <c r="P1837" s="37">
        <v>-13.0</v>
      </c>
      <c r="Q1837" s="36" t="s">
        <v>1393</v>
      </c>
      <c r="R1837" s="36" t="s">
        <v>96</v>
      </c>
      <c r="S1837" s="36">
        <v>1000.0</v>
      </c>
      <c r="T1837" s="36" t="s">
        <v>506</v>
      </c>
      <c r="U1837" s="36" t="s">
        <v>676</v>
      </c>
      <c r="V1837" s="36">
        <v>231.0</v>
      </c>
      <c r="W1837" s="36"/>
      <c r="X1837" s="38">
        <v>1.0</v>
      </c>
      <c r="Y1837" s="38" t="s">
        <v>2965</v>
      </c>
      <c r="Z1837" s="38" t="s">
        <v>2958</v>
      </c>
      <c r="AA1837" s="38" t="s">
        <v>86</v>
      </c>
      <c r="AB1837" s="38" t="s">
        <v>2959</v>
      </c>
      <c r="AC1837" s="38" t="s">
        <v>2960</v>
      </c>
      <c r="AD1837" s="38" t="s">
        <v>382</v>
      </c>
      <c r="AE1837" s="38">
        <v>32.0</v>
      </c>
      <c r="AF1837" s="38" t="s">
        <v>2316</v>
      </c>
      <c r="AG1837" s="38" t="s">
        <v>2928</v>
      </c>
      <c r="AH1837" s="38"/>
      <c r="AI1837" s="50">
        <v>43.92</v>
      </c>
      <c r="AJ1837" s="50">
        <v>4.88</v>
      </c>
      <c r="AK1837" s="41" t="s">
        <v>505</v>
      </c>
      <c r="AL1837" s="40" t="s">
        <v>505</v>
      </c>
      <c r="AM1837" s="49">
        <v>71.0</v>
      </c>
      <c r="AN1837" s="51">
        <v>71.0</v>
      </c>
      <c r="AO1837" s="42" t="s">
        <v>175</v>
      </c>
      <c r="AP1837" s="43" t="s">
        <v>175</v>
      </c>
      <c r="AQ1837" s="44" t="str">
        <f t="shared" si="217"/>
        <v>CRO</v>
      </c>
      <c r="AR1837" s="44">
        <f t="shared" si="199"/>
        <v>71</v>
      </c>
      <c r="AS1837" s="44" t="str">
        <f t="shared" si="222"/>
        <v>C</v>
      </c>
      <c r="AT1837" s="44" t="str">
        <f t="shared" si="202"/>
        <v>Cs</v>
      </c>
      <c r="AU1837" s="44" t="str">
        <f t="shared" si="203"/>
        <v>Csa</v>
      </c>
      <c r="AV1837" s="38">
        <v>2.0</v>
      </c>
      <c r="AW1837" s="38"/>
      <c r="AX1837" s="38"/>
      <c r="AY1837" s="38"/>
      <c r="AZ1837" s="29">
        <v>1000.0</v>
      </c>
      <c r="BA1837" s="29"/>
      <c r="BB1837" s="29">
        <v>1.0</v>
      </c>
      <c r="BC1837" s="29" t="s">
        <v>2941</v>
      </c>
      <c r="BD1837" s="29" t="s">
        <v>88</v>
      </c>
      <c r="BE1837" s="29" t="s">
        <v>263</v>
      </c>
      <c r="BF1837" s="29" t="s">
        <v>2942</v>
      </c>
      <c r="BG1837" s="29" t="s">
        <v>91</v>
      </c>
      <c r="BH1837" s="29" t="s">
        <v>88</v>
      </c>
      <c r="BI1837" s="29" t="s">
        <v>1438</v>
      </c>
      <c r="BJ1837" s="29"/>
      <c r="BK1837" s="29" t="s">
        <v>148</v>
      </c>
      <c r="BL1837" s="29" t="s">
        <v>148</v>
      </c>
      <c r="BM1837" s="45"/>
      <c r="BN1837" s="45"/>
      <c r="BO1837" s="46"/>
      <c r="BP1837" s="2"/>
      <c r="BQ1837" s="3"/>
    </row>
    <row r="1838" ht="15.75" customHeight="1">
      <c r="A1838" s="34">
        <v>1950.0</v>
      </c>
      <c r="B1838" s="34">
        <v>104246.0</v>
      </c>
      <c r="C1838" s="34" t="s">
        <v>76</v>
      </c>
      <c r="D1838" s="34" t="s">
        <v>2933</v>
      </c>
      <c r="E1838" s="34" t="s">
        <v>2934</v>
      </c>
      <c r="F1838" s="34">
        <v>2021.0</v>
      </c>
      <c r="G1838" s="34" t="s">
        <v>2935</v>
      </c>
      <c r="H1838" s="34" t="s">
        <v>816</v>
      </c>
      <c r="I1838" s="34" t="s">
        <v>2936</v>
      </c>
      <c r="J1838" s="35"/>
      <c r="K1838" s="36"/>
      <c r="L1838" s="36">
        <v>303.0</v>
      </c>
      <c r="M1838" s="36"/>
      <c r="N1838" s="36"/>
      <c r="O1838" s="36"/>
      <c r="P1838" s="37">
        <v>22.0</v>
      </c>
      <c r="Q1838" s="36" t="s">
        <v>1393</v>
      </c>
      <c r="R1838" s="36" t="s">
        <v>96</v>
      </c>
      <c r="S1838" s="36">
        <v>1000.0</v>
      </c>
      <c r="T1838" s="36" t="s">
        <v>242</v>
      </c>
      <c r="U1838" s="36" t="s">
        <v>243</v>
      </c>
      <c r="V1838" s="36">
        <v>248.0</v>
      </c>
      <c r="W1838" s="36"/>
      <c r="X1838" s="38">
        <v>1.0</v>
      </c>
      <c r="Y1838" s="38" t="s">
        <v>2966</v>
      </c>
      <c r="Z1838" s="38" t="s">
        <v>2958</v>
      </c>
      <c r="AA1838" s="38" t="s">
        <v>86</v>
      </c>
      <c r="AB1838" s="38" t="s">
        <v>2959</v>
      </c>
      <c r="AC1838" s="38" t="s">
        <v>2960</v>
      </c>
      <c r="AD1838" s="38" t="s">
        <v>382</v>
      </c>
      <c r="AE1838" s="38">
        <v>32.0</v>
      </c>
      <c r="AF1838" s="38" t="s">
        <v>2316</v>
      </c>
      <c r="AG1838" s="38" t="s">
        <v>2928</v>
      </c>
      <c r="AH1838" s="38"/>
      <c r="AI1838" s="50">
        <v>43.92</v>
      </c>
      <c r="AJ1838" s="50">
        <v>4.88</v>
      </c>
      <c r="AK1838" s="41" t="s">
        <v>505</v>
      </c>
      <c r="AL1838" s="40" t="s">
        <v>505</v>
      </c>
      <c r="AM1838" s="49">
        <v>71.0</v>
      </c>
      <c r="AN1838" s="51">
        <v>71.0</v>
      </c>
      <c r="AO1838" s="42" t="s">
        <v>175</v>
      </c>
      <c r="AP1838" s="43" t="s">
        <v>175</v>
      </c>
      <c r="AQ1838" s="44" t="str">
        <f t="shared" si="217"/>
        <v>CRO</v>
      </c>
      <c r="AR1838" s="44">
        <f t="shared" si="199"/>
        <v>71</v>
      </c>
      <c r="AS1838" s="44" t="str">
        <f t="shared" si="222"/>
        <v>C</v>
      </c>
      <c r="AT1838" s="44" t="str">
        <f t="shared" si="202"/>
        <v>Cs</v>
      </c>
      <c r="AU1838" s="44" t="str">
        <f t="shared" si="203"/>
        <v>Csa</v>
      </c>
      <c r="AV1838" s="38">
        <v>2.0</v>
      </c>
      <c r="AW1838" s="38"/>
      <c r="AX1838" s="38"/>
      <c r="AY1838" s="38"/>
      <c r="AZ1838" s="29">
        <v>1000.0</v>
      </c>
      <c r="BA1838" s="29"/>
      <c r="BB1838" s="29">
        <v>1.0</v>
      </c>
      <c r="BC1838" s="29" t="s">
        <v>2941</v>
      </c>
      <c r="BD1838" s="29" t="s">
        <v>88</v>
      </c>
      <c r="BE1838" s="29" t="s">
        <v>263</v>
      </c>
      <c r="BF1838" s="29" t="s">
        <v>2942</v>
      </c>
      <c r="BG1838" s="29" t="s">
        <v>91</v>
      </c>
      <c r="BH1838" s="29" t="s">
        <v>88</v>
      </c>
      <c r="BI1838" s="29" t="s">
        <v>1438</v>
      </c>
      <c r="BJ1838" s="29"/>
      <c r="BK1838" s="29" t="s">
        <v>148</v>
      </c>
      <c r="BL1838" s="29" t="s">
        <v>148</v>
      </c>
      <c r="BM1838" s="45"/>
      <c r="BN1838" s="45"/>
      <c r="BO1838" s="46"/>
      <c r="BP1838" s="2" t="s">
        <v>2967</v>
      </c>
      <c r="BQ1838" s="3"/>
    </row>
    <row r="1839" ht="15.75" customHeight="1">
      <c r="A1839" s="34">
        <v>1951.0</v>
      </c>
      <c r="B1839" s="34">
        <v>104246.0</v>
      </c>
      <c r="C1839" s="34" t="s">
        <v>76</v>
      </c>
      <c r="D1839" s="34" t="s">
        <v>2933</v>
      </c>
      <c r="E1839" s="34" t="s">
        <v>2934</v>
      </c>
      <c r="F1839" s="34">
        <v>2021.0</v>
      </c>
      <c r="G1839" s="34" t="s">
        <v>2935</v>
      </c>
      <c r="H1839" s="34" t="s">
        <v>816</v>
      </c>
      <c r="I1839" s="34" t="s">
        <v>2936</v>
      </c>
      <c r="J1839" s="35"/>
      <c r="K1839" s="36"/>
      <c r="L1839" s="36">
        <v>339.0</v>
      </c>
      <c r="M1839" s="36"/>
      <c r="N1839" s="36"/>
      <c r="O1839" s="36"/>
      <c r="P1839" s="37">
        <v>26.0</v>
      </c>
      <c r="Q1839" s="36" t="s">
        <v>1393</v>
      </c>
      <c r="R1839" s="36" t="s">
        <v>96</v>
      </c>
      <c r="S1839" s="36">
        <v>1000.0</v>
      </c>
      <c r="T1839" s="36" t="s">
        <v>536</v>
      </c>
      <c r="U1839" s="36" t="s">
        <v>351</v>
      </c>
      <c r="V1839" s="36">
        <v>275.0</v>
      </c>
      <c r="W1839" s="36"/>
      <c r="X1839" s="38">
        <v>1.0</v>
      </c>
      <c r="Y1839" s="38" t="s">
        <v>2968</v>
      </c>
      <c r="Z1839" s="38" t="s">
        <v>2969</v>
      </c>
      <c r="AA1839" s="38" t="s">
        <v>86</v>
      </c>
      <c r="AB1839" s="38" t="s">
        <v>2970</v>
      </c>
      <c r="AC1839" s="38" t="s">
        <v>2971</v>
      </c>
      <c r="AD1839" s="38" t="s">
        <v>2972</v>
      </c>
      <c r="AE1839" s="38"/>
      <c r="AF1839" s="38" t="s">
        <v>2973</v>
      </c>
      <c r="AG1839" s="38" t="s">
        <v>2974</v>
      </c>
      <c r="AH1839" s="38"/>
      <c r="AI1839" s="50">
        <v>13.6</v>
      </c>
      <c r="AJ1839" s="50">
        <v>2.6</v>
      </c>
      <c r="AK1839" s="41" t="s">
        <v>288</v>
      </c>
      <c r="AL1839" s="40" t="s">
        <v>288</v>
      </c>
      <c r="AM1839" s="49">
        <v>228.0</v>
      </c>
      <c r="AN1839" s="51">
        <v>228.0</v>
      </c>
      <c r="AO1839" s="42" t="s">
        <v>355</v>
      </c>
      <c r="AP1839" s="43" t="s">
        <v>355</v>
      </c>
      <c r="AQ1839" s="44" t="str">
        <f t="shared" si="217"/>
        <v>CRO</v>
      </c>
      <c r="AR1839" s="44">
        <f t="shared" si="199"/>
        <v>228</v>
      </c>
      <c r="AS1839" s="44" t="str">
        <f t="shared" si="222"/>
        <v>B</v>
      </c>
      <c r="AT1839" s="44" t="str">
        <f t="shared" si="202"/>
        <v>BW</v>
      </c>
      <c r="AU1839" s="44" t="str">
        <f t="shared" si="203"/>
        <v>BWh</v>
      </c>
      <c r="AV1839" s="38">
        <v>2.0</v>
      </c>
      <c r="AW1839" s="38"/>
      <c r="AX1839" s="38"/>
      <c r="AY1839" s="38"/>
      <c r="AZ1839" s="29">
        <v>1000.0</v>
      </c>
      <c r="BA1839" s="29"/>
      <c r="BB1839" s="29">
        <v>1.0</v>
      </c>
      <c r="BC1839" s="29" t="s">
        <v>2941</v>
      </c>
      <c r="BD1839" s="29" t="s">
        <v>88</v>
      </c>
      <c r="BE1839" s="29" t="s">
        <v>263</v>
      </c>
      <c r="BF1839" s="29" t="s">
        <v>2942</v>
      </c>
      <c r="BG1839" s="29" t="s">
        <v>91</v>
      </c>
      <c r="BH1839" s="29" t="s">
        <v>88</v>
      </c>
      <c r="BI1839" s="29" t="s">
        <v>1438</v>
      </c>
      <c r="BJ1839" s="29"/>
      <c r="BK1839" s="29" t="s">
        <v>148</v>
      </c>
      <c r="BL1839" s="29" t="s">
        <v>148</v>
      </c>
      <c r="BM1839" s="45"/>
      <c r="BN1839" s="45"/>
      <c r="BO1839" s="46"/>
      <c r="BP1839" s="2" t="s">
        <v>2967</v>
      </c>
      <c r="BQ1839" s="3"/>
    </row>
    <row r="1840" ht="15.75" customHeight="1">
      <c r="A1840" s="34">
        <v>1952.0</v>
      </c>
      <c r="B1840" s="34">
        <v>104246.0</v>
      </c>
      <c r="C1840" s="34" t="s">
        <v>76</v>
      </c>
      <c r="D1840" s="34" t="s">
        <v>2933</v>
      </c>
      <c r="E1840" s="34" t="s">
        <v>2934</v>
      </c>
      <c r="F1840" s="34">
        <v>2021.0</v>
      </c>
      <c r="G1840" s="34" t="s">
        <v>2935</v>
      </c>
      <c r="H1840" s="34" t="s">
        <v>816</v>
      </c>
      <c r="I1840" s="34" t="s">
        <v>2936</v>
      </c>
      <c r="J1840" s="35"/>
      <c r="K1840" s="36"/>
      <c r="L1840" s="36">
        <v>335.0</v>
      </c>
      <c r="M1840" s="36"/>
      <c r="N1840" s="36"/>
      <c r="O1840" s="36"/>
      <c r="P1840" s="37">
        <v>-15.0</v>
      </c>
      <c r="Q1840" s="36" t="s">
        <v>1393</v>
      </c>
      <c r="R1840" s="36" t="s">
        <v>96</v>
      </c>
      <c r="S1840" s="36">
        <v>1000.0</v>
      </c>
      <c r="T1840" s="36" t="s">
        <v>536</v>
      </c>
      <c r="U1840" s="36" t="s">
        <v>351</v>
      </c>
      <c r="V1840" s="36">
        <v>262.0</v>
      </c>
      <c r="W1840" s="36"/>
      <c r="X1840" s="38">
        <v>1.0</v>
      </c>
      <c r="Y1840" s="38" t="s">
        <v>2975</v>
      </c>
      <c r="Z1840" s="38" t="s">
        <v>2969</v>
      </c>
      <c r="AA1840" s="38" t="s">
        <v>313</v>
      </c>
      <c r="AB1840" s="38" t="s">
        <v>2970</v>
      </c>
      <c r="AC1840" s="38" t="s">
        <v>2971</v>
      </c>
      <c r="AD1840" s="38" t="s">
        <v>2972</v>
      </c>
      <c r="AE1840" s="38"/>
      <c r="AF1840" s="38"/>
      <c r="AG1840" s="38" t="s">
        <v>2974</v>
      </c>
      <c r="AH1840" s="38"/>
      <c r="AI1840" s="50">
        <v>13.6</v>
      </c>
      <c r="AJ1840" s="50">
        <v>2.6</v>
      </c>
      <c r="AK1840" s="41" t="s">
        <v>288</v>
      </c>
      <c r="AL1840" s="40" t="s">
        <v>288</v>
      </c>
      <c r="AM1840" s="49">
        <v>228.0</v>
      </c>
      <c r="AN1840" s="51">
        <v>228.0</v>
      </c>
      <c r="AO1840" s="42" t="s">
        <v>355</v>
      </c>
      <c r="AP1840" s="43" t="s">
        <v>355</v>
      </c>
      <c r="AQ1840" s="44" t="str">
        <f t="shared" si="217"/>
        <v>SAV</v>
      </c>
      <c r="AR1840" s="44">
        <f t="shared" si="199"/>
        <v>228</v>
      </c>
      <c r="AS1840" s="44" t="str">
        <f t="shared" si="222"/>
        <v>B</v>
      </c>
      <c r="AT1840" s="44" t="str">
        <f t="shared" si="202"/>
        <v>BW</v>
      </c>
      <c r="AU1840" s="44" t="str">
        <f t="shared" si="203"/>
        <v>BWh</v>
      </c>
      <c r="AV1840" s="38">
        <v>2.0</v>
      </c>
      <c r="AW1840" s="38"/>
      <c r="AX1840" s="38"/>
      <c r="AY1840" s="38"/>
      <c r="AZ1840" s="29">
        <v>1000.0</v>
      </c>
      <c r="BA1840" s="29"/>
      <c r="BB1840" s="29">
        <v>1.0</v>
      </c>
      <c r="BC1840" s="29" t="s">
        <v>2941</v>
      </c>
      <c r="BD1840" s="29" t="s">
        <v>88</v>
      </c>
      <c r="BE1840" s="29" t="s">
        <v>263</v>
      </c>
      <c r="BF1840" s="29" t="s">
        <v>2942</v>
      </c>
      <c r="BG1840" s="29" t="s">
        <v>91</v>
      </c>
      <c r="BH1840" s="29" t="s">
        <v>88</v>
      </c>
      <c r="BI1840" s="29" t="s">
        <v>1438</v>
      </c>
      <c r="BJ1840" s="29"/>
      <c r="BK1840" s="29" t="s">
        <v>148</v>
      </c>
      <c r="BL1840" s="29" t="s">
        <v>148</v>
      </c>
      <c r="BM1840" s="45"/>
      <c r="BN1840" s="45"/>
      <c r="BO1840" s="46"/>
      <c r="BP1840" s="2" t="s">
        <v>2967</v>
      </c>
      <c r="BQ1840" s="3"/>
    </row>
    <row r="1841" ht="15.75" customHeight="1">
      <c r="A1841" s="34">
        <v>1953.0</v>
      </c>
      <c r="B1841" s="34">
        <v>104246.0</v>
      </c>
      <c r="C1841" s="34" t="s">
        <v>76</v>
      </c>
      <c r="D1841" s="34" t="s">
        <v>2933</v>
      </c>
      <c r="E1841" s="34" t="s">
        <v>2934</v>
      </c>
      <c r="F1841" s="34">
        <v>2021.0</v>
      </c>
      <c r="G1841" s="34" t="s">
        <v>2935</v>
      </c>
      <c r="H1841" s="34" t="s">
        <v>816</v>
      </c>
      <c r="I1841" s="34" t="s">
        <v>2936</v>
      </c>
      <c r="J1841" s="35"/>
      <c r="K1841" s="36"/>
      <c r="L1841" s="36">
        <v>265.0</v>
      </c>
      <c r="M1841" s="36"/>
      <c r="N1841" s="36"/>
      <c r="O1841" s="36"/>
      <c r="P1841" s="37">
        <v>-5.0</v>
      </c>
      <c r="Q1841" s="36" t="s">
        <v>1393</v>
      </c>
      <c r="R1841" s="36" t="s">
        <v>96</v>
      </c>
      <c r="S1841" s="36">
        <v>1000.0</v>
      </c>
      <c r="T1841" s="36" t="s">
        <v>242</v>
      </c>
      <c r="U1841" s="36" t="s">
        <v>243</v>
      </c>
      <c r="V1841" s="36">
        <f>167+241</f>
        <v>408</v>
      </c>
      <c r="W1841" s="36"/>
      <c r="X1841" s="38">
        <v>1.0</v>
      </c>
      <c r="Y1841" s="38" t="s">
        <v>2976</v>
      </c>
      <c r="Z1841" s="38" t="s">
        <v>2977</v>
      </c>
      <c r="AA1841" s="38" t="s">
        <v>86</v>
      </c>
      <c r="AB1841" s="38" t="s">
        <v>2978</v>
      </c>
      <c r="AC1841" s="38" t="s">
        <v>2979</v>
      </c>
      <c r="AD1841" s="38" t="s">
        <v>2980</v>
      </c>
      <c r="AE1841" s="38"/>
      <c r="AF1841" s="38" t="s">
        <v>2316</v>
      </c>
      <c r="AG1841" s="38" t="s">
        <v>1459</v>
      </c>
      <c r="AH1841" s="38"/>
      <c r="AI1841" s="50">
        <v>35.181714</v>
      </c>
      <c r="AJ1841" s="50">
        <v>9.545662</v>
      </c>
      <c r="AK1841" s="41" t="s">
        <v>86</v>
      </c>
      <c r="AL1841" s="40" t="s">
        <v>86</v>
      </c>
      <c r="AM1841" s="49">
        <v>369.0</v>
      </c>
      <c r="AN1841" s="51">
        <v>369.0</v>
      </c>
      <c r="AO1841" s="42" t="s">
        <v>355</v>
      </c>
      <c r="AP1841" s="43" t="s">
        <v>355</v>
      </c>
      <c r="AQ1841" s="44" t="str">
        <f t="shared" si="217"/>
        <v>CRO</v>
      </c>
      <c r="AR1841" s="44">
        <f t="shared" si="199"/>
        <v>369</v>
      </c>
      <c r="AS1841" s="44" t="str">
        <f t="shared" si="222"/>
        <v>B</v>
      </c>
      <c r="AT1841" s="44" t="str">
        <f t="shared" si="202"/>
        <v>BW</v>
      </c>
      <c r="AU1841" s="44" t="str">
        <f t="shared" si="203"/>
        <v>BWh</v>
      </c>
      <c r="AV1841" s="38">
        <v>3.0</v>
      </c>
      <c r="AW1841" s="38"/>
      <c r="AX1841" s="38"/>
      <c r="AY1841" s="38"/>
      <c r="AZ1841" s="29">
        <v>1000.0</v>
      </c>
      <c r="BA1841" s="29"/>
      <c r="BB1841" s="29">
        <v>1.0</v>
      </c>
      <c r="BC1841" s="29" t="s">
        <v>2941</v>
      </c>
      <c r="BD1841" s="29" t="s">
        <v>88</v>
      </c>
      <c r="BE1841" s="29" t="s">
        <v>263</v>
      </c>
      <c r="BF1841" s="29" t="s">
        <v>2942</v>
      </c>
      <c r="BG1841" s="29" t="s">
        <v>91</v>
      </c>
      <c r="BH1841" s="29" t="s">
        <v>88</v>
      </c>
      <c r="BI1841" s="29" t="s">
        <v>1438</v>
      </c>
      <c r="BJ1841" s="29"/>
      <c r="BK1841" s="29" t="s">
        <v>148</v>
      </c>
      <c r="BL1841" s="29" t="s">
        <v>148</v>
      </c>
      <c r="BM1841" s="45"/>
      <c r="BN1841" s="45"/>
      <c r="BO1841" s="46"/>
      <c r="BP1841" s="2" t="s">
        <v>2967</v>
      </c>
      <c r="BQ1841" s="3"/>
    </row>
    <row r="1842" ht="15.75" customHeight="1">
      <c r="A1842" s="34">
        <v>1954.0</v>
      </c>
      <c r="B1842" s="34">
        <v>104246.0</v>
      </c>
      <c r="C1842" s="34" t="s">
        <v>76</v>
      </c>
      <c r="D1842" s="34" t="s">
        <v>2933</v>
      </c>
      <c r="E1842" s="34" t="s">
        <v>2934</v>
      </c>
      <c r="F1842" s="34">
        <v>2021.0</v>
      </c>
      <c r="G1842" s="34" t="s">
        <v>2935</v>
      </c>
      <c r="H1842" s="34" t="s">
        <v>816</v>
      </c>
      <c r="I1842" s="34" t="s">
        <v>2936</v>
      </c>
      <c r="J1842" s="35"/>
      <c r="K1842" s="36"/>
      <c r="L1842" s="36">
        <v>558.0</v>
      </c>
      <c r="M1842" s="36"/>
      <c r="N1842" s="36"/>
      <c r="O1842" s="36"/>
      <c r="P1842" s="37">
        <v>-13.0</v>
      </c>
      <c r="Q1842" s="36" t="s">
        <v>1393</v>
      </c>
      <c r="R1842" s="36" t="s">
        <v>96</v>
      </c>
      <c r="S1842" s="36">
        <v>1000.0</v>
      </c>
      <c r="T1842" s="36" t="s">
        <v>242</v>
      </c>
      <c r="U1842" s="36" t="s">
        <v>2955</v>
      </c>
      <c r="V1842" s="36">
        <f>365+365+233</f>
        <v>963</v>
      </c>
      <c r="W1842" s="36"/>
      <c r="X1842" s="38">
        <v>1.0</v>
      </c>
      <c r="Y1842" s="38" t="s">
        <v>2981</v>
      </c>
      <c r="Z1842" s="38" t="s">
        <v>2977</v>
      </c>
      <c r="AA1842" s="38" t="s">
        <v>86</v>
      </c>
      <c r="AB1842" s="38" t="s">
        <v>2978</v>
      </c>
      <c r="AC1842" s="38" t="s">
        <v>2979</v>
      </c>
      <c r="AD1842" s="38" t="s">
        <v>2980</v>
      </c>
      <c r="AE1842" s="38"/>
      <c r="AF1842" s="38" t="s">
        <v>238</v>
      </c>
      <c r="AG1842" s="38" t="s">
        <v>1459</v>
      </c>
      <c r="AH1842" s="38"/>
      <c r="AI1842" s="50">
        <v>35.181714</v>
      </c>
      <c r="AJ1842" s="50">
        <v>9.545662</v>
      </c>
      <c r="AK1842" s="41" t="s">
        <v>86</v>
      </c>
      <c r="AL1842" s="40" t="s">
        <v>86</v>
      </c>
      <c r="AM1842" s="49">
        <v>369.0</v>
      </c>
      <c r="AN1842" s="51">
        <v>369.0</v>
      </c>
      <c r="AO1842" s="42" t="s">
        <v>355</v>
      </c>
      <c r="AP1842" s="43" t="s">
        <v>355</v>
      </c>
      <c r="AQ1842" s="44" t="str">
        <f t="shared" si="217"/>
        <v>CRO</v>
      </c>
      <c r="AR1842" s="44">
        <f t="shared" si="199"/>
        <v>369</v>
      </c>
      <c r="AS1842" s="44" t="str">
        <f t="shared" si="222"/>
        <v>B</v>
      </c>
      <c r="AT1842" s="44" t="str">
        <f t="shared" si="202"/>
        <v>BW</v>
      </c>
      <c r="AU1842" s="44" t="str">
        <f t="shared" si="203"/>
        <v>BWh</v>
      </c>
      <c r="AV1842" s="38">
        <v>3.0</v>
      </c>
      <c r="AW1842" s="38"/>
      <c r="AX1842" s="38"/>
      <c r="AY1842" s="38"/>
      <c r="AZ1842" s="29">
        <v>1000.0</v>
      </c>
      <c r="BA1842" s="29"/>
      <c r="BB1842" s="29">
        <v>1.0</v>
      </c>
      <c r="BC1842" s="29" t="s">
        <v>2941</v>
      </c>
      <c r="BD1842" s="29" t="s">
        <v>88</v>
      </c>
      <c r="BE1842" s="29" t="s">
        <v>263</v>
      </c>
      <c r="BF1842" s="29" t="s">
        <v>2942</v>
      </c>
      <c r="BG1842" s="29" t="s">
        <v>91</v>
      </c>
      <c r="BH1842" s="29" t="s">
        <v>88</v>
      </c>
      <c r="BI1842" s="29" t="s">
        <v>1438</v>
      </c>
      <c r="BJ1842" s="29"/>
      <c r="BK1842" s="29" t="s">
        <v>148</v>
      </c>
      <c r="BL1842" s="29" t="s">
        <v>148</v>
      </c>
      <c r="BM1842" s="45"/>
      <c r="BN1842" s="45"/>
      <c r="BO1842" s="46"/>
      <c r="BP1842" s="2" t="s">
        <v>2967</v>
      </c>
      <c r="BQ1842" s="3"/>
    </row>
    <row r="1843" ht="15.75" customHeight="1">
      <c r="A1843" s="34">
        <v>1955.0</v>
      </c>
      <c r="B1843" s="34">
        <v>104246.0</v>
      </c>
      <c r="C1843" s="34" t="s">
        <v>76</v>
      </c>
      <c r="D1843" s="34" t="s">
        <v>2933</v>
      </c>
      <c r="E1843" s="34" t="s">
        <v>2934</v>
      </c>
      <c r="F1843" s="34">
        <v>2021.0</v>
      </c>
      <c r="G1843" s="34" t="s">
        <v>2935</v>
      </c>
      <c r="H1843" s="34" t="s">
        <v>816</v>
      </c>
      <c r="I1843" s="34" t="s">
        <v>2936</v>
      </c>
      <c r="J1843" s="35"/>
      <c r="K1843" s="36"/>
      <c r="L1843" s="36">
        <v>288.0</v>
      </c>
      <c r="M1843" s="36"/>
      <c r="N1843" s="36"/>
      <c r="O1843" s="36"/>
      <c r="P1843" s="37">
        <v>-13.0</v>
      </c>
      <c r="Q1843" s="36" t="s">
        <v>1393</v>
      </c>
      <c r="R1843" s="36" t="s">
        <v>96</v>
      </c>
      <c r="S1843" s="36">
        <v>1000.0</v>
      </c>
      <c r="T1843" s="36" t="s">
        <v>295</v>
      </c>
      <c r="U1843" s="36" t="s">
        <v>968</v>
      </c>
      <c r="V1843" s="36">
        <v>148.0</v>
      </c>
      <c r="W1843" s="36"/>
      <c r="X1843" s="38">
        <v>1.0</v>
      </c>
      <c r="Y1843" s="38" t="s">
        <v>2982</v>
      </c>
      <c r="Z1843" s="38" t="s">
        <v>2983</v>
      </c>
      <c r="AA1843" s="38" t="s">
        <v>86</v>
      </c>
      <c r="AB1843" s="38" t="s">
        <v>2984</v>
      </c>
      <c r="AC1843" s="38" t="s">
        <v>2985</v>
      </c>
      <c r="AD1843" s="38" t="s">
        <v>2235</v>
      </c>
      <c r="AE1843" s="53"/>
      <c r="AF1843" s="38" t="s">
        <v>2316</v>
      </c>
      <c r="AG1843" s="38"/>
      <c r="AH1843" s="38"/>
      <c r="AI1843" s="50">
        <v>31.6725</v>
      </c>
      <c r="AJ1843" s="50">
        <v>-7.59597</v>
      </c>
      <c r="AK1843" s="41" t="s">
        <v>86</v>
      </c>
      <c r="AL1843" s="40" t="s">
        <v>86</v>
      </c>
      <c r="AM1843" s="49">
        <v>572.0</v>
      </c>
      <c r="AN1843" s="51">
        <v>572.0</v>
      </c>
      <c r="AO1843" s="42" t="s">
        <v>304</v>
      </c>
      <c r="AP1843" s="43" t="s">
        <v>304</v>
      </c>
      <c r="AQ1843" s="44" t="str">
        <f t="shared" si="217"/>
        <v>CRO</v>
      </c>
      <c r="AR1843" s="44">
        <f t="shared" si="199"/>
        <v>572</v>
      </c>
      <c r="AS1843" s="44" t="str">
        <f t="shared" si="222"/>
        <v>B</v>
      </c>
      <c r="AT1843" s="44" t="str">
        <f t="shared" si="202"/>
        <v>BS</v>
      </c>
      <c r="AU1843" s="44" t="str">
        <f t="shared" si="203"/>
        <v>BSh</v>
      </c>
      <c r="AV1843" s="38">
        <v>2.0</v>
      </c>
      <c r="AW1843" s="38"/>
      <c r="AX1843" s="38"/>
      <c r="AY1843" s="38"/>
      <c r="AZ1843" s="29">
        <v>1000.0</v>
      </c>
      <c r="BA1843" s="29"/>
      <c r="BB1843" s="29">
        <v>1.0</v>
      </c>
      <c r="BC1843" s="29" t="s">
        <v>2941</v>
      </c>
      <c r="BD1843" s="29" t="s">
        <v>88</v>
      </c>
      <c r="BE1843" s="29" t="s">
        <v>263</v>
      </c>
      <c r="BF1843" s="29" t="s">
        <v>2942</v>
      </c>
      <c r="BG1843" s="29" t="s">
        <v>91</v>
      </c>
      <c r="BH1843" s="29" t="s">
        <v>88</v>
      </c>
      <c r="BI1843" s="29" t="s">
        <v>1438</v>
      </c>
      <c r="BJ1843" s="29"/>
      <c r="BK1843" s="29" t="s">
        <v>148</v>
      </c>
      <c r="BL1843" s="29" t="s">
        <v>148</v>
      </c>
      <c r="BM1843" s="45"/>
      <c r="BN1843" s="45"/>
      <c r="BO1843" s="46"/>
      <c r="BP1843" s="2" t="s">
        <v>2967</v>
      </c>
      <c r="BQ1843" s="3"/>
    </row>
    <row r="1844" ht="15.75" customHeight="1">
      <c r="A1844" s="34">
        <v>1956.0</v>
      </c>
      <c r="B1844" s="34">
        <v>104246.0</v>
      </c>
      <c r="C1844" s="34" t="s">
        <v>76</v>
      </c>
      <c r="D1844" s="34" t="s">
        <v>2933</v>
      </c>
      <c r="E1844" s="34" t="s">
        <v>2934</v>
      </c>
      <c r="F1844" s="34">
        <v>2021.0</v>
      </c>
      <c r="G1844" s="34" t="s">
        <v>2935</v>
      </c>
      <c r="H1844" s="34" t="s">
        <v>816</v>
      </c>
      <c r="I1844" s="34" t="s">
        <v>2936</v>
      </c>
      <c r="J1844" s="35"/>
      <c r="K1844" s="36"/>
      <c r="L1844" s="36">
        <v>375.0</v>
      </c>
      <c r="M1844" s="36"/>
      <c r="N1844" s="36"/>
      <c r="O1844" s="36"/>
      <c r="P1844" s="37">
        <v>-11.0</v>
      </c>
      <c r="Q1844" s="36" t="s">
        <v>1393</v>
      </c>
      <c r="R1844" s="36" t="s">
        <v>96</v>
      </c>
      <c r="S1844" s="36">
        <v>1000.0</v>
      </c>
      <c r="T1844" s="36" t="s">
        <v>341</v>
      </c>
      <c r="U1844" s="36" t="s">
        <v>285</v>
      </c>
      <c r="V1844" s="36">
        <v>246.0</v>
      </c>
      <c r="W1844" s="36"/>
      <c r="X1844" s="38">
        <v>1.0</v>
      </c>
      <c r="Y1844" s="38" t="s">
        <v>2937</v>
      </c>
      <c r="Z1844" s="38" t="s">
        <v>2938</v>
      </c>
      <c r="AA1844" s="38" t="s">
        <v>86</v>
      </c>
      <c r="AB1844" s="38" t="s">
        <v>2939</v>
      </c>
      <c r="AC1844" s="38" t="s">
        <v>2940</v>
      </c>
      <c r="AD1844" s="38" t="s">
        <v>382</v>
      </c>
      <c r="AE1844" s="38"/>
      <c r="AF1844" s="38" t="s">
        <v>2316</v>
      </c>
      <c r="AG1844" s="38" t="s">
        <v>2928</v>
      </c>
      <c r="AH1844" s="38"/>
      <c r="AI1844" s="50">
        <v>43.5497</v>
      </c>
      <c r="AJ1844" s="50">
        <v>1.1061</v>
      </c>
      <c r="AK1844" s="41" t="s">
        <v>86</v>
      </c>
      <c r="AL1844" s="40" t="s">
        <v>86</v>
      </c>
      <c r="AM1844" s="49">
        <v>246.0</v>
      </c>
      <c r="AN1844" s="51">
        <v>246.0</v>
      </c>
      <c r="AO1844" s="42" t="s">
        <v>376</v>
      </c>
      <c r="AP1844" s="43" t="s">
        <v>376</v>
      </c>
      <c r="AQ1844" s="44" t="str">
        <f t="shared" si="217"/>
        <v>CRO</v>
      </c>
      <c r="AR1844" s="44">
        <f t="shared" si="199"/>
        <v>246</v>
      </c>
      <c r="AS1844" s="44" t="str">
        <f t="shared" si="222"/>
        <v>C</v>
      </c>
      <c r="AT1844" s="44" t="str">
        <f t="shared" si="202"/>
        <v>Cf</v>
      </c>
      <c r="AU1844" s="44" t="str">
        <f t="shared" si="203"/>
        <v>Cfb</v>
      </c>
      <c r="AV1844" s="38">
        <v>2.0</v>
      </c>
      <c r="AW1844" s="38"/>
      <c r="AX1844" s="38"/>
      <c r="AY1844" s="38"/>
      <c r="AZ1844" s="29">
        <v>1000.0</v>
      </c>
      <c r="BA1844" s="29"/>
      <c r="BB1844" s="29">
        <v>1.0</v>
      </c>
      <c r="BC1844" s="29" t="s">
        <v>2986</v>
      </c>
      <c r="BD1844" s="29" t="s">
        <v>88</v>
      </c>
      <c r="BE1844" s="29" t="s">
        <v>263</v>
      </c>
      <c r="BF1844" s="29" t="s">
        <v>2942</v>
      </c>
      <c r="BG1844" s="29" t="s">
        <v>91</v>
      </c>
      <c r="BH1844" s="29" t="s">
        <v>88</v>
      </c>
      <c r="BI1844" s="29" t="s">
        <v>1438</v>
      </c>
      <c r="BJ1844" s="29"/>
      <c r="BK1844" s="29" t="s">
        <v>148</v>
      </c>
      <c r="BL1844" s="29" t="s">
        <v>148</v>
      </c>
      <c r="BM1844" s="45"/>
      <c r="BN1844" s="45"/>
      <c r="BO1844" s="46"/>
      <c r="BP1844" s="2" t="s">
        <v>2967</v>
      </c>
      <c r="BQ1844" s="3"/>
    </row>
    <row r="1845" ht="15.75" customHeight="1">
      <c r="A1845" s="34">
        <v>1957.0</v>
      </c>
      <c r="B1845" s="34">
        <v>104246.0</v>
      </c>
      <c r="C1845" s="34" t="s">
        <v>76</v>
      </c>
      <c r="D1845" s="34" t="s">
        <v>2933</v>
      </c>
      <c r="E1845" s="34" t="s">
        <v>2934</v>
      </c>
      <c r="F1845" s="34">
        <v>2021.0</v>
      </c>
      <c r="G1845" s="34" t="s">
        <v>2935</v>
      </c>
      <c r="H1845" s="34" t="s">
        <v>816</v>
      </c>
      <c r="I1845" s="34" t="s">
        <v>2936</v>
      </c>
      <c r="J1845" s="35"/>
      <c r="K1845" s="36"/>
      <c r="L1845" s="36">
        <v>268.0</v>
      </c>
      <c r="M1845" s="36"/>
      <c r="N1845" s="36"/>
      <c r="O1845" s="36"/>
      <c r="P1845" s="37">
        <v>12.0</v>
      </c>
      <c r="Q1845" s="36" t="s">
        <v>1393</v>
      </c>
      <c r="R1845" s="36" t="s">
        <v>96</v>
      </c>
      <c r="S1845" s="36">
        <v>1000.0</v>
      </c>
      <c r="T1845" s="36" t="s">
        <v>350</v>
      </c>
      <c r="U1845" s="36" t="s">
        <v>342</v>
      </c>
      <c r="V1845" s="36">
        <v>164.0</v>
      </c>
      <c r="W1845" s="36"/>
      <c r="X1845" s="38">
        <v>1.0</v>
      </c>
      <c r="Y1845" s="38" t="s">
        <v>2943</v>
      </c>
      <c r="Z1845" s="38" t="s">
        <v>2938</v>
      </c>
      <c r="AA1845" s="38" t="s">
        <v>86</v>
      </c>
      <c r="AB1845" s="38" t="s">
        <v>2939</v>
      </c>
      <c r="AC1845" s="38" t="s">
        <v>2940</v>
      </c>
      <c r="AD1845" s="38" t="s">
        <v>382</v>
      </c>
      <c r="AE1845" s="38"/>
      <c r="AF1845" s="38" t="s">
        <v>2944</v>
      </c>
      <c r="AG1845" s="38" t="s">
        <v>2928</v>
      </c>
      <c r="AH1845" s="38"/>
      <c r="AI1845" s="50">
        <v>43.5497</v>
      </c>
      <c r="AJ1845" s="50">
        <v>1.1061</v>
      </c>
      <c r="AK1845" s="41" t="s">
        <v>86</v>
      </c>
      <c r="AL1845" s="40" t="s">
        <v>86</v>
      </c>
      <c r="AM1845" s="49">
        <v>246.0</v>
      </c>
      <c r="AN1845" s="51">
        <v>246.0</v>
      </c>
      <c r="AO1845" s="42" t="s">
        <v>376</v>
      </c>
      <c r="AP1845" s="43" t="s">
        <v>376</v>
      </c>
      <c r="AQ1845" s="44" t="str">
        <f t="shared" si="217"/>
        <v>CRO</v>
      </c>
      <c r="AR1845" s="44">
        <f t="shared" si="199"/>
        <v>246</v>
      </c>
      <c r="AS1845" s="44" t="str">
        <f t="shared" si="222"/>
        <v>C</v>
      </c>
      <c r="AT1845" s="44" t="str">
        <f t="shared" si="202"/>
        <v>Cf</v>
      </c>
      <c r="AU1845" s="44" t="str">
        <f t="shared" si="203"/>
        <v>Cfb</v>
      </c>
      <c r="AV1845" s="38">
        <v>2.0</v>
      </c>
      <c r="AW1845" s="38"/>
      <c r="AX1845" s="38"/>
      <c r="AY1845" s="38"/>
      <c r="AZ1845" s="29">
        <v>1000.0</v>
      </c>
      <c r="BA1845" s="29"/>
      <c r="BB1845" s="29">
        <v>1.0</v>
      </c>
      <c r="BC1845" s="29" t="s">
        <v>2986</v>
      </c>
      <c r="BD1845" s="29" t="s">
        <v>88</v>
      </c>
      <c r="BE1845" s="29" t="s">
        <v>263</v>
      </c>
      <c r="BF1845" s="29" t="s">
        <v>2942</v>
      </c>
      <c r="BG1845" s="29" t="s">
        <v>91</v>
      </c>
      <c r="BH1845" s="29" t="s">
        <v>88</v>
      </c>
      <c r="BI1845" s="29" t="s">
        <v>1438</v>
      </c>
      <c r="BJ1845" s="29"/>
      <c r="BK1845" s="29" t="s">
        <v>148</v>
      </c>
      <c r="BL1845" s="29" t="s">
        <v>148</v>
      </c>
      <c r="BM1845" s="45"/>
      <c r="BN1845" s="45"/>
      <c r="BO1845" s="46"/>
      <c r="BP1845" s="2" t="s">
        <v>2967</v>
      </c>
      <c r="BQ1845" s="3"/>
    </row>
    <row r="1846" ht="15.75" customHeight="1">
      <c r="A1846" s="34">
        <v>1958.0</v>
      </c>
      <c r="B1846" s="34">
        <v>104246.0</v>
      </c>
      <c r="C1846" s="34" t="s">
        <v>76</v>
      </c>
      <c r="D1846" s="34" t="s">
        <v>2933</v>
      </c>
      <c r="E1846" s="34" t="s">
        <v>2934</v>
      </c>
      <c r="F1846" s="34">
        <v>2021.0</v>
      </c>
      <c r="G1846" s="34" t="s">
        <v>2935</v>
      </c>
      <c r="H1846" s="34" t="s">
        <v>816</v>
      </c>
      <c r="I1846" s="34" t="s">
        <v>2936</v>
      </c>
      <c r="J1846" s="35"/>
      <c r="K1846" s="36"/>
      <c r="L1846" s="36">
        <v>218.0</v>
      </c>
      <c r="M1846" s="36"/>
      <c r="N1846" s="36"/>
      <c r="O1846" s="36"/>
      <c r="P1846" s="37">
        <v>12.0</v>
      </c>
      <c r="Q1846" s="36" t="s">
        <v>1393</v>
      </c>
      <c r="R1846" s="36" t="s">
        <v>96</v>
      </c>
      <c r="S1846" s="36">
        <v>1000.0</v>
      </c>
      <c r="T1846" s="36" t="s">
        <v>506</v>
      </c>
      <c r="U1846" s="36" t="s">
        <v>676</v>
      </c>
      <c r="V1846" s="36">
        <v>258.0</v>
      </c>
      <c r="W1846" s="36"/>
      <c r="X1846" s="38">
        <v>1.0</v>
      </c>
      <c r="Y1846" s="38" t="s">
        <v>2945</v>
      </c>
      <c r="Z1846" s="38" t="s">
        <v>2938</v>
      </c>
      <c r="AA1846" s="38" t="s">
        <v>86</v>
      </c>
      <c r="AB1846" s="38" t="s">
        <v>2939</v>
      </c>
      <c r="AC1846" s="38" t="s">
        <v>2940</v>
      </c>
      <c r="AD1846" s="38" t="s">
        <v>382</v>
      </c>
      <c r="AE1846" s="38"/>
      <c r="AF1846" s="38" t="s">
        <v>2316</v>
      </c>
      <c r="AG1846" s="38" t="s">
        <v>2928</v>
      </c>
      <c r="AH1846" s="38"/>
      <c r="AI1846" s="50">
        <v>43.5497</v>
      </c>
      <c r="AJ1846" s="50">
        <v>1.1061</v>
      </c>
      <c r="AK1846" s="41" t="s">
        <v>86</v>
      </c>
      <c r="AL1846" s="40" t="s">
        <v>86</v>
      </c>
      <c r="AM1846" s="49">
        <v>246.0</v>
      </c>
      <c r="AN1846" s="51">
        <v>246.0</v>
      </c>
      <c r="AO1846" s="42" t="s">
        <v>376</v>
      </c>
      <c r="AP1846" s="43" t="s">
        <v>376</v>
      </c>
      <c r="AQ1846" s="44" t="str">
        <f t="shared" si="217"/>
        <v>CRO</v>
      </c>
      <c r="AR1846" s="44">
        <f t="shared" si="199"/>
        <v>246</v>
      </c>
      <c r="AS1846" s="44" t="str">
        <f t="shared" si="222"/>
        <v>C</v>
      </c>
      <c r="AT1846" s="44" t="str">
        <f t="shared" si="202"/>
        <v>Cf</v>
      </c>
      <c r="AU1846" s="44" t="str">
        <f t="shared" si="203"/>
        <v>Cfb</v>
      </c>
      <c r="AV1846" s="38">
        <v>2.0</v>
      </c>
      <c r="AW1846" s="38"/>
      <c r="AX1846" s="38"/>
      <c r="AY1846" s="38"/>
      <c r="AZ1846" s="29">
        <v>1000.0</v>
      </c>
      <c r="BA1846" s="29"/>
      <c r="BB1846" s="29">
        <v>1.0</v>
      </c>
      <c r="BC1846" s="29" t="s">
        <v>2986</v>
      </c>
      <c r="BD1846" s="29" t="s">
        <v>88</v>
      </c>
      <c r="BE1846" s="29" t="s">
        <v>263</v>
      </c>
      <c r="BF1846" s="29" t="s">
        <v>2942</v>
      </c>
      <c r="BG1846" s="29" t="s">
        <v>91</v>
      </c>
      <c r="BH1846" s="29" t="s">
        <v>88</v>
      </c>
      <c r="BI1846" s="29" t="s">
        <v>1438</v>
      </c>
      <c r="BJ1846" s="29"/>
      <c r="BK1846" s="29" t="s">
        <v>148</v>
      </c>
      <c r="BL1846" s="29" t="s">
        <v>148</v>
      </c>
      <c r="BM1846" s="45"/>
      <c r="BN1846" s="45"/>
      <c r="BO1846" s="46"/>
      <c r="BP1846" s="2" t="s">
        <v>2967</v>
      </c>
      <c r="BQ1846" s="3"/>
    </row>
    <row r="1847" ht="15.75" customHeight="1">
      <c r="A1847" s="34">
        <v>1959.0</v>
      </c>
      <c r="B1847" s="34">
        <v>104246.0</v>
      </c>
      <c r="C1847" s="34" t="s">
        <v>76</v>
      </c>
      <c r="D1847" s="34" t="s">
        <v>2933</v>
      </c>
      <c r="E1847" s="34" t="s">
        <v>2934</v>
      </c>
      <c r="F1847" s="34">
        <v>2021.0</v>
      </c>
      <c r="G1847" s="34" t="s">
        <v>2935</v>
      </c>
      <c r="H1847" s="34" t="s">
        <v>816</v>
      </c>
      <c r="I1847" s="34" t="s">
        <v>2936</v>
      </c>
      <c r="J1847" s="35"/>
      <c r="K1847" s="36"/>
      <c r="L1847" s="36">
        <v>340.0</v>
      </c>
      <c r="M1847" s="36"/>
      <c r="N1847" s="36"/>
      <c r="O1847" s="36"/>
      <c r="P1847" s="37">
        <v>20.0</v>
      </c>
      <c r="Q1847" s="36" t="s">
        <v>1393</v>
      </c>
      <c r="R1847" s="36" t="s">
        <v>96</v>
      </c>
      <c r="S1847" s="36">
        <v>1000.0</v>
      </c>
      <c r="T1847" s="36" t="s">
        <v>350</v>
      </c>
      <c r="U1847" s="36" t="s">
        <v>342</v>
      </c>
      <c r="V1847" s="36">
        <v>269.0</v>
      </c>
      <c r="W1847" s="36"/>
      <c r="X1847" s="38">
        <v>1.0</v>
      </c>
      <c r="Y1847" s="38" t="s">
        <v>2946</v>
      </c>
      <c r="Z1847" s="38" t="s">
        <v>2947</v>
      </c>
      <c r="AA1847" s="38" t="s">
        <v>86</v>
      </c>
      <c r="AB1847" s="38" t="s">
        <v>2948</v>
      </c>
      <c r="AC1847" s="38" t="s">
        <v>2949</v>
      </c>
      <c r="AD1847" s="38" t="s">
        <v>382</v>
      </c>
      <c r="AE1847" s="38"/>
      <c r="AF1847" s="38" t="s">
        <v>2316</v>
      </c>
      <c r="AG1847" s="38" t="s">
        <v>2928</v>
      </c>
      <c r="AH1847" s="38"/>
      <c r="AI1847" s="50">
        <v>43.5497</v>
      </c>
      <c r="AJ1847" s="50">
        <v>1.1061</v>
      </c>
      <c r="AK1847" s="41" t="s">
        <v>86</v>
      </c>
      <c r="AL1847" s="40" t="s">
        <v>86</v>
      </c>
      <c r="AM1847" s="49">
        <v>246.0</v>
      </c>
      <c r="AN1847" s="51">
        <v>246.0</v>
      </c>
      <c r="AO1847" s="42" t="s">
        <v>376</v>
      </c>
      <c r="AP1847" s="43" t="s">
        <v>376</v>
      </c>
      <c r="AQ1847" s="44" t="str">
        <f t="shared" si="217"/>
        <v>CRO</v>
      </c>
      <c r="AR1847" s="44">
        <f t="shared" si="199"/>
        <v>246</v>
      </c>
      <c r="AS1847" s="44" t="str">
        <f t="shared" si="222"/>
        <v>C</v>
      </c>
      <c r="AT1847" s="44" t="str">
        <f t="shared" si="202"/>
        <v>Cf</v>
      </c>
      <c r="AU1847" s="44" t="str">
        <f t="shared" si="203"/>
        <v>Cfb</v>
      </c>
      <c r="AV1847" s="38">
        <v>2.0</v>
      </c>
      <c r="AW1847" s="38"/>
      <c r="AX1847" s="38"/>
      <c r="AY1847" s="38"/>
      <c r="AZ1847" s="29">
        <v>1000.0</v>
      </c>
      <c r="BA1847" s="29"/>
      <c r="BB1847" s="29">
        <v>1.0</v>
      </c>
      <c r="BC1847" s="29" t="s">
        <v>2986</v>
      </c>
      <c r="BD1847" s="29" t="s">
        <v>88</v>
      </c>
      <c r="BE1847" s="29" t="s">
        <v>263</v>
      </c>
      <c r="BF1847" s="29" t="s">
        <v>2942</v>
      </c>
      <c r="BG1847" s="29" t="s">
        <v>91</v>
      </c>
      <c r="BH1847" s="29" t="s">
        <v>88</v>
      </c>
      <c r="BI1847" s="29" t="s">
        <v>1438</v>
      </c>
      <c r="BJ1847" s="29"/>
      <c r="BK1847" s="29" t="s">
        <v>148</v>
      </c>
      <c r="BL1847" s="29" t="s">
        <v>148</v>
      </c>
      <c r="BM1847" s="45"/>
      <c r="BN1847" s="45"/>
      <c r="BO1847" s="46"/>
      <c r="BP1847" s="2" t="s">
        <v>2967</v>
      </c>
      <c r="BQ1847" s="3"/>
    </row>
    <row r="1848" ht="15.75" customHeight="1">
      <c r="A1848" s="34">
        <v>1960.0</v>
      </c>
      <c r="B1848" s="34">
        <v>104246.0</v>
      </c>
      <c r="C1848" s="34" t="s">
        <v>76</v>
      </c>
      <c r="D1848" s="34" t="s">
        <v>2933</v>
      </c>
      <c r="E1848" s="34" t="s">
        <v>2934</v>
      </c>
      <c r="F1848" s="34">
        <v>2021.0</v>
      </c>
      <c r="G1848" s="34" t="s">
        <v>2935</v>
      </c>
      <c r="H1848" s="34" t="s">
        <v>816</v>
      </c>
      <c r="I1848" s="34" t="s">
        <v>2936</v>
      </c>
      <c r="J1848" s="35"/>
      <c r="K1848" s="36"/>
      <c r="L1848" s="36">
        <v>427.0</v>
      </c>
      <c r="M1848" s="36"/>
      <c r="N1848" s="36"/>
      <c r="O1848" s="36"/>
      <c r="P1848" s="37">
        <v>-7.0</v>
      </c>
      <c r="Q1848" s="36" t="s">
        <v>1393</v>
      </c>
      <c r="R1848" s="36" t="s">
        <v>96</v>
      </c>
      <c r="S1848" s="36">
        <v>1000.0</v>
      </c>
      <c r="T1848" s="36" t="s">
        <v>506</v>
      </c>
      <c r="U1848" s="36" t="s">
        <v>676</v>
      </c>
      <c r="V1848" s="36">
        <v>161.0</v>
      </c>
      <c r="W1848" s="36"/>
      <c r="X1848" s="38">
        <v>1.0</v>
      </c>
      <c r="Y1848" s="38" t="s">
        <v>2950</v>
      </c>
      <c r="Z1848" s="38" t="s">
        <v>2947</v>
      </c>
      <c r="AA1848" s="38" t="s">
        <v>86</v>
      </c>
      <c r="AB1848" s="38" t="s">
        <v>2948</v>
      </c>
      <c r="AC1848" s="38" t="s">
        <v>2949</v>
      </c>
      <c r="AD1848" s="38" t="s">
        <v>382</v>
      </c>
      <c r="AE1848" s="38"/>
      <c r="AF1848" s="38" t="s">
        <v>525</v>
      </c>
      <c r="AG1848" s="38" t="s">
        <v>2928</v>
      </c>
      <c r="AH1848" s="38"/>
      <c r="AI1848" s="50">
        <v>43.5497</v>
      </c>
      <c r="AJ1848" s="50">
        <v>1.1061</v>
      </c>
      <c r="AK1848" s="41" t="s">
        <v>86</v>
      </c>
      <c r="AL1848" s="40" t="s">
        <v>86</v>
      </c>
      <c r="AM1848" s="49">
        <v>246.0</v>
      </c>
      <c r="AN1848" s="51">
        <v>246.0</v>
      </c>
      <c r="AO1848" s="42" t="s">
        <v>376</v>
      </c>
      <c r="AP1848" s="43" t="s">
        <v>376</v>
      </c>
      <c r="AQ1848" s="44" t="str">
        <f t="shared" si="217"/>
        <v>CRO</v>
      </c>
      <c r="AR1848" s="44">
        <f t="shared" si="199"/>
        <v>246</v>
      </c>
      <c r="AS1848" s="44" t="str">
        <f t="shared" si="222"/>
        <v>C</v>
      </c>
      <c r="AT1848" s="44" t="str">
        <f t="shared" si="202"/>
        <v>Cf</v>
      </c>
      <c r="AU1848" s="44" t="str">
        <f t="shared" si="203"/>
        <v>Cfb</v>
      </c>
      <c r="AV1848" s="38">
        <v>2.0</v>
      </c>
      <c r="AW1848" s="38"/>
      <c r="AX1848" s="38"/>
      <c r="AY1848" s="38"/>
      <c r="AZ1848" s="29">
        <v>1000.0</v>
      </c>
      <c r="BA1848" s="29"/>
      <c r="BB1848" s="29">
        <v>1.0</v>
      </c>
      <c r="BC1848" s="29" t="s">
        <v>2986</v>
      </c>
      <c r="BD1848" s="29" t="s">
        <v>88</v>
      </c>
      <c r="BE1848" s="29" t="s">
        <v>263</v>
      </c>
      <c r="BF1848" s="29" t="s">
        <v>2942</v>
      </c>
      <c r="BG1848" s="29" t="s">
        <v>91</v>
      </c>
      <c r="BH1848" s="29" t="s">
        <v>88</v>
      </c>
      <c r="BI1848" s="29" t="s">
        <v>1438</v>
      </c>
      <c r="BJ1848" s="29"/>
      <c r="BK1848" s="29" t="s">
        <v>148</v>
      </c>
      <c r="BL1848" s="29" t="s">
        <v>148</v>
      </c>
      <c r="BM1848" s="45"/>
      <c r="BN1848" s="45"/>
      <c r="BO1848" s="46"/>
      <c r="BP1848" s="2"/>
      <c r="BQ1848" s="3"/>
    </row>
    <row r="1849" ht="15.75" customHeight="1">
      <c r="A1849" s="34">
        <v>1961.0</v>
      </c>
      <c r="B1849" s="34">
        <v>104246.0</v>
      </c>
      <c r="C1849" s="34" t="s">
        <v>76</v>
      </c>
      <c r="D1849" s="34" t="s">
        <v>2933</v>
      </c>
      <c r="E1849" s="34" t="s">
        <v>2934</v>
      </c>
      <c r="F1849" s="34">
        <v>2021.0</v>
      </c>
      <c r="G1849" s="34" t="s">
        <v>2935</v>
      </c>
      <c r="H1849" s="34" t="s">
        <v>816</v>
      </c>
      <c r="I1849" s="34" t="s">
        <v>2936</v>
      </c>
      <c r="J1849" s="35"/>
      <c r="K1849" s="36"/>
      <c r="L1849" s="36">
        <v>251.0</v>
      </c>
      <c r="M1849" s="36"/>
      <c r="N1849" s="36"/>
      <c r="O1849" s="36"/>
      <c r="P1849" s="37">
        <v>40.0</v>
      </c>
      <c r="Q1849" s="36" t="s">
        <v>1393</v>
      </c>
      <c r="R1849" s="36" t="s">
        <v>96</v>
      </c>
      <c r="S1849" s="36">
        <v>1000.0</v>
      </c>
      <c r="T1849" s="36" t="s">
        <v>536</v>
      </c>
      <c r="U1849" s="36" t="s">
        <v>351</v>
      </c>
      <c r="V1849" s="36">
        <v>237.0</v>
      </c>
      <c r="W1849" s="36"/>
      <c r="X1849" s="38">
        <v>1.0</v>
      </c>
      <c r="Y1849" s="38" t="s">
        <v>2951</v>
      </c>
      <c r="Z1849" s="38" t="s">
        <v>2947</v>
      </c>
      <c r="AA1849" s="38" t="s">
        <v>86</v>
      </c>
      <c r="AB1849" s="38" t="s">
        <v>2948</v>
      </c>
      <c r="AC1849" s="38" t="s">
        <v>2949</v>
      </c>
      <c r="AD1849" s="38" t="s">
        <v>382</v>
      </c>
      <c r="AE1849" s="38"/>
      <c r="AF1849" s="38" t="s">
        <v>2316</v>
      </c>
      <c r="AG1849" s="38" t="s">
        <v>2928</v>
      </c>
      <c r="AH1849" s="38"/>
      <c r="AI1849" s="50">
        <v>43.5497</v>
      </c>
      <c r="AJ1849" s="50">
        <v>1.1061</v>
      </c>
      <c r="AK1849" s="41" t="s">
        <v>86</v>
      </c>
      <c r="AL1849" s="40" t="s">
        <v>86</v>
      </c>
      <c r="AM1849" s="49">
        <v>246.0</v>
      </c>
      <c r="AN1849" s="51">
        <v>246.0</v>
      </c>
      <c r="AO1849" s="42" t="s">
        <v>376</v>
      </c>
      <c r="AP1849" s="43" t="s">
        <v>376</v>
      </c>
      <c r="AQ1849" s="44" t="str">
        <f t="shared" si="217"/>
        <v>CRO</v>
      </c>
      <c r="AR1849" s="44">
        <f t="shared" si="199"/>
        <v>246</v>
      </c>
      <c r="AS1849" s="44" t="str">
        <f t="shared" si="222"/>
        <v>C</v>
      </c>
      <c r="AT1849" s="44" t="str">
        <f t="shared" si="202"/>
        <v>Cf</v>
      </c>
      <c r="AU1849" s="44" t="str">
        <f t="shared" si="203"/>
        <v>Cfb</v>
      </c>
      <c r="AV1849" s="38">
        <v>2.0</v>
      </c>
      <c r="AW1849" s="38"/>
      <c r="AX1849" s="38"/>
      <c r="AY1849" s="38"/>
      <c r="AZ1849" s="29">
        <v>1000.0</v>
      </c>
      <c r="BA1849" s="29"/>
      <c r="BB1849" s="29">
        <v>1.0</v>
      </c>
      <c r="BC1849" s="29" t="s">
        <v>2986</v>
      </c>
      <c r="BD1849" s="29" t="s">
        <v>88</v>
      </c>
      <c r="BE1849" s="29" t="s">
        <v>263</v>
      </c>
      <c r="BF1849" s="29" t="s">
        <v>2942</v>
      </c>
      <c r="BG1849" s="29" t="s">
        <v>91</v>
      </c>
      <c r="BH1849" s="29" t="s">
        <v>88</v>
      </c>
      <c r="BI1849" s="29" t="s">
        <v>1438</v>
      </c>
      <c r="BJ1849" s="29"/>
      <c r="BK1849" s="29" t="s">
        <v>148</v>
      </c>
      <c r="BL1849" s="29" t="s">
        <v>148</v>
      </c>
      <c r="BM1849" s="45"/>
      <c r="BN1849" s="45"/>
      <c r="BO1849" s="46"/>
      <c r="BP1849" s="2"/>
      <c r="BQ1849" s="3"/>
    </row>
    <row r="1850" ht="15.75" customHeight="1">
      <c r="A1850" s="34">
        <v>1962.0</v>
      </c>
      <c r="B1850" s="34">
        <v>104246.0</v>
      </c>
      <c r="C1850" s="34" t="s">
        <v>76</v>
      </c>
      <c r="D1850" s="34" t="s">
        <v>2933</v>
      </c>
      <c r="E1850" s="34" t="s">
        <v>2934</v>
      </c>
      <c r="F1850" s="34">
        <v>2021.0</v>
      </c>
      <c r="G1850" s="34" t="s">
        <v>2935</v>
      </c>
      <c r="H1850" s="34" t="s">
        <v>816</v>
      </c>
      <c r="I1850" s="34" t="s">
        <v>2936</v>
      </c>
      <c r="J1850" s="35"/>
      <c r="K1850" s="36"/>
      <c r="L1850" s="36">
        <v>361.0</v>
      </c>
      <c r="M1850" s="36"/>
      <c r="N1850" s="36"/>
      <c r="O1850" s="36"/>
      <c r="P1850" s="37">
        <v>19.0</v>
      </c>
      <c r="Q1850" s="36" t="s">
        <v>1393</v>
      </c>
      <c r="R1850" s="36" t="s">
        <v>96</v>
      </c>
      <c r="S1850" s="36">
        <v>1000.0</v>
      </c>
      <c r="T1850" s="36" t="s">
        <v>969</v>
      </c>
      <c r="U1850" s="36" t="s">
        <v>507</v>
      </c>
      <c r="V1850" s="36">
        <v>180.0</v>
      </c>
      <c r="W1850" s="36"/>
      <c r="X1850" s="38">
        <v>1.0</v>
      </c>
      <c r="Y1850" s="38" t="s">
        <v>2952</v>
      </c>
      <c r="Z1850" s="38" t="s">
        <v>2947</v>
      </c>
      <c r="AA1850" s="38" t="s">
        <v>86</v>
      </c>
      <c r="AB1850" s="38" t="s">
        <v>2948</v>
      </c>
      <c r="AC1850" s="38" t="s">
        <v>2949</v>
      </c>
      <c r="AD1850" s="38" t="s">
        <v>382</v>
      </c>
      <c r="AE1850" s="38"/>
      <c r="AF1850" s="38" t="s">
        <v>525</v>
      </c>
      <c r="AG1850" s="38" t="s">
        <v>2928</v>
      </c>
      <c r="AH1850" s="38"/>
      <c r="AI1850" s="50">
        <v>43.5497</v>
      </c>
      <c r="AJ1850" s="50">
        <v>1.1061</v>
      </c>
      <c r="AK1850" s="41" t="s">
        <v>86</v>
      </c>
      <c r="AL1850" s="40" t="s">
        <v>86</v>
      </c>
      <c r="AM1850" s="49">
        <v>246.0</v>
      </c>
      <c r="AN1850" s="51">
        <v>246.0</v>
      </c>
      <c r="AO1850" s="42" t="s">
        <v>376</v>
      </c>
      <c r="AP1850" s="43" t="s">
        <v>376</v>
      </c>
      <c r="AQ1850" s="44" t="str">
        <f t="shared" si="217"/>
        <v>CRO</v>
      </c>
      <c r="AR1850" s="44">
        <f t="shared" si="199"/>
        <v>246</v>
      </c>
      <c r="AS1850" s="44" t="str">
        <f t="shared" si="222"/>
        <v>C</v>
      </c>
      <c r="AT1850" s="44" t="str">
        <f t="shared" si="202"/>
        <v>Cf</v>
      </c>
      <c r="AU1850" s="44" t="str">
        <f t="shared" si="203"/>
        <v>Cfb</v>
      </c>
      <c r="AV1850" s="38">
        <v>3.0</v>
      </c>
      <c r="AW1850" s="38"/>
      <c r="AX1850" s="38"/>
      <c r="AY1850" s="38"/>
      <c r="AZ1850" s="29">
        <v>1000.0</v>
      </c>
      <c r="BA1850" s="29"/>
      <c r="BB1850" s="29">
        <v>1.0</v>
      </c>
      <c r="BC1850" s="29" t="s">
        <v>2986</v>
      </c>
      <c r="BD1850" s="29" t="s">
        <v>88</v>
      </c>
      <c r="BE1850" s="29" t="s">
        <v>263</v>
      </c>
      <c r="BF1850" s="29" t="s">
        <v>2942</v>
      </c>
      <c r="BG1850" s="29" t="s">
        <v>91</v>
      </c>
      <c r="BH1850" s="29" t="s">
        <v>88</v>
      </c>
      <c r="BI1850" s="29" t="s">
        <v>1438</v>
      </c>
      <c r="BJ1850" s="29"/>
      <c r="BK1850" s="29" t="s">
        <v>148</v>
      </c>
      <c r="BL1850" s="29" t="s">
        <v>148</v>
      </c>
      <c r="BM1850" s="45"/>
      <c r="BN1850" s="45"/>
      <c r="BO1850" s="46"/>
      <c r="BP1850" s="2"/>
      <c r="BQ1850" s="3"/>
    </row>
    <row r="1851" ht="15.75" customHeight="1">
      <c r="A1851" s="34">
        <v>1963.0</v>
      </c>
      <c r="B1851" s="34">
        <v>104246.0</v>
      </c>
      <c r="C1851" s="34" t="s">
        <v>76</v>
      </c>
      <c r="D1851" s="34" t="s">
        <v>2933</v>
      </c>
      <c r="E1851" s="34" t="s">
        <v>2934</v>
      </c>
      <c r="F1851" s="34">
        <v>2021.0</v>
      </c>
      <c r="G1851" s="34" t="s">
        <v>2935</v>
      </c>
      <c r="H1851" s="34" t="s">
        <v>816</v>
      </c>
      <c r="I1851" s="34" t="s">
        <v>2936</v>
      </c>
      <c r="J1851" s="35"/>
      <c r="K1851" s="36"/>
      <c r="L1851" s="36">
        <v>416.0</v>
      </c>
      <c r="M1851" s="36"/>
      <c r="N1851" s="36"/>
      <c r="O1851" s="36"/>
      <c r="P1851" s="37">
        <v>-10.0</v>
      </c>
      <c r="Q1851" s="36" t="s">
        <v>1393</v>
      </c>
      <c r="R1851" s="36" t="s">
        <v>96</v>
      </c>
      <c r="S1851" s="36">
        <v>1000.0</v>
      </c>
      <c r="T1851" s="36" t="s">
        <v>242</v>
      </c>
      <c r="U1851" s="36" t="s">
        <v>243</v>
      </c>
      <c r="V1851" s="36">
        <v>119.0</v>
      </c>
      <c r="W1851" s="36"/>
      <c r="X1851" s="38">
        <v>1.0</v>
      </c>
      <c r="Y1851" s="38" t="s">
        <v>2953</v>
      </c>
      <c r="Z1851" s="38" t="s">
        <v>2947</v>
      </c>
      <c r="AA1851" s="38" t="s">
        <v>86</v>
      </c>
      <c r="AB1851" s="38" t="s">
        <v>2948</v>
      </c>
      <c r="AC1851" s="38" t="s">
        <v>2949</v>
      </c>
      <c r="AD1851" s="38" t="s">
        <v>382</v>
      </c>
      <c r="AE1851" s="38"/>
      <c r="AF1851" s="38" t="s">
        <v>525</v>
      </c>
      <c r="AG1851" s="38" t="s">
        <v>2928</v>
      </c>
      <c r="AH1851" s="38"/>
      <c r="AI1851" s="50">
        <v>43.5497</v>
      </c>
      <c r="AJ1851" s="50">
        <v>1.1061</v>
      </c>
      <c r="AK1851" s="41" t="s">
        <v>86</v>
      </c>
      <c r="AL1851" s="40" t="s">
        <v>86</v>
      </c>
      <c r="AM1851" s="49">
        <v>246.0</v>
      </c>
      <c r="AN1851" s="51">
        <v>246.0</v>
      </c>
      <c r="AO1851" s="42" t="s">
        <v>376</v>
      </c>
      <c r="AP1851" s="43" t="s">
        <v>376</v>
      </c>
      <c r="AQ1851" s="44" t="str">
        <f t="shared" si="217"/>
        <v>CRO</v>
      </c>
      <c r="AR1851" s="44">
        <f t="shared" si="199"/>
        <v>246</v>
      </c>
      <c r="AS1851" s="44" t="str">
        <f t="shared" si="222"/>
        <v>C</v>
      </c>
      <c r="AT1851" s="44" t="str">
        <f t="shared" si="202"/>
        <v>Cf</v>
      </c>
      <c r="AU1851" s="44" t="str">
        <f t="shared" si="203"/>
        <v>Cfb</v>
      </c>
      <c r="AV1851" s="38">
        <v>2.0</v>
      </c>
      <c r="AW1851" s="38"/>
      <c r="AX1851" s="38"/>
      <c r="AY1851" s="38"/>
      <c r="AZ1851" s="29">
        <v>1000.0</v>
      </c>
      <c r="BA1851" s="29"/>
      <c r="BB1851" s="29">
        <v>1.0</v>
      </c>
      <c r="BC1851" s="29" t="s">
        <v>2986</v>
      </c>
      <c r="BD1851" s="29" t="s">
        <v>88</v>
      </c>
      <c r="BE1851" s="29" t="s">
        <v>263</v>
      </c>
      <c r="BF1851" s="29" t="s">
        <v>2942</v>
      </c>
      <c r="BG1851" s="29" t="s">
        <v>91</v>
      </c>
      <c r="BH1851" s="29" t="s">
        <v>88</v>
      </c>
      <c r="BI1851" s="29" t="s">
        <v>1438</v>
      </c>
      <c r="BJ1851" s="29"/>
      <c r="BK1851" s="29" t="s">
        <v>148</v>
      </c>
      <c r="BL1851" s="29" t="s">
        <v>148</v>
      </c>
      <c r="BM1851" s="45"/>
      <c r="BN1851" s="45"/>
      <c r="BO1851" s="46"/>
      <c r="BP1851" s="2"/>
      <c r="BQ1851" s="3"/>
    </row>
    <row r="1852" ht="15.75" customHeight="1">
      <c r="A1852" s="34">
        <v>1964.0</v>
      </c>
      <c r="B1852" s="34">
        <v>104246.0</v>
      </c>
      <c r="C1852" s="34" t="s">
        <v>76</v>
      </c>
      <c r="D1852" s="34" t="s">
        <v>2933</v>
      </c>
      <c r="E1852" s="34" t="s">
        <v>2934</v>
      </c>
      <c r="F1852" s="34">
        <v>2021.0</v>
      </c>
      <c r="G1852" s="34" t="s">
        <v>2935</v>
      </c>
      <c r="H1852" s="34" t="s">
        <v>816</v>
      </c>
      <c r="I1852" s="34" t="s">
        <v>2936</v>
      </c>
      <c r="J1852" s="35"/>
      <c r="K1852" s="36"/>
      <c r="L1852" s="36">
        <v>389.0</v>
      </c>
      <c r="M1852" s="36"/>
      <c r="N1852" s="36"/>
      <c r="O1852" s="36"/>
      <c r="P1852" s="37">
        <v>-10.0</v>
      </c>
      <c r="Q1852" s="36" t="s">
        <v>1393</v>
      </c>
      <c r="R1852" s="36" t="s">
        <v>96</v>
      </c>
      <c r="S1852" s="36">
        <v>1000.0</v>
      </c>
      <c r="T1852" s="36" t="s">
        <v>245</v>
      </c>
      <c r="U1852" s="36" t="s">
        <v>246</v>
      </c>
      <c r="V1852" s="36">
        <v>126.0</v>
      </c>
      <c r="W1852" s="36"/>
      <c r="X1852" s="38">
        <v>1.0</v>
      </c>
      <c r="Y1852" s="38" t="s">
        <v>2954</v>
      </c>
      <c r="Z1852" s="38" t="s">
        <v>2947</v>
      </c>
      <c r="AA1852" s="38" t="s">
        <v>86</v>
      </c>
      <c r="AB1852" s="38" t="s">
        <v>2948</v>
      </c>
      <c r="AC1852" s="38" t="s">
        <v>2949</v>
      </c>
      <c r="AD1852" s="38" t="s">
        <v>382</v>
      </c>
      <c r="AE1852" s="38"/>
      <c r="AF1852" s="38" t="s">
        <v>525</v>
      </c>
      <c r="AG1852" s="38" t="s">
        <v>2928</v>
      </c>
      <c r="AH1852" s="38"/>
      <c r="AI1852" s="50">
        <v>43.5497</v>
      </c>
      <c r="AJ1852" s="50">
        <v>1.1061</v>
      </c>
      <c r="AK1852" s="41" t="s">
        <v>86</v>
      </c>
      <c r="AL1852" s="40" t="s">
        <v>86</v>
      </c>
      <c r="AM1852" s="49">
        <v>246.0</v>
      </c>
      <c r="AN1852" s="51">
        <v>246.0</v>
      </c>
      <c r="AO1852" s="42" t="s">
        <v>376</v>
      </c>
      <c r="AP1852" s="43" t="s">
        <v>376</v>
      </c>
      <c r="AQ1852" s="44" t="str">
        <f t="shared" si="217"/>
        <v>CRO</v>
      </c>
      <c r="AR1852" s="44">
        <f t="shared" si="199"/>
        <v>246</v>
      </c>
      <c r="AS1852" s="44" t="str">
        <f t="shared" si="222"/>
        <v>C</v>
      </c>
      <c r="AT1852" s="44" t="str">
        <f t="shared" si="202"/>
        <v>Cf</v>
      </c>
      <c r="AU1852" s="44" t="str">
        <f t="shared" si="203"/>
        <v>Cfb</v>
      </c>
      <c r="AV1852" s="38">
        <v>2.0</v>
      </c>
      <c r="AW1852" s="38"/>
      <c r="AX1852" s="38"/>
      <c r="AY1852" s="38"/>
      <c r="AZ1852" s="29">
        <v>1000.0</v>
      </c>
      <c r="BA1852" s="29"/>
      <c r="BB1852" s="29">
        <v>1.0</v>
      </c>
      <c r="BC1852" s="29" t="s">
        <v>2986</v>
      </c>
      <c r="BD1852" s="29" t="s">
        <v>88</v>
      </c>
      <c r="BE1852" s="29" t="s">
        <v>263</v>
      </c>
      <c r="BF1852" s="29" t="s">
        <v>2942</v>
      </c>
      <c r="BG1852" s="29" t="s">
        <v>91</v>
      </c>
      <c r="BH1852" s="29" t="s">
        <v>88</v>
      </c>
      <c r="BI1852" s="29" t="s">
        <v>1438</v>
      </c>
      <c r="BJ1852" s="29"/>
      <c r="BK1852" s="29" t="s">
        <v>148</v>
      </c>
      <c r="BL1852" s="29" t="s">
        <v>148</v>
      </c>
      <c r="BM1852" s="45"/>
      <c r="BN1852" s="45"/>
      <c r="BO1852" s="46"/>
      <c r="BP1852" s="2"/>
      <c r="BQ1852" s="3"/>
    </row>
    <row r="1853" ht="15.75" customHeight="1">
      <c r="A1853" s="34">
        <v>1965.0</v>
      </c>
      <c r="B1853" s="34">
        <v>104246.0</v>
      </c>
      <c r="C1853" s="34" t="s">
        <v>76</v>
      </c>
      <c r="D1853" s="34" t="s">
        <v>2933</v>
      </c>
      <c r="E1853" s="34" t="s">
        <v>2934</v>
      </c>
      <c r="F1853" s="34">
        <v>2021.0</v>
      </c>
      <c r="G1853" s="34" t="s">
        <v>2935</v>
      </c>
      <c r="H1853" s="34" t="s">
        <v>816</v>
      </c>
      <c r="I1853" s="34" t="s">
        <v>2936</v>
      </c>
      <c r="J1853" s="35"/>
      <c r="K1853" s="36"/>
      <c r="L1853" s="36">
        <v>531.0</v>
      </c>
      <c r="M1853" s="36"/>
      <c r="N1853" s="36"/>
      <c r="O1853" s="36"/>
      <c r="P1853" s="37">
        <v>-27.0</v>
      </c>
      <c r="Q1853" s="36" t="s">
        <v>1393</v>
      </c>
      <c r="R1853" s="36" t="s">
        <v>96</v>
      </c>
      <c r="S1853" s="36">
        <v>1000.0</v>
      </c>
      <c r="T1853" s="36" t="s">
        <v>837</v>
      </c>
      <c r="U1853" s="36" t="s">
        <v>2955</v>
      </c>
      <c r="V1853" s="36">
        <v>127.0</v>
      </c>
      <c r="W1853" s="36"/>
      <c r="X1853" s="38">
        <v>1.0</v>
      </c>
      <c r="Y1853" s="38" t="s">
        <v>2956</v>
      </c>
      <c r="Z1853" s="38" t="s">
        <v>2947</v>
      </c>
      <c r="AA1853" s="38" t="s">
        <v>86</v>
      </c>
      <c r="AB1853" s="38" t="s">
        <v>2948</v>
      </c>
      <c r="AC1853" s="38" t="s">
        <v>2949</v>
      </c>
      <c r="AD1853" s="38" t="s">
        <v>382</v>
      </c>
      <c r="AE1853" s="38"/>
      <c r="AF1853" s="38" t="s">
        <v>525</v>
      </c>
      <c r="AG1853" s="38" t="s">
        <v>2928</v>
      </c>
      <c r="AH1853" s="38"/>
      <c r="AI1853" s="50">
        <v>43.5497</v>
      </c>
      <c r="AJ1853" s="50">
        <v>1.1061</v>
      </c>
      <c r="AK1853" s="41" t="s">
        <v>86</v>
      </c>
      <c r="AL1853" s="40" t="s">
        <v>86</v>
      </c>
      <c r="AM1853" s="49">
        <v>246.0</v>
      </c>
      <c r="AN1853" s="51">
        <v>246.0</v>
      </c>
      <c r="AO1853" s="42" t="s">
        <v>376</v>
      </c>
      <c r="AP1853" s="43" t="s">
        <v>376</v>
      </c>
      <c r="AQ1853" s="44" t="str">
        <f t="shared" si="217"/>
        <v>CRO</v>
      </c>
      <c r="AR1853" s="44">
        <f t="shared" si="199"/>
        <v>246</v>
      </c>
      <c r="AS1853" s="44" t="str">
        <f t="shared" si="222"/>
        <v>C</v>
      </c>
      <c r="AT1853" s="44" t="str">
        <f t="shared" si="202"/>
        <v>Cf</v>
      </c>
      <c r="AU1853" s="44" t="str">
        <f t="shared" si="203"/>
        <v>Cfb</v>
      </c>
      <c r="AV1853" s="38">
        <v>2.0</v>
      </c>
      <c r="AW1853" s="38"/>
      <c r="AX1853" s="38"/>
      <c r="AY1853" s="38"/>
      <c r="AZ1853" s="29">
        <v>1000.0</v>
      </c>
      <c r="BA1853" s="29"/>
      <c r="BB1853" s="29">
        <v>1.0</v>
      </c>
      <c r="BC1853" s="29" t="s">
        <v>2986</v>
      </c>
      <c r="BD1853" s="29" t="s">
        <v>88</v>
      </c>
      <c r="BE1853" s="29" t="s">
        <v>263</v>
      </c>
      <c r="BF1853" s="29" t="s">
        <v>2942</v>
      </c>
      <c r="BG1853" s="29" t="s">
        <v>91</v>
      </c>
      <c r="BH1853" s="29" t="s">
        <v>88</v>
      </c>
      <c r="BI1853" s="29" t="s">
        <v>1438</v>
      </c>
      <c r="BJ1853" s="29"/>
      <c r="BK1853" s="29" t="s">
        <v>148</v>
      </c>
      <c r="BL1853" s="29" t="s">
        <v>148</v>
      </c>
      <c r="BM1853" s="45"/>
      <c r="BN1853" s="45"/>
      <c r="BO1853" s="46"/>
      <c r="BP1853" s="2"/>
      <c r="BQ1853" s="3"/>
    </row>
    <row r="1854" ht="15.75" customHeight="1">
      <c r="A1854" s="34">
        <v>1966.0</v>
      </c>
      <c r="B1854" s="34">
        <v>104246.0</v>
      </c>
      <c r="C1854" s="34" t="s">
        <v>76</v>
      </c>
      <c r="D1854" s="34" t="s">
        <v>2933</v>
      </c>
      <c r="E1854" s="34" t="s">
        <v>2934</v>
      </c>
      <c r="F1854" s="34">
        <v>2021.0</v>
      </c>
      <c r="G1854" s="34" t="s">
        <v>2935</v>
      </c>
      <c r="H1854" s="34" t="s">
        <v>816</v>
      </c>
      <c r="I1854" s="34" t="s">
        <v>2936</v>
      </c>
      <c r="J1854" s="35"/>
      <c r="K1854" s="36"/>
      <c r="L1854" s="36">
        <v>233.0</v>
      </c>
      <c r="M1854" s="36"/>
      <c r="N1854" s="36"/>
      <c r="O1854" s="36"/>
      <c r="P1854" s="37">
        <v>23.0</v>
      </c>
      <c r="Q1854" s="36" t="s">
        <v>1393</v>
      </c>
      <c r="R1854" s="36" t="s">
        <v>96</v>
      </c>
      <c r="S1854" s="36">
        <v>1000.0</v>
      </c>
      <c r="T1854" s="36" t="s">
        <v>317</v>
      </c>
      <c r="U1854" s="36" t="s">
        <v>194</v>
      </c>
      <c r="V1854" s="36">
        <v>160.0</v>
      </c>
      <c r="W1854" s="36"/>
      <c r="X1854" s="38">
        <v>1.0</v>
      </c>
      <c r="Y1854" s="38" t="s">
        <v>2957</v>
      </c>
      <c r="Z1854" s="38" t="s">
        <v>2958</v>
      </c>
      <c r="AA1854" s="38" t="s">
        <v>86</v>
      </c>
      <c r="AB1854" s="38" t="s">
        <v>2959</v>
      </c>
      <c r="AC1854" s="38" t="s">
        <v>2960</v>
      </c>
      <c r="AD1854" s="38" t="s">
        <v>382</v>
      </c>
      <c r="AE1854" s="38">
        <v>32.0</v>
      </c>
      <c r="AF1854" s="38" t="s">
        <v>2961</v>
      </c>
      <c r="AG1854" s="38" t="s">
        <v>2928</v>
      </c>
      <c r="AH1854" s="38"/>
      <c r="AI1854" s="50">
        <v>43.92</v>
      </c>
      <c r="AJ1854" s="50">
        <v>4.88</v>
      </c>
      <c r="AK1854" s="41" t="s">
        <v>505</v>
      </c>
      <c r="AL1854" s="40" t="s">
        <v>505</v>
      </c>
      <c r="AM1854" s="49">
        <v>71.0</v>
      </c>
      <c r="AN1854" s="51">
        <v>71.0</v>
      </c>
      <c r="AO1854" s="42" t="s">
        <v>175</v>
      </c>
      <c r="AP1854" s="43" t="s">
        <v>175</v>
      </c>
      <c r="AQ1854" s="44" t="str">
        <f t="shared" si="217"/>
        <v>CRO</v>
      </c>
      <c r="AR1854" s="44">
        <f t="shared" si="199"/>
        <v>71</v>
      </c>
      <c r="AS1854" s="44" t="str">
        <f t="shared" si="222"/>
        <v>C</v>
      </c>
      <c r="AT1854" s="44" t="str">
        <f t="shared" si="202"/>
        <v>Cs</v>
      </c>
      <c r="AU1854" s="44" t="str">
        <f t="shared" si="203"/>
        <v>Csa</v>
      </c>
      <c r="AV1854" s="38">
        <v>2.0</v>
      </c>
      <c r="AW1854" s="38"/>
      <c r="AX1854" s="38"/>
      <c r="AY1854" s="38"/>
      <c r="AZ1854" s="29">
        <v>1000.0</v>
      </c>
      <c r="BA1854" s="29"/>
      <c r="BB1854" s="29">
        <v>1.0</v>
      </c>
      <c r="BC1854" s="29" t="s">
        <v>2986</v>
      </c>
      <c r="BD1854" s="29" t="s">
        <v>88</v>
      </c>
      <c r="BE1854" s="29" t="s">
        <v>263</v>
      </c>
      <c r="BF1854" s="29" t="s">
        <v>2942</v>
      </c>
      <c r="BG1854" s="29" t="s">
        <v>91</v>
      </c>
      <c r="BH1854" s="29" t="s">
        <v>88</v>
      </c>
      <c r="BI1854" s="29" t="s">
        <v>1438</v>
      </c>
      <c r="BJ1854" s="29"/>
      <c r="BK1854" s="29" t="s">
        <v>148</v>
      </c>
      <c r="BL1854" s="29" t="s">
        <v>148</v>
      </c>
      <c r="BM1854" s="45"/>
      <c r="BN1854" s="45"/>
      <c r="BO1854" s="46"/>
      <c r="BP1854" s="2"/>
      <c r="BQ1854" s="3"/>
    </row>
    <row r="1855" ht="15.75" customHeight="1">
      <c r="A1855" s="34">
        <v>1967.0</v>
      </c>
      <c r="B1855" s="34">
        <v>104246.0</v>
      </c>
      <c r="C1855" s="34" t="s">
        <v>76</v>
      </c>
      <c r="D1855" s="34" t="s">
        <v>2933</v>
      </c>
      <c r="E1855" s="34" t="s">
        <v>2934</v>
      </c>
      <c r="F1855" s="34">
        <v>2021.0</v>
      </c>
      <c r="G1855" s="34" t="s">
        <v>2935</v>
      </c>
      <c r="H1855" s="34" t="s">
        <v>816</v>
      </c>
      <c r="I1855" s="34" t="s">
        <v>2936</v>
      </c>
      <c r="J1855" s="35"/>
      <c r="K1855" s="36"/>
      <c r="L1855" s="36">
        <v>375.0</v>
      </c>
      <c r="M1855" s="36"/>
      <c r="N1855" s="36"/>
      <c r="O1855" s="36"/>
      <c r="P1855" s="37">
        <v>14.0</v>
      </c>
      <c r="Q1855" s="36" t="s">
        <v>1393</v>
      </c>
      <c r="R1855" s="36" t="s">
        <v>96</v>
      </c>
      <c r="S1855" s="36">
        <v>1000.0</v>
      </c>
      <c r="T1855" s="36" t="s">
        <v>341</v>
      </c>
      <c r="U1855" s="36" t="s">
        <v>285</v>
      </c>
      <c r="V1855" s="36">
        <v>246.0</v>
      </c>
      <c r="W1855" s="36"/>
      <c r="X1855" s="38">
        <v>1.0</v>
      </c>
      <c r="Y1855" s="38" t="s">
        <v>2962</v>
      </c>
      <c r="Z1855" s="38" t="s">
        <v>2958</v>
      </c>
      <c r="AA1855" s="38" t="s">
        <v>86</v>
      </c>
      <c r="AB1855" s="38" t="s">
        <v>2959</v>
      </c>
      <c r="AC1855" s="38" t="s">
        <v>2960</v>
      </c>
      <c r="AD1855" s="38" t="s">
        <v>382</v>
      </c>
      <c r="AE1855" s="38">
        <v>32.0</v>
      </c>
      <c r="AF1855" s="38" t="s">
        <v>2316</v>
      </c>
      <c r="AG1855" s="38" t="s">
        <v>2928</v>
      </c>
      <c r="AH1855" s="38"/>
      <c r="AI1855" s="50">
        <v>43.92</v>
      </c>
      <c r="AJ1855" s="50">
        <v>4.88</v>
      </c>
      <c r="AK1855" s="41" t="s">
        <v>505</v>
      </c>
      <c r="AL1855" s="40" t="s">
        <v>505</v>
      </c>
      <c r="AM1855" s="49">
        <v>71.0</v>
      </c>
      <c r="AN1855" s="51">
        <v>71.0</v>
      </c>
      <c r="AO1855" s="42" t="s">
        <v>175</v>
      </c>
      <c r="AP1855" s="43" t="s">
        <v>175</v>
      </c>
      <c r="AQ1855" s="44" t="str">
        <f t="shared" si="217"/>
        <v>CRO</v>
      </c>
      <c r="AR1855" s="44">
        <f t="shared" si="199"/>
        <v>71</v>
      </c>
      <c r="AS1855" s="44" t="str">
        <f t="shared" si="222"/>
        <v>C</v>
      </c>
      <c r="AT1855" s="44" t="str">
        <f t="shared" si="202"/>
        <v>Cs</v>
      </c>
      <c r="AU1855" s="44" t="str">
        <f t="shared" si="203"/>
        <v>Csa</v>
      </c>
      <c r="AV1855" s="38">
        <v>2.0</v>
      </c>
      <c r="AW1855" s="38"/>
      <c r="AX1855" s="38"/>
      <c r="AY1855" s="38"/>
      <c r="AZ1855" s="29">
        <v>1000.0</v>
      </c>
      <c r="BA1855" s="29"/>
      <c r="BB1855" s="29">
        <v>1.0</v>
      </c>
      <c r="BC1855" s="29" t="s">
        <v>2986</v>
      </c>
      <c r="BD1855" s="29" t="s">
        <v>88</v>
      </c>
      <c r="BE1855" s="29" t="s">
        <v>263</v>
      </c>
      <c r="BF1855" s="29" t="s">
        <v>2942</v>
      </c>
      <c r="BG1855" s="29" t="s">
        <v>91</v>
      </c>
      <c r="BH1855" s="29" t="s">
        <v>88</v>
      </c>
      <c r="BI1855" s="29" t="s">
        <v>1438</v>
      </c>
      <c r="BJ1855" s="29"/>
      <c r="BK1855" s="29" t="s">
        <v>148</v>
      </c>
      <c r="BL1855" s="29" t="s">
        <v>148</v>
      </c>
      <c r="BM1855" s="45"/>
      <c r="BN1855" s="45"/>
      <c r="BO1855" s="46"/>
      <c r="BP1855" s="2"/>
      <c r="BQ1855" s="3"/>
    </row>
    <row r="1856" ht="15.75" customHeight="1">
      <c r="A1856" s="34">
        <v>1968.0</v>
      </c>
      <c r="B1856" s="34">
        <v>104246.0</v>
      </c>
      <c r="C1856" s="34" t="s">
        <v>76</v>
      </c>
      <c r="D1856" s="34" t="s">
        <v>2933</v>
      </c>
      <c r="E1856" s="34" t="s">
        <v>2934</v>
      </c>
      <c r="F1856" s="34">
        <v>2021.0</v>
      </c>
      <c r="G1856" s="34" t="s">
        <v>2935</v>
      </c>
      <c r="H1856" s="34" t="s">
        <v>816</v>
      </c>
      <c r="I1856" s="34" t="s">
        <v>2936</v>
      </c>
      <c r="J1856" s="35"/>
      <c r="K1856" s="36"/>
      <c r="L1856" s="36">
        <v>386.0</v>
      </c>
      <c r="M1856" s="36"/>
      <c r="N1856" s="36"/>
      <c r="O1856" s="36"/>
      <c r="P1856" s="37">
        <v>1.0</v>
      </c>
      <c r="Q1856" s="36" t="s">
        <v>1393</v>
      </c>
      <c r="R1856" s="36" t="s">
        <v>96</v>
      </c>
      <c r="S1856" s="36">
        <v>1000.0</v>
      </c>
      <c r="T1856" s="36" t="s">
        <v>350</v>
      </c>
      <c r="U1856" s="36" t="s">
        <v>342</v>
      </c>
      <c r="V1856" s="36">
        <v>161.0</v>
      </c>
      <c r="W1856" s="36"/>
      <c r="X1856" s="38">
        <v>1.0</v>
      </c>
      <c r="Y1856" s="38" t="s">
        <v>2963</v>
      </c>
      <c r="Z1856" s="38" t="s">
        <v>2958</v>
      </c>
      <c r="AA1856" s="38" t="s">
        <v>86</v>
      </c>
      <c r="AB1856" s="38" t="s">
        <v>2959</v>
      </c>
      <c r="AC1856" s="38" t="s">
        <v>2960</v>
      </c>
      <c r="AD1856" s="38" t="s">
        <v>382</v>
      </c>
      <c r="AE1856" s="38">
        <v>32.0</v>
      </c>
      <c r="AF1856" s="38" t="s">
        <v>2964</v>
      </c>
      <c r="AG1856" s="38" t="s">
        <v>2928</v>
      </c>
      <c r="AH1856" s="38"/>
      <c r="AI1856" s="50">
        <v>43.92</v>
      </c>
      <c r="AJ1856" s="50">
        <v>4.88</v>
      </c>
      <c r="AK1856" s="41" t="s">
        <v>505</v>
      </c>
      <c r="AL1856" s="40" t="s">
        <v>505</v>
      </c>
      <c r="AM1856" s="49">
        <v>71.0</v>
      </c>
      <c r="AN1856" s="51">
        <v>71.0</v>
      </c>
      <c r="AO1856" s="42" t="s">
        <v>175</v>
      </c>
      <c r="AP1856" s="43" t="s">
        <v>175</v>
      </c>
      <c r="AQ1856" s="44" t="str">
        <f t="shared" si="217"/>
        <v>CRO</v>
      </c>
      <c r="AR1856" s="44">
        <f t="shared" si="199"/>
        <v>71</v>
      </c>
      <c r="AS1856" s="44" t="str">
        <f t="shared" si="222"/>
        <v>C</v>
      </c>
      <c r="AT1856" s="44" t="str">
        <f t="shared" si="202"/>
        <v>Cs</v>
      </c>
      <c r="AU1856" s="44" t="str">
        <f t="shared" si="203"/>
        <v>Csa</v>
      </c>
      <c r="AV1856" s="38">
        <v>2.0</v>
      </c>
      <c r="AW1856" s="38"/>
      <c r="AX1856" s="38"/>
      <c r="AY1856" s="38"/>
      <c r="AZ1856" s="29">
        <v>1000.0</v>
      </c>
      <c r="BA1856" s="29"/>
      <c r="BB1856" s="29">
        <v>1.0</v>
      </c>
      <c r="BC1856" s="29" t="s">
        <v>2986</v>
      </c>
      <c r="BD1856" s="29" t="s">
        <v>88</v>
      </c>
      <c r="BE1856" s="29" t="s">
        <v>263</v>
      </c>
      <c r="BF1856" s="29" t="s">
        <v>2942</v>
      </c>
      <c r="BG1856" s="29" t="s">
        <v>91</v>
      </c>
      <c r="BH1856" s="29" t="s">
        <v>88</v>
      </c>
      <c r="BI1856" s="29" t="s">
        <v>1438</v>
      </c>
      <c r="BJ1856" s="29"/>
      <c r="BK1856" s="29" t="s">
        <v>148</v>
      </c>
      <c r="BL1856" s="29" t="s">
        <v>148</v>
      </c>
      <c r="BM1856" s="45"/>
      <c r="BN1856" s="45"/>
      <c r="BO1856" s="46"/>
      <c r="BP1856" s="2"/>
      <c r="BQ1856" s="3"/>
    </row>
    <row r="1857" ht="15.75" customHeight="1">
      <c r="A1857" s="34">
        <v>1969.0</v>
      </c>
      <c r="B1857" s="34">
        <v>104246.0</v>
      </c>
      <c r="C1857" s="34" t="s">
        <v>76</v>
      </c>
      <c r="D1857" s="34" t="s">
        <v>2933</v>
      </c>
      <c r="E1857" s="34" t="s">
        <v>2934</v>
      </c>
      <c r="F1857" s="34">
        <v>2021.0</v>
      </c>
      <c r="G1857" s="34" t="s">
        <v>2935</v>
      </c>
      <c r="H1857" s="34" t="s">
        <v>816</v>
      </c>
      <c r="I1857" s="34" t="s">
        <v>2936</v>
      </c>
      <c r="J1857" s="35"/>
      <c r="K1857" s="36"/>
      <c r="L1857" s="36">
        <v>424.0</v>
      </c>
      <c r="M1857" s="36"/>
      <c r="N1857" s="36"/>
      <c r="O1857" s="36"/>
      <c r="P1857" s="37">
        <v>-13.0</v>
      </c>
      <c r="Q1857" s="36" t="s">
        <v>1393</v>
      </c>
      <c r="R1857" s="36" t="s">
        <v>96</v>
      </c>
      <c r="S1857" s="36">
        <v>1000.0</v>
      </c>
      <c r="T1857" s="36" t="s">
        <v>506</v>
      </c>
      <c r="U1857" s="36" t="s">
        <v>676</v>
      </c>
      <c r="V1857" s="36">
        <v>231.0</v>
      </c>
      <c r="W1857" s="36"/>
      <c r="X1857" s="38">
        <v>1.0</v>
      </c>
      <c r="Y1857" s="38" t="s">
        <v>2965</v>
      </c>
      <c r="Z1857" s="38" t="s">
        <v>2958</v>
      </c>
      <c r="AA1857" s="38" t="s">
        <v>86</v>
      </c>
      <c r="AB1857" s="38" t="s">
        <v>2959</v>
      </c>
      <c r="AC1857" s="38" t="s">
        <v>2960</v>
      </c>
      <c r="AD1857" s="38" t="s">
        <v>382</v>
      </c>
      <c r="AE1857" s="38">
        <v>32.0</v>
      </c>
      <c r="AF1857" s="38" t="s">
        <v>2316</v>
      </c>
      <c r="AG1857" s="38" t="s">
        <v>2928</v>
      </c>
      <c r="AH1857" s="38"/>
      <c r="AI1857" s="50">
        <v>43.92</v>
      </c>
      <c r="AJ1857" s="50">
        <v>4.88</v>
      </c>
      <c r="AK1857" s="41" t="s">
        <v>505</v>
      </c>
      <c r="AL1857" s="40" t="s">
        <v>505</v>
      </c>
      <c r="AM1857" s="49">
        <v>71.0</v>
      </c>
      <c r="AN1857" s="51">
        <v>71.0</v>
      </c>
      <c r="AO1857" s="42" t="s">
        <v>175</v>
      </c>
      <c r="AP1857" s="43" t="s">
        <v>175</v>
      </c>
      <c r="AQ1857" s="44" t="str">
        <f t="shared" si="217"/>
        <v>CRO</v>
      </c>
      <c r="AR1857" s="44">
        <f t="shared" si="199"/>
        <v>71</v>
      </c>
      <c r="AS1857" s="44" t="str">
        <f t="shared" si="222"/>
        <v>C</v>
      </c>
      <c r="AT1857" s="44" t="str">
        <f t="shared" si="202"/>
        <v>Cs</v>
      </c>
      <c r="AU1857" s="44" t="str">
        <f t="shared" si="203"/>
        <v>Csa</v>
      </c>
      <c r="AV1857" s="38">
        <v>2.0</v>
      </c>
      <c r="AW1857" s="38"/>
      <c r="AX1857" s="38"/>
      <c r="AY1857" s="38"/>
      <c r="AZ1857" s="29">
        <v>1000.0</v>
      </c>
      <c r="BA1857" s="29"/>
      <c r="BB1857" s="29">
        <v>1.0</v>
      </c>
      <c r="BC1857" s="29" t="s">
        <v>2986</v>
      </c>
      <c r="BD1857" s="29" t="s">
        <v>88</v>
      </c>
      <c r="BE1857" s="29" t="s">
        <v>263</v>
      </c>
      <c r="BF1857" s="29" t="s">
        <v>2942</v>
      </c>
      <c r="BG1857" s="29" t="s">
        <v>91</v>
      </c>
      <c r="BH1857" s="29" t="s">
        <v>88</v>
      </c>
      <c r="BI1857" s="29" t="s">
        <v>1438</v>
      </c>
      <c r="BJ1857" s="29"/>
      <c r="BK1857" s="29" t="s">
        <v>148</v>
      </c>
      <c r="BL1857" s="29" t="s">
        <v>148</v>
      </c>
      <c r="BM1857" s="45"/>
      <c r="BN1857" s="45"/>
      <c r="BO1857" s="46"/>
      <c r="BP1857" s="2"/>
      <c r="BQ1857" s="3"/>
    </row>
    <row r="1858" ht="15.75" customHeight="1">
      <c r="A1858" s="34">
        <v>1970.0</v>
      </c>
      <c r="B1858" s="34">
        <v>104246.0</v>
      </c>
      <c r="C1858" s="34" t="s">
        <v>76</v>
      </c>
      <c r="D1858" s="34" t="s">
        <v>2933</v>
      </c>
      <c r="E1858" s="34" t="s">
        <v>2934</v>
      </c>
      <c r="F1858" s="34">
        <v>2021.0</v>
      </c>
      <c r="G1858" s="34" t="s">
        <v>2935</v>
      </c>
      <c r="H1858" s="34" t="s">
        <v>816</v>
      </c>
      <c r="I1858" s="34" t="s">
        <v>2936</v>
      </c>
      <c r="J1858" s="35"/>
      <c r="K1858" s="36"/>
      <c r="L1858" s="36">
        <v>303.0</v>
      </c>
      <c r="M1858" s="36"/>
      <c r="N1858" s="36"/>
      <c r="O1858" s="36"/>
      <c r="P1858" s="37">
        <v>13.0</v>
      </c>
      <c r="Q1858" s="36" t="s">
        <v>1393</v>
      </c>
      <c r="R1858" s="36" t="s">
        <v>96</v>
      </c>
      <c r="S1858" s="36">
        <v>1000.0</v>
      </c>
      <c r="T1858" s="36" t="s">
        <v>242</v>
      </c>
      <c r="U1858" s="36" t="s">
        <v>243</v>
      </c>
      <c r="V1858" s="36">
        <v>248.0</v>
      </c>
      <c r="W1858" s="36"/>
      <c r="X1858" s="38">
        <v>1.0</v>
      </c>
      <c r="Y1858" s="38" t="s">
        <v>2966</v>
      </c>
      <c r="Z1858" s="38" t="s">
        <v>2958</v>
      </c>
      <c r="AA1858" s="38" t="s">
        <v>86</v>
      </c>
      <c r="AB1858" s="38" t="s">
        <v>2959</v>
      </c>
      <c r="AC1858" s="38" t="s">
        <v>2960</v>
      </c>
      <c r="AD1858" s="38" t="s">
        <v>382</v>
      </c>
      <c r="AE1858" s="38">
        <v>32.0</v>
      </c>
      <c r="AF1858" s="38" t="s">
        <v>2316</v>
      </c>
      <c r="AG1858" s="38" t="s">
        <v>2928</v>
      </c>
      <c r="AH1858" s="38"/>
      <c r="AI1858" s="50">
        <v>43.92</v>
      </c>
      <c r="AJ1858" s="50">
        <v>4.88</v>
      </c>
      <c r="AK1858" s="41" t="s">
        <v>505</v>
      </c>
      <c r="AL1858" s="40" t="s">
        <v>505</v>
      </c>
      <c r="AM1858" s="49">
        <v>71.0</v>
      </c>
      <c r="AN1858" s="51">
        <v>71.0</v>
      </c>
      <c r="AO1858" s="42" t="s">
        <v>175</v>
      </c>
      <c r="AP1858" s="43" t="s">
        <v>175</v>
      </c>
      <c r="AQ1858" s="44" t="str">
        <f t="shared" si="217"/>
        <v>CRO</v>
      </c>
      <c r="AR1858" s="44">
        <f t="shared" si="199"/>
        <v>71</v>
      </c>
      <c r="AS1858" s="44" t="str">
        <f t="shared" si="222"/>
        <v>C</v>
      </c>
      <c r="AT1858" s="44" t="str">
        <f t="shared" si="202"/>
        <v>Cs</v>
      </c>
      <c r="AU1858" s="44" t="str">
        <f t="shared" si="203"/>
        <v>Csa</v>
      </c>
      <c r="AV1858" s="38">
        <v>2.0</v>
      </c>
      <c r="AW1858" s="38"/>
      <c r="AX1858" s="38"/>
      <c r="AY1858" s="38"/>
      <c r="AZ1858" s="29">
        <v>1000.0</v>
      </c>
      <c r="BA1858" s="29"/>
      <c r="BB1858" s="29">
        <v>1.0</v>
      </c>
      <c r="BC1858" s="29" t="s">
        <v>2986</v>
      </c>
      <c r="BD1858" s="29" t="s">
        <v>88</v>
      </c>
      <c r="BE1858" s="29" t="s">
        <v>263</v>
      </c>
      <c r="BF1858" s="29" t="s">
        <v>2942</v>
      </c>
      <c r="BG1858" s="29" t="s">
        <v>91</v>
      </c>
      <c r="BH1858" s="29" t="s">
        <v>88</v>
      </c>
      <c r="BI1858" s="29" t="s">
        <v>1438</v>
      </c>
      <c r="BJ1858" s="29"/>
      <c r="BK1858" s="29" t="s">
        <v>148</v>
      </c>
      <c r="BL1858" s="29" t="s">
        <v>148</v>
      </c>
      <c r="BM1858" s="45"/>
      <c r="BN1858" s="45"/>
      <c r="BO1858" s="46"/>
      <c r="BP1858" s="2"/>
      <c r="BQ1858" s="3"/>
    </row>
    <row r="1859" ht="15.75" customHeight="1">
      <c r="A1859" s="34">
        <v>1971.0</v>
      </c>
      <c r="B1859" s="34">
        <v>104246.0</v>
      </c>
      <c r="C1859" s="34" t="s">
        <v>76</v>
      </c>
      <c r="D1859" s="34" t="s">
        <v>2933</v>
      </c>
      <c r="E1859" s="34" t="s">
        <v>2934</v>
      </c>
      <c r="F1859" s="34">
        <v>2021.0</v>
      </c>
      <c r="G1859" s="34" t="s">
        <v>2935</v>
      </c>
      <c r="H1859" s="34" t="s">
        <v>816</v>
      </c>
      <c r="I1859" s="34" t="s">
        <v>2936</v>
      </c>
      <c r="J1859" s="35"/>
      <c r="K1859" s="36"/>
      <c r="L1859" s="36">
        <v>339.0</v>
      </c>
      <c r="M1859" s="36"/>
      <c r="N1859" s="36"/>
      <c r="O1859" s="36"/>
      <c r="P1859" s="37">
        <v>23.0</v>
      </c>
      <c r="Q1859" s="36" t="s">
        <v>1393</v>
      </c>
      <c r="R1859" s="36" t="s">
        <v>96</v>
      </c>
      <c r="S1859" s="36">
        <v>1000.0</v>
      </c>
      <c r="T1859" s="36" t="s">
        <v>536</v>
      </c>
      <c r="U1859" s="36" t="s">
        <v>351</v>
      </c>
      <c r="V1859" s="36">
        <v>275.0</v>
      </c>
      <c r="W1859" s="36"/>
      <c r="X1859" s="38">
        <v>1.0</v>
      </c>
      <c r="Y1859" s="38" t="s">
        <v>2968</v>
      </c>
      <c r="Z1859" s="38" t="s">
        <v>2969</v>
      </c>
      <c r="AA1859" s="38" t="s">
        <v>86</v>
      </c>
      <c r="AB1859" s="38" t="s">
        <v>2970</v>
      </c>
      <c r="AC1859" s="38" t="s">
        <v>2971</v>
      </c>
      <c r="AD1859" s="38" t="s">
        <v>2972</v>
      </c>
      <c r="AE1859" s="38"/>
      <c r="AF1859" s="38" t="s">
        <v>2973</v>
      </c>
      <c r="AG1859" s="38" t="s">
        <v>2974</v>
      </c>
      <c r="AH1859" s="38"/>
      <c r="AI1859" s="50">
        <v>13.6</v>
      </c>
      <c r="AJ1859" s="50">
        <v>2.6</v>
      </c>
      <c r="AK1859" s="41" t="s">
        <v>288</v>
      </c>
      <c r="AL1859" s="40" t="s">
        <v>288</v>
      </c>
      <c r="AM1859" s="49">
        <v>228.0</v>
      </c>
      <c r="AN1859" s="51">
        <v>228.0</v>
      </c>
      <c r="AO1859" s="42" t="s">
        <v>355</v>
      </c>
      <c r="AP1859" s="43" t="s">
        <v>355</v>
      </c>
      <c r="AQ1859" s="44" t="str">
        <f t="shared" si="217"/>
        <v>CRO</v>
      </c>
      <c r="AR1859" s="44">
        <f t="shared" si="199"/>
        <v>228</v>
      </c>
      <c r="AS1859" s="44" t="str">
        <f t="shared" si="222"/>
        <v>B</v>
      </c>
      <c r="AT1859" s="44" t="str">
        <f t="shared" si="202"/>
        <v>BW</v>
      </c>
      <c r="AU1859" s="44" t="str">
        <f t="shared" si="203"/>
        <v>BWh</v>
      </c>
      <c r="AV1859" s="38">
        <v>2.0</v>
      </c>
      <c r="AW1859" s="38"/>
      <c r="AX1859" s="38"/>
      <c r="AY1859" s="38"/>
      <c r="AZ1859" s="29">
        <v>1000.0</v>
      </c>
      <c r="BA1859" s="29"/>
      <c r="BB1859" s="29">
        <v>1.0</v>
      </c>
      <c r="BC1859" s="29" t="s">
        <v>2986</v>
      </c>
      <c r="BD1859" s="29" t="s">
        <v>88</v>
      </c>
      <c r="BE1859" s="29" t="s">
        <v>263</v>
      </c>
      <c r="BF1859" s="29" t="s">
        <v>2942</v>
      </c>
      <c r="BG1859" s="29" t="s">
        <v>91</v>
      </c>
      <c r="BH1859" s="29" t="s">
        <v>88</v>
      </c>
      <c r="BI1859" s="29" t="s">
        <v>1438</v>
      </c>
      <c r="BJ1859" s="29"/>
      <c r="BK1859" s="29" t="s">
        <v>148</v>
      </c>
      <c r="BL1859" s="29" t="s">
        <v>148</v>
      </c>
      <c r="BM1859" s="45"/>
      <c r="BN1859" s="45"/>
      <c r="BO1859" s="46"/>
      <c r="BP1859" s="2"/>
      <c r="BQ1859" s="3"/>
    </row>
    <row r="1860" ht="15.75" customHeight="1">
      <c r="A1860" s="34">
        <v>1972.0</v>
      </c>
      <c r="B1860" s="34">
        <v>104246.0</v>
      </c>
      <c r="C1860" s="34" t="s">
        <v>76</v>
      </c>
      <c r="D1860" s="34" t="s">
        <v>2933</v>
      </c>
      <c r="E1860" s="34" t="s">
        <v>2934</v>
      </c>
      <c r="F1860" s="34">
        <v>2021.0</v>
      </c>
      <c r="G1860" s="34" t="s">
        <v>2935</v>
      </c>
      <c r="H1860" s="34" t="s">
        <v>816</v>
      </c>
      <c r="I1860" s="34" t="s">
        <v>2936</v>
      </c>
      <c r="J1860" s="35"/>
      <c r="K1860" s="36"/>
      <c r="L1860" s="36">
        <v>335.0</v>
      </c>
      <c r="M1860" s="36"/>
      <c r="N1860" s="36"/>
      <c r="O1860" s="36"/>
      <c r="P1860" s="37">
        <v>-16.0</v>
      </c>
      <c r="Q1860" s="36" t="s">
        <v>1393</v>
      </c>
      <c r="R1860" s="36" t="s">
        <v>96</v>
      </c>
      <c r="S1860" s="36">
        <v>1000.0</v>
      </c>
      <c r="T1860" s="36" t="s">
        <v>536</v>
      </c>
      <c r="U1860" s="36" t="s">
        <v>351</v>
      </c>
      <c r="V1860" s="36">
        <v>262.0</v>
      </c>
      <c r="W1860" s="36"/>
      <c r="X1860" s="38">
        <v>1.0</v>
      </c>
      <c r="Y1860" s="38" t="s">
        <v>2975</v>
      </c>
      <c r="Z1860" s="38" t="s">
        <v>2969</v>
      </c>
      <c r="AA1860" s="38" t="s">
        <v>313</v>
      </c>
      <c r="AB1860" s="38" t="s">
        <v>2970</v>
      </c>
      <c r="AC1860" s="38" t="s">
        <v>2971</v>
      </c>
      <c r="AD1860" s="38" t="s">
        <v>2972</v>
      </c>
      <c r="AE1860" s="38"/>
      <c r="AF1860" s="38"/>
      <c r="AG1860" s="38" t="s">
        <v>2974</v>
      </c>
      <c r="AH1860" s="38"/>
      <c r="AI1860" s="50">
        <v>13.6</v>
      </c>
      <c r="AJ1860" s="50">
        <v>2.6</v>
      </c>
      <c r="AK1860" s="41" t="s">
        <v>288</v>
      </c>
      <c r="AL1860" s="40" t="s">
        <v>288</v>
      </c>
      <c r="AM1860" s="49">
        <v>228.0</v>
      </c>
      <c r="AN1860" s="51">
        <v>228.0</v>
      </c>
      <c r="AO1860" s="42" t="s">
        <v>355</v>
      </c>
      <c r="AP1860" s="43" t="s">
        <v>355</v>
      </c>
      <c r="AQ1860" s="44" t="str">
        <f t="shared" si="217"/>
        <v>SAV</v>
      </c>
      <c r="AR1860" s="44">
        <f t="shared" si="199"/>
        <v>228</v>
      </c>
      <c r="AS1860" s="44" t="str">
        <f t="shared" si="222"/>
        <v>B</v>
      </c>
      <c r="AT1860" s="44" t="str">
        <f t="shared" si="202"/>
        <v>BW</v>
      </c>
      <c r="AU1860" s="44" t="str">
        <f t="shared" si="203"/>
        <v>BWh</v>
      </c>
      <c r="AV1860" s="38">
        <v>2.0</v>
      </c>
      <c r="AW1860" s="38"/>
      <c r="AX1860" s="38"/>
      <c r="AY1860" s="38"/>
      <c r="AZ1860" s="29">
        <v>1000.0</v>
      </c>
      <c r="BA1860" s="29"/>
      <c r="BB1860" s="29">
        <v>1.0</v>
      </c>
      <c r="BC1860" s="29" t="s">
        <v>2986</v>
      </c>
      <c r="BD1860" s="29" t="s">
        <v>88</v>
      </c>
      <c r="BE1860" s="29" t="s">
        <v>263</v>
      </c>
      <c r="BF1860" s="29" t="s">
        <v>2942</v>
      </c>
      <c r="BG1860" s="29" t="s">
        <v>91</v>
      </c>
      <c r="BH1860" s="29" t="s">
        <v>88</v>
      </c>
      <c r="BI1860" s="29" t="s">
        <v>1438</v>
      </c>
      <c r="BJ1860" s="29"/>
      <c r="BK1860" s="29" t="s">
        <v>148</v>
      </c>
      <c r="BL1860" s="29" t="s">
        <v>148</v>
      </c>
      <c r="BM1860" s="45"/>
      <c r="BN1860" s="45"/>
      <c r="BO1860" s="46"/>
      <c r="BP1860" s="2"/>
      <c r="BQ1860" s="3"/>
    </row>
    <row r="1861" ht="15.75" customHeight="1">
      <c r="A1861" s="34">
        <v>1973.0</v>
      </c>
      <c r="B1861" s="34">
        <v>104246.0</v>
      </c>
      <c r="C1861" s="34" t="s">
        <v>76</v>
      </c>
      <c r="D1861" s="34" t="s">
        <v>2933</v>
      </c>
      <c r="E1861" s="34" t="s">
        <v>2934</v>
      </c>
      <c r="F1861" s="34">
        <v>2021.0</v>
      </c>
      <c r="G1861" s="34" t="s">
        <v>2935</v>
      </c>
      <c r="H1861" s="34" t="s">
        <v>816</v>
      </c>
      <c r="I1861" s="34" t="s">
        <v>2936</v>
      </c>
      <c r="J1861" s="35"/>
      <c r="K1861" s="36"/>
      <c r="L1861" s="36">
        <v>265.0</v>
      </c>
      <c r="M1861" s="36"/>
      <c r="N1861" s="36"/>
      <c r="O1861" s="36"/>
      <c r="P1861" s="37">
        <v>-10.0</v>
      </c>
      <c r="Q1861" s="36" t="s">
        <v>1393</v>
      </c>
      <c r="R1861" s="36" t="s">
        <v>96</v>
      </c>
      <c r="S1861" s="36">
        <v>1000.0</v>
      </c>
      <c r="T1861" s="36" t="s">
        <v>242</v>
      </c>
      <c r="U1861" s="36" t="s">
        <v>243</v>
      </c>
      <c r="V1861" s="36">
        <f>167+241</f>
        <v>408</v>
      </c>
      <c r="W1861" s="36"/>
      <c r="X1861" s="38">
        <v>1.0</v>
      </c>
      <c r="Y1861" s="38" t="s">
        <v>2976</v>
      </c>
      <c r="Z1861" s="38" t="s">
        <v>2977</v>
      </c>
      <c r="AA1861" s="38" t="s">
        <v>86</v>
      </c>
      <c r="AB1861" s="38" t="s">
        <v>2978</v>
      </c>
      <c r="AC1861" s="38" t="s">
        <v>2979</v>
      </c>
      <c r="AD1861" s="38" t="s">
        <v>2980</v>
      </c>
      <c r="AE1861" s="38"/>
      <c r="AF1861" s="38" t="s">
        <v>2316</v>
      </c>
      <c r="AG1861" s="38" t="s">
        <v>1459</v>
      </c>
      <c r="AH1861" s="38"/>
      <c r="AI1861" s="50">
        <v>35.181714</v>
      </c>
      <c r="AJ1861" s="50">
        <v>9.545662</v>
      </c>
      <c r="AK1861" s="41" t="s">
        <v>86</v>
      </c>
      <c r="AL1861" s="40" t="s">
        <v>86</v>
      </c>
      <c r="AM1861" s="49">
        <v>369.0</v>
      </c>
      <c r="AN1861" s="51">
        <v>369.0</v>
      </c>
      <c r="AO1861" s="42" t="s">
        <v>355</v>
      </c>
      <c r="AP1861" s="43" t="s">
        <v>355</v>
      </c>
      <c r="AQ1861" s="44" t="str">
        <f t="shared" si="217"/>
        <v>CRO</v>
      </c>
      <c r="AR1861" s="44">
        <f t="shared" si="199"/>
        <v>369</v>
      </c>
      <c r="AS1861" s="44" t="str">
        <f t="shared" si="222"/>
        <v>B</v>
      </c>
      <c r="AT1861" s="44" t="str">
        <f t="shared" si="202"/>
        <v>BW</v>
      </c>
      <c r="AU1861" s="44" t="str">
        <f t="shared" si="203"/>
        <v>BWh</v>
      </c>
      <c r="AV1861" s="38">
        <v>3.0</v>
      </c>
      <c r="AW1861" s="38"/>
      <c r="AX1861" s="38"/>
      <c r="AY1861" s="38"/>
      <c r="AZ1861" s="29">
        <v>1000.0</v>
      </c>
      <c r="BA1861" s="29"/>
      <c r="BB1861" s="29">
        <v>1.0</v>
      </c>
      <c r="BC1861" s="29" t="s">
        <v>2986</v>
      </c>
      <c r="BD1861" s="29" t="s">
        <v>88</v>
      </c>
      <c r="BE1861" s="29" t="s">
        <v>263</v>
      </c>
      <c r="BF1861" s="29" t="s">
        <v>2942</v>
      </c>
      <c r="BG1861" s="29" t="s">
        <v>91</v>
      </c>
      <c r="BH1861" s="29" t="s">
        <v>88</v>
      </c>
      <c r="BI1861" s="29" t="s">
        <v>1438</v>
      </c>
      <c r="BJ1861" s="29"/>
      <c r="BK1861" s="29" t="s">
        <v>148</v>
      </c>
      <c r="BL1861" s="29" t="s">
        <v>148</v>
      </c>
      <c r="BM1861" s="45"/>
      <c r="BN1861" s="45"/>
      <c r="BO1861" s="46"/>
      <c r="BP1861" s="2"/>
      <c r="BQ1861" s="3"/>
    </row>
    <row r="1862" ht="15.75" customHeight="1">
      <c r="A1862" s="34">
        <v>1974.0</v>
      </c>
      <c r="B1862" s="34">
        <v>104246.0</v>
      </c>
      <c r="C1862" s="34" t="s">
        <v>76</v>
      </c>
      <c r="D1862" s="34" t="s">
        <v>2933</v>
      </c>
      <c r="E1862" s="34" t="s">
        <v>2934</v>
      </c>
      <c r="F1862" s="34">
        <v>2021.0</v>
      </c>
      <c r="G1862" s="34" t="s">
        <v>2935</v>
      </c>
      <c r="H1862" s="34" t="s">
        <v>816</v>
      </c>
      <c r="I1862" s="34" t="s">
        <v>2936</v>
      </c>
      <c r="J1862" s="35"/>
      <c r="K1862" s="36"/>
      <c r="L1862" s="36">
        <v>558.0</v>
      </c>
      <c r="M1862" s="36"/>
      <c r="N1862" s="36"/>
      <c r="O1862" s="36"/>
      <c r="P1862" s="37">
        <v>-20.0</v>
      </c>
      <c r="Q1862" s="36" t="s">
        <v>1393</v>
      </c>
      <c r="R1862" s="36" t="s">
        <v>96</v>
      </c>
      <c r="S1862" s="36">
        <v>1000.0</v>
      </c>
      <c r="T1862" s="36" t="s">
        <v>242</v>
      </c>
      <c r="U1862" s="36" t="s">
        <v>2955</v>
      </c>
      <c r="V1862" s="36">
        <f>365+365+233</f>
        <v>963</v>
      </c>
      <c r="W1862" s="36"/>
      <c r="X1862" s="38">
        <v>1.0</v>
      </c>
      <c r="Y1862" s="38" t="s">
        <v>2981</v>
      </c>
      <c r="Z1862" s="38" t="s">
        <v>2977</v>
      </c>
      <c r="AA1862" s="38" t="s">
        <v>86</v>
      </c>
      <c r="AB1862" s="38" t="s">
        <v>2978</v>
      </c>
      <c r="AC1862" s="38" t="s">
        <v>2979</v>
      </c>
      <c r="AD1862" s="38" t="s">
        <v>2980</v>
      </c>
      <c r="AE1862" s="38"/>
      <c r="AF1862" s="38" t="s">
        <v>238</v>
      </c>
      <c r="AG1862" s="38" t="s">
        <v>1459</v>
      </c>
      <c r="AH1862" s="38"/>
      <c r="AI1862" s="50">
        <v>35.181714</v>
      </c>
      <c r="AJ1862" s="50">
        <v>9.545662</v>
      </c>
      <c r="AK1862" s="41" t="s">
        <v>86</v>
      </c>
      <c r="AL1862" s="40" t="s">
        <v>86</v>
      </c>
      <c r="AM1862" s="49">
        <v>369.0</v>
      </c>
      <c r="AN1862" s="51">
        <v>369.0</v>
      </c>
      <c r="AO1862" s="42" t="s">
        <v>355</v>
      </c>
      <c r="AP1862" s="43" t="s">
        <v>355</v>
      </c>
      <c r="AQ1862" s="44" t="str">
        <f t="shared" si="217"/>
        <v>CRO</v>
      </c>
      <c r="AR1862" s="44">
        <f t="shared" si="199"/>
        <v>369</v>
      </c>
      <c r="AS1862" s="44" t="str">
        <f t="shared" si="222"/>
        <v>B</v>
      </c>
      <c r="AT1862" s="44" t="str">
        <f t="shared" si="202"/>
        <v>BW</v>
      </c>
      <c r="AU1862" s="44" t="str">
        <f t="shared" si="203"/>
        <v>BWh</v>
      </c>
      <c r="AV1862" s="38">
        <v>3.0</v>
      </c>
      <c r="AW1862" s="38"/>
      <c r="AX1862" s="38"/>
      <c r="AY1862" s="38"/>
      <c r="AZ1862" s="29">
        <v>1000.0</v>
      </c>
      <c r="BA1862" s="29"/>
      <c r="BB1862" s="29">
        <v>1.0</v>
      </c>
      <c r="BC1862" s="29" t="s">
        <v>2986</v>
      </c>
      <c r="BD1862" s="29" t="s">
        <v>88</v>
      </c>
      <c r="BE1862" s="29" t="s">
        <v>263</v>
      </c>
      <c r="BF1862" s="29" t="s">
        <v>2942</v>
      </c>
      <c r="BG1862" s="29" t="s">
        <v>91</v>
      </c>
      <c r="BH1862" s="29" t="s">
        <v>88</v>
      </c>
      <c r="BI1862" s="29" t="s">
        <v>1438</v>
      </c>
      <c r="BJ1862" s="29"/>
      <c r="BK1862" s="29" t="s">
        <v>148</v>
      </c>
      <c r="BL1862" s="29" t="s">
        <v>148</v>
      </c>
      <c r="BM1862" s="45"/>
      <c r="BN1862" s="45"/>
      <c r="BO1862" s="46"/>
      <c r="BP1862" s="2"/>
      <c r="BQ1862" s="3"/>
    </row>
    <row r="1863" ht="15.75" customHeight="1">
      <c r="A1863" s="34">
        <v>1975.0</v>
      </c>
      <c r="B1863" s="34">
        <v>104246.0</v>
      </c>
      <c r="C1863" s="34" t="s">
        <v>76</v>
      </c>
      <c r="D1863" s="34" t="s">
        <v>2933</v>
      </c>
      <c r="E1863" s="34" t="s">
        <v>2934</v>
      </c>
      <c r="F1863" s="34">
        <v>2021.0</v>
      </c>
      <c r="G1863" s="34" t="s">
        <v>2935</v>
      </c>
      <c r="H1863" s="34" t="s">
        <v>816</v>
      </c>
      <c r="I1863" s="34" t="s">
        <v>2936</v>
      </c>
      <c r="J1863" s="35"/>
      <c r="K1863" s="36"/>
      <c r="L1863" s="36">
        <v>288.0</v>
      </c>
      <c r="M1863" s="36"/>
      <c r="N1863" s="36"/>
      <c r="O1863" s="36"/>
      <c r="P1863" s="37">
        <v>-14.0</v>
      </c>
      <c r="Q1863" s="36" t="s">
        <v>1393</v>
      </c>
      <c r="R1863" s="36" t="s">
        <v>96</v>
      </c>
      <c r="S1863" s="36">
        <v>1000.0</v>
      </c>
      <c r="T1863" s="36" t="s">
        <v>295</v>
      </c>
      <c r="U1863" s="36" t="s">
        <v>968</v>
      </c>
      <c r="V1863" s="36">
        <v>148.0</v>
      </c>
      <c r="W1863" s="36"/>
      <c r="X1863" s="38">
        <v>1.0</v>
      </c>
      <c r="Y1863" s="38" t="s">
        <v>2982</v>
      </c>
      <c r="Z1863" s="38" t="s">
        <v>2983</v>
      </c>
      <c r="AA1863" s="38" t="s">
        <v>86</v>
      </c>
      <c r="AB1863" s="38" t="s">
        <v>2984</v>
      </c>
      <c r="AC1863" s="38" t="s">
        <v>2985</v>
      </c>
      <c r="AD1863" s="38" t="s">
        <v>2235</v>
      </c>
      <c r="AE1863" s="53"/>
      <c r="AF1863" s="38" t="s">
        <v>2316</v>
      </c>
      <c r="AG1863" s="38"/>
      <c r="AH1863" s="38"/>
      <c r="AI1863" s="50">
        <v>31.6725</v>
      </c>
      <c r="AJ1863" s="50">
        <v>-7.59597</v>
      </c>
      <c r="AK1863" s="41" t="s">
        <v>86</v>
      </c>
      <c r="AL1863" s="40" t="s">
        <v>86</v>
      </c>
      <c r="AM1863" s="49">
        <v>572.0</v>
      </c>
      <c r="AN1863" s="51">
        <v>572.0</v>
      </c>
      <c r="AO1863" s="42" t="s">
        <v>304</v>
      </c>
      <c r="AP1863" s="43" t="s">
        <v>304</v>
      </c>
      <c r="AQ1863" s="44" t="str">
        <f t="shared" si="217"/>
        <v>CRO</v>
      </c>
      <c r="AR1863" s="44">
        <f t="shared" si="199"/>
        <v>572</v>
      </c>
      <c r="AS1863" s="44" t="str">
        <f t="shared" si="222"/>
        <v>B</v>
      </c>
      <c r="AT1863" s="44" t="str">
        <f t="shared" si="202"/>
        <v>BS</v>
      </c>
      <c r="AU1863" s="44" t="str">
        <f t="shared" si="203"/>
        <v>BSh</v>
      </c>
      <c r="AV1863" s="38">
        <v>2.0</v>
      </c>
      <c r="AW1863" s="38"/>
      <c r="AX1863" s="38"/>
      <c r="AY1863" s="38"/>
      <c r="AZ1863" s="29">
        <v>1000.0</v>
      </c>
      <c r="BA1863" s="29"/>
      <c r="BB1863" s="29">
        <v>1.0</v>
      </c>
      <c r="BC1863" s="29" t="s">
        <v>2986</v>
      </c>
      <c r="BD1863" s="29" t="s">
        <v>88</v>
      </c>
      <c r="BE1863" s="29" t="s">
        <v>263</v>
      </c>
      <c r="BF1863" s="29" t="s">
        <v>2942</v>
      </c>
      <c r="BG1863" s="29" t="s">
        <v>91</v>
      </c>
      <c r="BH1863" s="29" t="s">
        <v>88</v>
      </c>
      <c r="BI1863" s="29" t="s">
        <v>1438</v>
      </c>
      <c r="BJ1863" s="29"/>
      <c r="BK1863" s="29" t="s">
        <v>148</v>
      </c>
      <c r="BL1863" s="29" t="s">
        <v>148</v>
      </c>
      <c r="BM1863" s="45"/>
      <c r="BN1863" s="45"/>
      <c r="BO1863" s="46"/>
      <c r="BP1863" s="2"/>
      <c r="BQ1863" s="3"/>
    </row>
    <row r="1864" ht="15.75" customHeight="1">
      <c r="A1864" s="34">
        <v>1976.0</v>
      </c>
      <c r="B1864" s="34">
        <v>104246.0</v>
      </c>
      <c r="C1864" s="34" t="s">
        <v>76</v>
      </c>
      <c r="D1864" s="34" t="s">
        <v>2933</v>
      </c>
      <c r="E1864" s="34" t="s">
        <v>2934</v>
      </c>
      <c r="F1864" s="34">
        <v>2021.0</v>
      </c>
      <c r="G1864" s="34" t="s">
        <v>2935</v>
      </c>
      <c r="H1864" s="34" t="s">
        <v>816</v>
      </c>
      <c r="I1864" s="34" t="s">
        <v>2936</v>
      </c>
      <c r="J1864" s="35"/>
      <c r="K1864" s="36"/>
      <c r="L1864" s="36">
        <v>375.0</v>
      </c>
      <c r="M1864" s="36"/>
      <c r="N1864" s="36"/>
      <c r="O1864" s="36"/>
      <c r="P1864" s="37">
        <v>13.0</v>
      </c>
      <c r="Q1864" s="36" t="s">
        <v>1393</v>
      </c>
      <c r="R1864" s="36" t="s">
        <v>96</v>
      </c>
      <c r="S1864" s="36">
        <v>1000.0</v>
      </c>
      <c r="T1864" s="36" t="s">
        <v>341</v>
      </c>
      <c r="U1864" s="36" t="s">
        <v>285</v>
      </c>
      <c r="V1864" s="36">
        <v>246.0</v>
      </c>
      <c r="W1864" s="36"/>
      <c r="X1864" s="38">
        <v>1.0</v>
      </c>
      <c r="Y1864" s="38" t="s">
        <v>2937</v>
      </c>
      <c r="Z1864" s="38" t="s">
        <v>2938</v>
      </c>
      <c r="AA1864" s="38" t="s">
        <v>86</v>
      </c>
      <c r="AB1864" s="38" t="s">
        <v>2939</v>
      </c>
      <c r="AC1864" s="38" t="s">
        <v>2940</v>
      </c>
      <c r="AD1864" s="38" t="s">
        <v>382</v>
      </c>
      <c r="AE1864" s="38"/>
      <c r="AF1864" s="38" t="s">
        <v>2316</v>
      </c>
      <c r="AG1864" s="38" t="s">
        <v>2928</v>
      </c>
      <c r="AH1864" s="38"/>
      <c r="AI1864" s="50">
        <v>43.5497</v>
      </c>
      <c r="AJ1864" s="50">
        <v>1.1061</v>
      </c>
      <c r="AK1864" s="41" t="s">
        <v>86</v>
      </c>
      <c r="AL1864" s="40" t="s">
        <v>86</v>
      </c>
      <c r="AM1864" s="49">
        <v>246.0</v>
      </c>
      <c r="AN1864" s="51">
        <v>246.0</v>
      </c>
      <c r="AO1864" s="42" t="s">
        <v>376</v>
      </c>
      <c r="AP1864" s="43" t="s">
        <v>376</v>
      </c>
      <c r="AQ1864" s="44" t="str">
        <f t="shared" si="217"/>
        <v>CRO</v>
      </c>
      <c r="AR1864" s="44">
        <f t="shared" si="199"/>
        <v>246</v>
      </c>
      <c r="AS1864" s="44" t="str">
        <f t="shared" si="222"/>
        <v>C</v>
      </c>
      <c r="AT1864" s="44" t="str">
        <f t="shared" si="202"/>
        <v>Cf</v>
      </c>
      <c r="AU1864" s="44" t="str">
        <f t="shared" si="203"/>
        <v>Cfb</v>
      </c>
      <c r="AV1864" s="38">
        <v>2.0</v>
      </c>
      <c r="AW1864" s="38"/>
      <c r="AX1864" s="38"/>
      <c r="AY1864" s="38"/>
      <c r="AZ1864" s="29">
        <v>1000.0</v>
      </c>
      <c r="BA1864" s="29"/>
      <c r="BB1864" s="29">
        <v>1.0</v>
      </c>
      <c r="BC1864" s="29" t="s">
        <v>2987</v>
      </c>
      <c r="BD1864" s="29" t="s">
        <v>88</v>
      </c>
      <c r="BE1864" s="29" t="s">
        <v>263</v>
      </c>
      <c r="BF1864" s="29" t="s">
        <v>2942</v>
      </c>
      <c r="BG1864" s="29" t="s">
        <v>91</v>
      </c>
      <c r="BH1864" s="29" t="s">
        <v>88</v>
      </c>
      <c r="BI1864" s="29" t="s">
        <v>1438</v>
      </c>
      <c r="BJ1864" s="29"/>
      <c r="BK1864" s="29" t="s">
        <v>148</v>
      </c>
      <c r="BL1864" s="29" t="s">
        <v>148</v>
      </c>
      <c r="BM1864" s="45"/>
      <c r="BN1864" s="45"/>
      <c r="BO1864" s="46"/>
      <c r="BP1864" s="2"/>
      <c r="BQ1864" s="3"/>
    </row>
    <row r="1865" ht="15.75" customHeight="1">
      <c r="A1865" s="34">
        <v>1977.0</v>
      </c>
      <c r="B1865" s="34">
        <v>104246.0</v>
      </c>
      <c r="C1865" s="34" t="s">
        <v>76</v>
      </c>
      <c r="D1865" s="34" t="s">
        <v>2933</v>
      </c>
      <c r="E1865" s="34" t="s">
        <v>2934</v>
      </c>
      <c r="F1865" s="34">
        <v>2021.0</v>
      </c>
      <c r="G1865" s="34" t="s">
        <v>2935</v>
      </c>
      <c r="H1865" s="34" t="s">
        <v>816</v>
      </c>
      <c r="I1865" s="34" t="s">
        <v>2936</v>
      </c>
      <c r="J1865" s="35"/>
      <c r="K1865" s="36"/>
      <c r="L1865" s="36">
        <v>268.0</v>
      </c>
      <c r="M1865" s="36"/>
      <c r="N1865" s="36"/>
      <c r="O1865" s="36"/>
      <c r="P1865" s="37">
        <v>69.0</v>
      </c>
      <c r="Q1865" s="36" t="s">
        <v>1393</v>
      </c>
      <c r="R1865" s="36" t="s">
        <v>96</v>
      </c>
      <c r="S1865" s="36">
        <v>1000.0</v>
      </c>
      <c r="T1865" s="36" t="s">
        <v>350</v>
      </c>
      <c r="U1865" s="36" t="s">
        <v>342</v>
      </c>
      <c r="V1865" s="36">
        <v>164.0</v>
      </c>
      <c r="W1865" s="36"/>
      <c r="X1865" s="38">
        <v>1.0</v>
      </c>
      <c r="Y1865" s="38" t="s">
        <v>2943</v>
      </c>
      <c r="Z1865" s="38" t="s">
        <v>2938</v>
      </c>
      <c r="AA1865" s="38" t="s">
        <v>86</v>
      </c>
      <c r="AB1865" s="38" t="s">
        <v>2939</v>
      </c>
      <c r="AC1865" s="38" t="s">
        <v>2940</v>
      </c>
      <c r="AD1865" s="38" t="s">
        <v>382</v>
      </c>
      <c r="AE1865" s="38"/>
      <c r="AF1865" s="38" t="s">
        <v>2944</v>
      </c>
      <c r="AG1865" s="38" t="s">
        <v>2928</v>
      </c>
      <c r="AH1865" s="38"/>
      <c r="AI1865" s="50">
        <v>43.5497</v>
      </c>
      <c r="AJ1865" s="50">
        <v>1.1061</v>
      </c>
      <c r="AK1865" s="41" t="s">
        <v>86</v>
      </c>
      <c r="AL1865" s="40" t="s">
        <v>86</v>
      </c>
      <c r="AM1865" s="49">
        <v>246.0</v>
      </c>
      <c r="AN1865" s="51">
        <v>246.0</v>
      </c>
      <c r="AO1865" s="42" t="s">
        <v>376</v>
      </c>
      <c r="AP1865" s="43" t="s">
        <v>376</v>
      </c>
      <c r="AQ1865" s="44" t="str">
        <f t="shared" si="217"/>
        <v>CRO</v>
      </c>
      <c r="AR1865" s="44">
        <f t="shared" si="199"/>
        <v>246</v>
      </c>
      <c r="AS1865" s="44" t="str">
        <f t="shared" si="222"/>
        <v>C</v>
      </c>
      <c r="AT1865" s="44" t="str">
        <f t="shared" si="202"/>
        <v>Cf</v>
      </c>
      <c r="AU1865" s="44" t="str">
        <f t="shared" si="203"/>
        <v>Cfb</v>
      </c>
      <c r="AV1865" s="38">
        <v>2.0</v>
      </c>
      <c r="AW1865" s="38"/>
      <c r="AX1865" s="38"/>
      <c r="AY1865" s="38"/>
      <c r="AZ1865" s="29">
        <v>1000.0</v>
      </c>
      <c r="BA1865" s="29"/>
      <c r="BB1865" s="29">
        <v>1.0</v>
      </c>
      <c r="BC1865" s="29" t="s">
        <v>2987</v>
      </c>
      <c r="BD1865" s="29" t="s">
        <v>88</v>
      </c>
      <c r="BE1865" s="29" t="s">
        <v>263</v>
      </c>
      <c r="BF1865" s="29" t="s">
        <v>2942</v>
      </c>
      <c r="BG1865" s="29" t="s">
        <v>91</v>
      </c>
      <c r="BH1865" s="29" t="s">
        <v>88</v>
      </c>
      <c r="BI1865" s="29" t="s">
        <v>1438</v>
      </c>
      <c r="BJ1865" s="29"/>
      <c r="BK1865" s="29" t="s">
        <v>148</v>
      </c>
      <c r="BL1865" s="29" t="s">
        <v>148</v>
      </c>
      <c r="BM1865" s="45"/>
      <c r="BN1865" s="45"/>
      <c r="BO1865" s="46"/>
      <c r="BP1865" s="2"/>
      <c r="BQ1865" s="3"/>
    </row>
    <row r="1866" ht="15.75" customHeight="1">
      <c r="A1866" s="34">
        <v>1978.0</v>
      </c>
      <c r="B1866" s="34">
        <v>104246.0</v>
      </c>
      <c r="C1866" s="34" t="s">
        <v>76</v>
      </c>
      <c r="D1866" s="34" t="s">
        <v>2933</v>
      </c>
      <c r="E1866" s="34" t="s">
        <v>2934</v>
      </c>
      <c r="F1866" s="34">
        <v>2021.0</v>
      </c>
      <c r="G1866" s="34" t="s">
        <v>2935</v>
      </c>
      <c r="H1866" s="34" t="s">
        <v>816</v>
      </c>
      <c r="I1866" s="34" t="s">
        <v>2936</v>
      </c>
      <c r="J1866" s="35"/>
      <c r="K1866" s="36"/>
      <c r="L1866" s="36">
        <v>218.0</v>
      </c>
      <c r="M1866" s="36"/>
      <c r="N1866" s="36"/>
      <c r="O1866" s="36"/>
      <c r="P1866" s="37">
        <v>75.0</v>
      </c>
      <c r="Q1866" s="36" t="s">
        <v>1393</v>
      </c>
      <c r="R1866" s="36" t="s">
        <v>96</v>
      </c>
      <c r="S1866" s="36">
        <v>1000.0</v>
      </c>
      <c r="T1866" s="36" t="s">
        <v>506</v>
      </c>
      <c r="U1866" s="36" t="s">
        <v>676</v>
      </c>
      <c r="V1866" s="36">
        <v>258.0</v>
      </c>
      <c r="W1866" s="36"/>
      <c r="X1866" s="38">
        <v>1.0</v>
      </c>
      <c r="Y1866" s="38" t="s">
        <v>2945</v>
      </c>
      <c r="Z1866" s="38" t="s">
        <v>2938</v>
      </c>
      <c r="AA1866" s="38" t="s">
        <v>86</v>
      </c>
      <c r="AB1866" s="38" t="s">
        <v>2939</v>
      </c>
      <c r="AC1866" s="38" t="s">
        <v>2940</v>
      </c>
      <c r="AD1866" s="38" t="s">
        <v>382</v>
      </c>
      <c r="AE1866" s="38"/>
      <c r="AF1866" s="38" t="s">
        <v>2316</v>
      </c>
      <c r="AG1866" s="38" t="s">
        <v>2928</v>
      </c>
      <c r="AH1866" s="38"/>
      <c r="AI1866" s="50">
        <v>43.5497</v>
      </c>
      <c r="AJ1866" s="50">
        <v>1.1061</v>
      </c>
      <c r="AK1866" s="41" t="s">
        <v>86</v>
      </c>
      <c r="AL1866" s="40" t="s">
        <v>86</v>
      </c>
      <c r="AM1866" s="49">
        <v>246.0</v>
      </c>
      <c r="AN1866" s="51">
        <v>246.0</v>
      </c>
      <c r="AO1866" s="42" t="s">
        <v>376</v>
      </c>
      <c r="AP1866" s="43" t="s">
        <v>376</v>
      </c>
      <c r="AQ1866" s="44" t="str">
        <f t="shared" si="217"/>
        <v>CRO</v>
      </c>
      <c r="AR1866" s="44">
        <f t="shared" si="199"/>
        <v>246</v>
      </c>
      <c r="AS1866" s="44" t="str">
        <f t="shared" si="222"/>
        <v>C</v>
      </c>
      <c r="AT1866" s="44" t="str">
        <f t="shared" si="202"/>
        <v>Cf</v>
      </c>
      <c r="AU1866" s="44" t="str">
        <f t="shared" si="203"/>
        <v>Cfb</v>
      </c>
      <c r="AV1866" s="38">
        <v>2.0</v>
      </c>
      <c r="AW1866" s="38"/>
      <c r="AX1866" s="38"/>
      <c r="AY1866" s="38"/>
      <c r="AZ1866" s="29">
        <v>1000.0</v>
      </c>
      <c r="BA1866" s="29"/>
      <c r="BB1866" s="29">
        <v>1.0</v>
      </c>
      <c r="BC1866" s="29" t="s">
        <v>2987</v>
      </c>
      <c r="BD1866" s="29" t="s">
        <v>88</v>
      </c>
      <c r="BE1866" s="29" t="s">
        <v>263</v>
      </c>
      <c r="BF1866" s="29" t="s">
        <v>2942</v>
      </c>
      <c r="BG1866" s="29" t="s">
        <v>91</v>
      </c>
      <c r="BH1866" s="29" t="s">
        <v>88</v>
      </c>
      <c r="BI1866" s="29" t="s">
        <v>1438</v>
      </c>
      <c r="BJ1866" s="29"/>
      <c r="BK1866" s="29" t="s">
        <v>148</v>
      </c>
      <c r="BL1866" s="29" t="s">
        <v>148</v>
      </c>
      <c r="BM1866" s="45"/>
      <c r="BN1866" s="45"/>
      <c r="BO1866" s="46"/>
      <c r="BP1866" s="2"/>
      <c r="BQ1866" s="3"/>
    </row>
    <row r="1867" ht="15.75" customHeight="1">
      <c r="A1867" s="34">
        <v>1979.0</v>
      </c>
      <c r="B1867" s="34">
        <v>104246.0</v>
      </c>
      <c r="C1867" s="34" t="s">
        <v>76</v>
      </c>
      <c r="D1867" s="34" t="s">
        <v>2933</v>
      </c>
      <c r="E1867" s="34" t="s">
        <v>2934</v>
      </c>
      <c r="F1867" s="34">
        <v>2021.0</v>
      </c>
      <c r="G1867" s="34" t="s">
        <v>2935</v>
      </c>
      <c r="H1867" s="34" t="s">
        <v>816</v>
      </c>
      <c r="I1867" s="34" t="s">
        <v>2936</v>
      </c>
      <c r="J1867" s="35"/>
      <c r="K1867" s="36"/>
      <c r="L1867" s="36">
        <v>340.0</v>
      </c>
      <c r="M1867" s="36"/>
      <c r="N1867" s="36"/>
      <c r="O1867" s="36"/>
      <c r="P1867" s="37">
        <v>69.0</v>
      </c>
      <c r="Q1867" s="36" t="s">
        <v>1393</v>
      </c>
      <c r="R1867" s="36" t="s">
        <v>96</v>
      </c>
      <c r="S1867" s="36">
        <v>1000.0</v>
      </c>
      <c r="T1867" s="36" t="s">
        <v>350</v>
      </c>
      <c r="U1867" s="36" t="s">
        <v>342</v>
      </c>
      <c r="V1867" s="36">
        <v>269.0</v>
      </c>
      <c r="W1867" s="36"/>
      <c r="X1867" s="38">
        <v>1.0</v>
      </c>
      <c r="Y1867" s="38" t="s">
        <v>2946</v>
      </c>
      <c r="Z1867" s="38" t="s">
        <v>2947</v>
      </c>
      <c r="AA1867" s="38" t="s">
        <v>86</v>
      </c>
      <c r="AB1867" s="38" t="s">
        <v>2948</v>
      </c>
      <c r="AC1867" s="38" t="s">
        <v>2949</v>
      </c>
      <c r="AD1867" s="38" t="s">
        <v>382</v>
      </c>
      <c r="AE1867" s="38"/>
      <c r="AF1867" s="38" t="s">
        <v>2316</v>
      </c>
      <c r="AG1867" s="38" t="s">
        <v>2928</v>
      </c>
      <c r="AH1867" s="38"/>
      <c r="AI1867" s="50">
        <v>43.4965</v>
      </c>
      <c r="AJ1867" s="50">
        <v>1.2379</v>
      </c>
      <c r="AK1867" s="41" t="s">
        <v>86</v>
      </c>
      <c r="AL1867" s="40" t="s">
        <v>86</v>
      </c>
      <c r="AM1867" s="49">
        <v>181.0</v>
      </c>
      <c r="AN1867" s="51">
        <v>181.0</v>
      </c>
      <c r="AO1867" s="42" t="s">
        <v>201</v>
      </c>
      <c r="AP1867" s="43" t="s">
        <v>201</v>
      </c>
      <c r="AQ1867" s="44" t="str">
        <f t="shared" si="217"/>
        <v>CRO</v>
      </c>
      <c r="AR1867" s="44">
        <f t="shared" si="199"/>
        <v>181</v>
      </c>
      <c r="AS1867" s="44" t="str">
        <f t="shared" si="222"/>
        <v>C</v>
      </c>
      <c r="AT1867" s="44" t="str">
        <f t="shared" si="202"/>
        <v>Cf</v>
      </c>
      <c r="AU1867" s="44" t="str">
        <f t="shared" si="203"/>
        <v>Cfa</v>
      </c>
      <c r="AV1867" s="38">
        <v>2.0</v>
      </c>
      <c r="AW1867" s="38"/>
      <c r="AX1867" s="38"/>
      <c r="AY1867" s="38"/>
      <c r="AZ1867" s="29">
        <v>1000.0</v>
      </c>
      <c r="BA1867" s="29"/>
      <c r="BB1867" s="29">
        <v>1.0</v>
      </c>
      <c r="BC1867" s="29" t="s">
        <v>2987</v>
      </c>
      <c r="BD1867" s="29" t="s">
        <v>88</v>
      </c>
      <c r="BE1867" s="29" t="s">
        <v>263</v>
      </c>
      <c r="BF1867" s="29" t="s">
        <v>2942</v>
      </c>
      <c r="BG1867" s="29" t="s">
        <v>91</v>
      </c>
      <c r="BH1867" s="29" t="s">
        <v>88</v>
      </c>
      <c r="BI1867" s="29" t="s">
        <v>1438</v>
      </c>
      <c r="BJ1867" s="29"/>
      <c r="BK1867" s="29" t="s">
        <v>148</v>
      </c>
      <c r="BL1867" s="29" t="s">
        <v>148</v>
      </c>
      <c r="BM1867" s="45"/>
      <c r="BN1867" s="45"/>
      <c r="BO1867" s="46"/>
      <c r="BP1867" s="2"/>
      <c r="BQ1867" s="3"/>
    </row>
    <row r="1868" ht="15.75" customHeight="1">
      <c r="A1868" s="34">
        <v>1980.0</v>
      </c>
      <c r="B1868" s="34">
        <v>104246.0</v>
      </c>
      <c r="C1868" s="34" t="s">
        <v>76</v>
      </c>
      <c r="D1868" s="34" t="s">
        <v>2933</v>
      </c>
      <c r="E1868" s="34" t="s">
        <v>2934</v>
      </c>
      <c r="F1868" s="34">
        <v>2021.0</v>
      </c>
      <c r="G1868" s="34" t="s">
        <v>2935</v>
      </c>
      <c r="H1868" s="34" t="s">
        <v>816</v>
      </c>
      <c r="I1868" s="34" t="s">
        <v>2936</v>
      </c>
      <c r="J1868" s="35"/>
      <c r="K1868" s="36"/>
      <c r="L1868" s="36">
        <v>427.0</v>
      </c>
      <c r="M1868" s="36"/>
      <c r="N1868" s="36"/>
      <c r="O1868" s="36"/>
      <c r="P1868" s="37">
        <v>21.0</v>
      </c>
      <c r="Q1868" s="36" t="s">
        <v>1393</v>
      </c>
      <c r="R1868" s="36" t="s">
        <v>96</v>
      </c>
      <c r="S1868" s="36">
        <v>1000.0</v>
      </c>
      <c r="T1868" s="36" t="s">
        <v>506</v>
      </c>
      <c r="U1868" s="36" t="s">
        <v>676</v>
      </c>
      <c r="V1868" s="36">
        <v>161.0</v>
      </c>
      <c r="W1868" s="36"/>
      <c r="X1868" s="38">
        <v>1.0</v>
      </c>
      <c r="Y1868" s="38" t="s">
        <v>2950</v>
      </c>
      <c r="Z1868" s="38" t="s">
        <v>2947</v>
      </c>
      <c r="AA1868" s="38" t="s">
        <v>86</v>
      </c>
      <c r="AB1868" s="38" t="s">
        <v>2948</v>
      </c>
      <c r="AC1868" s="38" t="s">
        <v>2949</v>
      </c>
      <c r="AD1868" s="38" t="s">
        <v>382</v>
      </c>
      <c r="AE1868" s="38"/>
      <c r="AF1868" s="38" t="s">
        <v>525</v>
      </c>
      <c r="AG1868" s="38" t="s">
        <v>2928</v>
      </c>
      <c r="AH1868" s="38"/>
      <c r="AI1868" s="50">
        <v>43.4965</v>
      </c>
      <c r="AJ1868" s="50">
        <v>1.2379</v>
      </c>
      <c r="AK1868" s="41" t="s">
        <v>86</v>
      </c>
      <c r="AL1868" s="40" t="s">
        <v>86</v>
      </c>
      <c r="AM1868" s="49">
        <v>181.0</v>
      </c>
      <c r="AN1868" s="51">
        <v>181.0</v>
      </c>
      <c r="AO1868" s="42" t="s">
        <v>201</v>
      </c>
      <c r="AP1868" s="43" t="s">
        <v>201</v>
      </c>
      <c r="AQ1868" s="44" t="str">
        <f t="shared" si="217"/>
        <v>CRO</v>
      </c>
      <c r="AR1868" s="44">
        <f t="shared" si="199"/>
        <v>181</v>
      </c>
      <c r="AS1868" s="44" t="str">
        <f t="shared" si="222"/>
        <v>C</v>
      </c>
      <c r="AT1868" s="44" t="str">
        <f t="shared" si="202"/>
        <v>Cf</v>
      </c>
      <c r="AU1868" s="44" t="str">
        <f t="shared" si="203"/>
        <v>Cfa</v>
      </c>
      <c r="AV1868" s="38">
        <v>2.0</v>
      </c>
      <c r="AW1868" s="38"/>
      <c r="AX1868" s="38"/>
      <c r="AY1868" s="38"/>
      <c r="AZ1868" s="29">
        <v>1000.0</v>
      </c>
      <c r="BA1868" s="29"/>
      <c r="BB1868" s="29">
        <v>1.0</v>
      </c>
      <c r="BC1868" s="29" t="s">
        <v>2987</v>
      </c>
      <c r="BD1868" s="29" t="s">
        <v>88</v>
      </c>
      <c r="BE1868" s="29" t="s">
        <v>263</v>
      </c>
      <c r="BF1868" s="29" t="s">
        <v>2942</v>
      </c>
      <c r="BG1868" s="29" t="s">
        <v>91</v>
      </c>
      <c r="BH1868" s="29" t="s">
        <v>88</v>
      </c>
      <c r="BI1868" s="29" t="s">
        <v>1438</v>
      </c>
      <c r="BJ1868" s="29"/>
      <c r="BK1868" s="29" t="s">
        <v>148</v>
      </c>
      <c r="BL1868" s="29" t="s">
        <v>148</v>
      </c>
      <c r="BM1868" s="45"/>
      <c r="BN1868" s="45"/>
      <c r="BO1868" s="46"/>
      <c r="BP1868" s="2"/>
      <c r="BQ1868" s="3"/>
    </row>
    <row r="1869" ht="15.75" customHeight="1">
      <c r="A1869" s="34">
        <v>1981.0</v>
      </c>
      <c r="B1869" s="34">
        <v>104246.0</v>
      </c>
      <c r="C1869" s="34" t="s">
        <v>76</v>
      </c>
      <c r="D1869" s="34" t="s">
        <v>2933</v>
      </c>
      <c r="E1869" s="34" t="s">
        <v>2934</v>
      </c>
      <c r="F1869" s="34">
        <v>2021.0</v>
      </c>
      <c r="G1869" s="34" t="s">
        <v>2935</v>
      </c>
      <c r="H1869" s="34" t="s">
        <v>816</v>
      </c>
      <c r="I1869" s="34" t="s">
        <v>2936</v>
      </c>
      <c r="J1869" s="35"/>
      <c r="K1869" s="36"/>
      <c r="L1869" s="36">
        <v>251.0</v>
      </c>
      <c r="M1869" s="36"/>
      <c r="N1869" s="36"/>
      <c r="O1869" s="36"/>
      <c r="P1869" s="37">
        <v>56.0</v>
      </c>
      <c r="Q1869" s="36" t="s">
        <v>1393</v>
      </c>
      <c r="R1869" s="36" t="s">
        <v>96</v>
      </c>
      <c r="S1869" s="36">
        <v>1000.0</v>
      </c>
      <c r="T1869" s="36" t="s">
        <v>536</v>
      </c>
      <c r="U1869" s="36" t="s">
        <v>351</v>
      </c>
      <c r="V1869" s="36">
        <v>237.0</v>
      </c>
      <c r="W1869" s="36"/>
      <c r="X1869" s="38">
        <v>1.0</v>
      </c>
      <c r="Y1869" s="38" t="s">
        <v>2951</v>
      </c>
      <c r="Z1869" s="38" t="s">
        <v>2947</v>
      </c>
      <c r="AA1869" s="38" t="s">
        <v>86</v>
      </c>
      <c r="AB1869" s="38" t="s">
        <v>2948</v>
      </c>
      <c r="AC1869" s="38" t="s">
        <v>2949</v>
      </c>
      <c r="AD1869" s="38" t="s">
        <v>382</v>
      </c>
      <c r="AE1869" s="38"/>
      <c r="AF1869" s="38" t="s">
        <v>2316</v>
      </c>
      <c r="AG1869" s="38" t="s">
        <v>2928</v>
      </c>
      <c r="AH1869" s="38"/>
      <c r="AI1869" s="50">
        <v>43.4965</v>
      </c>
      <c r="AJ1869" s="50">
        <v>1.2379</v>
      </c>
      <c r="AK1869" s="41" t="s">
        <v>86</v>
      </c>
      <c r="AL1869" s="40" t="s">
        <v>86</v>
      </c>
      <c r="AM1869" s="49">
        <v>181.0</v>
      </c>
      <c r="AN1869" s="51">
        <v>181.0</v>
      </c>
      <c r="AO1869" s="42" t="s">
        <v>201</v>
      </c>
      <c r="AP1869" s="43" t="s">
        <v>201</v>
      </c>
      <c r="AQ1869" s="44" t="str">
        <f t="shared" si="217"/>
        <v>CRO</v>
      </c>
      <c r="AR1869" s="44">
        <f t="shared" si="199"/>
        <v>181</v>
      </c>
      <c r="AS1869" s="44" t="str">
        <f t="shared" si="222"/>
        <v>C</v>
      </c>
      <c r="AT1869" s="44" t="str">
        <f t="shared" si="202"/>
        <v>Cf</v>
      </c>
      <c r="AU1869" s="44" t="str">
        <f t="shared" si="203"/>
        <v>Cfa</v>
      </c>
      <c r="AV1869" s="38">
        <v>2.0</v>
      </c>
      <c r="AW1869" s="38"/>
      <c r="AX1869" s="38"/>
      <c r="AY1869" s="38"/>
      <c r="AZ1869" s="29">
        <v>1000.0</v>
      </c>
      <c r="BA1869" s="29"/>
      <c r="BB1869" s="29">
        <v>1.0</v>
      </c>
      <c r="BC1869" s="29" t="s">
        <v>2987</v>
      </c>
      <c r="BD1869" s="29" t="s">
        <v>88</v>
      </c>
      <c r="BE1869" s="29" t="s">
        <v>263</v>
      </c>
      <c r="BF1869" s="29" t="s">
        <v>2942</v>
      </c>
      <c r="BG1869" s="29" t="s">
        <v>91</v>
      </c>
      <c r="BH1869" s="29" t="s">
        <v>88</v>
      </c>
      <c r="BI1869" s="29" t="s">
        <v>1438</v>
      </c>
      <c r="BJ1869" s="29"/>
      <c r="BK1869" s="29" t="s">
        <v>148</v>
      </c>
      <c r="BL1869" s="29" t="s">
        <v>148</v>
      </c>
      <c r="BM1869" s="45"/>
      <c r="BN1869" s="45"/>
      <c r="BO1869" s="46"/>
      <c r="BP1869" s="2"/>
      <c r="BQ1869" s="3"/>
    </row>
    <row r="1870" ht="15.75" customHeight="1">
      <c r="A1870" s="34">
        <v>1982.0</v>
      </c>
      <c r="B1870" s="34">
        <v>104246.0</v>
      </c>
      <c r="C1870" s="34" t="s">
        <v>76</v>
      </c>
      <c r="D1870" s="34" t="s">
        <v>2933</v>
      </c>
      <c r="E1870" s="34" t="s">
        <v>2934</v>
      </c>
      <c r="F1870" s="34">
        <v>2021.0</v>
      </c>
      <c r="G1870" s="34" t="s">
        <v>2935</v>
      </c>
      <c r="H1870" s="34" t="s">
        <v>816</v>
      </c>
      <c r="I1870" s="34" t="s">
        <v>2936</v>
      </c>
      <c r="J1870" s="35"/>
      <c r="K1870" s="36"/>
      <c r="L1870" s="36">
        <v>361.0</v>
      </c>
      <c r="M1870" s="36"/>
      <c r="N1870" s="36"/>
      <c r="O1870" s="36"/>
      <c r="P1870" s="37">
        <v>57.0</v>
      </c>
      <c r="Q1870" s="36" t="s">
        <v>1393</v>
      </c>
      <c r="R1870" s="36" t="s">
        <v>96</v>
      </c>
      <c r="S1870" s="36">
        <v>1000.0</v>
      </c>
      <c r="T1870" s="36" t="s">
        <v>969</v>
      </c>
      <c r="U1870" s="36" t="s">
        <v>507</v>
      </c>
      <c r="V1870" s="36">
        <v>180.0</v>
      </c>
      <c r="W1870" s="36"/>
      <c r="X1870" s="38">
        <v>1.0</v>
      </c>
      <c r="Y1870" s="38" t="s">
        <v>2952</v>
      </c>
      <c r="Z1870" s="38" t="s">
        <v>2947</v>
      </c>
      <c r="AA1870" s="38" t="s">
        <v>86</v>
      </c>
      <c r="AB1870" s="38" t="s">
        <v>2948</v>
      </c>
      <c r="AC1870" s="38" t="s">
        <v>2949</v>
      </c>
      <c r="AD1870" s="38" t="s">
        <v>382</v>
      </c>
      <c r="AE1870" s="38"/>
      <c r="AF1870" s="38" t="s">
        <v>525</v>
      </c>
      <c r="AG1870" s="38" t="s">
        <v>2928</v>
      </c>
      <c r="AH1870" s="38"/>
      <c r="AI1870" s="50">
        <v>43.4965</v>
      </c>
      <c r="AJ1870" s="50">
        <v>1.2379</v>
      </c>
      <c r="AK1870" s="41" t="s">
        <v>86</v>
      </c>
      <c r="AL1870" s="40" t="s">
        <v>86</v>
      </c>
      <c r="AM1870" s="49">
        <v>181.0</v>
      </c>
      <c r="AN1870" s="51">
        <v>181.0</v>
      </c>
      <c r="AO1870" s="42" t="s">
        <v>201</v>
      </c>
      <c r="AP1870" s="43" t="s">
        <v>201</v>
      </c>
      <c r="AQ1870" s="44" t="str">
        <f t="shared" si="217"/>
        <v>CRO</v>
      </c>
      <c r="AR1870" s="44">
        <f t="shared" si="199"/>
        <v>181</v>
      </c>
      <c r="AS1870" s="44" t="str">
        <f t="shared" si="222"/>
        <v>C</v>
      </c>
      <c r="AT1870" s="44" t="str">
        <f t="shared" si="202"/>
        <v>Cf</v>
      </c>
      <c r="AU1870" s="44" t="str">
        <f t="shared" si="203"/>
        <v>Cfa</v>
      </c>
      <c r="AV1870" s="38">
        <v>3.0</v>
      </c>
      <c r="AW1870" s="38"/>
      <c r="AX1870" s="38"/>
      <c r="AY1870" s="38"/>
      <c r="AZ1870" s="29">
        <v>1000.0</v>
      </c>
      <c r="BA1870" s="29"/>
      <c r="BB1870" s="29">
        <v>1.0</v>
      </c>
      <c r="BC1870" s="29" t="s">
        <v>2987</v>
      </c>
      <c r="BD1870" s="29" t="s">
        <v>88</v>
      </c>
      <c r="BE1870" s="29" t="s">
        <v>263</v>
      </c>
      <c r="BF1870" s="29" t="s">
        <v>2942</v>
      </c>
      <c r="BG1870" s="29" t="s">
        <v>91</v>
      </c>
      <c r="BH1870" s="29" t="s">
        <v>88</v>
      </c>
      <c r="BI1870" s="29" t="s">
        <v>1438</v>
      </c>
      <c r="BJ1870" s="29"/>
      <c r="BK1870" s="29" t="s">
        <v>148</v>
      </c>
      <c r="BL1870" s="29" t="s">
        <v>148</v>
      </c>
      <c r="BM1870" s="45"/>
      <c r="BN1870" s="45"/>
      <c r="BO1870" s="46"/>
      <c r="BP1870" s="2"/>
      <c r="BQ1870" s="3"/>
    </row>
    <row r="1871" ht="15.75" customHeight="1">
      <c r="A1871" s="34">
        <v>1983.0</v>
      </c>
      <c r="B1871" s="34">
        <v>104246.0</v>
      </c>
      <c r="C1871" s="34" t="s">
        <v>76</v>
      </c>
      <c r="D1871" s="34" t="s">
        <v>2933</v>
      </c>
      <c r="E1871" s="34" t="s">
        <v>2934</v>
      </c>
      <c r="F1871" s="34">
        <v>2021.0</v>
      </c>
      <c r="G1871" s="34" t="s">
        <v>2935</v>
      </c>
      <c r="H1871" s="34" t="s">
        <v>816</v>
      </c>
      <c r="I1871" s="34" t="s">
        <v>2936</v>
      </c>
      <c r="J1871" s="35"/>
      <c r="K1871" s="36"/>
      <c r="L1871" s="36">
        <v>416.0</v>
      </c>
      <c r="M1871" s="36"/>
      <c r="N1871" s="36"/>
      <c r="O1871" s="36"/>
      <c r="P1871" s="37">
        <v>16.0</v>
      </c>
      <c r="Q1871" s="36" t="s">
        <v>1393</v>
      </c>
      <c r="R1871" s="36" t="s">
        <v>96</v>
      </c>
      <c r="S1871" s="36">
        <v>1000.0</v>
      </c>
      <c r="T1871" s="36" t="s">
        <v>242</v>
      </c>
      <c r="U1871" s="36" t="s">
        <v>243</v>
      </c>
      <c r="V1871" s="36">
        <v>119.0</v>
      </c>
      <c r="W1871" s="36"/>
      <c r="X1871" s="38">
        <v>1.0</v>
      </c>
      <c r="Y1871" s="38" t="s">
        <v>2953</v>
      </c>
      <c r="Z1871" s="38" t="s">
        <v>2947</v>
      </c>
      <c r="AA1871" s="38" t="s">
        <v>86</v>
      </c>
      <c r="AB1871" s="38" t="s">
        <v>2948</v>
      </c>
      <c r="AC1871" s="38" t="s">
        <v>2949</v>
      </c>
      <c r="AD1871" s="38" t="s">
        <v>382</v>
      </c>
      <c r="AE1871" s="38"/>
      <c r="AF1871" s="38" t="s">
        <v>525</v>
      </c>
      <c r="AG1871" s="38" t="s">
        <v>2928</v>
      </c>
      <c r="AH1871" s="38"/>
      <c r="AI1871" s="50">
        <v>43.4965</v>
      </c>
      <c r="AJ1871" s="50">
        <v>1.2379</v>
      </c>
      <c r="AK1871" s="41" t="s">
        <v>86</v>
      </c>
      <c r="AL1871" s="40" t="s">
        <v>86</v>
      </c>
      <c r="AM1871" s="49">
        <v>181.0</v>
      </c>
      <c r="AN1871" s="51">
        <v>181.0</v>
      </c>
      <c r="AO1871" s="42" t="s">
        <v>201</v>
      </c>
      <c r="AP1871" s="43" t="s">
        <v>201</v>
      </c>
      <c r="AQ1871" s="44" t="str">
        <f t="shared" si="217"/>
        <v>CRO</v>
      </c>
      <c r="AR1871" s="44">
        <f t="shared" si="199"/>
        <v>181</v>
      </c>
      <c r="AS1871" s="44" t="str">
        <f t="shared" si="222"/>
        <v>C</v>
      </c>
      <c r="AT1871" s="44" t="str">
        <f t="shared" si="202"/>
        <v>Cf</v>
      </c>
      <c r="AU1871" s="44" t="str">
        <f t="shared" si="203"/>
        <v>Cfa</v>
      </c>
      <c r="AV1871" s="38">
        <v>2.0</v>
      </c>
      <c r="AW1871" s="38"/>
      <c r="AX1871" s="38"/>
      <c r="AY1871" s="38"/>
      <c r="AZ1871" s="29">
        <v>1000.0</v>
      </c>
      <c r="BA1871" s="29"/>
      <c r="BB1871" s="29">
        <v>1.0</v>
      </c>
      <c r="BC1871" s="29" t="s">
        <v>2987</v>
      </c>
      <c r="BD1871" s="29" t="s">
        <v>88</v>
      </c>
      <c r="BE1871" s="29" t="s">
        <v>263</v>
      </c>
      <c r="BF1871" s="29" t="s">
        <v>2942</v>
      </c>
      <c r="BG1871" s="29" t="s">
        <v>91</v>
      </c>
      <c r="BH1871" s="29" t="s">
        <v>88</v>
      </c>
      <c r="BI1871" s="29" t="s">
        <v>1438</v>
      </c>
      <c r="BJ1871" s="29"/>
      <c r="BK1871" s="29" t="s">
        <v>148</v>
      </c>
      <c r="BL1871" s="29" t="s">
        <v>148</v>
      </c>
      <c r="BM1871" s="45"/>
      <c r="BN1871" s="45"/>
      <c r="BO1871" s="46"/>
      <c r="BP1871" s="2"/>
      <c r="BQ1871" s="3"/>
    </row>
    <row r="1872" ht="15.75" customHeight="1">
      <c r="A1872" s="34">
        <v>1984.0</v>
      </c>
      <c r="B1872" s="34">
        <v>104246.0</v>
      </c>
      <c r="C1872" s="34" t="s">
        <v>76</v>
      </c>
      <c r="D1872" s="34" t="s">
        <v>2933</v>
      </c>
      <c r="E1872" s="34" t="s">
        <v>2934</v>
      </c>
      <c r="F1872" s="34">
        <v>2021.0</v>
      </c>
      <c r="G1872" s="34" t="s">
        <v>2935</v>
      </c>
      <c r="H1872" s="34" t="s">
        <v>816</v>
      </c>
      <c r="I1872" s="34" t="s">
        <v>2936</v>
      </c>
      <c r="J1872" s="35"/>
      <c r="K1872" s="36"/>
      <c r="L1872" s="36">
        <v>389.0</v>
      </c>
      <c r="M1872" s="36"/>
      <c r="N1872" s="36"/>
      <c r="O1872" s="36"/>
      <c r="P1872" s="37">
        <v>3.0</v>
      </c>
      <c r="Q1872" s="36" t="s">
        <v>1393</v>
      </c>
      <c r="R1872" s="36" t="s">
        <v>96</v>
      </c>
      <c r="S1872" s="36">
        <v>1000.0</v>
      </c>
      <c r="T1872" s="36" t="s">
        <v>245</v>
      </c>
      <c r="U1872" s="36" t="s">
        <v>246</v>
      </c>
      <c r="V1872" s="36">
        <v>126.0</v>
      </c>
      <c r="W1872" s="36"/>
      <c r="X1872" s="38">
        <v>1.0</v>
      </c>
      <c r="Y1872" s="38" t="s">
        <v>2954</v>
      </c>
      <c r="Z1872" s="38" t="s">
        <v>2947</v>
      </c>
      <c r="AA1872" s="38" t="s">
        <v>86</v>
      </c>
      <c r="AB1872" s="38" t="s">
        <v>2948</v>
      </c>
      <c r="AC1872" s="38" t="s">
        <v>2949</v>
      </c>
      <c r="AD1872" s="38" t="s">
        <v>382</v>
      </c>
      <c r="AE1872" s="38"/>
      <c r="AF1872" s="38" t="s">
        <v>525</v>
      </c>
      <c r="AG1872" s="38" t="s">
        <v>2928</v>
      </c>
      <c r="AH1872" s="38"/>
      <c r="AI1872" s="50">
        <v>43.4965</v>
      </c>
      <c r="AJ1872" s="50">
        <v>1.2379</v>
      </c>
      <c r="AK1872" s="41" t="s">
        <v>86</v>
      </c>
      <c r="AL1872" s="40" t="s">
        <v>86</v>
      </c>
      <c r="AM1872" s="49">
        <v>181.0</v>
      </c>
      <c r="AN1872" s="51">
        <v>181.0</v>
      </c>
      <c r="AO1872" s="42" t="s">
        <v>201</v>
      </c>
      <c r="AP1872" s="43" t="s">
        <v>201</v>
      </c>
      <c r="AQ1872" s="44" t="str">
        <f t="shared" si="217"/>
        <v>CRO</v>
      </c>
      <c r="AR1872" s="44">
        <f t="shared" si="199"/>
        <v>181</v>
      </c>
      <c r="AS1872" s="44" t="str">
        <f t="shared" si="222"/>
        <v>C</v>
      </c>
      <c r="AT1872" s="44" t="str">
        <f t="shared" si="202"/>
        <v>Cf</v>
      </c>
      <c r="AU1872" s="44" t="str">
        <f t="shared" si="203"/>
        <v>Cfa</v>
      </c>
      <c r="AV1872" s="38">
        <v>2.0</v>
      </c>
      <c r="AW1872" s="38"/>
      <c r="AX1872" s="38"/>
      <c r="AY1872" s="38"/>
      <c r="AZ1872" s="29">
        <v>1000.0</v>
      </c>
      <c r="BA1872" s="29"/>
      <c r="BB1872" s="29">
        <v>1.0</v>
      </c>
      <c r="BC1872" s="29" t="s">
        <v>2987</v>
      </c>
      <c r="BD1872" s="29" t="s">
        <v>88</v>
      </c>
      <c r="BE1872" s="29" t="s">
        <v>263</v>
      </c>
      <c r="BF1872" s="29" t="s">
        <v>2942</v>
      </c>
      <c r="BG1872" s="29" t="s">
        <v>91</v>
      </c>
      <c r="BH1872" s="29" t="s">
        <v>88</v>
      </c>
      <c r="BI1872" s="29" t="s">
        <v>1438</v>
      </c>
      <c r="BJ1872" s="29"/>
      <c r="BK1872" s="29" t="s">
        <v>148</v>
      </c>
      <c r="BL1872" s="29" t="s">
        <v>148</v>
      </c>
      <c r="BM1872" s="45"/>
      <c r="BN1872" s="45"/>
      <c r="BO1872" s="46"/>
      <c r="BP1872" s="2"/>
      <c r="BQ1872" s="3"/>
    </row>
    <row r="1873" ht="15.75" customHeight="1">
      <c r="A1873" s="34">
        <v>1985.0</v>
      </c>
      <c r="B1873" s="34">
        <v>104246.0</v>
      </c>
      <c r="C1873" s="34" t="s">
        <v>76</v>
      </c>
      <c r="D1873" s="34" t="s">
        <v>2933</v>
      </c>
      <c r="E1873" s="34" t="s">
        <v>2934</v>
      </c>
      <c r="F1873" s="34">
        <v>2021.0</v>
      </c>
      <c r="G1873" s="34" t="s">
        <v>2935</v>
      </c>
      <c r="H1873" s="34" t="s">
        <v>816</v>
      </c>
      <c r="I1873" s="34" t="s">
        <v>2936</v>
      </c>
      <c r="J1873" s="35"/>
      <c r="K1873" s="36"/>
      <c r="L1873" s="36">
        <v>531.0</v>
      </c>
      <c r="M1873" s="36"/>
      <c r="N1873" s="36"/>
      <c r="O1873" s="36"/>
      <c r="P1873" s="37">
        <v>-11.0</v>
      </c>
      <c r="Q1873" s="36" t="s">
        <v>1393</v>
      </c>
      <c r="R1873" s="36" t="s">
        <v>96</v>
      </c>
      <c r="S1873" s="36">
        <v>1000.0</v>
      </c>
      <c r="T1873" s="36" t="s">
        <v>837</v>
      </c>
      <c r="U1873" s="36" t="s">
        <v>2955</v>
      </c>
      <c r="V1873" s="36">
        <v>127.0</v>
      </c>
      <c r="W1873" s="36"/>
      <c r="X1873" s="38">
        <v>1.0</v>
      </c>
      <c r="Y1873" s="38" t="s">
        <v>2956</v>
      </c>
      <c r="Z1873" s="38" t="s">
        <v>2947</v>
      </c>
      <c r="AA1873" s="38" t="s">
        <v>86</v>
      </c>
      <c r="AB1873" s="38" t="s">
        <v>2948</v>
      </c>
      <c r="AC1873" s="38" t="s">
        <v>2949</v>
      </c>
      <c r="AD1873" s="38" t="s">
        <v>382</v>
      </c>
      <c r="AE1873" s="38"/>
      <c r="AF1873" s="38" t="s">
        <v>525</v>
      </c>
      <c r="AG1873" s="38" t="s">
        <v>2928</v>
      </c>
      <c r="AH1873" s="38"/>
      <c r="AI1873" s="50">
        <v>43.4965</v>
      </c>
      <c r="AJ1873" s="50">
        <v>1.2379</v>
      </c>
      <c r="AK1873" s="41" t="s">
        <v>86</v>
      </c>
      <c r="AL1873" s="40" t="s">
        <v>86</v>
      </c>
      <c r="AM1873" s="49">
        <v>181.0</v>
      </c>
      <c r="AN1873" s="51">
        <v>181.0</v>
      </c>
      <c r="AO1873" s="42" t="s">
        <v>201</v>
      </c>
      <c r="AP1873" s="43" t="s">
        <v>201</v>
      </c>
      <c r="AQ1873" s="44" t="str">
        <f t="shared" si="217"/>
        <v>CRO</v>
      </c>
      <c r="AR1873" s="44">
        <f t="shared" si="199"/>
        <v>181</v>
      </c>
      <c r="AS1873" s="44" t="str">
        <f t="shared" si="222"/>
        <v>C</v>
      </c>
      <c r="AT1873" s="44" t="str">
        <f t="shared" si="202"/>
        <v>Cf</v>
      </c>
      <c r="AU1873" s="44" t="str">
        <f t="shared" si="203"/>
        <v>Cfa</v>
      </c>
      <c r="AV1873" s="38">
        <v>2.0</v>
      </c>
      <c r="AW1873" s="38"/>
      <c r="AX1873" s="38"/>
      <c r="AY1873" s="38"/>
      <c r="AZ1873" s="29">
        <v>1000.0</v>
      </c>
      <c r="BA1873" s="29"/>
      <c r="BB1873" s="29">
        <v>1.0</v>
      </c>
      <c r="BC1873" s="29" t="s">
        <v>2987</v>
      </c>
      <c r="BD1873" s="29" t="s">
        <v>88</v>
      </c>
      <c r="BE1873" s="29" t="s">
        <v>263</v>
      </c>
      <c r="BF1873" s="29" t="s">
        <v>2942</v>
      </c>
      <c r="BG1873" s="29" t="s">
        <v>91</v>
      </c>
      <c r="BH1873" s="29" t="s">
        <v>88</v>
      </c>
      <c r="BI1873" s="29" t="s">
        <v>1438</v>
      </c>
      <c r="BJ1873" s="29"/>
      <c r="BK1873" s="29" t="s">
        <v>148</v>
      </c>
      <c r="BL1873" s="29" t="s">
        <v>148</v>
      </c>
      <c r="BM1873" s="45"/>
      <c r="BN1873" s="45"/>
      <c r="BO1873" s="46"/>
      <c r="BP1873" s="2"/>
      <c r="BQ1873" s="3"/>
    </row>
    <row r="1874" ht="15.75" customHeight="1">
      <c r="A1874" s="34">
        <v>1986.0</v>
      </c>
      <c r="B1874" s="34">
        <v>104246.0</v>
      </c>
      <c r="C1874" s="34" t="s">
        <v>76</v>
      </c>
      <c r="D1874" s="34" t="s">
        <v>2933</v>
      </c>
      <c r="E1874" s="34" t="s">
        <v>2934</v>
      </c>
      <c r="F1874" s="34">
        <v>2021.0</v>
      </c>
      <c r="G1874" s="34" t="s">
        <v>2935</v>
      </c>
      <c r="H1874" s="34" t="s">
        <v>816</v>
      </c>
      <c r="I1874" s="34" t="s">
        <v>2936</v>
      </c>
      <c r="J1874" s="35"/>
      <c r="K1874" s="36"/>
      <c r="L1874" s="36">
        <v>233.0</v>
      </c>
      <c r="M1874" s="36"/>
      <c r="N1874" s="36"/>
      <c r="O1874" s="36"/>
      <c r="P1874" s="37">
        <v>37.0</v>
      </c>
      <c r="Q1874" s="36" t="s">
        <v>1393</v>
      </c>
      <c r="R1874" s="36" t="s">
        <v>96</v>
      </c>
      <c r="S1874" s="36">
        <v>1000.0</v>
      </c>
      <c r="T1874" s="36" t="s">
        <v>317</v>
      </c>
      <c r="U1874" s="36" t="s">
        <v>194</v>
      </c>
      <c r="V1874" s="36">
        <v>160.0</v>
      </c>
      <c r="W1874" s="36"/>
      <c r="X1874" s="38">
        <v>1.0</v>
      </c>
      <c r="Y1874" s="38" t="s">
        <v>2957</v>
      </c>
      <c r="Z1874" s="38" t="s">
        <v>2958</v>
      </c>
      <c r="AA1874" s="38" t="s">
        <v>86</v>
      </c>
      <c r="AB1874" s="38" t="s">
        <v>2959</v>
      </c>
      <c r="AC1874" s="38" t="s">
        <v>2960</v>
      </c>
      <c r="AD1874" s="38" t="s">
        <v>382</v>
      </c>
      <c r="AE1874" s="38">
        <v>32.0</v>
      </c>
      <c r="AF1874" s="38" t="s">
        <v>2961</v>
      </c>
      <c r="AG1874" s="38" t="s">
        <v>2928</v>
      </c>
      <c r="AH1874" s="38"/>
      <c r="AI1874" s="50">
        <v>43.92</v>
      </c>
      <c r="AJ1874" s="50">
        <v>4.88</v>
      </c>
      <c r="AK1874" s="41" t="s">
        <v>505</v>
      </c>
      <c r="AL1874" s="40" t="s">
        <v>505</v>
      </c>
      <c r="AM1874" s="49">
        <v>71.0</v>
      </c>
      <c r="AN1874" s="51">
        <v>71.0</v>
      </c>
      <c r="AO1874" s="42" t="s">
        <v>175</v>
      </c>
      <c r="AP1874" s="43" t="s">
        <v>175</v>
      </c>
      <c r="AQ1874" s="44" t="str">
        <f t="shared" si="217"/>
        <v>CRO</v>
      </c>
      <c r="AR1874" s="44">
        <f t="shared" si="199"/>
        <v>71</v>
      </c>
      <c r="AS1874" s="44" t="str">
        <f t="shared" si="222"/>
        <v>C</v>
      </c>
      <c r="AT1874" s="44" t="str">
        <f t="shared" si="202"/>
        <v>Cs</v>
      </c>
      <c r="AU1874" s="44" t="str">
        <f t="shared" si="203"/>
        <v>Csa</v>
      </c>
      <c r="AV1874" s="38">
        <v>2.0</v>
      </c>
      <c r="AW1874" s="38"/>
      <c r="AX1874" s="38"/>
      <c r="AY1874" s="38"/>
      <c r="AZ1874" s="29">
        <v>1000.0</v>
      </c>
      <c r="BA1874" s="29"/>
      <c r="BB1874" s="29">
        <v>1.0</v>
      </c>
      <c r="BC1874" s="29" t="s">
        <v>2987</v>
      </c>
      <c r="BD1874" s="29" t="s">
        <v>88</v>
      </c>
      <c r="BE1874" s="29" t="s">
        <v>263</v>
      </c>
      <c r="BF1874" s="29" t="s">
        <v>2942</v>
      </c>
      <c r="BG1874" s="29" t="s">
        <v>91</v>
      </c>
      <c r="BH1874" s="29" t="s">
        <v>88</v>
      </c>
      <c r="BI1874" s="29" t="s">
        <v>1438</v>
      </c>
      <c r="BJ1874" s="29"/>
      <c r="BK1874" s="29" t="s">
        <v>148</v>
      </c>
      <c r="BL1874" s="29" t="s">
        <v>148</v>
      </c>
      <c r="BM1874" s="45"/>
      <c r="BN1874" s="45"/>
      <c r="BO1874" s="46"/>
      <c r="BP1874" s="2"/>
      <c r="BQ1874" s="3"/>
    </row>
    <row r="1875" ht="15.75" customHeight="1">
      <c r="A1875" s="34">
        <v>1987.0</v>
      </c>
      <c r="B1875" s="34">
        <v>104246.0</v>
      </c>
      <c r="C1875" s="34" t="s">
        <v>76</v>
      </c>
      <c r="D1875" s="34" t="s">
        <v>2933</v>
      </c>
      <c r="E1875" s="34" t="s">
        <v>2934</v>
      </c>
      <c r="F1875" s="34">
        <v>2021.0</v>
      </c>
      <c r="G1875" s="34" t="s">
        <v>2935</v>
      </c>
      <c r="H1875" s="34" t="s">
        <v>816</v>
      </c>
      <c r="I1875" s="34" t="s">
        <v>2936</v>
      </c>
      <c r="J1875" s="35"/>
      <c r="K1875" s="36"/>
      <c r="L1875" s="36">
        <v>375.0</v>
      </c>
      <c r="M1875" s="36"/>
      <c r="N1875" s="36"/>
      <c r="O1875" s="36"/>
      <c r="P1875" s="37">
        <v>28.0</v>
      </c>
      <c r="Q1875" s="36" t="s">
        <v>1393</v>
      </c>
      <c r="R1875" s="36" t="s">
        <v>96</v>
      </c>
      <c r="S1875" s="36">
        <v>1000.0</v>
      </c>
      <c r="T1875" s="36" t="s">
        <v>341</v>
      </c>
      <c r="U1875" s="36" t="s">
        <v>285</v>
      </c>
      <c r="V1875" s="36">
        <v>246.0</v>
      </c>
      <c r="W1875" s="36"/>
      <c r="X1875" s="38">
        <v>1.0</v>
      </c>
      <c r="Y1875" s="38" t="s">
        <v>2962</v>
      </c>
      <c r="Z1875" s="38" t="s">
        <v>2958</v>
      </c>
      <c r="AA1875" s="38" t="s">
        <v>86</v>
      </c>
      <c r="AB1875" s="38" t="s">
        <v>2959</v>
      </c>
      <c r="AC1875" s="38" t="s">
        <v>2960</v>
      </c>
      <c r="AD1875" s="38" t="s">
        <v>382</v>
      </c>
      <c r="AE1875" s="38">
        <v>32.0</v>
      </c>
      <c r="AF1875" s="38" t="s">
        <v>2316</v>
      </c>
      <c r="AG1875" s="38" t="s">
        <v>2928</v>
      </c>
      <c r="AH1875" s="38"/>
      <c r="AI1875" s="50">
        <v>43.92</v>
      </c>
      <c r="AJ1875" s="50">
        <v>4.88</v>
      </c>
      <c r="AK1875" s="41" t="s">
        <v>505</v>
      </c>
      <c r="AL1875" s="40" t="s">
        <v>505</v>
      </c>
      <c r="AM1875" s="49">
        <v>71.0</v>
      </c>
      <c r="AN1875" s="51">
        <v>71.0</v>
      </c>
      <c r="AO1875" s="42" t="s">
        <v>175</v>
      </c>
      <c r="AP1875" s="43" t="s">
        <v>175</v>
      </c>
      <c r="AQ1875" s="44" t="str">
        <f t="shared" si="217"/>
        <v>CRO</v>
      </c>
      <c r="AR1875" s="44">
        <f t="shared" si="199"/>
        <v>71</v>
      </c>
      <c r="AS1875" s="44" t="str">
        <f t="shared" si="222"/>
        <v>C</v>
      </c>
      <c r="AT1875" s="44" t="str">
        <f t="shared" si="202"/>
        <v>Cs</v>
      </c>
      <c r="AU1875" s="44" t="str">
        <f t="shared" si="203"/>
        <v>Csa</v>
      </c>
      <c r="AV1875" s="38">
        <v>2.0</v>
      </c>
      <c r="AW1875" s="38"/>
      <c r="AX1875" s="38"/>
      <c r="AY1875" s="38"/>
      <c r="AZ1875" s="29">
        <v>1000.0</v>
      </c>
      <c r="BA1875" s="29"/>
      <c r="BB1875" s="29">
        <v>1.0</v>
      </c>
      <c r="BC1875" s="29" t="s">
        <v>2987</v>
      </c>
      <c r="BD1875" s="29" t="s">
        <v>88</v>
      </c>
      <c r="BE1875" s="29" t="s">
        <v>263</v>
      </c>
      <c r="BF1875" s="29" t="s">
        <v>2942</v>
      </c>
      <c r="BG1875" s="29" t="s">
        <v>91</v>
      </c>
      <c r="BH1875" s="29" t="s">
        <v>88</v>
      </c>
      <c r="BI1875" s="29" t="s">
        <v>1438</v>
      </c>
      <c r="BJ1875" s="29"/>
      <c r="BK1875" s="29" t="s">
        <v>148</v>
      </c>
      <c r="BL1875" s="29" t="s">
        <v>148</v>
      </c>
      <c r="BM1875" s="45"/>
      <c r="BN1875" s="45"/>
      <c r="BO1875" s="46"/>
      <c r="BP1875" s="2"/>
      <c r="BQ1875" s="3"/>
    </row>
    <row r="1876" ht="15.75" customHeight="1">
      <c r="A1876" s="34">
        <v>1988.0</v>
      </c>
      <c r="B1876" s="34">
        <v>104246.0</v>
      </c>
      <c r="C1876" s="34" t="s">
        <v>76</v>
      </c>
      <c r="D1876" s="34" t="s">
        <v>2933</v>
      </c>
      <c r="E1876" s="34" t="s">
        <v>2934</v>
      </c>
      <c r="F1876" s="34">
        <v>2021.0</v>
      </c>
      <c r="G1876" s="34" t="s">
        <v>2935</v>
      </c>
      <c r="H1876" s="34" t="s">
        <v>816</v>
      </c>
      <c r="I1876" s="34" t="s">
        <v>2936</v>
      </c>
      <c r="J1876" s="35"/>
      <c r="K1876" s="36"/>
      <c r="L1876" s="36">
        <v>386.0</v>
      </c>
      <c r="M1876" s="36"/>
      <c r="N1876" s="36"/>
      <c r="O1876" s="36"/>
      <c r="P1876" s="37">
        <v>10.0</v>
      </c>
      <c r="Q1876" s="36" t="s">
        <v>1393</v>
      </c>
      <c r="R1876" s="36" t="s">
        <v>96</v>
      </c>
      <c r="S1876" s="36">
        <v>1000.0</v>
      </c>
      <c r="T1876" s="36" t="s">
        <v>350</v>
      </c>
      <c r="U1876" s="36" t="s">
        <v>342</v>
      </c>
      <c r="V1876" s="36">
        <v>161.0</v>
      </c>
      <c r="W1876" s="36"/>
      <c r="X1876" s="38">
        <v>1.0</v>
      </c>
      <c r="Y1876" s="38" t="s">
        <v>2963</v>
      </c>
      <c r="Z1876" s="38" t="s">
        <v>2958</v>
      </c>
      <c r="AA1876" s="38" t="s">
        <v>86</v>
      </c>
      <c r="AB1876" s="38" t="s">
        <v>2959</v>
      </c>
      <c r="AC1876" s="38" t="s">
        <v>2960</v>
      </c>
      <c r="AD1876" s="38" t="s">
        <v>382</v>
      </c>
      <c r="AE1876" s="38">
        <v>32.0</v>
      </c>
      <c r="AF1876" s="38" t="s">
        <v>2964</v>
      </c>
      <c r="AG1876" s="38" t="s">
        <v>2928</v>
      </c>
      <c r="AH1876" s="38"/>
      <c r="AI1876" s="50">
        <v>43.92</v>
      </c>
      <c r="AJ1876" s="50">
        <v>4.88</v>
      </c>
      <c r="AK1876" s="41" t="s">
        <v>505</v>
      </c>
      <c r="AL1876" s="40" t="s">
        <v>505</v>
      </c>
      <c r="AM1876" s="49">
        <v>71.0</v>
      </c>
      <c r="AN1876" s="51">
        <v>71.0</v>
      </c>
      <c r="AO1876" s="42" t="s">
        <v>175</v>
      </c>
      <c r="AP1876" s="43" t="s">
        <v>175</v>
      </c>
      <c r="AQ1876" s="44" t="str">
        <f t="shared" si="217"/>
        <v>CRO</v>
      </c>
      <c r="AR1876" s="44">
        <f t="shared" si="199"/>
        <v>71</v>
      </c>
      <c r="AS1876" s="44" t="str">
        <f t="shared" si="222"/>
        <v>C</v>
      </c>
      <c r="AT1876" s="44" t="str">
        <f t="shared" si="202"/>
        <v>Cs</v>
      </c>
      <c r="AU1876" s="44" t="str">
        <f t="shared" si="203"/>
        <v>Csa</v>
      </c>
      <c r="AV1876" s="38">
        <v>2.0</v>
      </c>
      <c r="AW1876" s="38"/>
      <c r="AX1876" s="38"/>
      <c r="AY1876" s="38"/>
      <c r="AZ1876" s="29">
        <v>1000.0</v>
      </c>
      <c r="BA1876" s="29"/>
      <c r="BB1876" s="29">
        <v>1.0</v>
      </c>
      <c r="BC1876" s="29" t="s">
        <v>2987</v>
      </c>
      <c r="BD1876" s="29" t="s">
        <v>88</v>
      </c>
      <c r="BE1876" s="29" t="s">
        <v>263</v>
      </c>
      <c r="BF1876" s="29" t="s">
        <v>2942</v>
      </c>
      <c r="BG1876" s="29" t="s">
        <v>91</v>
      </c>
      <c r="BH1876" s="29" t="s">
        <v>88</v>
      </c>
      <c r="BI1876" s="29" t="s">
        <v>1438</v>
      </c>
      <c r="BJ1876" s="29"/>
      <c r="BK1876" s="29" t="s">
        <v>148</v>
      </c>
      <c r="BL1876" s="29" t="s">
        <v>148</v>
      </c>
      <c r="BM1876" s="45"/>
      <c r="BN1876" s="45"/>
      <c r="BO1876" s="46"/>
      <c r="BP1876" s="2" t="s">
        <v>2988</v>
      </c>
      <c r="BQ1876" s="3"/>
    </row>
    <row r="1877" ht="15.75" customHeight="1">
      <c r="A1877" s="34">
        <v>1989.0</v>
      </c>
      <c r="B1877" s="34">
        <v>104246.0</v>
      </c>
      <c r="C1877" s="34" t="s">
        <v>76</v>
      </c>
      <c r="D1877" s="34" t="s">
        <v>2933</v>
      </c>
      <c r="E1877" s="34" t="s">
        <v>2934</v>
      </c>
      <c r="F1877" s="34">
        <v>2021.0</v>
      </c>
      <c r="G1877" s="34" t="s">
        <v>2935</v>
      </c>
      <c r="H1877" s="34" t="s">
        <v>816</v>
      </c>
      <c r="I1877" s="34" t="s">
        <v>2936</v>
      </c>
      <c r="J1877" s="35"/>
      <c r="K1877" s="36"/>
      <c r="L1877" s="36">
        <v>424.0</v>
      </c>
      <c r="M1877" s="36"/>
      <c r="N1877" s="36"/>
      <c r="O1877" s="36"/>
      <c r="P1877" s="37">
        <v>4.0</v>
      </c>
      <c r="Q1877" s="36" t="s">
        <v>1393</v>
      </c>
      <c r="R1877" s="36" t="s">
        <v>96</v>
      </c>
      <c r="S1877" s="36">
        <v>1000.0</v>
      </c>
      <c r="T1877" s="36" t="s">
        <v>506</v>
      </c>
      <c r="U1877" s="36" t="s">
        <v>676</v>
      </c>
      <c r="V1877" s="36">
        <v>231.0</v>
      </c>
      <c r="W1877" s="36"/>
      <c r="X1877" s="38">
        <v>1.0</v>
      </c>
      <c r="Y1877" s="38" t="s">
        <v>2965</v>
      </c>
      <c r="Z1877" s="38" t="s">
        <v>2958</v>
      </c>
      <c r="AA1877" s="38" t="s">
        <v>86</v>
      </c>
      <c r="AB1877" s="38" t="s">
        <v>2959</v>
      </c>
      <c r="AC1877" s="38" t="s">
        <v>2960</v>
      </c>
      <c r="AD1877" s="38" t="s">
        <v>382</v>
      </c>
      <c r="AE1877" s="38">
        <v>32.0</v>
      </c>
      <c r="AF1877" s="38" t="s">
        <v>2316</v>
      </c>
      <c r="AG1877" s="38" t="s">
        <v>2928</v>
      </c>
      <c r="AH1877" s="38"/>
      <c r="AI1877" s="50">
        <v>43.92</v>
      </c>
      <c r="AJ1877" s="50">
        <v>4.88</v>
      </c>
      <c r="AK1877" s="41" t="s">
        <v>505</v>
      </c>
      <c r="AL1877" s="40" t="s">
        <v>505</v>
      </c>
      <c r="AM1877" s="49">
        <v>71.0</v>
      </c>
      <c r="AN1877" s="51">
        <v>71.0</v>
      </c>
      <c r="AO1877" s="42" t="s">
        <v>175</v>
      </c>
      <c r="AP1877" s="43" t="s">
        <v>175</v>
      </c>
      <c r="AQ1877" s="44" t="str">
        <f t="shared" si="217"/>
        <v>CRO</v>
      </c>
      <c r="AR1877" s="44">
        <f t="shared" si="199"/>
        <v>71</v>
      </c>
      <c r="AS1877" s="44" t="str">
        <f t="shared" si="222"/>
        <v>C</v>
      </c>
      <c r="AT1877" s="44" t="str">
        <f t="shared" si="202"/>
        <v>Cs</v>
      </c>
      <c r="AU1877" s="44" t="str">
        <f t="shared" si="203"/>
        <v>Csa</v>
      </c>
      <c r="AV1877" s="38">
        <v>2.0</v>
      </c>
      <c r="AW1877" s="38"/>
      <c r="AX1877" s="38"/>
      <c r="AY1877" s="38"/>
      <c r="AZ1877" s="29">
        <v>1000.0</v>
      </c>
      <c r="BA1877" s="29"/>
      <c r="BB1877" s="29">
        <v>1.0</v>
      </c>
      <c r="BC1877" s="29" t="s">
        <v>2987</v>
      </c>
      <c r="BD1877" s="29" t="s">
        <v>88</v>
      </c>
      <c r="BE1877" s="29" t="s">
        <v>263</v>
      </c>
      <c r="BF1877" s="29" t="s">
        <v>2942</v>
      </c>
      <c r="BG1877" s="29" t="s">
        <v>91</v>
      </c>
      <c r="BH1877" s="29" t="s">
        <v>88</v>
      </c>
      <c r="BI1877" s="29" t="s">
        <v>1438</v>
      </c>
      <c r="BJ1877" s="29"/>
      <c r="BK1877" s="29" t="s">
        <v>148</v>
      </c>
      <c r="BL1877" s="29" t="s">
        <v>148</v>
      </c>
      <c r="BM1877" s="45"/>
      <c r="BN1877" s="45"/>
      <c r="BO1877" s="46"/>
      <c r="BP1877" s="2" t="s">
        <v>2988</v>
      </c>
      <c r="BQ1877" s="3"/>
    </row>
    <row r="1878" ht="15.75" customHeight="1">
      <c r="A1878" s="34">
        <v>1990.0</v>
      </c>
      <c r="B1878" s="34">
        <v>104246.0</v>
      </c>
      <c r="C1878" s="34" t="s">
        <v>76</v>
      </c>
      <c r="D1878" s="34" t="s">
        <v>2933</v>
      </c>
      <c r="E1878" s="34" t="s">
        <v>2934</v>
      </c>
      <c r="F1878" s="34">
        <v>2021.0</v>
      </c>
      <c r="G1878" s="34" t="s">
        <v>2935</v>
      </c>
      <c r="H1878" s="34" t="s">
        <v>816</v>
      </c>
      <c r="I1878" s="34" t="s">
        <v>2936</v>
      </c>
      <c r="J1878" s="35"/>
      <c r="K1878" s="36"/>
      <c r="L1878" s="36">
        <v>303.0</v>
      </c>
      <c r="M1878" s="36"/>
      <c r="N1878" s="36"/>
      <c r="O1878" s="36"/>
      <c r="P1878" s="37">
        <v>39.0</v>
      </c>
      <c r="Q1878" s="36" t="s">
        <v>1393</v>
      </c>
      <c r="R1878" s="36" t="s">
        <v>96</v>
      </c>
      <c r="S1878" s="36">
        <v>1000.0</v>
      </c>
      <c r="T1878" s="36" t="s">
        <v>242</v>
      </c>
      <c r="U1878" s="36" t="s">
        <v>243</v>
      </c>
      <c r="V1878" s="36">
        <v>248.0</v>
      </c>
      <c r="W1878" s="36"/>
      <c r="X1878" s="38">
        <v>1.0</v>
      </c>
      <c r="Y1878" s="38" t="s">
        <v>2966</v>
      </c>
      <c r="Z1878" s="38" t="s">
        <v>2958</v>
      </c>
      <c r="AA1878" s="38" t="s">
        <v>86</v>
      </c>
      <c r="AB1878" s="38" t="s">
        <v>2959</v>
      </c>
      <c r="AC1878" s="38" t="s">
        <v>2960</v>
      </c>
      <c r="AD1878" s="38" t="s">
        <v>382</v>
      </c>
      <c r="AE1878" s="38">
        <v>32.0</v>
      </c>
      <c r="AF1878" s="38" t="s">
        <v>2316</v>
      </c>
      <c r="AG1878" s="38" t="s">
        <v>2928</v>
      </c>
      <c r="AH1878" s="38"/>
      <c r="AI1878" s="50">
        <v>43.92</v>
      </c>
      <c r="AJ1878" s="50">
        <v>4.88</v>
      </c>
      <c r="AK1878" s="41" t="s">
        <v>505</v>
      </c>
      <c r="AL1878" s="40" t="s">
        <v>505</v>
      </c>
      <c r="AM1878" s="49">
        <v>71.0</v>
      </c>
      <c r="AN1878" s="51">
        <v>71.0</v>
      </c>
      <c r="AO1878" s="42" t="s">
        <v>175</v>
      </c>
      <c r="AP1878" s="43" t="s">
        <v>175</v>
      </c>
      <c r="AQ1878" s="44" t="str">
        <f t="shared" si="217"/>
        <v>CRO</v>
      </c>
      <c r="AR1878" s="44">
        <f t="shared" si="199"/>
        <v>71</v>
      </c>
      <c r="AS1878" s="44" t="str">
        <f t="shared" si="222"/>
        <v>C</v>
      </c>
      <c r="AT1878" s="44" t="str">
        <f t="shared" si="202"/>
        <v>Cs</v>
      </c>
      <c r="AU1878" s="44" t="str">
        <f t="shared" si="203"/>
        <v>Csa</v>
      </c>
      <c r="AV1878" s="38">
        <v>2.0</v>
      </c>
      <c r="AW1878" s="38"/>
      <c r="AX1878" s="38"/>
      <c r="AY1878" s="38"/>
      <c r="AZ1878" s="29">
        <v>1000.0</v>
      </c>
      <c r="BA1878" s="29"/>
      <c r="BB1878" s="29">
        <v>1.0</v>
      </c>
      <c r="BC1878" s="29" t="s">
        <v>2987</v>
      </c>
      <c r="BD1878" s="29" t="s">
        <v>88</v>
      </c>
      <c r="BE1878" s="29" t="s">
        <v>263</v>
      </c>
      <c r="BF1878" s="29" t="s">
        <v>2942</v>
      </c>
      <c r="BG1878" s="29" t="s">
        <v>91</v>
      </c>
      <c r="BH1878" s="29" t="s">
        <v>88</v>
      </c>
      <c r="BI1878" s="29" t="s">
        <v>1438</v>
      </c>
      <c r="BJ1878" s="29"/>
      <c r="BK1878" s="29" t="s">
        <v>148</v>
      </c>
      <c r="BL1878" s="29" t="s">
        <v>148</v>
      </c>
      <c r="BM1878" s="45"/>
      <c r="BN1878" s="45"/>
      <c r="BO1878" s="46"/>
      <c r="BP1878" s="2" t="s">
        <v>2988</v>
      </c>
      <c r="BQ1878" s="3"/>
    </row>
    <row r="1879" ht="15.75" customHeight="1">
      <c r="A1879" s="34">
        <v>1991.0</v>
      </c>
      <c r="B1879" s="34">
        <v>104246.0</v>
      </c>
      <c r="C1879" s="34" t="s">
        <v>76</v>
      </c>
      <c r="D1879" s="34" t="s">
        <v>2933</v>
      </c>
      <c r="E1879" s="34" t="s">
        <v>2934</v>
      </c>
      <c r="F1879" s="34">
        <v>2021.0</v>
      </c>
      <c r="G1879" s="34" t="s">
        <v>2935</v>
      </c>
      <c r="H1879" s="34" t="s">
        <v>816</v>
      </c>
      <c r="I1879" s="34" t="s">
        <v>2936</v>
      </c>
      <c r="J1879" s="35"/>
      <c r="K1879" s="36"/>
      <c r="L1879" s="36">
        <v>339.0</v>
      </c>
      <c r="M1879" s="36"/>
      <c r="N1879" s="36"/>
      <c r="O1879" s="36"/>
      <c r="P1879" s="37">
        <v>35.0</v>
      </c>
      <c r="Q1879" s="36" t="s">
        <v>1393</v>
      </c>
      <c r="R1879" s="36" t="s">
        <v>96</v>
      </c>
      <c r="S1879" s="36">
        <v>1000.0</v>
      </c>
      <c r="T1879" s="36" t="s">
        <v>536</v>
      </c>
      <c r="U1879" s="36" t="s">
        <v>351</v>
      </c>
      <c r="V1879" s="36">
        <v>275.0</v>
      </c>
      <c r="W1879" s="36"/>
      <c r="X1879" s="38">
        <v>1.0</v>
      </c>
      <c r="Y1879" s="38" t="s">
        <v>2968</v>
      </c>
      <c r="Z1879" s="38" t="s">
        <v>2969</v>
      </c>
      <c r="AA1879" s="38" t="s">
        <v>86</v>
      </c>
      <c r="AB1879" s="38" t="s">
        <v>2970</v>
      </c>
      <c r="AC1879" s="38" t="s">
        <v>2971</v>
      </c>
      <c r="AD1879" s="38" t="s">
        <v>2972</v>
      </c>
      <c r="AE1879" s="38"/>
      <c r="AF1879" s="38" t="s">
        <v>2973</v>
      </c>
      <c r="AG1879" s="38" t="s">
        <v>2974</v>
      </c>
      <c r="AH1879" s="38"/>
      <c r="AI1879" s="50">
        <v>13.6</v>
      </c>
      <c r="AJ1879" s="50">
        <v>2.6</v>
      </c>
      <c r="AK1879" s="41" t="s">
        <v>288</v>
      </c>
      <c r="AL1879" s="40" t="s">
        <v>288</v>
      </c>
      <c r="AM1879" s="49">
        <v>228.0</v>
      </c>
      <c r="AN1879" s="51">
        <v>228.0</v>
      </c>
      <c r="AO1879" s="42" t="s">
        <v>355</v>
      </c>
      <c r="AP1879" s="43" t="s">
        <v>355</v>
      </c>
      <c r="AQ1879" s="44" t="str">
        <f t="shared" si="217"/>
        <v>CRO</v>
      </c>
      <c r="AR1879" s="44">
        <f t="shared" si="199"/>
        <v>228</v>
      </c>
      <c r="AS1879" s="44" t="str">
        <f t="shared" si="222"/>
        <v>B</v>
      </c>
      <c r="AT1879" s="44" t="str">
        <f t="shared" si="202"/>
        <v>BW</v>
      </c>
      <c r="AU1879" s="44" t="str">
        <f t="shared" si="203"/>
        <v>BWh</v>
      </c>
      <c r="AV1879" s="38">
        <v>2.0</v>
      </c>
      <c r="AW1879" s="38"/>
      <c r="AX1879" s="38"/>
      <c r="AY1879" s="38"/>
      <c r="AZ1879" s="29">
        <v>1000.0</v>
      </c>
      <c r="BA1879" s="29"/>
      <c r="BB1879" s="29">
        <v>1.0</v>
      </c>
      <c r="BC1879" s="29" t="s">
        <v>2987</v>
      </c>
      <c r="BD1879" s="29" t="s">
        <v>88</v>
      </c>
      <c r="BE1879" s="29" t="s">
        <v>263</v>
      </c>
      <c r="BF1879" s="29" t="s">
        <v>2942</v>
      </c>
      <c r="BG1879" s="29" t="s">
        <v>91</v>
      </c>
      <c r="BH1879" s="29" t="s">
        <v>88</v>
      </c>
      <c r="BI1879" s="29" t="s">
        <v>1438</v>
      </c>
      <c r="BJ1879" s="29"/>
      <c r="BK1879" s="29" t="s">
        <v>148</v>
      </c>
      <c r="BL1879" s="29" t="s">
        <v>148</v>
      </c>
      <c r="BM1879" s="45"/>
      <c r="BN1879" s="45"/>
      <c r="BO1879" s="46"/>
      <c r="BP1879" s="2" t="s">
        <v>2988</v>
      </c>
      <c r="BQ1879" s="3"/>
    </row>
    <row r="1880" ht="15.75" customHeight="1">
      <c r="A1880" s="34">
        <v>1992.0</v>
      </c>
      <c r="B1880" s="34">
        <v>104246.0</v>
      </c>
      <c r="C1880" s="34" t="s">
        <v>76</v>
      </c>
      <c r="D1880" s="34" t="s">
        <v>2933</v>
      </c>
      <c r="E1880" s="34" t="s">
        <v>2934</v>
      </c>
      <c r="F1880" s="34">
        <v>2021.0</v>
      </c>
      <c r="G1880" s="34" t="s">
        <v>2935</v>
      </c>
      <c r="H1880" s="34" t="s">
        <v>816</v>
      </c>
      <c r="I1880" s="34" t="s">
        <v>2936</v>
      </c>
      <c r="J1880" s="35"/>
      <c r="K1880" s="36"/>
      <c r="L1880" s="36">
        <v>335.0</v>
      </c>
      <c r="M1880" s="36"/>
      <c r="N1880" s="36"/>
      <c r="O1880" s="36"/>
      <c r="P1880" s="37">
        <v>-9.0</v>
      </c>
      <c r="Q1880" s="36" t="s">
        <v>1393</v>
      </c>
      <c r="R1880" s="36" t="s">
        <v>96</v>
      </c>
      <c r="S1880" s="36">
        <v>1000.0</v>
      </c>
      <c r="T1880" s="36" t="s">
        <v>536</v>
      </c>
      <c r="U1880" s="36" t="s">
        <v>351</v>
      </c>
      <c r="V1880" s="36">
        <v>262.0</v>
      </c>
      <c r="W1880" s="36"/>
      <c r="X1880" s="38">
        <v>1.0</v>
      </c>
      <c r="Y1880" s="38" t="s">
        <v>2975</v>
      </c>
      <c r="Z1880" s="38" t="s">
        <v>2969</v>
      </c>
      <c r="AA1880" s="38" t="s">
        <v>313</v>
      </c>
      <c r="AB1880" s="38" t="s">
        <v>2970</v>
      </c>
      <c r="AC1880" s="38" t="s">
        <v>2971</v>
      </c>
      <c r="AD1880" s="38" t="s">
        <v>2972</v>
      </c>
      <c r="AE1880" s="38"/>
      <c r="AF1880" s="38"/>
      <c r="AG1880" s="38" t="s">
        <v>2974</v>
      </c>
      <c r="AH1880" s="38"/>
      <c r="AI1880" s="50">
        <v>13.6</v>
      </c>
      <c r="AJ1880" s="50">
        <v>2.6</v>
      </c>
      <c r="AK1880" s="41" t="s">
        <v>288</v>
      </c>
      <c r="AL1880" s="40" t="s">
        <v>288</v>
      </c>
      <c r="AM1880" s="49">
        <v>228.0</v>
      </c>
      <c r="AN1880" s="51">
        <v>228.0</v>
      </c>
      <c r="AO1880" s="42" t="s">
        <v>355</v>
      </c>
      <c r="AP1880" s="43" t="s">
        <v>355</v>
      </c>
      <c r="AQ1880" s="44" t="str">
        <f t="shared" si="217"/>
        <v>SAV</v>
      </c>
      <c r="AR1880" s="44">
        <f t="shared" si="199"/>
        <v>228</v>
      </c>
      <c r="AS1880" s="44" t="str">
        <f t="shared" si="222"/>
        <v>B</v>
      </c>
      <c r="AT1880" s="44" t="str">
        <f t="shared" si="202"/>
        <v>BW</v>
      </c>
      <c r="AU1880" s="44" t="str">
        <f t="shared" si="203"/>
        <v>BWh</v>
      </c>
      <c r="AV1880" s="38">
        <v>2.0</v>
      </c>
      <c r="AW1880" s="38"/>
      <c r="AX1880" s="38"/>
      <c r="AY1880" s="38"/>
      <c r="AZ1880" s="29">
        <v>1000.0</v>
      </c>
      <c r="BA1880" s="29"/>
      <c r="BB1880" s="29">
        <v>1.0</v>
      </c>
      <c r="BC1880" s="29" t="s">
        <v>2987</v>
      </c>
      <c r="BD1880" s="29" t="s">
        <v>88</v>
      </c>
      <c r="BE1880" s="29" t="s">
        <v>263</v>
      </c>
      <c r="BF1880" s="29" t="s">
        <v>2942</v>
      </c>
      <c r="BG1880" s="29" t="s">
        <v>91</v>
      </c>
      <c r="BH1880" s="29" t="s">
        <v>88</v>
      </c>
      <c r="BI1880" s="29" t="s">
        <v>1438</v>
      </c>
      <c r="BJ1880" s="29"/>
      <c r="BK1880" s="29" t="s">
        <v>148</v>
      </c>
      <c r="BL1880" s="29" t="s">
        <v>148</v>
      </c>
      <c r="BM1880" s="45"/>
      <c r="BN1880" s="45"/>
      <c r="BO1880" s="46"/>
      <c r="BP1880" s="2" t="s">
        <v>2988</v>
      </c>
      <c r="BQ1880" s="3"/>
    </row>
    <row r="1881" ht="15.75" customHeight="1">
      <c r="A1881" s="34">
        <v>1993.0</v>
      </c>
      <c r="B1881" s="34">
        <v>104246.0</v>
      </c>
      <c r="C1881" s="34" t="s">
        <v>76</v>
      </c>
      <c r="D1881" s="34" t="s">
        <v>2933</v>
      </c>
      <c r="E1881" s="34" t="s">
        <v>2934</v>
      </c>
      <c r="F1881" s="34">
        <v>2021.0</v>
      </c>
      <c r="G1881" s="34" t="s">
        <v>2935</v>
      </c>
      <c r="H1881" s="34" t="s">
        <v>816</v>
      </c>
      <c r="I1881" s="34" t="s">
        <v>2936</v>
      </c>
      <c r="J1881" s="35"/>
      <c r="K1881" s="36"/>
      <c r="L1881" s="36">
        <v>265.0</v>
      </c>
      <c r="M1881" s="36"/>
      <c r="N1881" s="36"/>
      <c r="O1881" s="36"/>
      <c r="P1881" s="37">
        <v>7.0</v>
      </c>
      <c r="Q1881" s="36" t="s">
        <v>1393</v>
      </c>
      <c r="R1881" s="36" t="s">
        <v>96</v>
      </c>
      <c r="S1881" s="36">
        <v>1000.0</v>
      </c>
      <c r="T1881" s="36" t="s">
        <v>242</v>
      </c>
      <c r="U1881" s="36" t="s">
        <v>243</v>
      </c>
      <c r="V1881" s="36">
        <f>167+241</f>
        <v>408</v>
      </c>
      <c r="W1881" s="36"/>
      <c r="X1881" s="38">
        <v>1.0</v>
      </c>
      <c r="Y1881" s="38" t="s">
        <v>2976</v>
      </c>
      <c r="Z1881" s="38" t="s">
        <v>2977</v>
      </c>
      <c r="AA1881" s="38" t="s">
        <v>86</v>
      </c>
      <c r="AB1881" s="38" t="s">
        <v>2978</v>
      </c>
      <c r="AC1881" s="38" t="s">
        <v>2979</v>
      </c>
      <c r="AD1881" s="38" t="s">
        <v>2980</v>
      </c>
      <c r="AE1881" s="38"/>
      <c r="AF1881" s="38" t="s">
        <v>2316</v>
      </c>
      <c r="AG1881" s="38" t="s">
        <v>1459</v>
      </c>
      <c r="AH1881" s="38"/>
      <c r="AI1881" s="50">
        <v>35.181714</v>
      </c>
      <c r="AJ1881" s="50">
        <v>9.545662</v>
      </c>
      <c r="AK1881" s="41" t="s">
        <v>86</v>
      </c>
      <c r="AL1881" s="40" t="s">
        <v>86</v>
      </c>
      <c r="AM1881" s="49">
        <v>369.0</v>
      </c>
      <c r="AN1881" s="51">
        <v>369.0</v>
      </c>
      <c r="AO1881" s="42" t="s">
        <v>355</v>
      </c>
      <c r="AP1881" s="43" t="s">
        <v>355</v>
      </c>
      <c r="AQ1881" s="44" t="str">
        <f t="shared" si="217"/>
        <v>CRO</v>
      </c>
      <c r="AR1881" s="44">
        <f t="shared" si="199"/>
        <v>369</v>
      </c>
      <c r="AS1881" s="44" t="str">
        <f t="shared" si="222"/>
        <v>B</v>
      </c>
      <c r="AT1881" s="44" t="str">
        <f t="shared" si="202"/>
        <v>BW</v>
      </c>
      <c r="AU1881" s="44" t="str">
        <f t="shared" si="203"/>
        <v>BWh</v>
      </c>
      <c r="AV1881" s="38">
        <v>3.0</v>
      </c>
      <c r="AW1881" s="38"/>
      <c r="AX1881" s="38"/>
      <c r="AY1881" s="38"/>
      <c r="AZ1881" s="29">
        <v>1000.0</v>
      </c>
      <c r="BA1881" s="29"/>
      <c r="BB1881" s="29">
        <v>1.0</v>
      </c>
      <c r="BC1881" s="29" t="s">
        <v>2987</v>
      </c>
      <c r="BD1881" s="29" t="s">
        <v>88</v>
      </c>
      <c r="BE1881" s="29" t="s">
        <v>263</v>
      </c>
      <c r="BF1881" s="29" t="s">
        <v>2942</v>
      </c>
      <c r="BG1881" s="29" t="s">
        <v>91</v>
      </c>
      <c r="BH1881" s="29" t="s">
        <v>88</v>
      </c>
      <c r="BI1881" s="29" t="s">
        <v>1438</v>
      </c>
      <c r="BJ1881" s="29"/>
      <c r="BK1881" s="29" t="s">
        <v>148</v>
      </c>
      <c r="BL1881" s="29" t="s">
        <v>148</v>
      </c>
      <c r="BM1881" s="45"/>
      <c r="BN1881" s="45"/>
      <c r="BO1881" s="46"/>
      <c r="BP1881" s="2"/>
      <c r="BQ1881" s="3"/>
    </row>
    <row r="1882" ht="15.75" customHeight="1">
      <c r="A1882" s="34">
        <v>1994.0</v>
      </c>
      <c r="B1882" s="34">
        <v>104246.0</v>
      </c>
      <c r="C1882" s="34" t="s">
        <v>76</v>
      </c>
      <c r="D1882" s="34" t="s">
        <v>2933</v>
      </c>
      <c r="E1882" s="34" t="s">
        <v>2934</v>
      </c>
      <c r="F1882" s="34">
        <v>2021.0</v>
      </c>
      <c r="G1882" s="34" t="s">
        <v>2935</v>
      </c>
      <c r="H1882" s="34" t="s">
        <v>816</v>
      </c>
      <c r="I1882" s="34" t="s">
        <v>2936</v>
      </c>
      <c r="J1882" s="35"/>
      <c r="K1882" s="36"/>
      <c r="L1882" s="36">
        <v>558.0</v>
      </c>
      <c r="M1882" s="36"/>
      <c r="N1882" s="36"/>
      <c r="O1882" s="36"/>
      <c r="P1882" s="37">
        <v>-5.0</v>
      </c>
      <c r="Q1882" s="36" t="s">
        <v>1393</v>
      </c>
      <c r="R1882" s="36" t="s">
        <v>96</v>
      </c>
      <c r="S1882" s="36">
        <v>1000.0</v>
      </c>
      <c r="T1882" s="36" t="s">
        <v>242</v>
      </c>
      <c r="U1882" s="36" t="s">
        <v>2955</v>
      </c>
      <c r="V1882" s="36">
        <f>365+365+233</f>
        <v>963</v>
      </c>
      <c r="W1882" s="36"/>
      <c r="X1882" s="38">
        <v>1.0</v>
      </c>
      <c r="Y1882" s="38" t="s">
        <v>2981</v>
      </c>
      <c r="Z1882" s="38" t="s">
        <v>2977</v>
      </c>
      <c r="AA1882" s="38" t="s">
        <v>86</v>
      </c>
      <c r="AB1882" s="38" t="s">
        <v>2978</v>
      </c>
      <c r="AC1882" s="38" t="s">
        <v>2979</v>
      </c>
      <c r="AD1882" s="38" t="s">
        <v>2980</v>
      </c>
      <c r="AE1882" s="38"/>
      <c r="AF1882" s="38" t="s">
        <v>238</v>
      </c>
      <c r="AG1882" s="38" t="s">
        <v>1459</v>
      </c>
      <c r="AH1882" s="38"/>
      <c r="AI1882" s="50">
        <v>35.181714</v>
      </c>
      <c r="AJ1882" s="50">
        <v>9.545662</v>
      </c>
      <c r="AK1882" s="41" t="s">
        <v>86</v>
      </c>
      <c r="AL1882" s="40" t="s">
        <v>86</v>
      </c>
      <c r="AM1882" s="49">
        <v>369.0</v>
      </c>
      <c r="AN1882" s="51">
        <v>369.0</v>
      </c>
      <c r="AO1882" s="42" t="s">
        <v>355</v>
      </c>
      <c r="AP1882" s="43" t="s">
        <v>355</v>
      </c>
      <c r="AQ1882" s="44" t="str">
        <f t="shared" si="217"/>
        <v>CRO</v>
      </c>
      <c r="AR1882" s="44">
        <f t="shared" si="199"/>
        <v>369</v>
      </c>
      <c r="AS1882" s="44" t="str">
        <f t="shared" si="222"/>
        <v>B</v>
      </c>
      <c r="AT1882" s="44" t="str">
        <f t="shared" si="202"/>
        <v>BW</v>
      </c>
      <c r="AU1882" s="44" t="str">
        <f t="shared" si="203"/>
        <v>BWh</v>
      </c>
      <c r="AV1882" s="38">
        <v>3.0</v>
      </c>
      <c r="AW1882" s="38"/>
      <c r="AX1882" s="38"/>
      <c r="AY1882" s="38"/>
      <c r="AZ1882" s="29">
        <v>1000.0</v>
      </c>
      <c r="BA1882" s="29"/>
      <c r="BB1882" s="29">
        <v>1.0</v>
      </c>
      <c r="BC1882" s="29" t="s">
        <v>2987</v>
      </c>
      <c r="BD1882" s="29" t="s">
        <v>88</v>
      </c>
      <c r="BE1882" s="29" t="s">
        <v>263</v>
      </c>
      <c r="BF1882" s="29" t="s">
        <v>2942</v>
      </c>
      <c r="BG1882" s="29" t="s">
        <v>91</v>
      </c>
      <c r="BH1882" s="29" t="s">
        <v>88</v>
      </c>
      <c r="BI1882" s="29" t="s">
        <v>1438</v>
      </c>
      <c r="BJ1882" s="29"/>
      <c r="BK1882" s="29" t="s">
        <v>148</v>
      </c>
      <c r="BL1882" s="29" t="s">
        <v>148</v>
      </c>
      <c r="BM1882" s="45"/>
      <c r="BN1882" s="45"/>
      <c r="BO1882" s="46"/>
      <c r="BP1882" s="2"/>
      <c r="BQ1882" s="3"/>
    </row>
    <row r="1883" ht="15.75" customHeight="1">
      <c r="A1883" s="34">
        <v>1995.0</v>
      </c>
      <c r="B1883" s="34">
        <v>104246.0</v>
      </c>
      <c r="C1883" s="34" t="s">
        <v>76</v>
      </c>
      <c r="D1883" s="34" t="s">
        <v>2933</v>
      </c>
      <c r="E1883" s="34" t="s">
        <v>2934</v>
      </c>
      <c r="F1883" s="34">
        <v>2021.0</v>
      </c>
      <c r="G1883" s="34" t="s">
        <v>2935</v>
      </c>
      <c r="H1883" s="34" t="s">
        <v>816</v>
      </c>
      <c r="I1883" s="34" t="s">
        <v>2936</v>
      </c>
      <c r="J1883" s="35"/>
      <c r="K1883" s="36"/>
      <c r="L1883" s="36">
        <v>288.0</v>
      </c>
      <c r="M1883" s="36"/>
      <c r="N1883" s="36"/>
      <c r="O1883" s="36"/>
      <c r="P1883" s="37">
        <v>-1.0</v>
      </c>
      <c r="Q1883" s="36" t="s">
        <v>1393</v>
      </c>
      <c r="R1883" s="36" t="s">
        <v>96</v>
      </c>
      <c r="S1883" s="36">
        <v>1000.0</v>
      </c>
      <c r="T1883" s="36" t="s">
        <v>295</v>
      </c>
      <c r="U1883" s="36" t="s">
        <v>968</v>
      </c>
      <c r="V1883" s="36">
        <v>148.0</v>
      </c>
      <c r="W1883" s="36"/>
      <c r="X1883" s="38">
        <v>1.0</v>
      </c>
      <c r="Y1883" s="38" t="s">
        <v>2982</v>
      </c>
      <c r="Z1883" s="38" t="s">
        <v>2983</v>
      </c>
      <c r="AA1883" s="38" t="s">
        <v>86</v>
      </c>
      <c r="AB1883" s="38" t="s">
        <v>2984</v>
      </c>
      <c r="AC1883" s="38" t="s">
        <v>2985</v>
      </c>
      <c r="AD1883" s="38" t="s">
        <v>2235</v>
      </c>
      <c r="AE1883" s="53"/>
      <c r="AF1883" s="38" t="s">
        <v>2316</v>
      </c>
      <c r="AG1883" s="38"/>
      <c r="AH1883" s="38"/>
      <c r="AI1883" s="50">
        <v>31.6725</v>
      </c>
      <c r="AJ1883" s="50">
        <v>-7.59597</v>
      </c>
      <c r="AK1883" s="41" t="s">
        <v>86</v>
      </c>
      <c r="AL1883" s="40" t="s">
        <v>86</v>
      </c>
      <c r="AM1883" s="49">
        <v>572.0</v>
      </c>
      <c r="AN1883" s="51">
        <v>572.0</v>
      </c>
      <c r="AO1883" s="42" t="s">
        <v>304</v>
      </c>
      <c r="AP1883" s="43" t="s">
        <v>304</v>
      </c>
      <c r="AQ1883" s="44" t="str">
        <f t="shared" si="217"/>
        <v>CRO</v>
      </c>
      <c r="AR1883" s="44">
        <f t="shared" si="199"/>
        <v>572</v>
      </c>
      <c r="AS1883" s="44" t="str">
        <f t="shared" si="222"/>
        <v>B</v>
      </c>
      <c r="AT1883" s="44" t="str">
        <f t="shared" si="202"/>
        <v>BS</v>
      </c>
      <c r="AU1883" s="44" t="str">
        <f t="shared" si="203"/>
        <v>BSh</v>
      </c>
      <c r="AV1883" s="38">
        <v>2.0</v>
      </c>
      <c r="AW1883" s="38"/>
      <c r="AX1883" s="38"/>
      <c r="AY1883" s="38"/>
      <c r="AZ1883" s="29">
        <v>1000.0</v>
      </c>
      <c r="BA1883" s="29"/>
      <c r="BB1883" s="29">
        <v>1.0</v>
      </c>
      <c r="BC1883" s="29" t="s">
        <v>2987</v>
      </c>
      <c r="BD1883" s="29" t="s">
        <v>88</v>
      </c>
      <c r="BE1883" s="29" t="s">
        <v>263</v>
      </c>
      <c r="BF1883" s="29" t="s">
        <v>2942</v>
      </c>
      <c r="BG1883" s="29" t="s">
        <v>91</v>
      </c>
      <c r="BH1883" s="29" t="s">
        <v>88</v>
      </c>
      <c r="BI1883" s="29" t="s">
        <v>1438</v>
      </c>
      <c r="BJ1883" s="29"/>
      <c r="BK1883" s="29" t="s">
        <v>148</v>
      </c>
      <c r="BL1883" s="29" t="s">
        <v>148</v>
      </c>
      <c r="BM1883" s="45"/>
      <c r="BN1883" s="45"/>
      <c r="BO1883" s="46"/>
      <c r="BP1883" s="2"/>
      <c r="BQ1883" s="3"/>
    </row>
    <row r="1884" ht="15.75" customHeight="1">
      <c r="A1884" s="34">
        <v>1996.0</v>
      </c>
      <c r="B1884" s="34">
        <v>104246.0</v>
      </c>
      <c r="C1884" s="34" t="s">
        <v>76</v>
      </c>
      <c r="D1884" s="34" t="s">
        <v>2933</v>
      </c>
      <c r="E1884" s="34" t="s">
        <v>2934</v>
      </c>
      <c r="F1884" s="34">
        <v>2021.0</v>
      </c>
      <c r="G1884" s="34" t="s">
        <v>2935</v>
      </c>
      <c r="H1884" s="34" t="s">
        <v>816</v>
      </c>
      <c r="I1884" s="34" t="s">
        <v>2936</v>
      </c>
      <c r="J1884" s="35"/>
      <c r="K1884" s="36"/>
      <c r="L1884" s="36">
        <v>375.0</v>
      </c>
      <c r="M1884" s="36"/>
      <c r="N1884" s="36"/>
      <c r="O1884" s="36"/>
      <c r="P1884" s="37">
        <v>-7.0</v>
      </c>
      <c r="Q1884" s="36" t="s">
        <v>1393</v>
      </c>
      <c r="R1884" s="36" t="s">
        <v>96</v>
      </c>
      <c r="S1884" s="36">
        <v>1000.0</v>
      </c>
      <c r="T1884" s="36" t="s">
        <v>341</v>
      </c>
      <c r="U1884" s="36" t="s">
        <v>285</v>
      </c>
      <c r="V1884" s="36">
        <v>246.0</v>
      </c>
      <c r="W1884" s="36"/>
      <c r="X1884" s="38">
        <v>1.0</v>
      </c>
      <c r="Y1884" s="38" t="s">
        <v>2937</v>
      </c>
      <c r="Z1884" s="38" t="s">
        <v>2938</v>
      </c>
      <c r="AA1884" s="38" t="s">
        <v>86</v>
      </c>
      <c r="AB1884" s="38" t="s">
        <v>2939</v>
      </c>
      <c r="AC1884" s="38" t="s">
        <v>2940</v>
      </c>
      <c r="AD1884" s="38" t="s">
        <v>382</v>
      </c>
      <c r="AE1884" s="38"/>
      <c r="AF1884" s="38" t="s">
        <v>2316</v>
      </c>
      <c r="AG1884" s="38" t="s">
        <v>2928</v>
      </c>
      <c r="AH1884" s="38"/>
      <c r="AI1884" s="50">
        <v>43.5497</v>
      </c>
      <c r="AJ1884" s="50">
        <v>1.1061</v>
      </c>
      <c r="AK1884" s="41" t="s">
        <v>86</v>
      </c>
      <c r="AL1884" s="40" t="s">
        <v>86</v>
      </c>
      <c r="AM1884" s="49">
        <v>246.0</v>
      </c>
      <c r="AN1884" s="51">
        <v>246.0</v>
      </c>
      <c r="AO1884" s="42" t="s">
        <v>376</v>
      </c>
      <c r="AP1884" s="43" t="s">
        <v>376</v>
      </c>
      <c r="AQ1884" s="44" t="str">
        <f t="shared" si="217"/>
        <v>CRO</v>
      </c>
      <c r="AR1884" s="44">
        <f t="shared" si="199"/>
        <v>246</v>
      </c>
      <c r="AS1884" s="44" t="str">
        <f t="shared" si="222"/>
        <v>C</v>
      </c>
      <c r="AT1884" s="44" t="str">
        <f t="shared" si="202"/>
        <v>Cf</v>
      </c>
      <c r="AU1884" s="44" t="str">
        <f t="shared" si="203"/>
        <v>Cfb</v>
      </c>
      <c r="AV1884" s="38">
        <v>2.0</v>
      </c>
      <c r="AW1884" s="38"/>
      <c r="AX1884" s="38"/>
      <c r="AY1884" s="38"/>
      <c r="AZ1884" s="29">
        <v>1000.0</v>
      </c>
      <c r="BA1884" s="29"/>
      <c r="BB1884" s="29">
        <v>1.0</v>
      </c>
      <c r="BC1884" s="29" t="s">
        <v>2989</v>
      </c>
      <c r="BD1884" s="29" t="s">
        <v>88</v>
      </c>
      <c r="BE1884" s="29" t="s">
        <v>263</v>
      </c>
      <c r="BF1884" s="29" t="s">
        <v>2942</v>
      </c>
      <c r="BG1884" s="29" t="s">
        <v>91</v>
      </c>
      <c r="BH1884" s="29" t="s">
        <v>88</v>
      </c>
      <c r="BI1884" s="29" t="s">
        <v>1438</v>
      </c>
      <c r="BJ1884" s="29"/>
      <c r="BK1884" s="29" t="s">
        <v>148</v>
      </c>
      <c r="BL1884" s="29" t="s">
        <v>148</v>
      </c>
      <c r="BM1884" s="45"/>
      <c r="BN1884" s="45"/>
      <c r="BO1884" s="46"/>
      <c r="BP1884" s="2"/>
      <c r="BQ1884" s="3"/>
    </row>
    <row r="1885" ht="15.75" customHeight="1">
      <c r="A1885" s="34">
        <v>1997.0</v>
      </c>
      <c r="B1885" s="34">
        <v>104246.0</v>
      </c>
      <c r="C1885" s="34" t="s">
        <v>76</v>
      </c>
      <c r="D1885" s="34" t="s">
        <v>2933</v>
      </c>
      <c r="E1885" s="34" t="s">
        <v>2934</v>
      </c>
      <c r="F1885" s="34">
        <v>2021.0</v>
      </c>
      <c r="G1885" s="34" t="s">
        <v>2935</v>
      </c>
      <c r="H1885" s="34" t="s">
        <v>816</v>
      </c>
      <c r="I1885" s="34" t="s">
        <v>2936</v>
      </c>
      <c r="J1885" s="35"/>
      <c r="K1885" s="36"/>
      <c r="L1885" s="36">
        <v>268.0</v>
      </c>
      <c r="M1885" s="36"/>
      <c r="N1885" s="36"/>
      <c r="O1885" s="36"/>
      <c r="P1885" s="37">
        <v>23.0</v>
      </c>
      <c r="Q1885" s="36" t="s">
        <v>1393</v>
      </c>
      <c r="R1885" s="36" t="s">
        <v>96</v>
      </c>
      <c r="S1885" s="36">
        <v>1000.0</v>
      </c>
      <c r="T1885" s="36" t="s">
        <v>350</v>
      </c>
      <c r="U1885" s="36" t="s">
        <v>342</v>
      </c>
      <c r="V1885" s="36">
        <v>164.0</v>
      </c>
      <c r="W1885" s="36"/>
      <c r="X1885" s="38">
        <v>1.0</v>
      </c>
      <c r="Y1885" s="38" t="s">
        <v>2943</v>
      </c>
      <c r="Z1885" s="38" t="s">
        <v>2938</v>
      </c>
      <c r="AA1885" s="38" t="s">
        <v>86</v>
      </c>
      <c r="AB1885" s="38" t="s">
        <v>2939</v>
      </c>
      <c r="AC1885" s="38" t="s">
        <v>2940</v>
      </c>
      <c r="AD1885" s="38" t="s">
        <v>382</v>
      </c>
      <c r="AE1885" s="38"/>
      <c r="AF1885" s="38" t="s">
        <v>2944</v>
      </c>
      <c r="AG1885" s="38" t="s">
        <v>2928</v>
      </c>
      <c r="AH1885" s="38"/>
      <c r="AI1885" s="50">
        <v>43.5497</v>
      </c>
      <c r="AJ1885" s="50">
        <v>1.1061</v>
      </c>
      <c r="AK1885" s="41" t="s">
        <v>86</v>
      </c>
      <c r="AL1885" s="40" t="s">
        <v>86</v>
      </c>
      <c r="AM1885" s="49">
        <v>246.0</v>
      </c>
      <c r="AN1885" s="51">
        <v>246.0</v>
      </c>
      <c r="AO1885" s="42" t="s">
        <v>376</v>
      </c>
      <c r="AP1885" s="43" t="s">
        <v>376</v>
      </c>
      <c r="AQ1885" s="44" t="str">
        <f t="shared" si="217"/>
        <v>CRO</v>
      </c>
      <c r="AR1885" s="44">
        <f t="shared" si="199"/>
        <v>246</v>
      </c>
      <c r="AS1885" s="44" t="str">
        <f t="shared" si="222"/>
        <v>C</v>
      </c>
      <c r="AT1885" s="44" t="str">
        <f t="shared" si="202"/>
        <v>Cf</v>
      </c>
      <c r="AU1885" s="44" t="str">
        <f t="shared" si="203"/>
        <v>Cfb</v>
      </c>
      <c r="AV1885" s="38">
        <v>2.0</v>
      </c>
      <c r="AW1885" s="38"/>
      <c r="AX1885" s="38"/>
      <c r="AY1885" s="38"/>
      <c r="AZ1885" s="29">
        <v>1000.0</v>
      </c>
      <c r="BA1885" s="29"/>
      <c r="BB1885" s="29">
        <v>1.0</v>
      </c>
      <c r="BC1885" s="29" t="s">
        <v>2989</v>
      </c>
      <c r="BD1885" s="29" t="s">
        <v>88</v>
      </c>
      <c r="BE1885" s="29" t="s">
        <v>263</v>
      </c>
      <c r="BF1885" s="29" t="s">
        <v>2942</v>
      </c>
      <c r="BG1885" s="29" t="s">
        <v>91</v>
      </c>
      <c r="BH1885" s="29" t="s">
        <v>88</v>
      </c>
      <c r="BI1885" s="29" t="s">
        <v>1438</v>
      </c>
      <c r="BJ1885" s="29"/>
      <c r="BK1885" s="29" t="s">
        <v>148</v>
      </c>
      <c r="BL1885" s="29" t="s">
        <v>148</v>
      </c>
      <c r="BM1885" s="45"/>
      <c r="BN1885" s="45"/>
      <c r="BO1885" s="46"/>
      <c r="BP1885" s="2"/>
      <c r="BQ1885" s="3"/>
    </row>
    <row r="1886" ht="15.75" customHeight="1">
      <c r="A1886" s="34">
        <v>1998.0</v>
      </c>
      <c r="B1886" s="34">
        <v>104246.0</v>
      </c>
      <c r="C1886" s="34" t="s">
        <v>76</v>
      </c>
      <c r="D1886" s="34" t="s">
        <v>2933</v>
      </c>
      <c r="E1886" s="34" t="s">
        <v>2934</v>
      </c>
      <c r="F1886" s="34">
        <v>2021.0</v>
      </c>
      <c r="G1886" s="34" t="s">
        <v>2935</v>
      </c>
      <c r="H1886" s="34" t="s">
        <v>816</v>
      </c>
      <c r="I1886" s="34" t="s">
        <v>2936</v>
      </c>
      <c r="J1886" s="35"/>
      <c r="K1886" s="36"/>
      <c r="L1886" s="36">
        <v>218.0</v>
      </c>
      <c r="M1886" s="36"/>
      <c r="N1886" s="36"/>
      <c r="O1886" s="36"/>
      <c r="P1886" s="37">
        <v>19.0</v>
      </c>
      <c r="Q1886" s="36" t="s">
        <v>1393</v>
      </c>
      <c r="R1886" s="36" t="s">
        <v>96</v>
      </c>
      <c r="S1886" s="36">
        <v>1000.0</v>
      </c>
      <c r="T1886" s="36" t="s">
        <v>506</v>
      </c>
      <c r="U1886" s="36" t="s">
        <v>676</v>
      </c>
      <c r="V1886" s="36">
        <v>258.0</v>
      </c>
      <c r="W1886" s="36"/>
      <c r="X1886" s="38">
        <v>1.0</v>
      </c>
      <c r="Y1886" s="38" t="s">
        <v>2945</v>
      </c>
      <c r="Z1886" s="38" t="s">
        <v>2938</v>
      </c>
      <c r="AA1886" s="38" t="s">
        <v>86</v>
      </c>
      <c r="AB1886" s="38" t="s">
        <v>2939</v>
      </c>
      <c r="AC1886" s="38" t="s">
        <v>2940</v>
      </c>
      <c r="AD1886" s="38" t="s">
        <v>382</v>
      </c>
      <c r="AE1886" s="38"/>
      <c r="AF1886" s="38" t="s">
        <v>2316</v>
      </c>
      <c r="AG1886" s="38" t="s">
        <v>2928</v>
      </c>
      <c r="AH1886" s="38"/>
      <c r="AI1886" s="50">
        <v>43.5497</v>
      </c>
      <c r="AJ1886" s="50">
        <v>1.1061</v>
      </c>
      <c r="AK1886" s="41" t="s">
        <v>86</v>
      </c>
      <c r="AL1886" s="40" t="s">
        <v>86</v>
      </c>
      <c r="AM1886" s="49">
        <v>246.0</v>
      </c>
      <c r="AN1886" s="51">
        <v>246.0</v>
      </c>
      <c r="AO1886" s="42" t="s">
        <v>376</v>
      </c>
      <c r="AP1886" s="43" t="s">
        <v>376</v>
      </c>
      <c r="AQ1886" s="44" t="str">
        <f t="shared" si="217"/>
        <v>CRO</v>
      </c>
      <c r="AR1886" s="44">
        <f t="shared" si="199"/>
        <v>246</v>
      </c>
      <c r="AS1886" s="44" t="str">
        <f t="shared" si="222"/>
        <v>C</v>
      </c>
      <c r="AT1886" s="44" t="str">
        <f t="shared" si="202"/>
        <v>Cf</v>
      </c>
      <c r="AU1886" s="44" t="str">
        <f t="shared" si="203"/>
        <v>Cfb</v>
      </c>
      <c r="AV1886" s="38">
        <v>2.0</v>
      </c>
      <c r="AW1886" s="38"/>
      <c r="AX1886" s="38"/>
      <c r="AY1886" s="38"/>
      <c r="AZ1886" s="29">
        <v>1000.0</v>
      </c>
      <c r="BA1886" s="29"/>
      <c r="BB1886" s="29">
        <v>1.0</v>
      </c>
      <c r="BC1886" s="29" t="s">
        <v>2989</v>
      </c>
      <c r="BD1886" s="29" t="s">
        <v>88</v>
      </c>
      <c r="BE1886" s="29" t="s">
        <v>263</v>
      </c>
      <c r="BF1886" s="29" t="s">
        <v>2942</v>
      </c>
      <c r="BG1886" s="29" t="s">
        <v>91</v>
      </c>
      <c r="BH1886" s="29" t="s">
        <v>88</v>
      </c>
      <c r="BI1886" s="29" t="s">
        <v>1438</v>
      </c>
      <c r="BJ1886" s="29"/>
      <c r="BK1886" s="29" t="s">
        <v>148</v>
      </c>
      <c r="BL1886" s="29" t="s">
        <v>148</v>
      </c>
      <c r="BM1886" s="45"/>
      <c r="BN1886" s="45"/>
      <c r="BO1886" s="46"/>
      <c r="BP1886" s="2"/>
      <c r="BQ1886" s="3"/>
    </row>
    <row r="1887" ht="15.75" customHeight="1">
      <c r="A1887" s="34">
        <v>1999.0</v>
      </c>
      <c r="B1887" s="34">
        <v>104246.0</v>
      </c>
      <c r="C1887" s="34" t="s">
        <v>76</v>
      </c>
      <c r="D1887" s="34" t="s">
        <v>2933</v>
      </c>
      <c r="E1887" s="34" t="s">
        <v>2934</v>
      </c>
      <c r="F1887" s="34">
        <v>2021.0</v>
      </c>
      <c r="G1887" s="34" t="s">
        <v>2935</v>
      </c>
      <c r="H1887" s="34" t="s">
        <v>816</v>
      </c>
      <c r="I1887" s="34" t="s">
        <v>2936</v>
      </c>
      <c r="J1887" s="35"/>
      <c r="K1887" s="36"/>
      <c r="L1887" s="36">
        <v>340.0</v>
      </c>
      <c r="M1887" s="36"/>
      <c r="N1887" s="36"/>
      <c r="O1887" s="36"/>
      <c r="P1887" s="37">
        <v>27.0</v>
      </c>
      <c r="Q1887" s="36" t="s">
        <v>1393</v>
      </c>
      <c r="R1887" s="36" t="s">
        <v>96</v>
      </c>
      <c r="S1887" s="36">
        <v>1000.0</v>
      </c>
      <c r="T1887" s="36" t="s">
        <v>350</v>
      </c>
      <c r="U1887" s="36" t="s">
        <v>342</v>
      </c>
      <c r="V1887" s="36">
        <v>269.0</v>
      </c>
      <c r="W1887" s="36"/>
      <c r="X1887" s="38">
        <v>1.0</v>
      </c>
      <c r="Y1887" s="38" t="s">
        <v>2946</v>
      </c>
      <c r="Z1887" s="38" t="s">
        <v>2947</v>
      </c>
      <c r="AA1887" s="38" t="s">
        <v>86</v>
      </c>
      <c r="AB1887" s="38" t="s">
        <v>2948</v>
      </c>
      <c r="AC1887" s="38" t="s">
        <v>2949</v>
      </c>
      <c r="AD1887" s="38" t="s">
        <v>382</v>
      </c>
      <c r="AE1887" s="38"/>
      <c r="AF1887" s="38" t="s">
        <v>2316</v>
      </c>
      <c r="AG1887" s="38" t="s">
        <v>2928</v>
      </c>
      <c r="AH1887" s="38"/>
      <c r="AI1887" s="50">
        <v>43.4965</v>
      </c>
      <c r="AJ1887" s="50">
        <v>1.2379</v>
      </c>
      <c r="AK1887" s="41" t="s">
        <v>86</v>
      </c>
      <c r="AL1887" s="40" t="s">
        <v>86</v>
      </c>
      <c r="AM1887" s="49">
        <v>181.0</v>
      </c>
      <c r="AN1887" s="51">
        <v>181.0</v>
      </c>
      <c r="AO1887" s="42" t="s">
        <v>201</v>
      </c>
      <c r="AP1887" s="43" t="s">
        <v>201</v>
      </c>
      <c r="AQ1887" s="44" t="str">
        <f t="shared" si="217"/>
        <v>CRO</v>
      </c>
      <c r="AR1887" s="44">
        <f t="shared" si="199"/>
        <v>181</v>
      </c>
      <c r="AS1887" s="44" t="str">
        <f t="shared" si="222"/>
        <v>C</v>
      </c>
      <c r="AT1887" s="44" t="str">
        <f t="shared" si="202"/>
        <v>Cf</v>
      </c>
      <c r="AU1887" s="44" t="str">
        <f t="shared" si="203"/>
        <v>Cfa</v>
      </c>
      <c r="AV1887" s="38">
        <v>2.0</v>
      </c>
      <c r="AW1887" s="38"/>
      <c r="AX1887" s="38"/>
      <c r="AY1887" s="38"/>
      <c r="AZ1887" s="29">
        <v>1000.0</v>
      </c>
      <c r="BA1887" s="29"/>
      <c r="BB1887" s="29">
        <v>1.0</v>
      </c>
      <c r="BC1887" s="29" t="s">
        <v>2989</v>
      </c>
      <c r="BD1887" s="29" t="s">
        <v>88</v>
      </c>
      <c r="BE1887" s="29" t="s">
        <v>263</v>
      </c>
      <c r="BF1887" s="29" t="s">
        <v>2942</v>
      </c>
      <c r="BG1887" s="29" t="s">
        <v>91</v>
      </c>
      <c r="BH1887" s="29" t="s">
        <v>88</v>
      </c>
      <c r="BI1887" s="29" t="s">
        <v>1438</v>
      </c>
      <c r="BJ1887" s="29"/>
      <c r="BK1887" s="29" t="s">
        <v>148</v>
      </c>
      <c r="BL1887" s="29" t="s">
        <v>148</v>
      </c>
      <c r="BM1887" s="45"/>
      <c r="BN1887" s="45"/>
      <c r="BO1887" s="46"/>
      <c r="BP1887" s="2" t="s">
        <v>2988</v>
      </c>
      <c r="BQ1887" s="3"/>
    </row>
    <row r="1888" ht="15.75" customHeight="1">
      <c r="A1888" s="34">
        <v>2000.0</v>
      </c>
      <c r="B1888" s="34">
        <v>104246.0</v>
      </c>
      <c r="C1888" s="34" t="s">
        <v>76</v>
      </c>
      <c r="D1888" s="34" t="s">
        <v>2933</v>
      </c>
      <c r="E1888" s="34" t="s">
        <v>2934</v>
      </c>
      <c r="F1888" s="34">
        <v>2021.0</v>
      </c>
      <c r="G1888" s="34" t="s">
        <v>2935</v>
      </c>
      <c r="H1888" s="34" t="s">
        <v>816</v>
      </c>
      <c r="I1888" s="34" t="s">
        <v>2936</v>
      </c>
      <c r="J1888" s="35"/>
      <c r="K1888" s="36"/>
      <c r="L1888" s="36">
        <v>427.0</v>
      </c>
      <c r="M1888" s="36"/>
      <c r="N1888" s="36"/>
      <c r="O1888" s="36"/>
      <c r="P1888" s="37">
        <v>-1.0</v>
      </c>
      <c r="Q1888" s="36" t="s">
        <v>1393</v>
      </c>
      <c r="R1888" s="36" t="s">
        <v>96</v>
      </c>
      <c r="S1888" s="36">
        <v>1000.0</v>
      </c>
      <c r="T1888" s="36" t="s">
        <v>506</v>
      </c>
      <c r="U1888" s="36" t="s">
        <v>676</v>
      </c>
      <c r="V1888" s="36">
        <v>161.0</v>
      </c>
      <c r="W1888" s="36"/>
      <c r="X1888" s="38">
        <v>1.0</v>
      </c>
      <c r="Y1888" s="38" t="s">
        <v>2950</v>
      </c>
      <c r="Z1888" s="38" t="s">
        <v>2947</v>
      </c>
      <c r="AA1888" s="38" t="s">
        <v>86</v>
      </c>
      <c r="AB1888" s="38" t="s">
        <v>2948</v>
      </c>
      <c r="AC1888" s="38" t="s">
        <v>2949</v>
      </c>
      <c r="AD1888" s="38" t="s">
        <v>382</v>
      </c>
      <c r="AE1888" s="38"/>
      <c r="AF1888" s="38" t="s">
        <v>525</v>
      </c>
      <c r="AG1888" s="38" t="s">
        <v>2928</v>
      </c>
      <c r="AH1888" s="38"/>
      <c r="AI1888" s="50">
        <v>43.4965</v>
      </c>
      <c r="AJ1888" s="50">
        <v>1.2379</v>
      </c>
      <c r="AK1888" s="41" t="s">
        <v>86</v>
      </c>
      <c r="AL1888" s="40" t="s">
        <v>86</v>
      </c>
      <c r="AM1888" s="49">
        <v>181.0</v>
      </c>
      <c r="AN1888" s="51">
        <v>181.0</v>
      </c>
      <c r="AO1888" s="42" t="s">
        <v>201</v>
      </c>
      <c r="AP1888" s="43" t="s">
        <v>201</v>
      </c>
      <c r="AQ1888" s="44" t="str">
        <f t="shared" si="217"/>
        <v>CRO</v>
      </c>
      <c r="AR1888" s="44">
        <f t="shared" si="199"/>
        <v>181</v>
      </c>
      <c r="AS1888" s="44" t="str">
        <f t="shared" si="222"/>
        <v>C</v>
      </c>
      <c r="AT1888" s="44" t="str">
        <f t="shared" si="202"/>
        <v>Cf</v>
      </c>
      <c r="AU1888" s="44" t="str">
        <f t="shared" si="203"/>
        <v>Cfa</v>
      </c>
      <c r="AV1888" s="38">
        <v>2.0</v>
      </c>
      <c r="AW1888" s="38"/>
      <c r="AX1888" s="38"/>
      <c r="AY1888" s="38"/>
      <c r="AZ1888" s="29">
        <v>1000.0</v>
      </c>
      <c r="BA1888" s="29"/>
      <c r="BB1888" s="29">
        <v>1.0</v>
      </c>
      <c r="BC1888" s="29" t="s">
        <v>2989</v>
      </c>
      <c r="BD1888" s="29" t="s">
        <v>88</v>
      </c>
      <c r="BE1888" s="29" t="s">
        <v>263</v>
      </c>
      <c r="BF1888" s="29" t="s">
        <v>2942</v>
      </c>
      <c r="BG1888" s="29" t="s">
        <v>91</v>
      </c>
      <c r="BH1888" s="29" t="s">
        <v>88</v>
      </c>
      <c r="BI1888" s="29" t="s">
        <v>1438</v>
      </c>
      <c r="BJ1888" s="29"/>
      <c r="BK1888" s="29" t="s">
        <v>148</v>
      </c>
      <c r="BL1888" s="29" t="s">
        <v>148</v>
      </c>
      <c r="BM1888" s="45"/>
      <c r="BN1888" s="45"/>
      <c r="BO1888" s="46"/>
      <c r="BP1888" s="2" t="s">
        <v>2988</v>
      </c>
      <c r="BQ1888" s="3"/>
    </row>
    <row r="1889" ht="15.75" customHeight="1">
      <c r="A1889" s="34">
        <v>2001.0</v>
      </c>
      <c r="B1889" s="34">
        <v>104246.0</v>
      </c>
      <c r="C1889" s="34" t="s">
        <v>76</v>
      </c>
      <c r="D1889" s="34" t="s">
        <v>2933</v>
      </c>
      <c r="E1889" s="34" t="s">
        <v>2934</v>
      </c>
      <c r="F1889" s="34">
        <v>2021.0</v>
      </c>
      <c r="G1889" s="34" t="s">
        <v>2935</v>
      </c>
      <c r="H1889" s="34" t="s">
        <v>816</v>
      </c>
      <c r="I1889" s="34" t="s">
        <v>2936</v>
      </c>
      <c r="J1889" s="35"/>
      <c r="K1889" s="36"/>
      <c r="L1889" s="36">
        <v>251.0</v>
      </c>
      <c r="M1889" s="36"/>
      <c r="N1889" s="36"/>
      <c r="O1889" s="36"/>
      <c r="P1889" s="37">
        <v>47.0</v>
      </c>
      <c r="Q1889" s="36" t="s">
        <v>1393</v>
      </c>
      <c r="R1889" s="36" t="s">
        <v>96</v>
      </c>
      <c r="S1889" s="36">
        <v>1000.0</v>
      </c>
      <c r="T1889" s="36" t="s">
        <v>536</v>
      </c>
      <c r="U1889" s="36" t="s">
        <v>351</v>
      </c>
      <c r="V1889" s="36">
        <v>237.0</v>
      </c>
      <c r="W1889" s="36"/>
      <c r="X1889" s="38">
        <v>1.0</v>
      </c>
      <c r="Y1889" s="38" t="s">
        <v>2951</v>
      </c>
      <c r="Z1889" s="38" t="s">
        <v>2947</v>
      </c>
      <c r="AA1889" s="38" t="s">
        <v>86</v>
      </c>
      <c r="AB1889" s="38" t="s">
        <v>2948</v>
      </c>
      <c r="AC1889" s="38" t="s">
        <v>2949</v>
      </c>
      <c r="AD1889" s="38" t="s">
        <v>382</v>
      </c>
      <c r="AE1889" s="38"/>
      <c r="AF1889" s="38" t="s">
        <v>2316</v>
      </c>
      <c r="AG1889" s="38" t="s">
        <v>2928</v>
      </c>
      <c r="AH1889" s="38"/>
      <c r="AI1889" s="50">
        <v>43.4965</v>
      </c>
      <c r="AJ1889" s="50">
        <v>1.2379</v>
      </c>
      <c r="AK1889" s="41" t="s">
        <v>86</v>
      </c>
      <c r="AL1889" s="40" t="s">
        <v>86</v>
      </c>
      <c r="AM1889" s="49">
        <v>181.0</v>
      </c>
      <c r="AN1889" s="51">
        <v>181.0</v>
      </c>
      <c r="AO1889" s="42" t="s">
        <v>201</v>
      </c>
      <c r="AP1889" s="43" t="s">
        <v>201</v>
      </c>
      <c r="AQ1889" s="44" t="str">
        <f t="shared" si="217"/>
        <v>CRO</v>
      </c>
      <c r="AR1889" s="44">
        <f t="shared" si="199"/>
        <v>181</v>
      </c>
      <c r="AS1889" s="44" t="str">
        <f t="shared" si="222"/>
        <v>C</v>
      </c>
      <c r="AT1889" s="44" t="str">
        <f t="shared" si="202"/>
        <v>Cf</v>
      </c>
      <c r="AU1889" s="44" t="str">
        <f t="shared" si="203"/>
        <v>Cfa</v>
      </c>
      <c r="AV1889" s="38">
        <v>2.0</v>
      </c>
      <c r="AW1889" s="38"/>
      <c r="AX1889" s="38"/>
      <c r="AY1889" s="38"/>
      <c r="AZ1889" s="29">
        <v>1000.0</v>
      </c>
      <c r="BA1889" s="29"/>
      <c r="BB1889" s="29">
        <v>1.0</v>
      </c>
      <c r="BC1889" s="29" t="s">
        <v>2989</v>
      </c>
      <c r="BD1889" s="29" t="s">
        <v>88</v>
      </c>
      <c r="BE1889" s="29" t="s">
        <v>263</v>
      </c>
      <c r="BF1889" s="29" t="s">
        <v>2942</v>
      </c>
      <c r="BG1889" s="29" t="s">
        <v>91</v>
      </c>
      <c r="BH1889" s="29" t="s">
        <v>88</v>
      </c>
      <c r="BI1889" s="29" t="s">
        <v>1438</v>
      </c>
      <c r="BJ1889" s="29"/>
      <c r="BK1889" s="29" t="s">
        <v>148</v>
      </c>
      <c r="BL1889" s="29" t="s">
        <v>148</v>
      </c>
      <c r="BM1889" s="45"/>
      <c r="BN1889" s="45"/>
      <c r="BO1889" s="46"/>
      <c r="BP1889" s="2" t="s">
        <v>2988</v>
      </c>
      <c r="BQ1889" s="3"/>
    </row>
    <row r="1890" ht="15.75" customHeight="1">
      <c r="A1890" s="34">
        <v>2002.0</v>
      </c>
      <c r="B1890" s="34">
        <v>104246.0</v>
      </c>
      <c r="C1890" s="34" t="s">
        <v>76</v>
      </c>
      <c r="D1890" s="34" t="s">
        <v>2933</v>
      </c>
      <c r="E1890" s="34" t="s">
        <v>2934</v>
      </c>
      <c r="F1890" s="34">
        <v>2021.0</v>
      </c>
      <c r="G1890" s="34" t="s">
        <v>2935</v>
      </c>
      <c r="H1890" s="34" t="s">
        <v>816</v>
      </c>
      <c r="I1890" s="34" t="s">
        <v>2936</v>
      </c>
      <c r="J1890" s="35"/>
      <c r="K1890" s="36"/>
      <c r="L1890" s="36">
        <v>361.0</v>
      </c>
      <c r="M1890" s="36"/>
      <c r="N1890" s="36"/>
      <c r="O1890" s="36"/>
      <c r="P1890" s="37">
        <v>24.0</v>
      </c>
      <c r="Q1890" s="36" t="s">
        <v>1393</v>
      </c>
      <c r="R1890" s="36" t="s">
        <v>96</v>
      </c>
      <c r="S1890" s="36">
        <v>1000.0</v>
      </c>
      <c r="T1890" s="36" t="s">
        <v>969</v>
      </c>
      <c r="U1890" s="36" t="s">
        <v>507</v>
      </c>
      <c r="V1890" s="36">
        <v>180.0</v>
      </c>
      <c r="W1890" s="36"/>
      <c r="X1890" s="38">
        <v>1.0</v>
      </c>
      <c r="Y1890" s="38" t="s">
        <v>2952</v>
      </c>
      <c r="Z1890" s="38" t="s">
        <v>2947</v>
      </c>
      <c r="AA1890" s="38" t="s">
        <v>86</v>
      </c>
      <c r="AB1890" s="38" t="s">
        <v>2948</v>
      </c>
      <c r="AC1890" s="38" t="s">
        <v>2949</v>
      </c>
      <c r="AD1890" s="38" t="s">
        <v>382</v>
      </c>
      <c r="AE1890" s="38"/>
      <c r="AF1890" s="38" t="s">
        <v>525</v>
      </c>
      <c r="AG1890" s="38" t="s">
        <v>2928</v>
      </c>
      <c r="AH1890" s="38"/>
      <c r="AI1890" s="50">
        <v>43.4965</v>
      </c>
      <c r="AJ1890" s="50">
        <v>1.2379</v>
      </c>
      <c r="AK1890" s="41" t="s">
        <v>86</v>
      </c>
      <c r="AL1890" s="40" t="s">
        <v>86</v>
      </c>
      <c r="AM1890" s="49">
        <v>181.0</v>
      </c>
      <c r="AN1890" s="51">
        <v>181.0</v>
      </c>
      <c r="AO1890" s="42" t="s">
        <v>201</v>
      </c>
      <c r="AP1890" s="43" t="s">
        <v>201</v>
      </c>
      <c r="AQ1890" s="44" t="str">
        <f t="shared" si="217"/>
        <v>CRO</v>
      </c>
      <c r="AR1890" s="44">
        <f t="shared" si="199"/>
        <v>181</v>
      </c>
      <c r="AS1890" s="44" t="str">
        <f t="shared" si="222"/>
        <v>C</v>
      </c>
      <c r="AT1890" s="44" t="str">
        <f t="shared" si="202"/>
        <v>Cf</v>
      </c>
      <c r="AU1890" s="44" t="str">
        <f t="shared" si="203"/>
        <v>Cfa</v>
      </c>
      <c r="AV1890" s="38">
        <v>3.0</v>
      </c>
      <c r="AW1890" s="38"/>
      <c r="AX1890" s="38"/>
      <c r="AY1890" s="38"/>
      <c r="AZ1890" s="29">
        <v>1000.0</v>
      </c>
      <c r="BA1890" s="29"/>
      <c r="BB1890" s="29">
        <v>1.0</v>
      </c>
      <c r="BC1890" s="29" t="s">
        <v>2989</v>
      </c>
      <c r="BD1890" s="29" t="s">
        <v>88</v>
      </c>
      <c r="BE1890" s="29" t="s">
        <v>263</v>
      </c>
      <c r="BF1890" s="29" t="s">
        <v>2942</v>
      </c>
      <c r="BG1890" s="29" t="s">
        <v>91</v>
      </c>
      <c r="BH1890" s="29" t="s">
        <v>88</v>
      </c>
      <c r="BI1890" s="29" t="s">
        <v>1438</v>
      </c>
      <c r="BJ1890" s="29"/>
      <c r="BK1890" s="29" t="s">
        <v>148</v>
      </c>
      <c r="BL1890" s="29" t="s">
        <v>148</v>
      </c>
      <c r="BM1890" s="45"/>
      <c r="BN1890" s="45"/>
      <c r="BO1890" s="46"/>
      <c r="BP1890" s="2"/>
      <c r="BQ1890" s="3"/>
    </row>
    <row r="1891" ht="15.75" customHeight="1">
      <c r="A1891" s="34">
        <v>2003.0</v>
      </c>
      <c r="B1891" s="34">
        <v>104246.0</v>
      </c>
      <c r="C1891" s="34" t="s">
        <v>76</v>
      </c>
      <c r="D1891" s="34" t="s">
        <v>2933</v>
      </c>
      <c r="E1891" s="34" t="s">
        <v>2934</v>
      </c>
      <c r="F1891" s="34">
        <v>2021.0</v>
      </c>
      <c r="G1891" s="34" t="s">
        <v>2935</v>
      </c>
      <c r="H1891" s="34" t="s">
        <v>816</v>
      </c>
      <c r="I1891" s="34" t="s">
        <v>2936</v>
      </c>
      <c r="J1891" s="35"/>
      <c r="K1891" s="36"/>
      <c r="L1891" s="36">
        <v>416.0</v>
      </c>
      <c r="M1891" s="36"/>
      <c r="N1891" s="36"/>
      <c r="O1891" s="36"/>
      <c r="P1891" s="37">
        <v>-4.0</v>
      </c>
      <c r="Q1891" s="36" t="s">
        <v>1393</v>
      </c>
      <c r="R1891" s="36" t="s">
        <v>96</v>
      </c>
      <c r="S1891" s="36">
        <v>1000.0</v>
      </c>
      <c r="T1891" s="36" t="s">
        <v>242</v>
      </c>
      <c r="U1891" s="36" t="s">
        <v>243</v>
      </c>
      <c r="V1891" s="36">
        <v>119.0</v>
      </c>
      <c r="W1891" s="36"/>
      <c r="X1891" s="38">
        <v>1.0</v>
      </c>
      <c r="Y1891" s="38" t="s">
        <v>2953</v>
      </c>
      <c r="Z1891" s="38" t="s">
        <v>2947</v>
      </c>
      <c r="AA1891" s="38" t="s">
        <v>86</v>
      </c>
      <c r="AB1891" s="38" t="s">
        <v>2948</v>
      </c>
      <c r="AC1891" s="38" t="s">
        <v>2949</v>
      </c>
      <c r="AD1891" s="38" t="s">
        <v>382</v>
      </c>
      <c r="AE1891" s="38"/>
      <c r="AF1891" s="38" t="s">
        <v>525</v>
      </c>
      <c r="AG1891" s="38" t="s">
        <v>2928</v>
      </c>
      <c r="AH1891" s="38"/>
      <c r="AI1891" s="50">
        <v>43.4965</v>
      </c>
      <c r="AJ1891" s="50">
        <v>1.2379</v>
      </c>
      <c r="AK1891" s="41" t="s">
        <v>86</v>
      </c>
      <c r="AL1891" s="40" t="s">
        <v>86</v>
      </c>
      <c r="AM1891" s="49">
        <v>181.0</v>
      </c>
      <c r="AN1891" s="51">
        <v>181.0</v>
      </c>
      <c r="AO1891" s="42" t="s">
        <v>201</v>
      </c>
      <c r="AP1891" s="43" t="s">
        <v>201</v>
      </c>
      <c r="AQ1891" s="44" t="str">
        <f t="shared" si="217"/>
        <v>CRO</v>
      </c>
      <c r="AR1891" s="44">
        <f t="shared" si="199"/>
        <v>181</v>
      </c>
      <c r="AS1891" s="44" t="str">
        <f t="shared" si="222"/>
        <v>C</v>
      </c>
      <c r="AT1891" s="44" t="str">
        <f t="shared" si="202"/>
        <v>Cf</v>
      </c>
      <c r="AU1891" s="44" t="str">
        <f t="shared" si="203"/>
        <v>Cfa</v>
      </c>
      <c r="AV1891" s="38">
        <v>2.0</v>
      </c>
      <c r="AW1891" s="38"/>
      <c r="AX1891" s="38"/>
      <c r="AY1891" s="38"/>
      <c r="AZ1891" s="29">
        <v>1000.0</v>
      </c>
      <c r="BA1891" s="29"/>
      <c r="BB1891" s="29">
        <v>1.0</v>
      </c>
      <c r="BC1891" s="29" t="s">
        <v>2989</v>
      </c>
      <c r="BD1891" s="29" t="s">
        <v>88</v>
      </c>
      <c r="BE1891" s="29" t="s">
        <v>263</v>
      </c>
      <c r="BF1891" s="29" t="s">
        <v>2942</v>
      </c>
      <c r="BG1891" s="29" t="s">
        <v>91</v>
      </c>
      <c r="BH1891" s="29" t="s">
        <v>88</v>
      </c>
      <c r="BI1891" s="29" t="s">
        <v>1438</v>
      </c>
      <c r="BJ1891" s="29"/>
      <c r="BK1891" s="29" t="s">
        <v>148</v>
      </c>
      <c r="BL1891" s="29" t="s">
        <v>148</v>
      </c>
      <c r="BM1891" s="45"/>
      <c r="BN1891" s="45"/>
      <c r="BO1891" s="46"/>
      <c r="BP1891" s="2" t="s">
        <v>2988</v>
      </c>
      <c r="BQ1891" s="3"/>
    </row>
    <row r="1892" ht="15.75" customHeight="1">
      <c r="A1892" s="34">
        <v>2004.0</v>
      </c>
      <c r="B1892" s="34">
        <v>104246.0</v>
      </c>
      <c r="C1892" s="34" t="s">
        <v>76</v>
      </c>
      <c r="D1892" s="34" t="s">
        <v>2933</v>
      </c>
      <c r="E1892" s="34" t="s">
        <v>2934</v>
      </c>
      <c r="F1892" s="34">
        <v>2021.0</v>
      </c>
      <c r="G1892" s="34" t="s">
        <v>2935</v>
      </c>
      <c r="H1892" s="34" t="s">
        <v>816</v>
      </c>
      <c r="I1892" s="34" t="s">
        <v>2936</v>
      </c>
      <c r="J1892" s="35"/>
      <c r="K1892" s="36"/>
      <c r="L1892" s="36">
        <v>389.0</v>
      </c>
      <c r="M1892" s="36"/>
      <c r="N1892" s="36"/>
      <c r="O1892" s="36"/>
      <c r="P1892" s="37">
        <v>-5.0</v>
      </c>
      <c r="Q1892" s="36" t="s">
        <v>1393</v>
      </c>
      <c r="R1892" s="36" t="s">
        <v>96</v>
      </c>
      <c r="S1892" s="36">
        <v>1000.0</v>
      </c>
      <c r="T1892" s="36" t="s">
        <v>245</v>
      </c>
      <c r="U1892" s="36" t="s">
        <v>246</v>
      </c>
      <c r="V1892" s="36">
        <v>126.0</v>
      </c>
      <c r="W1892" s="36"/>
      <c r="X1892" s="38">
        <v>1.0</v>
      </c>
      <c r="Y1892" s="38" t="s">
        <v>2954</v>
      </c>
      <c r="Z1892" s="38" t="s">
        <v>2947</v>
      </c>
      <c r="AA1892" s="38" t="s">
        <v>86</v>
      </c>
      <c r="AB1892" s="38" t="s">
        <v>2948</v>
      </c>
      <c r="AC1892" s="38" t="s">
        <v>2949</v>
      </c>
      <c r="AD1892" s="38" t="s">
        <v>382</v>
      </c>
      <c r="AE1892" s="38"/>
      <c r="AF1892" s="38" t="s">
        <v>525</v>
      </c>
      <c r="AG1892" s="38" t="s">
        <v>2928</v>
      </c>
      <c r="AH1892" s="38"/>
      <c r="AI1892" s="50">
        <v>43.4965</v>
      </c>
      <c r="AJ1892" s="50">
        <v>1.2379</v>
      </c>
      <c r="AK1892" s="41" t="s">
        <v>86</v>
      </c>
      <c r="AL1892" s="40" t="s">
        <v>86</v>
      </c>
      <c r="AM1892" s="49">
        <v>181.0</v>
      </c>
      <c r="AN1892" s="51">
        <v>181.0</v>
      </c>
      <c r="AO1892" s="42" t="s">
        <v>201</v>
      </c>
      <c r="AP1892" s="43" t="s">
        <v>201</v>
      </c>
      <c r="AQ1892" s="44" t="str">
        <f t="shared" si="217"/>
        <v>CRO</v>
      </c>
      <c r="AR1892" s="44">
        <f t="shared" si="199"/>
        <v>181</v>
      </c>
      <c r="AS1892" s="44" t="str">
        <f t="shared" si="222"/>
        <v>C</v>
      </c>
      <c r="AT1892" s="44" t="str">
        <f t="shared" si="202"/>
        <v>Cf</v>
      </c>
      <c r="AU1892" s="44" t="str">
        <f t="shared" si="203"/>
        <v>Cfa</v>
      </c>
      <c r="AV1892" s="38">
        <v>2.0</v>
      </c>
      <c r="AW1892" s="38"/>
      <c r="AX1892" s="38"/>
      <c r="AY1892" s="38"/>
      <c r="AZ1892" s="29">
        <v>1000.0</v>
      </c>
      <c r="BA1892" s="29"/>
      <c r="BB1892" s="29">
        <v>1.0</v>
      </c>
      <c r="BC1892" s="29" t="s">
        <v>2989</v>
      </c>
      <c r="BD1892" s="29" t="s">
        <v>88</v>
      </c>
      <c r="BE1892" s="29" t="s">
        <v>263</v>
      </c>
      <c r="BF1892" s="29" t="s">
        <v>2942</v>
      </c>
      <c r="BG1892" s="29" t="s">
        <v>91</v>
      </c>
      <c r="BH1892" s="29" t="s">
        <v>88</v>
      </c>
      <c r="BI1892" s="29" t="s">
        <v>1438</v>
      </c>
      <c r="BJ1892" s="29"/>
      <c r="BK1892" s="29" t="s">
        <v>148</v>
      </c>
      <c r="BL1892" s="29" t="s">
        <v>148</v>
      </c>
      <c r="BM1892" s="45"/>
      <c r="BN1892" s="45"/>
      <c r="BO1892" s="46"/>
      <c r="BP1892" s="2"/>
      <c r="BQ1892" s="3"/>
    </row>
    <row r="1893" ht="15.75" customHeight="1">
      <c r="A1893" s="34">
        <v>2005.0</v>
      </c>
      <c r="B1893" s="34">
        <v>104246.0</v>
      </c>
      <c r="C1893" s="34" t="s">
        <v>76</v>
      </c>
      <c r="D1893" s="34" t="s">
        <v>2933</v>
      </c>
      <c r="E1893" s="34" t="s">
        <v>2934</v>
      </c>
      <c r="F1893" s="34">
        <v>2021.0</v>
      </c>
      <c r="G1893" s="34" t="s">
        <v>2935</v>
      </c>
      <c r="H1893" s="34" t="s">
        <v>816</v>
      </c>
      <c r="I1893" s="34" t="s">
        <v>2936</v>
      </c>
      <c r="J1893" s="35"/>
      <c r="K1893" s="36"/>
      <c r="L1893" s="36">
        <v>531.0</v>
      </c>
      <c r="M1893" s="36"/>
      <c r="N1893" s="36"/>
      <c r="O1893" s="36"/>
      <c r="P1893" s="37">
        <v>-24.0</v>
      </c>
      <c r="Q1893" s="36" t="s">
        <v>1393</v>
      </c>
      <c r="R1893" s="36" t="s">
        <v>96</v>
      </c>
      <c r="S1893" s="36">
        <v>1000.0</v>
      </c>
      <c r="T1893" s="36" t="s">
        <v>837</v>
      </c>
      <c r="U1893" s="36" t="s">
        <v>2955</v>
      </c>
      <c r="V1893" s="36">
        <v>127.0</v>
      </c>
      <c r="W1893" s="36"/>
      <c r="X1893" s="38">
        <v>1.0</v>
      </c>
      <c r="Y1893" s="38" t="s">
        <v>2956</v>
      </c>
      <c r="Z1893" s="38" t="s">
        <v>2947</v>
      </c>
      <c r="AA1893" s="38" t="s">
        <v>86</v>
      </c>
      <c r="AB1893" s="38" t="s">
        <v>2948</v>
      </c>
      <c r="AC1893" s="38" t="s">
        <v>2949</v>
      </c>
      <c r="AD1893" s="38" t="s">
        <v>382</v>
      </c>
      <c r="AE1893" s="38"/>
      <c r="AF1893" s="38" t="s">
        <v>525</v>
      </c>
      <c r="AG1893" s="38" t="s">
        <v>2928</v>
      </c>
      <c r="AH1893" s="38"/>
      <c r="AI1893" s="50">
        <v>43.4965</v>
      </c>
      <c r="AJ1893" s="50">
        <v>1.2379</v>
      </c>
      <c r="AK1893" s="41" t="s">
        <v>86</v>
      </c>
      <c r="AL1893" s="40" t="s">
        <v>86</v>
      </c>
      <c r="AM1893" s="49">
        <v>181.0</v>
      </c>
      <c r="AN1893" s="51">
        <v>181.0</v>
      </c>
      <c r="AO1893" s="42" t="s">
        <v>201</v>
      </c>
      <c r="AP1893" s="43" t="s">
        <v>201</v>
      </c>
      <c r="AQ1893" s="44" t="str">
        <f t="shared" si="217"/>
        <v>CRO</v>
      </c>
      <c r="AR1893" s="44">
        <f t="shared" si="199"/>
        <v>181</v>
      </c>
      <c r="AS1893" s="44" t="str">
        <f t="shared" si="222"/>
        <v>C</v>
      </c>
      <c r="AT1893" s="44" t="str">
        <f t="shared" si="202"/>
        <v>Cf</v>
      </c>
      <c r="AU1893" s="44" t="str">
        <f t="shared" si="203"/>
        <v>Cfa</v>
      </c>
      <c r="AV1893" s="38">
        <v>2.0</v>
      </c>
      <c r="AW1893" s="38"/>
      <c r="AX1893" s="38"/>
      <c r="AY1893" s="38"/>
      <c r="AZ1893" s="29">
        <v>1000.0</v>
      </c>
      <c r="BA1893" s="29"/>
      <c r="BB1893" s="29">
        <v>1.0</v>
      </c>
      <c r="BC1893" s="29" t="s">
        <v>2989</v>
      </c>
      <c r="BD1893" s="29" t="s">
        <v>88</v>
      </c>
      <c r="BE1893" s="29" t="s">
        <v>263</v>
      </c>
      <c r="BF1893" s="29" t="s">
        <v>2942</v>
      </c>
      <c r="BG1893" s="29" t="s">
        <v>91</v>
      </c>
      <c r="BH1893" s="29" t="s">
        <v>88</v>
      </c>
      <c r="BI1893" s="29" t="s">
        <v>1438</v>
      </c>
      <c r="BJ1893" s="29"/>
      <c r="BK1893" s="29" t="s">
        <v>148</v>
      </c>
      <c r="BL1893" s="29" t="s">
        <v>148</v>
      </c>
      <c r="BM1893" s="45"/>
      <c r="BN1893" s="45"/>
      <c r="BO1893" s="46"/>
      <c r="BP1893" s="2"/>
      <c r="BQ1893" s="3"/>
    </row>
    <row r="1894" ht="15.75" customHeight="1">
      <c r="A1894" s="34">
        <v>2006.0</v>
      </c>
      <c r="B1894" s="34">
        <v>104246.0</v>
      </c>
      <c r="C1894" s="34" t="s">
        <v>76</v>
      </c>
      <c r="D1894" s="34" t="s">
        <v>2933</v>
      </c>
      <c r="E1894" s="34" t="s">
        <v>2934</v>
      </c>
      <c r="F1894" s="34">
        <v>2021.0</v>
      </c>
      <c r="G1894" s="34" t="s">
        <v>2935</v>
      </c>
      <c r="H1894" s="34" t="s">
        <v>816</v>
      </c>
      <c r="I1894" s="34" t="s">
        <v>2936</v>
      </c>
      <c r="J1894" s="35"/>
      <c r="K1894" s="36"/>
      <c r="L1894" s="36">
        <v>233.0</v>
      </c>
      <c r="M1894" s="36"/>
      <c r="N1894" s="36"/>
      <c r="O1894" s="36"/>
      <c r="P1894" s="37">
        <v>23.0</v>
      </c>
      <c r="Q1894" s="36" t="s">
        <v>1393</v>
      </c>
      <c r="R1894" s="36" t="s">
        <v>96</v>
      </c>
      <c r="S1894" s="36">
        <v>1000.0</v>
      </c>
      <c r="T1894" s="36" t="s">
        <v>317</v>
      </c>
      <c r="U1894" s="36" t="s">
        <v>194</v>
      </c>
      <c r="V1894" s="36">
        <v>160.0</v>
      </c>
      <c r="W1894" s="36"/>
      <c r="X1894" s="38">
        <v>1.0</v>
      </c>
      <c r="Y1894" s="38" t="s">
        <v>2957</v>
      </c>
      <c r="Z1894" s="38" t="s">
        <v>2958</v>
      </c>
      <c r="AA1894" s="38" t="s">
        <v>86</v>
      </c>
      <c r="AB1894" s="38" t="s">
        <v>2959</v>
      </c>
      <c r="AC1894" s="38" t="s">
        <v>2960</v>
      </c>
      <c r="AD1894" s="38" t="s">
        <v>382</v>
      </c>
      <c r="AE1894" s="38">
        <v>32.0</v>
      </c>
      <c r="AF1894" s="38" t="s">
        <v>2961</v>
      </c>
      <c r="AG1894" s="38" t="s">
        <v>2928</v>
      </c>
      <c r="AH1894" s="38"/>
      <c r="AI1894" s="50">
        <v>43.92</v>
      </c>
      <c r="AJ1894" s="50">
        <v>4.88</v>
      </c>
      <c r="AK1894" s="41" t="s">
        <v>505</v>
      </c>
      <c r="AL1894" s="40" t="s">
        <v>505</v>
      </c>
      <c r="AM1894" s="49">
        <v>71.0</v>
      </c>
      <c r="AN1894" s="51">
        <v>71.0</v>
      </c>
      <c r="AO1894" s="42" t="s">
        <v>175</v>
      </c>
      <c r="AP1894" s="43" t="s">
        <v>175</v>
      </c>
      <c r="AQ1894" s="44" t="str">
        <f t="shared" si="217"/>
        <v>CRO</v>
      </c>
      <c r="AR1894" s="44">
        <f t="shared" si="199"/>
        <v>71</v>
      </c>
      <c r="AS1894" s="44" t="str">
        <f t="shared" si="222"/>
        <v>C</v>
      </c>
      <c r="AT1894" s="44" t="str">
        <f t="shared" si="202"/>
        <v>Cs</v>
      </c>
      <c r="AU1894" s="44" t="str">
        <f t="shared" si="203"/>
        <v>Csa</v>
      </c>
      <c r="AV1894" s="38">
        <v>2.0</v>
      </c>
      <c r="AW1894" s="38"/>
      <c r="AX1894" s="38"/>
      <c r="AY1894" s="38"/>
      <c r="AZ1894" s="29">
        <v>1000.0</v>
      </c>
      <c r="BA1894" s="29"/>
      <c r="BB1894" s="29">
        <v>1.0</v>
      </c>
      <c r="BC1894" s="29" t="s">
        <v>2989</v>
      </c>
      <c r="BD1894" s="29" t="s">
        <v>88</v>
      </c>
      <c r="BE1894" s="29" t="s">
        <v>263</v>
      </c>
      <c r="BF1894" s="29" t="s">
        <v>2942</v>
      </c>
      <c r="BG1894" s="29" t="s">
        <v>91</v>
      </c>
      <c r="BH1894" s="29" t="s">
        <v>88</v>
      </c>
      <c r="BI1894" s="29" t="s">
        <v>1438</v>
      </c>
      <c r="BJ1894" s="29"/>
      <c r="BK1894" s="29" t="s">
        <v>148</v>
      </c>
      <c r="BL1894" s="29" t="s">
        <v>148</v>
      </c>
      <c r="BM1894" s="45"/>
      <c r="BN1894" s="45"/>
      <c r="BO1894" s="46"/>
      <c r="BP1894" s="2"/>
      <c r="BQ1894" s="3"/>
    </row>
    <row r="1895" ht="15.75" customHeight="1">
      <c r="A1895" s="34">
        <v>2007.0</v>
      </c>
      <c r="B1895" s="34">
        <v>104246.0</v>
      </c>
      <c r="C1895" s="34" t="s">
        <v>76</v>
      </c>
      <c r="D1895" s="34" t="s">
        <v>2933</v>
      </c>
      <c r="E1895" s="34" t="s">
        <v>2934</v>
      </c>
      <c r="F1895" s="34">
        <v>2021.0</v>
      </c>
      <c r="G1895" s="34" t="s">
        <v>2935</v>
      </c>
      <c r="H1895" s="34" t="s">
        <v>816</v>
      </c>
      <c r="I1895" s="34" t="s">
        <v>2936</v>
      </c>
      <c r="J1895" s="35"/>
      <c r="K1895" s="36"/>
      <c r="L1895" s="36">
        <v>375.0</v>
      </c>
      <c r="M1895" s="36"/>
      <c r="N1895" s="36"/>
      <c r="O1895" s="36"/>
      <c r="P1895" s="37">
        <v>14.0</v>
      </c>
      <c r="Q1895" s="36" t="s">
        <v>1393</v>
      </c>
      <c r="R1895" s="36" t="s">
        <v>96</v>
      </c>
      <c r="S1895" s="36">
        <v>1000.0</v>
      </c>
      <c r="T1895" s="36" t="s">
        <v>341</v>
      </c>
      <c r="U1895" s="36" t="s">
        <v>285</v>
      </c>
      <c r="V1895" s="36">
        <v>246.0</v>
      </c>
      <c r="W1895" s="36"/>
      <c r="X1895" s="38">
        <v>1.0</v>
      </c>
      <c r="Y1895" s="38" t="s">
        <v>2962</v>
      </c>
      <c r="Z1895" s="38" t="s">
        <v>2958</v>
      </c>
      <c r="AA1895" s="38" t="s">
        <v>86</v>
      </c>
      <c r="AB1895" s="38" t="s">
        <v>2959</v>
      </c>
      <c r="AC1895" s="38" t="s">
        <v>2960</v>
      </c>
      <c r="AD1895" s="38" t="s">
        <v>382</v>
      </c>
      <c r="AE1895" s="38">
        <v>32.0</v>
      </c>
      <c r="AF1895" s="38" t="s">
        <v>2316</v>
      </c>
      <c r="AG1895" s="38" t="s">
        <v>2928</v>
      </c>
      <c r="AH1895" s="38"/>
      <c r="AI1895" s="50">
        <v>43.92</v>
      </c>
      <c r="AJ1895" s="50">
        <v>4.88</v>
      </c>
      <c r="AK1895" s="41" t="s">
        <v>505</v>
      </c>
      <c r="AL1895" s="40" t="s">
        <v>505</v>
      </c>
      <c r="AM1895" s="49">
        <v>71.0</v>
      </c>
      <c r="AN1895" s="51">
        <v>71.0</v>
      </c>
      <c r="AO1895" s="42" t="s">
        <v>175</v>
      </c>
      <c r="AP1895" s="43" t="s">
        <v>175</v>
      </c>
      <c r="AQ1895" s="44" t="str">
        <f t="shared" si="217"/>
        <v>CRO</v>
      </c>
      <c r="AR1895" s="44">
        <f t="shared" si="199"/>
        <v>71</v>
      </c>
      <c r="AS1895" s="44" t="str">
        <f t="shared" si="222"/>
        <v>C</v>
      </c>
      <c r="AT1895" s="44" t="str">
        <f t="shared" si="202"/>
        <v>Cs</v>
      </c>
      <c r="AU1895" s="44" t="str">
        <f t="shared" si="203"/>
        <v>Csa</v>
      </c>
      <c r="AV1895" s="38">
        <v>2.0</v>
      </c>
      <c r="AW1895" s="38"/>
      <c r="AX1895" s="38"/>
      <c r="AY1895" s="38"/>
      <c r="AZ1895" s="29">
        <v>1000.0</v>
      </c>
      <c r="BA1895" s="29"/>
      <c r="BB1895" s="29">
        <v>1.0</v>
      </c>
      <c r="BC1895" s="29" t="s">
        <v>2989</v>
      </c>
      <c r="BD1895" s="29" t="s">
        <v>88</v>
      </c>
      <c r="BE1895" s="29" t="s">
        <v>263</v>
      </c>
      <c r="BF1895" s="29" t="s">
        <v>2942</v>
      </c>
      <c r="BG1895" s="29" t="s">
        <v>91</v>
      </c>
      <c r="BH1895" s="29" t="s">
        <v>88</v>
      </c>
      <c r="BI1895" s="29" t="s">
        <v>1438</v>
      </c>
      <c r="BJ1895" s="29"/>
      <c r="BK1895" s="29" t="s">
        <v>148</v>
      </c>
      <c r="BL1895" s="29" t="s">
        <v>148</v>
      </c>
      <c r="BM1895" s="45"/>
      <c r="BN1895" s="45"/>
      <c r="BO1895" s="46"/>
      <c r="BP1895" s="2"/>
      <c r="BQ1895" s="3"/>
    </row>
    <row r="1896" ht="15.75" customHeight="1">
      <c r="A1896" s="34">
        <v>2008.0</v>
      </c>
      <c r="B1896" s="34">
        <v>104246.0</v>
      </c>
      <c r="C1896" s="34" t="s">
        <v>76</v>
      </c>
      <c r="D1896" s="34" t="s">
        <v>2933</v>
      </c>
      <c r="E1896" s="34" t="s">
        <v>2934</v>
      </c>
      <c r="F1896" s="34">
        <v>2021.0</v>
      </c>
      <c r="G1896" s="34" t="s">
        <v>2935</v>
      </c>
      <c r="H1896" s="34" t="s">
        <v>816</v>
      </c>
      <c r="I1896" s="34" t="s">
        <v>2936</v>
      </c>
      <c r="J1896" s="35"/>
      <c r="K1896" s="36"/>
      <c r="L1896" s="36">
        <v>386.0</v>
      </c>
      <c r="M1896" s="36"/>
      <c r="N1896" s="36"/>
      <c r="O1896" s="36"/>
      <c r="P1896" s="37">
        <v>1.0</v>
      </c>
      <c r="Q1896" s="36" t="s">
        <v>1393</v>
      </c>
      <c r="R1896" s="36" t="s">
        <v>96</v>
      </c>
      <c r="S1896" s="36">
        <v>1000.0</v>
      </c>
      <c r="T1896" s="36" t="s">
        <v>350</v>
      </c>
      <c r="U1896" s="36" t="s">
        <v>342</v>
      </c>
      <c r="V1896" s="36">
        <v>161.0</v>
      </c>
      <c r="W1896" s="36"/>
      <c r="X1896" s="38">
        <v>1.0</v>
      </c>
      <c r="Y1896" s="38" t="s">
        <v>2963</v>
      </c>
      <c r="Z1896" s="38" t="s">
        <v>2958</v>
      </c>
      <c r="AA1896" s="38" t="s">
        <v>86</v>
      </c>
      <c r="AB1896" s="38" t="s">
        <v>2959</v>
      </c>
      <c r="AC1896" s="38" t="s">
        <v>2960</v>
      </c>
      <c r="AD1896" s="38" t="s">
        <v>382</v>
      </c>
      <c r="AE1896" s="38">
        <v>32.0</v>
      </c>
      <c r="AF1896" s="38" t="s">
        <v>2964</v>
      </c>
      <c r="AG1896" s="38" t="s">
        <v>2928</v>
      </c>
      <c r="AH1896" s="38"/>
      <c r="AI1896" s="50">
        <v>43.92</v>
      </c>
      <c r="AJ1896" s="50">
        <v>4.88</v>
      </c>
      <c r="AK1896" s="41" t="s">
        <v>505</v>
      </c>
      <c r="AL1896" s="40" t="s">
        <v>505</v>
      </c>
      <c r="AM1896" s="49">
        <v>71.0</v>
      </c>
      <c r="AN1896" s="51">
        <v>71.0</v>
      </c>
      <c r="AO1896" s="42" t="s">
        <v>175</v>
      </c>
      <c r="AP1896" s="43" t="s">
        <v>175</v>
      </c>
      <c r="AQ1896" s="44" t="str">
        <f t="shared" si="217"/>
        <v>CRO</v>
      </c>
      <c r="AR1896" s="44">
        <f t="shared" si="199"/>
        <v>71</v>
      </c>
      <c r="AS1896" s="44" t="str">
        <f t="shared" si="222"/>
        <v>C</v>
      </c>
      <c r="AT1896" s="44" t="str">
        <f t="shared" si="202"/>
        <v>Cs</v>
      </c>
      <c r="AU1896" s="44" t="str">
        <f t="shared" si="203"/>
        <v>Csa</v>
      </c>
      <c r="AV1896" s="38">
        <v>2.0</v>
      </c>
      <c r="AW1896" s="38"/>
      <c r="AX1896" s="38"/>
      <c r="AY1896" s="38"/>
      <c r="AZ1896" s="29">
        <v>1000.0</v>
      </c>
      <c r="BA1896" s="29"/>
      <c r="BB1896" s="29">
        <v>1.0</v>
      </c>
      <c r="BC1896" s="29" t="s">
        <v>2989</v>
      </c>
      <c r="BD1896" s="29" t="s">
        <v>88</v>
      </c>
      <c r="BE1896" s="29" t="s">
        <v>263</v>
      </c>
      <c r="BF1896" s="29" t="s">
        <v>2942</v>
      </c>
      <c r="BG1896" s="29" t="s">
        <v>91</v>
      </c>
      <c r="BH1896" s="29" t="s">
        <v>88</v>
      </c>
      <c r="BI1896" s="29" t="s">
        <v>1438</v>
      </c>
      <c r="BJ1896" s="29"/>
      <c r="BK1896" s="29" t="s">
        <v>148</v>
      </c>
      <c r="BL1896" s="29" t="s">
        <v>148</v>
      </c>
      <c r="BM1896" s="45"/>
      <c r="BN1896" s="45"/>
      <c r="BO1896" s="46"/>
      <c r="BP1896" s="2"/>
      <c r="BQ1896" s="3"/>
    </row>
    <row r="1897" ht="15.75" customHeight="1">
      <c r="A1897" s="34">
        <v>2009.0</v>
      </c>
      <c r="B1897" s="34">
        <v>104246.0</v>
      </c>
      <c r="C1897" s="34" t="s">
        <v>76</v>
      </c>
      <c r="D1897" s="34" t="s">
        <v>2933</v>
      </c>
      <c r="E1897" s="34" t="s">
        <v>2934</v>
      </c>
      <c r="F1897" s="34">
        <v>2021.0</v>
      </c>
      <c r="G1897" s="34" t="s">
        <v>2935</v>
      </c>
      <c r="H1897" s="34" t="s">
        <v>816</v>
      </c>
      <c r="I1897" s="34" t="s">
        <v>2936</v>
      </c>
      <c r="J1897" s="35"/>
      <c r="K1897" s="36"/>
      <c r="L1897" s="36">
        <v>424.0</v>
      </c>
      <c r="M1897" s="36"/>
      <c r="N1897" s="36"/>
      <c r="O1897" s="36"/>
      <c r="P1897" s="37">
        <v>-13.0</v>
      </c>
      <c r="Q1897" s="36" t="s">
        <v>1393</v>
      </c>
      <c r="R1897" s="36" t="s">
        <v>96</v>
      </c>
      <c r="S1897" s="36">
        <v>1000.0</v>
      </c>
      <c r="T1897" s="36" t="s">
        <v>506</v>
      </c>
      <c r="U1897" s="36" t="s">
        <v>676</v>
      </c>
      <c r="V1897" s="36">
        <v>231.0</v>
      </c>
      <c r="W1897" s="36"/>
      <c r="X1897" s="38">
        <v>1.0</v>
      </c>
      <c r="Y1897" s="38" t="s">
        <v>2965</v>
      </c>
      <c r="Z1897" s="38" t="s">
        <v>2958</v>
      </c>
      <c r="AA1897" s="38" t="s">
        <v>86</v>
      </c>
      <c r="AB1897" s="38" t="s">
        <v>2959</v>
      </c>
      <c r="AC1897" s="38" t="s">
        <v>2960</v>
      </c>
      <c r="AD1897" s="38" t="s">
        <v>382</v>
      </c>
      <c r="AE1897" s="38">
        <v>32.0</v>
      </c>
      <c r="AF1897" s="38" t="s">
        <v>2316</v>
      </c>
      <c r="AG1897" s="38" t="s">
        <v>2928</v>
      </c>
      <c r="AH1897" s="38"/>
      <c r="AI1897" s="50">
        <v>43.92</v>
      </c>
      <c r="AJ1897" s="50">
        <v>4.88</v>
      </c>
      <c r="AK1897" s="41" t="s">
        <v>505</v>
      </c>
      <c r="AL1897" s="40" t="s">
        <v>505</v>
      </c>
      <c r="AM1897" s="49">
        <v>71.0</v>
      </c>
      <c r="AN1897" s="51">
        <v>71.0</v>
      </c>
      <c r="AO1897" s="42" t="s">
        <v>175</v>
      </c>
      <c r="AP1897" s="43" t="s">
        <v>175</v>
      </c>
      <c r="AQ1897" s="44" t="str">
        <f t="shared" si="217"/>
        <v>CRO</v>
      </c>
      <c r="AR1897" s="44">
        <f t="shared" si="199"/>
        <v>71</v>
      </c>
      <c r="AS1897" s="44" t="str">
        <f t="shared" si="222"/>
        <v>C</v>
      </c>
      <c r="AT1897" s="44" t="str">
        <f t="shared" si="202"/>
        <v>Cs</v>
      </c>
      <c r="AU1897" s="44" t="str">
        <f t="shared" si="203"/>
        <v>Csa</v>
      </c>
      <c r="AV1897" s="38">
        <v>2.0</v>
      </c>
      <c r="AW1897" s="38"/>
      <c r="AX1897" s="38"/>
      <c r="AY1897" s="38"/>
      <c r="AZ1897" s="29">
        <v>1000.0</v>
      </c>
      <c r="BA1897" s="29"/>
      <c r="BB1897" s="29">
        <v>1.0</v>
      </c>
      <c r="BC1897" s="29" t="s">
        <v>2989</v>
      </c>
      <c r="BD1897" s="29" t="s">
        <v>88</v>
      </c>
      <c r="BE1897" s="29" t="s">
        <v>263</v>
      </c>
      <c r="BF1897" s="29" t="s">
        <v>2942</v>
      </c>
      <c r="BG1897" s="29" t="s">
        <v>91</v>
      </c>
      <c r="BH1897" s="29" t="s">
        <v>88</v>
      </c>
      <c r="BI1897" s="29" t="s">
        <v>1438</v>
      </c>
      <c r="BJ1897" s="29"/>
      <c r="BK1897" s="29" t="s">
        <v>148</v>
      </c>
      <c r="BL1897" s="29" t="s">
        <v>148</v>
      </c>
      <c r="BM1897" s="45"/>
      <c r="BN1897" s="45"/>
      <c r="BO1897" s="46"/>
      <c r="BP1897" s="2"/>
      <c r="BQ1897" s="3"/>
    </row>
    <row r="1898" ht="15.75" customHeight="1">
      <c r="A1898" s="34">
        <v>2010.0</v>
      </c>
      <c r="B1898" s="34">
        <v>104246.0</v>
      </c>
      <c r="C1898" s="34" t="s">
        <v>76</v>
      </c>
      <c r="D1898" s="34" t="s">
        <v>2933</v>
      </c>
      <c r="E1898" s="34" t="s">
        <v>2934</v>
      </c>
      <c r="F1898" s="34">
        <v>2021.0</v>
      </c>
      <c r="G1898" s="34" t="s">
        <v>2935</v>
      </c>
      <c r="H1898" s="34" t="s">
        <v>816</v>
      </c>
      <c r="I1898" s="34" t="s">
        <v>2936</v>
      </c>
      <c r="J1898" s="35"/>
      <c r="K1898" s="36"/>
      <c r="L1898" s="36">
        <v>303.0</v>
      </c>
      <c r="M1898" s="36"/>
      <c r="N1898" s="36"/>
      <c r="O1898" s="36"/>
      <c r="P1898" s="37">
        <v>22.0</v>
      </c>
      <c r="Q1898" s="36" t="s">
        <v>1393</v>
      </c>
      <c r="R1898" s="36" t="s">
        <v>96</v>
      </c>
      <c r="S1898" s="36">
        <v>1000.0</v>
      </c>
      <c r="T1898" s="36" t="s">
        <v>242</v>
      </c>
      <c r="U1898" s="36" t="s">
        <v>243</v>
      </c>
      <c r="V1898" s="36">
        <v>248.0</v>
      </c>
      <c r="W1898" s="36"/>
      <c r="X1898" s="38">
        <v>1.0</v>
      </c>
      <c r="Y1898" s="38" t="s">
        <v>2966</v>
      </c>
      <c r="Z1898" s="38" t="s">
        <v>2958</v>
      </c>
      <c r="AA1898" s="38" t="s">
        <v>86</v>
      </c>
      <c r="AB1898" s="38" t="s">
        <v>2959</v>
      </c>
      <c r="AC1898" s="38" t="s">
        <v>2960</v>
      </c>
      <c r="AD1898" s="38" t="s">
        <v>382</v>
      </c>
      <c r="AE1898" s="38">
        <v>32.0</v>
      </c>
      <c r="AF1898" s="38" t="s">
        <v>2316</v>
      </c>
      <c r="AG1898" s="38" t="s">
        <v>2928</v>
      </c>
      <c r="AH1898" s="38"/>
      <c r="AI1898" s="50">
        <v>43.92</v>
      </c>
      <c r="AJ1898" s="50">
        <v>4.88</v>
      </c>
      <c r="AK1898" s="41" t="s">
        <v>505</v>
      </c>
      <c r="AL1898" s="40" t="s">
        <v>505</v>
      </c>
      <c r="AM1898" s="49">
        <v>71.0</v>
      </c>
      <c r="AN1898" s="51">
        <v>71.0</v>
      </c>
      <c r="AO1898" s="42" t="s">
        <v>175</v>
      </c>
      <c r="AP1898" s="43" t="s">
        <v>175</v>
      </c>
      <c r="AQ1898" s="44" t="str">
        <f t="shared" si="217"/>
        <v>CRO</v>
      </c>
      <c r="AR1898" s="44">
        <f t="shared" si="199"/>
        <v>71</v>
      </c>
      <c r="AS1898" s="44" t="str">
        <f t="shared" si="222"/>
        <v>C</v>
      </c>
      <c r="AT1898" s="44" t="str">
        <f t="shared" si="202"/>
        <v>Cs</v>
      </c>
      <c r="AU1898" s="44" t="str">
        <f t="shared" si="203"/>
        <v>Csa</v>
      </c>
      <c r="AV1898" s="38">
        <v>2.0</v>
      </c>
      <c r="AW1898" s="38"/>
      <c r="AX1898" s="38"/>
      <c r="AY1898" s="38"/>
      <c r="AZ1898" s="29">
        <v>1000.0</v>
      </c>
      <c r="BA1898" s="29"/>
      <c r="BB1898" s="29">
        <v>1.0</v>
      </c>
      <c r="BC1898" s="29" t="s">
        <v>2989</v>
      </c>
      <c r="BD1898" s="29" t="s">
        <v>88</v>
      </c>
      <c r="BE1898" s="29" t="s">
        <v>263</v>
      </c>
      <c r="BF1898" s="29" t="s">
        <v>2942</v>
      </c>
      <c r="BG1898" s="29" t="s">
        <v>91</v>
      </c>
      <c r="BH1898" s="29" t="s">
        <v>88</v>
      </c>
      <c r="BI1898" s="29" t="s">
        <v>1438</v>
      </c>
      <c r="BJ1898" s="29"/>
      <c r="BK1898" s="29" t="s">
        <v>148</v>
      </c>
      <c r="BL1898" s="29" t="s">
        <v>148</v>
      </c>
      <c r="BM1898" s="45"/>
      <c r="BN1898" s="45"/>
      <c r="BO1898" s="46"/>
      <c r="BP1898" s="2"/>
      <c r="BQ1898" s="3"/>
    </row>
    <row r="1899" ht="15.75" customHeight="1">
      <c r="A1899" s="34">
        <v>2011.0</v>
      </c>
      <c r="B1899" s="34">
        <v>104246.0</v>
      </c>
      <c r="C1899" s="34" t="s">
        <v>76</v>
      </c>
      <c r="D1899" s="34" t="s">
        <v>2933</v>
      </c>
      <c r="E1899" s="34" t="s">
        <v>2934</v>
      </c>
      <c r="F1899" s="34">
        <v>2021.0</v>
      </c>
      <c r="G1899" s="34" t="s">
        <v>2935</v>
      </c>
      <c r="H1899" s="34" t="s">
        <v>816</v>
      </c>
      <c r="I1899" s="34" t="s">
        <v>2936</v>
      </c>
      <c r="J1899" s="35"/>
      <c r="K1899" s="36"/>
      <c r="L1899" s="36">
        <v>339.0</v>
      </c>
      <c r="M1899" s="36"/>
      <c r="N1899" s="36"/>
      <c r="O1899" s="36"/>
      <c r="P1899" s="37">
        <v>26.0</v>
      </c>
      <c r="Q1899" s="36" t="s">
        <v>1393</v>
      </c>
      <c r="R1899" s="36" t="s">
        <v>96</v>
      </c>
      <c r="S1899" s="36">
        <v>1000.0</v>
      </c>
      <c r="T1899" s="36" t="s">
        <v>536</v>
      </c>
      <c r="U1899" s="36" t="s">
        <v>351</v>
      </c>
      <c r="V1899" s="36">
        <v>275.0</v>
      </c>
      <c r="W1899" s="36"/>
      <c r="X1899" s="38">
        <v>1.0</v>
      </c>
      <c r="Y1899" s="38" t="s">
        <v>2968</v>
      </c>
      <c r="Z1899" s="38" t="s">
        <v>2969</v>
      </c>
      <c r="AA1899" s="38" t="s">
        <v>86</v>
      </c>
      <c r="AB1899" s="38" t="s">
        <v>2970</v>
      </c>
      <c r="AC1899" s="38" t="s">
        <v>2971</v>
      </c>
      <c r="AD1899" s="38" t="s">
        <v>2972</v>
      </c>
      <c r="AE1899" s="38"/>
      <c r="AF1899" s="38" t="s">
        <v>2973</v>
      </c>
      <c r="AG1899" s="38" t="s">
        <v>2974</v>
      </c>
      <c r="AH1899" s="38"/>
      <c r="AI1899" s="50">
        <v>13.6</v>
      </c>
      <c r="AJ1899" s="50">
        <v>2.6</v>
      </c>
      <c r="AK1899" s="41" t="s">
        <v>288</v>
      </c>
      <c r="AL1899" s="40" t="s">
        <v>288</v>
      </c>
      <c r="AM1899" s="49">
        <v>228.0</v>
      </c>
      <c r="AN1899" s="51">
        <v>228.0</v>
      </c>
      <c r="AO1899" s="42" t="s">
        <v>355</v>
      </c>
      <c r="AP1899" s="43" t="s">
        <v>355</v>
      </c>
      <c r="AQ1899" s="44" t="str">
        <f t="shared" si="217"/>
        <v>CRO</v>
      </c>
      <c r="AR1899" s="44">
        <f t="shared" si="199"/>
        <v>228</v>
      </c>
      <c r="AS1899" s="44" t="str">
        <f t="shared" si="222"/>
        <v>B</v>
      </c>
      <c r="AT1899" s="44" t="str">
        <f t="shared" si="202"/>
        <v>BW</v>
      </c>
      <c r="AU1899" s="44" t="str">
        <f t="shared" si="203"/>
        <v>BWh</v>
      </c>
      <c r="AV1899" s="38">
        <v>2.0</v>
      </c>
      <c r="AW1899" s="38"/>
      <c r="AX1899" s="38"/>
      <c r="AY1899" s="38"/>
      <c r="AZ1899" s="29">
        <v>1000.0</v>
      </c>
      <c r="BA1899" s="29"/>
      <c r="BB1899" s="29">
        <v>1.0</v>
      </c>
      <c r="BC1899" s="29" t="s">
        <v>2989</v>
      </c>
      <c r="BD1899" s="29" t="s">
        <v>88</v>
      </c>
      <c r="BE1899" s="29" t="s">
        <v>263</v>
      </c>
      <c r="BF1899" s="29" t="s">
        <v>2942</v>
      </c>
      <c r="BG1899" s="29" t="s">
        <v>91</v>
      </c>
      <c r="BH1899" s="29" t="s">
        <v>88</v>
      </c>
      <c r="BI1899" s="29" t="s">
        <v>1438</v>
      </c>
      <c r="BJ1899" s="29"/>
      <c r="BK1899" s="29" t="s">
        <v>148</v>
      </c>
      <c r="BL1899" s="29" t="s">
        <v>148</v>
      </c>
      <c r="BM1899" s="45"/>
      <c r="BN1899" s="45"/>
      <c r="BO1899" s="46"/>
      <c r="BP1899" s="2"/>
      <c r="BQ1899" s="3"/>
    </row>
    <row r="1900" ht="15.75" customHeight="1">
      <c r="A1900" s="34">
        <v>2012.0</v>
      </c>
      <c r="B1900" s="34">
        <v>104246.0</v>
      </c>
      <c r="C1900" s="34" t="s">
        <v>76</v>
      </c>
      <c r="D1900" s="34" t="s">
        <v>2933</v>
      </c>
      <c r="E1900" s="34" t="s">
        <v>2934</v>
      </c>
      <c r="F1900" s="34">
        <v>2021.0</v>
      </c>
      <c r="G1900" s="34" t="s">
        <v>2935</v>
      </c>
      <c r="H1900" s="34" t="s">
        <v>816</v>
      </c>
      <c r="I1900" s="34" t="s">
        <v>2936</v>
      </c>
      <c r="J1900" s="35"/>
      <c r="K1900" s="36"/>
      <c r="L1900" s="36">
        <v>335.0</v>
      </c>
      <c r="M1900" s="36"/>
      <c r="N1900" s="36"/>
      <c r="O1900" s="36"/>
      <c r="P1900" s="37">
        <v>-15.0</v>
      </c>
      <c r="Q1900" s="36" t="s">
        <v>1393</v>
      </c>
      <c r="R1900" s="36" t="s">
        <v>96</v>
      </c>
      <c r="S1900" s="36">
        <v>1000.0</v>
      </c>
      <c r="T1900" s="36" t="s">
        <v>536</v>
      </c>
      <c r="U1900" s="36" t="s">
        <v>351</v>
      </c>
      <c r="V1900" s="36">
        <v>262.0</v>
      </c>
      <c r="W1900" s="36"/>
      <c r="X1900" s="38">
        <v>1.0</v>
      </c>
      <c r="Y1900" s="38" t="s">
        <v>2975</v>
      </c>
      <c r="Z1900" s="38" t="s">
        <v>2969</v>
      </c>
      <c r="AA1900" s="38" t="s">
        <v>313</v>
      </c>
      <c r="AB1900" s="38" t="s">
        <v>2970</v>
      </c>
      <c r="AC1900" s="38" t="s">
        <v>2971</v>
      </c>
      <c r="AD1900" s="38" t="s">
        <v>2972</v>
      </c>
      <c r="AE1900" s="38"/>
      <c r="AF1900" s="38"/>
      <c r="AG1900" s="38" t="s">
        <v>2974</v>
      </c>
      <c r="AH1900" s="38"/>
      <c r="AI1900" s="50">
        <v>13.6</v>
      </c>
      <c r="AJ1900" s="50">
        <v>2.6</v>
      </c>
      <c r="AK1900" s="41" t="s">
        <v>288</v>
      </c>
      <c r="AL1900" s="40" t="s">
        <v>288</v>
      </c>
      <c r="AM1900" s="49">
        <v>228.0</v>
      </c>
      <c r="AN1900" s="51">
        <v>228.0</v>
      </c>
      <c r="AO1900" s="42" t="s">
        <v>355</v>
      </c>
      <c r="AP1900" s="43" t="s">
        <v>355</v>
      </c>
      <c r="AQ1900" s="44" t="str">
        <f t="shared" si="217"/>
        <v>SAV</v>
      </c>
      <c r="AR1900" s="44">
        <f t="shared" si="199"/>
        <v>228</v>
      </c>
      <c r="AS1900" s="44" t="str">
        <f t="shared" si="222"/>
        <v>B</v>
      </c>
      <c r="AT1900" s="44" t="str">
        <f t="shared" si="202"/>
        <v>BW</v>
      </c>
      <c r="AU1900" s="44" t="str">
        <f t="shared" si="203"/>
        <v>BWh</v>
      </c>
      <c r="AV1900" s="38">
        <v>2.0</v>
      </c>
      <c r="AW1900" s="38"/>
      <c r="AX1900" s="38"/>
      <c r="AY1900" s="38"/>
      <c r="AZ1900" s="29">
        <v>1000.0</v>
      </c>
      <c r="BA1900" s="29"/>
      <c r="BB1900" s="29">
        <v>1.0</v>
      </c>
      <c r="BC1900" s="29" t="s">
        <v>2989</v>
      </c>
      <c r="BD1900" s="29" t="s">
        <v>88</v>
      </c>
      <c r="BE1900" s="29" t="s">
        <v>263</v>
      </c>
      <c r="BF1900" s="29" t="s">
        <v>2942</v>
      </c>
      <c r="BG1900" s="29" t="s">
        <v>91</v>
      </c>
      <c r="BH1900" s="29" t="s">
        <v>88</v>
      </c>
      <c r="BI1900" s="29" t="s">
        <v>1438</v>
      </c>
      <c r="BJ1900" s="29"/>
      <c r="BK1900" s="29" t="s">
        <v>148</v>
      </c>
      <c r="BL1900" s="29" t="s">
        <v>148</v>
      </c>
      <c r="BM1900" s="45"/>
      <c r="BN1900" s="45"/>
      <c r="BO1900" s="46"/>
      <c r="BP1900" s="2"/>
      <c r="BQ1900" s="3"/>
    </row>
    <row r="1901" ht="15.75" customHeight="1">
      <c r="A1901" s="34">
        <v>2013.0</v>
      </c>
      <c r="B1901" s="34">
        <v>104246.0</v>
      </c>
      <c r="C1901" s="34" t="s">
        <v>76</v>
      </c>
      <c r="D1901" s="34" t="s">
        <v>2933</v>
      </c>
      <c r="E1901" s="34" t="s">
        <v>2934</v>
      </c>
      <c r="F1901" s="34">
        <v>2021.0</v>
      </c>
      <c r="G1901" s="34" t="s">
        <v>2935</v>
      </c>
      <c r="H1901" s="34" t="s">
        <v>816</v>
      </c>
      <c r="I1901" s="34" t="s">
        <v>2936</v>
      </c>
      <c r="J1901" s="35"/>
      <c r="K1901" s="36"/>
      <c r="L1901" s="36">
        <v>265.0</v>
      </c>
      <c r="M1901" s="36"/>
      <c r="N1901" s="36"/>
      <c r="O1901" s="36"/>
      <c r="P1901" s="37">
        <v>-5.0</v>
      </c>
      <c r="Q1901" s="36" t="s">
        <v>1393</v>
      </c>
      <c r="R1901" s="36" t="s">
        <v>96</v>
      </c>
      <c r="S1901" s="36">
        <v>1000.0</v>
      </c>
      <c r="T1901" s="36" t="s">
        <v>242</v>
      </c>
      <c r="U1901" s="36" t="s">
        <v>243</v>
      </c>
      <c r="V1901" s="36">
        <f>167+241</f>
        <v>408</v>
      </c>
      <c r="W1901" s="36"/>
      <c r="X1901" s="38">
        <v>1.0</v>
      </c>
      <c r="Y1901" s="38" t="s">
        <v>2976</v>
      </c>
      <c r="Z1901" s="38" t="s">
        <v>2977</v>
      </c>
      <c r="AA1901" s="38" t="s">
        <v>86</v>
      </c>
      <c r="AB1901" s="38" t="s">
        <v>2978</v>
      </c>
      <c r="AC1901" s="38" t="s">
        <v>2979</v>
      </c>
      <c r="AD1901" s="38" t="s">
        <v>2980</v>
      </c>
      <c r="AE1901" s="38"/>
      <c r="AF1901" s="38" t="s">
        <v>2316</v>
      </c>
      <c r="AG1901" s="38" t="s">
        <v>1459</v>
      </c>
      <c r="AH1901" s="38"/>
      <c r="AI1901" s="50">
        <v>35.181714</v>
      </c>
      <c r="AJ1901" s="50">
        <v>9.545662</v>
      </c>
      <c r="AK1901" s="41" t="s">
        <v>86</v>
      </c>
      <c r="AL1901" s="40" t="s">
        <v>86</v>
      </c>
      <c r="AM1901" s="49">
        <v>369.0</v>
      </c>
      <c r="AN1901" s="51">
        <v>369.0</v>
      </c>
      <c r="AO1901" s="42" t="s">
        <v>355</v>
      </c>
      <c r="AP1901" s="43" t="s">
        <v>355</v>
      </c>
      <c r="AQ1901" s="44" t="str">
        <f t="shared" si="217"/>
        <v>CRO</v>
      </c>
      <c r="AR1901" s="44">
        <f t="shared" si="199"/>
        <v>369</v>
      </c>
      <c r="AS1901" s="44" t="str">
        <f t="shared" si="222"/>
        <v>B</v>
      </c>
      <c r="AT1901" s="44" t="str">
        <f t="shared" si="202"/>
        <v>BW</v>
      </c>
      <c r="AU1901" s="44" t="str">
        <f t="shared" si="203"/>
        <v>BWh</v>
      </c>
      <c r="AV1901" s="38">
        <v>3.0</v>
      </c>
      <c r="AW1901" s="38"/>
      <c r="AX1901" s="38"/>
      <c r="AY1901" s="38"/>
      <c r="AZ1901" s="29">
        <v>1000.0</v>
      </c>
      <c r="BA1901" s="29"/>
      <c r="BB1901" s="29">
        <v>1.0</v>
      </c>
      <c r="BC1901" s="29" t="s">
        <v>2989</v>
      </c>
      <c r="BD1901" s="29" t="s">
        <v>88</v>
      </c>
      <c r="BE1901" s="29" t="s">
        <v>263</v>
      </c>
      <c r="BF1901" s="29" t="s">
        <v>2942</v>
      </c>
      <c r="BG1901" s="29" t="s">
        <v>91</v>
      </c>
      <c r="BH1901" s="29" t="s">
        <v>88</v>
      </c>
      <c r="BI1901" s="29" t="s">
        <v>1438</v>
      </c>
      <c r="BJ1901" s="29"/>
      <c r="BK1901" s="29" t="s">
        <v>148</v>
      </c>
      <c r="BL1901" s="29" t="s">
        <v>148</v>
      </c>
      <c r="BM1901" s="45"/>
      <c r="BN1901" s="45"/>
      <c r="BO1901" s="46"/>
      <c r="BP1901" s="2"/>
      <c r="BQ1901" s="3"/>
    </row>
    <row r="1902" ht="15.75" customHeight="1">
      <c r="A1902" s="34">
        <v>2014.0</v>
      </c>
      <c r="B1902" s="34">
        <v>104246.0</v>
      </c>
      <c r="C1902" s="34" t="s">
        <v>76</v>
      </c>
      <c r="D1902" s="34" t="s">
        <v>2933</v>
      </c>
      <c r="E1902" s="34" t="s">
        <v>2934</v>
      </c>
      <c r="F1902" s="34">
        <v>2021.0</v>
      </c>
      <c r="G1902" s="34" t="s">
        <v>2935</v>
      </c>
      <c r="H1902" s="34" t="s">
        <v>816</v>
      </c>
      <c r="I1902" s="34" t="s">
        <v>2936</v>
      </c>
      <c r="J1902" s="35"/>
      <c r="K1902" s="36"/>
      <c r="L1902" s="36">
        <v>558.0</v>
      </c>
      <c r="M1902" s="36"/>
      <c r="N1902" s="36"/>
      <c r="O1902" s="36"/>
      <c r="P1902" s="37">
        <v>-13.0</v>
      </c>
      <c r="Q1902" s="36" t="s">
        <v>1393</v>
      </c>
      <c r="R1902" s="36" t="s">
        <v>96</v>
      </c>
      <c r="S1902" s="36">
        <v>1000.0</v>
      </c>
      <c r="T1902" s="36" t="s">
        <v>242</v>
      </c>
      <c r="U1902" s="36" t="s">
        <v>2955</v>
      </c>
      <c r="V1902" s="36">
        <f>365+365+233</f>
        <v>963</v>
      </c>
      <c r="W1902" s="36"/>
      <c r="X1902" s="38">
        <v>1.0</v>
      </c>
      <c r="Y1902" s="38" t="s">
        <v>2981</v>
      </c>
      <c r="Z1902" s="38" t="s">
        <v>2977</v>
      </c>
      <c r="AA1902" s="38" t="s">
        <v>86</v>
      </c>
      <c r="AB1902" s="38" t="s">
        <v>2978</v>
      </c>
      <c r="AC1902" s="38" t="s">
        <v>2979</v>
      </c>
      <c r="AD1902" s="38" t="s">
        <v>2980</v>
      </c>
      <c r="AE1902" s="38"/>
      <c r="AF1902" s="38" t="s">
        <v>238</v>
      </c>
      <c r="AG1902" s="38" t="s">
        <v>1459</v>
      </c>
      <c r="AH1902" s="38"/>
      <c r="AI1902" s="50">
        <v>35.181714</v>
      </c>
      <c r="AJ1902" s="50">
        <v>9.545662</v>
      </c>
      <c r="AK1902" s="41" t="s">
        <v>86</v>
      </c>
      <c r="AL1902" s="40" t="s">
        <v>86</v>
      </c>
      <c r="AM1902" s="49">
        <v>369.0</v>
      </c>
      <c r="AN1902" s="51">
        <v>369.0</v>
      </c>
      <c r="AO1902" s="42" t="s">
        <v>355</v>
      </c>
      <c r="AP1902" s="43" t="s">
        <v>355</v>
      </c>
      <c r="AQ1902" s="44" t="str">
        <f t="shared" si="217"/>
        <v>CRO</v>
      </c>
      <c r="AR1902" s="44">
        <f t="shared" si="199"/>
        <v>369</v>
      </c>
      <c r="AS1902" s="44" t="str">
        <f t="shared" si="222"/>
        <v>B</v>
      </c>
      <c r="AT1902" s="44" t="str">
        <f t="shared" si="202"/>
        <v>BW</v>
      </c>
      <c r="AU1902" s="44" t="str">
        <f t="shared" si="203"/>
        <v>BWh</v>
      </c>
      <c r="AV1902" s="38">
        <v>3.0</v>
      </c>
      <c r="AW1902" s="38"/>
      <c r="AX1902" s="38"/>
      <c r="AY1902" s="38"/>
      <c r="AZ1902" s="29">
        <v>1000.0</v>
      </c>
      <c r="BA1902" s="29"/>
      <c r="BB1902" s="29">
        <v>1.0</v>
      </c>
      <c r="BC1902" s="29" t="s">
        <v>2989</v>
      </c>
      <c r="BD1902" s="29" t="s">
        <v>88</v>
      </c>
      <c r="BE1902" s="29" t="s">
        <v>263</v>
      </c>
      <c r="BF1902" s="29" t="s">
        <v>2942</v>
      </c>
      <c r="BG1902" s="29" t="s">
        <v>91</v>
      </c>
      <c r="BH1902" s="29" t="s">
        <v>88</v>
      </c>
      <c r="BI1902" s="29" t="s">
        <v>1438</v>
      </c>
      <c r="BJ1902" s="29"/>
      <c r="BK1902" s="29" t="s">
        <v>148</v>
      </c>
      <c r="BL1902" s="29" t="s">
        <v>148</v>
      </c>
      <c r="BM1902" s="45"/>
      <c r="BN1902" s="45"/>
      <c r="BO1902" s="46"/>
      <c r="BP1902" s="2"/>
      <c r="BQ1902" s="3"/>
    </row>
    <row r="1903" ht="15.75" customHeight="1">
      <c r="A1903" s="34">
        <v>2015.0</v>
      </c>
      <c r="B1903" s="34">
        <v>104246.0</v>
      </c>
      <c r="C1903" s="34" t="s">
        <v>76</v>
      </c>
      <c r="D1903" s="34" t="s">
        <v>2933</v>
      </c>
      <c r="E1903" s="34" t="s">
        <v>2934</v>
      </c>
      <c r="F1903" s="34">
        <v>2021.0</v>
      </c>
      <c r="G1903" s="34" t="s">
        <v>2935</v>
      </c>
      <c r="H1903" s="34" t="s">
        <v>816</v>
      </c>
      <c r="I1903" s="34" t="s">
        <v>2936</v>
      </c>
      <c r="J1903" s="35"/>
      <c r="K1903" s="36"/>
      <c r="L1903" s="36">
        <v>288.0</v>
      </c>
      <c r="M1903" s="36"/>
      <c r="N1903" s="36"/>
      <c r="O1903" s="36"/>
      <c r="P1903" s="37">
        <v>-13.0</v>
      </c>
      <c r="Q1903" s="36" t="s">
        <v>1393</v>
      </c>
      <c r="R1903" s="36" t="s">
        <v>96</v>
      </c>
      <c r="S1903" s="36">
        <v>1000.0</v>
      </c>
      <c r="T1903" s="36" t="s">
        <v>295</v>
      </c>
      <c r="U1903" s="36" t="s">
        <v>968</v>
      </c>
      <c r="V1903" s="36">
        <v>148.0</v>
      </c>
      <c r="W1903" s="36"/>
      <c r="X1903" s="38">
        <v>1.0</v>
      </c>
      <c r="Y1903" s="38" t="s">
        <v>2982</v>
      </c>
      <c r="Z1903" s="38" t="s">
        <v>2983</v>
      </c>
      <c r="AA1903" s="38" t="s">
        <v>86</v>
      </c>
      <c r="AB1903" s="38" t="s">
        <v>2984</v>
      </c>
      <c r="AC1903" s="38" t="s">
        <v>2985</v>
      </c>
      <c r="AD1903" s="38" t="s">
        <v>2235</v>
      </c>
      <c r="AE1903" s="53"/>
      <c r="AF1903" s="38" t="s">
        <v>2316</v>
      </c>
      <c r="AG1903" s="38"/>
      <c r="AH1903" s="38"/>
      <c r="AI1903" s="50">
        <v>31.6725</v>
      </c>
      <c r="AJ1903" s="50">
        <v>-7.59597</v>
      </c>
      <c r="AK1903" s="41" t="s">
        <v>86</v>
      </c>
      <c r="AL1903" s="40" t="s">
        <v>86</v>
      </c>
      <c r="AM1903" s="49">
        <v>572.0</v>
      </c>
      <c r="AN1903" s="51">
        <v>572.0</v>
      </c>
      <c r="AO1903" s="42" t="s">
        <v>304</v>
      </c>
      <c r="AP1903" s="43" t="s">
        <v>304</v>
      </c>
      <c r="AQ1903" s="44" t="str">
        <f t="shared" si="217"/>
        <v>CRO</v>
      </c>
      <c r="AR1903" s="44">
        <f t="shared" si="199"/>
        <v>572</v>
      </c>
      <c r="AS1903" s="44" t="str">
        <f t="shared" si="222"/>
        <v>B</v>
      </c>
      <c r="AT1903" s="44" t="str">
        <f t="shared" si="202"/>
        <v>BS</v>
      </c>
      <c r="AU1903" s="44" t="str">
        <f t="shared" si="203"/>
        <v>BSh</v>
      </c>
      <c r="AV1903" s="38">
        <v>2.0</v>
      </c>
      <c r="AW1903" s="38"/>
      <c r="AX1903" s="38"/>
      <c r="AY1903" s="38"/>
      <c r="AZ1903" s="29">
        <v>1000.0</v>
      </c>
      <c r="BA1903" s="29"/>
      <c r="BB1903" s="29">
        <v>1.0</v>
      </c>
      <c r="BC1903" s="29" t="s">
        <v>2989</v>
      </c>
      <c r="BD1903" s="29" t="s">
        <v>88</v>
      </c>
      <c r="BE1903" s="29" t="s">
        <v>263</v>
      </c>
      <c r="BF1903" s="29" t="s">
        <v>2942</v>
      </c>
      <c r="BG1903" s="29" t="s">
        <v>91</v>
      </c>
      <c r="BH1903" s="29" t="s">
        <v>88</v>
      </c>
      <c r="BI1903" s="29" t="s">
        <v>1438</v>
      </c>
      <c r="BJ1903" s="29"/>
      <c r="BK1903" s="29" t="s">
        <v>148</v>
      </c>
      <c r="BL1903" s="29" t="s">
        <v>148</v>
      </c>
      <c r="BM1903" s="45"/>
      <c r="BN1903" s="45"/>
      <c r="BO1903" s="46"/>
      <c r="BP1903" s="2"/>
      <c r="BQ1903" s="3"/>
    </row>
    <row r="1904" ht="15.75" customHeight="1">
      <c r="A1904" s="34">
        <v>2016.0</v>
      </c>
      <c r="B1904" s="34">
        <v>104246.0</v>
      </c>
      <c r="C1904" s="34" t="s">
        <v>76</v>
      </c>
      <c r="D1904" s="34" t="s">
        <v>2933</v>
      </c>
      <c r="E1904" s="34" t="s">
        <v>2934</v>
      </c>
      <c r="F1904" s="34">
        <v>2021.0</v>
      </c>
      <c r="G1904" s="34" t="s">
        <v>2935</v>
      </c>
      <c r="H1904" s="34" t="s">
        <v>816</v>
      </c>
      <c r="I1904" s="34" t="s">
        <v>2936</v>
      </c>
      <c r="J1904" s="35"/>
      <c r="K1904" s="36"/>
      <c r="L1904" s="36">
        <v>375.0</v>
      </c>
      <c r="M1904" s="36"/>
      <c r="N1904" s="36"/>
      <c r="O1904" s="36"/>
      <c r="P1904" s="37">
        <v>-3.0</v>
      </c>
      <c r="Q1904" s="36" t="s">
        <v>1393</v>
      </c>
      <c r="R1904" s="36" t="s">
        <v>96</v>
      </c>
      <c r="S1904" s="36">
        <v>1000.0</v>
      </c>
      <c r="T1904" s="36" t="s">
        <v>341</v>
      </c>
      <c r="U1904" s="36" t="s">
        <v>285</v>
      </c>
      <c r="V1904" s="36">
        <v>246.0</v>
      </c>
      <c r="W1904" s="36"/>
      <c r="X1904" s="38">
        <v>1.0</v>
      </c>
      <c r="Y1904" s="38" t="s">
        <v>2937</v>
      </c>
      <c r="Z1904" s="38" t="s">
        <v>2938</v>
      </c>
      <c r="AA1904" s="38" t="s">
        <v>86</v>
      </c>
      <c r="AB1904" s="38" t="s">
        <v>2939</v>
      </c>
      <c r="AC1904" s="38" t="s">
        <v>2940</v>
      </c>
      <c r="AD1904" s="38" t="s">
        <v>382</v>
      </c>
      <c r="AE1904" s="38"/>
      <c r="AF1904" s="38" t="s">
        <v>2316</v>
      </c>
      <c r="AG1904" s="38" t="s">
        <v>2928</v>
      </c>
      <c r="AH1904" s="38"/>
      <c r="AI1904" s="50">
        <v>43.5497</v>
      </c>
      <c r="AJ1904" s="50">
        <v>1.1061</v>
      </c>
      <c r="AK1904" s="41" t="s">
        <v>86</v>
      </c>
      <c r="AL1904" s="40" t="s">
        <v>86</v>
      </c>
      <c r="AM1904" s="49">
        <v>246.0</v>
      </c>
      <c r="AN1904" s="51">
        <v>246.0</v>
      </c>
      <c r="AO1904" s="42" t="s">
        <v>376</v>
      </c>
      <c r="AP1904" s="43" t="s">
        <v>376</v>
      </c>
      <c r="AQ1904" s="44" t="str">
        <f t="shared" si="217"/>
        <v>CRO</v>
      </c>
      <c r="AR1904" s="44">
        <f t="shared" si="199"/>
        <v>246</v>
      </c>
      <c r="AS1904" s="44" t="str">
        <f t="shared" si="222"/>
        <v>C</v>
      </c>
      <c r="AT1904" s="44" t="str">
        <f t="shared" si="202"/>
        <v>Cf</v>
      </c>
      <c r="AU1904" s="44" t="str">
        <f t="shared" si="203"/>
        <v>Cfb</v>
      </c>
      <c r="AV1904" s="38">
        <v>2.0</v>
      </c>
      <c r="AW1904" s="38"/>
      <c r="AX1904" s="38"/>
      <c r="AY1904" s="38"/>
      <c r="AZ1904" s="29">
        <v>1000.0</v>
      </c>
      <c r="BA1904" s="29"/>
      <c r="BB1904" s="29">
        <v>1.0</v>
      </c>
      <c r="BC1904" s="29" t="s">
        <v>2990</v>
      </c>
      <c r="BD1904" s="29" t="s">
        <v>88</v>
      </c>
      <c r="BE1904" s="29" t="s">
        <v>263</v>
      </c>
      <c r="BF1904" s="29" t="s">
        <v>2942</v>
      </c>
      <c r="BG1904" s="29" t="s">
        <v>91</v>
      </c>
      <c r="BH1904" s="29" t="s">
        <v>88</v>
      </c>
      <c r="BI1904" s="29" t="s">
        <v>1438</v>
      </c>
      <c r="BJ1904" s="29"/>
      <c r="BK1904" s="29" t="s">
        <v>148</v>
      </c>
      <c r="BL1904" s="29" t="s">
        <v>148</v>
      </c>
      <c r="BM1904" s="45"/>
      <c r="BN1904" s="45"/>
      <c r="BO1904" s="46"/>
      <c r="BP1904" s="2"/>
      <c r="BQ1904" s="3"/>
    </row>
    <row r="1905" ht="15.75" customHeight="1">
      <c r="A1905" s="34">
        <v>2017.0</v>
      </c>
      <c r="B1905" s="34">
        <v>104246.0</v>
      </c>
      <c r="C1905" s="34" t="s">
        <v>76</v>
      </c>
      <c r="D1905" s="34" t="s">
        <v>2933</v>
      </c>
      <c r="E1905" s="34" t="s">
        <v>2934</v>
      </c>
      <c r="F1905" s="34">
        <v>2021.0</v>
      </c>
      <c r="G1905" s="34" t="s">
        <v>2935</v>
      </c>
      <c r="H1905" s="34" t="s">
        <v>816</v>
      </c>
      <c r="I1905" s="34" t="s">
        <v>2936</v>
      </c>
      <c r="J1905" s="35"/>
      <c r="K1905" s="36"/>
      <c r="L1905" s="36">
        <v>268.0</v>
      </c>
      <c r="M1905" s="36"/>
      <c r="N1905" s="36"/>
      <c r="O1905" s="36"/>
      <c r="P1905" s="37">
        <v>25.0</v>
      </c>
      <c r="Q1905" s="36" t="s">
        <v>1393</v>
      </c>
      <c r="R1905" s="36" t="s">
        <v>96</v>
      </c>
      <c r="S1905" s="36">
        <v>1000.0</v>
      </c>
      <c r="T1905" s="36" t="s">
        <v>350</v>
      </c>
      <c r="U1905" s="36" t="s">
        <v>342</v>
      </c>
      <c r="V1905" s="36">
        <v>164.0</v>
      </c>
      <c r="W1905" s="36"/>
      <c r="X1905" s="38">
        <v>1.0</v>
      </c>
      <c r="Y1905" s="38" t="s">
        <v>2943</v>
      </c>
      <c r="Z1905" s="38" t="s">
        <v>2938</v>
      </c>
      <c r="AA1905" s="38" t="s">
        <v>86</v>
      </c>
      <c r="AB1905" s="38" t="s">
        <v>2939</v>
      </c>
      <c r="AC1905" s="38" t="s">
        <v>2940</v>
      </c>
      <c r="AD1905" s="38" t="s">
        <v>382</v>
      </c>
      <c r="AE1905" s="38"/>
      <c r="AF1905" s="38" t="s">
        <v>2944</v>
      </c>
      <c r="AG1905" s="38" t="s">
        <v>2928</v>
      </c>
      <c r="AH1905" s="38"/>
      <c r="AI1905" s="50">
        <v>43.5497</v>
      </c>
      <c r="AJ1905" s="50">
        <v>1.1061</v>
      </c>
      <c r="AK1905" s="41" t="s">
        <v>86</v>
      </c>
      <c r="AL1905" s="40" t="s">
        <v>86</v>
      </c>
      <c r="AM1905" s="49">
        <v>246.0</v>
      </c>
      <c r="AN1905" s="51">
        <v>246.0</v>
      </c>
      <c r="AO1905" s="42" t="s">
        <v>376</v>
      </c>
      <c r="AP1905" s="43" t="s">
        <v>376</v>
      </c>
      <c r="AQ1905" s="44" t="str">
        <f t="shared" si="217"/>
        <v>CRO</v>
      </c>
      <c r="AR1905" s="44">
        <f t="shared" si="199"/>
        <v>246</v>
      </c>
      <c r="AS1905" s="44" t="str">
        <f t="shared" si="222"/>
        <v>C</v>
      </c>
      <c r="AT1905" s="44" t="str">
        <f t="shared" si="202"/>
        <v>Cf</v>
      </c>
      <c r="AU1905" s="44" t="str">
        <f t="shared" si="203"/>
        <v>Cfb</v>
      </c>
      <c r="AV1905" s="38">
        <v>2.0</v>
      </c>
      <c r="AW1905" s="38"/>
      <c r="AX1905" s="38"/>
      <c r="AY1905" s="38"/>
      <c r="AZ1905" s="29">
        <v>1000.0</v>
      </c>
      <c r="BA1905" s="29"/>
      <c r="BB1905" s="29">
        <v>1.0</v>
      </c>
      <c r="BC1905" s="29" t="s">
        <v>2990</v>
      </c>
      <c r="BD1905" s="29" t="s">
        <v>88</v>
      </c>
      <c r="BE1905" s="29" t="s">
        <v>263</v>
      </c>
      <c r="BF1905" s="29" t="s">
        <v>2942</v>
      </c>
      <c r="BG1905" s="29" t="s">
        <v>91</v>
      </c>
      <c r="BH1905" s="29" t="s">
        <v>88</v>
      </c>
      <c r="BI1905" s="29" t="s">
        <v>1438</v>
      </c>
      <c r="BJ1905" s="29"/>
      <c r="BK1905" s="29" t="s">
        <v>148</v>
      </c>
      <c r="BL1905" s="29" t="s">
        <v>148</v>
      </c>
      <c r="BM1905" s="45"/>
      <c r="BN1905" s="45"/>
      <c r="BO1905" s="46"/>
      <c r="BP1905" s="2" t="s">
        <v>2988</v>
      </c>
      <c r="BQ1905" s="3"/>
    </row>
    <row r="1906" ht="15.75" customHeight="1">
      <c r="A1906" s="34">
        <v>2018.0</v>
      </c>
      <c r="B1906" s="34">
        <v>104246.0</v>
      </c>
      <c r="C1906" s="34" t="s">
        <v>76</v>
      </c>
      <c r="D1906" s="34" t="s">
        <v>2933</v>
      </c>
      <c r="E1906" s="34" t="s">
        <v>2934</v>
      </c>
      <c r="F1906" s="34">
        <v>2021.0</v>
      </c>
      <c r="G1906" s="34" t="s">
        <v>2935</v>
      </c>
      <c r="H1906" s="34" t="s">
        <v>816</v>
      </c>
      <c r="I1906" s="34" t="s">
        <v>2936</v>
      </c>
      <c r="J1906" s="35"/>
      <c r="K1906" s="36"/>
      <c r="L1906" s="36">
        <v>218.0</v>
      </c>
      <c r="M1906" s="36"/>
      <c r="N1906" s="36"/>
      <c r="O1906" s="36"/>
      <c r="P1906" s="37">
        <v>26.0</v>
      </c>
      <c r="Q1906" s="36" t="s">
        <v>1393</v>
      </c>
      <c r="R1906" s="36" t="s">
        <v>96</v>
      </c>
      <c r="S1906" s="36">
        <v>1000.0</v>
      </c>
      <c r="T1906" s="36" t="s">
        <v>506</v>
      </c>
      <c r="U1906" s="36" t="s">
        <v>676</v>
      </c>
      <c r="V1906" s="36">
        <v>258.0</v>
      </c>
      <c r="W1906" s="36"/>
      <c r="X1906" s="38">
        <v>1.0</v>
      </c>
      <c r="Y1906" s="38" t="s">
        <v>2945</v>
      </c>
      <c r="Z1906" s="38" t="s">
        <v>2938</v>
      </c>
      <c r="AA1906" s="38" t="s">
        <v>86</v>
      </c>
      <c r="AB1906" s="38" t="s">
        <v>2939</v>
      </c>
      <c r="AC1906" s="38" t="s">
        <v>2940</v>
      </c>
      <c r="AD1906" s="38" t="s">
        <v>382</v>
      </c>
      <c r="AE1906" s="38"/>
      <c r="AF1906" s="38" t="s">
        <v>2316</v>
      </c>
      <c r="AG1906" s="38" t="s">
        <v>2928</v>
      </c>
      <c r="AH1906" s="38"/>
      <c r="AI1906" s="50">
        <v>43.5497</v>
      </c>
      <c r="AJ1906" s="50">
        <v>1.1061</v>
      </c>
      <c r="AK1906" s="41" t="s">
        <v>86</v>
      </c>
      <c r="AL1906" s="40" t="s">
        <v>86</v>
      </c>
      <c r="AM1906" s="49">
        <v>246.0</v>
      </c>
      <c r="AN1906" s="51">
        <v>246.0</v>
      </c>
      <c r="AO1906" s="42" t="s">
        <v>376</v>
      </c>
      <c r="AP1906" s="43" t="s">
        <v>376</v>
      </c>
      <c r="AQ1906" s="44" t="str">
        <f t="shared" si="217"/>
        <v>CRO</v>
      </c>
      <c r="AR1906" s="44">
        <f t="shared" si="199"/>
        <v>246</v>
      </c>
      <c r="AS1906" s="44" t="str">
        <f t="shared" si="222"/>
        <v>C</v>
      </c>
      <c r="AT1906" s="44" t="str">
        <f t="shared" si="202"/>
        <v>Cf</v>
      </c>
      <c r="AU1906" s="44" t="str">
        <f t="shared" si="203"/>
        <v>Cfb</v>
      </c>
      <c r="AV1906" s="38">
        <v>2.0</v>
      </c>
      <c r="AW1906" s="38"/>
      <c r="AX1906" s="38"/>
      <c r="AY1906" s="38"/>
      <c r="AZ1906" s="29">
        <v>1000.0</v>
      </c>
      <c r="BA1906" s="29"/>
      <c r="BB1906" s="29">
        <v>1.0</v>
      </c>
      <c r="BC1906" s="29" t="s">
        <v>2990</v>
      </c>
      <c r="BD1906" s="29" t="s">
        <v>88</v>
      </c>
      <c r="BE1906" s="29" t="s">
        <v>263</v>
      </c>
      <c r="BF1906" s="29" t="s">
        <v>2942</v>
      </c>
      <c r="BG1906" s="29" t="s">
        <v>91</v>
      </c>
      <c r="BH1906" s="29" t="s">
        <v>88</v>
      </c>
      <c r="BI1906" s="29" t="s">
        <v>1438</v>
      </c>
      <c r="BJ1906" s="29"/>
      <c r="BK1906" s="29" t="s">
        <v>148</v>
      </c>
      <c r="BL1906" s="29" t="s">
        <v>148</v>
      </c>
      <c r="BM1906" s="45"/>
      <c r="BN1906" s="45"/>
      <c r="BO1906" s="46"/>
      <c r="BP1906" s="2"/>
      <c r="BQ1906" s="3"/>
    </row>
    <row r="1907" ht="15.75" customHeight="1">
      <c r="A1907" s="34">
        <v>2019.0</v>
      </c>
      <c r="B1907" s="34">
        <v>104246.0</v>
      </c>
      <c r="C1907" s="34" t="s">
        <v>76</v>
      </c>
      <c r="D1907" s="34" t="s">
        <v>2933</v>
      </c>
      <c r="E1907" s="34" t="s">
        <v>2934</v>
      </c>
      <c r="F1907" s="34">
        <v>2021.0</v>
      </c>
      <c r="G1907" s="34" t="s">
        <v>2935</v>
      </c>
      <c r="H1907" s="34" t="s">
        <v>816</v>
      </c>
      <c r="I1907" s="34" t="s">
        <v>2936</v>
      </c>
      <c r="J1907" s="35"/>
      <c r="K1907" s="36"/>
      <c r="L1907" s="36">
        <v>340.0</v>
      </c>
      <c r="M1907" s="36"/>
      <c r="N1907" s="36"/>
      <c r="O1907" s="36"/>
      <c r="P1907" s="37">
        <v>32.0</v>
      </c>
      <c r="Q1907" s="36" t="s">
        <v>1393</v>
      </c>
      <c r="R1907" s="36" t="s">
        <v>96</v>
      </c>
      <c r="S1907" s="36">
        <v>1000.0</v>
      </c>
      <c r="T1907" s="36" t="s">
        <v>350</v>
      </c>
      <c r="U1907" s="36" t="s">
        <v>342</v>
      </c>
      <c r="V1907" s="36">
        <v>269.0</v>
      </c>
      <c r="W1907" s="36"/>
      <c r="X1907" s="38">
        <v>1.0</v>
      </c>
      <c r="Y1907" s="38" t="s">
        <v>2946</v>
      </c>
      <c r="Z1907" s="38" t="s">
        <v>2947</v>
      </c>
      <c r="AA1907" s="38" t="s">
        <v>86</v>
      </c>
      <c r="AB1907" s="38" t="s">
        <v>2948</v>
      </c>
      <c r="AC1907" s="38" t="s">
        <v>2949</v>
      </c>
      <c r="AD1907" s="38" t="s">
        <v>382</v>
      </c>
      <c r="AE1907" s="38"/>
      <c r="AF1907" s="38" t="s">
        <v>2316</v>
      </c>
      <c r="AG1907" s="38" t="s">
        <v>2928</v>
      </c>
      <c r="AH1907" s="38"/>
      <c r="AI1907" s="50">
        <v>43.4965</v>
      </c>
      <c r="AJ1907" s="50">
        <v>1.2379</v>
      </c>
      <c r="AK1907" s="41" t="s">
        <v>86</v>
      </c>
      <c r="AL1907" s="40" t="s">
        <v>86</v>
      </c>
      <c r="AM1907" s="49">
        <v>181.0</v>
      </c>
      <c r="AN1907" s="51">
        <v>181.0</v>
      </c>
      <c r="AO1907" s="42" t="s">
        <v>201</v>
      </c>
      <c r="AP1907" s="43" t="s">
        <v>201</v>
      </c>
      <c r="AQ1907" s="44" t="str">
        <f t="shared" si="217"/>
        <v>CRO</v>
      </c>
      <c r="AR1907" s="44">
        <f t="shared" si="199"/>
        <v>181</v>
      </c>
      <c r="AS1907" s="44" t="str">
        <f t="shared" si="222"/>
        <v>C</v>
      </c>
      <c r="AT1907" s="44" t="str">
        <f t="shared" si="202"/>
        <v>Cf</v>
      </c>
      <c r="AU1907" s="44" t="str">
        <f t="shared" si="203"/>
        <v>Cfa</v>
      </c>
      <c r="AV1907" s="38">
        <v>2.0</v>
      </c>
      <c r="AW1907" s="38"/>
      <c r="AX1907" s="38"/>
      <c r="AY1907" s="38"/>
      <c r="AZ1907" s="29">
        <v>1000.0</v>
      </c>
      <c r="BA1907" s="29"/>
      <c r="BB1907" s="29">
        <v>1.0</v>
      </c>
      <c r="BC1907" s="29" t="s">
        <v>2990</v>
      </c>
      <c r="BD1907" s="29" t="s">
        <v>88</v>
      </c>
      <c r="BE1907" s="29" t="s">
        <v>263</v>
      </c>
      <c r="BF1907" s="29" t="s">
        <v>2942</v>
      </c>
      <c r="BG1907" s="29" t="s">
        <v>91</v>
      </c>
      <c r="BH1907" s="29" t="s">
        <v>88</v>
      </c>
      <c r="BI1907" s="29" t="s">
        <v>1438</v>
      </c>
      <c r="BJ1907" s="29"/>
      <c r="BK1907" s="29" t="s">
        <v>148</v>
      </c>
      <c r="BL1907" s="29" t="s">
        <v>148</v>
      </c>
      <c r="BM1907" s="45"/>
      <c r="BN1907" s="45"/>
      <c r="BO1907" s="46"/>
      <c r="BP1907" s="2"/>
      <c r="BQ1907" s="3"/>
    </row>
    <row r="1908" ht="15.75" customHeight="1">
      <c r="A1908" s="34">
        <v>2020.0</v>
      </c>
      <c r="B1908" s="34">
        <v>104246.0</v>
      </c>
      <c r="C1908" s="34" t="s">
        <v>76</v>
      </c>
      <c r="D1908" s="34" t="s">
        <v>2933</v>
      </c>
      <c r="E1908" s="34" t="s">
        <v>2934</v>
      </c>
      <c r="F1908" s="34">
        <v>2021.0</v>
      </c>
      <c r="G1908" s="34" t="s">
        <v>2935</v>
      </c>
      <c r="H1908" s="34" t="s">
        <v>816</v>
      </c>
      <c r="I1908" s="34" t="s">
        <v>2936</v>
      </c>
      <c r="J1908" s="35"/>
      <c r="K1908" s="36"/>
      <c r="L1908" s="36">
        <v>427.0</v>
      </c>
      <c r="M1908" s="36"/>
      <c r="N1908" s="36"/>
      <c r="O1908" s="36"/>
      <c r="P1908" s="37">
        <v>2.0</v>
      </c>
      <c r="Q1908" s="36" t="s">
        <v>1393</v>
      </c>
      <c r="R1908" s="36" t="s">
        <v>96</v>
      </c>
      <c r="S1908" s="36">
        <v>1000.0</v>
      </c>
      <c r="T1908" s="36" t="s">
        <v>506</v>
      </c>
      <c r="U1908" s="36" t="s">
        <v>676</v>
      </c>
      <c r="V1908" s="36">
        <v>161.0</v>
      </c>
      <c r="W1908" s="36"/>
      <c r="X1908" s="38">
        <v>1.0</v>
      </c>
      <c r="Y1908" s="38" t="s">
        <v>2950</v>
      </c>
      <c r="Z1908" s="38" t="s">
        <v>2947</v>
      </c>
      <c r="AA1908" s="38" t="s">
        <v>86</v>
      </c>
      <c r="AB1908" s="38" t="s">
        <v>2948</v>
      </c>
      <c r="AC1908" s="38" t="s">
        <v>2949</v>
      </c>
      <c r="AD1908" s="38" t="s">
        <v>382</v>
      </c>
      <c r="AE1908" s="38"/>
      <c r="AF1908" s="38" t="s">
        <v>525</v>
      </c>
      <c r="AG1908" s="38" t="s">
        <v>2928</v>
      </c>
      <c r="AH1908" s="38"/>
      <c r="AI1908" s="50">
        <v>43.4965</v>
      </c>
      <c r="AJ1908" s="50">
        <v>1.2379</v>
      </c>
      <c r="AK1908" s="41" t="s">
        <v>86</v>
      </c>
      <c r="AL1908" s="40" t="s">
        <v>86</v>
      </c>
      <c r="AM1908" s="49">
        <v>181.0</v>
      </c>
      <c r="AN1908" s="51">
        <v>181.0</v>
      </c>
      <c r="AO1908" s="42" t="s">
        <v>201</v>
      </c>
      <c r="AP1908" s="43" t="s">
        <v>201</v>
      </c>
      <c r="AQ1908" s="44" t="str">
        <f t="shared" si="217"/>
        <v>CRO</v>
      </c>
      <c r="AR1908" s="44">
        <f t="shared" si="199"/>
        <v>181</v>
      </c>
      <c r="AS1908" s="44" t="str">
        <f t="shared" si="222"/>
        <v>C</v>
      </c>
      <c r="AT1908" s="44" t="str">
        <f t="shared" si="202"/>
        <v>Cf</v>
      </c>
      <c r="AU1908" s="44" t="str">
        <f t="shared" si="203"/>
        <v>Cfa</v>
      </c>
      <c r="AV1908" s="38">
        <v>2.0</v>
      </c>
      <c r="AW1908" s="38"/>
      <c r="AX1908" s="38"/>
      <c r="AY1908" s="38"/>
      <c r="AZ1908" s="29">
        <v>1000.0</v>
      </c>
      <c r="BA1908" s="29"/>
      <c r="BB1908" s="29">
        <v>1.0</v>
      </c>
      <c r="BC1908" s="29" t="s">
        <v>2990</v>
      </c>
      <c r="BD1908" s="29" t="s">
        <v>88</v>
      </c>
      <c r="BE1908" s="29" t="s">
        <v>263</v>
      </c>
      <c r="BF1908" s="29" t="s">
        <v>2942</v>
      </c>
      <c r="BG1908" s="29" t="s">
        <v>91</v>
      </c>
      <c r="BH1908" s="29" t="s">
        <v>88</v>
      </c>
      <c r="BI1908" s="29" t="s">
        <v>1438</v>
      </c>
      <c r="BJ1908" s="29"/>
      <c r="BK1908" s="29" t="s">
        <v>148</v>
      </c>
      <c r="BL1908" s="29" t="s">
        <v>148</v>
      </c>
      <c r="BM1908" s="45"/>
      <c r="BN1908" s="45"/>
      <c r="BO1908" s="46"/>
      <c r="BP1908" s="2"/>
      <c r="BQ1908" s="3"/>
    </row>
    <row r="1909" ht="15.75" customHeight="1">
      <c r="A1909" s="34">
        <v>2021.0</v>
      </c>
      <c r="B1909" s="34">
        <v>104246.0</v>
      </c>
      <c r="C1909" s="34" t="s">
        <v>76</v>
      </c>
      <c r="D1909" s="34" t="s">
        <v>2933</v>
      </c>
      <c r="E1909" s="34" t="s">
        <v>2934</v>
      </c>
      <c r="F1909" s="34">
        <v>2021.0</v>
      </c>
      <c r="G1909" s="34" t="s">
        <v>2935</v>
      </c>
      <c r="H1909" s="34" t="s">
        <v>816</v>
      </c>
      <c r="I1909" s="34" t="s">
        <v>2936</v>
      </c>
      <c r="J1909" s="35"/>
      <c r="K1909" s="36"/>
      <c r="L1909" s="36">
        <v>251.0</v>
      </c>
      <c r="M1909" s="36"/>
      <c r="N1909" s="36"/>
      <c r="O1909" s="36"/>
      <c r="P1909" s="37">
        <v>53.0</v>
      </c>
      <c r="Q1909" s="36" t="s">
        <v>1393</v>
      </c>
      <c r="R1909" s="36" t="s">
        <v>96</v>
      </c>
      <c r="S1909" s="36">
        <v>1000.0</v>
      </c>
      <c r="T1909" s="36" t="s">
        <v>536</v>
      </c>
      <c r="U1909" s="36" t="s">
        <v>351</v>
      </c>
      <c r="V1909" s="36">
        <v>237.0</v>
      </c>
      <c r="W1909" s="36"/>
      <c r="X1909" s="38">
        <v>1.0</v>
      </c>
      <c r="Y1909" s="38" t="s">
        <v>2951</v>
      </c>
      <c r="Z1909" s="38" t="s">
        <v>2947</v>
      </c>
      <c r="AA1909" s="38" t="s">
        <v>86</v>
      </c>
      <c r="AB1909" s="38" t="s">
        <v>2948</v>
      </c>
      <c r="AC1909" s="38" t="s">
        <v>2949</v>
      </c>
      <c r="AD1909" s="38" t="s">
        <v>382</v>
      </c>
      <c r="AE1909" s="38"/>
      <c r="AF1909" s="38" t="s">
        <v>2316</v>
      </c>
      <c r="AG1909" s="38" t="s">
        <v>2928</v>
      </c>
      <c r="AH1909" s="38"/>
      <c r="AI1909" s="50">
        <v>43.4965</v>
      </c>
      <c r="AJ1909" s="50">
        <v>1.2379</v>
      </c>
      <c r="AK1909" s="41" t="s">
        <v>86</v>
      </c>
      <c r="AL1909" s="40" t="s">
        <v>86</v>
      </c>
      <c r="AM1909" s="49">
        <v>181.0</v>
      </c>
      <c r="AN1909" s="51">
        <v>181.0</v>
      </c>
      <c r="AO1909" s="42" t="s">
        <v>201</v>
      </c>
      <c r="AP1909" s="43" t="s">
        <v>201</v>
      </c>
      <c r="AQ1909" s="44" t="str">
        <f t="shared" si="217"/>
        <v>CRO</v>
      </c>
      <c r="AR1909" s="44">
        <f t="shared" si="199"/>
        <v>181</v>
      </c>
      <c r="AS1909" s="44" t="str">
        <f t="shared" si="222"/>
        <v>C</v>
      </c>
      <c r="AT1909" s="44" t="str">
        <f t="shared" si="202"/>
        <v>Cf</v>
      </c>
      <c r="AU1909" s="44" t="str">
        <f t="shared" si="203"/>
        <v>Cfa</v>
      </c>
      <c r="AV1909" s="38">
        <v>2.0</v>
      </c>
      <c r="AW1909" s="38"/>
      <c r="AX1909" s="38"/>
      <c r="AY1909" s="38"/>
      <c r="AZ1909" s="29">
        <v>1000.0</v>
      </c>
      <c r="BA1909" s="29"/>
      <c r="BB1909" s="29">
        <v>1.0</v>
      </c>
      <c r="BC1909" s="29" t="s">
        <v>2990</v>
      </c>
      <c r="BD1909" s="29" t="s">
        <v>88</v>
      </c>
      <c r="BE1909" s="29" t="s">
        <v>263</v>
      </c>
      <c r="BF1909" s="29" t="s">
        <v>2942</v>
      </c>
      <c r="BG1909" s="29" t="s">
        <v>91</v>
      </c>
      <c r="BH1909" s="29" t="s">
        <v>88</v>
      </c>
      <c r="BI1909" s="29" t="s">
        <v>1438</v>
      </c>
      <c r="BJ1909" s="29"/>
      <c r="BK1909" s="29" t="s">
        <v>148</v>
      </c>
      <c r="BL1909" s="29" t="s">
        <v>148</v>
      </c>
      <c r="BM1909" s="45"/>
      <c r="BN1909" s="45"/>
      <c r="BO1909" s="46"/>
      <c r="BP1909" s="2"/>
      <c r="BQ1909" s="3"/>
    </row>
    <row r="1910" ht="15.75" customHeight="1">
      <c r="A1910" s="34">
        <v>2022.0</v>
      </c>
      <c r="B1910" s="34">
        <v>104246.0</v>
      </c>
      <c r="C1910" s="34" t="s">
        <v>76</v>
      </c>
      <c r="D1910" s="34" t="s">
        <v>2933</v>
      </c>
      <c r="E1910" s="34" t="s">
        <v>2934</v>
      </c>
      <c r="F1910" s="34">
        <v>2021.0</v>
      </c>
      <c r="G1910" s="34" t="s">
        <v>2935</v>
      </c>
      <c r="H1910" s="34" t="s">
        <v>816</v>
      </c>
      <c r="I1910" s="34" t="s">
        <v>2936</v>
      </c>
      <c r="J1910" s="35"/>
      <c r="K1910" s="36"/>
      <c r="L1910" s="36">
        <v>361.0</v>
      </c>
      <c r="M1910" s="36"/>
      <c r="N1910" s="36"/>
      <c r="O1910" s="36"/>
      <c r="P1910" s="37">
        <v>23.0</v>
      </c>
      <c r="Q1910" s="36" t="s">
        <v>1393</v>
      </c>
      <c r="R1910" s="36" t="s">
        <v>96</v>
      </c>
      <c r="S1910" s="36">
        <v>1000.0</v>
      </c>
      <c r="T1910" s="36" t="s">
        <v>969</v>
      </c>
      <c r="U1910" s="36" t="s">
        <v>507</v>
      </c>
      <c r="V1910" s="36">
        <v>180.0</v>
      </c>
      <c r="W1910" s="36"/>
      <c r="X1910" s="38">
        <v>1.0</v>
      </c>
      <c r="Y1910" s="38" t="s">
        <v>2952</v>
      </c>
      <c r="Z1910" s="38" t="s">
        <v>2947</v>
      </c>
      <c r="AA1910" s="38" t="s">
        <v>86</v>
      </c>
      <c r="AB1910" s="38" t="s">
        <v>2948</v>
      </c>
      <c r="AC1910" s="38" t="s">
        <v>2949</v>
      </c>
      <c r="AD1910" s="38" t="s">
        <v>382</v>
      </c>
      <c r="AE1910" s="38"/>
      <c r="AF1910" s="38" t="s">
        <v>525</v>
      </c>
      <c r="AG1910" s="38" t="s">
        <v>2928</v>
      </c>
      <c r="AH1910" s="38"/>
      <c r="AI1910" s="50">
        <v>43.4965</v>
      </c>
      <c r="AJ1910" s="50">
        <v>1.2379</v>
      </c>
      <c r="AK1910" s="41" t="s">
        <v>86</v>
      </c>
      <c r="AL1910" s="40" t="s">
        <v>86</v>
      </c>
      <c r="AM1910" s="49">
        <v>181.0</v>
      </c>
      <c r="AN1910" s="51">
        <v>181.0</v>
      </c>
      <c r="AO1910" s="42" t="s">
        <v>201</v>
      </c>
      <c r="AP1910" s="43" t="s">
        <v>201</v>
      </c>
      <c r="AQ1910" s="44" t="str">
        <f t="shared" si="217"/>
        <v>CRO</v>
      </c>
      <c r="AR1910" s="44">
        <f t="shared" si="199"/>
        <v>181</v>
      </c>
      <c r="AS1910" s="44" t="str">
        <f t="shared" si="222"/>
        <v>C</v>
      </c>
      <c r="AT1910" s="44" t="str">
        <f t="shared" si="202"/>
        <v>Cf</v>
      </c>
      <c r="AU1910" s="44" t="str">
        <f t="shared" si="203"/>
        <v>Cfa</v>
      </c>
      <c r="AV1910" s="38">
        <v>3.0</v>
      </c>
      <c r="AW1910" s="38"/>
      <c r="AX1910" s="38"/>
      <c r="AY1910" s="38"/>
      <c r="AZ1910" s="29">
        <v>1000.0</v>
      </c>
      <c r="BA1910" s="29"/>
      <c r="BB1910" s="29">
        <v>1.0</v>
      </c>
      <c r="BC1910" s="29" t="s">
        <v>2990</v>
      </c>
      <c r="BD1910" s="29" t="s">
        <v>88</v>
      </c>
      <c r="BE1910" s="29" t="s">
        <v>263</v>
      </c>
      <c r="BF1910" s="29" t="s">
        <v>2942</v>
      </c>
      <c r="BG1910" s="29" t="s">
        <v>91</v>
      </c>
      <c r="BH1910" s="29" t="s">
        <v>88</v>
      </c>
      <c r="BI1910" s="29" t="s">
        <v>1438</v>
      </c>
      <c r="BJ1910" s="29"/>
      <c r="BK1910" s="29" t="s">
        <v>148</v>
      </c>
      <c r="BL1910" s="29" t="s">
        <v>148</v>
      </c>
      <c r="BM1910" s="45"/>
      <c r="BN1910" s="45"/>
      <c r="BO1910" s="46"/>
      <c r="BP1910" s="2"/>
      <c r="BQ1910" s="3"/>
    </row>
    <row r="1911" ht="15.75" customHeight="1">
      <c r="A1911" s="34">
        <v>2023.0</v>
      </c>
      <c r="B1911" s="34">
        <v>104246.0</v>
      </c>
      <c r="C1911" s="34" t="s">
        <v>76</v>
      </c>
      <c r="D1911" s="34" t="s">
        <v>2933</v>
      </c>
      <c r="E1911" s="34" t="s">
        <v>2934</v>
      </c>
      <c r="F1911" s="34">
        <v>2021.0</v>
      </c>
      <c r="G1911" s="34" t="s">
        <v>2935</v>
      </c>
      <c r="H1911" s="34" t="s">
        <v>816</v>
      </c>
      <c r="I1911" s="34" t="s">
        <v>2936</v>
      </c>
      <c r="J1911" s="35"/>
      <c r="K1911" s="36"/>
      <c r="L1911" s="36">
        <v>416.0</v>
      </c>
      <c r="M1911" s="36"/>
      <c r="N1911" s="36"/>
      <c r="O1911" s="36"/>
      <c r="P1911" s="37">
        <v>-8.0</v>
      </c>
      <c r="Q1911" s="36" t="s">
        <v>1393</v>
      </c>
      <c r="R1911" s="36" t="s">
        <v>96</v>
      </c>
      <c r="S1911" s="36">
        <v>1000.0</v>
      </c>
      <c r="T1911" s="36" t="s">
        <v>242</v>
      </c>
      <c r="U1911" s="36" t="s">
        <v>243</v>
      </c>
      <c r="V1911" s="36">
        <v>119.0</v>
      </c>
      <c r="W1911" s="36"/>
      <c r="X1911" s="38">
        <v>1.0</v>
      </c>
      <c r="Y1911" s="38" t="s">
        <v>2953</v>
      </c>
      <c r="Z1911" s="38" t="s">
        <v>2947</v>
      </c>
      <c r="AA1911" s="38" t="s">
        <v>86</v>
      </c>
      <c r="AB1911" s="38" t="s">
        <v>2948</v>
      </c>
      <c r="AC1911" s="38" t="s">
        <v>2949</v>
      </c>
      <c r="AD1911" s="38" t="s">
        <v>382</v>
      </c>
      <c r="AE1911" s="38"/>
      <c r="AF1911" s="38" t="s">
        <v>525</v>
      </c>
      <c r="AG1911" s="38" t="s">
        <v>2928</v>
      </c>
      <c r="AH1911" s="38"/>
      <c r="AI1911" s="50">
        <v>43.4965</v>
      </c>
      <c r="AJ1911" s="50">
        <v>1.2379</v>
      </c>
      <c r="AK1911" s="41" t="s">
        <v>86</v>
      </c>
      <c r="AL1911" s="40" t="s">
        <v>86</v>
      </c>
      <c r="AM1911" s="49">
        <v>181.0</v>
      </c>
      <c r="AN1911" s="51">
        <v>181.0</v>
      </c>
      <c r="AO1911" s="42" t="s">
        <v>201</v>
      </c>
      <c r="AP1911" s="43" t="s">
        <v>201</v>
      </c>
      <c r="AQ1911" s="44" t="str">
        <f t="shared" si="217"/>
        <v>CRO</v>
      </c>
      <c r="AR1911" s="44">
        <f t="shared" si="199"/>
        <v>181</v>
      </c>
      <c r="AS1911" s="44" t="str">
        <f t="shared" si="222"/>
        <v>C</v>
      </c>
      <c r="AT1911" s="44" t="str">
        <f t="shared" si="202"/>
        <v>Cf</v>
      </c>
      <c r="AU1911" s="44" t="str">
        <f t="shared" si="203"/>
        <v>Cfa</v>
      </c>
      <c r="AV1911" s="38">
        <v>2.0</v>
      </c>
      <c r="AW1911" s="38"/>
      <c r="AX1911" s="38"/>
      <c r="AY1911" s="38"/>
      <c r="AZ1911" s="29">
        <v>1000.0</v>
      </c>
      <c r="BA1911" s="29"/>
      <c r="BB1911" s="29">
        <v>1.0</v>
      </c>
      <c r="BC1911" s="29" t="s">
        <v>2990</v>
      </c>
      <c r="BD1911" s="29" t="s">
        <v>88</v>
      </c>
      <c r="BE1911" s="29" t="s">
        <v>263</v>
      </c>
      <c r="BF1911" s="29" t="s">
        <v>2942</v>
      </c>
      <c r="BG1911" s="29" t="s">
        <v>91</v>
      </c>
      <c r="BH1911" s="29" t="s">
        <v>88</v>
      </c>
      <c r="BI1911" s="29" t="s">
        <v>1438</v>
      </c>
      <c r="BJ1911" s="29"/>
      <c r="BK1911" s="29" t="s">
        <v>148</v>
      </c>
      <c r="BL1911" s="29" t="s">
        <v>148</v>
      </c>
      <c r="BM1911" s="45"/>
      <c r="BN1911" s="45"/>
      <c r="BO1911" s="46"/>
      <c r="BP1911" s="2"/>
      <c r="BQ1911" s="3"/>
    </row>
    <row r="1912" ht="15.75" customHeight="1">
      <c r="A1912" s="34">
        <v>2024.0</v>
      </c>
      <c r="B1912" s="34">
        <v>104246.0</v>
      </c>
      <c r="C1912" s="34" t="s">
        <v>76</v>
      </c>
      <c r="D1912" s="34" t="s">
        <v>2933</v>
      </c>
      <c r="E1912" s="34" t="s">
        <v>2934</v>
      </c>
      <c r="F1912" s="34">
        <v>2021.0</v>
      </c>
      <c r="G1912" s="34" t="s">
        <v>2935</v>
      </c>
      <c r="H1912" s="34" t="s">
        <v>816</v>
      </c>
      <c r="I1912" s="34" t="s">
        <v>2936</v>
      </c>
      <c r="J1912" s="35"/>
      <c r="K1912" s="36"/>
      <c r="L1912" s="36">
        <v>389.0</v>
      </c>
      <c r="M1912" s="36"/>
      <c r="N1912" s="36"/>
      <c r="O1912" s="36"/>
      <c r="P1912" s="37">
        <v>-7.0</v>
      </c>
      <c r="Q1912" s="36" t="s">
        <v>1393</v>
      </c>
      <c r="R1912" s="36" t="s">
        <v>96</v>
      </c>
      <c r="S1912" s="36">
        <v>1000.0</v>
      </c>
      <c r="T1912" s="36" t="s">
        <v>245</v>
      </c>
      <c r="U1912" s="36" t="s">
        <v>246</v>
      </c>
      <c r="V1912" s="36">
        <v>126.0</v>
      </c>
      <c r="W1912" s="36"/>
      <c r="X1912" s="38">
        <v>1.0</v>
      </c>
      <c r="Y1912" s="38" t="s">
        <v>2954</v>
      </c>
      <c r="Z1912" s="38" t="s">
        <v>2947</v>
      </c>
      <c r="AA1912" s="38" t="s">
        <v>86</v>
      </c>
      <c r="AB1912" s="38" t="s">
        <v>2948</v>
      </c>
      <c r="AC1912" s="38" t="s">
        <v>2949</v>
      </c>
      <c r="AD1912" s="38" t="s">
        <v>382</v>
      </c>
      <c r="AE1912" s="38"/>
      <c r="AF1912" s="38" t="s">
        <v>525</v>
      </c>
      <c r="AG1912" s="38" t="s">
        <v>2928</v>
      </c>
      <c r="AH1912" s="38"/>
      <c r="AI1912" s="50">
        <v>43.4965</v>
      </c>
      <c r="AJ1912" s="50">
        <v>1.2379</v>
      </c>
      <c r="AK1912" s="41" t="s">
        <v>86</v>
      </c>
      <c r="AL1912" s="40" t="s">
        <v>86</v>
      </c>
      <c r="AM1912" s="49">
        <v>181.0</v>
      </c>
      <c r="AN1912" s="51">
        <v>181.0</v>
      </c>
      <c r="AO1912" s="42" t="s">
        <v>201</v>
      </c>
      <c r="AP1912" s="43" t="s">
        <v>201</v>
      </c>
      <c r="AQ1912" s="44" t="str">
        <f t="shared" si="217"/>
        <v>CRO</v>
      </c>
      <c r="AR1912" s="44">
        <f t="shared" si="199"/>
        <v>181</v>
      </c>
      <c r="AS1912" s="44" t="str">
        <f t="shared" si="222"/>
        <v>C</v>
      </c>
      <c r="AT1912" s="44" t="str">
        <f t="shared" si="202"/>
        <v>Cf</v>
      </c>
      <c r="AU1912" s="44" t="str">
        <f t="shared" si="203"/>
        <v>Cfa</v>
      </c>
      <c r="AV1912" s="38">
        <v>2.0</v>
      </c>
      <c r="AW1912" s="38"/>
      <c r="AX1912" s="38"/>
      <c r="AY1912" s="38"/>
      <c r="AZ1912" s="29">
        <v>1000.0</v>
      </c>
      <c r="BA1912" s="29"/>
      <c r="BB1912" s="29">
        <v>1.0</v>
      </c>
      <c r="BC1912" s="29" t="s">
        <v>2990</v>
      </c>
      <c r="BD1912" s="29" t="s">
        <v>88</v>
      </c>
      <c r="BE1912" s="29" t="s">
        <v>263</v>
      </c>
      <c r="BF1912" s="29" t="s">
        <v>2942</v>
      </c>
      <c r="BG1912" s="29" t="s">
        <v>91</v>
      </c>
      <c r="BH1912" s="29" t="s">
        <v>88</v>
      </c>
      <c r="BI1912" s="29" t="s">
        <v>1438</v>
      </c>
      <c r="BJ1912" s="29"/>
      <c r="BK1912" s="29" t="s">
        <v>148</v>
      </c>
      <c r="BL1912" s="29" t="s">
        <v>148</v>
      </c>
      <c r="BM1912" s="45"/>
      <c r="BN1912" s="45"/>
      <c r="BO1912" s="46"/>
      <c r="BP1912" s="2"/>
      <c r="BQ1912" s="3"/>
    </row>
    <row r="1913" ht="15.75" customHeight="1">
      <c r="A1913" s="34">
        <v>2025.0</v>
      </c>
      <c r="B1913" s="34">
        <v>104246.0</v>
      </c>
      <c r="C1913" s="34" t="s">
        <v>76</v>
      </c>
      <c r="D1913" s="34" t="s">
        <v>2933</v>
      </c>
      <c r="E1913" s="34" t="s">
        <v>2934</v>
      </c>
      <c r="F1913" s="34">
        <v>2021.0</v>
      </c>
      <c r="G1913" s="34" t="s">
        <v>2935</v>
      </c>
      <c r="H1913" s="34" t="s">
        <v>816</v>
      </c>
      <c r="I1913" s="34" t="s">
        <v>2936</v>
      </c>
      <c r="J1913" s="35"/>
      <c r="K1913" s="36"/>
      <c r="L1913" s="36">
        <v>531.0</v>
      </c>
      <c r="M1913" s="36"/>
      <c r="N1913" s="36"/>
      <c r="O1913" s="36"/>
      <c r="P1913" s="37">
        <v>-26.0</v>
      </c>
      <c r="Q1913" s="36" t="s">
        <v>1393</v>
      </c>
      <c r="R1913" s="36" t="s">
        <v>96</v>
      </c>
      <c r="S1913" s="36">
        <v>1000.0</v>
      </c>
      <c r="T1913" s="36" t="s">
        <v>837</v>
      </c>
      <c r="U1913" s="36" t="s">
        <v>2955</v>
      </c>
      <c r="V1913" s="36">
        <v>127.0</v>
      </c>
      <c r="W1913" s="36"/>
      <c r="X1913" s="38">
        <v>1.0</v>
      </c>
      <c r="Y1913" s="38" t="s">
        <v>2956</v>
      </c>
      <c r="Z1913" s="38" t="s">
        <v>2947</v>
      </c>
      <c r="AA1913" s="38" t="s">
        <v>86</v>
      </c>
      <c r="AB1913" s="38" t="s">
        <v>2948</v>
      </c>
      <c r="AC1913" s="38" t="s">
        <v>2949</v>
      </c>
      <c r="AD1913" s="38" t="s">
        <v>382</v>
      </c>
      <c r="AE1913" s="38"/>
      <c r="AF1913" s="38" t="s">
        <v>525</v>
      </c>
      <c r="AG1913" s="38" t="s">
        <v>2928</v>
      </c>
      <c r="AH1913" s="38"/>
      <c r="AI1913" s="50">
        <v>43.4965</v>
      </c>
      <c r="AJ1913" s="50">
        <v>1.2379</v>
      </c>
      <c r="AK1913" s="41" t="s">
        <v>86</v>
      </c>
      <c r="AL1913" s="40" t="s">
        <v>86</v>
      </c>
      <c r="AM1913" s="49">
        <v>181.0</v>
      </c>
      <c r="AN1913" s="51">
        <v>181.0</v>
      </c>
      <c r="AO1913" s="42" t="s">
        <v>201</v>
      </c>
      <c r="AP1913" s="43" t="s">
        <v>201</v>
      </c>
      <c r="AQ1913" s="44" t="str">
        <f t="shared" si="217"/>
        <v>CRO</v>
      </c>
      <c r="AR1913" s="44">
        <f t="shared" si="199"/>
        <v>181</v>
      </c>
      <c r="AS1913" s="44" t="str">
        <f t="shared" si="222"/>
        <v>C</v>
      </c>
      <c r="AT1913" s="44" t="str">
        <f t="shared" si="202"/>
        <v>Cf</v>
      </c>
      <c r="AU1913" s="44" t="str">
        <f t="shared" si="203"/>
        <v>Cfa</v>
      </c>
      <c r="AV1913" s="38">
        <v>2.0</v>
      </c>
      <c r="AW1913" s="38"/>
      <c r="AX1913" s="38"/>
      <c r="AY1913" s="38"/>
      <c r="AZ1913" s="29">
        <v>1000.0</v>
      </c>
      <c r="BA1913" s="29"/>
      <c r="BB1913" s="29">
        <v>1.0</v>
      </c>
      <c r="BC1913" s="29" t="s">
        <v>2990</v>
      </c>
      <c r="BD1913" s="29" t="s">
        <v>88</v>
      </c>
      <c r="BE1913" s="29" t="s">
        <v>263</v>
      </c>
      <c r="BF1913" s="29" t="s">
        <v>2942</v>
      </c>
      <c r="BG1913" s="29" t="s">
        <v>91</v>
      </c>
      <c r="BH1913" s="29" t="s">
        <v>88</v>
      </c>
      <c r="BI1913" s="29" t="s">
        <v>1438</v>
      </c>
      <c r="BJ1913" s="29"/>
      <c r="BK1913" s="29" t="s">
        <v>148</v>
      </c>
      <c r="BL1913" s="29" t="s">
        <v>148</v>
      </c>
      <c r="BM1913" s="45"/>
      <c r="BN1913" s="45"/>
      <c r="BO1913" s="46"/>
      <c r="BP1913" s="2"/>
      <c r="BQ1913" s="3"/>
    </row>
    <row r="1914" ht="15.75" customHeight="1">
      <c r="A1914" s="34">
        <v>2026.0</v>
      </c>
      <c r="B1914" s="34">
        <v>104246.0</v>
      </c>
      <c r="C1914" s="34" t="s">
        <v>76</v>
      </c>
      <c r="D1914" s="34" t="s">
        <v>2933</v>
      </c>
      <c r="E1914" s="34" t="s">
        <v>2934</v>
      </c>
      <c r="F1914" s="34">
        <v>2021.0</v>
      </c>
      <c r="G1914" s="34" t="s">
        <v>2935</v>
      </c>
      <c r="H1914" s="34" t="s">
        <v>816</v>
      </c>
      <c r="I1914" s="34" t="s">
        <v>2936</v>
      </c>
      <c r="J1914" s="35"/>
      <c r="K1914" s="36"/>
      <c r="L1914" s="36">
        <v>233.0</v>
      </c>
      <c r="M1914" s="36"/>
      <c r="N1914" s="36"/>
      <c r="O1914" s="36"/>
      <c r="P1914" s="37">
        <v>26.0</v>
      </c>
      <c r="Q1914" s="36" t="s">
        <v>1393</v>
      </c>
      <c r="R1914" s="36" t="s">
        <v>96</v>
      </c>
      <c r="S1914" s="36">
        <v>1000.0</v>
      </c>
      <c r="T1914" s="36" t="s">
        <v>317</v>
      </c>
      <c r="U1914" s="36" t="s">
        <v>194</v>
      </c>
      <c r="V1914" s="36">
        <v>160.0</v>
      </c>
      <c r="W1914" s="36"/>
      <c r="X1914" s="38">
        <v>1.0</v>
      </c>
      <c r="Y1914" s="38" t="s">
        <v>2957</v>
      </c>
      <c r="Z1914" s="38" t="s">
        <v>2958</v>
      </c>
      <c r="AA1914" s="38" t="s">
        <v>86</v>
      </c>
      <c r="AB1914" s="38" t="s">
        <v>2959</v>
      </c>
      <c r="AC1914" s="38" t="s">
        <v>2960</v>
      </c>
      <c r="AD1914" s="38" t="s">
        <v>382</v>
      </c>
      <c r="AE1914" s="38">
        <v>32.0</v>
      </c>
      <c r="AF1914" s="38" t="s">
        <v>2961</v>
      </c>
      <c r="AG1914" s="38" t="s">
        <v>2928</v>
      </c>
      <c r="AH1914" s="38"/>
      <c r="AI1914" s="50">
        <v>43.92</v>
      </c>
      <c r="AJ1914" s="50">
        <v>4.88</v>
      </c>
      <c r="AK1914" s="41" t="s">
        <v>505</v>
      </c>
      <c r="AL1914" s="40" t="s">
        <v>505</v>
      </c>
      <c r="AM1914" s="49">
        <v>71.0</v>
      </c>
      <c r="AN1914" s="51">
        <v>71.0</v>
      </c>
      <c r="AO1914" s="42" t="s">
        <v>175</v>
      </c>
      <c r="AP1914" s="43" t="s">
        <v>175</v>
      </c>
      <c r="AQ1914" s="44" t="str">
        <f t="shared" si="217"/>
        <v>CRO</v>
      </c>
      <c r="AR1914" s="44">
        <f t="shared" si="199"/>
        <v>71</v>
      </c>
      <c r="AS1914" s="44" t="str">
        <f t="shared" si="222"/>
        <v>C</v>
      </c>
      <c r="AT1914" s="44" t="str">
        <f t="shared" si="202"/>
        <v>Cs</v>
      </c>
      <c r="AU1914" s="44" t="str">
        <f t="shared" si="203"/>
        <v>Csa</v>
      </c>
      <c r="AV1914" s="38">
        <v>2.0</v>
      </c>
      <c r="AW1914" s="38"/>
      <c r="AX1914" s="38"/>
      <c r="AY1914" s="38"/>
      <c r="AZ1914" s="29">
        <v>1000.0</v>
      </c>
      <c r="BA1914" s="29"/>
      <c r="BB1914" s="29">
        <v>1.0</v>
      </c>
      <c r="BC1914" s="29" t="s">
        <v>2990</v>
      </c>
      <c r="BD1914" s="29" t="s">
        <v>88</v>
      </c>
      <c r="BE1914" s="29" t="s">
        <v>263</v>
      </c>
      <c r="BF1914" s="29" t="s">
        <v>2942</v>
      </c>
      <c r="BG1914" s="29" t="s">
        <v>91</v>
      </c>
      <c r="BH1914" s="29" t="s">
        <v>88</v>
      </c>
      <c r="BI1914" s="29" t="s">
        <v>1438</v>
      </c>
      <c r="BJ1914" s="29"/>
      <c r="BK1914" s="29" t="s">
        <v>148</v>
      </c>
      <c r="BL1914" s="29" t="s">
        <v>148</v>
      </c>
      <c r="BM1914" s="45"/>
      <c r="BN1914" s="45"/>
      <c r="BO1914" s="46"/>
      <c r="BP1914" s="2"/>
      <c r="BQ1914" s="3"/>
    </row>
    <row r="1915" ht="15.75" customHeight="1">
      <c r="A1915" s="34">
        <v>2027.0</v>
      </c>
      <c r="B1915" s="34">
        <v>104246.0</v>
      </c>
      <c r="C1915" s="34" t="s">
        <v>76</v>
      </c>
      <c r="D1915" s="34" t="s">
        <v>2933</v>
      </c>
      <c r="E1915" s="34" t="s">
        <v>2934</v>
      </c>
      <c r="F1915" s="34">
        <v>2021.0</v>
      </c>
      <c r="G1915" s="34" t="s">
        <v>2935</v>
      </c>
      <c r="H1915" s="34" t="s">
        <v>816</v>
      </c>
      <c r="I1915" s="34" t="s">
        <v>2936</v>
      </c>
      <c r="J1915" s="35"/>
      <c r="K1915" s="36"/>
      <c r="L1915" s="36">
        <v>375.0</v>
      </c>
      <c r="M1915" s="36"/>
      <c r="N1915" s="36"/>
      <c r="O1915" s="36"/>
      <c r="P1915" s="37">
        <v>21.0</v>
      </c>
      <c r="Q1915" s="36" t="s">
        <v>1393</v>
      </c>
      <c r="R1915" s="36" t="s">
        <v>96</v>
      </c>
      <c r="S1915" s="36">
        <v>1000.0</v>
      </c>
      <c r="T1915" s="36" t="s">
        <v>341</v>
      </c>
      <c r="U1915" s="36" t="s">
        <v>285</v>
      </c>
      <c r="V1915" s="36">
        <v>246.0</v>
      </c>
      <c r="W1915" s="36"/>
      <c r="X1915" s="38">
        <v>1.0</v>
      </c>
      <c r="Y1915" s="38" t="s">
        <v>2962</v>
      </c>
      <c r="Z1915" s="38" t="s">
        <v>2958</v>
      </c>
      <c r="AA1915" s="38" t="s">
        <v>86</v>
      </c>
      <c r="AB1915" s="38" t="s">
        <v>2959</v>
      </c>
      <c r="AC1915" s="38" t="s">
        <v>2960</v>
      </c>
      <c r="AD1915" s="38" t="s">
        <v>382</v>
      </c>
      <c r="AE1915" s="38">
        <v>32.0</v>
      </c>
      <c r="AF1915" s="38" t="s">
        <v>2316</v>
      </c>
      <c r="AG1915" s="38" t="s">
        <v>2928</v>
      </c>
      <c r="AH1915" s="38"/>
      <c r="AI1915" s="50">
        <v>43.92</v>
      </c>
      <c r="AJ1915" s="50">
        <v>4.88</v>
      </c>
      <c r="AK1915" s="41" t="s">
        <v>505</v>
      </c>
      <c r="AL1915" s="40" t="s">
        <v>505</v>
      </c>
      <c r="AM1915" s="49">
        <v>71.0</v>
      </c>
      <c r="AN1915" s="51">
        <v>71.0</v>
      </c>
      <c r="AO1915" s="42" t="s">
        <v>175</v>
      </c>
      <c r="AP1915" s="43" t="s">
        <v>175</v>
      </c>
      <c r="AQ1915" s="44" t="str">
        <f t="shared" si="217"/>
        <v>CRO</v>
      </c>
      <c r="AR1915" s="44">
        <f t="shared" si="199"/>
        <v>71</v>
      </c>
      <c r="AS1915" s="44" t="str">
        <f t="shared" si="222"/>
        <v>C</v>
      </c>
      <c r="AT1915" s="44" t="str">
        <f t="shared" si="202"/>
        <v>Cs</v>
      </c>
      <c r="AU1915" s="44" t="str">
        <f t="shared" si="203"/>
        <v>Csa</v>
      </c>
      <c r="AV1915" s="38">
        <v>2.0</v>
      </c>
      <c r="AW1915" s="38"/>
      <c r="AX1915" s="38"/>
      <c r="AY1915" s="38"/>
      <c r="AZ1915" s="29">
        <v>1000.0</v>
      </c>
      <c r="BA1915" s="29"/>
      <c r="BB1915" s="29">
        <v>1.0</v>
      </c>
      <c r="BC1915" s="29" t="s">
        <v>2990</v>
      </c>
      <c r="BD1915" s="29" t="s">
        <v>88</v>
      </c>
      <c r="BE1915" s="29" t="s">
        <v>263</v>
      </c>
      <c r="BF1915" s="29" t="s">
        <v>2942</v>
      </c>
      <c r="BG1915" s="29" t="s">
        <v>91</v>
      </c>
      <c r="BH1915" s="29" t="s">
        <v>88</v>
      </c>
      <c r="BI1915" s="29" t="s">
        <v>1438</v>
      </c>
      <c r="BJ1915" s="29"/>
      <c r="BK1915" s="29" t="s">
        <v>148</v>
      </c>
      <c r="BL1915" s="29" t="s">
        <v>148</v>
      </c>
      <c r="BM1915" s="45"/>
      <c r="BN1915" s="45"/>
      <c r="BO1915" s="46"/>
      <c r="BP1915" s="2"/>
      <c r="BQ1915" s="3"/>
    </row>
    <row r="1916" ht="15.75" customHeight="1">
      <c r="A1916" s="34">
        <v>2028.0</v>
      </c>
      <c r="B1916" s="34">
        <v>104246.0</v>
      </c>
      <c r="C1916" s="34" t="s">
        <v>76</v>
      </c>
      <c r="D1916" s="34" t="s">
        <v>2933</v>
      </c>
      <c r="E1916" s="34" t="s">
        <v>2934</v>
      </c>
      <c r="F1916" s="34">
        <v>2021.0</v>
      </c>
      <c r="G1916" s="34" t="s">
        <v>2935</v>
      </c>
      <c r="H1916" s="34" t="s">
        <v>816</v>
      </c>
      <c r="I1916" s="34" t="s">
        <v>2936</v>
      </c>
      <c r="J1916" s="35"/>
      <c r="K1916" s="36"/>
      <c r="L1916" s="36">
        <v>386.0</v>
      </c>
      <c r="M1916" s="36"/>
      <c r="N1916" s="36"/>
      <c r="O1916" s="36"/>
      <c r="P1916" s="37">
        <v>3.0</v>
      </c>
      <c r="Q1916" s="36" t="s">
        <v>1393</v>
      </c>
      <c r="R1916" s="36" t="s">
        <v>96</v>
      </c>
      <c r="S1916" s="36">
        <v>1000.0</v>
      </c>
      <c r="T1916" s="36" t="s">
        <v>350</v>
      </c>
      <c r="U1916" s="36" t="s">
        <v>342</v>
      </c>
      <c r="V1916" s="36">
        <v>161.0</v>
      </c>
      <c r="W1916" s="36"/>
      <c r="X1916" s="38">
        <v>1.0</v>
      </c>
      <c r="Y1916" s="38" t="s">
        <v>2963</v>
      </c>
      <c r="Z1916" s="38" t="s">
        <v>2958</v>
      </c>
      <c r="AA1916" s="38" t="s">
        <v>86</v>
      </c>
      <c r="AB1916" s="38" t="s">
        <v>2959</v>
      </c>
      <c r="AC1916" s="38" t="s">
        <v>2960</v>
      </c>
      <c r="AD1916" s="38" t="s">
        <v>382</v>
      </c>
      <c r="AE1916" s="38">
        <v>32.0</v>
      </c>
      <c r="AF1916" s="38" t="s">
        <v>2964</v>
      </c>
      <c r="AG1916" s="38" t="s">
        <v>2928</v>
      </c>
      <c r="AH1916" s="38"/>
      <c r="AI1916" s="50">
        <v>43.92</v>
      </c>
      <c r="AJ1916" s="50">
        <v>4.88</v>
      </c>
      <c r="AK1916" s="41" t="s">
        <v>505</v>
      </c>
      <c r="AL1916" s="40" t="s">
        <v>505</v>
      </c>
      <c r="AM1916" s="49">
        <v>71.0</v>
      </c>
      <c r="AN1916" s="51">
        <v>71.0</v>
      </c>
      <c r="AO1916" s="42" t="s">
        <v>175</v>
      </c>
      <c r="AP1916" s="43" t="s">
        <v>175</v>
      </c>
      <c r="AQ1916" s="44" t="str">
        <f t="shared" si="217"/>
        <v>CRO</v>
      </c>
      <c r="AR1916" s="44">
        <f t="shared" si="199"/>
        <v>71</v>
      </c>
      <c r="AS1916" s="44" t="str">
        <f t="shared" si="222"/>
        <v>C</v>
      </c>
      <c r="AT1916" s="44" t="str">
        <f t="shared" si="202"/>
        <v>Cs</v>
      </c>
      <c r="AU1916" s="44" t="str">
        <f t="shared" si="203"/>
        <v>Csa</v>
      </c>
      <c r="AV1916" s="38">
        <v>2.0</v>
      </c>
      <c r="AW1916" s="38"/>
      <c r="AX1916" s="38"/>
      <c r="AY1916" s="38"/>
      <c r="AZ1916" s="29">
        <v>1000.0</v>
      </c>
      <c r="BA1916" s="29"/>
      <c r="BB1916" s="29">
        <v>1.0</v>
      </c>
      <c r="BC1916" s="29" t="s">
        <v>2990</v>
      </c>
      <c r="BD1916" s="29" t="s">
        <v>88</v>
      </c>
      <c r="BE1916" s="29" t="s">
        <v>263</v>
      </c>
      <c r="BF1916" s="29" t="s">
        <v>2942</v>
      </c>
      <c r="BG1916" s="29" t="s">
        <v>91</v>
      </c>
      <c r="BH1916" s="29" t="s">
        <v>88</v>
      </c>
      <c r="BI1916" s="29" t="s">
        <v>1438</v>
      </c>
      <c r="BJ1916" s="29"/>
      <c r="BK1916" s="29" t="s">
        <v>148</v>
      </c>
      <c r="BL1916" s="29" t="s">
        <v>148</v>
      </c>
      <c r="BM1916" s="45"/>
      <c r="BN1916" s="45"/>
      <c r="BO1916" s="46"/>
      <c r="BP1916" s="2"/>
      <c r="BQ1916" s="3"/>
    </row>
    <row r="1917" ht="15.75" customHeight="1">
      <c r="A1917" s="34">
        <v>2029.0</v>
      </c>
      <c r="B1917" s="34">
        <v>104246.0</v>
      </c>
      <c r="C1917" s="34" t="s">
        <v>76</v>
      </c>
      <c r="D1917" s="34" t="s">
        <v>2933</v>
      </c>
      <c r="E1917" s="34" t="s">
        <v>2934</v>
      </c>
      <c r="F1917" s="34">
        <v>2021.0</v>
      </c>
      <c r="G1917" s="34" t="s">
        <v>2935</v>
      </c>
      <c r="H1917" s="34" t="s">
        <v>816</v>
      </c>
      <c r="I1917" s="34" t="s">
        <v>2936</v>
      </c>
      <c r="J1917" s="35"/>
      <c r="K1917" s="36"/>
      <c r="L1917" s="36">
        <v>424.0</v>
      </c>
      <c r="M1917" s="36"/>
      <c r="N1917" s="36"/>
      <c r="O1917" s="36"/>
      <c r="P1917" s="37">
        <v>-8.0</v>
      </c>
      <c r="Q1917" s="36" t="s">
        <v>1393</v>
      </c>
      <c r="R1917" s="36" t="s">
        <v>96</v>
      </c>
      <c r="S1917" s="36">
        <v>1000.0</v>
      </c>
      <c r="T1917" s="36" t="s">
        <v>506</v>
      </c>
      <c r="U1917" s="36" t="s">
        <v>676</v>
      </c>
      <c r="V1917" s="36">
        <v>231.0</v>
      </c>
      <c r="W1917" s="36"/>
      <c r="X1917" s="38">
        <v>1.0</v>
      </c>
      <c r="Y1917" s="38" t="s">
        <v>2965</v>
      </c>
      <c r="Z1917" s="38" t="s">
        <v>2958</v>
      </c>
      <c r="AA1917" s="38" t="s">
        <v>86</v>
      </c>
      <c r="AB1917" s="38" t="s">
        <v>2959</v>
      </c>
      <c r="AC1917" s="38" t="s">
        <v>2960</v>
      </c>
      <c r="AD1917" s="38" t="s">
        <v>382</v>
      </c>
      <c r="AE1917" s="38">
        <v>32.0</v>
      </c>
      <c r="AF1917" s="38" t="s">
        <v>2316</v>
      </c>
      <c r="AG1917" s="38" t="s">
        <v>2928</v>
      </c>
      <c r="AH1917" s="38"/>
      <c r="AI1917" s="50">
        <v>43.92</v>
      </c>
      <c r="AJ1917" s="50">
        <v>4.88</v>
      </c>
      <c r="AK1917" s="41" t="s">
        <v>505</v>
      </c>
      <c r="AL1917" s="40" t="s">
        <v>505</v>
      </c>
      <c r="AM1917" s="49">
        <v>71.0</v>
      </c>
      <c r="AN1917" s="51">
        <v>71.0</v>
      </c>
      <c r="AO1917" s="42" t="s">
        <v>175</v>
      </c>
      <c r="AP1917" s="43" t="s">
        <v>175</v>
      </c>
      <c r="AQ1917" s="44" t="str">
        <f t="shared" si="217"/>
        <v>CRO</v>
      </c>
      <c r="AR1917" s="44">
        <f t="shared" si="199"/>
        <v>71</v>
      </c>
      <c r="AS1917" s="44" t="str">
        <f t="shared" si="222"/>
        <v>C</v>
      </c>
      <c r="AT1917" s="44" t="str">
        <f t="shared" si="202"/>
        <v>Cs</v>
      </c>
      <c r="AU1917" s="44" t="str">
        <f t="shared" si="203"/>
        <v>Csa</v>
      </c>
      <c r="AV1917" s="38">
        <v>2.0</v>
      </c>
      <c r="AW1917" s="38"/>
      <c r="AX1917" s="38"/>
      <c r="AY1917" s="38"/>
      <c r="AZ1917" s="29">
        <v>1000.0</v>
      </c>
      <c r="BA1917" s="29"/>
      <c r="BB1917" s="29">
        <v>1.0</v>
      </c>
      <c r="BC1917" s="29" t="s">
        <v>2990</v>
      </c>
      <c r="BD1917" s="29" t="s">
        <v>88</v>
      </c>
      <c r="BE1917" s="29" t="s">
        <v>263</v>
      </c>
      <c r="BF1917" s="29" t="s">
        <v>2942</v>
      </c>
      <c r="BG1917" s="29" t="s">
        <v>91</v>
      </c>
      <c r="BH1917" s="29" t="s">
        <v>88</v>
      </c>
      <c r="BI1917" s="29" t="s">
        <v>1438</v>
      </c>
      <c r="BJ1917" s="29"/>
      <c r="BK1917" s="29" t="s">
        <v>148</v>
      </c>
      <c r="BL1917" s="29" t="s">
        <v>148</v>
      </c>
      <c r="BM1917" s="45"/>
      <c r="BN1917" s="45"/>
      <c r="BO1917" s="46"/>
      <c r="BP1917" s="2"/>
      <c r="BQ1917" s="3"/>
    </row>
    <row r="1918" ht="15.75" customHeight="1">
      <c r="A1918" s="34">
        <v>2030.0</v>
      </c>
      <c r="B1918" s="34">
        <v>104246.0</v>
      </c>
      <c r="C1918" s="34" t="s">
        <v>76</v>
      </c>
      <c r="D1918" s="34" t="s">
        <v>2933</v>
      </c>
      <c r="E1918" s="34" t="s">
        <v>2934</v>
      </c>
      <c r="F1918" s="34">
        <v>2021.0</v>
      </c>
      <c r="G1918" s="34" t="s">
        <v>2935</v>
      </c>
      <c r="H1918" s="34" t="s">
        <v>816</v>
      </c>
      <c r="I1918" s="34" t="s">
        <v>2936</v>
      </c>
      <c r="J1918" s="35"/>
      <c r="K1918" s="36"/>
      <c r="L1918" s="36">
        <v>303.0</v>
      </c>
      <c r="M1918" s="36"/>
      <c r="N1918" s="36"/>
      <c r="O1918" s="36"/>
      <c r="P1918" s="37">
        <v>29.0</v>
      </c>
      <c r="Q1918" s="36" t="s">
        <v>1393</v>
      </c>
      <c r="R1918" s="36" t="s">
        <v>96</v>
      </c>
      <c r="S1918" s="36">
        <v>1000.0</v>
      </c>
      <c r="T1918" s="36" t="s">
        <v>242</v>
      </c>
      <c r="U1918" s="36" t="s">
        <v>243</v>
      </c>
      <c r="V1918" s="36">
        <v>248.0</v>
      </c>
      <c r="W1918" s="36"/>
      <c r="X1918" s="38">
        <v>1.0</v>
      </c>
      <c r="Y1918" s="38" t="s">
        <v>2966</v>
      </c>
      <c r="Z1918" s="38" t="s">
        <v>2958</v>
      </c>
      <c r="AA1918" s="38" t="s">
        <v>86</v>
      </c>
      <c r="AB1918" s="38" t="s">
        <v>2959</v>
      </c>
      <c r="AC1918" s="38" t="s">
        <v>2960</v>
      </c>
      <c r="AD1918" s="38" t="s">
        <v>382</v>
      </c>
      <c r="AE1918" s="38">
        <v>32.0</v>
      </c>
      <c r="AF1918" s="38" t="s">
        <v>2316</v>
      </c>
      <c r="AG1918" s="38" t="s">
        <v>2928</v>
      </c>
      <c r="AH1918" s="38"/>
      <c r="AI1918" s="50">
        <v>43.92</v>
      </c>
      <c r="AJ1918" s="50">
        <v>4.88</v>
      </c>
      <c r="AK1918" s="41" t="s">
        <v>505</v>
      </c>
      <c r="AL1918" s="40" t="s">
        <v>505</v>
      </c>
      <c r="AM1918" s="49">
        <v>71.0</v>
      </c>
      <c r="AN1918" s="51">
        <v>71.0</v>
      </c>
      <c r="AO1918" s="42" t="s">
        <v>175</v>
      </c>
      <c r="AP1918" s="43" t="s">
        <v>175</v>
      </c>
      <c r="AQ1918" s="44" t="str">
        <f t="shared" si="217"/>
        <v>CRO</v>
      </c>
      <c r="AR1918" s="44">
        <f t="shared" si="199"/>
        <v>71</v>
      </c>
      <c r="AS1918" s="44" t="str">
        <f t="shared" si="222"/>
        <v>C</v>
      </c>
      <c r="AT1918" s="44" t="str">
        <f t="shared" si="202"/>
        <v>Cs</v>
      </c>
      <c r="AU1918" s="44" t="str">
        <f t="shared" si="203"/>
        <v>Csa</v>
      </c>
      <c r="AV1918" s="38">
        <v>2.0</v>
      </c>
      <c r="AW1918" s="38"/>
      <c r="AX1918" s="38"/>
      <c r="AY1918" s="38"/>
      <c r="AZ1918" s="29">
        <v>1000.0</v>
      </c>
      <c r="BA1918" s="29"/>
      <c r="BB1918" s="29">
        <v>1.0</v>
      </c>
      <c r="BC1918" s="29" t="s">
        <v>2990</v>
      </c>
      <c r="BD1918" s="29" t="s">
        <v>88</v>
      </c>
      <c r="BE1918" s="29" t="s">
        <v>263</v>
      </c>
      <c r="BF1918" s="29" t="s">
        <v>2942</v>
      </c>
      <c r="BG1918" s="29" t="s">
        <v>91</v>
      </c>
      <c r="BH1918" s="29" t="s">
        <v>88</v>
      </c>
      <c r="BI1918" s="29" t="s">
        <v>1438</v>
      </c>
      <c r="BJ1918" s="29"/>
      <c r="BK1918" s="29" t="s">
        <v>148</v>
      </c>
      <c r="BL1918" s="29" t="s">
        <v>148</v>
      </c>
      <c r="BM1918" s="45"/>
      <c r="BN1918" s="45"/>
      <c r="BO1918" s="46"/>
      <c r="BP1918" s="2"/>
      <c r="BQ1918" s="3"/>
    </row>
    <row r="1919" ht="15.75" customHeight="1">
      <c r="A1919" s="34">
        <v>2031.0</v>
      </c>
      <c r="B1919" s="34">
        <v>104246.0</v>
      </c>
      <c r="C1919" s="34" t="s">
        <v>76</v>
      </c>
      <c r="D1919" s="34" t="s">
        <v>2933</v>
      </c>
      <c r="E1919" s="34" t="s">
        <v>2934</v>
      </c>
      <c r="F1919" s="34">
        <v>2021.0</v>
      </c>
      <c r="G1919" s="34" t="s">
        <v>2935</v>
      </c>
      <c r="H1919" s="34" t="s">
        <v>816</v>
      </c>
      <c r="I1919" s="34" t="s">
        <v>2936</v>
      </c>
      <c r="J1919" s="35"/>
      <c r="K1919" s="36"/>
      <c r="L1919" s="36">
        <v>339.0</v>
      </c>
      <c r="M1919" s="36"/>
      <c r="N1919" s="36"/>
      <c r="O1919" s="36"/>
      <c r="P1919" s="37">
        <v>29.0</v>
      </c>
      <c r="Q1919" s="36" t="s">
        <v>1393</v>
      </c>
      <c r="R1919" s="36" t="s">
        <v>96</v>
      </c>
      <c r="S1919" s="36">
        <v>1000.0</v>
      </c>
      <c r="T1919" s="36" t="s">
        <v>536</v>
      </c>
      <c r="U1919" s="36" t="s">
        <v>351</v>
      </c>
      <c r="V1919" s="36">
        <v>275.0</v>
      </c>
      <c r="W1919" s="36"/>
      <c r="X1919" s="38">
        <v>1.0</v>
      </c>
      <c r="Y1919" s="38" t="s">
        <v>2968</v>
      </c>
      <c r="Z1919" s="38" t="s">
        <v>2969</v>
      </c>
      <c r="AA1919" s="38" t="s">
        <v>86</v>
      </c>
      <c r="AB1919" s="38" t="s">
        <v>2970</v>
      </c>
      <c r="AC1919" s="38" t="s">
        <v>2971</v>
      </c>
      <c r="AD1919" s="38" t="s">
        <v>2972</v>
      </c>
      <c r="AE1919" s="38"/>
      <c r="AF1919" s="38" t="s">
        <v>2973</v>
      </c>
      <c r="AG1919" s="38" t="s">
        <v>2974</v>
      </c>
      <c r="AH1919" s="38"/>
      <c r="AI1919" s="50">
        <v>13.6</v>
      </c>
      <c r="AJ1919" s="50">
        <v>2.6</v>
      </c>
      <c r="AK1919" s="41" t="s">
        <v>288</v>
      </c>
      <c r="AL1919" s="40" t="s">
        <v>288</v>
      </c>
      <c r="AM1919" s="49">
        <v>228.0</v>
      </c>
      <c r="AN1919" s="51">
        <v>228.0</v>
      </c>
      <c r="AO1919" s="42" t="s">
        <v>355</v>
      </c>
      <c r="AP1919" s="43" t="s">
        <v>355</v>
      </c>
      <c r="AQ1919" s="44" t="str">
        <f t="shared" si="217"/>
        <v>CRO</v>
      </c>
      <c r="AR1919" s="44">
        <f t="shared" si="199"/>
        <v>228</v>
      </c>
      <c r="AS1919" s="44" t="str">
        <f t="shared" si="222"/>
        <v>B</v>
      </c>
      <c r="AT1919" s="44" t="str">
        <f t="shared" si="202"/>
        <v>BW</v>
      </c>
      <c r="AU1919" s="44" t="str">
        <f t="shared" si="203"/>
        <v>BWh</v>
      </c>
      <c r="AV1919" s="38">
        <v>2.0</v>
      </c>
      <c r="AW1919" s="38"/>
      <c r="AX1919" s="38"/>
      <c r="AY1919" s="38"/>
      <c r="AZ1919" s="29">
        <v>1000.0</v>
      </c>
      <c r="BA1919" s="29"/>
      <c r="BB1919" s="29">
        <v>1.0</v>
      </c>
      <c r="BC1919" s="29" t="s">
        <v>2990</v>
      </c>
      <c r="BD1919" s="29" t="s">
        <v>88</v>
      </c>
      <c r="BE1919" s="29" t="s">
        <v>263</v>
      </c>
      <c r="BF1919" s="29" t="s">
        <v>2942</v>
      </c>
      <c r="BG1919" s="29" t="s">
        <v>91</v>
      </c>
      <c r="BH1919" s="29" t="s">
        <v>88</v>
      </c>
      <c r="BI1919" s="29" t="s">
        <v>1438</v>
      </c>
      <c r="BJ1919" s="29"/>
      <c r="BK1919" s="29" t="s">
        <v>148</v>
      </c>
      <c r="BL1919" s="29" t="s">
        <v>148</v>
      </c>
      <c r="BM1919" s="45"/>
      <c r="BN1919" s="45"/>
      <c r="BO1919" s="46"/>
      <c r="BP1919" s="2"/>
      <c r="BQ1919" s="3"/>
    </row>
    <row r="1920" ht="15.75" customHeight="1">
      <c r="A1920" s="34">
        <v>2032.0</v>
      </c>
      <c r="B1920" s="34">
        <v>104246.0</v>
      </c>
      <c r="C1920" s="34" t="s">
        <v>76</v>
      </c>
      <c r="D1920" s="34" t="s">
        <v>2933</v>
      </c>
      <c r="E1920" s="34" t="s">
        <v>2934</v>
      </c>
      <c r="F1920" s="34">
        <v>2021.0</v>
      </c>
      <c r="G1920" s="34" t="s">
        <v>2935</v>
      </c>
      <c r="H1920" s="34" t="s">
        <v>816</v>
      </c>
      <c r="I1920" s="34" t="s">
        <v>2936</v>
      </c>
      <c r="J1920" s="35"/>
      <c r="K1920" s="36"/>
      <c r="L1920" s="36">
        <v>335.0</v>
      </c>
      <c r="M1920" s="36"/>
      <c r="N1920" s="36"/>
      <c r="O1920" s="36"/>
      <c r="P1920" s="37">
        <v>-13.0</v>
      </c>
      <c r="Q1920" s="36" t="s">
        <v>1393</v>
      </c>
      <c r="R1920" s="36" t="s">
        <v>96</v>
      </c>
      <c r="S1920" s="36">
        <v>1000.0</v>
      </c>
      <c r="T1920" s="36" t="s">
        <v>536</v>
      </c>
      <c r="U1920" s="36" t="s">
        <v>351</v>
      </c>
      <c r="V1920" s="36">
        <v>262.0</v>
      </c>
      <c r="W1920" s="36"/>
      <c r="X1920" s="38">
        <v>1.0</v>
      </c>
      <c r="Y1920" s="38" t="s">
        <v>2975</v>
      </c>
      <c r="Z1920" s="38" t="s">
        <v>2969</v>
      </c>
      <c r="AA1920" s="38" t="s">
        <v>313</v>
      </c>
      <c r="AB1920" s="38" t="s">
        <v>2970</v>
      </c>
      <c r="AC1920" s="38" t="s">
        <v>2971</v>
      </c>
      <c r="AD1920" s="38" t="s">
        <v>2972</v>
      </c>
      <c r="AE1920" s="38"/>
      <c r="AF1920" s="38"/>
      <c r="AG1920" s="38" t="s">
        <v>2974</v>
      </c>
      <c r="AH1920" s="38"/>
      <c r="AI1920" s="50">
        <v>13.6</v>
      </c>
      <c r="AJ1920" s="50">
        <v>2.6</v>
      </c>
      <c r="AK1920" s="41" t="s">
        <v>288</v>
      </c>
      <c r="AL1920" s="40" t="s">
        <v>288</v>
      </c>
      <c r="AM1920" s="49">
        <v>228.0</v>
      </c>
      <c r="AN1920" s="51">
        <v>228.0</v>
      </c>
      <c r="AO1920" s="42" t="s">
        <v>355</v>
      </c>
      <c r="AP1920" s="43" t="s">
        <v>355</v>
      </c>
      <c r="AQ1920" s="44" t="str">
        <f t="shared" si="217"/>
        <v>SAV</v>
      </c>
      <c r="AR1920" s="44">
        <f t="shared" si="199"/>
        <v>228</v>
      </c>
      <c r="AS1920" s="44" t="str">
        <f t="shared" si="222"/>
        <v>B</v>
      </c>
      <c r="AT1920" s="44" t="str">
        <f t="shared" si="202"/>
        <v>BW</v>
      </c>
      <c r="AU1920" s="44" t="str">
        <f t="shared" si="203"/>
        <v>BWh</v>
      </c>
      <c r="AV1920" s="38">
        <v>2.0</v>
      </c>
      <c r="AW1920" s="38"/>
      <c r="AX1920" s="38"/>
      <c r="AY1920" s="38"/>
      <c r="AZ1920" s="29">
        <v>1000.0</v>
      </c>
      <c r="BA1920" s="29"/>
      <c r="BB1920" s="29">
        <v>1.0</v>
      </c>
      <c r="BC1920" s="29" t="s">
        <v>2990</v>
      </c>
      <c r="BD1920" s="29" t="s">
        <v>88</v>
      </c>
      <c r="BE1920" s="29" t="s">
        <v>263</v>
      </c>
      <c r="BF1920" s="29" t="s">
        <v>2942</v>
      </c>
      <c r="BG1920" s="29" t="s">
        <v>91</v>
      </c>
      <c r="BH1920" s="29" t="s">
        <v>88</v>
      </c>
      <c r="BI1920" s="29" t="s">
        <v>1438</v>
      </c>
      <c r="BJ1920" s="29"/>
      <c r="BK1920" s="29" t="s">
        <v>148</v>
      </c>
      <c r="BL1920" s="29" t="s">
        <v>148</v>
      </c>
      <c r="BM1920" s="45"/>
      <c r="BN1920" s="45"/>
      <c r="BO1920" s="46"/>
      <c r="BP1920" s="2"/>
      <c r="BQ1920" s="3"/>
    </row>
    <row r="1921" ht="15.75" customHeight="1">
      <c r="A1921" s="34">
        <v>2033.0</v>
      </c>
      <c r="B1921" s="34">
        <v>104246.0</v>
      </c>
      <c r="C1921" s="34" t="s">
        <v>76</v>
      </c>
      <c r="D1921" s="34" t="s">
        <v>2933</v>
      </c>
      <c r="E1921" s="34" t="s">
        <v>2934</v>
      </c>
      <c r="F1921" s="34">
        <v>2021.0</v>
      </c>
      <c r="G1921" s="34" t="s">
        <v>2935</v>
      </c>
      <c r="H1921" s="34" t="s">
        <v>816</v>
      </c>
      <c r="I1921" s="34" t="s">
        <v>2936</v>
      </c>
      <c r="J1921" s="35"/>
      <c r="K1921" s="36"/>
      <c r="L1921" s="36">
        <v>265.0</v>
      </c>
      <c r="M1921" s="36"/>
      <c r="N1921" s="36"/>
      <c r="O1921" s="36"/>
      <c r="P1921" s="37">
        <v>-2.0</v>
      </c>
      <c r="Q1921" s="36" t="s">
        <v>1393</v>
      </c>
      <c r="R1921" s="36" t="s">
        <v>96</v>
      </c>
      <c r="S1921" s="36">
        <v>1000.0</v>
      </c>
      <c r="T1921" s="36" t="s">
        <v>242</v>
      </c>
      <c r="U1921" s="36" t="s">
        <v>243</v>
      </c>
      <c r="V1921" s="36">
        <f>167+241</f>
        <v>408</v>
      </c>
      <c r="W1921" s="36"/>
      <c r="X1921" s="38">
        <v>1.0</v>
      </c>
      <c r="Y1921" s="38" t="s">
        <v>2976</v>
      </c>
      <c r="Z1921" s="38" t="s">
        <v>2977</v>
      </c>
      <c r="AA1921" s="38" t="s">
        <v>86</v>
      </c>
      <c r="AB1921" s="38" t="s">
        <v>2978</v>
      </c>
      <c r="AC1921" s="38" t="s">
        <v>2979</v>
      </c>
      <c r="AD1921" s="38" t="s">
        <v>2980</v>
      </c>
      <c r="AE1921" s="38"/>
      <c r="AF1921" s="38" t="s">
        <v>2316</v>
      </c>
      <c r="AG1921" s="38" t="s">
        <v>1459</v>
      </c>
      <c r="AH1921" s="38"/>
      <c r="AI1921" s="50">
        <v>35.181714</v>
      </c>
      <c r="AJ1921" s="50">
        <v>9.545662</v>
      </c>
      <c r="AK1921" s="41" t="s">
        <v>86</v>
      </c>
      <c r="AL1921" s="40" t="s">
        <v>86</v>
      </c>
      <c r="AM1921" s="49">
        <v>369.0</v>
      </c>
      <c r="AN1921" s="51">
        <v>369.0</v>
      </c>
      <c r="AO1921" s="42" t="s">
        <v>355</v>
      </c>
      <c r="AP1921" s="43" t="s">
        <v>355</v>
      </c>
      <c r="AQ1921" s="44" t="str">
        <f t="shared" si="217"/>
        <v>CRO</v>
      </c>
      <c r="AR1921" s="44">
        <f t="shared" si="199"/>
        <v>369</v>
      </c>
      <c r="AS1921" s="44" t="str">
        <f t="shared" si="222"/>
        <v>B</v>
      </c>
      <c r="AT1921" s="44" t="str">
        <f t="shared" si="202"/>
        <v>BW</v>
      </c>
      <c r="AU1921" s="44" t="str">
        <f t="shared" si="203"/>
        <v>BWh</v>
      </c>
      <c r="AV1921" s="38">
        <v>3.0</v>
      </c>
      <c r="AW1921" s="38"/>
      <c r="AX1921" s="38"/>
      <c r="AY1921" s="38"/>
      <c r="AZ1921" s="29">
        <v>1000.0</v>
      </c>
      <c r="BA1921" s="29"/>
      <c r="BB1921" s="29">
        <v>1.0</v>
      </c>
      <c r="BC1921" s="29" t="s">
        <v>2990</v>
      </c>
      <c r="BD1921" s="29" t="s">
        <v>88</v>
      </c>
      <c r="BE1921" s="29" t="s">
        <v>263</v>
      </c>
      <c r="BF1921" s="29" t="s">
        <v>2942</v>
      </c>
      <c r="BG1921" s="29" t="s">
        <v>91</v>
      </c>
      <c r="BH1921" s="29" t="s">
        <v>88</v>
      </c>
      <c r="BI1921" s="29" t="s">
        <v>1438</v>
      </c>
      <c r="BJ1921" s="29"/>
      <c r="BK1921" s="29" t="s">
        <v>148</v>
      </c>
      <c r="BL1921" s="29" t="s">
        <v>148</v>
      </c>
      <c r="BM1921" s="45"/>
      <c r="BN1921" s="45"/>
      <c r="BO1921" s="46"/>
      <c r="BP1921" s="2"/>
      <c r="BQ1921" s="3"/>
    </row>
    <row r="1922" ht="15.75" customHeight="1">
      <c r="A1922" s="34">
        <v>2034.0</v>
      </c>
      <c r="B1922" s="34">
        <v>104246.0</v>
      </c>
      <c r="C1922" s="34" t="s">
        <v>76</v>
      </c>
      <c r="D1922" s="34" t="s">
        <v>2933</v>
      </c>
      <c r="E1922" s="34" t="s">
        <v>2934</v>
      </c>
      <c r="F1922" s="34">
        <v>2021.0</v>
      </c>
      <c r="G1922" s="34" t="s">
        <v>2935</v>
      </c>
      <c r="H1922" s="34" t="s">
        <v>816</v>
      </c>
      <c r="I1922" s="34" t="s">
        <v>2936</v>
      </c>
      <c r="J1922" s="35"/>
      <c r="K1922" s="36"/>
      <c r="L1922" s="36">
        <v>558.0</v>
      </c>
      <c r="M1922" s="36"/>
      <c r="N1922" s="36"/>
      <c r="O1922" s="36"/>
      <c r="P1922" s="37">
        <v>-7.0</v>
      </c>
      <c r="Q1922" s="36" t="s">
        <v>1393</v>
      </c>
      <c r="R1922" s="36" t="s">
        <v>96</v>
      </c>
      <c r="S1922" s="36">
        <v>1000.0</v>
      </c>
      <c r="T1922" s="36" t="s">
        <v>242</v>
      </c>
      <c r="U1922" s="36" t="s">
        <v>2955</v>
      </c>
      <c r="V1922" s="36">
        <f>365+365+233</f>
        <v>963</v>
      </c>
      <c r="W1922" s="36"/>
      <c r="X1922" s="38">
        <v>1.0</v>
      </c>
      <c r="Y1922" s="38" t="s">
        <v>2981</v>
      </c>
      <c r="Z1922" s="38" t="s">
        <v>2977</v>
      </c>
      <c r="AA1922" s="38" t="s">
        <v>86</v>
      </c>
      <c r="AB1922" s="38" t="s">
        <v>2978</v>
      </c>
      <c r="AC1922" s="38" t="s">
        <v>2979</v>
      </c>
      <c r="AD1922" s="38" t="s">
        <v>2980</v>
      </c>
      <c r="AE1922" s="38"/>
      <c r="AF1922" s="38" t="s">
        <v>238</v>
      </c>
      <c r="AG1922" s="38" t="s">
        <v>1459</v>
      </c>
      <c r="AH1922" s="38"/>
      <c r="AI1922" s="50">
        <v>35.181714</v>
      </c>
      <c r="AJ1922" s="50">
        <v>9.545662</v>
      </c>
      <c r="AK1922" s="41" t="s">
        <v>86</v>
      </c>
      <c r="AL1922" s="40" t="s">
        <v>86</v>
      </c>
      <c r="AM1922" s="49">
        <v>369.0</v>
      </c>
      <c r="AN1922" s="51">
        <v>369.0</v>
      </c>
      <c r="AO1922" s="42" t="s">
        <v>355</v>
      </c>
      <c r="AP1922" s="43" t="s">
        <v>355</v>
      </c>
      <c r="AQ1922" s="44" t="str">
        <f t="shared" si="217"/>
        <v>CRO</v>
      </c>
      <c r="AR1922" s="44">
        <f t="shared" si="199"/>
        <v>369</v>
      </c>
      <c r="AS1922" s="44" t="str">
        <f t="shared" si="222"/>
        <v>B</v>
      </c>
      <c r="AT1922" s="44" t="str">
        <f t="shared" si="202"/>
        <v>BW</v>
      </c>
      <c r="AU1922" s="44" t="str">
        <f t="shared" si="203"/>
        <v>BWh</v>
      </c>
      <c r="AV1922" s="38">
        <v>3.0</v>
      </c>
      <c r="AW1922" s="38"/>
      <c r="AX1922" s="38"/>
      <c r="AY1922" s="38"/>
      <c r="AZ1922" s="29">
        <v>1000.0</v>
      </c>
      <c r="BA1922" s="29"/>
      <c r="BB1922" s="29">
        <v>1.0</v>
      </c>
      <c r="BC1922" s="29" t="s">
        <v>2990</v>
      </c>
      <c r="BD1922" s="29" t="s">
        <v>88</v>
      </c>
      <c r="BE1922" s="29" t="s">
        <v>263</v>
      </c>
      <c r="BF1922" s="29" t="s">
        <v>2942</v>
      </c>
      <c r="BG1922" s="29" t="s">
        <v>91</v>
      </c>
      <c r="BH1922" s="29" t="s">
        <v>88</v>
      </c>
      <c r="BI1922" s="29" t="s">
        <v>1438</v>
      </c>
      <c r="BJ1922" s="29"/>
      <c r="BK1922" s="29" t="s">
        <v>148</v>
      </c>
      <c r="BL1922" s="29" t="s">
        <v>148</v>
      </c>
      <c r="BM1922" s="45"/>
      <c r="BN1922" s="45"/>
      <c r="BO1922" s="46"/>
      <c r="BP1922" s="2"/>
      <c r="BQ1922" s="3"/>
    </row>
    <row r="1923" ht="15.75" customHeight="1">
      <c r="A1923" s="34">
        <v>2035.0</v>
      </c>
      <c r="B1923" s="34">
        <v>104246.0</v>
      </c>
      <c r="C1923" s="34" t="s">
        <v>76</v>
      </c>
      <c r="D1923" s="34" t="s">
        <v>2933</v>
      </c>
      <c r="E1923" s="34" t="s">
        <v>2934</v>
      </c>
      <c r="F1923" s="34">
        <v>2021.0</v>
      </c>
      <c r="G1923" s="34" t="s">
        <v>2935</v>
      </c>
      <c r="H1923" s="34" t="s">
        <v>816</v>
      </c>
      <c r="I1923" s="34" t="s">
        <v>2936</v>
      </c>
      <c r="J1923" s="35"/>
      <c r="K1923" s="36"/>
      <c r="L1923" s="36">
        <v>288.0</v>
      </c>
      <c r="M1923" s="36"/>
      <c r="N1923" s="36"/>
      <c r="O1923" s="36"/>
      <c r="P1923" s="37">
        <v>-12.0</v>
      </c>
      <c r="Q1923" s="36" t="s">
        <v>1393</v>
      </c>
      <c r="R1923" s="36" t="s">
        <v>96</v>
      </c>
      <c r="S1923" s="36">
        <v>1000.0</v>
      </c>
      <c r="T1923" s="36" t="s">
        <v>295</v>
      </c>
      <c r="U1923" s="36" t="s">
        <v>968</v>
      </c>
      <c r="V1923" s="36">
        <v>148.0</v>
      </c>
      <c r="W1923" s="36"/>
      <c r="X1923" s="38">
        <v>1.0</v>
      </c>
      <c r="Y1923" s="38" t="s">
        <v>2982</v>
      </c>
      <c r="Z1923" s="38" t="s">
        <v>2983</v>
      </c>
      <c r="AA1923" s="38" t="s">
        <v>86</v>
      </c>
      <c r="AB1923" s="38" t="s">
        <v>2984</v>
      </c>
      <c r="AC1923" s="38" t="s">
        <v>2985</v>
      </c>
      <c r="AD1923" s="38" t="s">
        <v>2235</v>
      </c>
      <c r="AE1923" s="53"/>
      <c r="AF1923" s="38" t="s">
        <v>2316</v>
      </c>
      <c r="AG1923" s="38"/>
      <c r="AH1923" s="38"/>
      <c r="AI1923" s="50">
        <v>31.6725</v>
      </c>
      <c r="AJ1923" s="50">
        <v>-7.59597</v>
      </c>
      <c r="AK1923" s="41" t="s">
        <v>86</v>
      </c>
      <c r="AL1923" s="40" t="s">
        <v>86</v>
      </c>
      <c r="AM1923" s="49">
        <v>572.0</v>
      </c>
      <c r="AN1923" s="51">
        <v>572.0</v>
      </c>
      <c r="AO1923" s="42" t="s">
        <v>304</v>
      </c>
      <c r="AP1923" s="43" t="s">
        <v>304</v>
      </c>
      <c r="AQ1923" s="44" t="str">
        <f t="shared" si="217"/>
        <v>CRO</v>
      </c>
      <c r="AR1923" s="44">
        <f t="shared" si="199"/>
        <v>572</v>
      </c>
      <c r="AS1923" s="44" t="str">
        <f t="shared" si="222"/>
        <v>B</v>
      </c>
      <c r="AT1923" s="44" t="str">
        <f t="shared" si="202"/>
        <v>BS</v>
      </c>
      <c r="AU1923" s="44" t="str">
        <f t="shared" si="203"/>
        <v>BSh</v>
      </c>
      <c r="AV1923" s="38">
        <v>2.0</v>
      </c>
      <c r="AW1923" s="38"/>
      <c r="AX1923" s="38"/>
      <c r="AY1923" s="38"/>
      <c r="AZ1923" s="29">
        <v>1000.0</v>
      </c>
      <c r="BA1923" s="29"/>
      <c r="BB1923" s="29">
        <v>1.0</v>
      </c>
      <c r="BC1923" s="29" t="s">
        <v>2990</v>
      </c>
      <c r="BD1923" s="29" t="s">
        <v>88</v>
      </c>
      <c r="BE1923" s="29" t="s">
        <v>263</v>
      </c>
      <c r="BF1923" s="29" t="s">
        <v>2942</v>
      </c>
      <c r="BG1923" s="29" t="s">
        <v>91</v>
      </c>
      <c r="BH1923" s="29" t="s">
        <v>88</v>
      </c>
      <c r="BI1923" s="29" t="s">
        <v>1438</v>
      </c>
      <c r="BJ1923" s="29"/>
      <c r="BK1923" s="29" t="s">
        <v>148</v>
      </c>
      <c r="BL1923" s="29" t="s">
        <v>148</v>
      </c>
      <c r="BM1923" s="45"/>
      <c r="BN1923" s="45"/>
      <c r="BO1923" s="46"/>
      <c r="BP1923" s="2"/>
      <c r="BQ1923" s="3"/>
    </row>
    <row r="1924" ht="15.75" customHeight="1">
      <c r="A1924" s="34">
        <v>2036.0</v>
      </c>
      <c r="B1924" s="34">
        <v>104246.0</v>
      </c>
      <c r="C1924" s="34" t="s">
        <v>76</v>
      </c>
      <c r="D1924" s="34" t="s">
        <v>2933</v>
      </c>
      <c r="E1924" s="34" t="s">
        <v>2934</v>
      </c>
      <c r="F1924" s="34">
        <v>2021.0</v>
      </c>
      <c r="G1924" s="34" t="s">
        <v>2935</v>
      </c>
      <c r="H1924" s="34" t="s">
        <v>816</v>
      </c>
      <c r="I1924" s="34" t="s">
        <v>2936</v>
      </c>
      <c r="J1924" s="35"/>
      <c r="K1924" s="36"/>
      <c r="L1924" s="36">
        <v>375.0</v>
      </c>
      <c r="M1924" s="36"/>
      <c r="N1924" s="36"/>
      <c r="O1924" s="36"/>
      <c r="P1924" s="37">
        <v>-10.0</v>
      </c>
      <c r="Q1924" s="36" t="s">
        <v>1393</v>
      </c>
      <c r="R1924" s="36" t="s">
        <v>96</v>
      </c>
      <c r="S1924" s="36">
        <v>1000.0</v>
      </c>
      <c r="T1924" s="36" t="s">
        <v>341</v>
      </c>
      <c r="U1924" s="36" t="s">
        <v>285</v>
      </c>
      <c r="V1924" s="36">
        <v>246.0</v>
      </c>
      <c r="W1924" s="36"/>
      <c r="X1924" s="38">
        <v>1.0</v>
      </c>
      <c r="Y1924" s="38" t="s">
        <v>2937</v>
      </c>
      <c r="Z1924" s="38" t="s">
        <v>2938</v>
      </c>
      <c r="AA1924" s="38" t="s">
        <v>86</v>
      </c>
      <c r="AB1924" s="38" t="s">
        <v>2939</v>
      </c>
      <c r="AC1924" s="38" t="s">
        <v>2940</v>
      </c>
      <c r="AD1924" s="38" t="s">
        <v>382</v>
      </c>
      <c r="AE1924" s="38"/>
      <c r="AF1924" s="38" t="s">
        <v>2316</v>
      </c>
      <c r="AG1924" s="38" t="s">
        <v>2928</v>
      </c>
      <c r="AH1924" s="38"/>
      <c r="AI1924" s="50">
        <v>43.5497</v>
      </c>
      <c r="AJ1924" s="50">
        <v>1.1061</v>
      </c>
      <c r="AK1924" s="41" t="s">
        <v>86</v>
      </c>
      <c r="AL1924" s="40" t="s">
        <v>86</v>
      </c>
      <c r="AM1924" s="49">
        <v>246.0</v>
      </c>
      <c r="AN1924" s="51">
        <v>246.0</v>
      </c>
      <c r="AO1924" s="42" t="s">
        <v>376</v>
      </c>
      <c r="AP1924" s="43" t="s">
        <v>376</v>
      </c>
      <c r="AQ1924" s="44" t="str">
        <f t="shared" si="217"/>
        <v>CRO</v>
      </c>
      <c r="AR1924" s="44">
        <f t="shared" si="199"/>
        <v>246</v>
      </c>
      <c r="AS1924" s="44" t="str">
        <f t="shared" si="222"/>
        <v>C</v>
      </c>
      <c r="AT1924" s="44" t="str">
        <f t="shared" si="202"/>
        <v>Cf</v>
      </c>
      <c r="AU1924" s="44" t="str">
        <f t="shared" si="203"/>
        <v>Cfb</v>
      </c>
      <c r="AV1924" s="38">
        <v>2.0</v>
      </c>
      <c r="AW1924" s="38"/>
      <c r="AX1924" s="38"/>
      <c r="AY1924" s="38"/>
      <c r="AZ1924" s="29">
        <v>1000.0</v>
      </c>
      <c r="BA1924" s="29"/>
      <c r="BB1924" s="29">
        <v>1.0</v>
      </c>
      <c r="BC1924" s="29" t="s">
        <v>2991</v>
      </c>
      <c r="BD1924" s="29" t="s">
        <v>88</v>
      </c>
      <c r="BE1924" s="29" t="s">
        <v>263</v>
      </c>
      <c r="BF1924" s="29" t="s">
        <v>2942</v>
      </c>
      <c r="BG1924" s="29" t="s">
        <v>91</v>
      </c>
      <c r="BH1924" s="29" t="s">
        <v>88</v>
      </c>
      <c r="BI1924" s="29" t="s">
        <v>1438</v>
      </c>
      <c r="BJ1924" s="29"/>
      <c r="BK1924" s="29" t="s">
        <v>148</v>
      </c>
      <c r="BL1924" s="29" t="s">
        <v>148</v>
      </c>
      <c r="BM1924" s="45"/>
      <c r="BN1924" s="45"/>
      <c r="BO1924" s="46"/>
      <c r="BP1924" s="2"/>
      <c r="BQ1924" s="3"/>
    </row>
    <row r="1925" ht="15.75" customHeight="1">
      <c r="A1925" s="34">
        <v>2037.0</v>
      </c>
      <c r="B1925" s="34">
        <v>104246.0</v>
      </c>
      <c r="C1925" s="34" t="s">
        <v>76</v>
      </c>
      <c r="D1925" s="34" t="s">
        <v>2933</v>
      </c>
      <c r="E1925" s="34" t="s">
        <v>2934</v>
      </c>
      <c r="F1925" s="34">
        <v>2021.0</v>
      </c>
      <c r="G1925" s="34" t="s">
        <v>2935</v>
      </c>
      <c r="H1925" s="34" t="s">
        <v>816</v>
      </c>
      <c r="I1925" s="34" t="s">
        <v>2936</v>
      </c>
      <c r="J1925" s="35"/>
      <c r="K1925" s="36"/>
      <c r="L1925" s="36">
        <v>268.0</v>
      </c>
      <c r="M1925" s="36"/>
      <c r="N1925" s="36"/>
      <c r="O1925" s="36"/>
      <c r="P1925" s="37">
        <v>19.0</v>
      </c>
      <c r="Q1925" s="36" t="s">
        <v>1393</v>
      </c>
      <c r="R1925" s="36" t="s">
        <v>96</v>
      </c>
      <c r="S1925" s="36">
        <v>1000.0</v>
      </c>
      <c r="T1925" s="36" t="s">
        <v>350</v>
      </c>
      <c r="U1925" s="36" t="s">
        <v>342</v>
      </c>
      <c r="V1925" s="36">
        <v>164.0</v>
      </c>
      <c r="W1925" s="36"/>
      <c r="X1925" s="38">
        <v>1.0</v>
      </c>
      <c r="Y1925" s="38" t="s">
        <v>2943</v>
      </c>
      <c r="Z1925" s="38" t="s">
        <v>2938</v>
      </c>
      <c r="AA1925" s="38" t="s">
        <v>86</v>
      </c>
      <c r="AB1925" s="38" t="s">
        <v>2939</v>
      </c>
      <c r="AC1925" s="38" t="s">
        <v>2940</v>
      </c>
      <c r="AD1925" s="38" t="s">
        <v>382</v>
      </c>
      <c r="AE1925" s="38"/>
      <c r="AF1925" s="38" t="s">
        <v>2944</v>
      </c>
      <c r="AG1925" s="38" t="s">
        <v>2928</v>
      </c>
      <c r="AH1925" s="38"/>
      <c r="AI1925" s="50">
        <v>43.5497</v>
      </c>
      <c r="AJ1925" s="50">
        <v>1.1061</v>
      </c>
      <c r="AK1925" s="41" t="s">
        <v>86</v>
      </c>
      <c r="AL1925" s="40" t="s">
        <v>86</v>
      </c>
      <c r="AM1925" s="49">
        <v>246.0</v>
      </c>
      <c r="AN1925" s="51">
        <v>246.0</v>
      </c>
      <c r="AO1925" s="42" t="s">
        <v>376</v>
      </c>
      <c r="AP1925" s="43" t="s">
        <v>376</v>
      </c>
      <c r="AQ1925" s="44" t="str">
        <f t="shared" si="217"/>
        <v>CRO</v>
      </c>
      <c r="AR1925" s="44">
        <f t="shared" si="199"/>
        <v>246</v>
      </c>
      <c r="AS1925" s="44" t="str">
        <f t="shared" si="222"/>
        <v>C</v>
      </c>
      <c r="AT1925" s="44" t="str">
        <f t="shared" si="202"/>
        <v>Cf</v>
      </c>
      <c r="AU1925" s="44" t="str">
        <f t="shared" si="203"/>
        <v>Cfb</v>
      </c>
      <c r="AV1925" s="38">
        <v>2.0</v>
      </c>
      <c r="AW1925" s="38"/>
      <c r="AX1925" s="38"/>
      <c r="AY1925" s="38"/>
      <c r="AZ1925" s="29">
        <v>1000.0</v>
      </c>
      <c r="BA1925" s="29"/>
      <c r="BB1925" s="29">
        <v>1.0</v>
      </c>
      <c r="BC1925" s="29" t="s">
        <v>2991</v>
      </c>
      <c r="BD1925" s="29" t="s">
        <v>88</v>
      </c>
      <c r="BE1925" s="29" t="s">
        <v>263</v>
      </c>
      <c r="BF1925" s="29" t="s">
        <v>2942</v>
      </c>
      <c r="BG1925" s="29" t="s">
        <v>91</v>
      </c>
      <c r="BH1925" s="29" t="s">
        <v>88</v>
      </c>
      <c r="BI1925" s="29" t="s">
        <v>1438</v>
      </c>
      <c r="BJ1925" s="29"/>
      <c r="BK1925" s="29" t="s">
        <v>148</v>
      </c>
      <c r="BL1925" s="29" t="s">
        <v>148</v>
      </c>
      <c r="BM1925" s="45"/>
      <c r="BN1925" s="45"/>
      <c r="BO1925" s="46"/>
      <c r="BP1925" s="2"/>
      <c r="BQ1925" s="3"/>
    </row>
    <row r="1926" ht="15.75" customHeight="1">
      <c r="A1926" s="34">
        <v>2038.0</v>
      </c>
      <c r="B1926" s="34">
        <v>104246.0</v>
      </c>
      <c r="C1926" s="34" t="s">
        <v>76</v>
      </c>
      <c r="D1926" s="34" t="s">
        <v>2933</v>
      </c>
      <c r="E1926" s="34" t="s">
        <v>2934</v>
      </c>
      <c r="F1926" s="34">
        <v>2021.0</v>
      </c>
      <c r="G1926" s="34" t="s">
        <v>2935</v>
      </c>
      <c r="H1926" s="34" t="s">
        <v>816</v>
      </c>
      <c r="I1926" s="34" t="s">
        <v>2936</v>
      </c>
      <c r="J1926" s="35"/>
      <c r="K1926" s="36"/>
      <c r="L1926" s="36">
        <v>218.0</v>
      </c>
      <c r="M1926" s="36"/>
      <c r="N1926" s="36"/>
      <c r="O1926" s="36"/>
      <c r="P1926" s="37">
        <v>10.0</v>
      </c>
      <c r="Q1926" s="36" t="s">
        <v>1393</v>
      </c>
      <c r="R1926" s="36" t="s">
        <v>96</v>
      </c>
      <c r="S1926" s="36">
        <v>1000.0</v>
      </c>
      <c r="T1926" s="36" t="s">
        <v>506</v>
      </c>
      <c r="U1926" s="36" t="s">
        <v>676</v>
      </c>
      <c r="V1926" s="36">
        <v>258.0</v>
      </c>
      <c r="W1926" s="36"/>
      <c r="X1926" s="38">
        <v>1.0</v>
      </c>
      <c r="Y1926" s="38" t="s">
        <v>2945</v>
      </c>
      <c r="Z1926" s="38" t="s">
        <v>2938</v>
      </c>
      <c r="AA1926" s="38" t="s">
        <v>86</v>
      </c>
      <c r="AB1926" s="38" t="s">
        <v>2939</v>
      </c>
      <c r="AC1926" s="38" t="s">
        <v>2940</v>
      </c>
      <c r="AD1926" s="38" t="s">
        <v>382</v>
      </c>
      <c r="AE1926" s="38"/>
      <c r="AF1926" s="38" t="s">
        <v>2316</v>
      </c>
      <c r="AG1926" s="38" t="s">
        <v>2928</v>
      </c>
      <c r="AH1926" s="38"/>
      <c r="AI1926" s="50">
        <v>43.5497</v>
      </c>
      <c r="AJ1926" s="50">
        <v>1.1061</v>
      </c>
      <c r="AK1926" s="41" t="s">
        <v>86</v>
      </c>
      <c r="AL1926" s="40" t="s">
        <v>86</v>
      </c>
      <c r="AM1926" s="49">
        <v>246.0</v>
      </c>
      <c r="AN1926" s="51">
        <v>246.0</v>
      </c>
      <c r="AO1926" s="42" t="s">
        <v>376</v>
      </c>
      <c r="AP1926" s="43" t="s">
        <v>376</v>
      </c>
      <c r="AQ1926" s="44" t="str">
        <f t="shared" si="217"/>
        <v>CRO</v>
      </c>
      <c r="AR1926" s="44">
        <f t="shared" si="199"/>
        <v>246</v>
      </c>
      <c r="AS1926" s="44" t="str">
        <f t="shared" si="222"/>
        <v>C</v>
      </c>
      <c r="AT1926" s="44" t="str">
        <f t="shared" si="202"/>
        <v>Cf</v>
      </c>
      <c r="AU1926" s="44" t="str">
        <f t="shared" si="203"/>
        <v>Cfb</v>
      </c>
      <c r="AV1926" s="38">
        <v>2.0</v>
      </c>
      <c r="AW1926" s="38"/>
      <c r="AX1926" s="38"/>
      <c r="AY1926" s="38"/>
      <c r="AZ1926" s="29">
        <v>1000.0</v>
      </c>
      <c r="BA1926" s="29"/>
      <c r="BB1926" s="29">
        <v>1.0</v>
      </c>
      <c r="BC1926" s="29" t="s">
        <v>2991</v>
      </c>
      <c r="BD1926" s="29" t="s">
        <v>88</v>
      </c>
      <c r="BE1926" s="29" t="s">
        <v>263</v>
      </c>
      <c r="BF1926" s="29" t="s">
        <v>2942</v>
      </c>
      <c r="BG1926" s="29" t="s">
        <v>91</v>
      </c>
      <c r="BH1926" s="29" t="s">
        <v>88</v>
      </c>
      <c r="BI1926" s="29" t="s">
        <v>1438</v>
      </c>
      <c r="BJ1926" s="29"/>
      <c r="BK1926" s="29" t="s">
        <v>148</v>
      </c>
      <c r="BL1926" s="29" t="s">
        <v>148</v>
      </c>
      <c r="BM1926" s="45"/>
      <c r="BN1926" s="45"/>
      <c r="BO1926" s="46"/>
      <c r="BP1926" s="2" t="s">
        <v>2992</v>
      </c>
      <c r="BQ1926" s="3"/>
    </row>
    <row r="1927" ht="15.75" customHeight="1">
      <c r="A1927" s="34">
        <v>2039.0</v>
      </c>
      <c r="B1927" s="34">
        <v>104246.0</v>
      </c>
      <c r="C1927" s="34" t="s">
        <v>76</v>
      </c>
      <c r="D1927" s="34" t="s">
        <v>2933</v>
      </c>
      <c r="E1927" s="34" t="s">
        <v>2934</v>
      </c>
      <c r="F1927" s="34">
        <v>2021.0</v>
      </c>
      <c r="G1927" s="34" t="s">
        <v>2935</v>
      </c>
      <c r="H1927" s="34" t="s">
        <v>816</v>
      </c>
      <c r="I1927" s="34" t="s">
        <v>2936</v>
      </c>
      <c r="J1927" s="35"/>
      <c r="K1927" s="36"/>
      <c r="L1927" s="36">
        <v>340.0</v>
      </c>
      <c r="M1927" s="36"/>
      <c r="N1927" s="36"/>
      <c r="O1927" s="36"/>
      <c r="P1927" s="37">
        <v>17.0</v>
      </c>
      <c r="Q1927" s="36" t="s">
        <v>1393</v>
      </c>
      <c r="R1927" s="36" t="s">
        <v>96</v>
      </c>
      <c r="S1927" s="36">
        <v>1000.0</v>
      </c>
      <c r="T1927" s="36" t="s">
        <v>350</v>
      </c>
      <c r="U1927" s="36" t="s">
        <v>342</v>
      </c>
      <c r="V1927" s="36">
        <v>269.0</v>
      </c>
      <c r="W1927" s="36"/>
      <c r="X1927" s="38">
        <v>1.0</v>
      </c>
      <c r="Y1927" s="38" t="s">
        <v>2946</v>
      </c>
      <c r="Z1927" s="38" t="s">
        <v>2947</v>
      </c>
      <c r="AA1927" s="38" t="s">
        <v>86</v>
      </c>
      <c r="AB1927" s="38" t="s">
        <v>2948</v>
      </c>
      <c r="AC1927" s="38" t="s">
        <v>2949</v>
      </c>
      <c r="AD1927" s="38" t="s">
        <v>382</v>
      </c>
      <c r="AE1927" s="38"/>
      <c r="AF1927" s="38" t="s">
        <v>2316</v>
      </c>
      <c r="AG1927" s="38" t="s">
        <v>2928</v>
      </c>
      <c r="AH1927" s="38"/>
      <c r="AI1927" s="50">
        <v>43.4965</v>
      </c>
      <c r="AJ1927" s="50">
        <v>1.2379</v>
      </c>
      <c r="AK1927" s="41" t="s">
        <v>86</v>
      </c>
      <c r="AL1927" s="40" t="s">
        <v>86</v>
      </c>
      <c r="AM1927" s="49">
        <v>181.0</v>
      </c>
      <c r="AN1927" s="51">
        <v>181.0</v>
      </c>
      <c r="AO1927" s="42" t="s">
        <v>201</v>
      </c>
      <c r="AP1927" s="43" t="s">
        <v>201</v>
      </c>
      <c r="AQ1927" s="44" t="str">
        <f t="shared" si="217"/>
        <v>CRO</v>
      </c>
      <c r="AR1927" s="44">
        <f t="shared" si="199"/>
        <v>181</v>
      </c>
      <c r="AS1927" s="44" t="str">
        <f t="shared" si="222"/>
        <v>C</v>
      </c>
      <c r="AT1927" s="44" t="str">
        <f t="shared" si="202"/>
        <v>Cf</v>
      </c>
      <c r="AU1927" s="44" t="str">
        <f t="shared" si="203"/>
        <v>Cfa</v>
      </c>
      <c r="AV1927" s="38">
        <v>2.0</v>
      </c>
      <c r="AW1927" s="38"/>
      <c r="AX1927" s="38"/>
      <c r="AY1927" s="38"/>
      <c r="AZ1927" s="29">
        <v>1000.0</v>
      </c>
      <c r="BA1927" s="29"/>
      <c r="BB1927" s="29">
        <v>1.0</v>
      </c>
      <c r="BC1927" s="29" t="s">
        <v>2991</v>
      </c>
      <c r="BD1927" s="29" t="s">
        <v>88</v>
      </c>
      <c r="BE1927" s="29" t="s">
        <v>263</v>
      </c>
      <c r="BF1927" s="29" t="s">
        <v>2942</v>
      </c>
      <c r="BG1927" s="29" t="s">
        <v>91</v>
      </c>
      <c r="BH1927" s="29" t="s">
        <v>88</v>
      </c>
      <c r="BI1927" s="29" t="s">
        <v>1438</v>
      </c>
      <c r="BJ1927" s="29"/>
      <c r="BK1927" s="29" t="s">
        <v>148</v>
      </c>
      <c r="BL1927" s="29" t="s">
        <v>148</v>
      </c>
      <c r="BM1927" s="45"/>
      <c r="BN1927" s="45"/>
      <c r="BO1927" s="46"/>
      <c r="BP1927" s="2"/>
      <c r="BQ1927" s="3"/>
    </row>
    <row r="1928" ht="15.75" customHeight="1">
      <c r="A1928" s="34">
        <v>2040.0</v>
      </c>
      <c r="B1928" s="34">
        <v>104246.0</v>
      </c>
      <c r="C1928" s="34" t="s">
        <v>76</v>
      </c>
      <c r="D1928" s="34" t="s">
        <v>2933</v>
      </c>
      <c r="E1928" s="34" t="s">
        <v>2934</v>
      </c>
      <c r="F1928" s="34">
        <v>2021.0</v>
      </c>
      <c r="G1928" s="34" t="s">
        <v>2935</v>
      </c>
      <c r="H1928" s="34" t="s">
        <v>816</v>
      </c>
      <c r="I1928" s="34" t="s">
        <v>2936</v>
      </c>
      <c r="J1928" s="35"/>
      <c r="K1928" s="36"/>
      <c r="L1928" s="36">
        <v>427.0</v>
      </c>
      <c r="M1928" s="36"/>
      <c r="N1928" s="36"/>
      <c r="O1928" s="36"/>
      <c r="P1928" s="37">
        <v>-2.0</v>
      </c>
      <c r="Q1928" s="36" t="s">
        <v>1393</v>
      </c>
      <c r="R1928" s="36" t="s">
        <v>96</v>
      </c>
      <c r="S1928" s="36">
        <v>1000.0</v>
      </c>
      <c r="T1928" s="36" t="s">
        <v>506</v>
      </c>
      <c r="U1928" s="36" t="s">
        <v>676</v>
      </c>
      <c r="V1928" s="36">
        <v>161.0</v>
      </c>
      <c r="W1928" s="36"/>
      <c r="X1928" s="38">
        <v>1.0</v>
      </c>
      <c r="Y1928" s="38" t="s">
        <v>2950</v>
      </c>
      <c r="Z1928" s="38" t="s">
        <v>2947</v>
      </c>
      <c r="AA1928" s="38" t="s">
        <v>86</v>
      </c>
      <c r="AB1928" s="38" t="s">
        <v>2948</v>
      </c>
      <c r="AC1928" s="38" t="s">
        <v>2949</v>
      </c>
      <c r="AD1928" s="38" t="s">
        <v>382</v>
      </c>
      <c r="AE1928" s="38"/>
      <c r="AF1928" s="38" t="s">
        <v>525</v>
      </c>
      <c r="AG1928" s="38" t="s">
        <v>2928</v>
      </c>
      <c r="AH1928" s="38"/>
      <c r="AI1928" s="50">
        <v>43.4965</v>
      </c>
      <c r="AJ1928" s="50">
        <v>1.2379</v>
      </c>
      <c r="AK1928" s="41" t="s">
        <v>86</v>
      </c>
      <c r="AL1928" s="40" t="s">
        <v>86</v>
      </c>
      <c r="AM1928" s="49">
        <v>181.0</v>
      </c>
      <c r="AN1928" s="51">
        <v>181.0</v>
      </c>
      <c r="AO1928" s="42" t="s">
        <v>201</v>
      </c>
      <c r="AP1928" s="43" t="s">
        <v>201</v>
      </c>
      <c r="AQ1928" s="44" t="str">
        <f t="shared" si="217"/>
        <v>CRO</v>
      </c>
      <c r="AR1928" s="44">
        <f t="shared" si="199"/>
        <v>181</v>
      </c>
      <c r="AS1928" s="44" t="str">
        <f t="shared" si="222"/>
        <v>C</v>
      </c>
      <c r="AT1928" s="44" t="str">
        <f t="shared" si="202"/>
        <v>Cf</v>
      </c>
      <c r="AU1928" s="44" t="str">
        <f t="shared" si="203"/>
        <v>Cfa</v>
      </c>
      <c r="AV1928" s="38">
        <v>2.0</v>
      </c>
      <c r="AW1928" s="38"/>
      <c r="AX1928" s="38"/>
      <c r="AY1928" s="38"/>
      <c r="AZ1928" s="29">
        <v>1000.0</v>
      </c>
      <c r="BA1928" s="29"/>
      <c r="BB1928" s="29">
        <v>1.0</v>
      </c>
      <c r="BC1928" s="29" t="s">
        <v>2991</v>
      </c>
      <c r="BD1928" s="29" t="s">
        <v>88</v>
      </c>
      <c r="BE1928" s="29" t="s">
        <v>263</v>
      </c>
      <c r="BF1928" s="29" t="s">
        <v>2942</v>
      </c>
      <c r="BG1928" s="29" t="s">
        <v>91</v>
      </c>
      <c r="BH1928" s="29" t="s">
        <v>88</v>
      </c>
      <c r="BI1928" s="29" t="s">
        <v>1438</v>
      </c>
      <c r="BJ1928" s="29"/>
      <c r="BK1928" s="29" t="s">
        <v>148</v>
      </c>
      <c r="BL1928" s="29" t="s">
        <v>148</v>
      </c>
      <c r="BM1928" s="45"/>
      <c r="BN1928" s="45"/>
      <c r="BO1928" s="46"/>
      <c r="BP1928" s="2"/>
      <c r="BQ1928" s="3"/>
    </row>
    <row r="1929" ht="15.75" customHeight="1">
      <c r="A1929" s="34">
        <v>2041.0</v>
      </c>
      <c r="B1929" s="34">
        <v>104246.0</v>
      </c>
      <c r="C1929" s="34" t="s">
        <v>76</v>
      </c>
      <c r="D1929" s="34" t="s">
        <v>2933</v>
      </c>
      <c r="E1929" s="34" t="s">
        <v>2934</v>
      </c>
      <c r="F1929" s="34">
        <v>2021.0</v>
      </c>
      <c r="G1929" s="34" t="s">
        <v>2935</v>
      </c>
      <c r="H1929" s="34" t="s">
        <v>816</v>
      </c>
      <c r="I1929" s="34" t="s">
        <v>2936</v>
      </c>
      <c r="J1929" s="35"/>
      <c r="K1929" s="36"/>
      <c r="L1929" s="36">
        <v>251.0</v>
      </c>
      <c r="M1929" s="36"/>
      <c r="N1929" s="36"/>
      <c r="O1929" s="36"/>
      <c r="P1929" s="37">
        <v>41.0</v>
      </c>
      <c r="Q1929" s="36" t="s">
        <v>1393</v>
      </c>
      <c r="R1929" s="36" t="s">
        <v>96</v>
      </c>
      <c r="S1929" s="36">
        <v>1000.0</v>
      </c>
      <c r="T1929" s="36" t="s">
        <v>536</v>
      </c>
      <c r="U1929" s="36" t="s">
        <v>351</v>
      </c>
      <c r="V1929" s="36">
        <v>237.0</v>
      </c>
      <c r="W1929" s="36"/>
      <c r="X1929" s="38">
        <v>1.0</v>
      </c>
      <c r="Y1929" s="38" t="s">
        <v>2951</v>
      </c>
      <c r="Z1929" s="38" t="s">
        <v>2947</v>
      </c>
      <c r="AA1929" s="38" t="s">
        <v>86</v>
      </c>
      <c r="AB1929" s="38" t="s">
        <v>2948</v>
      </c>
      <c r="AC1929" s="38" t="s">
        <v>2949</v>
      </c>
      <c r="AD1929" s="38" t="s">
        <v>382</v>
      </c>
      <c r="AE1929" s="38"/>
      <c r="AF1929" s="38" t="s">
        <v>2316</v>
      </c>
      <c r="AG1929" s="38" t="s">
        <v>2928</v>
      </c>
      <c r="AH1929" s="38"/>
      <c r="AI1929" s="50">
        <v>43.4965</v>
      </c>
      <c r="AJ1929" s="50">
        <v>1.2379</v>
      </c>
      <c r="AK1929" s="41" t="s">
        <v>86</v>
      </c>
      <c r="AL1929" s="40" t="s">
        <v>86</v>
      </c>
      <c r="AM1929" s="49">
        <v>181.0</v>
      </c>
      <c r="AN1929" s="51">
        <v>181.0</v>
      </c>
      <c r="AO1929" s="42" t="s">
        <v>201</v>
      </c>
      <c r="AP1929" s="43" t="s">
        <v>201</v>
      </c>
      <c r="AQ1929" s="44" t="str">
        <f t="shared" si="217"/>
        <v>CRO</v>
      </c>
      <c r="AR1929" s="44">
        <f t="shared" si="199"/>
        <v>181</v>
      </c>
      <c r="AS1929" s="44" t="str">
        <f t="shared" si="222"/>
        <v>C</v>
      </c>
      <c r="AT1929" s="44" t="str">
        <f t="shared" si="202"/>
        <v>Cf</v>
      </c>
      <c r="AU1929" s="44" t="str">
        <f t="shared" si="203"/>
        <v>Cfa</v>
      </c>
      <c r="AV1929" s="38">
        <v>2.0</v>
      </c>
      <c r="AW1929" s="38"/>
      <c r="AX1929" s="38"/>
      <c r="AY1929" s="38"/>
      <c r="AZ1929" s="29">
        <v>1000.0</v>
      </c>
      <c r="BA1929" s="29"/>
      <c r="BB1929" s="29">
        <v>1.0</v>
      </c>
      <c r="BC1929" s="29" t="s">
        <v>2991</v>
      </c>
      <c r="BD1929" s="29" t="s">
        <v>88</v>
      </c>
      <c r="BE1929" s="29" t="s">
        <v>263</v>
      </c>
      <c r="BF1929" s="29" t="s">
        <v>2942</v>
      </c>
      <c r="BG1929" s="29" t="s">
        <v>91</v>
      </c>
      <c r="BH1929" s="29" t="s">
        <v>88</v>
      </c>
      <c r="BI1929" s="29" t="s">
        <v>1438</v>
      </c>
      <c r="BJ1929" s="29"/>
      <c r="BK1929" s="29" t="s">
        <v>148</v>
      </c>
      <c r="BL1929" s="29" t="s">
        <v>148</v>
      </c>
      <c r="BM1929" s="45"/>
      <c r="BN1929" s="45"/>
      <c r="BO1929" s="46"/>
      <c r="BP1929" s="2"/>
      <c r="BQ1929" s="3"/>
    </row>
    <row r="1930" ht="15.75" customHeight="1">
      <c r="A1930" s="34">
        <v>2042.0</v>
      </c>
      <c r="B1930" s="34">
        <v>104246.0</v>
      </c>
      <c r="C1930" s="34" t="s">
        <v>76</v>
      </c>
      <c r="D1930" s="34" t="s">
        <v>2933</v>
      </c>
      <c r="E1930" s="34" t="s">
        <v>2934</v>
      </c>
      <c r="F1930" s="34">
        <v>2021.0</v>
      </c>
      <c r="G1930" s="34" t="s">
        <v>2935</v>
      </c>
      <c r="H1930" s="34" t="s">
        <v>816</v>
      </c>
      <c r="I1930" s="34" t="s">
        <v>2936</v>
      </c>
      <c r="J1930" s="35"/>
      <c r="K1930" s="36"/>
      <c r="L1930" s="36">
        <v>361.0</v>
      </c>
      <c r="M1930" s="36"/>
      <c r="N1930" s="36"/>
      <c r="O1930" s="36"/>
      <c r="P1930" s="37">
        <v>20.0</v>
      </c>
      <c r="Q1930" s="36" t="s">
        <v>1393</v>
      </c>
      <c r="R1930" s="36" t="s">
        <v>96</v>
      </c>
      <c r="S1930" s="36">
        <v>1000.0</v>
      </c>
      <c r="T1930" s="36" t="s">
        <v>969</v>
      </c>
      <c r="U1930" s="36" t="s">
        <v>507</v>
      </c>
      <c r="V1930" s="36">
        <v>180.0</v>
      </c>
      <c r="W1930" s="36"/>
      <c r="X1930" s="38">
        <v>1.0</v>
      </c>
      <c r="Y1930" s="38" t="s">
        <v>2952</v>
      </c>
      <c r="Z1930" s="38" t="s">
        <v>2947</v>
      </c>
      <c r="AA1930" s="38" t="s">
        <v>86</v>
      </c>
      <c r="AB1930" s="38" t="s">
        <v>2948</v>
      </c>
      <c r="AC1930" s="38" t="s">
        <v>2949</v>
      </c>
      <c r="AD1930" s="38" t="s">
        <v>382</v>
      </c>
      <c r="AE1930" s="38"/>
      <c r="AF1930" s="38" t="s">
        <v>525</v>
      </c>
      <c r="AG1930" s="38" t="s">
        <v>2928</v>
      </c>
      <c r="AH1930" s="38"/>
      <c r="AI1930" s="50">
        <v>43.4965</v>
      </c>
      <c r="AJ1930" s="50">
        <v>1.2379</v>
      </c>
      <c r="AK1930" s="41" t="s">
        <v>86</v>
      </c>
      <c r="AL1930" s="40" t="s">
        <v>86</v>
      </c>
      <c r="AM1930" s="49">
        <v>181.0</v>
      </c>
      <c r="AN1930" s="51">
        <v>181.0</v>
      </c>
      <c r="AO1930" s="42" t="s">
        <v>201</v>
      </c>
      <c r="AP1930" s="43" t="s">
        <v>201</v>
      </c>
      <c r="AQ1930" s="44" t="str">
        <f t="shared" si="217"/>
        <v>CRO</v>
      </c>
      <c r="AR1930" s="44">
        <f t="shared" si="199"/>
        <v>181</v>
      </c>
      <c r="AS1930" s="44" t="str">
        <f t="shared" si="222"/>
        <v>C</v>
      </c>
      <c r="AT1930" s="44" t="str">
        <f t="shared" si="202"/>
        <v>Cf</v>
      </c>
      <c r="AU1930" s="44" t="str">
        <f t="shared" si="203"/>
        <v>Cfa</v>
      </c>
      <c r="AV1930" s="38">
        <v>3.0</v>
      </c>
      <c r="AW1930" s="38"/>
      <c r="AX1930" s="38"/>
      <c r="AY1930" s="38"/>
      <c r="AZ1930" s="29">
        <v>1000.0</v>
      </c>
      <c r="BA1930" s="29"/>
      <c r="BB1930" s="29">
        <v>1.0</v>
      </c>
      <c r="BC1930" s="29" t="s">
        <v>2991</v>
      </c>
      <c r="BD1930" s="29" t="s">
        <v>88</v>
      </c>
      <c r="BE1930" s="29" t="s">
        <v>263</v>
      </c>
      <c r="BF1930" s="29" t="s">
        <v>2942</v>
      </c>
      <c r="BG1930" s="29" t="s">
        <v>91</v>
      </c>
      <c r="BH1930" s="29" t="s">
        <v>88</v>
      </c>
      <c r="BI1930" s="29" t="s">
        <v>1438</v>
      </c>
      <c r="BJ1930" s="29"/>
      <c r="BK1930" s="29" t="s">
        <v>148</v>
      </c>
      <c r="BL1930" s="29" t="s">
        <v>148</v>
      </c>
      <c r="BM1930" s="45"/>
      <c r="BN1930" s="45"/>
      <c r="BO1930" s="46"/>
      <c r="BP1930" s="2"/>
      <c r="BQ1930" s="3"/>
    </row>
    <row r="1931" ht="15.75" customHeight="1">
      <c r="A1931" s="34">
        <v>2043.0</v>
      </c>
      <c r="B1931" s="34">
        <v>104246.0</v>
      </c>
      <c r="C1931" s="34" t="s">
        <v>76</v>
      </c>
      <c r="D1931" s="34" t="s">
        <v>2933</v>
      </c>
      <c r="E1931" s="34" t="s">
        <v>2934</v>
      </c>
      <c r="F1931" s="34">
        <v>2021.0</v>
      </c>
      <c r="G1931" s="34" t="s">
        <v>2935</v>
      </c>
      <c r="H1931" s="34" t="s">
        <v>816</v>
      </c>
      <c r="I1931" s="34" t="s">
        <v>2936</v>
      </c>
      <c r="J1931" s="35"/>
      <c r="K1931" s="36"/>
      <c r="L1931" s="36">
        <v>416.0</v>
      </c>
      <c r="M1931" s="36"/>
      <c r="N1931" s="36"/>
      <c r="O1931" s="36"/>
      <c r="P1931" s="37">
        <v>-22.0</v>
      </c>
      <c r="Q1931" s="36" t="s">
        <v>1393</v>
      </c>
      <c r="R1931" s="36" t="s">
        <v>96</v>
      </c>
      <c r="S1931" s="36">
        <v>1000.0</v>
      </c>
      <c r="T1931" s="36" t="s">
        <v>242</v>
      </c>
      <c r="U1931" s="36" t="s">
        <v>243</v>
      </c>
      <c r="V1931" s="36">
        <v>119.0</v>
      </c>
      <c r="W1931" s="36"/>
      <c r="X1931" s="38">
        <v>1.0</v>
      </c>
      <c r="Y1931" s="38" t="s">
        <v>2953</v>
      </c>
      <c r="Z1931" s="38" t="s">
        <v>2947</v>
      </c>
      <c r="AA1931" s="38" t="s">
        <v>86</v>
      </c>
      <c r="AB1931" s="38" t="s">
        <v>2948</v>
      </c>
      <c r="AC1931" s="38" t="s">
        <v>2949</v>
      </c>
      <c r="AD1931" s="38" t="s">
        <v>382</v>
      </c>
      <c r="AE1931" s="38"/>
      <c r="AF1931" s="38" t="s">
        <v>525</v>
      </c>
      <c r="AG1931" s="38" t="s">
        <v>2928</v>
      </c>
      <c r="AH1931" s="38"/>
      <c r="AI1931" s="50">
        <v>43.4965</v>
      </c>
      <c r="AJ1931" s="50">
        <v>1.2379</v>
      </c>
      <c r="AK1931" s="41" t="s">
        <v>86</v>
      </c>
      <c r="AL1931" s="40" t="s">
        <v>86</v>
      </c>
      <c r="AM1931" s="49">
        <v>181.0</v>
      </c>
      <c r="AN1931" s="51">
        <v>181.0</v>
      </c>
      <c r="AO1931" s="42" t="s">
        <v>201</v>
      </c>
      <c r="AP1931" s="43" t="s">
        <v>201</v>
      </c>
      <c r="AQ1931" s="44" t="str">
        <f t="shared" si="217"/>
        <v>CRO</v>
      </c>
      <c r="AR1931" s="44">
        <f t="shared" si="199"/>
        <v>181</v>
      </c>
      <c r="AS1931" s="44" t="str">
        <f t="shared" si="222"/>
        <v>C</v>
      </c>
      <c r="AT1931" s="44" t="str">
        <f t="shared" si="202"/>
        <v>Cf</v>
      </c>
      <c r="AU1931" s="44" t="str">
        <f t="shared" si="203"/>
        <v>Cfa</v>
      </c>
      <c r="AV1931" s="38">
        <v>2.0</v>
      </c>
      <c r="AW1931" s="38"/>
      <c r="AX1931" s="38"/>
      <c r="AY1931" s="38"/>
      <c r="AZ1931" s="29">
        <v>1000.0</v>
      </c>
      <c r="BA1931" s="29"/>
      <c r="BB1931" s="29">
        <v>1.0</v>
      </c>
      <c r="BC1931" s="29" t="s">
        <v>2991</v>
      </c>
      <c r="BD1931" s="29" t="s">
        <v>88</v>
      </c>
      <c r="BE1931" s="29" t="s">
        <v>263</v>
      </c>
      <c r="BF1931" s="29" t="s">
        <v>2942</v>
      </c>
      <c r="BG1931" s="29" t="s">
        <v>91</v>
      </c>
      <c r="BH1931" s="29" t="s">
        <v>88</v>
      </c>
      <c r="BI1931" s="29" t="s">
        <v>1438</v>
      </c>
      <c r="BJ1931" s="29"/>
      <c r="BK1931" s="29" t="s">
        <v>148</v>
      </c>
      <c r="BL1931" s="29" t="s">
        <v>148</v>
      </c>
      <c r="BM1931" s="45"/>
      <c r="BN1931" s="45"/>
      <c r="BO1931" s="46"/>
      <c r="BP1931" s="2"/>
      <c r="BQ1931" s="3"/>
    </row>
    <row r="1932" ht="15.75" customHeight="1">
      <c r="A1932" s="34">
        <v>2044.0</v>
      </c>
      <c r="B1932" s="34">
        <v>104246.0</v>
      </c>
      <c r="C1932" s="34" t="s">
        <v>76</v>
      </c>
      <c r="D1932" s="34" t="s">
        <v>2933</v>
      </c>
      <c r="E1932" s="34" t="s">
        <v>2934</v>
      </c>
      <c r="F1932" s="34">
        <v>2021.0</v>
      </c>
      <c r="G1932" s="34" t="s">
        <v>2935</v>
      </c>
      <c r="H1932" s="34" t="s">
        <v>816</v>
      </c>
      <c r="I1932" s="34" t="s">
        <v>2936</v>
      </c>
      <c r="J1932" s="35"/>
      <c r="K1932" s="36"/>
      <c r="L1932" s="36">
        <v>389.0</v>
      </c>
      <c r="M1932" s="36"/>
      <c r="N1932" s="36"/>
      <c r="O1932" s="36"/>
      <c r="P1932" s="37">
        <v>-12.0</v>
      </c>
      <c r="Q1932" s="36" t="s">
        <v>1393</v>
      </c>
      <c r="R1932" s="36" t="s">
        <v>96</v>
      </c>
      <c r="S1932" s="36">
        <v>1000.0</v>
      </c>
      <c r="T1932" s="36" t="s">
        <v>245</v>
      </c>
      <c r="U1932" s="36" t="s">
        <v>246</v>
      </c>
      <c r="V1932" s="36">
        <v>126.0</v>
      </c>
      <c r="W1932" s="36"/>
      <c r="X1932" s="38">
        <v>1.0</v>
      </c>
      <c r="Y1932" s="38" t="s">
        <v>2954</v>
      </c>
      <c r="Z1932" s="38" t="s">
        <v>2947</v>
      </c>
      <c r="AA1932" s="38" t="s">
        <v>86</v>
      </c>
      <c r="AB1932" s="38" t="s">
        <v>2948</v>
      </c>
      <c r="AC1932" s="38" t="s">
        <v>2949</v>
      </c>
      <c r="AD1932" s="38" t="s">
        <v>382</v>
      </c>
      <c r="AE1932" s="38"/>
      <c r="AF1932" s="38" t="s">
        <v>525</v>
      </c>
      <c r="AG1932" s="38" t="s">
        <v>2928</v>
      </c>
      <c r="AH1932" s="38"/>
      <c r="AI1932" s="50">
        <v>43.4965</v>
      </c>
      <c r="AJ1932" s="50">
        <v>1.2379</v>
      </c>
      <c r="AK1932" s="41" t="s">
        <v>86</v>
      </c>
      <c r="AL1932" s="40" t="s">
        <v>86</v>
      </c>
      <c r="AM1932" s="49">
        <v>181.0</v>
      </c>
      <c r="AN1932" s="51">
        <v>181.0</v>
      </c>
      <c r="AO1932" s="42" t="s">
        <v>201</v>
      </c>
      <c r="AP1932" s="43" t="s">
        <v>201</v>
      </c>
      <c r="AQ1932" s="44" t="str">
        <f t="shared" si="217"/>
        <v>CRO</v>
      </c>
      <c r="AR1932" s="44">
        <f t="shared" si="199"/>
        <v>181</v>
      </c>
      <c r="AS1932" s="44" t="str">
        <f t="shared" si="222"/>
        <v>C</v>
      </c>
      <c r="AT1932" s="44" t="str">
        <f t="shared" si="202"/>
        <v>Cf</v>
      </c>
      <c r="AU1932" s="44" t="str">
        <f t="shared" si="203"/>
        <v>Cfa</v>
      </c>
      <c r="AV1932" s="38">
        <v>2.0</v>
      </c>
      <c r="AW1932" s="38"/>
      <c r="AX1932" s="38"/>
      <c r="AY1932" s="38"/>
      <c r="AZ1932" s="29">
        <v>1000.0</v>
      </c>
      <c r="BA1932" s="29"/>
      <c r="BB1932" s="29">
        <v>1.0</v>
      </c>
      <c r="BC1932" s="29" t="s">
        <v>2991</v>
      </c>
      <c r="BD1932" s="29" t="s">
        <v>88</v>
      </c>
      <c r="BE1932" s="29" t="s">
        <v>263</v>
      </c>
      <c r="BF1932" s="29" t="s">
        <v>2942</v>
      </c>
      <c r="BG1932" s="29" t="s">
        <v>91</v>
      </c>
      <c r="BH1932" s="29" t="s">
        <v>88</v>
      </c>
      <c r="BI1932" s="29" t="s">
        <v>1438</v>
      </c>
      <c r="BJ1932" s="29"/>
      <c r="BK1932" s="29" t="s">
        <v>148</v>
      </c>
      <c r="BL1932" s="29" t="s">
        <v>148</v>
      </c>
      <c r="BM1932" s="45"/>
      <c r="BN1932" s="45"/>
      <c r="BO1932" s="46"/>
      <c r="BP1932" s="2"/>
      <c r="BQ1932" s="3"/>
    </row>
    <row r="1933" ht="15.75" customHeight="1">
      <c r="A1933" s="34">
        <v>2045.0</v>
      </c>
      <c r="B1933" s="34">
        <v>104246.0</v>
      </c>
      <c r="C1933" s="34" t="s">
        <v>76</v>
      </c>
      <c r="D1933" s="34" t="s">
        <v>2933</v>
      </c>
      <c r="E1933" s="34" t="s">
        <v>2934</v>
      </c>
      <c r="F1933" s="34">
        <v>2021.0</v>
      </c>
      <c r="G1933" s="34" t="s">
        <v>2935</v>
      </c>
      <c r="H1933" s="34" t="s">
        <v>816</v>
      </c>
      <c r="I1933" s="34" t="s">
        <v>2936</v>
      </c>
      <c r="J1933" s="35"/>
      <c r="K1933" s="36"/>
      <c r="L1933" s="36">
        <v>531.0</v>
      </c>
      <c r="M1933" s="36"/>
      <c r="N1933" s="36"/>
      <c r="O1933" s="36"/>
      <c r="P1933" s="37">
        <v>-26.0</v>
      </c>
      <c r="Q1933" s="36" t="s">
        <v>1393</v>
      </c>
      <c r="R1933" s="36" t="s">
        <v>96</v>
      </c>
      <c r="S1933" s="36">
        <v>1000.0</v>
      </c>
      <c r="T1933" s="36" t="s">
        <v>837</v>
      </c>
      <c r="U1933" s="36" t="s">
        <v>2955</v>
      </c>
      <c r="V1933" s="36">
        <v>127.0</v>
      </c>
      <c r="W1933" s="36"/>
      <c r="X1933" s="38">
        <v>1.0</v>
      </c>
      <c r="Y1933" s="38" t="s">
        <v>2956</v>
      </c>
      <c r="Z1933" s="38" t="s">
        <v>2947</v>
      </c>
      <c r="AA1933" s="38" t="s">
        <v>86</v>
      </c>
      <c r="AB1933" s="38" t="s">
        <v>2948</v>
      </c>
      <c r="AC1933" s="38" t="s">
        <v>2949</v>
      </c>
      <c r="AD1933" s="38" t="s">
        <v>382</v>
      </c>
      <c r="AE1933" s="38"/>
      <c r="AF1933" s="38" t="s">
        <v>525</v>
      </c>
      <c r="AG1933" s="38" t="s">
        <v>2928</v>
      </c>
      <c r="AH1933" s="38"/>
      <c r="AI1933" s="50">
        <v>43.4965</v>
      </c>
      <c r="AJ1933" s="50">
        <v>1.2379</v>
      </c>
      <c r="AK1933" s="41" t="s">
        <v>86</v>
      </c>
      <c r="AL1933" s="40" t="s">
        <v>86</v>
      </c>
      <c r="AM1933" s="49">
        <v>181.0</v>
      </c>
      <c r="AN1933" s="51">
        <v>181.0</v>
      </c>
      <c r="AO1933" s="42" t="s">
        <v>201</v>
      </c>
      <c r="AP1933" s="43" t="s">
        <v>201</v>
      </c>
      <c r="AQ1933" s="44" t="str">
        <f t="shared" si="217"/>
        <v>CRO</v>
      </c>
      <c r="AR1933" s="44">
        <f t="shared" si="199"/>
        <v>181</v>
      </c>
      <c r="AS1933" s="44" t="str">
        <f t="shared" si="222"/>
        <v>C</v>
      </c>
      <c r="AT1933" s="44" t="str">
        <f t="shared" si="202"/>
        <v>Cf</v>
      </c>
      <c r="AU1933" s="44" t="str">
        <f t="shared" si="203"/>
        <v>Cfa</v>
      </c>
      <c r="AV1933" s="38">
        <v>2.0</v>
      </c>
      <c r="AW1933" s="38"/>
      <c r="AX1933" s="38"/>
      <c r="AY1933" s="38"/>
      <c r="AZ1933" s="29">
        <v>1000.0</v>
      </c>
      <c r="BA1933" s="29"/>
      <c r="BB1933" s="29">
        <v>1.0</v>
      </c>
      <c r="BC1933" s="29" t="s">
        <v>2991</v>
      </c>
      <c r="BD1933" s="29" t="s">
        <v>88</v>
      </c>
      <c r="BE1933" s="29" t="s">
        <v>263</v>
      </c>
      <c r="BF1933" s="29" t="s">
        <v>2942</v>
      </c>
      <c r="BG1933" s="29" t="s">
        <v>91</v>
      </c>
      <c r="BH1933" s="29" t="s">
        <v>88</v>
      </c>
      <c r="BI1933" s="29" t="s">
        <v>1438</v>
      </c>
      <c r="BJ1933" s="29"/>
      <c r="BK1933" s="29" t="s">
        <v>148</v>
      </c>
      <c r="BL1933" s="29" t="s">
        <v>148</v>
      </c>
      <c r="BM1933" s="45"/>
      <c r="BN1933" s="45"/>
      <c r="BO1933" s="46"/>
      <c r="BP1933" s="2"/>
      <c r="BQ1933" s="3"/>
    </row>
    <row r="1934" ht="15.75" customHeight="1">
      <c r="A1934" s="34">
        <v>2046.0</v>
      </c>
      <c r="B1934" s="34">
        <v>104246.0</v>
      </c>
      <c r="C1934" s="34" t="s">
        <v>76</v>
      </c>
      <c r="D1934" s="34" t="s">
        <v>2933</v>
      </c>
      <c r="E1934" s="34" t="s">
        <v>2934</v>
      </c>
      <c r="F1934" s="34">
        <v>2021.0</v>
      </c>
      <c r="G1934" s="34" t="s">
        <v>2935</v>
      </c>
      <c r="H1934" s="34" t="s">
        <v>816</v>
      </c>
      <c r="I1934" s="34" t="s">
        <v>2936</v>
      </c>
      <c r="J1934" s="35"/>
      <c r="K1934" s="36"/>
      <c r="L1934" s="36">
        <v>233.0</v>
      </c>
      <c r="M1934" s="36"/>
      <c r="N1934" s="36"/>
      <c r="O1934" s="36"/>
      <c r="P1934" s="37">
        <v>20.0</v>
      </c>
      <c r="Q1934" s="36" t="s">
        <v>1393</v>
      </c>
      <c r="R1934" s="36" t="s">
        <v>96</v>
      </c>
      <c r="S1934" s="36">
        <v>1000.0</v>
      </c>
      <c r="T1934" s="36" t="s">
        <v>317</v>
      </c>
      <c r="U1934" s="36" t="s">
        <v>194</v>
      </c>
      <c r="V1934" s="36">
        <v>160.0</v>
      </c>
      <c r="W1934" s="36"/>
      <c r="X1934" s="38">
        <v>1.0</v>
      </c>
      <c r="Y1934" s="38" t="s">
        <v>2957</v>
      </c>
      <c r="Z1934" s="38" t="s">
        <v>2958</v>
      </c>
      <c r="AA1934" s="38" t="s">
        <v>86</v>
      </c>
      <c r="AB1934" s="38" t="s">
        <v>2959</v>
      </c>
      <c r="AC1934" s="38" t="s">
        <v>2960</v>
      </c>
      <c r="AD1934" s="38" t="s">
        <v>382</v>
      </c>
      <c r="AE1934" s="38">
        <v>32.0</v>
      </c>
      <c r="AF1934" s="38" t="s">
        <v>2961</v>
      </c>
      <c r="AG1934" s="38" t="s">
        <v>2928</v>
      </c>
      <c r="AH1934" s="38"/>
      <c r="AI1934" s="50">
        <v>43.92</v>
      </c>
      <c r="AJ1934" s="50">
        <v>4.88</v>
      </c>
      <c r="AK1934" s="41" t="s">
        <v>505</v>
      </c>
      <c r="AL1934" s="40" t="s">
        <v>505</v>
      </c>
      <c r="AM1934" s="49">
        <v>71.0</v>
      </c>
      <c r="AN1934" s="51">
        <v>71.0</v>
      </c>
      <c r="AO1934" s="42" t="s">
        <v>175</v>
      </c>
      <c r="AP1934" s="43" t="s">
        <v>175</v>
      </c>
      <c r="AQ1934" s="44" t="str">
        <f t="shared" si="217"/>
        <v>CRO</v>
      </c>
      <c r="AR1934" s="44">
        <f t="shared" si="199"/>
        <v>71</v>
      </c>
      <c r="AS1934" s="44" t="str">
        <f t="shared" si="222"/>
        <v>C</v>
      </c>
      <c r="AT1934" s="44" t="str">
        <f t="shared" si="202"/>
        <v>Cs</v>
      </c>
      <c r="AU1934" s="44" t="str">
        <f t="shared" si="203"/>
        <v>Csa</v>
      </c>
      <c r="AV1934" s="38">
        <v>2.0</v>
      </c>
      <c r="AW1934" s="38"/>
      <c r="AX1934" s="38"/>
      <c r="AY1934" s="38"/>
      <c r="AZ1934" s="29">
        <v>1000.0</v>
      </c>
      <c r="BA1934" s="29"/>
      <c r="BB1934" s="29">
        <v>1.0</v>
      </c>
      <c r="BC1934" s="29" t="s">
        <v>2991</v>
      </c>
      <c r="BD1934" s="29" t="s">
        <v>88</v>
      </c>
      <c r="BE1934" s="29" t="s">
        <v>263</v>
      </c>
      <c r="BF1934" s="29" t="s">
        <v>2942</v>
      </c>
      <c r="BG1934" s="29" t="s">
        <v>91</v>
      </c>
      <c r="BH1934" s="29" t="s">
        <v>88</v>
      </c>
      <c r="BI1934" s="29" t="s">
        <v>1438</v>
      </c>
      <c r="BJ1934" s="29"/>
      <c r="BK1934" s="29" t="s">
        <v>148</v>
      </c>
      <c r="BL1934" s="29" t="s">
        <v>148</v>
      </c>
      <c r="BM1934" s="45"/>
      <c r="BN1934" s="45"/>
      <c r="BO1934" s="46"/>
      <c r="BP1934" s="2"/>
      <c r="BQ1934" s="3"/>
    </row>
    <row r="1935" ht="15.75" customHeight="1">
      <c r="A1935" s="34">
        <v>2047.0</v>
      </c>
      <c r="B1935" s="34">
        <v>104246.0</v>
      </c>
      <c r="C1935" s="34" t="s">
        <v>76</v>
      </c>
      <c r="D1935" s="34" t="s">
        <v>2933</v>
      </c>
      <c r="E1935" s="34" t="s">
        <v>2934</v>
      </c>
      <c r="F1935" s="34">
        <v>2021.0</v>
      </c>
      <c r="G1935" s="34" t="s">
        <v>2935</v>
      </c>
      <c r="H1935" s="34" t="s">
        <v>816</v>
      </c>
      <c r="I1935" s="34" t="s">
        <v>2936</v>
      </c>
      <c r="J1935" s="35"/>
      <c r="K1935" s="36"/>
      <c r="L1935" s="36">
        <v>375.0</v>
      </c>
      <c r="M1935" s="36"/>
      <c r="N1935" s="36"/>
      <c r="O1935" s="36"/>
      <c r="P1935" s="37">
        <v>10.0</v>
      </c>
      <c r="Q1935" s="36" t="s">
        <v>1393</v>
      </c>
      <c r="R1935" s="36" t="s">
        <v>96</v>
      </c>
      <c r="S1935" s="36">
        <v>1000.0</v>
      </c>
      <c r="T1935" s="36" t="s">
        <v>341</v>
      </c>
      <c r="U1935" s="36" t="s">
        <v>285</v>
      </c>
      <c r="V1935" s="36">
        <v>246.0</v>
      </c>
      <c r="W1935" s="36"/>
      <c r="X1935" s="38">
        <v>1.0</v>
      </c>
      <c r="Y1935" s="38" t="s">
        <v>2962</v>
      </c>
      <c r="Z1935" s="38" t="s">
        <v>2958</v>
      </c>
      <c r="AA1935" s="38" t="s">
        <v>86</v>
      </c>
      <c r="AB1935" s="38" t="s">
        <v>2959</v>
      </c>
      <c r="AC1935" s="38" t="s">
        <v>2960</v>
      </c>
      <c r="AD1935" s="38" t="s">
        <v>382</v>
      </c>
      <c r="AE1935" s="38">
        <v>32.0</v>
      </c>
      <c r="AF1935" s="38" t="s">
        <v>2316</v>
      </c>
      <c r="AG1935" s="38" t="s">
        <v>2928</v>
      </c>
      <c r="AH1935" s="38"/>
      <c r="AI1935" s="50">
        <v>43.92</v>
      </c>
      <c r="AJ1935" s="50">
        <v>4.88</v>
      </c>
      <c r="AK1935" s="41" t="s">
        <v>505</v>
      </c>
      <c r="AL1935" s="40" t="s">
        <v>505</v>
      </c>
      <c r="AM1935" s="49">
        <v>71.0</v>
      </c>
      <c r="AN1935" s="51">
        <v>71.0</v>
      </c>
      <c r="AO1935" s="42" t="s">
        <v>175</v>
      </c>
      <c r="AP1935" s="43" t="s">
        <v>175</v>
      </c>
      <c r="AQ1935" s="44" t="str">
        <f t="shared" si="217"/>
        <v>CRO</v>
      </c>
      <c r="AR1935" s="44">
        <f t="shared" si="199"/>
        <v>71</v>
      </c>
      <c r="AS1935" s="44" t="str">
        <f t="shared" si="222"/>
        <v>C</v>
      </c>
      <c r="AT1935" s="44" t="str">
        <f t="shared" si="202"/>
        <v>Cs</v>
      </c>
      <c r="AU1935" s="44" t="str">
        <f t="shared" si="203"/>
        <v>Csa</v>
      </c>
      <c r="AV1935" s="38">
        <v>2.0</v>
      </c>
      <c r="AW1935" s="38"/>
      <c r="AX1935" s="38"/>
      <c r="AY1935" s="38"/>
      <c r="AZ1935" s="29">
        <v>1000.0</v>
      </c>
      <c r="BA1935" s="29"/>
      <c r="BB1935" s="29">
        <v>1.0</v>
      </c>
      <c r="BC1935" s="29" t="s">
        <v>2991</v>
      </c>
      <c r="BD1935" s="29" t="s">
        <v>88</v>
      </c>
      <c r="BE1935" s="29" t="s">
        <v>263</v>
      </c>
      <c r="BF1935" s="29" t="s">
        <v>2942</v>
      </c>
      <c r="BG1935" s="29" t="s">
        <v>91</v>
      </c>
      <c r="BH1935" s="29" t="s">
        <v>88</v>
      </c>
      <c r="BI1935" s="29" t="s">
        <v>1438</v>
      </c>
      <c r="BJ1935" s="29"/>
      <c r="BK1935" s="29" t="s">
        <v>148</v>
      </c>
      <c r="BL1935" s="29" t="s">
        <v>148</v>
      </c>
      <c r="BM1935" s="45"/>
      <c r="BN1935" s="45"/>
      <c r="BO1935" s="46"/>
      <c r="BP1935" s="2"/>
      <c r="BQ1935" s="3"/>
    </row>
    <row r="1936" ht="15.75" customHeight="1">
      <c r="A1936" s="34">
        <v>2048.0</v>
      </c>
      <c r="B1936" s="34">
        <v>104246.0</v>
      </c>
      <c r="C1936" s="34" t="s">
        <v>76</v>
      </c>
      <c r="D1936" s="34" t="s">
        <v>2933</v>
      </c>
      <c r="E1936" s="34" t="s">
        <v>2934</v>
      </c>
      <c r="F1936" s="34">
        <v>2021.0</v>
      </c>
      <c r="G1936" s="34" t="s">
        <v>2935</v>
      </c>
      <c r="H1936" s="34" t="s">
        <v>816</v>
      </c>
      <c r="I1936" s="34" t="s">
        <v>2936</v>
      </c>
      <c r="J1936" s="35"/>
      <c r="K1936" s="36"/>
      <c r="L1936" s="36">
        <v>386.0</v>
      </c>
      <c r="M1936" s="36"/>
      <c r="N1936" s="36"/>
      <c r="O1936" s="36"/>
      <c r="P1936" s="37">
        <v>0.0</v>
      </c>
      <c r="Q1936" s="36" t="s">
        <v>1393</v>
      </c>
      <c r="R1936" s="36" t="s">
        <v>96</v>
      </c>
      <c r="S1936" s="36">
        <v>1000.0</v>
      </c>
      <c r="T1936" s="36" t="s">
        <v>350</v>
      </c>
      <c r="U1936" s="36" t="s">
        <v>342</v>
      </c>
      <c r="V1936" s="36">
        <v>161.0</v>
      </c>
      <c r="W1936" s="36"/>
      <c r="X1936" s="38">
        <v>1.0</v>
      </c>
      <c r="Y1936" s="38" t="s">
        <v>2963</v>
      </c>
      <c r="Z1936" s="38" t="s">
        <v>2958</v>
      </c>
      <c r="AA1936" s="38" t="s">
        <v>86</v>
      </c>
      <c r="AB1936" s="38" t="s">
        <v>2959</v>
      </c>
      <c r="AC1936" s="38" t="s">
        <v>2960</v>
      </c>
      <c r="AD1936" s="38" t="s">
        <v>382</v>
      </c>
      <c r="AE1936" s="38">
        <v>32.0</v>
      </c>
      <c r="AF1936" s="38" t="s">
        <v>2964</v>
      </c>
      <c r="AG1936" s="38" t="s">
        <v>2928</v>
      </c>
      <c r="AH1936" s="38"/>
      <c r="AI1936" s="50">
        <v>43.92</v>
      </c>
      <c r="AJ1936" s="50">
        <v>4.88</v>
      </c>
      <c r="AK1936" s="41" t="s">
        <v>505</v>
      </c>
      <c r="AL1936" s="40" t="s">
        <v>505</v>
      </c>
      <c r="AM1936" s="49">
        <v>71.0</v>
      </c>
      <c r="AN1936" s="51">
        <v>71.0</v>
      </c>
      <c r="AO1936" s="42" t="s">
        <v>175</v>
      </c>
      <c r="AP1936" s="43" t="s">
        <v>175</v>
      </c>
      <c r="AQ1936" s="44" t="str">
        <f t="shared" si="217"/>
        <v>CRO</v>
      </c>
      <c r="AR1936" s="44">
        <f t="shared" si="199"/>
        <v>71</v>
      </c>
      <c r="AS1936" s="44" t="str">
        <f t="shared" si="222"/>
        <v>C</v>
      </c>
      <c r="AT1936" s="44" t="str">
        <f t="shared" si="202"/>
        <v>Cs</v>
      </c>
      <c r="AU1936" s="44" t="str">
        <f t="shared" si="203"/>
        <v>Csa</v>
      </c>
      <c r="AV1936" s="38">
        <v>2.0</v>
      </c>
      <c r="AW1936" s="38"/>
      <c r="AX1936" s="38"/>
      <c r="AY1936" s="38"/>
      <c r="AZ1936" s="29">
        <v>1000.0</v>
      </c>
      <c r="BA1936" s="29"/>
      <c r="BB1936" s="29">
        <v>1.0</v>
      </c>
      <c r="BC1936" s="29" t="s">
        <v>2991</v>
      </c>
      <c r="BD1936" s="29" t="s">
        <v>88</v>
      </c>
      <c r="BE1936" s="29" t="s">
        <v>263</v>
      </c>
      <c r="BF1936" s="29" t="s">
        <v>2942</v>
      </c>
      <c r="BG1936" s="29" t="s">
        <v>91</v>
      </c>
      <c r="BH1936" s="29" t="s">
        <v>88</v>
      </c>
      <c r="BI1936" s="29" t="s">
        <v>1438</v>
      </c>
      <c r="BJ1936" s="29"/>
      <c r="BK1936" s="29" t="s">
        <v>148</v>
      </c>
      <c r="BL1936" s="29" t="s">
        <v>148</v>
      </c>
      <c r="BM1936" s="45"/>
      <c r="BN1936" s="45"/>
      <c r="BO1936" s="46"/>
      <c r="BP1936" s="2"/>
      <c r="BQ1936" s="3"/>
    </row>
    <row r="1937" ht="15.75" customHeight="1">
      <c r="A1937" s="34">
        <v>2049.0</v>
      </c>
      <c r="B1937" s="34">
        <v>104246.0</v>
      </c>
      <c r="C1937" s="34" t="s">
        <v>76</v>
      </c>
      <c r="D1937" s="34" t="s">
        <v>2933</v>
      </c>
      <c r="E1937" s="34" t="s">
        <v>2934</v>
      </c>
      <c r="F1937" s="34">
        <v>2021.0</v>
      </c>
      <c r="G1937" s="34" t="s">
        <v>2935</v>
      </c>
      <c r="H1937" s="34" t="s">
        <v>816</v>
      </c>
      <c r="I1937" s="34" t="s">
        <v>2936</v>
      </c>
      <c r="J1937" s="35"/>
      <c r="K1937" s="36"/>
      <c r="L1937" s="36">
        <v>424.0</v>
      </c>
      <c r="M1937" s="36"/>
      <c r="N1937" s="36"/>
      <c r="O1937" s="36"/>
      <c r="P1937" s="37">
        <v>-19.0</v>
      </c>
      <c r="Q1937" s="36" t="s">
        <v>1393</v>
      </c>
      <c r="R1937" s="36" t="s">
        <v>96</v>
      </c>
      <c r="S1937" s="36">
        <v>1000.0</v>
      </c>
      <c r="T1937" s="36" t="s">
        <v>506</v>
      </c>
      <c r="U1937" s="36" t="s">
        <v>676</v>
      </c>
      <c r="V1937" s="36">
        <v>231.0</v>
      </c>
      <c r="W1937" s="36"/>
      <c r="X1937" s="38">
        <v>1.0</v>
      </c>
      <c r="Y1937" s="38" t="s">
        <v>2965</v>
      </c>
      <c r="Z1937" s="38" t="s">
        <v>2958</v>
      </c>
      <c r="AA1937" s="38" t="s">
        <v>86</v>
      </c>
      <c r="AB1937" s="38" t="s">
        <v>2959</v>
      </c>
      <c r="AC1937" s="38" t="s">
        <v>2960</v>
      </c>
      <c r="AD1937" s="38" t="s">
        <v>382</v>
      </c>
      <c r="AE1937" s="38">
        <v>32.0</v>
      </c>
      <c r="AF1937" s="38" t="s">
        <v>2316</v>
      </c>
      <c r="AG1937" s="38" t="s">
        <v>2928</v>
      </c>
      <c r="AH1937" s="38"/>
      <c r="AI1937" s="50">
        <v>43.92</v>
      </c>
      <c r="AJ1937" s="50">
        <v>4.88</v>
      </c>
      <c r="AK1937" s="41" t="s">
        <v>505</v>
      </c>
      <c r="AL1937" s="40" t="s">
        <v>505</v>
      </c>
      <c r="AM1937" s="49">
        <v>71.0</v>
      </c>
      <c r="AN1937" s="51">
        <v>71.0</v>
      </c>
      <c r="AO1937" s="42" t="s">
        <v>175</v>
      </c>
      <c r="AP1937" s="43" t="s">
        <v>175</v>
      </c>
      <c r="AQ1937" s="44" t="str">
        <f t="shared" si="217"/>
        <v>CRO</v>
      </c>
      <c r="AR1937" s="44">
        <f t="shared" si="199"/>
        <v>71</v>
      </c>
      <c r="AS1937" s="44" t="str">
        <f t="shared" si="222"/>
        <v>C</v>
      </c>
      <c r="AT1937" s="44" t="str">
        <f t="shared" si="202"/>
        <v>Cs</v>
      </c>
      <c r="AU1937" s="44" t="str">
        <f t="shared" si="203"/>
        <v>Csa</v>
      </c>
      <c r="AV1937" s="38">
        <v>2.0</v>
      </c>
      <c r="AW1937" s="38"/>
      <c r="AX1937" s="38"/>
      <c r="AY1937" s="38"/>
      <c r="AZ1937" s="29">
        <v>1000.0</v>
      </c>
      <c r="BA1937" s="29"/>
      <c r="BB1937" s="29">
        <v>1.0</v>
      </c>
      <c r="BC1937" s="29" t="s">
        <v>2991</v>
      </c>
      <c r="BD1937" s="29" t="s">
        <v>88</v>
      </c>
      <c r="BE1937" s="29" t="s">
        <v>263</v>
      </c>
      <c r="BF1937" s="29" t="s">
        <v>2942</v>
      </c>
      <c r="BG1937" s="29" t="s">
        <v>91</v>
      </c>
      <c r="BH1937" s="29" t="s">
        <v>88</v>
      </c>
      <c r="BI1937" s="29" t="s">
        <v>1438</v>
      </c>
      <c r="BJ1937" s="29"/>
      <c r="BK1937" s="29" t="s">
        <v>148</v>
      </c>
      <c r="BL1937" s="29" t="s">
        <v>148</v>
      </c>
      <c r="BM1937" s="45"/>
      <c r="BN1937" s="45"/>
      <c r="BO1937" s="46"/>
      <c r="BP1937" s="2"/>
      <c r="BQ1937" s="3"/>
    </row>
    <row r="1938" ht="15.75" customHeight="1">
      <c r="A1938" s="34">
        <v>2050.0</v>
      </c>
      <c r="B1938" s="34">
        <v>104246.0</v>
      </c>
      <c r="C1938" s="34" t="s">
        <v>76</v>
      </c>
      <c r="D1938" s="34" t="s">
        <v>2933</v>
      </c>
      <c r="E1938" s="34" t="s">
        <v>2934</v>
      </c>
      <c r="F1938" s="34">
        <v>2021.0</v>
      </c>
      <c r="G1938" s="34" t="s">
        <v>2935</v>
      </c>
      <c r="H1938" s="34" t="s">
        <v>816</v>
      </c>
      <c r="I1938" s="34" t="s">
        <v>2936</v>
      </c>
      <c r="J1938" s="35"/>
      <c r="K1938" s="36"/>
      <c r="L1938" s="36">
        <v>303.0</v>
      </c>
      <c r="M1938" s="36"/>
      <c r="N1938" s="36"/>
      <c r="O1938" s="36"/>
      <c r="P1938" s="37">
        <v>16.0</v>
      </c>
      <c r="Q1938" s="36" t="s">
        <v>1393</v>
      </c>
      <c r="R1938" s="36" t="s">
        <v>96</v>
      </c>
      <c r="S1938" s="36">
        <v>1000.0</v>
      </c>
      <c r="T1938" s="36" t="s">
        <v>242</v>
      </c>
      <c r="U1938" s="36" t="s">
        <v>243</v>
      </c>
      <c r="V1938" s="36">
        <v>248.0</v>
      </c>
      <c r="W1938" s="36"/>
      <c r="X1938" s="38">
        <v>1.0</v>
      </c>
      <c r="Y1938" s="38" t="s">
        <v>2966</v>
      </c>
      <c r="Z1938" s="38" t="s">
        <v>2958</v>
      </c>
      <c r="AA1938" s="38" t="s">
        <v>86</v>
      </c>
      <c r="AB1938" s="38" t="s">
        <v>2959</v>
      </c>
      <c r="AC1938" s="38" t="s">
        <v>2960</v>
      </c>
      <c r="AD1938" s="38" t="s">
        <v>382</v>
      </c>
      <c r="AE1938" s="38">
        <v>32.0</v>
      </c>
      <c r="AF1938" s="38" t="s">
        <v>2316</v>
      </c>
      <c r="AG1938" s="38" t="s">
        <v>2928</v>
      </c>
      <c r="AH1938" s="38"/>
      <c r="AI1938" s="50">
        <v>43.92</v>
      </c>
      <c r="AJ1938" s="50">
        <v>4.88</v>
      </c>
      <c r="AK1938" s="41" t="s">
        <v>505</v>
      </c>
      <c r="AL1938" s="40" t="s">
        <v>505</v>
      </c>
      <c r="AM1938" s="49">
        <v>71.0</v>
      </c>
      <c r="AN1938" s="51">
        <v>71.0</v>
      </c>
      <c r="AO1938" s="42" t="s">
        <v>175</v>
      </c>
      <c r="AP1938" s="43" t="s">
        <v>175</v>
      </c>
      <c r="AQ1938" s="44" t="str">
        <f t="shared" si="217"/>
        <v>CRO</v>
      </c>
      <c r="AR1938" s="44">
        <f t="shared" si="199"/>
        <v>71</v>
      </c>
      <c r="AS1938" s="44" t="str">
        <f t="shared" si="222"/>
        <v>C</v>
      </c>
      <c r="AT1938" s="44" t="str">
        <f t="shared" si="202"/>
        <v>Cs</v>
      </c>
      <c r="AU1938" s="44" t="str">
        <f t="shared" si="203"/>
        <v>Csa</v>
      </c>
      <c r="AV1938" s="38">
        <v>2.0</v>
      </c>
      <c r="AW1938" s="38"/>
      <c r="AX1938" s="38"/>
      <c r="AY1938" s="38"/>
      <c r="AZ1938" s="29">
        <v>1000.0</v>
      </c>
      <c r="BA1938" s="29"/>
      <c r="BB1938" s="29">
        <v>1.0</v>
      </c>
      <c r="BC1938" s="29" t="s">
        <v>2991</v>
      </c>
      <c r="BD1938" s="29" t="s">
        <v>88</v>
      </c>
      <c r="BE1938" s="29" t="s">
        <v>263</v>
      </c>
      <c r="BF1938" s="29" t="s">
        <v>2942</v>
      </c>
      <c r="BG1938" s="29" t="s">
        <v>91</v>
      </c>
      <c r="BH1938" s="29" t="s">
        <v>88</v>
      </c>
      <c r="BI1938" s="29" t="s">
        <v>1438</v>
      </c>
      <c r="BJ1938" s="29"/>
      <c r="BK1938" s="29" t="s">
        <v>148</v>
      </c>
      <c r="BL1938" s="29" t="s">
        <v>148</v>
      </c>
      <c r="BM1938" s="45"/>
      <c r="BN1938" s="45"/>
      <c r="BO1938" s="46"/>
      <c r="BP1938" s="2"/>
      <c r="BQ1938" s="3"/>
    </row>
    <row r="1939" ht="15.75" customHeight="1">
      <c r="A1939" s="34">
        <v>2051.0</v>
      </c>
      <c r="B1939" s="34">
        <v>104246.0</v>
      </c>
      <c r="C1939" s="34" t="s">
        <v>76</v>
      </c>
      <c r="D1939" s="34" t="s">
        <v>2933</v>
      </c>
      <c r="E1939" s="34" t="s">
        <v>2934</v>
      </c>
      <c r="F1939" s="34">
        <v>2021.0</v>
      </c>
      <c r="G1939" s="34" t="s">
        <v>2935</v>
      </c>
      <c r="H1939" s="34" t="s">
        <v>816</v>
      </c>
      <c r="I1939" s="34" t="s">
        <v>2936</v>
      </c>
      <c r="J1939" s="35"/>
      <c r="K1939" s="36"/>
      <c r="L1939" s="36">
        <v>339.0</v>
      </c>
      <c r="M1939" s="36"/>
      <c r="N1939" s="36"/>
      <c r="O1939" s="36"/>
      <c r="P1939" s="37">
        <v>27.0</v>
      </c>
      <c r="Q1939" s="36" t="s">
        <v>1393</v>
      </c>
      <c r="R1939" s="36" t="s">
        <v>96</v>
      </c>
      <c r="S1939" s="36">
        <v>1000.0</v>
      </c>
      <c r="T1939" s="36" t="s">
        <v>536</v>
      </c>
      <c r="U1939" s="36" t="s">
        <v>351</v>
      </c>
      <c r="V1939" s="36">
        <v>275.0</v>
      </c>
      <c r="W1939" s="36"/>
      <c r="X1939" s="38">
        <v>1.0</v>
      </c>
      <c r="Y1939" s="38" t="s">
        <v>2968</v>
      </c>
      <c r="Z1939" s="38" t="s">
        <v>2969</v>
      </c>
      <c r="AA1939" s="38" t="s">
        <v>86</v>
      </c>
      <c r="AB1939" s="38" t="s">
        <v>2970</v>
      </c>
      <c r="AC1939" s="38" t="s">
        <v>2971</v>
      </c>
      <c r="AD1939" s="38" t="s">
        <v>2972</v>
      </c>
      <c r="AE1939" s="38"/>
      <c r="AF1939" s="38" t="s">
        <v>2973</v>
      </c>
      <c r="AG1939" s="38" t="s">
        <v>2974</v>
      </c>
      <c r="AH1939" s="38"/>
      <c r="AI1939" s="50">
        <v>13.6</v>
      </c>
      <c r="AJ1939" s="50">
        <v>2.6</v>
      </c>
      <c r="AK1939" s="41" t="s">
        <v>288</v>
      </c>
      <c r="AL1939" s="40" t="s">
        <v>288</v>
      </c>
      <c r="AM1939" s="49">
        <v>228.0</v>
      </c>
      <c r="AN1939" s="51">
        <v>228.0</v>
      </c>
      <c r="AO1939" s="42" t="s">
        <v>355</v>
      </c>
      <c r="AP1939" s="43" t="s">
        <v>355</v>
      </c>
      <c r="AQ1939" s="44" t="str">
        <f t="shared" si="217"/>
        <v>CRO</v>
      </c>
      <c r="AR1939" s="44">
        <f t="shared" si="199"/>
        <v>228</v>
      </c>
      <c r="AS1939" s="44" t="str">
        <f t="shared" si="222"/>
        <v>B</v>
      </c>
      <c r="AT1939" s="44" t="str">
        <f t="shared" si="202"/>
        <v>BW</v>
      </c>
      <c r="AU1939" s="44" t="str">
        <f t="shared" si="203"/>
        <v>BWh</v>
      </c>
      <c r="AV1939" s="38">
        <v>2.0</v>
      </c>
      <c r="AW1939" s="38"/>
      <c r="AX1939" s="38"/>
      <c r="AY1939" s="38"/>
      <c r="AZ1939" s="29">
        <v>1000.0</v>
      </c>
      <c r="BA1939" s="29"/>
      <c r="BB1939" s="29">
        <v>1.0</v>
      </c>
      <c r="BC1939" s="29" t="s">
        <v>2991</v>
      </c>
      <c r="BD1939" s="29" t="s">
        <v>88</v>
      </c>
      <c r="BE1939" s="29" t="s">
        <v>263</v>
      </c>
      <c r="BF1939" s="29" t="s">
        <v>2942</v>
      </c>
      <c r="BG1939" s="29" t="s">
        <v>91</v>
      </c>
      <c r="BH1939" s="29" t="s">
        <v>88</v>
      </c>
      <c r="BI1939" s="29" t="s">
        <v>1438</v>
      </c>
      <c r="BJ1939" s="29"/>
      <c r="BK1939" s="29" t="s">
        <v>148</v>
      </c>
      <c r="BL1939" s="29" t="s">
        <v>148</v>
      </c>
      <c r="BM1939" s="45"/>
      <c r="BN1939" s="45"/>
      <c r="BO1939" s="46"/>
      <c r="BP1939" s="2"/>
      <c r="BQ1939" s="3"/>
    </row>
    <row r="1940" ht="15.75" customHeight="1">
      <c r="A1940" s="34">
        <v>2052.0</v>
      </c>
      <c r="B1940" s="34">
        <v>104246.0</v>
      </c>
      <c r="C1940" s="34" t="s">
        <v>76</v>
      </c>
      <c r="D1940" s="34" t="s">
        <v>2933</v>
      </c>
      <c r="E1940" s="34" t="s">
        <v>2934</v>
      </c>
      <c r="F1940" s="34">
        <v>2021.0</v>
      </c>
      <c r="G1940" s="34" t="s">
        <v>2935</v>
      </c>
      <c r="H1940" s="34" t="s">
        <v>816</v>
      </c>
      <c r="I1940" s="34" t="s">
        <v>2936</v>
      </c>
      <c r="J1940" s="35"/>
      <c r="K1940" s="36"/>
      <c r="L1940" s="36">
        <v>335.0</v>
      </c>
      <c r="M1940" s="36"/>
      <c r="N1940" s="36"/>
      <c r="O1940" s="36"/>
      <c r="P1940" s="37">
        <v>-14.0</v>
      </c>
      <c r="Q1940" s="36" t="s">
        <v>1393</v>
      </c>
      <c r="R1940" s="36" t="s">
        <v>96</v>
      </c>
      <c r="S1940" s="36">
        <v>1000.0</v>
      </c>
      <c r="T1940" s="36" t="s">
        <v>536</v>
      </c>
      <c r="U1940" s="36" t="s">
        <v>351</v>
      </c>
      <c r="V1940" s="36">
        <v>262.0</v>
      </c>
      <c r="W1940" s="36"/>
      <c r="X1940" s="38">
        <v>1.0</v>
      </c>
      <c r="Y1940" s="38" t="s">
        <v>2975</v>
      </c>
      <c r="Z1940" s="38" t="s">
        <v>2969</v>
      </c>
      <c r="AA1940" s="38" t="s">
        <v>313</v>
      </c>
      <c r="AB1940" s="38" t="s">
        <v>2970</v>
      </c>
      <c r="AC1940" s="38" t="s">
        <v>2971</v>
      </c>
      <c r="AD1940" s="38" t="s">
        <v>2972</v>
      </c>
      <c r="AE1940" s="38"/>
      <c r="AF1940" s="38"/>
      <c r="AG1940" s="38" t="s">
        <v>2974</v>
      </c>
      <c r="AH1940" s="38"/>
      <c r="AI1940" s="50">
        <v>13.6</v>
      </c>
      <c r="AJ1940" s="50">
        <v>2.6</v>
      </c>
      <c r="AK1940" s="41" t="s">
        <v>288</v>
      </c>
      <c r="AL1940" s="40" t="s">
        <v>288</v>
      </c>
      <c r="AM1940" s="49">
        <v>228.0</v>
      </c>
      <c r="AN1940" s="51">
        <v>228.0</v>
      </c>
      <c r="AO1940" s="42" t="s">
        <v>355</v>
      </c>
      <c r="AP1940" s="43" t="s">
        <v>355</v>
      </c>
      <c r="AQ1940" s="44" t="str">
        <f t="shared" si="217"/>
        <v>SAV</v>
      </c>
      <c r="AR1940" s="44">
        <f t="shared" si="199"/>
        <v>228</v>
      </c>
      <c r="AS1940" s="44" t="str">
        <f t="shared" si="222"/>
        <v>B</v>
      </c>
      <c r="AT1940" s="44" t="str">
        <f t="shared" si="202"/>
        <v>BW</v>
      </c>
      <c r="AU1940" s="44" t="str">
        <f t="shared" si="203"/>
        <v>BWh</v>
      </c>
      <c r="AV1940" s="38">
        <v>2.0</v>
      </c>
      <c r="AW1940" s="38"/>
      <c r="AX1940" s="38"/>
      <c r="AY1940" s="38"/>
      <c r="AZ1940" s="29">
        <v>1000.0</v>
      </c>
      <c r="BA1940" s="29"/>
      <c r="BB1940" s="29">
        <v>1.0</v>
      </c>
      <c r="BC1940" s="29" t="s">
        <v>2991</v>
      </c>
      <c r="BD1940" s="29" t="s">
        <v>88</v>
      </c>
      <c r="BE1940" s="29" t="s">
        <v>263</v>
      </c>
      <c r="BF1940" s="29" t="s">
        <v>2942</v>
      </c>
      <c r="BG1940" s="29" t="s">
        <v>91</v>
      </c>
      <c r="BH1940" s="29" t="s">
        <v>88</v>
      </c>
      <c r="BI1940" s="29" t="s">
        <v>1438</v>
      </c>
      <c r="BJ1940" s="29"/>
      <c r="BK1940" s="29" t="s">
        <v>148</v>
      </c>
      <c r="BL1940" s="29" t="s">
        <v>148</v>
      </c>
      <c r="BM1940" s="45"/>
      <c r="BN1940" s="45"/>
      <c r="BO1940" s="46"/>
      <c r="BP1940" s="2"/>
      <c r="BQ1940" s="3"/>
    </row>
    <row r="1941" ht="15.75" customHeight="1">
      <c r="A1941" s="34">
        <v>2053.0</v>
      </c>
      <c r="B1941" s="34">
        <v>104246.0</v>
      </c>
      <c r="C1941" s="34" t="s">
        <v>76</v>
      </c>
      <c r="D1941" s="34" t="s">
        <v>2933</v>
      </c>
      <c r="E1941" s="34" t="s">
        <v>2934</v>
      </c>
      <c r="F1941" s="34">
        <v>2021.0</v>
      </c>
      <c r="G1941" s="34" t="s">
        <v>2935</v>
      </c>
      <c r="H1941" s="34" t="s">
        <v>816</v>
      </c>
      <c r="I1941" s="34" t="s">
        <v>2936</v>
      </c>
      <c r="J1941" s="35"/>
      <c r="K1941" s="36"/>
      <c r="L1941" s="36">
        <v>265.0</v>
      </c>
      <c r="M1941" s="36"/>
      <c r="N1941" s="36"/>
      <c r="O1941" s="36"/>
      <c r="P1941" s="37">
        <v>-6.0</v>
      </c>
      <c r="Q1941" s="36" t="s">
        <v>1393</v>
      </c>
      <c r="R1941" s="36" t="s">
        <v>96</v>
      </c>
      <c r="S1941" s="36">
        <v>1000.0</v>
      </c>
      <c r="T1941" s="36" t="s">
        <v>242</v>
      </c>
      <c r="U1941" s="36" t="s">
        <v>243</v>
      </c>
      <c r="V1941" s="36">
        <f>167+241</f>
        <v>408</v>
      </c>
      <c r="W1941" s="36"/>
      <c r="X1941" s="38">
        <v>1.0</v>
      </c>
      <c r="Y1941" s="38" t="s">
        <v>2976</v>
      </c>
      <c r="Z1941" s="38" t="s">
        <v>2977</v>
      </c>
      <c r="AA1941" s="38" t="s">
        <v>86</v>
      </c>
      <c r="AB1941" s="38" t="s">
        <v>2978</v>
      </c>
      <c r="AC1941" s="38" t="s">
        <v>2979</v>
      </c>
      <c r="AD1941" s="38" t="s">
        <v>2980</v>
      </c>
      <c r="AE1941" s="38"/>
      <c r="AF1941" s="38" t="s">
        <v>2316</v>
      </c>
      <c r="AG1941" s="38" t="s">
        <v>1459</v>
      </c>
      <c r="AH1941" s="38"/>
      <c r="AI1941" s="50">
        <v>35.181714</v>
      </c>
      <c r="AJ1941" s="50">
        <v>9.545662</v>
      </c>
      <c r="AK1941" s="41" t="s">
        <v>86</v>
      </c>
      <c r="AL1941" s="40" t="s">
        <v>86</v>
      </c>
      <c r="AM1941" s="49">
        <v>369.0</v>
      </c>
      <c r="AN1941" s="51">
        <v>369.0</v>
      </c>
      <c r="AO1941" s="42" t="s">
        <v>355</v>
      </c>
      <c r="AP1941" s="43" t="s">
        <v>355</v>
      </c>
      <c r="AQ1941" s="44" t="str">
        <f t="shared" si="217"/>
        <v>CRO</v>
      </c>
      <c r="AR1941" s="44">
        <f t="shared" si="199"/>
        <v>369</v>
      </c>
      <c r="AS1941" s="44" t="str">
        <f t="shared" si="222"/>
        <v>B</v>
      </c>
      <c r="AT1941" s="44" t="str">
        <f t="shared" si="202"/>
        <v>BW</v>
      </c>
      <c r="AU1941" s="44" t="str">
        <f t="shared" si="203"/>
        <v>BWh</v>
      </c>
      <c r="AV1941" s="38">
        <v>3.0</v>
      </c>
      <c r="AW1941" s="38"/>
      <c r="AX1941" s="38"/>
      <c r="AY1941" s="38"/>
      <c r="AZ1941" s="29">
        <v>1000.0</v>
      </c>
      <c r="BA1941" s="29"/>
      <c r="BB1941" s="29">
        <v>1.0</v>
      </c>
      <c r="BC1941" s="29" t="s">
        <v>2991</v>
      </c>
      <c r="BD1941" s="29" t="s">
        <v>88</v>
      </c>
      <c r="BE1941" s="29" t="s">
        <v>263</v>
      </c>
      <c r="BF1941" s="29" t="s">
        <v>2942</v>
      </c>
      <c r="BG1941" s="29" t="s">
        <v>91</v>
      </c>
      <c r="BH1941" s="29" t="s">
        <v>88</v>
      </c>
      <c r="BI1941" s="29" t="s">
        <v>1438</v>
      </c>
      <c r="BJ1941" s="29"/>
      <c r="BK1941" s="29" t="s">
        <v>148</v>
      </c>
      <c r="BL1941" s="29" t="s">
        <v>148</v>
      </c>
      <c r="BM1941" s="45"/>
      <c r="BN1941" s="45"/>
      <c r="BO1941" s="46"/>
      <c r="BP1941" s="2" t="s">
        <v>2993</v>
      </c>
      <c r="BQ1941" s="3"/>
    </row>
    <row r="1942" ht="15.75" customHeight="1">
      <c r="A1942" s="34">
        <v>2054.0</v>
      </c>
      <c r="B1942" s="34">
        <v>104246.0</v>
      </c>
      <c r="C1942" s="34" t="s">
        <v>76</v>
      </c>
      <c r="D1942" s="34" t="s">
        <v>2933</v>
      </c>
      <c r="E1942" s="34" t="s">
        <v>2934</v>
      </c>
      <c r="F1942" s="34">
        <v>2021.0</v>
      </c>
      <c r="G1942" s="34" t="s">
        <v>2935</v>
      </c>
      <c r="H1942" s="34" t="s">
        <v>816</v>
      </c>
      <c r="I1942" s="34" t="s">
        <v>2936</v>
      </c>
      <c r="J1942" s="35"/>
      <c r="K1942" s="36"/>
      <c r="L1942" s="36">
        <v>558.0</v>
      </c>
      <c r="M1942" s="36"/>
      <c r="N1942" s="36"/>
      <c r="O1942" s="36"/>
      <c r="P1942" s="37">
        <v>-5.0</v>
      </c>
      <c r="Q1942" s="36" t="s">
        <v>1393</v>
      </c>
      <c r="R1942" s="36" t="s">
        <v>96</v>
      </c>
      <c r="S1942" s="36">
        <v>1000.0</v>
      </c>
      <c r="T1942" s="36" t="s">
        <v>242</v>
      </c>
      <c r="U1942" s="36" t="s">
        <v>2955</v>
      </c>
      <c r="V1942" s="36">
        <f>365+365+233</f>
        <v>963</v>
      </c>
      <c r="W1942" s="36"/>
      <c r="X1942" s="38">
        <v>1.0</v>
      </c>
      <c r="Y1942" s="38" t="s">
        <v>2981</v>
      </c>
      <c r="Z1942" s="38" t="s">
        <v>2977</v>
      </c>
      <c r="AA1942" s="38" t="s">
        <v>86</v>
      </c>
      <c r="AB1942" s="38" t="s">
        <v>2978</v>
      </c>
      <c r="AC1942" s="38" t="s">
        <v>2979</v>
      </c>
      <c r="AD1942" s="38" t="s">
        <v>2980</v>
      </c>
      <c r="AE1942" s="38"/>
      <c r="AF1942" s="38" t="s">
        <v>238</v>
      </c>
      <c r="AG1942" s="38" t="s">
        <v>1459</v>
      </c>
      <c r="AH1942" s="38"/>
      <c r="AI1942" s="50">
        <v>35.181714</v>
      </c>
      <c r="AJ1942" s="50">
        <v>9.545662</v>
      </c>
      <c r="AK1942" s="41" t="s">
        <v>86</v>
      </c>
      <c r="AL1942" s="40" t="s">
        <v>86</v>
      </c>
      <c r="AM1942" s="49">
        <v>369.0</v>
      </c>
      <c r="AN1942" s="51">
        <v>369.0</v>
      </c>
      <c r="AO1942" s="42" t="s">
        <v>355</v>
      </c>
      <c r="AP1942" s="43" t="s">
        <v>355</v>
      </c>
      <c r="AQ1942" s="44" t="str">
        <f t="shared" si="217"/>
        <v>CRO</v>
      </c>
      <c r="AR1942" s="44">
        <f t="shared" si="199"/>
        <v>369</v>
      </c>
      <c r="AS1942" s="44" t="str">
        <f t="shared" si="222"/>
        <v>B</v>
      </c>
      <c r="AT1942" s="44" t="str">
        <f t="shared" si="202"/>
        <v>BW</v>
      </c>
      <c r="AU1942" s="44" t="str">
        <f t="shared" si="203"/>
        <v>BWh</v>
      </c>
      <c r="AV1942" s="38">
        <v>3.0</v>
      </c>
      <c r="AW1942" s="38"/>
      <c r="AX1942" s="38"/>
      <c r="AY1942" s="38"/>
      <c r="AZ1942" s="29">
        <v>1000.0</v>
      </c>
      <c r="BA1942" s="29"/>
      <c r="BB1942" s="29">
        <v>1.0</v>
      </c>
      <c r="BC1942" s="29" t="s">
        <v>2991</v>
      </c>
      <c r="BD1942" s="29" t="s">
        <v>88</v>
      </c>
      <c r="BE1942" s="29" t="s">
        <v>263</v>
      </c>
      <c r="BF1942" s="29" t="s">
        <v>2942</v>
      </c>
      <c r="BG1942" s="29" t="s">
        <v>91</v>
      </c>
      <c r="BH1942" s="29" t="s">
        <v>88</v>
      </c>
      <c r="BI1942" s="29" t="s">
        <v>1438</v>
      </c>
      <c r="BJ1942" s="29"/>
      <c r="BK1942" s="29" t="s">
        <v>148</v>
      </c>
      <c r="BL1942" s="29" t="s">
        <v>148</v>
      </c>
      <c r="BM1942" s="45"/>
      <c r="BN1942" s="45"/>
      <c r="BO1942" s="46"/>
      <c r="BP1942" s="2" t="s">
        <v>2993</v>
      </c>
      <c r="BQ1942" s="3"/>
    </row>
    <row r="1943" ht="15.75" customHeight="1">
      <c r="A1943" s="34">
        <v>2055.0</v>
      </c>
      <c r="B1943" s="34">
        <v>104246.0</v>
      </c>
      <c r="C1943" s="34" t="s">
        <v>76</v>
      </c>
      <c r="D1943" s="34" t="s">
        <v>2933</v>
      </c>
      <c r="E1943" s="34" t="s">
        <v>2934</v>
      </c>
      <c r="F1943" s="34">
        <v>2021.0</v>
      </c>
      <c r="G1943" s="34" t="s">
        <v>2935</v>
      </c>
      <c r="H1943" s="34" t="s">
        <v>816</v>
      </c>
      <c r="I1943" s="34" t="s">
        <v>2936</v>
      </c>
      <c r="J1943" s="35"/>
      <c r="K1943" s="36"/>
      <c r="L1943" s="36">
        <v>288.0</v>
      </c>
      <c r="M1943" s="36"/>
      <c r="N1943" s="36"/>
      <c r="O1943" s="36"/>
      <c r="P1943" s="37">
        <v>-11.0</v>
      </c>
      <c r="Q1943" s="36" t="s">
        <v>1393</v>
      </c>
      <c r="R1943" s="36" t="s">
        <v>96</v>
      </c>
      <c r="S1943" s="36">
        <v>1000.0</v>
      </c>
      <c r="T1943" s="36" t="s">
        <v>295</v>
      </c>
      <c r="U1943" s="36" t="s">
        <v>968</v>
      </c>
      <c r="V1943" s="36">
        <v>148.0</v>
      </c>
      <c r="W1943" s="36"/>
      <c r="X1943" s="38">
        <v>1.0</v>
      </c>
      <c r="Y1943" s="38" t="s">
        <v>2982</v>
      </c>
      <c r="Z1943" s="38" t="s">
        <v>2983</v>
      </c>
      <c r="AA1943" s="38" t="s">
        <v>86</v>
      </c>
      <c r="AB1943" s="38" t="s">
        <v>2984</v>
      </c>
      <c r="AC1943" s="38" t="s">
        <v>2985</v>
      </c>
      <c r="AD1943" s="38" t="s">
        <v>2235</v>
      </c>
      <c r="AE1943" s="53"/>
      <c r="AF1943" s="38" t="s">
        <v>2316</v>
      </c>
      <c r="AG1943" s="38"/>
      <c r="AH1943" s="38"/>
      <c r="AI1943" s="50">
        <v>31.6725</v>
      </c>
      <c r="AJ1943" s="50">
        <v>-7.59597</v>
      </c>
      <c r="AK1943" s="41" t="s">
        <v>86</v>
      </c>
      <c r="AL1943" s="40" t="s">
        <v>86</v>
      </c>
      <c r="AM1943" s="49">
        <v>572.0</v>
      </c>
      <c r="AN1943" s="51">
        <v>572.0</v>
      </c>
      <c r="AO1943" s="42" t="s">
        <v>304</v>
      </c>
      <c r="AP1943" s="43" t="s">
        <v>304</v>
      </c>
      <c r="AQ1943" s="44" t="str">
        <f t="shared" si="217"/>
        <v>CRO</v>
      </c>
      <c r="AR1943" s="44">
        <f t="shared" si="199"/>
        <v>572</v>
      </c>
      <c r="AS1943" s="44" t="str">
        <f t="shared" si="222"/>
        <v>B</v>
      </c>
      <c r="AT1943" s="44" t="str">
        <f t="shared" si="202"/>
        <v>BS</v>
      </c>
      <c r="AU1943" s="44" t="str">
        <f t="shared" si="203"/>
        <v>BSh</v>
      </c>
      <c r="AV1943" s="38">
        <v>2.0</v>
      </c>
      <c r="AW1943" s="38"/>
      <c r="AX1943" s="38"/>
      <c r="AY1943" s="38"/>
      <c r="AZ1943" s="29">
        <v>1000.0</v>
      </c>
      <c r="BA1943" s="29"/>
      <c r="BB1943" s="29">
        <v>1.0</v>
      </c>
      <c r="BC1943" s="29" t="s">
        <v>2991</v>
      </c>
      <c r="BD1943" s="29" t="s">
        <v>88</v>
      </c>
      <c r="BE1943" s="29" t="s">
        <v>263</v>
      </c>
      <c r="BF1943" s="29" t="s">
        <v>2942</v>
      </c>
      <c r="BG1943" s="29" t="s">
        <v>91</v>
      </c>
      <c r="BH1943" s="29" t="s">
        <v>88</v>
      </c>
      <c r="BI1943" s="29" t="s">
        <v>1438</v>
      </c>
      <c r="BJ1943" s="29"/>
      <c r="BK1943" s="29" t="s">
        <v>148</v>
      </c>
      <c r="BL1943" s="29" t="s">
        <v>148</v>
      </c>
      <c r="BM1943" s="45"/>
      <c r="BN1943" s="45"/>
      <c r="BO1943" s="46"/>
      <c r="BP1943" s="2"/>
      <c r="BQ1943" s="3"/>
    </row>
    <row r="1944" ht="15.75" customHeight="1">
      <c r="A1944" s="34">
        <v>2056.0</v>
      </c>
      <c r="B1944" s="34">
        <v>104246.0</v>
      </c>
      <c r="C1944" s="34" t="s">
        <v>76</v>
      </c>
      <c r="D1944" s="34" t="s">
        <v>2933</v>
      </c>
      <c r="E1944" s="34" t="s">
        <v>2934</v>
      </c>
      <c r="F1944" s="34">
        <v>2021.0</v>
      </c>
      <c r="G1944" s="34" t="s">
        <v>2935</v>
      </c>
      <c r="H1944" s="34" t="s">
        <v>816</v>
      </c>
      <c r="I1944" s="34" t="s">
        <v>2936</v>
      </c>
      <c r="J1944" s="35"/>
      <c r="K1944" s="36"/>
      <c r="L1944" s="36">
        <v>375.0</v>
      </c>
      <c r="M1944" s="36"/>
      <c r="N1944" s="36"/>
      <c r="O1944" s="36"/>
      <c r="P1944" s="37">
        <v>-11.0</v>
      </c>
      <c r="Q1944" s="36" t="s">
        <v>1393</v>
      </c>
      <c r="R1944" s="36" t="s">
        <v>96</v>
      </c>
      <c r="S1944" s="36">
        <v>1000.0</v>
      </c>
      <c r="T1944" s="36" t="s">
        <v>341</v>
      </c>
      <c r="U1944" s="36" t="s">
        <v>285</v>
      </c>
      <c r="V1944" s="36">
        <v>246.0</v>
      </c>
      <c r="W1944" s="36"/>
      <c r="X1944" s="38">
        <v>1.0</v>
      </c>
      <c r="Y1944" s="38" t="s">
        <v>2937</v>
      </c>
      <c r="Z1944" s="38" t="s">
        <v>2938</v>
      </c>
      <c r="AA1944" s="38" t="s">
        <v>86</v>
      </c>
      <c r="AB1944" s="38" t="s">
        <v>2939</v>
      </c>
      <c r="AC1944" s="38" t="s">
        <v>2940</v>
      </c>
      <c r="AD1944" s="38" t="s">
        <v>382</v>
      </c>
      <c r="AE1944" s="38"/>
      <c r="AF1944" s="38" t="s">
        <v>2316</v>
      </c>
      <c r="AG1944" s="38" t="s">
        <v>2928</v>
      </c>
      <c r="AH1944" s="38"/>
      <c r="AI1944" s="50">
        <v>43.5497</v>
      </c>
      <c r="AJ1944" s="50">
        <v>1.1061</v>
      </c>
      <c r="AK1944" s="41" t="s">
        <v>86</v>
      </c>
      <c r="AL1944" s="40" t="s">
        <v>86</v>
      </c>
      <c r="AM1944" s="49">
        <v>246.0</v>
      </c>
      <c r="AN1944" s="51">
        <v>246.0</v>
      </c>
      <c r="AO1944" s="42" t="s">
        <v>376</v>
      </c>
      <c r="AP1944" s="43" t="s">
        <v>376</v>
      </c>
      <c r="AQ1944" s="44" t="str">
        <f t="shared" si="217"/>
        <v>CRO</v>
      </c>
      <c r="AR1944" s="44">
        <f t="shared" si="199"/>
        <v>246</v>
      </c>
      <c r="AS1944" s="44" t="str">
        <f t="shared" si="222"/>
        <v>C</v>
      </c>
      <c r="AT1944" s="44" t="str">
        <f t="shared" si="202"/>
        <v>Cf</v>
      </c>
      <c r="AU1944" s="44" t="str">
        <f t="shared" si="203"/>
        <v>Cfb</v>
      </c>
      <c r="AV1944" s="38">
        <v>2.0</v>
      </c>
      <c r="AW1944" s="38"/>
      <c r="AX1944" s="38"/>
      <c r="AY1944" s="38"/>
      <c r="AZ1944" s="29">
        <v>1000.0</v>
      </c>
      <c r="BA1944" s="29"/>
      <c r="BB1944" s="29">
        <v>1.0</v>
      </c>
      <c r="BC1944" s="29" t="s">
        <v>2994</v>
      </c>
      <c r="BD1944" s="29" t="s">
        <v>88</v>
      </c>
      <c r="BE1944" s="29" t="s">
        <v>263</v>
      </c>
      <c r="BF1944" s="29" t="s">
        <v>2942</v>
      </c>
      <c r="BG1944" s="29" t="s">
        <v>91</v>
      </c>
      <c r="BH1944" s="29" t="s">
        <v>88</v>
      </c>
      <c r="BI1944" s="29" t="s">
        <v>1438</v>
      </c>
      <c r="BJ1944" s="29"/>
      <c r="BK1944" s="29" t="s">
        <v>148</v>
      </c>
      <c r="BL1944" s="29" t="s">
        <v>148</v>
      </c>
      <c r="BM1944" s="45"/>
      <c r="BN1944" s="45"/>
      <c r="BO1944" s="46"/>
      <c r="BP1944" s="2"/>
      <c r="BQ1944" s="3"/>
    </row>
    <row r="1945" ht="15.75" customHeight="1">
      <c r="A1945" s="34">
        <v>2057.0</v>
      </c>
      <c r="B1945" s="34">
        <v>104246.0</v>
      </c>
      <c r="C1945" s="34" t="s">
        <v>76</v>
      </c>
      <c r="D1945" s="34" t="s">
        <v>2933</v>
      </c>
      <c r="E1945" s="34" t="s">
        <v>2934</v>
      </c>
      <c r="F1945" s="34">
        <v>2021.0</v>
      </c>
      <c r="G1945" s="34" t="s">
        <v>2935</v>
      </c>
      <c r="H1945" s="34" t="s">
        <v>816</v>
      </c>
      <c r="I1945" s="34" t="s">
        <v>2936</v>
      </c>
      <c r="J1945" s="35"/>
      <c r="K1945" s="36"/>
      <c r="L1945" s="36">
        <v>268.0</v>
      </c>
      <c r="M1945" s="36"/>
      <c r="N1945" s="36"/>
      <c r="O1945" s="36"/>
      <c r="P1945" s="37">
        <v>13.0</v>
      </c>
      <c r="Q1945" s="36" t="s">
        <v>1393</v>
      </c>
      <c r="R1945" s="36" t="s">
        <v>96</v>
      </c>
      <c r="S1945" s="36">
        <v>1000.0</v>
      </c>
      <c r="T1945" s="36" t="s">
        <v>350</v>
      </c>
      <c r="U1945" s="36" t="s">
        <v>342</v>
      </c>
      <c r="V1945" s="36">
        <v>164.0</v>
      </c>
      <c r="W1945" s="36"/>
      <c r="X1945" s="38">
        <v>1.0</v>
      </c>
      <c r="Y1945" s="38" t="s">
        <v>2943</v>
      </c>
      <c r="Z1945" s="38" t="s">
        <v>2938</v>
      </c>
      <c r="AA1945" s="38" t="s">
        <v>86</v>
      </c>
      <c r="AB1945" s="38" t="s">
        <v>2939</v>
      </c>
      <c r="AC1945" s="38" t="s">
        <v>2940</v>
      </c>
      <c r="AD1945" s="38" t="s">
        <v>382</v>
      </c>
      <c r="AE1945" s="38"/>
      <c r="AF1945" s="38" t="s">
        <v>2944</v>
      </c>
      <c r="AG1945" s="38" t="s">
        <v>2928</v>
      </c>
      <c r="AH1945" s="38"/>
      <c r="AI1945" s="50">
        <v>43.5497</v>
      </c>
      <c r="AJ1945" s="50">
        <v>1.1061</v>
      </c>
      <c r="AK1945" s="41" t="s">
        <v>86</v>
      </c>
      <c r="AL1945" s="40" t="s">
        <v>86</v>
      </c>
      <c r="AM1945" s="49">
        <v>246.0</v>
      </c>
      <c r="AN1945" s="51">
        <v>246.0</v>
      </c>
      <c r="AO1945" s="42" t="s">
        <v>376</v>
      </c>
      <c r="AP1945" s="43" t="s">
        <v>376</v>
      </c>
      <c r="AQ1945" s="44" t="str">
        <f t="shared" si="217"/>
        <v>CRO</v>
      </c>
      <c r="AR1945" s="44">
        <f t="shared" si="199"/>
        <v>246</v>
      </c>
      <c r="AS1945" s="44" t="str">
        <f t="shared" si="222"/>
        <v>C</v>
      </c>
      <c r="AT1945" s="44" t="str">
        <f t="shared" si="202"/>
        <v>Cf</v>
      </c>
      <c r="AU1945" s="44" t="str">
        <f t="shared" si="203"/>
        <v>Cfb</v>
      </c>
      <c r="AV1945" s="38">
        <v>2.0</v>
      </c>
      <c r="AW1945" s="38"/>
      <c r="AX1945" s="38"/>
      <c r="AY1945" s="38"/>
      <c r="AZ1945" s="29">
        <v>1000.0</v>
      </c>
      <c r="BA1945" s="29"/>
      <c r="BB1945" s="29">
        <v>1.0</v>
      </c>
      <c r="BC1945" s="29" t="s">
        <v>2994</v>
      </c>
      <c r="BD1945" s="29" t="s">
        <v>88</v>
      </c>
      <c r="BE1945" s="29" t="s">
        <v>263</v>
      </c>
      <c r="BF1945" s="29" t="s">
        <v>2942</v>
      </c>
      <c r="BG1945" s="29" t="s">
        <v>91</v>
      </c>
      <c r="BH1945" s="29" t="s">
        <v>88</v>
      </c>
      <c r="BI1945" s="29" t="s">
        <v>1438</v>
      </c>
      <c r="BJ1945" s="29"/>
      <c r="BK1945" s="29" t="s">
        <v>148</v>
      </c>
      <c r="BL1945" s="29" t="s">
        <v>148</v>
      </c>
      <c r="BM1945" s="45"/>
      <c r="BN1945" s="45"/>
      <c r="BO1945" s="46"/>
      <c r="BP1945" s="2"/>
      <c r="BQ1945" s="3"/>
    </row>
    <row r="1946" ht="15.75" customHeight="1">
      <c r="A1946" s="34">
        <v>2058.0</v>
      </c>
      <c r="B1946" s="34">
        <v>104246.0</v>
      </c>
      <c r="C1946" s="34" t="s">
        <v>76</v>
      </c>
      <c r="D1946" s="34" t="s">
        <v>2933</v>
      </c>
      <c r="E1946" s="34" t="s">
        <v>2934</v>
      </c>
      <c r="F1946" s="34">
        <v>2021.0</v>
      </c>
      <c r="G1946" s="34" t="s">
        <v>2935</v>
      </c>
      <c r="H1946" s="34" t="s">
        <v>816</v>
      </c>
      <c r="I1946" s="34" t="s">
        <v>2936</v>
      </c>
      <c r="J1946" s="35"/>
      <c r="K1946" s="36"/>
      <c r="L1946" s="36">
        <v>218.0</v>
      </c>
      <c r="M1946" s="36"/>
      <c r="N1946" s="36"/>
      <c r="O1946" s="36"/>
      <c r="P1946" s="37">
        <v>5.0</v>
      </c>
      <c r="Q1946" s="36" t="s">
        <v>1393</v>
      </c>
      <c r="R1946" s="36" t="s">
        <v>96</v>
      </c>
      <c r="S1946" s="36">
        <v>1000.0</v>
      </c>
      <c r="T1946" s="36" t="s">
        <v>506</v>
      </c>
      <c r="U1946" s="36" t="s">
        <v>676</v>
      </c>
      <c r="V1946" s="36">
        <v>258.0</v>
      </c>
      <c r="W1946" s="36"/>
      <c r="X1946" s="38">
        <v>1.0</v>
      </c>
      <c r="Y1946" s="38" t="s">
        <v>2945</v>
      </c>
      <c r="Z1946" s="38" t="s">
        <v>2938</v>
      </c>
      <c r="AA1946" s="38" t="s">
        <v>86</v>
      </c>
      <c r="AB1946" s="38" t="s">
        <v>2939</v>
      </c>
      <c r="AC1946" s="38" t="s">
        <v>2940</v>
      </c>
      <c r="AD1946" s="38" t="s">
        <v>382</v>
      </c>
      <c r="AE1946" s="38"/>
      <c r="AF1946" s="38" t="s">
        <v>2316</v>
      </c>
      <c r="AG1946" s="38" t="s">
        <v>2928</v>
      </c>
      <c r="AH1946" s="38"/>
      <c r="AI1946" s="50">
        <v>43.5497</v>
      </c>
      <c r="AJ1946" s="50">
        <v>1.1061</v>
      </c>
      <c r="AK1946" s="41" t="s">
        <v>86</v>
      </c>
      <c r="AL1946" s="40" t="s">
        <v>86</v>
      </c>
      <c r="AM1946" s="49">
        <v>246.0</v>
      </c>
      <c r="AN1946" s="51">
        <v>246.0</v>
      </c>
      <c r="AO1946" s="42" t="s">
        <v>376</v>
      </c>
      <c r="AP1946" s="43" t="s">
        <v>376</v>
      </c>
      <c r="AQ1946" s="44" t="str">
        <f t="shared" si="217"/>
        <v>CRO</v>
      </c>
      <c r="AR1946" s="44">
        <f t="shared" si="199"/>
        <v>246</v>
      </c>
      <c r="AS1946" s="44" t="str">
        <f t="shared" si="222"/>
        <v>C</v>
      </c>
      <c r="AT1946" s="44" t="str">
        <f t="shared" si="202"/>
        <v>Cf</v>
      </c>
      <c r="AU1946" s="44" t="str">
        <f t="shared" si="203"/>
        <v>Cfb</v>
      </c>
      <c r="AV1946" s="38">
        <v>2.0</v>
      </c>
      <c r="AW1946" s="38"/>
      <c r="AX1946" s="38"/>
      <c r="AY1946" s="38"/>
      <c r="AZ1946" s="29">
        <v>1000.0</v>
      </c>
      <c r="BA1946" s="29"/>
      <c r="BB1946" s="29">
        <v>1.0</v>
      </c>
      <c r="BC1946" s="29" t="s">
        <v>2994</v>
      </c>
      <c r="BD1946" s="29" t="s">
        <v>88</v>
      </c>
      <c r="BE1946" s="29" t="s">
        <v>263</v>
      </c>
      <c r="BF1946" s="29" t="s">
        <v>2942</v>
      </c>
      <c r="BG1946" s="29" t="s">
        <v>91</v>
      </c>
      <c r="BH1946" s="29" t="s">
        <v>88</v>
      </c>
      <c r="BI1946" s="29" t="s">
        <v>1438</v>
      </c>
      <c r="BJ1946" s="29"/>
      <c r="BK1946" s="29" t="s">
        <v>148</v>
      </c>
      <c r="BL1946" s="29" t="s">
        <v>148</v>
      </c>
      <c r="BM1946" s="45"/>
      <c r="BN1946" s="45"/>
      <c r="BO1946" s="46"/>
      <c r="BP1946" s="2"/>
      <c r="BQ1946" s="3"/>
    </row>
    <row r="1947" ht="15.75" customHeight="1">
      <c r="A1947" s="34">
        <v>2059.0</v>
      </c>
      <c r="B1947" s="34">
        <v>104246.0</v>
      </c>
      <c r="C1947" s="34" t="s">
        <v>76</v>
      </c>
      <c r="D1947" s="34" t="s">
        <v>2933</v>
      </c>
      <c r="E1947" s="34" t="s">
        <v>2934</v>
      </c>
      <c r="F1947" s="34">
        <v>2021.0</v>
      </c>
      <c r="G1947" s="34" t="s">
        <v>2935</v>
      </c>
      <c r="H1947" s="34" t="s">
        <v>816</v>
      </c>
      <c r="I1947" s="34" t="s">
        <v>2936</v>
      </c>
      <c r="J1947" s="35"/>
      <c r="K1947" s="36"/>
      <c r="L1947" s="36">
        <v>340.0</v>
      </c>
      <c r="M1947" s="36"/>
      <c r="N1947" s="36"/>
      <c r="O1947" s="36"/>
      <c r="P1947" s="37">
        <v>16.0</v>
      </c>
      <c r="Q1947" s="36" t="s">
        <v>1393</v>
      </c>
      <c r="R1947" s="36" t="s">
        <v>96</v>
      </c>
      <c r="S1947" s="36">
        <v>1000.0</v>
      </c>
      <c r="T1947" s="36" t="s">
        <v>350</v>
      </c>
      <c r="U1947" s="36" t="s">
        <v>342</v>
      </c>
      <c r="V1947" s="36">
        <v>269.0</v>
      </c>
      <c r="W1947" s="36"/>
      <c r="X1947" s="38">
        <v>1.0</v>
      </c>
      <c r="Y1947" s="38" t="s">
        <v>2946</v>
      </c>
      <c r="Z1947" s="38" t="s">
        <v>2947</v>
      </c>
      <c r="AA1947" s="38" t="s">
        <v>86</v>
      </c>
      <c r="AB1947" s="38" t="s">
        <v>2948</v>
      </c>
      <c r="AC1947" s="38" t="s">
        <v>2949</v>
      </c>
      <c r="AD1947" s="38" t="s">
        <v>382</v>
      </c>
      <c r="AE1947" s="38"/>
      <c r="AF1947" s="38" t="s">
        <v>2316</v>
      </c>
      <c r="AG1947" s="38" t="s">
        <v>2928</v>
      </c>
      <c r="AH1947" s="38"/>
      <c r="AI1947" s="50">
        <v>43.4965</v>
      </c>
      <c r="AJ1947" s="50">
        <v>1.2379</v>
      </c>
      <c r="AK1947" s="41" t="s">
        <v>86</v>
      </c>
      <c r="AL1947" s="40" t="s">
        <v>86</v>
      </c>
      <c r="AM1947" s="49">
        <v>181.0</v>
      </c>
      <c r="AN1947" s="51">
        <v>181.0</v>
      </c>
      <c r="AO1947" s="42" t="s">
        <v>201</v>
      </c>
      <c r="AP1947" s="43" t="s">
        <v>201</v>
      </c>
      <c r="AQ1947" s="44" t="str">
        <f t="shared" si="217"/>
        <v>CRO</v>
      </c>
      <c r="AR1947" s="44">
        <f t="shared" si="199"/>
        <v>181</v>
      </c>
      <c r="AS1947" s="44" t="str">
        <f t="shared" si="222"/>
        <v>C</v>
      </c>
      <c r="AT1947" s="44" t="str">
        <f t="shared" si="202"/>
        <v>Cf</v>
      </c>
      <c r="AU1947" s="44" t="str">
        <f t="shared" si="203"/>
        <v>Cfa</v>
      </c>
      <c r="AV1947" s="38">
        <v>2.0</v>
      </c>
      <c r="AW1947" s="38"/>
      <c r="AX1947" s="38"/>
      <c r="AY1947" s="38"/>
      <c r="AZ1947" s="29">
        <v>1000.0</v>
      </c>
      <c r="BA1947" s="29"/>
      <c r="BB1947" s="29">
        <v>1.0</v>
      </c>
      <c r="BC1947" s="29" t="s">
        <v>2994</v>
      </c>
      <c r="BD1947" s="29" t="s">
        <v>88</v>
      </c>
      <c r="BE1947" s="29" t="s">
        <v>263</v>
      </c>
      <c r="BF1947" s="29" t="s">
        <v>2942</v>
      </c>
      <c r="BG1947" s="29" t="s">
        <v>91</v>
      </c>
      <c r="BH1947" s="29" t="s">
        <v>88</v>
      </c>
      <c r="BI1947" s="29" t="s">
        <v>1438</v>
      </c>
      <c r="BJ1947" s="29"/>
      <c r="BK1947" s="29" t="s">
        <v>148</v>
      </c>
      <c r="BL1947" s="29" t="s">
        <v>148</v>
      </c>
      <c r="BM1947" s="45"/>
      <c r="BN1947" s="45"/>
      <c r="BO1947" s="46"/>
      <c r="BP1947" s="2"/>
      <c r="BQ1947" s="3"/>
    </row>
    <row r="1948" ht="15.75" customHeight="1">
      <c r="A1948" s="34">
        <v>2060.0</v>
      </c>
      <c r="B1948" s="34">
        <v>104246.0</v>
      </c>
      <c r="C1948" s="34" t="s">
        <v>76</v>
      </c>
      <c r="D1948" s="34" t="s">
        <v>2933</v>
      </c>
      <c r="E1948" s="34" t="s">
        <v>2934</v>
      </c>
      <c r="F1948" s="34">
        <v>2021.0</v>
      </c>
      <c r="G1948" s="34" t="s">
        <v>2935</v>
      </c>
      <c r="H1948" s="34" t="s">
        <v>816</v>
      </c>
      <c r="I1948" s="34" t="s">
        <v>2936</v>
      </c>
      <c r="J1948" s="35"/>
      <c r="K1948" s="36"/>
      <c r="L1948" s="36">
        <v>427.0</v>
      </c>
      <c r="M1948" s="36"/>
      <c r="N1948" s="36"/>
      <c r="O1948" s="36"/>
      <c r="P1948" s="37">
        <v>-8.0</v>
      </c>
      <c r="Q1948" s="36" t="s">
        <v>1393</v>
      </c>
      <c r="R1948" s="36" t="s">
        <v>96</v>
      </c>
      <c r="S1948" s="36">
        <v>1000.0</v>
      </c>
      <c r="T1948" s="36" t="s">
        <v>506</v>
      </c>
      <c r="U1948" s="36" t="s">
        <v>676</v>
      </c>
      <c r="V1948" s="36">
        <v>161.0</v>
      </c>
      <c r="W1948" s="36"/>
      <c r="X1948" s="38">
        <v>1.0</v>
      </c>
      <c r="Y1948" s="38" t="s">
        <v>2950</v>
      </c>
      <c r="Z1948" s="38" t="s">
        <v>2947</v>
      </c>
      <c r="AA1948" s="38" t="s">
        <v>86</v>
      </c>
      <c r="AB1948" s="38" t="s">
        <v>2948</v>
      </c>
      <c r="AC1948" s="38" t="s">
        <v>2949</v>
      </c>
      <c r="AD1948" s="38" t="s">
        <v>382</v>
      </c>
      <c r="AE1948" s="38"/>
      <c r="AF1948" s="38" t="s">
        <v>525</v>
      </c>
      <c r="AG1948" s="38" t="s">
        <v>2928</v>
      </c>
      <c r="AH1948" s="38"/>
      <c r="AI1948" s="50">
        <v>43.4965</v>
      </c>
      <c r="AJ1948" s="50">
        <v>1.2379</v>
      </c>
      <c r="AK1948" s="41" t="s">
        <v>86</v>
      </c>
      <c r="AL1948" s="40" t="s">
        <v>86</v>
      </c>
      <c r="AM1948" s="49">
        <v>181.0</v>
      </c>
      <c r="AN1948" s="51">
        <v>181.0</v>
      </c>
      <c r="AO1948" s="42" t="s">
        <v>201</v>
      </c>
      <c r="AP1948" s="43" t="s">
        <v>201</v>
      </c>
      <c r="AQ1948" s="44" t="str">
        <f t="shared" si="217"/>
        <v>CRO</v>
      </c>
      <c r="AR1948" s="44">
        <f t="shared" si="199"/>
        <v>181</v>
      </c>
      <c r="AS1948" s="44" t="str">
        <f t="shared" si="222"/>
        <v>C</v>
      </c>
      <c r="AT1948" s="44" t="str">
        <f t="shared" si="202"/>
        <v>Cf</v>
      </c>
      <c r="AU1948" s="44" t="str">
        <f t="shared" si="203"/>
        <v>Cfa</v>
      </c>
      <c r="AV1948" s="38">
        <v>2.0</v>
      </c>
      <c r="AW1948" s="38"/>
      <c r="AX1948" s="38"/>
      <c r="AY1948" s="38"/>
      <c r="AZ1948" s="29">
        <v>1000.0</v>
      </c>
      <c r="BA1948" s="29"/>
      <c r="BB1948" s="29">
        <v>1.0</v>
      </c>
      <c r="BC1948" s="29" t="s">
        <v>2994</v>
      </c>
      <c r="BD1948" s="29" t="s">
        <v>88</v>
      </c>
      <c r="BE1948" s="29" t="s">
        <v>263</v>
      </c>
      <c r="BF1948" s="29" t="s">
        <v>2942</v>
      </c>
      <c r="BG1948" s="29" t="s">
        <v>91</v>
      </c>
      <c r="BH1948" s="29" t="s">
        <v>88</v>
      </c>
      <c r="BI1948" s="29" t="s">
        <v>1438</v>
      </c>
      <c r="BJ1948" s="29"/>
      <c r="BK1948" s="29" t="s">
        <v>148</v>
      </c>
      <c r="BL1948" s="29" t="s">
        <v>148</v>
      </c>
      <c r="BM1948" s="45"/>
      <c r="BN1948" s="45"/>
      <c r="BO1948" s="46"/>
      <c r="BP1948" s="2"/>
      <c r="BQ1948" s="3"/>
    </row>
    <row r="1949" ht="15.75" customHeight="1">
      <c r="A1949" s="34">
        <v>2061.0</v>
      </c>
      <c r="B1949" s="34">
        <v>104246.0</v>
      </c>
      <c r="C1949" s="34" t="s">
        <v>76</v>
      </c>
      <c r="D1949" s="34" t="s">
        <v>2933</v>
      </c>
      <c r="E1949" s="34" t="s">
        <v>2934</v>
      </c>
      <c r="F1949" s="34">
        <v>2021.0</v>
      </c>
      <c r="G1949" s="34" t="s">
        <v>2935</v>
      </c>
      <c r="H1949" s="34" t="s">
        <v>816</v>
      </c>
      <c r="I1949" s="34" t="s">
        <v>2936</v>
      </c>
      <c r="J1949" s="35"/>
      <c r="K1949" s="36"/>
      <c r="L1949" s="36">
        <v>251.0</v>
      </c>
      <c r="M1949" s="36"/>
      <c r="N1949" s="36"/>
      <c r="O1949" s="36"/>
      <c r="P1949" s="37">
        <v>38.0</v>
      </c>
      <c r="Q1949" s="36" t="s">
        <v>1393</v>
      </c>
      <c r="R1949" s="36" t="s">
        <v>96</v>
      </c>
      <c r="S1949" s="36">
        <v>1000.0</v>
      </c>
      <c r="T1949" s="36" t="s">
        <v>536</v>
      </c>
      <c r="U1949" s="36" t="s">
        <v>351</v>
      </c>
      <c r="V1949" s="36">
        <v>237.0</v>
      </c>
      <c r="W1949" s="36"/>
      <c r="X1949" s="38">
        <v>1.0</v>
      </c>
      <c r="Y1949" s="38" t="s">
        <v>2951</v>
      </c>
      <c r="Z1949" s="38" t="s">
        <v>2947</v>
      </c>
      <c r="AA1949" s="38" t="s">
        <v>86</v>
      </c>
      <c r="AB1949" s="38" t="s">
        <v>2948</v>
      </c>
      <c r="AC1949" s="38" t="s">
        <v>2949</v>
      </c>
      <c r="AD1949" s="38" t="s">
        <v>382</v>
      </c>
      <c r="AE1949" s="38"/>
      <c r="AF1949" s="38" t="s">
        <v>2316</v>
      </c>
      <c r="AG1949" s="38" t="s">
        <v>2928</v>
      </c>
      <c r="AH1949" s="38"/>
      <c r="AI1949" s="50">
        <v>43.4965</v>
      </c>
      <c r="AJ1949" s="50">
        <v>1.2379</v>
      </c>
      <c r="AK1949" s="41" t="s">
        <v>86</v>
      </c>
      <c r="AL1949" s="40" t="s">
        <v>86</v>
      </c>
      <c r="AM1949" s="49">
        <v>181.0</v>
      </c>
      <c r="AN1949" s="51">
        <v>181.0</v>
      </c>
      <c r="AO1949" s="42" t="s">
        <v>201</v>
      </c>
      <c r="AP1949" s="43" t="s">
        <v>201</v>
      </c>
      <c r="AQ1949" s="44" t="str">
        <f t="shared" si="217"/>
        <v>CRO</v>
      </c>
      <c r="AR1949" s="44">
        <f t="shared" si="199"/>
        <v>181</v>
      </c>
      <c r="AS1949" s="44" t="str">
        <f t="shared" si="222"/>
        <v>C</v>
      </c>
      <c r="AT1949" s="44" t="str">
        <f t="shared" si="202"/>
        <v>Cf</v>
      </c>
      <c r="AU1949" s="44" t="str">
        <f t="shared" si="203"/>
        <v>Cfa</v>
      </c>
      <c r="AV1949" s="38">
        <v>2.0</v>
      </c>
      <c r="AW1949" s="38"/>
      <c r="AX1949" s="38"/>
      <c r="AY1949" s="38"/>
      <c r="AZ1949" s="29">
        <v>1000.0</v>
      </c>
      <c r="BA1949" s="29"/>
      <c r="BB1949" s="29">
        <v>1.0</v>
      </c>
      <c r="BC1949" s="29" t="s">
        <v>2994</v>
      </c>
      <c r="BD1949" s="29" t="s">
        <v>88</v>
      </c>
      <c r="BE1949" s="29" t="s">
        <v>263</v>
      </c>
      <c r="BF1949" s="29" t="s">
        <v>2942</v>
      </c>
      <c r="BG1949" s="29" t="s">
        <v>91</v>
      </c>
      <c r="BH1949" s="29" t="s">
        <v>88</v>
      </c>
      <c r="BI1949" s="29" t="s">
        <v>1438</v>
      </c>
      <c r="BJ1949" s="29"/>
      <c r="BK1949" s="29" t="s">
        <v>148</v>
      </c>
      <c r="BL1949" s="29" t="s">
        <v>148</v>
      </c>
      <c r="BM1949" s="45"/>
      <c r="BN1949" s="45"/>
      <c r="BO1949" s="46"/>
      <c r="BP1949" s="2"/>
      <c r="BQ1949" s="3"/>
    </row>
    <row r="1950" ht="15.75" customHeight="1">
      <c r="A1950" s="34">
        <v>2062.0</v>
      </c>
      <c r="B1950" s="34">
        <v>104246.0</v>
      </c>
      <c r="C1950" s="34" t="s">
        <v>76</v>
      </c>
      <c r="D1950" s="34" t="s">
        <v>2933</v>
      </c>
      <c r="E1950" s="34" t="s">
        <v>2934</v>
      </c>
      <c r="F1950" s="34">
        <v>2021.0</v>
      </c>
      <c r="G1950" s="34" t="s">
        <v>2935</v>
      </c>
      <c r="H1950" s="34" t="s">
        <v>816</v>
      </c>
      <c r="I1950" s="34" t="s">
        <v>2936</v>
      </c>
      <c r="J1950" s="35"/>
      <c r="K1950" s="36"/>
      <c r="L1950" s="36">
        <v>361.0</v>
      </c>
      <c r="M1950" s="36"/>
      <c r="N1950" s="36"/>
      <c r="O1950" s="36"/>
      <c r="P1950" s="37">
        <v>18.0</v>
      </c>
      <c r="Q1950" s="36" t="s">
        <v>1393</v>
      </c>
      <c r="R1950" s="36" t="s">
        <v>96</v>
      </c>
      <c r="S1950" s="36">
        <v>1000.0</v>
      </c>
      <c r="T1950" s="36" t="s">
        <v>969</v>
      </c>
      <c r="U1950" s="36" t="s">
        <v>507</v>
      </c>
      <c r="V1950" s="36">
        <v>180.0</v>
      </c>
      <c r="W1950" s="36"/>
      <c r="X1950" s="38">
        <v>1.0</v>
      </c>
      <c r="Y1950" s="38" t="s">
        <v>2952</v>
      </c>
      <c r="Z1950" s="38" t="s">
        <v>2947</v>
      </c>
      <c r="AA1950" s="38" t="s">
        <v>86</v>
      </c>
      <c r="AB1950" s="38" t="s">
        <v>2948</v>
      </c>
      <c r="AC1950" s="38" t="s">
        <v>2949</v>
      </c>
      <c r="AD1950" s="38" t="s">
        <v>382</v>
      </c>
      <c r="AE1950" s="38"/>
      <c r="AF1950" s="38" t="s">
        <v>525</v>
      </c>
      <c r="AG1950" s="38" t="s">
        <v>2928</v>
      </c>
      <c r="AH1950" s="38"/>
      <c r="AI1950" s="50">
        <v>43.4965</v>
      </c>
      <c r="AJ1950" s="50">
        <v>1.2379</v>
      </c>
      <c r="AK1950" s="41" t="s">
        <v>86</v>
      </c>
      <c r="AL1950" s="40" t="s">
        <v>86</v>
      </c>
      <c r="AM1950" s="49">
        <v>181.0</v>
      </c>
      <c r="AN1950" s="51">
        <v>181.0</v>
      </c>
      <c r="AO1950" s="42" t="s">
        <v>201</v>
      </c>
      <c r="AP1950" s="43" t="s">
        <v>201</v>
      </c>
      <c r="AQ1950" s="44" t="str">
        <f t="shared" si="217"/>
        <v>CRO</v>
      </c>
      <c r="AR1950" s="44">
        <f t="shared" si="199"/>
        <v>181</v>
      </c>
      <c r="AS1950" s="44" t="str">
        <f t="shared" si="222"/>
        <v>C</v>
      </c>
      <c r="AT1950" s="44" t="str">
        <f t="shared" si="202"/>
        <v>Cf</v>
      </c>
      <c r="AU1950" s="44" t="str">
        <f t="shared" si="203"/>
        <v>Cfa</v>
      </c>
      <c r="AV1950" s="38">
        <v>3.0</v>
      </c>
      <c r="AW1950" s="38"/>
      <c r="AX1950" s="38"/>
      <c r="AY1950" s="38"/>
      <c r="AZ1950" s="29">
        <v>1000.0</v>
      </c>
      <c r="BA1950" s="29"/>
      <c r="BB1950" s="29">
        <v>1.0</v>
      </c>
      <c r="BC1950" s="29" t="s">
        <v>2994</v>
      </c>
      <c r="BD1950" s="29" t="s">
        <v>88</v>
      </c>
      <c r="BE1950" s="29" t="s">
        <v>263</v>
      </c>
      <c r="BF1950" s="29" t="s">
        <v>2942</v>
      </c>
      <c r="BG1950" s="29" t="s">
        <v>91</v>
      </c>
      <c r="BH1950" s="29" t="s">
        <v>88</v>
      </c>
      <c r="BI1950" s="29" t="s">
        <v>1438</v>
      </c>
      <c r="BJ1950" s="29"/>
      <c r="BK1950" s="29" t="s">
        <v>148</v>
      </c>
      <c r="BL1950" s="29" t="s">
        <v>148</v>
      </c>
      <c r="BM1950" s="45"/>
      <c r="BN1950" s="45"/>
      <c r="BO1950" s="46"/>
      <c r="BP1950" s="2"/>
      <c r="BQ1950" s="3"/>
    </row>
    <row r="1951" ht="15.75" customHeight="1">
      <c r="A1951" s="34">
        <v>2063.0</v>
      </c>
      <c r="B1951" s="34">
        <v>104246.0</v>
      </c>
      <c r="C1951" s="34" t="s">
        <v>76</v>
      </c>
      <c r="D1951" s="34" t="s">
        <v>2933</v>
      </c>
      <c r="E1951" s="34" t="s">
        <v>2934</v>
      </c>
      <c r="F1951" s="34">
        <v>2021.0</v>
      </c>
      <c r="G1951" s="34" t="s">
        <v>2935</v>
      </c>
      <c r="H1951" s="34" t="s">
        <v>816</v>
      </c>
      <c r="I1951" s="34" t="s">
        <v>2936</v>
      </c>
      <c r="J1951" s="35"/>
      <c r="K1951" s="36"/>
      <c r="L1951" s="36">
        <v>416.0</v>
      </c>
      <c r="M1951" s="36"/>
      <c r="N1951" s="36"/>
      <c r="O1951" s="36"/>
      <c r="P1951" s="37">
        <v>-22.0</v>
      </c>
      <c r="Q1951" s="36" t="s">
        <v>1393</v>
      </c>
      <c r="R1951" s="36" t="s">
        <v>96</v>
      </c>
      <c r="S1951" s="36">
        <v>1000.0</v>
      </c>
      <c r="T1951" s="36" t="s">
        <v>242</v>
      </c>
      <c r="U1951" s="36" t="s">
        <v>243</v>
      </c>
      <c r="V1951" s="36">
        <v>119.0</v>
      </c>
      <c r="W1951" s="36"/>
      <c r="X1951" s="38">
        <v>1.0</v>
      </c>
      <c r="Y1951" s="38" t="s">
        <v>2953</v>
      </c>
      <c r="Z1951" s="38" t="s">
        <v>2947</v>
      </c>
      <c r="AA1951" s="38" t="s">
        <v>86</v>
      </c>
      <c r="AB1951" s="38" t="s">
        <v>2948</v>
      </c>
      <c r="AC1951" s="38" t="s">
        <v>2949</v>
      </c>
      <c r="AD1951" s="38" t="s">
        <v>382</v>
      </c>
      <c r="AE1951" s="38"/>
      <c r="AF1951" s="38" t="s">
        <v>525</v>
      </c>
      <c r="AG1951" s="38" t="s">
        <v>2928</v>
      </c>
      <c r="AH1951" s="38"/>
      <c r="AI1951" s="50">
        <v>43.4965</v>
      </c>
      <c r="AJ1951" s="50">
        <v>1.2379</v>
      </c>
      <c r="AK1951" s="41" t="s">
        <v>86</v>
      </c>
      <c r="AL1951" s="40" t="s">
        <v>86</v>
      </c>
      <c r="AM1951" s="49">
        <v>181.0</v>
      </c>
      <c r="AN1951" s="51">
        <v>181.0</v>
      </c>
      <c r="AO1951" s="42" t="s">
        <v>201</v>
      </c>
      <c r="AP1951" s="43" t="s">
        <v>201</v>
      </c>
      <c r="AQ1951" s="44" t="str">
        <f t="shared" si="217"/>
        <v>CRO</v>
      </c>
      <c r="AR1951" s="44">
        <f t="shared" si="199"/>
        <v>181</v>
      </c>
      <c r="AS1951" s="44" t="str">
        <f t="shared" si="222"/>
        <v>C</v>
      </c>
      <c r="AT1951" s="44" t="str">
        <f t="shared" si="202"/>
        <v>Cf</v>
      </c>
      <c r="AU1951" s="44" t="str">
        <f t="shared" si="203"/>
        <v>Cfa</v>
      </c>
      <c r="AV1951" s="38">
        <v>2.0</v>
      </c>
      <c r="AW1951" s="38"/>
      <c r="AX1951" s="38"/>
      <c r="AY1951" s="38"/>
      <c r="AZ1951" s="29">
        <v>1000.0</v>
      </c>
      <c r="BA1951" s="29"/>
      <c r="BB1951" s="29">
        <v>1.0</v>
      </c>
      <c r="BC1951" s="29" t="s">
        <v>2994</v>
      </c>
      <c r="BD1951" s="29" t="s">
        <v>88</v>
      </c>
      <c r="BE1951" s="29" t="s">
        <v>263</v>
      </c>
      <c r="BF1951" s="29" t="s">
        <v>2942</v>
      </c>
      <c r="BG1951" s="29" t="s">
        <v>91</v>
      </c>
      <c r="BH1951" s="29" t="s">
        <v>88</v>
      </c>
      <c r="BI1951" s="29" t="s">
        <v>1438</v>
      </c>
      <c r="BJ1951" s="29"/>
      <c r="BK1951" s="29" t="s">
        <v>148</v>
      </c>
      <c r="BL1951" s="29" t="s">
        <v>148</v>
      </c>
      <c r="BM1951" s="45"/>
      <c r="BN1951" s="45"/>
      <c r="BO1951" s="46"/>
      <c r="BP1951" s="2"/>
      <c r="BQ1951" s="3"/>
    </row>
    <row r="1952" ht="15.75" customHeight="1">
      <c r="A1952" s="34">
        <v>2064.0</v>
      </c>
      <c r="B1952" s="34">
        <v>104246.0</v>
      </c>
      <c r="C1952" s="34" t="s">
        <v>76</v>
      </c>
      <c r="D1952" s="34" t="s">
        <v>2933</v>
      </c>
      <c r="E1952" s="34" t="s">
        <v>2934</v>
      </c>
      <c r="F1952" s="34">
        <v>2021.0</v>
      </c>
      <c r="G1952" s="34" t="s">
        <v>2935</v>
      </c>
      <c r="H1952" s="34" t="s">
        <v>816</v>
      </c>
      <c r="I1952" s="34" t="s">
        <v>2936</v>
      </c>
      <c r="J1952" s="35"/>
      <c r="K1952" s="36"/>
      <c r="L1952" s="36">
        <v>389.0</v>
      </c>
      <c r="M1952" s="36"/>
      <c r="N1952" s="36"/>
      <c r="O1952" s="36"/>
      <c r="P1952" s="37">
        <v>-17.0</v>
      </c>
      <c r="Q1952" s="36" t="s">
        <v>1393</v>
      </c>
      <c r="R1952" s="36" t="s">
        <v>96</v>
      </c>
      <c r="S1952" s="36">
        <v>1000.0</v>
      </c>
      <c r="T1952" s="36" t="s">
        <v>245</v>
      </c>
      <c r="U1952" s="36" t="s">
        <v>246</v>
      </c>
      <c r="V1952" s="36">
        <v>126.0</v>
      </c>
      <c r="W1952" s="36"/>
      <c r="X1952" s="38">
        <v>1.0</v>
      </c>
      <c r="Y1952" s="38" t="s">
        <v>2954</v>
      </c>
      <c r="Z1952" s="38" t="s">
        <v>2947</v>
      </c>
      <c r="AA1952" s="38" t="s">
        <v>86</v>
      </c>
      <c r="AB1952" s="38" t="s">
        <v>2948</v>
      </c>
      <c r="AC1952" s="38" t="s">
        <v>2949</v>
      </c>
      <c r="AD1952" s="38" t="s">
        <v>382</v>
      </c>
      <c r="AE1952" s="38"/>
      <c r="AF1952" s="38" t="s">
        <v>525</v>
      </c>
      <c r="AG1952" s="38" t="s">
        <v>2928</v>
      </c>
      <c r="AH1952" s="38"/>
      <c r="AI1952" s="50">
        <v>43.4965</v>
      </c>
      <c r="AJ1952" s="50">
        <v>1.2379</v>
      </c>
      <c r="AK1952" s="41" t="s">
        <v>86</v>
      </c>
      <c r="AL1952" s="40" t="s">
        <v>86</v>
      </c>
      <c r="AM1952" s="49">
        <v>181.0</v>
      </c>
      <c r="AN1952" s="51">
        <v>181.0</v>
      </c>
      <c r="AO1952" s="42" t="s">
        <v>201</v>
      </c>
      <c r="AP1952" s="43" t="s">
        <v>201</v>
      </c>
      <c r="AQ1952" s="44" t="str">
        <f t="shared" si="217"/>
        <v>CRO</v>
      </c>
      <c r="AR1952" s="44">
        <f t="shared" si="199"/>
        <v>181</v>
      </c>
      <c r="AS1952" s="44" t="str">
        <f t="shared" si="222"/>
        <v>C</v>
      </c>
      <c r="AT1952" s="44" t="str">
        <f t="shared" si="202"/>
        <v>Cf</v>
      </c>
      <c r="AU1952" s="44" t="str">
        <f t="shared" si="203"/>
        <v>Cfa</v>
      </c>
      <c r="AV1952" s="38">
        <v>2.0</v>
      </c>
      <c r="AW1952" s="38"/>
      <c r="AX1952" s="38"/>
      <c r="AY1952" s="38"/>
      <c r="AZ1952" s="29">
        <v>1000.0</v>
      </c>
      <c r="BA1952" s="29"/>
      <c r="BB1952" s="29">
        <v>1.0</v>
      </c>
      <c r="BC1952" s="29" t="s">
        <v>2994</v>
      </c>
      <c r="BD1952" s="29" t="s">
        <v>88</v>
      </c>
      <c r="BE1952" s="29" t="s">
        <v>263</v>
      </c>
      <c r="BF1952" s="29" t="s">
        <v>2942</v>
      </c>
      <c r="BG1952" s="29" t="s">
        <v>91</v>
      </c>
      <c r="BH1952" s="29" t="s">
        <v>88</v>
      </c>
      <c r="BI1952" s="29" t="s">
        <v>1438</v>
      </c>
      <c r="BJ1952" s="29"/>
      <c r="BK1952" s="29" t="s">
        <v>148</v>
      </c>
      <c r="BL1952" s="29" t="s">
        <v>148</v>
      </c>
      <c r="BM1952" s="45"/>
      <c r="BN1952" s="45"/>
      <c r="BO1952" s="46"/>
      <c r="BP1952" s="2"/>
      <c r="BQ1952" s="3"/>
    </row>
    <row r="1953" ht="15.75" customHeight="1">
      <c r="A1953" s="34">
        <v>2065.0</v>
      </c>
      <c r="B1953" s="34">
        <v>104246.0</v>
      </c>
      <c r="C1953" s="34" t="s">
        <v>76</v>
      </c>
      <c r="D1953" s="34" t="s">
        <v>2933</v>
      </c>
      <c r="E1953" s="34" t="s">
        <v>2934</v>
      </c>
      <c r="F1953" s="34">
        <v>2021.0</v>
      </c>
      <c r="G1953" s="34" t="s">
        <v>2935</v>
      </c>
      <c r="H1953" s="34" t="s">
        <v>816</v>
      </c>
      <c r="I1953" s="34" t="s">
        <v>2936</v>
      </c>
      <c r="J1953" s="35"/>
      <c r="K1953" s="36"/>
      <c r="L1953" s="36">
        <v>531.0</v>
      </c>
      <c r="M1953" s="36"/>
      <c r="N1953" s="36"/>
      <c r="O1953" s="36"/>
      <c r="P1953" s="37">
        <v>-28.0</v>
      </c>
      <c r="Q1953" s="36" t="s">
        <v>1393</v>
      </c>
      <c r="R1953" s="36" t="s">
        <v>96</v>
      </c>
      <c r="S1953" s="36">
        <v>1000.0</v>
      </c>
      <c r="T1953" s="36" t="s">
        <v>837</v>
      </c>
      <c r="U1953" s="36" t="s">
        <v>2955</v>
      </c>
      <c r="V1953" s="36">
        <v>127.0</v>
      </c>
      <c r="W1953" s="36"/>
      <c r="X1953" s="38">
        <v>1.0</v>
      </c>
      <c r="Y1953" s="38" t="s">
        <v>2956</v>
      </c>
      <c r="Z1953" s="38" t="s">
        <v>2947</v>
      </c>
      <c r="AA1953" s="38" t="s">
        <v>86</v>
      </c>
      <c r="AB1953" s="38" t="s">
        <v>2948</v>
      </c>
      <c r="AC1953" s="38" t="s">
        <v>2949</v>
      </c>
      <c r="AD1953" s="38" t="s">
        <v>382</v>
      </c>
      <c r="AE1953" s="38"/>
      <c r="AF1953" s="38" t="s">
        <v>525</v>
      </c>
      <c r="AG1953" s="38" t="s">
        <v>2928</v>
      </c>
      <c r="AH1953" s="38"/>
      <c r="AI1953" s="50">
        <v>43.4965</v>
      </c>
      <c r="AJ1953" s="50">
        <v>1.2379</v>
      </c>
      <c r="AK1953" s="41" t="s">
        <v>86</v>
      </c>
      <c r="AL1953" s="40" t="s">
        <v>86</v>
      </c>
      <c r="AM1953" s="49">
        <v>181.0</v>
      </c>
      <c r="AN1953" s="51">
        <v>181.0</v>
      </c>
      <c r="AO1953" s="42" t="s">
        <v>201</v>
      </c>
      <c r="AP1953" s="43" t="s">
        <v>201</v>
      </c>
      <c r="AQ1953" s="44" t="str">
        <f t="shared" si="217"/>
        <v>CRO</v>
      </c>
      <c r="AR1953" s="44">
        <f t="shared" si="199"/>
        <v>181</v>
      </c>
      <c r="AS1953" s="44" t="str">
        <f t="shared" si="222"/>
        <v>C</v>
      </c>
      <c r="AT1953" s="44" t="str">
        <f t="shared" si="202"/>
        <v>Cf</v>
      </c>
      <c r="AU1953" s="44" t="str">
        <f t="shared" si="203"/>
        <v>Cfa</v>
      </c>
      <c r="AV1953" s="38">
        <v>2.0</v>
      </c>
      <c r="AW1953" s="38"/>
      <c r="AX1953" s="38"/>
      <c r="AY1953" s="38"/>
      <c r="AZ1953" s="29">
        <v>1000.0</v>
      </c>
      <c r="BA1953" s="29"/>
      <c r="BB1953" s="29">
        <v>1.0</v>
      </c>
      <c r="BC1953" s="29" t="s">
        <v>2994</v>
      </c>
      <c r="BD1953" s="29" t="s">
        <v>88</v>
      </c>
      <c r="BE1953" s="29" t="s">
        <v>263</v>
      </c>
      <c r="BF1953" s="29" t="s">
        <v>2942</v>
      </c>
      <c r="BG1953" s="29" t="s">
        <v>91</v>
      </c>
      <c r="BH1953" s="29" t="s">
        <v>88</v>
      </c>
      <c r="BI1953" s="29" t="s">
        <v>1438</v>
      </c>
      <c r="BJ1953" s="29"/>
      <c r="BK1953" s="29" t="s">
        <v>148</v>
      </c>
      <c r="BL1953" s="29" t="s">
        <v>148</v>
      </c>
      <c r="BM1953" s="45"/>
      <c r="BN1953" s="45"/>
      <c r="BO1953" s="46"/>
      <c r="BP1953" s="2"/>
      <c r="BQ1953" s="3"/>
    </row>
    <row r="1954" ht="15.75" customHeight="1">
      <c r="A1954" s="34">
        <v>2066.0</v>
      </c>
      <c r="B1954" s="34">
        <v>104246.0</v>
      </c>
      <c r="C1954" s="34" t="s">
        <v>76</v>
      </c>
      <c r="D1954" s="34" t="s">
        <v>2933</v>
      </c>
      <c r="E1954" s="34" t="s">
        <v>2934</v>
      </c>
      <c r="F1954" s="34">
        <v>2021.0</v>
      </c>
      <c r="G1954" s="34" t="s">
        <v>2935</v>
      </c>
      <c r="H1954" s="34" t="s">
        <v>816</v>
      </c>
      <c r="I1954" s="34" t="s">
        <v>2936</v>
      </c>
      <c r="J1954" s="35"/>
      <c r="K1954" s="36"/>
      <c r="L1954" s="36">
        <v>233.0</v>
      </c>
      <c r="M1954" s="36"/>
      <c r="N1954" s="36"/>
      <c r="O1954" s="36"/>
      <c r="P1954" s="37">
        <v>19.0</v>
      </c>
      <c r="Q1954" s="36" t="s">
        <v>1393</v>
      </c>
      <c r="R1954" s="36" t="s">
        <v>96</v>
      </c>
      <c r="S1954" s="36">
        <v>1000.0</v>
      </c>
      <c r="T1954" s="36" t="s">
        <v>317</v>
      </c>
      <c r="U1954" s="36" t="s">
        <v>194</v>
      </c>
      <c r="V1954" s="36">
        <v>160.0</v>
      </c>
      <c r="W1954" s="36"/>
      <c r="X1954" s="38">
        <v>1.0</v>
      </c>
      <c r="Y1954" s="38" t="s">
        <v>2957</v>
      </c>
      <c r="Z1954" s="38" t="s">
        <v>2958</v>
      </c>
      <c r="AA1954" s="38" t="s">
        <v>86</v>
      </c>
      <c r="AB1954" s="38" t="s">
        <v>2959</v>
      </c>
      <c r="AC1954" s="38" t="s">
        <v>2960</v>
      </c>
      <c r="AD1954" s="38" t="s">
        <v>382</v>
      </c>
      <c r="AE1954" s="38">
        <v>32.0</v>
      </c>
      <c r="AF1954" s="38" t="s">
        <v>2961</v>
      </c>
      <c r="AG1954" s="38" t="s">
        <v>2928</v>
      </c>
      <c r="AH1954" s="38"/>
      <c r="AI1954" s="50">
        <v>43.92</v>
      </c>
      <c r="AJ1954" s="50">
        <v>4.88</v>
      </c>
      <c r="AK1954" s="41" t="s">
        <v>505</v>
      </c>
      <c r="AL1954" s="40" t="s">
        <v>505</v>
      </c>
      <c r="AM1954" s="49">
        <v>71.0</v>
      </c>
      <c r="AN1954" s="51">
        <v>71.0</v>
      </c>
      <c r="AO1954" s="42" t="s">
        <v>175</v>
      </c>
      <c r="AP1954" s="43" t="s">
        <v>175</v>
      </c>
      <c r="AQ1954" s="44" t="str">
        <f t="shared" si="217"/>
        <v>CRO</v>
      </c>
      <c r="AR1954" s="44">
        <f t="shared" si="199"/>
        <v>71</v>
      </c>
      <c r="AS1954" s="44" t="str">
        <f t="shared" si="222"/>
        <v>C</v>
      </c>
      <c r="AT1954" s="44" t="str">
        <f t="shared" si="202"/>
        <v>Cs</v>
      </c>
      <c r="AU1954" s="44" t="str">
        <f t="shared" si="203"/>
        <v>Csa</v>
      </c>
      <c r="AV1954" s="38">
        <v>2.0</v>
      </c>
      <c r="AW1954" s="38"/>
      <c r="AX1954" s="38"/>
      <c r="AY1954" s="38"/>
      <c r="AZ1954" s="29">
        <v>1000.0</v>
      </c>
      <c r="BA1954" s="29"/>
      <c r="BB1954" s="29">
        <v>1.0</v>
      </c>
      <c r="BC1954" s="29" t="s">
        <v>2994</v>
      </c>
      <c r="BD1954" s="29" t="s">
        <v>88</v>
      </c>
      <c r="BE1954" s="29" t="s">
        <v>263</v>
      </c>
      <c r="BF1954" s="29" t="s">
        <v>2942</v>
      </c>
      <c r="BG1954" s="29" t="s">
        <v>91</v>
      </c>
      <c r="BH1954" s="29" t="s">
        <v>88</v>
      </c>
      <c r="BI1954" s="29" t="s">
        <v>1438</v>
      </c>
      <c r="BJ1954" s="29"/>
      <c r="BK1954" s="29" t="s">
        <v>148</v>
      </c>
      <c r="BL1954" s="29" t="s">
        <v>148</v>
      </c>
      <c r="BM1954" s="45"/>
      <c r="BN1954" s="45"/>
      <c r="BO1954" s="46"/>
      <c r="BP1954" s="2" t="s">
        <v>2995</v>
      </c>
      <c r="BQ1954" s="3"/>
    </row>
    <row r="1955" ht="15.75" customHeight="1">
      <c r="A1955" s="34">
        <v>2067.0</v>
      </c>
      <c r="B1955" s="34">
        <v>104246.0</v>
      </c>
      <c r="C1955" s="34" t="s">
        <v>76</v>
      </c>
      <c r="D1955" s="34" t="s">
        <v>2933</v>
      </c>
      <c r="E1955" s="34" t="s">
        <v>2934</v>
      </c>
      <c r="F1955" s="34">
        <v>2021.0</v>
      </c>
      <c r="G1955" s="34" t="s">
        <v>2935</v>
      </c>
      <c r="H1955" s="34" t="s">
        <v>816</v>
      </c>
      <c r="I1955" s="34" t="s">
        <v>2936</v>
      </c>
      <c r="J1955" s="35"/>
      <c r="K1955" s="36"/>
      <c r="L1955" s="36">
        <v>375.0</v>
      </c>
      <c r="M1955" s="36"/>
      <c r="N1955" s="36"/>
      <c r="O1955" s="36"/>
      <c r="P1955" s="37">
        <v>8.0</v>
      </c>
      <c r="Q1955" s="36" t="s">
        <v>1393</v>
      </c>
      <c r="R1955" s="36" t="s">
        <v>96</v>
      </c>
      <c r="S1955" s="36">
        <v>1000.0</v>
      </c>
      <c r="T1955" s="36" t="s">
        <v>341</v>
      </c>
      <c r="U1955" s="36" t="s">
        <v>285</v>
      </c>
      <c r="V1955" s="36">
        <v>246.0</v>
      </c>
      <c r="W1955" s="36"/>
      <c r="X1955" s="38">
        <v>1.0</v>
      </c>
      <c r="Y1955" s="38" t="s">
        <v>2962</v>
      </c>
      <c r="Z1955" s="38" t="s">
        <v>2958</v>
      </c>
      <c r="AA1955" s="38" t="s">
        <v>86</v>
      </c>
      <c r="AB1955" s="38" t="s">
        <v>2959</v>
      </c>
      <c r="AC1955" s="38" t="s">
        <v>2960</v>
      </c>
      <c r="AD1955" s="38" t="s">
        <v>382</v>
      </c>
      <c r="AE1955" s="38">
        <v>32.0</v>
      </c>
      <c r="AF1955" s="38" t="s">
        <v>2316</v>
      </c>
      <c r="AG1955" s="38" t="s">
        <v>2928</v>
      </c>
      <c r="AH1955" s="38"/>
      <c r="AI1955" s="50">
        <v>43.92</v>
      </c>
      <c r="AJ1955" s="50">
        <v>4.88</v>
      </c>
      <c r="AK1955" s="41" t="s">
        <v>505</v>
      </c>
      <c r="AL1955" s="40" t="s">
        <v>505</v>
      </c>
      <c r="AM1955" s="49">
        <v>71.0</v>
      </c>
      <c r="AN1955" s="51">
        <v>71.0</v>
      </c>
      <c r="AO1955" s="42" t="s">
        <v>175</v>
      </c>
      <c r="AP1955" s="43" t="s">
        <v>175</v>
      </c>
      <c r="AQ1955" s="44" t="str">
        <f t="shared" si="217"/>
        <v>CRO</v>
      </c>
      <c r="AR1955" s="44">
        <f t="shared" si="199"/>
        <v>71</v>
      </c>
      <c r="AS1955" s="44" t="str">
        <f t="shared" si="222"/>
        <v>C</v>
      </c>
      <c r="AT1955" s="44" t="str">
        <f t="shared" si="202"/>
        <v>Cs</v>
      </c>
      <c r="AU1955" s="44" t="str">
        <f t="shared" si="203"/>
        <v>Csa</v>
      </c>
      <c r="AV1955" s="38">
        <v>2.0</v>
      </c>
      <c r="AW1955" s="38"/>
      <c r="AX1955" s="38"/>
      <c r="AY1955" s="38"/>
      <c r="AZ1955" s="29">
        <v>1000.0</v>
      </c>
      <c r="BA1955" s="29"/>
      <c r="BB1955" s="29">
        <v>1.0</v>
      </c>
      <c r="BC1955" s="29" t="s">
        <v>2994</v>
      </c>
      <c r="BD1955" s="29" t="s">
        <v>88</v>
      </c>
      <c r="BE1955" s="29" t="s">
        <v>263</v>
      </c>
      <c r="BF1955" s="29" t="s">
        <v>2942</v>
      </c>
      <c r="BG1955" s="29" t="s">
        <v>91</v>
      </c>
      <c r="BH1955" s="29" t="s">
        <v>88</v>
      </c>
      <c r="BI1955" s="29" t="s">
        <v>1438</v>
      </c>
      <c r="BJ1955" s="29"/>
      <c r="BK1955" s="29" t="s">
        <v>148</v>
      </c>
      <c r="BL1955" s="29" t="s">
        <v>148</v>
      </c>
      <c r="BM1955" s="45"/>
      <c r="BN1955" s="45"/>
      <c r="BO1955" s="46"/>
      <c r="BP1955" s="2" t="s">
        <v>2996</v>
      </c>
      <c r="BQ1955" s="3"/>
    </row>
    <row r="1956" ht="15.75" customHeight="1">
      <c r="A1956" s="34">
        <v>2068.0</v>
      </c>
      <c r="B1956" s="34">
        <v>104246.0</v>
      </c>
      <c r="C1956" s="34" t="s">
        <v>76</v>
      </c>
      <c r="D1956" s="34" t="s">
        <v>2933</v>
      </c>
      <c r="E1956" s="34" t="s">
        <v>2934</v>
      </c>
      <c r="F1956" s="34">
        <v>2021.0</v>
      </c>
      <c r="G1956" s="34" t="s">
        <v>2935</v>
      </c>
      <c r="H1956" s="34" t="s">
        <v>816</v>
      </c>
      <c r="I1956" s="34" t="s">
        <v>2936</v>
      </c>
      <c r="J1956" s="35"/>
      <c r="K1956" s="36"/>
      <c r="L1956" s="36">
        <v>386.0</v>
      </c>
      <c r="M1956" s="36"/>
      <c r="N1956" s="36"/>
      <c r="O1956" s="36"/>
      <c r="P1956" s="37">
        <v>-1.0</v>
      </c>
      <c r="Q1956" s="36" t="s">
        <v>1393</v>
      </c>
      <c r="R1956" s="36" t="s">
        <v>96</v>
      </c>
      <c r="S1956" s="36">
        <v>1000.0</v>
      </c>
      <c r="T1956" s="36" t="s">
        <v>350</v>
      </c>
      <c r="U1956" s="36" t="s">
        <v>342</v>
      </c>
      <c r="V1956" s="36">
        <v>161.0</v>
      </c>
      <c r="W1956" s="36"/>
      <c r="X1956" s="38">
        <v>1.0</v>
      </c>
      <c r="Y1956" s="38" t="s">
        <v>2963</v>
      </c>
      <c r="Z1956" s="38" t="s">
        <v>2958</v>
      </c>
      <c r="AA1956" s="38" t="s">
        <v>86</v>
      </c>
      <c r="AB1956" s="38" t="s">
        <v>2959</v>
      </c>
      <c r="AC1956" s="38" t="s">
        <v>2960</v>
      </c>
      <c r="AD1956" s="38" t="s">
        <v>382</v>
      </c>
      <c r="AE1956" s="38">
        <v>32.0</v>
      </c>
      <c r="AF1956" s="38" t="s">
        <v>2964</v>
      </c>
      <c r="AG1956" s="38" t="s">
        <v>2928</v>
      </c>
      <c r="AH1956" s="38"/>
      <c r="AI1956" s="50">
        <v>43.92</v>
      </c>
      <c r="AJ1956" s="50">
        <v>4.88</v>
      </c>
      <c r="AK1956" s="41" t="s">
        <v>505</v>
      </c>
      <c r="AL1956" s="40" t="s">
        <v>505</v>
      </c>
      <c r="AM1956" s="49">
        <v>71.0</v>
      </c>
      <c r="AN1956" s="51">
        <v>71.0</v>
      </c>
      <c r="AO1956" s="42" t="s">
        <v>175</v>
      </c>
      <c r="AP1956" s="43" t="s">
        <v>175</v>
      </c>
      <c r="AQ1956" s="44" t="str">
        <f t="shared" si="217"/>
        <v>CRO</v>
      </c>
      <c r="AR1956" s="44">
        <f t="shared" si="199"/>
        <v>71</v>
      </c>
      <c r="AS1956" s="44" t="str">
        <f t="shared" si="222"/>
        <v>C</v>
      </c>
      <c r="AT1956" s="44" t="str">
        <f t="shared" si="202"/>
        <v>Cs</v>
      </c>
      <c r="AU1956" s="44" t="str">
        <f t="shared" si="203"/>
        <v>Csa</v>
      </c>
      <c r="AV1956" s="38">
        <v>2.0</v>
      </c>
      <c r="AW1956" s="38"/>
      <c r="AX1956" s="38"/>
      <c r="AY1956" s="38"/>
      <c r="AZ1956" s="29">
        <v>1000.0</v>
      </c>
      <c r="BA1956" s="29"/>
      <c r="BB1956" s="29">
        <v>1.0</v>
      </c>
      <c r="BC1956" s="29" t="s">
        <v>2994</v>
      </c>
      <c r="BD1956" s="29" t="s">
        <v>88</v>
      </c>
      <c r="BE1956" s="29" t="s">
        <v>263</v>
      </c>
      <c r="BF1956" s="29" t="s">
        <v>2942</v>
      </c>
      <c r="BG1956" s="29" t="s">
        <v>91</v>
      </c>
      <c r="BH1956" s="29" t="s">
        <v>88</v>
      </c>
      <c r="BI1956" s="29" t="s">
        <v>1438</v>
      </c>
      <c r="BJ1956" s="29"/>
      <c r="BK1956" s="29" t="s">
        <v>148</v>
      </c>
      <c r="BL1956" s="29" t="s">
        <v>148</v>
      </c>
      <c r="BM1956" s="45"/>
      <c r="BN1956" s="45"/>
      <c r="BO1956" s="46"/>
      <c r="BP1956" s="2" t="s">
        <v>2997</v>
      </c>
      <c r="BQ1956" s="3"/>
    </row>
    <row r="1957" ht="15.75" customHeight="1">
      <c r="A1957" s="34">
        <v>2069.0</v>
      </c>
      <c r="B1957" s="34">
        <v>104246.0</v>
      </c>
      <c r="C1957" s="34" t="s">
        <v>76</v>
      </c>
      <c r="D1957" s="34" t="s">
        <v>2933</v>
      </c>
      <c r="E1957" s="34" t="s">
        <v>2934</v>
      </c>
      <c r="F1957" s="34">
        <v>2021.0</v>
      </c>
      <c r="G1957" s="34" t="s">
        <v>2935</v>
      </c>
      <c r="H1957" s="34" t="s">
        <v>816</v>
      </c>
      <c r="I1957" s="34" t="s">
        <v>2936</v>
      </c>
      <c r="J1957" s="35"/>
      <c r="K1957" s="36"/>
      <c r="L1957" s="36">
        <v>424.0</v>
      </c>
      <c r="M1957" s="36"/>
      <c r="N1957" s="36"/>
      <c r="O1957" s="36"/>
      <c r="P1957" s="37">
        <v>-19.0</v>
      </c>
      <c r="Q1957" s="36" t="s">
        <v>1393</v>
      </c>
      <c r="R1957" s="36" t="s">
        <v>96</v>
      </c>
      <c r="S1957" s="36">
        <v>1000.0</v>
      </c>
      <c r="T1957" s="36" t="s">
        <v>506</v>
      </c>
      <c r="U1957" s="36" t="s">
        <v>676</v>
      </c>
      <c r="V1957" s="36">
        <v>231.0</v>
      </c>
      <c r="W1957" s="36"/>
      <c r="X1957" s="38">
        <v>1.0</v>
      </c>
      <c r="Y1957" s="38" t="s">
        <v>2965</v>
      </c>
      <c r="Z1957" s="38" t="s">
        <v>2958</v>
      </c>
      <c r="AA1957" s="38" t="s">
        <v>86</v>
      </c>
      <c r="AB1957" s="38" t="s">
        <v>2959</v>
      </c>
      <c r="AC1957" s="38" t="s">
        <v>2960</v>
      </c>
      <c r="AD1957" s="38" t="s">
        <v>382</v>
      </c>
      <c r="AE1957" s="38">
        <v>32.0</v>
      </c>
      <c r="AF1957" s="38" t="s">
        <v>2316</v>
      </c>
      <c r="AG1957" s="38" t="s">
        <v>2928</v>
      </c>
      <c r="AH1957" s="38"/>
      <c r="AI1957" s="50">
        <v>43.92</v>
      </c>
      <c r="AJ1957" s="50">
        <v>4.88</v>
      </c>
      <c r="AK1957" s="41" t="s">
        <v>505</v>
      </c>
      <c r="AL1957" s="40" t="s">
        <v>505</v>
      </c>
      <c r="AM1957" s="49">
        <v>71.0</v>
      </c>
      <c r="AN1957" s="51">
        <v>71.0</v>
      </c>
      <c r="AO1957" s="42" t="s">
        <v>175</v>
      </c>
      <c r="AP1957" s="43" t="s">
        <v>175</v>
      </c>
      <c r="AQ1957" s="44" t="str">
        <f t="shared" si="217"/>
        <v>CRO</v>
      </c>
      <c r="AR1957" s="44">
        <f t="shared" si="199"/>
        <v>71</v>
      </c>
      <c r="AS1957" s="44" t="str">
        <f t="shared" si="222"/>
        <v>C</v>
      </c>
      <c r="AT1957" s="44" t="str">
        <f t="shared" si="202"/>
        <v>Cs</v>
      </c>
      <c r="AU1957" s="44" t="str">
        <f t="shared" si="203"/>
        <v>Csa</v>
      </c>
      <c r="AV1957" s="38">
        <v>2.0</v>
      </c>
      <c r="AW1957" s="38"/>
      <c r="AX1957" s="38"/>
      <c r="AY1957" s="38"/>
      <c r="AZ1957" s="29">
        <v>1000.0</v>
      </c>
      <c r="BA1957" s="29"/>
      <c r="BB1957" s="29">
        <v>1.0</v>
      </c>
      <c r="BC1957" s="29" t="s">
        <v>2994</v>
      </c>
      <c r="BD1957" s="29" t="s">
        <v>88</v>
      </c>
      <c r="BE1957" s="29" t="s">
        <v>263</v>
      </c>
      <c r="BF1957" s="29" t="s">
        <v>2942</v>
      </c>
      <c r="BG1957" s="29" t="s">
        <v>91</v>
      </c>
      <c r="BH1957" s="29" t="s">
        <v>88</v>
      </c>
      <c r="BI1957" s="29" t="s">
        <v>1438</v>
      </c>
      <c r="BJ1957" s="29"/>
      <c r="BK1957" s="29" t="s">
        <v>148</v>
      </c>
      <c r="BL1957" s="29" t="s">
        <v>148</v>
      </c>
      <c r="BM1957" s="45"/>
      <c r="BN1957" s="45"/>
      <c r="BO1957" s="46"/>
      <c r="BP1957" s="2" t="s">
        <v>2998</v>
      </c>
      <c r="BQ1957" s="3"/>
    </row>
    <row r="1958" ht="15.75" customHeight="1">
      <c r="A1958" s="34">
        <v>2070.0</v>
      </c>
      <c r="B1958" s="34">
        <v>104246.0</v>
      </c>
      <c r="C1958" s="34" t="s">
        <v>76</v>
      </c>
      <c r="D1958" s="34" t="s">
        <v>2933</v>
      </c>
      <c r="E1958" s="34" t="s">
        <v>2934</v>
      </c>
      <c r="F1958" s="34">
        <v>2021.0</v>
      </c>
      <c r="G1958" s="34" t="s">
        <v>2935</v>
      </c>
      <c r="H1958" s="34" t="s">
        <v>816</v>
      </c>
      <c r="I1958" s="34" t="s">
        <v>2936</v>
      </c>
      <c r="J1958" s="35"/>
      <c r="K1958" s="36"/>
      <c r="L1958" s="36">
        <v>303.0</v>
      </c>
      <c r="M1958" s="36"/>
      <c r="N1958" s="36"/>
      <c r="O1958" s="36"/>
      <c r="P1958" s="37">
        <v>15.0</v>
      </c>
      <c r="Q1958" s="36" t="s">
        <v>1393</v>
      </c>
      <c r="R1958" s="36" t="s">
        <v>96</v>
      </c>
      <c r="S1958" s="36">
        <v>1000.0</v>
      </c>
      <c r="T1958" s="36" t="s">
        <v>242</v>
      </c>
      <c r="U1958" s="36" t="s">
        <v>243</v>
      </c>
      <c r="V1958" s="36">
        <v>248.0</v>
      </c>
      <c r="W1958" s="36"/>
      <c r="X1958" s="38">
        <v>1.0</v>
      </c>
      <c r="Y1958" s="38" t="s">
        <v>2966</v>
      </c>
      <c r="Z1958" s="38" t="s">
        <v>2958</v>
      </c>
      <c r="AA1958" s="38" t="s">
        <v>86</v>
      </c>
      <c r="AB1958" s="38" t="s">
        <v>2959</v>
      </c>
      <c r="AC1958" s="38" t="s">
        <v>2960</v>
      </c>
      <c r="AD1958" s="38" t="s">
        <v>382</v>
      </c>
      <c r="AE1958" s="38">
        <v>32.0</v>
      </c>
      <c r="AF1958" s="38" t="s">
        <v>2316</v>
      </c>
      <c r="AG1958" s="38" t="s">
        <v>2928</v>
      </c>
      <c r="AH1958" s="38"/>
      <c r="AI1958" s="50">
        <v>43.92</v>
      </c>
      <c r="AJ1958" s="50">
        <v>4.88</v>
      </c>
      <c r="AK1958" s="41" t="s">
        <v>505</v>
      </c>
      <c r="AL1958" s="40" t="s">
        <v>505</v>
      </c>
      <c r="AM1958" s="49">
        <v>71.0</v>
      </c>
      <c r="AN1958" s="51">
        <v>71.0</v>
      </c>
      <c r="AO1958" s="42" t="s">
        <v>175</v>
      </c>
      <c r="AP1958" s="43" t="s">
        <v>175</v>
      </c>
      <c r="AQ1958" s="44" t="str">
        <f t="shared" si="217"/>
        <v>CRO</v>
      </c>
      <c r="AR1958" s="44">
        <f t="shared" si="199"/>
        <v>71</v>
      </c>
      <c r="AS1958" s="44" t="str">
        <f t="shared" si="222"/>
        <v>C</v>
      </c>
      <c r="AT1958" s="44" t="str">
        <f t="shared" si="202"/>
        <v>Cs</v>
      </c>
      <c r="AU1958" s="44" t="str">
        <f t="shared" si="203"/>
        <v>Csa</v>
      </c>
      <c r="AV1958" s="38">
        <v>2.0</v>
      </c>
      <c r="AW1958" s="38"/>
      <c r="AX1958" s="38"/>
      <c r="AY1958" s="38"/>
      <c r="AZ1958" s="29">
        <v>1000.0</v>
      </c>
      <c r="BA1958" s="29"/>
      <c r="BB1958" s="29">
        <v>1.0</v>
      </c>
      <c r="BC1958" s="29" t="s">
        <v>2994</v>
      </c>
      <c r="BD1958" s="29" t="s">
        <v>88</v>
      </c>
      <c r="BE1958" s="29" t="s">
        <v>263</v>
      </c>
      <c r="BF1958" s="29" t="s">
        <v>2942</v>
      </c>
      <c r="BG1958" s="29" t="s">
        <v>91</v>
      </c>
      <c r="BH1958" s="29" t="s">
        <v>88</v>
      </c>
      <c r="BI1958" s="29" t="s">
        <v>1438</v>
      </c>
      <c r="BJ1958" s="29"/>
      <c r="BK1958" s="29" t="s">
        <v>148</v>
      </c>
      <c r="BL1958" s="29" t="s">
        <v>148</v>
      </c>
      <c r="BM1958" s="45"/>
      <c r="BN1958" s="45"/>
      <c r="BO1958" s="46"/>
      <c r="BP1958" s="2" t="s">
        <v>2999</v>
      </c>
      <c r="BQ1958" s="3"/>
    </row>
    <row r="1959" ht="15.75" customHeight="1">
      <c r="A1959" s="34">
        <v>2071.0</v>
      </c>
      <c r="B1959" s="34">
        <v>104246.0</v>
      </c>
      <c r="C1959" s="34" t="s">
        <v>76</v>
      </c>
      <c r="D1959" s="34" t="s">
        <v>2933</v>
      </c>
      <c r="E1959" s="34" t="s">
        <v>2934</v>
      </c>
      <c r="F1959" s="34">
        <v>2021.0</v>
      </c>
      <c r="G1959" s="34" t="s">
        <v>2935</v>
      </c>
      <c r="H1959" s="34" t="s">
        <v>816</v>
      </c>
      <c r="I1959" s="34" t="s">
        <v>2936</v>
      </c>
      <c r="J1959" s="35"/>
      <c r="K1959" s="36"/>
      <c r="L1959" s="36">
        <v>339.0</v>
      </c>
      <c r="M1959" s="36"/>
      <c r="N1959" s="36"/>
      <c r="O1959" s="36"/>
      <c r="P1959" s="37">
        <v>27.0</v>
      </c>
      <c r="Q1959" s="36" t="s">
        <v>1393</v>
      </c>
      <c r="R1959" s="36" t="s">
        <v>96</v>
      </c>
      <c r="S1959" s="36">
        <v>1000.0</v>
      </c>
      <c r="T1959" s="36" t="s">
        <v>536</v>
      </c>
      <c r="U1959" s="36" t="s">
        <v>351</v>
      </c>
      <c r="V1959" s="36">
        <v>275.0</v>
      </c>
      <c r="W1959" s="36"/>
      <c r="X1959" s="38">
        <v>1.0</v>
      </c>
      <c r="Y1959" s="38" t="s">
        <v>2968</v>
      </c>
      <c r="Z1959" s="38" t="s">
        <v>2969</v>
      </c>
      <c r="AA1959" s="38" t="s">
        <v>86</v>
      </c>
      <c r="AB1959" s="38" t="s">
        <v>2970</v>
      </c>
      <c r="AC1959" s="38" t="s">
        <v>2971</v>
      </c>
      <c r="AD1959" s="38" t="s">
        <v>2972</v>
      </c>
      <c r="AE1959" s="38"/>
      <c r="AF1959" s="38" t="s">
        <v>2973</v>
      </c>
      <c r="AG1959" s="38" t="s">
        <v>2974</v>
      </c>
      <c r="AH1959" s="38"/>
      <c r="AI1959" s="50">
        <v>13.6</v>
      </c>
      <c r="AJ1959" s="50">
        <v>2.6</v>
      </c>
      <c r="AK1959" s="41" t="s">
        <v>288</v>
      </c>
      <c r="AL1959" s="40" t="s">
        <v>288</v>
      </c>
      <c r="AM1959" s="49">
        <v>228.0</v>
      </c>
      <c r="AN1959" s="51">
        <v>228.0</v>
      </c>
      <c r="AO1959" s="42" t="s">
        <v>355</v>
      </c>
      <c r="AP1959" s="43" t="s">
        <v>355</v>
      </c>
      <c r="AQ1959" s="44" t="str">
        <f t="shared" si="217"/>
        <v>CRO</v>
      </c>
      <c r="AR1959" s="44">
        <f t="shared" si="199"/>
        <v>228</v>
      </c>
      <c r="AS1959" s="44" t="str">
        <f t="shared" si="222"/>
        <v>B</v>
      </c>
      <c r="AT1959" s="44" t="str">
        <f t="shared" si="202"/>
        <v>BW</v>
      </c>
      <c r="AU1959" s="44" t="str">
        <f t="shared" si="203"/>
        <v>BWh</v>
      </c>
      <c r="AV1959" s="38">
        <v>2.0</v>
      </c>
      <c r="AW1959" s="38"/>
      <c r="AX1959" s="38"/>
      <c r="AY1959" s="38"/>
      <c r="AZ1959" s="29">
        <v>1000.0</v>
      </c>
      <c r="BA1959" s="29"/>
      <c r="BB1959" s="29">
        <v>1.0</v>
      </c>
      <c r="BC1959" s="29" t="s">
        <v>2994</v>
      </c>
      <c r="BD1959" s="29" t="s">
        <v>88</v>
      </c>
      <c r="BE1959" s="29" t="s">
        <v>263</v>
      </c>
      <c r="BF1959" s="29" t="s">
        <v>2942</v>
      </c>
      <c r="BG1959" s="29" t="s">
        <v>91</v>
      </c>
      <c r="BH1959" s="29" t="s">
        <v>88</v>
      </c>
      <c r="BI1959" s="29" t="s">
        <v>1438</v>
      </c>
      <c r="BJ1959" s="29"/>
      <c r="BK1959" s="29" t="s">
        <v>148</v>
      </c>
      <c r="BL1959" s="29" t="s">
        <v>148</v>
      </c>
      <c r="BM1959" s="45"/>
      <c r="BN1959" s="45"/>
      <c r="BO1959" s="46"/>
      <c r="BP1959" s="2" t="s">
        <v>2995</v>
      </c>
      <c r="BQ1959" s="3"/>
    </row>
    <row r="1960" ht="15.75" customHeight="1">
      <c r="A1960" s="34">
        <v>2072.0</v>
      </c>
      <c r="B1960" s="34">
        <v>104246.0</v>
      </c>
      <c r="C1960" s="34" t="s">
        <v>76</v>
      </c>
      <c r="D1960" s="34" t="s">
        <v>2933</v>
      </c>
      <c r="E1960" s="34" t="s">
        <v>2934</v>
      </c>
      <c r="F1960" s="34">
        <v>2021.0</v>
      </c>
      <c r="G1960" s="34" t="s">
        <v>2935</v>
      </c>
      <c r="H1960" s="34" t="s">
        <v>816</v>
      </c>
      <c r="I1960" s="34" t="s">
        <v>2936</v>
      </c>
      <c r="J1960" s="35"/>
      <c r="K1960" s="36"/>
      <c r="L1960" s="36">
        <v>335.0</v>
      </c>
      <c r="M1960" s="36"/>
      <c r="N1960" s="36"/>
      <c r="O1960" s="36"/>
      <c r="P1960" s="37">
        <v>-15.0</v>
      </c>
      <c r="Q1960" s="36" t="s">
        <v>1393</v>
      </c>
      <c r="R1960" s="36" t="s">
        <v>96</v>
      </c>
      <c r="S1960" s="36">
        <v>1000.0</v>
      </c>
      <c r="T1960" s="36" t="s">
        <v>536</v>
      </c>
      <c r="U1960" s="36" t="s">
        <v>351</v>
      </c>
      <c r="V1960" s="36">
        <v>262.0</v>
      </c>
      <c r="W1960" s="36"/>
      <c r="X1960" s="38">
        <v>1.0</v>
      </c>
      <c r="Y1960" s="38" t="s">
        <v>2975</v>
      </c>
      <c r="Z1960" s="38" t="s">
        <v>2969</v>
      </c>
      <c r="AA1960" s="38" t="s">
        <v>313</v>
      </c>
      <c r="AB1960" s="38" t="s">
        <v>2970</v>
      </c>
      <c r="AC1960" s="38" t="s">
        <v>2971</v>
      </c>
      <c r="AD1960" s="38" t="s">
        <v>2972</v>
      </c>
      <c r="AE1960" s="38"/>
      <c r="AF1960" s="38"/>
      <c r="AG1960" s="38" t="s">
        <v>2974</v>
      </c>
      <c r="AH1960" s="38"/>
      <c r="AI1960" s="50">
        <v>13.6</v>
      </c>
      <c r="AJ1960" s="50">
        <v>2.6</v>
      </c>
      <c r="AK1960" s="41" t="s">
        <v>288</v>
      </c>
      <c r="AL1960" s="40" t="s">
        <v>288</v>
      </c>
      <c r="AM1960" s="49">
        <v>228.0</v>
      </c>
      <c r="AN1960" s="51">
        <v>228.0</v>
      </c>
      <c r="AO1960" s="42" t="s">
        <v>355</v>
      </c>
      <c r="AP1960" s="43" t="s">
        <v>355</v>
      </c>
      <c r="AQ1960" s="44" t="str">
        <f t="shared" si="217"/>
        <v>SAV</v>
      </c>
      <c r="AR1960" s="44">
        <f t="shared" si="199"/>
        <v>228</v>
      </c>
      <c r="AS1960" s="44" t="str">
        <f t="shared" si="222"/>
        <v>B</v>
      </c>
      <c r="AT1960" s="44" t="str">
        <f t="shared" si="202"/>
        <v>BW</v>
      </c>
      <c r="AU1960" s="44" t="str">
        <f t="shared" si="203"/>
        <v>BWh</v>
      </c>
      <c r="AV1960" s="38">
        <v>2.0</v>
      </c>
      <c r="AW1960" s="38"/>
      <c r="AX1960" s="38"/>
      <c r="AY1960" s="38"/>
      <c r="AZ1960" s="29">
        <v>1000.0</v>
      </c>
      <c r="BA1960" s="29"/>
      <c r="BB1960" s="29">
        <v>1.0</v>
      </c>
      <c r="BC1960" s="29" t="s">
        <v>2994</v>
      </c>
      <c r="BD1960" s="29" t="s">
        <v>88</v>
      </c>
      <c r="BE1960" s="29" t="s">
        <v>263</v>
      </c>
      <c r="BF1960" s="29" t="s">
        <v>2942</v>
      </c>
      <c r="BG1960" s="29" t="s">
        <v>91</v>
      </c>
      <c r="BH1960" s="29" t="s">
        <v>88</v>
      </c>
      <c r="BI1960" s="29" t="s">
        <v>1438</v>
      </c>
      <c r="BJ1960" s="29"/>
      <c r="BK1960" s="29" t="s">
        <v>148</v>
      </c>
      <c r="BL1960" s="29" t="s">
        <v>148</v>
      </c>
      <c r="BM1960" s="45"/>
      <c r="BN1960" s="45"/>
      <c r="BO1960" s="46"/>
      <c r="BP1960" s="2" t="s">
        <v>2996</v>
      </c>
      <c r="BQ1960" s="3"/>
    </row>
    <row r="1961" ht="15.75" customHeight="1">
      <c r="A1961" s="34">
        <v>2073.0</v>
      </c>
      <c r="B1961" s="34">
        <v>104246.0</v>
      </c>
      <c r="C1961" s="34" t="s">
        <v>76</v>
      </c>
      <c r="D1961" s="34" t="s">
        <v>2933</v>
      </c>
      <c r="E1961" s="34" t="s">
        <v>2934</v>
      </c>
      <c r="F1961" s="34">
        <v>2021.0</v>
      </c>
      <c r="G1961" s="34" t="s">
        <v>2935</v>
      </c>
      <c r="H1961" s="34" t="s">
        <v>816</v>
      </c>
      <c r="I1961" s="34" t="s">
        <v>2936</v>
      </c>
      <c r="J1961" s="35"/>
      <c r="K1961" s="36"/>
      <c r="L1961" s="36">
        <v>265.0</v>
      </c>
      <c r="M1961" s="36"/>
      <c r="N1961" s="36"/>
      <c r="O1961" s="36"/>
      <c r="P1961" s="37">
        <v>-8.0</v>
      </c>
      <c r="Q1961" s="36" t="s">
        <v>1393</v>
      </c>
      <c r="R1961" s="36" t="s">
        <v>96</v>
      </c>
      <c r="S1961" s="36">
        <v>1000.0</v>
      </c>
      <c r="T1961" s="36" t="s">
        <v>242</v>
      </c>
      <c r="U1961" s="36" t="s">
        <v>243</v>
      </c>
      <c r="V1961" s="36">
        <f>167+241</f>
        <v>408</v>
      </c>
      <c r="W1961" s="36"/>
      <c r="X1961" s="38">
        <v>1.0</v>
      </c>
      <c r="Y1961" s="38" t="s">
        <v>2976</v>
      </c>
      <c r="Z1961" s="38" t="s">
        <v>2977</v>
      </c>
      <c r="AA1961" s="38" t="s">
        <v>86</v>
      </c>
      <c r="AB1961" s="38" t="s">
        <v>2978</v>
      </c>
      <c r="AC1961" s="38" t="s">
        <v>2979</v>
      </c>
      <c r="AD1961" s="38" t="s">
        <v>2980</v>
      </c>
      <c r="AE1961" s="38"/>
      <c r="AF1961" s="38" t="s">
        <v>2316</v>
      </c>
      <c r="AG1961" s="38" t="s">
        <v>1459</v>
      </c>
      <c r="AH1961" s="38"/>
      <c r="AI1961" s="50">
        <v>35.181714</v>
      </c>
      <c r="AJ1961" s="50">
        <v>9.545662</v>
      </c>
      <c r="AK1961" s="41" t="s">
        <v>86</v>
      </c>
      <c r="AL1961" s="40" t="s">
        <v>86</v>
      </c>
      <c r="AM1961" s="49">
        <v>369.0</v>
      </c>
      <c r="AN1961" s="51">
        <v>369.0</v>
      </c>
      <c r="AO1961" s="42" t="s">
        <v>355</v>
      </c>
      <c r="AP1961" s="43" t="s">
        <v>355</v>
      </c>
      <c r="AQ1961" s="44" t="str">
        <f t="shared" si="217"/>
        <v>CRO</v>
      </c>
      <c r="AR1961" s="44">
        <f t="shared" si="199"/>
        <v>369</v>
      </c>
      <c r="AS1961" s="44" t="str">
        <f t="shared" si="222"/>
        <v>B</v>
      </c>
      <c r="AT1961" s="44" t="str">
        <f t="shared" si="202"/>
        <v>BW</v>
      </c>
      <c r="AU1961" s="44" t="str">
        <f t="shared" si="203"/>
        <v>BWh</v>
      </c>
      <c r="AV1961" s="38">
        <v>3.0</v>
      </c>
      <c r="AW1961" s="38"/>
      <c r="AX1961" s="38"/>
      <c r="AY1961" s="38"/>
      <c r="AZ1961" s="29">
        <v>1000.0</v>
      </c>
      <c r="BA1961" s="29"/>
      <c r="BB1961" s="29">
        <v>1.0</v>
      </c>
      <c r="BC1961" s="29" t="s">
        <v>2994</v>
      </c>
      <c r="BD1961" s="29" t="s">
        <v>88</v>
      </c>
      <c r="BE1961" s="29" t="s">
        <v>263</v>
      </c>
      <c r="BF1961" s="29" t="s">
        <v>2942</v>
      </c>
      <c r="BG1961" s="29" t="s">
        <v>91</v>
      </c>
      <c r="BH1961" s="29" t="s">
        <v>88</v>
      </c>
      <c r="BI1961" s="29" t="s">
        <v>1438</v>
      </c>
      <c r="BJ1961" s="29"/>
      <c r="BK1961" s="29" t="s">
        <v>148</v>
      </c>
      <c r="BL1961" s="29" t="s">
        <v>148</v>
      </c>
      <c r="BM1961" s="45"/>
      <c r="BN1961" s="45"/>
      <c r="BO1961" s="46"/>
      <c r="BP1961" s="2" t="s">
        <v>2997</v>
      </c>
      <c r="BQ1961" s="3"/>
    </row>
    <row r="1962" ht="15.75" customHeight="1">
      <c r="A1962" s="34">
        <v>2074.0</v>
      </c>
      <c r="B1962" s="34">
        <v>104246.0</v>
      </c>
      <c r="C1962" s="34" t="s">
        <v>76</v>
      </c>
      <c r="D1962" s="34" t="s">
        <v>2933</v>
      </c>
      <c r="E1962" s="34" t="s">
        <v>2934</v>
      </c>
      <c r="F1962" s="34">
        <v>2021.0</v>
      </c>
      <c r="G1962" s="34" t="s">
        <v>2935</v>
      </c>
      <c r="H1962" s="34" t="s">
        <v>816</v>
      </c>
      <c r="I1962" s="34" t="s">
        <v>2936</v>
      </c>
      <c r="J1962" s="35"/>
      <c r="K1962" s="36"/>
      <c r="L1962" s="36">
        <v>558.0</v>
      </c>
      <c r="M1962" s="36"/>
      <c r="N1962" s="36"/>
      <c r="O1962" s="36"/>
      <c r="P1962" s="37">
        <v>-14.0</v>
      </c>
      <c r="Q1962" s="36" t="s">
        <v>1393</v>
      </c>
      <c r="R1962" s="36" t="s">
        <v>96</v>
      </c>
      <c r="S1962" s="36">
        <v>1000.0</v>
      </c>
      <c r="T1962" s="36" t="s">
        <v>242</v>
      </c>
      <c r="U1962" s="36" t="s">
        <v>2955</v>
      </c>
      <c r="V1962" s="36">
        <f>365+365+233</f>
        <v>963</v>
      </c>
      <c r="W1962" s="36"/>
      <c r="X1962" s="38">
        <v>1.0</v>
      </c>
      <c r="Y1962" s="38" t="s">
        <v>2981</v>
      </c>
      <c r="Z1962" s="38" t="s">
        <v>2977</v>
      </c>
      <c r="AA1962" s="38" t="s">
        <v>86</v>
      </c>
      <c r="AB1962" s="38" t="s">
        <v>2978</v>
      </c>
      <c r="AC1962" s="38" t="s">
        <v>2979</v>
      </c>
      <c r="AD1962" s="38" t="s">
        <v>2980</v>
      </c>
      <c r="AE1962" s="38"/>
      <c r="AF1962" s="38" t="s">
        <v>238</v>
      </c>
      <c r="AG1962" s="38" t="s">
        <v>1459</v>
      </c>
      <c r="AH1962" s="38"/>
      <c r="AI1962" s="50">
        <v>35.181714</v>
      </c>
      <c r="AJ1962" s="50">
        <v>9.545662</v>
      </c>
      <c r="AK1962" s="41" t="s">
        <v>86</v>
      </c>
      <c r="AL1962" s="40" t="s">
        <v>86</v>
      </c>
      <c r="AM1962" s="49">
        <v>369.0</v>
      </c>
      <c r="AN1962" s="51">
        <v>369.0</v>
      </c>
      <c r="AO1962" s="42" t="s">
        <v>355</v>
      </c>
      <c r="AP1962" s="43" t="s">
        <v>355</v>
      </c>
      <c r="AQ1962" s="44" t="str">
        <f t="shared" si="217"/>
        <v>CRO</v>
      </c>
      <c r="AR1962" s="44">
        <f t="shared" si="199"/>
        <v>369</v>
      </c>
      <c r="AS1962" s="44" t="str">
        <f t="shared" si="222"/>
        <v>B</v>
      </c>
      <c r="AT1962" s="44" t="str">
        <f t="shared" si="202"/>
        <v>BW</v>
      </c>
      <c r="AU1962" s="44" t="str">
        <f t="shared" si="203"/>
        <v>BWh</v>
      </c>
      <c r="AV1962" s="38">
        <v>3.0</v>
      </c>
      <c r="AW1962" s="38"/>
      <c r="AX1962" s="38"/>
      <c r="AY1962" s="38"/>
      <c r="AZ1962" s="29">
        <v>1000.0</v>
      </c>
      <c r="BA1962" s="29"/>
      <c r="BB1962" s="29">
        <v>1.0</v>
      </c>
      <c r="BC1962" s="29" t="s">
        <v>2994</v>
      </c>
      <c r="BD1962" s="29" t="s">
        <v>88</v>
      </c>
      <c r="BE1962" s="29" t="s">
        <v>263</v>
      </c>
      <c r="BF1962" s="29" t="s">
        <v>2942</v>
      </c>
      <c r="BG1962" s="29" t="s">
        <v>91</v>
      </c>
      <c r="BH1962" s="29" t="s">
        <v>88</v>
      </c>
      <c r="BI1962" s="29" t="s">
        <v>1438</v>
      </c>
      <c r="BJ1962" s="29"/>
      <c r="BK1962" s="29" t="s">
        <v>148</v>
      </c>
      <c r="BL1962" s="29" t="s">
        <v>148</v>
      </c>
      <c r="BM1962" s="45"/>
      <c r="BN1962" s="45"/>
      <c r="BO1962" s="46"/>
      <c r="BP1962" s="2" t="s">
        <v>2998</v>
      </c>
      <c r="BQ1962" s="3"/>
    </row>
    <row r="1963" ht="15.75" customHeight="1">
      <c r="A1963" s="34">
        <v>2075.0</v>
      </c>
      <c r="B1963" s="34">
        <v>104246.0</v>
      </c>
      <c r="C1963" s="34" t="s">
        <v>76</v>
      </c>
      <c r="D1963" s="34" t="s">
        <v>2933</v>
      </c>
      <c r="E1963" s="34" t="s">
        <v>2934</v>
      </c>
      <c r="F1963" s="34">
        <v>2021.0</v>
      </c>
      <c r="G1963" s="34" t="s">
        <v>2935</v>
      </c>
      <c r="H1963" s="34" t="s">
        <v>816</v>
      </c>
      <c r="I1963" s="34" t="s">
        <v>2936</v>
      </c>
      <c r="J1963" s="35"/>
      <c r="K1963" s="36"/>
      <c r="L1963" s="36">
        <v>288.0</v>
      </c>
      <c r="M1963" s="36"/>
      <c r="N1963" s="36"/>
      <c r="O1963" s="36"/>
      <c r="P1963" s="37">
        <v>-16.0</v>
      </c>
      <c r="Q1963" s="36" t="s">
        <v>1393</v>
      </c>
      <c r="R1963" s="36" t="s">
        <v>96</v>
      </c>
      <c r="S1963" s="36">
        <v>1000.0</v>
      </c>
      <c r="T1963" s="36" t="s">
        <v>295</v>
      </c>
      <c r="U1963" s="36" t="s">
        <v>968</v>
      </c>
      <c r="V1963" s="36">
        <v>148.0</v>
      </c>
      <c r="W1963" s="36"/>
      <c r="X1963" s="38">
        <v>1.0</v>
      </c>
      <c r="Y1963" s="38" t="s">
        <v>2982</v>
      </c>
      <c r="Z1963" s="38" t="s">
        <v>2983</v>
      </c>
      <c r="AA1963" s="38" t="s">
        <v>86</v>
      </c>
      <c r="AB1963" s="38" t="s">
        <v>2984</v>
      </c>
      <c r="AC1963" s="38" t="s">
        <v>2985</v>
      </c>
      <c r="AD1963" s="38" t="s">
        <v>2235</v>
      </c>
      <c r="AE1963" s="53"/>
      <c r="AF1963" s="38" t="s">
        <v>2316</v>
      </c>
      <c r="AG1963" s="38"/>
      <c r="AH1963" s="38"/>
      <c r="AI1963" s="50">
        <v>31.6725</v>
      </c>
      <c r="AJ1963" s="50">
        <v>-7.59597</v>
      </c>
      <c r="AK1963" s="41" t="s">
        <v>86</v>
      </c>
      <c r="AL1963" s="40" t="s">
        <v>86</v>
      </c>
      <c r="AM1963" s="49">
        <v>572.0</v>
      </c>
      <c r="AN1963" s="51">
        <v>572.0</v>
      </c>
      <c r="AO1963" s="42" t="s">
        <v>304</v>
      </c>
      <c r="AP1963" s="43" t="s">
        <v>304</v>
      </c>
      <c r="AQ1963" s="44" t="str">
        <f t="shared" si="217"/>
        <v>CRO</v>
      </c>
      <c r="AR1963" s="44">
        <f t="shared" si="199"/>
        <v>572</v>
      </c>
      <c r="AS1963" s="44" t="str">
        <f t="shared" si="222"/>
        <v>B</v>
      </c>
      <c r="AT1963" s="44" t="str">
        <f t="shared" si="202"/>
        <v>BS</v>
      </c>
      <c r="AU1963" s="44" t="str">
        <f t="shared" si="203"/>
        <v>BSh</v>
      </c>
      <c r="AV1963" s="38">
        <v>2.0</v>
      </c>
      <c r="AW1963" s="38"/>
      <c r="AX1963" s="38"/>
      <c r="AY1963" s="38"/>
      <c r="AZ1963" s="29">
        <v>1000.0</v>
      </c>
      <c r="BA1963" s="29"/>
      <c r="BB1963" s="29">
        <v>1.0</v>
      </c>
      <c r="BC1963" s="29" t="s">
        <v>2994</v>
      </c>
      <c r="BD1963" s="29" t="s">
        <v>88</v>
      </c>
      <c r="BE1963" s="29" t="s">
        <v>263</v>
      </c>
      <c r="BF1963" s="29" t="s">
        <v>2942</v>
      </c>
      <c r="BG1963" s="29" t="s">
        <v>91</v>
      </c>
      <c r="BH1963" s="29" t="s">
        <v>88</v>
      </c>
      <c r="BI1963" s="29" t="s">
        <v>1438</v>
      </c>
      <c r="BJ1963" s="29"/>
      <c r="BK1963" s="29" t="s">
        <v>148</v>
      </c>
      <c r="BL1963" s="29" t="s">
        <v>148</v>
      </c>
      <c r="BM1963" s="45"/>
      <c r="BN1963" s="45"/>
      <c r="BO1963" s="46"/>
      <c r="BP1963" s="2" t="s">
        <v>2999</v>
      </c>
      <c r="BQ1963" s="3"/>
    </row>
    <row r="1964" ht="15.75" customHeight="1">
      <c r="A1964" s="34">
        <v>2076.0</v>
      </c>
      <c r="B1964" s="34">
        <v>104246.0</v>
      </c>
      <c r="C1964" s="34" t="s">
        <v>76</v>
      </c>
      <c r="D1964" s="34" t="s">
        <v>2933</v>
      </c>
      <c r="E1964" s="34" t="s">
        <v>2934</v>
      </c>
      <c r="F1964" s="34">
        <v>2021.0</v>
      </c>
      <c r="G1964" s="34" t="s">
        <v>2935</v>
      </c>
      <c r="H1964" s="34" t="s">
        <v>816</v>
      </c>
      <c r="I1964" s="34" t="s">
        <v>2936</v>
      </c>
      <c r="J1964" s="35"/>
      <c r="K1964" s="118">
        <f>299-L1964</f>
        <v>-76</v>
      </c>
      <c r="L1964" s="118">
        <v>375.0</v>
      </c>
      <c r="M1964" s="36"/>
      <c r="N1964" s="36"/>
      <c r="O1964" s="36"/>
      <c r="P1964" s="52">
        <f t="shared" ref="P1964:P1983" si="223">K1964/L1964*100</f>
        <v>-20.26666667</v>
      </c>
      <c r="Q1964" s="36" t="s">
        <v>1393</v>
      </c>
      <c r="R1964" s="36" t="s">
        <v>96</v>
      </c>
      <c r="S1964" s="36">
        <v>1000.0</v>
      </c>
      <c r="T1964" s="36" t="s">
        <v>341</v>
      </c>
      <c r="U1964" s="36" t="s">
        <v>285</v>
      </c>
      <c r="V1964" s="36">
        <v>246.0</v>
      </c>
      <c r="W1964" s="36"/>
      <c r="X1964" s="38">
        <v>1.0</v>
      </c>
      <c r="Y1964" s="38" t="s">
        <v>2937</v>
      </c>
      <c r="Z1964" s="38" t="s">
        <v>2938</v>
      </c>
      <c r="AA1964" s="38" t="s">
        <v>86</v>
      </c>
      <c r="AB1964" s="38" t="s">
        <v>2939</v>
      </c>
      <c r="AC1964" s="38" t="s">
        <v>2940</v>
      </c>
      <c r="AD1964" s="38" t="s">
        <v>382</v>
      </c>
      <c r="AE1964" s="38"/>
      <c r="AF1964" s="38" t="s">
        <v>2316</v>
      </c>
      <c r="AG1964" s="38" t="s">
        <v>2928</v>
      </c>
      <c r="AH1964" s="38"/>
      <c r="AI1964" s="50">
        <v>43.5497</v>
      </c>
      <c r="AJ1964" s="50">
        <v>1.1061</v>
      </c>
      <c r="AK1964" s="41" t="s">
        <v>86</v>
      </c>
      <c r="AL1964" s="40" t="s">
        <v>86</v>
      </c>
      <c r="AM1964" s="49">
        <v>246.0</v>
      </c>
      <c r="AN1964" s="51">
        <v>246.0</v>
      </c>
      <c r="AO1964" s="42" t="s">
        <v>376</v>
      </c>
      <c r="AP1964" s="43" t="s">
        <v>376</v>
      </c>
      <c r="AQ1964" s="44" t="str">
        <f t="shared" si="217"/>
        <v>CRO</v>
      </c>
      <c r="AR1964" s="44">
        <f t="shared" si="199"/>
        <v>246</v>
      </c>
      <c r="AS1964" s="44" t="str">
        <f t="shared" si="222"/>
        <v>C</v>
      </c>
      <c r="AT1964" s="44" t="str">
        <f t="shared" si="202"/>
        <v>Cf</v>
      </c>
      <c r="AU1964" s="44" t="str">
        <f t="shared" si="203"/>
        <v>Cfb</v>
      </c>
      <c r="AV1964" s="38">
        <v>2.0</v>
      </c>
      <c r="AW1964" s="38"/>
      <c r="AX1964" s="38"/>
      <c r="AY1964" s="38"/>
      <c r="AZ1964" s="29">
        <v>1000.0</v>
      </c>
      <c r="BA1964" s="29"/>
      <c r="BB1964" s="29">
        <v>1.0</v>
      </c>
      <c r="BC1964" s="29" t="s">
        <v>89</v>
      </c>
      <c r="BD1964" s="29" t="s">
        <v>88</v>
      </c>
      <c r="BE1964" s="29" t="s">
        <v>89</v>
      </c>
      <c r="BF1964" s="29" t="s">
        <v>2942</v>
      </c>
      <c r="BG1964" s="29" t="s">
        <v>91</v>
      </c>
      <c r="BH1964" s="29" t="s">
        <v>88</v>
      </c>
      <c r="BI1964" s="29" t="s">
        <v>1438</v>
      </c>
      <c r="BJ1964" s="29"/>
      <c r="BK1964" s="29" t="s">
        <v>148</v>
      </c>
      <c r="BL1964" s="29" t="s">
        <v>148</v>
      </c>
      <c r="BM1964" s="45"/>
      <c r="BN1964" s="45"/>
      <c r="BO1964" s="46"/>
      <c r="BP1964" s="2" t="s">
        <v>2995</v>
      </c>
      <c r="BQ1964" s="3"/>
    </row>
    <row r="1965" ht="15.75" customHeight="1">
      <c r="A1965" s="34">
        <v>2077.0</v>
      </c>
      <c r="B1965" s="34">
        <v>104246.0</v>
      </c>
      <c r="C1965" s="34" t="s">
        <v>76</v>
      </c>
      <c r="D1965" s="34" t="s">
        <v>2933</v>
      </c>
      <c r="E1965" s="34" t="s">
        <v>2934</v>
      </c>
      <c r="F1965" s="34">
        <v>2021.0</v>
      </c>
      <c r="G1965" s="34" t="s">
        <v>2935</v>
      </c>
      <c r="H1965" s="34" t="s">
        <v>816</v>
      </c>
      <c r="I1965" s="34" t="s">
        <v>2936</v>
      </c>
      <c r="J1965" s="35"/>
      <c r="K1965" s="118">
        <f>368-L1965</f>
        <v>100</v>
      </c>
      <c r="L1965" s="118">
        <v>268.0</v>
      </c>
      <c r="M1965" s="36"/>
      <c r="N1965" s="36"/>
      <c r="O1965" s="36"/>
      <c r="P1965" s="52">
        <f t="shared" si="223"/>
        <v>37.31343284</v>
      </c>
      <c r="Q1965" s="36" t="s">
        <v>1393</v>
      </c>
      <c r="R1965" s="36" t="s">
        <v>96</v>
      </c>
      <c r="S1965" s="36">
        <v>1000.0</v>
      </c>
      <c r="T1965" s="36" t="s">
        <v>350</v>
      </c>
      <c r="U1965" s="36" t="s">
        <v>342</v>
      </c>
      <c r="V1965" s="36">
        <v>164.0</v>
      </c>
      <c r="W1965" s="36"/>
      <c r="X1965" s="38">
        <v>1.0</v>
      </c>
      <c r="Y1965" s="38" t="s">
        <v>2943</v>
      </c>
      <c r="Z1965" s="38" t="s">
        <v>2938</v>
      </c>
      <c r="AA1965" s="38" t="s">
        <v>86</v>
      </c>
      <c r="AB1965" s="38" t="s">
        <v>2939</v>
      </c>
      <c r="AC1965" s="38" t="s">
        <v>2940</v>
      </c>
      <c r="AD1965" s="38" t="s">
        <v>382</v>
      </c>
      <c r="AE1965" s="38"/>
      <c r="AF1965" s="38" t="s">
        <v>2944</v>
      </c>
      <c r="AG1965" s="38" t="s">
        <v>2928</v>
      </c>
      <c r="AH1965" s="38"/>
      <c r="AI1965" s="50">
        <v>43.5497</v>
      </c>
      <c r="AJ1965" s="50">
        <v>1.1061</v>
      </c>
      <c r="AK1965" s="41" t="s">
        <v>86</v>
      </c>
      <c r="AL1965" s="40" t="s">
        <v>86</v>
      </c>
      <c r="AM1965" s="49">
        <v>246.0</v>
      </c>
      <c r="AN1965" s="51">
        <v>246.0</v>
      </c>
      <c r="AO1965" s="42" t="s">
        <v>376</v>
      </c>
      <c r="AP1965" s="43" t="s">
        <v>376</v>
      </c>
      <c r="AQ1965" s="44" t="str">
        <f t="shared" si="217"/>
        <v>CRO</v>
      </c>
      <c r="AR1965" s="44">
        <f t="shared" si="199"/>
        <v>246</v>
      </c>
      <c r="AS1965" s="44" t="str">
        <f t="shared" si="222"/>
        <v>C</v>
      </c>
      <c r="AT1965" s="44" t="str">
        <f t="shared" si="202"/>
        <v>Cf</v>
      </c>
      <c r="AU1965" s="44" t="str">
        <f t="shared" si="203"/>
        <v>Cfb</v>
      </c>
      <c r="AV1965" s="38">
        <v>2.0</v>
      </c>
      <c r="AW1965" s="38"/>
      <c r="AX1965" s="38"/>
      <c r="AY1965" s="38"/>
      <c r="AZ1965" s="29">
        <v>1000.0</v>
      </c>
      <c r="BA1965" s="29"/>
      <c r="BB1965" s="29">
        <v>1.0</v>
      </c>
      <c r="BC1965" s="29" t="s">
        <v>89</v>
      </c>
      <c r="BD1965" s="29" t="s">
        <v>88</v>
      </c>
      <c r="BE1965" s="29" t="s">
        <v>89</v>
      </c>
      <c r="BF1965" s="29" t="s">
        <v>2942</v>
      </c>
      <c r="BG1965" s="29" t="s">
        <v>91</v>
      </c>
      <c r="BH1965" s="29" t="s">
        <v>88</v>
      </c>
      <c r="BI1965" s="29" t="s">
        <v>1438</v>
      </c>
      <c r="BJ1965" s="29"/>
      <c r="BK1965" s="29" t="s">
        <v>148</v>
      </c>
      <c r="BL1965" s="29" t="s">
        <v>148</v>
      </c>
      <c r="BM1965" s="45"/>
      <c r="BN1965" s="45"/>
      <c r="BO1965" s="46"/>
      <c r="BP1965" s="2" t="s">
        <v>2996</v>
      </c>
      <c r="BQ1965" s="3"/>
    </row>
    <row r="1966" ht="15.75" customHeight="1">
      <c r="A1966" s="34">
        <v>2078.0</v>
      </c>
      <c r="B1966" s="34">
        <v>104246.0</v>
      </c>
      <c r="C1966" s="34" t="s">
        <v>76</v>
      </c>
      <c r="D1966" s="34" t="s">
        <v>2933</v>
      </c>
      <c r="E1966" s="34" t="s">
        <v>2934</v>
      </c>
      <c r="F1966" s="34">
        <v>2021.0</v>
      </c>
      <c r="G1966" s="34" t="s">
        <v>2935</v>
      </c>
      <c r="H1966" s="34" t="s">
        <v>816</v>
      </c>
      <c r="I1966" s="34" t="s">
        <v>2936</v>
      </c>
      <c r="J1966" s="35"/>
      <c r="K1966" s="118">
        <f>202-L1966</f>
        <v>-16</v>
      </c>
      <c r="L1966" s="118">
        <v>218.0</v>
      </c>
      <c r="M1966" s="36"/>
      <c r="N1966" s="36"/>
      <c r="O1966" s="36"/>
      <c r="P1966" s="52">
        <f t="shared" si="223"/>
        <v>-7.339449541</v>
      </c>
      <c r="Q1966" s="36" t="s">
        <v>1393</v>
      </c>
      <c r="R1966" s="36" t="s">
        <v>96</v>
      </c>
      <c r="S1966" s="36">
        <v>1000.0</v>
      </c>
      <c r="T1966" s="36" t="s">
        <v>506</v>
      </c>
      <c r="U1966" s="36" t="s">
        <v>676</v>
      </c>
      <c r="V1966" s="36">
        <v>258.0</v>
      </c>
      <c r="W1966" s="36"/>
      <c r="X1966" s="38">
        <v>1.0</v>
      </c>
      <c r="Y1966" s="38" t="s">
        <v>2945</v>
      </c>
      <c r="Z1966" s="38" t="s">
        <v>2938</v>
      </c>
      <c r="AA1966" s="38" t="s">
        <v>86</v>
      </c>
      <c r="AB1966" s="38" t="s">
        <v>2939</v>
      </c>
      <c r="AC1966" s="38" t="s">
        <v>2940</v>
      </c>
      <c r="AD1966" s="38" t="s">
        <v>382</v>
      </c>
      <c r="AE1966" s="38"/>
      <c r="AF1966" s="38" t="s">
        <v>2316</v>
      </c>
      <c r="AG1966" s="38" t="s">
        <v>2928</v>
      </c>
      <c r="AH1966" s="38"/>
      <c r="AI1966" s="50">
        <v>43.5497</v>
      </c>
      <c r="AJ1966" s="50">
        <v>1.1061</v>
      </c>
      <c r="AK1966" s="41" t="s">
        <v>86</v>
      </c>
      <c r="AL1966" s="40" t="s">
        <v>86</v>
      </c>
      <c r="AM1966" s="49">
        <v>246.0</v>
      </c>
      <c r="AN1966" s="51">
        <v>246.0</v>
      </c>
      <c r="AO1966" s="42" t="s">
        <v>376</v>
      </c>
      <c r="AP1966" s="43" t="s">
        <v>376</v>
      </c>
      <c r="AQ1966" s="44" t="str">
        <f t="shared" si="217"/>
        <v>CRO</v>
      </c>
      <c r="AR1966" s="44">
        <f t="shared" si="199"/>
        <v>246</v>
      </c>
      <c r="AS1966" s="44" t="str">
        <f t="shared" si="222"/>
        <v>C</v>
      </c>
      <c r="AT1966" s="44" t="str">
        <f t="shared" si="202"/>
        <v>Cf</v>
      </c>
      <c r="AU1966" s="44" t="str">
        <f t="shared" si="203"/>
        <v>Cfb</v>
      </c>
      <c r="AV1966" s="38">
        <v>2.0</v>
      </c>
      <c r="AW1966" s="38"/>
      <c r="AX1966" s="38"/>
      <c r="AY1966" s="38"/>
      <c r="AZ1966" s="29">
        <v>1000.0</v>
      </c>
      <c r="BA1966" s="29"/>
      <c r="BB1966" s="29">
        <v>1.0</v>
      </c>
      <c r="BC1966" s="29" t="s">
        <v>89</v>
      </c>
      <c r="BD1966" s="29" t="s">
        <v>88</v>
      </c>
      <c r="BE1966" s="29" t="s">
        <v>89</v>
      </c>
      <c r="BF1966" s="29" t="s">
        <v>2942</v>
      </c>
      <c r="BG1966" s="29" t="s">
        <v>91</v>
      </c>
      <c r="BH1966" s="29" t="s">
        <v>88</v>
      </c>
      <c r="BI1966" s="29" t="s">
        <v>1438</v>
      </c>
      <c r="BJ1966" s="29"/>
      <c r="BK1966" s="29" t="s">
        <v>148</v>
      </c>
      <c r="BL1966" s="29" t="s">
        <v>148</v>
      </c>
      <c r="BM1966" s="45"/>
      <c r="BN1966" s="45"/>
      <c r="BO1966" s="46"/>
      <c r="BP1966" s="2" t="s">
        <v>2997</v>
      </c>
      <c r="BQ1966" s="3"/>
    </row>
    <row r="1967" ht="15.75" customHeight="1">
      <c r="A1967" s="34">
        <v>2079.0</v>
      </c>
      <c r="B1967" s="34">
        <v>104246.0</v>
      </c>
      <c r="C1967" s="34" t="s">
        <v>76</v>
      </c>
      <c r="D1967" s="34" t="s">
        <v>2933</v>
      </c>
      <c r="E1967" s="34" t="s">
        <v>2934</v>
      </c>
      <c r="F1967" s="34">
        <v>2021.0</v>
      </c>
      <c r="G1967" s="34" t="s">
        <v>2935</v>
      </c>
      <c r="H1967" s="34" t="s">
        <v>816</v>
      </c>
      <c r="I1967" s="34" t="s">
        <v>2936</v>
      </c>
      <c r="J1967" s="35"/>
      <c r="K1967" s="118">
        <f>533-L1967</f>
        <v>193</v>
      </c>
      <c r="L1967" s="118">
        <v>340.0</v>
      </c>
      <c r="M1967" s="36"/>
      <c r="N1967" s="36"/>
      <c r="O1967" s="36"/>
      <c r="P1967" s="52">
        <f t="shared" si="223"/>
        <v>56.76470588</v>
      </c>
      <c r="Q1967" s="36" t="s">
        <v>1393</v>
      </c>
      <c r="R1967" s="36" t="s">
        <v>96</v>
      </c>
      <c r="S1967" s="36">
        <v>1000.0</v>
      </c>
      <c r="T1967" s="36" t="s">
        <v>350</v>
      </c>
      <c r="U1967" s="36" t="s">
        <v>342</v>
      </c>
      <c r="V1967" s="36">
        <v>269.0</v>
      </c>
      <c r="W1967" s="36"/>
      <c r="X1967" s="38">
        <v>1.0</v>
      </c>
      <c r="Y1967" s="38" t="s">
        <v>2946</v>
      </c>
      <c r="Z1967" s="38" t="s">
        <v>2947</v>
      </c>
      <c r="AA1967" s="38" t="s">
        <v>86</v>
      </c>
      <c r="AB1967" s="38" t="s">
        <v>2948</v>
      </c>
      <c r="AC1967" s="38" t="s">
        <v>2949</v>
      </c>
      <c r="AD1967" s="38" t="s">
        <v>382</v>
      </c>
      <c r="AE1967" s="38"/>
      <c r="AF1967" s="38" t="s">
        <v>2316</v>
      </c>
      <c r="AG1967" s="38" t="s">
        <v>2928</v>
      </c>
      <c r="AH1967" s="38"/>
      <c r="AI1967" s="50">
        <v>43.4965</v>
      </c>
      <c r="AJ1967" s="50">
        <v>1.2379</v>
      </c>
      <c r="AK1967" s="41" t="s">
        <v>86</v>
      </c>
      <c r="AL1967" s="40" t="s">
        <v>86</v>
      </c>
      <c r="AM1967" s="49">
        <v>181.0</v>
      </c>
      <c r="AN1967" s="51">
        <v>181.0</v>
      </c>
      <c r="AO1967" s="42" t="s">
        <v>201</v>
      </c>
      <c r="AP1967" s="43" t="s">
        <v>201</v>
      </c>
      <c r="AQ1967" s="44" t="str">
        <f t="shared" si="217"/>
        <v>CRO</v>
      </c>
      <c r="AR1967" s="44">
        <f t="shared" si="199"/>
        <v>181</v>
      </c>
      <c r="AS1967" s="44" t="str">
        <f t="shared" si="222"/>
        <v>C</v>
      </c>
      <c r="AT1967" s="44" t="str">
        <f t="shared" si="202"/>
        <v>Cf</v>
      </c>
      <c r="AU1967" s="44" t="str">
        <f t="shared" si="203"/>
        <v>Cfa</v>
      </c>
      <c r="AV1967" s="38">
        <v>2.0</v>
      </c>
      <c r="AW1967" s="38"/>
      <c r="AX1967" s="38"/>
      <c r="AY1967" s="38"/>
      <c r="AZ1967" s="29">
        <v>1000.0</v>
      </c>
      <c r="BA1967" s="29"/>
      <c r="BB1967" s="29">
        <v>1.0</v>
      </c>
      <c r="BC1967" s="29" t="s">
        <v>89</v>
      </c>
      <c r="BD1967" s="29" t="s">
        <v>88</v>
      </c>
      <c r="BE1967" s="29" t="s">
        <v>89</v>
      </c>
      <c r="BF1967" s="29" t="s">
        <v>2942</v>
      </c>
      <c r="BG1967" s="29" t="s">
        <v>91</v>
      </c>
      <c r="BH1967" s="29" t="s">
        <v>88</v>
      </c>
      <c r="BI1967" s="29" t="s">
        <v>1438</v>
      </c>
      <c r="BJ1967" s="29"/>
      <c r="BK1967" s="29" t="s">
        <v>148</v>
      </c>
      <c r="BL1967" s="29" t="s">
        <v>148</v>
      </c>
      <c r="BM1967" s="45"/>
      <c r="BN1967" s="45"/>
      <c r="BO1967" s="46"/>
      <c r="BP1967" s="2" t="s">
        <v>2998</v>
      </c>
      <c r="BQ1967" s="3"/>
    </row>
    <row r="1968" ht="15.75" customHeight="1">
      <c r="A1968" s="34">
        <v>2080.0</v>
      </c>
      <c r="B1968" s="34">
        <v>104246.0</v>
      </c>
      <c r="C1968" s="34" t="s">
        <v>76</v>
      </c>
      <c r="D1968" s="34" t="s">
        <v>2933</v>
      </c>
      <c r="E1968" s="34" t="s">
        <v>2934</v>
      </c>
      <c r="F1968" s="34">
        <v>2021.0</v>
      </c>
      <c r="G1968" s="34" t="s">
        <v>2935</v>
      </c>
      <c r="H1968" s="34" t="s">
        <v>816</v>
      </c>
      <c r="I1968" s="34" t="s">
        <v>2936</v>
      </c>
      <c r="J1968" s="35"/>
      <c r="K1968" s="118">
        <f>396-L1968</f>
        <v>-31</v>
      </c>
      <c r="L1968" s="118">
        <v>427.0</v>
      </c>
      <c r="M1968" s="36"/>
      <c r="N1968" s="36"/>
      <c r="O1968" s="36"/>
      <c r="P1968" s="52">
        <f t="shared" si="223"/>
        <v>-7.259953162</v>
      </c>
      <c r="Q1968" s="36" t="s">
        <v>1393</v>
      </c>
      <c r="R1968" s="36" t="s">
        <v>96</v>
      </c>
      <c r="S1968" s="36">
        <v>1000.0</v>
      </c>
      <c r="T1968" s="36" t="s">
        <v>506</v>
      </c>
      <c r="U1968" s="36" t="s">
        <v>676</v>
      </c>
      <c r="V1968" s="36">
        <v>161.0</v>
      </c>
      <c r="W1968" s="36"/>
      <c r="X1968" s="38">
        <v>1.0</v>
      </c>
      <c r="Y1968" s="38" t="s">
        <v>2950</v>
      </c>
      <c r="Z1968" s="38" t="s">
        <v>2947</v>
      </c>
      <c r="AA1968" s="38" t="s">
        <v>86</v>
      </c>
      <c r="AB1968" s="38" t="s">
        <v>2948</v>
      </c>
      <c r="AC1968" s="38" t="s">
        <v>2949</v>
      </c>
      <c r="AD1968" s="38" t="s">
        <v>382</v>
      </c>
      <c r="AE1968" s="38"/>
      <c r="AF1968" s="38" t="s">
        <v>525</v>
      </c>
      <c r="AG1968" s="38" t="s">
        <v>2928</v>
      </c>
      <c r="AH1968" s="38"/>
      <c r="AI1968" s="50">
        <v>43.4965</v>
      </c>
      <c r="AJ1968" s="50">
        <v>1.2379</v>
      </c>
      <c r="AK1968" s="41" t="s">
        <v>86</v>
      </c>
      <c r="AL1968" s="40" t="s">
        <v>86</v>
      </c>
      <c r="AM1968" s="49">
        <v>181.0</v>
      </c>
      <c r="AN1968" s="51">
        <v>181.0</v>
      </c>
      <c r="AO1968" s="42" t="s">
        <v>201</v>
      </c>
      <c r="AP1968" s="43" t="s">
        <v>201</v>
      </c>
      <c r="AQ1968" s="44" t="str">
        <f t="shared" si="217"/>
        <v>CRO</v>
      </c>
      <c r="AR1968" s="44">
        <f t="shared" si="199"/>
        <v>181</v>
      </c>
      <c r="AS1968" s="44" t="str">
        <f t="shared" si="222"/>
        <v>C</v>
      </c>
      <c r="AT1968" s="44" t="str">
        <f t="shared" si="202"/>
        <v>Cf</v>
      </c>
      <c r="AU1968" s="44" t="str">
        <f t="shared" si="203"/>
        <v>Cfa</v>
      </c>
      <c r="AV1968" s="38">
        <v>2.0</v>
      </c>
      <c r="AW1968" s="38"/>
      <c r="AX1968" s="38"/>
      <c r="AY1968" s="38"/>
      <c r="AZ1968" s="29">
        <v>1000.0</v>
      </c>
      <c r="BA1968" s="29"/>
      <c r="BB1968" s="29">
        <v>1.0</v>
      </c>
      <c r="BC1968" s="29" t="s">
        <v>89</v>
      </c>
      <c r="BD1968" s="29" t="s">
        <v>88</v>
      </c>
      <c r="BE1968" s="29" t="s">
        <v>89</v>
      </c>
      <c r="BF1968" s="29" t="s">
        <v>2942</v>
      </c>
      <c r="BG1968" s="29" t="s">
        <v>91</v>
      </c>
      <c r="BH1968" s="29" t="s">
        <v>88</v>
      </c>
      <c r="BI1968" s="29" t="s">
        <v>1438</v>
      </c>
      <c r="BJ1968" s="29"/>
      <c r="BK1968" s="29" t="s">
        <v>148</v>
      </c>
      <c r="BL1968" s="29" t="s">
        <v>148</v>
      </c>
      <c r="BM1968" s="45"/>
      <c r="BN1968" s="45"/>
      <c r="BO1968" s="46"/>
      <c r="BP1968" s="2" t="s">
        <v>2999</v>
      </c>
      <c r="BQ1968" s="3"/>
    </row>
    <row r="1969" ht="15.75" customHeight="1">
      <c r="A1969" s="34">
        <v>2081.0</v>
      </c>
      <c r="B1969" s="34">
        <v>104246.0</v>
      </c>
      <c r="C1969" s="34" t="s">
        <v>76</v>
      </c>
      <c r="D1969" s="34" t="s">
        <v>2933</v>
      </c>
      <c r="E1969" s="34" t="s">
        <v>2934</v>
      </c>
      <c r="F1969" s="34">
        <v>2021.0</v>
      </c>
      <c r="G1969" s="34" t="s">
        <v>2935</v>
      </c>
      <c r="H1969" s="34" t="s">
        <v>816</v>
      </c>
      <c r="I1969" s="34" t="s">
        <v>2936</v>
      </c>
      <c r="J1969" s="35"/>
      <c r="K1969" s="118">
        <f>340-L1969</f>
        <v>79</v>
      </c>
      <c r="L1969" s="118">
        <v>261.0</v>
      </c>
      <c r="M1969" s="36"/>
      <c r="N1969" s="36"/>
      <c r="O1969" s="36"/>
      <c r="P1969" s="52">
        <f t="shared" si="223"/>
        <v>30.26819923</v>
      </c>
      <c r="Q1969" s="36" t="s">
        <v>1393</v>
      </c>
      <c r="R1969" s="36" t="s">
        <v>96</v>
      </c>
      <c r="S1969" s="36">
        <v>1000.0</v>
      </c>
      <c r="T1969" s="36" t="s">
        <v>536</v>
      </c>
      <c r="U1969" s="36" t="s">
        <v>351</v>
      </c>
      <c r="V1969" s="36">
        <v>237.0</v>
      </c>
      <c r="W1969" s="36"/>
      <c r="X1969" s="38">
        <v>1.0</v>
      </c>
      <c r="Y1969" s="38" t="s">
        <v>2951</v>
      </c>
      <c r="Z1969" s="38" t="s">
        <v>2947</v>
      </c>
      <c r="AA1969" s="38" t="s">
        <v>86</v>
      </c>
      <c r="AB1969" s="38" t="s">
        <v>2948</v>
      </c>
      <c r="AC1969" s="38" t="s">
        <v>2949</v>
      </c>
      <c r="AD1969" s="38" t="s">
        <v>382</v>
      </c>
      <c r="AE1969" s="38"/>
      <c r="AF1969" s="38" t="s">
        <v>2316</v>
      </c>
      <c r="AG1969" s="38" t="s">
        <v>2928</v>
      </c>
      <c r="AH1969" s="38"/>
      <c r="AI1969" s="50">
        <v>43.4965</v>
      </c>
      <c r="AJ1969" s="50">
        <v>1.2379</v>
      </c>
      <c r="AK1969" s="41" t="s">
        <v>86</v>
      </c>
      <c r="AL1969" s="40" t="s">
        <v>86</v>
      </c>
      <c r="AM1969" s="49">
        <v>181.0</v>
      </c>
      <c r="AN1969" s="51">
        <v>181.0</v>
      </c>
      <c r="AO1969" s="42" t="s">
        <v>201</v>
      </c>
      <c r="AP1969" s="43" t="s">
        <v>201</v>
      </c>
      <c r="AQ1969" s="44" t="str">
        <f t="shared" si="217"/>
        <v>CRO</v>
      </c>
      <c r="AR1969" s="44">
        <f t="shared" si="199"/>
        <v>181</v>
      </c>
      <c r="AS1969" s="44" t="str">
        <f t="shared" si="222"/>
        <v>C</v>
      </c>
      <c r="AT1969" s="44" t="str">
        <f t="shared" si="202"/>
        <v>Cf</v>
      </c>
      <c r="AU1969" s="44" t="str">
        <f t="shared" si="203"/>
        <v>Cfa</v>
      </c>
      <c r="AV1969" s="38">
        <v>2.0</v>
      </c>
      <c r="AW1969" s="38"/>
      <c r="AX1969" s="38"/>
      <c r="AY1969" s="38"/>
      <c r="AZ1969" s="29">
        <v>1000.0</v>
      </c>
      <c r="BA1969" s="29"/>
      <c r="BB1969" s="29">
        <v>1.0</v>
      </c>
      <c r="BC1969" s="29" t="s">
        <v>89</v>
      </c>
      <c r="BD1969" s="29" t="s">
        <v>88</v>
      </c>
      <c r="BE1969" s="29" t="s">
        <v>89</v>
      </c>
      <c r="BF1969" s="29" t="s">
        <v>2942</v>
      </c>
      <c r="BG1969" s="29" t="s">
        <v>91</v>
      </c>
      <c r="BH1969" s="29" t="s">
        <v>88</v>
      </c>
      <c r="BI1969" s="29" t="s">
        <v>1438</v>
      </c>
      <c r="BJ1969" s="29"/>
      <c r="BK1969" s="29" t="s">
        <v>148</v>
      </c>
      <c r="BL1969" s="29" t="s">
        <v>148</v>
      </c>
      <c r="BM1969" s="45"/>
      <c r="BN1969" s="45"/>
      <c r="BO1969" s="46"/>
      <c r="BP1969" s="2"/>
      <c r="BQ1969" s="3"/>
    </row>
    <row r="1970" ht="15.75" customHeight="1">
      <c r="A1970" s="34">
        <v>2082.0</v>
      </c>
      <c r="B1970" s="34">
        <v>104246.0</v>
      </c>
      <c r="C1970" s="34" t="s">
        <v>76</v>
      </c>
      <c r="D1970" s="34" t="s">
        <v>2933</v>
      </c>
      <c r="E1970" s="34" t="s">
        <v>2934</v>
      </c>
      <c r="F1970" s="34">
        <v>2021.0</v>
      </c>
      <c r="G1970" s="34" t="s">
        <v>2935</v>
      </c>
      <c r="H1970" s="34" t="s">
        <v>816</v>
      </c>
      <c r="I1970" s="34" t="s">
        <v>2936</v>
      </c>
      <c r="J1970" s="35"/>
      <c r="K1970" s="118">
        <f>401-L1970</f>
        <v>40</v>
      </c>
      <c r="L1970" s="118">
        <v>361.0</v>
      </c>
      <c r="M1970" s="36"/>
      <c r="N1970" s="36"/>
      <c r="O1970" s="36"/>
      <c r="P1970" s="52">
        <f t="shared" si="223"/>
        <v>11.08033241</v>
      </c>
      <c r="Q1970" s="36" t="s">
        <v>1393</v>
      </c>
      <c r="R1970" s="36" t="s">
        <v>96</v>
      </c>
      <c r="S1970" s="36">
        <v>1000.0</v>
      </c>
      <c r="T1970" s="36" t="s">
        <v>969</v>
      </c>
      <c r="U1970" s="36" t="s">
        <v>507</v>
      </c>
      <c r="V1970" s="36">
        <v>180.0</v>
      </c>
      <c r="W1970" s="36"/>
      <c r="X1970" s="38">
        <v>1.0</v>
      </c>
      <c r="Y1970" s="38" t="s">
        <v>2952</v>
      </c>
      <c r="Z1970" s="38" t="s">
        <v>2947</v>
      </c>
      <c r="AA1970" s="38" t="s">
        <v>86</v>
      </c>
      <c r="AB1970" s="38" t="s">
        <v>2948</v>
      </c>
      <c r="AC1970" s="38" t="s">
        <v>2949</v>
      </c>
      <c r="AD1970" s="38" t="s">
        <v>382</v>
      </c>
      <c r="AE1970" s="38"/>
      <c r="AF1970" s="38" t="s">
        <v>525</v>
      </c>
      <c r="AG1970" s="38" t="s">
        <v>2928</v>
      </c>
      <c r="AH1970" s="38"/>
      <c r="AI1970" s="50">
        <v>43.4965</v>
      </c>
      <c r="AJ1970" s="50">
        <v>1.2379</v>
      </c>
      <c r="AK1970" s="41" t="s">
        <v>86</v>
      </c>
      <c r="AL1970" s="40" t="s">
        <v>86</v>
      </c>
      <c r="AM1970" s="49">
        <v>181.0</v>
      </c>
      <c r="AN1970" s="51">
        <v>181.0</v>
      </c>
      <c r="AO1970" s="42" t="s">
        <v>201</v>
      </c>
      <c r="AP1970" s="43" t="s">
        <v>201</v>
      </c>
      <c r="AQ1970" s="44" t="str">
        <f t="shared" si="217"/>
        <v>CRO</v>
      </c>
      <c r="AR1970" s="44">
        <f t="shared" si="199"/>
        <v>181</v>
      </c>
      <c r="AS1970" s="44" t="str">
        <f t="shared" si="222"/>
        <v>C</v>
      </c>
      <c r="AT1970" s="44" t="str">
        <f t="shared" si="202"/>
        <v>Cf</v>
      </c>
      <c r="AU1970" s="44" t="str">
        <f t="shared" si="203"/>
        <v>Cfa</v>
      </c>
      <c r="AV1970" s="38">
        <v>3.0</v>
      </c>
      <c r="AW1970" s="38"/>
      <c r="AX1970" s="38"/>
      <c r="AY1970" s="38"/>
      <c r="AZ1970" s="29">
        <v>1000.0</v>
      </c>
      <c r="BA1970" s="29"/>
      <c r="BB1970" s="29">
        <v>1.0</v>
      </c>
      <c r="BC1970" s="29" t="s">
        <v>89</v>
      </c>
      <c r="BD1970" s="29" t="s">
        <v>88</v>
      </c>
      <c r="BE1970" s="29" t="s">
        <v>89</v>
      </c>
      <c r="BF1970" s="29" t="s">
        <v>2942</v>
      </c>
      <c r="BG1970" s="29" t="s">
        <v>91</v>
      </c>
      <c r="BH1970" s="29" t="s">
        <v>88</v>
      </c>
      <c r="BI1970" s="29" t="s">
        <v>1438</v>
      </c>
      <c r="BJ1970" s="29"/>
      <c r="BK1970" s="29" t="s">
        <v>148</v>
      </c>
      <c r="BL1970" s="29" t="s">
        <v>148</v>
      </c>
      <c r="BM1970" s="45"/>
      <c r="BN1970" s="45"/>
      <c r="BO1970" s="46"/>
      <c r="BP1970" s="2"/>
      <c r="BQ1970" s="3"/>
    </row>
    <row r="1971" ht="15.75" customHeight="1">
      <c r="A1971" s="34">
        <v>2083.0</v>
      </c>
      <c r="B1971" s="34">
        <v>104246.0</v>
      </c>
      <c r="C1971" s="34" t="s">
        <v>76</v>
      </c>
      <c r="D1971" s="34" t="s">
        <v>2933</v>
      </c>
      <c r="E1971" s="34" t="s">
        <v>2934</v>
      </c>
      <c r="F1971" s="34">
        <v>2021.0</v>
      </c>
      <c r="G1971" s="34" t="s">
        <v>2935</v>
      </c>
      <c r="H1971" s="34" t="s">
        <v>816</v>
      </c>
      <c r="I1971" s="34" t="s">
        <v>2936</v>
      </c>
      <c r="J1971" s="35"/>
      <c r="K1971" s="118">
        <f>364-L1971</f>
        <v>-52</v>
      </c>
      <c r="L1971" s="118">
        <v>416.0</v>
      </c>
      <c r="M1971" s="36"/>
      <c r="N1971" s="36"/>
      <c r="O1971" s="36"/>
      <c r="P1971" s="52">
        <f t="shared" si="223"/>
        <v>-12.5</v>
      </c>
      <c r="Q1971" s="36" t="s">
        <v>1393</v>
      </c>
      <c r="R1971" s="36" t="s">
        <v>96</v>
      </c>
      <c r="S1971" s="36">
        <v>1000.0</v>
      </c>
      <c r="T1971" s="36" t="s">
        <v>242</v>
      </c>
      <c r="U1971" s="36" t="s">
        <v>243</v>
      </c>
      <c r="V1971" s="36">
        <v>119.0</v>
      </c>
      <c r="W1971" s="36"/>
      <c r="X1971" s="38">
        <v>1.0</v>
      </c>
      <c r="Y1971" s="38" t="s">
        <v>2953</v>
      </c>
      <c r="Z1971" s="38" t="s">
        <v>2947</v>
      </c>
      <c r="AA1971" s="38" t="s">
        <v>86</v>
      </c>
      <c r="AB1971" s="38" t="s">
        <v>2948</v>
      </c>
      <c r="AC1971" s="38" t="s">
        <v>2949</v>
      </c>
      <c r="AD1971" s="38" t="s">
        <v>382</v>
      </c>
      <c r="AE1971" s="38"/>
      <c r="AF1971" s="38" t="s">
        <v>525</v>
      </c>
      <c r="AG1971" s="38" t="s">
        <v>2928</v>
      </c>
      <c r="AH1971" s="38"/>
      <c r="AI1971" s="50">
        <v>43.4965</v>
      </c>
      <c r="AJ1971" s="50">
        <v>1.2379</v>
      </c>
      <c r="AK1971" s="41" t="s">
        <v>86</v>
      </c>
      <c r="AL1971" s="40" t="s">
        <v>86</v>
      </c>
      <c r="AM1971" s="49">
        <v>181.0</v>
      </c>
      <c r="AN1971" s="51">
        <v>181.0</v>
      </c>
      <c r="AO1971" s="42" t="s">
        <v>201</v>
      </c>
      <c r="AP1971" s="43" t="s">
        <v>201</v>
      </c>
      <c r="AQ1971" s="44" t="str">
        <f t="shared" si="217"/>
        <v>CRO</v>
      </c>
      <c r="AR1971" s="44">
        <f t="shared" si="199"/>
        <v>181</v>
      </c>
      <c r="AS1971" s="44" t="str">
        <f t="shared" si="222"/>
        <v>C</v>
      </c>
      <c r="AT1971" s="44" t="str">
        <f t="shared" si="202"/>
        <v>Cf</v>
      </c>
      <c r="AU1971" s="44" t="str">
        <f t="shared" si="203"/>
        <v>Cfa</v>
      </c>
      <c r="AV1971" s="38">
        <v>2.0</v>
      </c>
      <c r="AW1971" s="38"/>
      <c r="AX1971" s="38"/>
      <c r="AY1971" s="38"/>
      <c r="AZ1971" s="29">
        <v>1000.0</v>
      </c>
      <c r="BA1971" s="29"/>
      <c r="BB1971" s="29">
        <v>1.0</v>
      </c>
      <c r="BC1971" s="29" t="s">
        <v>89</v>
      </c>
      <c r="BD1971" s="29" t="s">
        <v>88</v>
      </c>
      <c r="BE1971" s="29" t="s">
        <v>89</v>
      </c>
      <c r="BF1971" s="29" t="s">
        <v>2942</v>
      </c>
      <c r="BG1971" s="29" t="s">
        <v>91</v>
      </c>
      <c r="BH1971" s="29" t="s">
        <v>88</v>
      </c>
      <c r="BI1971" s="29" t="s">
        <v>1438</v>
      </c>
      <c r="BJ1971" s="29"/>
      <c r="BK1971" s="29" t="s">
        <v>148</v>
      </c>
      <c r="BL1971" s="29" t="s">
        <v>148</v>
      </c>
      <c r="BM1971" s="45"/>
      <c r="BN1971" s="45"/>
      <c r="BO1971" s="46"/>
      <c r="BP1971" s="2"/>
      <c r="BQ1971" s="3"/>
    </row>
    <row r="1972" ht="15.75" customHeight="1">
      <c r="A1972" s="34">
        <v>2084.0</v>
      </c>
      <c r="B1972" s="34">
        <v>104246.0</v>
      </c>
      <c r="C1972" s="34" t="s">
        <v>76</v>
      </c>
      <c r="D1972" s="34" t="s">
        <v>2933</v>
      </c>
      <c r="E1972" s="34" t="s">
        <v>2934</v>
      </c>
      <c r="F1972" s="34">
        <v>2021.0</v>
      </c>
      <c r="G1972" s="34" t="s">
        <v>2935</v>
      </c>
      <c r="H1972" s="34" t="s">
        <v>816</v>
      </c>
      <c r="I1972" s="34" t="s">
        <v>2936</v>
      </c>
      <c r="J1972" s="35"/>
      <c r="K1972" s="118">
        <f>319-L1972</f>
        <v>-70</v>
      </c>
      <c r="L1972" s="118">
        <v>389.0</v>
      </c>
      <c r="M1972" s="36"/>
      <c r="N1972" s="36"/>
      <c r="O1972" s="36"/>
      <c r="P1972" s="52">
        <f t="shared" si="223"/>
        <v>-17.99485861</v>
      </c>
      <c r="Q1972" s="36" t="s">
        <v>1393</v>
      </c>
      <c r="R1972" s="36" t="s">
        <v>96</v>
      </c>
      <c r="S1972" s="36">
        <v>1000.0</v>
      </c>
      <c r="T1972" s="36" t="s">
        <v>245</v>
      </c>
      <c r="U1972" s="36" t="s">
        <v>246</v>
      </c>
      <c r="V1972" s="36">
        <v>126.0</v>
      </c>
      <c r="W1972" s="36"/>
      <c r="X1972" s="38">
        <v>1.0</v>
      </c>
      <c r="Y1972" s="38" t="s">
        <v>2954</v>
      </c>
      <c r="Z1972" s="38" t="s">
        <v>2947</v>
      </c>
      <c r="AA1972" s="38" t="s">
        <v>86</v>
      </c>
      <c r="AB1972" s="38" t="s">
        <v>2948</v>
      </c>
      <c r="AC1972" s="38" t="s">
        <v>2949</v>
      </c>
      <c r="AD1972" s="38" t="s">
        <v>382</v>
      </c>
      <c r="AE1972" s="38"/>
      <c r="AF1972" s="38" t="s">
        <v>525</v>
      </c>
      <c r="AG1972" s="38" t="s">
        <v>2928</v>
      </c>
      <c r="AH1972" s="38"/>
      <c r="AI1972" s="50">
        <v>43.4965</v>
      </c>
      <c r="AJ1972" s="50">
        <v>1.2379</v>
      </c>
      <c r="AK1972" s="41" t="s">
        <v>86</v>
      </c>
      <c r="AL1972" s="40" t="s">
        <v>86</v>
      </c>
      <c r="AM1972" s="49">
        <v>181.0</v>
      </c>
      <c r="AN1972" s="51">
        <v>181.0</v>
      </c>
      <c r="AO1972" s="42" t="s">
        <v>201</v>
      </c>
      <c r="AP1972" s="43" t="s">
        <v>201</v>
      </c>
      <c r="AQ1972" s="44" t="str">
        <f t="shared" si="217"/>
        <v>CRO</v>
      </c>
      <c r="AR1972" s="44">
        <f t="shared" si="199"/>
        <v>181</v>
      </c>
      <c r="AS1972" s="44" t="str">
        <f t="shared" si="222"/>
        <v>C</v>
      </c>
      <c r="AT1972" s="44" t="str">
        <f t="shared" si="202"/>
        <v>Cf</v>
      </c>
      <c r="AU1972" s="44" t="str">
        <f t="shared" si="203"/>
        <v>Cfa</v>
      </c>
      <c r="AV1972" s="38">
        <v>2.0</v>
      </c>
      <c r="AW1972" s="38"/>
      <c r="AX1972" s="38"/>
      <c r="AY1972" s="38"/>
      <c r="AZ1972" s="29">
        <v>1000.0</v>
      </c>
      <c r="BA1972" s="29"/>
      <c r="BB1972" s="29">
        <v>1.0</v>
      </c>
      <c r="BC1972" s="29" t="s">
        <v>89</v>
      </c>
      <c r="BD1972" s="29" t="s">
        <v>88</v>
      </c>
      <c r="BE1972" s="29" t="s">
        <v>89</v>
      </c>
      <c r="BF1972" s="29" t="s">
        <v>2942</v>
      </c>
      <c r="BG1972" s="29" t="s">
        <v>91</v>
      </c>
      <c r="BH1972" s="29" t="s">
        <v>88</v>
      </c>
      <c r="BI1972" s="29" t="s">
        <v>1438</v>
      </c>
      <c r="BJ1972" s="29"/>
      <c r="BK1972" s="29" t="s">
        <v>148</v>
      </c>
      <c r="BL1972" s="29" t="s">
        <v>148</v>
      </c>
      <c r="BM1972" s="45"/>
      <c r="BN1972" s="45"/>
      <c r="BO1972" s="46"/>
      <c r="BP1972" s="2"/>
      <c r="BQ1972" s="3"/>
    </row>
    <row r="1973" ht="15.75" customHeight="1">
      <c r="A1973" s="34">
        <v>2085.0</v>
      </c>
      <c r="B1973" s="34">
        <v>104246.0</v>
      </c>
      <c r="C1973" s="34" t="s">
        <v>76</v>
      </c>
      <c r="D1973" s="34" t="s">
        <v>2933</v>
      </c>
      <c r="E1973" s="34" t="s">
        <v>2934</v>
      </c>
      <c r="F1973" s="34">
        <v>2021.0</v>
      </c>
      <c r="G1973" s="34" t="s">
        <v>2935</v>
      </c>
      <c r="H1973" s="34" t="s">
        <v>816</v>
      </c>
      <c r="I1973" s="34" t="s">
        <v>2936</v>
      </c>
      <c r="J1973" s="35"/>
      <c r="K1973" s="118">
        <f>371-L1973</f>
        <v>-160</v>
      </c>
      <c r="L1973" s="118">
        <v>531.0</v>
      </c>
      <c r="M1973" s="36"/>
      <c r="N1973" s="36"/>
      <c r="O1973" s="36"/>
      <c r="P1973" s="52">
        <f t="shared" si="223"/>
        <v>-30.13182674</v>
      </c>
      <c r="Q1973" s="36" t="s">
        <v>1393</v>
      </c>
      <c r="R1973" s="36" t="s">
        <v>96</v>
      </c>
      <c r="S1973" s="36">
        <v>1000.0</v>
      </c>
      <c r="T1973" s="36" t="s">
        <v>837</v>
      </c>
      <c r="U1973" s="36" t="s">
        <v>2955</v>
      </c>
      <c r="V1973" s="36">
        <v>127.0</v>
      </c>
      <c r="W1973" s="36"/>
      <c r="X1973" s="38">
        <v>1.0</v>
      </c>
      <c r="Y1973" s="38" t="s">
        <v>2956</v>
      </c>
      <c r="Z1973" s="38" t="s">
        <v>2947</v>
      </c>
      <c r="AA1973" s="38" t="s">
        <v>86</v>
      </c>
      <c r="AB1973" s="38" t="s">
        <v>2948</v>
      </c>
      <c r="AC1973" s="38" t="s">
        <v>2949</v>
      </c>
      <c r="AD1973" s="38" t="s">
        <v>382</v>
      </c>
      <c r="AE1973" s="38"/>
      <c r="AF1973" s="38" t="s">
        <v>525</v>
      </c>
      <c r="AG1973" s="38" t="s">
        <v>2928</v>
      </c>
      <c r="AH1973" s="38"/>
      <c r="AI1973" s="50">
        <v>43.4965</v>
      </c>
      <c r="AJ1973" s="50">
        <v>1.2379</v>
      </c>
      <c r="AK1973" s="41" t="s">
        <v>86</v>
      </c>
      <c r="AL1973" s="40" t="s">
        <v>86</v>
      </c>
      <c r="AM1973" s="49">
        <v>181.0</v>
      </c>
      <c r="AN1973" s="51">
        <v>181.0</v>
      </c>
      <c r="AO1973" s="42" t="s">
        <v>201</v>
      </c>
      <c r="AP1973" s="43" t="s">
        <v>201</v>
      </c>
      <c r="AQ1973" s="44" t="str">
        <f t="shared" si="217"/>
        <v>CRO</v>
      </c>
      <c r="AR1973" s="44">
        <f t="shared" si="199"/>
        <v>181</v>
      </c>
      <c r="AS1973" s="44" t="str">
        <f t="shared" si="222"/>
        <v>C</v>
      </c>
      <c r="AT1973" s="44" t="str">
        <f t="shared" si="202"/>
        <v>Cf</v>
      </c>
      <c r="AU1973" s="44" t="str">
        <f t="shared" si="203"/>
        <v>Cfa</v>
      </c>
      <c r="AV1973" s="38">
        <v>2.0</v>
      </c>
      <c r="AW1973" s="38"/>
      <c r="AX1973" s="38"/>
      <c r="AY1973" s="38"/>
      <c r="AZ1973" s="29">
        <v>1000.0</v>
      </c>
      <c r="BA1973" s="29"/>
      <c r="BB1973" s="29">
        <v>1.0</v>
      </c>
      <c r="BC1973" s="29" t="s">
        <v>89</v>
      </c>
      <c r="BD1973" s="29" t="s">
        <v>88</v>
      </c>
      <c r="BE1973" s="29" t="s">
        <v>89</v>
      </c>
      <c r="BF1973" s="29" t="s">
        <v>2942</v>
      </c>
      <c r="BG1973" s="29" t="s">
        <v>91</v>
      </c>
      <c r="BH1973" s="29" t="s">
        <v>88</v>
      </c>
      <c r="BI1973" s="29" t="s">
        <v>1438</v>
      </c>
      <c r="BJ1973" s="29"/>
      <c r="BK1973" s="29" t="s">
        <v>148</v>
      </c>
      <c r="BL1973" s="29" t="s">
        <v>148</v>
      </c>
      <c r="BM1973" s="45"/>
      <c r="BN1973" s="45"/>
      <c r="BO1973" s="46"/>
      <c r="BP1973" s="2"/>
      <c r="BQ1973" s="3"/>
    </row>
    <row r="1974" ht="15.75" customHeight="1">
      <c r="A1974" s="34">
        <v>2086.0</v>
      </c>
      <c r="B1974" s="34">
        <v>104246.0</v>
      </c>
      <c r="C1974" s="34" t="s">
        <v>76</v>
      </c>
      <c r="D1974" s="34" t="s">
        <v>2933</v>
      </c>
      <c r="E1974" s="34" t="s">
        <v>2934</v>
      </c>
      <c r="F1974" s="34">
        <v>2021.0</v>
      </c>
      <c r="G1974" s="34" t="s">
        <v>2935</v>
      </c>
      <c r="H1974" s="34" t="s">
        <v>816</v>
      </c>
      <c r="I1974" s="34" t="s">
        <v>2936</v>
      </c>
      <c r="J1974" s="35"/>
      <c r="K1974" s="118">
        <f>286-L1974</f>
        <v>53</v>
      </c>
      <c r="L1974" s="118">
        <v>233.0</v>
      </c>
      <c r="M1974" s="36"/>
      <c r="N1974" s="36"/>
      <c r="O1974" s="36"/>
      <c r="P1974" s="52">
        <f t="shared" si="223"/>
        <v>22.74678112</v>
      </c>
      <c r="Q1974" s="36" t="s">
        <v>1393</v>
      </c>
      <c r="R1974" s="36" t="s">
        <v>96</v>
      </c>
      <c r="S1974" s="36">
        <v>1000.0</v>
      </c>
      <c r="T1974" s="36" t="s">
        <v>317</v>
      </c>
      <c r="U1974" s="36" t="s">
        <v>194</v>
      </c>
      <c r="V1974" s="36">
        <v>160.0</v>
      </c>
      <c r="W1974" s="36"/>
      <c r="X1974" s="38">
        <v>1.0</v>
      </c>
      <c r="Y1974" s="38" t="s">
        <v>2957</v>
      </c>
      <c r="Z1974" s="38" t="s">
        <v>2958</v>
      </c>
      <c r="AA1974" s="38" t="s">
        <v>86</v>
      </c>
      <c r="AB1974" s="38" t="s">
        <v>2959</v>
      </c>
      <c r="AC1974" s="38" t="s">
        <v>2960</v>
      </c>
      <c r="AD1974" s="38" t="s">
        <v>382</v>
      </c>
      <c r="AE1974" s="38">
        <v>32.0</v>
      </c>
      <c r="AF1974" s="38" t="s">
        <v>2961</v>
      </c>
      <c r="AG1974" s="38" t="s">
        <v>2928</v>
      </c>
      <c r="AH1974" s="38"/>
      <c r="AI1974" s="50">
        <v>43.92</v>
      </c>
      <c r="AJ1974" s="50">
        <v>4.88</v>
      </c>
      <c r="AK1974" s="41" t="s">
        <v>505</v>
      </c>
      <c r="AL1974" s="40" t="s">
        <v>505</v>
      </c>
      <c r="AM1974" s="49">
        <v>71.0</v>
      </c>
      <c r="AN1974" s="51">
        <v>71.0</v>
      </c>
      <c r="AO1974" s="42" t="s">
        <v>175</v>
      </c>
      <c r="AP1974" s="43" t="s">
        <v>175</v>
      </c>
      <c r="AQ1974" s="44" t="str">
        <f t="shared" si="217"/>
        <v>CRO</v>
      </c>
      <c r="AR1974" s="44">
        <f t="shared" si="199"/>
        <v>71</v>
      </c>
      <c r="AS1974" s="44" t="str">
        <f t="shared" si="222"/>
        <v>C</v>
      </c>
      <c r="AT1974" s="44" t="str">
        <f t="shared" si="202"/>
        <v>Cs</v>
      </c>
      <c r="AU1974" s="44" t="str">
        <f t="shared" si="203"/>
        <v>Csa</v>
      </c>
      <c r="AV1974" s="38">
        <v>2.0</v>
      </c>
      <c r="AW1974" s="38"/>
      <c r="AX1974" s="38"/>
      <c r="AY1974" s="38"/>
      <c r="AZ1974" s="29">
        <v>1000.0</v>
      </c>
      <c r="BA1974" s="29"/>
      <c r="BB1974" s="29">
        <v>1.0</v>
      </c>
      <c r="BC1974" s="29" t="s">
        <v>89</v>
      </c>
      <c r="BD1974" s="29" t="s">
        <v>88</v>
      </c>
      <c r="BE1974" s="29" t="s">
        <v>89</v>
      </c>
      <c r="BF1974" s="29" t="s">
        <v>2942</v>
      </c>
      <c r="BG1974" s="29" t="s">
        <v>91</v>
      </c>
      <c r="BH1974" s="29" t="s">
        <v>88</v>
      </c>
      <c r="BI1974" s="29" t="s">
        <v>1438</v>
      </c>
      <c r="BJ1974" s="29"/>
      <c r="BK1974" s="29" t="s">
        <v>148</v>
      </c>
      <c r="BL1974" s="29" t="s">
        <v>148</v>
      </c>
      <c r="BM1974" s="45"/>
      <c r="BN1974" s="45"/>
      <c r="BO1974" s="46"/>
      <c r="BP1974" s="2"/>
      <c r="BQ1974" s="3"/>
    </row>
    <row r="1975" ht="15.75" customHeight="1">
      <c r="A1975" s="34">
        <v>2087.0</v>
      </c>
      <c r="B1975" s="34">
        <v>104246.0</v>
      </c>
      <c r="C1975" s="34" t="s">
        <v>76</v>
      </c>
      <c r="D1975" s="34" t="s">
        <v>2933</v>
      </c>
      <c r="E1975" s="34" t="s">
        <v>2934</v>
      </c>
      <c r="F1975" s="34">
        <v>2021.0</v>
      </c>
      <c r="G1975" s="34" t="s">
        <v>2935</v>
      </c>
      <c r="H1975" s="34" t="s">
        <v>816</v>
      </c>
      <c r="I1975" s="34" t="s">
        <v>2936</v>
      </c>
      <c r="J1975" s="35"/>
      <c r="K1975" s="118">
        <f>409-L1975</f>
        <v>34</v>
      </c>
      <c r="L1975" s="118">
        <v>375.0</v>
      </c>
      <c r="M1975" s="36"/>
      <c r="N1975" s="36"/>
      <c r="O1975" s="36"/>
      <c r="P1975" s="52">
        <f t="shared" si="223"/>
        <v>9.066666667</v>
      </c>
      <c r="Q1975" s="36" t="s">
        <v>1393</v>
      </c>
      <c r="R1975" s="36" t="s">
        <v>96</v>
      </c>
      <c r="S1975" s="36">
        <v>1000.0</v>
      </c>
      <c r="T1975" s="36" t="s">
        <v>341</v>
      </c>
      <c r="U1975" s="36" t="s">
        <v>285</v>
      </c>
      <c r="V1975" s="36">
        <v>246.0</v>
      </c>
      <c r="W1975" s="36"/>
      <c r="X1975" s="38">
        <v>1.0</v>
      </c>
      <c r="Y1975" s="38" t="s">
        <v>2962</v>
      </c>
      <c r="Z1975" s="38" t="s">
        <v>2958</v>
      </c>
      <c r="AA1975" s="38" t="s">
        <v>86</v>
      </c>
      <c r="AB1975" s="38" t="s">
        <v>2959</v>
      </c>
      <c r="AC1975" s="38" t="s">
        <v>2960</v>
      </c>
      <c r="AD1975" s="38" t="s">
        <v>382</v>
      </c>
      <c r="AE1975" s="38">
        <v>32.0</v>
      </c>
      <c r="AF1975" s="38" t="s">
        <v>2316</v>
      </c>
      <c r="AG1975" s="38" t="s">
        <v>2928</v>
      </c>
      <c r="AH1975" s="38"/>
      <c r="AI1975" s="50">
        <v>43.92</v>
      </c>
      <c r="AJ1975" s="50">
        <v>4.88</v>
      </c>
      <c r="AK1975" s="41" t="s">
        <v>505</v>
      </c>
      <c r="AL1975" s="40" t="s">
        <v>505</v>
      </c>
      <c r="AM1975" s="49">
        <v>71.0</v>
      </c>
      <c r="AN1975" s="51">
        <v>71.0</v>
      </c>
      <c r="AO1975" s="42" t="s">
        <v>175</v>
      </c>
      <c r="AP1975" s="43" t="s">
        <v>175</v>
      </c>
      <c r="AQ1975" s="44" t="str">
        <f t="shared" si="217"/>
        <v>CRO</v>
      </c>
      <c r="AR1975" s="44">
        <f t="shared" si="199"/>
        <v>71</v>
      </c>
      <c r="AS1975" s="44" t="str">
        <f t="shared" si="222"/>
        <v>C</v>
      </c>
      <c r="AT1975" s="44" t="str">
        <f t="shared" si="202"/>
        <v>Cs</v>
      </c>
      <c r="AU1975" s="44" t="str">
        <f t="shared" si="203"/>
        <v>Csa</v>
      </c>
      <c r="AV1975" s="38">
        <v>2.0</v>
      </c>
      <c r="AW1975" s="38"/>
      <c r="AX1975" s="38"/>
      <c r="AY1975" s="38"/>
      <c r="AZ1975" s="29">
        <v>1000.0</v>
      </c>
      <c r="BA1975" s="29"/>
      <c r="BB1975" s="29">
        <v>1.0</v>
      </c>
      <c r="BC1975" s="29" t="s">
        <v>89</v>
      </c>
      <c r="BD1975" s="29" t="s">
        <v>88</v>
      </c>
      <c r="BE1975" s="29" t="s">
        <v>89</v>
      </c>
      <c r="BF1975" s="29" t="s">
        <v>2942</v>
      </c>
      <c r="BG1975" s="29" t="s">
        <v>91</v>
      </c>
      <c r="BH1975" s="29" t="s">
        <v>88</v>
      </c>
      <c r="BI1975" s="29" t="s">
        <v>1438</v>
      </c>
      <c r="BJ1975" s="29"/>
      <c r="BK1975" s="29" t="s">
        <v>148</v>
      </c>
      <c r="BL1975" s="29" t="s">
        <v>148</v>
      </c>
      <c r="BM1975" s="45"/>
      <c r="BN1975" s="45"/>
      <c r="BO1975" s="46"/>
      <c r="BP1975" s="2"/>
      <c r="BQ1975" s="3"/>
    </row>
    <row r="1976" ht="15.75" customHeight="1">
      <c r="A1976" s="34">
        <v>2088.0</v>
      </c>
      <c r="B1976" s="34">
        <v>104246.0</v>
      </c>
      <c r="C1976" s="34" t="s">
        <v>76</v>
      </c>
      <c r="D1976" s="34" t="s">
        <v>2933</v>
      </c>
      <c r="E1976" s="34" t="s">
        <v>2934</v>
      </c>
      <c r="F1976" s="34">
        <v>2021.0</v>
      </c>
      <c r="G1976" s="34" t="s">
        <v>2935</v>
      </c>
      <c r="H1976" s="34" t="s">
        <v>816</v>
      </c>
      <c r="I1976" s="34" t="s">
        <v>2936</v>
      </c>
      <c r="J1976" s="35"/>
      <c r="K1976" s="118">
        <f>404-L1976</f>
        <v>18</v>
      </c>
      <c r="L1976" s="118">
        <v>386.0</v>
      </c>
      <c r="M1976" s="36"/>
      <c r="N1976" s="36"/>
      <c r="O1976" s="36"/>
      <c r="P1976" s="52">
        <f t="shared" si="223"/>
        <v>4.663212435</v>
      </c>
      <c r="Q1976" s="36" t="s">
        <v>1393</v>
      </c>
      <c r="R1976" s="36" t="s">
        <v>96</v>
      </c>
      <c r="S1976" s="36">
        <v>1000.0</v>
      </c>
      <c r="T1976" s="36" t="s">
        <v>350</v>
      </c>
      <c r="U1976" s="36" t="s">
        <v>342</v>
      </c>
      <c r="V1976" s="36">
        <v>161.0</v>
      </c>
      <c r="W1976" s="36"/>
      <c r="X1976" s="38">
        <v>1.0</v>
      </c>
      <c r="Y1976" s="38" t="s">
        <v>2963</v>
      </c>
      <c r="Z1976" s="38" t="s">
        <v>2958</v>
      </c>
      <c r="AA1976" s="38" t="s">
        <v>86</v>
      </c>
      <c r="AB1976" s="38" t="s">
        <v>2959</v>
      </c>
      <c r="AC1976" s="38" t="s">
        <v>2960</v>
      </c>
      <c r="AD1976" s="38" t="s">
        <v>382</v>
      </c>
      <c r="AE1976" s="38">
        <v>32.0</v>
      </c>
      <c r="AF1976" s="38" t="s">
        <v>2964</v>
      </c>
      <c r="AG1976" s="38" t="s">
        <v>2928</v>
      </c>
      <c r="AH1976" s="38"/>
      <c r="AI1976" s="50">
        <v>43.92</v>
      </c>
      <c r="AJ1976" s="50">
        <v>4.88</v>
      </c>
      <c r="AK1976" s="41" t="s">
        <v>505</v>
      </c>
      <c r="AL1976" s="40" t="s">
        <v>505</v>
      </c>
      <c r="AM1976" s="49">
        <v>71.0</v>
      </c>
      <c r="AN1976" s="51">
        <v>71.0</v>
      </c>
      <c r="AO1976" s="42" t="s">
        <v>175</v>
      </c>
      <c r="AP1976" s="43" t="s">
        <v>175</v>
      </c>
      <c r="AQ1976" s="44" t="str">
        <f t="shared" si="217"/>
        <v>CRO</v>
      </c>
      <c r="AR1976" s="44">
        <f t="shared" si="199"/>
        <v>71</v>
      </c>
      <c r="AS1976" s="44" t="str">
        <f t="shared" si="222"/>
        <v>C</v>
      </c>
      <c r="AT1976" s="44" t="str">
        <f t="shared" si="202"/>
        <v>Cs</v>
      </c>
      <c r="AU1976" s="44" t="str">
        <f t="shared" si="203"/>
        <v>Csa</v>
      </c>
      <c r="AV1976" s="38">
        <v>2.0</v>
      </c>
      <c r="AW1976" s="38"/>
      <c r="AX1976" s="38"/>
      <c r="AY1976" s="38"/>
      <c r="AZ1976" s="29">
        <v>1000.0</v>
      </c>
      <c r="BA1976" s="29"/>
      <c r="BB1976" s="29">
        <v>1.0</v>
      </c>
      <c r="BC1976" s="29" t="s">
        <v>89</v>
      </c>
      <c r="BD1976" s="29" t="s">
        <v>88</v>
      </c>
      <c r="BE1976" s="29" t="s">
        <v>89</v>
      </c>
      <c r="BF1976" s="29" t="s">
        <v>2942</v>
      </c>
      <c r="BG1976" s="29" t="s">
        <v>91</v>
      </c>
      <c r="BH1976" s="29" t="s">
        <v>88</v>
      </c>
      <c r="BI1976" s="29" t="s">
        <v>1438</v>
      </c>
      <c r="BJ1976" s="29"/>
      <c r="BK1976" s="29" t="s">
        <v>148</v>
      </c>
      <c r="BL1976" s="29" t="s">
        <v>148</v>
      </c>
      <c r="BM1976" s="45"/>
      <c r="BN1976" s="45"/>
      <c r="BO1976" s="46"/>
      <c r="BP1976" s="2"/>
      <c r="BQ1976" s="3"/>
    </row>
    <row r="1977" ht="15.75" customHeight="1">
      <c r="A1977" s="34">
        <v>2089.0</v>
      </c>
      <c r="B1977" s="34">
        <v>104246.0</v>
      </c>
      <c r="C1977" s="34" t="s">
        <v>76</v>
      </c>
      <c r="D1977" s="34" t="s">
        <v>2933</v>
      </c>
      <c r="E1977" s="34" t="s">
        <v>2934</v>
      </c>
      <c r="F1977" s="34">
        <v>2021.0</v>
      </c>
      <c r="G1977" s="34" t="s">
        <v>2935</v>
      </c>
      <c r="H1977" s="34" t="s">
        <v>816</v>
      </c>
      <c r="I1977" s="34" t="s">
        <v>2936</v>
      </c>
      <c r="J1977" s="35"/>
      <c r="K1977" s="118">
        <f>342-L1977</f>
        <v>-82</v>
      </c>
      <c r="L1977" s="118">
        <v>424.0</v>
      </c>
      <c r="M1977" s="36"/>
      <c r="N1977" s="36"/>
      <c r="O1977" s="36"/>
      <c r="P1977" s="52">
        <f t="shared" si="223"/>
        <v>-19.33962264</v>
      </c>
      <c r="Q1977" s="36" t="s">
        <v>1393</v>
      </c>
      <c r="R1977" s="36" t="s">
        <v>96</v>
      </c>
      <c r="S1977" s="36">
        <v>1000.0</v>
      </c>
      <c r="T1977" s="36" t="s">
        <v>506</v>
      </c>
      <c r="U1977" s="36" t="s">
        <v>676</v>
      </c>
      <c r="V1977" s="36">
        <v>231.0</v>
      </c>
      <c r="W1977" s="36"/>
      <c r="X1977" s="38">
        <v>1.0</v>
      </c>
      <c r="Y1977" s="38" t="s">
        <v>2965</v>
      </c>
      <c r="Z1977" s="38" t="s">
        <v>2958</v>
      </c>
      <c r="AA1977" s="38" t="s">
        <v>86</v>
      </c>
      <c r="AB1977" s="38" t="s">
        <v>2959</v>
      </c>
      <c r="AC1977" s="38" t="s">
        <v>2960</v>
      </c>
      <c r="AD1977" s="38" t="s">
        <v>382</v>
      </c>
      <c r="AE1977" s="38">
        <v>32.0</v>
      </c>
      <c r="AF1977" s="38" t="s">
        <v>2316</v>
      </c>
      <c r="AG1977" s="38" t="s">
        <v>2928</v>
      </c>
      <c r="AH1977" s="38"/>
      <c r="AI1977" s="50">
        <v>43.92</v>
      </c>
      <c r="AJ1977" s="50">
        <v>4.88</v>
      </c>
      <c r="AK1977" s="41" t="s">
        <v>505</v>
      </c>
      <c r="AL1977" s="40" t="s">
        <v>505</v>
      </c>
      <c r="AM1977" s="49">
        <v>71.0</v>
      </c>
      <c r="AN1977" s="51">
        <v>71.0</v>
      </c>
      <c r="AO1977" s="42" t="s">
        <v>175</v>
      </c>
      <c r="AP1977" s="43" t="s">
        <v>175</v>
      </c>
      <c r="AQ1977" s="44" t="str">
        <f t="shared" si="217"/>
        <v>CRO</v>
      </c>
      <c r="AR1977" s="44">
        <f t="shared" si="199"/>
        <v>71</v>
      </c>
      <c r="AS1977" s="44" t="str">
        <f t="shared" si="222"/>
        <v>C</v>
      </c>
      <c r="AT1977" s="44" t="str">
        <f t="shared" si="202"/>
        <v>Cs</v>
      </c>
      <c r="AU1977" s="44" t="str">
        <f t="shared" si="203"/>
        <v>Csa</v>
      </c>
      <c r="AV1977" s="38">
        <v>2.0</v>
      </c>
      <c r="AW1977" s="38"/>
      <c r="AX1977" s="38"/>
      <c r="AY1977" s="38"/>
      <c r="AZ1977" s="29">
        <v>1000.0</v>
      </c>
      <c r="BA1977" s="29"/>
      <c r="BB1977" s="29">
        <v>1.0</v>
      </c>
      <c r="BC1977" s="29" t="s">
        <v>89</v>
      </c>
      <c r="BD1977" s="29" t="s">
        <v>88</v>
      </c>
      <c r="BE1977" s="29" t="s">
        <v>89</v>
      </c>
      <c r="BF1977" s="29" t="s">
        <v>2942</v>
      </c>
      <c r="BG1977" s="29" t="s">
        <v>91</v>
      </c>
      <c r="BH1977" s="29" t="s">
        <v>88</v>
      </c>
      <c r="BI1977" s="29" t="s">
        <v>1438</v>
      </c>
      <c r="BJ1977" s="29"/>
      <c r="BK1977" s="29" t="s">
        <v>148</v>
      </c>
      <c r="BL1977" s="29" t="s">
        <v>148</v>
      </c>
      <c r="BM1977" s="45"/>
      <c r="BN1977" s="45"/>
      <c r="BO1977" s="46"/>
      <c r="BP1977" s="2"/>
      <c r="BQ1977" s="3"/>
    </row>
    <row r="1978" ht="15.75" customHeight="1">
      <c r="A1978" s="34">
        <v>2090.0</v>
      </c>
      <c r="B1978" s="34">
        <v>104246.0</v>
      </c>
      <c r="C1978" s="34" t="s">
        <v>76</v>
      </c>
      <c r="D1978" s="34" t="s">
        <v>2933</v>
      </c>
      <c r="E1978" s="34" t="s">
        <v>2934</v>
      </c>
      <c r="F1978" s="34">
        <v>2021.0</v>
      </c>
      <c r="G1978" s="34" t="s">
        <v>2935</v>
      </c>
      <c r="H1978" s="34" t="s">
        <v>816</v>
      </c>
      <c r="I1978" s="34" t="s">
        <v>2936</v>
      </c>
      <c r="J1978" s="35"/>
      <c r="K1978" s="118">
        <f>357-L1978</f>
        <v>54</v>
      </c>
      <c r="L1978" s="118">
        <v>303.0</v>
      </c>
      <c r="M1978" s="36"/>
      <c r="N1978" s="36"/>
      <c r="O1978" s="36"/>
      <c r="P1978" s="52">
        <f t="shared" si="223"/>
        <v>17.82178218</v>
      </c>
      <c r="Q1978" s="36" t="s">
        <v>1393</v>
      </c>
      <c r="R1978" s="36" t="s">
        <v>96</v>
      </c>
      <c r="S1978" s="36">
        <v>1000.0</v>
      </c>
      <c r="T1978" s="36" t="s">
        <v>242</v>
      </c>
      <c r="U1978" s="36" t="s">
        <v>243</v>
      </c>
      <c r="V1978" s="36">
        <v>248.0</v>
      </c>
      <c r="W1978" s="36"/>
      <c r="X1978" s="38">
        <v>1.0</v>
      </c>
      <c r="Y1978" s="38" t="s">
        <v>2966</v>
      </c>
      <c r="Z1978" s="38" t="s">
        <v>2958</v>
      </c>
      <c r="AA1978" s="38" t="s">
        <v>86</v>
      </c>
      <c r="AB1978" s="38" t="s">
        <v>2959</v>
      </c>
      <c r="AC1978" s="38" t="s">
        <v>2960</v>
      </c>
      <c r="AD1978" s="38" t="s">
        <v>382</v>
      </c>
      <c r="AE1978" s="38">
        <v>32.0</v>
      </c>
      <c r="AF1978" s="38" t="s">
        <v>2316</v>
      </c>
      <c r="AG1978" s="38" t="s">
        <v>2928</v>
      </c>
      <c r="AH1978" s="38"/>
      <c r="AI1978" s="50">
        <v>43.92</v>
      </c>
      <c r="AJ1978" s="50">
        <v>4.88</v>
      </c>
      <c r="AK1978" s="41" t="s">
        <v>505</v>
      </c>
      <c r="AL1978" s="40" t="s">
        <v>505</v>
      </c>
      <c r="AM1978" s="49">
        <v>71.0</v>
      </c>
      <c r="AN1978" s="51">
        <v>71.0</v>
      </c>
      <c r="AO1978" s="42" t="s">
        <v>175</v>
      </c>
      <c r="AP1978" s="43" t="s">
        <v>175</v>
      </c>
      <c r="AQ1978" s="44" t="str">
        <f t="shared" si="217"/>
        <v>CRO</v>
      </c>
      <c r="AR1978" s="44">
        <f t="shared" si="199"/>
        <v>71</v>
      </c>
      <c r="AS1978" s="44" t="str">
        <f t="shared" si="222"/>
        <v>C</v>
      </c>
      <c r="AT1978" s="44" t="str">
        <f t="shared" si="202"/>
        <v>Cs</v>
      </c>
      <c r="AU1978" s="44" t="str">
        <f t="shared" si="203"/>
        <v>Csa</v>
      </c>
      <c r="AV1978" s="38">
        <v>2.0</v>
      </c>
      <c r="AW1978" s="38"/>
      <c r="AX1978" s="38"/>
      <c r="AY1978" s="38"/>
      <c r="AZ1978" s="29">
        <v>1000.0</v>
      </c>
      <c r="BA1978" s="29"/>
      <c r="BB1978" s="29">
        <v>1.0</v>
      </c>
      <c r="BC1978" s="29" t="s">
        <v>89</v>
      </c>
      <c r="BD1978" s="29" t="s">
        <v>88</v>
      </c>
      <c r="BE1978" s="29" t="s">
        <v>89</v>
      </c>
      <c r="BF1978" s="29" t="s">
        <v>2942</v>
      </c>
      <c r="BG1978" s="29" t="s">
        <v>91</v>
      </c>
      <c r="BH1978" s="29" t="s">
        <v>88</v>
      </c>
      <c r="BI1978" s="29" t="s">
        <v>1438</v>
      </c>
      <c r="BJ1978" s="29"/>
      <c r="BK1978" s="29" t="s">
        <v>148</v>
      </c>
      <c r="BL1978" s="29" t="s">
        <v>148</v>
      </c>
      <c r="BM1978" s="45"/>
      <c r="BN1978" s="45"/>
      <c r="BO1978" s="46"/>
      <c r="BP1978" s="2"/>
      <c r="BQ1978" s="3"/>
    </row>
    <row r="1979" ht="15.75" customHeight="1">
      <c r="A1979" s="34">
        <v>2091.0</v>
      </c>
      <c r="B1979" s="34">
        <v>104246.0</v>
      </c>
      <c r="C1979" s="34" t="s">
        <v>76</v>
      </c>
      <c r="D1979" s="34" t="s">
        <v>2933</v>
      </c>
      <c r="E1979" s="34" t="s">
        <v>2934</v>
      </c>
      <c r="F1979" s="34">
        <v>2021.0</v>
      </c>
      <c r="G1979" s="34" t="s">
        <v>2935</v>
      </c>
      <c r="H1979" s="34" t="s">
        <v>816</v>
      </c>
      <c r="I1979" s="34" t="s">
        <v>2936</v>
      </c>
      <c r="J1979" s="35"/>
      <c r="K1979" s="118">
        <f>417-L1979</f>
        <v>78</v>
      </c>
      <c r="L1979" s="118">
        <v>339.0</v>
      </c>
      <c r="M1979" s="36"/>
      <c r="N1979" s="36"/>
      <c r="O1979" s="36"/>
      <c r="P1979" s="52">
        <f t="shared" si="223"/>
        <v>23.00884956</v>
      </c>
      <c r="Q1979" s="36" t="s">
        <v>1393</v>
      </c>
      <c r="R1979" s="36" t="s">
        <v>96</v>
      </c>
      <c r="S1979" s="36">
        <v>1000.0</v>
      </c>
      <c r="T1979" s="36" t="s">
        <v>536</v>
      </c>
      <c r="U1979" s="36" t="s">
        <v>351</v>
      </c>
      <c r="V1979" s="36">
        <v>275.0</v>
      </c>
      <c r="W1979" s="36"/>
      <c r="X1979" s="38">
        <v>1.0</v>
      </c>
      <c r="Y1979" s="38" t="s">
        <v>2968</v>
      </c>
      <c r="Z1979" s="38" t="s">
        <v>2969</v>
      </c>
      <c r="AA1979" s="38" t="s">
        <v>86</v>
      </c>
      <c r="AB1979" s="38" t="s">
        <v>2970</v>
      </c>
      <c r="AC1979" s="38" t="s">
        <v>2971</v>
      </c>
      <c r="AD1979" s="38" t="s">
        <v>2972</v>
      </c>
      <c r="AE1979" s="38"/>
      <c r="AF1979" s="38" t="s">
        <v>2973</v>
      </c>
      <c r="AG1979" s="38" t="s">
        <v>2974</v>
      </c>
      <c r="AH1979" s="38"/>
      <c r="AI1979" s="50">
        <v>13.6</v>
      </c>
      <c r="AJ1979" s="50">
        <v>2.6</v>
      </c>
      <c r="AK1979" s="41" t="s">
        <v>288</v>
      </c>
      <c r="AL1979" s="40" t="s">
        <v>288</v>
      </c>
      <c r="AM1979" s="49">
        <v>228.0</v>
      </c>
      <c r="AN1979" s="51">
        <v>228.0</v>
      </c>
      <c r="AO1979" s="42" t="s">
        <v>355</v>
      </c>
      <c r="AP1979" s="43" t="s">
        <v>355</v>
      </c>
      <c r="AQ1979" s="44" t="str">
        <f t="shared" si="217"/>
        <v>CRO</v>
      </c>
      <c r="AR1979" s="44">
        <f t="shared" si="199"/>
        <v>228</v>
      </c>
      <c r="AS1979" s="44" t="str">
        <f t="shared" si="222"/>
        <v>B</v>
      </c>
      <c r="AT1979" s="44" t="str">
        <f t="shared" si="202"/>
        <v>BW</v>
      </c>
      <c r="AU1979" s="44" t="str">
        <f t="shared" si="203"/>
        <v>BWh</v>
      </c>
      <c r="AV1979" s="38">
        <v>2.0</v>
      </c>
      <c r="AW1979" s="38"/>
      <c r="AX1979" s="38"/>
      <c r="AY1979" s="38"/>
      <c r="AZ1979" s="29">
        <v>1000.0</v>
      </c>
      <c r="BA1979" s="29"/>
      <c r="BB1979" s="29">
        <v>1.0</v>
      </c>
      <c r="BC1979" s="29" t="s">
        <v>89</v>
      </c>
      <c r="BD1979" s="29" t="s">
        <v>88</v>
      </c>
      <c r="BE1979" s="29" t="s">
        <v>89</v>
      </c>
      <c r="BF1979" s="29" t="s">
        <v>2942</v>
      </c>
      <c r="BG1979" s="29" t="s">
        <v>91</v>
      </c>
      <c r="BH1979" s="29" t="s">
        <v>88</v>
      </c>
      <c r="BI1979" s="29" t="s">
        <v>1438</v>
      </c>
      <c r="BJ1979" s="29"/>
      <c r="BK1979" s="29" t="s">
        <v>148</v>
      </c>
      <c r="BL1979" s="29" t="s">
        <v>148</v>
      </c>
      <c r="BM1979" s="45"/>
      <c r="BN1979" s="45"/>
      <c r="BO1979" s="46"/>
      <c r="BP1979" s="2"/>
      <c r="BQ1979" s="3"/>
    </row>
    <row r="1980" ht="15.75" customHeight="1">
      <c r="A1980" s="34">
        <v>2092.0</v>
      </c>
      <c r="B1980" s="34">
        <v>104246.0</v>
      </c>
      <c r="C1980" s="34" t="s">
        <v>76</v>
      </c>
      <c r="D1980" s="34" t="s">
        <v>2933</v>
      </c>
      <c r="E1980" s="34" t="s">
        <v>2934</v>
      </c>
      <c r="F1980" s="34">
        <v>2021.0</v>
      </c>
      <c r="G1980" s="34" t="s">
        <v>2935</v>
      </c>
      <c r="H1980" s="34" t="s">
        <v>816</v>
      </c>
      <c r="I1980" s="34" t="s">
        <v>2936</v>
      </c>
      <c r="J1980" s="35"/>
      <c r="K1980" s="118">
        <f>448-L1980</f>
        <v>113</v>
      </c>
      <c r="L1980" s="118">
        <v>335.0</v>
      </c>
      <c r="M1980" s="36"/>
      <c r="N1980" s="36"/>
      <c r="O1980" s="36"/>
      <c r="P1980" s="52">
        <f t="shared" si="223"/>
        <v>33.73134328</v>
      </c>
      <c r="Q1980" s="36" t="s">
        <v>1393</v>
      </c>
      <c r="R1980" s="36" t="s">
        <v>96</v>
      </c>
      <c r="S1980" s="36">
        <v>1000.0</v>
      </c>
      <c r="T1980" s="36" t="s">
        <v>536</v>
      </c>
      <c r="U1980" s="36" t="s">
        <v>351</v>
      </c>
      <c r="V1980" s="36">
        <v>262.0</v>
      </c>
      <c r="W1980" s="36"/>
      <c r="X1980" s="38">
        <v>1.0</v>
      </c>
      <c r="Y1980" s="38" t="s">
        <v>2975</v>
      </c>
      <c r="Z1980" s="38" t="s">
        <v>2969</v>
      </c>
      <c r="AA1980" s="38" t="s">
        <v>313</v>
      </c>
      <c r="AB1980" s="38" t="s">
        <v>2970</v>
      </c>
      <c r="AC1980" s="38" t="s">
        <v>2971</v>
      </c>
      <c r="AD1980" s="38" t="s">
        <v>2972</v>
      </c>
      <c r="AE1980" s="38"/>
      <c r="AF1980" s="38"/>
      <c r="AG1980" s="38" t="s">
        <v>2974</v>
      </c>
      <c r="AH1980" s="38"/>
      <c r="AI1980" s="50">
        <v>13.6</v>
      </c>
      <c r="AJ1980" s="50">
        <v>2.6</v>
      </c>
      <c r="AK1980" s="41" t="s">
        <v>288</v>
      </c>
      <c r="AL1980" s="40" t="s">
        <v>288</v>
      </c>
      <c r="AM1980" s="49">
        <v>228.0</v>
      </c>
      <c r="AN1980" s="51">
        <v>228.0</v>
      </c>
      <c r="AO1980" s="42" t="s">
        <v>355</v>
      </c>
      <c r="AP1980" s="43" t="s">
        <v>355</v>
      </c>
      <c r="AQ1980" s="44" t="str">
        <f t="shared" si="217"/>
        <v>SAV</v>
      </c>
      <c r="AR1980" s="44">
        <f t="shared" si="199"/>
        <v>228</v>
      </c>
      <c r="AS1980" s="44" t="str">
        <f t="shared" si="222"/>
        <v>B</v>
      </c>
      <c r="AT1980" s="44" t="str">
        <f t="shared" si="202"/>
        <v>BW</v>
      </c>
      <c r="AU1980" s="44" t="str">
        <f t="shared" si="203"/>
        <v>BWh</v>
      </c>
      <c r="AV1980" s="38">
        <v>2.0</v>
      </c>
      <c r="AW1980" s="38"/>
      <c r="AX1980" s="38"/>
      <c r="AY1980" s="38"/>
      <c r="AZ1980" s="29">
        <v>1000.0</v>
      </c>
      <c r="BA1980" s="29"/>
      <c r="BB1980" s="29">
        <v>1.0</v>
      </c>
      <c r="BC1980" s="29" t="s">
        <v>89</v>
      </c>
      <c r="BD1980" s="29" t="s">
        <v>88</v>
      </c>
      <c r="BE1980" s="29" t="s">
        <v>89</v>
      </c>
      <c r="BF1980" s="29" t="s">
        <v>2942</v>
      </c>
      <c r="BG1980" s="29" t="s">
        <v>91</v>
      </c>
      <c r="BH1980" s="29" t="s">
        <v>88</v>
      </c>
      <c r="BI1980" s="29" t="s">
        <v>1438</v>
      </c>
      <c r="BJ1980" s="29"/>
      <c r="BK1980" s="29" t="s">
        <v>148</v>
      </c>
      <c r="BL1980" s="29" t="s">
        <v>148</v>
      </c>
      <c r="BM1980" s="45"/>
      <c r="BN1980" s="45"/>
      <c r="BO1980" s="46"/>
      <c r="BP1980" s="73"/>
      <c r="BQ1980" s="17"/>
    </row>
    <row r="1981" ht="15.75" customHeight="1">
      <c r="A1981" s="34">
        <v>2093.0</v>
      </c>
      <c r="B1981" s="34">
        <v>104246.0</v>
      </c>
      <c r="C1981" s="34" t="s">
        <v>76</v>
      </c>
      <c r="D1981" s="34" t="s">
        <v>2933</v>
      </c>
      <c r="E1981" s="34" t="s">
        <v>2934</v>
      </c>
      <c r="F1981" s="34">
        <v>2021.0</v>
      </c>
      <c r="G1981" s="34" t="s">
        <v>2935</v>
      </c>
      <c r="H1981" s="34" t="s">
        <v>816</v>
      </c>
      <c r="I1981" s="34" t="s">
        <v>2936</v>
      </c>
      <c r="J1981" s="35"/>
      <c r="K1981" s="118">
        <f>297-L1981</f>
        <v>32</v>
      </c>
      <c r="L1981" s="118">
        <v>265.0</v>
      </c>
      <c r="M1981" s="36"/>
      <c r="N1981" s="36"/>
      <c r="O1981" s="36"/>
      <c r="P1981" s="52">
        <f t="shared" si="223"/>
        <v>12.0754717</v>
      </c>
      <c r="Q1981" s="36" t="s">
        <v>1393</v>
      </c>
      <c r="R1981" s="36" t="s">
        <v>96</v>
      </c>
      <c r="S1981" s="36">
        <v>1000.0</v>
      </c>
      <c r="T1981" s="36" t="s">
        <v>242</v>
      </c>
      <c r="U1981" s="36" t="s">
        <v>243</v>
      </c>
      <c r="V1981" s="36">
        <f>167+241</f>
        <v>408</v>
      </c>
      <c r="W1981" s="36"/>
      <c r="X1981" s="38">
        <v>1.0</v>
      </c>
      <c r="Y1981" s="38" t="s">
        <v>2976</v>
      </c>
      <c r="Z1981" s="38" t="s">
        <v>2977</v>
      </c>
      <c r="AA1981" s="38" t="s">
        <v>86</v>
      </c>
      <c r="AB1981" s="38" t="s">
        <v>2978</v>
      </c>
      <c r="AC1981" s="38" t="s">
        <v>2979</v>
      </c>
      <c r="AD1981" s="38" t="s">
        <v>2980</v>
      </c>
      <c r="AE1981" s="38"/>
      <c r="AF1981" s="38" t="s">
        <v>2316</v>
      </c>
      <c r="AG1981" s="38" t="s">
        <v>1459</v>
      </c>
      <c r="AH1981" s="38"/>
      <c r="AI1981" s="50">
        <v>35.181714</v>
      </c>
      <c r="AJ1981" s="50">
        <v>9.545662</v>
      </c>
      <c r="AK1981" s="41" t="s">
        <v>86</v>
      </c>
      <c r="AL1981" s="40" t="s">
        <v>86</v>
      </c>
      <c r="AM1981" s="49">
        <v>369.0</v>
      </c>
      <c r="AN1981" s="51">
        <v>369.0</v>
      </c>
      <c r="AO1981" s="42" t="s">
        <v>355</v>
      </c>
      <c r="AP1981" s="43" t="s">
        <v>355</v>
      </c>
      <c r="AQ1981" s="44" t="str">
        <f t="shared" si="217"/>
        <v>CRO</v>
      </c>
      <c r="AR1981" s="44">
        <f t="shared" si="199"/>
        <v>369</v>
      </c>
      <c r="AS1981" s="44" t="str">
        <f t="shared" si="222"/>
        <v>B</v>
      </c>
      <c r="AT1981" s="44" t="str">
        <f t="shared" si="202"/>
        <v>BW</v>
      </c>
      <c r="AU1981" s="44" t="str">
        <f t="shared" si="203"/>
        <v>BWh</v>
      </c>
      <c r="AV1981" s="38">
        <v>3.0</v>
      </c>
      <c r="AW1981" s="38"/>
      <c r="AX1981" s="38"/>
      <c r="AY1981" s="38"/>
      <c r="AZ1981" s="29">
        <v>1000.0</v>
      </c>
      <c r="BA1981" s="29"/>
      <c r="BB1981" s="29">
        <v>1.0</v>
      </c>
      <c r="BC1981" s="29" t="s">
        <v>89</v>
      </c>
      <c r="BD1981" s="29" t="s">
        <v>88</v>
      </c>
      <c r="BE1981" s="29" t="s">
        <v>89</v>
      </c>
      <c r="BF1981" s="29" t="s">
        <v>2942</v>
      </c>
      <c r="BG1981" s="29" t="s">
        <v>91</v>
      </c>
      <c r="BH1981" s="29" t="s">
        <v>88</v>
      </c>
      <c r="BI1981" s="29" t="s">
        <v>1438</v>
      </c>
      <c r="BJ1981" s="29"/>
      <c r="BK1981" s="29" t="s">
        <v>148</v>
      </c>
      <c r="BL1981" s="29" t="s">
        <v>148</v>
      </c>
      <c r="BM1981" s="45"/>
      <c r="BN1981" s="45"/>
      <c r="BO1981" s="46"/>
      <c r="BP1981" s="2"/>
      <c r="BQ1981" s="3"/>
    </row>
    <row r="1982" ht="15.75" customHeight="1">
      <c r="A1982" s="34">
        <v>2094.0</v>
      </c>
      <c r="B1982" s="34">
        <v>104246.0</v>
      </c>
      <c r="C1982" s="34" t="s">
        <v>76</v>
      </c>
      <c r="D1982" s="34" t="s">
        <v>2933</v>
      </c>
      <c r="E1982" s="34" t="s">
        <v>2934</v>
      </c>
      <c r="F1982" s="34">
        <v>2021.0</v>
      </c>
      <c r="G1982" s="34" t="s">
        <v>2935</v>
      </c>
      <c r="H1982" s="34" t="s">
        <v>816</v>
      </c>
      <c r="I1982" s="34" t="s">
        <v>2936</v>
      </c>
      <c r="J1982" s="35"/>
      <c r="K1982" s="118">
        <f>484-L1982</f>
        <v>-74</v>
      </c>
      <c r="L1982" s="118">
        <v>558.0</v>
      </c>
      <c r="M1982" s="36"/>
      <c r="N1982" s="36"/>
      <c r="O1982" s="36"/>
      <c r="P1982" s="52">
        <f t="shared" si="223"/>
        <v>-13.26164875</v>
      </c>
      <c r="Q1982" s="36" t="s">
        <v>1393</v>
      </c>
      <c r="R1982" s="36" t="s">
        <v>96</v>
      </c>
      <c r="S1982" s="36">
        <v>1000.0</v>
      </c>
      <c r="T1982" s="36" t="s">
        <v>242</v>
      </c>
      <c r="U1982" s="36" t="s">
        <v>2955</v>
      </c>
      <c r="V1982" s="36">
        <f>365+365+233</f>
        <v>963</v>
      </c>
      <c r="W1982" s="36"/>
      <c r="X1982" s="38">
        <v>1.0</v>
      </c>
      <c r="Y1982" s="38" t="s">
        <v>2981</v>
      </c>
      <c r="Z1982" s="38" t="s">
        <v>2977</v>
      </c>
      <c r="AA1982" s="38" t="s">
        <v>86</v>
      </c>
      <c r="AB1982" s="38" t="s">
        <v>2978</v>
      </c>
      <c r="AC1982" s="38" t="s">
        <v>2979</v>
      </c>
      <c r="AD1982" s="38" t="s">
        <v>2980</v>
      </c>
      <c r="AE1982" s="38"/>
      <c r="AF1982" s="38" t="s">
        <v>238</v>
      </c>
      <c r="AG1982" s="38" t="s">
        <v>1459</v>
      </c>
      <c r="AH1982" s="38"/>
      <c r="AI1982" s="50">
        <v>35.181714</v>
      </c>
      <c r="AJ1982" s="50">
        <v>9.545662</v>
      </c>
      <c r="AK1982" s="41" t="s">
        <v>86</v>
      </c>
      <c r="AL1982" s="40" t="s">
        <v>86</v>
      </c>
      <c r="AM1982" s="49">
        <v>369.0</v>
      </c>
      <c r="AN1982" s="51">
        <v>369.0</v>
      </c>
      <c r="AO1982" s="42" t="s">
        <v>355</v>
      </c>
      <c r="AP1982" s="43" t="s">
        <v>355</v>
      </c>
      <c r="AQ1982" s="44" t="str">
        <f t="shared" si="217"/>
        <v>CRO</v>
      </c>
      <c r="AR1982" s="44">
        <f t="shared" si="199"/>
        <v>369</v>
      </c>
      <c r="AS1982" s="44" t="str">
        <f t="shared" si="222"/>
        <v>B</v>
      </c>
      <c r="AT1982" s="44" t="str">
        <f t="shared" si="202"/>
        <v>BW</v>
      </c>
      <c r="AU1982" s="44" t="str">
        <f t="shared" si="203"/>
        <v>BWh</v>
      </c>
      <c r="AV1982" s="38">
        <v>3.0</v>
      </c>
      <c r="AW1982" s="38"/>
      <c r="AX1982" s="38"/>
      <c r="AY1982" s="38"/>
      <c r="AZ1982" s="29">
        <v>1000.0</v>
      </c>
      <c r="BA1982" s="29"/>
      <c r="BB1982" s="29">
        <v>1.0</v>
      </c>
      <c r="BC1982" s="29" t="s">
        <v>89</v>
      </c>
      <c r="BD1982" s="29" t="s">
        <v>88</v>
      </c>
      <c r="BE1982" s="29" t="s">
        <v>89</v>
      </c>
      <c r="BF1982" s="29" t="s">
        <v>2942</v>
      </c>
      <c r="BG1982" s="29" t="s">
        <v>91</v>
      </c>
      <c r="BH1982" s="29" t="s">
        <v>88</v>
      </c>
      <c r="BI1982" s="29" t="s">
        <v>1438</v>
      </c>
      <c r="BJ1982" s="29"/>
      <c r="BK1982" s="29" t="s">
        <v>148</v>
      </c>
      <c r="BL1982" s="29" t="s">
        <v>148</v>
      </c>
      <c r="BM1982" s="45"/>
      <c r="BN1982" s="45"/>
      <c r="BO1982" s="46"/>
      <c r="BP1982" s="2"/>
      <c r="BQ1982" s="3"/>
    </row>
    <row r="1983" ht="15.75" customHeight="1">
      <c r="A1983" s="34">
        <v>2095.0</v>
      </c>
      <c r="B1983" s="34">
        <v>104246.0</v>
      </c>
      <c r="C1983" s="34" t="s">
        <v>76</v>
      </c>
      <c r="D1983" s="34" t="s">
        <v>2933</v>
      </c>
      <c r="E1983" s="34" t="s">
        <v>2934</v>
      </c>
      <c r="F1983" s="34">
        <v>2021.0</v>
      </c>
      <c r="G1983" s="34" t="s">
        <v>2935</v>
      </c>
      <c r="H1983" s="34" t="s">
        <v>816</v>
      </c>
      <c r="I1983" s="34" t="s">
        <v>2936</v>
      </c>
      <c r="J1983" s="35"/>
      <c r="K1983" s="118">
        <f>271-L1983</f>
        <v>-17</v>
      </c>
      <c r="L1983" s="118">
        <v>288.0</v>
      </c>
      <c r="M1983" s="36"/>
      <c r="N1983" s="36"/>
      <c r="O1983" s="36"/>
      <c r="P1983" s="52">
        <f t="shared" si="223"/>
        <v>-5.902777778</v>
      </c>
      <c r="Q1983" s="36" t="s">
        <v>1393</v>
      </c>
      <c r="R1983" s="36" t="s">
        <v>96</v>
      </c>
      <c r="S1983" s="36">
        <v>1000.0</v>
      </c>
      <c r="T1983" s="36" t="s">
        <v>295</v>
      </c>
      <c r="U1983" s="36" t="s">
        <v>968</v>
      </c>
      <c r="V1983" s="36">
        <v>148.0</v>
      </c>
      <c r="W1983" s="36"/>
      <c r="X1983" s="38">
        <v>1.0</v>
      </c>
      <c r="Y1983" s="38" t="s">
        <v>2982</v>
      </c>
      <c r="Z1983" s="38" t="s">
        <v>2983</v>
      </c>
      <c r="AA1983" s="38" t="s">
        <v>86</v>
      </c>
      <c r="AB1983" s="38" t="s">
        <v>2984</v>
      </c>
      <c r="AC1983" s="38" t="s">
        <v>2985</v>
      </c>
      <c r="AD1983" s="38" t="s">
        <v>2235</v>
      </c>
      <c r="AE1983" s="53"/>
      <c r="AF1983" s="38" t="s">
        <v>2316</v>
      </c>
      <c r="AG1983" s="38"/>
      <c r="AH1983" s="38"/>
      <c r="AI1983" s="50">
        <v>31.6725</v>
      </c>
      <c r="AJ1983" s="50">
        <v>-7.59597</v>
      </c>
      <c r="AK1983" s="41" t="s">
        <v>86</v>
      </c>
      <c r="AL1983" s="40" t="s">
        <v>86</v>
      </c>
      <c r="AM1983" s="49">
        <v>572.0</v>
      </c>
      <c r="AN1983" s="51">
        <v>572.0</v>
      </c>
      <c r="AO1983" s="42" t="s">
        <v>304</v>
      </c>
      <c r="AP1983" s="43" t="s">
        <v>304</v>
      </c>
      <c r="AQ1983" s="44" t="str">
        <f t="shared" si="217"/>
        <v>CRO</v>
      </c>
      <c r="AR1983" s="44">
        <f t="shared" si="199"/>
        <v>572</v>
      </c>
      <c r="AS1983" s="44" t="str">
        <f t="shared" si="222"/>
        <v>B</v>
      </c>
      <c r="AT1983" s="44" t="str">
        <f t="shared" si="202"/>
        <v>BS</v>
      </c>
      <c r="AU1983" s="44" t="str">
        <f t="shared" si="203"/>
        <v>BSh</v>
      </c>
      <c r="AV1983" s="38">
        <v>2.0</v>
      </c>
      <c r="AW1983" s="38"/>
      <c r="AX1983" s="38"/>
      <c r="AY1983" s="38"/>
      <c r="AZ1983" s="29">
        <v>1000.0</v>
      </c>
      <c r="BA1983" s="29"/>
      <c r="BB1983" s="29">
        <v>1.0</v>
      </c>
      <c r="BC1983" s="29" t="s">
        <v>89</v>
      </c>
      <c r="BD1983" s="29" t="s">
        <v>88</v>
      </c>
      <c r="BE1983" s="29" t="s">
        <v>89</v>
      </c>
      <c r="BF1983" s="29" t="s">
        <v>2942</v>
      </c>
      <c r="BG1983" s="29" t="s">
        <v>91</v>
      </c>
      <c r="BH1983" s="29" t="s">
        <v>88</v>
      </c>
      <c r="BI1983" s="29" t="s">
        <v>1438</v>
      </c>
      <c r="BJ1983" s="29"/>
      <c r="BK1983" s="29" t="s">
        <v>148</v>
      </c>
      <c r="BL1983" s="29" t="s">
        <v>148</v>
      </c>
      <c r="BM1983" s="45"/>
      <c r="BN1983" s="45"/>
      <c r="BO1983" s="46"/>
      <c r="BP1983" s="2"/>
      <c r="BQ1983" s="3"/>
    </row>
    <row r="1984" ht="15.75" customHeight="1">
      <c r="A1984" s="34">
        <v>2098.0</v>
      </c>
      <c r="B1984" s="34">
        <v>203244.0</v>
      </c>
      <c r="C1984" s="34" t="s">
        <v>76</v>
      </c>
      <c r="D1984" s="34" t="s">
        <v>3000</v>
      </c>
      <c r="E1984" s="34" t="s">
        <v>3001</v>
      </c>
      <c r="F1984" s="34">
        <v>2021.0</v>
      </c>
      <c r="G1984" s="34" t="s">
        <v>3002</v>
      </c>
      <c r="H1984" s="34" t="s">
        <v>816</v>
      </c>
      <c r="I1984" s="34" t="s">
        <v>3003</v>
      </c>
      <c r="J1984" s="35"/>
      <c r="K1984" s="36"/>
      <c r="L1984" s="36"/>
      <c r="M1984" s="36">
        <v>0.37</v>
      </c>
      <c r="N1984" s="48">
        <f t="shared" ref="N1984:N1985" si="224">M1984*11.57407407</f>
        <v>4.282407406</v>
      </c>
      <c r="O1984" s="47">
        <f>4.01*11.57407407</f>
        <v>46.41203702</v>
      </c>
      <c r="P1984" s="52">
        <f t="shared" ref="P1984:P1985" si="225">N1984/O1984*100</f>
        <v>9.226932668</v>
      </c>
      <c r="Q1984" s="36"/>
      <c r="R1984" s="36" t="s">
        <v>96</v>
      </c>
      <c r="S1984" s="36">
        <v>90.0</v>
      </c>
      <c r="T1984" s="36" t="s">
        <v>167</v>
      </c>
      <c r="U1984" s="36" t="s">
        <v>2955</v>
      </c>
      <c r="V1984" s="36"/>
      <c r="W1984" s="36"/>
      <c r="X1984" s="38">
        <v>1.0</v>
      </c>
      <c r="Y1984" s="38" t="s">
        <v>3004</v>
      </c>
      <c r="Z1984" s="38" t="s">
        <v>3004</v>
      </c>
      <c r="AA1984" s="38" t="s">
        <v>288</v>
      </c>
      <c r="AB1984" s="38" t="s">
        <v>3005</v>
      </c>
      <c r="AC1984" s="38"/>
      <c r="AD1984" s="38" t="s">
        <v>349</v>
      </c>
      <c r="AE1984" s="38">
        <v>736.0</v>
      </c>
      <c r="AF1984" s="38"/>
      <c r="AG1984" s="38"/>
      <c r="AH1984" s="38"/>
      <c r="AI1984" s="50">
        <v>38.12</v>
      </c>
      <c r="AJ1984" s="77">
        <v>-4.17</v>
      </c>
      <c r="AK1984" s="41" t="s">
        <v>197</v>
      </c>
      <c r="AL1984" s="40" t="s">
        <v>197</v>
      </c>
      <c r="AM1984" s="49">
        <v>614.0</v>
      </c>
      <c r="AN1984" s="51">
        <v>614.0</v>
      </c>
      <c r="AO1984" s="42" t="s">
        <v>175</v>
      </c>
      <c r="AP1984" s="43" t="s">
        <v>175</v>
      </c>
      <c r="AQ1984" s="44" t="str">
        <f t="shared" si="217"/>
        <v>GRA</v>
      </c>
      <c r="AR1984" s="44">
        <f t="shared" si="199"/>
        <v>614</v>
      </c>
      <c r="AS1984" s="44" t="str">
        <f t="shared" si="222"/>
        <v>C</v>
      </c>
      <c r="AT1984" s="44" t="str">
        <f t="shared" si="202"/>
        <v>Cs</v>
      </c>
      <c r="AU1984" s="44" t="str">
        <f t="shared" si="203"/>
        <v>Csa</v>
      </c>
      <c r="AV1984" s="38">
        <v>2.0</v>
      </c>
      <c r="AW1984" s="38"/>
      <c r="AX1984" s="38"/>
      <c r="AY1984" s="38" t="s">
        <v>3006</v>
      </c>
      <c r="AZ1984" s="29">
        <v>30.0</v>
      </c>
      <c r="BA1984" s="29"/>
      <c r="BB1984" s="29">
        <v>1.0</v>
      </c>
      <c r="BC1984" s="29" t="s">
        <v>176</v>
      </c>
      <c r="BD1984" s="29" t="s">
        <v>88</v>
      </c>
      <c r="BE1984" s="29"/>
      <c r="BF1984" s="29" t="s">
        <v>2639</v>
      </c>
      <c r="BG1984" s="29" t="s">
        <v>91</v>
      </c>
      <c r="BH1984" s="29" t="s">
        <v>88</v>
      </c>
      <c r="BI1984" s="29" t="s">
        <v>3007</v>
      </c>
      <c r="BJ1984" s="29"/>
      <c r="BK1984" s="29" t="s">
        <v>1178</v>
      </c>
      <c r="BL1984" s="29" t="s">
        <v>1178</v>
      </c>
      <c r="BM1984" s="45">
        <v>1.0</v>
      </c>
      <c r="BN1984" s="45"/>
      <c r="BO1984" s="46" t="s">
        <v>176</v>
      </c>
      <c r="BP1984" s="2"/>
      <c r="BQ1984" s="3"/>
    </row>
    <row r="1985" ht="15.75" customHeight="1">
      <c r="A1985" s="34">
        <v>2099.0</v>
      </c>
      <c r="B1985" s="34">
        <v>203244.0</v>
      </c>
      <c r="C1985" s="34" t="s">
        <v>76</v>
      </c>
      <c r="D1985" s="34" t="s">
        <v>3000</v>
      </c>
      <c r="E1985" s="34" t="s">
        <v>3001</v>
      </c>
      <c r="F1985" s="34">
        <v>2021.0</v>
      </c>
      <c r="G1985" s="34" t="s">
        <v>3002</v>
      </c>
      <c r="H1985" s="34" t="s">
        <v>816</v>
      </c>
      <c r="I1985" s="34" t="s">
        <v>3003</v>
      </c>
      <c r="J1985" s="35"/>
      <c r="K1985" s="36"/>
      <c r="L1985" s="36"/>
      <c r="M1985" s="36">
        <v>0.5</v>
      </c>
      <c r="N1985" s="48">
        <f t="shared" si="224"/>
        <v>5.787037035</v>
      </c>
      <c r="O1985" s="47">
        <f>3.86*11.57407407</f>
        <v>44.67592591</v>
      </c>
      <c r="P1985" s="52">
        <f t="shared" si="225"/>
        <v>12.95336788</v>
      </c>
      <c r="Q1985" s="36"/>
      <c r="R1985" s="36" t="s">
        <v>96</v>
      </c>
      <c r="S1985" s="36">
        <v>90.0</v>
      </c>
      <c r="T1985" s="36" t="s">
        <v>167</v>
      </c>
      <c r="U1985" s="36" t="s">
        <v>2955</v>
      </c>
      <c r="V1985" s="36"/>
      <c r="W1985" s="36"/>
      <c r="X1985" s="38">
        <v>1.0</v>
      </c>
      <c r="Y1985" s="38" t="s">
        <v>3004</v>
      </c>
      <c r="Z1985" s="38" t="s">
        <v>3004</v>
      </c>
      <c r="AA1985" s="38" t="s">
        <v>288</v>
      </c>
      <c r="AB1985" s="38" t="s">
        <v>3005</v>
      </c>
      <c r="AC1985" s="38"/>
      <c r="AD1985" s="38" t="s">
        <v>349</v>
      </c>
      <c r="AE1985" s="38">
        <v>736.0</v>
      </c>
      <c r="AF1985" s="38"/>
      <c r="AG1985" s="38"/>
      <c r="AH1985" s="38"/>
      <c r="AI1985" s="50">
        <v>38.12</v>
      </c>
      <c r="AJ1985" s="77">
        <v>-4.17</v>
      </c>
      <c r="AK1985" s="41" t="s">
        <v>197</v>
      </c>
      <c r="AL1985" s="40" t="s">
        <v>197</v>
      </c>
      <c r="AM1985" s="49">
        <v>614.0</v>
      </c>
      <c r="AN1985" s="51">
        <v>614.0</v>
      </c>
      <c r="AO1985" s="42" t="s">
        <v>175</v>
      </c>
      <c r="AP1985" s="43" t="s">
        <v>175</v>
      </c>
      <c r="AQ1985" s="44" t="str">
        <f t="shared" si="217"/>
        <v>GRA</v>
      </c>
      <c r="AR1985" s="44">
        <f t="shared" si="199"/>
        <v>614</v>
      </c>
      <c r="AS1985" s="44" t="str">
        <f t="shared" si="222"/>
        <v>C</v>
      </c>
      <c r="AT1985" s="44" t="str">
        <f t="shared" si="202"/>
        <v>Cs</v>
      </c>
      <c r="AU1985" s="44" t="str">
        <f t="shared" si="203"/>
        <v>Csa</v>
      </c>
      <c r="AV1985" s="38">
        <v>2.0</v>
      </c>
      <c r="AW1985" s="38"/>
      <c r="AX1985" s="38"/>
      <c r="AY1985" s="38" t="s">
        <v>3008</v>
      </c>
      <c r="AZ1985" s="29">
        <v>30.0</v>
      </c>
      <c r="BA1985" s="29"/>
      <c r="BB1985" s="29">
        <v>1.0</v>
      </c>
      <c r="BC1985" s="29" t="s">
        <v>176</v>
      </c>
      <c r="BD1985" s="29" t="s">
        <v>88</v>
      </c>
      <c r="BE1985" s="29"/>
      <c r="BF1985" s="29" t="s">
        <v>2639</v>
      </c>
      <c r="BG1985" s="29" t="s">
        <v>91</v>
      </c>
      <c r="BH1985" s="29" t="s">
        <v>88</v>
      </c>
      <c r="BI1985" s="29" t="s">
        <v>3007</v>
      </c>
      <c r="BJ1985" s="29"/>
      <c r="BK1985" s="29" t="s">
        <v>1178</v>
      </c>
      <c r="BL1985" s="29" t="s">
        <v>1178</v>
      </c>
      <c r="BM1985" s="45"/>
      <c r="BN1985" s="45"/>
      <c r="BO1985" s="46"/>
      <c r="BP1985" s="2"/>
      <c r="BQ1985" s="3"/>
    </row>
    <row r="1986" ht="15.75" customHeight="1">
      <c r="A1986" s="34">
        <v>2107.0</v>
      </c>
      <c r="B1986" s="34">
        <v>103549.0</v>
      </c>
      <c r="C1986" s="34" t="s">
        <v>832</v>
      </c>
      <c r="D1986" s="34" t="s">
        <v>3009</v>
      </c>
      <c r="E1986" s="34" t="s">
        <v>3010</v>
      </c>
      <c r="F1986" s="34">
        <v>2017.0</v>
      </c>
      <c r="G1986" s="34" t="s">
        <v>3011</v>
      </c>
      <c r="H1986" s="34" t="s">
        <v>816</v>
      </c>
      <c r="I1986" s="34" t="s">
        <v>3012</v>
      </c>
      <c r="J1986" s="35"/>
      <c r="K1986" s="36">
        <f>763-L1986</f>
        <v>404</v>
      </c>
      <c r="L1986" s="36">
        <v>359.0</v>
      </c>
      <c r="M1986" s="36"/>
      <c r="N1986" s="36"/>
      <c r="O1986" s="36"/>
      <c r="P1986" s="52">
        <f t="shared" ref="P1986:P1993" si="226">K1986*100/L1986</f>
        <v>112.5348189</v>
      </c>
      <c r="Q1986" s="36" t="s">
        <v>734</v>
      </c>
      <c r="R1986" s="36" t="s">
        <v>13</v>
      </c>
      <c r="S1986" s="36">
        <v>1000.0</v>
      </c>
      <c r="T1986" s="36" t="s">
        <v>167</v>
      </c>
      <c r="U1986" s="36" t="s">
        <v>244</v>
      </c>
      <c r="V1986" s="36"/>
      <c r="W1986" s="36"/>
      <c r="X1986" s="38">
        <v>1.0</v>
      </c>
      <c r="Y1986" s="38" t="s">
        <v>3013</v>
      </c>
      <c r="Z1986" s="38" t="s">
        <v>3014</v>
      </c>
      <c r="AA1986" s="38" t="s">
        <v>292</v>
      </c>
      <c r="AB1986" s="38">
        <v>31.749</v>
      </c>
      <c r="AC1986" s="38">
        <v>-110.052</v>
      </c>
      <c r="AD1986" s="39" t="s">
        <v>87</v>
      </c>
      <c r="AE1986" s="38">
        <v>1370.0</v>
      </c>
      <c r="AF1986" s="38"/>
      <c r="AG1986" s="38" t="s">
        <v>303</v>
      </c>
      <c r="AH1986" s="38">
        <v>6.4</v>
      </c>
      <c r="AI1986" s="50">
        <v>31.749</v>
      </c>
      <c r="AJ1986" s="50">
        <v>-110.052</v>
      </c>
      <c r="AK1986" s="41" t="s">
        <v>291</v>
      </c>
      <c r="AL1986" s="40" t="s">
        <v>291</v>
      </c>
      <c r="AM1986" s="49">
        <v>1378.0</v>
      </c>
      <c r="AN1986" s="51">
        <v>1378.0</v>
      </c>
      <c r="AO1986" s="42" t="s">
        <v>293</v>
      </c>
      <c r="AP1986" s="43" t="s">
        <v>293</v>
      </c>
      <c r="AQ1986" s="44" t="str">
        <f t="shared" si="217"/>
        <v>OSH</v>
      </c>
      <c r="AR1986" s="44">
        <f t="shared" si="199"/>
        <v>1378</v>
      </c>
      <c r="AS1986" s="44" t="str">
        <f t="shared" si="222"/>
        <v>B</v>
      </c>
      <c r="AT1986" s="44" t="str">
        <f t="shared" si="202"/>
        <v>BS</v>
      </c>
      <c r="AU1986" s="44" t="str">
        <f t="shared" si="203"/>
        <v>BSk</v>
      </c>
      <c r="AV1986" s="39">
        <v>3.0</v>
      </c>
      <c r="AW1986" s="38"/>
      <c r="AX1986" s="38"/>
      <c r="AY1986" s="38" t="s">
        <v>92</v>
      </c>
      <c r="AZ1986" s="29">
        <v>1000.0</v>
      </c>
      <c r="BA1986" s="29">
        <v>1.0</v>
      </c>
      <c r="BB1986" s="29">
        <v>1.0</v>
      </c>
      <c r="BC1986" s="29"/>
      <c r="BD1986" s="29"/>
      <c r="BE1986" s="29"/>
      <c r="BF1986" s="29" t="s">
        <v>3015</v>
      </c>
      <c r="BG1986" s="29" t="s">
        <v>203</v>
      </c>
      <c r="BH1986" s="29" t="s">
        <v>92</v>
      </c>
      <c r="BI1986" s="29"/>
      <c r="BJ1986" s="29"/>
      <c r="BK1986" s="29" t="s">
        <v>148</v>
      </c>
      <c r="BL1986" s="29" t="s">
        <v>148</v>
      </c>
      <c r="BM1986" s="45">
        <v>1.0</v>
      </c>
      <c r="BN1986" s="45"/>
      <c r="BO1986" s="46" t="s">
        <v>3015</v>
      </c>
      <c r="BP1986" s="2"/>
      <c r="BQ1986" s="3"/>
    </row>
    <row r="1987" ht="15.75" customHeight="1">
      <c r="A1987" s="34">
        <v>2108.0</v>
      </c>
      <c r="B1987" s="34">
        <v>103549.0</v>
      </c>
      <c r="C1987" s="34" t="s">
        <v>832</v>
      </c>
      <c r="D1987" s="34" t="s">
        <v>3009</v>
      </c>
      <c r="E1987" s="34" t="s">
        <v>3010</v>
      </c>
      <c r="F1987" s="34">
        <v>2017.0</v>
      </c>
      <c r="G1987" s="34" t="s">
        <v>3011</v>
      </c>
      <c r="H1987" s="34" t="s">
        <v>816</v>
      </c>
      <c r="I1987" s="34" t="s">
        <v>3012</v>
      </c>
      <c r="J1987" s="35"/>
      <c r="K1987" s="36">
        <f>395-L1987</f>
        <v>8</v>
      </c>
      <c r="L1987" s="36">
        <v>387.0</v>
      </c>
      <c r="M1987" s="36"/>
      <c r="N1987" s="36"/>
      <c r="O1987" s="36"/>
      <c r="P1987" s="52">
        <f t="shared" si="226"/>
        <v>2.067183463</v>
      </c>
      <c r="Q1987" s="36" t="s">
        <v>734</v>
      </c>
      <c r="R1987" s="36" t="s">
        <v>13</v>
      </c>
      <c r="S1987" s="36">
        <v>1000.0</v>
      </c>
      <c r="T1987" s="36" t="s">
        <v>167</v>
      </c>
      <c r="U1987" s="36" t="s">
        <v>244</v>
      </c>
      <c r="V1987" s="36"/>
      <c r="W1987" s="36"/>
      <c r="X1987" s="38">
        <v>1.0</v>
      </c>
      <c r="Y1987" s="38" t="s">
        <v>300</v>
      </c>
      <c r="Z1987" s="38" t="s">
        <v>301</v>
      </c>
      <c r="AA1987" s="38" t="s">
        <v>200</v>
      </c>
      <c r="AB1987" s="38">
        <v>31.822</v>
      </c>
      <c r="AC1987" s="38">
        <v>-110.867</v>
      </c>
      <c r="AD1987" s="39" t="s">
        <v>87</v>
      </c>
      <c r="AE1987" s="38">
        <v>1120.0</v>
      </c>
      <c r="AF1987" s="38"/>
      <c r="AG1987" s="38" t="s">
        <v>303</v>
      </c>
      <c r="AH1987" s="38">
        <v>7.8</v>
      </c>
      <c r="AI1987" s="50">
        <v>31.8214</v>
      </c>
      <c r="AJ1987" s="50">
        <v>-110.867</v>
      </c>
      <c r="AK1987" s="41" t="s">
        <v>291</v>
      </c>
      <c r="AL1987" s="40" t="s">
        <v>291</v>
      </c>
      <c r="AM1987" s="49">
        <v>1118.0</v>
      </c>
      <c r="AN1987" s="51">
        <v>1118.0</v>
      </c>
      <c r="AO1987" s="42" t="s">
        <v>304</v>
      </c>
      <c r="AP1987" s="43" t="s">
        <v>304</v>
      </c>
      <c r="AQ1987" s="44" t="str">
        <f t="shared" si="217"/>
        <v>WSA</v>
      </c>
      <c r="AR1987" s="44">
        <f t="shared" si="199"/>
        <v>1118</v>
      </c>
      <c r="AS1987" s="44" t="str">
        <f t="shared" si="222"/>
        <v>B</v>
      </c>
      <c r="AT1987" s="44" t="str">
        <f t="shared" si="202"/>
        <v>BS</v>
      </c>
      <c r="AU1987" s="44" t="str">
        <f t="shared" si="203"/>
        <v>BSh</v>
      </c>
      <c r="AV1987" s="39">
        <v>3.0</v>
      </c>
      <c r="AW1987" s="38"/>
      <c r="AX1987" s="38"/>
      <c r="AY1987" s="38" t="s">
        <v>92</v>
      </c>
      <c r="AZ1987" s="29">
        <v>1000.0</v>
      </c>
      <c r="BA1987" s="29">
        <v>1.0</v>
      </c>
      <c r="BB1987" s="29">
        <v>1.0</v>
      </c>
      <c r="BC1987" s="29"/>
      <c r="BD1987" s="29"/>
      <c r="BE1987" s="29"/>
      <c r="BF1987" s="29" t="s">
        <v>3015</v>
      </c>
      <c r="BG1987" s="29" t="s">
        <v>203</v>
      </c>
      <c r="BH1987" s="29" t="s">
        <v>92</v>
      </c>
      <c r="BI1987" s="29"/>
      <c r="BJ1987" s="29"/>
      <c r="BK1987" s="29" t="s">
        <v>148</v>
      </c>
      <c r="BL1987" s="29" t="s">
        <v>148</v>
      </c>
      <c r="BM1987" s="45">
        <v>1.0</v>
      </c>
      <c r="BN1987" s="45"/>
      <c r="BO1987" s="46" t="s">
        <v>3015</v>
      </c>
      <c r="BP1987" s="2"/>
      <c r="BQ1987" s="3"/>
    </row>
    <row r="1988" ht="15.75" customHeight="1">
      <c r="A1988" s="34">
        <v>2109.0</v>
      </c>
      <c r="B1988" s="34">
        <v>103549.0</v>
      </c>
      <c r="C1988" s="34" t="s">
        <v>832</v>
      </c>
      <c r="D1988" s="34" t="s">
        <v>3009</v>
      </c>
      <c r="E1988" s="34" t="s">
        <v>3010</v>
      </c>
      <c r="F1988" s="34">
        <v>2017.0</v>
      </c>
      <c r="G1988" s="34" t="s">
        <v>3011</v>
      </c>
      <c r="H1988" s="34" t="s">
        <v>816</v>
      </c>
      <c r="I1988" s="34" t="s">
        <v>3012</v>
      </c>
      <c r="J1988" s="35"/>
      <c r="K1988" s="36">
        <f>750-L1988</f>
        <v>335</v>
      </c>
      <c r="L1988" s="36">
        <v>415.0</v>
      </c>
      <c r="M1988" s="36"/>
      <c r="N1988" s="36"/>
      <c r="O1988" s="36"/>
      <c r="P1988" s="52">
        <f t="shared" si="226"/>
        <v>80.72289157</v>
      </c>
      <c r="Q1988" s="36" t="s">
        <v>734</v>
      </c>
      <c r="R1988" s="36" t="s">
        <v>13</v>
      </c>
      <c r="S1988" s="36">
        <v>1000.0</v>
      </c>
      <c r="T1988" s="36" t="s">
        <v>167</v>
      </c>
      <c r="U1988" s="36" t="s">
        <v>244</v>
      </c>
      <c r="V1988" s="36"/>
      <c r="W1988" s="36"/>
      <c r="X1988" s="38">
        <v>1.0</v>
      </c>
      <c r="Y1988" s="38" t="s">
        <v>314</v>
      </c>
      <c r="Z1988" s="38" t="s">
        <v>315</v>
      </c>
      <c r="AA1988" s="38" t="s">
        <v>288</v>
      </c>
      <c r="AB1988" s="38">
        <v>31.664</v>
      </c>
      <c r="AC1988" s="38">
        <v>-110.178</v>
      </c>
      <c r="AD1988" s="39" t="s">
        <v>87</v>
      </c>
      <c r="AE1988" s="38">
        <v>1531.0</v>
      </c>
      <c r="AF1988" s="38"/>
      <c r="AG1988" s="38" t="s">
        <v>303</v>
      </c>
      <c r="AH1988" s="38">
        <v>14.0</v>
      </c>
      <c r="AI1988" s="50">
        <v>31.664</v>
      </c>
      <c r="AJ1988" s="50">
        <v>-110.178</v>
      </c>
      <c r="AK1988" s="41" t="s">
        <v>288</v>
      </c>
      <c r="AL1988" s="40" t="s">
        <v>288</v>
      </c>
      <c r="AM1988" s="49">
        <v>1202.0</v>
      </c>
      <c r="AN1988" s="51">
        <v>1202.0</v>
      </c>
      <c r="AO1988" s="42" t="s">
        <v>355</v>
      </c>
      <c r="AP1988" s="43" t="s">
        <v>304</v>
      </c>
      <c r="AQ1988" s="44" t="str">
        <f t="shared" si="217"/>
        <v>GRA</v>
      </c>
      <c r="AR1988" s="44">
        <f t="shared" si="199"/>
        <v>1202</v>
      </c>
      <c r="AS1988" s="44" t="str">
        <f t="shared" si="222"/>
        <v>B</v>
      </c>
      <c r="AT1988" s="44" t="str">
        <f t="shared" si="202"/>
        <v>BS</v>
      </c>
      <c r="AU1988" s="44" t="str">
        <f t="shared" si="203"/>
        <v>BSh</v>
      </c>
      <c r="AV1988" s="39">
        <v>3.0</v>
      </c>
      <c r="AW1988" s="38"/>
      <c r="AX1988" s="38"/>
      <c r="AY1988" s="38" t="s">
        <v>92</v>
      </c>
      <c r="AZ1988" s="29">
        <v>1000.0</v>
      </c>
      <c r="BA1988" s="29">
        <v>1.0</v>
      </c>
      <c r="BB1988" s="29">
        <v>1.0</v>
      </c>
      <c r="BC1988" s="29"/>
      <c r="BD1988" s="29"/>
      <c r="BE1988" s="29"/>
      <c r="BF1988" s="29" t="s">
        <v>3015</v>
      </c>
      <c r="BG1988" s="29" t="s">
        <v>203</v>
      </c>
      <c r="BH1988" s="29" t="s">
        <v>92</v>
      </c>
      <c r="BI1988" s="29"/>
      <c r="BJ1988" s="29"/>
      <c r="BK1988" s="29" t="s">
        <v>148</v>
      </c>
      <c r="BL1988" s="29" t="s">
        <v>148</v>
      </c>
      <c r="BM1988" s="45">
        <v>1.0</v>
      </c>
      <c r="BN1988" s="45"/>
      <c r="BO1988" s="46" t="s">
        <v>3015</v>
      </c>
      <c r="BP1988" s="2"/>
      <c r="BQ1988" s="3"/>
    </row>
    <row r="1989" ht="15.75" customHeight="1">
      <c r="A1989" s="34">
        <v>2110.0</v>
      </c>
      <c r="B1989" s="34">
        <v>103549.0</v>
      </c>
      <c r="C1989" s="34" t="s">
        <v>832</v>
      </c>
      <c r="D1989" s="34" t="s">
        <v>3009</v>
      </c>
      <c r="E1989" s="34" t="s">
        <v>3010</v>
      </c>
      <c r="F1989" s="34">
        <v>2017.0</v>
      </c>
      <c r="G1989" s="34" t="s">
        <v>3011</v>
      </c>
      <c r="H1989" s="34" t="s">
        <v>816</v>
      </c>
      <c r="I1989" s="34" t="s">
        <v>3012</v>
      </c>
      <c r="J1989" s="35"/>
      <c r="K1989" s="36">
        <f>905-L1989</f>
        <v>142</v>
      </c>
      <c r="L1989" s="36">
        <v>763.0</v>
      </c>
      <c r="M1989" s="36"/>
      <c r="N1989" s="36"/>
      <c r="O1989" s="36"/>
      <c r="P1989" s="52">
        <f t="shared" si="226"/>
        <v>18.61074705</v>
      </c>
      <c r="Q1989" s="36" t="s">
        <v>734</v>
      </c>
      <c r="R1989" s="36" t="s">
        <v>13</v>
      </c>
      <c r="S1989" s="36">
        <v>1000.0</v>
      </c>
      <c r="T1989" s="36" t="s">
        <v>167</v>
      </c>
      <c r="U1989" s="36" t="s">
        <v>244</v>
      </c>
      <c r="V1989" s="36"/>
      <c r="W1989" s="36"/>
      <c r="X1989" s="38">
        <v>1.0</v>
      </c>
      <c r="Y1989" s="38" t="s">
        <v>3016</v>
      </c>
      <c r="Z1989" s="38" t="s">
        <v>3017</v>
      </c>
      <c r="AA1989" s="38" t="s">
        <v>452</v>
      </c>
      <c r="AB1989" s="38">
        <v>31.738</v>
      </c>
      <c r="AC1989" s="38">
        <v>-109.943</v>
      </c>
      <c r="AD1989" s="39" t="s">
        <v>87</v>
      </c>
      <c r="AE1989" s="53"/>
      <c r="AF1989" s="38"/>
      <c r="AG1989" s="57" t="s">
        <v>2974</v>
      </c>
      <c r="AH1989" s="38">
        <v>6.4</v>
      </c>
      <c r="AI1989" s="50">
        <v>31.738</v>
      </c>
      <c r="AJ1989" s="50">
        <v>-109.943</v>
      </c>
      <c r="AK1989" s="41" t="s">
        <v>291</v>
      </c>
      <c r="AL1989" s="40" t="s">
        <v>291</v>
      </c>
      <c r="AM1989" s="49">
        <v>1513.0</v>
      </c>
      <c r="AN1989" s="51">
        <v>1513.0</v>
      </c>
      <c r="AO1989" s="42" t="s">
        <v>293</v>
      </c>
      <c r="AP1989" s="43" t="s">
        <v>293</v>
      </c>
      <c r="AQ1989" s="44" t="str">
        <f t="shared" si="217"/>
        <v>MF</v>
      </c>
      <c r="AR1989" s="44">
        <f t="shared" si="199"/>
        <v>1513</v>
      </c>
      <c r="AS1989" s="44" t="str">
        <f t="shared" si="222"/>
        <v>B</v>
      </c>
      <c r="AT1989" s="44" t="str">
        <f t="shared" si="202"/>
        <v>BS</v>
      </c>
      <c r="AU1989" s="44" t="str">
        <f t="shared" si="203"/>
        <v>BSk</v>
      </c>
      <c r="AV1989" s="39">
        <v>3.0</v>
      </c>
      <c r="AW1989" s="38"/>
      <c r="AX1989" s="38"/>
      <c r="AY1989" s="38" t="s">
        <v>92</v>
      </c>
      <c r="AZ1989" s="29">
        <v>1000.0</v>
      </c>
      <c r="BA1989" s="29">
        <v>1.0</v>
      </c>
      <c r="BB1989" s="29">
        <v>1.0</v>
      </c>
      <c r="BC1989" s="29"/>
      <c r="BD1989" s="29"/>
      <c r="BE1989" s="29"/>
      <c r="BF1989" s="29" t="s">
        <v>3015</v>
      </c>
      <c r="BG1989" s="29" t="s">
        <v>203</v>
      </c>
      <c r="BH1989" s="29" t="s">
        <v>92</v>
      </c>
      <c r="BI1989" s="29"/>
      <c r="BJ1989" s="29"/>
      <c r="BK1989" s="29" t="s">
        <v>148</v>
      </c>
      <c r="BL1989" s="29" t="s">
        <v>148</v>
      </c>
      <c r="BM1989" s="45">
        <v>1.0</v>
      </c>
      <c r="BN1989" s="45"/>
      <c r="BO1989" s="46" t="s">
        <v>3015</v>
      </c>
      <c r="BP1989" s="2"/>
      <c r="BQ1989" s="3"/>
    </row>
    <row r="1990" ht="15.75" customHeight="1">
      <c r="A1990" s="34">
        <v>2111.0</v>
      </c>
      <c r="B1990" s="34">
        <v>103549.0</v>
      </c>
      <c r="C1990" s="34" t="s">
        <v>832</v>
      </c>
      <c r="D1990" s="34" t="s">
        <v>3009</v>
      </c>
      <c r="E1990" s="34" t="s">
        <v>3010</v>
      </c>
      <c r="F1990" s="34">
        <v>2017.0</v>
      </c>
      <c r="G1990" s="34" t="s">
        <v>3011</v>
      </c>
      <c r="H1990" s="34" t="s">
        <v>816</v>
      </c>
      <c r="I1990" s="34" t="s">
        <v>3012</v>
      </c>
      <c r="J1990" s="35"/>
      <c r="K1990" s="36">
        <f>281-L1990</f>
        <v>-78</v>
      </c>
      <c r="L1990" s="36">
        <v>359.0</v>
      </c>
      <c r="M1990" s="36"/>
      <c r="N1990" s="36"/>
      <c r="O1990" s="36"/>
      <c r="P1990" s="52">
        <f t="shared" si="226"/>
        <v>-21.7270195</v>
      </c>
      <c r="Q1990" s="36" t="s">
        <v>734</v>
      </c>
      <c r="R1990" s="36" t="s">
        <v>13</v>
      </c>
      <c r="S1990" s="36">
        <v>1000.0</v>
      </c>
      <c r="T1990" s="36" t="s">
        <v>167</v>
      </c>
      <c r="U1990" s="36" t="s">
        <v>244</v>
      </c>
      <c r="V1990" s="36"/>
      <c r="W1990" s="36"/>
      <c r="X1990" s="38">
        <v>1.0</v>
      </c>
      <c r="Y1990" s="38" t="s">
        <v>3013</v>
      </c>
      <c r="Z1990" s="38" t="s">
        <v>3014</v>
      </c>
      <c r="AA1990" s="38" t="s">
        <v>292</v>
      </c>
      <c r="AB1990" s="38">
        <v>31.749</v>
      </c>
      <c r="AC1990" s="38">
        <v>-110.052</v>
      </c>
      <c r="AD1990" s="39" t="s">
        <v>87</v>
      </c>
      <c r="AE1990" s="38">
        <v>1370.0</v>
      </c>
      <c r="AF1990" s="38"/>
      <c r="AG1990" s="38" t="s">
        <v>303</v>
      </c>
      <c r="AH1990" s="38">
        <v>6.4</v>
      </c>
      <c r="AI1990" s="50">
        <v>31.749</v>
      </c>
      <c r="AJ1990" s="50">
        <v>-110.052</v>
      </c>
      <c r="AK1990" s="41" t="s">
        <v>291</v>
      </c>
      <c r="AL1990" s="40" t="s">
        <v>291</v>
      </c>
      <c r="AM1990" s="49">
        <v>1378.0</v>
      </c>
      <c r="AN1990" s="51">
        <v>1378.0</v>
      </c>
      <c r="AO1990" s="42" t="s">
        <v>293</v>
      </c>
      <c r="AP1990" s="43" t="s">
        <v>293</v>
      </c>
      <c r="AQ1990" s="44" t="str">
        <f t="shared" si="217"/>
        <v>OSH</v>
      </c>
      <c r="AR1990" s="44">
        <f t="shared" si="199"/>
        <v>1378</v>
      </c>
      <c r="AS1990" s="44" t="str">
        <f t="shared" si="222"/>
        <v>B</v>
      </c>
      <c r="AT1990" s="44" t="str">
        <f t="shared" si="202"/>
        <v>BS</v>
      </c>
      <c r="AU1990" s="44" t="str">
        <f t="shared" si="203"/>
        <v>BSk</v>
      </c>
      <c r="AV1990" s="39">
        <v>3.0</v>
      </c>
      <c r="AW1990" s="38"/>
      <c r="AX1990" s="38"/>
      <c r="AY1990" s="38" t="s">
        <v>92</v>
      </c>
      <c r="AZ1990" s="29">
        <v>1000.0</v>
      </c>
      <c r="BA1990" s="29">
        <v>1.0</v>
      </c>
      <c r="BB1990" s="29">
        <v>1.0</v>
      </c>
      <c r="BC1990" s="29"/>
      <c r="BD1990" s="29"/>
      <c r="BE1990" s="29"/>
      <c r="BF1990" s="29" t="s">
        <v>3018</v>
      </c>
      <c r="BG1990" s="29" t="s">
        <v>644</v>
      </c>
      <c r="BH1990" s="29" t="s">
        <v>92</v>
      </c>
      <c r="BI1990" s="29"/>
      <c r="BJ1990" s="29"/>
      <c r="BK1990" s="29" t="s">
        <v>148</v>
      </c>
      <c r="BL1990" s="29" t="s">
        <v>148</v>
      </c>
      <c r="BM1990" s="45">
        <v>1.0</v>
      </c>
      <c r="BN1990" s="45"/>
      <c r="BO1990" s="46" t="s">
        <v>3015</v>
      </c>
      <c r="BP1990" s="2"/>
      <c r="BQ1990" s="3"/>
    </row>
    <row r="1991" ht="15.75" customHeight="1">
      <c r="A1991" s="34">
        <v>2112.0</v>
      </c>
      <c r="B1991" s="34">
        <v>103549.0</v>
      </c>
      <c r="C1991" s="34" t="s">
        <v>832</v>
      </c>
      <c r="D1991" s="34" t="s">
        <v>3009</v>
      </c>
      <c r="E1991" s="34" t="s">
        <v>3010</v>
      </c>
      <c r="F1991" s="34">
        <v>2017.0</v>
      </c>
      <c r="G1991" s="34" t="s">
        <v>3011</v>
      </c>
      <c r="H1991" s="34" t="s">
        <v>816</v>
      </c>
      <c r="I1991" s="34" t="s">
        <v>3012</v>
      </c>
      <c r="J1991" s="35"/>
      <c r="K1991" s="36">
        <f>230-L1991</f>
        <v>-157</v>
      </c>
      <c r="L1991" s="36">
        <v>387.0</v>
      </c>
      <c r="M1991" s="36"/>
      <c r="N1991" s="36"/>
      <c r="O1991" s="36"/>
      <c r="P1991" s="52">
        <f t="shared" si="226"/>
        <v>-40.56847545</v>
      </c>
      <c r="Q1991" s="36" t="s">
        <v>734</v>
      </c>
      <c r="R1991" s="36" t="s">
        <v>13</v>
      </c>
      <c r="S1991" s="36">
        <v>1000.0</v>
      </c>
      <c r="T1991" s="36" t="s">
        <v>167</v>
      </c>
      <c r="U1991" s="36" t="s">
        <v>244</v>
      </c>
      <c r="V1991" s="36"/>
      <c r="W1991" s="36"/>
      <c r="X1991" s="38">
        <v>1.0</v>
      </c>
      <c r="Y1991" s="38" t="s">
        <v>300</v>
      </c>
      <c r="Z1991" s="38" t="s">
        <v>301</v>
      </c>
      <c r="AA1991" s="38" t="s">
        <v>200</v>
      </c>
      <c r="AB1991" s="38">
        <v>31.822</v>
      </c>
      <c r="AC1991" s="38">
        <v>-110.867</v>
      </c>
      <c r="AD1991" s="39" t="s">
        <v>87</v>
      </c>
      <c r="AE1991" s="38">
        <v>1120.0</v>
      </c>
      <c r="AF1991" s="38"/>
      <c r="AG1991" s="38" t="s">
        <v>303</v>
      </c>
      <c r="AH1991" s="38">
        <v>7.8</v>
      </c>
      <c r="AI1991" s="50">
        <v>31.8214</v>
      </c>
      <c r="AJ1991" s="50">
        <v>-110.867</v>
      </c>
      <c r="AK1991" s="41" t="s">
        <v>291</v>
      </c>
      <c r="AL1991" s="40" t="s">
        <v>291</v>
      </c>
      <c r="AM1991" s="49">
        <v>1118.0</v>
      </c>
      <c r="AN1991" s="51">
        <v>1118.0</v>
      </c>
      <c r="AO1991" s="42" t="s">
        <v>304</v>
      </c>
      <c r="AP1991" s="43" t="s">
        <v>304</v>
      </c>
      <c r="AQ1991" s="44" t="str">
        <f t="shared" si="217"/>
        <v>WSA</v>
      </c>
      <c r="AR1991" s="44">
        <f t="shared" si="199"/>
        <v>1118</v>
      </c>
      <c r="AS1991" s="44" t="str">
        <f t="shared" si="222"/>
        <v>B</v>
      </c>
      <c r="AT1991" s="44" t="str">
        <f t="shared" si="202"/>
        <v>BS</v>
      </c>
      <c r="AU1991" s="44" t="str">
        <f t="shared" si="203"/>
        <v>BSh</v>
      </c>
      <c r="AV1991" s="39">
        <v>3.0</v>
      </c>
      <c r="AW1991" s="38"/>
      <c r="AX1991" s="38"/>
      <c r="AY1991" s="38" t="s">
        <v>92</v>
      </c>
      <c r="AZ1991" s="29">
        <v>1000.0</v>
      </c>
      <c r="BA1991" s="29">
        <v>1.0</v>
      </c>
      <c r="BB1991" s="29">
        <v>1.0</v>
      </c>
      <c r="BC1991" s="29"/>
      <c r="BD1991" s="29"/>
      <c r="BE1991" s="29"/>
      <c r="BF1991" s="29" t="s">
        <v>3018</v>
      </c>
      <c r="BG1991" s="29" t="s">
        <v>644</v>
      </c>
      <c r="BH1991" s="29" t="s">
        <v>92</v>
      </c>
      <c r="BI1991" s="29"/>
      <c r="BJ1991" s="29"/>
      <c r="BK1991" s="29" t="s">
        <v>148</v>
      </c>
      <c r="BL1991" s="29" t="s">
        <v>148</v>
      </c>
      <c r="BM1991" s="45">
        <v>1.0</v>
      </c>
      <c r="BN1991" s="45"/>
      <c r="BO1991" s="46" t="s">
        <v>3015</v>
      </c>
      <c r="BP1991" s="2"/>
      <c r="BQ1991" s="3"/>
    </row>
    <row r="1992" ht="15.75" customHeight="1">
      <c r="A1992" s="34">
        <v>2113.0</v>
      </c>
      <c r="B1992" s="34">
        <v>103549.0</v>
      </c>
      <c r="C1992" s="34" t="s">
        <v>832</v>
      </c>
      <c r="D1992" s="34" t="s">
        <v>3009</v>
      </c>
      <c r="E1992" s="34" t="s">
        <v>3010</v>
      </c>
      <c r="F1992" s="34">
        <v>2017.0</v>
      </c>
      <c r="G1992" s="34" t="s">
        <v>3011</v>
      </c>
      <c r="H1992" s="34" t="s">
        <v>816</v>
      </c>
      <c r="I1992" s="34" t="s">
        <v>3012</v>
      </c>
      <c r="J1992" s="35"/>
      <c r="K1992" s="36">
        <f>156-L1992</f>
        <v>-259</v>
      </c>
      <c r="L1992" s="36">
        <v>415.0</v>
      </c>
      <c r="M1992" s="36"/>
      <c r="N1992" s="36"/>
      <c r="O1992" s="36"/>
      <c r="P1992" s="52">
        <f t="shared" si="226"/>
        <v>-62.40963855</v>
      </c>
      <c r="Q1992" s="36" t="s">
        <v>734</v>
      </c>
      <c r="R1992" s="36" t="s">
        <v>13</v>
      </c>
      <c r="S1992" s="36">
        <v>1000.0</v>
      </c>
      <c r="T1992" s="36" t="s">
        <v>167</v>
      </c>
      <c r="U1992" s="36" t="s">
        <v>244</v>
      </c>
      <c r="V1992" s="36"/>
      <c r="W1992" s="36"/>
      <c r="X1992" s="38">
        <v>1.0</v>
      </c>
      <c r="Y1992" s="38" t="s">
        <v>314</v>
      </c>
      <c r="Z1992" s="38" t="s">
        <v>315</v>
      </c>
      <c r="AA1992" s="38" t="s">
        <v>288</v>
      </c>
      <c r="AB1992" s="38">
        <v>31.664</v>
      </c>
      <c r="AC1992" s="38">
        <v>-110.178</v>
      </c>
      <c r="AD1992" s="39" t="s">
        <v>87</v>
      </c>
      <c r="AE1992" s="38">
        <v>1531.0</v>
      </c>
      <c r="AF1992" s="38"/>
      <c r="AG1992" s="38" t="s">
        <v>303</v>
      </c>
      <c r="AH1992" s="38">
        <v>14.0</v>
      </c>
      <c r="AI1992" s="50">
        <v>31.664</v>
      </c>
      <c r="AJ1992" s="50">
        <v>-110.178</v>
      </c>
      <c r="AK1992" s="41" t="s">
        <v>288</v>
      </c>
      <c r="AL1992" s="40" t="s">
        <v>288</v>
      </c>
      <c r="AM1992" s="49">
        <v>1202.0</v>
      </c>
      <c r="AN1992" s="51">
        <v>1202.0</v>
      </c>
      <c r="AO1992" s="42" t="s">
        <v>355</v>
      </c>
      <c r="AP1992" s="43" t="s">
        <v>304</v>
      </c>
      <c r="AQ1992" s="44" t="str">
        <f t="shared" si="217"/>
        <v>GRA</v>
      </c>
      <c r="AR1992" s="44">
        <f t="shared" si="199"/>
        <v>1202</v>
      </c>
      <c r="AS1992" s="44" t="str">
        <f t="shared" si="222"/>
        <v>B</v>
      </c>
      <c r="AT1992" s="44" t="str">
        <f t="shared" si="202"/>
        <v>BS</v>
      </c>
      <c r="AU1992" s="44" t="str">
        <f t="shared" si="203"/>
        <v>BSh</v>
      </c>
      <c r="AV1992" s="39">
        <v>3.0</v>
      </c>
      <c r="AW1992" s="38"/>
      <c r="AX1992" s="38"/>
      <c r="AY1992" s="38" t="s">
        <v>92</v>
      </c>
      <c r="AZ1992" s="29">
        <v>1000.0</v>
      </c>
      <c r="BA1992" s="29">
        <v>1.0</v>
      </c>
      <c r="BB1992" s="29">
        <v>1.0</v>
      </c>
      <c r="BC1992" s="29"/>
      <c r="BD1992" s="29"/>
      <c r="BE1992" s="29"/>
      <c r="BF1992" s="29" t="s">
        <v>3018</v>
      </c>
      <c r="BG1992" s="29" t="s">
        <v>644</v>
      </c>
      <c r="BH1992" s="29" t="s">
        <v>92</v>
      </c>
      <c r="BI1992" s="29"/>
      <c r="BJ1992" s="29"/>
      <c r="BK1992" s="29" t="s">
        <v>148</v>
      </c>
      <c r="BL1992" s="29" t="s">
        <v>148</v>
      </c>
      <c r="BM1992" s="45">
        <v>1.0</v>
      </c>
      <c r="BN1992" s="45"/>
      <c r="BO1992" s="46" t="s">
        <v>3015</v>
      </c>
      <c r="BP1992" s="2"/>
      <c r="BQ1992" s="3"/>
    </row>
    <row r="1993" ht="15.75" customHeight="1">
      <c r="A1993" s="34">
        <v>2114.0</v>
      </c>
      <c r="B1993" s="34">
        <v>103549.0</v>
      </c>
      <c r="C1993" s="34" t="s">
        <v>832</v>
      </c>
      <c r="D1993" s="34" t="s">
        <v>3009</v>
      </c>
      <c r="E1993" s="34" t="s">
        <v>3010</v>
      </c>
      <c r="F1993" s="34">
        <v>2017.0</v>
      </c>
      <c r="G1993" s="34" t="s">
        <v>3011</v>
      </c>
      <c r="H1993" s="34" t="s">
        <v>816</v>
      </c>
      <c r="I1993" s="34" t="s">
        <v>3012</v>
      </c>
      <c r="J1993" s="35"/>
      <c r="K1993" s="36">
        <f>562-L1993</f>
        <v>-201</v>
      </c>
      <c r="L1993" s="36">
        <v>763.0</v>
      </c>
      <c r="M1993" s="36"/>
      <c r="N1993" s="36"/>
      <c r="O1993" s="36"/>
      <c r="P1993" s="52">
        <f t="shared" si="226"/>
        <v>-26.34338139</v>
      </c>
      <c r="Q1993" s="36" t="s">
        <v>734</v>
      </c>
      <c r="R1993" s="36" t="s">
        <v>13</v>
      </c>
      <c r="S1993" s="36">
        <v>1000.0</v>
      </c>
      <c r="T1993" s="36" t="s">
        <v>167</v>
      </c>
      <c r="U1993" s="36" t="s">
        <v>244</v>
      </c>
      <c r="V1993" s="36"/>
      <c r="W1993" s="36"/>
      <c r="X1993" s="38">
        <v>1.0</v>
      </c>
      <c r="Y1993" s="38" t="s">
        <v>3016</v>
      </c>
      <c r="Z1993" s="38" t="s">
        <v>3017</v>
      </c>
      <c r="AA1993" s="38" t="s">
        <v>452</v>
      </c>
      <c r="AB1993" s="38">
        <v>31.738</v>
      </c>
      <c r="AC1993" s="38">
        <v>-109.943</v>
      </c>
      <c r="AD1993" s="39" t="s">
        <v>87</v>
      </c>
      <c r="AE1993" s="53"/>
      <c r="AF1993" s="38"/>
      <c r="AG1993" s="57" t="s">
        <v>1459</v>
      </c>
      <c r="AH1993" s="38">
        <v>6.4</v>
      </c>
      <c r="AI1993" s="50">
        <v>31.738</v>
      </c>
      <c r="AJ1993" s="50">
        <v>-109.943</v>
      </c>
      <c r="AK1993" s="41" t="s">
        <v>291</v>
      </c>
      <c r="AL1993" s="40" t="s">
        <v>291</v>
      </c>
      <c r="AM1993" s="49">
        <v>1513.0</v>
      </c>
      <c r="AN1993" s="51">
        <v>1513.0</v>
      </c>
      <c r="AO1993" s="42" t="s">
        <v>293</v>
      </c>
      <c r="AP1993" s="43" t="s">
        <v>293</v>
      </c>
      <c r="AQ1993" s="44" t="str">
        <f t="shared" si="217"/>
        <v>MF</v>
      </c>
      <c r="AR1993" s="44">
        <f t="shared" si="199"/>
        <v>1513</v>
      </c>
      <c r="AS1993" s="44" t="str">
        <f t="shared" si="222"/>
        <v>B</v>
      </c>
      <c r="AT1993" s="44" t="str">
        <f t="shared" si="202"/>
        <v>BS</v>
      </c>
      <c r="AU1993" s="44" t="str">
        <f t="shared" si="203"/>
        <v>BSk</v>
      </c>
      <c r="AV1993" s="39">
        <v>3.0</v>
      </c>
      <c r="AW1993" s="38"/>
      <c r="AX1993" s="38"/>
      <c r="AY1993" s="38" t="s">
        <v>92</v>
      </c>
      <c r="AZ1993" s="29">
        <v>1000.0</v>
      </c>
      <c r="BA1993" s="29">
        <v>1.0</v>
      </c>
      <c r="BB1993" s="29">
        <v>1.0</v>
      </c>
      <c r="BC1993" s="29"/>
      <c r="BD1993" s="29"/>
      <c r="BE1993" s="29"/>
      <c r="BF1993" s="29" t="s">
        <v>3018</v>
      </c>
      <c r="BG1993" s="29" t="s">
        <v>644</v>
      </c>
      <c r="BH1993" s="29" t="s">
        <v>92</v>
      </c>
      <c r="BI1993" s="29"/>
      <c r="BJ1993" s="29"/>
      <c r="BK1993" s="29" t="s">
        <v>148</v>
      </c>
      <c r="BL1993" s="29" t="s">
        <v>148</v>
      </c>
      <c r="BM1993" s="45">
        <v>1.0</v>
      </c>
      <c r="BN1993" s="45"/>
      <c r="BO1993" s="46" t="s">
        <v>3015</v>
      </c>
      <c r="BP1993" s="2"/>
      <c r="BQ1993" s="3"/>
    </row>
    <row r="1994" ht="15.75" customHeight="1">
      <c r="A1994" s="34">
        <v>2121.0</v>
      </c>
      <c r="B1994" s="34">
        <v>203245.0</v>
      </c>
      <c r="C1994" s="34" t="s">
        <v>832</v>
      </c>
      <c r="D1994" s="34" t="s">
        <v>3019</v>
      </c>
      <c r="E1994" s="34" t="s">
        <v>3020</v>
      </c>
      <c r="F1994" s="34">
        <v>2021.0</v>
      </c>
      <c r="G1994" s="34" t="s">
        <v>3021</v>
      </c>
      <c r="H1994" s="34" t="s">
        <v>1028</v>
      </c>
      <c r="I1994" s="34" t="s">
        <v>3022</v>
      </c>
      <c r="J1994" s="35"/>
      <c r="K1994" s="36"/>
      <c r="L1994" s="36"/>
      <c r="M1994" s="36"/>
      <c r="N1994" s="36">
        <v>24.2</v>
      </c>
      <c r="O1994" s="36">
        <v>277.1</v>
      </c>
      <c r="P1994" s="52">
        <f t="shared" ref="P1994:P2008" si="227">N1994*100/O1994</f>
        <v>8.733309275</v>
      </c>
      <c r="Q1994" s="36"/>
      <c r="R1994" s="36" t="s">
        <v>82</v>
      </c>
      <c r="S1994" s="36">
        <v>30.0</v>
      </c>
      <c r="T1994" s="36" t="s">
        <v>167</v>
      </c>
      <c r="U1994" s="36" t="s">
        <v>2096</v>
      </c>
      <c r="V1994" s="36"/>
      <c r="W1994" s="36"/>
      <c r="X1994" s="38">
        <v>1.0</v>
      </c>
      <c r="Y1994" s="38" t="s">
        <v>654</v>
      </c>
      <c r="Z1994" s="38" t="s">
        <v>654</v>
      </c>
      <c r="AA1994" s="38" t="s">
        <v>214</v>
      </c>
      <c r="AB1994" s="38">
        <v>38.966667</v>
      </c>
      <c r="AC1994" s="38">
        <v>100.366667</v>
      </c>
      <c r="AD1994" s="38" t="s">
        <v>198</v>
      </c>
      <c r="AE1994" s="38">
        <v>1460.0</v>
      </c>
      <c r="AF1994" s="38" t="s">
        <v>2076</v>
      </c>
      <c r="AG1994" s="38"/>
      <c r="AH1994" s="38"/>
      <c r="AI1994" s="50">
        <v>38.966667</v>
      </c>
      <c r="AJ1994" s="50">
        <v>100.366667</v>
      </c>
      <c r="AK1994" s="41" t="s">
        <v>664</v>
      </c>
      <c r="AL1994" s="40" t="s">
        <v>664</v>
      </c>
      <c r="AM1994" s="49">
        <v>1497.0</v>
      </c>
      <c r="AN1994" s="51">
        <v>1497.0</v>
      </c>
      <c r="AO1994" s="42" t="s">
        <v>261</v>
      </c>
      <c r="AP1994" s="43" t="s">
        <v>261</v>
      </c>
      <c r="AQ1994" s="44" t="str">
        <f t="shared" si="217"/>
        <v>WET</v>
      </c>
      <c r="AR1994" s="44">
        <f t="shared" si="199"/>
        <v>1497</v>
      </c>
      <c r="AS1994" s="44" t="str">
        <f t="shared" si="222"/>
        <v>B</v>
      </c>
      <c r="AT1994" s="44" t="str">
        <f t="shared" si="202"/>
        <v>BW</v>
      </c>
      <c r="AU1994" s="44" t="str">
        <f t="shared" si="203"/>
        <v>BWk</v>
      </c>
      <c r="AV1994" s="38"/>
      <c r="AW1994" s="38"/>
      <c r="AX1994" s="38"/>
      <c r="AY1994" s="38"/>
      <c r="AZ1994" s="29">
        <v>30.0</v>
      </c>
      <c r="BA1994" s="29">
        <v>1.0</v>
      </c>
      <c r="BB1994" s="29">
        <v>1.0</v>
      </c>
      <c r="BC1994" s="29"/>
      <c r="BD1994" s="29"/>
      <c r="BE1994" s="29"/>
      <c r="BF1994" s="29" t="s">
        <v>3023</v>
      </c>
      <c r="BG1994" s="29" t="s">
        <v>203</v>
      </c>
      <c r="BH1994" s="29" t="s">
        <v>88</v>
      </c>
      <c r="BI1994" s="29" t="s">
        <v>1925</v>
      </c>
      <c r="BJ1994" s="29"/>
      <c r="BK1994" s="29" t="s">
        <v>3024</v>
      </c>
      <c r="BL1994" s="29" t="s">
        <v>3024</v>
      </c>
      <c r="BM1994" s="45">
        <v>1.0</v>
      </c>
      <c r="BN1994" s="45"/>
      <c r="BO1994" s="46">
        <v>1.0</v>
      </c>
      <c r="BP1994" s="2"/>
      <c r="BQ1994" s="3"/>
    </row>
    <row r="1995" ht="15.75" customHeight="1">
      <c r="A1995" s="34">
        <v>2122.0</v>
      </c>
      <c r="B1995" s="34">
        <v>203245.0</v>
      </c>
      <c r="C1995" s="34" t="s">
        <v>832</v>
      </c>
      <c r="D1995" s="34" t="s">
        <v>3019</v>
      </c>
      <c r="E1995" s="34" t="s">
        <v>3020</v>
      </c>
      <c r="F1995" s="34">
        <v>2021.0</v>
      </c>
      <c r="G1995" s="34" t="s">
        <v>3021</v>
      </c>
      <c r="H1995" s="34" t="s">
        <v>1028</v>
      </c>
      <c r="I1995" s="34" t="s">
        <v>3022</v>
      </c>
      <c r="J1995" s="35"/>
      <c r="K1995" s="36"/>
      <c r="L1995" s="36"/>
      <c r="M1995" s="36"/>
      <c r="N1995" s="36">
        <v>7.0</v>
      </c>
      <c r="O1995" s="36">
        <v>196.1</v>
      </c>
      <c r="P1995" s="52">
        <f t="shared" si="227"/>
        <v>3.569607343</v>
      </c>
      <c r="Q1995" s="36"/>
      <c r="R1995" s="36" t="s">
        <v>82</v>
      </c>
      <c r="S1995" s="36">
        <v>30.0</v>
      </c>
      <c r="T1995" s="36" t="s">
        <v>167</v>
      </c>
      <c r="U1995" s="36" t="s">
        <v>2096</v>
      </c>
      <c r="V1995" s="36"/>
      <c r="W1995" s="36"/>
      <c r="X1995" s="38">
        <v>1.0</v>
      </c>
      <c r="Y1995" s="53" t="s">
        <v>256</v>
      </c>
      <c r="Z1995" s="38" t="s">
        <v>257</v>
      </c>
      <c r="AA1995" s="38" t="s">
        <v>86</v>
      </c>
      <c r="AB1995" s="38">
        <v>38.875</v>
      </c>
      <c r="AC1995" s="38">
        <v>100.375</v>
      </c>
      <c r="AD1995" s="38" t="s">
        <v>198</v>
      </c>
      <c r="AE1995" s="53"/>
      <c r="AF1995" s="38" t="s">
        <v>3025</v>
      </c>
      <c r="AG1995" s="66" t="s">
        <v>2928</v>
      </c>
      <c r="AH1995" s="38"/>
      <c r="AI1995" s="50">
        <v>38.875</v>
      </c>
      <c r="AJ1995" s="50">
        <v>100.375</v>
      </c>
      <c r="AK1995" s="41" t="s">
        <v>86</v>
      </c>
      <c r="AL1995" s="40" t="s">
        <v>86</v>
      </c>
      <c r="AM1995" s="49">
        <v>1554.0</v>
      </c>
      <c r="AN1995" s="51">
        <v>1554.0</v>
      </c>
      <c r="AO1995" s="42" t="s">
        <v>261</v>
      </c>
      <c r="AP1995" s="43" t="s">
        <v>261</v>
      </c>
      <c r="AQ1995" s="44" t="str">
        <f t="shared" si="217"/>
        <v>CRO</v>
      </c>
      <c r="AR1995" s="44">
        <f t="shared" si="199"/>
        <v>1554</v>
      </c>
      <c r="AS1995" s="44" t="str">
        <f t="shared" si="222"/>
        <v>B</v>
      </c>
      <c r="AT1995" s="44" t="str">
        <f t="shared" si="202"/>
        <v>BW</v>
      </c>
      <c r="AU1995" s="44" t="str">
        <f t="shared" si="203"/>
        <v>BWk</v>
      </c>
      <c r="AV1995" s="38"/>
      <c r="AW1995" s="38"/>
      <c r="AX1995" s="38"/>
      <c r="AY1995" s="38"/>
      <c r="AZ1995" s="29">
        <v>30.0</v>
      </c>
      <c r="BA1995" s="29">
        <v>1.0</v>
      </c>
      <c r="BB1995" s="29">
        <v>1.0</v>
      </c>
      <c r="BC1995" s="29"/>
      <c r="BD1995" s="29"/>
      <c r="BE1995" s="29"/>
      <c r="BF1995" s="29" t="s">
        <v>3023</v>
      </c>
      <c r="BG1995" s="29" t="s">
        <v>203</v>
      </c>
      <c r="BH1995" s="29" t="s">
        <v>88</v>
      </c>
      <c r="BI1995" s="29" t="s">
        <v>1925</v>
      </c>
      <c r="BJ1995" s="29"/>
      <c r="BK1995" s="29" t="s">
        <v>3024</v>
      </c>
      <c r="BL1995" s="29" t="s">
        <v>3024</v>
      </c>
      <c r="BM1995" s="45"/>
      <c r="BN1995" s="45"/>
      <c r="BO1995" s="46"/>
      <c r="BP1995" s="2"/>
      <c r="BQ1995" s="3"/>
    </row>
    <row r="1996" ht="15.75" customHeight="1">
      <c r="A1996" s="34">
        <v>2123.0</v>
      </c>
      <c r="B1996" s="34">
        <v>203245.0</v>
      </c>
      <c r="C1996" s="34" t="s">
        <v>832</v>
      </c>
      <c r="D1996" s="34" t="s">
        <v>3019</v>
      </c>
      <c r="E1996" s="34" t="s">
        <v>3020</v>
      </c>
      <c r="F1996" s="34">
        <v>2021.0</v>
      </c>
      <c r="G1996" s="34" t="s">
        <v>3021</v>
      </c>
      <c r="H1996" s="34" t="s">
        <v>1028</v>
      </c>
      <c r="I1996" s="34" t="s">
        <v>3022</v>
      </c>
      <c r="J1996" s="35"/>
      <c r="K1996" s="36"/>
      <c r="L1996" s="36"/>
      <c r="M1996" s="36"/>
      <c r="N1996" s="36">
        <v>-6.3</v>
      </c>
      <c r="O1996" s="36">
        <v>57.7</v>
      </c>
      <c r="P1996" s="52">
        <f t="shared" si="227"/>
        <v>-10.91854419</v>
      </c>
      <c r="Q1996" s="36"/>
      <c r="R1996" s="36" t="s">
        <v>82</v>
      </c>
      <c r="S1996" s="36">
        <v>30.0</v>
      </c>
      <c r="T1996" s="36" t="s">
        <v>167</v>
      </c>
      <c r="U1996" s="36" t="s">
        <v>2096</v>
      </c>
      <c r="V1996" s="36"/>
      <c r="W1996" s="36"/>
      <c r="X1996" s="38">
        <v>1.0</v>
      </c>
      <c r="Y1996" s="38" t="s">
        <v>2224</v>
      </c>
      <c r="Z1996" s="38" t="s">
        <v>2224</v>
      </c>
      <c r="AA1996" s="38"/>
      <c r="AB1996" s="38">
        <v>38.766667</v>
      </c>
      <c r="AC1996" s="38">
        <v>100.3</v>
      </c>
      <c r="AD1996" s="38" t="s">
        <v>198</v>
      </c>
      <c r="AE1996" s="53"/>
      <c r="AF1996" s="38" t="s">
        <v>3026</v>
      </c>
      <c r="AG1996" s="66" t="s">
        <v>2928</v>
      </c>
      <c r="AH1996" s="38"/>
      <c r="AI1996" s="50">
        <v>38.766667</v>
      </c>
      <c r="AJ1996" s="50">
        <v>100.3</v>
      </c>
      <c r="AK1996" s="41" t="s">
        <v>288</v>
      </c>
      <c r="AL1996" s="40" t="s">
        <v>288</v>
      </c>
      <c r="AM1996" s="49">
        <v>1775.0</v>
      </c>
      <c r="AN1996" s="51">
        <v>1775.0</v>
      </c>
      <c r="AO1996" s="42" t="s">
        <v>293</v>
      </c>
      <c r="AP1996" s="43" t="s">
        <v>293</v>
      </c>
      <c r="AQ1996" s="80" t="s">
        <v>288</v>
      </c>
      <c r="AR1996" s="44">
        <f t="shared" si="199"/>
        <v>1775</v>
      </c>
      <c r="AS1996" s="44" t="str">
        <f t="shared" si="222"/>
        <v>B</v>
      </c>
      <c r="AT1996" s="44" t="str">
        <f t="shared" si="202"/>
        <v>BS</v>
      </c>
      <c r="AU1996" s="44" t="str">
        <f t="shared" si="203"/>
        <v>BSk</v>
      </c>
      <c r="AV1996" s="38"/>
      <c r="AW1996" s="38"/>
      <c r="AX1996" s="38"/>
      <c r="AY1996" s="38"/>
      <c r="AZ1996" s="29">
        <v>30.0</v>
      </c>
      <c r="BA1996" s="29">
        <v>1.0</v>
      </c>
      <c r="BB1996" s="29">
        <v>1.0</v>
      </c>
      <c r="BC1996" s="29"/>
      <c r="BD1996" s="29"/>
      <c r="BE1996" s="29"/>
      <c r="BF1996" s="29" t="s">
        <v>3023</v>
      </c>
      <c r="BG1996" s="29" t="s">
        <v>203</v>
      </c>
      <c r="BH1996" s="29" t="s">
        <v>88</v>
      </c>
      <c r="BI1996" s="29" t="s">
        <v>1925</v>
      </c>
      <c r="BJ1996" s="29"/>
      <c r="BK1996" s="29" t="s">
        <v>3024</v>
      </c>
      <c r="BL1996" s="29" t="s">
        <v>3024</v>
      </c>
      <c r="BM1996" s="45"/>
      <c r="BN1996" s="45"/>
      <c r="BO1996" s="46"/>
      <c r="BP1996" s="2"/>
      <c r="BQ1996" s="3"/>
    </row>
    <row r="1997" ht="15.75" customHeight="1">
      <c r="A1997" s="34">
        <v>2124.0</v>
      </c>
      <c r="B1997" s="34">
        <v>203245.0</v>
      </c>
      <c r="C1997" s="34" t="s">
        <v>832</v>
      </c>
      <c r="D1997" s="34" t="s">
        <v>3019</v>
      </c>
      <c r="E1997" s="34" t="s">
        <v>3020</v>
      </c>
      <c r="F1997" s="34">
        <v>2021.0</v>
      </c>
      <c r="G1997" s="34" t="s">
        <v>3021</v>
      </c>
      <c r="H1997" s="34" t="s">
        <v>1028</v>
      </c>
      <c r="I1997" s="34" t="s">
        <v>3022</v>
      </c>
      <c r="J1997" s="35"/>
      <c r="K1997" s="36"/>
      <c r="L1997" s="36"/>
      <c r="M1997" s="36"/>
      <c r="N1997" s="36">
        <v>22.8</v>
      </c>
      <c r="O1997" s="36">
        <v>65.8</v>
      </c>
      <c r="P1997" s="52">
        <f t="shared" si="227"/>
        <v>34.65045593</v>
      </c>
      <c r="Q1997" s="36"/>
      <c r="R1997" s="36" t="s">
        <v>82</v>
      </c>
      <c r="S1997" s="36">
        <v>30.0</v>
      </c>
      <c r="T1997" s="36" t="s">
        <v>167</v>
      </c>
      <c r="U1997" s="36" t="s">
        <v>2096</v>
      </c>
      <c r="V1997" s="36"/>
      <c r="W1997" s="36"/>
      <c r="X1997" s="38">
        <v>1.0</v>
      </c>
      <c r="Y1997" s="38" t="s">
        <v>3027</v>
      </c>
      <c r="Z1997" s="38" t="s">
        <v>3027</v>
      </c>
      <c r="AA1997" s="38" t="s">
        <v>86</v>
      </c>
      <c r="AB1997" s="38">
        <v>38.916667</v>
      </c>
      <c r="AC1997" s="38">
        <v>100.291667</v>
      </c>
      <c r="AD1997" s="38" t="s">
        <v>198</v>
      </c>
      <c r="AE1997" s="38">
        <v>1562.0</v>
      </c>
      <c r="AF1997" s="38" t="s">
        <v>2089</v>
      </c>
      <c r="AG1997" s="38"/>
      <c r="AH1997" s="38"/>
      <c r="AI1997" s="50">
        <v>38.916667</v>
      </c>
      <c r="AJ1997" s="50">
        <v>100.291667</v>
      </c>
      <c r="AK1997" s="41" t="s">
        <v>288</v>
      </c>
      <c r="AL1997" s="40" t="s">
        <v>288</v>
      </c>
      <c r="AM1997" s="49">
        <v>1570.0</v>
      </c>
      <c r="AN1997" s="51">
        <v>1570.0</v>
      </c>
      <c r="AO1997" s="42" t="s">
        <v>261</v>
      </c>
      <c r="AP1997" s="43" t="s">
        <v>261</v>
      </c>
      <c r="AQ1997" s="44" t="str">
        <f>AA1997</f>
        <v>CRO</v>
      </c>
      <c r="AR1997" s="44">
        <f t="shared" si="199"/>
        <v>1570</v>
      </c>
      <c r="AS1997" s="44" t="str">
        <f t="shared" si="222"/>
        <v>B</v>
      </c>
      <c r="AT1997" s="44" t="str">
        <f t="shared" si="202"/>
        <v>BW</v>
      </c>
      <c r="AU1997" s="44" t="str">
        <f t="shared" si="203"/>
        <v>BWk</v>
      </c>
      <c r="AV1997" s="38"/>
      <c r="AW1997" s="38"/>
      <c r="AX1997" s="38"/>
      <c r="AY1997" s="38"/>
      <c r="AZ1997" s="29">
        <v>30.0</v>
      </c>
      <c r="BA1997" s="29">
        <v>1.0</v>
      </c>
      <c r="BB1997" s="29">
        <v>1.0</v>
      </c>
      <c r="BC1997" s="29"/>
      <c r="BD1997" s="29"/>
      <c r="BE1997" s="29"/>
      <c r="BF1997" s="29" t="s">
        <v>3023</v>
      </c>
      <c r="BG1997" s="29" t="s">
        <v>203</v>
      </c>
      <c r="BH1997" s="29" t="s">
        <v>88</v>
      </c>
      <c r="BI1997" s="29" t="s">
        <v>1925</v>
      </c>
      <c r="BJ1997" s="29"/>
      <c r="BK1997" s="29" t="s">
        <v>3024</v>
      </c>
      <c r="BL1997" s="29" t="s">
        <v>3024</v>
      </c>
      <c r="BM1997" s="45"/>
      <c r="BN1997" s="45"/>
      <c r="BO1997" s="46"/>
      <c r="BP1997" s="2"/>
      <c r="BQ1997" s="3"/>
    </row>
    <row r="1998" ht="15.75" customHeight="1">
      <c r="A1998" s="34">
        <v>2125.0</v>
      </c>
      <c r="B1998" s="34">
        <v>203245.0</v>
      </c>
      <c r="C1998" s="34" t="s">
        <v>832</v>
      </c>
      <c r="D1998" s="34" t="s">
        <v>3019</v>
      </c>
      <c r="E1998" s="34" t="s">
        <v>3020</v>
      </c>
      <c r="F1998" s="34">
        <v>2021.0</v>
      </c>
      <c r="G1998" s="34" t="s">
        <v>3021</v>
      </c>
      <c r="H1998" s="34" t="s">
        <v>1028</v>
      </c>
      <c r="I1998" s="34" t="s">
        <v>3022</v>
      </c>
      <c r="J1998" s="35"/>
      <c r="K1998" s="36"/>
      <c r="L1998" s="36"/>
      <c r="M1998" s="36"/>
      <c r="N1998" s="36">
        <v>41.7</v>
      </c>
      <c r="O1998" s="36">
        <v>49.1</v>
      </c>
      <c r="P1998" s="52">
        <f t="shared" si="227"/>
        <v>84.9287169</v>
      </c>
      <c r="Q1998" s="36"/>
      <c r="R1998" s="36" t="s">
        <v>82</v>
      </c>
      <c r="S1998" s="36">
        <v>30.0</v>
      </c>
      <c r="T1998" s="36" t="s">
        <v>167</v>
      </c>
      <c r="U1998" s="36" t="s">
        <v>2096</v>
      </c>
      <c r="V1998" s="36"/>
      <c r="W1998" s="36"/>
      <c r="X1998" s="38">
        <v>1.0</v>
      </c>
      <c r="Y1998" s="38" t="s">
        <v>2227</v>
      </c>
      <c r="Z1998" s="38" t="s">
        <v>2227</v>
      </c>
      <c r="AA1998" s="38"/>
      <c r="AB1998" s="38">
        <v>38.791667</v>
      </c>
      <c r="AC1998" s="38">
        <v>100.483333</v>
      </c>
      <c r="AD1998" s="38" t="s">
        <v>198</v>
      </c>
      <c r="AE1998" s="38">
        <v>1594.0</v>
      </c>
      <c r="AF1998" s="38" t="s">
        <v>666</v>
      </c>
      <c r="AG1998" s="38"/>
      <c r="AH1998" s="38"/>
      <c r="AI1998" s="50">
        <v>38.791667</v>
      </c>
      <c r="AJ1998" s="50">
        <v>100.483333</v>
      </c>
      <c r="AK1998" s="41" t="s">
        <v>288</v>
      </c>
      <c r="AL1998" s="40" t="s">
        <v>288</v>
      </c>
      <c r="AM1998" s="49">
        <v>1548.0</v>
      </c>
      <c r="AN1998" s="51">
        <v>1548.0</v>
      </c>
      <c r="AO1998" s="42" t="s">
        <v>261</v>
      </c>
      <c r="AP1998" s="43" t="s">
        <v>293</v>
      </c>
      <c r="AQ1998" s="80" t="s">
        <v>288</v>
      </c>
      <c r="AR1998" s="44">
        <f t="shared" si="199"/>
        <v>1548</v>
      </c>
      <c r="AS1998" s="44" t="str">
        <f t="shared" si="222"/>
        <v>B</v>
      </c>
      <c r="AT1998" s="44" t="str">
        <f t="shared" si="202"/>
        <v>BS</v>
      </c>
      <c r="AU1998" s="44" t="str">
        <f t="shared" si="203"/>
        <v>BSk</v>
      </c>
      <c r="AV1998" s="38"/>
      <c r="AW1998" s="38"/>
      <c r="AX1998" s="38"/>
      <c r="AY1998" s="38"/>
      <c r="AZ1998" s="29">
        <v>30.0</v>
      </c>
      <c r="BA1998" s="29">
        <v>1.0</v>
      </c>
      <c r="BB1998" s="29">
        <v>1.0</v>
      </c>
      <c r="BC1998" s="29"/>
      <c r="BD1998" s="29"/>
      <c r="BE1998" s="29"/>
      <c r="BF1998" s="29" t="s">
        <v>3023</v>
      </c>
      <c r="BG1998" s="29" t="s">
        <v>203</v>
      </c>
      <c r="BH1998" s="29" t="s">
        <v>88</v>
      </c>
      <c r="BI1998" s="29" t="s">
        <v>1925</v>
      </c>
      <c r="BJ1998" s="29"/>
      <c r="BK1998" s="29" t="s">
        <v>3024</v>
      </c>
      <c r="BL1998" s="29" t="s">
        <v>3024</v>
      </c>
      <c r="BM1998" s="45"/>
      <c r="BN1998" s="45"/>
      <c r="BO1998" s="46"/>
      <c r="BP1998" s="2"/>
      <c r="BQ1998" s="3"/>
    </row>
    <row r="1999" ht="15.75" customHeight="1">
      <c r="A1999" s="34">
        <v>2126.0</v>
      </c>
      <c r="B1999" s="34">
        <v>203245.0</v>
      </c>
      <c r="C1999" s="34" t="s">
        <v>832</v>
      </c>
      <c r="D1999" s="34" t="s">
        <v>3019</v>
      </c>
      <c r="E1999" s="34" t="s">
        <v>3020</v>
      </c>
      <c r="F1999" s="34">
        <v>2021.0</v>
      </c>
      <c r="G1999" s="34" t="s">
        <v>3021</v>
      </c>
      <c r="H1999" s="34" t="s">
        <v>1028</v>
      </c>
      <c r="I1999" s="34" t="s">
        <v>3022</v>
      </c>
      <c r="J1999" s="35"/>
      <c r="K1999" s="36"/>
      <c r="L1999" s="36"/>
      <c r="M1999" s="36"/>
      <c r="N1999" s="36">
        <v>14.0</v>
      </c>
      <c r="O1999" s="36">
        <v>150.6</v>
      </c>
      <c r="P1999" s="52">
        <f t="shared" si="227"/>
        <v>9.296148738</v>
      </c>
      <c r="Q1999" s="36"/>
      <c r="R1999" s="36" t="s">
        <v>82</v>
      </c>
      <c r="S1999" s="36">
        <v>30.0</v>
      </c>
      <c r="T1999" s="36" t="s">
        <v>167</v>
      </c>
      <c r="U1999" s="36" t="s">
        <v>2096</v>
      </c>
      <c r="V1999" s="36"/>
      <c r="W1999" s="36"/>
      <c r="X1999" s="38">
        <v>5.0</v>
      </c>
      <c r="Y1999" s="38" t="s">
        <v>2276</v>
      </c>
      <c r="Z1999" s="38"/>
      <c r="AA1999" s="38"/>
      <c r="AB1999" s="38"/>
      <c r="AC1999" s="38"/>
      <c r="AD1999" s="38" t="s">
        <v>198</v>
      </c>
      <c r="AE1999" s="38"/>
      <c r="AF1999" s="38"/>
      <c r="AG1999" s="38"/>
      <c r="AH1999" s="38"/>
      <c r="AI1999" s="50"/>
      <c r="AJ1999" s="50"/>
      <c r="AK1999" s="41"/>
      <c r="AL1999" s="40"/>
      <c r="AM1999" s="49"/>
      <c r="AN1999" s="43"/>
      <c r="AO1999" s="42"/>
      <c r="AP1999" s="43"/>
      <c r="AQ1999" s="44" t="str">
        <f t="shared" ref="AQ1999:AQ2000" si="228">AA1999</f>
        <v/>
      </c>
      <c r="AR1999" s="44" t="str">
        <f t="shared" si="199"/>
        <v/>
      </c>
      <c r="AS1999" s="44"/>
      <c r="AT1999" s="44" t="str">
        <f t="shared" si="202"/>
        <v/>
      </c>
      <c r="AU1999" s="44" t="str">
        <f t="shared" si="203"/>
        <v/>
      </c>
      <c r="AV1999" s="38"/>
      <c r="AW1999" s="38"/>
      <c r="AX1999" s="38"/>
      <c r="AY1999" s="38"/>
      <c r="AZ1999" s="29">
        <v>30.0</v>
      </c>
      <c r="BA1999" s="29">
        <v>1.0</v>
      </c>
      <c r="BB1999" s="29">
        <v>1.0</v>
      </c>
      <c r="BC1999" s="29"/>
      <c r="BD1999" s="29"/>
      <c r="BE1999" s="29"/>
      <c r="BF1999" s="29" t="s">
        <v>3023</v>
      </c>
      <c r="BG1999" s="29" t="s">
        <v>203</v>
      </c>
      <c r="BH1999" s="29" t="s">
        <v>88</v>
      </c>
      <c r="BI1999" s="29" t="s">
        <v>1925</v>
      </c>
      <c r="BJ1999" s="29"/>
      <c r="BK1999" s="29" t="s">
        <v>3024</v>
      </c>
      <c r="BL1999" s="29" t="s">
        <v>3024</v>
      </c>
      <c r="BM1999" s="45"/>
      <c r="BN1999" s="45"/>
      <c r="BO1999" s="46"/>
      <c r="BP1999" s="2"/>
      <c r="BQ1999" s="3"/>
    </row>
    <row r="2000" ht="15.75" customHeight="1">
      <c r="A2000" s="34">
        <v>2127.0</v>
      </c>
      <c r="B2000" s="34">
        <v>203245.0</v>
      </c>
      <c r="C2000" s="34" t="s">
        <v>832</v>
      </c>
      <c r="D2000" s="34" t="s">
        <v>3019</v>
      </c>
      <c r="E2000" s="34" t="s">
        <v>3020</v>
      </c>
      <c r="F2000" s="34">
        <v>2021.0</v>
      </c>
      <c r="G2000" s="34" t="s">
        <v>3021</v>
      </c>
      <c r="H2000" s="34" t="s">
        <v>1028</v>
      </c>
      <c r="I2000" s="34" t="s">
        <v>3022</v>
      </c>
      <c r="J2000" s="35"/>
      <c r="K2000" s="36"/>
      <c r="L2000" s="36"/>
      <c r="M2000" s="36"/>
      <c r="N2000" s="36">
        <v>17.0</v>
      </c>
      <c r="O2000" s="36">
        <v>233.8</v>
      </c>
      <c r="P2000" s="52">
        <f t="shared" si="227"/>
        <v>7.271171942</v>
      </c>
      <c r="Q2000" s="36"/>
      <c r="R2000" s="36" t="s">
        <v>82</v>
      </c>
      <c r="S2000" s="36">
        <v>30.0</v>
      </c>
      <c r="T2000" s="36" t="s">
        <v>1156</v>
      </c>
      <c r="U2000" s="36" t="s">
        <v>993</v>
      </c>
      <c r="V2000" s="36"/>
      <c r="W2000" s="36"/>
      <c r="X2000" s="38">
        <v>1.0</v>
      </c>
      <c r="Y2000" s="38" t="s">
        <v>3028</v>
      </c>
      <c r="Z2000" s="38" t="s">
        <v>3029</v>
      </c>
      <c r="AA2000" s="38" t="s">
        <v>505</v>
      </c>
      <c r="AB2000" s="38">
        <v>38.883333</v>
      </c>
      <c r="AC2000" s="38">
        <v>100.35</v>
      </c>
      <c r="AD2000" s="38" t="s">
        <v>198</v>
      </c>
      <c r="AE2000" s="38">
        <v>1561.9</v>
      </c>
      <c r="AF2000" s="38" t="s">
        <v>3030</v>
      </c>
      <c r="AG2000" s="38"/>
      <c r="AH2000" s="38"/>
      <c r="AI2000" s="50">
        <v>38.883333</v>
      </c>
      <c r="AJ2000" s="50">
        <v>100.35</v>
      </c>
      <c r="AK2000" s="41" t="s">
        <v>86</v>
      </c>
      <c r="AL2000" s="40" t="s">
        <v>86</v>
      </c>
      <c r="AM2000" s="49">
        <v>1566.0</v>
      </c>
      <c r="AN2000" s="51">
        <v>1566.0</v>
      </c>
      <c r="AO2000" s="42" t="s">
        <v>261</v>
      </c>
      <c r="AP2000" s="43" t="s">
        <v>261</v>
      </c>
      <c r="AQ2000" s="44" t="str">
        <f t="shared" si="228"/>
        <v>URB</v>
      </c>
      <c r="AR2000" s="44">
        <f t="shared" si="199"/>
        <v>1566</v>
      </c>
      <c r="AS2000" s="44" t="str">
        <f t="shared" ref="AS2000:AS2006" si="229">LEFT(AO2000,1)</f>
        <v>B</v>
      </c>
      <c r="AT2000" s="44" t="str">
        <f t="shared" si="202"/>
        <v>BW</v>
      </c>
      <c r="AU2000" s="44" t="str">
        <f t="shared" si="203"/>
        <v>BWk</v>
      </c>
      <c r="AV2000" s="38"/>
      <c r="AW2000" s="38"/>
      <c r="AX2000" s="38"/>
      <c r="AY2000" s="38"/>
      <c r="AZ2000" s="29">
        <v>30.0</v>
      </c>
      <c r="BA2000" s="29">
        <v>1.0</v>
      </c>
      <c r="BB2000" s="29">
        <v>1.0</v>
      </c>
      <c r="BC2000" s="29"/>
      <c r="BD2000" s="29"/>
      <c r="BE2000" s="29"/>
      <c r="BF2000" s="29" t="s">
        <v>3023</v>
      </c>
      <c r="BG2000" s="29" t="s">
        <v>203</v>
      </c>
      <c r="BH2000" s="29" t="s">
        <v>88</v>
      </c>
      <c r="BI2000" s="29" t="s">
        <v>1925</v>
      </c>
      <c r="BJ2000" s="29"/>
      <c r="BK2000" s="29" t="s">
        <v>3024</v>
      </c>
      <c r="BL2000" s="29" t="s">
        <v>3024</v>
      </c>
      <c r="BM2000" s="45"/>
      <c r="BN2000" s="45"/>
      <c r="BO2000" s="46"/>
      <c r="BP2000" s="2"/>
      <c r="BQ2000" s="3"/>
    </row>
    <row r="2001" ht="15.75" customHeight="1">
      <c r="A2001" s="34">
        <v>2128.0</v>
      </c>
      <c r="B2001" s="34">
        <v>203245.0</v>
      </c>
      <c r="C2001" s="34" t="s">
        <v>832</v>
      </c>
      <c r="D2001" s="34" t="s">
        <v>3019</v>
      </c>
      <c r="E2001" s="34" t="s">
        <v>3020</v>
      </c>
      <c r="F2001" s="34">
        <v>2021.0</v>
      </c>
      <c r="G2001" s="34" t="s">
        <v>3021</v>
      </c>
      <c r="H2001" s="34" t="s">
        <v>1028</v>
      </c>
      <c r="I2001" s="34" t="s">
        <v>3031</v>
      </c>
      <c r="J2001" s="35"/>
      <c r="K2001" s="36"/>
      <c r="L2001" s="36"/>
      <c r="M2001" s="36"/>
      <c r="N2001" s="36">
        <v>-6.9</v>
      </c>
      <c r="O2001" s="36">
        <v>106.1</v>
      </c>
      <c r="P2001" s="52">
        <f t="shared" si="227"/>
        <v>-6.503298775</v>
      </c>
      <c r="Q2001" s="36"/>
      <c r="R2001" s="36" t="s">
        <v>82</v>
      </c>
      <c r="S2001" s="36">
        <v>30.0</v>
      </c>
      <c r="T2001" s="36" t="s">
        <v>1156</v>
      </c>
      <c r="U2001" s="36" t="s">
        <v>993</v>
      </c>
      <c r="V2001" s="36"/>
      <c r="W2001" s="36"/>
      <c r="X2001" s="38">
        <v>1.0</v>
      </c>
      <c r="Y2001" s="38" t="s">
        <v>2227</v>
      </c>
      <c r="Z2001" s="38" t="s">
        <v>2227</v>
      </c>
      <c r="AA2001" s="38"/>
      <c r="AB2001" s="38">
        <v>38.766667</v>
      </c>
      <c r="AC2001" s="38">
        <v>100.3</v>
      </c>
      <c r="AD2001" s="38" t="s">
        <v>198</v>
      </c>
      <c r="AE2001" s="38">
        <v>1594.0</v>
      </c>
      <c r="AF2001" s="38" t="s">
        <v>666</v>
      </c>
      <c r="AG2001" s="38"/>
      <c r="AH2001" s="38"/>
      <c r="AI2001" s="50">
        <v>38.766667</v>
      </c>
      <c r="AJ2001" s="50">
        <v>100.3</v>
      </c>
      <c r="AK2001" s="41" t="s">
        <v>288</v>
      </c>
      <c r="AL2001" s="40" t="s">
        <v>288</v>
      </c>
      <c r="AM2001" s="49">
        <v>1775.0</v>
      </c>
      <c r="AN2001" s="51">
        <v>1775.0</v>
      </c>
      <c r="AO2001" s="42" t="s">
        <v>293</v>
      </c>
      <c r="AP2001" s="43" t="s">
        <v>293</v>
      </c>
      <c r="AQ2001" s="80" t="s">
        <v>288</v>
      </c>
      <c r="AR2001" s="44">
        <f t="shared" si="199"/>
        <v>1775</v>
      </c>
      <c r="AS2001" s="44" t="str">
        <f t="shared" si="229"/>
        <v>B</v>
      </c>
      <c r="AT2001" s="44" t="str">
        <f t="shared" si="202"/>
        <v>BS</v>
      </c>
      <c r="AU2001" s="44" t="str">
        <f t="shared" si="203"/>
        <v>BSk</v>
      </c>
      <c r="AV2001" s="38"/>
      <c r="AW2001" s="38"/>
      <c r="AX2001" s="38"/>
      <c r="AY2001" s="38"/>
      <c r="AZ2001" s="29">
        <v>30.0</v>
      </c>
      <c r="BA2001" s="29">
        <v>1.0</v>
      </c>
      <c r="BB2001" s="29">
        <v>1.0</v>
      </c>
      <c r="BC2001" s="29"/>
      <c r="BD2001" s="29"/>
      <c r="BE2001" s="29"/>
      <c r="BF2001" s="29" t="s">
        <v>3023</v>
      </c>
      <c r="BG2001" s="29" t="s">
        <v>203</v>
      </c>
      <c r="BH2001" s="29" t="s">
        <v>88</v>
      </c>
      <c r="BI2001" s="29" t="s">
        <v>1925</v>
      </c>
      <c r="BJ2001" s="29"/>
      <c r="BK2001" s="29" t="s">
        <v>3024</v>
      </c>
      <c r="BL2001" s="29" t="s">
        <v>3024</v>
      </c>
      <c r="BM2001" s="45"/>
      <c r="BN2001" s="45"/>
      <c r="BO2001" s="46"/>
      <c r="BP2001" s="2"/>
      <c r="BQ2001" s="3"/>
    </row>
    <row r="2002" ht="15.75" customHeight="1">
      <c r="A2002" s="34">
        <v>2129.0</v>
      </c>
      <c r="B2002" s="34">
        <v>203245.0</v>
      </c>
      <c r="C2002" s="34" t="s">
        <v>832</v>
      </c>
      <c r="D2002" s="34" t="s">
        <v>3019</v>
      </c>
      <c r="E2002" s="34" t="s">
        <v>3020</v>
      </c>
      <c r="F2002" s="34">
        <v>2021.0</v>
      </c>
      <c r="G2002" s="34" t="s">
        <v>3021</v>
      </c>
      <c r="H2002" s="34" t="s">
        <v>1028</v>
      </c>
      <c r="I2002" s="34" t="s">
        <v>3032</v>
      </c>
      <c r="J2002" s="35"/>
      <c r="K2002" s="36"/>
      <c r="L2002" s="36"/>
      <c r="M2002" s="36"/>
      <c r="N2002" s="36">
        <v>-2.8</v>
      </c>
      <c r="O2002" s="36">
        <v>131.8</v>
      </c>
      <c r="P2002" s="52">
        <f t="shared" si="227"/>
        <v>-2.124430956</v>
      </c>
      <c r="Q2002" s="36"/>
      <c r="R2002" s="36" t="s">
        <v>82</v>
      </c>
      <c r="S2002" s="36">
        <v>30.0</v>
      </c>
      <c r="T2002" s="36" t="s">
        <v>1156</v>
      </c>
      <c r="U2002" s="36" t="s">
        <v>993</v>
      </c>
      <c r="V2002" s="36"/>
      <c r="W2002" s="36"/>
      <c r="X2002" s="38">
        <v>1.0</v>
      </c>
      <c r="Y2002" s="38" t="s">
        <v>2224</v>
      </c>
      <c r="Z2002" s="38" t="s">
        <v>2224</v>
      </c>
      <c r="AA2002" s="38"/>
      <c r="AB2002" s="38">
        <v>38.766667</v>
      </c>
      <c r="AC2002" s="38">
        <v>100.3</v>
      </c>
      <c r="AD2002" s="38" t="s">
        <v>198</v>
      </c>
      <c r="AE2002" s="53"/>
      <c r="AF2002" s="38" t="s">
        <v>3026</v>
      </c>
      <c r="AG2002" s="66" t="s">
        <v>2928</v>
      </c>
      <c r="AH2002" s="38"/>
      <c r="AI2002" s="50">
        <v>38.766667</v>
      </c>
      <c r="AJ2002" s="50">
        <v>100.3</v>
      </c>
      <c r="AK2002" s="41" t="s">
        <v>288</v>
      </c>
      <c r="AL2002" s="40" t="s">
        <v>288</v>
      </c>
      <c r="AM2002" s="49">
        <v>1775.0</v>
      </c>
      <c r="AN2002" s="51">
        <v>1775.0</v>
      </c>
      <c r="AO2002" s="42" t="s">
        <v>293</v>
      </c>
      <c r="AP2002" s="43" t="s">
        <v>293</v>
      </c>
      <c r="AQ2002" s="80" t="s">
        <v>288</v>
      </c>
      <c r="AR2002" s="44">
        <f t="shared" si="199"/>
        <v>1775</v>
      </c>
      <c r="AS2002" s="44" t="str">
        <f t="shared" si="229"/>
        <v>B</v>
      </c>
      <c r="AT2002" s="44" t="str">
        <f t="shared" si="202"/>
        <v>BS</v>
      </c>
      <c r="AU2002" s="44" t="str">
        <f t="shared" si="203"/>
        <v>BSk</v>
      </c>
      <c r="AV2002" s="38"/>
      <c r="AW2002" s="38"/>
      <c r="AX2002" s="38"/>
      <c r="AY2002" s="38"/>
      <c r="AZ2002" s="29">
        <v>30.0</v>
      </c>
      <c r="BA2002" s="29">
        <v>1.0</v>
      </c>
      <c r="BB2002" s="29">
        <v>1.0</v>
      </c>
      <c r="BC2002" s="29"/>
      <c r="BD2002" s="29"/>
      <c r="BE2002" s="29"/>
      <c r="BF2002" s="29" t="s">
        <v>3023</v>
      </c>
      <c r="BG2002" s="29" t="s">
        <v>203</v>
      </c>
      <c r="BH2002" s="29" t="s">
        <v>88</v>
      </c>
      <c r="BI2002" s="29" t="s">
        <v>1925</v>
      </c>
      <c r="BJ2002" s="29"/>
      <c r="BK2002" s="29" t="s">
        <v>3024</v>
      </c>
      <c r="BL2002" s="29" t="s">
        <v>3024</v>
      </c>
      <c r="BM2002" s="45"/>
      <c r="BN2002" s="45"/>
      <c r="BO2002" s="46"/>
      <c r="BP2002" s="2"/>
      <c r="BQ2002" s="3"/>
    </row>
    <row r="2003" ht="15.75" customHeight="1">
      <c r="A2003" s="34">
        <v>2130.0</v>
      </c>
      <c r="B2003" s="34">
        <v>203245.0</v>
      </c>
      <c r="C2003" s="34" t="s">
        <v>832</v>
      </c>
      <c r="D2003" s="34" t="s">
        <v>3019</v>
      </c>
      <c r="E2003" s="34" t="s">
        <v>3020</v>
      </c>
      <c r="F2003" s="34">
        <v>2021.0</v>
      </c>
      <c r="G2003" s="34" t="s">
        <v>3021</v>
      </c>
      <c r="H2003" s="34" t="s">
        <v>1028</v>
      </c>
      <c r="I2003" s="34" t="s">
        <v>3033</v>
      </c>
      <c r="J2003" s="35"/>
      <c r="K2003" s="36"/>
      <c r="L2003" s="36"/>
      <c r="M2003" s="36"/>
      <c r="N2003" s="36">
        <v>33.1</v>
      </c>
      <c r="O2003" s="36">
        <v>87.3</v>
      </c>
      <c r="P2003" s="52">
        <f t="shared" si="227"/>
        <v>37.91523482</v>
      </c>
      <c r="Q2003" s="36"/>
      <c r="R2003" s="36" t="s">
        <v>82</v>
      </c>
      <c r="S2003" s="36">
        <v>30.0</v>
      </c>
      <c r="T2003" s="36" t="s">
        <v>1156</v>
      </c>
      <c r="U2003" s="36" t="s">
        <v>993</v>
      </c>
      <c r="V2003" s="36"/>
      <c r="W2003" s="36"/>
      <c r="X2003" s="38">
        <v>1.0</v>
      </c>
      <c r="Y2003" s="38" t="s">
        <v>3027</v>
      </c>
      <c r="Z2003" s="38" t="s">
        <v>3027</v>
      </c>
      <c r="AA2003" s="38" t="s">
        <v>86</v>
      </c>
      <c r="AB2003" s="38">
        <v>38.916667</v>
      </c>
      <c r="AC2003" s="38">
        <v>100.291667</v>
      </c>
      <c r="AD2003" s="38" t="s">
        <v>198</v>
      </c>
      <c r="AE2003" s="38">
        <v>1562.0</v>
      </c>
      <c r="AF2003" s="38" t="s">
        <v>2089</v>
      </c>
      <c r="AG2003" s="38"/>
      <c r="AH2003" s="38"/>
      <c r="AI2003" s="50">
        <v>38.916667</v>
      </c>
      <c r="AJ2003" s="50">
        <v>100.291667</v>
      </c>
      <c r="AK2003" s="41" t="s">
        <v>288</v>
      </c>
      <c r="AL2003" s="40" t="s">
        <v>288</v>
      </c>
      <c r="AM2003" s="49">
        <v>1570.0</v>
      </c>
      <c r="AN2003" s="51">
        <v>1570.0</v>
      </c>
      <c r="AO2003" s="42" t="s">
        <v>261</v>
      </c>
      <c r="AP2003" s="43" t="s">
        <v>261</v>
      </c>
      <c r="AQ2003" s="44" t="str">
        <f t="shared" ref="AQ2003:AQ2073" si="230">AA2003</f>
        <v>CRO</v>
      </c>
      <c r="AR2003" s="44">
        <f t="shared" si="199"/>
        <v>1570</v>
      </c>
      <c r="AS2003" s="44" t="str">
        <f t="shared" si="229"/>
        <v>B</v>
      </c>
      <c r="AT2003" s="44" t="str">
        <f t="shared" si="202"/>
        <v>BW</v>
      </c>
      <c r="AU2003" s="44" t="str">
        <f t="shared" si="203"/>
        <v>BWk</v>
      </c>
      <c r="AV2003" s="38"/>
      <c r="AW2003" s="38"/>
      <c r="AX2003" s="38"/>
      <c r="AY2003" s="38"/>
      <c r="AZ2003" s="29">
        <v>30.0</v>
      </c>
      <c r="BA2003" s="29">
        <v>1.0</v>
      </c>
      <c r="BB2003" s="29">
        <v>1.0</v>
      </c>
      <c r="BC2003" s="29"/>
      <c r="BD2003" s="29"/>
      <c r="BE2003" s="29"/>
      <c r="BF2003" s="29" t="s">
        <v>3023</v>
      </c>
      <c r="BG2003" s="29" t="s">
        <v>203</v>
      </c>
      <c r="BH2003" s="29" t="s">
        <v>88</v>
      </c>
      <c r="BI2003" s="29" t="s">
        <v>1925</v>
      </c>
      <c r="BJ2003" s="29"/>
      <c r="BK2003" s="29" t="s">
        <v>3024</v>
      </c>
      <c r="BL2003" s="29" t="s">
        <v>3024</v>
      </c>
      <c r="BM2003" s="45"/>
      <c r="BN2003" s="45"/>
      <c r="BO2003" s="46"/>
      <c r="BP2003" s="2"/>
      <c r="BQ2003" s="3"/>
    </row>
    <row r="2004" ht="15.75" customHeight="1">
      <c r="A2004" s="34">
        <v>2131.0</v>
      </c>
      <c r="B2004" s="34">
        <v>203245.0</v>
      </c>
      <c r="C2004" s="34" t="s">
        <v>832</v>
      </c>
      <c r="D2004" s="34" t="s">
        <v>3019</v>
      </c>
      <c r="E2004" s="34" t="s">
        <v>3020</v>
      </c>
      <c r="F2004" s="34">
        <v>2021.0</v>
      </c>
      <c r="G2004" s="34" t="s">
        <v>3021</v>
      </c>
      <c r="H2004" s="34" t="s">
        <v>1028</v>
      </c>
      <c r="I2004" s="34" t="s">
        <v>3034</v>
      </c>
      <c r="J2004" s="35"/>
      <c r="K2004" s="36"/>
      <c r="L2004" s="36"/>
      <c r="M2004" s="36"/>
      <c r="N2004" s="36">
        <v>-43.9</v>
      </c>
      <c r="O2004" s="36">
        <v>443.8</v>
      </c>
      <c r="P2004" s="52">
        <f t="shared" si="227"/>
        <v>-9.891843173</v>
      </c>
      <c r="Q2004" s="36"/>
      <c r="R2004" s="36" t="s">
        <v>82</v>
      </c>
      <c r="S2004" s="36">
        <v>30.0</v>
      </c>
      <c r="T2004" s="36" t="s">
        <v>1156</v>
      </c>
      <c r="U2004" s="36" t="s">
        <v>993</v>
      </c>
      <c r="V2004" s="36"/>
      <c r="W2004" s="36"/>
      <c r="X2004" s="38">
        <v>1.0</v>
      </c>
      <c r="Y2004" s="38" t="s">
        <v>3035</v>
      </c>
      <c r="Z2004" s="38" t="s">
        <v>3036</v>
      </c>
      <c r="AA2004" s="38" t="s">
        <v>86</v>
      </c>
      <c r="AB2004" s="38">
        <v>38.9</v>
      </c>
      <c r="AC2004" s="38">
        <v>100.35</v>
      </c>
      <c r="AD2004" s="38" t="s">
        <v>198</v>
      </c>
      <c r="AE2004" s="38">
        <v>1552.8</v>
      </c>
      <c r="AF2004" s="38" t="s">
        <v>2082</v>
      </c>
      <c r="AG2004" s="38"/>
      <c r="AH2004" s="38"/>
      <c r="AI2004" s="50">
        <v>38.9</v>
      </c>
      <c r="AJ2004" s="50">
        <v>100.35</v>
      </c>
      <c r="AK2004" s="41" t="s">
        <v>86</v>
      </c>
      <c r="AL2004" s="40" t="s">
        <v>86</v>
      </c>
      <c r="AM2004" s="49">
        <v>1553.0</v>
      </c>
      <c r="AN2004" s="51">
        <v>1553.0</v>
      </c>
      <c r="AO2004" s="42" t="s">
        <v>261</v>
      </c>
      <c r="AP2004" s="43" t="s">
        <v>261</v>
      </c>
      <c r="AQ2004" s="44" t="str">
        <f t="shared" si="230"/>
        <v>CRO</v>
      </c>
      <c r="AR2004" s="44">
        <f t="shared" si="199"/>
        <v>1553</v>
      </c>
      <c r="AS2004" s="44" t="str">
        <f t="shared" si="229"/>
        <v>B</v>
      </c>
      <c r="AT2004" s="44" t="str">
        <f t="shared" si="202"/>
        <v>BW</v>
      </c>
      <c r="AU2004" s="44" t="str">
        <f t="shared" si="203"/>
        <v>BWk</v>
      </c>
      <c r="AV2004" s="38"/>
      <c r="AW2004" s="38"/>
      <c r="AX2004" s="38"/>
      <c r="AY2004" s="38"/>
      <c r="AZ2004" s="29">
        <v>30.0</v>
      </c>
      <c r="BA2004" s="29">
        <v>1.0</v>
      </c>
      <c r="BB2004" s="29">
        <v>1.0</v>
      </c>
      <c r="BC2004" s="29"/>
      <c r="BD2004" s="29"/>
      <c r="BE2004" s="29"/>
      <c r="BF2004" s="29" t="s">
        <v>3023</v>
      </c>
      <c r="BG2004" s="29" t="s">
        <v>203</v>
      </c>
      <c r="BH2004" s="29" t="s">
        <v>88</v>
      </c>
      <c r="BI2004" s="29" t="s">
        <v>1925</v>
      </c>
      <c r="BJ2004" s="29"/>
      <c r="BK2004" s="29" t="s">
        <v>3024</v>
      </c>
      <c r="BL2004" s="29" t="s">
        <v>3024</v>
      </c>
      <c r="BM2004" s="45"/>
      <c r="BN2004" s="45"/>
      <c r="BO2004" s="46"/>
      <c r="BP2004" s="2"/>
      <c r="BQ2004" s="3"/>
    </row>
    <row r="2005" ht="15.75" customHeight="1">
      <c r="A2005" s="34">
        <v>2132.0</v>
      </c>
      <c r="B2005" s="34">
        <v>203245.0</v>
      </c>
      <c r="C2005" s="34" t="s">
        <v>832</v>
      </c>
      <c r="D2005" s="34" t="s">
        <v>3019</v>
      </c>
      <c r="E2005" s="34" t="s">
        <v>3020</v>
      </c>
      <c r="F2005" s="34">
        <v>2021.0</v>
      </c>
      <c r="G2005" s="34" t="s">
        <v>3021</v>
      </c>
      <c r="H2005" s="34" t="s">
        <v>1028</v>
      </c>
      <c r="I2005" s="34" t="s">
        <v>3037</v>
      </c>
      <c r="J2005" s="35"/>
      <c r="K2005" s="36"/>
      <c r="L2005" s="36"/>
      <c r="M2005" s="36"/>
      <c r="N2005" s="36">
        <v>8.7</v>
      </c>
      <c r="O2005" s="36">
        <v>511.3</v>
      </c>
      <c r="P2005" s="52">
        <f t="shared" si="227"/>
        <v>1.701545081</v>
      </c>
      <c r="Q2005" s="36"/>
      <c r="R2005" s="36" t="s">
        <v>82</v>
      </c>
      <c r="S2005" s="36">
        <v>30.0</v>
      </c>
      <c r="T2005" s="36" t="s">
        <v>1156</v>
      </c>
      <c r="U2005" s="36" t="s">
        <v>993</v>
      </c>
      <c r="V2005" s="36"/>
      <c r="W2005" s="36"/>
      <c r="X2005" s="38">
        <v>1.0</v>
      </c>
      <c r="Y2005" s="38" t="s">
        <v>3038</v>
      </c>
      <c r="Z2005" s="38" t="s">
        <v>3039</v>
      </c>
      <c r="AA2005" s="38" t="s">
        <v>86</v>
      </c>
      <c r="AB2005" s="38">
        <v>38.841667</v>
      </c>
      <c r="AC2005" s="38">
        <v>100.375</v>
      </c>
      <c r="AD2005" s="38" t="s">
        <v>198</v>
      </c>
      <c r="AE2005" s="38">
        <v>1559.6</v>
      </c>
      <c r="AF2005" s="38" t="s">
        <v>2084</v>
      </c>
      <c r="AG2005" s="38"/>
      <c r="AH2005" s="38"/>
      <c r="AI2005" s="50">
        <v>38.841667</v>
      </c>
      <c r="AJ2005" s="50">
        <v>100.375</v>
      </c>
      <c r="AK2005" s="41" t="s">
        <v>86</v>
      </c>
      <c r="AL2005" s="40" t="s">
        <v>86</v>
      </c>
      <c r="AM2005" s="49">
        <v>1559.0</v>
      </c>
      <c r="AN2005" s="51">
        <v>1559.0</v>
      </c>
      <c r="AO2005" s="42" t="s">
        <v>261</v>
      </c>
      <c r="AP2005" s="43" t="s">
        <v>261</v>
      </c>
      <c r="AQ2005" s="44" t="str">
        <f t="shared" si="230"/>
        <v>CRO</v>
      </c>
      <c r="AR2005" s="44">
        <f t="shared" si="199"/>
        <v>1559</v>
      </c>
      <c r="AS2005" s="44" t="str">
        <f t="shared" si="229"/>
        <v>B</v>
      </c>
      <c r="AT2005" s="44" t="str">
        <f t="shared" si="202"/>
        <v>BW</v>
      </c>
      <c r="AU2005" s="44" t="str">
        <f t="shared" si="203"/>
        <v>BWk</v>
      </c>
      <c r="AV2005" s="38"/>
      <c r="AW2005" s="38"/>
      <c r="AX2005" s="38"/>
      <c r="AY2005" s="38"/>
      <c r="AZ2005" s="29">
        <v>30.0</v>
      </c>
      <c r="BA2005" s="29">
        <v>1.0</v>
      </c>
      <c r="BB2005" s="29">
        <v>1.0</v>
      </c>
      <c r="BC2005" s="29"/>
      <c r="BD2005" s="29"/>
      <c r="BE2005" s="29"/>
      <c r="BF2005" s="29" t="s">
        <v>3023</v>
      </c>
      <c r="BG2005" s="29" t="s">
        <v>203</v>
      </c>
      <c r="BH2005" s="29" t="s">
        <v>88</v>
      </c>
      <c r="BI2005" s="29" t="s">
        <v>1925</v>
      </c>
      <c r="BJ2005" s="29"/>
      <c r="BK2005" s="29" t="s">
        <v>3024</v>
      </c>
      <c r="BL2005" s="29" t="s">
        <v>3024</v>
      </c>
      <c r="BM2005" s="45"/>
      <c r="BN2005" s="45"/>
      <c r="BO2005" s="46"/>
      <c r="BP2005" s="2"/>
      <c r="BQ2005" s="3"/>
    </row>
    <row r="2006" ht="15.75" customHeight="1">
      <c r="A2006" s="34">
        <v>2133.0</v>
      </c>
      <c r="B2006" s="34">
        <v>203245.0</v>
      </c>
      <c r="C2006" s="34" t="s">
        <v>832</v>
      </c>
      <c r="D2006" s="34" t="s">
        <v>3019</v>
      </c>
      <c r="E2006" s="34" t="s">
        <v>3020</v>
      </c>
      <c r="F2006" s="34">
        <v>2021.0</v>
      </c>
      <c r="G2006" s="34" t="s">
        <v>3021</v>
      </c>
      <c r="H2006" s="34" t="s">
        <v>1028</v>
      </c>
      <c r="I2006" s="34" t="s">
        <v>3040</v>
      </c>
      <c r="J2006" s="35"/>
      <c r="K2006" s="36"/>
      <c r="L2006" s="36"/>
      <c r="M2006" s="36"/>
      <c r="N2006" s="36">
        <v>0.9</v>
      </c>
      <c r="O2006" s="36">
        <v>480.6</v>
      </c>
      <c r="P2006" s="52">
        <f t="shared" si="227"/>
        <v>0.1872659176</v>
      </c>
      <c r="Q2006" s="36"/>
      <c r="R2006" s="36" t="s">
        <v>82</v>
      </c>
      <c r="S2006" s="36">
        <v>30.0</v>
      </c>
      <c r="T2006" s="36" t="s">
        <v>1156</v>
      </c>
      <c r="U2006" s="36" t="s">
        <v>993</v>
      </c>
      <c r="V2006" s="36"/>
      <c r="W2006" s="36"/>
      <c r="X2006" s="38">
        <v>1.0</v>
      </c>
      <c r="Y2006" s="38" t="s">
        <v>654</v>
      </c>
      <c r="Z2006" s="38" t="s">
        <v>654</v>
      </c>
      <c r="AA2006" s="38" t="s">
        <v>214</v>
      </c>
      <c r="AB2006" s="38">
        <v>38.966667</v>
      </c>
      <c r="AC2006" s="38">
        <v>100.366667</v>
      </c>
      <c r="AD2006" s="38" t="s">
        <v>198</v>
      </c>
      <c r="AE2006" s="38">
        <v>1460.0</v>
      </c>
      <c r="AF2006" s="38" t="s">
        <v>2076</v>
      </c>
      <c r="AG2006" s="38"/>
      <c r="AH2006" s="38"/>
      <c r="AI2006" s="50">
        <v>38.966667</v>
      </c>
      <c r="AJ2006" s="50">
        <v>100.366667</v>
      </c>
      <c r="AK2006" s="41" t="s">
        <v>664</v>
      </c>
      <c r="AL2006" s="40" t="s">
        <v>664</v>
      </c>
      <c r="AM2006" s="49">
        <v>1497.0</v>
      </c>
      <c r="AN2006" s="51">
        <v>1497.0</v>
      </c>
      <c r="AO2006" s="42" t="s">
        <v>261</v>
      </c>
      <c r="AP2006" s="43" t="s">
        <v>261</v>
      </c>
      <c r="AQ2006" s="44" t="str">
        <f t="shared" si="230"/>
        <v>WET</v>
      </c>
      <c r="AR2006" s="44">
        <f t="shared" si="199"/>
        <v>1497</v>
      </c>
      <c r="AS2006" s="44" t="str">
        <f t="shared" si="229"/>
        <v>B</v>
      </c>
      <c r="AT2006" s="44" t="str">
        <f t="shared" si="202"/>
        <v>BW</v>
      </c>
      <c r="AU2006" s="44" t="str">
        <f t="shared" si="203"/>
        <v>BWk</v>
      </c>
      <c r="AV2006" s="38"/>
      <c r="AW2006" s="38"/>
      <c r="AX2006" s="38"/>
      <c r="AY2006" s="38"/>
      <c r="AZ2006" s="29">
        <v>30.0</v>
      </c>
      <c r="BA2006" s="29">
        <v>1.0</v>
      </c>
      <c r="BB2006" s="29">
        <v>1.0</v>
      </c>
      <c r="BC2006" s="29"/>
      <c r="BD2006" s="29"/>
      <c r="BE2006" s="29"/>
      <c r="BF2006" s="29" t="s">
        <v>3023</v>
      </c>
      <c r="BG2006" s="29" t="s">
        <v>203</v>
      </c>
      <c r="BH2006" s="29" t="s">
        <v>88</v>
      </c>
      <c r="BI2006" s="29" t="s">
        <v>1925</v>
      </c>
      <c r="BJ2006" s="29"/>
      <c r="BK2006" s="29" t="s">
        <v>3024</v>
      </c>
      <c r="BL2006" s="29" t="s">
        <v>3024</v>
      </c>
      <c r="BM2006" s="45"/>
      <c r="BN2006" s="45"/>
      <c r="BO2006" s="46"/>
      <c r="BP2006" s="2"/>
      <c r="BQ2006" s="3"/>
    </row>
    <row r="2007" ht="15.75" customHeight="1">
      <c r="A2007" s="34">
        <v>2134.0</v>
      </c>
      <c r="B2007" s="34">
        <v>203245.0</v>
      </c>
      <c r="C2007" s="34" t="s">
        <v>832</v>
      </c>
      <c r="D2007" s="34" t="s">
        <v>3019</v>
      </c>
      <c r="E2007" s="34" t="s">
        <v>3020</v>
      </c>
      <c r="F2007" s="34">
        <v>2021.0</v>
      </c>
      <c r="G2007" s="34" t="s">
        <v>3021</v>
      </c>
      <c r="H2007" s="34" t="s">
        <v>1028</v>
      </c>
      <c r="I2007" s="34" t="s">
        <v>3041</v>
      </c>
      <c r="J2007" s="35"/>
      <c r="K2007" s="36"/>
      <c r="L2007" s="36"/>
      <c r="M2007" s="36"/>
      <c r="N2007" s="36">
        <v>-12.2</v>
      </c>
      <c r="O2007" s="36">
        <v>489.4</v>
      </c>
      <c r="P2007" s="52">
        <f t="shared" si="227"/>
        <v>-2.492848386</v>
      </c>
      <c r="Q2007" s="36"/>
      <c r="R2007" s="36" t="s">
        <v>82</v>
      </c>
      <c r="S2007" s="36">
        <v>30.0</v>
      </c>
      <c r="T2007" s="36" t="s">
        <v>1156</v>
      </c>
      <c r="U2007" s="36" t="s">
        <v>993</v>
      </c>
      <c r="V2007" s="36"/>
      <c r="W2007" s="36"/>
      <c r="X2007" s="38">
        <v>14.0</v>
      </c>
      <c r="Y2007" s="38" t="s">
        <v>3042</v>
      </c>
      <c r="Z2007" s="38"/>
      <c r="AA2007" s="38"/>
      <c r="AB2007" s="38">
        <v>38.875</v>
      </c>
      <c r="AC2007" s="38">
        <v>100.375</v>
      </c>
      <c r="AD2007" s="38" t="s">
        <v>198</v>
      </c>
      <c r="AE2007" s="38"/>
      <c r="AF2007" s="38" t="s">
        <v>115</v>
      </c>
      <c r="AG2007" s="38"/>
      <c r="AH2007" s="38"/>
      <c r="AI2007" s="50"/>
      <c r="AJ2007" s="50"/>
      <c r="AK2007" s="41"/>
      <c r="AL2007" s="40"/>
      <c r="AM2007" s="49"/>
      <c r="AN2007" s="51"/>
      <c r="AO2007" s="42"/>
      <c r="AP2007" s="43"/>
      <c r="AQ2007" s="44" t="str">
        <f t="shared" si="230"/>
        <v/>
      </c>
      <c r="AR2007" s="44" t="str">
        <f t="shared" si="199"/>
        <v/>
      </c>
      <c r="AS2007" s="44"/>
      <c r="AT2007" s="44" t="str">
        <f t="shared" si="202"/>
        <v/>
      </c>
      <c r="AU2007" s="44" t="str">
        <f t="shared" si="203"/>
        <v/>
      </c>
      <c r="AV2007" s="38"/>
      <c r="AW2007" s="38"/>
      <c r="AX2007" s="38"/>
      <c r="AY2007" s="38"/>
      <c r="AZ2007" s="29">
        <v>30.0</v>
      </c>
      <c r="BA2007" s="29">
        <v>1.0</v>
      </c>
      <c r="BB2007" s="29">
        <v>1.0</v>
      </c>
      <c r="BC2007" s="29"/>
      <c r="BD2007" s="29"/>
      <c r="BE2007" s="29"/>
      <c r="BF2007" s="29" t="s">
        <v>3023</v>
      </c>
      <c r="BG2007" s="29" t="s">
        <v>203</v>
      </c>
      <c r="BH2007" s="29" t="s">
        <v>88</v>
      </c>
      <c r="BI2007" s="29" t="s">
        <v>1925</v>
      </c>
      <c r="BJ2007" s="29"/>
      <c r="BK2007" s="29" t="s">
        <v>3024</v>
      </c>
      <c r="BL2007" s="29" t="s">
        <v>3024</v>
      </c>
      <c r="BM2007" s="45"/>
      <c r="BN2007" s="45"/>
      <c r="BO2007" s="46"/>
      <c r="BP2007" s="2"/>
      <c r="BQ2007" s="3"/>
    </row>
    <row r="2008" ht="15.75" customHeight="1">
      <c r="A2008" s="34">
        <v>2135.0</v>
      </c>
      <c r="B2008" s="34">
        <v>203245.0</v>
      </c>
      <c r="C2008" s="34" t="s">
        <v>832</v>
      </c>
      <c r="D2008" s="34" t="s">
        <v>3019</v>
      </c>
      <c r="E2008" s="34" t="s">
        <v>3020</v>
      </c>
      <c r="F2008" s="34">
        <v>2021.0</v>
      </c>
      <c r="G2008" s="34" t="s">
        <v>3021</v>
      </c>
      <c r="H2008" s="34" t="s">
        <v>1028</v>
      </c>
      <c r="I2008" s="34" t="s">
        <v>3043</v>
      </c>
      <c r="J2008" s="35"/>
      <c r="K2008" s="36"/>
      <c r="L2008" s="36"/>
      <c r="M2008" s="36"/>
      <c r="N2008" s="36">
        <v>-9.4</v>
      </c>
      <c r="O2008" s="36">
        <v>418.5</v>
      </c>
      <c r="P2008" s="52">
        <f t="shared" si="227"/>
        <v>-2.246117085</v>
      </c>
      <c r="Q2008" s="36"/>
      <c r="R2008" s="36" t="s">
        <v>82</v>
      </c>
      <c r="S2008" s="36">
        <v>30.0</v>
      </c>
      <c r="T2008" s="36" t="s">
        <v>1156</v>
      </c>
      <c r="U2008" s="36" t="s">
        <v>993</v>
      </c>
      <c r="V2008" s="36"/>
      <c r="W2008" s="36"/>
      <c r="X2008" s="38">
        <v>21.0</v>
      </c>
      <c r="Y2008" s="38" t="s">
        <v>2778</v>
      </c>
      <c r="Z2008" s="38"/>
      <c r="AA2008" s="38"/>
      <c r="AB2008" s="38"/>
      <c r="AC2008" s="38"/>
      <c r="AD2008" s="38" t="s">
        <v>198</v>
      </c>
      <c r="AE2008" s="38"/>
      <c r="AF2008" s="38"/>
      <c r="AG2008" s="38"/>
      <c r="AH2008" s="38"/>
      <c r="AI2008" s="50"/>
      <c r="AJ2008" s="50"/>
      <c r="AK2008" s="41"/>
      <c r="AL2008" s="40"/>
      <c r="AM2008" s="49"/>
      <c r="AN2008" s="43"/>
      <c r="AO2008" s="42"/>
      <c r="AP2008" s="43"/>
      <c r="AQ2008" s="44" t="str">
        <f t="shared" si="230"/>
        <v/>
      </c>
      <c r="AR2008" s="44" t="str">
        <f t="shared" si="199"/>
        <v/>
      </c>
      <c r="AS2008" s="44"/>
      <c r="AT2008" s="44" t="str">
        <f t="shared" si="202"/>
        <v/>
      </c>
      <c r="AU2008" s="44" t="str">
        <f t="shared" si="203"/>
        <v/>
      </c>
      <c r="AV2008" s="38"/>
      <c r="AW2008" s="38"/>
      <c r="AX2008" s="38"/>
      <c r="AY2008" s="38"/>
      <c r="AZ2008" s="29">
        <v>30.0</v>
      </c>
      <c r="BA2008" s="29">
        <v>1.0</v>
      </c>
      <c r="BB2008" s="29">
        <v>1.0</v>
      </c>
      <c r="BC2008" s="29"/>
      <c r="BD2008" s="29"/>
      <c r="BE2008" s="29"/>
      <c r="BF2008" s="29" t="s">
        <v>3023</v>
      </c>
      <c r="BG2008" s="29" t="s">
        <v>203</v>
      </c>
      <c r="BH2008" s="29" t="s">
        <v>88</v>
      </c>
      <c r="BI2008" s="29" t="s">
        <v>1925</v>
      </c>
      <c r="BJ2008" s="29"/>
      <c r="BK2008" s="29" t="s">
        <v>3024</v>
      </c>
      <c r="BL2008" s="29" t="s">
        <v>3024</v>
      </c>
      <c r="BM2008" s="45"/>
      <c r="BN2008" s="45"/>
      <c r="BO2008" s="46"/>
      <c r="BP2008" s="2"/>
      <c r="BQ2008" s="3"/>
    </row>
    <row r="2009" ht="15.75" customHeight="1">
      <c r="A2009" s="34">
        <v>2144.0</v>
      </c>
      <c r="B2009" s="34">
        <v>103813.0</v>
      </c>
      <c r="C2009" s="34" t="s">
        <v>832</v>
      </c>
      <c r="D2009" s="34" t="s">
        <v>3044</v>
      </c>
      <c r="E2009" s="34" t="s">
        <v>3045</v>
      </c>
      <c r="F2009" s="34">
        <v>2016.0</v>
      </c>
      <c r="G2009" s="34" t="s">
        <v>3046</v>
      </c>
      <c r="H2009" s="34" t="s">
        <v>3047</v>
      </c>
      <c r="I2009" s="34" t="s">
        <v>3048</v>
      </c>
      <c r="J2009" s="35"/>
      <c r="K2009" s="36"/>
      <c r="L2009" s="36"/>
      <c r="M2009" s="36"/>
      <c r="N2009" s="36">
        <v>103.05</v>
      </c>
      <c r="O2009" s="36">
        <v>316.08</v>
      </c>
      <c r="P2009" s="37">
        <v>32.6</v>
      </c>
      <c r="Q2009" s="36"/>
      <c r="R2009" s="36" t="s">
        <v>82</v>
      </c>
      <c r="S2009" s="36">
        <v>300.0</v>
      </c>
      <c r="T2009" s="36" t="s">
        <v>3049</v>
      </c>
      <c r="U2009" s="36" t="s">
        <v>255</v>
      </c>
      <c r="V2009" s="36">
        <v>11.0</v>
      </c>
      <c r="W2009" s="36"/>
      <c r="X2009" s="38">
        <v>1.0</v>
      </c>
      <c r="Y2009" s="38" t="s">
        <v>3050</v>
      </c>
      <c r="Z2009" s="38" t="s">
        <v>3051</v>
      </c>
      <c r="AA2009" s="38" t="s">
        <v>505</v>
      </c>
      <c r="AB2009" s="38">
        <v>38.88</v>
      </c>
      <c r="AC2009" s="38">
        <v>100.36</v>
      </c>
      <c r="AD2009" s="38" t="s">
        <v>198</v>
      </c>
      <c r="AE2009" s="53"/>
      <c r="AF2009" s="38"/>
      <c r="AG2009" s="66" t="s">
        <v>2928</v>
      </c>
      <c r="AH2009" s="38">
        <v>4.2</v>
      </c>
      <c r="AI2009" s="50">
        <v>38.88</v>
      </c>
      <c r="AJ2009" s="50">
        <v>100.36</v>
      </c>
      <c r="AK2009" s="41" t="s">
        <v>86</v>
      </c>
      <c r="AL2009" s="40" t="s">
        <v>86</v>
      </c>
      <c r="AM2009" s="49">
        <v>1562.0</v>
      </c>
      <c r="AN2009" s="51">
        <v>1562.0</v>
      </c>
      <c r="AO2009" s="42" t="s">
        <v>261</v>
      </c>
      <c r="AP2009" s="43" t="s">
        <v>261</v>
      </c>
      <c r="AQ2009" s="44" t="str">
        <f t="shared" si="230"/>
        <v>URB</v>
      </c>
      <c r="AR2009" s="44">
        <f t="shared" si="199"/>
        <v>1562</v>
      </c>
      <c r="AS2009" s="44" t="str">
        <f t="shared" ref="AS2009:AS2017" si="231">LEFT(AO2009,1)</f>
        <v>B</v>
      </c>
      <c r="AT2009" s="44" t="str">
        <f t="shared" si="202"/>
        <v>BW</v>
      </c>
      <c r="AU2009" s="44" t="str">
        <f t="shared" si="203"/>
        <v>BWk</v>
      </c>
      <c r="AV2009" s="38">
        <v>2.0</v>
      </c>
      <c r="AW2009" s="38"/>
      <c r="AX2009" s="38"/>
      <c r="AY2009" s="38" t="s">
        <v>3052</v>
      </c>
      <c r="AZ2009" s="29">
        <v>300.0</v>
      </c>
      <c r="BA2009" s="29">
        <v>1.0</v>
      </c>
      <c r="BB2009" s="29">
        <v>1.0</v>
      </c>
      <c r="BC2009" s="29"/>
      <c r="BD2009" s="29"/>
      <c r="BE2009" s="29"/>
      <c r="BF2009" s="29" t="s">
        <v>3053</v>
      </c>
      <c r="BG2009" s="29" t="s">
        <v>572</v>
      </c>
      <c r="BH2009" s="29" t="s">
        <v>88</v>
      </c>
      <c r="BI2009" s="29" t="s">
        <v>3054</v>
      </c>
      <c r="BJ2009" s="29"/>
      <c r="BK2009" s="29" t="s">
        <v>3055</v>
      </c>
      <c r="BL2009" s="29" t="s">
        <v>3055</v>
      </c>
      <c r="BM2009" s="45">
        <v>1.0</v>
      </c>
      <c r="BN2009" s="45"/>
      <c r="BO2009" s="46"/>
      <c r="BP2009" s="2"/>
      <c r="BQ2009" s="3"/>
    </row>
    <row r="2010" ht="15.75" customHeight="1">
      <c r="A2010" s="34">
        <v>2145.0</v>
      </c>
      <c r="B2010" s="34">
        <v>103813.0</v>
      </c>
      <c r="C2010" s="34" t="s">
        <v>832</v>
      </c>
      <c r="D2010" s="34" t="s">
        <v>3044</v>
      </c>
      <c r="E2010" s="34" t="s">
        <v>3045</v>
      </c>
      <c r="F2010" s="34">
        <v>2016.0</v>
      </c>
      <c r="G2010" s="34" t="s">
        <v>3046</v>
      </c>
      <c r="H2010" s="34" t="s">
        <v>3047</v>
      </c>
      <c r="I2010" s="34" t="s">
        <v>3048</v>
      </c>
      <c r="J2010" s="35"/>
      <c r="K2010" s="36"/>
      <c r="L2010" s="36"/>
      <c r="M2010" s="36"/>
      <c r="N2010" s="36">
        <v>42.7</v>
      </c>
      <c r="O2010" s="36">
        <v>316.08</v>
      </c>
      <c r="P2010" s="37">
        <v>13.5</v>
      </c>
      <c r="Q2010" s="36"/>
      <c r="R2010" s="36" t="s">
        <v>82</v>
      </c>
      <c r="S2010" s="36">
        <v>300.0</v>
      </c>
      <c r="T2010" s="36" t="s">
        <v>3049</v>
      </c>
      <c r="U2010" s="36" t="s">
        <v>255</v>
      </c>
      <c r="V2010" s="36">
        <v>11.0</v>
      </c>
      <c r="W2010" s="36"/>
      <c r="X2010" s="38">
        <v>1.0</v>
      </c>
      <c r="Y2010" s="38" t="s">
        <v>3050</v>
      </c>
      <c r="Z2010" s="38" t="s">
        <v>3051</v>
      </c>
      <c r="AA2010" s="38" t="s">
        <v>505</v>
      </c>
      <c r="AB2010" s="38">
        <v>38.88</v>
      </c>
      <c r="AC2010" s="38">
        <v>100.36</v>
      </c>
      <c r="AD2010" s="38" t="s">
        <v>198</v>
      </c>
      <c r="AE2010" s="53"/>
      <c r="AF2010" s="38"/>
      <c r="AG2010" s="66" t="s">
        <v>2928</v>
      </c>
      <c r="AH2010" s="38">
        <v>4.2</v>
      </c>
      <c r="AI2010" s="50">
        <v>38.88</v>
      </c>
      <c r="AJ2010" s="50">
        <v>100.36</v>
      </c>
      <c r="AK2010" s="41" t="s">
        <v>86</v>
      </c>
      <c r="AL2010" s="40" t="s">
        <v>86</v>
      </c>
      <c r="AM2010" s="49">
        <v>1562.0</v>
      </c>
      <c r="AN2010" s="51">
        <v>1562.0</v>
      </c>
      <c r="AO2010" s="42" t="s">
        <v>261</v>
      </c>
      <c r="AP2010" s="43" t="s">
        <v>261</v>
      </c>
      <c r="AQ2010" s="44" t="str">
        <f t="shared" si="230"/>
        <v>URB</v>
      </c>
      <c r="AR2010" s="44">
        <f t="shared" si="199"/>
        <v>1562</v>
      </c>
      <c r="AS2010" s="44" t="str">
        <f t="shared" si="231"/>
        <v>B</v>
      </c>
      <c r="AT2010" s="44" t="str">
        <f t="shared" si="202"/>
        <v>BW</v>
      </c>
      <c r="AU2010" s="44" t="str">
        <f t="shared" si="203"/>
        <v>BWk</v>
      </c>
      <c r="AV2010" s="38">
        <v>2.0</v>
      </c>
      <c r="AW2010" s="38"/>
      <c r="AX2010" s="38"/>
      <c r="AY2010" s="38" t="s">
        <v>3052</v>
      </c>
      <c r="AZ2010" s="29">
        <v>300.0</v>
      </c>
      <c r="BA2010" s="29">
        <v>1.0</v>
      </c>
      <c r="BB2010" s="29">
        <v>1.0</v>
      </c>
      <c r="BC2010" s="29"/>
      <c r="BD2010" s="29"/>
      <c r="BE2010" s="29"/>
      <c r="BF2010" s="29" t="s">
        <v>3056</v>
      </c>
      <c r="BG2010" s="29" t="s">
        <v>572</v>
      </c>
      <c r="BH2010" s="29" t="s">
        <v>88</v>
      </c>
      <c r="BI2010" s="29" t="s">
        <v>3054</v>
      </c>
      <c r="BJ2010" s="29"/>
      <c r="BK2010" s="29" t="s">
        <v>3055</v>
      </c>
      <c r="BL2010" s="29" t="s">
        <v>3055</v>
      </c>
      <c r="BM2010" s="45"/>
      <c r="BN2010" s="45"/>
      <c r="BO2010" s="46"/>
      <c r="BP2010" s="2"/>
      <c r="BQ2010" s="3"/>
    </row>
    <row r="2011" ht="15.75" customHeight="1">
      <c r="A2011" s="34">
        <v>2146.0</v>
      </c>
      <c r="B2011" s="34">
        <v>103813.0</v>
      </c>
      <c r="C2011" s="34" t="s">
        <v>832</v>
      </c>
      <c r="D2011" s="34" t="s">
        <v>3044</v>
      </c>
      <c r="E2011" s="34" t="s">
        <v>3045</v>
      </c>
      <c r="F2011" s="34">
        <v>2016.0</v>
      </c>
      <c r="G2011" s="34" t="s">
        <v>3046</v>
      </c>
      <c r="H2011" s="34" t="s">
        <v>3047</v>
      </c>
      <c r="I2011" s="34" t="s">
        <v>3048</v>
      </c>
      <c r="J2011" s="35"/>
      <c r="K2011" s="36"/>
      <c r="L2011" s="36"/>
      <c r="M2011" s="36"/>
      <c r="N2011" s="36">
        <v>65.64</v>
      </c>
      <c r="O2011" s="36">
        <v>316.08</v>
      </c>
      <c r="P2011" s="37">
        <v>20.8</v>
      </c>
      <c r="Q2011" s="36"/>
      <c r="R2011" s="36" t="s">
        <v>82</v>
      </c>
      <c r="S2011" s="36">
        <v>300.0</v>
      </c>
      <c r="T2011" s="36" t="s">
        <v>3049</v>
      </c>
      <c r="U2011" s="36" t="s">
        <v>255</v>
      </c>
      <c r="V2011" s="36">
        <v>11.0</v>
      </c>
      <c r="W2011" s="36"/>
      <c r="X2011" s="38">
        <v>1.0</v>
      </c>
      <c r="Y2011" s="38" t="s">
        <v>3050</v>
      </c>
      <c r="Z2011" s="38" t="s">
        <v>3051</v>
      </c>
      <c r="AA2011" s="38" t="s">
        <v>505</v>
      </c>
      <c r="AB2011" s="38">
        <v>38.88</v>
      </c>
      <c r="AC2011" s="38">
        <v>100.36</v>
      </c>
      <c r="AD2011" s="38" t="s">
        <v>198</v>
      </c>
      <c r="AE2011" s="53"/>
      <c r="AF2011" s="38"/>
      <c r="AG2011" s="66" t="s">
        <v>2928</v>
      </c>
      <c r="AH2011" s="38">
        <v>4.2</v>
      </c>
      <c r="AI2011" s="50">
        <v>38.88</v>
      </c>
      <c r="AJ2011" s="50">
        <v>100.36</v>
      </c>
      <c r="AK2011" s="41" t="s">
        <v>86</v>
      </c>
      <c r="AL2011" s="40" t="s">
        <v>86</v>
      </c>
      <c r="AM2011" s="49">
        <v>1562.0</v>
      </c>
      <c r="AN2011" s="51">
        <v>1562.0</v>
      </c>
      <c r="AO2011" s="42" t="s">
        <v>261</v>
      </c>
      <c r="AP2011" s="43" t="s">
        <v>261</v>
      </c>
      <c r="AQ2011" s="44" t="str">
        <f t="shared" si="230"/>
        <v>URB</v>
      </c>
      <c r="AR2011" s="44">
        <f t="shared" si="199"/>
        <v>1562</v>
      </c>
      <c r="AS2011" s="44" t="str">
        <f t="shared" si="231"/>
        <v>B</v>
      </c>
      <c r="AT2011" s="44" t="str">
        <f t="shared" si="202"/>
        <v>BW</v>
      </c>
      <c r="AU2011" s="44" t="str">
        <f t="shared" si="203"/>
        <v>BWk</v>
      </c>
      <c r="AV2011" s="38">
        <v>2.0</v>
      </c>
      <c r="AW2011" s="38"/>
      <c r="AX2011" s="38"/>
      <c r="AY2011" s="38" t="s">
        <v>3052</v>
      </c>
      <c r="AZ2011" s="29">
        <v>300.0</v>
      </c>
      <c r="BA2011" s="29">
        <v>1.0</v>
      </c>
      <c r="BB2011" s="29">
        <v>1.0</v>
      </c>
      <c r="BC2011" s="29"/>
      <c r="BD2011" s="29"/>
      <c r="BE2011" s="29"/>
      <c r="BF2011" s="29" t="s">
        <v>3057</v>
      </c>
      <c r="BG2011" s="29" t="s">
        <v>572</v>
      </c>
      <c r="BH2011" s="29" t="s">
        <v>88</v>
      </c>
      <c r="BI2011" s="29" t="s">
        <v>3054</v>
      </c>
      <c r="BJ2011" s="29"/>
      <c r="BK2011" s="29" t="s">
        <v>3055</v>
      </c>
      <c r="BL2011" s="29" t="s">
        <v>3055</v>
      </c>
      <c r="BM2011" s="45"/>
      <c r="BN2011" s="45"/>
      <c r="BO2011" s="46"/>
      <c r="BP2011" s="2"/>
      <c r="BQ2011" s="3"/>
    </row>
    <row r="2012" ht="15.75" customHeight="1">
      <c r="A2012" s="34">
        <v>2147.0</v>
      </c>
      <c r="B2012" s="34">
        <v>103813.0</v>
      </c>
      <c r="C2012" s="34" t="s">
        <v>832</v>
      </c>
      <c r="D2012" s="34" t="s">
        <v>3044</v>
      </c>
      <c r="E2012" s="34" t="s">
        <v>3045</v>
      </c>
      <c r="F2012" s="34">
        <v>2016.0</v>
      </c>
      <c r="G2012" s="34" t="s">
        <v>3046</v>
      </c>
      <c r="H2012" s="34" t="s">
        <v>3047</v>
      </c>
      <c r="I2012" s="34" t="s">
        <v>3048</v>
      </c>
      <c r="J2012" s="35"/>
      <c r="K2012" s="36"/>
      <c r="L2012" s="36"/>
      <c r="M2012" s="36"/>
      <c r="N2012" s="36">
        <v>-52.113</v>
      </c>
      <c r="O2012" s="36">
        <v>486.594</v>
      </c>
      <c r="P2012" s="83">
        <f t="shared" ref="P2012:P2017" si="232">N2012*100/O2012</f>
        <v>-10.70974981</v>
      </c>
      <c r="Q2012" s="36"/>
      <c r="R2012" s="36" t="s">
        <v>82</v>
      </c>
      <c r="S2012" s="36">
        <v>300.0</v>
      </c>
      <c r="T2012" s="36" t="s">
        <v>3049</v>
      </c>
      <c r="U2012" s="36" t="s">
        <v>255</v>
      </c>
      <c r="V2012" s="36">
        <v>10.0</v>
      </c>
      <c r="W2012" s="36"/>
      <c r="X2012" s="38">
        <v>1.0</v>
      </c>
      <c r="Y2012" s="38" t="s">
        <v>3058</v>
      </c>
      <c r="Z2012" s="38" t="s">
        <v>3059</v>
      </c>
      <c r="AA2012" s="38" t="s">
        <v>86</v>
      </c>
      <c r="AB2012" s="38">
        <v>38.86</v>
      </c>
      <c r="AC2012" s="38">
        <v>100.37</v>
      </c>
      <c r="AD2012" s="38" t="s">
        <v>198</v>
      </c>
      <c r="AE2012" s="53"/>
      <c r="AF2012" s="38" t="s">
        <v>797</v>
      </c>
      <c r="AG2012" s="66" t="s">
        <v>2928</v>
      </c>
      <c r="AH2012" s="38">
        <v>4.5</v>
      </c>
      <c r="AI2012" s="50">
        <v>38.86</v>
      </c>
      <c r="AJ2012" s="50">
        <v>100.37</v>
      </c>
      <c r="AK2012" s="41" t="s">
        <v>86</v>
      </c>
      <c r="AL2012" s="40" t="s">
        <v>86</v>
      </c>
      <c r="AM2012" s="49">
        <v>1561.0</v>
      </c>
      <c r="AN2012" s="51">
        <v>1561.0</v>
      </c>
      <c r="AO2012" s="42" t="s">
        <v>261</v>
      </c>
      <c r="AP2012" s="43" t="s">
        <v>261</v>
      </c>
      <c r="AQ2012" s="44" t="str">
        <f t="shared" si="230"/>
        <v>CRO</v>
      </c>
      <c r="AR2012" s="44">
        <f t="shared" si="199"/>
        <v>1561</v>
      </c>
      <c r="AS2012" s="44" t="str">
        <f t="shared" si="231"/>
        <v>B</v>
      </c>
      <c r="AT2012" s="44" t="str">
        <f t="shared" si="202"/>
        <v>BW</v>
      </c>
      <c r="AU2012" s="44" t="str">
        <f t="shared" si="203"/>
        <v>BWk</v>
      </c>
      <c r="AV2012" s="38">
        <v>2.0</v>
      </c>
      <c r="AW2012" s="38"/>
      <c r="AX2012" s="38"/>
      <c r="AY2012" s="38" t="s">
        <v>3052</v>
      </c>
      <c r="AZ2012" s="29">
        <v>300.0</v>
      </c>
      <c r="BA2012" s="29">
        <v>1.0</v>
      </c>
      <c r="BB2012" s="29">
        <v>1.0</v>
      </c>
      <c r="BC2012" s="29"/>
      <c r="BD2012" s="29"/>
      <c r="BE2012" s="29"/>
      <c r="BF2012" s="29" t="s">
        <v>3053</v>
      </c>
      <c r="BG2012" s="29" t="s">
        <v>572</v>
      </c>
      <c r="BH2012" s="29" t="s">
        <v>88</v>
      </c>
      <c r="BI2012" s="29" t="s">
        <v>3054</v>
      </c>
      <c r="BJ2012" s="29"/>
      <c r="BK2012" s="29" t="s">
        <v>3055</v>
      </c>
      <c r="BL2012" s="29" t="s">
        <v>3055</v>
      </c>
      <c r="BM2012" s="45"/>
      <c r="BN2012" s="45"/>
      <c r="BO2012" s="46"/>
      <c r="BP2012" s="2"/>
      <c r="BQ2012" s="3"/>
    </row>
    <row r="2013" ht="15.75" customHeight="1">
      <c r="A2013" s="34">
        <v>2148.0</v>
      </c>
      <c r="B2013" s="34">
        <v>103813.0</v>
      </c>
      <c r="C2013" s="34" t="s">
        <v>832</v>
      </c>
      <c r="D2013" s="34" t="s">
        <v>3044</v>
      </c>
      <c r="E2013" s="34" t="s">
        <v>3045</v>
      </c>
      <c r="F2013" s="34">
        <v>2016.0</v>
      </c>
      <c r="G2013" s="34" t="s">
        <v>3046</v>
      </c>
      <c r="H2013" s="34" t="s">
        <v>3047</v>
      </c>
      <c r="I2013" s="34" t="s">
        <v>3048</v>
      </c>
      <c r="J2013" s="35"/>
      <c r="K2013" s="36"/>
      <c r="L2013" s="36"/>
      <c r="M2013" s="36"/>
      <c r="N2013" s="36">
        <v>-48.8</v>
      </c>
      <c r="O2013" s="36">
        <v>486.594</v>
      </c>
      <c r="P2013" s="83">
        <f t="shared" si="232"/>
        <v>-10.02889473</v>
      </c>
      <c r="Q2013" s="36"/>
      <c r="R2013" s="36" t="s">
        <v>82</v>
      </c>
      <c r="S2013" s="36">
        <v>300.0</v>
      </c>
      <c r="T2013" s="36" t="s">
        <v>3049</v>
      </c>
      <c r="U2013" s="36" t="s">
        <v>255</v>
      </c>
      <c r="V2013" s="36">
        <v>10.0</v>
      </c>
      <c r="W2013" s="36"/>
      <c r="X2013" s="38">
        <v>1.0</v>
      </c>
      <c r="Y2013" s="38" t="s">
        <v>3058</v>
      </c>
      <c r="Z2013" s="38" t="s">
        <v>3059</v>
      </c>
      <c r="AA2013" s="38" t="s">
        <v>86</v>
      </c>
      <c r="AB2013" s="38">
        <v>38.86</v>
      </c>
      <c r="AC2013" s="38">
        <v>100.37</v>
      </c>
      <c r="AD2013" s="38" t="s">
        <v>198</v>
      </c>
      <c r="AE2013" s="53"/>
      <c r="AF2013" s="38" t="s">
        <v>797</v>
      </c>
      <c r="AG2013" s="66" t="s">
        <v>2928</v>
      </c>
      <c r="AH2013" s="38">
        <v>4.5</v>
      </c>
      <c r="AI2013" s="50">
        <v>38.86</v>
      </c>
      <c r="AJ2013" s="50">
        <v>100.37</v>
      </c>
      <c r="AK2013" s="41" t="s">
        <v>86</v>
      </c>
      <c r="AL2013" s="40" t="s">
        <v>86</v>
      </c>
      <c r="AM2013" s="49">
        <v>1561.0</v>
      </c>
      <c r="AN2013" s="51">
        <v>1561.0</v>
      </c>
      <c r="AO2013" s="42" t="s">
        <v>261</v>
      </c>
      <c r="AP2013" s="43" t="s">
        <v>261</v>
      </c>
      <c r="AQ2013" s="44" t="str">
        <f t="shared" si="230"/>
        <v>CRO</v>
      </c>
      <c r="AR2013" s="44">
        <f t="shared" si="199"/>
        <v>1561</v>
      </c>
      <c r="AS2013" s="44" t="str">
        <f t="shared" si="231"/>
        <v>B</v>
      </c>
      <c r="AT2013" s="44" t="str">
        <f t="shared" si="202"/>
        <v>BW</v>
      </c>
      <c r="AU2013" s="44" t="str">
        <f t="shared" si="203"/>
        <v>BWk</v>
      </c>
      <c r="AV2013" s="38">
        <v>2.0</v>
      </c>
      <c r="AW2013" s="38"/>
      <c r="AX2013" s="38"/>
      <c r="AY2013" s="38" t="s">
        <v>3052</v>
      </c>
      <c r="AZ2013" s="29">
        <v>300.0</v>
      </c>
      <c r="BA2013" s="29">
        <v>1.0</v>
      </c>
      <c r="BB2013" s="29">
        <v>1.0</v>
      </c>
      <c r="BC2013" s="29"/>
      <c r="BD2013" s="29"/>
      <c r="BE2013" s="29"/>
      <c r="BF2013" s="29" t="s">
        <v>3056</v>
      </c>
      <c r="BG2013" s="29" t="s">
        <v>572</v>
      </c>
      <c r="BH2013" s="29" t="s">
        <v>88</v>
      </c>
      <c r="BI2013" s="29" t="s">
        <v>3054</v>
      </c>
      <c r="BJ2013" s="29"/>
      <c r="BK2013" s="29" t="s">
        <v>3055</v>
      </c>
      <c r="BL2013" s="29" t="s">
        <v>3055</v>
      </c>
      <c r="BM2013" s="45"/>
      <c r="BN2013" s="45"/>
      <c r="BO2013" s="46"/>
      <c r="BP2013" s="2"/>
      <c r="BQ2013" s="3"/>
    </row>
    <row r="2014" ht="15.75" customHeight="1">
      <c r="A2014" s="34">
        <v>2149.0</v>
      </c>
      <c r="B2014" s="34">
        <v>103813.0</v>
      </c>
      <c r="C2014" s="34" t="s">
        <v>832</v>
      </c>
      <c r="D2014" s="34" t="s">
        <v>3044</v>
      </c>
      <c r="E2014" s="34" t="s">
        <v>3045</v>
      </c>
      <c r="F2014" s="34">
        <v>2016.0</v>
      </c>
      <c r="G2014" s="34" t="s">
        <v>3046</v>
      </c>
      <c r="H2014" s="34" t="s">
        <v>3047</v>
      </c>
      <c r="I2014" s="34" t="s">
        <v>3048</v>
      </c>
      <c r="J2014" s="35"/>
      <c r="K2014" s="36"/>
      <c r="L2014" s="36"/>
      <c r="M2014" s="36"/>
      <c r="N2014" s="36">
        <v>-48.996</v>
      </c>
      <c r="O2014" s="36">
        <v>486.594</v>
      </c>
      <c r="P2014" s="83">
        <f t="shared" si="232"/>
        <v>-10.06917471</v>
      </c>
      <c r="Q2014" s="36"/>
      <c r="R2014" s="36" t="s">
        <v>82</v>
      </c>
      <c r="S2014" s="36">
        <v>300.0</v>
      </c>
      <c r="T2014" s="36" t="s">
        <v>3049</v>
      </c>
      <c r="U2014" s="36" t="s">
        <v>255</v>
      </c>
      <c r="V2014" s="36">
        <v>10.0</v>
      </c>
      <c r="W2014" s="36"/>
      <c r="X2014" s="38">
        <v>1.0</v>
      </c>
      <c r="Y2014" s="38" t="s">
        <v>3058</v>
      </c>
      <c r="Z2014" s="38" t="s">
        <v>3059</v>
      </c>
      <c r="AA2014" s="38" t="s">
        <v>86</v>
      </c>
      <c r="AB2014" s="38">
        <v>38.86</v>
      </c>
      <c r="AC2014" s="38">
        <v>100.37</v>
      </c>
      <c r="AD2014" s="38" t="s">
        <v>198</v>
      </c>
      <c r="AE2014" s="53"/>
      <c r="AF2014" s="38" t="s">
        <v>797</v>
      </c>
      <c r="AG2014" s="66" t="s">
        <v>2928</v>
      </c>
      <c r="AH2014" s="38">
        <v>4.5</v>
      </c>
      <c r="AI2014" s="50">
        <v>38.86</v>
      </c>
      <c r="AJ2014" s="50">
        <v>100.37</v>
      </c>
      <c r="AK2014" s="41" t="s">
        <v>86</v>
      </c>
      <c r="AL2014" s="40" t="s">
        <v>86</v>
      </c>
      <c r="AM2014" s="49">
        <v>1561.0</v>
      </c>
      <c r="AN2014" s="51">
        <v>1561.0</v>
      </c>
      <c r="AO2014" s="42" t="s">
        <v>261</v>
      </c>
      <c r="AP2014" s="43" t="s">
        <v>261</v>
      </c>
      <c r="AQ2014" s="44" t="str">
        <f t="shared" si="230"/>
        <v>CRO</v>
      </c>
      <c r="AR2014" s="44">
        <f t="shared" si="199"/>
        <v>1561</v>
      </c>
      <c r="AS2014" s="44" t="str">
        <f t="shared" si="231"/>
        <v>B</v>
      </c>
      <c r="AT2014" s="44" t="str">
        <f t="shared" si="202"/>
        <v>BW</v>
      </c>
      <c r="AU2014" s="44" t="str">
        <f t="shared" si="203"/>
        <v>BWk</v>
      </c>
      <c r="AV2014" s="38">
        <v>2.0</v>
      </c>
      <c r="AW2014" s="38"/>
      <c r="AX2014" s="38"/>
      <c r="AY2014" s="38" t="s">
        <v>3052</v>
      </c>
      <c r="AZ2014" s="29">
        <v>300.0</v>
      </c>
      <c r="BA2014" s="29">
        <v>1.0</v>
      </c>
      <c r="BB2014" s="29">
        <v>1.0</v>
      </c>
      <c r="BC2014" s="29"/>
      <c r="BD2014" s="29"/>
      <c r="BE2014" s="29"/>
      <c r="BF2014" s="29" t="s">
        <v>3057</v>
      </c>
      <c r="BG2014" s="29" t="s">
        <v>572</v>
      </c>
      <c r="BH2014" s="29" t="s">
        <v>88</v>
      </c>
      <c r="BI2014" s="29" t="s">
        <v>3054</v>
      </c>
      <c r="BJ2014" s="29"/>
      <c r="BK2014" s="29" t="s">
        <v>3055</v>
      </c>
      <c r="BL2014" s="29" t="s">
        <v>3055</v>
      </c>
      <c r="BM2014" s="45"/>
      <c r="BN2014" s="45"/>
      <c r="BO2014" s="46"/>
      <c r="BP2014" s="2"/>
      <c r="BQ2014" s="3"/>
    </row>
    <row r="2015" ht="15.75" customHeight="1">
      <c r="A2015" s="34">
        <v>2150.0</v>
      </c>
      <c r="B2015" s="34">
        <v>103813.0</v>
      </c>
      <c r="C2015" s="34" t="s">
        <v>832</v>
      </c>
      <c r="D2015" s="34" t="s">
        <v>3044</v>
      </c>
      <c r="E2015" s="34" t="s">
        <v>3045</v>
      </c>
      <c r="F2015" s="34">
        <v>2016.0</v>
      </c>
      <c r="G2015" s="34" t="s">
        <v>3046</v>
      </c>
      <c r="H2015" s="34" t="s">
        <v>3047</v>
      </c>
      <c r="I2015" s="34" t="s">
        <v>3048</v>
      </c>
      <c r="J2015" s="35"/>
      <c r="K2015" s="36"/>
      <c r="L2015" s="36"/>
      <c r="M2015" s="36"/>
      <c r="N2015" s="36">
        <v>-20.3591</v>
      </c>
      <c r="O2015" s="36">
        <v>472.13</v>
      </c>
      <c r="P2015" s="83">
        <f t="shared" si="232"/>
        <v>-4.312180967</v>
      </c>
      <c r="Q2015" s="36"/>
      <c r="R2015" s="36" t="s">
        <v>82</v>
      </c>
      <c r="S2015" s="36">
        <v>300.0</v>
      </c>
      <c r="T2015" s="36" t="s">
        <v>3049</v>
      </c>
      <c r="U2015" s="36" t="s">
        <v>255</v>
      </c>
      <c r="V2015" s="36">
        <v>11.0</v>
      </c>
      <c r="W2015" s="36"/>
      <c r="X2015" s="38">
        <v>1.0</v>
      </c>
      <c r="Y2015" s="38" t="s">
        <v>3060</v>
      </c>
      <c r="Z2015" s="38" t="s">
        <v>3061</v>
      </c>
      <c r="AA2015" s="38" t="s">
        <v>86</v>
      </c>
      <c r="AB2015" s="38">
        <v>38.87</v>
      </c>
      <c r="AC2015" s="38">
        <v>100.34</v>
      </c>
      <c r="AD2015" s="38" t="s">
        <v>198</v>
      </c>
      <c r="AE2015" s="53"/>
      <c r="AF2015" s="38" t="s">
        <v>797</v>
      </c>
      <c r="AG2015" s="57" t="s">
        <v>2974</v>
      </c>
      <c r="AH2015" s="38">
        <v>3.5</v>
      </c>
      <c r="AI2015" s="50">
        <v>38.87</v>
      </c>
      <c r="AJ2015" s="50">
        <v>100.34</v>
      </c>
      <c r="AK2015" s="41" t="s">
        <v>86</v>
      </c>
      <c r="AL2015" s="40" t="s">
        <v>86</v>
      </c>
      <c r="AM2015" s="49">
        <v>1580.0</v>
      </c>
      <c r="AN2015" s="51">
        <v>1580.0</v>
      </c>
      <c r="AO2015" s="42" t="s">
        <v>261</v>
      </c>
      <c r="AP2015" s="43" t="s">
        <v>261</v>
      </c>
      <c r="AQ2015" s="44" t="str">
        <f t="shared" si="230"/>
        <v>CRO</v>
      </c>
      <c r="AR2015" s="44">
        <f t="shared" si="199"/>
        <v>1580</v>
      </c>
      <c r="AS2015" s="44" t="str">
        <f t="shared" si="231"/>
        <v>B</v>
      </c>
      <c r="AT2015" s="44" t="str">
        <f t="shared" si="202"/>
        <v>BW</v>
      </c>
      <c r="AU2015" s="44" t="str">
        <f t="shared" si="203"/>
        <v>BWk</v>
      </c>
      <c r="AV2015" s="38">
        <v>2.0</v>
      </c>
      <c r="AW2015" s="38"/>
      <c r="AX2015" s="38"/>
      <c r="AY2015" s="38" t="s">
        <v>3052</v>
      </c>
      <c r="AZ2015" s="29">
        <v>300.0</v>
      </c>
      <c r="BA2015" s="29">
        <v>1.0</v>
      </c>
      <c r="BB2015" s="29">
        <v>1.0</v>
      </c>
      <c r="BC2015" s="29"/>
      <c r="BD2015" s="29"/>
      <c r="BE2015" s="29"/>
      <c r="BF2015" s="29" t="s">
        <v>3053</v>
      </c>
      <c r="BG2015" s="29" t="s">
        <v>572</v>
      </c>
      <c r="BH2015" s="29" t="s">
        <v>88</v>
      </c>
      <c r="BI2015" s="29" t="s">
        <v>3054</v>
      </c>
      <c r="BJ2015" s="29"/>
      <c r="BK2015" s="29" t="s">
        <v>3055</v>
      </c>
      <c r="BL2015" s="29" t="s">
        <v>3055</v>
      </c>
      <c r="BM2015" s="45"/>
      <c r="BN2015" s="45"/>
      <c r="BO2015" s="46"/>
      <c r="BP2015" s="2"/>
      <c r="BQ2015" s="3"/>
    </row>
    <row r="2016" ht="15.75" customHeight="1">
      <c r="A2016" s="34">
        <v>2151.0</v>
      </c>
      <c r="B2016" s="34">
        <v>103813.0</v>
      </c>
      <c r="C2016" s="34" t="s">
        <v>832</v>
      </c>
      <c r="D2016" s="34" t="s">
        <v>3044</v>
      </c>
      <c r="E2016" s="34" t="s">
        <v>3045</v>
      </c>
      <c r="F2016" s="34">
        <v>2016.0</v>
      </c>
      <c r="G2016" s="34" t="s">
        <v>3046</v>
      </c>
      <c r="H2016" s="34" t="s">
        <v>3047</v>
      </c>
      <c r="I2016" s="34" t="s">
        <v>3048</v>
      </c>
      <c r="J2016" s="35"/>
      <c r="K2016" s="36"/>
      <c r="L2016" s="36"/>
      <c r="M2016" s="36"/>
      <c r="N2016" s="36">
        <v>-28.1264</v>
      </c>
      <c r="O2016" s="36">
        <v>472.13</v>
      </c>
      <c r="P2016" s="83">
        <f t="shared" si="232"/>
        <v>-5.957342257</v>
      </c>
      <c r="Q2016" s="36"/>
      <c r="R2016" s="36" t="s">
        <v>82</v>
      </c>
      <c r="S2016" s="36">
        <v>300.0</v>
      </c>
      <c r="T2016" s="36" t="s">
        <v>3049</v>
      </c>
      <c r="U2016" s="36" t="s">
        <v>255</v>
      </c>
      <c r="V2016" s="36">
        <v>11.0</v>
      </c>
      <c r="W2016" s="36"/>
      <c r="X2016" s="38">
        <v>1.0</v>
      </c>
      <c r="Y2016" s="38" t="s">
        <v>3060</v>
      </c>
      <c r="Z2016" s="38" t="s">
        <v>3061</v>
      </c>
      <c r="AA2016" s="38" t="s">
        <v>86</v>
      </c>
      <c r="AB2016" s="38">
        <v>38.87</v>
      </c>
      <c r="AC2016" s="38">
        <v>100.34</v>
      </c>
      <c r="AD2016" s="38" t="s">
        <v>198</v>
      </c>
      <c r="AE2016" s="53"/>
      <c r="AF2016" s="38" t="s">
        <v>797</v>
      </c>
      <c r="AG2016" s="57" t="s">
        <v>2974</v>
      </c>
      <c r="AH2016" s="38">
        <v>3.5</v>
      </c>
      <c r="AI2016" s="50">
        <v>38.87</v>
      </c>
      <c r="AJ2016" s="50">
        <v>100.34</v>
      </c>
      <c r="AK2016" s="41" t="s">
        <v>86</v>
      </c>
      <c r="AL2016" s="40" t="s">
        <v>86</v>
      </c>
      <c r="AM2016" s="49">
        <v>1580.0</v>
      </c>
      <c r="AN2016" s="51">
        <v>1580.0</v>
      </c>
      <c r="AO2016" s="42" t="s">
        <v>261</v>
      </c>
      <c r="AP2016" s="43" t="s">
        <v>261</v>
      </c>
      <c r="AQ2016" s="44" t="str">
        <f t="shared" si="230"/>
        <v>CRO</v>
      </c>
      <c r="AR2016" s="44">
        <f t="shared" si="199"/>
        <v>1580</v>
      </c>
      <c r="AS2016" s="44" t="str">
        <f t="shared" si="231"/>
        <v>B</v>
      </c>
      <c r="AT2016" s="44" t="str">
        <f t="shared" si="202"/>
        <v>BW</v>
      </c>
      <c r="AU2016" s="44" t="str">
        <f t="shared" si="203"/>
        <v>BWk</v>
      </c>
      <c r="AV2016" s="38">
        <v>2.0</v>
      </c>
      <c r="AW2016" s="38"/>
      <c r="AX2016" s="38"/>
      <c r="AY2016" s="38" t="s">
        <v>3052</v>
      </c>
      <c r="AZ2016" s="29">
        <v>300.0</v>
      </c>
      <c r="BA2016" s="29">
        <v>1.0</v>
      </c>
      <c r="BB2016" s="29">
        <v>1.0</v>
      </c>
      <c r="BC2016" s="29"/>
      <c r="BD2016" s="29"/>
      <c r="BE2016" s="29"/>
      <c r="BF2016" s="29" t="s">
        <v>3056</v>
      </c>
      <c r="BG2016" s="29" t="s">
        <v>572</v>
      </c>
      <c r="BH2016" s="29" t="s">
        <v>88</v>
      </c>
      <c r="BI2016" s="29" t="s">
        <v>3054</v>
      </c>
      <c r="BJ2016" s="29"/>
      <c r="BK2016" s="29" t="s">
        <v>3055</v>
      </c>
      <c r="BL2016" s="29" t="s">
        <v>3055</v>
      </c>
      <c r="BM2016" s="45"/>
      <c r="BN2016" s="45"/>
      <c r="BO2016" s="46"/>
      <c r="BP2016" s="2"/>
      <c r="BQ2016" s="3"/>
    </row>
    <row r="2017" ht="15.75" customHeight="1">
      <c r="A2017" s="34">
        <v>2152.0</v>
      </c>
      <c r="B2017" s="34">
        <v>103813.0</v>
      </c>
      <c r="C2017" s="34" t="s">
        <v>832</v>
      </c>
      <c r="D2017" s="34" t="s">
        <v>3044</v>
      </c>
      <c r="E2017" s="34" t="s">
        <v>3045</v>
      </c>
      <c r="F2017" s="34">
        <v>2016.0</v>
      </c>
      <c r="G2017" s="34" t="s">
        <v>3046</v>
      </c>
      <c r="H2017" s="34" t="s">
        <v>3047</v>
      </c>
      <c r="I2017" s="34" t="s">
        <v>3048</v>
      </c>
      <c r="J2017" s="35"/>
      <c r="K2017" s="36"/>
      <c r="L2017" s="36"/>
      <c r="M2017" s="36"/>
      <c r="N2017" s="36">
        <v>-27.8982</v>
      </c>
      <c r="O2017" s="36">
        <v>472.13</v>
      </c>
      <c r="P2017" s="83">
        <f t="shared" si="232"/>
        <v>-5.909008112</v>
      </c>
      <c r="Q2017" s="36"/>
      <c r="R2017" s="36" t="s">
        <v>82</v>
      </c>
      <c r="S2017" s="36">
        <v>300.0</v>
      </c>
      <c r="T2017" s="36" t="s">
        <v>3049</v>
      </c>
      <c r="U2017" s="36" t="s">
        <v>255</v>
      </c>
      <c r="V2017" s="36">
        <v>11.0</v>
      </c>
      <c r="W2017" s="36"/>
      <c r="X2017" s="38">
        <v>1.0</v>
      </c>
      <c r="Y2017" s="38" t="s">
        <v>3060</v>
      </c>
      <c r="Z2017" s="38" t="s">
        <v>3061</v>
      </c>
      <c r="AA2017" s="38" t="s">
        <v>86</v>
      </c>
      <c r="AB2017" s="38">
        <v>38.87</v>
      </c>
      <c r="AC2017" s="38">
        <v>100.34</v>
      </c>
      <c r="AD2017" s="38" t="s">
        <v>198</v>
      </c>
      <c r="AE2017" s="53"/>
      <c r="AF2017" s="38" t="s">
        <v>797</v>
      </c>
      <c r="AG2017" s="57" t="s">
        <v>1459</v>
      </c>
      <c r="AH2017" s="38">
        <v>3.5</v>
      </c>
      <c r="AI2017" s="50">
        <v>38.87</v>
      </c>
      <c r="AJ2017" s="50">
        <v>100.34</v>
      </c>
      <c r="AK2017" s="41" t="s">
        <v>86</v>
      </c>
      <c r="AL2017" s="40" t="s">
        <v>86</v>
      </c>
      <c r="AM2017" s="49">
        <v>1580.0</v>
      </c>
      <c r="AN2017" s="51">
        <v>1580.0</v>
      </c>
      <c r="AO2017" s="42" t="s">
        <v>261</v>
      </c>
      <c r="AP2017" s="43" t="s">
        <v>261</v>
      </c>
      <c r="AQ2017" s="44" t="str">
        <f t="shared" si="230"/>
        <v>CRO</v>
      </c>
      <c r="AR2017" s="44">
        <f t="shared" si="199"/>
        <v>1580</v>
      </c>
      <c r="AS2017" s="44" t="str">
        <f t="shared" si="231"/>
        <v>B</v>
      </c>
      <c r="AT2017" s="44" t="str">
        <f t="shared" si="202"/>
        <v>BW</v>
      </c>
      <c r="AU2017" s="44" t="str">
        <f t="shared" si="203"/>
        <v>BWk</v>
      </c>
      <c r="AV2017" s="38">
        <v>2.0</v>
      </c>
      <c r="AW2017" s="38"/>
      <c r="AX2017" s="38"/>
      <c r="AY2017" s="38" t="s">
        <v>3052</v>
      </c>
      <c r="AZ2017" s="29">
        <v>300.0</v>
      </c>
      <c r="BA2017" s="29">
        <v>1.0</v>
      </c>
      <c r="BB2017" s="29">
        <v>1.0</v>
      </c>
      <c r="BC2017" s="29"/>
      <c r="BD2017" s="29"/>
      <c r="BE2017" s="29"/>
      <c r="BF2017" s="29" t="s">
        <v>3057</v>
      </c>
      <c r="BG2017" s="29" t="s">
        <v>572</v>
      </c>
      <c r="BH2017" s="29" t="s">
        <v>88</v>
      </c>
      <c r="BI2017" s="29" t="s">
        <v>3054</v>
      </c>
      <c r="BJ2017" s="29"/>
      <c r="BK2017" s="29" t="s">
        <v>3055</v>
      </c>
      <c r="BL2017" s="29" t="s">
        <v>3055</v>
      </c>
      <c r="BM2017" s="45"/>
      <c r="BN2017" s="45"/>
      <c r="BO2017" s="46"/>
      <c r="BP2017" s="2"/>
      <c r="BQ2017" s="3"/>
    </row>
    <row r="2018" ht="15.75" customHeight="1">
      <c r="A2018" s="34">
        <v>2153.0</v>
      </c>
      <c r="B2018" s="34">
        <v>103789.0</v>
      </c>
      <c r="C2018" s="34" t="s">
        <v>832</v>
      </c>
      <c r="D2018" s="34" t="s">
        <v>3062</v>
      </c>
      <c r="E2018" s="34" t="s">
        <v>3063</v>
      </c>
      <c r="F2018" s="34">
        <v>2016.0</v>
      </c>
      <c r="G2018" s="34" t="s">
        <v>3064</v>
      </c>
      <c r="H2018" s="34" t="s">
        <v>2449</v>
      </c>
      <c r="I2018" s="34" t="s">
        <v>3065</v>
      </c>
      <c r="J2018" s="35"/>
      <c r="K2018" s="36"/>
      <c r="L2018" s="36"/>
      <c r="M2018" s="36"/>
      <c r="N2018" s="36"/>
      <c r="O2018" s="36"/>
      <c r="P2018" s="37">
        <v>37.4</v>
      </c>
      <c r="Q2018" s="36"/>
      <c r="R2018" s="36" t="s">
        <v>3066</v>
      </c>
      <c r="S2018" s="36">
        <v>25000.0</v>
      </c>
      <c r="T2018" s="36" t="s">
        <v>317</v>
      </c>
      <c r="U2018" s="36" t="s">
        <v>342</v>
      </c>
      <c r="V2018" s="36"/>
      <c r="W2018" s="36"/>
      <c r="X2018" s="38">
        <v>24.0</v>
      </c>
      <c r="Y2018" s="38" t="s">
        <v>3067</v>
      </c>
      <c r="Z2018" s="38"/>
      <c r="AA2018" s="38"/>
      <c r="AB2018" s="38"/>
      <c r="AC2018" s="38"/>
      <c r="AD2018" s="38" t="s">
        <v>3068</v>
      </c>
      <c r="AE2018" s="53"/>
      <c r="AF2018" s="38"/>
      <c r="AG2018" s="38"/>
      <c r="AH2018" s="38"/>
      <c r="AI2018" s="50"/>
      <c r="AJ2018" s="50"/>
      <c r="AK2018" s="41"/>
      <c r="AL2018" s="40"/>
      <c r="AM2018" s="49"/>
      <c r="AN2018" s="43"/>
      <c r="AO2018" s="42"/>
      <c r="AP2018" s="43"/>
      <c r="AQ2018" s="44" t="str">
        <f t="shared" si="230"/>
        <v/>
      </c>
      <c r="AR2018" s="44" t="str">
        <f t="shared" si="199"/>
        <v/>
      </c>
      <c r="AS2018" s="44"/>
      <c r="AT2018" s="44" t="str">
        <f t="shared" si="202"/>
        <v/>
      </c>
      <c r="AU2018" s="44" t="str">
        <f t="shared" si="203"/>
        <v/>
      </c>
      <c r="AV2018" s="38">
        <v>2.0</v>
      </c>
      <c r="AW2018" s="38">
        <v>1.0</v>
      </c>
      <c r="AX2018" s="38"/>
      <c r="AY2018" s="38"/>
      <c r="AZ2018" s="29">
        <v>25000.0</v>
      </c>
      <c r="BA2018" s="29">
        <v>1.0</v>
      </c>
      <c r="BB2018" s="29">
        <v>1.0</v>
      </c>
      <c r="BC2018" s="29"/>
      <c r="BD2018" s="29" t="s">
        <v>88</v>
      </c>
      <c r="BE2018" s="29"/>
      <c r="BF2018" s="29" t="s">
        <v>881</v>
      </c>
      <c r="BG2018" s="29" t="s">
        <v>203</v>
      </c>
      <c r="BH2018" s="29" t="s">
        <v>88</v>
      </c>
      <c r="BI2018" s="29" t="s">
        <v>3069</v>
      </c>
      <c r="BJ2018" s="29"/>
      <c r="BK2018" s="29" t="s">
        <v>3070</v>
      </c>
      <c r="BL2018" s="29" t="s">
        <v>3071</v>
      </c>
      <c r="BM2018" s="45">
        <v>1.0</v>
      </c>
      <c r="BN2018" s="45"/>
      <c r="BO2018" s="46" t="s">
        <v>3072</v>
      </c>
      <c r="BP2018" s="2"/>
      <c r="BQ2018" s="3"/>
    </row>
    <row r="2019" ht="15.75" customHeight="1">
      <c r="A2019" s="34">
        <v>2154.0</v>
      </c>
      <c r="B2019" s="34">
        <v>103789.0</v>
      </c>
      <c r="C2019" s="34" t="s">
        <v>832</v>
      </c>
      <c r="D2019" s="34" t="s">
        <v>3062</v>
      </c>
      <c r="E2019" s="34" t="s">
        <v>3063</v>
      </c>
      <c r="F2019" s="34">
        <v>2016.0</v>
      </c>
      <c r="G2019" s="34" t="s">
        <v>3064</v>
      </c>
      <c r="H2019" s="34" t="s">
        <v>2449</v>
      </c>
      <c r="I2019" s="34" t="s">
        <v>3065</v>
      </c>
      <c r="J2019" s="35"/>
      <c r="K2019" s="36"/>
      <c r="L2019" s="36"/>
      <c r="M2019" s="36"/>
      <c r="N2019" s="36"/>
      <c r="O2019" s="36"/>
      <c r="P2019" s="37">
        <v>21.8</v>
      </c>
      <c r="Q2019" s="36"/>
      <c r="R2019" s="36" t="s">
        <v>96</v>
      </c>
      <c r="S2019" s="36">
        <v>25000.0</v>
      </c>
      <c r="T2019" s="36" t="s">
        <v>317</v>
      </c>
      <c r="U2019" s="36" t="s">
        <v>342</v>
      </c>
      <c r="V2019" s="36"/>
      <c r="W2019" s="36"/>
      <c r="X2019" s="38">
        <v>24.0</v>
      </c>
      <c r="Y2019" s="38" t="s">
        <v>3067</v>
      </c>
      <c r="Z2019" s="38"/>
      <c r="AA2019" s="38"/>
      <c r="AB2019" s="38"/>
      <c r="AC2019" s="38"/>
      <c r="AD2019" s="38" t="s">
        <v>3068</v>
      </c>
      <c r="AE2019" s="53"/>
      <c r="AF2019" s="38"/>
      <c r="AG2019" s="38"/>
      <c r="AH2019" s="38"/>
      <c r="AI2019" s="50"/>
      <c r="AJ2019" s="50"/>
      <c r="AK2019" s="41"/>
      <c r="AL2019" s="40"/>
      <c r="AM2019" s="49"/>
      <c r="AN2019" s="43"/>
      <c r="AO2019" s="42"/>
      <c r="AP2019" s="43"/>
      <c r="AQ2019" s="44" t="str">
        <f t="shared" si="230"/>
        <v/>
      </c>
      <c r="AR2019" s="44" t="str">
        <f t="shared" si="199"/>
        <v/>
      </c>
      <c r="AS2019" s="44"/>
      <c r="AT2019" s="44" t="str">
        <f t="shared" si="202"/>
        <v/>
      </c>
      <c r="AU2019" s="44" t="str">
        <f t="shared" si="203"/>
        <v/>
      </c>
      <c r="AV2019" s="38">
        <v>2.0</v>
      </c>
      <c r="AW2019" s="38">
        <v>1.0</v>
      </c>
      <c r="AX2019" s="38"/>
      <c r="AY2019" s="38"/>
      <c r="AZ2019" s="29">
        <v>25000.0</v>
      </c>
      <c r="BA2019" s="29">
        <v>1.0</v>
      </c>
      <c r="BB2019" s="29">
        <v>1.0</v>
      </c>
      <c r="BC2019" s="29"/>
      <c r="BD2019" s="29" t="s">
        <v>88</v>
      </c>
      <c r="BE2019" s="29"/>
      <c r="BF2019" s="29" t="s">
        <v>881</v>
      </c>
      <c r="BG2019" s="29" t="s">
        <v>203</v>
      </c>
      <c r="BH2019" s="29" t="s">
        <v>88</v>
      </c>
      <c r="BI2019" s="29" t="s">
        <v>3069</v>
      </c>
      <c r="BJ2019" s="29"/>
      <c r="BK2019" s="29" t="s">
        <v>3070</v>
      </c>
      <c r="BL2019" s="29" t="s">
        <v>3071</v>
      </c>
      <c r="BM2019" s="45"/>
      <c r="BN2019" s="45"/>
      <c r="BO2019" s="46"/>
      <c r="BP2019" s="2"/>
      <c r="BQ2019" s="3"/>
    </row>
    <row r="2020" ht="15.75" customHeight="1">
      <c r="A2020" s="34">
        <v>2155.0</v>
      </c>
      <c r="B2020" s="34">
        <v>103789.0</v>
      </c>
      <c r="C2020" s="34" t="s">
        <v>832</v>
      </c>
      <c r="D2020" s="34" t="s">
        <v>3062</v>
      </c>
      <c r="E2020" s="34" t="s">
        <v>3063</v>
      </c>
      <c r="F2020" s="34">
        <v>2016.0</v>
      </c>
      <c r="G2020" s="34" t="s">
        <v>3064</v>
      </c>
      <c r="H2020" s="34" t="s">
        <v>2449</v>
      </c>
      <c r="I2020" s="34" t="s">
        <v>3065</v>
      </c>
      <c r="J2020" s="35"/>
      <c r="K2020" s="36"/>
      <c r="L2020" s="36"/>
      <c r="M2020" s="36"/>
      <c r="N2020" s="36"/>
      <c r="O2020" s="36"/>
      <c r="P2020" s="37">
        <v>-18.2</v>
      </c>
      <c r="Q2020" s="36"/>
      <c r="R2020" s="36" t="s">
        <v>3066</v>
      </c>
      <c r="S2020" s="36">
        <v>25000.0</v>
      </c>
      <c r="T2020" s="36" t="s">
        <v>317</v>
      </c>
      <c r="U2020" s="36" t="s">
        <v>342</v>
      </c>
      <c r="V2020" s="36"/>
      <c r="W2020" s="36"/>
      <c r="X2020" s="38">
        <v>24.0</v>
      </c>
      <c r="Y2020" s="38" t="s">
        <v>3067</v>
      </c>
      <c r="Z2020" s="38"/>
      <c r="AA2020" s="38"/>
      <c r="AB2020" s="38"/>
      <c r="AC2020" s="38"/>
      <c r="AD2020" s="38" t="s">
        <v>3068</v>
      </c>
      <c r="AE2020" s="53"/>
      <c r="AF2020" s="38"/>
      <c r="AG2020" s="38"/>
      <c r="AH2020" s="38"/>
      <c r="AI2020" s="50"/>
      <c r="AJ2020" s="50"/>
      <c r="AK2020" s="41"/>
      <c r="AL2020" s="40"/>
      <c r="AM2020" s="49"/>
      <c r="AN2020" s="43"/>
      <c r="AO2020" s="42"/>
      <c r="AP2020" s="43"/>
      <c r="AQ2020" s="44" t="str">
        <f t="shared" si="230"/>
        <v/>
      </c>
      <c r="AR2020" s="44" t="str">
        <f t="shared" si="199"/>
        <v/>
      </c>
      <c r="AS2020" s="44"/>
      <c r="AT2020" s="44" t="str">
        <f t="shared" si="202"/>
        <v/>
      </c>
      <c r="AU2020" s="44" t="str">
        <f t="shared" si="203"/>
        <v/>
      </c>
      <c r="AV2020" s="38">
        <v>2.0</v>
      </c>
      <c r="AW2020" s="38">
        <v>1.0</v>
      </c>
      <c r="AX2020" s="38"/>
      <c r="AY2020" s="38"/>
      <c r="AZ2020" s="29">
        <v>25000.0</v>
      </c>
      <c r="BA2020" s="29">
        <v>1.0</v>
      </c>
      <c r="BB2020" s="29">
        <v>1.0</v>
      </c>
      <c r="BC2020" s="29"/>
      <c r="BD2020" s="29" t="s">
        <v>88</v>
      </c>
      <c r="BE2020" s="29"/>
      <c r="BF2020" s="29" t="s">
        <v>1902</v>
      </c>
      <c r="BG2020" s="29" t="s">
        <v>220</v>
      </c>
      <c r="BH2020" s="29" t="s">
        <v>88</v>
      </c>
      <c r="BI2020" s="29" t="s">
        <v>3069</v>
      </c>
      <c r="BJ2020" s="29"/>
      <c r="BK2020" s="29" t="s">
        <v>3070</v>
      </c>
      <c r="BL2020" s="29" t="s">
        <v>3071</v>
      </c>
      <c r="BM2020" s="45"/>
      <c r="BN2020" s="45"/>
      <c r="BO2020" s="46"/>
      <c r="BP2020" s="2"/>
      <c r="BQ2020" s="3"/>
    </row>
    <row r="2021" ht="15.75" customHeight="1">
      <c r="A2021" s="34">
        <v>2156.0</v>
      </c>
      <c r="B2021" s="34">
        <v>103789.0</v>
      </c>
      <c r="C2021" s="34" t="s">
        <v>832</v>
      </c>
      <c r="D2021" s="34" t="s">
        <v>3062</v>
      </c>
      <c r="E2021" s="34" t="s">
        <v>3063</v>
      </c>
      <c r="F2021" s="34">
        <v>2016.0</v>
      </c>
      <c r="G2021" s="34" t="s">
        <v>3064</v>
      </c>
      <c r="H2021" s="34" t="s">
        <v>2449</v>
      </c>
      <c r="I2021" s="34" t="s">
        <v>3065</v>
      </c>
      <c r="J2021" s="35"/>
      <c r="K2021" s="36"/>
      <c r="L2021" s="36"/>
      <c r="M2021" s="36"/>
      <c r="N2021" s="36"/>
      <c r="O2021" s="36"/>
      <c r="P2021" s="37">
        <v>-11.3</v>
      </c>
      <c r="Q2021" s="36"/>
      <c r="R2021" s="36" t="s">
        <v>96</v>
      </c>
      <c r="S2021" s="36">
        <v>25000.0</v>
      </c>
      <c r="T2021" s="36" t="s">
        <v>317</v>
      </c>
      <c r="U2021" s="36" t="s">
        <v>342</v>
      </c>
      <c r="V2021" s="36"/>
      <c r="W2021" s="36"/>
      <c r="X2021" s="38">
        <v>24.0</v>
      </c>
      <c r="Y2021" s="38" t="s">
        <v>3067</v>
      </c>
      <c r="Z2021" s="38"/>
      <c r="AA2021" s="38"/>
      <c r="AB2021" s="38"/>
      <c r="AC2021" s="38"/>
      <c r="AD2021" s="38" t="s">
        <v>3068</v>
      </c>
      <c r="AE2021" s="53"/>
      <c r="AF2021" s="38"/>
      <c r="AG2021" s="38"/>
      <c r="AH2021" s="38"/>
      <c r="AI2021" s="50"/>
      <c r="AJ2021" s="50"/>
      <c r="AK2021" s="41"/>
      <c r="AL2021" s="40"/>
      <c r="AM2021" s="49"/>
      <c r="AN2021" s="43"/>
      <c r="AO2021" s="42"/>
      <c r="AP2021" s="43"/>
      <c r="AQ2021" s="44" t="str">
        <f t="shared" si="230"/>
        <v/>
      </c>
      <c r="AR2021" s="44" t="str">
        <f t="shared" si="199"/>
        <v/>
      </c>
      <c r="AS2021" s="44"/>
      <c r="AT2021" s="44" t="str">
        <f t="shared" si="202"/>
        <v/>
      </c>
      <c r="AU2021" s="44" t="str">
        <f t="shared" si="203"/>
        <v/>
      </c>
      <c r="AV2021" s="38">
        <v>2.0</v>
      </c>
      <c r="AW2021" s="38">
        <v>1.0</v>
      </c>
      <c r="AX2021" s="38"/>
      <c r="AY2021" s="38"/>
      <c r="AZ2021" s="29">
        <v>25000.0</v>
      </c>
      <c r="BA2021" s="29">
        <v>1.0</v>
      </c>
      <c r="BB2021" s="29">
        <v>1.0</v>
      </c>
      <c r="BC2021" s="29"/>
      <c r="BD2021" s="29" t="s">
        <v>88</v>
      </c>
      <c r="BE2021" s="29"/>
      <c r="BF2021" s="29" t="s">
        <v>1902</v>
      </c>
      <c r="BG2021" s="29" t="s">
        <v>220</v>
      </c>
      <c r="BH2021" s="29" t="s">
        <v>88</v>
      </c>
      <c r="BI2021" s="29" t="s">
        <v>3069</v>
      </c>
      <c r="BJ2021" s="29"/>
      <c r="BK2021" s="29" t="s">
        <v>3070</v>
      </c>
      <c r="BL2021" s="29" t="s">
        <v>3071</v>
      </c>
      <c r="BM2021" s="45"/>
      <c r="BN2021" s="45"/>
      <c r="BO2021" s="46"/>
      <c r="BP2021" s="2"/>
      <c r="BQ2021" s="3"/>
    </row>
    <row r="2022" ht="15.75" customHeight="1">
      <c r="A2022" s="34">
        <v>2157.0</v>
      </c>
      <c r="B2022" s="34">
        <v>103789.0</v>
      </c>
      <c r="C2022" s="34" t="s">
        <v>832</v>
      </c>
      <c r="D2022" s="34" t="s">
        <v>3062</v>
      </c>
      <c r="E2022" s="34" t="s">
        <v>3063</v>
      </c>
      <c r="F2022" s="34">
        <v>2016.0</v>
      </c>
      <c r="G2022" s="34" t="s">
        <v>3064</v>
      </c>
      <c r="H2022" s="34" t="s">
        <v>2449</v>
      </c>
      <c r="I2022" s="34" t="s">
        <v>3065</v>
      </c>
      <c r="J2022" s="35"/>
      <c r="K2022" s="36"/>
      <c r="L2022" s="36"/>
      <c r="M2022" s="36"/>
      <c r="N2022" s="36"/>
      <c r="O2022" s="36"/>
      <c r="P2022" s="37">
        <v>78.4</v>
      </c>
      <c r="Q2022" s="36"/>
      <c r="R2022" s="36" t="s">
        <v>3066</v>
      </c>
      <c r="S2022" s="36">
        <v>25000.0</v>
      </c>
      <c r="T2022" s="36" t="s">
        <v>317</v>
      </c>
      <c r="U2022" s="36" t="s">
        <v>342</v>
      </c>
      <c r="V2022" s="36"/>
      <c r="W2022" s="36"/>
      <c r="X2022" s="38">
        <v>24.0</v>
      </c>
      <c r="Y2022" s="38" t="s">
        <v>3067</v>
      </c>
      <c r="Z2022" s="38"/>
      <c r="AA2022" s="38"/>
      <c r="AB2022" s="38"/>
      <c r="AC2022" s="38"/>
      <c r="AD2022" s="38" t="s">
        <v>3068</v>
      </c>
      <c r="AE2022" s="53"/>
      <c r="AF2022" s="38"/>
      <c r="AG2022" s="38"/>
      <c r="AH2022" s="38"/>
      <c r="AI2022" s="50"/>
      <c r="AJ2022" s="50"/>
      <c r="AK2022" s="41"/>
      <c r="AL2022" s="40"/>
      <c r="AM2022" s="49"/>
      <c r="AN2022" s="43"/>
      <c r="AO2022" s="42"/>
      <c r="AP2022" s="43"/>
      <c r="AQ2022" s="44" t="str">
        <f t="shared" si="230"/>
        <v/>
      </c>
      <c r="AR2022" s="44" t="str">
        <f t="shared" si="199"/>
        <v/>
      </c>
      <c r="AS2022" s="44"/>
      <c r="AT2022" s="44" t="str">
        <f t="shared" si="202"/>
        <v/>
      </c>
      <c r="AU2022" s="44" t="str">
        <f t="shared" si="203"/>
        <v/>
      </c>
      <c r="AV2022" s="38">
        <v>2.0</v>
      </c>
      <c r="AW2022" s="38">
        <v>1.0</v>
      </c>
      <c r="AX2022" s="38"/>
      <c r="AY2022" s="38"/>
      <c r="AZ2022" s="29">
        <v>25000.0</v>
      </c>
      <c r="BA2022" s="29">
        <v>1.0</v>
      </c>
      <c r="BB2022" s="29">
        <v>1.0</v>
      </c>
      <c r="BC2022" s="29"/>
      <c r="BD2022" s="29" t="s">
        <v>88</v>
      </c>
      <c r="BE2022" s="29"/>
      <c r="BF2022" s="29" t="s">
        <v>936</v>
      </c>
      <c r="BG2022" s="29" t="s">
        <v>572</v>
      </c>
      <c r="BH2022" s="29" t="s">
        <v>88</v>
      </c>
      <c r="BI2022" s="29" t="s">
        <v>3069</v>
      </c>
      <c r="BJ2022" s="29"/>
      <c r="BK2022" s="29" t="s">
        <v>3070</v>
      </c>
      <c r="BL2022" s="29" t="s">
        <v>3071</v>
      </c>
      <c r="BM2022" s="45"/>
      <c r="BN2022" s="45"/>
      <c r="BO2022" s="46"/>
      <c r="BP2022" s="2"/>
      <c r="BQ2022" s="3"/>
    </row>
    <row r="2023" ht="15.75" customHeight="1">
      <c r="A2023" s="34">
        <v>2158.0</v>
      </c>
      <c r="B2023" s="34">
        <v>103789.0</v>
      </c>
      <c r="C2023" s="34" t="s">
        <v>832</v>
      </c>
      <c r="D2023" s="34" t="s">
        <v>3062</v>
      </c>
      <c r="E2023" s="34" t="s">
        <v>3063</v>
      </c>
      <c r="F2023" s="34">
        <v>2016.0</v>
      </c>
      <c r="G2023" s="34" t="s">
        <v>3064</v>
      </c>
      <c r="H2023" s="34" t="s">
        <v>2449</v>
      </c>
      <c r="I2023" s="34" t="s">
        <v>3065</v>
      </c>
      <c r="J2023" s="35"/>
      <c r="K2023" s="36"/>
      <c r="L2023" s="36"/>
      <c r="M2023" s="36"/>
      <c r="N2023" s="36"/>
      <c r="O2023" s="36"/>
      <c r="P2023" s="37">
        <v>48.5</v>
      </c>
      <c r="Q2023" s="36"/>
      <c r="R2023" s="36" t="s">
        <v>96</v>
      </c>
      <c r="S2023" s="36">
        <v>25000.0</v>
      </c>
      <c r="T2023" s="36" t="s">
        <v>317</v>
      </c>
      <c r="U2023" s="36" t="s">
        <v>342</v>
      </c>
      <c r="V2023" s="36"/>
      <c r="W2023" s="36"/>
      <c r="X2023" s="38">
        <v>24.0</v>
      </c>
      <c r="Y2023" s="38" t="s">
        <v>3067</v>
      </c>
      <c r="Z2023" s="38"/>
      <c r="AA2023" s="38"/>
      <c r="AB2023" s="38"/>
      <c r="AC2023" s="38"/>
      <c r="AD2023" s="38" t="s">
        <v>3068</v>
      </c>
      <c r="AE2023" s="53"/>
      <c r="AF2023" s="38"/>
      <c r="AG2023" s="38"/>
      <c r="AH2023" s="38"/>
      <c r="AI2023" s="50"/>
      <c r="AJ2023" s="50"/>
      <c r="AK2023" s="41"/>
      <c r="AL2023" s="40"/>
      <c r="AM2023" s="49"/>
      <c r="AN2023" s="43"/>
      <c r="AO2023" s="42"/>
      <c r="AP2023" s="43"/>
      <c r="AQ2023" s="44" t="str">
        <f t="shared" si="230"/>
        <v/>
      </c>
      <c r="AR2023" s="44" t="str">
        <f t="shared" si="199"/>
        <v/>
      </c>
      <c r="AS2023" s="44"/>
      <c r="AT2023" s="44" t="str">
        <f t="shared" si="202"/>
        <v/>
      </c>
      <c r="AU2023" s="44" t="str">
        <f t="shared" si="203"/>
        <v/>
      </c>
      <c r="AV2023" s="38">
        <v>2.0</v>
      </c>
      <c r="AW2023" s="38">
        <v>1.0</v>
      </c>
      <c r="AX2023" s="38"/>
      <c r="AY2023" s="38"/>
      <c r="AZ2023" s="29">
        <v>25000.0</v>
      </c>
      <c r="BA2023" s="29">
        <v>1.0</v>
      </c>
      <c r="BB2023" s="29">
        <v>1.0</v>
      </c>
      <c r="BC2023" s="29"/>
      <c r="BD2023" s="29" t="s">
        <v>88</v>
      </c>
      <c r="BE2023" s="29"/>
      <c r="BF2023" s="29" t="s">
        <v>936</v>
      </c>
      <c r="BG2023" s="29" t="s">
        <v>572</v>
      </c>
      <c r="BH2023" s="29" t="s">
        <v>88</v>
      </c>
      <c r="BI2023" s="29" t="s">
        <v>3069</v>
      </c>
      <c r="BJ2023" s="29"/>
      <c r="BK2023" s="29" t="s">
        <v>3070</v>
      </c>
      <c r="BL2023" s="29" t="s">
        <v>3071</v>
      </c>
      <c r="BM2023" s="45"/>
      <c r="BN2023" s="45"/>
      <c r="BO2023" s="46"/>
      <c r="BP2023" s="2"/>
      <c r="BQ2023" s="3"/>
    </row>
    <row r="2024" ht="15.75" customHeight="1">
      <c r="A2024" s="34">
        <v>2159.0</v>
      </c>
      <c r="B2024" s="34">
        <v>103789.0</v>
      </c>
      <c r="C2024" s="34" t="s">
        <v>832</v>
      </c>
      <c r="D2024" s="34" t="s">
        <v>3062</v>
      </c>
      <c r="E2024" s="34" t="s">
        <v>3063</v>
      </c>
      <c r="F2024" s="34">
        <v>2016.0</v>
      </c>
      <c r="G2024" s="34" t="s">
        <v>3064</v>
      </c>
      <c r="H2024" s="34" t="s">
        <v>2449</v>
      </c>
      <c r="I2024" s="34" t="s">
        <v>3065</v>
      </c>
      <c r="J2024" s="35"/>
      <c r="K2024" s="36"/>
      <c r="L2024" s="36"/>
      <c r="M2024" s="36"/>
      <c r="N2024" s="36"/>
      <c r="O2024" s="36"/>
      <c r="P2024" s="37">
        <v>-8.7</v>
      </c>
      <c r="Q2024" s="36"/>
      <c r="R2024" s="36" t="s">
        <v>3066</v>
      </c>
      <c r="S2024" s="36">
        <v>25000.0</v>
      </c>
      <c r="T2024" s="36" t="s">
        <v>317</v>
      </c>
      <c r="U2024" s="36" t="s">
        <v>342</v>
      </c>
      <c r="V2024" s="36"/>
      <c r="W2024" s="36"/>
      <c r="X2024" s="38">
        <v>24.0</v>
      </c>
      <c r="Y2024" s="38" t="s">
        <v>3067</v>
      </c>
      <c r="Z2024" s="38"/>
      <c r="AA2024" s="38"/>
      <c r="AB2024" s="38"/>
      <c r="AC2024" s="38"/>
      <c r="AD2024" s="38" t="s">
        <v>3068</v>
      </c>
      <c r="AE2024" s="53"/>
      <c r="AF2024" s="38"/>
      <c r="AG2024" s="38"/>
      <c r="AH2024" s="38"/>
      <c r="AI2024" s="50"/>
      <c r="AJ2024" s="50"/>
      <c r="AK2024" s="41"/>
      <c r="AL2024" s="40"/>
      <c r="AM2024" s="49"/>
      <c r="AN2024" s="43"/>
      <c r="AO2024" s="42"/>
      <c r="AP2024" s="43"/>
      <c r="AQ2024" s="44" t="str">
        <f t="shared" si="230"/>
        <v/>
      </c>
      <c r="AR2024" s="44" t="str">
        <f t="shared" si="199"/>
        <v/>
      </c>
      <c r="AS2024" s="44"/>
      <c r="AT2024" s="44" t="str">
        <f t="shared" si="202"/>
        <v/>
      </c>
      <c r="AU2024" s="44" t="str">
        <f t="shared" si="203"/>
        <v/>
      </c>
      <c r="AV2024" s="38">
        <v>2.0</v>
      </c>
      <c r="AW2024" s="38">
        <v>1.0</v>
      </c>
      <c r="AX2024" s="38"/>
      <c r="AY2024" s="38"/>
      <c r="AZ2024" s="29">
        <v>25000.0</v>
      </c>
      <c r="BA2024" s="29">
        <v>1.0</v>
      </c>
      <c r="BB2024" s="29">
        <v>1.0</v>
      </c>
      <c r="BC2024" s="29"/>
      <c r="BD2024" s="29" t="s">
        <v>88</v>
      </c>
      <c r="BE2024" s="29"/>
      <c r="BF2024" s="29" t="s">
        <v>202</v>
      </c>
      <c r="BG2024" s="29" t="s">
        <v>203</v>
      </c>
      <c r="BH2024" s="29" t="s">
        <v>88</v>
      </c>
      <c r="BI2024" s="29" t="s">
        <v>3069</v>
      </c>
      <c r="BJ2024" s="29"/>
      <c r="BK2024" s="29" t="s">
        <v>3070</v>
      </c>
      <c r="BL2024" s="29" t="s">
        <v>3071</v>
      </c>
      <c r="BM2024" s="45"/>
      <c r="BN2024" s="45"/>
      <c r="BO2024" s="46"/>
      <c r="BP2024" s="2"/>
      <c r="BQ2024" s="3"/>
    </row>
    <row r="2025" ht="15.75" customHeight="1">
      <c r="A2025" s="34">
        <v>2160.0</v>
      </c>
      <c r="B2025" s="34">
        <v>103789.0</v>
      </c>
      <c r="C2025" s="34" t="s">
        <v>832</v>
      </c>
      <c r="D2025" s="34" t="s">
        <v>3062</v>
      </c>
      <c r="E2025" s="34" t="s">
        <v>3063</v>
      </c>
      <c r="F2025" s="34">
        <v>2016.0</v>
      </c>
      <c r="G2025" s="34" t="s">
        <v>3064</v>
      </c>
      <c r="H2025" s="34" t="s">
        <v>2449</v>
      </c>
      <c r="I2025" s="34" t="s">
        <v>3065</v>
      </c>
      <c r="J2025" s="35"/>
      <c r="K2025" s="36"/>
      <c r="L2025" s="36"/>
      <c r="M2025" s="36"/>
      <c r="N2025" s="36"/>
      <c r="O2025" s="36"/>
      <c r="P2025" s="37">
        <v>-14.1</v>
      </c>
      <c r="Q2025" s="36"/>
      <c r="R2025" s="36" t="s">
        <v>96</v>
      </c>
      <c r="S2025" s="36">
        <v>25000.0</v>
      </c>
      <c r="T2025" s="36" t="s">
        <v>317</v>
      </c>
      <c r="U2025" s="36" t="s">
        <v>342</v>
      </c>
      <c r="V2025" s="36"/>
      <c r="W2025" s="36"/>
      <c r="X2025" s="38">
        <v>24.0</v>
      </c>
      <c r="Y2025" s="38" t="s">
        <v>3067</v>
      </c>
      <c r="Z2025" s="38"/>
      <c r="AA2025" s="38"/>
      <c r="AB2025" s="38"/>
      <c r="AC2025" s="38"/>
      <c r="AD2025" s="38" t="s">
        <v>3068</v>
      </c>
      <c r="AE2025" s="53"/>
      <c r="AF2025" s="38"/>
      <c r="AG2025" s="38"/>
      <c r="AH2025" s="38"/>
      <c r="AI2025" s="50"/>
      <c r="AJ2025" s="50"/>
      <c r="AK2025" s="41"/>
      <c r="AL2025" s="40"/>
      <c r="AM2025" s="49"/>
      <c r="AN2025" s="43"/>
      <c r="AO2025" s="42"/>
      <c r="AP2025" s="43"/>
      <c r="AQ2025" s="44" t="str">
        <f t="shared" si="230"/>
        <v/>
      </c>
      <c r="AR2025" s="44" t="str">
        <f t="shared" si="199"/>
        <v/>
      </c>
      <c r="AS2025" s="44"/>
      <c r="AT2025" s="44" t="str">
        <f t="shared" si="202"/>
        <v/>
      </c>
      <c r="AU2025" s="44" t="str">
        <f t="shared" si="203"/>
        <v/>
      </c>
      <c r="AV2025" s="38">
        <v>2.0</v>
      </c>
      <c r="AW2025" s="38">
        <v>1.0</v>
      </c>
      <c r="AX2025" s="38"/>
      <c r="AY2025" s="38"/>
      <c r="AZ2025" s="29">
        <v>25000.0</v>
      </c>
      <c r="BA2025" s="29">
        <v>1.0</v>
      </c>
      <c r="BB2025" s="29">
        <v>1.0</v>
      </c>
      <c r="BC2025" s="29"/>
      <c r="BD2025" s="29" t="s">
        <v>88</v>
      </c>
      <c r="BE2025" s="29"/>
      <c r="BF2025" s="29" t="s">
        <v>202</v>
      </c>
      <c r="BG2025" s="29" t="s">
        <v>203</v>
      </c>
      <c r="BH2025" s="29" t="s">
        <v>88</v>
      </c>
      <c r="BI2025" s="29" t="s">
        <v>3069</v>
      </c>
      <c r="BJ2025" s="29"/>
      <c r="BK2025" s="29" t="s">
        <v>3070</v>
      </c>
      <c r="BL2025" s="29" t="s">
        <v>3071</v>
      </c>
      <c r="BM2025" s="45"/>
      <c r="BN2025" s="45"/>
      <c r="BO2025" s="46"/>
      <c r="BP2025" s="2"/>
      <c r="BQ2025" s="3"/>
    </row>
    <row r="2026" ht="15.75" customHeight="1">
      <c r="A2026" s="34">
        <v>2161.0</v>
      </c>
      <c r="B2026" s="34">
        <v>103789.0</v>
      </c>
      <c r="C2026" s="34" t="s">
        <v>832</v>
      </c>
      <c r="D2026" s="34" t="s">
        <v>3062</v>
      </c>
      <c r="E2026" s="34" t="s">
        <v>3063</v>
      </c>
      <c r="F2026" s="34">
        <v>2016.0</v>
      </c>
      <c r="G2026" s="34" t="s">
        <v>3064</v>
      </c>
      <c r="H2026" s="34" t="s">
        <v>2449</v>
      </c>
      <c r="I2026" s="34" t="s">
        <v>3065</v>
      </c>
      <c r="J2026" s="35"/>
      <c r="K2026" s="36"/>
      <c r="L2026" s="36"/>
      <c r="M2026" s="36"/>
      <c r="N2026" s="36"/>
      <c r="O2026" s="36"/>
      <c r="P2026" s="37">
        <v>14.6</v>
      </c>
      <c r="Q2026" s="36"/>
      <c r="R2026" s="36" t="s">
        <v>3066</v>
      </c>
      <c r="S2026" s="36">
        <v>25000.0</v>
      </c>
      <c r="T2026" s="36" t="s">
        <v>317</v>
      </c>
      <c r="U2026" s="36" t="s">
        <v>342</v>
      </c>
      <c r="V2026" s="36"/>
      <c r="W2026" s="36"/>
      <c r="X2026" s="38">
        <v>24.0</v>
      </c>
      <c r="Y2026" s="38" t="s">
        <v>3067</v>
      </c>
      <c r="Z2026" s="38"/>
      <c r="AA2026" s="38"/>
      <c r="AB2026" s="38"/>
      <c r="AC2026" s="38"/>
      <c r="AD2026" s="38" t="s">
        <v>3068</v>
      </c>
      <c r="AE2026" s="53"/>
      <c r="AF2026" s="38"/>
      <c r="AG2026" s="38"/>
      <c r="AH2026" s="38"/>
      <c r="AI2026" s="50"/>
      <c r="AJ2026" s="50"/>
      <c r="AK2026" s="41"/>
      <c r="AL2026" s="40"/>
      <c r="AM2026" s="49"/>
      <c r="AN2026" s="43"/>
      <c r="AO2026" s="42"/>
      <c r="AP2026" s="43"/>
      <c r="AQ2026" s="44" t="str">
        <f t="shared" si="230"/>
        <v/>
      </c>
      <c r="AR2026" s="44" t="str">
        <f t="shared" si="199"/>
        <v/>
      </c>
      <c r="AS2026" s="44"/>
      <c r="AT2026" s="44" t="str">
        <f t="shared" si="202"/>
        <v/>
      </c>
      <c r="AU2026" s="44" t="str">
        <f t="shared" si="203"/>
        <v/>
      </c>
      <c r="AV2026" s="38">
        <v>2.0</v>
      </c>
      <c r="AW2026" s="38">
        <v>1.0</v>
      </c>
      <c r="AX2026" s="38"/>
      <c r="AY2026" s="38"/>
      <c r="AZ2026" s="29">
        <v>25000.0</v>
      </c>
      <c r="BA2026" s="29">
        <v>1.0</v>
      </c>
      <c r="BB2026" s="29">
        <v>1.0</v>
      </c>
      <c r="BC2026" s="29"/>
      <c r="BD2026" s="29" t="s">
        <v>88</v>
      </c>
      <c r="BE2026" s="29"/>
      <c r="BF2026" s="29" t="s">
        <v>881</v>
      </c>
      <c r="BG2026" s="29" t="s">
        <v>203</v>
      </c>
      <c r="BH2026" s="29" t="s">
        <v>92</v>
      </c>
      <c r="BI2026" s="29" t="s">
        <v>3073</v>
      </c>
      <c r="BJ2026" s="29"/>
      <c r="BK2026" s="29" t="s">
        <v>3070</v>
      </c>
      <c r="BL2026" s="29" t="s">
        <v>3071</v>
      </c>
      <c r="BM2026" s="45"/>
      <c r="BN2026" s="45"/>
      <c r="BO2026" s="46"/>
      <c r="BP2026" s="2"/>
      <c r="BQ2026" s="3"/>
    </row>
    <row r="2027" ht="15.75" customHeight="1">
      <c r="A2027" s="34">
        <v>2162.0</v>
      </c>
      <c r="B2027" s="34">
        <v>103789.0</v>
      </c>
      <c r="C2027" s="34" t="s">
        <v>832</v>
      </c>
      <c r="D2027" s="34" t="s">
        <v>3062</v>
      </c>
      <c r="E2027" s="34" t="s">
        <v>3063</v>
      </c>
      <c r="F2027" s="34">
        <v>2016.0</v>
      </c>
      <c r="G2027" s="34" t="s">
        <v>3064</v>
      </c>
      <c r="H2027" s="34" t="s">
        <v>2449</v>
      </c>
      <c r="I2027" s="34" t="s">
        <v>3065</v>
      </c>
      <c r="J2027" s="35"/>
      <c r="K2027" s="36"/>
      <c r="L2027" s="36"/>
      <c r="M2027" s="36"/>
      <c r="N2027" s="36"/>
      <c r="O2027" s="36"/>
      <c r="P2027" s="37">
        <v>-1.7</v>
      </c>
      <c r="Q2027" s="36"/>
      <c r="R2027" s="36" t="s">
        <v>96</v>
      </c>
      <c r="S2027" s="36">
        <v>25000.0</v>
      </c>
      <c r="T2027" s="36" t="s">
        <v>317</v>
      </c>
      <c r="U2027" s="36" t="s">
        <v>342</v>
      </c>
      <c r="V2027" s="36"/>
      <c r="W2027" s="36"/>
      <c r="X2027" s="38">
        <v>24.0</v>
      </c>
      <c r="Y2027" s="38" t="s">
        <v>3067</v>
      </c>
      <c r="Z2027" s="38"/>
      <c r="AA2027" s="38"/>
      <c r="AB2027" s="38"/>
      <c r="AC2027" s="38"/>
      <c r="AD2027" s="38" t="s">
        <v>3068</v>
      </c>
      <c r="AE2027" s="53"/>
      <c r="AF2027" s="38"/>
      <c r="AG2027" s="38"/>
      <c r="AH2027" s="38"/>
      <c r="AI2027" s="50"/>
      <c r="AJ2027" s="50"/>
      <c r="AK2027" s="41"/>
      <c r="AL2027" s="40"/>
      <c r="AM2027" s="49"/>
      <c r="AN2027" s="43"/>
      <c r="AO2027" s="42"/>
      <c r="AP2027" s="43"/>
      <c r="AQ2027" s="44" t="str">
        <f t="shared" si="230"/>
        <v/>
      </c>
      <c r="AR2027" s="44" t="str">
        <f t="shared" si="199"/>
        <v/>
      </c>
      <c r="AS2027" s="44"/>
      <c r="AT2027" s="44" t="str">
        <f t="shared" si="202"/>
        <v/>
      </c>
      <c r="AU2027" s="44" t="str">
        <f t="shared" si="203"/>
        <v/>
      </c>
      <c r="AV2027" s="38">
        <v>2.0</v>
      </c>
      <c r="AW2027" s="38">
        <v>1.0</v>
      </c>
      <c r="AX2027" s="38"/>
      <c r="AY2027" s="38"/>
      <c r="AZ2027" s="29">
        <v>25000.0</v>
      </c>
      <c r="BA2027" s="29">
        <v>1.0</v>
      </c>
      <c r="BB2027" s="29">
        <v>1.0</v>
      </c>
      <c r="BC2027" s="29"/>
      <c r="BD2027" s="29" t="s">
        <v>88</v>
      </c>
      <c r="BE2027" s="29"/>
      <c r="BF2027" s="29" t="s">
        <v>881</v>
      </c>
      <c r="BG2027" s="29" t="s">
        <v>203</v>
      </c>
      <c r="BH2027" s="29" t="s">
        <v>92</v>
      </c>
      <c r="BI2027" s="29" t="s">
        <v>3073</v>
      </c>
      <c r="BJ2027" s="29"/>
      <c r="BK2027" s="29" t="s">
        <v>3070</v>
      </c>
      <c r="BL2027" s="29" t="s">
        <v>3071</v>
      </c>
      <c r="BM2027" s="45"/>
      <c r="BN2027" s="45"/>
      <c r="BO2027" s="46"/>
      <c r="BP2027" s="2"/>
      <c r="BQ2027" s="3"/>
    </row>
    <row r="2028" ht="15.75" customHeight="1">
      <c r="A2028" s="34">
        <v>2163.0</v>
      </c>
      <c r="B2028" s="34">
        <v>103789.0</v>
      </c>
      <c r="C2028" s="34" t="s">
        <v>832</v>
      </c>
      <c r="D2028" s="34" t="s">
        <v>3062</v>
      </c>
      <c r="E2028" s="34" t="s">
        <v>3063</v>
      </c>
      <c r="F2028" s="34">
        <v>2016.0</v>
      </c>
      <c r="G2028" s="34" t="s">
        <v>3064</v>
      </c>
      <c r="H2028" s="34" t="s">
        <v>2449</v>
      </c>
      <c r="I2028" s="34" t="s">
        <v>3065</v>
      </c>
      <c r="J2028" s="35"/>
      <c r="K2028" s="36"/>
      <c r="L2028" s="36"/>
      <c r="M2028" s="36"/>
      <c r="N2028" s="36"/>
      <c r="O2028" s="36"/>
      <c r="P2028" s="37">
        <v>-27.2</v>
      </c>
      <c r="Q2028" s="36"/>
      <c r="R2028" s="36" t="s">
        <v>3066</v>
      </c>
      <c r="S2028" s="36">
        <v>25000.0</v>
      </c>
      <c r="T2028" s="36" t="s">
        <v>317</v>
      </c>
      <c r="U2028" s="36" t="s">
        <v>342</v>
      </c>
      <c r="V2028" s="36"/>
      <c r="W2028" s="36"/>
      <c r="X2028" s="38">
        <v>24.0</v>
      </c>
      <c r="Y2028" s="38" t="s">
        <v>3067</v>
      </c>
      <c r="Z2028" s="38"/>
      <c r="AA2028" s="38"/>
      <c r="AB2028" s="38"/>
      <c r="AC2028" s="38"/>
      <c r="AD2028" s="38" t="s">
        <v>3068</v>
      </c>
      <c r="AE2028" s="53"/>
      <c r="AF2028" s="38"/>
      <c r="AG2028" s="38"/>
      <c r="AH2028" s="38"/>
      <c r="AI2028" s="50"/>
      <c r="AJ2028" s="50"/>
      <c r="AK2028" s="41"/>
      <c r="AL2028" s="40"/>
      <c r="AM2028" s="49"/>
      <c r="AN2028" s="43"/>
      <c r="AO2028" s="42"/>
      <c r="AP2028" s="43"/>
      <c r="AQ2028" s="44" t="str">
        <f t="shared" si="230"/>
        <v/>
      </c>
      <c r="AR2028" s="44" t="str">
        <f t="shared" si="199"/>
        <v/>
      </c>
      <c r="AS2028" s="44"/>
      <c r="AT2028" s="44" t="str">
        <f t="shared" si="202"/>
        <v/>
      </c>
      <c r="AU2028" s="44" t="str">
        <f t="shared" si="203"/>
        <v/>
      </c>
      <c r="AV2028" s="38">
        <v>2.0</v>
      </c>
      <c r="AW2028" s="38">
        <v>1.0</v>
      </c>
      <c r="AX2028" s="38"/>
      <c r="AY2028" s="38"/>
      <c r="AZ2028" s="29">
        <v>25000.0</v>
      </c>
      <c r="BA2028" s="29">
        <v>1.0</v>
      </c>
      <c r="BB2028" s="29">
        <v>1.0</v>
      </c>
      <c r="BC2028" s="29"/>
      <c r="BD2028" s="29" t="s">
        <v>88</v>
      </c>
      <c r="BE2028" s="29"/>
      <c r="BF2028" s="29" t="s">
        <v>1902</v>
      </c>
      <c r="BG2028" s="29" t="s">
        <v>220</v>
      </c>
      <c r="BH2028" s="29" t="s">
        <v>92</v>
      </c>
      <c r="BI2028" s="29" t="s">
        <v>3073</v>
      </c>
      <c r="BJ2028" s="29"/>
      <c r="BK2028" s="29" t="s">
        <v>3070</v>
      </c>
      <c r="BL2028" s="29" t="s">
        <v>3071</v>
      </c>
      <c r="BM2028" s="45"/>
      <c r="BN2028" s="45"/>
      <c r="BO2028" s="46"/>
      <c r="BP2028" s="2"/>
      <c r="BQ2028" s="3"/>
    </row>
    <row r="2029" ht="15.75" customHeight="1">
      <c r="A2029" s="34">
        <v>2164.0</v>
      </c>
      <c r="B2029" s="34">
        <v>103789.0</v>
      </c>
      <c r="C2029" s="34" t="s">
        <v>832</v>
      </c>
      <c r="D2029" s="34" t="s">
        <v>3062</v>
      </c>
      <c r="E2029" s="34" t="s">
        <v>3063</v>
      </c>
      <c r="F2029" s="34">
        <v>2016.0</v>
      </c>
      <c r="G2029" s="34" t="s">
        <v>3064</v>
      </c>
      <c r="H2029" s="34" t="s">
        <v>2449</v>
      </c>
      <c r="I2029" s="34" t="s">
        <v>3065</v>
      </c>
      <c r="J2029" s="35"/>
      <c r="K2029" s="36"/>
      <c r="L2029" s="36"/>
      <c r="M2029" s="36"/>
      <c r="N2029" s="36"/>
      <c r="O2029" s="36"/>
      <c r="P2029" s="37">
        <v>-34.2</v>
      </c>
      <c r="Q2029" s="36"/>
      <c r="R2029" s="36" t="s">
        <v>96</v>
      </c>
      <c r="S2029" s="36">
        <v>25000.0</v>
      </c>
      <c r="T2029" s="36" t="s">
        <v>317</v>
      </c>
      <c r="U2029" s="36" t="s">
        <v>342</v>
      </c>
      <c r="V2029" s="36"/>
      <c r="W2029" s="36"/>
      <c r="X2029" s="38">
        <v>24.0</v>
      </c>
      <c r="Y2029" s="38" t="s">
        <v>3067</v>
      </c>
      <c r="Z2029" s="38"/>
      <c r="AA2029" s="38"/>
      <c r="AB2029" s="38"/>
      <c r="AC2029" s="38"/>
      <c r="AD2029" s="38" t="s">
        <v>3068</v>
      </c>
      <c r="AE2029" s="53"/>
      <c r="AF2029" s="38"/>
      <c r="AG2029" s="38"/>
      <c r="AH2029" s="38"/>
      <c r="AI2029" s="50"/>
      <c r="AJ2029" s="50"/>
      <c r="AK2029" s="41"/>
      <c r="AL2029" s="40"/>
      <c r="AM2029" s="49"/>
      <c r="AN2029" s="43"/>
      <c r="AO2029" s="42"/>
      <c r="AP2029" s="43"/>
      <c r="AQ2029" s="44" t="str">
        <f t="shared" si="230"/>
        <v/>
      </c>
      <c r="AR2029" s="44" t="str">
        <f t="shared" si="199"/>
        <v/>
      </c>
      <c r="AS2029" s="44"/>
      <c r="AT2029" s="44" t="str">
        <f t="shared" si="202"/>
        <v/>
      </c>
      <c r="AU2029" s="44" t="str">
        <f t="shared" si="203"/>
        <v/>
      </c>
      <c r="AV2029" s="38">
        <v>2.0</v>
      </c>
      <c r="AW2029" s="38">
        <v>1.0</v>
      </c>
      <c r="AX2029" s="38"/>
      <c r="AY2029" s="38"/>
      <c r="AZ2029" s="29">
        <v>25000.0</v>
      </c>
      <c r="BA2029" s="29">
        <v>1.0</v>
      </c>
      <c r="BB2029" s="29">
        <v>1.0</v>
      </c>
      <c r="BC2029" s="29"/>
      <c r="BD2029" s="29" t="s">
        <v>88</v>
      </c>
      <c r="BE2029" s="29"/>
      <c r="BF2029" s="29" t="s">
        <v>1902</v>
      </c>
      <c r="BG2029" s="29" t="s">
        <v>220</v>
      </c>
      <c r="BH2029" s="29" t="s">
        <v>92</v>
      </c>
      <c r="BI2029" s="29" t="s">
        <v>3073</v>
      </c>
      <c r="BJ2029" s="29"/>
      <c r="BK2029" s="29" t="s">
        <v>3070</v>
      </c>
      <c r="BL2029" s="29" t="s">
        <v>3071</v>
      </c>
      <c r="BM2029" s="45"/>
      <c r="BN2029" s="45"/>
      <c r="BO2029" s="46"/>
      <c r="BP2029" s="2"/>
      <c r="BQ2029" s="3"/>
    </row>
    <row r="2030" ht="15.75" customHeight="1">
      <c r="A2030" s="34">
        <v>2165.0</v>
      </c>
      <c r="B2030" s="34">
        <v>103789.0</v>
      </c>
      <c r="C2030" s="34" t="s">
        <v>832</v>
      </c>
      <c r="D2030" s="34" t="s">
        <v>3062</v>
      </c>
      <c r="E2030" s="34" t="s">
        <v>3063</v>
      </c>
      <c r="F2030" s="34">
        <v>2016.0</v>
      </c>
      <c r="G2030" s="34" t="s">
        <v>3064</v>
      </c>
      <c r="H2030" s="34" t="s">
        <v>2449</v>
      </c>
      <c r="I2030" s="34" t="s">
        <v>3065</v>
      </c>
      <c r="J2030" s="35"/>
      <c r="K2030" s="36"/>
      <c r="L2030" s="36"/>
      <c r="M2030" s="36"/>
      <c r="N2030" s="36"/>
      <c r="O2030" s="36"/>
      <c r="P2030" s="37">
        <v>148.6</v>
      </c>
      <c r="Q2030" s="36"/>
      <c r="R2030" s="36" t="s">
        <v>3066</v>
      </c>
      <c r="S2030" s="36">
        <v>25000.0</v>
      </c>
      <c r="T2030" s="36" t="s">
        <v>317</v>
      </c>
      <c r="U2030" s="36" t="s">
        <v>342</v>
      </c>
      <c r="V2030" s="36"/>
      <c r="W2030" s="36"/>
      <c r="X2030" s="38">
        <v>24.0</v>
      </c>
      <c r="Y2030" s="38" t="s">
        <v>3067</v>
      </c>
      <c r="Z2030" s="38"/>
      <c r="AA2030" s="38"/>
      <c r="AB2030" s="38"/>
      <c r="AC2030" s="38"/>
      <c r="AD2030" s="38" t="s">
        <v>3068</v>
      </c>
      <c r="AE2030" s="53"/>
      <c r="AF2030" s="38"/>
      <c r="AG2030" s="38"/>
      <c r="AH2030" s="38"/>
      <c r="AI2030" s="50"/>
      <c r="AJ2030" s="50"/>
      <c r="AK2030" s="41"/>
      <c r="AL2030" s="40"/>
      <c r="AM2030" s="49"/>
      <c r="AN2030" s="43"/>
      <c r="AO2030" s="42"/>
      <c r="AP2030" s="43"/>
      <c r="AQ2030" s="44" t="str">
        <f t="shared" si="230"/>
        <v/>
      </c>
      <c r="AR2030" s="44" t="str">
        <f t="shared" si="199"/>
        <v/>
      </c>
      <c r="AS2030" s="44"/>
      <c r="AT2030" s="44" t="str">
        <f t="shared" si="202"/>
        <v/>
      </c>
      <c r="AU2030" s="44" t="str">
        <f t="shared" si="203"/>
        <v/>
      </c>
      <c r="AV2030" s="38">
        <v>2.0</v>
      </c>
      <c r="AW2030" s="38">
        <v>1.0</v>
      </c>
      <c r="AX2030" s="38"/>
      <c r="AY2030" s="38"/>
      <c r="AZ2030" s="29">
        <v>25000.0</v>
      </c>
      <c r="BA2030" s="29">
        <v>1.0</v>
      </c>
      <c r="BB2030" s="29">
        <v>1.0</v>
      </c>
      <c r="BC2030" s="29"/>
      <c r="BD2030" s="29" t="s">
        <v>88</v>
      </c>
      <c r="BE2030" s="29"/>
      <c r="BF2030" s="29" t="s">
        <v>936</v>
      </c>
      <c r="BG2030" s="29" t="s">
        <v>572</v>
      </c>
      <c r="BH2030" s="29" t="s">
        <v>92</v>
      </c>
      <c r="BI2030" s="29" t="s">
        <v>3073</v>
      </c>
      <c r="BJ2030" s="29"/>
      <c r="BK2030" s="29" t="s">
        <v>3070</v>
      </c>
      <c r="BL2030" s="29" t="s">
        <v>3071</v>
      </c>
      <c r="BM2030" s="45"/>
      <c r="BN2030" s="45"/>
      <c r="BO2030" s="46"/>
      <c r="BP2030" s="2"/>
      <c r="BQ2030" s="3"/>
    </row>
    <row r="2031" ht="15.75" customHeight="1">
      <c r="A2031" s="34">
        <v>2166.0</v>
      </c>
      <c r="B2031" s="34">
        <v>103789.0</v>
      </c>
      <c r="C2031" s="34" t="s">
        <v>832</v>
      </c>
      <c r="D2031" s="34" t="s">
        <v>3062</v>
      </c>
      <c r="E2031" s="34" t="s">
        <v>3063</v>
      </c>
      <c r="F2031" s="34">
        <v>2016.0</v>
      </c>
      <c r="G2031" s="34" t="s">
        <v>3064</v>
      </c>
      <c r="H2031" s="34" t="s">
        <v>2449</v>
      </c>
      <c r="I2031" s="34" t="s">
        <v>3065</v>
      </c>
      <c r="J2031" s="35"/>
      <c r="K2031" s="36"/>
      <c r="L2031" s="36"/>
      <c r="M2031" s="36"/>
      <c r="N2031" s="36"/>
      <c r="O2031" s="36"/>
      <c r="P2031" s="37">
        <v>123.9</v>
      </c>
      <c r="Q2031" s="36"/>
      <c r="R2031" s="36" t="s">
        <v>96</v>
      </c>
      <c r="S2031" s="36">
        <v>25000.0</v>
      </c>
      <c r="T2031" s="36" t="s">
        <v>317</v>
      </c>
      <c r="U2031" s="36" t="s">
        <v>342</v>
      </c>
      <c r="V2031" s="36"/>
      <c r="W2031" s="36"/>
      <c r="X2031" s="38">
        <v>24.0</v>
      </c>
      <c r="Y2031" s="38" t="s">
        <v>3067</v>
      </c>
      <c r="Z2031" s="38"/>
      <c r="AA2031" s="38"/>
      <c r="AB2031" s="38"/>
      <c r="AC2031" s="38"/>
      <c r="AD2031" s="38" t="s">
        <v>3068</v>
      </c>
      <c r="AE2031" s="53"/>
      <c r="AF2031" s="38"/>
      <c r="AG2031" s="38"/>
      <c r="AH2031" s="38"/>
      <c r="AI2031" s="50"/>
      <c r="AJ2031" s="50"/>
      <c r="AK2031" s="41"/>
      <c r="AL2031" s="40"/>
      <c r="AM2031" s="49"/>
      <c r="AN2031" s="43"/>
      <c r="AO2031" s="42"/>
      <c r="AP2031" s="43"/>
      <c r="AQ2031" s="44" t="str">
        <f t="shared" si="230"/>
        <v/>
      </c>
      <c r="AR2031" s="44" t="str">
        <f t="shared" si="199"/>
        <v/>
      </c>
      <c r="AS2031" s="44"/>
      <c r="AT2031" s="44" t="str">
        <f t="shared" si="202"/>
        <v/>
      </c>
      <c r="AU2031" s="44" t="str">
        <f t="shared" si="203"/>
        <v/>
      </c>
      <c r="AV2031" s="38">
        <v>2.0</v>
      </c>
      <c r="AW2031" s="38">
        <v>1.0</v>
      </c>
      <c r="AX2031" s="38"/>
      <c r="AY2031" s="38"/>
      <c r="AZ2031" s="29">
        <v>25000.0</v>
      </c>
      <c r="BA2031" s="29">
        <v>1.0</v>
      </c>
      <c r="BB2031" s="29">
        <v>1.0</v>
      </c>
      <c r="BC2031" s="29"/>
      <c r="BD2031" s="29" t="s">
        <v>88</v>
      </c>
      <c r="BE2031" s="29"/>
      <c r="BF2031" s="29" t="s">
        <v>936</v>
      </c>
      <c r="BG2031" s="29" t="s">
        <v>572</v>
      </c>
      <c r="BH2031" s="29" t="s">
        <v>92</v>
      </c>
      <c r="BI2031" s="29" t="s">
        <v>3073</v>
      </c>
      <c r="BJ2031" s="29"/>
      <c r="BK2031" s="29" t="s">
        <v>3070</v>
      </c>
      <c r="BL2031" s="29" t="s">
        <v>3071</v>
      </c>
      <c r="BM2031" s="45"/>
      <c r="BN2031" s="45"/>
      <c r="BO2031" s="46"/>
      <c r="BP2031" s="2"/>
      <c r="BQ2031" s="3"/>
    </row>
    <row r="2032" ht="15.75" customHeight="1">
      <c r="A2032" s="34">
        <v>2167.0</v>
      </c>
      <c r="B2032" s="34">
        <v>103789.0</v>
      </c>
      <c r="C2032" s="34" t="s">
        <v>832</v>
      </c>
      <c r="D2032" s="34" t="s">
        <v>3062</v>
      </c>
      <c r="E2032" s="34" t="s">
        <v>3063</v>
      </c>
      <c r="F2032" s="34">
        <v>2016.0</v>
      </c>
      <c r="G2032" s="34" t="s">
        <v>3064</v>
      </c>
      <c r="H2032" s="34" t="s">
        <v>2449</v>
      </c>
      <c r="I2032" s="34" t="s">
        <v>3065</v>
      </c>
      <c r="J2032" s="35"/>
      <c r="K2032" s="36"/>
      <c r="L2032" s="36"/>
      <c r="M2032" s="36"/>
      <c r="N2032" s="36"/>
      <c r="O2032" s="36"/>
      <c r="P2032" s="37">
        <v>-4.6</v>
      </c>
      <c r="Q2032" s="36"/>
      <c r="R2032" s="36" t="s">
        <v>3066</v>
      </c>
      <c r="S2032" s="36">
        <v>25000.0</v>
      </c>
      <c r="T2032" s="36" t="s">
        <v>317</v>
      </c>
      <c r="U2032" s="36" t="s">
        <v>342</v>
      </c>
      <c r="V2032" s="36"/>
      <c r="W2032" s="36"/>
      <c r="X2032" s="38">
        <v>24.0</v>
      </c>
      <c r="Y2032" s="38" t="s">
        <v>3067</v>
      </c>
      <c r="Z2032" s="38"/>
      <c r="AA2032" s="38"/>
      <c r="AB2032" s="38"/>
      <c r="AC2032" s="38"/>
      <c r="AD2032" s="38" t="s">
        <v>3068</v>
      </c>
      <c r="AE2032" s="53"/>
      <c r="AF2032" s="38"/>
      <c r="AG2032" s="38"/>
      <c r="AH2032" s="38"/>
      <c r="AI2032" s="50"/>
      <c r="AJ2032" s="50"/>
      <c r="AK2032" s="41"/>
      <c r="AL2032" s="40"/>
      <c r="AM2032" s="49"/>
      <c r="AN2032" s="43"/>
      <c r="AO2032" s="42"/>
      <c r="AP2032" s="43"/>
      <c r="AQ2032" s="44" t="str">
        <f t="shared" si="230"/>
        <v/>
      </c>
      <c r="AR2032" s="44" t="str">
        <f t="shared" si="199"/>
        <v/>
      </c>
      <c r="AS2032" s="44"/>
      <c r="AT2032" s="44" t="str">
        <f t="shared" si="202"/>
        <v/>
      </c>
      <c r="AU2032" s="44" t="str">
        <f t="shared" si="203"/>
        <v/>
      </c>
      <c r="AV2032" s="38">
        <v>2.0</v>
      </c>
      <c r="AW2032" s="38">
        <v>1.0</v>
      </c>
      <c r="AX2032" s="38"/>
      <c r="AY2032" s="38"/>
      <c r="AZ2032" s="29">
        <v>25000.0</v>
      </c>
      <c r="BA2032" s="29">
        <v>1.0</v>
      </c>
      <c r="BB2032" s="29">
        <v>1.0</v>
      </c>
      <c r="BC2032" s="29"/>
      <c r="BD2032" s="29" t="s">
        <v>88</v>
      </c>
      <c r="BE2032" s="29"/>
      <c r="BF2032" s="29" t="s">
        <v>202</v>
      </c>
      <c r="BG2032" s="29" t="s">
        <v>203</v>
      </c>
      <c r="BH2032" s="29" t="s">
        <v>92</v>
      </c>
      <c r="BI2032" s="29" t="s">
        <v>3073</v>
      </c>
      <c r="BJ2032" s="29"/>
      <c r="BK2032" s="29" t="s">
        <v>3070</v>
      </c>
      <c r="BL2032" s="29" t="s">
        <v>3071</v>
      </c>
      <c r="BM2032" s="45"/>
      <c r="BN2032" s="45"/>
      <c r="BO2032" s="46"/>
      <c r="BP2032" s="2"/>
      <c r="BQ2032" s="3"/>
    </row>
    <row r="2033" ht="15.75" customHeight="1">
      <c r="A2033" s="34">
        <v>2168.0</v>
      </c>
      <c r="B2033" s="34">
        <v>103789.0</v>
      </c>
      <c r="C2033" s="34" t="s">
        <v>832</v>
      </c>
      <c r="D2033" s="34" t="s">
        <v>3062</v>
      </c>
      <c r="E2033" s="34" t="s">
        <v>3063</v>
      </c>
      <c r="F2033" s="34">
        <v>2016.0</v>
      </c>
      <c r="G2033" s="34" t="s">
        <v>3064</v>
      </c>
      <c r="H2033" s="34" t="s">
        <v>2449</v>
      </c>
      <c r="I2033" s="34" t="s">
        <v>3065</v>
      </c>
      <c r="J2033" s="35"/>
      <c r="K2033" s="36"/>
      <c r="L2033" s="36"/>
      <c r="M2033" s="36"/>
      <c r="N2033" s="36"/>
      <c r="O2033" s="36"/>
      <c r="P2033" s="37">
        <v>-10.6</v>
      </c>
      <c r="Q2033" s="36"/>
      <c r="R2033" s="36" t="s">
        <v>96</v>
      </c>
      <c r="S2033" s="36">
        <v>25000.0</v>
      </c>
      <c r="T2033" s="36" t="s">
        <v>317</v>
      </c>
      <c r="U2033" s="36" t="s">
        <v>342</v>
      </c>
      <c r="V2033" s="36"/>
      <c r="W2033" s="36"/>
      <c r="X2033" s="38">
        <v>24.0</v>
      </c>
      <c r="Y2033" s="38" t="s">
        <v>3067</v>
      </c>
      <c r="Z2033" s="38"/>
      <c r="AA2033" s="38"/>
      <c r="AB2033" s="38"/>
      <c r="AC2033" s="38"/>
      <c r="AD2033" s="38" t="s">
        <v>3068</v>
      </c>
      <c r="AE2033" s="53"/>
      <c r="AF2033" s="38"/>
      <c r="AG2033" s="38"/>
      <c r="AH2033" s="38"/>
      <c r="AI2033" s="50"/>
      <c r="AJ2033" s="50"/>
      <c r="AK2033" s="41"/>
      <c r="AL2033" s="40"/>
      <c r="AM2033" s="49"/>
      <c r="AN2033" s="43"/>
      <c r="AO2033" s="42"/>
      <c r="AP2033" s="43"/>
      <c r="AQ2033" s="44" t="str">
        <f t="shared" si="230"/>
        <v/>
      </c>
      <c r="AR2033" s="44" t="str">
        <f t="shared" si="199"/>
        <v/>
      </c>
      <c r="AS2033" s="44"/>
      <c r="AT2033" s="44" t="str">
        <f t="shared" si="202"/>
        <v/>
      </c>
      <c r="AU2033" s="44" t="str">
        <f t="shared" si="203"/>
        <v/>
      </c>
      <c r="AV2033" s="38">
        <v>2.0</v>
      </c>
      <c r="AW2033" s="38">
        <v>1.0</v>
      </c>
      <c r="AX2033" s="38"/>
      <c r="AY2033" s="38"/>
      <c r="AZ2033" s="29">
        <v>25000.0</v>
      </c>
      <c r="BA2033" s="29">
        <v>1.0</v>
      </c>
      <c r="BB2033" s="29">
        <v>1.0</v>
      </c>
      <c r="BC2033" s="29"/>
      <c r="BD2033" s="29" t="s">
        <v>88</v>
      </c>
      <c r="BE2033" s="29"/>
      <c r="BF2033" s="29" t="s">
        <v>202</v>
      </c>
      <c r="BG2033" s="29" t="s">
        <v>203</v>
      </c>
      <c r="BH2033" s="29" t="s">
        <v>92</v>
      </c>
      <c r="BI2033" s="29" t="s">
        <v>3073</v>
      </c>
      <c r="BJ2033" s="29"/>
      <c r="BK2033" s="29" t="s">
        <v>3070</v>
      </c>
      <c r="BL2033" s="29" t="s">
        <v>3071</v>
      </c>
      <c r="BM2033" s="45"/>
      <c r="BN2033" s="45"/>
      <c r="BO2033" s="46"/>
      <c r="BP2033" s="2"/>
      <c r="BQ2033" s="3"/>
    </row>
    <row r="2034" ht="15.75" customHeight="1">
      <c r="A2034" s="34">
        <v>2169.0</v>
      </c>
      <c r="B2034" s="34">
        <v>103789.0</v>
      </c>
      <c r="C2034" s="34" t="s">
        <v>832</v>
      </c>
      <c r="D2034" s="34" t="s">
        <v>3062</v>
      </c>
      <c r="E2034" s="34" t="s">
        <v>3063</v>
      </c>
      <c r="F2034" s="34">
        <v>2016.0</v>
      </c>
      <c r="G2034" s="34" t="s">
        <v>3064</v>
      </c>
      <c r="H2034" s="34" t="s">
        <v>2449</v>
      </c>
      <c r="I2034" s="34" t="s">
        <v>3065</v>
      </c>
      <c r="J2034" s="35"/>
      <c r="K2034" s="36"/>
      <c r="L2034" s="36"/>
      <c r="M2034" s="36"/>
      <c r="N2034" s="36"/>
      <c r="O2034" s="36"/>
      <c r="P2034" s="37">
        <v>53.1</v>
      </c>
      <c r="Q2034" s="36"/>
      <c r="R2034" s="36" t="s">
        <v>3066</v>
      </c>
      <c r="S2034" s="36">
        <v>25000.0</v>
      </c>
      <c r="T2034" s="36" t="s">
        <v>317</v>
      </c>
      <c r="U2034" s="36" t="s">
        <v>342</v>
      </c>
      <c r="V2034" s="36"/>
      <c r="W2034" s="36"/>
      <c r="X2034" s="38">
        <v>24.0</v>
      </c>
      <c r="Y2034" s="38" t="s">
        <v>3067</v>
      </c>
      <c r="Z2034" s="38"/>
      <c r="AA2034" s="38"/>
      <c r="AB2034" s="38"/>
      <c r="AC2034" s="38"/>
      <c r="AD2034" s="38" t="s">
        <v>3068</v>
      </c>
      <c r="AE2034" s="53"/>
      <c r="AF2034" s="38"/>
      <c r="AG2034" s="38"/>
      <c r="AH2034" s="38"/>
      <c r="AI2034" s="50"/>
      <c r="AJ2034" s="50"/>
      <c r="AK2034" s="41"/>
      <c r="AL2034" s="40"/>
      <c r="AM2034" s="49"/>
      <c r="AN2034" s="43"/>
      <c r="AO2034" s="42"/>
      <c r="AP2034" s="43"/>
      <c r="AQ2034" s="44" t="str">
        <f t="shared" si="230"/>
        <v/>
      </c>
      <c r="AR2034" s="44" t="str">
        <f t="shared" si="199"/>
        <v/>
      </c>
      <c r="AS2034" s="44"/>
      <c r="AT2034" s="44" t="str">
        <f t="shared" si="202"/>
        <v/>
      </c>
      <c r="AU2034" s="44" t="str">
        <f t="shared" si="203"/>
        <v/>
      </c>
      <c r="AV2034" s="38">
        <v>1.0</v>
      </c>
      <c r="AW2034" s="38">
        <v>1.0</v>
      </c>
      <c r="AX2034" s="38"/>
      <c r="AY2034" s="38"/>
      <c r="AZ2034" s="29">
        <v>25000.0</v>
      </c>
      <c r="BA2034" s="29">
        <v>1.0</v>
      </c>
      <c r="BB2034" s="29">
        <v>1.0</v>
      </c>
      <c r="BC2034" s="29"/>
      <c r="BD2034" s="29" t="s">
        <v>88</v>
      </c>
      <c r="BE2034" s="29"/>
      <c r="BF2034" s="29" t="s">
        <v>881</v>
      </c>
      <c r="BG2034" s="29" t="s">
        <v>203</v>
      </c>
      <c r="BH2034" s="29" t="s">
        <v>88</v>
      </c>
      <c r="BI2034" s="29" t="s">
        <v>3069</v>
      </c>
      <c r="BJ2034" s="29"/>
      <c r="BK2034" s="29" t="s">
        <v>3070</v>
      </c>
      <c r="BL2034" s="29" t="s">
        <v>3071</v>
      </c>
      <c r="BM2034" s="45"/>
      <c r="BN2034" s="45"/>
      <c r="BO2034" s="46"/>
      <c r="BP2034" s="2"/>
      <c r="BQ2034" s="3"/>
    </row>
    <row r="2035" ht="15.75" customHeight="1">
      <c r="A2035" s="34">
        <v>2170.0</v>
      </c>
      <c r="B2035" s="34">
        <v>103789.0</v>
      </c>
      <c r="C2035" s="34" t="s">
        <v>832</v>
      </c>
      <c r="D2035" s="34" t="s">
        <v>3062</v>
      </c>
      <c r="E2035" s="34" t="s">
        <v>3063</v>
      </c>
      <c r="F2035" s="34">
        <v>2016.0</v>
      </c>
      <c r="G2035" s="34" t="s">
        <v>3064</v>
      </c>
      <c r="H2035" s="34" t="s">
        <v>2449</v>
      </c>
      <c r="I2035" s="34" t="s">
        <v>3065</v>
      </c>
      <c r="J2035" s="35"/>
      <c r="K2035" s="36"/>
      <c r="L2035" s="36"/>
      <c r="M2035" s="36"/>
      <c r="N2035" s="36"/>
      <c r="O2035" s="36"/>
      <c r="P2035" s="37">
        <v>47.8</v>
      </c>
      <c r="Q2035" s="36"/>
      <c r="R2035" s="36" t="s">
        <v>96</v>
      </c>
      <c r="S2035" s="36">
        <v>25000.0</v>
      </c>
      <c r="T2035" s="36" t="s">
        <v>317</v>
      </c>
      <c r="U2035" s="36" t="s">
        <v>342</v>
      </c>
      <c r="V2035" s="36"/>
      <c r="W2035" s="36"/>
      <c r="X2035" s="38">
        <v>24.0</v>
      </c>
      <c r="Y2035" s="38" t="s">
        <v>3067</v>
      </c>
      <c r="Z2035" s="38"/>
      <c r="AA2035" s="38"/>
      <c r="AB2035" s="38"/>
      <c r="AC2035" s="38"/>
      <c r="AD2035" s="38" t="s">
        <v>3068</v>
      </c>
      <c r="AE2035" s="53"/>
      <c r="AF2035" s="38"/>
      <c r="AG2035" s="38"/>
      <c r="AH2035" s="38"/>
      <c r="AI2035" s="50"/>
      <c r="AJ2035" s="50"/>
      <c r="AK2035" s="41"/>
      <c r="AL2035" s="40"/>
      <c r="AM2035" s="49"/>
      <c r="AN2035" s="43"/>
      <c r="AO2035" s="42"/>
      <c r="AP2035" s="43"/>
      <c r="AQ2035" s="44" t="str">
        <f t="shared" si="230"/>
        <v/>
      </c>
      <c r="AR2035" s="44" t="str">
        <f t="shared" si="199"/>
        <v/>
      </c>
      <c r="AS2035" s="44"/>
      <c r="AT2035" s="44" t="str">
        <f t="shared" si="202"/>
        <v/>
      </c>
      <c r="AU2035" s="44" t="str">
        <f t="shared" si="203"/>
        <v/>
      </c>
      <c r="AV2035" s="38">
        <v>1.0</v>
      </c>
      <c r="AW2035" s="38">
        <v>1.0</v>
      </c>
      <c r="AX2035" s="38"/>
      <c r="AY2035" s="38"/>
      <c r="AZ2035" s="29">
        <v>25000.0</v>
      </c>
      <c r="BA2035" s="29">
        <v>1.0</v>
      </c>
      <c r="BB2035" s="29">
        <v>1.0</v>
      </c>
      <c r="BC2035" s="29"/>
      <c r="BD2035" s="29" t="s">
        <v>88</v>
      </c>
      <c r="BE2035" s="29"/>
      <c r="BF2035" s="29" t="s">
        <v>881</v>
      </c>
      <c r="BG2035" s="29" t="s">
        <v>203</v>
      </c>
      <c r="BH2035" s="29" t="s">
        <v>88</v>
      </c>
      <c r="BI2035" s="29" t="s">
        <v>3069</v>
      </c>
      <c r="BJ2035" s="29"/>
      <c r="BK2035" s="29" t="s">
        <v>3070</v>
      </c>
      <c r="BL2035" s="29" t="s">
        <v>3071</v>
      </c>
      <c r="BM2035" s="45"/>
      <c r="BN2035" s="45"/>
      <c r="BO2035" s="46"/>
      <c r="BP2035" s="2"/>
      <c r="BQ2035" s="3"/>
    </row>
    <row r="2036" ht="15.75" customHeight="1">
      <c r="A2036" s="34">
        <v>2171.0</v>
      </c>
      <c r="B2036" s="34">
        <v>103789.0</v>
      </c>
      <c r="C2036" s="34" t="s">
        <v>832</v>
      </c>
      <c r="D2036" s="34" t="s">
        <v>3062</v>
      </c>
      <c r="E2036" s="34" t="s">
        <v>3063</v>
      </c>
      <c r="F2036" s="34">
        <v>2016.0</v>
      </c>
      <c r="G2036" s="34" t="s">
        <v>3064</v>
      </c>
      <c r="H2036" s="34" t="s">
        <v>2449</v>
      </c>
      <c r="I2036" s="34" t="s">
        <v>3065</v>
      </c>
      <c r="J2036" s="35"/>
      <c r="K2036" s="36"/>
      <c r="L2036" s="36"/>
      <c r="M2036" s="36"/>
      <c r="N2036" s="36"/>
      <c r="O2036" s="36"/>
      <c r="P2036" s="37">
        <v>-6.7</v>
      </c>
      <c r="Q2036" s="36"/>
      <c r="R2036" s="36" t="s">
        <v>3066</v>
      </c>
      <c r="S2036" s="36">
        <v>25000.0</v>
      </c>
      <c r="T2036" s="36" t="s">
        <v>317</v>
      </c>
      <c r="U2036" s="36" t="s">
        <v>342</v>
      </c>
      <c r="V2036" s="36"/>
      <c r="W2036" s="36"/>
      <c r="X2036" s="38">
        <v>24.0</v>
      </c>
      <c r="Y2036" s="38" t="s">
        <v>3067</v>
      </c>
      <c r="Z2036" s="38"/>
      <c r="AA2036" s="38"/>
      <c r="AB2036" s="38"/>
      <c r="AC2036" s="38"/>
      <c r="AD2036" s="38" t="s">
        <v>3068</v>
      </c>
      <c r="AE2036" s="53"/>
      <c r="AF2036" s="38"/>
      <c r="AG2036" s="38"/>
      <c r="AH2036" s="38"/>
      <c r="AI2036" s="50"/>
      <c r="AJ2036" s="50"/>
      <c r="AK2036" s="41"/>
      <c r="AL2036" s="40"/>
      <c r="AM2036" s="49"/>
      <c r="AN2036" s="43"/>
      <c r="AO2036" s="42"/>
      <c r="AP2036" s="43"/>
      <c r="AQ2036" s="44" t="str">
        <f t="shared" si="230"/>
        <v/>
      </c>
      <c r="AR2036" s="44" t="str">
        <f t="shared" si="199"/>
        <v/>
      </c>
      <c r="AS2036" s="44"/>
      <c r="AT2036" s="44" t="str">
        <f t="shared" si="202"/>
        <v/>
      </c>
      <c r="AU2036" s="44" t="str">
        <f t="shared" si="203"/>
        <v/>
      </c>
      <c r="AV2036" s="38">
        <v>1.0</v>
      </c>
      <c r="AW2036" s="38">
        <v>1.0</v>
      </c>
      <c r="AX2036" s="38"/>
      <c r="AY2036" s="38"/>
      <c r="AZ2036" s="29">
        <v>25000.0</v>
      </c>
      <c r="BA2036" s="29">
        <v>1.0</v>
      </c>
      <c r="BB2036" s="29">
        <v>1.0</v>
      </c>
      <c r="BC2036" s="29"/>
      <c r="BD2036" s="29" t="s">
        <v>88</v>
      </c>
      <c r="BE2036" s="29"/>
      <c r="BF2036" s="29" t="s">
        <v>1902</v>
      </c>
      <c r="BG2036" s="29" t="s">
        <v>220</v>
      </c>
      <c r="BH2036" s="29" t="s">
        <v>88</v>
      </c>
      <c r="BI2036" s="29" t="s">
        <v>3069</v>
      </c>
      <c r="BJ2036" s="29"/>
      <c r="BK2036" s="29" t="s">
        <v>3070</v>
      </c>
      <c r="BL2036" s="29" t="s">
        <v>3071</v>
      </c>
      <c r="BM2036" s="45"/>
      <c r="BN2036" s="45"/>
      <c r="BO2036" s="46"/>
      <c r="BP2036" s="2"/>
      <c r="BQ2036" s="3"/>
    </row>
    <row r="2037" ht="15.75" customHeight="1">
      <c r="A2037" s="34">
        <v>2172.0</v>
      </c>
      <c r="B2037" s="34">
        <v>103789.0</v>
      </c>
      <c r="C2037" s="34" t="s">
        <v>832</v>
      </c>
      <c r="D2037" s="34" t="s">
        <v>3062</v>
      </c>
      <c r="E2037" s="34" t="s">
        <v>3063</v>
      </c>
      <c r="F2037" s="34">
        <v>2016.0</v>
      </c>
      <c r="G2037" s="34" t="s">
        <v>3064</v>
      </c>
      <c r="H2037" s="34" t="s">
        <v>2449</v>
      </c>
      <c r="I2037" s="34" t="s">
        <v>3065</v>
      </c>
      <c r="J2037" s="35"/>
      <c r="K2037" s="36"/>
      <c r="L2037" s="36"/>
      <c r="M2037" s="36"/>
      <c r="N2037" s="36"/>
      <c r="O2037" s="36"/>
      <c r="P2037" s="37">
        <v>3.8</v>
      </c>
      <c r="Q2037" s="36"/>
      <c r="R2037" s="36" t="s">
        <v>96</v>
      </c>
      <c r="S2037" s="36">
        <v>25000.0</v>
      </c>
      <c r="T2037" s="36" t="s">
        <v>317</v>
      </c>
      <c r="U2037" s="36" t="s">
        <v>342</v>
      </c>
      <c r="V2037" s="36"/>
      <c r="W2037" s="36"/>
      <c r="X2037" s="38">
        <v>24.0</v>
      </c>
      <c r="Y2037" s="38" t="s">
        <v>3067</v>
      </c>
      <c r="Z2037" s="38"/>
      <c r="AA2037" s="38"/>
      <c r="AB2037" s="38"/>
      <c r="AC2037" s="38"/>
      <c r="AD2037" s="38" t="s">
        <v>3068</v>
      </c>
      <c r="AE2037" s="53"/>
      <c r="AF2037" s="38"/>
      <c r="AG2037" s="38"/>
      <c r="AH2037" s="38"/>
      <c r="AI2037" s="50"/>
      <c r="AJ2037" s="50"/>
      <c r="AK2037" s="41"/>
      <c r="AL2037" s="40"/>
      <c r="AM2037" s="49"/>
      <c r="AN2037" s="43"/>
      <c r="AO2037" s="42"/>
      <c r="AP2037" s="43"/>
      <c r="AQ2037" s="44" t="str">
        <f t="shared" si="230"/>
        <v/>
      </c>
      <c r="AR2037" s="44" t="str">
        <f t="shared" si="199"/>
        <v/>
      </c>
      <c r="AS2037" s="44"/>
      <c r="AT2037" s="44" t="str">
        <f t="shared" si="202"/>
        <v/>
      </c>
      <c r="AU2037" s="44" t="str">
        <f t="shared" si="203"/>
        <v/>
      </c>
      <c r="AV2037" s="38">
        <v>1.0</v>
      </c>
      <c r="AW2037" s="38">
        <v>1.0</v>
      </c>
      <c r="AX2037" s="38"/>
      <c r="AY2037" s="38"/>
      <c r="AZ2037" s="29">
        <v>25000.0</v>
      </c>
      <c r="BA2037" s="29">
        <v>1.0</v>
      </c>
      <c r="BB2037" s="29">
        <v>1.0</v>
      </c>
      <c r="BC2037" s="29"/>
      <c r="BD2037" s="29" t="s">
        <v>88</v>
      </c>
      <c r="BE2037" s="29"/>
      <c r="BF2037" s="29" t="s">
        <v>1902</v>
      </c>
      <c r="BG2037" s="29" t="s">
        <v>220</v>
      </c>
      <c r="BH2037" s="29" t="s">
        <v>88</v>
      </c>
      <c r="BI2037" s="29" t="s">
        <v>3069</v>
      </c>
      <c r="BJ2037" s="29"/>
      <c r="BK2037" s="29" t="s">
        <v>3070</v>
      </c>
      <c r="BL2037" s="29" t="s">
        <v>3071</v>
      </c>
      <c r="BM2037" s="45"/>
      <c r="BN2037" s="45"/>
      <c r="BO2037" s="46"/>
      <c r="BP2037" s="2"/>
      <c r="BQ2037" s="3"/>
    </row>
    <row r="2038" ht="15.75" customHeight="1">
      <c r="A2038" s="34">
        <v>2173.0</v>
      </c>
      <c r="B2038" s="34">
        <v>103789.0</v>
      </c>
      <c r="C2038" s="34" t="s">
        <v>832</v>
      </c>
      <c r="D2038" s="34" t="s">
        <v>3062</v>
      </c>
      <c r="E2038" s="34" t="s">
        <v>3063</v>
      </c>
      <c r="F2038" s="34">
        <v>2016.0</v>
      </c>
      <c r="G2038" s="34" t="s">
        <v>3064</v>
      </c>
      <c r="H2038" s="34" t="s">
        <v>2449</v>
      </c>
      <c r="I2038" s="34" t="s">
        <v>3065</v>
      </c>
      <c r="J2038" s="35"/>
      <c r="K2038" s="36"/>
      <c r="L2038" s="36"/>
      <c r="M2038" s="36"/>
      <c r="N2038" s="36"/>
      <c r="O2038" s="36"/>
      <c r="P2038" s="37">
        <v>125.9</v>
      </c>
      <c r="Q2038" s="36"/>
      <c r="R2038" s="36" t="s">
        <v>3066</v>
      </c>
      <c r="S2038" s="36">
        <v>25000.0</v>
      </c>
      <c r="T2038" s="36" t="s">
        <v>317</v>
      </c>
      <c r="U2038" s="36" t="s">
        <v>342</v>
      </c>
      <c r="V2038" s="36"/>
      <c r="W2038" s="36"/>
      <c r="X2038" s="38">
        <v>24.0</v>
      </c>
      <c r="Y2038" s="38" t="s">
        <v>3067</v>
      </c>
      <c r="Z2038" s="38"/>
      <c r="AA2038" s="38"/>
      <c r="AB2038" s="38"/>
      <c r="AC2038" s="38"/>
      <c r="AD2038" s="38" t="s">
        <v>3068</v>
      </c>
      <c r="AE2038" s="53"/>
      <c r="AF2038" s="38"/>
      <c r="AG2038" s="38"/>
      <c r="AH2038" s="38"/>
      <c r="AI2038" s="50"/>
      <c r="AJ2038" s="50"/>
      <c r="AK2038" s="41"/>
      <c r="AL2038" s="40"/>
      <c r="AM2038" s="49"/>
      <c r="AN2038" s="43"/>
      <c r="AO2038" s="42"/>
      <c r="AP2038" s="43"/>
      <c r="AQ2038" s="44" t="str">
        <f t="shared" si="230"/>
        <v/>
      </c>
      <c r="AR2038" s="44" t="str">
        <f t="shared" si="199"/>
        <v/>
      </c>
      <c r="AS2038" s="44"/>
      <c r="AT2038" s="44" t="str">
        <f t="shared" si="202"/>
        <v/>
      </c>
      <c r="AU2038" s="44" t="str">
        <f t="shared" si="203"/>
        <v/>
      </c>
      <c r="AV2038" s="38">
        <v>1.0</v>
      </c>
      <c r="AW2038" s="38">
        <v>1.0</v>
      </c>
      <c r="AX2038" s="38"/>
      <c r="AY2038" s="38"/>
      <c r="AZ2038" s="29">
        <v>25000.0</v>
      </c>
      <c r="BA2038" s="29">
        <v>1.0</v>
      </c>
      <c r="BB2038" s="29">
        <v>1.0</v>
      </c>
      <c r="BC2038" s="29"/>
      <c r="BD2038" s="29" t="s">
        <v>88</v>
      </c>
      <c r="BE2038" s="29"/>
      <c r="BF2038" s="29" t="s">
        <v>936</v>
      </c>
      <c r="BG2038" s="29" t="s">
        <v>572</v>
      </c>
      <c r="BH2038" s="29" t="s">
        <v>88</v>
      </c>
      <c r="BI2038" s="29" t="s">
        <v>3069</v>
      </c>
      <c r="BJ2038" s="29"/>
      <c r="BK2038" s="29" t="s">
        <v>3070</v>
      </c>
      <c r="BL2038" s="29" t="s">
        <v>3071</v>
      </c>
      <c r="BM2038" s="45"/>
      <c r="BN2038" s="45"/>
      <c r="BO2038" s="46"/>
      <c r="BP2038" s="2"/>
      <c r="BQ2038" s="3"/>
    </row>
    <row r="2039" ht="15.75" customHeight="1">
      <c r="A2039" s="34">
        <v>2174.0</v>
      </c>
      <c r="B2039" s="34">
        <v>103789.0</v>
      </c>
      <c r="C2039" s="34" t="s">
        <v>832</v>
      </c>
      <c r="D2039" s="34" t="s">
        <v>3062</v>
      </c>
      <c r="E2039" s="34" t="s">
        <v>3063</v>
      </c>
      <c r="F2039" s="34">
        <v>2016.0</v>
      </c>
      <c r="G2039" s="34" t="s">
        <v>3064</v>
      </c>
      <c r="H2039" s="34" t="s">
        <v>2449</v>
      </c>
      <c r="I2039" s="34" t="s">
        <v>3065</v>
      </c>
      <c r="J2039" s="35"/>
      <c r="K2039" s="36"/>
      <c r="L2039" s="36"/>
      <c r="M2039" s="36"/>
      <c r="N2039" s="36"/>
      <c r="O2039" s="36"/>
      <c r="P2039" s="37">
        <v>113.5</v>
      </c>
      <c r="Q2039" s="36"/>
      <c r="R2039" s="36" t="s">
        <v>96</v>
      </c>
      <c r="S2039" s="36">
        <v>25000.0</v>
      </c>
      <c r="T2039" s="36" t="s">
        <v>317</v>
      </c>
      <c r="U2039" s="36" t="s">
        <v>342</v>
      </c>
      <c r="V2039" s="36"/>
      <c r="W2039" s="36"/>
      <c r="X2039" s="38">
        <v>24.0</v>
      </c>
      <c r="Y2039" s="38" t="s">
        <v>3067</v>
      </c>
      <c r="Z2039" s="38"/>
      <c r="AA2039" s="38"/>
      <c r="AB2039" s="38"/>
      <c r="AC2039" s="38"/>
      <c r="AD2039" s="38" t="s">
        <v>3068</v>
      </c>
      <c r="AE2039" s="53"/>
      <c r="AF2039" s="38"/>
      <c r="AG2039" s="38"/>
      <c r="AH2039" s="38"/>
      <c r="AI2039" s="50"/>
      <c r="AJ2039" s="50"/>
      <c r="AK2039" s="41"/>
      <c r="AL2039" s="40"/>
      <c r="AM2039" s="49"/>
      <c r="AN2039" s="43"/>
      <c r="AO2039" s="42"/>
      <c r="AP2039" s="43"/>
      <c r="AQ2039" s="44" t="str">
        <f t="shared" si="230"/>
        <v/>
      </c>
      <c r="AR2039" s="44" t="str">
        <f t="shared" si="199"/>
        <v/>
      </c>
      <c r="AS2039" s="44"/>
      <c r="AT2039" s="44" t="str">
        <f t="shared" si="202"/>
        <v/>
      </c>
      <c r="AU2039" s="44" t="str">
        <f t="shared" si="203"/>
        <v/>
      </c>
      <c r="AV2039" s="38">
        <v>1.0</v>
      </c>
      <c r="AW2039" s="38">
        <v>1.0</v>
      </c>
      <c r="AX2039" s="38"/>
      <c r="AY2039" s="38"/>
      <c r="AZ2039" s="29">
        <v>25000.0</v>
      </c>
      <c r="BA2039" s="29">
        <v>1.0</v>
      </c>
      <c r="BB2039" s="29">
        <v>1.0</v>
      </c>
      <c r="BC2039" s="29"/>
      <c r="BD2039" s="29" t="s">
        <v>88</v>
      </c>
      <c r="BE2039" s="29"/>
      <c r="BF2039" s="29" t="s">
        <v>936</v>
      </c>
      <c r="BG2039" s="29" t="s">
        <v>572</v>
      </c>
      <c r="BH2039" s="29" t="s">
        <v>88</v>
      </c>
      <c r="BI2039" s="29" t="s">
        <v>3069</v>
      </c>
      <c r="BJ2039" s="29"/>
      <c r="BK2039" s="29" t="s">
        <v>3070</v>
      </c>
      <c r="BL2039" s="29" t="s">
        <v>3071</v>
      </c>
      <c r="BM2039" s="45"/>
      <c r="BN2039" s="45"/>
      <c r="BO2039" s="46"/>
      <c r="BP2039" s="2"/>
      <c r="BQ2039" s="3"/>
    </row>
    <row r="2040" ht="15.75" customHeight="1">
      <c r="A2040" s="34">
        <v>2175.0</v>
      </c>
      <c r="B2040" s="34">
        <v>103789.0</v>
      </c>
      <c r="C2040" s="34" t="s">
        <v>832</v>
      </c>
      <c r="D2040" s="34" t="s">
        <v>3062</v>
      </c>
      <c r="E2040" s="34" t="s">
        <v>3063</v>
      </c>
      <c r="F2040" s="34">
        <v>2016.0</v>
      </c>
      <c r="G2040" s="34" t="s">
        <v>3064</v>
      </c>
      <c r="H2040" s="34" t="s">
        <v>2449</v>
      </c>
      <c r="I2040" s="34" t="s">
        <v>3065</v>
      </c>
      <c r="J2040" s="35"/>
      <c r="K2040" s="36"/>
      <c r="L2040" s="36"/>
      <c r="M2040" s="36"/>
      <c r="N2040" s="36"/>
      <c r="O2040" s="36"/>
      <c r="P2040" s="37">
        <v>31.9</v>
      </c>
      <c r="Q2040" s="36"/>
      <c r="R2040" s="36" t="s">
        <v>3066</v>
      </c>
      <c r="S2040" s="36">
        <v>25000.0</v>
      </c>
      <c r="T2040" s="36" t="s">
        <v>317</v>
      </c>
      <c r="U2040" s="36" t="s">
        <v>342</v>
      </c>
      <c r="V2040" s="36"/>
      <c r="W2040" s="36"/>
      <c r="X2040" s="38">
        <v>24.0</v>
      </c>
      <c r="Y2040" s="38" t="s">
        <v>3067</v>
      </c>
      <c r="Z2040" s="38"/>
      <c r="AA2040" s="38"/>
      <c r="AB2040" s="38"/>
      <c r="AC2040" s="38"/>
      <c r="AD2040" s="38" t="s">
        <v>3068</v>
      </c>
      <c r="AE2040" s="53"/>
      <c r="AF2040" s="38"/>
      <c r="AG2040" s="38"/>
      <c r="AH2040" s="38"/>
      <c r="AI2040" s="50"/>
      <c r="AJ2040" s="50"/>
      <c r="AK2040" s="41"/>
      <c r="AL2040" s="40"/>
      <c r="AM2040" s="49"/>
      <c r="AN2040" s="43"/>
      <c r="AO2040" s="42"/>
      <c r="AP2040" s="43"/>
      <c r="AQ2040" s="44" t="str">
        <f t="shared" si="230"/>
        <v/>
      </c>
      <c r="AR2040" s="44" t="str">
        <f t="shared" si="199"/>
        <v/>
      </c>
      <c r="AS2040" s="44"/>
      <c r="AT2040" s="44" t="str">
        <f t="shared" si="202"/>
        <v/>
      </c>
      <c r="AU2040" s="44" t="str">
        <f t="shared" si="203"/>
        <v/>
      </c>
      <c r="AV2040" s="38">
        <v>1.0</v>
      </c>
      <c r="AW2040" s="38">
        <v>1.0</v>
      </c>
      <c r="AX2040" s="38"/>
      <c r="AY2040" s="38"/>
      <c r="AZ2040" s="29">
        <v>25000.0</v>
      </c>
      <c r="BA2040" s="29">
        <v>1.0</v>
      </c>
      <c r="BB2040" s="29">
        <v>1.0</v>
      </c>
      <c r="BC2040" s="29"/>
      <c r="BD2040" s="29" t="s">
        <v>88</v>
      </c>
      <c r="BE2040" s="29"/>
      <c r="BF2040" s="29" t="s">
        <v>202</v>
      </c>
      <c r="BG2040" s="29" t="s">
        <v>203</v>
      </c>
      <c r="BH2040" s="29" t="s">
        <v>88</v>
      </c>
      <c r="BI2040" s="29" t="s">
        <v>3069</v>
      </c>
      <c r="BJ2040" s="29"/>
      <c r="BK2040" s="29" t="s">
        <v>3070</v>
      </c>
      <c r="BL2040" s="29" t="s">
        <v>3071</v>
      </c>
      <c r="BM2040" s="45"/>
      <c r="BN2040" s="45"/>
      <c r="BO2040" s="46"/>
      <c r="BP2040" s="2"/>
      <c r="BQ2040" s="3"/>
    </row>
    <row r="2041" ht="15.75" customHeight="1">
      <c r="A2041" s="34">
        <v>2176.0</v>
      </c>
      <c r="B2041" s="34">
        <v>103789.0</v>
      </c>
      <c r="C2041" s="34" t="s">
        <v>832</v>
      </c>
      <c r="D2041" s="34" t="s">
        <v>3062</v>
      </c>
      <c r="E2041" s="34" t="s">
        <v>3063</v>
      </c>
      <c r="F2041" s="34">
        <v>2016.0</v>
      </c>
      <c r="G2041" s="34" t="s">
        <v>3064</v>
      </c>
      <c r="H2041" s="34" t="s">
        <v>2449</v>
      </c>
      <c r="I2041" s="34" t="s">
        <v>3065</v>
      </c>
      <c r="J2041" s="35"/>
      <c r="K2041" s="36"/>
      <c r="L2041" s="36"/>
      <c r="M2041" s="36"/>
      <c r="N2041" s="36"/>
      <c r="O2041" s="36"/>
      <c r="P2041" s="37">
        <v>15.6</v>
      </c>
      <c r="Q2041" s="36"/>
      <c r="R2041" s="36" t="s">
        <v>96</v>
      </c>
      <c r="S2041" s="36">
        <v>25000.0</v>
      </c>
      <c r="T2041" s="36" t="s">
        <v>317</v>
      </c>
      <c r="U2041" s="36" t="s">
        <v>342</v>
      </c>
      <c r="V2041" s="36"/>
      <c r="W2041" s="36"/>
      <c r="X2041" s="38">
        <v>24.0</v>
      </c>
      <c r="Y2041" s="38" t="s">
        <v>3067</v>
      </c>
      <c r="Z2041" s="38"/>
      <c r="AA2041" s="38"/>
      <c r="AB2041" s="38"/>
      <c r="AC2041" s="38"/>
      <c r="AD2041" s="38" t="s">
        <v>3068</v>
      </c>
      <c r="AE2041" s="53"/>
      <c r="AF2041" s="38"/>
      <c r="AG2041" s="38"/>
      <c r="AH2041" s="38"/>
      <c r="AI2041" s="50"/>
      <c r="AJ2041" s="50"/>
      <c r="AK2041" s="41"/>
      <c r="AL2041" s="40"/>
      <c r="AM2041" s="49"/>
      <c r="AN2041" s="43"/>
      <c r="AO2041" s="42"/>
      <c r="AP2041" s="43"/>
      <c r="AQ2041" s="44" t="str">
        <f t="shared" si="230"/>
        <v/>
      </c>
      <c r="AR2041" s="44" t="str">
        <f t="shared" si="199"/>
        <v/>
      </c>
      <c r="AS2041" s="44"/>
      <c r="AT2041" s="44" t="str">
        <f t="shared" si="202"/>
        <v/>
      </c>
      <c r="AU2041" s="44" t="str">
        <f t="shared" si="203"/>
        <v/>
      </c>
      <c r="AV2041" s="38">
        <v>1.0</v>
      </c>
      <c r="AW2041" s="38">
        <v>1.0</v>
      </c>
      <c r="AX2041" s="38"/>
      <c r="AY2041" s="38"/>
      <c r="AZ2041" s="29">
        <v>25000.0</v>
      </c>
      <c r="BA2041" s="29">
        <v>1.0</v>
      </c>
      <c r="BB2041" s="29">
        <v>1.0</v>
      </c>
      <c r="BC2041" s="29"/>
      <c r="BD2041" s="29" t="s">
        <v>88</v>
      </c>
      <c r="BE2041" s="29"/>
      <c r="BF2041" s="29" t="s">
        <v>202</v>
      </c>
      <c r="BG2041" s="29" t="s">
        <v>203</v>
      </c>
      <c r="BH2041" s="29" t="s">
        <v>88</v>
      </c>
      <c r="BI2041" s="29" t="s">
        <v>3069</v>
      </c>
      <c r="BJ2041" s="29"/>
      <c r="BK2041" s="29" t="s">
        <v>3070</v>
      </c>
      <c r="BL2041" s="29" t="s">
        <v>3071</v>
      </c>
      <c r="BM2041" s="45"/>
      <c r="BN2041" s="45"/>
      <c r="BO2041" s="46"/>
      <c r="BP2041" s="2"/>
      <c r="BQ2041" s="3"/>
    </row>
    <row r="2042" ht="15.75" customHeight="1">
      <c r="A2042" s="34">
        <v>2177.0</v>
      </c>
      <c r="B2042" s="34">
        <v>103789.0</v>
      </c>
      <c r="C2042" s="34" t="s">
        <v>832</v>
      </c>
      <c r="D2042" s="34" t="s">
        <v>3062</v>
      </c>
      <c r="E2042" s="34" t="s">
        <v>3063</v>
      </c>
      <c r="F2042" s="34">
        <v>2016.0</v>
      </c>
      <c r="G2042" s="34" t="s">
        <v>3064</v>
      </c>
      <c r="H2042" s="34" t="s">
        <v>2449</v>
      </c>
      <c r="I2042" s="34" t="s">
        <v>3065</v>
      </c>
      <c r="J2042" s="35"/>
      <c r="K2042" s="36"/>
      <c r="L2042" s="36"/>
      <c r="M2042" s="36"/>
      <c r="N2042" s="36"/>
      <c r="O2042" s="36"/>
      <c r="P2042" s="37">
        <v>25.8</v>
      </c>
      <c r="Q2042" s="36"/>
      <c r="R2042" s="36" t="s">
        <v>3066</v>
      </c>
      <c r="S2042" s="36">
        <v>25000.0</v>
      </c>
      <c r="T2042" s="36" t="s">
        <v>317</v>
      </c>
      <c r="U2042" s="36" t="s">
        <v>342</v>
      </c>
      <c r="V2042" s="36"/>
      <c r="W2042" s="36"/>
      <c r="X2042" s="38">
        <v>24.0</v>
      </c>
      <c r="Y2042" s="38" t="s">
        <v>3067</v>
      </c>
      <c r="Z2042" s="38"/>
      <c r="AA2042" s="38"/>
      <c r="AB2042" s="38"/>
      <c r="AC2042" s="38"/>
      <c r="AD2042" s="38" t="s">
        <v>3068</v>
      </c>
      <c r="AE2042" s="53"/>
      <c r="AF2042" s="38"/>
      <c r="AG2042" s="38"/>
      <c r="AH2042" s="38"/>
      <c r="AI2042" s="50"/>
      <c r="AJ2042" s="50"/>
      <c r="AK2042" s="41"/>
      <c r="AL2042" s="40"/>
      <c r="AM2042" s="49"/>
      <c r="AN2042" s="43"/>
      <c r="AO2042" s="42"/>
      <c r="AP2042" s="43"/>
      <c r="AQ2042" s="44" t="str">
        <f t="shared" si="230"/>
        <v/>
      </c>
      <c r="AR2042" s="44" t="str">
        <f t="shared" si="199"/>
        <v/>
      </c>
      <c r="AS2042" s="44"/>
      <c r="AT2042" s="44" t="str">
        <f t="shared" si="202"/>
        <v/>
      </c>
      <c r="AU2042" s="44" t="str">
        <f t="shared" si="203"/>
        <v/>
      </c>
      <c r="AV2042" s="38">
        <v>1.0</v>
      </c>
      <c r="AW2042" s="38">
        <v>1.0</v>
      </c>
      <c r="AX2042" s="38"/>
      <c r="AY2042" s="38"/>
      <c r="AZ2042" s="29">
        <v>25000.0</v>
      </c>
      <c r="BA2042" s="29">
        <v>1.0</v>
      </c>
      <c r="BB2042" s="29">
        <v>1.0</v>
      </c>
      <c r="BC2042" s="29"/>
      <c r="BD2042" s="29" t="s">
        <v>88</v>
      </c>
      <c r="BE2042" s="29"/>
      <c r="BF2042" s="29" t="s">
        <v>881</v>
      </c>
      <c r="BG2042" s="29" t="s">
        <v>203</v>
      </c>
      <c r="BH2042" s="29" t="s">
        <v>92</v>
      </c>
      <c r="BI2042" s="29" t="s">
        <v>3073</v>
      </c>
      <c r="BJ2042" s="29"/>
      <c r="BK2042" s="29" t="s">
        <v>3070</v>
      </c>
      <c r="BL2042" s="29" t="s">
        <v>3071</v>
      </c>
      <c r="BM2042" s="45"/>
      <c r="BN2042" s="45"/>
      <c r="BO2042" s="46"/>
      <c r="BP2042" s="2"/>
      <c r="BQ2042" s="3"/>
    </row>
    <row r="2043" ht="15.75" customHeight="1">
      <c r="A2043" s="34">
        <v>2178.0</v>
      </c>
      <c r="B2043" s="34">
        <v>103789.0</v>
      </c>
      <c r="C2043" s="34" t="s">
        <v>832</v>
      </c>
      <c r="D2043" s="34" t="s">
        <v>3062</v>
      </c>
      <c r="E2043" s="34" t="s">
        <v>3063</v>
      </c>
      <c r="F2043" s="34">
        <v>2016.0</v>
      </c>
      <c r="G2043" s="34" t="s">
        <v>3064</v>
      </c>
      <c r="H2043" s="34" t="s">
        <v>2449</v>
      </c>
      <c r="I2043" s="34" t="s">
        <v>3065</v>
      </c>
      <c r="J2043" s="35"/>
      <c r="K2043" s="36"/>
      <c r="L2043" s="36"/>
      <c r="M2043" s="36"/>
      <c r="N2043" s="36"/>
      <c r="O2043" s="36"/>
      <c r="P2043" s="37">
        <v>16.5</v>
      </c>
      <c r="Q2043" s="36"/>
      <c r="R2043" s="36" t="s">
        <v>96</v>
      </c>
      <c r="S2043" s="36">
        <v>25000.0</v>
      </c>
      <c r="T2043" s="36" t="s">
        <v>317</v>
      </c>
      <c r="U2043" s="36" t="s">
        <v>342</v>
      </c>
      <c r="V2043" s="36"/>
      <c r="W2043" s="36"/>
      <c r="X2043" s="38">
        <v>24.0</v>
      </c>
      <c r="Y2043" s="38" t="s">
        <v>3067</v>
      </c>
      <c r="Z2043" s="38"/>
      <c r="AA2043" s="38"/>
      <c r="AB2043" s="38"/>
      <c r="AC2043" s="38"/>
      <c r="AD2043" s="38" t="s">
        <v>3068</v>
      </c>
      <c r="AE2043" s="53"/>
      <c r="AF2043" s="38"/>
      <c r="AG2043" s="38"/>
      <c r="AH2043" s="38"/>
      <c r="AI2043" s="50"/>
      <c r="AJ2043" s="50"/>
      <c r="AK2043" s="41"/>
      <c r="AL2043" s="40"/>
      <c r="AM2043" s="49"/>
      <c r="AN2043" s="43"/>
      <c r="AO2043" s="42"/>
      <c r="AP2043" s="43"/>
      <c r="AQ2043" s="44" t="str">
        <f t="shared" si="230"/>
        <v/>
      </c>
      <c r="AR2043" s="44" t="str">
        <f t="shared" si="199"/>
        <v/>
      </c>
      <c r="AS2043" s="44"/>
      <c r="AT2043" s="44" t="str">
        <f t="shared" si="202"/>
        <v/>
      </c>
      <c r="AU2043" s="44" t="str">
        <f t="shared" si="203"/>
        <v/>
      </c>
      <c r="AV2043" s="38">
        <v>1.0</v>
      </c>
      <c r="AW2043" s="38">
        <v>1.0</v>
      </c>
      <c r="AX2043" s="38"/>
      <c r="AY2043" s="38"/>
      <c r="AZ2043" s="29">
        <v>25000.0</v>
      </c>
      <c r="BA2043" s="29">
        <v>1.0</v>
      </c>
      <c r="BB2043" s="29">
        <v>1.0</v>
      </c>
      <c r="BC2043" s="29"/>
      <c r="BD2043" s="29" t="s">
        <v>88</v>
      </c>
      <c r="BE2043" s="29"/>
      <c r="BF2043" s="29" t="s">
        <v>881</v>
      </c>
      <c r="BG2043" s="29" t="s">
        <v>203</v>
      </c>
      <c r="BH2043" s="29" t="s">
        <v>92</v>
      </c>
      <c r="BI2043" s="29" t="s">
        <v>3073</v>
      </c>
      <c r="BJ2043" s="29"/>
      <c r="BK2043" s="29" t="s">
        <v>3070</v>
      </c>
      <c r="BL2043" s="29" t="s">
        <v>3071</v>
      </c>
      <c r="BM2043" s="45"/>
      <c r="BN2043" s="45"/>
      <c r="BO2043" s="46"/>
      <c r="BP2043" s="2"/>
      <c r="BQ2043" s="3"/>
    </row>
    <row r="2044" ht="15.75" customHeight="1">
      <c r="A2044" s="34">
        <v>2179.0</v>
      </c>
      <c r="B2044" s="34">
        <v>103789.0</v>
      </c>
      <c r="C2044" s="34" t="s">
        <v>832</v>
      </c>
      <c r="D2044" s="34" t="s">
        <v>3062</v>
      </c>
      <c r="E2044" s="34" t="s">
        <v>3063</v>
      </c>
      <c r="F2044" s="34">
        <v>2016.0</v>
      </c>
      <c r="G2044" s="34" t="s">
        <v>3064</v>
      </c>
      <c r="H2044" s="34" t="s">
        <v>2449</v>
      </c>
      <c r="I2044" s="34" t="s">
        <v>3065</v>
      </c>
      <c r="J2044" s="35"/>
      <c r="K2044" s="36"/>
      <c r="L2044" s="36"/>
      <c r="M2044" s="36"/>
      <c r="N2044" s="36"/>
      <c r="O2044" s="36"/>
      <c r="P2044" s="37">
        <v>-16.1</v>
      </c>
      <c r="Q2044" s="36"/>
      <c r="R2044" s="36" t="s">
        <v>3066</v>
      </c>
      <c r="S2044" s="36">
        <v>25000.0</v>
      </c>
      <c r="T2044" s="36" t="s">
        <v>317</v>
      </c>
      <c r="U2044" s="36" t="s">
        <v>342</v>
      </c>
      <c r="V2044" s="36"/>
      <c r="W2044" s="36"/>
      <c r="X2044" s="38">
        <v>24.0</v>
      </c>
      <c r="Y2044" s="38" t="s">
        <v>3067</v>
      </c>
      <c r="Z2044" s="38"/>
      <c r="AA2044" s="38"/>
      <c r="AB2044" s="38"/>
      <c r="AC2044" s="38"/>
      <c r="AD2044" s="38" t="s">
        <v>3068</v>
      </c>
      <c r="AE2044" s="53"/>
      <c r="AF2044" s="38"/>
      <c r="AG2044" s="38"/>
      <c r="AH2044" s="38"/>
      <c r="AI2044" s="50"/>
      <c r="AJ2044" s="50"/>
      <c r="AK2044" s="41"/>
      <c r="AL2044" s="40"/>
      <c r="AM2044" s="49"/>
      <c r="AN2044" s="43"/>
      <c r="AO2044" s="42"/>
      <c r="AP2044" s="43"/>
      <c r="AQ2044" s="44" t="str">
        <f t="shared" si="230"/>
        <v/>
      </c>
      <c r="AR2044" s="44" t="str">
        <f t="shared" si="199"/>
        <v/>
      </c>
      <c r="AS2044" s="44"/>
      <c r="AT2044" s="44" t="str">
        <f t="shared" si="202"/>
        <v/>
      </c>
      <c r="AU2044" s="44" t="str">
        <f t="shared" si="203"/>
        <v/>
      </c>
      <c r="AV2044" s="38">
        <v>1.0</v>
      </c>
      <c r="AW2044" s="38">
        <v>1.0</v>
      </c>
      <c r="AX2044" s="38"/>
      <c r="AY2044" s="38"/>
      <c r="AZ2044" s="29">
        <v>25000.0</v>
      </c>
      <c r="BA2044" s="29">
        <v>1.0</v>
      </c>
      <c r="BB2044" s="29">
        <v>1.0</v>
      </c>
      <c r="BC2044" s="29"/>
      <c r="BD2044" s="29" t="s">
        <v>88</v>
      </c>
      <c r="BE2044" s="29"/>
      <c r="BF2044" s="29" t="s">
        <v>1902</v>
      </c>
      <c r="BG2044" s="29" t="s">
        <v>220</v>
      </c>
      <c r="BH2044" s="29" t="s">
        <v>92</v>
      </c>
      <c r="BI2044" s="29" t="s">
        <v>3073</v>
      </c>
      <c r="BJ2044" s="29"/>
      <c r="BK2044" s="29" t="s">
        <v>3070</v>
      </c>
      <c r="BL2044" s="29" t="s">
        <v>3071</v>
      </c>
      <c r="BM2044" s="45"/>
      <c r="BN2044" s="45"/>
      <c r="BO2044" s="46"/>
      <c r="BP2044" s="2"/>
      <c r="BQ2044" s="3"/>
    </row>
    <row r="2045" ht="15.75" customHeight="1">
      <c r="A2045" s="34">
        <v>2180.0</v>
      </c>
      <c r="B2045" s="34">
        <v>103789.0</v>
      </c>
      <c r="C2045" s="34" t="s">
        <v>832</v>
      </c>
      <c r="D2045" s="34" t="s">
        <v>3062</v>
      </c>
      <c r="E2045" s="34" t="s">
        <v>3063</v>
      </c>
      <c r="F2045" s="34">
        <v>2016.0</v>
      </c>
      <c r="G2045" s="34" t="s">
        <v>3064</v>
      </c>
      <c r="H2045" s="34" t="s">
        <v>2449</v>
      </c>
      <c r="I2045" s="34" t="s">
        <v>3065</v>
      </c>
      <c r="J2045" s="35"/>
      <c r="K2045" s="36"/>
      <c r="L2045" s="36"/>
      <c r="M2045" s="36"/>
      <c r="N2045" s="36"/>
      <c r="O2045" s="36"/>
      <c r="P2045" s="37">
        <v>-17.9</v>
      </c>
      <c r="Q2045" s="36"/>
      <c r="R2045" s="36" t="s">
        <v>96</v>
      </c>
      <c r="S2045" s="36">
        <v>25000.0</v>
      </c>
      <c r="T2045" s="36" t="s">
        <v>317</v>
      </c>
      <c r="U2045" s="36" t="s">
        <v>342</v>
      </c>
      <c r="V2045" s="36"/>
      <c r="W2045" s="36"/>
      <c r="X2045" s="38">
        <v>24.0</v>
      </c>
      <c r="Y2045" s="38" t="s">
        <v>3067</v>
      </c>
      <c r="Z2045" s="38"/>
      <c r="AA2045" s="38"/>
      <c r="AB2045" s="38"/>
      <c r="AC2045" s="38"/>
      <c r="AD2045" s="38" t="s">
        <v>3068</v>
      </c>
      <c r="AE2045" s="53"/>
      <c r="AF2045" s="38"/>
      <c r="AG2045" s="38"/>
      <c r="AH2045" s="38"/>
      <c r="AI2045" s="50"/>
      <c r="AJ2045" s="50"/>
      <c r="AK2045" s="41"/>
      <c r="AL2045" s="40"/>
      <c r="AM2045" s="49"/>
      <c r="AN2045" s="43"/>
      <c r="AO2045" s="42"/>
      <c r="AP2045" s="43"/>
      <c r="AQ2045" s="44" t="str">
        <f t="shared" si="230"/>
        <v/>
      </c>
      <c r="AR2045" s="44" t="str">
        <f t="shared" si="199"/>
        <v/>
      </c>
      <c r="AS2045" s="44"/>
      <c r="AT2045" s="44" t="str">
        <f t="shared" si="202"/>
        <v/>
      </c>
      <c r="AU2045" s="44" t="str">
        <f t="shared" si="203"/>
        <v/>
      </c>
      <c r="AV2045" s="38">
        <v>1.0</v>
      </c>
      <c r="AW2045" s="38">
        <v>1.0</v>
      </c>
      <c r="AX2045" s="38"/>
      <c r="AY2045" s="38"/>
      <c r="AZ2045" s="29">
        <v>25000.0</v>
      </c>
      <c r="BA2045" s="29">
        <v>1.0</v>
      </c>
      <c r="BB2045" s="29">
        <v>1.0</v>
      </c>
      <c r="BC2045" s="29"/>
      <c r="BD2045" s="29" t="s">
        <v>88</v>
      </c>
      <c r="BE2045" s="29"/>
      <c r="BF2045" s="29" t="s">
        <v>1902</v>
      </c>
      <c r="BG2045" s="29" t="s">
        <v>220</v>
      </c>
      <c r="BH2045" s="29" t="s">
        <v>92</v>
      </c>
      <c r="BI2045" s="29" t="s">
        <v>3073</v>
      </c>
      <c r="BJ2045" s="29"/>
      <c r="BK2045" s="29" t="s">
        <v>3070</v>
      </c>
      <c r="BL2045" s="29" t="s">
        <v>3071</v>
      </c>
      <c r="BM2045" s="45"/>
      <c r="BN2045" s="45"/>
      <c r="BO2045" s="46"/>
      <c r="BP2045" s="2"/>
      <c r="BQ2045" s="3"/>
    </row>
    <row r="2046" ht="15.75" customHeight="1">
      <c r="A2046" s="34">
        <v>2181.0</v>
      </c>
      <c r="B2046" s="34">
        <v>103789.0</v>
      </c>
      <c r="C2046" s="34" t="s">
        <v>832</v>
      </c>
      <c r="D2046" s="34" t="s">
        <v>3062</v>
      </c>
      <c r="E2046" s="34" t="s">
        <v>3063</v>
      </c>
      <c r="F2046" s="34">
        <v>2016.0</v>
      </c>
      <c r="G2046" s="34" t="s">
        <v>3064</v>
      </c>
      <c r="H2046" s="34" t="s">
        <v>2449</v>
      </c>
      <c r="I2046" s="34" t="s">
        <v>3065</v>
      </c>
      <c r="J2046" s="35"/>
      <c r="K2046" s="36"/>
      <c r="L2046" s="36"/>
      <c r="M2046" s="36"/>
      <c r="N2046" s="36"/>
      <c r="O2046" s="36"/>
      <c r="P2046" s="37">
        <v>145.1</v>
      </c>
      <c r="Q2046" s="36"/>
      <c r="R2046" s="36" t="s">
        <v>3066</v>
      </c>
      <c r="S2046" s="36">
        <v>25000.0</v>
      </c>
      <c r="T2046" s="36" t="s">
        <v>317</v>
      </c>
      <c r="U2046" s="36" t="s">
        <v>342</v>
      </c>
      <c r="V2046" s="36"/>
      <c r="W2046" s="36"/>
      <c r="X2046" s="38">
        <v>24.0</v>
      </c>
      <c r="Y2046" s="38" t="s">
        <v>3067</v>
      </c>
      <c r="Z2046" s="38"/>
      <c r="AA2046" s="38"/>
      <c r="AB2046" s="38"/>
      <c r="AC2046" s="38"/>
      <c r="AD2046" s="38" t="s">
        <v>3068</v>
      </c>
      <c r="AE2046" s="53"/>
      <c r="AF2046" s="38"/>
      <c r="AG2046" s="38"/>
      <c r="AH2046" s="38"/>
      <c r="AI2046" s="50"/>
      <c r="AJ2046" s="50"/>
      <c r="AK2046" s="41"/>
      <c r="AL2046" s="40"/>
      <c r="AM2046" s="49"/>
      <c r="AN2046" s="43"/>
      <c r="AO2046" s="42"/>
      <c r="AP2046" s="43"/>
      <c r="AQ2046" s="44" t="str">
        <f t="shared" si="230"/>
        <v/>
      </c>
      <c r="AR2046" s="44" t="str">
        <f t="shared" si="199"/>
        <v/>
      </c>
      <c r="AS2046" s="44"/>
      <c r="AT2046" s="44" t="str">
        <f t="shared" si="202"/>
        <v/>
      </c>
      <c r="AU2046" s="44" t="str">
        <f t="shared" si="203"/>
        <v/>
      </c>
      <c r="AV2046" s="38">
        <v>1.0</v>
      </c>
      <c r="AW2046" s="38">
        <v>1.0</v>
      </c>
      <c r="AX2046" s="38"/>
      <c r="AY2046" s="38"/>
      <c r="AZ2046" s="29">
        <v>25000.0</v>
      </c>
      <c r="BA2046" s="29">
        <v>1.0</v>
      </c>
      <c r="BB2046" s="29">
        <v>1.0</v>
      </c>
      <c r="BC2046" s="29"/>
      <c r="BD2046" s="29" t="s">
        <v>88</v>
      </c>
      <c r="BE2046" s="29"/>
      <c r="BF2046" s="29" t="s">
        <v>936</v>
      </c>
      <c r="BG2046" s="29" t="s">
        <v>572</v>
      </c>
      <c r="BH2046" s="29" t="s">
        <v>92</v>
      </c>
      <c r="BI2046" s="29" t="s">
        <v>3073</v>
      </c>
      <c r="BJ2046" s="29"/>
      <c r="BK2046" s="29" t="s">
        <v>3070</v>
      </c>
      <c r="BL2046" s="29" t="s">
        <v>3071</v>
      </c>
      <c r="BM2046" s="45"/>
      <c r="BN2046" s="45"/>
      <c r="BO2046" s="46"/>
      <c r="BP2046" s="2"/>
      <c r="BQ2046" s="3"/>
    </row>
    <row r="2047" ht="15.75" customHeight="1">
      <c r="A2047" s="34">
        <v>2182.0</v>
      </c>
      <c r="B2047" s="34">
        <v>103789.0</v>
      </c>
      <c r="C2047" s="34" t="s">
        <v>832</v>
      </c>
      <c r="D2047" s="34" t="s">
        <v>3062</v>
      </c>
      <c r="E2047" s="34" t="s">
        <v>3063</v>
      </c>
      <c r="F2047" s="34">
        <v>2016.0</v>
      </c>
      <c r="G2047" s="34" t="s">
        <v>3064</v>
      </c>
      <c r="H2047" s="34" t="s">
        <v>2449</v>
      </c>
      <c r="I2047" s="34" t="s">
        <v>3065</v>
      </c>
      <c r="J2047" s="35"/>
      <c r="K2047" s="36"/>
      <c r="L2047" s="36"/>
      <c r="M2047" s="36"/>
      <c r="N2047" s="36"/>
      <c r="O2047" s="36"/>
      <c r="P2047" s="37">
        <v>160.2</v>
      </c>
      <c r="Q2047" s="36"/>
      <c r="R2047" s="36" t="s">
        <v>96</v>
      </c>
      <c r="S2047" s="36">
        <v>25000.0</v>
      </c>
      <c r="T2047" s="36" t="s">
        <v>317</v>
      </c>
      <c r="U2047" s="36" t="s">
        <v>342</v>
      </c>
      <c r="V2047" s="36"/>
      <c r="W2047" s="36"/>
      <c r="X2047" s="38">
        <v>24.0</v>
      </c>
      <c r="Y2047" s="38" t="s">
        <v>3067</v>
      </c>
      <c r="Z2047" s="38"/>
      <c r="AA2047" s="38"/>
      <c r="AB2047" s="38"/>
      <c r="AC2047" s="38"/>
      <c r="AD2047" s="38" t="s">
        <v>3068</v>
      </c>
      <c r="AE2047" s="53"/>
      <c r="AF2047" s="38"/>
      <c r="AG2047" s="38"/>
      <c r="AH2047" s="38"/>
      <c r="AI2047" s="50"/>
      <c r="AJ2047" s="50"/>
      <c r="AK2047" s="41"/>
      <c r="AL2047" s="40"/>
      <c r="AM2047" s="49"/>
      <c r="AN2047" s="43"/>
      <c r="AO2047" s="42"/>
      <c r="AP2047" s="43"/>
      <c r="AQ2047" s="44" t="str">
        <f t="shared" si="230"/>
        <v/>
      </c>
      <c r="AR2047" s="44" t="str">
        <f t="shared" si="199"/>
        <v/>
      </c>
      <c r="AS2047" s="44"/>
      <c r="AT2047" s="44" t="str">
        <f t="shared" si="202"/>
        <v/>
      </c>
      <c r="AU2047" s="44" t="str">
        <f t="shared" si="203"/>
        <v/>
      </c>
      <c r="AV2047" s="38">
        <v>1.0</v>
      </c>
      <c r="AW2047" s="38">
        <v>1.0</v>
      </c>
      <c r="AX2047" s="38"/>
      <c r="AY2047" s="38"/>
      <c r="AZ2047" s="29">
        <v>25000.0</v>
      </c>
      <c r="BA2047" s="29">
        <v>1.0</v>
      </c>
      <c r="BB2047" s="29">
        <v>1.0</v>
      </c>
      <c r="BC2047" s="29"/>
      <c r="BD2047" s="29" t="s">
        <v>88</v>
      </c>
      <c r="BE2047" s="29"/>
      <c r="BF2047" s="29" t="s">
        <v>936</v>
      </c>
      <c r="BG2047" s="29" t="s">
        <v>572</v>
      </c>
      <c r="BH2047" s="29" t="s">
        <v>92</v>
      </c>
      <c r="BI2047" s="29" t="s">
        <v>3073</v>
      </c>
      <c r="BJ2047" s="29"/>
      <c r="BK2047" s="29" t="s">
        <v>3070</v>
      </c>
      <c r="BL2047" s="29" t="s">
        <v>3071</v>
      </c>
      <c r="BM2047" s="45"/>
      <c r="BN2047" s="45"/>
      <c r="BO2047" s="46"/>
      <c r="BP2047" s="2"/>
      <c r="BQ2047" s="3"/>
    </row>
    <row r="2048" ht="15.75" customHeight="1">
      <c r="A2048" s="34">
        <v>2183.0</v>
      </c>
      <c r="B2048" s="34">
        <v>103789.0</v>
      </c>
      <c r="C2048" s="34" t="s">
        <v>832</v>
      </c>
      <c r="D2048" s="34" t="s">
        <v>3062</v>
      </c>
      <c r="E2048" s="34" t="s">
        <v>3063</v>
      </c>
      <c r="F2048" s="34">
        <v>2016.0</v>
      </c>
      <c r="G2048" s="34" t="s">
        <v>3064</v>
      </c>
      <c r="H2048" s="34" t="s">
        <v>2449</v>
      </c>
      <c r="I2048" s="34" t="s">
        <v>3065</v>
      </c>
      <c r="J2048" s="35"/>
      <c r="K2048" s="36"/>
      <c r="L2048" s="36"/>
      <c r="M2048" s="36"/>
      <c r="N2048" s="36"/>
      <c r="O2048" s="36"/>
      <c r="P2048" s="37">
        <v>22.7</v>
      </c>
      <c r="Q2048" s="36"/>
      <c r="R2048" s="36" t="s">
        <v>3066</v>
      </c>
      <c r="S2048" s="36">
        <v>25000.0</v>
      </c>
      <c r="T2048" s="36" t="s">
        <v>317</v>
      </c>
      <c r="U2048" s="36" t="s">
        <v>342</v>
      </c>
      <c r="V2048" s="36"/>
      <c r="W2048" s="36"/>
      <c r="X2048" s="38">
        <v>24.0</v>
      </c>
      <c r="Y2048" s="38" t="s">
        <v>3067</v>
      </c>
      <c r="Z2048" s="38"/>
      <c r="AA2048" s="38"/>
      <c r="AB2048" s="38"/>
      <c r="AC2048" s="38"/>
      <c r="AD2048" s="38" t="s">
        <v>3068</v>
      </c>
      <c r="AE2048" s="53"/>
      <c r="AF2048" s="38"/>
      <c r="AG2048" s="38"/>
      <c r="AH2048" s="38"/>
      <c r="AI2048" s="50"/>
      <c r="AJ2048" s="50"/>
      <c r="AK2048" s="41"/>
      <c r="AL2048" s="40"/>
      <c r="AM2048" s="49"/>
      <c r="AN2048" s="43"/>
      <c r="AO2048" s="42"/>
      <c r="AP2048" s="43"/>
      <c r="AQ2048" s="44" t="str">
        <f t="shared" si="230"/>
        <v/>
      </c>
      <c r="AR2048" s="44" t="str">
        <f t="shared" si="199"/>
        <v/>
      </c>
      <c r="AS2048" s="44"/>
      <c r="AT2048" s="44" t="str">
        <f t="shared" si="202"/>
        <v/>
      </c>
      <c r="AU2048" s="44" t="str">
        <f t="shared" si="203"/>
        <v/>
      </c>
      <c r="AV2048" s="38">
        <v>1.0</v>
      </c>
      <c r="AW2048" s="38">
        <v>1.0</v>
      </c>
      <c r="AX2048" s="38"/>
      <c r="AY2048" s="38"/>
      <c r="AZ2048" s="29">
        <v>25000.0</v>
      </c>
      <c r="BA2048" s="29">
        <v>1.0</v>
      </c>
      <c r="BB2048" s="29">
        <v>1.0</v>
      </c>
      <c r="BC2048" s="29"/>
      <c r="BD2048" s="29" t="s">
        <v>88</v>
      </c>
      <c r="BE2048" s="29"/>
      <c r="BF2048" s="29" t="s">
        <v>202</v>
      </c>
      <c r="BG2048" s="29" t="s">
        <v>203</v>
      </c>
      <c r="BH2048" s="29" t="s">
        <v>92</v>
      </c>
      <c r="BI2048" s="29" t="s">
        <v>3073</v>
      </c>
      <c r="BJ2048" s="29"/>
      <c r="BK2048" s="29" t="s">
        <v>3070</v>
      </c>
      <c r="BL2048" s="29" t="s">
        <v>3071</v>
      </c>
      <c r="BM2048" s="45"/>
      <c r="BN2048" s="45"/>
      <c r="BO2048" s="46"/>
      <c r="BP2048" s="2"/>
      <c r="BQ2048" s="3"/>
    </row>
    <row r="2049" ht="15.75" customHeight="1">
      <c r="A2049" s="34">
        <v>2184.0</v>
      </c>
      <c r="B2049" s="34">
        <v>103789.0</v>
      </c>
      <c r="C2049" s="34" t="s">
        <v>832</v>
      </c>
      <c r="D2049" s="34" t="s">
        <v>3062</v>
      </c>
      <c r="E2049" s="34" t="s">
        <v>3063</v>
      </c>
      <c r="F2049" s="34">
        <v>2016.0</v>
      </c>
      <c r="G2049" s="34" t="s">
        <v>3064</v>
      </c>
      <c r="H2049" s="34" t="s">
        <v>2449</v>
      </c>
      <c r="I2049" s="34" t="s">
        <v>3065</v>
      </c>
      <c r="J2049" s="35"/>
      <c r="K2049" s="36"/>
      <c r="L2049" s="36"/>
      <c r="M2049" s="36"/>
      <c r="N2049" s="36"/>
      <c r="O2049" s="36"/>
      <c r="P2049" s="37">
        <v>16.2</v>
      </c>
      <c r="Q2049" s="36"/>
      <c r="R2049" s="36" t="s">
        <v>96</v>
      </c>
      <c r="S2049" s="36">
        <v>25000.0</v>
      </c>
      <c r="T2049" s="36" t="s">
        <v>317</v>
      </c>
      <c r="U2049" s="36" t="s">
        <v>342</v>
      </c>
      <c r="V2049" s="36"/>
      <c r="W2049" s="36"/>
      <c r="X2049" s="38">
        <v>24.0</v>
      </c>
      <c r="Y2049" s="38" t="s">
        <v>3067</v>
      </c>
      <c r="Z2049" s="38"/>
      <c r="AA2049" s="38"/>
      <c r="AB2049" s="38"/>
      <c r="AC2049" s="38"/>
      <c r="AD2049" s="38" t="s">
        <v>3068</v>
      </c>
      <c r="AE2049" s="53"/>
      <c r="AF2049" s="38"/>
      <c r="AG2049" s="38"/>
      <c r="AH2049" s="38"/>
      <c r="AI2049" s="50"/>
      <c r="AJ2049" s="50"/>
      <c r="AK2049" s="41"/>
      <c r="AL2049" s="40"/>
      <c r="AM2049" s="49"/>
      <c r="AN2049" s="43"/>
      <c r="AO2049" s="42"/>
      <c r="AP2049" s="43"/>
      <c r="AQ2049" s="44" t="str">
        <f t="shared" si="230"/>
        <v/>
      </c>
      <c r="AR2049" s="44" t="str">
        <f t="shared" si="199"/>
        <v/>
      </c>
      <c r="AS2049" s="44"/>
      <c r="AT2049" s="44" t="str">
        <f t="shared" si="202"/>
        <v/>
      </c>
      <c r="AU2049" s="44" t="str">
        <f t="shared" si="203"/>
        <v/>
      </c>
      <c r="AV2049" s="38">
        <v>1.0</v>
      </c>
      <c r="AW2049" s="38">
        <v>1.0</v>
      </c>
      <c r="AX2049" s="38"/>
      <c r="AY2049" s="38"/>
      <c r="AZ2049" s="29">
        <v>25000.0</v>
      </c>
      <c r="BA2049" s="29">
        <v>1.0</v>
      </c>
      <c r="BB2049" s="29">
        <v>1.0</v>
      </c>
      <c r="BC2049" s="29"/>
      <c r="BD2049" s="29" t="s">
        <v>88</v>
      </c>
      <c r="BE2049" s="29"/>
      <c r="BF2049" s="29" t="s">
        <v>202</v>
      </c>
      <c r="BG2049" s="29" t="s">
        <v>203</v>
      </c>
      <c r="BH2049" s="29" t="s">
        <v>92</v>
      </c>
      <c r="BI2049" s="29" t="s">
        <v>3073</v>
      </c>
      <c r="BJ2049" s="29"/>
      <c r="BK2049" s="29" t="s">
        <v>3070</v>
      </c>
      <c r="BL2049" s="29" t="s">
        <v>3071</v>
      </c>
      <c r="BM2049" s="45"/>
      <c r="BN2049" s="45"/>
      <c r="BO2049" s="46"/>
      <c r="BP2049" s="2"/>
      <c r="BQ2049" s="3"/>
    </row>
    <row r="2050" ht="15.75" customHeight="1">
      <c r="A2050" s="34">
        <v>2185.0</v>
      </c>
      <c r="B2050" s="34">
        <v>103563.0</v>
      </c>
      <c r="C2050" s="34" t="s">
        <v>832</v>
      </c>
      <c r="D2050" s="34" t="s">
        <v>3074</v>
      </c>
      <c r="E2050" s="34" t="s">
        <v>3075</v>
      </c>
      <c r="F2050" s="34">
        <v>2017.0</v>
      </c>
      <c r="G2050" s="34" t="s">
        <v>3076</v>
      </c>
      <c r="H2050" s="34" t="s">
        <v>2449</v>
      </c>
      <c r="I2050" s="34" t="s">
        <v>3077</v>
      </c>
      <c r="J2050" s="35"/>
      <c r="K2050" s="36">
        <v>-0.03</v>
      </c>
      <c r="L2050" s="48">
        <v>2.867383513</v>
      </c>
      <c r="M2050" s="36"/>
      <c r="N2050" s="36"/>
      <c r="O2050" s="36"/>
      <c r="P2050" s="52">
        <v>-1.04625</v>
      </c>
      <c r="Q2050" s="36" t="s">
        <v>96</v>
      </c>
      <c r="R2050" s="36" t="s">
        <v>96</v>
      </c>
      <c r="S2050" s="36">
        <v>30.0</v>
      </c>
      <c r="T2050" s="36"/>
      <c r="U2050" s="36"/>
      <c r="V2050" s="36">
        <v>281.0</v>
      </c>
      <c r="W2050" s="36"/>
      <c r="X2050" s="38">
        <v>1.0</v>
      </c>
      <c r="Y2050" s="38" t="s">
        <v>556</v>
      </c>
      <c r="Z2050" s="38" t="s">
        <v>557</v>
      </c>
      <c r="AA2050" s="38" t="s">
        <v>197</v>
      </c>
      <c r="AB2050" s="38">
        <v>35.803</v>
      </c>
      <c r="AC2050" s="38">
        <v>-76.6685</v>
      </c>
      <c r="AD2050" s="38" t="s">
        <v>87</v>
      </c>
      <c r="AE2050" s="38">
        <v>5.0</v>
      </c>
      <c r="AF2050" s="38" t="s">
        <v>550</v>
      </c>
      <c r="AG2050" s="38" t="s">
        <v>201</v>
      </c>
      <c r="AH2050" s="38"/>
      <c r="AI2050" s="50">
        <v>35.803</v>
      </c>
      <c r="AJ2050" s="50">
        <v>-76.6685</v>
      </c>
      <c r="AK2050" s="41" t="s">
        <v>197</v>
      </c>
      <c r="AL2050" s="40" t="s">
        <v>197</v>
      </c>
      <c r="AM2050" s="49">
        <v>9.0</v>
      </c>
      <c r="AN2050" s="51">
        <v>9.0</v>
      </c>
      <c r="AO2050" s="42" t="s">
        <v>201</v>
      </c>
      <c r="AP2050" s="43" t="s">
        <v>201</v>
      </c>
      <c r="AQ2050" s="44" t="str">
        <f t="shared" si="230"/>
        <v>ENF</v>
      </c>
      <c r="AR2050" s="44">
        <f t="shared" si="199"/>
        <v>9</v>
      </c>
      <c r="AS2050" s="44" t="str">
        <f t="shared" ref="AS2050:AS2073" si="233">LEFT(AO2050,1)</f>
        <v>C</v>
      </c>
      <c r="AT2050" s="44" t="str">
        <f t="shared" si="202"/>
        <v>Cf</v>
      </c>
      <c r="AU2050" s="44" t="str">
        <f t="shared" si="203"/>
        <v>Cfa</v>
      </c>
      <c r="AV2050" s="38"/>
      <c r="AW2050" s="38"/>
      <c r="AX2050" s="38"/>
      <c r="AY2050" s="38"/>
      <c r="AZ2050" s="29">
        <v>30.0</v>
      </c>
      <c r="BA2050" s="29">
        <v>1.0</v>
      </c>
      <c r="BB2050" s="29">
        <v>1.0</v>
      </c>
      <c r="BC2050" s="29"/>
      <c r="BD2050" s="29"/>
      <c r="BE2050" s="29" t="s">
        <v>263</v>
      </c>
      <c r="BF2050" s="29" t="s">
        <v>3078</v>
      </c>
      <c r="BG2050" s="29" t="s">
        <v>91</v>
      </c>
      <c r="BH2050" s="29" t="s">
        <v>92</v>
      </c>
      <c r="BI2050" s="29" t="s">
        <v>3079</v>
      </c>
      <c r="BJ2050" s="29"/>
      <c r="BK2050" s="29" t="s">
        <v>2025</v>
      </c>
      <c r="BL2050" s="29" t="s">
        <v>2025</v>
      </c>
      <c r="BM2050" s="45">
        <v>1.0</v>
      </c>
      <c r="BN2050" s="45"/>
      <c r="BO2050" s="46" t="s">
        <v>2426</v>
      </c>
      <c r="BP2050" s="2"/>
      <c r="BQ2050" s="3"/>
    </row>
    <row r="2051" ht="15.75" customHeight="1">
      <c r="A2051" s="34">
        <v>2186.0</v>
      </c>
      <c r="B2051" s="34">
        <v>103563.0</v>
      </c>
      <c r="C2051" s="34" t="s">
        <v>832</v>
      </c>
      <c r="D2051" s="34" t="s">
        <v>3074</v>
      </c>
      <c r="E2051" s="34" t="s">
        <v>3075</v>
      </c>
      <c r="F2051" s="34">
        <v>2017.0</v>
      </c>
      <c r="G2051" s="34" t="s">
        <v>3076</v>
      </c>
      <c r="H2051" s="34" t="s">
        <v>2449</v>
      </c>
      <c r="I2051" s="34" t="s">
        <v>3077</v>
      </c>
      <c r="J2051" s="35"/>
      <c r="K2051" s="36">
        <v>-0.29</v>
      </c>
      <c r="L2051" s="48">
        <v>3.333333333</v>
      </c>
      <c r="M2051" s="36"/>
      <c r="N2051" s="36"/>
      <c r="O2051" s="36"/>
      <c r="P2051" s="52">
        <v>-8.7</v>
      </c>
      <c r="Q2051" s="36" t="s">
        <v>96</v>
      </c>
      <c r="R2051" s="36" t="s">
        <v>96</v>
      </c>
      <c r="S2051" s="36">
        <v>30.0</v>
      </c>
      <c r="T2051" s="36"/>
      <c r="U2051" s="36"/>
      <c r="V2051" s="36">
        <v>216.0</v>
      </c>
      <c r="W2051" s="36"/>
      <c r="X2051" s="38">
        <v>1.0</v>
      </c>
      <c r="Y2051" s="38" t="s">
        <v>556</v>
      </c>
      <c r="Z2051" s="38" t="s">
        <v>557</v>
      </c>
      <c r="AA2051" s="38" t="s">
        <v>197</v>
      </c>
      <c r="AB2051" s="38">
        <v>35.803</v>
      </c>
      <c r="AC2051" s="38">
        <v>-76.6685</v>
      </c>
      <c r="AD2051" s="38" t="s">
        <v>87</v>
      </c>
      <c r="AE2051" s="38">
        <v>5.0</v>
      </c>
      <c r="AF2051" s="38" t="s">
        <v>550</v>
      </c>
      <c r="AG2051" s="38" t="s">
        <v>201</v>
      </c>
      <c r="AH2051" s="38"/>
      <c r="AI2051" s="50">
        <v>35.803</v>
      </c>
      <c r="AJ2051" s="50">
        <v>-76.6685</v>
      </c>
      <c r="AK2051" s="41" t="s">
        <v>197</v>
      </c>
      <c r="AL2051" s="40" t="s">
        <v>197</v>
      </c>
      <c r="AM2051" s="49">
        <v>9.0</v>
      </c>
      <c r="AN2051" s="51">
        <v>9.0</v>
      </c>
      <c r="AO2051" s="42" t="s">
        <v>201</v>
      </c>
      <c r="AP2051" s="43" t="s">
        <v>201</v>
      </c>
      <c r="AQ2051" s="44" t="str">
        <f t="shared" si="230"/>
        <v>ENF</v>
      </c>
      <c r="AR2051" s="44">
        <f t="shared" si="199"/>
        <v>9</v>
      </c>
      <c r="AS2051" s="44" t="str">
        <f t="shared" si="233"/>
        <v>C</v>
      </c>
      <c r="AT2051" s="44" t="str">
        <f t="shared" si="202"/>
        <v>Cf</v>
      </c>
      <c r="AU2051" s="44" t="str">
        <f t="shared" si="203"/>
        <v>Cfa</v>
      </c>
      <c r="AV2051" s="38"/>
      <c r="AW2051" s="38"/>
      <c r="AX2051" s="38"/>
      <c r="AY2051" s="38"/>
      <c r="AZ2051" s="29">
        <v>30.0</v>
      </c>
      <c r="BA2051" s="29">
        <v>1.0</v>
      </c>
      <c r="BB2051" s="29">
        <v>1.0</v>
      </c>
      <c r="BC2051" s="29"/>
      <c r="BD2051" s="29"/>
      <c r="BE2051" s="29" t="s">
        <v>263</v>
      </c>
      <c r="BF2051" s="29" t="s">
        <v>3080</v>
      </c>
      <c r="BG2051" s="29" t="s">
        <v>91</v>
      </c>
      <c r="BH2051" s="29" t="s">
        <v>92</v>
      </c>
      <c r="BI2051" s="29" t="s">
        <v>3079</v>
      </c>
      <c r="BJ2051" s="29"/>
      <c r="BK2051" s="29" t="s">
        <v>180</v>
      </c>
      <c r="BL2051" s="29" t="s">
        <v>180</v>
      </c>
      <c r="BM2051" s="45"/>
      <c r="BN2051" s="45"/>
      <c r="BO2051" s="46"/>
      <c r="BP2051" s="2"/>
      <c r="BQ2051" s="3"/>
    </row>
    <row r="2052" ht="15.75" customHeight="1">
      <c r="A2052" s="34">
        <v>2187.0</v>
      </c>
      <c r="B2052" s="34">
        <v>103563.0</v>
      </c>
      <c r="C2052" s="34" t="s">
        <v>832</v>
      </c>
      <c r="D2052" s="34" t="s">
        <v>3074</v>
      </c>
      <c r="E2052" s="34" t="s">
        <v>3075</v>
      </c>
      <c r="F2052" s="34">
        <v>2017.0</v>
      </c>
      <c r="G2052" s="34" t="s">
        <v>3076</v>
      </c>
      <c r="H2052" s="34" t="s">
        <v>2449</v>
      </c>
      <c r="I2052" s="34" t="s">
        <v>3077</v>
      </c>
      <c r="J2052" s="35"/>
      <c r="K2052" s="36">
        <v>-0.1</v>
      </c>
      <c r="L2052" s="48">
        <v>3.0</v>
      </c>
      <c r="M2052" s="36"/>
      <c r="N2052" s="36"/>
      <c r="O2052" s="36"/>
      <c r="P2052" s="52">
        <v>-3.33333</v>
      </c>
      <c r="Q2052" s="36" t="s">
        <v>96</v>
      </c>
      <c r="R2052" s="36" t="s">
        <v>96</v>
      </c>
      <c r="S2052" s="36">
        <v>1000.0</v>
      </c>
      <c r="T2052" s="36"/>
      <c r="U2052" s="36"/>
      <c r="V2052" s="36">
        <v>281.0</v>
      </c>
      <c r="W2052" s="36"/>
      <c r="X2052" s="38">
        <v>1.0</v>
      </c>
      <c r="Y2052" s="38" t="s">
        <v>556</v>
      </c>
      <c r="Z2052" s="38" t="s">
        <v>557</v>
      </c>
      <c r="AA2052" s="38" t="s">
        <v>197</v>
      </c>
      <c r="AB2052" s="38">
        <v>35.803</v>
      </c>
      <c r="AC2052" s="38">
        <v>-76.6685</v>
      </c>
      <c r="AD2052" s="38" t="s">
        <v>87</v>
      </c>
      <c r="AE2052" s="38">
        <v>5.0</v>
      </c>
      <c r="AF2052" s="38" t="s">
        <v>550</v>
      </c>
      <c r="AG2052" s="38" t="s">
        <v>201</v>
      </c>
      <c r="AH2052" s="38"/>
      <c r="AI2052" s="50">
        <v>35.803</v>
      </c>
      <c r="AJ2052" s="50">
        <v>-76.6685</v>
      </c>
      <c r="AK2052" s="41" t="s">
        <v>197</v>
      </c>
      <c r="AL2052" s="40" t="s">
        <v>197</v>
      </c>
      <c r="AM2052" s="49">
        <v>9.0</v>
      </c>
      <c r="AN2052" s="51">
        <v>9.0</v>
      </c>
      <c r="AO2052" s="42" t="s">
        <v>201</v>
      </c>
      <c r="AP2052" s="43" t="s">
        <v>201</v>
      </c>
      <c r="AQ2052" s="44" t="str">
        <f t="shared" si="230"/>
        <v>ENF</v>
      </c>
      <c r="AR2052" s="44">
        <f t="shared" si="199"/>
        <v>9</v>
      </c>
      <c r="AS2052" s="44" t="str">
        <f t="shared" si="233"/>
        <v>C</v>
      </c>
      <c r="AT2052" s="44" t="str">
        <f t="shared" si="202"/>
        <v>Cf</v>
      </c>
      <c r="AU2052" s="44" t="str">
        <f t="shared" si="203"/>
        <v>Cfa</v>
      </c>
      <c r="AV2052" s="38"/>
      <c r="AW2052" s="38"/>
      <c r="AX2052" s="38"/>
      <c r="AY2052" s="38"/>
      <c r="AZ2052" s="29">
        <v>1000.0</v>
      </c>
      <c r="BA2052" s="29">
        <v>1.0</v>
      </c>
      <c r="BB2052" s="29">
        <v>1.0</v>
      </c>
      <c r="BC2052" s="29"/>
      <c r="BD2052" s="29"/>
      <c r="BE2052" s="29" t="s">
        <v>263</v>
      </c>
      <c r="BF2052" s="29" t="s">
        <v>3081</v>
      </c>
      <c r="BG2052" s="29" t="s">
        <v>91</v>
      </c>
      <c r="BH2052" s="29" t="s">
        <v>92</v>
      </c>
      <c r="BI2052" s="29" t="s">
        <v>3079</v>
      </c>
      <c r="BJ2052" s="29"/>
      <c r="BK2052" s="29" t="s">
        <v>148</v>
      </c>
      <c r="BL2052" s="29" t="s">
        <v>148</v>
      </c>
      <c r="BM2052" s="45"/>
      <c r="BN2052" s="45"/>
      <c r="BO2052" s="46"/>
      <c r="BP2052" s="2"/>
      <c r="BQ2052" s="3"/>
    </row>
    <row r="2053" ht="15.75" customHeight="1">
      <c r="A2053" s="34">
        <v>2188.0</v>
      </c>
      <c r="B2053" s="34">
        <v>103563.0</v>
      </c>
      <c r="C2053" s="34" t="s">
        <v>832</v>
      </c>
      <c r="D2053" s="34" t="s">
        <v>3074</v>
      </c>
      <c r="E2053" s="34" t="s">
        <v>3075</v>
      </c>
      <c r="F2053" s="34">
        <v>2017.0</v>
      </c>
      <c r="G2053" s="34" t="s">
        <v>3076</v>
      </c>
      <c r="H2053" s="34" t="s">
        <v>2449</v>
      </c>
      <c r="I2053" s="34" t="s">
        <v>3077</v>
      </c>
      <c r="J2053" s="35"/>
      <c r="K2053" s="36">
        <v>-0.11</v>
      </c>
      <c r="L2053" s="48">
        <v>3.035714286</v>
      </c>
      <c r="M2053" s="36"/>
      <c r="N2053" s="36"/>
      <c r="O2053" s="36"/>
      <c r="P2053" s="52">
        <v>-3.62353</v>
      </c>
      <c r="Q2053" s="36" t="s">
        <v>96</v>
      </c>
      <c r="R2053" s="36" t="s">
        <v>96</v>
      </c>
      <c r="S2053" s="36">
        <v>4000.0</v>
      </c>
      <c r="T2053" s="36"/>
      <c r="U2053" s="36"/>
      <c r="V2053" s="36">
        <v>281.0</v>
      </c>
      <c r="W2053" s="36"/>
      <c r="X2053" s="38">
        <v>1.0</v>
      </c>
      <c r="Y2053" s="38" t="s">
        <v>556</v>
      </c>
      <c r="Z2053" s="38" t="s">
        <v>557</v>
      </c>
      <c r="AA2053" s="38" t="s">
        <v>197</v>
      </c>
      <c r="AB2053" s="38">
        <v>35.803</v>
      </c>
      <c r="AC2053" s="38">
        <v>-76.6685</v>
      </c>
      <c r="AD2053" s="38" t="s">
        <v>87</v>
      </c>
      <c r="AE2053" s="38">
        <v>5.0</v>
      </c>
      <c r="AF2053" s="38" t="s">
        <v>550</v>
      </c>
      <c r="AG2053" s="38" t="s">
        <v>201</v>
      </c>
      <c r="AH2053" s="38"/>
      <c r="AI2053" s="50">
        <v>35.803</v>
      </c>
      <c r="AJ2053" s="50">
        <v>-76.6685</v>
      </c>
      <c r="AK2053" s="41" t="s">
        <v>197</v>
      </c>
      <c r="AL2053" s="40" t="s">
        <v>197</v>
      </c>
      <c r="AM2053" s="49">
        <v>9.0</v>
      </c>
      <c r="AN2053" s="51">
        <v>9.0</v>
      </c>
      <c r="AO2053" s="42" t="s">
        <v>201</v>
      </c>
      <c r="AP2053" s="43" t="s">
        <v>201</v>
      </c>
      <c r="AQ2053" s="44" t="str">
        <f t="shared" si="230"/>
        <v>ENF</v>
      </c>
      <c r="AR2053" s="44">
        <f t="shared" si="199"/>
        <v>9</v>
      </c>
      <c r="AS2053" s="44" t="str">
        <f t="shared" si="233"/>
        <v>C</v>
      </c>
      <c r="AT2053" s="44" t="str">
        <f t="shared" si="202"/>
        <v>Cf</v>
      </c>
      <c r="AU2053" s="44" t="str">
        <f t="shared" si="203"/>
        <v>Cfa</v>
      </c>
      <c r="AV2053" s="38"/>
      <c r="AW2053" s="38"/>
      <c r="AX2053" s="38"/>
      <c r="AY2053" s="38"/>
      <c r="AZ2053" s="29">
        <v>4000.0</v>
      </c>
      <c r="BA2053" s="29">
        <v>1.0</v>
      </c>
      <c r="BB2053" s="29">
        <v>1.0</v>
      </c>
      <c r="BC2053" s="29"/>
      <c r="BD2053" s="29"/>
      <c r="BE2053" s="29" t="s">
        <v>89</v>
      </c>
      <c r="BF2053" s="29" t="s">
        <v>95</v>
      </c>
      <c r="BG2053" s="29" t="s">
        <v>91</v>
      </c>
      <c r="BH2053" s="29" t="s">
        <v>92</v>
      </c>
      <c r="BI2053" s="29" t="s">
        <v>3079</v>
      </c>
      <c r="BJ2053" s="29"/>
      <c r="BK2053" s="29" t="s">
        <v>148</v>
      </c>
      <c r="BL2053" s="29" t="s">
        <v>3082</v>
      </c>
      <c r="BM2053" s="45"/>
      <c r="BN2053" s="45"/>
      <c r="BO2053" s="46"/>
      <c r="BP2053" s="2"/>
      <c r="BQ2053" s="3"/>
    </row>
    <row r="2054" ht="15.75" customHeight="1">
      <c r="A2054" s="34">
        <v>2189.0</v>
      </c>
      <c r="B2054" s="34">
        <v>103563.0</v>
      </c>
      <c r="C2054" s="34" t="s">
        <v>832</v>
      </c>
      <c r="D2054" s="34" t="s">
        <v>3074</v>
      </c>
      <c r="E2054" s="34" t="s">
        <v>3075</v>
      </c>
      <c r="F2054" s="34">
        <v>2017.0</v>
      </c>
      <c r="G2054" s="34" t="s">
        <v>3076</v>
      </c>
      <c r="H2054" s="34" t="s">
        <v>2449</v>
      </c>
      <c r="I2054" s="34" t="s">
        <v>3077</v>
      </c>
      <c r="J2054" s="35"/>
      <c r="K2054" s="36">
        <v>-0.05</v>
      </c>
      <c r="L2054" s="48">
        <v>2.712418301</v>
      </c>
      <c r="M2054" s="36"/>
      <c r="N2054" s="36"/>
      <c r="O2054" s="36"/>
      <c r="P2054" s="52">
        <v>-1.84337</v>
      </c>
      <c r="Q2054" s="36" t="s">
        <v>96</v>
      </c>
      <c r="R2054" s="36" t="s">
        <v>96</v>
      </c>
      <c r="S2054" s="36">
        <v>30.0</v>
      </c>
      <c r="T2054" s="36"/>
      <c r="U2054" s="36"/>
      <c r="V2054" s="36">
        <v>223.0</v>
      </c>
      <c r="W2054" s="36"/>
      <c r="X2054" s="38">
        <v>1.0</v>
      </c>
      <c r="Y2054" s="38" t="s">
        <v>3083</v>
      </c>
      <c r="Z2054" s="38" t="s">
        <v>3084</v>
      </c>
      <c r="AA2054" s="38" t="s">
        <v>197</v>
      </c>
      <c r="AB2054" s="38">
        <v>35.799</v>
      </c>
      <c r="AC2054" s="38">
        <v>-76.656</v>
      </c>
      <c r="AD2054" s="38" t="s">
        <v>87</v>
      </c>
      <c r="AE2054" s="38">
        <v>5.0</v>
      </c>
      <c r="AF2054" s="38"/>
      <c r="AG2054" s="38" t="s">
        <v>201</v>
      </c>
      <c r="AH2054" s="38"/>
      <c r="AI2054" s="50">
        <v>35.799</v>
      </c>
      <c r="AJ2054" s="50">
        <v>-76.656</v>
      </c>
      <c r="AK2054" s="41" t="s">
        <v>452</v>
      </c>
      <c r="AL2054" s="40" t="s">
        <v>452</v>
      </c>
      <c r="AM2054" s="49">
        <v>15.0</v>
      </c>
      <c r="AN2054" s="51">
        <v>15.0</v>
      </c>
      <c r="AO2054" s="42" t="s">
        <v>201</v>
      </c>
      <c r="AP2054" s="43" t="s">
        <v>201</v>
      </c>
      <c r="AQ2054" s="44" t="str">
        <f t="shared" si="230"/>
        <v>ENF</v>
      </c>
      <c r="AR2054" s="44">
        <f t="shared" si="199"/>
        <v>15</v>
      </c>
      <c r="AS2054" s="44" t="str">
        <f t="shared" si="233"/>
        <v>C</v>
      </c>
      <c r="AT2054" s="44" t="str">
        <f t="shared" si="202"/>
        <v>Cf</v>
      </c>
      <c r="AU2054" s="44" t="str">
        <f t="shared" si="203"/>
        <v>Cfa</v>
      </c>
      <c r="AV2054" s="38"/>
      <c r="AW2054" s="38"/>
      <c r="AX2054" s="38"/>
      <c r="AY2054" s="38"/>
      <c r="AZ2054" s="29">
        <v>30.0</v>
      </c>
      <c r="BA2054" s="29">
        <v>1.0</v>
      </c>
      <c r="BB2054" s="29">
        <v>1.0</v>
      </c>
      <c r="BC2054" s="29"/>
      <c r="BD2054" s="29"/>
      <c r="BE2054" s="29" t="s">
        <v>263</v>
      </c>
      <c r="BF2054" s="29" t="s">
        <v>3078</v>
      </c>
      <c r="BG2054" s="29" t="s">
        <v>91</v>
      </c>
      <c r="BH2054" s="29" t="s">
        <v>92</v>
      </c>
      <c r="BI2054" s="29" t="s">
        <v>3079</v>
      </c>
      <c r="BJ2054" s="29"/>
      <c r="BK2054" s="29" t="s">
        <v>2025</v>
      </c>
      <c r="BL2054" s="29" t="s">
        <v>2025</v>
      </c>
      <c r="BM2054" s="45"/>
      <c r="BN2054" s="45"/>
      <c r="BO2054" s="46"/>
      <c r="BP2054" s="2"/>
      <c r="BQ2054" s="3"/>
    </row>
    <row r="2055" ht="15.75" customHeight="1">
      <c r="A2055" s="34">
        <v>2190.0</v>
      </c>
      <c r="B2055" s="34">
        <v>103563.0</v>
      </c>
      <c r="C2055" s="34" t="s">
        <v>832</v>
      </c>
      <c r="D2055" s="34" t="s">
        <v>3074</v>
      </c>
      <c r="E2055" s="34" t="s">
        <v>3075</v>
      </c>
      <c r="F2055" s="34">
        <v>2017.0</v>
      </c>
      <c r="G2055" s="34" t="s">
        <v>3076</v>
      </c>
      <c r="H2055" s="34" t="s">
        <v>2449</v>
      </c>
      <c r="I2055" s="34" t="s">
        <v>3077</v>
      </c>
      <c r="J2055" s="35"/>
      <c r="K2055" s="36">
        <v>0.1</v>
      </c>
      <c r="L2055" s="48">
        <v>2.788844622</v>
      </c>
      <c r="M2055" s="36"/>
      <c r="N2055" s="36"/>
      <c r="O2055" s="36"/>
      <c r="P2055" s="52">
        <v>3.585714</v>
      </c>
      <c r="Q2055" s="36" t="s">
        <v>96</v>
      </c>
      <c r="R2055" s="36" t="s">
        <v>96</v>
      </c>
      <c r="S2055" s="36">
        <v>30.0</v>
      </c>
      <c r="T2055" s="36"/>
      <c r="U2055" s="36"/>
      <c r="V2055" s="36">
        <v>199.0</v>
      </c>
      <c r="W2055" s="36"/>
      <c r="X2055" s="38">
        <v>1.0</v>
      </c>
      <c r="Y2055" s="38" t="s">
        <v>3083</v>
      </c>
      <c r="Z2055" s="38" t="s">
        <v>3084</v>
      </c>
      <c r="AA2055" s="38" t="s">
        <v>197</v>
      </c>
      <c r="AB2055" s="38">
        <v>35.799</v>
      </c>
      <c r="AC2055" s="38">
        <v>-76.656</v>
      </c>
      <c r="AD2055" s="38" t="s">
        <v>87</v>
      </c>
      <c r="AE2055" s="38">
        <v>5.0</v>
      </c>
      <c r="AF2055" s="38"/>
      <c r="AG2055" s="38" t="s">
        <v>201</v>
      </c>
      <c r="AH2055" s="38"/>
      <c r="AI2055" s="50">
        <v>35.799</v>
      </c>
      <c r="AJ2055" s="50">
        <v>-76.656</v>
      </c>
      <c r="AK2055" s="41" t="s">
        <v>452</v>
      </c>
      <c r="AL2055" s="40" t="s">
        <v>452</v>
      </c>
      <c r="AM2055" s="49">
        <v>15.0</v>
      </c>
      <c r="AN2055" s="51">
        <v>15.0</v>
      </c>
      <c r="AO2055" s="42" t="s">
        <v>201</v>
      </c>
      <c r="AP2055" s="43" t="s">
        <v>201</v>
      </c>
      <c r="AQ2055" s="44" t="str">
        <f t="shared" si="230"/>
        <v>ENF</v>
      </c>
      <c r="AR2055" s="44">
        <f t="shared" si="199"/>
        <v>15</v>
      </c>
      <c r="AS2055" s="44" t="str">
        <f t="shared" si="233"/>
        <v>C</v>
      </c>
      <c r="AT2055" s="44" t="str">
        <f t="shared" si="202"/>
        <v>Cf</v>
      </c>
      <c r="AU2055" s="44" t="str">
        <f t="shared" si="203"/>
        <v>Cfa</v>
      </c>
      <c r="AV2055" s="38"/>
      <c r="AW2055" s="38"/>
      <c r="AX2055" s="38"/>
      <c r="AY2055" s="38"/>
      <c r="AZ2055" s="29">
        <v>30.0</v>
      </c>
      <c r="BA2055" s="29">
        <v>1.0</v>
      </c>
      <c r="BB2055" s="29">
        <v>1.0</v>
      </c>
      <c r="BC2055" s="29"/>
      <c r="BD2055" s="29"/>
      <c r="BE2055" s="29" t="s">
        <v>263</v>
      </c>
      <c r="BF2055" s="29" t="s">
        <v>3080</v>
      </c>
      <c r="BG2055" s="29" t="s">
        <v>91</v>
      </c>
      <c r="BH2055" s="29" t="s">
        <v>92</v>
      </c>
      <c r="BI2055" s="29" t="s">
        <v>3079</v>
      </c>
      <c r="BJ2055" s="29"/>
      <c r="BK2055" s="29" t="s">
        <v>180</v>
      </c>
      <c r="BL2055" s="29" t="s">
        <v>180</v>
      </c>
      <c r="BM2055" s="45"/>
      <c r="BN2055" s="45"/>
      <c r="BO2055" s="46"/>
      <c r="BP2055" s="2"/>
      <c r="BQ2055" s="3"/>
    </row>
    <row r="2056" ht="15.75" customHeight="1">
      <c r="A2056" s="34">
        <v>2191.0</v>
      </c>
      <c r="B2056" s="34">
        <v>103563.0</v>
      </c>
      <c r="C2056" s="34" t="s">
        <v>832</v>
      </c>
      <c r="D2056" s="34" t="s">
        <v>3074</v>
      </c>
      <c r="E2056" s="34" t="s">
        <v>3075</v>
      </c>
      <c r="F2056" s="34">
        <v>2017.0</v>
      </c>
      <c r="G2056" s="34" t="s">
        <v>3076</v>
      </c>
      <c r="H2056" s="34" t="s">
        <v>2449</v>
      </c>
      <c r="I2056" s="34" t="s">
        <v>3077</v>
      </c>
      <c r="J2056" s="35"/>
      <c r="K2056" s="36">
        <v>1.96</v>
      </c>
      <c r="L2056" s="48">
        <v>2.352941176</v>
      </c>
      <c r="M2056" s="36"/>
      <c r="N2056" s="36"/>
      <c r="O2056" s="36"/>
      <c r="P2056" s="52">
        <v>83.3</v>
      </c>
      <c r="Q2056" s="36" t="s">
        <v>96</v>
      </c>
      <c r="R2056" s="36" t="s">
        <v>96</v>
      </c>
      <c r="S2056" s="36">
        <v>1000.0</v>
      </c>
      <c r="T2056" s="36"/>
      <c r="U2056" s="36"/>
      <c r="V2056" s="36">
        <v>223.0</v>
      </c>
      <c r="W2056" s="36"/>
      <c r="X2056" s="38">
        <v>1.0</v>
      </c>
      <c r="Y2056" s="38" t="s">
        <v>3083</v>
      </c>
      <c r="Z2056" s="38" t="s">
        <v>3084</v>
      </c>
      <c r="AA2056" s="38" t="s">
        <v>197</v>
      </c>
      <c r="AB2056" s="38">
        <v>35.799</v>
      </c>
      <c r="AC2056" s="38">
        <v>-76.656</v>
      </c>
      <c r="AD2056" s="38" t="s">
        <v>87</v>
      </c>
      <c r="AE2056" s="38">
        <v>5.0</v>
      </c>
      <c r="AF2056" s="38"/>
      <c r="AG2056" s="38" t="s">
        <v>201</v>
      </c>
      <c r="AH2056" s="38"/>
      <c r="AI2056" s="50">
        <v>35.799</v>
      </c>
      <c r="AJ2056" s="50">
        <v>-76.656</v>
      </c>
      <c r="AK2056" s="41" t="s">
        <v>452</v>
      </c>
      <c r="AL2056" s="40" t="s">
        <v>452</v>
      </c>
      <c r="AM2056" s="49">
        <v>15.0</v>
      </c>
      <c r="AN2056" s="51">
        <v>15.0</v>
      </c>
      <c r="AO2056" s="42" t="s">
        <v>201</v>
      </c>
      <c r="AP2056" s="43" t="s">
        <v>201</v>
      </c>
      <c r="AQ2056" s="44" t="str">
        <f t="shared" si="230"/>
        <v>ENF</v>
      </c>
      <c r="AR2056" s="44">
        <f t="shared" si="199"/>
        <v>15</v>
      </c>
      <c r="AS2056" s="44" t="str">
        <f t="shared" si="233"/>
        <v>C</v>
      </c>
      <c r="AT2056" s="44" t="str">
        <f t="shared" si="202"/>
        <v>Cf</v>
      </c>
      <c r="AU2056" s="44" t="str">
        <f t="shared" si="203"/>
        <v>Cfa</v>
      </c>
      <c r="AV2056" s="38"/>
      <c r="AW2056" s="38"/>
      <c r="AX2056" s="38"/>
      <c r="AY2056" s="38"/>
      <c r="AZ2056" s="29">
        <v>1000.0</v>
      </c>
      <c r="BA2056" s="29">
        <v>1.0</v>
      </c>
      <c r="BB2056" s="29">
        <v>1.0</v>
      </c>
      <c r="BC2056" s="29"/>
      <c r="BD2056" s="29"/>
      <c r="BE2056" s="29" t="s">
        <v>263</v>
      </c>
      <c r="BF2056" s="29" t="s">
        <v>3081</v>
      </c>
      <c r="BG2056" s="29" t="s">
        <v>91</v>
      </c>
      <c r="BH2056" s="29" t="s">
        <v>92</v>
      </c>
      <c r="BI2056" s="29" t="s">
        <v>3079</v>
      </c>
      <c r="BJ2056" s="29"/>
      <c r="BK2056" s="29" t="s">
        <v>148</v>
      </c>
      <c r="BL2056" s="29" t="s">
        <v>148</v>
      </c>
      <c r="BM2056" s="45"/>
      <c r="BN2056" s="45"/>
      <c r="BO2056" s="46"/>
      <c r="BP2056" s="2"/>
      <c r="BQ2056" s="3"/>
    </row>
    <row r="2057" ht="15.75" customHeight="1">
      <c r="A2057" s="34">
        <v>2192.0</v>
      </c>
      <c r="B2057" s="34">
        <v>103563.0</v>
      </c>
      <c r="C2057" s="34" t="s">
        <v>832</v>
      </c>
      <c r="D2057" s="34" t="s">
        <v>3074</v>
      </c>
      <c r="E2057" s="34" t="s">
        <v>3075</v>
      </c>
      <c r="F2057" s="34">
        <v>2017.0</v>
      </c>
      <c r="G2057" s="34" t="s">
        <v>3076</v>
      </c>
      <c r="H2057" s="34" t="s">
        <v>2449</v>
      </c>
      <c r="I2057" s="34" t="s">
        <v>3077</v>
      </c>
      <c r="J2057" s="35"/>
      <c r="K2057" s="36">
        <v>1.31</v>
      </c>
      <c r="L2057" s="48">
        <v>2.589285714</v>
      </c>
      <c r="M2057" s="36"/>
      <c r="N2057" s="36"/>
      <c r="O2057" s="36"/>
      <c r="P2057" s="52">
        <v>50.5931</v>
      </c>
      <c r="Q2057" s="36" t="s">
        <v>96</v>
      </c>
      <c r="R2057" s="36" t="s">
        <v>96</v>
      </c>
      <c r="S2057" s="36">
        <v>4000.0</v>
      </c>
      <c r="T2057" s="36"/>
      <c r="U2057" s="36"/>
      <c r="V2057" s="36">
        <v>223.0</v>
      </c>
      <c r="W2057" s="36"/>
      <c r="X2057" s="38">
        <v>1.0</v>
      </c>
      <c r="Y2057" s="38" t="s">
        <v>3083</v>
      </c>
      <c r="Z2057" s="38" t="s">
        <v>3084</v>
      </c>
      <c r="AA2057" s="38" t="s">
        <v>197</v>
      </c>
      <c r="AB2057" s="38">
        <v>35.799</v>
      </c>
      <c r="AC2057" s="38">
        <v>-76.656</v>
      </c>
      <c r="AD2057" s="38" t="s">
        <v>87</v>
      </c>
      <c r="AE2057" s="38">
        <v>5.0</v>
      </c>
      <c r="AF2057" s="38"/>
      <c r="AG2057" s="38" t="s">
        <v>201</v>
      </c>
      <c r="AH2057" s="38"/>
      <c r="AI2057" s="50">
        <v>35.799</v>
      </c>
      <c r="AJ2057" s="50">
        <v>-76.656</v>
      </c>
      <c r="AK2057" s="41" t="s">
        <v>452</v>
      </c>
      <c r="AL2057" s="40" t="s">
        <v>452</v>
      </c>
      <c r="AM2057" s="49">
        <v>15.0</v>
      </c>
      <c r="AN2057" s="51">
        <v>15.0</v>
      </c>
      <c r="AO2057" s="42" t="s">
        <v>201</v>
      </c>
      <c r="AP2057" s="43" t="s">
        <v>201</v>
      </c>
      <c r="AQ2057" s="44" t="str">
        <f t="shared" si="230"/>
        <v>ENF</v>
      </c>
      <c r="AR2057" s="44">
        <f t="shared" si="199"/>
        <v>15</v>
      </c>
      <c r="AS2057" s="44" t="str">
        <f t="shared" si="233"/>
        <v>C</v>
      </c>
      <c r="AT2057" s="44" t="str">
        <f t="shared" si="202"/>
        <v>Cf</v>
      </c>
      <c r="AU2057" s="44" t="str">
        <f t="shared" si="203"/>
        <v>Cfa</v>
      </c>
      <c r="AV2057" s="38"/>
      <c r="AW2057" s="38"/>
      <c r="AX2057" s="38"/>
      <c r="AY2057" s="38"/>
      <c r="AZ2057" s="29">
        <v>4000.0</v>
      </c>
      <c r="BA2057" s="29">
        <v>1.0</v>
      </c>
      <c r="BB2057" s="29">
        <v>1.0</v>
      </c>
      <c r="BC2057" s="29"/>
      <c r="BD2057" s="29"/>
      <c r="BE2057" s="29" t="s">
        <v>89</v>
      </c>
      <c r="BF2057" s="29" t="s">
        <v>95</v>
      </c>
      <c r="BG2057" s="29" t="s">
        <v>91</v>
      </c>
      <c r="BH2057" s="29" t="s">
        <v>92</v>
      </c>
      <c r="BI2057" s="29" t="s">
        <v>3079</v>
      </c>
      <c r="BJ2057" s="29"/>
      <c r="BK2057" s="29" t="s">
        <v>148</v>
      </c>
      <c r="BL2057" s="29" t="s">
        <v>3082</v>
      </c>
      <c r="BM2057" s="45"/>
      <c r="BN2057" s="45"/>
      <c r="BO2057" s="46"/>
      <c r="BP2057" s="2"/>
      <c r="BQ2057" s="3"/>
    </row>
    <row r="2058" ht="15.75" customHeight="1">
      <c r="A2058" s="34">
        <v>2193.0</v>
      </c>
      <c r="B2058" s="34">
        <v>103563.0</v>
      </c>
      <c r="C2058" s="34" t="s">
        <v>832</v>
      </c>
      <c r="D2058" s="34" t="s">
        <v>3074</v>
      </c>
      <c r="E2058" s="34" t="s">
        <v>3075</v>
      </c>
      <c r="F2058" s="34">
        <v>2017.0</v>
      </c>
      <c r="G2058" s="34" t="s">
        <v>3076</v>
      </c>
      <c r="H2058" s="34" t="s">
        <v>2449</v>
      </c>
      <c r="I2058" s="34" t="s">
        <v>3077</v>
      </c>
      <c r="J2058" s="35"/>
      <c r="K2058" s="36">
        <v>0.0</v>
      </c>
      <c r="L2058" s="48">
        <v>3.014705882</v>
      </c>
      <c r="M2058" s="36"/>
      <c r="N2058" s="36"/>
      <c r="O2058" s="36"/>
      <c r="P2058" s="52">
        <v>0.0</v>
      </c>
      <c r="Q2058" s="36" t="s">
        <v>96</v>
      </c>
      <c r="R2058" s="36" t="s">
        <v>191</v>
      </c>
      <c r="S2058" s="36">
        <v>30.0</v>
      </c>
      <c r="T2058" s="36"/>
      <c r="U2058" s="36"/>
      <c r="V2058" s="36">
        <v>12.0</v>
      </c>
      <c r="W2058" s="36"/>
      <c r="X2058" s="38">
        <v>1.0</v>
      </c>
      <c r="Y2058" s="38" t="s">
        <v>556</v>
      </c>
      <c r="Z2058" s="38" t="s">
        <v>557</v>
      </c>
      <c r="AA2058" s="38" t="s">
        <v>197</v>
      </c>
      <c r="AB2058" s="38">
        <v>35.803</v>
      </c>
      <c r="AC2058" s="38">
        <v>-76.6685</v>
      </c>
      <c r="AD2058" s="38" t="s">
        <v>87</v>
      </c>
      <c r="AE2058" s="38">
        <v>5.0</v>
      </c>
      <c r="AF2058" s="38" t="s">
        <v>550</v>
      </c>
      <c r="AG2058" s="38" t="s">
        <v>201</v>
      </c>
      <c r="AH2058" s="38"/>
      <c r="AI2058" s="50">
        <v>35.803</v>
      </c>
      <c r="AJ2058" s="50">
        <v>-76.6685</v>
      </c>
      <c r="AK2058" s="41" t="s">
        <v>197</v>
      </c>
      <c r="AL2058" s="40" t="s">
        <v>197</v>
      </c>
      <c r="AM2058" s="49">
        <v>9.0</v>
      </c>
      <c r="AN2058" s="51">
        <v>9.0</v>
      </c>
      <c r="AO2058" s="42" t="s">
        <v>201</v>
      </c>
      <c r="AP2058" s="43" t="s">
        <v>201</v>
      </c>
      <c r="AQ2058" s="44" t="str">
        <f t="shared" si="230"/>
        <v>ENF</v>
      </c>
      <c r="AR2058" s="44">
        <f t="shared" si="199"/>
        <v>9</v>
      </c>
      <c r="AS2058" s="44" t="str">
        <f t="shared" si="233"/>
        <v>C</v>
      </c>
      <c r="AT2058" s="44" t="str">
        <f t="shared" si="202"/>
        <v>Cf</v>
      </c>
      <c r="AU2058" s="44" t="str">
        <f t="shared" si="203"/>
        <v>Cfa</v>
      </c>
      <c r="AV2058" s="38"/>
      <c r="AW2058" s="38"/>
      <c r="AX2058" s="38"/>
      <c r="AY2058" s="38"/>
      <c r="AZ2058" s="29">
        <v>30.0</v>
      </c>
      <c r="BA2058" s="29">
        <v>1.0</v>
      </c>
      <c r="BB2058" s="29">
        <v>1.0</v>
      </c>
      <c r="BC2058" s="29"/>
      <c r="BD2058" s="29"/>
      <c r="BE2058" s="29" t="s">
        <v>263</v>
      </c>
      <c r="BF2058" s="29" t="s">
        <v>3078</v>
      </c>
      <c r="BG2058" s="29" t="s">
        <v>91</v>
      </c>
      <c r="BH2058" s="29" t="s">
        <v>92</v>
      </c>
      <c r="BI2058" s="29" t="s">
        <v>3079</v>
      </c>
      <c r="BJ2058" s="29"/>
      <c r="BK2058" s="29" t="s">
        <v>2025</v>
      </c>
      <c r="BL2058" s="29" t="s">
        <v>2025</v>
      </c>
      <c r="BM2058" s="45"/>
      <c r="BN2058" s="45"/>
      <c r="BO2058" s="46"/>
      <c r="BP2058" s="2"/>
      <c r="BQ2058" s="3"/>
    </row>
    <row r="2059" ht="15.75" customHeight="1">
      <c r="A2059" s="34">
        <v>2194.0</v>
      </c>
      <c r="B2059" s="34">
        <v>103563.0</v>
      </c>
      <c r="C2059" s="34" t="s">
        <v>832</v>
      </c>
      <c r="D2059" s="34" t="s">
        <v>3074</v>
      </c>
      <c r="E2059" s="34" t="s">
        <v>3075</v>
      </c>
      <c r="F2059" s="34">
        <v>2017.0</v>
      </c>
      <c r="G2059" s="34" t="s">
        <v>3076</v>
      </c>
      <c r="H2059" s="34" t="s">
        <v>2449</v>
      </c>
      <c r="I2059" s="34" t="s">
        <v>3077</v>
      </c>
      <c r="J2059" s="35"/>
      <c r="K2059" s="36">
        <v>-0.25</v>
      </c>
      <c r="L2059" s="48">
        <v>2.975206612</v>
      </c>
      <c r="M2059" s="36"/>
      <c r="N2059" s="36"/>
      <c r="O2059" s="36"/>
      <c r="P2059" s="52">
        <v>-8.402777778</v>
      </c>
      <c r="Q2059" s="36" t="s">
        <v>96</v>
      </c>
      <c r="R2059" s="36" t="s">
        <v>191</v>
      </c>
      <c r="S2059" s="36">
        <v>30.0</v>
      </c>
      <c r="T2059" s="36"/>
      <c r="U2059" s="36"/>
      <c r="V2059" s="36">
        <v>8.0</v>
      </c>
      <c r="W2059" s="36"/>
      <c r="X2059" s="38">
        <v>1.0</v>
      </c>
      <c r="Y2059" s="38" t="s">
        <v>556</v>
      </c>
      <c r="Z2059" s="38" t="s">
        <v>557</v>
      </c>
      <c r="AA2059" s="38" t="s">
        <v>197</v>
      </c>
      <c r="AB2059" s="38">
        <v>35.803</v>
      </c>
      <c r="AC2059" s="38">
        <v>-76.6685</v>
      </c>
      <c r="AD2059" s="38" t="s">
        <v>87</v>
      </c>
      <c r="AE2059" s="38">
        <v>5.0</v>
      </c>
      <c r="AF2059" s="38" t="s">
        <v>550</v>
      </c>
      <c r="AG2059" s="38" t="s">
        <v>201</v>
      </c>
      <c r="AH2059" s="38"/>
      <c r="AI2059" s="50">
        <v>35.803</v>
      </c>
      <c r="AJ2059" s="50">
        <v>-76.6685</v>
      </c>
      <c r="AK2059" s="41" t="s">
        <v>197</v>
      </c>
      <c r="AL2059" s="40" t="s">
        <v>197</v>
      </c>
      <c r="AM2059" s="49">
        <v>9.0</v>
      </c>
      <c r="AN2059" s="51">
        <v>9.0</v>
      </c>
      <c r="AO2059" s="42" t="s">
        <v>201</v>
      </c>
      <c r="AP2059" s="43" t="s">
        <v>201</v>
      </c>
      <c r="AQ2059" s="44" t="str">
        <f t="shared" si="230"/>
        <v>ENF</v>
      </c>
      <c r="AR2059" s="44">
        <f t="shared" si="199"/>
        <v>9</v>
      </c>
      <c r="AS2059" s="44" t="str">
        <f t="shared" si="233"/>
        <v>C</v>
      </c>
      <c r="AT2059" s="44" t="str">
        <f t="shared" si="202"/>
        <v>Cf</v>
      </c>
      <c r="AU2059" s="44" t="str">
        <f t="shared" si="203"/>
        <v>Cfa</v>
      </c>
      <c r="AV2059" s="38"/>
      <c r="AW2059" s="38"/>
      <c r="AX2059" s="38"/>
      <c r="AY2059" s="38"/>
      <c r="AZ2059" s="29">
        <v>30.0</v>
      </c>
      <c r="BA2059" s="29">
        <v>1.0</v>
      </c>
      <c r="BB2059" s="29">
        <v>1.0</v>
      </c>
      <c r="BC2059" s="29"/>
      <c r="BD2059" s="29"/>
      <c r="BE2059" s="29" t="s">
        <v>263</v>
      </c>
      <c r="BF2059" s="29" t="s">
        <v>3080</v>
      </c>
      <c r="BG2059" s="29" t="s">
        <v>91</v>
      </c>
      <c r="BH2059" s="29" t="s">
        <v>92</v>
      </c>
      <c r="BI2059" s="29" t="s">
        <v>3079</v>
      </c>
      <c r="BJ2059" s="29"/>
      <c r="BK2059" s="29" t="s">
        <v>180</v>
      </c>
      <c r="BL2059" s="29" t="s">
        <v>180</v>
      </c>
      <c r="BM2059" s="45"/>
      <c r="BN2059" s="45"/>
      <c r="BO2059" s="46"/>
      <c r="BP2059" s="2"/>
      <c r="BQ2059" s="3"/>
    </row>
    <row r="2060" ht="15.75" customHeight="1">
      <c r="A2060" s="34">
        <v>2195.0</v>
      </c>
      <c r="B2060" s="34">
        <v>103563.0</v>
      </c>
      <c r="C2060" s="34" t="s">
        <v>832</v>
      </c>
      <c r="D2060" s="34" t="s">
        <v>3074</v>
      </c>
      <c r="E2060" s="34" t="s">
        <v>3075</v>
      </c>
      <c r="F2060" s="34">
        <v>2017.0</v>
      </c>
      <c r="G2060" s="34" t="s">
        <v>3076</v>
      </c>
      <c r="H2060" s="34" t="s">
        <v>2449</v>
      </c>
      <c r="I2060" s="34" t="s">
        <v>3077</v>
      </c>
      <c r="J2060" s="35"/>
      <c r="K2060" s="36">
        <v>-0.11</v>
      </c>
      <c r="L2060" s="48">
        <v>2.98136646</v>
      </c>
      <c r="M2060" s="36"/>
      <c r="N2060" s="36"/>
      <c r="O2060" s="36"/>
      <c r="P2060" s="52">
        <v>-3.689583333</v>
      </c>
      <c r="Q2060" s="36" t="s">
        <v>96</v>
      </c>
      <c r="R2060" s="36" t="s">
        <v>191</v>
      </c>
      <c r="S2060" s="36">
        <v>1000.0</v>
      </c>
      <c r="T2060" s="36"/>
      <c r="U2060" s="36"/>
      <c r="V2060" s="36">
        <v>12.0</v>
      </c>
      <c r="W2060" s="36"/>
      <c r="X2060" s="38">
        <v>1.0</v>
      </c>
      <c r="Y2060" s="38" t="s">
        <v>556</v>
      </c>
      <c r="Z2060" s="38" t="s">
        <v>557</v>
      </c>
      <c r="AA2060" s="38" t="s">
        <v>197</v>
      </c>
      <c r="AB2060" s="38">
        <v>35.803</v>
      </c>
      <c r="AC2060" s="38">
        <v>-76.6685</v>
      </c>
      <c r="AD2060" s="38" t="s">
        <v>87</v>
      </c>
      <c r="AE2060" s="38">
        <v>5.0</v>
      </c>
      <c r="AF2060" s="38" t="s">
        <v>550</v>
      </c>
      <c r="AG2060" s="38" t="s">
        <v>201</v>
      </c>
      <c r="AH2060" s="38"/>
      <c r="AI2060" s="50">
        <v>35.803</v>
      </c>
      <c r="AJ2060" s="50">
        <v>-76.6685</v>
      </c>
      <c r="AK2060" s="41" t="s">
        <v>197</v>
      </c>
      <c r="AL2060" s="40" t="s">
        <v>197</v>
      </c>
      <c r="AM2060" s="49">
        <v>9.0</v>
      </c>
      <c r="AN2060" s="51">
        <v>9.0</v>
      </c>
      <c r="AO2060" s="42" t="s">
        <v>201</v>
      </c>
      <c r="AP2060" s="43" t="s">
        <v>201</v>
      </c>
      <c r="AQ2060" s="44" t="str">
        <f t="shared" si="230"/>
        <v>ENF</v>
      </c>
      <c r="AR2060" s="44">
        <f t="shared" si="199"/>
        <v>9</v>
      </c>
      <c r="AS2060" s="44" t="str">
        <f t="shared" si="233"/>
        <v>C</v>
      </c>
      <c r="AT2060" s="44" t="str">
        <f t="shared" si="202"/>
        <v>Cf</v>
      </c>
      <c r="AU2060" s="44" t="str">
        <f t="shared" si="203"/>
        <v>Cfa</v>
      </c>
      <c r="AV2060" s="38"/>
      <c r="AW2060" s="38"/>
      <c r="AX2060" s="38"/>
      <c r="AY2060" s="38"/>
      <c r="AZ2060" s="29">
        <v>1000.0</v>
      </c>
      <c r="BA2060" s="29">
        <v>1.0</v>
      </c>
      <c r="BB2060" s="29">
        <v>1.0</v>
      </c>
      <c r="BC2060" s="29"/>
      <c r="BD2060" s="29"/>
      <c r="BE2060" s="29" t="s">
        <v>263</v>
      </c>
      <c r="BF2060" s="29" t="s">
        <v>3081</v>
      </c>
      <c r="BG2060" s="29" t="s">
        <v>91</v>
      </c>
      <c r="BH2060" s="29" t="s">
        <v>92</v>
      </c>
      <c r="BI2060" s="29" t="s">
        <v>3079</v>
      </c>
      <c r="BJ2060" s="29"/>
      <c r="BK2060" s="29" t="s">
        <v>148</v>
      </c>
      <c r="BL2060" s="29" t="s">
        <v>148</v>
      </c>
      <c r="BM2060" s="45"/>
      <c r="BN2060" s="45"/>
      <c r="BO2060" s="46"/>
      <c r="BP2060" s="2"/>
      <c r="BQ2060" s="3"/>
    </row>
    <row r="2061" ht="15.75" customHeight="1">
      <c r="A2061" s="34">
        <v>2196.0</v>
      </c>
      <c r="B2061" s="34">
        <v>103563.0</v>
      </c>
      <c r="C2061" s="34" t="s">
        <v>832</v>
      </c>
      <c r="D2061" s="34" t="s">
        <v>3074</v>
      </c>
      <c r="E2061" s="34" t="s">
        <v>3075</v>
      </c>
      <c r="F2061" s="34">
        <v>2017.0</v>
      </c>
      <c r="G2061" s="34" t="s">
        <v>3076</v>
      </c>
      <c r="H2061" s="34" t="s">
        <v>2449</v>
      </c>
      <c r="I2061" s="34" t="s">
        <v>3077</v>
      </c>
      <c r="J2061" s="35"/>
      <c r="K2061" s="36">
        <v>-0.15</v>
      </c>
      <c r="L2061" s="48">
        <v>2.972972973</v>
      </c>
      <c r="M2061" s="36"/>
      <c r="N2061" s="36"/>
      <c r="O2061" s="36"/>
      <c r="P2061" s="52">
        <v>-5.045454545</v>
      </c>
      <c r="Q2061" s="36" t="s">
        <v>96</v>
      </c>
      <c r="R2061" s="36" t="s">
        <v>191</v>
      </c>
      <c r="S2061" s="36">
        <v>4000.0</v>
      </c>
      <c r="T2061" s="36"/>
      <c r="U2061" s="36"/>
      <c r="V2061" s="36">
        <v>12.0</v>
      </c>
      <c r="W2061" s="36"/>
      <c r="X2061" s="38">
        <v>1.0</v>
      </c>
      <c r="Y2061" s="38" t="s">
        <v>556</v>
      </c>
      <c r="Z2061" s="38" t="s">
        <v>557</v>
      </c>
      <c r="AA2061" s="38" t="s">
        <v>197</v>
      </c>
      <c r="AB2061" s="38">
        <v>35.803</v>
      </c>
      <c r="AC2061" s="38">
        <v>-76.6685</v>
      </c>
      <c r="AD2061" s="38" t="s">
        <v>87</v>
      </c>
      <c r="AE2061" s="38">
        <v>5.0</v>
      </c>
      <c r="AF2061" s="38" t="s">
        <v>550</v>
      </c>
      <c r="AG2061" s="38" t="s">
        <v>201</v>
      </c>
      <c r="AH2061" s="38"/>
      <c r="AI2061" s="50">
        <v>35.803</v>
      </c>
      <c r="AJ2061" s="50">
        <v>-76.6685</v>
      </c>
      <c r="AK2061" s="41" t="s">
        <v>197</v>
      </c>
      <c r="AL2061" s="40" t="s">
        <v>197</v>
      </c>
      <c r="AM2061" s="49">
        <v>9.0</v>
      </c>
      <c r="AN2061" s="51">
        <v>9.0</v>
      </c>
      <c r="AO2061" s="42" t="s">
        <v>201</v>
      </c>
      <c r="AP2061" s="43" t="s">
        <v>201</v>
      </c>
      <c r="AQ2061" s="44" t="str">
        <f t="shared" si="230"/>
        <v>ENF</v>
      </c>
      <c r="AR2061" s="44">
        <f t="shared" si="199"/>
        <v>9</v>
      </c>
      <c r="AS2061" s="44" t="str">
        <f t="shared" si="233"/>
        <v>C</v>
      </c>
      <c r="AT2061" s="44" t="str">
        <f t="shared" si="202"/>
        <v>Cf</v>
      </c>
      <c r="AU2061" s="44" t="str">
        <f t="shared" si="203"/>
        <v>Cfa</v>
      </c>
      <c r="AV2061" s="38"/>
      <c r="AW2061" s="38"/>
      <c r="AX2061" s="38"/>
      <c r="AY2061" s="38"/>
      <c r="AZ2061" s="29">
        <v>4000.0</v>
      </c>
      <c r="BA2061" s="29">
        <v>1.0</v>
      </c>
      <c r="BB2061" s="29">
        <v>1.0</v>
      </c>
      <c r="BC2061" s="29"/>
      <c r="BD2061" s="29"/>
      <c r="BE2061" s="29" t="s">
        <v>89</v>
      </c>
      <c r="BF2061" s="29" t="s">
        <v>95</v>
      </c>
      <c r="BG2061" s="29" t="s">
        <v>91</v>
      </c>
      <c r="BH2061" s="29" t="s">
        <v>92</v>
      </c>
      <c r="BI2061" s="29" t="s">
        <v>3079</v>
      </c>
      <c r="BJ2061" s="29"/>
      <c r="BK2061" s="29" t="s">
        <v>148</v>
      </c>
      <c r="BL2061" s="29" t="s">
        <v>3082</v>
      </c>
      <c r="BM2061" s="45"/>
      <c r="BN2061" s="45"/>
      <c r="BO2061" s="46"/>
      <c r="BP2061" s="2"/>
      <c r="BQ2061" s="3"/>
    </row>
    <row r="2062" ht="15.75" customHeight="1">
      <c r="A2062" s="34">
        <v>2197.0</v>
      </c>
      <c r="B2062" s="34">
        <v>103563.0</v>
      </c>
      <c r="C2062" s="34" t="s">
        <v>832</v>
      </c>
      <c r="D2062" s="34" t="s">
        <v>3074</v>
      </c>
      <c r="E2062" s="34" t="s">
        <v>3075</v>
      </c>
      <c r="F2062" s="34">
        <v>2017.0</v>
      </c>
      <c r="G2062" s="34" t="s">
        <v>3076</v>
      </c>
      <c r="H2062" s="34" t="s">
        <v>2449</v>
      </c>
      <c r="I2062" s="34" t="s">
        <v>3077</v>
      </c>
      <c r="J2062" s="35"/>
      <c r="K2062" s="36">
        <v>-0.01</v>
      </c>
      <c r="L2062" s="48">
        <v>2.110091743</v>
      </c>
      <c r="M2062" s="36"/>
      <c r="N2062" s="36"/>
      <c r="O2062" s="36"/>
      <c r="P2062" s="52">
        <v>-0.473913043</v>
      </c>
      <c r="Q2062" s="36" t="s">
        <v>96</v>
      </c>
      <c r="R2062" s="36" t="s">
        <v>191</v>
      </c>
      <c r="S2062" s="36">
        <v>30.0</v>
      </c>
      <c r="T2062" s="36"/>
      <c r="U2062" s="36"/>
      <c r="V2062" s="36">
        <v>10.0</v>
      </c>
      <c r="W2062" s="36"/>
      <c r="X2062" s="38">
        <v>1.0</v>
      </c>
      <c r="Y2062" s="38" t="s">
        <v>3083</v>
      </c>
      <c r="Z2062" s="38" t="s">
        <v>3084</v>
      </c>
      <c r="AA2062" s="38" t="s">
        <v>197</v>
      </c>
      <c r="AB2062" s="38">
        <v>35.799</v>
      </c>
      <c r="AC2062" s="38">
        <v>-76.656</v>
      </c>
      <c r="AD2062" s="38" t="s">
        <v>87</v>
      </c>
      <c r="AE2062" s="38">
        <v>5.0</v>
      </c>
      <c r="AF2062" s="38"/>
      <c r="AG2062" s="38" t="s">
        <v>201</v>
      </c>
      <c r="AH2062" s="38"/>
      <c r="AI2062" s="50">
        <v>35.799</v>
      </c>
      <c r="AJ2062" s="50">
        <v>-76.656</v>
      </c>
      <c r="AK2062" s="41" t="s">
        <v>452</v>
      </c>
      <c r="AL2062" s="40" t="s">
        <v>452</v>
      </c>
      <c r="AM2062" s="49">
        <v>15.0</v>
      </c>
      <c r="AN2062" s="51">
        <v>15.0</v>
      </c>
      <c r="AO2062" s="42" t="s">
        <v>201</v>
      </c>
      <c r="AP2062" s="43" t="s">
        <v>201</v>
      </c>
      <c r="AQ2062" s="44" t="str">
        <f t="shared" si="230"/>
        <v>ENF</v>
      </c>
      <c r="AR2062" s="44">
        <f t="shared" si="199"/>
        <v>15</v>
      </c>
      <c r="AS2062" s="44" t="str">
        <f t="shared" si="233"/>
        <v>C</v>
      </c>
      <c r="AT2062" s="44" t="str">
        <f t="shared" si="202"/>
        <v>Cf</v>
      </c>
      <c r="AU2062" s="44" t="str">
        <f t="shared" si="203"/>
        <v>Cfa</v>
      </c>
      <c r="AV2062" s="38"/>
      <c r="AW2062" s="38"/>
      <c r="AX2062" s="38"/>
      <c r="AY2062" s="38"/>
      <c r="AZ2062" s="29">
        <v>30.0</v>
      </c>
      <c r="BA2062" s="29">
        <v>1.0</v>
      </c>
      <c r="BB2062" s="29">
        <v>1.0</v>
      </c>
      <c r="BC2062" s="29"/>
      <c r="BD2062" s="29"/>
      <c r="BE2062" s="29" t="s">
        <v>263</v>
      </c>
      <c r="BF2062" s="29" t="s">
        <v>3078</v>
      </c>
      <c r="BG2062" s="29" t="s">
        <v>91</v>
      </c>
      <c r="BH2062" s="29" t="s">
        <v>92</v>
      </c>
      <c r="BI2062" s="29" t="s">
        <v>3079</v>
      </c>
      <c r="BJ2062" s="29"/>
      <c r="BK2062" s="29" t="s">
        <v>2025</v>
      </c>
      <c r="BL2062" s="29" t="s">
        <v>2025</v>
      </c>
      <c r="BM2062" s="45"/>
      <c r="BN2062" s="45"/>
      <c r="BO2062" s="46"/>
      <c r="BP2062" s="2"/>
      <c r="BQ2062" s="3"/>
    </row>
    <row r="2063" ht="15.75" customHeight="1">
      <c r="A2063" s="34">
        <v>2198.0</v>
      </c>
      <c r="B2063" s="34">
        <v>103563.0</v>
      </c>
      <c r="C2063" s="34" t="s">
        <v>832</v>
      </c>
      <c r="D2063" s="34" t="s">
        <v>3074</v>
      </c>
      <c r="E2063" s="34" t="s">
        <v>3075</v>
      </c>
      <c r="F2063" s="34">
        <v>2017.0</v>
      </c>
      <c r="G2063" s="34" t="s">
        <v>3076</v>
      </c>
      <c r="H2063" s="34" t="s">
        <v>2449</v>
      </c>
      <c r="I2063" s="34" t="s">
        <v>3077</v>
      </c>
      <c r="J2063" s="35"/>
      <c r="K2063" s="36">
        <v>0.16</v>
      </c>
      <c r="L2063" s="48">
        <v>2.129032258</v>
      </c>
      <c r="M2063" s="36"/>
      <c r="N2063" s="36"/>
      <c r="O2063" s="36"/>
      <c r="P2063" s="52">
        <v>7.515151515</v>
      </c>
      <c r="Q2063" s="36" t="s">
        <v>96</v>
      </c>
      <c r="R2063" s="36" t="s">
        <v>191</v>
      </c>
      <c r="S2063" s="36">
        <v>30.0</v>
      </c>
      <c r="T2063" s="36"/>
      <c r="U2063" s="36"/>
      <c r="V2063" s="36">
        <v>8.0</v>
      </c>
      <c r="W2063" s="36"/>
      <c r="X2063" s="38">
        <v>1.0</v>
      </c>
      <c r="Y2063" s="38" t="s">
        <v>3083</v>
      </c>
      <c r="Z2063" s="38" t="s">
        <v>3084</v>
      </c>
      <c r="AA2063" s="38" t="s">
        <v>197</v>
      </c>
      <c r="AB2063" s="38">
        <v>35.799</v>
      </c>
      <c r="AC2063" s="38">
        <v>-76.656</v>
      </c>
      <c r="AD2063" s="38" t="s">
        <v>87</v>
      </c>
      <c r="AE2063" s="38">
        <v>5.0</v>
      </c>
      <c r="AF2063" s="38"/>
      <c r="AG2063" s="38" t="s">
        <v>201</v>
      </c>
      <c r="AH2063" s="38"/>
      <c r="AI2063" s="50">
        <v>35.799</v>
      </c>
      <c r="AJ2063" s="50">
        <v>-76.656</v>
      </c>
      <c r="AK2063" s="41" t="s">
        <v>452</v>
      </c>
      <c r="AL2063" s="40" t="s">
        <v>452</v>
      </c>
      <c r="AM2063" s="49">
        <v>15.0</v>
      </c>
      <c r="AN2063" s="51">
        <v>15.0</v>
      </c>
      <c r="AO2063" s="42" t="s">
        <v>201</v>
      </c>
      <c r="AP2063" s="43" t="s">
        <v>201</v>
      </c>
      <c r="AQ2063" s="44" t="str">
        <f t="shared" si="230"/>
        <v>ENF</v>
      </c>
      <c r="AR2063" s="44">
        <f t="shared" si="199"/>
        <v>15</v>
      </c>
      <c r="AS2063" s="44" t="str">
        <f t="shared" si="233"/>
        <v>C</v>
      </c>
      <c r="AT2063" s="44" t="str">
        <f t="shared" si="202"/>
        <v>Cf</v>
      </c>
      <c r="AU2063" s="44" t="str">
        <f t="shared" si="203"/>
        <v>Cfa</v>
      </c>
      <c r="AV2063" s="38"/>
      <c r="AW2063" s="38"/>
      <c r="AX2063" s="38"/>
      <c r="AY2063" s="38"/>
      <c r="AZ2063" s="29">
        <v>30.0</v>
      </c>
      <c r="BA2063" s="29">
        <v>1.0</v>
      </c>
      <c r="BB2063" s="29">
        <v>1.0</v>
      </c>
      <c r="BC2063" s="29"/>
      <c r="BD2063" s="29"/>
      <c r="BE2063" s="29" t="s">
        <v>263</v>
      </c>
      <c r="BF2063" s="29" t="s">
        <v>3080</v>
      </c>
      <c r="BG2063" s="29" t="s">
        <v>91</v>
      </c>
      <c r="BH2063" s="29" t="s">
        <v>92</v>
      </c>
      <c r="BI2063" s="29" t="s">
        <v>3079</v>
      </c>
      <c r="BJ2063" s="29"/>
      <c r="BK2063" s="29" t="s">
        <v>180</v>
      </c>
      <c r="BL2063" s="29" t="s">
        <v>180</v>
      </c>
      <c r="BM2063" s="45"/>
      <c r="BN2063" s="45"/>
      <c r="BO2063" s="46"/>
      <c r="BP2063" s="2"/>
      <c r="BQ2063" s="3"/>
    </row>
    <row r="2064" ht="15.75" customHeight="1">
      <c r="A2064" s="34">
        <v>2199.0</v>
      </c>
      <c r="B2064" s="34">
        <v>103563.0</v>
      </c>
      <c r="C2064" s="34" t="s">
        <v>832</v>
      </c>
      <c r="D2064" s="34" t="s">
        <v>3074</v>
      </c>
      <c r="E2064" s="34" t="s">
        <v>3075</v>
      </c>
      <c r="F2064" s="34">
        <v>2017.0</v>
      </c>
      <c r="G2064" s="34" t="s">
        <v>3076</v>
      </c>
      <c r="H2064" s="34" t="s">
        <v>2449</v>
      </c>
      <c r="I2064" s="34" t="s">
        <v>3077</v>
      </c>
      <c r="J2064" s="35"/>
      <c r="K2064" s="36">
        <v>1.61</v>
      </c>
      <c r="L2064" s="48">
        <v>2.110091743</v>
      </c>
      <c r="M2064" s="36"/>
      <c r="N2064" s="36"/>
      <c r="O2064" s="36"/>
      <c r="P2064" s="52">
        <v>76.3</v>
      </c>
      <c r="Q2064" s="36" t="s">
        <v>96</v>
      </c>
      <c r="R2064" s="36" t="s">
        <v>191</v>
      </c>
      <c r="S2064" s="36">
        <v>1000.0</v>
      </c>
      <c r="T2064" s="36"/>
      <c r="U2064" s="36"/>
      <c r="V2064" s="36">
        <v>10.0</v>
      </c>
      <c r="W2064" s="36"/>
      <c r="X2064" s="38">
        <v>1.0</v>
      </c>
      <c r="Y2064" s="38" t="s">
        <v>3083</v>
      </c>
      <c r="Z2064" s="38" t="s">
        <v>3084</v>
      </c>
      <c r="AA2064" s="38" t="s">
        <v>197</v>
      </c>
      <c r="AB2064" s="38">
        <v>35.799</v>
      </c>
      <c r="AC2064" s="38">
        <v>-76.656</v>
      </c>
      <c r="AD2064" s="38" t="s">
        <v>87</v>
      </c>
      <c r="AE2064" s="38">
        <v>5.0</v>
      </c>
      <c r="AF2064" s="38"/>
      <c r="AG2064" s="38" t="s">
        <v>201</v>
      </c>
      <c r="AH2064" s="38"/>
      <c r="AI2064" s="50">
        <v>35.799</v>
      </c>
      <c r="AJ2064" s="50">
        <v>-76.656</v>
      </c>
      <c r="AK2064" s="41" t="s">
        <v>452</v>
      </c>
      <c r="AL2064" s="40" t="s">
        <v>452</v>
      </c>
      <c r="AM2064" s="49">
        <v>15.0</v>
      </c>
      <c r="AN2064" s="51">
        <v>15.0</v>
      </c>
      <c r="AO2064" s="42" t="s">
        <v>201</v>
      </c>
      <c r="AP2064" s="43" t="s">
        <v>201</v>
      </c>
      <c r="AQ2064" s="44" t="str">
        <f t="shared" si="230"/>
        <v>ENF</v>
      </c>
      <c r="AR2064" s="44">
        <f t="shared" si="199"/>
        <v>15</v>
      </c>
      <c r="AS2064" s="44" t="str">
        <f t="shared" si="233"/>
        <v>C</v>
      </c>
      <c r="AT2064" s="44" t="str">
        <f t="shared" si="202"/>
        <v>Cf</v>
      </c>
      <c r="AU2064" s="44" t="str">
        <f t="shared" si="203"/>
        <v>Cfa</v>
      </c>
      <c r="AV2064" s="38"/>
      <c r="AW2064" s="38"/>
      <c r="AX2064" s="38"/>
      <c r="AY2064" s="38"/>
      <c r="AZ2064" s="29">
        <v>1000.0</v>
      </c>
      <c r="BA2064" s="29">
        <v>1.0</v>
      </c>
      <c r="BB2064" s="29">
        <v>1.0</v>
      </c>
      <c r="BC2064" s="29"/>
      <c r="BD2064" s="29"/>
      <c r="BE2064" s="29" t="s">
        <v>263</v>
      </c>
      <c r="BF2064" s="29" t="s">
        <v>3081</v>
      </c>
      <c r="BG2064" s="29" t="s">
        <v>91</v>
      </c>
      <c r="BH2064" s="29" t="s">
        <v>92</v>
      </c>
      <c r="BI2064" s="29" t="s">
        <v>3079</v>
      </c>
      <c r="BJ2064" s="29"/>
      <c r="BK2064" s="29" t="s">
        <v>148</v>
      </c>
      <c r="BL2064" s="29" t="s">
        <v>148</v>
      </c>
      <c r="BM2064" s="45"/>
      <c r="BN2064" s="45"/>
      <c r="BO2064" s="46"/>
      <c r="BP2064" s="2"/>
      <c r="BQ2064" s="3"/>
    </row>
    <row r="2065" ht="15.75" customHeight="1">
      <c r="A2065" s="34">
        <v>2200.0</v>
      </c>
      <c r="B2065" s="34">
        <v>103563.0</v>
      </c>
      <c r="C2065" s="34" t="s">
        <v>832</v>
      </c>
      <c r="D2065" s="34" t="s">
        <v>3074</v>
      </c>
      <c r="E2065" s="34" t="s">
        <v>3075</v>
      </c>
      <c r="F2065" s="34">
        <v>2017.0</v>
      </c>
      <c r="G2065" s="34" t="s">
        <v>3076</v>
      </c>
      <c r="H2065" s="34" t="s">
        <v>2449</v>
      </c>
      <c r="I2065" s="34" t="s">
        <v>3077</v>
      </c>
      <c r="J2065" s="35"/>
      <c r="K2065" s="36">
        <v>1.06</v>
      </c>
      <c r="L2065" s="48">
        <v>2.115768463</v>
      </c>
      <c r="M2065" s="36"/>
      <c r="N2065" s="36"/>
      <c r="O2065" s="36"/>
      <c r="P2065" s="52">
        <v>50.1</v>
      </c>
      <c r="Q2065" s="36" t="s">
        <v>96</v>
      </c>
      <c r="R2065" s="36" t="s">
        <v>191</v>
      </c>
      <c r="S2065" s="36">
        <v>4000.0</v>
      </c>
      <c r="T2065" s="36"/>
      <c r="U2065" s="36"/>
      <c r="V2065" s="36">
        <v>10.0</v>
      </c>
      <c r="W2065" s="36"/>
      <c r="X2065" s="38">
        <v>1.0</v>
      </c>
      <c r="Y2065" s="38" t="s">
        <v>3083</v>
      </c>
      <c r="Z2065" s="38" t="s">
        <v>3084</v>
      </c>
      <c r="AA2065" s="38" t="s">
        <v>197</v>
      </c>
      <c r="AB2065" s="38">
        <v>35.799</v>
      </c>
      <c r="AC2065" s="38">
        <v>-76.656</v>
      </c>
      <c r="AD2065" s="38" t="s">
        <v>87</v>
      </c>
      <c r="AE2065" s="38">
        <v>5.0</v>
      </c>
      <c r="AF2065" s="38"/>
      <c r="AG2065" s="38" t="s">
        <v>201</v>
      </c>
      <c r="AH2065" s="38"/>
      <c r="AI2065" s="50">
        <v>35.799</v>
      </c>
      <c r="AJ2065" s="50">
        <v>-76.656</v>
      </c>
      <c r="AK2065" s="41" t="s">
        <v>452</v>
      </c>
      <c r="AL2065" s="40" t="s">
        <v>452</v>
      </c>
      <c r="AM2065" s="49">
        <v>15.0</v>
      </c>
      <c r="AN2065" s="51">
        <v>15.0</v>
      </c>
      <c r="AO2065" s="42" t="s">
        <v>201</v>
      </c>
      <c r="AP2065" s="43" t="s">
        <v>201</v>
      </c>
      <c r="AQ2065" s="44" t="str">
        <f t="shared" si="230"/>
        <v>ENF</v>
      </c>
      <c r="AR2065" s="44">
        <f t="shared" si="199"/>
        <v>15</v>
      </c>
      <c r="AS2065" s="44" t="str">
        <f t="shared" si="233"/>
        <v>C</v>
      </c>
      <c r="AT2065" s="44" t="str">
        <f t="shared" si="202"/>
        <v>Cf</v>
      </c>
      <c r="AU2065" s="44" t="str">
        <f t="shared" si="203"/>
        <v>Cfa</v>
      </c>
      <c r="AV2065" s="38"/>
      <c r="AW2065" s="38"/>
      <c r="AX2065" s="38"/>
      <c r="AY2065" s="38"/>
      <c r="AZ2065" s="29">
        <v>4000.0</v>
      </c>
      <c r="BA2065" s="29">
        <v>1.0</v>
      </c>
      <c r="BB2065" s="29">
        <v>1.0</v>
      </c>
      <c r="BC2065" s="29"/>
      <c r="BD2065" s="29"/>
      <c r="BE2065" s="29" t="s">
        <v>89</v>
      </c>
      <c r="BF2065" s="29" t="s">
        <v>95</v>
      </c>
      <c r="BG2065" s="29" t="s">
        <v>91</v>
      </c>
      <c r="BH2065" s="29" t="s">
        <v>92</v>
      </c>
      <c r="BI2065" s="29" t="s">
        <v>3079</v>
      </c>
      <c r="BJ2065" s="29"/>
      <c r="BK2065" s="29" t="s">
        <v>148</v>
      </c>
      <c r="BL2065" s="29" t="s">
        <v>3082</v>
      </c>
      <c r="BM2065" s="45"/>
      <c r="BN2065" s="45"/>
      <c r="BO2065" s="46"/>
      <c r="BP2065" s="2"/>
      <c r="BQ2065" s="3"/>
    </row>
    <row r="2066" ht="15.75" customHeight="1">
      <c r="A2066" s="34">
        <v>2201.0</v>
      </c>
      <c r="B2066" s="34">
        <v>103563.0</v>
      </c>
      <c r="C2066" s="34" t="s">
        <v>832</v>
      </c>
      <c r="D2066" s="34" t="s">
        <v>3074</v>
      </c>
      <c r="E2066" s="34" t="s">
        <v>3075</v>
      </c>
      <c r="F2066" s="34">
        <v>2017.0</v>
      </c>
      <c r="G2066" s="34" t="s">
        <v>3076</v>
      </c>
      <c r="H2066" s="34" t="s">
        <v>2449</v>
      </c>
      <c r="I2066" s="34" t="s">
        <v>3077</v>
      </c>
      <c r="J2066" s="35"/>
      <c r="K2066" s="36">
        <v>-0.03</v>
      </c>
      <c r="L2066" s="48">
        <v>3.333333</v>
      </c>
      <c r="M2066" s="36"/>
      <c r="N2066" s="36"/>
      <c r="O2066" s="36"/>
      <c r="P2066" s="83">
        <f t="shared" ref="P2066:P2073" si="234">K2066*100/L2066</f>
        <v>-0.90000009</v>
      </c>
      <c r="Q2066" s="36" t="s">
        <v>96</v>
      </c>
      <c r="R2066" s="36" t="s">
        <v>1908</v>
      </c>
      <c r="S2066" s="36">
        <v>30.0</v>
      </c>
      <c r="T2066" s="36"/>
      <c r="U2066" s="36"/>
      <c r="V2066" s="36">
        <v>1.0</v>
      </c>
      <c r="W2066" s="36"/>
      <c r="X2066" s="38">
        <v>1.0</v>
      </c>
      <c r="Y2066" s="38" t="s">
        <v>556</v>
      </c>
      <c r="Z2066" s="38" t="s">
        <v>557</v>
      </c>
      <c r="AA2066" s="38" t="s">
        <v>197</v>
      </c>
      <c r="AB2066" s="38">
        <v>35.803</v>
      </c>
      <c r="AC2066" s="38">
        <v>-76.6685</v>
      </c>
      <c r="AD2066" s="38" t="s">
        <v>87</v>
      </c>
      <c r="AE2066" s="38">
        <v>5.0</v>
      </c>
      <c r="AF2066" s="38" t="s">
        <v>550</v>
      </c>
      <c r="AG2066" s="38" t="s">
        <v>201</v>
      </c>
      <c r="AH2066" s="38"/>
      <c r="AI2066" s="50">
        <v>35.803</v>
      </c>
      <c r="AJ2066" s="50">
        <v>-76.6685</v>
      </c>
      <c r="AK2066" s="41" t="s">
        <v>197</v>
      </c>
      <c r="AL2066" s="40" t="s">
        <v>197</v>
      </c>
      <c r="AM2066" s="49">
        <v>9.0</v>
      </c>
      <c r="AN2066" s="51">
        <v>9.0</v>
      </c>
      <c r="AO2066" s="42" t="s">
        <v>201</v>
      </c>
      <c r="AP2066" s="43" t="s">
        <v>201</v>
      </c>
      <c r="AQ2066" s="44" t="str">
        <f t="shared" si="230"/>
        <v>ENF</v>
      </c>
      <c r="AR2066" s="44">
        <f t="shared" si="199"/>
        <v>9</v>
      </c>
      <c r="AS2066" s="44" t="str">
        <f t="shared" si="233"/>
        <v>C</v>
      </c>
      <c r="AT2066" s="44" t="str">
        <f t="shared" si="202"/>
        <v>Cf</v>
      </c>
      <c r="AU2066" s="44" t="str">
        <f t="shared" si="203"/>
        <v>Cfa</v>
      </c>
      <c r="AV2066" s="38"/>
      <c r="AW2066" s="38"/>
      <c r="AX2066" s="38"/>
      <c r="AY2066" s="38"/>
      <c r="AZ2066" s="29">
        <v>30.0</v>
      </c>
      <c r="BA2066" s="29">
        <v>1.0</v>
      </c>
      <c r="BB2066" s="29">
        <v>1.0</v>
      </c>
      <c r="BC2066" s="29"/>
      <c r="BD2066" s="29"/>
      <c r="BE2066" s="29" t="s">
        <v>263</v>
      </c>
      <c r="BF2066" s="29" t="s">
        <v>3078</v>
      </c>
      <c r="BG2066" s="29" t="s">
        <v>91</v>
      </c>
      <c r="BH2066" s="29" t="s">
        <v>92</v>
      </c>
      <c r="BI2066" s="29" t="s">
        <v>3079</v>
      </c>
      <c r="BJ2066" s="29"/>
      <c r="BK2066" s="29" t="s">
        <v>2025</v>
      </c>
      <c r="BL2066" s="29" t="s">
        <v>2025</v>
      </c>
      <c r="BM2066" s="45"/>
      <c r="BN2066" s="45"/>
      <c r="BO2066" s="46"/>
      <c r="BP2066" s="2"/>
      <c r="BQ2066" s="3"/>
    </row>
    <row r="2067" ht="15.75" customHeight="1">
      <c r="A2067" s="34">
        <v>2202.0</v>
      </c>
      <c r="B2067" s="34">
        <v>103563.0</v>
      </c>
      <c r="C2067" s="34" t="s">
        <v>832</v>
      </c>
      <c r="D2067" s="34" t="s">
        <v>3074</v>
      </c>
      <c r="E2067" s="34" t="s">
        <v>3075</v>
      </c>
      <c r="F2067" s="34">
        <v>2017.0</v>
      </c>
      <c r="G2067" s="34" t="s">
        <v>3076</v>
      </c>
      <c r="H2067" s="34" t="s">
        <v>2449</v>
      </c>
      <c r="I2067" s="34" t="s">
        <v>3077</v>
      </c>
      <c r="J2067" s="35"/>
      <c r="K2067" s="36">
        <v>0.04</v>
      </c>
      <c r="L2067" s="48">
        <v>3.076923</v>
      </c>
      <c r="M2067" s="36"/>
      <c r="N2067" s="36"/>
      <c r="O2067" s="36"/>
      <c r="P2067" s="83">
        <f t="shared" si="234"/>
        <v>1.300000033</v>
      </c>
      <c r="Q2067" s="36" t="s">
        <v>96</v>
      </c>
      <c r="R2067" s="36" t="s">
        <v>1908</v>
      </c>
      <c r="S2067" s="36">
        <v>30.0</v>
      </c>
      <c r="T2067" s="36"/>
      <c r="U2067" s="36"/>
      <c r="V2067" s="36">
        <v>1.0</v>
      </c>
      <c r="W2067" s="36"/>
      <c r="X2067" s="38">
        <v>1.0</v>
      </c>
      <c r="Y2067" s="38" t="s">
        <v>556</v>
      </c>
      <c r="Z2067" s="38" t="s">
        <v>557</v>
      </c>
      <c r="AA2067" s="38" t="s">
        <v>197</v>
      </c>
      <c r="AB2067" s="38">
        <v>35.803</v>
      </c>
      <c r="AC2067" s="38">
        <v>-76.6685</v>
      </c>
      <c r="AD2067" s="38" t="s">
        <v>87</v>
      </c>
      <c r="AE2067" s="38">
        <v>5.0</v>
      </c>
      <c r="AF2067" s="38" t="s">
        <v>550</v>
      </c>
      <c r="AG2067" s="38" t="s">
        <v>201</v>
      </c>
      <c r="AH2067" s="38"/>
      <c r="AI2067" s="50">
        <v>35.803</v>
      </c>
      <c r="AJ2067" s="50">
        <v>-76.6685</v>
      </c>
      <c r="AK2067" s="41" t="s">
        <v>197</v>
      </c>
      <c r="AL2067" s="40" t="s">
        <v>197</v>
      </c>
      <c r="AM2067" s="49">
        <v>9.0</v>
      </c>
      <c r="AN2067" s="51">
        <v>9.0</v>
      </c>
      <c r="AO2067" s="42" t="s">
        <v>201</v>
      </c>
      <c r="AP2067" s="43" t="s">
        <v>201</v>
      </c>
      <c r="AQ2067" s="44" t="str">
        <f t="shared" si="230"/>
        <v>ENF</v>
      </c>
      <c r="AR2067" s="44">
        <f t="shared" si="199"/>
        <v>9</v>
      </c>
      <c r="AS2067" s="44" t="str">
        <f t="shared" si="233"/>
        <v>C</v>
      </c>
      <c r="AT2067" s="44" t="str">
        <f t="shared" si="202"/>
        <v>Cf</v>
      </c>
      <c r="AU2067" s="44" t="str">
        <f t="shared" si="203"/>
        <v>Cfa</v>
      </c>
      <c r="AV2067" s="38"/>
      <c r="AW2067" s="38"/>
      <c r="AX2067" s="38"/>
      <c r="AY2067" s="38"/>
      <c r="AZ2067" s="29">
        <v>30.0</v>
      </c>
      <c r="BA2067" s="29">
        <v>1.0</v>
      </c>
      <c r="BB2067" s="29">
        <v>1.0</v>
      </c>
      <c r="BC2067" s="29"/>
      <c r="BD2067" s="29"/>
      <c r="BE2067" s="29" t="s">
        <v>263</v>
      </c>
      <c r="BF2067" s="29" t="s">
        <v>3080</v>
      </c>
      <c r="BG2067" s="29" t="s">
        <v>91</v>
      </c>
      <c r="BH2067" s="29" t="s">
        <v>92</v>
      </c>
      <c r="BI2067" s="29" t="s">
        <v>3079</v>
      </c>
      <c r="BJ2067" s="29"/>
      <c r="BK2067" s="29" t="s">
        <v>180</v>
      </c>
      <c r="BL2067" s="29" t="s">
        <v>180</v>
      </c>
      <c r="BM2067" s="45"/>
      <c r="BN2067" s="45"/>
      <c r="BO2067" s="46"/>
      <c r="BP2067" s="2"/>
      <c r="BQ2067" s="3"/>
    </row>
    <row r="2068" ht="15.75" customHeight="1">
      <c r="A2068" s="34">
        <v>2203.0</v>
      </c>
      <c r="B2068" s="34">
        <v>103563.0</v>
      </c>
      <c r="C2068" s="34" t="s">
        <v>832</v>
      </c>
      <c r="D2068" s="34" t="s">
        <v>3074</v>
      </c>
      <c r="E2068" s="34" t="s">
        <v>3075</v>
      </c>
      <c r="F2068" s="34">
        <v>2017.0</v>
      </c>
      <c r="G2068" s="34" t="s">
        <v>3076</v>
      </c>
      <c r="H2068" s="34" t="s">
        <v>2449</v>
      </c>
      <c r="I2068" s="34" t="s">
        <v>3077</v>
      </c>
      <c r="J2068" s="35"/>
      <c r="K2068" s="36">
        <v>-0.1</v>
      </c>
      <c r="L2068" s="48">
        <v>3.703704</v>
      </c>
      <c r="M2068" s="36"/>
      <c r="N2068" s="36"/>
      <c r="O2068" s="36"/>
      <c r="P2068" s="83">
        <f t="shared" si="234"/>
        <v>-2.699999784</v>
      </c>
      <c r="Q2068" s="36" t="s">
        <v>96</v>
      </c>
      <c r="R2068" s="36" t="s">
        <v>1908</v>
      </c>
      <c r="S2068" s="36">
        <v>1000.0</v>
      </c>
      <c r="T2068" s="36"/>
      <c r="U2068" s="36"/>
      <c r="V2068" s="36">
        <v>1.0</v>
      </c>
      <c r="W2068" s="36"/>
      <c r="X2068" s="38">
        <v>1.0</v>
      </c>
      <c r="Y2068" s="38" t="s">
        <v>556</v>
      </c>
      <c r="Z2068" s="38" t="s">
        <v>557</v>
      </c>
      <c r="AA2068" s="38" t="s">
        <v>197</v>
      </c>
      <c r="AB2068" s="38">
        <v>35.803</v>
      </c>
      <c r="AC2068" s="38">
        <v>-76.6685</v>
      </c>
      <c r="AD2068" s="38" t="s">
        <v>87</v>
      </c>
      <c r="AE2068" s="38">
        <v>5.0</v>
      </c>
      <c r="AF2068" s="38" t="s">
        <v>550</v>
      </c>
      <c r="AG2068" s="38" t="s">
        <v>201</v>
      </c>
      <c r="AH2068" s="38"/>
      <c r="AI2068" s="50">
        <v>35.803</v>
      </c>
      <c r="AJ2068" s="50">
        <v>-76.6685</v>
      </c>
      <c r="AK2068" s="41" t="s">
        <v>197</v>
      </c>
      <c r="AL2068" s="40" t="s">
        <v>197</v>
      </c>
      <c r="AM2068" s="49">
        <v>9.0</v>
      </c>
      <c r="AN2068" s="51">
        <v>9.0</v>
      </c>
      <c r="AO2068" s="42" t="s">
        <v>201</v>
      </c>
      <c r="AP2068" s="43" t="s">
        <v>201</v>
      </c>
      <c r="AQ2068" s="44" t="str">
        <f t="shared" si="230"/>
        <v>ENF</v>
      </c>
      <c r="AR2068" s="44">
        <f t="shared" si="199"/>
        <v>9</v>
      </c>
      <c r="AS2068" s="44" t="str">
        <f t="shared" si="233"/>
        <v>C</v>
      </c>
      <c r="AT2068" s="44" t="str">
        <f t="shared" si="202"/>
        <v>Cf</v>
      </c>
      <c r="AU2068" s="44" t="str">
        <f t="shared" si="203"/>
        <v>Cfa</v>
      </c>
      <c r="AV2068" s="38"/>
      <c r="AW2068" s="38"/>
      <c r="AX2068" s="38"/>
      <c r="AY2068" s="38"/>
      <c r="AZ2068" s="29">
        <v>1000.0</v>
      </c>
      <c r="BA2068" s="29">
        <v>1.0</v>
      </c>
      <c r="BB2068" s="29">
        <v>1.0</v>
      </c>
      <c r="BC2068" s="29"/>
      <c r="BD2068" s="29"/>
      <c r="BE2068" s="29" t="s">
        <v>263</v>
      </c>
      <c r="BF2068" s="29" t="s">
        <v>3081</v>
      </c>
      <c r="BG2068" s="29" t="s">
        <v>91</v>
      </c>
      <c r="BH2068" s="29" t="s">
        <v>92</v>
      </c>
      <c r="BI2068" s="29" t="s">
        <v>3079</v>
      </c>
      <c r="BJ2068" s="29"/>
      <c r="BK2068" s="29" t="s">
        <v>148</v>
      </c>
      <c r="BL2068" s="29" t="s">
        <v>148</v>
      </c>
      <c r="BM2068" s="45"/>
      <c r="BN2068" s="45"/>
      <c r="BO2068" s="46"/>
      <c r="BP2068" s="2"/>
      <c r="BQ2068" s="3"/>
    </row>
    <row r="2069" ht="15.75" customHeight="1">
      <c r="A2069" s="34">
        <v>2204.0</v>
      </c>
      <c r="B2069" s="34">
        <v>103563.0</v>
      </c>
      <c r="C2069" s="34" t="s">
        <v>832</v>
      </c>
      <c r="D2069" s="34" t="s">
        <v>3074</v>
      </c>
      <c r="E2069" s="34" t="s">
        <v>3075</v>
      </c>
      <c r="F2069" s="34">
        <v>2017.0</v>
      </c>
      <c r="G2069" s="34" t="s">
        <v>3076</v>
      </c>
      <c r="H2069" s="34" t="s">
        <v>2449</v>
      </c>
      <c r="I2069" s="34" t="s">
        <v>3077</v>
      </c>
      <c r="J2069" s="35"/>
      <c r="K2069" s="36">
        <v>-0.11</v>
      </c>
      <c r="L2069" s="48">
        <v>3.4375</v>
      </c>
      <c r="M2069" s="36"/>
      <c r="N2069" s="36"/>
      <c r="O2069" s="36"/>
      <c r="P2069" s="83">
        <f t="shared" si="234"/>
        <v>-3.2</v>
      </c>
      <c r="Q2069" s="36" t="s">
        <v>96</v>
      </c>
      <c r="R2069" s="36" t="s">
        <v>1908</v>
      </c>
      <c r="S2069" s="36">
        <v>4000.0</v>
      </c>
      <c r="T2069" s="36"/>
      <c r="U2069" s="36"/>
      <c r="V2069" s="36">
        <v>1.0</v>
      </c>
      <c r="W2069" s="36"/>
      <c r="X2069" s="38">
        <v>1.0</v>
      </c>
      <c r="Y2069" s="38" t="s">
        <v>556</v>
      </c>
      <c r="Z2069" s="38" t="s">
        <v>557</v>
      </c>
      <c r="AA2069" s="38" t="s">
        <v>197</v>
      </c>
      <c r="AB2069" s="38">
        <v>35.803</v>
      </c>
      <c r="AC2069" s="38">
        <v>-76.6685</v>
      </c>
      <c r="AD2069" s="38" t="s">
        <v>87</v>
      </c>
      <c r="AE2069" s="38">
        <v>5.0</v>
      </c>
      <c r="AF2069" s="38" t="s">
        <v>550</v>
      </c>
      <c r="AG2069" s="38" t="s">
        <v>201</v>
      </c>
      <c r="AH2069" s="38"/>
      <c r="AI2069" s="50">
        <v>35.803</v>
      </c>
      <c r="AJ2069" s="50">
        <v>-76.6685</v>
      </c>
      <c r="AK2069" s="41" t="s">
        <v>197</v>
      </c>
      <c r="AL2069" s="40" t="s">
        <v>197</v>
      </c>
      <c r="AM2069" s="49">
        <v>9.0</v>
      </c>
      <c r="AN2069" s="51">
        <v>9.0</v>
      </c>
      <c r="AO2069" s="42" t="s">
        <v>201</v>
      </c>
      <c r="AP2069" s="43" t="s">
        <v>201</v>
      </c>
      <c r="AQ2069" s="44" t="str">
        <f t="shared" si="230"/>
        <v>ENF</v>
      </c>
      <c r="AR2069" s="44">
        <f t="shared" si="199"/>
        <v>9</v>
      </c>
      <c r="AS2069" s="44" t="str">
        <f t="shared" si="233"/>
        <v>C</v>
      </c>
      <c r="AT2069" s="44" t="str">
        <f t="shared" si="202"/>
        <v>Cf</v>
      </c>
      <c r="AU2069" s="44" t="str">
        <f t="shared" si="203"/>
        <v>Cfa</v>
      </c>
      <c r="AV2069" s="38"/>
      <c r="AW2069" s="38"/>
      <c r="AX2069" s="38"/>
      <c r="AY2069" s="38"/>
      <c r="AZ2069" s="29">
        <v>4000.0</v>
      </c>
      <c r="BA2069" s="29">
        <v>1.0</v>
      </c>
      <c r="BB2069" s="29">
        <v>1.0</v>
      </c>
      <c r="BC2069" s="29"/>
      <c r="BD2069" s="29"/>
      <c r="BE2069" s="29" t="s">
        <v>89</v>
      </c>
      <c r="BF2069" s="29" t="s">
        <v>95</v>
      </c>
      <c r="BG2069" s="29" t="s">
        <v>91</v>
      </c>
      <c r="BH2069" s="29" t="s">
        <v>92</v>
      </c>
      <c r="BI2069" s="29" t="s">
        <v>3079</v>
      </c>
      <c r="BJ2069" s="29"/>
      <c r="BK2069" s="29" t="s">
        <v>148</v>
      </c>
      <c r="BL2069" s="29" t="s">
        <v>3082</v>
      </c>
      <c r="BM2069" s="45"/>
      <c r="BN2069" s="45"/>
      <c r="BO2069" s="46"/>
      <c r="BP2069" s="2"/>
      <c r="BQ2069" s="3"/>
    </row>
    <row r="2070" ht="15.75" customHeight="1">
      <c r="A2070" s="34">
        <v>2205.0</v>
      </c>
      <c r="B2070" s="34">
        <v>103563.0</v>
      </c>
      <c r="C2070" s="34" t="s">
        <v>832</v>
      </c>
      <c r="D2070" s="34" t="s">
        <v>3074</v>
      </c>
      <c r="E2070" s="34" t="s">
        <v>3075</v>
      </c>
      <c r="F2070" s="34">
        <v>2017.0</v>
      </c>
      <c r="G2070" s="34" t="s">
        <v>3076</v>
      </c>
      <c r="H2070" s="34" t="s">
        <v>2449</v>
      </c>
      <c r="I2070" s="34" t="s">
        <v>3077</v>
      </c>
      <c r="J2070" s="35"/>
      <c r="K2070" s="36">
        <v>0.01</v>
      </c>
      <c r="L2070" s="48">
        <v>2.5</v>
      </c>
      <c r="M2070" s="36"/>
      <c r="N2070" s="36"/>
      <c r="O2070" s="36"/>
      <c r="P2070" s="83">
        <f t="shared" si="234"/>
        <v>0.4</v>
      </c>
      <c r="Q2070" s="36" t="s">
        <v>96</v>
      </c>
      <c r="R2070" s="36" t="s">
        <v>1908</v>
      </c>
      <c r="S2070" s="36">
        <v>30.0</v>
      </c>
      <c r="T2070" s="36"/>
      <c r="U2070" s="36"/>
      <c r="V2070" s="36">
        <v>1.0</v>
      </c>
      <c r="W2070" s="36"/>
      <c r="X2070" s="38">
        <v>1.0</v>
      </c>
      <c r="Y2070" s="38" t="s">
        <v>3083</v>
      </c>
      <c r="Z2070" s="38" t="s">
        <v>3084</v>
      </c>
      <c r="AA2070" s="38" t="s">
        <v>197</v>
      </c>
      <c r="AB2070" s="38">
        <v>35.799</v>
      </c>
      <c r="AC2070" s="38">
        <v>-76.656</v>
      </c>
      <c r="AD2070" s="38" t="s">
        <v>87</v>
      </c>
      <c r="AE2070" s="38">
        <v>5.0</v>
      </c>
      <c r="AF2070" s="38"/>
      <c r="AG2070" s="38" t="s">
        <v>201</v>
      </c>
      <c r="AH2070" s="38"/>
      <c r="AI2070" s="50">
        <v>35.799</v>
      </c>
      <c r="AJ2070" s="50">
        <v>-76.656</v>
      </c>
      <c r="AK2070" s="41" t="s">
        <v>452</v>
      </c>
      <c r="AL2070" s="40" t="s">
        <v>452</v>
      </c>
      <c r="AM2070" s="49">
        <v>15.0</v>
      </c>
      <c r="AN2070" s="51">
        <v>15.0</v>
      </c>
      <c r="AO2070" s="42" t="s">
        <v>201</v>
      </c>
      <c r="AP2070" s="43" t="s">
        <v>201</v>
      </c>
      <c r="AQ2070" s="44" t="str">
        <f t="shared" si="230"/>
        <v>ENF</v>
      </c>
      <c r="AR2070" s="44">
        <f t="shared" si="199"/>
        <v>15</v>
      </c>
      <c r="AS2070" s="44" t="str">
        <f t="shared" si="233"/>
        <v>C</v>
      </c>
      <c r="AT2070" s="44" t="str">
        <f t="shared" si="202"/>
        <v>Cf</v>
      </c>
      <c r="AU2070" s="44" t="str">
        <f t="shared" si="203"/>
        <v>Cfa</v>
      </c>
      <c r="AV2070" s="38"/>
      <c r="AW2070" s="38"/>
      <c r="AX2070" s="38"/>
      <c r="AY2070" s="38"/>
      <c r="AZ2070" s="29">
        <v>30.0</v>
      </c>
      <c r="BA2070" s="29">
        <v>1.0</v>
      </c>
      <c r="BB2070" s="29">
        <v>1.0</v>
      </c>
      <c r="BC2070" s="29"/>
      <c r="BD2070" s="29"/>
      <c r="BE2070" s="29" t="s">
        <v>263</v>
      </c>
      <c r="BF2070" s="29" t="s">
        <v>3078</v>
      </c>
      <c r="BG2070" s="29" t="s">
        <v>91</v>
      </c>
      <c r="BH2070" s="29" t="s">
        <v>92</v>
      </c>
      <c r="BI2070" s="29" t="s">
        <v>3079</v>
      </c>
      <c r="BJ2070" s="29"/>
      <c r="BK2070" s="29" t="s">
        <v>2025</v>
      </c>
      <c r="BL2070" s="29" t="s">
        <v>2025</v>
      </c>
      <c r="BM2070" s="45"/>
      <c r="BN2070" s="45"/>
      <c r="BO2070" s="46"/>
      <c r="BP2070" s="2"/>
      <c r="BQ2070" s="3"/>
    </row>
    <row r="2071" ht="15.75" customHeight="1">
      <c r="A2071" s="34">
        <v>2206.0</v>
      </c>
      <c r="B2071" s="34">
        <v>103563.0</v>
      </c>
      <c r="C2071" s="34" t="s">
        <v>832</v>
      </c>
      <c r="D2071" s="34" t="s">
        <v>3074</v>
      </c>
      <c r="E2071" s="34" t="s">
        <v>3075</v>
      </c>
      <c r="F2071" s="34">
        <v>2017.0</v>
      </c>
      <c r="G2071" s="34" t="s">
        <v>3076</v>
      </c>
      <c r="H2071" s="34" t="s">
        <v>2449</v>
      </c>
      <c r="I2071" s="34" t="s">
        <v>3077</v>
      </c>
      <c r="J2071" s="35"/>
      <c r="K2071" s="36">
        <v>0.12</v>
      </c>
      <c r="L2071" s="48">
        <v>2.307692</v>
      </c>
      <c r="M2071" s="36"/>
      <c r="N2071" s="36"/>
      <c r="O2071" s="36"/>
      <c r="P2071" s="83">
        <f t="shared" si="234"/>
        <v>5.200000693</v>
      </c>
      <c r="Q2071" s="36" t="s">
        <v>96</v>
      </c>
      <c r="R2071" s="36" t="s">
        <v>1908</v>
      </c>
      <c r="S2071" s="36">
        <v>30.0</v>
      </c>
      <c r="T2071" s="36"/>
      <c r="U2071" s="36"/>
      <c r="V2071" s="36">
        <v>1.0</v>
      </c>
      <c r="W2071" s="36"/>
      <c r="X2071" s="38">
        <v>1.0</v>
      </c>
      <c r="Y2071" s="38" t="s">
        <v>3083</v>
      </c>
      <c r="Z2071" s="38" t="s">
        <v>3084</v>
      </c>
      <c r="AA2071" s="38" t="s">
        <v>197</v>
      </c>
      <c r="AB2071" s="38">
        <v>35.799</v>
      </c>
      <c r="AC2071" s="38">
        <v>-76.656</v>
      </c>
      <c r="AD2071" s="38" t="s">
        <v>87</v>
      </c>
      <c r="AE2071" s="38">
        <v>5.0</v>
      </c>
      <c r="AF2071" s="38"/>
      <c r="AG2071" s="38" t="s">
        <v>201</v>
      </c>
      <c r="AH2071" s="38"/>
      <c r="AI2071" s="50">
        <v>35.799</v>
      </c>
      <c r="AJ2071" s="50">
        <v>-76.656</v>
      </c>
      <c r="AK2071" s="41" t="s">
        <v>452</v>
      </c>
      <c r="AL2071" s="40" t="s">
        <v>452</v>
      </c>
      <c r="AM2071" s="49">
        <v>15.0</v>
      </c>
      <c r="AN2071" s="51">
        <v>15.0</v>
      </c>
      <c r="AO2071" s="42" t="s">
        <v>201</v>
      </c>
      <c r="AP2071" s="43" t="s">
        <v>201</v>
      </c>
      <c r="AQ2071" s="44" t="str">
        <f t="shared" si="230"/>
        <v>ENF</v>
      </c>
      <c r="AR2071" s="44">
        <f t="shared" si="199"/>
        <v>15</v>
      </c>
      <c r="AS2071" s="44" t="str">
        <f t="shared" si="233"/>
        <v>C</v>
      </c>
      <c r="AT2071" s="44" t="str">
        <f t="shared" si="202"/>
        <v>Cf</v>
      </c>
      <c r="AU2071" s="44" t="str">
        <f t="shared" si="203"/>
        <v>Cfa</v>
      </c>
      <c r="AV2071" s="38"/>
      <c r="AW2071" s="38"/>
      <c r="AX2071" s="38"/>
      <c r="AY2071" s="38"/>
      <c r="AZ2071" s="29">
        <v>30.0</v>
      </c>
      <c r="BA2071" s="29">
        <v>1.0</v>
      </c>
      <c r="BB2071" s="29">
        <v>1.0</v>
      </c>
      <c r="BC2071" s="29"/>
      <c r="BD2071" s="29"/>
      <c r="BE2071" s="29" t="s">
        <v>263</v>
      </c>
      <c r="BF2071" s="29" t="s">
        <v>3080</v>
      </c>
      <c r="BG2071" s="29" t="s">
        <v>91</v>
      </c>
      <c r="BH2071" s="29" t="s">
        <v>92</v>
      </c>
      <c r="BI2071" s="29" t="s">
        <v>3079</v>
      </c>
      <c r="BJ2071" s="29"/>
      <c r="BK2071" s="29" t="s">
        <v>180</v>
      </c>
      <c r="BL2071" s="29" t="s">
        <v>180</v>
      </c>
      <c r="BM2071" s="45"/>
      <c r="BN2071" s="45"/>
      <c r="BO2071" s="46"/>
      <c r="BP2071" s="2"/>
      <c r="BQ2071" s="3"/>
    </row>
    <row r="2072" ht="15.75" customHeight="1">
      <c r="A2072" s="34">
        <v>2207.0</v>
      </c>
      <c r="B2072" s="34">
        <v>103563.0</v>
      </c>
      <c r="C2072" s="34" t="s">
        <v>832</v>
      </c>
      <c r="D2072" s="34" t="s">
        <v>3074</v>
      </c>
      <c r="E2072" s="34" t="s">
        <v>3075</v>
      </c>
      <c r="F2072" s="34">
        <v>2017.0</v>
      </c>
      <c r="G2072" s="34" t="s">
        <v>3076</v>
      </c>
      <c r="H2072" s="34" t="s">
        <v>2449</v>
      </c>
      <c r="I2072" s="34" t="s">
        <v>3077</v>
      </c>
      <c r="J2072" s="35"/>
      <c r="K2072" s="36">
        <v>1.88</v>
      </c>
      <c r="L2072" s="48">
        <v>2.320988</v>
      </c>
      <c r="M2072" s="36"/>
      <c r="N2072" s="36"/>
      <c r="O2072" s="36"/>
      <c r="P2072" s="83">
        <f t="shared" si="234"/>
        <v>80.99998794</v>
      </c>
      <c r="Q2072" s="36" t="s">
        <v>96</v>
      </c>
      <c r="R2072" s="36" t="s">
        <v>1908</v>
      </c>
      <c r="S2072" s="36">
        <v>1000.0</v>
      </c>
      <c r="T2072" s="36"/>
      <c r="U2072" s="36"/>
      <c r="V2072" s="36">
        <v>1.0</v>
      </c>
      <c r="W2072" s="36"/>
      <c r="X2072" s="38">
        <v>1.0</v>
      </c>
      <c r="Y2072" s="38" t="s">
        <v>3083</v>
      </c>
      <c r="Z2072" s="38" t="s">
        <v>3084</v>
      </c>
      <c r="AA2072" s="38" t="s">
        <v>197</v>
      </c>
      <c r="AB2072" s="38">
        <v>35.799</v>
      </c>
      <c r="AC2072" s="38">
        <v>-76.656</v>
      </c>
      <c r="AD2072" s="38" t="s">
        <v>87</v>
      </c>
      <c r="AE2072" s="38">
        <v>5.0</v>
      </c>
      <c r="AF2072" s="38"/>
      <c r="AG2072" s="38" t="s">
        <v>201</v>
      </c>
      <c r="AH2072" s="38"/>
      <c r="AI2072" s="50">
        <v>35.799</v>
      </c>
      <c r="AJ2072" s="50">
        <v>-76.656</v>
      </c>
      <c r="AK2072" s="41" t="s">
        <v>452</v>
      </c>
      <c r="AL2072" s="40" t="s">
        <v>452</v>
      </c>
      <c r="AM2072" s="49">
        <v>15.0</v>
      </c>
      <c r="AN2072" s="51">
        <v>15.0</v>
      </c>
      <c r="AO2072" s="42" t="s">
        <v>201</v>
      </c>
      <c r="AP2072" s="43" t="s">
        <v>201</v>
      </c>
      <c r="AQ2072" s="44" t="str">
        <f t="shared" si="230"/>
        <v>ENF</v>
      </c>
      <c r="AR2072" s="44">
        <f t="shared" si="199"/>
        <v>15</v>
      </c>
      <c r="AS2072" s="44" t="str">
        <f t="shared" si="233"/>
        <v>C</v>
      </c>
      <c r="AT2072" s="44" t="str">
        <f t="shared" si="202"/>
        <v>Cf</v>
      </c>
      <c r="AU2072" s="44" t="str">
        <f t="shared" si="203"/>
        <v>Cfa</v>
      </c>
      <c r="AV2072" s="38"/>
      <c r="AW2072" s="38"/>
      <c r="AX2072" s="38"/>
      <c r="AY2072" s="38"/>
      <c r="AZ2072" s="29">
        <v>1000.0</v>
      </c>
      <c r="BA2072" s="29">
        <v>1.0</v>
      </c>
      <c r="BB2072" s="29">
        <v>1.0</v>
      </c>
      <c r="BC2072" s="29"/>
      <c r="BD2072" s="29"/>
      <c r="BE2072" s="29" t="s">
        <v>263</v>
      </c>
      <c r="BF2072" s="29" t="s">
        <v>3081</v>
      </c>
      <c r="BG2072" s="29" t="s">
        <v>91</v>
      </c>
      <c r="BH2072" s="29" t="s">
        <v>92</v>
      </c>
      <c r="BI2072" s="29" t="s">
        <v>3079</v>
      </c>
      <c r="BJ2072" s="29"/>
      <c r="BK2072" s="29" t="s">
        <v>148</v>
      </c>
      <c r="BL2072" s="29" t="s">
        <v>148</v>
      </c>
      <c r="BM2072" s="45"/>
      <c r="BN2072" s="45"/>
      <c r="BO2072" s="46"/>
      <c r="BP2072" s="2"/>
      <c r="BQ2072" s="3"/>
    </row>
    <row r="2073" ht="15.75" customHeight="1">
      <c r="A2073" s="34">
        <v>2208.0</v>
      </c>
      <c r="B2073" s="34">
        <v>103563.0</v>
      </c>
      <c r="C2073" s="34" t="s">
        <v>832</v>
      </c>
      <c r="D2073" s="34" t="s">
        <v>3074</v>
      </c>
      <c r="E2073" s="34" t="s">
        <v>3075</v>
      </c>
      <c r="F2073" s="34">
        <v>2017.0</v>
      </c>
      <c r="G2073" s="34" t="s">
        <v>3076</v>
      </c>
      <c r="H2073" s="34" t="s">
        <v>2449</v>
      </c>
      <c r="I2073" s="34" t="s">
        <v>3077</v>
      </c>
      <c r="J2073" s="35"/>
      <c r="K2073" s="36">
        <v>1.26</v>
      </c>
      <c r="L2073" s="48">
        <v>2.320442</v>
      </c>
      <c r="M2073" s="36"/>
      <c r="N2073" s="36"/>
      <c r="O2073" s="36"/>
      <c r="P2073" s="83">
        <f t="shared" si="234"/>
        <v>54.29999974</v>
      </c>
      <c r="Q2073" s="36" t="s">
        <v>96</v>
      </c>
      <c r="R2073" s="36" t="s">
        <v>1908</v>
      </c>
      <c r="S2073" s="36">
        <v>4000.0</v>
      </c>
      <c r="T2073" s="36"/>
      <c r="U2073" s="36"/>
      <c r="V2073" s="36">
        <v>1.0</v>
      </c>
      <c r="W2073" s="36"/>
      <c r="X2073" s="38">
        <v>1.0</v>
      </c>
      <c r="Y2073" s="38" t="s">
        <v>3083</v>
      </c>
      <c r="Z2073" s="38" t="s">
        <v>3084</v>
      </c>
      <c r="AA2073" s="38" t="s">
        <v>197</v>
      </c>
      <c r="AB2073" s="38">
        <v>35.799</v>
      </c>
      <c r="AC2073" s="38">
        <v>-76.656</v>
      </c>
      <c r="AD2073" s="38" t="s">
        <v>87</v>
      </c>
      <c r="AE2073" s="38">
        <v>5.0</v>
      </c>
      <c r="AF2073" s="38"/>
      <c r="AG2073" s="38" t="s">
        <v>201</v>
      </c>
      <c r="AH2073" s="38"/>
      <c r="AI2073" s="50">
        <v>35.799</v>
      </c>
      <c r="AJ2073" s="50">
        <v>-76.656</v>
      </c>
      <c r="AK2073" s="41" t="s">
        <v>452</v>
      </c>
      <c r="AL2073" s="40" t="s">
        <v>452</v>
      </c>
      <c r="AM2073" s="49">
        <v>15.0</v>
      </c>
      <c r="AN2073" s="51">
        <v>15.0</v>
      </c>
      <c r="AO2073" s="42" t="s">
        <v>201</v>
      </c>
      <c r="AP2073" s="43" t="s">
        <v>201</v>
      </c>
      <c r="AQ2073" s="44" t="str">
        <f t="shared" si="230"/>
        <v>ENF</v>
      </c>
      <c r="AR2073" s="44">
        <f t="shared" si="199"/>
        <v>15</v>
      </c>
      <c r="AS2073" s="44" t="str">
        <f t="shared" si="233"/>
        <v>C</v>
      </c>
      <c r="AT2073" s="44" t="str">
        <f t="shared" si="202"/>
        <v>Cf</v>
      </c>
      <c r="AU2073" s="44" t="str">
        <f t="shared" si="203"/>
        <v>Cfa</v>
      </c>
      <c r="AV2073" s="38"/>
      <c r="AW2073" s="38"/>
      <c r="AX2073" s="38"/>
      <c r="AY2073" s="38"/>
      <c r="AZ2073" s="29">
        <v>4000.0</v>
      </c>
      <c r="BA2073" s="29">
        <v>1.0</v>
      </c>
      <c r="BB2073" s="29">
        <v>1.0</v>
      </c>
      <c r="BC2073" s="29"/>
      <c r="BD2073" s="29"/>
      <c r="BE2073" s="29" t="s">
        <v>89</v>
      </c>
      <c r="BF2073" s="29" t="s">
        <v>95</v>
      </c>
      <c r="BG2073" s="29" t="s">
        <v>91</v>
      </c>
      <c r="BH2073" s="29" t="s">
        <v>92</v>
      </c>
      <c r="BI2073" s="29" t="s">
        <v>3079</v>
      </c>
      <c r="BJ2073" s="29"/>
      <c r="BK2073" s="29" t="s">
        <v>148</v>
      </c>
      <c r="BL2073" s="29" t="s">
        <v>3082</v>
      </c>
      <c r="BM2073" s="45"/>
      <c r="BN2073" s="45"/>
      <c r="BO2073" s="46"/>
      <c r="BP2073" s="2"/>
      <c r="BQ2073" s="3"/>
    </row>
  </sheetData>
  <autoFilter ref="$A$3:$BO$2073">
    <sortState ref="A3:BO2073">
      <sortCondition ref="AG3:AG2073"/>
      <sortCondition ref="T3:T2073"/>
      <sortCondition ref="AI3:AI2073"/>
      <sortCondition ref="J3:J2073"/>
      <sortCondition ref="A3:A2073"/>
      <sortCondition ref="P3:P2073"/>
      <sortCondition ref="B3:B2073"/>
    </sortState>
  </autoFilter>
  <mergeCells count="9">
    <mergeCell ref="AZ2:BL2"/>
    <mergeCell ref="BM2:BP2"/>
    <mergeCell ref="B2:I2"/>
    <mergeCell ref="K2:P2"/>
    <mergeCell ref="Q2:W2"/>
    <mergeCell ref="X2:AH2"/>
    <mergeCell ref="AI2:AP2"/>
    <mergeCell ref="AQ2:AU2"/>
    <mergeCell ref="AV2:AY2"/>
  </mergeCells>
  <hyperlinks>
    <hyperlink r:id="rId2" ref="I555"/>
    <hyperlink r:id="rId3" ref="I556"/>
    <hyperlink r:id="rId4" ref="I557"/>
    <hyperlink r:id="rId5" ref="I558"/>
    <hyperlink r:id="rId6" ref="I559"/>
    <hyperlink r:id="rId7" ref="I560"/>
    <hyperlink r:id="rId8" ref="I561"/>
    <hyperlink r:id="rId9" ref="I562"/>
    <hyperlink r:id="rId10" ref="I563"/>
    <hyperlink r:id="rId11" ref="I564"/>
    <hyperlink r:id="rId12" ref="I565"/>
    <hyperlink r:id="rId13" ref="I566"/>
    <hyperlink r:id="rId14" ref="I567"/>
    <hyperlink r:id="rId15" ref="I568"/>
    <hyperlink r:id="rId16" ref="I569"/>
    <hyperlink r:id="rId17" ref="I570"/>
    <hyperlink r:id="rId18" ref="BJ609"/>
    <hyperlink r:id="rId19" ref="BJ610"/>
    <hyperlink r:id="rId20" ref="BJ611"/>
    <hyperlink r:id="rId21" ref="BI845"/>
    <hyperlink r:id="rId22" ref="BI846"/>
    <hyperlink r:id="rId23" ref="BI847"/>
  </hyperlinks>
  <printOptions/>
  <pageMargins bottom="0.75" footer="0.0" header="0.0" left="0.7" right="0.7" top="0.75"/>
  <pageSetup orientation="landscape"/>
  <drawing r:id="rId24"/>
  <legacyDrawing r:id="rId25"/>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8.71"/>
    <col customWidth="1" min="2" max="2" width="19.29"/>
    <col customWidth="1" min="3" max="4" width="8.71"/>
    <col customWidth="1" min="5" max="5" width="31.57"/>
    <col customWidth="1" min="6" max="26" width="8.71"/>
  </cols>
  <sheetData>
    <row r="1">
      <c r="A1" s="119" t="s">
        <v>3085</v>
      </c>
      <c r="B1" s="119" t="s">
        <v>3086</v>
      </c>
    </row>
    <row r="2">
      <c r="A2" s="119" t="s">
        <v>664</v>
      </c>
      <c r="B2" s="119" t="s">
        <v>3087</v>
      </c>
    </row>
    <row r="3">
      <c r="A3" s="119" t="s">
        <v>86</v>
      </c>
      <c r="B3" s="119" t="s">
        <v>3088</v>
      </c>
    </row>
    <row r="4">
      <c r="A4" s="119" t="s">
        <v>291</v>
      </c>
      <c r="B4" s="119" t="s">
        <v>3089</v>
      </c>
    </row>
    <row r="5">
      <c r="A5" s="119" t="s">
        <v>362</v>
      </c>
      <c r="B5" s="119" t="s">
        <v>3090</v>
      </c>
    </row>
    <row r="6">
      <c r="A6" s="119" t="s">
        <v>370</v>
      </c>
      <c r="B6" s="119" t="s">
        <v>3091</v>
      </c>
    </row>
    <row r="7">
      <c r="A7" s="119" t="s">
        <v>636</v>
      </c>
      <c r="B7" s="119" t="s">
        <v>3092</v>
      </c>
    </row>
    <row r="8">
      <c r="A8" s="119" t="s">
        <v>336</v>
      </c>
      <c r="B8" s="119" t="s">
        <v>3093</v>
      </c>
    </row>
    <row r="9">
      <c r="A9" s="119" t="s">
        <v>197</v>
      </c>
      <c r="B9" s="119" t="s">
        <v>3094</v>
      </c>
    </row>
    <row r="10">
      <c r="A10" s="119" t="s">
        <v>288</v>
      </c>
      <c r="B10" s="119" t="s">
        <v>3095</v>
      </c>
    </row>
    <row r="11">
      <c r="A11" s="119" t="s">
        <v>452</v>
      </c>
      <c r="B11" s="119" t="s">
        <v>3096</v>
      </c>
    </row>
    <row r="12">
      <c r="A12" s="119" t="s">
        <v>292</v>
      </c>
      <c r="B12" s="119" t="s">
        <v>3097</v>
      </c>
    </row>
    <row r="13">
      <c r="A13" s="119" t="s">
        <v>313</v>
      </c>
      <c r="B13" s="119" t="s">
        <v>3098</v>
      </c>
    </row>
    <row r="14">
      <c r="A14" s="119" t="s">
        <v>603</v>
      </c>
      <c r="B14" s="119" t="s">
        <v>3099</v>
      </c>
    </row>
    <row r="15">
      <c r="A15" s="119" t="s">
        <v>505</v>
      </c>
      <c r="B15" s="119" t="s">
        <v>3100</v>
      </c>
    </row>
    <row r="16">
      <c r="A16" s="119" t="s">
        <v>1085</v>
      </c>
      <c r="B16" s="119" t="s">
        <v>3101</v>
      </c>
    </row>
    <row r="17">
      <c r="A17" s="119" t="s">
        <v>214</v>
      </c>
      <c r="B17" s="119" t="s">
        <v>3102</v>
      </c>
    </row>
    <row r="18">
      <c r="A18" s="119" t="s">
        <v>200</v>
      </c>
      <c r="B18" s="119" t="s">
        <v>3103</v>
      </c>
    </row>
    <row r="20">
      <c r="B20" s="119" t="s">
        <v>3104</v>
      </c>
      <c r="C20" s="119" t="s">
        <v>3105</v>
      </c>
    </row>
    <row r="21" ht="15.75" customHeight="1">
      <c r="C21" s="120" t="s">
        <v>3106</v>
      </c>
    </row>
    <row r="22" ht="15.75" customHeight="1">
      <c r="C22" s="121" t="s">
        <v>3107</v>
      </c>
    </row>
    <row r="23" ht="15.75" customHeight="1"/>
    <row r="24" ht="15.75" customHeight="1"/>
    <row r="25" ht="15.75" customHeight="1">
      <c r="E25" s="119" t="s">
        <v>3108</v>
      </c>
      <c r="F25" s="119">
        <v>1.0</v>
      </c>
      <c r="G25" s="119" t="s">
        <v>197</v>
      </c>
    </row>
    <row r="26" ht="15.75" customHeight="1">
      <c r="E26" s="119" t="s">
        <v>3109</v>
      </c>
      <c r="F26" s="119">
        <v>2.0</v>
      </c>
      <c r="G26" s="119" t="s">
        <v>336</v>
      </c>
    </row>
    <row r="27" ht="15.75" customHeight="1">
      <c r="E27" s="119" t="s">
        <v>3110</v>
      </c>
      <c r="F27" s="119">
        <v>3.0</v>
      </c>
      <c r="G27" s="119" t="s">
        <v>636</v>
      </c>
    </row>
    <row r="28" ht="15.75" customHeight="1">
      <c r="E28" s="119" t="s">
        <v>3111</v>
      </c>
      <c r="F28" s="119">
        <v>4.0</v>
      </c>
      <c r="G28" s="119" t="s">
        <v>370</v>
      </c>
    </row>
    <row r="29" ht="15.75" customHeight="1">
      <c r="E29" s="119" t="s">
        <v>3112</v>
      </c>
      <c r="F29" s="119">
        <v>5.0</v>
      </c>
      <c r="G29" s="119" t="s">
        <v>452</v>
      </c>
    </row>
    <row r="30" ht="15.75" customHeight="1">
      <c r="E30" s="119" t="s">
        <v>3113</v>
      </c>
      <c r="F30" s="119">
        <v>6.0</v>
      </c>
      <c r="G30" s="119" t="s">
        <v>291</v>
      </c>
    </row>
    <row r="31" ht="15.75" customHeight="1">
      <c r="E31" s="119" t="s">
        <v>3114</v>
      </c>
      <c r="F31" s="119">
        <v>7.0</v>
      </c>
      <c r="G31" s="119" t="s">
        <v>292</v>
      </c>
    </row>
    <row r="32" ht="15.75" customHeight="1">
      <c r="E32" s="119" t="s">
        <v>3115</v>
      </c>
      <c r="F32" s="119">
        <v>8.0</v>
      </c>
      <c r="G32" s="119" t="s">
        <v>200</v>
      </c>
    </row>
    <row r="33" ht="15.75" customHeight="1">
      <c r="E33" s="119" t="s">
        <v>3116</v>
      </c>
      <c r="F33" s="119">
        <v>9.0</v>
      </c>
      <c r="G33" s="119" t="s">
        <v>313</v>
      </c>
    </row>
    <row r="34" ht="15.75" customHeight="1">
      <c r="E34" s="119" t="s">
        <v>3117</v>
      </c>
      <c r="F34" s="119">
        <v>10.0</v>
      </c>
      <c r="G34" s="119" t="s">
        <v>288</v>
      </c>
    </row>
    <row r="35" ht="15.75" customHeight="1">
      <c r="E35" s="119" t="s">
        <v>3118</v>
      </c>
      <c r="F35" s="119">
        <v>11.0</v>
      </c>
      <c r="G35" s="119" t="s">
        <v>214</v>
      </c>
    </row>
    <row r="36" ht="15.75" customHeight="1">
      <c r="E36" s="119" t="s">
        <v>3119</v>
      </c>
      <c r="F36" s="119">
        <v>12.0</v>
      </c>
      <c r="G36" s="119" t="s">
        <v>86</v>
      </c>
    </row>
    <row r="37" ht="15.75" customHeight="1">
      <c r="E37" s="119" t="s">
        <v>3120</v>
      </c>
      <c r="F37" s="119">
        <v>13.0</v>
      </c>
      <c r="G37" s="119" t="s">
        <v>505</v>
      </c>
    </row>
    <row r="38" ht="15.75" customHeight="1">
      <c r="E38" s="119" t="s">
        <v>3121</v>
      </c>
      <c r="F38" s="119">
        <v>14.0</v>
      </c>
      <c r="G38" s="119" t="s">
        <v>362</v>
      </c>
    </row>
    <row r="39" ht="15.75" customHeight="1">
      <c r="E39" s="119" t="s">
        <v>3122</v>
      </c>
      <c r="F39" s="119">
        <v>15.0</v>
      </c>
      <c r="G39" s="119" t="s">
        <v>603</v>
      </c>
    </row>
    <row r="40" ht="15.75" customHeight="1">
      <c r="E40" s="119" t="s">
        <v>3123</v>
      </c>
      <c r="F40" s="119">
        <v>16.0</v>
      </c>
      <c r="G40" s="119" t="s">
        <v>664</v>
      </c>
    </row>
    <row r="41" ht="15.75" customHeight="1">
      <c r="E41" s="119" t="s">
        <v>3124</v>
      </c>
      <c r="F41" s="119">
        <v>17.0</v>
      </c>
      <c r="G41" s="119" t="s">
        <v>1085</v>
      </c>
    </row>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hyperlinks>
    <hyperlink r:id="rId1" ref="C21"/>
    <hyperlink r:id="rId2" ref="C22"/>
  </hyperlinks>
  <printOptions/>
  <pageMargins bottom="0.75" footer="0.0" header="0.0" left="0.7" right="0.7" top="0.75"/>
  <pageSetup paperSize="9" orientation="portrait"/>
  <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119" t="s">
        <v>784</v>
      </c>
      <c r="B1" s="122" t="s">
        <v>3125</v>
      </c>
    </row>
    <row r="2">
      <c r="A2" s="119" t="s">
        <v>1024</v>
      </c>
      <c r="B2" s="122" t="s">
        <v>3126</v>
      </c>
    </row>
    <row r="3">
      <c r="A3" s="119" t="s">
        <v>335</v>
      </c>
      <c r="B3" s="122" t="s">
        <v>3127</v>
      </c>
    </row>
    <row r="4">
      <c r="A4" s="119" t="s">
        <v>3128</v>
      </c>
      <c r="B4" s="122" t="s">
        <v>3129</v>
      </c>
    </row>
    <row r="5">
      <c r="A5" s="119" t="s">
        <v>361</v>
      </c>
      <c r="B5" s="122" t="s">
        <v>3130</v>
      </c>
    </row>
    <row r="6">
      <c r="A6" s="119" t="s">
        <v>1863</v>
      </c>
      <c r="B6" s="122" t="s">
        <v>3131</v>
      </c>
    </row>
    <row r="7">
      <c r="A7" s="119" t="s">
        <v>3132</v>
      </c>
      <c r="B7" s="122" t="s">
        <v>3133</v>
      </c>
    </row>
    <row r="8">
      <c r="A8" s="119" t="s">
        <v>1797</v>
      </c>
      <c r="B8" s="122" t="s">
        <v>3134</v>
      </c>
    </row>
    <row r="9">
      <c r="A9" s="119" t="s">
        <v>1949</v>
      </c>
      <c r="B9" s="122" t="s">
        <v>3135</v>
      </c>
    </row>
    <row r="10">
      <c r="A10" s="119" t="s">
        <v>1820</v>
      </c>
      <c r="B10" s="122" t="s">
        <v>3136</v>
      </c>
    </row>
    <row r="11">
      <c r="A11" s="119" t="s">
        <v>1942</v>
      </c>
      <c r="B11" s="122" t="s">
        <v>3137</v>
      </c>
    </row>
    <row r="12">
      <c r="A12" s="119" t="s">
        <v>3138</v>
      </c>
      <c r="B12" s="122" t="s">
        <v>3139</v>
      </c>
    </row>
    <row r="13">
      <c r="A13" s="119" t="s">
        <v>605</v>
      </c>
      <c r="B13" s="122" t="s">
        <v>1686</v>
      </c>
    </row>
    <row r="14">
      <c r="A14" s="119" t="s">
        <v>604</v>
      </c>
      <c r="B14" s="122" t="s">
        <v>3140</v>
      </c>
    </row>
  </sheetData>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123" t="s">
        <v>3141</v>
      </c>
      <c r="B1" s="123"/>
      <c r="C1" s="123"/>
      <c r="D1" s="123" t="s">
        <v>3142</v>
      </c>
      <c r="E1" s="123" t="s">
        <v>3143</v>
      </c>
      <c r="F1" s="123" t="s">
        <v>3144</v>
      </c>
      <c r="G1" s="123" t="s">
        <v>3145</v>
      </c>
      <c r="H1" s="123" t="s">
        <v>3146</v>
      </c>
      <c r="I1" s="123" t="s">
        <v>3147</v>
      </c>
      <c r="J1" s="123" t="s">
        <v>3148</v>
      </c>
      <c r="K1" s="123" t="s">
        <v>3149</v>
      </c>
      <c r="L1" s="123" t="s">
        <v>3150</v>
      </c>
      <c r="M1" s="123" t="s">
        <v>3151</v>
      </c>
      <c r="N1" s="123" t="s">
        <v>3152</v>
      </c>
      <c r="O1" s="123" t="s">
        <v>3153</v>
      </c>
      <c r="P1" s="123" t="s">
        <v>51</v>
      </c>
      <c r="Q1" s="123" t="s">
        <v>3154</v>
      </c>
      <c r="R1" s="123" t="s">
        <v>3155</v>
      </c>
      <c r="S1" s="123" t="s">
        <v>3156</v>
      </c>
      <c r="T1" s="123" t="s">
        <v>3157</v>
      </c>
      <c r="U1" s="123" t="s">
        <v>3158</v>
      </c>
      <c r="V1" s="123" t="s">
        <v>3159</v>
      </c>
      <c r="W1" s="123" t="s">
        <v>3160</v>
      </c>
      <c r="X1" s="123" t="s">
        <v>3161</v>
      </c>
    </row>
    <row r="2">
      <c r="A2" s="123" t="s">
        <v>1021</v>
      </c>
      <c r="B2" s="123" t="s">
        <v>3162</v>
      </c>
      <c r="C2" s="123"/>
      <c r="D2" s="123" t="s">
        <v>3163</v>
      </c>
      <c r="E2" s="123" t="s">
        <v>3164</v>
      </c>
      <c r="F2" s="123" t="s">
        <v>3165</v>
      </c>
      <c r="G2" s="123" t="s">
        <v>86</v>
      </c>
      <c r="H2" s="123" t="s">
        <v>3088</v>
      </c>
      <c r="I2" s="123" t="s">
        <v>376</v>
      </c>
      <c r="J2" s="123" t="s">
        <v>3166</v>
      </c>
      <c r="K2" s="124">
        <v>926.0</v>
      </c>
      <c r="L2" s="124">
        <v>14.0</v>
      </c>
      <c r="M2" s="123" t="s">
        <v>3167</v>
      </c>
      <c r="N2" s="124">
        <v>-37.7596</v>
      </c>
      <c r="O2" s="124">
        <v>-58.3024</v>
      </c>
      <c r="P2" s="124">
        <v>130.0</v>
      </c>
      <c r="Q2" s="123" t="s">
        <v>3168</v>
      </c>
      <c r="R2" s="125" t="s">
        <v>3169</v>
      </c>
      <c r="S2" s="123"/>
      <c r="T2" s="125" t="s">
        <v>3170</v>
      </c>
      <c r="U2" s="124">
        <v>2012.0</v>
      </c>
      <c r="V2" s="124">
        <v>2013.0</v>
      </c>
      <c r="W2" s="123" t="s">
        <v>3171</v>
      </c>
      <c r="X2" s="123"/>
    </row>
    <row r="3">
      <c r="A3" s="123" t="s">
        <v>1021</v>
      </c>
      <c r="B3" s="123" t="s">
        <v>3172</v>
      </c>
      <c r="C3" s="123"/>
      <c r="D3" s="123" t="s">
        <v>3173</v>
      </c>
      <c r="E3" s="123" t="s">
        <v>3164</v>
      </c>
      <c r="F3" s="123" t="s">
        <v>3165</v>
      </c>
      <c r="G3" s="123" t="s">
        <v>86</v>
      </c>
      <c r="H3" s="123" t="s">
        <v>3088</v>
      </c>
      <c r="I3" s="123" t="s">
        <v>201</v>
      </c>
      <c r="J3" s="123" t="s">
        <v>3174</v>
      </c>
      <c r="K3" s="124">
        <v>1060.0</v>
      </c>
      <c r="L3" s="124">
        <v>16.1</v>
      </c>
      <c r="M3" s="123" t="s">
        <v>3167</v>
      </c>
      <c r="N3" s="124">
        <v>-35.621</v>
      </c>
      <c r="O3" s="124">
        <v>-61.3181</v>
      </c>
      <c r="P3" s="124">
        <v>83.0</v>
      </c>
      <c r="Q3" s="123" t="s">
        <v>3175</v>
      </c>
      <c r="R3" s="125" t="s">
        <v>3176</v>
      </c>
      <c r="S3" s="123"/>
      <c r="T3" s="125" t="s">
        <v>3170</v>
      </c>
      <c r="U3" s="124">
        <v>2012.0</v>
      </c>
      <c r="V3" s="123"/>
      <c r="W3" s="123" t="s">
        <v>3177</v>
      </c>
      <c r="X3" s="123"/>
    </row>
    <row r="4">
      <c r="A4" s="123" t="s">
        <v>1021</v>
      </c>
      <c r="B4" s="123" t="s">
        <v>3178</v>
      </c>
      <c r="C4" s="123"/>
      <c r="D4" s="123" t="s">
        <v>3179</v>
      </c>
      <c r="E4" s="123" t="s">
        <v>3164</v>
      </c>
      <c r="F4" s="123" t="s">
        <v>3165</v>
      </c>
      <c r="G4" s="123" t="s">
        <v>288</v>
      </c>
      <c r="H4" s="123" t="s">
        <v>3095</v>
      </c>
      <c r="I4" s="123" t="s">
        <v>201</v>
      </c>
      <c r="J4" s="123" t="s">
        <v>3174</v>
      </c>
      <c r="K4" s="124">
        <v>1060.0</v>
      </c>
      <c r="L4" s="124">
        <v>16.1</v>
      </c>
      <c r="M4" s="123" t="s">
        <v>3167</v>
      </c>
      <c r="N4" s="124">
        <v>-35.9244</v>
      </c>
      <c r="O4" s="124">
        <v>-61.1855</v>
      </c>
      <c r="P4" s="124">
        <v>84.0</v>
      </c>
      <c r="Q4" s="123" t="s">
        <v>3180</v>
      </c>
      <c r="R4" s="125" t="s">
        <v>3181</v>
      </c>
      <c r="S4" s="123"/>
      <c r="T4" s="125" t="s">
        <v>3170</v>
      </c>
      <c r="U4" s="124">
        <v>2018.0</v>
      </c>
      <c r="V4" s="123"/>
      <c r="W4" s="123" t="s">
        <v>3177</v>
      </c>
      <c r="X4" s="123"/>
    </row>
    <row r="5">
      <c r="A5" s="123" t="s">
        <v>1021</v>
      </c>
      <c r="B5" s="123" t="s">
        <v>3182</v>
      </c>
      <c r="C5" s="123"/>
      <c r="D5" s="123" t="s">
        <v>3183</v>
      </c>
      <c r="E5" s="123" t="s">
        <v>3164</v>
      </c>
      <c r="F5" s="123" t="s">
        <v>3165</v>
      </c>
      <c r="G5" s="123" t="s">
        <v>214</v>
      </c>
      <c r="H5" s="123" t="s">
        <v>3184</v>
      </c>
      <c r="I5" s="123" t="s">
        <v>376</v>
      </c>
      <c r="J5" s="123" t="s">
        <v>3166</v>
      </c>
      <c r="K5" s="124">
        <v>926.0</v>
      </c>
      <c r="L5" s="124">
        <v>14.0</v>
      </c>
      <c r="M5" s="123" t="s">
        <v>3167</v>
      </c>
      <c r="N5" s="124">
        <v>-37.7028</v>
      </c>
      <c r="O5" s="124">
        <v>-57.4192</v>
      </c>
      <c r="P5" s="124">
        <v>1.0</v>
      </c>
      <c r="Q5" s="124">
        <v>2018.0</v>
      </c>
      <c r="R5" s="125" t="s">
        <v>3185</v>
      </c>
      <c r="S5" s="123"/>
      <c r="T5" s="125" t="s">
        <v>3170</v>
      </c>
      <c r="U5" s="124">
        <v>2018.0</v>
      </c>
      <c r="V5" s="124">
        <v>2018.0</v>
      </c>
      <c r="W5" s="123" t="s">
        <v>3186</v>
      </c>
      <c r="X5" s="123"/>
    </row>
    <row r="6">
      <c r="A6" s="123" t="s">
        <v>1021</v>
      </c>
      <c r="B6" s="123" t="s">
        <v>3187</v>
      </c>
      <c r="C6" s="123"/>
      <c r="D6" s="123" t="s">
        <v>3188</v>
      </c>
      <c r="E6" s="123" t="s">
        <v>3164</v>
      </c>
      <c r="F6" s="123" t="s">
        <v>3165</v>
      </c>
      <c r="G6" s="123" t="s">
        <v>214</v>
      </c>
      <c r="H6" s="123" t="s">
        <v>3184</v>
      </c>
      <c r="I6" s="123" t="s">
        <v>376</v>
      </c>
      <c r="J6" s="123" t="s">
        <v>3166</v>
      </c>
      <c r="K6" s="124">
        <v>926.0</v>
      </c>
      <c r="L6" s="124">
        <v>14.0</v>
      </c>
      <c r="M6" s="123" t="s">
        <v>3167</v>
      </c>
      <c r="N6" s="124">
        <v>-37.5508</v>
      </c>
      <c r="O6" s="124">
        <v>-57.2972</v>
      </c>
      <c r="P6" s="124">
        <v>1.0</v>
      </c>
      <c r="Q6" s="123" t="s">
        <v>3189</v>
      </c>
      <c r="R6" s="125" t="s">
        <v>3190</v>
      </c>
      <c r="S6" s="123"/>
      <c r="T6" s="125" t="s">
        <v>3170</v>
      </c>
      <c r="U6" s="124">
        <v>2014.0</v>
      </c>
      <c r="V6" s="124">
        <v>2015.0</v>
      </c>
      <c r="W6" s="123" t="s">
        <v>3191</v>
      </c>
      <c r="X6" s="123"/>
    </row>
    <row r="7">
      <c r="A7" s="123" t="s">
        <v>1021</v>
      </c>
      <c r="B7" s="123" t="s">
        <v>1899</v>
      </c>
      <c r="C7" s="123"/>
      <c r="D7" s="123" t="s">
        <v>3192</v>
      </c>
      <c r="E7" s="123" t="s">
        <v>3164</v>
      </c>
      <c r="F7" s="123" t="s">
        <v>3164</v>
      </c>
      <c r="G7" s="123" t="s">
        <v>214</v>
      </c>
      <c r="H7" s="123" t="s">
        <v>3184</v>
      </c>
      <c r="I7" s="123"/>
      <c r="J7" s="123"/>
      <c r="K7" s="123"/>
      <c r="L7" s="123"/>
      <c r="M7" s="123" t="s">
        <v>3167</v>
      </c>
      <c r="N7" s="124">
        <v>-54.9733</v>
      </c>
      <c r="O7" s="124">
        <v>-66.7335</v>
      </c>
      <c r="P7" s="124">
        <v>40.0</v>
      </c>
      <c r="Q7" s="123" t="s">
        <v>3193</v>
      </c>
      <c r="R7" s="125" t="s">
        <v>3194</v>
      </c>
      <c r="S7" s="123" t="s">
        <v>3193</v>
      </c>
      <c r="T7" s="125" t="s">
        <v>3195</v>
      </c>
      <c r="U7" s="124">
        <v>2016.0</v>
      </c>
      <c r="V7" s="124">
        <v>2018.0</v>
      </c>
      <c r="W7" s="123" t="s">
        <v>3196</v>
      </c>
      <c r="X7" s="123"/>
    </row>
    <row r="8">
      <c r="A8" s="123" t="s">
        <v>1021</v>
      </c>
      <c r="B8" s="123" t="s">
        <v>1901</v>
      </c>
      <c r="C8" s="123"/>
      <c r="D8" s="123" t="s">
        <v>3197</v>
      </c>
      <c r="E8" s="123" t="s">
        <v>3164</v>
      </c>
      <c r="F8" s="123" t="s">
        <v>3165</v>
      </c>
      <c r="G8" s="123" t="s">
        <v>214</v>
      </c>
      <c r="H8" s="123" t="s">
        <v>3184</v>
      </c>
      <c r="I8" s="123"/>
      <c r="J8" s="123"/>
      <c r="K8" s="124">
        <v>530.0</v>
      </c>
      <c r="L8" s="124">
        <v>5.5</v>
      </c>
      <c r="M8" s="123" t="s">
        <v>3167</v>
      </c>
      <c r="N8" s="124">
        <v>-54.8269</v>
      </c>
      <c r="O8" s="124">
        <v>-68.4549</v>
      </c>
      <c r="P8" s="124">
        <v>60.0</v>
      </c>
      <c r="Q8" s="123" t="s">
        <v>3193</v>
      </c>
      <c r="R8" s="125" t="s">
        <v>3198</v>
      </c>
      <c r="S8" s="123"/>
      <c r="T8" s="125" t="s">
        <v>3170</v>
      </c>
      <c r="U8" s="124">
        <v>2016.0</v>
      </c>
      <c r="V8" s="124">
        <v>2018.0</v>
      </c>
      <c r="W8" s="123" t="s">
        <v>3199</v>
      </c>
      <c r="X8" s="123"/>
    </row>
    <row r="9">
      <c r="A9" s="123" t="s">
        <v>334</v>
      </c>
      <c r="B9" s="123" t="s">
        <v>3200</v>
      </c>
      <c r="C9" s="123"/>
      <c r="D9" s="123" t="s">
        <v>3201</v>
      </c>
      <c r="E9" s="123" t="s">
        <v>3165</v>
      </c>
      <c r="F9" s="123" t="s">
        <v>3165</v>
      </c>
      <c r="G9" s="123" t="s">
        <v>336</v>
      </c>
      <c r="H9" s="123" t="s">
        <v>3093</v>
      </c>
      <c r="I9" s="123" t="s">
        <v>784</v>
      </c>
      <c r="J9" s="123" t="s">
        <v>3202</v>
      </c>
      <c r="K9" s="124">
        <v>2500.0</v>
      </c>
      <c r="L9" s="124">
        <v>26.0</v>
      </c>
      <c r="M9" s="123" t="s">
        <v>3203</v>
      </c>
      <c r="N9" s="124">
        <v>-1.7185</v>
      </c>
      <c r="O9" s="124">
        <v>-51.4583</v>
      </c>
      <c r="P9" s="124">
        <v>48.4</v>
      </c>
      <c r="Q9" s="123"/>
      <c r="R9" s="125" t="s">
        <v>3170</v>
      </c>
      <c r="S9" s="123"/>
      <c r="T9" s="125" t="s">
        <v>3170</v>
      </c>
      <c r="U9" s="124">
        <v>2005.0</v>
      </c>
      <c r="V9" s="123"/>
      <c r="W9" s="123"/>
      <c r="X9" s="123"/>
    </row>
    <row r="10">
      <c r="A10" s="123" t="s">
        <v>334</v>
      </c>
      <c r="B10" s="123" t="s">
        <v>3204</v>
      </c>
      <c r="C10" s="123"/>
      <c r="D10" s="123" t="s">
        <v>3205</v>
      </c>
      <c r="E10" s="123" t="s">
        <v>3165</v>
      </c>
      <c r="F10" s="123" t="s">
        <v>3165</v>
      </c>
      <c r="G10" s="123" t="s">
        <v>86</v>
      </c>
      <c r="H10" s="123" t="s">
        <v>3088</v>
      </c>
      <c r="I10" s="123" t="s">
        <v>335</v>
      </c>
      <c r="J10" s="123" t="s">
        <v>3206</v>
      </c>
      <c r="K10" s="124">
        <v>1566.0</v>
      </c>
      <c r="L10" s="124">
        <v>26.8</v>
      </c>
      <c r="M10" s="123" t="s">
        <v>3203</v>
      </c>
      <c r="N10" s="124">
        <v>-13.2875</v>
      </c>
      <c r="O10" s="124">
        <v>-56.0882</v>
      </c>
      <c r="P10" s="124">
        <v>427.0</v>
      </c>
      <c r="Q10" s="123"/>
      <c r="R10" s="125" t="s">
        <v>3170</v>
      </c>
      <c r="S10" s="123"/>
      <c r="T10" s="125" t="s">
        <v>3170</v>
      </c>
      <c r="U10" s="124">
        <v>2015.0</v>
      </c>
      <c r="V10" s="124">
        <v>2019.0</v>
      </c>
      <c r="W10" s="123"/>
      <c r="X10" s="123"/>
    </row>
    <row r="11">
      <c r="A11" s="123" t="s">
        <v>334</v>
      </c>
      <c r="B11" s="123" t="s">
        <v>1866</v>
      </c>
      <c r="C11" s="123"/>
      <c r="D11" s="123" t="s">
        <v>3207</v>
      </c>
      <c r="E11" s="123" t="s">
        <v>3164</v>
      </c>
      <c r="F11" s="123" t="s">
        <v>3164</v>
      </c>
      <c r="G11" s="123" t="s">
        <v>636</v>
      </c>
      <c r="H11" s="123" t="s">
        <v>3092</v>
      </c>
      <c r="I11" s="123" t="s">
        <v>2407</v>
      </c>
      <c r="J11" s="123" t="s">
        <v>3208</v>
      </c>
      <c r="K11" s="124">
        <v>642.0</v>
      </c>
      <c r="L11" s="124">
        <v>25.2</v>
      </c>
      <c r="M11" s="123" t="s">
        <v>3203</v>
      </c>
      <c r="N11" s="124">
        <v>-7.9682</v>
      </c>
      <c r="O11" s="124">
        <v>-38.3842</v>
      </c>
      <c r="P11" s="124">
        <v>468.0</v>
      </c>
      <c r="Q11" s="123" t="s">
        <v>3189</v>
      </c>
      <c r="R11" s="125" t="s">
        <v>3209</v>
      </c>
      <c r="S11" s="123" t="s">
        <v>3189</v>
      </c>
      <c r="T11" s="125" t="s">
        <v>3210</v>
      </c>
      <c r="U11" s="124">
        <v>2014.0</v>
      </c>
      <c r="V11" s="123"/>
      <c r="W11" s="123" t="s">
        <v>3211</v>
      </c>
      <c r="X11" s="123"/>
    </row>
    <row r="12">
      <c r="A12" s="123" t="s">
        <v>334</v>
      </c>
      <c r="B12" s="123" t="s">
        <v>3212</v>
      </c>
      <c r="C12" s="123"/>
      <c r="D12" s="123" t="s">
        <v>3213</v>
      </c>
      <c r="E12" s="123" t="s">
        <v>3165</v>
      </c>
      <c r="F12" s="123" t="s">
        <v>3165</v>
      </c>
      <c r="G12" s="123" t="s">
        <v>214</v>
      </c>
      <c r="H12" s="123" t="s">
        <v>3184</v>
      </c>
      <c r="I12" s="123" t="s">
        <v>1024</v>
      </c>
      <c r="J12" s="123" t="s">
        <v>3126</v>
      </c>
      <c r="K12" s="124">
        <v>457.2</v>
      </c>
      <c r="L12" s="124">
        <v>26.4</v>
      </c>
      <c r="M12" s="123" t="s">
        <v>3203</v>
      </c>
      <c r="N12" s="124">
        <v>-0.6661</v>
      </c>
      <c r="O12" s="124">
        <v>-47.2833</v>
      </c>
      <c r="P12" s="124">
        <v>21.0</v>
      </c>
      <c r="Q12" s="123"/>
      <c r="R12" s="125" t="s">
        <v>3170</v>
      </c>
      <c r="S12" s="123"/>
      <c r="T12" s="125" t="s">
        <v>3170</v>
      </c>
      <c r="U12" s="124">
        <v>2015.0</v>
      </c>
      <c r="V12" s="123"/>
      <c r="W12" s="123"/>
      <c r="X12" s="123"/>
    </row>
    <row r="13">
      <c r="A13" s="123" t="s">
        <v>334</v>
      </c>
      <c r="B13" s="123" t="s">
        <v>3214</v>
      </c>
      <c r="C13" s="123"/>
      <c r="D13" s="123" t="s">
        <v>3215</v>
      </c>
      <c r="E13" s="123" t="s">
        <v>3165</v>
      </c>
      <c r="F13" s="123" t="s">
        <v>3165</v>
      </c>
      <c r="G13" s="123" t="s">
        <v>200</v>
      </c>
      <c r="H13" s="123" t="s">
        <v>3103</v>
      </c>
      <c r="I13" s="123" t="s">
        <v>592</v>
      </c>
      <c r="J13" s="123" t="s">
        <v>3216</v>
      </c>
      <c r="K13" s="124">
        <v>1486.0</v>
      </c>
      <c r="L13" s="124">
        <v>21.6</v>
      </c>
      <c r="M13" s="123" t="s">
        <v>3203</v>
      </c>
      <c r="N13" s="124">
        <v>-22.171</v>
      </c>
      <c r="O13" s="124">
        <v>-47.871</v>
      </c>
      <c r="P13" s="124">
        <v>763.0</v>
      </c>
      <c r="Q13" s="123"/>
      <c r="R13" s="125" t="s">
        <v>3170</v>
      </c>
      <c r="S13" s="123"/>
      <c r="T13" s="125" t="s">
        <v>3170</v>
      </c>
      <c r="U13" s="124">
        <v>2018.0</v>
      </c>
      <c r="V13" s="124">
        <v>2021.0</v>
      </c>
      <c r="W13" s="123"/>
      <c r="X13" s="123"/>
    </row>
    <row r="14">
      <c r="A14" s="123" t="s">
        <v>334</v>
      </c>
      <c r="B14" s="123" t="s">
        <v>3217</v>
      </c>
      <c r="C14" s="123"/>
      <c r="D14" s="123" t="s">
        <v>3218</v>
      </c>
      <c r="E14" s="123" t="s">
        <v>3165</v>
      </c>
      <c r="F14" s="123" t="s">
        <v>3165</v>
      </c>
      <c r="G14" s="123" t="s">
        <v>288</v>
      </c>
      <c r="H14" s="123" t="s">
        <v>3095</v>
      </c>
      <c r="I14" s="123" t="s">
        <v>784</v>
      </c>
      <c r="J14" s="123" t="s">
        <v>3202</v>
      </c>
      <c r="K14" s="123"/>
      <c r="L14" s="123"/>
      <c r="M14" s="123" t="s">
        <v>3203</v>
      </c>
      <c r="N14" s="124">
        <v>-10.7618</v>
      </c>
      <c r="O14" s="124">
        <v>-62.3572</v>
      </c>
      <c r="P14" s="124">
        <v>260.0</v>
      </c>
      <c r="Q14" s="123"/>
      <c r="R14" s="125" t="s">
        <v>3170</v>
      </c>
      <c r="S14" s="123"/>
      <c r="T14" s="125" t="s">
        <v>3170</v>
      </c>
      <c r="U14" s="124">
        <v>1999.0</v>
      </c>
      <c r="V14" s="124">
        <v>2010.0</v>
      </c>
      <c r="W14" s="123"/>
      <c r="X14" s="123"/>
    </row>
    <row r="15">
      <c r="A15" s="123" t="s">
        <v>334</v>
      </c>
      <c r="B15" s="123" t="s">
        <v>3219</v>
      </c>
      <c r="C15" s="123"/>
      <c r="D15" s="123" t="s">
        <v>3220</v>
      </c>
      <c r="E15" s="123" t="s">
        <v>3165</v>
      </c>
      <c r="F15" s="123" t="s">
        <v>3165</v>
      </c>
      <c r="G15" s="123" t="s">
        <v>336</v>
      </c>
      <c r="H15" s="123" t="s">
        <v>3093</v>
      </c>
      <c r="I15" s="123" t="s">
        <v>1024</v>
      </c>
      <c r="J15" s="123" t="s">
        <v>3126</v>
      </c>
      <c r="K15" s="123"/>
      <c r="L15" s="124">
        <v>21.0</v>
      </c>
      <c r="M15" s="123" t="s">
        <v>3203</v>
      </c>
      <c r="N15" s="124">
        <v>-10.1866</v>
      </c>
      <c r="O15" s="124">
        <v>-61.8725</v>
      </c>
      <c r="P15" s="124">
        <v>160.0</v>
      </c>
      <c r="Q15" s="123"/>
      <c r="R15" s="125" t="s">
        <v>3170</v>
      </c>
      <c r="S15" s="123"/>
      <c r="T15" s="125" t="s">
        <v>3170</v>
      </c>
      <c r="U15" s="124">
        <v>1999.0</v>
      </c>
      <c r="V15" s="123"/>
      <c r="W15" s="123"/>
      <c r="X15" s="123"/>
    </row>
    <row r="16">
      <c r="A16" s="123" t="s">
        <v>334</v>
      </c>
      <c r="B16" s="123" t="s">
        <v>3221</v>
      </c>
      <c r="C16" s="123"/>
      <c r="D16" s="123" t="s">
        <v>3222</v>
      </c>
      <c r="E16" s="123" t="s">
        <v>3165</v>
      </c>
      <c r="F16" s="123" t="s">
        <v>3165</v>
      </c>
      <c r="G16" s="123" t="s">
        <v>336</v>
      </c>
      <c r="H16" s="123" t="s">
        <v>3093</v>
      </c>
      <c r="I16" s="123" t="s">
        <v>784</v>
      </c>
      <c r="J16" s="123" t="s">
        <v>3202</v>
      </c>
      <c r="K16" s="124">
        <v>2252.0</v>
      </c>
      <c r="L16" s="124">
        <v>26.68</v>
      </c>
      <c r="M16" s="123" t="s">
        <v>3203</v>
      </c>
      <c r="N16" s="124">
        <v>-2.6091</v>
      </c>
      <c r="O16" s="124">
        <v>-60.2093</v>
      </c>
      <c r="P16" s="124">
        <v>130.0</v>
      </c>
      <c r="Q16" s="123"/>
      <c r="R16" s="125" t="s">
        <v>3170</v>
      </c>
      <c r="S16" s="123"/>
      <c r="T16" s="125" t="s">
        <v>3170</v>
      </c>
      <c r="U16" s="124">
        <v>1999.0</v>
      </c>
      <c r="V16" s="123"/>
      <c r="W16" s="123"/>
      <c r="X16" s="123"/>
    </row>
    <row r="17">
      <c r="A17" s="123" t="s">
        <v>334</v>
      </c>
      <c r="B17" s="123" t="s">
        <v>3223</v>
      </c>
      <c r="C17" s="123"/>
      <c r="D17" s="123" t="s">
        <v>3224</v>
      </c>
      <c r="E17" s="123" t="s">
        <v>3165</v>
      </c>
      <c r="F17" s="123" t="s">
        <v>3165</v>
      </c>
      <c r="G17" s="123" t="s">
        <v>362</v>
      </c>
      <c r="H17" s="123" t="s">
        <v>3225</v>
      </c>
      <c r="I17" s="123" t="s">
        <v>784</v>
      </c>
      <c r="J17" s="123" t="s">
        <v>3202</v>
      </c>
      <c r="K17" s="124">
        <v>2792.0</v>
      </c>
      <c r="L17" s="124">
        <v>29.0</v>
      </c>
      <c r="M17" s="123" t="s">
        <v>3203</v>
      </c>
      <c r="N17" s="124">
        <v>-2.3907</v>
      </c>
      <c r="O17" s="124">
        <v>-59.8835</v>
      </c>
      <c r="P17" s="124">
        <v>147.0</v>
      </c>
      <c r="Q17" s="123"/>
      <c r="R17" s="125" t="s">
        <v>3170</v>
      </c>
      <c r="S17" s="123"/>
      <c r="T17" s="125" t="s">
        <v>3170</v>
      </c>
      <c r="U17" s="124">
        <v>2008.0</v>
      </c>
      <c r="V17" s="124">
        <v>2018.0</v>
      </c>
      <c r="W17" s="123"/>
      <c r="X17" s="123"/>
    </row>
    <row r="18">
      <c r="A18" s="123" t="s">
        <v>334</v>
      </c>
      <c r="B18" s="123" t="s">
        <v>3226</v>
      </c>
      <c r="C18" s="123"/>
      <c r="D18" s="123" t="s">
        <v>3227</v>
      </c>
      <c r="E18" s="123" t="s">
        <v>3165</v>
      </c>
      <c r="F18" s="123" t="s">
        <v>3165</v>
      </c>
      <c r="G18" s="123" t="s">
        <v>362</v>
      </c>
      <c r="H18" s="123" t="s">
        <v>3225</v>
      </c>
      <c r="I18" s="123" t="s">
        <v>784</v>
      </c>
      <c r="J18" s="123" t="s">
        <v>3202</v>
      </c>
      <c r="K18" s="124">
        <v>2500.0</v>
      </c>
      <c r="L18" s="124">
        <v>25.5</v>
      </c>
      <c r="M18" s="123" t="s">
        <v>3203</v>
      </c>
      <c r="N18" s="124">
        <v>-1.9787</v>
      </c>
      <c r="O18" s="124">
        <v>-48.6147</v>
      </c>
      <c r="P18" s="124">
        <v>26.0</v>
      </c>
      <c r="Q18" s="123"/>
      <c r="R18" s="125" t="s">
        <v>3170</v>
      </c>
      <c r="S18" s="123"/>
      <c r="T18" s="125" t="s">
        <v>3170</v>
      </c>
      <c r="U18" s="124">
        <v>2015.0</v>
      </c>
      <c r="V18" s="124">
        <v>2022.0</v>
      </c>
      <c r="W18" s="123"/>
      <c r="X18" s="123"/>
    </row>
    <row r="19">
      <c r="A19" s="123" t="s">
        <v>334</v>
      </c>
      <c r="B19" s="123" t="s">
        <v>3228</v>
      </c>
      <c r="C19" s="123"/>
      <c r="D19" s="123" t="s">
        <v>3229</v>
      </c>
      <c r="E19" s="123" t="s">
        <v>3164</v>
      </c>
      <c r="F19" s="123" t="s">
        <v>3164</v>
      </c>
      <c r="G19" s="123" t="s">
        <v>200</v>
      </c>
      <c r="H19" s="123" t="s">
        <v>3103</v>
      </c>
      <c r="I19" s="123" t="s">
        <v>335</v>
      </c>
      <c r="J19" s="123" t="s">
        <v>3206</v>
      </c>
      <c r="K19" s="124">
        <v>1486.0</v>
      </c>
      <c r="L19" s="124">
        <v>24.9</v>
      </c>
      <c r="M19" s="123" t="s">
        <v>3203</v>
      </c>
      <c r="N19" s="124">
        <v>-16.498</v>
      </c>
      <c r="O19" s="124">
        <v>-56.412</v>
      </c>
      <c r="P19" s="124">
        <v>120.0</v>
      </c>
      <c r="Q19" s="123" t="s">
        <v>3230</v>
      </c>
      <c r="R19" s="125" t="s">
        <v>3231</v>
      </c>
      <c r="S19" s="123" t="s">
        <v>3230</v>
      </c>
      <c r="T19" s="125" t="s">
        <v>3232</v>
      </c>
      <c r="U19" s="124">
        <v>2013.0</v>
      </c>
      <c r="V19" s="123"/>
      <c r="W19" s="123" t="s">
        <v>3233</v>
      </c>
      <c r="X19" s="123"/>
    </row>
    <row r="20">
      <c r="A20" s="123" t="s">
        <v>334</v>
      </c>
      <c r="B20" s="123" t="s">
        <v>1030</v>
      </c>
      <c r="C20" s="123"/>
      <c r="D20" s="123" t="s">
        <v>3234</v>
      </c>
      <c r="E20" s="123" t="s">
        <v>3165</v>
      </c>
      <c r="F20" s="123" t="s">
        <v>3165</v>
      </c>
      <c r="G20" s="123" t="s">
        <v>86</v>
      </c>
      <c r="H20" s="123" t="s">
        <v>3088</v>
      </c>
      <c r="I20" s="123" t="s">
        <v>201</v>
      </c>
      <c r="J20" s="123" t="s">
        <v>3174</v>
      </c>
      <c r="K20" s="124">
        <v>1500.0</v>
      </c>
      <c r="L20" s="124">
        <v>21.0</v>
      </c>
      <c r="M20" s="123" t="s">
        <v>3203</v>
      </c>
      <c r="N20" s="124">
        <v>-29.744</v>
      </c>
      <c r="O20" s="124">
        <v>-53.1503</v>
      </c>
      <c r="P20" s="123"/>
      <c r="Q20" s="123"/>
      <c r="R20" s="125" t="s">
        <v>3170</v>
      </c>
      <c r="S20" s="123"/>
      <c r="T20" s="125" t="s">
        <v>3170</v>
      </c>
      <c r="U20" s="124">
        <v>2003.0</v>
      </c>
      <c r="V20" s="124">
        <v>2004.0</v>
      </c>
      <c r="W20" s="123"/>
      <c r="X20" s="123"/>
    </row>
    <row r="21">
      <c r="A21" s="123" t="s">
        <v>334</v>
      </c>
      <c r="B21" s="123" t="s">
        <v>3235</v>
      </c>
      <c r="C21" s="123"/>
      <c r="D21" s="123" t="s">
        <v>3236</v>
      </c>
      <c r="E21" s="123" t="s">
        <v>3164</v>
      </c>
      <c r="F21" s="123" t="s">
        <v>3165</v>
      </c>
      <c r="G21" s="123" t="s">
        <v>336</v>
      </c>
      <c r="H21" s="123" t="s">
        <v>3093</v>
      </c>
      <c r="I21" s="123" t="s">
        <v>1024</v>
      </c>
      <c r="J21" s="123" t="s">
        <v>3126</v>
      </c>
      <c r="K21" s="124">
        <v>2074.79</v>
      </c>
      <c r="L21" s="124">
        <v>26.13</v>
      </c>
      <c r="M21" s="123" t="s">
        <v>3203</v>
      </c>
      <c r="N21" s="124">
        <v>-2.8567</v>
      </c>
      <c r="O21" s="124">
        <v>-54.9589</v>
      </c>
      <c r="P21" s="124">
        <v>88.0</v>
      </c>
      <c r="Q21" s="123" t="s">
        <v>3237</v>
      </c>
      <c r="R21" s="125" t="s">
        <v>3238</v>
      </c>
      <c r="S21" s="123"/>
      <c r="T21" s="125" t="s">
        <v>3170</v>
      </c>
      <c r="U21" s="124">
        <v>2002.0</v>
      </c>
      <c r="V21" s="123"/>
      <c r="W21" s="123" t="s">
        <v>3239</v>
      </c>
      <c r="X21" s="123"/>
    </row>
    <row r="22">
      <c r="A22" s="123" t="s">
        <v>334</v>
      </c>
      <c r="B22" s="123" t="s">
        <v>1022</v>
      </c>
      <c r="C22" s="123"/>
      <c r="D22" s="123" t="s">
        <v>3240</v>
      </c>
      <c r="E22" s="123" t="s">
        <v>3164</v>
      </c>
      <c r="F22" s="123" t="s">
        <v>3165</v>
      </c>
      <c r="G22" s="123" t="s">
        <v>336</v>
      </c>
      <c r="H22" s="123" t="s">
        <v>3093</v>
      </c>
      <c r="I22" s="123" t="s">
        <v>1024</v>
      </c>
      <c r="J22" s="123" t="s">
        <v>3126</v>
      </c>
      <c r="K22" s="124">
        <v>2043.77</v>
      </c>
      <c r="L22" s="124">
        <v>26.12</v>
      </c>
      <c r="M22" s="123" t="s">
        <v>3203</v>
      </c>
      <c r="N22" s="124">
        <v>-3.018</v>
      </c>
      <c r="O22" s="124">
        <v>-54.9714</v>
      </c>
      <c r="P22" s="124">
        <v>100.0</v>
      </c>
      <c r="Q22" s="123" t="s">
        <v>3241</v>
      </c>
      <c r="R22" s="125" t="s">
        <v>3242</v>
      </c>
      <c r="S22" s="123"/>
      <c r="T22" s="125" t="s">
        <v>3170</v>
      </c>
      <c r="U22" s="124">
        <v>2000.0</v>
      </c>
      <c r="V22" s="124">
        <v>2003.0</v>
      </c>
      <c r="W22" s="123" t="s">
        <v>3243</v>
      </c>
      <c r="X22" s="123"/>
    </row>
    <row r="23">
      <c r="A23" s="123" t="s">
        <v>334</v>
      </c>
      <c r="B23" s="123" t="s">
        <v>3244</v>
      </c>
      <c r="C23" s="123"/>
      <c r="D23" s="123" t="s">
        <v>3245</v>
      </c>
      <c r="E23" s="123" t="s">
        <v>3165</v>
      </c>
      <c r="F23" s="123" t="s">
        <v>3165</v>
      </c>
      <c r="G23" s="123" t="s">
        <v>336</v>
      </c>
      <c r="H23" s="123" t="s">
        <v>3093</v>
      </c>
      <c r="I23" s="123" t="s">
        <v>784</v>
      </c>
      <c r="J23" s="123" t="s">
        <v>3202</v>
      </c>
      <c r="K23" s="124">
        <v>3000.0</v>
      </c>
      <c r="L23" s="124">
        <v>27.0</v>
      </c>
      <c r="M23" s="123" t="s">
        <v>3203</v>
      </c>
      <c r="N23" s="124">
        <v>0.2101</v>
      </c>
      <c r="O23" s="124">
        <v>-66.7529</v>
      </c>
      <c r="P23" s="124">
        <v>100.0</v>
      </c>
      <c r="Q23" s="123"/>
      <c r="R23" s="125" t="s">
        <v>3170</v>
      </c>
      <c r="S23" s="123"/>
      <c r="T23" s="125" t="s">
        <v>3170</v>
      </c>
      <c r="U23" s="124">
        <v>2004.0</v>
      </c>
      <c r="V23" s="124">
        <v>2010.0</v>
      </c>
      <c r="W23" s="123"/>
      <c r="X23" s="123"/>
    </row>
    <row r="24">
      <c r="A24" s="123" t="s">
        <v>334</v>
      </c>
      <c r="B24" s="123" t="s">
        <v>330</v>
      </c>
      <c r="C24" s="123"/>
      <c r="D24" s="123" t="s">
        <v>3246</v>
      </c>
      <c r="E24" s="123" t="s">
        <v>3165</v>
      </c>
      <c r="F24" s="123" t="s">
        <v>3165</v>
      </c>
      <c r="G24" s="123" t="s">
        <v>200</v>
      </c>
      <c r="H24" s="123" t="s">
        <v>3103</v>
      </c>
      <c r="I24" s="123" t="s">
        <v>335</v>
      </c>
      <c r="J24" s="123" t="s">
        <v>3206</v>
      </c>
      <c r="K24" s="124">
        <v>850.0</v>
      </c>
      <c r="L24" s="124">
        <v>25.0</v>
      </c>
      <c r="M24" s="123" t="s">
        <v>3203</v>
      </c>
      <c r="N24" s="124">
        <v>-19.565</v>
      </c>
      <c r="O24" s="124">
        <v>-57.018</v>
      </c>
      <c r="P24" s="124">
        <v>90.0</v>
      </c>
      <c r="Q24" s="123"/>
      <c r="R24" s="125" t="s">
        <v>3170</v>
      </c>
      <c r="S24" s="123"/>
      <c r="T24" s="125" t="s">
        <v>3170</v>
      </c>
      <c r="U24" s="124">
        <v>2023.0</v>
      </c>
      <c r="V24" s="123"/>
      <c r="W24" s="123"/>
      <c r="X24" s="123"/>
    </row>
    <row r="25">
      <c r="A25" s="123" t="s">
        <v>395</v>
      </c>
      <c r="B25" s="123" t="s">
        <v>3247</v>
      </c>
      <c r="C25" s="123"/>
      <c r="D25" s="123" t="s">
        <v>3248</v>
      </c>
      <c r="E25" s="123" t="s">
        <v>3165</v>
      </c>
      <c r="F25" s="123" t="s">
        <v>3165</v>
      </c>
      <c r="G25" s="123" t="s">
        <v>452</v>
      </c>
      <c r="H25" s="123" t="s">
        <v>3096</v>
      </c>
      <c r="I25" s="123" t="s">
        <v>107</v>
      </c>
      <c r="J25" s="123" t="s">
        <v>3249</v>
      </c>
      <c r="K25" s="124">
        <v>1078.0</v>
      </c>
      <c r="L25" s="124">
        <v>5.6</v>
      </c>
      <c r="M25" s="123" t="s">
        <v>3250</v>
      </c>
      <c r="N25" s="124">
        <v>46.0092</v>
      </c>
      <c r="O25" s="124">
        <v>-66.3627</v>
      </c>
      <c r="P25" s="124">
        <v>78.0</v>
      </c>
      <c r="Q25" s="123"/>
      <c r="R25" s="125" t="s">
        <v>3170</v>
      </c>
      <c r="S25" s="123"/>
      <c r="T25" s="125" t="s">
        <v>3170</v>
      </c>
      <c r="U25" s="124">
        <v>2023.0</v>
      </c>
      <c r="V25" s="123"/>
      <c r="W25" s="123"/>
      <c r="X25" s="123"/>
    </row>
    <row r="26">
      <c r="A26" s="123" t="s">
        <v>395</v>
      </c>
      <c r="B26" s="123" t="s">
        <v>3251</v>
      </c>
      <c r="C26" s="123"/>
      <c r="D26" s="123" t="s">
        <v>3252</v>
      </c>
      <c r="E26" s="123" t="s">
        <v>3164</v>
      </c>
      <c r="F26" s="123" t="s">
        <v>3164</v>
      </c>
      <c r="G26" s="123" t="s">
        <v>214</v>
      </c>
      <c r="H26" s="123" t="s">
        <v>3184</v>
      </c>
      <c r="I26" s="123" t="s">
        <v>107</v>
      </c>
      <c r="J26" s="123" t="s">
        <v>3249</v>
      </c>
      <c r="K26" s="124">
        <v>700.0</v>
      </c>
      <c r="L26" s="124">
        <v>-1.3</v>
      </c>
      <c r="M26" s="123" t="s">
        <v>3250</v>
      </c>
      <c r="N26" s="124">
        <v>52.695</v>
      </c>
      <c r="O26" s="124">
        <v>-83.9452</v>
      </c>
      <c r="P26" s="124">
        <v>90.0</v>
      </c>
      <c r="Q26" s="123" t="s">
        <v>3253</v>
      </c>
      <c r="R26" s="125" t="s">
        <v>3254</v>
      </c>
      <c r="S26" s="123" t="s">
        <v>3253</v>
      </c>
      <c r="T26" s="125" t="s">
        <v>3255</v>
      </c>
      <c r="U26" s="124">
        <v>2010.0</v>
      </c>
      <c r="V26" s="123"/>
      <c r="W26" s="123" t="s">
        <v>3256</v>
      </c>
      <c r="X26" s="123"/>
    </row>
    <row r="27">
      <c r="A27" s="123" t="s">
        <v>395</v>
      </c>
      <c r="B27" s="123" t="s">
        <v>3257</v>
      </c>
      <c r="C27" s="123"/>
      <c r="D27" s="123" t="s">
        <v>3258</v>
      </c>
      <c r="E27" s="123" t="s">
        <v>3164</v>
      </c>
      <c r="F27" s="123" t="s">
        <v>3164</v>
      </c>
      <c r="G27" s="123" t="s">
        <v>214</v>
      </c>
      <c r="H27" s="123" t="s">
        <v>3184</v>
      </c>
      <c r="I27" s="123" t="s">
        <v>107</v>
      </c>
      <c r="J27" s="123" t="s">
        <v>3249</v>
      </c>
      <c r="K27" s="124">
        <v>700.0</v>
      </c>
      <c r="L27" s="124">
        <v>-1.3</v>
      </c>
      <c r="M27" s="123" t="s">
        <v>3250</v>
      </c>
      <c r="N27" s="124">
        <v>52.7008</v>
      </c>
      <c r="O27" s="124">
        <v>-83.955</v>
      </c>
      <c r="P27" s="124">
        <v>88.0</v>
      </c>
      <c r="Q27" s="123" t="s">
        <v>3253</v>
      </c>
      <c r="R27" s="125" t="s">
        <v>3259</v>
      </c>
      <c r="S27" s="123" t="s">
        <v>3253</v>
      </c>
      <c r="T27" s="125" t="s">
        <v>3260</v>
      </c>
      <c r="U27" s="124">
        <v>2010.0</v>
      </c>
      <c r="V27" s="123"/>
      <c r="W27" s="123" t="s">
        <v>3256</v>
      </c>
      <c r="X27" s="123"/>
    </row>
    <row r="28">
      <c r="A28" s="123" t="s">
        <v>395</v>
      </c>
      <c r="B28" s="123" t="s">
        <v>3261</v>
      </c>
      <c r="C28" s="123"/>
      <c r="D28" s="123" t="s">
        <v>3262</v>
      </c>
      <c r="E28" s="123" t="s">
        <v>3164</v>
      </c>
      <c r="F28" s="123" t="s">
        <v>3165</v>
      </c>
      <c r="G28" s="123" t="s">
        <v>214</v>
      </c>
      <c r="H28" s="123" t="s">
        <v>3184</v>
      </c>
      <c r="I28" s="123" t="s">
        <v>3263</v>
      </c>
      <c r="J28" s="123" t="s">
        <v>3264</v>
      </c>
      <c r="K28" s="124">
        <v>1011.0</v>
      </c>
      <c r="L28" s="124">
        <v>1.5</v>
      </c>
      <c r="M28" s="123" t="s">
        <v>3250</v>
      </c>
      <c r="N28" s="124">
        <v>50.5244</v>
      </c>
      <c r="O28" s="124">
        <v>-63.2064</v>
      </c>
      <c r="P28" s="124">
        <v>108.0</v>
      </c>
      <c r="Q28" s="123" t="s">
        <v>3180</v>
      </c>
      <c r="R28" s="125" t="s">
        <v>3265</v>
      </c>
      <c r="S28" s="123"/>
      <c r="T28" s="125" t="s">
        <v>3170</v>
      </c>
      <c r="U28" s="124">
        <v>2018.0</v>
      </c>
      <c r="V28" s="124">
        <v>2020.0</v>
      </c>
      <c r="W28" s="123" t="s">
        <v>3266</v>
      </c>
      <c r="X28" s="123"/>
    </row>
    <row r="29">
      <c r="A29" s="123" t="s">
        <v>395</v>
      </c>
      <c r="B29" s="123" t="s">
        <v>3267</v>
      </c>
      <c r="C29" s="123"/>
      <c r="D29" s="123" t="s">
        <v>3268</v>
      </c>
      <c r="E29" s="123" t="s">
        <v>3164</v>
      </c>
      <c r="F29" s="123" t="s">
        <v>3164</v>
      </c>
      <c r="G29" s="123" t="s">
        <v>197</v>
      </c>
      <c r="H29" s="123" t="s">
        <v>3094</v>
      </c>
      <c r="I29" s="123" t="s">
        <v>376</v>
      </c>
      <c r="J29" s="123" t="s">
        <v>3166</v>
      </c>
      <c r="K29" s="124">
        <v>1369.0</v>
      </c>
      <c r="L29" s="124">
        <v>9.93</v>
      </c>
      <c r="M29" s="123" t="s">
        <v>3250</v>
      </c>
      <c r="N29" s="124">
        <v>49.8673</v>
      </c>
      <c r="O29" s="124">
        <v>-125.3336</v>
      </c>
      <c r="P29" s="124">
        <v>300.0</v>
      </c>
      <c r="Q29" s="123" t="s">
        <v>3269</v>
      </c>
      <c r="R29" s="125" t="s">
        <v>3270</v>
      </c>
      <c r="S29" s="123" t="s">
        <v>3269</v>
      </c>
      <c r="T29" s="125" t="s">
        <v>3271</v>
      </c>
      <c r="U29" s="124">
        <v>1997.0</v>
      </c>
      <c r="V29" s="123"/>
      <c r="W29" s="123" t="s">
        <v>3272</v>
      </c>
      <c r="X29" s="123"/>
    </row>
    <row r="30">
      <c r="A30" s="123" t="s">
        <v>395</v>
      </c>
      <c r="B30" s="123" t="s">
        <v>3273</v>
      </c>
      <c r="C30" s="123"/>
      <c r="D30" s="123" t="s">
        <v>3274</v>
      </c>
      <c r="E30" s="123" t="s">
        <v>3164</v>
      </c>
      <c r="F30" s="123" t="s">
        <v>3164</v>
      </c>
      <c r="G30" s="123" t="s">
        <v>197</v>
      </c>
      <c r="H30" s="123" t="s">
        <v>3094</v>
      </c>
      <c r="I30" s="123" t="s">
        <v>376</v>
      </c>
      <c r="J30" s="123" t="s">
        <v>3166</v>
      </c>
      <c r="K30" s="124">
        <v>1474.0</v>
      </c>
      <c r="L30" s="124">
        <v>9.86</v>
      </c>
      <c r="M30" s="123" t="s">
        <v>3250</v>
      </c>
      <c r="N30" s="124">
        <v>49.8705</v>
      </c>
      <c r="O30" s="124">
        <v>-125.2909</v>
      </c>
      <c r="P30" s="124">
        <v>300.0</v>
      </c>
      <c r="Q30" s="123" t="s">
        <v>3275</v>
      </c>
      <c r="R30" s="125" t="s">
        <v>3276</v>
      </c>
      <c r="S30" s="123" t="s">
        <v>3275</v>
      </c>
      <c r="T30" s="125" t="s">
        <v>3277</v>
      </c>
      <c r="U30" s="124">
        <v>2000.0</v>
      </c>
      <c r="V30" s="123"/>
      <c r="W30" s="123" t="s">
        <v>3278</v>
      </c>
      <c r="X30" s="123"/>
    </row>
    <row r="31">
      <c r="A31" s="123" t="s">
        <v>395</v>
      </c>
      <c r="B31" s="123" t="s">
        <v>3279</v>
      </c>
      <c r="C31" s="123"/>
      <c r="D31" s="123" t="s">
        <v>3280</v>
      </c>
      <c r="E31" s="123" t="s">
        <v>3164</v>
      </c>
      <c r="F31" s="123" t="s">
        <v>3165</v>
      </c>
      <c r="G31" s="123" t="s">
        <v>197</v>
      </c>
      <c r="H31" s="123" t="s">
        <v>3094</v>
      </c>
      <c r="I31" s="123" t="s">
        <v>376</v>
      </c>
      <c r="J31" s="123" t="s">
        <v>3166</v>
      </c>
      <c r="K31" s="124">
        <v>1676.0</v>
      </c>
      <c r="L31" s="124">
        <v>9.94</v>
      </c>
      <c r="M31" s="123" t="s">
        <v>3250</v>
      </c>
      <c r="N31" s="124">
        <v>49.5346</v>
      </c>
      <c r="O31" s="124">
        <v>-124.9004</v>
      </c>
      <c r="P31" s="123"/>
      <c r="Q31" s="123" t="s">
        <v>3281</v>
      </c>
      <c r="R31" s="125" t="s">
        <v>3282</v>
      </c>
      <c r="S31" s="123"/>
      <c r="T31" s="125" t="s">
        <v>3170</v>
      </c>
      <c r="U31" s="124">
        <v>2001.0</v>
      </c>
      <c r="V31" s="123"/>
      <c r="W31" s="123" t="s">
        <v>3283</v>
      </c>
      <c r="X31" s="123"/>
    </row>
    <row r="32">
      <c r="A32" s="123" t="s">
        <v>395</v>
      </c>
      <c r="B32" s="123" t="s">
        <v>3284</v>
      </c>
      <c r="C32" s="123"/>
      <c r="D32" s="123" t="s">
        <v>3285</v>
      </c>
      <c r="E32" s="123" t="s">
        <v>3164</v>
      </c>
      <c r="F32" s="123" t="s">
        <v>3164</v>
      </c>
      <c r="G32" s="123" t="s">
        <v>370</v>
      </c>
      <c r="H32" s="123" t="s">
        <v>3091</v>
      </c>
      <c r="I32" s="123" t="s">
        <v>107</v>
      </c>
      <c r="J32" s="123" t="s">
        <v>3249</v>
      </c>
      <c r="K32" s="124">
        <v>876.34</v>
      </c>
      <c r="L32" s="124">
        <v>6.66</v>
      </c>
      <c r="M32" s="123" t="s">
        <v>3250</v>
      </c>
      <c r="N32" s="124">
        <v>44.3167</v>
      </c>
      <c r="O32" s="124">
        <v>-79.9333</v>
      </c>
      <c r="P32" s="124">
        <v>120.0</v>
      </c>
      <c r="Q32" s="123" t="s">
        <v>3286</v>
      </c>
      <c r="R32" s="125" t="s">
        <v>3287</v>
      </c>
      <c r="S32" s="123" t="s">
        <v>3286</v>
      </c>
      <c r="T32" s="125" t="s">
        <v>3288</v>
      </c>
      <c r="U32" s="124">
        <v>1995.0</v>
      </c>
      <c r="V32" s="123"/>
      <c r="W32" s="123" t="s">
        <v>3289</v>
      </c>
      <c r="X32" s="123"/>
    </row>
    <row r="33">
      <c r="A33" s="123" t="s">
        <v>395</v>
      </c>
      <c r="B33" s="123" t="s">
        <v>3290</v>
      </c>
      <c r="C33" s="123"/>
      <c r="D33" s="123" t="s">
        <v>3291</v>
      </c>
      <c r="E33" s="123" t="s">
        <v>3164</v>
      </c>
      <c r="F33" s="123" t="s">
        <v>3164</v>
      </c>
      <c r="G33" s="123" t="s">
        <v>214</v>
      </c>
      <c r="H33" s="123" t="s">
        <v>3184</v>
      </c>
      <c r="I33" s="123" t="s">
        <v>372</v>
      </c>
      <c r="J33" s="123" t="s">
        <v>3292</v>
      </c>
      <c r="K33" s="124">
        <v>452.0</v>
      </c>
      <c r="L33" s="124">
        <v>-6.5</v>
      </c>
      <c r="M33" s="123" t="s">
        <v>3250</v>
      </c>
      <c r="N33" s="124">
        <v>58.6658</v>
      </c>
      <c r="O33" s="124">
        <v>-93.83</v>
      </c>
      <c r="P33" s="124">
        <v>16.5</v>
      </c>
      <c r="Q33" s="123" t="s">
        <v>3293</v>
      </c>
      <c r="R33" s="125" t="s">
        <v>3294</v>
      </c>
      <c r="S33" s="123" t="s">
        <v>3293</v>
      </c>
      <c r="T33" s="125" t="s">
        <v>3295</v>
      </c>
      <c r="U33" s="124">
        <v>2007.0</v>
      </c>
      <c r="V33" s="124">
        <v>2008.0</v>
      </c>
      <c r="W33" s="123" t="s">
        <v>3296</v>
      </c>
      <c r="X33" s="123"/>
    </row>
    <row r="34">
      <c r="A34" s="123" t="s">
        <v>395</v>
      </c>
      <c r="B34" s="123" t="s">
        <v>3297</v>
      </c>
      <c r="C34" s="123"/>
      <c r="D34" s="123" t="s">
        <v>3298</v>
      </c>
      <c r="E34" s="123" t="s">
        <v>3164</v>
      </c>
      <c r="F34" s="123" t="s">
        <v>3165</v>
      </c>
      <c r="G34" s="123" t="s">
        <v>214</v>
      </c>
      <c r="H34" s="123" t="s">
        <v>3184</v>
      </c>
      <c r="I34" s="123" t="s">
        <v>372</v>
      </c>
      <c r="J34" s="123" t="s">
        <v>3292</v>
      </c>
      <c r="K34" s="124">
        <v>452.0</v>
      </c>
      <c r="L34" s="124">
        <v>-6.5</v>
      </c>
      <c r="M34" s="123" t="s">
        <v>3250</v>
      </c>
      <c r="N34" s="124">
        <v>58.6658</v>
      </c>
      <c r="O34" s="124">
        <v>-93.83</v>
      </c>
      <c r="P34" s="124">
        <v>16.5</v>
      </c>
      <c r="Q34" s="123" t="s">
        <v>3299</v>
      </c>
      <c r="R34" s="125" t="s">
        <v>3300</v>
      </c>
      <c r="S34" s="123"/>
      <c r="T34" s="125" t="s">
        <v>3170</v>
      </c>
      <c r="U34" s="124">
        <v>2008.0</v>
      </c>
      <c r="V34" s="124">
        <v>2011.0</v>
      </c>
      <c r="W34" s="123" t="s">
        <v>3301</v>
      </c>
      <c r="X34" s="123"/>
    </row>
    <row r="35">
      <c r="A35" s="123" t="s">
        <v>395</v>
      </c>
      <c r="B35" s="123" t="s">
        <v>3302</v>
      </c>
      <c r="C35" s="123"/>
      <c r="D35" s="123" t="s">
        <v>3303</v>
      </c>
      <c r="E35" s="123" t="s">
        <v>3165</v>
      </c>
      <c r="F35" s="123" t="s">
        <v>3165</v>
      </c>
      <c r="G35" s="123" t="s">
        <v>214</v>
      </c>
      <c r="H35" s="123" t="s">
        <v>3184</v>
      </c>
      <c r="I35" s="123" t="s">
        <v>372</v>
      </c>
      <c r="J35" s="123" t="s">
        <v>3292</v>
      </c>
      <c r="K35" s="123"/>
      <c r="L35" s="123"/>
      <c r="M35" s="123" t="s">
        <v>3250</v>
      </c>
      <c r="N35" s="124">
        <v>58.6658</v>
      </c>
      <c r="O35" s="124">
        <v>-93.8304</v>
      </c>
      <c r="P35" s="124">
        <v>25.0</v>
      </c>
      <c r="Q35" s="123"/>
      <c r="R35" s="125" t="s">
        <v>3170</v>
      </c>
      <c r="S35" s="123"/>
      <c r="T35" s="125" t="s">
        <v>3170</v>
      </c>
      <c r="U35" s="124">
        <v>2022.0</v>
      </c>
      <c r="V35" s="123"/>
      <c r="W35" s="123"/>
      <c r="X35" s="123"/>
    </row>
    <row r="36">
      <c r="A36" s="123" t="s">
        <v>395</v>
      </c>
      <c r="B36" s="123" t="s">
        <v>3304</v>
      </c>
      <c r="C36" s="123"/>
      <c r="D36" s="123" t="s">
        <v>3305</v>
      </c>
      <c r="E36" s="123" t="s">
        <v>3164</v>
      </c>
      <c r="F36" s="123" t="s">
        <v>3165</v>
      </c>
      <c r="G36" s="123" t="s">
        <v>452</v>
      </c>
      <c r="H36" s="123" t="s">
        <v>3096</v>
      </c>
      <c r="I36" s="123" t="s">
        <v>107</v>
      </c>
      <c r="J36" s="123" t="s">
        <v>3249</v>
      </c>
      <c r="K36" s="124">
        <v>971.68</v>
      </c>
      <c r="L36" s="124">
        <v>3.46</v>
      </c>
      <c r="M36" s="123" t="s">
        <v>3250</v>
      </c>
      <c r="N36" s="124">
        <v>45.8847</v>
      </c>
      <c r="O36" s="124">
        <v>-67.3569</v>
      </c>
      <c r="P36" s="124">
        <v>341.0</v>
      </c>
      <c r="Q36" s="123" t="s">
        <v>3306</v>
      </c>
      <c r="R36" s="125" t="s">
        <v>3307</v>
      </c>
      <c r="S36" s="123"/>
      <c r="T36" s="125" t="s">
        <v>3170</v>
      </c>
      <c r="U36" s="124">
        <v>2004.0</v>
      </c>
      <c r="V36" s="124">
        <v>2005.0</v>
      </c>
      <c r="W36" s="123" t="s">
        <v>3308</v>
      </c>
      <c r="X36" s="123"/>
    </row>
    <row r="37">
      <c r="A37" s="123" t="s">
        <v>395</v>
      </c>
      <c r="B37" s="123" t="s">
        <v>3309</v>
      </c>
      <c r="C37" s="123"/>
      <c r="D37" s="123" t="s">
        <v>3310</v>
      </c>
      <c r="E37" s="123" t="s">
        <v>3164</v>
      </c>
      <c r="F37" s="123" t="s">
        <v>3164</v>
      </c>
      <c r="G37" s="123" t="s">
        <v>214</v>
      </c>
      <c r="H37" s="123" t="s">
        <v>3184</v>
      </c>
      <c r="I37" s="123"/>
      <c r="J37" s="123"/>
      <c r="K37" s="123"/>
      <c r="L37" s="123"/>
      <c r="M37" s="123" t="s">
        <v>3250</v>
      </c>
      <c r="N37" s="124">
        <v>49.119</v>
      </c>
      <c r="O37" s="124">
        <v>-122.9951</v>
      </c>
      <c r="P37" s="124">
        <v>4.0</v>
      </c>
      <c r="Q37" s="123" t="s">
        <v>3311</v>
      </c>
      <c r="R37" s="125" t="s">
        <v>3312</v>
      </c>
      <c r="S37" s="123" t="s">
        <v>3311</v>
      </c>
      <c r="T37" s="125" t="s">
        <v>3313</v>
      </c>
      <c r="U37" s="124">
        <v>2019.0</v>
      </c>
      <c r="V37" s="123"/>
      <c r="W37" s="123" t="s">
        <v>3314</v>
      </c>
      <c r="X37" s="123"/>
    </row>
    <row r="38">
      <c r="A38" s="123" t="s">
        <v>395</v>
      </c>
      <c r="B38" s="123" t="s">
        <v>3315</v>
      </c>
      <c r="C38" s="123"/>
      <c r="D38" s="123" t="s">
        <v>3316</v>
      </c>
      <c r="E38" s="123" t="s">
        <v>3164</v>
      </c>
      <c r="F38" s="123" t="s">
        <v>3164</v>
      </c>
      <c r="G38" s="123" t="s">
        <v>214</v>
      </c>
      <c r="H38" s="123" t="s">
        <v>3184</v>
      </c>
      <c r="I38" s="123" t="s">
        <v>445</v>
      </c>
      <c r="J38" s="123" t="s">
        <v>3317</v>
      </c>
      <c r="K38" s="124">
        <v>1128.0</v>
      </c>
      <c r="L38" s="124">
        <v>10.0</v>
      </c>
      <c r="M38" s="123" t="s">
        <v>3250</v>
      </c>
      <c r="N38" s="124">
        <v>49.1293</v>
      </c>
      <c r="O38" s="124">
        <v>-122.9849</v>
      </c>
      <c r="P38" s="124">
        <v>4.0</v>
      </c>
      <c r="Q38" s="123" t="s">
        <v>3318</v>
      </c>
      <c r="R38" s="125" t="s">
        <v>3319</v>
      </c>
      <c r="S38" s="123" t="s">
        <v>3318</v>
      </c>
      <c r="T38" s="125" t="s">
        <v>3320</v>
      </c>
      <c r="U38" s="124">
        <v>2014.0</v>
      </c>
      <c r="V38" s="123"/>
      <c r="W38" s="123" t="s">
        <v>3314</v>
      </c>
      <c r="X38" s="123"/>
    </row>
    <row r="39">
      <c r="A39" s="123" t="s">
        <v>395</v>
      </c>
      <c r="B39" s="123" t="s">
        <v>3321</v>
      </c>
      <c r="C39" s="123"/>
      <c r="D39" s="123" t="s">
        <v>3322</v>
      </c>
      <c r="E39" s="123" t="s">
        <v>3165</v>
      </c>
      <c r="F39" s="123" t="s">
        <v>3165</v>
      </c>
      <c r="G39" s="123" t="s">
        <v>292</v>
      </c>
      <c r="H39" s="123" t="s">
        <v>3097</v>
      </c>
      <c r="I39" s="123" t="s">
        <v>372</v>
      </c>
      <c r="J39" s="123" t="s">
        <v>3292</v>
      </c>
      <c r="K39" s="124">
        <v>250.0</v>
      </c>
      <c r="L39" s="124">
        <v>-9.0</v>
      </c>
      <c r="M39" s="123" t="s">
        <v>3250</v>
      </c>
      <c r="N39" s="124">
        <v>64.8689</v>
      </c>
      <c r="O39" s="124">
        <v>-111.5748</v>
      </c>
      <c r="P39" s="124">
        <v>425.0</v>
      </c>
      <c r="Q39" s="123"/>
      <c r="R39" s="125" t="s">
        <v>3170</v>
      </c>
      <c r="S39" s="123"/>
      <c r="T39" s="125" t="s">
        <v>3170</v>
      </c>
      <c r="U39" s="124">
        <v>2004.0</v>
      </c>
      <c r="V39" s="123"/>
      <c r="W39" s="123"/>
      <c r="X39" s="123"/>
    </row>
    <row r="40">
      <c r="A40" s="123" t="s">
        <v>395</v>
      </c>
      <c r="B40" s="123" t="s">
        <v>3323</v>
      </c>
      <c r="C40" s="123"/>
      <c r="D40" s="123" t="s">
        <v>3324</v>
      </c>
      <c r="E40" s="123" t="s">
        <v>3165</v>
      </c>
      <c r="F40" s="123" t="s">
        <v>3165</v>
      </c>
      <c r="G40" s="123" t="s">
        <v>214</v>
      </c>
      <c r="H40" s="123" t="s">
        <v>3184</v>
      </c>
      <c r="I40" s="123" t="s">
        <v>372</v>
      </c>
      <c r="J40" s="123" t="s">
        <v>3292</v>
      </c>
      <c r="K40" s="124">
        <v>250.0</v>
      </c>
      <c r="L40" s="124">
        <v>-9.0</v>
      </c>
      <c r="M40" s="123" t="s">
        <v>3250</v>
      </c>
      <c r="N40" s="124">
        <v>64.8648</v>
      </c>
      <c r="O40" s="124">
        <v>-111.5677</v>
      </c>
      <c r="P40" s="124">
        <v>416.0</v>
      </c>
      <c r="Q40" s="123"/>
      <c r="R40" s="125" t="s">
        <v>3170</v>
      </c>
      <c r="S40" s="123"/>
      <c r="T40" s="125" t="s">
        <v>3170</v>
      </c>
      <c r="U40" s="124">
        <v>2006.0</v>
      </c>
      <c r="V40" s="123"/>
      <c r="W40" s="123"/>
      <c r="X40" s="123"/>
    </row>
    <row r="41">
      <c r="A41" s="123" t="s">
        <v>395</v>
      </c>
      <c r="B41" s="123" t="s">
        <v>3325</v>
      </c>
      <c r="C41" s="123"/>
      <c r="D41" s="123" t="s">
        <v>3326</v>
      </c>
      <c r="E41" s="123" t="s">
        <v>3164</v>
      </c>
      <c r="F41" s="123" t="s">
        <v>3165</v>
      </c>
      <c r="G41" s="123" t="s">
        <v>214</v>
      </c>
      <c r="H41" s="123" t="s">
        <v>3184</v>
      </c>
      <c r="I41" s="123" t="s">
        <v>445</v>
      </c>
      <c r="J41" s="123" t="s">
        <v>3317</v>
      </c>
      <c r="K41" s="124">
        <v>1077.8</v>
      </c>
      <c r="L41" s="124">
        <v>10.6</v>
      </c>
      <c r="M41" s="123" t="s">
        <v>3250</v>
      </c>
      <c r="N41" s="124">
        <v>49.0887</v>
      </c>
      <c r="O41" s="124">
        <v>-122.8954</v>
      </c>
      <c r="P41" s="123"/>
      <c r="Q41" s="124">
        <v>2022.0</v>
      </c>
      <c r="R41" s="125" t="s">
        <v>3327</v>
      </c>
      <c r="S41" s="123"/>
      <c r="T41" s="125" t="s">
        <v>3170</v>
      </c>
      <c r="U41" s="124">
        <v>2021.0</v>
      </c>
      <c r="V41" s="123"/>
      <c r="W41" s="123" t="s">
        <v>3328</v>
      </c>
      <c r="X41" s="123"/>
    </row>
    <row r="42">
      <c r="A42" s="123" t="s">
        <v>395</v>
      </c>
      <c r="B42" s="123" t="s">
        <v>3329</v>
      </c>
      <c r="C42" s="123"/>
      <c r="D42" s="123" t="s">
        <v>3330</v>
      </c>
      <c r="E42" s="123" t="s">
        <v>3164</v>
      </c>
      <c r="F42" s="123" t="s">
        <v>3165</v>
      </c>
      <c r="G42" s="123" t="s">
        <v>214</v>
      </c>
      <c r="H42" s="123" t="s">
        <v>3184</v>
      </c>
      <c r="I42" s="123" t="s">
        <v>107</v>
      </c>
      <c r="J42" s="123" t="s">
        <v>3249</v>
      </c>
      <c r="K42" s="124">
        <v>504.8</v>
      </c>
      <c r="L42" s="124">
        <v>1.3</v>
      </c>
      <c r="M42" s="123" t="s">
        <v>3250</v>
      </c>
      <c r="N42" s="124">
        <v>50.3623</v>
      </c>
      <c r="O42" s="124">
        <v>-100.2024</v>
      </c>
      <c r="P42" s="124">
        <v>607.9</v>
      </c>
      <c r="Q42" s="123" t="s">
        <v>3331</v>
      </c>
      <c r="R42" s="125" t="s">
        <v>3332</v>
      </c>
      <c r="S42" s="123"/>
      <c r="T42" s="125" t="s">
        <v>3170</v>
      </c>
      <c r="U42" s="124">
        <v>2021.0</v>
      </c>
      <c r="V42" s="123"/>
      <c r="W42" s="123" t="s">
        <v>3333</v>
      </c>
      <c r="X42" s="123"/>
    </row>
    <row r="43">
      <c r="A43" s="123" t="s">
        <v>395</v>
      </c>
      <c r="B43" s="123" t="s">
        <v>3334</v>
      </c>
      <c r="C43" s="123"/>
      <c r="D43" s="123" t="s">
        <v>3335</v>
      </c>
      <c r="E43" s="123" t="s">
        <v>3164</v>
      </c>
      <c r="F43" s="123" t="s">
        <v>3165</v>
      </c>
      <c r="G43" s="123" t="s">
        <v>214</v>
      </c>
      <c r="H43" s="123" t="s">
        <v>3184</v>
      </c>
      <c r="I43" s="123" t="s">
        <v>107</v>
      </c>
      <c r="J43" s="123" t="s">
        <v>3249</v>
      </c>
      <c r="K43" s="124">
        <v>473.4</v>
      </c>
      <c r="L43" s="124">
        <v>1.5</v>
      </c>
      <c r="M43" s="123" t="s">
        <v>3250</v>
      </c>
      <c r="N43" s="124">
        <v>50.3706</v>
      </c>
      <c r="O43" s="124">
        <v>-100.5339</v>
      </c>
      <c r="P43" s="124">
        <v>554.3</v>
      </c>
      <c r="Q43" s="123" t="s">
        <v>3331</v>
      </c>
      <c r="R43" s="125" t="s">
        <v>3336</v>
      </c>
      <c r="S43" s="123"/>
      <c r="T43" s="125" t="s">
        <v>3170</v>
      </c>
      <c r="U43" s="124">
        <v>2021.0</v>
      </c>
      <c r="V43" s="123"/>
      <c r="W43" s="123" t="s">
        <v>3333</v>
      </c>
      <c r="X43" s="123"/>
    </row>
    <row r="44">
      <c r="A44" s="123" t="s">
        <v>395</v>
      </c>
      <c r="B44" s="123" t="s">
        <v>3337</v>
      </c>
      <c r="C44" s="123"/>
      <c r="D44" s="123" t="s">
        <v>3338</v>
      </c>
      <c r="E44" s="123" t="s">
        <v>3165</v>
      </c>
      <c r="F44" s="123" t="s">
        <v>3165</v>
      </c>
      <c r="G44" s="123" t="s">
        <v>214</v>
      </c>
      <c r="H44" s="123" t="s">
        <v>3184</v>
      </c>
      <c r="I44" s="123" t="s">
        <v>107</v>
      </c>
      <c r="J44" s="123" t="s">
        <v>3249</v>
      </c>
      <c r="K44" s="124">
        <v>521.1</v>
      </c>
      <c r="L44" s="124">
        <v>3.0</v>
      </c>
      <c r="M44" s="123" t="s">
        <v>3250</v>
      </c>
      <c r="N44" s="124">
        <v>50.1738</v>
      </c>
      <c r="O44" s="124">
        <v>-97.1231</v>
      </c>
      <c r="P44" s="124">
        <v>255.0</v>
      </c>
      <c r="Q44" s="123"/>
      <c r="R44" s="125" t="s">
        <v>3170</v>
      </c>
      <c r="S44" s="123"/>
      <c r="T44" s="125" t="s">
        <v>3170</v>
      </c>
      <c r="U44" s="124">
        <v>2023.0</v>
      </c>
      <c r="V44" s="123"/>
      <c r="W44" s="123"/>
      <c r="X44" s="123"/>
    </row>
    <row r="45">
      <c r="A45" s="123" t="s">
        <v>395</v>
      </c>
      <c r="B45" s="123" t="s">
        <v>3339</v>
      </c>
      <c r="C45" s="123"/>
      <c r="D45" s="123" t="s">
        <v>3340</v>
      </c>
      <c r="E45" s="123" t="s">
        <v>3164</v>
      </c>
      <c r="F45" s="123" t="s">
        <v>3164</v>
      </c>
      <c r="G45" s="123" t="s">
        <v>86</v>
      </c>
      <c r="H45" s="123" t="s">
        <v>3088</v>
      </c>
      <c r="I45" s="123" t="s">
        <v>107</v>
      </c>
      <c r="J45" s="123" t="s">
        <v>3249</v>
      </c>
      <c r="K45" s="124">
        <v>946.0</v>
      </c>
      <c r="L45" s="124">
        <v>6.7</v>
      </c>
      <c r="M45" s="123" t="s">
        <v>3250</v>
      </c>
      <c r="N45" s="124">
        <v>43.6405</v>
      </c>
      <c r="O45" s="124">
        <v>-80.4123</v>
      </c>
      <c r="P45" s="124">
        <v>370.0</v>
      </c>
      <c r="Q45" s="123" t="s">
        <v>3341</v>
      </c>
      <c r="R45" s="125" t="s">
        <v>3342</v>
      </c>
      <c r="S45" s="123" t="s">
        <v>3343</v>
      </c>
      <c r="T45" s="125" t="s">
        <v>3344</v>
      </c>
      <c r="U45" s="124">
        <v>2015.0</v>
      </c>
      <c r="V45" s="123"/>
      <c r="W45" s="123" t="s">
        <v>3345</v>
      </c>
      <c r="X45" s="123"/>
    </row>
    <row r="46">
      <c r="A46" s="123" t="s">
        <v>395</v>
      </c>
      <c r="B46" s="123" t="s">
        <v>3346</v>
      </c>
      <c r="C46" s="123"/>
      <c r="D46" s="123" t="s">
        <v>3340</v>
      </c>
      <c r="E46" s="123" t="s">
        <v>3165</v>
      </c>
      <c r="F46" s="123" t="s">
        <v>3165</v>
      </c>
      <c r="G46" s="123" t="s">
        <v>86</v>
      </c>
      <c r="H46" s="123" t="s">
        <v>3088</v>
      </c>
      <c r="I46" s="123" t="s">
        <v>107</v>
      </c>
      <c r="J46" s="123" t="s">
        <v>3249</v>
      </c>
      <c r="K46" s="124">
        <v>946.0</v>
      </c>
      <c r="L46" s="124">
        <v>6.7</v>
      </c>
      <c r="M46" s="123" t="s">
        <v>3250</v>
      </c>
      <c r="N46" s="124">
        <v>43.6419</v>
      </c>
      <c r="O46" s="124">
        <v>-80.414</v>
      </c>
      <c r="P46" s="124">
        <v>370.0</v>
      </c>
      <c r="Q46" s="123"/>
      <c r="R46" s="125" t="s">
        <v>3170</v>
      </c>
      <c r="S46" s="123"/>
      <c r="T46" s="125" t="s">
        <v>3170</v>
      </c>
      <c r="U46" s="124">
        <v>2015.0</v>
      </c>
      <c r="V46" s="123"/>
      <c r="W46" s="123"/>
      <c r="X46" s="123"/>
    </row>
    <row r="47">
      <c r="A47" s="123" t="s">
        <v>395</v>
      </c>
      <c r="B47" s="123" t="s">
        <v>3347</v>
      </c>
      <c r="C47" s="123"/>
      <c r="D47" s="123" t="s">
        <v>3348</v>
      </c>
      <c r="E47" s="123" t="s">
        <v>3164</v>
      </c>
      <c r="F47" s="123" t="s">
        <v>3164</v>
      </c>
      <c r="G47" s="123" t="s">
        <v>452</v>
      </c>
      <c r="H47" s="123" t="s">
        <v>3096</v>
      </c>
      <c r="I47" s="123" t="s">
        <v>107</v>
      </c>
      <c r="J47" s="123" t="s">
        <v>3249</v>
      </c>
      <c r="K47" s="124">
        <v>831.0</v>
      </c>
      <c r="L47" s="124">
        <v>1.3</v>
      </c>
      <c r="M47" s="123" t="s">
        <v>3250</v>
      </c>
      <c r="N47" s="124">
        <v>48.2167</v>
      </c>
      <c r="O47" s="124">
        <v>-82.1556</v>
      </c>
      <c r="P47" s="124">
        <v>340.0</v>
      </c>
      <c r="Q47" s="123" t="s">
        <v>3349</v>
      </c>
      <c r="R47" s="125" t="s">
        <v>3350</v>
      </c>
      <c r="S47" s="123" t="s">
        <v>3349</v>
      </c>
      <c r="T47" s="125" t="s">
        <v>3351</v>
      </c>
      <c r="U47" s="124">
        <v>2003.0</v>
      </c>
      <c r="V47" s="123"/>
      <c r="W47" s="123" t="s">
        <v>3352</v>
      </c>
      <c r="X47" s="123"/>
    </row>
    <row r="48">
      <c r="A48" s="123" t="s">
        <v>395</v>
      </c>
      <c r="B48" s="123" t="s">
        <v>3353</v>
      </c>
      <c r="C48" s="123"/>
      <c r="D48" s="123" t="s">
        <v>3354</v>
      </c>
      <c r="E48" s="123" t="s">
        <v>3164</v>
      </c>
      <c r="F48" s="123" t="s">
        <v>3165</v>
      </c>
      <c r="G48" s="123" t="s">
        <v>197</v>
      </c>
      <c r="H48" s="123" t="s">
        <v>3094</v>
      </c>
      <c r="I48" s="123" t="s">
        <v>372</v>
      </c>
      <c r="J48" s="123" t="s">
        <v>3292</v>
      </c>
      <c r="K48" s="124">
        <v>240.6</v>
      </c>
      <c r="L48" s="124">
        <v>-8.2</v>
      </c>
      <c r="M48" s="123" t="s">
        <v>3250</v>
      </c>
      <c r="N48" s="124">
        <v>68.3203</v>
      </c>
      <c r="O48" s="124">
        <v>-133.5188</v>
      </c>
      <c r="P48" s="124">
        <v>80.0</v>
      </c>
      <c r="Q48" s="124">
        <v>2018.0</v>
      </c>
      <c r="R48" s="125" t="s">
        <v>3355</v>
      </c>
      <c r="S48" s="123"/>
      <c r="T48" s="125" t="s">
        <v>3170</v>
      </c>
      <c r="U48" s="124">
        <v>2013.0</v>
      </c>
      <c r="V48" s="124">
        <v>2017.0</v>
      </c>
      <c r="W48" s="123" t="s">
        <v>3356</v>
      </c>
      <c r="X48" s="123"/>
    </row>
    <row r="49">
      <c r="A49" s="123" t="s">
        <v>395</v>
      </c>
      <c r="B49" s="123" t="s">
        <v>3357</v>
      </c>
      <c r="C49" s="123"/>
      <c r="D49" s="123" t="s">
        <v>3358</v>
      </c>
      <c r="E49" s="123" t="s">
        <v>3165</v>
      </c>
      <c r="F49" s="123" t="s">
        <v>3165</v>
      </c>
      <c r="G49" s="123" t="s">
        <v>214</v>
      </c>
      <c r="H49" s="123" t="s">
        <v>3184</v>
      </c>
      <c r="I49" s="123" t="s">
        <v>107</v>
      </c>
      <c r="J49" s="123" t="s">
        <v>3249</v>
      </c>
      <c r="K49" s="124">
        <v>680.0</v>
      </c>
      <c r="L49" s="124">
        <v>-1.1</v>
      </c>
      <c r="M49" s="123" t="s">
        <v>3250</v>
      </c>
      <c r="N49" s="124">
        <v>51.5902</v>
      </c>
      <c r="O49" s="124">
        <v>-81.7684</v>
      </c>
      <c r="P49" s="124">
        <v>71.0</v>
      </c>
      <c r="Q49" s="123"/>
      <c r="R49" s="125" t="s">
        <v>3170</v>
      </c>
      <c r="S49" s="123"/>
      <c r="T49" s="125" t="s">
        <v>3170</v>
      </c>
      <c r="U49" s="124">
        <v>2009.0</v>
      </c>
      <c r="V49" s="123"/>
      <c r="W49" s="123"/>
      <c r="X49" s="123"/>
    </row>
    <row r="50">
      <c r="A50" s="123" t="s">
        <v>395</v>
      </c>
      <c r="B50" s="123" t="s">
        <v>3359</v>
      </c>
      <c r="C50" s="123"/>
      <c r="D50" s="123" t="s">
        <v>3360</v>
      </c>
      <c r="E50" s="123" t="s">
        <v>3164</v>
      </c>
      <c r="F50" s="123" t="s">
        <v>3165</v>
      </c>
      <c r="G50" s="123" t="s">
        <v>288</v>
      </c>
      <c r="H50" s="123" t="s">
        <v>3095</v>
      </c>
      <c r="I50" s="123" t="s">
        <v>107</v>
      </c>
      <c r="J50" s="123" t="s">
        <v>3249</v>
      </c>
      <c r="K50" s="124">
        <v>398.4</v>
      </c>
      <c r="L50" s="124">
        <v>5.36</v>
      </c>
      <c r="M50" s="123" t="s">
        <v>3250</v>
      </c>
      <c r="N50" s="124">
        <v>49.7093</v>
      </c>
      <c r="O50" s="124">
        <v>-112.9402</v>
      </c>
      <c r="P50" s="124">
        <v>960.0</v>
      </c>
      <c r="Q50" s="123" t="s">
        <v>3361</v>
      </c>
      <c r="R50" s="125" t="s">
        <v>3362</v>
      </c>
      <c r="S50" s="123"/>
      <c r="T50" s="125" t="s">
        <v>3170</v>
      </c>
      <c r="U50" s="124">
        <v>1998.0</v>
      </c>
      <c r="V50" s="123"/>
      <c r="W50" s="123" t="s">
        <v>3363</v>
      </c>
      <c r="X50" s="123"/>
    </row>
    <row r="51">
      <c r="A51" s="123" t="s">
        <v>395</v>
      </c>
      <c r="B51" s="123" t="s">
        <v>3364</v>
      </c>
      <c r="C51" s="123"/>
      <c r="D51" s="123" t="s">
        <v>3365</v>
      </c>
      <c r="E51" s="123" t="s">
        <v>3164</v>
      </c>
      <c r="F51" s="123" t="s">
        <v>3164</v>
      </c>
      <c r="G51" s="123" t="s">
        <v>197</v>
      </c>
      <c r="H51" s="123" t="s">
        <v>3094</v>
      </c>
      <c r="I51" s="123" t="s">
        <v>175</v>
      </c>
      <c r="J51" s="123" t="s">
        <v>3366</v>
      </c>
      <c r="K51" s="124">
        <v>570.0</v>
      </c>
      <c r="L51" s="124">
        <v>2.0</v>
      </c>
      <c r="M51" s="123" t="s">
        <v>3250</v>
      </c>
      <c r="N51" s="124">
        <v>55.1119</v>
      </c>
      <c r="O51" s="124">
        <v>-122.8414</v>
      </c>
      <c r="P51" s="124">
        <v>751.0</v>
      </c>
      <c r="Q51" s="123" t="s">
        <v>3367</v>
      </c>
      <c r="R51" s="125" t="s">
        <v>3368</v>
      </c>
      <c r="S51" s="123" t="s">
        <v>3369</v>
      </c>
      <c r="T51" s="125" t="s">
        <v>3370</v>
      </c>
      <c r="U51" s="124">
        <v>2007.0</v>
      </c>
      <c r="V51" s="123"/>
      <c r="W51" s="123" t="s">
        <v>3371</v>
      </c>
      <c r="X51" s="123"/>
    </row>
    <row r="52">
      <c r="A52" s="123" t="s">
        <v>395</v>
      </c>
      <c r="B52" s="123" t="s">
        <v>3372</v>
      </c>
      <c r="C52" s="123"/>
      <c r="D52" s="123" t="s">
        <v>3373</v>
      </c>
      <c r="E52" s="123" t="s">
        <v>3165</v>
      </c>
      <c r="F52" s="123" t="s">
        <v>3165</v>
      </c>
      <c r="G52" s="123" t="s">
        <v>214</v>
      </c>
      <c r="H52" s="123" t="s">
        <v>3184</v>
      </c>
      <c r="I52" s="123" t="s">
        <v>107</v>
      </c>
      <c r="J52" s="123" t="s">
        <v>3249</v>
      </c>
      <c r="K52" s="124">
        <v>905.0</v>
      </c>
      <c r="L52" s="124">
        <v>6.6</v>
      </c>
      <c r="M52" s="123" t="s">
        <v>3250</v>
      </c>
      <c r="N52" s="124">
        <v>43.9201</v>
      </c>
      <c r="O52" s="124">
        <v>-80.4052</v>
      </c>
      <c r="P52" s="124">
        <v>485.0</v>
      </c>
      <c r="Q52" s="123"/>
      <c r="R52" s="125" t="s">
        <v>3170</v>
      </c>
      <c r="S52" s="123"/>
      <c r="T52" s="125" t="s">
        <v>3170</v>
      </c>
      <c r="U52" s="124">
        <v>2014.0</v>
      </c>
      <c r="V52" s="124">
        <v>2014.0</v>
      </c>
      <c r="W52" s="123"/>
      <c r="X52" s="123"/>
    </row>
    <row r="53">
      <c r="A53" s="123" t="s">
        <v>395</v>
      </c>
      <c r="B53" s="123" t="s">
        <v>358</v>
      </c>
      <c r="C53" s="123"/>
      <c r="D53" s="123" t="s">
        <v>3374</v>
      </c>
      <c r="E53" s="123" t="s">
        <v>3164</v>
      </c>
      <c r="F53" s="123" t="s">
        <v>3164</v>
      </c>
      <c r="G53" s="123" t="s">
        <v>86</v>
      </c>
      <c r="H53" s="123" t="s">
        <v>3088</v>
      </c>
      <c r="I53" s="123" t="s">
        <v>107</v>
      </c>
      <c r="J53" s="123" t="s">
        <v>3249</v>
      </c>
      <c r="K53" s="124">
        <v>514.0</v>
      </c>
      <c r="L53" s="124">
        <v>2.6</v>
      </c>
      <c r="M53" s="123" t="s">
        <v>3250</v>
      </c>
      <c r="N53" s="124">
        <v>50.1645</v>
      </c>
      <c r="O53" s="124">
        <v>-97.8762</v>
      </c>
      <c r="P53" s="124">
        <v>261.0</v>
      </c>
      <c r="Q53" s="123" t="s">
        <v>3375</v>
      </c>
      <c r="R53" s="125" t="s">
        <v>3376</v>
      </c>
      <c r="S53" s="123" t="s">
        <v>3375</v>
      </c>
      <c r="T53" s="125" t="s">
        <v>3377</v>
      </c>
      <c r="U53" s="124">
        <v>2009.0</v>
      </c>
      <c r="V53" s="124">
        <v>2011.0</v>
      </c>
      <c r="W53" s="123" t="s">
        <v>3378</v>
      </c>
      <c r="X53" s="123"/>
    </row>
    <row r="54">
      <c r="A54" s="123" t="s">
        <v>395</v>
      </c>
      <c r="B54" s="123" t="s">
        <v>3379</v>
      </c>
      <c r="C54" s="123"/>
      <c r="D54" s="123" t="s">
        <v>3380</v>
      </c>
      <c r="E54" s="123" t="s">
        <v>3164</v>
      </c>
      <c r="F54" s="123" t="s">
        <v>3164</v>
      </c>
      <c r="G54" s="123" t="s">
        <v>86</v>
      </c>
      <c r="H54" s="123" t="s">
        <v>3088</v>
      </c>
      <c r="I54" s="123" t="s">
        <v>107</v>
      </c>
      <c r="J54" s="123" t="s">
        <v>3249</v>
      </c>
      <c r="K54" s="124">
        <v>514.0</v>
      </c>
      <c r="L54" s="124">
        <v>2.6</v>
      </c>
      <c r="M54" s="123" t="s">
        <v>3250</v>
      </c>
      <c r="N54" s="124">
        <v>50.171</v>
      </c>
      <c r="O54" s="124">
        <v>-97.8762</v>
      </c>
      <c r="P54" s="124">
        <v>261.0</v>
      </c>
      <c r="Q54" s="123" t="s">
        <v>3375</v>
      </c>
      <c r="R54" s="125" t="s">
        <v>3381</v>
      </c>
      <c r="S54" s="123" t="s">
        <v>3375</v>
      </c>
      <c r="T54" s="125" t="s">
        <v>3382</v>
      </c>
      <c r="U54" s="124">
        <v>2009.0</v>
      </c>
      <c r="V54" s="124">
        <v>2011.0</v>
      </c>
      <c r="W54" s="123" t="s">
        <v>3378</v>
      </c>
      <c r="X54" s="123"/>
    </row>
    <row r="55">
      <c r="A55" s="123" t="s">
        <v>395</v>
      </c>
      <c r="B55" s="123" t="s">
        <v>3383</v>
      </c>
      <c r="C55" s="123"/>
      <c r="D55" s="123" t="s">
        <v>3384</v>
      </c>
      <c r="E55" s="123" t="s">
        <v>3164</v>
      </c>
      <c r="F55" s="123" t="s">
        <v>3164</v>
      </c>
      <c r="G55" s="123" t="s">
        <v>288</v>
      </c>
      <c r="H55" s="123" t="s">
        <v>3095</v>
      </c>
      <c r="I55" s="123" t="s">
        <v>107</v>
      </c>
      <c r="J55" s="123" t="s">
        <v>3249</v>
      </c>
      <c r="K55" s="124">
        <v>514.0</v>
      </c>
      <c r="L55" s="124">
        <v>2.6</v>
      </c>
      <c r="M55" s="123" t="s">
        <v>3250</v>
      </c>
      <c r="N55" s="124">
        <v>50.1774</v>
      </c>
      <c r="O55" s="124">
        <v>-97.8686</v>
      </c>
      <c r="P55" s="124">
        <v>261.0</v>
      </c>
      <c r="Q55" s="123" t="s">
        <v>3375</v>
      </c>
      <c r="R55" s="125" t="s">
        <v>3385</v>
      </c>
      <c r="S55" s="123" t="s">
        <v>3375</v>
      </c>
      <c r="T55" s="125" t="s">
        <v>3386</v>
      </c>
      <c r="U55" s="124">
        <v>2009.0</v>
      </c>
      <c r="V55" s="124">
        <v>2011.0</v>
      </c>
      <c r="W55" s="123" t="s">
        <v>3378</v>
      </c>
      <c r="X55" s="123"/>
    </row>
    <row r="56">
      <c r="A56" s="123" t="s">
        <v>395</v>
      </c>
      <c r="B56" s="123" t="s">
        <v>3387</v>
      </c>
      <c r="C56" s="123"/>
      <c r="D56" s="123" t="s">
        <v>3388</v>
      </c>
      <c r="E56" s="123" t="s">
        <v>3164</v>
      </c>
      <c r="F56" s="123" t="s">
        <v>3165</v>
      </c>
      <c r="G56" s="123" t="s">
        <v>197</v>
      </c>
      <c r="H56" s="123" t="s">
        <v>3094</v>
      </c>
      <c r="I56" s="123" t="s">
        <v>372</v>
      </c>
      <c r="J56" s="123" t="s">
        <v>3292</v>
      </c>
      <c r="K56" s="124">
        <v>520.0</v>
      </c>
      <c r="L56" s="124">
        <v>-3.2</v>
      </c>
      <c r="M56" s="123" t="s">
        <v>3250</v>
      </c>
      <c r="N56" s="124">
        <v>55.8796</v>
      </c>
      <c r="O56" s="124">
        <v>-98.4808</v>
      </c>
      <c r="P56" s="124">
        <v>259.0</v>
      </c>
      <c r="Q56" s="123" t="s">
        <v>3389</v>
      </c>
      <c r="R56" s="125" t="s">
        <v>3390</v>
      </c>
      <c r="S56" s="123"/>
      <c r="T56" s="125" t="s">
        <v>3170</v>
      </c>
      <c r="U56" s="124">
        <v>1994.0</v>
      </c>
      <c r="V56" s="124">
        <v>2008.0</v>
      </c>
      <c r="W56" s="123" t="s">
        <v>3391</v>
      </c>
      <c r="X56" s="123"/>
    </row>
    <row r="57">
      <c r="A57" s="123" t="s">
        <v>395</v>
      </c>
      <c r="B57" s="123" t="s">
        <v>3392</v>
      </c>
      <c r="C57" s="123"/>
      <c r="D57" s="123" t="s">
        <v>3393</v>
      </c>
      <c r="E57" s="123" t="s">
        <v>3165</v>
      </c>
      <c r="F57" s="123" t="s">
        <v>3165</v>
      </c>
      <c r="G57" s="123" t="s">
        <v>214</v>
      </c>
      <c r="H57" s="123" t="s">
        <v>3184</v>
      </c>
      <c r="I57" s="123" t="s">
        <v>107</v>
      </c>
      <c r="J57" s="123" t="s">
        <v>3249</v>
      </c>
      <c r="K57" s="124">
        <v>943.0</v>
      </c>
      <c r="L57" s="124">
        <v>6.0</v>
      </c>
      <c r="M57" s="123" t="s">
        <v>3250</v>
      </c>
      <c r="N57" s="124">
        <v>45.4094</v>
      </c>
      <c r="O57" s="124">
        <v>-75.5186</v>
      </c>
      <c r="P57" s="124">
        <v>70.0</v>
      </c>
      <c r="Q57" s="123"/>
      <c r="R57" s="125" t="s">
        <v>3170</v>
      </c>
      <c r="S57" s="123"/>
      <c r="T57" s="125" t="s">
        <v>3170</v>
      </c>
      <c r="U57" s="124">
        <v>1998.0</v>
      </c>
      <c r="V57" s="123"/>
      <c r="W57" s="123"/>
      <c r="X57" s="123"/>
    </row>
    <row r="58">
      <c r="A58" s="123" t="s">
        <v>395</v>
      </c>
      <c r="B58" s="123" t="s">
        <v>3394</v>
      </c>
      <c r="C58" s="123"/>
      <c r="D58" s="123" t="s">
        <v>3395</v>
      </c>
      <c r="E58" s="123" t="s">
        <v>3164</v>
      </c>
      <c r="F58" s="123" t="s">
        <v>3165</v>
      </c>
      <c r="G58" s="123" t="s">
        <v>288</v>
      </c>
      <c r="H58" s="123" t="s">
        <v>3095</v>
      </c>
      <c r="I58" s="123" t="s">
        <v>3396</v>
      </c>
      <c r="J58" s="123" t="s">
        <v>3397</v>
      </c>
      <c r="K58" s="124">
        <v>325.0</v>
      </c>
      <c r="L58" s="123"/>
      <c r="M58" s="123" t="s">
        <v>3250</v>
      </c>
      <c r="N58" s="124">
        <v>50.8671</v>
      </c>
      <c r="O58" s="124">
        <v>-111.9045</v>
      </c>
      <c r="P58" s="124">
        <v>712.0</v>
      </c>
      <c r="Q58" s="123" t="s">
        <v>3398</v>
      </c>
      <c r="R58" s="125" t="s">
        <v>3399</v>
      </c>
      <c r="S58" s="123"/>
      <c r="T58" s="125" t="s">
        <v>3170</v>
      </c>
      <c r="U58" s="124">
        <v>2012.0</v>
      </c>
      <c r="V58" s="123"/>
      <c r="W58" s="123" t="s">
        <v>3400</v>
      </c>
      <c r="X58" s="123"/>
    </row>
    <row r="59">
      <c r="A59" s="123" t="s">
        <v>395</v>
      </c>
      <c r="B59" s="123" t="s">
        <v>3401</v>
      </c>
      <c r="C59" s="123"/>
      <c r="D59" s="123" t="s">
        <v>3402</v>
      </c>
      <c r="E59" s="123" t="s">
        <v>3164</v>
      </c>
      <c r="F59" s="123" t="s">
        <v>3165</v>
      </c>
      <c r="G59" s="123" t="s">
        <v>288</v>
      </c>
      <c r="H59" s="123" t="s">
        <v>3095</v>
      </c>
      <c r="I59" s="123" t="s">
        <v>3396</v>
      </c>
      <c r="J59" s="123" t="s">
        <v>3397</v>
      </c>
      <c r="K59" s="124">
        <v>325.0</v>
      </c>
      <c r="L59" s="123"/>
      <c r="M59" s="123" t="s">
        <v>3250</v>
      </c>
      <c r="N59" s="124">
        <v>50.9056</v>
      </c>
      <c r="O59" s="124">
        <v>-111.8823</v>
      </c>
      <c r="P59" s="124">
        <v>700.0</v>
      </c>
      <c r="Q59" s="123" t="s">
        <v>3398</v>
      </c>
      <c r="R59" s="125" t="s">
        <v>3403</v>
      </c>
      <c r="S59" s="123"/>
      <c r="T59" s="125" t="s">
        <v>3170</v>
      </c>
      <c r="U59" s="124">
        <v>2012.0</v>
      </c>
      <c r="V59" s="123"/>
      <c r="W59" s="123" t="s">
        <v>3400</v>
      </c>
      <c r="X59" s="123"/>
    </row>
    <row r="60">
      <c r="A60" s="123" t="s">
        <v>395</v>
      </c>
      <c r="B60" s="123" t="s">
        <v>3404</v>
      </c>
      <c r="C60" s="123"/>
      <c r="D60" s="123" t="s">
        <v>3405</v>
      </c>
      <c r="E60" s="123" t="s">
        <v>3164</v>
      </c>
      <c r="F60" s="123" t="s">
        <v>3165</v>
      </c>
      <c r="G60" s="123" t="s">
        <v>197</v>
      </c>
      <c r="H60" s="123" t="s">
        <v>3094</v>
      </c>
      <c r="I60" s="123" t="s">
        <v>107</v>
      </c>
      <c r="J60" s="123" t="s">
        <v>3249</v>
      </c>
      <c r="K60" s="124">
        <v>1102.7</v>
      </c>
      <c r="L60" s="124">
        <v>7.09</v>
      </c>
      <c r="M60" s="123" t="s">
        <v>3250</v>
      </c>
      <c r="N60" s="124">
        <v>46.4722</v>
      </c>
      <c r="O60" s="124">
        <v>-67.1</v>
      </c>
      <c r="P60" s="124">
        <v>341.0</v>
      </c>
      <c r="Q60" s="123" t="s">
        <v>3406</v>
      </c>
      <c r="R60" s="125" t="s">
        <v>3407</v>
      </c>
      <c r="S60" s="123"/>
      <c r="T60" s="125" t="s">
        <v>3170</v>
      </c>
      <c r="U60" s="124">
        <v>2003.0</v>
      </c>
      <c r="V60" s="123"/>
      <c r="W60" s="123" t="s">
        <v>3408</v>
      </c>
      <c r="X60" s="123"/>
    </row>
    <row r="61">
      <c r="A61" s="123" t="s">
        <v>395</v>
      </c>
      <c r="B61" s="123" t="s">
        <v>1316</v>
      </c>
      <c r="C61" s="123"/>
      <c r="D61" s="123" t="s">
        <v>1317</v>
      </c>
      <c r="E61" s="123" t="s">
        <v>3164</v>
      </c>
      <c r="F61" s="123" t="s">
        <v>3164</v>
      </c>
      <c r="G61" s="123" t="s">
        <v>197</v>
      </c>
      <c r="H61" s="123" t="s">
        <v>3094</v>
      </c>
      <c r="I61" s="123" t="s">
        <v>372</v>
      </c>
      <c r="J61" s="123" t="s">
        <v>3292</v>
      </c>
      <c r="K61" s="124">
        <v>500.29</v>
      </c>
      <c r="L61" s="124">
        <v>-2.89</v>
      </c>
      <c r="M61" s="123" t="s">
        <v>3250</v>
      </c>
      <c r="N61" s="124">
        <v>55.8792</v>
      </c>
      <c r="O61" s="124">
        <v>-98.4839</v>
      </c>
      <c r="P61" s="124">
        <v>260.0</v>
      </c>
      <c r="Q61" s="123" t="s">
        <v>3409</v>
      </c>
      <c r="R61" s="125" t="s">
        <v>3410</v>
      </c>
      <c r="S61" s="123" t="s">
        <v>3409</v>
      </c>
      <c r="T61" s="125" t="s">
        <v>3411</v>
      </c>
      <c r="U61" s="124">
        <v>2002.0</v>
      </c>
      <c r="V61" s="124">
        <v>2005.0</v>
      </c>
      <c r="W61" s="123" t="s">
        <v>3412</v>
      </c>
      <c r="X61" s="123"/>
    </row>
    <row r="62">
      <c r="A62" s="123" t="s">
        <v>395</v>
      </c>
      <c r="B62" s="123" t="s">
        <v>1318</v>
      </c>
      <c r="C62" s="123"/>
      <c r="D62" s="123" t="s">
        <v>1319</v>
      </c>
      <c r="E62" s="123" t="s">
        <v>3164</v>
      </c>
      <c r="F62" s="123" t="s">
        <v>3164</v>
      </c>
      <c r="G62" s="123" t="s">
        <v>197</v>
      </c>
      <c r="H62" s="123" t="s">
        <v>3094</v>
      </c>
      <c r="I62" s="123" t="s">
        <v>372</v>
      </c>
      <c r="J62" s="123" t="s">
        <v>3292</v>
      </c>
      <c r="K62" s="124">
        <v>499.82</v>
      </c>
      <c r="L62" s="124">
        <v>-2.88</v>
      </c>
      <c r="M62" s="123" t="s">
        <v>3250</v>
      </c>
      <c r="N62" s="124">
        <v>55.9058</v>
      </c>
      <c r="O62" s="124">
        <v>-98.5247</v>
      </c>
      <c r="P62" s="124">
        <v>260.0</v>
      </c>
      <c r="Q62" s="123" t="s">
        <v>3409</v>
      </c>
      <c r="R62" s="125" t="s">
        <v>3413</v>
      </c>
      <c r="S62" s="123" t="s">
        <v>3409</v>
      </c>
      <c r="T62" s="125" t="s">
        <v>3414</v>
      </c>
      <c r="U62" s="124">
        <v>2001.0</v>
      </c>
      <c r="V62" s="124">
        <v>2005.0</v>
      </c>
      <c r="W62" s="123" t="s">
        <v>3412</v>
      </c>
      <c r="X62" s="123"/>
    </row>
    <row r="63">
      <c r="A63" s="123" t="s">
        <v>395</v>
      </c>
      <c r="B63" s="123" t="s">
        <v>1320</v>
      </c>
      <c r="C63" s="123"/>
      <c r="D63" s="123" t="s">
        <v>1321</v>
      </c>
      <c r="E63" s="123" t="s">
        <v>3164</v>
      </c>
      <c r="F63" s="123" t="s">
        <v>3164</v>
      </c>
      <c r="G63" s="123" t="s">
        <v>197</v>
      </c>
      <c r="H63" s="123" t="s">
        <v>3094</v>
      </c>
      <c r="I63" s="123" t="s">
        <v>372</v>
      </c>
      <c r="J63" s="123" t="s">
        <v>3292</v>
      </c>
      <c r="K63" s="124">
        <v>502.22</v>
      </c>
      <c r="L63" s="124">
        <v>-2.87</v>
      </c>
      <c r="M63" s="123" t="s">
        <v>3250</v>
      </c>
      <c r="N63" s="124">
        <v>55.9117</v>
      </c>
      <c r="O63" s="124">
        <v>-98.3822</v>
      </c>
      <c r="P63" s="124">
        <v>260.0</v>
      </c>
      <c r="Q63" s="123" t="s">
        <v>3409</v>
      </c>
      <c r="R63" s="125" t="s">
        <v>3415</v>
      </c>
      <c r="S63" s="123" t="s">
        <v>3409</v>
      </c>
      <c r="T63" s="125" t="s">
        <v>3416</v>
      </c>
      <c r="U63" s="124">
        <v>2001.0</v>
      </c>
      <c r="V63" s="124">
        <v>2005.0</v>
      </c>
      <c r="W63" s="123" t="s">
        <v>3412</v>
      </c>
      <c r="X63" s="123"/>
    </row>
    <row r="64">
      <c r="A64" s="123" t="s">
        <v>395</v>
      </c>
      <c r="B64" s="123" t="s">
        <v>1322</v>
      </c>
      <c r="C64" s="123"/>
      <c r="D64" s="123" t="s">
        <v>1323</v>
      </c>
      <c r="E64" s="123" t="s">
        <v>3164</v>
      </c>
      <c r="F64" s="123" t="s">
        <v>3164</v>
      </c>
      <c r="G64" s="123" t="s">
        <v>197</v>
      </c>
      <c r="H64" s="123" t="s">
        <v>3094</v>
      </c>
      <c r="I64" s="123" t="s">
        <v>372</v>
      </c>
      <c r="J64" s="123" t="s">
        <v>3292</v>
      </c>
      <c r="K64" s="124">
        <v>502.22</v>
      </c>
      <c r="L64" s="124">
        <v>-2.87</v>
      </c>
      <c r="M64" s="123" t="s">
        <v>3250</v>
      </c>
      <c r="N64" s="124">
        <v>55.9144</v>
      </c>
      <c r="O64" s="124">
        <v>-98.3806</v>
      </c>
      <c r="P64" s="124">
        <v>260.0</v>
      </c>
      <c r="Q64" s="123" t="s">
        <v>3409</v>
      </c>
      <c r="R64" s="125" t="s">
        <v>3417</v>
      </c>
      <c r="S64" s="123" t="s">
        <v>3409</v>
      </c>
      <c r="T64" s="125" t="s">
        <v>3418</v>
      </c>
      <c r="U64" s="124">
        <v>2002.0</v>
      </c>
      <c r="V64" s="124">
        <v>2004.0</v>
      </c>
      <c r="W64" s="123" t="s">
        <v>3412</v>
      </c>
      <c r="X64" s="123"/>
    </row>
    <row r="65">
      <c r="A65" s="123" t="s">
        <v>395</v>
      </c>
      <c r="B65" s="123" t="s">
        <v>1324</v>
      </c>
      <c r="C65" s="123"/>
      <c r="D65" s="123" t="s">
        <v>1325</v>
      </c>
      <c r="E65" s="123" t="s">
        <v>3164</v>
      </c>
      <c r="F65" s="123" t="s">
        <v>3164</v>
      </c>
      <c r="G65" s="123" t="s">
        <v>197</v>
      </c>
      <c r="H65" s="123" t="s">
        <v>3094</v>
      </c>
      <c r="I65" s="123" t="s">
        <v>372</v>
      </c>
      <c r="J65" s="123" t="s">
        <v>3292</v>
      </c>
      <c r="K65" s="124">
        <v>500.34</v>
      </c>
      <c r="L65" s="124">
        <v>-2.86</v>
      </c>
      <c r="M65" s="123" t="s">
        <v>3250</v>
      </c>
      <c r="N65" s="124">
        <v>55.8631</v>
      </c>
      <c r="O65" s="124">
        <v>-98.485</v>
      </c>
      <c r="P65" s="124">
        <v>260.0</v>
      </c>
      <c r="Q65" s="123" t="s">
        <v>3409</v>
      </c>
      <c r="R65" s="125" t="s">
        <v>3419</v>
      </c>
      <c r="S65" s="123" t="s">
        <v>3409</v>
      </c>
      <c r="T65" s="125" t="s">
        <v>3420</v>
      </c>
      <c r="U65" s="124">
        <v>2001.0</v>
      </c>
      <c r="V65" s="124">
        <v>2005.0</v>
      </c>
      <c r="W65" s="123" t="s">
        <v>3412</v>
      </c>
      <c r="X65" s="123"/>
    </row>
    <row r="66">
      <c r="A66" s="123" t="s">
        <v>395</v>
      </c>
      <c r="B66" s="123" t="s">
        <v>1334</v>
      </c>
      <c r="C66" s="123"/>
      <c r="D66" s="123" t="s">
        <v>1335</v>
      </c>
      <c r="E66" s="123" t="s">
        <v>3164</v>
      </c>
      <c r="F66" s="123" t="s">
        <v>3164</v>
      </c>
      <c r="G66" s="123" t="s">
        <v>292</v>
      </c>
      <c r="H66" s="123" t="s">
        <v>3097</v>
      </c>
      <c r="I66" s="123" t="s">
        <v>372</v>
      </c>
      <c r="J66" s="123" t="s">
        <v>3292</v>
      </c>
      <c r="K66" s="124">
        <v>495.37</v>
      </c>
      <c r="L66" s="124">
        <v>-3.08</v>
      </c>
      <c r="M66" s="123" t="s">
        <v>3250</v>
      </c>
      <c r="N66" s="124">
        <v>55.9167</v>
      </c>
      <c r="O66" s="124">
        <v>-98.9644</v>
      </c>
      <c r="P66" s="124">
        <v>244.0</v>
      </c>
      <c r="Q66" s="123" t="s">
        <v>3409</v>
      </c>
      <c r="R66" s="125" t="s">
        <v>3421</v>
      </c>
      <c r="S66" s="123" t="s">
        <v>3409</v>
      </c>
      <c r="T66" s="125" t="s">
        <v>3422</v>
      </c>
      <c r="U66" s="124">
        <v>2001.0</v>
      </c>
      <c r="V66" s="124">
        <v>2005.0</v>
      </c>
      <c r="W66" s="123" t="s">
        <v>3412</v>
      </c>
      <c r="X66" s="123"/>
    </row>
    <row r="67">
      <c r="A67" s="123" t="s">
        <v>395</v>
      </c>
      <c r="B67" s="123" t="s">
        <v>1337</v>
      </c>
      <c r="C67" s="123"/>
      <c r="D67" s="123" t="s">
        <v>1338</v>
      </c>
      <c r="E67" s="123" t="s">
        <v>3164</v>
      </c>
      <c r="F67" s="123" t="s">
        <v>3164</v>
      </c>
      <c r="G67" s="123" t="s">
        <v>292</v>
      </c>
      <c r="H67" s="123" t="s">
        <v>3097</v>
      </c>
      <c r="I67" s="123" t="s">
        <v>372</v>
      </c>
      <c r="J67" s="123" t="s">
        <v>3292</v>
      </c>
      <c r="K67" s="124">
        <v>483.27</v>
      </c>
      <c r="L67" s="124">
        <v>-3.52</v>
      </c>
      <c r="M67" s="123" t="s">
        <v>3250</v>
      </c>
      <c r="N67" s="124">
        <v>56.6358</v>
      </c>
      <c r="O67" s="124">
        <v>-99.9483</v>
      </c>
      <c r="P67" s="124">
        <v>297.0</v>
      </c>
      <c r="Q67" s="123" t="s">
        <v>3409</v>
      </c>
      <c r="R67" s="125" t="s">
        <v>3423</v>
      </c>
      <c r="S67" s="123" t="s">
        <v>3409</v>
      </c>
      <c r="T67" s="125" t="s">
        <v>3170</v>
      </c>
      <c r="U67" s="124">
        <v>2002.0</v>
      </c>
      <c r="V67" s="124">
        <v>2005.0</v>
      </c>
      <c r="W67" s="123" t="s">
        <v>3412</v>
      </c>
      <c r="X67" s="123"/>
    </row>
    <row r="68">
      <c r="A68" s="123" t="s">
        <v>395</v>
      </c>
      <c r="B68" s="123" t="s">
        <v>3424</v>
      </c>
      <c r="C68" s="123"/>
      <c r="D68" s="123" t="s">
        <v>3425</v>
      </c>
      <c r="E68" s="123" t="s">
        <v>3164</v>
      </c>
      <c r="F68" s="123" t="s">
        <v>3165</v>
      </c>
      <c r="G68" s="123" t="s">
        <v>197</v>
      </c>
      <c r="H68" s="123" t="s">
        <v>3094</v>
      </c>
      <c r="I68" s="123" t="s">
        <v>372</v>
      </c>
      <c r="J68" s="123" t="s">
        <v>3292</v>
      </c>
      <c r="K68" s="124">
        <v>506.69</v>
      </c>
      <c r="L68" s="124">
        <v>-2.71</v>
      </c>
      <c r="M68" s="123" t="s">
        <v>3250</v>
      </c>
      <c r="N68" s="124">
        <v>55.8981</v>
      </c>
      <c r="O68" s="124">
        <v>-98.2161</v>
      </c>
      <c r="P68" s="124">
        <v>274.0</v>
      </c>
      <c r="Q68" s="123" t="s">
        <v>3409</v>
      </c>
      <c r="R68" s="125" t="s">
        <v>3426</v>
      </c>
      <c r="S68" s="123"/>
      <c r="T68" s="125" t="s">
        <v>3170</v>
      </c>
      <c r="U68" s="124">
        <v>2001.0</v>
      </c>
      <c r="V68" s="124">
        <v>2005.0</v>
      </c>
      <c r="W68" s="123" t="s">
        <v>3427</v>
      </c>
      <c r="X68" s="123"/>
    </row>
    <row r="69">
      <c r="A69" s="123" t="s">
        <v>395</v>
      </c>
      <c r="B69" s="123" t="s">
        <v>3428</v>
      </c>
      <c r="C69" s="123"/>
      <c r="D69" s="123" t="s">
        <v>3429</v>
      </c>
      <c r="E69" s="123" t="s">
        <v>3164</v>
      </c>
      <c r="F69" s="123" t="s">
        <v>3165</v>
      </c>
      <c r="G69" s="123" t="s">
        <v>370</v>
      </c>
      <c r="H69" s="123" t="s">
        <v>3091</v>
      </c>
      <c r="I69" s="123" t="s">
        <v>372</v>
      </c>
      <c r="J69" s="123" t="s">
        <v>3292</v>
      </c>
      <c r="K69" s="124">
        <v>428.53</v>
      </c>
      <c r="L69" s="124">
        <v>0.34</v>
      </c>
      <c r="M69" s="123" t="s">
        <v>3250</v>
      </c>
      <c r="N69" s="124">
        <v>53.6289</v>
      </c>
      <c r="O69" s="124">
        <v>-106.1978</v>
      </c>
      <c r="P69" s="124">
        <v>530.0</v>
      </c>
      <c r="Q69" s="123" t="s">
        <v>3269</v>
      </c>
      <c r="R69" s="125" t="s">
        <v>3430</v>
      </c>
      <c r="S69" s="123"/>
      <c r="T69" s="125" t="s">
        <v>3170</v>
      </c>
      <c r="U69" s="124">
        <v>1997.0</v>
      </c>
      <c r="V69" s="123"/>
      <c r="W69" s="123" t="s">
        <v>3427</v>
      </c>
      <c r="X69" s="123"/>
    </row>
    <row r="70">
      <c r="A70" s="123" t="s">
        <v>395</v>
      </c>
      <c r="B70" s="123" t="s">
        <v>3431</v>
      </c>
      <c r="C70" s="123"/>
      <c r="D70" s="123" t="s">
        <v>3432</v>
      </c>
      <c r="E70" s="123" t="s">
        <v>3164</v>
      </c>
      <c r="F70" s="123" t="s">
        <v>3165</v>
      </c>
      <c r="G70" s="123" t="s">
        <v>197</v>
      </c>
      <c r="H70" s="123" t="s">
        <v>3094</v>
      </c>
      <c r="I70" s="123" t="s">
        <v>372</v>
      </c>
      <c r="J70" s="123" t="s">
        <v>3292</v>
      </c>
      <c r="K70" s="124">
        <v>405.6</v>
      </c>
      <c r="L70" s="124">
        <v>0.79</v>
      </c>
      <c r="M70" s="123" t="s">
        <v>3250</v>
      </c>
      <c r="N70" s="124">
        <v>53.9872</v>
      </c>
      <c r="O70" s="124">
        <v>-105.1178</v>
      </c>
      <c r="P70" s="124">
        <v>628.94</v>
      </c>
      <c r="Q70" s="123" t="s">
        <v>3433</v>
      </c>
      <c r="R70" s="125" t="s">
        <v>3434</v>
      </c>
      <c r="S70" s="123"/>
      <c r="T70" s="125" t="s">
        <v>3170</v>
      </c>
      <c r="U70" s="124">
        <v>1999.0</v>
      </c>
      <c r="V70" s="123"/>
      <c r="W70" s="123" t="s">
        <v>3427</v>
      </c>
      <c r="X70" s="123"/>
    </row>
    <row r="71">
      <c r="A71" s="123" t="s">
        <v>395</v>
      </c>
      <c r="B71" s="123" t="s">
        <v>3435</v>
      </c>
      <c r="C71" s="123"/>
      <c r="D71" s="123" t="s">
        <v>3436</v>
      </c>
      <c r="E71" s="123" t="s">
        <v>3164</v>
      </c>
      <c r="F71" s="123" t="s">
        <v>3165</v>
      </c>
      <c r="G71" s="123" t="s">
        <v>197</v>
      </c>
      <c r="H71" s="123" t="s">
        <v>3094</v>
      </c>
      <c r="I71" s="123" t="s">
        <v>372</v>
      </c>
      <c r="J71" s="123" t="s">
        <v>3292</v>
      </c>
      <c r="K71" s="124">
        <v>430.5</v>
      </c>
      <c r="L71" s="124">
        <v>0.12</v>
      </c>
      <c r="M71" s="123" t="s">
        <v>3250</v>
      </c>
      <c r="N71" s="124">
        <v>53.9163</v>
      </c>
      <c r="O71" s="124">
        <v>-104.692</v>
      </c>
      <c r="P71" s="124">
        <v>579.0</v>
      </c>
      <c r="Q71" s="123" t="s">
        <v>3269</v>
      </c>
      <c r="R71" s="125" t="s">
        <v>3437</v>
      </c>
      <c r="S71" s="123"/>
      <c r="T71" s="125" t="s">
        <v>3170</v>
      </c>
      <c r="U71" s="124">
        <v>1999.0</v>
      </c>
      <c r="V71" s="123"/>
      <c r="W71" s="123" t="s">
        <v>3438</v>
      </c>
      <c r="X71" s="123"/>
    </row>
    <row r="72">
      <c r="A72" s="123" t="s">
        <v>395</v>
      </c>
      <c r="B72" s="123" t="s">
        <v>3439</v>
      </c>
      <c r="C72" s="123"/>
      <c r="D72" s="123" t="s">
        <v>3440</v>
      </c>
      <c r="E72" s="123" t="s">
        <v>3164</v>
      </c>
      <c r="F72" s="123" t="s">
        <v>3165</v>
      </c>
      <c r="G72" s="123" t="s">
        <v>452</v>
      </c>
      <c r="H72" s="123" t="s">
        <v>3096</v>
      </c>
      <c r="I72" s="123"/>
      <c r="J72" s="123"/>
      <c r="K72" s="123"/>
      <c r="L72" s="123"/>
      <c r="M72" s="123" t="s">
        <v>3250</v>
      </c>
      <c r="N72" s="124">
        <v>49.7598</v>
      </c>
      <c r="O72" s="124">
        <v>-74.5711</v>
      </c>
      <c r="P72" s="123"/>
      <c r="Q72" s="123" t="s">
        <v>3441</v>
      </c>
      <c r="R72" s="125" t="s">
        <v>3442</v>
      </c>
      <c r="S72" s="123"/>
      <c r="T72" s="125" t="s">
        <v>3170</v>
      </c>
      <c r="U72" s="124">
        <v>2007.0</v>
      </c>
      <c r="V72" s="123"/>
      <c r="W72" s="123" t="s">
        <v>3443</v>
      </c>
      <c r="X72" s="123"/>
    </row>
    <row r="73">
      <c r="A73" s="123" t="s">
        <v>395</v>
      </c>
      <c r="B73" s="123" t="s">
        <v>3444</v>
      </c>
      <c r="C73" s="123"/>
      <c r="D73" s="123" t="s">
        <v>3445</v>
      </c>
      <c r="E73" s="123" t="s">
        <v>3164</v>
      </c>
      <c r="F73" s="123" t="s">
        <v>3165</v>
      </c>
      <c r="G73" s="123" t="s">
        <v>197</v>
      </c>
      <c r="H73" s="123" t="s">
        <v>3094</v>
      </c>
      <c r="I73" s="123" t="s">
        <v>372</v>
      </c>
      <c r="J73" s="123" t="s">
        <v>3292</v>
      </c>
      <c r="K73" s="124">
        <v>949.78</v>
      </c>
      <c r="L73" s="124">
        <v>0.13</v>
      </c>
      <c r="M73" s="123" t="s">
        <v>3250</v>
      </c>
      <c r="N73" s="124">
        <v>49.2671</v>
      </c>
      <c r="O73" s="124">
        <v>-74.0365</v>
      </c>
      <c r="P73" s="124">
        <v>392.3</v>
      </c>
      <c r="Q73" s="123" t="s">
        <v>3446</v>
      </c>
      <c r="R73" s="125" t="s">
        <v>3447</v>
      </c>
      <c r="S73" s="123"/>
      <c r="T73" s="125" t="s">
        <v>3170</v>
      </c>
      <c r="U73" s="124">
        <v>2001.0</v>
      </c>
      <c r="V73" s="123"/>
      <c r="W73" s="123" t="s">
        <v>3427</v>
      </c>
      <c r="X73" s="123"/>
    </row>
    <row r="74">
      <c r="A74" s="123" t="s">
        <v>395</v>
      </c>
      <c r="B74" s="123" t="s">
        <v>3448</v>
      </c>
      <c r="C74" s="123"/>
      <c r="D74" s="123" t="s">
        <v>3449</v>
      </c>
      <c r="E74" s="123" t="s">
        <v>3164</v>
      </c>
      <c r="F74" s="123" t="s">
        <v>3164</v>
      </c>
      <c r="G74" s="123" t="s">
        <v>197</v>
      </c>
      <c r="H74" s="123" t="s">
        <v>3094</v>
      </c>
      <c r="I74" s="123" t="s">
        <v>372</v>
      </c>
      <c r="J74" s="123" t="s">
        <v>3292</v>
      </c>
      <c r="K74" s="124">
        <v>962.32</v>
      </c>
      <c r="L74" s="124">
        <v>-0.36</v>
      </c>
      <c r="M74" s="123" t="s">
        <v>3250</v>
      </c>
      <c r="N74" s="124">
        <v>49.6925</v>
      </c>
      <c r="O74" s="124">
        <v>-74.3421</v>
      </c>
      <c r="P74" s="124">
        <v>382.0</v>
      </c>
      <c r="Q74" s="123" t="s">
        <v>3450</v>
      </c>
      <c r="R74" s="125" t="s">
        <v>3451</v>
      </c>
      <c r="S74" s="123" t="s">
        <v>3450</v>
      </c>
      <c r="T74" s="125" t="s">
        <v>3452</v>
      </c>
      <c r="U74" s="124">
        <v>2003.0</v>
      </c>
      <c r="V74" s="123"/>
      <c r="W74" s="123" t="s">
        <v>3453</v>
      </c>
      <c r="X74" s="123"/>
    </row>
    <row r="75">
      <c r="A75" s="123" t="s">
        <v>395</v>
      </c>
      <c r="B75" s="123" t="s">
        <v>3454</v>
      </c>
      <c r="C75" s="123"/>
      <c r="D75" s="123" t="s">
        <v>3455</v>
      </c>
      <c r="E75" s="123" t="s">
        <v>3165</v>
      </c>
      <c r="F75" s="123" t="s">
        <v>3165</v>
      </c>
      <c r="G75" s="123" t="s">
        <v>214</v>
      </c>
      <c r="H75" s="123" t="s">
        <v>3184</v>
      </c>
      <c r="I75" s="123" t="s">
        <v>445</v>
      </c>
      <c r="J75" s="123" t="s">
        <v>3317</v>
      </c>
      <c r="K75" s="124">
        <v>1152.0</v>
      </c>
      <c r="L75" s="124">
        <v>10.4</v>
      </c>
      <c r="M75" s="123" t="s">
        <v>3250</v>
      </c>
      <c r="N75" s="124">
        <v>49.1313</v>
      </c>
      <c r="O75" s="124">
        <v>-123.1964</v>
      </c>
      <c r="P75" s="123"/>
      <c r="Q75" s="123"/>
      <c r="R75" s="125" t="s">
        <v>3170</v>
      </c>
      <c r="S75" s="123"/>
      <c r="T75" s="125" t="s">
        <v>3170</v>
      </c>
      <c r="U75" s="124">
        <v>2022.0</v>
      </c>
      <c r="V75" s="123"/>
      <c r="W75" s="123"/>
      <c r="X75" s="123"/>
    </row>
    <row r="76">
      <c r="A76" s="123" t="s">
        <v>395</v>
      </c>
      <c r="B76" s="123" t="s">
        <v>3456</v>
      </c>
      <c r="C76" s="123"/>
      <c r="D76" s="123" t="s">
        <v>3457</v>
      </c>
      <c r="E76" s="123" t="s">
        <v>3165</v>
      </c>
      <c r="F76" s="123" t="s">
        <v>3165</v>
      </c>
      <c r="G76" s="123" t="s">
        <v>292</v>
      </c>
      <c r="H76" s="123" t="s">
        <v>3097</v>
      </c>
      <c r="I76" s="123" t="s">
        <v>107</v>
      </c>
      <c r="J76" s="123" t="s">
        <v>3249</v>
      </c>
      <c r="K76" s="124">
        <v>1340.4</v>
      </c>
      <c r="L76" s="124">
        <v>5.0</v>
      </c>
      <c r="M76" s="123" t="s">
        <v>3250</v>
      </c>
      <c r="N76" s="124">
        <v>48.2604</v>
      </c>
      <c r="O76" s="124">
        <v>-58.6632</v>
      </c>
      <c r="P76" s="124">
        <v>150.0</v>
      </c>
      <c r="Q76" s="123"/>
      <c r="R76" s="125" t="s">
        <v>3170</v>
      </c>
      <c r="S76" s="123"/>
      <c r="T76" s="125" t="s">
        <v>3170</v>
      </c>
      <c r="U76" s="124">
        <v>2014.0</v>
      </c>
      <c r="V76" s="123"/>
      <c r="W76" s="123"/>
      <c r="X76" s="123"/>
    </row>
    <row r="77">
      <c r="A77" s="123" t="s">
        <v>395</v>
      </c>
      <c r="B77" s="123" t="s">
        <v>3458</v>
      </c>
      <c r="C77" s="123"/>
      <c r="D77" s="123" t="s">
        <v>3459</v>
      </c>
      <c r="E77" s="123" t="s">
        <v>3165</v>
      </c>
      <c r="F77" s="123" t="s">
        <v>3165</v>
      </c>
      <c r="G77" s="123" t="s">
        <v>292</v>
      </c>
      <c r="H77" s="123" t="s">
        <v>3097</v>
      </c>
      <c r="I77" s="123" t="s">
        <v>107</v>
      </c>
      <c r="J77" s="123" t="s">
        <v>3249</v>
      </c>
      <c r="K77" s="124">
        <v>1340.4</v>
      </c>
      <c r="L77" s="124">
        <v>5.0</v>
      </c>
      <c r="M77" s="123" t="s">
        <v>3250</v>
      </c>
      <c r="N77" s="124">
        <v>48.2632</v>
      </c>
      <c r="O77" s="124">
        <v>-58.667</v>
      </c>
      <c r="P77" s="124">
        <v>162.0</v>
      </c>
      <c r="Q77" s="123"/>
      <c r="R77" s="125" t="s">
        <v>3170</v>
      </c>
      <c r="S77" s="123"/>
      <c r="T77" s="125" t="s">
        <v>3170</v>
      </c>
      <c r="U77" s="124">
        <v>2014.0</v>
      </c>
      <c r="V77" s="123"/>
      <c r="W77" s="123"/>
      <c r="X77" s="123"/>
    </row>
    <row r="78">
      <c r="A78" s="123" t="s">
        <v>395</v>
      </c>
      <c r="B78" s="123" t="s">
        <v>3460</v>
      </c>
      <c r="C78" s="123"/>
      <c r="D78" s="123" t="s">
        <v>3461</v>
      </c>
      <c r="E78" s="123" t="s">
        <v>3164</v>
      </c>
      <c r="F78" s="123" t="s">
        <v>3165</v>
      </c>
      <c r="G78" s="123" t="s">
        <v>214</v>
      </c>
      <c r="H78" s="123" t="s">
        <v>3184</v>
      </c>
      <c r="I78" s="123" t="s">
        <v>372</v>
      </c>
      <c r="J78" s="123" t="s">
        <v>3292</v>
      </c>
      <c r="K78" s="124">
        <v>388.0</v>
      </c>
      <c r="L78" s="124">
        <v>-2.8</v>
      </c>
      <c r="M78" s="123" t="s">
        <v>3250</v>
      </c>
      <c r="N78" s="124">
        <v>61.3089</v>
      </c>
      <c r="O78" s="124">
        <v>-121.2984</v>
      </c>
      <c r="P78" s="124">
        <v>280.0</v>
      </c>
      <c r="Q78" s="123" t="s">
        <v>3462</v>
      </c>
      <c r="R78" s="125" t="s">
        <v>3463</v>
      </c>
      <c r="S78" s="123"/>
      <c r="T78" s="125" t="s">
        <v>3170</v>
      </c>
      <c r="U78" s="124">
        <v>2014.0</v>
      </c>
      <c r="V78" s="124">
        <v>2017.0</v>
      </c>
      <c r="W78" s="123" t="s">
        <v>3464</v>
      </c>
      <c r="X78" s="123"/>
    </row>
    <row r="79">
      <c r="A79" s="123" t="s">
        <v>395</v>
      </c>
      <c r="B79" s="123" t="s">
        <v>3465</v>
      </c>
      <c r="C79" s="123"/>
      <c r="D79" s="123" t="s">
        <v>3466</v>
      </c>
      <c r="E79" s="123" t="s">
        <v>3164</v>
      </c>
      <c r="F79" s="123" t="s">
        <v>3165</v>
      </c>
      <c r="G79" s="123" t="s">
        <v>197</v>
      </c>
      <c r="H79" s="123" t="s">
        <v>3094</v>
      </c>
      <c r="I79" s="123" t="s">
        <v>372</v>
      </c>
      <c r="J79" s="123" t="s">
        <v>3292</v>
      </c>
      <c r="K79" s="124">
        <v>387.6</v>
      </c>
      <c r="L79" s="124">
        <v>-2.8</v>
      </c>
      <c r="M79" s="123" t="s">
        <v>3250</v>
      </c>
      <c r="N79" s="124">
        <v>61.3079</v>
      </c>
      <c r="O79" s="124">
        <v>-121.2992</v>
      </c>
      <c r="P79" s="124">
        <v>285.0</v>
      </c>
      <c r="Q79" s="123" t="s">
        <v>3467</v>
      </c>
      <c r="R79" s="125" t="s">
        <v>3468</v>
      </c>
      <c r="S79" s="123"/>
      <c r="T79" s="125" t="s">
        <v>3170</v>
      </c>
      <c r="U79" s="124">
        <v>2013.0</v>
      </c>
      <c r="V79" s="124">
        <v>2016.0</v>
      </c>
      <c r="W79" s="123" t="s">
        <v>3469</v>
      </c>
      <c r="X79" s="123"/>
    </row>
    <row r="80">
      <c r="A80" s="123" t="s">
        <v>395</v>
      </c>
      <c r="B80" s="123" t="s">
        <v>402</v>
      </c>
      <c r="C80" s="123"/>
      <c r="D80" s="123" t="s">
        <v>3470</v>
      </c>
      <c r="E80" s="123" t="s">
        <v>3164</v>
      </c>
      <c r="F80" s="123" t="s">
        <v>3164</v>
      </c>
      <c r="G80" s="123" t="s">
        <v>197</v>
      </c>
      <c r="H80" s="123" t="s">
        <v>3094</v>
      </c>
      <c r="I80" s="123" t="s">
        <v>372</v>
      </c>
      <c r="J80" s="123" t="s">
        <v>3292</v>
      </c>
      <c r="K80" s="124">
        <v>470.0</v>
      </c>
      <c r="L80" s="124">
        <v>0.4</v>
      </c>
      <c r="M80" s="123" t="s">
        <v>3250</v>
      </c>
      <c r="N80" s="124">
        <v>54.485</v>
      </c>
      <c r="O80" s="124">
        <v>-105.8176</v>
      </c>
      <c r="P80" s="124">
        <v>536.0</v>
      </c>
      <c r="Q80" s="123" t="s">
        <v>3471</v>
      </c>
      <c r="R80" s="125" t="s">
        <v>3472</v>
      </c>
      <c r="S80" s="123" t="s">
        <v>3471</v>
      </c>
      <c r="T80" s="125" t="s">
        <v>3473</v>
      </c>
      <c r="U80" s="124">
        <v>2004.0</v>
      </c>
      <c r="V80" s="124">
        <v>2006.0</v>
      </c>
      <c r="W80" s="123" t="s">
        <v>3474</v>
      </c>
      <c r="X80" s="123"/>
    </row>
    <row r="81">
      <c r="A81" s="123" t="s">
        <v>395</v>
      </c>
      <c r="B81" s="123" t="s">
        <v>3475</v>
      </c>
      <c r="C81" s="123"/>
      <c r="D81" s="123" t="s">
        <v>3476</v>
      </c>
      <c r="E81" s="123" t="s">
        <v>3164</v>
      </c>
      <c r="F81" s="123" t="s">
        <v>3164</v>
      </c>
      <c r="G81" s="123" t="s">
        <v>197</v>
      </c>
      <c r="H81" s="123" t="s">
        <v>3094</v>
      </c>
      <c r="I81" s="123" t="s">
        <v>372</v>
      </c>
      <c r="J81" s="123" t="s">
        <v>3292</v>
      </c>
      <c r="K81" s="124">
        <v>470.0</v>
      </c>
      <c r="L81" s="124">
        <v>0.4</v>
      </c>
      <c r="M81" s="123" t="s">
        <v>3250</v>
      </c>
      <c r="N81" s="124">
        <v>54.2539</v>
      </c>
      <c r="O81" s="124">
        <v>-105.8775</v>
      </c>
      <c r="P81" s="124">
        <v>520.0</v>
      </c>
      <c r="Q81" s="123" t="s">
        <v>3477</v>
      </c>
      <c r="R81" s="125" t="s">
        <v>3478</v>
      </c>
      <c r="S81" s="123" t="s">
        <v>3477</v>
      </c>
      <c r="T81" s="125" t="s">
        <v>3479</v>
      </c>
      <c r="U81" s="124">
        <v>2001.0</v>
      </c>
      <c r="V81" s="124">
        <v>2005.0</v>
      </c>
      <c r="W81" s="123" t="s">
        <v>3480</v>
      </c>
      <c r="X81" s="123"/>
    </row>
    <row r="82">
      <c r="A82" s="123" t="s">
        <v>395</v>
      </c>
      <c r="B82" s="123" t="s">
        <v>3481</v>
      </c>
      <c r="C82" s="123"/>
      <c r="D82" s="123" t="s">
        <v>3482</v>
      </c>
      <c r="E82" s="123" t="s">
        <v>3164</v>
      </c>
      <c r="F82" s="123" t="s">
        <v>3165</v>
      </c>
      <c r="G82" s="123" t="s">
        <v>292</v>
      </c>
      <c r="H82" s="123" t="s">
        <v>3097</v>
      </c>
      <c r="I82" s="123" t="s">
        <v>372</v>
      </c>
      <c r="J82" s="123" t="s">
        <v>3292</v>
      </c>
      <c r="K82" s="124">
        <v>470.0</v>
      </c>
      <c r="L82" s="124">
        <v>0.4</v>
      </c>
      <c r="M82" s="123" t="s">
        <v>3250</v>
      </c>
      <c r="N82" s="124">
        <v>54.0916</v>
      </c>
      <c r="O82" s="124">
        <v>-106.0053</v>
      </c>
      <c r="P82" s="124">
        <v>540.0</v>
      </c>
      <c r="Q82" s="123" t="s">
        <v>3477</v>
      </c>
      <c r="R82" s="125" t="s">
        <v>3483</v>
      </c>
      <c r="S82" s="123"/>
      <c r="T82" s="125" t="s">
        <v>3170</v>
      </c>
      <c r="U82" s="124">
        <v>2001.0</v>
      </c>
      <c r="V82" s="124">
        <v>2006.0</v>
      </c>
      <c r="W82" s="123" t="s">
        <v>3474</v>
      </c>
      <c r="X82" s="123"/>
    </row>
    <row r="83">
      <c r="A83" s="123" t="s">
        <v>395</v>
      </c>
      <c r="B83" s="123" t="s">
        <v>3484</v>
      </c>
      <c r="C83" s="123"/>
      <c r="D83" s="123" t="s">
        <v>3485</v>
      </c>
      <c r="E83" s="123" t="s">
        <v>3164</v>
      </c>
      <c r="F83" s="123" t="s">
        <v>3165</v>
      </c>
      <c r="G83" s="123" t="s">
        <v>197</v>
      </c>
      <c r="H83" s="123" t="s">
        <v>3094</v>
      </c>
      <c r="I83" s="123" t="s">
        <v>372</v>
      </c>
      <c r="J83" s="123" t="s">
        <v>3292</v>
      </c>
      <c r="K83" s="124">
        <v>430.23</v>
      </c>
      <c r="L83" s="124">
        <v>0.13</v>
      </c>
      <c r="M83" s="123" t="s">
        <v>3250</v>
      </c>
      <c r="N83" s="124">
        <v>53.908</v>
      </c>
      <c r="O83" s="124">
        <v>-104.656</v>
      </c>
      <c r="P83" s="124">
        <v>580.0</v>
      </c>
      <c r="Q83" s="123" t="s">
        <v>3486</v>
      </c>
      <c r="R83" s="125" t="s">
        <v>3487</v>
      </c>
      <c r="S83" s="123"/>
      <c r="T83" s="125" t="s">
        <v>3170</v>
      </c>
      <c r="U83" s="124">
        <v>2001.0</v>
      </c>
      <c r="V83" s="123"/>
      <c r="W83" s="123" t="s">
        <v>3488</v>
      </c>
      <c r="X83" s="123"/>
    </row>
    <row r="84">
      <c r="A84" s="123" t="s">
        <v>395</v>
      </c>
      <c r="B84" s="123" t="s">
        <v>3489</v>
      </c>
      <c r="C84" s="123"/>
      <c r="D84" s="123" t="s">
        <v>3490</v>
      </c>
      <c r="E84" s="123" t="s">
        <v>3164</v>
      </c>
      <c r="F84" s="123" t="s">
        <v>3165</v>
      </c>
      <c r="G84" s="123" t="s">
        <v>197</v>
      </c>
      <c r="H84" s="123" t="s">
        <v>3094</v>
      </c>
      <c r="I84" s="123" t="s">
        <v>372</v>
      </c>
      <c r="J84" s="123" t="s">
        <v>3292</v>
      </c>
      <c r="K84" s="124">
        <v>430.03</v>
      </c>
      <c r="L84" s="124">
        <v>0.11</v>
      </c>
      <c r="M84" s="123" t="s">
        <v>3250</v>
      </c>
      <c r="N84" s="124">
        <v>53.945</v>
      </c>
      <c r="O84" s="124">
        <v>-104.649</v>
      </c>
      <c r="P84" s="124">
        <v>580.0</v>
      </c>
      <c r="Q84" s="123" t="s">
        <v>3491</v>
      </c>
      <c r="R84" s="125" t="s">
        <v>3492</v>
      </c>
      <c r="S84" s="123"/>
      <c r="T84" s="125" t="s">
        <v>3170</v>
      </c>
      <c r="U84" s="124">
        <v>2003.0</v>
      </c>
      <c r="V84" s="123"/>
      <c r="W84" s="123" t="s">
        <v>3493</v>
      </c>
      <c r="X84" s="123"/>
    </row>
    <row r="85">
      <c r="A85" s="123" t="s">
        <v>395</v>
      </c>
      <c r="B85" s="123" t="s">
        <v>3494</v>
      </c>
      <c r="C85" s="123"/>
      <c r="D85" s="123" t="s">
        <v>3495</v>
      </c>
      <c r="E85" s="123" t="s">
        <v>3164</v>
      </c>
      <c r="F85" s="123" t="s">
        <v>3165</v>
      </c>
      <c r="G85" s="123" t="s">
        <v>197</v>
      </c>
      <c r="H85" s="123" t="s">
        <v>3094</v>
      </c>
      <c r="I85" s="123" t="s">
        <v>372</v>
      </c>
      <c r="J85" s="123" t="s">
        <v>3292</v>
      </c>
      <c r="K85" s="124">
        <v>433.33</v>
      </c>
      <c r="L85" s="124">
        <v>0.13</v>
      </c>
      <c r="M85" s="123" t="s">
        <v>3250</v>
      </c>
      <c r="N85" s="124">
        <v>53.8758</v>
      </c>
      <c r="O85" s="124">
        <v>-104.6453</v>
      </c>
      <c r="P85" s="123"/>
      <c r="Q85" s="123" t="s">
        <v>3491</v>
      </c>
      <c r="R85" s="125" t="s">
        <v>3496</v>
      </c>
      <c r="S85" s="123"/>
      <c r="T85" s="125" t="s">
        <v>3170</v>
      </c>
      <c r="U85" s="124">
        <v>2004.0</v>
      </c>
      <c r="V85" s="123"/>
      <c r="W85" s="123" t="s">
        <v>3497</v>
      </c>
      <c r="X85" s="123"/>
    </row>
    <row r="86">
      <c r="A86" s="123" t="s">
        <v>395</v>
      </c>
      <c r="B86" s="123" t="s">
        <v>2840</v>
      </c>
      <c r="C86" s="123"/>
      <c r="D86" s="123" t="s">
        <v>3498</v>
      </c>
      <c r="E86" s="123" t="s">
        <v>3164</v>
      </c>
      <c r="F86" s="123" t="s">
        <v>3165</v>
      </c>
      <c r="G86" s="123" t="s">
        <v>197</v>
      </c>
      <c r="H86" s="123" t="s">
        <v>3094</v>
      </c>
      <c r="I86" s="123" t="s">
        <v>372</v>
      </c>
      <c r="J86" s="123" t="s">
        <v>3292</v>
      </c>
      <c r="K86" s="124">
        <v>388.0</v>
      </c>
      <c r="L86" s="124">
        <v>-2.8</v>
      </c>
      <c r="M86" s="123" t="s">
        <v>3250</v>
      </c>
      <c r="N86" s="124">
        <v>63.1534</v>
      </c>
      <c r="O86" s="124">
        <v>-123.2522</v>
      </c>
      <c r="P86" s="124">
        <v>150.0</v>
      </c>
      <c r="Q86" s="124">
        <v>2018.0</v>
      </c>
      <c r="R86" s="125" t="s">
        <v>3499</v>
      </c>
      <c r="S86" s="123"/>
      <c r="T86" s="125" t="s">
        <v>3170</v>
      </c>
      <c r="U86" s="124">
        <v>2017.0</v>
      </c>
      <c r="V86" s="123"/>
      <c r="W86" s="123" t="s">
        <v>3500</v>
      </c>
      <c r="X86" s="123"/>
    </row>
    <row r="87">
      <c r="A87" s="123" t="s">
        <v>395</v>
      </c>
      <c r="B87" s="123" t="s">
        <v>405</v>
      </c>
      <c r="C87" s="123"/>
      <c r="D87" s="123" t="s">
        <v>3501</v>
      </c>
      <c r="E87" s="123" t="s">
        <v>3164</v>
      </c>
      <c r="F87" s="123" t="s">
        <v>3164</v>
      </c>
      <c r="G87" s="123" t="s">
        <v>197</v>
      </c>
      <c r="H87" s="123" t="s">
        <v>3094</v>
      </c>
      <c r="I87" s="123" t="s">
        <v>107</v>
      </c>
      <c r="J87" s="123" t="s">
        <v>3249</v>
      </c>
      <c r="K87" s="124">
        <v>1036.0</v>
      </c>
      <c r="L87" s="124">
        <v>8.0</v>
      </c>
      <c r="M87" s="123" t="s">
        <v>3250</v>
      </c>
      <c r="N87" s="124">
        <v>42.6609</v>
      </c>
      <c r="O87" s="124">
        <v>-80.5595</v>
      </c>
      <c r="P87" s="124">
        <v>265.0</v>
      </c>
      <c r="Q87" s="123" t="s">
        <v>3502</v>
      </c>
      <c r="R87" s="125" t="s">
        <v>3503</v>
      </c>
      <c r="S87" s="123" t="s">
        <v>3502</v>
      </c>
      <c r="T87" s="125" t="s">
        <v>3504</v>
      </c>
      <c r="U87" s="124">
        <v>2003.0</v>
      </c>
      <c r="V87" s="123"/>
      <c r="W87" s="123" t="s">
        <v>3505</v>
      </c>
      <c r="X87" s="123"/>
    </row>
    <row r="88">
      <c r="A88" s="123" t="s">
        <v>395</v>
      </c>
      <c r="B88" s="123" t="s">
        <v>3506</v>
      </c>
      <c r="C88" s="123"/>
      <c r="D88" s="123" t="s">
        <v>3507</v>
      </c>
      <c r="E88" s="123" t="s">
        <v>3164</v>
      </c>
      <c r="F88" s="123" t="s">
        <v>3165</v>
      </c>
      <c r="G88" s="123" t="s">
        <v>197</v>
      </c>
      <c r="H88" s="123" t="s">
        <v>3094</v>
      </c>
      <c r="I88" s="123" t="s">
        <v>107</v>
      </c>
      <c r="J88" s="123" t="s">
        <v>3249</v>
      </c>
      <c r="K88" s="124">
        <v>1036.0</v>
      </c>
      <c r="L88" s="124">
        <v>8.0</v>
      </c>
      <c r="M88" s="123" t="s">
        <v>3250</v>
      </c>
      <c r="N88" s="124">
        <v>42.7744</v>
      </c>
      <c r="O88" s="124">
        <v>-80.4588</v>
      </c>
      <c r="P88" s="124">
        <v>212.0</v>
      </c>
      <c r="Q88" s="123" t="s">
        <v>3508</v>
      </c>
      <c r="R88" s="125" t="s">
        <v>3509</v>
      </c>
      <c r="S88" s="123"/>
      <c r="T88" s="125" t="s">
        <v>3170</v>
      </c>
      <c r="U88" s="124">
        <v>2003.0</v>
      </c>
      <c r="V88" s="124">
        <v>2008.0</v>
      </c>
      <c r="W88" s="123" t="s">
        <v>3510</v>
      </c>
      <c r="X88" s="123"/>
    </row>
    <row r="89">
      <c r="A89" s="123" t="s">
        <v>395</v>
      </c>
      <c r="B89" s="123" t="s">
        <v>3511</v>
      </c>
      <c r="C89" s="123"/>
      <c r="D89" s="123" t="s">
        <v>3512</v>
      </c>
      <c r="E89" s="123" t="s">
        <v>3164</v>
      </c>
      <c r="F89" s="123" t="s">
        <v>3164</v>
      </c>
      <c r="G89" s="123" t="s">
        <v>197</v>
      </c>
      <c r="H89" s="123" t="s">
        <v>3094</v>
      </c>
      <c r="I89" s="123" t="s">
        <v>107</v>
      </c>
      <c r="J89" s="123" t="s">
        <v>3249</v>
      </c>
      <c r="K89" s="124">
        <v>1036.0</v>
      </c>
      <c r="L89" s="124">
        <v>8.0</v>
      </c>
      <c r="M89" s="123" t="s">
        <v>3250</v>
      </c>
      <c r="N89" s="124">
        <v>42.7068</v>
      </c>
      <c r="O89" s="124">
        <v>-80.3483</v>
      </c>
      <c r="P89" s="124">
        <v>184.0</v>
      </c>
      <c r="Q89" s="123" t="s">
        <v>3502</v>
      </c>
      <c r="R89" s="125" t="s">
        <v>3513</v>
      </c>
      <c r="S89" s="123" t="s">
        <v>3502</v>
      </c>
      <c r="T89" s="125" t="s">
        <v>3514</v>
      </c>
      <c r="U89" s="124">
        <v>2003.0</v>
      </c>
      <c r="V89" s="123"/>
      <c r="W89" s="123" t="s">
        <v>3510</v>
      </c>
      <c r="X89" s="123"/>
    </row>
    <row r="90">
      <c r="A90" s="123" t="s">
        <v>395</v>
      </c>
      <c r="B90" s="123" t="s">
        <v>3515</v>
      </c>
      <c r="C90" s="123"/>
      <c r="D90" s="123" t="s">
        <v>3516</v>
      </c>
      <c r="E90" s="123" t="s">
        <v>3164</v>
      </c>
      <c r="F90" s="123" t="s">
        <v>3165</v>
      </c>
      <c r="G90" s="123" t="s">
        <v>197</v>
      </c>
      <c r="H90" s="123" t="s">
        <v>3094</v>
      </c>
      <c r="I90" s="123" t="s">
        <v>107</v>
      </c>
      <c r="J90" s="123" t="s">
        <v>3249</v>
      </c>
      <c r="K90" s="124">
        <v>1036.0</v>
      </c>
      <c r="L90" s="124">
        <v>8.0</v>
      </c>
      <c r="M90" s="123" t="s">
        <v>3250</v>
      </c>
      <c r="N90" s="124">
        <v>42.7102</v>
      </c>
      <c r="O90" s="124">
        <v>-80.3574</v>
      </c>
      <c r="P90" s="124">
        <v>184.0</v>
      </c>
      <c r="Q90" s="123" t="s">
        <v>3502</v>
      </c>
      <c r="R90" s="125" t="s">
        <v>3517</v>
      </c>
      <c r="S90" s="123"/>
      <c r="T90" s="125" t="s">
        <v>3170</v>
      </c>
      <c r="U90" s="124">
        <v>2003.0</v>
      </c>
      <c r="V90" s="123"/>
      <c r="W90" s="123" t="s">
        <v>3518</v>
      </c>
      <c r="X90" s="123"/>
    </row>
    <row r="91">
      <c r="A91" s="123" t="s">
        <v>395</v>
      </c>
      <c r="B91" s="123" t="s">
        <v>3519</v>
      </c>
      <c r="C91" s="123"/>
      <c r="D91" s="123" t="s">
        <v>3520</v>
      </c>
      <c r="E91" s="123" t="s">
        <v>3164</v>
      </c>
      <c r="F91" s="123" t="s">
        <v>3164</v>
      </c>
      <c r="G91" s="123" t="s">
        <v>370</v>
      </c>
      <c r="H91" s="123" t="s">
        <v>3091</v>
      </c>
      <c r="I91" s="123" t="s">
        <v>107</v>
      </c>
      <c r="J91" s="123" t="s">
        <v>3249</v>
      </c>
      <c r="K91" s="124">
        <v>1036.0</v>
      </c>
      <c r="L91" s="124">
        <v>8.0</v>
      </c>
      <c r="M91" s="123" t="s">
        <v>3250</v>
      </c>
      <c r="N91" s="124">
        <v>42.6353</v>
      </c>
      <c r="O91" s="124">
        <v>-80.5577</v>
      </c>
      <c r="P91" s="124">
        <v>260.0</v>
      </c>
      <c r="Q91" s="123" t="s">
        <v>3521</v>
      </c>
      <c r="R91" s="125" t="s">
        <v>3522</v>
      </c>
      <c r="S91" s="123" t="s">
        <v>3521</v>
      </c>
      <c r="T91" s="125" t="s">
        <v>3523</v>
      </c>
      <c r="U91" s="124">
        <v>2012.0</v>
      </c>
      <c r="V91" s="123"/>
      <c r="W91" s="123" t="s">
        <v>3524</v>
      </c>
      <c r="X91" s="123"/>
    </row>
    <row r="92">
      <c r="A92" s="123" t="s">
        <v>395</v>
      </c>
      <c r="B92" s="123" t="s">
        <v>3525</v>
      </c>
      <c r="C92" s="123"/>
      <c r="D92" s="123" t="s">
        <v>3526</v>
      </c>
      <c r="E92" s="123" t="s">
        <v>3164</v>
      </c>
      <c r="F92" s="123" t="s">
        <v>3165</v>
      </c>
      <c r="G92" s="123" t="s">
        <v>292</v>
      </c>
      <c r="H92" s="123" t="s">
        <v>3097</v>
      </c>
      <c r="I92" s="123" t="s">
        <v>372</v>
      </c>
      <c r="J92" s="123" t="s">
        <v>3292</v>
      </c>
      <c r="K92" s="124">
        <v>240.6</v>
      </c>
      <c r="L92" s="124">
        <v>-8.2</v>
      </c>
      <c r="M92" s="123" t="s">
        <v>3250</v>
      </c>
      <c r="N92" s="124">
        <v>68.7462</v>
      </c>
      <c r="O92" s="124">
        <v>-133.5017</v>
      </c>
      <c r="P92" s="124">
        <v>85.0</v>
      </c>
      <c r="Q92" s="124">
        <v>2017.0</v>
      </c>
      <c r="R92" s="125" t="s">
        <v>3527</v>
      </c>
      <c r="S92" s="123"/>
      <c r="T92" s="125" t="s">
        <v>3170</v>
      </c>
      <c r="U92" s="124">
        <v>2013.0</v>
      </c>
      <c r="V92" s="124">
        <v>2017.0</v>
      </c>
      <c r="W92" s="123" t="s">
        <v>3528</v>
      </c>
      <c r="X92" s="123"/>
    </row>
    <row r="93">
      <c r="A93" s="123" t="s">
        <v>395</v>
      </c>
      <c r="B93" s="123" t="s">
        <v>3529</v>
      </c>
      <c r="C93" s="123"/>
      <c r="D93" s="123" t="s">
        <v>3530</v>
      </c>
      <c r="E93" s="123" t="s">
        <v>3164</v>
      </c>
      <c r="F93" s="123" t="s">
        <v>3165</v>
      </c>
      <c r="G93" s="123" t="s">
        <v>214</v>
      </c>
      <c r="H93" s="123" t="s">
        <v>3184</v>
      </c>
      <c r="I93" s="123" t="s">
        <v>372</v>
      </c>
      <c r="J93" s="123" t="s">
        <v>3292</v>
      </c>
      <c r="K93" s="124">
        <v>461.07</v>
      </c>
      <c r="L93" s="124">
        <v>1.1</v>
      </c>
      <c r="M93" s="123" t="s">
        <v>3250</v>
      </c>
      <c r="N93" s="124">
        <v>54.9538</v>
      </c>
      <c r="O93" s="124">
        <v>-112.467</v>
      </c>
      <c r="P93" s="124">
        <v>540.0</v>
      </c>
      <c r="Q93" s="123" t="s">
        <v>3531</v>
      </c>
      <c r="R93" s="125" t="s">
        <v>3532</v>
      </c>
      <c r="S93" s="123"/>
      <c r="T93" s="125" t="s">
        <v>3170</v>
      </c>
      <c r="U93" s="124">
        <v>2003.0</v>
      </c>
      <c r="V93" s="123"/>
      <c r="W93" s="123" t="s">
        <v>3533</v>
      </c>
      <c r="X93" s="123"/>
    </row>
    <row r="94">
      <c r="A94" s="123" t="s">
        <v>395</v>
      </c>
      <c r="B94" s="123" t="s">
        <v>3534</v>
      </c>
      <c r="C94" s="123"/>
      <c r="D94" s="123" t="s">
        <v>3535</v>
      </c>
      <c r="E94" s="123" t="s">
        <v>3164</v>
      </c>
      <c r="F94" s="123" t="s">
        <v>3165</v>
      </c>
      <c r="G94" s="123" t="s">
        <v>214</v>
      </c>
      <c r="H94" s="123" t="s">
        <v>3184</v>
      </c>
      <c r="I94" s="123" t="s">
        <v>372</v>
      </c>
      <c r="J94" s="123" t="s">
        <v>3292</v>
      </c>
      <c r="K94" s="123"/>
      <c r="L94" s="123"/>
      <c r="M94" s="123" t="s">
        <v>3250</v>
      </c>
      <c r="N94" s="124">
        <v>55.5375</v>
      </c>
      <c r="O94" s="124">
        <v>-112.3343</v>
      </c>
      <c r="P94" s="123"/>
      <c r="Q94" s="123" t="s">
        <v>3536</v>
      </c>
      <c r="R94" s="125" t="s">
        <v>3537</v>
      </c>
      <c r="S94" s="123"/>
      <c r="T94" s="125" t="s">
        <v>3170</v>
      </c>
      <c r="U94" s="124">
        <v>2004.0</v>
      </c>
      <c r="V94" s="124">
        <v>2004.0</v>
      </c>
      <c r="W94" s="123" t="s">
        <v>3538</v>
      </c>
      <c r="X94" s="123"/>
    </row>
    <row r="95">
      <c r="A95" s="123" t="s">
        <v>395</v>
      </c>
      <c r="B95" s="123" t="s">
        <v>3539</v>
      </c>
      <c r="C95" s="123"/>
      <c r="D95" s="123" t="s">
        <v>3540</v>
      </c>
      <c r="E95" s="123" t="s">
        <v>3164</v>
      </c>
      <c r="F95" s="123" t="s">
        <v>3165</v>
      </c>
      <c r="G95" s="123" t="s">
        <v>214</v>
      </c>
      <c r="H95" s="123" t="s">
        <v>3184</v>
      </c>
      <c r="I95" s="123" t="s">
        <v>372</v>
      </c>
      <c r="J95" s="123" t="s">
        <v>3292</v>
      </c>
      <c r="K95" s="123"/>
      <c r="L95" s="123"/>
      <c r="M95" s="123" t="s">
        <v>3250</v>
      </c>
      <c r="N95" s="124">
        <v>54.47</v>
      </c>
      <c r="O95" s="124">
        <v>-113.32</v>
      </c>
      <c r="P95" s="123"/>
      <c r="Q95" s="123" t="s">
        <v>3536</v>
      </c>
      <c r="R95" s="125" t="s">
        <v>3541</v>
      </c>
      <c r="S95" s="123"/>
      <c r="T95" s="125" t="s">
        <v>3170</v>
      </c>
      <c r="U95" s="124">
        <v>2004.0</v>
      </c>
      <c r="V95" s="124">
        <v>2004.0</v>
      </c>
      <c r="W95" s="123" t="s">
        <v>3538</v>
      </c>
      <c r="X95" s="123"/>
    </row>
    <row r="96">
      <c r="A96" s="123" t="s">
        <v>1361</v>
      </c>
      <c r="B96" s="123" t="s">
        <v>3542</v>
      </c>
      <c r="C96" s="123"/>
      <c r="D96" s="123" t="s">
        <v>3543</v>
      </c>
      <c r="E96" s="123" t="s">
        <v>3165</v>
      </c>
      <c r="F96" s="123" t="s">
        <v>3165</v>
      </c>
      <c r="G96" s="123" t="s">
        <v>197</v>
      </c>
      <c r="H96" s="123" t="s">
        <v>3094</v>
      </c>
      <c r="I96" s="123" t="s">
        <v>376</v>
      </c>
      <c r="J96" s="123" t="s">
        <v>3166</v>
      </c>
      <c r="K96" s="124">
        <v>4500.0</v>
      </c>
      <c r="L96" s="124">
        <v>7.3</v>
      </c>
      <c r="M96" s="123" t="s">
        <v>3544</v>
      </c>
      <c r="N96" s="124">
        <v>-40.1726</v>
      </c>
      <c r="O96" s="124">
        <v>-73.4439</v>
      </c>
      <c r="P96" s="124">
        <v>822.0</v>
      </c>
      <c r="Q96" s="123"/>
      <c r="R96" s="125" t="s">
        <v>3170</v>
      </c>
      <c r="S96" s="123"/>
      <c r="T96" s="125" t="s">
        <v>3170</v>
      </c>
      <c r="U96" s="124">
        <v>2018.0</v>
      </c>
      <c r="V96" s="123"/>
      <c r="W96" s="123"/>
      <c r="X96" s="123"/>
    </row>
    <row r="97">
      <c r="A97" s="123" t="s">
        <v>1361</v>
      </c>
      <c r="B97" s="123" t="s">
        <v>1897</v>
      </c>
      <c r="C97" s="123"/>
      <c r="D97" s="123" t="s">
        <v>3545</v>
      </c>
      <c r="E97" s="123" t="s">
        <v>3164</v>
      </c>
      <c r="F97" s="123" t="s">
        <v>3165</v>
      </c>
      <c r="G97" s="123" t="s">
        <v>336</v>
      </c>
      <c r="H97" s="123" t="s">
        <v>3093</v>
      </c>
      <c r="I97" s="123" t="s">
        <v>376</v>
      </c>
      <c r="J97" s="123" t="s">
        <v>3166</v>
      </c>
      <c r="K97" s="124">
        <v>2110.0</v>
      </c>
      <c r="L97" s="124">
        <v>10.0</v>
      </c>
      <c r="M97" s="123" t="s">
        <v>3544</v>
      </c>
      <c r="N97" s="124">
        <v>-41.883</v>
      </c>
      <c r="O97" s="124">
        <v>-73.676</v>
      </c>
      <c r="P97" s="124">
        <v>50.0</v>
      </c>
      <c r="Q97" s="123" t="s">
        <v>3546</v>
      </c>
      <c r="R97" s="125" t="s">
        <v>3547</v>
      </c>
      <c r="S97" s="123"/>
      <c r="T97" s="125" t="s">
        <v>3170</v>
      </c>
      <c r="U97" s="124">
        <v>2014.0</v>
      </c>
      <c r="V97" s="123"/>
      <c r="W97" s="123" t="s">
        <v>3548</v>
      </c>
      <c r="X97" s="123"/>
    </row>
    <row r="98">
      <c r="A98" s="123" t="s">
        <v>1361</v>
      </c>
      <c r="B98" s="123" t="s">
        <v>3549</v>
      </c>
      <c r="C98" s="123"/>
      <c r="D98" s="123" t="s">
        <v>3550</v>
      </c>
      <c r="E98" s="123" t="s">
        <v>3164</v>
      </c>
      <c r="F98" s="123" t="s">
        <v>3165</v>
      </c>
      <c r="G98" s="123" t="s">
        <v>214</v>
      </c>
      <c r="H98" s="123" t="s">
        <v>3184</v>
      </c>
      <c r="I98" s="123" t="s">
        <v>376</v>
      </c>
      <c r="J98" s="123" t="s">
        <v>3166</v>
      </c>
      <c r="K98" s="124">
        <v>2110.0</v>
      </c>
      <c r="L98" s="124">
        <v>10.0</v>
      </c>
      <c r="M98" s="123" t="s">
        <v>3544</v>
      </c>
      <c r="N98" s="124">
        <v>-41.879</v>
      </c>
      <c r="O98" s="124">
        <v>-73.666</v>
      </c>
      <c r="P98" s="124">
        <v>50.0</v>
      </c>
      <c r="Q98" s="123" t="s">
        <v>3546</v>
      </c>
      <c r="R98" s="125" t="s">
        <v>3551</v>
      </c>
      <c r="S98" s="123"/>
      <c r="T98" s="125" t="s">
        <v>3170</v>
      </c>
      <c r="U98" s="124">
        <v>2014.0</v>
      </c>
      <c r="V98" s="123"/>
      <c r="W98" s="123" t="s">
        <v>3548</v>
      </c>
      <c r="X98" s="123"/>
    </row>
    <row r="99">
      <c r="A99" s="123" t="s">
        <v>1513</v>
      </c>
      <c r="B99" s="123" t="s">
        <v>3552</v>
      </c>
      <c r="C99" s="123"/>
      <c r="D99" s="123" t="s">
        <v>3553</v>
      </c>
      <c r="E99" s="123" t="s">
        <v>3165</v>
      </c>
      <c r="F99" s="123" t="s">
        <v>3165</v>
      </c>
      <c r="G99" s="123" t="s">
        <v>214</v>
      </c>
      <c r="H99" s="123" t="s">
        <v>3184</v>
      </c>
      <c r="I99" s="123"/>
      <c r="J99" s="123"/>
      <c r="K99" s="123"/>
      <c r="L99" s="123"/>
      <c r="M99" s="123" t="s">
        <v>3554</v>
      </c>
      <c r="N99" s="124">
        <v>4.9139</v>
      </c>
      <c r="O99" s="124">
        <v>-73.7365</v>
      </c>
      <c r="P99" s="124">
        <v>3001.0</v>
      </c>
      <c r="Q99" s="123"/>
      <c r="R99" s="125" t="s">
        <v>3170</v>
      </c>
      <c r="S99" s="123"/>
      <c r="T99" s="125" t="s">
        <v>3170</v>
      </c>
      <c r="U99" s="124">
        <v>2023.0</v>
      </c>
      <c r="V99" s="123"/>
      <c r="W99" s="123"/>
      <c r="X99" s="123"/>
    </row>
    <row r="100">
      <c r="A100" s="123" t="s">
        <v>1513</v>
      </c>
      <c r="B100" s="123" t="s">
        <v>3555</v>
      </c>
      <c r="C100" s="123"/>
      <c r="D100" s="123" t="s">
        <v>3556</v>
      </c>
      <c r="E100" s="123" t="s">
        <v>3165</v>
      </c>
      <c r="F100" s="123" t="s">
        <v>3165</v>
      </c>
      <c r="G100" s="123" t="s">
        <v>214</v>
      </c>
      <c r="H100" s="123" t="s">
        <v>3184</v>
      </c>
      <c r="I100" s="123"/>
      <c r="J100" s="123"/>
      <c r="K100" s="123"/>
      <c r="L100" s="123"/>
      <c r="M100" s="123" t="s">
        <v>3554</v>
      </c>
      <c r="N100" s="124">
        <v>4.9168</v>
      </c>
      <c r="O100" s="124">
        <v>-73.7429</v>
      </c>
      <c r="P100" s="124">
        <v>3002.0</v>
      </c>
      <c r="Q100" s="123"/>
      <c r="R100" s="125" t="s">
        <v>3170</v>
      </c>
      <c r="S100" s="123"/>
      <c r="T100" s="125" t="s">
        <v>3170</v>
      </c>
      <c r="U100" s="124">
        <v>2023.0</v>
      </c>
      <c r="V100" s="123"/>
      <c r="W100" s="123"/>
      <c r="X100" s="123"/>
    </row>
    <row r="101">
      <c r="A101" s="123" t="s">
        <v>926</v>
      </c>
      <c r="B101" s="123" t="s">
        <v>3557</v>
      </c>
      <c r="C101" s="123"/>
      <c r="D101" s="123" t="s">
        <v>3558</v>
      </c>
      <c r="E101" s="123" t="s">
        <v>3165</v>
      </c>
      <c r="F101" s="123" t="s">
        <v>3165</v>
      </c>
      <c r="G101" s="123" t="s">
        <v>336</v>
      </c>
      <c r="H101" s="123" t="s">
        <v>3093</v>
      </c>
      <c r="I101" s="123" t="s">
        <v>784</v>
      </c>
      <c r="J101" s="123" t="s">
        <v>3202</v>
      </c>
      <c r="K101" s="124">
        <v>4200.0</v>
      </c>
      <c r="L101" s="124">
        <v>25.8</v>
      </c>
      <c r="M101" s="123" t="s">
        <v>3559</v>
      </c>
      <c r="N101" s="124">
        <v>10.4322</v>
      </c>
      <c r="O101" s="124">
        <v>-84.0106</v>
      </c>
      <c r="P101" s="124">
        <v>40.0</v>
      </c>
      <c r="Q101" s="123"/>
      <c r="R101" s="125" t="s">
        <v>3170</v>
      </c>
      <c r="S101" s="123"/>
      <c r="T101" s="125" t="s">
        <v>3170</v>
      </c>
      <c r="U101" s="124">
        <v>2022.0</v>
      </c>
      <c r="V101" s="123"/>
      <c r="W101" s="123"/>
      <c r="X101" s="123"/>
    </row>
    <row r="102">
      <c r="A102" s="123" t="s">
        <v>926</v>
      </c>
      <c r="B102" s="123" t="s">
        <v>3560</v>
      </c>
      <c r="C102" s="123"/>
      <c r="D102" s="123" t="s">
        <v>3561</v>
      </c>
      <c r="E102" s="123" t="s">
        <v>3164</v>
      </c>
      <c r="F102" s="123" t="s">
        <v>3165</v>
      </c>
      <c r="G102" s="123" t="s">
        <v>86</v>
      </c>
      <c r="H102" s="123" t="s">
        <v>3088</v>
      </c>
      <c r="I102" s="123" t="s">
        <v>335</v>
      </c>
      <c r="J102" s="123" t="s">
        <v>3206</v>
      </c>
      <c r="K102" s="123"/>
      <c r="L102" s="123"/>
      <c r="M102" s="123" t="s">
        <v>3559</v>
      </c>
      <c r="N102" s="124">
        <v>10.4189</v>
      </c>
      <c r="O102" s="124">
        <v>-85.4732</v>
      </c>
      <c r="P102" s="124">
        <v>18.0</v>
      </c>
      <c r="Q102" s="123" t="s">
        <v>3562</v>
      </c>
      <c r="R102" s="125" t="s">
        <v>3563</v>
      </c>
      <c r="S102" s="123"/>
      <c r="T102" s="125" t="s">
        <v>3170</v>
      </c>
      <c r="U102" s="124">
        <v>2014.0</v>
      </c>
      <c r="V102" s="123"/>
      <c r="W102" s="123" t="s">
        <v>3564</v>
      </c>
      <c r="X102" s="123"/>
    </row>
    <row r="103">
      <c r="A103" s="123" t="s">
        <v>926</v>
      </c>
      <c r="B103" s="123" t="s">
        <v>3565</v>
      </c>
      <c r="C103" s="123"/>
      <c r="D103" s="123" t="s">
        <v>3566</v>
      </c>
      <c r="E103" s="123" t="s">
        <v>3164</v>
      </c>
      <c r="F103" s="123" t="s">
        <v>3165</v>
      </c>
      <c r="G103" s="123" t="s">
        <v>336</v>
      </c>
      <c r="H103" s="123" t="s">
        <v>3093</v>
      </c>
      <c r="I103" s="123" t="s">
        <v>1024</v>
      </c>
      <c r="J103" s="123" t="s">
        <v>3126</v>
      </c>
      <c r="K103" s="124">
        <v>3965.57</v>
      </c>
      <c r="L103" s="124">
        <v>25.9</v>
      </c>
      <c r="M103" s="123" t="s">
        <v>3559</v>
      </c>
      <c r="N103" s="124">
        <v>10.4233</v>
      </c>
      <c r="O103" s="124">
        <v>-84.0211</v>
      </c>
      <c r="P103" s="124">
        <v>100.0</v>
      </c>
      <c r="Q103" s="123" t="s">
        <v>3567</v>
      </c>
      <c r="R103" s="125" t="s">
        <v>3568</v>
      </c>
      <c r="S103" s="123"/>
      <c r="T103" s="125" t="s">
        <v>3170</v>
      </c>
      <c r="U103" s="124">
        <v>1998.0</v>
      </c>
      <c r="V103" s="123"/>
      <c r="W103" s="123" t="s">
        <v>3427</v>
      </c>
      <c r="X103" s="123"/>
    </row>
    <row r="104">
      <c r="A104" s="123" t="s">
        <v>926</v>
      </c>
      <c r="B104" s="123" t="s">
        <v>3569</v>
      </c>
      <c r="C104" s="123"/>
      <c r="D104" s="123" t="s">
        <v>3570</v>
      </c>
      <c r="E104" s="123" t="s">
        <v>3165</v>
      </c>
      <c r="F104" s="123" t="s">
        <v>3165</v>
      </c>
      <c r="G104" s="123" t="s">
        <v>86</v>
      </c>
      <c r="H104" s="123" t="s">
        <v>3088</v>
      </c>
      <c r="I104" s="123" t="s">
        <v>335</v>
      </c>
      <c r="J104" s="123" t="s">
        <v>3206</v>
      </c>
      <c r="K104" s="123"/>
      <c r="L104" s="123"/>
      <c r="M104" s="123" t="s">
        <v>3559</v>
      </c>
      <c r="N104" s="124">
        <v>10.0829</v>
      </c>
      <c r="O104" s="124">
        <v>-85.4694</v>
      </c>
      <c r="P104" s="124">
        <v>166.0</v>
      </c>
      <c r="Q104" s="123"/>
      <c r="R104" s="125" t="s">
        <v>3170</v>
      </c>
      <c r="S104" s="123"/>
      <c r="T104" s="125" t="s">
        <v>3170</v>
      </c>
      <c r="U104" s="124">
        <v>2014.0</v>
      </c>
      <c r="V104" s="123"/>
      <c r="W104" s="123"/>
      <c r="X104" s="123"/>
    </row>
    <row r="105">
      <c r="A105" s="123" t="s">
        <v>926</v>
      </c>
      <c r="B105" s="123" t="s">
        <v>3571</v>
      </c>
      <c r="C105" s="123"/>
      <c r="D105" s="123" t="s">
        <v>3572</v>
      </c>
      <c r="E105" s="123" t="s">
        <v>3164</v>
      </c>
      <c r="F105" s="123" t="s">
        <v>3165</v>
      </c>
      <c r="G105" s="123" t="s">
        <v>336</v>
      </c>
      <c r="H105" s="123" t="s">
        <v>3093</v>
      </c>
      <c r="I105" s="123" t="s">
        <v>784</v>
      </c>
      <c r="J105" s="123" t="s">
        <v>3202</v>
      </c>
      <c r="K105" s="124">
        <v>4200.0</v>
      </c>
      <c r="L105" s="124">
        <v>23.1</v>
      </c>
      <c r="M105" s="123" t="s">
        <v>3559</v>
      </c>
      <c r="N105" s="124">
        <v>10.3827</v>
      </c>
      <c r="O105" s="124">
        <v>-84.621</v>
      </c>
      <c r="P105" s="124">
        <v>538.0</v>
      </c>
      <c r="Q105" s="123" t="s">
        <v>3562</v>
      </c>
      <c r="R105" s="125" t="s">
        <v>3573</v>
      </c>
      <c r="S105" s="123"/>
      <c r="T105" s="125" t="s">
        <v>3170</v>
      </c>
      <c r="U105" s="124">
        <v>2014.0</v>
      </c>
      <c r="V105" s="124">
        <v>2019.0</v>
      </c>
      <c r="W105" s="123" t="s">
        <v>3574</v>
      </c>
      <c r="X105" s="123"/>
    </row>
    <row r="106">
      <c r="A106" s="123" t="s">
        <v>1111</v>
      </c>
      <c r="B106" s="123" t="s">
        <v>3575</v>
      </c>
      <c r="C106" s="123"/>
      <c r="D106" s="123" t="s">
        <v>3576</v>
      </c>
      <c r="E106" s="123" t="s">
        <v>3164</v>
      </c>
      <c r="F106" s="123" t="s">
        <v>3165</v>
      </c>
      <c r="G106" s="123" t="s">
        <v>370</v>
      </c>
      <c r="H106" s="123" t="s">
        <v>3091</v>
      </c>
      <c r="I106" s="123" t="s">
        <v>2407</v>
      </c>
      <c r="J106" s="123" t="s">
        <v>3208</v>
      </c>
      <c r="K106" s="124">
        <v>732.0</v>
      </c>
      <c r="L106" s="124">
        <v>24.2</v>
      </c>
      <c r="M106" s="123" t="s">
        <v>3577</v>
      </c>
      <c r="N106" s="124">
        <v>26.9968</v>
      </c>
      <c r="O106" s="124">
        <v>-108.7892</v>
      </c>
      <c r="P106" s="124">
        <v>367.284</v>
      </c>
      <c r="Q106" s="123" t="s">
        <v>3578</v>
      </c>
      <c r="R106" s="125" t="s">
        <v>3579</v>
      </c>
      <c r="S106" s="123"/>
      <c r="T106" s="125" t="s">
        <v>3170</v>
      </c>
      <c r="U106" s="124">
        <v>2016.0</v>
      </c>
      <c r="V106" s="124">
        <v>2018.0</v>
      </c>
      <c r="W106" s="123" t="s">
        <v>3580</v>
      </c>
      <c r="X106" s="123"/>
    </row>
    <row r="107">
      <c r="A107" s="123" t="s">
        <v>1111</v>
      </c>
      <c r="B107" s="123" t="s">
        <v>3581</v>
      </c>
      <c r="C107" s="123"/>
      <c r="D107" s="123" t="s">
        <v>3582</v>
      </c>
      <c r="E107" s="123" t="s">
        <v>3165</v>
      </c>
      <c r="F107" s="123" t="s">
        <v>3165</v>
      </c>
      <c r="G107" s="123" t="s">
        <v>370</v>
      </c>
      <c r="H107" s="123" t="s">
        <v>3091</v>
      </c>
      <c r="I107" s="123" t="s">
        <v>2407</v>
      </c>
      <c r="J107" s="123" t="s">
        <v>3208</v>
      </c>
      <c r="K107" s="124">
        <v>732.0</v>
      </c>
      <c r="L107" s="124">
        <v>24.2</v>
      </c>
      <c r="M107" s="123" t="s">
        <v>3577</v>
      </c>
      <c r="N107" s="124">
        <v>27.0046</v>
      </c>
      <c r="O107" s="124">
        <v>-108.7795</v>
      </c>
      <c r="P107" s="124">
        <v>384.0</v>
      </c>
      <c r="Q107" s="123"/>
      <c r="R107" s="125" t="s">
        <v>3170</v>
      </c>
      <c r="S107" s="123"/>
      <c r="T107" s="125" t="s">
        <v>3170</v>
      </c>
      <c r="U107" s="124">
        <v>2015.0</v>
      </c>
      <c r="V107" s="124">
        <v>2020.0</v>
      </c>
      <c r="W107" s="123"/>
      <c r="X107" s="123"/>
    </row>
    <row r="108">
      <c r="A108" s="123" t="s">
        <v>1111</v>
      </c>
      <c r="B108" s="123" t="s">
        <v>3583</v>
      </c>
      <c r="C108" s="123"/>
      <c r="D108" s="123" t="s">
        <v>3584</v>
      </c>
      <c r="E108" s="123" t="s">
        <v>3165</v>
      </c>
      <c r="F108" s="123" t="s">
        <v>3165</v>
      </c>
      <c r="G108" s="123" t="s">
        <v>292</v>
      </c>
      <c r="H108" s="123" t="s">
        <v>3097</v>
      </c>
      <c r="I108" s="123" t="s">
        <v>303</v>
      </c>
      <c r="J108" s="123" t="s">
        <v>3585</v>
      </c>
      <c r="K108" s="124">
        <v>476.0</v>
      </c>
      <c r="L108" s="124">
        <v>17.1</v>
      </c>
      <c r="M108" s="123" t="s">
        <v>3577</v>
      </c>
      <c r="N108" s="124">
        <v>20.7168</v>
      </c>
      <c r="O108" s="124">
        <v>-99.9413</v>
      </c>
      <c r="P108" s="124">
        <v>2050.0</v>
      </c>
      <c r="Q108" s="123"/>
      <c r="R108" s="125" t="s">
        <v>3170</v>
      </c>
      <c r="S108" s="123"/>
      <c r="T108" s="125" t="s">
        <v>3170</v>
      </c>
      <c r="U108" s="124">
        <v>2017.0</v>
      </c>
      <c r="V108" s="124">
        <v>2018.0</v>
      </c>
      <c r="W108" s="123"/>
      <c r="X108" s="123"/>
    </row>
    <row r="109">
      <c r="A109" s="123" t="s">
        <v>1111</v>
      </c>
      <c r="B109" s="123" t="s">
        <v>3586</v>
      </c>
      <c r="C109" s="123"/>
      <c r="D109" s="123" t="s">
        <v>3587</v>
      </c>
      <c r="E109" s="123" t="s">
        <v>3165</v>
      </c>
      <c r="F109" s="123" t="s">
        <v>3165</v>
      </c>
      <c r="G109" s="123" t="s">
        <v>1085</v>
      </c>
      <c r="H109" s="123" t="s">
        <v>3588</v>
      </c>
      <c r="I109" s="123" t="s">
        <v>2409</v>
      </c>
      <c r="J109" s="123" t="s">
        <v>3589</v>
      </c>
      <c r="K109" s="124">
        <v>260.0</v>
      </c>
      <c r="L109" s="124">
        <v>23.0</v>
      </c>
      <c r="M109" s="123" t="s">
        <v>3577</v>
      </c>
      <c r="N109" s="124">
        <v>27.9541</v>
      </c>
      <c r="O109" s="124">
        <v>-110.9726</v>
      </c>
      <c r="P109" s="124">
        <v>0.0</v>
      </c>
      <c r="Q109" s="123"/>
      <c r="R109" s="125" t="s">
        <v>3170</v>
      </c>
      <c r="S109" s="123"/>
      <c r="T109" s="125" t="s">
        <v>3170</v>
      </c>
      <c r="U109" s="124">
        <v>2018.0</v>
      </c>
      <c r="V109" s="123"/>
      <c r="W109" s="123"/>
      <c r="X109" s="123"/>
    </row>
    <row r="110">
      <c r="A110" s="123" t="s">
        <v>1111</v>
      </c>
      <c r="B110" s="123" t="s">
        <v>3590</v>
      </c>
      <c r="C110" s="123"/>
      <c r="D110" s="123" t="s">
        <v>3591</v>
      </c>
      <c r="E110" s="123" t="s">
        <v>3164</v>
      </c>
      <c r="F110" s="123" t="s">
        <v>3165</v>
      </c>
      <c r="G110" s="123" t="s">
        <v>291</v>
      </c>
      <c r="H110" s="123" t="s">
        <v>3089</v>
      </c>
      <c r="I110" s="123" t="s">
        <v>2407</v>
      </c>
      <c r="J110" s="123" t="s">
        <v>3208</v>
      </c>
      <c r="K110" s="124">
        <v>281.0</v>
      </c>
      <c r="L110" s="124">
        <v>17.0</v>
      </c>
      <c r="M110" s="123" t="s">
        <v>3577</v>
      </c>
      <c r="N110" s="124">
        <v>32.0298</v>
      </c>
      <c r="O110" s="124">
        <v>-116.6045</v>
      </c>
      <c r="P110" s="124">
        <v>409.0</v>
      </c>
      <c r="Q110" s="123" t="s">
        <v>3592</v>
      </c>
      <c r="R110" s="125" t="s">
        <v>3593</v>
      </c>
      <c r="S110" s="123"/>
      <c r="T110" s="125" t="s">
        <v>3170</v>
      </c>
      <c r="U110" s="124">
        <v>2008.0</v>
      </c>
      <c r="V110" s="123"/>
      <c r="W110" s="123" t="s">
        <v>3594</v>
      </c>
      <c r="X110" s="123"/>
    </row>
    <row r="111">
      <c r="A111" s="123" t="s">
        <v>1111</v>
      </c>
      <c r="B111" s="123" t="s">
        <v>3595</v>
      </c>
      <c r="C111" s="123"/>
      <c r="D111" s="123" t="s">
        <v>3596</v>
      </c>
      <c r="E111" s="123" t="s">
        <v>3165</v>
      </c>
      <c r="F111" s="123" t="s">
        <v>3165</v>
      </c>
      <c r="G111" s="123" t="s">
        <v>505</v>
      </c>
      <c r="H111" s="123" t="s">
        <v>3100</v>
      </c>
      <c r="I111" s="123" t="s">
        <v>3597</v>
      </c>
      <c r="J111" s="123" t="s">
        <v>3598</v>
      </c>
      <c r="K111" s="124">
        <v>457.2</v>
      </c>
      <c r="L111" s="124">
        <v>27.0</v>
      </c>
      <c r="M111" s="123" t="s">
        <v>3577</v>
      </c>
      <c r="N111" s="124">
        <v>31.7434</v>
      </c>
      <c r="O111" s="124">
        <v>-106.4316</v>
      </c>
      <c r="P111" s="124">
        <v>1123.0</v>
      </c>
      <c r="Q111" s="123"/>
      <c r="R111" s="125" t="s">
        <v>3170</v>
      </c>
      <c r="S111" s="123"/>
      <c r="T111" s="125" t="s">
        <v>3170</v>
      </c>
      <c r="U111" s="124">
        <v>2020.0</v>
      </c>
      <c r="V111" s="123"/>
      <c r="W111" s="123"/>
      <c r="X111" s="123"/>
    </row>
    <row r="112">
      <c r="A112" s="123" t="s">
        <v>1111</v>
      </c>
      <c r="B112" s="123" t="s">
        <v>3599</v>
      </c>
      <c r="C112" s="123"/>
      <c r="D112" s="123" t="s">
        <v>3600</v>
      </c>
      <c r="E112" s="123" t="s">
        <v>3165</v>
      </c>
      <c r="F112" s="123" t="s">
        <v>3165</v>
      </c>
      <c r="G112" s="123" t="s">
        <v>292</v>
      </c>
      <c r="H112" s="123" t="s">
        <v>3097</v>
      </c>
      <c r="I112" s="123" t="s">
        <v>2407</v>
      </c>
      <c r="J112" s="123" t="s">
        <v>3208</v>
      </c>
      <c r="K112" s="124">
        <v>493.0</v>
      </c>
      <c r="L112" s="124">
        <v>17.5</v>
      </c>
      <c r="M112" s="123" t="s">
        <v>3577</v>
      </c>
      <c r="N112" s="124">
        <v>25.3004</v>
      </c>
      <c r="O112" s="124">
        <v>-101.3924</v>
      </c>
      <c r="P112" s="124">
        <v>1702.0</v>
      </c>
      <c r="Q112" s="123"/>
      <c r="R112" s="125" t="s">
        <v>3170</v>
      </c>
      <c r="S112" s="123"/>
      <c r="T112" s="125" t="s">
        <v>3170</v>
      </c>
      <c r="U112" s="124">
        <v>2019.0</v>
      </c>
      <c r="V112" s="124">
        <v>2020.0</v>
      </c>
      <c r="W112" s="123"/>
      <c r="X112" s="123"/>
    </row>
    <row r="113">
      <c r="A113" s="123" t="s">
        <v>1111</v>
      </c>
      <c r="B113" s="123" t="s">
        <v>3601</v>
      </c>
      <c r="C113" s="123"/>
      <c r="D113" s="123" t="s">
        <v>3602</v>
      </c>
      <c r="E113" s="123" t="s">
        <v>3164</v>
      </c>
      <c r="F113" s="123" t="s">
        <v>3165</v>
      </c>
      <c r="G113" s="123" t="s">
        <v>292</v>
      </c>
      <c r="H113" s="123" t="s">
        <v>3097</v>
      </c>
      <c r="I113" s="123" t="s">
        <v>2409</v>
      </c>
      <c r="J113" s="123" t="s">
        <v>3589</v>
      </c>
      <c r="K113" s="124">
        <v>182.0</v>
      </c>
      <c r="L113" s="124">
        <v>23.6</v>
      </c>
      <c r="M113" s="123" t="s">
        <v>3577</v>
      </c>
      <c r="N113" s="124">
        <v>24.1292</v>
      </c>
      <c r="O113" s="124">
        <v>-110.438</v>
      </c>
      <c r="P113" s="124">
        <v>21.0</v>
      </c>
      <c r="Q113" s="123" t="s">
        <v>3603</v>
      </c>
      <c r="R113" s="125" t="s">
        <v>3604</v>
      </c>
      <c r="S113" s="123"/>
      <c r="T113" s="125" t="s">
        <v>3170</v>
      </c>
      <c r="U113" s="124">
        <v>2001.0</v>
      </c>
      <c r="V113" s="123"/>
      <c r="W113" s="123" t="s">
        <v>3427</v>
      </c>
      <c r="X113" s="123"/>
    </row>
    <row r="114">
      <c r="A114" s="123" t="s">
        <v>1111</v>
      </c>
      <c r="B114" s="123" t="s">
        <v>3605</v>
      </c>
      <c r="C114" s="123"/>
      <c r="D114" s="123" t="s">
        <v>3606</v>
      </c>
      <c r="E114" s="123" t="s">
        <v>3165</v>
      </c>
      <c r="F114" s="123" t="s">
        <v>3165</v>
      </c>
      <c r="G114" s="123" t="s">
        <v>200</v>
      </c>
      <c r="H114" s="123" t="s">
        <v>3103</v>
      </c>
      <c r="I114" s="123" t="s">
        <v>2407</v>
      </c>
      <c r="J114" s="123" t="s">
        <v>3208</v>
      </c>
      <c r="K114" s="124">
        <v>496.0</v>
      </c>
      <c r="L114" s="124">
        <v>18.9</v>
      </c>
      <c r="M114" s="123" t="s">
        <v>3577</v>
      </c>
      <c r="N114" s="124">
        <v>29.9591</v>
      </c>
      <c r="O114" s="124">
        <v>-110.4615</v>
      </c>
      <c r="P114" s="124">
        <v>1314.0</v>
      </c>
      <c r="Q114" s="123"/>
      <c r="R114" s="125" t="s">
        <v>3170</v>
      </c>
      <c r="S114" s="123"/>
      <c r="T114" s="125" t="s">
        <v>3170</v>
      </c>
      <c r="U114" s="124">
        <v>2008.0</v>
      </c>
      <c r="V114" s="124">
        <v>2013.0</v>
      </c>
      <c r="W114" s="123"/>
      <c r="X114" s="123"/>
    </row>
    <row r="115">
      <c r="A115" s="123" t="s">
        <v>1111</v>
      </c>
      <c r="B115" s="123" t="s">
        <v>3607</v>
      </c>
      <c r="C115" s="123"/>
      <c r="D115" s="123" t="s">
        <v>3608</v>
      </c>
      <c r="E115" s="123" t="s">
        <v>3164</v>
      </c>
      <c r="F115" s="123" t="s">
        <v>3165</v>
      </c>
      <c r="G115" s="123" t="s">
        <v>214</v>
      </c>
      <c r="H115" s="123" t="s">
        <v>3184</v>
      </c>
      <c r="I115" s="123" t="s">
        <v>335</v>
      </c>
      <c r="J115" s="123" t="s">
        <v>3206</v>
      </c>
      <c r="K115" s="124">
        <v>1222.0</v>
      </c>
      <c r="L115" s="124">
        <v>26.2</v>
      </c>
      <c r="M115" s="123" t="s">
        <v>3577</v>
      </c>
      <c r="N115" s="124">
        <v>20.8462</v>
      </c>
      <c r="O115" s="124">
        <v>-86.8992</v>
      </c>
      <c r="P115" s="124">
        <v>10.0</v>
      </c>
      <c r="Q115" s="123" t="s">
        <v>3609</v>
      </c>
      <c r="R115" s="125" t="s">
        <v>3610</v>
      </c>
      <c r="S115" s="123"/>
      <c r="T115" s="125" t="s">
        <v>3170</v>
      </c>
      <c r="U115" s="124">
        <v>2017.0</v>
      </c>
      <c r="V115" s="124">
        <v>2018.0</v>
      </c>
      <c r="W115" s="123" t="s">
        <v>3611</v>
      </c>
      <c r="X115" s="123"/>
    </row>
    <row r="116">
      <c r="A116" s="123" t="s">
        <v>1111</v>
      </c>
      <c r="B116" s="123" t="s">
        <v>3612</v>
      </c>
      <c r="C116" s="123"/>
      <c r="D116" s="123" t="s">
        <v>3613</v>
      </c>
      <c r="E116" s="123" t="s">
        <v>3164</v>
      </c>
      <c r="F116" s="123" t="s">
        <v>3165</v>
      </c>
      <c r="G116" s="123" t="s">
        <v>200</v>
      </c>
      <c r="H116" s="123" t="s">
        <v>3103</v>
      </c>
      <c r="I116" s="123" t="s">
        <v>2407</v>
      </c>
      <c r="J116" s="123" t="s">
        <v>3208</v>
      </c>
      <c r="K116" s="124">
        <v>487.0</v>
      </c>
      <c r="L116" s="124">
        <v>21.4</v>
      </c>
      <c r="M116" s="123" t="s">
        <v>3577</v>
      </c>
      <c r="N116" s="124">
        <v>29.7446</v>
      </c>
      <c r="O116" s="124">
        <v>-110.5306</v>
      </c>
      <c r="P116" s="124">
        <v>632.0</v>
      </c>
      <c r="Q116" s="123" t="s">
        <v>3614</v>
      </c>
      <c r="R116" s="125" t="s">
        <v>3615</v>
      </c>
      <c r="S116" s="123"/>
      <c r="T116" s="125" t="s">
        <v>3170</v>
      </c>
      <c r="U116" s="124">
        <v>2008.0</v>
      </c>
      <c r="V116" s="124">
        <v>2014.0</v>
      </c>
      <c r="W116" s="123" t="s">
        <v>3616</v>
      </c>
      <c r="X116" s="123"/>
    </row>
    <row r="117">
      <c r="A117" s="123" t="s">
        <v>1111</v>
      </c>
      <c r="B117" s="123" t="s">
        <v>3617</v>
      </c>
      <c r="C117" s="123"/>
      <c r="D117" s="123" t="s">
        <v>3618</v>
      </c>
      <c r="E117" s="123" t="s">
        <v>3165</v>
      </c>
      <c r="F117" s="123" t="s">
        <v>3165</v>
      </c>
      <c r="G117" s="123" t="s">
        <v>214</v>
      </c>
      <c r="H117" s="123" t="s">
        <v>3184</v>
      </c>
      <c r="I117" s="123" t="s">
        <v>2409</v>
      </c>
      <c r="J117" s="123" t="s">
        <v>3589</v>
      </c>
      <c r="K117" s="124">
        <v>126.0</v>
      </c>
      <c r="L117" s="124">
        <v>20.0</v>
      </c>
      <c r="M117" s="123" t="s">
        <v>3577</v>
      </c>
      <c r="N117" s="124">
        <v>29.3408</v>
      </c>
      <c r="O117" s="124">
        <v>-112.2796</v>
      </c>
      <c r="P117" s="124">
        <v>0.0</v>
      </c>
      <c r="Q117" s="123"/>
      <c r="R117" s="125" t="s">
        <v>3170</v>
      </c>
      <c r="S117" s="123"/>
      <c r="T117" s="125" t="s">
        <v>3170</v>
      </c>
      <c r="U117" s="124">
        <v>2014.0</v>
      </c>
      <c r="V117" s="124">
        <v>2016.0</v>
      </c>
      <c r="W117" s="123"/>
      <c r="X117" s="123"/>
    </row>
    <row r="118">
      <c r="A118" s="123" t="s">
        <v>1111</v>
      </c>
      <c r="B118" s="123" t="s">
        <v>3619</v>
      </c>
      <c r="C118" s="123"/>
      <c r="D118" s="123" t="s">
        <v>3620</v>
      </c>
      <c r="E118" s="123" t="s">
        <v>3164</v>
      </c>
      <c r="F118" s="123" t="s">
        <v>3164</v>
      </c>
      <c r="G118" s="123" t="s">
        <v>370</v>
      </c>
      <c r="H118" s="123" t="s">
        <v>3091</v>
      </c>
      <c r="I118" s="123" t="s">
        <v>2407</v>
      </c>
      <c r="J118" s="123" t="s">
        <v>3208</v>
      </c>
      <c r="K118" s="124">
        <v>647.0</v>
      </c>
      <c r="L118" s="124">
        <v>24.3</v>
      </c>
      <c r="M118" s="123" t="s">
        <v>3577</v>
      </c>
      <c r="N118" s="124">
        <v>27.8446</v>
      </c>
      <c r="O118" s="124">
        <v>-109.2977</v>
      </c>
      <c r="P118" s="124">
        <v>460.0</v>
      </c>
      <c r="Q118" s="123" t="s">
        <v>3603</v>
      </c>
      <c r="R118" s="125" t="s">
        <v>3621</v>
      </c>
      <c r="S118" s="123" t="s">
        <v>3622</v>
      </c>
      <c r="T118" s="125" t="s">
        <v>3623</v>
      </c>
      <c r="U118" s="124">
        <v>2004.0</v>
      </c>
      <c r="V118" s="124">
        <v>2008.0</v>
      </c>
      <c r="W118" s="123" t="s">
        <v>3624</v>
      </c>
      <c r="X118" s="123"/>
    </row>
    <row r="119">
      <c r="A119" s="123" t="s">
        <v>3625</v>
      </c>
      <c r="B119" s="123" t="s">
        <v>1311</v>
      </c>
      <c r="C119" s="123"/>
      <c r="D119" s="123" t="s">
        <v>3626</v>
      </c>
      <c r="E119" s="123" t="s">
        <v>3165</v>
      </c>
      <c r="F119" s="123" t="s">
        <v>3165</v>
      </c>
      <c r="G119" s="123" t="s">
        <v>336</v>
      </c>
      <c r="H119" s="123" t="s">
        <v>3093</v>
      </c>
      <c r="I119" s="123" t="s">
        <v>1024</v>
      </c>
      <c r="J119" s="123" t="s">
        <v>3126</v>
      </c>
      <c r="K119" s="124">
        <v>2800.0</v>
      </c>
      <c r="L119" s="124">
        <v>26.0</v>
      </c>
      <c r="M119" s="123" t="s">
        <v>3627</v>
      </c>
      <c r="N119" s="124">
        <v>9.1568</v>
      </c>
      <c r="O119" s="124">
        <v>-79.8486</v>
      </c>
      <c r="P119" s="124">
        <v>150.0</v>
      </c>
      <c r="Q119" s="123"/>
      <c r="R119" s="125" t="s">
        <v>3170</v>
      </c>
      <c r="S119" s="123"/>
      <c r="T119" s="125" t="s">
        <v>3170</v>
      </c>
      <c r="U119" s="124">
        <v>2012.0</v>
      </c>
      <c r="V119" s="124">
        <v>2017.0</v>
      </c>
      <c r="W119" s="123"/>
      <c r="X119" s="123"/>
    </row>
    <row r="120">
      <c r="A120" s="123" t="s">
        <v>3625</v>
      </c>
      <c r="B120" s="123" t="s">
        <v>3628</v>
      </c>
      <c r="C120" s="123"/>
      <c r="D120" s="123" t="s">
        <v>3626</v>
      </c>
      <c r="E120" s="123" t="s">
        <v>3165</v>
      </c>
      <c r="F120" s="123" t="s">
        <v>3165</v>
      </c>
      <c r="G120" s="123" t="s">
        <v>336</v>
      </c>
      <c r="H120" s="123" t="s">
        <v>3093</v>
      </c>
      <c r="I120" s="123" t="s">
        <v>1024</v>
      </c>
      <c r="J120" s="123" t="s">
        <v>3126</v>
      </c>
      <c r="K120" s="124">
        <v>2800.0</v>
      </c>
      <c r="L120" s="124">
        <v>26.0</v>
      </c>
      <c r="M120" s="123" t="s">
        <v>3627</v>
      </c>
      <c r="N120" s="124">
        <v>9.1565</v>
      </c>
      <c r="O120" s="124">
        <v>-79.8482</v>
      </c>
      <c r="P120" s="124">
        <v>150.0</v>
      </c>
      <c r="Q120" s="123"/>
      <c r="R120" s="125" t="s">
        <v>3170</v>
      </c>
      <c r="S120" s="123"/>
      <c r="T120" s="125" t="s">
        <v>3170</v>
      </c>
      <c r="U120" s="124">
        <v>2019.0</v>
      </c>
      <c r="V120" s="123"/>
      <c r="W120" s="123"/>
      <c r="X120" s="123"/>
    </row>
    <row r="121">
      <c r="A121" s="123" t="s">
        <v>3629</v>
      </c>
      <c r="B121" s="123" t="s">
        <v>3630</v>
      </c>
      <c r="C121" s="123"/>
      <c r="D121" s="123" t="s">
        <v>3631</v>
      </c>
      <c r="E121" s="123" t="s">
        <v>3165</v>
      </c>
      <c r="F121" s="123" t="s">
        <v>3165</v>
      </c>
      <c r="G121" s="123" t="s">
        <v>336</v>
      </c>
      <c r="H121" s="123" t="s">
        <v>3093</v>
      </c>
      <c r="I121" s="123" t="s">
        <v>784</v>
      </c>
      <c r="J121" s="123" t="s">
        <v>3202</v>
      </c>
      <c r="K121" s="124">
        <v>2335.0</v>
      </c>
      <c r="L121" s="124">
        <v>25.5</v>
      </c>
      <c r="M121" s="123" t="s">
        <v>3632</v>
      </c>
      <c r="N121" s="124">
        <v>-12.5598</v>
      </c>
      <c r="O121" s="124">
        <v>-70.1018</v>
      </c>
      <c r="P121" s="124">
        <v>290.0</v>
      </c>
      <c r="Q121" s="123"/>
      <c r="R121" s="125" t="s">
        <v>3170</v>
      </c>
      <c r="S121" s="123"/>
      <c r="T121" s="125" t="s">
        <v>3170</v>
      </c>
      <c r="U121" s="124">
        <v>2021.0</v>
      </c>
      <c r="V121" s="123"/>
      <c r="W121" s="123"/>
      <c r="X121" s="123"/>
    </row>
    <row r="122">
      <c r="A122" s="123" t="s">
        <v>3629</v>
      </c>
      <c r="B122" s="123" t="s">
        <v>3633</v>
      </c>
      <c r="C122" s="123"/>
      <c r="D122" s="123" t="s">
        <v>3634</v>
      </c>
      <c r="E122" s="123" t="s">
        <v>3165</v>
      </c>
      <c r="F122" s="123" t="s">
        <v>3165</v>
      </c>
      <c r="G122" s="123" t="s">
        <v>336</v>
      </c>
      <c r="H122" s="123" t="s">
        <v>3093</v>
      </c>
      <c r="I122" s="123" t="s">
        <v>784</v>
      </c>
      <c r="J122" s="123" t="s">
        <v>3202</v>
      </c>
      <c r="K122" s="123"/>
      <c r="L122" s="123"/>
      <c r="M122" s="123" t="s">
        <v>3632</v>
      </c>
      <c r="N122" s="124">
        <v>-7.1026</v>
      </c>
      <c r="O122" s="124">
        <v>-77.1619</v>
      </c>
      <c r="P122" s="124">
        <v>755.0</v>
      </c>
      <c r="Q122" s="123"/>
      <c r="R122" s="125" t="s">
        <v>3170</v>
      </c>
      <c r="S122" s="123"/>
      <c r="T122" s="125" t="s">
        <v>3170</v>
      </c>
      <c r="U122" s="124">
        <v>2023.0</v>
      </c>
      <c r="V122" s="123"/>
      <c r="W122" s="123"/>
      <c r="X122" s="123"/>
    </row>
    <row r="123">
      <c r="A123" s="123" t="s">
        <v>3629</v>
      </c>
      <c r="B123" s="123" t="s">
        <v>3635</v>
      </c>
      <c r="C123" s="123"/>
      <c r="D123" s="123" t="s">
        <v>3636</v>
      </c>
      <c r="E123" s="123" t="s">
        <v>3165</v>
      </c>
      <c r="F123" s="123" t="s">
        <v>3165</v>
      </c>
      <c r="G123" s="123" t="s">
        <v>336</v>
      </c>
      <c r="H123" s="123" t="s">
        <v>3093</v>
      </c>
      <c r="I123" s="123" t="s">
        <v>784</v>
      </c>
      <c r="J123" s="123" t="s">
        <v>3202</v>
      </c>
      <c r="K123" s="124">
        <v>2335.0</v>
      </c>
      <c r="L123" s="124">
        <v>25.5</v>
      </c>
      <c r="M123" s="123" t="s">
        <v>3632</v>
      </c>
      <c r="N123" s="124">
        <v>-9.6237</v>
      </c>
      <c r="O123" s="124">
        <v>-74.9315</v>
      </c>
      <c r="P123" s="124">
        <v>220.0</v>
      </c>
      <c r="Q123" s="123"/>
      <c r="R123" s="125" t="s">
        <v>3170</v>
      </c>
      <c r="S123" s="123"/>
      <c r="T123" s="125" t="s">
        <v>3170</v>
      </c>
      <c r="U123" s="124">
        <v>2023.0</v>
      </c>
      <c r="V123" s="123"/>
      <c r="W123" s="123"/>
      <c r="X123" s="123"/>
    </row>
    <row r="124">
      <c r="A124" s="123" t="s">
        <v>3629</v>
      </c>
      <c r="B124" s="123" t="s">
        <v>3637</v>
      </c>
      <c r="C124" s="123"/>
      <c r="D124" s="123" t="s">
        <v>3638</v>
      </c>
      <c r="E124" s="123" t="s">
        <v>3164</v>
      </c>
      <c r="F124" s="123" t="s">
        <v>3164</v>
      </c>
      <c r="G124" s="123" t="s">
        <v>214</v>
      </c>
      <c r="H124" s="123" t="s">
        <v>3184</v>
      </c>
      <c r="I124" s="123" t="s">
        <v>784</v>
      </c>
      <c r="J124" s="123" t="s">
        <v>3202</v>
      </c>
      <c r="K124" s="123"/>
      <c r="L124" s="123"/>
      <c r="M124" s="123" t="s">
        <v>3632</v>
      </c>
      <c r="N124" s="124">
        <v>-3.8344</v>
      </c>
      <c r="O124" s="124">
        <v>-73.319</v>
      </c>
      <c r="P124" s="124">
        <v>104.0</v>
      </c>
      <c r="Q124" s="123" t="s">
        <v>3639</v>
      </c>
      <c r="R124" s="125" t="s">
        <v>3640</v>
      </c>
      <c r="S124" s="123" t="s">
        <v>3639</v>
      </c>
      <c r="T124" s="125" t="s">
        <v>3641</v>
      </c>
      <c r="U124" s="124">
        <v>2018.0</v>
      </c>
      <c r="V124" s="123"/>
      <c r="W124" s="123" t="s">
        <v>3642</v>
      </c>
      <c r="X124" s="123"/>
    </row>
    <row r="125">
      <c r="A125" s="123" t="s">
        <v>3629</v>
      </c>
      <c r="B125" s="123" t="s">
        <v>3643</v>
      </c>
      <c r="C125" s="123"/>
      <c r="D125" s="123" t="s">
        <v>3644</v>
      </c>
      <c r="E125" s="123" t="s">
        <v>3165</v>
      </c>
      <c r="F125" s="123" t="s">
        <v>3165</v>
      </c>
      <c r="G125" s="123" t="s">
        <v>452</v>
      </c>
      <c r="H125" s="123" t="s">
        <v>3096</v>
      </c>
      <c r="I125" s="123" t="s">
        <v>784</v>
      </c>
      <c r="J125" s="123" t="s">
        <v>3202</v>
      </c>
      <c r="K125" s="124">
        <v>2335.0</v>
      </c>
      <c r="L125" s="124">
        <v>25.5</v>
      </c>
      <c r="M125" s="123" t="s">
        <v>3632</v>
      </c>
      <c r="N125" s="124">
        <v>-12.8314</v>
      </c>
      <c r="O125" s="124">
        <v>-69.2836</v>
      </c>
      <c r="P125" s="124">
        <v>214.0</v>
      </c>
      <c r="Q125" s="123"/>
      <c r="R125" s="125" t="s">
        <v>3170</v>
      </c>
      <c r="S125" s="123"/>
      <c r="T125" s="125" t="s">
        <v>3170</v>
      </c>
      <c r="U125" s="124">
        <v>2015.0</v>
      </c>
      <c r="V125" s="123"/>
      <c r="W125" s="123"/>
      <c r="X125" s="123"/>
    </row>
    <row r="126">
      <c r="A126" s="123" t="s">
        <v>3645</v>
      </c>
      <c r="B126" s="123" t="s">
        <v>3646</v>
      </c>
      <c r="C126" s="123"/>
      <c r="D126" s="123" t="s">
        <v>3647</v>
      </c>
      <c r="E126" s="123" t="s">
        <v>3164</v>
      </c>
      <c r="F126" s="123" t="s">
        <v>3165</v>
      </c>
      <c r="G126" s="123" t="s">
        <v>336</v>
      </c>
      <c r="H126" s="123" t="s">
        <v>3093</v>
      </c>
      <c r="I126" s="123" t="s">
        <v>1024</v>
      </c>
      <c r="J126" s="123" t="s">
        <v>3126</v>
      </c>
      <c r="K126" s="124">
        <v>1168.0</v>
      </c>
      <c r="L126" s="124">
        <v>25.0</v>
      </c>
      <c r="M126" s="123" t="s">
        <v>3648</v>
      </c>
      <c r="N126" s="124">
        <v>17.9696</v>
      </c>
      <c r="O126" s="124">
        <v>-66.8687</v>
      </c>
      <c r="P126" s="124">
        <v>143.0</v>
      </c>
      <c r="Q126" s="123" t="s">
        <v>3649</v>
      </c>
      <c r="R126" s="125" t="s">
        <v>3650</v>
      </c>
      <c r="S126" s="123"/>
      <c r="T126" s="125" t="s">
        <v>3170</v>
      </c>
      <c r="U126" s="124">
        <v>2018.0</v>
      </c>
      <c r="V126" s="123"/>
      <c r="W126" s="123" t="s">
        <v>3651</v>
      </c>
      <c r="X126" s="123"/>
    </row>
    <row r="127">
      <c r="A127" s="123" t="s">
        <v>3645</v>
      </c>
      <c r="B127" s="123" t="s">
        <v>3652</v>
      </c>
      <c r="C127" s="123"/>
      <c r="D127" s="123" t="s">
        <v>3653</v>
      </c>
      <c r="E127" s="123" t="s">
        <v>3164</v>
      </c>
      <c r="F127" s="123" t="s">
        <v>3165</v>
      </c>
      <c r="G127" s="123" t="s">
        <v>288</v>
      </c>
      <c r="H127" s="123" t="s">
        <v>3095</v>
      </c>
      <c r="I127" s="123" t="s">
        <v>1024</v>
      </c>
      <c r="J127" s="123" t="s">
        <v>3126</v>
      </c>
      <c r="K127" s="124">
        <v>1168.0</v>
      </c>
      <c r="L127" s="124">
        <v>25.0</v>
      </c>
      <c r="M127" s="123" t="s">
        <v>3648</v>
      </c>
      <c r="N127" s="124">
        <v>18.0212</v>
      </c>
      <c r="O127" s="124">
        <v>-67.0769</v>
      </c>
      <c r="P127" s="124">
        <v>24.0</v>
      </c>
      <c r="Q127" s="123" t="s">
        <v>3649</v>
      </c>
      <c r="R127" s="125" t="s">
        <v>3654</v>
      </c>
      <c r="S127" s="123"/>
      <c r="T127" s="125" t="s">
        <v>3170</v>
      </c>
      <c r="U127" s="124">
        <v>2018.0</v>
      </c>
      <c r="V127" s="123"/>
      <c r="W127" s="123" t="s">
        <v>3655</v>
      </c>
      <c r="X127" s="123"/>
    </row>
    <row r="128">
      <c r="A128" s="123" t="s">
        <v>87</v>
      </c>
      <c r="B128" s="123" t="s">
        <v>3656</v>
      </c>
      <c r="C128" s="123"/>
      <c r="D128" s="123" t="s">
        <v>3657</v>
      </c>
      <c r="E128" s="123" t="s">
        <v>3164</v>
      </c>
      <c r="F128" s="123" t="s">
        <v>3165</v>
      </c>
      <c r="G128" s="123" t="s">
        <v>664</v>
      </c>
      <c r="H128" s="123" t="s">
        <v>3087</v>
      </c>
      <c r="I128" s="123" t="s">
        <v>605</v>
      </c>
      <c r="J128" s="123" t="s">
        <v>1686</v>
      </c>
      <c r="K128" s="124">
        <v>115.1</v>
      </c>
      <c r="L128" s="124">
        <v>-11.2</v>
      </c>
      <c r="M128" s="123" t="s">
        <v>3658</v>
      </c>
      <c r="N128" s="124">
        <v>70.4953</v>
      </c>
      <c r="O128" s="124">
        <v>-149.8823</v>
      </c>
      <c r="P128" s="124">
        <v>5.0</v>
      </c>
      <c r="Q128" s="123" t="s">
        <v>3659</v>
      </c>
      <c r="R128" s="125" t="s">
        <v>3660</v>
      </c>
      <c r="S128" s="123"/>
      <c r="T128" s="125" t="s">
        <v>3170</v>
      </c>
      <c r="U128" s="124">
        <v>2014.0</v>
      </c>
      <c r="V128" s="123"/>
      <c r="W128" s="123" t="s">
        <v>3661</v>
      </c>
      <c r="X128" s="123"/>
    </row>
    <row r="129">
      <c r="A129" s="123" t="s">
        <v>87</v>
      </c>
      <c r="B129" s="123" t="s">
        <v>3662</v>
      </c>
      <c r="C129" s="123"/>
      <c r="D129" s="123" t="s">
        <v>3663</v>
      </c>
      <c r="E129" s="123" t="s">
        <v>3164</v>
      </c>
      <c r="F129" s="123" t="s">
        <v>3165</v>
      </c>
      <c r="G129" s="123" t="s">
        <v>664</v>
      </c>
      <c r="H129" s="123" t="s">
        <v>3087</v>
      </c>
      <c r="I129" s="123" t="s">
        <v>605</v>
      </c>
      <c r="J129" s="123" t="s">
        <v>1686</v>
      </c>
      <c r="K129" s="124">
        <v>115.1</v>
      </c>
      <c r="L129" s="124">
        <v>-11.2</v>
      </c>
      <c r="M129" s="123" t="s">
        <v>3658</v>
      </c>
      <c r="N129" s="124">
        <v>71.3242</v>
      </c>
      <c r="O129" s="124">
        <v>-156.6149</v>
      </c>
      <c r="P129" s="124">
        <v>4.0</v>
      </c>
      <c r="Q129" s="123" t="s">
        <v>3664</v>
      </c>
      <c r="R129" s="125" t="s">
        <v>3665</v>
      </c>
      <c r="S129" s="123"/>
      <c r="T129" s="125" t="s">
        <v>3170</v>
      </c>
      <c r="U129" s="124">
        <v>2012.0</v>
      </c>
      <c r="V129" s="123"/>
      <c r="W129" s="123" t="s">
        <v>3661</v>
      </c>
      <c r="X129" s="123"/>
    </row>
    <row r="130">
      <c r="A130" s="123" t="s">
        <v>87</v>
      </c>
      <c r="B130" s="123" t="s">
        <v>3666</v>
      </c>
      <c r="C130" s="123"/>
      <c r="D130" s="123" t="s">
        <v>3667</v>
      </c>
      <c r="E130" s="123" t="s">
        <v>3164</v>
      </c>
      <c r="F130" s="123" t="s">
        <v>3164</v>
      </c>
      <c r="G130" s="123" t="s">
        <v>288</v>
      </c>
      <c r="H130" s="123" t="s">
        <v>3095</v>
      </c>
      <c r="I130" s="123" t="s">
        <v>201</v>
      </c>
      <c r="J130" s="123" t="s">
        <v>3174</v>
      </c>
      <c r="K130" s="124">
        <v>889.0</v>
      </c>
      <c r="L130" s="124">
        <v>33.9</v>
      </c>
      <c r="M130" s="123" t="s">
        <v>3658</v>
      </c>
      <c r="N130" s="124">
        <v>36.8193</v>
      </c>
      <c r="O130" s="124">
        <v>-97.8198</v>
      </c>
      <c r="P130" s="124">
        <v>335.0</v>
      </c>
      <c r="Q130" s="123" t="s">
        <v>3592</v>
      </c>
      <c r="R130" s="125" t="s">
        <v>3668</v>
      </c>
      <c r="S130" s="123" t="s">
        <v>3592</v>
      </c>
      <c r="T130" s="125" t="s">
        <v>3669</v>
      </c>
      <c r="U130" s="124">
        <v>2015.0</v>
      </c>
      <c r="V130" s="124">
        <v>2017.0</v>
      </c>
      <c r="W130" s="123" t="s">
        <v>3670</v>
      </c>
      <c r="X130" s="123"/>
    </row>
    <row r="131">
      <c r="A131" s="123" t="s">
        <v>87</v>
      </c>
      <c r="B131" s="123" t="s">
        <v>3671</v>
      </c>
      <c r="C131" s="123"/>
      <c r="D131" s="123" t="s">
        <v>3672</v>
      </c>
      <c r="E131" s="123" t="s">
        <v>3165</v>
      </c>
      <c r="F131" s="123" t="s">
        <v>3165</v>
      </c>
      <c r="G131" s="123" t="s">
        <v>86</v>
      </c>
      <c r="H131" s="123" t="s">
        <v>3088</v>
      </c>
      <c r="I131" s="123" t="s">
        <v>175</v>
      </c>
      <c r="J131" s="123" t="s">
        <v>3366</v>
      </c>
      <c r="K131" s="124">
        <v>965.0</v>
      </c>
      <c r="L131" s="124">
        <v>14.95</v>
      </c>
      <c r="M131" s="123" t="s">
        <v>3658</v>
      </c>
      <c r="N131" s="124">
        <v>36.3776</v>
      </c>
      <c r="O131" s="124">
        <v>-96.069</v>
      </c>
      <c r="P131" s="124">
        <v>306.0</v>
      </c>
      <c r="Q131" s="123"/>
      <c r="R131" s="125" t="s">
        <v>3170</v>
      </c>
      <c r="S131" s="123"/>
      <c r="T131" s="125" t="s">
        <v>3170</v>
      </c>
      <c r="U131" s="124">
        <v>2015.0</v>
      </c>
      <c r="V131" s="123"/>
      <c r="W131" s="123"/>
      <c r="X131" s="123"/>
    </row>
    <row r="132">
      <c r="A132" s="123" t="s">
        <v>87</v>
      </c>
      <c r="B132" s="123" t="s">
        <v>3673</v>
      </c>
      <c r="C132" s="123"/>
      <c r="D132" s="123" t="s">
        <v>3674</v>
      </c>
      <c r="E132" s="123" t="s">
        <v>3164</v>
      </c>
      <c r="F132" s="123" t="s">
        <v>3164</v>
      </c>
      <c r="G132" s="123" t="s">
        <v>86</v>
      </c>
      <c r="H132" s="123" t="s">
        <v>3088</v>
      </c>
      <c r="I132" s="123" t="s">
        <v>201</v>
      </c>
      <c r="J132" s="123" t="s">
        <v>3174</v>
      </c>
      <c r="K132" s="124">
        <v>889.0</v>
      </c>
      <c r="L132" s="124">
        <v>33.9</v>
      </c>
      <c r="M132" s="123" t="s">
        <v>3658</v>
      </c>
      <c r="N132" s="124">
        <v>36.8085</v>
      </c>
      <c r="O132" s="124">
        <v>-97.5489</v>
      </c>
      <c r="P132" s="124">
        <v>337.0</v>
      </c>
      <c r="Q132" s="123" t="s">
        <v>3592</v>
      </c>
      <c r="R132" s="125" t="s">
        <v>3675</v>
      </c>
      <c r="S132" s="123" t="s">
        <v>3676</v>
      </c>
      <c r="T132" s="125" t="s">
        <v>3677</v>
      </c>
      <c r="U132" s="124">
        <v>2016.0</v>
      </c>
      <c r="V132" s="124">
        <v>2017.0</v>
      </c>
      <c r="W132" s="123" t="s">
        <v>3670</v>
      </c>
      <c r="X132" s="123"/>
    </row>
    <row r="133">
      <c r="A133" s="123" t="s">
        <v>87</v>
      </c>
      <c r="B133" s="123" t="s">
        <v>3678</v>
      </c>
      <c r="C133" s="123"/>
      <c r="D133" s="123" t="s">
        <v>3679</v>
      </c>
      <c r="E133" s="123" t="s">
        <v>3165</v>
      </c>
      <c r="F133" s="123" t="s">
        <v>3165</v>
      </c>
      <c r="G133" s="123" t="s">
        <v>288</v>
      </c>
      <c r="H133" s="123" t="s">
        <v>3095</v>
      </c>
      <c r="I133" s="123" t="s">
        <v>201</v>
      </c>
      <c r="J133" s="123" t="s">
        <v>3174</v>
      </c>
      <c r="K133" s="124">
        <v>1410.0</v>
      </c>
      <c r="L133" s="124">
        <v>17.4</v>
      </c>
      <c r="M133" s="123" t="s">
        <v>3658</v>
      </c>
      <c r="N133" s="124">
        <v>33.1105</v>
      </c>
      <c r="O133" s="124">
        <v>-91.6282</v>
      </c>
      <c r="P133" s="124">
        <v>33.0</v>
      </c>
      <c r="Q133" s="123"/>
      <c r="R133" s="125" t="s">
        <v>3170</v>
      </c>
      <c r="S133" s="123"/>
      <c r="T133" s="125" t="s">
        <v>3170</v>
      </c>
      <c r="U133" s="124">
        <v>2016.0</v>
      </c>
      <c r="V133" s="124">
        <v>2017.0</v>
      </c>
      <c r="W133" s="123"/>
      <c r="X133" s="123"/>
    </row>
    <row r="134">
      <c r="A134" s="123" t="s">
        <v>87</v>
      </c>
      <c r="B134" s="123" t="s">
        <v>3680</v>
      </c>
      <c r="C134" s="123"/>
      <c r="D134" s="123" t="s">
        <v>3681</v>
      </c>
      <c r="E134" s="123" t="s">
        <v>3164</v>
      </c>
      <c r="F134" s="123" t="s">
        <v>3165</v>
      </c>
      <c r="G134" s="123" t="s">
        <v>1085</v>
      </c>
      <c r="H134" s="123" t="s">
        <v>3588</v>
      </c>
      <c r="I134" s="123" t="s">
        <v>201</v>
      </c>
      <c r="J134" s="123" t="s">
        <v>3174</v>
      </c>
      <c r="K134" s="124">
        <v>907.0</v>
      </c>
      <c r="L134" s="124">
        <v>11.1</v>
      </c>
      <c r="M134" s="123" t="s">
        <v>3658</v>
      </c>
      <c r="N134" s="124">
        <v>39.582</v>
      </c>
      <c r="O134" s="124">
        <v>-84.755</v>
      </c>
      <c r="P134" s="124">
        <v>263.0</v>
      </c>
      <c r="Q134" s="123" t="s">
        <v>3609</v>
      </c>
      <c r="R134" s="125" t="s">
        <v>3682</v>
      </c>
      <c r="S134" s="123"/>
      <c r="T134" s="125" t="s">
        <v>3170</v>
      </c>
      <c r="U134" s="124">
        <v>2017.0</v>
      </c>
      <c r="V134" s="124">
        <v>2019.0</v>
      </c>
      <c r="W134" s="123" t="s">
        <v>3683</v>
      </c>
      <c r="X134" s="123"/>
    </row>
    <row r="135">
      <c r="A135" s="123" t="s">
        <v>87</v>
      </c>
      <c r="B135" s="123" t="s">
        <v>3684</v>
      </c>
      <c r="C135" s="123"/>
      <c r="D135" s="123" t="s">
        <v>3685</v>
      </c>
      <c r="E135" s="123" t="s">
        <v>3164</v>
      </c>
      <c r="F135" s="123" t="s">
        <v>3165</v>
      </c>
      <c r="G135" s="123" t="s">
        <v>664</v>
      </c>
      <c r="H135" s="123" t="s">
        <v>3087</v>
      </c>
      <c r="I135" s="123" t="s">
        <v>2409</v>
      </c>
      <c r="J135" s="123" t="s">
        <v>3589</v>
      </c>
      <c r="K135" s="124">
        <v>110.0</v>
      </c>
      <c r="L135" s="124">
        <v>17.5</v>
      </c>
      <c r="M135" s="123" t="s">
        <v>3658</v>
      </c>
      <c r="N135" s="124">
        <v>36.7653</v>
      </c>
      <c r="O135" s="124">
        <v>-116.6933</v>
      </c>
      <c r="P135" s="124">
        <v>842.0</v>
      </c>
      <c r="Q135" s="123" t="s">
        <v>3686</v>
      </c>
      <c r="R135" s="125" t="s">
        <v>3687</v>
      </c>
      <c r="S135" s="123"/>
      <c r="T135" s="125" t="s">
        <v>3170</v>
      </c>
      <c r="U135" s="124">
        <v>2011.0</v>
      </c>
      <c r="V135" s="123"/>
      <c r="W135" s="123" t="s">
        <v>3688</v>
      </c>
      <c r="X135" s="123"/>
    </row>
    <row r="136">
      <c r="A136" s="123" t="s">
        <v>87</v>
      </c>
      <c r="B136" s="123" t="s">
        <v>3247</v>
      </c>
      <c r="C136" s="123"/>
      <c r="D136" s="123" t="s">
        <v>3689</v>
      </c>
      <c r="E136" s="123" t="s">
        <v>3165</v>
      </c>
      <c r="F136" s="123" t="s">
        <v>3165</v>
      </c>
      <c r="G136" s="123" t="s">
        <v>362</v>
      </c>
      <c r="H136" s="123" t="s">
        <v>3225</v>
      </c>
      <c r="I136" s="123" t="s">
        <v>445</v>
      </c>
      <c r="J136" s="123" t="s">
        <v>3317</v>
      </c>
      <c r="K136" s="124">
        <v>376.4</v>
      </c>
      <c r="L136" s="124">
        <v>15.9</v>
      </c>
      <c r="M136" s="123" t="s">
        <v>3658</v>
      </c>
      <c r="N136" s="124">
        <v>34.3108</v>
      </c>
      <c r="O136" s="124">
        <v>-118.9244</v>
      </c>
      <c r="P136" s="124">
        <v>300.0</v>
      </c>
      <c r="Q136" s="123"/>
      <c r="R136" s="125" t="s">
        <v>3170</v>
      </c>
      <c r="S136" s="123"/>
      <c r="T136" s="125" t="s">
        <v>3170</v>
      </c>
      <c r="U136" s="124">
        <v>2021.0</v>
      </c>
      <c r="V136" s="123"/>
      <c r="W136" s="123"/>
      <c r="X136" s="123"/>
    </row>
    <row r="137">
      <c r="A137" s="123" t="s">
        <v>87</v>
      </c>
      <c r="B137" s="123" t="s">
        <v>3690</v>
      </c>
      <c r="C137" s="123"/>
      <c r="D137" s="123" t="s">
        <v>3691</v>
      </c>
      <c r="E137" s="123" t="s">
        <v>3164</v>
      </c>
      <c r="F137" s="123" t="s">
        <v>3165</v>
      </c>
      <c r="G137" s="123" t="s">
        <v>452</v>
      </c>
      <c r="H137" s="123" t="s">
        <v>3096</v>
      </c>
      <c r="I137" s="123"/>
      <c r="J137" s="123"/>
      <c r="K137" s="123"/>
      <c r="L137" s="123"/>
      <c r="M137" s="123" t="s">
        <v>3658</v>
      </c>
      <c r="N137" s="124">
        <v>33.3825</v>
      </c>
      <c r="O137" s="124">
        <v>-81.5653</v>
      </c>
      <c r="P137" s="124">
        <v>93.0</v>
      </c>
      <c r="Q137" s="123" t="s">
        <v>3692</v>
      </c>
      <c r="R137" s="125" t="s">
        <v>3693</v>
      </c>
      <c r="S137" s="123"/>
      <c r="T137" s="125" t="s">
        <v>3170</v>
      </c>
      <c r="U137" s="124">
        <v>2011.0</v>
      </c>
      <c r="V137" s="124">
        <v>2021.0</v>
      </c>
      <c r="W137" s="123" t="s">
        <v>3694</v>
      </c>
      <c r="X137" s="123"/>
    </row>
    <row r="138">
      <c r="A138" s="123" t="s">
        <v>87</v>
      </c>
      <c r="B138" s="123" t="s">
        <v>3695</v>
      </c>
      <c r="C138" s="123"/>
      <c r="D138" s="123" t="s">
        <v>3696</v>
      </c>
      <c r="E138" s="123" t="s">
        <v>3164</v>
      </c>
      <c r="F138" s="123" t="s">
        <v>3164</v>
      </c>
      <c r="G138" s="123" t="s">
        <v>214</v>
      </c>
      <c r="H138" s="123" t="s">
        <v>3184</v>
      </c>
      <c r="I138" s="123" t="s">
        <v>107</v>
      </c>
      <c r="J138" s="123" t="s">
        <v>3249</v>
      </c>
      <c r="K138" s="123"/>
      <c r="L138" s="123"/>
      <c r="M138" s="123" t="s">
        <v>3658</v>
      </c>
      <c r="N138" s="124">
        <v>46.0308</v>
      </c>
      <c r="O138" s="124">
        <v>-89.6067</v>
      </c>
      <c r="P138" s="123"/>
      <c r="Q138" s="123" t="s">
        <v>3697</v>
      </c>
      <c r="R138" s="125" t="s">
        <v>3698</v>
      </c>
      <c r="S138" s="123" t="s">
        <v>3341</v>
      </c>
      <c r="T138" s="125" t="s">
        <v>3699</v>
      </c>
      <c r="U138" s="124">
        <v>2015.0</v>
      </c>
      <c r="V138" s="123"/>
      <c r="W138" s="123" t="s">
        <v>3700</v>
      </c>
      <c r="X138" s="123"/>
    </row>
    <row r="139">
      <c r="A139" s="123" t="s">
        <v>87</v>
      </c>
      <c r="B139" s="123" t="s">
        <v>3701</v>
      </c>
      <c r="C139" s="123"/>
      <c r="D139" s="123" t="s">
        <v>3702</v>
      </c>
      <c r="E139" s="123" t="s">
        <v>3165</v>
      </c>
      <c r="F139" s="123" t="s">
        <v>3165</v>
      </c>
      <c r="G139" s="123" t="s">
        <v>288</v>
      </c>
      <c r="H139" s="123" t="s">
        <v>3095</v>
      </c>
      <c r="I139" s="123" t="s">
        <v>201</v>
      </c>
      <c r="J139" s="123" t="s">
        <v>3174</v>
      </c>
      <c r="K139" s="124">
        <v>940.0</v>
      </c>
      <c r="L139" s="124">
        <v>11.7</v>
      </c>
      <c r="M139" s="123" t="s">
        <v>3658</v>
      </c>
      <c r="N139" s="124">
        <v>41.7018</v>
      </c>
      <c r="O139" s="124">
        <v>-87.9963</v>
      </c>
      <c r="P139" s="124">
        <v>232.0</v>
      </c>
      <c r="Q139" s="123"/>
      <c r="R139" s="125" t="s">
        <v>3170</v>
      </c>
      <c r="S139" s="123"/>
      <c r="T139" s="125" t="s">
        <v>3170</v>
      </c>
      <c r="U139" s="124">
        <v>2021.0</v>
      </c>
      <c r="V139" s="123"/>
      <c r="W139" s="123"/>
      <c r="X139" s="123"/>
    </row>
    <row r="140">
      <c r="A140" s="123" t="s">
        <v>87</v>
      </c>
      <c r="B140" s="123" t="s">
        <v>3703</v>
      </c>
      <c r="C140" s="123"/>
      <c r="D140" s="123" t="s">
        <v>3704</v>
      </c>
      <c r="E140" s="123" t="s">
        <v>3164</v>
      </c>
      <c r="F140" s="123" t="s">
        <v>3165</v>
      </c>
      <c r="G140" s="123" t="s">
        <v>292</v>
      </c>
      <c r="H140" s="123" t="s">
        <v>3097</v>
      </c>
      <c r="I140" s="123"/>
      <c r="J140" s="123"/>
      <c r="K140" s="123"/>
      <c r="L140" s="123"/>
      <c r="M140" s="123" t="s">
        <v>3658</v>
      </c>
      <c r="N140" s="124">
        <v>68.99</v>
      </c>
      <c r="O140" s="124">
        <v>-150.28</v>
      </c>
      <c r="P140" s="124">
        <v>600.0</v>
      </c>
      <c r="Q140" s="123" t="s">
        <v>3705</v>
      </c>
      <c r="R140" s="125" t="s">
        <v>3706</v>
      </c>
      <c r="S140" s="123"/>
      <c r="T140" s="125" t="s">
        <v>3170</v>
      </c>
      <c r="U140" s="124">
        <v>2008.0</v>
      </c>
      <c r="V140" s="123"/>
      <c r="W140" s="123" t="s">
        <v>3707</v>
      </c>
      <c r="X140" s="123"/>
    </row>
    <row r="141">
      <c r="A141" s="123" t="s">
        <v>87</v>
      </c>
      <c r="B141" s="123" t="s">
        <v>3708</v>
      </c>
      <c r="C141" s="123"/>
      <c r="D141" s="123" t="s">
        <v>3709</v>
      </c>
      <c r="E141" s="123" t="s">
        <v>3164</v>
      </c>
      <c r="F141" s="123" t="s">
        <v>3165</v>
      </c>
      <c r="G141" s="123" t="s">
        <v>292</v>
      </c>
      <c r="H141" s="123" t="s">
        <v>3097</v>
      </c>
      <c r="I141" s="123"/>
      <c r="J141" s="123"/>
      <c r="K141" s="123"/>
      <c r="L141" s="123"/>
      <c r="M141" s="123" t="s">
        <v>3658</v>
      </c>
      <c r="N141" s="124">
        <v>68.95</v>
      </c>
      <c r="O141" s="124">
        <v>-150.21</v>
      </c>
      <c r="P141" s="124">
        <v>600.0</v>
      </c>
      <c r="Q141" s="123" t="s">
        <v>3705</v>
      </c>
      <c r="R141" s="125" t="s">
        <v>3710</v>
      </c>
      <c r="S141" s="123"/>
      <c r="T141" s="125" t="s">
        <v>3170</v>
      </c>
      <c r="U141" s="124">
        <v>2008.0</v>
      </c>
      <c r="V141" s="123"/>
      <c r="W141" s="123" t="s">
        <v>3707</v>
      </c>
      <c r="X141" s="123"/>
    </row>
    <row r="142">
      <c r="A142" s="123" t="s">
        <v>87</v>
      </c>
      <c r="B142" s="123" t="s">
        <v>3711</v>
      </c>
      <c r="C142" s="123"/>
      <c r="D142" s="123" t="s">
        <v>3712</v>
      </c>
      <c r="E142" s="123" t="s">
        <v>3164</v>
      </c>
      <c r="F142" s="123" t="s">
        <v>3165</v>
      </c>
      <c r="G142" s="123" t="s">
        <v>292</v>
      </c>
      <c r="H142" s="123" t="s">
        <v>3097</v>
      </c>
      <c r="I142" s="123"/>
      <c r="J142" s="123"/>
      <c r="K142" s="123"/>
      <c r="L142" s="123"/>
      <c r="M142" s="123" t="s">
        <v>3658</v>
      </c>
      <c r="N142" s="124">
        <v>68.93</v>
      </c>
      <c r="O142" s="124">
        <v>-150.27</v>
      </c>
      <c r="P142" s="124">
        <v>600.0</v>
      </c>
      <c r="Q142" s="123" t="s">
        <v>3705</v>
      </c>
      <c r="R142" s="125" t="s">
        <v>3713</v>
      </c>
      <c r="S142" s="123"/>
      <c r="T142" s="125" t="s">
        <v>3170</v>
      </c>
      <c r="U142" s="124">
        <v>2008.0</v>
      </c>
      <c r="V142" s="123"/>
      <c r="W142" s="123" t="s">
        <v>3707</v>
      </c>
      <c r="X142" s="123"/>
    </row>
    <row r="143">
      <c r="A143" s="123" t="s">
        <v>87</v>
      </c>
      <c r="B143" s="123" t="s">
        <v>3714</v>
      </c>
      <c r="C143" s="123"/>
      <c r="D143" s="123" t="s">
        <v>3715</v>
      </c>
      <c r="E143" s="123" t="s">
        <v>3165</v>
      </c>
      <c r="F143" s="123" t="s">
        <v>3165</v>
      </c>
      <c r="G143" s="123" t="s">
        <v>452</v>
      </c>
      <c r="H143" s="123" t="s">
        <v>3096</v>
      </c>
      <c r="I143" s="123" t="s">
        <v>107</v>
      </c>
      <c r="J143" s="123" t="s">
        <v>3249</v>
      </c>
      <c r="K143" s="124">
        <v>2.794</v>
      </c>
      <c r="L143" s="124">
        <v>9.7</v>
      </c>
      <c r="M143" s="123" t="s">
        <v>3658</v>
      </c>
      <c r="N143" s="124">
        <v>43.2513</v>
      </c>
      <c r="O143" s="124">
        <v>-85.7648</v>
      </c>
      <c r="P143" s="124">
        <v>270.4</v>
      </c>
      <c r="Q143" s="123"/>
      <c r="R143" s="125" t="s">
        <v>3170</v>
      </c>
      <c r="S143" s="123"/>
      <c r="T143" s="125" t="s">
        <v>3170</v>
      </c>
      <c r="U143" s="124">
        <v>2023.0</v>
      </c>
      <c r="V143" s="123"/>
      <c r="W143" s="123"/>
      <c r="X143" s="123"/>
    </row>
    <row r="144">
      <c r="A144" s="123" t="s">
        <v>87</v>
      </c>
      <c r="B144" s="123" t="s">
        <v>3716</v>
      </c>
      <c r="C144" s="123"/>
      <c r="D144" s="123" t="s">
        <v>3717</v>
      </c>
      <c r="E144" s="123" t="s">
        <v>3164</v>
      </c>
      <c r="F144" s="123" t="s">
        <v>3164</v>
      </c>
      <c r="G144" s="123" t="s">
        <v>288</v>
      </c>
      <c r="H144" s="123" t="s">
        <v>3095</v>
      </c>
      <c r="I144" s="123" t="s">
        <v>1529</v>
      </c>
      <c r="J144" s="123" t="s">
        <v>3718</v>
      </c>
      <c r="K144" s="123"/>
      <c r="L144" s="123"/>
      <c r="M144" s="123" t="s">
        <v>3658</v>
      </c>
      <c r="N144" s="124">
        <v>36.4267</v>
      </c>
      <c r="O144" s="124">
        <v>-99.42</v>
      </c>
      <c r="P144" s="124">
        <v>611.0</v>
      </c>
      <c r="Q144" s="123" t="s">
        <v>3719</v>
      </c>
      <c r="R144" s="125" t="s">
        <v>3720</v>
      </c>
      <c r="S144" s="123" t="s">
        <v>3719</v>
      </c>
      <c r="T144" s="125" t="s">
        <v>3721</v>
      </c>
      <c r="U144" s="124">
        <v>2009.0</v>
      </c>
      <c r="V144" s="124">
        <v>2012.0</v>
      </c>
      <c r="W144" s="123" t="s">
        <v>3722</v>
      </c>
      <c r="X144" s="123"/>
    </row>
    <row r="145">
      <c r="A145" s="123" t="s">
        <v>87</v>
      </c>
      <c r="B145" s="123" t="s">
        <v>3723</v>
      </c>
      <c r="C145" s="123"/>
      <c r="D145" s="123" t="s">
        <v>3724</v>
      </c>
      <c r="E145" s="123" t="s">
        <v>3164</v>
      </c>
      <c r="F145" s="123" t="s">
        <v>3164</v>
      </c>
      <c r="G145" s="123" t="s">
        <v>288</v>
      </c>
      <c r="H145" s="123" t="s">
        <v>3095</v>
      </c>
      <c r="I145" s="123" t="s">
        <v>1529</v>
      </c>
      <c r="J145" s="123" t="s">
        <v>3718</v>
      </c>
      <c r="K145" s="123"/>
      <c r="L145" s="123"/>
      <c r="M145" s="123" t="s">
        <v>3658</v>
      </c>
      <c r="N145" s="124">
        <v>36.6358</v>
      </c>
      <c r="O145" s="124">
        <v>-99.5975</v>
      </c>
      <c r="P145" s="124">
        <v>646.0</v>
      </c>
      <c r="Q145" s="123" t="s">
        <v>3719</v>
      </c>
      <c r="R145" s="125" t="s">
        <v>3725</v>
      </c>
      <c r="S145" s="123" t="s">
        <v>3719</v>
      </c>
      <c r="T145" s="125" t="s">
        <v>3726</v>
      </c>
      <c r="U145" s="124">
        <v>2009.0</v>
      </c>
      <c r="V145" s="124">
        <v>2012.0</v>
      </c>
      <c r="W145" s="123" t="s">
        <v>3722</v>
      </c>
      <c r="X145" s="123"/>
    </row>
    <row r="146">
      <c r="A146" s="123" t="s">
        <v>87</v>
      </c>
      <c r="B146" s="123" t="s">
        <v>3727</v>
      </c>
      <c r="C146" s="123"/>
      <c r="D146" s="123" t="s">
        <v>3728</v>
      </c>
      <c r="E146" s="123" t="s">
        <v>3164</v>
      </c>
      <c r="F146" s="123" t="s">
        <v>3164</v>
      </c>
      <c r="G146" s="123" t="s">
        <v>288</v>
      </c>
      <c r="H146" s="123" t="s">
        <v>3095</v>
      </c>
      <c r="I146" s="123" t="s">
        <v>201</v>
      </c>
      <c r="J146" s="123" t="s">
        <v>3174</v>
      </c>
      <c r="K146" s="123"/>
      <c r="L146" s="123"/>
      <c r="M146" s="123" t="s">
        <v>3658</v>
      </c>
      <c r="N146" s="124">
        <v>35.5497</v>
      </c>
      <c r="O146" s="124">
        <v>-98.0402</v>
      </c>
      <c r="P146" s="124">
        <v>424.0</v>
      </c>
      <c r="Q146" s="123" t="s">
        <v>3729</v>
      </c>
      <c r="R146" s="125" t="s">
        <v>3730</v>
      </c>
      <c r="S146" s="123" t="s">
        <v>3729</v>
      </c>
      <c r="T146" s="125" t="s">
        <v>3731</v>
      </c>
      <c r="U146" s="124">
        <v>2005.0</v>
      </c>
      <c r="V146" s="124">
        <v>2006.0</v>
      </c>
      <c r="W146" s="123" t="s">
        <v>3732</v>
      </c>
      <c r="X146" s="123"/>
    </row>
    <row r="147">
      <c r="A147" s="123" t="s">
        <v>87</v>
      </c>
      <c r="B147" s="123" t="s">
        <v>3733</v>
      </c>
      <c r="C147" s="123"/>
      <c r="D147" s="123" t="s">
        <v>3734</v>
      </c>
      <c r="E147" s="123" t="s">
        <v>3164</v>
      </c>
      <c r="F147" s="123" t="s">
        <v>3164</v>
      </c>
      <c r="G147" s="123" t="s">
        <v>288</v>
      </c>
      <c r="H147" s="123" t="s">
        <v>3095</v>
      </c>
      <c r="I147" s="123" t="s">
        <v>201</v>
      </c>
      <c r="J147" s="123" t="s">
        <v>3174</v>
      </c>
      <c r="K147" s="123"/>
      <c r="L147" s="123"/>
      <c r="M147" s="123" t="s">
        <v>3658</v>
      </c>
      <c r="N147" s="124">
        <v>35.5465</v>
      </c>
      <c r="O147" s="124">
        <v>-98.04</v>
      </c>
      <c r="P147" s="124">
        <v>424.0</v>
      </c>
      <c r="Q147" s="123" t="s">
        <v>3729</v>
      </c>
      <c r="R147" s="125" t="s">
        <v>3735</v>
      </c>
      <c r="S147" s="123" t="s">
        <v>3729</v>
      </c>
      <c r="T147" s="125" t="s">
        <v>3736</v>
      </c>
      <c r="U147" s="124">
        <v>2005.0</v>
      </c>
      <c r="V147" s="124">
        <v>2006.0</v>
      </c>
      <c r="W147" s="123" t="s">
        <v>3732</v>
      </c>
      <c r="X147" s="123"/>
    </row>
    <row r="148">
      <c r="A148" s="123" t="s">
        <v>87</v>
      </c>
      <c r="B148" s="123" t="s">
        <v>519</v>
      </c>
      <c r="C148" s="123"/>
      <c r="D148" s="123" t="s">
        <v>520</v>
      </c>
      <c r="E148" s="123" t="s">
        <v>3164</v>
      </c>
      <c r="F148" s="123" t="s">
        <v>3164</v>
      </c>
      <c r="G148" s="123" t="s">
        <v>86</v>
      </c>
      <c r="H148" s="123" t="s">
        <v>3088</v>
      </c>
      <c r="I148" s="123" t="s">
        <v>201</v>
      </c>
      <c r="J148" s="123" t="s">
        <v>3174</v>
      </c>
      <c r="K148" s="124">
        <v>843.0</v>
      </c>
      <c r="L148" s="124">
        <v>14.76</v>
      </c>
      <c r="M148" s="123" t="s">
        <v>3658</v>
      </c>
      <c r="N148" s="124">
        <v>36.6058</v>
      </c>
      <c r="O148" s="124">
        <v>-97.4888</v>
      </c>
      <c r="P148" s="124">
        <v>314.0</v>
      </c>
      <c r="Q148" s="123" t="s">
        <v>3737</v>
      </c>
      <c r="R148" s="125" t="s">
        <v>3738</v>
      </c>
      <c r="S148" s="123" t="s">
        <v>3739</v>
      </c>
      <c r="T148" s="125" t="s">
        <v>3740</v>
      </c>
      <c r="U148" s="124">
        <v>2002.0</v>
      </c>
      <c r="V148" s="123"/>
      <c r="W148" s="123" t="s">
        <v>3741</v>
      </c>
      <c r="X148" s="123"/>
    </row>
    <row r="149">
      <c r="A149" s="123" t="s">
        <v>87</v>
      </c>
      <c r="B149" s="123" t="s">
        <v>3742</v>
      </c>
      <c r="C149" s="123"/>
      <c r="D149" s="123" t="s">
        <v>3743</v>
      </c>
      <c r="E149" s="123" t="s">
        <v>3164</v>
      </c>
      <c r="F149" s="123" t="s">
        <v>3165</v>
      </c>
      <c r="G149" s="123" t="s">
        <v>370</v>
      </c>
      <c r="H149" s="123" t="s">
        <v>3091</v>
      </c>
      <c r="I149" s="123" t="s">
        <v>3597</v>
      </c>
      <c r="J149" s="123" t="s">
        <v>3598</v>
      </c>
      <c r="K149" s="124">
        <v>210.0</v>
      </c>
      <c r="L149" s="124">
        <v>18.1</v>
      </c>
      <c r="M149" s="123" t="s">
        <v>3658</v>
      </c>
      <c r="N149" s="124">
        <v>36.1697</v>
      </c>
      <c r="O149" s="124">
        <v>-120.201</v>
      </c>
      <c r="P149" s="124">
        <v>147.0</v>
      </c>
      <c r="Q149" s="123" t="s">
        <v>3676</v>
      </c>
      <c r="R149" s="125" t="s">
        <v>3744</v>
      </c>
      <c r="S149" s="123"/>
      <c r="T149" s="125" t="s">
        <v>3170</v>
      </c>
      <c r="U149" s="124">
        <v>2016.0</v>
      </c>
      <c r="V149" s="123"/>
      <c r="W149" s="123" t="s">
        <v>3745</v>
      </c>
      <c r="X149" s="123"/>
    </row>
    <row r="150">
      <c r="A150" s="123" t="s">
        <v>87</v>
      </c>
      <c r="B150" s="123" t="s">
        <v>3746</v>
      </c>
      <c r="C150" s="123"/>
      <c r="D150" s="123" t="s">
        <v>3747</v>
      </c>
      <c r="E150" s="123" t="s">
        <v>3164</v>
      </c>
      <c r="F150" s="123" t="s">
        <v>3165</v>
      </c>
      <c r="G150" s="123" t="s">
        <v>370</v>
      </c>
      <c r="H150" s="123" t="s">
        <v>3091</v>
      </c>
      <c r="I150" s="123" t="s">
        <v>3597</v>
      </c>
      <c r="J150" s="123" t="s">
        <v>3598</v>
      </c>
      <c r="K150" s="124">
        <v>311.0</v>
      </c>
      <c r="L150" s="124">
        <v>16.7</v>
      </c>
      <c r="M150" s="123" t="s">
        <v>3658</v>
      </c>
      <c r="N150" s="124">
        <v>36.9466</v>
      </c>
      <c r="O150" s="124">
        <v>-120.1024</v>
      </c>
      <c r="P150" s="124">
        <v>78.0</v>
      </c>
      <c r="Q150" s="123" t="s">
        <v>3676</v>
      </c>
      <c r="R150" s="125" t="s">
        <v>3748</v>
      </c>
      <c r="S150" s="123"/>
      <c r="T150" s="125" t="s">
        <v>3170</v>
      </c>
      <c r="U150" s="124">
        <v>2016.0</v>
      </c>
      <c r="V150" s="123"/>
      <c r="W150" s="123" t="s">
        <v>3745</v>
      </c>
      <c r="X150" s="123"/>
    </row>
    <row r="151">
      <c r="A151" s="123" t="s">
        <v>87</v>
      </c>
      <c r="B151" s="123" t="s">
        <v>3749</v>
      </c>
      <c r="C151" s="123"/>
      <c r="D151" s="123" t="s">
        <v>3750</v>
      </c>
      <c r="E151" s="123" t="s">
        <v>3164</v>
      </c>
      <c r="F151" s="123" t="s">
        <v>3165</v>
      </c>
      <c r="G151" s="123" t="s">
        <v>370</v>
      </c>
      <c r="H151" s="123" t="s">
        <v>3091</v>
      </c>
      <c r="I151" s="123" t="s">
        <v>3597</v>
      </c>
      <c r="J151" s="123" t="s">
        <v>3598</v>
      </c>
      <c r="K151" s="124">
        <v>210.0</v>
      </c>
      <c r="L151" s="124">
        <v>18.1</v>
      </c>
      <c r="M151" s="123" t="s">
        <v>3658</v>
      </c>
      <c r="N151" s="124">
        <v>36.1777</v>
      </c>
      <c r="O151" s="124">
        <v>-120.2026</v>
      </c>
      <c r="P151" s="124">
        <v>147.0</v>
      </c>
      <c r="Q151" s="123" t="s">
        <v>3676</v>
      </c>
      <c r="R151" s="125" t="s">
        <v>3751</v>
      </c>
      <c r="S151" s="123"/>
      <c r="T151" s="125" t="s">
        <v>3170</v>
      </c>
      <c r="U151" s="124">
        <v>2016.0</v>
      </c>
      <c r="V151" s="123"/>
      <c r="W151" s="123" t="s">
        <v>3745</v>
      </c>
      <c r="X151" s="123"/>
    </row>
    <row r="152">
      <c r="A152" s="123" t="s">
        <v>87</v>
      </c>
      <c r="B152" s="123" t="s">
        <v>3752</v>
      </c>
      <c r="C152" s="123"/>
      <c r="D152" s="123" t="s">
        <v>3753</v>
      </c>
      <c r="E152" s="123" t="s">
        <v>3164</v>
      </c>
      <c r="F152" s="123" t="s">
        <v>3165</v>
      </c>
      <c r="G152" s="123" t="s">
        <v>214</v>
      </c>
      <c r="H152" s="123" t="s">
        <v>3184</v>
      </c>
      <c r="I152" s="123" t="s">
        <v>605</v>
      </c>
      <c r="J152" s="123" t="s">
        <v>1686</v>
      </c>
      <c r="K152" s="124">
        <v>93.0</v>
      </c>
      <c r="L152" s="124">
        <v>-9.7</v>
      </c>
      <c r="M152" s="123" t="s">
        <v>3658</v>
      </c>
      <c r="N152" s="124">
        <v>70.4696</v>
      </c>
      <c r="O152" s="124">
        <v>-157.4089</v>
      </c>
      <c r="P152" s="124">
        <v>15.0</v>
      </c>
      <c r="Q152" s="123" t="s">
        <v>3754</v>
      </c>
      <c r="R152" s="125" t="s">
        <v>3755</v>
      </c>
      <c r="S152" s="123"/>
      <c r="T152" s="125" t="s">
        <v>3170</v>
      </c>
      <c r="U152" s="124">
        <v>1999.0</v>
      </c>
      <c r="V152" s="123"/>
      <c r="W152" s="123" t="s">
        <v>3427</v>
      </c>
      <c r="X152" s="123"/>
    </row>
    <row r="153">
      <c r="A153" s="123" t="s">
        <v>87</v>
      </c>
      <c r="B153" s="123" t="s">
        <v>286</v>
      </c>
      <c r="C153" s="123"/>
      <c r="D153" s="123" t="s">
        <v>3756</v>
      </c>
      <c r="E153" s="123" t="s">
        <v>3164</v>
      </c>
      <c r="F153" s="123" t="s">
        <v>3165</v>
      </c>
      <c r="G153" s="123" t="s">
        <v>288</v>
      </c>
      <c r="H153" s="123" t="s">
        <v>3095</v>
      </c>
      <c r="I153" s="123" t="s">
        <v>303</v>
      </c>
      <c r="J153" s="123" t="s">
        <v>3585</v>
      </c>
      <c r="K153" s="124">
        <v>438.35</v>
      </c>
      <c r="L153" s="124">
        <v>14.85</v>
      </c>
      <c r="M153" s="123" t="s">
        <v>3658</v>
      </c>
      <c r="N153" s="124">
        <v>31.5907</v>
      </c>
      <c r="O153" s="124">
        <v>-110.5104</v>
      </c>
      <c r="P153" s="124">
        <v>1469.0</v>
      </c>
      <c r="Q153" s="123" t="s">
        <v>3237</v>
      </c>
      <c r="R153" s="125" t="s">
        <v>3757</v>
      </c>
      <c r="S153" s="123"/>
      <c r="T153" s="125" t="s">
        <v>3170</v>
      </c>
      <c r="U153" s="124">
        <v>2002.0</v>
      </c>
      <c r="V153" s="123"/>
      <c r="W153" s="123" t="s">
        <v>3427</v>
      </c>
      <c r="X153" s="123"/>
    </row>
    <row r="154">
      <c r="A154" s="123" t="s">
        <v>87</v>
      </c>
      <c r="B154" s="123" t="s">
        <v>1311</v>
      </c>
      <c r="C154" s="123"/>
      <c r="D154" s="123" t="s">
        <v>3758</v>
      </c>
      <c r="E154" s="123" t="s">
        <v>3164</v>
      </c>
      <c r="F154" s="123" t="s">
        <v>3164</v>
      </c>
      <c r="G154" s="123" t="s">
        <v>370</v>
      </c>
      <c r="H154" s="123" t="s">
        <v>3091</v>
      </c>
      <c r="I154" s="123" t="s">
        <v>107</v>
      </c>
      <c r="J154" s="123" t="s">
        <v>3249</v>
      </c>
      <c r="K154" s="124">
        <v>1245.77</v>
      </c>
      <c r="L154" s="124">
        <v>5.61</v>
      </c>
      <c r="M154" s="123" t="s">
        <v>3658</v>
      </c>
      <c r="N154" s="124">
        <v>44.0646</v>
      </c>
      <c r="O154" s="124">
        <v>-71.2881</v>
      </c>
      <c r="P154" s="124">
        <v>272.0</v>
      </c>
      <c r="Q154" s="123" t="s">
        <v>3759</v>
      </c>
      <c r="R154" s="125" t="s">
        <v>3760</v>
      </c>
      <c r="S154" s="123" t="s">
        <v>3761</v>
      </c>
      <c r="T154" s="125" t="s">
        <v>3762</v>
      </c>
      <c r="U154" s="124">
        <v>2004.0</v>
      </c>
      <c r="V154" s="123"/>
      <c r="W154" s="123" t="s">
        <v>3763</v>
      </c>
      <c r="X154" s="123"/>
    </row>
    <row r="155">
      <c r="A155" s="123" t="s">
        <v>87</v>
      </c>
      <c r="B155" s="123" t="s">
        <v>1564</v>
      </c>
      <c r="C155" s="123"/>
      <c r="D155" s="123" t="s">
        <v>1565</v>
      </c>
      <c r="E155" s="123" t="s">
        <v>3165</v>
      </c>
      <c r="F155" s="123" t="s">
        <v>3165</v>
      </c>
      <c r="G155" s="123" t="s">
        <v>214</v>
      </c>
      <c r="H155" s="123" t="s">
        <v>3184</v>
      </c>
      <c r="I155" s="123" t="s">
        <v>592</v>
      </c>
      <c r="J155" s="123" t="s">
        <v>3216</v>
      </c>
      <c r="K155" s="124">
        <v>1142.0</v>
      </c>
      <c r="L155" s="124">
        <v>22.6</v>
      </c>
      <c r="M155" s="123" t="s">
        <v>3658</v>
      </c>
      <c r="N155" s="124">
        <v>27.6953</v>
      </c>
      <c r="O155" s="124">
        <v>-80.7114</v>
      </c>
      <c r="P155" s="124">
        <v>23.0</v>
      </c>
      <c r="Q155" s="123"/>
      <c r="R155" s="125" t="s">
        <v>3170</v>
      </c>
      <c r="S155" s="123"/>
      <c r="T155" s="125" t="s">
        <v>3170</v>
      </c>
      <c r="U155" s="124">
        <v>2009.0</v>
      </c>
      <c r="V155" s="124">
        <v>2014.0</v>
      </c>
      <c r="W155" s="123"/>
      <c r="X155" s="123"/>
    </row>
    <row r="156">
      <c r="A156" s="123" t="s">
        <v>87</v>
      </c>
      <c r="B156" s="123" t="s">
        <v>3764</v>
      </c>
      <c r="C156" s="123"/>
      <c r="D156" s="123" t="s">
        <v>3765</v>
      </c>
      <c r="E156" s="123" t="s">
        <v>3165</v>
      </c>
      <c r="F156" s="123" t="s">
        <v>3165</v>
      </c>
      <c r="G156" s="123" t="s">
        <v>86</v>
      </c>
      <c r="H156" s="123" t="s">
        <v>3088</v>
      </c>
      <c r="I156" s="123" t="s">
        <v>201</v>
      </c>
      <c r="J156" s="123" t="s">
        <v>3174</v>
      </c>
      <c r="K156" s="123"/>
      <c r="L156" s="123"/>
      <c r="M156" s="123" t="s">
        <v>3658</v>
      </c>
      <c r="N156" s="124">
        <v>35.8139</v>
      </c>
      <c r="O156" s="124">
        <v>-89.9862</v>
      </c>
      <c r="P156" s="124">
        <v>70.0</v>
      </c>
      <c r="Q156" s="123"/>
      <c r="R156" s="125" t="s">
        <v>3170</v>
      </c>
      <c r="S156" s="123"/>
      <c r="T156" s="125" t="s">
        <v>3170</v>
      </c>
      <c r="U156" s="124">
        <v>2020.0</v>
      </c>
      <c r="V156" s="123"/>
      <c r="W156" s="123"/>
      <c r="X156" s="123"/>
    </row>
    <row r="157">
      <c r="A157" s="123" t="s">
        <v>87</v>
      </c>
      <c r="B157" s="123" t="s">
        <v>3766</v>
      </c>
      <c r="C157" s="123"/>
      <c r="D157" s="123" t="s">
        <v>3767</v>
      </c>
      <c r="E157" s="123" t="s">
        <v>3165</v>
      </c>
      <c r="F157" s="123" t="s">
        <v>3165</v>
      </c>
      <c r="G157" s="123" t="s">
        <v>86</v>
      </c>
      <c r="H157" s="123" t="s">
        <v>3088</v>
      </c>
      <c r="I157" s="123" t="s">
        <v>201</v>
      </c>
      <c r="J157" s="123" t="s">
        <v>3174</v>
      </c>
      <c r="K157" s="123"/>
      <c r="L157" s="123"/>
      <c r="M157" s="123" t="s">
        <v>3658</v>
      </c>
      <c r="N157" s="124">
        <v>35.8105</v>
      </c>
      <c r="O157" s="124">
        <v>-90.0194</v>
      </c>
      <c r="P157" s="124">
        <v>70.0</v>
      </c>
      <c r="Q157" s="123"/>
      <c r="R157" s="125" t="s">
        <v>3170</v>
      </c>
      <c r="S157" s="123"/>
      <c r="T157" s="125" t="s">
        <v>3170</v>
      </c>
      <c r="U157" s="124">
        <v>2020.0</v>
      </c>
      <c r="V157" s="123"/>
      <c r="W157" s="123"/>
      <c r="X157" s="123"/>
    </row>
    <row r="158">
      <c r="A158" s="123" t="s">
        <v>87</v>
      </c>
      <c r="B158" s="123" t="s">
        <v>3768</v>
      </c>
      <c r="C158" s="123"/>
      <c r="D158" s="123" t="s">
        <v>3769</v>
      </c>
      <c r="E158" s="123" t="s">
        <v>3165</v>
      </c>
      <c r="F158" s="123" t="s">
        <v>3165</v>
      </c>
      <c r="G158" s="123" t="s">
        <v>86</v>
      </c>
      <c r="H158" s="123" t="s">
        <v>3088</v>
      </c>
      <c r="I158" s="123" t="s">
        <v>201</v>
      </c>
      <c r="J158" s="123" t="s">
        <v>3174</v>
      </c>
      <c r="K158" s="123"/>
      <c r="L158" s="123"/>
      <c r="M158" s="123" t="s">
        <v>3658</v>
      </c>
      <c r="N158" s="124">
        <v>35.814</v>
      </c>
      <c r="O158" s="124">
        <v>-90.0194</v>
      </c>
      <c r="P158" s="124">
        <v>70.0</v>
      </c>
      <c r="Q158" s="123"/>
      <c r="R158" s="125" t="s">
        <v>3170</v>
      </c>
      <c r="S158" s="123"/>
      <c r="T158" s="125" t="s">
        <v>3170</v>
      </c>
      <c r="U158" s="124">
        <v>2020.0</v>
      </c>
      <c r="V158" s="123"/>
      <c r="W158" s="123"/>
      <c r="X158" s="123"/>
    </row>
    <row r="159">
      <c r="A159" s="123" t="s">
        <v>87</v>
      </c>
      <c r="B159" s="123" t="s">
        <v>3770</v>
      </c>
      <c r="C159" s="123"/>
      <c r="D159" s="123" t="s">
        <v>3771</v>
      </c>
      <c r="E159" s="123" t="s">
        <v>3165</v>
      </c>
      <c r="F159" s="123" t="s">
        <v>3165</v>
      </c>
      <c r="G159" s="123" t="s">
        <v>86</v>
      </c>
      <c r="H159" s="123" t="s">
        <v>3088</v>
      </c>
      <c r="I159" s="123" t="s">
        <v>201</v>
      </c>
      <c r="J159" s="123" t="s">
        <v>3174</v>
      </c>
      <c r="K159" s="123"/>
      <c r="L159" s="123"/>
      <c r="M159" s="123" t="s">
        <v>3658</v>
      </c>
      <c r="N159" s="124">
        <v>35.8089</v>
      </c>
      <c r="O159" s="124">
        <v>-90.0327</v>
      </c>
      <c r="P159" s="123"/>
      <c r="Q159" s="123"/>
      <c r="R159" s="125" t="s">
        <v>3170</v>
      </c>
      <c r="S159" s="123"/>
      <c r="T159" s="125" t="s">
        <v>3170</v>
      </c>
      <c r="U159" s="123"/>
      <c r="V159" s="123"/>
      <c r="W159" s="123"/>
      <c r="X159" s="123"/>
    </row>
    <row r="160">
      <c r="A160" s="123" t="s">
        <v>87</v>
      </c>
      <c r="B160" s="123" t="s">
        <v>3772</v>
      </c>
      <c r="C160" s="123"/>
      <c r="D160" s="123" t="s">
        <v>3773</v>
      </c>
      <c r="E160" s="123" t="s">
        <v>3165</v>
      </c>
      <c r="F160" s="123" t="s">
        <v>3165</v>
      </c>
      <c r="G160" s="123" t="s">
        <v>86</v>
      </c>
      <c r="H160" s="123" t="s">
        <v>3088</v>
      </c>
      <c r="I160" s="123" t="s">
        <v>201</v>
      </c>
      <c r="J160" s="123" t="s">
        <v>3174</v>
      </c>
      <c r="K160" s="123"/>
      <c r="L160" s="123"/>
      <c r="M160" s="123" t="s">
        <v>3658</v>
      </c>
      <c r="N160" s="124">
        <v>35.8089</v>
      </c>
      <c r="O160" s="124">
        <v>-90.0284</v>
      </c>
      <c r="P160" s="123"/>
      <c r="Q160" s="123"/>
      <c r="R160" s="125" t="s">
        <v>3170</v>
      </c>
      <c r="S160" s="123"/>
      <c r="T160" s="125" t="s">
        <v>3170</v>
      </c>
      <c r="U160" s="123"/>
      <c r="V160" s="123"/>
      <c r="W160" s="123"/>
      <c r="X160" s="123"/>
    </row>
    <row r="161">
      <c r="A161" s="123" t="s">
        <v>87</v>
      </c>
      <c r="B161" s="123" t="s">
        <v>3774</v>
      </c>
      <c r="C161" s="123"/>
      <c r="D161" s="123" t="s">
        <v>3775</v>
      </c>
      <c r="E161" s="123" t="s">
        <v>3165</v>
      </c>
      <c r="F161" s="123" t="s">
        <v>3165</v>
      </c>
      <c r="G161" s="123" t="s">
        <v>214</v>
      </c>
      <c r="H161" s="123" t="s">
        <v>3184</v>
      </c>
      <c r="I161" s="123" t="s">
        <v>605</v>
      </c>
      <c r="J161" s="123" t="s">
        <v>1686</v>
      </c>
      <c r="K161" s="124">
        <v>72.0</v>
      </c>
      <c r="L161" s="124">
        <v>-11.3</v>
      </c>
      <c r="M161" s="123" t="s">
        <v>3658</v>
      </c>
      <c r="N161" s="124">
        <v>71.281</v>
      </c>
      <c r="O161" s="124">
        <v>-156.6123</v>
      </c>
      <c r="P161" s="123"/>
      <c r="Q161" s="123"/>
      <c r="R161" s="125" t="s">
        <v>3170</v>
      </c>
      <c r="S161" s="123"/>
      <c r="T161" s="125" t="s">
        <v>3170</v>
      </c>
      <c r="U161" s="124">
        <v>2000.0</v>
      </c>
      <c r="V161" s="123"/>
      <c r="W161" s="123"/>
      <c r="X161" s="123"/>
    </row>
    <row r="162">
      <c r="A162" s="123" t="s">
        <v>87</v>
      </c>
      <c r="B162" s="123" t="s">
        <v>3776</v>
      </c>
      <c r="C162" s="123"/>
      <c r="D162" s="123" t="s">
        <v>3777</v>
      </c>
      <c r="E162" s="123" t="s">
        <v>3165</v>
      </c>
      <c r="F162" s="123" t="s">
        <v>3165</v>
      </c>
      <c r="G162" s="123" t="s">
        <v>214</v>
      </c>
      <c r="H162" s="123" t="s">
        <v>3184</v>
      </c>
      <c r="I162" s="123" t="s">
        <v>605</v>
      </c>
      <c r="J162" s="123" t="s">
        <v>1686</v>
      </c>
      <c r="K162" s="124">
        <v>173.0</v>
      </c>
      <c r="L162" s="124">
        <v>-12.0</v>
      </c>
      <c r="M162" s="123" t="s">
        <v>3658</v>
      </c>
      <c r="N162" s="124">
        <v>71.2809</v>
      </c>
      <c r="O162" s="124">
        <v>-156.5965</v>
      </c>
      <c r="P162" s="124">
        <v>4.6</v>
      </c>
      <c r="Q162" s="123"/>
      <c r="R162" s="125" t="s">
        <v>3170</v>
      </c>
      <c r="S162" s="123"/>
      <c r="T162" s="125" t="s">
        <v>3170</v>
      </c>
      <c r="U162" s="124">
        <v>2005.0</v>
      </c>
      <c r="V162" s="123"/>
      <c r="W162" s="123"/>
      <c r="X162" s="123"/>
    </row>
    <row r="163">
      <c r="A163" s="123" t="s">
        <v>87</v>
      </c>
      <c r="B163" s="123" t="s">
        <v>3778</v>
      </c>
      <c r="C163" s="123"/>
      <c r="D163" s="123" t="s">
        <v>3779</v>
      </c>
      <c r="E163" s="123" t="s">
        <v>3165</v>
      </c>
      <c r="F163" s="123" t="s">
        <v>3165</v>
      </c>
      <c r="G163" s="123" t="s">
        <v>200</v>
      </c>
      <c r="H163" s="123" t="s">
        <v>3103</v>
      </c>
      <c r="I163" s="123" t="s">
        <v>175</v>
      </c>
      <c r="J163" s="123" t="s">
        <v>3366</v>
      </c>
      <c r="K163" s="124">
        <v>650.0</v>
      </c>
      <c r="L163" s="124">
        <v>16.5</v>
      </c>
      <c r="M163" s="123" t="s">
        <v>3658</v>
      </c>
      <c r="N163" s="124">
        <v>39.8125</v>
      </c>
      <c r="O163" s="124">
        <v>-121.8135</v>
      </c>
      <c r="P163" s="124">
        <v>135.0</v>
      </c>
      <c r="Q163" s="123"/>
      <c r="R163" s="125" t="s">
        <v>3170</v>
      </c>
      <c r="S163" s="123"/>
      <c r="T163" s="125" t="s">
        <v>3170</v>
      </c>
      <c r="U163" s="124">
        <v>2023.0</v>
      </c>
      <c r="V163" s="123"/>
      <c r="W163" s="123"/>
      <c r="X163" s="123"/>
    </row>
    <row r="164">
      <c r="A164" s="123" t="s">
        <v>87</v>
      </c>
      <c r="B164" s="123" t="s">
        <v>3780</v>
      </c>
      <c r="C164" s="123"/>
      <c r="D164" s="123" t="s">
        <v>3781</v>
      </c>
      <c r="E164" s="123" t="s">
        <v>3164</v>
      </c>
      <c r="F164" s="123" t="s">
        <v>3164</v>
      </c>
      <c r="G164" s="123" t="s">
        <v>86</v>
      </c>
      <c r="H164" s="123" t="s">
        <v>3088</v>
      </c>
      <c r="I164" s="123" t="s">
        <v>175</v>
      </c>
      <c r="J164" s="123" t="s">
        <v>3366</v>
      </c>
      <c r="K164" s="124">
        <v>338.0</v>
      </c>
      <c r="L164" s="124">
        <v>16.0</v>
      </c>
      <c r="M164" s="123" t="s">
        <v>3658</v>
      </c>
      <c r="N164" s="124">
        <v>38.0992</v>
      </c>
      <c r="O164" s="124">
        <v>-121.4993</v>
      </c>
      <c r="P164" s="124">
        <v>-2.7</v>
      </c>
      <c r="Q164" s="123" t="s">
        <v>3782</v>
      </c>
      <c r="R164" s="125" t="s">
        <v>3783</v>
      </c>
      <c r="S164" s="123" t="s">
        <v>3784</v>
      </c>
      <c r="T164" s="125" t="s">
        <v>3785</v>
      </c>
      <c r="U164" s="124">
        <v>2016.0</v>
      </c>
      <c r="V164" s="123"/>
      <c r="W164" s="123" t="s">
        <v>3786</v>
      </c>
      <c r="X164" s="123"/>
    </row>
    <row r="165">
      <c r="A165" s="123" t="s">
        <v>87</v>
      </c>
      <c r="B165" s="123" t="s">
        <v>3787</v>
      </c>
      <c r="C165" s="123"/>
      <c r="D165" s="123" t="s">
        <v>3788</v>
      </c>
      <c r="E165" s="123" t="s">
        <v>3164</v>
      </c>
      <c r="F165" s="123" t="s">
        <v>3164</v>
      </c>
      <c r="G165" s="123" t="s">
        <v>86</v>
      </c>
      <c r="H165" s="123" t="s">
        <v>3088</v>
      </c>
      <c r="I165" s="123" t="s">
        <v>175</v>
      </c>
      <c r="J165" s="123" t="s">
        <v>3366</v>
      </c>
      <c r="K165" s="124">
        <v>338.0</v>
      </c>
      <c r="L165" s="124">
        <v>16.0</v>
      </c>
      <c r="M165" s="123" t="s">
        <v>3658</v>
      </c>
      <c r="N165" s="124">
        <v>38.1091</v>
      </c>
      <c r="O165" s="124">
        <v>-121.5351</v>
      </c>
      <c r="P165" s="124">
        <v>-5.0</v>
      </c>
      <c r="Q165" s="123" t="s">
        <v>3789</v>
      </c>
      <c r="R165" s="125" t="s">
        <v>3790</v>
      </c>
      <c r="S165" s="123" t="s">
        <v>3791</v>
      </c>
      <c r="T165" s="125" t="s">
        <v>3792</v>
      </c>
      <c r="U165" s="124">
        <v>2017.0</v>
      </c>
      <c r="V165" s="123"/>
      <c r="W165" s="123" t="s">
        <v>3793</v>
      </c>
      <c r="X165" s="123"/>
    </row>
    <row r="166">
      <c r="A166" s="123" t="s">
        <v>87</v>
      </c>
      <c r="B166" s="123" t="s">
        <v>3794</v>
      </c>
      <c r="C166" s="123"/>
      <c r="D166" s="123" t="s">
        <v>3795</v>
      </c>
      <c r="E166" s="123" t="s">
        <v>3164</v>
      </c>
      <c r="F166" s="123" t="s">
        <v>3165</v>
      </c>
      <c r="G166" s="123" t="s">
        <v>288</v>
      </c>
      <c r="H166" s="123" t="s">
        <v>3095</v>
      </c>
      <c r="I166" s="123" t="s">
        <v>108</v>
      </c>
      <c r="J166" s="123" t="s">
        <v>3796</v>
      </c>
      <c r="K166" s="124">
        <v>585.76</v>
      </c>
      <c r="L166" s="124">
        <v>6.03</v>
      </c>
      <c r="M166" s="123" t="s">
        <v>3658</v>
      </c>
      <c r="N166" s="124">
        <v>44.3453</v>
      </c>
      <c r="O166" s="124">
        <v>-96.8362</v>
      </c>
      <c r="P166" s="124">
        <v>510.0</v>
      </c>
      <c r="Q166" s="123" t="s">
        <v>3797</v>
      </c>
      <c r="R166" s="125" t="s">
        <v>3798</v>
      </c>
      <c r="S166" s="123"/>
      <c r="T166" s="125" t="s">
        <v>3170</v>
      </c>
      <c r="U166" s="124">
        <v>2004.0</v>
      </c>
      <c r="V166" s="123"/>
      <c r="W166" s="123" t="s">
        <v>3427</v>
      </c>
      <c r="X166" s="123"/>
    </row>
    <row r="167">
      <c r="A167" s="123" t="s">
        <v>87</v>
      </c>
      <c r="B167" s="123" t="s">
        <v>3799</v>
      </c>
      <c r="C167" s="123"/>
      <c r="D167" s="123" t="s">
        <v>3800</v>
      </c>
      <c r="E167" s="123" t="s">
        <v>3164</v>
      </c>
      <c r="F167" s="123" t="s">
        <v>3165</v>
      </c>
      <c r="G167" s="123" t="s">
        <v>197</v>
      </c>
      <c r="H167" s="123" t="s">
        <v>3094</v>
      </c>
      <c r="I167" s="123" t="s">
        <v>107</v>
      </c>
      <c r="J167" s="123" t="s">
        <v>3249</v>
      </c>
      <c r="K167" s="124">
        <v>573.79</v>
      </c>
      <c r="L167" s="124">
        <v>6.23</v>
      </c>
      <c r="M167" s="123" t="s">
        <v>3658</v>
      </c>
      <c r="N167" s="124">
        <v>44.158</v>
      </c>
      <c r="O167" s="124">
        <v>-103.65</v>
      </c>
      <c r="P167" s="124">
        <v>1718.0</v>
      </c>
      <c r="Q167" s="123" t="s">
        <v>3603</v>
      </c>
      <c r="R167" s="125" t="s">
        <v>3801</v>
      </c>
      <c r="S167" s="123"/>
      <c r="T167" s="125" t="s">
        <v>3170</v>
      </c>
      <c r="U167" s="124">
        <v>2003.0</v>
      </c>
      <c r="V167" s="124">
        <v>2008.0</v>
      </c>
      <c r="W167" s="123" t="s">
        <v>3427</v>
      </c>
      <c r="X167" s="123"/>
    </row>
    <row r="168">
      <c r="A168" s="123" t="s">
        <v>87</v>
      </c>
      <c r="B168" s="123" t="s">
        <v>3802</v>
      </c>
      <c r="C168" s="123"/>
      <c r="D168" s="123" t="s">
        <v>3803</v>
      </c>
      <c r="E168" s="123" t="s">
        <v>3164</v>
      </c>
      <c r="F168" s="123" t="s">
        <v>3165</v>
      </c>
      <c r="G168" s="123" t="s">
        <v>197</v>
      </c>
      <c r="H168" s="123" t="s">
        <v>3094</v>
      </c>
      <c r="I168" s="123" t="s">
        <v>175</v>
      </c>
      <c r="J168" s="123" t="s">
        <v>3366</v>
      </c>
      <c r="K168" s="124">
        <v>1226.0</v>
      </c>
      <c r="L168" s="124">
        <v>11.09</v>
      </c>
      <c r="M168" s="123" t="s">
        <v>3658</v>
      </c>
      <c r="N168" s="124">
        <v>38.8953</v>
      </c>
      <c r="O168" s="124">
        <v>-120.6328</v>
      </c>
      <c r="P168" s="124">
        <v>1315.0</v>
      </c>
      <c r="Q168" s="123" t="s">
        <v>3804</v>
      </c>
      <c r="R168" s="125" t="s">
        <v>3805</v>
      </c>
      <c r="S168" s="123"/>
      <c r="T168" s="125" t="s">
        <v>3170</v>
      </c>
      <c r="U168" s="124">
        <v>1997.0</v>
      </c>
      <c r="V168" s="124">
        <v>2006.0</v>
      </c>
      <c r="W168" s="123" t="s">
        <v>3806</v>
      </c>
      <c r="X168" s="123"/>
    </row>
    <row r="169">
      <c r="A169" s="123" t="s">
        <v>87</v>
      </c>
      <c r="B169" s="123" t="s">
        <v>3807</v>
      </c>
      <c r="C169" s="123"/>
      <c r="D169" s="123" t="s">
        <v>3808</v>
      </c>
      <c r="E169" s="123" t="s">
        <v>3164</v>
      </c>
      <c r="F169" s="123" t="s">
        <v>3165</v>
      </c>
      <c r="G169" s="123" t="s">
        <v>288</v>
      </c>
      <c r="H169" s="123" t="s">
        <v>3095</v>
      </c>
      <c r="I169" s="123" t="s">
        <v>372</v>
      </c>
      <c r="J169" s="123" t="s">
        <v>3292</v>
      </c>
      <c r="K169" s="123"/>
      <c r="L169" s="123"/>
      <c r="M169" s="123" t="s">
        <v>3658</v>
      </c>
      <c r="N169" s="124">
        <v>45.783</v>
      </c>
      <c r="O169" s="124">
        <v>-110.7776</v>
      </c>
      <c r="P169" s="124">
        <v>2324.0</v>
      </c>
      <c r="Q169" s="123" t="s">
        <v>3809</v>
      </c>
      <c r="R169" s="125" t="s">
        <v>3810</v>
      </c>
      <c r="S169" s="123"/>
      <c r="T169" s="125" t="s">
        <v>3170</v>
      </c>
      <c r="U169" s="124">
        <v>2016.0</v>
      </c>
      <c r="V169" s="124">
        <v>2019.0</v>
      </c>
      <c r="W169" s="123" t="s">
        <v>3811</v>
      </c>
      <c r="X169" s="123"/>
    </row>
    <row r="170">
      <c r="A170" s="123" t="s">
        <v>87</v>
      </c>
      <c r="B170" s="123" t="s">
        <v>3812</v>
      </c>
      <c r="C170" s="123"/>
      <c r="D170" s="123" t="s">
        <v>3813</v>
      </c>
      <c r="E170" s="123" t="s">
        <v>3164</v>
      </c>
      <c r="F170" s="123" t="s">
        <v>3165</v>
      </c>
      <c r="G170" s="123" t="s">
        <v>197</v>
      </c>
      <c r="H170" s="123" t="s">
        <v>3094</v>
      </c>
      <c r="I170" s="123" t="s">
        <v>753</v>
      </c>
      <c r="J170" s="123" t="s">
        <v>3814</v>
      </c>
      <c r="K170" s="123"/>
      <c r="L170" s="123"/>
      <c r="M170" s="123" t="s">
        <v>3658</v>
      </c>
      <c r="N170" s="124">
        <v>63.9198</v>
      </c>
      <c r="O170" s="124">
        <v>-145.3782</v>
      </c>
      <c r="P170" s="124">
        <v>518.0</v>
      </c>
      <c r="Q170" s="123" t="s">
        <v>3815</v>
      </c>
      <c r="R170" s="125" t="s">
        <v>3816</v>
      </c>
      <c r="S170" s="123"/>
      <c r="T170" s="125" t="s">
        <v>3170</v>
      </c>
      <c r="U170" s="124">
        <v>2003.0</v>
      </c>
      <c r="V170" s="124">
        <v>2004.0</v>
      </c>
      <c r="W170" s="123" t="s">
        <v>3427</v>
      </c>
      <c r="X170" s="123"/>
    </row>
    <row r="171">
      <c r="A171" s="123" t="s">
        <v>87</v>
      </c>
      <c r="B171" s="123" t="s">
        <v>749</v>
      </c>
      <c r="C171" s="123"/>
      <c r="D171" s="123" t="s">
        <v>3817</v>
      </c>
      <c r="E171" s="123" t="s">
        <v>3164</v>
      </c>
      <c r="F171" s="123" t="s">
        <v>3165</v>
      </c>
      <c r="G171" s="123" t="s">
        <v>370</v>
      </c>
      <c r="H171" s="123" t="s">
        <v>3091</v>
      </c>
      <c r="I171" s="123" t="s">
        <v>753</v>
      </c>
      <c r="J171" s="123" t="s">
        <v>3814</v>
      </c>
      <c r="K171" s="123"/>
      <c r="L171" s="123"/>
      <c r="M171" s="123" t="s">
        <v>3658</v>
      </c>
      <c r="N171" s="124">
        <v>63.9198</v>
      </c>
      <c r="O171" s="124">
        <v>-145.3782</v>
      </c>
      <c r="P171" s="124">
        <v>410.0</v>
      </c>
      <c r="Q171" s="123" t="s">
        <v>3815</v>
      </c>
      <c r="R171" s="125" t="s">
        <v>3818</v>
      </c>
      <c r="S171" s="123"/>
      <c r="T171" s="125" t="s">
        <v>3170</v>
      </c>
      <c r="U171" s="124">
        <v>2003.0</v>
      </c>
      <c r="V171" s="123"/>
      <c r="W171" s="123" t="s">
        <v>3427</v>
      </c>
      <c r="X171" s="123"/>
    </row>
    <row r="172">
      <c r="A172" s="123" t="s">
        <v>87</v>
      </c>
      <c r="B172" s="123" t="s">
        <v>3819</v>
      </c>
      <c r="C172" s="123"/>
      <c r="D172" s="123" t="s">
        <v>3820</v>
      </c>
      <c r="E172" s="123" t="s">
        <v>3164</v>
      </c>
      <c r="F172" s="123" t="s">
        <v>3165</v>
      </c>
      <c r="G172" s="123" t="s">
        <v>292</v>
      </c>
      <c r="H172" s="123" t="s">
        <v>3097</v>
      </c>
      <c r="I172" s="123" t="s">
        <v>753</v>
      </c>
      <c r="J172" s="123" t="s">
        <v>3814</v>
      </c>
      <c r="K172" s="123"/>
      <c r="L172" s="123"/>
      <c r="M172" s="123" t="s">
        <v>3658</v>
      </c>
      <c r="N172" s="124">
        <v>63.9227</v>
      </c>
      <c r="O172" s="124">
        <v>-145.7442</v>
      </c>
      <c r="P172" s="124">
        <v>469.0</v>
      </c>
      <c r="Q172" s="123" t="s">
        <v>3815</v>
      </c>
      <c r="R172" s="125" t="s">
        <v>3821</v>
      </c>
      <c r="S172" s="123"/>
      <c r="T172" s="125" t="s">
        <v>3170</v>
      </c>
      <c r="U172" s="124">
        <v>2003.0</v>
      </c>
      <c r="V172" s="123"/>
      <c r="W172" s="123" t="s">
        <v>3427</v>
      </c>
      <c r="X172" s="123"/>
    </row>
    <row r="173">
      <c r="A173" s="123" t="s">
        <v>87</v>
      </c>
      <c r="B173" s="123" t="s">
        <v>3822</v>
      </c>
      <c r="C173" s="123"/>
      <c r="D173" s="123" t="s">
        <v>1689</v>
      </c>
      <c r="E173" s="123" t="s">
        <v>3164</v>
      </c>
      <c r="F173" s="123" t="s">
        <v>3165</v>
      </c>
      <c r="G173" s="123" t="s">
        <v>86</v>
      </c>
      <c r="H173" s="123" t="s">
        <v>3088</v>
      </c>
      <c r="I173" s="123" t="s">
        <v>108</v>
      </c>
      <c r="J173" s="123" t="s">
        <v>3796</v>
      </c>
      <c r="K173" s="124">
        <v>991.29</v>
      </c>
      <c r="L173" s="124">
        <v>11.02</v>
      </c>
      <c r="M173" s="123" t="s">
        <v>3658</v>
      </c>
      <c r="N173" s="124">
        <v>40.0062</v>
      </c>
      <c r="O173" s="124">
        <v>-88.2904</v>
      </c>
      <c r="P173" s="124">
        <v>219.0</v>
      </c>
      <c r="Q173" s="123" t="s">
        <v>3823</v>
      </c>
      <c r="R173" s="125" t="s">
        <v>3824</v>
      </c>
      <c r="S173" s="123"/>
      <c r="T173" s="125" t="s">
        <v>3170</v>
      </c>
      <c r="U173" s="124">
        <v>1996.0</v>
      </c>
      <c r="V173" s="123"/>
      <c r="W173" s="123" t="s">
        <v>3427</v>
      </c>
      <c r="X173" s="123"/>
    </row>
    <row r="174">
      <c r="A174" s="123" t="s">
        <v>87</v>
      </c>
      <c r="B174" s="123" t="s">
        <v>3825</v>
      </c>
      <c r="C174" s="123"/>
      <c r="D174" s="123" t="s">
        <v>3826</v>
      </c>
      <c r="E174" s="123" t="s">
        <v>3164</v>
      </c>
      <c r="F174" s="123" t="s">
        <v>3165</v>
      </c>
      <c r="G174" s="123" t="s">
        <v>86</v>
      </c>
      <c r="H174" s="123" t="s">
        <v>3088</v>
      </c>
      <c r="I174" s="123" t="s">
        <v>108</v>
      </c>
      <c r="J174" s="123" t="s">
        <v>3796</v>
      </c>
      <c r="K174" s="124">
        <v>991.29</v>
      </c>
      <c r="L174" s="124">
        <v>11.02</v>
      </c>
      <c r="M174" s="123" t="s">
        <v>3658</v>
      </c>
      <c r="N174" s="124">
        <v>40.009</v>
      </c>
      <c r="O174" s="124">
        <v>-88.29</v>
      </c>
      <c r="P174" s="124">
        <v>219.0</v>
      </c>
      <c r="Q174" s="123" t="s">
        <v>3603</v>
      </c>
      <c r="R174" s="125" t="s">
        <v>3827</v>
      </c>
      <c r="S174" s="123"/>
      <c r="T174" s="125" t="s">
        <v>3170</v>
      </c>
      <c r="U174" s="124">
        <v>2004.0</v>
      </c>
      <c r="V174" s="124">
        <v>2008.0</v>
      </c>
      <c r="W174" s="123" t="s">
        <v>3427</v>
      </c>
      <c r="X174" s="123"/>
    </row>
    <row r="175">
      <c r="A175" s="123" t="s">
        <v>87</v>
      </c>
      <c r="B175" s="123" t="s">
        <v>3828</v>
      </c>
      <c r="C175" s="123"/>
      <c r="D175" s="123" t="s">
        <v>3829</v>
      </c>
      <c r="E175" s="123" t="s">
        <v>3164</v>
      </c>
      <c r="F175" s="123" t="s">
        <v>3165</v>
      </c>
      <c r="G175" s="123" t="s">
        <v>86</v>
      </c>
      <c r="H175" s="123" t="s">
        <v>3088</v>
      </c>
      <c r="I175" s="123" t="s">
        <v>108</v>
      </c>
      <c r="J175" s="123" t="s">
        <v>3796</v>
      </c>
      <c r="K175" s="124">
        <v>842.33</v>
      </c>
      <c r="L175" s="124">
        <v>8.95</v>
      </c>
      <c r="M175" s="123" t="s">
        <v>3658</v>
      </c>
      <c r="N175" s="124">
        <v>41.9749</v>
      </c>
      <c r="O175" s="124">
        <v>-93.6906</v>
      </c>
      <c r="P175" s="124">
        <v>313.0</v>
      </c>
      <c r="Q175" s="123" t="s">
        <v>3830</v>
      </c>
      <c r="R175" s="125" t="s">
        <v>3831</v>
      </c>
      <c r="S175" s="123"/>
      <c r="T175" s="125" t="s">
        <v>3170</v>
      </c>
      <c r="U175" s="124">
        <v>2001.0</v>
      </c>
      <c r="V175" s="123"/>
      <c r="W175" s="123" t="s">
        <v>3427</v>
      </c>
      <c r="X175" s="123"/>
    </row>
    <row r="176">
      <c r="A176" s="123" t="s">
        <v>87</v>
      </c>
      <c r="B176" s="123" t="s">
        <v>3832</v>
      </c>
      <c r="C176" s="123"/>
      <c r="D176" s="123" t="s">
        <v>3833</v>
      </c>
      <c r="E176" s="123" t="s">
        <v>3165</v>
      </c>
      <c r="F176" s="123" t="s">
        <v>3165</v>
      </c>
      <c r="G176" s="123" t="s">
        <v>86</v>
      </c>
      <c r="H176" s="123" t="s">
        <v>3088</v>
      </c>
      <c r="I176" s="123" t="s">
        <v>108</v>
      </c>
      <c r="J176" s="123" t="s">
        <v>3796</v>
      </c>
      <c r="K176" s="124">
        <v>846.74</v>
      </c>
      <c r="L176" s="124">
        <v>8.89</v>
      </c>
      <c r="M176" s="123" t="s">
        <v>3658</v>
      </c>
      <c r="N176" s="124">
        <v>41.9757</v>
      </c>
      <c r="O176" s="124">
        <v>-93.6925</v>
      </c>
      <c r="P176" s="124">
        <v>314.0</v>
      </c>
      <c r="Q176" s="123"/>
      <c r="R176" s="125" t="s">
        <v>3170</v>
      </c>
      <c r="S176" s="123"/>
      <c r="T176" s="125" t="s">
        <v>3170</v>
      </c>
      <c r="U176" s="124">
        <v>2005.0</v>
      </c>
      <c r="V176" s="123"/>
      <c r="W176" s="123"/>
      <c r="X176" s="123"/>
    </row>
    <row r="177">
      <c r="A177" s="123" t="s">
        <v>87</v>
      </c>
      <c r="B177" s="123" t="s">
        <v>3834</v>
      </c>
      <c r="C177" s="123"/>
      <c r="D177" s="123" t="s">
        <v>3835</v>
      </c>
      <c r="E177" s="123" t="s">
        <v>3164</v>
      </c>
      <c r="F177" s="123" t="s">
        <v>3165</v>
      </c>
      <c r="G177" s="123" t="s">
        <v>86</v>
      </c>
      <c r="H177" s="123" t="s">
        <v>3088</v>
      </c>
      <c r="I177" s="123" t="s">
        <v>108</v>
      </c>
      <c r="J177" s="123" t="s">
        <v>3796</v>
      </c>
      <c r="K177" s="124">
        <v>846.6</v>
      </c>
      <c r="L177" s="124">
        <v>8.9</v>
      </c>
      <c r="M177" s="123" t="s">
        <v>3658</v>
      </c>
      <c r="N177" s="124">
        <v>41.9747</v>
      </c>
      <c r="O177" s="124">
        <v>-93.6936</v>
      </c>
      <c r="P177" s="124">
        <v>313.0</v>
      </c>
      <c r="Q177" s="123" t="s">
        <v>3830</v>
      </c>
      <c r="R177" s="125" t="s">
        <v>3836</v>
      </c>
      <c r="S177" s="123"/>
      <c r="T177" s="125" t="s">
        <v>3170</v>
      </c>
      <c r="U177" s="124">
        <v>2001.0</v>
      </c>
      <c r="V177" s="123"/>
      <c r="W177" s="123" t="s">
        <v>3427</v>
      </c>
      <c r="X177" s="123"/>
    </row>
    <row r="178">
      <c r="A178" s="123" t="s">
        <v>87</v>
      </c>
      <c r="B178" s="123" t="s">
        <v>3837</v>
      </c>
      <c r="C178" s="123"/>
      <c r="D178" s="123" t="s">
        <v>3838</v>
      </c>
      <c r="E178" s="123" t="s">
        <v>3164</v>
      </c>
      <c r="F178" s="123" t="s">
        <v>3164</v>
      </c>
      <c r="G178" s="123" t="s">
        <v>288</v>
      </c>
      <c r="H178" s="123" t="s">
        <v>3095</v>
      </c>
      <c r="I178" s="123" t="s">
        <v>201</v>
      </c>
      <c r="J178" s="123" t="s">
        <v>3174</v>
      </c>
      <c r="K178" s="124">
        <v>1200.0</v>
      </c>
      <c r="L178" s="124">
        <v>11.8</v>
      </c>
      <c r="M178" s="123" t="s">
        <v>3658</v>
      </c>
      <c r="N178" s="124">
        <v>39.2167</v>
      </c>
      <c r="O178" s="124">
        <v>-86.5406</v>
      </c>
      <c r="P178" s="124">
        <v>180.0</v>
      </c>
      <c r="Q178" s="123" t="s">
        <v>3839</v>
      </c>
      <c r="R178" s="125" t="s">
        <v>3840</v>
      </c>
      <c r="S178" s="123" t="s">
        <v>3839</v>
      </c>
      <c r="T178" s="125" t="s">
        <v>3841</v>
      </c>
      <c r="U178" s="124">
        <v>2016.0</v>
      </c>
      <c r="V178" s="124">
        <v>2021.0</v>
      </c>
      <c r="W178" s="123" t="s">
        <v>3842</v>
      </c>
      <c r="X178" s="123"/>
    </row>
    <row r="179">
      <c r="A179" s="123" t="s">
        <v>87</v>
      </c>
      <c r="B179" s="123" t="s">
        <v>3843</v>
      </c>
      <c r="C179" s="123"/>
      <c r="D179" s="123" t="s">
        <v>1684</v>
      </c>
      <c r="E179" s="123" t="s">
        <v>3164</v>
      </c>
      <c r="F179" s="123" t="s">
        <v>3165</v>
      </c>
      <c r="G179" s="123" t="s">
        <v>214</v>
      </c>
      <c r="H179" s="123" t="s">
        <v>3184</v>
      </c>
      <c r="I179" s="123" t="s">
        <v>605</v>
      </c>
      <c r="J179" s="123" t="s">
        <v>1686</v>
      </c>
      <c r="K179" s="124">
        <v>85.0</v>
      </c>
      <c r="L179" s="124">
        <v>-12.6</v>
      </c>
      <c r="M179" s="123" t="s">
        <v>3658</v>
      </c>
      <c r="N179" s="124">
        <v>71.3225</v>
      </c>
      <c r="O179" s="124">
        <v>-156.6092</v>
      </c>
      <c r="P179" s="124">
        <v>1.0</v>
      </c>
      <c r="Q179" s="123" t="s">
        <v>3844</v>
      </c>
      <c r="R179" s="125" t="s">
        <v>3845</v>
      </c>
      <c r="S179" s="123"/>
      <c r="T179" s="125" t="s">
        <v>3170</v>
      </c>
      <c r="U179" s="124">
        <v>1998.0</v>
      </c>
      <c r="V179" s="123"/>
      <c r="W179" s="123" t="s">
        <v>3427</v>
      </c>
      <c r="X179" s="123"/>
    </row>
    <row r="180">
      <c r="A180" s="123" t="s">
        <v>87</v>
      </c>
      <c r="B180" s="123" t="s">
        <v>3846</v>
      </c>
      <c r="C180" s="123"/>
      <c r="D180" s="123" t="s">
        <v>3847</v>
      </c>
      <c r="E180" s="123" t="s">
        <v>3164</v>
      </c>
      <c r="F180" s="123" t="s">
        <v>3165</v>
      </c>
      <c r="G180" s="123" t="s">
        <v>292</v>
      </c>
      <c r="H180" s="123" t="s">
        <v>3097</v>
      </c>
      <c r="I180" s="123" t="s">
        <v>303</v>
      </c>
      <c r="J180" s="123" t="s">
        <v>3585</v>
      </c>
      <c r="K180" s="124">
        <v>289.0</v>
      </c>
      <c r="L180" s="124">
        <v>7.36</v>
      </c>
      <c r="M180" s="123" t="s">
        <v>3658</v>
      </c>
      <c r="N180" s="124">
        <v>43.4712</v>
      </c>
      <c r="O180" s="124">
        <v>-119.6909</v>
      </c>
      <c r="P180" s="124">
        <v>1398.0</v>
      </c>
      <c r="Q180" s="123" t="s">
        <v>3189</v>
      </c>
      <c r="R180" s="125" t="s">
        <v>3848</v>
      </c>
      <c r="S180" s="123"/>
      <c r="T180" s="125" t="s">
        <v>3170</v>
      </c>
      <c r="U180" s="124">
        <v>2013.0</v>
      </c>
      <c r="V180" s="124">
        <v>2018.0</v>
      </c>
      <c r="W180" s="123" t="s">
        <v>3849</v>
      </c>
      <c r="X180" s="123"/>
    </row>
    <row r="181">
      <c r="A181" s="123" t="s">
        <v>87</v>
      </c>
      <c r="B181" s="123" t="s">
        <v>3850</v>
      </c>
      <c r="C181" s="123"/>
      <c r="D181" s="123" t="s">
        <v>3851</v>
      </c>
      <c r="E181" s="123" t="s">
        <v>3165</v>
      </c>
      <c r="F181" s="123" t="s">
        <v>3165</v>
      </c>
      <c r="G181" s="123" t="s">
        <v>214</v>
      </c>
      <c r="H181" s="123" t="s">
        <v>3184</v>
      </c>
      <c r="I181" s="123" t="s">
        <v>107</v>
      </c>
      <c r="J181" s="123" t="s">
        <v>3249</v>
      </c>
      <c r="K181" s="124">
        <v>1195.0</v>
      </c>
      <c r="L181" s="124">
        <v>9.9</v>
      </c>
      <c r="M181" s="123" t="s">
        <v>3658</v>
      </c>
      <c r="N181" s="124">
        <v>41.7297</v>
      </c>
      <c r="O181" s="124">
        <v>-70.3644</v>
      </c>
      <c r="P181" s="124">
        <v>0.5</v>
      </c>
      <c r="Q181" s="123"/>
      <c r="R181" s="125" t="s">
        <v>3170</v>
      </c>
      <c r="S181" s="123"/>
      <c r="T181" s="125" t="s">
        <v>3170</v>
      </c>
      <c r="U181" s="124">
        <v>2017.0</v>
      </c>
      <c r="V181" s="123"/>
      <c r="W181" s="123"/>
      <c r="X181" s="123"/>
    </row>
    <row r="182">
      <c r="A182" s="123" t="s">
        <v>87</v>
      </c>
      <c r="B182" s="123" t="s">
        <v>3852</v>
      </c>
      <c r="C182" s="123"/>
      <c r="D182" s="123" t="s">
        <v>3853</v>
      </c>
      <c r="E182" s="123" t="s">
        <v>3164</v>
      </c>
      <c r="F182" s="123" t="s">
        <v>3165</v>
      </c>
      <c r="G182" s="123" t="s">
        <v>505</v>
      </c>
      <c r="H182" s="123" t="s">
        <v>3100</v>
      </c>
      <c r="I182" s="123" t="s">
        <v>201</v>
      </c>
      <c r="J182" s="123" t="s">
        <v>3174</v>
      </c>
      <c r="K182" s="123"/>
      <c r="L182" s="123"/>
      <c r="M182" s="123" t="s">
        <v>3658</v>
      </c>
      <c r="N182" s="124">
        <v>39.1389</v>
      </c>
      <c r="O182" s="124">
        <v>-77.2175</v>
      </c>
      <c r="P182" s="123"/>
      <c r="Q182" s="123" t="s">
        <v>3331</v>
      </c>
      <c r="R182" s="125" t="s">
        <v>3854</v>
      </c>
      <c r="S182" s="123"/>
      <c r="T182" s="125" t="s">
        <v>3170</v>
      </c>
      <c r="U182" s="124">
        <v>2021.0</v>
      </c>
      <c r="V182" s="123"/>
      <c r="W182" s="123" t="s">
        <v>3855</v>
      </c>
      <c r="X182" s="123"/>
    </row>
    <row r="183">
      <c r="A183" s="123" t="s">
        <v>87</v>
      </c>
      <c r="B183" s="123" t="s">
        <v>3856</v>
      </c>
      <c r="C183" s="123"/>
      <c r="D183" s="123" t="s">
        <v>3857</v>
      </c>
      <c r="E183" s="123" t="s">
        <v>3164</v>
      </c>
      <c r="F183" s="123" t="s">
        <v>3165</v>
      </c>
      <c r="G183" s="123" t="s">
        <v>288</v>
      </c>
      <c r="H183" s="123" t="s">
        <v>3095</v>
      </c>
      <c r="I183" s="123" t="s">
        <v>201</v>
      </c>
      <c r="J183" s="123" t="s">
        <v>3174</v>
      </c>
      <c r="K183" s="123"/>
      <c r="L183" s="123"/>
      <c r="M183" s="123" t="s">
        <v>3658</v>
      </c>
      <c r="N183" s="124">
        <v>39.1955</v>
      </c>
      <c r="O183" s="124">
        <v>-77.4509</v>
      </c>
      <c r="P183" s="123"/>
      <c r="Q183" s="123" t="s">
        <v>3858</v>
      </c>
      <c r="R183" s="125" t="s">
        <v>3859</v>
      </c>
      <c r="S183" s="123"/>
      <c r="T183" s="125" t="s">
        <v>3170</v>
      </c>
      <c r="U183" s="124">
        <v>2022.0</v>
      </c>
      <c r="V183" s="123"/>
      <c r="W183" s="123" t="s">
        <v>3855</v>
      </c>
      <c r="X183" s="123"/>
    </row>
    <row r="184">
      <c r="A184" s="123" t="s">
        <v>87</v>
      </c>
      <c r="B184" s="123" t="s">
        <v>3860</v>
      </c>
      <c r="C184" s="123"/>
      <c r="D184" s="123" t="s">
        <v>3861</v>
      </c>
      <c r="E184" s="123" t="s">
        <v>3164</v>
      </c>
      <c r="F184" s="123" t="s">
        <v>3164</v>
      </c>
      <c r="G184" s="123" t="s">
        <v>214</v>
      </c>
      <c r="H184" s="123" t="s">
        <v>3184</v>
      </c>
      <c r="I184" s="123" t="s">
        <v>412</v>
      </c>
      <c r="J184" s="123" t="s">
        <v>3862</v>
      </c>
      <c r="K184" s="124">
        <v>274.0</v>
      </c>
      <c r="L184" s="124">
        <v>-2.4</v>
      </c>
      <c r="M184" s="123" t="s">
        <v>3658</v>
      </c>
      <c r="N184" s="124">
        <v>64.6955</v>
      </c>
      <c r="O184" s="124">
        <v>-148.3208</v>
      </c>
      <c r="P184" s="124">
        <v>100.0</v>
      </c>
      <c r="Q184" s="123" t="s">
        <v>3692</v>
      </c>
      <c r="R184" s="125" t="s">
        <v>3863</v>
      </c>
      <c r="S184" s="123" t="s">
        <v>3864</v>
      </c>
      <c r="T184" s="125" t="s">
        <v>3865</v>
      </c>
      <c r="U184" s="124">
        <v>2011.0</v>
      </c>
      <c r="V184" s="123"/>
      <c r="W184" s="123" t="s">
        <v>3866</v>
      </c>
      <c r="X184" s="123"/>
    </row>
    <row r="185">
      <c r="A185" s="123" t="s">
        <v>87</v>
      </c>
      <c r="B185" s="123" t="s">
        <v>3867</v>
      </c>
      <c r="C185" s="123"/>
      <c r="D185" s="123" t="s">
        <v>3868</v>
      </c>
      <c r="E185" s="123" t="s">
        <v>3164</v>
      </c>
      <c r="F185" s="123" t="s">
        <v>3164</v>
      </c>
      <c r="G185" s="123" t="s">
        <v>214</v>
      </c>
      <c r="H185" s="123" t="s">
        <v>3184</v>
      </c>
      <c r="I185" s="123" t="s">
        <v>412</v>
      </c>
      <c r="J185" s="123" t="s">
        <v>3862</v>
      </c>
      <c r="K185" s="124">
        <v>274.0</v>
      </c>
      <c r="L185" s="124">
        <v>-2.4</v>
      </c>
      <c r="M185" s="123" t="s">
        <v>3658</v>
      </c>
      <c r="N185" s="124">
        <v>64.7013</v>
      </c>
      <c r="O185" s="124">
        <v>-148.3121</v>
      </c>
      <c r="P185" s="124">
        <v>95.0</v>
      </c>
      <c r="Q185" s="123" t="s">
        <v>3692</v>
      </c>
      <c r="R185" s="125" t="s">
        <v>3869</v>
      </c>
      <c r="S185" s="123" t="s">
        <v>3864</v>
      </c>
      <c r="T185" s="125" t="s">
        <v>3870</v>
      </c>
      <c r="U185" s="124">
        <v>2011.0</v>
      </c>
      <c r="V185" s="123"/>
      <c r="W185" s="123" t="s">
        <v>3866</v>
      </c>
      <c r="X185" s="123"/>
    </row>
    <row r="186">
      <c r="A186" s="123" t="s">
        <v>87</v>
      </c>
      <c r="B186" s="123" t="s">
        <v>3871</v>
      </c>
      <c r="C186" s="123"/>
      <c r="D186" s="123" t="s">
        <v>3872</v>
      </c>
      <c r="E186" s="123" t="s">
        <v>3165</v>
      </c>
      <c r="F186" s="123" t="s">
        <v>3165</v>
      </c>
      <c r="G186" s="123" t="s">
        <v>214</v>
      </c>
      <c r="H186" s="123" t="s">
        <v>3184</v>
      </c>
      <c r="I186" s="123" t="s">
        <v>412</v>
      </c>
      <c r="J186" s="123" t="s">
        <v>3862</v>
      </c>
      <c r="K186" s="124">
        <v>274.0</v>
      </c>
      <c r="L186" s="124">
        <v>-2.4</v>
      </c>
      <c r="M186" s="123" t="s">
        <v>3658</v>
      </c>
      <c r="N186" s="124">
        <v>64.9194</v>
      </c>
      <c r="O186" s="124">
        <v>-147.8222</v>
      </c>
      <c r="P186" s="124">
        <v>188.0</v>
      </c>
      <c r="Q186" s="123"/>
      <c r="R186" s="125" t="s">
        <v>3170</v>
      </c>
      <c r="S186" s="123"/>
      <c r="T186" s="125" t="s">
        <v>3170</v>
      </c>
      <c r="U186" s="124">
        <v>2017.0</v>
      </c>
      <c r="V186" s="123"/>
      <c r="W186" s="123"/>
      <c r="X186" s="123"/>
    </row>
    <row r="187">
      <c r="A187" s="123" t="s">
        <v>87</v>
      </c>
      <c r="B187" s="123" t="s">
        <v>3873</v>
      </c>
      <c r="C187" s="123"/>
      <c r="D187" s="123" t="s">
        <v>3874</v>
      </c>
      <c r="E187" s="123" t="s">
        <v>3164</v>
      </c>
      <c r="F187" s="123" t="s">
        <v>3164</v>
      </c>
      <c r="G187" s="123" t="s">
        <v>214</v>
      </c>
      <c r="H187" s="123" t="s">
        <v>3184</v>
      </c>
      <c r="I187" s="123" t="s">
        <v>412</v>
      </c>
      <c r="J187" s="123" t="s">
        <v>3862</v>
      </c>
      <c r="K187" s="124">
        <v>274.0</v>
      </c>
      <c r="L187" s="124">
        <v>-2.4</v>
      </c>
      <c r="M187" s="123" t="s">
        <v>3658</v>
      </c>
      <c r="N187" s="124">
        <v>64.6936</v>
      </c>
      <c r="O187" s="124">
        <v>-148.33</v>
      </c>
      <c r="P187" s="124">
        <v>100.0</v>
      </c>
      <c r="Q187" s="123" t="s">
        <v>3649</v>
      </c>
      <c r="R187" s="125" t="s">
        <v>3875</v>
      </c>
      <c r="S187" s="123" t="s">
        <v>3876</v>
      </c>
      <c r="T187" s="125" t="s">
        <v>3877</v>
      </c>
      <c r="U187" s="124">
        <v>2018.0</v>
      </c>
      <c r="V187" s="123"/>
      <c r="W187" s="123" t="s">
        <v>3878</v>
      </c>
      <c r="X187" s="123"/>
    </row>
    <row r="188">
      <c r="A188" s="123" t="s">
        <v>87</v>
      </c>
      <c r="B188" s="123" t="s">
        <v>3879</v>
      </c>
      <c r="C188" s="123"/>
      <c r="D188" s="123" t="s">
        <v>3880</v>
      </c>
      <c r="E188" s="123" t="s">
        <v>3164</v>
      </c>
      <c r="F188" s="123" t="s">
        <v>3164</v>
      </c>
      <c r="G188" s="123" t="s">
        <v>197</v>
      </c>
      <c r="H188" s="123" t="s">
        <v>3094</v>
      </c>
      <c r="I188" s="123" t="s">
        <v>412</v>
      </c>
      <c r="J188" s="123" t="s">
        <v>3862</v>
      </c>
      <c r="K188" s="124">
        <v>274.0</v>
      </c>
      <c r="L188" s="124">
        <v>-2.4</v>
      </c>
      <c r="M188" s="123" t="s">
        <v>3658</v>
      </c>
      <c r="N188" s="124">
        <v>64.6963</v>
      </c>
      <c r="O188" s="124">
        <v>-148.3235</v>
      </c>
      <c r="P188" s="124">
        <v>100.0</v>
      </c>
      <c r="Q188" s="123" t="s">
        <v>3881</v>
      </c>
      <c r="R188" s="125" t="s">
        <v>3882</v>
      </c>
      <c r="S188" s="123" t="s">
        <v>3881</v>
      </c>
      <c r="T188" s="125" t="s">
        <v>3883</v>
      </c>
      <c r="U188" s="124">
        <v>2010.0</v>
      </c>
      <c r="V188" s="123"/>
      <c r="W188" s="123" t="s">
        <v>3866</v>
      </c>
      <c r="X188" s="123"/>
    </row>
    <row r="189">
      <c r="A189" s="123" t="s">
        <v>87</v>
      </c>
      <c r="B189" s="123" t="s">
        <v>3884</v>
      </c>
      <c r="C189" s="123"/>
      <c r="D189" s="123" t="s">
        <v>3885</v>
      </c>
      <c r="E189" s="123" t="s">
        <v>3164</v>
      </c>
      <c r="F189" s="123" t="s">
        <v>3165</v>
      </c>
      <c r="G189" s="123" t="s">
        <v>288</v>
      </c>
      <c r="H189" s="123" t="s">
        <v>3095</v>
      </c>
      <c r="I189" s="123" t="s">
        <v>376</v>
      </c>
      <c r="J189" s="123" t="s">
        <v>3166</v>
      </c>
      <c r="K189" s="124">
        <v>1317.0</v>
      </c>
      <c r="L189" s="124">
        <v>7.97</v>
      </c>
      <c r="M189" s="123" t="s">
        <v>3658</v>
      </c>
      <c r="N189" s="124">
        <v>39.0633</v>
      </c>
      <c r="O189" s="124">
        <v>-79.4208</v>
      </c>
      <c r="P189" s="124">
        <v>994.0</v>
      </c>
      <c r="Q189" s="123" t="s">
        <v>3797</v>
      </c>
      <c r="R189" s="125" t="s">
        <v>3886</v>
      </c>
      <c r="S189" s="123"/>
      <c r="T189" s="125" t="s">
        <v>3170</v>
      </c>
      <c r="U189" s="124">
        <v>2004.0</v>
      </c>
      <c r="V189" s="123"/>
      <c r="W189" s="123" t="s">
        <v>3427</v>
      </c>
      <c r="X189" s="123"/>
    </row>
    <row r="190">
      <c r="A190" s="123" t="s">
        <v>87</v>
      </c>
      <c r="B190" s="123" t="s">
        <v>3887</v>
      </c>
      <c r="C190" s="123"/>
      <c r="D190" s="123" t="s">
        <v>3888</v>
      </c>
      <c r="E190" s="123" t="s">
        <v>3164</v>
      </c>
      <c r="F190" s="123" t="s">
        <v>3165</v>
      </c>
      <c r="G190" s="123" t="s">
        <v>86</v>
      </c>
      <c r="H190" s="123" t="s">
        <v>3088</v>
      </c>
      <c r="I190" s="123" t="s">
        <v>107</v>
      </c>
      <c r="J190" s="123" t="s">
        <v>3249</v>
      </c>
      <c r="K190" s="124">
        <v>906.5</v>
      </c>
      <c r="L190" s="124">
        <v>7.5</v>
      </c>
      <c r="M190" s="123" t="s">
        <v>3658</v>
      </c>
      <c r="N190" s="124">
        <v>44.0732</v>
      </c>
      <c r="O190" s="124">
        <v>-89.6787</v>
      </c>
      <c r="P190" s="124">
        <v>314.0</v>
      </c>
      <c r="Q190" s="124">
        <v>2021.0</v>
      </c>
      <c r="R190" s="125" t="s">
        <v>3889</v>
      </c>
      <c r="S190" s="123"/>
      <c r="T190" s="125" t="s">
        <v>3170</v>
      </c>
      <c r="U190" s="124">
        <v>2021.0</v>
      </c>
      <c r="V190" s="124">
        <v>2021.0</v>
      </c>
      <c r="W190" s="123" t="s">
        <v>3890</v>
      </c>
      <c r="X190" s="123"/>
    </row>
    <row r="191">
      <c r="A191" s="123" t="s">
        <v>87</v>
      </c>
      <c r="B191" s="123" t="s">
        <v>3891</v>
      </c>
      <c r="C191" s="123"/>
      <c r="D191" s="123" t="s">
        <v>3892</v>
      </c>
      <c r="E191" s="123" t="s">
        <v>3164</v>
      </c>
      <c r="F191" s="123" t="s">
        <v>3165</v>
      </c>
      <c r="G191" s="123" t="s">
        <v>86</v>
      </c>
      <c r="H191" s="123" t="s">
        <v>3088</v>
      </c>
      <c r="I191" s="123" t="s">
        <v>107</v>
      </c>
      <c r="J191" s="123" t="s">
        <v>3249</v>
      </c>
      <c r="K191" s="124">
        <v>906.5</v>
      </c>
      <c r="L191" s="124">
        <v>7.5</v>
      </c>
      <c r="M191" s="123" t="s">
        <v>3658</v>
      </c>
      <c r="N191" s="124">
        <v>44.1039</v>
      </c>
      <c r="O191" s="124">
        <v>-89.6196</v>
      </c>
      <c r="P191" s="124">
        <v>320.0</v>
      </c>
      <c r="Q191" s="124">
        <v>2021.0</v>
      </c>
      <c r="R191" s="125" t="s">
        <v>3893</v>
      </c>
      <c r="S191" s="123"/>
      <c r="T191" s="125" t="s">
        <v>3170</v>
      </c>
      <c r="U191" s="124">
        <v>2021.0</v>
      </c>
      <c r="V191" s="124">
        <v>2021.0</v>
      </c>
      <c r="W191" s="123" t="s">
        <v>3894</v>
      </c>
      <c r="X191" s="123"/>
    </row>
    <row r="192">
      <c r="A192" s="123" t="s">
        <v>87</v>
      </c>
      <c r="B192" s="123" t="s">
        <v>3895</v>
      </c>
      <c r="C192" s="123"/>
      <c r="D192" s="123" t="s">
        <v>3896</v>
      </c>
      <c r="E192" s="123" t="s">
        <v>3164</v>
      </c>
      <c r="F192" s="123" t="s">
        <v>3165</v>
      </c>
      <c r="G192" s="123" t="s">
        <v>200</v>
      </c>
      <c r="H192" s="123" t="s">
        <v>3103</v>
      </c>
      <c r="I192" s="123" t="s">
        <v>303</v>
      </c>
      <c r="J192" s="123" t="s">
        <v>3585</v>
      </c>
      <c r="K192" s="124">
        <v>348.0</v>
      </c>
      <c r="L192" s="124">
        <v>11.3</v>
      </c>
      <c r="M192" s="123" t="s">
        <v>3658</v>
      </c>
      <c r="N192" s="124">
        <v>37.5241</v>
      </c>
      <c r="O192" s="124">
        <v>-109.7471</v>
      </c>
      <c r="P192" s="124">
        <v>1860.0</v>
      </c>
      <c r="Q192" s="123" t="s">
        <v>3897</v>
      </c>
      <c r="R192" s="125" t="s">
        <v>3898</v>
      </c>
      <c r="S192" s="123"/>
      <c r="T192" s="125" t="s">
        <v>3170</v>
      </c>
      <c r="U192" s="124">
        <v>2019.0</v>
      </c>
      <c r="V192" s="123"/>
      <c r="W192" s="123" t="s">
        <v>3899</v>
      </c>
      <c r="X192" s="123"/>
    </row>
    <row r="193">
      <c r="A193" s="123" t="s">
        <v>87</v>
      </c>
      <c r="B193" s="123" t="s">
        <v>3900</v>
      </c>
      <c r="C193" s="123"/>
      <c r="D193" s="123" t="s">
        <v>3901</v>
      </c>
      <c r="E193" s="123" t="s">
        <v>3164</v>
      </c>
      <c r="F193" s="123" t="s">
        <v>3165</v>
      </c>
      <c r="G193" s="123" t="s">
        <v>291</v>
      </c>
      <c r="H193" s="123" t="s">
        <v>3089</v>
      </c>
      <c r="I193" s="123" t="s">
        <v>201</v>
      </c>
      <c r="J193" s="123" t="s">
        <v>3174</v>
      </c>
      <c r="K193" s="124">
        <v>1138.0</v>
      </c>
      <c r="L193" s="124">
        <v>11.04</v>
      </c>
      <c r="M193" s="123" t="s">
        <v>3658</v>
      </c>
      <c r="N193" s="124">
        <v>39.8379</v>
      </c>
      <c r="O193" s="124">
        <v>-74.3791</v>
      </c>
      <c r="P193" s="124">
        <v>58.0</v>
      </c>
      <c r="Q193" s="123" t="s">
        <v>3902</v>
      </c>
      <c r="R193" s="125" t="s">
        <v>3903</v>
      </c>
      <c r="S193" s="123"/>
      <c r="T193" s="125" t="s">
        <v>3170</v>
      </c>
      <c r="U193" s="124">
        <v>2005.0</v>
      </c>
      <c r="V193" s="123"/>
      <c r="W193" s="123" t="s">
        <v>3427</v>
      </c>
      <c r="X193" s="123"/>
    </row>
    <row r="194">
      <c r="A194" s="123" t="s">
        <v>87</v>
      </c>
      <c r="B194" s="123" t="s">
        <v>3290</v>
      </c>
      <c r="C194" s="123"/>
      <c r="D194" s="123" t="s">
        <v>3904</v>
      </c>
      <c r="E194" s="123" t="s">
        <v>3164</v>
      </c>
      <c r="F194" s="123" t="s">
        <v>3164</v>
      </c>
      <c r="G194" s="123" t="s">
        <v>86</v>
      </c>
      <c r="H194" s="123" t="s">
        <v>3088</v>
      </c>
      <c r="I194" s="123" t="s">
        <v>321</v>
      </c>
      <c r="J194" s="123" t="s">
        <v>3905</v>
      </c>
      <c r="K194" s="124">
        <v>550.0</v>
      </c>
      <c r="L194" s="124">
        <v>9.0</v>
      </c>
      <c r="M194" s="123" t="s">
        <v>3658</v>
      </c>
      <c r="N194" s="124">
        <v>46.7815</v>
      </c>
      <c r="O194" s="124">
        <v>-117.0821</v>
      </c>
      <c r="P194" s="124">
        <v>794.0</v>
      </c>
      <c r="Q194" s="123" t="s">
        <v>3791</v>
      </c>
      <c r="R194" s="125" t="s">
        <v>3906</v>
      </c>
      <c r="S194" s="123" t="s">
        <v>3907</v>
      </c>
      <c r="T194" s="125" t="s">
        <v>3908</v>
      </c>
      <c r="U194" s="124">
        <v>2017.0</v>
      </c>
      <c r="V194" s="123"/>
      <c r="W194" s="123" t="s">
        <v>3909</v>
      </c>
      <c r="X194" s="123"/>
    </row>
    <row r="195">
      <c r="A195" s="123" t="s">
        <v>87</v>
      </c>
      <c r="B195" s="123" t="s">
        <v>3297</v>
      </c>
      <c r="C195" s="123"/>
      <c r="D195" s="123" t="s">
        <v>3910</v>
      </c>
      <c r="E195" s="123" t="s">
        <v>3164</v>
      </c>
      <c r="F195" s="123" t="s">
        <v>3164</v>
      </c>
      <c r="G195" s="123" t="s">
        <v>86</v>
      </c>
      <c r="H195" s="123" t="s">
        <v>3088</v>
      </c>
      <c r="I195" s="123" t="s">
        <v>321</v>
      </c>
      <c r="J195" s="123" t="s">
        <v>3905</v>
      </c>
      <c r="K195" s="124">
        <v>550.0</v>
      </c>
      <c r="L195" s="124">
        <v>9.0</v>
      </c>
      <c r="M195" s="123" t="s">
        <v>3658</v>
      </c>
      <c r="N195" s="124">
        <v>46.784</v>
      </c>
      <c r="O195" s="124">
        <v>-117.0908</v>
      </c>
      <c r="P195" s="124">
        <v>807.0</v>
      </c>
      <c r="Q195" s="123" t="s">
        <v>3791</v>
      </c>
      <c r="R195" s="125" t="s">
        <v>3911</v>
      </c>
      <c r="S195" s="123" t="s">
        <v>3907</v>
      </c>
      <c r="T195" s="125" t="s">
        <v>3912</v>
      </c>
      <c r="U195" s="124">
        <v>2017.0</v>
      </c>
      <c r="V195" s="123"/>
      <c r="W195" s="123" t="s">
        <v>3909</v>
      </c>
      <c r="X195" s="123"/>
    </row>
    <row r="196">
      <c r="A196" s="123" t="s">
        <v>87</v>
      </c>
      <c r="B196" s="123" t="s">
        <v>3302</v>
      </c>
      <c r="C196" s="123"/>
      <c r="D196" s="123" t="s">
        <v>3913</v>
      </c>
      <c r="E196" s="123" t="s">
        <v>3164</v>
      </c>
      <c r="F196" s="123" t="s">
        <v>3164</v>
      </c>
      <c r="G196" s="123" t="s">
        <v>86</v>
      </c>
      <c r="H196" s="123" t="s">
        <v>3088</v>
      </c>
      <c r="I196" s="123" t="s">
        <v>321</v>
      </c>
      <c r="J196" s="123" t="s">
        <v>3905</v>
      </c>
      <c r="K196" s="124">
        <v>550.0</v>
      </c>
      <c r="L196" s="124">
        <v>9.0</v>
      </c>
      <c r="M196" s="123" t="s">
        <v>3658</v>
      </c>
      <c r="N196" s="124">
        <v>46.7551</v>
      </c>
      <c r="O196" s="124">
        <v>-117.1261</v>
      </c>
      <c r="P196" s="124">
        <v>795.0</v>
      </c>
      <c r="Q196" s="123" t="s">
        <v>3791</v>
      </c>
      <c r="R196" s="125" t="s">
        <v>3914</v>
      </c>
      <c r="S196" s="123" t="s">
        <v>3791</v>
      </c>
      <c r="T196" s="125" t="s">
        <v>3915</v>
      </c>
      <c r="U196" s="124">
        <v>2017.0</v>
      </c>
      <c r="V196" s="123"/>
      <c r="W196" s="123" t="s">
        <v>3909</v>
      </c>
      <c r="X196" s="123"/>
    </row>
    <row r="197">
      <c r="A197" s="123" t="s">
        <v>87</v>
      </c>
      <c r="B197" s="123" t="s">
        <v>3916</v>
      </c>
      <c r="C197" s="123"/>
      <c r="D197" s="123" t="s">
        <v>3917</v>
      </c>
      <c r="E197" s="123" t="s">
        <v>3164</v>
      </c>
      <c r="F197" s="123" t="s">
        <v>3164</v>
      </c>
      <c r="G197" s="123" t="s">
        <v>86</v>
      </c>
      <c r="H197" s="123" t="s">
        <v>3088</v>
      </c>
      <c r="I197" s="123" t="s">
        <v>321</v>
      </c>
      <c r="J197" s="123" t="s">
        <v>3905</v>
      </c>
      <c r="K197" s="124">
        <v>550.0</v>
      </c>
      <c r="L197" s="124">
        <v>9.0</v>
      </c>
      <c r="M197" s="123" t="s">
        <v>3658</v>
      </c>
      <c r="N197" s="124">
        <v>46.7518</v>
      </c>
      <c r="O197" s="124">
        <v>-117.1285</v>
      </c>
      <c r="P197" s="124">
        <v>795.0</v>
      </c>
      <c r="Q197" s="123" t="s">
        <v>3791</v>
      </c>
      <c r="R197" s="125" t="s">
        <v>3918</v>
      </c>
      <c r="S197" s="123" t="s">
        <v>3791</v>
      </c>
      <c r="T197" s="125" t="s">
        <v>3919</v>
      </c>
      <c r="U197" s="124">
        <v>2017.0</v>
      </c>
      <c r="V197" s="123"/>
      <c r="W197" s="123" t="s">
        <v>3909</v>
      </c>
      <c r="X197" s="123"/>
    </row>
    <row r="198">
      <c r="A198" s="123" t="s">
        <v>87</v>
      </c>
      <c r="B198" s="123" t="s">
        <v>3920</v>
      </c>
      <c r="C198" s="123"/>
      <c r="D198" s="123" t="s">
        <v>3921</v>
      </c>
      <c r="E198" s="123" t="s">
        <v>3164</v>
      </c>
      <c r="F198" s="123" t="s">
        <v>3165</v>
      </c>
      <c r="G198" s="123" t="s">
        <v>288</v>
      </c>
      <c r="H198" s="123" t="s">
        <v>3095</v>
      </c>
      <c r="I198" s="123" t="s">
        <v>175</v>
      </c>
      <c r="J198" s="123" t="s">
        <v>3366</v>
      </c>
      <c r="K198" s="124">
        <v>419.0</v>
      </c>
      <c r="L198" s="124">
        <v>16.0</v>
      </c>
      <c r="M198" s="123" t="s">
        <v>3658</v>
      </c>
      <c r="N198" s="124">
        <v>37.938</v>
      </c>
      <c r="O198" s="124">
        <v>-121.9761</v>
      </c>
      <c r="P198" s="124">
        <v>119.5</v>
      </c>
      <c r="Q198" s="123" t="s">
        <v>3922</v>
      </c>
      <c r="R198" s="125" t="s">
        <v>3923</v>
      </c>
      <c r="S198" s="123"/>
      <c r="T198" s="125" t="s">
        <v>3170</v>
      </c>
      <c r="U198" s="124">
        <v>2019.0</v>
      </c>
      <c r="V198" s="123"/>
      <c r="W198" s="123" t="s">
        <v>3924</v>
      </c>
      <c r="X198" s="123"/>
    </row>
    <row r="199">
      <c r="A199" s="123" t="s">
        <v>87</v>
      </c>
      <c r="B199" s="123" t="s">
        <v>3925</v>
      </c>
      <c r="C199" s="123"/>
      <c r="D199" s="123" t="s">
        <v>3926</v>
      </c>
      <c r="E199" s="123" t="s">
        <v>3164</v>
      </c>
      <c r="F199" s="123" t="s">
        <v>3165</v>
      </c>
      <c r="G199" s="123" t="s">
        <v>370</v>
      </c>
      <c r="H199" s="123" t="s">
        <v>3091</v>
      </c>
      <c r="I199" s="123" t="s">
        <v>201</v>
      </c>
      <c r="J199" s="123" t="s">
        <v>3174</v>
      </c>
      <c r="K199" s="124">
        <v>1358.85</v>
      </c>
      <c r="L199" s="124">
        <v>13.91</v>
      </c>
      <c r="M199" s="123" t="s">
        <v>3658</v>
      </c>
      <c r="N199" s="124">
        <v>35.9311</v>
      </c>
      <c r="O199" s="124">
        <v>-84.3324</v>
      </c>
      <c r="P199" s="124">
        <v>286.0</v>
      </c>
      <c r="Q199" s="123" t="s">
        <v>3927</v>
      </c>
      <c r="R199" s="125" t="s">
        <v>3928</v>
      </c>
      <c r="S199" s="123"/>
      <c r="T199" s="125" t="s">
        <v>3170</v>
      </c>
      <c r="U199" s="124">
        <v>2005.0</v>
      </c>
      <c r="V199" s="123"/>
      <c r="W199" s="123" t="s">
        <v>3427</v>
      </c>
      <c r="X199" s="123"/>
    </row>
    <row r="200">
      <c r="A200" s="123" t="s">
        <v>87</v>
      </c>
      <c r="B200" s="123" t="s">
        <v>3929</v>
      </c>
      <c r="C200" s="123"/>
      <c r="D200" s="123" t="s">
        <v>3930</v>
      </c>
      <c r="E200" s="123" t="s">
        <v>3164</v>
      </c>
      <c r="F200" s="123" t="s">
        <v>3165</v>
      </c>
      <c r="G200" s="123" t="s">
        <v>362</v>
      </c>
      <c r="H200" s="123" t="s">
        <v>3225</v>
      </c>
      <c r="I200" s="123" t="s">
        <v>107</v>
      </c>
      <c r="J200" s="123" t="s">
        <v>3249</v>
      </c>
      <c r="K200" s="124">
        <v>1050.0</v>
      </c>
      <c r="L200" s="124">
        <v>9.5</v>
      </c>
      <c r="M200" s="123" t="s">
        <v>3658</v>
      </c>
      <c r="N200" s="124">
        <v>40.6366</v>
      </c>
      <c r="O200" s="124">
        <v>-77.9424</v>
      </c>
      <c r="P200" s="124">
        <v>244.0</v>
      </c>
      <c r="Q200" s="123" t="s">
        <v>3907</v>
      </c>
      <c r="R200" s="125" t="s">
        <v>3931</v>
      </c>
      <c r="S200" s="123"/>
      <c r="T200" s="125" t="s">
        <v>3170</v>
      </c>
      <c r="U200" s="124">
        <v>2017.0</v>
      </c>
      <c r="V200" s="124">
        <v>2020.0</v>
      </c>
      <c r="W200" s="123" t="s">
        <v>3932</v>
      </c>
      <c r="X200" s="123"/>
    </row>
    <row r="201">
      <c r="A201" s="123" t="s">
        <v>87</v>
      </c>
      <c r="B201" s="123" t="s">
        <v>3933</v>
      </c>
      <c r="C201" s="123"/>
      <c r="D201" s="123" t="s">
        <v>3934</v>
      </c>
      <c r="E201" s="123" t="s">
        <v>3164</v>
      </c>
      <c r="F201" s="123" t="s">
        <v>3165</v>
      </c>
      <c r="G201" s="123" t="s">
        <v>214</v>
      </c>
      <c r="H201" s="123" t="s">
        <v>3184</v>
      </c>
      <c r="I201" s="123" t="s">
        <v>605</v>
      </c>
      <c r="J201" s="123" t="s">
        <v>1686</v>
      </c>
      <c r="K201" s="124">
        <v>274.0</v>
      </c>
      <c r="L201" s="124">
        <v>-12.6</v>
      </c>
      <c r="M201" s="123" t="s">
        <v>3658</v>
      </c>
      <c r="N201" s="124">
        <v>71.3202</v>
      </c>
      <c r="O201" s="124">
        <v>-156.6223</v>
      </c>
      <c r="P201" s="124">
        <v>6.0</v>
      </c>
      <c r="Q201" s="123" t="s">
        <v>3935</v>
      </c>
      <c r="R201" s="125" t="s">
        <v>3936</v>
      </c>
      <c r="S201" s="123"/>
      <c r="T201" s="125" t="s">
        <v>3170</v>
      </c>
      <c r="U201" s="124">
        <v>1999.0</v>
      </c>
      <c r="V201" s="124">
        <v>2005.0</v>
      </c>
      <c r="W201" s="123" t="s">
        <v>3937</v>
      </c>
      <c r="X201" s="123"/>
    </row>
    <row r="202">
      <c r="A202" s="123" t="s">
        <v>87</v>
      </c>
      <c r="B202" s="123" t="s">
        <v>3016</v>
      </c>
      <c r="C202" s="123"/>
      <c r="D202" s="123" t="s">
        <v>3938</v>
      </c>
      <c r="E202" s="123" t="s">
        <v>3164</v>
      </c>
      <c r="F202" s="123" t="s">
        <v>3165</v>
      </c>
      <c r="G202" s="123" t="s">
        <v>370</v>
      </c>
      <c r="H202" s="123" t="s">
        <v>3091</v>
      </c>
      <c r="I202" s="123" t="s">
        <v>2407</v>
      </c>
      <c r="J202" s="123" t="s">
        <v>3208</v>
      </c>
      <c r="K202" s="124">
        <v>288.0</v>
      </c>
      <c r="L202" s="124">
        <v>17.0</v>
      </c>
      <c r="M202" s="123" t="s">
        <v>3658</v>
      </c>
      <c r="N202" s="124">
        <v>31.6637</v>
      </c>
      <c r="O202" s="124">
        <v>-110.1777</v>
      </c>
      <c r="P202" s="124">
        <v>1199.0</v>
      </c>
      <c r="Q202" s="123" t="s">
        <v>3939</v>
      </c>
      <c r="R202" s="125" t="s">
        <v>3940</v>
      </c>
      <c r="S202" s="123"/>
      <c r="T202" s="125" t="s">
        <v>3170</v>
      </c>
      <c r="U202" s="124">
        <v>2001.0</v>
      </c>
      <c r="V202" s="123"/>
      <c r="W202" s="123" t="s">
        <v>3941</v>
      </c>
      <c r="X202" s="123"/>
    </row>
    <row r="203">
      <c r="A203" s="123" t="s">
        <v>87</v>
      </c>
      <c r="B203" s="123" t="s">
        <v>3942</v>
      </c>
      <c r="C203" s="123"/>
      <c r="D203" s="123" t="s">
        <v>3943</v>
      </c>
      <c r="E203" s="123" t="s">
        <v>3164</v>
      </c>
      <c r="F203" s="123" t="s">
        <v>3164</v>
      </c>
      <c r="G203" s="123" t="s">
        <v>288</v>
      </c>
      <c r="H203" s="123" t="s">
        <v>3095</v>
      </c>
      <c r="I203" s="123"/>
      <c r="J203" s="123"/>
      <c r="K203" s="123"/>
      <c r="L203" s="123"/>
      <c r="M203" s="123" t="s">
        <v>3658</v>
      </c>
      <c r="N203" s="124">
        <v>38.09</v>
      </c>
      <c r="O203" s="124">
        <v>-109.39</v>
      </c>
      <c r="P203" s="124">
        <v>1520.0</v>
      </c>
      <c r="Q203" s="123" t="s">
        <v>3944</v>
      </c>
      <c r="R203" s="125" t="s">
        <v>3945</v>
      </c>
      <c r="S203" s="123" t="s">
        <v>3944</v>
      </c>
      <c r="T203" s="125" t="s">
        <v>3946</v>
      </c>
      <c r="U203" s="124">
        <v>2001.0</v>
      </c>
      <c r="V203" s="124">
        <v>2007.0</v>
      </c>
      <c r="W203" s="123" t="s">
        <v>3947</v>
      </c>
      <c r="X203" s="123"/>
    </row>
    <row r="204">
      <c r="A204" s="123" t="s">
        <v>87</v>
      </c>
      <c r="B204" s="123" t="s">
        <v>3948</v>
      </c>
      <c r="C204" s="123"/>
      <c r="D204" s="123" t="s">
        <v>3949</v>
      </c>
      <c r="E204" s="123" t="s">
        <v>3164</v>
      </c>
      <c r="F204" s="123" t="s">
        <v>3165</v>
      </c>
      <c r="G204" s="123" t="s">
        <v>197</v>
      </c>
      <c r="H204" s="123" t="s">
        <v>3094</v>
      </c>
      <c r="I204" s="123" t="s">
        <v>372</v>
      </c>
      <c r="J204" s="123" t="s">
        <v>3292</v>
      </c>
      <c r="K204" s="124">
        <v>545.0</v>
      </c>
      <c r="L204" s="124">
        <v>6.1</v>
      </c>
      <c r="M204" s="123" t="s">
        <v>3658</v>
      </c>
      <c r="N204" s="124">
        <v>41.068</v>
      </c>
      <c r="O204" s="124">
        <v>-106.1187</v>
      </c>
      <c r="P204" s="124">
        <v>2750.0</v>
      </c>
      <c r="Q204" s="123" t="s">
        <v>3950</v>
      </c>
      <c r="R204" s="125" t="s">
        <v>3951</v>
      </c>
      <c r="S204" s="123"/>
      <c r="T204" s="125" t="s">
        <v>3952</v>
      </c>
      <c r="U204" s="124">
        <v>2009.0</v>
      </c>
      <c r="V204" s="123"/>
      <c r="W204" s="123" t="s">
        <v>3427</v>
      </c>
      <c r="X204" s="123"/>
    </row>
    <row r="205">
      <c r="A205" s="123" t="s">
        <v>87</v>
      </c>
      <c r="B205" s="123" t="s">
        <v>3953</v>
      </c>
      <c r="C205" s="123"/>
      <c r="D205" s="123" t="s">
        <v>3954</v>
      </c>
      <c r="E205" s="123" t="s">
        <v>3164</v>
      </c>
      <c r="F205" s="123" t="s">
        <v>3165</v>
      </c>
      <c r="G205" s="123" t="s">
        <v>197</v>
      </c>
      <c r="H205" s="123" t="s">
        <v>3094</v>
      </c>
      <c r="I205" s="123" t="s">
        <v>201</v>
      </c>
      <c r="J205" s="123" t="s">
        <v>3174</v>
      </c>
      <c r="K205" s="124">
        <v>1148.0</v>
      </c>
      <c r="L205" s="124">
        <v>19.0</v>
      </c>
      <c r="M205" s="123" t="s">
        <v>3658</v>
      </c>
      <c r="N205" s="124">
        <v>31.4629</v>
      </c>
      <c r="O205" s="124">
        <v>-95.3415</v>
      </c>
      <c r="P205" s="124">
        <v>151.0</v>
      </c>
      <c r="Q205" s="123" t="s">
        <v>3858</v>
      </c>
      <c r="R205" s="125" t="s">
        <v>3955</v>
      </c>
      <c r="S205" s="123"/>
      <c r="T205" s="125" t="s">
        <v>3170</v>
      </c>
      <c r="U205" s="124">
        <v>2021.0</v>
      </c>
      <c r="V205" s="123"/>
      <c r="W205" s="123" t="s">
        <v>3956</v>
      </c>
      <c r="X205" s="123"/>
    </row>
    <row r="206">
      <c r="A206" s="123" t="s">
        <v>87</v>
      </c>
      <c r="B206" s="123" t="s">
        <v>521</v>
      </c>
      <c r="C206" s="123"/>
      <c r="D206" s="123" t="s">
        <v>3957</v>
      </c>
      <c r="E206" s="123" t="s">
        <v>3164</v>
      </c>
      <c r="F206" s="123" t="s">
        <v>3164</v>
      </c>
      <c r="G206" s="123" t="s">
        <v>86</v>
      </c>
      <c r="H206" s="123" t="s">
        <v>3088</v>
      </c>
      <c r="I206" s="123" t="s">
        <v>108</v>
      </c>
      <c r="J206" s="123" t="s">
        <v>3796</v>
      </c>
      <c r="K206" s="124">
        <v>849.0</v>
      </c>
      <c r="L206" s="124">
        <v>10.1</v>
      </c>
      <c r="M206" s="123" t="s">
        <v>3658</v>
      </c>
      <c r="N206" s="124">
        <v>41.6285</v>
      </c>
      <c r="O206" s="124">
        <v>-83.3471</v>
      </c>
      <c r="P206" s="124">
        <v>180.0</v>
      </c>
      <c r="Q206" s="123" t="s">
        <v>3958</v>
      </c>
      <c r="R206" s="125" t="s">
        <v>3959</v>
      </c>
      <c r="S206" s="123" t="s">
        <v>3958</v>
      </c>
      <c r="T206" s="125" t="s">
        <v>3960</v>
      </c>
      <c r="U206" s="124">
        <v>2011.0</v>
      </c>
      <c r="V206" s="124">
        <v>2013.0</v>
      </c>
      <c r="W206" s="123" t="s">
        <v>3961</v>
      </c>
      <c r="X206" s="123"/>
    </row>
    <row r="207">
      <c r="A207" s="123" t="s">
        <v>87</v>
      </c>
      <c r="B207" s="123" t="s">
        <v>3962</v>
      </c>
      <c r="C207" s="123"/>
      <c r="D207" s="123" t="s">
        <v>3963</v>
      </c>
      <c r="E207" s="123" t="s">
        <v>3164</v>
      </c>
      <c r="F207" s="123" t="s">
        <v>3164</v>
      </c>
      <c r="G207" s="123" t="s">
        <v>86</v>
      </c>
      <c r="H207" s="123" t="s">
        <v>3088</v>
      </c>
      <c r="I207" s="123" t="s">
        <v>108</v>
      </c>
      <c r="J207" s="123" t="s">
        <v>3796</v>
      </c>
      <c r="K207" s="124">
        <v>830.0</v>
      </c>
      <c r="L207" s="124">
        <v>7.0</v>
      </c>
      <c r="M207" s="123" t="s">
        <v>3658</v>
      </c>
      <c r="N207" s="124">
        <v>44.1031</v>
      </c>
      <c r="O207" s="124">
        <v>-89.5379</v>
      </c>
      <c r="P207" s="124">
        <v>328.0</v>
      </c>
      <c r="Q207" s="123" t="s">
        <v>3639</v>
      </c>
      <c r="R207" s="125" t="s">
        <v>3964</v>
      </c>
      <c r="S207" s="123" t="s">
        <v>3639</v>
      </c>
      <c r="T207" s="125" t="s">
        <v>3965</v>
      </c>
      <c r="U207" s="124">
        <v>2018.0</v>
      </c>
      <c r="V207" s="124">
        <v>2019.0</v>
      </c>
      <c r="W207" s="123" t="s">
        <v>3966</v>
      </c>
      <c r="X207" s="123"/>
    </row>
    <row r="208">
      <c r="A208" s="123" t="s">
        <v>87</v>
      </c>
      <c r="B208" s="123" t="s">
        <v>3967</v>
      </c>
      <c r="C208" s="123"/>
      <c r="D208" s="123" t="s">
        <v>3968</v>
      </c>
      <c r="E208" s="123" t="s">
        <v>3164</v>
      </c>
      <c r="F208" s="123" t="s">
        <v>3164</v>
      </c>
      <c r="G208" s="123" t="s">
        <v>197</v>
      </c>
      <c r="H208" s="123" t="s">
        <v>3094</v>
      </c>
      <c r="I208" s="123" t="s">
        <v>108</v>
      </c>
      <c r="J208" s="123" t="s">
        <v>3796</v>
      </c>
      <c r="K208" s="124">
        <v>830.0</v>
      </c>
      <c r="L208" s="124">
        <v>7.0</v>
      </c>
      <c r="M208" s="123" t="s">
        <v>3658</v>
      </c>
      <c r="N208" s="124">
        <v>44.1467</v>
      </c>
      <c r="O208" s="124">
        <v>-89.5002</v>
      </c>
      <c r="P208" s="124">
        <v>328.0</v>
      </c>
      <c r="Q208" s="123" t="s">
        <v>3649</v>
      </c>
      <c r="R208" s="125" t="s">
        <v>3969</v>
      </c>
      <c r="S208" s="123" t="s">
        <v>3876</v>
      </c>
      <c r="T208" s="125" t="s">
        <v>3970</v>
      </c>
      <c r="U208" s="124">
        <v>2018.0</v>
      </c>
      <c r="V208" s="123"/>
      <c r="W208" s="123" t="s">
        <v>3971</v>
      </c>
      <c r="X208" s="123"/>
    </row>
    <row r="209">
      <c r="A209" s="123" t="s">
        <v>87</v>
      </c>
      <c r="B209" s="123" t="s">
        <v>3972</v>
      </c>
      <c r="C209" s="123"/>
      <c r="D209" s="123" t="s">
        <v>3963</v>
      </c>
      <c r="E209" s="123" t="s">
        <v>3164</v>
      </c>
      <c r="F209" s="123" t="s">
        <v>3164</v>
      </c>
      <c r="G209" s="123" t="s">
        <v>86</v>
      </c>
      <c r="H209" s="123" t="s">
        <v>3088</v>
      </c>
      <c r="I209" s="123" t="s">
        <v>108</v>
      </c>
      <c r="J209" s="123" t="s">
        <v>3796</v>
      </c>
      <c r="K209" s="124">
        <v>830.0</v>
      </c>
      <c r="L209" s="124">
        <v>7.0</v>
      </c>
      <c r="M209" s="123" t="s">
        <v>3658</v>
      </c>
      <c r="N209" s="124">
        <v>44.1394</v>
      </c>
      <c r="O209" s="124">
        <v>-89.5727</v>
      </c>
      <c r="P209" s="124">
        <v>328.0</v>
      </c>
      <c r="Q209" s="123" t="s">
        <v>3311</v>
      </c>
      <c r="R209" s="125" t="s">
        <v>3973</v>
      </c>
      <c r="S209" s="123" t="s">
        <v>3311</v>
      </c>
      <c r="T209" s="125" t="s">
        <v>3974</v>
      </c>
      <c r="U209" s="124">
        <v>2019.0</v>
      </c>
      <c r="V209" s="123"/>
      <c r="W209" s="123" t="s">
        <v>3966</v>
      </c>
      <c r="X209" s="123"/>
    </row>
    <row r="210">
      <c r="A210" s="123" t="s">
        <v>87</v>
      </c>
      <c r="B210" s="123" t="s">
        <v>3975</v>
      </c>
      <c r="C210" s="123"/>
      <c r="D210" s="123" t="s">
        <v>3963</v>
      </c>
      <c r="E210" s="123" t="s">
        <v>3164</v>
      </c>
      <c r="F210" s="123" t="s">
        <v>3164</v>
      </c>
      <c r="G210" s="123" t="s">
        <v>86</v>
      </c>
      <c r="H210" s="123" t="s">
        <v>3088</v>
      </c>
      <c r="I210" s="123" t="s">
        <v>108</v>
      </c>
      <c r="J210" s="123" t="s">
        <v>3796</v>
      </c>
      <c r="K210" s="124">
        <v>830.0</v>
      </c>
      <c r="L210" s="124">
        <v>7.0</v>
      </c>
      <c r="M210" s="123" t="s">
        <v>3658</v>
      </c>
      <c r="N210" s="124">
        <v>44.1597</v>
      </c>
      <c r="O210" s="124">
        <v>-89.5475</v>
      </c>
      <c r="P210" s="124">
        <v>328.0</v>
      </c>
      <c r="Q210" s="123" t="s">
        <v>3976</v>
      </c>
      <c r="R210" s="125" t="s">
        <v>3977</v>
      </c>
      <c r="S210" s="123" t="s">
        <v>3976</v>
      </c>
      <c r="T210" s="125" t="s">
        <v>3978</v>
      </c>
      <c r="U210" s="124">
        <v>2020.0</v>
      </c>
      <c r="V210" s="124">
        <v>2020.0</v>
      </c>
      <c r="W210" s="123" t="s">
        <v>3966</v>
      </c>
      <c r="X210" s="123"/>
    </row>
    <row r="211">
      <c r="A211" s="123" t="s">
        <v>87</v>
      </c>
      <c r="B211" s="123" t="s">
        <v>3979</v>
      </c>
      <c r="C211" s="123"/>
      <c r="D211" s="123" t="s">
        <v>3963</v>
      </c>
      <c r="E211" s="123" t="s">
        <v>3164</v>
      </c>
      <c r="F211" s="123" t="s">
        <v>3165</v>
      </c>
      <c r="G211" s="123" t="s">
        <v>86</v>
      </c>
      <c r="H211" s="123" t="s">
        <v>3088</v>
      </c>
      <c r="I211" s="123" t="s">
        <v>108</v>
      </c>
      <c r="J211" s="123" t="s">
        <v>3796</v>
      </c>
      <c r="K211" s="124">
        <v>830.0</v>
      </c>
      <c r="L211" s="124">
        <v>7.0</v>
      </c>
      <c r="M211" s="123" t="s">
        <v>3658</v>
      </c>
      <c r="N211" s="124">
        <v>44.1095</v>
      </c>
      <c r="O211" s="124">
        <v>-89.5377</v>
      </c>
      <c r="P211" s="124">
        <v>328.0</v>
      </c>
      <c r="Q211" s="124">
        <v>2021.0</v>
      </c>
      <c r="R211" s="125" t="s">
        <v>3980</v>
      </c>
      <c r="S211" s="123"/>
      <c r="T211" s="125" t="s">
        <v>3170</v>
      </c>
      <c r="U211" s="124">
        <v>2021.0</v>
      </c>
      <c r="V211" s="123"/>
      <c r="W211" s="123" t="s">
        <v>3981</v>
      </c>
      <c r="X211" s="123"/>
    </row>
    <row r="212">
      <c r="A212" s="123" t="s">
        <v>87</v>
      </c>
      <c r="B212" s="123" t="s">
        <v>3982</v>
      </c>
      <c r="C212" s="123"/>
      <c r="D212" s="123" t="s">
        <v>3963</v>
      </c>
      <c r="E212" s="123" t="s">
        <v>3164</v>
      </c>
      <c r="F212" s="123" t="s">
        <v>3165</v>
      </c>
      <c r="G212" s="123" t="s">
        <v>86</v>
      </c>
      <c r="H212" s="123" t="s">
        <v>3088</v>
      </c>
      <c r="I212" s="123" t="s">
        <v>108</v>
      </c>
      <c r="J212" s="123" t="s">
        <v>3796</v>
      </c>
      <c r="K212" s="124">
        <v>830.0</v>
      </c>
      <c r="L212" s="124">
        <v>7.0</v>
      </c>
      <c r="M212" s="123" t="s">
        <v>3658</v>
      </c>
      <c r="N212" s="124">
        <v>44.4297</v>
      </c>
      <c r="O212" s="124">
        <v>-89.544</v>
      </c>
      <c r="P212" s="124">
        <v>328.0</v>
      </c>
      <c r="Q212" s="123" t="s">
        <v>3858</v>
      </c>
      <c r="R212" s="125" t="s">
        <v>3983</v>
      </c>
      <c r="S212" s="123"/>
      <c r="T212" s="125" t="s">
        <v>3170</v>
      </c>
      <c r="U212" s="124">
        <v>2022.0</v>
      </c>
      <c r="V212" s="123"/>
      <c r="W212" s="123" t="s">
        <v>3981</v>
      </c>
      <c r="X212" s="123"/>
    </row>
    <row r="213">
      <c r="A213" s="123" t="s">
        <v>87</v>
      </c>
      <c r="B213" s="123" t="s">
        <v>3984</v>
      </c>
      <c r="C213" s="123"/>
      <c r="D213" s="123" t="s">
        <v>3985</v>
      </c>
      <c r="E213" s="123" t="s">
        <v>3165</v>
      </c>
      <c r="F213" s="123" t="s">
        <v>3165</v>
      </c>
      <c r="G213" s="123" t="s">
        <v>197</v>
      </c>
      <c r="H213" s="123" t="s">
        <v>3094</v>
      </c>
      <c r="I213" s="123" t="s">
        <v>108</v>
      </c>
      <c r="J213" s="123" t="s">
        <v>3796</v>
      </c>
      <c r="K213" s="124">
        <v>830.0</v>
      </c>
      <c r="L213" s="124">
        <v>7.0</v>
      </c>
      <c r="M213" s="123" t="s">
        <v>3658</v>
      </c>
      <c r="N213" s="124">
        <v>44.4375</v>
      </c>
      <c r="O213" s="124">
        <v>-89.5443</v>
      </c>
      <c r="P213" s="124">
        <v>328.0</v>
      </c>
      <c r="Q213" s="123"/>
      <c r="R213" s="125" t="s">
        <v>3170</v>
      </c>
      <c r="S213" s="123"/>
      <c r="T213" s="125" t="s">
        <v>3170</v>
      </c>
      <c r="U213" s="124">
        <v>2022.0</v>
      </c>
      <c r="V213" s="123"/>
      <c r="W213" s="123"/>
      <c r="X213" s="123"/>
    </row>
    <row r="214">
      <c r="A214" s="123" t="s">
        <v>87</v>
      </c>
      <c r="B214" s="123" t="s">
        <v>3986</v>
      </c>
      <c r="C214" s="123"/>
      <c r="D214" s="123" t="s">
        <v>3963</v>
      </c>
      <c r="E214" s="123" t="s">
        <v>3164</v>
      </c>
      <c r="F214" s="123" t="s">
        <v>3165</v>
      </c>
      <c r="G214" s="123" t="s">
        <v>86</v>
      </c>
      <c r="H214" s="123" t="s">
        <v>3088</v>
      </c>
      <c r="I214" s="123" t="s">
        <v>108</v>
      </c>
      <c r="J214" s="123" t="s">
        <v>3796</v>
      </c>
      <c r="K214" s="124">
        <v>830.0</v>
      </c>
      <c r="L214" s="124">
        <v>7.0</v>
      </c>
      <c r="M214" s="123" t="s">
        <v>3658</v>
      </c>
      <c r="N214" s="124">
        <v>44.4338</v>
      </c>
      <c r="O214" s="124">
        <v>-89.5364</v>
      </c>
      <c r="P214" s="124">
        <v>328.0</v>
      </c>
      <c r="Q214" s="124">
        <v>2023.0</v>
      </c>
      <c r="R214" s="125" t="s">
        <v>3987</v>
      </c>
      <c r="S214" s="123"/>
      <c r="T214" s="125" t="s">
        <v>3170</v>
      </c>
      <c r="U214" s="124">
        <v>2023.0</v>
      </c>
      <c r="V214" s="123"/>
      <c r="W214" s="123" t="s">
        <v>3981</v>
      </c>
      <c r="X214" s="123"/>
    </row>
    <row r="215">
      <c r="A215" s="123" t="s">
        <v>87</v>
      </c>
      <c r="B215" s="123" t="s">
        <v>3988</v>
      </c>
      <c r="C215" s="123"/>
      <c r="D215" s="123" t="s">
        <v>3989</v>
      </c>
      <c r="E215" s="123" t="s">
        <v>3164</v>
      </c>
      <c r="F215" s="123" t="s">
        <v>3165</v>
      </c>
      <c r="G215" s="123" t="s">
        <v>197</v>
      </c>
      <c r="H215" s="123" t="s">
        <v>3094</v>
      </c>
      <c r="I215" s="123" t="s">
        <v>201</v>
      </c>
      <c r="J215" s="123" t="s">
        <v>3174</v>
      </c>
      <c r="K215" s="124">
        <v>1410.0</v>
      </c>
      <c r="L215" s="124">
        <v>17.4</v>
      </c>
      <c r="M215" s="123" t="s">
        <v>3658</v>
      </c>
      <c r="N215" s="124">
        <v>33.0442</v>
      </c>
      <c r="O215" s="124">
        <v>-91.9204</v>
      </c>
      <c r="P215" s="124">
        <v>50.0</v>
      </c>
      <c r="Q215" s="123" t="s">
        <v>3230</v>
      </c>
      <c r="R215" s="125" t="s">
        <v>3990</v>
      </c>
      <c r="S215" s="123"/>
      <c r="T215" s="125" t="s">
        <v>3170</v>
      </c>
      <c r="U215" s="124">
        <v>2012.0</v>
      </c>
      <c r="V215" s="123"/>
      <c r="W215" s="123" t="s">
        <v>3991</v>
      </c>
      <c r="X215" s="123"/>
    </row>
    <row r="216">
      <c r="A216" s="123" t="s">
        <v>87</v>
      </c>
      <c r="B216" s="123" t="s">
        <v>3992</v>
      </c>
      <c r="C216" s="123"/>
      <c r="D216" s="123" t="s">
        <v>3993</v>
      </c>
      <c r="E216" s="123" t="s">
        <v>3164</v>
      </c>
      <c r="F216" s="123" t="s">
        <v>3165</v>
      </c>
      <c r="G216" s="123" t="s">
        <v>288</v>
      </c>
      <c r="H216" s="123" t="s">
        <v>3095</v>
      </c>
      <c r="I216" s="123"/>
      <c r="J216" s="123"/>
      <c r="K216" s="123"/>
      <c r="L216" s="123"/>
      <c r="M216" s="123" t="s">
        <v>3658</v>
      </c>
      <c r="N216" s="124">
        <v>43.95</v>
      </c>
      <c r="O216" s="124">
        <v>-101.8466</v>
      </c>
      <c r="P216" s="124">
        <v>744.0</v>
      </c>
      <c r="Q216" s="123" t="s">
        <v>3994</v>
      </c>
      <c r="R216" s="125" t="s">
        <v>3995</v>
      </c>
      <c r="S216" s="123"/>
      <c r="T216" s="125" t="s">
        <v>3170</v>
      </c>
      <c r="U216" s="124">
        <v>2007.0</v>
      </c>
      <c r="V216" s="124">
        <v>2009.0</v>
      </c>
      <c r="W216" s="123" t="s">
        <v>3427</v>
      </c>
      <c r="X216" s="123"/>
    </row>
    <row r="217">
      <c r="A217" s="123" t="s">
        <v>87</v>
      </c>
      <c r="B217" s="123" t="s">
        <v>3996</v>
      </c>
      <c r="C217" s="123"/>
      <c r="D217" s="123" t="s">
        <v>3997</v>
      </c>
      <c r="E217" s="123" t="s">
        <v>3165</v>
      </c>
      <c r="F217" s="123" t="s">
        <v>3165</v>
      </c>
      <c r="G217" s="123" t="s">
        <v>288</v>
      </c>
      <c r="H217" s="123" t="s">
        <v>3095</v>
      </c>
      <c r="I217" s="123" t="s">
        <v>107</v>
      </c>
      <c r="J217" s="123" t="s">
        <v>3249</v>
      </c>
      <c r="K217" s="124">
        <v>1495.0</v>
      </c>
      <c r="L217" s="124">
        <v>12.9</v>
      </c>
      <c r="M217" s="123" t="s">
        <v>3658</v>
      </c>
      <c r="N217" s="124">
        <v>34.9682</v>
      </c>
      <c r="O217" s="124">
        <v>-83.3951</v>
      </c>
      <c r="P217" s="124">
        <v>657.0</v>
      </c>
      <c r="Q217" s="123"/>
      <c r="R217" s="125" t="s">
        <v>3170</v>
      </c>
      <c r="S217" s="123"/>
      <c r="T217" s="125" t="s">
        <v>3170</v>
      </c>
      <c r="U217" s="124">
        <v>2017.0</v>
      </c>
      <c r="V217" s="124">
        <v>2018.0</v>
      </c>
      <c r="W217" s="123"/>
      <c r="X217" s="123"/>
    </row>
    <row r="218">
      <c r="A218" s="123" t="s">
        <v>87</v>
      </c>
      <c r="B218" s="123" t="s">
        <v>3998</v>
      </c>
      <c r="C218" s="123"/>
      <c r="D218" s="123" t="s">
        <v>3999</v>
      </c>
      <c r="E218" s="123" t="s">
        <v>3164</v>
      </c>
      <c r="F218" s="123" t="s">
        <v>3165</v>
      </c>
      <c r="G218" s="123" t="s">
        <v>370</v>
      </c>
      <c r="H218" s="123" t="s">
        <v>3091</v>
      </c>
      <c r="I218" s="123" t="s">
        <v>107</v>
      </c>
      <c r="J218" s="123" t="s">
        <v>3249</v>
      </c>
      <c r="K218" s="124">
        <v>1800.0</v>
      </c>
      <c r="L218" s="124">
        <v>13.0</v>
      </c>
      <c r="M218" s="123" t="s">
        <v>3658</v>
      </c>
      <c r="N218" s="124">
        <v>35.0592</v>
      </c>
      <c r="O218" s="124">
        <v>-83.4275</v>
      </c>
      <c r="P218" s="124">
        <v>690.0</v>
      </c>
      <c r="Q218" s="123" t="s">
        <v>3253</v>
      </c>
      <c r="R218" s="125" t="s">
        <v>4000</v>
      </c>
      <c r="S218" s="123"/>
      <c r="T218" s="125" t="s">
        <v>3170</v>
      </c>
      <c r="U218" s="124">
        <v>2011.0</v>
      </c>
      <c r="V218" s="123"/>
      <c r="W218" s="123" t="s">
        <v>4001</v>
      </c>
      <c r="X218" s="123"/>
    </row>
    <row r="219">
      <c r="A219" s="123" t="s">
        <v>87</v>
      </c>
      <c r="B219" s="123" t="s">
        <v>4002</v>
      </c>
      <c r="C219" s="123"/>
      <c r="D219" s="123" t="s">
        <v>4003</v>
      </c>
      <c r="E219" s="123" t="s">
        <v>3165</v>
      </c>
      <c r="F219" s="123" t="s">
        <v>3165</v>
      </c>
      <c r="G219" s="123" t="s">
        <v>288</v>
      </c>
      <c r="H219" s="123" t="s">
        <v>3095</v>
      </c>
      <c r="I219" s="123"/>
      <c r="J219" s="123"/>
      <c r="K219" s="124">
        <v>340.0</v>
      </c>
      <c r="L219" s="124">
        <v>8.4</v>
      </c>
      <c r="M219" s="123" t="s">
        <v>3658</v>
      </c>
      <c r="N219" s="124">
        <v>40.833</v>
      </c>
      <c r="O219" s="124">
        <v>-104.76</v>
      </c>
      <c r="P219" s="124">
        <v>1600.0</v>
      </c>
      <c r="Q219" s="123"/>
      <c r="R219" s="125" t="s">
        <v>3170</v>
      </c>
      <c r="S219" s="123"/>
      <c r="T219" s="125" t="s">
        <v>3170</v>
      </c>
      <c r="U219" s="124">
        <v>2016.0</v>
      </c>
      <c r="V219" s="123"/>
      <c r="W219" s="123"/>
      <c r="X219" s="123"/>
    </row>
    <row r="220">
      <c r="A220" s="123" t="s">
        <v>87</v>
      </c>
      <c r="B220" s="123" t="s">
        <v>4004</v>
      </c>
      <c r="C220" s="123"/>
      <c r="D220" s="123" t="s">
        <v>4005</v>
      </c>
      <c r="E220" s="123" t="s">
        <v>3165</v>
      </c>
      <c r="F220" s="123" t="s">
        <v>3165</v>
      </c>
      <c r="G220" s="123" t="s">
        <v>288</v>
      </c>
      <c r="H220" s="123" t="s">
        <v>3095</v>
      </c>
      <c r="I220" s="123"/>
      <c r="J220" s="123"/>
      <c r="K220" s="124">
        <v>340.0</v>
      </c>
      <c r="L220" s="124">
        <v>8.4</v>
      </c>
      <c r="M220" s="123" t="s">
        <v>3658</v>
      </c>
      <c r="N220" s="124">
        <v>40.8402</v>
      </c>
      <c r="O220" s="124">
        <v>-104.7672</v>
      </c>
      <c r="P220" s="124">
        <v>1600.0</v>
      </c>
      <c r="Q220" s="123"/>
      <c r="R220" s="125" t="s">
        <v>3170</v>
      </c>
      <c r="S220" s="123"/>
      <c r="T220" s="125" t="s">
        <v>3170</v>
      </c>
      <c r="U220" s="124">
        <v>2016.0</v>
      </c>
      <c r="V220" s="123"/>
      <c r="W220" s="123"/>
      <c r="X220" s="123"/>
    </row>
    <row r="221">
      <c r="A221" s="123" t="s">
        <v>87</v>
      </c>
      <c r="B221" s="123" t="s">
        <v>4006</v>
      </c>
      <c r="C221" s="123"/>
      <c r="D221" s="123" t="s">
        <v>4007</v>
      </c>
      <c r="E221" s="123" t="s">
        <v>3165</v>
      </c>
      <c r="F221" s="123" t="s">
        <v>3165</v>
      </c>
      <c r="G221" s="123" t="s">
        <v>313</v>
      </c>
      <c r="H221" s="123" t="s">
        <v>3098</v>
      </c>
      <c r="I221" s="123"/>
      <c r="J221" s="123"/>
      <c r="K221" s="123"/>
      <c r="L221" s="123"/>
      <c r="M221" s="123" t="s">
        <v>3658</v>
      </c>
      <c r="N221" s="124">
        <v>37.1088</v>
      </c>
      <c r="O221" s="124">
        <v>-119.7313</v>
      </c>
      <c r="P221" s="124">
        <v>400.0</v>
      </c>
      <c r="Q221" s="123"/>
      <c r="R221" s="125" t="s">
        <v>3170</v>
      </c>
      <c r="S221" s="123"/>
      <c r="T221" s="125" t="s">
        <v>3170</v>
      </c>
      <c r="U221" s="124">
        <v>2009.0</v>
      </c>
      <c r="V221" s="123"/>
      <c r="W221" s="123"/>
      <c r="X221" s="123"/>
    </row>
    <row r="222">
      <c r="A222" s="123" t="s">
        <v>87</v>
      </c>
      <c r="B222" s="123" t="s">
        <v>2273</v>
      </c>
      <c r="C222" s="123"/>
      <c r="D222" s="123" t="s">
        <v>4008</v>
      </c>
      <c r="E222" s="123" t="s">
        <v>3164</v>
      </c>
      <c r="F222" s="123" t="s">
        <v>3165</v>
      </c>
      <c r="G222" s="123" t="s">
        <v>197</v>
      </c>
      <c r="H222" s="123" t="s">
        <v>3094</v>
      </c>
      <c r="I222" s="123"/>
      <c r="J222" s="123"/>
      <c r="K222" s="123"/>
      <c r="L222" s="123"/>
      <c r="M222" s="123" t="s">
        <v>3658</v>
      </c>
      <c r="N222" s="124">
        <v>37.0311</v>
      </c>
      <c r="O222" s="124">
        <v>-119.2566</v>
      </c>
      <c r="P222" s="124">
        <v>1160.0</v>
      </c>
      <c r="Q222" s="123" t="s">
        <v>4009</v>
      </c>
      <c r="R222" s="125" t="s">
        <v>4010</v>
      </c>
      <c r="S222" s="123"/>
      <c r="T222" s="125" t="s">
        <v>3170</v>
      </c>
      <c r="U222" s="124">
        <v>2010.0</v>
      </c>
      <c r="V222" s="123"/>
      <c r="W222" s="123" t="s">
        <v>4011</v>
      </c>
      <c r="X222" s="123"/>
    </row>
    <row r="223">
      <c r="A223" s="123" t="s">
        <v>87</v>
      </c>
      <c r="B223" s="123" t="s">
        <v>2270</v>
      </c>
      <c r="C223" s="123"/>
      <c r="D223" s="123" t="s">
        <v>4012</v>
      </c>
      <c r="E223" s="123" t="s">
        <v>3164</v>
      </c>
      <c r="F223" s="123" t="s">
        <v>3165</v>
      </c>
      <c r="G223" s="123" t="s">
        <v>197</v>
      </c>
      <c r="H223" s="123" t="s">
        <v>3094</v>
      </c>
      <c r="I223" s="123"/>
      <c r="J223" s="123"/>
      <c r="K223" s="123"/>
      <c r="L223" s="123"/>
      <c r="M223" s="123" t="s">
        <v>3658</v>
      </c>
      <c r="N223" s="124">
        <v>37.0674</v>
      </c>
      <c r="O223" s="124">
        <v>-119.1951</v>
      </c>
      <c r="P223" s="124">
        <v>2015.0</v>
      </c>
      <c r="Q223" s="123" t="s">
        <v>4013</v>
      </c>
      <c r="R223" s="125" t="s">
        <v>4014</v>
      </c>
      <c r="S223" s="123"/>
      <c r="T223" s="125" t="s">
        <v>3170</v>
      </c>
      <c r="U223" s="124">
        <v>2008.0</v>
      </c>
      <c r="V223" s="123"/>
      <c r="W223" s="123" t="s">
        <v>4011</v>
      </c>
      <c r="X223" s="123"/>
    </row>
    <row r="224">
      <c r="A224" s="123" t="s">
        <v>87</v>
      </c>
      <c r="B224" s="123" t="s">
        <v>2261</v>
      </c>
      <c r="C224" s="123"/>
      <c r="D224" s="123" t="s">
        <v>4015</v>
      </c>
      <c r="E224" s="123" t="s">
        <v>3164</v>
      </c>
      <c r="F224" s="123" t="s">
        <v>3165</v>
      </c>
      <c r="G224" s="123" t="s">
        <v>197</v>
      </c>
      <c r="H224" s="123" t="s">
        <v>3094</v>
      </c>
      <c r="I224" s="123"/>
      <c r="J224" s="123"/>
      <c r="K224" s="123"/>
      <c r="L224" s="123"/>
      <c r="M224" s="123" t="s">
        <v>3658</v>
      </c>
      <c r="N224" s="124">
        <v>37.0675</v>
      </c>
      <c r="O224" s="124">
        <v>-118.9867</v>
      </c>
      <c r="P224" s="124">
        <v>2710.0</v>
      </c>
      <c r="Q224" s="123" t="s">
        <v>4016</v>
      </c>
      <c r="R224" s="125" t="s">
        <v>4017</v>
      </c>
      <c r="S224" s="123"/>
      <c r="T224" s="125" t="s">
        <v>3170</v>
      </c>
      <c r="U224" s="124">
        <v>2009.0</v>
      </c>
      <c r="V224" s="123"/>
      <c r="W224" s="123" t="s">
        <v>4011</v>
      </c>
      <c r="X224" s="123"/>
    </row>
    <row r="225">
      <c r="A225" s="123" t="s">
        <v>87</v>
      </c>
      <c r="B225" s="123" t="s">
        <v>4018</v>
      </c>
      <c r="C225" s="123"/>
      <c r="D225" s="123" t="s">
        <v>4019</v>
      </c>
      <c r="E225" s="123" t="s">
        <v>3165</v>
      </c>
      <c r="F225" s="123" t="s">
        <v>3165</v>
      </c>
      <c r="G225" s="123" t="s">
        <v>505</v>
      </c>
      <c r="H225" s="123" t="s">
        <v>3100</v>
      </c>
      <c r="I225" s="123" t="s">
        <v>175</v>
      </c>
      <c r="J225" s="123" t="s">
        <v>3366</v>
      </c>
      <c r="K225" s="123"/>
      <c r="L225" s="123"/>
      <c r="M225" s="123" t="s">
        <v>3658</v>
      </c>
      <c r="N225" s="124">
        <v>37.8736</v>
      </c>
      <c r="O225" s="124">
        <v>-122.2684</v>
      </c>
      <c r="P225" s="123"/>
      <c r="Q225" s="123"/>
      <c r="R225" s="125" t="s">
        <v>3170</v>
      </c>
      <c r="S225" s="123"/>
      <c r="T225" s="125" t="s">
        <v>3170</v>
      </c>
      <c r="U225" s="124">
        <v>2022.0</v>
      </c>
      <c r="V225" s="123"/>
      <c r="W225" s="123"/>
      <c r="X225" s="123"/>
    </row>
    <row r="226">
      <c r="A226" s="123" t="s">
        <v>87</v>
      </c>
      <c r="B226" s="123" t="s">
        <v>2362</v>
      </c>
      <c r="C226" s="123"/>
      <c r="D226" s="123" t="s">
        <v>4020</v>
      </c>
      <c r="E226" s="123" t="s">
        <v>3165</v>
      </c>
      <c r="F226" s="123" t="s">
        <v>3165</v>
      </c>
      <c r="G226" s="123" t="s">
        <v>214</v>
      </c>
      <c r="H226" s="123" t="s">
        <v>3184</v>
      </c>
      <c r="I226" s="123" t="s">
        <v>592</v>
      </c>
      <c r="J226" s="123" t="s">
        <v>3216</v>
      </c>
      <c r="K226" s="124">
        <v>1312.0</v>
      </c>
      <c r="L226" s="124">
        <v>23.1</v>
      </c>
      <c r="M226" s="123" t="s">
        <v>3658</v>
      </c>
      <c r="N226" s="124">
        <v>25.7626</v>
      </c>
      <c r="O226" s="124">
        <v>-80.9078</v>
      </c>
      <c r="P226" s="124">
        <v>2.05</v>
      </c>
      <c r="Q226" s="123"/>
      <c r="R226" s="125" t="s">
        <v>3170</v>
      </c>
      <c r="S226" s="123"/>
      <c r="T226" s="125" t="s">
        <v>3170</v>
      </c>
      <c r="U226" s="124">
        <v>2012.0</v>
      </c>
      <c r="V226" s="124">
        <v>2014.0</v>
      </c>
      <c r="W226" s="123"/>
      <c r="X226" s="123"/>
    </row>
    <row r="227">
      <c r="A227" s="123" t="s">
        <v>87</v>
      </c>
      <c r="B227" s="123" t="s">
        <v>4021</v>
      </c>
      <c r="C227" s="123"/>
      <c r="D227" s="123" t="s">
        <v>4022</v>
      </c>
      <c r="E227" s="123" t="s">
        <v>3165</v>
      </c>
      <c r="F227" s="123" t="s">
        <v>3165</v>
      </c>
      <c r="G227" s="123" t="s">
        <v>86</v>
      </c>
      <c r="H227" s="123" t="s">
        <v>3088</v>
      </c>
      <c r="I227" s="123" t="s">
        <v>1529</v>
      </c>
      <c r="J227" s="123" t="s">
        <v>3718</v>
      </c>
      <c r="K227" s="124">
        <v>131.0</v>
      </c>
      <c r="L227" s="124">
        <v>20.5</v>
      </c>
      <c r="M227" s="123" t="s">
        <v>3658</v>
      </c>
      <c r="N227" s="124">
        <v>32.8136</v>
      </c>
      <c r="O227" s="124">
        <v>-115.4423</v>
      </c>
      <c r="P227" s="124">
        <v>-53.0</v>
      </c>
      <c r="Q227" s="123"/>
      <c r="R227" s="125" t="s">
        <v>3170</v>
      </c>
      <c r="S227" s="123"/>
      <c r="T227" s="125" t="s">
        <v>3170</v>
      </c>
      <c r="U227" s="124">
        <v>2014.0</v>
      </c>
      <c r="V227" s="123"/>
      <c r="W227" s="123"/>
      <c r="X227" s="123"/>
    </row>
    <row r="228">
      <c r="A228" s="123" t="s">
        <v>87</v>
      </c>
      <c r="B228" s="123" t="s">
        <v>4023</v>
      </c>
      <c r="C228" s="123"/>
      <c r="D228" s="123" t="s">
        <v>4024</v>
      </c>
      <c r="E228" s="123" t="s">
        <v>3165</v>
      </c>
      <c r="F228" s="123" t="s">
        <v>3165</v>
      </c>
      <c r="G228" s="123" t="s">
        <v>505</v>
      </c>
      <c r="H228" s="123" t="s">
        <v>3100</v>
      </c>
      <c r="I228" s="123" t="s">
        <v>1529</v>
      </c>
      <c r="J228" s="123" t="s">
        <v>3718</v>
      </c>
      <c r="K228" s="124">
        <v>131.0</v>
      </c>
      <c r="L228" s="124">
        <v>20.5</v>
      </c>
      <c r="M228" s="123" t="s">
        <v>3658</v>
      </c>
      <c r="N228" s="124">
        <v>32.8056</v>
      </c>
      <c r="O228" s="124">
        <v>-115.4456</v>
      </c>
      <c r="P228" s="124">
        <v>-53.0</v>
      </c>
      <c r="Q228" s="123"/>
      <c r="R228" s="125" t="s">
        <v>3170</v>
      </c>
      <c r="S228" s="123"/>
      <c r="T228" s="125" t="s">
        <v>3170</v>
      </c>
      <c r="U228" s="124">
        <v>2014.0</v>
      </c>
      <c r="V228" s="123"/>
      <c r="W228" s="123"/>
      <c r="X228" s="123"/>
    </row>
    <row r="229">
      <c r="A229" s="123" t="s">
        <v>87</v>
      </c>
      <c r="B229" s="123" t="s">
        <v>4025</v>
      </c>
      <c r="C229" s="123"/>
      <c r="D229" s="123" t="s">
        <v>4026</v>
      </c>
      <c r="E229" s="123" t="s">
        <v>3164</v>
      </c>
      <c r="F229" s="123" t="s">
        <v>3164</v>
      </c>
      <c r="G229" s="123" t="s">
        <v>86</v>
      </c>
      <c r="H229" s="123" t="s">
        <v>3088</v>
      </c>
      <c r="I229" s="123" t="s">
        <v>107</v>
      </c>
      <c r="J229" s="123" t="s">
        <v>3249</v>
      </c>
      <c r="K229" s="124">
        <v>787.0</v>
      </c>
      <c r="L229" s="124">
        <v>7.65</v>
      </c>
      <c r="M229" s="123" t="s">
        <v>3658</v>
      </c>
      <c r="N229" s="124">
        <v>43.3448</v>
      </c>
      <c r="O229" s="124">
        <v>-89.7117</v>
      </c>
      <c r="P229" s="124">
        <v>264.9</v>
      </c>
      <c r="Q229" s="123" t="s">
        <v>3649</v>
      </c>
      <c r="R229" s="125" t="s">
        <v>4027</v>
      </c>
      <c r="S229" s="123" t="s">
        <v>3876</v>
      </c>
      <c r="T229" s="125" t="s">
        <v>4028</v>
      </c>
      <c r="U229" s="124">
        <v>2018.0</v>
      </c>
      <c r="V229" s="123"/>
      <c r="W229" s="123" t="s">
        <v>4029</v>
      </c>
      <c r="X229" s="123"/>
    </row>
    <row r="230">
      <c r="A230" s="123" t="s">
        <v>87</v>
      </c>
      <c r="B230" s="123" t="s">
        <v>4030</v>
      </c>
      <c r="C230" s="123"/>
      <c r="D230" s="123" t="s">
        <v>4031</v>
      </c>
      <c r="E230" s="123" t="s">
        <v>3164</v>
      </c>
      <c r="F230" s="123" t="s">
        <v>3165</v>
      </c>
      <c r="G230" s="123" t="s">
        <v>86</v>
      </c>
      <c r="H230" s="123" t="s">
        <v>3088</v>
      </c>
      <c r="I230" s="123" t="s">
        <v>107</v>
      </c>
      <c r="J230" s="123" t="s">
        <v>3249</v>
      </c>
      <c r="K230" s="124">
        <v>787.0</v>
      </c>
      <c r="L230" s="124">
        <v>7.65</v>
      </c>
      <c r="M230" s="123" t="s">
        <v>3658</v>
      </c>
      <c r="N230" s="124">
        <v>43.3453</v>
      </c>
      <c r="O230" s="124">
        <v>-89.7154</v>
      </c>
      <c r="P230" s="124">
        <v>210.0</v>
      </c>
      <c r="Q230" s="123" t="s">
        <v>3876</v>
      </c>
      <c r="R230" s="125" t="s">
        <v>4032</v>
      </c>
      <c r="S230" s="123"/>
      <c r="T230" s="125" t="s">
        <v>3170</v>
      </c>
      <c r="U230" s="124">
        <v>2018.0</v>
      </c>
      <c r="V230" s="123"/>
      <c r="W230" s="123" t="s">
        <v>4033</v>
      </c>
      <c r="X230" s="123"/>
    </row>
    <row r="231">
      <c r="A231" s="123" t="s">
        <v>87</v>
      </c>
      <c r="B231" s="123" t="s">
        <v>4034</v>
      </c>
      <c r="C231" s="123"/>
      <c r="D231" s="123" t="s">
        <v>4035</v>
      </c>
      <c r="E231" s="123" t="s">
        <v>3164</v>
      </c>
      <c r="F231" s="123" t="s">
        <v>3165</v>
      </c>
      <c r="G231" s="123" t="s">
        <v>288</v>
      </c>
      <c r="H231" s="123" t="s">
        <v>3095</v>
      </c>
      <c r="I231" s="123" t="s">
        <v>175</v>
      </c>
      <c r="J231" s="123" t="s">
        <v>3366</v>
      </c>
      <c r="K231" s="124">
        <v>265.0</v>
      </c>
      <c r="L231" s="124">
        <v>15.6</v>
      </c>
      <c r="M231" s="123" t="s">
        <v>3658</v>
      </c>
      <c r="N231" s="124">
        <v>37.6773</v>
      </c>
      <c r="O231" s="124">
        <v>-121.5296</v>
      </c>
      <c r="P231" s="124">
        <v>323.0</v>
      </c>
      <c r="Q231" s="123" t="s">
        <v>4036</v>
      </c>
      <c r="R231" s="125" t="s">
        <v>4037</v>
      </c>
      <c r="S231" s="123"/>
      <c r="T231" s="125" t="s">
        <v>3170</v>
      </c>
      <c r="U231" s="124">
        <v>2010.0</v>
      </c>
      <c r="V231" s="124">
        <v>2015.0</v>
      </c>
      <c r="W231" s="123" t="s">
        <v>3427</v>
      </c>
      <c r="X231" s="123"/>
    </row>
    <row r="232">
      <c r="A232" s="123" t="s">
        <v>87</v>
      </c>
      <c r="B232" s="123" t="s">
        <v>4038</v>
      </c>
      <c r="C232" s="123"/>
      <c r="D232" s="123" t="s">
        <v>2737</v>
      </c>
      <c r="E232" s="123" t="s">
        <v>3164</v>
      </c>
      <c r="F232" s="123" t="s">
        <v>3165</v>
      </c>
      <c r="G232" s="123" t="s">
        <v>452</v>
      </c>
      <c r="H232" s="123" t="s">
        <v>3096</v>
      </c>
      <c r="I232" s="123" t="s">
        <v>201</v>
      </c>
      <c r="J232" s="123" t="s">
        <v>3174</v>
      </c>
      <c r="K232" s="124">
        <v>1126.63</v>
      </c>
      <c r="L232" s="124">
        <v>11.07</v>
      </c>
      <c r="M232" s="123" t="s">
        <v>3658</v>
      </c>
      <c r="N232" s="124">
        <v>39.9712</v>
      </c>
      <c r="O232" s="124">
        <v>-74.4346</v>
      </c>
      <c r="P232" s="124">
        <v>48.0</v>
      </c>
      <c r="Q232" s="123" t="s">
        <v>4039</v>
      </c>
      <c r="R232" s="125" t="s">
        <v>4040</v>
      </c>
      <c r="S232" s="123"/>
      <c r="T232" s="125" t="s">
        <v>3170</v>
      </c>
      <c r="U232" s="124">
        <v>2005.0</v>
      </c>
      <c r="V232" s="124">
        <v>2008.0</v>
      </c>
      <c r="W232" s="123" t="s">
        <v>3427</v>
      </c>
      <c r="X232" s="123"/>
    </row>
    <row r="233">
      <c r="A233" s="123" t="s">
        <v>87</v>
      </c>
      <c r="B233" s="123" t="s">
        <v>4041</v>
      </c>
      <c r="C233" s="123"/>
      <c r="D233" s="123" t="s">
        <v>4042</v>
      </c>
      <c r="E233" s="123" t="s">
        <v>3164</v>
      </c>
      <c r="F233" s="123" t="s">
        <v>3165</v>
      </c>
      <c r="G233" s="123" t="s">
        <v>288</v>
      </c>
      <c r="H233" s="123" t="s">
        <v>3095</v>
      </c>
      <c r="I233" s="123" t="s">
        <v>201</v>
      </c>
      <c r="J233" s="123" t="s">
        <v>3174</v>
      </c>
      <c r="K233" s="124">
        <v>1169.75</v>
      </c>
      <c r="L233" s="124">
        <v>14.36</v>
      </c>
      <c r="M233" s="123" t="s">
        <v>3658</v>
      </c>
      <c r="N233" s="124">
        <v>35.9712</v>
      </c>
      <c r="O233" s="124">
        <v>-79.0934</v>
      </c>
      <c r="P233" s="124">
        <v>168.0</v>
      </c>
      <c r="Q233" s="123" t="s">
        <v>4043</v>
      </c>
      <c r="R233" s="125" t="s">
        <v>4044</v>
      </c>
      <c r="S233" s="123"/>
      <c r="T233" s="125" t="s">
        <v>3170</v>
      </c>
      <c r="U233" s="124">
        <v>2001.0</v>
      </c>
      <c r="V233" s="124">
        <v>2008.0</v>
      </c>
      <c r="W233" s="123" t="s">
        <v>4045</v>
      </c>
      <c r="X233" s="123"/>
    </row>
    <row r="234">
      <c r="A234" s="123" t="s">
        <v>87</v>
      </c>
      <c r="B234" s="123" t="s">
        <v>4046</v>
      </c>
      <c r="C234" s="123"/>
      <c r="D234" s="123" t="s">
        <v>4047</v>
      </c>
      <c r="E234" s="123" t="s">
        <v>3164</v>
      </c>
      <c r="F234" s="123" t="s">
        <v>3165</v>
      </c>
      <c r="G234" s="123" t="s">
        <v>370</v>
      </c>
      <c r="H234" s="123" t="s">
        <v>3091</v>
      </c>
      <c r="I234" s="123" t="s">
        <v>201</v>
      </c>
      <c r="J234" s="123" t="s">
        <v>3174</v>
      </c>
      <c r="K234" s="124">
        <v>1168.69</v>
      </c>
      <c r="L234" s="124">
        <v>14.36</v>
      </c>
      <c r="M234" s="123" t="s">
        <v>3658</v>
      </c>
      <c r="N234" s="124">
        <v>35.9736</v>
      </c>
      <c r="O234" s="124">
        <v>-79.1004</v>
      </c>
      <c r="P234" s="124">
        <v>168.0</v>
      </c>
      <c r="Q234" s="123" t="s">
        <v>4043</v>
      </c>
      <c r="R234" s="125" t="s">
        <v>4048</v>
      </c>
      <c r="S234" s="123"/>
      <c r="T234" s="125" t="s">
        <v>3170</v>
      </c>
      <c r="U234" s="124">
        <v>2001.0</v>
      </c>
      <c r="V234" s="124">
        <v>2008.0</v>
      </c>
      <c r="W234" s="123" t="s">
        <v>4045</v>
      </c>
      <c r="X234" s="123"/>
    </row>
    <row r="235">
      <c r="A235" s="123" t="s">
        <v>87</v>
      </c>
      <c r="B235" s="123" t="s">
        <v>773</v>
      </c>
      <c r="C235" s="123"/>
      <c r="D235" s="123" t="s">
        <v>4049</v>
      </c>
      <c r="E235" s="123" t="s">
        <v>3164</v>
      </c>
      <c r="F235" s="123" t="s">
        <v>3165</v>
      </c>
      <c r="G235" s="123" t="s">
        <v>197</v>
      </c>
      <c r="H235" s="123" t="s">
        <v>3094</v>
      </c>
      <c r="I235" s="123" t="s">
        <v>201</v>
      </c>
      <c r="J235" s="123" t="s">
        <v>3174</v>
      </c>
      <c r="K235" s="124">
        <v>1169.69</v>
      </c>
      <c r="L235" s="124">
        <v>14.36</v>
      </c>
      <c r="M235" s="123" t="s">
        <v>3658</v>
      </c>
      <c r="N235" s="124">
        <v>35.9782</v>
      </c>
      <c r="O235" s="124">
        <v>-79.0942</v>
      </c>
      <c r="P235" s="124">
        <v>163.0</v>
      </c>
      <c r="Q235" s="123" t="s">
        <v>4043</v>
      </c>
      <c r="R235" s="125" t="s">
        <v>4050</v>
      </c>
      <c r="S235" s="123"/>
      <c r="T235" s="125" t="s">
        <v>3170</v>
      </c>
      <c r="U235" s="124">
        <v>2001.0</v>
      </c>
      <c r="V235" s="124">
        <v>2008.0</v>
      </c>
      <c r="W235" s="123" t="s">
        <v>4045</v>
      </c>
      <c r="X235" s="123"/>
    </row>
    <row r="236">
      <c r="A236" s="123" t="s">
        <v>87</v>
      </c>
      <c r="B236" s="123" t="s">
        <v>4051</v>
      </c>
      <c r="C236" s="123"/>
      <c r="D236" s="123" t="s">
        <v>4052</v>
      </c>
      <c r="E236" s="123" t="s">
        <v>3164</v>
      </c>
      <c r="F236" s="123" t="s">
        <v>3165</v>
      </c>
      <c r="G236" s="123" t="s">
        <v>214</v>
      </c>
      <c r="H236" s="123" t="s">
        <v>3184</v>
      </c>
      <c r="I236" s="123" t="s">
        <v>175</v>
      </c>
      <c r="J236" s="123" t="s">
        <v>3366</v>
      </c>
      <c r="K236" s="124">
        <v>365.0</v>
      </c>
      <c r="L236" s="124">
        <v>16.1</v>
      </c>
      <c r="M236" s="123" t="s">
        <v>3658</v>
      </c>
      <c r="N236" s="124">
        <v>38.0015</v>
      </c>
      <c r="O236" s="124">
        <v>-121.6691</v>
      </c>
      <c r="P236" s="124">
        <v>1.0</v>
      </c>
      <c r="Q236" s="123" t="s">
        <v>3331</v>
      </c>
      <c r="R236" s="125" t="s">
        <v>4053</v>
      </c>
      <c r="S236" s="123"/>
      <c r="T236" s="125" t="s">
        <v>3170</v>
      </c>
      <c r="U236" s="124">
        <v>2021.0</v>
      </c>
      <c r="V236" s="123"/>
      <c r="W236" s="123" t="s">
        <v>4054</v>
      </c>
      <c r="X236" s="123"/>
    </row>
    <row r="237">
      <c r="A237" s="123" t="s">
        <v>87</v>
      </c>
      <c r="B237" s="123" t="s">
        <v>4055</v>
      </c>
      <c r="C237" s="123"/>
      <c r="D237" s="123" t="s">
        <v>4056</v>
      </c>
      <c r="E237" s="123" t="s">
        <v>3165</v>
      </c>
      <c r="F237" s="123" t="s">
        <v>3165</v>
      </c>
      <c r="G237" s="123" t="s">
        <v>197</v>
      </c>
      <c r="H237" s="123" t="s">
        <v>3094</v>
      </c>
      <c r="I237" s="123" t="s">
        <v>592</v>
      </c>
      <c r="J237" s="123" t="s">
        <v>3216</v>
      </c>
      <c r="K237" s="124">
        <v>1142.0</v>
      </c>
      <c r="L237" s="124">
        <v>22.6</v>
      </c>
      <c r="M237" s="123" t="s">
        <v>3658</v>
      </c>
      <c r="N237" s="124">
        <v>28.1046</v>
      </c>
      <c r="O237" s="124">
        <v>-81.419</v>
      </c>
      <c r="P237" s="124">
        <v>23.0</v>
      </c>
      <c r="Q237" s="123"/>
      <c r="R237" s="125" t="s">
        <v>3170</v>
      </c>
      <c r="S237" s="123"/>
      <c r="T237" s="125" t="s">
        <v>3170</v>
      </c>
      <c r="U237" s="124">
        <v>2010.0</v>
      </c>
      <c r="V237" s="124">
        <v>2016.0</v>
      </c>
      <c r="W237" s="123"/>
      <c r="X237" s="123"/>
    </row>
    <row r="238">
      <c r="A238" s="123" t="s">
        <v>87</v>
      </c>
      <c r="B238" s="123" t="s">
        <v>4057</v>
      </c>
      <c r="C238" s="123"/>
      <c r="D238" s="123" t="s">
        <v>4058</v>
      </c>
      <c r="E238" s="123" t="s">
        <v>3164</v>
      </c>
      <c r="F238" s="123" t="s">
        <v>3165</v>
      </c>
      <c r="G238" s="123" t="s">
        <v>214</v>
      </c>
      <c r="H238" s="123" t="s">
        <v>3184</v>
      </c>
      <c r="I238" s="123" t="s">
        <v>592</v>
      </c>
      <c r="J238" s="123" t="s">
        <v>3216</v>
      </c>
      <c r="K238" s="124">
        <v>1142.0</v>
      </c>
      <c r="L238" s="124">
        <v>22.6</v>
      </c>
      <c r="M238" s="123" t="s">
        <v>3658</v>
      </c>
      <c r="N238" s="124">
        <v>28.0521</v>
      </c>
      <c r="O238" s="124">
        <v>-81.4361</v>
      </c>
      <c r="P238" s="124">
        <v>23.0</v>
      </c>
      <c r="Q238" s="123" t="s">
        <v>3230</v>
      </c>
      <c r="R238" s="125" t="s">
        <v>4059</v>
      </c>
      <c r="S238" s="123"/>
      <c r="T238" s="125" t="s">
        <v>3170</v>
      </c>
      <c r="U238" s="124">
        <v>2013.0</v>
      </c>
      <c r="V238" s="124">
        <v>2017.0</v>
      </c>
      <c r="W238" s="123" t="s">
        <v>4060</v>
      </c>
      <c r="X238" s="123"/>
    </row>
    <row r="239">
      <c r="A239" s="123" t="s">
        <v>87</v>
      </c>
      <c r="B239" s="123" t="s">
        <v>4061</v>
      </c>
      <c r="C239" s="123"/>
      <c r="D239" s="123" t="s">
        <v>4062</v>
      </c>
      <c r="E239" s="123" t="s">
        <v>3165</v>
      </c>
      <c r="F239" s="123" t="s">
        <v>3165</v>
      </c>
      <c r="G239" s="123" t="s">
        <v>86</v>
      </c>
      <c r="H239" s="123" t="s">
        <v>3088</v>
      </c>
      <c r="I239" s="123" t="s">
        <v>175</v>
      </c>
      <c r="J239" s="123" t="s">
        <v>3366</v>
      </c>
      <c r="K239" s="124">
        <v>432.0</v>
      </c>
      <c r="L239" s="124">
        <v>16.0</v>
      </c>
      <c r="M239" s="123" t="s">
        <v>3658</v>
      </c>
      <c r="N239" s="124">
        <v>38.1335</v>
      </c>
      <c r="O239" s="124">
        <v>-121.539</v>
      </c>
      <c r="P239" s="124">
        <v>-6.0</v>
      </c>
      <c r="Q239" s="123"/>
      <c r="R239" s="125" t="s">
        <v>3170</v>
      </c>
      <c r="S239" s="123"/>
      <c r="T239" s="125" t="s">
        <v>3170</v>
      </c>
      <c r="U239" s="124">
        <v>2018.0</v>
      </c>
      <c r="V239" s="124">
        <v>2020.0</v>
      </c>
      <c r="W239" s="123"/>
      <c r="X239" s="123"/>
    </row>
    <row r="240">
      <c r="A240" s="123" t="s">
        <v>87</v>
      </c>
      <c r="B240" s="123" t="s">
        <v>4063</v>
      </c>
      <c r="C240" s="123"/>
      <c r="D240" s="123" t="s">
        <v>4064</v>
      </c>
      <c r="E240" s="123" t="s">
        <v>3165</v>
      </c>
      <c r="F240" s="123" t="s">
        <v>3165</v>
      </c>
      <c r="G240" s="123" t="s">
        <v>86</v>
      </c>
      <c r="H240" s="123" t="s">
        <v>3088</v>
      </c>
      <c r="I240" s="123" t="s">
        <v>175</v>
      </c>
      <c r="J240" s="123" t="s">
        <v>3366</v>
      </c>
      <c r="K240" s="124">
        <v>432.0</v>
      </c>
      <c r="L240" s="124">
        <v>16.0</v>
      </c>
      <c r="M240" s="123" t="s">
        <v>3658</v>
      </c>
      <c r="N240" s="124">
        <v>38.1375</v>
      </c>
      <c r="O240" s="124">
        <v>-121.514</v>
      </c>
      <c r="P240" s="124">
        <v>-6.0</v>
      </c>
      <c r="Q240" s="123"/>
      <c r="R240" s="125" t="s">
        <v>3170</v>
      </c>
      <c r="S240" s="123"/>
      <c r="T240" s="125" t="s">
        <v>3170</v>
      </c>
      <c r="U240" s="124">
        <v>2020.0</v>
      </c>
      <c r="V240" s="124">
        <v>2024.0</v>
      </c>
      <c r="W240" s="123"/>
      <c r="X240" s="123"/>
    </row>
    <row r="241">
      <c r="A241" s="123" t="s">
        <v>87</v>
      </c>
      <c r="B241" s="123" t="s">
        <v>4065</v>
      </c>
      <c r="C241" s="123"/>
      <c r="D241" s="123" t="s">
        <v>4066</v>
      </c>
      <c r="E241" s="123" t="s">
        <v>3164</v>
      </c>
      <c r="F241" s="123" t="s">
        <v>3164</v>
      </c>
      <c r="G241" s="123" t="s">
        <v>86</v>
      </c>
      <c r="H241" s="123" t="s">
        <v>3088</v>
      </c>
      <c r="I241" s="123" t="s">
        <v>175</v>
      </c>
      <c r="J241" s="123" t="s">
        <v>3366</v>
      </c>
      <c r="K241" s="124">
        <v>432.0</v>
      </c>
      <c r="L241" s="124">
        <v>16.0</v>
      </c>
      <c r="M241" s="123" t="s">
        <v>3658</v>
      </c>
      <c r="N241" s="124">
        <v>38.1235</v>
      </c>
      <c r="O241" s="124">
        <v>-121.549</v>
      </c>
      <c r="P241" s="124">
        <v>-7.0</v>
      </c>
      <c r="Q241" s="123" t="s">
        <v>3331</v>
      </c>
      <c r="R241" s="125" t="s">
        <v>4067</v>
      </c>
      <c r="S241" s="124">
        <v>2021.0</v>
      </c>
      <c r="T241" s="125" t="s">
        <v>4068</v>
      </c>
      <c r="U241" s="124">
        <v>2021.0</v>
      </c>
      <c r="V241" s="123"/>
      <c r="W241" s="123" t="s">
        <v>4069</v>
      </c>
      <c r="X241" s="123"/>
    </row>
    <row r="242">
      <c r="A242" s="123" t="s">
        <v>87</v>
      </c>
      <c r="B242" s="123" t="s">
        <v>4070</v>
      </c>
      <c r="C242" s="123"/>
      <c r="D242" s="123" t="s">
        <v>4071</v>
      </c>
      <c r="E242" s="123" t="s">
        <v>3164</v>
      </c>
      <c r="F242" s="123" t="s">
        <v>3165</v>
      </c>
      <c r="G242" s="123" t="s">
        <v>452</v>
      </c>
      <c r="H242" s="123" t="s">
        <v>3096</v>
      </c>
      <c r="I242" s="123" t="s">
        <v>201</v>
      </c>
      <c r="J242" s="123" t="s">
        <v>3174</v>
      </c>
      <c r="K242" s="124">
        <v>836.0</v>
      </c>
      <c r="L242" s="124">
        <v>20.3</v>
      </c>
      <c r="M242" s="123" t="s">
        <v>3658</v>
      </c>
      <c r="N242" s="124">
        <v>29.6633</v>
      </c>
      <c r="O242" s="124">
        <v>-98.3816</v>
      </c>
      <c r="P242" s="124">
        <v>297.0</v>
      </c>
      <c r="Q242" s="123" t="s">
        <v>4072</v>
      </c>
      <c r="R242" s="125" t="s">
        <v>4073</v>
      </c>
      <c r="S242" s="123"/>
      <c r="T242" s="125" t="s">
        <v>3170</v>
      </c>
      <c r="U242" s="124">
        <v>2021.0</v>
      </c>
      <c r="V242" s="123"/>
      <c r="W242" s="123" t="s">
        <v>4074</v>
      </c>
      <c r="X242" s="123"/>
    </row>
    <row r="243">
      <c r="A243" s="123" t="s">
        <v>87</v>
      </c>
      <c r="B243" s="123" t="s">
        <v>4075</v>
      </c>
      <c r="C243" s="123"/>
      <c r="D243" s="123" t="s">
        <v>4076</v>
      </c>
      <c r="E243" s="123" t="s">
        <v>3164</v>
      </c>
      <c r="F243" s="123" t="s">
        <v>3165</v>
      </c>
      <c r="G243" s="123" t="s">
        <v>291</v>
      </c>
      <c r="H243" s="123" t="s">
        <v>3089</v>
      </c>
      <c r="I243" s="123" t="s">
        <v>201</v>
      </c>
      <c r="J243" s="123" t="s">
        <v>3174</v>
      </c>
      <c r="K243" s="124">
        <v>632.0</v>
      </c>
      <c r="L243" s="124">
        <v>20.9</v>
      </c>
      <c r="M243" s="123" t="s">
        <v>3658</v>
      </c>
      <c r="N243" s="124">
        <v>29.3584</v>
      </c>
      <c r="O243" s="124">
        <v>-99.9576</v>
      </c>
      <c r="P243" s="124">
        <v>322.0</v>
      </c>
      <c r="Q243" s="123" t="s">
        <v>3331</v>
      </c>
      <c r="R243" s="125" t="s">
        <v>4077</v>
      </c>
      <c r="S243" s="123"/>
      <c r="T243" s="125" t="s">
        <v>3170</v>
      </c>
      <c r="U243" s="124">
        <v>2021.0</v>
      </c>
      <c r="V243" s="124">
        <v>2023.0</v>
      </c>
      <c r="W243" s="123" t="s">
        <v>4078</v>
      </c>
      <c r="X243" s="123"/>
    </row>
    <row r="244">
      <c r="A244" s="123" t="s">
        <v>87</v>
      </c>
      <c r="B244" s="123" t="s">
        <v>4079</v>
      </c>
      <c r="C244" s="123"/>
      <c r="D244" s="123" t="s">
        <v>4080</v>
      </c>
      <c r="E244" s="123" t="s">
        <v>3164</v>
      </c>
      <c r="F244" s="123" t="s">
        <v>3165</v>
      </c>
      <c r="G244" s="123" t="s">
        <v>200</v>
      </c>
      <c r="H244" s="123" t="s">
        <v>3103</v>
      </c>
      <c r="I244" s="123" t="s">
        <v>201</v>
      </c>
      <c r="J244" s="123" t="s">
        <v>3174</v>
      </c>
      <c r="K244" s="124">
        <v>703.0</v>
      </c>
      <c r="L244" s="124">
        <v>19.4</v>
      </c>
      <c r="M244" s="123" t="s">
        <v>3658</v>
      </c>
      <c r="N244" s="124">
        <v>29.6561</v>
      </c>
      <c r="O244" s="124">
        <v>-99.9588</v>
      </c>
      <c r="P244" s="124">
        <v>480.0</v>
      </c>
      <c r="Q244" s="123" t="s">
        <v>4081</v>
      </c>
      <c r="R244" s="125" t="s">
        <v>4082</v>
      </c>
      <c r="S244" s="123"/>
      <c r="T244" s="125" t="s">
        <v>3170</v>
      </c>
      <c r="U244" s="124">
        <v>2023.0</v>
      </c>
      <c r="V244" s="123"/>
      <c r="W244" s="123" t="s">
        <v>4074</v>
      </c>
      <c r="X244" s="123"/>
    </row>
    <row r="245">
      <c r="A245" s="123" t="s">
        <v>87</v>
      </c>
      <c r="B245" s="123" t="s">
        <v>4083</v>
      </c>
      <c r="C245" s="123"/>
      <c r="D245" s="123" t="s">
        <v>4084</v>
      </c>
      <c r="E245" s="123" t="s">
        <v>3164</v>
      </c>
      <c r="F245" s="123" t="s">
        <v>3164</v>
      </c>
      <c r="G245" s="123" t="s">
        <v>214</v>
      </c>
      <c r="H245" s="123" t="s">
        <v>3184</v>
      </c>
      <c r="I245" s="123" t="s">
        <v>175</v>
      </c>
      <c r="J245" s="123" t="s">
        <v>3366</v>
      </c>
      <c r="K245" s="123"/>
      <c r="L245" s="123"/>
      <c r="M245" s="123" t="s">
        <v>3658</v>
      </c>
      <c r="N245" s="124">
        <v>37.6156</v>
      </c>
      <c r="O245" s="124">
        <v>-122.114</v>
      </c>
      <c r="P245" s="123"/>
      <c r="Q245" s="123" t="s">
        <v>3639</v>
      </c>
      <c r="R245" s="125" t="s">
        <v>4085</v>
      </c>
      <c r="S245" s="123" t="s">
        <v>3639</v>
      </c>
      <c r="T245" s="125" t="s">
        <v>4086</v>
      </c>
      <c r="U245" s="124">
        <v>2018.0</v>
      </c>
      <c r="V245" s="123"/>
      <c r="W245" s="123" t="s">
        <v>4087</v>
      </c>
      <c r="X245" s="123"/>
    </row>
    <row r="246">
      <c r="A246" s="123" t="s">
        <v>87</v>
      </c>
      <c r="B246" s="123" t="s">
        <v>4088</v>
      </c>
      <c r="C246" s="123"/>
      <c r="D246" s="123" t="s">
        <v>4089</v>
      </c>
      <c r="E246" s="123" t="s">
        <v>3165</v>
      </c>
      <c r="F246" s="123" t="s">
        <v>3165</v>
      </c>
      <c r="G246" s="123" t="s">
        <v>214</v>
      </c>
      <c r="H246" s="123" t="s">
        <v>3184</v>
      </c>
      <c r="I246" s="123" t="s">
        <v>445</v>
      </c>
      <c r="J246" s="123" t="s">
        <v>3317</v>
      </c>
      <c r="K246" s="124">
        <v>894.0</v>
      </c>
      <c r="L246" s="124">
        <v>10.0</v>
      </c>
      <c r="M246" s="123" t="s">
        <v>3658</v>
      </c>
      <c r="N246" s="124">
        <v>36.8094</v>
      </c>
      <c r="O246" s="124">
        <v>-121.7523</v>
      </c>
      <c r="P246" s="124">
        <v>0.5</v>
      </c>
      <c r="Q246" s="123"/>
      <c r="R246" s="125" t="s">
        <v>3170</v>
      </c>
      <c r="S246" s="123"/>
      <c r="T246" s="125" t="s">
        <v>3170</v>
      </c>
      <c r="U246" s="124">
        <v>2022.0</v>
      </c>
      <c r="V246" s="123"/>
      <c r="W246" s="123"/>
      <c r="X246" s="123"/>
    </row>
    <row r="247">
      <c r="A247" s="123" t="s">
        <v>87</v>
      </c>
      <c r="B247" s="123" t="s">
        <v>4090</v>
      </c>
      <c r="C247" s="123"/>
      <c r="D247" s="123" t="s">
        <v>4091</v>
      </c>
      <c r="E247" s="123" t="s">
        <v>3165</v>
      </c>
      <c r="F247" s="123" t="s">
        <v>3165</v>
      </c>
      <c r="G247" s="123" t="s">
        <v>214</v>
      </c>
      <c r="H247" s="123" t="s">
        <v>3184</v>
      </c>
      <c r="I247" s="123" t="s">
        <v>4092</v>
      </c>
      <c r="J247" s="123" t="s">
        <v>4093</v>
      </c>
      <c r="K247" s="124">
        <v>894.0</v>
      </c>
      <c r="L247" s="124">
        <v>10.0</v>
      </c>
      <c r="M247" s="123" t="s">
        <v>3658</v>
      </c>
      <c r="N247" s="124">
        <v>36.8357</v>
      </c>
      <c r="O247" s="124">
        <v>-121.7328</v>
      </c>
      <c r="P247" s="124">
        <v>0.0</v>
      </c>
      <c r="Q247" s="123"/>
      <c r="R247" s="125" t="s">
        <v>3170</v>
      </c>
      <c r="S247" s="123"/>
      <c r="T247" s="125" t="s">
        <v>3170</v>
      </c>
      <c r="U247" s="124">
        <v>2023.0</v>
      </c>
      <c r="V247" s="123"/>
      <c r="W247" s="123"/>
      <c r="X247" s="123"/>
    </row>
    <row r="248">
      <c r="A248" s="123" t="s">
        <v>87</v>
      </c>
      <c r="B248" s="123" t="s">
        <v>4094</v>
      </c>
      <c r="C248" s="123"/>
      <c r="D248" s="123" t="s">
        <v>4095</v>
      </c>
      <c r="E248" s="123" t="s">
        <v>3165</v>
      </c>
      <c r="F248" s="123" t="s">
        <v>3165</v>
      </c>
      <c r="G248" s="123" t="s">
        <v>214</v>
      </c>
      <c r="H248" s="123" t="s">
        <v>3184</v>
      </c>
      <c r="I248" s="123" t="s">
        <v>445</v>
      </c>
      <c r="J248" s="123" t="s">
        <v>3317</v>
      </c>
      <c r="K248" s="124">
        <v>894.0</v>
      </c>
      <c r="L248" s="124">
        <v>10.0</v>
      </c>
      <c r="M248" s="123" t="s">
        <v>3658</v>
      </c>
      <c r="N248" s="124">
        <v>36.8558</v>
      </c>
      <c r="O248" s="124">
        <v>-121.7488</v>
      </c>
      <c r="P248" s="124">
        <v>0.0</v>
      </c>
      <c r="Q248" s="123"/>
      <c r="R248" s="125" t="s">
        <v>3170</v>
      </c>
      <c r="S248" s="123"/>
      <c r="T248" s="125" t="s">
        <v>3170</v>
      </c>
      <c r="U248" s="124">
        <v>2022.0</v>
      </c>
      <c r="V248" s="123"/>
      <c r="W248" s="123"/>
      <c r="X248" s="123"/>
    </row>
    <row r="249">
      <c r="A249" s="123" t="s">
        <v>87</v>
      </c>
      <c r="B249" s="123" t="s">
        <v>4096</v>
      </c>
      <c r="C249" s="123"/>
      <c r="D249" s="123" t="s">
        <v>4097</v>
      </c>
      <c r="E249" s="123" t="s">
        <v>3165</v>
      </c>
      <c r="F249" s="123" t="s">
        <v>3165</v>
      </c>
      <c r="G249" s="123" t="s">
        <v>214</v>
      </c>
      <c r="H249" s="123" t="s">
        <v>3184</v>
      </c>
      <c r="I249" s="123" t="s">
        <v>445</v>
      </c>
      <c r="J249" s="123" t="s">
        <v>3317</v>
      </c>
      <c r="K249" s="124">
        <v>894.0</v>
      </c>
      <c r="L249" s="124">
        <v>10.0</v>
      </c>
      <c r="M249" s="123" t="s">
        <v>3658</v>
      </c>
      <c r="N249" s="124">
        <v>36.8105</v>
      </c>
      <c r="O249" s="124">
        <v>-121.7487</v>
      </c>
      <c r="P249" s="124">
        <v>0.0</v>
      </c>
      <c r="Q249" s="123"/>
      <c r="R249" s="125" t="s">
        <v>3170</v>
      </c>
      <c r="S249" s="123"/>
      <c r="T249" s="125" t="s">
        <v>3170</v>
      </c>
      <c r="U249" s="124">
        <v>2022.0</v>
      </c>
      <c r="V249" s="123"/>
      <c r="W249" s="123"/>
      <c r="X249" s="123"/>
    </row>
    <row r="250">
      <c r="A250" s="123" t="s">
        <v>87</v>
      </c>
      <c r="B250" s="123" t="s">
        <v>4098</v>
      </c>
      <c r="C250" s="123"/>
      <c r="D250" s="123" t="s">
        <v>4099</v>
      </c>
      <c r="E250" s="123" t="s">
        <v>3164</v>
      </c>
      <c r="F250" s="123" t="s">
        <v>3165</v>
      </c>
      <c r="G250" s="123" t="s">
        <v>214</v>
      </c>
      <c r="H250" s="123" t="s">
        <v>3184</v>
      </c>
      <c r="I250" s="123"/>
      <c r="J250" s="123"/>
      <c r="K250" s="123"/>
      <c r="L250" s="123"/>
      <c r="M250" s="123" t="s">
        <v>3658</v>
      </c>
      <c r="N250" s="124">
        <v>25.5519</v>
      </c>
      <c r="O250" s="124">
        <v>-80.7826</v>
      </c>
      <c r="P250" s="124">
        <v>0.77</v>
      </c>
      <c r="Q250" s="123" t="s">
        <v>4100</v>
      </c>
      <c r="R250" s="125" t="s">
        <v>4101</v>
      </c>
      <c r="S250" s="123"/>
      <c r="T250" s="125" t="s">
        <v>3170</v>
      </c>
      <c r="U250" s="124">
        <v>2007.0</v>
      </c>
      <c r="V250" s="123"/>
      <c r="W250" s="123" t="s">
        <v>3427</v>
      </c>
      <c r="X250" s="123"/>
    </row>
    <row r="251">
      <c r="A251" s="123" t="s">
        <v>87</v>
      </c>
      <c r="B251" s="123" t="s">
        <v>4102</v>
      </c>
      <c r="C251" s="123"/>
      <c r="D251" s="123" t="s">
        <v>4103</v>
      </c>
      <c r="E251" s="123" t="s">
        <v>3164</v>
      </c>
      <c r="F251" s="123" t="s">
        <v>3164</v>
      </c>
      <c r="G251" s="123" t="s">
        <v>292</v>
      </c>
      <c r="H251" s="123" t="s">
        <v>3097</v>
      </c>
      <c r="I251" s="123" t="s">
        <v>605</v>
      </c>
      <c r="J251" s="123" t="s">
        <v>1686</v>
      </c>
      <c r="K251" s="124">
        <v>378.0</v>
      </c>
      <c r="L251" s="124">
        <v>-1.0</v>
      </c>
      <c r="M251" s="123" t="s">
        <v>3658</v>
      </c>
      <c r="N251" s="124">
        <v>63.8784</v>
      </c>
      <c r="O251" s="124">
        <v>-149.2536</v>
      </c>
      <c r="P251" s="124">
        <v>662.0</v>
      </c>
      <c r="Q251" s="123" t="s">
        <v>4104</v>
      </c>
      <c r="R251" s="125" t="s">
        <v>4105</v>
      </c>
      <c r="S251" s="123" t="s">
        <v>4104</v>
      </c>
      <c r="T251" s="125" t="s">
        <v>4106</v>
      </c>
      <c r="U251" s="124">
        <v>2008.0</v>
      </c>
      <c r="V251" s="123"/>
      <c r="W251" s="123" t="s">
        <v>4107</v>
      </c>
      <c r="X251" s="123"/>
    </row>
    <row r="252">
      <c r="A252" s="123" t="s">
        <v>87</v>
      </c>
      <c r="B252" s="123" t="s">
        <v>4108</v>
      </c>
      <c r="C252" s="123"/>
      <c r="D252" s="123" t="s">
        <v>4109</v>
      </c>
      <c r="E252" s="123" t="s">
        <v>3165</v>
      </c>
      <c r="F252" s="123" t="s">
        <v>3165</v>
      </c>
      <c r="G252" s="123" t="s">
        <v>313</v>
      </c>
      <c r="H252" s="123" t="s">
        <v>3098</v>
      </c>
      <c r="I252" s="123" t="s">
        <v>201</v>
      </c>
      <c r="J252" s="123" t="s">
        <v>3174</v>
      </c>
      <c r="K252" s="124">
        <v>600.0</v>
      </c>
      <c r="L252" s="124">
        <v>19.0</v>
      </c>
      <c r="M252" s="123" t="s">
        <v>3658</v>
      </c>
      <c r="N252" s="124">
        <v>30.8167</v>
      </c>
      <c r="O252" s="124">
        <v>-99.8619</v>
      </c>
      <c r="P252" s="123"/>
      <c r="Q252" s="123"/>
      <c r="R252" s="125" t="s">
        <v>3170</v>
      </c>
      <c r="S252" s="123"/>
      <c r="T252" s="125" t="s">
        <v>3170</v>
      </c>
      <c r="U252" s="124">
        <v>2020.0</v>
      </c>
      <c r="V252" s="123"/>
      <c r="W252" s="123"/>
      <c r="X252" s="123"/>
    </row>
    <row r="253">
      <c r="A253" s="123" t="s">
        <v>87</v>
      </c>
      <c r="B253" s="123" t="s">
        <v>4110</v>
      </c>
      <c r="C253" s="123"/>
      <c r="D253" s="123" t="s">
        <v>4111</v>
      </c>
      <c r="E253" s="123" t="s">
        <v>3164</v>
      </c>
      <c r="F253" s="123" t="s">
        <v>3165</v>
      </c>
      <c r="G253" s="123" t="s">
        <v>214</v>
      </c>
      <c r="H253" s="123" t="s">
        <v>3184</v>
      </c>
      <c r="I253" s="123"/>
      <c r="J253" s="123"/>
      <c r="K253" s="123"/>
      <c r="L253" s="123"/>
      <c r="M253" s="123" t="s">
        <v>3658</v>
      </c>
      <c r="N253" s="124">
        <v>25.4379</v>
      </c>
      <c r="O253" s="124">
        <v>-80.5946</v>
      </c>
      <c r="P253" s="124">
        <v>1.07</v>
      </c>
      <c r="Q253" s="123" t="s">
        <v>4112</v>
      </c>
      <c r="R253" s="125" t="s">
        <v>4113</v>
      </c>
      <c r="S253" s="123"/>
      <c r="T253" s="125" t="s">
        <v>3170</v>
      </c>
      <c r="U253" s="124">
        <v>2007.0</v>
      </c>
      <c r="V253" s="123"/>
      <c r="W253" s="123" t="s">
        <v>3427</v>
      </c>
      <c r="X253" s="123"/>
    </row>
    <row r="254">
      <c r="A254" s="123" t="s">
        <v>87</v>
      </c>
      <c r="B254" s="123" t="s">
        <v>4114</v>
      </c>
      <c r="C254" s="123"/>
      <c r="D254" s="123" t="s">
        <v>4115</v>
      </c>
      <c r="E254" s="123" t="s">
        <v>3164</v>
      </c>
      <c r="F254" s="123" t="s">
        <v>3165</v>
      </c>
      <c r="G254" s="123" t="s">
        <v>214</v>
      </c>
      <c r="H254" s="123" t="s">
        <v>3184</v>
      </c>
      <c r="I254" s="123"/>
      <c r="J254" s="123"/>
      <c r="K254" s="124">
        <v>1200.0</v>
      </c>
      <c r="L254" s="124">
        <v>24.2</v>
      </c>
      <c r="M254" s="123" t="s">
        <v>3658</v>
      </c>
      <c r="N254" s="124">
        <v>25.3539</v>
      </c>
      <c r="O254" s="124">
        <v>-80.381</v>
      </c>
      <c r="P254" s="124">
        <v>0.332</v>
      </c>
      <c r="Q254" s="123" t="s">
        <v>4116</v>
      </c>
      <c r="R254" s="125" t="s">
        <v>4117</v>
      </c>
      <c r="S254" s="123"/>
      <c r="T254" s="125" t="s">
        <v>3170</v>
      </c>
      <c r="U254" s="124">
        <v>2020.0</v>
      </c>
      <c r="V254" s="123"/>
      <c r="W254" s="123" t="s">
        <v>4118</v>
      </c>
      <c r="X254" s="123"/>
    </row>
    <row r="255">
      <c r="A255" s="123" t="s">
        <v>87</v>
      </c>
      <c r="B255" s="123" t="s">
        <v>4119</v>
      </c>
      <c r="C255" s="123"/>
      <c r="D255" s="123" t="s">
        <v>4120</v>
      </c>
      <c r="E255" s="123" t="s">
        <v>3165</v>
      </c>
      <c r="F255" s="123" t="s">
        <v>3165</v>
      </c>
      <c r="G255" s="123" t="s">
        <v>1085</v>
      </c>
      <c r="H255" s="123" t="s">
        <v>3588</v>
      </c>
      <c r="I255" s="123" t="s">
        <v>201</v>
      </c>
      <c r="J255" s="123" t="s">
        <v>3174</v>
      </c>
      <c r="K255" s="124">
        <v>1525.0</v>
      </c>
      <c r="L255" s="124">
        <v>25.5</v>
      </c>
      <c r="M255" s="123" t="s">
        <v>3658</v>
      </c>
      <c r="N255" s="124">
        <v>25.0266</v>
      </c>
      <c r="O255" s="124">
        <v>-80.6814</v>
      </c>
      <c r="P255" s="124">
        <v>0.0</v>
      </c>
      <c r="Q255" s="123"/>
      <c r="R255" s="125" t="s">
        <v>3170</v>
      </c>
      <c r="S255" s="123"/>
      <c r="T255" s="125" t="s">
        <v>3170</v>
      </c>
      <c r="U255" s="124">
        <v>2018.0</v>
      </c>
      <c r="V255" s="123"/>
      <c r="W255" s="123"/>
      <c r="X255" s="123"/>
    </row>
    <row r="256">
      <c r="A256" s="123" t="s">
        <v>87</v>
      </c>
      <c r="B256" s="123" t="s">
        <v>4121</v>
      </c>
      <c r="C256" s="123"/>
      <c r="D256" s="123" t="s">
        <v>4122</v>
      </c>
      <c r="E256" s="123" t="s">
        <v>3164</v>
      </c>
      <c r="F256" s="123" t="s">
        <v>3164</v>
      </c>
      <c r="G256" s="123" t="s">
        <v>292</v>
      </c>
      <c r="H256" s="123" t="s">
        <v>3097</v>
      </c>
      <c r="I256" s="123" t="s">
        <v>597</v>
      </c>
      <c r="J256" s="123" t="s">
        <v>4123</v>
      </c>
      <c r="K256" s="123"/>
      <c r="L256" s="124">
        <v>-2.4</v>
      </c>
      <c r="M256" s="123" t="s">
        <v>3658</v>
      </c>
      <c r="N256" s="124">
        <v>65.3968</v>
      </c>
      <c r="O256" s="124">
        <v>-148.9348</v>
      </c>
      <c r="P256" s="124">
        <v>265.0</v>
      </c>
      <c r="Q256" s="123" t="s">
        <v>4124</v>
      </c>
      <c r="R256" s="125" t="s">
        <v>4125</v>
      </c>
      <c r="S256" s="123" t="s">
        <v>4124</v>
      </c>
      <c r="T256" s="125" t="s">
        <v>4126</v>
      </c>
      <c r="U256" s="124">
        <v>2011.0</v>
      </c>
      <c r="V256" s="124">
        <v>2014.0</v>
      </c>
      <c r="W256" s="123" t="s">
        <v>4127</v>
      </c>
      <c r="X256" s="123"/>
    </row>
    <row r="257">
      <c r="A257" s="123" t="s">
        <v>87</v>
      </c>
      <c r="B257" s="123" t="s">
        <v>4128</v>
      </c>
      <c r="C257" s="123"/>
      <c r="D257" s="123" t="s">
        <v>4129</v>
      </c>
      <c r="E257" s="123" t="s">
        <v>3164</v>
      </c>
      <c r="F257" s="123" t="s">
        <v>3164</v>
      </c>
      <c r="G257" s="123" t="s">
        <v>197</v>
      </c>
      <c r="H257" s="123" t="s">
        <v>3094</v>
      </c>
      <c r="I257" s="123" t="s">
        <v>445</v>
      </c>
      <c r="J257" s="123" t="s">
        <v>3317</v>
      </c>
      <c r="K257" s="124">
        <v>546.0</v>
      </c>
      <c r="L257" s="124">
        <v>9.5</v>
      </c>
      <c r="M257" s="123" t="s">
        <v>3658</v>
      </c>
      <c r="N257" s="124">
        <v>35.1426</v>
      </c>
      <c r="O257" s="124">
        <v>-111.7273</v>
      </c>
      <c r="P257" s="124">
        <v>2160.0</v>
      </c>
      <c r="Q257" s="123" t="s">
        <v>3927</v>
      </c>
      <c r="R257" s="125" t="s">
        <v>4130</v>
      </c>
      <c r="S257" s="123" t="s">
        <v>3927</v>
      </c>
      <c r="T257" s="125" t="s">
        <v>4131</v>
      </c>
      <c r="U257" s="124">
        <v>2006.0</v>
      </c>
      <c r="V257" s="124">
        <v>2010.0</v>
      </c>
      <c r="W257" s="123" t="s">
        <v>4132</v>
      </c>
      <c r="X257" s="123"/>
    </row>
    <row r="258">
      <c r="A258" s="123" t="s">
        <v>87</v>
      </c>
      <c r="B258" s="123" t="s">
        <v>4133</v>
      </c>
      <c r="C258" s="123"/>
      <c r="D258" s="123" t="s">
        <v>4134</v>
      </c>
      <c r="E258" s="123" t="s">
        <v>3165</v>
      </c>
      <c r="F258" s="123" t="s">
        <v>3165</v>
      </c>
      <c r="G258" s="123" t="s">
        <v>214</v>
      </c>
      <c r="H258" s="123" t="s">
        <v>3184</v>
      </c>
      <c r="I258" s="123" t="s">
        <v>753</v>
      </c>
      <c r="J258" s="123" t="s">
        <v>3814</v>
      </c>
      <c r="K258" s="123"/>
      <c r="L258" s="123"/>
      <c r="M258" s="123" t="s">
        <v>3658</v>
      </c>
      <c r="N258" s="124">
        <v>70.085</v>
      </c>
      <c r="O258" s="124">
        <v>-148.5671</v>
      </c>
      <c r="P258" s="124">
        <v>28.0</v>
      </c>
      <c r="Q258" s="123"/>
      <c r="R258" s="125" t="s">
        <v>3170</v>
      </c>
      <c r="S258" s="123"/>
      <c r="T258" s="125" t="s">
        <v>3170</v>
      </c>
      <c r="U258" s="123"/>
      <c r="V258" s="123"/>
      <c r="W258" s="123"/>
      <c r="X258" s="123"/>
    </row>
    <row r="259">
      <c r="A259" s="123" t="s">
        <v>87</v>
      </c>
      <c r="B259" s="123" t="s">
        <v>4135</v>
      </c>
      <c r="C259" s="123"/>
      <c r="D259" s="123" t="s">
        <v>4136</v>
      </c>
      <c r="E259" s="123" t="s">
        <v>3165</v>
      </c>
      <c r="F259" s="123" t="s">
        <v>3165</v>
      </c>
      <c r="G259" s="123" t="s">
        <v>214</v>
      </c>
      <c r="H259" s="123" t="s">
        <v>3184</v>
      </c>
      <c r="I259" s="123" t="s">
        <v>753</v>
      </c>
      <c r="J259" s="123" t="s">
        <v>3814</v>
      </c>
      <c r="K259" s="123"/>
      <c r="L259" s="123"/>
      <c r="M259" s="123" t="s">
        <v>3658</v>
      </c>
      <c r="N259" s="124">
        <v>70.0229</v>
      </c>
      <c r="O259" s="124">
        <v>-148.6598</v>
      </c>
      <c r="P259" s="124">
        <v>41.0</v>
      </c>
      <c r="Q259" s="123"/>
      <c r="R259" s="125" t="s">
        <v>3170</v>
      </c>
      <c r="S259" s="123"/>
      <c r="T259" s="125" t="s">
        <v>3170</v>
      </c>
      <c r="U259" s="123"/>
      <c r="V259" s="123"/>
      <c r="W259" s="123"/>
      <c r="X259" s="123"/>
    </row>
    <row r="260">
      <c r="A260" s="123" t="s">
        <v>87</v>
      </c>
      <c r="B260" s="123" t="s">
        <v>4137</v>
      </c>
      <c r="C260" s="123"/>
      <c r="D260" s="123" t="s">
        <v>4138</v>
      </c>
      <c r="E260" s="123" t="s">
        <v>3164</v>
      </c>
      <c r="F260" s="123" t="s">
        <v>3165</v>
      </c>
      <c r="G260" s="123" t="s">
        <v>288</v>
      </c>
      <c r="H260" s="123" t="s">
        <v>3095</v>
      </c>
      <c r="I260" s="123" t="s">
        <v>303</v>
      </c>
      <c r="J260" s="123" t="s">
        <v>3585</v>
      </c>
      <c r="K260" s="124">
        <v>334.8</v>
      </c>
      <c r="L260" s="124">
        <v>5.48</v>
      </c>
      <c r="M260" s="123" t="s">
        <v>3658</v>
      </c>
      <c r="N260" s="124">
        <v>48.3077</v>
      </c>
      <c r="O260" s="124">
        <v>-105.1019</v>
      </c>
      <c r="P260" s="124">
        <v>634.0</v>
      </c>
      <c r="Q260" s="123" t="s">
        <v>4139</v>
      </c>
      <c r="R260" s="125" t="s">
        <v>4140</v>
      </c>
      <c r="S260" s="123"/>
      <c r="T260" s="125" t="s">
        <v>3170</v>
      </c>
      <c r="U260" s="124">
        <v>2000.0</v>
      </c>
      <c r="V260" s="123"/>
      <c r="W260" s="123" t="s">
        <v>3427</v>
      </c>
      <c r="X260" s="123"/>
    </row>
    <row r="261">
      <c r="A261" s="123" t="s">
        <v>87</v>
      </c>
      <c r="B261" s="123" t="s">
        <v>4141</v>
      </c>
      <c r="C261" s="123"/>
      <c r="D261" s="123" t="s">
        <v>4142</v>
      </c>
      <c r="E261" s="123" t="s">
        <v>3165</v>
      </c>
      <c r="F261" s="123" t="s">
        <v>3165</v>
      </c>
      <c r="G261" s="123" t="s">
        <v>288</v>
      </c>
      <c r="H261" s="123" t="s">
        <v>3095</v>
      </c>
      <c r="I261" s="123" t="s">
        <v>201</v>
      </c>
      <c r="J261" s="123" t="s">
        <v>3174</v>
      </c>
      <c r="K261" s="124">
        <v>866.65</v>
      </c>
      <c r="L261" s="124">
        <v>19.56</v>
      </c>
      <c r="M261" s="123" t="s">
        <v>3658</v>
      </c>
      <c r="N261" s="124">
        <v>29.93</v>
      </c>
      <c r="O261" s="124">
        <v>-98.01</v>
      </c>
      <c r="P261" s="124">
        <v>230.0</v>
      </c>
      <c r="Q261" s="123"/>
      <c r="R261" s="125" t="s">
        <v>3170</v>
      </c>
      <c r="S261" s="123"/>
      <c r="T261" s="125" t="s">
        <v>3170</v>
      </c>
      <c r="U261" s="124">
        <v>2004.0</v>
      </c>
      <c r="V261" s="123"/>
      <c r="W261" s="123"/>
      <c r="X261" s="123"/>
    </row>
    <row r="262">
      <c r="A262" s="123" t="s">
        <v>87</v>
      </c>
      <c r="B262" s="123" t="s">
        <v>296</v>
      </c>
      <c r="C262" s="123"/>
      <c r="D262" s="123" t="s">
        <v>4143</v>
      </c>
      <c r="E262" s="123" t="s">
        <v>3164</v>
      </c>
      <c r="F262" s="123" t="s">
        <v>3165</v>
      </c>
      <c r="G262" s="123" t="s">
        <v>200</v>
      </c>
      <c r="H262" s="123" t="s">
        <v>3103</v>
      </c>
      <c r="I262" s="123" t="s">
        <v>201</v>
      </c>
      <c r="J262" s="123" t="s">
        <v>3174</v>
      </c>
      <c r="K262" s="124">
        <v>864.0</v>
      </c>
      <c r="L262" s="124">
        <v>19.48</v>
      </c>
      <c r="M262" s="123" t="s">
        <v>3658</v>
      </c>
      <c r="N262" s="124">
        <v>29.9495</v>
      </c>
      <c r="O262" s="124">
        <v>-97.9962</v>
      </c>
      <c r="P262" s="124">
        <v>271.9</v>
      </c>
      <c r="Q262" s="123" t="s">
        <v>4039</v>
      </c>
      <c r="R262" s="125" t="s">
        <v>4144</v>
      </c>
      <c r="S262" s="123"/>
      <c r="T262" s="125" t="s">
        <v>3170</v>
      </c>
      <c r="U262" s="124">
        <v>2004.0</v>
      </c>
      <c r="V262" s="124">
        <v>2013.0</v>
      </c>
      <c r="W262" s="123" t="s">
        <v>3427</v>
      </c>
      <c r="X262" s="123"/>
    </row>
    <row r="263">
      <c r="A263" s="123" t="s">
        <v>87</v>
      </c>
      <c r="B263" s="123" t="s">
        <v>4145</v>
      </c>
      <c r="C263" s="123"/>
      <c r="D263" s="123" t="s">
        <v>4146</v>
      </c>
      <c r="E263" s="123" t="s">
        <v>3164</v>
      </c>
      <c r="F263" s="123" t="s">
        <v>3165</v>
      </c>
      <c r="G263" s="123" t="s">
        <v>291</v>
      </c>
      <c r="H263" s="123" t="s">
        <v>3089</v>
      </c>
      <c r="I263" s="123" t="s">
        <v>201</v>
      </c>
      <c r="J263" s="123" t="s">
        <v>3174</v>
      </c>
      <c r="K263" s="124">
        <v>869.23</v>
      </c>
      <c r="L263" s="124">
        <v>19.59</v>
      </c>
      <c r="M263" s="123" t="s">
        <v>3658</v>
      </c>
      <c r="N263" s="124">
        <v>29.94</v>
      </c>
      <c r="O263" s="124">
        <v>-97.99</v>
      </c>
      <c r="P263" s="124">
        <v>232.0</v>
      </c>
      <c r="Q263" s="123" t="s">
        <v>4147</v>
      </c>
      <c r="R263" s="125" t="s">
        <v>4148</v>
      </c>
      <c r="S263" s="123"/>
      <c r="T263" s="125" t="s">
        <v>3170</v>
      </c>
      <c r="U263" s="124">
        <v>2004.0</v>
      </c>
      <c r="V263" s="123"/>
      <c r="W263" s="123" t="s">
        <v>3427</v>
      </c>
      <c r="X263" s="123"/>
    </row>
    <row r="264">
      <c r="A264" s="123" t="s">
        <v>87</v>
      </c>
      <c r="B264" s="123" t="s">
        <v>322</v>
      </c>
      <c r="C264" s="123"/>
      <c r="D264" s="123" t="s">
        <v>4149</v>
      </c>
      <c r="E264" s="123" t="s">
        <v>3164</v>
      </c>
      <c r="F264" s="123" t="s">
        <v>3164</v>
      </c>
      <c r="G264" s="123" t="s">
        <v>197</v>
      </c>
      <c r="H264" s="123" t="s">
        <v>3094</v>
      </c>
      <c r="I264" s="123" t="s">
        <v>445</v>
      </c>
      <c r="J264" s="123" t="s">
        <v>3317</v>
      </c>
      <c r="K264" s="124">
        <v>562.0</v>
      </c>
      <c r="L264" s="124">
        <v>8.7</v>
      </c>
      <c r="M264" s="123" t="s">
        <v>3658</v>
      </c>
      <c r="N264" s="124">
        <v>35.089</v>
      </c>
      <c r="O264" s="124">
        <v>-111.762</v>
      </c>
      <c r="P264" s="124">
        <v>2180.0</v>
      </c>
      <c r="Q264" s="123" t="s">
        <v>3927</v>
      </c>
      <c r="R264" s="125" t="s">
        <v>4150</v>
      </c>
      <c r="S264" s="123" t="s">
        <v>3927</v>
      </c>
      <c r="T264" s="125" t="s">
        <v>4151</v>
      </c>
      <c r="U264" s="124">
        <v>2006.0</v>
      </c>
      <c r="V264" s="124">
        <v>2010.0</v>
      </c>
      <c r="W264" s="123" t="s">
        <v>4132</v>
      </c>
      <c r="X264" s="123"/>
    </row>
    <row r="265">
      <c r="A265" s="123" t="s">
        <v>87</v>
      </c>
      <c r="B265" s="123" t="s">
        <v>4152</v>
      </c>
      <c r="C265" s="123"/>
      <c r="D265" s="123" t="s">
        <v>4153</v>
      </c>
      <c r="E265" s="123" t="s">
        <v>3164</v>
      </c>
      <c r="F265" s="123" t="s">
        <v>3165</v>
      </c>
      <c r="G265" s="123" t="s">
        <v>288</v>
      </c>
      <c r="H265" s="123" t="s">
        <v>3095</v>
      </c>
      <c r="I265" s="123" t="s">
        <v>445</v>
      </c>
      <c r="J265" s="123" t="s">
        <v>3317</v>
      </c>
      <c r="K265" s="124">
        <v>557.0</v>
      </c>
      <c r="L265" s="124">
        <v>8.4</v>
      </c>
      <c r="M265" s="123" t="s">
        <v>3658</v>
      </c>
      <c r="N265" s="124">
        <v>35.4454</v>
      </c>
      <c r="O265" s="124">
        <v>-111.7718</v>
      </c>
      <c r="P265" s="124">
        <v>2270.0</v>
      </c>
      <c r="Q265" s="123" t="s">
        <v>3927</v>
      </c>
      <c r="R265" s="125" t="s">
        <v>4154</v>
      </c>
      <c r="S265" s="123"/>
      <c r="T265" s="125" t="s">
        <v>3170</v>
      </c>
      <c r="U265" s="124">
        <v>2006.0</v>
      </c>
      <c r="V265" s="124">
        <v>2010.0</v>
      </c>
      <c r="W265" s="123" t="s">
        <v>4132</v>
      </c>
      <c r="X265" s="123"/>
    </row>
    <row r="266">
      <c r="A266" s="123" t="s">
        <v>87</v>
      </c>
      <c r="B266" s="123" t="s">
        <v>4155</v>
      </c>
      <c r="C266" s="123"/>
      <c r="D266" s="123" t="s">
        <v>4156</v>
      </c>
      <c r="E266" s="123" t="s">
        <v>3164</v>
      </c>
      <c r="F266" s="123" t="s">
        <v>3165</v>
      </c>
      <c r="G266" s="123" t="s">
        <v>197</v>
      </c>
      <c r="H266" s="123" t="s">
        <v>3094</v>
      </c>
      <c r="I266" s="123" t="s">
        <v>372</v>
      </c>
      <c r="J266" s="123" t="s">
        <v>3292</v>
      </c>
      <c r="K266" s="124">
        <v>1200.0</v>
      </c>
      <c r="L266" s="124">
        <v>0.8</v>
      </c>
      <c r="M266" s="123" t="s">
        <v>3658</v>
      </c>
      <c r="N266" s="124">
        <v>41.3658</v>
      </c>
      <c r="O266" s="124">
        <v>-106.2397</v>
      </c>
      <c r="P266" s="124">
        <v>3191.0</v>
      </c>
      <c r="Q266" s="123" t="s">
        <v>3754</v>
      </c>
      <c r="R266" s="125" t="s">
        <v>4157</v>
      </c>
      <c r="S266" s="123"/>
      <c r="T266" s="125" t="s">
        <v>3170</v>
      </c>
      <c r="U266" s="124">
        <v>1991.0</v>
      </c>
      <c r="V266" s="124">
        <v>2006.0</v>
      </c>
      <c r="W266" s="123" t="s">
        <v>3427</v>
      </c>
      <c r="X266" s="123"/>
    </row>
    <row r="267">
      <c r="A267" s="123" t="s">
        <v>87</v>
      </c>
      <c r="B267" s="123" t="s">
        <v>4158</v>
      </c>
      <c r="C267" s="123"/>
      <c r="D267" s="123" t="s">
        <v>4159</v>
      </c>
      <c r="E267" s="123" t="s">
        <v>3165</v>
      </c>
      <c r="F267" s="123" t="s">
        <v>3165</v>
      </c>
      <c r="G267" s="123" t="s">
        <v>214</v>
      </c>
      <c r="H267" s="123" t="s">
        <v>3184</v>
      </c>
      <c r="I267" s="123" t="s">
        <v>201</v>
      </c>
      <c r="J267" s="123" t="s">
        <v>3174</v>
      </c>
      <c r="K267" s="124">
        <v>1284.0</v>
      </c>
      <c r="L267" s="124">
        <v>19.83</v>
      </c>
      <c r="M267" s="123" t="s">
        <v>3658</v>
      </c>
      <c r="N267" s="124">
        <v>31.4441</v>
      </c>
      <c r="O267" s="124">
        <v>-81.2835</v>
      </c>
      <c r="P267" s="124">
        <v>0.625</v>
      </c>
      <c r="Q267" s="123"/>
      <c r="R267" s="125" t="s">
        <v>3170</v>
      </c>
      <c r="S267" s="123"/>
      <c r="T267" s="125" t="s">
        <v>3170</v>
      </c>
      <c r="U267" s="124">
        <v>2013.0</v>
      </c>
      <c r="V267" s="123"/>
      <c r="W267" s="123"/>
      <c r="X267" s="123"/>
    </row>
    <row r="268">
      <c r="A268" s="123" t="s">
        <v>87</v>
      </c>
      <c r="B268" s="123" t="s">
        <v>4160</v>
      </c>
      <c r="C268" s="123"/>
      <c r="D268" s="123" t="s">
        <v>4161</v>
      </c>
      <c r="E268" s="123" t="s">
        <v>3164</v>
      </c>
      <c r="F268" s="123" t="s">
        <v>3165</v>
      </c>
      <c r="G268" s="123" t="s">
        <v>1085</v>
      </c>
      <c r="H268" s="123" t="s">
        <v>3588</v>
      </c>
      <c r="I268" s="123" t="s">
        <v>107</v>
      </c>
      <c r="J268" s="123" t="s">
        <v>3249</v>
      </c>
      <c r="K268" s="123"/>
      <c r="L268" s="124">
        <v>5.4</v>
      </c>
      <c r="M268" s="123" t="s">
        <v>3658</v>
      </c>
      <c r="N268" s="124">
        <v>47.1835</v>
      </c>
      <c r="O268" s="124">
        <v>-87.2251</v>
      </c>
      <c r="P268" s="124">
        <v>183.0</v>
      </c>
      <c r="Q268" s="123" t="s">
        <v>4162</v>
      </c>
      <c r="R268" s="125" t="s">
        <v>4163</v>
      </c>
      <c r="S268" s="123"/>
      <c r="T268" s="125" t="s">
        <v>3170</v>
      </c>
      <c r="U268" s="124">
        <v>2008.0</v>
      </c>
      <c r="V268" s="123"/>
      <c r="W268" s="123" t="s">
        <v>4164</v>
      </c>
      <c r="X268" s="123"/>
    </row>
    <row r="269">
      <c r="A269" s="123" t="s">
        <v>87</v>
      </c>
      <c r="B269" s="123" t="s">
        <v>4165</v>
      </c>
      <c r="C269" s="123"/>
      <c r="D269" s="123" t="s">
        <v>4166</v>
      </c>
      <c r="E269" s="123" t="s">
        <v>3165</v>
      </c>
      <c r="F269" s="123" t="s">
        <v>3165</v>
      </c>
      <c r="G269" s="123" t="s">
        <v>1085</v>
      </c>
      <c r="H269" s="123" t="s">
        <v>3588</v>
      </c>
      <c r="I269" s="123" t="s">
        <v>107</v>
      </c>
      <c r="J269" s="123" t="s">
        <v>3249</v>
      </c>
      <c r="K269" s="124">
        <v>762.0</v>
      </c>
      <c r="L269" s="124">
        <v>6.6</v>
      </c>
      <c r="M269" s="123" t="s">
        <v>3658</v>
      </c>
      <c r="N269" s="124">
        <v>46.7167</v>
      </c>
      <c r="O269" s="124">
        <v>-87.4</v>
      </c>
      <c r="P269" s="124">
        <v>183.0</v>
      </c>
      <c r="Q269" s="123"/>
      <c r="R269" s="125" t="s">
        <v>3170</v>
      </c>
      <c r="S269" s="123"/>
      <c r="T269" s="125" t="s">
        <v>3170</v>
      </c>
      <c r="U269" s="124">
        <v>2010.0</v>
      </c>
      <c r="V269" s="123"/>
      <c r="W269" s="123"/>
      <c r="X269" s="123"/>
    </row>
    <row r="270">
      <c r="A270" s="123" t="s">
        <v>87</v>
      </c>
      <c r="B270" s="123" t="s">
        <v>4167</v>
      </c>
      <c r="C270" s="123"/>
      <c r="D270" s="123" t="s">
        <v>4168</v>
      </c>
      <c r="E270" s="123" t="s">
        <v>3164</v>
      </c>
      <c r="F270" s="123" t="s">
        <v>3164</v>
      </c>
      <c r="G270" s="123" t="s">
        <v>197</v>
      </c>
      <c r="H270" s="123" t="s">
        <v>3094</v>
      </c>
      <c r="I270" s="123" t="s">
        <v>372</v>
      </c>
      <c r="J270" s="123" t="s">
        <v>3292</v>
      </c>
      <c r="K270" s="124">
        <v>1200.0</v>
      </c>
      <c r="L270" s="124">
        <v>0.8</v>
      </c>
      <c r="M270" s="123" t="s">
        <v>3658</v>
      </c>
      <c r="N270" s="124">
        <v>41.3665</v>
      </c>
      <c r="O270" s="124">
        <v>-106.2399</v>
      </c>
      <c r="P270" s="124">
        <v>3197.0</v>
      </c>
      <c r="Q270" s="123" t="s">
        <v>4169</v>
      </c>
      <c r="R270" s="125" t="s">
        <v>4170</v>
      </c>
      <c r="S270" s="123" t="s">
        <v>4171</v>
      </c>
      <c r="T270" s="125" t="s">
        <v>4172</v>
      </c>
      <c r="U270" s="124">
        <v>2002.0</v>
      </c>
      <c r="V270" s="123"/>
      <c r="W270" s="123" t="s">
        <v>4173</v>
      </c>
      <c r="X270" s="123"/>
    </row>
    <row r="271">
      <c r="A271" s="123" t="s">
        <v>87</v>
      </c>
      <c r="B271" s="123" t="s">
        <v>4174</v>
      </c>
      <c r="C271" s="123"/>
      <c r="D271" s="123" t="s">
        <v>4175</v>
      </c>
      <c r="E271" s="123" t="s">
        <v>3164</v>
      </c>
      <c r="F271" s="123" t="s">
        <v>3165</v>
      </c>
      <c r="G271" s="123" t="s">
        <v>452</v>
      </c>
      <c r="H271" s="123" t="s">
        <v>3096</v>
      </c>
      <c r="I271" s="123" t="s">
        <v>107</v>
      </c>
      <c r="J271" s="123" t="s">
        <v>3249</v>
      </c>
      <c r="K271" s="124">
        <v>1258.79</v>
      </c>
      <c r="L271" s="124">
        <v>6.08</v>
      </c>
      <c r="M271" s="123" t="s">
        <v>3658</v>
      </c>
      <c r="N271" s="124">
        <v>41.9667</v>
      </c>
      <c r="O271" s="124">
        <v>-73.2333</v>
      </c>
      <c r="P271" s="124">
        <v>380.0</v>
      </c>
      <c r="Q271" s="123" t="s">
        <v>4176</v>
      </c>
      <c r="R271" s="125" t="s">
        <v>4177</v>
      </c>
      <c r="S271" s="123"/>
      <c r="T271" s="125" t="s">
        <v>3170</v>
      </c>
      <c r="U271" s="124">
        <v>1999.0</v>
      </c>
      <c r="V271" s="124">
        <v>2004.0</v>
      </c>
      <c r="W271" s="123" t="s">
        <v>3427</v>
      </c>
      <c r="X271" s="123"/>
    </row>
    <row r="272">
      <c r="A272" s="123" t="s">
        <v>87</v>
      </c>
      <c r="B272" s="123" t="s">
        <v>4178</v>
      </c>
      <c r="C272" s="123"/>
      <c r="D272" s="123" t="s">
        <v>4179</v>
      </c>
      <c r="E272" s="123" t="s">
        <v>3164</v>
      </c>
      <c r="F272" s="123" t="s">
        <v>3165</v>
      </c>
      <c r="G272" s="123" t="s">
        <v>288</v>
      </c>
      <c r="H272" s="123" t="s">
        <v>3095</v>
      </c>
      <c r="I272" s="123" t="s">
        <v>201</v>
      </c>
      <c r="J272" s="123" t="s">
        <v>3174</v>
      </c>
      <c r="K272" s="124">
        <v>1425.77</v>
      </c>
      <c r="L272" s="124">
        <v>15.89</v>
      </c>
      <c r="M272" s="123" t="s">
        <v>3658</v>
      </c>
      <c r="N272" s="124">
        <v>34.2547</v>
      </c>
      <c r="O272" s="124">
        <v>-89.8735</v>
      </c>
      <c r="P272" s="124">
        <v>87.0</v>
      </c>
      <c r="Q272" s="123" t="s">
        <v>4180</v>
      </c>
      <c r="R272" s="125" t="s">
        <v>4181</v>
      </c>
      <c r="S272" s="123"/>
      <c r="T272" s="125" t="s">
        <v>3170</v>
      </c>
      <c r="U272" s="124">
        <v>2002.0</v>
      </c>
      <c r="V272" s="124">
        <v>2006.0</v>
      </c>
      <c r="W272" s="123" t="s">
        <v>4182</v>
      </c>
      <c r="X272" s="123"/>
    </row>
    <row r="273">
      <c r="A273" s="123" t="s">
        <v>87</v>
      </c>
      <c r="B273" s="123" t="s">
        <v>2329</v>
      </c>
      <c r="C273" s="123"/>
      <c r="D273" s="123" t="s">
        <v>2330</v>
      </c>
      <c r="E273" s="123" t="s">
        <v>3165</v>
      </c>
      <c r="F273" s="123" t="s">
        <v>3165</v>
      </c>
      <c r="G273" s="123" t="s">
        <v>86</v>
      </c>
      <c r="H273" s="123" t="s">
        <v>3088</v>
      </c>
      <c r="I273" s="123" t="s">
        <v>445</v>
      </c>
      <c r="J273" s="123" t="s">
        <v>3317</v>
      </c>
      <c r="K273" s="124">
        <v>294.1</v>
      </c>
      <c r="L273" s="124">
        <v>11.4</v>
      </c>
      <c r="M273" s="123" t="s">
        <v>3658</v>
      </c>
      <c r="N273" s="124">
        <v>46.5008</v>
      </c>
      <c r="O273" s="124">
        <v>-116.8068</v>
      </c>
      <c r="P273" s="124">
        <v>746.0</v>
      </c>
      <c r="Q273" s="123"/>
      <c r="R273" s="125" t="s">
        <v>3170</v>
      </c>
      <c r="S273" s="123"/>
      <c r="T273" s="125" t="s">
        <v>3170</v>
      </c>
      <c r="U273" s="124">
        <v>2018.0</v>
      </c>
      <c r="V273" s="123"/>
      <c r="W273" s="123"/>
      <c r="X273" s="123"/>
    </row>
    <row r="274">
      <c r="A274" s="123" t="s">
        <v>87</v>
      </c>
      <c r="B274" s="123" t="s">
        <v>2331</v>
      </c>
      <c r="C274" s="123"/>
      <c r="D274" s="123" t="s">
        <v>2332</v>
      </c>
      <c r="E274" s="123" t="s">
        <v>3165</v>
      </c>
      <c r="F274" s="123" t="s">
        <v>3165</v>
      </c>
      <c r="G274" s="123" t="s">
        <v>86</v>
      </c>
      <c r="H274" s="123" t="s">
        <v>3088</v>
      </c>
      <c r="I274" s="123" t="s">
        <v>445</v>
      </c>
      <c r="J274" s="123" t="s">
        <v>3317</v>
      </c>
      <c r="K274" s="124">
        <v>294.1</v>
      </c>
      <c r="L274" s="124">
        <v>11.4</v>
      </c>
      <c r="M274" s="123" t="s">
        <v>3658</v>
      </c>
      <c r="N274" s="124">
        <v>46.4978</v>
      </c>
      <c r="O274" s="124">
        <v>-116.8047</v>
      </c>
      <c r="P274" s="124">
        <v>731.0</v>
      </c>
      <c r="Q274" s="123"/>
      <c r="R274" s="125" t="s">
        <v>3170</v>
      </c>
      <c r="S274" s="123"/>
      <c r="T274" s="125" t="s">
        <v>3170</v>
      </c>
      <c r="U274" s="124">
        <v>2018.0</v>
      </c>
      <c r="V274" s="123"/>
      <c r="W274" s="123"/>
      <c r="X274" s="123"/>
    </row>
    <row r="275">
      <c r="A275" s="123" t="s">
        <v>87</v>
      </c>
      <c r="B275" s="123" t="s">
        <v>2333</v>
      </c>
      <c r="C275" s="123"/>
      <c r="D275" s="123" t="s">
        <v>2334</v>
      </c>
      <c r="E275" s="123" t="s">
        <v>3165</v>
      </c>
      <c r="F275" s="123" t="s">
        <v>3165</v>
      </c>
      <c r="G275" s="123" t="s">
        <v>86</v>
      </c>
      <c r="H275" s="123" t="s">
        <v>3088</v>
      </c>
      <c r="I275" s="123" t="s">
        <v>445</v>
      </c>
      <c r="J275" s="123" t="s">
        <v>3317</v>
      </c>
      <c r="K275" s="124">
        <v>294.1</v>
      </c>
      <c r="L275" s="124">
        <v>11.4</v>
      </c>
      <c r="M275" s="123" t="s">
        <v>3658</v>
      </c>
      <c r="N275" s="124">
        <v>46.4949</v>
      </c>
      <c r="O275" s="124">
        <v>-116.8019</v>
      </c>
      <c r="P275" s="124">
        <v>713.0</v>
      </c>
      <c r="Q275" s="123"/>
      <c r="R275" s="125" t="s">
        <v>3170</v>
      </c>
      <c r="S275" s="123"/>
      <c r="T275" s="125" t="s">
        <v>3170</v>
      </c>
      <c r="U275" s="124">
        <v>2018.0</v>
      </c>
      <c r="V275" s="123"/>
      <c r="W275" s="123"/>
      <c r="X275" s="123"/>
    </row>
    <row r="276">
      <c r="A276" s="123" t="s">
        <v>87</v>
      </c>
      <c r="B276" s="123" t="s">
        <v>1304</v>
      </c>
      <c r="C276" s="123"/>
      <c r="D276" s="123" t="s">
        <v>4183</v>
      </c>
      <c r="E276" s="123" t="s">
        <v>3164</v>
      </c>
      <c r="F276" s="123" t="s">
        <v>3164</v>
      </c>
      <c r="G276" s="123" t="s">
        <v>370</v>
      </c>
      <c r="H276" s="123" t="s">
        <v>3091</v>
      </c>
      <c r="I276" s="123" t="s">
        <v>107</v>
      </c>
      <c r="J276" s="123" t="s">
        <v>3249</v>
      </c>
      <c r="K276" s="124">
        <v>1071.0</v>
      </c>
      <c r="L276" s="124">
        <v>6.62</v>
      </c>
      <c r="M276" s="123" t="s">
        <v>3658</v>
      </c>
      <c r="N276" s="124">
        <v>42.5378</v>
      </c>
      <c r="O276" s="124">
        <v>-72.1715</v>
      </c>
      <c r="P276" s="124">
        <v>340.0</v>
      </c>
      <c r="Q276" s="123" t="s">
        <v>4184</v>
      </c>
      <c r="R276" s="125" t="s">
        <v>4185</v>
      </c>
      <c r="S276" s="123" t="s">
        <v>4186</v>
      </c>
      <c r="T276" s="125" t="s">
        <v>4187</v>
      </c>
      <c r="U276" s="124">
        <v>1991.0</v>
      </c>
      <c r="V276" s="123"/>
      <c r="W276" s="123" t="s">
        <v>4188</v>
      </c>
      <c r="X276" s="123"/>
    </row>
    <row r="277">
      <c r="A277" s="123" t="s">
        <v>87</v>
      </c>
      <c r="B277" s="123" t="s">
        <v>4189</v>
      </c>
      <c r="C277" s="123"/>
      <c r="D277" s="123" t="s">
        <v>4190</v>
      </c>
      <c r="E277" s="123" t="s">
        <v>3164</v>
      </c>
      <c r="F277" s="123" t="s">
        <v>3165</v>
      </c>
      <c r="G277" s="123" t="s">
        <v>197</v>
      </c>
      <c r="H277" s="123" t="s">
        <v>3094</v>
      </c>
      <c r="I277" s="123" t="s">
        <v>107</v>
      </c>
      <c r="J277" s="123" t="s">
        <v>3249</v>
      </c>
      <c r="K277" s="124">
        <v>1071.0</v>
      </c>
      <c r="L277" s="124">
        <v>6.56</v>
      </c>
      <c r="M277" s="123" t="s">
        <v>3658</v>
      </c>
      <c r="N277" s="124">
        <v>42.5393</v>
      </c>
      <c r="O277" s="124">
        <v>-72.1779</v>
      </c>
      <c r="P277" s="124">
        <v>360.0</v>
      </c>
      <c r="Q277" s="123" t="s">
        <v>4191</v>
      </c>
      <c r="R277" s="125" t="s">
        <v>4192</v>
      </c>
      <c r="S277" s="123"/>
      <c r="T277" s="125" t="s">
        <v>3170</v>
      </c>
      <c r="U277" s="124">
        <v>2004.0</v>
      </c>
      <c r="V277" s="123"/>
      <c r="W277" s="123" t="s">
        <v>4193</v>
      </c>
      <c r="X277" s="123"/>
    </row>
    <row r="278">
      <c r="A278" s="123" t="s">
        <v>87</v>
      </c>
      <c r="B278" s="123" t="s">
        <v>4194</v>
      </c>
      <c r="C278" s="123"/>
      <c r="D278" s="123" t="s">
        <v>4195</v>
      </c>
      <c r="E278" s="123" t="s">
        <v>3164</v>
      </c>
      <c r="F278" s="123" t="s">
        <v>3164</v>
      </c>
      <c r="G278" s="123" t="s">
        <v>214</v>
      </c>
      <c r="H278" s="123" t="s">
        <v>3184</v>
      </c>
      <c r="I278" s="123" t="s">
        <v>201</v>
      </c>
      <c r="J278" s="123" t="s">
        <v>3174</v>
      </c>
      <c r="K278" s="124">
        <v>1429.0</v>
      </c>
      <c r="L278" s="124">
        <v>18.3</v>
      </c>
      <c r="M278" s="123" t="s">
        <v>3658</v>
      </c>
      <c r="N278" s="124">
        <v>33.3455</v>
      </c>
      <c r="O278" s="124">
        <v>-79.1957</v>
      </c>
      <c r="P278" s="124">
        <v>0.1</v>
      </c>
      <c r="Q278" s="123" t="s">
        <v>3922</v>
      </c>
      <c r="R278" s="125" t="s">
        <v>4196</v>
      </c>
      <c r="S278" s="124">
        <v>2019.0</v>
      </c>
      <c r="T278" s="125" t="s">
        <v>4197</v>
      </c>
      <c r="U278" s="124">
        <v>2017.0</v>
      </c>
      <c r="V278" s="123"/>
      <c r="W278" s="123" t="s">
        <v>4198</v>
      </c>
      <c r="X278" s="123"/>
    </row>
    <row r="279">
      <c r="A279" s="123" t="s">
        <v>87</v>
      </c>
      <c r="B279" s="123" t="s">
        <v>4199</v>
      </c>
      <c r="C279" s="123"/>
      <c r="D279" s="123" t="s">
        <v>4200</v>
      </c>
      <c r="E279" s="123" t="s">
        <v>3164</v>
      </c>
      <c r="F279" s="123" t="s">
        <v>3164</v>
      </c>
      <c r="G279" s="123" t="s">
        <v>197</v>
      </c>
      <c r="H279" s="123" t="s">
        <v>3094</v>
      </c>
      <c r="I279" s="123" t="s">
        <v>201</v>
      </c>
      <c r="J279" s="123" t="s">
        <v>3174</v>
      </c>
      <c r="K279" s="124">
        <v>1429.0</v>
      </c>
      <c r="L279" s="124">
        <v>18.3</v>
      </c>
      <c r="M279" s="123" t="s">
        <v>3658</v>
      </c>
      <c r="N279" s="124">
        <v>33.3242</v>
      </c>
      <c r="O279" s="124">
        <v>-79.244</v>
      </c>
      <c r="P279" s="124">
        <v>4.7</v>
      </c>
      <c r="Q279" s="124">
        <v>2019.0</v>
      </c>
      <c r="R279" s="125" t="s">
        <v>4201</v>
      </c>
      <c r="S279" s="124">
        <v>2019.0</v>
      </c>
      <c r="T279" s="125" t="s">
        <v>4202</v>
      </c>
      <c r="U279" s="124">
        <v>2018.0</v>
      </c>
      <c r="V279" s="123"/>
      <c r="W279" s="123" t="s">
        <v>4203</v>
      </c>
      <c r="X279" s="123"/>
    </row>
    <row r="280">
      <c r="A280" s="123" t="s">
        <v>87</v>
      </c>
      <c r="B280" s="123" t="s">
        <v>4204</v>
      </c>
      <c r="C280" s="123"/>
      <c r="D280" s="123" t="s">
        <v>4205</v>
      </c>
      <c r="E280" s="123" t="s">
        <v>3164</v>
      </c>
      <c r="F280" s="123" t="s">
        <v>3164</v>
      </c>
      <c r="G280" s="123" t="s">
        <v>197</v>
      </c>
      <c r="H280" s="123" t="s">
        <v>3094</v>
      </c>
      <c r="I280" s="123" t="s">
        <v>201</v>
      </c>
      <c r="J280" s="123" t="s">
        <v>3174</v>
      </c>
      <c r="K280" s="124">
        <v>1429.0</v>
      </c>
      <c r="L280" s="124">
        <v>18.3</v>
      </c>
      <c r="M280" s="123" t="s">
        <v>3658</v>
      </c>
      <c r="N280" s="124">
        <v>33.3482</v>
      </c>
      <c r="O280" s="124">
        <v>-79.2322</v>
      </c>
      <c r="P280" s="124">
        <v>7.3</v>
      </c>
      <c r="Q280" s="123" t="s">
        <v>3922</v>
      </c>
      <c r="R280" s="125" t="s">
        <v>4206</v>
      </c>
      <c r="S280" s="123" t="s">
        <v>3897</v>
      </c>
      <c r="T280" s="125" t="s">
        <v>4207</v>
      </c>
      <c r="U280" s="124">
        <v>2019.0</v>
      </c>
      <c r="V280" s="123"/>
      <c r="W280" s="123" t="s">
        <v>4208</v>
      </c>
      <c r="X280" s="123"/>
    </row>
    <row r="281">
      <c r="A281" s="123" t="s">
        <v>87</v>
      </c>
      <c r="B281" s="123" t="s">
        <v>4209</v>
      </c>
      <c r="C281" s="123"/>
      <c r="D281" s="123" t="s">
        <v>4210</v>
      </c>
      <c r="E281" s="123" t="s">
        <v>3164</v>
      </c>
      <c r="F281" s="123" t="s">
        <v>3165</v>
      </c>
      <c r="G281" s="123" t="s">
        <v>214</v>
      </c>
      <c r="H281" s="123" t="s">
        <v>3184</v>
      </c>
      <c r="I281" s="123" t="s">
        <v>201</v>
      </c>
      <c r="J281" s="123" t="s">
        <v>3174</v>
      </c>
      <c r="K281" s="124">
        <v>1429.0</v>
      </c>
      <c r="L281" s="124">
        <v>18.3</v>
      </c>
      <c r="M281" s="123" t="s">
        <v>3658</v>
      </c>
      <c r="N281" s="124">
        <v>33.2015</v>
      </c>
      <c r="O281" s="124">
        <v>-79.2975</v>
      </c>
      <c r="P281" s="124">
        <v>1.0</v>
      </c>
      <c r="Q281" s="124">
        <v>2022.0</v>
      </c>
      <c r="R281" s="125" t="s">
        <v>4211</v>
      </c>
      <c r="S281" s="123"/>
      <c r="T281" s="125" t="s">
        <v>3170</v>
      </c>
      <c r="U281" s="124">
        <v>2020.0</v>
      </c>
      <c r="V281" s="123"/>
      <c r="W281" s="123" t="s">
        <v>4212</v>
      </c>
      <c r="X281" s="123"/>
    </row>
    <row r="282">
      <c r="A282" s="123" t="s">
        <v>87</v>
      </c>
      <c r="B282" s="123" t="s">
        <v>4213</v>
      </c>
      <c r="C282" s="123"/>
      <c r="D282" s="123" t="s">
        <v>4214</v>
      </c>
      <c r="E282" s="123" t="s">
        <v>3164</v>
      </c>
      <c r="F282" s="123" t="s">
        <v>3165</v>
      </c>
      <c r="G282" s="123" t="s">
        <v>370</v>
      </c>
      <c r="H282" s="123" t="s">
        <v>3091</v>
      </c>
      <c r="I282" s="123" t="s">
        <v>107</v>
      </c>
      <c r="J282" s="123" t="s">
        <v>3249</v>
      </c>
      <c r="K282" s="124">
        <v>1400.0</v>
      </c>
      <c r="L282" s="124">
        <v>6.0</v>
      </c>
      <c r="M282" s="123" t="s">
        <v>3658</v>
      </c>
      <c r="N282" s="124">
        <v>43.9397</v>
      </c>
      <c r="O282" s="124">
        <v>-71.7181</v>
      </c>
      <c r="P282" s="124">
        <v>367.0</v>
      </c>
      <c r="Q282" s="123" t="s">
        <v>4215</v>
      </c>
      <c r="R282" s="125" t="s">
        <v>4216</v>
      </c>
      <c r="S282" s="123"/>
      <c r="T282" s="125" t="s">
        <v>3170</v>
      </c>
      <c r="U282" s="124">
        <v>2016.0</v>
      </c>
      <c r="V282" s="123"/>
      <c r="W282" s="123" t="s">
        <v>4217</v>
      </c>
      <c r="X282" s="123"/>
    </row>
    <row r="283">
      <c r="A283" s="123" t="s">
        <v>87</v>
      </c>
      <c r="B283" s="123" t="s">
        <v>4218</v>
      </c>
      <c r="C283" s="123"/>
      <c r="D283" s="123" t="s">
        <v>4219</v>
      </c>
      <c r="E283" s="123" t="s">
        <v>3165</v>
      </c>
      <c r="F283" s="123" t="s">
        <v>3165</v>
      </c>
      <c r="G283" s="123" t="s">
        <v>292</v>
      </c>
      <c r="H283" s="123" t="s">
        <v>3097</v>
      </c>
      <c r="I283" s="123" t="s">
        <v>303</v>
      </c>
      <c r="J283" s="123" t="s">
        <v>3585</v>
      </c>
      <c r="K283" s="124">
        <v>197.0</v>
      </c>
      <c r="L283" s="124">
        <v>12.8</v>
      </c>
      <c r="M283" s="123" t="s">
        <v>3658</v>
      </c>
      <c r="N283" s="124">
        <v>46.4089</v>
      </c>
      <c r="O283" s="124">
        <v>-119.275</v>
      </c>
      <c r="P283" s="124">
        <v>118.58</v>
      </c>
      <c r="Q283" s="123"/>
      <c r="R283" s="125" t="s">
        <v>3170</v>
      </c>
      <c r="S283" s="123"/>
      <c r="T283" s="125" t="s">
        <v>3170</v>
      </c>
      <c r="U283" s="124">
        <v>2015.0</v>
      </c>
      <c r="V283" s="123"/>
      <c r="W283" s="123"/>
      <c r="X283" s="123"/>
    </row>
    <row r="284">
      <c r="A284" s="123" t="s">
        <v>87</v>
      </c>
      <c r="B284" s="123" t="s">
        <v>4220</v>
      </c>
      <c r="C284" s="123"/>
      <c r="D284" s="123" t="s">
        <v>4221</v>
      </c>
      <c r="E284" s="123" t="s">
        <v>3164</v>
      </c>
      <c r="F284" s="123" t="s">
        <v>3164</v>
      </c>
      <c r="G284" s="123" t="s">
        <v>288</v>
      </c>
      <c r="H284" s="123" t="s">
        <v>3095</v>
      </c>
      <c r="I284" s="123" t="s">
        <v>303</v>
      </c>
      <c r="J284" s="123" t="s">
        <v>3585</v>
      </c>
      <c r="K284" s="124">
        <v>197.0</v>
      </c>
      <c r="L284" s="124">
        <v>12.8</v>
      </c>
      <c r="M284" s="123" t="s">
        <v>3658</v>
      </c>
      <c r="N284" s="124">
        <v>46.6889</v>
      </c>
      <c r="O284" s="124">
        <v>-119.4641</v>
      </c>
      <c r="P284" s="124">
        <v>117.5</v>
      </c>
      <c r="Q284" s="123" t="s">
        <v>3578</v>
      </c>
      <c r="R284" s="125" t="s">
        <v>4222</v>
      </c>
      <c r="S284" s="123" t="s">
        <v>3578</v>
      </c>
      <c r="T284" s="125" t="s">
        <v>4223</v>
      </c>
      <c r="U284" s="124">
        <v>2015.0</v>
      </c>
      <c r="V284" s="123"/>
      <c r="W284" s="123" t="s">
        <v>4224</v>
      </c>
      <c r="X284" s="123"/>
    </row>
    <row r="285">
      <c r="A285" s="123" t="s">
        <v>87</v>
      </c>
      <c r="B285" s="123" t="s">
        <v>4225</v>
      </c>
      <c r="C285" s="123"/>
      <c r="D285" s="123" t="s">
        <v>4226</v>
      </c>
      <c r="E285" s="123" t="s">
        <v>3164</v>
      </c>
      <c r="F285" s="123" t="s">
        <v>3164</v>
      </c>
      <c r="G285" s="123" t="s">
        <v>292</v>
      </c>
      <c r="H285" s="123" t="s">
        <v>3097</v>
      </c>
      <c r="I285" s="123" t="s">
        <v>303</v>
      </c>
      <c r="J285" s="123" t="s">
        <v>3585</v>
      </c>
      <c r="K285" s="124">
        <v>197.0</v>
      </c>
      <c r="L285" s="124">
        <v>12.8</v>
      </c>
      <c r="M285" s="123" t="s">
        <v>3658</v>
      </c>
      <c r="N285" s="124">
        <v>46.6878</v>
      </c>
      <c r="O285" s="124">
        <v>-119.4614</v>
      </c>
      <c r="P285" s="124">
        <v>120.9</v>
      </c>
      <c r="Q285" s="123" t="s">
        <v>3609</v>
      </c>
      <c r="R285" s="125" t="s">
        <v>4227</v>
      </c>
      <c r="S285" s="123" t="s">
        <v>3609</v>
      </c>
      <c r="T285" s="125" t="s">
        <v>4228</v>
      </c>
      <c r="U285" s="124">
        <v>2017.0</v>
      </c>
      <c r="V285" s="123"/>
      <c r="W285" s="123" t="s">
        <v>4229</v>
      </c>
      <c r="X285" s="123"/>
    </row>
    <row r="286">
      <c r="A286" s="123" t="s">
        <v>87</v>
      </c>
      <c r="B286" s="123" t="s">
        <v>1332</v>
      </c>
      <c r="C286" s="123"/>
      <c r="D286" s="123" t="s">
        <v>4230</v>
      </c>
      <c r="E286" s="123" t="s">
        <v>3164</v>
      </c>
      <c r="F286" s="123" t="s">
        <v>3165</v>
      </c>
      <c r="G286" s="123" t="s">
        <v>197</v>
      </c>
      <c r="H286" s="123" t="s">
        <v>3094</v>
      </c>
      <c r="I286" s="123" t="s">
        <v>107</v>
      </c>
      <c r="J286" s="123" t="s">
        <v>3249</v>
      </c>
      <c r="K286" s="124">
        <v>1070.0</v>
      </c>
      <c r="L286" s="124">
        <v>5.27</v>
      </c>
      <c r="M286" s="123" t="s">
        <v>3658</v>
      </c>
      <c r="N286" s="124">
        <v>45.2041</v>
      </c>
      <c r="O286" s="124">
        <v>-68.7402</v>
      </c>
      <c r="P286" s="124">
        <v>60.0</v>
      </c>
      <c r="Q286" s="123" t="s">
        <v>4231</v>
      </c>
      <c r="R286" s="125" t="s">
        <v>4232</v>
      </c>
      <c r="S286" s="123"/>
      <c r="T286" s="125" t="s">
        <v>3170</v>
      </c>
      <c r="U286" s="124">
        <v>1996.0</v>
      </c>
      <c r="V286" s="123"/>
      <c r="W286" s="123" t="s">
        <v>4233</v>
      </c>
      <c r="X286" s="123"/>
    </row>
    <row r="287">
      <c r="A287" s="123" t="s">
        <v>87</v>
      </c>
      <c r="B287" s="123" t="s">
        <v>4234</v>
      </c>
      <c r="C287" s="123"/>
      <c r="D287" s="123" t="s">
        <v>4235</v>
      </c>
      <c r="E287" s="123" t="s">
        <v>3164</v>
      </c>
      <c r="F287" s="123" t="s">
        <v>3164</v>
      </c>
      <c r="G287" s="123" t="s">
        <v>197</v>
      </c>
      <c r="H287" s="123" t="s">
        <v>3094</v>
      </c>
      <c r="I287" s="123" t="s">
        <v>107</v>
      </c>
      <c r="J287" s="123" t="s">
        <v>3249</v>
      </c>
      <c r="K287" s="124">
        <v>1064.0</v>
      </c>
      <c r="L287" s="124">
        <v>5.13</v>
      </c>
      <c r="M287" s="123" t="s">
        <v>3658</v>
      </c>
      <c r="N287" s="124">
        <v>45.2091</v>
      </c>
      <c r="O287" s="124">
        <v>-68.747</v>
      </c>
      <c r="P287" s="124">
        <v>61.0</v>
      </c>
      <c r="Q287" s="123" t="s">
        <v>4169</v>
      </c>
      <c r="R287" s="125" t="s">
        <v>4236</v>
      </c>
      <c r="S287" s="123" t="s">
        <v>4169</v>
      </c>
      <c r="T287" s="125" t="s">
        <v>4237</v>
      </c>
      <c r="U287" s="124">
        <v>1999.0</v>
      </c>
      <c r="V287" s="123"/>
      <c r="W287" s="123" t="s">
        <v>4238</v>
      </c>
      <c r="X287" s="123"/>
    </row>
    <row r="288">
      <c r="A288" s="123" t="s">
        <v>87</v>
      </c>
      <c r="B288" s="123" t="s">
        <v>4239</v>
      </c>
      <c r="C288" s="123"/>
      <c r="D288" s="123" t="s">
        <v>4240</v>
      </c>
      <c r="E288" s="123" t="s">
        <v>3164</v>
      </c>
      <c r="F288" s="123" t="s">
        <v>3165</v>
      </c>
      <c r="G288" s="123" t="s">
        <v>197</v>
      </c>
      <c r="H288" s="123" t="s">
        <v>3094</v>
      </c>
      <c r="I288" s="123" t="s">
        <v>107</v>
      </c>
      <c r="J288" s="123" t="s">
        <v>3249</v>
      </c>
      <c r="K288" s="124">
        <v>1072.0</v>
      </c>
      <c r="L288" s="124">
        <v>5.31</v>
      </c>
      <c r="M288" s="123" t="s">
        <v>3658</v>
      </c>
      <c r="N288" s="124">
        <v>45.2072</v>
      </c>
      <c r="O288" s="124">
        <v>-68.725</v>
      </c>
      <c r="P288" s="124">
        <v>61.0</v>
      </c>
      <c r="Q288" s="123" t="s">
        <v>3531</v>
      </c>
      <c r="R288" s="125" t="s">
        <v>4241</v>
      </c>
      <c r="S288" s="123"/>
      <c r="T288" s="125" t="s">
        <v>3170</v>
      </c>
      <c r="U288" s="124">
        <v>2000.0</v>
      </c>
      <c r="V288" s="123"/>
      <c r="W288" s="123" t="s">
        <v>3427</v>
      </c>
      <c r="X288" s="123"/>
    </row>
    <row r="289">
      <c r="A289" s="123" t="s">
        <v>87</v>
      </c>
      <c r="B289" s="123" t="s">
        <v>4242</v>
      </c>
      <c r="C289" s="123"/>
      <c r="D289" s="123" t="s">
        <v>4243</v>
      </c>
      <c r="E289" s="123" t="s">
        <v>3165</v>
      </c>
      <c r="F289" s="123" t="s">
        <v>3165</v>
      </c>
      <c r="G289" s="123" t="s">
        <v>214</v>
      </c>
      <c r="H289" s="123" t="s">
        <v>3184</v>
      </c>
      <c r="I289" s="123" t="s">
        <v>201</v>
      </c>
      <c r="J289" s="123" t="s">
        <v>3174</v>
      </c>
      <c r="K289" s="124">
        <v>1120.0</v>
      </c>
      <c r="L289" s="124">
        <v>11.5</v>
      </c>
      <c r="M289" s="123" t="s">
        <v>3658</v>
      </c>
      <c r="N289" s="124">
        <v>40.7692</v>
      </c>
      <c r="O289" s="124">
        <v>-74.0853</v>
      </c>
      <c r="P289" s="124">
        <v>1.0</v>
      </c>
      <c r="Q289" s="123"/>
      <c r="R289" s="125" t="s">
        <v>3170</v>
      </c>
      <c r="S289" s="123"/>
      <c r="T289" s="125" t="s">
        <v>3170</v>
      </c>
      <c r="U289" s="124">
        <v>2012.0</v>
      </c>
      <c r="V289" s="124">
        <v>2019.0</v>
      </c>
      <c r="W289" s="123"/>
      <c r="X289" s="123"/>
    </row>
    <row r="290">
      <c r="A290" s="123" t="s">
        <v>87</v>
      </c>
      <c r="B290" s="123" t="s">
        <v>4244</v>
      </c>
      <c r="C290" s="123"/>
      <c r="D290" s="123" t="s">
        <v>4245</v>
      </c>
      <c r="E290" s="123" t="s">
        <v>3164</v>
      </c>
      <c r="F290" s="123" t="s">
        <v>3165</v>
      </c>
      <c r="G290" s="123" t="s">
        <v>86</v>
      </c>
      <c r="H290" s="123" t="s">
        <v>3088</v>
      </c>
      <c r="I290" s="123" t="s">
        <v>201</v>
      </c>
      <c r="J290" s="123" t="s">
        <v>3174</v>
      </c>
      <c r="K290" s="124">
        <v>1250.0</v>
      </c>
      <c r="L290" s="124">
        <v>16.7</v>
      </c>
      <c r="M290" s="123" t="s">
        <v>3658</v>
      </c>
      <c r="N290" s="124">
        <v>34.5852</v>
      </c>
      <c r="O290" s="124">
        <v>-91.7517</v>
      </c>
      <c r="P290" s="123"/>
      <c r="Q290" s="123" t="s">
        <v>3592</v>
      </c>
      <c r="R290" s="125" t="s">
        <v>4246</v>
      </c>
      <c r="S290" s="123"/>
      <c r="T290" s="125" t="s">
        <v>3170</v>
      </c>
      <c r="U290" s="124">
        <v>2015.0</v>
      </c>
      <c r="V290" s="124">
        <v>2017.0</v>
      </c>
      <c r="W290" s="123" t="s">
        <v>4247</v>
      </c>
      <c r="X290" s="123"/>
    </row>
    <row r="291">
      <c r="A291" s="123" t="s">
        <v>87</v>
      </c>
      <c r="B291" s="123" t="s">
        <v>4248</v>
      </c>
      <c r="C291" s="123"/>
      <c r="D291" s="123" t="s">
        <v>4249</v>
      </c>
      <c r="E291" s="123" t="s">
        <v>3164</v>
      </c>
      <c r="F291" s="123" t="s">
        <v>3165</v>
      </c>
      <c r="G291" s="123" t="s">
        <v>86</v>
      </c>
      <c r="H291" s="123" t="s">
        <v>3088</v>
      </c>
      <c r="I291" s="123" t="s">
        <v>201</v>
      </c>
      <c r="J291" s="123" t="s">
        <v>3174</v>
      </c>
      <c r="K291" s="124">
        <v>1250.0</v>
      </c>
      <c r="L291" s="124">
        <v>16.7</v>
      </c>
      <c r="M291" s="123" t="s">
        <v>3658</v>
      </c>
      <c r="N291" s="124">
        <v>34.5888</v>
      </c>
      <c r="O291" s="124">
        <v>-91.7517</v>
      </c>
      <c r="P291" s="123"/>
      <c r="Q291" s="123" t="s">
        <v>3592</v>
      </c>
      <c r="R291" s="125" t="s">
        <v>4250</v>
      </c>
      <c r="S291" s="123"/>
      <c r="T291" s="125" t="s">
        <v>3170</v>
      </c>
      <c r="U291" s="124">
        <v>2015.0</v>
      </c>
      <c r="V291" s="123"/>
      <c r="W291" s="123" t="s">
        <v>4247</v>
      </c>
      <c r="X291" s="123"/>
    </row>
    <row r="292">
      <c r="A292" s="123" t="s">
        <v>87</v>
      </c>
      <c r="B292" s="123" t="s">
        <v>4251</v>
      </c>
      <c r="C292" s="123"/>
      <c r="D292" s="123" t="s">
        <v>4252</v>
      </c>
      <c r="E292" s="123" t="s">
        <v>3165</v>
      </c>
      <c r="F292" s="123" t="s">
        <v>3165</v>
      </c>
      <c r="G292" s="123" t="s">
        <v>86</v>
      </c>
      <c r="H292" s="123" t="s">
        <v>3088</v>
      </c>
      <c r="I292" s="123" t="s">
        <v>201</v>
      </c>
      <c r="J292" s="123" t="s">
        <v>3174</v>
      </c>
      <c r="K292" s="124">
        <v>1250.0</v>
      </c>
      <c r="L292" s="124">
        <v>16.7</v>
      </c>
      <c r="M292" s="123" t="s">
        <v>3658</v>
      </c>
      <c r="N292" s="124">
        <v>34.5955</v>
      </c>
      <c r="O292" s="124">
        <v>-91.7132</v>
      </c>
      <c r="P292" s="124">
        <v>61.0</v>
      </c>
      <c r="Q292" s="123"/>
      <c r="R292" s="125" t="s">
        <v>3170</v>
      </c>
      <c r="S292" s="123"/>
      <c r="T292" s="125" t="s">
        <v>3170</v>
      </c>
      <c r="U292" s="124">
        <v>2019.0</v>
      </c>
      <c r="V292" s="124">
        <v>2019.0</v>
      </c>
      <c r="W292" s="123"/>
      <c r="X292" s="123"/>
    </row>
    <row r="293">
      <c r="A293" s="123" t="s">
        <v>87</v>
      </c>
      <c r="B293" s="123" t="s">
        <v>4253</v>
      </c>
      <c r="C293" s="123"/>
      <c r="D293" s="123" t="s">
        <v>4254</v>
      </c>
      <c r="E293" s="123" t="s">
        <v>3165</v>
      </c>
      <c r="F293" s="123" t="s">
        <v>3165</v>
      </c>
      <c r="G293" s="123" t="s">
        <v>214</v>
      </c>
      <c r="H293" s="123" t="s">
        <v>3184</v>
      </c>
      <c r="I293" s="123" t="s">
        <v>107</v>
      </c>
      <c r="J293" s="123" t="s">
        <v>3249</v>
      </c>
      <c r="K293" s="124">
        <v>1195.0</v>
      </c>
      <c r="L293" s="124">
        <v>9.9</v>
      </c>
      <c r="M293" s="123" t="s">
        <v>3658</v>
      </c>
      <c r="N293" s="124">
        <v>41.938</v>
      </c>
      <c r="O293" s="124">
        <v>-70.0552</v>
      </c>
      <c r="P293" s="124">
        <v>0.5</v>
      </c>
      <c r="Q293" s="123"/>
      <c r="R293" s="125" t="s">
        <v>3170</v>
      </c>
      <c r="S293" s="123"/>
      <c r="T293" s="125" t="s">
        <v>3170</v>
      </c>
      <c r="U293" s="124">
        <v>2017.0</v>
      </c>
      <c r="V293" s="123"/>
      <c r="W293" s="123"/>
      <c r="X293" s="123"/>
    </row>
    <row r="294">
      <c r="A294" s="123" t="s">
        <v>87</v>
      </c>
      <c r="B294" s="123" t="s">
        <v>4255</v>
      </c>
      <c r="C294" s="123"/>
      <c r="D294" s="123" t="s">
        <v>4256</v>
      </c>
      <c r="E294" s="123" t="s">
        <v>3165</v>
      </c>
      <c r="F294" s="123" t="s">
        <v>3165</v>
      </c>
      <c r="G294" s="123" t="s">
        <v>86</v>
      </c>
      <c r="H294" s="123" t="s">
        <v>3088</v>
      </c>
      <c r="I294" s="123" t="s">
        <v>201</v>
      </c>
      <c r="J294" s="123" t="s">
        <v>3174</v>
      </c>
      <c r="K294" s="124">
        <v>1250.3</v>
      </c>
      <c r="L294" s="124">
        <v>16.78</v>
      </c>
      <c r="M294" s="123" t="s">
        <v>3658</v>
      </c>
      <c r="N294" s="124">
        <v>34.5922</v>
      </c>
      <c r="O294" s="124">
        <v>-91.7138</v>
      </c>
      <c r="P294" s="124">
        <v>61.0</v>
      </c>
      <c r="Q294" s="123"/>
      <c r="R294" s="125" t="s">
        <v>3170</v>
      </c>
      <c r="S294" s="123"/>
      <c r="T294" s="125" t="s">
        <v>3170</v>
      </c>
      <c r="U294" s="124">
        <v>2017.0</v>
      </c>
      <c r="V294" s="124">
        <v>2019.0</v>
      </c>
      <c r="W294" s="123"/>
      <c r="X294" s="123"/>
    </row>
    <row r="295">
      <c r="A295" s="123" t="s">
        <v>87</v>
      </c>
      <c r="B295" s="123" t="s">
        <v>4257</v>
      </c>
      <c r="C295" s="123"/>
      <c r="D295" s="123" t="s">
        <v>4258</v>
      </c>
      <c r="E295" s="123" t="s">
        <v>3164</v>
      </c>
      <c r="F295" s="123" t="s">
        <v>3165</v>
      </c>
      <c r="G295" s="123" t="s">
        <v>214</v>
      </c>
      <c r="H295" s="123" t="s">
        <v>3184</v>
      </c>
      <c r="I295" s="123" t="s">
        <v>175</v>
      </c>
      <c r="J295" s="123" t="s">
        <v>3366</v>
      </c>
      <c r="K295" s="124">
        <v>450.0</v>
      </c>
      <c r="L295" s="124">
        <v>15.6</v>
      </c>
      <c r="M295" s="123" t="s">
        <v>3658</v>
      </c>
      <c r="N295" s="124">
        <v>38.2368</v>
      </c>
      <c r="O295" s="124">
        <v>-122.0212</v>
      </c>
      <c r="P295" s="124">
        <v>1.113</v>
      </c>
      <c r="Q295" s="123" t="s">
        <v>3331</v>
      </c>
      <c r="R295" s="125" t="s">
        <v>4259</v>
      </c>
      <c r="S295" s="123"/>
      <c r="T295" s="125" t="s">
        <v>3170</v>
      </c>
      <c r="U295" s="124">
        <v>2021.0</v>
      </c>
      <c r="V295" s="123"/>
      <c r="W295" s="123" t="s">
        <v>4260</v>
      </c>
      <c r="X295" s="123"/>
    </row>
    <row r="296">
      <c r="A296" s="123" t="s">
        <v>87</v>
      </c>
      <c r="B296" s="123" t="s">
        <v>4261</v>
      </c>
      <c r="C296" s="123"/>
      <c r="D296" s="123" t="s">
        <v>4262</v>
      </c>
      <c r="E296" s="123" t="s">
        <v>3164</v>
      </c>
      <c r="F296" s="123" t="s">
        <v>3165</v>
      </c>
      <c r="G296" s="123" t="s">
        <v>214</v>
      </c>
      <c r="H296" s="123" t="s">
        <v>3184</v>
      </c>
      <c r="I296" s="123" t="s">
        <v>372</v>
      </c>
      <c r="J296" s="123" t="s">
        <v>3292</v>
      </c>
      <c r="K296" s="124">
        <v>217.0</v>
      </c>
      <c r="L296" s="124">
        <v>-10.29</v>
      </c>
      <c r="M296" s="123" t="s">
        <v>3658</v>
      </c>
      <c r="N296" s="124">
        <v>69.1423</v>
      </c>
      <c r="O296" s="124">
        <v>-148.8412</v>
      </c>
      <c r="P296" s="124">
        <v>298.0</v>
      </c>
      <c r="Q296" s="123" t="s">
        <v>4263</v>
      </c>
      <c r="R296" s="125" t="s">
        <v>4264</v>
      </c>
      <c r="S296" s="123"/>
      <c r="T296" s="125" t="s">
        <v>3170</v>
      </c>
      <c r="U296" s="124">
        <v>1994.0</v>
      </c>
      <c r="V296" s="124">
        <v>1995.0</v>
      </c>
      <c r="W296" s="123" t="s">
        <v>3427</v>
      </c>
      <c r="X296" s="123"/>
    </row>
    <row r="297">
      <c r="A297" s="123" t="s">
        <v>87</v>
      </c>
      <c r="B297" s="123" t="s">
        <v>4265</v>
      </c>
      <c r="C297" s="123"/>
      <c r="D297" s="123" t="s">
        <v>4266</v>
      </c>
      <c r="E297" s="123" t="s">
        <v>3164</v>
      </c>
      <c r="F297" s="123" t="s">
        <v>3165</v>
      </c>
      <c r="G297" s="123" t="s">
        <v>214</v>
      </c>
      <c r="H297" s="123" t="s">
        <v>3184</v>
      </c>
      <c r="I297" s="123" t="s">
        <v>605</v>
      </c>
      <c r="J297" s="123" t="s">
        <v>1686</v>
      </c>
      <c r="K297" s="124">
        <v>217.0</v>
      </c>
      <c r="L297" s="124">
        <v>-10.29</v>
      </c>
      <c r="M297" s="123" t="s">
        <v>3658</v>
      </c>
      <c r="N297" s="124">
        <v>69.1672</v>
      </c>
      <c r="O297" s="124">
        <v>-148.8569</v>
      </c>
      <c r="P297" s="124">
        <v>320.0</v>
      </c>
      <c r="Q297" s="124">
        <v>1995.0</v>
      </c>
      <c r="R297" s="125" t="s">
        <v>4267</v>
      </c>
      <c r="S297" s="123"/>
      <c r="T297" s="125" t="s">
        <v>3170</v>
      </c>
      <c r="U297" s="124">
        <v>1995.0</v>
      </c>
      <c r="V297" s="124">
        <v>1995.0</v>
      </c>
      <c r="W297" s="123" t="s">
        <v>4268</v>
      </c>
      <c r="X297" s="123"/>
    </row>
    <row r="298">
      <c r="A298" s="123" t="s">
        <v>87</v>
      </c>
      <c r="B298" s="123" t="s">
        <v>4269</v>
      </c>
      <c r="C298" s="123"/>
      <c r="D298" s="123" t="s">
        <v>4270</v>
      </c>
      <c r="E298" s="123" t="s">
        <v>3164</v>
      </c>
      <c r="F298" s="123" t="s">
        <v>3164</v>
      </c>
      <c r="G298" s="123" t="s">
        <v>362</v>
      </c>
      <c r="H298" s="123" t="s">
        <v>3225</v>
      </c>
      <c r="I298" s="123" t="s">
        <v>107</v>
      </c>
      <c r="J298" s="123" t="s">
        <v>3249</v>
      </c>
      <c r="K298" s="124">
        <v>1006.35</v>
      </c>
      <c r="L298" s="124">
        <v>10.1</v>
      </c>
      <c r="M298" s="123" t="s">
        <v>3658</v>
      </c>
      <c r="N298" s="124">
        <v>40.8608</v>
      </c>
      <c r="O298" s="124">
        <v>-77.8488</v>
      </c>
      <c r="P298" s="124">
        <v>378.0</v>
      </c>
      <c r="Q298" s="123" t="s">
        <v>3578</v>
      </c>
      <c r="R298" s="125" t="s">
        <v>4271</v>
      </c>
      <c r="S298" s="123" t="s">
        <v>3578</v>
      </c>
      <c r="T298" s="125" t="s">
        <v>4272</v>
      </c>
      <c r="U298" s="124">
        <v>2015.0</v>
      </c>
      <c r="V298" s="124">
        <v>2018.0</v>
      </c>
      <c r="W298" s="123" t="s">
        <v>4273</v>
      </c>
      <c r="X298" s="123"/>
    </row>
    <row r="299">
      <c r="A299" s="123" t="s">
        <v>87</v>
      </c>
      <c r="B299" s="123" t="s">
        <v>4274</v>
      </c>
      <c r="C299" s="123"/>
      <c r="D299" s="123" t="s">
        <v>4275</v>
      </c>
      <c r="E299" s="123" t="s">
        <v>3164</v>
      </c>
      <c r="F299" s="123" t="s">
        <v>3165</v>
      </c>
      <c r="G299" s="123" t="s">
        <v>86</v>
      </c>
      <c r="H299" s="123" t="s">
        <v>3088</v>
      </c>
      <c r="I299" s="123" t="s">
        <v>108</v>
      </c>
      <c r="J299" s="123" t="s">
        <v>3796</v>
      </c>
      <c r="K299" s="124">
        <v>929.23</v>
      </c>
      <c r="L299" s="124">
        <v>9.18</v>
      </c>
      <c r="M299" s="123" t="s">
        <v>3658</v>
      </c>
      <c r="N299" s="124">
        <v>41.8593</v>
      </c>
      <c r="O299" s="124">
        <v>-88.2227</v>
      </c>
      <c r="P299" s="124">
        <v>226.5</v>
      </c>
      <c r="Q299" s="123" t="s">
        <v>4276</v>
      </c>
      <c r="R299" s="125" t="s">
        <v>4277</v>
      </c>
      <c r="S299" s="123"/>
      <c r="T299" s="125" t="s">
        <v>3170</v>
      </c>
      <c r="U299" s="124">
        <v>2005.0</v>
      </c>
      <c r="V299" s="123"/>
      <c r="W299" s="123" t="s">
        <v>4278</v>
      </c>
      <c r="X299" s="123"/>
    </row>
    <row r="300">
      <c r="A300" s="123" t="s">
        <v>87</v>
      </c>
      <c r="B300" s="123" t="s">
        <v>4279</v>
      </c>
      <c r="C300" s="123"/>
      <c r="D300" s="123" t="s">
        <v>4280</v>
      </c>
      <c r="E300" s="123" t="s">
        <v>3164</v>
      </c>
      <c r="F300" s="123" t="s">
        <v>3165</v>
      </c>
      <c r="G300" s="123" t="s">
        <v>288</v>
      </c>
      <c r="H300" s="123" t="s">
        <v>3095</v>
      </c>
      <c r="I300" s="123" t="s">
        <v>108</v>
      </c>
      <c r="J300" s="123" t="s">
        <v>3796</v>
      </c>
      <c r="K300" s="124">
        <v>930.25</v>
      </c>
      <c r="L300" s="124">
        <v>9.04</v>
      </c>
      <c r="M300" s="123" t="s">
        <v>3658</v>
      </c>
      <c r="N300" s="124">
        <v>41.8406</v>
      </c>
      <c r="O300" s="124">
        <v>-88.241</v>
      </c>
      <c r="P300" s="124">
        <v>226.5</v>
      </c>
      <c r="Q300" s="123" t="s">
        <v>4281</v>
      </c>
      <c r="R300" s="125" t="s">
        <v>4282</v>
      </c>
      <c r="S300" s="123"/>
      <c r="T300" s="125" t="s">
        <v>3170</v>
      </c>
      <c r="U300" s="124">
        <v>2004.0</v>
      </c>
      <c r="V300" s="123"/>
      <c r="W300" s="123" t="s">
        <v>4278</v>
      </c>
      <c r="X300" s="123"/>
    </row>
    <row r="301">
      <c r="A301" s="123" t="s">
        <v>87</v>
      </c>
      <c r="B301" s="123" t="s">
        <v>4283</v>
      </c>
      <c r="C301" s="123"/>
      <c r="D301" s="123" t="s">
        <v>4284</v>
      </c>
      <c r="E301" s="123" t="s">
        <v>3164</v>
      </c>
      <c r="F301" s="123" t="s">
        <v>3164</v>
      </c>
      <c r="G301" s="123" t="s">
        <v>292</v>
      </c>
      <c r="H301" s="123" t="s">
        <v>3097</v>
      </c>
      <c r="I301" s="123" t="s">
        <v>605</v>
      </c>
      <c r="J301" s="123" t="s">
        <v>1686</v>
      </c>
      <c r="K301" s="124">
        <v>318.0</v>
      </c>
      <c r="L301" s="124">
        <v>-7.4</v>
      </c>
      <c r="M301" s="123" t="s">
        <v>3658</v>
      </c>
      <c r="N301" s="124">
        <v>68.6068</v>
      </c>
      <c r="O301" s="124">
        <v>-149.2958</v>
      </c>
      <c r="P301" s="124">
        <v>940.0</v>
      </c>
      <c r="Q301" s="123" t="s">
        <v>4285</v>
      </c>
      <c r="R301" s="125" t="s">
        <v>4286</v>
      </c>
      <c r="S301" s="123" t="s">
        <v>4285</v>
      </c>
      <c r="T301" s="125" t="s">
        <v>4287</v>
      </c>
      <c r="U301" s="124">
        <v>2007.0</v>
      </c>
      <c r="V301" s="123"/>
      <c r="W301" s="123" t="s">
        <v>4288</v>
      </c>
      <c r="X301" s="123"/>
    </row>
    <row r="302">
      <c r="A302" s="123" t="s">
        <v>87</v>
      </c>
      <c r="B302" s="123" t="s">
        <v>4289</v>
      </c>
      <c r="C302" s="123"/>
      <c r="D302" s="123" t="s">
        <v>4290</v>
      </c>
      <c r="E302" s="123" t="s">
        <v>3164</v>
      </c>
      <c r="F302" s="123" t="s">
        <v>3164</v>
      </c>
      <c r="G302" s="123" t="s">
        <v>214</v>
      </c>
      <c r="H302" s="123" t="s">
        <v>3184</v>
      </c>
      <c r="I302" s="123" t="s">
        <v>605</v>
      </c>
      <c r="J302" s="123" t="s">
        <v>1686</v>
      </c>
      <c r="K302" s="124">
        <v>318.0</v>
      </c>
      <c r="L302" s="124">
        <v>-7.4</v>
      </c>
      <c r="M302" s="123" t="s">
        <v>3658</v>
      </c>
      <c r="N302" s="124">
        <v>68.6058</v>
      </c>
      <c r="O302" s="124">
        <v>-149.311</v>
      </c>
      <c r="P302" s="124">
        <v>920.0</v>
      </c>
      <c r="Q302" s="123" t="s">
        <v>3367</v>
      </c>
      <c r="R302" s="125" t="s">
        <v>4291</v>
      </c>
      <c r="S302" s="123" t="s">
        <v>3369</v>
      </c>
      <c r="T302" s="125" t="s">
        <v>4292</v>
      </c>
      <c r="U302" s="124">
        <v>2007.0</v>
      </c>
      <c r="V302" s="123"/>
      <c r="W302" s="123" t="s">
        <v>4293</v>
      </c>
      <c r="X302" s="123"/>
    </row>
    <row r="303">
      <c r="A303" s="123" t="s">
        <v>87</v>
      </c>
      <c r="B303" s="123" t="s">
        <v>4294</v>
      </c>
      <c r="C303" s="123"/>
      <c r="D303" s="123" t="s">
        <v>4295</v>
      </c>
      <c r="E303" s="123" t="s">
        <v>3164</v>
      </c>
      <c r="F303" s="123" t="s">
        <v>3164</v>
      </c>
      <c r="G303" s="123" t="s">
        <v>292</v>
      </c>
      <c r="H303" s="123" t="s">
        <v>3097</v>
      </c>
      <c r="I303" s="123" t="s">
        <v>605</v>
      </c>
      <c r="J303" s="123" t="s">
        <v>1686</v>
      </c>
      <c r="K303" s="124">
        <v>318.0</v>
      </c>
      <c r="L303" s="124">
        <v>-7.4</v>
      </c>
      <c r="M303" s="123" t="s">
        <v>3658</v>
      </c>
      <c r="N303" s="124">
        <v>68.6063</v>
      </c>
      <c r="O303" s="124">
        <v>-149.3041</v>
      </c>
      <c r="P303" s="124">
        <v>930.0</v>
      </c>
      <c r="Q303" s="123" t="s">
        <v>3367</v>
      </c>
      <c r="R303" s="125" t="s">
        <v>4296</v>
      </c>
      <c r="S303" s="123" t="s">
        <v>4285</v>
      </c>
      <c r="T303" s="125" t="s">
        <v>4297</v>
      </c>
      <c r="U303" s="124">
        <v>2007.0</v>
      </c>
      <c r="V303" s="123"/>
      <c r="W303" s="123" t="s">
        <v>4298</v>
      </c>
      <c r="X303" s="123"/>
    </row>
    <row r="304">
      <c r="A304" s="123" t="s">
        <v>87</v>
      </c>
      <c r="B304" s="123" t="s">
        <v>1568</v>
      </c>
      <c r="C304" s="123"/>
      <c r="D304" s="123" t="s">
        <v>1569</v>
      </c>
      <c r="E304" s="123" t="s">
        <v>3165</v>
      </c>
      <c r="F304" s="123" t="s">
        <v>3165</v>
      </c>
      <c r="G304" s="123" t="s">
        <v>288</v>
      </c>
      <c r="H304" s="123" t="s">
        <v>3095</v>
      </c>
      <c r="I304" s="123" t="s">
        <v>201</v>
      </c>
      <c r="J304" s="123" t="s">
        <v>3174</v>
      </c>
      <c r="K304" s="124">
        <v>1300.0</v>
      </c>
      <c r="L304" s="124">
        <v>22.5</v>
      </c>
      <c r="M304" s="123" t="s">
        <v>3658</v>
      </c>
      <c r="N304" s="124">
        <v>27.1879</v>
      </c>
      <c r="O304" s="124">
        <v>-81.1996</v>
      </c>
      <c r="P304" s="124">
        <v>14.7</v>
      </c>
      <c r="Q304" s="123"/>
      <c r="R304" s="125" t="s">
        <v>3170</v>
      </c>
      <c r="S304" s="123"/>
      <c r="T304" s="125" t="s">
        <v>3170</v>
      </c>
      <c r="U304" s="124">
        <v>2013.0</v>
      </c>
      <c r="V304" s="123"/>
      <c r="W304" s="123"/>
      <c r="X304" s="123"/>
    </row>
    <row r="305">
      <c r="A305" s="123" t="s">
        <v>87</v>
      </c>
      <c r="B305" s="123" t="s">
        <v>4299</v>
      </c>
      <c r="C305" s="123"/>
      <c r="D305" s="123" t="s">
        <v>4300</v>
      </c>
      <c r="E305" s="123" t="s">
        <v>3164</v>
      </c>
      <c r="F305" s="123" t="s">
        <v>3165</v>
      </c>
      <c r="G305" s="123" t="s">
        <v>505</v>
      </c>
      <c r="H305" s="123" t="s">
        <v>3100</v>
      </c>
      <c r="I305" s="123" t="s">
        <v>201</v>
      </c>
      <c r="J305" s="123" t="s">
        <v>3174</v>
      </c>
      <c r="K305" s="123"/>
      <c r="L305" s="123"/>
      <c r="M305" s="123" t="s">
        <v>3658</v>
      </c>
      <c r="N305" s="124">
        <v>39.8273</v>
      </c>
      <c r="O305" s="124">
        <v>-86.179</v>
      </c>
      <c r="P305" s="123"/>
      <c r="Q305" s="123" t="s">
        <v>4301</v>
      </c>
      <c r="R305" s="125" t="s">
        <v>4302</v>
      </c>
      <c r="S305" s="123"/>
      <c r="T305" s="125" t="s">
        <v>3170</v>
      </c>
      <c r="U305" s="124">
        <v>2017.0</v>
      </c>
      <c r="V305" s="124">
        <v>2019.0</v>
      </c>
      <c r="W305" s="123" t="s">
        <v>3855</v>
      </c>
      <c r="X305" s="123"/>
    </row>
    <row r="306">
      <c r="A306" s="123" t="s">
        <v>87</v>
      </c>
      <c r="B306" s="123" t="s">
        <v>4303</v>
      </c>
      <c r="C306" s="123"/>
      <c r="D306" s="123" t="s">
        <v>4304</v>
      </c>
      <c r="E306" s="123" t="s">
        <v>3164</v>
      </c>
      <c r="F306" s="123" t="s">
        <v>3165</v>
      </c>
      <c r="G306" s="123" t="s">
        <v>505</v>
      </c>
      <c r="H306" s="123" t="s">
        <v>3100</v>
      </c>
      <c r="I306" s="123" t="s">
        <v>201</v>
      </c>
      <c r="J306" s="123" t="s">
        <v>3174</v>
      </c>
      <c r="K306" s="123"/>
      <c r="L306" s="123"/>
      <c r="M306" s="123" t="s">
        <v>3658</v>
      </c>
      <c r="N306" s="124">
        <v>39.8706</v>
      </c>
      <c r="O306" s="124">
        <v>-86.0024</v>
      </c>
      <c r="P306" s="123"/>
      <c r="Q306" s="123" t="s">
        <v>3639</v>
      </c>
      <c r="R306" s="125" t="s">
        <v>4305</v>
      </c>
      <c r="S306" s="123"/>
      <c r="T306" s="125" t="s">
        <v>3170</v>
      </c>
      <c r="U306" s="124">
        <v>2018.0</v>
      </c>
      <c r="V306" s="124">
        <v>2019.0</v>
      </c>
      <c r="W306" s="123" t="s">
        <v>3855</v>
      </c>
      <c r="X306" s="123"/>
    </row>
    <row r="307">
      <c r="A307" s="123" t="s">
        <v>87</v>
      </c>
      <c r="B307" s="123" t="s">
        <v>4306</v>
      </c>
      <c r="C307" s="123"/>
      <c r="D307" s="123" t="s">
        <v>4307</v>
      </c>
      <c r="E307" s="123" t="s">
        <v>3164</v>
      </c>
      <c r="F307" s="123" t="s">
        <v>3165</v>
      </c>
      <c r="G307" s="123" t="s">
        <v>505</v>
      </c>
      <c r="H307" s="123" t="s">
        <v>3100</v>
      </c>
      <c r="I307" s="123" t="s">
        <v>201</v>
      </c>
      <c r="J307" s="123" t="s">
        <v>3174</v>
      </c>
      <c r="K307" s="123"/>
      <c r="L307" s="123"/>
      <c r="M307" s="123" t="s">
        <v>3658</v>
      </c>
      <c r="N307" s="124">
        <v>39.7833</v>
      </c>
      <c r="O307" s="124">
        <v>-86.1652</v>
      </c>
      <c r="P307" s="123"/>
      <c r="Q307" s="123" t="s">
        <v>4308</v>
      </c>
      <c r="R307" s="125" t="s">
        <v>4309</v>
      </c>
      <c r="S307" s="123"/>
      <c r="T307" s="125" t="s">
        <v>3170</v>
      </c>
      <c r="U307" s="124">
        <v>2020.0</v>
      </c>
      <c r="V307" s="123"/>
      <c r="W307" s="123" t="s">
        <v>4310</v>
      </c>
      <c r="X307" s="123"/>
    </row>
    <row r="308">
      <c r="A308" s="123" t="s">
        <v>87</v>
      </c>
      <c r="B308" s="123" t="s">
        <v>4311</v>
      </c>
      <c r="C308" s="123"/>
      <c r="D308" s="123" t="s">
        <v>4312</v>
      </c>
      <c r="E308" s="123" t="s">
        <v>3164</v>
      </c>
      <c r="F308" s="123" t="s">
        <v>3165</v>
      </c>
      <c r="G308" s="123" t="s">
        <v>86</v>
      </c>
      <c r="H308" s="123" t="s">
        <v>3088</v>
      </c>
      <c r="I308" s="123" t="s">
        <v>201</v>
      </c>
      <c r="J308" s="123" t="s">
        <v>3174</v>
      </c>
      <c r="K308" s="123"/>
      <c r="L308" s="123"/>
      <c r="M308" s="123" t="s">
        <v>3658</v>
      </c>
      <c r="N308" s="124">
        <v>39.8645</v>
      </c>
      <c r="O308" s="124">
        <v>-86.5005</v>
      </c>
      <c r="P308" s="123"/>
      <c r="Q308" s="123" t="s">
        <v>3609</v>
      </c>
      <c r="R308" s="125" t="s">
        <v>4313</v>
      </c>
      <c r="S308" s="123"/>
      <c r="T308" s="125" t="s">
        <v>3170</v>
      </c>
      <c r="U308" s="124">
        <v>2017.0</v>
      </c>
      <c r="V308" s="124">
        <v>2018.0</v>
      </c>
      <c r="W308" s="123" t="s">
        <v>3855</v>
      </c>
      <c r="X308" s="123"/>
    </row>
    <row r="309">
      <c r="A309" s="123" t="s">
        <v>87</v>
      </c>
      <c r="B309" s="123" t="s">
        <v>4314</v>
      </c>
      <c r="C309" s="123"/>
      <c r="D309" s="123" t="s">
        <v>4315</v>
      </c>
      <c r="E309" s="123" t="s">
        <v>3164</v>
      </c>
      <c r="F309" s="123" t="s">
        <v>3165</v>
      </c>
      <c r="G309" s="123" t="s">
        <v>86</v>
      </c>
      <c r="H309" s="123" t="s">
        <v>3088</v>
      </c>
      <c r="I309" s="123" t="s">
        <v>201</v>
      </c>
      <c r="J309" s="123" t="s">
        <v>3174</v>
      </c>
      <c r="K309" s="123"/>
      <c r="L309" s="123"/>
      <c r="M309" s="123" t="s">
        <v>3658</v>
      </c>
      <c r="N309" s="124">
        <v>39.8632</v>
      </c>
      <c r="O309" s="124">
        <v>-86.5083</v>
      </c>
      <c r="P309" s="123"/>
      <c r="Q309" s="123" t="s">
        <v>4301</v>
      </c>
      <c r="R309" s="125" t="s">
        <v>4316</v>
      </c>
      <c r="S309" s="123"/>
      <c r="T309" s="125" t="s">
        <v>3170</v>
      </c>
      <c r="U309" s="124">
        <v>2017.0</v>
      </c>
      <c r="V309" s="124">
        <v>2019.0</v>
      </c>
      <c r="W309" s="123" t="s">
        <v>3855</v>
      </c>
      <c r="X309" s="123"/>
    </row>
    <row r="310">
      <c r="A310" s="123" t="s">
        <v>87</v>
      </c>
      <c r="B310" s="123" t="s">
        <v>4317</v>
      </c>
      <c r="C310" s="123"/>
      <c r="D310" s="123" t="s">
        <v>4318</v>
      </c>
      <c r="E310" s="123" t="s">
        <v>3164</v>
      </c>
      <c r="F310" s="123" t="s">
        <v>3165</v>
      </c>
      <c r="G310" s="123" t="s">
        <v>505</v>
      </c>
      <c r="H310" s="123" t="s">
        <v>3100</v>
      </c>
      <c r="I310" s="123" t="s">
        <v>201</v>
      </c>
      <c r="J310" s="123" t="s">
        <v>3174</v>
      </c>
      <c r="K310" s="123"/>
      <c r="L310" s="123"/>
      <c r="M310" s="123" t="s">
        <v>3658</v>
      </c>
      <c r="N310" s="124">
        <v>39.7978</v>
      </c>
      <c r="O310" s="124">
        <v>-86.0183</v>
      </c>
      <c r="P310" s="123"/>
      <c r="Q310" s="124">
        <v>2013.0</v>
      </c>
      <c r="R310" s="125" t="s">
        <v>4319</v>
      </c>
      <c r="S310" s="123"/>
      <c r="T310" s="125" t="s">
        <v>3170</v>
      </c>
      <c r="U310" s="124">
        <v>2013.0</v>
      </c>
      <c r="V310" s="124">
        <v>2013.0</v>
      </c>
      <c r="W310" s="123" t="s">
        <v>4320</v>
      </c>
      <c r="X310" s="123"/>
    </row>
    <row r="311">
      <c r="A311" s="123" t="s">
        <v>87</v>
      </c>
      <c r="B311" s="123" t="s">
        <v>4321</v>
      </c>
      <c r="C311" s="123"/>
      <c r="D311" s="123" t="s">
        <v>4322</v>
      </c>
      <c r="E311" s="123" t="s">
        <v>3164</v>
      </c>
      <c r="F311" s="123" t="s">
        <v>3165</v>
      </c>
      <c r="G311" s="123" t="s">
        <v>505</v>
      </c>
      <c r="H311" s="123" t="s">
        <v>3100</v>
      </c>
      <c r="I311" s="123" t="s">
        <v>201</v>
      </c>
      <c r="J311" s="123" t="s">
        <v>3174</v>
      </c>
      <c r="K311" s="123"/>
      <c r="L311" s="123"/>
      <c r="M311" s="123" t="s">
        <v>3658</v>
      </c>
      <c r="N311" s="124">
        <v>39.7739</v>
      </c>
      <c r="O311" s="124">
        <v>-86.2724</v>
      </c>
      <c r="P311" s="123"/>
      <c r="Q311" s="123" t="s">
        <v>4323</v>
      </c>
      <c r="R311" s="125" t="s">
        <v>4324</v>
      </c>
      <c r="S311" s="123"/>
      <c r="T311" s="125" t="s">
        <v>3170</v>
      </c>
      <c r="U311" s="124">
        <v>2019.0</v>
      </c>
      <c r="V311" s="123"/>
      <c r="W311" s="123" t="s">
        <v>3855</v>
      </c>
      <c r="X311" s="123"/>
    </row>
    <row r="312">
      <c r="A312" s="123" t="s">
        <v>87</v>
      </c>
      <c r="B312" s="123" t="s">
        <v>4325</v>
      </c>
      <c r="C312" s="123"/>
      <c r="D312" s="123" t="s">
        <v>4326</v>
      </c>
      <c r="E312" s="123" t="s">
        <v>3164</v>
      </c>
      <c r="F312" s="123" t="s">
        <v>3165</v>
      </c>
      <c r="G312" s="123" t="s">
        <v>86</v>
      </c>
      <c r="H312" s="123" t="s">
        <v>3088</v>
      </c>
      <c r="I312" s="123" t="s">
        <v>201</v>
      </c>
      <c r="J312" s="123" t="s">
        <v>3174</v>
      </c>
      <c r="K312" s="123"/>
      <c r="L312" s="123"/>
      <c r="M312" s="123" t="s">
        <v>3658</v>
      </c>
      <c r="N312" s="124">
        <v>39.8167</v>
      </c>
      <c r="O312" s="124">
        <v>-85.7005</v>
      </c>
      <c r="P312" s="123"/>
      <c r="Q312" s="123" t="s">
        <v>3922</v>
      </c>
      <c r="R312" s="125" t="s">
        <v>4327</v>
      </c>
      <c r="S312" s="123"/>
      <c r="T312" s="125" t="s">
        <v>3170</v>
      </c>
      <c r="U312" s="124">
        <v>2019.0</v>
      </c>
      <c r="V312" s="124">
        <v>2022.0</v>
      </c>
      <c r="W312" s="123" t="s">
        <v>3855</v>
      </c>
      <c r="X312" s="123"/>
    </row>
    <row r="313">
      <c r="A313" s="123" t="s">
        <v>87</v>
      </c>
      <c r="B313" s="123" t="s">
        <v>4328</v>
      </c>
      <c r="C313" s="123"/>
      <c r="D313" s="123" t="s">
        <v>4329</v>
      </c>
      <c r="E313" s="123" t="s">
        <v>3164</v>
      </c>
      <c r="F313" s="123" t="s">
        <v>3165</v>
      </c>
      <c r="G313" s="123" t="s">
        <v>86</v>
      </c>
      <c r="H313" s="123" t="s">
        <v>3088</v>
      </c>
      <c r="I313" s="123" t="s">
        <v>201</v>
      </c>
      <c r="J313" s="123" t="s">
        <v>3174</v>
      </c>
      <c r="K313" s="123"/>
      <c r="L313" s="123"/>
      <c r="M313" s="123" t="s">
        <v>3658</v>
      </c>
      <c r="N313" s="124">
        <v>39.8766</v>
      </c>
      <c r="O313" s="124">
        <v>-85.7066</v>
      </c>
      <c r="P313" s="123"/>
      <c r="Q313" s="123" t="s">
        <v>4308</v>
      </c>
      <c r="R313" s="125" t="s">
        <v>4330</v>
      </c>
      <c r="S313" s="123"/>
      <c r="T313" s="125" t="s">
        <v>3170</v>
      </c>
      <c r="U313" s="124">
        <v>2020.0</v>
      </c>
      <c r="V313" s="123"/>
      <c r="W313" s="123" t="s">
        <v>3855</v>
      </c>
      <c r="X313" s="123"/>
    </row>
    <row r="314">
      <c r="A314" s="123" t="s">
        <v>87</v>
      </c>
      <c r="B314" s="123" t="s">
        <v>4331</v>
      </c>
      <c r="C314" s="123"/>
      <c r="D314" s="123" t="s">
        <v>4332</v>
      </c>
      <c r="E314" s="123" t="s">
        <v>3164</v>
      </c>
      <c r="F314" s="123" t="s">
        <v>3165</v>
      </c>
      <c r="G314" s="123" t="s">
        <v>86</v>
      </c>
      <c r="H314" s="123" t="s">
        <v>3088</v>
      </c>
      <c r="I314" s="123" t="s">
        <v>201</v>
      </c>
      <c r="J314" s="123" t="s">
        <v>3174</v>
      </c>
      <c r="K314" s="123"/>
      <c r="L314" s="123"/>
      <c r="M314" s="123" t="s">
        <v>3658</v>
      </c>
      <c r="N314" s="124">
        <v>39.9468</v>
      </c>
      <c r="O314" s="124">
        <v>-86.788</v>
      </c>
      <c r="P314" s="123"/>
      <c r="Q314" s="123" t="s">
        <v>3897</v>
      </c>
      <c r="R314" s="125" t="s">
        <v>4333</v>
      </c>
      <c r="S314" s="123"/>
      <c r="T314" s="125" t="s">
        <v>3170</v>
      </c>
      <c r="U314" s="124">
        <v>2019.0</v>
      </c>
      <c r="V314" s="124">
        <v>2021.0</v>
      </c>
      <c r="W314" s="123" t="s">
        <v>3855</v>
      </c>
      <c r="X314" s="123"/>
    </row>
    <row r="315">
      <c r="A315" s="123" t="s">
        <v>87</v>
      </c>
      <c r="B315" s="123" t="s">
        <v>4334</v>
      </c>
      <c r="C315" s="123"/>
      <c r="D315" s="123" t="s">
        <v>4335</v>
      </c>
      <c r="E315" s="123" t="s">
        <v>3164</v>
      </c>
      <c r="F315" s="123" t="s">
        <v>3165</v>
      </c>
      <c r="G315" s="123" t="s">
        <v>86</v>
      </c>
      <c r="H315" s="123" t="s">
        <v>3088</v>
      </c>
      <c r="I315" s="123" t="s">
        <v>201</v>
      </c>
      <c r="J315" s="123" t="s">
        <v>3174</v>
      </c>
      <c r="K315" s="123"/>
      <c r="L315" s="123"/>
      <c r="M315" s="123" t="s">
        <v>3658</v>
      </c>
      <c r="N315" s="124">
        <v>39.9477</v>
      </c>
      <c r="O315" s="124">
        <v>-86.7821</v>
      </c>
      <c r="P315" s="123"/>
      <c r="Q315" s="123" t="s">
        <v>3976</v>
      </c>
      <c r="R315" s="125" t="s">
        <v>4336</v>
      </c>
      <c r="S315" s="123"/>
      <c r="T315" s="125" t="s">
        <v>3170</v>
      </c>
      <c r="U315" s="124">
        <v>2021.0</v>
      </c>
      <c r="V315" s="124">
        <v>2021.0</v>
      </c>
      <c r="W315" s="123" t="s">
        <v>3855</v>
      </c>
      <c r="X315" s="123"/>
    </row>
    <row r="316">
      <c r="A316" s="123" t="s">
        <v>87</v>
      </c>
      <c r="B316" s="123" t="s">
        <v>4337</v>
      </c>
      <c r="C316" s="123"/>
      <c r="D316" s="123" t="s">
        <v>409</v>
      </c>
      <c r="E316" s="123" t="s">
        <v>3164</v>
      </c>
      <c r="F316" s="123" t="s">
        <v>3165</v>
      </c>
      <c r="G316" s="123" t="s">
        <v>214</v>
      </c>
      <c r="H316" s="123" t="s">
        <v>3184</v>
      </c>
      <c r="I316" s="123" t="s">
        <v>605</v>
      </c>
      <c r="J316" s="123" t="s">
        <v>1686</v>
      </c>
      <c r="K316" s="124">
        <v>304.0</v>
      </c>
      <c r="L316" s="124">
        <v>-8.28</v>
      </c>
      <c r="M316" s="123" t="s">
        <v>3658</v>
      </c>
      <c r="N316" s="124">
        <v>68.4865</v>
      </c>
      <c r="O316" s="124">
        <v>-155.7503</v>
      </c>
      <c r="P316" s="124">
        <v>568.0</v>
      </c>
      <c r="Q316" s="123" t="s">
        <v>4338</v>
      </c>
      <c r="R316" s="125" t="s">
        <v>4339</v>
      </c>
      <c r="S316" s="123"/>
      <c r="T316" s="125" t="s">
        <v>3170</v>
      </c>
      <c r="U316" s="124">
        <v>2003.0</v>
      </c>
      <c r="V316" s="123"/>
      <c r="W316" s="123" t="s">
        <v>4340</v>
      </c>
      <c r="X316" s="123"/>
    </row>
    <row r="317">
      <c r="A317" s="123" t="s">
        <v>87</v>
      </c>
      <c r="B317" s="123" t="s">
        <v>1168</v>
      </c>
      <c r="C317" s="123"/>
      <c r="D317" s="123" t="s">
        <v>4341</v>
      </c>
      <c r="E317" s="123" t="s">
        <v>3165</v>
      </c>
      <c r="F317" s="123" t="s">
        <v>3165</v>
      </c>
      <c r="G317" s="123" t="s">
        <v>214</v>
      </c>
      <c r="H317" s="123" t="s">
        <v>3184</v>
      </c>
      <c r="I317" s="123" t="s">
        <v>201</v>
      </c>
      <c r="J317" s="123" t="s">
        <v>3174</v>
      </c>
      <c r="K317" s="124">
        <v>1120.0</v>
      </c>
      <c r="L317" s="124">
        <v>13.1</v>
      </c>
      <c r="M317" s="123" t="s">
        <v>3658</v>
      </c>
      <c r="N317" s="124">
        <v>39.0574</v>
      </c>
      <c r="O317" s="124">
        <v>-75.7531</v>
      </c>
      <c r="P317" s="124">
        <v>17.0</v>
      </c>
      <c r="Q317" s="123"/>
      <c r="R317" s="125" t="s">
        <v>3170</v>
      </c>
      <c r="S317" s="123"/>
      <c r="T317" s="125" t="s">
        <v>3170</v>
      </c>
      <c r="U317" s="124">
        <v>2018.0</v>
      </c>
      <c r="V317" s="123"/>
      <c r="W317" s="123"/>
      <c r="X317" s="123"/>
    </row>
    <row r="318">
      <c r="A318" s="123" t="s">
        <v>87</v>
      </c>
      <c r="B318" s="123" t="s">
        <v>4342</v>
      </c>
      <c r="C318" s="123"/>
      <c r="D318" s="123" t="s">
        <v>4343</v>
      </c>
      <c r="E318" s="123" t="s">
        <v>3165</v>
      </c>
      <c r="F318" s="123" t="s">
        <v>3165</v>
      </c>
      <c r="G318" s="123" t="s">
        <v>214</v>
      </c>
      <c r="H318" s="123" t="s">
        <v>3184</v>
      </c>
      <c r="I318" s="123" t="s">
        <v>201</v>
      </c>
      <c r="J318" s="123" t="s">
        <v>3174</v>
      </c>
      <c r="K318" s="124">
        <v>1120.0</v>
      </c>
      <c r="L318" s="124">
        <v>13.1</v>
      </c>
      <c r="M318" s="123" t="s">
        <v>3658</v>
      </c>
      <c r="N318" s="124">
        <v>39.0543</v>
      </c>
      <c r="O318" s="124">
        <v>-75.7531</v>
      </c>
      <c r="P318" s="124">
        <v>17.0</v>
      </c>
      <c r="Q318" s="123"/>
      <c r="R318" s="125" t="s">
        <v>3170</v>
      </c>
      <c r="S318" s="123"/>
      <c r="T318" s="125" t="s">
        <v>3170</v>
      </c>
      <c r="U318" s="124">
        <v>2018.0</v>
      </c>
      <c r="V318" s="123"/>
      <c r="W318" s="123"/>
      <c r="X318" s="123"/>
    </row>
    <row r="319">
      <c r="A319" s="123" t="s">
        <v>87</v>
      </c>
      <c r="B319" s="123" t="s">
        <v>4344</v>
      </c>
      <c r="C319" s="123"/>
      <c r="D319" s="123" t="s">
        <v>4345</v>
      </c>
      <c r="E319" s="123" t="s">
        <v>3164</v>
      </c>
      <c r="F319" s="123" t="s">
        <v>3164</v>
      </c>
      <c r="G319" s="123" t="s">
        <v>292</v>
      </c>
      <c r="H319" s="123" t="s">
        <v>3097</v>
      </c>
      <c r="I319" s="123" t="s">
        <v>3597</v>
      </c>
      <c r="J319" s="123" t="s">
        <v>3598</v>
      </c>
      <c r="K319" s="124">
        <v>245.1</v>
      </c>
      <c r="L319" s="124">
        <v>14.7</v>
      </c>
      <c r="M319" s="123" t="s">
        <v>3658</v>
      </c>
      <c r="N319" s="124">
        <v>32.582</v>
      </c>
      <c r="O319" s="124">
        <v>-106.635</v>
      </c>
      <c r="P319" s="124">
        <v>1188.0</v>
      </c>
      <c r="Q319" s="123" t="s">
        <v>4346</v>
      </c>
      <c r="R319" s="125" t="s">
        <v>4347</v>
      </c>
      <c r="S319" s="123" t="s">
        <v>4346</v>
      </c>
      <c r="T319" s="125" t="s">
        <v>4348</v>
      </c>
      <c r="U319" s="124">
        <v>2010.0</v>
      </c>
      <c r="V319" s="123"/>
      <c r="W319" s="123" t="s">
        <v>4349</v>
      </c>
      <c r="X319" s="123"/>
    </row>
    <row r="320">
      <c r="A320" s="123" t="s">
        <v>87</v>
      </c>
      <c r="B320" s="123" t="s">
        <v>4350</v>
      </c>
      <c r="C320" s="123"/>
      <c r="D320" s="123" t="s">
        <v>4351</v>
      </c>
      <c r="E320" s="123" t="s">
        <v>3164</v>
      </c>
      <c r="F320" s="123" t="s">
        <v>3164</v>
      </c>
      <c r="G320" s="123" t="s">
        <v>292</v>
      </c>
      <c r="H320" s="123" t="s">
        <v>3097</v>
      </c>
      <c r="I320" s="123" t="s">
        <v>3597</v>
      </c>
      <c r="J320" s="123" t="s">
        <v>3598</v>
      </c>
      <c r="K320" s="124">
        <v>282.3</v>
      </c>
      <c r="L320" s="124">
        <v>17.5</v>
      </c>
      <c r="M320" s="123" t="s">
        <v>3658</v>
      </c>
      <c r="N320" s="124">
        <v>32.5849</v>
      </c>
      <c r="O320" s="124">
        <v>-106.6032</v>
      </c>
      <c r="P320" s="124">
        <v>1469.0</v>
      </c>
      <c r="Q320" s="123" t="s">
        <v>4346</v>
      </c>
      <c r="R320" s="125" t="s">
        <v>4352</v>
      </c>
      <c r="S320" s="123" t="s">
        <v>4346</v>
      </c>
      <c r="T320" s="125" t="s">
        <v>4353</v>
      </c>
      <c r="U320" s="124">
        <v>2010.0</v>
      </c>
      <c r="V320" s="123"/>
      <c r="W320" s="123" t="s">
        <v>4354</v>
      </c>
      <c r="X320" s="123"/>
    </row>
    <row r="321">
      <c r="A321" s="123" t="s">
        <v>87</v>
      </c>
      <c r="B321" s="123" t="s">
        <v>4355</v>
      </c>
      <c r="C321" s="123"/>
      <c r="D321" s="123" t="s">
        <v>4356</v>
      </c>
      <c r="E321" s="123" t="s">
        <v>3165</v>
      </c>
      <c r="F321" s="123" t="s">
        <v>3165</v>
      </c>
      <c r="G321" s="123" t="s">
        <v>664</v>
      </c>
      <c r="H321" s="123" t="s">
        <v>3087</v>
      </c>
      <c r="I321" s="123" t="s">
        <v>3597</v>
      </c>
      <c r="J321" s="123" t="s">
        <v>3598</v>
      </c>
      <c r="K321" s="124">
        <v>245.1</v>
      </c>
      <c r="L321" s="124">
        <v>14.7</v>
      </c>
      <c r="M321" s="123" t="s">
        <v>3658</v>
      </c>
      <c r="N321" s="124">
        <v>32.7123</v>
      </c>
      <c r="O321" s="124">
        <v>-106.8303</v>
      </c>
      <c r="P321" s="123"/>
      <c r="Q321" s="123"/>
      <c r="R321" s="125" t="s">
        <v>3170</v>
      </c>
      <c r="S321" s="123"/>
      <c r="T321" s="125" t="s">
        <v>3170</v>
      </c>
      <c r="U321" s="124">
        <v>2021.0</v>
      </c>
      <c r="V321" s="123"/>
      <c r="W321" s="123"/>
      <c r="X321" s="123"/>
    </row>
    <row r="322">
      <c r="A322" s="123" t="s">
        <v>87</v>
      </c>
      <c r="B322" s="123" t="s">
        <v>4357</v>
      </c>
      <c r="C322" s="123"/>
      <c r="D322" s="123" t="s">
        <v>4358</v>
      </c>
      <c r="E322" s="123" t="s">
        <v>3164</v>
      </c>
      <c r="F322" s="123" t="s">
        <v>3165</v>
      </c>
      <c r="G322" s="123" t="s">
        <v>288</v>
      </c>
      <c r="H322" s="123" t="s">
        <v>3095</v>
      </c>
      <c r="I322" s="123" t="s">
        <v>201</v>
      </c>
      <c r="J322" s="123" t="s">
        <v>3174</v>
      </c>
      <c r="K322" s="124">
        <v>1095.5</v>
      </c>
      <c r="L322" s="124">
        <v>13.2</v>
      </c>
      <c r="M322" s="123" t="s">
        <v>3658</v>
      </c>
      <c r="N322" s="124">
        <v>39.6789</v>
      </c>
      <c r="O322" s="124">
        <v>-80.1646</v>
      </c>
      <c r="P322" s="124">
        <v>384.048</v>
      </c>
      <c r="Q322" s="123" t="s">
        <v>4301</v>
      </c>
      <c r="R322" s="125" t="s">
        <v>4359</v>
      </c>
      <c r="S322" s="123"/>
      <c r="T322" s="125" t="s">
        <v>3170</v>
      </c>
      <c r="U322" s="124">
        <v>2017.0</v>
      </c>
      <c r="V322" s="124">
        <v>2018.0</v>
      </c>
      <c r="W322" s="123" t="s">
        <v>4360</v>
      </c>
      <c r="X322" s="123"/>
    </row>
    <row r="323">
      <c r="A323" s="123" t="s">
        <v>87</v>
      </c>
      <c r="B323" s="123" t="s">
        <v>4361</v>
      </c>
      <c r="C323" s="123"/>
      <c r="D323" s="123" t="s">
        <v>4362</v>
      </c>
      <c r="E323" s="123" t="s">
        <v>3165</v>
      </c>
      <c r="F323" s="123" t="s">
        <v>3165</v>
      </c>
      <c r="G323" s="123" t="s">
        <v>86</v>
      </c>
      <c r="H323" s="123" t="s">
        <v>3088</v>
      </c>
      <c r="I323" s="123" t="s">
        <v>108</v>
      </c>
      <c r="J323" s="123" t="s">
        <v>3796</v>
      </c>
      <c r="K323" s="124">
        <v>879.0</v>
      </c>
      <c r="L323" s="124">
        <v>6.4</v>
      </c>
      <c r="M323" s="123" t="s">
        <v>3658</v>
      </c>
      <c r="N323" s="124">
        <v>44.6886</v>
      </c>
      <c r="O323" s="124">
        <v>-93.0728</v>
      </c>
      <c r="P323" s="124">
        <v>290.0</v>
      </c>
      <c r="Q323" s="123"/>
      <c r="R323" s="125" t="s">
        <v>3170</v>
      </c>
      <c r="S323" s="123"/>
      <c r="T323" s="125" t="s">
        <v>3170</v>
      </c>
      <c r="U323" s="124">
        <v>2007.0</v>
      </c>
      <c r="V323" s="123"/>
      <c r="W323" s="123"/>
      <c r="X323" s="123"/>
    </row>
    <row r="324">
      <c r="A324" s="123" t="s">
        <v>87</v>
      </c>
      <c r="B324" s="123" t="s">
        <v>4363</v>
      </c>
      <c r="C324" s="123"/>
      <c r="D324" s="123" t="s">
        <v>4364</v>
      </c>
      <c r="E324" s="123" t="s">
        <v>3165</v>
      </c>
      <c r="F324" s="123" t="s">
        <v>3165</v>
      </c>
      <c r="G324" s="123" t="s">
        <v>288</v>
      </c>
      <c r="H324" s="123" t="s">
        <v>3095</v>
      </c>
      <c r="I324" s="123" t="s">
        <v>201</v>
      </c>
      <c r="J324" s="123" t="s">
        <v>3174</v>
      </c>
      <c r="K324" s="124">
        <v>867.0</v>
      </c>
      <c r="L324" s="124">
        <v>12.77</v>
      </c>
      <c r="M324" s="123" t="s">
        <v>3658</v>
      </c>
      <c r="N324" s="124">
        <v>39.0745</v>
      </c>
      <c r="O324" s="124">
        <v>-96.5951</v>
      </c>
      <c r="P324" s="124">
        <v>330.0</v>
      </c>
      <c r="Q324" s="123"/>
      <c r="R324" s="125" t="s">
        <v>3170</v>
      </c>
      <c r="S324" s="123"/>
      <c r="T324" s="125" t="s">
        <v>3170</v>
      </c>
      <c r="U324" s="124">
        <v>2006.0</v>
      </c>
      <c r="V324" s="123"/>
      <c r="W324" s="123"/>
      <c r="X324" s="123"/>
    </row>
    <row r="325">
      <c r="A325" s="123" t="s">
        <v>87</v>
      </c>
      <c r="B325" s="123" t="s">
        <v>2490</v>
      </c>
      <c r="C325" s="123"/>
      <c r="D325" s="123" t="s">
        <v>4365</v>
      </c>
      <c r="E325" s="123" t="s">
        <v>3164</v>
      </c>
      <c r="F325" s="123" t="s">
        <v>3164</v>
      </c>
      <c r="G325" s="123" t="s">
        <v>288</v>
      </c>
      <c r="H325" s="123" t="s">
        <v>3095</v>
      </c>
      <c r="I325" s="123" t="s">
        <v>201</v>
      </c>
      <c r="J325" s="123" t="s">
        <v>3174</v>
      </c>
      <c r="K325" s="124">
        <v>1014.0</v>
      </c>
      <c r="L325" s="124">
        <v>12.0</v>
      </c>
      <c r="M325" s="123" t="s">
        <v>3658</v>
      </c>
      <c r="N325" s="124">
        <v>39.0561</v>
      </c>
      <c r="O325" s="124">
        <v>-95.1907</v>
      </c>
      <c r="P325" s="124">
        <v>310.0</v>
      </c>
      <c r="Q325" s="123" t="s">
        <v>4366</v>
      </c>
      <c r="R325" s="125" t="s">
        <v>4367</v>
      </c>
      <c r="S325" s="123" t="s">
        <v>4366</v>
      </c>
      <c r="T325" s="125" t="s">
        <v>4368</v>
      </c>
      <c r="U325" s="124">
        <v>2007.0</v>
      </c>
      <c r="V325" s="123"/>
      <c r="W325" s="123" t="s">
        <v>4369</v>
      </c>
      <c r="X325" s="123"/>
    </row>
    <row r="326">
      <c r="A326" s="123" t="s">
        <v>87</v>
      </c>
      <c r="B326" s="123" t="s">
        <v>4370</v>
      </c>
      <c r="C326" s="123"/>
      <c r="D326" s="123" t="s">
        <v>4371</v>
      </c>
      <c r="E326" s="123" t="s">
        <v>3165</v>
      </c>
      <c r="F326" s="123" t="s">
        <v>3165</v>
      </c>
      <c r="G326" s="123" t="s">
        <v>288</v>
      </c>
      <c r="H326" s="123" t="s">
        <v>3095</v>
      </c>
      <c r="I326" s="123" t="s">
        <v>107</v>
      </c>
      <c r="J326" s="123" t="s">
        <v>3249</v>
      </c>
      <c r="K326" s="124">
        <v>1170.0</v>
      </c>
      <c r="L326" s="124">
        <v>8.9</v>
      </c>
      <c r="M326" s="123" t="s">
        <v>3658</v>
      </c>
      <c r="N326" s="124">
        <v>43.1717</v>
      </c>
      <c r="O326" s="124">
        <v>-70.9259</v>
      </c>
      <c r="P326" s="124">
        <v>35.0</v>
      </c>
      <c r="Q326" s="123"/>
      <c r="R326" s="125" t="s">
        <v>3170</v>
      </c>
      <c r="S326" s="123"/>
      <c r="T326" s="125" t="s">
        <v>3170</v>
      </c>
      <c r="U326" s="124">
        <v>2014.0</v>
      </c>
      <c r="V326" s="124">
        <v>2019.0</v>
      </c>
      <c r="W326" s="123"/>
      <c r="X326" s="123"/>
    </row>
    <row r="327">
      <c r="A327" s="123" t="s">
        <v>87</v>
      </c>
      <c r="B327" s="123" t="s">
        <v>4372</v>
      </c>
      <c r="C327" s="123"/>
      <c r="D327" s="123" t="s">
        <v>4373</v>
      </c>
      <c r="E327" s="123" t="s">
        <v>3164</v>
      </c>
      <c r="F327" s="123" t="s">
        <v>3165</v>
      </c>
      <c r="G327" s="123" t="s">
        <v>86</v>
      </c>
      <c r="H327" s="123" t="s">
        <v>3088</v>
      </c>
      <c r="I327" s="123" t="s">
        <v>108</v>
      </c>
      <c r="J327" s="123" t="s">
        <v>3796</v>
      </c>
      <c r="K327" s="124">
        <v>1027.0</v>
      </c>
      <c r="L327" s="124">
        <v>9.9</v>
      </c>
      <c r="M327" s="123" t="s">
        <v>3658</v>
      </c>
      <c r="N327" s="124">
        <v>42.4847</v>
      </c>
      <c r="O327" s="124">
        <v>-85.4422</v>
      </c>
      <c r="P327" s="124">
        <v>264.6</v>
      </c>
      <c r="Q327" s="123" t="s">
        <v>4374</v>
      </c>
      <c r="R327" s="125" t="s">
        <v>4375</v>
      </c>
      <c r="S327" s="123"/>
      <c r="T327" s="125" t="s">
        <v>3170</v>
      </c>
      <c r="U327" s="124">
        <v>2009.0</v>
      </c>
      <c r="V327" s="123"/>
      <c r="W327" s="123" t="s">
        <v>4376</v>
      </c>
      <c r="X327" s="123"/>
    </row>
    <row r="328">
      <c r="A328" s="123" t="s">
        <v>87</v>
      </c>
      <c r="B328" s="123" t="s">
        <v>4377</v>
      </c>
      <c r="C328" s="123"/>
      <c r="D328" s="123" t="s">
        <v>4378</v>
      </c>
      <c r="E328" s="123" t="s">
        <v>3164</v>
      </c>
      <c r="F328" s="123" t="s">
        <v>3165</v>
      </c>
      <c r="G328" s="123" t="s">
        <v>288</v>
      </c>
      <c r="H328" s="123" t="s">
        <v>3095</v>
      </c>
      <c r="I328" s="123" t="s">
        <v>108</v>
      </c>
      <c r="J328" s="123" t="s">
        <v>3796</v>
      </c>
      <c r="K328" s="124">
        <v>1027.0</v>
      </c>
      <c r="L328" s="124">
        <v>9.9</v>
      </c>
      <c r="M328" s="123" t="s">
        <v>3658</v>
      </c>
      <c r="N328" s="124">
        <v>42.4768</v>
      </c>
      <c r="O328" s="124">
        <v>-85.4468</v>
      </c>
      <c r="P328" s="124">
        <v>258.3</v>
      </c>
      <c r="Q328" s="123" t="s">
        <v>4374</v>
      </c>
      <c r="R328" s="125" t="s">
        <v>4379</v>
      </c>
      <c r="S328" s="123"/>
      <c r="T328" s="125" t="s">
        <v>3170</v>
      </c>
      <c r="U328" s="124">
        <v>2009.0</v>
      </c>
      <c r="V328" s="123"/>
      <c r="W328" s="123" t="s">
        <v>4376</v>
      </c>
      <c r="X328" s="123"/>
    </row>
    <row r="329">
      <c r="A329" s="123" t="s">
        <v>87</v>
      </c>
      <c r="B329" s="123" t="s">
        <v>4380</v>
      </c>
      <c r="C329" s="123"/>
      <c r="D329" s="123" t="s">
        <v>4381</v>
      </c>
      <c r="E329" s="123" t="s">
        <v>3164</v>
      </c>
      <c r="F329" s="123" t="s">
        <v>3165</v>
      </c>
      <c r="G329" s="123" t="s">
        <v>288</v>
      </c>
      <c r="H329" s="123" t="s">
        <v>3095</v>
      </c>
      <c r="I329" s="123" t="s">
        <v>108</v>
      </c>
      <c r="J329" s="123" t="s">
        <v>3796</v>
      </c>
      <c r="K329" s="124">
        <v>1027.0</v>
      </c>
      <c r="L329" s="124">
        <v>9.9</v>
      </c>
      <c r="M329" s="123" t="s">
        <v>3658</v>
      </c>
      <c r="N329" s="124">
        <v>42.4735</v>
      </c>
      <c r="O329" s="124">
        <v>-85.4473</v>
      </c>
      <c r="P329" s="124">
        <v>264.7</v>
      </c>
      <c r="Q329" s="123" t="s">
        <v>4374</v>
      </c>
      <c r="R329" s="125" t="s">
        <v>4382</v>
      </c>
      <c r="S329" s="123"/>
      <c r="T329" s="125" t="s">
        <v>3170</v>
      </c>
      <c r="U329" s="124">
        <v>2009.0</v>
      </c>
      <c r="V329" s="123"/>
      <c r="W329" s="123" t="s">
        <v>4376</v>
      </c>
      <c r="X329" s="123"/>
    </row>
    <row r="330">
      <c r="A330" s="123" t="s">
        <v>87</v>
      </c>
      <c r="B330" s="123" t="s">
        <v>4383</v>
      </c>
      <c r="C330" s="123"/>
      <c r="D330" s="123" t="s">
        <v>4384</v>
      </c>
      <c r="E330" s="123" t="s">
        <v>3164</v>
      </c>
      <c r="F330" s="123" t="s">
        <v>3164</v>
      </c>
      <c r="G330" s="123" t="s">
        <v>288</v>
      </c>
      <c r="H330" s="123" t="s">
        <v>3095</v>
      </c>
      <c r="I330" s="123" t="s">
        <v>201</v>
      </c>
      <c r="J330" s="123" t="s">
        <v>3174</v>
      </c>
      <c r="K330" s="124">
        <v>812.0</v>
      </c>
      <c r="L330" s="124">
        <v>12.0</v>
      </c>
      <c r="M330" s="123" t="s">
        <v>3658</v>
      </c>
      <c r="N330" s="124">
        <v>38.7745</v>
      </c>
      <c r="O330" s="124">
        <v>-97.5684</v>
      </c>
      <c r="P330" s="124">
        <v>373.0</v>
      </c>
      <c r="Q330" s="123" t="s">
        <v>4385</v>
      </c>
      <c r="R330" s="125" t="s">
        <v>4386</v>
      </c>
      <c r="S330" s="123" t="s">
        <v>4385</v>
      </c>
      <c r="T330" s="125" t="s">
        <v>4387</v>
      </c>
      <c r="U330" s="124">
        <v>2012.0</v>
      </c>
      <c r="V330" s="123"/>
      <c r="W330" s="123" t="s">
        <v>4388</v>
      </c>
      <c r="X330" s="123"/>
    </row>
    <row r="331">
      <c r="A331" s="123" t="s">
        <v>87</v>
      </c>
      <c r="B331" s="123" t="s">
        <v>4389</v>
      </c>
      <c r="C331" s="123"/>
      <c r="D331" s="123" t="s">
        <v>4390</v>
      </c>
      <c r="E331" s="123" t="s">
        <v>3164</v>
      </c>
      <c r="F331" s="123" t="s">
        <v>3165</v>
      </c>
      <c r="G331" s="123" t="s">
        <v>86</v>
      </c>
      <c r="H331" s="123" t="s">
        <v>3088</v>
      </c>
      <c r="I331" s="123" t="s">
        <v>108</v>
      </c>
      <c r="J331" s="123" t="s">
        <v>3796</v>
      </c>
      <c r="K331" s="124">
        <v>1027.0</v>
      </c>
      <c r="L331" s="124">
        <v>9.9</v>
      </c>
      <c r="M331" s="123" t="s">
        <v>3658</v>
      </c>
      <c r="N331" s="124">
        <v>42.4376</v>
      </c>
      <c r="O331" s="124">
        <v>-85.3287</v>
      </c>
      <c r="P331" s="124">
        <v>258.1</v>
      </c>
      <c r="Q331" s="123" t="s">
        <v>4374</v>
      </c>
      <c r="R331" s="125" t="s">
        <v>4391</v>
      </c>
      <c r="S331" s="123"/>
      <c r="T331" s="125" t="s">
        <v>3170</v>
      </c>
      <c r="U331" s="124">
        <v>2009.0</v>
      </c>
      <c r="V331" s="123"/>
      <c r="W331" s="123" t="s">
        <v>4376</v>
      </c>
      <c r="X331" s="123"/>
    </row>
    <row r="332">
      <c r="A332" s="123" t="s">
        <v>87</v>
      </c>
      <c r="B332" s="123" t="s">
        <v>4392</v>
      </c>
      <c r="C332" s="123"/>
      <c r="D332" s="123" t="s">
        <v>4393</v>
      </c>
      <c r="E332" s="123" t="s">
        <v>3164</v>
      </c>
      <c r="F332" s="123" t="s">
        <v>3165</v>
      </c>
      <c r="G332" s="123" t="s">
        <v>288</v>
      </c>
      <c r="H332" s="123" t="s">
        <v>3095</v>
      </c>
      <c r="I332" s="123" t="s">
        <v>108</v>
      </c>
      <c r="J332" s="123" t="s">
        <v>3796</v>
      </c>
      <c r="K332" s="124">
        <v>1027.0</v>
      </c>
      <c r="L332" s="124">
        <v>9.9</v>
      </c>
      <c r="M332" s="123" t="s">
        <v>3658</v>
      </c>
      <c r="N332" s="124">
        <v>42.4441</v>
      </c>
      <c r="O332" s="124">
        <v>-85.3098</v>
      </c>
      <c r="P332" s="124">
        <v>259.1</v>
      </c>
      <c r="Q332" s="123" t="s">
        <v>4374</v>
      </c>
      <c r="R332" s="125" t="s">
        <v>4394</v>
      </c>
      <c r="S332" s="123"/>
      <c r="T332" s="125" t="s">
        <v>3170</v>
      </c>
      <c r="U332" s="124">
        <v>2009.0</v>
      </c>
      <c r="V332" s="123"/>
      <c r="W332" s="123" t="s">
        <v>4376</v>
      </c>
      <c r="X332" s="123"/>
    </row>
    <row r="333">
      <c r="A333" s="123" t="s">
        <v>87</v>
      </c>
      <c r="B333" s="123" t="s">
        <v>4395</v>
      </c>
      <c r="C333" s="123"/>
      <c r="D333" s="123" t="s">
        <v>4396</v>
      </c>
      <c r="E333" s="123" t="s">
        <v>3164</v>
      </c>
      <c r="F333" s="123" t="s">
        <v>3165</v>
      </c>
      <c r="G333" s="123" t="s">
        <v>288</v>
      </c>
      <c r="H333" s="123" t="s">
        <v>3095</v>
      </c>
      <c r="I333" s="123" t="s">
        <v>108</v>
      </c>
      <c r="J333" s="123" t="s">
        <v>3796</v>
      </c>
      <c r="K333" s="124">
        <v>1027.0</v>
      </c>
      <c r="L333" s="124">
        <v>9.9</v>
      </c>
      <c r="M333" s="123" t="s">
        <v>3658</v>
      </c>
      <c r="N333" s="124">
        <v>42.4464</v>
      </c>
      <c r="O333" s="124">
        <v>-85.3105</v>
      </c>
      <c r="P333" s="124">
        <v>262.1</v>
      </c>
      <c r="Q333" s="123" t="s">
        <v>4374</v>
      </c>
      <c r="R333" s="125" t="s">
        <v>4397</v>
      </c>
      <c r="S333" s="123"/>
      <c r="T333" s="125" t="s">
        <v>3170</v>
      </c>
      <c r="U333" s="124">
        <v>2009.0</v>
      </c>
      <c r="V333" s="123"/>
      <c r="W333" s="123" t="s">
        <v>4376</v>
      </c>
      <c r="X333" s="123"/>
    </row>
    <row r="334">
      <c r="A334" s="123" t="s">
        <v>87</v>
      </c>
      <c r="B334" s="123" t="s">
        <v>4398</v>
      </c>
      <c r="C334" s="123"/>
      <c r="D334" s="123" t="s">
        <v>4399</v>
      </c>
      <c r="E334" s="123" t="s">
        <v>3164</v>
      </c>
      <c r="F334" s="123" t="s">
        <v>3165</v>
      </c>
      <c r="G334" s="123" t="s">
        <v>288</v>
      </c>
      <c r="H334" s="123" t="s">
        <v>3095</v>
      </c>
      <c r="I334" s="123" t="s">
        <v>108</v>
      </c>
      <c r="J334" s="123" t="s">
        <v>3796</v>
      </c>
      <c r="K334" s="124">
        <v>1027.0</v>
      </c>
      <c r="L334" s="124">
        <v>9.9</v>
      </c>
      <c r="M334" s="123" t="s">
        <v>3658</v>
      </c>
      <c r="N334" s="124">
        <v>42.4423</v>
      </c>
      <c r="O334" s="124">
        <v>-85.3301</v>
      </c>
      <c r="P334" s="124">
        <v>246.3</v>
      </c>
      <c r="Q334" s="123" t="s">
        <v>4374</v>
      </c>
      <c r="R334" s="125" t="s">
        <v>4400</v>
      </c>
      <c r="S334" s="123"/>
      <c r="T334" s="125" t="s">
        <v>3170</v>
      </c>
      <c r="U334" s="124">
        <v>2009.0</v>
      </c>
      <c r="V334" s="123"/>
      <c r="W334" s="123" t="s">
        <v>4401</v>
      </c>
      <c r="X334" s="123"/>
    </row>
    <row r="335">
      <c r="A335" s="123" t="s">
        <v>87</v>
      </c>
      <c r="B335" s="123" t="s">
        <v>2488</v>
      </c>
      <c r="C335" s="123"/>
      <c r="D335" s="123" t="s">
        <v>4402</v>
      </c>
      <c r="E335" s="123" t="s">
        <v>3164</v>
      </c>
      <c r="F335" s="123" t="s">
        <v>3164</v>
      </c>
      <c r="G335" s="123" t="s">
        <v>288</v>
      </c>
      <c r="H335" s="123" t="s">
        <v>3095</v>
      </c>
      <c r="I335" s="123" t="s">
        <v>201</v>
      </c>
      <c r="J335" s="123" t="s">
        <v>3174</v>
      </c>
      <c r="K335" s="124">
        <v>867.0</v>
      </c>
      <c r="L335" s="124">
        <v>12.77</v>
      </c>
      <c r="M335" s="123" t="s">
        <v>3658</v>
      </c>
      <c r="N335" s="124">
        <v>39.0824</v>
      </c>
      <c r="O335" s="124">
        <v>-96.5603</v>
      </c>
      <c r="P335" s="124">
        <v>417.0</v>
      </c>
      <c r="Q335" s="123" t="s">
        <v>4403</v>
      </c>
      <c r="R335" s="125" t="s">
        <v>4404</v>
      </c>
      <c r="S335" s="123" t="s">
        <v>4403</v>
      </c>
      <c r="T335" s="125" t="s">
        <v>4405</v>
      </c>
      <c r="U335" s="124">
        <v>2006.0</v>
      </c>
      <c r="V335" s="123"/>
      <c r="W335" s="123" t="s">
        <v>4406</v>
      </c>
      <c r="X335" s="123"/>
    </row>
    <row r="336">
      <c r="A336" s="123" t="s">
        <v>87</v>
      </c>
      <c r="B336" s="123" t="s">
        <v>4407</v>
      </c>
      <c r="C336" s="123"/>
      <c r="D336" s="123" t="s">
        <v>4408</v>
      </c>
      <c r="E336" s="123" t="s">
        <v>3164</v>
      </c>
      <c r="F336" s="123" t="s">
        <v>3165</v>
      </c>
      <c r="G336" s="123" t="s">
        <v>214</v>
      </c>
      <c r="H336" s="123" t="s">
        <v>3184</v>
      </c>
      <c r="I336" s="123" t="s">
        <v>372</v>
      </c>
      <c r="J336" s="123" t="s">
        <v>3292</v>
      </c>
      <c r="K336" s="124">
        <v>375.8</v>
      </c>
      <c r="L336" s="124">
        <v>1.76</v>
      </c>
      <c r="M336" s="123" t="s">
        <v>3658</v>
      </c>
      <c r="N336" s="124">
        <v>60.5382</v>
      </c>
      <c r="O336" s="124">
        <v>-150.5061</v>
      </c>
      <c r="P336" s="124">
        <v>100.6</v>
      </c>
      <c r="Q336" s="123" t="s">
        <v>4409</v>
      </c>
      <c r="R336" s="125" t="s">
        <v>4410</v>
      </c>
      <c r="S336" s="123"/>
      <c r="T336" s="125" t="s">
        <v>3170</v>
      </c>
      <c r="U336" s="124">
        <v>2021.0</v>
      </c>
      <c r="V336" s="123"/>
      <c r="W336" s="123" t="s">
        <v>4411</v>
      </c>
      <c r="X336" s="123"/>
    </row>
    <row r="337">
      <c r="A337" s="123" t="s">
        <v>87</v>
      </c>
      <c r="B337" s="123" t="s">
        <v>4412</v>
      </c>
      <c r="C337" s="123"/>
      <c r="D337" s="123" t="s">
        <v>4413</v>
      </c>
      <c r="E337" s="123" t="s">
        <v>3164</v>
      </c>
      <c r="F337" s="123" t="s">
        <v>3164</v>
      </c>
      <c r="G337" s="123" t="s">
        <v>197</v>
      </c>
      <c r="H337" s="123" t="s">
        <v>3094</v>
      </c>
      <c r="I337" s="123" t="s">
        <v>592</v>
      </c>
      <c r="J337" s="123" t="s">
        <v>3216</v>
      </c>
      <c r="K337" s="124">
        <v>1266.0</v>
      </c>
      <c r="L337" s="124">
        <v>21.9</v>
      </c>
      <c r="M337" s="123" t="s">
        <v>3658</v>
      </c>
      <c r="N337" s="124">
        <v>28.4583</v>
      </c>
      <c r="O337" s="124">
        <v>-80.6709</v>
      </c>
      <c r="P337" s="124">
        <v>1.0</v>
      </c>
      <c r="Q337" s="123" t="s">
        <v>4414</v>
      </c>
      <c r="R337" s="125" t="s">
        <v>4415</v>
      </c>
      <c r="S337" s="123" t="s">
        <v>4414</v>
      </c>
      <c r="T337" s="125" t="s">
        <v>4416</v>
      </c>
      <c r="U337" s="124">
        <v>2002.0</v>
      </c>
      <c r="V337" s="124">
        <v>2006.0</v>
      </c>
      <c r="W337" s="123" t="s">
        <v>4417</v>
      </c>
      <c r="X337" s="123"/>
    </row>
    <row r="338">
      <c r="A338" s="123" t="s">
        <v>87</v>
      </c>
      <c r="B338" s="123" t="s">
        <v>4418</v>
      </c>
      <c r="C338" s="123"/>
      <c r="D338" s="123" t="s">
        <v>4419</v>
      </c>
      <c r="E338" s="123" t="s">
        <v>3164</v>
      </c>
      <c r="F338" s="123" t="s">
        <v>3164</v>
      </c>
      <c r="G338" s="123" t="s">
        <v>291</v>
      </c>
      <c r="H338" s="123" t="s">
        <v>3089</v>
      </c>
      <c r="I338" s="123" t="s">
        <v>592</v>
      </c>
      <c r="J338" s="123" t="s">
        <v>3216</v>
      </c>
      <c r="K338" s="124">
        <v>1294.0</v>
      </c>
      <c r="L338" s="124">
        <v>21.66</v>
      </c>
      <c r="M338" s="123" t="s">
        <v>3658</v>
      </c>
      <c r="N338" s="124">
        <v>28.6086</v>
      </c>
      <c r="O338" s="124">
        <v>-80.6715</v>
      </c>
      <c r="P338" s="124">
        <v>3.0</v>
      </c>
      <c r="Q338" s="123" t="s">
        <v>3754</v>
      </c>
      <c r="R338" s="125" t="s">
        <v>4420</v>
      </c>
      <c r="S338" s="123" t="s">
        <v>3754</v>
      </c>
      <c r="T338" s="125" t="s">
        <v>4421</v>
      </c>
      <c r="U338" s="124">
        <v>2000.0</v>
      </c>
      <c r="V338" s="124">
        <v>2007.0</v>
      </c>
      <c r="W338" s="123" t="s">
        <v>4422</v>
      </c>
      <c r="X338" s="123"/>
    </row>
    <row r="339">
      <c r="A339" s="123" t="s">
        <v>87</v>
      </c>
      <c r="B339" s="123" t="s">
        <v>4423</v>
      </c>
      <c r="C339" s="123"/>
      <c r="D339" s="123" t="s">
        <v>4424</v>
      </c>
      <c r="E339" s="123" t="s">
        <v>3164</v>
      </c>
      <c r="F339" s="123" t="s">
        <v>3164</v>
      </c>
      <c r="G339" s="123" t="s">
        <v>214</v>
      </c>
      <c r="H339" s="123" t="s">
        <v>3184</v>
      </c>
      <c r="I339" s="123" t="s">
        <v>201</v>
      </c>
      <c r="J339" s="123" t="s">
        <v>3174</v>
      </c>
      <c r="K339" s="124">
        <v>1340.0</v>
      </c>
      <c r="L339" s="124">
        <v>22.3</v>
      </c>
      <c r="M339" s="123" t="s">
        <v>3658</v>
      </c>
      <c r="N339" s="124">
        <v>28.7084</v>
      </c>
      <c r="O339" s="124">
        <v>-80.7427</v>
      </c>
      <c r="P339" s="124">
        <v>0.0</v>
      </c>
      <c r="Q339" s="123" t="s">
        <v>3639</v>
      </c>
      <c r="R339" s="125" t="s">
        <v>4425</v>
      </c>
      <c r="S339" s="124">
        <v>2018.0</v>
      </c>
      <c r="T339" s="125" t="s">
        <v>4426</v>
      </c>
      <c r="U339" s="124">
        <v>2017.0</v>
      </c>
      <c r="V339" s="124">
        <v>2020.0</v>
      </c>
      <c r="W339" s="123" t="s">
        <v>4427</v>
      </c>
      <c r="X339" s="123"/>
    </row>
    <row r="340">
      <c r="A340" s="123" t="s">
        <v>87</v>
      </c>
      <c r="B340" s="123" t="s">
        <v>4428</v>
      </c>
      <c r="C340" s="123"/>
      <c r="D340" s="123" t="s">
        <v>4429</v>
      </c>
      <c r="E340" s="123" t="s">
        <v>3164</v>
      </c>
      <c r="F340" s="123" t="s">
        <v>3165</v>
      </c>
      <c r="G340" s="123" t="s">
        <v>214</v>
      </c>
      <c r="H340" s="123" t="s">
        <v>3184</v>
      </c>
      <c r="I340" s="123" t="s">
        <v>592</v>
      </c>
      <c r="J340" s="123" t="s">
        <v>3216</v>
      </c>
      <c r="K340" s="124">
        <v>1340.0</v>
      </c>
      <c r="L340" s="124">
        <v>22.3</v>
      </c>
      <c r="M340" s="123" t="s">
        <v>3658</v>
      </c>
      <c r="N340" s="124">
        <v>28.6</v>
      </c>
      <c r="O340" s="124">
        <v>-80.7207</v>
      </c>
      <c r="P340" s="124">
        <v>0.5</v>
      </c>
      <c r="Q340" s="123" t="s">
        <v>4430</v>
      </c>
      <c r="R340" s="125" t="s">
        <v>4431</v>
      </c>
      <c r="S340" s="123"/>
      <c r="T340" s="125" t="s">
        <v>3170</v>
      </c>
      <c r="U340" s="124">
        <v>2017.0</v>
      </c>
      <c r="V340" s="123"/>
      <c r="W340" s="123" t="s">
        <v>4432</v>
      </c>
      <c r="X340" s="123"/>
    </row>
    <row r="341">
      <c r="A341" s="123" t="s">
        <v>87</v>
      </c>
      <c r="B341" s="123" t="s">
        <v>4433</v>
      </c>
      <c r="C341" s="123"/>
      <c r="D341" s="123" t="s">
        <v>4434</v>
      </c>
      <c r="E341" s="123" t="s">
        <v>3165</v>
      </c>
      <c r="F341" s="123" t="s">
        <v>3165</v>
      </c>
      <c r="G341" s="123" t="s">
        <v>505</v>
      </c>
      <c r="H341" s="123" t="s">
        <v>3100</v>
      </c>
      <c r="I341" s="123" t="s">
        <v>108</v>
      </c>
      <c r="J341" s="123" t="s">
        <v>3796</v>
      </c>
      <c r="K341" s="124">
        <v>777.0</v>
      </c>
      <c r="L341" s="124">
        <v>7.9</v>
      </c>
      <c r="M341" s="123" t="s">
        <v>3658</v>
      </c>
      <c r="N341" s="124">
        <v>44.9984</v>
      </c>
      <c r="O341" s="124">
        <v>-93.1884</v>
      </c>
      <c r="P341" s="124">
        <v>301.0</v>
      </c>
      <c r="Q341" s="123"/>
      <c r="R341" s="125" t="s">
        <v>3170</v>
      </c>
      <c r="S341" s="123"/>
      <c r="T341" s="125" t="s">
        <v>3170</v>
      </c>
      <c r="U341" s="124">
        <v>2006.0</v>
      </c>
      <c r="V341" s="124">
        <v>2009.0</v>
      </c>
      <c r="W341" s="123"/>
      <c r="X341" s="123"/>
    </row>
    <row r="342">
      <c r="A342" s="123" t="s">
        <v>87</v>
      </c>
      <c r="B342" s="123" t="s">
        <v>4435</v>
      </c>
      <c r="C342" s="123"/>
      <c r="D342" s="123" t="s">
        <v>4436</v>
      </c>
      <c r="E342" s="123" t="s">
        <v>3164</v>
      </c>
      <c r="F342" s="123" t="s">
        <v>3165</v>
      </c>
      <c r="G342" s="123" t="s">
        <v>288</v>
      </c>
      <c r="H342" s="123" t="s">
        <v>3095</v>
      </c>
      <c r="I342" s="123" t="s">
        <v>108</v>
      </c>
      <c r="J342" s="123" t="s">
        <v>3796</v>
      </c>
      <c r="K342" s="124">
        <v>777.0</v>
      </c>
      <c r="L342" s="124">
        <v>7.9</v>
      </c>
      <c r="M342" s="123" t="s">
        <v>3658</v>
      </c>
      <c r="N342" s="124">
        <v>44.995</v>
      </c>
      <c r="O342" s="124">
        <v>-93.1863</v>
      </c>
      <c r="P342" s="124">
        <v>301.0</v>
      </c>
      <c r="Q342" s="123" t="s">
        <v>4437</v>
      </c>
      <c r="R342" s="125" t="s">
        <v>4438</v>
      </c>
      <c r="S342" s="123"/>
      <c r="T342" s="125" t="s">
        <v>3170</v>
      </c>
      <c r="U342" s="124">
        <v>2005.0</v>
      </c>
      <c r="V342" s="124">
        <v>2009.0</v>
      </c>
      <c r="W342" s="123" t="s">
        <v>3427</v>
      </c>
      <c r="X342" s="123"/>
    </row>
    <row r="343">
      <c r="A343" s="123" t="s">
        <v>87</v>
      </c>
      <c r="B343" s="123" t="s">
        <v>4439</v>
      </c>
      <c r="C343" s="123"/>
      <c r="D343" s="123" t="s">
        <v>4440</v>
      </c>
      <c r="E343" s="123" t="s">
        <v>3165</v>
      </c>
      <c r="F343" s="123" t="s">
        <v>3165</v>
      </c>
      <c r="G343" s="123" t="s">
        <v>86</v>
      </c>
      <c r="H343" s="123" t="s">
        <v>3088</v>
      </c>
      <c r="I343" s="123" t="s">
        <v>201</v>
      </c>
      <c r="J343" s="123" t="s">
        <v>3174</v>
      </c>
      <c r="K343" s="124">
        <v>964.0</v>
      </c>
      <c r="L343" s="124">
        <v>11.78</v>
      </c>
      <c r="M343" s="123" t="s">
        <v>3658</v>
      </c>
      <c r="N343" s="124">
        <v>39.3447</v>
      </c>
      <c r="O343" s="124">
        <v>-77.8859</v>
      </c>
      <c r="P343" s="124">
        <v>185.0</v>
      </c>
      <c r="Q343" s="123"/>
      <c r="R343" s="125" t="s">
        <v>3170</v>
      </c>
      <c r="S343" s="123"/>
      <c r="T343" s="125" t="s">
        <v>3170</v>
      </c>
      <c r="U343" s="123"/>
      <c r="V343" s="123"/>
      <c r="W343" s="123"/>
      <c r="X343" s="123"/>
    </row>
    <row r="344">
      <c r="A344" s="123" t="s">
        <v>87</v>
      </c>
      <c r="B344" s="123" t="s">
        <v>4441</v>
      </c>
      <c r="C344" s="123"/>
      <c r="D344" s="123" t="s">
        <v>4442</v>
      </c>
      <c r="E344" s="123" t="s">
        <v>3164</v>
      </c>
      <c r="F344" s="123" t="s">
        <v>3165</v>
      </c>
      <c r="G344" s="123" t="s">
        <v>214</v>
      </c>
      <c r="H344" s="123" t="s">
        <v>3184</v>
      </c>
      <c r="I344" s="123" t="s">
        <v>201</v>
      </c>
      <c r="J344" s="123" t="s">
        <v>3174</v>
      </c>
      <c r="K344" s="124">
        <v>1625.0</v>
      </c>
      <c r="L344" s="124">
        <v>20.7</v>
      </c>
      <c r="M344" s="123" t="s">
        <v>3658</v>
      </c>
      <c r="N344" s="124">
        <v>29.5013</v>
      </c>
      <c r="O344" s="124">
        <v>-90.4449</v>
      </c>
      <c r="P344" s="124">
        <v>0.0</v>
      </c>
      <c r="Q344" s="123" t="s">
        <v>4443</v>
      </c>
      <c r="R344" s="125" t="s">
        <v>4444</v>
      </c>
      <c r="S344" s="123"/>
      <c r="T344" s="125" t="s">
        <v>3170</v>
      </c>
      <c r="U344" s="124">
        <v>2011.0</v>
      </c>
      <c r="V344" s="124">
        <v>2012.0</v>
      </c>
      <c r="W344" s="123" t="s">
        <v>4445</v>
      </c>
      <c r="X344" s="123"/>
    </row>
    <row r="345">
      <c r="A345" s="123" t="s">
        <v>87</v>
      </c>
      <c r="B345" s="123" t="s">
        <v>4446</v>
      </c>
      <c r="C345" s="123"/>
      <c r="D345" s="123" t="s">
        <v>4447</v>
      </c>
      <c r="E345" s="123" t="s">
        <v>3164</v>
      </c>
      <c r="F345" s="123" t="s">
        <v>3165</v>
      </c>
      <c r="G345" s="123" t="s">
        <v>214</v>
      </c>
      <c r="H345" s="123" t="s">
        <v>3184</v>
      </c>
      <c r="I345" s="123" t="s">
        <v>201</v>
      </c>
      <c r="J345" s="123" t="s">
        <v>3174</v>
      </c>
      <c r="K345" s="124">
        <v>1655.0</v>
      </c>
      <c r="L345" s="124">
        <v>20.2</v>
      </c>
      <c r="M345" s="123" t="s">
        <v>3658</v>
      </c>
      <c r="N345" s="124">
        <v>29.8587</v>
      </c>
      <c r="O345" s="124">
        <v>-90.2869</v>
      </c>
      <c r="P345" s="124">
        <v>0.0</v>
      </c>
      <c r="Q345" s="123" t="s">
        <v>3692</v>
      </c>
      <c r="R345" s="125" t="s">
        <v>4448</v>
      </c>
      <c r="S345" s="123"/>
      <c r="T345" s="125" t="s">
        <v>3170</v>
      </c>
      <c r="U345" s="124">
        <v>2011.0</v>
      </c>
      <c r="V345" s="123"/>
      <c r="W345" s="123" t="s">
        <v>4449</v>
      </c>
      <c r="X345" s="123"/>
    </row>
    <row r="346">
      <c r="A346" s="123" t="s">
        <v>87</v>
      </c>
      <c r="B346" s="123" t="s">
        <v>4450</v>
      </c>
      <c r="C346" s="123"/>
      <c r="D346" s="123" t="s">
        <v>4451</v>
      </c>
      <c r="E346" s="123" t="s">
        <v>3164</v>
      </c>
      <c r="F346" s="123" t="s">
        <v>3165</v>
      </c>
      <c r="G346" s="123" t="s">
        <v>214</v>
      </c>
      <c r="H346" s="123" t="s">
        <v>3184</v>
      </c>
      <c r="I346" s="123" t="s">
        <v>201</v>
      </c>
      <c r="J346" s="123" t="s">
        <v>3174</v>
      </c>
      <c r="K346" s="124">
        <v>1623.0</v>
      </c>
      <c r="L346" s="124">
        <v>20.9</v>
      </c>
      <c r="M346" s="123" t="s">
        <v>3658</v>
      </c>
      <c r="N346" s="124">
        <v>29.4936</v>
      </c>
      <c r="O346" s="124">
        <v>-89.9153</v>
      </c>
      <c r="P346" s="124">
        <v>0.2</v>
      </c>
      <c r="Q346" s="123" t="s">
        <v>3922</v>
      </c>
      <c r="R346" s="125" t="s">
        <v>4452</v>
      </c>
      <c r="S346" s="123"/>
      <c r="T346" s="125" t="s">
        <v>3170</v>
      </c>
      <c r="U346" s="124">
        <v>2019.0</v>
      </c>
      <c r="V346" s="123"/>
      <c r="W346" s="123" t="s">
        <v>4453</v>
      </c>
      <c r="X346" s="123"/>
    </row>
    <row r="347">
      <c r="A347" s="123" t="s">
        <v>87</v>
      </c>
      <c r="B347" s="123" t="s">
        <v>4454</v>
      </c>
      <c r="C347" s="123"/>
      <c r="D347" s="123" t="s">
        <v>4455</v>
      </c>
      <c r="E347" s="123" t="s">
        <v>3165</v>
      </c>
      <c r="F347" s="123" t="s">
        <v>3165</v>
      </c>
      <c r="G347" s="123" t="s">
        <v>288</v>
      </c>
      <c r="H347" s="123" t="s">
        <v>3095</v>
      </c>
      <c r="I347" s="123" t="s">
        <v>2407</v>
      </c>
      <c r="J347" s="123" t="s">
        <v>3208</v>
      </c>
      <c r="K347" s="124">
        <v>450.0</v>
      </c>
      <c r="L347" s="124">
        <v>15.0</v>
      </c>
      <c r="M347" s="123" t="s">
        <v>3658</v>
      </c>
      <c r="N347" s="124">
        <v>34.1377</v>
      </c>
      <c r="O347" s="124">
        <v>-101.4787</v>
      </c>
      <c r="P347" s="124">
        <v>1026.0</v>
      </c>
      <c r="Q347" s="123"/>
      <c r="R347" s="125" t="s">
        <v>3170</v>
      </c>
      <c r="S347" s="123"/>
      <c r="T347" s="125" t="s">
        <v>3170</v>
      </c>
      <c r="U347" s="124">
        <v>2013.0</v>
      </c>
      <c r="V347" s="123"/>
      <c r="W347" s="123"/>
      <c r="X347" s="123"/>
    </row>
    <row r="348">
      <c r="A348" s="123" t="s">
        <v>87</v>
      </c>
      <c r="B348" s="123" t="s">
        <v>4456</v>
      </c>
      <c r="C348" s="123"/>
      <c r="D348" s="123" t="s">
        <v>4457</v>
      </c>
      <c r="E348" s="123" t="s">
        <v>3164</v>
      </c>
      <c r="F348" s="123" t="s">
        <v>3164</v>
      </c>
      <c r="G348" s="123" t="s">
        <v>86</v>
      </c>
      <c r="H348" s="123" t="s">
        <v>3088</v>
      </c>
      <c r="I348" s="123"/>
      <c r="J348" s="123"/>
      <c r="K348" s="123"/>
      <c r="L348" s="123"/>
      <c r="M348" s="123" t="s">
        <v>3658</v>
      </c>
      <c r="N348" s="124">
        <v>36.3566</v>
      </c>
      <c r="O348" s="124">
        <v>-119.0922</v>
      </c>
      <c r="P348" s="124">
        <v>131.0</v>
      </c>
      <c r="Q348" s="123" t="s">
        <v>4458</v>
      </c>
      <c r="R348" s="125" t="s">
        <v>4459</v>
      </c>
      <c r="S348" s="123" t="s">
        <v>4458</v>
      </c>
      <c r="T348" s="125" t="s">
        <v>4460</v>
      </c>
      <c r="U348" s="124">
        <v>2009.0</v>
      </c>
      <c r="V348" s="124">
        <v>2010.0</v>
      </c>
      <c r="W348" s="123" t="s">
        <v>4461</v>
      </c>
      <c r="X348" s="123"/>
    </row>
    <row r="349">
      <c r="A349" s="123" t="s">
        <v>87</v>
      </c>
      <c r="B349" s="123" t="s">
        <v>4462</v>
      </c>
      <c r="C349" s="123"/>
      <c r="D349" s="123" t="s">
        <v>4463</v>
      </c>
      <c r="E349" s="123" t="s">
        <v>3164</v>
      </c>
      <c r="F349" s="123" t="s">
        <v>3165</v>
      </c>
      <c r="G349" s="123" t="s">
        <v>313</v>
      </c>
      <c r="H349" s="123" t="s">
        <v>3098</v>
      </c>
      <c r="I349" s="123" t="s">
        <v>201</v>
      </c>
      <c r="J349" s="123" t="s">
        <v>3174</v>
      </c>
      <c r="K349" s="124">
        <v>1310.0</v>
      </c>
      <c r="L349" s="124">
        <v>20.0</v>
      </c>
      <c r="M349" s="123" t="s">
        <v>3658</v>
      </c>
      <c r="N349" s="124">
        <v>31.2792</v>
      </c>
      <c r="O349" s="124">
        <v>-84.5329</v>
      </c>
      <c r="P349" s="124">
        <v>165.0</v>
      </c>
      <c r="Q349" s="123" t="s">
        <v>4464</v>
      </c>
      <c r="R349" s="125" t="s">
        <v>4465</v>
      </c>
      <c r="S349" s="123"/>
      <c r="T349" s="125" t="s">
        <v>3170</v>
      </c>
      <c r="U349" s="124">
        <v>2008.0</v>
      </c>
      <c r="V349" s="124">
        <v>2016.0</v>
      </c>
      <c r="W349" s="123" t="s">
        <v>4466</v>
      </c>
      <c r="X349" s="123"/>
    </row>
    <row r="350">
      <c r="A350" s="123" t="s">
        <v>87</v>
      </c>
      <c r="B350" s="123" t="s">
        <v>4467</v>
      </c>
      <c r="C350" s="123"/>
      <c r="D350" s="123" t="s">
        <v>4468</v>
      </c>
      <c r="E350" s="123" t="s">
        <v>3164</v>
      </c>
      <c r="F350" s="123" t="s">
        <v>3165</v>
      </c>
      <c r="G350" s="123" t="s">
        <v>313</v>
      </c>
      <c r="H350" s="123" t="s">
        <v>3098</v>
      </c>
      <c r="I350" s="123" t="s">
        <v>201</v>
      </c>
      <c r="J350" s="123" t="s">
        <v>3174</v>
      </c>
      <c r="K350" s="124">
        <v>1310.0</v>
      </c>
      <c r="L350" s="124">
        <v>20.0</v>
      </c>
      <c r="M350" s="123" t="s">
        <v>3658</v>
      </c>
      <c r="N350" s="124">
        <v>31.201</v>
      </c>
      <c r="O350" s="124">
        <v>-84.4449</v>
      </c>
      <c r="P350" s="124">
        <v>155.0</v>
      </c>
      <c r="Q350" s="123" t="s">
        <v>4469</v>
      </c>
      <c r="R350" s="125" t="s">
        <v>4470</v>
      </c>
      <c r="S350" s="123"/>
      <c r="T350" s="125" t="s">
        <v>3170</v>
      </c>
      <c r="U350" s="124">
        <v>2008.0</v>
      </c>
      <c r="V350" s="124">
        <v>2016.0</v>
      </c>
      <c r="W350" s="123" t="s">
        <v>4466</v>
      </c>
      <c r="X350" s="123"/>
    </row>
    <row r="351">
      <c r="A351" s="123" t="s">
        <v>87</v>
      </c>
      <c r="B351" s="123" t="s">
        <v>4471</v>
      </c>
      <c r="C351" s="123"/>
      <c r="D351" s="123" t="s">
        <v>4472</v>
      </c>
      <c r="E351" s="123" t="s">
        <v>3164</v>
      </c>
      <c r="F351" s="123" t="s">
        <v>3165</v>
      </c>
      <c r="G351" s="123" t="s">
        <v>313</v>
      </c>
      <c r="H351" s="123" t="s">
        <v>3098</v>
      </c>
      <c r="I351" s="123" t="s">
        <v>201</v>
      </c>
      <c r="J351" s="123" t="s">
        <v>3174</v>
      </c>
      <c r="K351" s="124">
        <v>1310.0</v>
      </c>
      <c r="L351" s="124">
        <v>20.0</v>
      </c>
      <c r="M351" s="123" t="s">
        <v>3658</v>
      </c>
      <c r="N351" s="124">
        <v>31.2688</v>
      </c>
      <c r="O351" s="124">
        <v>-84.4787</v>
      </c>
      <c r="P351" s="124">
        <v>159.5</v>
      </c>
      <c r="Q351" s="123" t="s">
        <v>4469</v>
      </c>
      <c r="R351" s="125" t="s">
        <v>4473</v>
      </c>
      <c r="S351" s="123"/>
      <c r="T351" s="125" t="s">
        <v>3170</v>
      </c>
      <c r="U351" s="124">
        <v>2008.0</v>
      </c>
      <c r="V351" s="124">
        <v>2016.0</v>
      </c>
      <c r="W351" s="123" t="s">
        <v>4466</v>
      </c>
      <c r="X351" s="123"/>
    </row>
    <row r="352">
      <c r="A352" s="123" t="s">
        <v>87</v>
      </c>
      <c r="B352" s="123" t="s">
        <v>1669</v>
      </c>
      <c r="C352" s="123"/>
      <c r="D352" s="123" t="s">
        <v>1670</v>
      </c>
      <c r="E352" s="123" t="s">
        <v>3164</v>
      </c>
      <c r="F352" s="123" t="s">
        <v>3165</v>
      </c>
      <c r="G352" s="123" t="s">
        <v>214</v>
      </c>
      <c r="H352" s="123" t="s">
        <v>3184</v>
      </c>
      <c r="I352" s="123" t="s">
        <v>107</v>
      </c>
      <c r="J352" s="123" t="s">
        <v>3249</v>
      </c>
      <c r="K352" s="124">
        <v>828.0</v>
      </c>
      <c r="L352" s="124">
        <v>4.08</v>
      </c>
      <c r="M352" s="123" t="s">
        <v>3658</v>
      </c>
      <c r="N352" s="124">
        <v>46.0827</v>
      </c>
      <c r="O352" s="124">
        <v>-89.9792</v>
      </c>
      <c r="P352" s="124">
        <v>480.0</v>
      </c>
      <c r="Q352" s="123" t="s">
        <v>4474</v>
      </c>
      <c r="R352" s="125" t="s">
        <v>4475</v>
      </c>
      <c r="S352" s="123"/>
      <c r="T352" s="125" t="s">
        <v>3170</v>
      </c>
      <c r="U352" s="124">
        <v>2001.0</v>
      </c>
      <c r="V352" s="123"/>
      <c r="W352" s="123" t="s">
        <v>4476</v>
      </c>
      <c r="X352" s="123"/>
    </row>
    <row r="353">
      <c r="A353" s="123" t="s">
        <v>87</v>
      </c>
      <c r="B353" s="123" t="s">
        <v>1331</v>
      </c>
      <c r="C353" s="123"/>
      <c r="D353" s="123" t="s">
        <v>2408</v>
      </c>
      <c r="E353" s="123" t="s">
        <v>3164</v>
      </c>
      <c r="F353" s="123" t="s">
        <v>3165</v>
      </c>
      <c r="G353" s="123" t="s">
        <v>370</v>
      </c>
      <c r="H353" s="123" t="s">
        <v>3091</v>
      </c>
      <c r="I353" s="123" t="s">
        <v>107</v>
      </c>
      <c r="J353" s="123" t="s">
        <v>3249</v>
      </c>
      <c r="K353" s="124">
        <v>1071.0</v>
      </c>
      <c r="L353" s="124">
        <v>6.73</v>
      </c>
      <c r="M353" s="123" t="s">
        <v>3658</v>
      </c>
      <c r="N353" s="124">
        <v>42.5419</v>
      </c>
      <c r="O353" s="124">
        <v>-72.185</v>
      </c>
      <c r="P353" s="124">
        <v>377.5</v>
      </c>
      <c r="Q353" s="123" t="s">
        <v>4477</v>
      </c>
      <c r="R353" s="125" t="s">
        <v>4478</v>
      </c>
      <c r="S353" s="123"/>
      <c r="T353" s="125" t="s">
        <v>3170</v>
      </c>
      <c r="U353" s="124">
        <v>2002.0</v>
      </c>
      <c r="V353" s="123"/>
      <c r="W353" s="123" t="s">
        <v>3427</v>
      </c>
      <c r="X353" s="123"/>
    </row>
    <row r="354">
      <c r="A354" s="123" t="s">
        <v>87</v>
      </c>
      <c r="B354" s="123" t="s">
        <v>4479</v>
      </c>
      <c r="C354" s="123"/>
      <c r="D354" s="123" t="s">
        <v>4480</v>
      </c>
      <c r="E354" s="123" t="s">
        <v>3164</v>
      </c>
      <c r="F354" s="123" t="s">
        <v>3165</v>
      </c>
      <c r="G354" s="123" t="s">
        <v>288</v>
      </c>
      <c r="H354" s="123" t="s">
        <v>3095</v>
      </c>
      <c r="I354" s="123" t="s">
        <v>2409</v>
      </c>
      <c r="J354" s="123" t="s">
        <v>3589</v>
      </c>
      <c r="K354" s="124">
        <v>288.0</v>
      </c>
      <c r="L354" s="124">
        <v>17.0</v>
      </c>
      <c r="M354" s="123" t="s">
        <v>3658</v>
      </c>
      <c r="N354" s="124">
        <v>31.5615</v>
      </c>
      <c r="O354" s="124">
        <v>-110.1403</v>
      </c>
      <c r="P354" s="124">
        <v>1230.0</v>
      </c>
      <c r="Q354" s="123" t="s">
        <v>4481</v>
      </c>
      <c r="R354" s="125" t="s">
        <v>4482</v>
      </c>
      <c r="S354" s="123"/>
      <c r="T354" s="125" t="s">
        <v>3170</v>
      </c>
      <c r="U354" s="124">
        <v>2003.0</v>
      </c>
      <c r="V354" s="124">
        <v>2007.0</v>
      </c>
      <c r="W354" s="123" t="s">
        <v>4483</v>
      </c>
      <c r="X354" s="123"/>
    </row>
    <row r="355">
      <c r="A355" s="123" t="s">
        <v>87</v>
      </c>
      <c r="B355" s="123" t="s">
        <v>4484</v>
      </c>
      <c r="C355" s="123"/>
      <c r="D355" s="123" t="s">
        <v>4485</v>
      </c>
      <c r="E355" s="123" t="s">
        <v>3164</v>
      </c>
      <c r="F355" s="123" t="s">
        <v>3164</v>
      </c>
      <c r="G355" s="123" t="s">
        <v>313</v>
      </c>
      <c r="H355" s="123" t="s">
        <v>3098</v>
      </c>
      <c r="I355" s="123" t="s">
        <v>2409</v>
      </c>
      <c r="J355" s="123" t="s">
        <v>3589</v>
      </c>
      <c r="K355" s="124">
        <v>288.0</v>
      </c>
      <c r="L355" s="124">
        <v>17.0</v>
      </c>
      <c r="M355" s="123" t="s">
        <v>3658</v>
      </c>
      <c r="N355" s="124">
        <v>31.5659</v>
      </c>
      <c r="O355" s="124">
        <v>-110.1344</v>
      </c>
      <c r="P355" s="124">
        <v>1240.0</v>
      </c>
      <c r="Q355" s="123" t="s">
        <v>4481</v>
      </c>
      <c r="R355" s="125" t="s">
        <v>4486</v>
      </c>
      <c r="S355" s="123" t="s">
        <v>4481</v>
      </c>
      <c r="T355" s="125" t="s">
        <v>4487</v>
      </c>
      <c r="U355" s="124">
        <v>2003.0</v>
      </c>
      <c r="V355" s="124">
        <v>2007.0</v>
      </c>
      <c r="W355" s="123" t="s">
        <v>4488</v>
      </c>
      <c r="X355" s="123"/>
    </row>
    <row r="356">
      <c r="A356" s="123" t="s">
        <v>87</v>
      </c>
      <c r="B356" s="123" t="s">
        <v>4489</v>
      </c>
      <c r="C356" s="123"/>
      <c r="D356" s="123" t="s">
        <v>4490</v>
      </c>
      <c r="E356" s="123" t="s">
        <v>3165</v>
      </c>
      <c r="F356" s="123" t="s">
        <v>3165</v>
      </c>
      <c r="G356" s="123" t="s">
        <v>362</v>
      </c>
      <c r="H356" s="123" t="s">
        <v>3225</v>
      </c>
      <c r="I356" s="123" t="s">
        <v>201</v>
      </c>
      <c r="J356" s="123" t="s">
        <v>3174</v>
      </c>
      <c r="K356" s="124">
        <v>973.0</v>
      </c>
      <c r="L356" s="124">
        <v>13.5</v>
      </c>
      <c r="M356" s="123" t="s">
        <v>3658</v>
      </c>
      <c r="N356" s="124">
        <v>38.5048</v>
      </c>
      <c r="O356" s="124">
        <v>-92.2487</v>
      </c>
      <c r="P356" s="124">
        <v>187.0</v>
      </c>
      <c r="Q356" s="123"/>
      <c r="R356" s="125" t="s">
        <v>3170</v>
      </c>
      <c r="S356" s="123"/>
      <c r="T356" s="125" t="s">
        <v>3170</v>
      </c>
      <c r="U356" s="124">
        <v>2023.0</v>
      </c>
      <c r="V356" s="123"/>
      <c r="W356" s="123"/>
      <c r="X356" s="123"/>
    </row>
    <row r="357">
      <c r="A357" s="123" t="s">
        <v>87</v>
      </c>
      <c r="B357" s="123" t="s">
        <v>4491</v>
      </c>
      <c r="C357" s="123"/>
      <c r="D357" s="123" t="s">
        <v>4492</v>
      </c>
      <c r="E357" s="123" t="s">
        <v>3164</v>
      </c>
      <c r="F357" s="123" t="s">
        <v>3165</v>
      </c>
      <c r="G357" s="123" t="s">
        <v>288</v>
      </c>
      <c r="H357" s="123" t="s">
        <v>3095</v>
      </c>
      <c r="I357" s="123" t="s">
        <v>201</v>
      </c>
      <c r="J357" s="123" t="s">
        <v>3174</v>
      </c>
      <c r="K357" s="124">
        <v>805.12</v>
      </c>
      <c r="L357" s="124">
        <v>16.09</v>
      </c>
      <c r="M357" s="123" t="s">
        <v>3658</v>
      </c>
      <c r="N357" s="124">
        <v>34.9604</v>
      </c>
      <c r="O357" s="124">
        <v>-97.9789</v>
      </c>
      <c r="P357" s="124">
        <v>365.0</v>
      </c>
      <c r="Q357" s="123" t="s">
        <v>4493</v>
      </c>
      <c r="R357" s="125" t="s">
        <v>4494</v>
      </c>
      <c r="S357" s="123"/>
      <c r="T357" s="125" t="s">
        <v>3170</v>
      </c>
      <c r="U357" s="124">
        <v>1997.0</v>
      </c>
      <c r="V357" s="124">
        <v>1998.0</v>
      </c>
      <c r="W357" s="123" t="s">
        <v>4495</v>
      </c>
      <c r="X357" s="123"/>
    </row>
    <row r="358">
      <c r="A358" s="123" t="s">
        <v>87</v>
      </c>
      <c r="B358" s="123" t="s">
        <v>4496</v>
      </c>
      <c r="C358" s="123"/>
      <c r="D358" s="123" t="s">
        <v>4497</v>
      </c>
      <c r="E358" s="123" t="s">
        <v>3165</v>
      </c>
      <c r="F358" s="123" t="s">
        <v>3165</v>
      </c>
      <c r="G358" s="123" t="s">
        <v>214</v>
      </c>
      <c r="H358" s="123" t="s">
        <v>3184</v>
      </c>
      <c r="I358" s="123" t="s">
        <v>592</v>
      </c>
      <c r="J358" s="123" t="s">
        <v>3216</v>
      </c>
      <c r="K358" s="123"/>
      <c r="L358" s="123"/>
      <c r="M358" s="123" t="s">
        <v>3658</v>
      </c>
      <c r="N358" s="124">
        <v>27.1632</v>
      </c>
      <c r="O358" s="124">
        <v>-81.1873</v>
      </c>
      <c r="P358" s="123"/>
      <c r="Q358" s="123"/>
      <c r="R358" s="125" t="s">
        <v>3170</v>
      </c>
      <c r="S358" s="123"/>
      <c r="T358" s="125" t="s">
        <v>3170</v>
      </c>
      <c r="U358" s="124">
        <v>2013.0</v>
      </c>
      <c r="V358" s="124">
        <v>2015.0</v>
      </c>
      <c r="W358" s="123"/>
      <c r="X358" s="123"/>
    </row>
    <row r="359">
      <c r="A359" s="123" t="s">
        <v>87</v>
      </c>
      <c r="B359" s="123" t="s">
        <v>4498</v>
      </c>
      <c r="C359" s="123"/>
      <c r="D359" s="123" t="s">
        <v>4499</v>
      </c>
      <c r="E359" s="123" t="s">
        <v>3164</v>
      </c>
      <c r="F359" s="123" t="s">
        <v>3165</v>
      </c>
      <c r="G359" s="123" t="s">
        <v>214</v>
      </c>
      <c r="H359" s="123" t="s">
        <v>3184</v>
      </c>
      <c r="I359" s="123"/>
      <c r="J359" s="123"/>
      <c r="K359" s="124">
        <v>780.0</v>
      </c>
      <c r="L359" s="124">
        <v>3.4</v>
      </c>
      <c r="M359" s="123" t="s">
        <v>3658</v>
      </c>
      <c r="N359" s="124">
        <v>47.5051</v>
      </c>
      <c r="O359" s="124">
        <v>-93.4893</v>
      </c>
      <c r="P359" s="124">
        <v>416.0</v>
      </c>
      <c r="Q359" s="123" t="s">
        <v>4500</v>
      </c>
      <c r="R359" s="125" t="s">
        <v>4501</v>
      </c>
      <c r="S359" s="123"/>
      <c r="T359" s="125" t="s">
        <v>3170</v>
      </c>
      <c r="U359" s="124">
        <v>2007.0</v>
      </c>
      <c r="V359" s="123"/>
      <c r="W359" s="123" t="s">
        <v>4502</v>
      </c>
      <c r="X359" s="123"/>
    </row>
    <row r="360">
      <c r="A360" s="123" t="s">
        <v>87</v>
      </c>
      <c r="B360" s="123" t="s">
        <v>4503</v>
      </c>
      <c r="C360" s="123"/>
      <c r="D360" s="123" t="s">
        <v>4504</v>
      </c>
      <c r="E360" s="123" t="s">
        <v>3164</v>
      </c>
      <c r="F360" s="123" t="s">
        <v>3165</v>
      </c>
      <c r="G360" s="123" t="s">
        <v>86</v>
      </c>
      <c r="H360" s="123" t="s">
        <v>3088</v>
      </c>
      <c r="I360" s="123" t="s">
        <v>107</v>
      </c>
      <c r="J360" s="123" t="s">
        <v>3249</v>
      </c>
      <c r="K360" s="124">
        <v>432.0</v>
      </c>
      <c r="L360" s="124">
        <v>6.25</v>
      </c>
      <c r="M360" s="123" t="s">
        <v>3658</v>
      </c>
      <c r="N360" s="124">
        <v>48.1873</v>
      </c>
      <c r="O360" s="124">
        <v>-114.1548</v>
      </c>
      <c r="P360" s="124">
        <v>900.0</v>
      </c>
      <c r="Q360" s="124">
        <v>2015.0</v>
      </c>
      <c r="R360" s="125" t="s">
        <v>4505</v>
      </c>
      <c r="S360" s="123"/>
      <c r="T360" s="125" t="s">
        <v>3170</v>
      </c>
      <c r="U360" s="124">
        <v>2015.0</v>
      </c>
      <c r="V360" s="124">
        <v>2015.0</v>
      </c>
      <c r="W360" s="123" t="s">
        <v>4506</v>
      </c>
      <c r="X360" s="123"/>
    </row>
    <row r="361">
      <c r="A361" s="123" t="s">
        <v>87</v>
      </c>
      <c r="B361" s="123" t="s">
        <v>4507</v>
      </c>
      <c r="C361" s="123"/>
      <c r="D361" s="123" t="s">
        <v>4508</v>
      </c>
      <c r="E361" s="123" t="s">
        <v>3164</v>
      </c>
      <c r="F361" s="123" t="s">
        <v>3165</v>
      </c>
      <c r="G361" s="123" t="s">
        <v>86</v>
      </c>
      <c r="H361" s="123" t="s">
        <v>3088</v>
      </c>
      <c r="I361" s="123" t="s">
        <v>107</v>
      </c>
      <c r="J361" s="123" t="s">
        <v>3249</v>
      </c>
      <c r="K361" s="124">
        <v>432.0</v>
      </c>
      <c r="L361" s="124">
        <v>6.25</v>
      </c>
      <c r="M361" s="123" t="s">
        <v>3658</v>
      </c>
      <c r="N361" s="124">
        <v>48.1802</v>
      </c>
      <c r="O361" s="124">
        <v>-114.2051</v>
      </c>
      <c r="P361" s="124">
        <v>900.0</v>
      </c>
      <c r="Q361" s="124">
        <v>2016.0</v>
      </c>
      <c r="R361" s="125" t="s">
        <v>4509</v>
      </c>
      <c r="S361" s="123"/>
      <c r="T361" s="125" t="s">
        <v>3170</v>
      </c>
      <c r="U361" s="124">
        <v>2016.0</v>
      </c>
      <c r="V361" s="124">
        <v>2016.0</v>
      </c>
      <c r="W361" s="123" t="s">
        <v>4510</v>
      </c>
      <c r="X361" s="123"/>
    </row>
    <row r="362">
      <c r="A362" s="123" t="s">
        <v>87</v>
      </c>
      <c r="B362" s="123" t="s">
        <v>4511</v>
      </c>
      <c r="C362" s="123"/>
      <c r="D362" s="123" t="s">
        <v>4512</v>
      </c>
      <c r="E362" s="123" t="s">
        <v>3165</v>
      </c>
      <c r="F362" s="123" t="s">
        <v>3165</v>
      </c>
      <c r="G362" s="123" t="s">
        <v>214</v>
      </c>
      <c r="H362" s="123" t="s">
        <v>3184</v>
      </c>
      <c r="I362" s="123" t="s">
        <v>4092</v>
      </c>
      <c r="J362" s="123" t="s">
        <v>4093</v>
      </c>
      <c r="K362" s="124">
        <v>894.0</v>
      </c>
      <c r="L362" s="124">
        <v>10.0</v>
      </c>
      <c r="M362" s="123" t="s">
        <v>3658</v>
      </c>
      <c r="N362" s="124">
        <v>36.783</v>
      </c>
      <c r="O362" s="124">
        <v>-121.769</v>
      </c>
      <c r="P362" s="124">
        <v>0.0</v>
      </c>
      <c r="Q362" s="123"/>
      <c r="R362" s="125" t="s">
        <v>3170</v>
      </c>
      <c r="S362" s="123"/>
      <c r="T362" s="125" t="s">
        <v>3170</v>
      </c>
      <c r="U362" s="124">
        <v>2023.0</v>
      </c>
      <c r="V362" s="123"/>
      <c r="W362" s="123"/>
      <c r="X362" s="123"/>
    </row>
    <row r="363">
      <c r="A363" s="123" t="s">
        <v>87</v>
      </c>
      <c r="B363" s="123" t="s">
        <v>4513</v>
      </c>
      <c r="C363" s="123"/>
      <c r="D363" s="123" t="s">
        <v>4514</v>
      </c>
      <c r="E363" s="123" t="s">
        <v>3164</v>
      </c>
      <c r="F363" s="123" t="s">
        <v>3164</v>
      </c>
      <c r="G363" s="123" t="s">
        <v>197</v>
      </c>
      <c r="H363" s="123" t="s">
        <v>3094</v>
      </c>
      <c r="I363" s="123" t="s">
        <v>445</v>
      </c>
      <c r="J363" s="123" t="s">
        <v>3317</v>
      </c>
      <c r="K363" s="124">
        <v>704.61</v>
      </c>
      <c r="L363" s="124">
        <v>7.88</v>
      </c>
      <c r="M363" s="123" t="s">
        <v>3658</v>
      </c>
      <c r="N363" s="124">
        <v>44.5794</v>
      </c>
      <c r="O363" s="124">
        <v>-121.5</v>
      </c>
      <c r="P363" s="124">
        <v>896.0</v>
      </c>
      <c r="Q363" s="123" t="s">
        <v>3306</v>
      </c>
      <c r="R363" s="125" t="s">
        <v>4515</v>
      </c>
      <c r="S363" s="123" t="s">
        <v>3306</v>
      </c>
      <c r="T363" s="125" t="s">
        <v>4516</v>
      </c>
      <c r="U363" s="124">
        <v>2004.0</v>
      </c>
      <c r="V363" s="124">
        <v>2005.0</v>
      </c>
      <c r="W363" s="123" t="s">
        <v>4517</v>
      </c>
      <c r="X363" s="123"/>
    </row>
    <row r="364">
      <c r="A364" s="123" t="s">
        <v>87</v>
      </c>
      <c r="B364" s="123" t="s">
        <v>1314</v>
      </c>
      <c r="C364" s="123"/>
      <c r="D364" s="123" t="s">
        <v>1315</v>
      </c>
      <c r="E364" s="123" t="s">
        <v>3164</v>
      </c>
      <c r="F364" s="123" t="s">
        <v>3164</v>
      </c>
      <c r="G364" s="123" t="s">
        <v>197</v>
      </c>
      <c r="H364" s="123" t="s">
        <v>3094</v>
      </c>
      <c r="I364" s="123" t="s">
        <v>445</v>
      </c>
      <c r="J364" s="123" t="s">
        <v>3317</v>
      </c>
      <c r="K364" s="124">
        <v>523.0</v>
      </c>
      <c r="L364" s="124">
        <v>6.28</v>
      </c>
      <c r="M364" s="123" t="s">
        <v>3658</v>
      </c>
      <c r="N364" s="124">
        <v>44.4526</v>
      </c>
      <c r="O364" s="124">
        <v>-121.5589</v>
      </c>
      <c r="P364" s="124">
        <v>1253.0</v>
      </c>
      <c r="Q364" s="123" t="s">
        <v>4518</v>
      </c>
      <c r="R364" s="125" t="s">
        <v>4519</v>
      </c>
      <c r="S364" s="123" t="s">
        <v>4520</v>
      </c>
      <c r="T364" s="125" t="s">
        <v>4521</v>
      </c>
      <c r="U364" s="124">
        <v>2002.0</v>
      </c>
      <c r="V364" s="123"/>
      <c r="W364" s="123" t="s">
        <v>4522</v>
      </c>
      <c r="X364" s="123"/>
    </row>
    <row r="365">
      <c r="A365" s="123" t="s">
        <v>87</v>
      </c>
      <c r="B365" s="123" t="s">
        <v>4523</v>
      </c>
      <c r="C365" s="123"/>
      <c r="D365" s="123" t="s">
        <v>4524</v>
      </c>
      <c r="E365" s="123" t="s">
        <v>3164</v>
      </c>
      <c r="F365" s="123" t="s">
        <v>3164</v>
      </c>
      <c r="G365" s="123" t="s">
        <v>197</v>
      </c>
      <c r="H365" s="123" t="s">
        <v>3094</v>
      </c>
      <c r="I365" s="123" t="s">
        <v>445</v>
      </c>
      <c r="J365" s="123" t="s">
        <v>3317</v>
      </c>
      <c r="K365" s="124">
        <v>719.0</v>
      </c>
      <c r="L365" s="124">
        <v>7.07</v>
      </c>
      <c r="M365" s="123" t="s">
        <v>3658</v>
      </c>
      <c r="N365" s="124">
        <v>44.3154</v>
      </c>
      <c r="O365" s="124">
        <v>-121.6078</v>
      </c>
      <c r="P365" s="124">
        <v>1005.0</v>
      </c>
      <c r="Q365" s="123" t="s">
        <v>3622</v>
      </c>
      <c r="R365" s="125" t="s">
        <v>4525</v>
      </c>
      <c r="S365" s="123" t="s">
        <v>3622</v>
      </c>
      <c r="T365" s="125" t="s">
        <v>4526</v>
      </c>
      <c r="U365" s="124">
        <v>2004.0</v>
      </c>
      <c r="V365" s="124">
        <v>2009.0</v>
      </c>
      <c r="W365" s="123" t="s">
        <v>4527</v>
      </c>
      <c r="X365" s="123"/>
    </row>
    <row r="366">
      <c r="A366" s="123" t="s">
        <v>87</v>
      </c>
      <c r="B366" s="123" t="s">
        <v>4528</v>
      </c>
      <c r="C366" s="123"/>
      <c r="D366" s="123" t="s">
        <v>4529</v>
      </c>
      <c r="E366" s="123" t="s">
        <v>3164</v>
      </c>
      <c r="F366" s="123" t="s">
        <v>3165</v>
      </c>
      <c r="G366" s="123" t="s">
        <v>197</v>
      </c>
      <c r="H366" s="123" t="s">
        <v>3094</v>
      </c>
      <c r="I366" s="123" t="s">
        <v>445</v>
      </c>
      <c r="J366" s="123" t="s">
        <v>3317</v>
      </c>
      <c r="K366" s="124">
        <v>1038.82</v>
      </c>
      <c r="L366" s="124">
        <v>7.61</v>
      </c>
      <c r="M366" s="123" t="s">
        <v>3658</v>
      </c>
      <c r="N366" s="124">
        <v>44.4992</v>
      </c>
      <c r="O366" s="124">
        <v>-121.6224</v>
      </c>
      <c r="P366" s="124">
        <v>922.0</v>
      </c>
      <c r="Q366" s="123" t="s">
        <v>4530</v>
      </c>
      <c r="R366" s="125" t="s">
        <v>4531</v>
      </c>
      <c r="S366" s="123"/>
      <c r="T366" s="125" t="s">
        <v>3170</v>
      </c>
      <c r="U366" s="124">
        <v>1996.0</v>
      </c>
      <c r="V366" s="123"/>
      <c r="W366" s="123" t="s">
        <v>4532</v>
      </c>
      <c r="X366" s="123"/>
    </row>
    <row r="367">
      <c r="A367" s="123" t="s">
        <v>87</v>
      </c>
      <c r="B367" s="123" t="s">
        <v>4533</v>
      </c>
      <c r="C367" s="123"/>
      <c r="D367" s="123" t="s">
        <v>4534</v>
      </c>
      <c r="E367" s="123" t="s">
        <v>3164</v>
      </c>
      <c r="F367" s="123" t="s">
        <v>3165</v>
      </c>
      <c r="G367" s="123" t="s">
        <v>197</v>
      </c>
      <c r="H367" s="123" t="s">
        <v>3094</v>
      </c>
      <c r="I367" s="123" t="s">
        <v>445</v>
      </c>
      <c r="J367" s="123" t="s">
        <v>3317</v>
      </c>
      <c r="K367" s="124">
        <v>590.81</v>
      </c>
      <c r="L367" s="124">
        <v>6.47</v>
      </c>
      <c r="M367" s="123" t="s">
        <v>3658</v>
      </c>
      <c r="N367" s="124">
        <v>44.4372</v>
      </c>
      <c r="O367" s="124">
        <v>-121.5668</v>
      </c>
      <c r="P367" s="124">
        <v>1188.0</v>
      </c>
      <c r="Q367" s="123" t="s">
        <v>4535</v>
      </c>
      <c r="R367" s="125" t="s">
        <v>4536</v>
      </c>
      <c r="S367" s="123"/>
      <c r="T367" s="125" t="s">
        <v>3170</v>
      </c>
      <c r="U367" s="124">
        <v>2000.0</v>
      </c>
      <c r="V367" s="124">
        <v>2002.0</v>
      </c>
      <c r="W367" s="123" t="s">
        <v>4537</v>
      </c>
      <c r="X367" s="123"/>
    </row>
    <row r="368">
      <c r="A368" s="123" t="s">
        <v>87</v>
      </c>
      <c r="B368" s="123" t="s">
        <v>4538</v>
      </c>
      <c r="C368" s="123"/>
      <c r="D368" s="123" t="s">
        <v>4539</v>
      </c>
      <c r="E368" s="123" t="s">
        <v>3164</v>
      </c>
      <c r="F368" s="123" t="s">
        <v>3164</v>
      </c>
      <c r="G368" s="123" t="s">
        <v>197</v>
      </c>
      <c r="H368" s="123" t="s">
        <v>3094</v>
      </c>
      <c r="I368" s="123" t="s">
        <v>445</v>
      </c>
      <c r="J368" s="123" t="s">
        <v>3317</v>
      </c>
      <c r="K368" s="124">
        <v>494.0</v>
      </c>
      <c r="L368" s="124">
        <v>7.59</v>
      </c>
      <c r="M368" s="123" t="s">
        <v>3658</v>
      </c>
      <c r="N368" s="124">
        <v>44.3233</v>
      </c>
      <c r="O368" s="124">
        <v>-121.6078</v>
      </c>
      <c r="P368" s="124">
        <v>998.0</v>
      </c>
      <c r="Q368" s="123" t="s">
        <v>4540</v>
      </c>
      <c r="R368" s="125" t="s">
        <v>4541</v>
      </c>
      <c r="S368" s="123" t="s">
        <v>3881</v>
      </c>
      <c r="T368" s="125" t="s">
        <v>4542</v>
      </c>
      <c r="U368" s="124">
        <v>2010.0</v>
      </c>
      <c r="V368" s="123"/>
      <c r="W368" s="123" t="s">
        <v>4543</v>
      </c>
      <c r="X368" s="123"/>
    </row>
    <row r="369">
      <c r="A369" s="123" t="s">
        <v>87</v>
      </c>
      <c r="B369" s="123" t="s">
        <v>4544</v>
      </c>
      <c r="C369" s="123"/>
      <c r="D369" s="123" t="s">
        <v>4545</v>
      </c>
      <c r="E369" s="123" t="s">
        <v>3164</v>
      </c>
      <c r="F369" s="123" t="s">
        <v>3165</v>
      </c>
      <c r="G369" s="123" t="s">
        <v>197</v>
      </c>
      <c r="H369" s="123" t="s">
        <v>3094</v>
      </c>
      <c r="I369" s="123" t="s">
        <v>445</v>
      </c>
      <c r="J369" s="123" t="s">
        <v>3317</v>
      </c>
      <c r="K369" s="124">
        <v>523.0</v>
      </c>
      <c r="L369" s="124">
        <v>6.28</v>
      </c>
      <c r="M369" s="123" t="s">
        <v>3658</v>
      </c>
      <c r="N369" s="124">
        <v>44.4534</v>
      </c>
      <c r="O369" s="124">
        <v>-121.5619</v>
      </c>
      <c r="P369" s="124">
        <v>1253.0</v>
      </c>
      <c r="Q369" s="123" t="s">
        <v>3858</v>
      </c>
      <c r="R369" s="125" t="s">
        <v>4546</v>
      </c>
      <c r="S369" s="123"/>
      <c r="T369" s="125" t="s">
        <v>3170</v>
      </c>
      <c r="U369" s="124">
        <v>2022.0</v>
      </c>
      <c r="V369" s="123"/>
      <c r="W369" s="123" t="s">
        <v>4547</v>
      </c>
      <c r="X369" s="123"/>
    </row>
    <row r="370">
      <c r="A370" s="123" t="s">
        <v>87</v>
      </c>
      <c r="B370" s="123" t="s">
        <v>4548</v>
      </c>
      <c r="C370" s="123"/>
      <c r="D370" s="123" t="s">
        <v>4549</v>
      </c>
      <c r="E370" s="123" t="s">
        <v>3164</v>
      </c>
      <c r="F370" s="123" t="s">
        <v>3165</v>
      </c>
      <c r="G370" s="123" t="s">
        <v>1085</v>
      </c>
      <c r="H370" s="123" t="s">
        <v>3588</v>
      </c>
      <c r="I370" s="123" t="s">
        <v>108</v>
      </c>
      <c r="J370" s="123" t="s">
        <v>3796</v>
      </c>
      <c r="K370" s="124">
        <v>875.0</v>
      </c>
      <c r="L370" s="124">
        <v>7.94</v>
      </c>
      <c r="M370" s="123" t="s">
        <v>3658</v>
      </c>
      <c r="N370" s="124">
        <v>43.0772</v>
      </c>
      <c r="O370" s="124">
        <v>-89.403</v>
      </c>
      <c r="P370" s="124">
        <v>260.0</v>
      </c>
      <c r="Q370" s="123" t="s">
        <v>4550</v>
      </c>
      <c r="R370" s="125" t="s">
        <v>4551</v>
      </c>
      <c r="S370" s="123"/>
      <c r="T370" s="125" t="s">
        <v>3170</v>
      </c>
      <c r="U370" s="124">
        <v>2012.0</v>
      </c>
      <c r="V370" s="124">
        <v>2018.0</v>
      </c>
      <c r="W370" s="123" t="s">
        <v>4552</v>
      </c>
      <c r="X370" s="123"/>
    </row>
    <row r="371">
      <c r="A371" s="123" t="s">
        <v>87</v>
      </c>
      <c r="B371" s="123" t="s">
        <v>4553</v>
      </c>
      <c r="C371" s="123"/>
      <c r="D371" s="123" t="s">
        <v>4554</v>
      </c>
      <c r="E371" s="123" t="s">
        <v>3165</v>
      </c>
      <c r="F371" s="123" t="s">
        <v>3165</v>
      </c>
      <c r="G371" s="123" t="s">
        <v>86</v>
      </c>
      <c r="H371" s="123" t="s">
        <v>3088</v>
      </c>
      <c r="I371" s="123" t="s">
        <v>107</v>
      </c>
      <c r="J371" s="123" t="s">
        <v>3249</v>
      </c>
      <c r="K371" s="124">
        <v>1170.0</v>
      </c>
      <c r="L371" s="124">
        <v>8.9</v>
      </c>
      <c r="M371" s="123" t="s">
        <v>3658</v>
      </c>
      <c r="N371" s="124">
        <v>43.1385</v>
      </c>
      <c r="O371" s="124">
        <v>-70.961</v>
      </c>
      <c r="P371" s="124">
        <v>20.0</v>
      </c>
      <c r="Q371" s="123"/>
      <c r="R371" s="125" t="s">
        <v>3170</v>
      </c>
      <c r="S371" s="123"/>
      <c r="T371" s="125" t="s">
        <v>3170</v>
      </c>
      <c r="U371" s="124">
        <v>2014.0</v>
      </c>
      <c r="V371" s="124">
        <v>2018.0</v>
      </c>
      <c r="W371" s="123"/>
      <c r="X371" s="123"/>
    </row>
    <row r="372">
      <c r="A372" s="123" t="s">
        <v>87</v>
      </c>
      <c r="B372" s="123" t="s">
        <v>4555</v>
      </c>
      <c r="C372" s="123"/>
      <c r="D372" s="123" t="s">
        <v>4556</v>
      </c>
      <c r="E372" s="123" t="s">
        <v>3165</v>
      </c>
      <c r="F372" s="123" t="s">
        <v>3165</v>
      </c>
      <c r="G372" s="123" t="s">
        <v>288</v>
      </c>
      <c r="H372" s="123" t="s">
        <v>3095</v>
      </c>
      <c r="I372" s="123" t="s">
        <v>584</v>
      </c>
      <c r="J372" s="123" t="s">
        <v>4557</v>
      </c>
      <c r="K372" s="124">
        <v>317.8</v>
      </c>
      <c r="L372" s="124">
        <v>7.06</v>
      </c>
      <c r="M372" s="123" t="s">
        <v>3658</v>
      </c>
      <c r="N372" s="124">
        <v>46.6996</v>
      </c>
      <c r="O372" s="124">
        <v>-114.0353</v>
      </c>
      <c r="P372" s="124">
        <v>1043.0</v>
      </c>
      <c r="Q372" s="123"/>
      <c r="R372" s="125" t="s">
        <v>3170</v>
      </c>
      <c r="S372" s="123"/>
      <c r="T372" s="125" t="s">
        <v>3170</v>
      </c>
      <c r="U372" s="124">
        <v>2022.0</v>
      </c>
      <c r="V372" s="123"/>
      <c r="W372" s="123"/>
      <c r="X372" s="123"/>
    </row>
    <row r="373">
      <c r="A373" s="123" t="s">
        <v>87</v>
      </c>
      <c r="B373" s="123" t="s">
        <v>4558</v>
      </c>
      <c r="C373" s="123"/>
      <c r="D373" s="123" t="s">
        <v>4559</v>
      </c>
      <c r="E373" s="123" t="s">
        <v>3164</v>
      </c>
      <c r="F373" s="123" t="s">
        <v>3165</v>
      </c>
      <c r="G373" s="123" t="s">
        <v>86</v>
      </c>
      <c r="H373" s="123" t="s">
        <v>3088</v>
      </c>
      <c r="I373" s="123" t="s">
        <v>303</v>
      </c>
      <c r="J373" s="123" t="s">
        <v>3585</v>
      </c>
      <c r="K373" s="124">
        <v>347.0</v>
      </c>
      <c r="L373" s="124">
        <v>8.9</v>
      </c>
      <c r="M373" s="123" t="s">
        <v>3658</v>
      </c>
      <c r="N373" s="124">
        <v>45.9206</v>
      </c>
      <c r="O373" s="124">
        <v>-108.2414</v>
      </c>
      <c r="P373" s="124">
        <v>919.6</v>
      </c>
      <c r="Q373" s="124">
        <v>2015.0</v>
      </c>
      <c r="R373" s="125" t="s">
        <v>4560</v>
      </c>
      <c r="S373" s="123"/>
      <c r="T373" s="125" t="s">
        <v>3170</v>
      </c>
      <c r="U373" s="124">
        <v>2015.0</v>
      </c>
      <c r="V373" s="124">
        <v>2015.0</v>
      </c>
      <c r="W373" s="123" t="s">
        <v>4506</v>
      </c>
      <c r="X373" s="123"/>
    </row>
    <row r="374">
      <c r="A374" s="123" t="s">
        <v>87</v>
      </c>
      <c r="B374" s="123" t="s">
        <v>4561</v>
      </c>
      <c r="C374" s="123"/>
      <c r="D374" s="123" t="s">
        <v>4562</v>
      </c>
      <c r="E374" s="123" t="s">
        <v>3164</v>
      </c>
      <c r="F374" s="123" t="s">
        <v>3165</v>
      </c>
      <c r="G374" s="123" t="s">
        <v>86</v>
      </c>
      <c r="H374" s="123" t="s">
        <v>3088</v>
      </c>
      <c r="I374" s="123" t="s">
        <v>303</v>
      </c>
      <c r="J374" s="123" t="s">
        <v>3585</v>
      </c>
      <c r="K374" s="124">
        <v>347.0</v>
      </c>
      <c r="L374" s="124">
        <v>8.9</v>
      </c>
      <c r="M374" s="123" t="s">
        <v>3658</v>
      </c>
      <c r="N374" s="124">
        <v>45.9699</v>
      </c>
      <c r="O374" s="124">
        <v>-108.1978</v>
      </c>
      <c r="P374" s="124">
        <v>891.0</v>
      </c>
      <c r="Q374" s="124">
        <v>2016.0</v>
      </c>
      <c r="R374" s="125" t="s">
        <v>4563</v>
      </c>
      <c r="S374" s="123"/>
      <c r="T374" s="125" t="s">
        <v>3170</v>
      </c>
      <c r="U374" s="124">
        <v>2016.0</v>
      </c>
      <c r="V374" s="124">
        <v>2016.0</v>
      </c>
      <c r="W374" s="123" t="s">
        <v>4564</v>
      </c>
      <c r="X374" s="123"/>
    </row>
    <row r="375">
      <c r="A375" s="123" t="s">
        <v>87</v>
      </c>
      <c r="B375" s="123" t="s">
        <v>4565</v>
      </c>
      <c r="C375" s="123"/>
      <c r="D375" s="123" t="s">
        <v>4566</v>
      </c>
      <c r="E375" s="123" t="s">
        <v>3164</v>
      </c>
      <c r="F375" s="123" t="s">
        <v>3165</v>
      </c>
      <c r="G375" s="123" t="s">
        <v>362</v>
      </c>
      <c r="H375" s="123" t="s">
        <v>3225</v>
      </c>
      <c r="I375" s="123" t="s">
        <v>107</v>
      </c>
      <c r="J375" s="123" t="s">
        <v>3249</v>
      </c>
      <c r="K375" s="124">
        <v>1012.7</v>
      </c>
      <c r="L375" s="124">
        <v>10.5</v>
      </c>
      <c r="M375" s="123" t="s">
        <v>3658</v>
      </c>
      <c r="N375" s="124">
        <v>41.7727</v>
      </c>
      <c r="O375" s="124">
        <v>-80.6313</v>
      </c>
      <c r="P375" s="124">
        <v>290.0</v>
      </c>
      <c r="Q375" s="123" t="s">
        <v>4567</v>
      </c>
      <c r="R375" s="125" t="s">
        <v>4568</v>
      </c>
      <c r="S375" s="123"/>
      <c r="T375" s="125" t="s">
        <v>3170</v>
      </c>
      <c r="U375" s="124">
        <v>2015.0</v>
      </c>
      <c r="V375" s="124">
        <v>2019.0</v>
      </c>
      <c r="W375" s="123" t="s">
        <v>4569</v>
      </c>
      <c r="X375" s="123"/>
    </row>
    <row r="376">
      <c r="A376" s="123" t="s">
        <v>87</v>
      </c>
      <c r="B376" s="123" t="s">
        <v>4570</v>
      </c>
      <c r="C376" s="123"/>
      <c r="D376" s="123" t="s">
        <v>4571</v>
      </c>
      <c r="E376" s="123" t="s">
        <v>3164</v>
      </c>
      <c r="F376" s="123" t="s">
        <v>3165</v>
      </c>
      <c r="G376" s="123" t="s">
        <v>362</v>
      </c>
      <c r="H376" s="123" t="s">
        <v>3225</v>
      </c>
      <c r="I376" s="123" t="s">
        <v>107</v>
      </c>
      <c r="J376" s="123" t="s">
        <v>3249</v>
      </c>
      <c r="K376" s="124">
        <v>1012.7</v>
      </c>
      <c r="L376" s="124">
        <v>10.5</v>
      </c>
      <c r="M376" s="123" t="s">
        <v>3658</v>
      </c>
      <c r="N376" s="124">
        <v>41.5479</v>
      </c>
      <c r="O376" s="124">
        <v>-80.855</v>
      </c>
      <c r="P376" s="124">
        <v>280.0</v>
      </c>
      <c r="Q376" s="123" t="s">
        <v>3592</v>
      </c>
      <c r="R376" s="125" t="s">
        <v>4572</v>
      </c>
      <c r="S376" s="123"/>
      <c r="T376" s="125" t="s">
        <v>3170</v>
      </c>
      <c r="U376" s="124">
        <v>2015.0</v>
      </c>
      <c r="V376" s="124">
        <v>2017.0</v>
      </c>
      <c r="W376" s="123" t="s">
        <v>4569</v>
      </c>
      <c r="X376" s="123"/>
    </row>
    <row r="377">
      <c r="A377" s="123" t="s">
        <v>87</v>
      </c>
      <c r="B377" s="123" t="s">
        <v>4573</v>
      </c>
      <c r="C377" s="123"/>
      <c r="D377" s="123" t="s">
        <v>4574</v>
      </c>
      <c r="E377" s="123" t="s">
        <v>3164</v>
      </c>
      <c r="F377" s="123" t="s">
        <v>3165</v>
      </c>
      <c r="G377" s="123" t="s">
        <v>362</v>
      </c>
      <c r="H377" s="123" t="s">
        <v>3225</v>
      </c>
      <c r="I377" s="123" t="s">
        <v>107</v>
      </c>
      <c r="J377" s="123" t="s">
        <v>3249</v>
      </c>
      <c r="K377" s="124">
        <v>1012.7</v>
      </c>
      <c r="L377" s="124">
        <v>10.5</v>
      </c>
      <c r="M377" s="123" t="s">
        <v>3658</v>
      </c>
      <c r="N377" s="124">
        <v>41.8222</v>
      </c>
      <c r="O377" s="124">
        <v>-80.637</v>
      </c>
      <c r="P377" s="124">
        <v>270.0</v>
      </c>
      <c r="Q377" s="123" t="s">
        <v>4567</v>
      </c>
      <c r="R377" s="125" t="s">
        <v>4575</v>
      </c>
      <c r="S377" s="123"/>
      <c r="T377" s="125" t="s">
        <v>3170</v>
      </c>
      <c r="U377" s="124">
        <v>2015.0</v>
      </c>
      <c r="V377" s="124">
        <v>2019.0</v>
      </c>
      <c r="W377" s="123" t="s">
        <v>4569</v>
      </c>
      <c r="X377" s="123"/>
    </row>
    <row r="378">
      <c r="A378" s="123" t="s">
        <v>87</v>
      </c>
      <c r="B378" s="123" t="s">
        <v>4576</v>
      </c>
      <c r="C378" s="123"/>
      <c r="D378" s="123" t="s">
        <v>4577</v>
      </c>
      <c r="E378" s="123" t="s">
        <v>3164</v>
      </c>
      <c r="F378" s="123" t="s">
        <v>3165</v>
      </c>
      <c r="G378" s="123" t="s">
        <v>86</v>
      </c>
      <c r="H378" s="123" t="s">
        <v>3088</v>
      </c>
      <c r="I378" s="123" t="s">
        <v>303</v>
      </c>
      <c r="J378" s="123" t="s">
        <v>3585</v>
      </c>
      <c r="K378" s="124">
        <v>388.0</v>
      </c>
      <c r="L378" s="124">
        <v>6.6</v>
      </c>
      <c r="M378" s="123" t="s">
        <v>3658</v>
      </c>
      <c r="N378" s="124">
        <v>46.9948</v>
      </c>
      <c r="O378" s="124">
        <v>-109.6137</v>
      </c>
      <c r="P378" s="124">
        <v>1285.0</v>
      </c>
      <c r="Q378" s="123" t="s">
        <v>4578</v>
      </c>
      <c r="R378" s="125" t="s">
        <v>4579</v>
      </c>
      <c r="S378" s="123"/>
      <c r="T378" s="125" t="s">
        <v>3170</v>
      </c>
      <c r="U378" s="124">
        <v>2013.0</v>
      </c>
      <c r="V378" s="124">
        <v>2014.0</v>
      </c>
      <c r="W378" s="123" t="s">
        <v>4580</v>
      </c>
      <c r="X378" s="123"/>
    </row>
    <row r="379">
      <c r="A379" s="123" t="s">
        <v>87</v>
      </c>
      <c r="B379" s="123" t="s">
        <v>4581</v>
      </c>
      <c r="C379" s="123"/>
      <c r="D379" s="123" t="s">
        <v>4582</v>
      </c>
      <c r="E379" s="123" t="s">
        <v>3164</v>
      </c>
      <c r="F379" s="123" t="s">
        <v>3165</v>
      </c>
      <c r="G379" s="123" t="s">
        <v>86</v>
      </c>
      <c r="H379" s="123" t="s">
        <v>3088</v>
      </c>
      <c r="I379" s="123" t="s">
        <v>303</v>
      </c>
      <c r="J379" s="123" t="s">
        <v>3585</v>
      </c>
      <c r="K379" s="124">
        <v>388.0</v>
      </c>
      <c r="L379" s="124">
        <v>6.6</v>
      </c>
      <c r="M379" s="123" t="s">
        <v>3658</v>
      </c>
      <c r="N379" s="124">
        <v>46.9957</v>
      </c>
      <c r="O379" s="124">
        <v>-109.6295</v>
      </c>
      <c r="P379" s="124">
        <v>1277.0</v>
      </c>
      <c r="Q379" s="124">
        <v>2014.0</v>
      </c>
      <c r="R379" s="125" t="s">
        <v>4583</v>
      </c>
      <c r="S379" s="123"/>
      <c r="T379" s="125" t="s">
        <v>3170</v>
      </c>
      <c r="U379" s="124">
        <v>2014.0</v>
      </c>
      <c r="V379" s="124">
        <v>2014.0</v>
      </c>
      <c r="W379" s="123" t="s">
        <v>4584</v>
      </c>
      <c r="X379" s="123"/>
    </row>
    <row r="380">
      <c r="A380" s="123" t="s">
        <v>87</v>
      </c>
      <c r="B380" s="123" t="s">
        <v>1309</v>
      </c>
      <c r="C380" s="123"/>
      <c r="D380" s="123" t="s">
        <v>1310</v>
      </c>
      <c r="E380" s="123" t="s">
        <v>3164</v>
      </c>
      <c r="F380" s="123" t="s">
        <v>3164</v>
      </c>
      <c r="G380" s="123" t="s">
        <v>370</v>
      </c>
      <c r="H380" s="123" t="s">
        <v>3091</v>
      </c>
      <c r="I380" s="123" t="s">
        <v>201</v>
      </c>
      <c r="J380" s="123" t="s">
        <v>3174</v>
      </c>
      <c r="K380" s="124">
        <v>1032.0</v>
      </c>
      <c r="L380" s="124">
        <v>10.85</v>
      </c>
      <c r="M380" s="123" t="s">
        <v>3658</v>
      </c>
      <c r="N380" s="124">
        <v>39.3232</v>
      </c>
      <c r="O380" s="124">
        <v>-86.4131</v>
      </c>
      <c r="P380" s="124">
        <v>275.0</v>
      </c>
      <c r="Q380" s="123" t="s">
        <v>4585</v>
      </c>
      <c r="R380" s="125" t="s">
        <v>4586</v>
      </c>
      <c r="S380" s="123" t="s">
        <v>4169</v>
      </c>
      <c r="T380" s="125" t="s">
        <v>4587</v>
      </c>
      <c r="U380" s="124">
        <v>1999.0</v>
      </c>
      <c r="V380" s="123"/>
      <c r="W380" s="123" t="s">
        <v>4588</v>
      </c>
      <c r="X380" s="123"/>
    </row>
    <row r="381">
      <c r="A381" s="123" t="s">
        <v>87</v>
      </c>
      <c r="B381" s="123" t="s">
        <v>4589</v>
      </c>
      <c r="C381" s="123"/>
      <c r="D381" s="123" t="s">
        <v>4590</v>
      </c>
      <c r="E381" s="123" t="s">
        <v>3165</v>
      </c>
      <c r="F381" s="123" t="s">
        <v>3165</v>
      </c>
      <c r="G381" s="123" t="s">
        <v>86</v>
      </c>
      <c r="H381" s="123" t="s">
        <v>3088</v>
      </c>
      <c r="I381" s="123" t="s">
        <v>584</v>
      </c>
      <c r="J381" s="123" t="s">
        <v>4557</v>
      </c>
      <c r="K381" s="124">
        <v>684.5</v>
      </c>
      <c r="L381" s="124">
        <v>5.7</v>
      </c>
      <c r="M381" s="123" t="s">
        <v>3658</v>
      </c>
      <c r="N381" s="124">
        <v>45.6168</v>
      </c>
      <c r="O381" s="124">
        <v>-96.1269</v>
      </c>
      <c r="P381" s="124">
        <v>339.0</v>
      </c>
      <c r="Q381" s="123"/>
      <c r="R381" s="125" t="s">
        <v>3170</v>
      </c>
      <c r="S381" s="123"/>
      <c r="T381" s="125" t="s">
        <v>3170</v>
      </c>
      <c r="U381" s="124">
        <v>2017.0</v>
      </c>
      <c r="V381" s="123"/>
      <c r="W381" s="123"/>
      <c r="X381" s="123"/>
    </row>
    <row r="382">
      <c r="A382" s="123" t="s">
        <v>87</v>
      </c>
      <c r="B382" s="123" t="s">
        <v>4591</v>
      </c>
      <c r="C382" s="123"/>
      <c r="D382" s="123" t="s">
        <v>4592</v>
      </c>
      <c r="E382" s="123" t="s">
        <v>3165</v>
      </c>
      <c r="F382" s="123" t="s">
        <v>3165</v>
      </c>
      <c r="G382" s="123" t="s">
        <v>86</v>
      </c>
      <c r="H382" s="123" t="s">
        <v>3088</v>
      </c>
      <c r="I382" s="123" t="s">
        <v>584</v>
      </c>
      <c r="J382" s="123" t="s">
        <v>4557</v>
      </c>
      <c r="K382" s="124">
        <v>684.5</v>
      </c>
      <c r="L382" s="124">
        <v>5.7</v>
      </c>
      <c r="M382" s="123" t="s">
        <v>3658</v>
      </c>
      <c r="N382" s="124">
        <v>45.627</v>
      </c>
      <c r="O382" s="124">
        <v>-96.1271</v>
      </c>
      <c r="P382" s="124">
        <v>339.0</v>
      </c>
      <c r="Q382" s="123"/>
      <c r="R382" s="125" t="s">
        <v>3170</v>
      </c>
      <c r="S382" s="123"/>
      <c r="T382" s="125" t="s">
        <v>3170</v>
      </c>
      <c r="U382" s="124">
        <v>2017.0</v>
      </c>
      <c r="V382" s="123"/>
      <c r="W382" s="123"/>
      <c r="X382" s="123"/>
    </row>
    <row r="383">
      <c r="A383" s="123" t="s">
        <v>87</v>
      </c>
      <c r="B383" s="123" t="s">
        <v>4593</v>
      </c>
      <c r="C383" s="123"/>
      <c r="D383" s="123" t="s">
        <v>4594</v>
      </c>
      <c r="E383" s="123" t="s">
        <v>3165</v>
      </c>
      <c r="F383" s="123" t="s">
        <v>3165</v>
      </c>
      <c r="G383" s="123" t="s">
        <v>86</v>
      </c>
      <c r="H383" s="123" t="s">
        <v>3088</v>
      </c>
      <c r="I383" s="123" t="s">
        <v>584</v>
      </c>
      <c r="J383" s="123" t="s">
        <v>4557</v>
      </c>
      <c r="K383" s="124">
        <v>684.5</v>
      </c>
      <c r="L383" s="124">
        <v>5.7</v>
      </c>
      <c r="M383" s="123" t="s">
        <v>3658</v>
      </c>
      <c r="N383" s="124">
        <v>45.6091</v>
      </c>
      <c r="O383" s="124">
        <v>-96.1265</v>
      </c>
      <c r="P383" s="124">
        <v>339.0</v>
      </c>
      <c r="Q383" s="123"/>
      <c r="R383" s="125" t="s">
        <v>3170</v>
      </c>
      <c r="S383" s="123"/>
      <c r="T383" s="125" t="s">
        <v>3170</v>
      </c>
      <c r="U383" s="124">
        <v>2020.0</v>
      </c>
      <c r="V383" s="123"/>
      <c r="W383" s="123"/>
      <c r="X383" s="123"/>
    </row>
    <row r="384">
      <c r="A384" s="123" t="s">
        <v>87</v>
      </c>
      <c r="B384" s="123" t="s">
        <v>4595</v>
      </c>
      <c r="C384" s="123"/>
      <c r="D384" s="123" t="s">
        <v>4596</v>
      </c>
      <c r="E384" s="123" t="s">
        <v>3164</v>
      </c>
      <c r="F384" s="123" t="s">
        <v>3164</v>
      </c>
      <c r="G384" s="123" t="s">
        <v>86</v>
      </c>
      <c r="H384" s="123" t="s">
        <v>3088</v>
      </c>
      <c r="I384" s="123" t="s">
        <v>201</v>
      </c>
      <c r="J384" s="123" t="s">
        <v>3174</v>
      </c>
      <c r="K384" s="124">
        <v>981.0</v>
      </c>
      <c r="L384" s="124">
        <v>12.0</v>
      </c>
      <c r="M384" s="123" t="s">
        <v>3658</v>
      </c>
      <c r="N384" s="124">
        <v>39.2298</v>
      </c>
      <c r="O384" s="124">
        <v>-92.1167</v>
      </c>
      <c r="P384" s="124">
        <v>260.0</v>
      </c>
      <c r="Q384" s="123" t="s">
        <v>3697</v>
      </c>
      <c r="R384" s="125" t="s">
        <v>4597</v>
      </c>
      <c r="S384" s="123" t="s">
        <v>3341</v>
      </c>
      <c r="T384" s="125" t="s">
        <v>4598</v>
      </c>
      <c r="U384" s="124">
        <v>2015.0</v>
      </c>
      <c r="V384" s="123"/>
      <c r="W384" s="123" t="s">
        <v>4599</v>
      </c>
      <c r="X384" s="123"/>
    </row>
    <row r="385">
      <c r="A385" s="123" t="s">
        <v>87</v>
      </c>
      <c r="B385" s="123" t="s">
        <v>4600</v>
      </c>
      <c r="C385" s="123"/>
      <c r="D385" s="123" t="s">
        <v>4601</v>
      </c>
      <c r="E385" s="123" t="s">
        <v>3164</v>
      </c>
      <c r="F385" s="123" t="s">
        <v>3164</v>
      </c>
      <c r="G385" s="123" t="s">
        <v>288</v>
      </c>
      <c r="H385" s="123" t="s">
        <v>3095</v>
      </c>
      <c r="I385" s="123" t="s">
        <v>201</v>
      </c>
      <c r="J385" s="123" t="s">
        <v>3174</v>
      </c>
      <c r="K385" s="124">
        <v>981.0</v>
      </c>
      <c r="L385" s="124">
        <v>12.0</v>
      </c>
      <c r="M385" s="123" t="s">
        <v>3658</v>
      </c>
      <c r="N385" s="124">
        <v>38.9488</v>
      </c>
      <c r="O385" s="124">
        <v>-91.9945</v>
      </c>
      <c r="P385" s="124">
        <v>275.0</v>
      </c>
      <c r="Q385" s="123" t="s">
        <v>4602</v>
      </c>
      <c r="R385" s="125" t="s">
        <v>4603</v>
      </c>
      <c r="S385" s="123" t="s">
        <v>3876</v>
      </c>
      <c r="T385" s="125" t="s">
        <v>4604</v>
      </c>
      <c r="U385" s="124">
        <v>2017.0</v>
      </c>
      <c r="V385" s="123"/>
      <c r="W385" s="123" t="s">
        <v>4599</v>
      </c>
      <c r="X385" s="123"/>
    </row>
    <row r="386">
      <c r="A386" s="123" t="s">
        <v>87</v>
      </c>
      <c r="B386" s="123" t="s">
        <v>4605</v>
      </c>
      <c r="C386" s="123"/>
      <c r="D386" s="123" t="s">
        <v>4606</v>
      </c>
      <c r="E386" s="123" t="s">
        <v>3164</v>
      </c>
      <c r="F386" s="123" t="s">
        <v>3164</v>
      </c>
      <c r="G386" s="123" t="s">
        <v>86</v>
      </c>
      <c r="H386" s="123" t="s">
        <v>3088</v>
      </c>
      <c r="I386" s="123" t="s">
        <v>201</v>
      </c>
      <c r="J386" s="123" t="s">
        <v>3174</v>
      </c>
      <c r="K386" s="124">
        <v>981.0</v>
      </c>
      <c r="L386" s="124">
        <v>12.0</v>
      </c>
      <c r="M386" s="123" t="s">
        <v>3658</v>
      </c>
      <c r="N386" s="124">
        <v>39.2311</v>
      </c>
      <c r="O386" s="124">
        <v>-92.1497</v>
      </c>
      <c r="P386" s="124">
        <v>261.0</v>
      </c>
      <c r="Q386" s="123" t="s">
        <v>3782</v>
      </c>
      <c r="R386" s="125" t="s">
        <v>4607</v>
      </c>
      <c r="S386" s="123" t="s">
        <v>3784</v>
      </c>
      <c r="T386" s="125" t="s">
        <v>4608</v>
      </c>
      <c r="U386" s="124">
        <v>2016.0</v>
      </c>
      <c r="V386" s="123"/>
      <c r="W386" s="123" t="s">
        <v>4599</v>
      </c>
      <c r="X386" s="123"/>
    </row>
    <row r="387">
      <c r="A387" s="123" t="s">
        <v>87</v>
      </c>
      <c r="B387" s="123" t="s">
        <v>1312</v>
      </c>
      <c r="C387" s="123"/>
      <c r="D387" s="123" t="s">
        <v>4609</v>
      </c>
      <c r="E387" s="123" t="s">
        <v>3164</v>
      </c>
      <c r="F387" s="123" t="s">
        <v>3164</v>
      </c>
      <c r="G387" s="123" t="s">
        <v>370</v>
      </c>
      <c r="H387" s="123" t="s">
        <v>3091</v>
      </c>
      <c r="I387" s="123" t="s">
        <v>201</v>
      </c>
      <c r="J387" s="123" t="s">
        <v>3174</v>
      </c>
      <c r="K387" s="124">
        <v>986.0</v>
      </c>
      <c r="L387" s="124">
        <v>12.11</v>
      </c>
      <c r="M387" s="123" t="s">
        <v>3658</v>
      </c>
      <c r="N387" s="124">
        <v>38.7441</v>
      </c>
      <c r="O387" s="124">
        <v>-92.2</v>
      </c>
      <c r="P387" s="124">
        <v>219.4</v>
      </c>
      <c r="Q387" s="123" t="s">
        <v>3761</v>
      </c>
      <c r="R387" s="125" t="s">
        <v>4610</v>
      </c>
      <c r="S387" s="123" t="s">
        <v>4403</v>
      </c>
      <c r="T387" s="125" t="s">
        <v>4611</v>
      </c>
      <c r="U387" s="124">
        <v>2004.0</v>
      </c>
      <c r="V387" s="123"/>
      <c r="W387" s="123" t="s">
        <v>4612</v>
      </c>
      <c r="X387" s="123"/>
    </row>
    <row r="388">
      <c r="A388" s="123" t="s">
        <v>87</v>
      </c>
      <c r="B388" s="123" t="s">
        <v>2199</v>
      </c>
      <c r="C388" s="123"/>
      <c r="D388" s="123" t="s">
        <v>4613</v>
      </c>
      <c r="E388" s="123" t="s">
        <v>3164</v>
      </c>
      <c r="F388" s="123" t="s">
        <v>3164</v>
      </c>
      <c r="G388" s="123" t="s">
        <v>200</v>
      </c>
      <c r="H388" s="123" t="s">
        <v>3103</v>
      </c>
      <c r="I388" s="123" t="s">
        <v>303</v>
      </c>
      <c r="J388" s="123" t="s">
        <v>3585</v>
      </c>
      <c r="K388" s="124">
        <v>385.0</v>
      </c>
      <c r="L388" s="124">
        <v>10.5</v>
      </c>
      <c r="M388" s="123" t="s">
        <v>3658</v>
      </c>
      <c r="N388" s="124">
        <v>34.4385</v>
      </c>
      <c r="O388" s="124">
        <v>-106.2377</v>
      </c>
      <c r="P388" s="124">
        <v>2196.0</v>
      </c>
      <c r="Q388" s="123" t="s">
        <v>4614</v>
      </c>
      <c r="R388" s="125" t="s">
        <v>4615</v>
      </c>
      <c r="S388" s="123" t="s">
        <v>4104</v>
      </c>
      <c r="T388" s="125" t="s">
        <v>4616</v>
      </c>
      <c r="U388" s="124">
        <v>2007.0</v>
      </c>
      <c r="V388" s="123"/>
      <c r="W388" s="123" t="s">
        <v>4617</v>
      </c>
      <c r="X388" s="123"/>
    </row>
    <row r="389">
      <c r="A389" s="123" t="s">
        <v>87</v>
      </c>
      <c r="B389" s="123" t="s">
        <v>4618</v>
      </c>
      <c r="C389" s="123"/>
      <c r="D389" s="123" t="s">
        <v>4619</v>
      </c>
      <c r="E389" s="123" t="s">
        <v>3164</v>
      </c>
      <c r="F389" s="123" t="s">
        <v>3165</v>
      </c>
      <c r="G389" s="123" t="s">
        <v>197</v>
      </c>
      <c r="H389" s="123" t="s">
        <v>3094</v>
      </c>
      <c r="I389" s="123" t="s">
        <v>445</v>
      </c>
      <c r="J389" s="123" t="s">
        <v>3317</v>
      </c>
      <c r="K389" s="124">
        <v>1819.59</v>
      </c>
      <c r="L389" s="124">
        <v>10.24</v>
      </c>
      <c r="M389" s="123" t="s">
        <v>3658</v>
      </c>
      <c r="N389" s="124">
        <v>44.6465</v>
      </c>
      <c r="O389" s="124">
        <v>-123.5515</v>
      </c>
      <c r="P389" s="124">
        <v>263.0</v>
      </c>
      <c r="Q389" s="123" t="s">
        <v>4620</v>
      </c>
      <c r="R389" s="125" t="s">
        <v>4621</v>
      </c>
      <c r="S389" s="123"/>
      <c r="T389" s="125" t="s">
        <v>3170</v>
      </c>
      <c r="U389" s="124">
        <v>2006.0</v>
      </c>
      <c r="V389" s="124">
        <v>2011.0</v>
      </c>
      <c r="W389" s="123" t="s">
        <v>3427</v>
      </c>
      <c r="X389" s="123"/>
    </row>
    <row r="390">
      <c r="A390" s="123" t="s">
        <v>87</v>
      </c>
      <c r="B390" s="123" t="s">
        <v>4622</v>
      </c>
      <c r="C390" s="123"/>
      <c r="D390" s="123" t="s">
        <v>4623</v>
      </c>
      <c r="E390" s="123" t="s">
        <v>3165</v>
      </c>
      <c r="F390" s="123" t="s">
        <v>3165</v>
      </c>
      <c r="G390" s="123" t="s">
        <v>214</v>
      </c>
      <c r="H390" s="123" t="s">
        <v>3184</v>
      </c>
      <c r="I390" s="123" t="s">
        <v>201</v>
      </c>
      <c r="J390" s="123" t="s">
        <v>3174</v>
      </c>
      <c r="K390" s="124">
        <v>1120.0</v>
      </c>
      <c r="L390" s="124">
        <v>13.5</v>
      </c>
      <c r="M390" s="123" t="s">
        <v>3658</v>
      </c>
      <c r="N390" s="124">
        <v>40.8164</v>
      </c>
      <c r="O390" s="124">
        <v>-74.0435</v>
      </c>
      <c r="P390" s="124">
        <v>1.0</v>
      </c>
      <c r="Q390" s="123"/>
      <c r="R390" s="125" t="s">
        <v>3170</v>
      </c>
      <c r="S390" s="123"/>
      <c r="T390" s="125" t="s">
        <v>3170</v>
      </c>
      <c r="U390" s="124">
        <v>2009.0</v>
      </c>
      <c r="V390" s="124">
        <v>2019.0</v>
      </c>
      <c r="W390" s="123"/>
      <c r="X390" s="123"/>
    </row>
    <row r="391">
      <c r="A391" s="123" t="s">
        <v>87</v>
      </c>
      <c r="B391" s="123" t="s">
        <v>4624</v>
      </c>
      <c r="C391" s="123"/>
      <c r="D391" s="123" t="s">
        <v>4625</v>
      </c>
      <c r="E391" s="123" t="s">
        <v>3164</v>
      </c>
      <c r="F391" s="123" t="s">
        <v>3165</v>
      </c>
      <c r="G391" s="123" t="s">
        <v>86</v>
      </c>
      <c r="H391" s="123" t="s">
        <v>3088</v>
      </c>
      <c r="I391" s="123" t="s">
        <v>303</v>
      </c>
      <c r="J391" s="123" t="s">
        <v>3585</v>
      </c>
      <c r="K391" s="124">
        <v>374.0</v>
      </c>
      <c r="L391" s="124">
        <v>7.0</v>
      </c>
      <c r="M391" s="123" t="s">
        <v>3658</v>
      </c>
      <c r="N391" s="124">
        <v>47.4758</v>
      </c>
      <c r="O391" s="124">
        <v>-111.7207</v>
      </c>
      <c r="P391" s="124">
        <v>1110.0</v>
      </c>
      <c r="Q391" s="124">
        <v>2016.0</v>
      </c>
      <c r="R391" s="125" t="s">
        <v>4626</v>
      </c>
      <c r="S391" s="123"/>
      <c r="T391" s="125" t="s">
        <v>3170</v>
      </c>
      <c r="U391" s="124">
        <v>2016.0</v>
      </c>
      <c r="V391" s="124">
        <v>2016.0</v>
      </c>
      <c r="W391" s="123" t="s">
        <v>4627</v>
      </c>
      <c r="X391" s="123"/>
    </row>
    <row r="392">
      <c r="A392" s="123" t="s">
        <v>87</v>
      </c>
      <c r="B392" s="123" t="s">
        <v>4628</v>
      </c>
      <c r="C392" s="123"/>
      <c r="D392" s="123" t="s">
        <v>4629</v>
      </c>
      <c r="E392" s="123" t="s">
        <v>3164</v>
      </c>
      <c r="F392" s="123" t="s">
        <v>3165</v>
      </c>
      <c r="G392" s="123" t="s">
        <v>197</v>
      </c>
      <c r="H392" s="123" t="s">
        <v>3094</v>
      </c>
      <c r="I392" s="123" t="s">
        <v>584</v>
      </c>
      <c r="J392" s="123" t="s">
        <v>4557</v>
      </c>
      <c r="K392" s="124">
        <v>790.0</v>
      </c>
      <c r="L392" s="124">
        <v>9.3</v>
      </c>
      <c r="M392" s="123" t="s">
        <v>3658</v>
      </c>
      <c r="N392" s="124">
        <v>32.416</v>
      </c>
      <c r="O392" s="124">
        <v>-110.7256</v>
      </c>
      <c r="P392" s="124">
        <v>2573.0</v>
      </c>
      <c r="Q392" s="123" t="s">
        <v>4374</v>
      </c>
      <c r="R392" s="125" t="s">
        <v>4630</v>
      </c>
      <c r="S392" s="123"/>
      <c r="T392" s="125" t="s">
        <v>3170</v>
      </c>
      <c r="U392" s="124">
        <v>2009.0</v>
      </c>
      <c r="V392" s="123"/>
      <c r="W392" s="123" t="s">
        <v>4631</v>
      </c>
      <c r="X392" s="123"/>
    </row>
    <row r="393">
      <c r="A393" s="123" t="s">
        <v>87</v>
      </c>
      <c r="B393" s="123" t="s">
        <v>4632</v>
      </c>
      <c r="C393" s="123"/>
      <c r="D393" s="123" t="s">
        <v>4633</v>
      </c>
      <c r="E393" s="123" t="s">
        <v>3164</v>
      </c>
      <c r="F393" s="123" t="s">
        <v>3165</v>
      </c>
      <c r="G393" s="123" t="s">
        <v>86</v>
      </c>
      <c r="H393" s="123" t="s">
        <v>3088</v>
      </c>
      <c r="I393" s="123" t="s">
        <v>303</v>
      </c>
      <c r="J393" s="123" t="s">
        <v>3585</v>
      </c>
      <c r="K393" s="124">
        <v>374.0</v>
      </c>
      <c r="L393" s="124">
        <v>7.0</v>
      </c>
      <c r="M393" s="123" t="s">
        <v>3658</v>
      </c>
      <c r="N393" s="124">
        <v>47.6867</v>
      </c>
      <c r="O393" s="124">
        <v>-111.4659</v>
      </c>
      <c r="P393" s="124">
        <v>1128.0</v>
      </c>
      <c r="Q393" s="124">
        <v>2017.0</v>
      </c>
      <c r="R393" s="125" t="s">
        <v>4634</v>
      </c>
      <c r="S393" s="123"/>
      <c r="T393" s="125" t="s">
        <v>3170</v>
      </c>
      <c r="U393" s="124">
        <v>2017.0</v>
      </c>
      <c r="V393" s="124">
        <v>2017.0</v>
      </c>
      <c r="W393" s="123" t="s">
        <v>4635</v>
      </c>
      <c r="X393" s="123"/>
    </row>
    <row r="394">
      <c r="A394" s="123" t="s">
        <v>87</v>
      </c>
      <c r="B394" s="123" t="s">
        <v>4636</v>
      </c>
      <c r="C394" s="123"/>
      <c r="D394" s="123" t="s">
        <v>4637</v>
      </c>
      <c r="E394" s="123" t="s">
        <v>3164</v>
      </c>
      <c r="F394" s="123" t="s">
        <v>3165</v>
      </c>
      <c r="G394" s="123" t="s">
        <v>86</v>
      </c>
      <c r="H394" s="123" t="s">
        <v>3088</v>
      </c>
      <c r="I394" s="123" t="s">
        <v>303</v>
      </c>
      <c r="J394" s="123" t="s">
        <v>3585</v>
      </c>
      <c r="K394" s="124">
        <v>374.0</v>
      </c>
      <c r="L394" s="124">
        <v>7.0</v>
      </c>
      <c r="M394" s="123" t="s">
        <v>3658</v>
      </c>
      <c r="N394" s="124">
        <v>47.6729</v>
      </c>
      <c r="O394" s="124">
        <v>-111.4889</v>
      </c>
      <c r="P394" s="124">
        <v>1134.0</v>
      </c>
      <c r="Q394" s="124">
        <v>2017.0</v>
      </c>
      <c r="R394" s="125" t="s">
        <v>4638</v>
      </c>
      <c r="S394" s="123"/>
      <c r="T394" s="125" t="s">
        <v>3170</v>
      </c>
      <c r="U394" s="124">
        <v>2017.0</v>
      </c>
      <c r="V394" s="124">
        <v>2017.0</v>
      </c>
      <c r="W394" s="123" t="s">
        <v>4639</v>
      </c>
      <c r="X394" s="123"/>
    </row>
    <row r="395">
      <c r="A395" s="123" t="s">
        <v>87</v>
      </c>
      <c r="B395" s="123" t="s">
        <v>4640</v>
      </c>
      <c r="C395" s="123"/>
      <c r="D395" s="123" t="s">
        <v>4641</v>
      </c>
      <c r="E395" s="123" t="s">
        <v>3164</v>
      </c>
      <c r="F395" s="123" t="s">
        <v>3165</v>
      </c>
      <c r="G395" s="123" t="s">
        <v>86</v>
      </c>
      <c r="H395" s="123" t="s">
        <v>3088</v>
      </c>
      <c r="I395" s="123" t="s">
        <v>108</v>
      </c>
      <c r="J395" s="123" t="s">
        <v>3796</v>
      </c>
      <c r="K395" s="124">
        <v>800.0</v>
      </c>
      <c r="L395" s="124">
        <v>9.11</v>
      </c>
      <c r="M395" s="123" t="s">
        <v>3658</v>
      </c>
      <c r="N395" s="124">
        <v>42.2143</v>
      </c>
      <c r="O395" s="124">
        <v>-84.8539</v>
      </c>
      <c r="P395" s="124">
        <v>290.0</v>
      </c>
      <c r="Q395" s="123" t="s">
        <v>3876</v>
      </c>
      <c r="R395" s="125" t="s">
        <v>4642</v>
      </c>
      <c r="S395" s="123"/>
      <c r="T395" s="125" t="s">
        <v>3170</v>
      </c>
      <c r="U395" s="124">
        <v>2018.0</v>
      </c>
      <c r="V395" s="123"/>
      <c r="W395" s="123" t="s">
        <v>4643</v>
      </c>
      <c r="X395" s="123"/>
    </row>
    <row r="396">
      <c r="A396" s="123" t="s">
        <v>87</v>
      </c>
      <c r="B396" s="123" t="s">
        <v>4644</v>
      </c>
      <c r="C396" s="123"/>
      <c r="D396" s="123" t="s">
        <v>4645</v>
      </c>
      <c r="E396" s="123" t="s">
        <v>3164</v>
      </c>
      <c r="F396" s="123" t="s">
        <v>3165</v>
      </c>
      <c r="G396" s="123" t="s">
        <v>452</v>
      </c>
      <c r="H396" s="123" t="s">
        <v>3096</v>
      </c>
      <c r="I396" s="123" t="s">
        <v>108</v>
      </c>
      <c r="J396" s="123" t="s">
        <v>3796</v>
      </c>
      <c r="K396" s="124">
        <v>842.0</v>
      </c>
      <c r="L396" s="124">
        <v>9.0</v>
      </c>
      <c r="M396" s="123" t="s">
        <v>3658</v>
      </c>
      <c r="N396" s="124">
        <v>42.366</v>
      </c>
      <c r="O396" s="124">
        <v>-85.3526</v>
      </c>
      <c r="P396" s="124">
        <v>256.0</v>
      </c>
      <c r="Q396" s="123" t="s">
        <v>3876</v>
      </c>
      <c r="R396" s="125" t="s">
        <v>4646</v>
      </c>
      <c r="S396" s="123"/>
      <c r="T396" s="125" t="s">
        <v>3170</v>
      </c>
      <c r="U396" s="124">
        <v>2018.0</v>
      </c>
      <c r="V396" s="123"/>
      <c r="W396" s="123" t="s">
        <v>4647</v>
      </c>
      <c r="X396" s="123"/>
    </row>
    <row r="397">
      <c r="A397" s="123" t="s">
        <v>87</v>
      </c>
      <c r="B397" s="123" t="s">
        <v>4648</v>
      </c>
      <c r="C397" s="123"/>
      <c r="D397" s="123" t="s">
        <v>4649</v>
      </c>
      <c r="E397" s="123" t="s">
        <v>3164</v>
      </c>
      <c r="F397" s="123" t="s">
        <v>3165</v>
      </c>
      <c r="G397" s="123" t="s">
        <v>505</v>
      </c>
      <c r="H397" s="123" t="s">
        <v>3100</v>
      </c>
      <c r="I397" s="123" t="s">
        <v>108</v>
      </c>
      <c r="J397" s="123" t="s">
        <v>3796</v>
      </c>
      <c r="K397" s="124">
        <v>807.0</v>
      </c>
      <c r="L397" s="124">
        <v>9.1</v>
      </c>
      <c r="M397" s="123" t="s">
        <v>3658</v>
      </c>
      <c r="N397" s="124">
        <v>42.7293</v>
      </c>
      <c r="O397" s="124">
        <v>-84.4737</v>
      </c>
      <c r="P397" s="124">
        <v>261.0</v>
      </c>
      <c r="Q397" s="123" t="s">
        <v>3791</v>
      </c>
      <c r="R397" s="125" t="s">
        <v>4650</v>
      </c>
      <c r="S397" s="123"/>
      <c r="T397" s="125" t="s">
        <v>3170</v>
      </c>
      <c r="U397" s="124">
        <v>2018.0</v>
      </c>
      <c r="V397" s="123"/>
      <c r="W397" s="123" t="s">
        <v>4651</v>
      </c>
      <c r="X397" s="123"/>
    </row>
    <row r="398">
      <c r="A398" s="123" t="s">
        <v>87</v>
      </c>
      <c r="B398" s="123" t="s">
        <v>4652</v>
      </c>
      <c r="C398" s="123"/>
      <c r="D398" s="123" t="s">
        <v>4653</v>
      </c>
      <c r="E398" s="123" t="s">
        <v>3164</v>
      </c>
      <c r="F398" s="123" t="s">
        <v>3165</v>
      </c>
      <c r="G398" s="123" t="s">
        <v>505</v>
      </c>
      <c r="H398" s="123" t="s">
        <v>3100</v>
      </c>
      <c r="I398" s="123" t="s">
        <v>108</v>
      </c>
      <c r="J398" s="123" t="s">
        <v>3796</v>
      </c>
      <c r="K398" s="124">
        <v>842.0</v>
      </c>
      <c r="L398" s="124">
        <v>9.0</v>
      </c>
      <c r="M398" s="123" t="s">
        <v>3658</v>
      </c>
      <c r="N398" s="124">
        <v>42.3228</v>
      </c>
      <c r="O398" s="124">
        <v>-85.1871</v>
      </c>
      <c r="P398" s="124">
        <v>256.0</v>
      </c>
      <c r="Q398" s="123" t="s">
        <v>3876</v>
      </c>
      <c r="R398" s="125" t="s">
        <v>4654</v>
      </c>
      <c r="S398" s="123"/>
      <c r="T398" s="125" t="s">
        <v>3170</v>
      </c>
      <c r="U398" s="124">
        <v>2018.0</v>
      </c>
      <c r="V398" s="123"/>
      <c r="W398" s="123" t="s">
        <v>4655</v>
      </c>
      <c r="X398" s="123"/>
    </row>
    <row r="399">
      <c r="A399" s="123" t="s">
        <v>87</v>
      </c>
      <c r="B399" s="123" t="s">
        <v>4656</v>
      </c>
      <c r="C399" s="123"/>
      <c r="D399" s="123" t="s">
        <v>4657</v>
      </c>
      <c r="E399" s="123" t="s">
        <v>3164</v>
      </c>
      <c r="F399" s="123" t="s">
        <v>3165</v>
      </c>
      <c r="G399" s="123" t="s">
        <v>214</v>
      </c>
      <c r="H399" s="123" t="s">
        <v>3184</v>
      </c>
      <c r="I399" s="123" t="s">
        <v>108</v>
      </c>
      <c r="J399" s="123" t="s">
        <v>3796</v>
      </c>
      <c r="K399" s="124">
        <v>926.0</v>
      </c>
      <c r="L399" s="124">
        <v>10.0</v>
      </c>
      <c r="M399" s="123" t="s">
        <v>3658</v>
      </c>
      <c r="N399" s="124">
        <v>42.6689</v>
      </c>
      <c r="O399" s="124">
        <v>-86.0229</v>
      </c>
      <c r="P399" s="124">
        <v>209.0</v>
      </c>
      <c r="Q399" s="123" t="s">
        <v>3876</v>
      </c>
      <c r="R399" s="125" t="s">
        <v>4658</v>
      </c>
      <c r="S399" s="123"/>
      <c r="T399" s="125" t="s">
        <v>3170</v>
      </c>
      <c r="U399" s="124">
        <v>2018.0</v>
      </c>
      <c r="V399" s="123"/>
      <c r="W399" s="123" t="s">
        <v>4659</v>
      </c>
      <c r="X399" s="123"/>
    </row>
    <row r="400">
      <c r="A400" s="123" t="s">
        <v>87</v>
      </c>
      <c r="B400" s="123" t="s">
        <v>843</v>
      </c>
      <c r="C400" s="123"/>
      <c r="D400" s="123" t="s">
        <v>4660</v>
      </c>
      <c r="E400" s="123" t="s">
        <v>3164</v>
      </c>
      <c r="F400" s="123" t="s">
        <v>3164</v>
      </c>
      <c r="G400" s="123" t="s">
        <v>214</v>
      </c>
      <c r="H400" s="123" t="s">
        <v>3184</v>
      </c>
      <c r="I400" s="123" t="s">
        <v>175</v>
      </c>
      <c r="J400" s="123" t="s">
        <v>3366</v>
      </c>
      <c r="K400" s="124">
        <v>338.0</v>
      </c>
      <c r="L400" s="124">
        <v>15.9</v>
      </c>
      <c r="M400" s="123" t="s">
        <v>3658</v>
      </c>
      <c r="N400" s="124">
        <v>38.0499</v>
      </c>
      <c r="O400" s="124">
        <v>-121.765</v>
      </c>
      <c r="P400" s="124">
        <v>-4.0</v>
      </c>
      <c r="Q400" s="123" t="s">
        <v>4661</v>
      </c>
      <c r="R400" s="125" t="s">
        <v>4662</v>
      </c>
      <c r="S400" s="123" t="s">
        <v>3881</v>
      </c>
      <c r="T400" s="125" t="s">
        <v>4663</v>
      </c>
      <c r="U400" s="124">
        <v>2010.0</v>
      </c>
      <c r="V400" s="123"/>
      <c r="W400" s="123" t="s">
        <v>4664</v>
      </c>
      <c r="X400" s="123"/>
    </row>
    <row r="401">
      <c r="A401" s="123" t="s">
        <v>87</v>
      </c>
      <c r="B401" s="123" t="s">
        <v>546</v>
      </c>
      <c r="C401" s="123"/>
      <c r="D401" s="123" t="s">
        <v>4665</v>
      </c>
      <c r="E401" s="123" t="s">
        <v>3164</v>
      </c>
      <c r="F401" s="123" t="s">
        <v>3164</v>
      </c>
      <c r="G401" s="123" t="s">
        <v>197</v>
      </c>
      <c r="H401" s="123" t="s">
        <v>3094</v>
      </c>
      <c r="I401" s="123" t="s">
        <v>201</v>
      </c>
      <c r="J401" s="123" t="s">
        <v>3174</v>
      </c>
      <c r="K401" s="124">
        <v>1320.0</v>
      </c>
      <c r="L401" s="124">
        <v>16.6</v>
      </c>
      <c r="M401" s="123" t="s">
        <v>3658</v>
      </c>
      <c r="N401" s="124">
        <v>35.8118</v>
      </c>
      <c r="O401" s="124">
        <v>-76.7119</v>
      </c>
      <c r="P401" s="124">
        <v>5.0</v>
      </c>
      <c r="Q401" s="123" t="s">
        <v>4666</v>
      </c>
      <c r="R401" s="125" t="s">
        <v>4667</v>
      </c>
      <c r="S401" s="123" t="s">
        <v>4666</v>
      </c>
      <c r="T401" s="125" t="s">
        <v>4668</v>
      </c>
      <c r="U401" s="124">
        <v>2005.0</v>
      </c>
      <c r="V401" s="124">
        <v>2013.0</v>
      </c>
      <c r="W401" s="123" t="s">
        <v>4669</v>
      </c>
      <c r="X401" s="123"/>
    </row>
    <row r="402">
      <c r="A402" s="123" t="s">
        <v>87</v>
      </c>
      <c r="B402" s="123" t="s">
        <v>556</v>
      </c>
      <c r="C402" s="123"/>
      <c r="D402" s="123" t="s">
        <v>4670</v>
      </c>
      <c r="E402" s="123" t="s">
        <v>3164</v>
      </c>
      <c r="F402" s="123" t="s">
        <v>3165</v>
      </c>
      <c r="G402" s="123" t="s">
        <v>197</v>
      </c>
      <c r="H402" s="123" t="s">
        <v>3094</v>
      </c>
      <c r="I402" s="123" t="s">
        <v>201</v>
      </c>
      <c r="J402" s="123" t="s">
        <v>3174</v>
      </c>
      <c r="K402" s="124">
        <v>1320.0</v>
      </c>
      <c r="L402" s="124">
        <v>16.6</v>
      </c>
      <c r="M402" s="123" t="s">
        <v>3658</v>
      </c>
      <c r="N402" s="124">
        <v>35.803</v>
      </c>
      <c r="O402" s="124">
        <v>-76.6685</v>
      </c>
      <c r="P402" s="124">
        <v>5.0</v>
      </c>
      <c r="Q402" s="123" t="s">
        <v>4671</v>
      </c>
      <c r="R402" s="125" t="s">
        <v>4672</v>
      </c>
      <c r="S402" s="123"/>
      <c r="T402" s="125" t="s">
        <v>3170</v>
      </c>
      <c r="U402" s="124">
        <v>2005.0</v>
      </c>
      <c r="V402" s="123"/>
      <c r="W402" s="123" t="s">
        <v>4673</v>
      </c>
      <c r="X402" s="123"/>
    </row>
    <row r="403">
      <c r="A403" s="123" t="s">
        <v>87</v>
      </c>
      <c r="B403" s="123" t="s">
        <v>3083</v>
      </c>
      <c r="C403" s="123"/>
      <c r="D403" s="123" t="s">
        <v>4674</v>
      </c>
      <c r="E403" s="123" t="s">
        <v>3164</v>
      </c>
      <c r="F403" s="123" t="s">
        <v>3164</v>
      </c>
      <c r="G403" s="123" t="s">
        <v>197</v>
      </c>
      <c r="H403" s="123" t="s">
        <v>3094</v>
      </c>
      <c r="I403" s="123" t="s">
        <v>201</v>
      </c>
      <c r="J403" s="123" t="s">
        <v>3174</v>
      </c>
      <c r="K403" s="124">
        <v>1320.0</v>
      </c>
      <c r="L403" s="124">
        <v>16.6</v>
      </c>
      <c r="M403" s="123" t="s">
        <v>3658</v>
      </c>
      <c r="N403" s="124">
        <v>35.799</v>
      </c>
      <c r="O403" s="124">
        <v>-76.656</v>
      </c>
      <c r="P403" s="124">
        <v>5.0</v>
      </c>
      <c r="Q403" s="123" t="s">
        <v>4675</v>
      </c>
      <c r="R403" s="125" t="s">
        <v>4676</v>
      </c>
      <c r="S403" s="123" t="s">
        <v>4675</v>
      </c>
      <c r="T403" s="125" t="s">
        <v>4677</v>
      </c>
      <c r="U403" s="124">
        <v>2013.0</v>
      </c>
      <c r="V403" s="124">
        <v>2021.0</v>
      </c>
      <c r="W403" s="123" t="s">
        <v>4678</v>
      </c>
      <c r="X403" s="123"/>
    </row>
    <row r="404">
      <c r="A404" s="123" t="s">
        <v>87</v>
      </c>
      <c r="B404" s="123" t="s">
        <v>4679</v>
      </c>
      <c r="C404" s="123"/>
      <c r="D404" s="123" t="s">
        <v>4680</v>
      </c>
      <c r="E404" s="123" t="s">
        <v>3164</v>
      </c>
      <c r="F404" s="123" t="s">
        <v>3164</v>
      </c>
      <c r="G404" s="123" t="s">
        <v>214</v>
      </c>
      <c r="H404" s="123" t="s">
        <v>3184</v>
      </c>
      <c r="I404" s="123" t="s">
        <v>201</v>
      </c>
      <c r="J404" s="123" t="s">
        <v>3174</v>
      </c>
      <c r="K404" s="124">
        <v>1311.0</v>
      </c>
      <c r="L404" s="124">
        <v>16.6</v>
      </c>
      <c r="M404" s="123" t="s">
        <v>3658</v>
      </c>
      <c r="N404" s="124">
        <v>35.7879</v>
      </c>
      <c r="O404" s="124">
        <v>-75.9038</v>
      </c>
      <c r="P404" s="124">
        <v>1.0</v>
      </c>
      <c r="Q404" s="123" t="s">
        <v>4374</v>
      </c>
      <c r="R404" s="125" t="s">
        <v>4681</v>
      </c>
      <c r="S404" s="123" t="s">
        <v>4374</v>
      </c>
      <c r="T404" s="125" t="s">
        <v>4682</v>
      </c>
      <c r="U404" s="124">
        <v>2009.0</v>
      </c>
      <c r="V404" s="123"/>
      <c r="W404" s="123" t="s">
        <v>4673</v>
      </c>
      <c r="X404" s="123"/>
    </row>
    <row r="405">
      <c r="A405" s="123" t="s">
        <v>87</v>
      </c>
      <c r="B405" s="123" t="s">
        <v>523</v>
      </c>
      <c r="C405" s="123"/>
      <c r="D405" s="123" t="s">
        <v>4683</v>
      </c>
      <c r="E405" s="123" t="s">
        <v>3164</v>
      </c>
      <c r="F405" s="123" t="s">
        <v>3164</v>
      </c>
      <c r="G405" s="123" t="s">
        <v>86</v>
      </c>
      <c r="H405" s="123" t="s">
        <v>3088</v>
      </c>
      <c r="I405" s="123" t="s">
        <v>108</v>
      </c>
      <c r="J405" s="123" t="s">
        <v>3796</v>
      </c>
      <c r="K405" s="124">
        <v>790.37</v>
      </c>
      <c r="L405" s="124">
        <v>10.07</v>
      </c>
      <c r="M405" s="123" t="s">
        <v>3658</v>
      </c>
      <c r="N405" s="124">
        <v>41.1651</v>
      </c>
      <c r="O405" s="124">
        <v>-96.4766</v>
      </c>
      <c r="P405" s="124">
        <v>361.0</v>
      </c>
      <c r="Q405" s="123" t="s">
        <v>4684</v>
      </c>
      <c r="R405" s="125" t="s">
        <v>4685</v>
      </c>
      <c r="S405" s="123" t="s">
        <v>4686</v>
      </c>
      <c r="T405" s="125" t="s">
        <v>4687</v>
      </c>
      <c r="U405" s="124">
        <v>2001.0</v>
      </c>
      <c r="V405" s="123"/>
      <c r="W405" s="123" t="s">
        <v>4688</v>
      </c>
      <c r="X405" s="123"/>
    </row>
    <row r="406">
      <c r="A406" s="123" t="s">
        <v>87</v>
      </c>
      <c r="B406" s="123" t="s">
        <v>526</v>
      </c>
      <c r="C406" s="123"/>
      <c r="D406" s="123" t="s">
        <v>4689</v>
      </c>
      <c r="E406" s="123" t="s">
        <v>3164</v>
      </c>
      <c r="F406" s="123" t="s">
        <v>3165</v>
      </c>
      <c r="G406" s="123" t="s">
        <v>86</v>
      </c>
      <c r="H406" s="123" t="s">
        <v>3088</v>
      </c>
      <c r="I406" s="123" t="s">
        <v>108</v>
      </c>
      <c r="J406" s="123" t="s">
        <v>3796</v>
      </c>
      <c r="K406" s="124">
        <v>788.89</v>
      </c>
      <c r="L406" s="124">
        <v>10.08</v>
      </c>
      <c r="M406" s="123" t="s">
        <v>3658</v>
      </c>
      <c r="N406" s="124">
        <v>41.1649</v>
      </c>
      <c r="O406" s="124">
        <v>-96.4701</v>
      </c>
      <c r="P406" s="124">
        <v>362.0</v>
      </c>
      <c r="Q406" s="123" t="s">
        <v>4684</v>
      </c>
      <c r="R406" s="125" t="s">
        <v>4690</v>
      </c>
      <c r="S406" s="123"/>
      <c r="T406" s="125" t="s">
        <v>3170</v>
      </c>
      <c r="U406" s="124">
        <v>2001.0</v>
      </c>
      <c r="V406" s="123"/>
      <c r="W406" s="123" t="s">
        <v>4688</v>
      </c>
      <c r="X406" s="123"/>
    </row>
    <row r="407">
      <c r="A407" s="123" t="s">
        <v>87</v>
      </c>
      <c r="B407" s="123" t="s">
        <v>529</v>
      </c>
      <c r="C407" s="123"/>
      <c r="D407" s="123" t="s">
        <v>4691</v>
      </c>
      <c r="E407" s="123" t="s">
        <v>3164</v>
      </c>
      <c r="F407" s="123" t="s">
        <v>3165</v>
      </c>
      <c r="G407" s="123" t="s">
        <v>86</v>
      </c>
      <c r="H407" s="123" t="s">
        <v>3088</v>
      </c>
      <c r="I407" s="123" t="s">
        <v>108</v>
      </c>
      <c r="J407" s="123" t="s">
        <v>3796</v>
      </c>
      <c r="K407" s="124">
        <v>783.68</v>
      </c>
      <c r="L407" s="124">
        <v>10.11</v>
      </c>
      <c r="M407" s="123" t="s">
        <v>3658</v>
      </c>
      <c r="N407" s="124">
        <v>41.1797</v>
      </c>
      <c r="O407" s="124">
        <v>-96.4397</v>
      </c>
      <c r="P407" s="124">
        <v>363.0</v>
      </c>
      <c r="Q407" s="123" t="s">
        <v>4684</v>
      </c>
      <c r="R407" s="125" t="s">
        <v>4692</v>
      </c>
      <c r="S407" s="123"/>
      <c r="T407" s="125" t="s">
        <v>3170</v>
      </c>
      <c r="U407" s="124">
        <v>2001.0</v>
      </c>
      <c r="V407" s="123"/>
      <c r="W407" s="123" t="s">
        <v>4688</v>
      </c>
      <c r="X407" s="123"/>
    </row>
    <row r="408">
      <c r="A408" s="123" t="s">
        <v>87</v>
      </c>
      <c r="B408" s="123" t="s">
        <v>4693</v>
      </c>
      <c r="C408" s="123"/>
      <c r="D408" s="123" t="s">
        <v>4694</v>
      </c>
      <c r="E408" s="123" t="s">
        <v>3164</v>
      </c>
      <c r="F408" s="123" t="s">
        <v>3164</v>
      </c>
      <c r="G408" s="123" t="s">
        <v>603</v>
      </c>
      <c r="H408" s="123" t="s">
        <v>3099</v>
      </c>
      <c r="I408" s="123" t="s">
        <v>605</v>
      </c>
      <c r="J408" s="123" t="s">
        <v>1686</v>
      </c>
      <c r="K408" s="124">
        <v>171.0</v>
      </c>
      <c r="L408" s="124">
        <v>-11.27</v>
      </c>
      <c r="M408" s="123" t="s">
        <v>3658</v>
      </c>
      <c r="N408" s="124">
        <v>71.28</v>
      </c>
      <c r="O408" s="124">
        <v>-156.6092</v>
      </c>
      <c r="P408" s="124">
        <v>5.273</v>
      </c>
      <c r="Q408" s="123" t="s">
        <v>4695</v>
      </c>
      <c r="R408" s="125" t="s">
        <v>4696</v>
      </c>
      <c r="S408" s="123" t="s">
        <v>4385</v>
      </c>
      <c r="T408" s="125" t="s">
        <v>4697</v>
      </c>
      <c r="U408" s="124">
        <v>2012.0</v>
      </c>
      <c r="V408" s="124">
        <v>2023.0</v>
      </c>
      <c r="W408" s="123" t="s">
        <v>4698</v>
      </c>
      <c r="X408" s="123"/>
    </row>
    <row r="409">
      <c r="A409" s="123" t="s">
        <v>87</v>
      </c>
      <c r="B409" s="123" t="s">
        <v>4699</v>
      </c>
      <c r="C409" s="123"/>
      <c r="D409" s="123" t="s">
        <v>4700</v>
      </c>
      <c r="E409" s="123" t="s">
        <v>3164</v>
      </c>
      <c r="F409" s="123" t="s">
        <v>3164</v>
      </c>
      <c r="G409" s="123" t="s">
        <v>288</v>
      </c>
      <c r="H409" s="123" t="s">
        <v>3095</v>
      </c>
      <c r="I409" s="123" t="s">
        <v>605</v>
      </c>
      <c r="J409" s="123" t="s">
        <v>1686</v>
      </c>
      <c r="K409" s="123"/>
      <c r="L409" s="123"/>
      <c r="M409" s="123" t="s">
        <v>3658</v>
      </c>
      <c r="N409" s="124">
        <v>64.8618</v>
      </c>
      <c r="O409" s="124">
        <v>-163.7002</v>
      </c>
      <c r="P409" s="124">
        <v>35.0</v>
      </c>
      <c r="Q409" s="123" t="s">
        <v>3789</v>
      </c>
      <c r="R409" s="125" t="s">
        <v>4701</v>
      </c>
      <c r="S409" s="123" t="s">
        <v>4301</v>
      </c>
      <c r="T409" s="125" t="s">
        <v>4702</v>
      </c>
      <c r="U409" s="124">
        <v>2017.0</v>
      </c>
      <c r="V409" s="124">
        <v>2023.0</v>
      </c>
      <c r="W409" s="123" t="s">
        <v>4703</v>
      </c>
      <c r="X409" s="123"/>
    </row>
    <row r="410">
      <c r="A410" s="123" t="s">
        <v>87</v>
      </c>
      <c r="B410" s="123" t="s">
        <v>4704</v>
      </c>
      <c r="C410" s="123"/>
      <c r="D410" s="123" t="s">
        <v>4705</v>
      </c>
      <c r="E410" s="123" t="s">
        <v>3164</v>
      </c>
      <c r="F410" s="123" t="s">
        <v>3165</v>
      </c>
      <c r="G410" s="123" t="s">
        <v>197</v>
      </c>
      <c r="H410" s="123" t="s">
        <v>3094</v>
      </c>
      <c r="I410" s="123" t="s">
        <v>107</v>
      </c>
      <c r="J410" s="123" t="s">
        <v>3249</v>
      </c>
      <c r="K410" s="124">
        <v>854.01</v>
      </c>
      <c r="L410" s="124">
        <v>4.73</v>
      </c>
      <c r="M410" s="123" t="s">
        <v>3658</v>
      </c>
      <c r="N410" s="124">
        <v>46.6465</v>
      </c>
      <c r="O410" s="124">
        <v>-88.5194</v>
      </c>
      <c r="P410" s="124">
        <v>394.0</v>
      </c>
      <c r="Q410" s="123" t="s">
        <v>4706</v>
      </c>
      <c r="R410" s="125" t="s">
        <v>4707</v>
      </c>
      <c r="S410" s="123"/>
      <c r="T410" s="125" t="s">
        <v>3170</v>
      </c>
      <c r="U410" s="124">
        <v>2001.0</v>
      </c>
      <c r="V410" s="124">
        <v>2007.0</v>
      </c>
      <c r="W410" s="123" t="s">
        <v>4708</v>
      </c>
      <c r="X410" s="123"/>
    </row>
    <row r="411">
      <c r="A411" s="123" t="s">
        <v>87</v>
      </c>
      <c r="B411" s="123" t="s">
        <v>4709</v>
      </c>
      <c r="C411" s="123"/>
      <c r="D411" s="123" t="s">
        <v>4710</v>
      </c>
      <c r="E411" s="123" t="s">
        <v>3165</v>
      </c>
      <c r="F411" s="123" t="s">
        <v>3165</v>
      </c>
      <c r="G411" s="123" t="s">
        <v>86</v>
      </c>
      <c r="H411" s="123" t="s">
        <v>3088</v>
      </c>
      <c r="I411" s="123" t="s">
        <v>2407</v>
      </c>
      <c r="J411" s="123" t="s">
        <v>3208</v>
      </c>
      <c r="K411" s="124">
        <v>420.0</v>
      </c>
      <c r="L411" s="124">
        <v>5.4</v>
      </c>
      <c r="M411" s="123" t="s">
        <v>3658</v>
      </c>
      <c r="N411" s="124">
        <v>46.7756</v>
      </c>
      <c r="O411" s="124">
        <v>-100.951</v>
      </c>
      <c r="P411" s="124">
        <v>593.0</v>
      </c>
      <c r="Q411" s="123"/>
      <c r="R411" s="125" t="s">
        <v>3170</v>
      </c>
      <c r="S411" s="123"/>
      <c r="T411" s="125" t="s">
        <v>3170</v>
      </c>
      <c r="U411" s="124">
        <v>2015.0</v>
      </c>
      <c r="V411" s="123"/>
      <c r="W411" s="123"/>
      <c r="X411" s="123"/>
    </row>
    <row r="412">
      <c r="A412" s="123" t="s">
        <v>87</v>
      </c>
      <c r="B412" s="123" t="s">
        <v>4711</v>
      </c>
      <c r="C412" s="123"/>
      <c r="D412" s="123" t="s">
        <v>4712</v>
      </c>
      <c r="E412" s="123" t="s">
        <v>3165</v>
      </c>
      <c r="F412" s="123" t="s">
        <v>3165</v>
      </c>
      <c r="G412" s="123" t="s">
        <v>86</v>
      </c>
      <c r="H412" s="123" t="s">
        <v>3088</v>
      </c>
      <c r="I412" s="123" t="s">
        <v>2407</v>
      </c>
      <c r="J412" s="123" t="s">
        <v>3208</v>
      </c>
      <c r="K412" s="124">
        <v>420.0</v>
      </c>
      <c r="L412" s="124">
        <v>5.4</v>
      </c>
      <c r="M412" s="123" t="s">
        <v>3658</v>
      </c>
      <c r="N412" s="124">
        <v>46.7613</v>
      </c>
      <c r="O412" s="124">
        <v>-100.9257</v>
      </c>
      <c r="P412" s="124">
        <v>590.0</v>
      </c>
      <c r="Q412" s="123"/>
      <c r="R412" s="125" t="s">
        <v>3170</v>
      </c>
      <c r="S412" s="123"/>
      <c r="T412" s="125" t="s">
        <v>3170</v>
      </c>
      <c r="U412" s="124">
        <v>2016.0</v>
      </c>
      <c r="V412" s="123"/>
      <c r="W412" s="123"/>
      <c r="X412" s="123"/>
    </row>
    <row r="413">
      <c r="A413" s="123" t="s">
        <v>87</v>
      </c>
      <c r="B413" s="123" t="s">
        <v>2486</v>
      </c>
      <c r="C413" s="123"/>
      <c r="D413" s="123" t="s">
        <v>4713</v>
      </c>
      <c r="E413" s="123" t="s">
        <v>3164</v>
      </c>
      <c r="F413" s="123" t="s">
        <v>3164</v>
      </c>
      <c r="G413" s="123" t="s">
        <v>197</v>
      </c>
      <c r="H413" s="123" t="s">
        <v>3094</v>
      </c>
      <c r="I413" s="123" t="s">
        <v>372</v>
      </c>
      <c r="J413" s="123" t="s">
        <v>3292</v>
      </c>
      <c r="K413" s="124">
        <v>800.0</v>
      </c>
      <c r="L413" s="124">
        <v>1.5</v>
      </c>
      <c r="M413" s="123" t="s">
        <v>3658</v>
      </c>
      <c r="N413" s="124">
        <v>40.0329</v>
      </c>
      <c r="O413" s="124">
        <v>-105.5464</v>
      </c>
      <c r="P413" s="124">
        <v>3050.0</v>
      </c>
      <c r="Q413" s="123" t="s">
        <v>4714</v>
      </c>
      <c r="R413" s="125" t="s">
        <v>4715</v>
      </c>
      <c r="S413" s="123" t="s">
        <v>4716</v>
      </c>
      <c r="T413" s="125" t="s">
        <v>4717</v>
      </c>
      <c r="U413" s="124">
        <v>1998.0</v>
      </c>
      <c r="V413" s="123"/>
      <c r="W413" s="123" t="s">
        <v>4718</v>
      </c>
      <c r="X413" s="123"/>
    </row>
    <row r="414">
      <c r="A414" s="123" t="s">
        <v>87</v>
      </c>
      <c r="B414" s="123" t="s">
        <v>4719</v>
      </c>
      <c r="C414" s="123"/>
      <c r="D414" s="123" t="s">
        <v>4720</v>
      </c>
      <c r="E414" s="123" t="s">
        <v>3165</v>
      </c>
      <c r="F414" s="123" t="s">
        <v>3165</v>
      </c>
      <c r="G414" s="123" t="s">
        <v>197</v>
      </c>
      <c r="H414" s="123" t="s">
        <v>3094</v>
      </c>
      <c r="I414" s="123" t="s">
        <v>372</v>
      </c>
      <c r="J414" s="123" t="s">
        <v>3292</v>
      </c>
      <c r="K414" s="124">
        <v>595.37</v>
      </c>
      <c r="L414" s="124">
        <v>0.43</v>
      </c>
      <c r="M414" s="123" t="s">
        <v>3658</v>
      </c>
      <c r="N414" s="124">
        <v>40.0325</v>
      </c>
      <c r="O414" s="124">
        <v>-105.5469</v>
      </c>
      <c r="P414" s="124">
        <v>3030.0</v>
      </c>
      <c r="Q414" s="123"/>
      <c r="R414" s="125" t="s">
        <v>3170</v>
      </c>
      <c r="S414" s="123"/>
      <c r="T414" s="125" t="s">
        <v>3170</v>
      </c>
      <c r="U414" s="124">
        <v>2000.0</v>
      </c>
      <c r="V414" s="124">
        <v>2016.0</v>
      </c>
      <c r="W414" s="123"/>
      <c r="X414" s="123"/>
    </row>
    <row r="415">
      <c r="A415" s="123" t="s">
        <v>87</v>
      </c>
      <c r="B415" s="123" t="s">
        <v>4721</v>
      </c>
      <c r="C415" s="123"/>
      <c r="D415" s="123" t="s">
        <v>4722</v>
      </c>
      <c r="E415" s="123" t="s">
        <v>3164</v>
      </c>
      <c r="F415" s="123" t="s">
        <v>3165</v>
      </c>
      <c r="G415" s="123" t="s">
        <v>288</v>
      </c>
      <c r="H415" s="123" t="s">
        <v>3095</v>
      </c>
      <c r="I415" s="123" t="s">
        <v>605</v>
      </c>
      <c r="J415" s="123" t="s">
        <v>1686</v>
      </c>
      <c r="K415" s="124">
        <v>884.0</v>
      </c>
      <c r="L415" s="124">
        <v>-2.2</v>
      </c>
      <c r="M415" s="123" t="s">
        <v>3658</v>
      </c>
      <c r="N415" s="124">
        <v>40.052</v>
      </c>
      <c r="O415" s="124">
        <v>-105.5864</v>
      </c>
      <c r="P415" s="124">
        <v>3504.0</v>
      </c>
      <c r="Q415" s="123" t="s">
        <v>3367</v>
      </c>
      <c r="R415" s="125" t="s">
        <v>4723</v>
      </c>
      <c r="S415" s="123"/>
      <c r="T415" s="125" t="s">
        <v>3170</v>
      </c>
      <c r="U415" s="124">
        <v>2007.0</v>
      </c>
      <c r="V415" s="123"/>
      <c r="W415" s="123" t="s">
        <v>4724</v>
      </c>
      <c r="X415" s="123"/>
    </row>
    <row r="416">
      <c r="A416" s="123" t="s">
        <v>87</v>
      </c>
      <c r="B416" s="123" t="s">
        <v>4725</v>
      </c>
      <c r="C416" s="123"/>
      <c r="D416" s="123" t="s">
        <v>4726</v>
      </c>
      <c r="E416" s="123" t="s">
        <v>3164</v>
      </c>
      <c r="F416" s="123" t="s">
        <v>3165</v>
      </c>
      <c r="G416" s="123" t="s">
        <v>288</v>
      </c>
      <c r="H416" s="123" t="s">
        <v>3095</v>
      </c>
      <c r="I416" s="123" t="s">
        <v>605</v>
      </c>
      <c r="J416" s="123" t="s">
        <v>1686</v>
      </c>
      <c r="K416" s="124">
        <v>884.0</v>
      </c>
      <c r="L416" s="124">
        <v>-2.2</v>
      </c>
      <c r="M416" s="123" t="s">
        <v>3658</v>
      </c>
      <c r="N416" s="124">
        <v>40.052</v>
      </c>
      <c r="O416" s="124">
        <v>-105.5859</v>
      </c>
      <c r="P416" s="124">
        <v>3502.0</v>
      </c>
      <c r="Q416" s="123" t="s">
        <v>3367</v>
      </c>
      <c r="R416" s="125" t="s">
        <v>4727</v>
      </c>
      <c r="S416" s="123"/>
      <c r="T416" s="125" t="s">
        <v>3170</v>
      </c>
      <c r="U416" s="124">
        <v>2007.0</v>
      </c>
      <c r="V416" s="123"/>
      <c r="W416" s="123" t="s">
        <v>4728</v>
      </c>
      <c r="X416" s="123"/>
    </row>
    <row r="417">
      <c r="A417" s="123" t="s">
        <v>87</v>
      </c>
      <c r="B417" s="123" t="s">
        <v>4729</v>
      </c>
      <c r="C417" s="123"/>
      <c r="D417" s="123" t="s">
        <v>4730</v>
      </c>
      <c r="E417" s="123" t="s">
        <v>3165</v>
      </c>
      <c r="F417" s="123" t="s">
        <v>3165</v>
      </c>
      <c r="G417" s="123" t="s">
        <v>214</v>
      </c>
      <c r="H417" s="123" t="s">
        <v>3184</v>
      </c>
      <c r="I417" s="123" t="s">
        <v>445</v>
      </c>
      <c r="J417" s="123" t="s">
        <v>3317</v>
      </c>
      <c r="K417" s="124">
        <v>1269.0</v>
      </c>
      <c r="L417" s="124">
        <v>10.3</v>
      </c>
      <c r="M417" s="123" t="s">
        <v>3658</v>
      </c>
      <c r="N417" s="124">
        <v>47.0935</v>
      </c>
      <c r="O417" s="124">
        <v>-122.6927</v>
      </c>
      <c r="P417" s="124">
        <v>8.0</v>
      </c>
      <c r="Q417" s="123"/>
      <c r="R417" s="125" t="s">
        <v>3170</v>
      </c>
      <c r="S417" s="123"/>
      <c r="T417" s="125" t="s">
        <v>3170</v>
      </c>
      <c r="U417" s="124">
        <v>2017.0</v>
      </c>
      <c r="V417" s="123"/>
      <c r="W417" s="123"/>
      <c r="X417" s="123"/>
    </row>
    <row r="418">
      <c r="A418" s="123" t="s">
        <v>87</v>
      </c>
      <c r="B418" s="123" t="s">
        <v>4731</v>
      </c>
      <c r="C418" s="123"/>
      <c r="D418" s="123" t="s">
        <v>4732</v>
      </c>
      <c r="E418" s="123" t="s">
        <v>3165</v>
      </c>
      <c r="F418" s="123" t="s">
        <v>3165</v>
      </c>
      <c r="G418" s="123" t="s">
        <v>214</v>
      </c>
      <c r="H418" s="123" t="s">
        <v>3184</v>
      </c>
      <c r="I418" s="123" t="s">
        <v>445</v>
      </c>
      <c r="J418" s="123" t="s">
        <v>3317</v>
      </c>
      <c r="K418" s="124">
        <v>1269.0</v>
      </c>
      <c r="L418" s="124">
        <v>10.3</v>
      </c>
      <c r="M418" s="123" t="s">
        <v>3658</v>
      </c>
      <c r="N418" s="124">
        <v>47.0936</v>
      </c>
      <c r="O418" s="124">
        <v>-122.7079</v>
      </c>
      <c r="P418" s="124">
        <v>8.0</v>
      </c>
      <c r="Q418" s="123"/>
      <c r="R418" s="125" t="s">
        <v>3170</v>
      </c>
      <c r="S418" s="123"/>
      <c r="T418" s="125" t="s">
        <v>3170</v>
      </c>
      <c r="U418" s="124">
        <v>2017.0</v>
      </c>
      <c r="V418" s="123"/>
      <c r="W418" s="123"/>
      <c r="X418" s="123"/>
    </row>
    <row r="419">
      <c r="A419" s="123" t="s">
        <v>87</v>
      </c>
      <c r="B419" s="123" t="s">
        <v>4733</v>
      </c>
      <c r="C419" s="123"/>
      <c r="D419" s="123" t="s">
        <v>4734</v>
      </c>
      <c r="E419" s="123" t="s">
        <v>3165</v>
      </c>
      <c r="F419" s="123" t="s">
        <v>3165</v>
      </c>
      <c r="G419" s="123" t="s">
        <v>288</v>
      </c>
      <c r="H419" s="123" t="s">
        <v>3095</v>
      </c>
      <c r="I419" s="123" t="s">
        <v>445</v>
      </c>
      <c r="J419" s="123" t="s">
        <v>3317</v>
      </c>
      <c r="K419" s="124">
        <v>294.0</v>
      </c>
      <c r="L419" s="124">
        <v>17.9</v>
      </c>
      <c r="M419" s="123" t="s">
        <v>3658</v>
      </c>
      <c r="N419" s="124">
        <v>37.3091</v>
      </c>
      <c r="O419" s="124">
        <v>-121.0042</v>
      </c>
      <c r="P419" s="124">
        <v>23.5</v>
      </c>
      <c r="Q419" s="123"/>
      <c r="R419" s="125" t="s">
        <v>3170</v>
      </c>
      <c r="S419" s="123"/>
      <c r="T419" s="125" t="s">
        <v>3170</v>
      </c>
      <c r="U419" s="124">
        <v>2022.0</v>
      </c>
      <c r="V419" s="123"/>
      <c r="W419" s="123"/>
      <c r="X419" s="123"/>
    </row>
    <row r="420">
      <c r="A420" s="123" t="s">
        <v>87</v>
      </c>
      <c r="B420" s="123" t="s">
        <v>4735</v>
      </c>
      <c r="C420" s="123"/>
      <c r="D420" s="123" t="s">
        <v>4736</v>
      </c>
      <c r="E420" s="123" t="s">
        <v>3165</v>
      </c>
      <c r="F420" s="123" t="s">
        <v>3165</v>
      </c>
      <c r="G420" s="123" t="s">
        <v>86</v>
      </c>
      <c r="H420" s="123" t="s">
        <v>3088</v>
      </c>
      <c r="I420" s="123" t="s">
        <v>201</v>
      </c>
      <c r="J420" s="123" t="s">
        <v>3174</v>
      </c>
      <c r="K420" s="124">
        <v>1277.1</v>
      </c>
      <c r="L420" s="124">
        <v>16.3</v>
      </c>
      <c r="M420" s="123" t="s">
        <v>3658</v>
      </c>
      <c r="N420" s="124">
        <v>35.7371</v>
      </c>
      <c r="O420" s="124">
        <v>-90.0492</v>
      </c>
      <c r="P420" s="124">
        <v>69.8</v>
      </c>
      <c r="Q420" s="123"/>
      <c r="R420" s="125" t="s">
        <v>3170</v>
      </c>
      <c r="S420" s="123"/>
      <c r="T420" s="125" t="s">
        <v>3170</v>
      </c>
      <c r="U420" s="123"/>
      <c r="V420" s="123"/>
      <c r="W420" s="123"/>
      <c r="X420" s="123"/>
    </row>
    <row r="421">
      <c r="A421" s="123" t="s">
        <v>87</v>
      </c>
      <c r="B421" s="123" t="s">
        <v>4737</v>
      </c>
      <c r="C421" s="123"/>
      <c r="D421" s="123" t="s">
        <v>4738</v>
      </c>
      <c r="E421" s="123" t="s">
        <v>3165</v>
      </c>
      <c r="F421" s="123" t="s">
        <v>3165</v>
      </c>
      <c r="G421" s="123" t="s">
        <v>86</v>
      </c>
      <c r="H421" s="123" t="s">
        <v>3088</v>
      </c>
      <c r="I421" s="123" t="s">
        <v>201</v>
      </c>
      <c r="J421" s="123" t="s">
        <v>3174</v>
      </c>
      <c r="K421" s="124">
        <v>1277.1</v>
      </c>
      <c r="L421" s="124">
        <v>16.3</v>
      </c>
      <c r="M421" s="123" t="s">
        <v>3658</v>
      </c>
      <c r="N421" s="124">
        <v>35.7406</v>
      </c>
      <c r="O421" s="124">
        <v>-90.0489</v>
      </c>
      <c r="P421" s="124">
        <v>69.4</v>
      </c>
      <c r="Q421" s="123"/>
      <c r="R421" s="125" t="s">
        <v>3170</v>
      </c>
      <c r="S421" s="123"/>
      <c r="T421" s="125" t="s">
        <v>3170</v>
      </c>
      <c r="U421" s="123"/>
      <c r="V421" s="123"/>
      <c r="W421" s="123"/>
      <c r="X421" s="123"/>
    </row>
    <row r="422">
      <c r="A422" s="123" t="s">
        <v>87</v>
      </c>
      <c r="B422" s="123" t="s">
        <v>2396</v>
      </c>
      <c r="C422" s="123"/>
      <c r="D422" s="123" t="s">
        <v>2397</v>
      </c>
      <c r="E422" s="123" t="s">
        <v>3164</v>
      </c>
      <c r="F422" s="123" t="s">
        <v>3164</v>
      </c>
      <c r="G422" s="123" t="s">
        <v>370</v>
      </c>
      <c r="H422" s="123" t="s">
        <v>3091</v>
      </c>
      <c r="I422" s="123" t="s">
        <v>108</v>
      </c>
      <c r="J422" s="123" t="s">
        <v>3796</v>
      </c>
      <c r="K422" s="124">
        <v>849.0</v>
      </c>
      <c r="L422" s="124">
        <v>10.1</v>
      </c>
      <c r="M422" s="123" t="s">
        <v>3658</v>
      </c>
      <c r="N422" s="124">
        <v>41.5545</v>
      </c>
      <c r="O422" s="124">
        <v>-83.8438</v>
      </c>
      <c r="P422" s="124">
        <v>230.0</v>
      </c>
      <c r="Q422" s="123" t="s">
        <v>4739</v>
      </c>
      <c r="R422" s="125" t="s">
        <v>4740</v>
      </c>
      <c r="S422" s="123" t="s">
        <v>4739</v>
      </c>
      <c r="T422" s="125" t="s">
        <v>4741</v>
      </c>
      <c r="U422" s="124">
        <v>2004.0</v>
      </c>
      <c r="V422" s="124">
        <v>2013.0</v>
      </c>
      <c r="W422" s="123" t="s">
        <v>4742</v>
      </c>
      <c r="X422" s="123"/>
    </row>
    <row r="423">
      <c r="A423" s="123" t="s">
        <v>87</v>
      </c>
      <c r="B423" s="123" t="s">
        <v>4743</v>
      </c>
      <c r="C423" s="123"/>
      <c r="D423" s="123" t="s">
        <v>4744</v>
      </c>
      <c r="E423" s="123" t="s">
        <v>3164</v>
      </c>
      <c r="F423" s="123" t="s">
        <v>3164</v>
      </c>
      <c r="G423" s="123" t="s">
        <v>288</v>
      </c>
      <c r="H423" s="123" t="s">
        <v>3095</v>
      </c>
      <c r="I423" s="123" t="s">
        <v>201</v>
      </c>
      <c r="J423" s="123" t="s">
        <v>3174</v>
      </c>
      <c r="K423" s="124">
        <v>1268.0</v>
      </c>
      <c r="L423" s="124">
        <v>22.3</v>
      </c>
      <c r="M423" s="123" t="s">
        <v>3658</v>
      </c>
      <c r="N423" s="124">
        <v>27.3836</v>
      </c>
      <c r="O423" s="124">
        <v>-81.9509</v>
      </c>
      <c r="P423" s="124">
        <v>25.0</v>
      </c>
      <c r="Q423" s="123" t="s">
        <v>3784</v>
      </c>
      <c r="R423" s="125" t="s">
        <v>4745</v>
      </c>
      <c r="S423" s="123" t="s">
        <v>3343</v>
      </c>
      <c r="T423" s="125" t="s">
        <v>4746</v>
      </c>
      <c r="U423" s="124">
        <v>2016.0</v>
      </c>
      <c r="V423" s="123"/>
      <c r="W423" s="123" t="s">
        <v>4747</v>
      </c>
      <c r="X423" s="123"/>
    </row>
    <row r="424">
      <c r="A424" s="123" t="s">
        <v>87</v>
      </c>
      <c r="B424" s="123" t="s">
        <v>4748</v>
      </c>
      <c r="C424" s="123"/>
      <c r="D424" s="123" t="s">
        <v>4749</v>
      </c>
      <c r="E424" s="123" t="s">
        <v>3164</v>
      </c>
      <c r="F424" s="123" t="s">
        <v>3165</v>
      </c>
      <c r="G424" s="123" t="s">
        <v>86</v>
      </c>
      <c r="H424" s="123" t="s">
        <v>3088</v>
      </c>
      <c r="I424" s="123" t="s">
        <v>201</v>
      </c>
      <c r="J424" s="123" t="s">
        <v>3174</v>
      </c>
      <c r="K424" s="124">
        <v>1192.0</v>
      </c>
      <c r="L424" s="124">
        <v>13.0</v>
      </c>
      <c r="M424" s="123" t="s">
        <v>3658</v>
      </c>
      <c r="N424" s="124">
        <v>39.0293</v>
      </c>
      <c r="O424" s="124">
        <v>-76.8457</v>
      </c>
      <c r="P424" s="124">
        <v>40.0</v>
      </c>
      <c r="Q424" s="124">
        <v>2022.0</v>
      </c>
      <c r="R424" s="125" t="s">
        <v>4750</v>
      </c>
      <c r="S424" s="123"/>
      <c r="T424" s="125" t="s">
        <v>3170</v>
      </c>
      <c r="U424" s="124">
        <v>2016.0</v>
      </c>
      <c r="V424" s="123"/>
      <c r="W424" s="123" t="s">
        <v>4751</v>
      </c>
      <c r="X424" s="123"/>
    </row>
    <row r="425">
      <c r="A425" s="123" t="s">
        <v>87</v>
      </c>
      <c r="B425" s="123" t="s">
        <v>4752</v>
      </c>
      <c r="C425" s="123"/>
      <c r="D425" s="123" t="s">
        <v>4753</v>
      </c>
      <c r="E425" s="123" t="s">
        <v>3164</v>
      </c>
      <c r="F425" s="123" t="s">
        <v>3164</v>
      </c>
      <c r="G425" s="123" t="s">
        <v>214</v>
      </c>
      <c r="H425" s="123" t="s">
        <v>3184</v>
      </c>
      <c r="I425" s="123" t="s">
        <v>201</v>
      </c>
      <c r="J425" s="123" t="s">
        <v>3174</v>
      </c>
      <c r="K425" s="124">
        <v>1499.1</v>
      </c>
      <c r="L425" s="124">
        <v>11.63</v>
      </c>
      <c r="M425" s="123" t="s">
        <v>3658</v>
      </c>
      <c r="N425" s="124">
        <v>40.0201</v>
      </c>
      <c r="O425" s="124">
        <v>-83.0183</v>
      </c>
      <c r="P425" s="124">
        <v>221.0</v>
      </c>
      <c r="Q425" s="123" t="s">
        <v>4754</v>
      </c>
      <c r="R425" s="125" t="s">
        <v>4755</v>
      </c>
      <c r="S425" s="123" t="s">
        <v>4754</v>
      </c>
      <c r="T425" s="125" t="s">
        <v>4756</v>
      </c>
      <c r="U425" s="124">
        <v>2011.0</v>
      </c>
      <c r="V425" s="124">
        <v>2016.0</v>
      </c>
      <c r="W425" s="123" t="s">
        <v>4757</v>
      </c>
      <c r="X425" s="123"/>
    </row>
    <row r="426">
      <c r="A426" s="123" t="s">
        <v>87</v>
      </c>
      <c r="B426" s="123" t="s">
        <v>4758</v>
      </c>
      <c r="C426" s="123"/>
      <c r="D426" s="123" t="s">
        <v>4759</v>
      </c>
      <c r="E426" s="123" t="s">
        <v>3164</v>
      </c>
      <c r="F426" s="123" t="s">
        <v>3164</v>
      </c>
      <c r="G426" s="123" t="s">
        <v>214</v>
      </c>
      <c r="H426" s="123" t="s">
        <v>3184</v>
      </c>
      <c r="I426" s="123" t="s">
        <v>107</v>
      </c>
      <c r="J426" s="123" t="s">
        <v>3249</v>
      </c>
      <c r="K426" s="124">
        <v>930.0</v>
      </c>
      <c r="L426" s="124">
        <v>10.7</v>
      </c>
      <c r="M426" s="123" t="s">
        <v>3658</v>
      </c>
      <c r="N426" s="124">
        <v>41.3795</v>
      </c>
      <c r="O426" s="124">
        <v>-82.5125</v>
      </c>
      <c r="P426" s="124">
        <v>174.0</v>
      </c>
      <c r="Q426" s="123" t="s">
        <v>3697</v>
      </c>
      <c r="R426" s="125" t="s">
        <v>4760</v>
      </c>
      <c r="S426" s="123" t="s">
        <v>4761</v>
      </c>
      <c r="T426" s="125" t="s">
        <v>4762</v>
      </c>
      <c r="U426" s="124">
        <v>2015.0</v>
      </c>
      <c r="V426" s="123"/>
      <c r="W426" s="123" t="s">
        <v>4763</v>
      </c>
      <c r="X426" s="123"/>
    </row>
    <row r="427">
      <c r="A427" s="123" t="s">
        <v>87</v>
      </c>
      <c r="B427" s="123" t="s">
        <v>4764</v>
      </c>
      <c r="C427" s="123"/>
      <c r="D427" s="123" t="s">
        <v>4765</v>
      </c>
      <c r="E427" s="123" t="s">
        <v>3164</v>
      </c>
      <c r="F427" s="123" t="s">
        <v>3165</v>
      </c>
      <c r="G427" s="123" t="s">
        <v>288</v>
      </c>
      <c r="H427" s="123" t="s">
        <v>3095</v>
      </c>
      <c r="I427" s="123" t="s">
        <v>201</v>
      </c>
      <c r="J427" s="123" t="s">
        <v>3174</v>
      </c>
      <c r="K427" s="124">
        <v>1268.0</v>
      </c>
      <c r="L427" s="124">
        <v>22.3</v>
      </c>
      <c r="M427" s="123" t="s">
        <v>3658</v>
      </c>
      <c r="N427" s="124">
        <v>27.3944</v>
      </c>
      <c r="O427" s="124">
        <v>-81.951</v>
      </c>
      <c r="P427" s="124">
        <v>27.1</v>
      </c>
      <c r="Q427" s="123" t="s">
        <v>4409</v>
      </c>
      <c r="R427" s="125" t="s">
        <v>4766</v>
      </c>
      <c r="S427" s="123"/>
      <c r="T427" s="125" t="s">
        <v>3170</v>
      </c>
      <c r="U427" s="124">
        <v>2021.0</v>
      </c>
      <c r="V427" s="123"/>
      <c r="W427" s="123" t="s">
        <v>4747</v>
      </c>
      <c r="X427" s="123"/>
    </row>
    <row r="428">
      <c r="A428" s="123" t="s">
        <v>87</v>
      </c>
      <c r="B428" s="123" t="s">
        <v>4767</v>
      </c>
      <c r="C428" s="123"/>
      <c r="D428" s="123" t="s">
        <v>4768</v>
      </c>
      <c r="E428" s="123" t="s">
        <v>3165</v>
      </c>
      <c r="F428" s="123" t="s">
        <v>3165</v>
      </c>
      <c r="G428" s="123" t="s">
        <v>370</v>
      </c>
      <c r="H428" s="123" t="s">
        <v>3091</v>
      </c>
      <c r="I428" s="123" t="s">
        <v>3597</v>
      </c>
      <c r="J428" s="123" t="s">
        <v>3598</v>
      </c>
      <c r="K428" s="124">
        <v>232.66</v>
      </c>
      <c r="L428" s="124">
        <v>14.72</v>
      </c>
      <c r="M428" s="123" t="s">
        <v>3658</v>
      </c>
      <c r="N428" s="124">
        <v>31.4123</v>
      </c>
      <c r="O428" s="124">
        <v>-106.0788</v>
      </c>
      <c r="P428" s="124">
        <v>1092.0</v>
      </c>
      <c r="Q428" s="123"/>
      <c r="R428" s="125" t="s">
        <v>3170</v>
      </c>
      <c r="S428" s="123"/>
      <c r="T428" s="125" t="s">
        <v>3170</v>
      </c>
      <c r="U428" s="124">
        <v>2022.0</v>
      </c>
      <c r="V428" s="123"/>
      <c r="W428" s="123"/>
      <c r="X428" s="123"/>
    </row>
    <row r="429">
      <c r="A429" s="123" t="s">
        <v>87</v>
      </c>
      <c r="B429" s="123" t="s">
        <v>2400</v>
      </c>
      <c r="C429" s="123"/>
      <c r="D429" s="123" t="s">
        <v>4769</v>
      </c>
      <c r="E429" s="123" t="s">
        <v>3164</v>
      </c>
      <c r="F429" s="123" t="s">
        <v>3165</v>
      </c>
      <c r="G429" s="123" t="s">
        <v>452</v>
      </c>
      <c r="H429" s="123" t="s">
        <v>3096</v>
      </c>
      <c r="I429" s="123" t="s">
        <v>107</v>
      </c>
      <c r="J429" s="123" t="s">
        <v>3249</v>
      </c>
      <c r="K429" s="124">
        <v>823.0</v>
      </c>
      <c r="L429" s="124">
        <v>4.33</v>
      </c>
      <c r="M429" s="123" t="s">
        <v>3658</v>
      </c>
      <c r="N429" s="124">
        <v>45.9459</v>
      </c>
      <c r="O429" s="124">
        <v>-90.2723</v>
      </c>
      <c r="P429" s="124">
        <v>470.0</v>
      </c>
      <c r="Q429" s="123" t="s">
        <v>4770</v>
      </c>
      <c r="R429" s="125" t="s">
        <v>4771</v>
      </c>
      <c r="S429" s="123"/>
      <c r="T429" s="125" t="s">
        <v>3170</v>
      </c>
      <c r="U429" s="124">
        <v>1996.0</v>
      </c>
      <c r="V429" s="123"/>
      <c r="W429" s="123" t="s">
        <v>4772</v>
      </c>
      <c r="X429" s="123"/>
    </row>
    <row r="430">
      <c r="A430" s="123" t="s">
        <v>87</v>
      </c>
      <c r="B430" s="123" t="s">
        <v>4773</v>
      </c>
      <c r="C430" s="123"/>
      <c r="D430" s="123" t="s">
        <v>4774</v>
      </c>
      <c r="E430" s="123" t="s">
        <v>3164</v>
      </c>
      <c r="F430" s="123" t="s">
        <v>3165</v>
      </c>
      <c r="G430" s="123" t="s">
        <v>197</v>
      </c>
      <c r="H430" s="123" t="s">
        <v>3094</v>
      </c>
      <c r="I430" s="123" t="s">
        <v>107</v>
      </c>
      <c r="J430" s="123" t="s">
        <v>3249</v>
      </c>
      <c r="K430" s="124">
        <v>823.0</v>
      </c>
      <c r="L430" s="124">
        <v>4.33</v>
      </c>
      <c r="M430" s="123" t="s">
        <v>3658</v>
      </c>
      <c r="N430" s="124">
        <v>45.972</v>
      </c>
      <c r="O430" s="124">
        <v>-90.3232</v>
      </c>
      <c r="P430" s="124">
        <v>474.0</v>
      </c>
      <c r="Q430" s="124">
        <v>2019.0</v>
      </c>
      <c r="R430" s="125" t="s">
        <v>4775</v>
      </c>
      <c r="S430" s="123"/>
      <c r="T430" s="125" t="s">
        <v>3170</v>
      </c>
      <c r="U430" s="124">
        <v>2019.0</v>
      </c>
      <c r="V430" s="124">
        <v>2019.0</v>
      </c>
      <c r="W430" s="123" t="s">
        <v>4776</v>
      </c>
      <c r="X430" s="123"/>
    </row>
    <row r="431">
      <c r="A431" s="123" t="s">
        <v>87</v>
      </c>
      <c r="B431" s="123" t="s">
        <v>4777</v>
      </c>
      <c r="C431" s="123"/>
      <c r="D431" s="123" t="s">
        <v>4778</v>
      </c>
      <c r="E431" s="123" t="s">
        <v>3164</v>
      </c>
      <c r="F431" s="123" t="s">
        <v>3165</v>
      </c>
      <c r="G431" s="123" t="s">
        <v>370</v>
      </c>
      <c r="H431" s="123" t="s">
        <v>3091</v>
      </c>
      <c r="I431" s="123" t="s">
        <v>107</v>
      </c>
      <c r="J431" s="123" t="s">
        <v>3249</v>
      </c>
      <c r="K431" s="124">
        <v>823.0</v>
      </c>
      <c r="L431" s="124">
        <v>4.33</v>
      </c>
      <c r="M431" s="123" t="s">
        <v>3658</v>
      </c>
      <c r="N431" s="124">
        <v>45.9677</v>
      </c>
      <c r="O431" s="124">
        <v>-90.3088</v>
      </c>
      <c r="P431" s="124">
        <v>473.0</v>
      </c>
      <c r="Q431" s="124">
        <v>2019.0</v>
      </c>
      <c r="R431" s="125" t="s">
        <v>4779</v>
      </c>
      <c r="S431" s="123"/>
      <c r="T431" s="125" t="s">
        <v>3170</v>
      </c>
      <c r="U431" s="124">
        <v>2019.0</v>
      </c>
      <c r="V431" s="124">
        <v>2019.0</v>
      </c>
      <c r="W431" s="123" t="s">
        <v>4776</v>
      </c>
      <c r="X431" s="123"/>
    </row>
    <row r="432">
      <c r="A432" s="123" t="s">
        <v>87</v>
      </c>
      <c r="B432" s="123" t="s">
        <v>4780</v>
      </c>
      <c r="C432" s="123"/>
      <c r="D432" s="123" t="s">
        <v>4781</v>
      </c>
      <c r="E432" s="123" t="s">
        <v>3164</v>
      </c>
      <c r="F432" s="123" t="s">
        <v>3165</v>
      </c>
      <c r="G432" s="123" t="s">
        <v>214</v>
      </c>
      <c r="H432" s="123" t="s">
        <v>3184</v>
      </c>
      <c r="I432" s="123" t="s">
        <v>107</v>
      </c>
      <c r="J432" s="123" t="s">
        <v>3249</v>
      </c>
      <c r="K432" s="124">
        <v>823.0</v>
      </c>
      <c r="L432" s="124">
        <v>4.33</v>
      </c>
      <c r="M432" s="123" t="s">
        <v>3658</v>
      </c>
      <c r="N432" s="124">
        <v>45.9689</v>
      </c>
      <c r="O432" s="124">
        <v>-90.301</v>
      </c>
      <c r="P432" s="124">
        <v>473.0</v>
      </c>
      <c r="Q432" s="124">
        <v>2019.0</v>
      </c>
      <c r="R432" s="125" t="s">
        <v>4782</v>
      </c>
      <c r="S432" s="123"/>
      <c r="T432" s="125" t="s">
        <v>3170</v>
      </c>
      <c r="U432" s="124">
        <v>2019.0</v>
      </c>
      <c r="V432" s="124">
        <v>2019.0</v>
      </c>
      <c r="W432" s="123" t="s">
        <v>4776</v>
      </c>
      <c r="X432" s="123"/>
    </row>
    <row r="433">
      <c r="A433" s="123" t="s">
        <v>87</v>
      </c>
      <c r="B433" s="123" t="s">
        <v>4783</v>
      </c>
      <c r="C433" s="123"/>
      <c r="D433" s="123" t="s">
        <v>4784</v>
      </c>
      <c r="E433" s="123" t="s">
        <v>3164</v>
      </c>
      <c r="F433" s="123" t="s">
        <v>3165</v>
      </c>
      <c r="G433" s="123" t="s">
        <v>1085</v>
      </c>
      <c r="H433" s="123" t="s">
        <v>3588</v>
      </c>
      <c r="I433" s="123" t="s">
        <v>107</v>
      </c>
      <c r="J433" s="123" t="s">
        <v>3249</v>
      </c>
      <c r="K433" s="124">
        <v>823.0</v>
      </c>
      <c r="L433" s="124">
        <v>4.33</v>
      </c>
      <c r="M433" s="123" t="s">
        <v>3658</v>
      </c>
      <c r="N433" s="124">
        <v>45.9793</v>
      </c>
      <c r="O433" s="124">
        <v>-90.3004</v>
      </c>
      <c r="P433" s="124">
        <v>480.0</v>
      </c>
      <c r="Q433" s="124">
        <v>2019.0</v>
      </c>
      <c r="R433" s="125" t="s">
        <v>4785</v>
      </c>
      <c r="S433" s="123"/>
      <c r="T433" s="125" t="s">
        <v>3170</v>
      </c>
      <c r="U433" s="124">
        <v>2019.0</v>
      </c>
      <c r="V433" s="124">
        <v>2019.0</v>
      </c>
      <c r="W433" s="123" t="s">
        <v>4776</v>
      </c>
      <c r="X433" s="123"/>
    </row>
    <row r="434">
      <c r="A434" s="123" t="s">
        <v>87</v>
      </c>
      <c r="B434" s="123" t="s">
        <v>4786</v>
      </c>
      <c r="C434" s="123"/>
      <c r="D434" s="123" t="s">
        <v>4787</v>
      </c>
      <c r="E434" s="123" t="s">
        <v>3164</v>
      </c>
      <c r="F434" s="123" t="s">
        <v>3165</v>
      </c>
      <c r="G434" s="123" t="s">
        <v>288</v>
      </c>
      <c r="H434" s="123" t="s">
        <v>3095</v>
      </c>
      <c r="I434" s="123" t="s">
        <v>107</v>
      </c>
      <c r="J434" s="123" t="s">
        <v>3249</v>
      </c>
      <c r="K434" s="124">
        <v>823.0</v>
      </c>
      <c r="L434" s="124">
        <v>4.33</v>
      </c>
      <c r="M434" s="123" t="s">
        <v>3658</v>
      </c>
      <c r="N434" s="124">
        <v>45.9458</v>
      </c>
      <c r="O434" s="124">
        <v>-90.2944</v>
      </c>
      <c r="P434" s="124">
        <v>464.0</v>
      </c>
      <c r="Q434" s="124">
        <v>2019.0</v>
      </c>
      <c r="R434" s="125" t="s">
        <v>4788</v>
      </c>
      <c r="S434" s="123"/>
      <c r="T434" s="125" t="s">
        <v>3170</v>
      </c>
      <c r="U434" s="124">
        <v>2019.0</v>
      </c>
      <c r="V434" s="124">
        <v>2019.0</v>
      </c>
      <c r="W434" s="123" t="s">
        <v>4789</v>
      </c>
      <c r="X434" s="123"/>
    </row>
    <row r="435">
      <c r="A435" s="123" t="s">
        <v>87</v>
      </c>
      <c r="B435" s="123" t="s">
        <v>4790</v>
      </c>
      <c r="C435" s="123"/>
      <c r="D435" s="123" t="s">
        <v>4791</v>
      </c>
      <c r="E435" s="123" t="s">
        <v>3164</v>
      </c>
      <c r="F435" s="123" t="s">
        <v>3165</v>
      </c>
      <c r="G435" s="123" t="s">
        <v>197</v>
      </c>
      <c r="H435" s="123" t="s">
        <v>3094</v>
      </c>
      <c r="I435" s="123" t="s">
        <v>107</v>
      </c>
      <c r="J435" s="123" t="s">
        <v>3249</v>
      </c>
      <c r="K435" s="124">
        <v>823.0</v>
      </c>
      <c r="L435" s="124">
        <v>4.33</v>
      </c>
      <c r="M435" s="123" t="s">
        <v>3658</v>
      </c>
      <c r="N435" s="124">
        <v>45.9735</v>
      </c>
      <c r="O435" s="124">
        <v>-90.2723</v>
      </c>
      <c r="P435" s="124">
        <v>475.0</v>
      </c>
      <c r="Q435" s="124">
        <v>2019.0</v>
      </c>
      <c r="R435" s="125" t="s">
        <v>4792</v>
      </c>
      <c r="S435" s="123"/>
      <c r="T435" s="125" t="s">
        <v>3170</v>
      </c>
      <c r="U435" s="124">
        <v>2019.0</v>
      </c>
      <c r="V435" s="124">
        <v>2019.0</v>
      </c>
      <c r="W435" s="123" t="s">
        <v>4776</v>
      </c>
      <c r="X435" s="123"/>
    </row>
    <row r="436">
      <c r="A436" s="123" t="s">
        <v>87</v>
      </c>
      <c r="B436" s="123" t="s">
        <v>4793</v>
      </c>
      <c r="C436" s="123"/>
      <c r="D436" s="123" t="s">
        <v>4794</v>
      </c>
      <c r="E436" s="123" t="s">
        <v>3164</v>
      </c>
      <c r="F436" s="123" t="s">
        <v>3165</v>
      </c>
      <c r="G436" s="123" t="s">
        <v>197</v>
      </c>
      <c r="H436" s="123" t="s">
        <v>3094</v>
      </c>
      <c r="I436" s="123" t="s">
        <v>107</v>
      </c>
      <c r="J436" s="123" t="s">
        <v>3249</v>
      </c>
      <c r="K436" s="124">
        <v>823.0</v>
      </c>
      <c r="L436" s="124">
        <v>4.33</v>
      </c>
      <c r="M436" s="123" t="s">
        <v>3658</v>
      </c>
      <c r="N436" s="124">
        <v>45.9557</v>
      </c>
      <c r="O436" s="124">
        <v>-90.2406</v>
      </c>
      <c r="P436" s="124">
        <v>463.0</v>
      </c>
      <c r="Q436" s="124">
        <v>2019.0</v>
      </c>
      <c r="R436" s="125" t="s">
        <v>4795</v>
      </c>
      <c r="S436" s="123"/>
      <c r="T436" s="125" t="s">
        <v>3170</v>
      </c>
      <c r="U436" s="124">
        <v>2019.0</v>
      </c>
      <c r="V436" s="124">
        <v>2019.0</v>
      </c>
      <c r="W436" s="123" t="s">
        <v>4776</v>
      </c>
      <c r="X436" s="123"/>
    </row>
    <row r="437">
      <c r="A437" s="123" t="s">
        <v>87</v>
      </c>
      <c r="B437" s="123" t="s">
        <v>4796</v>
      </c>
      <c r="C437" s="123"/>
      <c r="D437" s="123" t="s">
        <v>4797</v>
      </c>
      <c r="E437" s="123" t="s">
        <v>3164</v>
      </c>
      <c r="F437" s="123" t="s">
        <v>3165</v>
      </c>
      <c r="G437" s="123" t="s">
        <v>370</v>
      </c>
      <c r="H437" s="123" t="s">
        <v>3091</v>
      </c>
      <c r="I437" s="123" t="s">
        <v>107</v>
      </c>
      <c r="J437" s="123" t="s">
        <v>3249</v>
      </c>
      <c r="K437" s="124">
        <v>823.0</v>
      </c>
      <c r="L437" s="124">
        <v>4.33</v>
      </c>
      <c r="M437" s="123" t="s">
        <v>3658</v>
      </c>
      <c r="N437" s="124">
        <v>45.9749</v>
      </c>
      <c r="O437" s="124">
        <v>-90.2327</v>
      </c>
      <c r="P437" s="124">
        <v>488.0</v>
      </c>
      <c r="Q437" s="124">
        <v>2019.0</v>
      </c>
      <c r="R437" s="125" t="s">
        <v>4798</v>
      </c>
      <c r="S437" s="123"/>
      <c r="T437" s="125" t="s">
        <v>3170</v>
      </c>
      <c r="U437" s="124">
        <v>2019.0</v>
      </c>
      <c r="V437" s="124">
        <v>2019.0</v>
      </c>
      <c r="W437" s="123" t="s">
        <v>4776</v>
      </c>
      <c r="X437" s="123"/>
    </row>
    <row r="438">
      <c r="A438" s="123" t="s">
        <v>87</v>
      </c>
      <c r="B438" s="123" t="s">
        <v>4799</v>
      </c>
      <c r="C438" s="123"/>
      <c r="D438" s="123" t="s">
        <v>4800</v>
      </c>
      <c r="E438" s="123" t="s">
        <v>3164</v>
      </c>
      <c r="F438" s="123" t="s">
        <v>3165</v>
      </c>
      <c r="G438" s="123" t="s">
        <v>370</v>
      </c>
      <c r="H438" s="123" t="s">
        <v>3091</v>
      </c>
      <c r="I438" s="123" t="s">
        <v>107</v>
      </c>
      <c r="J438" s="123" t="s">
        <v>3249</v>
      </c>
      <c r="K438" s="124">
        <v>823.0</v>
      </c>
      <c r="L438" s="124">
        <v>4.33</v>
      </c>
      <c r="M438" s="123" t="s">
        <v>3658</v>
      </c>
      <c r="N438" s="124">
        <v>45.9619</v>
      </c>
      <c r="O438" s="124">
        <v>-90.227</v>
      </c>
      <c r="P438" s="124">
        <v>484.0</v>
      </c>
      <c r="Q438" s="124">
        <v>2019.0</v>
      </c>
      <c r="R438" s="125" t="s">
        <v>4801</v>
      </c>
      <c r="S438" s="123"/>
      <c r="T438" s="125" t="s">
        <v>3170</v>
      </c>
      <c r="U438" s="124">
        <v>2019.0</v>
      </c>
      <c r="V438" s="124">
        <v>2019.0</v>
      </c>
      <c r="W438" s="123" t="s">
        <v>4776</v>
      </c>
      <c r="X438" s="123"/>
    </row>
    <row r="439">
      <c r="A439" s="123" t="s">
        <v>87</v>
      </c>
      <c r="B439" s="123" t="s">
        <v>4802</v>
      </c>
      <c r="C439" s="123"/>
      <c r="D439" s="123" t="s">
        <v>4803</v>
      </c>
      <c r="E439" s="123" t="s">
        <v>3164</v>
      </c>
      <c r="F439" s="123" t="s">
        <v>3165</v>
      </c>
      <c r="G439" s="123" t="s">
        <v>370</v>
      </c>
      <c r="H439" s="123" t="s">
        <v>3091</v>
      </c>
      <c r="I439" s="123" t="s">
        <v>107</v>
      </c>
      <c r="J439" s="123" t="s">
        <v>3249</v>
      </c>
      <c r="K439" s="124">
        <v>823.0</v>
      </c>
      <c r="L439" s="124">
        <v>4.33</v>
      </c>
      <c r="M439" s="123" t="s">
        <v>3658</v>
      </c>
      <c r="N439" s="124">
        <v>45.9149</v>
      </c>
      <c r="O439" s="124">
        <v>-90.3425</v>
      </c>
      <c r="P439" s="124">
        <v>476.0</v>
      </c>
      <c r="Q439" s="124">
        <v>2019.0</v>
      </c>
      <c r="R439" s="125" t="s">
        <v>4804</v>
      </c>
      <c r="S439" s="123"/>
      <c r="T439" s="125" t="s">
        <v>3170</v>
      </c>
      <c r="U439" s="124">
        <v>2019.0</v>
      </c>
      <c r="V439" s="124">
        <v>2019.0</v>
      </c>
      <c r="W439" s="123" t="s">
        <v>4776</v>
      </c>
      <c r="X439" s="123"/>
    </row>
    <row r="440">
      <c r="A440" s="123" t="s">
        <v>87</v>
      </c>
      <c r="B440" s="123" t="s">
        <v>4805</v>
      </c>
      <c r="C440" s="123"/>
      <c r="D440" s="123" t="s">
        <v>4806</v>
      </c>
      <c r="E440" s="123" t="s">
        <v>3164</v>
      </c>
      <c r="F440" s="123" t="s">
        <v>3165</v>
      </c>
      <c r="G440" s="123" t="s">
        <v>370</v>
      </c>
      <c r="H440" s="123" t="s">
        <v>3091</v>
      </c>
      <c r="I440" s="123" t="s">
        <v>107</v>
      </c>
      <c r="J440" s="123" t="s">
        <v>3249</v>
      </c>
      <c r="K440" s="124">
        <v>823.0</v>
      </c>
      <c r="L440" s="124">
        <v>4.33</v>
      </c>
      <c r="M440" s="123" t="s">
        <v>3658</v>
      </c>
      <c r="N440" s="124">
        <v>45.9409</v>
      </c>
      <c r="O440" s="124">
        <v>-90.3177</v>
      </c>
      <c r="P440" s="124">
        <v>464.0</v>
      </c>
      <c r="Q440" s="124">
        <v>2019.0</v>
      </c>
      <c r="R440" s="125" t="s">
        <v>4807</v>
      </c>
      <c r="S440" s="123"/>
      <c r="T440" s="125" t="s">
        <v>3170</v>
      </c>
      <c r="U440" s="124">
        <v>2019.0</v>
      </c>
      <c r="V440" s="124">
        <v>2019.0</v>
      </c>
      <c r="W440" s="123" t="s">
        <v>4776</v>
      </c>
      <c r="X440" s="123"/>
    </row>
    <row r="441">
      <c r="A441" s="123" t="s">
        <v>87</v>
      </c>
      <c r="B441" s="123" t="s">
        <v>4808</v>
      </c>
      <c r="C441" s="123"/>
      <c r="D441" s="123" t="s">
        <v>4809</v>
      </c>
      <c r="E441" s="123" t="s">
        <v>3164</v>
      </c>
      <c r="F441" s="123" t="s">
        <v>3165</v>
      </c>
      <c r="G441" s="123" t="s">
        <v>370</v>
      </c>
      <c r="H441" s="123" t="s">
        <v>3091</v>
      </c>
      <c r="I441" s="123" t="s">
        <v>107</v>
      </c>
      <c r="J441" s="123" t="s">
        <v>3249</v>
      </c>
      <c r="K441" s="124">
        <v>823.0</v>
      </c>
      <c r="L441" s="124">
        <v>4.33</v>
      </c>
      <c r="M441" s="123" t="s">
        <v>3658</v>
      </c>
      <c r="N441" s="124">
        <v>45.9207</v>
      </c>
      <c r="O441" s="124">
        <v>-90.3099</v>
      </c>
      <c r="P441" s="124">
        <v>484.0</v>
      </c>
      <c r="Q441" s="124">
        <v>2019.0</v>
      </c>
      <c r="R441" s="125" t="s">
        <v>4810</v>
      </c>
      <c r="S441" s="123"/>
      <c r="T441" s="125" t="s">
        <v>3170</v>
      </c>
      <c r="U441" s="124">
        <v>2019.0</v>
      </c>
      <c r="V441" s="124">
        <v>2019.0</v>
      </c>
      <c r="W441" s="123" t="s">
        <v>4776</v>
      </c>
      <c r="X441" s="123"/>
    </row>
    <row r="442">
      <c r="A442" s="123" t="s">
        <v>87</v>
      </c>
      <c r="B442" s="123" t="s">
        <v>4811</v>
      </c>
      <c r="C442" s="123"/>
      <c r="D442" s="123" t="s">
        <v>4812</v>
      </c>
      <c r="E442" s="123" t="s">
        <v>3164</v>
      </c>
      <c r="F442" s="123" t="s">
        <v>3165</v>
      </c>
      <c r="G442" s="123" t="s">
        <v>370</v>
      </c>
      <c r="H442" s="123" t="s">
        <v>3091</v>
      </c>
      <c r="I442" s="123" t="s">
        <v>107</v>
      </c>
      <c r="J442" s="123" t="s">
        <v>3249</v>
      </c>
      <c r="K442" s="124">
        <v>823.0</v>
      </c>
      <c r="L442" s="124">
        <v>4.33</v>
      </c>
      <c r="M442" s="123" t="s">
        <v>3658</v>
      </c>
      <c r="N442" s="124">
        <v>45.9392</v>
      </c>
      <c r="O442" s="124">
        <v>-90.2823</v>
      </c>
      <c r="P442" s="124">
        <v>478.0</v>
      </c>
      <c r="Q442" s="124">
        <v>2019.0</v>
      </c>
      <c r="R442" s="125" t="s">
        <v>4813</v>
      </c>
      <c r="S442" s="123"/>
      <c r="T442" s="125" t="s">
        <v>3170</v>
      </c>
      <c r="U442" s="124">
        <v>2019.0</v>
      </c>
      <c r="V442" s="124">
        <v>2019.0</v>
      </c>
      <c r="W442" s="123" t="s">
        <v>4776</v>
      </c>
      <c r="X442" s="123"/>
    </row>
    <row r="443">
      <c r="A443" s="123" t="s">
        <v>87</v>
      </c>
      <c r="B443" s="123" t="s">
        <v>4814</v>
      </c>
      <c r="C443" s="123"/>
      <c r="D443" s="123" t="s">
        <v>4815</v>
      </c>
      <c r="E443" s="123" t="s">
        <v>3164</v>
      </c>
      <c r="F443" s="123" t="s">
        <v>3165</v>
      </c>
      <c r="G443" s="123" t="s">
        <v>1085</v>
      </c>
      <c r="H443" s="123" t="s">
        <v>3588</v>
      </c>
      <c r="I443" s="123" t="s">
        <v>107</v>
      </c>
      <c r="J443" s="123" t="s">
        <v>3249</v>
      </c>
      <c r="K443" s="124">
        <v>823.0</v>
      </c>
      <c r="L443" s="124">
        <v>4.33</v>
      </c>
      <c r="M443" s="123" t="s">
        <v>3658</v>
      </c>
      <c r="N443" s="124">
        <v>45.9229</v>
      </c>
      <c r="O443" s="124">
        <v>-90.2728</v>
      </c>
      <c r="P443" s="124">
        <v>476.0</v>
      </c>
      <c r="Q443" s="124">
        <v>2019.0</v>
      </c>
      <c r="R443" s="125" t="s">
        <v>4816</v>
      </c>
      <c r="S443" s="123"/>
      <c r="T443" s="125" t="s">
        <v>3170</v>
      </c>
      <c r="U443" s="124">
        <v>2019.0</v>
      </c>
      <c r="V443" s="124">
        <v>2019.0</v>
      </c>
      <c r="W443" s="123" t="s">
        <v>4817</v>
      </c>
      <c r="X443" s="123"/>
    </row>
    <row r="444">
      <c r="A444" s="123" t="s">
        <v>87</v>
      </c>
      <c r="B444" s="123" t="s">
        <v>4818</v>
      </c>
      <c r="C444" s="123"/>
      <c r="D444" s="123" t="s">
        <v>4819</v>
      </c>
      <c r="E444" s="123" t="s">
        <v>3164</v>
      </c>
      <c r="F444" s="123" t="s">
        <v>3165</v>
      </c>
      <c r="G444" s="123" t="s">
        <v>370</v>
      </c>
      <c r="H444" s="123" t="s">
        <v>3091</v>
      </c>
      <c r="I444" s="123" t="s">
        <v>107</v>
      </c>
      <c r="J444" s="123" t="s">
        <v>3249</v>
      </c>
      <c r="K444" s="124">
        <v>823.0</v>
      </c>
      <c r="L444" s="124">
        <v>4.33</v>
      </c>
      <c r="M444" s="123" t="s">
        <v>3658</v>
      </c>
      <c r="N444" s="124">
        <v>45.9365</v>
      </c>
      <c r="O444" s="124">
        <v>-90.2641</v>
      </c>
      <c r="P444" s="124">
        <v>497.0</v>
      </c>
      <c r="Q444" s="124">
        <v>2019.0</v>
      </c>
      <c r="R444" s="125" t="s">
        <v>4820</v>
      </c>
      <c r="S444" s="123"/>
      <c r="T444" s="125" t="s">
        <v>3170</v>
      </c>
      <c r="U444" s="124">
        <v>2019.0</v>
      </c>
      <c r="V444" s="124">
        <v>2019.0</v>
      </c>
      <c r="W444" s="123" t="s">
        <v>4776</v>
      </c>
      <c r="X444" s="123"/>
    </row>
    <row r="445">
      <c r="A445" s="123" t="s">
        <v>87</v>
      </c>
      <c r="B445" s="123" t="s">
        <v>4821</v>
      </c>
      <c r="C445" s="123"/>
      <c r="D445" s="123" t="s">
        <v>4822</v>
      </c>
      <c r="E445" s="123" t="s">
        <v>3164</v>
      </c>
      <c r="F445" s="123" t="s">
        <v>3165</v>
      </c>
      <c r="G445" s="123" t="s">
        <v>370</v>
      </c>
      <c r="H445" s="123" t="s">
        <v>3091</v>
      </c>
      <c r="I445" s="123" t="s">
        <v>107</v>
      </c>
      <c r="J445" s="123" t="s">
        <v>3249</v>
      </c>
      <c r="K445" s="124">
        <v>823.0</v>
      </c>
      <c r="L445" s="124">
        <v>4.33</v>
      </c>
      <c r="M445" s="123" t="s">
        <v>3658</v>
      </c>
      <c r="N445" s="124">
        <v>45.9271</v>
      </c>
      <c r="O445" s="124">
        <v>-90.2475</v>
      </c>
      <c r="P445" s="124">
        <v>473.0</v>
      </c>
      <c r="Q445" s="124">
        <v>2019.0</v>
      </c>
      <c r="R445" s="125" t="s">
        <v>4823</v>
      </c>
      <c r="S445" s="123"/>
      <c r="T445" s="125" t="s">
        <v>3170</v>
      </c>
      <c r="U445" s="124">
        <v>2019.0</v>
      </c>
      <c r="V445" s="124">
        <v>2019.0</v>
      </c>
      <c r="W445" s="123" t="s">
        <v>4776</v>
      </c>
      <c r="X445" s="123"/>
    </row>
    <row r="446">
      <c r="A446" s="123" t="s">
        <v>87</v>
      </c>
      <c r="B446" s="123" t="s">
        <v>4824</v>
      </c>
      <c r="C446" s="123"/>
      <c r="D446" s="123" t="s">
        <v>4825</v>
      </c>
      <c r="E446" s="123" t="s">
        <v>3164</v>
      </c>
      <c r="F446" s="123" t="s">
        <v>3165</v>
      </c>
      <c r="G446" s="123" t="s">
        <v>214</v>
      </c>
      <c r="H446" s="123" t="s">
        <v>3184</v>
      </c>
      <c r="I446" s="123" t="s">
        <v>107</v>
      </c>
      <c r="J446" s="123" t="s">
        <v>3249</v>
      </c>
      <c r="K446" s="124">
        <v>823.0</v>
      </c>
      <c r="L446" s="124">
        <v>4.33</v>
      </c>
      <c r="M446" s="123" t="s">
        <v>3658</v>
      </c>
      <c r="N446" s="124">
        <v>45.9245</v>
      </c>
      <c r="O446" s="124">
        <v>-90.2475</v>
      </c>
      <c r="P446" s="124">
        <v>490.0</v>
      </c>
      <c r="Q446" s="124">
        <v>2019.0</v>
      </c>
      <c r="R446" s="125" t="s">
        <v>4826</v>
      </c>
      <c r="S446" s="123"/>
      <c r="T446" s="125" t="s">
        <v>3170</v>
      </c>
      <c r="U446" s="124">
        <v>2019.0</v>
      </c>
      <c r="V446" s="124">
        <v>2019.0</v>
      </c>
      <c r="W446" s="123" t="s">
        <v>4776</v>
      </c>
      <c r="X446" s="123"/>
    </row>
    <row r="447">
      <c r="A447" s="123" t="s">
        <v>87</v>
      </c>
      <c r="B447" s="123" t="s">
        <v>4827</v>
      </c>
      <c r="C447" s="123"/>
      <c r="D447" s="123" t="s">
        <v>4828</v>
      </c>
      <c r="E447" s="123" t="s">
        <v>3164</v>
      </c>
      <c r="F447" s="123" t="s">
        <v>3165</v>
      </c>
      <c r="G447" s="123" t="s">
        <v>370</v>
      </c>
      <c r="H447" s="123" t="s">
        <v>3091</v>
      </c>
      <c r="I447" s="123" t="s">
        <v>107</v>
      </c>
      <c r="J447" s="123" t="s">
        <v>3249</v>
      </c>
      <c r="K447" s="124">
        <v>823.0</v>
      </c>
      <c r="L447" s="124">
        <v>4.33</v>
      </c>
      <c r="M447" s="123" t="s">
        <v>3658</v>
      </c>
      <c r="N447" s="124">
        <v>45.9381</v>
      </c>
      <c r="O447" s="124">
        <v>-90.2382</v>
      </c>
      <c r="P447" s="124">
        <v>489.0</v>
      </c>
      <c r="Q447" s="124">
        <v>2019.0</v>
      </c>
      <c r="R447" s="125" t="s">
        <v>4829</v>
      </c>
      <c r="S447" s="123"/>
      <c r="T447" s="125" t="s">
        <v>3170</v>
      </c>
      <c r="U447" s="124">
        <v>2019.0</v>
      </c>
      <c r="V447" s="124">
        <v>2019.0</v>
      </c>
      <c r="W447" s="123" t="s">
        <v>4776</v>
      </c>
      <c r="X447" s="123"/>
    </row>
    <row r="448">
      <c r="A448" s="123" t="s">
        <v>87</v>
      </c>
      <c r="B448" s="123" t="s">
        <v>4830</v>
      </c>
      <c r="C448" s="123"/>
      <c r="D448" s="123" t="s">
        <v>4831</v>
      </c>
      <c r="E448" s="123" t="s">
        <v>3164</v>
      </c>
      <c r="F448" s="123" t="s">
        <v>3165</v>
      </c>
      <c r="G448" s="123" t="s">
        <v>197</v>
      </c>
      <c r="H448" s="123" t="s">
        <v>3094</v>
      </c>
      <c r="I448" s="123" t="s">
        <v>107</v>
      </c>
      <c r="J448" s="123" t="s">
        <v>3249</v>
      </c>
      <c r="K448" s="124">
        <v>823.0</v>
      </c>
      <c r="L448" s="124">
        <v>4.33</v>
      </c>
      <c r="M448" s="123" t="s">
        <v>3658</v>
      </c>
      <c r="N448" s="124">
        <v>45.9197</v>
      </c>
      <c r="O448" s="124">
        <v>-90.2288</v>
      </c>
      <c r="P448" s="124">
        <v>466.0</v>
      </c>
      <c r="Q448" s="124">
        <v>2019.0</v>
      </c>
      <c r="R448" s="125" t="s">
        <v>4832</v>
      </c>
      <c r="S448" s="123"/>
      <c r="T448" s="125" t="s">
        <v>3170</v>
      </c>
      <c r="U448" s="124">
        <v>2019.0</v>
      </c>
      <c r="V448" s="124">
        <v>2019.0</v>
      </c>
      <c r="W448" s="123" t="s">
        <v>4776</v>
      </c>
      <c r="X448" s="123"/>
    </row>
    <row r="449">
      <c r="A449" s="123" t="s">
        <v>87</v>
      </c>
      <c r="B449" s="123" t="s">
        <v>4833</v>
      </c>
      <c r="C449" s="123"/>
      <c r="D449" s="123" t="s">
        <v>4834</v>
      </c>
      <c r="E449" s="123" t="s">
        <v>3164</v>
      </c>
      <c r="F449" s="123" t="s">
        <v>3165</v>
      </c>
      <c r="G449" s="123" t="s">
        <v>214</v>
      </c>
      <c r="H449" s="123" t="s">
        <v>3184</v>
      </c>
      <c r="I449" s="123" t="s">
        <v>108</v>
      </c>
      <c r="J449" s="123" t="s">
        <v>3796</v>
      </c>
      <c r="K449" s="124">
        <v>1262.0</v>
      </c>
      <c r="L449" s="124">
        <v>7.2</v>
      </c>
      <c r="M449" s="123" t="s">
        <v>3658</v>
      </c>
      <c r="N449" s="124">
        <v>42.7423</v>
      </c>
      <c r="O449" s="124">
        <v>-70.8301</v>
      </c>
      <c r="P449" s="124">
        <v>1.4</v>
      </c>
      <c r="Q449" s="123" t="s">
        <v>4835</v>
      </c>
      <c r="R449" s="125" t="s">
        <v>4836</v>
      </c>
      <c r="S449" s="123"/>
      <c r="T449" s="125" t="s">
        <v>3170</v>
      </c>
      <c r="U449" s="124">
        <v>2013.0</v>
      </c>
      <c r="V449" s="123"/>
      <c r="W449" s="123" t="s">
        <v>4837</v>
      </c>
      <c r="X449" s="123"/>
    </row>
    <row r="450">
      <c r="A450" s="123" t="s">
        <v>87</v>
      </c>
      <c r="B450" s="123" t="s">
        <v>2354</v>
      </c>
      <c r="C450" s="123"/>
      <c r="D450" s="123" t="s">
        <v>4838</v>
      </c>
      <c r="E450" s="123" t="s">
        <v>3165</v>
      </c>
      <c r="F450" s="123" t="s">
        <v>3165</v>
      </c>
      <c r="G450" s="123" t="s">
        <v>214</v>
      </c>
      <c r="H450" s="123" t="s">
        <v>3184</v>
      </c>
      <c r="I450" s="123" t="s">
        <v>592</v>
      </c>
      <c r="J450" s="123" t="s">
        <v>3216</v>
      </c>
      <c r="K450" s="124">
        <v>1312.0</v>
      </c>
      <c r="L450" s="124">
        <v>23.1</v>
      </c>
      <c r="M450" s="123" t="s">
        <v>3658</v>
      </c>
      <c r="N450" s="124">
        <v>26.0004</v>
      </c>
      <c r="O450" s="124">
        <v>-80.9261</v>
      </c>
      <c r="P450" s="124">
        <v>3.04</v>
      </c>
      <c r="Q450" s="123"/>
      <c r="R450" s="125" t="s">
        <v>3170</v>
      </c>
      <c r="S450" s="123"/>
      <c r="T450" s="125" t="s">
        <v>3170</v>
      </c>
      <c r="U450" s="124">
        <v>2012.0</v>
      </c>
      <c r="V450" s="124">
        <v>2014.0</v>
      </c>
      <c r="W450" s="123"/>
      <c r="X450" s="123"/>
    </row>
    <row r="451">
      <c r="A451" s="123" t="s">
        <v>87</v>
      </c>
      <c r="B451" s="123" t="s">
        <v>4839</v>
      </c>
      <c r="C451" s="123"/>
      <c r="D451" s="123" t="s">
        <v>4840</v>
      </c>
      <c r="E451" s="123" t="s">
        <v>3165</v>
      </c>
      <c r="F451" s="123" t="s">
        <v>3165</v>
      </c>
      <c r="G451" s="123" t="s">
        <v>214</v>
      </c>
      <c r="H451" s="123" t="s">
        <v>3184</v>
      </c>
      <c r="I451" s="123" t="s">
        <v>108</v>
      </c>
      <c r="J451" s="123" t="s">
        <v>3796</v>
      </c>
      <c r="K451" s="124">
        <v>1262.0</v>
      </c>
      <c r="L451" s="124">
        <v>8.7</v>
      </c>
      <c r="M451" s="123" t="s">
        <v>3658</v>
      </c>
      <c r="N451" s="124">
        <v>42.7345</v>
      </c>
      <c r="O451" s="124">
        <v>-70.8382</v>
      </c>
      <c r="P451" s="124">
        <v>1.0</v>
      </c>
      <c r="Q451" s="123"/>
      <c r="R451" s="125" t="s">
        <v>3170</v>
      </c>
      <c r="S451" s="123"/>
      <c r="T451" s="125" t="s">
        <v>3170</v>
      </c>
      <c r="U451" s="124">
        <v>2015.0</v>
      </c>
      <c r="V451" s="123"/>
      <c r="W451" s="123"/>
      <c r="X451" s="123"/>
    </row>
    <row r="452">
      <c r="A452" s="123" t="s">
        <v>87</v>
      </c>
      <c r="B452" s="123" t="s">
        <v>4841</v>
      </c>
      <c r="C452" s="123"/>
      <c r="D452" s="123" t="s">
        <v>4842</v>
      </c>
      <c r="E452" s="123" t="s">
        <v>3165</v>
      </c>
      <c r="F452" s="123" t="s">
        <v>3165</v>
      </c>
      <c r="G452" s="123" t="s">
        <v>214</v>
      </c>
      <c r="H452" s="123" t="s">
        <v>3184</v>
      </c>
      <c r="I452" s="123" t="s">
        <v>108</v>
      </c>
      <c r="J452" s="123" t="s">
        <v>3796</v>
      </c>
      <c r="K452" s="124">
        <v>1262.0</v>
      </c>
      <c r="L452" s="124">
        <v>8.7</v>
      </c>
      <c r="M452" s="123" t="s">
        <v>3658</v>
      </c>
      <c r="N452" s="124">
        <v>42.7496</v>
      </c>
      <c r="O452" s="124">
        <v>-70.9157</v>
      </c>
      <c r="P452" s="124">
        <v>1.4</v>
      </c>
      <c r="Q452" s="123"/>
      <c r="R452" s="125" t="s">
        <v>3170</v>
      </c>
      <c r="S452" s="123"/>
      <c r="T452" s="125" t="s">
        <v>3170</v>
      </c>
      <c r="U452" s="124">
        <v>2022.0</v>
      </c>
      <c r="V452" s="123"/>
      <c r="W452" s="123"/>
      <c r="X452" s="123"/>
    </row>
    <row r="453">
      <c r="A453" s="123" t="s">
        <v>87</v>
      </c>
      <c r="B453" s="123" t="s">
        <v>4843</v>
      </c>
      <c r="C453" s="123"/>
      <c r="D453" s="123" t="s">
        <v>4844</v>
      </c>
      <c r="E453" s="123" t="s">
        <v>3164</v>
      </c>
      <c r="F453" s="123" t="s">
        <v>3164</v>
      </c>
      <c r="G453" s="123" t="s">
        <v>1085</v>
      </c>
      <c r="H453" s="123" t="s">
        <v>3588</v>
      </c>
      <c r="I453" s="123" t="s">
        <v>108</v>
      </c>
      <c r="J453" s="123" t="s">
        <v>3796</v>
      </c>
      <c r="K453" s="124">
        <v>875.0</v>
      </c>
      <c r="L453" s="124">
        <v>7.94</v>
      </c>
      <c r="M453" s="123" t="s">
        <v>3658</v>
      </c>
      <c r="N453" s="124">
        <v>43.0896</v>
      </c>
      <c r="O453" s="124">
        <v>-89.4158</v>
      </c>
      <c r="P453" s="124">
        <v>260.0</v>
      </c>
      <c r="Q453" s="123" t="s">
        <v>4215</v>
      </c>
      <c r="R453" s="125" t="s">
        <v>4845</v>
      </c>
      <c r="S453" s="123" t="s">
        <v>3784</v>
      </c>
      <c r="T453" s="125" t="s">
        <v>4846</v>
      </c>
      <c r="U453" s="124">
        <v>2016.0</v>
      </c>
      <c r="V453" s="123"/>
      <c r="W453" s="123" t="s">
        <v>4847</v>
      </c>
      <c r="X453" s="123"/>
    </row>
    <row r="454">
      <c r="A454" s="123" t="s">
        <v>87</v>
      </c>
      <c r="B454" s="123" t="s">
        <v>4848</v>
      </c>
      <c r="C454" s="123"/>
      <c r="D454" s="123" t="s">
        <v>4849</v>
      </c>
      <c r="E454" s="123" t="s">
        <v>3164</v>
      </c>
      <c r="F454" s="123" t="s">
        <v>3165</v>
      </c>
      <c r="G454" s="123" t="s">
        <v>86</v>
      </c>
      <c r="H454" s="123" t="s">
        <v>3088</v>
      </c>
      <c r="I454" s="123" t="s">
        <v>201</v>
      </c>
      <c r="J454" s="123" t="s">
        <v>3174</v>
      </c>
      <c r="K454" s="124">
        <v>866.34</v>
      </c>
      <c r="L454" s="124">
        <v>14.94</v>
      </c>
      <c r="M454" s="123" t="s">
        <v>3658</v>
      </c>
      <c r="N454" s="124">
        <v>36.7667</v>
      </c>
      <c r="O454" s="124">
        <v>-97.1333</v>
      </c>
      <c r="P454" s="124">
        <v>310.0</v>
      </c>
      <c r="Q454" s="123" t="s">
        <v>4850</v>
      </c>
      <c r="R454" s="125" t="s">
        <v>4851</v>
      </c>
      <c r="S454" s="123"/>
      <c r="T454" s="125" t="s">
        <v>3170</v>
      </c>
      <c r="U454" s="124">
        <v>1997.0</v>
      </c>
      <c r="V454" s="124">
        <v>2001.0</v>
      </c>
      <c r="W454" s="123" t="s">
        <v>3427</v>
      </c>
      <c r="X454" s="123"/>
    </row>
    <row r="455">
      <c r="A455" s="123" t="s">
        <v>87</v>
      </c>
      <c r="B455" s="123" t="s">
        <v>4852</v>
      </c>
      <c r="C455" s="123"/>
      <c r="D455" s="123" t="s">
        <v>4853</v>
      </c>
      <c r="E455" s="123" t="s">
        <v>3164</v>
      </c>
      <c r="F455" s="123" t="s">
        <v>3165</v>
      </c>
      <c r="G455" s="123" t="s">
        <v>197</v>
      </c>
      <c r="H455" s="123" t="s">
        <v>3094</v>
      </c>
      <c r="I455" s="123" t="s">
        <v>597</v>
      </c>
      <c r="J455" s="123" t="s">
        <v>4123</v>
      </c>
      <c r="K455" s="124">
        <v>275.0</v>
      </c>
      <c r="L455" s="124">
        <v>-2.0</v>
      </c>
      <c r="M455" s="123" t="s">
        <v>3658</v>
      </c>
      <c r="N455" s="124">
        <v>65.1237</v>
      </c>
      <c r="O455" s="124">
        <v>-147.4876</v>
      </c>
      <c r="P455" s="124">
        <v>210.0</v>
      </c>
      <c r="Q455" s="123" t="s">
        <v>4540</v>
      </c>
      <c r="R455" s="125" t="s">
        <v>4854</v>
      </c>
      <c r="S455" s="123"/>
      <c r="T455" s="125" t="s">
        <v>3170</v>
      </c>
      <c r="U455" s="124">
        <v>2011.0</v>
      </c>
      <c r="V455" s="123"/>
      <c r="W455" s="123" t="s">
        <v>4855</v>
      </c>
      <c r="X455" s="123"/>
    </row>
    <row r="456">
      <c r="A456" s="123" t="s">
        <v>87</v>
      </c>
      <c r="B456" s="123" t="s">
        <v>4856</v>
      </c>
      <c r="C456" s="123"/>
      <c r="D456" s="123" t="s">
        <v>4857</v>
      </c>
      <c r="E456" s="123" t="s">
        <v>3164</v>
      </c>
      <c r="F456" s="123" t="s">
        <v>3165</v>
      </c>
      <c r="G456" s="123" t="s">
        <v>370</v>
      </c>
      <c r="H456" s="123" t="s">
        <v>3091</v>
      </c>
      <c r="I456" s="123" t="s">
        <v>303</v>
      </c>
      <c r="J456" s="123" t="s">
        <v>3585</v>
      </c>
      <c r="K456" s="124">
        <v>191.0</v>
      </c>
      <c r="L456" s="124">
        <v>15.6</v>
      </c>
      <c r="M456" s="123" t="s">
        <v>3658</v>
      </c>
      <c r="N456" s="124">
        <v>36.2347</v>
      </c>
      <c r="O456" s="124">
        <v>-119.9247</v>
      </c>
      <c r="P456" s="124">
        <v>70.0</v>
      </c>
      <c r="Q456" s="123" t="s">
        <v>3676</v>
      </c>
      <c r="R456" s="125" t="s">
        <v>4858</v>
      </c>
      <c r="S456" s="123"/>
      <c r="T456" s="125" t="s">
        <v>3170</v>
      </c>
      <c r="U456" s="124">
        <v>2016.0</v>
      </c>
      <c r="V456" s="123"/>
      <c r="W456" s="123" t="s">
        <v>3745</v>
      </c>
      <c r="X456" s="123"/>
    </row>
    <row r="457">
      <c r="A457" s="123" t="s">
        <v>87</v>
      </c>
      <c r="B457" s="123" t="s">
        <v>4859</v>
      </c>
      <c r="C457" s="123"/>
      <c r="D457" s="123" t="s">
        <v>4860</v>
      </c>
      <c r="E457" s="123" t="s">
        <v>3164</v>
      </c>
      <c r="F457" s="123" t="s">
        <v>3165</v>
      </c>
      <c r="G457" s="123" t="s">
        <v>370</v>
      </c>
      <c r="H457" s="123" t="s">
        <v>3091</v>
      </c>
      <c r="I457" s="123" t="s">
        <v>303</v>
      </c>
      <c r="J457" s="123" t="s">
        <v>3585</v>
      </c>
      <c r="K457" s="124">
        <v>311.0</v>
      </c>
      <c r="L457" s="124">
        <v>16.7</v>
      </c>
      <c r="M457" s="123" t="s">
        <v>3658</v>
      </c>
      <c r="N457" s="124">
        <v>36.8276</v>
      </c>
      <c r="O457" s="124">
        <v>-120.1397</v>
      </c>
      <c r="P457" s="124">
        <v>65.0</v>
      </c>
      <c r="Q457" s="123" t="s">
        <v>3676</v>
      </c>
      <c r="R457" s="125" t="s">
        <v>4861</v>
      </c>
      <c r="S457" s="123"/>
      <c r="T457" s="125" t="s">
        <v>3170</v>
      </c>
      <c r="U457" s="124">
        <v>2016.0</v>
      </c>
      <c r="V457" s="123"/>
      <c r="W457" s="123" t="s">
        <v>3745</v>
      </c>
      <c r="X457" s="123"/>
    </row>
    <row r="458">
      <c r="A458" s="123" t="s">
        <v>87</v>
      </c>
      <c r="B458" s="123" t="s">
        <v>4862</v>
      </c>
      <c r="C458" s="123"/>
      <c r="D458" s="123" t="s">
        <v>4863</v>
      </c>
      <c r="E458" s="123" t="s">
        <v>3165</v>
      </c>
      <c r="F458" s="123" t="s">
        <v>3165</v>
      </c>
      <c r="G458" s="123" t="s">
        <v>86</v>
      </c>
      <c r="H458" s="123" t="s">
        <v>3088</v>
      </c>
      <c r="I458" s="123" t="s">
        <v>201</v>
      </c>
      <c r="J458" s="123" t="s">
        <v>3174</v>
      </c>
      <c r="K458" s="124">
        <v>1118.0</v>
      </c>
      <c r="L458" s="124">
        <v>20.7</v>
      </c>
      <c r="M458" s="123" t="s">
        <v>3658</v>
      </c>
      <c r="N458" s="124">
        <v>30.0958</v>
      </c>
      <c r="O458" s="124">
        <v>-95.9695</v>
      </c>
      <c r="P458" s="124">
        <v>86.5</v>
      </c>
      <c r="Q458" s="123"/>
      <c r="R458" s="125" t="s">
        <v>3170</v>
      </c>
      <c r="S458" s="123"/>
      <c r="T458" s="125" t="s">
        <v>3170</v>
      </c>
      <c r="U458" s="124">
        <v>2016.0</v>
      </c>
      <c r="V458" s="123"/>
      <c r="W458" s="123"/>
      <c r="X458" s="123"/>
    </row>
    <row r="459">
      <c r="A459" s="123" t="s">
        <v>87</v>
      </c>
      <c r="B459" s="123" t="s">
        <v>4864</v>
      </c>
      <c r="C459" s="123"/>
      <c r="D459" s="123" t="s">
        <v>4865</v>
      </c>
      <c r="E459" s="123" t="s">
        <v>3165</v>
      </c>
      <c r="F459" s="123" t="s">
        <v>3165</v>
      </c>
      <c r="G459" s="123" t="s">
        <v>505</v>
      </c>
      <c r="H459" s="123" t="s">
        <v>3100</v>
      </c>
      <c r="I459" s="123" t="s">
        <v>2409</v>
      </c>
      <c r="J459" s="123" t="s">
        <v>3589</v>
      </c>
      <c r="K459" s="124">
        <v>183.0</v>
      </c>
      <c r="L459" s="124">
        <v>24.2</v>
      </c>
      <c r="M459" s="123" t="s">
        <v>3658</v>
      </c>
      <c r="N459" s="124">
        <v>33.4839</v>
      </c>
      <c r="O459" s="124">
        <v>-112.1426</v>
      </c>
      <c r="P459" s="124">
        <v>332.0</v>
      </c>
      <c r="Q459" s="123"/>
      <c r="R459" s="125" t="s">
        <v>3170</v>
      </c>
      <c r="S459" s="123"/>
      <c r="T459" s="125" t="s">
        <v>3170</v>
      </c>
      <c r="U459" s="124">
        <v>2024.0</v>
      </c>
      <c r="V459" s="123"/>
      <c r="W459" s="123"/>
      <c r="X459" s="123"/>
    </row>
    <row r="460">
      <c r="A460" s="123" t="s">
        <v>87</v>
      </c>
      <c r="B460" s="123" t="s">
        <v>4866</v>
      </c>
      <c r="C460" s="123"/>
      <c r="D460" s="123" t="s">
        <v>4867</v>
      </c>
      <c r="E460" s="123" t="s">
        <v>3165</v>
      </c>
      <c r="F460" s="123" t="s">
        <v>3165</v>
      </c>
      <c r="G460" s="123" t="s">
        <v>288</v>
      </c>
      <c r="H460" s="123" t="s">
        <v>3095</v>
      </c>
      <c r="I460" s="123" t="s">
        <v>2409</v>
      </c>
      <c r="J460" s="123" t="s">
        <v>3589</v>
      </c>
      <c r="K460" s="124">
        <v>203.0</v>
      </c>
      <c r="L460" s="124">
        <v>24.2</v>
      </c>
      <c r="M460" s="123" t="s">
        <v>3658</v>
      </c>
      <c r="N460" s="124">
        <v>33.4785</v>
      </c>
      <c r="O460" s="124">
        <v>-112.098</v>
      </c>
      <c r="P460" s="124">
        <v>331.0</v>
      </c>
      <c r="Q460" s="123"/>
      <c r="R460" s="125" t="s">
        <v>3170</v>
      </c>
      <c r="S460" s="123"/>
      <c r="T460" s="125" t="s">
        <v>3170</v>
      </c>
      <c r="U460" s="124">
        <v>2024.0</v>
      </c>
      <c r="V460" s="123"/>
      <c r="W460" s="123"/>
      <c r="X460" s="123"/>
    </row>
    <row r="461">
      <c r="A461" s="123" t="s">
        <v>87</v>
      </c>
      <c r="B461" s="123" t="s">
        <v>4868</v>
      </c>
      <c r="C461" s="123"/>
      <c r="D461" s="123" t="s">
        <v>4869</v>
      </c>
      <c r="E461" s="123" t="s">
        <v>3165</v>
      </c>
      <c r="F461" s="123" t="s">
        <v>3165</v>
      </c>
      <c r="G461" s="123" t="s">
        <v>664</v>
      </c>
      <c r="H461" s="123" t="s">
        <v>3087</v>
      </c>
      <c r="I461" s="123" t="s">
        <v>2409</v>
      </c>
      <c r="J461" s="123" t="s">
        <v>3589</v>
      </c>
      <c r="K461" s="124">
        <v>172.0</v>
      </c>
      <c r="L461" s="124">
        <v>24.0</v>
      </c>
      <c r="M461" s="123" t="s">
        <v>3658</v>
      </c>
      <c r="N461" s="124">
        <v>33.4582</v>
      </c>
      <c r="O461" s="124">
        <v>-111.9428</v>
      </c>
      <c r="P461" s="124">
        <v>396.0</v>
      </c>
      <c r="Q461" s="123"/>
      <c r="R461" s="125" t="s">
        <v>3170</v>
      </c>
      <c r="S461" s="123"/>
      <c r="T461" s="125" t="s">
        <v>3170</v>
      </c>
      <c r="U461" s="124">
        <v>2024.0</v>
      </c>
      <c r="V461" s="123"/>
      <c r="W461" s="123"/>
      <c r="X461" s="123"/>
    </row>
    <row r="462">
      <c r="A462" s="123" t="s">
        <v>87</v>
      </c>
      <c r="B462" s="123" t="s">
        <v>4870</v>
      </c>
      <c r="C462" s="123"/>
      <c r="D462" s="123" t="s">
        <v>4871</v>
      </c>
      <c r="E462" s="123" t="s">
        <v>3164</v>
      </c>
      <c r="F462" s="123" t="s">
        <v>3165</v>
      </c>
      <c r="G462" s="123" t="s">
        <v>86</v>
      </c>
      <c r="H462" s="123" t="s">
        <v>3088</v>
      </c>
      <c r="I462" s="123" t="s">
        <v>321</v>
      </c>
      <c r="J462" s="123" t="s">
        <v>3905</v>
      </c>
      <c r="K462" s="124">
        <v>550.0</v>
      </c>
      <c r="L462" s="124">
        <v>9.0</v>
      </c>
      <c r="M462" s="123" t="s">
        <v>3658</v>
      </c>
      <c r="N462" s="124">
        <v>46.7837</v>
      </c>
      <c r="O462" s="124">
        <v>-117.0777</v>
      </c>
      <c r="P462" s="124">
        <v>807.0</v>
      </c>
      <c r="Q462" s="123" t="s">
        <v>4754</v>
      </c>
      <c r="R462" s="125" t="s">
        <v>4872</v>
      </c>
      <c r="S462" s="123"/>
      <c r="T462" s="125" t="s">
        <v>3170</v>
      </c>
      <c r="U462" s="124">
        <v>2011.0</v>
      </c>
      <c r="V462" s="124">
        <v>2016.0</v>
      </c>
      <c r="W462" s="123" t="s">
        <v>4873</v>
      </c>
      <c r="X462" s="123"/>
    </row>
    <row r="463">
      <c r="A463" s="123" t="s">
        <v>87</v>
      </c>
      <c r="B463" s="123" t="s">
        <v>4874</v>
      </c>
      <c r="C463" s="123"/>
      <c r="D463" s="123" t="s">
        <v>4875</v>
      </c>
      <c r="E463" s="123" t="s">
        <v>3164</v>
      </c>
      <c r="F463" s="123" t="s">
        <v>3165</v>
      </c>
      <c r="G463" s="123" t="s">
        <v>86</v>
      </c>
      <c r="H463" s="123" t="s">
        <v>3088</v>
      </c>
      <c r="I463" s="123" t="s">
        <v>321</v>
      </c>
      <c r="J463" s="123" t="s">
        <v>3905</v>
      </c>
      <c r="K463" s="124">
        <v>550.0</v>
      </c>
      <c r="L463" s="124">
        <v>9.0</v>
      </c>
      <c r="M463" s="123" t="s">
        <v>3658</v>
      </c>
      <c r="N463" s="124">
        <v>46.7776</v>
      </c>
      <c r="O463" s="124">
        <v>-117.0807</v>
      </c>
      <c r="P463" s="124">
        <v>799.0</v>
      </c>
      <c r="Q463" s="123" t="s">
        <v>3398</v>
      </c>
      <c r="R463" s="125" t="s">
        <v>4876</v>
      </c>
      <c r="S463" s="123"/>
      <c r="T463" s="125" t="s">
        <v>3170</v>
      </c>
      <c r="U463" s="124">
        <v>2012.0</v>
      </c>
      <c r="V463" s="124">
        <v>2016.0</v>
      </c>
      <c r="W463" s="123" t="s">
        <v>4873</v>
      </c>
      <c r="X463" s="123"/>
    </row>
    <row r="464">
      <c r="A464" s="123" t="s">
        <v>87</v>
      </c>
      <c r="B464" s="123" t="s">
        <v>4877</v>
      </c>
      <c r="C464" s="123"/>
      <c r="D464" s="123" t="s">
        <v>4878</v>
      </c>
      <c r="E464" s="123" t="s">
        <v>3164</v>
      </c>
      <c r="F464" s="123" t="s">
        <v>3165</v>
      </c>
      <c r="G464" s="123" t="s">
        <v>86</v>
      </c>
      <c r="H464" s="123" t="s">
        <v>3088</v>
      </c>
      <c r="I464" s="123" t="s">
        <v>321</v>
      </c>
      <c r="J464" s="123" t="s">
        <v>3905</v>
      </c>
      <c r="K464" s="124">
        <v>280.0</v>
      </c>
      <c r="L464" s="124">
        <v>10.0</v>
      </c>
      <c r="M464" s="123" t="s">
        <v>3658</v>
      </c>
      <c r="N464" s="124">
        <v>46.991</v>
      </c>
      <c r="O464" s="124">
        <v>-118.598</v>
      </c>
      <c r="P464" s="123"/>
      <c r="Q464" s="123" t="s">
        <v>4754</v>
      </c>
      <c r="R464" s="125" t="s">
        <v>4879</v>
      </c>
      <c r="S464" s="123"/>
      <c r="T464" s="125" t="s">
        <v>3170</v>
      </c>
      <c r="U464" s="124">
        <v>2011.0</v>
      </c>
      <c r="V464" s="124">
        <v>2016.0</v>
      </c>
      <c r="W464" s="123" t="s">
        <v>4873</v>
      </c>
      <c r="X464" s="123"/>
    </row>
    <row r="465">
      <c r="A465" s="123" t="s">
        <v>87</v>
      </c>
      <c r="B465" s="123" t="s">
        <v>4880</v>
      </c>
      <c r="C465" s="123"/>
      <c r="D465" s="123" t="s">
        <v>4881</v>
      </c>
      <c r="E465" s="123" t="s">
        <v>3164</v>
      </c>
      <c r="F465" s="123" t="s">
        <v>3165</v>
      </c>
      <c r="G465" s="123" t="s">
        <v>86</v>
      </c>
      <c r="H465" s="123" t="s">
        <v>3088</v>
      </c>
      <c r="I465" s="123" t="s">
        <v>321</v>
      </c>
      <c r="J465" s="123" t="s">
        <v>3905</v>
      </c>
      <c r="K465" s="124">
        <v>680.0</v>
      </c>
      <c r="L465" s="124">
        <v>9.0</v>
      </c>
      <c r="M465" s="123" t="s">
        <v>3658</v>
      </c>
      <c r="N465" s="124">
        <v>46.758</v>
      </c>
      <c r="O465" s="124">
        <v>-116.949</v>
      </c>
      <c r="P465" s="124">
        <v>817.0</v>
      </c>
      <c r="Q465" s="123" t="s">
        <v>3398</v>
      </c>
      <c r="R465" s="125" t="s">
        <v>4882</v>
      </c>
      <c r="S465" s="123"/>
      <c r="T465" s="125" t="s">
        <v>3170</v>
      </c>
      <c r="U465" s="124">
        <v>2012.0</v>
      </c>
      <c r="V465" s="124">
        <v>2016.0</v>
      </c>
      <c r="W465" s="123" t="s">
        <v>4873</v>
      </c>
      <c r="X465" s="123"/>
    </row>
    <row r="466">
      <c r="A466" s="123" t="s">
        <v>87</v>
      </c>
      <c r="B466" s="123" t="s">
        <v>4883</v>
      </c>
      <c r="C466" s="123"/>
      <c r="D466" s="123" t="s">
        <v>4884</v>
      </c>
      <c r="E466" s="123" t="s">
        <v>3164</v>
      </c>
      <c r="F466" s="123" t="s">
        <v>3165</v>
      </c>
      <c r="G466" s="123" t="s">
        <v>86</v>
      </c>
      <c r="H466" s="123" t="s">
        <v>3088</v>
      </c>
      <c r="I466" s="123" t="s">
        <v>321</v>
      </c>
      <c r="J466" s="123" t="s">
        <v>3905</v>
      </c>
      <c r="K466" s="124">
        <v>230.0</v>
      </c>
      <c r="L466" s="124">
        <v>11.0</v>
      </c>
      <c r="M466" s="123" t="s">
        <v>3658</v>
      </c>
      <c r="N466" s="124">
        <v>47.01</v>
      </c>
      <c r="O466" s="124">
        <v>-119.248</v>
      </c>
      <c r="P466" s="124">
        <v>349.0</v>
      </c>
      <c r="Q466" s="123" t="s">
        <v>4885</v>
      </c>
      <c r="R466" s="125" t="s">
        <v>4886</v>
      </c>
      <c r="S466" s="123"/>
      <c r="T466" s="125" t="s">
        <v>3170</v>
      </c>
      <c r="U466" s="124">
        <v>2013.0</v>
      </c>
      <c r="V466" s="124">
        <v>2015.0</v>
      </c>
      <c r="W466" s="123" t="s">
        <v>4873</v>
      </c>
      <c r="X466" s="123"/>
    </row>
    <row r="467">
      <c r="A467" s="123" t="s">
        <v>87</v>
      </c>
      <c r="B467" s="123" t="s">
        <v>4887</v>
      </c>
      <c r="C467" s="123"/>
      <c r="D467" s="123" t="s">
        <v>4888</v>
      </c>
      <c r="E467" s="123" t="s">
        <v>3165</v>
      </c>
      <c r="F467" s="123" t="s">
        <v>3165</v>
      </c>
      <c r="G467" s="123" t="s">
        <v>288</v>
      </c>
      <c r="H467" s="123" t="s">
        <v>3095</v>
      </c>
      <c r="I467" s="123" t="s">
        <v>303</v>
      </c>
      <c r="J467" s="123" t="s">
        <v>3585</v>
      </c>
      <c r="K467" s="124">
        <v>468.0</v>
      </c>
      <c r="L467" s="124">
        <v>10.2</v>
      </c>
      <c r="M467" s="123" t="s">
        <v>3658</v>
      </c>
      <c r="N467" s="124">
        <v>39.8771</v>
      </c>
      <c r="O467" s="124">
        <v>-105.169</v>
      </c>
      <c r="P467" s="124">
        <v>1725.0</v>
      </c>
      <c r="Q467" s="123"/>
      <c r="R467" s="125" t="s">
        <v>3170</v>
      </c>
      <c r="S467" s="123"/>
      <c r="T467" s="125" t="s">
        <v>3170</v>
      </c>
      <c r="U467" s="124">
        <v>2012.0</v>
      </c>
      <c r="V467" s="123"/>
      <c r="W467" s="123"/>
      <c r="X467" s="123"/>
    </row>
    <row r="468">
      <c r="A468" s="123" t="s">
        <v>87</v>
      </c>
      <c r="B468" s="123" t="s">
        <v>4889</v>
      </c>
      <c r="C468" s="123"/>
      <c r="D468" s="123" t="s">
        <v>4890</v>
      </c>
      <c r="E468" s="123" t="s">
        <v>3165</v>
      </c>
      <c r="F468" s="123" t="s">
        <v>3165</v>
      </c>
      <c r="G468" s="123" t="s">
        <v>288</v>
      </c>
      <c r="H468" s="123" t="s">
        <v>3095</v>
      </c>
      <c r="I468" s="123" t="s">
        <v>303</v>
      </c>
      <c r="J468" s="123" t="s">
        <v>3585</v>
      </c>
      <c r="K468" s="124">
        <v>468.0</v>
      </c>
      <c r="L468" s="124">
        <v>10.2</v>
      </c>
      <c r="M468" s="123" t="s">
        <v>3658</v>
      </c>
      <c r="N468" s="124">
        <v>39.8751</v>
      </c>
      <c r="O468" s="124">
        <v>-105.2184</v>
      </c>
      <c r="P468" s="124">
        <v>1864.0</v>
      </c>
      <c r="Q468" s="123"/>
      <c r="R468" s="125" t="s">
        <v>3170</v>
      </c>
      <c r="S468" s="123"/>
      <c r="T468" s="125" t="s">
        <v>3170</v>
      </c>
      <c r="U468" s="124">
        <v>2010.0</v>
      </c>
      <c r="V468" s="124">
        <v>2017.0</v>
      </c>
      <c r="W468" s="123"/>
      <c r="X468" s="123"/>
    </row>
    <row r="469">
      <c r="A469" s="123" t="s">
        <v>87</v>
      </c>
      <c r="B469" s="123" t="s">
        <v>4891</v>
      </c>
      <c r="C469" s="123"/>
      <c r="D469" s="123" t="s">
        <v>4892</v>
      </c>
      <c r="E469" s="123" t="s">
        <v>3164</v>
      </c>
      <c r="F469" s="123" t="s">
        <v>3164</v>
      </c>
      <c r="G469" s="123" t="s">
        <v>86</v>
      </c>
      <c r="H469" s="123" t="s">
        <v>3088</v>
      </c>
      <c r="I469" s="123" t="s">
        <v>175</v>
      </c>
      <c r="J469" s="123" t="s">
        <v>3366</v>
      </c>
      <c r="K469" s="124">
        <v>1250.0</v>
      </c>
      <c r="L469" s="124">
        <v>16.7</v>
      </c>
      <c r="M469" s="123" t="s">
        <v>3658</v>
      </c>
      <c r="N469" s="124">
        <v>34.4159</v>
      </c>
      <c r="O469" s="124">
        <v>-91.6733</v>
      </c>
      <c r="P469" s="124">
        <v>61.0</v>
      </c>
      <c r="Q469" s="123" t="s">
        <v>3331</v>
      </c>
      <c r="R469" s="125" t="s">
        <v>4893</v>
      </c>
      <c r="S469" s="124">
        <v>2021.0</v>
      </c>
      <c r="T469" s="125" t="s">
        <v>4894</v>
      </c>
      <c r="U469" s="124">
        <v>2021.0</v>
      </c>
      <c r="V469" s="123"/>
      <c r="W469" s="123" t="s">
        <v>4895</v>
      </c>
      <c r="X469" s="123"/>
    </row>
    <row r="470">
      <c r="A470" s="123" t="s">
        <v>87</v>
      </c>
      <c r="B470" s="123" t="s">
        <v>4896</v>
      </c>
      <c r="C470" s="123"/>
      <c r="D470" s="123" t="s">
        <v>4897</v>
      </c>
      <c r="E470" s="123" t="s">
        <v>3164</v>
      </c>
      <c r="F470" s="123" t="s">
        <v>3164</v>
      </c>
      <c r="G470" s="123" t="s">
        <v>86</v>
      </c>
      <c r="H470" s="123" t="s">
        <v>3088</v>
      </c>
      <c r="I470" s="123" t="s">
        <v>175</v>
      </c>
      <c r="J470" s="123" t="s">
        <v>3366</v>
      </c>
      <c r="K470" s="124">
        <v>737.0</v>
      </c>
      <c r="L470" s="124">
        <v>16.0</v>
      </c>
      <c r="M470" s="123" t="s">
        <v>3658</v>
      </c>
      <c r="N470" s="124">
        <v>39.5782</v>
      </c>
      <c r="O470" s="124">
        <v>-121.8579</v>
      </c>
      <c r="P470" s="124">
        <v>33.0</v>
      </c>
      <c r="Q470" s="123" t="s">
        <v>3331</v>
      </c>
      <c r="R470" s="125" t="s">
        <v>4898</v>
      </c>
      <c r="S470" s="124">
        <v>2021.0</v>
      </c>
      <c r="T470" s="125" t="s">
        <v>4899</v>
      </c>
      <c r="U470" s="124">
        <v>2021.0</v>
      </c>
      <c r="V470" s="123"/>
      <c r="W470" s="123" t="s">
        <v>4895</v>
      </c>
      <c r="X470" s="123"/>
    </row>
    <row r="471">
      <c r="A471" s="123" t="s">
        <v>87</v>
      </c>
      <c r="B471" s="123" t="s">
        <v>4900</v>
      </c>
      <c r="C471" s="123"/>
      <c r="D471" s="123" t="s">
        <v>4901</v>
      </c>
      <c r="E471" s="123" t="s">
        <v>3164</v>
      </c>
      <c r="F471" s="123" t="s">
        <v>3165</v>
      </c>
      <c r="G471" s="123" t="s">
        <v>86</v>
      </c>
      <c r="H471" s="123" t="s">
        <v>3088</v>
      </c>
      <c r="I471" s="123" t="s">
        <v>175</v>
      </c>
      <c r="J471" s="123" t="s">
        <v>3366</v>
      </c>
      <c r="K471" s="124">
        <v>31.0</v>
      </c>
      <c r="L471" s="124">
        <v>17.2</v>
      </c>
      <c r="M471" s="123" t="s">
        <v>3658</v>
      </c>
      <c r="N471" s="124">
        <v>37.6995</v>
      </c>
      <c r="O471" s="124">
        <v>-121.1369</v>
      </c>
      <c r="P471" s="124">
        <v>16.0</v>
      </c>
      <c r="Q471" s="123" t="s">
        <v>4081</v>
      </c>
      <c r="R471" s="125" t="s">
        <v>4902</v>
      </c>
      <c r="S471" s="123"/>
      <c r="T471" s="125" t="s">
        <v>3170</v>
      </c>
      <c r="U471" s="124">
        <v>2023.0</v>
      </c>
      <c r="V471" s="123"/>
      <c r="W471" s="123" t="s">
        <v>4895</v>
      </c>
      <c r="X471" s="123"/>
    </row>
    <row r="472">
      <c r="A472" s="123" t="s">
        <v>87</v>
      </c>
      <c r="B472" s="123" t="s">
        <v>4903</v>
      </c>
      <c r="C472" s="123"/>
      <c r="D472" s="123" t="s">
        <v>4904</v>
      </c>
      <c r="E472" s="123" t="s">
        <v>3165</v>
      </c>
      <c r="F472" s="123" t="s">
        <v>3165</v>
      </c>
      <c r="G472" s="123" t="s">
        <v>86</v>
      </c>
      <c r="H472" s="123" t="s">
        <v>3088</v>
      </c>
      <c r="I472" s="123" t="s">
        <v>175</v>
      </c>
      <c r="J472" s="123" t="s">
        <v>3366</v>
      </c>
      <c r="K472" s="124">
        <v>610.0</v>
      </c>
      <c r="L472" s="124">
        <v>16.0</v>
      </c>
      <c r="M472" s="123" t="s">
        <v>3658</v>
      </c>
      <c r="N472" s="124">
        <v>39.5944</v>
      </c>
      <c r="O472" s="124">
        <v>-122.0253</v>
      </c>
      <c r="P472" s="124">
        <v>36.0</v>
      </c>
      <c r="Q472" s="123"/>
      <c r="R472" s="125" t="s">
        <v>3170</v>
      </c>
      <c r="S472" s="123"/>
      <c r="T472" s="125" t="s">
        <v>3170</v>
      </c>
      <c r="U472" s="124">
        <v>2020.0</v>
      </c>
      <c r="V472" s="124">
        <v>2021.0</v>
      </c>
      <c r="W472" s="123"/>
      <c r="X472" s="123"/>
    </row>
    <row r="473">
      <c r="A473" s="123" t="s">
        <v>87</v>
      </c>
      <c r="B473" s="123" t="s">
        <v>4905</v>
      </c>
      <c r="C473" s="123"/>
      <c r="D473" s="123" t="s">
        <v>4906</v>
      </c>
      <c r="E473" s="123" t="s">
        <v>3164</v>
      </c>
      <c r="F473" s="123" t="s">
        <v>3164</v>
      </c>
      <c r="G473" s="123" t="s">
        <v>86</v>
      </c>
      <c r="H473" s="123" t="s">
        <v>3088</v>
      </c>
      <c r="I473" s="123" t="s">
        <v>175</v>
      </c>
      <c r="J473" s="123" t="s">
        <v>3366</v>
      </c>
      <c r="K473" s="124">
        <v>610.0</v>
      </c>
      <c r="L473" s="124">
        <v>16.0</v>
      </c>
      <c r="M473" s="123" t="s">
        <v>3658</v>
      </c>
      <c r="N473" s="124">
        <v>39.6805</v>
      </c>
      <c r="O473" s="124">
        <v>-122.0026</v>
      </c>
      <c r="P473" s="124">
        <v>40.0</v>
      </c>
      <c r="Q473" s="123" t="s">
        <v>3331</v>
      </c>
      <c r="R473" s="125" t="s">
        <v>4907</v>
      </c>
      <c r="S473" s="124">
        <v>2021.0</v>
      </c>
      <c r="T473" s="125" t="s">
        <v>4908</v>
      </c>
      <c r="U473" s="124">
        <v>2021.0</v>
      </c>
      <c r="V473" s="123"/>
      <c r="W473" s="123" t="s">
        <v>4895</v>
      </c>
      <c r="X473" s="123"/>
    </row>
    <row r="474">
      <c r="A474" s="123" t="s">
        <v>87</v>
      </c>
      <c r="B474" s="123" t="s">
        <v>4909</v>
      </c>
      <c r="C474" s="123"/>
      <c r="D474" s="123" t="s">
        <v>4910</v>
      </c>
      <c r="E474" s="123" t="s">
        <v>3164</v>
      </c>
      <c r="F474" s="123" t="s">
        <v>3165</v>
      </c>
      <c r="G474" s="123" t="s">
        <v>86</v>
      </c>
      <c r="H474" s="123" t="s">
        <v>3088</v>
      </c>
      <c r="I474" s="123" t="s">
        <v>175</v>
      </c>
      <c r="J474" s="123" t="s">
        <v>3366</v>
      </c>
      <c r="K474" s="124">
        <v>1283.0</v>
      </c>
      <c r="L474" s="124">
        <v>16.7</v>
      </c>
      <c r="M474" s="123" t="s">
        <v>3658</v>
      </c>
      <c r="N474" s="124">
        <v>33.6216</v>
      </c>
      <c r="O474" s="124">
        <v>-91.4306</v>
      </c>
      <c r="P474" s="124">
        <v>41.0</v>
      </c>
      <c r="Q474" s="123" t="s">
        <v>3858</v>
      </c>
      <c r="R474" s="125" t="s">
        <v>4911</v>
      </c>
      <c r="S474" s="123"/>
      <c r="T474" s="125" t="s">
        <v>3170</v>
      </c>
      <c r="U474" s="124">
        <v>2022.0</v>
      </c>
      <c r="V474" s="123"/>
      <c r="W474" s="123" t="s">
        <v>4895</v>
      </c>
      <c r="X474" s="123"/>
    </row>
    <row r="475">
      <c r="A475" s="123" t="s">
        <v>87</v>
      </c>
      <c r="B475" s="123" t="s">
        <v>4912</v>
      </c>
      <c r="C475" s="123"/>
      <c r="D475" s="123" t="s">
        <v>4913</v>
      </c>
      <c r="E475" s="123" t="s">
        <v>3164</v>
      </c>
      <c r="F475" s="123" t="s">
        <v>3164</v>
      </c>
      <c r="G475" s="123" t="s">
        <v>291</v>
      </c>
      <c r="H475" s="123" t="s">
        <v>3089</v>
      </c>
      <c r="I475" s="123" t="s">
        <v>2407</v>
      </c>
      <c r="J475" s="123" t="s">
        <v>3208</v>
      </c>
      <c r="K475" s="124">
        <v>333.0</v>
      </c>
      <c r="L475" s="124">
        <v>8.4</v>
      </c>
      <c r="M475" s="123" t="s">
        <v>3658</v>
      </c>
      <c r="N475" s="124">
        <v>43.1439</v>
      </c>
      <c r="O475" s="124">
        <v>-116.7356</v>
      </c>
      <c r="P475" s="124">
        <v>1608.0</v>
      </c>
      <c r="Q475" s="123" t="s">
        <v>3546</v>
      </c>
      <c r="R475" s="125" t="s">
        <v>4914</v>
      </c>
      <c r="S475" s="123" t="s">
        <v>3659</v>
      </c>
      <c r="T475" s="125" t="s">
        <v>4915</v>
      </c>
      <c r="U475" s="124">
        <v>2014.0</v>
      </c>
      <c r="V475" s="123"/>
      <c r="W475" s="123" t="s">
        <v>4916</v>
      </c>
      <c r="X475" s="123"/>
    </row>
    <row r="476">
      <c r="A476" s="123" t="s">
        <v>87</v>
      </c>
      <c r="B476" s="123" t="s">
        <v>4917</v>
      </c>
      <c r="C476" s="123"/>
      <c r="D476" s="123" t="s">
        <v>4918</v>
      </c>
      <c r="E476" s="123" t="s">
        <v>3164</v>
      </c>
      <c r="F476" s="123" t="s">
        <v>3164</v>
      </c>
      <c r="G476" s="123" t="s">
        <v>291</v>
      </c>
      <c r="H476" s="123" t="s">
        <v>3089</v>
      </c>
      <c r="I476" s="123" t="s">
        <v>2407</v>
      </c>
      <c r="J476" s="123" t="s">
        <v>3208</v>
      </c>
      <c r="K476" s="124">
        <v>800.0</v>
      </c>
      <c r="L476" s="124">
        <v>5.4</v>
      </c>
      <c r="M476" s="123" t="s">
        <v>3658</v>
      </c>
      <c r="N476" s="124">
        <v>43.0645</v>
      </c>
      <c r="O476" s="124">
        <v>-116.7486</v>
      </c>
      <c r="P476" s="124">
        <v>2111.0</v>
      </c>
      <c r="Q476" s="123" t="s">
        <v>3546</v>
      </c>
      <c r="R476" s="125" t="s">
        <v>4919</v>
      </c>
      <c r="S476" s="123" t="s">
        <v>3318</v>
      </c>
      <c r="T476" s="125" t="s">
        <v>4920</v>
      </c>
      <c r="U476" s="124">
        <v>2014.0</v>
      </c>
      <c r="V476" s="123"/>
      <c r="W476" s="123" t="s">
        <v>4916</v>
      </c>
      <c r="X476" s="123"/>
    </row>
    <row r="477">
      <c r="A477" s="123" t="s">
        <v>87</v>
      </c>
      <c r="B477" s="123" t="s">
        <v>4921</v>
      </c>
      <c r="C477" s="123"/>
      <c r="D477" s="123" t="s">
        <v>4922</v>
      </c>
      <c r="E477" s="123" t="s">
        <v>3164</v>
      </c>
      <c r="F477" s="123" t="s">
        <v>3164</v>
      </c>
      <c r="G477" s="123" t="s">
        <v>86</v>
      </c>
      <c r="H477" s="123" t="s">
        <v>3088</v>
      </c>
      <c r="I477" s="123" t="s">
        <v>108</v>
      </c>
      <c r="J477" s="123" t="s">
        <v>3796</v>
      </c>
      <c r="K477" s="124">
        <v>879.0</v>
      </c>
      <c r="L477" s="124">
        <v>6.4</v>
      </c>
      <c r="M477" s="123" t="s">
        <v>3658</v>
      </c>
      <c r="N477" s="124">
        <v>44.7143</v>
      </c>
      <c r="O477" s="124">
        <v>-93.0898</v>
      </c>
      <c r="P477" s="124">
        <v>290.0</v>
      </c>
      <c r="Q477" s="123" t="s">
        <v>4923</v>
      </c>
      <c r="R477" s="125" t="s">
        <v>4924</v>
      </c>
      <c r="S477" s="123" t="s">
        <v>4923</v>
      </c>
      <c r="T477" s="125" t="s">
        <v>4925</v>
      </c>
      <c r="U477" s="124">
        <v>2003.0</v>
      </c>
      <c r="V477" s="124">
        <v>2017.0</v>
      </c>
      <c r="W477" s="123" t="s">
        <v>4926</v>
      </c>
      <c r="X477" s="123"/>
    </row>
    <row r="478">
      <c r="A478" s="123" t="s">
        <v>87</v>
      </c>
      <c r="B478" s="123" t="s">
        <v>4927</v>
      </c>
      <c r="C478" s="123"/>
      <c r="D478" s="123" t="s">
        <v>4928</v>
      </c>
      <c r="E478" s="123" t="s">
        <v>3164</v>
      </c>
      <c r="F478" s="123" t="s">
        <v>3164</v>
      </c>
      <c r="G478" s="123" t="s">
        <v>86</v>
      </c>
      <c r="H478" s="123" t="s">
        <v>3088</v>
      </c>
      <c r="I478" s="123" t="s">
        <v>108</v>
      </c>
      <c r="J478" s="123" t="s">
        <v>3796</v>
      </c>
      <c r="K478" s="124">
        <v>879.0</v>
      </c>
      <c r="L478" s="124">
        <v>6.4</v>
      </c>
      <c r="M478" s="123" t="s">
        <v>3658</v>
      </c>
      <c r="N478" s="124">
        <v>44.7288</v>
      </c>
      <c r="O478" s="124">
        <v>-93.0888</v>
      </c>
      <c r="P478" s="124">
        <v>292.0</v>
      </c>
      <c r="Q478" s="123" t="s">
        <v>4013</v>
      </c>
      <c r="R478" s="125" t="s">
        <v>4929</v>
      </c>
      <c r="S478" s="123" t="s">
        <v>4013</v>
      </c>
      <c r="T478" s="125" t="s">
        <v>4930</v>
      </c>
      <c r="U478" s="124">
        <v>2003.0</v>
      </c>
      <c r="V478" s="124">
        <v>2017.0</v>
      </c>
      <c r="W478" s="123" t="s">
        <v>4931</v>
      </c>
      <c r="X478" s="123"/>
    </row>
    <row r="479">
      <c r="A479" s="123" t="s">
        <v>87</v>
      </c>
      <c r="B479" s="123" t="s">
        <v>4932</v>
      </c>
      <c r="C479" s="123"/>
      <c r="D479" s="123" t="s">
        <v>4933</v>
      </c>
      <c r="E479" s="123" t="s">
        <v>3164</v>
      </c>
      <c r="F479" s="123" t="s">
        <v>3165</v>
      </c>
      <c r="G479" s="123" t="s">
        <v>86</v>
      </c>
      <c r="H479" s="123" t="s">
        <v>3088</v>
      </c>
      <c r="I479" s="123" t="s">
        <v>108</v>
      </c>
      <c r="J479" s="123" t="s">
        <v>3796</v>
      </c>
      <c r="K479" s="124">
        <v>879.0</v>
      </c>
      <c r="L479" s="124">
        <v>6.4</v>
      </c>
      <c r="M479" s="123" t="s">
        <v>3658</v>
      </c>
      <c r="N479" s="124">
        <v>44.7217</v>
      </c>
      <c r="O479" s="124">
        <v>-93.0893</v>
      </c>
      <c r="P479" s="124">
        <v>260.0</v>
      </c>
      <c r="Q479" s="123" t="s">
        <v>4934</v>
      </c>
      <c r="R479" s="125" t="s">
        <v>4935</v>
      </c>
      <c r="S479" s="123"/>
      <c r="T479" s="125" t="s">
        <v>3170</v>
      </c>
      <c r="U479" s="124">
        <v>2003.0</v>
      </c>
      <c r="V479" s="124">
        <v>2010.0</v>
      </c>
      <c r="W479" s="123" t="s">
        <v>4936</v>
      </c>
      <c r="X479" s="123"/>
    </row>
    <row r="480">
      <c r="A480" s="123" t="s">
        <v>87</v>
      </c>
      <c r="B480" s="123" t="s">
        <v>4937</v>
      </c>
      <c r="C480" s="123"/>
      <c r="D480" s="123" t="s">
        <v>4938</v>
      </c>
      <c r="E480" s="123" t="s">
        <v>3164</v>
      </c>
      <c r="F480" s="123" t="s">
        <v>3164</v>
      </c>
      <c r="G480" s="123" t="s">
        <v>288</v>
      </c>
      <c r="H480" s="123" t="s">
        <v>3095</v>
      </c>
      <c r="I480" s="123" t="s">
        <v>108</v>
      </c>
      <c r="J480" s="123" t="s">
        <v>3796</v>
      </c>
      <c r="K480" s="124">
        <v>879.0</v>
      </c>
      <c r="L480" s="124">
        <v>6.4</v>
      </c>
      <c r="M480" s="123" t="s">
        <v>3658</v>
      </c>
      <c r="N480" s="124">
        <v>44.6781</v>
      </c>
      <c r="O480" s="124">
        <v>-93.0723</v>
      </c>
      <c r="P480" s="124">
        <v>274.0</v>
      </c>
      <c r="Q480" s="123" t="s">
        <v>4939</v>
      </c>
      <c r="R480" s="125" t="s">
        <v>4940</v>
      </c>
      <c r="S480" s="123" t="s">
        <v>3659</v>
      </c>
      <c r="T480" s="125" t="s">
        <v>4941</v>
      </c>
      <c r="U480" s="124">
        <v>2014.0</v>
      </c>
      <c r="V480" s="123"/>
      <c r="W480" s="123" t="s">
        <v>4926</v>
      </c>
      <c r="X480" s="123"/>
    </row>
    <row r="481">
      <c r="A481" s="123" t="s">
        <v>87</v>
      </c>
      <c r="B481" s="123" t="s">
        <v>4942</v>
      </c>
      <c r="C481" s="123"/>
      <c r="D481" s="123" t="s">
        <v>4943</v>
      </c>
      <c r="E481" s="123" t="s">
        <v>3164</v>
      </c>
      <c r="F481" s="123" t="s">
        <v>3164</v>
      </c>
      <c r="G481" s="123" t="s">
        <v>86</v>
      </c>
      <c r="H481" s="123" t="s">
        <v>3088</v>
      </c>
      <c r="I481" s="123" t="s">
        <v>108</v>
      </c>
      <c r="J481" s="123" t="s">
        <v>3796</v>
      </c>
      <c r="K481" s="124">
        <v>879.0</v>
      </c>
      <c r="L481" s="124">
        <v>6.4</v>
      </c>
      <c r="M481" s="123" t="s">
        <v>3658</v>
      </c>
      <c r="N481" s="124">
        <v>44.691</v>
      </c>
      <c r="O481" s="124">
        <v>-93.0576</v>
      </c>
      <c r="P481" s="124">
        <v>283.0</v>
      </c>
      <c r="Q481" s="123" t="s">
        <v>3789</v>
      </c>
      <c r="R481" s="125" t="s">
        <v>4944</v>
      </c>
      <c r="S481" s="123" t="s">
        <v>3907</v>
      </c>
      <c r="T481" s="125" t="s">
        <v>4945</v>
      </c>
      <c r="U481" s="124">
        <v>2017.0</v>
      </c>
      <c r="V481" s="123"/>
      <c r="W481" s="123" t="s">
        <v>4926</v>
      </c>
      <c r="X481" s="123"/>
    </row>
    <row r="482">
      <c r="A482" s="123" t="s">
        <v>87</v>
      </c>
      <c r="B482" s="123" t="s">
        <v>4946</v>
      </c>
      <c r="C482" s="123"/>
      <c r="D482" s="123" t="s">
        <v>4947</v>
      </c>
      <c r="E482" s="123" t="s">
        <v>3164</v>
      </c>
      <c r="F482" s="123" t="s">
        <v>3164</v>
      </c>
      <c r="G482" s="123" t="s">
        <v>86</v>
      </c>
      <c r="H482" s="123" t="s">
        <v>3088</v>
      </c>
      <c r="I482" s="123" t="s">
        <v>108</v>
      </c>
      <c r="J482" s="123" t="s">
        <v>3796</v>
      </c>
      <c r="K482" s="124">
        <v>879.0</v>
      </c>
      <c r="L482" s="124">
        <v>6.4</v>
      </c>
      <c r="M482" s="123" t="s">
        <v>3658</v>
      </c>
      <c r="N482" s="124">
        <v>44.6946</v>
      </c>
      <c r="O482" s="124">
        <v>-93.0578</v>
      </c>
      <c r="P482" s="124">
        <v>282.0</v>
      </c>
      <c r="Q482" s="123" t="s">
        <v>3789</v>
      </c>
      <c r="R482" s="125" t="s">
        <v>4948</v>
      </c>
      <c r="S482" s="123" t="s">
        <v>3791</v>
      </c>
      <c r="T482" s="125" t="s">
        <v>4949</v>
      </c>
      <c r="U482" s="124">
        <v>2017.0</v>
      </c>
      <c r="V482" s="123"/>
      <c r="W482" s="123" t="s">
        <v>4926</v>
      </c>
      <c r="X482" s="123"/>
    </row>
    <row r="483">
      <c r="A483" s="123" t="s">
        <v>87</v>
      </c>
      <c r="B483" s="123" t="s">
        <v>4950</v>
      </c>
      <c r="C483" s="123"/>
      <c r="D483" s="123" t="s">
        <v>4951</v>
      </c>
      <c r="E483" s="123" t="s">
        <v>3164</v>
      </c>
      <c r="F483" s="123" t="s">
        <v>3164</v>
      </c>
      <c r="G483" s="123" t="s">
        <v>370</v>
      </c>
      <c r="H483" s="123" t="s">
        <v>3091</v>
      </c>
      <c r="I483" s="123" t="s">
        <v>597</v>
      </c>
      <c r="J483" s="123" t="s">
        <v>4123</v>
      </c>
      <c r="K483" s="124">
        <v>450.0</v>
      </c>
      <c r="L483" s="124">
        <v>-0.8</v>
      </c>
      <c r="M483" s="123" t="s">
        <v>3658</v>
      </c>
      <c r="N483" s="124">
        <v>65.1198</v>
      </c>
      <c r="O483" s="124">
        <v>-147.429</v>
      </c>
      <c r="P483" s="124">
        <v>497.0</v>
      </c>
      <c r="Q483" s="123" t="s">
        <v>4614</v>
      </c>
      <c r="R483" s="125" t="s">
        <v>4952</v>
      </c>
      <c r="S483" s="123" t="s">
        <v>4953</v>
      </c>
      <c r="T483" s="125" t="s">
        <v>4954</v>
      </c>
      <c r="U483" s="124">
        <v>2008.0</v>
      </c>
      <c r="V483" s="123"/>
      <c r="W483" s="123" t="s">
        <v>4955</v>
      </c>
      <c r="X483" s="123"/>
    </row>
    <row r="484">
      <c r="A484" s="123" t="s">
        <v>87</v>
      </c>
      <c r="B484" s="123" t="s">
        <v>4956</v>
      </c>
      <c r="C484" s="123"/>
      <c r="D484" s="123" t="s">
        <v>4957</v>
      </c>
      <c r="E484" s="123" t="s">
        <v>3164</v>
      </c>
      <c r="F484" s="123" t="s">
        <v>3165</v>
      </c>
      <c r="G484" s="123" t="s">
        <v>214</v>
      </c>
      <c r="H484" s="123" t="s">
        <v>3184</v>
      </c>
      <c r="I484" s="123" t="s">
        <v>108</v>
      </c>
      <c r="J484" s="123" t="s">
        <v>3796</v>
      </c>
      <c r="K484" s="124">
        <v>1117.0</v>
      </c>
      <c r="L484" s="124">
        <v>15.4</v>
      </c>
      <c r="M484" s="123" t="s">
        <v>3658</v>
      </c>
      <c r="N484" s="124">
        <v>37.3344</v>
      </c>
      <c r="O484" s="124">
        <v>-77.2065</v>
      </c>
      <c r="P484" s="124">
        <v>0.1</v>
      </c>
      <c r="Q484" s="123" t="s">
        <v>3858</v>
      </c>
      <c r="R484" s="125" t="s">
        <v>4958</v>
      </c>
      <c r="S484" s="123"/>
      <c r="T484" s="125" t="s">
        <v>3170</v>
      </c>
      <c r="U484" s="124">
        <v>2017.0</v>
      </c>
      <c r="V484" s="123"/>
      <c r="W484" s="123" t="s">
        <v>4959</v>
      </c>
      <c r="X484" s="123"/>
    </row>
    <row r="485">
      <c r="A485" s="123" t="s">
        <v>87</v>
      </c>
      <c r="B485" s="123" t="s">
        <v>4960</v>
      </c>
      <c r="C485" s="123"/>
      <c r="D485" s="123" t="s">
        <v>4961</v>
      </c>
      <c r="E485" s="123" t="s">
        <v>3164</v>
      </c>
      <c r="F485" s="123" t="s">
        <v>3164</v>
      </c>
      <c r="G485" s="123" t="s">
        <v>291</v>
      </c>
      <c r="H485" s="123" t="s">
        <v>3089</v>
      </c>
      <c r="I485" s="123" t="s">
        <v>2407</v>
      </c>
      <c r="J485" s="123" t="s">
        <v>3208</v>
      </c>
      <c r="K485" s="124">
        <v>800.0</v>
      </c>
      <c r="L485" s="124">
        <v>5.4</v>
      </c>
      <c r="M485" s="123" t="s">
        <v>3658</v>
      </c>
      <c r="N485" s="124">
        <v>43.0653</v>
      </c>
      <c r="O485" s="124">
        <v>-116.7591</v>
      </c>
      <c r="P485" s="124">
        <v>2098.0</v>
      </c>
      <c r="Q485" s="123" t="s">
        <v>4962</v>
      </c>
      <c r="R485" s="125" t="s">
        <v>4963</v>
      </c>
      <c r="S485" s="123" t="s">
        <v>4962</v>
      </c>
      <c r="T485" s="125" t="s">
        <v>4964</v>
      </c>
      <c r="U485" s="124">
        <v>2003.0</v>
      </c>
      <c r="V485" s="124">
        <v>2007.0</v>
      </c>
      <c r="W485" s="123" t="s">
        <v>4965</v>
      </c>
      <c r="X485" s="123"/>
    </row>
    <row r="486">
      <c r="A486" s="123" t="s">
        <v>87</v>
      </c>
      <c r="B486" s="123" t="s">
        <v>4966</v>
      </c>
      <c r="C486" s="123"/>
      <c r="D486" s="123" t="s">
        <v>4967</v>
      </c>
      <c r="E486" s="123" t="s">
        <v>3164</v>
      </c>
      <c r="F486" s="123" t="s">
        <v>3164</v>
      </c>
      <c r="G486" s="123" t="s">
        <v>291</v>
      </c>
      <c r="H486" s="123" t="s">
        <v>3089</v>
      </c>
      <c r="I486" s="123" t="s">
        <v>2407</v>
      </c>
      <c r="J486" s="123" t="s">
        <v>3208</v>
      </c>
      <c r="K486" s="124">
        <v>505.0</v>
      </c>
      <c r="L486" s="124">
        <v>6.5</v>
      </c>
      <c r="M486" s="123" t="s">
        <v>3658</v>
      </c>
      <c r="N486" s="124">
        <v>43.1207</v>
      </c>
      <c r="O486" s="124">
        <v>-116.7231</v>
      </c>
      <c r="P486" s="124">
        <v>1878.0</v>
      </c>
      <c r="Q486" s="123" t="s">
        <v>3546</v>
      </c>
      <c r="R486" s="125" t="s">
        <v>4968</v>
      </c>
      <c r="S486" s="123" t="s">
        <v>3318</v>
      </c>
      <c r="T486" s="125" t="s">
        <v>4969</v>
      </c>
      <c r="U486" s="124">
        <v>2014.0</v>
      </c>
      <c r="V486" s="123"/>
      <c r="W486" s="123" t="s">
        <v>4916</v>
      </c>
      <c r="X486" s="123"/>
    </row>
    <row r="487">
      <c r="A487" s="123" t="s">
        <v>87</v>
      </c>
      <c r="B487" s="123" t="s">
        <v>4970</v>
      </c>
      <c r="C487" s="123"/>
      <c r="D487" s="123" t="s">
        <v>4971</v>
      </c>
      <c r="E487" s="123" t="s">
        <v>3164</v>
      </c>
      <c r="F487" s="123" t="s">
        <v>3164</v>
      </c>
      <c r="G487" s="123" t="s">
        <v>292</v>
      </c>
      <c r="H487" s="123" t="s">
        <v>3097</v>
      </c>
      <c r="I487" s="123" t="s">
        <v>303</v>
      </c>
      <c r="J487" s="123" t="s">
        <v>3585</v>
      </c>
      <c r="K487" s="124">
        <v>290.0</v>
      </c>
      <c r="L487" s="124">
        <v>8.9</v>
      </c>
      <c r="M487" s="123" t="s">
        <v>3658</v>
      </c>
      <c r="N487" s="124">
        <v>43.1675</v>
      </c>
      <c r="O487" s="124">
        <v>-116.7132</v>
      </c>
      <c r="P487" s="124">
        <v>1425.0</v>
      </c>
      <c r="Q487" s="123" t="s">
        <v>3546</v>
      </c>
      <c r="R487" s="125" t="s">
        <v>4972</v>
      </c>
      <c r="S487" s="123" t="s">
        <v>3318</v>
      </c>
      <c r="T487" s="125" t="s">
        <v>4973</v>
      </c>
      <c r="U487" s="124">
        <v>2014.0</v>
      </c>
      <c r="V487" s="123"/>
      <c r="W487" s="123" t="s">
        <v>4916</v>
      </c>
      <c r="X487" s="123"/>
    </row>
    <row r="488">
      <c r="A488" s="123" t="s">
        <v>87</v>
      </c>
      <c r="B488" s="123" t="s">
        <v>4974</v>
      </c>
      <c r="C488" s="123"/>
      <c r="D488" s="123" t="s">
        <v>4975</v>
      </c>
      <c r="E488" s="123" t="s">
        <v>3164</v>
      </c>
      <c r="F488" s="123" t="s">
        <v>3165</v>
      </c>
      <c r="G488" s="123" t="s">
        <v>214</v>
      </c>
      <c r="H488" s="123" t="s">
        <v>3184</v>
      </c>
      <c r="I488" s="123" t="s">
        <v>372</v>
      </c>
      <c r="J488" s="123" t="s">
        <v>3292</v>
      </c>
      <c r="K488" s="124">
        <v>121.0</v>
      </c>
      <c r="L488" s="124">
        <v>-8.0</v>
      </c>
      <c r="M488" s="123" t="s">
        <v>3658</v>
      </c>
      <c r="N488" s="124">
        <v>69.5131</v>
      </c>
      <c r="O488" s="124">
        <v>-148.5676</v>
      </c>
      <c r="P488" s="124">
        <v>170.0</v>
      </c>
      <c r="Q488" s="124">
        <v>1996.0</v>
      </c>
      <c r="R488" s="125" t="s">
        <v>4976</v>
      </c>
      <c r="S488" s="123"/>
      <c r="T488" s="125" t="s">
        <v>3170</v>
      </c>
      <c r="U488" s="124">
        <v>1996.0</v>
      </c>
      <c r="V488" s="124">
        <v>1996.0</v>
      </c>
      <c r="W488" s="123" t="s">
        <v>4977</v>
      </c>
      <c r="X488" s="123"/>
    </row>
    <row r="489">
      <c r="A489" s="123" t="s">
        <v>87</v>
      </c>
      <c r="B489" s="123" t="s">
        <v>4978</v>
      </c>
      <c r="C489" s="123"/>
      <c r="D489" s="123" t="s">
        <v>4979</v>
      </c>
      <c r="E489" s="123" t="s">
        <v>3165</v>
      </c>
      <c r="F489" s="123" t="s">
        <v>3165</v>
      </c>
      <c r="G489" s="123" t="s">
        <v>197</v>
      </c>
      <c r="H489" s="123" t="s">
        <v>3094</v>
      </c>
      <c r="I489" s="123" t="s">
        <v>201</v>
      </c>
      <c r="J489" s="123" t="s">
        <v>3174</v>
      </c>
      <c r="K489" s="124">
        <v>1016.0</v>
      </c>
      <c r="L489" s="124">
        <v>12.7</v>
      </c>
      <c r="M489" s="123" t="s">
        <v>3658</v>
      </c>
      <c r="N489" s="124">
        <v>37.5734</v>
      </c>
      <c r="O489" s="124">
        <v>-79.0848</v>
      </c>
      <c r="P489" s="124">
        <v>242.0</v>
      </c>
      <c r="Q489" s="123"/>
      <c r="R489" s="125" t="s">
        <v>3170</v>
      </c>
      <c r="S489" s="123"/>
      <c r="T489" s="125" t="s">
        <v>3170</v>
      </c>
      <c r="U489" s="124">
        <v>2015.0</v>
      </c>
      <c r="V489" s="123"/>
      <c r="W489" s="123"/>
      <c r="X489" s="123"/>
    </row>
    <row r="490">
      <c r="A490" s="123" t="s">
        <v>87</v>
      </c>
      <c r="B490" s="123" t="s">
        <v>4980</v>
      </c>
      <c r="C490" s="123"/>
      <c r="D490" s="123" t="s">
        <v>4981</v>
      </c>
      <c r="E490" s="123" t="s">
        <v>3165</v>
      </c>
      <c r="F490" s="123" t="s">
        <v>3165</v>
      </c>
      <c r="G490" s="123" t="s">
        <v>86</v>
      </c>
      <c r="H490" s="123" t="s">
        <v>3088</v>
      </c>
      <c r="I490" s="123" t="s">
        <v>201</v>
      </c>
      <c r="J490" s="123" t="s">
        <v>3174</v>
      </c>
      <c r="K490" s="124">
        <v>1016.0</v>
      </c>
      <c r="L490" s="124">
        <v>12.7</v>
      </c>
      <c r="M490" s="123" t="s">
        <v>3658</v>
      </c>
      <c r="N490" s="124">
        <v>37.5607</v>
      </c>
      <c r="O490" s="124">
        <v>-79.0883</v>
      </c>
      <c r="P490" s="124">
        <v>240.0</v>
      </c>
      <c r="Q490" s="123"/>
      <c r="R490" s="125" t="s">
        <v>3170</v>
      </c>
      <c r="S490" s="123"/>
      <c r="T490" s="125" t="s">
        <v>3170</v>
      </c>
      <c r="U490" s="124">
        <v>2016.0</v>
      </c>
      <c r="V490" s="123"/>
      <c r="W490" s="123"/>
      <c r="X490" s="123"/>
    </row>
    <row r="491">
      <c r="A491" s="123" t="s">
        <v>87</v>
      </c>
      <c r="B491" s="123" t="s">
        <v>4982</v>
      </c>
      <c r="C491" s="123"/>
      <c r="D491" s="123" t="s">
        <v>4983</v>
      </c>
      <c r="E491" s="123" t="s">
        <v>3165</v>
      </c>
      <c r="F491" s="123" t="s">
        <v>3165</v>
      </c>
      <c r="G491" s="123" t="s">
        <v>664</v>
      </c>
      <c r="H491" s="123" t="s">
        <v>3087</v>
      </c>
      <c r="I491" s="123" t="s">
        <v>201</v>
      </c>
      <c r="J491" s="123" t="s">
        <v>3174</v>
      </c>
      <c r="K491" s="124">
        <v>1016.0</v>
      </c>
      <c r="L491" s="124">
        <v>12.7</v>
      </c>
      <c r="M491" s="123" t="s">
        <v>3658</v>
      </c>
      <c r="N491" s="124">
        <v>37.5752</v>
      </c>
      <c r="O491" s="124">
        <v>-79.0872</v>
      </c>
      <c r="P491" s="124">
        <v>253.0</v>
      </c>
      <c r="Q491" s="123"/>
      <c r="R491" s="125" t="s">
        <v>3170</v>
      </c>
      <c r="S491" s="123"/>
      <c r="T491" s="125" t="s">
        <v>3170</v>
      </c>
      <c r="U491" s="124">
        <v>2018.0</v>
      </c>
      <c r="V491" s="123"/>
      <c r="W491" s="123"/>
      <c r="X491" s="123"/>
    </row>
    <row r="492">
      <c r="A492" s="123" t="s">
        <v>87</v>
      </c>
      <c r="B492" s="123" t="s">
        <v>4984</v>
      </c>
      <c r="C492" s="123"/>
      <c r="D492" s="123" t="s">
        <v>4985</v>
      </c>
      <c r="E492" s="123" t="s">
        <v>3165</v>
      </c>
      <c r="F492" s="123" t="s">
        <v>3165</v>
      </c>
      <c r="G492" s="123" t="s">
        <v>292</v>
      </c>
      <c r="H492" s="123" t="s">
        <v>3097</v>
      </c>
      <c r="I492" s="123"/>
      <c r="J492" s="123"/>
      <c r="K492" s="123"/>
      <c r="L492" s="123"/>
      <c r="M492" s="123" t="s">
        <v>3658</v>
      </c>
      <c r="N492" s="124">
        <v>33.6094</v>
      </c>
      <c r="O492" s="124">
        <v>-116.4505</v>
      </c>
      <c r="P492" s="124">
        <v>1280.0</v>
      </c>
      <c r="Q492" s="123"/>
      <c r="R492" s="125" t="s">
        <v>3170</v>
      </c>
      <c r="S492" s="123"/>
      <c r="T492" s="125" t="s">
        <v>3170</v>
      </c>
      <c r="U492" s="124">
        <v>2007.0</v>
      </c>
      <c r="V492" s="123"/>
      <c r="W492" s="123"/>
      <c r="X492" s="123"/>
    </row>
    <row r="493">
      <c r="A493" s="123" t="s">
        <v>87</v>
      </c>
      <c r="B493" s="123" t="s">
        <v>4986</v>
      </c>
      <c r="C493" s="123"/>
      <c r="D493" s="123" t="s">
        <v>4987</v>
      </c>
      <c r="E493" s="123" t="s">
        <v>3164</v>
      </c>
      <c r="F493" s="123" t="s">
        <v>3165</v>
      </c>
      <c r="G493" s="123" t="s">
        <v>664</v>
      </c>
      <c r="H493" s="123" t="s">
        <v>3087</v>
      </c>
      <c r="I493" s="123"/>
      <c r="J493" s="123"/>
      <c r="K493" s="123"/>
      <c r="L493" s="123"/>
      <c r="M493" s="123" t="s">
        <v>3658</v>
      </c>
      <c r="N493" s="124">
        <v>33.6518</v>
      </c>
      <c r="O493" s="124">
        <v>-116.3721</v>
      </c>
      <c r="P493" s="124">
        <v>275.0</v>
      </c>
      <c r="Q493" s="123" t="s">
        <v>4988</v>
      </c>
      <c r="R493" s="125" t="s">
        <v>4989</v>
      </c>
      <c r="S493" s="123"/>
      <c r="T493" s="125" t="s">
        <v>3170</v>
      </c>
      <c r="U493" s="124">
        <v>2007.0</v>
      </c>
      <c r="V493" s="123"/>
      <c r="W493" s="123" t="s">
        <v>4011</v>
      </c>
      <c r="X493" s="123"/>
    </row>
    <row r="494">
      <c r="A494" s="123" t="s">
        <v>87</v>
      </c>
      <c r="B494" s="123" t="s">
        <v>4990</v>
      </c>
      <c r="C494" s="123"/>
      <c r="D494" s="123" t="s">
        <v>4991</v>
      </c>
      <c r="E494" s="123" t="s">
        <v>3164</v>
      </c>
      <c r="F494" s="123" t="s">
        <v>3165</v>
      </c>
      <c r="G494" s="123" t="s">
        <v>452</v>
      </c>
      <c r="H494" s="123" t="s">
        <v>3096</v>
      </c>
      <c r="I494" s="123"/>
      <c r="J494" s="123"/>
      <c r="K494" s="123"/>
      <c r="L494" s="123"/>
      <c r="M494" s="123" t="s">
        <v>3658</v>
      </c>
      <c r="N494" s="124">
        <v>33.8079</v>
      </c>
      <c r="O494" s="124">
        <v>-116.7717</v>
      </c>
      <c r="P494" s="124">
        <v>1770.0</v>
      </c>
      <c r="Q494" s="123" t="s">
        <v>4992</v>
      </c>
      <c r="R494" s="125" t="s">
        <v>4993</v>
      </c>
      <c r="S494" s="123"/>
      <c r="T494" s="125" t="s">
        <v>3170</v>
      </c>
      <c r="U494" s="124">
        <v>2007.0</v>
      </c>
      <c r="V494" s="123"/>
      <c r="W494" s="123" t="s">
        <v>4011</v>
      </c>
      <c r="X494" s="123"/>
    </row>
    <row r="495">
      <c r="A495" s="123" t="s">
        <v>87</v>
      </c>
      <c r="B495" s="123" t="s">
        <v>4994</v>
      </c>
      <c r="C495" s="123"/>
      <c r="D495" s="123" t="s">
        <v>4995</v>
      </c>
      <c r="E495" s="123" t="s">
        <v>3164</v>
      </c>
      <c r="F495" s="123" t="s">
        <v>3165</v>
      </c>
      <c r="G495" s="123" t="s">
        <v>288</v>
      </c>
      <c r="H495" s="123" t="s">
        <v>3095</v>
      </c>
      <c r="I495" s="123"/>
      <c r="J495" s="123"/>
      <c r="K495" s="123"/>
      <c r="L495" s="123"/>
      <c r="M495" s="123" t="s">
        <v>3658</v>
      </c>
      <c r="N495" s="124">
        <v>33.7365</v>
      </c>
      <c r="O495" s="124">
        <v>-117.6946</v>
      </c>
      <c r="P495" s="124">
        <v>465.0</v>
      </c>
      <c r="Q495" s="123" t="s">
        <v>4996</v>
      </c>
      <c r="R495" s="125" t="s">
        <v>4997</v>
      </c>
      <c r="S495" s="123"/>
      <c r="T495" s="125" t="s">
        <v>3170</v>
      </c>
      <c r="U495" s="124">
        <v>2007.0</v>
      </c>
      <c r="V495" s="123"/>
      <c r="W495" s="123" t="s">
        <v>4011</v>
      </c>
      <c r="X495" s="123"/>
    </row>
    <row r="496">
      <c r="A496" s="123" t="s">
        <v>87</v>
      </c>
      <c r="B496" s="123" t="s">
        <v>4998</v>
      </c>
      <c r="C496" s="123"/>
      <c r="D496" s="123" t="s">
        <v>4999</v>
      </c>
      <c r="E496" s="123" t="s">
        <v>3164</v>
      </c>
      <c r="F496" s="123" t="s">
        <v>3165</v>
      </c>
      <c r="G496" s="123" t="s">
        <v>292</v>
      </c>
      <c r="H496" s="123" t="s">
        <v>3097</v>
      </c>
      <c r="I496" s="123"/>
      <c r="J496" s="123"/>
      <c r="K496" s="123"/>
      <c r="L496" s="123"/>
      <c r="M496" s="123" t="s">
        <v>3658</v>
      </c>
      <c r="N496" s="124">
        <v>33.7343</v>
      </c>
      <c r="O496" s="124">
        <v>-117.6959</v>
      </c>
      <c r="P496" s="124">
        <v>470.0</v>
      </c>
      <c r="Q496" s="123" t="s">
        <v>4996</v>
      </c>
      <c r="R496" s="125" t="s">
        <v>5000</v>
      </c>
      <c r="S496" s="123"/>
      <c r="T496" s="125" t="s">
        <v>3170</v>
      </c>
      <c r="U496" s="124">
        <v>2007.0</v>
      </c>
      <c r="V496" s="123"/>
      <c r="W496" s="123" t="s">
        <v>4011</v>
      </c>
      <c r="X496" s="123"/>
    </row>
    <row r="497">
      <c r="A497" s="123" t="s">
        <v>87</v>
      </c>
      <c r="B497" s="123" t="s">
        <v>5001</v>
      </c>
      <c r="C497" s="123"/>
      <c r="D497" s="123" t="s">
        <v>5002</v>
      </c>
      <c r="E497" s="123" t="s">
        <v>3164</v>
      </c>
      <c r="F497" s="123" t="s">
        <v>3165</v>
      </c>
      <c r="G497" s="123" t="s">
        <v>292</v>
      </c>
      <c r="H497" s="123" t="s">
        <v>3097</v>
      </c>
      <c r="I497" s="123"/>
      <c r="J497" s="123"/>
      <c r="K497" s="123"/>
      <c r="L497" s="123"/>
      <c r="M497" s="123" t="s">
        <v>3658</v>
      </c>
      <c r="N497" s="124">
        <v>33.6047</v>
      </c>
      <c r="O497" s="124">
        <v>-116.4527</v>
      </c>
      <c r="P497" s="124">
        <v>1281.0</v>
      </c>
      <c r="Q497" s="123" t="s">
        <v>4996</v>
      </c>
      <c r="R497" s="125" t="s">
        <v>5003</v>
      </c>
      <c r="S497" s="123"/>
      <c r="T497" s="125" t="s">
        <v>3170</v>
      </c>
      <c r="U497" s="124">
        <v>2007.0</v>
      </c>
      <c r="V497" s="123"/>
      <c r="W497" s="123" t="s">
        <v>4011</v>
      </c>
      <c r="X497" s="123"/>
    </row>
    <row r="498">
      <c r="A498" s="123" t="s">
        <v>87</v>
      </c>
      <c r="B498" s="123" t="s">
        <v>5004</v>
      </c>
      <c r="C498" s="123"/>
      <c r="D498" s="123" t="s">
        <v>5005</v>
      </c>
      <c r="E498" s="123" t="s">
        <v>3164</v>
      </c>
      <c r="F498" s="123" t="s">
        <v>3165</v>
      </c>
      <c r="G498" s="123" t="s">
        <v>288</v>
      </c>
      <c r="H498" s="123" t="s">
        <v>3095</v>
      </c>
      <c r="I498" s="123" t="s">
        <v>321</v>
      </c>
      <c r="J498" s="123" t="s">
        <v>3905</v>
      </c>
      <c r="K498" s="123"/>
      <c r="L498" s="123"/>
      <c r="M498" s="123" t="s">
        <v>3658</v>
      </c>
      <c r="N498" s="124">
        <v>42.0693</v>
      </c>
      <c r="O498" s="124">
        <v>-101.4072</v>
      </c>
      <c r="P498" s="124">
        <v>1081.0</v>
      </c>
      <c r="Q498" s="123" t="s">
        <v>3622</v>
      </c>
      <c r="R498" s="125" t="s">
        <v>5006</v>
      </c>
      <c r="S498" s="123"/>
      <c r="T498" s="125" t="s">
        <v>3170</v>
      </c>
      <c r="U498" s="124">
        <v>2004.0</v>
      </c>
      <c r="V498" s="123"/>
      <c r="W498" s="123" t="s">
        <v>3427</v>
      </c>
      <c r="X498" s="123"/>
    </row>
    <row r="499">
      <c r="A499" s="123" t="s">
        <v>87</v>
      </c>
      <c r="B499" s="123" t="s">
        <v>5007</v>
      </c>
      <c r="C499" s="123"/>
      <c r="D499" s="123" t="s">
        <v>5008</v>
      </c>
      <c r="E499" s="123" t="s">
        <v>3165</v>
      </c>
      <c r="F499" s="123" t="s">
        <v>3165</v>
      </c>
      <c r="G499" s="123" t="s">
        <v>505</v>
      </c>
      <c r="H499" s="123" t="s">
        <v>3100</v>
      </c>
      <c r="I499" s="123" t="s">
        <v>303</v>
      </c>
      <c r="J499" s="123" t="s">
        <v>3585</v>
      </c>
      <c r="K499" s="124">
        <v>406.0</v>
      </c>
      <c r="L499" s="124">
        <v>10.04</v>
      </c>
      <c r="M499" s="123" t="s">
        <v>3658</v>
      </c>
      <c r="N499" s="124">
        <v>39.6594</v>
      </c>
      <c r="O499" s="124">
        <v>-105.0127</v>
      </c>
      <c r="P499" s="124">
        <v>1618.0</v>
      </c>
      <c r="Q499" s="123"/>
      <c r="R499" s="125" t="s">
        <v>3170</v>
      </c>
      <c r="S499" s="123"/>
      <c r="T499" s="125" t="s">
        <v>3170</v>
      </c>
      <c r="U499" s="124">
        <v>2010.0</v>
      </c>
      <c r="V499" s="124">
        <v>2014.0</v>
      </c>
      <c r="W499" s="123"/>
      <c r="X499" s="123"/>
    </row>
    <row r="500">
      <c r="A500" s="123" t="s">
        <v>87</v>
      </c>
      <c r="B500" s="123" t="s">
        <v>2188</v>
      </c>
      <c r="C500" s="123"/>
      <c r="D500" s="123" t="s">
        <v>2189</v>
      </c>
      <c r="E500" s="123" t="s">
        <v>3164</v>
      </c>
      <c r="F500" s="123" t="s">
        <v>3164</v>
      </c>
      <c r="G500" s="123" t="s">
        <v>288</v>
      </c>
      <c r="H500" s="123" t="s">
        <v>3095</v>
      </c>
      <c r="I500" s="123" t="s">
        <v>303</v>
      </c>
      <c r="J500" s="123" t="s">
        <v>3585</v>
      </c>
      <c r="K500" s="124">
        <v>273.304</v>
      </c>
      <c r="L500" s="124">
        <v>13.667</v>
      </c>
      <c r="M500" s="123" t="s">
        <v>3658</v>
      </c>
      <c r="N500" s="124">
        <v>34.3623</v>
      </c>
      <c r="O500" s="124">
        <v>-106.702</v>
      </c>
      <c r="P500" s="124">
        <v>1596.0</v>
      </c>
      <c r="Q500" s="123" t="s">
        <v>5009</v>
      </c>
      <c r="R500" s="125" t="s">
        <v>5010</v>
      </c>
      <c r="S500" s="123" t="s">
        <v>4285</v>
      </c>
      <c r="T500" s="125" t="s">
        <v>5011</v>
      </c>
      <c r="U500" s="124">
        <v>2007.0</v>
      </c>
      <c r="V500" s="123"/>
      <c r="W500" s="123" t="s">
        <v>4617</v>
      </c>
      <c r="X500" s="123"/>
    </row>
    <row r="501">
      <c r="A501" s="123" t="s">
        <v>87</v>
      </c>
      <c r="B501" s="123" t="s">
        <v>2194</v>
      </c>
      <c r="C501" s="123"/>
      <c r="D501" s="123" t="s">
        <v>2195</v>
      </c>
      <c r="E501" s="123" t="s">
        <v>3164</v>
      </c>
      <c r="F501" s="123" t="s">
        <v>3164</v>
      </c>
      <c r="G501" s="123" t="s">
        <v>292</v>
      </c>
      <c r="H501" s="123" t="s">
        <v>3097</v>
      </c>
      <c r="I501" s="123" t="s">
        <v>303</v>
      </c>
      <c r="J501" s="123" t="s">
        <v>3585</v>
      </c>
      <c r="K501" s="124">
        <v>275.082</v>
      </c>
      <c r="L501" s="124">
        <v>13.722</v>
      </c>
      <c r="M501" s="123" t="s">
        <v>3658</v>
      </c>
      <c r="N501" s="124">
        <v>34.3349</v>
      </c>
      <c r="O501" s="124">
        <v>-106.7442</v>
      </c>
      <c r="P501" s="124">
        <v>1604.0</v>
      </c>
      <c r="Q501" s="123" t="s">
        <v>5009</v>
      </c>
      <c r="R501" s="125" t="s">
        <v>5012</v>
      </c>
      <c r="S501" s="123" t="s">
        <v>4285</v>
      </c>
      <c r="T501" s="125" t="s">
        <v>5013</v>
      </c>
      <c r="U501" s="124">
        <v>2007.0</v>
      </c>
      <c r="V501" s="123"/>
      <c r="W501" s="123" t="s">
        <v>4617</v>
      </c>
      <c r="X501" s="123"/>
    </row>
    <row r="502">
      <c r="A502" s="123" t="s">
        <v>87</v>
      </c>
      <c r="B502" s="123" t="s">
        <v>5014</v>
      </c>
      <c r="C502" s="123"/>
      <c r="D502" s="123" t="s">
        <v>5015</v>
      </c>
      <c r="E502" s="123" t="s">
        <v>3164</v>
      </c>
      <c r="F502" s="123" t="s">
        <v>3165</v>
      </c>
      <c r="G502" s="123" t="s">
        <v>86</v>
      </c>
      <c r="H502" s="123" t="s">
        <v>3088</v>
      </c>
      <c r="I502" s="123"/>
      <c r="J502" s="123"/>
      <c r="K502" s="123"/>
      <c r="L502" s="123"/>
      <c r="M502" s="123" t="s">
        <v>3658</v>
      </c>
      <c r="N502" s="124">
        <v>43.2408</v>
      </c>
      <c r="O502" s="124">
        <v>-96.902</v>
      </c>
      <c r="P502" s="124">
        <v>386.0</v>
      </c>
      <c r="Q502" s="123" t="s">
        <v>5016</v>
      </c>
      <c r="R502" s="125" t="s">
        <v>5017</v>
      </c>
      <c r="S502" s="123"/>
      <c r="T502" s="125" t="s">
        <v>3170</v>
      </c>
      <c r="U502" s="124">
        <v>2007.0</v>
      </c>
      <c r="V502" s="123"/>
      <c r="W502" s="123" t="s">
        <v>5018</v>
      </c>
      <c r="X502" s="123"/>
    </row>
    <row r="503">
      <c r="A503" s="123" t="s">
        <v>87</v>
      </c>
      <c r="B503" s="123" t="s">
        <v>5019</v>
      </c>
      <c r="C503" s="123"/>
      <c r="D503" s="123" t="s">
        <v>5020</v>
      </c>
      <c r="E503" s="123" t="s">
        <v>3165</v>
      </c>
      <c r="F503" s="123" t="s">
        <v>3165</v>
      </c>
      <c r="G503" s="123" t="s">
        <v>197</v>
      </c>
      <c r="H503" s="123" t="s">
        <v>3094</v>
      </c>
      <c r="I503" s="123" t="s">
        <v>321</v>
      </c>
      <c r="J503" s="123" t="s">
        <v>3905</v>
      </c>
      <c r="K503" s="124">
        <v>827.0</v>
      </c>
      <c r="L503" s="124">
        <v>5.3</v>
      </c>
      <c r="M503" s="123" t="s">
        <v>3658</v>
      </c>
      <c r="N503" s="124">
        <v>39.4315</v>
      </c>
      <c r="O503" s="124">
        <v>-120.2398</v>
      </c>
      <c r="P503" s="124">
        <v>1934.0</v>
      </c>
      <c r="Q503" s="123"/>
      <c r="R503" s="125" t="s">
        <v>3170</v>
      </c>
      <c r="S503" s="123"/>
      <c r="T503" s="125" t="s">
        <v>3170</v>
      </c>
      <c r="U503" s="124">
        <v>2017.0</v>
      </c>
      <c r="V503" s="123"/>
      <c r="W503" s="123"/>
      <c r="X503" s="123"/>
    </row>
    <row r="504">
      <c r="A504" s="123" t="s">
        <v>87</v>
      </c>
      <c r="B504" s="123" t="s">
        <v>5021</v>
      </c>
      <c r="C504" s="123"/>
      <c r="D504" s="123" t="s">
        <v>5022</v>
      </c>
      <c r="E504" s="123" t="s">
        <v>3164</v>
      </c>
      <c r="F504" s="123" t="s">
        <v>3165</v>
      </c>
      <c r="G504" s="123" t="s">
        <v>288</v>
      </c>
      <c r="H504" s="123" t="s">
        <v>3095</v>
      </c>
      <c r="I504" s="123" t="s">
        <v>201</v>
      </c>
      <c r="J504" s="123" t="s">
        <v>3174</v>
      </c>
      <c r="K504" s="124">
        <v>897.91</v>
      </c>
      <c r="L504" s="124">
        <v>14.32</v>
      </c>
      <c r="M504" s="123" t="s">
        <v>3658</v>
      </c>
      <c r="N504" s="124">
        <v>36.9333</v>
      </c>
      <c r="O504" s="124">
        <v>-96.6833</v>
      </c>
      <c r="P504" s="124">
        <v>346.0</v>
      </c>
      <c r="Q504" s="123" t="s">
        <v>4850</v>
      </c>
      <c r="R504" s="125" t="s">
        <v>5023</v>
      </c>
      <c r="S504" s="123"/>
      <c r="T504" s="125" t="s">
        <v>3170</v>
      </c>
      <c r="U504" s="124">
        <v>1997.0</v>
      </c>
      <c r="V504" s="124">
        <v>2001.0</v>
      </c>
      <c r="W504" s="123" t="s">
        <v>3427</v>
      </c>
      <c r="X504" s="123"/>
    </row>
    <row r="505">
      <c r="A505" s="123" t="s">
        <v>87</v>
      </c>
      <c r="B505" s="123" t="s">
        <v>5024</v>
      </c>
      <c r="C505" s="123"/>
      <c r="D505" s="123" t="s">
        <v>5025</v>
      </c>
      <c r="E505" s="123" t="s">
        <v>3165</v>
      </c>
      <c r="F505" s="123" t="s">
        <v>3165</v>
      </c>
      <c r="G505" s="123" t="s">
        <v>214</v>
      </c>
      <c r="H505" s="123" t="s">
        <v>3184</v>
      </c>
      <c r="I505" s="123" t="s">
        <v>201</v>
      </c>
      <c r="J505" s="123" t="s">
        <v>3174</v>
      </c>
      <c r="K505" s="124">
        <v>1120.0</v>
      </c>
      <c r="L505" s="124">
        <v>13.5</v>
      </c>
      <c r="M505" s="123" t="s">
        <v>3658</v>
      </c>
      <c r="N505" s="124">
        <v>40.8052</v>
      </c>
      <c r="O505" s="124">
        <v>-74.0457</v>
      </c>
      <c r="P505" s="124">
        <v>1.0</v>
      </c>
      <c r="Q505" s="123"/>
      <c r="R505" s="125" t="s">
        <v>3170</v>
      </c>
      <c r="S505" s="123"/>
      <c r="T505" s="125" t="s">
        <v>3170</v>
      </c>
      <c r="U505" s="124">
        <v>2011.0</v>
      </c>
      <c r="V505" s="124">
        <v>2013.0</v>
      </c>
      <c r="W505" s="123"/>
      <c r="X505" s="123"/>
    </row>
    <row r="506">
      <c r="A506" s="123" t="s">
        <v>87</v>
      </c>
      <c r="B506" s="123" t="s">
        <v>5026</v>
      </c>
      <c r="C506" s="123"/>
      <c r="D506" s="123" t="s">
        <v>5027</v>
      </c>
      <c r="E506" s="123" t="s">
        <v>3165</v>
      </c>
      <c r="F506" s="123" t="s">
        <v>3165</v>
      </c>
      <c r="G506" s="123" t="s">
        <v>86</v>
      </c>
      <c r="H506" s="123" t="s">
        <v>3088</v>
      </c>
      <c r="I506" s="123" t="s">
        <v>445</v>
      </c>
      <c r="J506" s="123" t="s">
        <v>3317</v>
      </c>
      <c r="K506" s="124">
        <v>328.1</v>
      </c>
      <c r="L506" s="124">
        <v>15.0</v>
      </c>
      <c r="M506" s="123" t="s">
        <v>3658</v>
      </c>
      <c r="N506" s="124">
        <v>38.1747</v>
      </c>
      <c r="O506" s="124">
        <v>-121.5047</v>
      </c>
      <c r="P506" s="124">
        <v>-3.8</v>
      </c>
      <c r="Q506" s="123"/>
      <c r="R506" s="125" t="s">
        <v>3170</v>
      </c>
      <c r="S506" s="123"/>
      <c r="T506" s="125" t="s">
        <v>3170</v>
      </c>
      <c r="U506" s="124">
        <v>2012.0</v>
      </c>
      <c r="V506" s="124">
        <v>2013.0</v>
      </c>
      <c r="W506" s="123"/>
      <c r="X506" s="123"/>
    </row>
    <row r="507">
      <c r="A507" s="123" t="s">
        <v>87</v>
      </c>
      <c r="B507" s="123" t="s">
        <v>5028</v>
      </c>
      <c r="C507" s="123"/>
      <c r="D507" s="123" t="s">
        <v>5029</v>
      </c>
      <c r="E507" s="123" t="s">
        <v>3165</v>
      </c>
      <c r="F507" s="123" t="s">
        <v>3165</v>
      </c>
      <c r="G507" s="123" t="s">
        <v>86</v>
      </c>
      <c r="H507" s="123" t="s">
        <v>3088</v>
      </c>
      <c r="I507" s="123" t="s">
        <v>445</v>
      </c>
      <c r="J507" s="123" t="s">
        <v>3317</v>
      </c>
      <c r="K507" s="124">
        <v>328.1</v>
      </c>
      <c r="L507" s="124">
        <v>15.0</v>
      </c>
      <c r="M507" s="123" t="s">
        <v>3658</v>
      </c>
      <c r="N507" s="124">
        <v>38.1758</v>
      </c>
      <c r="O507" s="124">
        <v>-121.5167</v>
      </c>
      <c r="P507" s="124">
        <v>-3.8</v>
      </c>
      <c r="Q507" s="123"/>
      <c r="R507" s="125" t="s">
        <v>3170</v>
      </c>
      <c r="S507" s="123"/>
      <c r="T507" s="125" t="s">
        <v>3170</v>
      </c>
      <c r="U507" s="124">
        <v>2011.0</v>
      </c>
      <c r="V507" s="124">
        <v>2013.0</v>
      </c>
      <c r="W507" s="123"/>
      <c r="X507" s="123"/>
    </row>
    <row r="508">
      <c r="A508" s="123" t="s">
        <v>87</v>
      </c>
      <c r="B508" s="123" t="s">
        <v>3484</v>
      </c>
      <c r="C508" s="123"/>
      <c r="D508" s="123" t="s">
        <v>5030</v>
      </c>
      <c r="E508" s="123" t="s">
        <v>3165</v>
      </c>
      <c r="F508" s="123" t="s">
        <v>3165</v>
      </c>
      <c r="G508" s="123" t="s">
        <v>214</v>
      </c>
      <c r="H508" s="123" t="s">
        <v>3184</v>
      </c>
      <c r="I508" s="123"/>
      <c r="J508" s="123"/>
      <c r="K508" s="123"/>
      <c r="L508" s="123"/>
      <c r="M508" s="123" t="s">
        <v>3658</v>
      </c>
      <c r="N508" s="124">
        <v>33.6623</v>
      </c>
      <c r="O508" s="124">
        <v>-117.8514</v>
      </c>
      <c r="P508" s="124">
        <v>3.0</v>
      </c>
      <c r="Q508" s="123"/>
      <c r="R508" s="125" t="s">
        <v>3170</v>
      </c>
      <c r="S508" s="123"/>
      <c r="T508" s="125" t="s">
        <v>3170</v>
      </c>
      <c r="U508" s="124">
        <v>1999.0</v>
      </c>
      <c r="V508" s="123"/>
      <c r="W508" s="123"/>
      <c r="X508" s="123"/>
    </row>
    <row r="509">
      <c r="A509" s="123" t="s">
        <v>87</v>
      </c>
      <c r="B509" s="123" t="s">
        <v>3489</v>
      </c>
      <c r="C509" s="123"/>
      <c r="D509" s="123" t="s">
        <v>5031</v>
      </c>
      <c r="E509" s="123" t="s">
        <v>3165</v>
      </c>
      <c r="F509" s="123" t="s">
        <v>3165</v>
      </c>
      <c r="G509" s="123" t="s">
        <v>214</v>
      </c>
      <c r="H509" s="123" t="s">
        <v>3184</v>
      </c>
      <c r="I509" s="123"/>
      <c r="J509" s="123"/>
      <c r="K509" s="123"/>
      <c r="L509" s="123"/>
      <c r="M509" s="123" t="s">
        <v>3658</v>
      </c>
      <c r="N509" s="124">
        <v>33.6596</v>
      </c>
      <c r="O509" s="124">
        <v>-117.855</v>
      </c>
      <c r="P509" s="124">
        <v>3.0</v>
      </c>
      <c r="Q509" s="123"/>
      <c r="R509" s="125" t="s">
        <v>3170</v>
      </c>
      <c r="S509" s="123"/>
      <c r="T509" s="125" t="s">
        <v>3170</v>
      </c>
      <c r="U509" s="124">
        <v>2003.0</v>
      </c>
      <c r="V509" s="123"/>
      <c r="W509" s="123"/>
      <c r="X509" s="123"/>
    </row>
    <row r="510">
      <c r="A510" s="123" t="s">
        <v>87</v>
      </c>
      <c r="B510" s="123" t="s">
        <v>5032</v>
      </c>
      <c r="C510" s="123"/>
      <c r="D510" s="123" t="s">
        <v>5033</v>
      </c>
      <c r="E510" s="123" t="s">
        <v>3164</v>
      </c>
      <c r="F510" s="123" t="s">
        <v>3165</v>
      </c>
      <c r="G510" s="123" t="s">
        <v>336</v>
      </c>
      <c r="H510" s="123" t="s">
        <v>3093</v>
      </c>
      <c r="I510" s="123" t="s">
        <v>592</v>
      </c>
      <c r="J510" s="123" t="s">
        <v>3216</v>
      </c>
      <c r="K510" s="124">
        <v>1259.0</v>
      </c>
      <c r="L510" s="124">
        <v>23.77</v>
      </c>
      <c r="M510" s="123" t="s">
        <v>3658</v>
      </c>
      <c r="N510" s="124">
        <v>25.3629</v>
      </c>
      <c r="O510" s="124">
        <v>-81.0776</v>
      </c>
      <c r="P510" s="124">
        <v>0.0</v>
      </c>
      <c r="Q510" s="123" t="s">
        <v>5034</v>
      </c>
      <c r="R510" s="125" t="s">
        <v>5035</v>
      </c>
      <c r="S510" s="123"/>
      <c r="T510" s="125" t="s">
        <v>3170</v>
      </c>
      <c r="U510" s="124">
        <v>2004.0</v>
      </c>
      <c r="V510" s="123"/>
      <c r="W510" s="123" t="s">
        <v>3427</v>
      </c>
      <c r="X510" s="123"/>
    </row>
    <row r="511">
      <c r="A511" s="123" t="s">
        <v>87</v>
      </c>
      <c r="B511" s="123" t="s">
        <v>5036</v>
      </c>
      <c r="C511" s="123"/>
      <c r="D511" s="123" t="s">
        <v>5037</v>
      </c>
      <c r="E511" s="123" t="s">
        <v>3164</v>
      </c>
      <c r="F511" s="123" t="s">
        <v>3165</v>
      </c>
      <c r="G511" s="123" t="s">
        <v>370</v>
      </c>
      <c r="H511" s="123" t="s">
        <v>3091</v>
      </c>
      <c r="I511" s="123" t="s">
        <v>108</v>
      </c>
      <c r="J511" s="123" t="s">
        <v>3796</v>
      </c>
      <c r="K511" s="124">
        <v>1138.0</v>
      </c>
      <c r="L511" s="124">
        <v>11.04</v>
      </c>
      <c r="M511" s="123" t="s">
        <v>3658</v>
      </c>
      <c r="N511" s="124">
        <v>39.9138</v>
      </c>
      <c r="O511" s="124">
        <v>-74.596</v>
      </c>
      <c r="P511" s="124">
        <v>30.0</v>
      </c>
      <c r="Q511" s="123" t="s">
        <v>3902</v>
      </c>
      <c r="R511" s="125" t="s">
        <v>5038</v>
      </c>
      <c r="S511" s="123"/>
      <c r="T511" s="125" t="s">
        <v>3170</v>
      </c>
      <c r="U511" s="124">
        <v>2004.0</v>
      </c>
      <c r="V511" s="123"/>
      <c r="W511" s="123" t="s">
        <v>3427</v>
      </c>
      <c r="X511" s="123"/>
    </row>
    <row r="512">
      <c r="A512" s="123" t="s">
        <v>87</v>
      </c>
      <c r="B512" s="123" t="s">
        <v>5039</v>
      </c>
      <c r="C512" s="123"/>
      <c r="D512" s="123" t="s">
        <v>5040</v>
      </c>
      <c r="E512" s="123" t="s">
        <v>3165</v>
      </c>
      <c r="F512" s="123" t="s">
        <v>3165</v>
      </c>
      <c r="G512" s="123" t="s">
        <v>86</v>
      </c>
      <c r="H512" s="123" t="s">
        <v>3088</v>
      </c>
      <c r="I512" s="123" t="s">
        <v>303</v>
      </c>
      <c r="J512" s="123" t="s">
        <v>3585</v>
      </c>
      <c r="K512" s="124">
        <v>559.0</v>
      </c>
      <c r="L512" s="124">
        <v>12.9</v>
      </c>
      <c r="M512" s="123" t="s">
        <v>3658</v>
      </c>
      <c r="N512" s="124">
        <v>36.3934</v>
      </c>
      <c r="O512" s="124">
        <v>-100.9537</v>
      </c>
      <c r="P512" s="124">
        <v>897.0</v>
      </c>
      <c r="Q512" s="123"/>
      <c r="R512" s="125" t="s">
        <v>3170</v>
      </c>
      <c r="S512" s="123"/>
      <c r="T512" s="125" t="s">
        <v>3170</v>
      </c>
      <c r="U512" s="124">
        <v>2021.0</v>
      </c>
      <c r="V512" s="123"/>
      <c r="W512" s="123"/>
      <c r="X512" s="123"/>
    </row>
    <row r="513">
      <c r="A513" s="123" t="s">
        <v>87</v>
      </c>
      <c r="B513" s="123" t="s">
        <v>5041</v>
      </c>
      <c r="C513" s="123"/>
      <c r="D513" s="123" t="s">
        <v>5042</v>
      </c>
      <c r="E513" s="123" t="s">
        <v>3164</v>
      </c>
      <c r="F513" s="123" t="s">
        <v>3165</v>
      </c>
      <c r="G513" s="123" t="s">
        <v>288</v>
      </c>
      <c r="H513" s="123" t="s">
        <v>3095</v>
      </c>
      <c r="I513" s="123" t="s">
        <v>175</v>
      </c>
      <c r="J513" s="123" t="s">
        <v>3366</v>
      </c>
      <c r="K513" s="124">
        <v>358.0</v>
      </c>
      <c r="L513" s="124">
        <v>15.6</v>
      </c>
      <c r="M513" s="123" t="s">
        <v>3658</v>
      </c>
      <c r="N513" s="124">
        <v>38.0366</v>
      </c>
      <c r="O513" s="124">
        <v>-121.754</v>
      </c>
      <c r="P513" s="124">
        <v>-5.0</v>
      </c>
      <c r="Q513" s="123" t="s">
        <v>5043</v>
      </c>
      <c r="R513" s="125" t="s">
        <v>5044</v>
      </c>
      <c r="S513" s="123"/>
      <c r="T513" s="125" t="s">
        <v>3170</v>
      </c>
      <c r="U513" s="124">
        <v>2007.0</v>
      </c>
      <c r="V513" s="124">
        <v>2015.0</v>
      </c>
      <c r="W513" s="123" t="s">
        <v>3427</v>
      </c>
      <c r="X513" s="123"/>
    </row>
    <row r="514">
      <c r="A514" s="123" t="s">
        <v>87</v>
      </c>
      <c r="B514" s="123" t="s">
        <v>847</v>
      </c>
      <c r="C514" s="123"/>
      <c r="D514" s="123" t="s">
        <v>5045</v>
      </c>
      <c r="E514" s="123" t="s">
        <v>3164</v>
      </c>
      <c r="F514" s="123" t="s">
        <v>3164</v>
      </c>
      <c r="G514" s="123" t="s">
        <v>288</v>
      </c>
      <c r="H514" s="123" t="s">
        <v>3095</v>
      </c>
      <c r="I514" s="123" t="s">
        <v>175</v>
      </c>
      <c r="J514" s="123" t="s">
        <v>3366</v>
      </c>
      <c r="K514" s="124">
        <v>311.0</v>
      </c>
      <c r="L514" s="124">
        <v>16.09</v>
      </c>
      <c r="M514" s="123" t="s">
        <v>3658</v>
      </c>
      <c r="N514" s="124">
        <v>38.0369</v>
      </c>
      <c r="O514" s="124">
        <v>-121.7547</v>
      </c>
      <c r="P514" s="124">
        <v>-5.0</v>
      </c>
      <c r="Q514" s="123" t="s">
        <v>3839</v>
      </c>
      <c r="R514" s="125" t="s">
        <v>5046</v>
      </c>
      <c r="S514" s="123" t="s">
        <v>3839</v>
      </c>
      <c r="T514" s="125" t="s">
        <v>5047</v>
      </c>
      <c r="U514" s="124">
        <v>2016.0</v>
      </c>
      <c r="V514" s="124">
        <v>2021.0</v>
      </c>
      <c r="W514" s="123" t="s">
        <v>5048</v>
      </c>
      <c r="X514" s="123"/>
    </row>
    <row r="515">
      <c r="A515" s="123" t="s">
        <v>87</v>
      </c>
      <c r="B515" s="123" t="s">
        <v>5049</v>
      </c>
      <c r="C515" s="123"/>
      <c r="D515" s="123" t="s">
        <v>5050</v>
      </c>
      <c r="E515" s="123" t="s">
        <v>3164</v>
      </c>
      <c r="F515" s="123" t="s">
        <v>3164</v>
      </c>
      <c r="G515" s="123" t="s">
        <v>288</v>
      </c>
      <c r="H515" s="123" t="s">
        <v>3095</v>
      </c>
      <c r="I515" s="123" t="s">
        <v>175</v>
      </c>
      <c r="J515" s="123" t="s">
        <v>3366</v>
      </c>
      <c r="K515" s="123"/>
      <c r="L515" s="123"/>
      <c r="M515" s="123" t="s">
        <v>3658</v>
      </c>
      <c r="N515" s="124">
        <v>38.0402</v>
      </c>
      <c r="O515" s="124">
        <v>-121.7272</v>
      </c>
      <c r="P515" s="124">
        <v>-4.0</v>
      </c>
      <c r="Q515" s="123" t="s">
        <v>3180</v>
      </c>
      <c r="R515" s="125" t="s">
        <v>5051</v>
      </c>
      <c r="S515" s="123" t="s">
        <v>3180</v>
      </c>
      <c r="T515" s="125" t="s">
        <v>5052</v>
      </c>
      <c r="U515" s="124">
        <v>2018.0</v>
      </c>
      <c r="V515" s="124">
        <v>2020.0</v>
      </c>
      <c r="W515" s="123" t="s">
        <v>5053</v>
      </c>
      <c r="X515" s="123"/>
    </row>
    <row r="516">
      <c r="A516" s="123" t="s">
        <v>87</v>
      </c>
      <c r="B516" s="123" t="s">
        <v>305</v>
      </c>
      <c r="C516" s="123"/>
      <c r="D516" s="123" t="s">
        <v>5054</v>
      </c>
      <c r="E516" s="123" t="s">
        <v>3164</v>
      </c>
      <c r="F516" s="123" t="s">
        <v>3165</v>
      </c>
      <c r="G516" s="123" t="s">
        <v>291</v>
      </c>
      <c r="H516" s="123" t="s">
        <v>3089</v>
      </c>
      <c r="I516" s="123" t="s">
        <v>175</v>
      </c>
      <c r="J516" s="123" t="s">
        <v>3366</v>
      </c>
      <c r="K516" s="124">
        <v>553.0</v>
      </c>
      <c r="L516" s="124">
        <v>13.63</v>
      </c>
      <c r="M516" s="123" t="s">
        <v>3658</v>
      </c>
      <c r="N516" s="124">
        <v>33.3738</v>
      </c>
      <c r="O516" s="124">
        <v>-116.6228</v>
      </c>
      <c r="P516" s="124">
        <v>1394.0</v>
      </c>
      <c r="Q516" s="123" t="s">
        <v>5055</v>
      </c>
      <c r="R516" s="125" t="s">
        <v>5056</v>
      </c>
      <c r="S516" s="123"/>
      <c r="T516" s="125" t="s">
        <v>3170</v>
      </c>
      <c r="U516" s="124">
        <v>1997.0</v>
      </c>
      <c r="V516" s="123"/>
      <c r="W516" s="123" t="s">
        <v>3427</v>
      </c>
      <c r="X516" s="123"/>
    </row>
    <row r="517">
      <c r="A517" s="123" t="s">
        <v>87</v>
      </c>
      <c r="B517" s="123" t="s">
        <v>5057</v>
      </c>
      <c r="C517" s="123"/>
      <c r="D517" s="123" t="s">
        <v>5058</v>
      </c>
      <c r="E517" s="123" t="s">
        <v>3164</v>
      </c>
      <c r="F517" s="123" t="s">
        <v>3165</v>
      </c>
      <c r="G517" s="123" t="s">
        <v>291</v>
      </c>
      <c r="H517" s="123" t="s">
        <v>3089</v>
      </c>
      <c r="I517" s="123" t="s">
        <v>175</v>
      </c>
      <c r="J517" s="123" t="s">
        <v>3366</v>
      </c>
      <c r="K517" s="124">
        <v>576.0</v>
      </c>
      <c r="L517" s="124">
        <v>13.29</v>
      </c>
      <c r="M517" s="123" t="s">
        <v>3658</v>
      </c>
      <c r="N517" s="124">
        <v>33.3771</v>
      </c>
      <c r="O517" s="124">
        <v>-116.6226</v>
      </c>
      <c r="P517" s="124">
        <v>1429.0</v>
      </c>
      <c r="Q517" s="123" t="s">
        <v>5055</v>
      </c>
      <c r="R517" s="125" t="s">
        <v>5059</v>
      </c>
      <c r="S517" s="123"/>
      <c r="T517" s="125" t="s">
        <v>3170</v>
      </c>
      <c r="U517" s="124">
        <v>1997.0</v>
      </c>
      <c r="V517" s="123"/>
      <c r="W517" s="123" t="s">
        <v>3427</v>
      </c>
      <c r="X517" s="123"/>
    </row>
    <row r="518">
      <c r="A518" s="123" t="s">
        <v>87</v>
      </c>
      <c r="B518" s="123" t="s">
        <v>5060</v>
      </c>
      <c r="C518" s="123"/>
      <c r="D518" s="123" t="s">
        <v>5061</v>
      </c>
      <c r="E518" s="123" t="s">
        <v>3164</v>
      </c>
      <c r="F518" s="123" t="s">
        <v>3165</v>
      </c>
      <c r="G518" s="123" t="s">
        <v>291</v>
      </c>
      <c r="H518" s="123" t="s">
        <v>3089</v>
      </c>
      <c r="I518" s="123" t="s">
        <v>175</v>
      </c>
      <c r="J518" s="123" t="s">
        <v>3366</v>
      </c>
      <c r="K518" s="123"/>
      <c r="L518" s="123"/>
      <c r="M518" s="123" t="s">
        <v>3658</v>
      </c>
      <c r="N518" s="124">
        <v>33.3845</v>
      </c>
      <c r="O518" s="124">
        <v>-116.6406</v>
      </c>
      <c r="P518" s="124">
        <v>1429.0</v>
      </c>
      <c r="Q518" s="123" t="s">
        <v>3536</v>
      </c>
      <c r="R518" s="125" t="s">
        <v>5062</v>
      </c>
      <c r="S518" s="123"/>
      <c r="T518" s="125" t="s">
        <v>3170</v>
      </c>
      <c r="U518" s="124">
        <v>2004.0</v>
      </c>
      <c r="V518" s="123"/>
      <c r="W518" s="123" t="s">
        <v>3427</v>
      </c>
      <c r="X518" s="123"/>
    </row>
    <row r="519">
      <c r="A519" s="123" t="s">
        <v>87</v>
      </c>
      <c r="B519" s="123" t="s">
        <v>330</v>
      </c>
      <c r="C519" s="123"/>
      <c r="D519" s="123" t="s">
        <v>5063</v>
      </c>
      <c r="E519" s="123" t="s">
        <v>3164</v>
      </c>
      <c r="F519" s="123" t="s">
        <v>3165</v>
      </c>
      <c r="G519" s="123" t="s">
        <v>197</v>
      </c>
      <c r="H519" s="123" t="s">
        <v>3094</v>
      </c>
      <c r="I519" s="123" t="s">
        <v>201</v>
      </c>
      <c r="J519" s="123" t="s">
        <v>3174</v>
      </c>
      <c r="K519" s="124">
        <v>1309.77</v>
      </c>
      <c r="L519" s="124">
        <v>20.06</v>
      </c>
      <c r="M519" s="123" t="s">
        <v>3658</v>
      </c>
      <c r="N519" s="124">
        <v>29.7381</v>
      </c>
      <c r="O519" s="124">
        <v>-82.2188</v>
      </c>
      <c r="P519" s="124">
        <v>50.0</v>
      </c>
      <c r="Q519" s="123" t="s">
        <v>5064</v>
      </c>
      <c r="R519" s="125" t="s">
        <v>5065</v>
      </c>
      <c r="S519" s="123"/>
      <c r="T519" s="125" t="s">
        <v>3170</v>
      </c>
      <c r="U519" s="124">
        <v>2000.0</v>
      </c>
      <c r="V519" s="123"/>
      <c r="W519" s="123" t="s">
        <v>5066</v>
      </c>
      <c r="X519" s="123"/>
    </row>
    <row r="520">
      <c r="A520" s="123" t="s">
        <v>87</v>
      </c>
      <c r="B520" s="123" t="s">
        <v>5067</v>
      </c>
      <c r="C520" s="123"/>
      <c r="D520" s="123" t="s">
        <v>5068</v>
      </c>
      <c r="E520" s="123" t="s">
        <v>3164</v>
      </c>
      <c r="F520" s="123" t="s">
        <v>3165</v>
      </c>
      <c r="G520" s="123" t="s">
        <v>197</v>
      </c>
      <c r="H520" s="123" t="s">
        <v>3094</v>
      </c>
      <c r="I520" s="123" t="s">
        <v>201</v>
      </c>
      <c r="J520" s="123" t="s">
        <v>3174</v>
      </c>
      <c r="K520" s="124">
        <v>1314.41</v>
      </c>
      <c r="L520" s="124">
        <v>20.07</v>
      </c>
      <c r="M520" s="123" t="s">
        <v>3658</v>
      </c>
      <c r="N520" s="124">
        <v>29.7648</v>
      </c>
      <c r="O520" s="124">
        <v>-82.2448</v>
      </c>
      <c r="P520" s="124">
        <v>50.0</v>
      </c>
      <c r="Q520" s="123" t="s">
        <v>5069</v>
      </c>
      <c r="R520" s="125" t="s">
        <v>5070</v>
      </c>
      <c r="S520" s="123"/>
      <c r="T520" s="125" t="s">
        <v>3170</v>
      </c>
      <c r="U520" s="124">
        <v>1999.0</v>
      </c>
      <c r="V520" s="124">
        <v>2009.0</v>
      </c>
      <c r="W520" s="123" t="s">
        <v>3427</v>
      </c>
      <c r="X520" s="123"/>
    </row>
    <row r="521">
      <c r="A521" s="123" t="s">
        <v>87</v>
      </c>
      <c r="B521" s="123" t="s">
        <v>5071</v>
      </c>
      <c r="C521" s="123"/>
      <c r="D521" s="123" t="s">
        <v>5072</v>
      </c>
      <c r="E521" s="123" t="s">
        <v>3164</v>
      </c>
      <c r="F521" s="123" t="s">
        <v>3165</v>
      </c>
      <c r="G521" s="123" t="s">
        <v>197</v>
      </c>
      <c r="H521" s="123" t="s">
        <v>3094</v>
      </c>
      <c r="I521" s="123" t="s">
        <v>201</v>
      </c>
      <c r="J521" s="123" t="s">
        <v>3174</v>
      </c>
      <c r="K521" s="124">
        <v>1312.35</v>
      </c>
      <c r="L521" s="124">
        <v>20.25</v>
      </c>
      <c r="M521" s="123" t="s">
        <v>3658</v>
      </c>
      <c r="N521" s="124">
        <v>29.7548</v>
      </c>
      <c r="O521" s="124">
        <v>-82.1633</v>
      </c>
      <c r="P521" s="124">
        <v>50.0</v>
      </c>
      <c r="Q521" s="123" t="s">
        <v>3275</v>
      </c>
      <c r="R521" s="125" t="s">
        <v>5073</v>
      </c>
      <c r="S521" s="123"/>
      <c r="T521" s="125" t="s">
        <v>3170</v>
      </c>
      <c r="U521" s="124">
        <v>1999.0</v>
      </c>
      <c r="V521" s="124">
        <v>2013.0</v>
      </c>
      <c r="W521" s="123" t="s">
        <v>3427</v>
      </c>
      <c r="X521" s="123"/>
    </row>
    <row r="522">
      <c r="A522" s="123" t="s">
        <v>87</v>
      </c>
      <c r="B522" s="123" t="s">
        <v>5074</v>
      </c>
      <c r="C522" s="123"/>
      <c r="D522" s="123" t="s">
        <v>5075</v>
      </c>
      <c r="E522" s="123" t="s">
        <v>3164</v>
      </c>
      <c r="F522" s="123" t="s">
        <v>3165</v>
      </c>
      <c r="G522" s="123" t="s">
        <v>197</v>
      </c>
      <c r="H522" s="123" t="s">
        <v>3094</v>
      </c>
      <c r="I522" s="123" t="s">
        <v>201</v>
      </c>
      <c r="J522" s="123" t="s">
        <v>3174</v>
      </c>
      <c r="K522" s="124">
        <v>1319.63</v>
      </c>
      <c r="L522" s="124">
        <v>20.0</v>
      </c>
      <c r="M522" s="123" t="s">
        <v>3658</v>
      </c>
      <c r="N522" s="124">
        <v>29.8028</v>
      </c>
      <c r="O522" s="124">
        <v>-82.2031</v>
      </c>
      <c r="P522" s="124">
        <v>47.0</v>
      </c>
      <c r="Q522" s="124">
        <v>1998.0</v>
      </c>
      <c r="R522" s="125" t="s">
        <v>5076</v>
      </c>
      <c r="S522" s="123"/>
      <c r="T522" s="125" t="s">
        <v>3170</v>
      </c>
      <c r="U522" s="124">
        <v>1998.0</v>
      </c>
      <c r="V522" s="124">
        <v>1998.0</v>
      </c>
      <c r="W522" s="123" t="s">
        <v>5077</v>
      </c>
      <c r="X522" s="123"/>
    </row>
    <row r="523">
      <c r="A523" s="123" t="s">
        <v>87</v>
      </c>
      <c r="B523" s="123" t="s">
        <v>2402</v>
      </c>
      <c r="C523" s="123"/>
      <c r="D523" s="123" t="s">
        <v>2403</v>
      </c>
      <c r="E523" s="123" t="s">
        <v>3164</v>
      </c>
      <c r="F523" s="123" t="s">
        <v>3164</v>
      </c>
      <c r="G523" s="123" t="s">
        <v>292</v>
      </c>
      <c r="H523" s="123" t="s">
        <v>3097</v>
      </c>
      <c r="I523" s="123" t="s">
        <v>2409</v>
      </c>
      <c r="J523" s="123" t="s">
        <v>3589</v>
      </c>
      <c r="K523" s="124">
        <v>330.0</v>
      </c>
      <c r="L523" s="124">
        <v>22.0</v>
      </c>
      <c r="M523" s="123" t="s">
        <v>3658</v>
      </c>
      <c r="N523" s="124">
        <v>31.9083</v>
      </c>
      <c r="O523" s="124">
        <v>-110.8395</v>
      </c>
      <c r="P523" s="124">
        <v>950.0</v>
      </c>
      <c r="Q523" s="123" t="s">
        <v>4100</v>
      </c>
      <c r="R523" s="125" t="s">
        <v>5078</v>
      </c>
      <c r="S523" s="123" t="s">
        <v>4100</v>
      </c>
      <c r="T523" s="125" t="s">
        <v>5079</v>
      </c>
      <c r="U523" s="124">
        <v>2008.0</v>
      </c>
      <c r="V523" s="124">
        <v>2018.0</v>
      </c>
      <c r="W523" s="123" t="s">
        <v>5080</v>
      </c>
      <c r="X523" s="123"/>
    </row>
    <row r="524">
      <c r="A524" s="123" t="s">
        <v>87</v>
      </c>
      <c r="B524" s="123" t="s">
        <v>2484</v>
      </c>
      <c r="C524" s="123"/>
      <c r="D524" s="123" t="s">
        <v>2485</v>
      </c>
      <c r="E524" s="123" t="s">
        <v>3164</v>
      </c>
      <c r="F524" s="123" t="s">
        <v>3164</v>
      </c>
      <c r="G524" s="123" t="s">
        <v>288</v>
      </c>
      <c r="H524" s="123" t="s">
        <v>3095</v>
      </c>
      <c r="I524" s="123" t="s">
        <v>303</v>
      </c>
      <c r="J524" s="123" t="s">
        <v>3585</v>
      </c>
      <c r="K524" s="124">
        <v>420.0</v>
      </c>
      <c r="L524" s="124">
        <v>17.0</v>
      </c>
      <c r="M524" s="123" t="s">
        <v>3658</v>
      </c>
      <c r="N524" s="124">
        <v>31.7894</v>
      </c>
      <c r="O524" s="124">
        <v>-110.8277</v>
      </c>
      <c r="P524" s="124">
        <v>1291.0</v>
      </c>
      <c r="Q524" s="123" t="s">
        <v>4614</v>
      </c>
      <c r="R524" s="125" t="s">
        <v>5081</v>
      </c>
      <c r="S524" s="123" t="s">
        <v>4953</v>
      </c>
      <c r="T524" s="125" t="s">
        <v>5082</v>
      </c>
      <c r="U524" s="124">
        <v>2008.0</v>
      </c>
      <c r="V524" s="123"/>
      <c r="W524" s="123" t="s">
        <v>5083</v>
      </c>
      <c r="X524" s="123"/>
    </row>
    <row r="525">
      <c r="A525" s="123" t="s">
        <v>87</v>
      </c>
      <c r="B525" s="123" t="s">
        <v>300</v>
      </c>
      <c r="C525" s="123"/>
      <c r="D525" s="123" t="s">
        <v>301</v>
      </c>
      <c r="E525" s="123" t="s">
        <v>3164</v>
      </c>
      <c r="F525" s="123" t="s">
        <v>3165</v>
      </c>
      <c r="G525" s="123" t="s">
        <v>200</v>
      </c>
      <c r="H525" s="123" t="s">
        <v>3103</v>
      </c>
      <c r="I525" s="123" t="s">
        <v>303</v>
      </c>
      <c r="J525" s="123" t="s">
        <v>3585</v>
      </c>
      <c r="K525" s="124">
        <v>380.0</v>
      </c>
      <c r="L525" s="124">
        <v>17.92</v>
      </c>
      <c r="M525" s="123" t="s">
        <v>3658</v>
      </c>
      <c r="N525" s="124">
        <v>31.8214</v>
      </c>
      <c r="O525" s="124">
        <v>-110.8661</v>
      </c>
      <c r="P525" s="124">
        <v>1120.0</v>
      </c>
      <c r="Q525" s="123" t="s">
        <v>4191</v>
      </c>
      <c r="R525" s="125" t="s">
        <v>5084</v>
      </c>
      <c r="S525" s="123"/>
      <c r="T525" s="125" t="s">
        <v>3170</v>
      </c>
      <c r="U525" s="124">
        <v>2004.0</v>
      </c>
      <c r="V525" s="123"/>
      <c r="W525" s="123" t="s">
        <v>5085</v>
      </c>
      <c r="X525" s="123"/>
    </row>
    <row r="526">
      <c r="A526" s="123" t="s">
        <v>87</v>
      </c>
      <c r="B526" s="123" t="s">
        <v>5086</v>
      </c>
      <c r="C526" s="123"/>
      <c r="D526" s="123" t="s">
        <v>5087</v>
      </c>
      <c r="E526" s="123" t="s">
        <v>3164</v>
      </c>
      <c r="F526" s="123" t="s">
        <v>3164</v>
      </c>
      <c r="G526" s="123" t="s">
        <v>214</v>
      </c>
      <c r="H526" s="123" t="s">
        <v>3184</v>
      </c>
      <c r="I526" s="123" t="s">
        <v>175</v>
      </c>
      <c r="J526" s="123" t="s">
        <v>3366</v>
      </c>
      <c r="K526" s="124">
        <v>326.0</v>
      </c>
      <c r="L526" s="124">
        <v>15.1</v>
      </c>
      <c r="M526" s="123" t="s">
        <v>3658</v>
      </c>
      <c r="N526" s="124">
        <v>38.2006</v>
      </c>
      <c r="O526" s="124">
        <v>-122.0264</v>
      </c>
      <c r="P526" s="124">
        <v>8.0</v>
      </c>
      <c r="Q526" s="123" t="s">
        <v>5088</v>
      </c>
      <c r="R526" s="125" t="s">
        <v>5089</v>
      </c>
      <c r="S526" s="123" t="s">
        <v>5088</v>
      </c>
      <c r="T526" s="125" t="s">
        <v>5090</v>
      </c>
      <c r="U526" s="124">
        <v>2014.0</v>
      </c>
      <c r="V526" s="123"/>
      <c r="W526" s="123" t="s">
        <v>5091</v>
      </c>
      <c r="X526" s="123"/>
    </row>
    <row r="527">
      <c r="A527" s="123" t="s">
        <v>87</v>
      </c>
      <c r="B527" s="123" t="s">
        <v>5092</v>
      </c>
      <c r="C527" s="123"/>
      <c r="D527" s="123" t="s">
        <v>5093</v>
      </c>
      <c r="E527" s="123" t="s">
        <v>3164</v>
      </c>
      <c r="F527" s="123" t="s">
        <v>3164</v>
      </c>
      <c r="G527" s="123" t="s">
        <v>200</v>
      </c>
      <c r="H527" s="123" t="s">
        <v>3103</v>
      </c>
      <c r="I527" s="123" t="s">
        <v>303</v>
      </c>
      <c r="J527" s="123" t="s">
        <v>3585</v>
      </c>
      <c r="K527" s="124">
        <v>388.0</v>
      </c>
      <c r="L527" s="124">
        <v>19.4</v>
      </c>
      <c r="M527" s="123" t="s">
        <v>3658</v>
      </c>
      <c r="N527" s="124">
        <v>31.8173</v>
      </c>
      <c r="O527" s="124">
        <v>-110.8508</v>
      </c>
      <c r="P527" s="124">
        <v>1169.0</v>
      </c>
      <c r="Q527" s="123" t="s">
        <v>5094</v>
      </c>
      <c r="R527" s="125" t="s">
        <v>5095</v>
      </c>
      <c r="S527" s="123" t="s">
        <v>5094</v>
      </c>
      <c r="T527" s="125" t="s">
        <v>5096</v>
      </c>
      <c r="U527" s="124">
        <v>2011.0</v>
      </c>
      <c r="V527" s="124">
        <v>2019.0</v>
      </c>
      <c r="W527" s="123" t="s">
        <v>4354</v>
      </c>
      <c r="X527" s="123"/>
    </row>
    <row r="528">
      <c r="A528" s="123" t="s">
        <v>87</v>
      </c>
      <c r="B528" s="123" t="s">
        <v>5097</v>
      </c>
      <c r="C528" s="123"/>
      <c r="D528" s="123" t="s">
        <v>5098</v>
      </c>
      <c r="E528" s="123" t="s">
        <v>3164</v>
      </c>
      <c r="F528" s="123" t="s">
        <v>3165</v>
      </c>
      <c r="G528" s="123" t="s">
        <v>370</v>
      </c>
      <c r="H528" s="123" t="s">
        <v>3091</v>
      </c>
      <c r="I528" s="123" t="s">
        <v>107</v>
      </c>
      <c r="J528" s="123" t="s">
        <v>3249</v>
      </c>
      <c r="K528" s="124">
        <v>1050.0</v>
      </c>
      <c r="L528" s="124">
        <v>9.5</v>
      </c>
      <c r="M528" s="123" t="s">
        <v>3658</v>
      </c>
      <c r="N528" s="124">
        <v>40.6658</v>
      </c>
      <c r="O528" s="124">
        <v>-77.9041</v>
      </c>
      <c r="P528" s="124">
        <v>310.0</v>
      </c>
      <c r="Q528" s="123" t="s">
        <v>3784</v>
      </c>
      <c r="R528" s="125" t="s">
        <v>5099</v>
      </c>
      <c r="S528" s="123"/>
      <c r="T528" s="125" t="s">
        <v>3170</v>
      </c>
      <c r="U528" s="124">
        <v>2009.0</v>
      </c>
      <c r="V528" s="123"/>
      <c r="W528" s="123" t="s">
        <v>5100</v>
      </c>
      <c r="X528" s="123"/>
    </row>
    <row r="529">
      <c r="A529" s="123" t="s">
        <v>87</v>
      </c>
      <c r="B529" s="123" t="s">
        <v>2405</v>
      </c>
      <c r="C529" s="123"/>
      <c r="D529" s="123" t="s">
        <v>2406</v>
      </c>
      <c r="E529" s="123" t="s">
        <v>3164</v>
      </c>
      <c r="F529" s="123" t="s">
        <v>3165</v>
      </c>
      <c r="G529" s="123" t="s">
        <v>292</v>
      </c>
      <c r="H529" s="123" t="s">
        <v>3097</v>
      </c>
      <c r="I529" s="123" t="s">
        <v>2407</v>
      </c>
      <c r="J529" s="123" t="s">
        <v>3208</v>
      </c>
      <c r="K529" s="123"/>
      <c r="L529" s="124">
        <v>5.1</v>
      </c>
      <c r="M529" s="123" t="s">
        <v>3658</v>
      </c>
      <c r="N529" s="124">
        <v>41.3966</v>
      </c>
      <c r="O529" s="124">
        <v>-106.8024</v>
      </c>
      <c r="P529" s="124">
        <v>2069.0</v>
      </c>
      <c r="Q529" s="123" t="s">
        <v>4437</v>
      </c>
      <c r="R529" s="125" t="s">
        <v>5101</v>
      </c>
      <c r="S529" s="123"/>
      <c r="T529" s="125" t="s">
        <v>3170</v>
      </c>
      <c r="U529" s="124">
        <v>2006.0</v>
      </c>
      <c r="V529" s="124">
        <v>2009.0</v>
      </c>
      <c r="W529" s="123" t="s">
        <v>5102</v>
      </c>
      <c r="X529" s="123"/>
    </row>
    <row r="530">
      <c r="A530" s="123" t="s">
        <v>87</v>
      </c>
      <c r="B530" s="123" t="s">
        <v>5103</v>
      </c>
      <c r="C530" s="123"/>
      <c r="D530" s="123" t="s">
        <v>5104</v>
      </c>
      <c r="E530" s="123" t="s">
        <v>3164</v>
      </c>
      <c r="F530" s="123" t="s">
        <v>3164</v>
      </c>
      <c r="G530" s="123" t="s">
        <v>214</v>
      </c>
      <c r="H530" s="123" t="s">
        <v>3184</v>
      </c>
      <c r="I530" s="123" t="s">
        <v>201</v>
      </c>
      <c r="J530" s="123" t="s">
        <v>3174</v>
      </c>
      <c r="K530" s="124">
        <v>1121.0</v>
      </c>
      <c r="L530" s="124">
        <v>13.5</v>
      </c>
      <c r="M530" s="123" t="s">
        <v>3658</v>
      </c>
      <c r="N530" s="124">
        <v>39.0882</v>
      </c>
      <c r="O530" s="124">
        <v>-75.4372</v>
      </c>
      <c r="P530" s="124">
        <v>6.7</v>
      </c>
      <c r="Q530" s="123" t="s">
        <v>5088</v>
      </c>
      <c r="R530" s="125" t="s">
        <v>5105</v>
      </c>
      <c r="S530" s="123" t="s">
        <v>3592</v>
      </c>
      <c r="T530" s="125" t="s">
        <v>5106</v>
      </c>
      <c r="U530" s="124">
        <v>2015.0</v>
      </c>
      <c r="V530" s="123"/>
      <c r="W530" s="123" t="s">
        <v>5107</v>
      </c>
      <c r="X530" s="123"/>
    </row>
    <row r="531">
      <c r="A531" s="123" t="s">
        <v>87</v>
      </c>
      <c r="B531" s="123" t="s">
        <v>5108</v>
      </c>
      <c r="C531" s="123"/>
      <c r="D531" s="123" t="s">
        <v>5109</v>
      </c>
      <c r="E531" s="123" t="s">
        <v>3165</v>
      </c>
      <c r="F531" s="123" t="s">
        <v>3165</v>
      </c>
      <c r="G531" s="123" t="s">
        <v>214</v>
      </c>
      <c r="H531" s="123" t="s">
        <v>3184</v>
      </c>
      <c r="I531" s="123" t="s">
        <v>201</v>
      </c>
      <c r="J531" s="123" t="s">
        <v>3174</v>
      </c>
      <c r="K531" s="124">
        <v>1300.0</v>
      </c>
      <c r="L531" s="124">
        <v>18.1</v>
      </c>
      <c r="M531" s="123" t="s">
        <v>3658</v>
      </c>
      <c r="N531" s="124">
        <v>33.3302</v>
      </c>
      <c r="O531" s="124">
        <v>-79.2492</v>
      </c>
      <c r="P531" s="124">
        <v>0.0</v>
      </c>
      <c r="Q531" s="123"/>
      <c r="R531" s="125" t="s">
        <v>3170</v>
      </c>
      <c r="S531" s="123"/>
      <c r="T531" s="125" t="s">
        <v>3170</v>
      </c>
      <c r="U531" s="124">
        <v>2015.0</v>
      </c>
      <c r="V531" s="124">
        <v>2016.0</v>
      </c>
      <c r="W531" s="123"/>
      <c r="X531" s="123"/>
    </row>
    <row r="532">
      <c r="A532" s="123" t="s">
        <v>87</v>
      </c>
      <c r="B532" s="123" t="s">
        <v>5110</v>
      </c>
      <c r="C532" s="123"/>
      <c r="D532" s="123" t="s">
        <v>5111</v>
      </c>
      <c r="E532" s="123" t="s">
        <v>3164</v>
      </c>
      <c r="F532" s="123" t="s">
        <v>3165</v>
      </c>
      <c r="G532" s="123" t="s">
        <v>86</v>
      </c>
      <c r="H532" s="123" t="s">
        <v>3088</v>
      </c>
      <c r="I532" s="123" t="s">
        <v>335</v>
      </c>
      <c r="J532" s="123" t="s">
        <v>3206</v>
      </c>
      <c r="K532" s="124">
        <v>287.0</v>
      </c>
      <c r="L532" s="124">
        <v>24.1</v>
      </c>
      <c r="M532" s="123" t="s">
        <v>3658</v>
      </c>
      <c r="N532" s="124">
        <v>20.7981</v>
      </c>
      <c r="O532" s="124">
        <v>-156.454</v>
      </c>
      <c r="P532" s="124">
        <v>21.0</v>
      </c>
      <c r="Q532" s="123" t="s">
        <v>4578</v>
      </c>
      <c r="R532" s="125" t="s">
        <v>5112</v>
      </c>
      <c r="S532" s="123"/>
      <c r="T532" s="125" t="s">
        <v>3170</v>
      </c>
      <c r="U532" s="124">
        <v>2013.0</v>
      </c>
      <c r="V532" s="124">
        <v>2013.0</v>
      </c>
      <c r="W532" s="123" t="s">
        <v>5113</v>
      </c>
      <c r="X532" s="123"/>
    </row>
    <row r="533">
      <c r="A533" s="123" t="s">
        <v>87</v>
      </c>
      <c r="B533" s="123" t="s">
        <v>5114</v>
      </c>
      <c r="C533" s="123"/>
      <c r="D533" s="123" t="s">
        <v>5115</v>
      </c>
      <c r="E533" s="123" t="s">
        <v>3164</v>
      </c>
      <c r="F533" s="123" t="s">
        <v>3165</v>
      </c>
      <c r="G533" s="123" t="s">
        <v>86</v>
      </c>
      <c r="H533" s="123" t="s">
        <v>3088</v>
      </c>
      <c r="I533" s="123" t="s">
        <v>335</v>
      </c>
      <c r="J533" s="123" t="s">
        <v>3206</v>
      </c>
      <c r="K533" s="124">
        <v>334.0</v>
      </c>
      <c r="L533" s="124">
        <v>24.4</v>
      </c>
      <c r="M533" s="123" t="s">
        <v>3658</v>
      </c>
      <c r="N533" s="124">
        <v>20.7847</v>
      </c>
      <c r="O533" s="124">
        <v>-156.4039</v>
      </c>
      <c r="P533" s="124">
        <v>203.0</v>
      </c>
      <c r="Q533" s="123" t="s">
        <v>4124</v>
      </c>
      <c r="R533" s="125" t="s">
        <v>5116</v>
      </c>
      <c r="S533" s="123"/>
      <c r="T533" s="125" t="s">
        <v>3170</v>
      </c>
      <c r="U533" s="124">
        <v>2011.0</v>
      </c>
      <c r="V533" s="124">
        <v>2013.0</v>
      </c>
      <c r="W533" s="123" t="s">
        <v>5113</v>
      </c>
      <c r="X533" s="123"/>
    </row>
    <row r="534">
      <c r="A534" s="123" t="s">
        <v>87</v>
      </c>
      <c r="B534" s="123" t="s">
        <v>5117</v>
      </c>
      <c r="C534" s="123"/>
      <c r="D534" s="123" t="s">
        <v>5118</v>
      </c>
      <c r="E534" s="123" t="s">
        <v>3164</v>
      </c>
      <c r="F534" s="123" t="s">
        <v>3165</v>
      </c>
      <c r="G534" s="123" t="s">
        <v>86</v>
      </c>
      <c r="H534" s="123" t="s">
        <v>3088</v>
      </c>
      <c r="I534" s="123" t="s">
        <v>335</v>
      </c>
      <c r="J534" s="123" t="s">
        <v>3206</v>
      </c>
      <c r="K534" s="124">
        <v>366.0</v>
      </c>
      <c r="L534" s="124">
        <v>24.4</v>
      </c>
      <c r="M534" s="123" t="s">
        <v>3658</v>
      </c>
      <c r="N534" s="124">
        <v>20.8246</v>
      </c>
      <c r="O534" s="124">
        <v>-156.4913</v>
      </c>
      <c r="P534" s="124">
        <v>44.0</v>
      </c>
      <c r="Q534" s="123" t="s">
        <v>3958</v>
      </c>
      <c r="R534" s="125" t="s">
        <v>5119</v>
      </c>
      <c r="S534" s="123"/>
      <c r="T534" s="125" t="s">
        <v>3170</v>
      </c>
      <c r="U534" s="124">
        <v>2011.0</v>
      </c>
      <c r="V534" s="124">
        <v>2013.0</v>
      </c>
      <c r="W534" s="123" t="s">
        <v>5113</v>
      </c>
      <c r="X534" s="123"/>
    </row>
    <row r="535">
      <c r="A535" s="123" t="s">
        <v>87</v>
      </c>
      <c r="B535" s="123" t="s">
        <v>1329</v>
      </c>
      <c r="C535" s="123"/>
      <c r="D535" s="123" t="s">
        <v>1330</v>
      </c>
      <c r="E535" s="123" t="s">
        <v>3164</v>
      </c>
      <c r="F535" s="123" t="s">
        <v>3164</v>
      </c>
      <c r="G535" s="123" t="s">
        <v>452</v>
      </c>
      <c r="H535" s="123" t="s">
        <v>3096</v>
      </c>
      <c r="I535" s="123" t="s">
        <v>107</v>
      </c>
      <c r="J535" s="123" t="s">
        <v>3249</v>
      </c>
      <c r="K535" s="124">
        <v>826.0</v>
      </c>
      <c r="L535" s="124">
        <v>3.81</v>
      </c>
      <c r="M535" s="123" t="s">
        <v>3658</v>
      </c>
      <c r="N535" s="124">
        <v>46.242</v>
      </c>
      <c r="O535" s="124">
        <v>-89.3477</v>
      </c>
      <c r="P535" s="124">
        <v>540.0</v>
      </c>
      <c r="Q535" s="123" t="s">
        <v>4684</v>
      </c>
      <c r="R535" s="125" t="s">
        <v>5120</v>
      </c>
      <c r="S535" s="123" t="s">
        <v>5121</v>
      </c>
      <c r="T535" s="125" t="s">
        <v>5122</v>
      </c>
      <c r="U535" s="124">
        <v>2001.0</v>
      </c>
      <c r="V535" s="123"/>
      <c r="W535" s="123" t="s">
        <v>5123</v>
      </c>
      <c r="X535" s="123"/>
    </row>
    <row r="536">
      <c r="A536" s="123" t="s">
        <v>87</v>
      </c>
      <c r="B536" s="123" t="s">
        <v>2314</v>
      </c>
      <c r="C536" s="123"/>
      <c r="D536" s="123" t="s">
        <v>2315</v>
      </c>
      <c r="E536" s="123" t="s">
        <v>3165</v>
      </c>
      <c r="F536" s="123" t="s">
        <v>3165</v>
      </c>
      <c r="G536" s="123" t="s">
        <v>86</v>
      </c>
      <c r="H536" s="123" t="s">
        <v>3088</v>
      </c>
      <c r="I536" s="123" t="s">
        <v>445</v>
      </c>
      <c r="J536" s="123" t="s">
        <v>3317</v>
      </c>
      <c r="K536" s="124">
        <v>437.4</v>
      </c>
      <c r="L536" s="124">
        <v>9.5</v>
      </c>
      <c r="M536" s="123" t="s">
        <v>3658</v>
      </c>
      <c r="N536" s="124">
        <v>47.1245</v>
      </c>
      <c r="O536" s="124">
        <v>-117.5306</v>
      </c>
      <c r="P536" s="124">
        <v>657.0</v>
      </c>
      <c r="Q536" s="123"/>
      <c r="R536" s="125" t="s">
        <v>3170</v>
      </c>
      <c r="S536" s="123"/>
      <c r="T536" s="125" t="s">
        <v>3170</v>
      </c>
      <c r="U536" s="124">
        <v>2018.0</v>
      </c>
      <c r="V536" s="123"/>
      <c r="W536" s="123"/>
      <c r="X536" s="123"/>
    </row>
    <row r="537">
      <c r="A537" s="123" t="s">
        <v>87</v>
      </c>
      <c r="B537" s="123" t="s">
        <v>2322</v>
      </c>
      <c r="C537" s="123"/>
      <c r="D537" s="123" t="s">
        <v>2323</v>
      </c>
      <c r="E537" s="123" t="s">
        <v>3165</v>
      </c>
      <c r="F537" s="123" t="s">
        <v>3165</v>
      </c>
      <c r="G537" s="123" t="s">
        <v>86</v>
      </c>
      <c r="H537" s="123" t="s">
        <v>3088</v>
      </c>
      <c r="I537" s="123" t="s">
        <v>445</v>
      </c>
      <c r="J537" s="123" t="s">
        <v>3317</v>
      </c>
      <c r="K537" s="124">
        <v>437.4</v>
      </c>
      <c r="L537" s="124">
        <v>9.5</v>
      </c>
      <c r="M537" s="123" t="s">
        <v>3658</v>
      </c>
      <c r="N537" s="124">
        <v>47.1226</v>
      </c>
      <c r="O537" s="124">
        <v>-117.5271</v>
      </c>
      <c r="P537" s="124">
        <v>664.0</v>
      </c>
      <c r="Q537" s="123"/>
      <c r="R537" s="125" t="s">
        <v>3170</v>
      </c>
      <c r="S537" s="123"/>
      <c r="T537" s="125" t="s">
        <v>3170</v>
      </c>
      <c r="U537" s="124">
        <v>2018.0</v>
      </c>
      <c r="V537" s="123"/>
      <c r="W537" s="123"/>
      <c r="X537" s="123"/>
    </row>
    <row r="538">
      <c r="A538" s="123" t="s">
        <v>87</v>
      </c>
      <c r="B538" s="123" t="s">
        <v>2325</v>
      </c>
      <c r="C538" s="123"/>
      <c r="D538" s="123" t="s">
        <v>2326</v>
      </c>
      <c r="E538" s="123" t="s">
        <v>3165</v>
      </c>
      <c r="F538" s="123" t="s">
        <v>3165</v>
      </c>
      <c r="G538" s="123" t="s">
        <v>86</v>
      </c>
      <c r="H538" s="123" t="s">
        <v>3088</v>
      </c>
      <c r="I538" s="123" t="s">
        <v>445</v>
      </c>
      <c r="J538" s="123" t="s">
        <v>3317</v>
      </c>
      <c r="K538" s="124">
        <v>437.4</v>
      </c>
      <c r="L538" s="124">
        <v>9.5</v>
      </c>
      <c r="M538" s="123" t="s">
        <v>3658</v>
      </c>
      <c r="N538" s="124">
        <v>47.1261</v>
      </c>
      <c r="O538" s="124">
        <v>-117.5267</v>
      </c>
      <c r="P538" s="124">
        <v>687.0</v>
      </c>
      <c r="Q538" s="123"/>
      <c r="R538" s="125" t="s">
        <v>3170</v>
      </c>
      <c r="S538" s="123"/>
      <c r="T538" s="125" t="s">
        <v>3170</v>
      </c>
      <c r="U538" s="124">
        <v>2018.0</v>
      </c>
      <c r="V538" s="123"/>
      <c r="W538" s="123"/>
      <c r="X538" s="123"/>
    </row>
    <row r="539">
      <c r="A539" s="123" t="s">
        <v>87</v>
      </c>
      <c r="B539" s="123" t="s">
        <v>5124</v>
      </c>
      <c r="C539" s="123"/>
      <c r="D539" s="123" t="s">
        <v>5125</v>
      </c>
      <c r="E539" s="123" t="s">
        <v>3164</v>
      </c>
      <c r="F539" s="123" t="s">
        <v>3165</v>
      </c>
      <c r="G539" s="123" t="s">
        <v>214</v>
      </c>
      <c r="H539" s="123" t="s">
        <v>3184</v>
      </c>
      <c r="I539" s="123" t="s">
        <v>592</v>
      </c>
      <c r="J539" s="123" t="s">
        <v>3216</v>
      </c>
      <c r="K539" s="124">
        <v>986.8</v>
      </c>
      <c r="L539" s="124">
        <v>23.7</v>
      </c>
      <c r="M539" s="123" t="s">
        <v>3658</v>
      </c>
      <c r="N539" s="124">
        <v>25.1908</v>
      </c>
      <c r="O539" s="124">
        <v>-80.6391</v>
      </c>
      <c r="P539" s="124">
        <v>3.0</v>
      </c>
      <c r="Q539" s="123" t="s">
        <v>3782</v>
      </c>
      <c r="R539" s="125" t="s">
        <v>5126</v>
      </c>
      <c r="S539" s="123"/>
      <c r="T539" s="125" t="s">
        <v>3170</v>
      </c>
      <c r="U539" s="124">
        <v>2016.0</v>
      </c>
      <c r="V539" s="124">
        <v>2021.0</v>
      </c>
      <c r="W539" s="123" t="s">
        <v>5127</v>
      </c>
      <c r="X539" s="123"/>
    </row>
    <row r="540">
      <c r="A540" s="123" t="s">
        <v>87</v>
      </c>
      <c r="B540" s="123" t="s">
        <v>2347</v>
      </c>
      <c r="C540" s="123"/>
      <c r="D540" s="123" t="s">
        <v>5128</v>
      </c>
      <c r="E540" s="123" t="s">
        <v>3165</v>
      </c>
      <c r="F540" s="123" t="s">
        <v>3165</v>
      </c>
      <c r="G540" s="123" t="s">
        <v>214</v>
      </c>
      <c r="H540" s="123" t="s">
        <v>3184</v>
      </c>
      <c r="I540" s="123" t="s">
        <v>201</v>
      </c>
      <c r="J540" s="123" t="s">
        <v>3174</v>
      </c>
      <c r="K540" s="124">
        <v>1312.0</v>
      </c>
      <c r="L540" s="124">
        <v>23.6</v>
      </c>
      <c r="M540" s="123" t="s">
        <v>3658</v>
      </c>
      <c r="N540" s="124">
        <v>25.8221</v>
      </c>
      <c r="O540" s="124">
        <v>-81.1017</v>
      </c>
      <c r="P540" s="124">
        <v>1.2</v>
      </c>
      <c r="Q540" s="123"/>
      <c r="R540" s="125" t="s">
        <v>3170</v>
      </c>
      <c r="S540" s="123"/>
      <c r="T540" s="125" t="s">
        <v>3170</v>
      </c>
      <c r="U540" s="124">
        <v>2012.0</v>
      </c>
      <c r="V540" s="124">
        <v>2020.0</v>
      </c>
      <c r="W540" s="123"/>
      <c r="X540" s="123"/>
    </row>
    <row r="541">
      <c r="A541" s="123" t="s">
        <v>87</v>
      </c>
      <c r="B541" s="123" t="s">
        <v>5129</v>
      </c>
      <c r="C541" s="123"/>
      <c r="D541" s="123" t="s">
        <v>5130</v>
      </c>
      <c r="E541" s="123" t="s">
        <v>3164</v>
      </c>
      <c r="F541" s="123" t="s">
        <v>3165</v>
      </c>
      <c r="G541" s="123" t="s">
        <v>197</v>
      </c>
      <c r="H541" s="123" t="s">
        <v>3094</v>
      </c>
      <c r="I541" s="123" t="s">
        <v>372</v>
      </c>
      <c r="J541" s="123" t="s">
        <v>3292</v>
      </c>
      <c r="K541" s="124">
        <v>880.0</v>
      </c>
      <c r="L541" s="124">
        <v>0.0</v>
      </c>
      <c r="M541" s="123" t="s">
        <v>3658</v>
      </c>
      <c r="N541" s="124">
        <v>46.9522</v>
      </c>
      <c r="O541" s="124">
        <v>-110.8851</v>
      </c>
      <c r="P541" s="124">
        <v>2280.0</v>
      </c>
      <c r="Q541" s="123" t="s">
        <v>4036</v>
      </c>
      <c r="R541" s="125" t="s">
        <v>5131</v>
      </c>
      <c r="S541" s="123"/>
      <c r="T541" s="125" t="s">
        <v>3170</v>
      </c>
      <c r="U541" s="124">
        <v>2010.0</v>
      </c>
      <c r="V541" s="123"/>
      <c r="W541" s="123" t="s">
        <v>5132</v>
      </c>
      <c r="X541" s="123"/>
    </row>
    <row r="542">
      <c r="A542" s="123" t="s">
        <v>87</v>
      </c>
      <c r="B542" s="123" t="s">
        <v>5133</v>
      </c>
      <c r="C542" s="123"/>
      <c r="D542" s="123" t="s">
        <v>5134</v>
      </c>
      <c r="E542" s="123" t="s">
        <v>3165</v>
      </c>
      <c r="F542" s="123" t="s">
        <v>3165</v>
      </c>
      <c r="G542" s="123" t="s">
        <v>452</v>
      </c>
      <c r="H542" s="123" t="s">
        <v>3096</v>
      </c>
      <c r="I542" s="123" t="s">
        <v>107</v>
      </c>
      <c r="J542" s="123" t="s">
        <v>3249</v>
      </c>
      <c r="K542" s="124">
        <v>1170.0</v>
      </c>
      <c r="L542" s="124">
        <v>8.9</v>
      </c>
      <c r="M542" s="123" t="s">
        <v>3658</v>
      </c>
      <c r="N542" s="124">
        <v>43.1084</v>
      </c>
      <c r="O542" s="124">
        <v>-70.9523</v>
      </c>
      <c r="P542" s="124">
        <v>23.3</v>
      </c>
      <c r="Q542" s="123"/>
      <c r="R542" s="125" t="s">
        <v>3170</v>
      </c>
      <c r="S542" s="123"/>
      <c r="T542" s="125" t="s">
        <v>3170</v>
      </c>
      <c r="U542" s="124">
        <v>2014.0</v>
      </c>
      <c r="V542" s="123"/>
      <c r="W542" s="123"/>
      <c r="X542" s="123"/>
    </row>
    <row r="543">
      <c r="A543" s="123" t="s">
        <v>87</v>
      </c>
      <c r="B543" s="123" t="s">
        <v>5135</v>
      </c>
      <c r="C543" s="123"/>
      <c r="D543" s="123" t="s">
        <v>310</v>
      </c>
      <c r="E543" s="123" t="s">
        <v>3164</v>
      </c>
      <c r="F543" s="123" t="s">
        <v>3164</v>
      </c>
      <c r="G543" s="123" t="s">
        <v>200</v>
      </c>
      <c r="H543" s="123" t="s">
        <v>3103</v>
      </c>
      <c r="I543" s="123" t="s">
        <v>175</v>
      </c>
      <c r="J543" s="123" t="s">
        <v>3366</v>
      </c>
      <c r="K543" s="124">
        <v>559.0</v>
      </c>
      <c r="L543" s="124">
        <v>15.8</v>
      </c>
      <c r="M543" s="123" t="s">
        <v>3658</v>
      </c>
      <c r="N543" s="124">
        <v>38.4309</v>
      </c>
      <c r="O543" s="124">
        <v>-120.966</v>
      </c>
      <c r="P543" s="124">
        <v>177.0</v>
      </c>
      <c r="Q543" s="123" t="s">
        <v>4684</v>
      </c>
      <c r="R543" s="125" t="s">
        <v>5136</v>
      </c>
      <c r="S543" s="123" t="s">
        <v>5121</v>
      </c>
      <c r="T543" s="125" t="s">
        <v>5137</v>
      </c>
      <c r="U543" s="124">
        <v>2001.0</v>
      </c>
      <c r="V543" s="123"/>
      <c r="W543" s="123" t="s">
        <v>5138</v>
      </c>
      <c r="X543" s="123"/>
    </row>
    <row r="544">
      <c r="A544" s="123" t="s">
        <v>87</v>
      </c>
      <c r="B544" s="123" t="s">
        <v>5139</v>
      </c>
      <c r="C544" s="123"/>
      <c r="D544" s="123" t="s">
        <v>5140</v>
      </c>
      <c r="E544" s="123" t="s">
        <v>3164</v>
      </c>
      <c r="F544" s="123" t="s">
        <v>3165</v>
      </c>
      <c r="G544" s="123" t="s">
        <v>1085</v>
      </c>
      <c r="H544" s="123" t="s">
        <v>3588</v>
      </c>
      <c r="I544" s="123" t="s">
        <v>107</v>
      </c>
      <c r="J544" s="123" t="s">
        <v>3249</v>
      </c>
      <c r="K544" s="124">
        <v>787.0</v>
      </c>
      <c r="L544" s="124">
        <v>3.8</v>
      </c>
      <c r="M544" s="123" t="s">
        <v>3658</v>
      </c>
      <c r="N544" s="124">
        <v>46.0412</v>
      </c>
      <c r="O544" s="124">
        <v>-89.6862</v>
      </c>
      <c r="P544" s="124">
        <v>499.0</v>
      </c>
      <c r="Q544" s="124">
        <v>2020.0</v>
      </c>
      <c r="R544" s="125" t="s">
        <v>5141</v>
      </c>
      <c r="S544" s="123"/>
      <c r="T544" s="125" t="s">
        <v>3170</v>
      </c>
      <c r="U544" s="124">
        <v>2020.0</v>
      </c>
      <c r="V544" s="123"/>
      <c r="W544" s="123" t="s">
        <v>5142</v>
      </c>
      <c r="X544" s="123"/>
    </row>
    <row r="545">
      <c r="A545" s="123" t="s">
        <v>87</v>
      </c>
      <c r="B545" s="123" t="s">
        <v>5143</v>
      </c>
      <c r="C545" s="123"/>
      <c r="D545" s="123" t="s">
        <v>5144</v>
      </c>
      <c r="E545" s="123" t="s">
        <v>3164</v>
      </c>
      <c r="F545" s="123" t="s">
        <v>3165</v>
      </c>
      <c r="G545" s="123" t="s">
        <v>1085</v>
      </c>
      <c r="H545" s="123" t="s">
        <v>3588</v>
      </c>
      <c r="I545" s="123" t="s">
        <v>107</v>
      </c>
      <c r="J545" s="123" t="s">
        <v>3249</v>
      </c>
      <c r="K545" s="124">
        <v>787.0</v>
      </c>
      <c r="L545" s="124">
        <v>3.8</v>
      </c>
      <c r="M545" s="123" t="s">
        <v>3658</v>
      </c>
      <c r="N545" s="124">
        <v>46.0034</v>
      </c>
      <c r="O545" s="124">
        <v>-89.7053</v>
      </c>
      <c r="P545" s="124">
        <v>495.0</v>
      </c>
      <c r="Q545" s="124">
        <v>2020.0</v>
      </c>
      <c r="R545" s="125" t="s">
        <v>5145</v>
      </c>
      <c r="S545" s="123"/>
      <c r="T545" s="125" t="s">
        <v>3170</v>
      </c>
      <c r="U545" s="124">
        <v>2020.0</v>
      </c>
      <c r="V545" s="123"/>
      <c r="W545" s="123" t="s">
        <v>5142</v>
      </c>
      <c r="X545" s="123"/>
    </row>
    <row r="546">
      <c r="A546" s="123" t="s">
        <v>87</v>
      </c>
      <c r="B546" s="123" t="s">
        <v>5146</v>
      </c>
      <c r="C546" s="123"/>
      <c r="D546" s="123" t="s">
        <v>5147</v>
      </c>
      <c r="E546" s="123" t="s">
        <v>3164</v>
      </c>
      <c r="F546" s="123" t="s">
        <v>3165</v>
      </c>
      <c r="G546" s="123" t="s">
        <v>288</v>
      </c>
      <c r="H546" s="123" t="s">
        <v>3095</v>
      </c>
      <c r="I546" s="123" t="s">
        <v>107</v>
      </c>
      <c r="J546" s="123" t="s">
        <v>3249</v>
      </c>
      <c r="K546" s="124">
        <v>670.0</v>
      </c>
      <c r="L546" s="124">
        <v>6.67</v>
      </c>
      <c r="M546" s="123" t="s">
        <v>3658</v>
      </c>
      <c r="N546" s="124">
        <v>45.5571</v>
      </c>
      <c r="O546" s="124">
        <v>-111.2286</v>
      </c>
      <c r="P546" s="124">
        <v>1530.0</v>
      </c>
      <c r="Q546" s="123" t="s">
        <v>3609</v>
      </c>
      <c r="R546" s="125" t="s">
        <v>5148</v>
      </c>
      <c r="S546" s="123"/>
      <c r="T546" s="125" t="s">
        <v>3170</v>
      </c>
      <c r="U546" s="124">
        <v>2017.0</v>
      </c>
      <c r="V546" s="124">
        <v>2018.0</v>
      </c>
      <c r="W546" s="123" t="s">
        <v>5149</v>
      </c>
      <c r="X546" s="123"/>
    </row>
    <row r="547">
      <c r="A547" s="123" t="s">
        <v>87</v>
      </c>
      <c r="B547" s="123" t="s">
        <v>849</v>
      </c>
      <c r="C547" s="123"/>
      <c r="D547" s="123" t="s">
        <v>5150</v>
      </c>
      <c r="E547" s="123" t="s">
        <v>3164</v>
      </c>
      <c r="F547" s="123" t="s">
        <v>3164</v>
      </c>
      <c r="G547" s="123" t="s">
        <v>214</v>
      </c>
      <c r="H547" s="123" t="s">
        <v>3184</v>
      </c>
      <c r="I547" s="123" t="s">
        <v>175</v>
      </c>
      <c r="J547" s="123" t="s">
        <v>3366</v>
      </c>
      <c r="K547" s="124">
        <v>421.0</v>
      </c>
      <c r="L547" s="124">
        <v>15.5</v>
      </c>
      <c r="M547" s="123" t="s">
        <v>3658</v>
      </c>
      <c r="N547" s="124">
        <v>38.1074</v>
      </c>
      <c r="O547" s="124">
        <v>-121.6469</v>
      </c>
      <c r="P547" s="124">
        <v>-5.0</v>
      </c>
      <c r="Q547" s="123" t="s">
        <v>3692</v>
      </c>
      <c r="R547" s="125" t="s">
        <v>5151</v>
      </c>
      <c r="S547" s="123" t="s">
        <v>3664</v>
      </c>
      <c r="T547" s="125" t="s">
        <v>5152</v>
      </c>
      <c r="U547" s="124">
        <v>2012.0</v>
      </c>
      <c r="V547" s="123"/>
      <c r="W547" s="123" t="s">
        <v>5153</v>
      </c>
      <c r="X547" s="123"/>
    </row>
    <row r="548">
      <c r="A548" s="123" t="s">
        <v>87</v>
      </c>
      <c r="B548" s="123" t="s">
        <v>531</v>
      </c>
      <c r="C548" s="123"/>
      <c r="D548" s="123" t="s">
        <v>5154</v>
      </c>
      <c r="E548" s="123" t="s">
        <v>3164</v>
      </c>
      <c r="F548" s="123" t="s">
        <v>3164</v>
      </c>
      <c r="G548" s="123" t="s">
        <v>86</v>
      </c>
      <c r="H548" s="123" t="s">
        <v>3088</v>
      </c>
      <c r="I548" s="123" t="s">
        <v>175</v>
      </c>
      <c r="J548" s="123" t="s">
        <v>3366</v>
      </c>
      <c r="K548" s="124">
        <v>421.0</v>
      </c>
      <c r="L548" s="124">
        <v>15.5</v>
      </c>
      <c r="M548" s="123" t="s">
        <v>3658</v>
      </c>
      <c r="N548" s="124">
        <v>38.0969</v>
      </c>
      <c r="O548" s="124">
        <v>-121.6365</v>
      </c>
      <c r="P548" s="124">
        <v>-5.0</v>
      </c>
      <c r="Q548" s="123" t="s">
        <v>3168</v>
      </c>
      <c r="R548" s="125" t="s">
        <v>5155</v>
      </c>
      <c r="S548" s="123" t="s">
        <v>3168</v>
      </c>
      <c r="T548" s="125" t="s">
        <v>5156</v>
      </c>
      <c r="U548" s="124">
        <v>2012.0</v>
      </c>
      <c r="V548" s="124">
        <v>2013.0</v>
      </c>
      <c r="W548" s="123" t="s">
        <v>5157</v>
      </c>
      <c r="X548" s="123"/>
    </row>
    <row r="549">
      <c r="A549" s="123" t="s">
        <v>87</v>
      </c>
      <c r="B549" s="123" t="s">
        <v>533</v>
      </c>
      <c r="C549" s="123"/>
      <c r="D549" s="123" t="s">
        <v>5158</v>
      </c>
      <c r="E549" s="123" t="s">
        <v>3164</v>
      </c>
      <c r="F549" s="123" t="s">
        <v>3164</v>
      </c>
      <c r="G549" s="123" t="s">
        <v>86</v>
      </c>
      <c r="H549" s="123" t="s">
        <v>3088</v>
      </c>
      <c r="I549" s="123" t="s">
        <v>175</v>
      </c>
      <c r="J549" s="123" t="s">
        <v>3366</v>
      </c>
      <c r="K549" s="124">
        <v>421.0</v>
      </c>
      <c r="L549" s="124">
        <v>15.6</v>
      </c>
      <c r="M549" s="123" t="s">
        <v>3658</v>
      </c>
      <c r="N549" s="124">
        <v>38.1152</v>
      </c>
      <c r="O549" s="124">
        <v>-121.6469</v>
      </c>
      <c r="P549" s="124">
        <v>-4.0</v>
      </c>
      <c r="Q549" s="123" t="s">
        <v>5159</v>
      </c>
      <c r="R549" s="125" t="s">
        <v>5160</v>
      </c>
      <c r="S549" s="123" t="s">
        <v>5159</v>
      </c>
      <c r="T549" s="125" t="s">
        <v>5161</v>
      </c>
      <c r="U549" s="124">
        <v>2013.0</v>
      </c>
      <c r="V549" s="124">
        <v>2018.0</v>
      </c>
      <c r="W549" s="123" t="s">
        <v>5162</v>
      </c>
      <c r="X549" s="123"/>
    </row>
    <row r="550">
      <c r="A550" s="123" t="s">
        <v>87</v>
      </c>
      <c r="B550" s="123" t="s">
        <v>851</v>
      </c>
      <c r="C550" s="123"/>
      <c r="D550" s="123" t="s">
        <v>5163</v>
      </c>
      <c r="E550" s="123" t="s">
        <v>3164</v>
      </c>
      <c r="F550" s="123" t="s">
        <v>3164</v>
      </c>
      <c r="G550" s="123" t="s">
        <v>214</v>
      </c>
      <c r="H550" s="123" t="s">
        <v>3184</v>
      </c>
      <c r="I550" s="123" t="s">
        <v>175</v>
      </c>
      <c r="J550" s="123" t="s">
        <v>3366</v>
      </c>
      <c r="K550" s="124">
        <v>421.0</v>
      </c>
      <c r="L550" s="124">
        <v>15.6</v>
      </c>
      <c r="M550" s="123" t="s">
        <v>3658</v>
      </c>
      <c r="N550" s="124">
        <v>38.1027</v>
      </c>
      <c r="O550" s="124">
        <v>-121.6413</v>
      </c>
      <c r="P550" s="124">
        <v>-5.0</v>
      </c>
      <c r="Q550" s="123" t="s">
        <v>5164</v>
      </c>
      <c r="R550" s="125" t="s">
        <v>5165</v>
      </c>
      <c r="S550" s="123" t="s">
        <v>4675</v>
      </c>
      <c r="T550" s="125" t="s">
        <v>5166</v>
      </c>
      <c r="U550" s="124">
        <v>2013.0</v>
      </c>
      <c r="V550" s="123"/>
      <c r="W550" s="123" t="s">
        <v>5167</v>
      </c>
      <c r="X550" s="123"/>
    </row>
    <row r="551">
      <c r="A551" s="123" t="s">
        <v>87</v>
      </c>
      <c r="B551" s="123" t="s">
        <v>5168</v>
      </c>
      <c r="C551" s="123"/>
      <c r="D551" s="123" t="s">
        <v>5169</v>
      </c>
      <c r="E551" s="123" t="s">
        <v>3164</v>
      </c>
      <c r="F551" s="123" t="s">
        <v>3164</v>
      </c>
      <c r="G551" s="123" t="s">
        <v>214</v>
      </c>
      <c r="H551" s="123" t="s">
        <v>3184</v>
      </c>
      <c r="I551" s="123" t="s">
        <v>175</v>
      </c>
      <c r="J551" s="123" t="s">
        <v>3366</v>
      </c>
      <c r="K551" s="124">
        <v>421.0</v>
      </c>
      <c r="L551" s="124">
        <v>15.5</v>
      </c>
      <c r="M551" s="123" t="s">
        <v>3658</v>
      </c>
      <c r="N551" s="124">
        <v>38.1072</v>
      </c>
      <c r="O551" s="124">
        <v>-121.6426</v>
      </c>
      <c r="P551" s="124">
        <v>-5.0</v>
      </c>
      <c r="Q551" s="123" t="s">
        <v>3180</v>
      </c>
      <c r="R551" s="125" t="s">
        <v>5170</v>
      </c>
      <c r="S551" s="123" t="s">
        <v>3639</v>
      </c>
      <c r="T551" s="125" t="s">
        <v>5171</v>
      </c>
      <c r="U551" s="124">
        <v>2018.0</v>
      </c>
      <c r="V551" s="124">
        <v>2020.0</v>
      </c>
      <c r="W551" s="123" t="s">
        <v>5153</v>
      </c>
      <c r="X551" s="123"/>
    </row>
    <row r="552">
      <c r="A552" s="123" t="s">
        <v>87</v>
      </c>
      <c r="B552" s="123" t="s">
        <v>537</v>
      </c>
      <c r="C552" s="123"/>
      <c r="D552" s="123" t="s">
        <v>538</v>
      </c>
      <c r="E552" s="123" t="s">
        <v>3164</v>
      </c>
      <c r="F552" s="123" t="s">
        <v>3165</v>
      </c>
      <c r="G552" s="123" t="s">
        <v>86</v>
      </c>
      <c r="H552" s="123" t="s">
        <v>3088</v>
      </c>
      <c r="I552" s="123" t="s">
        <v>175</v>
      </c>
      <c r="J552" s="123" t="s">
        <v>3366</v>
      </c>
      <c r="K552" s="124">
        <v>421.0</v>
      </c>
      <c r="L552" s="124">
        <v>15.6</v>
      </c>
      <c r="M552" s="123" t="s">
        <v>3658</v>
      </c>
      <c r="N552" s="124">
        <v>38.1087</v>
      </c>
      <c r="O552" s="124">
        <v>-121.6531</v>
      </c>
      <c r="P552" s="124">
        <v>-7.0</v>
      </c>
      <c r="Q552" s="123" t="s">
        <v>4469</v>
      </c>
      <c r="R552" s="125" t="s">
        <v>5172</v>
      </c>
      <c r="S552" s="123"/>
      <c r="T552" s="125" t="s">
        <v>3170</v>
      </c>
      <c r="U552" s="124">
        <v>2009.0</v>
      </c>
      <c r="V552" s="124">
        <v>2017.0</v>
      </c>
      <c r="W552" s="123" t="s">
        <v>5173</v>
      </c>
      <c r="X552" s="123"/>
    </row>
    <row r="553">
      <c r="A553" s="123" t="s">
        <v>87</v>
      </c>
      <c r="B553" s="123" t="s">
        <v>5174</v>
      </c>
      <c r="C553" s="123"/>
      <c r="D553" s="123" t="s">
        <v>5175</v>
      </c>
      <c r="E553" s="123" t="s">
        <v>3165</v>
      </c>
      <c r="F553" s="123" t="s">
        <v>3165</v>
      </c>
      <c r="G553" s="123" t="s">
        <v>288</v>
      </c>
      <c r="H553" s="123" t="s">
        <v>3095</v>
      </c>
      <c r="I553" s="123" t="s">
        <v>201</v>
      </c>
      <c r="J553" s="123" t="s">
        <v>3174</v>
      </c>
      <c r="K553" s="124">
        <v>889.0</v>
      </c>
      <c r="L553" s="124">
        <v>25.6</v>
      </c>
      <c r="M553" s="123" t="s">
        <v>3658</v>
      </c>
      <c r="N553" s="124">
        <v>30.6176</v>
      </c>
      <c r="O553" s="124">
        <v>-97.2938</v>
      </c>
      <c r="P553" s="124">
        <v>157.0</v>
      </c>
      <c r="Q553" s="123"/>
      <c r="R553" s="125" t="s">
        <v>3170</v>
      </c>
      <c r="S553" s="123"/>
      <c r="T553" s="125" t="s">
        <v>3170</v>
      </c>
      <c r="U553" s="124">
        <v>2016.0</v>
      </c>
      <c r="V553" s="123"/>
      <c r="W553" s="123"/>
      <c r="X553" s="123"/>
    </row>
    <row r="554">
      <c r="A554" s="123" t="s">
        <v>87</v>
      </c>
      <c r="B554" s="123" t="s">
        <v>5176</v>
      </c>
      <c r="C554" s="123"/>
      <c r="D554" s="123" t="s">
        <v>5177</v>
      </c>
      <c r="E554" s="123" t="s">
        <v>3165</v>
      </c>
      <c r="F554" s="123" t="s">
        <v>3165</v>
      </c>
      <c r="G554" s="123" t="s">
        <v>288</v>
      </c>
      <c r="H554" s="123" t="s">
        <v>3095</v>
      </c>
      <c r="I554" s="123" t="s">
        <v>201</v>
      </c>
      <c r="J554" s="123" t="s">
        <v>3174</v>
      </c>
      <c r="K554" s="124">
        <v>914.0</v>
      </c>
      <c r="L554" s="124">
        <v>18.95</v>
      </c>
      <c r="M554" s="123" t="s">
        <v>3658</v>
      </c>
      <c r="N554" s="124">
        <v>31.4802</v>
      </c>
      <c r="O554" s="124">
        <v>-96.8827</v>
      </c>
      <c r="P554" s="124">
        <v>162.0</v>
      </c>
      <c r="Q554" s="123"/>
      <c r="R554" s="125" t="s">
        <v>3170</v>
      </c>
      <c r="S554" s="123"/>
      <c r="T554" s="125" t="s">
        <v>3170</v>
      </c>
      <c r="U554" s="124">
        <v>2016.0</v>
      </c>
      <c r="V554" s="123"/>
      <c r="W554" s="123"/>
      <c r="X554" s="123"/>
    </row>
    <row r="555">
      <c r="A555" s="123" t="s">
        <v>87</v>
      </c>
      <c r="B555" s="123" t="s">
        <v>5178</v>
      </c>
      <c r="C555" s="123"/>
      <c r="D555" s="123" t="s">
        <v>5179</v>
      </c>
      <c r="E555" s="123" t="s">
        <v>3165</v>
      </c>
      <c r="F555" s="123" t="s">
        <v>3165</v>
      </c>
      <c r="G555" s="123" t="s">
        <v>86</v>
      </c>
      <c r="H555" s="123" t="s">
        <v>3088</v>
      </c>
      <c r="I555" s="123" t="s">
        <v>201</v>
      </c>
      <c r="J555" s="123" t="s">
        <v>3174</v>
      </c>
      <c r="K555" s="124">
        <v>914.0</v>
      </c>
      <c r="L555" s="124">
        <v>18.95</v>
      </c>
      <c r="M555" s="123" t="s">
        <v>3658</v>
      </c>
      <c r="N555" s="124">
        <v>31.4777</v>
      </c>
      <c r="O555" s="124">
        <v>-96.8883</v>
      </c>
      <c r="P555" s="124">
        <v>167.0</v>
      </c>
      <c r="Q555" s="123"/>
      <c r="R555" s="125" t="s">
        <v>3170</v>
      </c>
      <c r="S555" s="123"/>
      <c r="T555" s="125" t="s">
        <v>3170</v>
      </c>
      <c r="U555" s="124">
        <v>2016.0</v>
      </c>
      <c r="V555" s="123"/>
      <c r="W555" s="123"/>
      <c r="X555" s="123"/>
    </row>
    <row r="556">
      <c r="A556" s="123" t="s">
        <v>87</v>
      </c>
      <c r="B556" s="123" t="s">
        <v>5180</v>
      </c>
      <c r="C556" s="123"/>
      <c r="D556" s="123" t="s">
        <v>5181</v>
      </c>
      <c r="E556" s="123" t="s">
        <v>3165</v>
      </c>
      <c r="F556" s="123" t="s">
        <v>3165</v>
      </c>
      <c r="G556" s="123" t="s">
        <v>86</v>
      </c>
      <c r="H556" s="123" t="s">
        <v>3088</v>
      </c>
      <c r="I556" s="123" t="s">
        <v>201</v>
      </c>
      <c r="J556" s="123" t="s">
        <v>3174</v>
      </c>
      <c r="K556" s="124">
        <v>914.0</v>
      </c>
      <c r="L556" s="124">
        <v>18.95</v>
      </c>
      <c r="M556" s="123" t="s">
        <v>3658</v>
      </c>
      <c r="N556" s="124">
        <v>31.4693</v>
      </c>
      <c r="O556" s="124">
        <v>-96.8865</v>
      </c>
      <c r="P556" s="124">
        <v>173.0</v>
      </c>
      <c r="Q556" s="123"/>
      <c r="R556" s="125" t="s">
        <v>3170</v>
      </c>
      <c r="S556" s="123"/>
      <c r="T556" s="125" t="s">
        <v>3170</v>
      </c>
      <c r="U556" s="124">
        <v>2016.0</v>
      </c>
      <c r="V556" s="123"/>
      <c r="W556" s="123"/>
      <c r="X556" s="123"/>
    </row>
    <row r="557">
      <c r="A557" s="123" t="s">
        <v>87</v>
      </c>
      <c r="B557" s="123" t="s">
        <v>5182</v>
      </c>
      <c r="C557" s="123"/>
      <c r="D557" s="123" t="s">
        <v>5183</v>
      </c>
      <c r="E557" s="123" t="s">
        <v>3165</v>
      </c>
      <c r="F557" s="123" t="s">
        <v>3165</v>
      </c>
      <c r="G557" s="123" t="s">
        <v>362</v>
      </c>
      <c r="H557" s="123" t="s">
        <v>3225</v>
      </c>
      <c r="I557" s="123" t="s">
        <v>201</v>
      </c>
      <c r="J557" s="123" t="s">
        <v>3174</v>
      </c>
      <c r="K557" s="124">
        <v>991.0</v>
      </c>
      <c r="L557" s="124">
        <v>19.95</v>
      </c>
      <c r="M557" s="123" t="s">
        <v>3658</v>
      </c>
      <c r="N557" s="124">
        <v>30.5328</v>
      </c>
      <c r="O557" s="124">
        <v>-96.4252</v>
      </c>
      <c r="P557" s="124">
        <v>68.0</v>
      </c>
      <c r="Q557" s="123"/>
      <c r="R557" s="125" t="s">
        <v>3170</v>
      </c>
      <c r="S557" s="123"/>
      <c r="T557" s="125" t="s">
        <v>3170</v>
      </c>
      <c r="U557" s="124">
        <v>2016.0</v>
      </c>
      <c r="V557" s="123"/>
      <c r="W557" s="123"/>
      <c r="X557" s="123"/>
    </row>
    <row r="558">
      <c r="A558" s="123" t="s">
        <v>87</v>
      </c>
      <c r="B558" s="123" t="s">
        <v>5184</v>
      </c>
      <c r="C558" s="123"/>
      <c r="D558" s="123" t="s">
        <v>5185</v>
      </c>
      <c r="E558" s="123" t="s">
        <v>3165</v>
      </c>
      <c r="F558" s="123" t="s">
        <v>3165</v>
      </c>
      <c r="G558" s="123" t="s">
        <v>288</v>
      </c>
      <c r="H558" s="123" t="s">
        <v>3095</v>
      </c>
      <c r="I558" s="123" t="s">
        <v>201</v>
      </c>
      <c r="J558" s="123" t="s">
        <v>3174</v>
      </c>
      <c r="K558" s="124">
        <v>716.0</v>
      </c>
      <c r="L558" s="124">
        <v>22.2</v>
      </c>
      <c r="M558" s="123" t="s">
        <v>3658</v>
      </c>
      <c r="N558" s="124">
        <v>27.6666</v>
      </c>
      <c r="O558" s="124">
        <v>-98.2089</v>
      </c>
      <c r="P558" s="124">
        <v>82.0</v>
      </c>
      <c r="Q558" s="123"/>
      <c r="R558" s="125" t="s">
        <v>3170</v>
      </c>
      <c r="S558" s="123"/>
      <c r="T558" s="125" t="s">
        <v>3170</v>
      </c>
      <c r="U558" s="124">
        <v>2017.0</v>
      </c>
      <c r="V558" s="123"/>
      <c r="W558" s="123"/>
      <c r="X558" s="123"/>
    </row>
    <row r="559">
      <c r="A559" s="123" t="s">
        <v>87</v>
      </c>
      <c r="B559" s="123" t="s">
        <v>5186</v>
      </c>
      <c r="C559" s="123"/>
      <c r="D559" s="123" t="s">
        <v>5187</v>
      </c>
      <c r="E559" s="123" t="s">
        <v>3165</v>
      </c>
      <c r="F559" s="123" t="s">
        <v>3165</v>
      </c>
      <c r="G559" s="123" t="s">
        <v>291</v>
      </c>
      <c r="H559" s="123" t="s">
        <v>3089</v>
      </c>
      <c r="I559" s="123" t="s">
        <v>201</v>
      </c>
      <c r="J559" s="123" t="s">
        <v>3174</v>
      </c>
      <c r="K559" s="124">
        <v>716.0</v>
      </c>
      <c r="L559" s="124">
        <v>22.2</v>
      </c>
      <c r="M559" s="123" t="s">
        <v>3658</v>
      </c>
      <c r="N559" s="124">
        <v>27.665</v>
      </c>
      <c r="O559" s="124">
        <v>-98.2007</v>
      </c>
      <c r="P559" s="124">
        <v>82.0</v>
      </c>
      <c r="Q559" s="123"/>
      <c r="R559" s="125" t="s">
        <v>3170</v>
      </c>
      <c r="S559" s="123"/>
      <c r="T559" s="125" t="s">
        <v>3170</v>
      </c>
      <c r="U559" s="124">
        <v>2016.0</v>
      </c>
      <c r="V559" s="123"/>
      <c r="W559" s="123"/>
      <c r="X559" s="123"/>
    </row>
    <row r="560">
      <c r="A560" s="123" t="s">
        <v>87</v>
      </c>
      <c r="B560" s="123" t="s">
        <v>5188</v>
      </c>
      <c r="C560" s="123"/>
      <c r="D560" s="123" t="s">
        <v>5189</v>
      </c>
      <c r="E560" s="123" t="s">
        <v>3165</v>
      </c>
      <c r="F560" s="123" t="s">
        <v>3165</v>
      </c>
      <c r="G560" s="123" t="s">
        <v>370</v>
      </c>
      <c r="H560" s="123" t="s">
        <v>3091</v>
      </c>
      <c r="I560" s="123" t="s">
        <v>201</v>
      </c>
      <c r="J560" s="123" t="s">
        <v>3174</v>
      </c>
      <c r="K560" s="124">
        <v>1143.0</v>
      </c>
      <c r="L560" s="124">
        <v>20.6</v>
      </c>
      <c r="M560" s="123" t="s">
        <v>3658</v>
      </c>
      <c r="N560" s="124">
        <v>29.1659</v>
      </c>
      <c r="O560" s="124">
        <v>-95.829</v>
      </c>
      <c r="P560" s="124">
        <v>16.0</v>
      </c>
      <c r="Q560" s="123"/>
      <c r="R560" s="125" t="s">
        <v>3170</v>
      </c>
      <c r="S560" s="123"/>
      <c r="T560" s="125" t="s">
        <v>3170</v>
      </c>
      <c r="U560" s="124">
        <v>2019.0</v>
      </c>
      <c r="V560" s="123"/>
      <c r="W560" s="123"/>
      <c r="X560" s="123"/>
    </row>
    <row r="561">
      <c r="A561" s="123" t="s">
        <v>87</v>
      </c>
      <c r="B561" s="123" t="s">
        <v>5190</v>
      </c>
      <c r="C561" s="123"/>
      <c r="D561" s="123" t="s">
        <v>5191</v>
      </c>
      <c r="E561" s="123" t="s">
        <v>3165</v>
      </c>
      <c r="F561" s="123" t="s">
        <v>3165</v>
      </c>
      <c r="G561" s="123" t="s">
        <v>214</v>
      </c>
      <c r="H561" s="123" t="s">
        <v>3184</v>
      </c>
      <c r="I561" s="123" t="s">
        <v>201</v>
      </c>
      <c r="J561" s="123" t="s">
        <v>3174</v>
      </c>
      <c r="K561" s="124">
        <v>1245.0</v>
      </c>
      <c r="L561" s="124">
        <v>21.15</v>
      </c>
      <c r="M561" s="123" t="s">
        <v>3658</v>
      </c>
      <c r="N561" s="124">
        <v>28.7805</v>
      </c>
      <c r="O561" s="124">
        <v>-95.6144</v>
      </c>
      <c r="P561" s="124">
        <v>0.0</v>
      </c>
      <c r="Q561" s="123"/>
      <c r="R561" s="125" t="s">
        <v>3170</v>
      </c>
      <c r="S561" s="123"/>
      <c r="T561" s="125" t="s">
        <v>3170</v>
      </c>
      <c r="U561" s="124">
        <v>2017.0</v>
      </c>
      <c r="V561" s="123"/>
      <c r="W561" s="123"/>
      <c r="X561" s="123"/>
    </row>
    <row r="562">
      <c r="A562" s="123" t="s">
        <v>87</v>
      </c>
      <c r="B562" s="123" t="s">
        <v>5192</v>
      </c>
      <c r="C562" s="123"/>
      <c r="D562" s="123" t="s">
        <v>5193</v>
      </c>
      <c r="E562" s="123" t="s">
        <v>3164</v>
      </c>
      <c r="F562" s="123" t="s">
        <v>3165</v>
      </c>
      <c r="G562" s="123" t="s">
        <v>197</v>
      </c>
      <c r="H562" s="123" t="s">
        <v>3094</v>
      </c>
      <c r="I562" s="123" t="s">
        <v>597</v>
      </c>
      <c r="J562" s="123" t="s">
        <v>4123</v>
      </c>
      <c r="K562" s="124">
        <v>263.0</v>
      </c>
      <c r="L562" s="124">
        <v>-2.9</v>
      </c>
      <c r="M562" s="123" t="s">
        <v>3658</v>
      </c>
      <c r="N562" s="124">
        <v>64.8663</v>
      </c>
      <c r="O562" s="124">
        <v>-147.8555</v>
      </c>
      <c r="P562" s="124">
        <v>155.0</v>
      </c>
      <c r="Q562" s="123" t="s">
        <v>3737</v>
      </c>
      <c r="R562" s="125" t="s">
        <v>5194</v>
      </c>
      <c r="S562" s="123"/>
      <c r="T562" s="125" t="s">
        <v>3170</v>
      </c>
      <c r="U562" s="124">
        <v>2002.0</v>
      </c>
      <c r="V562" s="123"/>
      <c r="W562" s="123" t="s">
        <v>5195</v>
      </c>
      <c r="X562" s="123"/>
    </row>
    <row r="563">
      <c r="A563" s="123" t="s">
        <v>87</v>
      </c>
      <c r="B563" s="123" t="s">
        <v>5196</v>
      </c>
      <c r="C563" s="123"/>
      <c r="D563" s="123" t="s">
        <v>5197</v>
      </c>
      <c r="E563" s="123" t="s">
        <v>3164</v>
      </c>
      <c r="F563" s="123" t="s">
        <v>3165</v>
      </c>
      <c r="G563" s="123" t="s">
        <v>362</v>
      </c>
      <c r="H563" s="123" t="s">
        <v>3225</v>
      </c>
      <c r="I563" s="123" t="s">
        <v>107</v>
      </c>
      <c r="J563" s="123" t="s">
        <v>3249</v>
      </c>
      <c r="K563" s="124">
        <v>1006.35</v>
      </c>
      <c r="L563" s="124">
        <v>10.1</v>
      </c>
      <c r="M563" s="123" t="s">
        <v>3658</v>
      </c>
      <c r="N563" s="124">
        <v>40.7536</v>
      </c>
      <c r="O563" s="124">
        <v>-78.0056</v>
      </c>
      <c r="P563" s="124">
        <v>390.0</v>
      </c>
      <c r="Q563" s="123" t="s">
        <v>4323</v>
      </c>
      <c r="R563" s="125" t="s">
        <v>5198</v>
      </c>
      <c r="S563" s="123"/>
      <c r="T563" s="125" t="s">
        <v>3170</v>
      </c>
      <c r="U563" s="124">
        <v>2019.0</v>
      </c>
      <c r="V563" s="123"/>
      <c r="W563" s="123" t="s">
        <v>4273</v>
      </c>
      <c r="X563" s="123"/>
    </row>
    <row r="564">
      <c r="A564" s="123" t="s">
        <v>87</v>
      </c>
      <c r="B564" s="123" t="s">
        <v>5199</v>
      </c>
      <c r="C564" s="123"/>
      <c r="D564" s="123" t="s">
        <v>5200</v>
      </c>
      <c r="E564" s="123" t="s">
        <v>3164</v>
      </c>
      <c r="F564" s="123" t="s">
        <v>3165</v>
      </c>
      <c r="G564" s="123" t="s">
        <v>362</v>
      </c>
      <c r="H564" s="123" t="s">
        <v>3225</v>
      </c>
      <c r="I564" s="123" t="s">
        <v>107</v>
      </c>
      <c r="J564" s="123" t="s">
        <v>3249</v>
      </c>
      <c r="K564" s="124">
        <v>1006.35</v>
      </c>
      <c r="L564" s="124">
        <v>10.1</v>
      </c>
      <c r="M564" s="123" t="s">
        <v>3658</v>
      </c>
      <c r="N564" s="124">
        <v>40.7559</v>
      </c>
      <c r="O564" s="124">
        <v>-77.9998</v>
      </c>
      <c r="P564" s="124">
        <v>396.0</v>
      </c>
      <c r="Q564" s="123" t="s">
        <v>4323</v>
      </c>
      <c r="R564" s="125" t="s">
        <v>5201</v>
      </c>
      <c r="S564" s="123"/>
      <c r="T564" s="125" t="s">
        <v>3170</v>
      </c>
      <c r="U564" s="124">
        <v>2019.0</v>
      </c>
      <c r="V564" s="123"/>
      <c r="W564" s="123" t="s">
        <v>4273</v>
      </c>
      <c r="X564" s="123"/>
    </row>
    <row r="565">
      <c r="A565" s="123" t="s">
        <v>87</v>
      </c>
      <c r="B565" s="123" t="s">
        <v>5202</v>
      </c>
      <c r="C565" s="123"/>
      <c r="D565" s="123" t="s">
        <v>5203</v>
      </c>
      <c r="E565" s="123" t="s">
        <v>3165</v>
      </c>
      <c r="F565" s="123" t="s">
        <v>3165</v>
      </c>
      <c r="G565" s="123" t="s">
        <v>292</v>
      </c>
      <c r="H565" s="123" t="s">
        <v>3097</v>
      </c>
      <c r="I565" s="123" t="s">
        <v>753</v>
      </c>
      <c r="J565" s="123" t="s">
        <v>3814</v>
      </c>
      <c r="K565" s="124">
        <v>750.0</v>
      </c>
      <c r="L565" s="124">
        <v>8.0</v>
      </c>
      <c r="M565" s="123" t="s">
        <v>3658</v>
      </c>
      <c r="N565" s="124">
        <v>38.923</v>
      </c>
      <c r="O565" s="124">
        <v>-106.9524</v>
      </c>
      <c r="P565" s="124">
        <v>2755.0</v>
      </c>
      <c r="Q565" s="123"/>
      <c r="R565" s="125" t="s">
        <v>3170</v>
      </c>
      <c r="S565" s="123"/>
      <c r="T565" s="125" t="s">
        <v>3170</v>
      </c>
      <c r="U565" s="124">
        <v>2017.0</v>
      </c>
      <c r="V565" s="123"/>
      <c r="W565" s="123"/>
      <c r="X565" s="123"/>
    </row>
    <row r="566">
      <c r="A566" s="123" t="s">
        <v>87</v>
      </c>
      <c r="B566" s="123" t="s">
        <v>5204</v>
      </c>
      <c r="C566" s="123"/>
      <c r="D566" s="123" t="s">
        <v>5205</v>
      </c>
      <c r="E566" s="123" t="s">
        <v>3164</v>
      </c>
      <c r="F566" s="123" t="s">
        <v>3165</v>
      </c>
      <c r="G566" s="123" t="s">
        <v>86</v>
      </c>
      <c r="H566" s="123" t="s">
        <v>3088</v>
      </c>
      <c r="I566" s="123" t="s">
        <v>108</v>
      </c>
      <c r="J566" s="123" t="s">
        <v>3796</v>
      </c>
      <c r="K566" s="124">
        <v>1051.0</v>
      </c>
      <c r="L566" s="124">
        <v>10.9</v>
      </c>
      <c r="M566" s="123" t="s">
        <v>3658</v>
      </c>
      <c r="N566" s="124">
        <v>40.0646</v>
      </c>
      <c r="O566" s="124">
        <v>-88.1961</v>
      </c>
      <c r="P566" s="124">
        <v>224.0</v>
      </c>
      <c r="Q566" s="123" t="s">
        <v>4013</v>
      </c>
      <c r="R566" s="125" t="s">
        <v>5206</v>
      </c>
      <c r="S566" s="123"/>
      <c r="T566" s="125" t="s">
        <v>3170</v>
      </c>
      <c r="U566" s="124">
        <v>2008.0</v>
      </c>
      <c r="V566" s="124">
        <v>2016.0</v>
      </c>
      <c r="W566" s="123" t="s">
        <v>5207</v>
      </c>
      <c r="X566" s="123"/>
    </row>
    <row r="567">
      <c r="A567" s="123" t="s">
        <v>87</v>
      </c>
      <c r="B567" s="123" t="s">
        <v>5208</v>
      </c>
      <c r="C567" s="123"/>
      <c r="D567" s="123" t="s">
        <v>5209</v>
      </c>
      <c r="E567" s="123" t="s">
        <v>3164</v>
      </c>
      <c r="F567" s="123" t="s">
        <v>3165</v>
      </c>
      <c r="G567" s="123" t="s">
        <v>86</v>
      </c>
      <c r="H567" s="123" t="s">
        <v>3088</v>
      </c>
      <c r="I567" s="123" t="s">
        <v>108</v>
      </c>
      <c r="J567" s="123" t="s">
        <v>3796</v>
      </c>
      <c r="K567" s="124">
        <v>1051.0</v>
      </c>
      <c r="L567" s="124">
        <v>10.9</v>
      </c>
      <c r="M567" s="123" t="s">
        <v>3658</v>
      </c>
      <c r="N567" s="124">
        <v>40.0628</v>
      </c>
      <c r="O567" s="124">
        <v>-88.1984</v>
      </c>
      <c r="P567" s="124">
        <v>224.0</v>
      </c>
      <c r="Q567" s="123" t="s">
        <v>4953</v>
      </c>
      <c r="R567" s="125" t="s">
        <v>5210</v>
      </c>
      <c r="S567" s="123"/>
      <c r="T567" s="125" t="s">
        <v>3170</v>
      </c>
      <c r="U567" s="124">
        <v>2008.0</v>
      </c>
      <c r="V567" s="123"/>
      <c r="W567" s="123" t="s">
        <v>5207</v>
      </c>
      <c r="X567" s="123"/>
    </row>
    <row r="568">
      <c r="A568" s="123" t="s">
        <v>87</v>
      </c>
      <c r="B568" s="123" t="s">
        <v>5211</v>
      </c>
      <c r="C568" s="123"/>
      <c r="D568" s="123" t="s">
        <v>5212</v>
      </c>
      <c r="E568" s="123" t="s">
        <v>3164</v>
      </c>
      <c r="F568" s="123" t="s">
        <v>3165</v>
      </c>
      <c r="G568" s="123" t="s">
        <v>86</v>
      </c>
      <c r="H568" s="123" t="s">
        <v>3088</v>
      </c>
      <c r="I568" s="123" t="s">
        <v>108</v>
      </c>
      <c r="J568" s="123" t="s">
        <v>3796</v>
      </c>
      <c r="K568" s="124">
        <v>1051.0</v>
      </c>
      <c r="L568" s="124">
        <v>10.9</v>
      </c>
      <c r="M568" s="123" t="s">
        <v>3658</v>
      </c>
      <c r="N568" s="124">
        <v>40.0628</v>
      </c>
      <c r="O568" s="124">
        <v>-88.1961</v>
      </c>
      <c r="P568" s="124">
        <v>224.0</v>
      </c>
      <c r="Q568" s="123" t="s">
        <v>4013</v>
      </c>
      <c r="R568" s="125" t="s">
        <v>5213</v>
      </c>
      <c r="S568" s="123"/>
      <c r="T568" s="125" t="s">
        <v>3170</v>
      </c>
      <c r="U568" s="124">
        <v>2008.0</v>
      </c>
      <c r="V568" s="123"/>
      <c r="W568" s="123" t="s">
        <v>5207</v>
      </c>
      <c r="X568" s="123"/>
    </row>
    <row r="569">
      <c r="A569" s="123" t="s">
        <v>87</v>
      </c>
      <c r="B569" s="123" t="s">
        <v>5214</v>
      </c>
      <c r="C569" s="123"/>
      <c r="D569" s="123" t="s">
        <v>5215</v>
      </c>
      <c r="E569" s="123" t="s">
        <v>3164</v>
      </c>
      <c r="F569" s="123" t="s">
        <v>3165</v>
      </c>
      <c r="G569" s="123" t="s">
        <v>288</v>
      </c>
      <c r="H569" s="123" t="s">
        <v>3095</v>
      </c>
      <c r="I569" s="123"/>
      <c r="J569" s="123"/>
      <c r="K569" s="124">
        <v>1051.0</v>
      </c>
      <c r="L569" s="124">
        <v>10.9</v>
      </c>
      <c r="M569" s="123" t="s">
        <v>3658</v>
      </c>
      <c r="N569" s="124">
        <v>40.0646</v>
      </c>
      <c r="O569" s="124">
        <v>-88.1985</v>
      </c>
      <c r="P569" s="124">
        <v>224.0</v>
      </c>
      <c r="Q569" s="123" t="s">
        <v>4013</v>
      </c>
      <c r="R569" s="125" t="s">
        <v>5216</v>
      </c>
      <c r="S569" s="123"/>
      <c r="T569" s="125" t="s">
        <v>3170</v>
      </c>
      <c r="U569" s="124">
        <v>2008.0</v>
      </c>
      <c r="V569" s="124">
        <v>2016.0</v>
      </c>
      <c r="W569" s="123" t="s">
        <v>5207</v>
      </c>
      <c r="X569" s="123"/>
    </row>
    <row r="570">
      <c r="A570" s="123" t="s">
        <v>87</v>
      </c>
      <c r="B570" s="123" t="s">
        <v>5217</v>
      </c>
      <c r="C570" s="123"/>
      <c r="D570" s="123" t="s">
        <v>5218</v>
      </c>
      <c r="E570" s="123" t="s">
        <v>3165</v>
      </c>
      <c r="F570" s="123" t="s">
        <v>3165</v>
      </c>
      <c r="G570" s="123" t="s">
        <v>86</v>
      </c>
      <c r="H570" s="123" t="s">
        <v>3088</v>
      </c>
      <c r="I570" s="123" t="s">
        <v>108</v>
      </c>
      <c r="J570" s="123" t="s">
        <v>3796</v>
      </c>
      <c r="K570" s="124">
        <v>1021.0</v>
      </c>
      <c r="L570" s="124">
        <v>11.2</v>
      </c>
      <c r="M570" s="123" t="s">
        <v>3658</v>
      </c>
      <c r="N570" s="124">
        <v>40.0629</v>
      </c>
      <c r="O570" s="124">
        <v>-88.2033</v>
      </c>
      <c r="P570" s="124">
        <v>217.0</v>
      </c>
      <c r="Q570" s="123"/>
      <c r="R570" s="125" t="s">
        <v>3170</v>
      </c>
      <c r="S570" s="123"/>
      <c r="T570" s="125" t="s">
        <v>3170</v>
      </c>
      <c r="U570" s="124">
        <v>2018.0</v>
      </c>
      <c r="V570" s="123"/>
      <c r="W570" s="123"/>
      <c r="X570" s="123"/>
    </row>
    <row r="571">
      <c r="A571" s="123" t="s">
        <v>87</v>
      </c>
      <c r="B571" s="123" t="s">
        <v>5219</v>
      </c>
      <c r="C571" s="123"/>
      <c r="D571" s="123" t="s">
        <v>5220</v>
      </c>
      <c r="E571" s="123" t="s">
        <v>3165</v>
      </c>
      <c r="F571" s="123" t="s">
        <v>3165</v>
      </c>
      <c r="G571" s="123" t="s">
        <v>86</v>
      </c>
      <c r="H571" s="123" t="s">
        <v>3088</v>
      </c>
      <c r="I571" s="123" t="s">
        <v>108</v>
      </c>
      <c r="J571" s="123" t="s">
        <v>3796</v>
      </c>
      <c r="K571" s="124">
        <v>1021.0</v>
      </c>
      <c r="L571" s="124">
        <v>11.2</v>
      </c>
      <c r="M571" s="123" t="s">
        <v>3658</v>
      </c>
      <c r="N571" s="124">
        <v>40.0665</v>
      </c>
      <c r="O571" s="124">
        <v>-88.2015</v>
      </c>
      <c r="P571" s="124">
        <v>220.0</v>
      </c>
      <c r="Q571" s="123"/>
      <c r="R571" s="125" t="s">
        <v>3170</v>
      </c>
      <c r="S571" s="123"/>
      <c r="T571" s="125" t="s">
        <v>3170</v>
      </c>
      <c r="U571" s="124">
        <v>2017.0</v>
      </c>
      <c r="V571" s="123"/>
      <c r="W571" s="123"/>
      <c r="X571" s="123"/>
    </row>
    <row r="572">
      <c r="A572" s="123" t="s">
        <v>87</v>
      </c>
      <c r="B572" s="123" t="s">
        <v>5221</v>
      </c>
      <c r="C572" s="123"/>
      <c r="D572" s="123" t="s">
        <v>5222</v>
      </c>
      <c r="E572" s="123" t="s">
        <v>3165</v>
      </c>
      <c r="F572" s="123" t="s">
        <v>3165</v>
      </c>
      <c r="G572" s="123" t="s">
        <v>86</v>
      </c>
      <c r="H572" s="123" t="s">
        <v>3088</v>
      </c>
      <c r="I572" s="123" t="s">
        <v>108</v>
      </c>
      <c r="J572" s="123" t="s">
        <v>3796</v>
      </c>
      <c r="K572" s="124">
        <v>1021.0</v>
      </c>
      <c r="L572" s="124">
        <v>11.2</v>
      </c>
      <c r="M572" s="123" t="s">
        <v>3658</v>
      </c>
      <c r="N572" s="124">
        <v>40.0629</v>
      </c>
      <c r="O572" s="124">
        <v>-88.2009</v>
      </c>
      <c r="P572" s="124">
        <v>220.0</v>
      </c>
      <c r="Q572" s="123"/>
      <c r="R572" s="125" t="s">
        <v>3170</v>
      </c>
      <c r="S572" s="123"/>
      <c r="T572" s="125" t="s">
        <v>3170</v>
      </c>
      <c r="U572" s="124">
        <v>2017.0</v>
      </c>
      <c r="V572" s="123"/>
      <c r="W572" s="123"/>
      <c r="X572" s="123"/>
    </row>
    <row r="573">
      <c r="A573" s="123" t="s">
        <v>87</v>
      </c>
      <c r="B573" s="123" t="s">
        <v>5223</v>
      </c>
      <c r="C573" s="123"/>
      <c r="D573" s="123" t="s">
        <v>5224</v>
      </c>
      <c r="E573" s="123" t="s">
        <v>3165</v>
      </c>
      <c r="F573" s="123" t="s">
        <v>3165</v>
      </c>
      <c r="G573" s="123" t="s">
        <v>370</v>
      </c>
      <c r="H573" s="123" t="s">
        <v>3091</v>
      </c>
      <c r="I573" s="123" t="s">
        <v>201</v>
      </c>
      <c r="J573" s="123" t="s">
        <v>3174</v>
      </c>
      <c r="K573" s="124">
        <v>1356.36</v>
      </c>
      <c r="L573" s="124">
        <v>18.77</v>
      </c>
      <c r="M573" s="123" t="s">
        <v>3658</v>
      </c>
      <c r="N573" s="124">
        <v>32.457</v>
      </c>
      <c r="O573" s="124">
        <v>-91.9743</v>
      </c>
      <c r="P573" s="124">
        <v>20.0</v>
      </c>
      <c r="Q573" s="123"/>
      <c r="R573" s="125" t="s">
        <v>3170</v>
      </c>
      <c r="S573" s="123"/>
      <c r="T573" s="125" t="s">
        <v>3170</v>
      </c>
      <c r="U573" s="124">
        <v>2013.0</v>
      </c>
      <c r="V573" s="123"/>
      <c r="W573" s="123"/>
      <c r="X573" s="123"/>
    </row>
    <row r="574">
      <c r="A574" s="123" t="s">
        <v>87</v>
      </c>
      <c r="B574" s="123" t="s">
        <v>5225</v>
      </c>
      <c r="C574" s="123"/>
      <c r="D574" s="123" t="s">
        <v>5226</v>
      </c>
      <c r="E574" s="123" t="s">
        <v>3164</v>
      </c>
      <c r="F574" s="123" t="s">
        <v>3164</v>
      </c>
      <c r="G574" s="123" t="s">
        <v>1085</v>
      </c>
      <c r="H574" s="123" t="s">
        <v>3588</v>
      </c>
      <c r="I574" s="123" t="s">
        <v>107</v>
      </c>
      <c r="J574" s="123" t="s">
        <v>3249</v>
      </c>
      <c r="K574" s="124">
        <v>803.0</v>
      </c>
      <c r="L574" s="124">
        <v>5.83</v>
      </c>
      <c r="M574" s="123" t="s">
        <v>3658</v>
      </c>
      <c r="N574" s="124">
        <v>45.5686</v>
      </c>
      <c r="O574" s="124">
        <v>-84.6707</v>
      </c>
      <c r="P574" s="124">
        <v>234.0</v>
      </c>
      <c r="Q574" s="123" t="s">
        <v>4578</v>
      </c>
      <c r="R574" s="125" t="s">
        <v>5227</v>
      </c>
      <c r="S574" s="123" t="s">
        <v>4578</v>
      </c>
      <c r="T574" s="125" t="s">
        <v>5228</v>
      </c>
      <c r="U574" s="124">
        <v>2013.0</v>
      </c>
      <c r="V574" s="124">
        <v>2014.0</v>
      </c>
      <c r="W574" s="123" t="s">
        <v>5229</v>
      </c>
      <c r="X574" s="123"/>
    </row>
    <row r="575">
      <c r="A575" s="123" t="s">
        <v>87</v>
      </c>
      <c r="B575" s="123" t="s">
        <v>377</v>
      </c>
      <c r="C575" s="123"/>
      <c r="D575" s="123" t="s">
        <v>5230</v>
      </c>
      <c r="E575" s="123" t="s">
        <v>3164</v>
      </c>
      <c r="F575" s="123" t="s">
        <v>3164</v>
      </c>
      <c r="G575" s="123" t="s">
        <v>370</v>
      </c>
      <c r="H575" s="123" t="s">
        <v>3091</v>
      </c>
      <c r="I575" s="123" t="s">
        <v>107</v>
      </c>
      <c r="J575" s="123" t="s">
        <v>3249</v>
      </c>
      <c r="K575" s="124">
        <v>803.0</v>
      </c>
      <c r="L575" s="124">
        <v>5.83</v>
      </c>
      <c r="M575" s="123" t="s">
        <v>3658</v>
      </c>
      <c r="N575" s="124">
        <v>45.5598</v>
      </c>
      <c r="O575" s="124">
        <v>-84.7138</v>
      </c>
      <c r="P575" s="124">
        <v>234.0</v>
      </c>
      <c r="Q575" s="123" t="s">
        <v>4474</v>
      </c>
      <c r="R575" s="125" t="s">
        <v>5231</v>
      </c>
      <c r="S575" s="123" t="s">
        <v>4285</v>
      </c>
      <c r="T575" s="125" t="s">
        <v>5232</v>
      </c>
      <c r="U575" s="124">
        <v>1999.0</v>
      </c>
      <c r="V575" s="123"/>
      <c r="W575" s="123" t="s">
        <v>4537</v>
      </c>
      <c r="X575" s="123"/>
    </row>
    <row r="576">
      <c r="A576" s="123" t="s">
        <v>87</v>
      </c>
      <c r="B576" s="123" t="s">
        <v>5233</v>
      </c>
      <c r="C576" s="123"/>
      <c r="D576" s="123" t="s">
        <v>5234</v>
      </c>
      <c r="E576" s="123" t="s">
        <v>3164</v>
      </c>
      <c r="F576" s="123" t="s">
        <v>3164</v>
      </c>
      <c r="G576" s="123" t="s">
        <v>370</v>
      </c>
      <c r="H576" s="123" t="s">
        <v>3091</v>
      </c>
      <c r="I576" s="123" t="s">
        <v>107</v>
      </c>
      <c r="J576" s="123" t="s">
        <v>3249</v>
      </c>
      <c r="K576" s="124">
        <v>803.0</v>
      </c>
      <c r="L576" s="124">
        <v>5.83</v>
      </c>
      <c r="M576" s="123" t="s">
        <v>3658</v>
      </c>
      <c r="N576" s="124">
        <v>45.5625</v>
      </c>
      <c r="O576" s="124">
        <v>-84.6975</v>
      </c>
      <c r="P576" s="124">
        <v>239.0</v>
      </c>
      <c r="Q576" s="123" t="s">
        <v>5009</v>
      </c>
      <c r="R576" s="125" t="s">
        <v>5235</v>
      </c>
      <c r="S576" s="123" t="s">
        <v>4285</v>
      </c>
      <c r="T576" s="125" t="s">
        <v>5236</v>
      </c>
      <c r="U576" s="124">
        <v>2007.0</v>
      </c>
      <c r="V576" s="123"/>
      <c r="W576" s="123" t="s">
        <v>5237</v>
      </c>
      <c r="X576" s="123"/>
    </row>
    <row r="577">
      <c r="A577" s="123" t="s">
        <v>87</v>
      </c>
      <c r="B577" s="123" t="s">
        <v>5238</v>
      </c>
      <c r="C577" s="123"/>
      <c r="D577" s="123" t="s">
        <v>5239</v>
      </c>
      <c r="E577" s="123" t="s">
        <v>3164</v>
      </c>
      <c r="F577" s="123" t="s">
        <v>3165</v>
      </c>
      <c r="G577" s="123" t="s">
        <v>214</v>
      </c>
      <c r="H577" s="123" t="s">
        <v>3184</v>
      </c>
      <c r="I577" s="123" t="s">
        <v>753</v>
      </c>
      <c r="J577" s="123" t="s">
        <v>3814</v>
      </c>
      <c r="K577" s="124">
        <v>123.68</v>
      </c>
      <c r="L577" s="124">
        <v>-13.57</v>
      </c>
      <c r="M577" s="123" t="s">
        <v>3658</v>
      </c>
      <c r="N577" s="124">
        <v>70.2815</v>
      </c>
      <c r="O577" s="124">
        <v>-148.8848</v>
      </c>
      <c r="P577" s="124">
        <v>5.0</v>
      </c>
      <c r="Q577" s="124">
        <v>1994.0</v>
      </c>
      <c r="R577" s="125" t="s">
        <v>5240</v>
      </c>
      <c r="S577" s="123"/>
      <c r="T577" s="125" t="s">
        <v>3170</v>
      </c>
      <c r="U577" s="124">
        <v>1993.0</v>
      </c>
      <c r="V577" s="124">
        <v>1994.0</v>
      </c>
      <c r="W577" s="123" t="s">
        <v>5241</v>
      </c>
      <c r="X577" s="123"/>
    </row>
    <row r="578">
      <c r="A578" s="123" t="s">
        <v>87</v>
      </c>
      <c r="B578" s="123" t="s">
        <v>5242</v>
      </c>
      <c r="C578" s="123"/>
      <c r="D578" s="123" t="s">
        <v>5243</v>
      </c>
      <c r="E578" s="123" t="s">
        <v>3164</v>
      </c>
      <c r="F578" s="123" t="s">
        <v>3165</v>
      </c>
      <c r="G578" s="123" t="s">
        <v>664</v>
      </c>
      <c r="H578" s="123" t="s">
        <v>3087</v>
      </c>
      <c r="I578" s="123" t="s">
        <v>3597</v>
      </c>
      <c r="J578" s="123" t="s">
        <v>3598</v>
      </c>
      <c r="K578" s="124">
        <v>138.59</v>
      </c>
      <c r="L578" s="124">
        <v>10.6</v>
      </c>
      <c r="M578" s="123" t="s">
        <v>3658</v>
      </c>
      <c r="N578" s="124">
        <v>40.7848</v>
      </c>
      <c r="O578" s="124">
        <v>-113.8299</v>
      </c>
      <c r="P578" s="124">
        <v>1287.0</v>
      </c>
      <c r="Q578" s="123" t="s">
        <v>4072</v>
      </c>
      <c r="R578" s="125" t="s">
        <v>5244</v>
      </c>
      <c r="S578" s="123"/>
      <c r="T578" s="125" t="s">
        <v>3170</v>
      </c>
      <c r="U578" s="124">
        <v>2021.0</v>
      </c>
      <c r="V578" s="123"/>
      <c r="W578" s="123" t="s">
        <v>5245</v>
      </c>
      <c r="X578" s="123"/>
    </row>
    <row r="579">
      <c r="A579" s="123" t="s">
        <v>87</v>
      </c>
      <c r="B579" s="123" t="s">
        <v>5246</v>
      </c>
      <c r="C579" s="123"/>
      <c r="D579" s="123" t="s">
        <v>5247</v>
      </c>
      <c r="E579" s="123" t="s">
        <v>3165</v>
      </c>
      <c r="F579" s="123" t="s">
        <v>3165</v>
      </c>
      <c r="G579" s="123" t="s">
        <v>86</v>
      </c>
      <c r="H579" s="123" t="s">
        <v>3088</v>
      </c>
      <c r="I579" s="123" t="s">
        <v>3597</v>
      </c>
      <c r="J579" s="123" t="s">
        <v>3598</v>
      </c>
      <c r="K579" s="124">
        <v>215.65</v>
      </c>
      <c r="L579" s="124">
        <v>12.0</v>
      </c>
      <c r="M579" s="123" t="s">
        <v>3658</v>
      </c>
      <c r="N579" s="124">
        <v>38.1038</v>
      </c>
      <c r="O579" s="124">
        <v>-109.5952</v>
      </c>
      <c r="P579" s="124">
        <v>1580.0</v>
      </c>
      <c r="Q579" s="123"/>
      <c r="R579" s="125" t="s">
        <v>3170</v>
      </c>
      <c r="S579" s="123"/>
      <c r="T579" s="125" t="s">
        <v>3170</v>
      </c>
      <c r="U579" s="124">
        <v>2023.0</v>
      </c>
      <c r="V579" s="123"/>
      <c r="W579" s="123"/>
      <c r="X579" s="123"/>
    </row>
    <row r="580">
      <c r="A580" s="123" t="s">
        <v>87</v>
      </c>
      <c r="B580" s="123" t="s">
        <v>5248</v>
      </c>
      <c r="C580" s="123"/>
      <c r="D580" s="123" t="s">
        <v>5249</v>
      </c>
      <c r="E580" s="123" t="s">
        <v>3165</v>
      </c>
      <c r="F580" s="123" t="s">
        <v>3165</v>
      </c>
      <c r="G580" s="123" t="s">
        <v>214</v>
      </c>
      <c r="H580" s="123" t="s">
        <v>3184</v>
      </c>
      <c r="I580" s="123" t="s">
        <v>303</v>
      </c>
      <c r="J580" s="123" t="s">
        <v>3585</v>
      </c>
      <c r="K580" s="124">
        <v>240.03</v>
      </c>
      <c r="L580" s="124">
        <v>13.0</v>
      </c>
      <c r="M580" s="123" t="s">
        <v>3658</v>
      </c>
      <c r="N580" s="124">
        <v>38.5879</v>
      </c>
      <c r="O580" s="124">
        <v>-109.5775</v>
      </c>
      <c r="P580" s="124">
        <v>1207.0</v>
      </c>
      <c r="Q580" s="123"/>
      <c r="R580" s="125" t="s">
        <v>3170</v>
      </c>
      <c r="S580" s="123"/>
      <c r="T580" s="125" t="s">
        <v>3170</v>
      </c>
      <c r="U580" s="124">
        <v>2022.0</v>
      </c>
      <c r="V580" s="123"/>
      <c r="W580" s="123"/>
      <c r="X580" s="123"/>
    </row>
    <row r="581">
      <c r="A581" s="123" t="s">
        <v>87</v>
      </c>
      <c r="B581" s="123" t="s">
        <v>5250</v>
      </c>
      <c r="C581" s="123"/>
      <c r="D581" s="123" t="s">
        <v>5251</v>
      </c>
      <c r="E581" s="123" t="s">
        <v>3164</v>
      </c>
      <c r="F581" s="123" t="s">
        <v>3165</v>
      </c>
      <c r="G581" s="123" t="s">
        <v>86</v>
      </c>
      <c r="H581" s="123" t="s">
        <v>3088</v>
      </c>
      <c r="I581" s="123" t="s">
        <v>108</v>
      </c>
      <c r="J581" s="123" t="s">
        <v>3796</v>
      </c>
      <c r="K581" s="124">
        <v>396.0</v>
      </c>
      <c r="L581" s="124">
        <v>10.2</v>
      </c>
      <c r="M581" s="123" t="s">
        <v>3658</v>
      </c>
      <c r="N581" s="124">
        <v>39.6896</v>
      </c>
      <c r="O581" s="124">
        <v>-111.8814</v>
      </c>
      <c r="P581" s="124">
        <v>1529.0</v>
      </c>
      <c r="Q581" s="124">
        <v>2023.0</v>
      </c>
      <c r="R581" s="125" t="s">
        <v>5252</v>
      </c>
      <c r="S581" s="123"/>
      <c r="T581" s="125" t="s">
        <v>3170</v>
      </c>
      <c r="U581" s="124">
        <v>2022.0</v>
      </c>
      <c r="V581" s="123"/>
      <c r="W581" s="123" t="s">
        <v>5253</v>
      </c>
      <c r="X581" s="123"/>
    </row>
    <row r="582">
      <c r="A582" s="123" t="s">
        <v>87</v>
      </c>
      <c r="B582" s="123" t="s">
        <v>5254</v>
      </c>
      <c r="C582" s="123"/>
      <c r="D582" s="123" t="s">
        <v>5255</v>
      </c>
      <c r="E582" s="123" t="s">
        <v>3165</v>
      </c>
      <c r="F582" s="123" t="s">
        <v>3165</v>
      </c>
      <c r="G582" s="123" t="s">
        <v>86</v>
      </c>
      <c r="H582" s="123" t="s">
        <v>3088</v>
      </c>
      <c r="I582" s="123" t="s">
        <v>303</v>
      </c>
      <c r="J582" s="123" t="s">
        <v>3585</v>
      </c>
      <c r="K582" s="124">
        <v>177.0</v>
      </c>
      <c r="L582" s="124">
        <v>16.7</v>
      </c>
      <c r="M582" s="123" t="s">
        <v>3658</v>
      </c>
      <c r="N582" s="124">
        <v>40.1266</v>
      </c>
      <c r="O582" s="124">
        <v>-109.9546</v>
      </c>
      <c r="P582" s="124">
        <v>1539.0</v>
      </c>
      <c r="Q582" s="123"/>
      <c r="R582" s="125" t="s">
        <v>3170</v>
      </c>
      <c r="S582" s="123"/>
      <c r="T582" s="125" t="s">
        <v>3170</v>
      </c>
      <c r="U582" s="124">
        <v>2023.0</v>
      </c>
      <c r="V582" s="123"/>
      <c r="W582" s="123"/>
      <c r="X582" s="123"/>
    </row>
    <row r="583">
      <c r="A583" s="123" t="s">
        <v>87</v>
      </c>
      <c r="B583" s="123" t="s">
        <v>5256</v>
      </c>
      <c r="C583" s="123"/>
      <c r="D583" s="123" t="s">
        <v>5257</v>
      </c>
      <c r="E583" s="123" t="s">
        <v>3165</v>
      </c>
      <c r="F583" s="123" t="s">
        <v>3165</v>
      </c>
      <c r="G583" s="123" t="s">
        <v>86</v>
      </c>
      <c r="H583" s="123" t="s">
        <v>3088</v>
      </c>
      <c r="I583" s="123" t="s">
        <v>108</v>
      </c>
      <c r="J583" s="123" t="s">
        <v>3796</v>
      </c>
      <c r="K583" s="124">
        <v>225.22</v>
      </c>
      <c r="L583" s="124">
        <v>9.6</v>
      </c>
      <c r="M583" s="123" t="s">
        <v>3658</v>
      </c>
      <c r="N583" s="124">
        <v>39.4453</v>
      </c>
      <c r="O583" s="124">
        <v>-110.7288</v>
      </c>
      <c r="P583" s="124">
        <v>1682.0</v>
      </c>
      <c r="Q583" s="123"/>
      <c r="R583" s="125" t="s">
        <v>3170</v>
      </c>
      <c r="S583" s="123"/>
      <c r="T583" s="125" t="s">
        <v>3170</v>
      </c>
      <c r="U583" s="124">
        <v>2021.0</v>
      </c>
      <c r="V583" s="123"/>
      <c r="W583" s="123"/>
      <c r="X583" s="123"/>
    </row>
    <row r="584">
      <c r="A584" s="123" t="s">
        <v>87</v>
      </c>
      <c r="B584" s="123" t="s">
        <v>1339</v>
      </c>
      <c r="C584" s="123"/>
      <c r="D584" s="123" t="s">
        <v>5258</v>
      </c>
      <c r="E584" s="123" t="s">
        <v>3164</v>
      </c>
      <c r="F584" s="123" t="s">
        <v>3164</v>
      </c>
      <c r="G584" s="123" t="s">
        <v>288</v>
      </c>
      <c r="H584" s="123" t="s">
        <v>3095</v>
      </c>
      <c r="I584" s="123" t="s">
        <v>175</v>
      </c>
      <c r="J584" s="123" t="s">
        <v>3366</v>
      </c>
      <c r="K584" s="124">
        <v>559.0</v>
      </c>
      <c r="L584" s="124">
        <v>15.8</v>
      </c>
      <c r="M584" s="123" t="s">
        <v>3658</v>
      </c>
      <c r="N584" s="124">
        <v>38.4133</v>
      </c>
      <c r="O584" s="124">
        <v>-120.9508</v>
      </c>
      <c r="P584" s="124">
        <v>129.0</v>
      </c>
      <c r="Q584" s="123" t="s">
        <v>4474</v>
      </c>
      <c r="R584" s="125" t="s">
        <v>5259</v>
      </c>
      <c r="S584" s="123" t="s">
        <v>3939</v>
      </c>
      <c r="T584" s="125" t="s">
        <v>5260</v>
      </c>
      <c r="U584" s="124">
        <v>2000.0</v>
      </c>
      <c r="V584" s="123"/>
      <c r="W584" s="123" t="s">
        <v>5261</v>
      </c>
      <c r="X584" s="123"/>
    </row>
    <row r="585">
      <c r="A585" s="123" t="s">
        <v>87</v>
      </c>
      <c r="B585" s="123" t="s">
        <v>2204</v>
      </c>
      <c r="C585" s="123"/>
      <c r="D585" s="123" t="s">
        <v>5262</v>
      </c>
      <c r="E585" s="123" t="s">
        <v>3164</v>
      </c>
      <c r="F585" s="123" t="s">
        <v>3164</v>
      </c>
      <c r="G585" s="123" t="s">
        <v>197</v>
      </c>
      <c r="H585" s="123" t="s">
        <v>3094</v>
      </c>
      <c r="I585" s="123" t="s">
        <v>107</v>
      </c>
      <c r="J585" s="123" t="s">
        <v>3249</v>
      </c>
      <c r="K585" s="124">
        <v>646.0</v>
      </c>
      <c r="L585" s="124">
        <v>6.4</v>
      </c>
      <c r="M585" s="123" t="s">
        <v>3658</v>
      </c>
      <c r="N585" s="124">
        <v>35.8884</v>
      </c>
      <c r="O585" s="124">
        <v>-106.5321</v>
      </c>
      <c r="P585" s="124">
        <v>3030.0</v>
      </c>
      <c r="Q585" s="123" t="s">
        <v>5009</v>
      </c>
      <c r="R585" s="125" t="s">
        <v>5263</v>
      </c>
      <c r="S585" s="123" t="s">
        <v>4285</v>
      </c>
      <c r="T585" s="125" t="s">
        <v>5264</v>
      </c>
      <c r="U585" s="124">
        <v>2007.0</v>
      </c>
      <c r="V585" s="123"/>
      <c r="W585" s="123" t="s">
        <v>4617</v>
      </c>
      <c r="X585" s="123"/>
    </row>
    <row r="586">
      <c r="A586" s="123" t="s">
        <v>87</v>
      </c>
      <c r="B586" s="123" t="s">
        <v>2201</v>
      </c>
      <c r="C586" s="123"/>
      <c r="D586" s="123" t="s">
        <v>5265</v>
      </c>
      <c r="E586" s="123" t="s">
        <v>3164</v>
      </c>
      <c r="F586" s="123" t="s">
        <v>3164</v>
      </c>
      <c r="G586" s="123" t="s">
        <v>197</v>
      </c>
      <c r="H586" s="123" t="s">
        <v>3094</v>
      </c>
      <c r="I586" s="123" t="s">
        <v>107</v>
      </c>
      <c r="J586" s="123" t="s">
        <v>3249</v>
      </c>
      <c r="K586" s="124">
        <v>550.0</v>
      </c>
      <c r="L586" s="124">
        <v>9.8</v>
      </c>
      <c r="M586" s="123" t="s">
        <v>3658</v>
      </c>
      <c r="N586" s="124">
        <v>35.8642</v>
      </c>
      <c r="O586" s="124">
        <v>-106.5967</v>
      </c>
      <c r="P586" s="124">
        <v>2500.0</v>
      </c>
      <c r="Q586" s="123" t="s">
        <v>5009</v>
      </c>
      <c r="R586" s="125" t="s">
        <v>5266</v>
      </c>
      <c r="S586" s="123" t="s">
        <v>4285</v>
      </c>
      <c r="T586" s="125" t="s">
        <v>5267</v>
      </c>
      <c r="U586" s="124">
        <v>2007.0</v>
      </c>
      <c r="V586" s="123"/>
      <c r="W586" s="123" t="s">
        <v>4617</v>
      </c>
      <c r="X586" s="123"/>
    </row>
    <row r="587">
      <c r="A587" s="123" t="s">
        <v>87</v>
      </c>
      <c r="B587" s="123" t="s">
        <v>5268</v>
      </c>
      <c r="C587" s="123"/>
      <c r="D587" s="123" t="s">
        <v>5269</v>
      </c>
      <c r="E587" s="123" t="s">
        <v>3164</v>
      </c>
      <c r="F587" s="123" t="s">
        <v>3165</v>
      </c>
      <c r="G587" s="123" t="s">
        <v>197</v>
      </c>
      <c r="H587" s="123" t="s">
        <v>3094</v>
      </c>
      <c r="I587" s="123" t="s">
        <v>107</v>
      </c>
      <c r="J587" s="123" t="s">
        <v>3249</v>
      </c>
      <c r="K587" s="124">
        <v>550.93</v>
      </c>
      <c r="L587" s="124">
        <v>4.6</v>
      </c>
      <c r="M587" s="123" t="s">
        <v>3658</v>
      </c>
      <c r="N587" s="124">
        <v>35.9193</v>
      </c>
      <c r="O587" s="124">
        <v>-106.6142</v>
      </c>
      <c r="P587" s="124">
        <v>2752.0</v>
      </c>
      <c r="Q587" s="123" t="s">
        <v>3782</v>
      </c>
      <c r="R587" s="125" t="s">
        <v>5270</v>
      </c>
      <c r="S587" s="123"/>
      <c r="T587" s="125" t="s">
        <v>3170</v>
      </c>
      <c r="U587" s="124">
        <v>2016.0</v>
      </c>
      <c r="V587" s="123"/>
      <c r="W587" s="123" t="s">
        <v>4617</v>
      </c>
      <c r="X587" s="123"/>
    </row>
    <row r="588">
      <c r="A588" s="123" t="s">
        <v>87</v>
      </c>
      <c r="B588" s="123" t="s">
        <v>5271</v>
      </c>
      <c r="C588" s="123"/>
      <c r="D588" s="123" t="s">
        <v>5272</v>
      </c>
      <c r="E588" s="123" t="s">
        <v>3165</v>
      </c>
      <c r="F588" s="123" t="s">
        <v>3165</v>
      </c>
      <c r="G588" s="123" t="s">
        <v>214</v>
      </c>
      <c r="H588" s="123" t="s">
        <v>3184</v>
      </c>
      <c r="I588" s="123" t="s">
        <v>201</v>
      </c>
      <c r="J588" s="123" t="s">
        <v>3174</v>
      </c>
      <c r="K588" s="124">
        <v>1023.3</v>
      </c>
      <c r="L588" s="124">
        <v>14.05</v>
      </c>
      <c r="M588" s="123" t="s">
        <v>3658</v>
      </c>
      <c r="N588" s="124">
        <v>37.4111</v>
      </c>
      <c r="O588" s="124">
        <v>-75.8333</v>
      </c>
      <c r="P588" s="124">
        <v>1.0</v>
      </c>
      <c r="Q588" s="123"/>
      <c r="R588" s="125" t="s">
        <v>3170</v>
      </c>
      <c r="S588" s="123"/>
      <c r="T588" s="125" t="s">
        <v>3170</v>
      </c>
      <c r="U588" s="124">
        <v>2014.0</v>
      </c>
      <c r="V588" s="123"/>
      <c r="W588" s="123"/>
      <c r="X588" s="123"/>
    </row>
    <row r="589">
      <c r="A589" s="123" t="s">
        <v>87</v>
      </c>
      <c r="B589" s="123" t="s">
        <v>5273</v>
      </c>
      <c r="C589" s="123"/>
      <c r="D589" s="123" t="s">
        <v>5274</v>
      </c>
      <c r="E589" s="123" t="s">
        <v>3164</v>
      </c>
      <c r="F589" s="123" t="s">
        <v>3165</v>
      </c>
      <c r="G589" s="123" t="s">
        <v>370</v>
      </c>
      <c r="H589" s="123" t="s">
        <v>3091</v>
      </c>
      <c r="I589" s="123" t="s">
        <v>201</v>
      </c>
      <c r="J589" s="123" t="s">
        <v>3174</v>
      </c>
      <c r="K589" s="124">
        <v>1372.05</v>
      </c>
      <c r="L589" s="124">
        <v>13.71</v>
      </c>
      <c r="M589" s="123" t="s">
        <v>3658</v>
      </c>
      <c r="N589" s="124">
        <v>35.9588</v>
      </c>
      <c r="O589" s="124">
        <v>-84.2874</v>
      </c>
      <c r="P589" s="124">
        <v>283.0</v>
      </c>
      <c r="Q589" s="123" t="s">
        <v>5275</v>
      </c>
      <c r="R589" s="125" t="s">
        <v>5276</v>
      </c>
      <c r="S589" s="123"/>
      <c r="T589" s="125" t="s">
        <v>3170</v>
      </c>
      <c r="U589" s="124">
        <v>1995.0</v>
      </c>
      <c r="V589" s="124">
        <v>1999.0</v>
      </c>
      <c r="W589" s="123" t="s">
        <v>3427</v>
      </c>
      <c r="X589" s="123"/>
    </row>
    <row r="590">
      <c r="A590" s="123" t="s">
        <v>87</v>
      </c>
      <c r="B590" s="123" t="s">
        <v>368</v>
      </c>
      <c r="C590" s="123"/>
      <c r="D590" s="123" t="s">
        <v>369</v>
      </c>
      <c r="E590" s="123" t="s">
        <v>3164</v>
      </c>
      <c r="F590" s="123" t="s">
        <v>3165</v>
      </c>
      <c r="G590" s="123" t="s">
        <v>370</v>
      </c>
      <c r="H590" s="123" t="s">
        <v>3091</v>
      </c>
      <c r="I590" s="123" t="s">
        <v>107</v>
      </c>
      <c r="J590" s="123" t="s">
        <v>3249</v>
      </c>
      <c r="K590" s="124">
        <v>787.0</v>
      </c>
      <c r="L590" s="124">
        <v>4.02</v>
      </c>
      <c r="M590" s="123" t="s">
        <v>3658</v>
      </c>
      <c r="N590" s="124">
        <v>45.8059</v>
      </c>
      <c r="O590" s="124">
        <v>-90.0799</v>
      </c>
      <c r="P590" s="124">
        <v>520.0</v>
      </c>
      <c r="Q590" s="123" t="s">
        <v>5277</v>
      </c>
      <c r="R590" s="125" t="s">
        <v>5278</v>
      </c>
      <c r="S590" s="123"/>
      <c r="T590" s="125" t="s">
        <v>3170</v>
      </c>
      <c r="U590" s="124">
        <v>1999.0</v>
      </c>
      <c r="V590" s="123"/>
      <c r="W590" s="123" t="s">
        <v>5279</v>
      </c>
      <c r="X590" s="123"/>
    </row>
    <row r="591">
      <c r="A591" s="123" t="s">
        <v>87</v>
      </c>
      <c r="B591" s="123" t="s">
        <v>5280</v>
      </c>
      <c r="C591" s="123"/>
      <c r="D591" s="123" t="s">
        <v>5281</v>
      </c>
      <c r="E591" s="123" t="s">
        <v>3164</v>
      </c>
      <c r="F591" s="123" t="s">
        <v>3165</v>
      </c>
      <c r="G591" s="123" t="s">
        <v>292</v>
      </c>
      <c r="H591" s="123" t="s">
        <v>3097</v>
      </c>
      <c r="I591" s="123" t="s">
        <v>2407</v>
      </c>
      <c r="J591" s="123" t="s">
        <v>3208</v>
      </c>
      <c r="K591" s="123"/>
      <c r="L591" s="124">
        <v>3.3</v>
      </c>
      <c r="M591" s="123" t="s">
        <v>3658</v>
      </c>
      <c r="N591" s="124">
        <v>40.7838</v>
      </c>
      <c r="O591" s="124">
        <v>-106.2618</v>
      </c>
      <c r="P591" s="124">
        <v>2469.0</v>
      </c>
      <c r="Q591" s="123" t="s">
        <v>5282</v>
      </c>
      <c r="R591" s="125" t="s">
        <v>5283</v>
      </c>
      <c r="S591" s="123"/>
      <c r="T591" s="125" t="s">
        <v>3170</v>
      </c>
      <c r="U591" s="124">
        <v>2006.0</v>
      </c>
      <c r="V591" s="124">
        <v>2008.0</v>
      </c>
      <c r="W591" s="123" t="s">
        <v>3427</v>
      </c>
      <c r="X591" s="123"/>
    </row>
    <row r="592">
      <c r="A592" s="123" t="s">
        <v>87</v>
      </c>
      <c r="B592" s="123" t="s">
        <v>5284</v>
      </c>
      <c r="C592" s="123"/>
      <c r="D592" s="123" t="s">
        <v>5285</v>
      </c>
      <c r="E592" s="123" t="s">
        <v>3165</v>
      </c>
      <c r="F592" s="123" t="s">
        <v>3165</v>
      </c>
      <c r="G592" s="123" t="s">
        <v>505</v>
      </c>
      <c r="H592" s="123" t="s">
        <v>3100</v>
      </c>
      <c r="I592" s="123" t="s">
        <v>107</v>
      </c>
      <c r="J592" s="123" t="s">
        <v>3249</v>
      </c>
      <c r="K592" s="124">
        <v>1170.0</v>
      </c>
      <c r="L592" s="124">
        <v>8.9</v>
      </c>
      <c r="M592" s="123" t="s">
        <v>3658</v>
      </c>
      <c r="N592" s="124">
        <v>43.1421</v>
      </c>
      <c r="O592" s="124">
        <v>-70.9543</v>
      </c>
      <c r="P592" s="124">
        <v>27.0</v>
      </c>
      <c r="Q592" s="123"/>
      <c r="R592" s="125" t="s">
        <v>3170</v>
      </c>
      <c r="S592" s="123"/>
      <c r="T592" s="125" t="s">
        <v>3170</v>
      </c>
      <c r="U592" s="124">
        <v>2014.0</v>
      </c>
      <c r="V592" s="124">
        <v>2017.0</v>
      </c>
      <c r="W592" s="123"/>
      <c r="X592" s="123"/>
    </row>
    <row r="593">
      <c r="A593" s="123" t="s">
        <v>87</v>
      </c>
      <c r="B593" s="123" t="s">
        <v>5286</v>
      </c>
      <c r="C593" s="123"/>
      <c r="D593" s="123" t="s">
        <v>5287</v>
      </c>
      <c r="E593" s="123" t="s">
        <v>3164</v>
      </c>
      <c r="F593" s="123" t="s">
        <v>3165</v>
      </c>
      <c r="G593" s="123" t="s">
        <v>86</v>
      </c>
      <c r="H593" s="123" t="s">
        <v>3088</v>
      </c>
      <c r="I593" s="123" t="s">
        <v>445</v>
      </c>
      <c r="J593" s="123" t="s">
        <v>3317</v>
      </c>
      <c r="K593" s="124">
        <v>1194.0</v>
      </c>
      <c r="L593" s="124">
        <v>11.58</v>
      </c>
      <c r="M593" s="123" t="s">
        <v>3658</v>
      </c>
      <c r="N593" s="124">
        <v>45.1129</v>
      </c>
      <c r="O593" s="124">
        <v>-122.656</v>
      </c>
      <c r="P593" s="124">
        <v>52.0</v>
      </c>
      <c r="Q593" s="124">
        <v>2015.0</v>
      </c>
      <c r="R593" s="125" t="s">
        <v>5288</v>
      </c>
      <c r="S593" s="123"/>
      <c r="T593" s="125" t="s">
        <v>3170</v>
      </c>
      <c r="U593" s="124">
        <v>2015.0</v>
      </c>
      <c r="V593" s="124">
        <v>2016.0</v>
      </c>
      <c r="W593" s="123" t="s">
        <v>5289</v>
      </c>
      <c r="X593" s="123"/>
    </row>
    <row r="594">
      <c r="A594" s="123" t="s">
        <v>87</v>
      </c>
      <c r="B594" s="123" t="s">
        <v>3013</v>
      </c>
      <c r="C594" s="123"/>
      <c r="D594" s="123" t="s">
        <v>3014</v>
      </c>
      <c r="E594" s="123" t="s">
        <v>3164</v>
      </c>
      <c r="F594" s="123" t="s">
        <v>3164</v>
      </c>
      <c r="G594" s="123" t="s">
        <v>292</v>
      </c>
      <c r="H594" s="123" t="s">
        <v>3097</v>
      </c>
      <c r="I594" s="123" t="s">
        <v>303</v>
      </c>
      <c r="J594" s="123" t="s">
        <v>3585</v>
      </c>
      <c r="K594" s="124">
        <v>320.0</v>
      </c>
      <c r="L594" s="124">
        <v>17.6</v>
      </c>
      <c r="M594" s="123" t="s">
        <v>3658</v>
      </c>
      <c r="N594" s="124">
        <v>31.7438</v>
      </c>
      <c r="O594" s="124">
        <v>-110.0522</v>
      </c>
      <c r="P594" s="124">
        <v>1370.0</v>
      </c>
      <c r="Q594" s="123" t="s">
        <v>5009</v>
      </c>
      <c r="R594" s="125" t="s">
        <v>5290</v>
      </c>
      <c r="S594" s="123" t="s">
        <v>3369</v>
      </c>
      <c r="T594" s="125" t="s">
        <v>5291</v>
      </c>
      <c r="U594" s="124">
        <v>2007.0</v>
      </c>
      <c r="V594" s="123"/>
      <c r="W594" s="123" t="s">
        <v>5085</v>
      </c>
      <c r="X594" s="123"/>
    </row>
    <row r="595">
      <c r="A595" s="123" t="s">
        <v>87</v>
      </c>
      <c r="B595" s="123" t="s">
        <v>5292</v>
      </c>
      <c r="C595" s="123"/>
      <c r="D595" s="123" t="s">
        <v>5293</v>
      </c>
      <c r="E595" s="123" t="s">
        <v>3164</v>
      </c>
      <c r="F595" s="123" t="s">
        <v>3164</v>
      </c>
      <c r="G595" s="123" t="s">
        <v>197</v>
      </c>
      <c r="H595" s="123" t="s">
        <v>3094</v>
      </c>
      <c r="I595" s="123" t="s">
        <v>107</v>
      </c>
      <c r="J595" s="123" t="s">
        <v>3249</v>
      </c>
      <c r="K595" s="123"/>
      <c r="L595" s="123"/>
      <c r="M595" s="123" t="s">
        <v>3658</v>
      </c>
      <c r="N595" s="124">
        <v>46.6188</v>
      </c>
      <c r="O595" s="124">
        <v>-91.0814</v>
      </c>
      <c r="P595" s="124">
        <v>349.0</v>
      </c>
      <c r="Q595" s="124">
        <v>2002.0</v>
      </c>
      <c r="R595" s="125" t="s">
        <v>5294</v>
      </c>
      <c r="S595" s="124">
        <v>2002.0</v>
      </c>
      <c r="T595" s="125" t="s">
        <v>5295</v>
      </c>
      <c r="U595" s="124">
        <v>2002.0</v>
      </c>
      <c r="V595" s="124">
        <v>2002.0</v>
      </c>
      <c r="W595" s="123" t="s">
        <v>5296</v>
      </c>
      <c r="X595" s="123"/>
    </row>
    <row r="596">
      <c r="A596" s="123" t="s">
        <v>87</v>
      </c>
      <c r="B596" s="123" t="s">
        <v>5297</v>
      </c>
      <c r="C596" s="123"/>
      <c r="D596" s="123" t="s">
        <v>5298</v>
      </c>
      <c r="E596" s="123" t="s">
        <v>3164</v>
      </c>
      <c r="F596" s="123" t="s">
        <v>3164</v>
      </c>
      <c r="G596" s="123" t="s">
        <v>370</v>
      </c>
      <c r="H596" s="123" t="s">
        <v>3091</v>
      </c>
      <c r="I596" s="123" t="s">
        <v>107</v>
      </c>
      <c r="J596" s="123" t="s">
        <v>3249</v>
      </c>
      <c r="K596" s="123"/>
      <c r="L596" s="123"/>
      <c r="M596" s="123" t="s">
        <v>3658</v>
      </c>
      <c r="N596" s="124">
        <v>46.7305</v>
      </c>
      <c r="O596" s="124">
        <v>-91.2329</v>
      </c>
      <c r="P596" s="124">
        <v>352.0</v>
      </c>
      <c r="Q596" s="124">
        <v>2003.0</v>
      </c>
      <c r="R596" s="125" t="s">
        <v>5299</v>
      </c>
      <c r="S596" s="124">
        <v>2003.0</v>
      </c>
      <c r="T596" s="125" t="s">
        <v>5300</v>
      </c>
      <c r="U596" s="124">
        <v>2003.0</v>
      </c>
      <c r="V596" s="124">
        <v>2003.0</v>
      </c>
      <c r="W596" s="123" t="s">
        <v>5301</v>
      </c>
      <c r="X596" s="123"/>
    </row>
    <row r="597">
      <c r="A597" s="123" t="s">
        <v>87</v>
      </c>
      <c r="B597" s="123" t="s">
        <v>5302</v>
      </c>
      <c r="C597" s="123"/>
      <c r="D597" s="123" t="s">
        <v>5303</v>
      </c>
      <c r="E597" s="123" t="s">
        <v>3164</v>
      </c>
      <c r="F597" s="123" t="s">
        <v>3165</v>
      </c>
      <c r="G597" s="123" t="s">
        <v>197</v>
      </c>
      <c r="H597" s="123" t="s">
        <v>3094</v>
      </c>
      <c r="I597" s="123" t="s">
        <v>107</v>
      </c>
      <c r="J597" s="123" t="s">
        <v>3249</v>
      </c>
      <c r="K597" s="123"/>
      <c r="L597" s="123"/>
      <c r="M597" s="123" t="s">
        <v>3658</v>
      </c>
      <c r="N597" s="124">
        <v>46.6869</v>
      </c>
      <c r="O597" s="124">
        <v>-91.1528</v>
      </c>
      <c r="P597" s="124">
        <v>395.0</v>
      </c>
      <c r="Q597" s="124">
        <v>2003.0</v>
      </c>
      <c r="R597" s="125" t="s">
        <v>5304</v>
      </c>
      <c r="S597" s="123"/>
      <c r="T597" s="125" t="s">
        <v>3170</v>
      </c>
      <c r="U597" s="124">
        <v>2003.0</v>
      </c>
      <c r="V597" s="124">
        <v>2003.0</v>
      </c>
      <c r="W597" s="123" t="s">
        <v>5301</v>
      </c>
      <c r="X597" s="123"/>
    </row>
    <row r="598">
      <c r="A598" s="123" t="s">
        <v>87</v>
      </c>
      <c r="B598" s="123" t="s">
        <v>5305</v>
      </c>
      <c r="C598" s="123"/>
      <c r="D598" s="123" t="s">
        <v>5306</v>
      </c>
      <c r="E598" s="123" t="s">
        <v>3164</v>
      </c>
      <c r="F598" s="123" t="s">
        <v>3164</v>
      </c>
      <c r="G598" s="123" t="s">
        <v>370</v>
      </c>
      <c r="H598" s="123" t="s">
        <v>3091</v>
      </c>
      <c r="I598" s="123" t="s">
        <v>107</v>
      </c>
      <c r="J598" s="123" t="s">
        <v>3249</v>
      </c>
      <c r="K598" s="123"/>
      <c r="L598" s="123"/>
      <c r="M598" s="123" t="s">
        <v>3658</v>
      </c>
      <c r="N598" s="124">
        <v>46.6347</v>
      </c>
      <c r="O598" s="124">
        <v>-91.0987</v>
      </c>
      <c r="P598" s="124">
        <v>411.0</v>
      </c>
      <c r="Q598" s="123" t="s">
        <v>3815</v>
      </c>
      <c r="R598" s="125" t="s">
        <v>5307</v>
      </c>
      <c r="S598" s="123" t="s">
        <v>3815</v>
      </c>
      <c r="T598" s="125" t="s">
        <v>5308</v>
      </c>
      <c r="U598" s="124">
        <v>2002.0</v>
      </c>
      <c r="V598" s="124">
        <v>2004.0</v>
      </c>
      <c r="W598" s="123" t="s">
        <v>5301</v>
      </c>
      <c r="X598" s="123"/>
    </row>
    <row r="599">
      <c r="A599" s="123" t="s">
        <v>87</v>
      </c>
      <c r="B599" s="123" t="s">
        <v>5309</v>
      </c>
      <c r="C599" s="123"/>
      <c r="D599" s="123" t="s">
        <v>5310</v>
      </c>
      <c r="E599" s="123" t="s">
        <v>3164</v>
      </c>
      <c r="F599" s="123" t="s">
        <v>3164</v>
      </c>
      <c r="G599" s="123" t="s">
        <v>197</v>
      </c>
      <c r="H599" s="123" t="s">
        <v>3094</v>
      </c>
      <c r="I599" s="123" t="s">
        <v>107</v>
      </c>
      <c r="J599" s="123" t="s">
        <v>3249</v>
      </c>
      <c r="K599" s="123"/>
      <c r="L599" s="123"/>
      <c r="M599" s="123" t="s">
        <v>3658</v>
      </c>
      <c r="N599" s="124">
        <v>46.7393</v>
      </c>
      <c r="O599" s="124">
        <v>-91.1663</v>
      </c>
      <c r="P599" s="124">
        <v>352.0</v>
      </c>
      <c r="Q599" s="123" t="s">
        <v>4477</v>
      </c>
      <c r="R599" s="125" t="s">
        <v>5311</v>
      </c>
      <c r="S599" s="123" t="s">
        <v>4477</v>
      </c>
      <c r="T599" s="125" t="s">
        <v>5312</v>
      </c>
      <c r="U599" s="124">
        <v>2002.0</v>
      </c>
      <c r="V599" s="124">
        <v>2005.0</v>
      </c>
      <c r="W599" s="123" t="s">
        <v>5301</v>
      </c>
      <c r="X599" s="123"/>
    </row>
    <row r="600">
      <c r="A600" s="123" t="s">
        <v>87</v>
      </c>
      <c r="B600" s="123" t="s">
        <v>5313</v>
      </c>
      <c r="C600" s="123"/>
      <c r="D600" s="123" t="s">
        <v>5314</v>
      </c>
      <c r="E600" s="123" t="s">
        <v>3164</v>
      </c>
      <c r="F600" s="123" t="s">
        <v>3164</v>
      </c>
      <c r="G600" s="123" t="s">
        <v>197</v>
      </c>
      <c r="H600" s="123" t="s">
        <v>3094</v>
      </c>
      <c r="I600" s="123" t="s">
        <v>107</v>
      </c>
      <c r="J600" s="123" t="s">
        <v>3249</v>
      </c>
      <c r="K600" s="123"/>
      <c r="L600" s="123"/>
      <c r="M600" s="123" t="s">
        <v>3658</v>
      </c>
      <c r="N600" s="124">
        <v>46.6531</v>
      </c>
      <c r="O600" s="124">
        <v>-91.0858</v>
      </c>
      <c r="P600" s="124">
        <v>353.0</v>
      </c>
      <c r="Q600" s="124">
        <v>2004.0</v>
      </c>
      <c r="R600" s="125" t="s">
        <v>5315</v>
      </c>
      <c r="S600" s="124">
        <v>2004.0</v>
      </c>
      <c r="T600" s="125" t="s">
        <v>5316</v>
      </c>
      <c r="U600" s="124">
        <v>2004.0</v>
      </c>
      <c r="V600" s="124">
        <v>2004.0</v>
      </c>
      <c r="W600" s="123" t="s">
        <v>5296</v>
      </c>
      <c r="X600" s="123"/>
    </row>
    <row r="601">
      <c r="A601" s="123" t="s">
        <v>87</v>
      </c>
      <c r="B601" s="123" t="s">
        <v>5317</v>
      </c>
      <c r="C601" s="123"/>
      <c r="D601" s="123" t="s">
        <v>5318</v>
      </c>
      <c r="E601" s="123" t="s">
        <v>3164</v>
      </c>
      <c r="F601" s="123" t="s">
        <v>3164</v>
      </c>
      <c r="G601" s="123" t="s">
        <v>292</v>
      </c>
      <c r="H601" s="123" t="s">
        <v>3097</v>
      </c>
      <c r="I601" s="123" t="s">
        <v>107</v>
      </c>
      <c r="J601" s="123" t="s">
        <v>3249</v>
      </c>
      <c r="K601" s="123"/>
      <c r="L601" s="123"/>
      <c r="M601" s="123" t="s">
        <v>3658</v>
      </c>
      <c r="N601" s="124">
        <v>46.6249</v>
      </c>
      <c r="O601" s="124">
        <v>-91.2982</v>
      </c>
      <c r="P601" s="124">
        <v>371.0</v>
      </c>
      <c r="Q601" s="123" t="s">
        <v>4414</v>
      </c>
      <c r="R601" s="125" t="s">
        <v>5319</v>
      </c>
      <c r="S601" s="123" t="s">
        <v>4414</v>
      </c>
      <c r="T601" s="125" t="s">
        <v>5320</v>
      </c>
      <c r="U601" s="124">
        <v>2002.0</v>
      </c>
      <c r="V601" s="124">
        <v>2002.0</v>
      </c>
      <c r="W601" s="123" t="s">
        <v>5296</v>
      </c>
      <c r="X601" s="123"/>
    </row>
    <row r="602">
      <c r="A602" s="123" t="s">
        <v>87</v>
      </c>
      <c r="B602" s="123" t="s">
        <v>5321</v>
      </c>
      <c r="C602" s="123"/>
      <c r="D602" s="123" t="s">
        <v>5322</v>
      </c>
      <c r="E602" s="123" t="s">
        <v>3164</v>
      </c>
      <c r="F602" s="123" t="s">
        <v>3164</v>
      </c>
      <c r="G602" s="123" t="s">
        <v>292</v>
      </c>
      <c r="H602" s="123" t="s">
        <v>3097</v>
      </c>
      <c r="I602" s="123" t="s">
        <v>107</v>
      </c>
      <c r="J602" s="123" t="s">
        <v>3249</v>
      </c>
      <c r="K602" s="123"/>
      <c r="L602" s="123"/>
      <c r="M602" s="123" t="s">
        <v>3658</v>
      </c>
      <c r="N602" s="124">
        <v>46.6491</v>
      </c>
      <c r="O602" s="124">
        <v>-91.0693</v>
      </c>
      <c r="P602" s="124">
        <v>335.0</v>
      </c>
      <c r="Q602" s="124">
        <v>2005.0</v>
      </c>
      <c r="R602" s="125" t="s">
        <v>5323</v>
      </c>
      <c r="S602" s="124">
        <v>2005.0</v>
      </c>
      <c r="T602" s="125" t="s">
        <v>5324</v>
      </c>
      <c r="U602" s="124">
        <v>2005.0</v>
      </c>
      <c r="V602" s="124">
        <v>2005.0</v>
      </c>
      <c r="W602" s="123" t="s">
        <v>5296</v>
      </c>
      <c r="X602" s="123"/>
    </row>
    <row r="603">
      <c r="A603" s="123" t="s">
        <v>87</v>
      </c>
      <c r="B603" s="123" t="s">
        <v>5325</v>
      </c>
      <c r="C603" s="123"/>
      <c r="D603" s="123" t="s">
        <v>5326</v>
      </c>
      <c r="E603" s="123" t="s">
        <v>3164</v>
      </c>
      <c r="F603" s="123" t="s">
        <v>3164</v>
      </c>
      <c r="G603" s="123" t="s">
        <v>370</v>
      </c>
      <c r="H603" s="123" t="s">
        <v>3091</v>
      </c>
      <c r="I603" s="123" t="s">
        <v>107</v>
      </c>
      <c r="J603" s="123" t="s">
        <v>3249</v>
      </c>
      <c r="K603" s="123"/>
      <c r="L603" s="123"/>
      <c r="M603" s="123" t="s">
        <v>3658</v>
      </c>
      <c r="N603" s="124">
        <v>46.7223</v>
      </c>
      <c r="O603" s="124">
        <v>-91.2524</v>
      </c>
      <c r="P603" s="124">
        <v>348.0</v>
      </c>
      <c r="Q603" s="124">
        <v>2002.0</v>
      </c>
      <c r="R603" s="125" t="s">
        <v>5327</v>
      </c>
      <c r="S603" s="124">
        <v>2002.0</v>
      </c>
      <c r="T603" s="125" t="s">
        <v>5328</v>
      </c>
      <c r="U603" s="124">
        <v>2002.0</v>
      </c>
      <c r="V603" s="124">
        <v>2002.0</v>
      </c>
      <c r="W603" s="123" t="s">
        <v>5296</v>
      </c>
      <c r="X603" s="123"/>
    </row>
    <row r="604">
      <c r="A604" s="123" t="s">
        <v>87</v>
      </c>
      <c r="B604" s="123" t="s">
        <v>5329</v>
      </c>
      <c r="C604" s="123"/>
      <c r="D604" s="123" t="s">
        <v>5330</v>
      </c>
      <c r="E604" s="123" t="s">
        <v>3164</v>
      </c>
      <c r="F604" s="123" t="s">
        <v>3164</v>
      </c>
      <c r="G604" s="123" t="s">
        <v>197</v>
      </c>
      <c r="H604" s="123" t="s">
        <v>3094</v>
      </c>
      <c r="I604" s="123" t="s">
        <v>107</v>
      </c>
      <c r="J604" s="123" t="s">
        <v>3249</v>
      </c>
      <c r="K604" s="123"/>
      <c r="L604" s="123"/>
      <c r="M604" s="123" t="s">
        <v>3658</v>
      </c>
      <c r="N604" s="124">
        <v>46.7385</v>
      </c>
      <c r="O604" s="124">
        <v>-91.0746</v>
      </c>
      <c r="P604" s="124">
        <v>350.0</v>
      </c>
      <c r="Q604" s="123" t="s">
        <v>3306</v>
      </c>
      <c r="R604" s="125" t="s">
        <v>5331</v>
      </c>
      <c r="S604" s="123" t="s">
        <v>3306</v>
      </c>
      <c r="T604" s="125" t="s">
        <v>5332</v>
      </c>
      <c r="U604" s="124">
        <v>2004.0</v>
      </c>
      <c r="V604" s="124">
        <v>2005.0</v>
      </c>
      <c r="W604" s="123" t="s">
        <v>5301</v>
      </c>
      <c r="X604" s="123"/>
    </row>
    <row r="605">
      <c r="A605" s="123" t="s">
        <v>87</v>
      </c>
      <c r="B605" s="123" t="s">
        <v>2196</v>
      </c>
      <c r="C605" s="123"/>
      <c r="D605" s="123" t="s">
        <v>5333</v>
      </c>
      <c r="E605" s="123" t="s">
        <v>3164</v>
      </c>
      <c r="F605" s="123" t="s">
        <v>3164</v>
      </c>
      <c r="G605" s="123" t="s">
        <v>313</v>
      </c>
      <c r="H605" s="123" t="s">
        <v>3098</v>
      </c>
      <c r="I605" s="123" t="s">
        <v>303</v>
      </c>
      <c r="J605" s="123" t="s">
        <v>3585</v>
      </c>
      <c r="K605" s="124">
        <v>361.0</v>
      </c>
      <c r="L605" s="124">
        <v>15.2</v>
      </c>
      <c r="M605" s="123" t="s">
        <v>3658</v>
      </c>
      <c r="N605" s="124">
        <v>34.4255</v>
      </c>
      <c r="O605" s="124">
        <v>-105.8615</v>
      </c>
      <c r="P605" s="124">
        <v>1931.0</v>
      </c>
      <c r="Q605" s="123" t="s">
        <v>5009</v>
      </c>
      <c r="R605" s="125" t="s">
        <v>5334</v>
      </c>
      <c r="S605" s="123" t="s">
        <v>4285</v>
      </c>
      <c r="T605" s="125" t="s">
        <v>5335</v>
      </c>
      <c r="U605" s="124">
        <v>2007.0</v>
      </c>
      <c r="V605" s="123"/>
      <c r="W605" s="123" t="s">
        <v>4617</v>
      </c>
      <c r="X605" s="123"/>
    </row>
    <row r="606">
      <c r="A606" s="123" t="s">
        <v>87</v>
      </c>
      <c r="B606" s="123" t="s">
        <v>314</v>
      </c>
      <c r="C606" s="123"/>
      <c r="D606" s="123" t="s">
        <v>5336</v>
      </c>
      <c r="E606" s="123" t="s">
        <v>3164</v>
      </c>
      <c r="F606" s="123" t="s">
        <v>3164</v>
      </c>
      <c r="G606" s="123" t="s">
        <v>288</v>
      </c>
      <c r="H606" s="123" t="s">
        <v>3095</v>
      </c>
      <c r="I606" s="123" t="s">
        <v>303</v>
      </c>
      <c r="J606" s="123" t="s">
        <v>3585</v>
      </c>
      <c r="K606" s="124">
        <v>407.0</v>
      </c>
      <c r="L606" s="124">
        <v>15.64</v>
      </c>
      <c r="M606" s="123" t="s">
        <v>3658</v>
      </c>
      <c r="N606" s="124">
        <v>31.7365</v>
      </c>
      <c r="O606" s="124">
        <v>-109.9419</v>
      </c>
      <c r="P606" s="124">
        <v>1531.0</v>
      </c>
      <c r="Q606" s="123" t="s">
        <v>4191</v>
      </c>
      <c r="R606" s="125" t="s">
        <v>5337</v>
      </c>
      <c r="S606" s="123" t="s">
        <v>3761</v>
      </c>
      <c r="T606" s="125" t="s">
        <v>5338</v>
      </c>
      <c r="U606" s="124">
        <v>2004.0</v>
      </c>
      <c r="V606" s="123"/>
      <c r="W606" s="123" t="s">
        <v>5085</v>
      </c>
      <c r="X606" s="123"/>
    </row>
    <row r="607">
      <c r="A607" s="123" t="s">
        <v>87</v>
      </c>
      <c r="B607" s="123" t="s">
        <v>5339</v>
      </c>
      <c r="C607" s="123"/>
      <c r="D607" s="123" t="s">
        <v>5340</v>
      </c>
      <c r="E607" s="123" t="s">
        <v>3164</v>
      </c>
      <c r="F607" s="123" t="s">
        <v>3165</v>
      </c>
      <c r="G607" s="123" t="s">
        <v>288</v>
      </c>
      <c r="H607" s="123" t="s">
        <v>3095</v>
      </c>
      <c r="I607" s="123" t="s">
        <v>201</v>
      </c>
      <c r="J607" s="123" t="s">
        <v>3174</v>
      </c>
      <c r="K607" s="124">
        <v>881.0</v>
      </c>
      <c r="L607" s="124">
        <v>13.52</v>
      </c>
      <c r="M607" s="123" t="s">
        <v>3658</v>
      </c>
      <c r="N607" s="124">
        <v>37.5208</v>
      </c>
      <c r="O607" s="124">
        <v>-96.855</v>
      </c>
      <c r="P607" s="124">
        <v>408.0</v>
      </c>
      <c r="Q607" s="123" t="s">
        <v>5341</v>
      </c>
      <c r="R607" s="125" t="s">
        <v>5342</v>
      </c>
      <c r="S607" s="123"/>
      <c r="T607" s="125" t="s">
        <v>3170</v>
      </c>
      <c r="U607" s="124">
        <v>2001.0</v>
      </c>
      <c r="V607" s="124">
        <v>2004.0</v>
      </c>
      <c r="W607" s="123" t="s">
        <v>5343</v>
      </c>
      <c r="X607" s="123"/>
    </row>
    <row r="608">
      <c r="A608" s="123" t="s">
        <v>87</v>
      </c>
      <c r="B608" s="123" t="s">
        <v>5344</v>
      </c>
      <c r="C608" s="123"/>
      <c r="D608" s="123" t="s">
        <v>5345</v>
      </c>
      <c r="E608" s="123" t="s">
        <v>3164</v>
      </c>
      <c r="F608" s="123" t="s">
        <v>3165</v>
      </c>
      <c r="G608" s="123" t="s">
        <v>370</v>
      </c>
      <c r="H608" s="123" t="s">
        <v>3091</v>
      </c>
      <c r="I608" s="123" t="s">
        <v>445</v>
      </c>
      <c r="J608" s="123" t="s">
        <v>3317</v>
      </c>
      <c r="K608" s="124">
        <v>1293.0</v>
      </c>
      <c r="L608" s="124">
        <v>11.39</v>
      </c>
      <c r="M608" s="123" t="s">
        <v>3658</v>
      </c>
      <c r="N608" s="124">
        <v>44.1369</v>
      </c>
      <c r="O608" s="124">
        <v>-123.1824</v>
      </c>
      <c r="P608" s="124">
        <v>111.0</v>
      </c>
      <c r="Q608" s="124">
        <v>2015.0</v>
      </c>
      <c r="R608" s="125" t="s">
        <v>5346</v>
      </c>
      <c r="S608" s="123"/>
      <c r="T608" s="125" t="s">
        <v>3170</v>
      </c>
      <c r="U608" s="124">
        <v>2015.0</v>
      </c>
      <c r="V608" s="124">
        <v>2016.0</v>
      </c>
      <c r="W608" s="123" t="s">
        <v>5347</v>
      </c>
      <c r="X608" s="123"/>
    </row>
    <row r="609">
      <c r="A609" s="123" t="s">
        <v>87</v>
      </c>
      <c r="B609" s="123" t="s">
        <v>5348</v>
      </c>
      <c r="C609" s="123"/>
      <c r="D609" s="123" t="s">
        <v>5349</v>
      </c>
      <c r="E609" s="123" t="s">
        <v>3164</v>
      </c>
      <c r="F609" s="123" t="s">
        <v>3164</v>
      </c>
      <c r="G609" s="123" t="s">
        <v>214</v>
      </c>
      <c r="H609" s="123" t="s">
        <v>3184</v>
      </c>
      <c r="I609" s="123" t="s">
        <v>108</v>
      </c>
      <c r="J609" s="123" t="s">
        <v>3796</v>
      </c>
      <c r="K609" s="124">
        <v>849.0</v>
      </c>
      <c r="L609" s="124">
        <v>10.1</v>
      </c>
      <c r="M609" s="123" t="s">
        <v>3658</v>
      </c>
      <c r="N609" s="124">
        <v>41.4646</v>
      </c>
      <c r="O609" s="124">
        <v>-82.9962</v>
      </c>
      <c r="P609" s="124">
        <v>175.0</v>
      </c>
      <c r="Q609" s="123" t="s">
        <v>3958</v>
      </c>
      <c r="R609" s="125" t="s">
        <v>5350</v>
      </c>
      <c r="S609" s="123" t="s">
        <v>3958</v>
      </c>
      <c r="T609" s="125" t="s">
        <v>5351</v>
      </c>
      <c r="U609" s="124">
        <v>2011.0</v>
      </c>
      <c r="V609" s="124">
        <v>2013.0</v>
      </c>
      <c r="W609" s="123" t="s">
        <v>5352</v>
      </c>
      <c r="X609" s="123"/>
    </row>
    <row r="610">
      <c r="A610" s="123" t="s">
        <v>87</v>
      </c>
      <c r="B610" s="123" t="s">
        <v>1326</v>
      </c>
      <c r="C610" s="123"/>
      <c r="D610" s="123" t="s">
        <v>5353</v>
      </c>
      <c r="E610" s="123" t="s">
        <v>3164</v>
      </c>
      <c r="F610" s="123" t="s">
        <v>3165</v>
      </c>
      <c r="G610" s="123" t="s">
        <v>197</v>
      </c>
      <c r="H610" s="123" t="s">
        <v>3094</v>
      </c>
      <c r="I610" s="123" t="s">
        <v>445</v>
      </c>
      <c r="J610" s="123" t="s">
        <v>3317</v>
      </c>
      <c r="K610" s="124">
        <v>2452.0</v>
      </c>
      <c r="L610" s="124">
        <v>8.8</v>
      </c>
      <c r="M610" s="123" t="s">
        <v>3658</v>
      </c>
      <c r="N610" s="124">
        <v>45.8205</v>
      </c>
      <c r="O610" s="124">
        <v>-121.9519</v>
      </c>
      <c r="P610" s="124">
        <v>371.0</v>
      </c>
      <c r="Q610" s="123" t="s">
        <v>5354</v>
      </c>
      <c r="R610" s="125" t="s">
        <v>5355</v>
      </c>
      <c r="S610" s="123"/>
      <c r="T610" s="125" t="s">
        <v>3170</v>
      </c>
      <c r="U610" s="124">
        <v>1998.0</v>
      </c>
      <c r="V610" s="124">
        <v>2016.0</v>
      </c>
      <c r="W610" s="123" t="s">
        <v>3427</v>
      </c>
      <c r="X610" s="123"/>
    </row>
    <row r="611">
      <c r="A611" s="123" t="s">
        <v>87</v>
      </c>
      <c r="B611" s="123" t="s">
        <v>5356</v>
      </c>
      <c r="C611" s="123"/>
      <c r="D611" s="123" t="s">
        <v>5357</v>
      </c>
      <c r="E611" s="123" t="s">
        <v>3165</v>
      </c>
      <c r="F611" s="123" t="s">
        <v>3165</v>
      </c>
      <c r="G611" s="123" t="s">
        <v>86</v>
      </c>
      <c r="H611" s="123" t="s">
        <v>3088</v>
      </c>
      <c r="I611" s="123" t="s">
        <v>303</v>
      </c>
      <c r="J611" s="123" t="s">
        <v>3585</v>
      </c>
      <c r="K611" s="124">
        <v>482.0</v>
      </c>
      <c r="L611" s="124">
        <v>14.4</v>
      </c>
      <c r="M611" s="123" t="s">
        <v>3658</v>
      </c>
      <c r="N611" s="124">
        <v>34.3674</v>
      </c>
      <c r="O611" s="124">
        <v>-101.8154</v>
      </c>
      <c r="P611" s="124">
        <v>1058.0</v>
      </c>
      <c r="Q611" s="123"/>
      <c r="R611" s="125" t="s">
        <v>3170</v>
      </c>
      <c r="S611" s="123"/>
      <c r="T611" s="125" t="s">
        <v>3170</v>
      </c>
      <c r="U611" s="124">
        <v>2023.0</v>
      </c>
      <c r="V611" s="123"/>
      <c r="W611" s="123"/>
      <c r="X611" s="123"/>
    </row>
    <row r="612">
      <c r="A612" s="123" t="s">
        <v>87</v>
      </c>
      <c r="B612" s="123" t="s">
        <v>5358</v>
      </c>
      <c r="C612" s="123"/>
      <c r="D612" s="123" t="s">
        <v>5359</v>
      </c>
      <c r="E612" s="123" t="s">
        <v>3164</v>
      </c>
      <c r="F612" s="123" t="s">
        <v>3165</v>
      </c>
      <c r="G612" s="123" t="s">
        <v>86</v>
      </c>
      <c r="H612" s="123" t="s">
        <v>3088</v>
      </c>
      <c r="I612" s="123" t="s">
        <v>445</v>
      </c>
      <c r="J612" s="123" t="s">
        <v>3317</v>
      </c>
      <c r="K612" s="124">
        <v>1194.0</v>
      </c>
      <c r="L612" s="124">
        <v>11.58</v>
      </c>
      <c r="M612" s="123" t="s">
        <v>3658</v>
      </c>
      <c r="N612" s="124">
        <v>45.1089</v>
      </c>
      <c r="O612" s="124">
        <v>-122.6664</v>
      </c>
      <c r="P612" s="124">
        <v>52.0</v>
      </c>
      <c r="Q612" s="123" t="s">
        <v>3189</v>
      </c>
      <c r="R612" s="125" t="s">
        <v>5360</v>
      </c>
      <c r="S612" s="123"/>
      <c r="T612" s="125" t="s">
        <v>3170</v>
      </c>
      <c r="U612" s="124">
        <v>2014.0</v>
      </c>
      <c r="V612" s="124">
        <v>2016.0</v>
      </c>
      <c r="W612" s="123" t="s">
        <v>5361</v>
      </c>
      <c r="X612" s="123"/>
    </row>
    <row r="613">
      <c r="A613" s="123" t="s">
        <v>87</v>
      </c>
      <c r="B613" s="123" t="s">
        <v>5362</v>
      </c>
      <c r="C613" s="123"/>
      <c r="D613" s="123" t="s">
        <v>5363</v>
      </c>
      <c r="E613" s="123" t="s">
        <v>3164</v>
      </c>
      <c r="F613" s="123" t="s">
        <v>3164</v>
      </c>
      <c r="G613" s="123" t="s">
        <v>197</v>
      </c>
      <c r="H613" s="123" t="s">
        <v>3094</v>
      </c>
      <c r="I613" s="123" t="s">
        <v>445</v>
      </c>
      <c r="J613" s="123" t="s">
        <v>3317</v>
      </c>
      <c r="K613" s="124">
        <v>2450.59</v>
      </c>
      <c r="L613" s="124">
        <v>10.0</v>
      </c>
      <c r="M613" s="123" t="s">
        <v>3658</v>
      </c>
      <c r="N613" s="124">
        <v>45.7624</v>
      </c>
      <c r="O613" s="124">
        <v>-122.3303</v>
      </c>
      <c r="P613" s="124">
        <v>363.0</v>
      </c>
      <c r="Q613" s="123" t="s">
        <v>4430</v>
      </c>
      <c r="R613" s="125" t="s">
        <v>5364</v>
      </c>
      <c r="S613" s="123" t="s">
        <v>3897</v>
      </c>
      <c r="T613" s="125" t="s">
        <v>5365</v>
      </c>
      <c r="U613" s="124">
        <v>2017.0</v>
      </c>
      <c r="V613" s="123"/>
      <c r="W613" s="123" t="s">
        <v>3651</v>
      </c>
      <c r="X613" s="123"/>
    </row>
    <row r="614">
      <c r="A614" s="123" t="s">
        <v>87</v>
      </c>
      <c r="B614" s="123" t="s">
        <v>5366</v>
      </c>
      <c r="C614" s="123"/>
      <c r="D614" s="123" t="s">
        <v>5367</v>
      </c>
      <c r="E614" s="123" t="s">
        <v>3164</v>
      </c>
      <c r="F614" s="123" t="s">
        <v>3164</v>
      </c>
      <c r="G614" s="123" t="s">
        <v>288</v>
      </c>
      <c r="H614" s="123" t="s">
        <v>3095</v>
      </c>
      <c r="I614" s="123" t="s">
        <v>201</v>
      </c>
      <c r="J614" s="123" t="s">
        <v>3174</v>
      </c>
      <c r="K614" s="124">
        <v>778.85</v>
      </c>
      <c r="L614" s="124">
        <v>15.5</v>
      </c>
      <c r="M614" s="123" t="s">
        <v>3658</v>
      </c>
      <c r="N614" s="124">
        <v>35.4106</v>
      </c>
      <c r="O614" s="124">
        <v>-99.0588</v>
      </c>
      <c r="P614" s="124">
        <v>516.0</v>
      </c>
      <c r="Q614" s="123" t="s">
        <v>4430</v>
      </c>
      <c r="R614" s="125" t="s">
        <v>5368</v>
      </c>
      <c r="S614" s="123" t="s">
        <v>3791</v>
      </c>
      <c r="T614" s="125" t="s">
        <v>5369</v>
      </c>
      <c r="U614" s="124">
        <v>2017.0</v>
      </c>
      <c r="V614" s="123"/>
      <c r="W614" s="123" t="s">
        <v>3655</v>
      </c>
      <c r="X614" s="123"/>
    </row>
    <row r="615">
      <c r="A615" s="123" t="s">
        <v>87</v>
      </c>
      <c r="B615" s="123" t="s">
        <v>5370</v>
      </c>
      <c r="C615" s="123"/>
      <c r="D615" s="123" t="s">
        <v>5371</v>
      </c>
      <c r="E615" s="123" t="s">
        <v>3164</v>
      </c>
      <c r="F615" s="123" t="s">
        <v>3164</v>
      </c>
      <c r="G615" s="123" t="s">
        <v>214</v>
      </c>
      <c r="H615" s="123" t="s">
        <v>3184</v>
      </c>
      <c r="I615" s="123" t="s">
        <v>605</v>
      </c>
      <c r="J615" s="123" t="s">
        <v>1686</v>
      </c>
      <c r="K615" s="124">
        <v>110.0</v>
      </c>
      <c r="L615" s="124">
        <v>-12.0</v>
      </c>
      <c r="M615" s="123" t="s">
        <v>3658</v>
      </c>
      <c r="N615" s="124">
        <v>71.2824</v>
      </c>
      <c r="O615" s="124">
        <v>-156.6194</v>
      </c>
      <c r="P615" s="124">
        <v>6.0</v>
      </c>
      <c r="Q615" s="123" t="s">
        <v>4430</v>
      </c>
      <c r="R615" s="125" t="s">
        <v>5372</v>
      </c>
      <c r="S615" s="123" t="s">
        <v>3897</v>
      </c>
      <c r="T615" s="125" t="s">
        <v>5373</v>
      </c>
      <c r="U615" s="124">
        <v>2017.0</v>
      </c>
      <c r="V615" s="123"/>
      <c r="W615" s="123" t="s">
        <v>3655</v>
      </c>
      <c r="X615" s="123"/>
    </row>
    <row r="616">
      <c r="A616" s="123" t="s">
        <v>87</v>
      </c>
      <c r="B616" s="123" t="s">
        <v>5374</v>
      </c>
      <c r="C616" s="123"/>
      <c r="D616" s="123" t="s">
        <v>5375</v>
      </c>
      <c r="E616" s="123" t="s">
        <v>3164</v>
      </c>
      <c r="F616" s="123" t="s">
        <v>3164</v>
      </c>
      <c r="G616" s="123" t="s">
        <v>370</v>
      </c>
      <c r="H616" s="123" t="s">
        <v>3091</v>
      </c>
      <c r="I616" s="123" t="s">
        <v>201</v>
      </c>
      <c r="J616" s="123" t="s">
        <v>3174</v>
      </c>
      <c r="K616" s="124">
        <v>982.55</v>
      </c>
      <c r="L616" s="124">
        <v>12.1</v>
      </c>
      <c r="M616" s="123" t="s">
        <v>3658</v>
      </c>
      <c r="N616" s="124">
        <v>39.0603</v>
      </c>
      <c r="O616" s="124">
        <v>-78.0716</v>
      </c>
      <c r="P616" s="124">
        <v>183.0</v>
      </c>
      <c r="Q616" s="123" t="s">
        <v>4430</v>
      </c>
      <c r="R616" s="125" t="s">
        <v>5376</v>
      </c>
      <c r="S616" s="123" t="s">
        <v>3897</v>
      </c>
      <c r="T616" s="125" t="s">
        <v>5377</v>
      </c>
      <c r="U616" s="124">
        <v>2016.0</v>
      </c>
      <c r="V616" s="123"/>
      <c r="W616" s="123" t="s">
        <v>3651</v>
      </c>
      <c r="X616" s="123"/>
    </row>
    <row r="617">
      <c r="A617" s="123" t="s">
        <v>87</v>
      </c>
      <c r="B617" s="123" t="s">
        <v>5378</v>
      </c>
      <c r="C617" s="123"/>
      <c r="D617" s="123" t="s">
        <v>5379</v>
      </c>
      <c r="E617" s="123" t="s">
        <v>3164</v>
      </c>
      <c r="F617" s="123" t="s">
        <v>3164</v>
      </c>
      <c r="G617" s="123" t="s">
        <v>197</v>
      </c>
      <c r="H617" s="123" t="s">
        <v>3094</v>
      </c>
      <c r="I617" s="123" t="s">
        <v>597</v>
      </c>
      <c r="J617" s="123" t="s">
        <v>4123</v>
      </c>
      <c r="K617" s="124">
        <v>275.0</v>
      </c>
      <c r="L617" s="124">
        <v>-2.0</v>
      </c>
      <c r="M617" s="123" t="s">
        <v>3658</v>
      </c>
      <c r="N617" s="124">
        <v>65.154</v>
      </c>
      <c r="O617" s="124">
        <v>-147.5026</v>
      </c>
      <c r="P617" s="124">
        <v>263.0</v>
      </c>
      <c r="Q617" s="123" t="s">
        <v>4430</v>
      </c>
      <c r="R617" s="125" t="s">
        <v>5380</v>
      </c>
      <c r="S617" s="123" t="s">
        <v>3897</v>
      </c>
      <c r="T617" s="125" t="s">
        <v>5381</v>
      </c>
      <c r="U617" s="124">
        <v>2017.0</v>
      </c>
      <c r="V617" s="123"/>
      <c r="W617" s="123" t="s">
        <v>3651</v>
      </c>
      <c r="X617" s="123"/>
    </row>
    <row r="618">
      <c r="A618" s="123" t="s">
        <v>87</v>
      </c>
      <c r="B618" s="123" t="s">
        <v>5382</v>
      </c>
      <c r="C618" s="123"/>
      <c r="D618" s="123" t="s">
        <v>5383</v>
      </c>
      <c r="E618" s="123" t="s">
        <v>3164</v>
      </c>
      <c r="F618" s="123" t="s">
        <v>3164</v>
      </c>
      <c r="G618" s="123" t="s">
        <v>370</v>
      </c>
      <c r="H618" s="123" t="s">
        <v>3091</v>
      </c>
      <c r="I618" s="123" t="s">
        <v>107</v>
      </c>
      <c r="J618" s="123" t="s">
        <v>3249</v>
      </c>
      <c r="K618" s="124">
        <v>1246.0</v>
      </c>
      <c r="L618" s="124">
        <v>5.6</v>
      </c>
      <c r="M618" s="123" t="s">
        <v>3658</v>
      </c>
      <c r="N618" s="124">
        <v>44.0639</v>
      </c>
      <c r="O618" s="124">
        <v>-71.2873</v>
      </c>
      <c r="P618" s="124">
        <v>232.0</v>
      </c>
      <c r="Q618" s="123" t="s">
        <v>4430</v>
      </c>
      <c r="R618" s="125" t="s">
        <v>5384</v>
      </c>
      <c r="S618" s="123" t="s">
        <v>3791</v>
      </c>
      <c r="T618" s="125" t="s">
        <v>5385</v>
      </c>
      <c r="U618" s="124">
        <v>2016.0</v>
      </c>
      <c r="V618" s="123"/>
      <c r="W618" s="123" t="s">
        <v>3651</v>
      </c>
      <c r="X618" s="123"/>
    </row>
    <row r="619">
      <c r="A619" s="123" t="s">
        <v>87</v>
      </c>
      <c r="B619" s="123" t="s">
        <v>5386</v>
      </c>
      <c r="C619" s="123"/>
      <c r="D619" s="123" t="s">
        <v>5387</v>
      </c>
      <c r="E619" s="123" t="s">
        <v>3164</v>
      </c>
      <c r="F619" s="123" t="s">
        <v>3164</v>
      </c>
      <c r="G619" s="123" t="s">
        <v>288</v>
      </c>
      <c r="H619" s="123" t="s">
        <v>3095</v>
      </c>
      <c r="I619" s="123" t="s">
        <v>201</v>
      </c>
      <c r="J619" s="123" t="s">
        <v>3174</v>
      </c>
      <c r="K619" s="124">
        <v>925.61</v>
      </c>
      <c r="L619" s="124">
        <v>17.5</v>
      </c>
      <c r="M619" s="123" t="s">
        <v>3658</v>
      </c>
      <c r="N619" s="124">
        <v>33.4012</v>
      </c>
      <c r="O619" s="124">
        <v>-97.57</v>
      </c>
      <c r="P619" s="124">
        <v>259.0</v>
      </c>
      <c r="Q619" s="123" t="s">
        <v>4430</v>
      </c>
      <c r="R619" s="125" t="s">
        <v>5388</v>
      </c>
      <c r="S619" s="123" t="s">
        <v>3791</v>
      </c>
      <c r="T619" s="125" t="s">
        <v>5389</v>
      </c>
      <c r="U619" s="124">
        <v>2017.0</v>
      </c>
      <c r="V619" s="123"/>
      <c r="W619" s="123" t="s">
        <v>3651</v>
      </c>
      <c r="X619" s="123"/>
    </row>
    <row r="620">
      <c r="A620" s="123" t="s">
        <v>87</v>
      </c>
      <c r="B620" s="123" t="s">
        <v>5390</v>
      </c>
      <c r="C620" s="123"/>
      <c r="D620" s="123" t="s">
        <v>5391</v>
      </c>
      <c r="E620" s="123" t="s">
        <v>3164</v>
      </c>
      <c r="F620" s="123" t="s">
        <v>3164</v>
      </c>
      <c r="G620" s="123" t="s">
        <v>288</v>
      </c>
      <c r="H620" s="123" t="s">
        <v>3095</v>
      </c>
      <c r="I620" s="123" t="s">
        <v>303</v>
      </c>
      <c r="J620" s="123" t="s">
        <v>3585</v>
      </c>
      <c r="K620" s="124">
        <v>320.0</v>
      </c>
      <c r="L620" s="124">
        <v>8.6</v>
      </c>
      <c r="M620" s="123" t="s">
        <v>3658</v>
      </c>
      <c r="N620" s="124">
        <v>40.8155</v>
      </c>
      <c r="O620" s="124">
        <v>-104.7456</v>
      </c>
      <c r="P620" s="124">
        <v>1654.0</v>
      </c>
      <c r="Q620" s="123" t="s">
        <v>4215</v>
      </c>
      <c r="R620" s="125" t="s">
        <v>5392</v>
      </c>
      <c r="S620" s="123" t="s">
        <v>3784</v>
      </c>
      <c r="T620" s="125" t="s">
        <v>5393</v>
      </c>
      <c r="U620" s="124">
        <v>2016.0</v>
      </c>
      <c r="V620" s="123"/>
      <c r="W620" s="123" t="s">
        <v>3655</v>
      </c>
      <c r="X620" s="123"/>
    </row>
    <row r="621">
      <c r="A621" s="123" t="s">
        <v>87</v>
      </c>
      <c r="B621" s="123" t="s">
        <v>5394</v>
      </c>
      <c r="C621" s="123"/>
      <c r="D621" s="123" t="s">
        <v>5395</v>
      </c>
      <c r="E621" s="123" t="s">
        <v>3164</v>
      </c>
      <c r="F621" s="123" t="s">
        <v>3164</v>
      </c>
      <c r="G621" s="123" t="s">
        <v>288</v>
      </c>
      <c r="H621" s="123" t="s">
        <v>3095</v>
      </c>
      <c r="I621" s="123" t="s">
        <v>107</v>
      </c>
      <c r="J621" s="123" t="s">
        <v>3249</v>
      </c>
      <c r="K621" s="124">
        <v>489.74</v>
      </c>
      <c r="L621" s="124">
        <v>4.9</v>
      </c>
      <c r="M621" s="123" t="s">
        <v>3658</v>
      </c>
      <c r="N621" s="124">
        <v>47.1617</v>
      </c>
      <c r="O621" s="124">
        <v>-99.1066</v>
      </c>
      <c r="P621" s="124">
        <v>559.0</v>
      </c>
      <c r="Q621" s="123" t="s">
        <v>4430</v>
      </c>
      <c r="R621" s="125" t="s">
        <v>5396</v>
      </c>
      <c r="S621" s="123" t="s">
        <v>3791</v>
      </c>
      <c r="T621" s="125" t="s">
        <v>5397</v>
      </c>
      <c r="U621" s="124">
        <v>2017.0</v>
      </c>
      <c r="V621" s="123"/>
      <c r="W621" s="123" t="s">
        <v>3655</v>
      </c>
      <c r="X621" s="123"/>
    </row>
    <row r="622">
      <c r="A622" s="123" t="s">
        <v>87</v>
      </c>
      <c r="B622" s="123" t="s">
        <v>5398</v>
      </c>
      <c r="C622" s="123"/>
      <c r="D622" s="123" t="s">
        <v>5399</v>
      </c>
      <c r="E622" s="123" t="s">
        <v>3164</v>
      </c>
      <c r="F622" s="123" t="s">
        <v>3164</v>
      </c>
      <c r="G622" s="123" t="s">
        <v>197</v>
      </c>
      <c r="H622" s="123" t="s">
        <v>3094</v>
      </c>
      <c r="I622" s="123" t="s">
        <v>372</v>
      </c>
      <c r="J622" s="123" t="s">
        <v>3292</v>
      </c>
      <c r="K622" s="124">
        <v>300.0</v>
      </c>
      <c r="L622" s="124">
        <v>-2.0</v>
      </c>
      <c r="M622" s="123" t="s">
        <v>3658</v>
      </c>
      <c r="N622" s="124">
        <v>63.8811</v>
      </c>
      <c r="O622" s="124">
        <v>-145.7514</v>
      </c>
      <c r="P622" s="124">
        <v>529.0</v>
      </c>
      <c r="Q622" s="123" t="s">
        <v>4430</v>
      </c>
      <c r="R622" s="125" t="s">
        <v>5400</v>
      </c>
      <c r="S622" s="123" t="s">
        <v>3897</v>
      </c>
      <c r="T622" s="125" t="s">
        <v>5401</v>
      </c>
      <c r="U622" s="124">
        <v>2017.0</v>
      </c>
      <c r="V622" s="123"/>
      <c r="W622" s="123" t="s">
        <v>3651</v>
      </c>
      <c r="X622" s="123"/>
    </row>
    <row r="623">
      <c r="A623" s="123" t="s">
        <v>87</v>
      </c>
      <c r="B623" s="123" t="s">
        <v>5402</v>
      </c>
      <c r="C623" s="123"/>
      <c r="D623" s="123" t="s">
        <v>5403</v>
      </c>
      <c r="E623" s="123" t="s">
        <v>3164</v>
      </c>
      <c r="F623" s="123" t="s">
        <v>3164</v>
      </c>
      <c r="G623" s="123" t="s">
        <v>452</v>
      </c>
      <c r="H623" s="123" t="s">
        <v>3096</v>
      </c>
      <c r="I623" s="123" t="s">
        <v>201</v>
      </c>
      <c r="J623" s="123" t="s">
        <v>3174</v>
      </c>
      <c r="K623" s="124">
        <v>1372.0</v>
      </c>
      <c r="L623" s="124">
        <v>17.6</v>
      </c>
      <c r="M623" s="123" t="s">
        <v>3658</v>
      </c>
      <c r="N623" s="124">
        <v>32.5417</v>
      </c>
      <c r="O623" s="124">
        <v>-87.8039</v>
      </c>
      <c r="P623" s="124">
        <v>22.0</v>
      </c>
      <c r="Q623" s="123" t="s">
        <v>4430</v>
      </c>
      <c r="R623" s="125" t="s">
        <v>5404</v>
      </c>
      <c r="S623" s="123" t="s">
        <v>3791</v>
      </c>
      <c r="T623" s="125" t="s">
        <v>5405</v>
      </c>
      <c r="U623" s="124">
        <v>2017.0</v>
      </c>
      <c r="V623" s="123"/>
      <c r="W623" s="123" t="s">
        <v>3651</v>
      </c>
      <c r="X623" s="123"/>
    </row>
    <row r="624">
      <c r="A624" s="123" t="s">
        <v>87</v>
      </c>
      <c r="B624" s="123" t="s">
        <v>5406</v>
      </c>
      <c r="C624" s="123"/>
      <c r="D624" s="123" t="s">
        <v>5407</v>
      </c>
      <c r="E624" s="123" t="s">
        <v>3164</v>
      </c>
      <c r="F624" s="123" t="s">
        <v>3164</v>
      </c>
      <c r="G624" s="123" t="s">
        <v>362</v>
      </c>
      <c r="H624" s="123" t="s">
        <v>3225</v>
      </c>
      <c r="I624" s="123" t="s">
        <v>201</v>
      </c>
      <c r="J624" s="123" t="s">
        <v>3174</v>
      </c>
      <c r="K624" s="124">
        <v>1216.09</v>
      </c>
      <c r="L624" s="124">
        <v>22.5</v>
      </c>
      <c r="M624" s="123" t="s">
        <v>3658</v>
      </c>
      <c r="N624" s="124">
        <v>28.125</v>
      </c>
      <c r="O624" s="124">
        <v>-81.4362</v>
      </c>
      <c r="P624" s="124">
        <v>15.0</v>
      </c>
      <c r="Q624" s="123" t="s">
        <v>4430</v>
      </c>
      <c r="R624" s="125" t="s">
        <v>5408</v>
      </c>
      <c r="S624" s="123" t="s">
        <v>3791</v>
      </c>
      <c r="T624" s="125" t="s">
        <v>5409</v>
      </c>
      <c r="U624" s="124">
        <v>2017.0</v>
      </c>
      <c r="V624" s="123"/>
      <c r="W624" s="123" t="s">
        <v>3651</v>
      </c>
      <c r="X624" s="123"/>
    </row>
    <row r="625">
      <c r="A625" s="123" t="s">
        <v>87</v>
      </c>
      <c r="B625" s="123" t="s">
        <v>5410</v>
      </c>
      <c r="C625" s="123"/>
      <c r="D625" s="123" t="s">
        <v>5411</v>
      </c>
      <c r="E625" s="123" t="s">
        <v>3164</v>
      </c>
      <c r="F625" s="123" t="s">
        <v>3164</v>
      </c>
      <c r="G625" s="123" t="s">
        <v>370</v>
      </c>
      <c r="H625" s="123" t="s">
        <v>3091</v>
      </c>
      <c r="I625" s="123" t="s">
        <v>201</v>
      </c>
      <c r="J625" s="123" t="s">
        <v>3174</v>
      </c>
      <c r="K625" s="124">
        <v>1375.0</v>
      </c>
      <c r="L625" s="124">
        <v>13.1</v>
      </c>
      <c r="M625" s="123" t="s">
        <v>3658</v>
      </c>
      <c r="N625" s="124">
        <v>35.689</v>
      </c>
      <c r="O625" s="124">
        <v>-83.5019</v>
      </c>
      <c r="P625" s="124">
        <v>579.0</v>
      </c>
      <c r="Q625" s="123" t="s">
        <v>4430</v>
      </c>
      <c r="R625" s="125" t="s">
        <v>5412</v>
      </c>
      <c r="S625" s="123" t="s">
        <v>3791</v>
      </c>
      <c r="T625" s="125" t="s">
        <v>5413</v>
      </c>
      <c r="U625" s="124">
        <v>2017.0</v>
      </c>
      <c r="V625" s="123"/>
      <c r="W625" s="123" t="s">
        <v>3651</v>
      </c>
      <c r="X625" s="123"/>
    </row>
    <row r="626">
      <c r="A626" s="123" t="s">
        <v>87</v>
      </c>
      <c r="B626" s="123" t="s">
        <v>5414</v>
      </c>
      <c r="C626" s="123"/>
      <c r="D626" s="123" t="s">
        <v>5415</v>
      </c>
      <c r="E626" s="123" t="s">
        <v>3164</v>
      </c>
      <c r="F626" s="123" t="s">
        <v>3164</v>
      </c>
      <c r="G626" s="123" t="s">
        <v>370</v>
      </c>
      <c r="H626" s="123" t="s">
        <v>3091</v>
      </c>
      <c r="I626" s="123" t="s">
        <v>107</v>
      </c>
      <c r="J626" s="123" t="s">
        <v>3249</v>
      </c>
      <c r="K626" s="124">
        <v>1071.0</v>
      </c>
      <c r="L626" s="124">
        <v>6.62</v>
      </c>
      <c r="M626" s="123" t="s">
        <v>3658</v>
      </c>
      <c r="N626" s="124">
        <v>42.5369</v>
      </c>
      <c r="O626" s="124">
        <v>-72.1727</v>
      </c>
      <c r="P626" s="124">
        <v>351.0</v>
      </c>
      <c r="Q626" s="123" t="s">
        <v>4430</v>
      </c>
      <c r="R626" s="125" t="s">
        <v>5416</v>
      </c>
      <c r="S626" s="123" t="s">
        <v>3791</v>
      </c>
      <c r="T626" s="125" t="s">
        <v>5417</v>
      </c>
      <c r="U626" s="124">
        <v>2017.0</v>
      </c>
      <c r="V626" s="123"/>
      <c r="W626" s="123" t="s">
        <v>3651</v>
      </c>
      <c r="X626" s="123"/>
    </row>
    <row r="627">
      <c r="A627" s="123" t="s">
        <v>87</v>
      </c>
      <c r="B627" s="123" t="s">
        <v>5418</v>
      </c>
      <c r="C627" s="123"/>
      <c r="D627" s="123" t="s">
        <v>5419</v>
      </c>
      <c r="E627" s="123" t="s">
        <v>3164</v>
      </c>
      <c r="F627" s="123" t="s">
        <v>3164</v>
      </c>
      <c r="G627" s="123" t="s">
        <v>292</v>
      </c>
      <c r="H627" s="123" t="s">
        <v>3097</v>
      </c>
      <c r="I627" s="123" t="s">
        <v>605</v>
      </c>
      <c r="J627" s="123" t="s">
        <v>1686</v>
      </c>
      <c r="K627" s="124">
        <v>320.0</v>
      </c>
      <c r="L627" s="124">
        <v>-4.0</v>
      </c>
      <c r="M627" s="123" t="s">
        <v>3658</v>
      </c>
      <c r="N627" s="124">
        <v>63.8757</v>
      </c>
      <c r="O627" s="124">
        <v>-149.2133</v>
      </c>
      <c r="P627" s="124">
        <v>705.0</v>
      </c>
      <c r="Q627" s="123" t="s">
        <v>4430</v>
      </c>
      <c r="R627" s="125" t="s">
        <v>5420</v>
      </c>
      <c r="S627" s="123" t="s">
        <v>3791</v>
      </c>
      <c r="T627" s="125" t="s">
        <v>5421</v>
      </c>
      <c r="U627" s="124">
        <v>2017.0</v>
      </c>
      <c r="V627" s="123"/>
      <c r="W627" s="123" t="s">
        <v>3655</v>
      </c>
      <c r="X627" s="123"/>
    </row>
    <row r="628">
      <c r="A628" s="123" t="s">
        <v>87</v>
      </c>
      <c r="B628" s="123" t="s">
        <v>5422</v>
      </c>
      <c r="C628" s="123"/>
      <c r="D628" s="123" t="s">
        <v>5423</v>
      </c>
      <c r="E628" s="123" t="s">
        <v>3164</v>
      </c>
      <c r="F628" s="123" t="s">
        <v>3164</v>
      </c>
      <c r="G628" s="123" t="s">
        <v>197</v>
      </c>
      <c r="H628" s="123" t="s">
        <v>3094</v>
      </c>
      <c r="I628" s="123" t="s">
        <v>201</v>
      </c>
      <c r="J628" s="123" t="s">
        <v>3174</v>
      </c>
      <c r="K628" s="124">
        <v>1307.97</v>
      </c>
      <c r="L628" s="124">
        <v>19.2</v>
      </c>
      <c r="M628" s="123" t="s">
        <v>3658</v>
      </c>
      <c r="N628" s="124">
        <v>31.1948</v>
      </c>
      <c r="O628" s="124">
        <v>-84.4686</v>
      </c>
      <c r="P628" s="124">
        <v>44.0</v>
      </c>
      <c r="Q628" s="123" t="s">
        <v>4430</v>
      </c>
      <c r="R628" s="125" t="s">
        <v>5424</v>
      </c>
      <c r="S628" s="123" t="s">
        <v>3791</v>
      </c>
      <c r="T628" s="125" t="s">
        <v>5425</v>
      </c>
      <c r="U628" s="124">
        <v>2017.0</v>
      </c>
      <c r="V628" s="123"/>
      <c r="W628" s="123" t="s">
        <v>3651</v>
      </c>
      <c r="X628" s="123"/>
    </row>
    <row r="629">
      <c r="A629" s="123" t="s">
        <v>87</v>
      </c>
      <c r="B629" s="123" t="s">
        <v>5426</v>
      </c>
      <c r="C629" s="123"/>
      <c r="D629" s="123" t="s">
        <v>5427</v>
      </c>
      <c r="E629" s="123" t="s">
        <v>3164</v>
      </c>
      <c r="F629" s="123" t="s">
        <v>3164</v>
      </c>
      <c r="G629" s="123" t="s">
        <v>292</v>
      </c>
      <c r="H629" s="123" t="s">
        <v>3097</v>
      </c>
      <c r="I629" s="123" t="s">
        <v>303</v>
      </c>
      <c r="J629" s="123" t="s">
        <v>3585</v>
      </c>
      <c r="K629" s="124">
        <v>271.33</v>
      </c>
      <c r="L629" s="124">
        <v>15.7</v>
      </c>
      <c r="M629" s="123" t="s">
        <v>3658</v>
      </c>
      <c r="N629" s="124">
        <v>32.5907</v>
      </c>
      <c r="O629" s="124">
        <v>-106.8425</v>
      </c>
      <c r="P629" s="124">
        <v>1329.0</v>
      </c>
      <c r="Q629" s="123" t="s">
        <v>4430</v>
      </c>
      <c r="R629" s="125" t="s">
        <v>5428</v>
      </c>
      <c r="S629" s="123" t="s">
        <v>3897</v>
      </c>
      <c r="T629" s="125" t="s">
        <v>5429</v>
      </c>
      <c r="U629" s="124">
        <v>2017.0</v>
      </c>
      <c r="V629" s="123"/>
      <c r="W629" s="123" t="s">
        <v>3651</v>
      </c>
      <c r="X629" s="123"/>
    </row>
    <row r="630">
      <c r="A630" s="123" t="s">
        <v>87</v>
      </c>
      <c r="B630" s="123" t="s">
        <v>5430</v>
      </c>
      <c r="C630" s="123"/>
      <c r="D630" s="123" t="s">
        <v>5431</v>
      </c>
      <c r="E630" s="123" t="s">
        <v>3164</v>
      </c>
      <c r="F630" s="123" t="s">
        <v>3164</v>
      </c>
      <c r="G630" s="123" t="s">
        <v>288</v>
      </c>
      <c r="H630" s="123" t="s">
        <v>3095</v>
      </c>
      <c r="I630" s="123" t="s">
        <v>201</v>
      </c>
      <c r="J630" s="123" t="s">
        <v>3174</v>
      </c>
      <c r="K630" s="124">
        <v>850.63</v>
      </c>
      <c r="L630" s="124">
        <v>12.7</v>
      </c>
      <c r="M630" s="123" t="s">
        <v>3658</v>
      </c>
      <c r="N630" s="124">
        <v>39.1104</v>
      </c>
      <c r="O630" s="124">
        <v>-96.6129</v>
      </c>
      <c r="P630" s="124">
        <v>1329.0</v>
      </c>
      <c r="Q630" s="123" t="s">
        <v>4430</v>
      </c>
      <c r="R630" s="125" t="s">
        <v>5432</v>
      </c>
      <c r="S630" s="123" t="s">
        <v>3791</v>
      </c>
      <c r="T630" s="125" t="s">
        <v>5433</v>
      </c>
      <c r="U630" s="124">
        <v>2017.0</v>
      </c>
      <c r="V630" s="123"/>
      <c r="W630" s="123" t="s">
        <v>3651</v>
      </c>
      <c r="X630" s="123"/>
    </row>
    <row r="631">
      <c r="A631" s="123" t="s">
        <v>87</v>
      </c>
      <c r="B631" s="123" t="s">
        <v>5434</v>
      </c>
      <c r="C631" s="123"/>
      <c r="D631" s="123" t="s">
        <v>5435</v>
      </c>
      <c r="E631" s="123" t="s">
        <v>3164</v>
      </c>
      <c r="F631" s="123" t="s">
        <v>3164</v>
      </c>
      <c r="G631" s="123" t="s">
        <v>288</v>
      </c>
      <c r="H631" s="123" t="s">
        <v>3095</v>
      </c>
      <c r="I631" s="123" t="s">
        <v>201</v>
      </c>
      <c r="J631" s="123" t="s">
        <v>3174</v>
      </c>
      <c r="K631" s="124">
        <v>870.38</v>
      </c>
      <c r="L631" s="124">
        <v>12.4</v>
      </c>
      <c r="M631" s="123" t="s">
        <v>3658</v>
      </c>
      <c r="N631" s="124">
        <v>39.1008</v>
      </c>
      <c r="O631" s="124">
        <v>-96.5631</v>
      </c>
      <c r="P631" s="124">
        <v>381.0</v>
      </c>
      <c r="Q631" s="123" t="s">
        <v>4430</v>
      </c>
      <c r="R631" s="125" t="s">
        <v>5436</v>
      </c>
      <c r="S631" s="123" t="s">
        <v>3791</v>
      </c>
      <c r="T631" s="125" t="s">
        <v>5437</v>
      </c>
      <c r="U631" s="124">
        <v>2017.0</v>
      </c>
      <c r="V631" s="123"/>
      <c r="W631" s="123" t="s">
        <v>3651</v>
      </c>
      <c r="X631" s="123"/>
    </row>
    <row r="632">
      <c r="A632" s="123" t="s">
        <v>87</v>
      </c>
      <c r="B632" s="123" t="s">
        <v>5438</v>
      </c>
      <c r="C632" s="123"/>
      <c r="D632" s="123" t="s">
        <v>5439</v>
      </c>
      <c r="E632" s="123" t="s">
        <v>3164</v>
      </c>
      <c r="F632" s="123" t="s">
        <v>3165</v>
      </c>
      <c r="G632" s="123" t="s">
        <v>370</v>
      </c>
      <c r="H632" s="123" t="s">
        <v>3091</v>
      </c>
      <c r="I632" s="123" t="s">
        <v>201</v>
      </c>
      <c r="J632" s="123" t="s">
        <v>3174</v>
      </c>
      <c r="K632" s="124">
        <v>1386.24</v>
      </c>
      <c r="L632" s="124">
        <v>18.1</v>
      </c>
      <c r="M632" s="123" t="s">
        <v>3658</v>
      </c>
      <c r="N632" s="124">
        <v>31.8539</v>
      </c>
      <c r="O632" s="124">
        <v>-88.1612</v>
      </c>
      <c r="P632" s="124">
        <v>20.0</v>
      </c>
      <c r="Q632" s="123" t="s">
        <v>4430</v>
      </c>
      <c r="R632" s="125" t="s">
        <v>5440</v>
      </c>
      <c r="S632" s="123"/>
      <c r="T632" s="125" t="s">
        <v>3170</v>
      </c>
      <c r="U632" s="124">
        <v>2017.0</v>
      </c>
      <c r="V632" s="123"/>
      <c r="W632" s="123" t="s">
        <v>3651</v>
      </c>
      <c r="X632" s="123"/>
    </row>
    <row r="633">
      <c r="A633" s="123" t="s">
        <v>87</v>
      </c>
      <c r="B633" s="123" t="s">
        <v>5441</v>
      </c>
      <c r="C633" s="123"/>
      <c r="D633" s="123" t="s">
        <v>5442</v>
      </c>
      <c r="E633" s="123" t="s">
        <v>3164</v>
      </c>
      <c r="F633" s="123" t="s">
        <v>3164</v>
      </c>
      <c r="G633" s="123" t="s">
        <v>292</v>
      </c>
      <c r="H633" s="123" t="s">
        <v>3097</v>
      </c>
      <c r="I633" s="123" t="s">
        <v>303</v>
      </c>
      <c r="J633" s="123" t="s">
        <v>3585</v>
      </c>
      <c r="K633" s="124">
        <v>319.46</v>
      </c>
      <c r="L633" s="124">
        <v>10.1</v>
      </c>
      <c r="M633" s="123" t="s">
        <v>3658</v>
      </c>
      <c r="N633" s="124">
        <v>38.2483</v>
      </c>
      <c r="O633" s="124">
        <v>-109.3883</v>
      </c>
      <c r="P633" s="124">
        <v>1767.0</v>
      </c>
      <c r="Q633" s="123" t="s">
        <v>4430</v>
      </c>
      <c r="R633" s="125" t="s">
        <v>5443</v>
      </c>
      <c r="S633" s="123" t="s">
        <v>3791</v>
      </c>
      <c r="T633" s="125" t="s">
        <v>5444</v>
      </c>
      <c r="U633" s="124">
        <v>2017.0</v>
      </c>
      <c r="V633" s="123"/>
      <c r="W633" s="123" t="s">
        <v>3655</v>
      </c>
      <c r="X633" s="123"/>
    </row>
    <row r="634">
      <c r="A634" s="123" t="s">
        <v>87</v>
      </c>
      <c r="B634" s="123" t="s">
        <v>5445</v>
      </c>
      <c r="C634" s="123"/>
      <c r="D634" s="123" t="s">
        <v>5446</v>
      </c>
      <c r="E634" s="123" t="s">
        <v>3164</v>
      </c>
      <c r="F634" s="123" t="s">
        <v>3164</v>
      </c>
      <c r="G634" s="123" t="s">
        <v>370</v>
      </c>
      <c r="H634" s="123" t="s">
        <v>3091</v>
      </c>
      <c r="I634" s="123" t="s">
        <v>107</v>
      </c>
      <c r="J634" s="123" t="s">
        <v>3249</v>
      </c>
      <c r="K634" s="124">
        <v>1227.82</v>
      </c>
      <c r="L634" s="124">
        <v>8.8</v>
      </c>
      <c r="M634" s="123" t="s">
        <v>3658</v>
      </c>
      <c r="N634" s="124">
        <v>37.3783</v>
      </c>
      <c r="O634" s="124">
        <v>-80.5248</v>
      </c>
      <c r="P634" s="124">
        <v>1126.0</v>
      </c>
      <c r="Q634" s="123" t="s">
        <v>4430</v>
      </c>
      <c r="R634" s="125" t="s">
        <v>5447</v>
      </c>
      <c r="S634" s="123" t="s">
        <v>3791</v>
      </c>
      <c r="T634" s="125" t="s">
        <v>5448</v>
      </c>
      <c r="U634" s="124">
        <v>2017.0</v>
      </c>
      <c r="V634" s="123"/>
      <c r="W634" s="123" t="s">
        <v>3651</v>
      </c>
      <c r="X634" s="123"/>
    </row>
    <row r="635">
      <c r="A635" s="123" t="s">
        <v>87</v>
      </c>
      <c r="B635" s="123" t="s">
        <v>5449</v>
      </c>
      <c r="C635" s="123"/>
      <c r="D635" s="123" t="s">
        <v>5450</v>
      </c>
      <c r="E635" s="123" t="s">
        <v>3164</v>
      </c>
      <c r="F635" s="123" t="s">
        <v>3164</v>
      </c>
      <c r="G635" s="123" t="s">
        <v>288</v>
      </c>
      <c r="H635" s="123" t="s">
        <v>3095</v>
      </c>
      <c r="I635" s="123" t="s">
        <v>107</v>
      </c>
      <c r="J635" s="123" t="s">
        <v>3249</v>
      </c>
      <c r="K635" s="124">
        <v>456.51</v>
      </c>
      <c r="L635" s="124">
        <v>5.9</v>
      </c>
      <c r="M635" s="123" t="s">
        <v>3658</v>
      </c>
      <c r="N635" s="124">
        <v>46.7697</v>
      </c>
      <c r="O635" s="124">
        <v>-100.9154</v>
      </c>
      <c r="P635" s="124">
        <v>578.0</v>
      </c>
      <c r="Q635" s="123" t="s">
        <v>4430</v>
      </c>
      <c r="R635" s="125" t="s">
        <v>5451</v>
      </c>
      <c r="S635" s="123" t="s">
        <v>3791</v>
      </c>
      <c r="T635" s="125" t="s">
        <v>5452</v>
      </c>
      <c r="U635" s="124">
        <v>2017.0</v>
      </c>
      <c r="V635" s="123"/>
      <c r="W635" s="123" t="s">
        <v>3655</v>
      </c>
      <c r="X635" s="123"/>
    </row>
    <row r="636">
      <c r="A636" s="123" t="s">
        <v>87</v>
      </c>
      <c r="B636" s="123" t="s">
        <v>5453</v>
      </c>
      <c r="C636" s="123"/>
      <c r="D636" s="123" t="s">
        <v>5454</v>
      </c>
      <c r="E636" s="123" t="s">
        <v>3164</v>
      </c>
      <c r="F636" s="123" t="s">
        <v>3164</v>
      </c>
      <c r="G636" s="123" t="s">
        <v>292</v>
      </c>
      <c r="H636" s="123" t="s">
        <v>3097</v>
      </c>
      <c r="I636" s="123" t="s">
        <v>107</v>
      </c>
      <c r="J636" s="123" t="s">
        <v>3249</v>
      </c>
      <c r="K636" s="124">
        <v>288.31</v>
      </c>
      <c r="L636" s="124">
        <v>9.0</v>
      </c>
      <c r="M636" s="123" t="s">
        <v>3658</v>
      </c>
      <c r="N636" s="124">
        <v>40.1776</v>
      </c>
      <c r="O636" s="124">
        <v>-112.4524</v>
      </c>
      <c r="P636" s="124">
        <v>1685.0</v>
      </c>
      <c r="Q636" s="123" t="s">
        <v>4430</v>
      </c>
      <c r="R636" s="125" t="s">
        <v>5455</v>
      </c>
      <c r="S636" s="123" t="s">
        <v>3791</v>
      </c>
      <c r="T636" s="125" t="s">
        <v>5456</v>
      </c>
      <c r="U636" s="124">
        <v>2017.0</v>
      </c>
      <c r="V636" s="123"/>
      <c r="W636" s="123" t="s">
        <v>3655</v>
      </c>
      <c r="X636" s="123"/>
    </row>
    <row r="637">
      <c r="A637" s="123" t="s">
        <v>87</v>
      </c>
      <c r="B637" s="123" t="s">
        <v>5457</v>
      </c>
      <c r="C637" s="123"/>
      <c r="D637" s="123" t="s">
        <v>5458</v>
      </c>
      <c r="E637" s="123" t="s">
        <v>3164</v>
      </c>
      <c r="F637" s="123" t="s">
        <v>3165</v>
      </c>
      <c r="G637" s="123" t="s">
        <v>197</v>
      </c>
      <c r="H637" s="123" t="s">
        <v>3094</v>
      </c>
      <c r="I637" s="123" t="s">
        <v>372</v>
      </c>
      <c r="J637" s="123" t="s">
        <v>3292</v>
      </c>
      <c r="K637" s="124">
        <v>1004.54</v>
      </c>
      <c r="L637" s="124">
        <v>0.3</v>
      </c>
      <c r="M637" s="123" t="s">
        <v>3658</v>
      </c>
      <c r="N637" s="124">
        <v>40.0543</v>
      </c>
      <c r="O637" s="124">
        <v>-105.5824</v>
      </c>
      <c r="P637" s="124">
        <v>3513.0</v>
      </c>
      <c r="Q637" s="123" t="s">
        <v>4430</v>
      </c>
      <c r="R637" s="125" t="s">
        <v>5459</v>
      </c>
      <c r="S637" s="123"/>
      <c r="T637" s="125" t="s">
        <v>3170</v>
      </c>
      <c r="U637" s="124">
        <v>2017.0</v>
      </c>
      <c r="V637" s="123"/>
      <c r="W637" s="123" t="s">
        <v>3655</v>
      </c>
      <c r="X637" s="123"/>
    </row>
    <row r="638">
      <c r="A638" s="123" t="s">
        <v>87</v>
      </c>
      <c r="B638" s="123" t="s">
        <v>5460</v>
      </c>
      <c r="C638" s="123"/>
      <c r="D638" s="123" t="s">
        <v>5461</v>
      </c>
      <c r="E638" s="123" t="s">
        <v>3164</v>
      </c>
      <c r="F638" s="123" t="s">
        <v>3165</v>
      </c>
      <c r="G638" s="123" t="s">
        <v>336</v>
      </c>
      <c r="H638" s="123" t="s">
        <v>3093</v>
      </c>
      <c r="I638" s="123" t="s">
        <v>376</v>
      </c>
      <c r="J638" s="123" t="s">
        <v>3166</v>
      </c>
      <c r="K638" s="124">
        <v>2685.0</v>
      </c>
      <c r="L638" s="124">
        <v>13.0</v>
      </c>
      <c r="M638" s="123" t="s">
        <v>3658</v>
      </c>
      <c r="N638" s="124">
        <v>19.5531</v>
      </c>
      <c r="O638" s="124">
        <v>-155.3173</v>
      </c>
      <c r="P638" s="124">
        <v>1685.0</v>
      </c>
      <c r="Q638" s="123" t="s">
        <v>3922</v>
      </c>
      <c r="R638" s="125" t="s">
        <v>5462</v>
      </c>
      <c r="S638" s="123"/>
      <c r="T638" s="125" t="s">
        <v>3170</v>
      </c>
      <c r="U638" s="124">
        <v>2019.0</v>
      </c>
      <c r="V638" s="123"/>
      <c r="W638" s="123" t="s">
        <v>5463</v>
      </c>
      <c r="X638" s="123"/>
    </row>
    <row r="639">
      <c r="A639" s="123" t="s">
        <v>87</v>
      </c>
      <c r="B639" s="123" t="s">
        <v>5464</v>
      </c>
      <c r="C639" s="123"/>
      <c r="D639" s="123" t="s">
        <v>5465</v>
      </c>
      <c r="E639" s="123" t="s">
        <v>3164</v>
      </c>
      <c r="F639" s="123" t="s">
        <v>3164</v>
      </c>
      <c r="G639" s="123" t="s">
        <v>197</v>
      </c>
      <c r="H639" s="123" t="s">
        <v>3094</v>
      </c>
      <c r="I639" s="123" t="s">
        <v>372</v>
      </c>
      <c r="J639" s="123" t="s">
        <v>3292</v>
      </c>
      <c r="K639" s="124">
        <v>730.59</v>
      </c>
      <c r="L639" s="124">
        <v>2.9</v>
      </c>
      <c r="M639" s="123" t="s">
        <v>3658</v>
      </c>
      <c r="N639" s="124">
        <v>40.2759</v>
      </c>
      <c r="O639" s="124">
        <v>-105.5459</v>
      </c>
      <c r="P639" s="124">
        <v>2743.0</v>
      </c>
      <c r="Q639" s="123" t="s">
        <v>4430</v>
      </c>
      <c r="R639" s="125" t="s">
        <v>5466</v>
      </c>
      <c r="S639" s="123" t="s">
        <v>3791</v>
      </c>
      <c r="T639" s="125" t="s">
        <v>5467</v>
      </c>
      <c r="U639" s="124">
        <v>2017.0</v>
      </c>
      <c r="V639" s="123"/>
      <c r="W639" s="123" t="s">
        <v>3651</v>
      </c>
      <c r="X639" s="123"/>
    </row>
    <row r="640">
      <c r="A640" s="123" t="s">
        <v>87</v>
      </c>
      <c r="B640" s="123" t="s">
        <v>5468</v>
      </c>
      <c r="C640" s="123"/>
      <c r="D640" s="123" t="s">
        <v>5469</v>
      </c>
      <c r="E640" s="123" t="s">
        <v>3164</v>
      </c>
      <c r="F640" s="123" t="s">
        <v>3165</v>
      </c>
      <c r="G640" s="123" t="s">
        <v>370</v>
      </c>
      <c r="H640" s="123" t="s">
        <v>3091</v>
      </c>
      <c r="I640" s="123" t="s">
        <v>201</v>
      </c>
      <c r="J640" s="123" t="s">
        <v>3174</v>
      </c>
      <c r="K640" s="124">
        <v>1340.32</v>
      </c>
      <c r="L640" s="124">
        <v>14.4</v>
      </c>
      <c r="M640" s="123" t="s">
        <v>3658</v>
      </c>
      <c r="N640" s="124">
        <v>35.9641</v>
      </c>
      <c r="O640" s="124">
        <v>-84.2826</v>
      </c>
      <c r="P640" s="124">
        <v>334.0</v>
      </c>
      <c r="Q640" s="123" t="s">
        <v>4430</v>
      </c>
      <c r="R640" s="125" t="s">
        <v>5470</v>
      </c>
      <c r="S640" s="123"/>
      <c r="T640" s="125" t="s">
        <v>3170</v>
      </c>
      <c r="U640" s="124">
        <v>2017.0</v>
      </c>
      <c r="V640" s="123"/>
      <c r="W640" s="123" t="s">
        <v>3651</v>
      </c>
      <c r="X640" s="123"/>
    </row>
    <row r="641">
      <c r="A641" s="123" t="s">
        <v>87</v>
      </c>
      <c r="B641" s="123" t="s">
        <v>5471</v>
      </c>
      <c r="C641" s="123"/>
      <c r="D641" s="123" t="s">
        <v>5472</v>
      </c>
      <c r="E641" s="123" t="s">
        <v>3164</v>
      </c>
      <c r="F641" s="123" t="s">
        <v>3164</v>
      </c>
      <c r="G641" s="123" t="s">
        <v>197</v>
      </c>
      <c r="H641" s="123" t="s">
        <v>3094</v>
      </c>
      <c r="I641" s="123" t="s">
        <v>201</v>
      </c>
      <c r="J641" s="123" t="s">
        <v>3174</v>
      </c>
      <c r="K641" s="124">
        <v>1302.09</v>
      </c>
      <c r="L641" s="124">
        <v>20.9</v>
      </c>
      <c r="M641" s="123" t="s">
        <v>3658</v>
      </c>
      <c r="N641" s="124">
        <v>29.6893</v>
      </c>
      <c r="O641" s="124">
        <v>-81.9934</v>
      </c>
      <c r="P641" s="124">
        <v>45.0</v>
      </c>
      <c r="Q641" s="123" t="s">
        <v>4430</v>
      </c>
      <c r="R641" s="125" t="s">
        <v>5473</v>
      </c>
      <c r="S641" s="123" t="s">
        <v>3791</v>
      </c>
      <c r="T641" s="125" t="s">
        <v>5474</v>
      </c>
      <c r="U641" s="124">
        <v>2016.0</v>
      </c>
      <c r="V641" s="123"/>
      <c r="W641" s="123" t="s">
        <v>3651</v>
      </c>
      <c r="X641" s="123"/>
    </row>
    <row r="642">
      <c r="A642" s="123" t="s">
        <v>87</v>
      </c>
      <c r="B642" s="123" t="s">
        <v>5475</v>
      </c>
      <c r="C642" s="123"/>
      <c r="D642" s="123" t="s">
        <v>5476</v>
      </c>
      <c r="E642" s="123" t="s">
        <v>3164</v>
      </c>
      <c r="F642" s="123" t="s">
        <v>3164</v>
      </c>
      <c r="G642" s="123" t="s">
        <v>370</v>
      </c>
      <c r="H642" s="123" t="s">
        <v>3091</v>
      </c>
      <c r="I642" s="123" t="s">
        <v>201</v>
      </c>
      <c r="J642" s="123" t="s">
        <v>3174</v>
      </c>
      <c r="K642" s="124">
        <v>1125.5</v>
      </c>
      <c r="L642" s="124">
        <v>11.6</v>
      </c>
      <c r="M642" s="123" t="s">
        <v>3658</v>
      </c>
      <c r="N642" s="124">
        <v>38.8929</v>
      </c>
      <c r="O642" s="124">
        <v>-78.1395</v>
      </c>
      <c r="P642" s="124">
        <v>361.0</v>
      </c>
      <c r="Q642" s="123" t="s">
        <v>4215</v>
      </c>
      <c r="R642" s="125" t="s">
        <v>5477</v>
      </c>
      <c r="S642" s="123" t="s">
        <v>3897</v>
      </c>
      <c r="T642" s="125" t="s">
        <v>5478</v>
      </c>
      <c r="U642" s="124">
        <v>2016.0</v>
      </c>
      <c r="V642" s="123"/>
      <c r="W642" s="123" t="s">
        <v>3651</v>
      </c>
      <c r="X642" s="123"/>
    </row>
    <row r="643">
      <c r="A643" s="123" t="s">
        <v>87</v>
      </c>
      <c r="B643" s="123" t="s">
        <v>5479</v>
      </c>
      <c r="C643" s="123"/>
      <c r="D643" s="123" t="s">
        <v>5480</v>
      </c>
      <c r="E643" s="123" t="s">
        <v>3164</v>
      </c>
      <c r="F643" s="123" t="s">
        <v>3164</v>
      </c>
      <c r="G643" s="123" t="s">
        <v>370</v>
      </c>
      <c r="H643" s="123" t="s">
        <v>3091</v>
      </c>
      <c r="I643" s="123" t="s">
        <v>201</v>
      </c>
      <c r="J643" s="123" t="s">
        <v>3174</v>
      </c>
      <c r="K643" s="124">
        <v>1074.65</v>
      </c>
      <c r="L643" s="124">
        <v>13.6</v>
      </c>
      <c r="M643" s="123" t="s">
        <v>3658</v>
      </c>
      <c r="N643" s="124">
        <v>38.8901</v>
      </c>
      <c r="O643" s="124">
        <v>-76.56</v>
      </c>
      <c r="P643" s="124">
        <v>15.0</v>
      </c>
      <c r="Q643" s="123" t="s">
        <v>4430</v>
      </c>
      <c r="R643" s="125" t="s">
        <v>5481</v>
      </c>
      <c r="S643" s="123" t="s">
        <v>3791</v>
      </c>
      <c r="T643" s="125" t="s">
        <v>5482</v>
      </c>
      <c r="U643" s="124">
        <v>2016.0</v>
      </c>
      <c r="V643" s="123"/>
      <c r="W643" s="123" t="s">
        <v>3651</v>
      </c>
      <c r="X643" s="123"/>
    </row>
    <row r="644">
      <c r="A644" s="123" t="s">
        <v>87</v>
      </c>
      <c r="B644" s="123" t="s">
        <v>5483</v>
      </c>
      <c r="C644" s="123"/>
      <c r="D644" s="123" t="s">
        <v>5484</v>
      </c>
      <c r="E644" s="123" t="s">
        <v>3164</v>
      </c>
      <c r="F644" s="123" t="s">
        <v>3164</v>
      </c>
      <c r="G644" s="123" t="s">
        <v>313</v>
      </c>
      <c r="H644" s="123" t="s">
        <v>3098</v>
      </c>
      <c r="I644" s="123" t="s">
        <v>175</v>
      </c>
      <c r="J644" s="123" t="s">
        <v>3366</v>
      </c>
      <c r="K644" s="124">
        <v>539.62</v>
      </c>
      <c r="L644" s="124">
        <v>16.4</v>
      </c>
      <c r="M644" s="123" t="s">
        <v>3658</v>
      </c>
      <c r="N644" s="124">
        <v>37.1088</v>
      </c>
      <c r="O644" s="124">
        <v>-119.7323</v>
      </c>
      <c r="P644" s="124">
        <v>368.0</v>
      </c>
      <c r="Q644" s="123" t="s">
        <v>3649</v>
      </c>
      <c r="R644" s="125" t="s">
        <v>5485</v>
      </c>
      <c r="S644" s="123" t="s">
        <v>3897</v>
      </c>
      <c r="T644" s="125" t="s">
        <v>5486</v>
      </c>
      <c r="U644" s="124">
        <v>2018.0</v>
      </c>
      <c r="V644" s="123"/>
      <c r="W644" s="123" t="s">
        <v>3651</v>
      </c>
      <c r="X644" s="123"/>
    </row>
    <row r="645">
      <c r="A645" s="123" t="s">
        <v>87</v>
      </c>
      <c r="B645" s="123" t="s">
        <v>5487</v>
      </c>
      <c r="C645" s="123"/>
      <c r="D645" s="123" t="s">
        <v>5488</v>
      </c>
      <c r="E645" s="123" t="s">
        <v>3164</v>
      </c>
      <c r="F645" s="123" t="s">
        <v>3164</v>
      </c>
      <c r="G645" s="123" t="s">
        <v>86</v>
      </c>
      <c r="H645" s="123" t="s">
        <v>3088</v>
      </c>
      <c r="I645" s="123" t="s">
        <v>303</v>
      </c>
      <c r="J645" s="123" t="s">
        <v>3585</v>
      </c>
      <c r="K645" s="124">
        <v>432.67</v>
      </c>
      <c r="L645" s="124">
        <v>9.7</v>
      </c>
      <c r="M645" s="123" t="s">
        <v>3658</v>
      </c>
      <c r="N645" s="124">
        <v>40.4619</v>
      </c>
      <c r="O645" s="124">
        <v>-103.0293</v>
      </c>
      <c r="P645" s="124">
        <v>1364.0</v>
      </c>
      <c r="Q645" s="123" t="s">
        <v>4430</v>
      </c>
      <c r="R645" s="125" t="s">
        <v>5489</v>
      </c>
      <c r="S645" s="123" t="s">
        <v>3897</v>
      </c>
      <c r="T645" s="125" t="s">
        <v>5490</v>
      </c>
      <c r="U645" s="124">
        <v>2017.0</v>
      </c>
      <c r="V645" s="123"/>
      <c r="W645" s="123" t="s">
        <v>3651</v>
      </c>
      <c r="X645" s="123"/>
    </row>
    <row r="646">
      <c r="A646" s="123" t="s">
        <v>87</v>
      </c>
      <c r="B646" s="123" t="s">
        <v>5491</v>
      </c>
      <c r="C646" s="123"/>
      <c r="D646" s="123" t="s">
        <v>5492</v>
      </c>
      <c r="E646" s="123" t="s">
        <v>3164</v>
      </c>
      <c r="F646" s="123" t="s">
        <v>3165</v>
      </c>
      <c r="G646" s="123" t="s">
        <v>197</v>
      </c>
      <c r="H646" s="123" t="s">
        <v>3094</v>
      </c>
      <c r="I646" s="123" t="s">
        <v>175</v>
      </c>
      <c r="J646" s="123" t="s">
        <v>3366</v>
      </c>
      <c r="K646" s="124">
        <v>900.35</v>
      </c>
      <c r="L646" s="124">
        <v>13.4</v>
      </c>
      <c r="M646" s="123" t="s">
        <v>3658</v>
      </c>
      <c r="N646" s="124">
        <v>37.0334</v>
      </c>
      <c r="O646" s="124">
        <v>-119.2622</v>
      </c>
      <c r="P646" s="124">
        <v>1160.0</v>
      </c>
      <c r="Q646" s="123" t="s">
        <v>4430</v>
      </c>
      <c r="R646" s="125" t="s">
        <v>5493</v>
      </c>
      <c r="S646" s="123"/>
      <c r="T646" s="125" t="s">
        <v>3170</v>
      </c>
      <c r="U646" s="124">
        <v>2017.0</v>
      </c>
      <c r="V646" s="123"/>
      <c r="W646" s="123" t="s">
        <v>3651</v>
      </c>
      <c r="X646" s="123"/>
    </row>
    <row r="647">
      <c r="A647" s="123" t="s">
        <v>87</v>
      </c>
      <c r="B647" s="123" t="s">
        <v>5494</v>
      </c>
      <c r="C647" s="123"/>
      <c r="D647" s="123" t="s">
        <v>5495</v>
      </c>
      <c r="E647" s="123" t="s">
        <v>3164</v>
      </c>
      <c r="F647" s="123" t="s">
        <v>3164</v>
      </c>
      <c r="G647" s="123" t="s">
        <v>292</v>
      </c>
      <c r="H647" s="123" t="s">
        <v>3097</v>
      </c>
      <c r="I647" s="123" t="s">
        <v>303</v>
      </c>
      <c r="J647" s="123" t="s">
        <v>3585</v>
      </c>
      <c r="K647" s="124">
        <v>346.0</v>
      </c>
      <c r="L647" s="124">
        <v>19.3</v>
      </c>
      <c r="M647" s="123" t="s">
        <v>3658</v>
      </c>
      <c r="N647" s="124">
        <v>31.9107</v>
      </c>
      <c r="O647" s="124">
        <v>-110.8355</v>
      </c>
      <c r="P647" s="124">
        <v>983.0</v>
      </c>
      <c r="Q647" s="123" t="s">
        <v>4430</v>
      </c>
      <c r="R647" s="125" t="s">
        <v>5496</v>
      </c>
      <c r="S647" s="123" t="s">
        <v>3791</v>
      </c>
      <c r="T647" s="125" t="s">
        <v>5497</v>
      </c>
      <c r="U647" s="124">
        <v>2017.0</v>
      </c>
      <c r="V647" s="123"/>
      <c r="W647" s="123" t="s">
        <v>3651</v>
      </c>
      <c r="X647" s="123"/>
    </row>
    <row r="648">
      <c r="A648" s="123" t="s">
        <v>87</v>
      </c>
      <c r="B648" s="123" t="s">
        <v>5498</v>
      </c>
      <c r="C648" s="123"/>
      <c r="D648" s="123" t="s">
        <v>5499</v>
      </c>
      <c r="E648" s="123" t="s">
        <v>3164</v>
      </c>
      <c r="F648" s="123" t="s">
        <v>3164</v>
      </c>
      <c r="G648" s="123" t="s">
        <v>370</v>
      </c>
      <c r="H648" s="123" t="s">
        <v>3091</v>
      </c>
      <c r="I648" s="123" t="s">
        <v>107</v>
      </c>
      <c r="J648" s="123" t="s">
        <v>3249</v>
      </c>
      <c r="K648" s="124">
        <v>797.56</v>
      </c>
      <c r="L648" s="124">
        <v>4.8</v>
      </c>
      <c r="M648" s="123" t="s">
        <v>3658</v>
      </c>
      <c r="N648" s="124">
        <v>45.5089</v>
      </c>
      <c r="O648" s="124">
        <v>-89.5864</v>
      </c>
      <c r="P648" s="124">
        <v>481.0</v>
      </c>
      <c r="Q648" s="123" t="s">
        <v>4430</v>
      </c>
      <c r="R648" s="125" t="s">
        <v>5500</v>
      </c>
      <c r="S648" s="123" t="s">
        <v>3791</v>
      </c>
      <c r="T648" s="125" t="s">
        <v>5501</v>
      </c>
      <c r="U648" s="124">
        <v>2017.0</v>
      </c>
      <c r="V648" s="123"/>
      <c r="W648" s="123" t="s">
        <v>3651</v>
      </c>
      <c r="X648" s="123"/>
    </row>
    <row r="649">
      <c r="A649" s="123" t="s">
        <v>87</v>
      </c>
      <c r="B649" s="123" t="s">
        <v>5502</v>
      </c>
      <c r="C649" s="123"/>
      <c r="D649" s="123" t="s">
        <v>5503</v>
      </c>
      <c r="E649" s="123" t="s">
        <v>3164</v>
      </c>
      <c r="F649" s="123" t="s">
        <v>3164</v>
      </c>
      <c r="G649" s="123" t="s">
        <v>197</v>
      </c>
      <c r="H649" s="123" t="s">
        <v>3094</v>
      </c>
      <c r="I649" s="123" t="s">
        <v>201</v>
      </c>
      <c r="J649" s="123" t="s">
        <v>3174</v>
      </c>
      <c r="K649" s="124">
        <v>1382.68</v>
      </c>
      <c r="L649" s="124">
        <v>17.2</v>
      </c>
      <c r="M649" s="123" t="s">
        <v>3658</v>
      </c>
      <c r="N649" s="124">
        <v>32.9505</v>
      </c>
      <c r="O649" s="124">
        <v>-87.3933</v>
      </c>
      <c r="P649" s="124">
        <v>135.0</v>
      </c>
      <c r="Q649" s="123" t="s">
        <v>4430</v>
      </c>
      <c r="R649" s="125" t="s">
        <v>5504</v>
      </c>
      <c r="S649" s="123" t="s">
        <v>3791</v>
      </c>
      <c r="T649" s="125" t="s">
        <v>5505</v>
      </c>
      <c r="U649" s="124">
        <v>2017.0</v>
      </c>
      <c r="V649" s="123"/>
      <c r="W649" s="123" t="s">
        <v>3651</v>
      </c>
      <c r="X649" s="123"/>
    </row>
    <row r="650">
      <c r="A650" s="123" t="s">
        <v>87</v>
      </c>
      <c r="B650" s="123" t="s">
        <v>5506</v>
      </c>
      <c r="C650" s="123"/>
      <c r="D650" s="123" t="s">
        <v>5507</v>
      </c>
      <c r="E650" s="123" t="s">
        <v>3164</v>
      </c>
      <c r="F650" s="123" t="s">
        <v>3165</v>
      </c>
      <c r="G650" s="123" t="s">
        <v>197</v>
      </c>
      <c r="H650" s="123" t="s">
        <v>3094</v>
      </c>
      <c r="I650" s="123" t="s">
        <v>175</v>
      </c>
      <c r="J650" s="123" t="s">
        <v>3366</v>
      </c>
      <c r="K650" s="124">
        <v>1222.5</v>
      </c>
      <c r="L650" s="124">
        <v>8.0</v>
      </c>
      <c r="M650" s="123" t="s">
        <v>3658</v>
      </c>
      <c r="N650" s="124">
        <v>37.0058</v>
      </c>
      <c r="O650" s="124">
        <v>-119.006</v>
      </c>
      <c r="P650" s="124">
        <v>2147.0</v>
      </c>
      <c r="Q650" s="123" t="s">
        <v>3649</v>
      </c>
      <c r="R650" s="125" t="s">
        <v>5508</v>
      </c>
      <c r="S650" s="123"/>
      <c r="T650" s="125" t="s">
        <v>3170</v>
      </c>
      <c r="U650" s="124">
        <v>2018.0</v>
      </c>
      <c r="V650" s="123"/>
      <c r="W650" s="123" t="s">
        <v>3651</v>
      </c>
      <c r="X650" s="123"/>
    </row>
    <row r="651">
      <c r="A651" s="123" t="s">
        <v>87</v>
      </c>
      <c r="B651" s="123" t="s">
        <v>5509</v>
      </c>
      <c r="C651" s="123"/>
      <c r="D651" s="123" t="s">
        <v>5510</v>
      </c>
      <c r="E651" s="123" t="s">
        <v>3164</v>
      </c>
      <c r="F651" s="123" t="s">
        <v>3165</v>
      </c>
      <c r="G651" s="123" t="s">
        <v>214</v>
      </c>
      <c r="H651" s="123" t="s">
        <v>3184</v>
      </c>
      <c r="I651" s="123" t="s">
        <v>605</v>
      </c>
      <c r="J651" s="123" t="s">
        <v>1686</v>
      </c>
      <c r="K651" s="124">
        <v>331.0</v>
      </c>
      <c r="L651" s="124">
        <v>-4.0</v>
      </c>
      <c r="M651" s="123" t="s">
        <v>3658</v>
      </c>
      <c r="N651" s="124">
        <v>68.6611</v>
      </c>
      <c r="O651" s="124">
        <v>-149.3705</v>
      </c>
      <c r="P651" s="124">
        <v>843.0</v>
      </c>
      <c r="Q651" s="123" t="s">
        <v>4430</v>
      </c>
      <c r="R651" s="125" t="s">
        <v>5511</v>
      </c>
      <c r="S651" s="123"/>
      <c r="T651" s="125" t="s">
        <v>3170</v>
      </c>
      <c r="U651" s="124">
        <v>2017.0</v>
      </c>
      <c r="V651" s="123"/>
      <c r="W651" s="123" t="s">
        <v>3655</v>
      </c>
      <c r="X651" s="123"/>
    </row>
    <row r="652">
      <c r="A652" s="123" t="s">
        <v>87</v>
      </c>
      <c r="B652" s="123" t="s">
        <v>5512</v>
      </c>
      <c r="C652" s="123"/>
      <c r="D652" s="123" t="s">
        <v>5513</v>
      </c>
      <c r="E652" s="123" t="s">
        <v>3164</v>
      </c>
      <c r="F652" s="123" t="s">
        <v>3164</v>
      </c>
      <c r="G652" s="123" t="s">
        <v>370</v>
      </c>
      <c r="H652" s="123" t="s">
        <v>3091</v>
      </c>
      <c r="I652" s="123" t="s">
        <v>107</v>
      </c>
      <c r="J652" s="123" t="s">
        <v>3249</v>
      </c>
      <c r="K652" s="124">
        <v>797.56</v>
      </c>
      <c r="L652" s="124">
        <v>4.8</v>
      </c>
      <c r="M652" s="123" t="s">
        <v>3658</v>
      </c>
      <c r="N652" s="124">
        <v>45.4937</v>
      </c>
      <c r="O652" s="124">
        <v>-89.5857</v>
      </c>
      <c r="P652" s="124">
        <v>472.0</v>
      </c>
      <c r="Q652" s="123" t="s">
        <v>4430</v>
      </c>
      <c r="R652" s="125" t="s">
        <v>5514</v>
      </c>
      <c r="S652" s="123" t="s">
        <v>3791</v>
      </c>
      <c r="T652" s="125" t="s">
        <v>5515</v>
      </c>
      <c r="U652" s="124">
        <v>2017.0</v>
      </c>
      <c r="V652" s="123"/>
      <c r="W652" s="123" t="s">
        <v>3651</v>
      </c>
      <c r="X652" s="123"/>
    </row>
    <row r="653">
      <c r="A653" s="123" t="s">
        <v>87</v>
      </c>
      <c r="B653" s="123" t="s">
        <v>5516</v>
      </c>
      <c r="C653" s="123"/>
      <c r="D653" s="123" t="s">
        <v>5517</v>
      </c>
      <c r="E653" s="123" t="s">
        <v>3164</v>
      </c>
      <c r="F653" s="123" t="s">
        <v>3164</v>
      </c>
      <c r="G653" s="123" t="s">
        <v>370</v>
      </c>
      <c r="H653" s="123" t="s">
        <v>3091</v>
      </c>
      <c r="I653" s="123" t="s">
        <v>201</v>
      </c>
      <c r="J653" s="123" t="s">
        <v>3174</v>
      </c>
      <c r="K653" s="124">
        <v>990.63</v>
      </c>
      <c r="L653" s="124">
        <v>12.7</v>
      </c>
      <c r="M653" s="123" t="s">
        <v>3658</v>
      </c>
      <c r="N653" s="124">
        <v>39.0404</v>
      </c>
      <c r="O653" s="124">
        <v>-95.1921</v>
      </c>
      <c r="P653" s="124">
        <v>335.0</v>
      </c>
      <c r="Q653" s="123" t="s">
        <v>4430</v>
      </c>
      <c r="R653" s="125" t="s">
        <v>5518</v>
      </c>
      <c r="S653" s="123" t="s">
        <v>3791</v>
      </c>
      <c r="T653" s="125" t="s">
        <v>5519</v>
      </c>
      <c r="U653" s="124">
        <v>2017.0</v>
      </c>
      <c r="V653" s="123"/>
      <c r="W653" s="123" t="s">
        <v>3651</v>
      </c>
      <c r="X653" s="123"/>
    </row>
    <row r="654">
      <c r="A654" s="123" t="s">
        <v>87</v>
      </c>
      <c r="B654" s="123" t="s">
        <v>5520</v>
      </c>
      <c r="C654" s="123"/>
      <c r="D654" s="123" t="s">
        <v>5521</v>
      </c>
      <c r="E654" s="123" t="s">
        <v>3164</v>
      </c>
      <c r="F654" s="123" t="s">
        <v>3164</v>
      </c>
      <c r="G654" s="123" t="s">
        <v>452</v>
      </c>
      <c r="H654" s="123" t="s">
        <v>3096</v>
      </c>
      <c r="I654" s="123" t="s">
        <v>107</v>
      </c>
      <c r="J654" s="123" t="s">
        <v>3249</v>
      </c>
      <c r="K654" s="124">
        <v>802.3</v>
      </c>
      <c r="L654" s="124">
        <v>4.3</v>
      </c>
      <c r="M654" s="123" t="s">
        <v>3658</v>
      </c>
      <c r="N654" s="124">
        <v>46.2339</v>
      </c>
      <c r="O654" s="124">
        <v>-89.5373</v>
      </c>
      <c r="P654" s="124">
        <v>518.0</v>
      </c>
      <c r="Q654" s="123" t="s">
        <v>4430</v>
      </c>
      <c r="R654" s="125" t="s">
        <v>5522</v>
      </c>
      <c r="S654" s="123" t="s">
        <v>3791</v>
      </c>
      <c r="T654" s="125" t="s">
        <v>5523</v>
      </c>
      <c r="U654" s="124">
        <v>2017.0</v>
      </c>
      <c r="V654" s="123"/>
      <c r="W654" s="123" t="s">
        <v>3651</v>
      </c>
      <c r="X654" s="123"/>
    </row>
    <row r="655">
      <c r="A655" s="123" t="s">
        <v>87</v>
      </c>
      <c r="B655" s="123" t="s">
        <v>5524</v>
      </c>
      <c r="C655" s="123"/>
      <c r="D655" s="123" t="s">
        <v>5525</v>
      </c>
      <c r="E655" s="123" t="s">
        <v>3164</v>
      </c>
      <c r="F655" s="123" t="s">
        <v>3164</v>
      </c>
      <c r="G655" s="123" t="s">
        <v>288</v>
      </c>
      <c r="H655" s="123" t="s">
        <v>3095</v>
      </c>
      <c r="I655" s="123" t="s">
        <v>107</v>
      </c>
      <c r="J655" s="123" t="s">
        <v>3249</v>
      </c>
      <c r="K655" s="124">
        <v>493.76</v>
      </c>
      <c r="L655" s="124">
        <v>4.9</v>
      </c>
      <c r="M655" s="123" t="s">
        <v>3658</v>
      </c>
      <c r="N655" s="124">
        <v>47.1282</v>
      </c>
      <c r="O655" s="124">
        <v>-99.2414</v>
      </c>
      <c r="P655" s="124">
        <v>579.0</v>
      </c>
      <c r="Q655" s="123" t="s">
        <v>4430</v>
      </c>
      <c r="R655" s="125" t="s">
        <v>5526</v>
      </c>
      <c r="S655" s="123" t="s">
        <v>3897</v>
      </c>
      <c r="T655" s="125" t="s">
        <v>5527</v>
      </c>
      <c r="U655" s="124">
        <v>2017.0</v>
      </c>
      <c r="V655" s="123"/>
      <c r="W655" s="123" t="s">
        <v>3655</v>
      </c>
      <c r="X655" s="123"/>
    </row>
    <row r="656">
      <c r="A656" s="123" t="s">
        <v>87</v>
      </c>
      <c r="B656" s="123" t="s">
        <v>5528</v>
      </c>
      <c r="C656" s="123"/>
      <c r="D656" s="123" t="s">
        <v>5529</v>
      </c>
      <c r="E656" s="123" t="s">
        <v>3164</v>
      </c>
      <c r="F656" s="123" t="s">
        <v>3165</v>
      </c>
      <c r="G656" s="123" t="s">
        <v>197</v>
      </c>
      <c r="H656" s="123" t="s">
        <v>3094</v>
      </c>
      <c r="I656" s="123" t="s">
        <v>445</v>
      </c>
      <c r="J656" s="123" t="s">
        <v>3317</v>
      </c>
      <c r="K656" s="124">
        <v>2225.01</v>
      </c>
      <c r="L656" s="124">
        <v>9.2</v>
      </c>
      <c r="M656" s="123" t="s">
        <v>3658</v>
      </c>
      <c r="N656" s="124">
        <v>45.8205</v>
      </c>
      <c r="O656" s="124">
        <v>-121.9519</v>
      </c>
      <c r="P656" s="124">
        <v>407.0</v>
      </c>
      <c r="Q656" s="123" t="s">
        <v>3649</v>
      </c>
      <c r="R656" s="125" t="s">
        <v>5530</v>
      </c>
      <c r="S656" s="123"/>
      <c r="T656" s="125" t="s">
        <v>3170</v>
      </c>
      <c r="U656" s="124">
        <v>2018.0</v>
      </c>
      <c r="V656" s="123"/>
      <c r="W656" s="123" t="s">
        <v>3651</v>
      </c>
      <c r="X656" s="123"/>
    </row>
    <row r="657">
      <c r="A657" s="123" t="s">
        <v>87</v>
      </c>
      <c r="B657" s="123" t="s">
        <v>5531</v>
      </c>
      <c r="C657" s="123"/>
      <c r="D657" s="123" t="s">
        <v>5532</v>
      </c>
      <c r="E657" s="123" t="s">
        <v>3164</v>
      </c>
      <c r="F657" s="123" t="s">
        <v>3164</v>
      </c>
      <c r="G657" s="123" t="s">
        <v>197</v>
      </c>
      <c r="H657" s="123" t="s">
        <v>3094</v>
      </c>
      <c r="I657" s="123" t="s">
        <v>372</v>
      </c>
      <c r="J657" s="123" t="s">
        <v>3292</v>
      </c>
      <c r="K657" s="124">
        <v>493.44</v>
      </c>
      <c r="L657" s="124">
        <v>3.4</v>
      </c>
      <c r="M657" s="123" t="s">
        <v>3658</v>
      </c>
      <c r="N657" s="124">
        <v>44.9535</v>
      </c>
      <c r="O657" s="124">
        <v>-110.5391</v>
      </c>
      <c r="P657" s="124">
        <v>2116.0</v>
      </c>
      <c r="Q657" s="123" t="s">
        <v>3649</v>
      </c>
      <c r="R657" s="125" t="s">
        <v>5533</v>
      </c>
      <c r="S657" s="123" t="s">
        <v>3876</v>
      </c>
      <c r="T657" s="125" t="s">
        <v>5534</v>
      </c>
      <c r="U657" s="124">
        <v>2018.0</v>
      </c>
      <c r="V657" s="123"/>
      <c r="W657" s="123" t="s">
        <v>3651</v>
      </c>
      <c r="X657" s="123"/>
    </row>
    <row r="658">
      <c r="A658" s="123" t="s">
        <v>87</v>
      </c>
      <c r="B658" s="123" t="s">
        <v>5535</v>
      </c>
      <c r="C658" s="123"/>
      <c r="D658" s="123" t="s">
        <v>5536</v>
      </c>
      <c r="E658" s="123" t="s">
        <v>3164</v>
      </c>
      <c r="F658" s="123" t="s">
        <v>3165</v>
      </c>
      <c r="G658" s="123" t="s">
        <v>214</v>
      </c>
      <c r="H658" s="123" t="s">
        <v>3184</v>
      </c>
      <c r="I658" s="123"/>
      <c r="J658" s="123"/>
      <c r="K658" s="123"/>
      <c r="L658" s="123"/>
      <c r="M658" s="123" t="s">
        <v>3658</v>
      </c>
      <c r="N658" s="124">
        <v>61.2723</v>
      </c>
      <c r="O658" s="124">
        <v>-163.2228</v>
      </c>
      <c r="P658" s="124">
        <v>15.0</v>
      </c>
      <c r="Q658" s="123" t="s">
        <v>3922</v>
      </c>
      <c r="R658" s="125" t="s">
        <v>5537</v>
      </c>
      <c r="S658" s="123"/>
      <c r="T658" s="125" t="s">
        <v>3170</v>
      </c>
      <c r="U658" s="124">
        <v>2019.0</v>
      </c>
      <c r="V658" s="123"/>
      <c r="W658" s="123" t="s">
        <v>5538</v>
      </c>
      <c r="X658" s="123"/>
    </row>
    <row r="659">
      <c r="A659" s="123" t="s">
        <v>87</v>
      </c>
      <c r="B659" s="123" t="s">
        <v>5539</v>
      </c>
      <c r="C659" s="123"/>
      <c r="D659" s="123" t="s">
        <v>5540</v>
      </c>
      <c r="E659" s="123" t="s">
        <v>3164</v>
      </c>
      <c r="F659" s="123" t="s">
        <v>3165</v>
      </c>
      <c r="G659" s="123" t="s">
        <v>214</v>
      </c>
      <c r="H659" s="123" t="s">
        <v>3184</v>
      </c>
      <c r="I659" s="123"/>
      <c r="J659" s="123"/>
      <c r="K659" s="123"/>
      <c r="L659" s="123"/>
      <c r="M659" s="123" t="s">
        <v>3658</v>
      </c>
      <c r="N659" s="124">
        <v>61.2548</v>
      </c>
      <c r="O659" s="124">
        <v>-163.259</v>
      </c>
      <c r="P659" s="124">
        <v>15.0</v>
      </c>
      <c r="Q659" s="123" t="s">
        <v>3922</v>
      </c>
      <c r="R659" s="125" t="s">
        <v>5541</v>
      </c>
      <c r="S659" s="123"/>
      <c r="T659" s="125" t="s">
        <v>3170</v>
      </c>
      <c r="U659" s="124">
        <v>2019.0</v>
      </c>
      <c r="V659" s="123"/>
      <c r="W659" s="123" t="s">
        <v>5538</v>
      </c>
      <c r="X659" s="123"/>
    </row>
    <row r="660">
      <c r="A660" s="123" t="s">
        <v>87</v>
      </c>
      <c r="B660" s="123" t="s">
        <v>5542</v>
      </c>
      <c r="C660" s="123"/>
      <c r="D660" s="123" t="s">
        <v>5543</v>
      </c>
      <c r="E660" s="123" t="s">
        <v>3165</v>
      </c>
      <c r="F660" s="123" t="s">
        <v>3165</v>
      </c>
      <c r="G660" s="123" t="s">
        <v>505</v>
      </c>
      <c r="H660" s="123" t="s">
        <v>3100</v>
      </c>
      <c r="I660" s="123" t="s">
        <v>201</v>
      </c>
      <c r="J660" s="123" t="s">
        <v>3174</v>
      </c>
      <c r="K660" s="124">
        <v>1260.0</v>
      </c>
      <c r="L660" s="124">
        <v>20.0</v>
      </c>
      <c r="M660" s="123" t="s">
        <v>3658</v>
      </c>
      <c r="N660" s="124">
        <v>29.7894</v>
      </c>
      <c r="O660" s="124">
        <v>-95.3536</v>
      </c>
      <c r="P660" s="124">
        <v>14.0</v>
      </c>
      <c r="Q660" s="123"/>
      <c r="R660" s="125" t="s">
        <v>3170</v>
      </c>
      <c r="S660" s="123"/>
      <c r="T660" s="125" t="s">
        <v>3170</v>
      </c>
      <c r="U660" s="124">
        <v>2007.0</v>
      </c>
      <c r="V660" s="124">
        <v>2013.0</v>
      </c>
      <c r="W660" s="123"/>
      <c r="X660" s="123"/>
    </row>
    <row r="661">
      <c r="A661" s="123" t="s">
        <v>87</v>
      </c>
      <c r="B661" s="123" t="s">
        <v>5544</v>
      </c>
      <c r="C661" s="123"/>
      <c r="D661" s="123" t="s">
        <v>5545</v>
      </c>
      <c r="E661" s="123" t="s">
        <v>3165</v>
      </c>
      <c r="F661" s="123" t="s">
        <v>3165</v>
      </c>
      <c r="G661" s="123" t="s">
        <v>288</v>
      </c>
      <c r="H661" s="123" t="s">
        <v>3095</v>
      </c>
      <c r="I661" s="123" t="s">
        <v>372</v>
      </c>
      <c r="J661" s="123" t="s">
        <v>3292</v>
      </c>
      <c r="K661" s="124">
        <v>275.0</v>
      </c>
      <c r="L661" s="124">
        <v>-2.5</v>
      </c>
      <c r="M661" s="123" t="s">
        <v>3658</v>
      </c>
      <c r="N661" s="124">
        <v>64.8939</v>
      </c>
      <c r="O661" s="124">
        <v>-147.6374</v>
      </c>
      <c r="P661" s="124">
        <v>186.9</v>
      </c>
      <c r="Q661" s="123"/>
      <c r="R661" s="125" t="s">
        <v>3170</v>
      </c>
      <c r="S661" s="123"/>
      <c r="T661" s="125" t="s">
        <v>3170</v>
      </c>
      <c r="U661" s="124">
        <v>2021.0</v>
      </c>
      <c r="V661" s="123"/>
      <c r="W661" s="123"/>
      <c r="X661" s="123"/>
    </row>
  </sheetData>
  <autoFilter ref="$A$1:$X$1000"/>
  <hyperlinks>
    <hyperlink r:id="rId1" ref="R2"/>
    <hyperlink r:id="rId2" ref="T2"/>
    <hyperlink r:id="rId3" ref="R3"/>
    <hyperlink r:id="rId4" ref="T3"/>
    <hyperlink r:id="rId5" ref="R4"/>
    <hyperlink r:id="rId6" ref="T4"/>
    <hyperlink r:id="rId7" ref="R5"/>
    <hyperlink r:id="rId8" ref="T5"/>
    <hyperlink r:id="rId9" ref="R6"/>
    <hyperlink r:id="rId10" ref="T6"/>
    <hyperlink r:id="rId11" ref="R7"/>
    <hyperlink r:id="rId12" ref="T7"/>
    <hyperlink r:id="rId13" ref="R8"/>
    <hyperlink r:id="rId14" ref="T8"/>
    <hyperlink r:id="rId15" ref="R9"/>
    <hyperlink r:id="rId16" ref="T9"/>
    <hyperlink r:id="rId17" ref="R10"/>
    <hyperlink r:id="rId18" ref="T10"/>
    <hyperlink r:id="rId19" ref="R11"/>
    <hyperlink r:id="rId20" ref="T11"/>
    <hyperlink r:id="rId21" ref="R12"/>
    <hyperlink r:id="rId22" ref="T12"/>
    <hyperlink r:id="rId23" ref="R13"/>
    <hyperlink r:id="rId24" ref="T13"/>
    <hyperlink r:id="rId25" ref="R14"/>
    <hyperlink r:id="rId26" ref="T14"/>
    <hyperlink r:id="rId27" ref="R15"/>
    <hyperlink r:id="rId28" ref="T15"/>
    <hyperlink r:id="rId29" ref="R16"/>
    <hyperlink r:id="rId30" ref="T16"/>
    <hyperlink r:id="rId31" ref="R17"/>
    <hyperlink r:id="rId32" ref="T17"/>
    <hyperlink r:id="rId33" ref="R18"/>
    <hyperlink r:id="rId34" ref="T18"/>
    <hyperlink r:id="rId35" ref="R19"/>
    <hyperlink r:id="rId36" ref="T19"/>
    <hyperlink r:id="rId37" ref="R20"/>
    <hyperlink r:id="rId38" ref="T20"/>
    <hyperlink r:id="rId39" ref="R21"/>
    <hyperlink r:id="rId40" ref="T21"/>
    <hyperlink r:id="rId41" ref="R22"/>
    <hyperlink r:id="rId42" ref="T22"/>
    <hyperlink r:id="rId43" ref="R23"/>
    <hyperlink r:id="rId44" ref="T23"/>
    <hyperlink r:id="rId45" ref="R24"/>
    <hyperlink r:id="rId46" ref="T24"/>
    <hyperlink r:id="rId47" ref="R25"/>
    <hyperlink r:id="rId48" ref="T25"/>
    <hyperlink r:id="rId49" ref="R26"/>
    <hyperlink r:id="rId50" ref="T26"/>
    <hyperlink r:id="rId51" ref="R27"/>
    <hyperlink r:id="rId52" ref="T27"/>
    <hyperlink r:id="rId53" ref="R28"/>
    <hyperlink r:id="rId54" ref="T28"/>
    <hyperlink r:id="rId55" ref="R29"/>
    <hyperlink r:id="rId56" ref="T29"/>
    <hyperlink r:id="rId57" ref="R30"/>
    <hyperlink r:id="rId58" ref="T30"/>
    <hyperlink r:id="rId59" ref="R31"/>
    <hyperlink r:id="rId60" ref="T31"/>
    <hyperlink r:id="rId61" ref="R32"/>
    <hyperlink r:id="rId62" ref="T32"/>
    <hyperlink r:id="rId63" ref="R33"/>
    <hyperlink r:id="rId64" ref="T33"/>
    <hyperlink r:id="rId65" ref="R34"/>
    <hyperlink r:id="rId66" ref="T34"/>
    <hyperlink r:id="rId67" ref="R35"/>
    <hyperlink r:id="rId68" ref="T35"/>
    <hyperlink r:id="rId69" ref="R36"/>
    <hyperlink r:id="rId70" ref="T36"/>
    <hyperlink r:id="rId71" ref="R37"/>
    <hyperlink r:id="rId72" ref="T37"/>
    <hyperlink r:id="rId73" ref="R38"/>
    <hyperlink r:id="rId74" ref="T38"/>
    <hyperlink r:id="rId75" ref="R39"/>
    <hyperlink r:id="rId76" ref="T39"/>
    <hyperlink r:id="rId77" ref="R40"/>
    <hyperlink r:id="rId78" ref="T40"/>
    <hyperlink r:id="rId79" ref="R41"/>
    <hyperlink r:id="rId80" ref="T41"/>
    <hyperlink r:id="rId81" ref="R42"/>
    <hyperlink r:id="rId82" ref="T42"/>
    <hyperlink r:id="rId83" ref="R43"/>
    <hyperlink r:id="rId84" ref="T43"/>
    <hyperlink r:id="rId85" ref="R44"/>
    <hyperlink r:id="rId86" ref="T44"/>
    <hyperlink r:id="rId87" ref="R45"/>
    <hyperlink r:id="rId88" ref="T45"/>
    <hyperlink r:id="rId89" ref="R46"/>
    <hyperlink r:id="rId90" ref="T46"/>
    <hyperlink r:id="rId91" ref="R47"/>
    <hyperlink r:id="rId92" ref="T47"/>
    <hyperlink r:id="rId93" ref="R48"/>
    <hyperlink r:id="rId94" ref="T48"/>
    <hyperlink r:id="rId95" ref="R49"/>
    <hyperlink r:id="rId96" ref="T49"/>
    <hyperlink r:id="rId97" ref="R50"/>
    <hyperlink r:id="rId98" ref="T50"/>
    <hyperlink r:id="rId99" ref="R51"/>
    <hyperlink r:id="rId100" ref="T51"/>
    <hyperlink r:id="rId101" ref="R52"/>
    <hyperlink r:id="rId102" ref="T52"/>
    <hyperlink r:id="rId103" ref="R53"/>
    <hyperlink r:id="rId104" ref="T53"/>
    <hyperlink r:id="rId105" ref="R54"/>
    <hyperlink r:id="rId106" ref="T54"/>
    <hyperlink r:id="rId107" ref="R55"/>
    <hyperlink r:id="rId108" ref="T55"/>
    <hyperlink r:id="rId109" ref="R56"/>
    <hyperlink r:id="rId110" ref="T56"/>
    <hyperlink r:id="rId111" ref="R57"/>
    <hyperlink r:id="rId112" ref="T57"/>
    <hyperlink r:id="rId113" ref="R58"/>
    <hyperlink r:id="rId114" ref="T58"/>
    <hyperlink r:id="rId115" ref="R59"/>
    <hyperlink r:id="rId116" ref="T59"/>
    <hyperlink r:id="rId117" ref="R60"/>
    <hyperlink r:id="rId118" ref="T60"/>
    <hyperlink r:id="rId119" ref="R61"/>
    <hyperlink r:id="rId120" ref="T61"/>
    <hyperlink r:id="rId121" ref="R62"/>
    <hyperlink r:id="rId122" ref="T62"/>
    <hyperlink r:id="rId123" ref="R63"/>
    <hyperlink r:id="rId124" ref="T63"/>
    <hyperlink r:id="rId125" ref="R64"/>
    <hyperlink r:id="rId126" ref="T64"/>
    <hyperlink r:id="rId127" ref="R65"/>
    <hyperlink r:id="rId128" ref="T65"/>
    <hyperlink r:id="rId129" ref="R66"/>
    <hyperlink r:id="rId130" ref="T66"/>
    <hyperlink r:id="rId131" ref="R67"/>
    <hyperlink r:id="rId132" ref="T67"/>
    <hyperlink r:id="rId133" ref="R68"/>
    <hyperlink r:id="rId134" ref="T68"/>
    <hyperlink r:id="rId135" ref="R69"/>
    <hyperlink r:id="rId136" ref="T69"/>
    <hyperlink r:id="rId137" ref="R70"/>
    <hyperlink r:id="rId138" ref="T70"/>
    <hyperlink r:id="rId139" ref="R71"/>
    <hyperlink r:id="rId140" ref="T71"/>
    <hyperlink r:id="rId141" ref="R72"/>
    <hyperlink r:id="rId142" ref="T72"/>
    <hyperlink r:id="rId143" ref="R73"/>
    <hyperlink r:id="rId144" ref="T73"/>
    <hyperlink r:id="rId145" ref="R74"/>
    <hyperlink r:id="rId146" ref="T74"/>
    <hyperlink r:id="rId147" ref="R75"/>
    <hyperlink r:id="rId148" ref="T75"/>
    <hyperlink r:id="rId149" ref="R76"/>
    <hyperlink r:id="rId150" ref="T76"/>
    <hyperlink r:id="rId151" ref="R77"/>
    <hyperlink r:id="rId152" ref="T77"/>
    <hyperlink r:id="rId153" ref="R78"/>
    <hyperlink r:id="rId154" ref="T78"/>
    <hyperlink r:id="rId155" ref="R79"/>
    <hyperlink r:id="rId156" ref="T79"/>
    <hyperlink r:id="rId157" ref="R80"/>
    <hyperlink r:id="rId158" ref="T80"/>
    <hyperlink r:id="rId159" ref="R81"/>
    <hyperlink r:id="rId160" ref="T81"/>
    <hyperlink r:id="rId161" ref="R82"/>
    <hyperlink r:id="rId162" ref="T82"/>
    <hyperlink r:id="rId163" ref="R83"/>
    <hyperlink r:id="rId164" ref="T83"/>
    <hyperlink r:id="rId165" ref="R84"/>
    <hyperlink r:id="rId166" ref="T84"/>
    <hyperlink r:id="rId167" ref="R85"/>
    <hyperlink r:id="rId168" ref="T85"/>
    <hyperlink r:id="rId169" ref="R86"/>
    <hyperlink r:id="rId170" ref="T86"/>
    <hyperlink r:id="rId171" ref="R87"/>
    <hyperlink r:id="rId172" ref="T87"/>
    <hyperlink r:id="rId173" ref="R88"/>
    <hyperlink r:id="rId174" ref="T88"/>
    <hyperlink r:id="rId175" ref="R89"/>
    <hyperlink r:id="rId176" ref="T89"/>
    <hyperlink r:id="rId177" ref="R90"/>
    <hyperlink r:id="rId178" ref="T90"/>
    <hyperlink r:id="rId179" ref="R91"/>
    <hyperlink r:id="rId180" ref="T91"/>
    <hyperlink r:id="rId181" ref="R92"/>
    <hyperlink r:id="rId182" ref="T92"/>
    <hyperlink r:id="rId183" ref="R93"/>
    <hyperlink r:id="rId184" ref="T93"/>
    <hyperlink r:id="rId185" ref="R94"/>
    <hyperlink r:id="rId186" ref="T94"/>
    <hyperlink r:id="rId187" ref="R95"/>
    <hyperlink r:id="rId188" ref="T95"/>
    <hyperlink r:id="rId189" ref="R96"/>
    <hyperlink r:id="rId190" ref="T96"/>
    <hyperlink r:id="rId191" ref="R97"/>
    <hyperlink r:id="rId192" ref="T97"/>
    <hyperlink r:id="rId193" ref="R98"/>
    <hyperlink r:id="rId194" ref="T98"/>
    <hyperlink r:id="rId195" ref="R99"/>
    <hyperlink r:id="rId196" ref="T99"/>
    <hyperlink r:id="rId197" ref="R100"/>
    <hyperlink r:id="rId198" ref="T100"/>
    <hyperlink r:id="rId199" ref="R101"/>
    <hyperlink r:id="rId200" ref="T101"/>
    <hyperlink r:id="rId201" ref="R102"/>
    <hyperlink r:id="rId202" ref="T102"/>
    <hyperlink r:id="rId203" ref="R103"/>
    <hyperlink r:id="rId204" ref="T103"/>
    <hyperlink r:id="rId205" ref="R104"/>
    <hyperlink r:id="rId206" ref="T104"/>
    <hyperlink r:id="rId207" ref="R105"/>
    <hyperlink r:id="rId208" ref="T105"/>
    <hyperlink r:id="rId209" ref="R106"/>
    <hyperlink r:id="rId210" ref="T106"/>
    <hyperlink r:id="rId211" ref="R107"/>
    <hyperlink r:id="rId212" ref="T107"/>
    <hyperlink r:id="rId213" ref="R108"/>
    <hyperlink r:id="rId214" ref="T108"/>
    <hyperlink r:id="rId215" ref="R109"/>
    <hyperlink r:id="rId216" ref="T109"/>
    <hyperlink r:id="rId217" ref="R110"/>
    <hyperlink r:id="rId218" ref="T110"/>
    <hyperlink r:id="rId219" ref="R111"/>
    <hyperlink r:id="rId220" ref="T111"/>
    <hyperlink r:id="rId221" ref="R112"/>
    <hyperlink r:id="rId222" ref="T112"/>
    <hyperlink r:id="rId223" ref="R113"/>
    <hyperlink r:id="rId224" ref="T113"/>
    <hyperlink r:id="rId225" ref="R114"/>
    <hyperlink r:id="rId226" ref="T114"/>
    <hyperlink r:id="rId227" ref="R115"/>
    <hyperlink r:id="rId228" ref="T115"/>
    <hyperlink r:id="rId229" ref="R116"/>
    <hyperlink r:id="rId230" ref="T116"/>
    <hyperlink r:id="rId231" ref="R117"/>
    <hyperlink r:id="rId232" ref="T117"/>
    <hyperlink r:id="rId233" ref="R118"/>
    <hyperlink r:id="rId234" ref="T118"/>
    <hyperlink r:id="rId235" ref="R119"/>
    <hyperlink r:id="rId236" ref="T119"/>
    <hyperlink r:id="rId237" ref="R120"/>
    <hyperlink r:id="rId238" ref="T120"/>
    <hyperlink r:id="rId239" ref="R121"/>
    <hyperlink r:id="rId240" ref="T121"/>
    <hyperlink r:id="rId241" ref="R122"/>
    <hyperlink r:id="rId242" ref="T122"/>
    <hyperlink r:id="rId243" ref="R123"/>
    <hyperlink r:id="rId244" ref="T123"/>
    <hyperlink r:id="rId245" ref="R124"/>
    <hyperlink r:id="rId246" ref="T124"/>
    <hyperlink r:id="rId247" ref="R125"/>
    <hyperlink r:id="rId248" ref="T125"/>
    <hyperlink r:id="rId249" ref="R126"/>
    <hyperlink r:id="rId250" ref="T126"/>
    <hyperlink r:id="rId251" ref="R127"/>
    <hyperlink r:id="rId252" ref="T127"/>
    <hyperlink r:id="rId253" ref="R128"/>
    <hyperlink r:id="rId254" ref="T128"/>
    <hyperlink r:id="rId255" ref="R129"/>
    <hyperlink r:id="rId256" ref="T129"/>
    <hyperlink r:id="rId257" ref="R130"/>
    <hyperlink r:id="rId258" ref="T130"/>
    <hyperlink r:id="rId259" ref="R131"/>
    <hyperlink r:id="rId260" ref="T131"/>
    <hyperlink r:id="rId261" ref="R132"/>
    <hyperlink r:id="rId262" ref="T132"/>
    <hyperlink r:id="rId263" ref="R133"/>
    <hyperlink r:id="rId264" ref="T133"/>
    <hyperlink r:id="rId265" ref="R134"/>
    <hyperlink r:id="rId266" ref="T134"/>
    <hyperlink r:id="rId267" ref="R135"/>
    <hyperlink r:id="rId268" ref="T135"/>
    <hyperlink r:id="rId269" ref="R136"/>
    <hyperlink r:id="rId270" ref="T136"/>
    <hyperlink r:id="rId271" ref="R137"/>
    <hyperlink r:id="rId272" ref="T137"/>
    <hyperlink r:id="rId273" ref="R138"/>
    <hyperlink r:id="rId274" ref="T138"/>
    <hyperlink r:id="rId275" ref="R139"/>
    <hyperlink r:id="rId276" ref="T139"/>
    <hyperlink r:id="rId277" ref="R140"/>
    <hyperlink r:id="rId278" ref="T140"/>
    <hyperlink r:id="rId279" ref="R141"/>
    <hyperlink r:id="rId280" ref="T141"/>
    <hyperlink r:id="rId281" ref="R142"/>
    <hyperlink r:id="rId282" ref="T142"/>
    <hyperlink r:id="rId283" ref="R143"/>
    <hyperlink r:id="rId284" ref="T143"/>
    <hyperlink r:id="rId285" ref="R144"/>
    <hyperlink r:id="rId286" ref="T144"/>
    <hyperlink r:id="rId287" ref="R145"/>
    <hyperlink r:id="rId288" ref="T145"/>
    <hyperlink r:id="rId289" ref="R146"/>
    <hyperlink r:id="rId290" ref="T146"/>
    <hyperlink r:id="rId291" ref="R147"/>
    <hyperlink r:id="rId292" ref="T147"/>
    <hyperlink r:id="rId293" ref="R148"/>
    <hyperlink r:id="rId294" ref="T148"/>
    <hyperlink r:id="rId295" ref="R149"/>
    <hyperlink r:id="rId296" ref="T149"/>
    <hyperlink r:id="rId297" ref="R150"/>
    <hyperlink r:id="rId298" ref="T150"/>
    <hyperlink r:id="rId299" ref="R151"/>
    <hyperlink r:id="rId300" ref="T151"/>
    <hyperlink r:id="rId301" ref="R152"/>
    <hyperlink r:id="rId302" ref="T152"/>
    <hyperlink r:id="rId303" ref="R153"/>
    <hyperlink r:id="rId304" ref="T153"/>
    <hyperlink r:id="rId305" ref="R154"/>
    <hyperlink r:id="rId306" ref="T154"/>
    <hyperlink r:id="rId307" ref="R155"/>
    <hyperlink r:id="rId308" ref="T155"/>
    <hyperlink r:id="rId309" ref="R156"/>
    <hyperlink r:id="rId310" ref="T156"/>
    <hyperlink r:id="rId311" ref="R157"/>
    <hyperlink r:id="rId312" ref="T157"/>
    <hyperlink r:id="rId313" ref="R158"/>
    <hyperlink r:id="rId314" ref="T158"/>
    <hyperlink r:id="rId315" ref="R159"/>
    <hyperlink r:id="rId316" ref="T159"/>
    <hyperlink r:id="rId317" ref="R160"/>
    <hyperlink r:id="rId318" ref="T160"/>
    <hyperlink r:id="rId319" ref="R161"/>
    <hyperlink r:id="rId320" ref="T161"/>
    <hyperlink r:id="rId321" ref="R162"/>
    <hyperlink r:id="rId322" ref="T162"/>
    <hyperlink r:id="rId323" ref="R163"/>
    <hyperlink r:id="rId324" ref="T163"/>
    <hyperlink r:id="rId325" ref="R164"/>
    <hyperlink r:id="rId326" ref="T164"/>
    <hyperlink r:id="rId327" ref="R165"/>
    <hyperlink r:id="rId328" ref="T165"/>
    <hyperlink r:id="rId329" ref="R166"/>
    <hyperlink r:id="rId330" ref="T166"/>
    <hyperlink r:id="rId331" ref="R167"/>
    <hyperlink r:id="rId332" ref="T167"/>
    <hyperlink r:id="rId333" ref="R168"/>
    <hyperlink r:id="rId334" ref="T168"/>
    <hyperlink r:id="rId335" ref="R169"/>
    <hyperlink r:id="rId336" ref="T169"/>
    <hyperlink r:id="rId337" ref="R170"/>
    <hyperlink r:id="rId338" ref="T170"/>
    <hyperlink r:id="rId339" ref="R171"/>
    <hyperlink r:id="rId340" ref="T171"/>
    <hyperlink r:id="rId341" ref="R172"/>
    <hyperlink r:id="rId342" ref="T172"/>
    <hyperlink r:id="rId343" ref="R173"/>
    <hyperlink r:id="rId344" ref="T173"/>
    <hyperlink r:id="rId345" ref="R174"/>
    <hyperlink r:id="rId346" ref="T174"/>
    <hyperlink r:id="rId347" ref="R175"/>
    <hyperlink r:id="rId348" ref="T175"/>
    <hyperlink r:id="rId349" ref="R176"/>
    <hyperlink r:id="rId350" ref="T176"/>
    <hyperlink r:id="rId351" ref="R177"/>
    <hyperlink r:id="rId352" ref="T177"/>
    <hyperlink r:id="rId353" ref="R178"/>
    <hyperlink r:id="rId354" ref="T178"/>
    <hyperlink r:id="rId355" ref="R179"/>
    <hyperlink r:id="rId356" ref="T179"/>
    <hyperlink r:id="rId357" ref="R180"/>
    <hyperlink r:id="rId358" ref="T180"/>
    <hyperlink r:id="rId359" ref="R181"/>
    <hyperlink r:id="rId360" ref="T181"/>
    <hyperlink r:id="rId361" ref="R182"/>
    <hyperlink r:id="rId362" ref="T182"/>
    <hyperlink r:id="rId363" ref="R183"/>
    <hyperlink r:id="rId364" ref="T183"/>
    <hyperlink r:id="rId365" ref="R184"/>
    <hyperlink r:id="rId366" ref="T184"/>
    <hyperlink r:id="rId367" ref="R185"/>
    <hyperlink r:id="rId368" ref="T185"/>
    <hyperlink r:id="rId369" ref="R186"/>
    <hyperlink r:id="rId370" ref="T186"/>
    <hyperlink r:id="rId371" ref="R187"/>
    <hyperlink r:id="rId372" ref="T187"/>
    <hyperlink r:id="rId373" ref="R188"/>
    <hyperlink r:id="rId374" ref="T188"/>
    <hyperlink r:id="rId375" ref="R189"/>
    <hyperlink r:id="rId376" ref="T189"/>
    <hyperlink r:id="rId377" ref="R190"/>
    <hyperlink r:id="rId378" ref="T190"/>
    <hyperlink r:id="rId379" ref="R191"/>
    <hyperlink r:id="rId380" ref="T191"/>
    <hyperlink r:id="rId381" ref="R192"/>
    <hyperlink r:id="rId382" ref="T192"/>
    <hyperlink r:id="rId383" ref="R193"/>
    <hyperlink r:id="rId384" ref="T193"/>
    <hyperlink r:id="rId385" ref="R194"/>
    <hyperlink r:id="rId386" ref="T194"/>
    <hyperlink r:id="rId387" ref="R195"/>
    <hyperlink r:id="rId388" ref="T195"/>
    <hyperlink r:id="rId389" ref="R196"/>
    <hyperlink r:id="rId390" ref="T196"/>
    <hyperlink r:id="rId391" ref="R197"/>
    <hyperlink r:id="rId392" ref="T197"/>
    <hyperlink r:id="rId393" ref="R198"/>
    <hyperlink r:id="rId394" ref="T198"/>
    <hyperlink r:id="rId395" ref="R199"/>
    <hyperlink r:id="rId396" ref="T199"/>
    <hyperlink r:id="rId397" ref="R200"/>
    <hyperlink r:id="rId398" ref="T200"/>
    <hyperlink r:id="rId399" ref="R201"/>
    <hyperlink r:id="rId400" ref="T201"/>
    <hyperlink r:id="rId401" ref="R202"/>
    <hyperlink r:id="rId402" ref="T202"/>
    <hyperlink r:id="rId403" ref="R203"/>
    <hyperlink r:id="rId404" ref="T203"/>
    <hyperlink r:id="rId405" ref="R204"/>
    <hyperlink r:id="rId406" ref="T204"/>
    <hyperlink r:id="rId407" ref="R205"/>
    <hyperlink r:id="rId408" ref="T205"/>
    <hyperlink r:id="rId409" ref="R206"/>
    <hyperlink r:id="rId410" ref="T206"/>
    <hyperlink r:id="rId411" ref="R207"/>
    <hyperlink r:id="rId412" ref="T207"/>
    <hyperlink r:id="rId413" ref="R208"/>
    <hyperlink r:id="rId414" ref="T208"/>
    <hyperlink r:id="rId415" ref="R209"/>
    <hyperlink r:id="rId416" ref="T209"/>
    <hyperlink r:id="rId417" ref="R210"/>
    <hyperlink r:id="rId418" ref="T210"/>
    <hyperlink r:id="rId419" ref="R211"/>
    <hyperlink r:id="rId420" ref="T211"/>
    <hyperlink r:id="rId421" ref="R212"/>
    <hyperlink r:id="rId422" ref="T212"/>
    <hyperlink r:id="rId423" ref="R213"/>
    <hyperlink r:id="rId424" ref="T213"/>
    <hyperlink r:id="rId425" ref="R214"/>
    <hyperlink r:id="rId426" ref="T214"/>
    <hyperlink r:id="rId427" ref="R215"/>
    <hyperlink r:id="rId428" ref="T215"/>
    <hyperlink r:id="rId429" ref="R216"/>
    <hyperlink r:id="rId430" ref="T216"/>
    <hyperlink r:id="rId431" ref="R217"/>
    <hyperlink r:id="rId432" ref="T217"/>
    <hyperlink r:id="rId433" ref="R218"/>
    <hyperlink r:id="rId434" ref="T218"/>
    <hyperlink r:id="rId435" ref="R219"/>
    <hyperlink r:id="rId436" ref="T219"/>
    <hyperlink r:id="rId437" ref="R220"/>
    <hyperlink r:id="rId438" ref="T220"/>
    <hyperlink r:id="rId439" ref="R221"/>
    <hyperlink r:id="rId440" ref="T221"/>
    <hyperlink r:id="rId441" ref="R222"/>
    <hyperlink r:id="rId442" ref="T222"/>
    <hyperlink r:id="rId443" ref="R223"/>
    <hyperlink r:id="rId444" ref="T223"/>
    <hyperlink r:id="rId445" ref="R224"/>
    <hyperlink r:id="rId446" ref="T224"/>
    <hyperlink r:id="rId447" ref="R225"/>
    <hyperlink r:id="rId448" ref="T225"/>
    <hyperlink r:id="rId449" ref="R226"/>
    <hyperlink r:id="rId450" ref="T226"/>
    <hyperlink r:id="rId451" ref="R227"/>
    <hyperlink r:id="rId452" ref="T227"/>
    <hyperlink r:id="rId453" ref="R228"/>
    <hyperlink r:id="rId454" ref="T228"/>
    <hyperlink r:id="rId455" ref="R229"/>
    <hyperlink r:id="rId456" ref="T229"/>
    <hyperlink r:id="rId457" ref="R230"/>
    <hyperlink r:id="rId458" ref="T230"/>
    <hyperlink r:id="rId459" ref="R231"/>
    <hyperlink r:id="rId460" ref="T231"/>
    <hyperlink r:id="rId461" ref="R232"/>
    <hyperlink r:id="rId462" ref="T232"/>
    <hyperlink r:id="rId463" ref="R233"/>
    <hyperlink r:id="rId464" ref="T233"/>
    <hyperlink r:id="rId465" ref="R234"/>
    <hyperlink r:id="rId466" ref="T234"/>
    <hyperlink r:id="rId467" ref="R235"/>
    <hyperlink r:id="rId468" ref="T235"/>
    <hyperlink r:id="rId469" ref="R236"/>
    <hyperlink r:id="rId470" ref="T236"/>
    <hyperlink r:id="rId471" ref="R237"/>
    <hyperlink r:id="rId472" ref="T237"/>
    <hyperlink r:id="rId473" ref="R238"/>
    <hyperlink r:id="rId474" ref="T238"/>
    <hyperlink r:id="rId475" ref="R239"/>
    <hyperlink r:id="rId476" ref="T239"/>
    <hyperlink r:id="rId477" ref="R240"/>
    <hyperlink r:id="rId478" ref="T240"/>
    <hyperlink r:id="rId479" ref="R241"/>
    <hyperlink r:id="rId480" ref="T241"/>
    <hyperlink r:id="rId481" ref="R242"/>
    <hyperlink r:id="rId482" ref="T242"/>
    <hyperlink r:id="rId483" ref="R243"/>
    <hyperlink r:id="rId484" ref="T243"/>
    <hyperlink r:id="rId485" ref="R244"/>
    <hyperlink r:id="rId486" ref="T244"/>
    <hyperlink r:id="rId487" ref="R245"/>
    <hyperlink r:id="rId488" ref="T245"/>
    <hyperlink r:id="rId489" ref="R246"/>
    <hyperlink r:id="rId490" ref="T246"/>
    <hyperlink r:id="rId491" ref="R247"/>
    <hyperlink r:id="rId492" ref="T247"/>
    <hyperlink r:id="rId493" ref="R248"/>
    <hyperlink r:id="rId494" ref="T248"/>
    <hyperlink r:id="rId495" ref="R249"/>
    <hyperlink r:id="rId496" ref="T249"/>
    <hyperlink r:id="rId497" ref="R250"/>
    <hyperlink r:id="rId498" ref="T250"/>
    <hyperlink r:id="rId499" ref="R251"/>
    <hyperlink r:id="rId500" ref="T251"/>
    <hyperlink r:id="rId501" ref="R252"/>
    <hyperlink r:id="rId502" ref="T252"/>
    <hyperlink r:id="rId503" ref="R253"/>
    <hyperlink r:id="rId504" ref="T253"/>
    <hyperlink r:id="rId505" ref="R254"/>
    <hyperlink r:id="rId506" ref="T254"/>
    <hyperlink r:id="rId507" ref="R255"/>
    <hyperlink r:id="rId508" ref="T255"/>
    <hyperlink r:id="rId509" ref="R256"/>
    <hyperlink r:id="rId510" ref="T256"/>
    <hyperlink r:id="rId511" ref="R257"/>
    <hyperlink r:id="rId512" ref="T257"/>
    <hyperlink r:id="rId513" ref="R258"/>
    <hyperlink r:id="rId514" ref="T258"/>
    <hyperlink r:id="rId515" ref="R259"/>
    <hyperlink r:id="rId516" ref="T259"/>
    <hyperlink r:id="rId517" ref="R260"/>
    <hyperlink r:id="rId518" ref="T260"/>
    <hyperlink r:id="rId519" ref="R261"/>
    <hyperlink r:id="rId520" ref="T261"/>
    <hyperlink r:id="rId521" ref="R262"/>
    <hyperlink r:id="rId522" ref="T262"/>
    <hyperlink r:id="rId523" ref="R263"/>
    <hyperlink r:id="rId524" ref="T263"/>
    <hyperlink r:id="rId525" ref="R264"/>
    <hyperlink r:id="rId526" ref="T264"/>
    <hyperlink r:id="rId527" ref="R265"/>
    <hyperlink r:id="rId528" ref="T265"/>
    <hyperlink r:id="rId529" ref="R266"/>
    <hyperlink r:id="rId530" ref="T266"/>
    <hyperlink r:id="rId531" ref="R267"/>
    <hyperlink r:id="rId532" ref="T267"/>
    <hyperlink r:id="rId533" ref="R268"/>
    <hyperlink r:id="rId534" ref="T268"/>
    <hyperlink r:id="rId535" ref="R269"/>
    <hyperlink r:id="rId536" ref="T269"/>
    <hyperlink r:id="rId537" ref="R270"/>
    <hyperlink r:id="rId538" ref="T270"/>
    <hyperlink r:id="rId539" ref="R271"/>
    <hyperlink r:id="rId540" ref="T271"/>
    <hyperlink r:id="rId541" ref="R272"/>
    <hyperlink r:id="rId542" ref="T272"/>
    <hyperlink r:id="rId543" ref="R273"/>
    <hyperlink r:id="rId544" ref="T273"/>
    <hyperlink r:id="rId545" ref="R274"/>
    <hyperlink r:id="rId546" ref="T274"/>
    <hyperlink r:id="rId547" ref="R275"/>
    <hyperlink r:id="rId548" ref="T275"/>
    <hyperlink r:id="rId549" ref="R276"/>
    <hyperlink r:id="rId550" ref="T276"/>
    <hyperlink r:id="rId551" ref="R277"/>
    <hyperlink r:id="rId552" ref="T277"/>
    <hyperlink r:id="rId553" ref="R278"/>
    <hyperlink r:id="rId554" ref="T278"/>
    <hyperlink r:id="rId555" ref="R279"/>
    <hyperlink r:id="rId556" ref="T279"/>
    <hyperlink r:id="rId557" ref="R280"/>
    <hyperlink r:id="rId558" ref="T280"/>
    <hyperlink r:id="rId559" ref="R281"/>
    <hyperlink r:id="rId560" ref="T281"/>
    <hyperlink r:id="rId561" ref="R282"/>
    <hyperlink r:id="rId562" ref="T282"/>
    <hyperlink r:id="rId563" ref="R283"/>
    <hyperlink r:id="rId564" ref="T283"/>
    <hyperlink r:id="rId565" ref="R284"/>
    <hyperlink r:id="rId566" ref="T284"/>
    <hyperlink r:id="rId567" ref="R285"/>
    <hyperlink r:id="rId568" ref="T285"/>
    <hyperlink r:id="rId569" ref="R286"/>
    <hyperlink r:id="rId570" ref="T286"/>
    <hyperlink r:id="rId571" ref="R287"/>
    <hyperlink r:id="rId572" ref="T287"/>
    <hyperlink r:id="rId573" ref="R288"/>
    <hyperlink r:id="rId574" ref="T288"/>
    <hyperlink r:id="rId575" ref="R289"/>
    <hyperlink r:id="rId576" ref="T289"/>
    <hyperlink r:id="rId577" ref="R290"/>
    <hyperlink r:id="rId578" ref="T290"/>
    <hyperlink r:id="rId579" ref="R291"/>
    <hyperlink r:id="rId580" ref="T291"/>
    <hyperlink r:id="rId581" ref="R292"/>
    <hyperlink r:id="rId582" ref="T292"/>
    <hyperlink r:id="rId583" ref="R293"/>
    <hyperlink r:id="rId584" ref="T293"/>
    <hyperlink r:id="rId585" ref="R294"/>
    <hyperlink r:id="rId586" ref="T294"/>
    <hyperlink r:id="rId587" ref="R295"/>
    <hyperlink r:id="rId588" ref="T295"/>
    <hyperlink r:id="rId589" ref="R296"/>
    <hyperlink r:id="rId590" ref="T296"/>
    <hyperlink r:id="rId591" ref="R297"/>
    <hyperlink r:id="rId592" ref="T297"/>
    <hyperlink r:id="rId593" ref="R298"/>
    <hyperlink r:id="rId594" ref="T298"/>
    <hyperlink r:id="rId595" ref="R299"/>
    <hyperlink r:id="rId596" ref="T299"/>
    <hyperlink r:id="rId597" ref="R300"/>
    <hyperlink r:id="rId598" ref="T300"/>
    <hyperlink r:id="rId599" ref="R301"/>
    <hyperlink r:id="rId600" ref="T301"/>
    <hyperlink r:id="rId601" ref="R302"/>
    <hyperlink r:id="rId602" ref="T302"/>
    <hyperlink r:id="rId603" ref="R303"/>
    <hyperlink r:id="rId604" ref="T303"/>
    <hyperlink r:id="rId605" ref="R304"/>
    <hyperlink r:id="rId606" ref="T304"/>
    <hyperlink r:id="rId607" ref="R305"/>
    <hyperlink r:id="rId608" ref="T305"/>
    <hyperlink r:id="rId609" ref="R306"/>
    <hyperlink r:id="rId610" ref="T306"/>
    <hyperlink r:id="rId611" ref="R307"/>
    <hyperlink r:id="rId612" ref="T307"/>
    <hyperlink r:id="rId613" ref="R308"/>
    <hyperlink r:id="rId614" ref="T308"/>
    <hyperlink r:id="rId615" ref="R309"/>
    <hyperlink r:id="rId616" ref="T309"/>
    <hyperlink r:id="rId617" ref="R310"/>
    <hyperlink r:id="rId618" ref="T310"/>
    <hyperlink r:id="rId619" ref="R311"/>
    <hyperlink r:id="rId620" ref="T311"/>
    <hyperlink r:id="rId621" ref="R312"/>
    <hyperlink r:id="rId622" ref="T312"/>
    <hyperlink r:id="rId623" ref="R313"/>
    <hyperlink r:id="rId624" ref="T313"/>
    <hyperlink r:id="rId625" ref="R314"/>
    <hyperlink r:id="rId626" ref="T314"/>
    <hyperlink r:id="rId627" ref="R315"/>
    <hyperlink r:id="rId628" ref="T315"/>
    <hyperlink r:id="rId629" ref="R316"/>
    <hyperlink r:id="rId630" ref="T316"/>
    <hyperlink r:id="rId631" ref="R317"/>
    <hyperlink r:id="rId632" ref="T317"/>
    <hyperlink r:id="rId633" ref="R318"/>
    <hyperlink r:id="rId634" ref="T318"/>
    <hyperlink r:id="rId635" ref="R319"/>
    <hyperlink r:id="rId636" ref="T319"/>
    <hyperlink r:id="rId637" ref="R320"/>
    <hyperlink r:id="rId638" ref="T320"/>
    <hyperlink r:id="rId639" ref="R321"/>
    <hyperlink r:id="rId640" ref="T321"/>
    <hyperlink r:id="rId641" ref="R322"/>
    <hyperlink r:id="rId642" ref="T322"/>
    <hyperlink r:id="rId643" ref="R323"/>
    <hyperlink r:id="rId644" ref="T323"/>
    <hyperlink r:id="rId645" ref="R324"/>
    <hyperlink r:id="rId646" ref="T324"/>
    <hyperlink r:id="rId647" ref="R325"/>
    <hyperlink r:id="rId648" ref="T325"/>
    <hyperlink r:id="rId649" ref="R326"/>
    <hyperlink r:id="rId650" ref="T326"/>
    <hyperlink r:id="rId651" ref="R327"/>
    <hyperlink r:id="rId652" ref="T327"/>
    <hyperlink r:id="rId653" ref="R328"/>
    <hyperlink r:id="rId654" ref="T328"/>
    <hyperlink r:id="rId655" ref="R329"/>
    <hyperlink r:id="rId656" ref="T329"/>
    <hyperlink r:id="rId657" ref="R330"/>
    <hyperlink r:id="rId658" ref="T330"/>
    <hyperlink r:id="rId659" ref="R331"/>
    <hyperlink r:id="rId660" ref="T331"/>
    <hyperlink r:id="rId661" ref="R332"/>
    <hyperlink r:id="rId662" ref="T332"/>
    <hyperlink r:id="rId663" ref="R333"/>
    <hyperlink r:id="rId664" ref="T333"/>
    <hyperlink r:id="rId665" ref="R334"/>
    <hyperlink r:id="rId666" ref="T334"/>
    <hyperlink r:id="rId667" ref="R335"/>
    <hyperlink r:id="rId668" ref="T335"/>
    <hyperlink r:id="rId669" ref="R336"/>
    <hyperlink r:id="rId670" ref="T336"/>
    <hyperlink r:id="rId671" ref="R337"/>
    <hyperlink r:id="rId672" ref="T337"/>
    <hyperlink r:id="rId673" ref="R338"/>
    <hyperlink r:id="rId674" ref="T338"/>
    <hyperlink r:id="rId675" ref="R339"/>
    <hyperlink r:id="rId676" ref="T339"/>
    <hyperlink r:id="rId677" ref="R340"/>
    <hyperlink r:id="rId678" ref="T340"/>
    <hyperlink r:id="rId679" ref="R341"/>
    <hyperlink r:id="rId680" ref="T341"/>
    <hyperlink r:id="rId681" ref="R342"/>
    <hyperlink r:id="rId682" ref="T342"/>
    <hyperlink r:id="rId683" ref="R343"/>
    <hyperlink r:id="rId684" ref="T343"/>
    <hyperlink r:id="rId685" ref="R344"/>
    <hyperlink r:id="rId686" ref="T344"/>
    <hyperlink r:id="rId687" ref="R345"/>
    <hyperlink r:id="rId688" ref="T345"/>
    <hyperlink r:id="rId689" ref="R346"/>
    <hyperlink r:id="rId690" ref="T346"/>
    <hyperlink r:id="rId691" ref="R347"/>
    <hyperlink r:id="rId692" ref="T347"/>
    <hyperlink r:id="rId693" ref="R348"/>
    <hyperlink r:id="rId694" ref="T348"/>
    <hyperlink r:id="rId695" ref="R349"/>
    <hyperlink r:id="rId696" ref="T349"/>
    <hyperlink r:id="rId697" ref="R350"/>
    <hyperlink r:id="rId698" ref="T350"/>
    <hyperlink r:id="rId699" ref="R351"/>
    <hyperlink r:id="rId700" ref="T351"/>
    <hyperlink r:id="rId701" ref="R352"/>
    <hyperlink r:id="rId702" ref="T352"/>
    <hyperlink r:id="rId703" ref="R353"/>
    <hyperlink r:id="rId704" ref="T353"/>
    <hyperlink r:id="rId705" ref="R354"/>
    <hyperlink r:id="rId706" ref="T354"/>
    <hyperlink r:id="rId707" ref="R355"/>
    <hyperlink r:id="rId708" ref="T355"/>
    <hyperlink r:id="rId709" ref="R356"/>
    <hyperlink r:id="rId710" ref="T356"/>
    <hyperlink r:id="rId711" ref="R357"/>
    <hyperlink r:id="rId712" ref="T357"/>
    <hyperlink r:id="rId713" ref="R358"/>
    <hyperlink r:id="rId714" ref="T358"/>
    <hyperlink r:id="rId715" ref="R359"/>
    <hyperlink r:id="rId716" ref="T359"/>
    <hyperlink r:id="rId717" ref="R360"/>
    <hyperlink r:id="rId718" ref="T360"/>
    <hyperlink r:id="rId719" ref="R361"/>
    <hyperlink r:id="rId720" ref="T361"/>
    <hyperlink r:id="rId721" ref="R362"/>
    <hyperlink r:id="rId722" ref="T362"/>
    <hyperlink r:id="rId723" ref="R363"/>
    <hyperlink r:id="rId724" ref="T363"/>
    <hyperlink r:id="rId725" ref="R364"/>
    <hyperlink r:id="rId726" ref="T364"/>
    <hyperlink r:id="rId727" ref="R365"/>
    <hyperlink r:id="rId728" ref="T365"/>
    <hyperlink r:id="rId729" ref="R366"/>
    <hyperlink r:id="rId730" ref="T366"/>
    <hyperlink r:id="rId731" ref="R367"/>
    <hyperlink r:id="rId732" ref="T367"/>
    <hyperlink r:id="rId733" ref="R368"/>
    <hyperlink r:id="rId734" ref="T368"/>
    <hyperlink r:id="rId735" ref="R369"/>
    <hyperlink r:id="rId736" ref="T369"/>
    <hyperlink r:id="rId737" ref="R370"/>
    <hyperlink r:id="rId738" ref="T370"/>
    <hyperlink r:id="rId739" ref="R371"/>
    <hyperlink r:id="rId740" ref="T371"/>
    <hyperlink r:id="rId741" ref="R372"/>
    <hyperlink r:id="rId742" ref="T372"/>
    <hyperlink r:id="rId743" ref="R373"/>
    <hyperlink r:id="rId744" ref="T373"/>
    <hyperlink r:id="rId745" ref="R374"/>
    <hyperlink r:id="rId746" ref="T374"/>
    <hyperlink r:id="rId747" ref="R375"/>
    <hyperlink r:id="rId748" ref="T375"/>
    <hyperlink r:id="rId749" ref="R376"/>
    <hyperlink r:id="rId750" ref="T376"/>
    <hyperlink r:id="rId751" ref="R377"/>
    <hyperlink r:id="rId752" ref="T377"/>
    <hyperlink r:id="rId753" ref="R378"/>
    <hyperlink r:id="rId754" ref="T378"/>
    <hyperlink r:id="rId755" ref="R379"/>
    <hyperlink r:id="rId756" ref="T379"/>
    <hyperlink r:id="rId757" ref="R380"/>
    <hyperlink r:id="rId758" ref="T380"/>
    <hyperlink r:id="rId759" ref="R381"/>
    <hyperlink r:id="rId760" ref="T381"/>
    <hyperlink r:id="rId761" ref="R382"/>
    <hyperlink r:id="rId762" ref="T382"/>
    <hyperlink r:id="rId763" ref="R383"/>
    <hyperlink r:id="rId764" ref="T383"/>
    <hyperlink r:id="rId765" ref="R384"/>
    <hyperlink r:id="rId766" ref="T384"/>
    <hyperlink r:id="rId767" ref="R385"/>
    <hyperlink r:id="rId768" ref="T385"/>
    <hyperlink r:id="rId769" ref="R386"/>
    <hyperlink r:id="rId770" ref="T386"/>
    <hyperlink r:id="rId771" ref="R387"/>
    <hyperlink r:id="rId772" ref="T387"/>
    <hyperlink r:id="rId773" ref="R388"/>
    <hyperlink r:id="rId774" ref="T388"/>
    <hyperlink r:id="rId775" ref="R389"/>
    <hyperlink r:id="rId776" ref="T389"/>
    <hyperlink r:id="rId777" ref="R390"/>
    <hyperlink r:id="rId778" ref="T390"/>
    <hyperlink r:id="rId779" ref="R391"/>
    <hyperlink r:id="rId780" ref="T391"/>
    <hyperlink r:id="rId781" ref="R392"/>
    <hyperlink r:id="rId782" ref="T392"/>
    <hyperlink r:id="rId783" ref="R393"/>
    <hyperlink r:id="rId784" ref="T393"/>
    <hyperlink r:id="rId785" ref="R394"/>
    <hyperlink r:id="rId786" ref="T394"/>
    <hyperlink r:id="rId787" ref="R395"/>
    <hyperlink r:id="rId788" ref="T395"/>
    <hyperlink r:id="rId789" ref="R396"/>
    <hyperlink r:id="rId790" ref="T396"/>
    <hyperlink r:id="rId791" ref="R397"/>
    <hyperlink r:id="rId792" ref="T397"/>
    <hyperlink r:id="rId793" ref="R398"/>
    <hyperlink r:id="rId794" ref="T398"/>
    <hyperlink r:id="rId795" ref="R399"/>
    <hyperlink r:id="rId796" ref="T399"/>
    <hyperlink r:id="rId797" ref="R400"/>
    <hyperlink r:id="rId798" ref="T400"/>
    <hyperlink r:id="rId799" ref="R401"/>
    <hyperlink r:id="rId800" ref="T401"/>
    <hyperlink r:id="rId801" ref="R402"/>
    <hyperlink r:id="rId802" ref="T402"/>
    <hyperlink r:id="rId803" ref="R403"/>
    <hyperlink r:id="rId804" ref="T403"/>
    <hyperlink r:id="rId805" ref="R404"/>
    <hyperlink r:id="rId806" ref="T404"/>
    <hyperlink r:id="rId807" ref="R405"/>
    <hyperlink r:id="rId808" ref="T405"/>
    <hyperlink r:id="rId809" ref="R406"/>
    <hyperlink r:id="rId810" ref="T406"/>
    <hyperlink r:id="rId811" ref="R407"/>
    <hyperlink r:id="rId812" ref="T407"/>
    <hyperlink r:id="rId813" ref="R408"/>
    <hyperlink r:id="rId814" ref="T408"/>
    <hyperlink r:id="rId815" ref="R409"/>
    <hyperlink r:id="rId816" ref="T409"/>
    <hyperlink r:id="rId817" ref="R410"/>
    <hyperlink r:id="rId818" ref="T410"/>
    <hyperlink r:id="rId819" ref="R411"/>
    <hyperlink r:id="rId820" ref="T411"/>
    <hyperlink r:id="rId821" ref="R412"/>
    <hyperlink r:id="rId822" ref="T412"/>
    <hyperlink r:id="rId823" ref="R413"/>
    <hyperlink r:id="rId824" ref="T413"/>
    <hyperlink r:id="rId825" ref="R414"/>
    <hyperlink r:id="rId826" ref="T414"/>
    <hyperlink r:id="rId827" ref="R415"/>
    <hyperlink r:id="rId828" ref="T415"/>
    <hyperlink r:id="rId829" ref="R416"/>
    <hyperlink r:id="rId830" ref="T416"/>
    <hyperlink r:id="rId831" ref="R417"/>
    <hyperlink r:id="rId832" ref="T417"/>
    <hyperlink r:id="rId833" ref="R418"/>
    <hyperlink r:id="rId834" ref="T418"/>
    <hyperlink r:id="rId835" ref="R419"/>
    <hyperlink r:id="rId836" ref="T419"/>
    <hyperlink r:id="rId837" ref="R420"/>
    <hyperlink r:id="rId838" ref="T420"/>
    <hyperlink r:id="rId839" ref="R421"/>
    <hyperlink r:id="rId840" ref="T421"/>
    <hyperlink r:id="rId841" ref="R422"/>
    <hyperlink r:id="rId842" ref="T422"/>
    <hyperlink r:id="rId843" ref="R423"/>
    <hyperlink r:id="rId844" ref="T423"/>
    <hyperlink r:id="rId845" ref="R424"/>
    <hyperlink r:id="rId846" ref="T424"/>
    <hyperlink r:id="rId847" ref="R425"/>
    <hyperlink r:id="rId848" ref="T425"/>
    <hyperlink r:id="rId849" ref="R426"/>
    <hyperlink r:id="rId850" ref="T426"/>
    <hyperlink r:id="rId851" ref="R427"/>
    <hyperlink r:id="rId852" ref="T427"/>
    <hyperlink r:id="rId853" ref="R428"/>
    <hyperlink r:id="rId854" ref="T428"/>
    <hyperlink r:id="rId855" ref="R429"/>
    <hyperlink r:id="rId856" ref="T429"/>
    <hyperlink r:id="rId857" ref="R430"/>
    <hyperlink r:id="rId858" ref="T430"/>
    <hyperlink r:id="rId859" ref="R431"/>
    <hyperlink r:id="rId860" ref="T431"/>
    <hyperlink r:id="rId861" ref="R432"/>
    <hyperlink r:id="rId862" ref="T432"/>
    <hyperlink r:id="rId863" ref="R433"/>
    <hyperlink r:id="rId864" ref="T433"/>
    <hyperlink r:id="rId865" ref="R434"/>
    <hyperlink r:id="rId866" ref="T434"/>
    <hyperlink r:id="rId867" ref="R435"/>
    <hyperlink r:id="rId868" ref="T435"/>
    <hyperlink r:id="rId869" ref="R436"/>
    <hyperlink r:id="rId870" ref="T436"/>
    <hyperlink r:id="rId871" ref="R437"/>
    <hyperlink r:id="rId872" ref="T437"/>
    <hyperlink r:id="rId873" ref="R438"/>
    <hyperlink r:id="rId874" ref="T438"/>
    <hyperlink r:id="rId875" ref="R439"/>
    <hyperlink r:id="rId876" ref="T439"/>
    <hyperlink r:id="rId877" ref="R440"/>
    <hyperlink r:id="rId878" ref="T440"/>
    <hyperlink r:id="rId879" ref="R441"/>
    <hyperlink r:id="rId880" ref="T441"/>
    <hyperlink r:id="rId881" ref="R442"/>
    <hyperlink r:id="rId882" ref="T442"/>
    <hyperlink r:id="rId883" ref="R443"/>
    <hyperlink r:id="rId884" ref="T443"/>
    <hyperlink r:id="rId885" ref="R444"/>
    <hyperlink r:id="rId886" ref="T444"/>
    <hyperlink r:id="rId887" ref="R445"/>
    <hyperlink r:id="rId888" ref="T445"/>
    <hyperlink r:id="rId889" ref="R446"/>
    <hyperlink r:id="rId890" ref="T446"/>
    <hyperlink r:id="rId891" ref="R447"/>
    <hyperlink r:id="rId892" ref="T447"/>
    <hyperlink r:id="rId893" ref="R448"/>
    <hyperlink r:id="rId894" ref="T448"/>
    <hyperlink r:id="rId895" ref="R449"/>
    <hyperlink r:id="rId896" ref="T449"/>
    <hyperlink r:id="rId897" ref="R450"/>
    <hyperlink r:id="rId898" ref="T450"/>
    <hyperlink r:id="rId899" ref="R451"/>
    <hyperlink r:id="rId900" ref="T451"/>
    <hyperlink r:id="rId901" ref="R452"/>
    <hyperlink r:id="rId902" ref="T452"/>
    <hyperlink r:id="rId903" ref="R453"/>
    <hyperlink r:id="rId904" ref="T453"/>
    <hyperlink r:id="rId905" ref="R454"/>
    <hyperlink r:id="rId906" ref="T454"/>
    <hyperlink r:id="rId907" ref="R455"/>
    <hyperlink r:id="rId908" ref="T455"/>
    <hyperlink r:id="rId909" ref="R456"/>
    <hyperlink r:id="rId910" ref="T456"/>
    <hyperlink r:id="rId911" ref="R457"/>
    <hyperlink r:id="rId912" ref="T457"/>
    <hyperlink r:id="rId913" ref="R458"/>
    <hyperlink r:id="rId914" ref="T458"/>
    <hyperlink r:id="rId915" ref="R459"/>
    <hyperlink r:id="rId916" ref="T459"/>
    <hyperlink r:id="rId917" ref="R460"/>
    <hyperlink r:id="rId918" ref="T460"/>
    <hyperlink r:id="rId919" ref="R461"/>
    <hyperlink r:id="rId920" ref="T461"/>
    <hyperlink r:id="rId921" ref="R462"/>
    <hyperlink r:id="rId922" ref="T462"/>
    <hyperlink r:id="rId923" ref="R463"/>
    <hyperlink r:id="rId924" ref="T463"/>
    <hyperlink r:id="rId925" ref="R464"/>
    <hyperlink r:id="rId926" ref="T464"/>
    <hyperlink r:id="rId927" ref="R465"/>
    <hyperlink r:id="rId928" ref="T465"/>
    <hyperlink r:id="rId929" ref="R466"/>
    <hyperlink r:id="rId930" ref="T466"/>
    <hyperlink r:id="rId931" ref="R467"/>
    <hyperlink r:id="rId932" ref="T467"/>
    <hyperlink r:id="rId933" ref="R468"/>
    <hyperlink r:id="rId934" ref="T468"/>
    <hyperlink r:id="rId935" ref="R469"/>
    <hyperlink r:id="rId936" ref="T469"/>
    <hyperlink r:id="rId937" ref="R470"/>
    <hyperlink r:id="rId938" ref="T470"/>
    <hyperlink r:id="rId939" ref="R471"/>
    <hyperlink r:id="rId940" ref="T471"/>
    <hyperlink r:id="rId941" ref="R472"/>
    <hyperlink r:id="rId942" ref="T472"/>
    <hyperlink r:id="rId943" ref="R473"/>
    <hyperlink r:id="rId944" ref="T473"/>
    <hyperlink r:id="rId945" ref="R474"/>
    <hyperlink r:id="rId946" ref="T474"/>
    <hyperlink r:id="rId947" ref="R475"/>
    <hyperlink r:id="rId948" ref="T475"/>
    <hyperlink r:id="rId949" ref="R476"/>
    <hyperlink r:id="rId950" ref="T476"/>
    <hyperlink r:id="rId951" ref="R477"/>
    <hyperlink r:id="rId952" ref="T477"/>
    <hyperlink r:id="rId953" ref="R478"/>
    <hyperlink r:id="rId954" ref="T478"/>
    <hyperlink r:id="rId955" ref="R479"/>
    <hyperlink r:id="rId956" ref="T479"/>
    <hyperlink r:id="rId957" ref="R480"/>
    <hyperlink r:id="rId958" ref="T480"/>
    <hyperlink r:id="rId959" ref="R481"/>
    <hyperlink r:id="rId960" ref="T481"/>
    <hyperlink r:id="rId961" ref="R482"/>
    <hyperlink r:id="rId962" ref="T482"/>
    <hyperlink r:id="rId963" ref="R483"/>
    <hyperlink r:id="rId964" ref="T483"/>
    <hyperlink r:id="rId965" ref="R484"/>
    <hyperlink r:id="rId966" ref="T484"/>
    <hyperlink r:id="rId967" ref="R485"/>
    <hyperlink r:id="rId968" ref="T485"/>
    <hyperlink r:id="rId969" ref="R486"/>
    <hyperlink r:id="rId970" ref="T486"/>
    <hyperlink r:id="rId971" ref="R487"/>
    <hyperlink r:id="rId972" ref="T487"/>
    <hyperlink r:id="rId973" ref="R488"/>
    <hyperlink r:id="rId974" ref="T488"/>
    <hyperlink r:id="rId975" ref="R489"/>
    <hyperlink r:id="rId976" ref="T489"/>
    <hyperlink r:id="rId977" ref="R490"/>
    <hyperlink r:id="rId978" ref="T490"/>
    <hyperlink r:id="rId979" ref="R491"/>
    <hyperlink r:id="rId980" ref="T491"/>
    <hyperlink r:id="rId981" ref="R492"/>
    <hyperlink r:id="rId982" ref="T492"/>
    <hyperlink r:id="rId983" ref="R493"/>
    <hyperlink r:id="rId984" ref="T493"/>
    <hyperlink r:id="rId985" ref="R494"/>
    <hyperlink r:id="rId986" ref="T494"/>
    <hyperlink r:id="rId987" ref="R495"/>
    <hyperlink r:id="rId988" ref="T495"/>
    <hyperlink r:id="rId989" ref="R496"/>
    <hyperlink r:id="rId990" ref="T496"/>
    <hyperlink r:id="rId991" ref="R497"/>
    <hyperlink r:id="rId992" ref="T497"/>
    <hyperlink r:id="rId993" ref="R498"/>
    <hyperlink r:id="rId994" ref="T498"/>
    <hyperlink r:id="rId995" ref="R499"/>
    <hyperlink r:id="rId996" ref="T499"/>
    <hyperlink r:id="rId997" ref="R500"/>
    <hyperlink r:id="rId998" ref="T500"/>
    <hyperlink r:id="rId999" ref="R501"/>
    <hyperlink r:id="rId1000" ref="T501"/>
    <hyperlink r:id="rId1001" ref="R502"/>
    <hyperlink r:id="rId1002" ref="T502"/>
    <hyperlink r:id="rId1003" ref="R503"/>
    <hyperlink r:id="rId1004" ref="T503"/>
    <hyperlink r:id="rId1005" ref="R504"/>
    <hyperlink r:id="rId1006" ref="T504"/>
    <hyperlink r:id="rId1007" ref="R505"/>
    <hyperlink r:id="rId1008" ref="T505"/>
    <hyperlink r:id="rId1009" ref="R506"/>
    <hyperlink r:id="rId1010" ref="T506"/>
    <hyperlink r:id="rId1011" ref="R507"/>
    <hyperlink r:id="rId1012" ref="T507"/>
    <hyperlink r:id="rId1013" ref="R508"/>
    <hyperlink r:id="rId1014" ref="T508"/>
    <hyperlink r:id="rId1015" ref="R509"/>
    <hyperlink r:id="rId1016" ref="T509"/>
    <hyperlink r:id="rId1017" ref="R510"/>
    <hyperlink r:id="rId1018" ref="T510"/>
    <hyperlink r:id="rId1019" ref="R511"/>
    <hyperlink r:id="rId1020" ref="T511"/>
    <hyperlink r:id="rId1021" ref="R512"/>
    <hyperlink r:id="rId1022" ref="T512"/>
    <hyperlink r:id="rId1023" ref="R513"/>
    <hyperlink r:id="rId1024" ref="T513"/>
    <hyperlink r:id="rId1025" ref="R514"/>
    <hyperlink r:id="rId1026" ref="T514"/>
    <hyperlink r:id="rId1027" ref="R515"/>
    <hyperlink r:id="rId1028" ref="T515"/>
    <hyperlink r:id="rId1029" ref="R516"/>
    <hyperlink r:id="rId1030" ref="T516"/>
    <hyperlink r:id="rId1031" ref="R517"/>
    <hyperlink r:id="rId1032" ref="T517"/>
    <hyperlink r:id="rId1033" ref="R518"/>
    <hyperlink r:id="rId1034" ref="T518"/>
    <hyperlink r:id="rId1035" ref="R519"/>
    <hyperlink r:id="rId1036" ref="T519"/>
    <hyperlink r:id="rId1037" ref="R520"/>
    <hyperlink r:id="rId1038" ref="T520"/>
    <hyperlink r:id="rId1039" ref="R521"/>
    <hyperlink r:id="rId1040" ref="T521"/>
    <hyperlink r:id="rId1041" ref="R522"/>
    <hyperlink r:id="rId1042" ref="T522"/>
    <hyperlink r:id="rId1043" ref="R523"/>
    <hyperlink r:id="rId1044" ref="T523"/>
    <hyperlink r:id="rId1045" ref="R524"/>
    <hyperlink r:id="rId1046" ref="T524"/>
    <hyperlink r:id="rId1047" ref="R525"/>
    <hyperlink r:id="rId1048" ref="T525"/>
    <hyperlink r:id="rId1049" ref="R526"/>
    <hyperlink r:id="rId1050" ref="T526"/>
    <hyperlink r:id="rId1051" ref="R527"/>
    <hyperlink r:id="rId1052" ref="T527"/>
    <hyperlink r:id="rId1053" ref="R528"/>
    <hyperlink r:id="rId1054" ref="T528"/>
    <hyperlink r:id="rId1055" ref="R529"/>
    <hyperlink r:id="rId1056" ref="T529"/>
    <hyperlink r:id="rId1057" ref="R530"/>
    <hyperlink r:id="rId1058" ref="T530"/>
    <hyperlink r:id="rId1059" ref="R531"/>
    <hyperlink r:id="rId1060" ref="T531"/>
    <hyperlink r:id="rId1061" ref="R532"/>
    <hyperlink r:id="rId1062" ref="T532"/>
    <hyperlink r:id="rId1063" ref="R533"/>
    <hyperlink r:id="rId1064" ref="T533"/>
    <hyperlink r:id="rId1065" ref="R534"/>
    <hyperlink r:id="rId1066" ref="T534"/>
    <hyperlink r:id="rId1067" ref="R535"/>
    <hyperlink r:id="rId1068" ref="T535"/>
    <hyperlink r:id="rId1069" ref="R536"/>
    <hyperlink r:id="rId1070" ref="T536"/>
    <hyperlink r:id="rId1071" ref="R537"/>
    <hyperlink r:id="rId1072" ref="T537"/>
    <hyperlink r:id="rId1073" ref="R538"/>
    <hyperlink r:id="rId1074" ref="T538"/>
    <hyperlink r:id="rId1075" ref="R539"/>
    <hyperlink r:id="rId1076" ref="T539"/>
    <hyperlink r:id="rId1077" ref="R540"/>
    <hyperlink r:id="rId1078" ref="T540"/>
    <hyperlink r:id="rId1079" ref="R541"/>
    <hyperlink r:id="rId1080" ref="T541"/>
    <hyperlink r:id="rId1081" ref="R542"/>
    <hyperlink r:id="rId1082" ref="T542"/>
    <hyperlink r:id="rId1083" ref="R543"/>
    <hyperlink r:id="rId1084" ref="T543"/>
    <hyperlink r:id="rId1085" ref="R544"/>
    <hyperlink r:id="rId1086" ref="T544"/>
    <hyperlink r:id="rId1087" ref="R545"/>
    <hyperlink r:id="rId1088" ref="T545"/>
    <hyperlink r:id="rId1089" ref="R546"/>
    <hyperlink r:id="rId1090" ref="T546"/>
    <hyperlink r:id="rId1091" ref="R547"/>
    <hyperlink r:id="rId1092" ref="T547"/>
    <hyperlink r:id="rId1093" ref="R548"/>
    <hyperlink r:id="rId1094" ref="T548"/>
    <hyperlink r:id="rId1095" ref="R549"/>
    <hyperlink r:id="rId1096" ref="T549"/>
    <hyperlink r:id="rId1097" ref="R550"/>
    <hyperlink r:id="rId1098" ref="T550"/>
    <hyperlink r:id="rId1099" ref="R551"/>
    <hyperlink r:id="rId1100" ref="T551"/>
    <hyperlink r:id="rId1101" ref="R552"/>
    <hyperlink r:id="rId1102" ref="T552"/>
    <hyperlink r:id="rId1103" ref="R553"/>
    <hyperlink r:id="rId1104" ref="T553"/>
    <hyperlink r:id="rId1105" ref="R554"/>
    <hyperlink r:id="rId1106" ref="T554"/>
    <hyperlink r:id="rId1107" ref="R555"/>
    <hyperlink r:id="rId1108" ref="T555"/>
    <hyperlink r:id="rId1109" ref="R556"/>
    <hyperlink r:id="rId1110" ref="T556"/>
    <hyperlink r:id="rId1111" ref="R557"/>
    <hyperlink r:id="rId1112" ref="T557"/>
    <hyperlink r:id="rId1113" ref="R558"/>
    <hyperlink r:id="rId1114" ref="T558"/>
    <hyperlink r:id="rId1115" ref="R559"/>
    <hyperlink r:id="rId1116" ref="T559"/>
    <hyperlink r:id="rId1117" ref="R560"/>
    <hyperlink r:id="rId1118" ref="T560"/>
    <hyperlink r:id="rId1119" ref="R561"/>
    <hyperlink r:id="rId1120" ref="T561"/>
    <hyperlink r:id="rId1121" ref="R562"/>
    <hyperlink r:id="rId1122" ref="T562"/>
    <hyperlink r:id="rId1123" ref="R563"/>
    <hyperlink r:id="rId1124" ref="T563"/>
    <hyperlink r:id="rId1125" ref="R564"/>
    <hyperlink r:id="rId1126" ref="T564"/>
    <hyperlink r:id="rId1127" ref="R565"/>
    <hyperlink r:id="rId1128" ref="T565"/>
    <hyperlink r:id="rId1129" ref="R566"/>
    <hyperlink r:id="rId1130" ref="T566"/>
    <hyperlink r:id="rId1131" ref="R567"/>
    <hyperlink r:id="rId1132" ref="T567"/>
    <hyperlink r:id="rId1133" ref="R568"/>
    <hyperlink r:id="rId1134" ref="T568"/>
    <hyperlink r:id="rId1135" ref="R569"/>
    <hyperlink r:id="rId1136" ref="T569"/>
    <hyperlink r:id="rId1137" ref="R570"/>
    <hyperlink r:id="rId1138" ref="T570"/>
    <hyperlink r:id="rId1139" ref="R571"/>
    <hyperlink r:id="rId1140" ref="T571"/>
    <hyperlink r:id="rId1141" ref="R572"/>
    <hyperlink r:id="rId1142" ref="T572"/>
    <hyperlink r:id="rId1143" ref="R573"/>
    <hyperlink r:id="rId1144" ref="T573"/>
    <hyperlink r:id="rId1145" ref="R574"/>
    <hyperlink r:id="rId1146" ref="T574"/>
    <hyperlink r:id="rId1147" ref="R575"/>
    <hyperlink r:id="rId1148" ref="T575"/>
    <hyperlink r:id="rId1149" ref="R576"/>
    <hyperlink r:id="rId1150" ref="T576"/>
    <hyperlink r:id="rId1151" ref="R577"/>
    <hyperlink r:id="rId1152" ref="T577"/>
    <hyperlink r:id="rId1153" ref="R578"/>
    <hyperlink r:id="rId1154" ref="T578"/>
    <hyperlink r:id="rId1155" ref="R579"/>
    <hyperlink r:id="rId1156" ref="T579"/>
    <hyperlink r:id="rId1157" ref="R580"/>
    <hyperlink r:id="rId1158" ref="T580"/>
    <hyperlink r:id="rId1159" ref="R581"/>
    <hyperlink r:id="rId1160" ref="T581"/>
    <hyperlink r:id="rId1161" ref="R582"/>
    <hyperlink r:id="rId1162" ref="T582"/>
    <hyperlink r:id="rId1163" ref="R583"/>
    <hyperlink r:id="rId1164" ref="T583"/>
    <hyperlink r:id="rId1165" ref="R584"/>
    <hyperlink r:id="rId1166" ref="T584"/>
    <hyperlink r:id="rId1167" ref="R585"/>
    <hyperlink r:id="rId1168" ref="T585"/>
    <hyperlink r:id="rId1169" ref="R586"/>
    <hyperlink r:id="rId1170" ref="T586"/>
    <hyperlink r:id="rId1171" ref="R587"/>
    <hyperlink r:id="rId1172" ref="T587"/>
    <hyperlink r:id="rId1173" ref="R588"/>
    <hyperlink r:id="rId1174" ref="T588"/>
    <hyperlink r:id="rId1175" ref="R589"/>
    <hyperlink r:id="rId1176" ref="T589"/>
    <hyperlink r:id="rId1177" ref="R590"/>
    <hyperlink r:id="rId1178" ref="T590"/>
    <hyperlink r:id="rId1179" ref="R591"/>
    <hyperlink r:id="rId1180" ref="T591"/>
    <hyperlink r:id="rId1181" ref="R592"/>
    <hyperlink r:id="rId1182" ref="T592"/>
    <hyperlink r:id="rId1183" ref="R593"/>
    <hyperlink r:id="rId1184" ref="T593"/>
    <hyperlink r:id="rId1185" ref="R594"/>
    <hyperlink r:id="rId1186" ref="T594"/>
    <hyperlink r:id="rId1187" ref="R595"/>
    <hyperlink r:id="rId1188" ref="T595"/>
    <hyperlink r:id="rId1189" ref="R596"/>
    <hyperlink r:id="rId1190" ref="T596"/>
    <hyperlink r:id="rId1191" ref="R597"/>
    <hyperlink r:id="rId1192" ref="T597"/>
    <hyperlink r:id="rId1193" ref="R598"/>
    <hyperlink r:id="rId1194" ref="T598"/>
    <hyperlink r:id="rId1195" ref="R599"/>
    <hyperlink r:id="rId1196" ref="T599"/>
    <hyperlink r:id="rId1197" ref="R600"/>
    <hyperlink r:id="rId1198" ref="T600"/>
    <hyperlink r:id="rId1199" ref="R601"/>
    <hyperlink r:id="rId1200" ref="T601"/>
    <hyperlink r:id="rId1201" ref="R602"/>
    <hyperlink r:id="rId1202" ref="T602"/>
    <hyperlink r:id="rId1203" ref="R603"/>
    <hyperlink r:id="rId1204" ref="T603"/>
    <hyperlink r:id="rId1205" ref="R604"/>
    <hyperlink r:id="rId1206" ref="T604"/>
    <hyperlink r:id="rId1207" ref="R605"/>
    <hyperlink r:id="rId1208" ref="T605"/>
    <hyperlink r:id="rId1209" ref="R606"/>
    <hyperlink r:id="rId1210" ref="T606"/>
    <hyperlink r:id="rId1211" ref="R607"/>
    <hyperlink r:id="rId1212" ref="T607"/>
    <hyperlink r:id="rId1213" ref="R608"/>
    <hyperlink r:id="rId1214" ref="T608"/>
    <hyperlink r:id="rId1215" ref="R609"/>
    <hyperlink r:id="rId1216" ref="T609"/>
    <hyperlink r:id="rId1217" ref="R610"/>
    <hyperlink r:id="rId1218" ref="T610"/>
    <hyperlink r:id="rId1219" ref="R611"/>
    <hyperlink r:id="rId1220" ref="T611"/>
    <hyperlink r:id="rId1221" ref="R612"/>
    <hyperlink r:id="rId1222" ref="T612"/>
    <hyperlink r:id="rId1223" ref="R613"/>
    <hyperlink r:id="rId1224" ref="T613"/>
    <hyperlink r:id="rId1225" ref="R614"/>
    <hyperlink r:id="rId1226" ref="T614"/>
    <hyperlink r:id="rId1227" ref="R615"/>
    <hyperlink r:id="rId1228" ref="T615"/>
    <hyperlink r:id="rId1229" ref="R616"/>
    <hyperlink r:id="rId1230" ref="T616"/>
    <hyperlink r:id="rId1231" ref="R617"/>
    <hyperlink r:id="rId1232" ref="T617"/>
    <hyperlink r:id="rId1233" ref="R618"/>
    <hyperlink r:id="rId1234" ref="T618"/>
    <hyperlink r:id="rId1235" ref="R619"/>
    <hyperlink r:id="rId1236" ref="T619"/>
    <hyperlink r:id="rId1237" ref="R620"/>
    <hyperlink r:id="rId1238" ref="T620"/>
    <hyperlink r:id="rId1239" ref="R621"/>
    <hyperlink r:id="rId1240" ref="T621"/>
    <hyperlink r:id="rId1241" ref="R622"/>
    <hyperlink r:id="rId1242" ref="T622"/>
    <hyperlink r:id="rId1243" ref="R623"/>
    <hyperlink r:id="rId1244" ref="T623"/>
    <hyperlink r:id="rId1245" ref="R624"/>
    <hyperlink r:id="rId1246" ref="T624"/>
    <hyperlink r:id="rId1247" ref="R625"/>
    <hyperlink r:id="rId1248" ref="T625"/>
    <hyperlink r:id="rId1249" ref="R626"/>
    <hyperlink r:id="rId1250" ref="T626"/>
    <hyperlink r:id="rId1251" ref="R627"/>
    <hyperlink r:id="rId1252" ref="T627"/>
    <hyperlink r:id="rId1253" ref="R628"/>
    <hyperlink r:id="rId1254" ref="T628"/>
    <hyperlink r:id="rId1255" ref="R629"/>
    <hyperlink r:id="rId1256" ref="T629"/>
    <hyperlink r:id="rId1257" ref="R630"/>
    <hyperlink r:id="rId1258" ref="T630"/>
    <hyperlink r:id="rId1259" ref="R631"/>
    <hyperlink r:id="rId1260" ref="T631"/>
    <hyperlink r:id="rId1261" ref="R632"/>
    <hyperlink r:id="rId1262" ref="T632"/>
    <hyperlink r:id="rId1263" ref="R633"/>
    <hyperlink r:id="rId1264" ref="T633"/>
    <hyperlink r:id="rId1265" ref="R634"/>
    <hyperlink r:id="rId1266" ref="T634"/>
    <hyperlink r:id="rId1267" ref="R635"/>
    <hyperlink r:id="rId1268" ref="T635"/>
    <hyperlink r:id="rId1269" ref="R636"/>
    <hyperlink r:id="rId1270" ref="T636"/>
    <hyperlink r:id="rId1271" ref="R637"/>
    <hyperlink r:id="rId1272" ref="T637"/>
    <hyperlink r:id="rId1273" ref="R638"/>
    <hyperlink r:id="rId1274" ref="T638"/>
    <hyperlink r:id="rId1275" ref="R639"/>
    <hyperlink r:id="rId1276" ref="T639"/>
    <hyperlink r:id="rId1277" ref="R640"/>
    <hyperlink r:id="rId1278" ref="T640"/>
    <hyperlink r:id="rId1279" ref="R641"/>
    <hyperlink r:id="rId1280" ref="T641"/>
    <hyperlink r:id="rId1281" ref="R642"/>
    <hyperlink r:id="rId1282" ref="T642"/>
    <hyperlink r:id="rId1283" ref="R643"/>
    <hyperlink r:id="rId1284" ref="T643"/>
    <hyperlink r:id="rId1285" ref="R644"/>
    <hyperlink r:id="rId1286" ref="T644"/>
    <hyperlink r:id="rId1287" ref="R645"/>
    <hyperlink r:id="rId1288" ref="T645"/>
    <hyperlink r:id="rId1289" ref="R646"/>
    <hyperlink r:id="rId1290" ref="T646"/>
    <hyperlink r:id="rId1291" ref="R647"/>
    <hyperlink r:id="rId1292" ref="T647"/>
    <hyperlink r:id="rId1293" ref="R648"/>
    <hyperlink r:id="rId1294" ref="T648"/>
    <hyperlink r:id="rId1295" ref="R649"/>
    <hyperlink r:id="rId1296" ref="T649"/>
    <hyperlink r:id="rId1297" ref="R650"/>
    <hyperlink r:id="rId1298" ref="T650"/>
    <hyperlink r:id="rId1299" ref="R651"/>
    <hyperlink r:id="rId1300" ref="T651"/>
    <hyperlink r:id="rId1301" ref="R652"/>
    <hyperlink r:id="rId1302" ref="T652"/>
    <hyperlink r:id="rId1303" ref="R653"/>
    <hyperlink r:id="rId1304" ref="T653"/>
    <hyperlink r:id="rId1305" ref="R654"/>
    <hyperlink r:id="rId1306" ref="T654"/>
    <hyperlink r:id="rId1307" ref="R655"/>
    <hyperlink r:id="rId1308" ref="T655"/>
    <hyperlink r:id="rId1309" ref="R656"/>
    <hyperlink r:id="rId1310" ref="T656"/>
    <hyperlink r:id="rId1311" ref="R657"/>
    <hyperlink r:id="rId1312" ref="T657"/>
    <hyperlink r:id="rId1313" ref="R658"/>
    <hyperlink r:id="rId1314" ref="T658"/>
    <hyperlink r:id="rId1315" ref="R659"/>
    <hyperlink r:id="rId1316" ref="T659"/>
    <hyperlink r:id="rId1317" ref="R660"/>
    <hyperlink r:id="rId1318" ref="T660"/>
    <hyperlink r:id="rId1319" ref="R661"/>
    <hyperlink r:id="rId1320" ref="T661"/>
  </hyperlinks>
  <drawing r:id="rId132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57.14"/>
    <col customWidth="1" min="2" max="2" width="19.43"/>
    <col customWidth="1" min="3" max="25" width="8.71"/>
  </cols>
  <sheetData>
    <row r="1">
      <c r="A1" s="126" t="s">
        <v>5546</v>
      </c>
      <c r="B1" s="126" t="s">
        <v>5547</v>
      </c>
    </row>
    <row r="2">
      <c r="A2" s="127" t="s">
        <v>5548</v>
      </c>
      <c r="B2" s="127" t="s">
        <v>5549</v>
      </c>
    </row>
    <row r="3">
      <c r="A3" s="127" t="s">
        <v>5550</v>
      </c>
      <c r="B3" s="127" t="s">
        <v>5551</v>
      </c>
    </row>
    <row r="4">
      <c r="A4" s="127" t="s">
        <v>5552</v>
      </c>
      <c r="B4" s="127" t="s">
        <v>5553</v>
      </c>
    </row>
    <row r="5">
      <c r="A5" s="127" t="s">
        <v>5554</v>
      </c>
      <c r="B5" s="127" t="s">
        <v>5555</v>
      </c>
    </row>
    <row r="6">
      <c r="A6" s="127" t="s">
        <v>5556</v>
      </c>
      <c r="B6" s="127" t="s">
        <v>354</v>
      </c>
    </row>
    <row r="7">
      <c r="A7" s="127" t="s">
        <v>5557</v>
      </c>
      <c r="B7" s="127" t="s">
        <v>5558</v>
      </c>
    </row>
    <row r="8">
      <c r="A8" s="127" t="s">
        <v>5559</v>
      </c>
      <c r="B8" s="127" t="s">
        <v>5560</v>
      </c>
    </row>
    <row r="9">
      <c r="A9" s="127" t="s">
        <v>5561</v>
      </c>
      <c r="B9" s="127" t="s">
        <v>5562</v>
      </c>
    </row>
    <row r="10">
      <c r="A10" s="127" t="s">
        <v>5563</v>
      </c>
      <c r="B10" s="127" t="s">
        <v>5564</v>
      </c>
    </row>
    <row r="11">
      <c r="A11" s="127" t="s">
        <v>5565</v>
      </c>
      <c r="B11" s="127" t="s">
        <v>5566</v>
      </c>
    </row>
    <row r="12">
      <c r="A12" s="127" t="s">
        <v>5567</v>
      </c>
      <c r="B12" s="127" t="s">
        <v>5568</v>
      </c>
    </row>
    <row r="13">
      <c r="A13" s="127" t="s">
        <v>5569</v>
      </c>
      <c r="B13" s="127" t="s">
        <v>5570</v>
      </c>
    </row>
    <row r="14">
      <c r="A14" s="127" t="s">
        <v>5571</v>
      </c>
      <c r="B14" s="127" t="s">
        <v>605</v>
      </c>
    </row>
    <row r="15">
      <c r="A15" s="127" t="s">
        <v>5572</v>
      </c>
      <c r="B15" s="127" t="s">
        <v>5573</v>
      </c>
    </row>
    <row r="16">
      <c r="A16" s="127" t="s">
        <v>5574</v>
      </c>
      <c r="B16" s="127" t="s">
        <v>5575</v>
      </c>
    </row>
    <row r="17">
      <c r="A17" s="127" t="s">
        <v>5576</v>
      </c>
      <c r="B17" s="127" t="s">
        <v>5577</v>
      </c>
    </row>
    <row r="18">
      <c r="A18" s="127" t="s">
        <v>5578</v>
      </c>
      <c r="B18" s="127" t="s">
        <v>5579</v>
      </c>
    </row>
    <row r="19">
      <c r="A19" s="127" t="s">
        <v>5580</v>
      </c>
      <c r="B19" s="127" t="s">
        <v>5581</v>
      </c>
    </row>
    <row r="20">
      <c r="A20" s="127" t="s">
        <v>5582</v>
      </c>
      <c r="B20" s="127" t="s">
        <v>5583</v>
      </c>
    </row>
    <row r="21" ht="15.75" customHeight="1">
      <c r="A21" s="127" t="s">
        <v>5584</v>
      </c>
      <c r="B21" s="127" t="s">
        <v>5585</v>
      </c>
    </row>
    <row r="22" ht="15.75" customHeight="1">
      <c r="A22" s="127" t="s">
        <v>5586</v>
      </c>
      <c r="B22" s="127" t="s">
        <v>5587</v>
      </c>
    </row>
    <row r="23" ht="15.75" customHeight="1">
      <c r="A23" s="127" t="s">
        <v>5588</v>
      </c>
      <c r="B23" s="127" t="s">
        <v>5589</v>
      </c>
    </row>
    <row r="24" ht="15.75" customHeight="1">
      <c r="A24" s="127" t="s">
        <v>5590</v>
      </c>
      <c r="B24" s="127" t="s">
        <v>5591</v>
      </c>
    </row>
    <row r="25" ht="15.75" customHeight="1">
      <c r="A25" s="127" t="s">
        <v>5592</v>
      </c>
      <c r="B25" s="127" t="s">
        <v>5593</v>
      </c>
    </row>
    <row r="26" ht="15.75" customHeight="1">
      <c r="A26" s="127" t="s">
        <v>5594</v>
      </c>
      <c r="B26" s="127" t="s">
        <v>5595</v>
      </c>
    </row>
    <row r="27" ht="15.75" customHeight="1">
      <c r="A27" s="127" t="s">
        <v>5596</v>
      </c>
      <c r="B27" s="127" t="s">
        <v>5597</v>
      </c>
    </row>
    <row r="28" ht="15.75" customHeight="1">
      <c r="A28" s="127" t="s">
        <v>5598</v>
      </c>
      <c r="B28" s="127" t="s">
        <v>5599</v>
      </c>
    </row>
    <row r="29" ht="15.75" customHeight="1">
      <c r="A29" s="127" t="s">
        <v>5600</v>
      </c>
      <c r="B29" s="127" t="s">
        <v>1018</v>
      </c>
    </row>
    <row r="30" ht="15.75" customHeight="1">
      <c r="A30" s="127" t="s">
        <v>5601</v>
      </c>
      <c r="B30" s="127" t="s">
        <v>5602</v>
      </c>
    </row>
    <row r="31" ht="15.75" customHeight="1">
      <c r="A31" s="127" t="s">
        <v>5603</v>
      </c>
      <c r="B31" s="127" t="s">
        <v>5604</v>
      </c>
    </row>
    <row r="32" ht="15.75" customHeight="1">
      <c r="A32" s="127" t="s">
        <v>5605</v>
      </c>
      <c r="B32" s="127" t="s">
        <v>5606</v>
      </c>
    </row>
    <row r="33" ht="15.75" customHeight="1">
      <c r="A33" s="127" t="s">
        <v>5607</v>
      </c>
      <c r="B33" s="127" t="s">
        <v>5608</v>
      </c>
    </row>
    <row r="34" ht="15.75" customHeight="1">
      <c r="A34" s="127" t="s">
        <v>5609</v>
      </c>
      <c r="B34" s="127" t="s">
        <v>5610</v>
      </c>
    </row>
    <row r="35" ht="15.75" customHeight="1">
      <c r="A35" s="127" t="s">
        <v>5611</v>
      </c>
      <c r="B35" s="127" t="s">
        <v>2463</v>
      </c>
    </row>
    <row r="36" ht="15.75" customHeight="1">
      <c r="A36" s="127" t="s">
        <v>5612</v>
      </c>
      <c r="B36" s="127" t="s">
        <v>5613</v>
      </c>
    </row>
    <row r="37" ht="15.75" customHeight="1">
      <c r="A37" s="127" t="s">
        <v>5614</v>
      </c>
      <c r="B37" s="127" t="s">
        <v>5615</v>
      </c>
    </row>
    <row r="38" ht="15.75" customHeight="1">
      <c r="A38" s="127" t="s">
        <v>5616</v>
      </c>
      <c r="B38" s="127" t="s">
        <v>5617</v>
      </c>
    </row>
    <row r="39" ht="15.75" customHeight="1">
      <c r="A39" s="127" t="s">
        <v>5618</v>
      </c>
      <c r="B39" s="127" t="s">
        <v>5619</v>
      </c>
    </row>
    <row r="40" ht="15.75" customHeight="1">
      <c r="A40" s="127" t="s">
        <v>5620</v>
      </c>
      <c r="B40" s="127" t="s">
        <v>361</v>
      </c>
    </row>
    <row r="41" ht="15.75" customHeight="1">
      <c r="A41" s="127" t="s">
        <v>5621</v>
      </c>
      <c r="B41" s="127" t="s">
        <v>5622</v>
      </c>
    </row>
    <row r="42" ht="15.75" customHeight="1">
      <c r="A42" s="127" t="s">
        <v>5623</v>
      </c>
      <c r="B42" s="127" t="s">
        <v>5624</v>
      </c>
    </row>
    <row r="43" ht="15.75" customHeight="1">
      <c r="A43" s="127" t="s">
        <v>5625</v>
      </c>
      <c r="B43" s="127" t="s">
        <v>5626</v>
      </c>
    </row>
    <row r="44" ht="15.75" customHeight="1">
      <c r="A44" s="127" t="s">
        <v>5627</v>
      </c>
      <c r="B44" s="127" t="s">
        <v>367</v>
      </c>
    </row>
    <row r="45" ht="15.75" customHeight="1">
      <c r="A45" s="127" t="s">
        <v>5628</v>
      </c>
      <c r="B45" s="127" t="s">
        <v>5629</v>
      </c>
    </row>
    <row r="46" ht="15.75" customHeight="1">
      <c r="A46" s="127" t="s">
        <v>5630</v>
      </c>
      <c r="B46" s="127" t="s">
        <v>5631</v>
      </c>
    </row>
    <row r="47" ht="15.75" customHeight="1">
      <c r="A47" s="127" t="s">
        <v>5632</v>
      </c>
      <c r="B47" s="127" t="s">
        <v>5633</v>
      </c>
    </row>
    <row r="48" ht="15.75" customHeight="1">
      <c r="A48" s="127" t="s">
        <v>5634</v>
      </c>
      <c r="B48" s="127" t="s">
        <v>5635</v>
      </c>
    </row>
    <row r="49" ht="15.75" customHeight="1">
      <c r="A49" s="127" t="s">
        <v>5636</v>
      </c>
      <c r="B49" s="127" t="s">
        <v>5637</v>
      </c>
    </row>
    <row r="50" ht="15.75" customHeight="1">
      <c r="A50" s="127" t="s">
        <v>5638</v>
      </c>
      <c r="B50" s="127" t="s">
        <v>5639</v>
      </c>
    </row>
    <row r="51" ht="15.75" customHeight="1">
      <c r="A51" s="127" t="s">
        <v>5640</v>
      </c>
      <c r="B51" s="127" t="s">
        <v>5641</v>
      </c>
    </row>
    <row r="52" ht="15.75" customHeight="1">
      <c r="A52" s="127" t="s">
        <v>5642</v>
      </c>
      <c r="B52" s="127" t="s">
        <v>5643</v>
      </c>
    </row>
    <row r="53" ht="15.75" customHeight="1">
      <c r="A53" s="127" t="s">
        <v>5644</v>
      </c>
      <c r="B53" s="127" t="s">
        <v>5645</v>
      </c>
    </row>
    <row r="54" ht="15.75" customHeight="1">
      <c r="A54" s="127" t="s">
        <v>5646</v>
      </c>
      <c r="B54" s="127" t="s">
        <v>643</v>
      </c>
    </row>
    <row r="55" ht="15.75" customHeight="1">
      <c r="A55" s="127" t="s">
        <v>5647</v>
      </c>
      <c r="B55" s="127" t="s">
        <v>5648</v>
      </c>
    </row>
    <row r="56" ht="15.75" customHeight="1">
      <c r="A56" s="127" t="s">
        <v>5649</v>
      </c>
      <c r="B56" s="127" t="s">
        <v>2467</v>
      </c>
    </row>
    <row r="57" ht="15.75" customHeight="1">
      <c r="A57" s="127" t="s">
        <v>5650</v>
      </c>
      <c r="B57" s="127" t="s">
        <v>5651</v>
      </c>
    </row>
    <row r="58" ht="15.75" customHeight="1">
      <c r="A58" s="127" t="s">
        <v>5652</v>
      </c>
      <c r="B58" s="127" t="s">
        <v>5653</v>
      </c>
    </row>
    <row r="59" ht="15.75" customHeight="1">
      <c r="A59" s="127" t="s">
        <v>5654</v>
      </c>
      <c r="B59" s="127" t="s">
        <v>5655</v>
      </c>
    </row>
    <row r="60" ht="15.75" customHeight="1">
      <c r="A60" s="127" t="s">
        <v>5656</v>
      </c>
      <c r="B60" s="127" t="s">
        <v>5657</v>
      </c>
    </row>
    <row r="61" ht="15.75" customHeight="1">
      <c r="A61" s="127" t="s">
        <v>5658</v>
      </c>
      <c r="B61" s="127" t="s">
        <v>5659</v>
      </c>
    </row>
    <row r="62" ht="15.75" customHeight="1">
      <c r="A62" s="127" t="s">
        <v>5660</v>
      </c>
      <c r="B62" s="127" t="s">
        <v>5661</v>
      </c>
    </row>
    <row r="63" ht="15.75" customHeight="1">
      <c r="A63" s="127" t="s">
        <v>5662</v>
      </c>
      <c r="B63" s="127" t="s">
        <v>5663</v>
      </c>
    </row>
    <row r="64" ht="15.75" customHeight="1">
      <c r="A64" s="127" t="s">
        <v>5664</v>
      </c>
      <c r="B64" s="127" t="s">
        <v>5665</v>
      </c>
    </row>
    <row r="65" ht="15.75" customHeight="1">
      <c r="A65" s="127" t="s">
        <v>5666</v>
      </c>
      <c r="B65" s="127" t="s">
        <v>1863</v>
      </c>
    </row>
    <row r="66" ht="15.75" customHeight="1">
      <c r="A66" s="127" t="s">
        <v>5667</v>
      </c>
      <c r="B66" s="127" t="s">
        <v>5668</v>
      </c>
    </row>
    <row r="67" ht="15.75" customHeight="1">
      <c r="A67" s="127" t="s">
        <v>5669</v>
      </c>
      <c r="B67" s="127" t="s">
        <v>5670</v>
      </c>
    </row>
    <row r="68" ht="15.75" customHeight="1">
      <c r="A68" s="127" t="s">
        <v>5671</v>
      </c>
      <c r="B68" s="127" t="s">
        <v>5672</v>
      </c>
    </row>
    <row r="69" ht="15.75" customHeight="1">
      <c r="A69" s="127" t="s">
        <v>5673</v>
      </c>
      <c r="B69" s="127" t="s">
        <v>5674</v>
      </c>
    </row>
    <row r="70" ht="15.75" customHeight="1">
      <c r="A70" s="127" t="s">
        <v>5675</v>
      </c>
      <c r="B70" s="127" t="s">
        <v>5676</v>
      </c>
    </row>
    <row r="71" ht="15.75" customHeight="1">
      <c r="A71" s="127" t="s">
        <v>5677</v>
      </c>
      <c r="B71" s="127" t="s">
        <v>5678</v>
      </c>
    </row>
    <row r="72" ht="15.75" customHeight="1">
      <c r="A72" s="127" t="s">
        <v>5679</v>
      </c>
      <c r="B72" s="127" t="s">
        <v>5680</v>
      </c>
    </row>
    <row r="73" ht="15.75" customHeight="1">
      <c r="A73" s="127" t="s">
        <v>5681</v>
      </c>
      <c r="B73" s="127" t="s">
        <v>5682</v>
      </c>
    </row>
    <row r="74" ht="15.75" customHeight="1">
      <c r="A74" s="127" t="s">
        <v>5683</v>
      </c>
      <c r="B74" s="127" t="s">
        <v>5684</v>
      </c>
    </row>
    <row r="75" ht="15.75" customHeight="1">
      <c r="A75" s="127" t="s">
        <v>5685</v>
      </c>
      <c r="B75" s="127" t="s">
        <v>5686</v>
      </c>
    </row>
    <row r="76" ht="15.75" customHeight="1">
      <c r="A76" s="127" t="s">
        <v>5687</v>
      </c>
      <c r="B76" s="127" t="s">
        <v>5688</v>
      </c>
    </row>
    <row r="77" ht="15.75" customHeight="1">
      <c r="A77" s="127" t="s">
        <v>5689</v>
      </c>
      <c r="B77" s="127" t="s">
        <v>5690</v>
      </c>
    </row>
    <row r="78" ht="15.75" customHeight="1">
      <c r="A78" s="127" t="s">
        <v>5691</v>
      </c>
      <c r="B78" s="127" t="s">
        <v>5692</v>
      </c>
    </row>
    <row r="79" ht="15.75" customHeight="1">
      <c r="A79" s="127" t="s">
        <v>5693</v>
      </c>
      <c r="B79" s="127" t="s">
        <v>5694</v>
      </c>
    </row>
    <row r="80" ht="15.75" customHeight="1">
      <c r="A80" s="127" t="s">
        <v>3648</v>
      </c>
      <c r="B80" s="127" t="s">
        <v>3645</v>
      </c>
    </row>
    <row r="81" ht="15.75" customHeight="1">
      <c r="A81" s="127" t="s">
        <v>5695</v>
      </c>
      <c r="B81" s="127" t="s">
        <v>5696</v>
      </c>
    </row>
    <row r="82" ht="15.75" customHeight="1">
      <c r="A82" s="127" t="s">
        <v>5697</v>
      </c>
      <c r="B82" s="127" t="s">
        <v>5698</v>
      </c>
    </row>
    <row r="83" ht="15.75" customHeight="1">
      <c r="A83" s="127" t="s">
        <v>5699</v>
      </c>
      <c r="B83" s="127" t="s">
        <v>5700</v>
      </c>
    </row>
    <row r="84" ht="15.75" customHeight="1">
      <c r="A84" s="127" t="s">
        <v>5701</v>
      </c>
      <c r="B84" s="127" t="s">
        <v>452</v>
      </c>
    </row>
    <row r="85" ht="15.75" customHeight="1">
      <c r="A85" s="127" t="s">
        <v>5702</v>
      </c>
      <c r="B85" s="127" t="s">
        <v>5703</v>
      </c>
    </row>
    <row r="86" ht="15.75" customHeight="1">
      <c r="A86" s="127" t="s">
        <v>5704</v>
      </c>
      <c r="B86" s="127" t="s">
        <v>5705</v>
      </c>
    </row>
    <row r="87" ht="15.75" customHeight="1">
      <c r="A87" s="127" t="s">
        <v>5706</v>
      </c>
      <c r="B87" s="127" t="s">
        <v>5707</v>
      </c>
    </row>
    <row r="88" ht="15.75" customHeight="1">
      <c r="A88" s="127" t="s">
        <v>5708</v>
      </c>
      <c r="B88" s="127" t="s">
        <v>5709</v>
      </c>
    </row>
    <row r="89" ht="15.75" customHeight="1">
      <c r="A89" s="127" t="s">
        <v>5710</v>
      </c>
      <c r="B89" s="127" t="s">
        <v>5711</v>
      </c>
    </row>
    <row r="90" ht="15.75" customHeight="1">
      <c r="A90" s="127" t="s">
        <v>5712</v>
      </c>
      <c r="B90" s="127" t="s">
        <v>5713</v>
      </c>
    </row>
    <row r="91" ht="15.75" customHeight="1">
      <c r="A91" s="127" t="s">
        <v>3559</v>
      </c>
      <c r="B91" s="127" t="s">
        <v>926</v>
      </c>
    </row>
    <row r="92" ht="15.75" customHeight="1">
      <c r="A92" s="127" t="s">
        <v>5714</v>
      </c>
      <c r="B92" s="127" t="s">
        <v>5715</v>
      </c>
    </row>
    <row r="93" ht="15.75" customHeight="1">
      <c r="A93" s="127" t="s">
        <v>5716</v>
      </c>
      <c r="B93" s="127" t="s">
        <v>5717</v>
      </c>
    </row>
    <row r="94" ht="15.75" customHeight="1">
      <c r="A94" s="127" t="s">
        <v>5718</v>
      </c>
      <c r="B94" s="127" t="s">
        <v>5719</v>
      </c>
    </row>
    <row r="95" ht="15.75" customHeight="1">
      <c r="A95" s="127" t="s">
        <v>3577</v>
      </c>
      <c r="B95" s="127" t="s">
        <v>1111</v>
      </c>
    </row>
    <row r="96" ht="15.75" customHeight="1">
      <c r="A96" s="127" t="s">
        <v>5720</v>
      </c>
      <c r="B96" s="127" t="s">
        <v>2972</v>
      </c>
    </row>
    <row r="97" ht="15.75" customHeight="1">
      <c r="A97" s="127" t="s">
        <v>3627</v>
      </c>
      <c r="B97" s="127" t="s">
        <v>3625</v>
      </c>
    </row>
    <row r="98" ht="15.75" customHeight="1">
      <c r="A98" s="127" t="s">
        <v>3167</v>
      </c>
      <c r="B98" s="127" t="s">
        <v>1021</v>
      </c>
    </row>
    <row r="99" ht="15.75" customHeight="1">
      <c r="A99" s="127" t="s">
        <v>5721</v>
      </c>
      <c r="B99" s="127" t="s">
        <v>5722</v>
      </c>
    </row>
    <row r="100" ht="15.75" customHeight="1">
      <c r="A100" s="127" t="s">
        <v>5723</v>
      </c>
      <c r="B100" s="127" t="s">
        <v>5724</v>
      </c>
    </row>
    <row r="101" ht="15.75" customHeight="1">
      <c r="A101" s="127" t="s">
        <v>3203</v>
      </c>
      <c r="B101" s="127" t="s">
        <v>334</v>
      </c>
    </row>
    <row r="102" ht="15.75" customHeight="1">
      <c r="A102" s="127" t="s">
        <v>3544</v>
      </c>
      <c r="B102" s="127" t="s">
        <v>1361</v>
      </c>
    </row>
    <row r="103" ht="15.75" customHeight="1">
      <c r="A103" s="127" t="s">
        <v>3554</v>
      </c>
      <c r="B103" s="127" t="s">
        <v>1513</v>
      </c>
    </row>
    <row r="104" ht="15.75" customHeight="1">
      <c r="A104" s="127" t="s">
        <v>5725</v>
      </c>
      <c r="B104" s="127" t="s">
        <v>5726</v>
      </c>
    </row>
    <row r="105" ht="15.75" customHeight="1">
      <c r="A105" s="127" t="s">
        <v>5727</v>
      </c>
      <c r="B105" s="127" t="s">
        <v>5728</v>
      </c>
    </row>
    <row r="106" ht="15.75" customHeight="1">
      <c r="A106" s="127" t="s">
        <v>5729</v>
      </c>
      <c r="B106" s="127" t="s">
        <v>5730</v>
      </c>
    </row>
    <row r="107" ht="15.75" customHeight="1">
      <c r="A107" s="127" t="s">
        <v>5731</v>
      </c>
      <c r="B107" s="127" t="s">
        <v>5732</v>
      </c>
    </row>
    <row r="108" ht="15.75" customHeight="1">
      <c r="A108" s="127" t="s">
        <v>5733</v>
      </c>
      <c r="B108" s="127" t="s">
        <v>5734</v>
      </c>
    </row>
    <row r="109" ht="15.75" customHeight="1">
      <c r="A109" s="127" t="s">
        <v>3632</v>
      </c>
      <c r="B109" s="127" t="s">
        <v>3629</v>
      </c>
    </row>
    <row r="110" ht="15.75" customHeight="1">
      <c r="A110" s="127" t="s">
        <v>5735</v>
      </c>
      <c r="B110" s="127" t="s">
        <v>5736</v>
      </c>
    </row>
    <row r="111" ht="15.75" customHeight="1">
      <c r="A111" s="127" t="s">
        <v>5737</v>
      </c>
      <c r="B111" s="127" t="s">
        <v>5738</v>
      </c>
    </row>
    <row r="112" ht="15.75" customHeight="1">
      <c r="A112" s="127" t="s">
        <v>5739</v>
      </c>
      <c r="B112" s="127" t="s">
        <v>5740</v>
      </c>
    </row>
    <row r="113" ht="15.75" customHeight="1">
      <c r="A113" s="127" t="s">
        <v>5741</v>
      </c>
      <c r="B113" s="127" t="s">
        <v>783</v>
      </c>
    </row>
    <row r="114" ht="15.75" customHeight="1">
      <c r="A114" s="127" t="s">
        <v>5742</v>
      </c>
      <c r="B114" s="127" t="s">
        <v>5743</v>
      </c>
    </row>
    <row r="115" ht="15.75" customHeight="1">
      <c r="A115" s="127" t="s">
        <v>3250</v>
      </c>
      <c r="B115" s="127" t="s">
        <v>395</v>
      </c>
    </row>
    <row r="116" ht="15.75" customHeight="1">
      <c r="A116" s="127" t="s">
        <v>5744</v>
      </c>
      <c r="B116" s="127" t="s">
        <v>5745</v>
      </c>
    </row>
    <row r="117" ht="15.75" customHeight="1">
      <c r="A117" s="127" t="s">
        <v>5746</v>
      </c>
      <c r="B117" s="127" t="s">
        <v>220</v>
      </c>
    </row>
    <row r="118" ht="15.75" customHeight="1">
      <c r="A118" s="127" t="s">
        <v>5747</v>
      </c>
      <c r="B118" s="127" t="s">
        <v>87</v>
      </c>
    </row>
    <row r="119" ht="15.75" customHeight="1">
      <c r="A119" s="127" t="s">
        <v>5748</v>
      </c>
      <c r="B119" s="127" t="s">
        <v>5749</v>
      </c>
    </row>
    <row r="120" ht="15.75" customHeight="1">
      <c r="A120" s="127" t="s">
        <v>5750</v>
      </c>
      <c r="B120" s="127" t="s">
        <v>5751</v>
      </c>
    </row>
    <row r="121" ht="15.75" customHeight="1">
      <c r="A121" s="127" t="s">
        <v>5752</v>
      </c>
      <c r="B121" s="127" t="s">
        <v>5753</v>
      </c>
    </row>
    <row r="122" ht="15.75" customHeight="1">
      <c r="A122" s="127" t="s">
        <v>5754</v>
      </c>
      <c r="B122" s="127" t="s">
        <v>5755</v>
      </c>
    </row>
    <row r="123" ht="15.75" customHeight="1">
      <c r="A123" s="127" t="s">
        <v>5756</v>
      </c>
      <c r="B123" s="127" t="s">
        <v>5757</v>
      </c>
    </row>
    <row r="124" ht="15.75" customHeight="1">
      <c r="A124" s="127" t="s">
        <v>5758</v>
      </c>
      <c r="B124" s="127" t="s">
        <v>5759</v>
      </c>
    </row>
    <row r="125" ht="15.75" customHeight="1">
      <c r="A125" s="127" t="s">
        <v>1094</v>
      </c>
      <c r="B125" s="127" t="s">
        <v>198</v>
      </c>
    </row>
    <row r="126" ht="15.75" customHeight="1">
      <c r="A126" s="127" t="s">
        <v>5760</v>
      </c>
      <c r="B126" s="127" t="s">
        <v>5761</v>
      </c>
    </row>
    <row r="127" ht="15.75" customHeight="1">
      <c r="A127" s="127" t="s">
        <v>5762</v>
      </c>
      <c r="B127" s="127" t="s">
        <v>2235</v>
      </c>
    </row>
    <row r="128" ht="15.75" customHeight="1">
      <c r="A128" s="127" t="s">
        <v>5763</v>
      </c>
      <c r="B128" s="127" t="s">
        <v>5764</v>
      </c>
    </row>
    <row r="129" ht="15.75" customHeight="1">
      <c r="A129" s="127" t="s">
        <v>735</v>
      </c>
      <c r="B129" s="127" t="s">
        <v>736</v>
      </c>
    </row>
    <row r="130" ht="15.75" customHeight="1">
      <c r="A130" s="127" t="s">
        <v>5765</v>
      </c>
      <c r="B130" s="127" t="s">
        <v>1250</v>
      </c>
    </row>
    <row r="131" ht="15.75" customHeight="1">
      <c r="A131" s="127" t="s">
        <v>5766</v>
      </c>
      <c r="B131" s="127" t="s">
        <v>1130</v>
      </c>
    </row>
    <row r="132" ht="15.75" customHeight="1">
      <c r="A132" s="127" t="s">
        <v>5767</v>
      </c>
      <c r="B132" s="127" t="s">
        <v>5768</v>
      </c>
    </row>
    <row r="133" ht="15.75" customHeight="1">
      <c r="A133" s="127" t="s">
        <v>5769</v>
      </c>
      <c r="B133" s="127" t="s">
        <v>5770</v>
      </c>
    </row>
    <row r="134" ht="15.75" customHeight="1">
      <c r="A134" s="127" t="s">
        <v>5771</v>
      </c>
      <c r="B134" s="127" t="s">
        <v>5772</v>
      </c>
    </row>
    <row r="135" ht="15.75" customHeight="1">
      <c r="A135" s="127" t="s">
        <v>5773</v>
      </c>
      <c r="B135" s="127" t="s">
        <v>5774</v>
      </c>
    </row>
    <row r="136" ht="15.75" customHeight="1">
      <c r="A136" s="127" t="s">
        <v>5775</v>
      </c>
      <c r="B136" s="127" t="s">
        <v>791</v>
      </c>
    </row>
    <row r="137" ht="15.75" customHeight="1">
      <c r="A137" s="127" t="s">
        <v>5776</v>
      </c>
      <c r="B137" s="127" t="s">
        <v>5777</v>
      </c>
    </row>
    <row r="138" ht="15.75" customHeight="1">
      <c r="A138" s="127" t="s">
        <v>5778</v>
      </c>
      <c r="B138" s="127" t="s">
        <v>5779</v>
      </c>
    </row>
    <row r="139" ht="15.75" customHeight="1">
      <c r="A139" s="127" t="s">
        <v>5780</v>
      </c>
      <c r="B139" s="127" t="s">
        <v>5781</v>
      </c>
    </row>
    <row r="140" ht="15.75" customHeight="1">
      <c r="A140" s="127" t="s">
        <v>5782</v>
      </c>
      <c r="B140" s="127" t="s">
        <v>1764</v>
      </c>
    </row>
    <row r="141" ht="15.75" customHeight="1">
      <c r="A141" s="127" t="s">
        <v>5783</v>
      </c>
      <c r="B141" s="127" t="s">
        <v>5784</v>
      </c>
    </row>
    <row r="142" ht="15.75" customHeight="1">
      <c r="A142" s="127" t="s">
        <v>5785</v>
      </c>
      <c r="B142" s="127" t="s">
        <v>5786</v>
      </c>
    </row>
    <row r="143" ht="15.75" customHeight="1">
      <c r="A143" s="127" t="s">
        <v>5787</v>
      </c>
      <c r="B143" s="127" t="s">
        <v>5788</v>
      </c>
    </row>
    <row r="144" ht="15.75" customHeight="1">
      <c r="A144" s="127" t="s">
        <v>5789</v>
      </c>
      <c r="B144" s="127" t="s">
        <v>5790</v>
      </c>
    </row>
    <row r="145" ht="15.75" customHeight="1">
      <c r="A145" s="127" t="s">
        <v>5791</v>
      </c>
      <c r="B145" s="127" t="s">
        <v>5792</v>
      </c>
    </row>
    <row r="146" ht="15.75" customHeight="1">
      <c r="A146" s="127" t="s">
        <v>5793</v>
      </c>
      <c r="B146" s="127" t="s">
        <v>5794</v>
      </c>
    </row>
    <row r="147" ht="15.75" customHeight="1">
      <c r="A147" s="127" t="s">
        <v>5795</v>
      </c>
      <c r="B147" s="127" t="s">
        <v>5796</v>
      </c>
    </row>
    <row r="148" ht="15.75" customHeight="1">
      <c r="A148" s="127" t="s">
        <v>5797</v>
      </c>
      <c r="B148" s="127" t="s">
        <v>5798</v>
      </c>
    </row>
    <row r="149" ht="15.75" customHeight="1">
      <c r="A149" s="127" t="s">
        <v>5799</v>
      </c>
      <c r="B149" s="127" t="s">
        <v>5800</v>
      </c>
    </row>
    <row r="150" ht="15.75" customHeight="1">
      <c r="A150" s="127" t="s">
        <v>5801</v>
      </c>
      <c r="B150" s="127" t="s">
        <v>5802</v>
      </c>
    </row>
    <row r="151" ht="15.75" customHeight="1">
      <c r="A151" s="127" t="s">
        <v>5803</v>
      </c>
      <c r="B151" s="127" t="s">
        <v>5804</v>
      </c>
    </row>
    <row r="152" ht="15.75" customHeight="1">
      <c r="A152" s="127" t="s">
        <v>5805</v>
      </c>
      <c r="B152" s="127" t="s">
        <v>5806</v>
      </c>
    </row>
    <row r="153" ht="15.75" customHeight="1">
      <c r="A153" s="127" t="s">
        <v>5807</v>
      </c>
      <c r="B153" s="127" t="s">
        <v>5808</v>
      </c>
    </row>
    <row r="154" ht="15.75" customHeight="1">
      <c r="A154" s="127" t="s">
        <v>5809</v>
      </c>
      <c r="B154" s="127" t="s">
        <v>5810</v>
      </c>
    </row>
    <row r="155" ht="15.75" customHeight="1">
      <c r="A155" s="127" t="s">
        <v>5811</v>
      </c>
      <c r="B155" s="127" t="s">
        <v>5812</v>
      </c>
    </row>
    <row r="156" ht="15.75" customHeight="1">
      <c r="A156" s="127" t="s">
        <v>5813</v>
      </c>
      <c r="B156" s="127" t="s">
        <v>5814</v>
      </c>
    </row>
    <row r="157" ht="15.75" customHeight="1">
      <c r="A157" s="127" t="s">
        <v>5815</v>
      </c>
      <c r="B157" s="127" t="s">
        <v>5816</v>
      </c>
    </row>
    <row r="158" ht="15.75" customHeight="1">
      <c r="A158" s="127" t="s">
        <v>5817</v>
      </c>
      <c r="B158" s="127" t="s">
        <v>5818</v>
      </c>
    </row>
    <row r="159" ht="15.75" customHeight="1">
      <c r="A159" s="127" t="s">
        <v>5819</v>
      </c>
      <c r="B159" s="127" t="s">
        <v>5820</v>
      </c>
    </row>
    <row r="160" ht="15.75" customHeight="1">
      <c r="A160" s="127" t="s">
        <v>5821</v>
      </c>
      <c r="B160" s="127" t="s">
        <v>5822</v>
      </c>
    </row>
    <row r="161" ht="15.75" customHeight="1">
      <c r="A161" s="127" t="s">
        <v>5823</v>
      </c>
      <c r="B161" s="127" t="s">
        <v>5824</v>
      </c>
    </row>
    <row r="162" ht="15.75" customHeight="1">
      <c r="A162" s="127" t="s">
        <v>5825</v>
      </c>
      <c r="B162" s="127" t="s">
        <v>5826</v>
      </c>
    </row>
    <row r="163" ht="15.75" customHeight="1">
      <c r="A163" s="127" t="s">
        <v>5827</v>
      </c>
      <c r="B163" s="127" t="s">
        <v>5828</v>
      </c>
    </row>
    <row r="164" ht="15.75" customHeight="1">
      <c r="A164" s="127" t="s">
        <v>5829</v>
      </c>
      <c r="B164" s="127" t="s">
        <v>877</v>
      </c>
    </row>
    <row r="165" ht="15.75" customHeight="1">
      <c r="A165" s="127" t="s">
        <v>5830</v>
      </c>
      <c r="B165" s="127" t="s">
        <v>5831</v>
      </c>
    </row>
    <row r="166" ht="15.75" customHeight="1">
      <c r="A166" s="127" t="s">
        <v>5832</v>
      </c>
      <c r="B166" s="127" t="s">
        <v>5833</v>
      </c>
    </row>
    <row r="167" ht="15.75" customHeight="1">
      <c r="A167" s="127" t="s">
        <v>5834</v>
      </c>
      <c r="B167" s="127" t="s">
        <v>5835</v>
      </c>
    </row>
    <row r="168" ht="15.75" customHeight="1">
      <c r="A168" s="127" t="s">
        <v>5836</v>
      </c>
      <c r="B168" s="127" t="s">
        <v>5837</v>
      </c>
    </row>
    <row r="169" ht="15.75" customHeight="1">
      <c r="A169" s="127" t="s">
        <v>5838</v>
      </c>
      <c r="B169" s="127" t="s">
        <v>5839</v>
      </c>
    </row>
    <row r="170" ht="15.75" customHeight="1">
      <c r="A170" s="127" t="s">
        <v>5840</v>
      </c>
      <c r="B170" s="127" t="s">
        <v>5841</v>
      </c>
    </row>
    <row r="171" ht="15.75" customHeight="1">
      <c r="A171" s="127" t="s">
        <v>5842</v>
      </c>
      <c r="B171" s="127" t="s">
        <v>5843</v>
      </c>
    </row>
    <row r="172" ht="15.75" customHeight="1">
      <c r="A172" s="127" t="s">
        <v>5844</v>
      </c>
      <c r="B172" s="127" t="s">
        <v>470</v>
      </c>
    </row>
    <row r="173" ht="15.75" customHeight="1">
      <c r="A173" s="127" t="s">
        <v>5845</v>
      </c>
      <c r="B173" s="127" t="s">
        <v>5846</v>
      </c>
    </row>
    <row r="174" ht="15.75" customHeight="1">
      <c r="A174" s="127" t="s">
        <v>5847</v>
      </c>
      <c r="B174" s="127" t="s">
        <v>5848</v>
      </c>
    </row>
    <row r="175" ht="15.75" customHeight="1">
      <c r="A175" s="127" t="s">
        <v>5849</v>
      </c>
      <c r="B175" s="127" t="s">
        <v>5850</v>
      </c>
    </row>
    <row r="176" ht="15.75" customHeight="1">
      <c r="A176" s="127" t="s">
        <v>5851</v>
      </c>
      <c r="B176" s="127" t="s">
        <v>5852</v>
      </c>
    </row>
    <row r="177" ht="15.75" customHeight="1">
      <c r="A177" s="127" t="s">
        <v>5853</v>
      </c>
      <c r="B177" s="127" t="s">
        <v>482</v>
      </c>
    </row>
    <row r="178" ht="15.75" customHeight="1">
      <c r="A178" s="127" t="s">
        <v>5854</v>
      </c>
      <c r="B178" s="127" t="s">
        <v>5855</v>
      </c>
    </row>
    <row r="179" ht="15.75" customHeight="1">
      <c r="A179" s="127" t="s">
        <v>5856</v>
      </c>
      <c r="B179" s="127" t="s">
        <v>5857</v>
      </c>
    </row>
    <row r="180" ht="15.75" customHeight="1">
      <c r="A180" s="127" t="s">
        <v>5858</v>
      </c>
      <c r="B180" s="127" t="s">
        <v>5859</v>
      </c>
    </row>
    <row r="181" ht="15.75" customHeight="1">
      <c r="A181" s="127" t="s">
        <v>5860</v>
      </c>
      <c r="B181" s="127" t="s">
        <v>5861</v>
      </c>
    </row>
    <row r="182" ht="15.75" customHeight="1">
      <c r="A182" s="127" t="s">
        <v>5862</v>
      </c>
      <c r="B182" s="127" t="s">
        <v>5863</v>
      </c>
    </row>
    <row r="183" ht="15.75" customHeight="1">
      <c r="A183" s="127" t="s">
        <v>5864</v>
      </c>
      <c r="B183" s="127"/>
    </row>
    <row r="184" ht="15.75" customHeight="1">
      <c r="A184" s="127" t="s">
        <v>5865</v>
      </c>
      <c r="B184" s="127" t="s">
        <v>5866</v>
      </c>
    </row>
    <row r="185" ht="15.75" customHeight="1">
      <c r="A185" s="127" t="s">
        <v>5867</v>
      </c>
      <c r="B185" s="127" t="s">
        <v>5868</v>
      </c>
    </row>
    <row r="186" ht="15.75" customHeight="1">
      <c r="A186" s="127" t="s">
        <v>5869</v>
      </c>
      <c r="B186" s="127" t="s">
        <v>5870</v>
      </c>
    </row>
    <row r="187" ht="15.75" customHeight="1">
      <c r="A187" s="127" t="s">
        <v>5871</v>
      </c>
      <c r="B187" s="127" t="s">
        <v>512</v>
      </c>
    </row>
    <row r="188" ht="15.75" customHeight="1">
      <c r="A188" s="127" t="s">
        <v>5872</v>
      </c>
      <c r="B188" s="127" t="s">
        <v>5873</v>
      </c>
    </row>
    <row r="189" ht="15.75" customHeight="1">
      <c r="A189" s="127" t="s">
        <v>5874</v>
      </c>
      <c r="B189" s="127" t="s">
        <v>5875</v>
      </c>
    </row>
    <row r="190" ht="15.75" customHeight="1">
      <c r="A190" s="127" t="s">
        <v>5876</v>
      </c>
      <c r="B190" s="127" t="s">
        <v>5877</v>
      </c>
    </row>
    <row r="191" ht="15.75" customHeight="1">
      <c r="A191" s="127" t="s">
        <v>5878</v>
      </c>
      <c r="B191" s="127" t="s">
        <v>5879</v>
      </c>
    </row>
    <row r="192" ht="15.75" customHeight="1">
      <c r="A192" s="127" t="s">
        <v>5880</v>
      </c>
      <c r="B192" s="127" t="s">
        <v>5881</v>
      </c>
    </row>
    <row r="193" ht="15.75" customHeight="1">
      <c r="A193" s="127" t="s">
        <v>5882</v>
      </c>
      <c r="B193" s="127" t="s">
        <v>5883</v>
      </c>
    </row>
    <row r="194" ht="15.75" customHeight="1">
      <c r="A194" s="127" t="s">
        <v>5884</v>
      </c>
      <c r="B194" s="127" t="s">
        <v>5885</v>
      </c>
    </row>
    <row r="195" ht="15.75" customHeight="1">
      <c r="A195" s="127" t="s">
        <v>5886</v>
      </c>
      <c r="B195" s="127" t="s">
        <v>5887</v>
      </c>
    </row>
    <row r="196" ht="15.75" customHeight="1">
      <c r="A196" s="127" t="s">
        <v>5888</v>
      </c>
      <c r="B196" s="127" t="s">
        <v>5889</v>
      </c>
    </row>
    <row r="197" ht="15.75" customHeight="1">
      <c r="A197" s="127" t="s">
        <v>5890</v>
      </c>
      <c r="B197" s="127" t="s">
        <v>5891</v>
      </c>
    </row>
    <row r="198" ht="15.75" customHeight="1">
      <c r="A198" s="127" t="s">
        <v>5892</v>
      </c>
      <c r="B198" s="127" t="s">
        <v>5893</v>
      </c>
    </row>
    <row r="199" ht="15.75" customHeight="1">
      <c r="A199" s="127" t="s">
        <v>5894</v>
      </c>
      <c r="B199" s="127" t="s">
        <v>5895</v>
      </c>
    </row>
    <row r="200" ht="15.75" customHeight="1">
      <c r="A200" s="127" t="s">
        <v>5896</v>
      </c>
      <c r="B200" s="127" t="s">
        <v>5897</v>
      </c>
    </row>
    <row r="201" ht="15.75" customHeight="1">
      <c r="A201" s="127" t="s">
        <v>5898</v>
      </c>
      <c r="B201" s="127" t="s">
        <v>5899</v>
      </c>
    </row>
    <row r="202" ht="15.75" customHeight="1">
      <c r="A202" s="127" t="s">
        <v>5900</v>
      </c>
      <c r="B202" s="127" t="s">
        <v>5901</v>
      </c>
    </row>
    <row r="203" ht="15.75" customHeight="1">
      <c r="A203" s="127" t="s">
        <v>5902</v>
      </c>
      <c r="B203" s="127" t="s">
        <v>5903</v>
      </c>
    </row>
    <row r="204" ht="15.75" customHeight="1">
      <c r="A204" s="127" t="s">
        <v>5904</v>
      </c>
      <c r="B204" s="127" t="s">
        <v>237</v>
      </c>
    </row>
    <row r="205" ht="15.75" customHeight="1">
      <c r="A205" s="127" t="s">
        <v>5905</v>
      </c>
      <c r="B205" s="127" t="s">
        <v>5906</v>
      </c>
    </row>
    <row r="206" ht="15.75" customHeight="1">
      <c r="A206" s="127" t="s">
        <v>5907</v>
      </c>
      <c r="B206" s="127" t="s">
        <v>5908</v>
      </c>
    </row>
    <row r="207" ht="15.75" customHeight="1">
      <c r="A207" s="127" t="s">
        <v>5909</v>
      </c>
      <c r="B207" s="127" t="s">
        <v>5910</v>
      </c>
    </row>
    <row r="208" ht="15.75" customHeight="1">
      <c r="A208" s="127" t="s">
        <v>5911</v>
      </c>
      <c r="B208" s="127" t="s">
        <v>203</v>
      </c>
    </row>
    <row r="209" ht="15.75" customHeight="1">
      <c r="A209" s="127" t="s">
        <v>5912</v>
      </c>
      <c r="B209" s="127" t="s">
        <v>5913</v>
      </c>
    </row>
    <row r="210" ht="15.75" customHeight="1">
      <c r="A210" s="127" t="s">
        <v>5914</v>
      </c>
      <c r="B210" s="127" t="s">
        <v>5915</v>
      </c>
    </row>
    <row r="211" ht="15.75" customHeight="1">
      <c r="A211" s="127" t="s">
        <v>5916</v>
      </c>
      <c r="B211" s="127" t="s">
        <v>5917</v>
      </c>
    </row>
    <row r="212" ht="15.75" customHeight="1">
      <c r="A212" s="127" t="s">
        <v>5918</v>
      </c>
      <c r="B212" s="127" t="s">
        <v>349</v>
      </c>
    </row>
    <row r="213" ht="15.75" customHeight="1">
      <c r="A213" s="127" t="s">
        <v>5919</v>
      </c>
      <c r="B213" s="127" t="s">
        <v>5920</v>
      </c>
    </row>
    <row r="214" ht="15.75" customHeight="1">
      <c r="A214" s="127" t="s">
        <v>5921</v>
      </c>
      <c r="B214" s="127" t="s">
        <v>453</v>
      </c>
    </row>
    <row r="215" ht="15.75" customHeight="1">
      <c r="A215" s="127" t="s">
        <v>5922</v>
      </c>
      <c r="B215" s="127" t="s">
        <v>382</v>
      </c>
    </row>
    <row r="216" ht="15.75" customHeight="1">
      <c r="A216" s="127" t="s">
        <v>5923</v>
      </c>
      <c r="B216" s="127" t="s">
        <v>375</v>
      </c>
    </row>
    <row r="217" ht="15.75" customHeight="1">
      <c r="A217" s="127" t="s">
        <v>5924</v>
      </c>
      <c r="B217" s="127" t="s">
        <v>5925</v>
      </c>
    </row>
    <row r="218" ht="15.75" customHeight="1">
      <c r="A218" s="127" t="s">
        <v>5926</v>
      </c>
      <c r="B218" s="127" t="s">
        <v>5927</v>
      </c>
    </row>
    <row r="219" ht="15.75" customHeight="1">
      <c r="A219" s="127" t="s">
        <v>5928</v>
      </c>
      <c r="B219" s="127" t="s">
        <v>5929</v>
      </c>
    </row>
    <row r="220" ht="15.75" customHeight="1">
      <c r="A220" s="127" t="s">
        <v>5930</v>
      </c>
      <c r="B220" s="127" t="s">
        <v>385</v>
      </c>
    </row>
    <row r="221" ht="15.75" customHeight="1">
      <c r="A221" s="127" t="s">
        <v>5931</v>
      </c>
      <c r="B221" s="127" t="s">
        <v>422</v>
      </c>
    </row>
    <row r="222" ht="15.75" customHeight="1">
      <c r="A222" s="127" t="s">
        <v>741</v>
      </c>
      <c r="B222" s="127" t="s">
        <v>340</v>
      </c>
    </row>
    <row r="223" ht="15.75" customHeight="1">
      <c r="A223" s="127" t="s">
        <v>5932</v>
      </c>
      <c r="B223" s="127" t="s">
        <v>5933</v>
      </c>
    </row>
    <row r="224" ht="15.75" customHeight="1">
      <c r="A224" s="127" t="s">
        <v>5934</v>
      </c>
      <c r="B224" s="127" t="s">
        <v>5935</v>
      </c>
    </row>
    <row r="225" ht="15.75" customHeight="1">
      <c r="A225" s="127" t="s">
        <v>5936</v>
      </c>
      <c r="B225" s="127" t="s">
        <v>5937</v>
      </c>
    </row>
    <row r="226" ht="15.75" customHeight="1">
      <c r="A226" s="127" t="s">
        <v>5938</v>
      </c>
      <c r="B226" s="127" t="s">
        <v>5939</v>
      </c>
    </row>
    <row r="227" ht="15.75" customHeight="1">
      <c r="A227" s="127" t="s">
        <v>5940</v>
      </c>
      <c r="B227" s="127" t="s">
        <v>5941</v>
      </c>
    </row>
    <row r="228" ht="15.75" customHeight="1">
      <c r="A228" s="127" t="s">
        <v>5942</v>
      </c>
      <c r="B228" s="127" t="s">
        <v>5943</v>
      </c>
    </row>
    <row r="229" ht="15.75" customHeight="1">
      <c r="A229" s="127" t="s">
        <v>5944</v>
      </c>
      <c r="B229" s="127" t="s">
        <v>5945</v>
      </c>
    </row>
    <row r="230" ht="15.75" customHeight="1">
      <c r="A230" s="127" t="s">
        <v>5946</v>
      </c>
      <c r="B230" s="127" t="s">
        <v>5947</v>
      </c>
    </row>
    <row r="231" ht="15.75" customHeight="1">
      <c r="A231" s="127" t="s">
        <v>5948</v>
      </c>
      <c r="B231" s="127" t="s">
        <v>5949</v>
      </c>
    </row>
    <row r="232" ht="15.75" customHeight="1">
      <c r="A232" s="127" t="s">
        <v>5950</v>
      </c>
      <c r="B232" s="127" t="s">
        <v>5951</v>
      </c>
    </row>
    <row r="233" ht="15.75" customHeight="1">
      <c r="A233" s="127" t="s">
        <v>5952</v>
      </c>
      <c r="B233" s="127" t="s">
        <v>5953</v>
      </c>
    </row>
    <row r="234" ht="15.75" customHeight="1">
      <c r="A234" s="127" t="s">
        <v>5954</v>
      </c>
      <c r="B234" s="127" t="s">
        <v>5955</v>
      </c>
    </row>
    <row r="235" ht="15.75" customHeight="1">
      <c r="A235" s="127" t="s">
        <v>5956</v>
      </c>
      <c r="B235" s="127" t="s">
        <v>5957</v>
      </c>
    </row>
    <row r="236" ht="15.75" customHeight="1">
      <c r="A236" s="127" t="s">
        <v>5958</v>
      </c>
      <c r="B236" s="127" t="s">
        <v>1877</v>
      </c>
    </row>
    <row r="237" ht="15.75" customHeight="1">
      <c r="A237" s="127" t="s">
        <v>5959</v>
      </c>
      <c r="B237" s="127" t="s">
        <v>5960</v>
      </c>
    </row>
    <row r="238" ht="15.75" customHeight="1">
      <c r="A238" s="127" t="s">
        <v>5961</v>
      </c>
      <c r="B238" s="127" t="s">
        <v>1227</v>
      </c>
    </row>
    <row r="239" ht="15.75" customHeight="1">
      <c r="A239" s="127" t="s">
        <v>5962</v>
      </c>
      <c r="B239" s="127" t="s">
        <v>5963</v>
      </c>
    </row>
    <row r="240" ht="15.75" customHeight="1">
      <c r="A240" s="127" t="s">
        <v>5964</v>
      </c>
      <c r="B240" s="127" t="s">
        <v>5965</v>
      </c>
    </row>
    <row r="241" ht="15.75" customHeight="1">
      <c r="A241" s="127" t="s">
        <v>5966</v>
      </c>
      <c r="B241" s="127" t="s">
        <v>5967</v>
      </c>
    </row>
    <row r="242" ht="15.75" customHeight="1">
      <c r="A242" s="127" t="s">
        <v>5968</v>
      </c>
      <c r="B242" s="127" t="s">
        <v>5969</v>
      </c>
    </row>
    <row r="243" ht="15.75" customHeight="1">
      <c r="A243" s="127" t="s">
        <v>5970</v>
      </c>
      <c r="B243" s="127" t="s">
        <v>5971</v>
      </c>
    </row>
    <row r="244" ht="15.75" customHeight="1">
      <c r="A244" s="127" t="s">
        <v>5972</v>
      </c>
      <c r="B244" s="127" t="s">
        <v>5973</v>
      </c>
    </row>
    <row r="245" ht="15.75" customHeight="1">
      <c r="A245" s="127" t="s">
        <v>5974</v>
      </c>
      <c r="B245" s="127" t="s">
        <v>5975</v>
      </c>
    </row>
    <row r="246" ht="15.75" customHeight="1">
      <c r="A246" s="127" t="s">
        <v>5976</v>
      </c>
      <c r="B246" s="127" t="s">
        <v>5977</v>
      </c>
    </row>
    <row r="247" ht="15.75" customHeight="1">
      <c r="A247" s="127" t="s">
        <v>5978</v>
      </c>
      <c r="B247" s="127" t="s">
        <v>5979</v>
      </c>
    </row>
    <row r="248" ht="15.75" customHeight="1">
      <c r="A248" s="127" t="s">
        <v>5980</v>
      </c>
      <c r="B248" s="127" t="s">
        <v>5981</v>
      </c>
    </row>
    <row r="249" ht="15.75" customHeight="1">
      <c r="A249" s="127" t="s">
        <v>5982</v>
      </c>
      <c r="B249" s="127" t="s">
        <v>5983</v>
      </c>
    </row>
    <row r="250" ht="15.75" customHeight="1">
      <c r="A250" s="127" t="s">
        <v>5984</v>
      </c>
      <c r="B250" s="127" t="s">
        <v>5985</v>
      </c>
    </row>
    <row r="251" ht="15.75" customHeight="1">
      <c r="A251" s="127"/>
      <c r="B251" s="127"/>
    </row>
    <row r="252" ht="15.75" customHeight="1">
      <c r="A252" s="127"/>
      <c r="B252" s="127"/>
    </row>
    <row r="253" ht="15.75" customHeight="1">
      <c r="A253" s="127"/>
      <c r="B253" s="127"/>
    </row>
    <row r="254" ht="15.75" customHeight="1">
      <c r="A254" s="127"/>
      <c r="B254" s="127"/>
    </row>
    <row r="255" ht="15.75" customHeight="1">
      <c r="A255" s="127"/>
      <c r="B255" s="127"/>
    </row>
    <row r="256" ht="15.75" customHeight="1">
      <c r="A256" s="127"/>
      <c r="B256" s="127"/>
    </row>
    <row r="257" ht="15.75" customHeight="1">
      <c r="A257" s="127"/>
      <c r="B257" s="127"/>
    </row>
    <row r="258" ht="15.75" customHeight="1">
      <c r="A258" s="127"/>
      <c r="B258" s="127"/>
    </row>
    <row r="259" ht="15.75" customHeight="1">
      <c r="A259" s="127"/>
      <c r="B259" s="127"/>
    </row>
    <row r="260" ht="15.75" customHeight="1">
      <c r="A260" s="127"/>
      <c r="B260" s="127"/>
    </row>
    <row r="261" ht="15.75" customHeight="1">
      <c r="A261" s="127"/>
      <c r="B261" s="127"/>
    </row>
    <row r="262" ht="15.75" customHeight="1">
      <c r="A262" s="127"/>
      <c r="B262" s="127"/>
    </row>
    <row r="263" ht="15.75" customHeight="1">
      <c r="A263" s="127"/>
      <c r="B263" s="127"/>
    </row>
    <row r="264" ht="15.75" customHeight="1">
      <c r="A264" s="127"/>
      <c r="B264" s="127"/>
    </row>
    <row r="265" ht="15.75" customHeight="1">
      <c r="A265" s="127"/>
      <c r="B265" s="127"/>
    </row>
    <row r="266" ht="15.75" customHeight="1">
      <c r="A266" s="127"/>
      <c r="B266" s="127"/>
    </row>
    <row r="267" ht="15.75" customHeight="1">
      <c r="A267" s="127"/>
      <c r="B267" s="127"/>
    </row>
    <row r="268" ht="15.75" customHeight="1">
      <c r="A268" s="127"/>
      <c r="B268" s="127"/>
    </row>
    <row r="269" ht="15.75" customHeight="1">
      <c r="A269" s="127"/>
      <c r="B269" s="127"/>
    </row>
    <row r="270" ht="15.75" customHeight="1">
      <c r="A270" s="127"/>
      <c r="B270" s="127"/>
    </row>
    <row r="271" ht="15.75" customHeight="1">
      <c r="A271" s="127"/>
      <c r="B271" s="127"/>
    </row>
    <row r="272" ht="15.75" customHeight="1">
      <c r="A272" s="127"/>
      <c r="B272" s="127"/>
    </row>
    <row r="273" ht="15.75" customHeight="1">
      <c r="A273" s="127"/>
      <c r="B273" s="127"/>
    </row>
    <row r="274" ht="15.75" customHeight="1">
      <c r="A274" s="127"/>
      <c r="B274" s="127"/>
    </row>
    <row r="275" ht="15.75" customHeight="1">
      <c r="A275" s="127"/>
      <c r="B275" s="127"/>
    </row>
    <row r="276" ht="15.75" customHeight="1">
      <c r="A276" s="127"/>
      <c r="B276" s="127"/>
    </row>
    <row r="277" ht="15.75" customHeight="1">
      <c r="A277" s="127"/>
      <c r="B277" s="127"/>
    </row>
    <row r="278" ht="15.75" customHeight="1">
      <c r="A278" s="127"/>
      <c r="B278" s="127"/>
    </row>
    <row r="279" ht="15.75" customHeight="1">
      <c r="A279" s="127"/>
      <c r="B279" s="127"/>
    </row>
    <row r="280" ht="15.75" customHeight="1">
      <c r="A280" s="127"/>
      <c r="B280" s="127"/>
    </row>
    <row r="281" ht="15.75" customHeight="1">
      <c r="A281" s="127"/>
      <c r="B281" s="127"/>
    </row>
    <row r="282" ht="15.75" customHeight="1">
      <c r="A282" s="127"/>
      <c r="B282" s="127"/>
    </row>
    <row r="283" ht="15.75" customHeight="1">
      <c r="A283" s="127"/>
      <c r="B283" s="127"/>
    </row>
    <row r="284" ht="15.75" customHeight="1">
      <c r="A284" s="127"/>
      <c r="B284" s="127"/>
    </row>
    <row r="285" ht="15.75" customHeight="1">
      <c r="A285" s="127"/>
      <c r="B285" s="127"/>
    </row>
    <row r="286" ht="15.75" customHeight="1">
      <c r="A286" s="127"/>
      <c r="B286" s="127"/>
    </row>
    <row r="287" ht="15.75" customHeight="1">
      <c r="A287" s="127"/>
      <c r="B287" s="127"/>
    </row>
    <row r="288" ht="15.75" customHeight="1">
      <c r="A288" s="127"/>
      <c r="B288" s="127"/>
    </row>
    <row r="289" ht="15.75" customHeight="1">
      <c r="A289" s="127"/>
      <c r="B289" s="127"/>
    </row>
    <row r="290" ht="15.75" customHeight="1">
      <c r="A290" s="127"/>
      <c r="B290" s="127"/>
    </row>
    <row r="291" ht="15.75" customHeight="1">
      <c r="A291" s="127"/>
      <c r="B291" s="127"/>
    </row>
    <row r="292" ht="15.75" customHeight="1">
      <c r="A292" s="127"/>
      <c r="B292" s="127"/>
    </row>
    <row r="293" ht="15.75" customHeight="1">
      <c r="A293" s="127"/>
      <c r="B293" s="127"/>
    </row>
    <row r="294" ht="15.75" customHeight="1">
      <c r="A294" s="127"/>
      <c r="B294" s="127"/>
    </row>
    <row r="295" ht="15.75" customHeight="1">
      <c r="A295" s="127"/>
      <c r="B295" s="127"/>
    </row>
    <row r="296" ht="15.75" customHeight="1">
      <c r="A296" s="127"/>
      <c r="B296" s="127"/>
    </row>
    <row r="297" ht="15.75" customHeight="1">
      <c r="A297" s="127"/>
      <c r="B297" s="127"/>
    </row>
    <row r="298" ht="15.75" customHeight="1">
      <c r="A298" s="127"/>
      <c r="B298" s="127"/>
    </row>
    <row r="299" ht="15.75" customHeight="1">
      <c r="A299" s="127"/>
      <c r="B299" s="127"/>
    </row>
    <row r="300" ht="15.75" customHeight="1">
      <c r="A300" s="127"/>
      <c r="B300" s="127"/>
    </row>
    <row r="301" ht="15.75" customHeight="1">
      <c r="A301" s="127"/>
      <c r="B301" s="127"/>
    </row>
    <row r="302" ht="15.75" customHeight="1">
      <c r="A302" s="127"/>
      <c r="B302" s="127"/>
    </row>
    <row r="303" ht="15.75" customHeight="1">
      <c r="A303" s="127"/>
      <c r="B303" s="127"/>
    </row>
    <row r="304" ht="15.75" customHeight="1">
      <c r="A304" s="127"/>
      <c r="B304" s="127"/>
    </row>
    <row r="305" ht="15.75" customHeight="1">
      <c r="A305" s="127"/>
      <c r="B305" s="127"/>
    </row>
    <row r="306" ht="15.75" customHeight="1">
      <c r="A306" s="127"/>
      <c r="B306" s="127"/>
    </row>
    <row r="307" ht="15.75" customHeight="1">
      <c r="A307" s="127"/>
      <c r="B307" s="127"/>
    </row>
    <row r="308" ht="15.75" customHeight="1">
      <c r="A308" s="127"/>
      <c r="B308" s="127"/>
    </row>
    <row r="309" ht="15.75" customHeight="1">
      <c r="A309" s="127"/>
      <c r="B309" s="127"/>
    </row>
    <row r="310" ht="15.75" customHeight="1">
      <c r="A310" s="127"/>
      <c r="B310" s="127"/>
    </row>
    <row r="311" ht="15.75" customHeight="1">
      <c r="A311" s="127"/>
      <c r="B311" s="127"/>
    </row>
    <row r="312" ht="15.75" customHeight="1">
      <c r="A312" s="127"/>
      <c r="B312" s="127"/>
    </row>
    <row r="313" ht="15.75" customHeight="1">
      <c r="A313" s="127"/>
      <c r="B313" s="127"/>
    </row>
    <row r="314" ht="15.75" customHeight="1">
      <c r="A314" s="127"/>
      <c r="B314" s="127"/>
    </row>
    <row r="315" ht="15.75" customHeight="1">
      <c r="A315" s="127"/>
      <c r="B315" s="127"/>
    </row>
    <row r="316" ht="15.75" customHeight="1">
      <c r="A316" s="127"/>
      <c r="B316" s="127"/>
    </row>
    <row r="317" ht="15.75" customHeight="1">
      <c r="A317" s="127"/>
      <c r="B317" s="127"/>
    </row>
    <row r="318" ht="15.75" customHeight="1">
      <c r="A318" s="127"/>
      <c r="B318" s="127"/>
    </row>
    <row r="319" ht="15.75" customHeight="1">
      <c r="A319" s="127"/>
      <c r="B319" s="127"/>
    </row>
    <row r="320" ht="15.75" customHeight="1">
      <c r="A320" s="127"/>
      <c r="B320" s="127"/>
    </row>
    <row r="321" ht="15.75" customHeight="1">
      <c r="A321" s="127"/>
      <c r="B321" s="127"/>
    </row>
    <row r="322" ht="15.75" customHeight="1">
      <c r="A322" s="127"/>
      <c r="B322" s="127"/>
    </row>
    <row r="323" ht="15.75" customHeight="1">
      <c r="A323" s="127"/>
      <c r="B323" s="127"/>
    </row>
    <row r="324" ht="15.75" customHeight="1">
      <c r="A324" s="127"/>
      <c r="B324" s="127"/>
    </row>
    <row r="325" ht="15.75" customHeight="1">
      <c r="A325" s="127"/>
      <c r="B325" s="127"/>
    </row>
    <row r="326" ht="15.75" customHeight="1">
      <c r="A326" s="127"/>
      <c r="B326" s="127"/>
    </row>
    <row r="327" ht="15.75" customHeight="1">
      <c r="A327" s="127"/>
      <c r="B327" s="127"/>
    </row>
    <row r="328" ht="15.75" customHeight="1">
      <c r="A328" s="127"/>
      <c r="B328" s="127"/>
    </row>
    <row r="329" ht="15.75" customHeight="1">
      <c r="A329" s="127"/>
      <c r="B329" s="127"/>
    </row>
    <row r="330" ht="15.75" customHeight="1">
      <c r="A330" s="127"/>
      <c r="B330" s="127"/>
    </row>
    <row r="331" ht="15.75" customHeight="1">
      <c r="A331" s="127"/>
      <c r="B331" s="127"/>
    </row>
    <row r="332" ht="15.75" customHeight="1">
      <c r="A332" s="127"/>
      <c r="B332" s="127"/>
    </row>
    <row r="333" ht="15.75" customHeight="1">
      <c r="A333" s="127"/>
      <c r="B333" s="127"/>
    </row>
    <row r="334" ht="15.75" customHeight="1">
      <c r="A334" s="127"/>
      <c r="B334" s="127"/>
    </row>
    <row r="335" ht="15.75" customHeight="1">
      <c r="A335" s="127"/>
      <c r="B335" s="127"/>
    </row>
    <row r="336" ht="15.75" customHeight="1">
      <c r="A336" s="127"/>
      <c r="B336" s="127"/>
    </row>
    <row r="337" ht="15.75" customHeight="1">
      <c r="A337" s="127"/>
      <c r="B337" s="127"/>
    </row>
    <row r="338" ht="15.75" customHeight="1">
      <c r="A338" s="127"/>
      <c r="B338" s="127"/>
    </row>
    <row r="339" ht="15.75" customHeight="1">
      <c r="A339" s="127"/>
      <c r="B339" s="127"/>
    </row>
    <row r="340" ht="15.75" customHeight="1">
      <c r="A340" s="127"/>
      <c r="B340" s="127"/>
    </row>
    <row r="341" ht="15.75" customHeight="1">
      <c r="A341" s="127"/>
      <c r="B341" s="127"/>
    </row>
    <row r="342" ht="15.75" customHeight="1">
      <c r="A342" s="127"/>
      <c r="B342" s="127"/>
    </row>
    <row r="343" ht="15.75" customHeight="1">
      <c r="A343" s="127"/>
      <c r="B343" s="127"/>
    </row>
    <row r="344" ht="15.75" customHeight="1">
      <c r="A344" s="127"/>
      <c r="B344" s="127"/>
    </row>
    <row r="345" ht="15.75" customHeight="1">
      <c r="A345" s="127"/>
      <c r="B345" s="127"/>
    </row>
    <row r="346" ht="15.75" customHeight="1">
      <c r="A346" s="127"/>
      <c r="B346" s="127"/>
    </row>
    <row r="347" ht="15.75" customHeight="1">
      <c r="A347" s="127"/>
      <c r="B347" s="127"/>
    </row>
    <row r="348" ht="15.75" customHeight="1">
      <c r="A348" s="127"/>
      <c r="B348" s="127"/>
    </row>
    <row r="349" ht="15.75" customHeight="1">
      <c r="A349" s="127"/>
      <c r="B349" s="127"/>
    </row>
    <row r="350" ht="15.75" customHeight="1">
      <c r="A350" s="127"/>
      <c r="B350" s="127"/>
    </row>
    <row r="351" ht="15.75" customHeight="1">
      <c r="A351" s="127"/>
      <c r="B351" s="127"/>
    </row>
    <row r="352" ht="15.75" customHeight="1">
      <c r="A352" s="127"/>
      <c r="B352" s="127"/>
    </row>
    <row r="353" ht="15.75" customHeight="1">
      <c r="A353" s="127"/>
      <c r="B353" s="127"/>
    </row>
    <row r="354" ht="15.75" customHeight="1">
      <c r="A354" s="127"/>
      <c r="B354" s="127"/>
    </row>
    <row r="355" ht="15.75" customHeight="1">
      <c r="A355" s="127"/>
      <c r="B355" s="127"/>
    </row>
    <row r="356" ht="15.75" customHeight="1">
      <c r="A356" s="127"/>
      <c r="B356" s="127"/>
    </row>
    <row r="357" ht="15.75" customHeight="1">
      <c r="A357" s="127"/>
      <c r="B357" s="127"/>
    </row>
    <row r="358" ht="15.75" customHeight="1">
      <c r="A358" s="127"/>
      <c r="B358" s="127"/>
    </row>
    <row r="359" ht="15.75" customHeight="1">
      <c r="A359" s="127"/>
      <c r="B359" s="127"/>
    </row>
    <row r="360" ht="15.75" customHeight="1">
      <c r="A360" s="127"/>
      <c r="B360" s="127"/>
    </row>
    <row r="361" ht="15.75" customHeight="1">
      <c r="A361" s="127"/>
      <c r="B361" s="127"/>
    </row>
    <row r="362" ht="15.75" customHeight="1">
      <c r="A362" s="127"/>
      <c r="B362" s="127"/>
    </row>
    <row r="363" ht="15.75" customHeight="1">
      <c r="A363" s="127"/>
      <c r="B363" s="127"/>
    </row>
    <row r="364" ht="15.75" customHeight="1">
      <c r="A364" s="127"/>
      <c r="B364" s="127"/>
    </row>
    <row r="365" ht="15.75" customHeight="1">
      <c r="A365" s="127"/>
      <c r="B365" s="127"/>
    </row>
    <row r="366" ht="15.75" customHeight="1">
      <c r="A366" s="127"/>
      <c r="B366" s="127"/>
    </row>
    <row r="367" ht="15.75" customHeight="1">
      <c r="A367" s="127"/>
      <c r="B367" s="127"/>
    </row>
    <row r="368" ht="15.75" customHeight="1">
      <c r="A368" s="127"/>
      <c r="B368" s="127"/>
    </row>
    <row r="369" ht="15.75" customHeight="1">
      <c r="A369" s="127"/>
      <c r="B369" s="127"/>
    </row>
    <row r="370" ht="15.75" customHeight="1">
      <c r="A370" s="127"/>
      <c r="B370" s="127"/>
    </row>
    <row r="371" ht="15.75" customHeight="1">
      <c r="A371" s="127"/>
      <c r="B371" s="127"/>
    </row>
    <row r="372" ht="15.75" customHeight="1">
      <c r="A372" s="127"/>
      <c r="B372" s="127"/>
    </row>
    <row r="373" ht="15.75" customHeight="1">
      <c r="A373" s="127"/>
      <c r="B373" s="127"/>
    </row>
    <row r="374" ht="15.75" customHeight="1">
      <c r="A374" s="127"/>
      <c r="B374" s="127"/>
    </row>
    <row r="375" ht="15.75" customHeight="1">
      <c r="A375" s="127"/>
      <c r="B375" s="127"/>
    </row>
    <row r="376" ht="15.75" customHeight="1">
      <c r="A376" s="127"/>
      <c r="B376" s="127"/>
    </row>
    <row r="377" ht="15.75" customHeight="1">
      <c r="A377" s="127"/>
      <c r="B377" s="127"/>
    </row>
    <row r="378" ht="15.75" customHeight="1">
      <c r="A378" s="127"/>
      <c r="B378" s="127"/>
    </row>
    <row r="379" ht="15.75" customHeight="1">
      <c r="A379" s="127"/>
      <c r="B379" s="127"/>
    </row>
    <row r="380" ht="15.75" customHeight="1">
      <c r="A380" s="127"/>
      <c r="B380" s="127"/>
    </row>
    <row r="381" ht="15.75" customHeight="1">
      <c r="A381" s="127"/>
      <c r="B381" s="127"/>
    </row>
    <row r="382" ht="15.75" customHeight="1">
      <c r="A382" s="127"/>
      <c r="B382" s="127"/>
    </row>
    <row r="383" ht="15.75" customHeight="1">
      <c r="A383" s="127"/>
      <c r="B383" s="127"/>
    </row>
    <row r="384" ht="15.75" customHeight="1">
      <c r="A384" s="127"/>
      <c r="B384" s="127"/>
    </row>
    <row r="385" ht="15.75" customHeight="1">
      <c r="A385" s="127"/>
      <c r="B385" s="127"/>
    </row>
    <row r="386" ht="15.75" customHeight="1">
      <c r="A386" s="127"/>
      <c r="B386" s="127"/>
    </row>
    <row r="387" ht="15.75" customHeight="1">
      <c r="A387" s="127"/>
      <c r="B387" s="127"/>
    </row>
    <row r="388" ht="15.75" customHeight="1">
      <c r="A388" s="127"/>
      <c r="B388" s="127"/>
    </row>
    <row r="389" ht="15.75" customHeight="1">
      <c r="A389" s="127"/>
      <c r="B389" s="127"/>
    </row>
    <row r="390" ht="15.75" customHeight="1">
      <c r="A390" s="127"/>
      <c r="B390" s="127"/>
    </row>
    <row r="391" ht="15.75" customHeight="1">
      <c r="A391" s="127"/>
      <c r="B391" s="127"/>
    </row>
    <row r="392" ht="15.75" customHeight="1">
      <c r="A392" s="127"/>
      <c r="B392" s="127"/>
    </row>
    <row r="393" ht="15.75" customHeight="1">
      <c r="A393" s="127"/>
      <c r="B393" s="127"/>
    </row>
    <row r="394" ht="15.75" customHeight="1">
      <c r="A394" s="127"/>
      <c r="B394" s="127"/>
    </row>
    <row r="395" ht="15.75" customHeight="1">
      <c r="A395" s="127"/>
      <c r="B395" s="127"/>
    </row>
    <row r="396" ht="15.75" customHeight="1">
      <c r="A396" s="127"/>
      <c r="B396" s="127"/>
    </row>
    <row r="397" ht="15.75" customHeight="1">
      <c r="A397" s="127"/>
      <c r="B397" s="127"/>
    </row>
    <row r="398" ht="15.75" customHeight="1">
      <c r="A398" s="127"/>
      <c r="B398" s="127"/>
    </row>
    <row r="399" ht="15.75" customHeight="1">
      <c r="A399" s="127"/>
      <c r="B399" s="127"/>
    </row>
    <row r="400" ht="15.75" customHeight="1">
      <c r="A400" s="127"/>
      <c r="B400" s="127"/>
    </row>
    <row r="401" ht="15.75" customHeight="1">
      <c r="A401" s="127"/>
      <c r="B401" s="127"/>
    </row>
    <row r="402" ht="15.75" customHeight="1">
      <c r="A402" s="127"/>
      <c r="B402" s="127"/>
    </row>
    <row r="403" ht="15.75" customHeight="1">
      <c r="A403" s="127"/>
      <c r="B403" s="127"/>
    </row>
    <row r="404" ht="15.75" customHeight="1">
      <c r="A404" s="127"/>
      <c r="B404" s="127"/>
    </row>
    <row r="405" ht="15.75" customHeight="1">
      <c r="A405" s="127"/>
      <c r="B405" s="127"/>
    </row>
    <row r="406" ht="15.75" customHeight="1">
      <c r="A406" s="127"/>
      <c r="B406" s="127"/>
    </row>
    <row r="407" ht="15.75" customHeight="1">
      <c r="A407" s="127"/>
      <c r="B407" s="127"/>
    </row>
    <row r="408" ht="15.75" customHeight="1">
      <c r="A408" s="127"/>
      <c r="B408" s="127"/>
    </row>
    <row r="409" ht="15.75" customHeight="1">
      <c r="A409" s="127"/>
      <c r="B409" s="127"/>
    </row>
    <row r="410" ht="15.75" customHeight="1">
      <c r="A410" s="127"/>
      <c r="B410" s="127"/>
    </row>
    <row r="411" ht="15.75" customHeight="1">
      <c r="A411" s="127"/>
      <c r="B411" s="127"/>
    </row>
    <row r="412" ht="15.75" customHeight="1">
      <c r="A412" s="127"/>
      <c r="B412" s="127"/>
    </row>
    <row r="413" ht="15.75" customHeight="1">
      <c r="A413" s="127"/>
      <c r="B413" s="127"/>
    </row>
    <row r="414" ht="15.75" customHeight="1">
      <c r="A414" s="127"/>
      <c r="B414" s="127"/>
    </row>
    <row r="415" ht="15.75" customHeight="1">
      <c r="A415" s="127"/>
      <c r="B415" s="127"/>
    </row>
    <row r="416" ht="15.75" customHeight="1">
      <c r="A416" s="127"/>
      <c r="B416" s="127"/>
    </row>
    <row r="417" ht="15.75" customHeight="1">
      <c r="A417" s="127"/>
      <c r="B417" s="127"/>
    </row>
    <row r="418" ht="15.75" customHeight="1">
      <c r="A418" s="127"/>
      <c r="B418" s="127"/>
    </row>
    <row r="419" ht="15.75" customHeight="1">
      <c r="A419" s="127"/>
      <c r="B419" s="127"/>
    </row>
    <row r="420" ht="15.75" customHeight="1">
      <c r="A420" s="127"/>
      <c r="B420" s="127"/>
    </row>
    <row r="421" ht="15.75" customHeight="1">
      <c r="A421" s="127"/>
      <c r="B421" s="127"/>
    </row>
    <row r="422" ht="15.75" customHeight="1">
      <c r="A422" s="127"/>
      <c r="B422" s="127"/>
    </row>
    <row r="423" ht="15.75" customHeight="1">
      <c r="A423" s="127"/>
      <c r="B423" s="127"/>
    </row>
    <row r="424" ht="15.75" customHeight="1">
      <c r="A424" s="127"/>
      <c r="B424" s="127"/>
    </row>
    <row r="425" ht="15.75" customHeight="1">
      <c r="A425" s="127"/>
      <c r="B425" s="127"/>
    </row>
    <row r="426" ht="15.75" customHeight="1">
      <c r="A426" s="127"/>
      <c r="B426" s="127"/>
    </row>
    <row r="427" ht="15.75" customHeight="1">
      <c r="A427" s="127"/>
      <c r="B427" s="127"/>
    </row>
    <row r="428" ht="15.75" customHeight="1">
      <c r="A428" s="127"/>
      <c r="B428" s="127"/>
    </row>
    <row r="429" ht="15.75" customHeight="1">
      <c r="A429" s="127"/>
      <c r="B429" s="127"/>
    </row>
    <row r="430" ht="15.75" customHeight="1">
      <c r="A430" s="127"/>
      <c r="B430" s="127"/>
    </row>
    <row r="431" ht="15.75" customHeight="1">
      <c r="A431" s="127"/>
      <c r="B431" s="127"/>
    </row>
    <row r="432" ht="15.75" customHeight="1">
      <c r="A432" s="127"/>
      <c r="B432" s="127"/>
    </row>
    <row r="433" ht="15.75" customHeight="1">
      <c r="A433" s="127"/>
      <c r="B433" s="127"/>
    </row>
    <row r="434" ht="15.75" customHeight="1">
      <c r="A434" s="127"/>
      <c r="B434" s="127"/>
    </row>
    <row r="435" ht="15.75" customHeight="1">
      <c r="A435" s="127"/>
      <c r="B435" s="127"/>
    </row>
    <row r="436" ht="15.75" customHeight="1">
      <c r="A436" s="127"/>
      <c r="B436" s="127"/>
    </row>
    <row r="437" ht="15.75" customHeight="1">
      <c r="A437" s="127"/>
      <c r="B437" s="127"/>
    </row>
    <row r="438" ht="15.75" customHeight="1">
      <c r="A438" s="127"/>
      <c r="B438" s="127"/>
    </row>
    <row r="439" ht="15.75" customHeight="1">
      <c r="A439" s="127"/>
      <c r="B439" s="127"/>
    </row>
    <row r="440" ht="15.75" customHeight="1">
      <c r="A440" s="127"/>
      <c r="B440" s="127"/>
    </row>
    <row r="441" ht="15.75" customHeight="1">
      <c r="A441" s="127"/>
      <c r="B441" s="127"/>
    </row>
    <row r="442" ht="15.75" customHeight="1">
      <c r="A442" s="127"/>
      <c r="B442" s="127"/>
    </row>
    <row r="443" ht="15.75" customHeight="1">
      <c r="A443" s="127"/>
      <c r="B443" s="127"/>
    </row>
    <row r="444" ht="15.75" customHeight="1">
      <c r="A444" s="127"/>
      <c r="B444" s="127"/>
    </row>
    <row r="445" ht="15.75" customHeight="1">
      <c r="A445" s="127"/>
      <c r="B445" s="127"/>
    </row>
    <row r="446" ht="15.75" customHeight="1">
      <c r="A446" s="127"/>
      <c r="B446" s="127"/>
    </row>
    <row r="447" ht="15.75" customHeight="1">
      <c r="A447" s="127"/>
      <c r="B447" s="127"/>
    </row>
    <row r="448" ht="15.75" customHeight="1">
      <c r="A448" s="127"/>
      <c r="B448" s="127"/>
    </row>
    <row r="449" ht="15.75" customHeight="1">
      <c r="A449" s="127"/>
      <c r="B449" s="127"/>
    </row>
    <row r="450" ht="15.75" customHeight="1">
      <c r="A450" s="127"/>
      <c r="B450" s="127"/>
    </row>
    <row r="451" ht="15.75" customHeight="1">
      <c r="A451" s="127"/>
      <c r="B451" s="127"/>
    </row>
    <row r="452" ht="15.75" customHeight="1">
      <c r="A452" s="127"/>
      <c r="B452" s="127"/>
    </row>
    <row r="453" ht="15.75" customHeight="1">
      <c r="A453" s="127"/>
      <c r="B453" s="127"/>
    </row>
    <row r="454" ht="15.75" customHeight="1">
      <c r="A454" s="127"/>
      <c r="B454" s="127"/>
    </row>
    <row r="455" ht="15.75" customHeight="1">
      <c r="A455" s="127"/>
      <c r="B455" s="127"/>
    </row>
    <row r="456" ht="15.75" customHeight="1">
      <c r="A456" s="127"/>
      <c r="B456" s="127"/>
    </row>
    <row r="457" ht="15.75" customHeight="1">
      <c r="A457" s="127"/>
      <c r="B457" s="127"/>
    </row>
    <row r="458" ht="15.75" customHeight="1">
      <c r="A458" s="127"/>
      <c r="B458" s="127"/>
    </row>
    <row r="459" ht="15.75" customHeight="1">
      <c r="A459" s="127"/>
      <c r="B459" s="127"/>
    </row>
    <row r="460" ht="15.75" customHeight="1">
      <c r="A460" s="127"/>
      <c r="B460" s="127"/>
    </row>
    <row r="461" ht="15.75" customHeight="1">
      <c r="A461" s="127"/>
      <c r="B461" s="127"/>
    </row>
    <row r="462" ht="15.75" customHeight="1">
      <c r="A462" s="127"/>
      <c r="B462" s="127"/>
    </row>
    <row r="463" ht="15.75" customHeight="1">
      <c r="A463" s="127"/>
      <c r="B463" s="127"/>
    </row>
    <row r="464" ht="15.75" customHeight="1">
      <c r="A464" s="127"/>
      <c r="B464" s="127"/>
    </row>
    <row r="465" ht="15.75" customHeight="1">
      <c r="A465" s="127"/>
      <c r="B465" s="127"/>
    </row>
    <row r="466" ht="15.75" customHeight="1">
      <c r="A466" s="127"/>
      <c r="B466" s="127"/>
    </row>
    <row r="467" ht="15.75" customHeight="1">
      <c r="A467" s="127"/>
      <c r="B467" s="127"/>
    </row>
    <row r="468" ht="15.75" customHeight="1">
      <c r="A468" s="127"/>
      <c r="B468" s="127"/>
    </row>
    <row r="469" ht="15.75" customHeight="1">
      <c r="A469" s="127"/>
      <c r="B469" s="127"/>
    </row>
    <row r="470" ht="15.75" customHeight="1">
      <c r="A470" s="127"/>
      <c r="B470" s="127"/>
    </row>
    <row r="471" ht="15.75" customHeight="1">
      <c r="A471" s="127"/>
      <c r="B471" s="127"/>
    </row>
    <row r="472" ht="15.75" customHeight="1">
      <c r="A472" s="127"/>
      <c r="B472" s="127"/>
    </row>
    <row r="473" ht="15.75" customHeight="1">
      <c r="A473" s="127"/>
      <c r="B473" s="127"/>
    </row>
    <row r="474" ht="15.75" customHeight="1">
      <c r="A474" s="127"/>
      <c r="B474" s="127"/>
    </row>
    <row r="475" ht="15.75" customHeight="1">
      <c r="A475" s="127"/>
      <c r="B475" s="127"/>
    </row>
    <row r="476" ht="15.75" customHeight="1">
      <c r="A476" s="127"/>
      <c r="B476" s="127"/>
    </row>
    <row r="477" ht="15.75" customHeight="1">
      <c r="A477" s="127"/>
      <c r="B477" s="127"/>
    </row>
    <row r="478" ht="15.75" customHeight="1">
      <c r="A478" s="127"/>
      <c r="B478" s="127"/>
    </row>
    <row r="479" ht="15.75" customHeight="1">
      <c r="A479" s="127"/>
      <c r="B479" s="127"/>
    </row>
    <row r="480" ht="15.75" customHeight="1">
      <c r="A480" s="127"/>
      <c r="B480" s="127"/>
    </row>
    <row r="481" ht="15.75" customHeight="1">
      <c r="A481" s="127"/>
      <c r="B481" s="127"/>
    </row>
    <row r="482" ht="15.75" customHeight="1">
      <c r="A482" s="127"/>
      <c r="B482" s="127"/>
    </row>
    <row r="483" ht="15.75" customHeight="1">
      <c r="A483" s="127"/>
      <c r="B483" s="127"/>
    </row>
    <row r="484" ht="15.75" customHeight="1">
      <c r="A484" s="127"/>
      <c r="B484" s="127"/>
    </row>
    <row r="485" ht="15.75" customHeight="1">
      <c r="A485" s="127"/>
      <c r="B485" s="127"/>
    </row>
    <row r="486" ht="15.75" customHeight="1">
      <c r="A486" s="127"/>
      <c r="B486" s="127"/>
    </row>
    <row r="487" ht="15.75" customHeight="1">
      <c r="A487" s="127"/>
      <c r="B487" s="127"/>
    </row>
    <row r="488" ht="15.75" customHeight="1">
      <c r="A488" s="127"/>
      <c r="B488" s="127"/>
    </row>
    <row r="489" ht="15.75" customHeight="1">
      <c r="A489" s="127"/>
      <c r="B489" s="127"/>
    </row>
    <row r="490" ht="15.75" customHeight="1">
      <c r="A490" s="127"/>
      <c r="B490" s="127"/>
    </row>
    <row r="491" ht="15.75" customHeight="1">
      <c r="A491" s="127"/>
      <c r="B491" s="127"/>
    </row>
    <row r="492" ht="15.75" customHeight="1">
      <c r="A492" s="127"/>
      <c r="B492" s="127"/>
    </row>
    <row r="493" ht="15.75" customHeight="1">
      <c r="A493" s="127"/>
      <c r="B493" s="127"/>
    </row>
    <row r="494" ht="15.75" customHeight="1">
      <c r="A494" s="127"/>
      <c r="B494" s="127"/>
    </row>
    <row r="495" ht="15.75" customHeight="1">
      <c r="A495" s="127"/>
      <c r="B495" s="127"/>
    </row>
    <row r="496" ht="15.75" customHeight="1">
      <c r="A496" s="127"/>
      <c r="B496" s="127"/>
    </row>
    <row r="497" ht="15.75" customHeight="1">
      <c r="A497" s="127"/>
      <c r="B497" s="127"/>
    </row>
    <row r="498" ht="15.75" customHeight="1">
      <c r="A498" s="127"/>
      <c r="B498" s="127"/>
    </row>
    <row r="499" ht="15.75" customHeight="1">
      <c r="A499" s="127"/>
      <c r="B499" s="127"/>
    </row>
    <row r="500" ht="15.75" customHeight="1">
      <c r="A500" s="127"/>
      <c r="B500" s="127"/>
    </row>
    <row r="501" ht="15.75" customHeight="1">
      <c r="A501" s="127"/>
      <c r="B501" s="127"/>
    </row>
    <row r="502" ht="15.75" customHeight="1">
      <c r="A502" s="127"/>
      <c r="B502" s="127"/>
    </row>
    <row r="503" ht="15.75" customHeight="1">
      <c r="A503" s="127"/>
      <c r="B503" s="127"/>
    </row>
    <row r="504" ht="15.75" customHeight="1">
      <c r="A504" s="127"/>
      <c r="B504" s="127"/>
    </row>
    <row r="505" ht="15.75" customHeight="1">
      <c r="A505" s="127"/>
      <c r="B505" s="127"/>
    </row>
    <row r="506" ht="15.75" customHeight="1">
      <c r="A506" s="127"/>
      <c r="B506" s="127"/>
    </row>
    <row r="507" ht="15.75" customHeight="1">
      <c r="A507" s="127"/>
      <c r="B507" s="127"/>
    </row>
    <row r="508" ht="15.75" customHeight="1">
      <c r="A508" s="127"/>
      <c r="B508" s="127"/>
    </row>
    <row r="509" ht="15.75" customHeight="1">
      <c r="A509" s="127"/>
      <c r="B509" s="127"/>
    </row>
    <row r="510" ht="15.75" customHeight="1">
      <c r="A510" s="127"/>
      <c r="B510" s="127"/>
    </row>
    <row r="511" ht="15.75" customHeight="1">
      <c r="A511" s="127"/>
      <c r="B511" s="127"/>
    </row>
    <row r="512" ht="15.75" customHeight="1">
      <c r="A512" s="127"/>
      <c r="B512" s="127"/>
    </row>
    <row r="513" ht="15.75" customHeight="1">
      <c r="A513" s="127"/>
      <c r="B513" s="127"/>
    </row>
    <row r="514" ht="15.75" customHeight="1">
      <c r="A514" s="127"/>
      <c r="B514" s="127"/>
    </row>
    <row r="515" ht="15.75" customHeight="1">
      <c r="A515" s="127"/>
      <c r="B515" s="127"/>
    </row>
    <row r="516" ht="15.75" customHeight="1">
      <c r="A516" s="127"/>
      <c r="B516" s="127"/>
    </row>
    <row r="517" ht="15.75" customHeight="1">
      <c r="A517" s="127"/>
      <c r="B517" s="127"/>
    </row>
    <row r="518" ht="15.75" customHeight="1">
      <c r="A518" s="127"/>
      <c r="B518" s="127"/>
    </row>
    <row r="519" ht="15.75" customHeight="1">
      <c r="A519" s="127"/>
      <c r="B519" s="127"/>
    </row>
    <row r="520" ht="15.75" customHeight="1">
      <c r="A520" s="127"/>
      <c r="B520" s="127"/>
    </row>
    <row r="521" ht="15.75" customHeight="1">
      <c r="A521" s="127"/>
      <c r="B521" s="127"/>
    </row>
    <row r="522" ht="15.75" customHeight="1">
      <c r="A522" s="127"/>
      <c r="B522" s="127"/>
    </row>
    <row r="523" ht="15.75" customHeight="1">
      <c r="A523" s="127"/>
      <c r="B523" s="127"/>
    </row>
    <row r="524" ht="15.75" customHeight="1">
      <c r="A524" s="127"/>
      <c r="B524" s="127"/>
    </row>
    <row r="525" ht="15.75" customHeight="1">
      <c r="A525" s="127"/>
      <c r="B525" s="127"/>
    </row>
    <row r="526" ht="15.75" customHeight="1">
      <c r="A526" s="127"/>
      <c r="B526" s="127"/>
    </row>
    <row r="527" ht="15.75" customHeight="1">
      <c r="A527" s="127"/>
      <c r="B527" s="127"/>
    </row>
    <row r="528" ht="15.75" customHeight="1">
      <c r="A528" s="127"/>
      <c r="B528" s="127"/>
    </row>
    <row r="529" ht="15.75" customHeight="1">
      <c r="A529" s="127"/>
      <c r="B529" s="127"/>
    </row>
    <row r="530" ht="15.75" customHeight="1">
      <c r="A530" s="127"/>
      <c r="B530" s="127"/>
    </row>
    <row r="531" ht="15.75" customHeight="1">
      <c r="A531" s="127"/>
      <c r="B531" s="127"/>
    </row>
    <row r="532" ht="15.75" customHeight="1">
      <c r="A532" s="127"/>
      <c r="B532" s="127"/>
    </row>
    <row r="533" ht="15.75" customHeight="1">
      <c r="A533" s="127"/>
      <c r="B533" s="127"/>
    </row>
    <row r="534" ht="15.75" customHeight="1">
      <c r="A534" s="127"/>
      <c r="B534" s="127"/>
    </row>
    <row r="535" ht="15.75" customHeight="1">
      <c r="A535" s="127"/>
      <c r="B535" s="127"/>
    </row>
    <row r="536" ht="15.75" customHeight="1">
      <c r="A536" s="127"/>
      <c r="B536" s="127"/>
    </row>
    <row r="537" ht="15.75" customHeight="1">
      <c r="A537" s="127"/>
      <c r="B537" s="127"/>
    </row>
    <row r="538" ht="15.75" customHeight="1">
      <c r="A538" s="127"/>
      <c r="B538" s="127"/>
    </row>
    <row r="539" ht="15.75" customHeight="1">
      <c r="A539" s="127"/>
      <c r="B539" s="127"/>
    </row>
    <row r="540" ht="15.75" customHeight="1">
      <c r="A540" s="127"/>
      <c r="B540" s="127"/>
    </row>
    <row r="541" ht="15.75" customHeight="1">
      <c r="A541" s="127"/>
      <c r="B541" s="127"/>
    </row>
    <row r="542" ht="15.75" customHeight="1">
      <c r="A542" s="127"/>
      <c r="B542" s="127"/>
    </row>
    <row r="543" ht="15.75" customHeight="1">
      <c r="A543" s="127"/>
      <c r="B543" s="127"/>
    </row>
    <row r="544" ht="15.75" customHeight="1">
      <c r="A544" s="127"/>
      <c r="B544" s="127"/>
    </row>
    <row r="545" ht="15.75" customHeight="1">
      <c r="A545" s="127"/>
      <c r="B545" s="127"/>
    </row>
    <row r="546" ht="15.75" customHeight="1">
      <c r="A546" s="127"/>
      <c r="B546" s="127"/>
    </row>
    <row r="547" ht="15.75" customHeight="1">
      <c r="A547" s="127"/>
      <c r="B547" s="127"/>
    </row>
    <row r="548" ht="15.75" customHeight="1">
      <c r="A548" s="127"/>
      <c r="B548" s="127"/>
    </row>
    <row r="549" ht="15.75" customHeight="1">
      <c r="A549" s="127"/>
      <c r="B549" s="127"/>
    </row>
    <row r="550" ht="15.75" customHeight="1">
      <c r="A550" s="127"/>
      <c r="B550" s="127"/>
    </row>
    <row r="551" ht="15.75" customHeight="1">
      <c r="A551" s="127"/>
      <c r="B551" s="127"/>
    </row>
    <row r="552" ht="15.75" customHeight="1">
      <c r="A552" s="127"/>
      <c r="B552" s="127"/>
    </row>
    <row r="553" ht="15.75" customHeight="1">
      <c r="A553" s="127"/>
      <c r="B553" s="127"/>
    </row>
    <row r="554" ht="15.75" customHeight="1">
      <c r="A554" s="127"/>
      <c r="B554" s="127"/>
    </row>
    <row r="555" ht="15.75" customHeight="1">
      <c r="A555" s="127"/>
      <c r="B555" s="127"/>
    </row>
    <row r="556" ht="15.75" customHeight="1">
      <c r="A556" s="127"/>
      <c r="B556" s="127"/>
    </row>
    <row r="557" ht="15.75" customHeight="1">
      <c r="A557" s="127"/>
      <c r="B557" s="127"/>
    </row>
    <row r="558" ht="15.75" customHeight="1">
      <c r="A558" s="127"/>
      <c r="B558" s="127"/>
    </row>
    <row r="559" ht="15.75" customHeight="1">
      <c r="A559" s="127"/>
      <c r="B559" s="127"/>
    </row>
    <row r="560" ht="15.75" customHeight="1">
      <c r="A560" s="127"/>
      <c r="B560" s="127"/>
    </row>
    <row r="561" ht="15.75" customHeight="1">
      <c r="A561" s="127"/>
      <c r="B561" s="127"/>
    </row>
    <row r="562" ht="15.75" customHeight="1">
      <c r="A562" s="127"/>
      <c r="B562" s="127"/>
    </row>
    <row r="563" ht="15.75" customHeight="1">
      <c r="A563" s="127"/>
      <c r="B563" s="127"/>
    </row>
    <row r="564" ht="15.75" customHeight="1">
      <c r="A564" s="127"/>
      <c r="B564" s="127"/>
    </row>
    <row r="565" ht="15.75" customHeight="1">
      <c r="A565" s="127"/>
      <c r="B565" s="127"/>
    </row>
    <row r="566" ht="15.75" customHeight="1">
      <c r="A566" s="127"/>
      <c r="B566" s="127"/>
    </row>
    <row r="567" ht="15.75" customHeight="1">
      <c r="A567" s="127"/>
      <c r="B567" s="127"/>
    </row>
    <row r="568" ht="15.75" customHeight="1">
      <c r="A568" s="127"/>
      <c r="B568" s="127"/>
    </row>
    <row r="569" ht="15.75" customHeight="1">
      <c r="A569" s="127"/>
      <c r="B569" s="127"/>
    </row>
    <row r="570" ht="15.75" customHeight="1">
      <c r="A570" s="127"/>
      <c r="B570" s="127"/>
    </row>
    <row r="571" ht="15.75" customHeight="1">
      <c r="A571" s="127"/>
      <c r="B571" s="127"/>
    </row>
    <row r="572" ht="15.75" customHeight="1">
      <c r="A572" s="127"/>
      <c r="B572" s="127"/>
    </row>
    <row r="573" ht="15.75" customHeight="1">
      <c r="A573" s="127"/>
      <c r="B573" s="127"/>
    </row>
    <row r="574" ht="15.75" customHeight="1">
      <c r="A574" s="127"/>
      <c r="B574" s="127"/>
    </row>
    <row r="575" ht="15.75" customHeight="1">
      <c r="A575" s="127"/>
      <c r="B575" s="127"/>
    </row>
    <row r="576" ht="15.75" customHeight="1">
      <c r="A576" s="127"/>
      <c r="B576" s="127"/>
    </row>
    <row r="577" ht="15.75" customHeight="1">
      <c r="A577" s="127"/>
      <c r="B577" s="127"/>
    </row>
    <row r="578" ht="15.75" customHeight="1">
      <c r="A578" s="127"/>
      <c r="B578" s="127"/>
    </row>
    <row r="579" ht="15.75" customHeight="1">
      <c r="A579" s="127"/>
      <c r="B579" s="127"/>
    </row>
    <row r="580" ht="15.75" customHeight="1">
      <c r="A580" s="127"/>
      <c r="B580" s="127"/>
    </row>
    <row r="581" ht="15.75" customHeight="1">
      <c r="A581" s="127"/>
      <c r="B581" s="127"/>
    </row>
    <row r="582" ht="15.75" customHeight="1">
      <c r="A582" s="127"/>
      <c r="B582" s="127"/>
    </row>
    <row r="583" ht="15.75" customHeight="1">
      <c r="A583" s="127"/>
      <c r="B583" s="127"/>
    </row>
    <row r="584" ht="15.75" customHeight="1">
      <c r="A584" s="127"/>
      <c r="B584" s="127"/>
    </row>
    <row r="585" ht="15.75" customHeight="1">
      <c r="A585" s="127"/>
      <c r="B585" s="127"/>
    </row>
    <row r="586" ht="15.75" customHeight="1">
      <c r="A586" s="127"/>
      <c r="B586" s="127"/>
    </row>
    <row r="587" ht="15.75" customHeight="1">
      <c r="A587" s="127"/>
      <c r="B587" s="127"/>
    </row>
    <row r="588" ht="15.75" customHeight="1">
      <c r="A588" s="127"/>
      <c r="B588" s="127"/>
    </row>
    <row r="589" ht="15.75" customHeight="1">
      <c r="A589" s="127"/>
      <c r="B589" s="127"/>
    </row>
    <row r="590" ht="15.75" customHeight="1">
      <c r="A590" s="127"/>
      <c r="B590" s="127"/>
    </row>
    <row r="591" ht="15.75" customHeight="1">
      <c r="A591" s="127"/>
      <c r="B591" s="127"/>
    </row>
    <row r="592" ht="15.75" customHeight="1">
      <c r="A592" s="127"/>
      <c r="B592" s="127"/>
    </row>
    <row r="593" ht="15.75" customHeight="1">
      <c r="A593" s="127"/>
      <c r="B593" s="127"/>
    </row>
    <row r="594" ht="15.75" customHeight="1">
      <c r="A594" s="127"/>
      <c r="B594" s="127"/>
    </row>
    <row r="595" ht="15.75" customHeight="1">
      <c r="A595" s="127"/>
      <c r="B595" s="127"/>
    </row>
    <row r="596" ht="15.75" customHeight="1">
      <c r="A596" s="127"/>
      <c r="B596" s="127"/>
    </row>
    <row r="597" ht="15.75" customHeight="1">
      <c r="A597" s="127"/>
      <c r="B597" s="127"/>
    </row>
    <row r="598" ht="15.75" customHeight="1">
      <c r="A598" s="127"/>
      <c r="B598" s="127"/>
    </row>
    <row r="599" ht="15.75" customHeight="1">
      <c r="A599" s="127"/>
      <c r="B599" s="127"/>
    </row>
    <row r="600" ht="15.75" customHeight="1">
      <c r="A600" s="127"/>
      <c r="B600" s="127"/>
    </row>
    <row r="601" ht="15.75" customHeight="1">
      <c r="A601" s="127"/>
      <c r="B601" s="127"/>
    </row>
    <row r="602" ht="15.75" customHeight="1">
      <c r="A602" s="127"/>
      <c r="B602" s="127"/>
    </row>
    <row r="603" ht="15.75" customHeight="1">
      <c r="A603" s="127"/>
      <c r="B603" s="127"/>
    </row>
    <row r="604" ht="15.75" customHeight="1">
      <c r="A604" s="127"/>
      <c r="B604" s="127"/>
    </row>
    <row r="605" ht="15.75" customHeight="1">
      <c r="A605" s="127"/>
      <c r="B605" s="127"/>
    </row>
    <row r="606" ht="15.75" customHeight="1">
      <c r="A606" s="127"/>
      <c r="B606" s="127"/>
    </row>
    <row r="607" ht="15.75" customHeight="1">
      <c r="A607" s="127"/>
      <c r="B607" s="127"/>
    </row>
    <row r="608" ht="15.75" customHeight="1">
      <c r="A608" s="127"/>
      <c r="B608" s="127"/>
    </row>
    <row r="609" ht="15.75" customHeight="1">
      <c r="A609" s="127"/>
      <c r="B609" s="127"/>
    </row>
    <row r="610" ht="15.75" customHeight="1">
      <c r="A610" s="127"/>
      <c r="B610" s="127"/>
    </row>
    <row r="611" ht="15.75" customHeight="1">
      <c r="A611" s="127"/>
      <c r="B611" s="127"/>
    </row>
    <row r="612" ht="15.75" customHeight="1">
      <c r="A612" s="127"/>
      <c r="B612" s="127"/>
    </row>
    <row r="613" ht="15.75" customHeight="1">
      <c r="A613" s="127"/>
      <c r="B613" s="127"/>
    </row>
    <row r="614" ht="15.75" customHeight="1">
      <c r="A614" s="127"/>
      <c r="B614" s="127"/>
    </row>
    <row r="615" ht="15.75" customHeight="1">
      <c r="A615" s="127"/>
      <c r="B615" s="127"/>
    </row>
    <row r="616" ht="15.75" customHeight="1">
      <c r="A616" s="127"/>
      <c r="B616" s="127"/>
    </row>
    <row r="617" ht="15.75" customHeight="1">
      <c r="A617" s="127"/>
      <c r="B617" s="127"/>
    </row>
    <row r="618" ht="15.75" customHeight="1">
      <c r="A618" s="127"/>
      <c r="B618" s="127"/>
    </row>
    <row r="619" ht="15.75" customHeight="1">
      <c r="A619" s="127"/>
      <c r="B619" s="127"/>
    </row>
    <row r="620" ht="15.75" customHeight="1">
      <c r="A620" s="127"/>
      <c r="B620" s="127"/>
    </row>
    <row r="621" ht="15.75" customHeight="1">
      <c r="A621" s="127"/>
      <c r="B621" s="127"/>
    </row>
    <row r="622" ht="15.75" customHeight="1">
      <c r="A622" s="127"/>
      <c r="B622" s="127"/>
    </row>
    <row r="623" ht="15.75" customHeight="1">
      <c r="A623" s="127"/>
      <c r="B623" s="127"/>
    </row>
    <row r="624" ht="15.75" customHeight="1">
      <c r="A624" s="127"/>
      <c r="B624" s="127"/>
    </row>
    <row r="625" ht="15.75" customHeight="1">
      <c r="A625" s="127"/>
      <c r="B625" s="127"/>
    </row>
    <row r="626" ht="15.75" customHeight="1">
      <c r="A626" s="127"/>
      <c r="B626" s="127"/>
    </row>
    <row r="627" ht="15.75" customHeight="1">
      <c r="A627" s="127"/>
      <c r="B627" s="127"/>
    </row>
    <row r="628" ht="15.75" customHeight="1">
      <c r="A628" s="127"/>
      <c r="B628" s="127"/>
    </row>
    <row r="629" ht="15.75" customHeight="1">
      <c r="A629" s="127"/>
      <c r="B629" s="127"/>
    </row>
    <row r="630" ht="15.75" customHeight="1">
      <c r="A630" s="127"/>
      <c r="B630" s="127"/>
    </row>
    <row r="631" ht="15.75" customHeight="1">
      <c r="A631" s="127"/>
      <c r="B631" s="127"/>
    </row>
    <row r="632" ht="15.75" customHeight="1">
      <c r="A632" s="127"/>
      <c r="B632" s="127"/>
    </row>
    <row r="633" ht="15.75" customHeight="1">
      <c r="A633" s="127"/>
      <c r="B633" s="127"/>
    </row>
    <row r="634" ht="15.75" customHeight="1">
      <c r="A634" s="127"/>
      <c r="B634" s="127"/>
    </row>
    <row r="635" ht="15.75" customHeight="1">
      <c r="A635" s="127"/>
      <c r="B635" s="127"/>
    </row>
    <row r="636" ht="15.75" customHeight="1">
      <c r="A636" s="127"/>
      <c r="B636" s="127"/>
    </row>
    <row r="637" ht="15.75" customHeight="1">
      <c r="A637" s="127"/>
      <c r="B637" s="127"/>
    </row>
    <row r="638" ht="15.75" customHeight="1">
      <c r="A638" s="127"/>
      <c r="B638" s="127"/>
    </row>
    <row r="639" ht="15.75" customHeight="1">
      <c r="A639" s="127"/>
      <c r="B639" s="127"/>
    </row>
    <row r="640" ht="15.75" customHeight="1">
      <c r="A640" s="127"/>
      <c r="B640" s="127"/>
    </row>
    <row r="641" ht="15.75" customHeight="1">
      <c r="A641" s="127"/>
      <c r="B641" s="127"/>
    </row>
    <row r="642" ht="15.75" customHeight="1">
      <c r="A642" s="127"/>
      <c r="B642" s="127"/>
    </row>
    <row r="643" ht="15.75" customHeight="1">
      <c r="A643" s="127"/>
      <c r="B643" s="127"/>
    </row>
    <row r="644" ht="15.75" customHeight="1">
      <c r="A644" s="127"/>
      <c r="B644" s="127"/>
    </row>
    <row r="645" ht="15.75" customHeight="1">
      <c r="A645" s="127"/>
      <c r="B645" s="127"/>
    </row>
    <row r="646" ht="15.75" customHeight="1">
      <c r="A646" s="127"/>
      <c r="B646" s="127"/>
    </row>
    <row r="647" ht="15.75" customHeight="1">
      <c r="A647" s="127"/>
      <c r="B647" s="127"/>
    </row>
    <row r="648" ht="15.75" customHeight="1">
      <c r="A648" s="127"/>
      <c r="B648" s="127"/>
    </row>
    <row r="649" ht="15.75" customHeight="1">
      <c r="A649" s="127"/>
      <c r="B649" s="127"/>
    </row>
    <row r="650" ht="15.75" customHeight="1">
      <c r="A650" s="127"/>
      <c r="B650" s="127"/>
    </row>
    <row r="651" ht="15.75" customHeight="1">
      <c r="A651" s="127"/>
      <c r="B651" s="127"/>
    </row>
    <row r="652" ht="15.75" customHeight="1">
      <c r="A652" s="127"/>
      <c r="B652" s="127"/>
    </row>
    <row r="653" ht="15.75" customHeight="1">
      <c r="A653" s="127"/>
      <c r="B653" s="127"/>
    </row>
    <row r="654" ht="15.75" customHeight="1">
      <c r="A654" s="127"/>
      <c r="B654" s="127"/>
    </row>
    <row r="655" ht="15.75" customHeight="1">
      <c r="A655" s="127"/>
      <c r="B655" s="127"/>
    </row>
    <row r="656" ht="15.75" customHeight="1">
      <c r="A656" s="127"/>
      <c r="B656" s="127"/>
    </row>
    <row r="657" ht="15.75" customHeight="1">
      <c r="A657" s="127"/>
      <c r="B657" s="127"/>
    </row>
    <row r="658" ht="15.75" customHeight="1">
      <c r="A658" s="127"/>
      <c r="B658" s="127"/>
    </row>
    <row r="659" ht="15.75" customHeight="1">
      <c r="A659" s="127"/>
      <c r="B659" s="127"/>
    </row>
    <row r="660" ht="15.75" customHeight="1">
      <c r="A660" s="127"/>
      <c r="B660" s="127"/>
    </row>
    <row r="661" ht="15.75" customHeight="1">
      <c r="A661" s="127"/>
      <c r="B661" s="127"/>
    </row>
    <row r="662" ht="15.75" customHeight="1">
      <c r="A662" s="127"/>
      <c r="B662" s="127"/>
    </row>
    <row r="663" ht="15.75" customHeight="1">
      <c r="A663" s="127"/>
      <c r="B663" s="127"/>
    </row>
    <row r="664" ht="15.75" customHeight="1">
      <c r="A664" s="127"/>
      <c r="B664" s="127"/>
    </row>
    <row r="665" ht="15.75" customHeight="1">
      <c r="A665" s="127"/>
      <c r="B665" s="127"/>
    </row>
    <row r="666" ht="15.75" customHeight="1">
      <c r="A666" s="127"/>
      <c r="B666" s="127"/>
    </row>
    <row r="667" ht="15.75" customHeight="1">
      <c r="A667" s="127"/>
      <c r="B667" s="127"/>
    </row>
    <row r="668" ht="15.75" customHeight="1">
      <c r="A668" s="127"/>
      <c r="B668" s="127"/>
    </row>
    <row r="669" ht="15.75" customHeight="1">
      <c r="A669" s="127"/>
      <c r="B669" s="127"/>
    </row>
    <row r="670" ht="15.75" customHeight="1">
      <c r="A670" s="127"/>
      <c r="B670" s="127"/>
    </row>
    <row r="671" ht="15.75" customHeight="1">
      <c r="A671" s="127"/>
      <c r="B671" s="127"/>
    </row>
    <row r="672" ht="15.75" customHeight="1">
      <c r="A672" s="127"/>
      <c r="B672" s="127"/>
    </row>
    <row r="673" ht="15.75" customHeight="1">
      <c r="A673" s="127"/>
      <c r="B673" s="127"/>
    </row>
    <row r="674" ht="15.75" customHeight="1">
      <c r="A674" s="127"/>
      <c r="B674" s="127"/>
    </row>
    <row r="675" ht="15.75" customHeight="1">
      <c r="A675" s="127"/>
      <c r="B675" s="127"/>
    </row>
    <row r="676" ht="15.75" customHeight="1">
      <c r="A676" s="127"/>
      <c r="B676" s="127"/>
    </row>
    <row r="677" ht="15.75" customHeight="1">
      <c r="A677" s="127"/>
      <c r="B677" s="127"/>
    </row>
    <row r="678" ht="15.75" customHeight="1">
      <c r="A678" s="127"/>
      <c r="B678" s="127"/>
    </row>
    <row r="679" ht="15.75" customHeight="1">
      <c r="A679" s="127"/>
      <c r="B679" s="127"/>
    </row>
    <row r="680" ht="15.75" customHeight="1">
      <c r="A680" s="127"/>
      <c r="B680" s="127"/>
    </row>
    <row r="681" ht="15.75" customHeight="1">
      <c r="A681" s="127"/>
      <c r="B681" s="127"/>
    </row>
    <row r="682" ht="15.75" customHeight="1">
      <c r="A682" s="127"/>
      <c r="B682" s="127"/>
    </row>
    <row r="683" ht="15.75" customHeight="1">
      <c r="A683" s="127"/>
      <c r="B683" s="127"/>
    </row>
    <row r="684" ht="15.75" customHeight="1">
      <c r="A684" s="127"/>
      <c r="B684" s="127"/>
    </row>
    <row r="685" ht="15.75" customHeight="1">
      <c r="A685" s="127"/>
      <c r="B685" s="127"/>
    </row>
    <row r="686" ht="15.75" customHeight="1">
      <c r="A686" s="127"/>
      <c r="B686" s="127"/>
    </row>
    <row r="687" ht="15.75" customHeight="1">
      <c r="A687" s="127"/>
      <c r="B687" s="127"/>
    </row>
    <row r="688" ht="15.75" customHeight="1">
      <c r="A688" s="127"/>
      <c r="B688" s="127"/>
    </row>
    <row r="689" ht="15.75" customHeight="1">
      <c r="A689" s="127"/>
      <c r="B689" s="127"/>
    </row>
    <row r="690" ht="15.75" customHeight="1">
      <c r="A690" s="127"/>
      <c r="B690" s="127"/>
    </row>
    <row r="691" ht="15.75" customHeight="1">
      <c r="A691" s="127"/>
      <c r="B691" s="127"/>
    </row>
    <row r="692" ht="15.75" customHeight="1">
      <c r="A692" s="127"/>
      <c r="B692" s="127"/>
    </row>
    <row r="693" ht="15.75" customHeight="1">
      <c r="A693" s="127"/>
      <c r="B693" s="127"/>
    </row>
    <row r="694" ht="15.75" customHeight="1">
      <c r="A694" s="127"/>
      <c r="B694" s="127"/>
    </row>
    <row r="695" ht="15.75" customHeight="1">
      <c r="A695" s="127"/>
      <c r="B695" s="127"/>
    </row>
    <row r="696" ht="15.75" customHeight="1">
      <c r="A696" s="127"/>
      <c r="B696" s="127"/>
    </row>
    <row r="697" ht="15.75" customHeight="1">
      <c r="A697" s="127"/>
      <c r="B697" s="127"/>
    </row>
    <row r="698" ht="15.75" customHeight="1">
      <c r="A698" s="127"/>
      <c r="B698" s="127"/>
    </row>
    <row r="699" ht="15.75" customHeight="1">
      <c r="A699" s="127"/>
      <c r="B699" s="127"/>
    </row>
    <row r="700" ht="15.75" customHeight="1">
      <c r="A700" s="127"/>
      <c r="B700" s="127"/>
    </row>
    <row r="701" ht="15.75" customHeight="1">
      <c r="A701" s="127"/>
      <c r="B701" s="127"/>
    </row>
    <row r="702" ht="15.75" customHeight="1">
      <c r="A702" s="127"/>
      <c r="B702" s="127"/>
    </row>
    <row r="703" ht="15.75" customHeight="1">
      <c r="A703" s="127"/>
      <c r="B703" s="127"/>
    </row>
    <row r="704" ht="15.75" customHeight="1">
      <c r="A704" s="127"/>
      <c r="B704" s="127"/>
    </row>
    <row r="705" ht="15.75" customHeight="1">
      <c r="A705" s="127"/>
      <c r="B705" s="127"/>
    </row>
    <row r="706" ht="15.75" customHeight="1">
      <c r="A706" s="127"/>
      <c r="B706" s="127"/>
    </row>
    <row r="707" ht="15.75" customHeight="1">
      <c r="A707" s="127"/>
      <c r="B707" s="127"/>
    </row>
    <row r="708" ht="15.75" customHeight="1">
      <c r="A708" s="127"/>
      <c r="B708" s="127"/>
    </row>
    <row r="709" ht="15.75" customHeight="1">
      <c r="A709" s="127"/>
      <c r="B709" s="127"/>
    </row>
    <row r="710" ht="15.75" customHeight="1">
      <c r="A710" s="127"/>
      <c r="B710" s="127"/>
    </row>
    <row r="711" ht="15.75" customHeight="1">
      <c r="A711" s="127"/>
      <c r="B711" s="127"/>
    </row>
    <row r="712" ht="15.75" customHeight="1">
      <c r="A712" s="127"/>
      <c r="B712" s="127"/>
    </row>
    <row r="713" ht="15.75" customHeight="1">
      <c r="A713" s="127"/>
      <c r="B713" s="127"/>
    </row>
    <row r="714" ht="15.75" customHeight="1">
      <c r="A714" s="127"/>
      <c r="B714" s="127"/>
    </row>
    <row r="715" ht="15.75" customHeight="1">
      <c r="A715" s="127"/>
      <c r="B715" s="127"/>
    </row>
    <row r="716" ht="15.75" customHeight="1">
      <c r="A716" s="127"/>
      <c r="B716" s="127"/>
    </row>
    <row r="717" ht="15.75" customHeight="1">
      <c r="A717" s="127"/>
      <c r="B717" s="127"/>
    </row>
    <row r="718" ht="15.75" customHeight="1">
      <c r="A718" s="127"/>
      <c r="B718" s="127"/>
    </row>
    <row r="719" ht="15.75" customHeight="1">
      <c r="A719" s="127"/>
      <c r="B719" s="127"/>
    </row>
    <row r="720" ht="15.75" customHeight="1">
      <c r="A720" s="127"/>
      <c r="B720" s="127"/>
    </row>
    <row r="721" ht="15.75" customHeight="1">
      <c r="A721" s="127"/>
      <c r="B721" s="127"/>
    </row>
    <row r="722" ht="15.75" customHeight="1">
      <c r="A722" s="127"/>
      <c r="B722" s="127"/>
    </row>
    <row r="723" ht="15.75" customHeight="1">
      <c r="A723" s="127"/>
      <c r="B723" s="127"/>
    </row>
    <row r="724" ht="15.75" customHeight="1">
      <c r="A724" s="127"/>
      <c r="B724" s="127"/>
    </row>
    <row r="725" ht="15.75" customHeight="1">
      <c r="A725" s="127"/>
      <c r="B725" s="127"/>
    </row>
    <row r="726" ht="15.75" customHeight="1">
      <c r="A726" s="127"/>
      <c r="B726" s="127"/>
    </row>
    <row r="727" ht="15.75" customHeight="1">
      <c r="A727" s="127"/>
      <c r="B727" s="127"/>
    </row>
    <row r="728" ht="15.75" customHeight="1">
      <c r="A728" s="127"/>
      <c r="B728" s="127"/>
    </row>
    <row r="729" ht="15.75" customHeight="1">
      <c r="A729" s="127"/>
      <c r="B729" s="127"/>
    </row>
    <row r="730" ht="15.75" customHeight="1">
      <c r="A730" s="127"/>
      <c r="B730" s="127"/>
    </row>
    <row r="731" ht="15.75" customHeight="1">
      <c r="A731" s="127"/>
      <c r="B731" s="127"/>
    </row>
    <row r="732" ht="15.75" customHeight="1">
      <c r="A732" s="127"/>
      <c r="B732" s="127"/>
    </row>
    <row r="733" ht="15.75" customHeight="1">
      <c r="A733" s="127"/>
      <c r="B733" s="127"/>
    </row>
    <row r="734" ht="15.75" customHeight="1">
      <c r="A734" s="127"/>
      <c r="B734" s="127"/>
    </row>
    <row r="735" ht="15.75" customHeight="1">
      <c r="A735" s="127"/>
      <c r="B735" s="127"/>
    </row>
    <row r="736" ht="15.75" customHeight="1">
      <c r="A736" s="127"/>
      <c r="B736" s="127"/>
    </row>
    <row r="737" ht="15.75" customHeight="1">
      <c r="A737" s="127"/>
      <c r="B737" s="127"/>
    </row>
    <row r="738" ht="15.75" customHeight="1">
      <c r="A738" s="127"/>
      <c r="B738" s="127"/>
    </row>
    <row r="739" ht="15.75" customHeight="1">
      <c r="A739" s="127"/>
      <c r="B739" s="127"/>
    </row>
    <row r="740" ht="15.75" customHeight="1">
      <c r="A740" s="127"/>
      <c r="B740" s="127"/>
    </row>
    <row r="741" ht="15.75" customHeight="1">
      <c r="A741" s="127"/>
      <c r="B741" s="127"/>
    </row>
    <row r="742" ht="15.75" customHeight="1">
      <c r="A742" s="127"/>
      <c r="B742" s="127"/>
    </row>
    <row r="743" ht="15.75" customHeight="1">
      <c r="A743" s="127"/>
      <c r="B743" s="127"/>
    </row>
    <row r="744" ht="15.75" customHeight="1">
      <c r="A744" s="127"/>
      <c r="B744" s="127"/>
    </row>
    <row r="745" ht="15.75" customHeight="1">
      <c r="A745" s="127"/>
      <c r="B745" s="127"/>
    </row>
    <row r="746" ht="15.75" customHeight="1">
      <c r="A746" s="127"/>
      <c r="B746" s="127"/>
    </row>
    <row r="747" ht="15.75" customHeight="1">
      <c r="A747" s="127"/>
      <c r="B747" s="127"/>
    </row>
    <row r="748" ht="15.75" customHeight="1">
      <c r="A748" s="127"/>
      <c r="B748" s="127"/>
    </row>
    <row r="749" ht="15.75" customHeight="1">
      <c r="A749" s="127"/>
      <c r="B749" s="127"/>
    </row>
    <row r="750" ht="15.75" customHeight="1">
      <c r="A750" s="127"/>
      <c r="B750" s="127"/>
    </row>
    <row r="751" ht="15.75" customHeight="1">
      <c r="A751" s="127"/>
      <c r="B751" s="127"/>
    </row>
    <row r="752" ht="15.75" customHeight="1">
      <c r="A752" s="127"/>
      <c r="B752" s="127"/>
    </row>
    <row r="753" ht="15.75" customHeight="1">
      <c r="A753" s="127"/>
      <c r="B753" s="127"/>
    </row>
    <row r="754" ht="15.75" customHeight="1">
      <c r="A754" s="127"/>
      <c r="B754" s="127"/>
    </row>
    <row r="755" ht="15.75" customHeight="1">
      <c r="A755" s="127"/>
      <c r="B755" s="127"/>
    </row>
    <row r="756" ht="15.75" customHeight="1">
      <c r="A756" s="127"/>
      <c r="B756" s="127"/>
    </row>
    <row r="757" ht="15.75" customHeight="1">
      <c r="A757" s="127"/>
      <c r="B757" s="127"/>
    </row>
    <row r="758" ht="15.75" customHeight="1">
      <c r="A758" s="127"/>
      <c r="B758" s="127"/>
    </row>
    <row r="759" ht="15.75" customHeight="1">
      <c r="A759" s="127"/>
      <c r="B759" s="127"/>
    </row>
    <row r="760" ht="15.75" customHeight="1">
      <c r="A760" s="127"/>
      <c r="B760" s="127"/>
    </row>
    <row r="761" ht="15.75" customHeight="1">
      <c r="A761" s="127"/>
      <c r="B761" s="127"/>
    </row>
    <row r="762" ht="15.75" customHeight="1">
      <c r="A762" s="127"/>
      <c r="B762" s="127"/>
    </row>
    <row r="763" ht="15.75" customHeight="1">
      <c r="A763" s="127"/>
      <c r="B763" s="127"/>
    </row>
    <row r="764" ht="15.75" customHeight="1">
      <c r="A764" s="127"/>
      <c r="B764" s="127"/>
    </row>
    <row r="765" ht="15.75" customHeight="1">
      <c r="A765" s="127"/>
      <c r="B765" s="127"/>
    </row>
    <row r="766" ht="15.75" customHeight="1">
      <c r="A766" s="127"/>
      <c r="B766" s="127"/>
    </row>
    <row r="767" ht="15.75" customHeight="1">
      <c r="A767" s="127"/>
      <c r="B767" s="127"/>
    </row>
    <row r="768" ht="15.75" customHeight="1">
      <c r="A768" s="127"/>
      <c r="B768" s="127"/>
    </row>
    <row r="769" ht="15.75" customHeight="1">
      <c r="A769" s="127"/>
      <c r="B769" s="127"/>
    </row>
    <row r="770" ht="15.75" customHeight="1">
      <c r="A770" s="127"/>
      <c r="B770" s="127"/>
    </row>
    <row r="771" ht="15.75" customHeight="1">
      <c r="A771" s="127"/>
      <c r="B771" s="127"/>
    </row>
    <row r="772" ht="15.75" customHeight="1">
      <c r="A772" s="127"/>
      <c r="B772" s="127"/>
    </row>
    <row r="773" ht="15.75" customHeight="1">
      <c r="A773" s="127"/>
      <c r="B773" s="127"/>
    </row>
    <row r="774" ht="15.75" customHeight="1">
      <c r="A774" s="127"/>
      <c r="B774" s="127"/>
    </row>
    <row r="775" ht="15.75" customHeight="1">
      <c r="A775" s="127"/>
      <c r="B775" s="127"/>
    </row>
    <row r="776" ht="15.75" customHeight="1">
      <c r="A776" s="127"/>
      <c r="B776" s="127"/>
    </row>
    <row r="777" ht="15.75" customHeight="1">
      <c r="A777" s="127"/>
      <c r="B777" s="127"/>
    </row>
    <row r="778" ht="15.75" customHeight="1">
      <c r="A778" s="127"/>
      <c r="B778" s="127"/>
    </row>
    <row r="779" ht="15.75" customHeight="1">
      <c r="A779" s="127"/>
      <c r="B779" s="127"/>
    </row>
    <row r="780" ht="15.75" customHeight="1">
      <c r="A780" s="127"/>
      <c r="B780" s="127"/>
    </row>
    <row r="781" ht="15.75" customHeight="1">
      <c r="A781" s="127"/>
      <c r="B781" s="127"/>
    </row>
    <row r="782" ht="15.75" customHeight="1">
      <c r="A782" s="127"/>
      <c r="B782" s="127"/>
    </row>
    <row r="783" ht="15.75" customHeight="1">
      <c r="A783" s="127"/>
      <c r="B783" s="127"/>
    </row>
    <row r="784" ht="15.75" customHeight="1">
      <c r="A784" s="127"/>
      <c r="B784" s="127"/>
    </row>
    <row r="785" ht="15.75" customHeight="1">
      <c r="A785" s="127"/>
      <c r="B785" s="127"/>
    </row>
    <row r="786" ht="15.75" customHeight="1">
      <c r="A786" s="127"/>
      <c r="B786" s="127"/>
    </row>
    <row r="787" ht="15.75" customHeight="1">
      <c r="A787" s="127"/>
      <c r="B787" s="127"/>
    </row>
    <row r="788" ht="15.75" customHeight="1">
      <c r="A788" s="127"/>
      <c r="B788" s="127"/>
    </row>
    <row r="789" ht="15.75" customHeight="1">
      <c r="A789" s="127"/>
      <c r="B789" s="127"/>
    </row>
    <row r="790" ht="15.75" customHeight="1">
      <c r="A790" s="127"/>
      <c r="B790" s="127"/>
    </row>
    <row r="791" ht="15.75" customHeight="1">
      <c r="A791" s="127"/>
      <c r="B791" s="127"/>
    </row>
    <row r="792" ht="15.75" customHeight="1">
      <c r="A792" s="127"/>
      <c r="B792" s="127"/>
    </row>
    <row r="793" ht="15.75" customHeight="1">
      <c r="A793" s="127"/>
      <c r="B793" s="127"/>
    </row>
    <row r="794" ht="15.75" customHeight="1">
      <c r="A794" s="127"/>
      <c r="B794" s="127"/>
    </row>
    <row r="795" ht="15.75" customHeight="1">
      <c r="A795" s="127"/>
      <c r="B795" s="127"/>
    </row>
    <row r="796" ht="15.75" customHeight="1">
      <c r="A796" s="127"/>
      <c r="B796" s="127"/>
    </row>
    <row r="797" ht="15.75" customHeight="1">
      <c r="A797" s="127"/>
      <c r="B797" s="127"/>
    </row>
    <row r="798" ht="15.75" customHeight="1">
      <c r="A798" s="127"/>
      <c r="B798" s="127"/>
    </row>
    <row r="799" ht="15.75" customHeight="1">
      <c r="A799" s="127"/>
      <c r="B799" s="127"/>
    </row>
    <row r="800" ht="15.75" customHeight="1">
      <c r="A800" s="127"/>
      <c r="B800" s="127"/>
    </row>
    <row r="801" ht="15.75" customHeight="1">
      <c r="A801" s="127"/>
      <c r="B801" s="127"/>
    </row>
    <row r="802" ht="15.75" customHeight="1">
      <c r="A802" s="127"/>
      <c r="B802" s="127"/>
    </row>
    <row r="803" ht="15.75" customHeight="1">
      <c r="A803" s="127"/>
      <c r="B803" s="127"/>
    </row>
    <row r="804" ht="15.75" customHeight="1">
      <c r="A804" s="127"/>
      <c r="B804" s="127"/>
    </row>
    <row r="805" ht="15.75" customHeight="1">
      <c r="A805" s="127"/>
      <c r="B805" s="127"/>
    </row>
    <row r="806" ht="15.75" customHeight="1">
      <c r="A806" s="127"/>
      <c r="B806" s="127"/>
    </row>
    <row r="807" ht="15.75" customHeight="1">
      <c r="A807" s="127"/>
      <c r="B807" s="127"/>
    </row>
    <row r="808" ht="15.75" customHeight="1">
      <c r="A808" s="127"/>
      <c r="B808" s="127"/>
    </row>
    <row r="809" ht="15.75" customHeight="1">
      <c r="A809" s="127"/>
      <c r="B809" s="127"/>
    </row>
    <row r="810" ht="15.75" customHeight="1">
      <c r="A810" s="127"/>
      <c r="B810" s="127"/>
    </row>
    <row r="811" ht="15.75" customHeight="1">
      <c r="A811" s="127"/>
      <c r="B811" s="127"/>
    </row>
    <row r="812" ht="15.75" customHeight="1">
      <c r="A812" s="127"/>
      <c r="B812" s="127"/>
    </row>
    <row r="813" ht="15.75" customHeight="1">
      <c r="A813" s="127"/>
      <c r="B813" s="127"/>
    </row>
    <row r="814" ht="15.75" customHeight="1">
      <c r="A814" s="127"/>
      <c r="B814" s="127"/>
    </row>
    <row r="815" ht="15.75" customHeight="1">
      <c r="A815" s="127"/>
      <c r="B815" s="127"/>
    </row>
    <row r="816" ht="15.75" customHeight="1">
      <c r="A816" s="127"/>
      <c r="B816" s="127"/>
    </row>
    <row r="817" ht="15.75" customHeight="1">
      <c r="A817" s="127"/>
      <c r="B817" s="127"/>
    </row>
    <row r="818" ht="15.75" customHeight="1">
      <c r="A818" s="127"/>
      <c r="B818" s="127"/>
    </row>
    <row r="819" ht="15.75" customHeight="1">
      <c r="A819" s="127"/>
      <c r="B819" s="127"/>
    </row>
    <row r="820" ht="15.75" customHeight="1">
      <c r="A820" s="127"/>
      <c r="B820" s="127"/>
    </row>
    <row r="821" ht="15.75" customHeight="1">
      <c r="A821" s="127"/>
      <c r="B821" s="127"/>
    </row>
    <row r="822" ht="15.75" customHeight="1">
      <c r="A822" s="127"/>
      <c r="B822" s="127"/>
    </row>
    <row r="823" ht="15.75" customHeight="1">
      <c r="A823" s="127"/>
      <c r="B823" s="127"/>
    </row>
    <row r="824" ht="15.75" customHeight="1">
      <c r="A824" s="127"/>
      <c r="B824" s="127"/>
    </row>
    <row r="825" ht="15.75" customHeight="1">
      <c r="A825" s="127"/>
      <c r="B825" s="127"/>
    </row>
    <row r="826" ht="15.75" customHeight="1">
      <c r="A826" s="127"/>
      <c r="B826" s="127"/>
    </row>
    <row r="827" ht="15.75" customHeight="1">
      <c r="A827" s="127"/>
      <c r="B827" s="127"/>
    </row>
    <row r="828" ht="15.75" customHeight="1">
      <c r="A828" s="127"/>
      <c r="B828" s="127"/>
    </row>
    <row r="829" ht="15.75" customHeight="1">
      <c r="A829" s="127"/>
      <c r="B829" s="127"/>
    </row>
    <row r="830" ht="15.75" customHeight="1">
      <c r="A830" s="127"/>
      <c r="B830" s="127"/>
    </row>
    <row r="831" ht="15.75" customHeight="1">
      <c r="A831" s="127"/>
      <c r="B831" s="127"/>
    </row>
    <row r="832" ht="15.75" customHeight="1">
      <c r="A832" s="127"/>
      <c r="B832" s="127"/>
    </row>
    <row r="833" ht="15.75" customHeight="1">
      <c r="A833" s="127"/>
      <c r="B833" s="127"/>
    </row>
    <row r="834" ht="15.75" customHeight="1">
      <c r="A834" s="127"/>
      <c r="B834" s="127"/>
    </row>
    <row r="835" ht="15.75" customHeight="1">
      <c r="A835" s="127"/>
      <c r="B835" s="127"/>
    </row>
    <row r="836" ht="15.75" customHeight="1">
      <c r="A836" s="127"/>
      <c r="B836" s="127"/>
    </row>
    <row r="837" ht="15.75" customHeight="1">
      <c r="A837" s="127"/>
      <c r="B837" s="127"/>
    </row>
    <row r="838" ht="15.75" customHeight="1">
      <c r="A838" s="127"/>
      <c r="B838" s="127"/>
    </row>
    <row r="839" ht="15.75" customHeight="1">
      <c r="A839" s="127"/>
      <c r="B839" s="127"/>
    </row>
    <row r="840" ht="15.75" customHeight="1">
      <c r="A840" s="127"/>
      <c r="B840" s="127"/>
    </row>
    <row r="841" ht="15.75" customHeight="1">
      <c r="A841" s="127"/>
      <c r="B841" s="127"/>
    </row>
    <row r="842" ht="15.75" customHeight="1">
      <c r="A842" s="127"/>
      <c r="B842" s="127"/>
    </row>
    <row r="843" ht="15.75" customHeight="1">
      <c r="A843" s="127"/>
      <c r="B843" s="127"/>
    </row>
    <row r="844" ht="15.75" customHeight="1">
      <c r="A844" s="127"/>
      <c r="B844" s="127"/>
    </row>
    <row r="845" ht="15.75" customHeight="1">
      <c r="A845" s="127"/>
      <c r="B845" s="127"/>
    </row>
    <row r="846" ht="15.75" customHeight="1">
      <c r="A846" s="127"/>
      <c r="B846" s="127"/>
    </row>
    <row r="847" ht="15.75" customHeight="1">
      <c r="A847" s="127"/>
      <c r="B847" s="127"/>
    </row>
    <row r="848" ht="15.75" customHeight="1">
      <c r="A848" s="127"/>
      <c r="B848" s="127"/>
    </row>
    <row r="849" ht="15.75" customHeight="1">
      <c r="A849" s="127"/>
      <c r="B849" s="127"/>
    </row>
    <row r="850" ht="15.75" customHeight="1">
      <c r="A850" s="127"/>
      <c r="B850" s="127"/>
    </row>
    <row r="851" ht="15.75" customHeight="1">
      <c r="A851" s="127"/>
      <c r="B851" s="127"/>
    </row>
    <row r="852" ht="15.75" customHeight="1">
      <c r="A852" s="127"/>
      <c r="B852" s="127"/>
    </row>
    <row r="853" ht="15.75" customHeight="1">
      <c r="A853" s="127"/>
      <c r="B853" s="127"/>
    </row>
    <row r="854" ht="15.75" customHeight="1">
      <c r="A854" s="127"/>
      <c r="B854" s="127"/>
    </row>
    <row r="855" ht="15.75" customHeight="1">
      <c r="A855" s="127"/>
      <c r="B855" s="127"/>
    </row>
    <row r="856" ht="15.75" customHeight="1">
      <c r="A856" s="127"/>
      <c r="B856" s="127"/>
    </row>
    <row r="857" ht="15.75" customHeight="1">
      <c r="A857" s="127"/>
      <c r="B857" s="127"/>
    </row>
    <row r="858" ht="15.75" customHeight="1">
      <c r="A858" s="127"/>
      <c r="B858" s="127"/>
    </row>
    <row r="859" ht="15.75" customHeight="1">
      <c r="A859" s="127"/>
      <c r="B859" s="127"/>
    </row>
    <row r="860" ht="15.75" customHeight="1">
      <c r="A860" s="127"/>
      <c r="B860" s="127"/>
    </row>
    <row r="861" ht="15.75" customHeight="1">
      <c r="A861" s="127"/>
      <c r="B861" s="127"/>
    </row>
    <row r="862" ht="15.75" customHeight="1">
      <c r="A862" s="127"/>
      <c r="B862" s="127"/>
    </row>
    <row r="863" ht="15.75" customHeight="1">
      <c r="A863" s="127"/>
      <c r="B863" s="127"/>
    </row>
    <row r="864" ht="15.75" customHeight="1">
      <c r="A864" s="127"/>
      <c r="B864" s="127"/>
    </row>
    <row r="865" ht="15.75" customHeight="1">
      <c r="A865" s="127"/>
      <c r="B865" s="127"/>
    </row>
    <row r="866" ht="15.75" customHeight="1">
      <c r="A866" s="127"/>
      <c r="B866" s="127"/>
    </row>
    <row r="867" ht="15.75" customHeight="1">
      <c r="A867" s="127"/>
      <c r="B867" s="127"/>
    </row>
    <row r="868" ht="15.75" customHeight="1">
      <c r="A868" s="127"/>
      <c r="B868" s="127"/>
    </row>
    <row r="869" ht="15.75" customHeight="1">
      <c r="A869" s="127"/>
      <c r="B869" s="127"/>
    </row>
    <row r="870" ht="15.75" customHeight="1">
      <c r="A870" s="127"/>
      <c r="B870" s="127"/>
    </row>
    <row r="871" ht="15.75" customHeight="1">
      <c r="A871" s="127"/>
      <c r="B871" s="127"/>
    </row>
    <row r="872" ht="15.75" customHeight="1">
      <c r="A872" s="127"/>
      <c r="B872" s="127"/>
    </row>
    <row r="873" ht="15.75" customHeight="1">
      <c r="A873" s="127"/>
      <c r="B873" s="127"/>
    </row>
    <row r="874" ht="15.75" customHeight="1">
      <c r="A874" s="127"/>
      <c r="B874" s="127"/>
    </row>
    <row r="875" ht="15.75" customHeight="1">
      <c r="A875" s="127"/>
      <c r="B875" s="127"/>
    </row>
    <row r="876" ht="15.75" customHeight="1">
      <c r="A876" s="127"/>
      <c r="B876" s="127"/>
    </row>
    <row r="877" ht="15.75" customHeight="1">
      <c r="A877" s="127"/>
      <c r="B877" s="127"/>
    </row>
    <row r="878" ht="15.75" customHeight="1">
      <c r="A878" s="127"/>
      <c r="B878" s="127"/>
    </row>
    <row r="879" ht="15.75" customHeight="1">
      <c r="A879" s="127"/>
      <c r="B879" s="127"/>
    </row>
    <row r="880" ht="15.75" customHeight="1">
      <c r="A880" s="127"/>
      <c r="B880" s="127"/>
    </row>
    <row r="881" ht="15.75" customHeight="1">
      <c r="A881" s="127"/>
      <c r="B881" s="127"/>
    </row>
    <row r="882" ht="15.75" customHeight="1">
      <c r="A882" s="127"/>
      <c r="B882" s="127"/>
    </row>
    <row r="883" ht="15.75" customHeight="1">
      <c r="A883" s="127"/>
      <c r="B883" s="127"/>
    </row>
    <row r="884" ht="15.75" customHeight="1">
      <c r="A884" s="127"/>
      <c r="B884" s="127"/>
    </row>
    <row r="885" ht="15.75" customHeight="1">
      <c r="A885" s="127"/>
      <c r="B885" s="127"/>
    </row>
    <row r="886" ht="15.75" customHeight="1">
      <c r="A886" s="127"/>
      <c r="B886" s="127"/>
    </row>
    <row r="887" ht="15.75" customHeight="1">
      <c r="A887" s="127"/>
      <c r="B887" s="127"/>
    </row>
    <row r="888" ht="15.75" customHeight="1">
      <c r="A888" s="127"/>
      <c r="B888" s="127"/>
    </row>
    <row r="889" ht="15.75" customHeight="1">
      <c r="A889" s="127"/>
      <c r="B889" s="127"/>
    </row>
    <row r="890" ht="15.75" customHeight="1">
      <c r="A890" s="127"/>
      <c r="B890" s="127"/>
    </row>
    <row r="891" ht="15.75" customHeight="1">
      <c r="A891" s="127"/>
      <c r="B891" s="127"/>
    </row>
    <row r="892" ht="15.75" customHeight="1">
      <c r="A892" s="127"/>
      <c r="B892" s="127"/>
    </row>
    <row r="893" ht="15.75" customHeight="1">
      <c r="A893" s="127"/>
      <c r="B893" s="127"/>
    </row>
    <row r="894" ht="15.75" customHeight="1">
      <c r="A894" s="127"/>
      <c r="B894" s="127"/>
    </row>
    <row r="895" ht="15.75" customHeight="1">
      <c r="A895" s="127"/>
      <c r="B895" s="127"/>
    </row>
    <row r="896" ht="15.75" customHeight="1">
      <c r="A896" s="127"/>
      <c r="B896" s="127"/>
    </row>
    <row r="897" ht="15.75" customHeight="1">
      <c r="A897" s="127"/>
      <c r="B897" s="127"/>
    </row>
    <row r="898" ht="15.75" customHeight="1">
      <c r="A898" s="127"/>
      <c r="B898" s="127"/>
    </row>
    <row r="899" ht="15.75" customHeight="1">
      <c r="A899" s="127"/>
      <c r="B899" s="127"/>
    </row>
    <row r="900" ht="15.75" customHeight="1">
      <c r="A900" s="127"/>
      <c r="B900" s="127"/>
    </row>
    <row r="901" ht="15.75" customHeight="1">
      <c r="A901" s="127"/>
      <c r="B901" s="127"/>
    </row>
    <row r="902" ht="15.75" customHeight="1">
      <c r="A902" s="127"/>
      <c r="B902" s="127"/>
    </row>
    <row r="903" ht="15.75" customHeight="1">
      <c r="A903" s="127"/>
      <c r="B903" s="127"/>
    </row>
    <row r="904" ht="15.75" customHeight="1">
      <c r="A904" s="127"/>
      <c r="B904" s="127"/>
    </row>
    <row r="905" ht="15.75" customHeight="1">
      <c r="A905" s="127"/>
      <c r="B905" s="127"/>
    </row>
    <row r="906" ht="15.75" customHeight="1">
      <c r="A906" s="127"/>
      <c r="B906" s="127"/>
    </row>
    <row r="907" ht="15.75" customHeight="1">
      <c r="A907" s="127"/>
      <c r="B907" s="127"/>
    </row>
    <row r="908" ht="15.75" customHeight="1">
      <c r="A908" s="127"/>
      <c r="B908" s="127"/>
    </row>
    <row r="909" ht="15.75" customHeight="1">
      <c r="A909" s="127"/>
      <c r="B909" s="127"/>
    </row>
    <row r="910" ht="15.75" customHeight="1">
      <c r="A910" s="127"/>
      <c r="B910" s="127"/>
    </row>
    <row r="911" ht="15.75" customHeight="1">
      <c r="A911" s="127"/>
      <c r="B911" s="127"/>
    </row>
    <row r="912" ht="15.75" customHeight="1">
      <c r="A912" s="127"/>
      <c r="B912" s="127"/>
    </row>
    <row r="913" ht="15.75" customHeight="1">
      <c r="A913" s="127"/>
      <c r="B913" s="127"/>
    </row>
    <row r="914" ht="15.75" customHeight="1">
      <c r="A914" s="127"/>
      <c r="B914" s="127"/>
    </row>
    <row r="915" ht="15.75" customHeight="1">
      <c r="A915" s="127"/>
      <c r="B915" s="127"/>
    </row>
    <row r="916" ht="15.75" customHeight="1">
      <c r="A916" s="127"/>
      <c r="B916" s="127"/>
    </row>
    <row r="917" ht="15.75" customHeight="1">
      <c r="A917" s="127"/>
      <c r="B917" s="127"/>
    </row>
    <row r="918" ht="15.75" customHeight="1">
      <c r="A918" s="127"/>
      <c r="B918" s="127"/>
    </row>
    <row r="919" ht="15.75" customHeight="1">
      <c r="A919" s="127"/>
      <c r="B919" s="127"/>
    </row>
    <row r="920" ht="15.75" customHeight="1">
      <c r="A920" s="127"/>
      <c r="B920" s="127"/>
    </row>
    <row r="921" ht="15.75" customHeight="1">
      <c r="A921" s="127"/>
      <c r="B921" s="127"/>
    </row>
    <row r="922" ht="15.75" customHeight="1">
      <c r="A922" s="127"/>
      <c r="B922" s="127"/>
    </row>
    <row r="923" ht="15.75" customHeight="1">
      <c r="A923" s="127"/>
      <c r="B923" s="127"/>
    </row>
    <row r="924" ht="15.75" customHeight="1">
      <c r="A924" s="127"/>
      <c r="B924" s="127"/>
    </row>
    <row r="925" ht="15.75" customHeight="1">
      <c r="A925" s="127"/>
      <c r="B925" s="127"/>
    </row>
    <row r="926" ht="15.75" customHeight="1">
      <c r="A926" s="127"/>
      <c r="B926" s="127"/>
    </row>
    <row r="927" ht="15.75" customHeight="1">
      <c r="A927" s="127"/>
      <c r="B927" s="127"/>
    </row>
    <row r="928" ht="15.75" customHeight="1">
      <c r="A928" s="127"/>
      <c r="B928" s="127"/>
    </row>
    <row r="929" ht="15.75" customHeight="1">
      <c r="A929" s="127"/>
      <c r="B929" s="127"/>
    </row>
    <row r="930" ht="15.75" customHeight="1">
      <c r="A930" s="127"/>
      <c r="B930" s="127"/>
    </row>
    <row r="931" ht="15.75" customHeight="1">
      <c r="A931" s="127"/>
      <c r="B931" s="127"/>
    </row>
    <row r="932" ht="15.75" customHeight="1">
      <c r="A932" s="127"/>
      <c r="B932" s="127"/>
    </row>
    <row r="933" ht="15.75" customHeight="1">
      <c r="A933" s="127"/>
      <c r="B933" s="127"/>
    </row>
    <row r="934" ht="15.75" customHeight="1">
      <c r="A934" s="127"/>
      <c r="B934" s="127"/>
    </row>
    <row r="935" ht="15.75" customHeight="1">
      <c r="A935" s="127"/>
      <c r="B935" s="127"/>
    </row>
    <row r="936" ht="15.75" customHeight="1">
      <c r="A936" s="127"/>
      <c r="B936" s="127"/>
    </row>
    <row r="937" ht="15.75" customHeight="1">
      <c r="A937" s="127"/>
      <c r="B937" s="127"/>
    </row>
    <row r="938" ht="15.75" customHeight="1">
      <c r="A938" s="127"/>
      <c r="B938" s="127"/>
    </row>
    <row r="939" ht="15.75" customHeight="1">
      <c r="A939" s="127"/>
      <c r="B939" s="127"/>
    </row>
    <row r="940" ht="15.75" customHeight="1">
      <c r="A940" s="127"/>
      <c r="B940" s="127"/>
    </row>
    <row r="941" ht="15.75" customHeight="1">
      <c r="A941" s="127"/>
      <c r="B941" s="127"/>
    </row>
    <row r="942" ht="15.75" customHeight="1">
      <c r="A942" s="127"/>
      <c r="B942" s="127"/>
    </row>
    <row r="943" ht="15.75" customHeight="1">
      <c r="A943" s="127"/>
      <c r="B943" s="127"/>
    </row>
    <row r="944" ht="15.75" customHeight="1">
      <c r="A944" s="127"/>
      <c r="B944" s="127"/>
    </row>
    <row r="945" ht="15.75" customHeight="1">
      <c r="A945" s="127"/>
      <c r="B945" s="127"/>
    </row>
    <row r="946" ht="15.75" customHeight="1">
      <c r="A946" s="127"/>
      <c r="B946" s="127"/>
    </row>
    <row r="947" ht="15.75" customHeight="1">
      <c r="A947" s="127"/>
      <c r="B947" s="127"/>
    </row>
    <row r="948" ht="15.75" customHeight="1">
      <c r="A948" s="127"/>
      <c r="B948" s="127"/>
    </row>
    <row r="949" ht="15.75" customHeight="1">
      <c r="A949" s="127"/>
      <c r="B949" s="127"/>
    </row>
    <row r="950" ht="15.75" customHeight="1">
      <c r="A950" s="127"/>
      <c r="B950" s="127"/>
    </row>
    <row r="951" ht="15.75" customHeight="1">
      <c r="A951" s="127"/>
      <c r="B951" s="127"/>
    </row>
    <row r="952" ht="15.75" customHeight="1">
      <c r="A952" s="127"/>
      <c r="B952" s="127"/>
    </row>
    <row r="953" ht="15.75" customHeight="1">
      <c r="A953" s="127"/>
      <c r="B953" s="127"/>
    </row>
    <row r="954" ht="15.75" customHeight="1">
      <c r="A954" s="127"/>
      <c r="B954" s="127"/>
    </row>
    <row r="955" ht="15.75" customHeight="1">
      <c r="A955" s="127"/>
      <c r="B955" s="127"/>
    </row>
    <row r="956" ht="15.75" customHeight="1">
      <c r="A956" s="127"/>
      <c r="B956" s="127"/>
    </row>
    <row r="957" ht="15.75" customHeight="1">
      <c r="A957" s="127"/>
      <c r="B957" s="127"/>
    </row>
    <row r="958" ht="15.75" customHeight="1">
      <c r="A958" s="127"/>
      <c r="B958" s="127"/>
    </row>
    <row r="959" ht="15.75" customHeight="1">
      <c r="A959" s="127"/>
      <c r="B959" s="127"/>
    </row>
    <row r="960" ht="15.75" customHeight="1">
      <c r="A960" s="127"/>
      <c r="B960" s="127"/>
    </row>
    <row r="961" ht="15.75" customHeight="1">
      <c r="A961" s="127"/>
      <c r="B961" s="127"/>
    </row>
    <row r="962" ht="15.75" customHeight="1">
      <c r="A962" s="127"/>
      <c r="B962" s="127"/>
    </row>
    <row r="963" ht="15.75" customHeight="1">
      <c r="A963" s="127"/>
      <c r="B963" s="127"/>
    </row>
    <row r="964" ht="15.75" customHeight="1">
      <c r="A964" s="127"/>
      <c r="B964" s="127"/>
    </row>
    <row r="965" ht="15.75" customHeight="1">
      <c r="A965" s="127"/>
      <c r="B965" s="127"/>
    </row>
    <row r="966" ht="15.75" customHeight="1">
      <c r="A966" s="127"/>
      <c r="B966" s="127"/>
    </row>
    <row r="967" ht="15.75" customHeight="1">
      <c r="A967" s="127"/>
      <c r="B967" s="127"/>
    </row>
    <row r="968" ht="15.75" customHeight="1">
      <c r="A968" s="127"/>
      <c r="B968" s="127"/>
    </row>
    <row r="969" ht="15.75" customHeight="1">
      <c r="A969" s="127"/>
      <c r="B969" s="127"/>
    </row>
    <row r="970" ht="15.75" customHeight="1">
      <c r="A970" s="127"/>
      <c r="B970" s="127"/>
    </row>
    <row r="971" ht="15.75" customHeight="1">
      <c r="A971" s="127"/>
      <c r="B971" s="127"/>
    </row>
    <row r="972" ht="15.75" customHeight="1">
      <c r="A972" s="127"/>
      <c r="B972" s="127"/>
    </row>
    <row r="973" ht="15.75" customHeight="1">
      <c r="A973" s="127"/>
      <c r="B973" s="127"/>
    </row>
    <row r="974" ht="15.75" customHeight="1">
      <c r="A974" s="127"/>
      <c r="B974" s="127"/>
    </row>
    <row r="975" ht="15.75" customHeight="1">
      <c r="A975" s="127"/>
      <c r="B975" s="127"/>
    </row>
    <row r="976" ht="15.75" customHeight="1">
      <c r="A976" s="127"/>
      <c r="B976" s="127"/>
    </row>
    <row r="977" ht="15.75" customHeight="1">
      <c r="A977" s="127"/>
      <c r="B977" s="127"/>
    </row>
    <row r="978" ht="15.75" customHeight="1">
      <c r="A978" s="127"/>
      <c r="B978" s="127"/>
    </row>
    <row r="979" ht="15.75" customHeight="1">
      <c r="A979" s="127"/>
      <c r="B979" s="127"/>
    </row>
    <row r="980" ht="15.75" customHeight="1">
      <c r="A980" s="127"/>
      <c r="B980" s="127"/>
    </row>
    <row r="981" ht="15.75" customHeight="1">
      <c r="A981" s="127"/>
      <c r="B981" s="127"/>
    </row>
    <row r="982" ht="15.75" customHeight="1">
      <c r="A982" s="127"/>
      <c r="B982" s="127"/>
    </row>
    <row r="983" ht="15.75" customHeight="1">
      <c r="A983" s="127"/>
      <c r="B983" s="127"/>
    </row>
    <row r="984" ht="15.75" customHeight="1">
      <c r="A984" s="127"/>
      <c r="B984" s="127"/>
    </row>
    <row r="985" ht="15.75" customHeight="1">
      <c r="A985" s="127"/>
      <c r="B985" s="127"/>
    </row>
    <row r="986" ht="15.75" customHeight="1">
      <c r="A986" s="127"/>
      <c r="B986" s="127"/>
    </row>
    <row r="987" ht="15.75" customHeight="1">
      <c r="A987" s="127"/>
      <c r="B987" s="127"/>
    </row>
    <row r="988" ht="15.75" customHeight="1">
      <c r="A988" s="127"/>
      <c r="B988" s="127"/>
    </row>
    <row r="989" ht="15.75" customHeight="1">
      <c r="A989" s="127"/>
      <c r="B989" s="127"/>
    </row>
    <row r="990" ht="15.75" customHeight="1">
      <c r="A990" s="127"/>
      <c r="B990" s="127"/>
    </row>
    <row r="991" ht="15.75" customHeight="1">
      <c r="A991" s="127"/>
      <c r="B991" s="127"/>
    </row>
    <row r="992" ht="15.75" customHeight="1">
      <c r="A992" s="127"/>
      <c r="B992" s="127"/>
    </row>
    <row r="993" ht="15.75" customHeight="1">
      <c r="A993" s="127"/>
      <c r="B993" s="127"/>
    </row>
    <row r="994" ht="15.75" customHeight="1">
      <c r="A994" s="127"/>
      <c r="B994" s="127"/>
    </row>
    <row r="995" ht="15.75" customHeight="1">
      <c r="A995" s="127"/>
      <c r="B995" s="127"/>
    </row>
    <row r="996" ht="15.75" customHeight="1">
      <c r="A996" s="127"/>
      <c r="B996" s="127"/>
    </row>
    <row r="997" ht="15.75" customHeight="1">
      <c r="A997" s="127"/>
      <c r="B997" s="127"/>
    </row>
    <row r="998" ht="15.75" customHeight="1">
      <c r="A998" s="127"/>
      <c r="B998" s="127"/>
    </row>
    <row r="999" ht="15.75" customHeight="1">
      <c r="A999" s="127"/>
      <c r="B999" s="127"/>
    </row>
    <row r="1000" ht="15.75" customHeight="1">
      <c r="A1000" s="127"/>
      <c r="B1000" s="127"/>
    </row>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128" t="s">
        <v>8</v>
      </c>
      <c r="B1" s="128" t="s">
        <v>13</v>
      </c>
      <c r="C1" s="128" t="s">
        <v>23</v>
      </c>
      <c r="D1" s="128" t="s">
        <v>42</v>
      </c>
      <c r="E1" s="128" t="s">
        <v>43</v>
      </c>
      <c r="F1" s="128" t="s">
        <v>65</v>
      </c>
      <c r="G1" s="128" t="s">
        <v>32</v>
      </c>
      <c r="H1" s="128" t="s">
        <v>27</v>
      </c>
      <c r="I1" s="128" t="s">
        <v>28</v>
      </c>
      <c r="J1" s="128" t="s">
        <v>29</v>
      </c>
      <c r="K1" s="128" t="s">
        <v>31</v>
      </c>
      <c r="L1" s="128" t="s">
        <v>26</v>
      </c>
      <c r="M1" s="128" t="s">
        <v>33</v>
      </c>
      <c r="N1" s="128" t="s">
        <v>46</v>
      </c>
      <c r="O1" s="128" t="s">
        <v>57</v>
      </c>
      <c r="P1" s="128" t="s">
        <v>59</v>
      </c>
      <c r="Q1" s="128" t="s">
        <v>66</v>
      </c>
    </row>
    <row r="2">
      <c r="A2" s="129">
        <v>417.0</v>
      </c>
      <c r="B2" s="129">
        <v>2020.0</v>
      </c>
      <c r="C2" s="129">
        <v>-9.0</v>
      </c>
      <c r="D2" s="129">
        <v>-37.4222</v>
      </c>
      <c r="E2" s="129">
        <v>144.0944</v>
      </c>
      <c r="F2" s="128" t="s">
        <v>802</v>
      </c>
      <c r="G2" s="128" t="s">
        <v>1006</v>
      </c>
      <c r="H2" s="128" t="s">
        <v>193</v>
      </c>
      <c r="I2" s="128" t="s">
        <v>246</v>
      </c>
      <c r="J2" s="128"/>
      <c r="K2" s="129">
        <v>1.0</v>
      </c>
      <c r="L2" s="129">
        <v>1000.0</v>
      </c>
      <c r="M2" s="128" t="s">
        <v>1007</v>
      </c>
      <c r="N2" s="129">
        <v>715.0</v>
      </c>
      <c r="O2" s="128"/>
      <c r="P2" s="129">
        <v>1000.0</v>
      </c>
      <c r="Q2" s="128" t="s">
        <v>572</v>
      </c>
    </row>
    <row r="3">
      <c r="A3" s="129">
        <v>693.0</v>
      </c>
      <c r="B3" s="129">
        <v>2012.0</v>
      </c>
      <c r="C3" s="129">
        <v>9.0</v>
      </c>
      <c r="D3" s="129">
        <v>-35.25</v>
      </c>
      <c r="E3" s="129">
        <v>-71.32</v>
      </c>
      <c r="F3" s="128" t="s">
        <v>1364</v>
      </c>
      <c r="G3" s="128" t="s">
        <v>1357</v>
      </c>
      <c r="H3" s="128" t="s">
        <v>1355</v>
      </c>
      <c r="I3" s="128" t="s">
        <v>1356</v>
      </c>
      <c r="J3" s="129">
        <v>13.0</v>
      </c>
      <c r="K3" s="129">
        <v>1.0</v>
      </c>
      <c r="L3" s="129">
        <v>180.0</v>
      </c>
      <c r="M3" s="128" t="s">
        <v>1358</v>
      </c>
      <c r="N3" s="129">
        <v>257.0</v>
      </c>
      <c r="O3" s="128" t="s">
        <v>1362</v>
      </c>
      <c r="P3" s="129">
        <v>30.0</v>
      </c>
      <c r="Q3" s="128" t="s">
        <v>572</v>
      </c>
    </row>
    <row r="4">
      <c r="A4" s="129">
        <v>798.0</v>
      </c>
      <c r="B4" s="129">
        <v>2021.0</v>
      </c>
      <c r="C4" s="129">
        <v>25.2</v>
      </c>
      <c r="D4" s="129">
        <v>-35.23</v>
      </c>
      <c r="E4" s="129">
        <v>-71.44</v>
      </c>
      <c r="F4" s="128" t="s">
        <v>984</v>
      </c>
      <c r="G4" s="128" t="s">
        <v>1491</v>
      </c>
      <c r="H4" s="128" t="s">
        <v>1489</v>
      </c>
      <c r="I4" s="128" t="s">
        <v>1490</v>
      </c>
      <c r="J4" s="129">
        <v>9.0</v>
      </c>
      <c r="K4" s="129">
        <v>1.0</v>
      </c>
      <c r="L4" s="128" t="s">
        <v>1488</v>
      </c>
      <c r="M4" s="128" t="s">
        <v>1491</v>
      </c>
      <c r="N4" s="129">
        <v>187.0</v>
      </c>
      <c r="O4" s="128" t="s">
        <v>5986</v>
      </c>
      <c r="P4" s="129">
        <v>30.0</v>
      </c>
      <c r="Q4" s="128" t="s">
        <v>572</v>
      </c>
    </row>
    <row r="5">
      <c r="A5" s="129">
        <v>799.0</v>
      </c>
      <c r="B5" s="129">
        <v>2021.0</v>
      </c>
      <c r="C5" s="129">
        <v>14.1</v>
      </c>
      <c r="D5" s="129">
        <v>-35.23</v>
      </c>
      <c r="E5" s="129">
        <v>-71.44</v>
      </c>
      <c r="F5" s="128" t="s">
        <v>984</v>
      </c>
      <c r="G5" s="128" t="s">
        <v>1491</v>
      </c>
      <c r="H5" s="128" t="s">
        <v>1489</v>
      </c>
      <c r="I5" s="128" t="s">
        <v>1490</v>
      </c>
      <c r="J5" s="129">
        <v>9.0</v>
      </c>
      <c r="K5" s="129">
        <v>1.0</v>
      </c>
      <c r="L5" s="128" t="s">
        <v>1488</v>
      </c>
      <c r="M5" s="128" t="s">
        <v>1491</v>
      </c>
      <c r="N5" s="129">
        <v>187.0</v>
      </c>
      <c r="O5" s="128" t="s">
        <v>5986</v>
      </c>
      <c r="P5" s="129">
        <v>30.0</v>
      </c>
      <c r="Q5" s="128" t="s">
        <v>572</v>
      </c>
    </row>
    <row r="6">
      <c r="A6" s="129">
        <v>426.0</v>
      </c>
      <c r="B6" s="129">
        <v>2020.0</v>
      </c>
      <c r="C6" s="129">
        <v>8.0</v>
      </c>
      <c r="D6" s="129">
        <v>-33.4648</v>
      </c>
      <c r="E6" s="129">
        <v>-66.4598</v>
      </c>
      <c r="F6" s="128" t="s">
        <v>802</v>
      </c>
      <c r="G6" s="128" t="s">
        <v>1019</v>
      </c>
      <c r="H6" s="128" t="s">
        <v>193</v>
      </c>
      <c r="I6" s="128" t="s">
        <v>246</v>
      </c>
      <c r="J6" s="128"/>
      <c r="K6" s="129">
        <v>1.0</v>
      </c>
      <c r="L6" s="129">
        <v>1000.0</v>
      </c>
      <c r="M6" s="128" t="s">
        <v>1020</v>
      </c>
      <c r="N6" s="129">
        <v>506.0</v>
      </c>
      <c r="O6" s="128"/>
      <c r="P6" s="129">
        <v>1000.0</v>
      </c>
      <c r="Q6" s="128" t="s">
        <v>572</v>
      </c>
    </row>
    <row r="7">
      <c r="A7" s="129">
        <v>1849.0</v>
      </c>
      <c r="B7" s="129">
        <v>2018.0</v>
      </c>
      <c r="C7" s="129">
        <v>50.0</v>
      </c>
      <c r="D7" s="129">
        <v>-28.6041</v>
      </c>
      <c r="E7" s="129">
        <v>-53.6741</v>
      </c>
      <c r="F7" s="128" t="s">
        <v>571</v>
      </c>
      <c r="G7" s="128" t="s">
        <v>2850</v>
      </c>
      <c r="H7" s="128" t="s">
        <v>536</v>
      </c>
      <c r="I7" s="128" t="s">
        <v>234</v>
      </c>
      <c r="J7" s="129">
        <v>32.0</v>
      </c>
      <c r="K7" s="129">
        <v>1.0</v>
      </c>
      <c r="L7" s="129">
        <v>3000.0</v>
      </c>
      <c r="M7" s="128" t="s">
        <v>5987</v>
      </c>
      <c r="N7" s="129">
        <v>426.0</v>
      </c>
      <c r="O7" s="128"/>
      <c r="P7" s="129">
        <v>1000.0</v>
      </c>
      <c r="Q7" s="128" t="s">
        <v>572</v>
      </c>
    </row>
    <row r="8">
      <c r="A8" s="129">
        <v>1848.0</v>
      </c>
      <c r="B8" s="129">
        <v>2018.0</v>
      </c>
      <c r="C8" s="129">
        <v>7.5</v>
      </c>
      <c r="D8" s="129">
        <v>-28.604</v>
      </c>
      <c r="E8" s="129">
        <v>-53.674</v>
      </c>
      <c r="F8" s="128" t="s">
        <v>571</v>
      </c>
      <c r="G8" s="128" t="s">
        <v>2850</v>
      </c>
      <c r="H8" s="128" t="s">
        <v>536</v>
      </c>
      <c r="I8" s="128" t="s">
        <v>234</v>
      </c>
      <c r="J8" s="129">
        <v>32.0</v>
      </c>
      <c r="K8" s="129">
        <v>1.0</v>
      </c>
      <c r="L8" s="129">
        <v>3000.0</v>
      </c>
      <c r="M8" s="128" t="s">
        <v>5987</v>
      </c>
      <c r="N8" s="129">
        <v>426.0</v>
      </c>
      <c r="O8" s="128"/>
      <c r="P8" s="129">
        <v>1000.0</v>
      </c>
      <c r="Q8" s="128" t="s">
        <v>572</v>
      </c>
    </row>
    <row r="9">
      <c r="A9" s="129">
        <v>1847.0</v>
      </c>
      <c r="B9" s="129">
        <v>2018.0</v>
      </c>
      <c r="C9" s="129">
        <v>9.4</v>
      </c>
      <c r="D9" s="129">
        <v>-28.6039</v>
      </c>
      <c r="E9" s="129">
        <v>-53.6739</v>
      </c>
      <c r="F9" s="128" t="s">
        <v>571</v>
      </c>
      <c r="G9" s="128" t="s">
        <v>2850</v>
      </c>
      <c r="H9" s="128" t="s">
        <v>536</v>
      </c>
      <c r="I9" s="128" t="s">
        <v>234</v>
      </c>
      <c r="J9" s="129">
        <v>20.0</v>
      </c>
      <c r="K9" s="129">
        <v>1.0</v>
      </c>
      <c r="L9" s="129">
        <v>3000.0</v>
      </c>
      <c r="M9" s="128" t="s">
        <v>5987</v>
      </c>
      <c r="N9" s="129">
        <v>426.0</v>
      </c>
      <c r="O9" s="128"/>
      <c r="P9" s="129">
        <v>1000.0</v>
      </c>
      <c r="Q9" s="128" t="s">
        <v>572</v>
      </c>
    </row>
    <row r="10">
      <c r="A10" s="129">
        <v>1846.0</v>
      </c>
      <c r="B10" s="129">
        <v>2018.0</v>
      </c>
      <c r="C10" s="129">
        <v>7.4</v>
      </c>
      <c r="D10" s="129">
        <v>-28.6038</v>
      </c>
      <c r="E10" s="129">
        <v>-53.6738</v>
      </c>
      <c r="F10" s="128" t="s">
        <v>2855</v>
      </c>
      <c r="G10" s="128" t="s">
        <v>2850</v>
      </c>
      <c r="H10" s="128" t="s">
        <v>536</v>
      </c>
      <c r="I10" s="128" t="s">
        <v>234</v>
      </c>
      <c r="J10" s="129">
        <v>32.0</v>
      </c>
      <c r="K10" s="129">
        <v>1.0</v>
      </c>
      <c r="L10" s="129">
        <v>3000.0</v>
      </c>
      <c r="M10" s="128" t="s">
        <v>5987</v>
      </c>
      <c r="N10" s="129">
        <v>426.0</v>
      </c>
      <c r="O10" s="128"/>
      <c r="P10" s="129">
        <v>1000.0</v>
      </c>
      <c r="Q10" s="128" t="s">
        <v>572</v>
      </c>
    </row>
    <row r="11">
      <c r="A11" s="129">
        <v>1845.0</v>
      </c>
      <c r="B11" s="129">
        <v>2018.0</v>
      </c>
      <c r="C11" s="129">
        <v>-18.7</v>
      </c>
      <c r="D11" s="129">
        <v>-28.6037</v>
      </c>
      <c r="E11" s="129">
        <v>-53.6737</v>
      </c>
      <c r="F11" s="128" t="s">
        <v>2855</v>
      </c>
      <c r="G11" s="128" t="s">
        <v>2850</v>
      </c>
      <c r="H11" s="128" t="s">
        <v>536</v>
      </c>
      <c r="I11" s="128" t="s">
        <v>234</v>
      </c>
      <c r="J11" s="129">
        <v>32.0</v>
      </c>
      <c r="K11" s="129">
        <v>1.0</v>
      </c>
      <c r="L11" s="129">
        <v>3000.0</v>
      </c>
      <c r="M11" s="128" t="s">
        <v>5987</v>
      </c>
      <c r="N11" s="129">
        <v>426.0</v>
      </c>
      <c r="O11" s="128"/>
      <c r="P11" s="129">
        <v>1000.0</v>
      </c>
      <c r="Q11" s="128" t="s">
        <v>572</v>
      </c>
    </row>
    <row r="12">
      <c r="A12" s="129">
        <v>1844.0</v>
      </c>
      <c r="B12" s="129">
        <v>2018.0</v>
      </c>
      <c r="C12" s="129">
        <v>-2.8</v>
      </c>
      <c r="D12" s="129">
        <v>-28.6036</v>
      </c>
      <c r="E12" s="129">
        <v>-53.6736</v>
      </c>
      <c r="F12" s="128" t="s">
        <v>2855</v>
      </c>
      <c r="G12" s="128" t="s">
        <v>2850</v>
      </c>
      <c r="H12" s="128" t="s">
        <v>536</v>
      </c>
      <c r="I12" s="128" t="s">
        <v>234</v>
      </c>
      <c r="J12" s="129">
        <v>20.0</v>
      </c>
      <c r="K12" s="129">
        <v>1.0</v>
      </c>
      <c r="L12" s="129">
        <v>3000.0</v>
      </c>
      <c r="M12" s="128" t="s">
        <v>5987</v>
      </c>
      <c r="N12" s="129">
        <v>426.0</v>
      </c>
      <c r="O12" s="128"/>
      <c r="P12" s="129">
        <v>1000.0</v>
      </c>
      <c r="Q12" s="128" t="s">
        <v>572</v>
      </c>
    </row>
    <row r="13">
      <c r="A13" s="129">
        <v>424.0</v>
      </c>
      <c r="B13" s="129">
        <v>2020.0</v>
      </c>
      <c r="C13" s="129">
        <v>18.0</v>
      </c>
      <c r="D13" s="129">
        <v>-25.0197</v>
      </c>
      <c r="E13" s="129">
        <v>31.4969</v>
      </c>
      <c r="F13" s="128" t="s">
        <v>802</v>
      </c>
      <c r="G13" s="128" t="s">
        <v>1014</v>
      </c>
      <c r="H13" s="128" t="s">
        <v>193</v>
      </c>
      <c r="I13" s="128" t="s">
        <v>246</v>
      </c>
      <c r="J13" s="128"/>
      <c r="K13" s="129">
        <v>1.0</v>
      </c>
      <c r="L13" s="129">
        <v>1000.0</v>
      </c>
      <c r="M13" s="128" t="s">
        <v>365</v>
      </c>
      <c r="N13" s="129">
        <v>362.0</v>
      </c>
      <c r="O13" s="128"/>
      <c r="P13" s="129">
        <v>1000.0</v>
      </c>
      <c r="Q13" s="128" t="s">
        <v>572</v>
      </c>
    </row>
    <row r="14">
      <c r="A14" s="129">
        <v>857.0</v>
      </c>
      <c r="B14" s="129">
        <v>2017.0</v>
      </c>
      <c r="C14" s="129">
        <v>207.7</v>
      </c>
      <c r="D14" s="129">
        <v>-23.401</v>
      </c>
      <c r="E14" s="129">
        <v>31.16</v>
      </c>
      <c r="F14" s="128" t="s">
        <v>936</v>
      </c>
      <c r="G14" s="128" t="s">
        <v>1597</v>
      </c>
      <c r="H14" s="128" t="s">
        <v>1595</v>
      </c>
      <c r="I14" s="128" t="s">
        <v>1596</v>
      </c>
      <c r="J14" s="129">
        <v>6.0</v>
      </c>
      <c r="K14" s="129">
        <v>1.0</v>
      </c>
      <c r="L14" s="129">
        <v>1000.0</v>
      </c>
      <c r="M14" s="128" t="s">
        <v>1598</v>
      </c>
      <c r="N14" s="129">
        <v>388.0</v>
      </c>
      <c r="O14" s="128"/>
      <c r="P14" s="129">
        <v>1000.0</v>
      </c>
      <c r="Q14" s="128" t="s">
        <v>572</v>
      </c>
    </row>
    <row r="15">
      <c r="A15" s="129">
        <v>858.0</v>
      </c>
      <c r="B15" s="129">
        <v>2017.0</v>
      </c>
      <c r="C15" s="129">
        <v>254.9</v>
      </c>
      <c r="D15" s="129">
        <v>-23.401</v>
      </c>
      <c r="E15" s="129">
        <v>31.16</v>
      </c>
      <c r="F15" s="128" t="s">
        <v>936</v>
      </c>
      <c r="G15" s="128" t="s">
        <v>1597</v>
      </c>
      <c r="H15" s="128" t="s">
        <v>1595</v>
      </c>
      <c r="I15" s="128" t="s">
        <v>1596</v>
      </c>
      <c r="J15" s="129">
        <v>6.0</v>
      </c>
      <c r="K15" s="129">
        <v>1.0</v>
      </c>
      <c r="L15" s="129">
        <v>1000.0</v>
      </c>
      <c r="M15" s="128" t="s">
        <v>1598</v>
      </c>
      <c r="N15" s="129">
        <v>388.0</v>
      </c>
      <c r="O15" s="128"/>
      <c r="P15" s="129">
        <v>1000.0</v>
      </c>
      <c r="Q15" s="128" t="s">
        <v>572</v>
      </c>
    </row>
    <row r="16">
      <c r="A16" s="129">
        <v>859.0</v>
      </c>
      <c r="B16" s="129">
        <v>2017.0</v>
      </c>
      <c r="C16" s="129">
        <v>7.6</v>
      </c>
      <c r="D16" s="129">
        <v>-23.3958</v>
      </c>
      <c r="E16" s="129">
        <v>31.142</v>
      </c>
      <c r="F16" s="128" t="s">
        <v>936</v>
      </c>
      <c r="G16" s="128" t="s">
        <v>1605</v>
      </c>
      <c r="H16" s="128" t="s">
        <v>1603</v>
      </c>
      <c r="I16" s="128" t="s">
        <v>1604</v>
      </c>
      <c r="J16" s="129">
        <v>7.0</v>
      </c>
      <c r="K16" s="129">
        <v>1.0</v>
      </c>
      <c r="L16" s="129">
        <v>30.0</v>
      </c>
      <c r="M16" s="128" t="s">
        <v>1606</v>
      </c>
      <c r="N16" s="129">
        <v>407.0</v>
      </c>
      <c r="O16" s="128"/>
      <c r="P16" s="129">
        <v>30.0</v>
      </c>
      <c r="Q16" s="128" t="s">
        <v>572</v>
      </c>
    </row>
    <row r="17">
      <c r="A17" s="129">
        <v>860.0</v>
      </c>
      <c r="B17" s="129">
        <v>2017.0</v>
      </c>
      <c r="C17" s="129">
        <v>38.9</v>
      </c>
      <c r="D17" s="129">
        <v>-23.3958</v>
      </c>
      <c r="E17" s="129">
        <v>31.142</v>
      </c>
      <c r="F17" s="128" t="s">
        <v>936</v>
      </c>
      <c r="G17" s="128" t="s">
        <v>1605</v>
      </c>
      <c r="H17" s="128" t="s">
        <v>1603</v>
      </c>
      <c r="I17" s="128" t="s">
        <v>1604</v>
      </c>
      <c r="J17" s="129">
        <v>7.0</v>
      </c>
      <c r="K17" s="129">
        <v>1.0</v>
      </c>
      <c r="L17" s="129">
        <v>30.0</v>
      </c>
      <c r="M17" s="128" t="s">
        <v>1606</v>
      </c>
      <c r="N17" s="129">
        <v>407.0</v>
      </c>
      <c r="O17" s="128"/>
      <c r="P17" s="129">
        <v>30.0</v>
      </c>
      <c r="Q17" s="128" t="s">
        <v>572</v>
      </c>
    </row>
    <row r="18">
      <c r="A18" s="129">
        <v>425.0</v>
      </c>
      <c r="B18" s="129">
        <v>2020.0</v>
      </c>
      <c r="C18" s="129">
        <v>50.0</v>
      </c>
      <c r="D18" s="129">
        <v>-15.4378</v>
      </c>
      <c r="E18" s="129">
        <v>23.2528</v>
      </c>
      <c r="F18" s="128" t="s">
        <v>802</v>
      </c>
      <c r="G18" s="128" t="s">
        <v>1016</v>
      </c>
      <c r="H18" s="128" t="s">
        <v>193</v>
      </c>
      <c r="I18" s="128" t="s">
        <v>246</v>
      </c>
      <c r="J18" s="128"/>
      <c r="K18" s="129">
        <v>1.0</v>
      </c>
      <c r="L18" s="129">
        <v>1000.0</v>
      </c>
      <c r="M18" s="128" t="s">
        <v>1017</v>
      </c>
      <c r="N18" s="129">
        <v>1087.0</v>
      </c>
      <c r="O18" s="128"/>
      <c r="P18" s="129">
        <v>1000.0</v>
      </c>
      <c r="Q18" s="128" t="s">
        <v>572</v>
      </c>
    </row>
    <row r="19">
      <c r="A19" s="129">
        <v>416.0</v>
      </c>
      <c r="B19" s="129">
        <v>2020.0</v>
      </c>
      <c r="C19" s="129">
        <v>42.0</v>
      </c>
      <c r="D19" s="129">
        <v>-14.0633</v>
      </c>
      <c r="E19" s="129">
        <v>131.3181</v>
      </c>
      <c r="F19" s="128" t="s">
        <v>802</v>
      </c>
      <c r="G19" s="128" t="s">
        <v>1000</v>
      </c>
      <c r="H19" s="128" t="s">
        <v>193</v>
      </c>
      <c r="I19" s="128" t="s">
        <v>246</v>
      </c>
      <c r="J19" s="128"/>
      <c r="K19" s="129">
        <v>1.0</v>
      </c>
      <c r="L19" s="129">
        <v>1000.0</v>
      </c>
      <c r="M19" s="128" t="s">
        <v>1001</v>
      </c>
      <c r="N19" s="129">
        <v>70.0</v>
      </c>
      <c r="O19" s="128"/>
      <c r="P19" s="129">
        <v>1000.0</v>
      </c>
      <c r="Q19" s="128" t="s">
        <v>572</v>
      </c>
    </row>
    <row r="20">
      <c r="A20" s="129">
        <v>854.0</v>
      </c>
      <c r="B20" s="129">
        <v>2020.0</v>
      </c>
      <c r="C20" s="129">
        <v>65.2</v>
      </c>
      <c r="D20" s="129">
        <v>-6.34468</v>
      </c>
      <c r="E20" s="129">
        <v>-37.1456</v>
      </c>
      <c r="F20" s="128" t="s">
        <v>571</v>
      </c>
      <c r="G20" s="128" t="s">
        <v>1580</v>
      </c>
      <c r="H20" s="128" t="s">
        <v>245</v>
      </c>
      <c r="I20" s="128" t="s">
        <v>168</v>
      </c>
      <c r="J20" s="128"/>
      <c r="K20" s="129">
        <v>1.0</v>
      </c>
      <c r="L20" s="129">
        <v>500.0</v>
      </c>
      <c r="M20" s="128" t="s">
        <v>1581</v>
      </c>
      <c r="N20" s="129">
        <v>155.0</v>
      </c>
      <c r="O20" s="128" t="s">
        <v>1585</v>
      </c>
      <c r="P20" s="129">
        <v>500.0</v>
      </c>
      <c r="Q20" s="128" t="s">
        <v>572</v>
      </c>
    </row>
    <row r="21">
      <c r="A21" s="129">
        <v>855.0</v>
      </c>
      <c r="B21" s="129">
        <v>2020.0</v>
      </c>
      <c r="C21" s="129">
        <v>77.0</v>
      </c>
      <c r="D21" s="129">
        <v>-6.34468</v>
      </c>
      <c r="E21" s="129">
        <v>-37.1456</v>
      </c>
      <c r="F21" s="128" t="s">
        <v>571</v>
      </c>
      <c r="G21" s="128" t="s">
        <v>1580</v>
      </c>
      <c r="H21" s="128" t="s">
        <v>245</v>
      </c>
      <c r="I21" s="128" t="s">
        <v>168</v>
      </c>
      <c r="J21" s="128"/>
      <c r="K21" s="129">
        <v>1.0</v>
      </c>
      <c r="L21" s="129">
        <v>500.0</v>
      </c>
      <c r="M21" s="128" t="s">
        <v>1581</v>
      </c>
      <c r="N21" s="129">
        <v>155.0</v>
      </c>
      <c r="O21" s="128" t="s">
        <v>1585</v>
      </c>
      <c r="P21" s="129">
        <v>500.0</v>
      </c>
      <c r="Q21" s="128" t="s">
        <v>572</v>
      </c>
    </row>
    <row r="22">
      <c r="A22" s="129">
        <v>427.0</v>
      </c>
      <c r="B22" s="129">
        <v>2020.0</v>
      </c>
      <c r="C22" s="129">
        <v>-1.0</v>
      </c>
      <c r="D22" s="129">
        <v>-3.018</v>
      </c>
      <c r="E22" s="129">
        <v>-54.9714</v>
      </c>
      <c r="F22" s="128" t="s">
        <v>802</v>
      </c>
      <c r="G22" s="128" t="s">
        <v>1022</v>
      </c>
      <c r="H22" s="128" t="s">
        <v>193</v>
      </c>
      <c r="I22" s="128" t="s">
        <v>246</v>
      </c>
      <c r="J22" s="128"/>
      <c r="K22" s="129">
        <v>1.0</v>
      </c>
      <c r="L22" s="129">
        <v>1000.0</v>
      </c>
      <c r="M22" s="128" t="s">
        <v>1023</v>
      </c>
      <c r="N22" s="129">
        <v>181.0</v>
      </c>
      <c r="O22" s="128"/>
      <c r="P22" s="129">
        <v>1000.0</v>
      </c>
      <c r="Q22" s="128" t="s">
        <v>572</v>
      </c>
    </row>
    <row r="23">
      <c r="A23" s="129">
        <v>701.0</v>
      </c>
      <c r="B23" s="129">
        <v>2020.0</v>
      </c>
      <c r="C23" s="129">
        <v>0.0</v>
      </c>
      <c r="D23" s="129">
        <v>24.104</v>
      </c>
      <c r="E23" s="129">
        <v>48.0256</v>
      </c>
      <c r="F23" s="128" t="s">
        <v>1364</v>
      </c>
      <c r="G23" s="128" t="s">
        <v>1400</v>
      </c>
      <c r="H23" s="128" t="s">
        <v>1399</v>
      </c>
      <c r="I23" s="128" t="s">
        <v>1399</v>
      </c>
      <c r="J23" s="129">
        <v>1.0</v>
      </c>
      <c r="K23" s="129">
        <v>1.0</v>
      </c>
      <c r="L23" s="129">
        <v>30.0</v>
      </c>
      <c r="M23" s="128" t="s">
        <v>1401</v>
      </c>
      <c r="N23" s="129">
        <v>454.0</v>
      </c>
      <c r="O23" s="128"/>
      <c r="P23" s="129">
        <v>30.0</v>
      </c>
      <c r="Q23" s="128" t="s">
        <v>572</v>
      </c>
    </row>
    <row r="24">
      <c r="A24" s="129">
        <v>702.0</v>
      </c>
      <c r="B24" s="129">
        <v>2020.0</v>
      </c>
      <c r="C24" s="129">
        <v>34.09</v>
      </c>
      <c r="D24" s="129">
        <v>24.104</v>
      </c>
      <c r="E24" s="129">
        <v>48.0256</v>
      </c>
      <c r="F24" s="128" t="s">
        <v>1364</v>
      </c>
      <c r="G24" s="128" t="s">
        <v>1400</v>
      </c>
      <c r="H24" s="128" t="s">
        <v>1407</v>
      </c>
      <c r="I24" s="128" t="s">
        <v>1407</v>
      </c>
      <c r="J24" s="129">
        <v>1.0</v>
      </c>
      <c r="K24" s="129">
        <v>1.0</v>
      </c>
      <c r="L24" s="129">
        <v>30.0</v>
      </c>
      <c r="M24" s="128" t="s">
        <v>1401</v>
      </c>
      <c r="N24" s="129">
        <v>454.0</v>
      </c>
      <c r="O24" s="128"/>
      <c r="P24" s="129">
        <v>30.0</v>
      </c>
      <c r="Q24" s="128" t="s">
        <v>572</v>
      </c>
    </row>
    <row r="25">
      <c r="A25" s="129">
        <v>703.0</v>
      </c>
      <c r="B25" s="129">
        <v>2020.0</v>
      </c>
      <c r="C25" s="129">
        <v>16.36</v>
      </c>
      <c r="D25" s="129">
        <v>24.104</v>
      </c>
      <c r="E25" s="129">
        <v>48.0256</v>
      </c>
      <c r="F25" s="128" t="s">
        <v>1364</v>
      </c>
      <c r="G25" s="128" t="s">
        <v>1400</v>
      </c>
      <c r="H25" s="128" t="s">
        <v>1408</v>
      </c>
      <c r="I25" s="128" t="s">
        <v>1408</v>
      </c>
      <c r="J25" s="129">
        <v>1.0</v>
      </c>
      <c r="K25" s="129">
        <v>1.0</v>
      </c>
      <c r="L25" s="129">
        <v>30.0</v>
      </c>
      <c r="M25" s="128" t="s">
        <v>1401</v>
      </c>
      <c r="N25" s="129">
        <v>454.0</v>
      </c>
      <c r="O25" s="128"/>
      <c r="P25" s="129">
        <v>30.0</v>
      </c>
      <c r="Q25" s="128" t="s">
        <v>572</v>
      </c>
    </row>
    <row r="26">
      <c r="A26" s="129">
        <v>704.0</v>
      </c>
      <c r="B26" s="129">
        <v>2020.0</v>
      </c>
      <c r="C26" s="129">
        <v>22.73</v>
      </c>
      <c r="D26" s="129">
        <v>24.104</v>
      </c>
      <c r="E26" s="129">
        <v>48.0256</v>
      </c>
      <c r="F26" s="128" t="s">
        <v>1364</v>
      </c>
      <c r="G26" s="128" t="s">
        <v>1400</v>
      </c>
      <c r="H26" s="128" t="s">
        <v>1409</v>
      </c>
      <c r="I26" s="128" t="s">
        <v>1409</v>
      </c>
      <c r="J26" s="129">
        <v>1.0</v>
      </c>
      <c r="K26" s="129">
        <v>1.0</v>
      </c>
      <c r="L26" s="129">
        <v>30.0</v>
      </c>
      <c r="M26" s="128" t="s">
        <v>1401</v>
      </c>
      <c r="N26" s="129">
        <v>454.0</v>
      </c>
      <c r="O26" s="128"/>
      <c r="P26" s="129">
        <v>30.0</v>
      </c>
      <c r="Q26" s="128" t="s">
        <v>572</v>
      </c>
    </row>
    <row r="27">
      <c r="A27" s="129">
        <v>708.0</v>
      </c>
      <c r="B27" s="129">
        <v>2020.0</v>
      </c>
      <c r="C27" s="129">
        <v>0.0</v>
      </c>
      <c r="D27" s="129">
        <v>24.104</v>
      </c>
      <c r="E27" s="129">
        <v>48.0256</v>
      </c>
      <c r="F27" s="128" t="s">
        <v>1364</v>
      </c>
      <c r="G27" s="128" t="s">
        <v>1400</v>
      </c>
      <c r="H27" s="128" t="s">
        <v>1413</v>
      </c>
      <c r="I27" s="128" t="s">
        <v>1413</v>
      </c>
      <c r="J27" s="129">
        <v>1.0</v>
      </c>
      <c r="K27" s="129">
        <v>1.0</v>
      </c>
      <c r="L27" s="129">
        <v>30.0</v>
      </c>
      <c r="M27" s="128" t="s">
        <v>1401</v>
      </c>
      <c r="N27" s="129">
        <v>454.0</v>
      </c>
      <c r="O27" s="128"/>
      <c r="P27" s="129">
        <v>30.0</v>
      </c>
      <c r="Q27" s="128" t="s">
        <v>572</v>
      </c>
    </row>
    <row r="28">
      <c r="A28" s="129">
        <v>705.0</v>
      </c>
      <c r="B28" s="129">
        <v>2020.0</v>
      </c>
      <c r="C28" s="129">
        <v>55.0</v>
      </c>
      <c r="D28" s="129">
        <v>24.104</v>
      </c>
      <c r="E28" s="129">
        <v>48.0256</v>
      </c>
      <c r="F28" s="128" t="s">
        <v>1411</v>
      </c>
      <c r="G28" s="128" t="s">
        <v>1400</v>
      </c>
      <c r="H28" s="128" t="s">
        <v>1410</v>
      </c>
      <c r="I28" s="128" t="s">
        <v>1410</v>
      </c>
      <c r="J28" s="129">
        <v>1.0</v>
      </c>
      <c r="K28" s="129">
        <v>1.0</v>
      </c>
      <c r="L28" s="129">
        <v>30.0</v>
      </c>
      <c r="M28" s="128" t="s">
        <v>1401</v>
      </c>
      <c r="N28" s="129">
        <v>454.0</v>
      </c>
      <c r="O28" s="128"/>
      <c r="P28" s="129">
        <v>30.0</v>
      </c>
      <c r="Q28" s="128" t="s">
        <v>572</v>
      </c>
    </row>
    <row r="29">
      <c r="A29" s="129">
        <v>706.0</v>
      </c>
      <c r="B29" s="129">
        <v>2020.0</v>
      </c>
      <c r="C29" s="129">
        <v>6.82</v>
      </c>
      <c r="D29" s="129">
        <v>24.104</v>
      </c>
      <c r="E29" s="129">
        <v>48.0256</v>
      </c>
      <c r="F29" s="128" t="s">
        <v>1411</v>
      </c>
      <c r="G29" s="128" t="s">
        <v>1400</v>
      </c>
      <c r="H29" s="128" t="s">
        <v>1399</v>
      </c>
      <c r="I29" s="128" t="s">
        <v>1399</v>
      </c>
      <c r="J29" s="129">
        <v>1.0</v>
      </c>
      <c r="K29" s="129">
        <v>1.0</v>
      </c>
      <c r="L29" s="129">
        <v>30.0</v>
      </c>
      <c r="M29" s="128" t="s">
        <v>1401</v>
      </c>
      <c r="N29" s="129">
        <v>454.0</v>
      </c>
      <c r="O29" s="128"/>
      <c r="P29" s="129">
        <v>30.0</v>
      </c>
      <c r="Q29" s="128" t="s">
        <v>572</v>
      </c>
    </row>
    <row r="30">
      <c r="A30" s="129">
        <v>707.0</v>
      </c>
      <c r="B30" s="129">
        <v>2020.0</v>
      </c>
      <c r="C30" s="129">
        <v>15.91</v>
      </c>
      <c r="D30" s="129">
        <v>24.104</v>
      </c>
      <c r="E30" s="129">
        <v>48.0256</v>
      </c>
      <c r="F30" s="128" t="s">
        <v>1411</v>
      </c>
      <c r="G30" s="128" t="s">
        <v>1400</v>
      </c>
      <c r="H30" s="128" t="s">
        <v>1412</v>
      </c>
      <c r="I30" s="128" t="s">
        <v>1412</v>
      </c>
      <c r="J30" s="129">
        <v>1.0</v>
      </c>
      <c r="K30" s="129">
        <v>1.0</v>
      </c>
      <c r="L30" s="129">
        <v>30.0</v>
      </c>
      <c r="M30" s="128" t="s">
        <v>1401</v>
      </c>
      <c r="N30" s="129">
        <v>454.0</v>
      </c>
      <c r="O30" s="128"/>
      <c r="P30" s="129">
        <v>30.0</v>
      </c>
      <c r="Q30" s="128" t="s">
        <v>572</v>
      </c>
    </row>
    <row r="31">
      <c r="A31" s="129">
        <v>709.0</v>
      </c>
      <c r="B31" s="129">
        <v>2020.0</v>
      </c>
      <c r="C31" s="129">
        <v>70.0</v>
      </c>
      <c r="D31" s="129">
        <v>24.104</v>
      </c>
      <c r="E31" s="129">
        <v>48.0256</v>
      </c>
      <c r="F31" s="128" t="s">
        <v>1411</v>
      </c>
      <c r="G31" s="128" t="s">
        <v>1400</v>
      </c>
      <c r="H31" s="128" t="s">
        <v>1414</v>
      </c>
      <c r="I31" s="128" t="s">
        <v>1414</v>
      </c>
      <c r="J31" s="129">
        <v>1.0</v>
      </c>
      <c r="K31" s="129">
        <v>1.0</v>
      </c>
      <c r="L31" s="129">
        <v>30.0</v>
      </c>
      <c r="M31" s="128" t="s">
        <v>1401</v>
      </c>
      <c r="N31" s="129">
        <v>454.0</v>
      </c>
      <c r="O31" s="128"/>
      <c r="P31" s="129">
        <v>30.0</v>
      </c>
      <c r="Q31" s="128" t="s">
        <v>572</v>
      </c>
    </row>
    <row r="32">
      <c r="A32" s="129">
        <v>1404.0</v>
      </c>
      <c r="B32" s="129">
        <v>2017.0</v>
      </c>
      <c r="C32" s="129">
        <v>6.6</v>
      </c>
      <c r="D32" s="129">
        <v>24.17222</v>
      </c>
      <c r="E32" s="129">
        <v>48.06806</v>
      </c>
      <c r="F32" s="128" t="s">
        <v>984</v>
      </c>
      <c r="G32" s="128" t="s">
        <v>2474</v>
      </c>
      <c r="H32" s="128" t="s">
        <v>2219</v>
      </c>
      <c r="I32" s="128" t="s">
        <v>2138</v>
      </c>
      <c r="J32" s="129">
        <v>8.0</v>
      </c>
      <c r="K32" s="129">
        <v>1.0</v>
      </c>
      <c r="L32" s="128"/>
      <c r="M32" s="128" t="s">
        <v>1401</v>
      </c>
      <c r="N32" s="129">
        <v>360.0</v>
      </c>
      <c r="O32" s="129">
        <v>122.0</v>
      </c>
      <c r="P32" s="128"/>
      <c r="Q32" s="128" t="s">
        <v>572</v>
      </c>
    </row>
    <row r="33">
      <c r="A33" s="129">
        <v>1405.0</v>
      </c>
      <c r="B33" s="129">
        <v>2017.0</v>
      </c>
      <c r="C33" s="129">
        <v>4.2</v>
      </c>
      <c r="D33" s="129">
        <v>24.17222</v>
      </c>
      <c r="E33" s="129">
        <v>48.06806</v>
      </c>
      <c r="F33" s="128" t="s">
        <v>984</v>
      </c>
      <c r="G33" s="128" t="s">
        <v>2474</v>
      </c>
      <c r="H33" s="128" t="s">
        <v>2219</v>
      </c>
      <c r="I33" s="128" t="s">
        <v>2138</v>
      </c>
      <c r="J33" s="129">
        <v>8.0</v>
      </c>
      <c r="K33" s="129">
        <v>1.0</v>
      </c>
      <c r="L33" s="128"/>
      <c r="M33" s="128" t="s">
        <v>1401</v>
      </c>
      <c r="N33" s="129">
        <v>360.0</v>
      </c>
      <c r="O33" s="129">
        <v>122.0</v>
      </c>
      <c r="P33" s="128"/>
      <c r="Q33" s="128" t="s">
        <v>572</v>
      </c>
    </row>
    <row r="34">
      <c r="A34" s="129">
        <v>1406.0</v>
      </c>
      <c r="B34" s="129">
        <v>2017.0</v>
      </c>
      <c r="C34" s="129">
        <v>0.73</v>
      </c>
      <c r="D34" s="129">
        <v>24.17222</v>
      </c>
      <c r="E34" s="129">
        <v>48.06806</v>
      </c>
      <c r="F34" s="128" t="s">
        <v>984</v>
      </c>
      <c r="G34" s="128" t="s">
        <v>2474</v>
      </c>
      <c r="H34" s="128" t="s">
        <v>2219</v>
      </c>
      <c r="I34" s="128" t="s">
        <v>2138</v>
      </c>
      <c r="J34" s="129">
        <v>8.0</v>
      </c>
      <c r="K34" s="129">
        <v>1.0</v>
      </c>
      <c r="L34" s="128"/>
      <c r="M34" s="128" t="s">
        <v>1401</v>
      </c>
      <c r="N34" s="129">
        <v>360.0</v>
      </c>
      <c r="O34" s="129">
        <v>122.0</v>
      </c>
      <c r="P34" s="128"/>
      <c r="Q34" s="128" t="s">
        <v>572</v>
      </c>
    </row>
    <row r="35">
      <c r="A35" s="129">
        <v>1325.0</v>
      </c>
      <c r="B35" s="129">
        <v>2015.0</v>
      </c>
      <c r="C35" s="129">
        <v>-17.5</v>
      </c>
      <c r="D35" s="129">
        <v>25.74472</v>
      </c>
      <c r="E35" s="129">
        <v>-80.94</v>
      </c>
      <c r="F35" s="128" t="s">
        <v>2350</v>
      </c>
      <c r="G35" s="128" t="s">
        <v>2362</v>
      </c>
      <c r="H35" s="128" t="s">
        <v>506</v>
      </c>
      <c r="I35" s="128" t="s">
        <v>507</v>
      </c>
      <c r="J35" s="128"/>
      <c r="K35" s="129">
        <v>1.0</v>
      </c>
      <c r="L35" s="128" t="s">
        <v>2345</v>
      </c>
      <c r="M35" s="128" t="s">
        <v>2363</v>
      </c>
      <c r="N35" s="129">
        <v>5.0</v>
      </c>
      <c r="O35" s="128"/>
      <c r="P35" s="129">
        <v>960.0</v>
      </c>
      <c r="Q35" s="128" t="s">
        <v>572</v>
      </c>
    </row>
    <row r="36">
      <c r="A36" s="129">
        <v>1331.0</v>
      </c>
      <c r="B36" s="129">
        <v>2015.0</v>
      </c>
      <c r="C36" s="129">
        <v>-43.8</v>
      </c>
      <c r="D36" s="129">
        <v>25.74472</v>
      </c>
      <c r="E36" s="129">
        <v>-80.94</v>
      </c>
      <c r="F36" s="128" t="s">
        <v>2350</v>
      </c>
      <c r="G36" s="128" t="s">
        <v>2362</v>
      </c>
      <c r="H36" s="128" t="s">
        <v>506</v>
      </c>
      <c r="I36" s="128" t="s">
        <v>507</v>
      </c>
      <c r="J36" s="128"/>
      <c r="K36" s="129">
        <v>1.0</v>
      </c>
      <c r="L36" s="128" t="s">
        <v>2345</v>
      </c>
      <c r="M36" s="128" t="s">
        <v>2363</v>
      </c>
      <c r="N36" s="129">
        <v>5.0</v>
      </c>
      <c r="O36" s="128"/>
      <c r="P36" s="129">
        <v>960.0</v>
      </c>
      <c r="Q36" s="128" t="s">
        <v>572</v>
      </c>
    </row>
    <row r="37">
      <c r="A37" s="129">
        <v>1321.0</v>
      </c>
      <c r="B37" s="129">
        <v>2015.0</v>
      </c>
      <c r="C37" s="129">
        <v>-15.5</v>
      </c>
      <c r="D37" s="129">
        <v>25.75278</v>
      </c>
      <c r="E37" s="129">
        <v>-81.1003</v>
      </c>
      <c r="F37" s="128" t="s">
        <v>2350</v>
      </c>
      <c r="G37" s="128" t="s">
        <v>2347</v>
      </c>
      <c r="H37" s="128" t="s">
        <v>506</v>
      </c>
      <c r="I37" s="128" t="s">
        <v>507</v>
      </c>
      <c r="J37" s="128"/>
      <c r="K37" s="129">
        <v>1.0</v>
      </c>
      <c r="L37" s="128" t="s">
        <v>2345</v>
      </c>
      <c r="M37" s="128" t="s">
        <v>2348</v>
      </c>
      <c r="N37" s="129">
        <v>4.0</v>
      </c>
      <c r="O37" s="128"/>
      <c r="P37" s="129">
        <v>960.0</v>
      </c>
      <c r="Q37" s="128" t="s">
        <v>572</v>
      </c>
    </row>
    <row r="38">
      <c r="A38" s="129">
        <v>1327.0</v>
      </c>
      <c r="B38" s="129">
        <v>2015.0</v>
      </c>
      <c r="C38" s="129">
        <v>-55.2</v>
      </c>
      <c r="D38" s="129">
        <v>25.75278</v>
      </c>
      <c r="E38" s="129">
        <v>-81.1003</v>
      </c>
      <c r="F38" s="128" t="s">
        <v>2350</v>
      </c>
      <c r="G38" s="128" t="s">
        <v>2347</v>
      </c>
      <c r="H38" s="128" t="s">
        <v>506</v>
      </c>
      <c r="I38" s="128" t="s">
        <v>507</v>
      </c>
      <c r="J38" s="128"/>
      <c r="K38" s="129">
        <v>1.0</v>
      </c>
      <c r="L38" s="128" t="s">
        <v>2345</v>
      </c>
      <c r="M38" s="128" t="s">
        <v>2348</v>
      </c>
      <c r="N38" s="129">
        <v>4.0</v>
      </c>
      <c r="O38" s="128"/>
      <c r="P38" s="129">
        <v>960.0</v>
      </c>
      <c r="Q38" s="128" t="s">
        <v>572</v>
      </c>
    </row>
    <row r="39">
      <c r="A39" s="129">
        <v>1323.0</v>
      </c>
      <c r="B39" s="129">
        <v>2015.0</v>
      </c>
      <c r="C39" s="129">
        <v>-9.3</v>
      </c>
      <c r="D39" s="129">
        <v>25.7625</v>
      </c>
      <c r="E39" s="129">
        <v>-80.9075</v>
      </c>
      <c r="F39" s="128" t="s">
        <v>2350</v>
      </c>
      <c r="G39" s="128" t="s">
        <v>2357</v>
      </c>
      <c r="H39" s="128" t="s">
        <v>506</v>
      </c>
      <c r="I39" s="128" t="s">
        <v>507</v>
      </c>
      <c r="J39" s="128"/>
      <c r="K39" s="129">
        <v>1.0</v>
      </c>
      <c r="L39" s="128" t="s">
        <v>2345</v>
      </c>
      <c r="M39" s="128" t="s">
        <v>2358</v>
      </c>
      <c r="N39" s="129">
        <v>6.0</v>
      </c>
      <c r="O39" s="128"/>
      <c r="P39" s="129">
        <v>960.0</v>
      </c>
      <c r="Q39" s="128" t="s">
        <v>572</v>
      </c>
    </row>
    <row r="40">
      <c r="A40" s="129">
        <v>1329.0</v>
      </c>
      <c r="B40" s="129">
        <v>2015.0</v>
      </c>
      <c r="C40" s="129">
        <v>-41.7</v>
      </c>
      <c r="D40" s="129">
        <v>25.7625</v>
      </c>
      <c r="E40" s="129">
        <v>-80.9075</v>
      </c>
      <c r="F40" s="128" t="s">
        <v>2350</v>
      </c>
      <c r="G40" s="128" t="s">
        <v>2357</v>
      </c>
      <c r="H40" s="128" t="s">
        <v>506</v>
      </c>
      <c r="I40" s="128" t="s">
        <v>507</v>
      </c>
      <c r="J40" s="128"/>
      <c r="K40" s="129">
        <v>1.0</v>
      </c>
      <c r="L40" s="128" t="s">
        <v>2345</v>
      </c>
      <c r="M40" s="128" t="s">
        <v>2358</v>
      </c>
      <c r="N40" s="129">
        <v>6.0</v>
      </c>
      <c r="O40" s="128"/>
      <c r="P40" s="129">
        <v>960.0</v>
      </c>
      <c r="Q40" s="128" t="s">
        <v>572</v>
      </c>
    </row>
    <row r="41">
      <c r="A41" s="129">
        <v>1322.0</v>
      </c>
      <c r="B41" s="129">
        <v>2015.0</v>
      </c>
      <c r="C41" s="129">
        <v>-2.3</v>
      </c>
      <c r="D41" s="129">
        <v>26.0004</v>
      </c>
      <c r="E41" s="129">
        <v>-80.9247</v>
      </c>
      <c r="F41" s="128" t="s">
        <v>2350</v>
      </c>
      <c r="G41" s="128" t="s">
        <v>2354</v>
      </c>
      <c r="H41" s="128" t="s">
        <v>506</v>
      </c>
      <c r="I41" s="128" t="s">
        <v>507</v>
      </c>
      <c r="J41" s="128"/>
      <c r="K41" s="129">
        <v>1.0</v>
      </c>
      <c r="L41" s="128" t="s">
        <v>2345</v>
      </c>
      <c r="M41" s="128" t="s">
        <v>2355</v>
      </c>
      <c r="N41" s="129">
        <v>4.0</v>
      </c>
      <c r="O41" s="128"/>
      <c r="P41" s="129">
        <v>960.0</v>
      </c>
      <c r="Q41" s="128" t="s">
        <v>572</v>
      </c>
    </row>
    <row r="42">
      <c r="A42" s="129">
        <v>1328.0</v>
      </c>
      <c r="B42" s="129">
        <v>2015.0</v>
      </c>
      <c r="C42" s="129">
        <v>-34.5</v>
      </c>
      <c r="D42" s="129">
        <v>26.0004</v>
      </c>
      <c r="E42" s="129">
        <v>-80.9247</v>
      </c>
      <c r="F42" s="128" t="s">
        <v>2350</v>
      </c>
      <c r="G42" s="128" t="s">
        <v>2354</v>
      </c>
      <c r="H42" s="128" t="s">
        <v>506</v>
      </c>
      <c r="I42" s="128" t="s">
        <v>507</v>
      </c>
      <c r="J42" s="128"/>
      <c r="K42" s="129">
        <v>1.0</v>
      </c>
      <c r="L42" s="128" t="s">
        <v>2345</v>
      </c>
      <c r="M42" s="128" t="s">
        <v>2355</v>
      </c>
      <c r="N42" s="129">
        <v>4.0</v>
      </c>
      <c r="O42" s="128"/>
      <c r="P42" s="129">
        <v>960.0</v>
      </c>
      <c r="Q42" s="128" t="s">
        <v>572</v>
      </c>
    </row>
    <row r="43">
      <c r="A43" s="129">
        <v>1324.0</v>
      </c>
      <c r="B43" s="129">
        <v>2015.0</v>
      </c>
      <c r="C43" s="129">
        <v>-2.2</v>
      </c>
      <c r="D43" s="129">
        <v>26.1157</v>
      </c>
      <c r="E43" s="129">
        <v>-81.1558</v>
      </c>
      <c r="F43" s="128" t="s">
        <v>2350</v>
      </c>
      <c r="G43" s="128" t="s">
        <v>1566</v>
      </c>
      <c r="H43" s="128" t="s">
        <v>506</v>
      </c>
      <c r="I43" s="128" t="s">
        <v>507</v>
      </c>
      <c r="J43" s="128"/>
      <c r="K43" s="129">
        <v>1.0</v>
      </c>
      <c r="L43" s="128" t="s">
        <v>2345</v>
      </c>
      <c r="M43" s="128" t="s">
        <v>2360</v>
      </c>
      <c r="N43" s="129">
        <v>6.0</v>
      </c>
      <c r="O43" s="128"/>
      <c r="P43" s="129">
        <v>960.0</v>
      </c>
      <c r="Q43" s="128" t="s">
        <v>572</v>
      </c>
    </row>
    <row r="44">
      <c r="A44" s="129">
        <v>1330.0</v>
      </c>
      <c r="B44" s="129">
        <v>2015.0</v>
      </c>
      <c r="C44" s="129">
        <v>-31.2</v>
      </c>
      <c r="D44" s="129">
        <v>26.1157</v>
      </c>
      <c r="E44" s="129">
        <v>-81.1558</v>
      </c>
      <c r="F44" s="128" t="s">
        <v>2350</v>
      </c>
      <c r="G44" s="128" t="s">
        <v>1566</v>
      </c>
      <c r="H44" s="128" t="s">
        <v>506</v>
      </c>
      <c r="I44" s="128" t="s">
        <v>507</v>
      </c>
      <c r="J44" s="128"/>
      <c r="K44" s="129">
        <v>1.0</v>
      </c>
      <c r="L44" s="128" t="s">
        <v>2345</v>
      </c>
      <c r="M44" s="128" t="s">
        <v>2360</v>
      </c>
      <c r="N44" s="129">
        <v>6.0</v>
      </c>
      <c r="O44" s="128"/>
      <c r="P44" s="129">
        <v>960.0</v>
      </c>
      <c r="Q44" s="128" t="s">
        <v>572</v>
      </c>
    </row>
    <row r="45">
      <c r="A45" s="129">
        <v>1816.0</v>
      </c>
      <c r="B45" s="129">
        <v>2021.0</v>
      </c>
      <c r="C45" s="129">
        <v>30.8</v>
      </c>
      <c r="D45" s="129">
        <v>26.73</v>
      </c>
      <c r="E45" s="129">
        <v>115.07</v>
      </c>
      <c r="F45" s="128" t="s">
        <v>936</v>
      </c>
      <c r="G45" s="128" t="s">
        <v>195</v>
      </c>
      <c r="H45" s="128" t="s">
        <v>193</v>
      </c>
      <c r="I45" s="128" t="s">
        <v>968</v>
      </c>
      <c r="J45" s="129">
        <v>11.0</v>
      </c>
      <c r="K45" s="129">
        <v>1.0</v>
      </c>
      <c r="L45" s="128"/>
      <c r="M45" s="128" t="s">
        <v>196</v>
      </c>
      <c r="N45" s="129">
        <v>81.0</v>
      </c>
      <c r="O45" s="128"/>
      <c r="P45" s="128"/>
      <c r="Q45" s="128" t="s">
        <v>572</v>
      </c>
    </row>
    <row r="46">
      <c r="A46" s="129">
        <v>1822.0</v>
      </c>
      <c r="B46" s="129">
        <v>2021.0</v>
      </c>
      <c r="C46" s="129">
        <v>-6.2</v>
      </c>
      <c r="D46" s="129">
        <v>26.73</v>
      </c>
      <c r="E46" s="129">
        <v>115.07</v>
      </c>
      <c r="F46" s="128" t="s">
        <v>936</v>
      </c>
      <c r="G46" s="128" t="s">
        <v>195</v>
      </c>
      <c r="H46" s="128" t="s">
        <v>193</v>
      </c>
      <c r="I46" s="128" t="s">
        <v>968</v>
      </c>
      <c r="J46" s="129">
        <v>11.0</v>
      </c>
      <c r="K46" s="129">
        <v>1.0</v>
      </c>
      <c r="L46" s="128"/>
      <c r="M46" s="128" t="s">
        <v>196</v>
      </c>
      <c r="N46" s="129">
        <v>81.0</v>
      </c>
      <c r="O46" s="128"/>
      <c r="P46" s="128"/>
      <c r="Q46" s="128" t="s">
        <v>572</v>
      </c>
    </row>
    <row r="47">
      <c r="A47" s="129">
        <v>834.0</v>
      </c>
      <c r="B47" s="129">
        <v>2016.0</v>
      </c>
      <c r="C47" s="129">
        <v>19.0</v>
      </c>
      <c r="D47" s="129">
        <v>27.1783</v>
      </c>
      <c r="E47" s="129">
        <v>-81.7731</v>
      </c>
      <c r="F47" s="128" t="s">
        <v>984</v>
      </c>
      <c r="G47" s="128" t="s">
        <v>1568</v>
      </c>
      <c r="H47" s="128" t="s">
        <v>1567</v>
      </c>
      <c r="I47" s="128" t="s">
        <v>989</v>
      </c>
      <c r="J47" s="129">
        <v>39.0</v>
      </c>
      <c r="K47" s="129">
        <v>1.0</v>
      </c>
      <c r="L47" s="129">
        <v>30.0</v>
      </c>
      <c r="M47" s="128" t="s">
        <v>1569</v>
      </c>
      <c r="N47" s="129">
        <v>24.0</v>
      </c>
      <c r="O47" s="129">
        <v>450.0</v>
      </c>
      <c r="P47" s="129">
        <v>30.0</v>
      </c>
      <c r="Q47" s="128" t="s">
        <v>572</v>
      </c>
    </row>
    <row r="48">
      <c r="A48" s="129">
        <v>838.0</v>
      </c>
      <c r="B48" s="129">
        <v>2016.0</v>
      </c>
      <c r="C48" s="129">
        <v>16.0</v>
      </c>
      <c r="D48" s="129">
        <v>27.1783</v>
      </c>
      <c r="E48" s="129">
        <v>-81.7731</v>
      </c>
      <c r="F48" s="128" t="s">
        <v>571</v>
      </c>
      <c r="G48" s="128" t="s">
        <v>1568</v>
      </c>
      <c r="H48" s="128" t="s">
        <v>1567</v>
      </c>
      <c r="I48" s="128" t="s">
        <v>989</v>
      </c>
      <c r="J48" s="129">
        <v>39.0</v>
      </c>
      <c r="K48" s="129">
        <v>1.0</v>
      </c>
      <c r="L48" s="129">
        <v>30.0</v>
      </c>
      <c r="M48" s="128" t="s">
        <v>1569</v>
      </c>
      <c r="N48" s="129">
        <v>24.0</v>
      </c>
      <c r="O48" s="129">
        <v>450.0</v>
      </c>
      <c r="P48" s="129">
        <v>30.0</v>
      </c>
      <c r="Q48" s="128" t="s">
        <v>572</v>
      </c>
    </row>
    <row r="49">
      <c r="A49" s="129">
        <v>846.0</v>
      </c>
      <c r="B49" s="129">
        <v>2016.0</v>
      </c>
      <c r="C49" s="129">
        <v>2.0</v>
      </c>
      <c r="D49" s="129">
        <v>27.1783</v>
      </c>
      <c r="E49" s="129">
        <v>-81.7731</v>
      </c>
      <c r="F49" s="128" t="s">
        <v>936</v>
      </c>
      <c r="G49" s="128" t="s">
        <v>1568</v>
      </c>
      <c r="H49" s="128" t="s">
        <v>1567</v>
      </c>
      <c r="I49" s="128" t="s">
        <v>989</v>
      </c>
      <c r="J49" s="129">
        <v>39.0</v>
      </c>
      <c r="K49" s="129">
        <v>1.0</v>
      </c>
      <c r="L49" s="129">
        <v>30.0</v>
      </c>
      <c r="M49" s="128" t="s">
        <v>1569</v>
      </c>
      <c r="N49" s="129">
        <v>24.0</v>
      </c>
      <c r="O49" s="129">
        <v>450.0</v>
      </c>
      <c r="P49" s="129">
        <v>30.0</v>
      </c>
      <c r="Q49" s="128" t="s">
        <v>572</v>
      </c>
    </row>
    <row r="50">
      <c r="A50" s="129">
        <v>842.0</v>
      </c>
      <c r="B50" s="129">
        <v>2016.0</v>
      </c>
      <c r="C50" s="129">
        <v>10.0</v>
      </c>
      <c r="D50" s="129">
        <v>27.1783</v>
      </c>
      <c r="E50" s="129">
        <v>-81.7731</v>
      </c>
      <c r="F50" s="128" t="s">
        <v>1411</v>
      </c>
      <c r="G50" s="128" t="s">
        <v>1568</v>
      </c>
      <c r="H50" s="128" t="s">
        <v>1567</v>
      </c>
      <c r="I50" s="128" t="s">
        <v>989</v>
      </c>
      <c r="J50" s="129">
        <v>39.0</v>
      </c>
      <c r="K50" s="129">
        <v>1.0</v>
      </c>
      <c r="L50" s="129">
        <v>30.0</v>
      </c>
      <c r="M50" s="128" t="s">
        <v>1569</v>
      </c>
      <c r="N50" s="129">
        <v>24.0</v>
      </c>
      <c r="O50" s="129">
        <v>450.0</v>
      </c>
      <c r="P50" s="129">
        <v>30.0</v>
      </c>
      <c r="Q50" s="128" t="s">
        <v>572</v>
      </c>
    </row>
    <row r="51">
      <c r="A51" s="129">
        <v>850.0</v>
      </c>
      <c r="B51" s="129">
        <v>2016.0</v>
      </c>
      <c r="C51" s="129">
        <v>61.0</v>
      </c>
      <c r="D51" s="129">
        <v>27.1783</v>
      </c>
      <c r="E51" s="129">
        <v>-81.7731</v>
      </c>
      <c r="F51" s="128" t="s">
        <v>802</v>
      </c>
      <c r="G51" s="128" t="s">
        <v>1568</v>
      </c>
      <c r="H51" s="128" t="s">
        <v>1567</v>
      </c>
      <c r="I51" s="128" t="s">
        <v>989</v>
      </c>
      <c r="J51" s="129">
        <v>39.0</v>
      </c>
      <c r="K51" s="129">
        <v>1.0</v>
      </c>
      <c r="L51" s="129">
        <v>30.0</v>
      </c>
      <c r="M51" s="128" t="s">
        <v>1569</v>
      </c>
      <c r="N51" s="129">
        <v>24.0</v>
      </c>
      <c r="O51" s="129">
        <v>450.0</v>
      </c>
      <c r="P51" s="129">
        <v>30.0</v>
      </c>
      <c r="Q51" s="128" t="s">
        <v>572</v>
      </c>
    </row>
    <row r="52">
      <c r="A52" s="129">
        <v>833.0</v>
      </c>
      <c r="B52" s="129">
        <v>2016.0</v>
      </c>
      <c r="C52" s="129">
        <v>13.0</v>
      </c>
      <c r="D52" s="129">
        <v>27.6953</v>
      </c>
      <c r="E52" s="129">
        <v>-80.7114</v>
      </c>
      <c r="F52" s="128" t="s">
        <v>984</v>
      </c>
      <c r="G52" s="128" t="s">
        <v>1564</v>
      </c>
      <c r="H52" s="128" t="s">
        <v>356</v>
      </c>
      <c r="I52" s="128" t="s">
        <v>1563</v>
      </c>
      <c r="J52" s="129">
        <v>44.0</v>
      </c>
      <c r="K52" s="129">
        <v>1.0</v>
      </c>
      <c r="L52" s="129">
        <v>30.0</v>
      </c>
      <c r="M52" s="128" t="s">
        <v>1565</v>
      </c>
      <c r="N52" s="129">
        <v>8.0</v>
      </c>
      <c r="O52" s="129">
        <v>190.0</v>
      </c>
      <c r="P52" s="129">
        <v>30.0</v>
      </c>
      <c r="Q52" s="128" t="s">
        <v>572</v>
      </c>
    </row>
    <row r="53">
      <c r="A53" s="129">
        <v>142.0</v>
      </c>
      <c r="B53" s="129">
        <v>2011.0</v>
      </c>
      <c r="C53" s="129">
        <v>7.0</v>
      </c>
      <c r="D53" s="129">
        <v>27.6953</v>
      </c>
      <c r="E53" s="129">
        <v>-82.2762</v>
      </c>
      <c r="F53" s="128" t="s">
        <v>571</v>
      </c>
      <c r="G53" s="128" t="s">
        <v>567</v>
      </c>
      <c r="H53" s="128" t="s">
        <v>356</v>
      </c>
      <c r="I53" s="128" t="s">
        <v>194</v>
      </c>
      <c r="J53" s="128"/>
      <c r="K53" s="129">
        <v>4.0</v>
      </c>
      <c r="L53" s="129">
        <v>30.0</v>
      </c>
      <c r="M53" s="128"/>
      <c r="N53" s="129">
        <v>25.0</v>
      </c>
      <c r="O53" s="128"/>
      <c r="P53" s="129">
        <v>30.0</v>
      </c>
      <c r="Q53" s="128" t="s">
        <v>572</v>
      </c>
    </row>
    <row r="54">
      <c r="A54" s="129">
        <v>143.0</v>
      </c>
      <c r="B54" s="129">
        <v>2011.0</v>
      </c>
      <c r="C54" s="129">
        <v>11.0</v>
      </c>
      <c r="D54" s="129">
        <v>27.6953</v>
      </c>
      <c r="E54" s="129">
        <v>-82.2762</v>
      </c>
      <c r="F54" s="128" t="s">
        <v>571</v>
      </c>
      <c r="G54" s="128" t="s">
        <v>567</v>
      </c>
      <c r="H54" s="128" t="s">
        <v>356</v>
      </c>
      <c r="I54" s="128" t="s">
        <v>194</v>
      </c>
      <c r="J54" s="128"/>
      <c r="K54" s="129">
        <v>4.0</v>
      </c>
      <c r="L54" s="129">
        <v>30.0</v>
      </c>
      <c r="M54" s="128"/>
      <c r="N54" s="129">
        <v>25.0</v>
      </c>
      <c r="O54" s="128"/>
      <c r="P54" s="129">
        <v>30.0</v>
      </c>
      <c r="Q54" s="128" t="s">
        <v>572</v>
      </c>
    </row>
    <row r="55">
      <c r="A55" s="129">
        <v>837.0</v>
      </c>
      <c r="B55" s="129">
        <v>2016.0</v>
      </c>
      <c r="C55" s="129">
        <v>-4.0</v>
      </c>
      <c r="D55" s="129">
        <v>27.6953</v>
      </c>
      <c r="E55" s="129">
        <v>-80.7114</v>
      </c>
      <c r="F55" s="128" t="s">
        <v>571</v>
      </c>
      <c r="G55" s="128" t="s">
        <v>1564</v>
      </c>
      <c r="H55" s="128" t="s">
        <v>356</v>
      </c>
      <c r="I55" s="128" t="s">
        <v>1563</v>
      </c>
      <c r="J55" s="129">
        <v>44.0</v>
      </c>
      <c r="K55" s="129">
        <v>1.0</v>
      </c>
      <c r="L55" s="129">
        <v>30.0</v>
      </c>
      <c r="M55" s="128" t="s">
        <v>1565</v>
      </c>
      <c r="N55" s="129">
        <v>8.0</v>
      </c>
      <c r="O55" s="129">
        <v>190.0</v>
      </c>
      <c r="P55" s="129">
        <v>30.0</v>
      </c>
      <c r="Q55" s="128" t="s">
        <v>572</v>
      </c>
    </row>
    <row r="56">
      <c r="A56" s="129">
        <v>845.0</v>
      </c>
      <c r="B56" s="129">
        <v>2016.0</v>
      </c>
      <c r="C56" s="129">
        <v>5.0</v>
      </c>
      <c r="D56" s="129">
        <v>27.6953</v>
      </c>
      <c r="E56" s="129">
        <v>-80.7114</v>
      </c>
      <c r="F56" s="128" t="s">
        <v>936</v>
      </c>
      <c r="G56" s="128" t="s">
        <v>1564</v>
      </c>
      <c r="H56" s="128" t="s">
        <v>356</v>
      </c>
      <c r="I56" s="128" t="s">
        <v>1563</v>
      </c>
      <c r="J56" s="129">
        <v>44.0</v>
      </c>
      <c r="K56" s="129">
        <v>1.0</v>
      </c>
      <c r="L56" s="129">
        <v>30.0</v>
      </c>
      <c r="M56" s="128" t="s">
        <v>1565</v>
      </c>
      <c r="N56" s="129">
        <v>8.0</v>
      </c>
      <c r="O56" s="129">
        <v>190.0</v>
      </c>
      <c r="P56" s="129">
        <v>30.0</v>
      </c>
      <c r="Q56" s="128" t="s">
        <v>572</v>
      </c>
    </row>
    <row r="57">
      <c r="A57" s="129">
        <v>841.0</v>
      </c>
      <c r="B57" s="129">
        <v>2016.0</v>
      </c>
      <c r="C57" s="129">
        <v>-10.0</v>
      </c>
      <c r="D57" s="129">
        <v>27.6953</v>
      </c>
      <c r="E57" s="129">
        <v>-80.7114</v>
      </c>
      <c r="F57" s="128" t="s">
        <v>1411</v>
      </c>
      <c r="G57" s="128" t="s">
        <v>1564</v>
      </c>
      <c r="H57" s="128" t="s">
        <v>356</v>
      </c>
      <c r="I57" s="128" t="s">
        <v>1563</v>
      </c>
      <c r="J57" s="129">
        <v>44.0</v>
      </c>
      <c r="K57" s="129">
        <v>1.0</v>
      </c>
      <c r="L57" s="129">
        <v>30.0</v>
      </c>
      <c r="M57" s="128" t="s">
        <v>1565</v>
      </c>
      <c r="N57" s="129">
        <v>8.0</v>
      </c>
      <c r="O57" s="129">
        <v>190.0</v>
      </c>
      <c r="P57" s="129">
        <v>30.0</v>
      </c>
      <c r="Q57" s="128" t="s">
        <v>572</v>
      </c>
    </row>
    <row r="58">
      <c r="A58" s="129">
        <v>849.0</v>
      </c>
      <c r="B58" s="129">
        <v>2016.0</v>
      </c>
      <c r="C58" s="129">
        <v>28.0</v>
      </c>
      <c r="D58" s="129">
        <v>27.6953</v>
      </c>
      <c r="E58" s="129">
        <v>-80.7114</v>
      </c>
      <c r="F58" s="128" t="s">
        <v>802</v>
      </c>
      <c r="G58" s="128" t="s">
        <v>1564</v>
      </c>
      <c r="H58" s="128" t="s">
        <v>356</v>
      </c>
      <c r="I58" s="128" t="s">
        <v>1563</v>
      </c>
      <c r="J58" s="129">
        <v>44.0</v>
      </c>
      <c r="K58" s="129">
        <v>1.0</v>
      </c>
      <c r="L58" s="129">
        <v>30.0</v>
      </c>
      <c r="M58" s="128" t="s">
        <v>1565</v>
      </c>
      <c r="N58" s="129">
        <v>8.0</v>
      </c>
      <c r="O58" s="129">
        <v>190.0</v>
      </c>
      <c r="P58" s="129">
        <v>30.0</v>
      </c>
      <c r="Q58" s="128" t="s">
        <v>572</v>
      </c>
    </row>
    <row r="59">
      <c r="A59" s="129">
        <v>836.0</v>
      </c>
      <c r="B59" s="129">
        <v>2016.0</v>
      </c>
      <c r="C59" s="129">
        <v>19.0</v>
      </c>
      <c r="D59" s="129">
        <v>28.2253</v>
      </c>
      <c r="E59" s="129">
        <v>-82.5592</v>
      </c>
      <c r="F59" s="128" t="s">
        <v>984</v>
      </c>
      <c r="G59" s="128" t="s">
        <v>1574</v>
      </c>
      <c r="H59" s="128" t="s">
        <v>284</v>
      </c>
      <c r="I59" s="128" t="s">
        <v>1573</v>
      </c>
      <c r="J59" s="129">
        <v>36.0</v>
      </c>
      <c r="K59" s="129">
        <v>1.0</v>
      </c>
      <c r="L59" s="129">
        <v>30.0</v>
      </c>
      <c r="M59" s="128" t="s">
        <v>1574</v>
      </c>
      <c r="N59" s="129">
        <v>14.0</v>
      </c>
      <c r="O59" s="128"/>
      <c r="P59" s="129">
        <v>30.0</v>
      </c>
      <c r="Q59" s="128" t="s">
        <v>572</v>
      </c>
    </row>
    <row r="60">
      <c r="A60" s="129">
        <v>840.0</v>
      </c>
      <c r="B60" s="129">
        <v>2016.0</v>
      </c>
      <c r="C60" s="129">
        <v>-10.0</v>
      </c>
      <c r="D60" s="129">
        <v>28.2253</v>
      </c>
      <c r="E60" s="129">
        <v>-82.5592</v>
      </c>
      <c r="F60" s="128" t="s">
        <v>571</v>
      </c>
      <c r="G60" s="128" t="s">
        <v>1574</v>
      </c>
      <c r="H60" s="128" t="s">
        <v>284</v>
      </c>
      <c r="I60" s="128" t="s">
        <v>1573</v>
      </c>
      <c r="J60" s="129">
        <v>36.0</v>
      </c>
      <c r="K60" s="129">
        <v>1.0</v>
      </c>
      <c r="L60" s="129">
        <v>30.0</v>
      </c>
      <c r="M60" s="128" t="s">
        <v>1574</v>
      </c>
      <c r="N60" s="129">
        <v>14.0</v>
      </c>
      <c r="O60" s="128"/>
      <c r="P60" s="129">
        <v>30.0</v>
      </c>
      <c r="Q60" s="128" t="s">
        <v>572</v>
      </c>
    </row>
    <row r="61">
      <c r="A61" s="129">
        <v>848.0</v>
      </c>
      <c r="B61" s="129">
        <v>2016.0</v>
      </c>
      <c r="C61" s="129">
        <v>-6.0</v>
      </c>
      <c r="D61" s="129">
        <v>28.2253</v>
      </c>
      <c r="E61" s="129">
        <v>-82.5592</v>
      </c>
      <c r="F61" s="128" t="s">
        <v>936</v>
      </c>
      <c r="G61" s="128" t="s">
        <v>1574</v>
      </c>
      <c r="H61" s="128" t="s">
        <v>284</v>
      </c>
      <c r="I61" s="128" t="s">
        <v>1573</v>
      </c>
      <c r="J61" s="129">
        <v>36.0</v>
      </c>
      <c r="K61" s="129">
        <v>1.0</v>
      </c>
      <c r="L61" s="129">
        <v>30.0</v>
      </c>
      <c r="M61" s="128" t="s">
        <v>1574</v>
      </c>
      <c r="N61" s="129">
        <v>14.0</v>
      </c>
      <c r="O61" s="128"/>
      <c r="P61" s="129">
        <v>30.0</v>
      </c>
      <c r="Q61" s="128" t="s">
        <v>572</v>
      </c>
    </row>
    <row r="62">
      <c r="A62" s="129">
        <v>844.0</v>
      </c>
      <c r="B62" s="129">
        <v>2016.0</v>
      </c>
      <c r="C62" s="129">
        <v>-24.0</v>
      </c>
      <c r="D62" s="129">
        <v>28.2253</v>
      </c>
      <c r="E62" s="129">
        <v>-82.5592</v>
      </c>
      <c r="F62" s="128" t="s">
        <v>1411</v>
      </c>
      <c r="G62" s="128" t="s">
        <v>1574</v>
      </c>
      <c r="H62" s="128" t="s">
        <v>284</v>
      </c>
      <c r="I62" s="128" t="s">
        <v>1573</v>
      </c>
      <c r="J62" s="129">
        <v>36.0</v>
      </c>
      <c r="K62" s="129">
        <v>1.0</v>
      </c>
      <c r="L62" s="129">
        <v>30.0</v>
      </c>
      <c r="M62" s="128" t="s">
        <v>1574</v>
      </c>
      <c r="N62" s="129">
        <v>14.0</v>
      </c>
      <c r="O62" s="128"/>
      <c r="P62" s="129">
        <v>30.0</v>
      </c>
      <c r="Q62" s="128" t="s">
        <v>572</v>
      </c>
    </row>
    <row r="63">
      <c r="A63" s="129">
        <v>852.0</v>
      </c>
      <c r="B63" s="129">
        <v>2016.0</v>
      </c>
      <c r="C63" s="129">
        <v>28.0</v>
      </c>
      <c r="D63" s="129">
        <v>28.2253</v>
      </c>
      <c r="E63" s="129">
        <v>-82.5592</v>
      </c>
      <c r="F63" s="128" t="s">
        <v>802</v>
      </c>
      <c r="G63" s="128" t="s">
        <v>1574</v>
      </c>
      <c r="H63" s="128" t="s">
        <v>284</v>
      </c>
      <c r="I63" s="128" t="s">
        <v>1573</v>
      </c>
      <c r="J63" s="129">
        <v>36.0</v>
      </c>
      <c r="K63" s="129">
        <v>1.0</v>
      </c>
      <c r="L63" s="129">
        <v>30.0</v>
      </c>
      <c r="M63" s="128" t="s">
        <v>1574</v>
      </c>
      <c r="N63" s="129">
        <v>14.0</v>
      </c>
      <c r="O63" s="128"/>
      <c r="P63" s="129">
        <v>30.0</v>
      </c>
      <c r="Q63" s="128" t="s">
        <v>572</v>
      </c>
    </row>
    <row r="64">
      <c r="A64" s="129">
        <v>1109.0</v>
      </c>
      <c r="B64" s="129">
        <v>2015.0</v>
      </c>
      <c r="C64" s="129">
        <v>-10.9719</v>
      </c>
      <c r="D64" s="129">
        <v>28.76</v>
      </c>
      <c r="E64" s="129">
        <v>-82.28</v>
      </c>
      <c r="F64" s="128" t="s">
        <v>1916</v>
      </c>
      <c r="G64" s="128" t="s">
        <v>1572</v>
      </c>
      <c r="H64" s="128" t="s">
        <v>1909</v>
      </c>
      <c r="I64" s="128" t="s">
        <v>1910</v>
      </c>
      <c r="J64" s="129">
        <v>130.0</v>
      </c>
      <c r="K64" s="129">
        <v>1.0</v>
      </c>
      <c r="L64" s="128"/>
      <c r="M64" s="128"/>
      <c r="N64" s="129">
        <v>17.0</v>
      </c>
      <c r="O64" s="128"/>
      <c r="P64" s="129">
        <v>500.0</v>
      </c>
      <c r="Q64" s="128" t="s">
        <v>572</v>
      </c>
    </row>
    <row r="65">
      <c r="A65" s="129">
        <v>1108.0</v>
      </c>
      <c r="B65" s="129">
        <v>2015.0</v>
      </c>
      <c r="C65" s="129">
        <v>-3.32481</v>
      </c>
      <c r="D65" s="129">
        <v>28.76</v>
      </c>
      <c r="E65" s="129">
        <v>-82.28</v>
      </c>
      <c r="F65" s="128" t="s">
        <v>1913</v>
      </c>
      <c r="G65" s="128" t="s">
        <v>1572</v>
      </c>
      <c r="H65" s="128" t="s">
        <v>1909</v>
      </c>
      <c r="I65" s="128" t="s">
        <v>1910</v>
      </c>
      <c r="J65" s="129">
        <v>130.0</v>
      </c>
      <c r="K65" s="129">
        <v>1.0</v>
      </c>
      <c r="L65" s="128"/>
      <c r="M65" s="128"/>
      <c r="N65" s="129">
        <v>17.0</v>
      </c>
      <c r="O65" s="128"/>
      <c r="P65" s="129">
        <v>500.0</v>
      </c>
      <c r="Q65" s="128" t="s">
        <v>572</v>
      </c>
    </row>
    <row r="66">
      <c r="A66" s="129">
        <v>835.0</v>
      </c>
      <c r="B66" s="129">
        <v>2016.0</v>
      </c>
      <c r="C66" s="129">
        <v>9.0</v>
      </c>
      <c r="D66" s="129">
        <v>28.7613</v>
      </c>
      <c r="E66" s="129">
        <v>-82.2762</v>
      </c>
      <c r="F66" s="128" t="s">
        <v>984</v>
      </c>
      <c r="G66" s="128" t="s">
        <v>1572</v>
      </c>
      <c r="H66" s="128" t="s">
        <v>1571</v>
      </c>
      <c r="I66" s="128" t="s">
        <v>1563</v>
      </c>
      <c r="J66" s="129">
        <v>30.0</v>
      </c>
      <c r="K66" s="129">
        <v>1.0</v>
      </c>
      <c r="L66" s="129">
        <v>30.0</v>
      </c>
      <c r="M66" s="128" t="s">
        <v>1572</v>
      </c>
      <c r="N66" s="129">
        <v>23.0</v>
      </c>
      <c r="O66" s="129">
        <v>270.0</v>
      </c>
      <c r="P66" s="129">
        <v>30.0</v>
      </c>
      <c r="Q66" s="128" t="s">
        <v>572</v>
      </c>
    </row>
    <row r="67">
      <c r="A67" s="129">
        <v>839.0</v>
      </c>
      <c r="B67" s="129">
        <v>2016.0</v>
      </c>
      <c r="C67" s="129">
        <v>17.0</v>
      </c>
      <c r="D67" s="129">
        <v>28.7613</v>
      </c>
      <c r="E67" s="129">
        <v>-82.2762</v>
      </c>
      <c r="F67" s="128" t="s">
        <v>571</v>
      </c>
      <c r="G67" s="128" t="s">
        <v>1572</v>
      </c>
      <c r="H67" s="128" t="s">
        <v>1571</v>
      </c>
      <c r="I67" s="128" t="s">
        <v>1563</v>
      </c>
      <c r="J67" s="129">
        <v>30.0</v>
      </c>
      <c r="K67" s="129">
        <v>1.0</v>
      </c>
      <c r="L67" s="129">
        <v>30.0</v>
      </c>
      <c r="M67" s="128" t="s">
        <v>1572</v>
      </c>
      <c r="N67" s="129">
        <v>23.0</v>
      </c>
      <c r="O67" s="129">
        <v>270.0</v>
      </c>
      <c r="P67" s="129">
        <v>30.0</v>
      </c>
      <c r="Q67" s="128" t="s">
        <v>572</v>
      </c>
    </row>
    <row r="68">
      <c r="A68" s="129">
        <v>847.0</v>
      </c>
      <c r="B68" s="129">
        <v>2016.0</v>
      </c>
      <c r="C68" s="129">
        <v>28.0</v>
      </c>
      <c r="D68" s="129">
        <v>28.7613</v>
      </c>
      <c r="E68" s="129">
        <v>-82.2762</v>
      </c>
      <c r="F68" s="128" t="s">
        <v>936</v>
      </c>
      <c r="G68" s="128" t="s">
        <v>1572</v>
      </c>
      <c r="H68" s="128" t="s">
        <v>1571</v>
      </c>
      <c r="I68" s="128" t="s">
        <v>1563</v>
      </c>
      <c r="J68" s="129">
        <v>30.0</v>
      </c>
      <c r="K68" s="129">
        <v>1.0</v>
      </c>
      <c r="L68" s="129">
        <v>30.0</v>
      </c>
      <c r="M68" s="128" t="s">
        <v>1572</v>
      </c>
      <c r="N68" s="129">
        <v>23.0</v>
      </c>
      <c r="O68" s="129">
        <v>270.0</v>
      </c>
      <c r="P68" s="129">
        <v>30.0</v>
      </c>
      <c r="Q68" s="128" t="s">
        <v>572</v>
      </c>
    </row>
    <row r="69">
      <c r="A69" s="129">
        <v>843.0</v>
      </c>
      <c r="B69" s="129">
        <v>2016.0</v>
      </c>
      <c r="C69" s="129">
        <v>3.0</v>
      </c>
      <c r="D69" s="129">
        <v>28.7613</v>
      </c>
      <c r="E69" s="129">
        <v>-82.2762</v>
      </c>
      <c r="F69" s="128" t="s">
        <v>1411</v>
      </c>
      <c r="G69" s="128" t="s">
        <v>1572</v>
      </c>
      <c r="H69" s="128" t="s">
        <v>1571</v>
      </c>
      <c r="I69" s="128" t="s">
        <v>1563</v>
      </c>
      <c r="J69" s="129">
        <v>30.0</v>
      </c>
      <c r="K69" s="129">
        <v>1.0</v>
      </c>
      <c r="L69" s="129">
        <v>30.0</v>
      </c>
      <c r="M69" s="128" t="s">
        <v>1572</v>
      </c>
      <c r="N69" s="129">
        <v>23.0</v>
      </c>
      <c r="O69" s="129">
        <v>270.0</v>
      </c>
      <c r="P69" s="129">
        <v>30.0</v>
      </c>
      <c r="Q69" s="128" t="s">
        <v>572</v>
      </c>
    </row>
    <row r="70">
      <c r="A70" s="129">
        <v>851.0</v>
      </c>
      <c r="B70" s="129">
        <v>2016.0</v>
      </c>
      <c r="C70" s="129">
        <v>29.0</v>
      </c>
      <c r="D70" s="129">
        <v>28.7613</v>
      </c>
      <c r="E70" s="129">
        <v>-82.2762</v>
      </c>
      <c r="F70" s="128" t="s">
        <v>802</v>
      </c>
      <c r="G70" s="128" t="s">
        <v>1572</v>
      </c>
      <c r="H70" s="128" t="s">
        <v>1571</v>
      </c>
      <c r="I70" s="128" t="s">
        <v>1563</v>
      </c>
      <c r="J70" s="129">
        <v>30.0</v>
      </c>
      <c r="K70" s="129">
        <v>1.0</v>
      </c>
      <c r="L70" s="129">
        <v>30.0</v>
      </c>
      <c r="M70" s="128" t="s">
        <v>1572</v>
      </c>
      <c r="N70" s="129">
        <v>23.0</v>
      </c>
      <c r="O70" s="129">
        <v>270.0</v>
      </c>
      <c r="P70" s="129">
        <v>30.0</v>
      </c>
      <c r="Q70" s="128" t="s">
        <v>572</v>
      </c>
    </row>
    <row r="71">
      <c r="A71" s="129">
        <v>881.0</v>
      </c>
      <c r="B71" s="129">
        <v>2016.0</v>
      </c>
      <c r="C71" s="129">
        <v>19.0</v>
      </c>
      <c r="D71" s="129">
        <v>29.7381</v>
      </c>
      <c r="E71" s="129">
        <v>-82.2188</v>
      </c>
      <c r="F71" s="128" t="s">
        <v>802</v>
      </c>
      <c r="G71" s="128" t="s">
        <v>330</v>
      </c>
      <c r="H71" s="128" t="s">
        <v>328</v>
      </c>
      <c r="I71" s="128" t="s">
        <v>1667</v>
      </c>
      <c r="J71" s="129">
        <v>36.0</v>
      </c>
      <c r="K71" s="129">
        <v>1.0</v>
      </c>
      <c r="L71" s="129">
        <v>1000.0</v>
      </c>
      <c r="M71" s="128" t="s">
        <v>331</v>
      </c>
      <c r="N71" s="129">
        <v>50.0</v>
      </c>
      <c r="O71" s="128"/>
      <c r="P71" s="129">
        <v>1000.0</v>
      </c>
      <c r="Q71" s="128" t="s">
        <v>572</v>
      </c>
    </row>
    <row r="72">
      <c r="A72" s="129">
        <v>1358.0</v>
      </c>
      <c r="B72" s="129">
        <v>2017.0</v>
      </c>
      <c r="C72" s="129">
        <v>-66.0</v>
      </c>
      <c r="D72" s="129">
        <v>29.7381</v>
      </c>
      <c r="E72" s="129">
        <v>-82.2188</v>
      </c>
      <c r="F72" s="128" t="s">
        <v>802</v>
      </c>
      <c r="G72" s="128" t="s">
        <v>330</v>
      </c>
      <c r="H72" s="128"/>
      <c r="I72" s="128"/>
      <c r="J72" s="128"/>
      <c r="K72" s="129">
        <v>1.0</v>
      </c>
      <c r="L72" s="128"/>
      <c r="M72" s="128" t="s">
        <v>331</v>
      </c>
      <c r="N72" s="129">
        <v>50.0</v>
      </c>
      <c r="O72" s="128"/>
      <c r="P72" s="128"/>
      <c r="Q72" s="128" t="s">
        <v>572</v>
      </c>
    </row>
    <row r="73">
      <c r="A73" s="129">
        <v>1348.0</v>
      </c>
      <c r="B73" s="129">
        <v>2017.0</v>
      </c>
      <c r="C73" s="129">
        <v>-48.0</v>
      </c>
      <c r="D73" s="129">
        <v>29.7381</v>
      </c>
      <c r="E73" s="129">
        <v>-82.2188</v>
      </c>
      <c r="F73" s="128" t="s">
        <v>2398</v>
      </c>
      <c r="G73" s="128" t="s">
        <v>330</v>
      </c>
      <c r="H73" s="128"/>
      <c r="I73" s="128"/>
      <c r="J73" s="128"/>
      <c r="K73" s="129">
        <v>1.0</v>
      </c>
      <c r="L73" s="128"/>
      <c r="M73" s="128" t="s">
        <v>331</v>
      </c>
      <c r="N73" s="129">
        <v>50.0</v>
      </c>
      <c r="O73" s="128"/>
      <c r="P73" s="128"/>
      <c r="Q73" s="128" t="s">
        <v>572</v>
      </c>
    </row>
    <row r="74">
      <c r="A74" s="129">
        <v>880.0</v>
      </c>
      <c r="B74" s="129">
        <v>2016.0</v>
      </c>
      <c r="C74" s="129">
        <v>18.0</v>
      </c>
      <c r="D74" s="129">
        <v>31.5907</v>
      </c>
      <c r="E74" s="129">
        <v>-110.51</v>
      </c>
      <c r="F74" s="128" t="s">
        <v>802</v>
      </c>
      <c r="G74" s="128" t="s">
        <v>286</v>
      </c>
      <c r="H74" s="128" t="s">
        <v>317</v>
      </c>
      <c r="I74" s="128" t="s">
        <v>1665</v>
      </c>
      <c r="J74" s="129">
        <v>24.0</v>
      </c>
      <c r="K74" s="129">
        <v>1.0</v>
      </c>
      <c r="L74" s="129">
        <v>1000.0</v>
      </c>
      <c r="M74" s="128" t="s">
        <v>287</v>
      </c>
      <c r="N74" s="129">
        <v>1473.0</v>
      </c>
      <c r="O74" s="128"/>
      <c r="P74" s="129">
        <v>1000.0</v>
      </c>
      <c r="Q74" s="128" t="s">
        <v>572</v>
      </c>
    </row>
    <row r="75">
      <c r="A75" s="129">
        <v>1434.0</v>
      </c>
      <c r="B75" s="129">
        <v>2018.0</v>
      </c>
      <c r="C75" s="129">
        <v>119.0</v>
      </c>
      <c r="D75" s="129">
        <v>31.7365</v>
      </c>
      <c r="E75" s="129">
        <v>-109.942</v>
      </c>
      <c r="F75" s="128" t="s">
        <v>936</v>
      </c>
      <c r="G75" s="128" t="s">
        <v>314</v>
      </c>
      <c r="H75" s="128"/>
      <c r="I75" s="128"/>
      <c r="J75" s="129">
        <v>128.0</v>
      </c>
      <c r="K75" s="129">
        <v>1.0</v>
      </c>
      <c r="L75" s="129">
        <v>1000.0</v>
      </c>
      <c r="M75" s="128" t="s">
        <v>315</v>
      </c>
      <c r="N75" s="129">
        <v>1527.0</v>
      </c>
      <c r="O75" s="128"/>
      <c r="P75" s="129">
        <v>1000.0</v>
      </c>
      <c r="Q75" s="128" t="s">
        <v>572</v>
      </c>
    </row>
    <row r="76">
      <c r="A76" s="129">
        <v>914.0</v>
      </c>
      <c r="B76" s="129">
        <v>2016.0</v>
      </c>
      <c r="C76" s="129">
        <v>2.4</v>
      </c>
      <c r="D76" s="129">
        <v>31.7365</v>
      </c>
      <c r="E76" s="129">
        <v>-109.942</v>
      </c>
      <c r="F76" s="128" t="s">
        <v>802</v>
      </c>
      <c r="G76" s="128" t="s">
        <v>1749</v>
      </c>
      <c r="H76" s="128"/>
      <c r="I76" s="128"/>
      <c r="J76" s="129">
        <v>12.0</v>
      </c>
      <c r="K76" s="129">
        <v>1.0</v>
      </c>
      <c r="L76" s="129">
        <v>100.0</v>
      </c>
      <c r="M76" s="128" t="s">
        <v>1750</v>
      </c>
      <c r="N76" s="129">
        <v>1527.0</v>
      </c>
      <c r="O76" s="128"/>
      <c r="P76" s="129">
        <v>100.0</v>
      </c>
      <c r="Q76" s="128" t="s">
        <v>572</v>
      </c>
    </row>
    <row r="77">
      <c r="A77" s="129">
        <v>915.0</v>
      </c>
      <c r="B77" s="129">
        <v>2016.0</v>
      </c>
      <c r="C77" s="129">
        <v>13.06</v>
      </c>
      <c r="D77" s="129">
        <v>31.7365</v>
      </c>
      <c r="E77" s="129">
        <v>-109.942</v>
      </c>
      <c r="F77" s="128" t="s">
        <v>802</v>
      </c>
      <c r="G77" s="128" t="s">
        <v>1749</v>
      </c>
      <c r="H77" s="128"/>
      <c r="I77" s="128"/>
      <c r="J77" s="129">
        <v>15.0</v>
      </c>
      <c r="K77" s="129">
        <v>1.0</v>
      </c>
      <c r="L77" s="129">
        <v>100.0</v>
      </c>
      <c r="M77" s="128" t="s">
        <v>1750</v>
      </c>
      <c r="N77" s="129">
        <v>1527.0</v>
      </c>
      <c r="O77" s="128"/>
      <c r="P77" s="129">
        <v>100.0</v>
      </c>
      <c r="Q77" s="128" t="s">
        <v>572</v>
      </c>
    </row>
    <row r="78">
      <c r="A78" s="129">
        <v>1421.0</v>
      </c>
      <c r="B78" s="129">
        <v>2018.0</v>
      </c>
      <c r="C78" s="129">
        <v>16.0</v>
      </c>
      <c r="D78" s="129">
        <v>31.7365</v>
      </c>
      <c r="E78" s="129">
        <v>-109.942</v>
      </c>
      <c r="F78" s="128" t="s">
        <v>2481</v>
      </c>
      <c r="G78" s="128" t="s">
        <v>314</v>
      </c>
      <c r="H78" s="128"/>
      <c r="I78" s="128"/>
      <c r="J78" s="129">
        <v>128.0</v>
      </c>
      <c r="K78" s="129">
        <v>1.0</v>
      </c>
      <c r="L78" s="129">
        <v>1000.0</v>
      </c>
      <c r="M78" s="128" t="s">
        <v>315</v>
      </c>
      <c r="N78" s="129">
        <v>1527.0</v>
      </c>
      <c r="O78" s="128"/>
      <c r="P78" s="129">
        <v>1000.0</v>
      </c>
      <c r="Q78" s="128" t="s">
        <v>572</v>
      </c>
    </row>
    <row r="79">
      <c r="A79" s="129">
        <v>1433.0</v>
      </c>
      <c r="B79" s="129">
        <v>2018.0</v>
      </c>
      <c r="C79" s="129">
        <v>69.0</v>
      </c>
      <c r="D79" s="129">
        <v>31.7894</v>
      </c>
      <c r="E79" s="129">
        <v>-110.828</v>
      </c>
      <c r="F79" s="128" t="s">
        <v>936</v>
      </c>
      <c r="G79" s="128" t="s">
        <v>2484</v>
      </c>
      <c r="H79" s="128"/>
      <c r="I79" s="128"/>
      <c r="J79" s="129">
        <v>85.0</v>
      </c>
      <c r="K79" s="129">
        <v>1.0</v>
      </c>
      <c r="L79" s="129">
        <v>1000.0</v>
      </c>
      <c r="M79" s="128" t="s">
        <v>2485</v>
      </c>
      <c r="N79" s="129">
        <v>1293.0</v>
      </c>
      <c r="O79" s="128"/>
      <c r="P79" s="129">
        <v>1000.0</v>
      </c>
      <c r="Q79" s="128" t="s">
        <v>572</v>
      </c>
    </row>
    <row r="80">
      <c r="A80" s="129">
        <v>1420.0</v>
      </c>
      <c r="B80" s="129">
        <v>2018.0</v>
      </c>
      <c r="C80" s="129">
        <v>2.0</v>
      </c>
      <c r="D80" s="129">
        <v>31.7894</v>
      </c>
      <c r="E80" s="129">
        <v>-110.828</v>
      </c>
      <c r="F80" s="128" t="s">
        <v>2481</v>
      </c>
      <c r="G80" s="128" t="s">
        <v>2484</v>
      </c>
      <c r="H80" s="128"/>
      <c r="I80" s="128"/>
      <c r="J80" s="129">
        <v>85.0</v>
      </c>
      <c r="K80" s="129">
        <v>1.0</v>
      </c>
      <c r="L80" s="129">
        <v>1000.0</v>
      </c>
      <c r="M80" s="128" t="s">
        <v>2485</v>
      </c>
      <c r="N80" s="129">
        <v>1293.0</v>
      </c>
      <c r="O80" s="128"/>
      <c r="P80" s="129">
        <v>1000.0</v>
      </c>
      <c r="Q80" s="128" t="s">
        <v>572</v>
      </c>
    </row>
    <row r="81">
      <c r="A81" s="129">
        <v>1432.0</v>
      </c>
      <c r="B81" s="129">
        <v>2018.0</v>
      </c>
      <c r="C81" s="129">
        <v>64.0</v>
      </c>
      <c r="D81" s="129">
        <v>31.8214</v>
      </c>
      <c r="E81" s="129">
        <v>-110.867</v>
      </c>
      <c r="F81" s="128" t="s">
        <v>936</v>
      </c>
      <c r="G81" s="128" t="s">
        <v>300</v>
      </c>
      <c r="H81" s="128"/>
      <c r="I81" s="128"/>
      <c r="J81" s="129">
        <v>82.0</v>
      </c>
      <c r="K81" s="129">
        <v>1.0</v>
      </c>
      <c r="L81" s="129">
        <v>1000.0</v>
      </c>
      <c r="M81" s="128" t="s">
        <v>301</v>
      </c>
      <c r="N81" s="129">
        <v>1118.0</v>
      </c>
      <c r="O81" s="128"/>
      <c r="P81" s="129">
        <v>1000.0</v>
      </c>
      <c r="Q81" s="128" t="s">
        <v>572</v>
      </c>
    </row>
    <row r="82">
      <c r="A82" s="129">
        <v>912.0</v>
      </c>
      <c r="B82" s="129">
        <v>2016.0</v>
      </c>
      <c r="C82" s="129">
        <v>-34.66</v>
      </c>
      <c r="D82" s="129">
        <v>31.8214</v>
      </c>
      <c r="E82" s="129">
        <v>-110.867</v>
      </c>
      <c r="F82" s="128" t="s">
        <v>802</v>
      </c>
      <c r="G82" s="128" t="s">
        <v>300</v>
      </c>
      <c r="H82" s="128"/>
      <c r="I82" s="128"/>
      <c r="J82" s="129">
        <v>12.0</v>
      </c>
      <c r="K82" s="129">
        <v>1.0</v>
      </c>
      <c r="L82" s="129">
        <v>100.0</v>
      </c>
      <c r="M82" s="128" t="s">
        <v>301</v>
      </c>
      <c r="N82" s="129">
        <v>1118.0</v>
      </c>
      <c r="O82" s="128"/>
      <c r="P82" s="129">
        <v>100.0</v>
      </c>
      <c r="Q82" s="128" t="s">
        <v>572</v>
      </c>
    </row>
    <row r="83">
      <c r="A83" s="129">
        <v>913.0</v>
      </c>
      <c r="B83" s="129">
        <v>2016.0</v>
      </c>
      <c r="C83" s="129">
        <v>-22.13</v>
      </c>
      <c r="D83" s="129">
        <v>31.8214</v>
      </c>
      <c r="E83" s="129">
        <v>-110.867</v>
      </c>
      <c r="F83" s="128" t="s">
        <v>802</v>
      </c>
      <c r="G83" s="128" t="s">
        <v>300</v>
      </c>
      <c r="H83" s="128"/>
      <c r="I83" s="128"/>
      <c r="J83" s="129">
        <v>12.0</v>
      </c>
      <c r="K83" s="129">
        <v>1.0</v>
      </c>
      <c r="L83" s="129">
        <v>100.0</v>
      </c>
      <c r="M83" s="128" t="s">
        <v>301</v>
      </c>
      <c r="N83" s="129">
        <v>1118.0</v>
      </c>
      <c r="O83" s="128"/>
      <c r="P83" s="129">
        <v>100.0</v>
      </c>
      <c r="Q83" s="128" t="s">
        <v>572</v>
      </c>
    </row>
    <row r="84">
      <c r="A84" s="129">
        <v>1419.0</v>
      </c>
      <c r="B84" s="129">
        <v>2018.0</v>
      </c>
      <c r="C84" s="129">
        <v>2.0</v>
      </c>
      <c r="D84" s="129">
        <v>31.8214</v>
      </c>
      <c r="E84" s="129">
        <v>-110.867</v>
      </c>
      <c r="F84" s="128" t="s">
        <v>2481</v>
      </c>
      <c r="G84" s="128" t="s">
        <v>300</v>
      </c>
      <c r="H84" s="128"/>
      <c r="I84" s="128"/>
      <c r="J84" s="129">
        <v>82.0</v>
      </c>
      <c r="K84" s="129">
        <v>1.0</v>
      </c>
      <c r="L84" s="129">
        <v>1000.0</v>
      </c>
      <c r="M84" s="128" t="s">
        <v>301</v>
      </c>
      <c r="N84" s="129">
        <v>1118.0</v>
      </c>
      <c r="O84" s="128"/>
      <c r="P84" s="129">
        <v>1000.0</v>
      </c>
      <c r="Q84" s="128" t="s">
        <v>572</v>
      </c>
    </row>
    <row r="85">
      <c r="A85" s="129">
        <v>1359.0</v>
      </c>
      <c r="B85" s="129">
        <v>2017.0</v>
      </c>
      <c r="C85" s="129">
        <v>54.0</v>
      </c>
      <c r="D85" s="129">
        <v>31.9083</v>
      </c>
      <c r="E85" s="129">
        <v>-110.84</v>
      </c>
      <c r="F85" s="128" t="s">
        <v>802</v>
      </c>
      <c r="G85" s="128" t="s">
        <v>2402</v>
      </c>
      <c r="H85" s="128"/>
      <c r="I85" s="128"/>
      <c r="J85" s="128"/>
      <c r="K85" s="129">
        <v>1.0</v>
      </c>
      <c r="L85" s="128"/>
      <c r="M85" s="128" t="s">
        <v>2403</v>
      </c>
      <c r="N85" s="129">
        <v>993.0</v>
      </c>
      <c r="O85" s="128"/>
      <c r="P85" s="128"/>
      <c r="Q85" s="128" t="s">
        <v>572</v>
      </c>
    </row>
    <row r="86">
      <c r="A86" s="129">
        <v>1349.0</v>
      </c>
      <c r="B86" s="129">
        <v>2017.0</v>
      </c>
      <c r="C86" s="129">
        <v>67.0</v>
      </c>
      <c r="D86" s="129">
        <v>31.9083</v>
      </c>
      <c r="E86" s="129">
        <v>-110.84</v>
      </c>
      <c r="F86" s="128" t="s">
        <v>2398</v>
      </c>
      <c r="G86" s="128" t="s">
        <v>2402</v>
      </c>
      <c r="H86" s="128"/>
      <c r="I86" s="128"/>
      <c r="J86" s="128"/>
      <c r="K86" s="129">
        <v>1.0</v>
      </c>
      <c r="L86" s="128"/>
      <c r="M86" s="128" t="s">
        <v>2403</v>
      </c>
      <c r="N86" s="129">
        <v>993.0</v>
      </c>
      <c r="O86" s="128"/>
      <c r="P86" s="128"/>
      <c r="Q86" s="128" t="s">
        <v>572</v>
      </c>
    </row>
    <row r="87">
      <c r="A87" s="129">
        <v>1353.0</v>
      </c>
      <c r="B87" s="129">
        <v>2017.0</v>
      </c>
      <c r="C87" s="129">
        <v>92.0</v>
      </c>
      <c r="D87" s="129">
        <v>34.3349</v>
      </c>
      <c r="E87" s="129">
        <v>-106.744</v>
      </c>
      <c r="F87" s="128" t="s">
        <v>802</v>
      </c>
      <c r="G87" s="128" t="s">
        <v>2194</v>
      </c>
      <c r="H87" s="128"/>
      <c r="I87" s="128"/>
      <c r="J87" s="128"/>
      <c r="K87" s="129">
        <v>1.0</v>
      </c>
      <c r="L87" s="128"/>
      <c r="M87" s="128" t="s">
        <v>2195</v>
      </c>
      <c r="N87" s="129">
        <v>1594.0</v>
      </c>
      <c r="O87" s="128"/>
      <c r="P87" s="128"/>
      <c r="Q87" s="128" t="s">
        <v>572</v>
      </c>
    </row>
    <row r="88">
      <c r="A88" s="129">
        <v>1236.0</v>
      </c>
      <c r="B88" s="129">
        <v>2019.0</v>
      </c>
      <c r="C88" s="129">
        <v>-0.7</v>
      </c>
      <c r="D88" s="129">
        <v>34.3349</v>
      </c>
      <c r="E88" s="129">
        <v>-106.744</v>
      </c>
      <c r="F88" s="128" t="s">
        <v>2190</v>
      </c>
      <c r="G88" s="128" t="s">
        <v>2194</v>
      </c>
      <c r="H88" s="128" t="s">
        <v>350</v>
      </c>
      <c r="I88" s="128" t="s">
        <v>246</v>
      </c>
      <c r="J88" s="128"/>
      <c r="K88" s="129">
        <v>1.0</v>
      </c>
      <c r="L88" s="129">
        <v>90.0</v>
      </c>
      <c r="M88" s="128" t="s">
        <v>2195</v>
      </c>
      <c r="N88" s="129">
        <v>1594.0</v>
      </c>
      <c r="O88" s="128"/>
      <c r="P88" s="129">
        <v>30.0</v>
      </c>
      <c r="Q88" s="128" t="s">
        <v>572</v>
      </c>
    </row>
    <row r="89">
      <c r="A89" s="129">
        <v>1343.0</v>
      </c>
      <c r="B89" s="129">
        <v>2017.0</v>
      </c>
      <c r="C89" s="129">
        <v>93.0</v>
      </c>
      <c r="D89" s="129">
        <v>34.3349</v>
      </c>
      <c r="E89" s="129">
        <v>-106.744</v>
      </c>
      <c r="F89" s="128" t="s">
        <v>2398</v>
      </c>
      <c r="G89" s="128" t="s">
        <v>2194</v>
      </c>
      <c r="H89" s="128"/>
      <c r="I89" s="128"/>
      <c r="J89" s="128"/>
      <c r="K89" s="129">
        <v>1.0</v>
      </c>
      <c r="L89" s="128"/>
      <c r="M89" s="128" t="s">
        <v>2195</v>
      </c>
      <c r="N89" s="129">
        <v>1594.0</v>
      </c>
      <c r="O89" s="128"/>
      <c r="P89" s="128"/>
      <c r="Q89" s="128" t="s">
        <v>572</v>
      </c>
    </row>
    <row r="90">
      <c r="A90" s="129">
        <v>1355.0</v>
      </c>
      <c r="B90" s="129">
        <v>2017.0</v>
      </c>
      <c r="C90" s="129">
        <v>77.0</v>
      </c>
      <c r="D90" s="129">
        <v>34.3623</v>
      </c>
      <c r="E90" s="129">
        <v>-106.702</v>
      </c>
      <c r="F90" s="128" t="s">
        <v>802</v>
      </c>
      <c r="G90" s="128" t="s">
        <v>2188</v>
      </c>
      <c r="H90" s="128"/>
      <c r="I90" s="128"/>
      <c r="J90" s="128"/>
      <c r="K90" s="129">
        <v>1.0</v>
      </c>
      <c r="L90" s="128"/>
      <c r="M90" s="128" t="s">
        <v>2189</v>
      </c>
      <c r="N90" s="129">
        <v>1594.0</v>
      </c>
      <c r="O90" s="128"/>
      <c r="P90" s="128"/>
      <c r="Q90" s="128" t="s">
        <v>572</v>
      </c>
    </row>
    <row r="91">
      <c r="A91" s="129">
        <v>1235.0</v>
      </c>
      <c r="B91" s="129">
        <v>2019.0</v>
      </c>
      <c r="C91" s="129">
        <v>1.7</v>
      </c>
      <c r="D91" s="129">
        <v>34.3623</v>
      </c>
      <c r="E91" s="129">
        <v>-106.702</v>
      </c>
      <c r="F91" s="128" t="s">
        <v>2190</v>
      </c>
      <c r="G91" s="128" t="s">
        <v>2188</v>
      </c>
      <c r="H91" s="128" t="s">
        <v>350</v>
      </c>
      <c r="I91" s="128" t="s">
        <v>246</v>
      </c>
      <c r="J91" s="128"/>
      <c r="K91" s="129">
        <v>1.0</v>
      </c>
      <c r="L91" s="129">
        <v>90.0</v>
      </c>
      <c r="M91" s="128" t="s">
        <v>2189</v>
      </c>
      <c r="N91" s="129">
        <v>1594.0</v>
      </c>
      <c r="O91" s="128"/>
      <c r="P91" s="129">
        <v>30.0</v>
      </c>
      <c r="Q91" s="128" t="s">
        <v>572</v>
      </c>
    </row>
    <row r="92">
      <c r="A92" s="129">
        <v>1345.0</v>
      </c>
      <c r="B92" s="129">
        <v>2017.0</v>
      </c>
      <c r="C92" s="129">
        <v>73.0</v>
      </c>
      <c r="D92" s="129">
        <v>34.3623</v>
      </c>
      <c r="E92" s="129">
        <v>-106.702</v>
      </c>
      <c r="F92" s="128" t="s">
        <v>2398</v>
      </c>
      <c r="G92" s="128" t="s">
        <v>2188</v>
      </c>
      <c r="H92" s="128"/>
      <c r="I92" s="128"/>
      <c r="J92" s="128"/>
      <c r="K92" s="129">
        <v>1.0</v>
      </c>
      <c r="L92" s="128"/>
      <c r="M92" s="128" t="s">
        <v>2189</v>
      </c>
      <c r="N92" s="129">
        <v>1594.0</v>
      </c>
      <c r="O92" s="128"/>
      <c r="P92" s="128"/>
      <c r="Q92" s="128" t="s">
        <v>572</v>
      </c>
    </row>
    <row r="93">
      <c r="A93" s="129">
        <v>1237.0</v>
      </c>
      <c r="B93" s="129">
        <v>2019.0</v>
      </c>
      <c r="C93" s="129">
        <v>3.1</v>
      </c>
      <c r="D93" s="129">
        <v>34.4255</v>
      </c>
      <c r="E93" s="129">
        <v>-105.862</v>
      </c>
      <c r="F93" s="128" t="s">
        <v>2190</v>
      </c>
      <c r="G93" s="128" t="s">
        <v>2196</v>
      </c>
      <c r="H93" s="128" t="s">
        <v>350</v>
      </c>
      <c r="I93" s="128" t="s">
        <v>246</v>
      </c>
      <c r="J93" s="128"/>
      <c r="K93" s="129">
        <v>1.0</v>
      </c>
      <c r="L93" s="129">
        <v>90.0</v>
      </c>
      <c r="M93" s="128" t="s">
        <v>2197</v>
      </c>
      <c r="N93" s="129">
        <v>1926.0</v>
      </c>
      <c r="O93" s="128"/>
      <c r="P93" s="129">
        <v>30.0</v>
      </c>
      <c r="Q93" s="128" t="s">
        <v>572</v>
      </c>
    </row>
    <row r="94">
      <c r="A94" s="129">
        <v>1238.0</v>
      </c>
      <c r="B94" s="129">
        <v>2019.0</v>
      </c>
      <c r="C94" s="129">
        <v>-0.9</v>
      </c>
      <c r="D94" s="129">
        <v>34.4385</v>
      </c>
      <c r="E94" s="129">
        <v>-106.238</v>
      </c>
      <c r="F94" s="128" t="s">
        <v>2190</v>
      </c>
      <c r="G94" s="128" t="s">
        <v>2199</v>
      </c>
      <c r="H94" s="128" t="s">
        <v>350</v>
      </c>
      <c r="I94" s="128" t="s">
        <v>246</v>
      </c>
      <c r="J94" s="128"/>
      <c r="K94" s="129">
        <v>1.0</v>
      </c>
      <c r="L94" s="129">
        <v>90.0</v>
      </c>
      <c r="M94" s="128" t="s">
        <v>2200</v>
      </c>
      <c r="N94" s="129">
        <v>2193.0</v>
      </c>
      <c r="O94" s="128"/>
      <c r="P94" s="129">
        <v>30.0</v>
      </c>
      <c r="Q94" s="128" t="s">
        <v>572</v>
      </c>
    </row>
    <row r="95">
      <c r="A95" s="129">
        <v>809.0</v>
      </c>
      <c r="B95" s="129">
        <v>2017.0</v>
      </c>
      <c r="C95" s="129">
        <v>27.0</v>
      </c>
      <c r="D95" s="129">
        <v>35.04</v>
      </c>
      <c r="E95" s="129">
        <v>-97.91</v>
      </c>
      <c r="F95" s="128" t="s">
        <v>984</v>
      </c>
      <c r="G95" s="128" t="s">
        <v>1524</v>
      </c>
      <c r="H95" s="128" t="s">
        <v>1522</v>
      </c>
      <c r="I95" s="128" t="s">
        <v>1523</v>
      </c>
      <c r="J95" s="129">
        <v>19.0</v>
      </c>
      <c r="K95" s="129">
        <v>1.0</v>
      </c>
      <c r="L95" s="129">
        <v>30.0</v>
      </c>
      <c r="M95" s="128" t="s">
        <v>1525</v>
      </c>
      <c r="N95" s="129">
        <v>333.0</v>
      </c>
      <c r="O95" s="128"/>
      <c r="P95" s="129">
        <v>30.0</v>
      </c>
      <c r="Q95" s="128" t="s">
        <v>572</v>
      </c>
    </row>
    <row r="96">
      <c r="A96" s="129">
        <v>814.0</v>
      </c>
      <c r="B96" s="129">
        <v>2017.0</v>
      </c>
      <c r="C96" s="129">
        <v>32.0</v>
      </c>
      <c r="D96" s="129">
        <v>35.04</v>
      </c>
      <c r="E96" s="129">
        <v>-97.91</v>
      </c>
      <c r="F96" s="128" t="s">
        <v>984</v>
      </c>
      <c r="G96" s="128" t="s">
        <v>1524</v>
      </c>
      <c r="H96" s="128" t="s">
        <v>1522</v>
      </c>
      <c r="I96" s="128" t="s">
        <v>1523</v>
      </c>
      <c r="J96" s="129">
        <v>19.0</v>
      </c>
      <c r="K96" s="129">
        <v>1.0</v>
      </c>
      <c r="L96" s="129">
        <v>30.0</v>
      </c>
      <c r="M96" s="128" t="s">
        <v>1525</v>
      </c>
      <c r="N96" s="129">
        <v>333.0</v>
      </c>
      <c r="O96" s="128"/>
      <c r="P96" s="129">
        <v>30.0</v>
      </c>
      <c r="Q96" s="128" t="s">
        <v>572</v>
      </c>
    </row>
    <row r="97">
      <c r="A97" s="129">
        <v>818.0</v>
      </c>
      <c r="B97" s="129">
        <v>2017.0</v>
      </c>
      <c r="C97" s="129">
        <v>25.0</v>
      </c>
      <c r="D97" s="129">
        <v>35.04</v>
      </c>
      <c r="E97" s="129">
        <v>-97.91</v>
      </c>
      <c r="F97" s="128" t="s">
        <v>984</v>
      </c>
      <c r="G97" s="128" t="s">
        <v>1524</v>
      </c>
      <c r="H97" s="128" t="s">
        <v>1538</v>
      </c>
      <c r="I97" s="128" t="s">
        <v>1539</v>
      </c>
      <c r="J97" s="129">
        <v>18.0</v>
      </c>
      <c r="K97" s="129">
        <v>1.0</v>
      </c>
      <c r="L97" s="129">
        <v>30.0</v>
      </c>
      <c r="M97" s="128" t="s">
        <v>1525</v>
      </c>
      <c r="N97" s="129">
        <v>333.0</v>
      </c>
      <c r="O97" s="128"/>
      <c r="P97" s="129">
        <v>30.0</v>
      </c>
      <c r="Q97" s="128" t="s">
        <v>572</v>
      </c>
    </row>
    <row r="98">
      <c r="A98" s="129">
        <v>810.0</v>
      </c>
      <c r="B98" s="129">
        <v>2017.0</v>
      </c>
      <c r="C98" s="129">
        <v>14.0</v>
      </c>
      <c r="D98" s="129">
        <v>35.04</v>
      </c>
      <c r="E98" s="129">
        <v>-97.91</v>
      </c>
      <c r="F98" s="128" t="s">
        <v>571</v>
      </c>
      <c r="G98" s="128" t="s">
        <v>1524</v>
      </c>
      <c r="H98" s="128" t="s">
        <v>1522</v>
      </c>
      <c r="I98" s="128" t="s">
        <v>1523</v>
      </c>
      <c r="J98" s="129">
        <v>19.0</v>
      </c>
      <c r="K98" s="129">
        <v>1.0</v>
      </c>
      <c r="L98" s="129">
        <v>30.0</v>
      </c>
      <c r="M98" s="128" t="s">
        <v>1525</v>
      </c>
      <c r="N98" s="129">
        <v>333.0</v>
      </c>
      <c r="O98" s="128"/>
      <c r="P98" s="129">
        <v>30.0</v>
      </c>
      <c r="Q98" s="128" t="s">
        <v>572</v>
      </c>
    </row>
    <row r="99">
      <c r="A99" s="129">
        <v>815.0</v>
      </c>
      <c r="B99" s="129">
        <v>2017.0</v>
      </c>
      <c r="C99" s="129">
        <v>23.0</v>
      </c>
      <c r="D99" s="129">
        <v>35.04</v>
      </c>
      <c r="E99" s="129">
        <v>-97.91</v>
      </c>
      <c r="F99" s="128" t="s">
        <v>571</v>
      </c>
      <c r="G99" s="128" t="s">
        <v>1524</v>
      </c>
      <c r="H99" s="128" t="s">
        <v>1522</v>
      </c>
      <c r="I99" s="128" t="s">
        <v>1523</v>
      </c>
      <c r="J99" s="129">
        <v>19.0</v>
      </c>
      <c r="K99" s="129">
        <v>1.0</v>
      </c>
      <c r="L99" s="129">
        <v>30.0</v>
      </c>
      <c r="M99" s="128" t="s">
        <v>1525</v>
      </c>
      <c r="N99" s="129">
        <v>333.0</v>
      </c>
      <c r="O99" s="128"/>
      <c r="P99" s="129">
        <v>30.0</v>
      </c>
      <c r="Q99" s="128" t="s">
        <v>572</v>
      </c>
    </row>
    <row r="100">
      <c r="A100" s="129">
        <v>819.0</v>
      </c>
      <c r="B100" s="129">
        <v>2017.0</v>
      </c>
      <c r="C100" s="129">
        <v>26.0</v>
      </c>
      <c r="D100" s="129">
        <v>35.04</v>
      </c>
      <c r="E100" s="129">
        <v>-97.91</v>
      </c>
      <c r="F100" s="128" t="s">
        <v>571</v>
      </c>
      <c r="G100" s="128" t="s">
        <v>1524</v>
      </c>
      <c r="H100" s="128" t="s">
        <v>1538</v>
      </c>
      <c r="I100" s="128" t="s">
        <v>1539</v>
      </c>
      <c r="J100" s="129">
        <v>18.0</v>
      </c>
      <c r="K100" s="129">
        <v>1.0</v>
      </c>
      <c r="L100" s="129">
        <v>30.0</v>
      </c>
      <c r="M100" s="128" t="s">
        <v>1525</v>
      </c>
      <c r="N100" s="129">
        <v>333.0</v>
      </c>
      <c r="O100" s="128"/>
      <c r="P100" s="129">
        <v>30.0</v>
      </c>
      <c r="Q100" s="128" t="s">
        <v>572</v>
      </c>
    </row>
    <row r="101">
      <c r="A101" s="129">
        <v>812.0</v>
      </c>
      <c r="B101" s="129">
        <v>2017.0</v>
      </c>
      <c r="C101" s="129">
        <v>7.0</v>
      </c>
      <c r="D101" s="129">
        <v>35.04</v>
      </c>
      <c r="E101" s="129">
        <v>-97.91</v>
      </c>
      <c r="F101" s="128" t="s">
        <v>936</v>
      </c>
      <c r="G101" s="128" t="s">
        <v>1524</v>
      </c>
      <c r="H101" s="128" t="s">
        <v>1522</v>
      </c>
      <c r="I101" s="128" t="s">
        <v>1523</v>
      </c>
      <c r="J101" s="129">
        <v>19.0</v>
      </c>
      <c r="K101" s="129">
        <v>1.0</v>
      </c>
      <c r="L101" s="129">
        <v>30.0</v>
      </c>
      <c r="M101" s="128" t="s">
        <v>1525</v>
      </c>
      <c r="N101" s="129">
        <v>333.0</v>
      </c>
      <c r="O101" s="128"/>
      <c r="P101" s="129">
        <v>30.0</v>
      </c>
      <c r="Q101" s="128" t="s">
        <v>572</v>
      </c>
    </row>
    <row r="102">
      <c r="A102" s="129">
        <v>817.0</v>
      </c>
      <c r="B102" s="129">
        <v>2017.0</v>
      </c>
      <c r="C102" s="129">
        <v>8.0</v>
      </c>
      <c r="D102" s="129">
        <v>35.04</v>
      </c>
      <c r="E102" s="129">
        <v>-97.91</v>
      </c>
      <c r="F102" s="128" t="s">
        <v>936</v>
      </c>
      <c r="G102" s="128" t="s">
        <v>1524</v>
      </c>
      <c r="H102" s="128" t="s">
        <v>1522</v>
      </c>
      <c r="I102" s="128" t="s">
        <v>1523</v>
      </c>
      <c r="J102" s="129">
        <v>19.0</v>
      </c>
      <c r="K102" s="129">
        <v>1.0</v>
      </c>
      <c r="L102" s="129">
        <v>30.0</v>
      </c>
      <c r="M102" s="128" t="s">
        <v>1525</v>
      </c>
      <c r="N102" s="129">
        <v>333.0</v>
      </c>
      <c r="O102" s="128"/>
      <c r="P102" s="129">
        <v>30.0</v>
      </c>
      <c r="Q102" s="128" t="s">
        <v>572</v>
      </c>
    </row>
    <row r="103">
      <c r="A103" s="129">
        <v>820.0</v>
      </c>
      <c r="B103" s="129">
        <v>2017.0</v>
      </c>
      <c r="C103" s="129">
        <v>21.0</v>
      </c>
      <c r="D103" s="129">
        <v>35.04</v>
      </c>
      <c r="E103" s="129">
        <v>-97.91</v>
      </c>
      <c r="F103" s="128" t="s">
        <v>936</v>
      </c>
      <c r="G103" s="128" t="s">
        <v>1524</v>
      </c>
      <c r="H103" s="128" t="s">
        <v>1538</v>
      </c>
      <c r="I103" s="128" t="s">
        <v>1539</v>
      </c>
      <c r="J103" s="129">
        <v>18.0</v>
      </c>
      <c r="K103" s="129">
        <v>1.0</v>
      </c>
      <c r="L103" s="129">
        <v>30.0</v>
      </c>
      <c r="M103" s="128" t="s">
        <v>1525</v>
      </c>
      <c r="N103" s="129">
        <v>333.0</v>
      </c>
      <c r="O103" s="128"/>
      <c r="P103" s="129">
        <v>30.0</v>
      </c>
      <c r="Q103" s="128" t="s">
        <v>572</v>
      </c>
    </row>
    <row r="104">
      <c r="A104" s="129">
        <v>811.0</v>
      </c>
      <c r="B104" s="129">
        <v>2017.0</v>
      </c>
      <c r="C104" s="129">
        <v>-1.0</v>
      </c>
      <c r="D104" s="129">
        <v>35.04</v>
      </c>
      <c r="E104" s="129">
        <v>-97.91</v>
      </c>
      <c r="F104" s="128" t="s">
        <v>1533</v>
      </c>
      <c r="G104" s="128" t="s">
        <v>1524</v>
      </c>
      <c r="H104" s="128" t="s">
        <v>1522</v>
      </c>
      <c r="I104" s="128" t="s">
        <v>1523</v>
      </c>
      <c r="J104" s="129">
        <v>19.0</v>
      </c>
      <c r="K104" s="129">
        <v>1.0</v>
      </c>
      <c r="L104" s="129">
        <v>30.0</v>
      </c>
      <c r="M104" s="128" t="s">
        <v>1525</v>
      </c>
      <c r="N104" s="129">
        <v>333.0</v>
      </c>
      <c r="O104" s="128"/>
      <c r="P104" s="129">
        <v>30.0</v>
      </c>
      <c r="Q104" s="128" t="s">
        <v>572</v>
      </c>
    </row>
    <row r="105">
      <c r="A105" s="129">
        <v>816.0</v>
      </c>
      <c r="B105" s="129">
        <v>2017.0</v>
      </c>
      <c r="C105" s="129">
        <v>29.0</v>
      </c>
      <c r="D105" s="129">
        <v>35.04</v>
      </c>
      <c r="E105" s="129">
        <v>-97.91</v>
      </c>
      <c r="F105" s="128" t="s">
        <v>1533</v>
      </c>
      <c r="G105" s="128" t="s">
        <v>1524</v>
      </c>
      <c r="H105" s="128" t="s">
        <v>1522</v>
      </c>
      <c r="I105" s="128" t="s">
        <v>1523</v>
      </c>
      <c r="J105" s="129">
        <v>19.0</v>
      </c>
      <c r="K105" s="129">
        <v>1.0</v>
      </c>
      <c r="L105" s="129">
        <v>30.0</v>
      </c>
      <c r="M105" s="128" t="s">
        <v>1525</v>
      </c>
      <c r="N105" s="129">
        <v>333.0</v>
      </c>
      <c r="O105" s="128"/>
      <c r="P105" s="129">
        <v>30.0</v>
      </c>
      <c r="Q105" s="128" t="s">
        <v>572</v>
      </c>
    </row>
    <row r="106">
      <c r="A106" s="129">
        <v>821.0</v>
      </c>
      <c r="B106" s="129">
        <v>2017.0</v>
      </c>
      <c r="C106" s="129">
        <v>6.0</v>
      </c>
      <c r="D106" s="129">
        <v>35.04</v>
      </c>
      <c r="E106" s="129">
        <v>-97.91</v>
      </c>
      <c r="F106" s="128" t="s">
        <v>1411</v>
      </c>
      <c r="G106" s="128" t="s">
        <v>1524</v>
      </c>
      <c r="H106" s="128" t="s">
        <v>1538</v>
      </c>
      <c r="I106" s="128" t="s">
        <v>1539</v>
      </c>
      <c r="J106" s="129">
        <v>18.0</v>
      </c>
      <c r="K106" s="129">
        <v>1.0</v>
      </c>
      <c r="L106" s="129">
        <v>30.0</v>
      </c>
      <c r="M106" s="128" t="s">
        <v>1525</v>
      </c>
      <c r="N106" s="129">
        <v>333.0</v>
      </c>
      <c r="O106" s="128"/>
      <c r="P106" s="129">
        <v>30.0</v>
      </c>
      <c r="Q106" s="128" t="s">
        <v>572</v>
      </c>
    </row>
    <row r="107">
      <c r="A107" s="129">
        <v>813.0</v>
      </c>
      <c r="B107" s="129">
        <v>2017.0</v>
      </c>
      <c r="C107" s="129">
        <v>-5.0</v>
      </c>
      <c r="D107" s="129">
        <v>35.04</v>
      </c>
      <c r="E107" s="129">
        <v>-97.91</v>
      </c>
      <c r="F107" s="128" t="s">
        <v>802</v>
      </c>
      <c r="G107" s="128" t="s">
        <v>1524</v>
      </c>
      <c r="H107" s="128" t="s">
        <v>1522</v>
      </c>
      <c r="I107" s="128" t="s">
        <v>1523</v>
      </c>
      <c r="J107" s="129">
        <v>19.0</v>
      </c>
      <c r="K107" s="129">
        <v>1.0</v>
      </c>
      <c r="L107" s="129">
        <v>30.0</v>
      </c>
      <c r="M107" s="128" t="s">
        <v>1525</v>
      </c>
      <c r="N107" s="129">
        <v>333.0</v>
      </c>
      <c r="O107" s="128"/>
      <c r="P107" s="129">
        <v>30.0</v>
      </c>
      <c r="Q107" s="128" t="s">
        <v>572</v>
      </c>
    </row>
    <row r="108">
      <c r="A108" s="129">
        <v>822.0</v>
      </c>
      <c r="B108" s="129">
        <v>2017.0</v>
      </c>
      <c r="C108" s="129">
        <v>31.0</v>
      </c>
      <c r="D108" s="129">
        <v>35.04</v>
      </c>
      <c r="E108" s="129">
        <v>-97.91</v>
      </c>
      <c r="F108" s="128" t="s">
        <v>802</v>
      </c>
      <c r="G108" s="128" t="s">
        <v>1524</v>
      </c>
      <c r="H108" s="128" t="s">
        <v>1538</v>
      </c>
      <c r="I108" s="128" t="s">
        <v>1539</v>
      </c>
      <c r="J108" s="129">
        <v>18.0</v>
      </c>
      <c r="K108" s="129">
        <v>1.0</v>
      </c>
      <c r="L108" s="129">
        <v>30.0</v>
      </c>
      <c r="M108" s="128" t="s">
        <v>1525</v>
      </c>
      <c r="N108" s="129">
        <v>333.0</v>
      </c>
      <c r="O108" s="128"/>
      <c r="P108" s="129">
        <v>30.0</v>
      </c>
      <c r="Q108" s="128" t="s">
        <v>572</v>
      </c>
    </row>
    <row r="109">
      <c r="A109" s="129">
        <v>391.0</v>
      </c>
      <c r="B109" s="129">
        <v>2017.0</v>
      </c>
      <c r="C109" s="129">
        <v>27.91</v>
      </c>
      <c r="D109" s="129">
        <v>35.51</v>
      </c>
      <c r="E109" s="129">
        <v>-119.667</v>
      </c>
      <c r="F109" s="128" t="s">
        <v>984</v>
      </c>
      <c r="G109" s="128" t="s">
        <v>979</v>
      </c>
      <c r="H109" s="128" t="s">
        <v>536</v>
      </c>
      <c r="I109" s="128" t="s">
        <v>351</v>
      </c>
      <c r="J109" s="129">
        <v>14.0</v>
      </c>
      <c r="K109" s="129">
        <v>1.0</v>
      </c>
      <c r="L109" s="128" t="s">
        <v>978</v>
      </c>
      <c r="M109" s="128" t="s">
        <v>980</v>
      </c>
      <c r="N109" s="129">
        <v>108.0</v>
      </c>
      <c r="O109" s="128" t="s">
        <v>982</v>
      </c>
      <c r="P109" s="129">
        <v>30.0</v>
      </c>
      <c r="Q109" s="128" t="s">
        <v>572</v>
      </c>
    </row>
    <row r="110">
      <c r="A110" s="129">
        <v>392.0</v>
      </c>
      <c r="B110" s="129">
        <v>2017.0</v>
      </c>
      <c r="C110" s="129">
        <v>16.7</v>
      </c>
      <c r="D110" s="129">
        <v>35.51</v>
      </c>
      <c r="E110" s="129">
        <v>-119.667</v>
      </c>
      <c r="F110" s="128" t="s">
        <v>984</v>
      </c>
      <c r="G110" s="128" t="s">
        <v>979</v>
      </c>
      <c r="H110" s="128" t="s">
        <v>969</v>
      </c>
      <c r="I110" s="128" t="s">
        <v>507</v>
      </c>
      <c r="J110" s="129">
        <v>11.0</v>
      </c>
      <c r="K110" s="129">
        <v>1.0</v>
      </c>
      <c r="L110" s="128" t="s">
        <v>978</v>
      </c>
      <c r="M110" s="128" t="s">
        <v>980</v>
      </c>
      <c r="N110" s="129">
        <v>108.0</v>
      </c>
      <c r="O110" s="128" t="s">
        <v>982</v>
      </c>
      <c r="P110" s="129">
        <v>30.0</v>
      </c>
      <c r="Q110" s="128" t="s">
        <v>572</v>
      </c>
    </row>
    <row r="111">
      <c r="A111" s="129">
        <v>393.0</v>
      </c>
      <c r="B111" s="129">
        <v>2017.0</v>
      </c>
      <c r="C111" s="129">
        <v>28.47</v>
      </c>
      <c r="D111" s="129">
        <v>35.51</v>
      </c>
      <c r="E111" s="129">
        <v>-119.667</v>
      </c>
      <c r="F111" s="128" t="s">
        <v>984</v>
      </c>
      <c r="G111" s="128" t="s">
        <v>979</v>
      </c>
      <c r="H111" s="128" t="s">
        <v>233</v>
      </c>
      <c r="I111" s="128" t="s">
        <v>234</v>
      </c>
      <c r="J111" s="129">
        <v>10.0</v>
      </c>
      <c r="K111" s="129">
        <v>1.0</v>
      </c>
      <c r="L111" s="128" t="s">
        <v>978</v>
      </c>
      <c r="M111" s="128" t="s">
        <v>980</v>
      </c>
      <c r="N111" s="129">
        <v>108.0</v>
      </c>
      <c r="O111" s="128" t="s">
        <v>982</v>
      </c>
      <c r="P111" s="129">
        <v>30.0</v>
      </c>
      <c r="Q111" s="128" t="s">
        <v>572</v>
      </c>
    </row>
    <row r="112">
      <c r="A112" s="129">
        <v>394.0</v>
      </c>
      <c r="B112" s="129">
        <v>2017.0</v>
      </c>
      <c r="C112" s="129">
        <v>-13.02</v>
      </c>
      <c r="D112" s="129">
        <v>35.51</v>
      </c>
      <c r="E112" s="129">
        <v>-119.667</v>
      </c>
      <c r="F112" s="128" t="s">
        <v>984</v>
      </c>
      <c r="G112" s="128" t="s">
        <v>979</v>
      </c>
      <c r="H112" s="128" t="s">
        <v>242</v>
      </c>
      <c r="I112" s="128" t="s">
        <v>243</v>
      </c>
      <c r="J112" s="129">
        <v>11.0</v>
      </c>
      <c r="K112" s="129">
        <v>1.0</v>
      </c>
      <c r="L112" s="128" t="s">
        <v>978</v>
      </c>
      <c r="M112" s="128" t="s">
        <v>980</v>
      </c>
      <c r="N112" s="129">
        <v>108.0</v>
      </c>
      <c r="O112" s="128" t="s">
        <v>982</v>
      </c>
      <c r="P112" s="129">
        <v>30.0</v>
      </c>
      <c r="Q112" s="128" t="s">
        <v>572</v>
      </c>
    </row>
    <row r="113">
      <c r="A113" s="129">
        <v>395.0</v>
      </c>
      <c r="B113" s="129">
        <v>2017.0</v>
      </c>
      <c r="C113" s="129">
        <v>21.79</v>
      </c>
      <c r="D113" s="129">
        <v>35.51</v>
      </c>
      <c r="E113" s="129">
        <v>-119.667</v>
      </c>
      <c r="F113" s="128" t="s">
        <v>984</v>
      </c>
      <c r="G113" s="128" t="s">
        <v>979</v>
      </c>
      <c r="H113" s="128" t="s">
        <v>536</v>
      </c>
      <c r="I113" s="128" t="s">
        <v>243</v>
      </c>
      <c r="J113" s="129">
        <v>46.0</v>
      </c>
      <c r="K113" s="129">
        <v>1.0</v>
      </c>
      <c r="L113" s="128" t="s">
        <v>978</v>
      </c>
      <c r="M113" s="128" t="s">
        <v>980</v>
      </c>
      <c r="N113" s="129">
        <v>108.0</v>
      </c>
      <c r="O113" s="128" t="s">
        <v>982</v>
      </c>
      <c r="P113" s="129">
        <v>30.0</v>
      </c>
      <c r="Q113" s="128" t="s">
        <v>572</v>
      </c>
    </row>
    <row r="114">
      <c r="A114" s="129">
        <v>396.0</v>
      </c>
      <c r="B114" s="129">
        <v>2017.0</v>
      </c>
      <c r="C114" s="129">
        <v>-6.38</v>
      </c>
      <c r="D114" s="129">
        <v>35.51</v>
      </c>
      <c r="E114" s="129">
        <v>-119.667</v>
      </c>
      <c r="F114" s="128" t="s">
        <v>984</v>
      </c>
      <c r="G114" s="128" t="s">
        <v>979</v>
      </c>
      <c r="H114" s="128" t="s">
        <v>613</v>
      </c>
      <c r="I114" s="128" t="s">
        <v>987</v>
      </c>
      <c r="J114" s="129">
        <v>9.0</v>
      </c>
      <c r="K114" s="129">
        <v>1.0</v>
      </c>
      <c r="L114" s="128" t="s">
        <v>978</v>
      </c>
      <c r="M114" s="128" t="s">
        <v>980</v>
      </c>
      <c r="N114" s="129">
        <v>108.0</v>
      </c>
      <c r="O114" s="128" t="s">
        <v>982</v>
      </c>
      <c r="P114" s="129">
        <v>30.0</v>
      </c>
      <c r="Q114" s="128" t="s">
        <v>572</v>
      </c>
    </row>
    <row r="115">
      <c r="A115" s="129">
        <v>397.0</v>
      </c>
      <c r="B115" s="129">
        <v>2017.0</v>
      </c>
      <c r="C115" s="129">
        <v>12.64</v>
      </c>
      <c r="D115" s="129">
        <v>35.51</v>
      </c>
      <c r="E115" s="129">
        <v>-119.667</v>
      </c>
      <c r="F115" s="128" t="s">
        <v>984</v>
      </c>
      <c r="G115" s="128" t="s">
        <v>979</v>
      </c>
      <c r="H115" s="128" t="s">
        <v>988</v>
      </c>
      <c r="I115" s="128" t="s">
        <v>989</v>
      </c>
      <c r="J115" s="129">
        <v>9.0</v>
      </c>
      <c r="K115" s="129">
        <v>1.0</v>
      </c>
      <c r="L115" s="128" t="s">
        <v>978</v>
      </c>
      <c r="M115" s="128" t="s">
        <v>980</v>
      </c>
      <c r="N115" s="129">
        <v>108.0</v>
      </c>
      <c r="O115" s="128" t="s">
        <v>982</v>
      </c>
      <c r="P115" s="129">
        <v>30.0</v>
      </c>
      <c r="Q115" s="128" t="s">
        <v>572</v>
      </c>
    </row>
    <row r="116">
      <c r="A116" s="129">
        <v>398.0</v>
      </c>
      <c r="B116" s="129">
        <v>2017.0</v>
      </c>
      <c r="C116" s="129">
        <v>15.93</v>
      </c>
      <c r="D116" s="129">
        <v>35.51</v>
      </c>
      <c r="E116" s="129">
        <v>-119.667</v>
      </c>
      <c r="F116" s="128" t="s">
        <v>984</v>
      </c>
      <c r="G116" s="128" t="s">
        <v>979</v>
      </c>
      <c r="H116" s="128" t="s">
        <v>990</v>
      </c>
      <c r="I116" s="128" t="s">
        <v>991</v>
      </c>
      <c r="J116" s="129">
        <v>8.0</v>
      </c>
      <c r="K116" s="129">
        <v>1.0</v>
      </c>
      <c r="L116" s="128" t="s">
        <v>978</v>
      </c>
      <c r="M116" s="128" t="s">
        <v>980</v>
      </c>
      <c r="N116" s="129">
        <v>108.0</v>
      </c>
      <c r="O116" s="128" t="s">
        <v>982</v>
      </c>
      <c r="P116" s="129">
        <v>30.0</v>
      </c>
      <c r="Q116" s="128" t="s">
        <v>572</v>
      </c>
    </row>
    <row r="117">
      <c r="A117" s="129">
        <v>399.0</v>
      </c>
      <c r="B117" s="129">
        <v>2017.0</v>
      </c>
      <c r="C117" s="129">
        <v>-10.8</v>
      </c>
      <c r="D117" s="129">
        <v>35.51</v>
      </c>
      <c r="E117" s="129">
        <v>-119.667</v>
      </c>
      <c r="F117" s="128" t="s">
        <v>984</v>
      </c>
      <c r="G117" s="128" t="s">
        <v>979</v>
      </c>
      <c r="H117" s="128" t="s">
        <v>992</v>
      </c>
      <c r="I117" s="128" t="s">
        <v>993</v>
      </c>
      <c r="J117" s="129">
        <v>8.0</v>
      </c>
      <c r="K117" s="129">
        <v>1.0</v>
      </c>
      <c r="L117" s="128" t="s">
        <v>978</v>
      </c>
      <c r="M117" s="128" t="s">
        <v>980</v>
      </c>
      <c r="N117" s="129">
        <v>108.0</v>
      </c>
      <c r="O117" s="128" t="s">
        <v>982</v>
      </c>
      <c r="P117" s="129">
        <v>30.0</v>
      </c>
      <c r="Q117" s="128" t="s">
        <v>572</v>
      </c>
    </row>
    <row r="118">
      <c r="A118" s="129">
        <v>400.0</v>
      </c>
      <c r="B118" s="129">
        <v>2017.0</v>
      </c>
      <c r="C118" s="129">
        <v>11.32</v>
      </c>
      <c r="D118" s="129">
        <v>35.51</v>
      </c>
      <c r="E118" s="129">
        <v>-119.667</v>
      </c>
      <c r="F118" s="128" t="s">
        <v>984</v>
      </c>
      <c r="G118" s="128" t="s">
        <v>979</v>
      </c>
      <c r="H118" s="128" t="s">
        <v>613</v>
      </c>
      <c r="I118" s="128" t="s">
        <v>993</v>
      </c>
      <c r="J118" s="129">
        <v>34.0</v>
      </c>
      <c r="K118" s="129">
        <v>1.0</v>
      </c>
      <c r="L118" s="128" t="s">
        <v>978</v>
      </c>
      <c r="M118" s="128" t="s">
        <v>980</v>
      </c>
      <c r="N118" s="129">
        <v>108.0</v>
      </c>
      <c r="O118" s="128" t="s">
        <v>982</v>
      </c>
      <c r="P118" s="129">
        <v>30.0</v>
      </c>
      <c r="Q118" s="128" t="s">
        <v>572</v>
      </c>
    </row>
    <row r="119">
      <c r="A119" s="129">
        <v>401.0</v>
      </c>
      <c r="B119" s="129">
        <v>2017.0</v>
      </c>
      <c r="C119" s="129">
        <v>-31.82</v>
      </c>
      <c r="D119" s="129">
        <v>35.51</v>
      </c>
      <c r="E119" s="129">
        <v>-119.667</v>
      </c>
      <c r="F119" s="128" t="s">
        <v>984</v>
      </c>
      <c r="G119" s="128" t="s">
        <v>979</v>
      </c>
      <c r="H119" s="128" t="s">
        <v>536</v>
      </c>
      <c r="I119" s="128" t="s">
        <v>351</v>
      </c>
      <c r="J119" s="129">
        <v>14.0</v>
      </c>
      <c r="K119" s="129">
        <v>1.0</v>
      </c>
      <c r="L119" s="128" t="s">
        <v>978</v>
      </c>
      <c r="M119" s="128" t="s">
        <v>980</v>
      </c>
      <c r="N119" s="129">
        <v>108.0</v>
      </c>
      <c r="O119" s="128" t="s">
        <v>982</v>
      </c>
      <c r="P119" s="129">
        <v>30.0</v>
      </c>
      <c r="Q119" s="128" t="s">
        <v>572</v>
      </c>
    </row>
    <row r="120">
      <c r="A120" s="129">
        <v>402.0</v>
      </c>
      <c r="B120" s="129">
        <v>2017.0</v>
      </c>
      <c r="C120" s="129">
        <v>-11.69</v>
      </c>
      <c r="D120" s="129">
        <v>35.51</v>
      </c>
      <c r="E120" s="129">
        <v>-119.667</v>
      </c>
      <c r="F120" s="128" t="s">
        <v>984</v>
      </c>
      <c r="G120" s="128" t="s">
        <v>979</v>
      </c>
      <c r="H120" s="128" t="s">
        <v>969</v>
      </c>
      <c r="I120" s="128" t="s">
        <v>507</v>
      </c>
      <c r="J120" s="129">
        <v>11.0</v>
      </c>
      <c r="K120" s="129">
        <v>1.0</v>
      </c>
      <c r="L120" s="128" t="s">
        <v>978</v>
      </c>
      <c r="M120" s="128" t="s">
        <v>980</v>
      </c>
      <c r="N120" s="129">
        <v>108.0</v>
      </c>
      <c r="O120" s="128" t="s">
        <v>982</v>
      </c>
      <c r="P120" s="129">
        <v>30.0</v>
      </c>
      <c r="Q120" s="128" t="s">
        <v>572</v>
      </c>
    </row>
    <row r="121">
      <c r="A121" s="129">
        <v>403.0</v>
      </c>
      <c r="B121" s="129">
        <v>2017.0</v>
      </c>
      <c r="C121" s="129">
        <v>27.31</v>
      </c>
      <c r="D121" s="129">
        <v>35.51</v>
      </c>
      <c r="E121" s="129">
        <v>-119.667</v>
      </c>
      <c r="F121" s="128" t="s">
        <v>984</v>
      </c>
      <c r="G121" s="128" t="s">
        <v>979</v>
      </c>
      <c r="H121" s="128" t="s">
        <v>233</v>
      </c>
      <c r="I121" s="128" t="s">
        <v>234</v>
      </c>
      <c r="J121" s="129">
        <v>10.0</v>
      </c>
      <c r="K121" s="129">
        <v>1.0</v>
      </c>
      <c r="L121" s="128" t="s">
        <v>978</v>
      </c>
      <c r="M121" s="128" t="s">
        <v>980</v>
      </c>
      <c r="N121" s="129">
        <v>108.0</v>
      </c>
      <c r="O121" s="128" t="s">
        <v>982</v>
      </c>
      <c r="P121" s="129">
        <v>30.0</v>
      </c>
      <c r="Q121" s="128" t="s">
        <v>572</v>
      </c>
    </row>
    <row r="122">
      <c r="A122" s="129">
        <v>404.0</v>
      </c>
      <c r="B122" s="129">
        <v>2017.0</v>
      </c>
      <c r="C122" s="129">
        <v>13.67</v>
      </c>
      <c r="D122" s="129">
        <v>35.51</v>
      </c>
      <c r="E122" s="129">
        <v>-119.667</v>
      </c>
      <c r="F122" s="128" t="s">
        <v>984</v>
      </c>
      <c r="G122" s="128" t="s">
        <v>979</v>
      </c>
      <c r="H122" s="128" t="s">
        <v>242</v>
      </c>
      <c r="I122" s="128" t="s">
        <v>243</v>
      </c>
      <c r="J122" s="129">
        <v>11.0</v>
      </c>
      <c r="K122" s="129">
        <v>1.0</v>
      </c>
      <c r="L122" s="128" t="s">
        <v>978</v>
      </c>
      <c r="M122" s="128" t="s">
        <v>980</v>
      </c>
      <c r="N122" s="129">
        <v>108.0</v>
      </c>
      <c r="O122" s="128" t="s">
        <v>982</v>
      </c>
      <c r="P122" s="129">
        <v>30.0</v>
      </c>
      <c r="Q122" s="128" t="s">
        <v>572</v>
      </c>
    </row>
    <row r="123">
      <c r="A123" s="129">
        <v>405.0</v>
      </c>
      <c r="B123" s="129">
        <v>2017.0</v>
      </c>
      <c r="C123" s="129">
        <v>21.68</v>
      </c>
      <c r="D123" s="129">
        <v>35.51</v>
      </c>
      <c r="E123" s="129">
        <v>-119.667</v>
      </c>
      <c r="F123" s="128" t="s">
        <v>984</v>
      </c>
      <c r="G123" s="128" t="s">
        <v>979</v>
      </c>
      <c r="H123" s="128" t="s">
        <v>536</v>
      </c>
      <c r="I123" s="128" t="s">
        <v>243</v>
      </c>
      <c r="J123" s="129">
        <v>46.0</v>
      </c>
      <c r="K123" s="129">
        <v>1.0</v>
      </c>
      <c r="L123" s="128" t="s">
        <v>978</v>
      </c>
      <c r="M123" s="128" t="s">
        <v>980</v>
      </c>
      <c r="N123" s="129">
        <v>108.0</v>
      </c>
      <c r="O123" s="128" t="s">
        <v>982</v>
      </c>
      <c r="P123" s="129">
        <v>30.0</v>
      </c>
      <c r="Q123" s="128" t="s">
        <v>572</v>
      </c>
    </row>
    <row r="124">
      <c r="A124" s="129">
        <v>406.0</v>
      </c>
      <c r="B124" s="129">
        <v>2017.0</v>
      </c>
      <c r="C124" s="129">
        <v>-7.56</v>
      </c>
      <c r="D124" s="129">
        <v>35.51</v>
      </c>
      <c r="E124" s="129">
        <v>-119.667</v>
      </c>
      <c r="F124" s="128" t="s">
        <v>984</v>
      </c>
      <c r="G124" s="128" t="s">
        <v>979</v>
      </c>
      <c r="H124" s="128" t="s">
        <v>613</v>
      </c>
      <c r="I124" s="128" t="s">
        <v>987</v>
      </c>
      <c r="J124" s="129">
        <v>9.0</v>
      </c>
      <c r="K124" s="129">
        <v>1.0</v>
      </c>
      <c r="L124" s="128" t="s">
        <v>978</v>
      </c>
      <c r="M124" s="128" t="s">
        <v>980</v>
      </c>
      <c r="N124" s="129">
        <v>108.0</v>
      </c>
      <c r="O124" s="128" t="s">
        <v>982</v>
      </c>
      <c r="P124" s="129">
        <v>30.0</v>
      </c>
      <c r="Q124" s="128" t="s">
        <v>572</v>
      </c>
    </row>
    <row r="125">
      <c r="A125" s="129">
        <v>407.0</v>
      </c>
      <c r="B125" s="129">
        <v>2017.0</v>
      </c>
      <c r="C125" s="129">
        <v>-6.46</v>
      </c>
      <c r="D125" s="129">
        <v>35.51</v>
      </c>
      <c r="E125" s="129">
        <v>-119.667</v>
      </c>
      <c r="F125" s="128" t="s">
        <v>984</v>
      </c>
      <c r="G125" s="128" t="s">
        <v>979</v>
      </c>
      <c r="H125" s="128" t="s">
        <v>988</v>
      </c>
      <c r="I125" s="128" t="s">
        <v>989</v>
      </c>
      <c r="J125" s="129">
        <v>9.0</v>
      </c>
      <c r="K125" s="129">
        <v>1.0</v>
      </c>
      <c r="L125" s="128" t="s">
        <v>978</v>
      </c>
      <c r="M125" s="128" t="s">
        <v>980</v>
      </c>
      <c r="N125" s="129">
        <v>108.0</v>
      </c>
      <c r="O125" s="128" t="s">
        <v>982</v>
      </c>
      <c r="P125" s="129">
        <v>30.0</v>
      </c>
      <c r="Q125" s="128" t="s">
        <v>572</v>
      </c>
    </row>
    <row r="126">
      <c r="A126" s="129">
        <v>408.0</v>
      </c>
      <c r="B126" s="129">
        <v>2017.0</v>
      </c>
      <c r="C126" s="129">
        <v>8.31</v>
      </c>
      <c r="D126" s="129">
        <v>35.51</v>
      </c>
      <c r="E126" s="129">
        <v>-119.667</v>
      </c>
      <c r="F126" s="128" t="s">
        <v>984</v>
      </c>
      <c r="G126" s="128" t="s">
        <v>979</v>
      </c>
      <c r="H126" s="128" t="s">
        <v>990</v>
      </c>
      <c r="I126" s="128" t="s">
        <v>991</v>
      </c>
      <c r="J126" s="129">
        <v>8.0</v>
      </c>
      <c r="K126" s="129">
        <v>1.0</v>
      </c>
      <c r="L126" s="128" t="s">
        <v>978</v>
      </c>
      <c r="M126" s="128" t="s">
        <v>980</v>
      </c>
      <c r="N126" s="129">
        <v>108.0</v>
      </c>
      <c r="O126" s="128" t="s">
        <v>982</v>
      </c>
      <c r="P126" s="129">
        <v>30.0</v>
      </c>
      <c r="Q126" s="128" t="s">
        <v>572</v>
      </c>
    </row>
    <row r="127">
      <c r="A127" s="129">
        <v>409.0</v>
      </c>
      <c r="B127" s="129">
        <v>2017.0</v>
      </c>
      <c r="C127" s="129">
        <v>9.73</v>
      </c>
      <c r="D127" s="129">
        <v>35.51</v>
      </c>
      <c r="E127" s="129">
        <v>-119.667</v>
      </c>
      <c r="F127" s="128" t="s">
        <v>984</v>
      </c>
      <c r="G127" s="128" t="s">
        <v>979</v>
      </c>
      <c r="H127" s="128" t="s">
        <v>242</v>
      </c>
      <c r="I127" s="128" t="s">
        <v>243</v>
      </c>
      <c r="J127" s="129">
        <v>8.0</v>
      </c>
      <c r="K127" s="129">
        <v>1.0</v>
      </c>
      <c r="L127" s="128" t="s">
        <v>978</v>
      </c>
      <c r="M127" s="128" t="s">
        <v>980</v>
      </c>
      <c r="N127" s="129">
        <v>108.0</v>
      </c>
      <c r="O127" s="128" t="s">
        <v>982</v>
      </c>
      <c r="P127" s="129">
        <v>30.0</v>
      </c>
      <c r="Q127" s="128" t="s">
        <v>572</v>
      </c>
    </row>
    <row r="128">
      <c r="A128" s="129">
        <v>410.0</v>
      </c>
      <c r="B128" s="129">
        <v>2017.0</v>
      </c>
      <c r="C128" s="129">
        <v>7.96</v>
      </c>
      <c r="D128" s="129">
        <v>35.51</v>
      </c>
      <c r="E128" s="129">
        <v>-119.667</v>
      </c>
      <c r="F128" s="128" t="s">
        <v>984</v>
      </c>
      <c r="G128" s="128" t="s">
        <v>979</v>
      </c>
      <c r="H128" s="128" t="s">
        <v>613</v>
      </c>
      <c r="I128" s="128" t="s">
        <v>987</v>
      </c>
      <c r="J128" s="129">
        <v>34.0</v>
      </c>
      <c r="K128" s="129">
        <v>1.0</v>
      </c>
      <c r="L128" s="128" t="s">
        <v>978</v>
      </c>
      <c r="M128" s="128" t="s">
        <v>980</v>
      </c>
      <c r="N128" s="129">
        <v>108.0</v>
      </c>
      <c r="O128" s="128" t="s">
        <v>982</v>
      </c>
      <c r="P128" s="129">
        <v>30.0</v>
      </c>
      <c r="Q128" s="128" t="s">
        <v>572</v>
      </c>
    </row>
    <row r="129">
      <c r="A129" s="129">
        <v>411.0</v>
      </c>
      <c r="B129" s="129">
        <v>2017.0</v>
      </c>
      <c r="C129" s="129">
        <v>-7.09</v>
      </c>
      <c r="D129" s="129">
        <v>35.51</v>
      </c>
      <c r="E129" s="129">
        <v>-119.667</v>
      </c>
      <c r="F129" s="128" t="s">
        <v>984</v>
      </c>
      <c r="G129" s="128" t="s">
        <v>979</v>
      </c>
      <c r="H129" s="128" t="s">
        <v>613</v>
      </c>
      <c r="I129" s="128" t="s">
        <v>987</v>
      </c>
      <c r="J129" s="129">
        <v>183.0</v>
      </c>
      <c r="K129" s="129">
        <v>1.0</v>
      </c>
      <c r="L129" s="128" t="s">
        <v>978</v>
      </c>
      <c r="M129" s="128" t="s">
        <v>980</v>
      </c>
      <c r="N129" s="129">
        <v>108.0</v>
      </c>
      <c r="O129" s="128" t="s">
        <v>982</v>
      </c>
      <c r="P129" s="129">
        <v>30.0</v>
      </c>
      <c r="Q129" s="128" t="s">
        <v>572</v>
      </c>
    </row>
    <row r="130">
      <c r="A130" s="129">
        <v>412.0</v>
      </c>
      <c r="B130" s="129">
        <v>2017.0</v>
      </c>
      <c r="C130" s="129">
        <v>-8.27</v>
      </c>
      <c r="D130" s="129">
        <v>35.51</v>
      </c>
      <c r="E130" s="129">
        <v>-119.667</v>
      </c>
      <c r="F130" s="128" t="s">
        <v>984</v>
      </c>
      <c r="G130" s="128" t="s">
        <v>979</v>
      </c>
      <c r="H130" s="128" t="s">
        <v>988</v>
      </c>
      <c r="I130" s="128" t="s">
        <v>989</v>
      </c>
      <c r="J130" s="129">
        <v>183.0</v>
      </c>
      <c r="K130" s="129">
        <v>1.0</v>
      </c>
      <c r="L130" s="128" t="s">
        <v>978</v>
      </c>
      <c r="M130" s="128" t="s">
        <v>980</v>
      </c>
      <c r="N130" s="129">
        <v>108.0</v>
      </c>
      <c r="O130" s="128" t="s">
        <v>982</v>
      </c>
      <c r="P130" s="129">
        <v>30.0</v>
      </c>
      <c r="Q130" s="128" t="s">
        <v>572</v>
      </c>
    </row>
    <row r="131">
      <c r="A131" s="129">
        <v>413.0</v>
      </c>
      <c r="B131" s="129">
        <v>2017.0</v>
      </c>
      <c r="C131" s="129">
        <v>8.32</v>
      </c>
      <c r="D131" s="129">
        <v>35.51</v>
      </c>
      <c r="E131" s="129">
        <v>-119.667</v>
      </c>
      <c r="F131" s="128" t="s">
        <v>984</v>
      </c>
      <c r="G131" s="128" t="s">
        <v>979</v>
      </c>
      <c r="H131" s="128" t="s">
        <v>990</v>
      </c>
      <c r="I131" s="128" t="s">
        <v>991</v>
      </c>
      <c r="J131" s="129">
        <v>183.0</v>
      </c>
      <c r="K131" s="129">
        <v>1.0</v>
      </c>
      <c r="L131" s="128" t="s">
        <v>978</v>
      </c>
      <c r="M131" s="128" t="s">
        <v>980</v>
      </c>
      <c r="N131" s="129">
        <v>108.0</v>
      </c>
      <c r="O131" s="128" t="s">
        <v>982</v>
      </c>
      <c r="P131" s="129">
        <v>30.0</v>
      </c>
      <c r="Q131" s="128" t="s">
        <v>572</v>
      </c>
    </row>
    <row r="132">
      <c r="A132" s="129">
        <v>414.0</v>
      </c>
      <c r="B132" s="129">
        <v>2017.0</v>
      </c>
      <c r="C132" s="129">
        <v>8.31</v>
      </c>
      <c r="D132" s="129">
        <v>35.51</v>
      </c>
      <c r="E132" s="129">
        <v>-119.667</v>
      </c>
      <c r="F132" s="128" t="s">
        <v>984</v>
      </c>
      <c r="G132" s="128" t="s">
        <v>979</v>
      </c>
      <c r="H132" s="128" t="s">
        <v>242</v>
      </c>
      <c r="I132" s="128" t="s">
        <v>243</v>
      </c>
      <c r="J132" s="129">
        <v>183.0</v>
      </c>
      <c r="K132" s="129">
        <v>1.0</v>
      </c>
      <c r="L132" s="128" t="s">
        <v>978</v>
      </c>
      <c r="M132" s="128" t="s">
        <v>980</v>
      </c>
      <c r="N132" s="129">
        <v>108.0</v>
      </c>
      <c r="O132" s="128" t="s">
        <v>982</v>
      </c>
      <c r="P132" s="129">
        <v>30.0</v>
      </c>
      <c r="Q132" s="128" t="s">
        <v>572</v>
      </c>
    </row>
    <row r="133">
      <c r="A133" s="129">
        <v>415.0</v>
      </c>
      <c r="B133" s="129">
        <v>2017.0</v>
      </c>
      <c r="C133" s="129">
        <v>-8.0</v>
      </c>
      <c r="D133" s="129">
        <v>35.51</v>
      </c>
      <c r="E133" s="129">
        <v>-119.667</v>
      </c>
      <c r="F133" s="128" t="s">
        <v>984</v>
      </c>
      <c r="G133" s="128" t="s">
        <v>979</v>
      </c>
      <c r="H133" s="128" t="s">
        <v>613</v>
      </c>
      <c r="I133" s="128" t="s">
        <v>993</v>
      </c>
      <c r="J133" s="129">
        <v>732.0</v>
      </c>
      <c r="K133" s="129">
        <v>1.0</v>
      </c>
      <c r="L133" s="128" t="s">
        <v>978</v>
      </c>
      <c r="M133" s="128" t="s">
        <v>980</v>
      </c>
      <c r="N133" s="129">
        <v>108.0</v>
      </c>
      <c r="O133" s="128" t="s">
        <v>982</v>
      </c>
      <c r="P133" s="129">
        <v>30.0</v>
      </c>
      <c r="Q133" s="128" t="s">
        <v>572</v>
      </c>
    </row>
    <row r="134">
      <c r="A134" s="129">
        <v>1442.0</v>
      </c>
      <c r="B134" s="129">
        <v>2018.0</v>
      </c>
      <c r="C134" s="129">
        <v>-20.0</v>
      </c>
      <c r="D134" s="129">
        <v>35.803</v>
      </c>
      <c r="E134" s="129">
        <v>-76.6685</v>
      </c>
      <c r="F134" s="128" t="s">
        <v>936</v>
      </c>
      <c r="G134" s="128" t="s">
        <v>556</v>
      </c>
      <c r="H134" s="128"/>
      <c r="I134" s="128"/>
      <c r="J134" s="129">
        <v>65.0</v>
      </c>
      <c r="K134" s="129">
        <v>1.0</v>
      </c>
      <c r="L134" s="129">
        <v>1000.0</v>
      </c>
      <c r="M134" s="128" t="s">
        <v>557</v>
      </c>
      <c r="N134" s="129">
        <v>9.0</v>
      </c>
      <c r="O134" s="128"/>
      <c r="P134" s="129">
        <v>1000.0</v>
      </c>
      <c r="Q134" s="128" t="s">
        <v>572</v>
      </c>
    </row>
    <row r="135">
      <c r="A135" s="129">
        <v>1429.0</v>
      </c>
      <c r="B135" s="129">
        <v>2018.0</v>
      </c>
      <c r="C135" s="129">
        <v>-17.0</v>
      </c>
      <c r="D135" s="129">
        <v>35.803</v>
      </c>
      <c r="E135" s="129">
        <v>-76.6685</v>
      </c>
      <c r="F135" s="128" t="s">
        <v>2481</v>
      </c>
      <c r="G135" s="128" t="s">
        <v>556</v>
      </c>
      <c r="H135" s="128"/>
      <c r="I135" s="128"/>
      <c r="J135" s="129">
        <v>65.0</v>
      </c>
      <c r="K135" s="129">
        <v>1.0</v>
      </c>
      <c r="L135" s="129">
        <v>1000.0</v>
      </c>
      <c r="M135" s="128" t="s">
        <v>557</v>
      </c>
      <c r="N135" s="129">
        <v>9.0</v>
      </c>
      <c r="O135" s="128"/>
      <c r="P135" s="129">
        <v>1000.0</v>
      </c>
      <c r="Q135" s="128" t="s">
        <v>572</v>
      </c>
    </row>
    <row r="136">
      <c r="A136" s="129">
        <v>1441.0</v>
      </c>
      <c r="B136" s="129">
        <v>2018.0</v>
      </c>
      <c r="C136" s="129">
        <v>23.0</v>
      </c>
      <c r="D136" s="129">
        <v>35.8118</v>
      </c>
      <c r="E136" s="129">
        <v>-76.7119</v>
      </c>
      <c r="F136" s="128" t="s">
        <v>936</v>
      </c>
      <c r="G136" s="128" t="s">
        <v>546</v>
      </c>
      <c r="H136" s="128"/>
      <c r="I136" s="128"/>
      <c r="J136" s="129">
        <v>75.0</v>
      </c>
      <c r="K136" s="129">
        <v>1.0</v>
      </c>
      <c r="L136" s="129">
        <v>1000.0</v>
      </c>
      <c r="M136" s="128" t="s">
        <v>2492</v>
      </c>
      <c r="N136" s="129">
        <v>26.0</v>
      </c>
      <c r="O136" s="128"/>
      <c r="P136" s="129">
        <v>1000.0</v>
      </c>
      <c r="Q136" s="128" t="s">
        <v>572</v>
      </c>
    </row>
    <row r="137">
      <c r="A137" s="129">
        <v>1428.0</v>
      </c>
      <c r="B137" s="129">
        <v>2018.0</v>
      </c>
      <c r="C137" s="129">
        <v>16.0</v>
      </c>
      <c r="D137" s="129">
        <v>35.8118</v>
      </c>
      <c r="E137" s="129">
        <v>-76.7119</v>
      </c>
      <c r="F137" s="128" t="s">
        <v>2481</v>
      </c>
      <c r="G137" s="128" t="s">
        <v>546</v>
      </c>
      <c r="H137" s="128"/>
      <c r="I137" s="128"/>
      <c r="J137" s="129">
        <v>75.0</v>
      </c>
      <c r="K137" s="129">
        <v>1.0</v>
      </c>
      <c r="L137" s="129">
        <v>1000.0</v>
      </c>
      <c r="M137" s="128" t="s">
        <v>547</v>
      </c>
      <c r="N137" s="129">
        <v>26.0</v>
      </c>
      <c r="O137" s="128"/>
      <c r="P137" s="129">
        <v>1000.0</v>
      </c>
      <c r="Q137" s="128" t="s">
        <v>572</v>
      </c>
    </row>
    <row r="138">
      <c r="A138" s="129">
        <v>1239.0</v>
      </c>
      <c r="B138" s="129">
        <v>2019.0</v>
      </c>
      <c r="C138" s="129">
        <v>13.7</v>
      </c>
      <c r="D138" s="129">
        <v>35.8642</v>
      </c>
      <c r="E138" s="129">
        <v>-106.597</v>
      </c>
      <c r="F138" s="128" t="s">
        <v>2190</v>
      </c>
      <c r="G138" s="128" t="s">
        <v>2201</v>
      </c>
      <c r="H138" s="128" t="s">
        <v>350</v>
      </c>
      <c r="I138" s="128" t="s">
        <v>246</v>
      </c>
      <c r="J138" s="128"/>
      <c r="K138" s="129">
        <v>1.0</v>
      </c>
      <c r="L138" s="129">
        <v>90.0</v>
      </c>
      <c r="M138" s="128" t="s">
        <v>2202</v>
      </c>
      <c r="N138" s="129">
        <v>2503.0</v>
      </c>
      <c r="O138" s="128"/>
      <c r="P138" s="129">
        <v>30.0</v>
      </c>
      <c r="Q138" s="128" t="s">
        <v>572</v>
      </c>
    </row>
    <row r="139">
      <c r="A139" s="129">
        <v>1240.0</v>
      </c>
      <c r="B139" s="129">
        <v>2019.0</v>
      </c>
      <c r="C139" s="129">
        <v>-10.6</v>
      </c>
      <c r="D139" s="129">
        <v>35.8884</v>
      </c>
      <c r="E139" s="129">
        <v>-106.532</v>
      </c>
      <c r="F139" s="128" t="s">
        <v>2190</v>
      </c>
      <c r="G139" s="128" t="s">
        <v>2204</v>
      </c>
      <c r="H139" s="128" t="s">
        <v>350</v>
      </c>
      <c r="I139" s="128" t="s">
        <v>246</v>
      </c>
      <c r="J139" s="128"/>
      <c r="K139" s="129">
        <v>1.0</v>
      </c>
      <c r="L139" s="129">
        <v>90.0</v>
      </c>
      <c r="M139" s="128" t="s">
        <v>5988</v>
      </c>
      <c r="N139" s="129">
        <v>3043.0</v>
      </c>
      <c r="O139" s="128"/>
      <c r="P139" s="129">
        <v>30.0</v>
      </c>
      <c r="Q139" s="128" t="s">
        <v>572</v>
      </c>
    </row>
    <row r="140">
      <c r="A140" s="129">
        <v>1826.0</v>
      </c>
      <c r="B140" s="129">
        <v>2021.0</v>
      </c>
      <c r="C140" s="129">
        <v>0.7</v>
      </c>
      <c r="D140" s="129">
        <v>36.05</v>
      </c>
      <c r="E140" s="129">
        <v>140.02</v>
      </c>
      <c r="F140" s="128" t="s">
        <v>936</v>
      </c>
      <c r="G140" s="128" t="s">
        <v>1193</v>
      </c>
      <c r="H140" s="128" t="s">
        <v>284</v>
      </c>
      <c r="I140" s="128" t="s">
        <v>968</v>
      </c>
      <c r="J140" s="129">
        <v>23.0</v>
      </c>
      <c r="K140" s="129">
        <v>1.0</v>
      </c>
      <c r="L140" s="128"/>
      <c r="M140" s="128" t="s">
        <v>1194</v>
      </c>
      <c r="N140" s="129">
        <v>8.0</v>
      </c>
      <c r="O140" s="128"/>
      <c r="P140" s="128"/>
      <c r="Q140" s="128" t="s">
        <v>572</v>
      </c>
    </row>
    <row r="141">
      <c r="A141" s="129">
        <v>761.0</v>
      </c>
      <c r="B141" s="129">
        <v>2015.0</v>
      </c>
      <c r="C141" s="129">
        <v>73.3</v>
      </c>
      <c r="D141" s="129">
        <v>36.07</v>
      </c>
      <c r="E141" s="129">
        <v>140.02</v>
      </c>
      <c r="F141" s="128" t="s">
        <v>984</v>
      </c>
      <c r="G141" s="128" t="s">
        <v>1193</v>
      </c>
      <c r="H141" s="128" t="s">
        <v>284</v>
      </c>
      <c r="I141" s="128" t="s">
        <v>968</v>
      </c>
      <c r="J141" s="129">
        <v>31.0</v>
      </c>
      <c r="K141" s="129">
        <v>1.0</v>
      </c>
      <c r="L141" s="128" t="s">
        <v>1452</v>
      </c>
      <c r="M141" s="128" t="s">
        <v>1194</v>
      </c>
      <c r="N141" s="129">
        <v>16.0</v>
      </c>
      <c r="O141" s="129">
        <v>100.0</v>
      </c>
      <c r="P141" s="129">
        <v>30.0</v>
      </c>
      <c r="Q141" s="128" t="s">
        <v>572</v>
      </c>
    </row>
    <row r="142">
      <c r="A142" s="129">
        <v>762.0</v>
      </c>
      <c r="B142" s="129">
        <v>2015.0</v>
      </c>
      <c r="C142" s="129">
        <v>36.8</v>
      </c>
      <c r="D142" s="129">
        <v>36.07</v>
      </c>
      <c r="E142" s="129">
        <v>140.02</v>
      </c>
      <c r="F142" s="128" t="s">
        <v>984</v>
      </c>
      <c r="G142" s="128" t="s">
        <v>1193</v>
      </c>
      <c r="H142" s="128" t="s">
        <v>284</v>
      </c>
      <c r="I142" s="128" t="s">
        <v>968</v>
      </c>
      <c r="J142" s="129">
        <v>31.0</v>
      </c>
      <c r="K142" s="129">
        <v>1.0</v>
      </c>
      <c r="L142" s="128" t="s">
        <v>1452</v>
      </c>
      <c r="M142" s="128" t="s">
        <v>1194</v>
      </c>
      <c r="N142" s="129">
        <v>16.0</v>
      </c>
      <c r="O142" s="129">
        <v>100.0</v>
      </c>
      <c r="P142" s="129">
        <v>30.0</v>
      </c>
      <c r="Q142" s="128" t="s">
        <v>572</v>
      </c>
    </row>
    <row r="143">
      <c r="A143" s="129">
        <v>763.0</v>
      </c>
      <c r="B143" s="129">
        <v>2015.0</v>
      </c>
      <c r="C143" s="129">
        <v>5.9</v>
      </c>
      <c r="D143" s="129">
        <v>36.07</v>
      </c>
      <c r="E143" s="129">
        <v>140.02</v>
      </c>
      <c r="F143" s="128" t="s">
        <v>984</v>
      </c>
      <c r="G143" s="128" t="s">
        <v>1193</v>
      </c>
      <c r="H143" s="128" t="s">
        <v>284</v>
      </c>
      <c r="I143" s="128" t="s">
        <v>968</v>
      </c>
      <c r="J143" s="129">
        <v>31.0</v>
      </c>
      <c r="K143" s="129">
        <v>1.0</v>
      </c>
      <c r="L143" s="128" t="s">
        <v>1452</v>
      </c>
      <c r="M143" s="128" t="s">
        <v>1194</v>
      </c>
      <c r="N143" s="129">
        <v>16.0</v>
      </c>
      <c r="O143" s="129">
        <v>100.0</v>
      </c>
      <c r="P143" s="129">
        <v>30.0</v>
      </c>
      <c r="Q143" s="128" t="s">
        <v>572</v>
      </c>
    </row>
    <row r="144">
      <c r="A144" s="129">
        <v>764.0</v>
      </c>
      <c r="B144" s="129">
        <v>2015.0</v>
      </c>
      <c r="C144" s="129">
        <v>-13.1</v>
      </c>
      <c r="D144" s="129">
        <v>36.07</v>
      </c>
      <c r="E144" s="129">
        <v>140.02</v>
      </c>
      <c r="F144" s="128" t="s">
        <v>984</v>
      </c>
      <c r="G144" s="128" t="s">
        <v>1193</v>
      </c>
      <c r="H144" s="128" t="s">
        <v>284</v>
      </c>
      <c r="I144" s="128" t="s">
        <v>968</v>
      </c>
      <c r="J144" s="129">
        <v>31.0</v>
      </c>
      <c r="K144" s="129">
        <v>1.0</v>
      </c>
      <c r="L144" s="128" t="s">
        <v>1452</v>
      </c>
      <c r="M144" s="128" t="s">
        <v>1194</v>
      </c>
      <c r="N144" s="129">
        <v>16.0</v>
      </c>
      <c r="O144" s="129">
        <v>100.0</v>
      </c>
      <c r="P144" s="129">
        <v>30.0</v>
      </c>
      <c r="Q144" s="128" t="s">
        <v>572</v>
      </c>
    </row>
    <row r="145">
      <c r="A145" s="129">
        <v>781.0</v>
      </c>
      <c r="B145" s="129">
        <v>2015.0</v>
      </c>
      <c r="C145" s="129">
        <v>50.7</v>
      </c>
      <c r="D145" s="129">
        <v>36.07</v>
      </c>
      <c r="E145" s="129">
        <v>140.02</v>
      </c>
      <c r="F145" s="128" t="s">
        <v>936</v>
      </c>
      <c r="G145" s="128" t="s">
        <v>1193</v>
      </c>
      <c r="H145" s="128" t="s">
        <v>284</v>
      </c>
      <c r="I145" s="128" t="s">
        <v>968</v>
      </c>
      <c r="J145" s="129">
        <v>31.0</v>
      </c>
      <c r="K145" s="129">
        <v>1.0</v>
      </c>
      <c r="L145" s="128" t="s">
        <v>1452</v>
      </c>
      <c r="M145" s="128" t="s">
        <v>1194</v>
      </c>
      <c r="N145" s="129">
        <v>16.0</v>
      </c>
      <c r="O145" s="129">
        <v>100.0</v>
      </c>
      <c r="P145" s="129">
        <v>30.0</v>
      </c>
      <c r="Q145" s="128" t="s">
        <v>572</v>
      </c>
    </row>
    <row r="146">
      <c r="A146" s="129">
        <v>782.0</v>
      </c>
      <c r="B146" s="129">
        <v>2015.0</v>
      </c>
      <c r="C146" s="129">
        <v>18.4</v>
      </c>
      <c r="D146" s="129">
        <v>36.07</v>
      </c>
      <c r="E146" s="129">
        <v>140.02</v>
      </c>
      <c r="F146" s="128" t="s">
        <v>936</v>
      </c>
      <c r="G146" s="128" t="s">
        <v>1193</v>
      </c>
      <c r="H146" s="128" t="s">
        <v>284</v>
      </c>
      <c r="I146" s="128" t="s">
        <v>968</v>
      </c>
      <c r="J146" s="129">
        <v>31.0</v>
      </c>
      <c r="K146" s="129">
        <v>1.0</v>
      </c>
      <c r="L146" s="128" t="s">
        <v>1452</v>
      </c>
      <c r="M146" s="128" t="s">
        <v>1194</v>
      </c>
      <c r="N146" s="129">
        <v>16.0</v>
      </c>
      <c r="O146" s="129">
        <v>100.0</v>
      </c>
      <c r="P146" s="129">
        <v>30.0</v>
      </c>
      <c r="Q146" s="128" t="s">
        <v>572</v>
      </c>
    </row>
    <row r="147">
      <c r="A147" s="129">
        <v>783.0</v>
      </c>
      <c r="B147" s="129">
        <v>2015.0</v>
      </c>
      <c r="C147" s="129">
        <v>-8.4</v>
      </c>
      <c r="D147" s="129">
        <v>36.07</v>
      </c>
      <c r="E147" s="129">
        <v>140.02</v>
      </c>
      <c r="F147" s="128" t="s">
        <v>936</v>
      </c>
      <c r="G147" s="128" t="s">
        <v>1193</v>
      </c>
      <c r="H147" s="128" t="s">
        <v>284</v>
      </c>
      <c r="I147" s="128" t="s">
        <v>968</v>
      </c>
      <c r="J147" s="129">
        <v>31.0</v>
      </c>
      <c r="K147" s="129">
        <v>1.0</v>
      </c>
      <c r="L147" s="128" t="s">
        <v>1452</v>
      </c>
      <c r="M147" s="128" t="s">
        <v>1194</v>
      </c>
      <c r="N147" s="129">
        <v>16.0</v>
      </c>
      <c r="O147" s="129">
        <v>100.0</v>
      </c>
      <c r="P147" s="129">
        <v>30.0</v>
      </c>
      <c r="Q147" s="128" t="s">
        <v>572</v>
      </c>
    </row>
    <row r="148">
      <c r="A148" s="129">
        <v>784.0</v>
      </c>
      <c r="B148" s="129">
        <v>2015.0</v>
      </c>
      <c r="C148" s="129">
        <v>-24.7</v>
      </c>
      <c r="D148" s="129">
        <v>36.07</v>
      </c>
      <c r="E148" s="129">
        <v>140.02</v>
      </c>
      <c r="F148" s="128" t="s">
        <v>936</v>
      </c>
      <c r="G148" s="128" t="s">
        <v>1193</v>
      </c>
      <c r="H148" s="128" t="s">
        <v>284</v>
      </c>
      <c r="I148" s="128" t="s">
        <v>968</v>
      </c>
      <c r="J148" s="129">
        <v>31.0</v>
      </c>
      <c r="K148" s="129">
        <v>1.0</v>
      </c>
      <c r="L148" s="128" t="s">
        <v>1452</v>
      </c>
      <c r="M148" s="128" t="s">
        <v>1194</v>
      </c>
      <c r="N148" s="129">
        <v>16.0</v>
      </c>
      <c r="O148" s="129">
        <v>100.0</v>
      </c>
      <c r="P148" s="129">
        <v>30.0</v>
      </c>
      <c r="Q148" s="128" t="s">
        <v>572</v>
      </c>
    </row>
    <row r="149">
      <c r="A149" s="129">
        <v>1820.0</v>
      </c>
      <c r="B149" s="129">
        <v>2021.0</v>
      </c>
      <c r="C149" s="129">
        <v>58.1</v>
      </c>
      <c r="D149" s="129">
        <v>36.07</v>
      </c>
      <c r="E149" s="129">
        <v>140.02</v>
      </c>
      <c r="F149" s="128" t="s">
        <v>936</v>
      </c>
      <c r="G149" s="128" t="s">
        <v>1193</v>
      </c>
      <c r="H149" s="128" t="s">
        <v>284</v>
      </c>
      <c r="I149" s="128" t="s">
        <v>968</v>
      </c>
      <c r="J149" s="129">
        <v>23.0</v>
      </c>
      <c r="K149" s="129">
        <v>1.0</v>
      </c>
      <c r="L149" s="128"/>
      <c r="M149" s="128" t="s">
        <v>1194</v>
      </c>
      <c r="N149" s="129">
        <v>16.0</v>
      </c>
      <c r="O149" s="128"/>
      <c r="P149" s="128"/>
      <c r="Q149" s="128" t="s">
        <v>572</v>
      </c>
    </row>
    <row r="150">
      <c r="A150" s="129">
        <v>1506.0</v>
      </c>
      <c r="B150" s="129">
        <v>2018.0</v>
      </c>
      <c r="C150" s="129">
        <v>73.0</v>
      </c>
      <c r="D150" s="129">
        <v>36.14</v>
      </c>
      <c r="E150" s="129">
        <v>-119.56</v>
      </c>
      <c r="F150" s="128" t="s">
        <v>984</v>
      </c>
      <c r="G150" s="128" t="s">
        <v>2563</v>
      </c>
      <c r="H150" s="128" t="s">
        <v>2562</v>
      </c>
      <c r="I150" s="128" t="s">
        <v>2554</v>
      </c>
      <c r="J150" s="129">
        <v>8.0</v>
      </c>
      <c r="K150" s="129">
        <v>1.0</v>
      </c>
      <c r="L150" s="129">
        <v>30.0</v>
      </c>
      <c r="M150" s="128" t="s">
        <v>2564</v>
      </c>
      <c r="N150" s="129">
        <v>63.0</v>
      </c>
      <c r="O150" s="128" t="s">
        <v>2567</v>
      </c>
      <c r="P150" s="129">
        <v>30.0</v>
      </c>
      <c r="Q150" s="128" t="s">
        <v>572</v>
      </c>
    </row>
    <row r="151">
      <c r="A151" s="129">
        <v>1507.0</v>
      </c>
      <c r="B151" s="129">
        <v>2018.0</v>
      </c>
      <c r="C151" s="129">
        <v>61.0</v>
      </c>
      <c r="D151" s="129">
        <v>36.14</v>
      </c>
      <c r="E151" s="129">
        <v>-119.56</v>
      </c>
      <c r="F151" s="128" t="s">
        <v>984</v>
      </c>
      <c r="G151" s="128" t="s">
        <v>2563</v>
      </c>
      <c r="H151" s="128" t="s">
        <v>2562</v>
      </c>
      <c r="I151" s="128" t="s">
        <v>2554</v>
      </c>
      <c r="J151" s="129">
        <v>48.0</v>
      </c>
      <c r="K151" s="129">
        <v>6.0</v>
      </c>
      <c r="L151" s="129">
        <v>30.0</v>
      </c>
      <c r="M151" s="128"/>
      <c r="N151" s="129">
        <v>63.0</v>
      </c>
      <c r="O151" s="128" t="s">
        <v>2568</v>
      </c>
      <c r="P151" s="129">
        <v>30.0</v>
      </c>
      <c r="Q151" s="128" t="s">
        <v>572</v>
      </c>
    </row>
    <row r="152">
      <c r="A152" s="129">
        <v>1510.0</v>
      </c>
      <c r="B152" s="129">
        <v>2018.0</v>
      </c>
      <c r="C152" s="129">
        <v>29.0</v>
      </c>
      <c r="D152" s="129">
        <v>36.14</v>
      </c>
      <c r="E152" s="129">
        <v>-119.56</v>
      </c>
      <c r="F152" s="128" t="s">
        <v>984</v>
      </c>
      <c r="G152" s="128" t="s">
        <v>2563</v>
      </c>
      <c r="H152" s="128" t="s">
        <v>2562</v>
      </c>
      <c r="I152" s="128" t="s">
        <v>2554</v>
      </c>
      <c r="J152" s="129">
        <v>8.0</v>
      </c>
      <c r="K152" s="129">
        <v>1.0</v>
      </c>
      <c r="L152" s="129">
        <v>30.0</v>
      </c>
      <c r="M152" s="128" t="s">
        <v>2564</v>
      </c>
      <c r="N152" s="129">
        <v>63.0</v>
      </c>
      <c r="O152" s="128" t="s">
        <v>2572</v>
      </c>
      <c r="P152" s="129">
        <v>30.0</v>
      </c>
      <c r="Q152" s="128" t="s">
        <v>572</v>
      </c>
    </row>
    <row r="153">
      <c r="A153" s="129">
        <v>1511.0</v>
      </c>
      <c r="B153" s="129">
        <v>2018.0</v>
      </c>
      <c r="C153" s="129">
        <v>23.0</v>
      </c>
      <c r="D153" s="129">
        <v>36.14</v>
      </c>
      <c r="E153" s="129">
        <v>-119.56</v>
      </c>
      <c r="F153" s="128" t="s">
        <v>984</v>
      </c>
      <c r="G153" s="128" t="s">
        <v>2563</v>
      </c>
      <c r="H153" s="128" t="s">
        <v>2562</v>
      </c>
      <c r="I153" s="128" t="s">
        <v>2554</v>
      </c>
      <c r="J153" s="129">
        <v>48.0</v>
      </c>
      <c r="K153" s="129">
        <v>6.0</v>
      </c>
      <c r="L153" s="129">
        <v>30.0</v>
      </c>
      <c r="M153" s="128"/>
      <c r="N153" s="129">
        <v>63.0</v>
      </c>
      <c r="O153" s="128" t="s">
        <v>2573</v>
      </c>
      <c r="P153" s="129">
        <v>30.0</v>
      </c>
      <c r="Q153" s="128" t="s">
        <v>572</v>
      </c>
    </row>
    <row r="154">
      <c r="A154" s="129">
        <v>1514.0</v>
      </c>
      <c r="B154" s="129">
        <v>2018.0</v>
      </c>
      <c r="C154" s="129">
        <v>28.0</v>
      </c>
      <c r="D154" s="129">
        <v>36.14</v>
      </c>
      <c r="E154" s="129">
        <v>-119.56</v>
      </c>
      <c r="F154" s="128" t="s">
        <v>984</v>
      </c>
      <c r="G154" s="128" t="s">
        <v>2563</v>
      </c>
      <c r="H154" s="128" t="s">
        <v>2562</v>
      </c>
      <c r="I154" s="128" t="s">
        <v>2554</v>
      </c>
      <c r="J154" s="129">
        <v>8.0</v>
      </c>
      <c r="K154" s="129">
        <v>1.0</v>
      </c>
      <c r="L154" s="129">
        <v>30.0</v>
      </c>
      <c r="M154" s="128" t="s">
        <v>2564</v>
      </c>
      <c r="N154" s="129">
        <v>63.0</v>
      </c>
      <c r="O154" s="128" t="s">
        <v>2576</v>
      </c>
      <c r="P154" s="129">
        <v>30.0</v>
      </c>
      <c r="Q154" s="128" t="s">
        <v>572</v>
      </c>
    </row>
    <row r="155">
      <c r="A155" s="129">
        <v>1515.0</v>
      </c>
      <c r="B155" s="129">
        <v>2018.0</v>
      </c>
      <c r="C155" s="129">
        <v>24.0</v>
      </c>
      <c r="D155" s="129">
        <v>36.14</v>
      </c>
      <c r="E155" s="129">
        <v>-119.56</v>
      </c>
      <c r="F155" s="128" t="s">
        <v>984</v>
      </c>
      <c r="G155" s="128" t="s">
        <v>2563</v>
      </c>
      <c r="H155" s="128" t="s">
        <v>2562</v>
      </c>
      <c r="I155" s="128" t="s">
        <v>2554</v>
      </c>
      <c r="J155" s="129">
        <v>48.0</v>
      </c>
      <c r="K155" s="129">
        <v>6.0</v>
      </c>
      <c r="L155" s="129">
        <v>30.0</v>
      </c>
      <c r="M155" s="128"/>
      <c r="N155" s="129">
        <v>63.0</v>
      </c>
      <c r="O155" s="128" t="s">
        <v>2577</v>
      </c>
      <c r="P155" s="129">
        <v>30.0</v>
      </c>
      <c r="Q155" s="128" t="s">
        <v>572</v>
      </c>
    </row>
    <row r="156">
      <c r="A156" s="129">
        <v>1518.0</v>
      </c>
      <c r="B156" s="129">
        <v>2018.0</v>
      </c>
      <c r="C156" s="129">
        <v>19.0</v>
      </c>
      <c r="D156" s="129">
        <v>36.14</v>
      </c>
      <c r="E156" s="129">
        <v>-119.56</v>
      </c>
      <c r="F156" s="128" t="s">
        <v>984</v>
      </c>
      <c r="G156" s="128" t="s">
        <v>2563</v>
      </c>
      <c r="H156" s="128" t="s">
        <v>2562</v>
      </c>
      <c r="I156" s="128" t="s">
        <v>2554</v>
      </c>
      <c r="J156" s="129">
        <v>8.0</v>
      </c>
      <c r="K156" s="129">
        <v>1.0</v>
      </c>
      <c r="L156" s="129">
        <v>30.0</v>
      </c>
      <c r="M156" s="128" t="s">
        <v>2564</v>
      </c>
      <c r="N156" s="129">
        <v>63.0</v>
      </c>
      <c r="O156" s="128" t="s">
        <v>2580</v>
      </c>
      <c r="P156" s="129">
        <v>30.0</v>
      </c>
      <c r="Q156" s="128" t="s">
        <v>572</v>
      </c>
    </row>
    <row r="157">
      <c r="A157" s="129">
        <v>1519.0</v>
      </c>
      <c r="B157" s="129">
        <v>2018.0</v>
      </c>
      <c r="C157" s="129">
        <v>24.0</v>
      </c>
      <c r="D157" s="129">
        <v>36.14</v>
      </c>
      <c r="E157" s="129">
        <v>-119.56</v>
      </c>
      <c r="F157" s="128" t="s">
        <v>984</v>
      </c>
      <c r="G157" s="128" t="s">
        <v>2563</v>
      </c>
      <c r="H157" s="128" t="s">
        <v>2562</v>
      </c>
      <c r="I157" s="128" t="s">
        <v>2554</v>
      </c>
      <c r="J157" s="129">
        <v>48.0</v>
      </c>
      <c r="K157" s="129">
        <v>6.0</v>
      </c>
      <c r="L157" s="129">
        <v>30.0</v>
      </c>
      <c r="M157" s="128"/>
      <c r="N157" s="129">
        <v>63.0</v>
      </c>
      <c r="O157" s="128" t="s">
        <v>2581</v>
      </c>
      <c r="P157" s="129">
        <v>30.0</v>
      </c>
      <c r="Q157" s="128" t="s">
        <v>572</v>
      </c>
    </row>
    <row r="158">
      <c r="A158" s="129">
        <v>1505.0</v>
      </c>
      <c r="B158" s="129">
        <v>2018.0</v>
      </c>
      <c r="C158" s="129">
        <v>84.0</v>
      </c>
      <c r="D158" s="129">
        <v>36.15</v>
      </c>
      <c r="E158" s="129">
        <v>-119.3</v>
      </c>
      <c r="F158" s="128" t="s">
        <v>984</v>
      </c>
      <c r="G158" s="128" t="s">
        <v>2555</v>
      </c>
      <c r="H158" s="128" t="s">
        <v>2553</v>
      </c>
      <c r="I158" s="128" t="s">
        <v>2554</v>
      </c>
      <c r="J158" s="129">
        <v>16.0</v>
      </c>
      <c r="K158" s="129">
        <v>1.0</v>
      </c>
      <c r="L158" s="129">
        <v>30.0</v>
      </c>
      <c r="M158" s="128" t="s">
        <v>2556</v>
      </c>
      <c r="N158" s="129">
        <v>85.0</v>
      </c>
      <c r="O158" s="128" t="s">
        <v>2560</v>
      </c>
      <c r="P158" s="129">
        <v>30.0</v>
      </c>
      <c r="Q158" s="128" t="s">
        <v>572</v>
      </c>
    </row>
    <row r="159">
      <c r="A159" s="129">
        <v>1509.0</v>
      </c>
      <c r="B159" s="129">
        <v>2018.0</v>
      </c>
      <c r="C159" s="129">
        <v>34.0</v>
      </c>
      <c r="D159" s="129">
        <v>36.15</v>
      </c>
      <c r="E159" s="129">
        <v>-119.3</v>
      </c>
      <c r="F159" s="128" t="s">
        <v>984</v>
      </c>
      <c r="G159" s="128" t="s">
        <v>2555</v>
      </c>
      <c r="H159" s="128" t="s">
        <v>2553</v>
      </c>
      <c r="I159" s="128" t="s">
        <v>2554</v>
      </c>
      <c r="J159" s="129">
        <v>16.0</v>
      </c>
      <c r="K159" s="129">
        <v>1.0</v>
      </c>
      <c r="L159" s="129">
        <v>30.0</v>
      </c>
      <c r="M159" s="128" t="s">
        <v>2556</v>
      </c>
      <c r="N159" s="129">
        <v>85.0</v>
      </c>
      <c r="O159" s="128" t="s">
        <v>2571</v>
      </c>
      <c r="P159" s="129">
        <v>30.0</v>
      </c>
      <c r="Q159" s="128" t="s">
        <v>572</v>
      </c>
    </row>
    <row r="160">
      <c r="A160" s="129">
        <v>1513.0</v>
      </c>
      <c r="B160" s="129">
        <v>2018.0</v>
      </c>
      <c r="C160" s="129">
        <v>29.0</v>
      </c>
      <c r="D160" s="129">
        <v>36.15</v>
      </c>
      <c r="E160" s="129">
        <v>-119.3</v>
      </c>
      <c r="F160" s="128" t="s">
        <v>984</v>
      </c>
      <c r="G160" s="128" t="s">
        <v>2555</v>
      </c>
      <c r="H160" s="128" t="s">
        <v>2553</v>
      </c>
      <c r="I160" s="128" t="s">
        <v>2554</v>
      </c>
      <c r="J160" s="129">
        <v>16.0</v>
      </c>
      <c r="K160" s="129">
        <v>1.0</v>
      </c>
      <c r="L160" s="129">
        <v>30.0</v>
      </c>
      <c r="M160" s="128" t="s">
        <v>2556</v>
      </c>
      <c r="N160" s="129">
        <v>85.0</v>
      </c>
      <c r="O160" s="128" t="s">
        <v>2575</v>
      </c>
      <c r="P160" s="129">
        <v>30.0</v>
      </c>
      <c r="Q160" s="128" t="s">
        <v>572</v>
      </c>
    </row>
    <row r="161">
      <c r="A161" s="129">
        <v>1517.0</v>
      </c>
      <c r="B161" s="129">
        <v>2018.0</v>
      </c>
      <c r="C161" s="129">
        <v>13.0</v>
      </c>
      <c r="D161" s="129">
        <v>36.15</v>
      </c>
      <c r="E161" s="129">
        <v>-119.3</v>
      </c>
      <c r="F161" s="128" t="s">
        <v>984</v>
      </c>
      <c r="G161" s="128" t="s">
        <v>2555</v>
      </c>
      <c r="H161" s="128" t="s">
        <v>2553</v>
      </c>
      <c r="I161" s="128" t="s">
        <v>2554</v>
      </c>
      <c r="J161" s="129">
        <v>16.0</v>
      </c>
      <c r="K161" s="129">
        <v>1.0</v>
      </c>
      <c r="L161" s="129">
        <v>30.0</v>
      </c>
      <c r="M161" s="128" t="s">
        <v>2556</v>
      </c>
      <c r="N161" s="129">
        <v>85.0</v>
      </c>
      <c r="O161" s="128" t="s">
        <v>2579</v>
      </c>
      <c r="P161" s="129">
        <v>30.0</v>
      </c>
      <c r="Q161" s="128" t="s">
        <v>572</v>
      </c>
    </row>
    <row r="162">
      <c r="A162" s="129">
        <v>600.0</v>
      </c>
      <c r="B162" s="129">
        <v>2017.0</v>
      </c>
      <c r="C162" s="129">
        <v>-9.11</v>
      </c>
      <c r="D162" s="129">
        <v>36.515</v>
      </c>
      <c r="E162" s="129">
        <v>115.126</v>
      </c>
      <c r="F162" s="128" t="s">
        <v>984</v>
      </c>
      <c r="G162" s="128" t="s">
        <v>819</v>
      </c>
      <c r="H162" s="128" t="s">
        <v>506</v>
      </c>
      <c r="I162" s="128" t="s">
        <v>507</v>
      </c>
      <c r="J162" s="129">
        <v>14.0</v>
      </c>
      <c r="K162" s="129">
        <v>1.0</v>
      </c>
      <c r="L162" s="128" t="s">
        <v>1146</v>
      </c>
      <c r="M162" s="128" t="s">
        <v>820</v>
      </c>
      <c r="N162" s="129">
        <v>42.0</v>
      </c>
      <c r="O162" s="128" t="s">
        <v>1148</v>
      </c>
      <c r="P162" s="129">
        <v>30.0</v>
      </c>
      <c r="Q162" s="128" t="s">
        <v>572</v>
      </c>
    </row>
    <row r="163">
      <c r="A163" s="129">
        <v>606.0</v>
      </c>
      <c r="B163" s="129">
        <v>2017.0</v>
      </c>
      <c r="C163" s="129">
        <v>-2.41</v>
      </c>
      <c r="D163" s="129">
        <v>36.515</v>
      </c>
      <c r="E163" s="129">
        <v>115.126</v>
      </c>
      <c r="F163" s="128" t="s">
        <v>984</v>
      </c>
      <c r="G163" s="128" t="s">
        <v>819</v>
      </c>
      <c r="H163" s="128" t="s">
        <v>506</v>
      </c>
      <c r="I163" s="128" t="s">
        <v>507</v>
      </c>
      <c r="J163" s="129">
        <v>14.0</v>
      </c>
      <c r="K163" s="129">
        <v>1.0</v>
      </c>
      <c r="L163" s="128" t="s">
        <v>1146</v>
      </c>
      <c r="M163" s="128" t="s">
        <v>820</v>
      </c>
      <c r="N163" s="129">
        <v>42.0</v>
      </c>
      <c r="O163" s="128" t="s">
        <v>1148</v>
      </c>
      <c r="P163" s="129">
        <v>30.0</v>
      </c>
      <c r="Q163" s="128" t="s">
        <v>572</v>
      </c>
    </row>
    <row r="164">
      <c r="A164" s="129">
        <v>1438.0</v>
      </c>
      <c r="B164" s="129">
        <v>2018.0</v>
      </c>
      <c r="C164" s="129">
        <v>48.0</v>
      </c>
      <c r="D164" s="129">
        <v>36.6058</v>
      </c>
      <c r="E164" s="129">
        <v>-97.4884</v>
      </c>
      <c r="F164" s="128" t="s">
        <v>936</v>
      </c>
      <c r="G164" s="128" t="s">
        <v>519</v>
      </c>
      <c r="H164" s="128"/>
      <c r="I164" s="128"/>
      <c r="J164" s="129">
        <v>61.0</v>
      </c>
      <c r="K164" s="129">
        <v>1.0</v>
      </c>
      <c r="L164" s="129">
        <v>1000.0</v>
      </c>
      <c r="M164" s="128" t="s">
        <v>520</v>
      </c>
      <c r="N164" s="129">
        <v>322.0</v>
      </c>
      <c r="O164" s="128"/>
      <c r="P164" s="129">
        <v>1000.0</v>
      </c>
      <c r="Q164" s="128" t="s">
        <v>572</v>
      </c>
    </row>
    <row r="165">
      <c r="A165" s="129">
        <v>879.0</v>
      </c>
      <c r="B165" s="129">
        <v>2016.0</v>
      </c>
      <c r="C165" s="129">
        <v>18.0</v>
      </c>
      <c r="D165" s="129">
        <v>36.6058</v>
      </c>
      <c r="E165" s="129">
        <v>-97.4884</v>
      </c>
      <c r="F165" s="128" t="s">
        <v>802</v>
      </c>
      <c r="G165" s="128" t="s">
        <v>519</v>
      </c>
      <c r="H165" s="128" t="s">
        <v>295</v>
      </c>
      <c r="I165" s="128" t="s">
        <v>1665</v>
      </c>
      <c r="J165" s="129">
        <v>36.0</v>
      </c>
      <c r="K165" s="129">
        <v>1.0</v>
      </c>
      <c r="L165" s="129">
        <v>1000.0</v>
      </c>
      <c r="M165" s="128" t="s">
        <v>520</v>
      </c>
      <c r="N165" s="129">
        <v>322.0</v>
      </c>
      <c r="O165" s="128"/>
      <c r="P165" s="129">
        <v>1000.0</v>
      </c>
      <c r="Q165" s="128" t="s">
        <v>572</v>
      </c>
    </row>
    <row r="166">
      <c r="A166" s="129">
        <v>1425.0</v>
      </c>
      <c r="B166" s="129">
        <v>2018.0</v>
      </c>
      <c r="C166" s="129">
        <v>11.0</v>
      </c>
      <c r="D166" s="129">
        <v>36.6058</v>
      </c>
      <c r="E166" s="129">
        <v>-97.4884</v>
      </c>
      <c r="F166" s="128" t="s">
        <v>2481</v>
      </c>
      <c r="G166" s="128" t="s">
        <v>519</v>
      </c>
      <c r="H166" s="128"/>
      <c r="I166" s="128"/>
      <c r="J166" s="129">
        <v>61.0</v>
      </c>
      <c r="K166" s="129">
        <v>1.0</v>
      </c>
      <c r="L166" s="129">
        <v>1000.0</v>
      </c>
      <c r="M166" s="128" t="s">
        <v>520</v>
      </c>
      <c r="N166" s="129">
        <v>322.0</v>
      </c>
      <c r="O166" s="128"/>
      <c r="P166" s="129">
        <v>1000.0</v>
      </c>
      <c r="Q166" s="128" t="s">
        <v>572</v>
      </c>
    </row>
    <row r="167">
      <c r="A167" s="129">
        <v>765.0</v>
      </c>
      <c r="B167" s="129">
        <v>2015.0</v>
      </c>
      <c r="C167" s="129">
        <v>142.4</v>
      </c>
      <c r="D167" s="129">
        <v>37.16</v>
      </c>
      <c r="E167" s="129">
        <v>127.65</v>
      </c>
      <c r="F167" s="128" t="s">
        <v>984</v>
      </c>
      <c r="G167" s="128" t="s">
        <v>1464</v>
      </c>
      <c r="H167" s="128" t="s">
        <v>242</v>
      </c>
      <c r="I167" s="128" t="s">
        <v>244</v>
      </c>
      <c r="J167" s="129">
        <v>10.0</v>
      </c>
      <c r="K167" s="129">
        <v>1.0</v>
      </c>
      <c r="L167" s="128" t="s">
        <v>1452</v>
      </c>
      <c r="M167" s="128" t="s">
        <v>1465</v>
      </c>
      <c r="N167" s="129">
        <v>65.0</v>
      </c>
      <c r="O167" s="129">
        <v>100.0</v>
      </c>
      <c r="P167" s="129">
        <v>30.0</v>
      </c>
      <c r="Q167" s="128" t="s">
        <v>572</v>
      </c>
    </row>
    <row r="168">
      <c r="A168" s="129">
        <v>766.0</v>
      </c>
      <c r="B168" s="129">
        <v>2015.0</v>
      </c>
      <c r="C168" s="129">
        <v>29.7</v>
      </c>
      <c r="D168" s="129">
        <v>37.16</v>
      </c>
      <c r="E168" s="129">
        <v>127.65</v>
      </c>
      <c r="F168" s="128" t="s">
        <v>984</v>
      </c>
      <c r="G168" s="128" t="s">
        <v>1464</v>
      </c>
      <c r="H168" s="128" t="s">
        <v>242</v>
      </c>
      <c r="I168" s="128" t="s">
        <v>244</v>
      </c>
      <c r="J168" s="129">
        <v>10.0</v>
      </c>
      <c r="K168" s="129">
        <v>1.0</v>
      </c>
      <c r="L168" s="128" t="s">
        <v>1452</v>
      </c>
      <c r="M168" s="128" t="s">
        <v>1465</v>
      </c>
      <c r="N168" s="129">
        <v>65.0</v>
      </c>
      <c r="O168" s="129">
        <v>100.0</v>
      </c>
      <c r="P168" s="129">
        <v>30.0</v>
      </c>
      <c r="Q168" s="128" t="s">
        <v>572</v>
      </c>
    </row>
    <row r="169">
      <c r="A169" s="129">
        <v>767.0</v>
      </c>
      <c r="B169" s="129">
        <v>2015.0</v>
      </c>
      <c r="C169" s="129">
        <v>8.8</v>
      </c>
      <c r="D169" s="129">
        <v>37.16</v>
      </c>
      <c r="E169" s="129">
        <v>127.65</v>
      </c>
      <c r="F169" s="128" t="s">
        <v>984</v>
      </c>
      <c r="G169" s="128" t="s">
        <v>1464</v>
      </c>
      <c r="H169" s="128" t="s">
        <v>242</v>
      </c>
      <c r="I169" s="128" t="s">
        <v>244</v>
      </c>
      <c r="J169" s="129">
        <v>10.0</v>
      </c>
      <c r="K169" s="129">
        <v>1.0</v>
      </c>
      <c r="L169" s="128" t="s">
        <v>1452</v>
      </c>
      <c r="M169" s="128" t="s">
        <v>1465</v>
      </c>
      <c r="N169" s="129">
        <v>65.0</v>
      </c>
      <c r="O169" s="129">
        <v>100.0</v>
      </c>
      <c r="P169" s="129">
        <v>30.0</v>
      </c>
      <c r="Q169" s="128" t="s">
        <v>572</v>
      </c>
    </row>
    <row r="170">
      <c r="A170" s="129">
        <v>768.0</v>
      </c>
      <c r="B170" s="129">
        <v>2015.0</v>
      </c>
      <c r="C170" s="129">
        <v>-34.2</v>
      </c>
      <c r="D170" s="129">
        <v>37.16</v>
      </c>
      <c r="E170" s="129">
        <v>127.65</v>
      </c>
      <c r="F170" s="128" t="s">
        <v>984</v>
      </c>
      <c r="G170" s="128" t="s">
        <v>1464</v>
      </c>
      <c r="H170" s="128" t="s">
        <v>242</v>
      </c>
      <c r="I170" s="128" t="s">
        <v>244</v>
      </c>
      <c r="J170" s="129">
        <v>10.0</v>
      </c>
      <c r="K170" s="129">
        <v>1.0</v>
      </c>
      <c r="L170" s="128" t="s">
        <v>1452</v>
      </c>
      <c r="M170" s="128" t="s">
        <v>1465</v>
      </c>
      <c r="N170" s="129">
        <v>65.0</v>
      </c>
      <c r="O170" s="129">
        <v>100.0</v>
      </c>
      <c r="P170" s="129">
        <v>30.0</v>
      </c>
      <c r="Q170" s="128" t="s">
        <v>572</v>
      </c>
    </row>
    <row r="171">
      <c r="A171" s="129">
        <v>717.0</v>
      </c>
      <c r="B171" s="129">
        <v>2014.0</v>
      </c>
      <c r="C171" s="129">
        <v>41.7</v>
      </c>
      <c r="D171" s="129">
        <v>37.16</v>
      </c>
      <c r="E171" s="129">
        <v>127.65</v>
      </c>
      <c r="F171" s="128" t="s">
        <v>936</v>
      </c>
      <c r="G171" s="128" t="s">
        <v>1433</v>
      </c>
      <c r="H171" s="128" t="s">
        <v>242</v>
      </c>
      <c r="I171" s="128" t="s">
        <v>243</v>
      </c>
      <c r="J171" s="128"/>
      <c r="K171" s="129">
        <v>1.0</v>
      </c>
      <c r="L171" s="129">
        <v>1000.0</v>
      </c>
      <c r="M171" s="128" t="s">
        <v>1434</v>
      </c>
      <c r="N171" s="129">
        <v>65.0</v>
      </c>
      <c r="O171" s="128"/>
      <c r="P171" s="129">
        <v>1000.0</v>
      </c>
      <c r="Q171" s="128" t="s">
        <v>572</v>
      </c>
    </row>
    <row r="172">
      <c r="A172" s="129">
        <v>718.0</v>
      </c>
      <c r="B172" s="129">
        <v>2014.0</v>
      </c>
      <c r="C172" s="129">
        <v>-30.0</v>
      </c>
      <c r="D172" s="129">
        <v>37.16</v>
      </c>
      <c r="E172" s="129">
        <v>127.65</v>
      </c>
      <c r="F172" s="128" t="s">
        <v>936</v>
      </c>
      <c r="G172" s="128" t="s">
        <v>1433</v>
      </c>
      <c r="H172" s="128" t="s">
        <v>242</v>
      </c>
      <c r="I172" s="128" t="s">
        <v>243</v>
      </c>
      <c r="J172" s="128"/>
      <c r="K172" s="129">
        <v>1.0</v>
      </c>
      <c r="L172" s="129">
        <v>1000.0</v>
      </c>
      <c r="M172" s="128" t="s">
        <v>1434</v>
      </c>
      <c r="N172" s="129">
        <v>65.0</v>
      </c>
      <c r="O172" s="128"/>
      <c r="P172" s="129">
        <v>1000.0</v>
      </c>
      <c r="Q172" s="128" t="s">
        <v>572</v>
      </c>
    </row>
    <row r="173">
      <c r="A173" s="129">
        <v>719.0</v>
      </c>
      <c r="B173" s="129">
        <v>2014.0</v>
      </c>
      <c r="C173" s="129">
        <v>-43.6</v>
      </c>
      <c r="D173" s="129">
        <v>37.16</v>
      </c>
      <c r="E173" s="129">
        <v>127.65</v>
      </c>
      <c r="F173" s="128" t="s">
        <v>936</v>
      </c>
      <c r="G173" s="128" t="s">
        <v>1433</v>
      </c>
      <c r="H173" s="128" t="s">
        <v>242</v>
      </c>
      <c r="I173" s="128" t="s">
        <v>243</v>
      </c>
      <c r="J173" s="128"/>
      <c r="K173" s="129">
        <v>1.0</v>
      </c>
      <c r="L173" s="129">
        <v>1000.0</v>
      </c>
      <c r="M173" s="128" t="s">
        <v>1434</v>
      </c>
      <c r="N173" s="129">
        <v>65.0</v>
      </c>
      <c r="O173" s="128"/>
      <c r="P173" s="129">
        <v>1000.0</v>
      </c>
      <c r="Q173" s="128" t="s">
        <v>572</v>
      </c>
    </row>
    <row r="174">
      <c r="A174" s="129">
        <v>720.0</v>
      </c>
      <c r="B174" s="129">
        <v>2014.0</v>
      </c>
      <c r="C174" s="129">
        <v>39.2</v>
      </c>
      <c r="D174" s="129">
        <v>37.16</v>
      </c>
      <c r="E174" s="129">
        <v>127.65</v>
      </c>
      <c r="F174" s="128" t="s">
        <v>936</v>
      </c>
      <c r="G174" s="128" t="s">
        <v>1433</v>
      </c>
      <c r="H174" s="128" t="s">
        <v>242</v>
      </c>
      <c r="I174" s="128" t="s">
        <v>243</v>
      </c>
      <c r="J174" s="128"/>
      <c r="K174" s="129">
        <v>1.0</v>
      </c>
      <c r="L174" s="129">
        <v>1000.0</v>
      </c>
      <c r="M174" s="128" t="s">
        <v>1434</v>
      </c>
      <c r="N174" s="129">
        <v>65.0</v>
      </c>
      <c r="O174" s="128"/>
      <c r="P174" s="129">
        <v>1000.0</v>
      </c>
      <c r="Q174" s="128" t="s">
        <v>572</v>
      </c>
    </row>
    <row r="175">
      <c r="A175" s="129">
        <v>721.0</v>
      </c>
      <c r="B175" s="129">
        <v>2014.0</v>
      </c>
      <c r="C175" s="129">
        <v>-11.7</v>
      </c>
      <c r="D175" s="129">
        <v>37.16</v>
      </c>
      <c r="E175" s="129">
        <v>127.65</v>
      </c>
      <c r="F175" s="128" t="s">
        <v>936</v>
      </c>
      <c r="G175" s="128" t="s">
        <v>1433</v>
      </c>
      <c r="H175" s="128" t="s">
        <v>242</v>
      </c>
      <c r="I175" s="128" t="s">
        <v>243</v>
      </c>
      <c r="J175" s="128"/>
      <c r="K175" s="129">
        <v>1.0</v>
      </c>
      <c r="L175" s="129">
        <v>1000.0</v>
      </c>
      <c r="M175" s="128" t="s">
        <v>1434</v>
      </c>
      <c r="N175" s="129">
        <v>65.0</v>
      </c>
      <c r="O175" s="128"/>
      <c r="P175" s="129">
        <v>1000.0</v>
      </c>
      <c r="Q175" s="128" t="s">
        <v>572</v>
      </c>
    </row>
    <row r="176">
      <c r="A176" s="129">
        <v>722.0</v>
      </c>
      <c r="B176" s="129">
        <v>2014.0</v>
      </c>
      <c r="C176" s="129">
        <v>-19.2</v>
      </c>
      <c r="D176" s="129">
        <v>37.16</v>
      </c>
      <c r="E176" s="129">
        <v>127.65</v>
      </c>
      <c r="F176" s="128" t="s">
        <v>936</v>
      </c>
      <c r="G176" s="128" t="s">
        <v>1433</v>
      </c>
      <c r="H176" s="128" t="s">
        <v>242</v>
      </c>
      <c r="I176" s="128" t="s">
        <v>243</v>
      </c>
      <c r="J176" s="128"/>
      <c r="K176" s="129">
        <v>1.0</v>
      </c>
      <c r="L176" s="129">
        <v>1000.0</v>
      </c>
      <c r="M176" s="128" t="s">
        <v>1434</v>
      </c>
      <c r="N176" s="129">
        <v>65.0</v>
      </c>
      <c r="O176" s="128"/>
      <c r="P176" s="129">
        <v>1000.0</v>
      </c>
      <c r="Q176" s="128" t="s">
        <v>572</v>
      </c>
    </row>
    <row r="177">
      <c r="A177" s="129">
        <v>723.0</v>
      </c>
      <c r="B177" s="129">
        <v>2014.0</v>
      </c>
      <c r="C177" s="129">
        <v>33.8</v>
      </c>
      <c r="D177" s="129">
        <v>37.16</v>
      </c>
      <c r="E177" s="129">
        <v>127.65</v>
      </c>
      <c r="F177" s="128" t="s">
        <v>936</v>
      </c>
      <c r="G177" s="128" t="s">
        <v>1433</v>
      </c>
      <c r="H177" s="128" t="s">
        <v>242</v>
      </c>
      <c r="I177" s="128" t="s">
        <v>243</v>
      </c>
      <c r="J177" s="128"/>
      <c r="K177" s="129">
        <v>1.0</v>
      </c>
      <c r="L177" s="129">
        <v>1000.0</v>
      </c>
      <c r="M177" s="128" t="s">
        <v>1434</v>
      </c>
      <c r="N177" s="129">
        <v>65.0</v>
      </c>
      <c r="O177" s="128"/>
      <c r="P177" s="129">
        <v>1000.0</v>
      </c>
      <c r="Q177" s="128" t="s">
        <v>572</v>
      </c>
    </row>
    <row r="178">
      <c r="A178" s="129">
        <v>724.0</v>
      </c>
      <c r="B178" s="129">
        <v>2014.0</v>
      </c>
      <c r="C178" s="129">
        <v>-33.9</v>
      </c>
      <c r="D178" s="129">
        <v>37.16</v>
      </c>
      <c r="E178" s="129">
        <v>127.65</v>
      </c>
      <c r="F178" s="128" t="s">
        <v>936</v>
      </c>
      <c r="G178" s="128" t="s">
        <v>1433</v>
      </c>
      <c r="H178" s="128" t="s">
        <v>242</v>
      </c>
      <c r="I178" s="128" t="s">
        <v>243</v>
      </c>
      <c r="J178" s="128"/>
      <c r="K178" s="129">
        <v>1.0</v>
      </c>
      <c r="L178" s="129">
        <v>1000.0</v>
      </c>
      <c r="M178" s="128" t="s">
        <v>1434</v>
      </c>
      <c r="N178" s="129">
        <v>65.0</v>
      </c>
      <c r="O178" s="128"/>
      <c r="P178" s="129">
        <v>1000.0</v>
      </c>
      <c r="Q178" s="128" t="s">
        <v>572</v>
      </c>
    </row>
    <row r="179">
      <c r="A179" s="129">
        <v>725.0</v>
      </c>
      <c r="B179" s="129">
        <v>2014.0</v>
      </c>
      <c r="C179" s="129">
        <v>-46.8</v>
      </c>
      <c r="D179" s="129">
        <v>37.16</v>
      </c>
      <c r="E179" s="129">
        <v>127.65</v>
      </c>
      <c r="F179" s="128" t="s">
        <v>936</v>
      </c>
      <c r="G179" s="128" t="s">
        <v>1433</v>
      </c>
      <c r="H179" s="128" t="s">
        <v>242</v>
      </c>
      <c r="I179" s="128" t="s">
        <v>243</v>
      </c>
      <c r="J179" s="128"/>
      <c r="K179" s="129">
        <v>1.0</v>
      </c>
      <c r="L179" s="129">
        <v>1000.0</v>
      </c>
      <c r="M179" s="128" t="s">
        <v>1434</v>
      </c>
      <c r="N179" s="129">
        <v>65.0</v>
      </c>
      <c r="O179" s="128"/>
      <c r="P179" s="129">
        <v>1000.0</v>
      </c>
      <c r="Q179" s="128" t="s">
        <v>572</v>
      </c>
    </row>
    <row r="180">
      <c r="A180" s="129">
        <v>726.0</v>
      </c>
      <c r="B180" s="129">
        <v>2014.0</v>
      </c>
      <c r="C180" s="129">
        <v>33.5</v>
      </c>
      <c r="D180" s="129">
        <v>37.16</v>
      </c>
      <c r="E180" s="129">
        <v>127.65</v>
      </c>
      <c r="F180" s="128" t="s">
        <v>936</v>
      </c>
      <c r="G180" s="128" t="s">
        <v>1433</v>
      </c>
      <c r="H180" s="128" t="s">
        <v>242</v>
      </c>
      <c r="I180" s="128" t="s">
        <v>243</v>
      </c>
      <c r="J180" s="128"/>
      <c r="K180" s="129">
        <v>1.0</v>
      </c>
      <c r="L180" s="129">
        <v>1000.0</v>
      </c>
      <c r="M180" s="128" t="s">
        <v>1434</v>
      </c>
      <c r="N180" s="129">
        <v>65.0</v>
      </c>
      <c r="O180" s="128"/>
      <c r="P180" s="129">
        <v>1000.0</v>
      </c>
      <c r="Q180" s="128" t="s">
        <v>572</v>
      </c>
    </row>
    <row r="181">
      <c r="A181" s="129">
        <v>727.0</v>
      </c>
      <c r="B181" s="129">
        <v>2014.0</v>
      </c>
      <c r="C181" s="129">
        <v>-15.3</v>
      </c>
      <c r="D181" s="129">
        <v>37.16</v>
      </c>
      <c r="E181" s="129">
        <v>127.65</v>
      </c>
      <c r="F181" s="128" t="s">
        <v>936</v>
      </c>
      <c r="G181" s="128" t="s">
        <v>1433</v>
      </c>
      <c r="H181" s="128" t="s">
        <v>242</v>
      </c>
      <c r="I181" s="128" t="s">
        <v>243</v>
      </c>
      <c r="J181" s="128"/>
      <c r="K181" s="129">
        <v>1.0</v>
      </c>
      <c r="L181" s="129">
        <v>1000.0</v>
      </c>
      <c r="M181" s="128" t="s">
        <v>1434</v>
      </c>
      <c r="N181" s="129">
        <v>65.0</v>
      </c>
      <c r="O181" s="128"/>
      <c r="P181" s="129">
        <v>1000.0</v>
      </c>
      <c r="Q181" s="128" t="s">
        <v>572</v>
      </c>
    </row>
    <row r="182">
      <c r="A182" s="129">
        <v>728.0</v>
      </c>
      <c r="B182" s="129">
        <v>2014.0</v>
      </c>
      <c r="C182" s="129">
        <v>-22.5</v>
      </c>
      <c r="D182" s="129">
        <v>37.16</v>
      </c>
      <c r="E182" s="129">
        <v>127.65</v>
      </c>
      <c r="F182" s="128" t="s">
        <v>936</v>
      </c>
      <c r="G182" s="128" t="s">
        <v>1433</v>
      </c>
      <c r="H182" s="128" t="s">
        <v>242</v>
      </c>
      <c r="I182" s="128" t="s">
        <v>243</v>
      </c>
      <c r="J182" s="128"/>
      <c r="K182" s="129">
        <v>1.0</v>
      </c>
      <c r="L182" s="129">
        <v>1000.0</v>
      </c>
      <c r="M182" s="128" t="s">
        <v>1434</v>
      </c>
      <c r="N182" s="129">
        <v>65.0</v>
      </c>
      <c r="O182" s="128"/>
      <c r="P182" s="129">
        <v>1000.0</v>
      </c>
      <c r="Q182" s="128" t="s">
        <v>572</v>
      </c>
    </row>
    <row r="183">
      <c r="A183" s="129">
        <v>785.0</v>
      </c>
      <c r="B183" s="129">
        <v>2015.0</v>
      </c>
      <c r="C183" s="129">
        <v>133.7</v>
      </c>
      <c r="D183" s="129">
        <v>37.16</v>
      </c>
      <c r="E183" s="129">
        <v>127.65</v>
      </c>
      <c r="F183" s="128" t="s">
        <v>936</v>
      </c>
      <c r="G183" s="128" t="s">
        <v>1464</v>
      </c>
      <c r="H183" s="128" t="s">
        <v>242</v>
      </c>
      <c r="I183" s="128" t="s">
        <v>244</v>
      </c>
      <c r="J183" s="129">
        <v>10.0</v>
      </c>
      <c r="K183" s="129">
        <v>1.0</v>
      </c>
      <c r="L183" s="128" t="s">
        <v>1452</v>
      </c>
      <c r="M183" s="128" t="s">
        <v>1465</v>
      </c>
      <c r="N183" s="129">
        <v>65.0</v>
      </c>
      <c r="O183" s="129">
        <v>100.0</v>
      </c>
      <c r="P183" s="129">
        <v>30.0</v>
      </c>
      <c r="Q183" s="128" t="s">
        <v>572</v>
      </c>
    </row>
    <row r="184">
      <c r="A184" s="129">
        <v>786.0</v>
      </c>
      <c r="B184" s="129">
        <v>2015.0</v>
      </c>
      <c r="C184" s="129">
        <v>24.4</v>
      </c>
      <c r="D184" s="129">
        <v>37.16</v>
      </c>
      <c r="E184" s="129">
        <v>127.65</v>
      </c>
      <c r="F184" s="128" t="s">
        <v>936</v>
      </c>
      <c r="G184" s="128" t="s">
        <v>1464</v>
      </c>
      <c r="H184" s="128" t="s">
        <v>242</v>
      </c>
      <c r="I184" s="128" t="s">
        <v>244</v>
      </c>
      <c r="J184" s="129">
        <v>10.0</v>
      </c>
      <c r="K184" s="129">
        <v>1.0</v>
      </c>
      <c r="L184" s="128" t="s">
        <v>1452</v>
      </c>
      <c r="M184" s="128" t="s">
        <v>1465</v>
      </c>
      <c r="N184" s="129">
        <v>65.0</v>
      </c>
      <c r="O184" s="129">
        <v>100.0</v>
      </c>
      <c r="P184" s="129">
        <v>30.0</v>
      </c>
      <c r="Q184" s="128" t="s">
        <v>572</v>
      </c>
    </row>
    <row r="185">
      <c r="A185" s="129">
        <v>787.0</v>
      </c>
      <c r="B185" s="129">
        <v>2015.0</v>
      </c>
      <c r="C185" s="129">
        <v>4.4</v>
      </c>
      <c r="D185" s="129">
        <v>37.16</v>
      </c>
      <c r="E185" s="129">
        <v>127.65</v>
      </c>
      <c r="F185" s="128" t="s">
        <v>936</v>
      </c>
      <c r="G185" s="128" t="s">
        <v>1464</v>
      </c>
      <c r="H185" s="128" t="s">
        <v>242</v>
      </c>
      <c r="I185" s="128" t="s">
        <v>244</v>
      </c>
      <c r="J185" s="129">
        <v>10.0</v>
      </c>
      <c r="K185" s="129">
        <v>1.0</v>
      </c>
      <c r="L185" s="128" t="s">
        <v>1452</v>
      </c>
      <c r="M185" s="128" t="s">
        <v>1465</v>
      </c>
      <c r="N185" s="129">
        <v>65.0</v>
      </c>
      <c r="O185" s="129">
        <v>100.0</v>
      </c>
      <c r="P185" s="129">
        <v>30.0</v>
      </c>
      <c r="Q185" s="128" t="s">
        <v>572</v>
      </c>
    </row>
    <row r="186">
      <c r="A186" s="129">
        <v>788.0</v>
      </c>
      <c r="B186" s="129">
        <v>2015.0</v>
      </c>
      <c r="C186" s="129">
        <v>-36.9</v>
      </c>
      <c r="D186" s="129">
        <v>37.16</v>
      </c>
      <c r="E186" s="129">
        <v>127.65</v>
      </c>
      <c r="F186" s="128" t="s">
        <v>936</v>
      </c>
      <c r="G186" s="128" t="s">
        <v>1464</v>
      </c>
      <c r="H186" s="128" t="s">
        <v>242</v>
      </c>
      <c r="I186" s="128" t="s">
        <v>244</v>
      </c>
      <c r="J186" s="129">
        <v>10.0</v>
      </c>
      <c r="K186" s="129">
        <v>1.0</v>
      </c>
      <c r="L186" s="128" t="s">
        <v>1452</v>
      </c>
      <c r="M186" s="128" t="s">
        <v>1465</v>
      </c>
      <c r="N186" s="129">
        <v>65.0</v>
      </c>
      <c r="O186" s="129">
        <v>100.0</v>
      </c>
      <c r="P186" s="129">
        <v>30.0</v>
      </c>
      <c r="Q186" s="128" t="s">
        <v>572</v>
      </c>
    </row>
    <row r="187">
      <c r="A187" s="129">
        <v>1633.0</v>
      </c>
      <c r="B187" s="129">
        <v>2017.0</v>
      </c>
      <c r="C187" s="129">
        <v>28.1</v>
      </c>
      <c r="D187" s="129">
        <v>37.16</v>
      </c>
      <c r="E187" s="129">
        <v>127.65</v>
      </c>
      <c r="F187" s="128" t="s">
        <v>936</v>
      </c>
      <c r="G187" s="128" t="s">
        <v>2690</v>
      </c>
      <c r="H187" s="128" t="s">
        <v>356</v>
      </c>
      <c r="I187" s="128" t="s">
        <v>246</v>
      </c>
      <c r="J187" s="128"/>
      <c r="K187" s="129">
        <v>1.0</v>
      </c>
      <c r="L187" s="129">
        <v>1000.0</v>
      </c>
      <c r="M187" s="128" t="s">
        <v>1434</v>
      </c>
      <c r="N187" s="129">
        <v>65.0</v>
      </c>
      <c r="O187" s="128"/>
      <c r="P187" s="129">
        <v>1000.0</v>
      </c>
      <c r="Q187" s="128" t="s">
        <v>572</v>
      </c>
    </row>
    <row r="188">
      <c r="A188" s="129">
        <v>1634.0</v>
      </c>
      <c r="B188" s="129">
        <v>2017.0</v>
      </c>
      <c r="C188" s="129">
        <v>-16.6</v>
      </c>
      <c r="D188" s="129">
        <v>37.16</v>
      </c>
      <c r="E188" s="129">
        <v>127.65</v>
      </c>
      <c r="F188" s="128" t="s">
        <v>936</v>
      </c>
      <c r="G188" s="128" t="s">
        <v>2690</v>
      </c>
      <c r="H188" s="128" t="s">
        <v>356</v>
      </c>
      <c r="I188" s="128" t="s">
        <v>246</v>
      </c>
      <c r="J188" s="128"/>
      <c r="K188" s="129">
        <v>1.0</v>
      </c>
      <c r="L188" s="129">
        <v>1000.0</v>
      </c>
      <c r="M188" s="128" t="s">
        <v>1434</v>
      </c>
      <c r="N188" s="129">
        <v>65.0</v>
      </c>
      <c r="O188" s="128"/>
      <c r="P188" s="129">
        <v>1000.0</v>
      </c>
      <c r="Q188" s="128" t="s">
        <v>572</v>
      </c>
    </row>
    <row r="189">
      <c r="A189" s="129">
        <v>1635.0</v>
      </c>
      <c r="B189" s="129">
        <v>2017.0</v>
      </c>
      <c r="C189" s="129">
        <v>-25.5</v>
      </c>
      <c r="D189" s="129">
        <v>37.16</v>
      </c>
      <c r="E189" s="129">
        <v>127.65</v>
      </c>
      <c r="F189" s="128" t="s">
        <v>936</v>
      </c>
      <c r="G189" s="128" t="s">
        <v>2690</v>
      </c>
      <c r="H189" s="128" t="s">
        <v>356</v>
      </c>
      <c r="I189" s="128" t="s">
        <v>246</v>
      </c>
      <c r="J189" s="128"/>
      <c r="K189" s="129">
        <v>1.0</v>
      </c>
      <c r="L189" s="129">
        <v>1000.0</v>
      </c>
      <c r="M189" s="128" t="s">
        <v>1434</v>
      </c>
      <c r="N189" s="129">
        <v>65.0</v>
      </c>
      <c r="O189" s="128"/>
      <c r="P189" s="129">
        <v>1000.0</v>
      </c>
      <c r="Q189" s="128" t="s">
        <v>572</v>
      </c>
    </row>
    <row r="190">
      <c r="A190" s="129">
        <v>1819.0</v>
      </c>
      <c r="B190" s="129">
        <v>2021.0</v>
      </c>
      <c r="C190" s="129">
        <v>8.2</v>
      </c>
      <c r="D190" s="129">
        <v>37.16</v>
      </c>
      <c r="E190" s="129">
        <v>127.65</v>
      </c>
      <c r="F190" s="128" t="s">
        <v>936</v>
      </c>
      <c r="G190" s="128" t="s">
        <v>2843</v>
      </c>
      <c r="H190" s="128" t="s">
        <v>242</v>
      </c>
      <c r="I190" s="128" t="s">
        <v>244</v>
      </c>
      <c r="J190" s="129">
        <v>9.0</v>
      </c>
      <c r="K190" s="129">
        <v>1.0</v>
      </c>
      <c r="L190" s="128"/>
      <c r="M190" s="128" t="s">
        <v>1434</v>
      </c>
      <c r="N190" s="129">
        <v>65.0</v>
      </c>
      <c r="O190" s="128"/>
      <c r="P190" s="128"/>
      <c r="Q190" s="128" t="s">
        <v>572</v>
      </c>
    </row>
    <row r="191">
      <c r="A191" s="129">
        <v>1825.0</v>
      </c>
      <c r="B191" s="129">
        <v>2021.0</v>
      </c>
      <c r="C191" s="129">
        <v>41.3</v>
      </c>
      <c r="D191" s="129">
        <v>37.16</v>
      </c>
      <c r="E191" s="129">
        <v>127.65</v>
      </c>
      <c r="F191" s="128" t="s">
        <v>936</v>
      </c>
      <c r="G191" s="128" t="s">
        <v>2843</v>
      </c>
      <c r="H191" s="128" t="s">
        <v>242</v>
      </c>
      <c r="I191" s="128" t="s">
        <v>244</v>
      </c>
      <c r="J191" s="129">
        <v>9.0</v>
      </c>
      <c r="K191" s="129">
        <v>1.0</v>
      </c>
      <c r="L191" s="128"/>
      <c r="M191" s="128" t="s">
        <v>1434</v>
      </c>
      <c r="N191" s="129">
        <v>65.0</v>
      </c>
      <c r="O191" s="128"/>
      <c r="P191" s="128"/>
      <c r="Q191" s="128" t="s">
        <v>572</v>
      </c>
    </row>
    <row r="192">
      <c r="A192" s="129">
        <v>753.0</v>
      </c>
      <c r="B192" s="129">
        <v>2015.0</v>
      </c>
      <c r="C192" s="129">
        <v>87.3</v>
      </c>
      <c r="D192" s="129">
        <v>37.61</v>
      </c>
      <c r="E192" s="129">
        <v>101.33</v>
      </c>
      <c r="F192" s="128" t="s">
        <v>984</v>
      </c>
      <c r="G192" s="128" t="s">
        <v>593</v>
      </c>
      <c r="H192" s="128" t="s">
        <v>284</v>
      </c>
      <c r="I192" s="128" t="s">
        <v>968</v>
      </c>
      <c r="J192" s="129">
        <v>20.0</v>
      </c>
      <c r="K192" s="129">
        <v>1.0</v>
      </c>
      <c r="L192" s="128" t="s">
        <v>1452</v>
      </c>
      <c r="M192" s="128" t="s">
        <v>594</v>
      </c>
      <c r="N192" s="129">
        <v>3201.0</v>
      </c>
      <c r="O192" s="129">
        <v>100.0</v>
      </c>
      <c r="P192" s="129">
        <v>30.0</v>
      </c>
      <c r="Q192" s="128" t="s">
        <v>572</v>
      </c>
    </row>
    <row r="193">
      <c r="A193" s="129">
        <v>754.0</v>
      </c>
      <c r="B193" s="129">
        <v>2015.0</v>
      </c>
      <c r="C193" s="129">
        <v>8.1</v>
      </c>
      <c r="D193" s="129">
        <v>37.61</v>
      </c>
      <c r="E193" s="129">
        <v>101.33</v>
      </c>
      <c r="F193" s="128" t="s">
        <v>984</v>
      </c>
      <c r="G193" s="128" t="s">
        <v>593</v>
      </c>
      <c r="H193" s="128" t="s">
        <v>284</v>
      </c>
      <c r="I193" s="128" t="s">
        <v>968</v>
      </c>
      <c r="J193" s="129">
        <v>20.0</v>
      </c>
      <c r="K193" s="129">
        <v>1.0</v>
      </c>
      <c r="L193" s="128" t="s">
        <v>1452</v>
      </c>
      <c r="M193" s="128" t="s">
        <v>594</v>
      </c>
      <c r="N193" s="129">
        <v>3201.0</v>
      </c>
      <c r="O193" s="129">
        <v>100.0</v>
      </c>
      <c r="P193" s="129">
        <v>30.0</v>
      </c>
      <c r="Q193" s="128" t="s">
        <v>572</v>
      </c>
    </row>
    <row r="194">
      <c r="A194" s="129">
        <v>755.0</v>
      </c>
      <c r="B194" s="129">
        <v>2015.0</v>
      </c>
      <c r="C194" s="129">
        <v>30.1</v>
      </c>
      <c r="D194" s="129">
        <v>37.61</v>
      </c>
      <c r="E194" s="129">
        <v>101.33</v>
      </c>
      <c r="F194" s="128" t="s">
        <v>984</v>
      </c>
      <c r="G194" s="128" t="s">
        <v>593</v>
      </c>
      <c r="H194" s="128" t="s">
        <v>284</v>
      </c>
      <c r="I194" s="128" t="s">
        <v>968</v>
      </c>
      <c r="J194" s="129">
        <v>20.0</v>
      </c>
      <c r="K194" s="129">
        <v>1.0</v>
      </c>
      <c r="L194" s="128" t="s">
        <v>1452</v>
      </c>
      <c r="M194" s="128" t="s">
        <v>594</v>
      </c>
      <c r="N194" s="129">
        <v>3201.0</v>
      </c>
      <c r="O194" s="129">
        <v>100.0</v>
      </c>
      <c r="P194" s="129">
        <v>30.0</v>
      </c>
      <c r="Q194" s="128" t="s">
        <v>572</v>
      </c>
    </row>
    <row r="195">
      <c r="A195" s="129">
        <v>756.0</v>
      </c>
      <c r="B195" s="129">
        <v>2015.0</v>
      </c>
      <c r="C195" s="129">
        <v>-10.1</v>
      </c>
      <c r="D195" s="129">
        <v>37.61</v>
      </c>
      <c r="E195" s="129">
        <v>101.33</v>
      </c>
      <c r="F195" s="128" t="s">
        <v>984</v>
      </c>
      <c r="G195" s="128" t="s">
        <v>593</v>
      </c>
      <c r="H195" s="128" t="s">
        <v>284</v>
      </c>
      <c r="I195" s="128" t="s">
        <v>968</v>
      </c>
      <c r="J195" s="129">
        <v>20.0</v>
      </c>
      <c r="K195" s="129">
        <v>1.0</v>
      </c>
      <c r="L195" s="128" t="s">
        <v>1452</v>
      </c>
      <c r="M195" s="128" t="s">
        <v>594</v>
      </c>
      <c r="N195" s="129">
        <v>3201.0</v>
      </c>
      <c r="O195" s="129">
        <v>100.0</v>
      </c>
      <c r="P195" s="129">
        <v>30.0</v>
      </c>
      <c r="Q195" s="128" t="s">
        <v>572</v>
      </c>
    </row>
    <row r="196">
      <c r="A196" s="129">
        <v>773.0</v>
      </c>
      <c r="B196" s="129">
        <v>2015.0</v>
      </c>
      <c r="C196" s="129">
        <v>91.7</v>
      </c>
      <c r="D196" s="129">
        <v>37.61</v>
      </c>
      <c r="E196" s="129">
        <v>101.33</v>
      </c>
      <c r="F196" s="128" t="s">
        <v>936</v>
      </c>
      <c r="G196" s="128" t="s">
        <v>593</v>
      </c>
      <c r="H196" s="128" t="s">
        <v>284</v>
      </c>
      <c r="I196" s="128" t="s">
        <v>968</v>
      </c>
      <c r="J196" s="129">
        <v>20.0</v>
      </c>
      <c r="K196" s="129">
        <v>1.0</v>
      </c>
      <c r="L196" s="128" t="s">
        <v>1452</v>
      </c>
      <c r="M196" s="128" t="s">
        <v>594</v>
      </c>
      <c r="N196" s="129">
        <v>3201.0</v>
      </c>
      <c r="O196" s="129">
        <v>100.0</v>
      </c>
      <c r="P196" s="129">
        <v>30.0</v>
      </c>
      <c r="Q196" s="128" t="s">
        <v>572</v>
      </c>
    </row>
    <row r="197">
      <c r="A197" s="129">
        <v>774.0</v>
      </c>
      <c r="B197" s="129">
        <v>2015.0</v>
      </c>
      <c r="C197" s="129">
        <v>10.6</v>
      </c>
      <c r="D197" s="129">
        <v>37.61</v>
      </c>
      <c r="E197" s="129">
        <v>101.33</v>
      </c>
      <c r="F197" s="128" t="s">
        <v>936</v>
      </c>
      <c r="G197" s="128" t="s">
        <v>593</v>
      </c>
      <c r="H197" s="128" t="s">
        <v>284</v>
      </c>
      <c r="I197" s="128" t="s">
        <v>968</v>
      </c>
      <c r="J197" s="129">
        <v>20.0</v>
      </c>
      <c r="K197" s="129">
        <v>1.0</v>
      </c>
      <c r="L197" s="128" t="s">
        <v>1452</v>
      </c>
      <c r="M197" s="128" t="s">
        <v>594</v>
      </c>
      <c r="N197" s="129">
        <v>3201.0</v>
      </c>
      <c r="O197" s="129">
        <v>100.0</v>
      </c>
      <c r="P197" s="129">
        <v>30.0</v>
      </c>
      <c r="Q197" s="128" t="s">
        <v>572</v>
      </c>
    </row>
    <row r="198">
      <c r="A198" s="129">
        <v>775.0</v>
      </c>
      <c r="B198" s="129">
        <v>2015.0</v>
      </c>
      <c r="C198" s="129">
        <v>33.2</v>
      </c>
      <c r="D198" s="129">
        <v>37.61</v>
      </c>
      <c r="E198" s="129">
        <v>101.33</v>
      </c>
      <c r="F198" s="128" t="s">
        <v>936</v>
      </c>
      <c r="G198" s="128" t="s">
        <v>593</v>
      </c>
      <c r="H198" s="128" t="s">
        <v>284</v>
      </c>
      <c r="I198" s="128" t="s">
        <v>968</v>
      </c>
      <c r="J198" s="129">
        <v>20.0</v>
      </c>
      <c r="K198" s="129">
        <v>1.0</v>
      </c>
      <c r="L198" s="128" t="s">
        <v>1452</v>
      </c>
      <c r="M198" s="128" t="s">
        <v>594</v>
      </c>
      <c r="N198" s="129">
        <v>3201.0</v>
      </c>
      <c r="O198" s="129">
        <v>100.0</v>
      </c>
      <c r="P198" s="129">
        <v>30.0</v>
      </c>
      <c r="Q198" s="128" t="s">
        <v>572</v>
      </c>
    </row>
    <row r="199">
      <c r="A199" s="129">
        <v>776.0</v>
      </c>
      <c r="B199" s="129">
        <v>2015.0</v>
      </c>
      <c r="C199" s="129">
        <v>-8.0</v>
      </c>
      <c r="D199" s="129">
        <v>37.61</v>
      </c>
      <c r="E199" s="129">
        <v>101.33</v>
      </c>
      <c r="F199" s="128" t="s">
        <v>936</v>
      </c>
      <c r="G199" s="128" t="s">
        <v>593</v>
      </c>
      <c r="H199" s="128" t="s">
        <v>284</v>
      </c>
      <c r="I199" s="128" t="s">
        <v>968</v>
      </c>
      <c r="J199" s="129">
        <v>20.0</v>
      </c>
      <c r="K199" s="129">
        <v>1.0</v>
      </c>
      <c r="L199" s="128" t="s">
        <v>1452</v>
      </c>
      <c r="M199" s="128" t="s">
        <v>594</v>
      </c>
      <c r="N199" s="129">
        <v>3201.0</v>
      </c>
      <c r="O199" s="129">
        <v>100.0</v>
      </c>
      <c r="P199" s="129">
        <v>30.0</v>
      </c>
      <c r="Q199" s="128" t="s">
        <v>572</v>
      </c>
    </row>
    <row r="200">
      <c r="A200" s="129">
        <v>1818.0</v>
      </c>
      <c r="B200" s="129">
        <v>2021.0</v>
      </c>
      <c r="C200" s="129">
        <v>47.8</v>
      </c>
      <c r="D200" s="129">
        <v>37.61</v>
      </c>
      <c r="E200" s="129">
        <v>101.33</v>
      </c>
      <c r="F200" s="128" t="s">
        <v>936</v>
      </c>
      <c r="G200" s="128" t="s">
        <v>593</v>
      </c>
      <c r="H200" s="128" t="s">
        <v>284</v>
      </c>
      <c r="I200" s="128" t="s">
        <v>968</v>
      </c>
      <c r="J200" s="129">
        <v>12.0</v>
      </c>
      <c r="K200" s="129">
        <v>1.0</v>
      </c>
      <c r="L200" s="128"/>
      <c r="M200" s="128" t="s">
        <v>594</v>
      </c>
      <c r="N200" s="129">
        <v>3201.0</v>
      </c>
      <c r="O200" s="128"/>
      <c r="P200" s="128"/>
      <c r="Q200" s="128" t="s">
        <v>572</v>
      </c>
    </row>
    <row r="201">
      <c r="A201" s="129">
        <v>1824.0</v>
      </c>
      <c r="B201" s="129">
        <v>2021.0</v>
      </c>
      <c r="C201" s="129">
        <v>37.5</v>
      </c>
      <c r="D201" s="129">
        <v>37.61</v>
      </c>
      <c r="E201" s="129">
        <v>101.33</v>
      </c>
      <c r="F201" s="128" t="s">
        <v>936</v>
      </c>
      <c r="G201" s="128" t="s">
        <v>593</v>
      </c>
      <c r="H201" s="128" t="s">
        <v>284</v>
      </c>
      <c r="I201" s="128" t="s">
        <v>968</v>
      </c>
      <c r="J201" s="129">
        <v>12.0</v>
      </c>
      <c r="K201" s="129">
        <v>1.0</v>
      </c>
      <c r="L201" s="128"/>
      <c r="M201" s="128" t="s">
        <v>594</v>
      </c>
      <c r="N201" s="129">
        <v>3201.0</v>
      </c>
      <c r="O201" s="128"/>
      <c r="P201" s="128"/>
      <c r="Q201" s="128" t="s">
        <v>572</v>
      </c>
    </row>
    <row r="202">
      <c r="A202" s="129">
        <v>735.0</v>
      </c>
      <c r="B202" s="129">
        <v>2014.0</v>
      </c>
      <c r="C202" s="129">
        <v>278.0</v>
      </c>
      <c r="D202" s="129">
        <v>37.94</v>
      </c>
      <c r="E202" s="129">
        <v>126.95</v>
      </c>
      <c r="F202" s="128" t="s">
        <v>936</v>
      </c>
      <c r="G202" s="128" t="s">
        <v>1444</v>
      </c>
      <c r="H202" s="128" t="s">
        <v>242</v>
      </c>
      <c r="I202" s="128" t="s">
        <v>243</v>
      </c>
      <c r="J202" s="128"/>
      <c r="K202" s="129">
        <v>1.0</v>
      </c>
      <c r="L202" s="129">
        <v>1000.0</v>
      </c>
      <c r="M202" s="128" t="s">
        <v>1445</v>
      </c>
      <c r="N202" s="129">
        <v>244.0</v>
      </c>
      <c r="O202" s="128"/>
      <c r="P202" s="129">
        <v>1000.0</v>
      </c>
      <c r="Q202" s="128" t="s">
        <v>572</v>
      </c>
    </row>
    <row r="203">
      <c r="A203" s="129">
        <v>736.0</v>
      </c>
      <c r="B203" s="129">
        <v>2014.0</v>
      </c>
      <c r="C203" s="129">
        <v>19.6</v>
      </c>
      <c r="D203" s="129">
        <v>37.94</v>
      </c>
      <c r="E203" s="129">
        <v>126.95</v>
      </c>
      <c r="F203" s="128" t="s">
        <v>936</v>
      </c>
      <c r="G203" s="128" t="s">
        <v>1444</v>
      </c>
      <c r="H203" s="128" t="s">
        <v>242</v>
      </c>
      <c r="I203" s="128" t="s">
        <v>243</v>
      </c>
      <c r="J203" s="128"/>
      <c r="K203" s="129">
        <v>1.0</v>
      </c>
      <c r="L203" s="129">
        <v>1000.0</v>
      </c>
      <c r="M203" s="128" t="s">
        <v>1445</v>
      </c>
      <c r="N203" s="129">
        <v>244.0</v>
      </c>
      <c r="O203" s="128"/>
      <c r="P203" s="129">
        <v>1000.0</v>
      </c>
      <c r="Q203" s="128" t="s">
        <v>572</v>
      </c>
    </row>
    <row r="204">
      <c r="A204" s="129">
        <v>737.0</v>
      </c>
      <c r="B204" s="129">
        <v>2014.0</v>
      </c>
      <c r="C204" s="129">
        <v>-33.9</v>
      </c>
      <c r="D204" s="129">
        <v>37.94</v>
      </c>
      <c r="E204" s="129">
        <v>126.95</v>
      </c>
      <c r="F204" s="128" t="s">
        <v>936</v>
      </c>
      <c r="G204" s="128" t="s">
        <v>1444</v>
      </c>
      <c r="H204" s="128" t="s">
        <v>242</v>
      </c>
      <c r="I204" s="128" t="s">
        <v>243</v>
      </c>
      <c r="J204" s="128"/>
      <c r="K204" s="129">
        <v>1.0</v>
      </c>
      <c r="L204" s="129">
        <v>1000.0</v>
      </c>
      <c r="M204" s="128" t="s">
        <v>1445</v>
      </c>
      <c r="N204" s="129">
        <v>244.0</v>
      </c>
      <c r="O204" s="128"/>
      <c r="P204" s="129">
        <v>1000.0</v>
      </c>
      <c r="Q204" s="128" t="s">
        <v>572</v>
      </c>
    </row>
    <row r="205">
      <c r="A205" s="129">
        <v>738.0</v>
      </c>
      <c r="B205" s="129">
        <v>2014.0</v>
      </c>
      <c r="C205" s="129">
        <v>119.0</v>
      </c>
      <c r="D205" s="129">
        <v>37.94</v>
      </c>
      <c r="E205" s="129">
        <v>126.95</v>
      </c>
      <c r="F205" s="128" t="s">
        <v>936</v>
      </c>
      <c r="G205" s="128" t="s">
        <v>1444</v>
      </c>
      <c r="H205" s="128" t="s">
        <v>242</v>
      </c>
      <c r="I205" s="128" t="s">
        <v>243</v>
      </c>
      <c r="J205" s="128"/>
      <c r="K205" s="129">
        <v>1.0</v>
      </c>
      <c r="L205" s="129">
        <v>1000.0</v>
      </c>
      <c r="M205" s="128" t="s">
        <v>1445</v>
      </c>
      <c r="N205" s="129">
        <v>244.0</v>
      </c>
      <c r="O205" s="128"/>
      <c r="P205" s="129">
        <v>1000.0</v>
      </c>
      <c r="Q205" s="128" t="s">
        <v>572</v>
      </c>
    </row>
    <row r="206">
      <c r="A206" s="129">
        <v>739.0</v>
      </c>
      <c r="B206" s="129">
        <v>2014.0</v>
      </c>
      <c r="C206" s="129">
        <v>7.3</v>
      </c>
      <c r="D206" s="129">
        <v>37.94</v>
      </c>
      <c r="E206" s="129">
        <v>126.95</v>
      </c>
      <c r="F206" s="128" t="s">
        <v>936</v>
      </c>
      <c r="G206" s="128" t="s">
        <v>1444</v>
      </c>
      <c r="H206" s="128" t="s">
        <v>242</v>
      </c>
      <c r="I206" s="128" t="s">
        <v>243</v>
      </c>
      <c r="J206" s="128"/>
      <c r="K206" s="129">
        <v>1.0</v>
      </c>
      <c r="L206" s="129">
        <v>1000.0</v>
      </c>
      <c r="M206" s="128" t="s">
        <v>1445</v>
      </c>
      <c r="N206" s="129">
        <v>244.0</v>
      </c>
      <c r="O206" s="128"/>
      <c r="P206" s="129">
        <v>1000.0</v>
      </c>
      <c r="Q206" s="128" t="s">
        <v>572</v>
      </c>
    </row>
    <row r="207">
      <c r="A207" s="129">
        <v>740.0</v>
      </c>
      <c r="B207" s="129">
        <v>2014.0</v>
      </c>
      <c r="C207" s="129">
        <v>-19.9</v>
      </c>
      <c r="D207" s="129">
        <v>37.94</v>
      </c>
      <c r="E207" s="129">
        <v>126.95</v>
      </c>
      <c r="F207" s="128" t="s">
        <v>936</v>
      </c>
      <c r="G207" s="128" t="s">
        <v>1444</v>
      </c>
      <c r="H207" s="128" t="s">
        <v>242</v>
      </c>
      <c r="I207" s="128" t="s">
        <v>243</v>
      </c>
      <c r="J207" s="128"/>
      <c r="K207" s="129">
        <v>1.0</v>
      </c>
      <c r="L207" s="129">
        <v>1000.0</v>
      </c>
      <c r="M207" s="128" t="s">
        <v>1445</v>
      </c>
      <c r="N207" s="129">
        <v>244.0</v>
      </c>
      <c r="O207" s="128"/>
      <c r="P207" s="129">
        <v>1000.0</v>
      </c>
      <c r="Q207" s="128" t="s">
        <v>572</v>
      </c>
    </row>
    <row r="208">
      <c r="A208" s="129">
        <v>741.0</v>
      </c>
      <c r="B208" s="129">
        <v>2014.0</v>
      </c>
      <c r="C208" s="129">
        <v>230.3</v>
      </c>
      <c r="D208" s="129">
        <v>37.94</v>
      </c>
      <c r="E208" s="129">
        <v>126.95</v>
      </c>
      <c r="F208" s="128" t="s">
        <v>936</v>
      </c>
      <c r="G208" s="128" t="s">
        <v>1444</v>
      </c>
      <c r="H208" s="128" t="s">
        <v>242</v>
      </c>
      <c r="I208" s="128" t="s">
        <v>243</v>
      </c>
      <c r="J208" s="128"/>
      <c r="K208" s="129">
        <v>1.0</v>
      </c>
      <c r="L208" s="129">
        <v>1000.0</v>
      </c>
      <c r="M208" s="128" t="s">
        <v>1445</v>
      </c>
      <c r="N208" s="129">
        <v>244.0</v>
      </c>
      <c r="O208" s="128"/>
      <c r="P208" s="129">
        <v>1000.0</v>
      </c>
      <c r="Q208" s="128" t="s">
        <v>572</v>
      </c>
    </row>
    <row r="209">
      <c r="A209" s="129">
        <v>742.0</v>
      </c>
      <c r="B209" s="129">
        <v>2014.0</v>
      </c>
      <c r="C209" s="129">
        <v>4.5</v>
      </c>
      <c r="D209" s="129">
        <v>37.94</v>
      </c>
      <c r="E209" s="129">
        <v>126.95</v>
      </c>
      <c r="F209" s="128" t="s">
        <v>936</v>
      </c>
      <c r="G209" s="128" t="s">
        <v>1444</v>
      </c>
      <c r="H209" s="128" t="s">
        <v>242</v>
      </c>
      <c r="I209" s="128" t="s">
        <v>243</v>
      </c>
      <c r="J209" s="128"/>
      <c r="K209" s="129">
        <v>1.0</v>
      </c>
      <c r="L209" s="129">
        <v>1000.0</v>
      </c>
      <c r="M209" s="128" t="s">
        <v>1445</v>
      </c>
      <c r="N209" s="129">
        <v>244.0</v>
      </c>
      <c r="O209" s="128"/>
      <c r="P209" s="129">
        <v>1000.0</v>
      </c>
      <c r="Q209" s="128" t="s">
        <v>572</v>
      </c>
    </row>
    <row r="210">
      <c r="A210" s="129">
        <v>743.0</v>
      </c>
      <c r="B210" s="129">
        <v>2014.0</v>
      </c>
      <c r="C210" s="129">
        <v>-42.3</v>
      </c>
      <c r="D210" s="129">
        <v>37.94</v>
      </c>
      <c r="E210" s="129">
        <v>126.95</v>
      </c>
      <c r="F210" s="128" t="s">
        <v>936</v>
      </c>
      <c r="G210" s="128" t="s">
        <v>1444</v>
      </c>
      <c r="H210" s="128" t="s">
        <v>242</v>
      </c>
      <c r="I210" s="128" t="s">
        <v>243</v>
      </c>
      <c r="J210" s="128"/>
      <c r="K210" s="129">
        <v>1.0</v>
      </c>
      <c r="L210" s="129">
        <v>1000.0</v>
      </c>
      <c r="M210" s="128" t="s">
        <v>1445</v>
      </c>
      <c r="N210" s="129">
        <v>244.0</v>
      </c>
      <c r="O210" s="128"/>
      <c r="P210" s="129">
        <v>1000.0</v>
      </c>
      <c r="Q210" s="128" t="s">
        <v>572</v>
      </c>
    </row>
    <row r="211">
      <c r="A211" s="129">
        <v>744.0</v>
      </c>
      <c r="B211" s="129">
        <v>2014.0</v>
      </c>
      <c r="C211" s="129">
        <v>99.3</v>
      </c>
      <c r="D211" s="129">
        <v>37.94</v>
      </c>
      <c r="E211" s="129">
        <v>126.95</v>
      </c>
      <c r="F211" s="128" t="s">
        <v>936</v>
      </c>
      <c r="G211" s="128" t="s">
        <v>1444</v>
      </c>
      <c r="H211" s="128" t="s">
        <v>242</v>
      </c>
      <c r="I211" s="128" t="s">
        <v>243</v>
      </c>
      <c r="J211" s="128"/>
      <c r="K211" s="129">
        <v>1.0</v>
      </c>
      <c r="L211" s="129">
        <v>1000.0</v>
      </c>
      <c r="M211" s="128" t="s">
        <v>1445</v>
      </c>
      <c r="N211" s="129">
        <v>244.0</v>
      </c>
      <c r="O211" s="128"/>
      <c r="P211" s="129">
        <v>1000.0</v>
      </c>
      <c r="Q211" s="128" t="s">
        <v>572</v>
      </c>
    </row>
    <row r="212">
      <c r="A212" s="129">
        <v>745.0</v>
      </c>
      <c r="B212" s="129">
        <v>2014.0</v>
      </c>
      <c r="C212" s="129">
        <v>-2.3</v>
      </c>
      <c r="D212" s="129">
        <v>37.94</v>
      </c>
      <c r="E212" s="129">
        <v>126.95</v>
      </c>
      <c r="F212" s="128" t="s">
        <v>936</v>
      </c>
      <c r="G212" s="128" t="s">
        <v>1444</v>
      </c>
      <c r="H212" s="128" t="s">
        <v>242</v>
      </c>
      <c r="I212" s="128" t="s">
        <v>243</v>
      </c>
      <c r="J212" s="128"/>
      <c r="K212" s="129">
        <v>1.0</v>
      </c>
      <c r="L212" s="129">
        <v>1000.0</v>
      </c>
      <c r="M212" s="128" t="s">
        <v>1445</v>
      </c>
      <c r="N212" s="129">
        <v>244.0</v>
      </c>
      <c r="O212" s="128"/>
      <c r="P212" s="129">
        <v>1000.0</v>
      </c>
      <c r="Q212" s="128" t="s">
        <v>572</v>
      </c>
    </row>
    <row r="213">
      <c r="A213" s="129">
        <v>746.0</v>
      </c>
      <c r="B213" s="129">
        <v>2014.0</v>
      </c>
      <c r="C213" s="129">
        <v>-27.1</v>
      </c>
      <c r="D213" s="129">
        <v>37.94</v>
      </c>
      <c r="E213" s="129">
        <v>126.95</v>
      </c>
      <c r="F213" s="128" t="s">
        <v>936</v>
      </c>
      <c r="G213" s="128" t="s">
        <v>1444</v>
      </c>
      <c r="H213" s="128" t="s">
        <v>242</v>
      </c>
      <c r="I213" s="128" t="s">
        <v>243</v>
      </c>
      <c r="J213" s="128"/>
      <c r="K213" s="129">
        <v>1.0</v>
      </c>
      <c r="L213" s="129">
        <v>1000.0</v>
      </c>
      <c r="M213" s="128" t="s">
        <v>1445</v>
      </c>
      <c r="N213" s="129">
        <v>244.0</v>
      </c>
      <c r="O213" s="128"/>
      <c r="P213" s="129">
        <v>1000.0</v>
      </c>
      <c r="Q213" s="128" t="s">
        <v>572</v>
      </c>
    </row>
    <row r="214">
      <c r="A214" s="129">
        <v>1636.0</v>
      </c>
      <c r="B214" s="129">
        <v>2017.0</v>
      </c>
      <c r="C214" s="129">
        <v>65.8</v>
      </c>
      <c r="D214" s="129">
        <v>37.94</v>
      </c>
      <c r="E214" s="129">
        <v>126.95</v>
      </c>
      <c r="F214" s="128" t="s">
        <v>936</v>
      </c>
      <c r="G214" s="128" t="s">
        <v>2680</v>
      </c>
      <c r="H214" s="128" t="s">
        <v>356</v>
      </c>
      <c r="I214" s="128" t="s">
        <v>246</v>
      </c>
      <c r="J214" s="128"/>
      <c r="K214" s="129">
        <v>1.0</v>
      </c>
      <c r="L214" s="129">
        <v>1000.0</v>
      </c>
      <c r="M214" s="128" t="s">
        <v>1445</v>
      </c>
      <c r="N214" s="129">
        <v>244.0</v>
      </c>
      <c r="O214" s="128"/>
      <c r="P214" s="129">
        <v>1000.0</v>
      </c>
      <c r="Q214" s="128" t="s">
        <v>572</v>
      </c>
    </row>
    <row r="215">
      <c r="A215" s="129">
        <v>1637.0</v>
      </c>
      <c r="B215" s="129">
        <v>2017.0</v>
      </c>
      <c r="C215" s="129">
        <v>-12.8</v>
      </c>
      <c r="D215" s="129">
        <v>37.94</v>
      </c>
      <c r="E215" s="129">
        <v>126.95</v>
      </c>
      <c r="F215" s="128" t="s">
        <v>936</v>
      </c>
      <c r="G215" s="128" t="s">
        <v>2680</v>
      </c>
      <c r="H215" s="128" t="s">
        <v>356</v>
      </c>
      <c r="I215" s="128" t="s">
        <v>246</v>
      </c>
      <c r="J215" s="128"/>
      <c r="K215" s="129">
        <v>1.0</v>
      </c>
      <c r="L215" s="129">
        <v>1000.0</v>
      </c>
      <c r="M215" s="128" t="s">
        <v>1445</v>
      </c>
      <c r="N215" s="129">
        <v>244.0</v>
      </c>
      <c r="O215" s="128"/>
      <c r="P215" s="129">
        <v>1000.0</v>
      </c>
      <c r="Q215" s="128" t="s">
        <v>572</v>
      </c>
    </row>
    <row r="216">
      <c r="A216" s="129">
        <v>1638.0</v>
      </c>
      <c r="B216" s="129">
        <v>2017.0</v>
      </c>
      <c r="C216" s="129">
        <v>-39.7</v>
      </c>
      <c r="D216" s="129">
        <v>37.94</v>
      </c>
      <c r="E216" s="129">
        <v>126.95</v>
      </c>
      <c r="F216" s="128" t="s">
        <v>936</v>
      </c>
      <c r="G216" s="128" t="s">
        <v>2680</v>
      </c>
      <c r="H216" s="128" t="s">
        <v>356</v>
      </c>
      <c r="I216" s="128" t="s">
        <v>246</v>
      </c>
      <c r="J216" s="128"/>
      <c r="K216" s="129">
        <v>1.0</v>
      </c>
      <c r="L216" s="129">
        <v>1000.0</v>
      </c>
      <c r="M216" s="128" t="s">
        <v>1445</v>
      </c>
      <c r="N216" s="129">
        <v>244.0</v>
      </c>
      <c r="O216" s="128"/>
      <c r="P216" s="129">
        <v>1000.0</v>
      </c>
      <c r="Q216" s="128" t="s">
        <v>572</v>
      </c>
    </row>
    <row r="217">
      <c r="A217" s="129">
        <v>1815.0</v>
      </c>
      <c r="B217" s="129">
        <v>2021.0</v>
      </c>
      <c r="C217" s="129">
        <v>11.3</v>
      </c>
      <c r="D217" s="129">
        <v>37.94</v>
      </c>
      <c r="E217" s="129">
        <v>126.96</v>
      </c>
      <c r="F217" s="128" t="s">
        <v>936</v>
      </c>
      <c r="G217" s="128" t="s">
        <v>2840</v>
      </c>
      <c r="H217" s="128" t="s">
        <v>242</v>
      </c>
      <c r="I217" s="128" t="s">
        <v>243</v>
      </c>
      <c r="J217" s="129">
        <v>13.0</v>
      </c>
      <c r="K217" s="129">
        <v>1.0</v>
      </c>
      <c r="L217" s="128"/>
      <c r="M217" s="128" t="s">
        <v>1445</v>
      </c>
      <c r="N217" s="129">
        <v>408.0</v>
      </c>
      <c r="O217" s="128"/>
      <c r="P217" s="128"/>
      <c r="Q217" s="128" t="s">
        <v>572</v>
      </c>
    </row>
    <row r="218">
      <c r="A218" s="129">
        <v>1821.0</v>
      </c>
      <c r="B218" s="129">
        <v>2021.0</v>
      </c>
      <c r="C218" s="129">
        <v>-7.4</v>
      </c>
      <c r="D218" s="129">
        <v>37.94</v>
      </c>
      <c r="E218" s="129">
        <v>126.96</v>
      </c>
      <c r="F218" s="128" t="s">
        <v>936</v>
      </c>
      <c r="G218" s="128" t="s">
        <v>2840</v>
      </c>
      <c r="H218" s="128" t="s">
        <v>242</v>
      </c>
      <c r="I218" s="128" t="s">
        <v>243</v>
      </c>
      <c r="J218" s="129">
        <v>13.0</v>
      </c>
      <c r="K218" s="129">
        <v>1.0</v>
      </c>
      <c r="L218" s="128"/>
      <c r="M218" s="128" t="s">
        <v>1445</v>
      </c>
      <c r="N218" s="129">
        <v>408.0</v>
      </c>
      <c r="O218" s="128"/>
      <c r="P218" s="128"/>
      <c r="Q218" s="128" t="s">
        <v>572</v>
      </c>
    </row>
    <row r="219">
      <c r="A219" s="129">
        <v>1617.0</v>
      </c>
      <c r="B219" s="129">
        <v>2021.0</v>
      </c>
      <c r="C219" s="129">
        <v>30.0</v>
      </c>
      <c r="D219" s="129">
        <v>38.04</v>
      </c>
      <c r="E219" s="129">
        <v>100.46</v>
      </c>
      <c r="F219" s="128" t="s">
        <v>2650</v>
      </c>
      <c r="G219" s="128" t="s">
        <v>1256</v>
      </c>
      <c r="H219" s="128"/>
      <c r="I219" s="128"/>
      <c r="J219" s="128"/>
      <c r="K219" s="129">
        <v>1.0</v>
      </c>
      <c r="L219" s="129">
        <v>1000.0</v>
      </c>
      <c r="M219" s="128" t="s">
        <v>1256</v>
      </c>
      <c r="N219" s="129">
        <v>3028.0</v>
      </c>
      <c r="O219" s="128"/>
      <c r="P219" s="128"/>
      <c r="Q219" s="128" t="s">
        <v>572</v>
      </c>
    </row>
    <row r="220">
      <c r="A220" s="129">
        <v>1218.0</v>
      </c>
      <c r="B220" s="129">
        <v>2018.0</v>
      </c>
      <c r="C220" s="129">
        <v>-4.0</v>
      </c>
      <c r="D220" s="129">
        <v>38.1159</v>
      </c>
      <c r="E220" s="129">
        <v>-121.647</v>
      </c>
      <c r="F220" s="128" t="s">
        <v>984</v>
      </c>
      <c r="G220" s="128" t="s">
        <v>533</v>
      </c>
      <c r="H220" s="128" t="s">
        <v>2157</v>
      </c>
      <c r="I220" s="128" t="s">
        <v>2158</v>
      </c>
      <c r="J220" s="129">
        <v>16.0</v>
      </c>
      <c r="K220" s="129">
        <v>1.0</v>
      </c>
      <c r="L220" s="129">
        <v>30.0</v>
      </c>
      <c r="M220" s="128" t="s">
        <v>534</v>
      </c>
      <c r="N220" s="129">
        <v>-3.0</v>
      </c>
      <c r="O220" s="128"/>
      <c r="P220" s="129">
        <v>30.0</v>
      </c>
      <c r="Q220" s="128" t="s">
        <v>572</v>
      </c>
    </row>
    <row r="221">
      <c r="A221" s="129">
        <v>1219.0</v>
      </c>
      <c r="B221" s="129">
        <v>2018.0</v>
      </c>
      <c r="C221" s="129">
        <v>18.0</v>
      </c>
      <c r="D221" s="129">
        <v>38.1159</v>
      </c>
      <c r="E221" s="129">
        <v>-121.647</v>
      </c>
      <c r="F221" s="128" t="s">
        <v>984</v>
      </c>
      <c r="G221" s="128" t="s">
        <v>533</v>
      </c>
      <c r="H221" s="128" t="s">
        <v>2157</v>
      </c>
      <c r="I221" s="128" t="s">
        <v>2158</v>
      </c>
      <c r="J221" s="129">
        <v>16.0</v>
      </c>
      <c r="K221" s="129">
        <v>1.0</v>
      </c>
      <c r="L221" s="129">
        <v>30.0</v>
      </c>
      <c r="M221" s="128" t="s">
        <v>534</v>
      </c>
      <c r="N221" s="129">
        <v>-3.0</v>
      </c>
      <c r="O221" s="128"/>
      <c r="P221" s="129">
        <v>30.0</v>
      </c>
      <c r="Q221" s="128" t="s">
        <v>572</v>
      </c>
    </row>
    <row r="222">
      <c r="A222" s="129">
        <v>1223.0</v>
      </c>
      <c r="B222" s="129">
        <v>2018.0</v>
      </c>
      <c r="C222" s="129">
        <v>-7.0</v>
      </c>
      <c r="D222" s="129">
        <v>38.1159</v>
      </c>
      <c r="E222" s="129">
        <v>-121.647</v>
      </c>
      <c r="F222" s="128" t="s">
        <v>984</v>
      </c>
      <c r="G222" s="128" t="s">
        <v>533</v>
      </c>
      <c r="H222" s="128" t="s">
        <v>2165</v>
      </c>
      <c r="I222" s="128" t="s">
        <v>2166</v>
      </c>
      <c r="J222" s="129">
        <v>9.0</v>
      </c>
      <c r="K222" s="129">
        <v>1.0</v>
      </c>
      <c r="L222" s="129">
        <v>30.0</v>
      </c>
      <c r="M222" s="128" t="s">
        <v>534</v>
      </c>
      <c r="N222" s="129">
        <v>-3.0</v>
      </c>
      <c r="O222" s="128"/>
      <c r="P222" s="129">
        <v>30.0</v>
      </c>
      <c r="Q222" s="128" t="s">
        <v>572</v>
      </c>
    </row>
    <row r="223">
      <c r="A223" s="129">
        <v>1224.0</v>
      </c>
      <c r="B223" s="129">
        <v>2018.0</v>
      </c>
      <c r="C223" s="129">
        <v>11.0</v>
      </c>
      <c r="D223" s="129">
        <v>38.1159</v>
      </c>
      <c r="E223" s="129">
        <v>-121.647</v>
      </c>
      <c r="F223" s="128" t="s">
        <v>984</v>
      </c>
      <c r="G223" s="128" t="s">
        <v>533</v>
      </c>
      <c r="H223" s="128" t="s">
        <v>2165</v>
      </c>
      <c r="I223" s="128" t="s">
        <v>2166</v>
      </c>
      <c r="J223" s="129">
        <v>9.0</v>
      </c>
      <c r="K223" s="129">
        <v>1.0</v>
      </c>
      <c r="L223" s="129">
        <v>30.0</v>
      </c>
      <c r="M223" s="128" t="s">
        <v>534</v>
      </c>
      <c r="N223" s="129">
        <v>-3.0</v>
      </c>
      <c r="O223" s="128"/>
      <c r="P223" s="129">
        <v>30.0</v>
      </c>
      <c r="Q223" s="128" t="s">
        <v>572</v>
      </c>
    </row>
    <row r="224">
      <c r="A224" s="129">
        <v>1228.0</v>
      </c>
      <c r="B224" s="129">
        <v>2018.0</v>
      </c>
      <c r="C224" s="129">
        <v>-9.0</v>
      </c>
      <c r="D224" s="129">
        <v>38.1159</v>
      </c>
      <c r="E224" s="129">
        <v>-121.647</v>
      </c>
      <c r="F224" s="128" t="s">
        <v>984</v>
      </c>
      <c r="G224" s="128" t="s">
        <v>533</v>
      </c>
      <c r="H224" s="128" t="s">
        <v>2167</v>
      </c>
      <c r="I224" s="128" t="s">
        <v>2168</v>
      </c>
      <c r="J224" s="129">
        <v>17.0</v>
      </c>
      <c r="K224" s="129">
        <v>1.0</v>
      </c>
      <c r="L224" s="129">
        <v>30.0</v>
      </c>
      <c r="M224" s="128" t="s">
        <v>534</v>
      </c>
      <c r="N224" s="129">
        <v>-3.0</v>
      </c>
      <c r="O224" s="128"/>
      <c r="P224" s="129">
        <v>30.0</v>
      </c>
      <c r="Q224" s="128" t="s">
        <v>572</v>
      </c>
    </row>
    <row r="225">
      <c r="A225" s="129">
        <v>1229.0</v>
      </c>
      <c r="B225" s="129">
        <v>2018.0</v>
      </c>
      <c r="C225" s="129">
        <v>8.0</v>
      </c>
      <c r="D225" s="129">
        <v>38.1159</v>
      </c>
      <c r="E225" s="129">
        <v>-121.647</v>
      </c>
      <c r="F225" s="128" t="s">
        <v>984</v>
      </c>
      <c r="G225" s="128" t="s">
        <v>533</v>
      </c>
      <c r="H225" s="128" t="s">
        <v>2167</v>
      </c>
      <c r="I225" s="128" t="s">
        <v>2168</v>
      </c>
      <c r="J225" s="129">
        <v>17.0</v>
      </c>
      <c r="K225" s="129">
        <v>1.0</v>
      </c>
      <c r="L225" s="129">
        <v>30.0</v>
      </c>
      <c r="M225" s="128" t="s">
        <v>534</v>
      </c>
      <c r="N225" s="129">
        <v>-3.0</v>
      </c>
      <c r="O225" s="128"/>
      <c r="P225" s="129">
        <v>30.0</v>
      </c>
      <c r="Q225" s="128" t="s">
        <v>572</v>
      </c>
    </row>
    <row r="226">
      <c r="A226" s="129">
        <v>1222.0</v>
      </c>
      <c r="B226" s="129">
        <v>2018.0</v>
      </c>
      <c r="C226" s="129">
        <v>-1.0</v>
      </c>
      <c r="D226" s="129">
        <v>38.1159</v>
      </c>
      <c r="E226" s="129">
        <v>-121.647</v>
      </c>
      <c r="F226" s="128" t="s">
        <v>2164</v>
      </c>
      <c r="G226" s="128" t="s">
        <v>533</v>
      </c>
      <c r="H226" s="128" t="s">
        <v>2157</v>
      </c>
      <c r="I226" s="128" t="s">
        <v>2158</v>
      </c>
      <c r="J226" s="129">
        <v>16.0</v>
      </c>
      <c r="K226" s="129">
        <v>1.0</v>
      </c>
      <c r="L226" s="129">
        <v>30.0</v>
      </c>
      <c r="M226" s="128" t="s">
        <v>534</v>
      </c>
      <c r="N226" s="129">
        <v>-3.0</v>
      </c>
      <c r="O226" s="128"/>
      <c r="P226" s="129">
        <v>30.0</v>
      </c>
      <c r="Q226" s="128" t="s">
        <v>572</v>
      </c>
    </row>
    <row r="227">
      <c r="A227" s="129">
        <v>1227.0</v>
      </c>
      <c r="B227" s="129">
        <v>2018.0</v>
      </c>
      <c r="C227" s="129">
        <v>-14.0</v>
      </c>
      <c r="D227" s="129">
        <v>38.1159</v>
      </c>
      <c r="E227" s="129">
        <v>-121.647</v>
      </c>
      <c r="F227" s="128" t="s">
        <v>2164</v>
      </c>
      <c r="G227" s="128" t="s">
        <v>533</v>
      </c>
      <c r="H227" s="128" t="s">
        <v>2165</v>
      </c>
      <c r="I227" s="128" t="s">
        <v>2166</v>
      </c>
      <c r="J227" s="129">
        <v>9.0</v>
      </c>
      <c r="K227" s="129">
        <v>1.0</v>
      </c>
      <c r="L227" s="129">
        <v>30.0</v>
      </c>
      <c r="M227" s="128" t="s">
        <v>534</v>
      </c>
      <c r="N227" s="129">
        <v>-3.0</v>
      </c>
      <c r="O227" s="128"/>
      <c r="P227" s="129">
        <v>30.0</v>
      </c>
      <c r="Q227" s="128" t="s">
        <v>572</v>
      </c>
    </row>
    <row r="228">
      <c r="A228" s="129">
        <v>1232.0</v>
      </c>
      <c r="B228" s="129">
        <v>2018.0</v>
      </c>
      <c r="C228" s="129">
        <v>-10.0</v>
      </c>
      <c r="D228" s="129">
        <v>38.1159</v>
      </c>
      <c r="E228" s="129">
        <v>-121.647</v>
      </c>
      <c r="F228" s="128" t="s">
        <v>2164</v>
      </c>
      <c r="G228" s="128" t="s">
        <v>533</v>
      </c>
      <c r="H228" s="128" t="s">
        <v>2167</v>
      </c>
      <c r="I228" s="128" t="s">
        <v>2168</v>
      </c>
      <c r="J228" s="129">
        <v>17.0</v>
      </c>
      <c r="K228" s="129">
        <v>1.0</v>
      </c>
      <c r="L228" s="129">
        <v>30.0</v>
      </c>
      <c r="M228" s="128" t="s">
        <v>534</v>
      </c>
      <c r="N228" s="129">
        <v>-3.0</v>
      </c>
      <c r="O228" s="128"/>
      <c r="P228" s="129">
        <v>30.0</v>
      </c>
      <c r="Q228" s="128" t="s">
        <v>572</v>
      </c>
    </row>
    <row r="229">
      <c r="A229" s="129">
        <v>1220.0</v>
      </c>
      <c r="B229" s="129">
        <v>2018.0</v>
      </c>
      <c r="C229" s="129">
        <v>-25.0</v>
      </c>
      <c r="D229" s="129">
        <v>38.1159</v>
      </c>
      <c r="E229" s="129">
        <v>-121.647</v>
      </c>
      <c r="F229" s="128" t="s">
        <v>2162</v>
      </c>
      <c r="G229" s="128" t="s">
        <v>533</v>
      </c>
      <c r="H229" s="128" t="s">
        <v>2157</v>
      </c>
      <c r="I229" s="128" t="s">
        <v>2158</v>
      </c>
      <c r="J229" s="129">
        <v>16.0</v>
      </c>
      <c r="K229" s="129">
        <v>1.0</v>
      </c>
      <c r="L229" s="129">
        <v>30.0</v>
      </c>
      <c r="M229" s="128" t="s">
        <v>534</v>
      </c>
      <c r="N229" s="129">
        <v>-3.0</v>
      </c>
      <c r="O229" s="128"/>
      <c r="P229" s="129">
        <v>30.0</v>
      </c>
      <c r="Q229" s="128" t="s">
        <v>572</v>
      </c>
    </row>
    <row r="230">
      <c r="A230" s="129">
        <v>1225.0</v>
      </c>
      <c r="B230" s="129">
        <v>2018.0</v>
      </c>
      <c r="C230" s="129">
        <v>-29.0</v>
      </c>
      <c r="D230" s="129">
        <v>38.1159</v>
      </c>
      <c r="E230" s="129">
        <v>-121.647</v>
      </c>
      <c r="F230" s="128" t="s">
        <v>2162</v>
      </c>
      <c r="G230" s="128" t="s">
        <v>533</v>
      </c>
      <c r="H230" s="128" t="s">
        <v>2165</v>
      </c>
      <c r="I230" s="128" t="s">
        <v>2166</v>
      </c>
      <c r="J230" s="129">
        <v>9.0</v>
      </c>
      <c r="K230" s="129">
        <v>1.0</v>
      </c>
      <c r="L230" s="129">
        <v>30.0</v>
      </c>
      <c r="M230" s="128" t="s">
        <v>534</v>
      </c>
      <c r="N230" s="129">
        <v>-3.0</v>
      </c>
      <c r="O230" s="128"/>
      <c r="P230" s="129">
        <v>30.0</v>
      </c>
      <c r="Q230" s="128" t="s">
        <v>572</v>
      </c>
    </row>
    <row r="231">
      <c r="A231" s="129">
        <v>1230.0</v>
      </c>
      <c r="B231" s="129">
        <v>2018.0</v>
      </c>
      <c r="C231" s="129">
        <v>-28.0</v>
      </c>
      <c r="D231" s="129">
        <v>38.1159</v>
      </c>
      <c r="E231" s="129">
        <v>-121.647</v>
      </c>
      <c r="F231" s="128" t="s">
        <v>2162</v>
      </c>
      <c r="G231" s="128" t="s">
        <v>533</v>
      </c>
      <c r="H231" s="128" t="s">
        <v>2167</v>
      </c>
      <c r="I231" s="128" t="s">
        <v>2168</v>
      </c>
      <c r="J231" s="129">
        <v>17.0</v>
      </c>
      <c r="K231" s="129">
        <v>1.0</v>
      </c>
      <c r="L231" s="129">
        <v>30.0</v>
      </c>
      <c r="M231" s="128" t="s">
        <v>534</v>
      </c>
      <c r="N231" s="129">
        <v>-3.0</v>
      </c>
      <c r="O231" s="128"/>
      <c r="P231" s="129">
        <v>30.0</v>
      </c>
      <c r="Q231" s="128" t="s">
        <v>572</v>
      </c>
    </row>
    <row r="232">
      <c r="A232" s="129">
        <v>1221.0</v>
      </c>
      <c r="B232" s="129">
        <v>2018.0</v>
      </c>
      <c r="C232" s="129">
        <v>-4.0</v>
      </c>
      <c r="D232" s="129">
        <v>38.1159</v>
      </c>
      <c r="E232" s="129">
        <v>-121.647</v>
      </c>
      <c r="F232" s="128" t="s">
        <v>2163</v>
      </c>
      <c r="G232" s="128" t="s">
        <v>533</v>
      </c>
      <c r="H232" s="128" t="s">
        <v>2157</v>
      </c>
      <c r="I232" s="128" t="s">
        <v>2158</v>
      </c>
      <c r="J232" s="129">
        <v>16.0</v>
      </c>
      <c r="K232" s="129">
        <v>1.0</v>
      </c>
      <c r="L232" s="129">
        <v>30.0</v>
      </c>
      <c r="M232" s="128" t="s">
        <v>534</v>
      </c>
      <c r="N232" s="129">
        <v>-3.0</v>
      </c>
      <c r="O232" s="128"/>
      <c r="P232" s="129">
        <v>30.0</v>
      </c>
      <c r="Q232" s="128" t="s">
        <v>572</v>
      </c>
    </row>
    <row r="233">
      <c r="A233" s="129">
        <v>1226.0</v>
      </c>
      <c r="B233" s="129">
        <v>2018.0</v>
      </c>
      <c r="C233" s="129">
        <v>-4.0</v>
      </c>
      <c r="D233" s="129">
        <v>38.1159</v>
      </c>
      <c r="E233" s="129">
        <v>-121.647</v>
      </c>
      <c r="F233" s="128" t="s">
        <v>2163</v>
      </c>
      <c r="G233" s="128" t="s">
        <v>533</v>
      </c>
      <c r="H233" s="128" t="s">
        <v>2165</v>
      </c>
      <c r="I233" s="128" t="s">
        <v>2166</v>
      </c>
      <c r="J233" s="129">
        <v>9.0</v>
      </c>
      <c r="K233" s="129">
        <v>1.0</v>
      </c>
      <c r="L233" s="129">
        <v>30.0</v>
      </c>
      <c r="M233" s="128" t="s">
        <v>534</v>
      </c>
      <c r="N233" s="129">
        <v>-3.0</v>
      </c>
      <c r="O233" s="128"/>
      <c r="P233" s="129">
        <v>30.0</v>
      </c>
      <c r="Q233" s="128" t="s">
        <v>572</v>
      </c>
    </row>
    <row r="234">
      <c r="A234" s="129">
        <v>1231.0</v>
      </c>
      <c r="B234" s="129">
        <v>2018.0</v>
      </c>
      <c r="C234" s="129">
        <v>-9.0</v>
      </c>
      <c r="D234" s="129">
        <v>38.1159</v>
      </c>
      <c r="E234" s="129">
        <v>-121.647</v>
      </c>
      <c r="F234" s="128" t="s">
        <v>2169</v>
      </c>
      <c r="G234" s="128" t="s">
        <v>533</v>
      </c>
      <c r="H234" s="128" t="s">
        <v>2167</v>
      </c>
      <c r="I234" s="128" t="s">
        <v>2168</v>
      </c>
      <c r="J234" s="129">
        <v>17.0</v>
      </c>
      <c r="K234" s="129">
        <v>1.0</v>
      </c>
      <c r="L234" s="129">
        <v>30.0</v>
      </c>
      <c r="M234" s="128" t="s">
        <v>534</v>
      </c>
      <c r="N234" s="129">
        <v>-3.0</v>
      </c>
      <c r="O234" s="128"/>
      <c r="P234" s="129">
        <v>30.0</v>
      </c>
      <c r="Q234" s="128" t="s">
        <v>572</v>
      </c>
    </row>
    <row r="235">
      <c r="A235" s="129">
        <v>1188.0</v>
      </c>
      <c r="B235" s="129">
        <v>2020.0</v>
      </c>
      <c r="C235" s="129">
        <v>10.3</v>
      </c>
      <c r="D235" s="129">
        <v>38.1847</v>
      </c>
      <c r="E235" s="129">
        <v>-84.9033</v>
      </c>
      <c r="F235" s="128" t="s">
        <v>802</v>
      </c>
      <c r="G235" s="128" t="s">
        <v>2097</v>
      </c>
      <c r="H235" s="128" t="s">
        <v>818</v>
      </c>
      <c r="I235" s="128" t="s">
        <v>2096</v>
      </c>
      <c r="J235" s="128"/>
      <c r="K235" s="129">
        <v>1.0</v>
      </c>
      <c r="L235" s="128"/>
      <c r="M235" s="128" t="s">
        <v>2097</v>
      </c>
      <c r="N235" s="129">
        <v>234.0</v>
      </c>
      <c r="O235" s="128"/>
      <c r="P235" s="128"/>
      <c r="Q235" s="128" t="s">
        <v>572</v>
      </c>
    </row>
    <row r="236">
      <c r="A236" s="129">
        <v>1626.0</v>
      </c>
      <c r="B236" s="129">
        <v>2014.0</v>
      </c>
      <c r="C236" s="129">
        <v>11.4</v>
      </c>
      <c r="D236" s="129">
        <v>38.24046</v>
      </c>
      <c r="E236" s="129">
        <v>-7.4304</v>
      </c>
      <c r="F236" s="128" t="s">
        <v>2662</v>
      </c>
      <c r="G236" s="128" t="s">
        <v>1646</v>
      </c>
      <c r="H236" s="128" t="s">
        <v>2658</v>
      </c>
      <c r="I236" s="128" t="s">
        <v>2659</v>
      </c>
      <c r="J236" s="129">
        <v>12.0</v>
      </c>
      <c r="K236" s="129">
        <v>1.0</v>
      </c>
      <c r="L236" s="129">
        <v>30.0</v>
      </c>
      <c r="M236" s="128" t="s">
        <v>1647</v>
      </c>
      <c r="N236" s="129">
        <v>125.0</v>
      </c>
      <c r="O236" s="128"/>
      <c r="P236" s="129">
        <v>30.0</v>
      </c>
      <c r="Q236" s="128" t="s">
        <v>572</v>
      </c>
    </row>
    <row r="237">
      <c r="A237" s="129">
        <v>884.0</v>
      </c>
      <c r="B237" s="129">
        <v>2016.0</v>
      </c>
      <c r="C237" s="129">
        <v>18.0</v>
      </c>
      <c r="D237" s="129">
        <v>38.4309</v>
      </c>
      <c r="E237" s="129">
        <v>-120.966</v>
      </c>
      <c r="F237" s="128" t="s">
        <v>802</v>
      </c>
      <c r="G237" s="128" t="s">
        <v>309</v>
      </c>
      <c r="H237" s="128" t="s">
        <v>317</v>
      </c>
      <c r="I237" s="128" t="s">
        <v>1510</v>
      </c>
      <c r="J237" s="129">
        <v>36.0</v>
      </c>
      <c r="K237" s="129">
        <v>1.0</v>
      </c>
      <c r="L237" s="129">
        <v>1000.0</v>
      </c>
      <c r="M237" s="128" t="s">
        <v>310</v>
      </c>
      <c r="N237" s="129">
        <v>171.0</v>
      </c>
      <c r="O237" s="128"/>
      <c r="P237" s="129">
        <v>1000.0</v>
      </c>
      <c r="Q237" s="128" t="s">
        <v>572</v>
      </c>
    </row>
    <row r="238">
      <c r="A238" s="129">
        <v>1431.0</v>
      </c>
      <c r="B238" s="129">
        <v>2018.0</v>
      </c>
      <c r="C238" s="129">
        <v>179.0</v>
      </c>
      <c r="D238" s="129">
        <v>38.4316</v>
      </c>
      <c r="E238" s="129">
        <v>-120.966</v>
      </c>
      <c r="F238" s="128" t="s">
        <v>936</v>
      </c>
      <c r="G238" s="128" t="s">
        <v>309</v>
      </c>
      <c r="H238" s="128"/>
      <c r="I238" s="128"/>
      <c r="J238" s="129">
        <v>109.0</v>
      </c>
      <c r="K238" s="129">
        <v>1.0</v>
      </c>
      <c r="L238" s="129">
        <v>1000.0</v>
      </c>
      <c r="M238" s="128" t="s">
        <v>310</v>
      </c>
      <c r="N238" s="129">
        <v>170.0</v>
      </c>
      <c r="O238" s="128"/>
      <c r="P238" s="129">
        <v>1000.0</v>
      </c>
      <c r="Q238" s="128" t="s">
        <v>572</v>
      </c>
    </row>
    <row r="239">
      <c r="A239" s="129">
        <v>1418.0</v>
      </c>
      <c r="B239" s="129">
        <v>2018.0</v>
      </c>
      <c r="C239" s="129">
        <v>80.0</v>
      </c>
      <c r="D239" s="129">
        <v>38.4316</v>
      </c>
      <c r="E239" s="129">
        <v>-120.966</v>
      </c>
      <c r="F239" s="128" t="s">
        <v>2481</v>
      </c>
      <c r="G239" s="128" t="s">
        <v>309</v>
      </c>
      <c r="H239" s="128"/>
      <c r="I239" s="128"/>
      <c r="J239" s="129">
        <v>109.0</v>
      </c>
      <c r="K239" s="129">
        <v>1.0</v>
      </c>
      <c r="L239" s="129">
        <v>1000.0</v>
      </c>
      <c r="M239" s="128" t="s">
        <v>310</v>
      </c>
      <c r="N239" s="129">
        <v>170.0</v>
      </c>
      <c r="O239" s="128"/>
      <c r="P239" s="129">
        <v>1000.0</v>
      </c>
      <c r="Q239" s="128" t="s">
        <v>572</v>
      </c>
    </row>
    <row r="240">
      <c r="A240" s="129">
        <v>1281.0</v>
      </c>
      <c r="B240" s="129">
        <v>2021.0</v>
      </c>
      <c r="C240" s="129">
        <v>11.98</v>
      </c>
      <c r="D240" s="129">
        <v>38.44544</v>
      </c>
      <c r="E240" s="129">
        <v>109.4674</v>
      </c>
      <c r="F240" s="128" t="s">
        <v>571</v>
      </c>
      <c r="G240" s="128" t="s">
        <v>2303</v>
      </c>
      <c r="H240" s="128" t="s">
        <v>2302</v>
      </c>
      <c r="I240" s="128" t="s">
        <v>2302</v>
      </c>
      <c r="J240" s="129">
        <v>1.0</v>
      </c>
      <c r="K240" s="129">
        <v>1.0</v>
      </c>
      <c r="L240" s="129">
        <v>30.0</v>
      </c>
      <c r="M240" s="128" t="s">
        <v>2304</v>
      </c>
      <c r="N240" s="129">
        <v>1236.0</v>
      </c>
      <c r="O240" s="128"/>
      <c r="P240" s="129">
        <v>30.0</v>
      </c>
      <c r="Q240" s="128" t="s">
        <v>572</v>
      </c>
    </row>
    <row r="241">
      <c r="A241" s="129">
        <v>1282.0</v>
      </c>
      <c r="B241" s="129">
        <v>2021.0</v>
      </c>
      <c r="C241" s="129">
        <v>32.9</v>
      </c>
      <c r="D241" s="129">
        <v>38.44544</v>
      </c>
      <c r="E241" s="129">
        <v>109.4674</v>
      </c>
      <c r="F241" s="128" t="s">
        <v>571</v>
      </c>
      <c r="G241" s="128" t="s">
        <v>2303</v>
      </c>
      <c r="H241" s="128" t="s">
        <v>2302</v>
      </c>
      <c r="I241" s="128" t="s">
        <v>2302</v>
      </c>
      <c r="J241" s="129">
        <v>1.0</v>
      </c>
      <c r="K241" s="129">
        <v>1.0</v>
      </c>
      <c r="L241" s="129">
        <v>500.0</v>
      </c>
      <c r="M241" s="128" t="s">
        <v>2304</v>
      </c>
      <c r="N241" s="129">
        <v>1236.0</v>
      </c>
      <c r="O241" s="128"/>
      <c r="P241" s="129">
        <v>500.0</v>
      </c>
      <c r="Q241" s="128" t="s">
        <v>572</v>
      </c>
    </row>
    <row r="242">
      <c r="A242" s="129">
        <v>1283.0</v>
      </c>
      <c r="B242" s="129">
        <v>2021.0</v>
      </c>
      <c r="C242" s="129">
        <v>3.6</v>
      </c>
      <c r="D242" s="129">
        <v>38.44544</v>
      </c>
      <c r="E242" s="129">
        <v>109.4674</v>
      </c>
      <c r="F242" s="128" t="s">
        <v>571</v>
      </c>
      <c r="G242" s="128" t="s">
        <v>2303</v>
      </c>
      <c r="H242" s="128" t="s">
        <v>2302</v>
      </c>
      <c r="I242" s="128" t="s">
        <v>2302</v>
      </c>
      <c r="J242" s="129">
        <v>1.0</v>
      </c>
      <c r="K242" s="129">
        <v>1.0</v>
      </c>
      <c r="L242" s="129">
        <v>1100.0</v>
      </c>
      <c r="M242" s="128" t="s">
        <v>2304</v>
      </c>
      <c r="N242" s="129">
        <v>1236.0</v>
      </c>
      <c r="O242" s="128"/>
      <c r="P242" s="129">
        <v>1100.0</v>
      </c>
      <c r="Q242" s="128" t="s">
        <v>572</v>
      </c>
    </row>
    <row r="243">
      <c r="A243" s="129">
        <v>1154.0</v>
      </c>
      <c r="B243" s="129">
        <v>2015.0</v>
      </c>
      <c r="C243" s="129">
        <v>14.9</v>
      </c>
      <c r="D243" s="129">
        <v>38.6</v>
      </c>
      <c r="E243" s="129">
        <v>100.22</v>
      </c>
      <c r="F243" s="128" t="s">
        <v>1996</v>
      </c>
      <c r="G243" s="128" t="s">
        <v>1994</v>
      </c>
      <c r="H243" s="128" t="s">
        <v>1644</v>
      </c>
      <c r="I243" s="128" t="s">
        <v>1993</v>
      </c>
      <c r="J243" s="129">
        <v>189.0</v>
      </c>
      <c r="K243" s="129">
        <v>21.0</v>
      </c>
      <c r="L243" s="128"/>
      <c r="M243" s="128"/>
      <c r="N243" s="129">
        <v>2971.0</v>
      </c>
      <c r="O243" s="128"/>
      <c r="P243" s="129">
        <v>90.0</v>
      </c>
      <c r="Q243" s="128" t="s">
        <v>572</v>
      </c>
    </row>
    <row r="244">
      <c r="A244" s="129">
        <v>1153.0</v>
      </c>
      <c r="B244" s="129">
        <v>2015.0</v>
      </c>
      <c r="C244" s="129">
        <v>20.6</v>
      </c>
      <c r="D244" s="129">
        <v>38.6</v>
      </c>
      <c r="E244" s="129">
        <v>100.22</v>
      </c>
      <c r="F244" s="128" t="s">
        <v>936</v>
      </c>
      <c r="G244" s="128" t="s">
        <v>1994</v>
      </c>
      <c r="H244" s="128" t="s">
        <v>1644</v>
      </c>
      <c r="I244" s="128" t="s">
        <v>1993</v>
      </c>
      <c r="J244" s="129">
        <v>189.0</v>
      </c>
      <c r="K244" s="129">
        <v>21.0</v>
      </c>
      <c r="L244" s="128"/>
      <c r="M244" s="128"/>
      <c r="N244" s="129">
        <v>2971.0</v>
      </c>
      <c r="O244" s="128"/>
      <c r="P244" s="129">
        <v>90.0</v>
      </c>
      <c r="Q244" s="128" t="s">
        <v>572</v>
      </c>
    </row>
    <row r="245">
      <c r="A245" s="129">
        <v>1187.0</v>
      </c>
      <c r="B245" s="129">
        <v>2016.0</v>
      </c>
      <c r="C245" s="129">
        <v>-76.6</v>
      </c>
      <c r="D245" s="129">
        <v>38.789</v>
      </c>
      <c r="E245" s="129">
        <v>100.493</v>
      </c>
      <c r="F245" s="128" t="s">
        <v>2079</v>
      </c>
      <c r="G245" s="128" t="s">
        <v>666</v>
      </c>
      <c r="H245" s="128" t="s">
        <v>651</v>
      </c>
      <c r="I245" s="128" t="s">
        <v>652</v>
      </c>
      <c r="J245" s="128"/>
      <c r="K245" s="129">
        <v>1.0</v>
      </c>
      <c r="L245" s="128"/>
      <c r="M245" s="128" t="s">
        <v>2091</v>
      </c>
      <c r="N245" s="129">
        <v>1548.0</v>
      </c>
      <c r="O245" s="128"/>
      <c r="P245" s="129">
        <v>1000.0</v>
      </c>
      <c r="Q245" s="128" t="s">
        <v>572</v>
      </c>
    </row>
    <row r="246">
      <c r="A246" s="129">
        <v>1184.0</v>
      </c>
      <c r="B246" s="129">
        <v>2016.0</v>
      </c>
      <c r="C246" s="129">
        <v>-62.5</v>
      </c>
      <c r="D246" s="129">
        <v>38.845</v>
      </c>
      <c r="E246" s="129">
        <v>100.37</v>
      </c>
      <c r="F246" s="128" t="s">
        <v>2079</v>
      </c>
      <c r="G246" s="128" t="s">
        <v>2084</v>
      </c>
      <c r="H246" s="128" t="s">
        <v>651</v>
      </c>
      <c r="I246" s="128" t="s">
        <v>652</v>
      </c>
      <c r="J246" s="128"/>
      <c r="K246" s="129">
        <v>1.0</v>
      </c>
      <c r="L246" s="128"/>
      <c r="M246" s="128" t="s">
        <v>2085</v>
      </c>
      <c r="N246" s="129">
        <v>1563.0</v>
      </c>
      <c r="O246" s="128"/>
      <c r="P246" s="129">
        <v>1000.0</v>
      </c>
      <c r="Q246" s="128" t="s">
        <v>572</v>
      </c>
    </row>
    <row r="247">
      <c r="A247" s="129">
        <v>1623.0</v>
      </c>
      <c r="B247" s="129">
        <v>2021.0</v>
      </c>
      <c r="C247" s="129">
        <v>3.2</v>
      </c>
      <c r="D247" s="129">
        <v>38.85</v>
      </c>
      <c r="E247" s="129">
        <v>100.37</v>
      </c>
      <c r="F247" s="128" t="s">
        <v>2650</v>
      </c>
      <c r="G247" s="128" t="s">
        <v>905</v>
      </c>
      <c r="H247" s="128"/>
      <c r="I247" s="128"/>
      <c r="J247" s="128"/>
      <c r="K247" s="129">
        <v>1.0</v>
      </c>
      <c r="L247" s="129">
        <v>1000.0</v>
      </c>
      <c r="M247" s="128" t="s">
        <v>905</v>
      </c>
      <c r="N247" s="129">
        <v>1566.0</v>
      </c>
      <c r="O247" s="128"/>
      <c r="P247" s="128"/>
      <c r="Q247" s="128" t="s">
        <v>572</v>
      </c>
    </row>
    <row r="248">
      <c r="A248" s="129">
        <v>2147.0</v>
      </c>
      <c r="B248" s="129">
        <v>2016.0</v>
      </c>
      <c r="C248" s="129">
        <v>-10.71</v>
      </c>
      <c r="D248" s="129">
        <v>38.86</v>
      </c>
      <c r="E248" s="129">
        <v>100.37</v>
      </c>
      <c r="F248" s="128" t="s">
        <v>3053</v>
      </c>
      <c r="G248" s="128" t="s">
        <v>3058</v>
      </c>
      <c r="H248" s="128" t="s">
        <v>3049</v>
      </c>
      <c r="I248" s="128" t="s">
        <v>255</v>
      </c>
      <c r="J248" s="129">
        <v>10.0</v>
      </c>
      <c r="K248" s="129">
        <v>1.0</v>
      </c>
      <c r="L248" s="129">
        <v>300.0</v>
      </c>
      <c r="M248" s="128" t="s">
        <v>3059</v>
      </c>
      <c r="N248" s="129">
        <v>1561.0</v>
      </c>
      <c r="O248" s="128"/>
      <c r="P248" s="129">
        <v>300.0</v>
      </c>
      <c r="Q248" s="128" t="s">
        <v>572</v>
      </c>
    </row>
    <row r="249">
      <c r="A249" s="129">
        <v>2148.0</v>
      </c>
      <c r="B249" s="129">
        <v>2016.0</v>
      </c>
      <c r="C249" s="129">
        <v>-10.03</v>
      </c>
      <c r="D249" s="129">
        <v>38.86</v>
      </c>
      <c r="E249" s="129">
        <v>100.37</v>
      </c>
      <c r="F249" s="128" t="s">
        <v>3056</v>
      </c>
      <c r="G249" s="128" t="s">
        <v>3058</v>
      </c>
      <c r="H249" s="128" t="s">
        <v>3049</v>
      </c>
      <c r="I249" s="128" t="s">
        <v>255</v>
      </c>
      <c r="J249" s="129">
        <v>10.0</v>
      </c>
      <c r="K249" s="129">
        <v>1.0</v>
      </c>
      <c r="L249" s="129">
        <v>300.0</v>
      </c>
      <c r="M249" s="128" t="s">
        <v>3059</v>
      </c>
      <c r="N249" s="129">
        <v>1561.0</v>
      </c>
      <c r="O249" s="128"/>
      <c r="P249" s="129">
        <v>300.0</v>
      </c>
      <c r="Q249" s="128" t="s">
        <v>572</v>
      </c>
    </row>
    <row r="250">
      <c r="A250" s="129">
        <v>2149.0</v>
      </c>
      <c r="B250" s="129">
        <v>2016.0</v>
      </c>
      <c r="C250" s="129">
        <v>-10.07</v>
      </c>
      <c r="D250" s="129">
        <v>38.86</v>
      </c>
      <c r="E250" s="129">
        <v>100.37</v>
      </c>
      <c r="F250" s="128" t="s">
        <v>3057</v>
      </c>
      <c r="G250" s="128" t="s">
        <v>3058</v>
      </c>
      <c r="H250" s="128" t="s">
        <v>3049</v>
      </c>
      <c r="I250" s="128" t="s">
        <v>255</v>
      </c>
      <c r="J250" s="129">
        <v>10.0</v>
      </c>
      <c r="K250" s="129">
        <v>1.0</v>
      </c>
      <c r="L250" s="129">
        <v>300.0</v>
      </c>
      <c r="M250" s="128" t="s">
        <v>3059</v>
      </c>
      <c r="N250" s="129">
        <v>1561.0</v>
      </c>
      <c r="O250" s="128"/>
      <c r="P250" s="129">
        <v>300.0</v>
      </c>
      <c r="Q250" s="128" t="s">
        <v>572</v>
      </c>
    </row>
    <row r="251">
      <c r="A251" s="129">
        <v>2150.0</v>
      </c>
      <c r="B251" s="129">
        <v>2016.0</v>
      </c>
      <c r="C251" s="129">
        <v>-4.31</v>
      </c>
      <c r="D251" s="129">
        <v>38.87</v>
      </c>
      <c r="E251" s="129">
        <v>100.34</v>
      </c>
      <c r="F251" s="128" t="s">
        <v>3053</v>
      </c>
      <c r="G251" s="128" t="s">
        <v>3060</v>
      </c>
      <c r="H251" s="128" t="s">
        <v>3049</v>
      </c>
      <c r="I251" s="128" t="s">
        <v>255</v>
      </c>
      <c r="J251" s="129">
        <v>11.0</v>
      </c>
      <c r="K251" s="129">
        <v>1.0</v>
      </c>
      <c r="L251" s="129">
        <v>300.0</v>
      </c>
      <c r="M251" s="128" t="s">
        <v>3061</v>
      </c>
      <c r="N251" s="129">
        <v>1580.0</v>
      </c>
      <c r="O251" s="128"/>
      <c r="P251" s="129">
        <v>300.0</v>
      </c>
      <c r="Q251" s="128" t="s">
        <v>572</v>
      </c>
    </row>
    <row r="252">
      <c r="A252" s="129">
        <v>2151.0</v>
      </c>
      <c r="B252" s="129">
        <v>2016.0</v>
      </c>
      <c r="C252" s="129">
        <v>-5.96</v>
      </c>
      <c r="D252" s="129">
        <v>38.87</v>
      </c>
      <c r="E252" s="129">
        <v>100.34</v>
      </c>
      <c r="F252" s="128" t="s">
        <v>3056</v>
      </c>
      <c r="G252" s="128" t="s">
        <v>3060</v>
      </c>
      <c r="H252" s="128" t="s">
        <v>3049</v>
      </c>
      <c r="I252" s="128" t="s">
        <v>255</v>
      </c>
      <c r="J252" s="129">
        <v>11.0</v>
      </c>
      <c r="K252" s="129">
        <v>1.0</v>
      </c>
      <c r="L252" s="129">
        <v>300.0</v>
      </c>
      <c r="M252" s="128" t="s">
        <v>3061</v>
      </c>
      <c r="N252" s="129">
        <v>1580.0</v>
      </c>
      <c r="O252" s="128"/>
      <c r="P252" s="129">
        <v>300.0</v>
      </c>
      <c r="Q252" s="128" t="s">
        <v>572</v>
      </c>
    </row>
    <row r="253">
      <c r="A253" s="129">
        <v>2152.0</v>
      </c>
      <c r="B253" s="129">
        <v>2016.0</v>
      </c>
      <c r="C253" s="129">
        <v>-5.91</v>
      </c>
      <c r="D253" s="129">
        <v>38.87</v>
      </c>
      <c r="E253" s="129">
        <v>100.34</v>
      </c>
      <c r="F253" s="128" t="s">
        <v>3057</v>
      </c>
      <c r="G253" s="128" t="s">
        <v>3060</v>
      </c>
      <c r="H253" s="128" t="s">
        <v>3049</v>
      </c>
      <c r="I253" s="128" t="s">
        <v>255</v>
      </c>
      <c r="J253" s="129">
        <v>11.0</v>
      </c>
      <c r="K253" s="129">
        <v>1.0</v>
      </c>
      <c r="L253" s="129">
        <v>300.0</v>
      </c>
      <c r="M253" s="128" t="s">
        <v>3061</v>
      </c>
      <c r="N253" s="129">
        <v>1580.0</v>
      </c>
      <c r="O253" s="128"/>
      <c r="P253" s="129">
        <v>300.0</v>
      </c>
      <c r="Q253" s="128" t="s">
        <v>572</v>
      </c>
    </row>
    <row r="254">
      <c r="A254" s="129">
        <v>1620.0</v>
      </c>
      <c r="B254" s="129">
        <v>2021.0</v>
      </c>
      <c r="C254" s="129">
        <v>45.5</v>
      </c>
      <c r="D254" s="129">
        <v>38.875</v>
      </c>
      <c r="E254" s="129">
        <v>100.375</v>
      </c>
      <c r="F254" s="128" t="s">
        <v>2650</v>
      </c>
      <c r="G254" s="128" t="s">
        <v>5989</v>
      </c>
      <c r="J254" s="128"/>
      <c r="K254" s="129">
        <v>1.0</v>
      </c>
      <c r="L254" s="129">
        <v>1000.0</v>
      </c>
      <c r="M254" s="128" t="s">
        <v>257</v>
      </c>
      <c r="N254" s="129">
        <v>1554.0</v>
      </c>
      <c r="O254" s="128"/>
      <c r="P254" s="128"/>
      <c r="Q254" s="128" t="s">
        <v>572</v>
      </c>
    </row>
    <row r="255">
      <c r="A255" s="129">
        <v>602.0</v>
      </c>
      <c r="B255" s="129">
        <v>2017.0</v>
      </c>
      <c r="C255" s="129">
        <v>-12.02</v>
      </c>
      <c r="D255" s="129">
        <v>38.875</v>
      </c>
      <c r="E255" s="129">
        <v>100.375</v>
      </c>
      <c r="F255" s="128" t="s">
        <v>984</v>
      </c>
      <c r="G255" s="128" t="s">
        <v>5989</v>
      </c>
      <c r="H255" s="128" t="s">
        <v>1156</v>
      </c>
      <c r="I255" s="128" t="s">
        <v>1157</v>
      </c>
      <c r="J255" s="129">
        <v>5.0</v>
      </c>
      <c r="K255" s="129">
        <v>1.0</v>
      </c>
      <c r="L255" s="128" t="s">
        <v>1146</v>
      </c>
      <c r="M255" s="128" t="s">
        <v>257</v>
      </c>
      <c r="N255" s="129">
        <v>1554.0</v>
      </c>
      <c r="O255" s="128" t="s">
        <v>1148</v>
      </c>
      <c r="P255" s="129">
        <v>30.0</v>
      </c>
      <c r="Q255" s="128" t="s">
        <v>572</v>
      </c>
    </row>
    <row r="256">
      <c r="A256" s="129">
        <v>608.0</v>
      </c>
      <c r="B256" s="129">
        <v>2017.0</v>
      </c>
      <c r="C256" s="129">
        <v>-14.25</v>
      </c>
      <c r="D256" s="129">
        <v>38.875</v>
      </c>
      <c r="E256" s="129">
        <v>100.375</v>
      </c>
      <c r="F256" s="128" t="s">
        <v>984</v>
      </c>
      <c r="G256" s="128" t="s">
        <v>5989</v>
      </c>
      <c r="H256" s="128" t="s">
        <v>1156</v>
      </c>
      <c r="I256" s="128" t="s">
        <v>1157</v>
      </c>
      <c r="J256" s="129">
        <v>5.0</v>
      </c>
      <c r="K256" s="129">
        <v>1.0</v>
      </c>
      <c r="L256" s="128" t="s">
        <v>1146</v>
      </c>
      <c r="M256" s="128" t="s">
        <v>257</v>
      </c>
      <c r="N256" s="129">
        <v>1554.0</v>
      </c>
      <c r="O256" s="128" t="s">
        <v>1148</v>
      </c>
      <c r="P256" s="129">
        <v>30.0</v>
      </c>
      <c r="Q256" s="128" t="s">
        <v>572</v>
      </c>
    </row>
    <row r="257">
      <c r="A257" s="129">
        <v>1524.0</v>
      </c>
      <c r="B257" s="129">
        <v>2016.0</v>
      </c>
      <c r="C257" s="129">
        <v>89.4</v>
      </c>
      <c r="D257" s="129">
        <v>38.875</v>
      </c>
      <c r="E257" s="129">
        <v>100.375</v>
      </c>
      <c r="F257" s="128" t="s">
        <v>984</v>
      </c>
      <c r="G257" s="128" t="s">
        <v>5989</v>
      </c>
      <c r="H257" s="128" t="s">
        <v>2137</v>
      </c>
      <c r="I257" s="128" t="s">
        <v>2587</v>
      </c>
      <c r="J257" s="129">
        <v>1.0</v>
      </c>
      <c r="K257" s="129">
        <v>1.0</v>
      </c>
      <c r="L257" s="129">
        <v>30.0</v>
      </c>
      <c r="M257" s="128" t="s">
        <v>257</v>
      </c>
      <c r="N257" s="129">
        <v>1554.0</v>
      </c>
      <c r="O257" s="128"/>
      <c r="P257" s="129">
        <v>30.0</v>
      </c>
      <c r="Q257" s="128" t="s">
        <v>572</v>
      </c>
    </row>
    <row r="258">
      <c r="A258" s="129">
        <v>1525.0</v>
      </c>
      <c r="B258" s="129">
        <v>2016.0</v>
      </c>
      <c r="C258" s="129">
        <v>68.7</v>
      </c>
      <c r="D258" s="129">
        <v>38.875</v>
      </c>
      <c r="E258" s="129">
        <v>100.375</v>
      </c>
      <c r="F258" s="128" t="s">
        <v>984</v>
      </c>
      <c r="G258" s="128" t="s">
        <v>5989</v>
      </c>
      <c r="H258" s="128" t="s">
        <v>2591</v>
      </c>
      <c r="I258" s="128" t="s">
        <v>2592</v>
      </c>
      <c r="J258" s="129">
        <v>1.0</v>
      </c>
      <c r="K258" s="129">
        <v>1.0</v>
      </c>
      <c r="L258" s="129">
        <v>30.0</v>
      </c>
      <c r="M258" s="128" t="s">
        <v>257</v>
      </c>
      <c r="N258" s="129">
        <v>1554.0</v>
      </c>
      <c r="O258" s="128"/>
      <c r="P258" s="129">
        <v>30.0</v>
      </c>
      <c r="Q258" s="128" t="s">
        <v>572</v>
      </c>
    </row>
    <row r="259">
      <c r="A259" s="129">
        <v>1526.0</v>
      </c>
      <c r="B259" s="129">
        <v>2016.0</v>
      </c>
      <c r="C259" s="129">
        <v>10.5</v>
      </c>
      <c r="D259" s="129">
        <v>38.875</v>
      </c>
      <c r="E259" s="129">
        <v>100.375</v>
      </c>
      <c r="F259" s="128" t="s">
        <v>984</v>
      </c>
      <c r="G259" s="128" t="s">
        <v>5989</v>
      </c>
      <c r="H259" s="128" t="s">
        <v>2593</v>
      </c>
      <c r="I259" s="128" t="s">
        <v>2594</v>
      </c>
      <c r="J259" s="129">
        <v>1.0</v>
      </c>
      <c r="K259" s="129">
        <v>1.0</v>
      </c>
      <c r="L259" s="129">
        <v>30.0</v>
      </c>
      <c r="M259" s="128" t="s">
        <v>257</v>
      </c>
      <c r="N259" s="129">
        <v>1554.0</v>
      </c>
      <c r="O259" s="128"/>
      <c r="P259" s="129">
        <v>30.0</v>
      </c>
      <c r="Q259" s="128" t="s">
        <v>572</v>
      </c>
    </row>
    <row r="260">
      <c r="A260" s="129">
        <v>1527.0</v>
      </c>
      <c r="B260" s="129">
        <v>2016.0</v>
      </c>
      <c r="C260" s="129">
        <v>12.4</v>
      </c>
      <c r="D260" s="129">
        <v>38.875</v>
      </c>
      <c r="E260" s="129">
        <v>100.375</v>
      </c>
      <c r="F260" s="128" t="s">
        <v>984</v>
      </c>
      <c r="G260" s="128" t="s">
        <v>5989</v>
      </c>
      <c r="H260" s="128" t="s">
        <v>2219</v>
      </c>
      <c r="I260" s="128" t="s">
        <v>2595</v>
      </c>
      <c r="J260" s="129">
        <v>1.0</v>
      </c>
      <c r="K260" s="129">
        <v>1.0</v>
      </c>
      <c r="L260" s="129">
        <v>30.0</v>
      </c>
      <c r="M260" s="128" t="s">
        <v>257</v>
      </c>
      <c r="N260" s="129">
        <v>1554.0</v>
      </c>
      <c r="O260" s="128"/>
      <c r="P260" s="129">
        <v>30.0</v>
      </c>
      <c r="Q260" s="128" t="s">
        <v>572</v>
      </c>
    </row>
    <row r="261">
      <c r="A261" s="129">
        <v>1528.0</v>
      </c>
      <c r="B261" s="129">
        <v>2016.0</v>
      </c>
      <c r="C261" s="129">
        <v>-0.3</v>
      </c>
      <c r="D261" s="129">
        <v>38.875</v>
      </c>
      <c r="E261" s="129">
        <v>100.375</v>
      </c>
      <c r="F261" s="128" t="s">
        <v>984</v>
      </c>
      <c r="G261" s="128" t="s">
        <v>5989</v>
      </c>
      <c r="H261" s="128" t="s">
        <v>2596</v>
      </c>
      <c r="I261" s="128" t="s">
        <v>2597</v>
      </c>
      <c r="J261" s="129">
        <v>1.0</v>
      </c>
      <c r="K261" s="129">
        <v>1.0</v>
      </c>
      <c r="L261" s="129">
        <v>30.0</v>
      </c>
      <c r="M261" s="128" t="s">
        <v>257</v>
      </c>
      <c r="N261" s="129">
        <v>1554.0</v>
      </c>
      <c r="O261" s="128"/>
      <c r="P261" s="129">
        <v>30.0</v>
      </c>
      <c r="Q261" s="128" t="s">
        <v>572</v>
      </c>
    </row>
    <row r="262">
      <c r="A262" s="129">
        <v>1529.0</v>
      </c>
      <c r="B262" s="129">
        <v>2016.0</v>
      </c>
      <c r="C262" s="129">
        <v>16.0</v>
      </c>
      <c r="D262" s="129">
        <v>38.875</v>
      </c>
      <c r="E262" s="129">
        <v>100.375</v>
      </c>
      <c r="F262" s="128" t="s">
        <v>984</v>
      </c>
      <c r="G262" s="128" t="s">
        <v>5989</v>
      </c>
      <c r="H262" s="128" t="s">
        <v>2598</v>
      </c>
      <c r="I262" s="128" t="s">
        <v>2599</v>
      </c>
      <c r="J262" s="129">
        <v>1.0</v>
      </c>
      <c r="K262" s="129">
        <v>1.0</v>
      </c>
      <c r="L262" s="129">
        <v>30.0</v>
      </c>
      <c r="M262" s="128" t="s">
        <v>257</v>
      </c>
      <c r="N262" s="129">
        <v>1554.0</v>
      </c>
      <c r="O262" s="128"/>
      <c r="P262" s="129">
        <v>30.0</v>
      </c>
      <c r="Q262" s="128" t="s">
        <v>572</v>
      </c>
    </row>
    <row r="263">
      <c r="A263" s="129">
        <v>1530.0</v>
      </c>
      <c r="B263" s="129">
        <v>2016.0</v>
      </c>
      <c r="C263" s="129">
        <v>18.2</v>
      </c>
      <c r="D263" s="129">
        <v>38.875</v>
      </c>
      <c r="E263" s="129">
        <v>100.375</v>
      </c>
      <c r="F263" s="128" t="s">
        <v>984</v>
      </c>
      <c r="G263" s="128" t="s">
        <v>5989</v>
      </c>
      <c r="H263" s="128" t="s">
        <v>2137</v>
      </c>
      <c r="I263" s="128" t="s">
        <v>2599</v>
      </c>
      <c r="J263" s="129">
        <v>6.0</v>
      </c>
      <c r="K263" s="129">
        <v>1.0</v>
      </c>
      <c r="L263" s="129">
        <v>30.0</v>
      </c>
      <c r="M263" s="128" t="s">
        <v>257</v>
      </c>
      <c r="N263" s="129">
        <v>1554.0</v>
      </c>
      <c r="O263" s="128"/>
      <c r="P263" s="129">
        <v>30.0</v>
      </c>
      <c r="Q263" s="128" t="s">
        <v>572</v>
      </c>
    </row>
    <row r="264">
      <c r="A264" s="129">
        <v>1566.0</v>
      </c>
      <c r="B264" s="129">
        <v>2016.0</v>
      </c>
      <c r="C264" s="129">
        <v>114.6</v>
      </c>
      <c r="D264" s="129">
        <v>38.875</v>
      </c>
      <c r="E264" s="129">
        <v>100.375</v>
      </c>
      <c r="F264" s="128" t="s">
        <v>2350</v>
      </c>
      <c r="G264" s="128" t="s">
        <v>5989</v>
      </c>
      <c r="H264" s="128" t="s">
        <v>2137</v>
      </c>
      <c r="I264" s="128" t="s">
        <v>2587</v>
      </c>
      <c r="J264" s="129">
        <v>1.0</v>
      </c>
      <c r="K264" s="129">
        <v>1.0</v>
      </c>
      <c r="L264" s="129">
        <v>30.0</v>
      </c>
      <c r="M264" s="128" t="s">
        <v>257</v>
      </c>
      <c r="N264" s="129">
        <v>1554.0</v>
      </c>
      <c r="O264" s="128"/>
      <c r="P264" s="129">
        <v>30.0</v>
      </c>
      <c r="Q264" s="128" t="s">
        <v>572</v>
      </c>
    </row>
    <row r="265">
      <c r="A265" s="129">
        <v>1567.0</v>
      </c>
      <c r="B265" s="129">
        <v>2016.0</v>
      </c>
      <c r="C265" s="129">
        <v>46.7</v>
      </c>
      <c r="D265" s="129">
        <v>38.875</v>
      </c>
      <c r="E265" s="129">
        <v>100.375</v>
      </c>
      <c r="F265" s="128" t="s">
        <v>2350</v>
      </c>
      <c r="G265" s="128" t="s">
        <v>5989</v>
      </c>
      <c r="H265" s="128" t="s">
        <v>2591</v>
      </c>
      <c r="I265" s="128" t="s">
        <v>2592</v>
      </c>
      <c r="J265" s="129">
        <v>1.0</v>
      </c>
      <c r="K265" s="129">
        <v>1.0</v>
      </c>
      <c r="L265" s="129">
        <v>30.0</v>
      </c>
      <c r="M265" s="128" t="s">
        <v>257</v>
      </c>
      <c r="N265" s="129">
        <v>1554.0</v>
      </c>
      <c r="O265" s="128"/>
      <c r="P265" s="129">
        <v>30.0</v>
      </c>
      <c r="Q265" s="128" t="s">
        <v>572</v>
      </c>
    </row>
    <row r="266">
      <c r="A266" s="129">
        <v>1568.0</v>
      </c>
      <c r="B266" s="129">
        <v>2016.0</v>
      </c>
      <c r="C266" s="129">
        <v>-3.8</v>
      </c>
      <c r="D266" s="129">
        <v>38.875</v>
      </c>
      <c r="E266" s="129">
        <v>100.375</v>
      </c>
      <c r="F266" s="128" t="s">
        <v>2350</v>
      </c>
      <c r="G266" s="128" t="s">
        <v>5989</v>
      </c>
      <c r="H266" s="128" t="s">
        <v>2593</v>
      </c>
      <c r="I266" s="128" t="s">
        <v>2594</v>
      </c>
      <c r="J266" s="129">
        <v>1.0</v>
      </c>
      <c r="K266" s="129">
        <v>1.0</v>
      </c>
      <c r="L266" s="129">
        <v>30.0</v>
      </c>
      <c r="M266" s="128" t="s">
        <v>257</v>
      </c>
      <c r="N266" s="129">
        <v>1554.0</v>
      </c>
      <c r="O266" s="128"/>
      <c r="P266" s="129">
        <v>30.0</v>
      </c>
      <c r="Q266" s="128" t="s">
        <v>572</v>
      </c>
    </row>
    <row r="267">
      <c r="A267" s="129">
        <v>1569.0</v>
      </c>
      <c r="B267" s="129">
        <v>2016.0</v>
      </c>
      <c r="C267" s="129">
        <v>4.4</v>
      </c>
      <c r="D267" s="129">
        <v>38.875</v>
      </c>
      <c r="E267" s="129">
        <v>100.375</v>
      </c>
      <c r="F267" s="128" t="s">
        <v>2350</v>
      </c>
      <c r="G267" s="128" t="s">
        <v>5989</v>
      </c>
      <c r="H267" s="128" t="s">
        <v>2219</v>
      </c>
      <c r="I267" s="128" t="s">
        <v>2595</v>
      </c>
      <c r="J267" s="129">
        <v>1.0</v>
      </c>
      <c r="K267" s="129">
        <v>1.0</v>
      </c>
      <c r="L267" s="129">
        <v>30.0</v>
      </c>
      <c r="M267" s="128" t="s">
        <v>257</v>
      </c>
      <c r="N267" s="129">
        <v>1554.0</v>
      </c>
      <c r="O267" s="128"/>
      <c r="P267" s="129">
        <v>30.0</v>
      </c>
      <c r="Q267" s="128" t="s">
        <v>572</v>
      </c>
    </row>
    <row r="268">
      <c r="A268" s="129">
        <v>1570.0</v>
      </c>
      <c r="B268" s="129">
        <v>2016.0</v>
      </c>
      <c r="C268" s="129">
        <v>-9.7</v>
      </c>
      <c r="D268" s="129">
        <v>38.875</v>
      </c>
      <c r="E268" s="129">
        <v>100.375</v>
      </c>
      <c r="F268" s="128" t="s">
        <v>2350</v>
      </c>
      <c r="G268" s="128" t="s">
        <v>5989</v>
      </c>
      <c r="H268" s="128" t="s">
        <v>2596</v>
      </c>
      <c r="I268" s="128" t="s">
        <v>2597</v>
      </c>
      <c r="J268" s="129">
        <v>1.0</v>
      </c>
      <c r="K268" s="129">
        <v>1.0</v>
      </c>
      <c r="L268" s="129">
        <v>30.0</v>
      </c>
      <c r="M268" s="128" t="s">
        <v>257</v>
      </c>
      <c r="N268" s="129">
        <v>1554.0</v>
      </c>
      <c r="O268" s="128"/>
      <c r="P268" s="129">
        <v>30.0</v>
      </c>
      <c r="Q268" s="128" t="s">
        <v>572</v>
      </c>
    </row>
    <row r="269">
      <c r="A269" s="129">
        <v>1571.0</v>
      </c>
      <c r="B269" s="129">
        <v>2016.0</v>
      </c>
      <c r="C269" s="129">
        <v>-0.9</v>
      </c>
      <c r="D269" s="129">
        <v>38.875</v>
      </c>
      <c r="E269" s="129">
        <v>100.375</v>
      </c>
      <c r="F269" s="128" t="s">
        <v>2350</v>
      </c>
      <c r="G269" s="128" t="s">
        <v>5989</v>
      </c>
      <c r="H269" s="128" t="s">
        <v>2598</v>
      </c>
      <c r="I269" s="128" t="s">
        <v>2599</v>
      </c>
      <c r="J269" s="129">
        <v>1.0</v>
      </c>
      <c r="K269" s="129">
        <v>1.0</v>
      </c>
      <c r="L269" s="129">
        <v>30.0</v>
      </c>
      <c r="M269" s="128" t="s">
        <v>257</v>
      </c>
      <c r="N269" s="129">
        <v>1554.0</v>
      </c>
      <c r="O269" s="128"/>
      <c r="P269" s="129">
        <v>30.0</v>
      </c>
      <c r="Q269" s="128" t="s">
        <v>572</v>
      </c>
    </row>
    <row r="270">
      <c r="A270" s="129">
        <v>1572.0</v>
      </c>
      <c r="B270" s="129">
        <v>2016.0</v>
      </c>
      <c r="C270" s="129">
        <v>6.3</v>
      </c>
      <c r="D270" s="129">
        <v>38.875</v>
      </c>
      <c r="E270" s="129">
        <v>100.375</v>
      </c>
      <c r="F270" s="128" t="s">
        <v>2350</v>
      </c>
      <c r="G270" s="128" t="s">
        <v>5989</v>
      </c>
      <c r="H270" s="128" t="s">
        <v>2137</v>
      </c>
      <c r="I270" s="128" t="s">
        <v>2599</v>
      </c>
      <c r="J270" s="129">
        <v>6.0</v>
      </c>
      <c r="K270" s="129">
        <v>1.0</v>
      </c>
      <c r="L270" s="129">
        <v>30.0</v>
      </c>
      <c r="M270" s="128" t="s">
        <v>257</v>
      </c>
      <c r="N270" s="129">
        <v>1554.0</v>
      </c>
      <c r="O270" s="128"/>
      <c r="P270" s="129">
        <v>30.0</v>
      </c>
      <c r="Q270" s="128" t="s">
        <v>572</v>
      </c>
    </row>
    <row r="271">
      <c r="A271" s="129">
        <v>293.0</v>
      </c>
      <c r="B271" s="129">
        <v>2021.0</v>
      </c>
      <c r="C271" s="129">
        <v>0.59</v>
      </c>
      <c r="D271" s="129">
        <v>38.875</v>
      </c>
      <c r="E271" s="129">
        <v>100.375</v>
      </c>
      <c r="F271" s="128" t="s">
        <v>802</v>
      </c>
      <c r="G271" s="128" t="s">
        <v>5989</v>
      </c>
      <c r="H271" s="128" t="s">
        <v>167</v>
      </c>
      <c r="I271" s="128" t="s">
        <v>168</v>
      </c>
      <c r="J271" s="129">
        <v>1460.0</v>
      </c>
      <c r="K271" s="129">
        <v>1.0</v>
      </c>
      <c r="L271" s="129">
        <v>500.0</v>
      </c>
      <c r="M271" s="128" t="s">
        <v>257</v>
      </c>
      <c r="N271" s="129">
        <v>1554.0</v>
      </c>
      <c r="O271" s="128"/>
      <c r="P271" s="129">
        <v>500.0</v>
      </c>
      <c r="Q271" s="128" t="s">
        <v>572</v>
      </c>
    </row>
    <row r="272">
      <c r="A272" s="129">
        <v>295.0</v>
      </c>
      <c r="B272" s="129">
        <v>2021.0</v>
      </c>
      <c r="C272" s="129">
        <v>0.53</v>
      </c>
      <c r="D272" s="129">
        <v>38.875</v>
      </c>
      <c r="E272" s="129">
        <v>100.375</v>
      </c>
      <c r="F272" s="128" t="s">
        <v>802</v>
      </c>
      <c r="G272" s="128" t="s">
        <v>5989</v>
      </c>
      <c r="H272" s="128" t="s">
        <v>167</v>
      </c>
      <c r="I272" s="128" t="s">
        <v>168</v>
      </c>
      <c r="J272" s="129">
        <v>1460.0</v>
      </c>
      <c r="K272" s="129">
        <v>1.0</v>
      </c>
      <c r="L272" s="129">
        <v>500.0</v>
      </c>
      <c r="M272" s="128" t="s">
        <v>257</v>
      </c>
      <c r="N272" s="129">
        <v>1554.0</v>
      </c>
      <c r="O272" s="128"/>
      <c r="P272" s="129">
        <v>500.0</v>
      </c>
      <c r="Q272" s="128" t="s">
        <v>572</v>
      </c>
    </row>
    <row r="273">
      <c r="A273" s="129">
        <v>301.0</v>
      </c>
      <c r="B273" s="129">
        <v>2021.0</v>
      </c>
      <c r="C273" s="129">
        <v>-28.0</v>
      </c>
      <c r="D273" s="129">
        <v>38.875</v>
      </c>
      <c r="E273" s="129">
        <v>100.375</v>
      </c>
      <c r="F273" s="128" t="s">
        <v>802</v>
      </c>
      <c r="G273" s="128" t="s">
        <v>5989</v>
      </c>
      <c r="H273" s="128" t="s">
        <v>167</v>
      </c>
      <c r="I273" s="128" t="s">
        <v>168</v>
      </c>
      <c r="J273" s="129">
        <v>488.0</v>
      </c>
      <c r="K273" s="129">
        <v>1.0</v>
      </c>
      <c r="L273" s="129">
        <v>500.0</v>
      </c>
      <c r="M273" s="128" t="s">
        <v>257</v>
      </c>
      <c r="N273" s="129">
        <v>1554.0</v>
      </c>
      <c r="O273" s="128"/>
      <c r="P273" s="129">
        <v>500.0</v>
      </c>
      <c r="Q273" s="128" t="s">
        <v>572</v>
      </c>
    </row>
    <row r="274">
      <c r="A274" s="129">
        <v>302.0</v>
      </c>
      <c r="B274" s="129">
        <v>2021.0</v>
      </c>
      <c r="C274" s="129">
        <v>6.7</v>
      </c>
      <c r="D274" s="129">
        <v>38.875</v>
      </c>
      <c r="E274" s="129">
        <v>100.375</v>
      </c>
      <c r="F274" s="128" t="s">
        <v>802</v>
      </c>
      <c r="G274" s="128" t="s">
        <v>5989</v>
      </c>
      <c r="H274" s="128" t="s">
        <v>167</v>
      </c>
      <c r="I274" s="128" t="s">
        <v>168</v>
      </c>
      <c r="J274" s="129">
        <v>124.0</v>
      </c>
      <c r="K274" s="129">
        <v>1.0</v>
      </c>
      <c r="L274" s="129">
        <v>500.0</v>
      </c>
      <c r="M274" s="128" t="s">
        <v>257</v>
      </c>
      <c r="N274" s="129">
        <v>1554.0</v>
      </c>
      <c r="O274" s="128"/>
      <c r="P274" s="129">
        <v>500.0</v>
      </c>
      <c r="Q274" s="128" t="s">
        <v>572</v>
      </c>
    </row>
    <row r="275">
      <c r="A275" s="129">
        <v>303.0</v>
      </c>
      <c r="B275" s="129">
        <v>2021.0</v>
      </c>
      <c r="C275" s="129">
        <v>19.4</v>
      </c>
      <c r="D275" s="129">
        <v>38.875</v>
      </c>
      <c r="E275" s="129">
        <v>100.375</v>
      </c>
      <c r="F275" s="128" t="s">
        <v>802</v>
      </c>
      <c r="G275" s="128" t="s">
        <v>5989</v>
      </c>
      <c r="H275" s="128" t="s">
        <v>167</v>
      </c>
      <c r="I275" s="128" t="s">
        <v>168</v>
      </c>
      <c r="J275" s="129">
        <v>244.0</v>
      </c>
      <c r="K275" s="129">
        <v>1.0</v>
      </c>
      <c r="L275" s="129">
        <v>500.0</v>
      </c>
      <c r="M275" s="128" t="s">
        <v>257</v>
      </c>
      <c r="N275" s="129">
        <v>1554.0</v>
      </c>
      <c r="O275" s="128"/>
      <c r="P275" s="129">
        <v>500.0</v>
      </c>
      <c r="Q275" s="128" t="s">
        <v>572</v>
      </c>
    </row>
    <row r="276">
      <c r="A276" s="129">
        <v>304.0</v>
      </c>
      <c r="B276" s="129">
        <v>2021.0</v>
      </c>
      <c r="C276" s="129">
        <v>-5.3</v>
      </c>
      <c r="D276" s="129">
        <v>38.875</v>
      </c>
      <c r="E276" s="129">
        <v>100.375</v>
      </c>
      <c r="F276" s="128" t="s">
        <v>802</v>
      </c>
      <c r="G276" s="128" t="s">
        <v>5989</v>
      </c>
      <c r="H276" s="128" t="s">
        <v>167</v>
      </c>
      <c r="I276" s="128" t="s">
        <v>168</v>
      </c>
      <c r="J276" s="129">
        <v>364.0</v>
      </c>
      <c r="K276" s="129">
        <v>1.0</v>
      </c>
      <c r="L276" s="129">
        <v>500.0</v>
      </c>
      <c r="M276" s="128" t="s">
        <v>257</v>
      </c>
      <c r="N276" s="129">
        <v>1554.0</v>
      </c>
      <c r="O276" s="128"/>
      <c r="P276" s="129">
        <v>500.0</v>
      </c>
      <c r="Q276" s="128" t="s">
        <v>572</v>
      </c>
    </row>
    <row r="277">
      <c r="A277" s="129">
        <v>305.0</v>
      </c>
      <c r="B277" s="129">
        <v>2021.0</v>
      </c>
      <c r="C277" s="129">
        <v>12.8</v>
      </c>
      <c r="D277" s="129">
        <v>38.875</v>
      </c>
      <c r="E277" s="129">
        <v>100.375</v>
      </c>
      <c r="F277" s="128" t="s">
        <v>802</v>
      </c>
      <c r="G277" s="128" t="s">
        <v>5989</v>
      </c>
      <c r="H277" s="128" t="s">
        <v>167</v>
      </c>
      <c r="I277" s="128" t="s">
        <v>168</v>
      </c>
      <c r="J277" s="129">
        <v>244.0</v>
      </c>
      <c r="K277" s="129">
        <v>1.0</v>
      </c>
      <c r="L277" s="129">
        <v>500.0</v>
      </c>
      <c r="M277" s="128" t="s">
        <v>257</v>
      </c>
      <c r="N277" s="129">
        <v>1554.0</v>
      </c>
      <c r="O277" s="128"/>
      <c r="P277" s="129">
        <v>500.0</v>
      </c>
      <c r="Q277" s="128" t="s">
        <v>572</v>
      </c>
    </row>
    <row r="278">
      <c r="A278" s="129">
        <v>306.0</v>
      </c>
      <c r="B278" s="129">
        <v>2021.0</v>
      </c>
      <c r="C278" s="129">
        <v>70.3</v>
      </c>
      <c r="D278" s="129">
        <v>38.875</v>
      </c>
      <c r="E278" s="129">
        <v>100.375</v>
      </c>
      <c r="F278" s="128" t="s">
        <v>802</v>
      </c>
      <c r="G278" s="128" t="s">
        <v>5989</v>
      </c>
      <c r="H278" s="128" t="s">
        <v>167</v>
      </c>
      <c r="I278" s="128" t="s">
        <v>168</v>
      </c>
      <c r="J278" s="129">
        <v>488.0</v>
      </c>
      <c r="K278" s="129">
        <v>1.0</v>
      </c>
      <c r="L278" s="129">
        <v>500.0</v>
      </c>
      <c r="M278" s="128" t="s">
        <v>257</v>
      </c>
      <c r="N278" s="129">
        <v>1554.0</v>
      </c>
      <c r="O278" s="128"/>
      <c r="P278" s="129">
        <v>500.0</v>
      </c>
      <c r="Q278" s="128" t="s">
        <v>572</v>
      </c>
    </row>
    <row r="279">
      <c r="A279" s="129">
        <v>307.0</v>
      </c>
      <c r="B279" s="129">
        <v>2021.0</v>
      </c>
      <c r="C279" s="129">
        <v>85.4</v>
      </c>
      <c r="D279" s="129">
        <v>38.875</v>
      </c>
      <c r="E279" s="129">
        <v>100.375</v>
      </c>
      <c r="F279" s="128" t="s">
        <v>802</v>
      </c>
      <c r="G279" s="128" t="s">
        <v>5989</v>
      </c>
      <c r="H279" s="128" t="s">
        <v>167</v>
      </c>
      <c r="I279" s="128" t="s">
        <v>168</v>
      </c>
      <c r="J279" s="129">
        <v>124.0</v>
      </c>
      <c r="K279" s="129">
        <v>1.0</v>
      </c>
      <c r="L279" s="129">
        <v>500.0</v>
      </c>
      <c r="M279" s="128" t="s">
        <v>257</v>
      </c>
      <c r="N279" s="129">
        <v>1554.0</v>
      </c>
      <c r="O279" s="128"/>
      <c r="P279" s="129">
        <v>500.0</v>
      </c>
      <c r="Q279" s="128" t="s">
        <v>572</v>
      </c>
    </row>
    <row r="280">
      <c r="A280" s="129">
        <v>308.0</v>
      </c>
      <c r="B280" s="129">
        <v>2021.0</v>
      </c>
      <c r="C280" s="129">
        <v>41.5</v>
      </c>
      <c r="D280" s="129">
        <v>38.875</v>
      </c>
      <c r="E280" s="129">
        <v>100.375</v>
      </c>
      <c r="F280" s="128" t="s">
        <v>802</v>
      </c>
      <c r="G280" s="128" t="s">
        <v>5989</v>
      </c>
      <c r="H280" s="128" t="s">
        <v>167</v>
      </c>
      <c r="I280" s="128" t="s">
        <v>168</v>
      </c>
      <c r="J280" s="129">
        <v>244.0</v>
      </c>
      <c r="K280" s="129">
        <v>1.0</v>
      </c>
      <c r="L280" s="129">
        <v>500.0</v>
      </c>
      <c r="M280" s="128" t="s">
        <v>257</v>
      </c>
      <c r="N280" s="129">
        <v>1554.0</v>
      </c>
      <c r="O280" s="128"/>
      <c r="P280" s="129">
        <v>500.0</v>
      </c>
      <c r="Q280" s="128" t="s">
        <v>572</v>
      </c>
    </row>
    <row r="281">
      <c r="A281" s="129">
        <v>309.0</v>
      </c>
      <c r="B281" s="129">
        <v>2021.0</v>
      </c>
      <c r="C281" s="129">
        <v>2.8</v>
      </c>
      <c r="D281" s="129">
        <v>38.875</v>
      </c>
      <c r="E281" s="129">
        <v>100.375</v>
      </c>
      <c r="F281" s="128" t="s">
        <v>802</v>
      </c>
      <c r="G281" s="128" t="s">
        <v>5989</v>
      </c>
      <c r="H281" s="128" t="s">
        <v>167</v>
      </c>
      <c r="I281" s="128" t="s">
        <v>168</v>
      </c>
      <c r="J281" s="129">
        <v>364.0</v>
      </c>
      <c r="K281" s="129">
        <v>1.0</v>
      </c>
      <c r="L281" s="129">
        <v>500.0</v>
      </c>
      <c r="M281" s="128" t="s">
        <v>257</v>
      </c>
      <c r="N281" s="129">
        <v>1554.0</v>
      </c>
      <c r="O281" s="128"/>
      <c r="P281" s="129">
        <v>500.0</v>
      </c>
      <c r="Q281" s="128" t="s">
        <v>572</v>
      </c>
    </row>
    <row r="282">
      <c r="A282" s="129">
        <v>310.0</v>
      </c>
      <c r="B282" s="129">
        <v>2021.0</v>
      </c>
      <c r="C282" s="129">
        <v>38.5</v>
      </c>
      <c r="D282" s="129">
        <v>38.875</v>
      </c>
      <c r="E282" s="129">
        <v>100.375</v>
      </c>
      <c r="F282" s="128" t="s">
        <v>802</v>
      </c>
      <c r="G282" s="128" t="s">
        <v>5989</v>
      </c>
      <c r="H282" s="128" t="s">
        <v>167</v>
      </c>
      <c r="I282" s="128" t="s">
        <v>168</v>
      </c>
      <c r="J282" s="129">
        <v>244.0</v>
      </c>
      <c r="K282" s="129">
        <v>1.0</v>
      </c>
      <c r="L282" s="129">
        <v>500.0</v>
      </c>
      <c r="M282" s="128" t="s">
        <v>257</v>
      </c>
      <c r="N282" s="129">
        <v>1554.0</v>
      </c>
      <c r="O282" s="128"/>
      <c r="P282" s="129">
        <v>500.0</v>
      </c>
      <c r="Q282" s="128" t="s">
        <v>572</v>
      </c>
    </row>
    <row r="283">
      <c r="A283" s="129">
        <v>313.0</v>
      </c>
      <c r="B283" s="129">
        <v>2021.0</v>
      </c>
      <c r="C283" s="129">
        <v>4.4</v>
      </c>
      <c r="D283" s="129">
        <v>38.875</v>
      </c>
      <c r="E283" s="129">
        <v>100.375</v>
      </c>
      <c r="F283" s="128" t="s">
        <v>802</v>
      </c>
      <c r="G283" s="128" t="s">
        <v>5989</v>
      </c>
      <c r="H283" s="128" t="s">
        <v>167</v>
      </c>
      <c r="I283" s="128" t="s">
        <v>168</v>
      </c>
      <c r="J283" s="129">
        <v>805.0</v>
      </c>
      <c r="K283" s="129">
        <v>1.0</v>
      </c>
      <c r="L283" s="129">
        <v>500.0</v>
      </c>
      <c r="M283" s="128" t="s">
        <v>257</v>
      </c>
      <c r="N283" s="129">
        <v>1554.0</v>
      </c>
      <c r="O283" s="128"/>
      <c r="P283" s="129">
        <v>500.0</v>
      </c>
      <c r="Q283" s="128" t="s">
        <v>572</v>
      </c>
    </row>
    <row r="284">
      <c r="A284" s="129">
        <v>314.0</v>
      </c>
      <c r="B284" s="129">
        <v>2021.0</v>
      </c>
      <c r="C284" s="129">
        <v>-6.5</v>
      </c>
      <c r="D284" s="129">
        <v>38.875</v>
      </c>
      <c r="E284" s="129">
        <v>100.375</v>
      </c>
      <c r="F284" s="128" t="s">
        <v>801</v>
      </c>
      <c r="G284" s="128" t="s">
        <v>5989</v>
      </c>
      <c r="H284" s="128" t="s">
        <v>167</v>
      </c>
      <c r="I284" s="128" t="s">
        <v>168</v>
      </c>
      <c r="J284" s="129">
        <v>656.0</v>
      </c>
      <c r="K284" s="129">
        <v>1.0</v>
      </c>
      <c r="L284" s="129">
        <v>500.0</v>
      </c>
      <c r="M284" s="128" t="s">
        <v>257</v>
      </c>
      <c r="N284" s="129">
        <v>1554.0</v>
      </c>
      <c r="O284" s="128"/>
      <c r="P284" s="129">
        <v>500.0</v>
      </c>
      <c r="Q284" s="128" t="s">
        <v>572</v>
      </c>
    </row>
    <row r="285">
      <c r="A285" s="129">
        <v>1185.0</v>
      </c>
      <c r="B285" s="129">
        <v>2016.0</v>
      </c>
      <c r="C285" s="129">
        <v>32.6</v>
      </c>
      <c r="D285" s="129">
        <v>38.878</v>
      </c>
      <c r="E285" s="129">
        <v>100.358</v>
      </c>
      <c r="F285" s="128" t="s">
        <v>2079</v>
      </c>
      <c r="G285" s="128" t="s">
        <v>2086</v>
      </c>
      <c r="H285" s="128" t="s">
        <v>651</v>
      </c>
      <c r="I285" s="128" t="s">
        <v>652</v>
      </c>
      <c r="J285" s="128"/>
      <c r="K285" s="129">
        <v>1.0</v>
      </c>
      <c r="L285" s="128"/>
      <c r="M285" s="128" t="s">
        <v>2087</v>
      </c>
      <c r="N285" s="129">
        <v>1567.0</v>
      </c>
      <c r="O285" s="128"/>
      <c r="P285" s="129">
        <v>1000.0</v>
      </c>
      <c r="Q285" s="128" t="s">
        <v>572</v>
      </c>
    </row>
    <row r="286">
      <c r="A286" s="129">
        <v>2144.0</v>
      </c>
      <c r="B286" s="129">
        <v>2016.0</v>
      </c>
      <c r="C286" s="129">
        <v>32.6</v>
      </c>
      <c r="D286" s="129">
        <v>38.88</v>
      </c>
      <c r="E286" s="129">
        <v>100.36</v>
      </c>
      <c r="F286" s="128" t="s">
        <v>3053</v>
      </c>
      <c r="G286" s="128" t="s">
        <v>3050</v>
      </c>
      <c r="H286" s="128" t="s">
        <v>3049</v>
      </c>
      <c r="I286" s="128" t="s">
        <v>255</v>
      </c>
      <c r="J286" s="129">
        <v>11.0</v>
      </c>
      <c r="K286" s="129">
        <v>1.0</v>
      </c>
      <c r="L286" s="129">
        <v>300.0</v>
      </c>
      <c r="M286" s="128" t="s">
        <v>3051</v>
      </c>
      <c r="N286" s="129">
        <v>1562.0</v>
      </c>
      <c r="O286" s="128"/>
      <c r="P286" s="129">
        <v>300.0</v>
      </c>
      <c r="Q286" s="128" t="s">
        <v>572</v>
      </c>
    </row>
    <row r="287">
      <c r="A287" s="129">
        <v>2145.0</v>
      </c>
      <c r="B287" s="129">
        <v>2016.0</v>
      </c>
      <c r="C287" s="129">
        <v>13.5</v>
      </c>
      <c r="D287" s="129">
        <v>38.88</v>
      </c>
      <c r="E287" s="129">
        <v>100.36</v>
      </c>
      <c r="F287" s="128" t="s">
        <v>3056</v>
      </c>
      <c r="G287" s="128" t="s">
        <v>3050</v>
      </c>
      <c r="H287" s="128" t="s">
        <v>3049</v>
      </c>
      <c r="I287" s="128" t="s">
        <v>255</v>
      </c>
      <c r="J287" s="129">
        <v>11.0</v>
      </c>
      <c r="K287" s="129">
        <v>1.0</v>
      </c>
      <c r="L287" s="129">
        <v>300.0</v>
      </c>
      <c r="M287" s="128" t="s">
        <v>3051</v>
      </c>
      <c r="N287" s="129">
        <v>1562.0</v>
      </c>
      <c r="O287" s="128"/>
      <c r="P287" s="129">
        <v>300.0</v>
      </c>
      <c r="Q287" s="128" t="s">
        <v>572</v>
      </c>
    </row>
    <row r="288">
      <c r="A288" s="129">
        <v>2146.0</v>
      </c>
      <c r="B288" s="129">
        <v>2016.0</v>
      </c>
      <c r="C288" s="129">
        <v>20.8</v>
      </c>
      <c r="D288" s="129">
        <v>38.88</v>
      </c>
      <c r="E288" s="129">
        <v>100.36</v>
      </c>
      <c r="F288" s="128" t="s">
        <v>3057</v>
      </c>
      <c r="G288" s="128" t="s">
        <v>3050</v>
      </c>
      <c r="H288" s="128" t="s">
        <v>3049</v>
      </c>
      <c r="I288" s="128" t="s">
        <v>255</v>
      </c>
      <c r="J288" s="129">
        <v>11.0</v>
      </c>
      <c r="K288" s="129">
        <v>1.0</v>
      </c>
      <c r="L288" s="129">
        <v>300.0</v>
      </c>
      <c r="M288" s="128" t="s">
        <v>3051</v>
      </c>
      <c r="N288" s="129">
        <v>1562.0</v>
      </c>
      <c r="O288" s="128"/>
      <c r="P288" s="129">
        <v>300.0</v>
      </c>
      <c r="Q288" s="128" t="s">
        <v>572</v>
      </c>
    </row>
    <row r="289">
      <c r="A289" s="129">
        <v>1183.0</v>
      </c>
      <c r="B289" s="129">
        <v>2016.0</v>
      </c>
      <c r="C289" s="129">
        <v>-9.7</v>
      </c>
      <c r="D289" s="129">
        <v>38.893</v>
      </c>
      <c r="E289" s="129">
        <v>100.358</v>
      </c>
      <c r="F289" s="128" t="s">
        <v>2079</v>
      </c>
      <c r="G289" s="128" t="s">
        <v>2082</v>
      </c>
      <c r="H289" s="128" t="s">
        <v>651</v>
      </c>
      <c r="I289" s="128" t="s">
        <v>652</v>
      </c>
      <c r="J289" s="128"/>
      <c r="K289" s="129">
        <v>1.0</v>
      </c>
      <c r="L289" s="128"/>
      <c r="M289" s="128" t="s">
        <v>2083</v>
      </c>
      <c r="N289" s="129">
        <v>1557.0</v>
      </c>
      <c r="O289" s="128"/>
      <c r="P289" s="129">
        <v>1000.0</v>
      </c>
      <c r="Q289" s="128" t="s">
        <v>572</v>
      </c>
    </row>
    <row r="290">
      <c r="A290" s="129">
        <v>1186.0</v>
      </c>
      <c r="B290" s="129">
        <v>2016.0</v>
      </c>
      <c r="C290" s="129">
        <v>20.7</v>
      </c>
      <c r="D290" s="129">
        <v>38.915</v>
      </c>
      <c r="E290" s="129">
        <v>100.304</v>
      </c>
      <c r="F290" s="128" t="s">
        <v>2079</v>
      </c>
      <c r="G290" s="128" t="s">
        <v>2089</v>
      </c>
      <c r="H290" s="128" t="s">
        <v>651</v>
      </c>
      <c r="I290" s="128" t="s">
        <v>652</v>
      </c>
      <c r="J290" s="128"/>
      <c r="K290" s="129">
        <v>1.0</v>
      </c>
      <c r="L290" s="128"/>
      <c r="M290" s="128" t="s">
        <v>2090</v>
      </c>
      <c r="N290" s="129">
        <v>1566.0</v>
      </c>
      <c r="O290" s="128"/>
      <c r="P290" s="129">
        <v>1000.0</v>
      </c>
      <c r="Q290" s="128" t="s">
        <v>572</v>
      </c>
    </row>
    <row r="291">
      <c r="A291" s="129">
        <v>1531.0</v>
      </c>
      <c r="B291" s="129">
        <v>2016.0</v>
      </c>
      <c r="C291" s="129">
        <v>95.1</v>
      </c>
      <c r="D291" s="129">
        <v>38.975</v>
      </c>
      <c r="E291" s="129">
        <v>100.446</v>
      </c>
      <c r="F291" s="128" t="s">
        <v>984</v>
      </c>
      <c r="G291" s="128" t="s">
        <v>654</v>
      </c>
      <c r="H291" s="128" t="s">
        <v>2137</v>
      </c>
      <c r="I291" s="128" t="s">
        <v>2587</v>
      </c>
      <c r="J291" s="129">
        <v>1.0</v>
      </c>
      <c r="K291" s="129">
        <v>1.0</v>
      </c>
      <c r="L291" s="129">
        <v>30.0</v>
      </c>
      <c r="M291" s="128" t="s">
        <v>654</v>
      </c>
      <c r="N291" s="129">
        <v>1459.0</v>
      </c>
      <c r="O291" s="128"/>
      <c r="P291" s="129">
        <v>30.0</v>
      </c>
      <c r="Q291" s="128" t="s">
        <v>572</v>
      </c>
    </row>
    <row r="292">
      <c r="A292" s="129">
        <v>1532.0</v>
      </c>
      <c r="B292" s="129">
        <v>2016.0</v>
      </c>
      <c r="C292" s="129">
        <v>54.2</v>
      </c>
      <c r="D292" s="129">
        <v>38.975</v>
      </c>
      <c r="E292" s="129">
        <v>100.446</v>
      </c>
      <c r="F292" s="128" t="s">
        <v>984</v>
      </c>
      <c r="G292" s="128" t="s">
        <v>654</v>
      </c>
      <c r="H292" s="128" t="s">
        <v>2591</v>
      </c>
      <c r="I292" s="128" t="s">
        <v>2592</v>
      </c>
      <c r="J292" s="129">
        <v>1.0</v>
      </c>
      <c r="K292" s="129">
        <v>1.0</v>
      </c>
      <c r="L292" s="129">
        <v>30.0</v>
      </c>
      <c r="M292" s="128" t="s">
        <v>654</v>
      </c>
      <c r="N292" s="129">
        <v>1459.0</v>
      </c>
      <c r="O292" s="128"/>
      <c r="P292" s="129">
        <v>30.0</v>
      </c>
      <c r="Q292" s="128" t="s">
        <v>572</v>
      </c>
    </row>
    <row r="293">
      <c r="A293" s="129">
        <v>1533.0</v>
      </c>
      <c r="B293" s="129">
        <v>2016.0</v>
      </c>
      <c r="C293" s="129">
        <v>-21.0</v>
      </c>
      <c r="D293" s="129">
        <v>38.975</v>
      </c>
      <c r="E293" s="129">
        <v>100.446</v>
      </c>
      <c r="F293" s="128" t="s">
        <v>984</v>
      </c>
      <c r="G293" s="128" t="s">
        <v>654</v>
      </c>
      <c r="H293" s="128" t="s">
        <v>2593</v>
      </c>
      <c r="I293" s="128" t="s">
        <v>2594</v>
      </c>
      <c r="J293" s="129">
        <v>1.0</v>
      </c>
      <c r="K293" s="129">
        <v>1.0</v>
      </c>
      <c r="L293" s="129">
        <v>30.0</v>
      </c>
      <c r="M293" s="128" t="s">
        <v>654</v>
      </c>
      <c r="N293" s="129">
        <v>1459.0</v>
      </c>
      <c r="O293" s="128"/>
      <c r="P293" s="129">
        <v>30.0</v>
      </c>
      <c r="Q293" s="128" t="s">
        <v>572</v>
      </c>
    </row>
    <row r="294">
      <c r="A294" s="129">
        <v>1534.0</v>
      </c>
      <c r="B294" s="129">
        <v>2016.0</v>
      </c>
      <c r="C294" s="129">
        <v>-7.6</v>
      </c>
      <c r="D294" s="129">
        <v>38.975</v>
      </c>
      <c r="E294" s="129">
        <v>100.446</v>
      </c>
      <c r="F294" s="128" t="s">
        <v>984</v>
      </c>
      <c r="G294" s="128" t="s">
        <v>654</v>
      </c>
      <c r="H294" s="128" t="s">
        <v>2219</v>
      </c>
      <c r="I294" s="128" t="s">
        <v>2595</v>
      </c>
      <c r="J294" s="129">
        <v>1.0</v>
      </c>
      <c r="K294" s="129">
        <v>1.0</v>
      </c>
      <c r="L294" s="129">
        <v>30.0</v>
      </c>
      <c r="M294" s="128" t="s">
        <v>654</v>
      </c>
      <c r="N294" s="129">
        <v>1459.0</v>
      </c>
      <c r="O294" s="128"/>
      <c r="P294" s="129">
        <v>30.0</v>
      </c>
      <c r="Q294" s="128" t="s">
        <v>572</v>
      </c>
    </row>
    <row r="295">
      <c r="A295" s="129">
        <v>1535.0</v>
      </c>
      <c r="B295" s="129">
        <v>2016.0</v>
      </c>
      <c r="C295" s="129">
        <v>-8.8</v>
      </c>
      <c r="D295" s="129">
        <v>38.975</v>
      </c>
      <c r="E295" s="129">
        <v>100.446</v>
      </c>
      <c r="F295" s="128" t="s">
        <v>984</v>
      </c>
      <c r="G295" s="128" t="s">
        <v>654</v>
      </c>
      <c r="H295" s="128" t="s">
        <v>2596</v>
      </c>
      <c r="I295" s="128" t="s">
        <v>2597</v>
      </c>
      <c r="J295" s="129">
        <v>1.0</v>
      </c>
      <c r="K295" s="129">
        <v>1.0</v>
      </c>
      <c r="L295" s="129">
        <v>30.0</v>
      </c>
      <c r="M295" s="128" t="s">
        <v>654</v>
      </c>
      <c r="N295" s="129">
        <v>1459.0</v>
      </c>
      <c r="O295" s="128"/>
      <c r="P295" s="129">
        <v>30.0</v>
      </c>
      <c r="Q295" s="128" t="s">
        <v>572</v>
      </c>
    </row>
    <row r="296">
      <c r="A296" s="129">
        <v>1536.0</v>
      </c>
      <c r="B296" s="129">
        <v>2016.0</v>
      </c>
      <c r="C296" s="129">
        <v>-10.9</v>
      </c>
      <c r="D296" s="129">
        <v>38.975</v>
      </c>
      <c r="E296" s="129">
        <v>100.446</v>
      </c>
      <c r="F296" s="128" t="s">
        <v>984</v>
      </c>
      <c r="G296" s="128" t="s">
        <v>654</v>
      </c>
      <c r="H296" s="128" t="s">
        <v>2598</v>
      </c>
      <c r="I296" s="128" t="s">
        <v>2599</v>
      </c>
      <c r="J296" s="129">
        <v>1.0</v>
      </c>
      <c r="K296" s="129">
        <v>1.0</v>
      </c>
      <c r="L296" s="129">
        <v>30.0</v>
      </c>
      <c r="M296" s="128" t="s">
        <v>654</v>
      </c>
      <c r="N296" s="129">
        <v>1459.0</v>
      </c>
      <c r="O296" s="128"/>
      <c r="P296" s="129">
        <v>30.0</v>
      </c>
      <c r="Q296" s="128" t="s">
        <v>572</v>
      </c>
    </row>
    <row r="297">
      <c r="A297" s="129">
        <v>1537.0</v>
      </c>
      <c r="B297" s="129">
        <v>2016.0</v>
      </c>
      <c r="C297" s="129">
        <v>0.4</v>
      </c>
      <c r="D297" s="129">
        <v>38.975</v>
      </c>
      <c r="E297" s="129">
        <v>100.446</v>
      </c>
      <c r="F297" s="128" t="s">
        <v>984</v>
      </c>
      <c r="G297" s="128" t="s">
        <v>654</v>
      </c>
      <c r="H297" s="128" t="s">
        <v>2137</v>
      </c>
      <c r="I297" s="128" t="s">
        <v>2599</v>
      </c>
      <c r="J297" s="129">
        <v>6.0</v>
      </c>
      <c r="K297" s="129">
        <v>1.0</v>
      </c>
      <c r="L297" s="129">
        <v>30.0</v>
      </c>
      <c r="M297" s="128" t="s">
        <v>654</v>
      </c>
      <c r="N297" s="129">
        <v>1459.0</v>
      </c>
      <c r="O297" s="128"/>
      <c r="P297" s="129">
        <v>30.0</v>
      </c>
      <c r="Q297" s="128" t="s">
        <v>572</v>
      </c>
    </row>
    <row r="298">
      <c r="A298" s="129">
        <v>1182.0</v>
      </c>
      <c r="B298" s="129">
        <v>2016.0</v>
      </c>
      <c r="C298" s="129">
        <v>-16.8</v>
      </c>
      <c r="D298" s="129">
        <v>38.975</v>
      </c>
      <c r="E298" s="129">
        <v>100.446</v>
      </c>
      <c r="F298" s="128" t="s">
        <v>2079</v>
      </c>
      <c r="G298" s="128" t="s">
        <v>2076</v>
      </c>
      <c r="H298" s="128" t="s">
        <v>651</v>
      </c>
      <c r="I298" s="128" t="s">
        <v>652</v>
      </c>
      <c r="J298" s="128"/>
      <c r="K298" s="129">
        <v>1.0</v>
      </c>
      <c r="L298" s="128"/>
      <c r="M298" s="128" t="s">
        <v>2077</v>
      </c>
      <c r="N298" s="129">
        <v>1459.0</v>
      </c>
      <c r="O298" s="128"/>
      <c r="P298" s="129">
        <v>1000.0</v>
      </c>
      <c r="Q298" s="128" t="s">
        <v>572</v>
      </c>
    </row>
    <row r="299">
      <c r="A299" s="129">
        <v>1573.0</v>
      </c>
      <c r="B299" s="129">
        <v>2016.0</v>
      </c>
      <c r="C299" s="129">
        <v>123.9</v>
      </c>
      <c r="D299" s="129">
        <v>38.975</v>
      </c>
      <c r="E299" s="129">
        <v>100.446</v>
      </c>
      <c r="F299" s="128" t="s">
        <v>2350</v>
      </c>
      <c r="G299" s="128" t="s">
        <v>654</v>
      </c>
      <c r="H299" s="128" t="s">
        <v>2137</v>
      </c>
      <c r="I299" s="128" t="s">
        <v>2587</v>
      </c>
      <c r="J299" s="129">
        <v>1.0</v>
      </c>
      <c r="K299" s="129">
        <v>1.0</v>
      </c>
      <c r="L299" s="129">
        <v>30.0</v>
      </c>
      <c r="M299" s="128" t="s">
        <v>654</v>
      </c>
      <c r="N299" s="129">
        <v>1459.0</v>
      </c>
      <c r="O299" s="128"/>
      <c r="P299" s="129">
        <v>30.0</v>
      </c>
      <c r="Q299" s="128" t="s">
        <v>572</v>
      </c>
    </row>
    <row r="300">
      <c r="A300" s="129">
        <v>1574.0</v>
      </c>
      <c r="B300" s="129">
        <v>2016.0</v>
      </c>
      <c r="C300" s="129">
        <v>63.1</v>
      </c>
      <c r="D300" s="129">
        <v>38.975</v>
      </c>
      <c r="E300" s="129">
        <v>100.446</v>
      </c>
      <c r="F300" s="128" t="s">
        <v>2350</v>
      </c>
      <c r="G300" s="128" t="s">
        <v>654</v>
      </c>
      <c r="H300" s="128" t="s">
        <v>2591</v>
      </c>
      <c r="I300" s="128" t="s">
        <v>2592</v>
      </c>
      <c r="J300" s="129">
        <v>1.0</v>
      </c>
      <c r="K300" s="129">
        <v>1.0</v>
      </c>
      <c r="L300" s="129">
        <v>30.0</v>
      </c>
      <c r="M300" s="128" t="s">
        <v>654</v>
      </c>
      <c r="N300" s="129">
        <v>1459.0</v>
      </c>
      <c r="O300" s="128"/>
      <c r="P300" s="129">
        <v>30.0</v>
      </c>
      <c r="Q300" s="128" t="s">
        <v>572</v>
      </c>
    </row>
    <row r="301">
      <c r="A301" s="129">
        <v>1575.0</v>
      </c>
      <c r="B301" s="129">
        <v>2016.0</v>
      </c>
      <c r="C301" s="129">
        <v>-25.3</v>
      </c>
      <c r="D301" s="129">
        <v>38.975</v>
      </c>
      <c r="E301" s="129">
        <v>100.446</v>
      </c>
      <c r="F301" s="128" t="s">
        <v>2350</v>
      </c>
      <c r="G301" s="128" t="s">
        <v>654</v>
      </c>
      <c r="H301" s="128" t="s">
        <v>2593</v>
      </c>
      <c r="I301" s="128" t="s">
        <v>2594</v>
      </c>
      <c r="J301" s="129">
        <v>1.0</v>
      </c>
      <c r="K301" s="129">
        <v>1.0</v>
      </c>
      <c r="L301" s="129">
        <v>30.0</v>
      </c>
      <c r="M301" s="128" t="s">
        <v>654</v>
      </c>
      <c r="N301" s="129">
        <v>1459.0</v>
      </c>
      <c r="O301" s="128"/>
      <c r="P301" s="129">
        <v>30.0</v>
      </c>
      <c r="Q301" s="128" t="s">
        <v>572</v>
      </c>
    </row>
    <row r="302">
      <c r="A302" s="129">
        <v>1576.0</v>
      </c>
      <c r="B302" s="129">
        <v>2016.0</v>
      </c>
      <c r="C302" s="129">
        <v>-19.7</v>
      </c>
      <c r="D302" s="129">
        <v>38.975</v>
      </c>
      <c r="E302" s="129">
        <v>100.446</v>
      </c>
      <c r="F302" s="128" t="s">
        <v>2350</v>
      </c>
      <c r="G302" s="128" t="s">
        <v>654</v>
      </c>
      <c r="H302" s="128" t="s">
        <v>2219</v>
      </c>
      <c r="I302" s="128" t="s">
        <v>2595</v>
      </c>
      <c r="J302" s="129">
        <v>1.0</v>
      </c>
      <c r="K302" s="129">
        <v>1.0</v>
      </c>
      <c r="L302" s="129">
        <v>30.0</v>
      </c>
      <c r="M302" s="128" t="s">
        <v>654</v>
      </c>
      <c r="N302" s="129">
        <v>1459.0</v>
      </c>
      <c r="O302" s="128"/>
      <c r="P302" s="129">
        <v>30.0</v>
      </c>
      <c r="Q302" s="128" t="s">
        <v>572</v>
      </c>
    </row>
    <row r="303">
      <c r="A303" s="129">
        <v>1577.0</v>
      </c>
      <c r="B303" s="129">
        <v>2016.0</v>
      </c>
      <c r="C303" s="129">
        <v>-22.3</v>
      </c>
      <c r="D303" s="129">
        <v>38.975</v>
      </c>
      <c r="E303" s="129">
        <v>100.446</v>
      </c>
      <c r="F303" s="128" t="s">
        <v>2350</v>
      </c>
      <c r="G303" s="128" t="s">
        <v>654</v>
      </c>
      <c r="H303" s="128" t="s">
        <v>2596</v>
      </c>
      <c r="I303" s="128" t="s">
        <v>2597</v>
      </c>
      <c r="J303" s="129">
        <v>1.0</v>
      </c>
      <c r="K303" s="129">
        <v>1.0</v>
      </c>
      <c r="L303" s="129">
        <v>30.0</v>
      </c>
      <c r="M303" s="128" t="s">
        <v>654</v>
      </c>
      <c r="N303" s="129">
        <v>1459.0</v>
      </c>
      <c r="O303" s="128"/>
      <c r="P303" s="129">
        <v>30.0</v>
      </c>
      <c r="Q303" s="128" t="s">
        <v>572</v>
      </c>
    </row>
    <row r="304">
      <c r="A304" s="129">
        <v>1578.0</v>
      </c>
      <c r="B304" s="129">
        <v>2016.0</v>
      </c>
      <c r="C304" s="129">
        <v>-25.2</v>
      </c>
      <c r="D304" s="129">
        <v>38.975</v>
      </c>
      <c r="E304" s="129">
        <v>100.446</v>
      </c>
      <c r="F304" s="128" t="s">
        <v>2350</v>
      </c>
      <c r="G304" s="128" t="s">
        <v>654</v>
      </c>
      <c r="H304" s="128" t="s">
        <v>2598</v>
      </c>
      <c r="I304" s="128" t="s">
        <v>2599</v>
      </c>
      <c r="J304" s="129">
        <v>1.0</v>
      </c>
      <c r="K304" s="129">
        <v>1.0</v>
      </c>
      <c r="L304" s="129">
        <v>30.0</v>
      </c>
      <c r="M304" s="128" t="s">
        <v>654</v>
      </c>
      <c r="N304" s="129">
        <v>1459.0</v>
      </c>
      <c r="O304" s="128"/>
      <c r="P304" s="129">
        <v>30.0</v>
      </c>
      <c r="Q304" s="128" t="s">
        <v>572</v>
      </c>
    </row>
    <row r="305">
      <c r="A305" s="129">
        <v>1579.0</v>
      </c>
      <c r="B305" s="129">
        <v>2016.0</v>
      </c>
      <c r="C305" s="129">
        <v>-6.3</v>
      </c>
      <c r="D305" s="129">
        <v>38.975</v>
      </c>
      <c r="E305" s="129">
        <v>100.446</v>
      </c>
      <c r="F305" s="128" t="s">
        <v>2350</v>
      </c>
      <c r="G305" s="128" t="s">
        <v>654</v>
      </c>
      <c r="H305" s="128" t="s">
        <v>2137</v>
      </c>
      <c r="I305" s="128" t="s">
        <v>2599</v>
      </c>
      <c r="J305" s="129">
        <v>6.0</v>
      </c>
      <c r="K305" s="129">
        <v>1.0</v>
      </c>
      <c r="L305" s="129">
        <v>30.0</v>
      </c>
      <c r="M305" s="128" t="s">
        <v>654</v>
      </c>
      <c r="N305" s="129">
        <v>1459.0</v>
      </c>
      <c r="O305" s="128"/>
      <c r="P305" s="129">
        <v>30.0</v>
      </c>
      <c r="Q305" s="128" t="s">
        <v>572</v>
      </c>
    </row>
    <row r="306">
      <c r="A306" s="129">
        <v>1437.0</v>
      </c>
      <c r="B306" s="129">
        <v>2018.0</v>
      </c>
      <c r="C306" s="129">
        <v>2.0</v>
      </c>
      <c r="D306" s="129">
        <v>39.0561</v>
      </c>
      <c r="E306" s="129">
        <v>-95.1907</v>
      </c>
      <c r="F306" s="128" t="s">
        <v>936</v>
      </c>
      <c r="G306" s="128" t="s">
        <v>2490</v>
      </c>
      <c r="H306" s="128"/>
      <c r="I306" s="128"/>
      <c r="J306" s="129">
        <v>88.0</v>
      </c>
      <c r="K306" s="129">
        <v>1.0</v>
      </c>
      <c r="L306" s="129">
        <v>1000.0</v>
      </c>
      <c r="M306" s="128" t="s">
        <v>2491</v>
      </c>
      <c r="N306" s="129">
        <v>333.0</v>
      </c>
      <c r="O306" s="128"/>
      <c r="P306" s="129">
        <v>1000.0</v>
      </c>
      <c r="Q306" s="128" t="s">
        <v>572</v>
      </c>
    </row>
    <row r="307">
      <c r="A307" s="129">
        <v>1424.0</v>
      </c>
      <c r="B307" s="129">
        <v>2018.0</v>
      </c>
      <c r="C307" s="129">
        <v>-13.0</v>
      </c>
      <c r="D307" s="129">
        <v>39.0561</v>
      </c>
      <c r="E307" s="129">
        <v>-95.1907</v>
      </c>
      <c r="F307" s="128" t="s">
        <v>2481</v>
      </c>
      <c r="G307" s="128" t="s">
        <v>2490</v>
      </c>
      <c r="H307" s="128"/>
      <c r="I307" s="128"/>
      <c r="J307" s="129">
        <v>88.0</v>
      </c>
      <c r="K307" s="129">
        <v>1.0</v>
      </c>
      <c r="L307" s="129">
        <v>1000.0</v>
      </c>
      <c r="M307" s="128" t="s">
        <v>2491</v>
      </c>
      <c r="N307" s="129">
        <v>333.0</v>
      </c>
      <c r="O307" s="128"/>
      <c r="P307" s="129">
        <v>1000.0</v>
      </c>
      <c r="Q307" s="128" t="s">
        <v>572</v>
      </c>
    </row>
    <row r="308">
      <c r="A308" s="129">
        <v>1436.0</v>
      </c>
      <c r="B308" s="129">
        <v>2018.0</v>
      </c>
      <c r="C308" s="129">
        <v>0.0</v>
      </c>
      <c r="D308" s="129">
        <v>39.0824</v>
      </c>
      <c r="E308" s="129">
        <v>-96.5603</v>
      </c>
      <c r="F308" s="128" t="s">
        <v>936</v>
      </c>
      <c r="G308" s="128" t="s">
        <v>2488</v>
      </c>
      <c r="H308" s="128"/>
      <c r="I308" s="128"/>
      <c r="J308" s="129">
        <v>59.0</v>
      </c>
      <c r="K308" s="129">
        <v>1.0</v>
      </c>
      <c r="L308" s="129">
        <v>1000.0</v>
      </c>
      <c r="M308" s="128" t="s">
        <v>2489</v>
      </c>
      <c r="N308" s="129">
        <v>446.0</v>
      </c>
      <c r="O308" s="128"/>
      <c r="P308" s="129">
        <v>1000.0</v>
      </c>
      <c r="Q308" s="128" t="s">
        <v>572</v>
      </c>
    </row>
    <row r="309">
      <c r="A309" s="129">
        <v>1423.0</v>
      </c>
      <c r="B309" s="129">
        <v>2018.0</v>
      </c>
      <c r="C309" s="129">
        <v>-23.0</v>
      </c>
      <c r="D309" s="129">
        <v>39.0824</v>
      </c>
      <c r="E309" s="129">
        <v>-96.5603</v>
      </c>
      <c r="F309" s="128" t="s">
        <v>2481</v>
      </c>
      <c r="G309" s="128" t="s">
        <v>2488</v>
      </c>
      <c r="H309" s="128"/>
      <c r="I309" s="128"/>
      <c r="J309" s="129">
        <v>59.0</v>
      </c>
      <c r="K309" s="129">
        <v>1.0</v>
      </c>
      <c r="L309" s="129">
        <v>1000.0</v>
      </c>
      <c r="M309" s="128" t="s">
        <v>2489</v>
      </c>
      <c r="N309" s="129">
        <v>446.0</v>
      </c>
      <c r="O309" s="128"/>
      <c r="P309" s="129">
        <v>1000.0</v>
      </c>
      <c r="Q309" s="128" t="s">
        <v>572</v>
      </c>
    </row>
    <row r="310">
      <c r="A310" s="129">
        <v>1440.0</v>
      </c>
      <c r="B310" s="129">
        <v>2018.0</v>
      </c>
      <c r="C310" s="129">
        <v>17.0</v>
      </c>
      <c r="D310" s="129">
        <v>39.3232</v>
      </c>
      <c r="E310" s="129">
        <v>-86.4131</v>
      </c>
      <c r="F310" s="128" t="s">
        <v>936</v>
      </c>
      <c r="G310" s="128" t="s">
        <v>1309</v>
      </c>
      <c r="H310" s="128"/>
      <c r="I310" s="128"/>
      <c r="J310" s="129">
        <v>108.0</v>
      </c>
      <c r="K310" s="129">
        <v>1.0</v>
      </c>
      <c r="L310" s="129">
        <v>1000.0</v>
      </c>
      <c r="M310" s="128" t="s">
        <v>1310</v>
      </c>
      <c r="N310" s="129">
        <v>297.0</v>
      </c>
      <c r="O310" s="128"/>
      <c r="P310" s="129">
        <v>1000.0</v>
      </c>
      <c r="Q310" s="128" t="s">
        <v>572</v>
      </c>
    </row>
    <row r="311">
      <c r="A311" s="129">
        <v>1464.0</v>
      </c>
      <c r="B311" s="129">
        <v>2018.0</v>
      </c>
      <c r="C311" s="129">
        <v>17.0</v>
      </c>
      <c r="D311" s="129">
        <v>39.3232</v>
      </c>
      <c r="E311" s="129">
        <v>-86.4131</v>
      </c>
      <c r="F311" s="128" t="s">
        <v>936</v>
      </c>
      <c r="G311" s="128" t="s">
        <v>1309</v>
      </c>
      <c r="H311" s="128"/>
      <c r="I311" s="128"/>
      <c r="J311" s="128"/>
      <c r="K311" s="129">
        <v>1.0</v>
      </c>
      <c r="L311" s="129">
        <v>1000.0</v>
      </c>
      <c r="M311" s="128" t="s">
        <v>1310</v>
      </c>
      <c r="N311" s="129">
        <v>297.0</v>
      </c>
      <c r="O311" s="128"/>
      <c r="P311" s="129">
        <v>1000.0</v>
      </c>
      <c r="Q311" s="128" t="s">
        <v>572</v>
      </c>
    </row>
    <row r="312">
      <c r="A312" s="129">
        <v>1427.0</v>
      </c>
      <c r="B312" s="129">
        <v>2018.0</v>
      </c>
      <c r="C312" s="129">
        <v>11.0</v>
      </c>
      <c r="D312" s="129">
        <v>39.3232</v>
      </c>
      <c r="E312" s="129">
        <v>-86.4131</v>
      </c>
      <c r="F312" s="128" t="s">
        <v>2481</v>
      </c>
      <c r="G312" s="128" t="s">
        <v>1309</v>
      </c>
      <c r="H312" s="128"/>
      <c r="I312" s="128"/>
      <c r="J312" s="129">
        <v>108.0</v>
      </c>
      <c r="K312" s="129">
        <v>1.0</v>
      </c>
      <c r="L312" s="129">
        <v>1000.0</v>
      </c>
      <c r="M312" s="128" t="s">
        <v>1310</v>
      </c>
      <c r="N312" s="129">
        <v>297.0</v>
      </c>
      <c r="O312" s="128"/>
      <c r="P312" s="129">
        <v>1000.0</v>
      </c>
      <c r="Q312" s="128" t="s">
        <v>572</v>
      </c>
    </row>
    <row r="313">
      <c r="A313" s="129">
        <v>1459.0</v>
      </c>
      <c r="B313" s="129">
        <v>2018.0</v>
      </c>
      <c r="C313" s="129">
        <v>11.0</v>
      </c>
      <c r="D313" s="129">
        <v>39.3232</v>
      </c>
      <c r="E313" s="129">
        <v>-86.4131</v>
      </c>
      <c r="F313" s="128" t="s">
        <v>2481</v>
      </c>
      <c r="G313" s="128" t="s">
        <v>1309</v>
      </c>
      <c r="H313" s="128"/>
      <c r="I313" s="128"/>
      <c r="J313" s="128"/>
      <c r="K313" s="129">
        <v>1.0</v>
      </c>
      <c r="L313" s="129">
        <v>1000.0</v>
      </c>
      <c r="M313" s="128" t="s">
        <v>1310</v>
      </c>
      <c r="N313" s="129">
        <v>297.0</v>
      </c>
      <c r="O313" s="128"/>
      <c r="P313" s="129">
        <v>1000.0</v>
      </c>
      <c r="Q313" s="128" t="s">
        <v>572</v>
      </c>
    </row>
    <row r="314">
      <c r="A314" s="129">
        <v>599.0</v>
      </c>
      <c r="B314" s="129">
        <v>2017.0</v>
      </c>
      <c r="C314" s="129">
        <v>7.7</v>
      </c>
      <c r="D314" s="129">
        <v>39.62</v>
      </c>
      <c r="E314" s="129">
        <v>116.43</v>
      </c>
      <c r="F314" s="128" t="s">
        <v>984</v>
      </c>
      <c r="G314" s="128" t="s">
        <v>1152</v>
      </c>
      <c r="H314" s="128" t="s">
        <v>506</v>
      </c>
      <c r="I314" s="128" t="s">
        <v>507</v>
      </c>
      <c r="J314" s="129">
        <v>6.0</v>
      </c>
      <c r="K314" s="129">
        <v>1.0</v>
      </c>
      <c r="L314" s="128" t="s">
        <v>1146</v>
      </c>
      <c r="M314" s="128" t="s">
        <v>1152</v>
      </c>
      <c r="N314" s="129">
        <v>28.0</v>
      </c>
      <c r="O314" s="128" t="s">
        <v>1148</v>
      </c>
      <c r="P314" s="129">
        <v>30.0</v>
      </c>
      <c r="Q314" s="128" t="s">
        <v>572</v>
      </c>
    </row>
    <row r="315">
      <c r="A315" s="129">
        <v>605.0</v>
      </c>
      <c r="B315" s="129">
        <v>2017.0</v>
      </c>
      <c r="C315" s="129">
        <v>-14.41</v>
      </c>
      <c r="D315" s="129">
        <v>39.62</v>
      </c>
      <c r="E315" s="129">
        <v>116.43</v>
      </c>
      <c r="F315" s="128" t="s">
        <v>984</v>
      </c>
      <c r="G315" s="128" t="s">
        <v>1152</v>
      </c>
      <c r="H315" s="128" t="s">
        <v>506</v>
      </c>
      <c r="I315" s="128" t="s">
        <v>507</v>
      </c>
      <c r="J315" s="129">
        <v>6.0</v>
      </c>
      <c r="K315" s="129">
        <v>1.0</v>
      </c>
      <c r="L315" s="128" t="s">
        <v>1146</v>
      </c>
      <c r="M315" s="128" t="s">
        <v>1152</v>
      </c>
      <c r="N315" s="129">
        <v>28.0</v>
      </c>
      <c r="O315" s="128" t="s">
        <v>1148</v>
      </c>
      <c r="P315" s="129">
        <v>30.0</v>
      </c>
      <c r="Q315" s="128" t="s">
        <v>572</v>
      </c>
    </row>
    <row r="316">
      <c r="A316" s="129">
        <v>1719.0</v>
      </c>
      <c r="B316" s="129">
        <v>2013.0</v>
      </c>
      <c r="C316" s="129">
        <v>1.8</v>
      </c>
      <c r="D316" s="129">
        <v>39.9712</v>
      </c>
      <c r="E316" s="129">
        <v>-74.4346</v>
      </c>
      <c r="F316" s="128" t="s">
        <v>802</v>
      </c>
      <c r="G316" s="128" t="s">
        <v>2736</v>
      </c>
      <c r="H316" s="128" t="s">
        <v>328</v>
      </c>
      <c r="I316" s="128" t="s">
        <v>342</v>
      </c>
      <c r="J316" s="129">
        <v>23.0</v>
      </c>
      <c r="K316" s="129">
        <v>1.0</v>
      </c>
      <c r="L316" s="129">
        <v>3000.0</v>
      </c>
      <c r="M316" s="128" t="s">
        <v>2737</v>
      </c>
      <c r="N316" s="129">
        <v>52.0</v>
      </c>
      <c r="O316" s="128"/>
      <c r="P316" s="129">
        <v>1000.0</v>
      </c>
      <c r="Q316" s="128" t="s">
        <v>572</v>
      </c>
    </row>
    <row r="317">
      <c r="A317" s="129">
        <v>1435.0</v>
      </c>
      <c r="B317" s="129">
        <v>2018.0</v>
      </c>
      <c r="C317" s="129">
        <v>5.0</v>
      </c>
      <c r="D317" s="129">
        <v>40.0329</v>
      </c>
      <c r="E317" s="129">
        <v>-105.546</v>
      </c>
      <c r="F317" s="128" t="s">
        <v>936</v>
      </c>
      <c r="G317" s="128" t="s">
        <v>2486</v>
      </c>
      <c r="H317" s="128"/>
      <c r="I317" s="128"/>
      <c r="J317" s="129">
        <v>116.0</v>
      </c>
      <c r="K317" s="129">
        <v>1.0</v>
      </c>
      <c r="L317" s="129">
        <v>1000.0</v>
      </c>
      <c r="M317" s="128" t="s">
        <v>2487</v>
      </c>
      <c r="N317" s="129">
        <v>3056.0</v>
      </c>
      <c r="O317" s="128"/>
      <c r="P317" s="129">
        <v>1000.0</v>
      </c>
      <c r="Q317" s="128" t="s">
        <v>572</v>
      </c>
    </row>
    <row r="318">
      <c r="A318" s="129">
        <v>1422.0</v>
      </c>
      <c r="B318" s="129">
        <v>2018.0</v>
      </c>
      <c r="C318" s="129">
        <v>-14.0</v>
      </c>
      <c r="D318" s="129">
        <v>40.0329</v>
      </c>
      <c r="E318" s="129">
        <v>-105.546</v>
      </c>
      <c r="F318" s="128" t="s">
        <v>2481</v>
      </c>
      <c r="G318" s="128" t="s">
        <v>2486</v>
      </c>
      <c r="H318" s="128"/>
      <c r="I318" s="128"/>
      <c r="J318" s="129">
        <v>116.0</v>
      </c>
      <c r="K318" s="129">
        <v>1.0</v>
      </c>
      <c r="L318" s="129">
        <v>1000.0</v>
      </c>
      <c r="M318" s="128" t="s">
        <v>2487</v>
      </c>
      <c r="N318" s="129">
        <v>3056.0</v>
      </c>
      <c r="O318" s="128"/>
      <c r="P318" s="129">
        <v>1000.0</v>
      </c>
      <c r="Q318" s="128" t="s">
        <v>572</v>
      </c>
    </row>
    <row r="319">
      <c r="A319" s="129">
        <v>710.0</v>
      </c>
      <c r="B319" s="129">
        <v>2012.0</v>
      </c>
      <c r="C319" s="129">
        <v>9.7</v>
      </c>
      <c r="D319" s="129">
        <v>40.1</v>
      </c>
      <c r="E319" s="129">
        <v>98.9</v>
      </c>
      <c r="F319" s="128" t="s">
        <v>984</v>
      </c>
      <c r="G319" s="128" t="s">
        <v>1421</v>
      </c>
      <c r="H319" s="128" t="s">
        <v>1420</v>
      </c>
      <c r="I319" s="128" t="s">
        <v>1420</v>
      </c>
      <c r="J319" s="129">
        <v>1.0</v>
      </c>
      <c r="K319" s="129">
        <v>2.0</v>
      </c>
      <c r="L319" s="129">
        <v>30.0</v>
      </c>
      <c r="M319" s="128"/>
      <c r="N319" s="129">
        <v>1248.0</v>
      </c>
      <c r="O319" s="128"/>
      <c r="P319" s="129">
        <v>30.0</v>
      </c>
      <c r="Q319" s="128" t="s">
        <v>572</v>
      </c>
    </row>
    <row r="320">
      <c r="A320" s="129">
        <v>711.0</v>
      </c>
      <c r="B320" s="129">
        <v>2012.0</v>
      </c>
      <c r="C320" s="129">
        <v>8.8</v>
      </c>
      <c r="D320" s="129">
        <v>40.1</v>
      </c>
      <c r="E320" s="129">
        <v>98.9</v>
      </c>
      <c r="F320" s="128" t="s">
        <v>984</v>
      </c>
      <c r="G320" s="128" t="s">
        <v>1421</v>
      </c>
      <c r="H320" s="128" t="s">
        <v>1420</v>
      </c>
      <c r="I320" s="128" t="s">
        <v>1420</v>
      </c>
      <c r="J320" s="129">
        <v>1.0</v>
      </c>
      <c r="K320" s="129">
        <v>2.0</v>
      </c>
      <c r="L320" s="129">
        <v>30.0</v>
      </c>
      <c r="M320" s="128"/>
      <c r="N320" s="129">
        <v>1248.0</v>
      </c>
      <c r="O320" s="128"/>
      <c r="P320" s="129">
        <v>30.0</v>
      </c>
      <c r="Q320" s="128" t="s">
        <v>572</v>
      </c>
    </row>
    <row r="321">
      <c r="A321" s="129">
        <v>712.0</v>
      </c>
      <c r="B321" s="129">
        <v>2012.0</v>
      </c>
      <c r="C321" s="129">
        <v>22.4</v>
      </c>
      <c r="D321" s="129">
        <v>40.1</v>
      </c>
      <c r="E321" s="129">
        <v>98.9</v>
      </c>
      <c r="F321" s="128" t="s">
        <v>984</v>
      </c>
      <c r="G321" s="128" t="s">
        <v>1421</v>
      </c>
      <c r="H321" s="128" t="s">
        <v>1420</v>
      </c>
      <c r="I321" s="128" t="s">
        <v>1420</v>
      </c>
      <c r="J321" s="129">
        <v>1.0</v>
      </c>
      <c r="K321" s="129">
        <v>2.0</v>
      </c>
      <c r="L321" s="129">
        <v>1000.0</v>
      </c>
      <c r="M321" s="128"/>
      <c r="N321" s="129">
        <v>1248.0</v>
      </c>
      <c r="O321" s="128"/>
      <c r="P321" s="129">
        <v>1000.0</v>
      </c>
      <c r="Q321" s="128" t="s">
        <v>572</v>
      </c>
    </row>
    <row r="322">
      <c r="A322" s="129">
        <v>713.0</v>
      </c>
      <c r="B322" s="129">
        <v>2012.0</v>
      </c>
      <c r="C322" s="129">
        <v>17.0</v>
      </c>
      <c r="D322" s="129">
        <v>40.1</v>
      </c>
      <c r="E322" s="129">
        <v>98.9</v>
      </c>
      <c r="F322" s="128" t="s">
        <v>984</v>
      </c>
      <c r="G322" s="128" t="s">
        <v>1421</v>
      </c>
      <c r="H322" s="128" t="s">
        <v>1420</v>
      </c>
      <c r="I322" s="128" t="s">
        <v>1420</v>
      </c>
      <c r="J322" s="129">
        <v>1.0</v>
      </c>
      <c r="K322" s="129">
        <v>2.0</v>
      </c>
      <c r="L322" s="129">
        <v>1000.0</v>
      </c>
      <c r="M322" s="128"/>
      <c r="N322" s="129">
        <v>1248.0</v>
      </c>
      <c r="O322" s="128"/>
      <c r="P322" s="129">
        <v>1000.0</v>
      </c>
      <c r="Q322" s="128" t="s">
        <v>572</v>
      </c>
    </row>
    <row r="323">
      <c r="A323" s="129">
        <v>714.0</v>
      </c>
      <c r="B323" s="129">
        <v>2012.0</v>
      </c>
      <c r="C323" s="129">
        <v>23.2</v>
      </c>
      <c r="D323" s="129">
        <v>40.1</v>
      </c>
      <c r="E323" s="129">
        <v>98.9</v>
      </c>
      <c r="F323" s="128" t="s">
        <v>984</v>
      </c>
      <c r="G323" s="128" t="s">
        <v>1421</v>
      </c>
      <c r="H323" s="128" t="s">
        <v>1426</v>
      </c>
      <c r="I323" s="128" t="s">
        <v>1427</v>
      </c>
      <c r="J323" s="128"/>
      <c r="K323" s="129">
        <v>2.0</v>
      </c>
      <c r="L323" s="129">
        <v>1000.0</v>
      </c>
      <c r="M323" s="128"/>
      <c r="N323" s="129">
        <v>1248.0</v>
      </c>
      <c r="O323" s="128"/>
      <c r="P323" s="129">
        <v>1000.0</v>
      </c>
      <c r="Q323" s="128" t="s">
        <v>572</v>
      </c>
    </row>
    <row r="324">
      <c r="A324" s="129">
        <v>715.0</v>
      </c>
      <c r="B324" s="129">
        <v>2012.0</v>
      </c>
      <c r="C324" s="129">
        <v>17.9</v>
      </c>
      <c r="D324" s="129">
        <v>40.1</v>
      </c>
      <c r="E324" s="129">
        <v>98.9</v>
      </c>
      <c r="F324" s="128" t="s">
        <v>984</v>
      </c>
      <c r="G324" s="128" t="s">
        <v>1421</v>
      </c>
      <c r="H324" s="128" t="s">
        <v>1426</v>
      </c>
      <c r="I324" s="128" t="s">
        <v>1427</v>
      </c>
      <c r="J324" s="128"/>
      <c r="K324" s="129">
        <v>2.0</v>
      </c>
      <c r="L324" s="129">
        <v>1000.0</v>
      </c>
      <c r="M324" s="128"/>
      <c r="N324" s="129">
        <v>1248.0</v>
      </c>
      <c r="O324" s="128"/>
      <c r="P324" s="129">
        <v>1000.0</v>
      </c>
      <c r="Q324" s="128" t="s">
        <v>572</v>
      </c>
    </row>
    <row r="325">
      <c r="A325" s="129">
        <v>1156.0</v>
      </c>
      <c r="B325" s="129">
        <v>2017.0</v>
      </c>
      <c r="C325" s="129">
        <v>-6.9</v>
      </c>
      <c r="D325" s="129">
        <v>40.1786</v>
      </c>
      <c r="E325" s="129">
        <v>116.4432</v>
      </c>
      <c r="F325" s="128" t="s">
        <v>2013</v>
      </c>
      <c r="G325" s="128" t="s">
        <v>1638</v>
      </c>
      <c r="H325" s="128" t="s">
        <v>2010</v>
      </c>
      <c r="I325" s="128" t="s">
        <v>2011</v>
      </c>
      <c r="J325" s="129">
        <v>33.0</v>
      </c>
      <c r="K325" s="129">
        <v>1.0</v>
      </c>
      <c r="L325" s="129">
        <v>30.0</v>
      </c>
      <c r="M325" s="128"/>
      <c r="N325" s="129">
        <v>40.0</v>
      </c>
      <c r="O325" s="128"/>
      <c r="P325" s="129">
        <v>30.0</v>
      </c>
      <c r="Q325" s="128" t="s">
        <v>572</v>
      </c>
    </row>
    <row r="326">
      <c r="A326" s="129">
        <v>1157.0</v>
      </c>
      <c r="B326" s="129">
        <v>2017.0</v>
      </c>
      <c r="C326" s="129">
        <v>-12.5</v>
      </c>
      <c r="D326" s="129">
        <v>40.1786</v>
      </c>
      <c r="E326" s="129">
        <v>116.4432</v>
      </c>
      <c r="F326" s="128" t="s">
        <v>2013</v>
      </c>
      <c r="G326" s="128" t="s">
        <v>1638</v>
      </c>
      <c r="H326" s="128" t="s">
        <v>2010</v>
      </c>
      <c r="I326" s="128" t="s">
        <v>2011</v>
      </c>
      <c r="J326" s="129">
        <v>21.0</v>
      </c>
      <c r="K326" s="129">
        <v>1.0</v>
      </c>
      <c r="L326" s="129">
        <v>30.0</v>
      </c>
      <c r="M326" s="128"/>
      <c r="N326" s="129">
        <v>40.0</v>
      </c>
      <c r="O326" s="128"/>
      <c r="P326" s="129">
        <v>30.0</v>
      </c>
      <c r="Q326" s="128" t="s">
        <v>572</v>
      </c>
    </row>
    <row r="327">
      <c r="A327" s="129">
        <v>1160.0</v>
      </c>
      <c r="B327" s="129">
        <v>2017.0</v>
      </c>
      <c r="C327" s="129">
        <v>-1.0</v>
      </c>
      <c r="D327" s="129">
        <v>40.1786</v>
      </c>
      <c r="E327" s="129">
        <v>116.4432</v>
      </c>
      <c r="F327" s="128" t="s">
        <v>2013</v>
      </c>
      <c r="G327" s="128" t="s">
        <v>1638</v>
      </c>
      <c r="H327" s="128" t="s">
        <v>2010</v>
      </c>
      <c r="I327" s="128" t="s">
        <v>2011</v>
      </c>
      <c r="J327" s="129">
        <v>33.0</v>
      </c>
      <c r="K327" s="129">
        <v>1.0</v>
      </c>
      <c r="L327" s="129">
        <v>30.0</v>
      </c>
      <c r="M327" s="128"/>
      <c r="N327" s="129">
        <v>40.0</v>
      </c>
      <c r="O327" s="128"/>
      <c r="P327" s="129">
        <v>30.0</v>
      </c>
      <c r="Q327" s="128" t="s">
        <v>572</v>
      </c>
    </row>
    <row r="328">
      <c r="A328" s="129">
        <v>1161.0</v>
      </c>
      <c r="B328" s="129">
        <v>2017.0</v>
      </c>
      <c r="C328" s="129">
        <v>1.9</v>
      </c>
      <c r="D328" s="129">
        <v>40.1786</v>
      </c>
      <c r="E328" s="129">
        <v>116.4432</v>
      </c>
      <c r="F328" s="128" t="s">
        <v>2013</v>
      </c>
      <c r="G328" s="128" t="s">
        <v>1638</v>
      </c>
      <c r="H328" s="128" t="s">
        <v>2010</v>
      </c>
      <c r="I328" s="128" t="s">
        <v>2011</v>
      </c>
      <c r="J328" s="129">
        <v>21.0</v>
      </c>
      <c r="K328" s="129">
        <v>1.0</v>
      </c>
      <c r="L328" s="129">
        <v>30.0</v>
      </c>
      <c r="M328" s="128"/>
      <c r="N328" s="129">
        <v>40.0</v>
      </c>
      <c r="O328" s="128"/>
      <c r="P328" s="129">
        <v>30.0</v>
      </c>
      <c r="Q328" s="128" t="s">
        <v>572</v>
      </c>
    </row>
    <row r="329">
      <c r="A329" s="129">
        <v>601.0</v>
      </c>
      <c r="B329" s="129">
        <v>2017.0</v>
      </c>
      <c r="C329" s="129">
        <v>17.04</v>
      </c>
      <c r="D329" s="129">
        <v>40.35</v>
      </c>
      <c r="E329" s="129">
        <v>115.79</v>
      </c>
      <c r="F329" s="128" t="s">
        <v>984</v>
      </c>
      <c r="G329" s="128" t="s">
        <v>1155</v>
      </c>
      <c r="H329" s="128" t="s">
        <v>167</v>
      </c>
      <c r="I329" s="128" t="s">
        <v>246</v>
      </c>
      <c r="J329" s="129">
        <v>15.0</v>
      </c>
      <c r="K329" s="129">
        <v>1.0</v>
      </c>
      <c r="L329" s="128" t="s">
        <v>1146</v>
      </c>
      <c r="M329" s="128" t="s">
        <v>1155</v>
      </c>
      <c r="N329" s="129">
        <v>480.0</v>
      </c>
      <c r="O329" s="128" t="s">
        <v>1148</v>
      </c>
      <c r="P329" s="129">
        <v>30.0</v>
      </c>
      <c r="Q329" s="128" t="s">
        <v>572</v>
      </c>
    </row>
    <row r="330">
      <c r="A330" s="129">
        <v>607.0</v>
      </c>
      <c r="B330" s="129">
        <v>2017.0</v>
      </c>
      <c r="C330" s="129">
        <v>8.3</v>
      </c>
      <c r="D330" s="129">
        <v>40.35</v>
      </c>
      <c r="E330" s="129">
        <v>115.79</v>
      </c>
      <c r="F330" s="128" t="s">
        <v>984</v>
      </c>
      <c r="G330" s="128" t="s">
        <v>1155</v>
      </c>
      <c r="H330" s="128" t="s">
        <v>167</v>
      </c>
      <c r="I330" s="128" t="s">
        <v>246</v>
      </c>
      <c r="J330" s="129">
        <v>15.0</v>
      </c>
      <c r="K330" s="129">
        <v>1.0</v>
      </c>
      <c r="L330" s="128" t="s">
        <v>1146</v>
      </c>
      <c r="M330" s="128" t="s">
        <v>1155</v>
      </c>
      <c r="N330" s="129">
        <v>480.0</v>
      </c>
      <c r="O330" s="128" t="s">
        <v>1148</v>
      </c>
      <c r="P330" s="129">
        <v>30.0</v>
      </c>
      <c r="Q330" s="128" t="s">
        <v>572</v>
      </c>
    </row>
    <row r="331">
      <c r="A331" s="129">
        <v>598.0</v>
      </c>
      <c r="B331" s="129">
        <v>2017.0</v>
      </c>
      <c r="C331" s="129">
        <v>11.4</v>
      </c>
      <c r="D331" s="129">
        <v>40.63</v>
      </c>
      <c r="E331" s="129">
        <v>117.32</v>
      </c>
      <c r="F331" s="128" t="s">
        <v>984</v>
      </c>
      <c r="G331" s="128" t="s">
        <v>827</v>
      </c>
      <c r="H331" s="128" t="s">
        <v>506</v>
      </c>
      <c r="I331" s="128" t="s">
        <v>507</v>
      </c>
      <c r="J331" s="129">
        <v>29.0</v>
      </c>
      <c r="K331" s="129">
        <v>1.0</v>
      </c>
      <c r="L331" s="128" t="s">
        <v>1146</v>
      </c>
      <c r="M331" s="128" t="s">
        <v>828</v>
      </c>
      <c r="N331" s="129">
        <v>364.0</v>
      </c>
      <c r="O331" s="128" t="s">
        <v>1148</v>
      </c>
      <c r="P331" s="129">
        <v>30.0</v>
      </c>
      <c r="Q331" s="128" t="s">
        <v>572</v>
      </c>
    </row>
    <row r="332">
      <c r="A332" s="129">
        <v>604.0</v>
      </c>
      <c r="B332" s="129">
        <v>2017.0</v>
      </c>
      <c r="C332" s="129">
        <v>12.19</v>
      </c>
      <c r="D332" s="129">
        <v>40.63</v>
      </c>
      <c r="E332" s="129">
        <v>117.32</v>
      </c>
      <c r="F332" s="128" t="s">
        <v>984</v>
      </c>
      <c r="G332" s="128" t="s">
        <v>827</v>
      </c>
      <c r="H332" s="128" t="s">
        <v>506</v>
      </c>
      <c r="I332" s="128" t="s">
        <v>507</v>
      </c>
      <c r="J332" s="129">
        <v>29.0</v>
      </c>
      <c r="K332" s="129">
        <v>1.0</v>
      </c>
      <c r="L332" s="128" t="s">
        <v>1146</v>
      </c>
      <c r="M332" s="128" t="s">
        <v>828</v>
      </c>
      <c r="N332" s="129">
        <v>364.0</v>
      </c>
      <c r="O332" s="128" t="s">
        <v>1148</v>
      </c>
      <c r="P332" s="129">
        <v>30.0</v>
      </c>
      <c r="Q332" s="128" t="s">
        <v>572</v>
      </c>
    </row>
    <row r="333">
      <c r="A333" s="129">
        <v>439.0</v>
      </c>
      <c r="B333" s="129">
        <v>2016.0</v>
      </c>
      <c r="C333" s="129">
        <v>12.71</v>
      </c>
      <c r="D333" s="129">
        <v>41.1649</v>
      </c>
      <c r="E333" s="129">
        <v>-96.4701</v>
      </c>
      <c r="F333" s="128" t="s">
        <v>984</v>
      </c>
      <c r="G333" s="128" t="s">
        <v>526</v>
      </c>
      <c r="H333" s="128" t="s">
        <v>1046</v>
      </c>
      <c r="I333" s="128" t="s">
        <v>1047</v>
      </c>
      <c r="J333" s="129">
        <v>8.0</v>
      </c>
      <c r="K333" s="129">
        <v>1.0</v>
      </c>
      <c r="L333" s="129">
        <v>30.0</v>
      </c>
      <c r="M333" s="128" t="s">
        <v>527</v>
      </c>
      <c r="N333" s="129">
        <v>355.0</v>
      </c>
      <c r="O333" s="128"/>
      <c r="P333" s="129">
        <v>30.0</v>
      </c>
      <c r="Q333" s="128" t="s">
        <v>572</v>
      </c>
    </row>
    <row r="334">
      <c r="A334" s="129">
        <v>686.0</v>
      </c>
      <c r="B334" s="129">
        <v>2012.0</v>
      </c>
      <c r="C334" s="129">
        <v>11.6</v>
      </c>
      <c r="D334" s="129">
        <v>41.1649</v>
      </c>
      <c r="E334" s="129">
        <v>-96.4701</v>
      </c>
      <c r="F334" s="128" t="s">
        <v>984</v>
      </c>
      <c r="G334" s="128" t="s">
        <v>526</v>
      </c>
      <c r="H334" s="128" t="s">
        <v>1346</v>
      </c>
      <c r="I334" s="128" t="s">
        <v>1347</v>
      </c>
      <c r="J334" s="129">
        <v>8.0</v>
      </c>
      <c r="K334" s="129">
        <v>1.0</v>
      </c>
      <c r="L334" s="129">
        <v>150.0</v>
      </c>
      <c r="M334" s="128" t="s">
        <v>527</v>
      </c>
      <c r="N334" s="129">
        <v>355.0</v>
      </c>
      <c r="O334" s="128"/>
      <c r="P334" s="129">
        <v>30.0</v>
      </c>
      <c r="Q334" s="128" t="s">
        <v>572</v>
      </c>
    </row>
    <row r="335">
      <c r="A335" s="129">
        <v>690.0</v>
      </c>
      <c r="B335" s="129">
        <v>2012.0</v>
      </c>
      <c r="C335" s="129">
        <v>19.7</v>
      </c>
      <c r="D335" s="129">
        <v>41.1649</v>
      </c>
      <c r="E335" s="129">
        <v>-96.4701</v>
      </c>
      <c r="F335" s="128" t="s">
        <v>984</v>
      </c>
      <c r="G335" s="128" t="s">
        <v>526</v>
      </c>
      <c r="H335" s="128" t="s">
        <v>1346</v>
      </c>
      <c r="I335" s="128" t="s">
        <v>1347</v>
      </c>
      <c r="J335" s="129">
        <v>8.0</v>
      </c>
      <c r="K335" s="129">
        <v>1.0</v>
      </c>
      <c r="L335" s="129">
        <v>150.0</v>
      </c>
      <c r="M335" s="128" t="s">
        <v>527</v>
      </c>
      <c r="N335" s="129">
        <v>355.0</v>
      </c>
      <c r="O335" s="128"/>
      <c r="P335" s="129">
        <v>30.0</v>
      </c>
      <c r="Q335" s="128" t="s">
        <v>572</v>
      </c>
    </row>
    <row r="336">
      <c r="A336" s="129">
        <v>442.0</v>
      </c>
      <c r="B336" s="129">
        <v>2016.0</v>
      </c>
      <c r="C336" s="129">
        <v>-46.4</v>
      </c>
      <c r="D336" s="129">
        <v>41.1649</v>
      </c>
      <c r="E336" s="129">
        <v>-96.4701</v>
      </c>
      <c r="F336" s="128" t="s">
        <v>571</v>
      </c>
      <c r="G336" s="128" t="s">
        <v>526</v>
      </c>
      <c r="H336" s="128" t="s">
        <v>1046</v>
      </c>
      <c r="I336" s="128" t="s">
        <v>1047</v>
      </c>
      <c r="J336" s="129">
        <v>8.0</v>
      </c>
      <c r="K336" s="129">
        <v>1.0</v>
      </c>
      <c r="L336" s="129">
        <v>30.0</v>
      </c>
      <c r="M336" s="128" t="s">
        <v>527</v>
      </c>
      <c r="N336" s="129">
        <v>355.0</v>
      </c>
      <c r="O336" s="128"/>
      <c r="P336" s="129">
        <v>30.0</v>
      </c>
      <c r="Q336" s="128" t="s">
        <v>572</v>
      </c>
    </row>
    <row r="337">
      <c r="A337" s="129">
        <v>445.0</v>
      </c>
      <c r="B337" s="129">
        <v>2016.0</v>
      </c>
      <c r="C337" s="129">
        <v>-26.77</v>
      </c>
      <c r="D337" s="129">
        <v>41.1649</v>
      </c>
      <c r="E337" s="129">
        <v>-96.4701</v>
      </c>
      <c r="F337" s="128" t="s">
        <v>936</v>
      </c>
      <c r="G337" s="128" t="s">
        <v>526</v>
      </c>
      <c r="H337" s="128" t="s">
        <v>1046</v>
      </c>
      <c r="I337" s="128" t="s">
        <v>1047</v>
      </c>
      <c r="J337" s="129">
        <v>8.0</v>
      </c>
      <c r="K337" s="129">
        <v>1.0</v>
      </c>
      <c r="L337" s="129">
        <v>30.0</v>
      </c>
      <c r="M337" s="128" t="s">
        <v>527</v>
      </c>
      <c r="N337" s="129">
        <v>355.0</v>
      </c>
      <c r="O337" s="128"/>
      <c r="P337" s="129">
        <v>30.0</v>
      </c>
      <c r="Q337" s="128" t="s">
        <v>572</v>
      </c>
    </row>
    <row r="338">
      <c r="A338" s="129">
        <v>448.0</v>
      </c>
      <c r="B338" s="129">
        <v>2016.0</v>
      </c>
      <c r="C338" s="129">
        <v>-6.18</v>
      </c>
      <c r="D338" s="129">
        <v>41.1649</v>
      </c>
      <c r="E338" s="129">
        <v>-96.4701</v>
      </c>
      <c r="F338" s="128" t="s">
        <v>802</v>
      </c>
      <c r="G338" s="128" t="s">
        <v>526</v>
      </c>
      <c r="H338" s="128" t="s">
        <v>1046</v>
      </c>
      <c r="I338" s="128" t="s">
        <v>1047</v>
      </c>
      <c r="J338" s="129">
        <v>8.0</v>
      </c>
      <c r="K338" s="129">
        <v>1.0</v>
      </c>
      <c r="L338" s="129">
        <v>30.0</v>
      </c>
      <c r="M338" s="128" t="s">
        <v>527</v>
      </c>
      <c r="N338" s="129">
        <v>355.0</v>
      </c>
      <c r="O338" s="128"/>
      <c r="P338" s="129">
        <v>30.0</v>
      </c>
      <c r="Q338" s="128" t="s">
        <v>572</v>
      </c>
    </row>
    <row r="339">
      <c r="A339" s="129">
        <v>438.0</v>
      </c>
      <c r="B339" s="129">
        <v>2016.0</v>
      </c>
      <c r="C339" s="129">
        <v>2.53</v>
      </c>
      <c r="D339" s="129">
        <v>41.1651</v>
      </c>
      <c r="E339" s="129">
        <v>-96.4766</v>
      </c>
      <c r="F339" s="128" t="s">
        <v>984</v>
      </c>
      <c r="G339" s="128" t="s">
        <v>523</v>
      </c>
      <c r="H339" s="128" t="s">
        <v>1046</v>
      </c>
      <c r="I339" s="128" t="s">
        <v>1047</v>
      </c>
      <c r="J339" s="129">
        <v>8.0</v>
      </c>
      <c r="K339" s="129">
        <v>1.0</v>
      </c>
      <c r="L339" s="129">
        <v>30.0</v>
      </c>
      <c r="M339" s="128" t="s">
        <v>524</v>
      </c>
      <c r="N339" s="129">
        <v>356.0</v>
      </c>
      <c r="O339" s="128"/>
      <c r="P339" s="129">
        <v>30.0</v>
      </c>
      <c r="Q339" s="128" t="s">
        <v>572</v>
      </c>
    </row>
    <row r="340">
      <c r="A340" s="129">
        <v>685.0</v>
      </c>
      <c r="B340" s="129">
        <v>2012.0</v>
      </c>
      <c r="C340" s="129">
        <v>-4.0</v>
      </c>
      <c r="D340" s="129">
        <v>41.1651</v>
      </c>
      <c r="E340" s="129">
        <v>-96.4766</v>
      </c>
      <c r="F340" s="128" t="s">
        <v>984</v>
      </c>
      <c r="G340" s="128" t="s">
        <v>523</v>
      </c>
      <c r="H340" s="128" t="s">
        <v>1346</v>
      </c>
      <c r="I340" s="128" t="s">
        <v>1347</v>
      </c>
      <c r="J340" s="129">
        <v>8.0</v>
      </c>
      <c r="K340" s="129">
        <v>1.0</v>
      </c>
      <c r="L340" s="129">
        <v>150.0</v>
      </c>
      <c r="M340" s="128" t="s">
        <v>524</v>
      </c>
      <c r="N340" s="129">
        <v>356.0</v>
      </c>
      <c r="O340" s="128"/>
      <c r="P340" s="129">
        <v>30.0</v>
      </c>
      <c r="Q340" s="128" t="s">
        <v>572</v>
      </c>
    </row>
    <row r="341">
      <c r="A341" s="129">
        <v>689.0</v>
      </c>
      <c r="B341" s="129">
        <v>2012.0</v>
      </c>
      <c r="C341" s="129">
        <v>17.7</v>
      </c>
      <c r="D341" s="129">
        <v>41.1651</v>
      </c>
      <c r="E341" s="129">
        <v>-96.4766</v>
      </c>
      <c r="F341" s="128" t="s">
        <v>984</v>
      </c>
      <c r="G341" s="128" t="s">
        <v>523</v>
      </c>
      <c r="H341" s="128" t="s">
        <v>1346</v>
      </c>
      <c r="I341" s="128" t="s">
        <v>1347</v>
      </c>
      <c r="J341" s="129">
        <v>8.0</v>
      </c>
      <c r="K341" s="129">
        <v>1.0</v>
      </c>
      <c r="L341" s="129">
        <v>150.0</v>
      </c>
      <c r="M341" s="128" t="s">
        <v>524</v>
      </c>
      <c r="N341" s="129">
        <v>356.0</v>
      </c>
      <c r="O341" s="128"/>
      <c r="P341" s="129">
        <v>30.0</v>
      </c>
      <c r="Q341" s="128" t="s">
        <v>572</v>
      </c>
    </row>
    <row r="342">
      <c r="A342" s="129">
        <v>441.0</v>
      </c>
      <c r="B342" s="129">
        <v>2016.0</v>
      </c>
      <c r="C342" s="129">
        <v>-47.21</v>
      </c>
      <c r="D342" s="129">
        <v>41.1651</v>
      </c>
      <c r="E342" s="129">
        <v>-96.4766</v>
      </c>
      <c r="F342" s="128" t="s">
        <v>571</v>
      </c>
      <c r="G342" s="128" t="s">
        <v>523</v>
      </c>
      <c r="H342" s="128" t="s">
        <v>1046</v>
      </c>
      <c r="I342" s="128" t="s">
        <v>1047</v>
      </c>
      <c r="J342" s="129">
        <v>8.0</v>
      </c>
      <c r="K342" s="129">
        <v>1.0</v>
      </c>
      <c r="L342" s="129">
        <v>30.0</v>
      </c>
      <c r="M342" s="128" t="s">
        <v>524</v>
      </c>
      <c r="N342" s="129">
        <v>356.0</v>
      </c>
      <c r="O342" s="128"/>
      <c r="P342" s="129">
        <v>30.0</v>
      </c>
      <c r="Q342" s="128" t="s">
        <v>572</v>
      </c>
    </row>
    <row r="343">
      <c r="A343" s="129">
        <v>444.0</v>
      </c>
      <c r="B343" s="129">
        <v>2016.0</v>
      </c>
      <c r="C343" s="129">
        <v>-31.11</v>
      </c>
      <c r="D343" s="129">
        <v>41.1651</v>
      </c>
      <c r="E343" s="129">
        <v>-96.4766</v>
      </c>
      <c r="F343" s="128" t="s">
        <v>936</v>
      </c>
      <c r="G343" s="128" t="s">
        <v>523</v>
      </c>
      <c r="H343" s="128" t="s">
        <v>1046</v>
      </c>
      <c r="I343" s="128" t="s">
        <v>1047</v>
      </c>
      <c r="J343" s="129">
        <v>8.0</v>
      </c>
      <c r="K343" s="129">
        <v>1.0</v>
      </c>
      <c r="L343" s="129">
        <v>30.0</v>
      </c>
      <c r="M343" s="128" t="s">
        <v>524</v>
      </c>
      <c r="N343" s="129">
        <v>356.0</v>
      </c>
      <c r="O343" s="128"/>
      <c r="P343" s="129">
        <v>30.0</v>
      </c>
      <c r="Q343" s="128" t="s">
        <v>572</v>
      </c>
    </row>
    <row r="344">
      <c r="A344" s="129">
        <v>1439.0</v>
      </c>
      <c r="B344" s="129">
        <v>2018.0</v>
      </c>
      <c r="C344" s="129">
        <v>-15.0</v>
      </c>
      <c r="D344" s="129">
        <v>41.1651</v>
      </c>
      <c r="E344" s="129">
        <v>-96.4766</v>
      </c>
      <c r="F344" s="128" t="s">
        <v>936</v>
      </c>
      <c r="G344" s="128" t="s">
        <v>523</v>
      </c>
      <c r="H344" s="128"/>
      <c r="I344" s="128"/>
      <c r="J344" s="129">
        <v>114.0</v>
      </c>
      <c r="K344" s="129">
        <v>1.0</v>
      </c>
      <c r="L344" s="129">
        <v>1000.0</v>
      </c>
      <c r="M344" s="128" t="s">
        <v>524</v>
      </c>
      <c r="N344" s="129">
        <v>356.0</v>
      </c>
      <c r="O344" s="128"/>
      <c r="P344" s="129">
        <v>1000.0</v>
      </c>
      <c r="Q344" s="128" t="s">
        <v>572</v>
      </c>
    </row>
    <row r="345">
      <c r="A345" s="129">
        <v>419.0</v>
      </c>
      <c r="B345" s="129">
        <v>2020.0</v>
      </c>
      <c r="C345" s="129">
        <v>-33.0</v>
      </c>
      <c r="D345" s="129">
        <v>41.1651</v>
      </c>
      <c r="E345" s="129">
        <v>-96.4766</v>
      </c>
      <c r="F345" s="128" t="s">
        <v>802</v>
      </c>
      <c r="G345" s="128" t="s">
        <v>523</v>
      </c>
      <c r="H345" s="128" t="s">
        <v>193</v>
      </c>
      <c r="I345" s="128" t="s">
        <v>246</v>
      </c>
      <c r="J345" s="128"/>
      <c r="K345" s="129">
        <v>1.0</v>
      </c>
      <c r="L345" s="129">
        <v>1000.0</v>
      </c>
      <c r="M345" s="128" t="s">
        <v>524</v>
      </c>
      <c r="N345" s="129">
        <v>356.0</v>
      </c>
      <c r="O345" s="128"/>
      <c r="P345" s="129">
        <v>1000.0</v>
      </c>
      <c r="Q345" s="128" t="s">
        <v>572</v>
      </c>
    </row>
    <row r="346">
      <c r="A346" s="129">
        <v>447.0</v>
      </c>
      <c r="B346" s="129">
        <v>2016.0</v>
      </c>
      <c r="C346" s="129">
        <v>-12.63</v>
      </c>
      <c r="D346" s="129">
        <v>41.1651</v>
      </c>
      <c r="E346" s="129">
        <v>-96.4766</v>
      </c>
      <c r="F346" s="128" t="s">
        <v>802</v>
      </c>
      <c r="G346" s="128" t="s">
        <v>523</v>
      </c>
      <c r="H346" s="128" t="s">
        <v>1046</v>
      </c>
      <c r="I346" s="128" t="s">
        <v>1047</v>
      </c>
      <c r="J346" s="129">
        <v>8.0</v>
      </c>
      <c r="K346" s="129">
        <v>1.0</v>
      </c>
      <c r="L346" s="129">
        <v>30.0</v>
      </c>
      <c r="M346" s="128" t="s">
        <v>524</v>
      </c>
      <c r="N346" s="129">
        <v>356.0</v>
      </c>
      <c r="O346" s="128"/>
      <c r="P346" s="129">
        <v>30.0</v>
      </c>
      <c r="Q346" s="128" t="s">
        <v>572</v>
      </c>
    </row>
    <row r="347">
      <c r="A347" s="129">
        <v>1426.0</v>
      </c>
      <c r="B347" s="129">
        <v>2018.0</v>
      </c>
      <c r="C347" s="129">
        <v>-32.0</v>
      </c>
      <c r="D347" s="129">
        <v>41.1651</v>
      </c>
      <c r="E347" s="129">
        <v>-96.4766</v>
      </c>
      <c r="F347" s="128" t="s">
        <v>2481</v>
      </c>
      <c r="G347" s="128" t="s">
        <v>523</v>
      </c>
      <c r="H347" s="128"/>
      <c r="I347" s="128"/>
      <c r="J347" s="129">
        <v>114.0</v>
      </c>
      <c r="K347" s="129">
        <v>1.0</v>
      </c>
      <c r="L347" s="129">
        <v>1000.0</v>
      </c>
      <c r="M347" s="128" t="s">
        <v>524</v>
      </c>
      <c r="N347" s="129">
        <v>356.0</v>
      </c>
      <c r="O347" s="128"/>
      <c r="P347" s="129">
        <v>1000.0</v>
      </c>
      <c r="Q347" s="128" t="s">
        <v>572</v>
      </c>
    </row>
    <row r="348">
      <c r="A348" s="129">
        <v>440.0</v>
      </c>
      <c r="B348" s="129">
        <v>2016.0</v>
      </c>
      <c r="C348" s="129">
        <v>13.71</v>
      </c>
      <c r="D348" s="129">
        <v>41.1797</v>
      </c>
      <c r="E348" s="129">
        <v>-96.4396</v>
      </c>
      <c r="F348" s="128" t="s">
        <v>984</v>
      </c>
      <c r="G348" s="128" t="s">
        <v>529</v>
      </c>
      <c r="H348" s="128" t="s">
        <v>1046</v>
      </c>
      <c r="I348" s="128" t="s">
        <v>1047</v>
      </c>
      <c r="J348" s="129">
        <v>8.0</v>
      </c>
      <c r="K348" s="129">
        <v>1.0</v>
      </c>
      <c r="L348" s="129">
        <v>30.0</v>
      </c>
      <c r="M348" s="128" t="s">
        <v>530</v>
      </c>
      <c r="N348" s="129">
        <v>359.0</v>
      </c>
      <c r="O348" s="128"/>
      <c r="P348" s="129">
        <v>30.0</v>
      </c>
      <c r="Q348" s="128" t="s">
        <v>572</v>
      </c>
    </row>
    <row r="349">
      <c r="A349" s="129">
        <v>687.0</v>
      </c>
      <c r="B349" s="129">
        <v>2012.0</v>
      </c>
      <c r="C349" s="129">
        <v>-0.4</v>
      </c>
      <c r="D349" s="129">
        <v>41.1797</v>
      </c>
      <c r="E349" s="129">
        <v>-96.4397</v>
      </c>
      <c r="F349" s="128" t="s">
        <v>984</v>
      </c>
      <c r="G349" s="128" t="s">
        <v>529</v>
      </c>
      <c r="H349" s="128" t="s">
        <v>1346</v>
      </c>
      <c r="I349" s="128" t="s">
        <v>1347</v>
      </c>
      <c r="J349" s="129">
        <v>8.0</v>
      </c>
      <c r="K349" s="129">
        <v>1.0</v>
      </c>
      <c r="L349" s="129">
        <v>150.0</v>
      </c>
      <c r="M349" s="128" t="s">
        <v>530</v>
      </c>
      <c r="N349" s="129">
        <v>359.0</v>
      </c>
      <c r="O349" s="128"/>
      <c r="P349" s="129">
        <v>30.0</v>
      </c>
      <c r="Q349" s="128" t="s">
        <v>572</v>
      </c>
    </row>
    <row r="350">
      <c r="A350" s="129">
        <v>691.0</v>
      </c>
      <c r="B350" s="129">
        <v>2012.0</v>
      </c>
      <c r="C350" s="129">
        <v>30.2</v>
      </c>
      <c r="D350" s="129">
        <v>41.1797</v>
      </c>
      <c r="E350" s="129">
        <v>-96.4397</v>
      </c>
      <c r="F350" s="128" t="s">
        <v>984</v>
      </c>
      <c r="G350" s="128" t="s">
        <v>529</v>
      </c>
      <c r="H350" s="128" t="s">
        <v>1346</v>
      </c>
      <c r="I350" s="128" t="s">
        <v>1347</v>
      </c>
      <c r="J350" s="129">
        <v>8.0</v>
      </c>
      <c r="K350" s="129">
        <v>1.0</v>
      </c>
      <c r="L350" s="129">
        <v>150.0</v>
      </c>
      <c r="M350" s="128" t="s">
        <v>530</v>
      </c>
      <c r="N350" s="129">
        <v>359.0</v>
      </c>
      <c r="O350" s="128"/>
      <c r="P350" s="129">
        <v>30.0</v>
      </c>
      <c r="Q350" s="128" t="s">
        <v>572</v>
      </c>
    </row>
    <row r="351">
      <c r="A351" s="129">
        <v>443.0</v>
      </c>
      <c r="B351" s="129">
        <v>2016.0</v>
      </c>
      <c r="C351" s="129">
        <v>-39.59</v>
      </c>
      <c r="D351" s="129">
        <v>41.1797</v>
      </c>
      <c r="E351" s="129">
        <v>-96.4396</v>
      </c>
      <c r="F351" s="128" t="s">
        <v>571</v>
      </c>
      <c r="G351" s="128" t="s">
        <v>529</v>
      </c>
      <c r="H351" s="128" t="s">
        <v>1046</v>
      </c>
      <c r="I351" s="128" t="s">
        <v>1047</v>
      </c>
      <c r="J351" s="129">
        <v>8.0</v>
      </c>
      <c r="K351" s="129">
        <v>1.0</v>
      </c>
      <c r="L351" s="129">
        <v>30.0</v>
      </c>
      <c r="M351" s="128" t="s">
        <v>530</v>
      </c>
      <c r="N351" s="129">
        <v>359.0</v>
      </c>
      <c r="O351" s="128"/>
      <c r="P351" s="129">
        <v>30.0</v>
      </c>
      <c r="Q351" s="128" t="s">
        <v>572</v>
      </c>
    </row>
    <row r="352">
      <c r="A352" s="129">
        <v>446.0</v>
      </c>
      <c r="B352" s="129">
        <v>2016.0</v>
      </c>
      <c r="C352" s="129">
        <v>-25.99</v>
      </c>
      <c r="D352" s="129">
        <v>41.1797</v>
      </c>
      <c r="E352" s="129">
        <v>-96.4396</v>
      </c>
      <c r="F352" s="128" t="s">
        <v>936</v>
      </c>
      <c r="G352" s="128" t="s">
        <v>529</v>
      </c>
      <c r="H352" s="128" t="s">
        <v>1046</v>
      </c>
      <c r="I352" s="128" t="s">
        <v>1047</v>
      </c>
      <c r="J352" s="129">
        <v>8.0</v>
      </c>
      <c r="K352" s="129">
        <v>1.0</v>
      </c>
      <c r="L352" s="129">
        <v>30.0</v>
      </c>
      <c r="M352" s="128" t="s">
        <v>530</v>
      </c>
      <c r="N352" s="129">
        <v>359.0</v>
      </c>
      <c r="O352" s="128"/>
      <c r="P352" s="129">
        <v>30.0</v>
      </c>
      <c r="Q352" s="128" t="s">
        <v>572</v>
      </c>
    </row>
    <row r="353">
      <c r="A353" s="129">
        <v>1360.0</v>
      </c>
      <c r="B353" s="129">
        <v>2017.0</v>
      </c>
      <c r="C353" s="129">
        <v>76.0</v>
      </c>
      <c r="D353" s="129">
        <v>41.3966</v>
      </c>
      <c r="E353" s="129">
        <v>-106.802</v>
      </c>
      <c r="F353" s="128" t="s">
        <v>802</v>
      </c>
      <c r="G353" s="128" t="s">
        <v>2405</v>
      </c>
      <c r="H353" s="128"/>
      <c r="I353" s="128"/>
      <c r="J353" s="128"/>
      <c r="K353" s="129">
        <v>1.0</v>
      </c>
      <c r="L353" s="128"/>
      <c r="M353" s="128" t="s">
        <v>2406</v>
      </c>
      <c r="N353" s="129">
        <v>2179.0</v>
      </c>
      <c r="O353" s="128"/>
      <c r="P353" s="128"/>
      <c r="Q353" s="128" t="s">
        <v>572</v>
      </c>
    </row>
    <row r="354">
      <c r="A354" s="129">
        <v>1350.0</v>
      </c>
      <c r="B354" s="129">
        <v>2017.0</v>
      </c>
      <c r="C354" s="129">
        <v>69.0</v>
      </c>
      <c r="D354" s="129">
        <v>41.3966</v>
      </c>
      <c r="E354" s="129">
        <v>-106.802</v>
      </c>
      <c r="F354" s="128" t="s">
        <v>2398</v>
      </c>
      <c r="G354" s="128" t="s">
        <v>2405</v>
      </c>
      <c r="H354" s="128"/>
      <c r="I354" s="128"/>
      <c r="J354" s="128"/>
      <c r="K354" s="129">
        <v>1.0</v>
      </c>
      <c r="L354" s="128"/>
      <c r="M354" s="128" t="s">
        <v>2406</v>
      </c>
      <c r="N354" s="129">
        <v>2179.0</v>
      </c>
      <c r="O354" s="128"/>
      <c r="P354" s="128"/>
      <c r="Q354" s="128" t="s">
        <v>572</v>
      </c>
    </row>
    <row r="355">
      <c r="A355" s="129">
        <v>1352.0</v>
      </c>
      <c r="B355" s="129">
        <v>2017.0</v>
      </c>
      <c r="C355" s="129">
        <v>74.0</v>
      </c>
      <c r="D355" s="129">
        <v>41.5545</v>
      </c>
      <c r="E355" s="129">
        <v>-83.8438</v>
      </c>
      <c r="F355" s="128" t="s">
        <v>802</v>
      </c>
      <c r="G355" s="128" t="s">
        <v>2396</v>
      </c>
      <c r="H355" s="128"/>
      <c r="I355" s="128"/>
      <c r="J355" s="128"/>
      <c r="K355" s="129">
        <v>1.0</v>
      </c>
      <c r="L355" s="128"/>
      <c r="M355" s="128" t="s">
        <v>2397</v>
      </c>
      <c r="N355" s="129">
        <v>215.0</v>
      </c>
      <c r="O355" s="128"/>
      <c r="P355" s="128"/>
      <c r="Q355" s="128" t="s">
        <v>572</v>
      </c>
    </row>
    <row r="356">
      <c r="A356" s="129">
        <v>1342.0</v>
      </c>
      <c r="B356" s="129">
        <v>2017.0</v>
      </c>
      <c r="C356" s="129">
        <v>71.0</v>
      </c>
      <c r="D356" s="129">
        <v>41.5545</v>
      </c>
      <c r="E356" s="129">
        <v>-83.8438</v>
      </c>
      <c r="F356" s="128" t="s">
        <v>2398</v>
      </c>
      <c r="G356" s="128" t="s">
        <v>2396</v>
      </c>
      <c r="H356" s="128"/>
      <c r="I356" s="128"/>
      <c r="J356" s="128"/>
      <c r="K356" s="129">
        <v>1.0</v>
      </c>
      <c r="L356" s="128"/>
      <c r="M356" s="128" t="s">
        <v>2397</v>
      </c>
      <c r="N356" s="129">
        <v>215.0</v>
      </c>
      <c r="O356" s="128"/>
      <c r="P356" s="128"/>
      <c r="Q356" s="128" t="s">
        <v>572</v>
      </c>
    </row>
    <row r="357">
      <c r="A357" s="129">
        <v>1001.0</v>
      </c>
      <c r="B357" s="129">
        <v>2012.0</v>
      </c>
      <c r="C357" s="129">
        <v>-1.04513</v>
      </c>
      <c r="D357" s="129">
        <v>42.0</v>
      </c>
      <c r="E357" s="129">
        <v>-93.5</v>
      </c>
      <c r="F357" s="128" t="s">
        <v>1832</v>
      </c>
      <c r="G357" s="128" t="s">
        <v>1829</v>
      </c>
      <c r="H357" s="128" t="s">
        <v>1827</v>
      </c>
      <c r="I357" s="128" t="s">
        <v>1828</v>
      </c>
      <c r="J357" s="129">
        <v>30.0</v>
      </c>
      <c r="K357" s="129">
        <v>12.0</v>
      </c>
      <c r="L357" s="128"/>
      <c r="M357" s="128"/>
      <c r="N357" s="129">
        <v>289.0</v>
      </c>
      <c r="O357" s="128"/>
      <c r="P357" s="129">
        <v>30.0</v>
      </c>
      <c r="Q357" s="128" t="s">
        <v>572</v>
      </c>
    </row>
    <row r="358">
      <c r="A358" s="129">
        <v>1002.0</v>
      </c>
      <c r="B358" s="129">
        <v>2012.0</v>
      </c>
      <c r="C358" s="129">
        <v>1.067513</v>
      </c>
      <c r="D358" s="129">
        <v>42.0</v>
      </c>
      <c r="E358" s="129">
        <v>-93.5</v>
      </c>
      <c r="F358" s="128" t="s">
        <v>1832</v>
      </c>
      <c r="G358" s="128" t="s">
        <v>1829</v>
      </c>
      <c r="H358" s="128" t="s">
        <v>1836</v>
      </c>
      <c r="I358" s="128" t="s">
        <v>1836</v>
      </c>
      <c r="J358" s="129">
        <v>9.0</v>
      </c>
      <c r="K358" s="129">
        <v>9.0</v>
      </c>
      <c r="L358" s="128"/>
      <c r="M358" s="128"/>
      <c r="N358" s="129">
        <v>289.0</v>
      </c>
      <c r="O358" s="128"/>
      <c r="P358" s="129">
        <v>30.0</v>
      </c>
      <c r="Q358" s="128" t="s">
        <v>572</v>
      </c>
    </row>
    <row r="359">
      <c r="A359" s="129">
        <v>1003.0</v>
      </c>
      <c r="B359" s="129">
        <v>2012.0</v>
      </c>
      <c r="C359" s="129">
        <v>-4.75238</v>
      </c>
      <c r="D359" s="129">
        <v>42.0</v>
      </c>
      <c r="E359" s="129">
        <v>-93.5</v>
      </c>
      <c r="F359" s="128" t="s">
        <v>1832</v>
      </c>
      <c r="G359" s="128" t="s">
        <v>1829</v>
      </c>
      <c r="H359" s="128" t="s">
        <v>1837</v>
      </c>
      <c r="I359" s="128" t="s">
        <v>1837</v>
      </c>
      <c r="J359" s="129">
        <v>10.0</v>
      </c>
      <c r="K359" s="129">
        <v>10.0</v>
      </c>
      <c r="L359" s="128"/>
      <c r="M359" s="128"/>
      <c r="N359" s="129">
        <v>289.0</v>
      </c>
      <c r="O359" s="128"/>
      <c r="P359" s="129">
        <v>30.0</v>
      </c>
      <c r="Q359" s="128" t="s">
        <v>572</v>
      </c>
    </row>
    <row r="360">
      <c r="A360" s="129">
        <v>1004.0</v>
      </c>
      <c r="B360" s="129">
        <v>2012.0</v>
      </c>
      <c r="C360" s="129">
        <v>0.458807</v>
      </c>
      <c r="D360" s="129">
        <v>42.0</v>
      </c>
      <c r="E360" s="129">
        <v>-93.5</v>
      </c>
      <c r="F360" s="128" t="s">
        <v>1832</v>
      </c>
      <c r="G360" s="128" t="s">
        <v>1829</v>
      </c>
      <c r="H360" s="128" t="s">
        <v>1828</v>
      </c>
      <c r="I360" s="128" t="s">
        <v>1828</v>
      </c>
      <c r="J360" s="129">
        <v>11.0</v>
      </c>
      <c r="K360" s="129">
        <v>11.0</v>
      </c>
      <c r="L360" s="128"/>
      <c r="M360" s="128"/>
      <c r="N360" s="129">
        <v>289.0</v>
      </c>
      <c r="O360" s="128"/>
      <c r="P360" s="129">
        <v>30.0</v>
      </c>
      <c r="Q360" s="128" t="s">
        <v>572</v>
      </c>
    </row>
    <row r="361">
      <c r="A361" s="129">
        <v>421.0</v>
      </c>
      <c r="B361" s="129">
        <v>2020.0</v>
      </c>
      <c r="C361" s="129">
        <v>-22.0</v>
      </c>
      <c r="D361" s="129">
        <v>42.0467</v>
      </c>
      <c r="E361" s="129">
        <v>116.2836</v>
      </c>
      <c r="F361" s="128" t="s">
        <v>802</v>
      </c>
      <c r="G361" s="128" t="s">
        <v>1010</v>
      </c>
      <c r="H361" s="128" t="s">
        <v>193</v>
      </c>
      <c r="I361" s="128" t="s">
        <v>246</v>
      </c>
      <c r="J361" s="128"/>
      <c r="K361" s="129">
        <v>1.0</v>
      </c>
      <c r="L361" s="129">
        <v>1000.0</v>
      </c>
      <c r="M361" s="128" t="s">
        <v>1011</v>
      </c>
      <c r="N361" s="129">
        <v>1321.0</v>
      </c>
      <c r="O361" s="128"/>
      <c r="P361" s="129">
        <v>1000.0</v>
      </c>
      <c r="Q361" s="128" t="s">
        <v>572</v>
      </c>
    </row>
    <row r="362">
      <c r="A362" s="129">
        <v>882.0</v>
      </c>
      <c r="B362" s="129">
        <v>2016.0</v>
      </c>
      <c r="C362" s="129">
        <v>18.0</v>
      </c>
      <c r="D362" s="129">
        <v>42.5378</v>
      </c>
      <c r="E362" s="129">
        <v>-72.1715</v>
      </c>
      <c r="F362" s="128" t="s">
        <v>802</v>
      </c>
      <c r="G362" s="128" t="s">
        <v>1304</v>
      </c>
      <c r="H362" s="128" t="s">
        <v>193</v>
      </c>
      <c r="I362" s="128" t="s">
        <v>1668</v>
      </c>
      <c r="J362" s="129">
        <v>36.0</v>
      </c>
      <c r="K362" s="129">
        <v>1.0</v>
      </c>
      <c r="L362" s="129">
        <v>1000.0</v>
      </c>
      <c r="M362" s="128" t="s">
        <v>1305</v>
      </c>
      <c r="N362" s="129">
        <v>353.0</v>
      </c>
      <c r="O362" s="128"/>
      <c r="P362" s="129">
        <v>1000.0</v>
      </c>
      <c r="Q362" s="128" t="s">
        <v>572</v>
      </c>
    </row>
    <row r="363">
      <c r="A363" s="129">
        <v>1361.0</v>
      </c>
      <c r="B363" s="129">
        <v>2017.0</v>
      </c>
      <c r="C363" s="129">
        <v>-45.0</v>
      </c>
      <c r="D363" s="129">
        <v>42.54</v>
      </c>
      <c r="E363" s="129">
        <v>-72.19</v>
      </c>
      <c r="F363" s="128" t="s">
        <v>802</v>
      </c>
      <c r="G363" s="128" t="s">
        <v>1331</v>
      </c>
      <c r="H363" s="128"/>
      <c r="I363" s="128"/>
      <c r="J363" s="128"/>
      <c r="K363" s="129">
        <v>1.0</v>
      </c>
      <c r="L363" s="128"/>
      <c r="M363" s="128" t="s">
        <v>2408</v>
      </c>
      <c r="N363" s="129">
        <v>365.0</v>
      </c>
      <c r="O363" s="128"/>
      <c r="P363" s="128"/>
      <c r="Q363" s="128" t="s">
        <v>572</v>
      </c>
    </row>
    <row r="364">
      <c r="A364" s="129">
        <v>1351.0</v>
      </c>
      <c r="B364" s="129">
        <v>2017.0</v>
      </c>
      <c r="C364" s="129">
        <v>-58.0</v>
      </c>
      <c r="D364" s="129">
        <v>42.54</v>
      </c>
      <c r="E364" s="129">
        <v>-72.19</v>
      </c>
      <c r="F364" s="128" t="s">
        <v>2398</v>
      </c>
      <c r="G364" s="128" t="s">
        <v>1331</v>
      </c>
      <c r="H364" s="128"/>
      <c r="I364" s="128"/>
      <c r="J364" s="128"/>
      <c r="K364" s="129">
        <v>1.0</v>
      </c>
      <c r="L364" s="128"/>
      <c r="M364" s="128" t="s">
        <v>2408</v>
      </c>
      <c r="N364" s="129">
        <v>365.0</v>
      </c>
      <c r="O364" s="128"/>
      <c r="P364" s="128"/>
      <c r="Q364" s="128" t="s">
        <v>572</v>
      </c>
    </row>
    <row r="365">
      <c r="A365" s="129">
        <v>1792.0</v>
      </c>
      <c r="B365" s="129">
        <v>2013.0</v>
      </c>
      <c r="C365" s="129">
        <v>82.4</v>
      </c>
      <c r="D365" s="129">
        <v>44.416</v>
      </c>
      <c r="E365" s="129">
        <v>122.867</v>
      </c>
      <c r="F365" s="128" t="s">
        <v>2833</v>
      </c>
      <c r="G365" s="128" t="s">
        <v>1207</v>
      </c>
      <c r="H365" s="128" t="s">
        <v>193</v>
      </c>
      <c r="I365" s="128" t="s">
        <v>363</v>
      </c>
      <c r="J365" s="129">
        <v>23.0</v>
      </c>
      <c r="K365" s="129">
        <v>1.0</v>
      </c>
      <c r="L365" s="129">
        <v>1000.0</v>
      </c>
      <c r="M365" s="128" t="s">
        <v>1207</v>
      </c>
      <c r="N365" s="129">
        <v>153.0</v>
      </c>
      <c r="O365" s="128"/>
      <c r="P365" s="129">
        <v>1000.0</v>
      </c>
      <c r="Q365" s="128" t="s">
        <v>572</v>
      </c>
    </row>
    <row r="366">
      <c r="A366" s="129">
        <v>1793.0</v>
      </c>
      <c r="B366" s="129">
        <v>2013.0</v>
      </c>
      <c r="C366" s="129">
        <v>-4.6</v>
      </c>
      <c r="D366" s="129">
        <v>44.416</v>
      </c>
      <c r="E366" s="129">
        <v>122.867</v>
      </c>
      <c r="F366" s="128" t="s">
        <v>2833</v>
      </c>
      <c r="G366" s="128" t="s">
        <v>1207</v>
      </c>
      <c r="H366" s="128" t="s">
        <v>193</v>
      </c>
      <c r="I366" s="128" t="s">
        <v>363</v>
      </c>
      <c r="J366" s="129">
        <v>23.0</v>
      </c>
      <c r="K366" s="129">
        <v>1.0</v>
      </c>
      <c r="L366" s="129">
        <v>1000.0</v>
      </c>
      <c r="M366" s="128" t="s">
        <v>1207</v>
      </c>
      <c r="N366" s="129">
        <v>153.0</v>
      </c>
      <c r="O366" s="128"/>
      <c r="P366" s="129">
        <v>1000.0</v>
      </c>
      <c r="Q366" s="128" t="s">
        <v>572</v>
      </c>
    </row>
    <row r="367">
      <c r="A367" s="129">
        <v>1794.0</v>
      </c>
      <c r="B367" s="129">
        <v>2013.0</v>
      </c>
      <c r="C367" s="129">
        <v>41.2</v>
      </c>
      <c r="D367" s="129">
        <v>44.416</v>
      </c>
      <c r="E367" s="129">
        <v>122.867</v>
      </c>
      <c r="F367" s="128" t="s">
        <v>571</v>
      </c>
      <c r="G367" s="128" t="s">
        <v>1207</v>
      </c>
      <c r="H367" s="128" t="s">
        <v>193</v>
      </c>
      <c r="I367" s="128" t="s">
        <v>363</v>
      </c>
      <c r="J367" s="129">
        <v>23.0</v>
      </c>
      <c r="K367" s="129">
        <v>1.0</v>
      </c>
      <c r="L367" s="129">
        <v>1000.0</v>
      </c>
      <c r="M367" s="128" t="s">
        <v>1207</v>
      </c>
      <c r="N367" s="129">
        <v>153.0</v>
      </c>
      <c r="O367" s="128"/>
      <c r="P367" s="129">
        <v>1000.0</v>
      </c>
      <c r="Q367" s="128" t="s">
        <v>572</v>
      </c>
    </row>
    <row r="368">
      <c r="A368" s="129">
        <v>1795.0</v>
      </c>
      <c r="B368" s="129">
        <v>2013.0</v>
      </c>
      <c r="C368" s="129">
        <v>3.1</v>
      </c>
      <c r="D368" s="129">
        <v>44.416</v>
      </c>
      <c r="E368" s="129">
        <v>122.867</v>
      </c>
      <c r="F368" s="128" t="s">
        <v>571</v>
      </c>
      <c r="G368" s="128" t="s">
        <v>1207</v>
      </c>
      <c r="H368" s="128" t="s">
        <v>193</v>
      </c>
      <c r="I368" s="128" t="s">
        <v>363</v>
      </c>
      <c r="J368" s="129">
        <v>23.0</v>
      </c>
      <c r="K368" s="129">
        <v>1.0</v>
      </c>
      <c r="L368" s="129">
        <v>1000.0</v>
      </c>
      <c r="M368" s="128" t="s">
        <v>1207</v>
      </c>
      <c r="N368" s="129">
        <v>153.0</v>
      </c>
      <c r="O368" s="128"/>
      <c r="P368" s="129">
        <v>1000.0</v>
      </c>
      <c r="Q368" s="128" t="s">
        <v>572</v>
      </c>
    </row>
    <row r="369">
      <c r="A369" s="129">
        <v>1430.0</v>
      </c>
      <c r="B369" s="129">
        <v>2018.0</v>
      </c>
      <c r="C369" s="129">
        <v>33.0</v>
      </c>
      <c r="D369" s="129">
        <v>44.4523</v>
      </c>
      <c r="E369" s="129">
        <v>-121.557</v>
      </c>
      <c r="F369" s="128" t="s">
        <v>936</v>
      </c>
      <c r="G369" s="128" t="s">
        <v>1314</v>
      </c>
      <c r="H369" s="128"/>
      <c r="I369" s="128"/>
      <c r="J369" s="129">
        <v>80.0</v>
      </c>
      <c r="K369" s="129">
        <v>1.0</v>
      </c>
      <c r="L369" s="129">
        <v>1000.0</v>
      </c>
      <c r="M369" s="128" t="s">
        <v>1315</v>
      </c>
      <c r="N369" s="129">
        <v>1259.0</v>
      </c>
      <c r="O369" s="128"/>
      <c r="P369" s="129">
        <v>1000.0</v>
      </c>
      <c r="Q369" s="128" t="s">
        <v>572</v>
      </c>
    </row>
    <row r="370">
      <c r="A370" s="129">
        <v>1417.0</v>
      </c>
      <c r="B370" s="129">
        <v>2018.0</v>
      </c>
      <c r="C370" s="129">
        <v>-19.0</v>
      </c>
      <c r="D370" s="129">
        <v>44.4523</v>
      </c>
      <c r="E370" s="129">
        <v>-121.557</v>
      </c>
      <c r="F370" s="128" t="s">
        <v>2481</v>
      </c>
      <c r="G370" s="128" t="s">
        <v>1314</v>
      </c>
      <c r="H370" s="128"/>
      <c r="I370" s="128"/>
      <c r="J370" s="129">
        <v>80.0</v>
      </c>
      <c r="K370" s="129">
        <v>1.0</v>
      </c>
      <c r="L370" s="129">
        <v>1000.0</v>
      </c>
      <c r="M370" s="128" t="s">
        <v>1315</v>
      </c>
      <c r="N370" s="129">
        <v>1259.0</v>
      </c>
      <c r="O370" s="128"/>
      <c r="P370" s="129">
        <v>1000.0</v>
      </c>
      <c r="Q370" s="128" t="s">
        <v>572</v>
      </c>
    </row>
    <row r="371">
      <c r="A371" s="129">
        <v>420.0</v>
      </c>
      <c r="B371" s="129">
        <v>2020.0</v>
      </c>
      <c r="C371" s="129">
        <v>-40.0</v>
      </c>
      <c r="D371" s="129">
        <v>44.5934</v>
      </c>
      <c r="E371" s="129">
        <v>123.5092</v>
      </c>
      <c r="F371" s="128" t="s">
        <v>802</v>
      </c>
      <c r="G371" s="128" t="s">
        <v>1008</v>
      </c>
      <c r="H371" s="128" t="s">
        <v>193</v>
      </c>
      <c r="I371" s="128" t="s">
        <v>246</v>
      </c>
      <c r="J371" s="128"/>
      <c r="K371" s="129">
        <v>1.0</v>
      </c>
      <c r="L371" s="129">
        <v>1000.0</v>
      </c>
      <c r="M371" s="128" t="s">
        <v>1009</v>
      </c>
      <c r="N371" s="129">
        <v>143.0</v>
      </c>
      <c r="O371" s="128"/>
      <c r="P371" s="129">
        <v>1000.0</v>
      </c>
      <c r="Q371" s="128" t="s">
        <v>572</v>
      </c>
    </row>
    <row r="372">
      <c r="A372" s="129">
        <v>1155.0</v>
      </c>
      <c r="B372" s="129">
        <v>2011.0</v>
      </c>
      <c r="C372" s="129">
        <v>18.26</v>
      </c>
      <c r="D372" s="129">
        <v>44.75</v>
      </c>
      <c r="E372" s="129">
        <v>123.75</v>
      </c>
      <c r="F372" s="128" t="s">
        <v>571</v>
      </c>
      <c r="G372" s="128" t="s">
        <v>2003</v>
      </c>
      <c r="H372" s="128" t="s">
        <v>2001</v>
      </c>
      <c r="I372" s="128" t="s">
        <v>2002</v>
      </c>
      <c r="J372" s="129">
        <v>16.0</v>
      </c>
      <c r="K372" s="129">
        <v>1.0</v>
      </c>
      <c r="L372" s="128"/>
      <c r="M372" s="128"/>
      <c r="N372" s="129">
        <v>150.0</v>
      </c>
      <c r="O372" s="128"/>
      <c r="P372" s="129">
        <v>1000.0</v>
      </c>
      <c r="Q372" s="128" t="s">
        <v>572</v>
      </c>
    </row>
    <row r="373">
      <c r="A373" s="129">
        <v>1357.0</v>
      </c>
      <c r="B373" s="129">
        <v>2017.0</v>
      </c>
      <c r="C373" s="129">
        <v>-75.0</v>
      </c>
      <c r="D373" s="129">
        <v>45.8205</v>
      </c>
      <c r="E373" s="129">
        <v>-121.952</v>
      </c>
      <c r="F373" s="128" t="s">
        <v>802</v>
      </c>
      <c r="G373" s="128" t="s">
        <v>1326</v>
      </c>
      <c r="H373" s="128"/>
      <c r="I373" s="128"/>
      <c r="J373" s="128"/>
      <c r="K373" s="129">
        <v>1.0</v>
      </c>
      <c r="L373" s="128"/>
      <c r="M373" s="128" t="s">
        <v>369</v>
      </c>
      <c r="N373" s="129">
        <v>397.0</v>
      </c>
      <c r="O373" s="128"/>
      <c r="P373" s="128"/>
      <c r="Q373" s="128" t="s">
        <v>572</v>
      </c>
    </row>
    <row r="374">
      <c r="A374" s="129">
        <v>1347.0</v>
      </c>
      <c r="B374" s="129">
        <v>2017.0</v>
      </c>
      <c r="C374" s="129">
        <v>-83.0</v>
      </c>
      <c r="D374" s="129">
        <v>45.8205</v>
      </c>
      <c r="E374" s="129">
        <v>-121.952</v>
      </c>
      <c r="F374" s="128" t="s">
        <v>2398</v>
      </c>
      <c r="G374" s="128" t="s">
        <v>1326</v>
      </c>
      <c r="H374" s="128"/>
      <c r="I374" s="128"/>
      <c r="J374" s="128"/>
      <c r="K374" s="129">
        <v>1.0</v>
      </c>
      <c r="L374" s="128"/>
      <c r="M374" s="128" t="s">
        <v>369</v>
      </c>
      <c r="N374" s="129">
        <v>397.0</v>
      </c>
      <c r="O374" s="128"/>
      <c r="P374" s="128"/>
      <c r="Q374" s="128" t="s">
        <v>572</v>
      </c>
    </row>
    <row r="375">
      <c r="A375" s="129">
        <v>1356.0</v>
      </c>
      <c r="B375" s="129">
        <v>2017.0</v>
      </c>
      <c r="C375" s="129">
        <v>-59.0</v>
      </c>
      <c r="D375" s="129">
        <v>45.9459</v>
      </c>
      <c r="E375" s="129">
        <v>-90.2723</v>
      </c>
      <c r="F375" s="128" t="s">
        <v>802</v>
      </c>
      <c r="G375" s="128" t="s">
        <v>2400</v>
      </c>
      <c r="H375" s="128"/>
      <c r="I375" s="128"/>
      <c r="J375" s="128"/>
      <c r="K375" s="129">
        <v>1.0</v>
      </c>
      <c r="L375" s="128"/>
      <c r="M375" s="128" t="s">
        <v>2401</v>
      </c>
      <c r="N375" s="129">
        <v>471.0</v>
      </c>
      <c r="O375" s="128"/>
      <c r="P375" s="128"/>
      <c r="Q375" s="128" t="s">
        <v>572</v>
      </c>
    </row>
    <row r="376">
      <c r="A376" s="129">
        <v>1346.0</v>
      </c>
      <c r="B376" s="129">
        <v>2017.0</v>
      </c>
      <c r="C376" s="129">
        <v>-65.0</v>
      </c>
      <c r="D376" s="129">
        <v>45.9459</v>
      </c>
      <c r="E376" s="129">
        <v>-90.2723</v>
      </c>
      <c r="F376" s="128" t="s">
        <v>2398</v>
      </c>
      <c r="G376" s="128" t="s">
        <v>2400</v>
      </c>
      <c r="H376" s="128"/>
      <c r="I376" s="128"/>
      <c r="J376" s="128"/>
      <c r="K376" s="129">
        <v>1.0</v>
      </c>
      <c r="L376" s="128"/>
      <c r="M376" s="128" t="s">
        <v>2401</v>
      </c>
      <c r="N376" s="129">
        <v>471.0</v>
      </c>
      <c r="O376" s="128"/>
      <c r="P376" s="128"/>
      <c r="Q376" s="128" t="s">
        <v>572</v>
      </c>
    </row>
    <row r="377">
      <c r="A377" s="129">
        <v>883.0</v>
      </c>
      <c r="B377" s="129">
        <v>2016.0</v>
      </c>
      <c r="C377" s="129">
        <v>17.0</v>
      </c>
      <c r="D377" s="129">
        <v>46.0827</v>
      </c>
      <c r="E377" s="129">
        <v>-89.9792</v>
      </c>
      <c r="F377" s="128" t="s">
        <v>802</v>
      </c>
      <c r="G377" s="128" t="s">
        <v>1669</v>
      </c>
      <c r="H377" s="128" t="s">
        <v>193</v>
      </c>
      <c r="I377" s="128" t="s">
        <v>1668</v>
      </c>
      <c r="J377" s="129">
        <v>36.0</v>
      </c>
      <c r="K377" s="129">
        <v>1.0</v>
      </c>
      <c r="L377" s="129">
        <v>1000.0</v>
      </c>
      <c r="M377" s="128" t="s">
        <v>1670</v>
      </c>
      <c r="N377" s="129">
        <v>478.0</v>
      </c>
      <c r="O377" s="128"/>
      <c r="P377" s="129">
        <v>1000.0</v>
      </c>
      <c r="Q377" s="128" t="s">
        <v>572</v>
      </c>
    </row>
    <row r="378">
      <c r="A378" s="129">
        <v>1354.0</v>
      </c>
      <c r="B378" s="129">
        <v>2017.0</v>
      </c>
      <c r="C378" s="129">
        <v>-66.0</v>
      </c>
      <c r="D378" s="129">
        <v>46.0827</v>
      </c>
      <c r="E378" s="129">
        <v>-89.9792</v>
      </c>
      <c r="F378" s="128" t="s">
        <v>802</v>
      </c>
      <c r="G378" s="128" t="s">
        <v>1669</v>
      </c>
      <c r="H378" s="128"/>
      <c r="I378" s="128"/>
      <c r="J378" s="128"/>
      <c r="K378" s="129">
        <v>1.0</v>
      </c>
      <c r="L378" s="128"/>
      <c r="M378" s="128" t="s">
        <v>1670</v>
      </c>
      <c r="N378" s="129">
        <v>478.0</v>
      </c>
      <c r="O378" s="128"/>
      <c r="P378" s="128"/>
      <c r="Q378" s="128" t="s">
        <v>572</v>
      </c>
    </row>
    <row r="379">
      <c r="A379" s="129">
        <v>1344.0</v>
      </c>
      <c r="B379" s="129">
        <v>2017.0</v>
      </c>
      <c r="C379" s="129">
        <v>-89.0</v>
      </c>
      <c r="D379" s="129">
        <v>46.0827</v>
      </c>
      <c r="E379" s="129">
        <v>-89.9792</v>
      </c>
      <c r="F379" s="128" t="s">
        <v>2398</v>
      </c>
      <c r="G379" s="128" t="s">
        <v>1669</v>
      </c>
      <c r="H379" s="128"/>
      <c r="I379" s="128"/>
      <c r="J379" s="128"/>
      <c r="K379" s="129">
        <v>1.0</v>
      </c>
      <c r="L379" s="128"/>
      <c r="M379" s="128" t="s">
        <v>1670</v>
      </c>
      <c r="N379" s="129">
        <v>478.0</v>
      </c>
      <c r="O379" s="128"/>
      <c r="P379" s="128"/>
      <c r="Q379" s="128" t="s">
        <v>572</v>
      </c>
    </row>
    <row r="380">
      <c r="A380" s="129">
        <v>1298.0</v>
      </c>
      <c r="B380" s="129">
        <v>2021.0</v>
      </c>
      <c r="C380" s="129">
        <v>43.7</v>
      </c>
      <c r="D380" s="129">
        <v>46.495</v>
      </c>
      <c r="E380" s="129">
        <v>-116.802</v>
      </c>
      <c r="F380" s="128" t="s">
        <v>2339</v>
      </c>
      <c r="G380" s="128" t="s">
        <v>2333</v>
      </c>
      <c r="H380" s="128" t="s">
        <v>2327</v>
      </c>
      <c r="I380" s="128" t="s">
        <v>2328</v>
      </c>
      <c r="J380" s="129">
        <v>14.0</v>
      </c>
      <c r="K380" s="129">
        <v>1.0</v>
      </c>
      <c r="L380" s="129">
        <v>30.0</v>
      </c>
      <c r="M380" s="128" t="s">
        <v>2334</v>
      </c>
      <c r="N380" s="129">
        <v>712.0</v>
      </c>
      <c r="O380" s="128"/>
      <c r="P380" s="129">
        <v>30.0</v>
      </c>
      <c r="Q380" s="128" t="s">
        <v>572</v>
      </c>
    </row>
    <row r="381">
      <c r="A381" s="129">
        <v>1316.0</v>
      </c>
      <c r="B381" s="129">
        <v>2021.0</v>
      </c>
      <c r="C381" s="129">
        <v>25.7</v>
      </c>
      <c r="D381" s="129">
        <v>46.495</v>
      </c>
      <c r="E381" s="129">
        <v>-116.802</v>
      </c>
      <c r="F381" s="128" t="s">
        <v>2339</v>
      </c>
      <c r="G381" s="128" t="s">
        <v>2333</v>
      </c>
      <c r="H381" s="128" t="s">
        <v>2327</v>
      </c>
      <c r="I381" s="128" t="s">
        <v>2328</v>
      </c>
      <c r="J381" s="129">
        <v>14.0</v>
      </c>
      <c r="K381" s="129">
        <v>1.0</v>
      </c>
      <c r="L381" s="129">
        <v>30.0</v>
      </c>
      <c r="M381" s="128" t="s">
        <v>2334</v>
      </c>
      <c r="N381" s="129">
        <v>712.0</v>
      </c>
      <c r="O381" s="128"/>
      <c r="P381" s="129">
        <v>30.0</v>
      </c>
      <c r="Q381" s="128" t="s">
        <v>572</v>
      </c>
    </row>
    <row r="382">
      <c r="A382" s="129">
        <v>1289.0</v>
      </c>
      <c r="B382" s="129">
        <v>2021.0</v>
      </c>
      <c r="C382" s="129">
        <v>15.1</v>
      </c>
      <c r="D382" s="129">
        <v>46.495</v>
      </c>
      <c r="E382" s="129">
        <v>-116.802</v>
      </c>
      <c r="F382" s="128" t="s">
        <v>2318</v>
      </c>
      <c r="G382" s="128" t="s">
        <v>2333</v>
      </c>
      <c r="H382" s="128" t="s">
        <v>2327</v>
      </c>
      <c r="I382" s="128" t="s">
        <v>2328</v>
      </c>
      <c r="J382" s="129">
        <v>14.0</v>
      </c>
      <c r="K382" s="129">
        <v>1.0</v>
      </c>
      <c r="L382" s="129">
        <v>30.0</v>
      </c>
      <c r="M382" s="128" t="s">
        <v>2334</v>
      </c>
      <c r="N382" s="129">
        <v>712.0</v>
      </c>
      <c r="O382" s="128"/>
      <c r="P382" s="129">
        <v>30.0</v>
      </c>
      <c r="Q382" s="128" t="s">
        <v>572</v>
      </c>
    </row>
    <row r="383">
      <c r="A383" s="129">
        <v>1307.0</v>
      </c>
      <c r="B383" s="129">
        <v>2021.0</v>
      </c>
      <c r="C383" s="129">
        <v>0.6</v>
      </c>
      <c r="D383" s="129">
        <v>46.495</v>
      </c>
      <c r="E383" s="129">
        <v>-116.802</v>
      </c>
      <c r="F383" s="128" t="s">
        <v>2318</v>
      </c>
      <c r="G383" s="128" t="s">
        <v>2333</v>
      </c>
      <c r="H383" s="128" t="s">
        <v>2327</v>
      </c>
      <c r="I383" s="128" t="s">
        <v>2328</v>
      </c>
      <c r="J383" s="129">
        <v>14.0</v>
      </c>
      <c r="K383" s="129">
        <v>1.0</v>
      </c>
      <c r="L383" s="129">
        <v>30.0</v>
      </c>
      <c r="M383" s="128" t="s">
        <v>2334</v>
      </c>
      <c r="N383" s="129">
        <v>712.0</v>
      </c>
      <c r="O383" s="128"/>
      <c r="P383" s="129">
        <v>30.0</v>
      </c>
      <c r="Q383" s="128" t="s">
        <v>572</v>
      </c>
    </row>
    <row r="384">
      <c r="A384" s="129">
        <v>1297.0</v>
      </c>
      <c r="B384" s="129">
        <v>2021.0</v>
      </c>
      <c r="C384" s="129">
        <v>62.3</v>
      </c>
      <c r="D384" s="129">
        <v>46.49778</v>
      </c>
      <c r="E384" s="129">
        <v>-116.805</v>
      </c>
      <c r="F384" s="128" t="s">
        <v>2339</v>
      </c>
      <c r="G384" s="128" t="s">
        <v>2331</v>
      </c>
      <c r="H384" s="128" t="s">
        <v>2327</v>
      </c>
      <c r="I384" s="128" t="s">
        <v>2328</v>
      </c>
      <c r="J384" s="129">
        <v>14.0</v>
      </c>
      <c r="K384" s="129">
        <v>1.0</v>
      </c>
      <c r="L384" s="129">
        <v>30.0</v>
      </c>
      <c r="M384" s="128" t="s">
        <v>2332</v>
      </c>
      <c r="N384" s="129">
        <v>728.0</v>
      </c>
      <c r="O384" s="128"/>
      <c r="P384" s="129">
        <v>30.0</v>
      </c>
      <c r="Q384" s="128" t="s">
        <v>572</v>
      </c>
    </row>
    <row r="385">
      <c r="A385" s="129">
        <v>1301.0</v>
      </c>
      <c r="B385" s="129">
        <v>2021.0</v>
      </c>
      <c r="C385" s="129">
        <v>47.6</v>
      </c>
      <c r="D385" s="129">
        <v>46.49778</v>
      </c>
      <c r="E385" s="129">
        <v>-116.805</v>
      </c>
      <c r="F385" s="128" t="s">
        <v>2339</v>
      </c>
      <c r="G385" s="128" t="s">
        <v>2331</v>
      </c>
      <c r="H385" s="128" t="s">
        <v>2337</v>
      </c>
      <c r="I385" s="128" t="s">
        <v>2338</v>
      </c>
      <c r="J385" s="129">
        <v>15.0</v>
      </c>
      <c r="K385" s="129">
        <v>1.0</v>
      </c>
      <c r="L385" s="129">
        <v>30.0</v>
      </c>
      <c r="M385" s="128" t="s">
        <v>2332</v>
      </c>
      <c r="N385" s="129">
        <v>728.0</v>
      </c>
      <c r="O385" s="128"/>
      <c r="P385" s="129">
        <v>30.0</v>
      </c>
      <c r="Q385" s="128" t="s">
        <v>572</v>
      </c>
    </row>
    <row r="386">
      <c r="A386" s="129">
        <v>1315.0</v>
      </c>
      <c r="B386" s="129">
        <v>2021.0</v>
      </c>
      <c r="C386" s="129">
        <v>37.4</v>
      </c>
      <c r="D386" s="129">
        <v>46.49778</v>
      </c>
      <c r="E386" s="129">
        <v>-116.805</v>
      </c>
      <c r="F386" s="128" t="s">
        <v>2339</v>
      </c>
      <c r="G386" s="128" t="s">
        <v>2331</v>
      </c>
      <c r="H386" s="128" t="s">
        <v>2327</v>
      </c>
      <c r="I386" s="128" t="s">
        <v>2328</v>
      </c>
      <c r="J386" s="129">
        <v>14.0</v>
      </c>
      <c r="K386" s="129">
        <v>1.0</v>
      </c>
      <c r="L386" s="129">
        <v>30.0</v>
      </c>
      <c r="M386" s="128" t="s">
        <v>2332</v>
      </c>
      <c r="N386" s="129">
        <v>728.0</v>
      </c>
      <c r="O386" s="128"/>
      <c r="P386" s="129">
        <v>30.0</v>
      </c>
      <c r="Q386" s="128" t="s">
        <v>572</v>
      </c>
    </row>
    <row r="387">
      <c r="A387" s="129">
        <v>1319.0</v>
      </c>
      <c r="B387" s="129">
        <v>2021.0</v>
      </c>
      <c r="C387" s="129">
        <v>29.3</v>
      </c>
      <c r="D387" s="129">
        <v>46.49778</v>
      </c>
      <c r="E387" s="129">
        <v>-116.805</v>
      </c>
      <c r="F387" s="128" t="s">
        <v>2339</v>
      </c>
      <c r="G387" s="128" t="s">
        <v>2331</v>
      </c>
      <c r="H387" s="128" t="s">
        <v>2337</v>
      </c>
      <c r="I387" s="128" t="s">
        <v>2338</v>
      </c>
      <c r="J387" s="129">
        <v>15.0</v>
      </c>
      <c r="K387" s="129">
        <v>1.0</v>
      </c>
      <c r="L387" s="129">
        <v>30.0</v>
      </c>
      <c r="M387" s="128" t="s">
        <v>2332</v>
      </c>
      <c r="N387" s="129">
        <v>728.0</v>
      </c>
      <c r="O387" s="128"/>
      <c r="P387" s="129">
        <v>30.0</v>
      </c>
      <c r="Q387" s="128" t="s">
        <v>572</v>
      </c>
    </row>
    <row r="388">
      <c r="A388" s="129">
        <v>1288.0</v>
      </c>
      <c r="B388" s="129">
        <v>2021.0</v>
      </c>
      <c r="C388" s="129">
        <v>28.9</v>
      </c>
      <c r="D388" s="129">
        <v>46.49778</v>
      </c>
      <c r="E388" s="129">
        <v>-116.805</v>
      </c>
      <c r="F388" s="128" t="s">
        <v>2318</v>
      </c>
      <c r="G388" s="128" t="s">
        <v>2331</v>
      </c>
      <c r="H388" s="128" t="s">
        <v>2327</v>
      </c>
      <c r="I388" s="128" t="s">
        <v>2328</v>
      </c>
      <c r="J388" s="129">
        <v>14.0</v>
      </c>
      <c r="K388" s="129">
        <v>1.0</v>
      </c>
      <c r="L388" s="129">
        <v>30.0</v>
      </c>
      <c r="M388" s="128" t="s">
        <v>2332</v>
      </c>
      <c r="N388" s="129">
        <v>728.0</v>
      </c>
      <c r="O388" s="128"/>
      <c r="P388" s="129">
        <v>30.0</v>
      </c>
      <c r="Q388" s="128" t="s">
        <v>572</v>
      </c>
    </row>
    <row r="389">
      <c r="A389" s="129">
        <v>1292.0</v>
      </c>
      <c r="B389" s="129">
        <v>2021.0</v>
      </c>
      <c r="C389" s="129">
        <v>17.9</v>
      </c>
      <c r="D389" s="129">
        <v>46.49778</v>
      </c>
      <c r="E389" s="129">
        <v>-116.805</v>
      </c>
      <c r="F389" s="128" t="s">
        <v>2318</v>
      </c>
      <c r="G389" s="128" t="s">
        <v>2331</v>
      </c>
      <c r="H389" s="128" t="s">
        <v>2337</v>
      </c>
      <c r="I389" s="128" t="s">
        <v>2338</v>
      </c>
      <c r="J389" s="129">
        <v>15.0</v>
      </c>
      <c r="K389" s="129">
        <v>1.0</v>
      </c>
      <c r="L389" s="129">
        <v>30.0</v>
      </c>
      <c r="M389" s="128" t="s">
        <v>2332</v>
      </c>
      <c r="N389" s="129">
        <v>728.0</v>
      </c>
      <c r="O389" s="128"/>
      <c r="P389" s="129">
        <v>30.0</v>
      </c>
      <c r="Q389" s="128" t="s">
        <v>572</v>
      </c>
    </row>
    <row r="390">
      <c r="A390" s="129">
        <v>1306.0</v>
      </c>
      <c r="B390" s="129">
        <v>2021.0</v>
      </c>
      <c r="C390" s="129">
        <v>8.8</v>
      </c>
      <c r="D390" s="129">
        <v>46.49778</v>
      </c>
      <c r="E390" s="129">
        <v>-116.805</v>
      </c>
      <c r="F390" s="128" t="s">
        <v>2318</v>
      </c>
      <c r="G390" s="128" t="s">
        <v>2331</v>
      </c>
      <c r="H390" s="128" t="s">
        <v>2327</v>
      </c>
      <c r="I390" s="128" t="s">
        <v>2328</v>
      </c>
      <c r="J390" s="129">
        <v>14.0</v>
      </c>
      <c r="K390" s="129">
        <v>1.0</v>
      </c>
      <c r="L390" s="129">
        <v>30.0</v>
      </c>
      <c r="M390" s="128" t="s">
        <v>2332</v>
      </c>
      <c r="N390" s="129">
        <v>728.0</v>
      </c>
      <c r="O390" s="128"/>
      <c r="P390" s="129">
        <v>30.0</v>
      </c>
      <c r="Q390" s="128" t="s">
        <v>572</v>
      </c>
    </row>
    <row r="391">
      <c r="A391" s="129">
        <v>1310.0</v>
      </c>
      <c r="B391" s="129">
        <v>2021.0</v>
      </c>
      <c r="C391" s="129">
        <v>3.5</v>
      </c>
      <c r="D391" s="129">
        <v>46.49778</v>
      </c>
      <c r="E391" s="129">
        <v>-116.805</v>
      </c>
      <c r="F391" s="128" t="s">
        <v>2318</v>
      </c>
      <c r="G391" s="128" t="s">
        <v>2331</v>
      </c>
      <c r="H391" s="128" t="s">
        <v>2337</v>
      </c>
      <c r="I391" s="128" t="s">
        <v>2338</v>
      </c>
      <c r="J391" s="129">
        <v>15.0</v>
      </c>
      <c r="K391" s="129">
        <v>1.0</v>
      </c>
      <c r="L391" s="129">
        <v>30.0</v>
      </c>
      <c r="M391" s="128" t="s">
        <v>2332</v>
      </c>
      <c r="N391" s="129">
        <v>728.0</v>
      </c>
      <c r="O391" s="128"/>
      <c r="P391" s="129">
        <v>30.0</v>
      </c>
      <c r="Q391" s="128" t="s">
        <v>572</v>
      </c>
    </row>
    <row r="392">
      <c r="A392" s="129">
        <v>1296.0</v>
      </c>
      <c r="B392" s="129">
        <v>2021.0</v>
      </c>
      <c r="C392" s="129">
        <v>23.1</v>
      </c>
      <c r="D392" s="129">
        <v>46.50083</v>
      </c>
      <c r="E392" s="129">
        <v>-116.807</v>
      </c>
      <c r="F392" s="128" t="s">
        <v>2339</v>
      </c>
      <c r="G392" s="128" t="s">
        <v>2329</v>
      </c>
      <c r="H392" s="128" t="s">
        <v>2327</v>
      </c>
      <c r="I392" s="128" t="s">
        <v>2328</v>
      </c>
      <c r="J392" s="129">
        <v>14.0</v>
      </c>
      <c r="K392" s="129">
        <v>1.0</v>
      </c>
      <c r="L392" s="129">
        <v>30.0</v>
      </c>
      <c r="M392" s="128" t="s">
        <v>2330</v>
      </c>
      <c r="N392" s="129">
        <v>742.0</v>
      </c>
      <c r="O392" s="128"/>
      <c r="P392" s="129">
        <v>30.0</v>
      </c>
      <c r="Q392" s="128" t="s">
        <v>572</v>
      </c>
    </row>
    <row r="393">
      <c r="A393" s="129">
        <v>1300.0</v>
      </c>
      <c r="B393" s="129">
        <v>2021.0</v>
      </c>
      <c r="C393" s="129">
        <v>12.7</v>
      </c>
      <c r="D393" s="129">
        <v>46.50083</v>
      </c>
      <c r="E393" s="129">
        <v>-116.807</v>
      </c>
      <c r="F393" s="128" t="s">
        <v>2339</v>
      </c>
      <c r="G393" s="128" t="s">
        <v>2329</v>
      </c>
      <c r="H393" s="128" t="s">
        <v>2337</v>
      </c>
      <c r="I393" s="128" t="s">
        <v>2338</v>
      </c>
      <c r="J393" s="129">
        <v>15.0</v>
      </c>
      <c r="K393" s="129">
        <v>1.0</v>
      </c>
      <c r="L393" s="129">
        <v>30.0</v>
      </c>
      <c r="M393" s="128" t="s">
        <v>2330</v>
      </c>
      <c r="N393" s="129">
        <v>742.0</v>
      </c>
      <c r="O393" s="128"/>
      <c r="P393" s="129">
        <v>30.0</v>
      </c>
      <c r="Q393" s="128" t="s">
        <v>572</v>
      </c>
    </row>
    <row r="394">
      <c r="A394" s="129">
        <v>1314.0</v>
      </c>
      <c r="B394" s="129">
        <v>2021.0</v>
      </c>
      <c r="C394" s="129">
        <v>5.3</v>
      </c>
      <c r="D394" s="129">
        <v>46.50083</v>
      </c>
      <c r="E394" s="129">
        <v>-116.807</v>
      </c>
      <c r="F394" s="128" t="s">
        <v>2339</v>
      </c>
      <c r="G394" s="128" t="s">
        <v>2329</v>
      </c>
      <c r="H394" s="128" t="s">
        <v>2327</v>
      </c>
      <c r="I394" s="128" t="s">
        <v>2328</v>
      </c>
      <c r="J394" s="129">
        <v>14.0</v>
      </c>
      <c r="K394" s="129">
        <v>1.0</v>
      </c>
      <c r="L394" s="129">
        <v>30.0</v>
      </c>
      <c r="M394" s="128" t="s">
        <v>2330</v>
      </c>
      <c r="N394" s="129">
        <v>742.0</v>
      </c>
      <c r="O394" s="128"/>
      <c r="P394" s="129">
        <v>30.0</v>
      </c>
      <c r="Q394" s="128" t="s">
        <v>572</v>
      </c>
    </row>
    <row r="395">
      <c r="A395" s="129">
        <v>1318.0</v>
      </c>
      <c r="B395" s="129">
        <v>2021.0</v>
      </c>
      <c r="C395" s="129">
        <v>-0.8</v>
      </c>
      <c r="D395" s="129">
        <v>46.50083</v>
      </c>
      <c r="E395" s="129">
        <v>-116.807</v>
      </c>
      <c r="F395" s="128" t="s">
        <v>2339</v>
      </c>
      <c r="G395" s="128" t="s">
        <v>2329</v>
      </c>
      <c r="H395" s="128" t="s">
        <v>2337</v>
      </c>
      <c r="I395" s="128" t="s">
        <v>2338</v>
      </c>
      <c r="J395" s="129">
        <v>15.0</v>
      </c>
      <c r="K395" s="129">
        <v>1.0</v>
      </c>
      <c r="L395" s="129">
        <v>30.0</v>
      </c>
      <c r="M395" s="128" t="s">
        <v>2330</v>
      </c>
      <c r="N395" s="129">
        <v>742.0</v>
      </c>
      <c r="O395" s="128"/>
      <c r="P395" s="129">
        <v>30.0</v>
      </c>
      <c r="Q395" s="128" t="s">
        <v>572</v>
      </c>
    </row>
    <row r="396">
      <c r="A396" s="129">
        <v>1287.0</v>
      </c>
      <c r="B396" s="129">
        <v>2021.0</v>
      </c>
      <c r="C396" s="129">
        <v>-2.3</v>
      </c>
      <c r="D396" s="129">
        <v>46.50083</v>
      </c>
      <c r="E396" s="129">
        <v>-116.807</v>
      </c>
      <c r="F396" s="128" t="s">
        <v>2318</v>
      </c>
      <c r="G396" s="128" t="s">
        <v>2329</v>
      </c>
      <c r="H396" s="128" t="s">
        <v>2327</v>
      </c>
      <c r="I396" s="128" t="s">
        <v>2328</v>
      </c>
      <c r="J396" s="129">
        <v>14.0</v>
      </c>
      <c r="K396" s="129">
        <v>1.0</v>
      </c>
      <c r="L396" s="129">
        <v>30.0</v>
      </c>
      <c r="M396" s="128" t="s">
        <v>2330</v>
      </c>
      <c r="N396" s="129">
        <v>742.0</v>
      </c>
      <c r="O396" s="128"/>
      <c r="P396" s="129">
        <v>30.0</v>
      </c>
      <c r="Q396" s="128" t="s">
        <v>572</v>
      </c>
    </row>
    <row r="397">
      <c r="A397" s="129">
        <v>1291.0</v>
      </c>
      <c r="B397" s="129">
        <v>2021.0</v>
      </c>
      <c r="C397" s="129">
        <v>-9.9</v>
      </c>
      <c r="D397" s="129">
        <v>46.50083</v>
      </c>
      <c r="E397" s="129">
        <v>-116.807</v>
      </c>
      <c r="F397" s="128" t="s">
        <v>2318</v>
      </c>
      <c r="G397" s="128" t="s">
        <v>2329</v>
      </c>
      <c r="H397" s="128" t="s">
        <v>2337</v>
      </c>
      <c r="I397" s="128" t="s">
        <v>2338</v>
      </c>
      <c r="J397" s="129">
        <v>15.0</v>
      </c>
      <c r="K397" s="129">
        <v>1.0</v>
      </c>
      <c r="L397" s="129">
        <v>30.0</v>
      </c>
      <c r="M397" s="128" t="s">
        <v>2330</v>
      </c>
      <c r="N397" s="129">
        <v>742.0</v>
      </c>
      <c r="O397" s="128"/>
      <c r="P397" s="129">
        <v>30.0</v>
      </c>
      <c r="Q397" s="128" t="s">
        <v>572</v>
      </c>
    </row>
    <row r="398">
      <c r="A398" s="129">
        <v>1305.0</v>
      </c>
      <c r="B398" s="129">
        <v>2021.0</v>
      </c>
      <c r="C398" s="129">
        <v>-16.6</v>
      </c>
      <c r="D398" s="129">
        <v>46.50083</v>
      </c>
      <c r="E398" s="129">
        <v>-116.807</v>
      </c>
      <c r="F398" s="128" t="s">
        <v>2318</v>
      </c>
      <c r="G398" s="128" t="s">
        <v>2329</v>
      </c>
      <c r="H398" s="128" t="s">
        <v>2327</v>
      </c>
      <c r="I398" s="128" t="s">
        <v>2328</v>
      </c>
      <c r="J398" s="129">
        <v>14.0</v>
      </c>
      <c r="K398" s="129">
        <v>1.0</v>
      </c>
      <c r="L398" s="129">
        <v>30.0</v>
      </c>
      <c r="M398" s="128" t="s">
        <v>2330</v>
      </c>
      <c r="N398" s="129">
        <v>742.0</v>
      </c>
      <c r="O398" s="128"/>
      <c r="P398" s="129">
        <v>30.0</v>
      </c>
      <c r="Q398" s="128" t="s">
        <v>572</v>
      </c>
    </row>
    <row r="399">
      <c r="A399" s="129">
        <v>1309.0</v>
      </c>
      <c r="B399" s="129">
        <v>2021.0</v>
      </c>
      <c r="C399" s="129">
        <v>-20.7</v>
      </c>
      <c r="D399" s="129">
        <v>46.50083</v>
      </c>
      <c r="E399" s="129">
        <v>-116.807</v>
      </c>
      <c r="F399" s="128" t="s">
        <v>2318</v>
      </c>
      <c r="G399" s="128" t="s">
        <v>2329</v>
      </c>
      <c r="H399" s="128" t="s">
        <v>2337</v>
      </c>
      <c r="I399" s="128" t="s">
        <v>2338</v>
      </c>
      <c r="J399" s="129">
        <v>15.0</v>
      </c>
      <c r="K399" s="129">
        <v>1.0</v>
      </c>
      <c r="L399" s="129">
        <v>30.0</v>
      </c>
      <c r="M399" s="128" t="s">
        <v>2330</v>
      </c>
      <c r="N399" s="129">
        <v>742.0</v>
      </c>
      <c r="O399" s="128"/>
      <c r="P399" s="129">
        <v>30.0</v>
      </c>
      <c r="Q399" s="128" t="s">
        <v>572</v>
      </c>
    </row>
    <row r="400">
      <c r="A400" s="129">
        <v>1213.0</v>
      </c>
      <c r="B400" s="129">
        <v>2019.0</v>
      </c>
      <c r="C400" s="129">
        <v>1.3</v>
      </c>
      <c r="D400" s="129">
        <v>46.75</v>
      </c>
      <c r="E400" s="129">
        <v>-116.95</v>
      </c>
      <c r="F400" s="128" t="s">
        <v>984</v>
      </c>
      <c r="G400" s="128" t="s">
        <v>2150</v>
      </c>
      <c r="H400" s="128" t="s">
        <v>2137</v>
      </c>
      <c r="I400" s="128" t="s">
        <v>2138</v>
      </c>
      <c r="J400" s="128"/>
      <c r="K400" s="129">
        <v>1.0</v>
      </c>
      <c r="L400" s="128"/>
      <c r="M400" s="128"/>
      <c r="N400" s="129">
        <v>827.0</v>
      </c>
      <c r="O400" s="128"/>
      <c r="P400" s="128"/>
      <c r="Q400" s="128" t="s">
        <v>572</v>
      </c>
    </row>
    <row r="401">
      <c r="A401" s="129">
        <v>1214.0</v>
      </c>
      <c r="B401" s="129">
        <v>2019.0</v>
      </c>
      <c r="C401" s="129">
        <v>7.3</v>
      </c>
      <c r="D401" s="129">
        <v>46.75</v>
      </c>
      <c r="E401" s="129">
        <v>-116.95</v>
      </c>
      <c r="F401" s="128" t="s">
        <v>984</v>
      </c>
      <c r="G401" s="128" t="s">
        <v>2150</v>
      </c>
      <c r="H401" s="128" t="s">
        <v>2142</v>
      </c>
      <c r="I401" s="128" t="s">
        <v>2143</v>
      </c>
      <c r="J401" s="128"/>
      <c r="K401" s="129">
        <v>1.0</v>
      </c>
      <c r="L401" s="128"/>
      <c r="M401" s="128"/>
      <c r="N401" s="129">
        <v>827.0</v>
      </c>
      <c r="O401" s="128"/>
      <c r="P401" s="128"/>
      <c r="Q401" s="128" t="s">
        <v>572</v>
      </c>
    </row>
    <row r="402">
      <c r="A402" s="129">
        <v>1215.0</v>
      </c>
      <c r="B402" s="129">
        <v>2019.0</v>
      </c>
      <c r="C402" s="129">
        <v>13.2</v>
      </c>
      <c r="D402" s="129">
        <v>46.75</v>
      </c>
      <c r="E402" s="129">
        <v>-116.95</v>
      </c>
      <c r="F402" s="128" t="s">
        <v>984</v>
      </c>
      <c r="G402" s="128" t="s">
        <v>2150</v>
      </c>
      <c r="H402" s="128" t="s">
        <v>2144</v>
      </c>
      <c r="I402" s="128" t="s">
        <v>2145</v>
      </c>
      <c r="J402" s="128"/>
      <c r="K402" s="129">
        <v>1.0</v>
      </c>
      <c r="L402" s="128"/>
      <c r="M402" s="128"/>
      <c r="N402" s="129">
        <v>827.0</v>
      </c>
      <c r="O402" s="128"/>
      <c r="P402" s="128"/>
      <c r="Q402" s="128" t="s">
        <v>572</v>
      </c>
    </row>
    <row r="403">
      <c r="A403" s="129">
        <v>1204.0</v>
      </c>
      <c r="B403" s="129">
        <v>2019.0</v>
      </c>
      <c r="C403" s="129">
        <v>-3.3</v>
      </c>
      <c r="D403" s="129">
        <v>46.78</v>
      </c>
      <c r="E403" s="129">
        <v>-117.09</v>
      </c>
      <c r="F403" s="128" t="s">
        <v>984</v>
      </c>
      <c r="G403" s="128" t="s">
        <v>2139</v>
      </c>
      <c r="H403" s="128" t="s">
        <v>2137</v>
      </c>
      <c r="I403" s="128" t="s">
        <v>2138</v>
      </c>
      <c r="J403" s="128"/>
      <c r="K403" s="129">
        <v>1.0</v>
      </c>
      <c r="L403" s="128"/>
      <c r="M403" s="128"/>
      <c r="N403" s="129">
        <v>781.0</v>
      </c>
      <c r="O403" s="128"/>
      <c r="P403" s="128"/>
      <c r="Q403" s="128" t="s">
        <v>572</v>
      </c>
    </row>
    <row r="404">
      <c r="A404" s="129">
        <v>1205.0</v>
      </c>
      <c r="B404" s="129">
        <v>2019.0</v>
      </c>
      <c r="C404" s="129">
        <v>-4.7</v>
      </c>
      <c r="D404" s="129">
        <v>46.78</v>
      </c>
      <c r="E404" s="129">
        <v>-117.09</v>
      </c>
      <c r="F404" s="128" t="s">
        <v>984</v>
      </c>
      <c r="G404" s="128" t="s">
        <v>2139</v>
      </c>
      <c r="H404" s="128" t="s">
        <v>2142</v>
      </c>
      <c r="I404" s="128" t="s">
        <v>2143</v>
      </c>
      <c r="J404" s="128"/>
      <c r="K404" s="129">
        <v>1.0</v>
      </c>
      <c r="L404" s="128"/>
      <c r="M404" s="128"/>
      <c r="N404" s="129">
        <v>781.0</v>
      </c>
      <c r="O404" s="128"/>
      <c r="P404" s="128"/>
      <c r="Q404" s="128" t="s">
        <v>572</v>
      </c>
    </row>
    <row r="405">
      <c r="A405" s="129">
        <v>1206.0</v>
      </c>
      <c r="B405" s="129">
        <v>2019.0</v>
      </c>
      <c r="C405" s="129">
        <v>11.9</v>
      </c>
      <c r="D405" s="129">
        <v>46.78</v>
      </c>
      <c r="E405" s="129">
        <v>-117.09</v>
      </c>
      <c r="F405" s="128" t="s">
        <v>984</v>
      </c>
      <c r="G405" s="128" t="s">
        <v>2139</v>
      </c>
      <c r="H405" s="128" t="s">
        <v>2144</v>
      </c>
      <c r="I405" s="128" t="s">
        <v>2145</v>
      </c>
      <c r="J405" s="128"/>
      <c r="K405" s="129">
        <v>1.0</v>
      </c>
      <c r="L405" s="128"/>
      <c r="M405" s="128"/>
      <c r="N405" s="129">
        <v>781.0</v>
      </c>
      <c r="O405" s="128"/>
      <c r="P405" s="128"/>
      <c r="Q405" s="128" t="s">
        <v>572</v>
      </c>
    </row>
    <row r="406">
      <c r="A406" s="129">
        <v>1207.0</v>
      </c>
      <c r="B406" s="129">
        <v>2019.0</v>
      </c>
      <c r="C406" s="129">
        <v>-2.9</v>
      </c>
      <c r="D406" s="129">
        <v>46.78</v>
      </c>
      <c r="E406" s="129">
        <v>-117.08</v>
      </c>
      <c r="F406" s="128" t="s">
        <v>984</v>
      </c>
      <c r="G406" s="128" t="s">
        <v>2147</v>
      </c>
      <c r="H406" s="128" t="s">
        <v>2137</v>
      </c>
      <c r="I406" s="128" t="s">
        <v>2138</v>
      </c>
      <c r="J406" s="128"/>
      <c r="K406" s="129">
        <v>1.0</v>
      </c>
      <c r="L406" s="128"/>
      <c r="M406" s="128"/>
      <c r="N406" s="129">
        <v>799.0</v>
      </c>
      <c r="O406" s="128"/>
      <c r="P406" s="128"/>
      <c r="Q406" s="128" t="s">
        <v>572</v>
      </c>
    </row>
    <row r="407">
      <c r="A407" s="129">
        <v>1208.0</v>
      </c>
      <c r="B407" s="129">
        <v>2019.0</v>
      </c>
      <c r="C407" s="129">
        <v>15.8</v>
      </c>
      <c r="D407" s="129">
        <v>46.78</v>
      </c>
      <c r="E407" s="129">
        <v>-117.08</v>
      </c>
      <c r="F407" s="128" t="s">
        <v>984</v>
      </c>
      <c r="G407" s="128" t="s">
        <v>2147</v>
      </c>
      <c r="H407" s="128" t="s">
        <v>2142</v>
      </c>
      <c r="I407" s="128" t="s">
        <v>2143</v>
      </c>
      <c r="J407" s="128"/>
      <c r="K407" s="129">
        <v>1.0</v>
      </c>
      <c r="L407" s="128"/>
      <c r="M407" s="128"/>
      <c r="N407" s="129">
        <v>799.0</v>
      </c>
      <c r="O407" s="128"/>
      <c r="P407" s="128"/>
      <c r="Q407" s="128" t="s">
        <v>572</v>
      </c>
    </row>
    <row r="408">
      <c r="A408" s="129">
        <v>1209.0</v>
      </c>
      <c r="B408" s="129">
        <v>2019.0</v>
      </c>
      <c r="C408" s="129">
        <v>13.9</v>
      </c>
      <c r="D408" s="129">
        <v>46.78</v>
      </c>
      <c r="E408" s="129">
        <v>-117.08</v>
      </c>
      <c r="F408" s="128" t="s">
        <v>984</v>
      </c>
      <c r="G408" s="128" t="s">
        <v>2147</v>
      </c>
      <c r="H408" s="128" t="s">
        <v>2144</v>
      </c>
      <c r="I408" s="128" t="s">
        <v>2145</v>
      </c>
      <c r="J408" s="128"/>
      <c r="K408" s="129">
        <v>1.0</v>
      </c>
      <c r="L408" s="128"/>
      <c r="M408" s="128"/>
      <c r="N408" s="129">
        <v>799.0</v>
      </c>
      <c r="O408" s="128"/>
      <c r="P408" s="128"/>
      <c r="Q408" s="128" t="s">
        <v>572</v>
      </c>
    </row>
    <row r="409">
      <c r="A409" s="129">
        <v>1210.0</v>
      </c>
      <c r="B409" s="129">
        <v>2019.0</v>
      </c>
      <c r="C409" s="129">
        <v>23.4</v>
      </c>
      <c r="D409" s="129">
        <v>46.99</v>
      </c>
      <c r="E409" s="129">
        <v>-118.6</v>
      </c>
      <c r="F409" s="128" t="s">
        <v>984</v>
      </c>
      <c r="G409" s="128" t="s">
        <v>2148</v>
      </c>
      <c r="H409" s="128" t="s">
        <v>2137</v>
      </c>
      <c r="I409" s="128" t="s">
        <v>2138</v>
      </c>
      <c r="J409" s="128"/>
      <c r="K409" s="129">
        <v>1.0</v>
      </c>
      <c r="L409" s="128"/>
      <c r="M409" s="128"/>
      <c r="N409" s="129">
        <v>469.0</v>
      </c>
      <c r="O409" s="128"/>
      <c r="P409" s="128"/>
      <c r="Q409" s="128" t="s">
        <v>572</v>
      </c>
    </row>
    <row r="410">
      <c r="A410" s="129">
        <v>1211.0</v>
      </c>
      <c r="B410" s="129">
        <v>2019.0</v>
      </c>
      <c r="C410" s="129">
        <v>25.5</v>
      </c>
      <c r="D410" s="129">
        <v>46.99</v>
      </c>
      <c r="E410" s="129">
        <v>-118.6</v>
      </c>
      <c r="F410" s="128" t="s">
        <v>984</v>
      </c>
      <c r="G410" s="128" t="s">
        <v>2148</v>
      </c>
      <c r="H410" s="128" t="s">
        <v>2142</v>
      </c>
      <c r="I410" s="128" t="s">
        <v>2143</v>
      </c>
      <c r="J410" s="128"/>
      <c r="K410" s="129">
        <v>1.0</v>
      </c>
      <c r="L410" s="128"/>
      <c r="M410" s="128"/>
      <c r="N410" s="129">
        <v>469.0</v>
      </c>
      <c r="O410" s="128"/>
      <c r="P410" s="128"/>
      <c r="Q410" s="128" t="s">
        <v>572</v>
      </c>
    </row>
    <row r="411">
      <c r="A411" s="129">
        <v>1212.0</v>
      </c>
      <c r="B411" s="129">
        <v>2019.0</v>
      </c>
      <c r="C411" s="129">
        <v>6.6</v>
      </c>
      <c r="D411" s="129">
        <v>46.99</v>
      </c>
      <c r="E411" s="129">
        <v>-118.6</v>
      </c>
      <c r="F411" s="128" t="s">
        <v>984</v>
      </c>
      <c r="G411" s="128" t="s">
        <v>2148</v>
      </c>
      <c r="H411" s="128" t="s">
        <v>2144</v>
      </c>
      <c r="I411" s="128" t="s">
        <v>2145</v>
      </c>
      <c r="J411" s="128"/>
      <c r="K411" s="129">
        <v>1.0</v>
      </c>
      <c r="L411" s="128"/>
      <c r="M411" s="128"/>
      <c r="N411" s="129">
        <v>469.0</v>
      </c>
      <c r="O411" s="128"/>
      <c r="P411" s="128"/>
      <c r="Q411" s="128" t="s">
        <v>572</v>
      </c>
    </row>
    <row r="412">
      <c r="A412" s="129">
        <v>1294.0</v>
      </c>
      <c r="B412" s="129">
        <v>2021.0</v>
      </c>
      <c r="C412" s="129">
        <v>73.9</v>
      </c>
      <c r="D412" s="129">
        <v>47.1225</v>
      </c>
      <c r="E412" s="129">
        <v>-117.527</v>
      </c>
      <c r="F412" s="128" t="s">
        <v>2339</v>
      </c>
      <c r="G412" s="128" t="s">
        <v>2322</v>
      </c>
      <c r="H412" s="128" t="s">
        <v>2312</v>
      </c>
      <c r="I412" s="128" t="s">
        <v>2313</v>
      </c>
      <c r="J412" s="129">
        <v>9.0</v>
      </c>
      <c r="K412" s="129">
        <v>1.0</v>
      </c>
      <c r="L412" s="129">
        <v>30.0</v>
      </c>
      <c r="M412" s="128" t="s">
        <v>2323</v>
      </c>
      <c r="N412" s="129">
        <v>661.0</v>
      </c>
      <c r="O412" s="128"/>
      <c r="P412" s="129">
        <v>30.0</v>
      </c>
      <c r="Q412" s="128" t="s">
        <v>572</v>
      </c>
    </row>
    <row r="413">
      <c r="A413" s="129">
        <v>1299.0</v>
      </c>
      <c r="B413" s="129">
        <v>2021.0</v>
      </c>
      <c r="C413" s="129">
        <v>35.2</v>
      </c>
      <c r="D413" s="129">
        <v>47.1225</v>
      </c>
      <c r="E413" s="129">
        <v>-117.527</v>
      </c>
      <c r="F413" s="128" t="s">
        <v>2339</v>
      </c>
      <c r="G413" s="128" t="s">
        <v>2322</v>
      </c>
      <c r="H413" s="128" t="s">
        <v>2335</v>
      </c>
      <c r="I413" s="128" t="s">
        <v>2336</v>
      </c>
      <c r="J413" s="129">
        <v>9.0</v>
      </c>
      <c r="K413" s="129">
        <v>1.0</v>
      </c>
      <c r="L413" s="129">
        <v>30.0</v>
      </c>
      <c r="M413" s="128" t="s">
        <v>2323</v>
      </c>
      <c r="N413" s="129">
        <v>661.0</v>
      </c>
      <c r="O413" s="128"/>
      <c r="P413" s="129">
        <v>30.0</v>
      </c>
      <c r="Q413" s="128" t="s">
        <v>572</v>
      </c>
    </row>
    <row r="414">
      <c r="A414" s="129">
        <v>1312.0</v>
      </c>
      <c r="B414" s="129">
        <v>2021.0</v>
      </c>
      <c r="C414" s="129">
        <v>43.2</v>
      </c>
      <c r="D414" s="129">
        <v>47.1225</v>
      </c>
      <c r="E414" s="129">
        <v>-117.527</v>
      </c>
      <c r="F414" s="128" t="s">
        <v>2339</v>
      </c>
      <c r="G414" s="128" t="s">
        <v>2322</v>
      </c>
      <c r="H414" s="128" t="s">
        <v>2312</v>
      </c>
      <c r="I414" s="128" t="s">
        <v>2313</v>
      </c>
      <c r="J414" s="129">
        <v>9.0</v>
      </c>
      <c r="K414" s="129">
        <v>1.0</v>
      </c>
      <c r="L414" s="129">
        <v>30.0</v>
      </c>
      <c r="M414" s="128" t="s">
        <v>2323</v>
      </c>
      <c r="N414" s="129">
        <v>661.0</v>
      </c>
      <c r="O414" s="128"/>
      <c r="P414" s="129">
        <v>30.0</v>
      </c>
      <c r="Q414" s="128" t="s">
        <v>572</v>
      </c>
    </row>
    <row r="415">
      <c r="A415" s="129">
        <v>1317.0</v>
      </c>
      <c r="B415" s="129">
        <v>2021.0</v>
      </c>
      <c r="C415" s="129">
        <v>6.7</v>
      </c>
      <c r="D415" s="129">
        <v>47.1225</v>
      </c>
      <c r="E415" s="129">
        <v>-117.527</v>
      </c>
      <c r="F415" s="128" t="s">
        <v>2339</v>
      </c>
      <c r="G415" s="128" t="s">
        <v>2322</v>
      </c>
      <c r="H415" s="128" t="s">
        <v>2335</v>
      </c>
      <c r="I415" s="128" t="s">
        <v>2336</v>
      </c>
      <c r="J415" s="129">
        <v>9.0</v>
      </c>
      <c r="K415" s="129">
        <v>1.0</v>
      </c>
      <c r="L415" s="129">
        <v>30.0</v>
      </c>
      <c r="M415" s="128" t="s">
        <v>2323</v>
      </c>
      <c r="N415" s="129">
        <v>661.0</v>
      </c>
      <c r="O415" s="128"/>
      <c r="P415" s="129">
        <v>30.0</v>
      </c>
      <c r="Q415" s="128" t="s">
        <v>572</v>
      </c>
    </row>
    <row r="416">
      <c r="A416" s="129">
        <v>1285.0</v>
      </c>
      <c r="B416" s="129">
        <v>2021.0</v>
      </c>
      <c r="C416" s="129">
        <v>39.1</v>
      </c>
      <c r="D416" s="129">
        <v>47.1225</v>
      </c>
      <c r="E416" s="129">
        <v>-117.527</v>
      </c>
      <c r="F416" s="128" t="s">
        <v>2318</v>
      </c>
      <c r="G416" s="128" t="s">
        <v>2322</v>
      </c>
      <c r="H416" s="128" t="s">
        <v>2312</v>
      </c>
      <c r="I416" s="128" t="s">
        <v>2313</v>
      </c>
      <c r="J416" s="129">
        <v>9.0</v>
      </c>
      <c r="K416" s="129">
        <v>1.0</v>
      </c>
      <c r="L416" s="129">
        <v>30.0</v>
      </c>
      <c r="M416" s="128" t="s">
        <v>2323</v>
      </c>
      <c r="N416" s="129">
        <v>661.0</v>
      </c>
      <c r="O416" s="128"/>
      <c r="P416" s="129">
        <v>30.0</v>
      </c>
      <c r="Q416" s="128" t="s">
        <v>572</v>
      </c>
    </row>
    <row r="417">
      <c r="A417" s="129">
        <v>1290.0</v>
      </c>
      <c r="B417" s="129">
        <v>2021.0</v>
      </c>
      <c r="C417" s="129">
        <v>8.2</v>
      </c>
      <c r="D417" s="129">
        <v>47.1225</v>
      </c>
      <c r="E417" s="129">
        <v>-117.527</v>
      </c>
      <c r="F417" s="128" t="s">
        <v>2318</v>
      </c>
      <c r="G417" s="128" t="s">
        <v>2322</v>
      </c>
      <c r="H417" s="128" t="s">
        <v>2335</v>
      </c>
      <c r="I417" s="128" t="s">
        <v>2336</v>
      </c>
      <c r="J417" s="129">
        <v>9.0</v>
      </c>
      <c r="K417" s="129">
        <v>1.0</v>
      </c>
      <c r="L417" s="129">
        <v>30.0</v>
      </c>
      <c r="M417" s="128" t="s">
        <v>2323</v>
      </c>
      <c r="N417" s="129">
        <v>661.0</v>
      </c>
      <c r="O417" s="128"/>
      <c r="P417" s="129">
        <v>30.0</v>
      </c>
      <c r="Q417" s="128" t="s">
        <v>572</v>
      </c>
    </row>
    <row r="418">
      <c r="A418" s="129">
        <v>1303.0</v>
      </c>
      <c r="B418" s="129">
        <v>2021.0</v>
      </c>
      <c r="C418" s="129">
        <v>14.6</v>
      </c>
      <c r="D418" s="129">
        <v>47.1225</v>
      </c>
      <c r="E418" s="129">
        <v>-117.527</v>
      </c>
      <c r="F418" s="128" t="s">
        <v>2318</v>
      </c>
      <c r="G418" s="128" t="s">
        <v>2322</v>
      </c>
      <c r="H418" s="128" t="s">
        <v>2312</v>
      </c>
      <c r="I418" s="128" t="s">
        <v>2313</v>
      </c>
      <c r="J418" s="129">
        <v>9.0</v>
      </c>
      <c r="K418" s="129">
        <v>1.0</v>
      </c>
      <c r="L418" s="129">
        <v>30.0</v>
      </c>
      <c r="M418" s="128" t="s">
        <v>2323</v>
      </c>
      <c r="N418" s="129">
        <v>661.0</v>
      </c>
      <c r="O418" s="128"/>
      <c r="P418" s="129">
        <v>30.0</v>
      </c>
      <c r="Q418" s="128" t="s">
        <v>572</v>
      </c>
    </row>
    <row r="419">
      <c r="A419" s="129">
        <v>1308.0</v>
      </c>
      <c r="B419" s="129">
        <v>2021.0</v>
      </c>
      <c r="C419" s="129">
        <v>-14.7</v>
      </c>
      <c r="D419" s="129">
        <v>47.1225</v>
      </c>
      <c r="E419" s="129">
        <v>-117.527</v>
      </c>
      <c r="F419" s="128" t="s">
        <v>2318</v>
      </c>
      <c r="G419" s="128" t="s">
        <v>2322</v>
      </c>
      <c r="H419" s="128" t="s">
        <v>2335</v>
      </c>
      <c r="I419" s="128" t="s">
        <v>2336</v>
      </c>
      <c r="J419" s="129">
        <v>9.0</v>
      </c>
      <c r="K419" s="129">
        <v>1.0</v>
      </c>
      <c r="L419" s="129">
        <v>30.0</v>
      </c>
      <c r="M419" s="128" t="s">
        <v>2323</v>
      </c>
      <c r="N419" s="129">
        <v>661.0</v>
      </c>
      <c r="O419" s="128"/>
      <c r="P419" s="129">
        <v>30.0</v>
      </c>
      <c r="Q419" s="128" t="s">
        <v>572</v>
      </c>
    </row>
    <row r="420">
      <c r="A420" s="129">
        <v>1293.0</v>
      </c>
      <c r="B420" s="129">
        <v>2021.0</v>
      </c>
      <c r="C420" s="129">
        <v>66.5</v>
      </c>
      <c r="D420" s="129">
        <v>47.12444</v>
      </c>
      <c r="E420" s="129">
        <v>-117.531</v>
      </c>
      <c r="F420" s="128" t="s">
        <v>2339</v>
      </c>
      <c r="G420" s="128" t="s">
        <v>2314</v>
      </c>
      <c r="H420" s="128" t="s">
        <v>2312</v>
      </c>
      <c r="I420" s="128" t="s">
        <v>2313</v>
      </c>
      <c r="J420" s="129">
        <v>9.0</v>
      </c>
      <c r="K420" s="129">
        <v>1.0</v>
      </c>
      <c r="L420" s="129">
        <v>30.0</v>
      </c>
      <c r="M420" s="128" t="s">
        <v>2315</v>
      </c>
      <c r="N420" s="129">
        <v>657.0</v>
      </c>
      <c r="O420" s="128"/>
      <c r="P420" s="129">
        <v>30.0</v>
      </c>
      <c r="Q420" s="128" t="s">
        <v>572</v>
      </c>
    </row>
    <row r="421">
      <c r="A421" s="129">
        <v>1311.0</v>
      </c>
      <c r="B421" s="129">
        <v>2021.0</v>
      </c>
      <c r="C421" s="129">
        <v>35.4</v>
      </c>
      <c r="D421" s="129">
        <v>47.12444</v>
      </c>
      <c r="E421" s="129">
        <v>-117.531</v>
      </c>
      <c r="F421" s="128" t="s">
        <v>2339</v>
      </c>
      <c r="G421" s="128" t="s">
        <v>2314</v>
      </c>
      <c r="H421" s="128" t="s">
        <v>2312</v>
      </c>
      <c r="I421" s="128" t="s">
        <v>2313</v>
      </c>
      <c r="J421" s="129">
        <v>9.0</v>
      </c>
      <c r="K421" s="129">
        <v>1.0</v>
      </c>
      <c r="L421" s="129">
        <v>30.0</v>
      </c>
      <c r="M421" s="128" t="s">
        <v>2315</v>
      </c>
      <c r="N421" s="129">
        <v>657.0</v>
      </c>
      <c r="O421" s="128"/>
      <c r="P421" s="129">
        <v>30.0</v>
      </c>
      <c r="Q421" s="128" t="s">
        <v>572</v>
      </c>
    </row>
    <row r="422">
      <c r="A422" s="129">
        <v>1284.0</v>
      </c>
      <c r="B422" s="129">
        <v>2021.0</v>
      </c>
      <c r="C422" s="129">
        <v>33.2</v>
      </c>
      <c r="D422" s="129">
        <v>47.12444</v>
      </c>
      <c r="E422" s="129">
        <v>-117.531</v>
      </c>
      <c r="F422" s="128" t="s">
        <v>2318</v>
      </c>
      <c r="G422" s="128" t="s">
        <v>2314</v>
      </c>
      <c r="H422" s="128" t="s">
        <v>2312</v>
      </c>
      <c r="I422" s="128" t="s">
        <v>2313</v>
      </c>
      <c r="J422" s="129">
        <v>9.0</v>
      </c>
      <c r="K422" s="129">
        <v>1.0</v>
      </c>
      <c r="L422" s="129">
        <v>30.0</v>
      </c>
      <c r="M422" s="128" t="s">
        <v>2315</v>
      </c>
      <c r="N422" s="129">
        <v>657.0</v>
      </c>
      <c r="O422" s="128"/>
      <c r="P422" s="129">
        <v>30.0</v>
      </c>
      <c r="Q422" s="128" t="s">
        <v>572</v>
      </c>
    </row>
    <row r="423">
      <c r="A423" s="129">
        <v>1302.0</v>
      </c>
      <c r="B423" s="129">
        <v>2021.0</v>
      </c>
      <c r="C423" s="129">
        <v>8.3</v>
      </c>
      <c r="D423" s="129">
        <v>47.12444</v>
      </c>
      <c r="E423" s="129">
        <v>-117.531</v>
      </c>
      <c r="F423" s="128" t="s">
        <v>2318</v>
      </c>
      <c r="G423" s="128" t="s">
        <v>2314</v>
      </c>
      <c r="H423" s="128" t="s">
        <v>2312</v>
      </c>
      <c r="I423" s="128" t="s">
        <v>2313</v>
      </c>
      <c r="J423" s="129">
        <v>9.0</v>
      </c>
      <c r="K423" s="129">
        <v>1.0</v>
      </c>
      <c r="L423" s="129">
        <v>30.0</v>
      </c>
      <c r="M423" s="128" t="s">
        <v>2315</v>
      </c>
      <c r="N423" s="129">
        <v>657.0</v>
      </c>
      <c r="O423" s="128"/>
      <c r="P423" s="129">
        <v>30.0</v>
      </c>
      <c r="Q423" s="128" t="s">
        <v>572</v>
      </c>
    </row>
    <row r="424">
      <c r="A424" s="129">
        <v>1295.0</v>
      </c>
      <c r="B424" s="129">
        <v>2021.0</v>
      </c>
      <c r="C424" s="129">
        <v>89.7</v>
      </c>
      <c r="D424" s="129">
        <v>47.12611</v>
      </c>
      <c r="E424" s="129">
        <v>-117.526</v>
      </c>
      <c r="F424" s="128" t="s">
        <v>2339</v>
      </c>
      <c r="G424" s="128" t="s">
        <v>2325</v>
      </c>
      <c r="H424" s="128" t="s">
        <v>2312</v>
      </c>
      <c r="I424" s="128" t="s">
        <v>2313</v>
      </c>
      <c r="J424" s="129">
        <v>9.0</v>
      </c>
      <c r="K424" s="129">
        <v>1.0</v>
      </c>
      <c r="L424" s="129">
        <v>30.0</v>
      </c>
      <c r="M424" s="128" t="s">
        <v>2326</v>
      </c>
      <c r="N424" s="129">
        <v>686.0</v>
      </c>
      <c r="O424" s="128"/>
      <c r="P424" s="129">
        <v>30.0</v>
      </c>
      <c r="Q424" s="128" t="s">
        <v>572</v>
      </c>
    </row>
    <row r="425">
      <c r="A425" s="129">
        <v>1313.0</v>
      </c>
      <c r="B425" s="129">
        <v>2021.0</v>
      </c>
      <c r="C425" s="129">
        <v>49.2</v>
      </c>
      <c r="D425" s="129">
        <v>47.12611</v>
      </c>
      <c r="E425" s="129">
        <v>-117.526</v>
      </c>
      <c r="F425" s="128" t="s">
        <v>2339</v>
      </c>
      <c r="G425" s="128" t="s">
        <v>2325</v>
      </c>
      <c r="H425" s="128" t="s">
        <v>2312</v>
      </c>
      <c r="I425" s="128" t="s">
        <v>2313</v>
      </c>
      <c r="J425" s="129">
        <v>9.0</v>
      </c>
      <c r="K425" s="129">
        <v>1.0</v>
      </c>
      <c r="L425" s="129">
        <v>30.0</v>
      </c>
      <c r="M425" s="128" t="s">
        <v>2326</v>
      </c>
      <c r="N425" s="129">
        <v>686.0</v>
      </c>
      <c r="O425" s="128"/>
      <c r="P425" s="129">
        <v>30.0</v>
      </c>
      <c r="Q425" s="128" t="s">
        <v>572</v>
      </c>
    </row>
    <row r="426">
      <c r="A426" s="129">
        <v>1286.0</v>
      </c>
      <c r="B426" s="129">
        <v>2021.0</v>
      </c>
      <c r="C426" s="129">
        <v>51.7</v>
      </c>
      <c r="D426" s="129">
        <v>47.12611</v>
      </c>
      <c r="E426" s="129">
        <v>-117.526</v>
      </c>
      <c r="F426" s="128" t="s">
        <v>2318</v>
      </c>
      <c r="G426" s="128" t="s">
        <v>2325</v>
      </c>
      <c r="H426" s="128" t="s">
        <v>2312</v>
      </c>
      <c r="I426" s="128" t="s">
        <v>2313</v>
      </c>
      <c r="J426" s="129">
        <v>9.0</v>
      </c>
      <c r="K426" s="129">
        <v>1.0</v>
      </c>
      <c r="L426" s="129">
        <v>30.0</v>
      </c>
      <c r="M426" s="128" t="s">
        <v>2326</v>
      </c>
      <c r="N426" s="129">
        <v>686.0</v>
      </c>
      <c r="O426" s="128"/>
      <c r="P426" s="129">
        <v>30.0</v>
      </c>
      <c r="Q426" s="128" t="s">
        <v>572</v>
      </c>
    </row>
    <row r="427">
      <c r="A427" s="129">
        <v>1304.0</v>
      </c>
      <c r="B427" s="129">
        <v>2021.0</v>
      </c>
      <c r="C427" s="129">
        <v>19.3</v>
      </c>
      <c r="D427" s="129">
        <v>47.12611</v>
      </c>
      <c r="E427" s="129">
        <v>-117.526</v>
      </c>
      <c r="F427" s="128" t="s">
        <v>2318</v>
      </c>
      <c r="G427" s="128" t="s">
        <v>2325</v>
      </c>
      <c r="H427" s="128" t="s">
        <v>2312</v>
      </c>
      <c r="I427" s="128" t="s">
        <v>2313</v>
      </c>
      <c r="J427" s="129">
        <v>9.0</v>
      </c>
      <c r="K427" s="129">
        <v>1.0</v>
      </c>
      <c r="L427" s="129">
        <v>30.0</v>
      </c>
      <c r="M427" s="128" t="s">
        <v>2326</v>
      </c>
      <c r="N427" s="129">
        <v>686.0</v>
      </c>
      <c r="O427" s="128"/>
      <c r="P427" s="129">
        <v>30.0</v>
      </c>
      <c r="Q427" s="128" t="s">
        <v>572</v>
      </c>
    </row>
    <row r="428">
      <c r="A428" s="129">
        <v>757.0</v>
      </c>
      <c r="B428" s="129">
        <v>2015.0</v>
      </c>
      <c r="C428" s="129">
        <v>79.2</v>
      </c>
      <c r="D428" s="129">
        <v>47.21</v>
      </c>
      <c r="E428" s="129">
        <v>108.74</v>
      </c>
      <c r="F428" s="128" t="s">
        <v>984</v>
      </c>
      <c r="G428" s="128" t="s">
        <v>1278</v>
      </c>
      <c r="H428" s="128" t="s">
        <v>295</v>
      </c>
      <c r="I428" s="128" t="s">
        <v>342</v>
      </c>
      <c r="J428" s="129">
        <v>29.0</v>
      </c>
      <c r="K428" s="129">
        <v>1.0</v>
      </c>
      <c r="L428" s="128" t="s">
        <v>1452</v>
      </c>
      <c r="M428" s="128" t="s">
        <v>1279</v>
      </c>
      <c r="N428" s="129">
        <v>1250.0</v>
      </c>
      <c r="O428" s="129">
        <v>100.0</v>
      </c>
      <c r="P428" s="129">
        <v>30.0</v>
      </c>
      <c r="Q428" s="128" t="s">
        <v>572</v>
      </c>
    </row>
    <row r="429">
      <c r="A429" s="129">
        <v>758.0</v>
      </c>
      <c r="B429" s="129">
        <v>2015.0</v>
      </c>
      <c r="C429" s="129">
        <v>7.5</v>
      </c>
      <c r="D429" s="129">
        <v>47.21</v>
      </c>
      <c r="E429" s="129">
        <v>108.74</v>
      </c>
      <c r="F429" s="128" t="s">
        <v>984</v>
      </c>
      <c r="G429" s="128" t="s">
        <v>1278</v>
      </c>
      <c r="H429" s="128" t="s">
        <v>295</v>
      </c>
      <c r="I429" s="128" t="s">
        <v>342</v>
      </c>
      <c r="J429" s="129">
        <v>29.0</v>
      </c>
      <c r="K429" s="129">
        <v>1.0</v>
      </c>
      <c r="L429" s="128" t="s">
        <v>1452</v>
      </c>
      <c r="M429" s="128" t="s">
        <v>1279</v>
      </c>
      <c r="N429" s="129">
        <v>1250.0</v>
      </c>
      <c r="O429" s="129">
        <v>100.0</v>
      </c>
      <c r="P429" s="129">
        <v>30.0</v>
      </c>
      <c r="Q429" s="128" t="s">
        <v>572</v>
      </c>
    </row>
    <row r="430">
      <c r="A430" s="129">
        <v>759.0</v>
      </c>
      <c r="B430" s="129">
        <v>2015.0</v>
      </c>
      <c r="C430" s="129">
        <v>-10.4</v>
      </c>
      <c r="D430" s="129">
        <v>47.21</v>
      </c>
      <c r="E430" s="129">
        <v>108.74</v>
      </c>
      <c r="F430" s="128" t="s">
        <v>984</v>
      </c>
      <c r="G430" s="128" t="s">
        <v>1278</v>
      </c>
      <c r="H430" s="128" t="s">
        <v>295</v>
      </c>
      <c r="I430" s="128" t="s">
        <v>342</v>
      </c>
      <c r="J430" s="129">
        <v>29.0</v>
      </c>
      <c r="K430" s="129">
        <v>1.0</v>
      </c>
      <c r="L430" s="128" t="s">
        <v>1452</v>
      </c>
      <c r="M430" s="128" t="s">
        <v>1279</v>
      </c>
      <c r="N430" s="129">
        <v>1250.0</v>
      </c>
      <c r="O430" s="129">
        <v>100.0</v>
      </c>
      <c r="P430" s="129">
        <v>30.0</v>
      </c>
      <c r="Q430" s="128" t="s">
        <v>572</v>
      </c>
    </row>
    <row r="431">
      <c r="A431" s="129">
        <v>760.0</v>
      </c>
      <c r="B431" s="129">
        <v>2015.0</v>
      </c>
      <c r="C431" s="129">
        <v>-57.6</v>
      </c>
      <c r="D431" s="129">
        <v>47.21</v>
      </c>
      <c r="E431" s="129">
        <v>108.74</v>
      </c>
      <c r="F431" s="128" t="s">
        <v>984</v>
      </c>
      <c r="G431" s="128" t="s">
        <v>1278</v>
      </c>
      <c r="H431" s="128" t="s">
        <v>295</v>
      </c>
      <c r="I431" s="128" t="s">
        <v>342</v>
      </c>
      <c r="J431" s="129">
        <v>29.0</v>
      </c>
      <c r="K431" s="129">
        <v>1.0</v>
      </c>
      <c r="L431" s="128" t="s">
        <v>1452</v>
      </c>
      <c r="M431" s="128" t="s">
        <v>1279</v>
      </c>
      <c r="N431" s="129">
        <v>1250.0</v>
      </c>
      <c r="O431" s="129">
        <v>100.0</v>
      </c>
      <c r="P431" s="129">
        <v>30.0</v>
      </c>
      <c r="Q431" s="128" t="s">
        <v>572</v>
      </c>
    </row>
    <row r="432">
      <c r="A432" s="129">
        <v>777.0</v>
      </c>
      <c r="B432" s="129">
        <v>2015.0</v>
      </c>
      <c r="C432" s="129">
        <v>79.2</v>
      </c>
      <c r="D432" s="129">
        <v>47.21</v>
      </c>
      <c r="E432" s="129">
        <v>108.74</v>
      </c>
      <c r="F432" s="128" t="s">
        <v>936</v>
      </c>
      <c r="G432" s="128" t="s">
        <v>1278</v>
      </c>
      <c r="H432" s="128" t="s">
        <v>295</v>
      </c>
      <c r="I432" s="128" t="s">
        <v>342</v>
      </c>
      <c r="J432" s="129">
        <v>29.0</v>
      </c>
      <c r="K432" s="129">
        <v>1.0</v>
      </c>
      <c r="L432" s="128" t="s">
        <v>1452</v>
      </c>
      <c r="M432" s="128" t="s">
        <v>1279</v>
      </c>
      <c r="N432" s="129">
        <v>1250.0</v>
      </c>
      <c r="O432" s="129">
        <v>100.0</v>
      </c>
      <c r="P432" s="129">
        <v>30.0</v>
      </c>
      <c r="Q432" s="128" t="s">
        <v>572</v>
      </c>
    </row>
    <row r="433">
      <c r="A433" s="129">
        <v>778.0</v>
      </c>
      <c r="B433" s="129">
        <v>2015.0</v>
      </c>
      <c r="C433" s="129">
        <v>6.3</v>
      </c>
      <c r="D433" s="129">
        <v>47.21</v>
      </c>
      <c r="E433" s="129">
        <v>108.74</v>
      </c>
      <c r="F433" s="128" t="s">
        <v>936</v>
      </c>
      <c r="G433" s="128" t="s">
        <v>1278</v>
      </c>
      <c r="H433" s="128" t="s">
        <v>295</v>
      </c>
      <c r="I433" s="128" t="s">
        <v>342</v>
      </c>
      <c r="J433" s="129">
        <v>29.0</v>
      </c>
      <c r="K433" s="129">
        <v>1.0</v>
      </c>
      <c r="L433" s="128" t="s">
        <v>1452</v>
      </c>
      <c r="M433" s="128" t="s">
        <v>1279</v>
      </c>
      <c r="N433" s="129">
        <v>1250.0</v>
      </c>
      <c r="O433" s="129">
        <v>100.0</v>
      </c>
      <c r="P433" s="129">
        <v>30.0</v>
      </c>
      <c r="Q433" s="128" t="s">
        <v>572</v>
      </c>
    </row>
    <row r="434">
      <c r="A434" s="129">
        <v>779.0</v>
      </c>
      <c r="B434" s="129">
        <v>2015.0</v>
      </c>
      <c r="C434" s="129">
        <v>-11.5</v>
      </c>
      <c r="D434" s="129">
        <v>47.21</v>
      </c>
      <c r="E434" s="129">
        <v>108.74</v>
      </c>
      <c r="F434" s="128" t="s">
        <v>936</v>
      </c>
      <c r="G434" s="128" t="s">
        <v>1278</v>
      </c>
      <c r="H434" s="128" t="s">
        <v>295</v>
      </c>
      <c r="I434" s="128" t="s">
        <v>342</v>
      </c>
      <c r="J434" s="129">
        <v>29.0</v>
      </c>
      <c r="K434" s="129">
        <v>1.0</v>
      </c>
      <c r="L434" s="128" t="s">
        <v>1452</v>
      </c>
      <c r="M434" s="128" t="s">
        <v>1279</v>
      </c>
      <c r="N434" s="129">
        <v>1250.0</v>
      </c>
      <c r="O434" s="129">
        <v>100.0</v>
      </c>
      <c r="P434" s="129">
        <v>30.0</v>
      </c>
      <c r="Q434" s="128" t="s">
        <v>572</v>
      </c>
    </row>
    <row r="435">
      <c r="A435" s="129">
        <v>780.0</v>
      </c>
      <c r="B435" s="129">
        <v>2015.0</v>
      </c>
      <c r="C435" s="129">
        <v>-58.1</v>
      </c>
      <c r="D435" s="129">
        <v>47.21</v>
      </c>
      <c r="E435" s="129">
        <v>108.74</v>
      </c>
      <c r="F435" s="128" t="s">
        <v>936</v>
      </c>
      <c r="G435" s="128" t="s">
        <v>1278</v>
      </c>
      <c r="H435" s="128" t="s">
        <v>295</v>
      </c>
      <c r="I435" s="128" t="s">
        <v>342</v>
      </c>
      <c r="J435" s="129">
        <v>29.0</v>
      </c>
      <c r="K435" s="129">
        <v>1.0</v>
      </c>
      <c r="L435" s="128" t="s">
        <v>1452</v>
      </c>
      <c r="M435" s="128" t="s">
        <v>1279</v>
      </c>
      <c r="N435" s="129">
        <v>1250.0</v>
      </c>
      <c r="O435" s="129">
        <v>100.0</v>
      </c>
      <c r="P435" s="129">
        <v>30.0</v>
      </c>
      <c r="Q435" s="128" t="s">
        <v>572</v>
      </c>
    </row>
    <row r="436">
      <c r="A436" s="129">
        <v>1817.0</v>
      </c>
      <c r="B436" s="129">
        <v>2021.0</v>
      </c>
      <c r="C436" s="129">
        <v>51.1</v>
      </c>
      <c r="D436" s="129">
        <v>47.21</v>
      </c>
      <c r="E436" s="129">
        <v>108.73</v>
      </c>
      <c r="F436" s="128" t="s">
        <v>936</v>
      </c>
      <c r="G436" s="128" t="s">
        <v>1278</v>
      </c>
      <c r="H436" s="128" t="s">
        <v>295</v>
      </c>
      <c r="I436" s="128" t="s">
        <v>342</v>
      </c>
      <c r="J436" s="129">
        <v>29.0</v>
      </c>
      <c r="K436" s="129">
        <v>1.0</v>
      </c>
      <c r="L436" s="128"/>
      <c r="M436" s="128" t="s">
        <v>1279</v>
      </c>
      <c r="N436" s="129">
        <v>1243.0</v>
      </c>
      <c r="O436" s="128"/>
      <c r="P436" s="128"/>
      <c r="Q436" s="128" t="s">
        <v>572</v>
      </c>
    </row>
    <row r="437">
      <c r="A437" s="129">
        <v>1823.0</v>
      </c>
      <c r="B437" s="129">
        <v>2021.0</v>
      </c>
      <c r="C437" s="129">
        <v>96.3</v>
      </c>
      <c r="D437" s="129">
        <v>47.21</v>
      </c>
      <c r="E437" s="129">
        <v>108.73</v>
      </c>
      <c r="F437" s="128" t="s">
        <v>936</v>
      </c>
      <c r="G437" s="128" t="s">
        <v>1278</v>
      </c>
      <c r="H437" s="128" t="s">
        <v>295</v>
      </c>
      <c r="I437" s="128" t="s">
        <v>342</v>
      </c>
      <c r="J437" s="129">
        <v>29.0</v>
      </c>
      <c r="K437" s="129">
        <v>1.0</v>
      </c>
      <c r="L437" s="128"/>
      <c r="M437" s="128" t="s">
        <v>1279</v>
      </c>
      <c r="N437" s="129">
        <v>1243.0</v>
      </c>
      <c r="O437" s="128"/>
      <c r="P437" s="128"/>
      <c r="Q437" s="128" t="s">
        <v>572</v>
      </c>
    </row>
    <row r="438">
      <c r="A438" s="129">
        <v>699.0</v>
      </c>
      <c r="B438" s="129">
        <v>2013.0</v>
      </c>
      <c r="C438" s="129">
        <v>10.52</v>
      </c>
      <c r="D438" s="129">
        <v>47.35</v>
      </c>
      <c r="E438" s="129">
        <v>133.31</v>
      </c>
      <c r="F438" s="128" t="s">
        <v>571</v>
      </c>
      <c r="G438" s="128" t="s">
        <v>1387</v>
      </c>
      <c r="H438" s="128" t="s">
        <v>1385</v>
      </c>
      <c r="I438" s="128" t="s">
        <v>1386</v>
      </c>
      <c r="J438" s="129">
        <v>12.0</v>
      </c>
      <c r="K438" s="129">
        <v>1.0</v>
      </c>
      <c r="L438" s="129">
        <v>3000.0</v>
      </c>
      <c r="M438" s="128" t="s">
        <v>1388</v>
      </c>
      <c r="N438" s="129">
        <v>53.0</v>
      </c>
      <c r="O438" s="128"/>
      <c r="P438" s="129">
        <v>1000.0</v>
      </c>
      <c r="Q438" s="128" t="s">
        <v>572</v>
      </c>
    </row>
    <row r="439">
      <c r="A439" s="129">
        <v>700.0</v>
      </c>
      <c r="B439" s="129">
        <v>2013.0</v>
      </c>
      <c r="C439" s="129">
        <v>8.86</v>
      </c>
      <c r="D439" s="129">
        <v>47.35</v>
      </c>
      <c r="E439" s="129">
        <v>133.31</v>
      </c>
      <c r="F439" s="128" t="s">
        <v>571</v>
      </c>
      <c r="G439" s="128" t="s">
        <v>1387</v>
      </c>
      <c r="H439" s="128" t="s">
        <v>1385</v>
      </c>
      <c r="I439" s="128" t="s">
        <v>1386</v>
      </c>
      <c r="J439" s="129">
        <v>12.0</v>
      </c>
      <c r="K439" s="129">
        <v>1.0</v>
      </c>
      <c r="L439" s="129">
        <v>3000.0</v>
      </c>
      <c r="M439" s="128" t="s">
        <v>1388</v>
      </c>
      <c r="N439" s="129">
        <v>53.0</v>
      </c>
      <c r="O439" s="128"/>
      <c r="P439" s="129">
        <v>1000.0</v>
      </c>
      <c r="Q439" s="128" t="s">
        <v>572</v>
      </c>
    </row>
    <row r="440">
      <c r="A440" s="129">
        <v>1484.0</v>
      </c>
      <c r="B440" s="129">
        <v>2013.0</v>
      </c>
      <c r="C440" s="129">
        <v>10.5</v>
      </c>
      <c r="D440" s="129">
        <v>47.58333</v>
      </c>
      <c r="E440" s="129">
        <v>133.5167</v>
      </c>
      <c r="F440" s="128" t="s">
        <v>571</v>
      </c>
      <c r="G440" s="128" t="s">
        <v>2511</v>
      </c>
      <c r="H440" s="128" t="s">
        <v>2509</v>
      </c>
      <c r="I440" s="128" t="s">
        <v>2510</v>
      </c>
      <c r="J440" s="129">
        <v>12.0</v>
      </c>
      <c r="K440" s="129">
        <v>1.0</v>
      </c>
      <c r="L440" s="129">
        <v>3000.0</v>
      </c>
      <c r="M440" s="128" t="s">
        <v>1388</v>
      </c>
      <c r="N440" s="129">
        <v>57.0</v>
      </c>
      <c r="O440" s="128"/>
      <c r="P440" s="129">
        <v>1000.0</v>
      </c>
      <c r="Q440" s="128" t="s">
        <v>572</v>
      </c>
    </row>
    <row r="441">
      <c r="A441" s="129">
        <v>422.0</v>
      </c>
      <c r="B441" s="129">
        <v>2020.0</v>
      </c>
      <c r="C441" s="129">
        <v>-19.0</v>
      </c>
      <c r="D441" s="129">
        <v>50.7867</v>
      </c>
      <c r="E441" s="129">
        <v>13.7213</v>
      </c>
      <c r="F441" s="128" t="s">
        <v>802</v>
      </c>
      <c r="G441" s="128" t="s">
        <v>1012</v>
      </c>
      <c r="H441" s="128" t="s">
        <v>193</v>
      </c>
      <c r="I441" s="128" t="s">
        <v>246</v>
      </c>
      <c r="J441" s="128"/>
      <c r="K441" s="129">
        <v>1.0</v>
      </c>
      <c r="L441" s="129">
        <v>1000.0</v>
      </c>
      <c r="M441" s="128" t="s">
        <v>1013</v>
      </c>
      <c r="N441" s="129">
        <v>746.0</v>
      </c>
      <c r="O441" s="128"/>
      <c r="P441" s="129">
        <v>1000.0</v>
      </c>
      <c r="Q441" s="128" t="s">
        <v>572</v>
      </c>
    </row>
    <row r="442">
      <c r="A442" s="129">
        <v>423.0</v>
      </c>
      <c r="B442" s="129">
        <v>2020.0</v>
      </c>
      <c r="C442" s="129">
        <v>-33.0</v>
      </c>
      <c r="D442" s="129">
        <v>50.8706</v>
      </c>
      <c r="E442" s="129">
        <v>6.4497</v>
      </c>
      <c r="F442" s="128" t="s">
        <v>802</v>
      </c>
      <c r="G442" s="128" t="s">
        <v>508</v>
      </c>
      <c r="H442" s="128" t="s">
        <v>193</v>
      </c>
      <c r="I442" s="128" t="s">
        <v>246</v>
      </c>
      <c r="J442" s="128"/>
      <c r="K442" s="129">
        <v>1.0</v>
      </c>
      <c r="L442" s="129">
        <v>1000.0</v>
      </c>
      <c r="M442" s="128" t="s">
        <v>509</v>
      </c>
      <c r="N442" s="129">
        <v>102.0</v>
      </c>
      <c r="O442" s="128"/>
      <c r="P442" s="129">
        <v>1000.0</v>
      </c>
      <c r="Q442" s="128" t="s">
        <v>572</v>
      </c>
    </row>
    <row r="443">
      <c r="A443" s="129">
        <v>1796.0</v>
      </c>
      <c r="B443" s="129">
        <v>2013.0</v>
      </c>
      <c r="C443" s="129">
        <v>31.7</v>
      </c>
      <c r="D443" s="129">
        <v>51.97</v>
      </c>
      <c r="E443" s="129">
        <v>4.93</v>
      </c>
      <c r="F443" s="128" t="s">
        <v>2833</v>
      </c>
      <c r="G443" s="128" t="s">
        <v>384</v>
      </c>
      <c r="H443" s="128" t="s">
        <v>193</v>
      </c>
      <c r="I443" s="128" t="s">
        <v>363</v>
      </c>
      <c r="J443" s="129">
        <v>22.0</v>
      </c>
      <c r="K443" s="129">
        <v>1.0</v>
      </c>
      <c r="L443" s="129">
        <v>1000.0</v>
      </c>
      <c r="M443" s="128" t="s">
        <v>384</v>
      </c>
      <c r="N443" s="129">
        <v>-1.0</v>
      </c>
      <c r="O443" s="128"/>
      <c r="P443" s="129">
        <v>1000.0</v>
      </c>
      <c r="Q443" s="128" t="s">
        <v>572</v>
      </c>
    </row>
    <row r="444">
      <c r="A444" s="129">
        <v>1797.0</v>
      </c>
      <c r="B444" s="129">
        <v>2013.0</v>
      </c>
      <c r="C444" s="129">
        <v>-31.1</v>
      </c>
      <c r="D444" s="129">
        <v>51.97</v>
      </c>
      <c r="E444" s="129">
        <v>4.93</v>
      </c>
      <c r="F444" s="128" t="s">
        <v>2833</v>
      </c>
      <c r="G444" s="128" t="s">
        <v>384</v>
      </c>
      <c r="H444" s="128" t="s">
        <v>193</v>
      </c>
      <c r="I444" s="128" t="s">
        <v>363</v>
      </c>
      <c r="J444" s="129">
        <v>22.0</v>
      </c>
      <c r="K444" s="129">
        <v>1.0</v>
      </c>
      <c r="L444" s="129">
        <v>1000.0</v>
      </c>
      <c r="M444" s="128" t="s">
        <v>384</v>
      </c>
      <c r="N444" s="129">
        <v>-1.0</v>
      </c>
      <c r="O444" s="128"/>
      <c r="P444" s="129">
        <v>1000.0</v>
      </c>
      <c r="Q444" s="128" t="s">
        <v>572</v>
      </c>
    </row>
    <row r="445">
      <c r="A445" s="129">
        <v>1798.0</v>
      </c>
      <c r="B445" s="129">
        <v>2013.0</v>
      </c>
      <c r="C445" s="129">
        <v>6.7</v>
      </c>
      <c r="D445" s="129">
        <v>51.97</v>
      </c>
      <c r="E445" s="129">
        <v>4.93</v>
      </c>
      <c r="F445" s="128" t="s">
        <v>571</v>
      </c>
      <c r="G445" s="128" t="s">
        <v>384</v>
      </c>
      <c r="H445" s="128" t="s">
        <v>193</v>
      </c>
      <c r="I445" s="128" t="s">
        <v>363</v>
      </c>
      <c r="J445" s="129">
        <v>22.0</v>
      </c>
      <c r="K445" s="129">
        <v>1.0</v>
      </c>
      <c r="L445" s="129">
        <v>1000.0</v>
      </c>
      <c r="M445" s="128" t="s">
        <v>384</v>
      </c>
      <c r="N445" s="129">
        <v>-1.0</v>
      </c>
      <c r="O445" s="128"/>
      <c r="P445" s="129">
        <v>1000.0</v>
      </c>
      <c r="Q445" s="128" t="s">
        <v>572</v>
      </c>
    </row>
    <row r="446">
      <c r="A446" s="129">
        <v>1799.0</v>
      </c>
      <c r="B446" s="129">
        <v>2013.0</v>
      </c>
      <c r="C446" s="129">
        <v>-19.9</v>
      </c>
      <c r="D446" s="129">
        <v>51.97</v>
      </c>
      <c r="E446" s="129">
        <v>4.93</v>
      </c>
      <c r="F446" s="128" t="s">
        <v>571</v>
      </c>
      <c r="G446" s="128" t="s">
        <v>384</v>
      </c>
      <c r="H446" s="128" t="s">
        <v>193</v>
      </c>
      <c r="I446" s="128" t="s">
        <v>363</v>
      </c>
      <c r="J446" s="129">
        <v>22.0</v>
      </c>
      <c r="K446" s="129">
        <v>1.0</v>
      </c>
      <c r="L446" s="129">
        <v>1000.0</v>
      </c>
      <c r="M446" s="128" t="s">
        <v>384</v>
      </c>
      <c r="N446" s="129">
        <v>-1.0</v>
      </c>
      <c r="O446" s="128"/>
      <c r="P446" s="129">
        <v>1000.0</v>
      </c>
      <c r="Q446" s="128" t="s">
        <v>572</v>
      </c>
    </row>
    <row r="447">
      <c r="A447" s="129">
        <v>418.0</v>
      </c>
      <c r="B447" s="129">
        <v>2020.0</v>
      </c>
      <c r="C447" s="129">
        <v>-3.0</v>
      </c>
      <c r="D447" s="129">
        <v>54.485</v>
      </c>
      <c r="E447" s="129">
        <v>-105.818</v>
      </c>
      <c r="F447" s="128" t="s">
        <v>802</v>
      </c>
      <c r="G447" s="128" t="s">
        <v>402</v>
      </c>
      <c r="H447" s="128" t="s">
        <v>193</v>
      </c>
      <c r="I447" s="128" t="s">
        <v>246</v>
      </c>
      <c r="J447" s="128"/>
      <c r="K447" s="129">
        <v>1.0</v>
      </c>
      <c r="L447" s="129">
        <v>1000.0</v>
      </c>
      <c r="M447" s="128" t="s">
        <v>403</v>
      </c>
      <c r="N447" s="129">
        <v>567.0</v>
      </c>
      <c r="O447" s="128"/>
      <c r="P447" s="129">
        <v>1000.0</v>
      </c>
      <c r="Q447" s="128" t="s">
        <v>572</v>
      </c>
    </row>
    <row r="448">
      <c r="A448" s="129">
        <v>1951.0</v>
      </c>
      <c r="B448" s="129">
        <v>2021.0</v>
      </c>
      <c r="C448" s="129">
        <v>26.0</v>
      </c>
      <c r="D448" s="129">
        <v>13.6</v>
      </c>
      <c r="E448" s="129">
        <v>2.6</v>
      </c>
      <c r="F448" s="128" t="s">
        <v>2942</v>
      </c>
      <c r="G448" s="128" t="s">
        <v>2969</v>
      </c>
      <c r="H448" s="128" t="s">
        <v>536</v>
      </c>
      <c r="I448" s="128" t="s">
        <v>351</v>
      </c>
      <c r="J448" s="129">
        <v>275.0</v>
      </c>
      <c r="K448" s="129">
        <v>1.0</v>
      </c>
      <c r="L448" s="129">
        <v>1000.0</v>
      </c>
      <c r="M448" s="128" t="s">
        <v>2969</v>
      </c>
      <c r="N448" s="129">
        <v>228.0</v>
      </c>
      <c r="O448" s="128"/>
      <c r="P448" s="129">
        <v>1000.0</v>
      </c>
      <c r="Q448" s="128" t="s">
        <v>91</v>
      </c>
    </row>
    <row r="449">
      <c r="A449" s="129">
        <v>1952.0</v>
      </c>
      <c r="B449" s="129">
        <v>2021.0</v>
      </c>
      <c r="C449" s="129">
        <v>-15.0</v>
      </c>
      <c r="D449" s="129">
        <v>13.6</v>
      </c>
      <c r="E449" s="129">
        <v>2.6</v>
      </c>
      <c r="F449" s="128" t="s">
        <v>2942</v>
      </c>
      <c r="G449" s="128" t="s">
        <v>2969</v>
      </c>
      <c r="H449" s="128" t="s">
        <v>536</v>
      </c>
      <c r="I449" s="128" t="s">
        <v>351</v>
      </c>
      <c r="J449" s="129">
        <v>262.0</v>
      </c>
      <c r="K449" s="129">
        <v>1.0</v>
      </c>
      <c r="L449" s="129">
        <v>1000.0</v>
      </c>
      <c r="M449" s="128" t="s">
        <v>2969</v>
      </c>
      <c r="N449" s="129">
        <v>228.0</v>
      </c>
      <c r="O449" s="128"/>
      <c r="P449" s="129">
        <v>1000.0</v>
      </c>
      <c r="Q449" s="128" t="s">
        <v>91</v>
      </c>
    </row>
    <row r="450">
      <c r="A450" s="129">
        <v>1971.0</v>
      </c>
      <c r="B450" s="129">
        <v>2021.0</v>
      </c>
      <c r="C450" s="129">
        <v>23.0</v>
      </c>
      <c r="D450" s="129">
        <v>13.6</v>
      </c>
      <c r="E450" s="129">
        <v>2.6</v>
      </c>
      <c r="F450" s="128" t="s">
        <v>2942</v>
      </c>
      <c r="G450" s="128" t="s">
        <v>2969</v>
      </c>
      <c r="H450" s="128" t="s">
        <v>536</v>
      </c>
      <c r="I450" s="128" t="s">
        <v>351</v>
      </c>
      <c r="J450" s="129">
        <v>275.0</v>
      </c>
      <c r="K450" s="129">
        <v>1.0</v>
      </c>
      <c r="L450" s="129">
        <v>1000.0</v>
      </c>
      <c r="M450" s="128" t="s">
        <v>2969</v>
      </c>
      <c r="N450" s="129">
        <v>228.0</v>
      </c>
      <c r="O450" s="128"/>
      <c r="P450" s="129">
        <v>1000.0</v>
      </c>
      <c r="Q450" s="128" t="s">
        <v>91</v>
      </c>
    </row>
    <row r="451">
      <c r="A451" s="129">
        <v>1972.0</v>
      </c>
      <c r="B451" s="129">
        <v>2021.0</v>
      </c>
      <c r="C451" s="129">
        <v>-16.0</v>
      </c>
      <c r="D451" s="129">
        <v>13.6</v>
      </c>
      <c r="E451" s="129">
        <v>2.6</v>
      </c>
      <c r="F451" s="128" t="s">
        <v>2942</v>
      </c>
      <c r="G451" s="128" t="s">
        <v>2969</v>
      </c>
      <c r="H451" s="128" t="s">
        <v>536</v>
      </c>
      <c r="I451" s="128" t="s">
        <v>351</v>
      </c>
      <c r="J451" s="129">
        <v>262.0</v>
      </c>
      <c r="K451" s="129">
        <v>1.0</v>
      </c>
      <c r="L451" s="129">
        <v>1000.0</v>
      </c>
      <c r="M451" s="128" t="s">
        <v>2969</v>
      </c>
      <c r="N451" s="129">
        <v>228.0</v>
      </c>
      <c r="O451" s="128"/>
      <c r="P451" s="129">
        <v>1000.0</v>
      </c>
      <c r="Q451" s="128" t="s">
        <v>91</v>
      </c>
    </row>
    <row r="452">
      <c r="A452" s="129">
        <v>1991.0</v>
      </c>
      <c r="B452" s="129">
        <v>2021.0</v>
      </c>
      <c r="C452" s="129">
        <v>35.0</v>
      </c>
      <c r="D452" s="129">
        <v>13.6</v>
      </c>
      <c r="E452" s="129">
        <v>2.6</v>
      </c>
      <c r="F452" s="128" t="s">
        <v>2942</v>
      </c>
      <c r="G452" s="128" t="s">
        <v>2969</v>
      </c>
      <c r="H452" s="128" t="s">
        <v>536</v>
      </c>
      <c r="I452" s="128" t="s">
        <v>351</v>
      </c>
      <c r="J452" s="129">
        <v>275.0</v>
      </c>
      <c r="K452" s="129">
        <v>1.0</v>
      </c>
      <c r="L452" s="129">
        <v>1000.0</v>
      </c>
      <c r="M452" s="128" t="s">
        <v>2969</v>
      </c>
      <c r="N452" s="129">
        <v>228.0</v>
      </c>
      <c r="O452" s="128"/>
      <c r="P452" s="129">
        <v>1000.0</v>
      </c>
      <c r="Q452" s="128" t="s">
        <v>91</v>
      </c>
    </row>
    <row r="453">
      <c r="A453" s="129">
        <v>1992.0</v>
      </c>
      <c r="B453" s="129">
        <v>2021.0</v>
      </c>
      <c r="C453" s="129">
        <v>-9.0</v>
      </c>
      <c r="D453" s="129">
        <v>13.6</v>
      </c>
      <c r="E453" s="129">
        <v>2.6</v>
      </c>
      <c r="F453" s="128" t="s">
        <v>2942</v>
      </c>
      <c r="G453" s="128" t="s">
        <v>2969</v>
      </c>
      <c r="H453" s="128" t="s">
        <v>536</v>
      </c>
      <c r="I453" s="128" t="s">
        <v>351</v>
      </c>
      <c r="J453" s="129">
        <v>262.0</v>
      </c>
      <c r="K453" s="129">
        <v>1.0</v>
      </c>
      <c r="L453" s="129">
        <v>1000.0</v>
      </c>
      <c r="M453" s="128" t="s">
        <v>2969</v>
      </c>
      <c r="N453" s="129">
        <v>228.0</v>
      </c>
      <c r="O453" s="128"/>
      <c r="P453" s="129">
        <v>1000.0</v>
      </c>
      <c r="Q453" s="128" t="s">
        <v>91</v>
      </c>
    </row>
    <row r="454">
      <c r="A454" s="129">
        <v>2011.0</v>
      </c>
      <c r="B454" s="129">
        <v>2021.0</v>
      </c>
      <c r="C454" s="129">
        <v>26.0</v>
      </c>
      <c r="D454" s="129">
        <v>13.6</v>
      </c>
      <c r="E454" s="129">
        <v>2.6</v>
      </c>
      <c r="F454" s="128" t="s">
        <v>2942</v>
      </c>
      <c r="G454" s="128" t="s">
        <v>2969</v>
      </c>
      <c r="H454" s="128" t="s">
        <v>536</v>
      </c>
      <c r="I454" s="128" t="s">
        <v>351</v>
      </c>
      <c r="J454" s="129">
        <v>275.0</v>
      </c>
      <c r="K454" s="129">
        <v>1.0</v>
      </c>
      <c r="L454" s="129">
        <v>1000.0</v>
      </c>
      <c r="M454" s="128" t="s">
        <v>2969</v>
      </c>
      <c r="N454" s="129">
        <v>228.0</v>
      </c>
      <c r="O454" s="128"/>
      <c r="P454" s="129">
        <v>1000.0</v>
      </c>
      <c r="Q454" s="128" t="s">
        <v>91</v>
      </c>
    </row>
    <row r="455">
      <c r="A455" s="129">
        <v>2012.0</v>
      </c>
      <c r="B455" s="129">
        <v>2021.0</v>
      </c>
      <c r="C455" s="129">
        <v>-15.0</v>
      </c>
      <c r="D455" s="129">
        <v>13.6</v>
      </c>
      <c r="E455" s="129">
        <v>2.6</v>
      </c>
      <c r="F455" s="128" t="s">
        <v>2942</v>
      </c>
      <c r="G455" s="128" t="s">
        <v>2969</v>
      </c>
      <c r="H455" s="128" t="s">
        <v>536</v>
      </c>
      <c r="I455" s="128" t="s">
        <v>351</v>
      </c>
      <c r="J455" s="129">
        <v>262.0</v>
      </c>
      <c r="K455" s="129">
        <v>1.0</v>
      </c>
      <c r="L455" s="129">
        <v>1000.0</v>
      </c>
      <c r="M455" s="128" t="s">
        <v>2969</v>
      </c>
      <c r="N455" s="129">
        <v>228.0</v>
      </c>
      <c r="O455" s="128"/>
      <c r="P455" s="129">
        <v>1000.0</v>
      </c>
      <c r="Q455" s="128" t="s">
        <v>91</v>
      </c>
    </row>
    <row r="456">
      <c r="A456" s="129">
        <v>2031.0</v>
      </c>
      <c r="B456" s="129">
        <v>2021.0</v>
      </c>
      <c r="C456" s="129">
        <v>29.0</v>
      </c>
      <c r="D456" s="129">
        <v>13.6</v>
      </c>
      <c r="E456" s="129">
        <v>2.6</v>
      </c>
      <c r="F456" s="128" t="s">
        <v>2942</v>
      </c>
      <c r="G456" s="128" t="s">
        <v>2969</v>
      </c>
      <c r="H456" s="128" t="s">
        <v>536</v>
      </c>
      <c r="I456" s="128" t="s">
        <v>351</v>
      </c>
      <c r="J456" s="129">
        <v>275.0</v>
      </c>
      <c r="K456" s="129">
        <v>1.0</v>
      </c>
      <c r="L456" s="129">
        <v>1000.0</v>
      </c>
      <c r="M456" s="128" t="s">
        <v>2969</v>
      </c>
      <c r="N456" s="129">
        <v>228.0</v>
      </c>
      <c r="O456" s="128"/>
      <c r="P456" s="129">
        <v>1000.0</v>
      </c>
      <c r="Q456" s="128" t="s">
        <v>91</v>
      </c>
    </row>
    <row r="457">
      <c r="A457" s="129">
        <v>2032.0</v>
      </c>
      <c r="B457" s="129">
        <v>2021.0</v>
      </c>
      <c r="C457" s="129">
        <v>-13.0</v>
      </c>
      <c r="D457" s="129">
        <v>13.6</v>
      </c>
      <c r="E457" s="129">
        <v>2.6</v>
      </c>
      <c r="F457" s="128" t="s">
        <v>2942</v>
      </c>
      <c r="G457" s="128" t="s">
        <v>2969</v>
      </c>
      <c r="H457" s="128" t="s">
        <v>536</v>
      </c>
      <c r="I457" s="128" t="s">
        <v>351</v>
      </c>
      <c r="J457" s="129">
        <v>262.0</v>
      </c>
      <c r="K457" s="129">
        <v>1.0</v>
      </c>
      <c r="L457" s="129">
        <v>1000.0</v>
      </c>
      <c r="M457" s="128" t="s">
        <v>2969</v>
      </c>
      <c r="N457" s="129">
        <v>228.0</v>
      </c>
      <c r="O457" s="128"/>
      <c r="P457" s="129">
        <v>1000.0</v>
      </c>
      <c r="Q457" s="128" t="s">
        <v>91</v>
      </c>
    </row>
    <row r="458">
      <c r="A458" s="129">
        <v>2051.0</v>
      </c>
      <c r="B458" s="129">
        <v>2021.0</v>
      </c>
      <c r="C458" s="129">
        <v>27.0</v>
      </c>
      <c r="D458" s="129">
        <v>13.6</v>
      </c>
      <c r="E458" s="129">
        <v>2.6</v>
      </c>
      <c r="F458" s="128" t="s">
        <v>2942</v>
      </c>
      <c r="G458" s="128" t="s">
        <v>2969</v>
      </c>
      <c r="H458" s="128" t="s">
        <v>536</v>
      </c>
      <c r="I458" s="128" t="s">
        <v>351</v>
      </c>
      <c r="J458" s="129">
        <v>275.0</v>
      </c>
      <c r="K458" s="129">
        <v>1.0</v>
      </c>
      <c r="L458" s="129">
        <v>1000.0</v>
      </c>
      <c r="M458" s="128" t="s">
        <v>2969</v>
      </c>
      <c r="N458" s="129">
        <v>228.0</v>
      </c>
      <c r="O458" s="128"/>
      <c r="P458" s="129">
        <v>1000.0</v>
      </c>
      <c r="Q458" s="128" t="s">
        <v>91</v>
      </c>
    </row>
    <row r="459">
      <c r="A459" s="129">
        <v>2052.0</v>
      </c>
      <c r="B459" s="129">
        <v>2021.0</v>
      </c>
      <c r="C459" s="129">
        <v>-14.0</v>
      </c>
      <c r="D459" s="129">
        <v>13.6</v>
      </c>
      <c r="E459" s="129">
        <v>2.6</v>
      </c>
      <c r="F459" s="128" t="s">
        <v>2942</v>
      </c>
      <c r="G459" s="128" t="s">
        <v>2969</v>
      </c>
      <c r="H459" s="128" t="s">
        <v>536</v>
      </c>
      <c r="I459" s="128" t="s">
        <v>351</v>
      </c>
      <c r="J459" s="129">
        <v>262.0</v>
      </c>
      <c r="K459" s="129">
        <v>1.0</v>
      </c>
      <c r="L459" s="129">
        <v>1000.0</v>
      </c>
      <c r="M459" s="128" t="s">
        <v>2969</v>
      </c>
      <c r="N459" s="129">
        <v>228.0</v>
      </c>
      <c r="O459" s="128"/>
      <c r="P459" s="129">
        <v>1000.0</v>
      </c>
      <c r="Q459" s="128" t="s">
        <v>91</v>
      </c>
    </row>
    <row r="460">
      <c r="A460" s="129">
        <v>2071.0</v>
      </c>
      <c r="B460" s="129">
        <v>2021.0</v>
      </c>
      <c r="C460" s="129">
        <v>27.0</v>
      </c>
      <c r="D460" s="129">
        <v>13.6</v>
      </c>
      <c r="E460" s="129">
        <v>2.6</v>
      </c>
      <c r="F460" s="128" t="s">
        <v>2942</v>
      </c>
      <c r="G460" s="128" t="s">
        <v>2969</v>
      </c>
      <c r="H460" s="128" t="s">
        <v>536</v>
      </c>
      <c r="I460" s="128" t="s">
        <v>351</v>
      </c>
      <c r="J460" s="129">
        <v>275.0</v>
      </c>
      <c r="K460" s="129">
        <v>1.0</v>
      </c>
      <c r="L460" s="129">
        <v>1000.0</v>
      </c>
      <c r="M460" s="128" t="s">
        <v>2969</v>
      </c>
      <c r="N460" s="129">
        <v>228.0</v>
      </c>
      <c r="O460" s="128"/>
      <c r="P460" s="129">
        <v>1000.0</v>
      </c>
      <c r="Q460" s="128" t="s">
        <v>91</v>
      </c>
    </row>
    <row r="461">
      <c r="A461" s="129">
        <v>2072.0</v>
      </c>
      <c r="B461" s="129">
        <v>2021.0</v>
      </c>
      <c r="C461" s="129">
        <v>-15.0</v>
      </c>
      <c r="D461" s="129">
        <v>13.6</v>
      </c>
      <c r="E461" s="129">
        <v>2.6</v>
      </c>
      <c r="F461" s="128" t="s">
        <v>2942</v>
      </c>
      <c r="G461" s="128" t="s">
        <v>2969</v>
      </c>
      <c r="H461" s="128" t="s">
        <v>536</v>
      </c>
      <c r="I461" s="128" t="s">
        <v>351</v>
      </c>
      <c r="J461" s="129">
        <v>262.0</v>
      </c>
      <c r="K461" s="129">
        <v>1.0</v>
      </c>
      <c r="L461" s="129">
        <v>1000.0</v>
      </c>
      <c r="M461" s="128" t="s">
        <v>2969</v>
      </c>
      <c r="N461" s="129">
        <v>228.0</v>
      </c>
      <c r="O461" s="128"/>
      <c r="P461" s="129">
        <v>1000.0</v>
      </c>
      <c r="Q461" s="128" t="s">
        <v>91</v>
      </c>
    </row>
    <row r="462">
      <c r="A462" s="129">
        <v>2091.0</v>
      </c>
      <c r="B462" s="129">
        <v>2021.0</v>
      </c>
      <c r="C462" s="129">
        <v>23.0</v>
      </c>
      <c r="D462" s="129">
        <v>13.6</v>
      </c>
      <c r="E462" s="129">
        <v>2.6</v>
      </c>
      <c r="F462" s="128" t="s">
        <v>2942</v>
      </c>
      <c r="G462" s="128" t="s">
        <v>2969</v>
      </c>
      <c r="H462" s="128" t="s">
        <v>536</v>
      </c>
      <c r="I462" s="128" t="s">
        <v>351</v>
      </c>
      <c r="J462" s="129">
        <v>275.0</v>
      </c>
      <c r="K462" s="129">
        <v>1.0</v>
      </c>
      <c r="L462" s="129">
        <v>1000.0</v>
      </c>
      <c r="M462" s="128" t="s">
        <v>2969</v>
      </c>
      <c r="N462" s="129">
        <v>228.0</v>
      </c>
      <c r="O462" s="128"/>
      <c r="P462" s="129">
        <v>1000.0</v>
      </c>
      <c r="Q462" s="128" t="s">
        <v>91</v>
      </c>
    </row>
    <row r="463">
      <c r="A463" s="129">
        <v>2092.0</v>
      </c>
      <c r="B463" s="129">
        <v>2021.0</v>
      </c>
      <c r="C463" s="129">
        <v>33.7</v>
      </c>
      <c r="D463" s="129">
        <v>13.6</v>
      </c>
      <c r="E463" s="129">
        <v>2.6</v>
      </c>
      <c r="F463" s="128" t="s">
        <v>2942</v>
      </c>
      <c r="G463" s="128" t="s">
        <v>2969</v>
      </c>
      <c r="H463" s="128" t="s">
        <v>536</v>
      </c>
      <c r="I463" s="128" t="s">
        <v>351</v>
      </c>
      <c r="J463" s="129">
        <v>262.0</v>
      </c>
      <c r="K463" s="129">
        <v>1.0</v>
      </c>
      <c r="L463" s="129">
        <v>1000.0</v>
      </c>
      <c r="M463" s="128" t="s">
        <v>2969</v>
      </c>
      <c r="N463" s="129">
        <v>228.0</v>
      </c>
      <c r="O463" s="128"/>
      <c r="P463" s="129">
        <v>1000.0</v>
      </c>
      <c r="Q463" s="128" t="s">
        <v>91</v>
      </c>
    </row>
    <row r="464">
      <c r="A464" s="129">
        <v>1768.0</v>
      </c>
      <c r="B464" s="129">
        <v>2019.0</v>
      </c>
      <c r="C464" s="129">
        <v>4.7</v>
      </c>
      <c r="D464" s="129">
        <v>21.95</v>
      </c>
      <c r="E464" s="129">
        <v>101.2</v>
      </c>
      <c r="F464" s="128" t="s">
        <v>2426</v>
      </c>
      <c r="G464" s="128" t="s">
        <v>589</v>
      </c>
      <c r="H464" s="128" t="s">
        <v>193</v>
      </c>
      <c r="I464" s="128" t="s">
        <v>194</v>
      </c>
      <c r="J464" s="128"/>
      <c r="K464" s="129">
        <v>1.0</v>
      </c>
      <c r="L464" s="129">
        <v>1000.0</v>
      </c>
      <c r="M464" s="128" t="s">
        <v>5990</v>
      </c>
      <c r="N464" s="129">
        <v>732.0</v>
      </c>
      <c r="O464" s="128"/>
      <c r="P464" s="129">
        <v>1000.0</v>
      </c>
      <c r="Q464" s="128" t="s">
        <v>91</v>
      </c>
    </row>
    <row r="465">
      <c r="A465" s="129">
        <v>1767.0</v>
      </c>
      <c r="B465" s="129">
        <v>2019.0</v>
      </c>
      <c r="C465" s="129">
        <v>-4.8</v>
      </c>
      <c r="D465" s="129">
        <v>23.17</v>
      </c>
      <c r="E465" s="129">
        <v>112.53</v>
      </c>
      <c r="F465" s="128" t="s">
        <v>2426</v>
      </c>
      <c r="G465" s="128" t="s">
        <v>586</v>
      </c>
      <c r="H465" s="128" t="s">
        <v>193</v>
      </c>
      <c r="I465" s="128" t="s">
        <v>194</v>
      </c>
      <c r="J465" s="128"/>
      <c r="K465" s="129">
        <v>1.0</v>
      </c>
      <c r="L465" s="129">
        <v>1000.0</v>
      </c>
      <c r="M465" s="128" t="s">
        <v>587</v>
      </c>
      <c r="N465" s="129">
        <v>346.0</v>
      </c>
      <c r="O465" s="128"/>
      <c r="P465" s="129">
        <v>1000.0</v>
      </c>
      <c r="Q465" s="128" t="s">
        <v>91</v>
      </c>
    </row>
    <row r="466">
      <c r="A466" s="129">
        <v>1804.0</v>
      </c>
      <c r="B466" s="129">
        <v>2021.0</v>
      </c>
      <c r="C466" s="129">
        <v>24.2</v>
      </c>
      <c r="D466" s="129">
        <v>26.73</v>
      </c>
      <c r="E466" s="129">
        <v>115.07</v>
      </c>
      <c r="F466" s="128" t="s">
        <v>2842</v>
      </c>
      <c r="G466" s="128" t="s">
        <v>195</v>
      </c>
      <c r="H466" s="128" t="s">
        <v>193</v>
      </c>
      <c r="I466" s="128" t="s">
        <v>968</v>
      </c>
      <c r="J466" s="129">
        <v>11.0</v>
      </c>
      <c r="K466" s="129">
        <v>1.0</v>
      </c>
      <c r="L466" s="128"/>
      <c r="M466" s="128" t="s">
        <v>196</v>
      </c>
      <c r="N466" s="129">
        <v>81.0</v>
      </c>
      <c r="O466" s="128"/>
      <c r="P466" s="128"/>
      <c r="Q466" s="128" t="s">
        <v>91</v>
      </c>
    </row>
    <row r="467">
      <c r="A467" s="129">
        <v>1810.0</v>
      </c>
      <c r="B467" s="129">
        <v>2021.0</v>
      </c>
      <c r="C467" s="129">
        <v>-9.7</v>
      </c>
      <c r="D467" s="129">
        <v>26.73</v>
      </c>
      <c r="E467" s="129">
        <v>115.07</v>
      </c>
      <c r="F467" s="128" t="s">
        <v>2842</v>
      </c>
      <c r="G467" s="128" t="s">
        <v>195</v>
      </c>
      <c r="H467" s="128" t="s">
        <v>193</v>
      </c>
      <c r="I467" s="128" t="s">
        <v>968</v>
      </c>
      <c r="J467" s="129">
        <v>11.0</v>
      </c>
      <c r="K467" s="129">
        <v>1.0</v>
      </c>
      <c r="L467" s="128"/>
      <c r="M467" s="128" t="s">
        <v>196</v>
      </c>
      <c r="N467" s="129">
        <v>81.0</v>
      </c>
      <c r="O467" s="128"/>
      <c r="P467" s="128"/>
      <c r="Q467" s="128" t="s">
        <v>91</v>
      </c>
    </row>
    <row r="468">
      <c r="A468" s="129">
        <v>1766.0</v>
      </c>
      <c r="B468" s="129">
        <v>2019.0</v>
      </c>
      <c r="C468" s="129">
        <v>-4.5</v>
      </c>
      <c r="D468" s="129">
        <v>26.74</v>
      </c>
      <c r="E468" s="129">
        <v>115.06</v>
      </c>
      <c r="F468" s="128" t="s">
        <v>2426</v>
      </c>
      <c r="G468" s="128" t="s">
        <v>195</v>
      </c>
      <c r="H468" s="128" t="s">
        <v>193</v>
      </c>
      <c r="I468" s="128" t="s">
        <v>194</v>
      </c>
      <c r="J468" s="128"/>
      <c r="K468" s="129">
        <v>1.0</v>
      </c>
      <c r="L468" s="129">
        <v>1000.0</v>
      </c>
      <c r="M468" s="128" t="s">
        <v>196</v>
      </c>
      <c r="N468" s="129">
        <v>110.0</v>
      </c>
      <c r="O468" s="128"/>
      <c r="P468" s="129">
        <v>1000.0</v>
      </c>
      <c r="Q468" s="128" t="s">
        <v>91</v>
      </c>
    </row>
    <row r="469">
      <c r="A469" s="129">
        <v>889.0</v>
      </c>
      <c r="B469" s="129">
        <v>2012.0</v>
      </c>
      <c r="C469" s="129">
        <v>-3.8</v>
      </c>
      <c r="D469" s="129">
        <v>29.75</v>
      </c>
      <c r="E469" s="129">
        <v>-82.16</v>
      </c>
      <c r="F469" s="128" t="s">
        <v>1682</v>
      </c>
      <c r="G469" s="128" t="s">
        <v>1691</v>
      </c>
      <c r="H469" s="128" t="s">
        <v>328</v>
      </c>
      <c r="I469" s="128" t="s">
        <v>968</v>
      </c>
      <c r="J469" s="128"/>
      <c r="K469" s="129">
        <v>1.0</v>
      </c>
      <c r="L469" s="128" t="s">
        <v>1675</v>
      </c>
      <c r="M469" s="128" t="s">
        <v>1691</v>
      </c>
      <c r="N469" s="129">
        <v>35.0</v>
      </c>
      <c r="O469" s="128"/>
      <c r="P469" s="128" t="s">
        <v>1680</v>
      </c>
      <c r="Q469" s="128" t="s">
        <v>91</v>
      </c>
    </row>
    <row r="470">
      <c r="A470" s="129">
        <v>897.0</v>
      </c>
      <c r="B470" s="129">
        <v>2012.0</v>
      </c>
      <c r="C470" s="129">
        <v>-4.9</v>
      </c>
      <c r="D470" s="129">
        <v>29.76</v>
      </c>
      <c r="E470" s="129">
        <v>-82.24</v>
      </c>
      <c r="F470" s="128" t="s">
        <v>1682</v>
      </c>
      <c r="G470" s="128" t="s">
        <v>1713</v>
      </c>
      <c r="H470" s="128" t="s">
        <v>328</v>
      </c>
      <c r="I470" s="128" t="s">
        <v>968</v>
      </c>
      <c r="J470" s="128"/>
      <c r="K470" s="129">
        <v>1.0</v>
      </c>
      <c r="L470" s="128" t="s">
        <v>1675</v>
      </c>
      <c r="M470" s="128" t="s">
        <v>1713</v>
      </c>
      <c r="N470" s="129">
        <v>45.0</v>
      </c>
      <c r="O470" s="128"/>
      <c r="P470" s="128" t="s">
        <v>1680</v>
      </c>
      <c r="Q470" s="128" t="s">
        <v>91</v>
      </c>
    </row>
    <row r="471">
      <c r="A471" s="129">
        <v>1955.0</v>
      </c>
      <c r="B471" s="129">
        <v>2021.0</v>
      </c>
      <c r="C471" s="129">
        <v>-13.0</v>
      </c>
      <c r="D471" s="129">
        <v>31.6725</v>
      </c>
      <c r="E471" s="129">
        <v>-7.59597</v>
      </c>
      <c r="F471" s="128" t="s">
        <v>2942</v>
      </c>
      <c r="G471" s="128" t="s">
        <v>2983</v>
      </c>
      <c r="H471" s="128" t="s">
        <v>295</v>
      </c>
      <c r="I471" s="128" t="s">
        <v>968</v>
      </c>
      <c r="J471" s="129">
        <v>148.0</v>
      </c>
      <c r="K471" s="129">
        <v>1.0</v>
      </c>
      <c r="L471" s="129">
        <v>1000.0</v>
      </c>
      <c r="M471" s="128" t="s">
        <v>2983</v>
      </c>
      <c r="N471" s="129">
        <v>572.0</v>
      </c>
      <c r="O471" s="128"/>
      <c r="P471" s="129">
        <v>1000.0</v>
      </c>
      <c r="Q471" s="128" t="s">
        <v>91</v>
      </c>
    </row>
    <row r="472">
      <c r="A472" s="129">
        <v>1975.0</v>
      </c>
      <c r="B472" s="129">
        <v>2021.0</v>
      </c>
      <c r="C472" s="129">
        <v>-14.0</v>
      </c>
      <c r="D472" s="129">
        <v>31.6725</v>
      </c>
      <c r="E472" s="129">
        <v>-7.59597</v>
      </c>
      <c r="F472" s="128" t="s">
        <v>2942</v>
      </c>
      <c r="G472" s="128" t="s">
        <v>2983</v>
      </c>
      <c r="H472" s="128" t="s">
        <v>295</v>
      </c>
      <c r="I472" s="128" t="s">
        <v>968</v>
      </c>
      <c r="J472" s="129">
        <v>148.0</v>
      </c>
      <c r="K472" s="129">
        <v>1.0</v>
      </c>
      <c r="L472" s="129">
        <v>1000.0</v>
      </c>
      <c r="M472" s="128" t="s">
        <v>2983</v>
      </c>
      <c r="N472" s="129">
        <v>572.0</v>
      </c>
      <c r="O472" s="128"/>
      <c r="P472" s="129">
        <v>1000.0</v>
      </c>
      <c r="Q472" s="128" t="s">
        <v>91</v>
      </c>
    </row>
    <row r="473">
      <c r="A473" s="129">
        <v>1995.0</v>
      </c>
      <c r="B473" s="129">
        <v>2021.0</v>
      </c>
      <c r="C473" s="129">
        <v>-1.0</v>
      </c>
      <c r="D473" s="129">
        <v>31.6725</v>
      </c>
      <c r="E473" s="129">
        <v>-7.59597</v>
      </c>
      <c r="F473" s="128" t="s">
        <v>2942</v>
      </c>
      <c r="G473" s="128" t="s">
        <v>2983</v>
      </c>
      <c r="H473" s="128" t="s">
        <v>295</v>
      </c>
      <c r="I473" s="128" t="s">
        <v>968</v>
      </c>
      <c r="J473" s="129">
        <v>148.0</v>
      </c>
      <c r="K473" s="129">
        <v>1.0</v>
      </c>
      <c r="L473" s="129">
        <v>1000.0</v>
      </c>
      <c r="M473" s="128" t="s">
        <v>2983</v>
      </c>
      <c r="N473" s="129">
        <v>572.0</v>
      </c>
      <c r="O473" s="128"/>
      <c r="P473" s="129">
        <v>1000.0</v>
      </c>
      <c r="Q473" s="128" t="s">
        <v>91</v>
      </c>
    </row>
    <row r="474">
      <c r="A474" s="129">
        <v>2015.0</v>
      </c>
      <c r="B474" s="129">
        <v>2021.0</v>
      </c>
      <c r="C474" s="129">
        <v>-13.0</v>
      </c>
      <c r="D474" s="129">
        <v>31.6725</v>
      </c>
      <c r="E474" s="129">
        <v>-7.59597</v>
      </c>
      <c r="F474" s="128" t="s">
        <v>2942</v>
      </c>
      <c r="G474" s="128" t="s">
        <v>2983</v>
      </c>
      <c r="H474" s="128" t="s">
        <v>295</v>
      </c>
      <c r="I474" s="128" t="s">
        <v>968</v>
      </c>
      <c r="J474" s="129">
        <v>148.0</v>
      </c>
      <c r="K474" s="129">
        <v>1.0</v>
      </c>
      <c r="L474" s="129">
        <v>1000.0</v>
      </c>
      <c r="M474" s="128" t="s">
        <v>2983</v>
      </c>
      <c r="N474" s="129">
        <v>572.0</v>
      </c>
      <c r="O474" s="128"/>
      <c r="P474" s="129">
        <v>1000.0</v>
      </c>
      <c r="Q474" s="128" t="s">
        <v>91</v>
      </c>
    </row>
    <row r="475">
      <c r="A475" s="129">
        <v>2035.0</v>
      </c>
      <c r="B475" s="129">
        <v>2021.0</v>
      </c>
      <c r="C475" s="129">
        <v>-12.0</v>
      </c>
      <c r="D475" s="129">
        <v>31.6725</v>
      </c>
      <c r="E475" s="129">
        <v>-7.59597</v>
      </c>
      <c r="F475" s="128" t="s">
        <v>2942</v>
      </c>
      <c r="G475" s="128" t="s">
        <v>2983</v>
      </c>
      <c r="H475" s="128" t="s">
        <v>295</v>
      </c>
      <c r="I475" s="128" t="s">
        <v>968</v>
      </c>
      <c r="J475" s="129">
        <v>148.0</v>
      </c>
      <c r="K475" s="129">
        <v>1.0</v>
      </c>
      <c r="L475" s="129">
        <v>1000.0</v>
      </c>
      <c r="M475" s="128" t="s">
        <v>2983</v>
      </c>
      <c r="N475" s="129">
        <v>572.0</v>
      </c>
      <c r="O475" s="128"/>
      <c r="P475" s="129">
        <v>1000.0</v>
      </c>
      <c r="Q475" s="128" t="s">
        <v>91</v>
      </c>
    </row>
    <row r="476">
      <c r="A476" s="129">
        <v>2055.0</v>
      </c>
      <c r="B476" s="129">
        <v>2021.0</v>
      </c>
      <c r="C476" s="129">
        <v>-11.0</v>
      </c>
      <c r="D476" s="129">
        <v>31.6725</v>
      </c>
      <c r="E476" s="129">
        <v>-7.59597</v>
      </c>
      <c r="F476" s="128" t="s">
        <v>2942</v>
      </c>
      <c r="G476" s="128" t="s">
        <v>2983</v>
      </c>
      <c r="H476" s="128" t="s">
        <v>295</v>
      </c>
      <c r="I476" s="128" t="s">
        <v>968</v>
      </c>
      <c r="J476" s="129">
        <v>148.0</v>
      </c>
      <c r="K476" s="129">
        <v>1.0</v>
      </c>
      <c r="L476" s="129">
        <v>1000.0</v>
      </c>
      <c r="M476" s="128" t="s">
        <v>2983</v>
      </c>
      <c r="N476" s="129">
        <v>572.0</v>
      </c>
      <c r="O476" s="128"/>
      <c r="P476" s="129">
        <v>1000.0</v>
      </c>
      <c r="Q476" s="128" t="s">
        <v>91</v>
      </c>
    </row>
    <row r="477">
      <c r="A477" s="129">
        <v>2075.0</v>
      </c>
      <c r="B477" s="129">
        <v>2021.0</v>
      </c>
      <c r="C477" s="129">
        <v>-16.0</v>
      </c>
      <c r="D477" s="129">
        <v>31.6725</v>
      </c>
      <c r="E477" s="129">
        <v>-7.59597</v>
      </c>
      <c r="F477" s="128" t="s">
        <v>2942</v>
      </c>
      <c r="G477" s="128" t="s">
        <v>2983</v>
      </c>
      <c r="H477" s="128" t="s">
        <v>295</v>
      </c>
      <c r="I477" s="128" t="s">
        <v>968</v>
      </c>
      <c r="J477" s="129">
        <v>148.0</v>
      </c>
      <c r="K477" s="129">
        <v>1.0</v>
      </c>
      <c r="L477" s="129">
        <v>1000.0</v>
      </c>
      <c r="M477" s="128" t="s">
        <v>2983</v>
      </c>
      <c r="N477" s="129">
        <v>572.0</v>
      </c>
      <c r="O477" s="128"/>
      <c r="P477" s="129">
        <v>1000.0</v>
      </c>
      <c r="Q477" s="128" t="s">
        <v>91</v>
      </c>
    </row>
    <row r="478">
      <c r="A478" s="129">
        <v>2095.0</v>
      </c>
      <c r="B478" s="129">
        <v>2021.0</v>
      </c>
      <c r="C478" s="129">
        <v>-5.9</v>
      </c>
      <c r="D478" s="129">
        <v>31.6725</v>
      </c>
      <c r="E478" s="129">
        <v>-7.59597</v>
      </c>
      <c r="F478" s="128" t="s">
        <v>2942</v>
      </c>
      <c r="G478" s="128" t="s">
        <v>2983</v>
      </c>
      <c r="H478" s="128" t="s">
        <v>295</v>
      </c>
      <c r="I478" s="128" t="s">
        <v>968</v>
      </c>
      <c r="J478" s="129">
        <v>148.0</v>
      </c>
      <c r="K478" s="129">
        <v>1.0</v>
      </c>
      <c r="L478" s="129">
        <v>1000.0</v>
      </c>
      <c r="M478" s="128" t="s">
        <v>2983</v>
      </c>
      <c r="N478" s="129">
        <v>572.0</v>
      </c>
      <c r="O478" s="128"/>
      <c r="P478" s="129">
        <v>1000.0</v>
      </c>
      <c r="Q478" s="128" t="s">
        <v>91</v>
      </c>
    </row>
    <row r="479">
      <c r="A479" s="129">
        <v>899.0</v>
      </c>
      <c r="B479" s="129">
        <v>2012.0</v>
      </c>
      <c r="C479" s="129">
        <v>-6.3</v>
      </c>
      <c r="D479" s="129">
        <v>31.82</v>
      </c>
      <c r="E479" s="129">
        <v>-110.87</v>
      </c>
      <c r="F479" s="128" t="s">
        <v>1682</v>
      </c>
      <c r="G479" s="128" t="s">
        <v>1717</v>
      </c>
      <c r="H479" s="128" t="s">
        <v>295</v>
      </c>
      <c r="I479" s="128" t="s">
        <v>285</v>
      </c>
      <c r="J479" s="128"/>
      <c r="K479" s="129">
        <v>1.0</v>
      </c>
      <c r="L479" s="128" t="s">
        <v>1675</v>
      </c>
      <c r="M479" s="128" t="s">
        <v>301</v>
      </c>
      <c r="N479" s="129">
        <v>1108.0</v>
      </c>
      <c r="O479" s="128"/>
      <c r="P479" s="128" t="s">
        <v>1680</v>
      </c>
      <c r="Q479" s="128" t="s">
        <v>91</v>
      </c>
    </row>
    <row r="480">
      <c r="A480" s="129">
        <v>1500.0</v>
      </c>
      <c r="B480" s="129">
        <v>2014.0</v>
      </c>
      <c r="C480" s="129">
        <v>-6.1</v>
      </c>
      <c r="D480" s="129">
        <v>35.11</v>
      </c>
      <c r="E480" s="129">
        <v>-102.4</v>
      </c>
      <c r="F480" s="128" t="s">
        <v>90</v>
      </c>
      <c r="G480" s="128" t="s">
        <v>2534</v>
      </c>
      <c r="H480" s="128" t="s">
        <v>1552</v>
      </c>
      <c r="I480" s="128" t="s">
        <v>2533</v>
      </c>
      <c r="J480" s="129">
        <v>15.0</v>
      </c>
      <c r="K480" s="129">
        <v>1.0</v>
      </c>
      <c r="L480" s="129">
        <v>30.0</v>
      </c>
      <c r="M480" s="128" t="s">
        <v>2535</v>
      </c>
      <c r="N480" s="129">
        <v>1228.0</v>
      </c>
      <c r="O480" s="128"/>
      <c r="P480" s="129">
        <v>30.0</v>
      </c>
      <c r="Q480" s="128" t="s">
        <v>91</v>
      </c>
    </row>
    <row r="481">
      <c r="A481" s="129">
        <v>1953.0</v>
      </c>
      <c r="B481" s="129">
        <v>2021.0</v>
      </c>
      <c r="C481" s="129">
        <v>-5.0</v>
      </c>
      <c r="D481" s="129">
        <v>35.18171</v>
      </c>
      <c r="E481" s="129">
        <v>9.545662</v>
      </c>
      <c r="F481" s="128" t="s">
        <v>2942</v>
      </c>
      <c r="G481" s="128" t="s">
        <v>2977</v>
      </c>
      <c r="H481" s="128" t="s">
        <v>242</v>
      </c>
      <c r="I481" s="128" t="s">
        <v>243</v>
      </c>
      <c r="J481" s="129">
        <v>408.0</v>
      </c>
      <c r="K481" s="129">
        <v>1.0</v>
      </c>
      <c r="L481" s="129">
        <v>1000.0</v>
      </c>
      <c r="M481" s="128" t="s">
        <v>2977</v>
      </c>
      <c r="N481" s="129">
        <v>369.0</v>
      </c>
      <c r="O481" s="128"/>
      <c r="P481" s="129">
        <v>1000.0</v>
      </c>
      <c r="Q481" s="128" t="s">
        <v>91</v>
      </c>
    </row>
    <row r="482">
      <c r="A482" s="129">
        <v>1954.0</v>
      </c>
      <c r="B482" s="129">
        <v>2021.0</v>
      </c>
      <c r="C482" s="129">
        <v>-13.0</v>
      </c>
      <c r="D482" s="129">
        <v>35.18171</v>
      </c>
      <c r="E482" s="129">
        <v>9.545662</v>
      </c>
      <c r="F482" s="128" t="s">
        <v>2942</v>
      </c>
      <c r="G482" s="128" t="s">
        <v>2977</v>
      </c>
      <c r="H482" s="128" t="s">
        <v>242</v>
      </c>
      <c r="I482" s="128" t="s">
        <v>2955</v>
      </c>
      <c r="J482" s="129">
        <v>963.0</v>
      </c>
      <c r="K482" s="129">
        <v>1.0</v>
      </c>
      <c r="L482" s="129">
        <v>1000.0</v>
      </c>
      <c r="M482" s="128" t="s">
        <v>2977</v>
      </c>
      <c r="N482" s="129">
        <v>369.0</v>
      </c>
      <c r="O482" s="128"/>
      <c r="P482" s="129">
        <v>1000.0</v>
      </c>
      <c r="Q482" s="128" t="s">
        <v>91</v>
      </c>
    </row>
    <row r="483">
      <c r="A483" s="129">
        <v>1973.0</v>
      </c>
      <c r="B483" s="129">
        <v>2021.0</v>
      </c>
      <c r="C483" s="129">
        <v>-10.0</v>
      </c>
      <c r="D483" s="129">
        <v>35.18171</v>
      </c>
      <c r="E483" s="129">
        <v>9.545662</v>
      </c>
      <c r="F483" s="128" t="s">
        <v>2942</v>
      </c>
      <c r="G483" s="128" t="s">
        <v>2977</v>
      </c>
      <c r="H483" s="128" t="s">
        <v>242</v>
      </c>
      <c r="I483" s="128" t="s">
        <v>243</v>
      </c>
      <c r="J483" s="129">
        <v>408.0</v>
      </c>
      <c r="K483" s="129">
        <v>1.0</v>
      </c>
      <c r="L483" s="129">
        <v>1000.0</v>
      </c>
      <c r="M483" s="128" t="s">
        <v>2977</v>
      </c>
      <c r="N483" s="129">
        <v>369.0</v>
      </c>
      <c r="O483" s="128"/>
      <c r="P483" s="129">
        <v>1000.0</v>
      </c>
      <c r="Q483" s="128" t="s">
        <v>91</v>
      </c>
    </row>
    <row r="484">
      <c r="A484" s="129">
        <v>1974.0</v>
      </c>
      <c r="B484" s="129">
        <v>2021.0</v>
      </c>
      <c r="C484" s="129">
        <v>-20.0</v>
      </c>
      <c r="D484" s="129">
        <v>35.18171</v>
      </c>
      <c r="E484" s="129">
        <v>9.545662</v>
      </c>
      <c r="F484" s="128" t="s">
        <v>2942</v>
      </c>
      <c r="G484" s="128" t="s">
        <v>2977</v>
      </c>
      <c r="H484" s="128" t="s">
        <v>242</v>
      </c>
      <c r="I484" s="128" t="s">
        <v>2955</v>
      </c>
      <c r="J484" s="129">
        <v>963.0</v>
      </c>
      <c r="K484" s="129">
        <v>1.0</v>
      </c>
      <c r="L484" s="129">
        <v>1000.0</v>
      </c>
      <c r="M484" s="128" t="s">
        <v>2977</v>
      </c>
      <c r="N484" s="129">
        <v>369.0</v>
      </c>
      <c r="O484" s="128"/>
      <c r="P484" s="129">
        <v>1000.0</v>
      </c>
      <c r="Q484" s="128" t="s">
        <v>91</v>
      </c>
    </row>
    <row r="485">
      <c r="A485" s="129">
        <v>1993.0</v>
      </c>
      <c r="B485" s="129">
        <v>2021.0</v>
      </c>
      <c r="C485" s="129">
        <v>7.0</v>
      </c>
      <c r="D485" s="129">
        <v>35.18171</v>
      </c>
      <c r="E485" s="129">
        <v>9.545662</v>
      </c>
      <c r="F485" s="128" t="s">
        <v>2942</v>
      </c>
      <c r="G485" s="128" t="s">
        <v>2977</v>
      </c>
      <c r="H485" s="128" t="s">
        <v>242</v>
      </c>
      <c r="I485" s="128" t="s">
        <v>243</v>
      </c>
      <c r="J485" s="129">
        <v>408.0</v>
      </c>
      <c r="K485" s="129">
        <v>1.0</v>
      </c>
      <c r="L485" s="129">
        <v>1000.0</v>
      </c>
      <c r="M485" s="128" t="s">
        <v>2977</v>
      </c>
      <c r="N485" s="129">
        <v>369.0</v>
      </c>
      <c r="O485" s="128"/>
      <c r="P485" s="129">
        <v>1000.0</v>
      </c>
      <c r="Q485" s="128" t="s">
        <v>91</v>
      </c>
    </row>
    <row r="486">
      <c r="A486" s="129">
        <v>1994.0</v>
      </c>
      <c r="B486" s="129">
        <v>2021.0</v>
      </c>
      <c r="C486" s="129">
        <v>-5.0</v>
      </c>
      <c r="D486" s="129">
        <v>35.18171</v>
      </c>
      <c r="E486" s="129">
        <v>9.545662</v>
      </c>
      <c r="F486" s="128" t="s">
        <v>2942</v>
      </c>
      <c r="G486" s="128" t="s">
        <v>2977</v>
      </c>
      <c r="H486" s="128" t="s">
        <v>242</v>
      </c>
      <c r="I486" s="128" t="s">
        <v>2955</v>
      </c>
      <c r="J486" s="129">
        <v>963.0</v>
      </c>
      <c r="K486" s="129">
        <v>1.0</v>
      </c>
      <c r="L486" s="129">
        <v>1000.0</v>
      </c>
      <c r="M486" s="128" t="s">
        <v>2977</v>
      </c>
      <c r="N486" s="129">
        <v>369.0</v>
      </c>
      <c r="O486" s="128"/>
      <c r="P486" s="129">
        <v>1000.0</v>
      </c>
      <c r="Q486" s="128" t="s">
        <v>91</v>
      </c>
    </row>
    <row r="487">
      <c r="A487" s="129">
        <v>2013.0</v>
      </c>
      <c r="B487" s="129">
        <v>2021.0</v>
      </c>
      <c r="C487" s="129">
        <v>-5.0</v>
      </c>
      <c r="D487" s="129">
        <v>35.18171</v>
      </c>
      <c r="E487" s="129">
        <v>9.545662</v>
      </c>
      <c r="F487" s="128" t="s">
        <v>2942</v>
      </c>
      <c r="G487" s="128" t="s">
        <v>2977</v>
      </c>
      <c r="H487" s="128" t="s">
        <v>242</v>
      </c>
      <c r="I487" s="128" t="s">
        <v>243</v>
      </c>
      <c r="J487" s="129">
        <v>408.0</v>
      </c>
      <c r="K487" s="129">
        <v>1.0</v>
      </c>
      <c r="L487" s="129">
        <v>1000.0</v>
      </c>
      <c r="M487" s="128" t="s">
        <v>2977</v>
      </c>
      <c r="N487" s="129">
        <v>369.0</v>
      </c>
      <c r="O487" s="128"/>
      <c r="P487" s="129">
        <v>1000.0</v>
      </c>
      <c r="Q487" s="128" t="s">
        <v>91</v>
      </c>
    </row>
    <row r="488">
      <c r="A488" s="129">
        <v>2014.0</v>
      </c>
      <c r="B488" s="129">
        <v>2021.0</v>
      </c>
      <c r="C488" s="129">
        <v>-13.0</v>
      </c>
      <c r="D488" s="129">
        <v>35.18171</v>
      </c>
      <c r="E488" s="129">
        <v>9.545662</v>
      </c>
      <c r="F488" s="128" t="s">
        <v>2942</v>
      </c>
      <c r="G488" s="128" t="s">
        <v>2977</v>
      </c>
      <c r="H488" s="128" t="s">
        <v>242</v>
      </c>
      <c r="I488" s="128" t="s">
        <v>2955</v>
      </c>
      <c r="J488" s="129">
        <v>963.0</v>
      </c>
      <c r="K488" s="129">
        <v>1.0</v>
      </c>
      <c r="L488" s="129">
        <v>1000.0</v>
      </c>
      <c r="M488" s="128" t="s">
        <v>2977</v>
      </c>
      <c r="N488" s="129">
        <v>369.0</v>
      </c>
      <c r="O488" s="128"/>
      <c r="P488" s="129">
        <v>1000.0</v>
      </c>
      <c r="Q488" s="128" t="s">
        <v>91</v>
      </c>
    </row>
    <row r="489">
      <c r="A489" s="129">
        <v>2033.0</v>
      </c>
      <c r="B489" s="129">
        <v>2021.0</v>
      </c>
      <c r="C489" s="129">
        <v>-2.0</v>
      </c>
      <c r="D489" s="129">
        <v>35.18171</v>
      </c>
      <c r="E489" s="129">
        <v>9.545662</v>
      </c>
      <c r="F489" s="128" t="s">
        <v>2942</v>
      </c>
      <c r="G489" s="128" t="s">
        <v>2977</v>
      </c>
      <c r="H489" s="128" t="s">
        <v>242</v>
      </c>
      <c r="I489" s="128" t="s">
        <v>243</v>
      </c>
      <c r="J489" s="129">
        <v>408.0</v>
      </c>
      <c r="K489" s="129">
        <v>1.0</v>
      </c>
      <c r="L489" s="129">
        <v>1000.0</v>
      </c>
      <c r="M489" s="128" t="s">
        <v>2977</v>
      </c>
      <c r="N489" s="129">
        <v>369.0</v>
      </c>
      <c r="O489" s="128"/>
      <c r="P489" s="129">
        <v>1000.0</v>
      </c>
      <c r="Q489" s="128" t="s">
        <v>91</v>
      </c>
    </row>
    <row r="490">
      <c r="A490" s="129">
        <v>2034.0</v>
      </c>
      <c r="B490" s="129">
        <v>2021.0</v>
      </c>
      <c r="C490" s="129">
        <v>-7.0</v>
      </c>
      <c r="D490" s="129">
        <v>35.18171</v>
      </c>
      <c r="E490" s="129">
        <v>9.545662</v>
      </c>
      <c r="F490" s="128" t="s">
        <v>2942</v>
      </c>
      <c r="G490" s="128" t="s">
        <v>2977</v>
      </c>
      <c r="H490" s="128" t="s">
        <v>242</v>
      </c>
      <c r="I490" s="128" t="s">
        <v>2955</v>
      </c>
      <c r="J490" s="129">
        <v>963.0</v>
      </c>
      <c r="K490" s="129">
        <v>1.0</v>
      </c>
      <c r="L490" s="129">
        <v>1000.0</v>
      </c>
      <c r="M490" s="128" t="s">
        <v>2977</v>
      </c>
      <c r="N490" s="129">
        <v>369.0</v>
      </c>
      <c r="O490" s="128"/>
      <c r="P490" s="129">
        <v>1000.0</v>
      </c>
      <c r="Q490" s="128" t="s">
        <v>91</v>
      </c>
    </row>
    <row r="491">
      <c r="A491" s="129">
        <v>2053.0</v>
      </c>
      <c r="B491" s="129">
        <v>2021.0</v>
      </c>
      <c r="C491" s="129">
        <v>-6.0</v>
      </c>
      <c r="D491" s="129">
        <v>35.18171</v>
      </c>
      <c r="E491" s="129">
        <v>9.545662</v>
      </c>
      <c r="F491" s="128" t="s">
        <v>2942</v>
      </c>
      <c r="G491" s="128" t="s">
        <v>2977</v>
      </c>
      <c r="H491" s="128" t="s">
        <v>242</v>
      </c>
      <c r="I491" s="128" t="s">
        <v>243</v>
      </c>
      <c r="J491" s="129">
        <v>408.0</v>
      </c>
      <c r="K491" s="129">
        <v>1.0</v>
      </c>
      <c r="L491" s="129">
        <v>1000.0</v>
      </c>
      <c r="M491" s="128" t="s">
        <v>2977</v>
      </c>
      <c r="N491" s="129">
        <v>369.0</v>
      </c>
      <c r="O491" s="128"/>
      <c r="P491" s="129">
        <v>1000.0</v>
      </c>
      <c r="Q491" s="128" t="s">
        <v>91</v>
      </c>
    </row>
    <row r="492">
      <c r="A492" s="129">
        <v>2054.0</v>
      </c>
      <c r="B492" s="129">
        <v>2021.0</v>
      </c>
      <c r="C492" s="129">
        <v>-5.0</v>
      </c>
      <c r="D492" s="129">
        <v>35.18171</v>
      </c>
      <c r="E492" s="129">
        <v>9.545662</v>
      </c>
      <c r="F492" s="128" t="s">
        <v>2942</v>
      </c>
      <c r="G492" s="128" t="s">
        <v>2977</v>
      </c>
      <c r="H492" s="128" t="s">
        <v>242</v>
      </c>
      <c r="I492" s="128" t="s">
        <v>2955</v>
      </c>
      <c r="J492" s="129">
        <v>963.0</v>
      </c>
      <c r="K492" s="129">
        <v>1.0</v>
      </c>
      <c r="L492" s="129">
        <v>1000.0</v>
      </c>
      <c r="M492" s="128" t="s">
        <v>2977</v>
      </c>
      <c r="N492" s="129">
        <v>369.0</v>
      </c>
      <c r="O492" s="128"/>
      <c r="P492" s="129">
        <v>1000.0</v>
      </c>
      <c r="Q492" s="128" t="s">
        <v>91</v>
      </c>
    </row>
    <row r="493">
      <c r="A493" s="129">
        <v>2073.0</v>
      </c>
      <c r="B493" s="129">
        <v>2021.0</v>
      </c>
      <c r="C493" s="129">
        <v>-8.0</v>
      </c>
      <c r="D493" s="129">
        <v>35.18171</v>
      </c>
      <c r="E493" s="129">
        <v>9.545662</v>
      </c>
      <c r="F493" s="128" t="s">
        <v>2942</v>
      </c>
      <c r="G493" s="128" t="s">
        <v>2977</v>
      </c>
      <c r="H493" s="128" t="s">
        <v>242</v>
      </c>
      <c r="I493" s="128" t="s">
        <v>243</v>
      </c>
      <c r="J493" s="129">
        <v>408.0</v>
      </c>
      <c r="K493" s="129">
        <v>1.0</v>
      </c>
      <c r="L493" s="129">
        <v>1000.0</v>
      </c>
      <c r="M493" s="128" t="s">
        <v>2977</v>
      </c>
      <c r="N493" s="129">
        <v>369.0</v>
      </c>
      <c r="O493" s="128"/>
      <c r="P493" s="129">
        <v>1000.0</v>
      </c>
      <c r="Q493" s="128" t="s">
        <v>91</v>
      </c>
    </row>
    <row r="494">
      <c r="A494" s="129">
        <v>2074.0</v>
      </c>
      <c r="B494" s="129">
        <v>2021.0</v>
      </c>
      <c r="C494" s="129">
        <v>-14.0</v>
      </c>
      <c r="D494" s="129">
        <v>35.18171</v>
      </c>
      <c r="E494" s="129">
        <v>9.545662</v>
      </c>
      <c r="F494" s="128" t="s">
        <v>2942</v>
      </c>
      <c r="G494" s="128" t="s">
        <v>2977</v>
      </c>
      <c r="H494" s="128" t="s">
        <v>242</v>
      </c>
      <c r="I494" s="128" t="s">
        <v>2955</v>
      </c>
      <c r="J494" s="129">
        <v>963.0</v>
      </c>
      <c r="K494" s="129">
        <v>1.0</v>
      </c>
      <c r="L494" s="129">
        <v>1000.0</v>
      </c>
      <c r="M494" s="128" t="s">
        <v>2977</v>
      </c>
      <c r="N494" s="129">
        <v>369.0</v>
      </c>
      <c r="O494" s="128"/>
      <c r="P494" s="129">
        <v>1000.0</v>
      </c>
      <c r="Q494" s="128" t="s">
        <v>91</v>
      </c>
    </row>
    <row r="495">
      <c r="A495" s="129">
        <v>2093.0</v>
      </c>
      <c r="B495" s="129">
        <v>2021.0</v>
      </c>
      <c r="C495" s="129">
        <v>12.1</v>
      </c>
      <c r="D495" s="129">
        <v>35.18171</v>
      </c>
      <c r="E495" s="129">
        <v>9.545662</v>
      </c>
      <c r="F495" s="128" t="s">
        <v>2942</v>
      </c>
      <c r="G495" s="128" t="s">
        <v>2977</v>
      </c>
      <c r="H495" s="128" t="s">
        <v>242</v>
      </c>
      <c r="I495" s="128" t="s">
        <v>243</v>
      </c>
      <c r="J495" s="129">
        <v>408.0</v>
      </c>
      <c r="K495" s="129">
        <v>1.0</v>
      </c>
      <c r="L495" s="129">
        <v>1000.0</v>
      </c>
      <c r="M495" s="128" t="s">
        <v>2977</v>
      </c>
      <c r="N495" s="129">
        <v>369.0</v>
      </c>
      <c r="O495" s="128"/>
      <c r="P495" s="129">
        <v>1000.0</v>
      </c>
      <c r="Q495" s="128" t="s">
        <v>91</v>
      </c>
    </row>
    <row r="496">
      <c r="A496" s="129">
        <v>2094.0</v>
      </c>
      <c r="B496" s="129">
        <v>2021.0</v>
      </c>
      <c r="C496" s="129">
        <v>-13.3</v>
      </c>
      <c r="D496" s="129">
        <v>35.18171</v>
      </c>
      <c r="E496" s="129">
        <v>9.545662</v>
      </c>
      <c r="F496" s="128" t="s">
        <v>2942</v>
      </c>
      <c r="G496" s="128" t="s">
        <v>2977</v>
      </c>
      <c r="H496" s="128" t="s">
        <v>242</v>
      </c>
      <c r="I496" s="128" t="s">
        <v>2955</v>
      </c>
      <c r="J496" s="129">
        <v>963.0</v>
      </c>
      <c r="K496" s="129">
        <v>1.0</v>
      </c>
      <c r="L496" s="129">
        <v>1000.0</v>
      </c>
      <c r="M496" s="128" t="s">
        <v>2977</v>
      </c>
      <c r="N496" s="129">
        <v>369.0</v>
      </c>
      <c r="O496" s="128"/>
      <c r="P496" s="129">
        <v>1000.0</v>
      </c>
      <c r="Q496" s="128" t="s">
        <v>91</v>
      </c>
    </row>
    <row r="497">
      <c r="A497" s="129">
        <v>2192.0</v>
      </c>
      <c r="B497" s="129">
        <v>2017.0</v>
      </c>
      <c r="C497" s="129">
        <v>50.6</v>
      </c>
      <c r="D497" s="129">
        <v>35.799</v>
      </c>
      <c r="E497" s="129">
        <v>-76.656</v>
      </c>
      <c r="F497" s="128" t="s">
        <v>95</v>
      </c>
      <c r="G497" s="128" t="s">
        <v>3083</v>
      </c>
      <c r="H497" s="128"/>
      <c r="I497" s="128"/>
      <c r="J497" s="129">
        <v>223.0</v>
      </c>
      <c r="K497" s="129">
        <v>1.0</v>
      </c>
      <c r="L497" s="129">
        <v>4000.0</v>
      </c>
      <c r="M497" s="128" t="s">
        <v>3084</v>
      </c>
      <c r="N497" s="129">
        <v>15.0</v>
      </c>
      <c r="O497" s="128"/>
      <c r="P497" s="129">
        <v>4000.0</v>
      </c>
      <c r="Q497" s="128" t="s">
        <v>91</v>
      </c>
    </row>
    <row r="498">
      <c r="A498" s="129">
        <v>2200.0</v>
      </c>
      <c r="B498" s="129">
        <v>2017.0</v>
      </c>
      <c r="C498" s="129">
        <v>50.1</v>
      </c>
      <c r="D498" s="129">
        <v>35.799</v>
      </c>
      <c r="E498" s="129">
        <v>-76.656</v>
      </c>
      <c r="F498" s="128" t="s">
        <v>95</v>
      </c>
      <c r="G498" s="128" t="s">
        <v>3083</v>
      </c>
      <c r="H498" s="128"/>
      <c r="I498" s="128"/>
      <c r="J498" s="129">
        <v>10.0</v>
      </c>
      <c r="K498" s="129">
        <v>1.0</v>
      </c>
      <c r="L498" s="129">
        <v>4000.0</v>
      </c>
      <c r="M498" s="128" t="s">
        <v>3084</v>
      </c>
      <c r="N498" s="129">
        <v>15.0</v>
      </c>
      <c r="O498" s="128"/>
      <c r="P498" s="129">
        <v>4000.0</v>
      </c>
      <c r="Q498" s="128" t="s">
        <v>91</v>
      </c>
    </row>
    <row r="499">
      <c r="A499" s="129">
        <v>2208.0</v>
      </c>
      <c r="B499" s="129">
        <v>2017.0</v>
      </c>
      <c r="C499" s="129">
        <v>54.3</v>
      </c>
      <c r="D499" s="129">
        <v>35.799</v>
      </c>
      <c r="E499" s="129">
        <v>-76.656</v>
      </c>
      <c r="F499" s="128" t="s">
        <v>95</v>
      </c>
      <c r="G499" s="128" t="s">
        <v>3083</v>
      </c>
      <c r="H499" s="128"/>
      <c r="I499" s="128"/>
      <c r="J499" s="129">
        <v>1.0</v>
      </c>
      <c r="K499" s="129">
        <v>1.0</v>
      </c>
      <c r="L499" s="129">
        <v>4000.0</v>
      </c>
      <c r="M499" s="128" t="s">
        <v>3084</v>
      </c>
      <c r="N499" s="129">
        <v>15.0</v>
      </c>
      <c r="O499" s="128"/>
      <c r="P499" s="129">
        <v>4000.0</v>
      </c>
      <c r="Q499" s="128" t="s">
        <v>91</v>
      </c>
    </row>
    <row r="500">
      <c r="A500" s="129">
        <v>2190.0</v>
      </c>
      <c r="B500" s="129">
        <v>2017.0</v>
      </c>
      <c r="C500" s="129">
        <v>3.6</v>
      </c>
      <c r="D500" s="129">
        <v>35.799</v>
      </c>
      <c r="E500" s="129">
        <v>-76.656</v>
      </c>
      <c r="F500" s="128" t="s">
        <v>3080</v>
      </c>
      <c r="G500" s="128" t="s">
        <v>3083</v>
      </c>
      <c r="H500" s="128"/>
      <c r="I500" s="128"/>
      <c r="J500" s="129">
        <v>199.0</v>
      </c>
      <c r="K500" s="129">
        <v>1.0</v>
      </c>
      <c r="L500" s="129">
        <v>30.0</v>
      </c>
      <c r="M500" s="128" t="s">
        <v>3084</v>
      </c>
      <c r="N500" s="129">
        <v>15.0</v>
      </c>
      <c r="O500" s="128"/>
      <c r="P500" s="129">
        <v>30.0</v>
      </c>
      <c r="Q500" s="128" t="s">
        <v>91</v>
      </c>
    </row>
    <row r="501">
      <c r="A501" s="129">
        <v>2198.0</v>
      </c>
      <c r="B501" s="129">
        <v>2017.0</v>
      </c>
      <c r="C501" s="129">
        <v>7.5</v>
      </c>
      <c r="D501" s="129">
        <v>35.799</v>
      </c>
      <c r="E501" s="129">
        <v>-76.656</v>
      </c>
      <c r="F501" s="128" t="s">
        <v>3080</v>
      </c>
      <c r="G501" s="128" t="s">
        <v>3083</v>
      </c>
      <c r="H501" s="128"/>
      <c r="I501" s="128"/>
      <c r="J501" s="129">
        <v>8.0</v>
      </c>
      <c r="K501" s="129">
        <v>1.0</v>
      </c>
      <c r="L501" s="129">
        <v>30.0</v>
      </c>
      <c r="M501" s="128" t="s">
        <v>3084</v>
      </c>
      <c r="N501" s="129">
        <v>15.0</v>
      </c>
      <c r="O501" s="128"/>
      <c r="P501" s="129">
        <v>30.0</v>
      </c>
      <c r="Q501" s="128" t="s">
        <v>91</v>
      </c>
    </row>
    <row r="502">
      <c r="A502" s="129">
        <v>2206.0</v>
      </c>
      <c r="B502" s="129">
        <v>2017.0</v>
      </c>
      <c r="C502" s="129">
        <v>5.2</v>
      </c>
      <c r="D502" s="129">
        <v>35.799</v>
      </c>
      <c r="E502" s="129">
        <v>-76.656</v>
      </c>
      <c r="F502" s="128" t="s">
        <v>3080</v>
      </c>
      <c r="G502" s="128" t="s">
        <v>3083</v>
      </c>
      <c r="H502" s="128"/>
      <c r="I502" s="128"/>
      <c r="J502" s="129">
        <v>1.0</v>
      </c>
      <c r="K502" s="129">
        <v>1.0</v>
      </c>
      <c r="L502" s="129">
        <v>30.0</v>
      </c>
      <c r="M502" s="128" t="s">
        <v>3084</v>
      </c>
      <c r="N502" s="129">
        <v>15.0</v>
      </c>
      <c r="O502" s="128"/>
      <c r="P502" s="129">
        <v>30.0</v>
      </c>
      <c r="Q502" s="128" t="s">
        <v>91</v>
      </c>
    </row>
    <row r="503">
      <c r="A503" s="129">
        <v>2191.0</v>
      </c>
      <c r="B503" s="129">
        <v>2017.0</v>
      </c>
      <c r="C503" s="129">
        <v>83.3</v>
      </c>
      <c r="D503" s="129">
        <v>35.799</v>
      </c>
      <c r="E503" s="129">
        <v>-76.656</v>
      </c>
      <c r="F503" s="128" t="s">
        <v>3081</v>
      </c>
      <c r="G503" s="128" t="s">
        <v>3083</v>
      </c>
      <c r="H503" s="128"/>
      <c r="I503" s="128"/>
      <c r="J503" s="129">
        <v>223.0</v>
      </c>
      <c r="K503" s="129">
        <v>1.0</v>
      </c>
      <c r="L503" s="129">
        <v>1000.0</v>
      </c>
      <c r="M503" s="128" t="s">
        <v>3084</v>
      </c>
      <c r="N503" s="129">
        <v>15.0</v>
      </c>
      <c r="O503" s="128"/>
      <c r="P503" s="129">
        <v>1000.0</v>
      </c>
      <c r="Q503" s="128" t="s">
        <v>91</v>
      </c>
    </row>
    <row r="504">
      <c r="A504" s="129">
        <v>2199.0</v>
      </c>
      <c r="B504" s="129">
        <v>2017.0</v>
      </c>
      <c r="C504" s="129">
        <v>76.3</v>
      </c>
      <c r="D504" s="129">
        <v>35.799</v>
      </c>
      <c r="E504" s="129">
        <v>-76.656</v>
      </c>
      <c r="F504" s="128" t="s">
        <v>3081</v>
      </c>
      <c r="G504" s="128" t="s">
        <v>3083</v>
      </c>
      <c r="H504" s="128"/>
      <c r="I504" s="128"/>
      <c r="J504" s="129">
        <v>10.0</v>
      </c>
      <c r="K504" s="129">
        <v>1.0</v>
      </c>
      <c r="L504" s="129">
        <v>1000.0</v>
      </c>
      <c r="M504" s="128" t="s">
        <v>3084</v>
      </c>
      <c r="N504" s="129">
        <v>15.0</v>
      </c>
      <c r="O504" s="128"/>
      <c r="P504" s="129">
        <v>1000.0</v>
      </c>
      <c r="Q504" s="128" t="s">
        <v>91</v>
      </c>
    </row>
    <row r="505">
      <c r="A505" s="129">
        <v>2207.0</v>
      </c>
      <c r="B505" s="129">
        <v>2017.0</v>
      </c>
      <c r="C505" s="129">
        <v>81.0</v>
      </c>
      <c r="D505" s="129">
        <v>35.799</v>
      </c>
      <c r="E505" s="129">
        <v>-76.656</v>
      </c>
      <c r="F505" s="128" t="s">
        <v>3081</v>
      </c>
      <c r="G505" s="128" t="s">
        <v>3083</v>
      </c>
      <c r="H505" s="128"/>
      <c r="I505" s="128"/>
      <c r="J505" s="129">
        <v>1.0</v>
      </c>
      <c r="K505" s="129">
        <v>1.0</v>
      </c>
      <c r="L505" s="129">
        <v>1000.0</v>
      </c>
      <c r="M505" s="128" t="s">
        <v>3084</v>
      </c>
      <c r="N505" s="129">
        <v>15.0</v>
      </c>
      <c r="O505" s="128"/>
      <c r="P505" s="129">
        <v>1000.0</v>
      </c>
      <c r="Q505" s="128" t="s">
        <v>91</v>
      </c>
    </row>
    <row r="506">
      <c r="A506" s="129">
        <v>2189.0</v>
      </c>
      <c r="B506" s="129">
        <v>2017.0</v>
      </c>
      <c r="C506" s="129">
        <v>-1.8</v>
      </c>
      <c r="D506" s="129">
        <v>35.799</v>
      </c>
      <c r="E506" s="129">
        <v>-76.656</v>
      </c>
      <c r="F506" s="128" t="s">
        <v>3078</v>
      </c>
      <c r="G506" s="128" t="s">
        <v>3083</v>
      </c>
      <c r="H506" s="128"/>
      <c r="I506" s="128"/>
      <c r="J506" s="129">
        <v>223.0</v>
      </c>
      <c r="K506" s="129">
        <v>1.0</v>
      </c>
      <c r="L506" s="129">
        <v>30.0</v>
      </c>
      <c r="M506" s="128" t="s">
        <v>3084</v>
      </c>
      <c r="N506" s="129">
        <v>15.0</v>
      </c>
      <c r="O506" s="128"/>
      <c r="P506" s="129">
        <v>30.0</v>
      </c>
      <c r="Q506" s="128" t="s">
        <v>91</v>
      </c>
    </row>
    <row r="507">
      <c r="A507" s="129">
        <v>2197.0</v>
      </c>
      <c r="B507" s="129">
        <v>2017.0</v>
      </c>
      <c r="C507" s="129">
        <v>-0.5</v>
      </c>
      <c r="D507" s="129">
        <v>35.799</v>
      </c>
      <c r="E507" s="129">
        <v>-76.656</v>
      </c>
      <c r="F507" s="128" t="s">
        <v>3078</v>
      </c>
      <c r="G507" s="128" t="s">
        <v>3083</v>
      </c>
      <c r="H507" s="128"/>
      <c r="I507" s="128"/>
      <c r="J507" s="129">
        <v>10.0</v>
      </c>
      <c r="K507" s="129">
        <v>1.0</v>
      </c>
      <c r="L507" s="129">
        <v>30.0</v>
      </c>
      <c r="M507" s="128" t="s">
        <v>3084</v>
      </c>
      <c r="N507" s="129">
        <v>15.0</v>
      </c>
      <c r="O507" s="128"/>
      <c r="P507" s="129">
        <v>30.0</v>
      </c>
      <c r="Q507" s="128" t="s">
        <v>91</v>
      </c>
    </row>
    <row r="508">
      <c r="A508" s="129">
        <v>2205.0</v>
      </c>
      <c r="B508" s="129">
        <v>2017.0</v>
      </c>
      <c r="C508" s="129">
        <v>0.4</v>
      </c>
      <c r="D508" s="129">
        <v>35.799</v>
      </c>
      <c r="E508" s="129">
        <v>-76.656</v>
      </c>
      <c r="F508" s="128" t="s">
        <v>3078</v>
      </c>
      <c r="G508" s="128" t="s">
        <v>3083</v>
      </c>
      <c r="H508" s="128"/>
      <c r="I508" s="128"/>
      <c r="J508" s="129">
        <v>1.0</v>
      </c>
      <c r="K508" s="129">
        <v>1.0</v>
      </c>
      <c r="L508" s="129">
        <v>30.0</v>
      </c>
      <c r="M508" s="128" t="s">
        <v>3084</v>
      </c>
      <c r="N508" s="129">
        <v>15.0</v>
      </c>
      <c r="O508" s="128"/>
      <c r="P508" s="129">
        <v>30.0</v>
      </c>
      <c r="Q508" s="128" t="s">
        <v>91</v>
      </c>
    </row>
    <row r="509">
      <c r="A509" s="129">
        <v>2188.0</v>
      </c>
      <c r="B509" s="129">
        <v>2017.0</v>
      </c>
      <c r="C509" s="129">
        <v>-3.6</v>
      </c>
      <c r="D509" s="129">
        <v>35.803</v>
      </c>
      <c r="E509" s="129">
        <v>-76.6685</v>
      </c>
      <c r="F509" s="128" t="s">
        <v>95</v>
      </c>
      <c r="G509" s="128" t="s">
        <v>556</v>
      </c>
      <c r="H509" s="128"/>
      <c r="I509" s="128"/>
      <c r="J509" s="129">
        <v>281.0</v>
      </c>
      <c r="K509" s="129">
        <v>1.0</v>
      </c>
      <c r="L509" s="129">
        <v>4000.0</v>
      </c>
      <c r="M509" s="128" t="s">
        <v>557</v>
      </c>
      <c r="N509" s="129">
        <v>9.0</v>
      </c>
      <c r="O509" s="128"/>
      <c r="P509" s="129">
        <v>4000.0</v>
      </c>
      <c r="Q509" s="128" t="s">
        <v>91</v>
      </c>
    </row>
    <row r="510">
      <c r="A510" s="129">
        <v>2196.0</v>
      </c>
      <c r="B510" s="129">
        <v>2017.0</v>
      </c>
      <c r="C510" s="129">
        <v>-5.0</v>
      </c>
      <c r="D510" s="129">
        <v>35.803</v>
      </c>
      <c r="E510" s="129">
        <v>-76.6685</v>
      </c>
      <c r="F510" s="128" t="s">
        <v>95</v>
      </c>
      <c r="G510" s="128" t="s">
        <v>556</v>
      </c>
      <c r="H510" s="128"/>
      <c r="I510" s="128"/>
      <c r="J510" s="129">
        <v>12.0</v>
      </c>
      <c r="K510" s="129">
        <v>1.0</v>
      </c>
      <c r="L510" s="129">
        <v>4000.0</v>
      </c>
      <c r="M510" s="128" t="s">
        <v>557</v>
      </c>
      <c r="N510" s="129">
        <v>9.0</v>
      </c>
      <c r="O510" s="128"/>
      <c r="P510" s="129">
        <v>4000.0</v>
      </c>
      <c r="Q510" s="128" t="s">
        <v>91</v>
      </c>
    </row>
    <row r="511">
      <c r="A511" s="129">
        <v>2204.0</v>
      </c>
      <c r="B511" s="129">
        <v>2017.0</v>
      </c>
      <c r="C511" s="129">
        <v>-3.2</v>
      </c>
      <c r="D511" s="129">
        <v>35.803</v>
      </c>
      <c r="E511" s="129">
        <v>-76.6685</v>
      </c>
      <c r="F511" s="128" t="s">
        <v>95</v>
      </c>
      <c r="G511" s="128" t="s">
        <v>556</v>
      </c>
      <c r="H511" s="128"/>
      <c r="I511" s="128"/>
      <c r="J511" s="129">
        <v>1.0</v>
      </c>
      <c r="K511" s="129">
        <v>1.0</v>
      </c>
      <c r="L511" s="129">
        <v>4000.0</v>
      </c>
      <c r="M511" s="128" t="s">
        <v>557</v>
      </c>
      <c r="N511" s="129">
        <v>9.0</v>
      </c>
      <c r="O511" s="128"/>
      <c r="P511" s="129">
        <v>4000.0</v>
      </c>
      <c r="Q511" s="128" t="s">
        <v>91</v>
      </c>
    </row>
    <row r="512">
      <c r="A512" s="129">
        <v>140.0</v>
      </c>
      <c r="B512" s="129">
        <v>2020.0</v>
      </c>
      <c r="C512" s="129">
        <v>10.9</v>
      </c>
      <c r="D512" s="129">
        <v>35.803</v>
      </c>
      <c r="E512" s="129">
        <v>-76.6685</v>
      </c>
      <c r="F512" s="128" t="s">
        <v>176</v>
      </c>
      <c r="G512" s="128" t="s">
        <v>556</v>
      </c>
      <c r="H512" s="128" t="s">
        <v>341</v>
      </c>
      <c r="I512" s="128" t="s">
        <v>243</v>
      </c>
      <c r="J512" s="129">
        <v>60.0</v>
      </c>
      <c r="K512" s="129">
        <v>1.0</v>
      </c>
      <c r="L512" s="129">
        <v>30.0</v>
      </c>
      <c r="M512" s="128" t="s">
        <v>557</v>
      </c>
      <c r="N512" s="129">
        <v>9.0</v>
      </c>
      <c r="O512" s="128"/>
      <c r="P512" s="129">
        <v>30.0</v>
      </c>
      <c r="Q512" s="128" t="s">
        <v>91</v>
      </c>
    </row>
    <row r="513">
      <c r="A513" s="129">
        <v>2186.0</v>
      </c>
      <c r="B513" s="129">
        <v>2017.0</v>
      </c>
      <c r="C513" s="129">
        <v>-8.7</v>
      </c>
      <c r="D513" s="129">
        <v>35.803</v>
      </c>
      <c r="E513" s="129">
        <v>-76.6685</v>
      </c>
      <c r="F513" s="128" t="s">
        <v>3080</v>
      </c>
      <c r="G513" s="128" t="s">
        <v>556</v>
      </c>
      <c r="H513" s="128"/>
      <c r="I513" s="128"/>
      <c r="J513" s="129">
        <v>216.0</v>
      </c>
      <c r="K513" s="129">
        <v>1.0</v>
      </c>
      <c r="L513" s="129">
        <v>30.0</v>
      </c>
      <c r="M513" s="128" t="s">
        <v>557</v>
      </c>
      <c r="N513" s="129">
        <v>9.0</v>
      </c>
      <c r="O513" s="128"/>
      <c r="P513" s="129">
        <v>30.0</v>
      </c>
      <c r="Q513" s="128" t="s">
        <v>91</v>
      </c>
    </row>
    <row r="514">
      <c r="A514" s="129">
        <v>2194.0</v>
      </c>
      <c r="B514" s="129">
        <v>2017.0</v>
      </c>
      <c r="C514" s="129">
        <v>-8.4</v>
      </c>
      <c r="D514" s="129">
        <v>35.803</v>
      </c>
      <c r="E514" s="129">
        <v>-76.6685</v>
      </c>
      <c r="F514" s="128" t="s">
        <v>3080</v>
      </c>
      <c r="G514" s="128" t="s">
        <v>556</v>
      </c>
      <c r="H514" s="128"/>
      <c r="I514" s="128"/>
      <c r="J514" s="129">
        <v>8.0</v>
      </c>
      <c r="K514" s="129">
        <v>1.0</v>
      </c>
      <c r="L514" s="129">
        <v>30.0</v>
      </c>
      <c r="M514" s="128" t="s">
        <v>557</v>
      </c>
      <c r="N514" s="129">
        <v>9.0</v>
      </c>
      <c r="O514" s="128"/>
      <c r="P514" s="129">
        <v>30.0</v>
      </c>
      <c r="Q514" s="128" t="s">
        <v>91</v>
      </c>
    </row>
    <row r="515">
      <c r="A515" s="129">
        <v>2202.0</v>
      </c>
      <c r="B515" s="129">
        <v>2017.0</v>
      </c>
      <c r="C515" s="129">
        <v>1.3</v>
      </c>
      <c r="D515" s="129">
        <v>35.803</v>
      </c>
      <c r="E515" s="129">
        <v>-76.6685</v>
      </c>
      <c r="F515" s="128" t="s">
        <v>3080</v>
      </c>
      <c r="G515" s="128" t="s">
        <v>556</v>
      </c>
      <c r="H515" s="128"/>
      <c r="I515" s="128"/>
      <c r="J515" s="129">
        <v>1.0</v>
      </c>
      <c r="K515" s="129">
        <v>1.0</v>
      </c>
      <c r="L515" s="129">
        <v>30.0</v>
      </c>
      <c r="M515" s="128" t="s">
        <v>557</v>
      </c>
      <c r="N515" s="129">
        <v>9.0</v>
      </c>
      <c r="O515" s="128"/>
      <c r="P515" s="129">
        <v>30.0</v>
      </c>
      <c r="Q515" s="128" t="s">
        <v>91</v>
      </c>
    </row>
    <row r="516">
      <c r="A516" s="129">
        <v>2187.0</v>
      </c>
      <c r="B516" s="129">
        <v>2017.0</v>
      </c>
      <c r="C516" s="129">
        <v>-3.3</v>
      </c>
      <c r="D516" s="129">
        <v>35.803</v>
      </c>
      <c r="E516" s="129">
        <v>-76.6685</v>
      </c>
      <c r="F516" s="128" t="s">
        <v>3081</v>
      </c>
      <c r="G516" s="128" t="s">
        <v>556</v>
      </c>
      <c r="H516" s="128"/>
      <c r="I516" s="128"/>
      <c r="J516" s="129">
        <v>281.0</v>
      </c>
      <c r="K516" s="129">
        <v>1.0</v>
      </c>
      <c r="L516" s="129">
        <v>1000.0</v>
      </c>
      <c r="M516" s="128" t="s">
        <v>557</v>
      </c>
      <c r="N516" s="129">
        <v>9.0</v>
      </c>
      <c r="O516" s="128"/>
      <c r="P516" s="129">
        <v>1000.0</v>
      </c>
      <c r="Q516" s="128" t="s">
        <v>91</v>
      </c>
    </row>
    <row r="517">
      <c r="A517" s="129">
        <v>2195.0</v>
      </c>
      <c r="B517" s="129">
        <v>2017.0</v>
      </c>
      <c r="C517" s="129">
        <v>-3.7</v>
      </c>
      <c r="D517" s="129">
        <v>35.803</v>
      </c>
      <c r="E517" s="129">
        <v>-76.6685</v>
      </c>
      <c r="F517" s="128" t="s">
        <v>3081</v>
      </c>
      <c r="G517" s="128" t="s">
        <v>556</v>
      </c>
      <c r="H517" s="128"/>
      <c r="I517" s="128"/>
      <c r="J517" s="129">
        <v>12.0</v>
      </c>
      <c r="K517" s="129">
        <v>1.0</v>
      </c>
      <c r="L517" s="129">
        <v>1000.0</v>
      </c>
      <c r="M517" s="128" t="s">
        <v>557</v>
      </c>
      <c r="N517" s="129">
        <v>9.0</v>
      </c>
      <c r="O517" s="128"/>
      <c r="P517" s="129">
        <v>1000.0</v>
      </c>
      <c r="Q517" s="128" t="s">
        <v>91</v>
      </c>
    </row>
    <row r="518">
      <c r="A518" s="129">
        <v>2203.0</v>
      </c>
      <c r="B518" s="129">
        <v>2017.0</v>
      </c>
      <c r="C518" s="129">
        <v>-2.7</v>
      </c>
      <c r="D518" s="129">
        <v>35.803</v>
      </c>
      <c r="E518" s="129">
        <v>-76.6685</v>
      </c>
      <c r="F518" s="128" t="s">
        <v>3081</v>
      </c>
      <c r="G518" s="128" t="s">
        <v>556</v>
      </c>
      <c r="H518" s="128"/>
      <c r="I518" s="128"/>
      <c r="J518" s="129">
        <v>1.0</v>
      </c>
      <c r="K518" s="129">
        <v>1.0</v>
      </c>
      <c r="L518" s="129">
        <v>1000.0</v>
      </c>
      <c r="M518" s="128" t="s">
        <v>557</v>
      </c>
      <c r="N518" s="129">
        <v>9.0</v>
      </c>
      <c r="O518" s="128"/>
      <c r="P518" s="129">
        <v>1000.0</v>
      </c>
      <c r="Q518" s="128" t="s">
        <v>91</v>
      </c>
    </row>
    <row r="519">
      <c r="A519" s="129">
        <v>2185.0</v>
      </c>
      <c r="B519" s="129">
        <v>2017.0</v>
      </c>
      <c r="C519" s="129">
        <v>-1.0</v>
      </c>
      <c r="D519" s="129">
        <v>35.803</v>
      </c>
      <c r="E519" s="129">
        <v>-76.6685</v>
      </c>
      <c r="F519" s="128" t="s">
        <v>3078</v>
      </c>
      <c r="G519" s="128" t="s">
        <v>556</v>
      </c>
      <c r="H519" s="128"/>
      <c r="I519" s="128"/>
      <c r="J519" s="129">
        <v>281.0</v>
      </c>
      <c r="K519" s="129">
        <v>1.0</v>
      </c>
      <c r="L519" s="129">
        <v>30.0</v>
      </c>
      <c r="M519" s="128" t="s">
        <v>557</v>
      </c>
      <c r="N519" s="129">
        <v>9.0</v>
      </c>
      <c r="O519" s="128"/>
      <c r="P519" s="129">
        <v>30.0</v>
      </c>
      <c r="Q519" s="128" t="s">
        <v>91</v>
      </c>
    </row>
    <row r="520">
      <c r="A520" s="129">
        <v>2193.0</v>
      </c>
      <c r="B520" s="129">
        <v>2017.0</v>
      </c>
      <c r="C520" s="129">
        <v>0.0</v>
      </c>
      <c r="D520" s="129">
        <v>35.803</v>
      </c>
      <c r="E520" s="129">
        <v>-76.6685</v>
      </c>
      <c r="F520" s="128" t="s">
        <v>3078</v>
      </c>
      <c r="G520" s="128" t="s">
        <v>556</v>
      </c>
      <c r="H520" s="128"/>
      <c r="I520" s="128"/>
      <c r="J520" s="129">
        <v>12.0</v>
      </c>
      <c r="K520" s="129">
        <v>1.0</v>
      </c>
      <c r="L520" s="129">
        <v>30.0</v>
      </c>
      <c r="M520" s="128" t="s">
        <v>557</v>
      </c>
      <c r="N520" s="129">
        <v>9.0</v>
      </c>
      <c r="O520" s="128"/>
      <c r="P520" s="129">
        <v>30.0</v>
      </c>
      <c r="Q520" s="128" t="s">
        <v>91</v>
      </c>
    </row>
    <row r="521">
      <c r="A521" s="129">
        <v>2201.0</v>
      </c>
      <c r="B521" s="129">
        <v>2017.0</v>
      </c>
      <c r="C521" s="129">
        <v>-0.9</v>
      </c>
      <c r="D521" s="129">
        <v>35.803</v>
      </c>
      <c r="E521" s="129">
        <v>-76.6685</v>
      </c>
      <c r="F521" s="128" t="s">
        <v>3078</v>
      </c>
      <c r="G521" s="128" t="s">
        <v>556</v>
      </c>
      <c r="H521" s="128"/>
      <c r="I521" s="128"/>
      <c r="J521" s="129">
        <v>1.0</v>
      </c>
      <c r="K521" s="129">
        <v>1.0</v>
      </c>
      <c r="L521" s="129">
        <v>30.0</v>
      </c>
      <c r="M521" s="128" t="s">
        <v>557</v>
      </c>
      <c r="N521" s="129">
        <v>9.0</v>
      </c>
      <c r="O521" s="128"/>
      <c r="P521" s="129">
        <v>30.0</v>
      </c>
      <c r="Q521" s="128" t="s">
        <v>91</v>
      </c>
    </row>
    <row r="522">
      <c r="A522" s="129">
        <v>139.0</v>
      </c>
      <c r="B522" s="129">
        <v>2020.0</v>
      </c>
      <c r="C522" s="129">
        <v>18.6</v>
      </c>
      <c r="D522" s="129">
        <v>35.8118</v>
      </c>
      <c r="E522" s="129">
        <v>-76.7119</v>
      </c>
      <c r="F522" s="128" t="s">
        <v>176</v>
      </c>
      <c r="G522" s="128" t="s">
        <v>546</v>
      </c>
      <c r="H522" s="128" t="s">
        <v>341</v>
      </c>
      <c r="I522" s="128" t="s">
        <v>243</v>
      </c>
      <c r="J522" s="129">
        <v>48.0</v>
      </c>
      <c r="K522" s="129">
        <v>1.0</v>
      </c>
      <c r="L522" s="129">
        <v>30.0</v>
      </c>
      <c r="M522" s="128" t="s">
        <v>547</v>
      </c>
      <c r="N522" s="129">
        <v>26.0</v>
      </c>
      <c r="O522" s="128"/>
      <c r="P522" s="129">
        <v>30.0</v>
      </c>
      <c r="Q522" s="128" t="s">
        <v>91</v>
      </c>
    </row>
    <row r="523">
      <c r="A523" s="129">
        <v>1808.0</v>
      </c>
      <c r="B523" s="129">
        <v>2021.0</v>
      </c>
      <c r="C523" s="129">
        <v>32.3</v>
      </c>
      <c r="D523" s="129">
        <v>36.07</v>
      </c>
      <c r="E523" s="129">
        <v>140.02</v>
      </c>
      <c r="F523" s="128" t="s">
        <v>2842</v>
      </c>
      <c r="G523" s="128" t="s">
        <v>1193</v>
      </c>
      <c r="H523" s="128" t="s">
        <v>284</v>
      </c>
      <c r="I523" s="128" t="s">
        <v>968</v>
      </c>
      <c r="J523" s="129">
        <v>23.0</v>
      </c>
      <c r="K523" s="129">
        <v>1.0</v>
      </c>
      <c r="L523" s="128"/>
      <c r="M523" s="128" t="s">
        <v>1194</v>
      </c>
      <c r="N523" s="129">
        <v>16.0</v>
      </c>
      <c r="O523" s="128"/>
      <c r="P523" s="128"/>
      <c r="Q523" s="128" t="s">
        <v>91</v>
      </c>
    </row>
    <row r="524">
      <c r="A524" s="129">
        <v>1814.0</v>
      </c>
      <c r="B524" s="129">
        <v>2021.0</v>
      </c>
      <c r="C524" s="129">
        <v>-11.9</v>
      </c>
      <c r="D524" s="129">
        <v>36.07</v>
      </c>
      <c r="E524" s="129">
        <v>140.02</v>
      </c>
      <c r="F524" s="128" t="s">
        <v>2842</v>
      </c>
      <c r="G524" s="128" t="s">
        <v>1193</v>
      </c>
      <c r="H524" s="128" t="s">
        <v>284</v>
      </c>
      <c r="I524" s="128" t="s">
        <v>968</v>
      </c>
      <c r="J524" s="129">
        <v>23.0</v>
      </c>
      <c r="K524" s="129">
        <v>1.0</v>
      </c>
      <c r="L524" s="128"/>
      <c r="M524" s="128" t="s">
        <v>1194</v>
      </c>
      <c r="N524" s="129">
        <v>16.0</v>
      </c>
      <c r="O524" s="128"/>
      <c r="P524" s="128"/>
      <c r="Q524" s="128" t="s">
        <v>91</v>
      </c>
    </row>
    <row r="525">
      <c r="A525" s="129">
        <v>1851.0</v>
      </c>
      <c r="B525" s="129">
        <v>2020.0</v>
      </c>
      <c r="C525" s="129">
        <v>2.7</v>
      </c>
      <c r="D525" s="129">
        <v>36.3</v>
      </c>
      <c r="E525" s="129">
        <v>117.19</v>
      </c>
      <c r="F525" s="128" t="s">
        <v>2426</v>
      </c>
      <c r="G525" s="128" t="s">
        <v>5991</v>
      </c>
      <c r="H525" s="128" t="s">
        <v>2877</v>
      </c>
      <c r="I525" s="128" t="s">
        <v>2878</v>
      </c>
      <c r="J525" s="129">
        <v>9.0</v>
      </c>
      <c r="K525" s="129">
        <v>1.0</v>
      </c>
      <c r="L525" s="129">
        <v>30.0</v>
      </c>
      <c r="M525" s="128" t="s">
        <v>5992</v>
      </c>
      <c r="N525" s="129">
        <v>256.0</v>
      </c>
      <c r="O525" s="128"/>
      <c r="P525" s="129">
        <v>30.0</v>
      </c>
      <c r="Q525" s="128" t="s">
        <v>91</v>
      </c>
    </row>
    <row r="526">
      <c r="A526" s="129">
        <v>1854.0</v>
      </c>
      <c r="B526" s="129">
        <v>2020.0</v>
      </c>
      <c r="C526" s="129">
        <v>15.9</v>
      </c>
      <c r="D526" s="129">
        <v>36.3</v>
      </c>
      <c r="E526" s="129">
        <v>117.19</v>
      </c>
      <c r="F526" s="128" t="s">
        <v>2426</v>
      </c>
      <c r="G526" s="128" t="s">
        <v>5991</v>
      </c>
      <c r="H526" s="128" t="s">
        <v>2877</v>
      </c>
      <c r="I526" s="128" t="s">
        <v>2878</v>
      </c>
      <c r="J526" s="129">
        <v>23.0</v>
      </c>
      <c r="K526" s="129">
        <v>1.0</v>
      </c>
      <c r="L526" s="129">
        <v>30.0</v>
      </c>
      <c r="M526" s="128" t="s">
        <v>5992</v>
      </c>
      <c r="N526" s="129">
        <v>256.0</v>
      </c>
      <c r="O526" s="128"/>
      <c r="P526" s="129">
        <v>30.0</v>
      </c>
      <c r="Q526" s="128" t="s">
        <v>91</v>
      </c>
    </row>
    <row r="527">
      <c r="A527" s="129">
        <v>588.0</v>
      </c>
      <c r="B527" s="129">
        <v>2017.0</v>
      </c>
      <c r="C527" s="129">
        <v>-11.5</v>
      </c>
      <c r="D527" s="129">
        <v>36.515</v>
      </c>
      <c r="E527" s="129">
        <v>115.126</v>
      </c>
      <c r="F527" s="128" t="s">
        <v>1160</v>
      </c>
      <c r="G527" s="128" t="s">
        <v>819</v>
      </c>
      <c r="H527" s="128" t="s">
        <v>506</v>
      </c>
      <c r="I527" s="128" t="s">
        <v>507</v>
      </c>
      <c r="J527" s="129">
        <v>14.0</v>
      </c>
      <c r="K527" s="129">
        <v>1.0</v>
      </c>
      <c r="L527" s="128" t="s">
        <v>1146</v>
      </c>
      <c r="M527" s="128" t="s">
        <v>820</v>
      </c>
      <c r="N527" s="129">
        <v>42.0</v>
      </c>
      <c r="O527" s="128" t="s">
        <v>1148</v>
      </c>
      <c r="P527" s="129">
        <v>30.0</v>
      </c>
      <c r="Q527" s="128" t="s">
        <v>91</v>
      </c>
    </row>
    <row r="528">
      <c r="A528" s="129">
        <v>594.0</v>
      </c>
      <c r="B528" s="129">
        <v>2017.0</v>
      </c>
      <c r="C528" s="129">
        <v>-3.15</v>
      </c>
      <c r="D528" s="129">
        <v>36.515</v>
      </c>
      <c r="E528" s="129">
        <v>115.126</v>
      </c>
      <c r="F528" s="128" t="s">
        <v>1160</v>
      </c>
      <c r="G528" s="128" t="s">
        <v>819</v>
      </c>
      <c r="H528" s="128" t="s">
        <v>506</v>
      </c>
      <c r="I528" s="128" t="s">
        <v>507</v>
      </c>
      <c r="J528" s="129">
        <v>14.0</v>
      </c>
      <c r="K528" s="129">
        <v>1.0</v>
      </c>
      <c r="L528" s="128" t="s">
        <v>1146</v>
      </c>
      <c r="M528" s="128" t="s">
        <v>820</v>
      </c>
      <c r="N528" s="129">
        <v>42.0</v>
      </c>
      <c r="O528" s="128" t="s">
        <v>1148</v>
      </c>
      <c r="P528" s="129">
        <v>30.0</v>
      </c>
      <c r="Q528" s="128" t="s">
        <v>91</v>
      </c>
    </row>
    <row r="529">
      <c r="A529" s="129">
        <v>576.0</v>
      </c>
      <c r="B529" s="129">
        <v>2017.0</v>
      </c>
      <c r="C529" s="129">
        <v>-8.57</v>
      </c>
      <c r="D529" s="129">
        <v>36.515</v>
      </c>
      <c r="E529" s="129">
        <v>115.126</v>
      </c>
      <c r="F529" s="128" t="s">
        <v>1150</v>
      </c>
      <c r="G529" s="128" t="s">
        <v>819</v>
      </c>
      <c r="H529" s="128" t="s">
        <v>506</v>
      </c>
      <c r="I529" s="128" t="s">
        <v>507</v>
      </c>
      <c r="J529" s="129">
        <v>14.0</v>
      </c>
      <c r="K529" s="129">
        <v>1.0</v>
      </c>
      <c r="L529" s="128" t="s">
        <v>1146</v>
      </c>
      <c r="M529" s="128" t="s">
        <v>820</v>
      </c>
      <c r="N529" s="129">
        <v>42.0</v>
      </c>
      <c r="O529" s="128" t="s">
        <v>1148</v>
      </c>
      <c r="P529" s="129">
        <v>30.0</v>
      </c>
      <c r="Q529" s="128" t="s">
        <v>91</v>
      </c>
    </row>
    <row r="530">
      <c r="A530" s="129">
        <v>582.0</v>
      </c>
      <c r="B530" s="129">
        <v>2017.0</v>
      </c>
      <c r="C530" s="129">
        <v>-2.04</v>
      </c>
      <c r="D530" s="129">
        <v>36.515</v>
      </c>
      <c r="E530" s="129">
        <v>115.126</v>
      </c>
      <c r="F530" s="128" t="s">
        <v>1150</v>
      </c>
      <c r="G530" s="128" t="s">
        <v>819</v>
      </c>
      <c r="H530" s="128" t="s">
        <v>506</v>
      </c>
      <c r="I530" s="128" t="s">
        <v>507</v>
      </c>
      <c r="J530" s="129">
        <v>14.0</v>
      </c>
      <c r="K530" s="129">
        <v>1.0</v>
      </c>
      <c r="L530" s="128" t="s">
        <v>1146</v>
      </c>
      <c r="M530" s="128" t="s">
        <v>820</v>
      </c>
      <c r="N530" s="129">
        <v>42.0</v>
      </c>
      <c r="O530" s="128" t="s">
        <v>1148</v>
      </c>
      <c r="P530" s="129">
        <v>30.0</v>
      </c>
      <c r="Q530" s="128" t="s">
        <v>91</v>
      </c>
    </row>
    <row r="531">
      <c r="A531" s="129">
        <v>1764.0</v>
      </c>
      <c r="B531" s="129">
        <v>2019.0</v>
      </c>
      <c r="C531" s="129">
        <v>-5.3</v>
      </c>
      <c r="D531" s="129">
        <v>36.515</v>
      </c>
      <c r="E531" s="129">
        <v>115.126</v>
      </c>
      <c r="F531" s="128" t="s">
        <v>2426</v>
      </c>
      <c r="G531" s="128" t="s">
        <v>819</v>
      </c>
      <c r="H531" s="128" t="s">
        <v>969</v>
      </c>
      <c r="I531" s="128" t="s">
        <v>507</v>
      </c>
      <c r="J531" s="128"/>
      <c r="K531" s="129">
        <v>1.0</v>
      </c>
      <c r="L531" s="129">
        <v>1000.0</v>
      </c>
      <c r="M531" s="128" t="s">
        <v>820</v>
      </c>
      <c r="N531" s="129">
        <v>42.0</v>
      </c>
      <c r="O531" s="128"/>
      <c r="P531" s="129">
        <v>1000.0</v>
      </c>
      <c r="Q531" s="128" t="s">
        <v>91</v>
      </c>
    </row>
    <row r="532">
      <c r="A532" s="129">
        <v>885.0</v>
      </c>
      <c r="B532" s="129">
        <v>2012.0</v>
      </c>
      <c r="C532" s="129">
        <v>-16.7</v>
      </c>
      <c r="D532" s="129">
        <v>36.61</v>
      </c>
      <c r="E532" s="129">
        <v>-97.49</v>
      </c>
      <c r="F532" s="128" t="s">
        <v>1682</v>
      </c>
      <c r="G532" s="128" t="s">
        <v>1676</v>
      </c>
      <c r="H532" s="128" t="s">
        <v>193</v>
      </c>
      <c r="I532" s="128" t="s">
        <v>194</v>
      </c>
      <c r="J532" s="128"/>
      <c r="K532" s="129">
        <v>1.0</v>
      </c>
      <c r="L532" s="128" t="s">
        <v>1675</v>
      </c>
      <c r="M532" s="128" t="s">
        <v>1677</v>
      </c>
      <c r="N532" s="129">
        <v>315.0</v>
      </c>
      <c r="O532" s="128"/>
      <c r="P532" s="128" t="s">
        <v>1680</v>
      </c>
      <c r="Q532" s="128" t="s">
        <v>91</v>
      </c>
    </row>
    <row r="533">
      <c r="A533" s="129">
        <v>1677.0</v>
      </c>
      <c r="B533" s="129">
        <v>2013.0</v>
      </c>
      <c r="C533" s="129">
        <v>9.0</v>
      </c>
      <c r="D533" s="129">
        <v>36.8291</v>
      </c>
      <c r="E533" s="129">
        <v>116.5703</v>
      </c>
      <c r="F533" s="128" t="s">
        <v>1682</v>
      </c>
      <c r="G533" s="128" t="s">
        <v>5993</v>
      </c>
      <c r="H533" s="128" t="s">
        <v>613</v>
      </c>
      <c r="I533" s="128" t="s">
        <v>2724</v>
      </c>
      <c r="J533" s="129">
        <v>101.0</v>
      </c>
      <c r="K533" s="129">
        <v>1.0</v>
      </c>
      <c r="L533" s="129">
        <v>1000.0</v>
      </c>
      <c r="M533" s="128" t="s">
        <v>497</v>
      </c>
      <c r="N533" s="129">
        <v>26.0</v>
      </c>
      <c r="O533" s="128"/>
      <c r="P533" s="129">
        <v>1000.0</v>
      </c>
      <c r="Q533" s="128" t="s">
        <v>91</v>
      </c>
    </row>
    <row r="534">
      <c r="A534" s="129">
        <v>1678.0</v>
      </c>
      <c r="B534" s="129">
        <v>2013.0</v>
      </c>
      <c r="C534" s="129">
        <v>-11.0</v>
      </c>
      <c r="D534" s="129">
        <v>36.8291</v>
      </c>
      <c r="E534" s="129">
        <v>116.5703</v>
      </c>
      <c r="F534" s="128" t="s">
        <v>1682</v>
      </c>
      <c r="G534" s="128" t="s">
        <v>5993</v>
      </c>
      <c r="H534" s="128" t="s">
        <v>613</v>
      </c>
      <c r="I534" s="128" t="s">
        <v>2724</v>
      </c>
      <c r="J534" s="129">
        <v>101.0</v>
      </c>
      <c r="K534" s="129">
        <v>1.0</v>
      </c>
      <c r="L534" s="129">
        <v>1000.0</v>
      </c>
      <c r="M534" s="128" t="s">
        <v>497</v>
      </c>
      <c r="N534" s="129">
        <v>26.0</v>
      </c>
      <c r="O534" s="128"/>
      <c r="P534" s="129">
        <v>1000.0</v>
      </c>
      <c r="Q534" s="128" t="s">
        <v>91</v>
      </c>
    </row>
    <row r="535">
      <c r="A535" s="129">
        <v>1679.0</v>
      </c>
      <c r="B535" s="129">
        <v>2013.0</v>
      </c>
      <c r="C535" s="129">
        <v>18.0</v>
      </c>
      <c r="D535" s="129">
        <v>36.8291</v>
      </c>
      <c r="E535" s="129">
        <v>116.5703</v>
      </c>
      <c r="F535" s="128" t="s">
        <v>1682</v>
      </c>
      <c r="G535" s="128" t="s">
        <v>5993</v>
      </c>
      <c r="H535" s="128" t="s">
        <v>613</v>
      </c>
      <c r="I535" s="128" t="s">
        <v>2724</v>
      </c>
      <c r="J535" s="129">
        <v>101.0</v>
      </c>
      <c r="K535" s="129">
        <v>1.0</v>
      </c>
      <c r="L535" s="129">
        <v>1000.0</v>
      </c>
      <c r="M535" s="128" t="s">
        <v>497</v>
      </c>
      <c r="N535" s="129">
        <v>26.0</v>
      </c>
      <c r="O535" s="128"/>
      <c r="P535" s="129">
        <v>1000.0</v>
      </c>
      <c r="Q535" s="128" t="s">
        <v>91</v>
      </c>
    </row>
    <row r="536">
      <c r="A536" s="129">
        <v>1680.0</v>
      </c>
      <c r="B536" s="129">
        <v>2013.0</v>
      </c>
      <c r="C536" s="129">
        <v>5.0</v>
      </c>
      <c r="D536" s="129">
        <v>36.8291</v>
      </c>
      <c r="E536" s="129">
        <v>116.5703</v>
      </c>
      <c r="F536" s="128" t="s">
        <v>1682</v>
      </c>
      <c r="G536" s="128" t="s">
        <v>5993</v>
      </c>
      <c r="H536" s="128" t="s">
        <v>613</v>
      </c>
      <c r="I536" s="128" t="s">
        <v>2724</v>
      </c>
      <c r="J536" s="129">
        <v>101.0</v>
      </c>
      <c r="K536" s="129">
        <v>1.0</v>
      </c>
      <c r="L536" s="129">
        <v>1000.0</v>
      </c>
      <c r="M536" s="128" t="s">
        <v>497</v>
      </c>
      <c r="N536" s="129">
        <v>26.0</v>
      </c>
      <c r="O536" s="128"/>
      <c r="P536" s="129">
        <v>1000.0</v>
      </c>
      <c r="Q536" s="128" t="s">
        <v>91</v>
      </c>
    </row>
    <row r="537">
      <c r="A537" s="129">
        <v>1611.0</v>
      </c>
      <c r="B537" s="129">
        <v>2020.0</v>
      </c>
      <c r="C537" s="129">
        <v>15.1</v>
      </c>
      <c r="D537" s="129">
        <v>36.839</v>
      </c>
      <c r="E537" s="129">
        <v>-120.21</v>
      </c>
      <c r="F537" s="128" t="s">
        <v>176</v>
      </c>
      <c r="G537" s="128" t="s">
        <v>2642</v>
      </c>
      <c r="H537" s="128"/>
      <c r="I537" s="128"/>
      <c r="J537" s="129">
        <v>41.0</v>
      </c>
      <c r="K537" s="129">
        <v>1.0</v>
      </c>
      <c r="L537" s="129">
        <v>90.0</v>
      </c>
      <c r="M537" s="128" t="s">
        <v>2643</v>
      </c>
      <c r="N537" s="129">
        <v>60.0</v>
      </c>
      <c r="O537" s="128"/>
      <c r="P537" s="129">
        <v>30.0</v>
      </c>
      <c r="Q537" s="128" t="s">
        <v>91</v>
      </c>
    </row>
    <row r="538">
      <c r="A538" s="129">
        <v>1612.0</v>
      </c>
      <c r="B538" s="129">
        <v>2020.0</v>
      </c>
      <c r="C538" s="129">
        <v>15.8</v>
      </c>
      <c r="D538" s="129">
        <v>36.839</v>
      </c>
      <c r="E538" s="129">
        <v>-120.21</v>
      </c>
      <c r="F538" s="128" t="s">
        <v>176</v>
      </c>
      <c r="G538" s="128" t="s">
        <v>2642</v>
      </c>
      <c r="H538" s="128"/>
      <c r="I538" s="128"/>
      <c r="J538" s="129">
        <v>28.0</v>
      </c>
      <c r="K538" s="129">
        <v>1.0</v>
      </c>
      <c r="L538" s="129">
        <v>90.0</v>
      </c>
      <c r="M538" s="128" t="s">
        <v>2643</v>
      </c>
      <c r="N538" s="129">
        <v>60.0</v>
      </c>
      <c r="O538" s="128"/>
      <c r="P538" s="129">
        <v>30.0</v>
      </c>
      <c r="Q538" s="128" t="s">
        <v>91</v>
      </c>
    </row>
    <row r="539">
      <c r="A539" s="129">
        <v>1613.0</v>
      </c>
      <c r="B539" s="129">
        <v>2020.0</v>
      </c>
      <c r="C539" s="129">
        <v>17.0</v>
      </c>
      <c r="D539" s="129">
        <v>36.839</v>
      </c>
      <c r="E539" s="129">
        <v>-120.21</v>
      </c>
      <c r="F539" s="128" t="s">
        <v>176</v>
      </c>
      <c r="G539" s="128" t="s">
        <v>2642</v>
      </c>
      <c r="H539" s="128"/>
      <c r="I539" s="128"/>
      <c r="J539" s="129">
        <v>398.0</v>
      </c>
      <c r="K539" s="129">
        <v>1.0</v>
      </c>
      <c r="L539" s="129">
        <v>90.0</v>
      </c>
      <c r="M539" s="128" t="s">
        <v>2643</v>
      </c>
      <c r="N539" s="129">
        <v>60.0</v>
      </c>
      <c r="O539" s="128"/>
      <c r="P539" s="129">
        <v>30.0</v>
      </c>
      <c r="Q539" s="128" t="s">
        <v>91</v>
      </c>
    </row>
    <row r="540">
      <c r="A540" s="129">
        <v>1614.0</v>
      </c>
      <c r="B540" s="129">
        <v>2020.0</v>
      </c>
      <c r="C540" s="129">
        <v>16.5</v>
      </c>
      <c r="D540" s="129">
        <v>36.839</v>
      </c>
      <c r="E540" s="129">
        <v>-120.21</v>
      </c>
      <c r="F540" s="128" t="s">
        <v>176</v>
      </c>
      <c r="G540" s="128" t="s">
        <v>2642</v>
      </c>
      <c r="H540" s="128"/>
      <c r="I540" s="128"/>
      <c r="J540" s="129">
        <v>277.0</v>
      </c>
      <c r="K540" s="129">
        <v>1.0</v>
      </c>
      <c r="L540" s="129">
        <v>90.0</v>
      </c>
      <c r="M540" s="128" t="s">
        <v>2643</v>
      </c>
      <c r="N540" s="129">
        <v>60.0</v>
      </c>
      <c r="O540" s="128"/>
      <c r="P540" s="129">
        <v>30.0</v>
      </c>
      <c r="Q540" s="128" t="s">
        <v>91</v>
      </c>
    </row>
    <row r="541">
      <c r="A541" s="129">
        <v>1615.0</v>
      </c>
      <c r="B541" s="129">
        <v>2020.0</v>
      </c>
      <c r="C541" s="129">
        <v>15.8</v>
      </c>
      <c r="D541" s="129">
        <v>36.839</v>
      </c>
      <c r="E541" s="129">
        <v>-120.21</v>
      </c>
      <c r="F541" s="128" t="s">
        <v>176</v>
      </c>
      <c r="G541" s="128" t="s">
        <v>2642</v>
      </c>
      <c r="H541" s="128"/>
      <c r="I541" s="128"/>
      <c r="J541" s="129">
        <v>51.0</v>
      </c>
      <c r="K541" s="129">
        <v>1.0</v>
      </c>
      <c r="L541" s="129">
        <v>90.0</v>
      </c>
      <c r="M541" s="128" t="s">
        <v>2643</v>
      </c>
      <c r="N541" s="129">
        <v>60.0</v>
      </c>
      <c r="O541" s="128"/>
      <c r="P541" s="129">
        <v>30.0</v>
      </c>
      <c r="Q541" s="128" t="s">
        <v>91</v>
      </c>
    </row>
    <row r="542">
      <c r="A542" s="129">
        <v>1807.0</v>
      </c>
      <c r="B542" s="129">
        <v>2021.0</v>
      </c>
      <c r="C542" s="129">
        <v>-16.3</v>
      </c>
      <c r="D542" s="129">
        <v>37.16</v>
      </c>
      <c r="E542" s="129">
        <v>127.65</v>
      </c>
      <c r="F542" s="128" t="s">
        <v>2842</v>
      </c>
      <c r="G542" s="128" t="s">
        <v>2843</v>
      </c>
      <c r="H542" s="128" t="s">
        <v>242</v>
      </c>
      <c r="I542" s="128" t="s">
        <v>244</v>
      </c>
      <c r="J542" s="129">
        <v>9.0</v>
      </c>
      <c r="K542" s="129">
        <v>1.0</v>
      </c>
      <c r="L542" s="128"/>
      <c r="M542" s="128" t="s">
        <v>1434</v>
      </c>
      <c r="N542" s="129">
        <v>65.0</v>
      </c>
      <c r="O542" s="128"/>
      <c r="P542" s="128"/>
      <c r="Q542" s="128" t="s">
        <v>91</v>
      </c>
    </row>
    <row r="543">
      <c r="A543" s="129">
        <v>1813.0</v>
      </c>
      <c r="B543" s="129">
        <v>2021.0</v>
      </c>
      <c r="C543" s="129">
        <v>22.2</v>
      </c>
      <c r="D543" s="129">
        <v>37.16</v>
      </c>
      <c r="E543" s="129">
        <v>127.65</v>
      </c>
      <c r="F543" s="128" t="s">
        <v>2842</v>
      </c>
      <c r="G543" s="128" t="s">
        <v>2843</v>
      </c>
      <c r="H543" s="128" t="s">
        <v>242</v>
      </c>
      <c r="I543" s="128" t="s">
        <v>244</v>
      </c>
      <c r="J543" s="129">
        <v>9.0</v>
      </c>
      <c r="K543" s="129">
        <v>1.0</v>
      </c>
      <c r="L543" s="128"/>
      <c r="M543" s="128" t="s">
        <v>1434</v>
      </c>
      <c r="N543" s="129">
        <v>65.0</v>
      </c>
      <c r="O543" s="128"/>
      <c r="P543" s="128"/>
      <c r="Q543" s="128" t="s">
        <v>91</v>
      </c>
    </row>
    <row r="544">
      <c r="A544" s="129">
        <v>1806.0</v>
      </c>
      <c r="B544" s="129">
        <v>2021.0</v>
      </c>
      <c r="C544" s="129">
        <v>38.7</v>
      </c>
      <c r="D544" s="129">
        <v>37.61</v>
      </c>
      <c r="E544" s="129">
        <v>101.33</v>
      </c>
      <c r="F544" s="128" t="s">
        <v>2842</v>
      </c>
      <c r="G544" s="128" t="s">
        <v>593</v>
      </c>
      <c r="H544" s="128" t="s">
        <v>284</v>
      </c>
      <c r="I544" s="128" t="s">
        <v>968</v>
      </c>
      <c r="J544" s="129">
        <v>12.0</v>
      </c>
      <c r="K544" s="129">
        <v>1.0</v>
      </c>
      <c r="L544" s="128"/>
      <c r="M544" s="128" t="s">
        <v>594</v>
      </c>
      <c r="N544" s="129">
        <v>3201.0</v>
      </c>
      <c r="O544" s="128"/>
      <c r="P544" s="128"/>
      <c r="Q544" s="128" t="s">
        <v>91</v>
      </c>
    </row>
    <row r="545">
      <c r="A545" s="129">
        <v>1812.0</v>
      </c>
      <c r="B545" s="129">
        <v>2021.0</v>
      </c>
      <c r="C545" s="129">
        <v>31.5</v>
      </c>
      <c r="D545" s="129">
        <v>37.61</v>
      </c>
      <c r="E545" s="129">
        <v>101.33</v>
      </c>
      <c r="F545" s="128" t="s">
        <v>2842</v>
      </c>
      <c r="G545" s="128" t="s">
        <v>593</v>
      </c>
      <c r="H545" s="128" t="s">
        <v>284</v>
      </c>
      <c r="I545" s="128" t="s">
        <v>968</v>
      </c>
      <c r="J545" s="129">
        <v>12.0</v>
      </c>
      <c r="K545" s="129">
        <v>1.0</v>
      </c>
      <c r="L545" s="128"/>
      <c r="M545" s="128" t="s">
        <v>594</v>
      </c>
      <c r="N545" s="129">
        <v>3201.0</v>
      </c>
      <c r="O545" s="128"/>
      <c r="P545" s="128"/>
      <c r="Q545" s="128" t="s">
        <v>91</v>
      </c>
    </row>
    <row r="546">
      <c r="A546" s="129">
        <v>1803.0</v>
      </c>
      <c r="B546" s="129">
        <v>2021.0</v>
      </c>
      <c r="C546" s="129">
        <v>18.5</v>
      </c>
      <c r="D546" s="129">
        <v>37.94</v>
      </c>
      <c r="E546" s="129">
        <v>126.96</v>
      </c>
      <c r="F546" s="128" t="s">
        <v>2842</v>
      </c>
      <c r="G546" s="128" t="s">
        <v>2840</v>
      </c>
      <c r="H546" s="128" t="s">
        <v>242</v>
      </c>
      <c r="I546" s="128" t="s">
        <v>243</v>
      </c>
      <c r="J546" s="129">
        <v>13.0</v>
      </c>
      <c r="K546" s="129">
        <v>1.0</v>
      </c>
      <c r="L546" s="128"/>
      <c r="M546" s="128" t="s">
        <v>1445</v>
      </c>
      <c r="N546" s="129">
        <v>408.0</v>
      </c>
      <c r="O546" s="128"/>
      <c r="P546" s="128"/>
      <c r="Q546" s="128" t="s">
        <v>91</v>
      </c>
    </row>
    <row r="547">
      <c r="A547" s="129">
        <v>1809.0</v>
      </c>
      <c r="B547" s="129">
        <v>2021.0</v>
      </c>
      <c r="C547" s="129">
        <v>-6.1</v>
      </c>
      <c r="D547" s="129">
        <v>37.94</v>
      </c>
      <c r="E547" s="129">
        <v>126.96</v>
      </c>
      <c r="F547" s="128" t="s">
        <v>2842</v>
      </c>
      <c r="G547" s="128" t="s">
        <v>2840</v>
      </c>
      <c r="H547" s="128" t="s">
        <v>242</v>
      </c>
      <c r="I547" s="128" t="s">
        <v>243</v>
      </c>
      <c r="J547" s="129">
        <v>13.0</v>
      </c>
      <c r="K547" s="129">
        <v>1.0</v>
      </c>
      <c r="L547" s="128"/>
      <c r="M547" s="128" t="s">
        <v>1445</v>
      </c>
      <c r="N547" s="129">
        <v>408.0</v>
      </c>
      <c r="O547" s="128"/>
      <c r="P547" s="128"/>
      <c r="Q547" s="128" t="s">
        <v>91</v>
      </c>
    </row>
    <row r="548">
      <c r="A548" s="129">
        <v>326.0</v>
      </c>
      <c r="B548" s="129">
        <v>2018.0</v>
      </c>
      <c r="C548" s="129">
        <v>-8.4</v>
      </c>
      <c r="D548" s="129">
        <v>38.0369</v>
      </c>
      <c r="E548" s="129">
        <v>-121.755</v>
      </c>
      <c r="F548" s="128" t="s">
        <v>176</v>
      </c>
      <c r="G548" s="128" t="s">
        <v>847</v>
      </c>
      <c r="H548" s="128" t="s">
        <v>837</v>
      </c>
      <c r="I548" s="128" t="s">
        <v>168</v>
      </c>
      <c r="J548" s="128"/>
      <c r="K548" s="129">
        <v>1.0</v>
      </c>
      <c r="L548" s="129">
        <v>90.0</v>
      </c>
      <c r="M548" s="128" t="s">
        <v>848</v>
      </c>
      <c r="N548" s="129">
        <v>-4.0</v>
      </c>
      <c r="O548" s="128"/>
      <c r="P548" s="129">
        <v>30.0</v>
      </c>
      <c r="Q548" s="128" t="s">
        <v>91</v>
      </c>
    </row>
    <row r="549">
      <c r="A549" s="129">
        <v>1618.0</v>
      </c>
      <c r="B549" s="129">
        <v>2021.0</v>
      </c>
      <c r="C549" s="129">
        <v>65.0</v>
      </c>
      <c r="D549" s="129">
        <v>38.04</v>
      </c>
      <c r="E549" s="129">
        <v>100.46</v>
      </c>
      <c r="F549" s="128" t="s">
        <v>2651</v>
      </c>
      <c r="G549" s="128" t="s">
        <v>1256</v>
      </c>
      <c r="H549" s="128"/>
      <c r="I549" s="128"/>
      <c r="J549" s="128"/>
      <c r="K549" s="129">
        <v>1.0</v>
      </c>
      <c r="L549" s="129">
        <v>1000.0</v>
      </c>
      <c r="M549" s="128" t="s">
        <v>1256</v>
      </c>
      <c r="N549" s="129">
        <v>3028.0</v>
      </c>
      <c r="O549" s="128"/>
      <c r="P549" s="128"/>
      <c r="Q549" s="128" t="s">
        <v>91</v>
      </c>
    </row>
    <row r="550">
      <c r="A550" s="129">
        <v>325.0</v>
      </c>
      <c r="B550" s="129">
        <v>2018.0</v>
      </c>
      <c r="C550" s="129">
        <v>3.2</v>
      </c>
      <c r="D550" s="129">
        <v>38.0498</v>
      </c>
      <c r="E550" s="129">
        <v>-121.765</v>
      </c>
      <c r="F550" s="128" t="s">
        <v>176</v>
      </c>
      <c r="G550" s="128" t="s">
        <v>843</v>
      </c>
      <c r="H550" s="128" t="s">
        <v>837</v>
      </c>
      <c r="I550" s="128" t="s">
        <v>168</v>
      </c>
      <c r="J550" s="128"/>
      <c r="K550" s="129">
        <v>1.0</v>
      </c>
      <c r="L550" s="129">
        <v>90.0</v>
      </c>
      <c r="M550" s="128" t="s">
        <v>844</v>
      </c>
      <c r="N550" s="129">
        <v>-5.0</v>
      </c>
      <c r="O550" s="128"/>
      <c r="P550" s="129">
        <v>30.0</v>
      </c>
      <c r="Q550" s="128" t="s">
        <v>91</v>
      </c>
    </row>
    <row r="551">
      <c r="A551" s="129">
        <v>329.0</v>
      </c>
      <c r="B551" s="129">
        <v>2018.0</v>
      </c>
      <c r="C551" s="129">
        <v>4.5</v>
      </c>
      <c r="D551" s="129">
        <v>38.1028</v>
      </c>
      <c r="E551" s="129">
        <v>-121.641</v>
      </c>
      <c r="F551" s="128" t="s">
        <v>176</v>
      </c>
      <c r="G551" s="128" t="s">
        <v>851</v>
      </c>
      <c r="H551" s="128" t="s">
        <v>837</v>
      </c>
      <c r="I551" s="128" t="s">
        <v>168</v>
      </c>
      <c r="J551" s="128"/>
      <c r="K551" s="129">
        <v>1.0</v>
      </c>
      <c r="L551" s="129">
        <v>90.0</v>
      </c>
      <c r="M551" s="128" t="s">
        <v>852</v>
      </c>
      <c r="N551" s="129">
        <v>-5.0</v>
      </c>
      <c r="O551" s="128"/>
      <c r="P551" s="129">
        <v>30.0</v>
      </c>
      <c r="Q551" s="128" t="s">
        <v>91</v>
      </c>
    </row>
    <row r="552">
      <c r="A552" s="129">
        <v>327.0</v>
      </c>
      <c r="B552" s="129">
        <v>2018.0</v>
      </c>
      <c r="C552" s="129">
        <v>-3.6</v>
      </c>
      <c r="D552" s="129">
        <v>38.1073</v>
      </c>
      <c r="E552" s="129">
        <v>-121.647</v>
      </c>
      <c r="F552" s="128" t="s">
        <v>176</v>
      </c>
      <c r="G552" s="128" t="s">
        <v>849</v>
      </c>
      <c r="H552" s="128" t="s">
        <v>837</v>
      </c>
      <c r="I552" s="128" t="s">
        <v>168</v>
      </c>
      <c r="J552" s="128"/>
      <c r="K552" s="129">
        <v>1.0</v>
      </c>
      <c r="L552" s="129">
        <v>90.0</v>
      </c>
      <c r="M552" s="128" t="s">
        <v>850</v>
      </c>
      <c r="N552" s="129">
        <v>-9.0</v>
      </c>
      <c r="O552" s="128"/>
      <c r="P552" s="129">
        <v>30.0</v>
      </c>
      <c r="Q552" s="128" t="s">
        <v>91</v>
      </c>
    </row>
    <row r="553">
      <c r="A553" s="129">
        <v>330.0</v>
      </c>
      <c r="B553" s="129">
        <v>2018.0</v>
      </c>
      <c r="C553" s="129">
        <v>16.2</v>
      </c>
      <c r="D553" s="129">
        <v>38.1087</v>
      </c>
      <c r="E553" s="129">
        <v>-121.653</v>
      </c>
      <c r="F553" s="128" t="s">
        <v>176</v>
      </c>
      <c r="G553" s="128" t="s">
        <v>537</v>
      </c>
      <c r="H553" s="128" t="s">
        <v>837</v>
      </c>
      <c r="I553" s="128" t="s">
        <v>168</v>
      </c>
      <c r="J553" s="128"/>
      <c r="K553" s="129">
        <v>1.0</v>
      </c>
      <c r="L553" s="129">
        <v>90.0</v>
      </c>
      <c r="M553" s="128" t="s">
        <v>538</v>
      </c>
      <c r="N553" s="129">
        <v>-10.0</v>
      </c>
      <c r="O553" s="128"/>
      <c r="P553" s="129">
        <v>30.0</v>
      </c>
      <c r="Q553" s="128" t="s">
        <v>91</v>
      </c>
    </row>
    <row r="554">
      <c r="A554" s="129">
        <v>328.0</v>
      </c>
      <c r="B554" s="129">
        <v>2018.0</v>
      </c>
      <c r="C554" s="129">
        <v>-14.1</v>
      </c>
      <c r="D554" s="129">
        <v>38.1159</v>
      </c>
      <c r="E554" s="129">
        <v>-121.647</v>
      </c>
      <c r="F554" s="128" t="s">
        <v>176</v>
      </c>
      <c r="G554" s="128" t="s">
        <v>533</v>
      </c>
      <c r="H554" s="128" t="s">
        <v>837</v>
      </c>
      <c r="I554" s="128" t="s">
        <v>168</v>
      </c>
      <c r="J554" s="128"/>
      <c r="K554" s="129">
        <v>1.0</v>
      </c>
      <c r="L554" s="129">
        <v>90.0</v>
      </c>
      <c r="M554" s="128" t="s">
        <v>534</v>
      </c>
      <c r="N554" s="129">
        <v>-3.0</v>
      </c>
      <c r="O554" s="128"/>
      <c r="P554" s="129">
        <v>30.0</v>
      </c>
      <c r="Q554" s="128" t="s">
        <v>91</v>
      </c>
    </row>
    <row r="555">
      <c r="A555" s="129">
        <v>2098.0</v>
      </c>
      <c r="B555" s="129">
        <v>2021.0</v>
      </c>
      <c r="C555" s="129">
        <v>9.2</v>
      </c>
      <c r="D555" s="129">
        <v>38.12</v>
      </c>
      <c r="E555" s="129">
        <v>-4.17</v>
      </c>
      <c r="F555" s="128" t="s">
        <v>176</v>
      </c>
      <c r="G555" s="128" t="s">
        <v>3004</v>
      </c>
      <c r="H555" s="128" t="s">
        <v>167</v>
      </c>
      <c r="I555" s="128" t="s">
        <v>2955</v>
      </c>
      <c r="J555" s="128"/>
      <c r="K555" s="129">
        <v>1.0</v>
      </c>
      <c r="L555" s="129">
        <v>90.0</v>
      </c>
      <c r="M555" s="128" t="s">
        <v>3004</v>
      </c>
      <c r="N555" s="129">
        <v>614.0</v>
      </c>
      <c r="O555" s="128"/>
      <c r="P555" s="129">
        <v>30.0</v>
      </c>
      <c r="Q555" s="128" t="s">
        <v>91</v>
      </c>
    </row>
    <row r="556">
      <c r="A556" s="129">
        <v>2099.0</v>
      </c>
      <c r="B556" s="129">
        <v>2021.0</v>
      </c>
      <c r="C556" s="129">
        <v>13.0</v>
      </c>
      <c r="D556" s="129">
        <v>38.12</v>
      </c>
      <c r="E556" s="129">
        <v>-4.17</v>
      </c>
      <c r="F556" s="128" t="s">
        <v>176</v>
      </c>
      <c r="G556" s="128" t="s">
        <v>3004</v>
      </c>
      <c r="H556" s="128" t="s">
        <v>167</v>
      </c>
      <c r="I556" s="128" t="s">
        <v>2955</v>
      </c>
      <c r="J556" s="128"/>
      <c r="K556" s="129">
        <v>1.0</v>
      </c>
      <c r="L556" s="129">
        <v>90.0</v>
      </c>
      <c r="M556" s="128" t="s">
        <v>3004</v>
      </c>
      <c r="N556" s="129">
        <v>614.0</v>
      </c>
      <c r="O556" s="128"/>
      <c r="P556" s="129">
        <v>30.0</v>
      </c>
      <c r="Q556" s="128" t="s">
        <v>91</v>
      </c>
    </row>
    <row r="557">
      <c r="A557" s="129">
        <v>1606.0</v>
      </c>
      <c r="B557" s="129">
        <v>2020.0</v>
      </c>
      <c r="C557" s="129">
        <v>71.0</v>
      </c>
      <c r="D557" s="129">
        <v>38.28</v>
      </c>
      <c r="E557" s="129">
        <v>-121.118</v>
      </c>
      <c r="F557" s="128" t="s">
        <v>176</v>
      </c>
      <c r="G557" s="128" t="s">
        <v>183</v>
      </c>
      <c r="H557" s="128"/>
      <c r="I557" s="128"/>
      <c r="J557" s="129">
        <v>37.0</v>
      </c>
      <c r="K557" s="129">
        <v>1.0</v>
      </c>
      <c r="L557" s="129">
        <v>90.0</v>
      </c>
      <c r="M557" s="128" t="s">
        <v>184</v>
      </c>
      <c r="N557" s="129">
        <v>40.0</v>
      </c>
      <c r="O557" s="128"/>
      <c r="P557" s="129">
        <v>30.0</v>
      </c>
      <c r="Q557" s="128" t="s">
        <v>91</v>
      </c>
    </row>
    <row r="558">
      <c r="A558" s="129">
        <v>1607.0</v>
      </c>
      <c r="B558" s="129">
        <v>2020.0</v>
      </c>
      <c r="C558" s="129">
        <v>40.5</v>
      </c>
      <c r="D558" s="129">
        <v>38.28</v>
      </c>
      <c r="E558" s="129">
        <v>-121.118</v>
      </c>
      <c r="F558" s="128" t="s">
        <v>176</v>
      </c>
      <c r="G558" s="128" t="s">
        <v>183</v>
      </c>
      <c r="H558" s="128"/>
      <c r="I558" s="128"/>
      <c r="J558" s="129">
        <v>33.0</v>
      </c>
      <c r="K558" s="129">
        <v>1.0</v>
      </c>
      <c r="L558" s="129">
        <v>90.0</v>
      </c>
      <c r="M558" s="128" t="s">
        <v>184</v>
      </c>
      <c r="N558" s="129">
        <v>40.0</v>
      </c>
      <c r="O558" s="128"/>
      <c r="P558" s="129">
        <v>30.0</v>
      </c>
      <c r="Q558" s="128" t="s">
        <v>91</v>
      </c>
    </row>
    <row r="559">
      <c r="A559" s="129">
        <v>1608.0</v>
      </c>
      <c r="B559" s="129">
        <v>2020.0</v>
      </c>
      <c r="C559" s="129">
        <v>70.4</v>
      </c>
      <c r="D559" s="129">
        <v>38.28</v>
      </c>
      <c r="E559" s="129">
        <v>-121.118</v>
      </c>
      <c r="F559" s="128" t="s">
        <v>176</v>
      </c>
      <c r="G559" s="128" t="s">
        <v>183</v>
      </c>
      <c r="H559" s="128"/>
      <c r="I559" s="128"/>
      <c r="J559" s="129">
        <v>404.0</v>
      </c>
      <c r="K559" s="129">
        <v>1.0</v>
      </c>
      <c r="L559" s="129">
        <v>90.0</v>
      </c>
      <c r="M559" s="128" t="s">
        <v>184</v>
      </c>
      <c r="N559" s="129">
        <v>40.0</v>
      </c>
      <c r="O559" s="128"/>
      <c r="P559" s="129">
        <v>30.0</v>
      </c>
      <c r="Q559" s="128" t="s">
        <v>91</v>
      </c>
    </row>
    <row r="560">
      <c r="A560" s="129">
        <v>1609.0</v>
      </c>
      <c r="B560" s="129">
        <v>2020.0</v>
      </c>
      <c r="C560" s="129">
        <v>20.9</v>
      </c>
      <c r="D560" s="129">
        <v>38.28</v>
      </c>
      <c r="E560" s="129">
        <v>-121.118</v>
      </c>
      <c r="F560" s="128" t="s">
        <v>176</v>
      </c>
      <c r="G560" s="128" t="s">
        <v>183</v>
      </c>
      <c r="H560" s="128"/>
      <c r="I560" s="128"/>
      <c r="J560" s="129">
        <v>369.0</v>
      </c>
      <c r="K560" s="129">
        <v>1.0</v>
      </c>
      <c r="L560" s="129">
        <v>90.0</v>
      </c>
      <c r="M560" s="128" t="s">
        <v>184</v>
      </c>
      <c r="N560" s="129">
        <v>40.0</v>
      </c>
      <c r="O560" s="128"/>
      <c r="P560" s="129">
        <v>30.0</v>
      </c>
      <c r="Q560" s="128" t="s">
        <v>91</v>
      </c>
    </row>
    <row r="561">
      <c r="A561" s="129">
        <v>1610.0</v>
      </c>
      <c r="B561" s="129">
        <v>2020.0</v>
      </c>
      <c r="C561" s="129">
        <v>20.3</v>
      </c>
      <c r="D561" s="129">
        <v>38.28</v>
      </c>
      <c r="E561" s="129">
        <v>-121.118</v>
      </c>
      <c r="F561" s="128" t="s">
        <v>176</v>
      </c>
      <c r="G561" s="128" t="s">
        <v>183</v>
      </c>
      <c r="H561" s="128"/>
      <c r="I561" s="128"/>
      <c r="J561" s="129">
        <v>78.0</v>
      </c>
      <c r="K561" s="129">
        <v>1.0</v>
      </c>
      <c r="L561" s="129">
        <v>90.0</v>
      </c>
      <c r="M561" s="128" t="s">
        <v>184</v>
      </c>
      <c r="N561" s="129">
        <v>40.0</v>
      </c>
      <c r="O561" s="128"/>
      <c r="P561" s="129">
        <v>30.0</v>
      </c>
      <c r="Q561" s="128" t="s">
        <v>91</v>
      </c>
    </row>
    <row r="562">
      <c r="A562" s="129">
        <v>324.0</v>
      </c>
      <c r="B562" s="129">
        <v>2018.0</v>
      </c>
      <c r="C562" s="129">
        <v>3.0</v>
      </c>
      <c r="D562" s="129">
        <v>38.2805</v>
      </c>
      <c r="E562" s="129">
        <v>-121.118</v>
      </c>
      <c r="F562" s="128" t="s">
        <v>176</v>
      </c>
      <c r="G562" s="128" t="s">
        <v>183</v>
      </c>
      <c r="H562" s="128" t="s">
        <v>837</v>
      </c>
      <c r="I562" s="128" t="s">
        <v>168</v>
      </c>
      <c r="J562" s="128"/>
      <c r="K562" s="129">
        <v>1.0</v>
      </c>
      <c r="L562" s="129">
        <v>90.0</v>
      </c>
      <c r="M562" s="128" t="s">
        <v>184</v>
      </c>
      <c r="N562" s="129">
        <v>37.0</v>
      </c>
      <c r="O562" s="128"/>
      <c r="P562" s="129">
        <v>30.0</v>
      </c>
      <c r="Q562" s="128" t="s">
        <v>91</v>
      </c>
    </row>
    <row r="563">
      <c r="A563" s="129">
        <v>1601.0</v>
      </c>
      <c r="B563" s="129">
        <v>2020.0</v>
      </c>
      <c r="C563" s="129">
        <v>54.6</v>
      </c>
      <c r="D563" s="129">
        <v>38.289</v>
      </c>
      <c r="E563" s="129">
        <v>-121.118</v>
      </c>
      <c r="F563" s="128" t="s">
        <v>176</v>
      </c>
      <c r="G563" s="128" t="s">
        <v>170</v>
      </c>
      <c r="H563" s="128"/>
      <c r="I563" s="128"/>
      <c r="J563" s="129">
        <v>45.0</v>
      </c>
      <c r="K563" s="129">
        <v>1.0</v>
      </c>
      <c r="L563" s="129">
        <v>90.0</v>
      </c>
      <c r="M563" s="128" t="s">
        <v>171</v>
      </c>
      <c r="N563" s="129">
        <v>38.0</v>
      </c>
      <c r="O563" s="128"/>
      <c r="P563" s="129">
        <v>30.0</v>
      </c>
      <c r="Q563" s="128" t="s">
        <v>91</v>
      </c>
    </row>
    <row r="564">
      <c r="A564" s="129">
        <v>1602.0</v>
      </c>
      <c r="B564" s="129">
        <v>2020.0</v>
      </c>
      <c r="C564" s="129">
        <v>40.8</v>
      </c>
      <c r="D564" s="129">
        <v>38.289</v>
      </c>
      <c r="E564" s="129">
        <v>-121.118</v>
      </c>
      <c r="F564" s="128" t="s">
        <v>176</v>
      </c>
      <c r="G564" s="128" t="s">
        <v>170</v>
      </c>
      <c r="H564" s="128"/>
      <c r="I564" s="128"/>
      <c r="J564" s="129">
        <v>44.0</v>
      </c>
      <c r="K564" s="129">
        <v>1.0</v>
      </c>
      <c r="L564" s="129">
        <v>90.0</v>
      </c>
      <c r="M564" s="128" t="s">
        <v>171</v>
      </c>
      <c r="N564" s="129">
        <v>38.0</v>
      </c>
      <c r="O564" s="128"/>
      <c r="P564" s="129">
        <v>30.0</v>
      </c>
      <c r="Q564" s="128" t="s">
        <v>91</v>
      </c>
    </row>
    <row r="565">
      <c r="A565" s="129">
        <v>1603.0</v>
      </c>
      <c r="B565" s="129">
        <v>2020.0</v>
      </c>
      <c r="C565" s="129">
        <v>48.3</v>
      </c>
      <c r="D565" s="129">
        <v>38.289</v>
      </c>
      <c r="E565" s="129">
        <v>-121.118</v>
      </c>
      <c r="F565" s="128" t="s">
        <v>176</v>
      </c>
      <c r="G565" s="128" t="s">
        <v>170</v>
      </c>
      <c r="H565" s="128"/>
      <c r="I565" s="128"/>
      <c r="J565" s="129">
        <v>454.0</v>
      </c>
      <c r="K565" s="129">
        <v>1.0</v>
      </c>
      <c r="L565" s="129">
        <v>90.0</v>
      </c>
      <c r="M565" s="128" t="s">
        <v>171</v>
      </c>
      <c r="N565" s="129">
        <v>38.0</v>
      </c>
      <c r="O565" s="128"/>
      <c r="P565" s="129">
        <v>30.0</v>
      </c>
      <c r="Q565" s="128" t="s">
        <v>91</v>
      </c>
    </row>
    <row r="566">
      <c r="A566" s="129">
        <v>1604.0</v>
      </c>
      <c r="B566" s="129">
        <v>2020.0</v>
      </c>
      <c r="C566" s="129">
        <v>18.7</v>
      </c>
      <c r="D566" s="129">
        <v>38.289</v>
      </c>
      <c r="E566" s="129">
        <v>-121.118</v>
      </c>
      <c r="F566" s="128" t="s">
        <v>176</v>
      </c>
      <c r="G566" s="128" t="s">
        <v>170</v>
      </c>
      <c r="H566" s="128"/>
      <c r="I566" s="128"/>
      <c r="J566" s="129">
        <v>421.0</v>
      </c>
      <c r="K566" s="129">
        <v>1.0</v>
      </c>
      <c r="L566" s="129">
        <v>90.0</v>
      </c>
      <c r="M566" s="128" t="s">
        <v>171</v>
      </c>
      <c r="N566" s="129">
        <v>38.0</v>
      </c>
      <c r="O566" s="128"/>
      <c r="P566" s="129">
        <v>30.0</v>
      </c>
      <c r="Q566" s="128" t="s">
        <v>91</v>
      </c>
    </row>
    <row r="567">
      <c r="A567" s="129">
        <v>1605.0</v>
      </c>
      <c r="B567" s="129">
        <v>2020.0</v>
      </c>
      <c r="C567" s="129">
        <v>16.4</v>
      </c>
      <c r="D567" s="129">
        <v>38.289</v>
      </c>
      <c r="E567" s="129">
        <v>-121.118</v>
      </c>
      <c r="F567" s="128" t="s">
        <v>176</v>
      </c>
      <c r="G567" s="128" t="s">
        <v>170</v>
      </c>
      <c r="H567" s="128"/>
      <c r="I567" s="128"/>
      <c r="J567" s="129">
        <v>83.0</v>
      </c>
      <c r="K567" s="129">
        <v>1.0</v>
      </c>
      <c r="L567" s="129">
        <v>90.0</v>
      </c>
      <c r="M567" s="128" t="s">
        <v>171</v>
      </c>
      <c r="N567" s="129">
        <v>38.0</v>
      </c>
      <c r="O567" s="128"/>
      <c r="P567" s="129">
        <v>30.0</v>
      </c>
      <c r="Q567" s="128" t="s">
        <v>91</v>
      </c>
    </row>
    <row r="568">
      <c r="A568" s="129">
        <v>323.0</v>
      </c>
      <c r="B568" s="129">
        <v>2018.0</v>
      </c>
      <c r="C568" s="129">
        <v>3.2</v>
      </c>
      <c r="D568" s="129">
        <v>38.2894</v>
      </c>
      <c r="E568" s="129">
        <v>-121.118</v>
      </c>
      <c r="F568" s="128" t="s">
        <v>176</v>
      </c>
      <c r="G568" s="128" t="s">
        <v>170</v>
      </c>
      <c r="H568" s="128" t="s">
        <v>837</v>
      </c>
      <c r="I568" s="128" t="s">
        <v>168</v>
      </c>
      <c r="J568" s="128"/>
      <c r="K568" s="129">
        <v>1.0</v>
      </c>
      <c r="L568" s="129">
        <v>90.0</v>
      </c>
      <c r="M568" s="128" t="s">
        <v>171</v>
      </c>
      <c r="N568" s="129">
        <v>36.0</v>
      </c>
      <c r="O568" s="128"/>
      <c r="P568" s="129">
        <v>30.0</v>
      </c>
      <c r="Q568" s="128" t="s">
        <v>91</v>
      </c>
    </row>
    <row r="569">
      <c r="A569" s="129">
        <v>19.0</v>
      </c>
      <c r="B569" s="129">
        <v>2019.0</v>
      </c>
      <c r="C569" s="129">
        <v>20.4</v>
      </c>
      <c r="D569" s="129">
        <v>38.29</v>
      </c>
      <c r="E569" s="129">
        <v>-121.12</v>
      </c>
      <c r="F569" s="128" t="s">
        <v>176</v>
      </c>
      <c r="G569" s="128" t="s">
        <v>170</v>
      </c>
      <c r="H569" s="128" t="s">
        <v>167</v>
      </c>
      <c r="I569" s="128" t="s">
        <v>168</v>
      </c>
      <c r="J569" s="128"/>
      <c r="K569" s="129">
        <v>1.0</v>
      </c>
      <c r="L569" s="129">
        <v>30.0</v>
      </c>
      <c r="M569" s="128" t="s">
        <v>171</v>
      </c>
      <c r="N569" s="129">
        <v>40.0</v>
      </c>
      <c r="O569" s="128"/>
      <c r="P569" s="129">
        <v>30.0</v>
      </c>
      <c r="Q569" s="128" t="s">
        <v>91</v>
      </c>
    </row>
    <row r="570">
      <c r="A570" s="129">
        <v>20.0</v>
      </c>
      <c r="B570" s="129">
        <v>2019.0</v>
      </c>
      <c r="C570" s="129">
        <v>-4.6</v>
      </c>
      <c r="D570" s="129">
        <v>38.29</v>
      </c>
      <c r="E570" s="129">
        <v>-121.12</v>
      </c>
      <c r="F570" s="128" t="s">
        <v>176</v>
      </c>
      <c r="G570" s="128" t="s">
        <v>170</v>
      </c>
      <c r="H570" s="128" t="s">
        <v>167</v>
      </c>
      <c r="I570" s="128" t="s">
        <v>168</v>
      </c>
      <c r="J570" s="128"/>
      <c r="K570" s="129">
        <v>1.0</v>
      </c>
      <c r="L570" s="129">
        <v>30.0</v>
      </c>
      <c r="M570" s="128" t="s">
        <v>171</v>
      </c>
      <c r="N570" s="129">
        <v>40.0</v>
      </c>
      <c r="O570" s="128"/>
      <c r="P570" s="129">
        <v>30.0</v>
      </c>
      <c r="Q570" s="128" t="s">
        <v>91</v>
      </c>
    </row>
    <row r="571">
      <c r="A571" s="129">
        <v>21.0</v>
      </c>
      <c r="B571" s="129">
        <v>2019.0</v>
      </c>
      <c r="C571" s="129">
        <v>-0.3</v>
      </c>
      <c r="D571" s="129">
        <v>38.29</v>
      </c>
      <c r="E571" s="129">
        <v>-121.12</v>
      </c>
      <c r="F571" s="128" t="s">
        <v>176</v>
      </c>
      <c r="G571" s="128" t="s">
        <v>170</v>
      </c>
      <c r="H571" s="128" t="s">
        <v>167</v>
      </c>
      <c r="I571" s="128" t="s">
        <v>168</v>
      </c>
      <c r="J571" s="128"/>
      <c r="K571" s="129">
        <v>1.0</v>
      </c>
      <c r="L571" s="129">
        <v>30.0</v>
      </c>
      <c r="M571" s="128" t="s">
        <v>171</v>
      </c>
      <c r="N571" s="129">
        <v>40.0</v>
      </c>
      <c r="O571" s="128"/>
      <c r="P571" s="129">
        <v>30.0</v>
      </c>
      <c r="Q571" s="128" t="s">
        <v>91</v>
      </c>
    </row>
    <row r="572">
      <c r="A572" s="129">
        <v>22.0</v>
      </c>
      <c r="B572" s="129">
        <v>2019.0</v>
      </c>
      <c r="C572" s="129">
        <v>-0.6</v>
      </c>
      <c r="D572" s="129">
        <v>38.29</v>
      </c>
      <c r="E572" s="129">
        <v>-121.12</v>
      </c>
      <c r="F572" s="128" t="s">
        <v>176</v>
      </c>
      <c r="G572" s="128" t="s">
        <v>170</v>
      </c>
      <c r="H572" s="128" t="s">
        <v>167</v>
      </c>
      <c r="I572" s="128" t="s">
        <v>168</v>
      </c>
      <c r="J572" s="128"/>
      <c r="K572" s="129">
        <v>1.0</v>
      </c>
      <c r="L572" s="129">
        <v>30.0</v>
      </c>
      <c r="M572" s="128" t="s">
        <v>171</v>
      </c>
      <c r="N572" s="129">
        <v>40.0</v>
      </c>
      <c r="O572" s="128"/>
      <c r="P572" s="129">
        <v>30.0</v>
      </c>
      <c r="Q572" s="128" t="s">
        <v>91</v>
      </c>
    </row>
    <row r="573">
      <c r="A573" s="129">
        <v>23.0</v>
      </c>
      <c r="B573" s="129">
        <v>2019.0</v>
      </c>
      <c r="C573" s="129">
        <v>-2.2</v>
      </c>
      <c r="D573" s="129">
        <v>38.29</v>
      </c>
      <c r="E573" s="129">
        <v>-121.12</v>
      </c>
      <c r="F573" s="128" t="s">
        <v>176</v>
      </c>
      <c r="G573" s="128" t="s">
        <v>170</v>
      </c>
      <c r="H573" s="128" t="s">
        <v>167</v>
      </c>
      <c r="I573" s="128" t="s">
        <v>168</v>
      </c>
      <c r="J573" s="128"/>
      <c r="K573" s="129">
        <v>1.0</v>
      </c>
      <c r="L573" s="129">
        <v>30.0</v>
      </c>
      <c r="M573" s="128" t="s">
        <v>171</v>
      </c>
      <c r="N573" s="129">
        <v>40.0</v>
      </c>
      <c r="O573" s="128"/>
      <c r="P573" s="129">
        <v>30.0</v>
      </c>
      <c r="Q573" s="128" t="s">
        <v>91</v>
      </c>
    </row>
    <row r="574">
      <c r="A574" s="129">
        <v>24.0</v>
      </c>
      <c r="B574" s="129">
        <v>2019.0</v>
      </c>
      <c r="C574" s="129">
        <v>33.2</v>
      </c>
      <c r="D574" s="129">
        <v>38.29</v>
      </c>
      <c r="E574" s="129">
        <v>-121.12</v>
      </c>
      <c r="F574" s="128" t="s">
        <v>176</v>
      </c>
      <c r="G574" s="128" t="s">
        <v>183</v>
      </c>
      <c r="H574" s="128" t="s">
        <v>167</v>
      </c>
      <c r="I574" s="128" t="s">
        <v>168</v>
      </c>
      <c r="J574" s="128"/>
      <c r="K574" s="129">
        <v>1.0</v>
      </c>
      <c r="L574" s="129">
        <v>30.0</v>
      </c>
      <c r="M574" s="128" t="s">
        <v>184</v>
      </c>
      <c r="N574" s="129">
        <v>40.0</v>
      </c>
      <c r="O574" s="128"/>
      <c r="P574" s="129">
        <v>30.0</v>
      </c>
      <c r="Q574" s="128" t="s">
        <v>91</v>
      </c>
    </row>
    <row r="575">
      <c r="A575" s="129">
        <v>25.0</v>
      </c>
      <c r="B575" s="129">
        <v>2019.0</v>
      </c>
      <c r="C575" s="129">
        <v>1.8</v>
      </c>
      <c r="D575" s="129">
        <v>38.29</v>
      </c>
      <c r="E575" s="129">
        <v>-121.12</v>
      </c>
      <c r="F575" s="128" t="s">
        <v>176</v>
      </c>
      <c r="G575" s="128" t="s">
        <v>183</v>
      </c>
      <c r="H575" s="128" t="s">
        <v>167</v>
      </c>
      <c r="I575" s="128" t="s">
        <v>168</v>
      </c>
      <c r="J575" s="128"/>
      <c r="K575" s="129">
        <v>1.0</v>
      </c>
      <c r="L575" s="129">
        <v>30.0</v>
      </c>
      <c r="M575" s="128" t="s">
        <v>184</v>
      </c>
      <c r="N575" s="129">
        <v>40.0</v>
      </c>
      <c r="O575" s="128"/>
      <c r="P575" s="129">
        <v>30.0</v>
      </c>
      <c r="Q575" s="128" t="s">
        <v>91</v>
      </c>
    </row>
    <row r="576">
      <c r="A576" s="129">
        <v>26.0</v>
      </c>
      <c r="B576" s="129">
        <v>2019.0</v>
      </c>
      <c r="C576" s="129">
        <v>6.2</v>
      </c>
      <c r="D576" s="129">
        <v>38.29</v>
      </c>
      <c r="E576" s="129">
        <v>-121.12</v>
      </c>
      <c r="F576" s="128" t="s">
        <v>176</v>
      </c>
      <c r="G576" s="128" t="s">
        <v>183</v>
      </c>
      <c r="H576" s="128" t="s">
        <v>167</v>
      </c>
      <c r="I576" s="128" t="s">
        <v>168</v>
      </c>
      <c r="J576" s="128"/>
      <c r="K576" s="129">
        <v>1.0</v>
      </c>
      <c r="L576" s="129">
        <v>30.0</v>
      </c>
      <c r="M576" s="128" t="s">
        <v>184</v>
      </c>
      <c r="N576" s="129">
        <v>40.0</v>
      </c>
      <c r="O576" s="128"/>
      <c r="P576" s="129">
        <v>30.0</v>
      </c>
      <c r="Q576" s="128" t="s">
        <v>91</v>
      </c>
    </row>
    <row r="577">
      <c r="A577" s="129">
        <v>27.0</v>
      </c>
      <c r="B577" s="129">
        <v>2019.0</v>
      </c>
      <c r="C577" s="129">
        <v>4.2</v>
      </c>
      <c r="D577" s="129">
        <v>38.29</v>
      </c>
      <c r="E577" s="129">
        <v>-121.12</v>
      </c>
      <c r="F577" s="128" t="s">
        <v>176</v>
      </c>
      <c r="G577" s="128" t="s">
        <v>183</v>
      </c>
      <c r="H577" s="128" t="s">
        <v>167</v>
      </c>
      <c r="I577" s="128" t="s">
        <v>168</v>
      </c>
      <c r="J577" s="128"/>
      <c r="K577" s="129">
        <v>1.0</v>
      </c>
      <c r="L577" s="129">
        <v>30.0</v>
      </c>
      <c r="M577" s="128" t="s">
        <v>184</v>
      </c>
      <c r="N577" s="129">
        <v>40.0</v>
      </c>
      <c r="O577" s="128"/>
      <c r="P577" s="129">
        <v>30.0</v>
      </c>
      <c r="Q577" s="128" t="s">
        <v>91</v>
      </c>
    </row>
    <row r="578">
      <c r="A578" s="129">
        <v>28.0</v>
      </c>
      <c r="B578" s="129">
        <v>2019.0</v>
      </c>
      <c r="C578" s="129">
        <v>3.0</v>
      </c>
      <c r="D578" s="129">
        <v>38.29</v>
      </c>
      <c r="E578" s="129">
        <v>-121.12</v>
      </c>
      <c r="F578" s="128" t="s">
        <v>176</v>
      </c>
      <c r="G578" s="128" t="s">
        <v>183</v>
      </c>
      <c r="H578" s="128" t="s">
        <v>167</v>
      </c>
      <c r="I578" s="128" t="s">
        <v>168</v>
      </c>
      <c r="J578" s="128"/>
      <c r="K578" s="129">
        <v>1.0</v>
      </c>
      <c r="L578" s="129">
        <v>30.0</v>
      </c>
      <c r="M578" s="128" t="s">
        <v>184</v>
      </c>
      <c r="N578" s="129">
        <v>40.0</v>
      </c>
      <c r="O578" s="128"/>
      <c r="P578" s="129">
        <v>30.0</v>
      </c>
      <c r="Q578" s="128" t="s">
        <v>91</v>
      </c>
    </row>
    <row r="579">
      <c r="A579" s="129">
        <v>29.0</v>
      </c>
      <c r="B579" s="129">
        <v>2019.0</v>
      </c>
      <c r="C579" s="129">
        <v>26.6</v>
      </c>
      <c r="D579" s="129">
        <v>38.29</v>
      </c>
      <c r="E579" s="129">
        <v>-121.12</v>
      </c>
      <c r="F579" s="128" t="s">
        <v>176</v>
      </c>
      <c r="G579" s="128" t="s">
        <v>185</v>
      </c>
      <c r="H579" s="128" t="s">
        <v>167</v>
      </c>
      <c r="I579" s="128" t="s">
        <v>168</v>
      </c>
      <c r="J579" s="128"/>
      <c r="K579" s="129">
        <v>2.0</v>
      </c>
      <c r="L579" s="129">
        <v>30.0</v>
      </c>
      <c r="M579" s="128"/>
      <c r="N579" s="129">
        <v>40.0</v>
      </c>
      <c r="O579" s="128"/>
      <c r="P579" s="129">
        <v>30.0</v>
      </c>
      <c r="Q579" s="128" t="s">
        <v>91</v>
      </c>
    </row>
    <row r="580">
      <c r="A580" s="129">
        <v>30.0</v>
      </c>
      <c r="B580" s="129">
        <v>2019.0</v>
      </c>
      <c r="C580" s="129">
        <v>-1.6</v>
      </c>
      <c r="D580" s="129">
        <v>38.29</v>
      </c>
      <c r="E580" s="129">
        <v>-121.12</v>
      </c>
      <c r="F580" s="128" t="s">
        <v>176</v>
      </c>
      <c r="G580" s="128" t="s">
        <v>185</v>
      </c>
      <c r="H580" s="128" t="s">
        <v>167</v>
      </c>
      <c r="I580" s="128" t="s">
        <v>168</v>
      </c>
      <c r="J580" s="128"/>
      <c r="K580" s="129">
        <v>2.0</v>
      </c>
      <c r="L580" s="129">
        <v>30.0</v>
      </c>
      <c r="M580" s="128"/>
      <c r="N580" s="129">
        <v>40.0</v>
      </c>
      <c r="O580" s="128"/>
      <c r="P580" s="129">
        <v>30.0</v>
      </c>
      <c r="Q580" s="128" t="s">
        <v>91</v>
      </c>
    </row>
    <row r="581">
      <c r="A581" s="129">
        <v>31.0</v>
      </c>
      <c r="B581" s="129">
        <v>2019.0</v>
      </c>
      <c r="C581" s="129">
        <v>1.3</v>
      </c>
      <c r="D581" s="129">
        <v>38.29</v>
      </c>
      <c r="E581" s="129">
        <v>-121.12</v>
      </c>
      <c r="F581" s="128" t="s">
        <v>176</v>
      </c>
      <c r="G581" s="128" t="s">
        <v>185</v>
      </c>
      <c r="H581" s="128" t="s">
        <v>167</v>
      </c>
      <c r="I581" s="128" t="s">
        <v>168</v>
      </c>
      <c r="J581" s="128"/>
      <c r="K581" s="129">
        <v>2.0</v>
      </c>
      <c r="L581" s="129">
        <v>30.0</v>
      </c>
      <c r="M581" s="128"/>
      <c r="N581" s="129">
        <v>40.0</v>
      </c>
      <c r="O581" s="128"/>
      <c r="P581" s="129">
        <v>30.0</v>
      </c>
      <c r="Q581" s="128" t="s">
        <v>91</v>
      </c>
    </row>
    <row r="582">
      <c r="A582" s="129">
        <v>32.0</v>
      </c>
      <c r="B582" s="129">
        <v>2019.0</v>
      </c>
      <c r="C582" s="129">
        <v>1.7</v>
      </c>
      <c r="D582" s="129">
        <v>38.29</v>
      </c>
      <c r="E582" s="129">
        <v>-121.12</v>
      </c>
      <c r="F582" s="128" t="s">
        <v>176</v>
      </c>
      <c r="G582" s="128" t="s">
        <v>185</v>
      </c>
      <c r="H582" s="128" t="s">
        <v>167</v>
      </c>
      <c r="I582" s="128" t="s">
        <v>168</v>
      </c>
      <c r="J582" s="128"/>
      <c r="K582" s="129">
        <v>2.0</v>
      </c>
      <c r="L582" s="129">
        <v>30.0</v>
      </c>
      <c r="M582" s="128"/>
      <c r="N582" s="129">
        <v>40.0</v>
      </c>
      <c r="O582" s="128"/>
      <c r="P582" s="129">
        <v>30.0</v>
      </c>
      <c r="Q582" s="128" t="s">
        <v>91</v>
      </c>
    </row>
    <row r="583">
      <c r="A583" s="129">
        <v>33.0</v>
      </c>
      <c r="B583" s="129">
        <v>2019.0</v>
      </c>
      <c r="C583" s="129">
        <v>0.3</v>
      </c>
      <c r="D583" s="129">
        <v>38.29</v>
      </c>
      <c r="E583" s="129">
        <v>-121.12</v>
      </c>
      <c r="F583" s="128" t="s">
        <v>176</v>
      </c>
      <c r="G583" s="128" t="s">
        <v>185</v>
      </c>
      <c r="H583" s="128" t="s">
        <v>167</v>
      </c>
      <c r="I583" s="128" t="s">
        <v>168</v>
      </c>
      <c r="J583" s="128"/>
      <c r="K583" s="129">
        <v>2.0</v>
      </c>
      <c r="L583" s="129">
        <v>30.0</v>
      </c>
      <c r="M583" s="128"/>
      <c r="N583" s="129">
        <v>40.0</v>
      </c>
      <c r="O583" s="128"/>
      <c r="P583" s="129">
        <v>30.0</v>
      </c>
      <c r="Q583" s="128" t="s">
        <v>91</v>
      </c>
    </row>
    <row r="584">
      <c r="A584" s="129">
        <v>902.0</v>
      </c>
      <c r="B584" s="129">
        <v>2012.0</v>
      </c>
      <c r="C584" s="129">
        <v>-14.1</v>
      </c>
      <c r="D584" s="129">
        <v>38.41</v>
      </c>
      <c r="E584" s="129">
        <v>-120.95</v>
      </c>
      <c r="F584" s="128" t="s">
        <v>1682</v>
      </c>
      <c r="G584" s="128" t="s">
        <v>1339</v>
      </c>
      <c r="H584" s="128" t="s">
        <v>328</v>
      </c>
      <c r="I584" s="128" t="s">
        <v>194</v>
      </c>
      <c r="J584" s="128"/>
      <c r="K584" s="129">
        <v>1.0</v>
      </c>
      <c r="L584" s="128" t="s">
        <v>1675</v>
      </c>
      <c r="M584" s="128" t="s">
        <v>1340</v>
      </c>
      <c r="N584" s="129">
        <v>154.0</v>
      </c>
      <c r="O584" s="128"/>
      <c r="P584" s="128" t="s">
        <v>1680</v>
      </c>
      <c r="Q584" s="128" t="s">
        <v>91</v>
      </c>
    </row>
    <row r="585">
      <c r="A585" s="129">
        <v>900.0</v>
      </c>
      <c r="B585" s="129">
        <v>2012.0</v>
      </c>
      <c r="C585" s="129">
        <v>-61.8</v>
      </c>
      <c r="D585" s="129">
        <v>38.43</v>
      </c>
      <c r="E585" s="129">
        <v>-120.97</v>
      </c>
      <c r="F585" s="128" t="s">
        <v>1682</v>
      </c>
      <c r="G585" s="128" t="s">
        <v>1720</v>
      </c>
      <c r="H585" s="128" t="s">
        <v>193</v>
      </c>
      <c r="I585" s="128" t="s">
        <v>194</v>
      </c>
      <c r="J585" s="128"/>
      <c r="K585" s="129">
        <v>1.0</v>
      </c>
      <c r="L585" s="128" t="s">
        <v>1675</v>
      </c>
      <c r="M585" s="128" t="s">
        <v>310</v>
      </c>
      <c r="N585" s="129">
        <v>173.0</v>
      </c>
      <c r="O585" s="128"/>
      <c r="P585" s="128" t="s">
        <v>1680</v>
      </c>
      <c r="Q585" s="128" t="s">
        <v>91</v>
      </c>
    </row>
    <row r="586">
      <c r="A586" s="129">
        <v>1760.0</v>
      </c>
      <c r="B586" s="129">
        <v>2019.0</v>
      </c>
      <c r="C586" s="129">
        <v>-1.0</v>
      </c>
      <c r="D586" s="129">
        <v>38.53</v>
      </c>
      <c r="E586" s="129">
        <v>100.25</v>
      </c>
      <c r="F586" s="128" t="s">
        <v>2426</v>
      </c>
      <c r="G586" s="128" t="s">
        <v>2787</v>
      </c>
      <c r="H586" s="128" t="s">
        <v>506</v>
      </c>
      <c r="I586" s="128" t="s">
        <v>676</v>
      </c>
      <c r="J586" s="128"/>
      <c r="K586" s="129">
        <v>1.0</v>
      </c>
      <c r="L586" s="129">
        <v>1000.0</v>
      </c>
      <c r="M586" s="128" t="s">
        <v>2788</v>
      </c>
      <c r="N586" s="129">
        <v>2897.0</v>
      </c>
      <c r="O586" s="128"/>
      <c r="P586" s="129">
        <v>1000.0</v>
      </c>
      <c r="Q586" s="128" t="s">
        <v>91</v>
      </c>
    </row>
    <row r="587">
      <c r="A587" s="129">
        <v>1596.0</v>
      </c>
      <c r="B587" s="129">
        <v>2020.0</v>
      </c>
      <c r="C587" s="129">
        <v>39.7</v>
      </c>
      <c r="D587" s="129">
        <v>38.751</v>
      </c>
      <c r="E587" s="129">
        <v>-122.975</v>
      </c>
      <c r="F587" s="128" t="s">
        <v>176</v>
      </c>
      <c r="G587" s="128" t="s">
        <v>2637</v>
      </c>
      <c r="H587" s="128"/>
      <c r="I587" s="128"/>
      <c r="J587" s="129">
        <v>42.0</v>
      </c>
      <c r="K587" s="129">
        <v>1.0</v>
      </c>
      <c r="L587" s="129">
        <v>90.0</v>
      </c>
      <c r="M587" s="128" t="s">
        <v>2638</v>
      </c>
      <c r="N587" s="129">
        <v>103.0</v>
      </c>
      <c r="O587" s="128"/>
      <c r="P587" s="129">
        <v>30.0</v>
      </c>
      <c r="Q587" s="128" t="s">
        <v>91</v>
      </c>
    </row>
    <row r="588">
      <c r="A588" s="129">
        <v>1597.0</v>
      </c>
      <c r="B588" s="129">
        <v>2020.0</v>
      </c>
      <c r="C588" s="129">
        <v>19.0</v>
      </c>
      <c r="D588" s="129">
        <v>38.751</v>
      </c>
      <c r="E588" s="129">
        <v>-122.975</v>
      </c>
      <c r="F588" s="128" t="s">
        <v>176</v>
      </c>
      <c r="G588" s="128" t="s">
        <v>2637</v>
      </c>
      <c r="H588" s="128"/>
      <c r="I588" s="128"/>
      <c r="J588" s="129">
        <v>36.0</v>
      </c>
      <c r="K588" s="129">
        <v>1.0</v>
      </c>
      <c r="L588" s="129">
        <v>90.0</v>
      </c>
      <c r="M588" s="128" t="s">
        <v>2638</v>
      </c>
      <c r="N588" s="129">
        <v>103.0</v>
      </c>
      <c r="O588" s="128"/>
      <c r="P588" s="129">
        <v>30.0</v>
      </c>
      <c r="Q588" s="128" t="s">
        <v>91</v>
      </c>
    </row>
    <row r="589">
      <c r="A589" s="129">
        <v>1598.0</v>
      </c>
      <c r="B589" s="129">
        <v>2020.0</v>
      </c>
      <c r="C589" s="129">
        <v>49.5</v>
      </c>
      <c r="D589" s="129">
        <v>38.751</v>
      </c>
      <c r="E589" s="129">
        <v>-122.975</v>
      </c>
      <c r="F589" s="128" t="s">
        <v>176</v>
      </c>
      <c r="G589" s="128" t="s">
        <v>2637</v>
      </c>
      <c r="H589" s="128"/>
      <c r="I589" s="128"/>
      <c r="J589" s="129">
        <v>386.0</v>
      </c>
      <c r="K589" s="129">
        <v>1.0</v>
      </c>
      <c r="L589" s="129">
        <v>90.0</v>
      </c>
      <c r="M589" s="128" t="s">
        <v>2638</v>
      </c>
      <c r="N589" s="129">
        <v>103.0</v>
      </c>
      <c r="O589" s="128"/>
      <c r="P589" s="129">
        <v>30.0</v>
      </c>
      <c r="Q589" s="128" t="s">
        <v>91</v>
      </c>
    </row>
    <row r="590">
      <c r="A590" s="129">
        <v>1599.0</v>
      </c>
      <c r="B590" s="129">
        <v>2020.0</v>
      </c>
      <c r="C590" s="129">
        <v>22.8</v>
      </c>
      <c r="D590" s="129">
        <v>38.751</v>
      </c>
      <c r="E590" s="129">
        <v>-122.975</v>
      </c>
      <c r="F590" s="128" t="s">
        <v>176</v>
      </c>
      <c r="G590" s="128" t="s">
        <v>2637</v>
      </c>
      <c r="H590" s="128"/>
      <c r="I590" s="128"/>
      <c r="J590" s="129">
        <v>331.0</v>
      </c>
      <c r="K590" s="129">
        <v>1.0</v>
      </c>
      <c r="L590" s="129">
        <v>90.0</v>
      </c>
      <c r="M590" s="128" t="s">
        <v>2638</v>
      </c>
      <c r="N590" s="129">
        <v>103.0</v>
      </c>
      <c r="O590" s="128"/>
      <c r="P590" s="129">
        <v>30.0</v>
      </c>
      <c r="Q590" s="128" t="s">
        <v>91</v>
      </c>
    </row>
    <row r="591">
      <c r="A591" s="129">
        <v>1600.0</v>
      </c>
      <c r="B591" s="129">
        <v>2020.0</v>
      </c>
      <c r="C591" s="129">
        <v>18.7</v>
      </c>
      <c r="D591" s="129">
        <v>38.751</v>
      </c>
      <c r="E591" s="129">
        <v>-122.975</v>
      </c>
      <c r="F591" s="128" t="s">
        <v>176</v>
      </c>
      <c r="G591" s="128" t="s">
        <v>2637</v>
      </c>
      <c r="H591" s="128"/>
      <c r="I591" s="128"/>
      <c r="J591" s="129">
        <v>73.0</v>
      </c>
      <c r="K591" s="129">
        <v>1.0</v>
      </c>
      <c r="L591" s="129">
        <v>90.0</v>
      </c>
      <c r="M591" s="128" t="s">
        <v>2638</v>
      </c>
      <c r="N591" s="129">
        <v>103.0</v>
      </c>
      <c r="O591" s="128"/>
      <c r="P591" s="129">
        <v>30.0</v>
      </c>
      <c r="Q591" s="128" t="s">
        <v>91</v>
      </c>
    </row>
    <row r="592">
      <c r="A592" s="129">
        <v>1624.0</v>
      </c>
      <c r="B592" s="129">
        <v>2021.0</v>
      </c>
      <c r="C592" s="129">
        <v>-6.5</v>
      </c>
      <c r="D592" s="129">
        <v>38.85</v>
      </c>
      <c r="E592" s="129">
        <v>100.37</v>
      </c>
      <c r="F592" s="128" t="s">
        <v>2651</v>
      </c>
      <c r="G592" s="128" t="s">
        <v>905</v>
      </c>
      <c r="H592" s="128"/>
      <c r="I592" s="128"/>
      <c r="J592" s="128"/>
      <c r="K592" s="129">
        <v>1.0</v>
      </c>
      <c r="L592" s="129">
        <v>1000.0</v>
      </c>
      <c r="M592" s="128" t="s">
        <v>905</v>
      </c>
      <c r="N592" s="129">
        <v>1566.0</v>
      </c>
      <c r="O592" s="128"/>
      <c r="P592" s="128"/>
      <c r="Q592" s="128" t="s">
        <v>91</v>
      </c>
    </row>
    <row r="593">
      <c r="A593" s="129">
        <v>54.0</v>
      </c>
      <c r="B593" s="129">
        <v>2021.0</v>
      </c>
      <c r="C593" s="129">
        <v>-20.1</v>
      </c>
      <c r="D593" s="129">
        <v>38.86</v>
      </c>
      <c r="E593" s="129">
        <v>100.37</v>
      </c>
      <c r="F593" s="128" t="s">
        <v>5994</v>
      </c>
      <c r="G593" s="128" t="s">
        <v>275</v>
      </c>
      <c r="H593" s="128" t="s">
        <v>273</v>
      </c>
      <c r="I593" s="128" t="s">
        <v>274</v>
      </c>
      <c r="J593" s="128"/>
      <c r="K593" s="129">
        <v>1.0</v>
      </c>
      <c r="L593" s="128" t="s">
        <v>268</v>
      </c>
      <c r="M593" s="128" t="s">
        <v>275</v>
      </c>
      <c r="N593" s="129">
        <v>1561.0</v>
      </c>
      <c r="O593" s="128"/>
      <c r="P593" s="128" t="s">
        <v>268</v>
      </c>
      <c r="Q593" s="128" t="s">
        <v>91</v>
      </c>
    </row>
    <row r="594">
      <c r="A594" s="129">
        <v>55.0</v>
      </c>
      <c r="B594" s="129">
        <v>2021.0</v>
      </c>
      <c r="C594" s="129">
        <v>-22.6</v>
      </c>
      <c r="D594" s="129">
        <v>38.86</v>
      </c>
      <c r="E594" s="129">
        <v>100.37</v>
      </c>
      <c r="F594" s="128" t="s">
        <v>5994</v>
      </c>
      <c r="G594" s="128" t="s">
        <v>275</v>
      </c>
      <c r="H594" s="128" t="s">
        <v>273</v>
      </c>
      <c r="I594" s="128" t="s">
        <v>274</v>
      </c>
      <c r="J594" s="128"/>
      <c r="K594" s="129">
        <v>1.0</v>
      </c>
      <c r="L594" s="128" t="s">
        <v>268</v>
      </c>
      <c r="M594" s="128" t="s">
        <v>275</v>
      </c>
      <c r="N594" s="129">
        <v>1561.0</v>
      </c>
      <c r="O594" s="128"/>
      <c r="P594" s="128" t="s">
        <v>268</v>
      </c>
      <c r="Q594" s="128" t="s">
        <v>91</v>
      </c>
    </row>
    <row r="595">
      <c r="A595" s="129">
        <v>1759.0</v>
      </c>
      <c r="B595" s="129">
        <v>2019.0</v>
      </c>
      <c r="C595" s="129">
        <v>-7.1</v>
      </c>
      <c r="D595" s="129">
        <v>38.86</v>
      </c>
      <c r="E595" s="129">
        <v>100.41</v>
      </c>
      <c r="F595" s="128" t="s">
        <v>2426</v>
      </c>
      <c r="G595" s="128" t="s">
        <v>2783</v>
      </c>
      <c r="H595" s="128" t="s">
        <v>506</v>
      </c>
      <c r="I595" s="128" t="s">
        <v>351</v>
      </c>
      <c r="J595" s="128"/>
      <c r="K595" s="129">
        <v>1.0</v>
      </c>
      <c r="L595" s="129">
        <v>1000.0</v>
      </c>
      <c r="M595" s="128" t="s">
        <v>275</v>
      </c>
      <c r="N595" s="129">
        <v>1528.0</v>
      </c>
      <c r="O595" s="128"/>
      <c r="P595" s="129">
        <v>1000.0</v>
      </c>
      <c r="Q595" s="128" t="s">
        <v>91</v>
      </c>
    </row>
    <row r="596">
      <c r="A596" s="129">
        <v>1374.0</v>
      </c>
      <c r="B596" s="129">
        <v>2015.0</v>
      </c>
      <c r="C596" s="129">
        <v>1.0</v>
      </c>
      <c r="D596" s="129">
        <v>38.86667</v>
      </c>
      <c r="E596" s="129">
        <v>100.3667</v>
      </c>
      <c r="F596" s="128" t="s">
        <v>2426</v>
      </c>
      <c r="G596" s="128" t="s">
        <v>2424</v>
      </c>
      <c r="H596" s="128" t="s">
        <v>2423</v>
      </c>
      <c r="I596" s="128" t="s">
        <v>2423</v>
      </c>
      <c r="J596" s="129">
        <v>8.0</v>
      </c>
      <c r="K596" s="129">
        <v>8.0</v>
      </c>
      <c r="L596" s="129">
        <v>90.0</v>
      </c>
      <c r="M596" s="128"/>
      <c r="N596" s="129">
        <v>1563.0</v>
      </c>
      <c r="O596" s="128"/>
      <c r="P596" s="129">
        <v>90.0</v>
      </c>
      <c r="Q596" s="128" t="s">
        <v>91</v>
      </c>
    </row>
    <row r="597">
      <c r="A597" s="129">
        <v>1375.0</v>
      </c>
      <c r="B597" s="129">
        <v>2015.0</v>
      </c>
      <c r="C597" s="129">
        <v>0.2</v>
      </c>
      <c r="D597" s="129">
        <v>38.86667</v>
      </c>
      <c r="E597" s="129">
        <v>100.3667</v>
      </c>
      <c r="F597" s="128" t="s">
        <v>2426</v>
      </c>
      <c r="G597" s="128" t="s">
        <v>2424</v>
      </c>
      <c r="H597" s="128" t="s">
        <v>2428</v>
      </c>
      <c r="I597" s="128" t="s">
        <v>2428</v>
      </c>
      <c r="J597" s="129">
        <v>9.0</v>
      </c>
      <c r="K597" s="129">
        <v>9.0</v>
      </c>
      <c r="L597" s="129">
        <v>90.0</v>
      </c>
      <c r="M597" s="128"/>
      <c r="N597" s="129">
        <v>1563.0</v>
      </c>
      <c r="O597" s="128"/>
      <c r="P597" s="129">
        <v>90.0</v>
      </c>
      <c r="Q597" s="128" t="s">
        <v>91</v>
      </c>
    </row>
    <row r="598">
      <c r="A598" s="129">
        <v>1376.0</v>
      </c>
      <c r="B598" s="129">
        <v>2015.0</v>
      </c>
      <c r="C598" s="129">
        <v>2.5</v>
      </c>
      <c r="D598" s="129">
        <v>38.86667</v>
      </c>
      <c r="E598" s="129">
        <v>100.3667</v>
      </c>
      <c r="F598" s="128" t="s">
        <v>2426</v>
      </c>
      <c r="G598" s="128" t="s">
        <v>2424</v>
      </c>
      <c r="H598" s="128" t="s">
        <v>2429</v>
      </c>
      <c r="I598" s="128" t="s">
        <v>2429</v>
      </c>
      <c r="J598" s="129">
        <v>9.0</v>
      </c>
      <c r="K598" s="129">
        <v>9.0</v>
      </c>
      <c r="L598" s="129">
        <v>90.0</v>
      </c>
      <c r="M598" s="128"/>
      <c r="N598" s="129">
        <v>1563.0</v>
      </c>
      <c r="O598" s="128"/>
      <c r="P598" s="129">
        <v>90.0</v>
      </c>
      <c r="Q598" s="128" t="s">
        <v>91</v>
      </c>
    </row>
    <row r="599">
      <c r="A599" s="129">
        <v>1377.0</v>
      </c>
      <c r="B599" s="129">
        <v>2015.0</v>
      </c>
      <c r="C599" s="129">
        <v>0.2</v>
      </c>
      <c r="D599" s="129">
        <v>38.86667</v>
      </c>
      <c r="E599" s="129">
        <v>100.3667</v>
      </c>
      <c r="F599" s="128" t="s">
        <v>2426</v>
      </c>
      <c r="G599" s="128" t="s">
        <v>2424</v>
      </c>
      <c r="H599" s="128" t="s">
        <v>1993</v>
      </c>
      <c r="I599" s="128" t="s">
        <v>1993</v>
      </c>
      <c r="J599" s="129">
        <v>9.0</v>
      </c>
      <c r="K599" s="129">
        <v>9.0</v>
      </c>
      <c r="L599" s="129">
        <v>90.0</v>
      </c>
      <c r="M599" s="128"/>
      <c r="N599" s="129">
        <v>1563.0</v>
      </c>
      <c r="O599" s="128"/>
      <c r="P599" s="129">
        <v>90.0</v>
      </c>
      <c r="Q599" s="128" t="s">
        <v>91</v>
      </c>
    </row>
    <row r="600">
      <c r="A600" s="129">
        <v>1378.0</v>
      </c>
      <c r="B600" s="129">
        <v>2015.0</v>
      </c>
      <c r="C600" s="129">
        <v>14.2</v>
      </c>
      <c r="D600" s="129">
        <v>38.86667</v>
      </c>
      <c r="E600" s="129">
        <v>100.3667</v>
      </c>
      <c r="F600" s="128" t="s">
        <v>2426</v>
      </c>
      <c r="G600" s="128" t="s">
        <v>2424</v>
      </c>
      <c r="H600" s="128" t="s">
        <v>2423</v>
      </c>
      <c r="I600" s="128" t="s">
        <v>2423</v>
      </c>
      <c r="J600" s="129">
        <v>8.0</v>
      </c>
      <c r="K600" s="129">
        <v>8.0</v>
      </c>
      <c r="L600" s="129">
        <v>90.0</v>
      </c>
      <c r="M600" s="128"/>
      <c r="N600" s="129">
        <v>1563.0</v>
      </c>
      <c r="O600" s="128"/>
      <c r="P600" s="129">
        <v>90.0</v>
      </c>
      <c r="Q600" s="128" t="s">
        <v>91</v>
      </c>
    </row>
    <row r="601">
      <c r="A601" s="129">
        <v>1379.0</v>
      </c>
      <c r="B601" s="129">
        <v>2015.0</v>
      </c>
      <c r="C601" s="129">
        <v>5.1</v>
      </c>
      <c r="D601" s="129">
        <v>38.86667</v>
      </c>
      <c r="E601" s="129">
        <v>100.3667</v>
      </c>
      <c r="F601" s="128" t="s">
        <v>2426</v>
      </c>
      <c r="G601" s="128" t="s">
        <v>2424</v>
      </c>
      <c r="H601" s="128" t="s">
        <v>2428</v>
      </c>
      <c r="I601" s="128" t="s">
        <v>2428</v>
      </c>
      <c r="J601" s="129">
        <v>9.0</v>
      </c>
      <c r="K601" s="129">
        <v>9.0</v>
      </c>
      <c r="L601" s="129">
        <v>90.0</v>
      </c>
      <c r="M601" s="128"/>
      <c r="N601" s="129">
        <v>1563.0</v>
      </c>
      <c r="O601" s="128"/>
      <c r="P601" s="129">
        <v>90.0</v>
      </c>
      <c r="Q601" s="128" t="s">
        <v>91</v>
      </c>
    </row>
    <row r="602">
      <c r="A602" s="129">
        <v>1380.0</v>
      </c>
      <c r="B602" s="129">
        <v>2015.0</v>
      </c>
      <c r="C602" s="129">
        <v>19.9</v>
      </c>
      <c r="D602" s="129">
        <v>38.86667</v>
      </c>
      <c r="E602" s="129">
        <v>100.3667</v>
      </c>
      <c r="F602" s="128" t="s">
        <v>2426</v>
      </c>
      <c r="G602" s="128" t="s">
        <v>2424</v>
      </c>
      <c r="H602" s="128" t="s">
        <v>2429</v>
      </c>
      <c r="I602" s="128" t="s">
        <v>2429</v>
      </c>
      <c r="J602" s="129">
        <v>9.0</v>
      </c>
      <c r="K602" s="129">
        <v>9.0</v>
      </c>
      <c r="L602" s="129">
        <v>90.0</v>
      </c>
      <c r="M602" s="128"/>
      <c r="N602" s="129">
        <v>1563.0</v>
      </c>
      <c r="O602" s="128"/>
      <c r="P602" s="129">
        <v>90.0</v>
      </c>
      <c r="Q602" s="128" t="s">
        <v>91</v>
      </c>
    </row>
    <row r="603">
      <c r="A603" s="129">
        <v>1381.0</v>
      </c>
      <c r="B603" s="129">
        <v>2015.0</v>
      </c>
      <c r="C603" s="129">
        <v>31.2</v>
      </c>
      <c r="D603" s="129">
        <v>38.86667</v>
      </c>
      <c r="E603" s="129">
        <v>100.3667</v>
      </c>
      <c r="F603" s="128" t="s">
        <v>2426</v>
      </c>
      <c r="G603" s="128" t="s">
        <v>2424</v>
      </c>
      <c r="H603" s="128" t="s">
        <v>1993</v>
      </c>
      <c r="I603" s="128" t="s">
        <v>1993</v>
      </c>
      <c r="J603" s="129">
        <v>9.0</v>
      </c>
      <c r="K603" s="129">
        <v>9.0</v>
      </c>
      <c r="L603" s="129">
        <v>90.0</v>
      </c>
      <c r="M603" s="128"/>
      <c r="N603" s="129">
        <v>1563.0</v>
      </c>
      <c r="O603" s="128"/>
      <c r="P603" s="129">
        <v>90.0</v>
      </c>
      <c r="Q603" s="128" t="s">
        <v>91</v>
      </c>
    </row>
    <row r="604">
      <c r="A604" s="129">
        <v>50.0</v>
      </c>
      <c r="B604" s="129">
        <v>2021.0</v>
      </c>
      <c r="C604" s="129">
        <v>-23.0</v>
      </c>
      <c r="D604" s="129">
        <v>38.875</v>
      </c>
      <c r="E604" s="129">
        <v>100.375</v>
      </c>
      <c r="F604" s="128" t="s">
        <v>5994</v>
      </c>
      <c r="G604" s="128" t="s">
        <v>5989</v>
      </c>
      <c r="H604" s="128" t="s">
        <v>254</v>
      </c>
      <c r="I604" s="128" t="s">
        <v>255</v>
      </c>
      <c r="J604" s="128"/>
      <c r="K604" s="129">
        <v>1.0</v>
      </c>
      <c r="L604" s="128" t="s">
        <v>253</v>
      </c>
      <c r="M604" s="128" t="s">
        <v>257</v>
      </c>
      <c r="N604" s="129">
        <v>1554.0</v>
      </c>
      <c r="O604" s="128"/>
      <c r="P604" s="128" t="s">
        <v>253</v>
      </c>
      <c r="Q604" s="128" t="s">
        <v>91</v>
      </c>
    </row>
    <row r="605">
      <c r="A605" s="129">
        <v>51.0</v>
      </c>
      <c r="B605" s="129">
        <v>2021.0</v>
      </c>
      <c r="C605" s="129">
        <v>-8.7</v>
      </c>
      <c r="D605" s="129">
        <v>38.875</v>
      </c>
      <c r="E605" s="129">
        <v>100.375</v>
      </c>
      <c r="F605" s="128" t="s">
        <v>5994</v>
      </c>
      <c r="G605" s="128" t="s">
        <v>5989</v>
      </c>
      <c r="H605" s="128" t="s">
        <v>254</v>
      </c>
      <c r="I605" s="128" t="s">
        <v>255</v>
      </c>
      <c r="J605" s="128"/>
      <c r="K605" s="129">
        <v>1.0</v>
      </c>
      <c r="L605" s="128" t="s">
        <v>268</v>
      </c>
      <c r="M605" s="128" t="s">
        <v>257</v>
      </c>
      <c r="N605" s="129">
        <v>1554.0</v>
      </c>
      <c r="O605" s="128"/>
      <c r="P605" s="128" t="s">
        <v>268</v>
      </c>
      <c r="Q605" s="128" t="s">
        <v>91</v>
      </c>
    </row>
    <row r="606">
      <c r="A606" s="129">
        <v>590.0</v>
      </c>
      <c r="B606" s="129">
        <v>2017.0</v>
      </c>
      <c r="C606" s="129">
        <v>-11.68</v>
      </c>
      <c r="D606" s="129">
        <v>38.875</v>
      </c>
      <c r="E606" s="129">
        <v>100.375</v>
      </c>
      <c r="F606" s="128" t="s">
        <v>1160</v>
      </c>
      <c r="G606" s="128" t="s">
        <v>5989</v>
      </c>
      <c r="H606" s="128" t="s">
        <v>1156</v>
      </c>
      <c r="I606" s="128" t="s">
        <v>1157</v>
      </c>
      <c r="J606" s="129">
        <v>5.0</v>
      </c>
      <c r="K606" s="129">
        <v>1.0</v>
      </c>
      <c r="L606" s="128" t="s">
        <v>1146</v>
      </c>
      <c r="M606" s="128" t="s">
        <v>257</v>
      </c>
      <c r="N606" s="129">
        <v>1554.0</v>
      </c>
      <c r="O606" s="128" t="s">
        <v>1148</v>
      </c>
      <c r="P606" s="129">
        <v>30.0</v>
      </c>
      <c r="Q606" s="128" t="s">
        <v>91</v>
      </c>
    </row>
    <row r="607">
      <c r="A607" s="129">
        <v>596.0</v>
      </c>
      <c r="B607" s="129">
        <v>2017.0</v>
      </c>
      <c r="C607" s="129">
        <v>-13.34</v>
      </c>
      <c r="D607" s="129">
        <v>38.875</v>
      </c>
      <c r="E607" s="129">
        <v>100.375</v>
      </c>
      <c r="F607" s="128" t="s">
        <v>1160</v>
      </c>
      <c r="G607" s="128" t="s">
        <v>5989</v>
      </c>
      <c r="H607" s="128" t="s">
        <v>1156</v>
      </c>
      <c r="I607" s="128" t="s">
        <v>1157</v>
      </c>
      <c r="J607" s="129">
        <v>5.0</v>
      </c>
      <c r="K607" s="129">
        <v>1.0</v>
      </c>
      <c r="L607" s="128" t="s">
        <v>1146</v>
      </c>
      <c r="M607" s="128" t="s">
        <v>257</v>
      </c>
      <c r="N607" s="129">
        <v>1554.0</v>
      </c>
      <c r="O607" s="128" t="s">
        <v>1148</v>
      </c>
      <c r="P607" s="129">
        <v>30.0</v>
      </c>
      <c r="Q607" s="128" t="s">
        <v>91</v>
      </c>
    </row>
    <row r="608">
      <c r="A608" s="129">
        <v>578.0</v>
      </c>
      <c r="B608" s="129">
        <v>2017.0</v>
      </c>
      <c r="C608" s="129">
        <v>-12.63</v>
      </c>
      <c r="D608" s="129">
        <v>38.875</v>
      </c>
      <c r="E608" s="129">
        <v>100.375</v>
      </c>
      <c r="F608" s="128" t="s">
        <v>1150</v>
      </c>
      <c r="G608" s="128" t="s">
        <v>5989</v>
      </c>
      <c r="H608" s="128" t="s">
        <v>1156</v>
      </c>
      <c r="I608" s="128" t="s">
        <v>1157</v>
      </c>
      <c r="J608" s="129">
        <v>5.0</v>
      </c>
      <c r="K608" s="129">
        <v>1.0</v>
      </c>
      <c r="L608" s="128" t="s">
        <v>1146</v>
      </c>
      <c r="M608" s="128" t="s">
        <v>257</v>
      </c>
      <c r="N608" s="129">
        <v>1554.0</v>
      </c>
      <c r="O608" s="128" t="s">
        <v>1148</v>
      </c>
      <c r="P608" s="129">
        <v>30.0</v>
      </c>
      <c r="Q608" s="128" t="s">
        <v>91</v>
      </c>
    </row>
    <row r="609">
      <c r="A609" s="129">
        <v>584.0</v>
      </c>
      <c r="B609" s="129">
        <v>2017.0</v>
      </c>
      <c r="C609" s="129">
        <v>-19.04</v>
      </c>
      <c r="D609" s="129">
        <v>38.875</v>
      </c>
      <c r="E609" s="129">
        <v>100.375</v>
      </c>
      <c r="F609" s="128" t="s">
        <v>1150</v>
      </c>
      <c r="G609" s="128" t="s">
        <v>5989</v>
      </c>
      <c r="H609" s="128" t="s">
        <v>1156</v>
      </c>
      <c r="I609" s="128" t="s">
        <v>1157</v>
      </c>
      <c r="J609" s="129">
        <v>5.0</v>
      </c>
      <c r="K609" s="129">
        <v>1.0</v>
      </c>
      <c r="L609" s="128" t="s">
        <v>1146</v>
      </c>
      <c r="M609" s="128" t="s">
        <v>257</v>
      </c>
      <c r="N609" s="129">
        <v>1554.0</v>
      </c>
      <c r="O609" s="128" t="s">
        <v>1148</v>
      </c>
      <c r="P609" s="129">
        <v>30.0</v>
      </c>
      <c r="Q609" s="128" t="s">
        <v>91</v>
      </c>
    </row>
    <row r="610">
      <c r="A610" s="129">
        <v>1621.0</v>
      </c>
      <c r="B610" s="129">
        <v>2021.0</v>
      </c>
      <c r="C610" s="129">
        <v>54.5</v>
      </c>
      <c r="D610" s="129">
        <v>38.875</v>
      </c>
      <c r="E610" s="129">
        <v>100.375</v>
      </c>
      <c r="F610" s="128" t="s">
        <v>2651</v>
      </c>
      <c r="G610" s="128" t="s">
        <v>5989</v>
      </c>
      <c r="J610" s="128"/>
      <c r="K610" s="129">
        <v>1.0</v>
      </c>
      <c r="L610" s="129">
        <v>1000.0</v>
      </c>
      <c r="M610" s="128" t="s">
        <v>257</v>
      </c>
      <c r="N610" s="129">
        <v>1554.0</v>
      </c>
      <c r="O610" s="128"/>
      <c r="P610" s="128"/>
      <c r="Q610" s="128" t="s">
        <v>91</v>
      </c>
    </row>
    <row r="611">
      <c r="A611" s="129">
        <v>612.0</v>
      </c>
      <c r="B611" s="129">
        <v>2017.0</v>
      </c>
      <c r="C611" s="129">
        <v>9.24</v>
      </c>
      <c r="D611" s="129">
        <v>39.05874</v>
      </c>
      <c r="E611" s="129">
        <v>-75.8513</v>
      </c>
      <c r="F611" s="128" t="s">
        <v>176</v>
      </c>
      <c r="G611" s="128" t="s">
        <v>1168</v>
      </c>
      <c r="H611" s="128" t="s">
        <v>167</v>
      </c>
      <c r="I611" s="128" t="s">
        <v>246</v>
      </c>
      <c r="J611" s="128"/>
      <c r="K611" s="129">
        <v>1.0</v>
      </c>
      <c r="L611" s="129">
        <v>30.0</v>
      </c>
      <c r="M611" s="128" t="s">
        <v>1169</v>
      </c>
      <c r="N611" s="129">
        <v>17.0</v>
      </c>
      <c r="O611" s="128"/>
      <c r="P611" s="129">
        <v>30.0</v>
      </c>
      <c r="Q611" s="128" t="s">
        <v>91</v>
      </c>
    </row>
    <row r="612">
      <c r="A612" s="129">
        <v>613.0</v>
      </c>
      <c r="B612" s="129">
        <v>2017.0</v>
      </c>
      <c r="C612" s="129">
        <v>17.0</v>
      </c>
      <c r="D612" s="129">
        <v>39.05874</v>
      </c>
      <c r="E612" s="129">
        <v>-75.8513</v>
      </c>
      <c r="F612" s="128" t="s">
        <v>176</v>
      </c>
      <c r="G612" s="128" t="s">
        <v>1168</v>
      </c>
      <c r="H612" s="128" t="s">
        <v>167</v>
      </c>
      <c r="I612" s="128" t="s">
        <v>246</v>
      </c>
      <c r="J612" s="128"/>
      <c r="K612" s="129">
        <v>1.0</v>
      </c>
      <c r="L612" s="129">
        <v>30.0</v>
      </c>
      <c r="M612" s="128" t="s">
        <v>1169</v>
      </c>
      <c r="N612" s="129">
        <v>17.0</v>
      </c>
      <c r="O612" s="128"/>
      <c r="P612" s="129">
        <v>30.0</v>
      </c>
      <c r="Q612" s="128" t="s">
        <v>91</v>
      </c>
    </row>
    <row r="613">
      <c r="A613" s="129">
        <v>614.0</v>
      </c>
      <c r="B613" s="129">
        <v>2017.0</v>
      </c>
      <c r="C613" s="129">
        <v>27.0</v>
      </c>
      <c r="D613" s="129">
        <v>39.05874</v>
      </c>
      <c r="E613" s="129">
        <v>-75.8513</v>
      </c>
      <c r="F613" s="128" t="s">
        <v>176</v>
      </c>
      <c r="G613" s="128" t="s">
        <v>1168</v>
      </c>
      <c r="H613" s="128" t="s">
        <v>167</v>
      </c>
      <c r="I613" s="128" t="s">
        <v>246</v>
      </c>
      <c r="J613" s="128"/>
      <c r="K613" s="129">
        <v>1.0</v>
      </c>
      <c r="L613" s="129">
        <v>30.0</v>
      </c>
      <c r="M613" s="128" t="s">
        <v>1169</v>
      </c>
      <c r="N613" s="129">
        <v>17.0</v>
      </c>
      <c r="O613" s="128"/>
      <c r="P613" s="129">
        <v>30.0</v>
      </c>
      <c r="Q613" s="128" t="s">
        <v>91</v>
      </c>
    </row>
    <row r="614">
      <c r="A614" s="129">
        <v>898.0</v>
      </c>
      <c r="B614" s="129">
        <v>2012.0</v>
      </c>
      <c r="C614" s="129">
        <v>13.3</v>
      </c>
      <c r="D614" s="129">
        <v>39.32</v>
      </c>
      <c r="E614" s="129">
        <v>-86.41</v>
      </c>
      <c r="F614" s="128" t="s">
        <v>1682</v>
      </c>
      <c r="G614" s="128" t="s">
        <v>1309</v>
      </c>
      <c r="H614" s="128" t="s">
        <v>328</v>
      </c>
      <c r="I614" s="128" t="s">
        <v>363</v>
      </c>
      <c r="J614" s="128"/>
      <c r="K614" s="129">
        <v>1.0</v>
      </c>
      <c r="L614" s="128" t="s">
        <v>1675</v>
      </c>
      <c r="M614" s="128" t="s">
        <v>1310</v>
      </c>
      <c r="N614" s="129">
        <v>280.0</v>
      </c>
      <c r="O614" s="128"/>
      <c r="P614" s="128" t="s">
        <v>1680</v>
      </c>
      <c r="Q614" s="128" t="s">
        <v>91</v>
      </c>
    </row>
    <row r="615">
      <c r="A615" s="129">
        <v>1763.0</v>
      </c>
      <c r="B615" s="129">
        <v>2019.0</v>
      </c>
      <c r="C615" s="129">
        <v>-4.3</v>
      </c>
      <c r="D615" s="129">
        <v>39.61</v>
      </c>
      <c r="E615" s="129">
        <v>116.42</v>
      </c>
      <c r="F615" s="128" t="s">
        <v>2426</v>
      </c>
      <c r="G615" s="128" t="s">
        <v>601</v>
      </c>
      <c r="H615" s="128" t="s">
        <v>536</v>
      </c>
      <c r="I615" s="128" t="s">
        <v>507</v>
      </c>
      <c r="J615" s="128"/>
      <c r="K615" s="129">
        <v>1.0</v>
      </c>
      <c r="L615" s="129">
        <v>1000.0</v>
      </c>
      <c r="M615" s="128" t="s">
        <v>1152</v>
      </c>
      <c r="N615" s="129">
        <v>32.0</v>
      </c>
      <c r="O615" s="128"/>
      <c r="P615" s="129">
        <v>1000.0</v>
      </c>
      <c r="Q615" s="128" t="s">
        <v>91</v>
      </c>
    </row>
    <row r="616">
      <c r="A616" s="129">
        <v>587.0</v>
      </c>
      <c r="B616" s="129">
        <v>2017.0</v>
      </c>
      <c r="C616" s="129">
        <v>-2.65</v>
      </c>
      <c r="D616" s="129">
        <v>39.62</v>
      </c>
      <c r="E616" s="129">
        <v>116.43</v>
      </c>
      <c r="F616" s="128" t="s">
        <v>1160</v>
      </c>
      <c r="G616" s="128" t="s">
        <v>1152</v>
      </c>
      <c r="H616" s="128" t="s">
        <v>506</v>
      </c>
      <c r="I616" s="128" t="s">
        <v>507</v>
      </c>
      <c r="J616" s="129">
        <v>6.0</v>
      </c>
      <c r="K616" s="129">
        <v>1.0</v>
      </c>
      <c r="L616" s="128" t="s">
        <v>1146</v>
      </c>
      <c r="M616" s="128" t="s">
        <v>1152</v>
      </c>
      <c r="N616" s="129">
        <v>28.0</v>
      </c>
      <c r="O616" s="128" t="s">
        <v>1148</v>
      </c>
      <c r="P616" s="129">
        <v>30.0</v>
      </c>
      <c r="Q616" s="128" t="s">
        <v>91</v>
      </c>
    </row>
    <row r="617">
      <c r="A617" s="129">
        <v>593.0</v>
      </c>
      <c r="B617" s="129">
        <v>2017.0</v>
      </c>
      <c r="C617" s="129">
        <v>-12.58</v>
      </c>
      <c r="D617" s="129">
        <v>39.62</v>
      </c>
      <c r="E617" s="129">
        <v>116.43</v>
      </c>
      <c r="F617" s="128" t="s">
        <v>1160</v>
      </c>
      <c r="G617" s="128" t="s">
        <v>1152</v>
      </c>
      <c r="H617" s="128" t="s">
        <v>506</v>
      </c>
      <c r="I617" s="128" t="s">
        <v>507</v>
      </c>
      <c r="J617" s="129">
        <v>6.0</v>
      </c>
      <c r="K617" s="129">
        <v>1.0</v>
      </c>
      <c r="L617" s="128" t="s">
        <v>1146</v>
      </c>
      <c r="M617" s="128" t="s">
        <v>1152</v>
      </c>
      <c r="N617" s="129">
        <v>28.0</v>
      </c>
      <c r="O617" s="128" t="s">
        <v>1148</v>
      </c>
      <c r="P617" s="129">
        <v>30.0</v>
      </c>
      <c r="Q617" s="128" t="s">
        <v>91</v>
      </c>
    </row>
    <row r="618">
      <c r="A618" s="129">
        <v>575.0</v>
      </c>
      <c r="B618" s="129">
        <v>2017.0</v>
      </c>
      <c r="C618" s="129">
        <v>-14.59</v>
      </c>
      <c r="D618" s="129">
        <v>39.62</v>
      </c>
      <c r="E618" s="129">
        <v>116.43</v>
      </c>
      <c r="F618" s="128" t="s">
        <v>1150</v>
      </c>
      <c r="G618" s="128" t="s">
        <v>1152</v>
      </c>
      <c r="H618" s="128" t="s">
        <v>506</v>
      </c>
      <c r="I618" s="128" t="s">
        <v>507</v>
      </c>
      <c r="J618" s="129">
        <v>6.0</v>
      </c>
      <c r="K618" s="129">
        <v>1.0</v>
      </c>
      <c r="L618" s="128" t="s">
        <v>1146</v>
      </c>
      <c r="M618" s="128" t="s">
        <v>1152</v>
      </c>
      <c r="N618" s="129">
        <v>28.0</v>
      </c>
      <c r="O618" s="128" t="s">
        <v>1148</v>
      </c>
      <c r="P618" s="129">
        <v>30.0</v>
      </c>
      <c r="Q618" s="128" t="s">
        <v>91</v>
      </c>
    </row>
    <row r="619">
      <c r="A619" s="129">
        <v>581.0</v>
      </c>
      <c r="B619" s="129">
        <v>2017.0</v>
      </c>
      <c r="C619" s="129">
        <v>-20.27</v>
      </c>
      <c r="D619" s="129">
        <v>39.62</v>
      </c>
      <c r="E619" s="129">
        <v>116.43</v>
      </c>
      <c r="F619" s="128" t="s">
        <v>1150</v>
      </c>
      <c r="G619" s="128" t="s">
        <v>1152</v>
      </c>
      <c r="H619" s="128" t="s">
        <v>506</v>
      </c>
      <c r="I619" s="128" t="s">
        <v>507</v>
      </c>
      <c r="J619" s="129">
        <v>6.0</v>
      </c>
      <c r="K619" s="129">
        <v>1.0</v>
      </c>
      <c r="L619" s="128" t="s">
        <v>1146</v>
      </c>
      <c r="M619" s="128" t="s">
        <v>1152</v>
      </c>
      <c r="N619" s="129">
        <v>28.0</v>
      </c>
      <c r="O619" s="128" t="s">
        <v>1148</v>
      </c>
      <c r="P619" s="129">
        <v>30.0</v>
      </c>
      <c r="Q619" s="128" t="s">
        <v>91</v>
      </c>
    </row>
    <row r="620">
      <c r="A620" s="129">
        <v>888.0</v>
      </c>
      <c r="B620" s="129">
        <v>2012.0</v>
      </c>
      <c r="C620" s="129">
        <v>-36.8</v>
      </c>
      <c r="D620" s="129">
        <v>40.01</v>
      </c>
      <c r="E620" s="129">
        <v>-88.29</v>
      </c>
      <c r="F620" s="128" t="s">
        <v>1682</v>
      </c>
      <c r="G620" s="128" t="s">
        <v>1689</v>
      </c>
      <c r="H620" s="128" t="s">
        <v>328</v>
      </c>
      <c r="I620" s="128" t="s">
        <v>968</v>
      </c>
      <c r="J620" s="128"/>
      <c r="K620" s="129">
        <v>1.0</v>
      </c>
      <c r="L620" s="128" t="s">
        <v>1675</v>
      </c>
      <c r="M620" s="128" t="s">
        <v>1689</v>
      </c>
      <c r="N620" s="129">
        <v>221.0</v>
      </c>
      <c r="O620" s="128"/>
      <c r="P620" s="128" t="s">
        <v>1680</v>
      </c>
      <c r="Q620" s="128" t="s">
        <v>91</v>
      </c>
    </row>
    <row r="621">
      <c r="A621" s="129">
        <v>589.0</v>
      </c>
      <c r="B621" s="129">
        <v>2017.0</v>
      </c>
      <c r="C621" s="129">
        <v>11.99</v>
      </c>
      <c r="D621" s="129">
        <v>40.35</v>
      </c>
      <c r="E621" s="129">
        <v>115.79</v>
      </c>
      <c r="F621" s="128" t="s">
        <v>1160</v>
      </c>
      <c r="G621" s="128" t="s">
        <v>1155</v>
      </c>
      <c r="H621" s="128" t="s">
        <v>167</v>
      </c>
      <c r="I621" s="128" t="s">
        <v>246</v>
      </c>
      <c r="J621" s="129">
        <v>15.0</v>
      </c>
      <c r="K621" s="129">
        <v>1.0</v>
      </c>
      <c r="L621" s="128" t="s">
        <v>1146</v>
      </c>
      <c r="M621" s="128" t="s">
        <v>1155</v>
      </c>
      <c r="N621" s="129">
        <v>480.0</v>
      </c>
      <c r="O621" s="128" t="s">
        <v>1148</v>
      </c>
      <c r="P621" s="129">
        <v>30.0</v>
      </c>
      <c r="Q621" s="128" t="s">
        <v>91</v>
      </c>
    </row>
    <row r="622">
      <c r="A622" s="129">
        <v>595.0</v>
      </c>
      <c r="B622" s="129">
        <v>2017.0</v>
      </c>
      <c r="C622" s="129">
        <v>-1.41</v>
      </c>
      <c r="D622" s="129">
        <v>40.35</v>
      </c>
      <c r="E622" s="129">
        <v>115.79</v>
      </c>
      <c r="F622" s="128" t="s">
        <v>1160</v>
      </c>
      <c r="G622" s="128" t="s">
        <v>1155</v>
      </c>
      <c r="H622" s="128" t="s">
        <v>167</v>
      </c>
      <c r="I622" s="128" t="s">
        <v>246</v>
      </c>
      <c r="J622" s="129">
        <v>15.0</v>
      </c>
      <c r="K622" s="129">
        <v>1.0</v>
      </c>
      <c r="L622" s="128" t="s">
        <v>1146</v>
      </c>
      <c r="M622" s="128" t="s">
        <v>1155</v>
      </c>
      <c r="N622" s="129">
        <v>480.0</v>
      </c>
      <c r="O622" s="128" t="s">
        <v>1148</v>
      </c>
      <c r="P622" s="129">
        <v>30.0</v>
      </c>
      <c r="Q622" s="128" t="s">
        <v>91</v>
      </c>
    </row>
    <row r="623">
      <c r="A623" s="129">
        <v>577.0</v>
      </c>
      <c r="B623" s="129">
        <v>2017.0</v>
      </c>
      <c r="C623" s="129">
        <v>17.96</v>
      </c>
      <c r="D623" s="129">
        <v>40.35</v>
      </c>
      <c r="E623" s="129">
        <v>115.79</v>
      </c>
      <c r="F623" s="128" t="s">
        <v>1150</v>
      </c>
      <c r="G623" s="128" t="s">
        <v>1155</v>
      </c>
      <c r="H623" s="128" t="s">
        <v>167</v>
      </c>
      <c r="I623" s="128" t="s">
        <v>246</v>
      </c>
      <c r="J623" s="129">
        <v>15.0</v>
      </c>
      <c r="K623" s="129">
        <v>1.0</v>
      </c>
      <c r="L623" s="128" t="s">
        <v>1146</v>
      </c>
      <c r="M623" s="128" t="s">
        <v>1155</v>
      </c>
      <c r="N623" s="129">
        <v>480.0</v>
      </c>
      <c r="O623" s="128" t="s">
        <v>1148</v>
      </c>
      <c r="P623" s="129">
        <v>30.0</v>
      </c>
      <c r="Q623" s="128" t="s">
        <v>91</v>
      </c>
    </row>
    <row r="624">
      <c r="A624" s="129">
        <v>583.0</v>
      </c>
      <c r="B624" s="129">
        <v>2017.0</v>
      </c>
      <c r="C624" s="129">
        <v>12.01</v>
      </c>
      <c r="D624" s="129">
        <v>40.35</v>
      </c>
      <c r="E624" s="129">
        <v>115.79</v>
      </c>
      <c r="F624" s="128" t="s">
        <v>1150</v>
      </c>
      <c r="G624" s="128" t="s">
        <v>1155</v>
      </c>
      <c r="H624" s="128" t="s">
        <v>167</v>
      </c>
      <c r="I624" s="128" t="s">
        <v>246</v>
      </c>
      <c r="J624" s="129">
        <v>15.0</v>
      </c>
      <c r="K624" s="129">
        <v>1.0</v>
      </c>
      <c r="L624" s="128" t="s">
        <v>1146</v>
      </c>
      <c r="M624" s="128" t="s">
        <v>1155</v>
      </c>
      <c r="N624" s="129">
        <v>480.0</v>
      </c>
      <c r="O624" s="128" t="s">
        <v>1148</v>
      </c>
      <c r="P624" s="129">
        <v>30.0</v>
      </c>
      <c r="Q624" s="128" t="s">
        <v>91</v>
      </c>
    </row>
    <row r="625">
      <c r="A625" s="129">
        <v>586.0</v>
      </c>
      <c r="B625" s="129">
        <v>2017.0</v>
      </c>
      <c r="C625" s="129">
        <v>11.36</v>
      </c>
      <c r="D625" s="129">
        <v>40.63</v>
      </c>
      <c r="E625" s="129">
        <v>117.32</v>
      </c>
      <c r="F625" s="128" t="s">
        <v>1160</v>
      </c>
      <c r="G625" s="128" t="s">
        <v>827</v>
      </c>
      <c r="H625" s="128" t="s">
        <v>506</v>
      </c>
      <c r="I625" s="128" t="s">
        <v>507</v>
      </c>
      <c r="J625" s="129">
        <v>29.0</v>
      </c>
      <c r="K625" s="129">
        <v>1.0</v>
      </c>
      <c r="L625" s="128" t="s">
        <v>1146</v>
      </c>
      <c r="M625" s="128" t="s">
        <v>828</v>
      </c>
      <c r="N625" s="129">
        <v>364.0</v>
      </c>
      <c r="O625" s="128" t="s">
        <v>1148</v>
      </c>
      <c r="P625" s="129">
        <v>30.0</v>
      </c>
      <c r="Q625" s="128" t="s">
        <v>91</v>
      </c>
    </row>
    <row r="626">
      <c r="A626" s="129">
        <v>592.0</v>
      </c>
      <c r="B626" s="129">
        <v>2017.0</v>
      </c>
      <c r="C626" s="129">
        <v>15.86</v>
      </c>
      <c r="D626" s="129">
        <v>40.63</v>
      </c>
      <c r="E626" s="129">
        <v>117.32</v>
      </c>
      <c r="F626" s="128" t="s">
        <v>1160</v>
      </c>
      <c r="G626" s="128" t="s">
        <v>827</v>
      </c>
      <c r="H626" s="128" t="s">
        <v>506</v>
      </c>
      <c r="I626" s="128" t="s">
        <v>507</v>
      </c>
      <c r="J626" s="129">
        <v>29.0</v>
      </c>
      <c r="K626" s="129">
        <v>1.0</v>
      </c>
      <c r="L626" s="128" t="s">
        <v>1146</v>
      </c>
      <c r="M626" s="128" t="s">
        <v>828</v>
      </c>
      <c r="N626" s="129">
        <v>364.0</v>
      </c>
      <c r="O626" s="128" t="s">
        <v>1148</v>
      </c>
      <c r="P626" s="129">
        <v>30.0</v>
      </c>
      <c r="Q626" s="128" t="s">
        <v>91</v>
      </c>
    </row>
    <row r="627">
      <c r="A627" s="129">
        <v>574.0</v>
      </c>
      <c r="B627" s="129">
        <v>2017.0</v>
      </c>
      <c r="C627" s="129">
        <v>11.75</v>
      </c>
      <c r="D627" s="129">
        <v>40.63</v>
      </c>
      <c r="E627" s="129">
        <v>117.32</v>
      </c>
      <c r="F627" s="128" t="s">
        <v>1150</v>
      </c>
      <c r="G627" s="128" t="s">
        <v>827</v>
      </c>
      <c r="H627" s="128" t="s">
        <v>506</v>
      </c>
      <c r="I627" s="128" t="s">
        <v>507</v>
      </c>
      <c r="J627" s="129">
        <v>29.0</v>
      </c>
      <c r="K627" s="129">
        <v>1.0</v>
      </c>
      <c r="L627" s="128" t="s">
        <v>1146</v>
      </c>
      <c r="M627" s="128" t="s">
        <v>828</v>
      </c>
      <c r="N627" s="129">
        <v>364.0</v>
      </c>
      <c r="O627" s="128" t="s">
        <v>1148</v>
      </c>
      <c r="P627" s="129">
        <v>30.0</v>
      </c>
      <c r="Q627" s="128" t="s">
        <v>91</v>
      </c>
    </row>
    <row r="628">
      <c r="A628" s="129">
        <v>580.0</v>
      </c>
      <c r="B628" s="129">
        <v>2017.0</v>
      </c>
      <c r="C628" s="129">
        <v>12.48</v>
      </c>
      <c r="D628" s="129">
        <v>40.63</v>
      </c>
      <c r="E628" s="129">
        <v>117.32</v>
      </c>
      <c r="F628" s="128" t="s">
        <v>1150</v>
      </c>
      <c r="G628" s="128" t="s">
        <v>827</v>
      </c>
      <c r="H628" s="128" t="s">
        <v>506</v>
      </c>
      <c r="I628" s="128" t="s">
        <v>507</v>
      </c>
      <c r="J628" s="129">
        <v>29.0</v>
      </c>
      <c r="K628" s="129">
        <v>1.0</v>
      </c>
      <c r="L628" s="128" t="s">
        <v>1146</v>
      </c>
      <c r="M628" s="128" t="s">
        <v>828</v>
      </c>
      <c r="N628" s="129">
        <v>364.0</v>
      </c>
      <c r="O628" s="128" t="s">
        <v>1148</v>
      </c>
      <c r="P628" s="129">
        <v>30.0</v>
      </c>
      <c r="Q628" s="128" t="s">
        <v>91</v>
      </c>
    </row>
    <row r="629">
      <c r="A629" s="129">
        <v>1765.0</v>
      </c>
      <c r="B629" s="129">
        <v>2019.0</v>
      </c>
      <c r="C629" s="129">
        <v>5.3</v>
      </c>
      <c r="D629" s="129">
        <v>40.63</v>
      </c>
      <c r="E629" s="129">
        <v>117.32</v>
      </c>
      <c r="F629" s="128" t="s">
        <v>2426</v>
      </c>
      <c r="G629" s="128" t="s">
        <v>791</v>
      </c>
      <c r="H629" s="128" t="s">
        <v>506</v>
      </c>
      <c r="I629" s="128" t="s">
        <v>351</v>
      </c>
      <c r="J629" s="128"/>
      <c r="K629" s="129">
        <v>1.0</v>
      </c>
      <c r="L629" s="129">
        <v>1000.0</v>
      </c>
      <c r="M629" s="128" t="s">
        <v>828</v>
      </c>
      <c r="N629" s="129">
        <v>364.0</v>
      </c>
      <c r="O629" s="128"/>
      <c r="P629" s="129">
        <v>1000.0</v>
      </c>
      <c r="Q629" s="128" t="s">
        <v>91</v>
      </c>
    </row>
    <row r="630">
      <c r="A630" s="129">
        <v>1501.0</v>
      </c>
      <c r="B630" s="129">
        <v>2014.0</v>
      </c>
      <c r="C630" s="129">
        <v>-4.9</v>
      </c>
      <c r="D630" s="129">
        <v>41.11</v>
      </c>
      <c r="E630" s="129">
        <v>-96.27</v>
      </c>
      <c r="F630" s="128" t="s">
        <v>90</v>
      </c>
      <c r="G630" s="128" t="s">
        <v>2544</v>
      </c>
      <c r="H630" s="128" t="s">
        <v>2542</v>
      </c>
      <c r="I630" s="128" t="s">
        <v>2543</v>
      </c>
      <c r="J630" s="129">
        <v>18.0</v>
      </c>
      <c r="K630" s="129">
        <v>3.0</v>
      </c>
      <c r="L630" s="129">
        <v>30.0</v>
      </c>
      <c r="M630" s="128" t="s">
        <v>2545</v>
      </c>
      <c r="N630" s="129">
        <v>376.0</v>
      </c>
      <c r="O630" s="128"/>
      <c r="P630" s="129">
        <v>30.0</v>
      </c>
      <c r="Q630" s="128" t="s">
        <v>91</v>
      </c>
    </row>
    <row r="631">
      <c r="A631" s="129">
        <v>892.0</v>
      </c>
      <c r="B631" s="129">
        <v>2012.0</v>
      </c>
      <c r="C631" s="129">
        <v>-23.1</v>
      </c>
      <c r="D631" s="129">
        <v>41.16</v>
      </c>
      <c r="E631" s="129">
        <v>-96.47</v>
      </c>
      <c r="F631" s="128" t="s">
        <v>1682</v>
      </c>
      <c r="G631" s="128" t="s">
        <v>1699</v>
      </c>
      <c r="H631" s="128" t="s">
        <v>284</v>
      </c>
      <c r="I631" s="128" t="s">
        <v>194</v>
      </c>
      <c r="J631" s="128"/>
      <c r="K631" s="129">
        <v>1.0</v>
      </c>
      <c r="L631" s="128" t="s">
        <v>1675</v>
      </c>
      <c r="M631" s="128" t="s">
        <v>1700</v>
      </c>
      <c r="N631" s="129">
        <v>355.0</v>
      </c>
      <c r="O631" s="128"/>
      <c r="P631" s="128" t="s">
        <v>1680</v>
      </c>
      <c r="Q631" s="128" t="s">
        <v>91</v>
      </c>
    </row>
    <row r="632">
      <c r="A632" s="129">
        <v>893.0</v>
      </c>
      <c r="B632" s="129">
        <v>2012.0</v>
      </c>
      <c r="C632" s="129">
        <v>-18.8</v>
      </c>
      <c r="D632" s="129">
        <v>41.16</v>
      </c>
      <c r="E632" s="129">
        <v>-96.47</v>
      </c>
      <c r="F632" s="128" t="s">
        <v>1682</v>
      </c>
      <c r="G632" s="128" t="s">
        <v>1702</v>
      </c>
      <c r="H632" s="128" t="s">
        <v>284</v>
      </c>
      <c r="I632" s="128" t="s">
        <v>194</v>
      </c>
      <c r="J632" s="128"/>
      <c r="K632" s="129">
        <v>1.0</v>
      </c>
      <c r="L632" s="128" t="s">
        <v>1675</v>
      </c>
      <c r="M632" s="128" t="s">
        <v>1703</v>
      </c>
      <c r="N632" s="129">
        <v>355.0</v>
      </c>
      <c r="O632" s="128"/>
      <c r="P632" s="128" t="s">
        <v>1680</v>
      </c>
      <c r="Q632" s="128" t="s">
        <v>91</v>
      </c>
    </row>
    <row r="633">
      <c r="A633" s="129">
        <v>894.0</v>
      </c>
      <c r="B633" s="129">
        <v>2012.0</v>
      </c>
      <c r="C633" s="129">
        <v>-23.9</v>
      </c>
      <c r="D633" s="129">
        <v>41.17</v>
      </c>
      <c r="E633" s="129">
        <v>-96.43</v>
      </c>
      <c r="F633" s="128" t="s">
        <v>1682</v>
      </c>
      <c r="G633" s="128" t="s">
        <v>1704</v>
      </c>
      <c r="H633" s="128" t="s">
        <v>284</v>
      </c>
      <c r="I633" s="128" t="s">
        <v>194</v>
      </c>
      <c r="J633" s="128"/>
      <c r="K633" s="129">
        <v>1.0</v>
      </c>
      <c r="L633" s="128" t="s">
        <v>1675</v>
      </c>
      <c r="M633" s="128" t="s">
        <v>1705</v>
      </c>
      <c r="N633" s="129">
        <v>356.0</v>
      </c>
      <c r="O633" s="128"/>
      <c r="P633" s="128" t="s">
        <v>1680</v>
      </c>
      <c r="Q633" s="128" t="s">
        <v>91</v>
      </c>
    </row>
    <row r="634">
      <c r="A634" s="129">
        <v>891.0</v>
      </c>
      <c r="B634" s="129">
        <v>2012.0</v>
      </c>
      <c r="C634" s="129">
        <v>-16.2</v>
      </c>
      <c r="D634" s="129">
        <v>41.84</v>
      </c>
      <c r="E634" s="129">
        <v>-88.24</v>
      </c>
      <c r="F634" s="128" t="s">
        <v>1682</v>
      </c>
      <c r="G634" s="128" t="s">
        <v>1696</v>
      </c>
      <c r="H634" s="128" t="s">
        <v>317</v>
      </c>
      <c r="I634" s="128" t="s">
        <v>285</v>
      </c>
      <c r="J634" s="128"/>
      <c r="K634" s="129">
        <v>1.0</v>
      </c>
      <c r="L634" s="128" t="s">
        <v>1675</v>
      </c>
      <c r="M634" s="128" t="s">
        <v>1697</v>
      </c>
      <c r="N634" s="129">
        <v>227.0</v>
      </c>
      <c r="O634" s="128"/>
      <c r="P634" s="128" t="s">
        <v>1680</v>
      </c>
      <c r="Q634" s="128" t="s">
        <v>91</v>
      </c>
    </row>
    <row r="635">
      <c r="A635" s="129">
        <v>890.0</v>
      </c>
      <c r="B635" s="129">
        <v>2012.0</v>
      </c>
      <c r="C635" s="129">
        <v>-37.4</v>
      </c>
      <c r="D635" s="129">
        <v>41.86</v>
      </c>
      <c r="E635" s="129">
        <v>-88.22</v>
      </c>
      <c r="F635" s="128" t="s">
        <v>1682</v>
      </c>
      <c r="G635" s="128" t="s">
        <v>1693</v>
      </c>
      <c r="H635" s="128" t="s">
        <v>317</v>
      </c>
      <c r="I635" s="128" t="s">
        <v>342</v>
      </c>
      <c r="J635" s="128"/>
      <c r="K635" s="129">
        <v>1.0</v>
      </c>
      <c r="L635" s="128" t="s">
        <v>1675</v>
      </c>
      <c r="M635" s="128" t="s">
        <v>1694</v>
      </c>
      <c r="N635" s="129">
        <v>229.0</v>
      </c>
      <c r="O635" s="128"/>
      <c r="P635" s="128" t="s">
        <v>1680</v>
      </c>
      <c r="Q635" s="128" t="s">
        <v>91</v>
      </c>
    </row>
    <row r="636">
      <c r="A636" s="129">
        <v>4.0</v>
      </c>
      <c r="B636" s="129">
        <v>2013.0</v>
      </c>
      <c r="C636" s="129">
        <v>14.6</v>
      </c>
      <c r="D636" s="129">
        <v>41.9329</v>
      </c>
      <c r="E636" s="129">
        <v>-93.7533</v>
      </c>
      <c r="F636" s="128" t="s">
        <v>90</v>
      </c>
      <c r="G636" s="128" t="s">
        <v>112</v>
      </c>
      <c r="H636" s="128" t="s">
        <v>110</v>
      </c>
      <c r="I636" s="128" t="s">
        <v>111</v>
      </c>
      <c r="J636" s="128"/>
      <c r="K636" s="129">
        <v>1.0</v>
      </c>
      <c r="L636" s="129">
        <v>30.0</v>
      </c>
      <c r="M636" s="128" t="s">
        <v>112</v>
      </c>
      <c r="N636" s="129">
        <v>323.0</v>
      </c>
      <c r="O636" s="129">
        <v>100.0</v>
      </c>
      <c r="P636" s="129">
        <v>30.0</v>
      </c>
      <c r="Q636" s="128" t="s">
        <v>91</v>
      </c>
    </row>
    <row r="637">
      <c r="A637" s="129">
        <v>12.0</v>
      </c>
      <c r="B637" s="129">
        <v>2013.0</v>
      </c>
      <c r="C637" s="129">
        <v>13.9</v>
      </c>
      <c r="D637" s="129">
        <v>41.9329</v>
      </c>
      <c r="E637" s="129">
        <v>-93.7533</v>
      </c>
      <c r="F637" s="128" t="s">
        <v>90</v>
      </c>
      <c r="G637" s="128" t="s">
        <v>112</v>
      </c>
      <c r="H637" s="128" t="s">
        <v>97</v>
      </c>
      <c r="I637" s="128" t="s">
        <v>149</v>
      </c>
      <c r="J637" s="128"/>
      <c r="K637" s="129">
        <v>1.0</v>
      </c>
      <c r="L637" s="129">
        <v>30.0</v>
      </c>
      <c r="M637" s="128" t="s">
        <v>112</v>
      </c>
      <c r="N637" s="129">
        <v>323.0</v>
      </c>
      <c r="O637" s="129">
        <v>100.0</v>
      </c>
      <c r="P637" s="129">
        <v>30.0</v>
      </c>
      <c r="Q637" s="128" t="s">
        <v>91</v>
      </c>
    </row>
    <row r="638">
      <c r="A638" s="129">
        <v>9.0</v>
      </c>
      <c r="B638" s="129">
        <v>2013.0</v>
      </c>
      <c r="C638" s="129">
        <v>17.8</v>
      </c>
      <c r="D638" s="129">
        <v>41.93414</v>
      </c>
      <c r="E638" s="129">
        <v>-93.6627</v>
      </c>
      <c r="F638" s="128" t="s">
        <v>90</v>
      </c>
      <c r="G638" s="128" t="s">
        <v>139</v>
      </c>
      <c r="H638" s="128" t="s">
        <v>137</v>
      </c>
      <c r="I638" s="128" t="s">
        <v>138</v>
      </c>
      <c r="J638" s="128"/>
      <c r="K638" s="129">
        <v>1.0</v>
      </c>
      <c r="L638" s="129">
        <v>30.0</v>
      </c>
      <c r="M638" s="128" t="s">
        <v>139</v>
      </c>
      <c r="N638" s="129">
        <v>316.0</v>
      </c>
      <c r="O638" s="129">
        <v>100.0</v>
      </c>
      <c r="P638" s="129">
        <v>30.0</v>
      </c>
      <c r="Q638" s="128" t="s">
        <v>91</v>
      </c>
    </row>
    <row r="639">
      <c r="A639" s="129">
        <v>17.0</v>
      </c>
      <c r="B639" s="129">
        <v>2013.0</v>
      </c>
      <c r="C639" s="129">
        <v>9.7</v>
      </c>
      <c r="D639" s="129">
        <v>41.93414</v>
      </c>
      <c r="E639" s="129">
        <v>-93.6627</v>
      </c>
      <c r="F639" s="128" t="s">
        <v>90</v>
      </c>
      <c r="G639" s="128" t="s">
        <v>139</v>
      </c>
      <c r="H639" s="128" t="s">
        <v>158</v>
      </c>
      <c r="I639" s="128" t="s">
        <v>159</v>
      </c>
      <c r="J639" s="128"/>
      <c r="K639" s="129">
        <v>1.0</v>
      </c>
      <c r="L639" s="129">
        <v>30.0</v>
      </c>
      <c r="M639" s="128" t="s">
        <v>139</v>
      </c>
      <c r="N639" s="129">
        <v>316.0</v>
      </c>
      <c r="O639" s="129">
        <v>100.0</v>
      </c>
      <c r="P639" s="129">
        <v>30.0</v>
      </c>
      <c r="Q639" s="128" t="s">
        <v>91</v>
      </c>
    </row>
    <row r="640">
      <c r="A640" s="129">
        <v>10.0</v>
      </c>
      <c r="B640" s="129">
        <v>2013.0</v>
      </c>
      <c r="C640" s="129">
        <v>12.3</v>
      </c>
      <c r="D640" s="129">
        <v>41.93548</v>
      </c>
      <c r="E640" s="129">
        <v>-93.6641</v>
      </c>
      <c r="F640" s="128" t="s">
        <v>90</v>
      </c>
      <c r="G640" s="128" t="s">
        <v>144</v>
      </c>
      <c r="H640" s="128" t="s">
        <v>142</v>
      </c>
      <c r="I640" s="128" t="s">
        <v>143</v>
      </c>
      <c r="J640" s="128"/>
      <c r="K640" s="129">
        <v>1.0</v>
      </c>
      <c r="L640" s="129">
        <v>30.0</v>
      </c>
      <c r="M640" s="128" t="s">
        <v>144</v>
      </c>
      <c r="N640" s="129">
        <v>318.0</v>
      </c>
      <c r="O640" s="129">
        <v>100.0</v>
      </c>
      <c r="P640" s="129">
        <v>30.0</v>
      </c>
      <c r="Q640" s="128" t="s">
        <v>91</v>
      </c>
    </row>
    <row r="641">
      <c r="A641" s="129">
        <v>18.0</v>
      </c>
      <c r="B641" s="129">
        <v>2013.0</v>
      </c>
      <c r="C641" s="129">
        <v>10.1</v>
      </c>
      <c r="D641" s="129">
        <v>41.93548</v>
      </c>
      <c r="E641" s="129">
        <v>-93.6641</v>
      </c>
      <c r="F641" s="128" t="s">
        <v>90</v>
      </c>
      <c r="G641" s="128" t="s">
        <v>144</v>
      </c>
      <c r="H641" s="128" t="s">
        <v>160</v>
      </c>
      <c r="I641" s="128" t="s">
        <v>161</v>
      </c>
      <c r="J641" s="128"/>
      <c r="K641" s="129">
        <v>1.0</v>
      </c>
      <c r="L641" s="129">
        <v>30.0</v>
      </c>
      <c r="M641" s="128" t="s">
        <v>144</v>
      </c>
      <c r="N641" s="129">
        <v>318.0</v>
      </c>
      <c r="O641" s="129">
        <v>100.0</v>
      </c>
      <c r="P641" s="129">
        <v>30.0</v>
      </c>
      <c r="Q641" s="128" t="s">
        <v>91</v>
      </c>
    </row>
    <row r="642">
      <c r="A642" s="129">
        <v>8.0</v>
      </c>
      <c r="B642" s="129">
        <v>2013.0</v>
      </c>
      <c r="C642" s="129">
        <v>15.0</v>
      </c>
      <c r="D642" s="129">
        <v>41.93782</v>
      </c>
      <c r="E642" s="129">
        <v>-93.6631</v>
      </c>
      <c r="F642" s="128" t="s">
        <v>90</v>
      </c>
      <c r="G642" s="128" t="s">
        <v>134</v>
      </c>
      <c r="H642" s="128" t="s">
        <v>132</v>
      </c>
      <c r="I642" s="128" t="s">
        <v>133</v>
      </c>
      <c r="J642" s="128"/>
      <c r="K642" s="129">
        <v>1.0</v>
      </c>
      <c r="L642" s="129">
        <v>30.0</v>
      </c>
      <c r="M642" s="128" t="s">
        <v>134</v>
      </c>
      <c r="N642" s="129">
        <v>320.0</v>
      </c>
      <c r="O642" s="129">
        <v>100.0</v>
      </c>
      <c r="P642" s="129">
        <v>30.0</v>
      </c>
      <c r="Q642" s="128" t="s">
        <v>91</v>
      </c>
    </row>
    <row r="643">
      <c r="A643" s="129">
        <v>16.0</v>
      </c>
      <c r="B643" s="129">
        <v>2013.0</v>
      </c>
      <c r="C643" s="129">
        <v>12.0</v>
      </c>
      <c r="D643" s="129">
        <v>41.93782</v>
      </c>
      <c r="E643" s="129">
        <v>-93.6631</v>
      </c>
      <c r="F643" s="128" t="s">
        <v>90</v>
      </c>
      <c r="G643" s="128" t="s">
        <v>134</v>
      </c>
      <c r="H643" s="128" t="s">
        <v>156</v>
      </c>
      <c r="I643" s="128" t="s">
        <v>157</v>
      </c>
      <c r="J643" s="128"/>
      <c r="K643" s="129">
        <v>1.0</v>
      </c>
      <c r="L643" s="129">
        <v>30.0</v>
      </c>
      <c r="M643" s="128" t="s">
        <v>134</v>
      </c>
      <c r="N643" s="129">
        <v>320.0</v>
      </c>
      <c r="O643" s="129">
        <v>100.0</v>
      </c>
      <c r="P643" s="129">
        <v>30.0</v>
      </c>
      <c r="Q643" s="128" t="s">
        <v>91</v>
      </c>
    </row>
    <row r="644">
      <c r="A644" s="129">
        <v>6.0</v>
      </c>
      <c r="B644" s="129">
        <v>2013.0</v>
      </c>
      <c r="C644" s="129">
        <v>14.4</v>
      </c>
      <c r="D644" s="129">
        <v>41.94227</v>
      </c>
      <c r="E644" s="129">
        <v>-93.5394</v>
      </c>
      <c r="F644" s="128" t="s">
        <v>90</v>
      </c>
      <c r="G644" s="128" t="s">
        <v>124</v>
      </c>
      <c r="H644" s="128" t="s">
        <v>122</v>
      </c>
      <c r="I644" s="128" t="s">
        <v>123</v>
      </c>
      <c r="J644" s="128"/>
      <c r="K644" s="129">
        <v>1.0</v>
      </c>
      <c r="L644" s="129">
        <v>30.0</v>
      </c>
      <c r="M644" s="128" t="s">
        <v>124</v>
      </c>
      <c r="N644" s="129">
        <v>263.0</v>
      </c>
      <c r="O644" s="129">
        <v>100.0</v>
      </c>
      <c r="P644" s="129">
        <v>30.0</v>
      </c>
      <c r="Q644" s="128" t="s">
        <v>91</v>
      </c>
    </row>
    <row r="645">
      <c r="A645" s="129">
        <v>14.0</v>
      </c>
      <c r="B645" s="129">
        <v>2013.0</v>
      </c>
      <c r="C645" s="129">
        <v>11.5</v>
      </c>
      <c r="D645" s="129">
        <v>41.94227</v>
      </c>
      <c r="E645" s="129">
        <v>-93.5394</v>
      </c>
      <c r="F645" s="128" t="s">
        <v>90</v>
      </c>
      <c r="G645" s="128" t="s">
        <v>124</v>
      </c>
      <c r="H645" s="128" t="s">
        <v>152</v>
      </c>
      <c r="I645" s="128" t="s">
        <v>153</v>
      </c>
      <c r="J645" s="128"/>
      <c r="K645" s="129">
        <v>1.0</v>
      </c>
      <c r="L645" s="129">
        <v>30.0</v>
      </c>
      <c r="M645" s="128" t="s">
        <v>124</v>
      </c>
      <c r="N645" s="129">
        <v>263.0</v>
      </c>
      <c r="O645" s="129">
        <v>100.0</v>
      </c>
      <c r="P645" s="129">
        <v>30.0</v>
      </c>
      <c r="Q645" s="128" t="s">
        <v>91</v>
      </c>
    </row>
    <row r="646">
      <c r="A646" s="129">
        <v>1663.0</v>
      </c>
      <c r="B646" s="129">
        <v>2012.0</v>
      </c>
      <c r="C646" s="129">
        <v>1.7</v>
      </c>
      <c r="D646" s="129">
        <v>41.96</v>
      </c>
      <c r="E646" s="129">
        <v>-93.61</v>
      </c>
      <c r="F646" s="128" t="s">
        <v>2718</v>
      </c>
      <c r="G646" s="128" t="s">
        <v>2714</v>
      </c>
      <c r="H646" s="128" t="s">
        <v>1836</v>
      </c>
      <c r="I646" s="128" t="s">
        <v>1836</v>
      </c>
      <c r="J646" s="129">
        <v>9.0</v>
      </c>
      <c r="K646" s="129">
        <v>9.0</v>
      </c>
      <c r="L646" s="129">
        <v>120.0</v>
      </c>
      <c r="M646" s="128"/>
      <c r="N646" s="129">
        <v>293.0</v>
      </c>
      <c r="O646" s="128"/>
      <c r="P646" s="129">
        <v>60.0</v>
      </c>
      <c r="Q646" s="128" t="s">
        <v>91</v>
      </c>
    </row>
    <row r="647">
      <c r="A647" s="129">
        <v>1664.0</v>
      </c>
      <c r="B647" s="129">
        <v>2012.0</v>
      </c>
      <c r="C647" s="129">
        <v>-5.8</v>
      </c>
      <c r="D647" s="129">
        <v>41.96</v>
      </c>
      <c r="E647" s="129">
        <v>-93.61</v>
      </c>
      <c r="F647" s="128" t="s">
        <v>2718</v>
      </c>
      <c r="G647" s="128" t="s">
        <v>2714</v>
      </c>
      <c r="H647" s="128" t="s">
        <v>1836</v>
      </c>
      <c r="I647" s="128" t="s">
        <v>1836</v>
      </c>
      <c r="J647" s="129">
        <v>9.0</v>
      </c>
      <c r="K647" s="129">
        <v>9.0</v>
      </c>
      <c r="L647" s="129">
        <v>120.0</v>
      </c>
      <c r="M647" s="128"/>
      <c r="N647" s="129">
        <v>293.0</v>
      </c>
      <c r="O647" s="128"/>
      <c r="P647" s="129">
        <v>60.0</v>
      </c>
      <c r="Q647" s="128" t="s">
        <v>91</v>
      </c>
    </row>
    <row r="648">
      <c r="A648" s="129">
        <v>1665.0</v>
      </c>
      <c r="B648" s="129">
        <v>2012.0</v>
      </c>
      <c r="C648" s="129">
        <v>8.0</v>
      </c>
      <c r="D648" s="129">
        <v>41.96</v>
      </c>
      <c r="E648" s="129">
        <v>-93.61</v>
      </c>
      <c r="F648" s="128" t="s">
        <v>2718</v>
      </c>
      <c r="G648" s="128" t="s">
        <v>2714</v>
      </c>
      <c r="H648" s="128" t="s">
        <v>1836</v>
      </c>
      <c r="I648" s="128" t="s">
        <v>1836</v>
      </c>
      <c r="J648" s="129">
        <v>9.0</v>
      </c>
      <c r="K648" s="129">
        <v>9.0</v>
      </c>
      <c r="L648" s="129">
        <v>120.0</v>
      </c>
      <c r="M648" s="128"/>
      <c r="N648" s="129">
        <v>293.0</v>
      </c>
      <c r="O648" s="128"/>
      <c r="P648" s="129">
        <v>60.0</v>
      </c>
      <c r="Q648" s="128" t="s">
        <v>91</v>
      </c>
    </row>
    <row r="649">
      <c r="A649" s="129">
        <v>1666.0</v>
      </c>
      <c r="B649" s="129">
        <v>2012.0</v>
      </c>
      <c r="C649" s="129">
        <v>-1.0</v>
      </c>
      <c r="D649" s="129">
        <v>41.96</v>
      </c>
      <c r="E649" s="129">
        <v>-93.61</v>
      </c>
      <c r="F649" s="128" t="s">
        <v>2718</v>
      </c>
      <c r="G649" s="128" t="s">
        <v>2714</v>
      </c>
      <c r="H649" s="128" t="s">
        <v>1837</v>
      </c>
      <c r="I649" s="128" t="s">
        <v>1837</v>
      </c>
      <c r="J649" s="129">
        <v>10.0</v>
      </c>
      <c r="K649" s="129">
        <v>10.0</v>
      </c>
      <c r="L649" s="129">
        <v>120.0</v>
      </c>
      <c r="M649" s="128"/>
      <c r="N649" s="129">
        <v>293.0</v>
      </c>
      <c r="O649" s="128"/>
      <c r="P649" s="129">
        <v>60.0</v>
      </c>
      <c r="Q649" s="128" t="s">
        <v>91</v>
      </c>
    </row>
    <row r="650">
      <c r="A650" s="129">
        <v>1667.0</v>
      </c>
      <c r="B650" s="129">
        <v>2012.0</v>
      </c>
      <c r="C650" s="129">
        <v>-6.5</v>
      </c>
      <c r="D650" s="129">
        <v>41.96</v>
      </c>
      <c r="E650" s="129">
        <v>-93.61</v>
      </c>
      <c r="F650" s="128" t="s">
        <v>2718</v>
      </c>
      <c r="G650" s="128" t="s">
        <v>2714</v>
      </c>
      <c r="H650" s="128" t="s">
        <v>1837</v>
      </c>
      <c r="I650" s="128" t="s">
        <v>1837</v>
      </c>
      <c r="J650" s="129">
        <v>10.0</v>
      </c>
      <c r="K650" s="129">
        <v>10.0</v>
      </c>
      <c r="L650" s="129">
        <v>120.0</v>
      </c>
      <c r="M650" s="128"/>
      <c r="N650" s="129">
        <v>293.0</v>
      </c>
      <c r="O650" s="128"/>
      <c r="P650" s="129">
        <v>60.0</v>
      </c>
      <c r="Q650" s="128" t="s">
        <v>91</v>
      </c>
    </row>
    <row r="651">
      <c r="A651" s="129">
        <v>1668.0</v>
      </c>
      <c r="B651" s="129">
        <v>2012.0</v>
      </c>
      <c r="C651" s="129">
        <v>3.3</v>
      </c>
      <c r="D651" s="129">
        <v>41.96</v>
      </c>
      <c r="E651" s="129">
        <v>-93.61</v>
      </c>
      <c r="F651" s="128" t="s">
        <v>2718</v>
      </c>
      <c r="G651" s="128" t="s">
        <v>2714</v>
      </c>
      <c r="H651" s="128" t="s">
        <v>1837</v>
      </c>
      <c r="I651" s="128" t="s">
        <v>1837</v>
      </c>
      <c r="J651" s="129">
        <v>10.0</v>
      </c>
      <c r="K651" s="129">
        <v>10.0</v>
      </c>
      <c r="L651" s="129">
        <v>120.0</v>
      </c>
      <c r="M651" s="128"/>
      <c r="N651" s="129">
        <v>293.0</v>
      </c>
      <c r="O651" s="128"/>
      <c r="P651" s="129">
        <v>60.0</v>
      </c>
      <c r="Q651" s="128" t="s">
        <v>91</v>
      </c>
    </row>
    <row r="652">
      <c r="A652" s="129">
        <v>1669.0</v>
      </c>
      <c r="B652" s="129">
        <v>2012.0</v>
      </c>
      <c r="C652" s="129">
        <v>5.2</v>
      </c>
      <c r="D652" s="129">
        <v>41.96</v>
      </c>
      <c r="E652" s="129">
        <v>-93.61</v>
      </c>
      <c r="F652" s="128" t="s">
        <v>2718</v>
      </c>
      <c r="G652" s="128" t="s">
        <v>2714</v>
      </c>
      <c r="H652" s="128" t="s">
        <v>1828</v>
      </c>
      <c r="I652" s="128" t="s">
        <v>1828</v>
      </c>
      <c r="J652" s="129">
        <v>11.0</v>
      </c>
      <c r="K652" s="129">
        <v>11.0</v>
      </c>
      <c r="L652" s="129">
        <v>120.0</v>
      </c>
      <c r="M652" s="128"/>
      <c r="N652" s="129">
        <v>293.0</v>
      </c>
      <c r="O652" s="128"/>
      <c r="P652" s="129">
        <v>60.0</v>
      </c>
      <c r="Q652" s="128" t="s">
        <v>91</v>
      </c>
    </row>
    <row r="653">
      <c r="A653" s="129">
        <v>1670.0</v>
      </c>
      <c r="B653" s="129">
        <v>2012.0</v>
      </c>
      <c r="C653" s="129">
        <v>2.3</v>
      </c>
      <c r="D653" s="129">
        <v>41.96</v>
      </c>
      <c r="E653" s="129">
        <v>-93.61</v>
      </c>
      <c r="F653" s="128" t="s">
        <v>2718</v>
      </c>
      <c r="G653" s="128" t="s">
        <v>2714</v>
      </c>
      <c r="H653" s="128" t="s">
        <v>1828</v>
      </c>
      <c r="I653" s="128" t="s">
        <v>1828</v>
      </c>
      <c r="J653" s="129">
        <v>11.0</v>
      </c>
      <c r="K653" s="129">
        <v>11.0</v>
      </c>
      <c r="L653" s="129">
        <v>120.0</v>
      </c>
      <c r="M653" s="128"/>
      <c r="N653" s="129">
        <v>293.0</v>
      </c>
      <c r="O653" s="128"/>
      <c r="P653" s="129">
        <v>60.0</v>
      </c>
      <c r="Q653" s="128" t="s">
        <v>91</v>
      </c>
    </row>
    <row r="654">
      <c r="A654" s="129">
        <v>1671.0</v>
      </c>
      <c r="B654" s="129">
        <v>2012.0</v>
      </c>
      <c r="C654" s="129">
        <v>8.5</v>
      </c>
      <c r="D654" s="129">
        <v>41.96</v>
      </c>
      <c r="E654" s="129">
        <v>-93.61</v>
      </c>
      <c r="F654" s="128" t="s">
        <v>2718</v>
      </c>
      <c r="G654" s="128" t="s">
        <v>2714</v>
      </c>
      <c r="H654" s="128" t="s">
        <v>1828</v>
      </c>
      <c r="I654" s="128" t="s">
        <v>1828</v>
      </c>
      <c r="J654" s="129">
        <v>11.0</v>
      </c>
      <c r="K654" s="129">
        <v>11.0</v>
      </c>
      <c r="L654" s="129">
        <v>120.0</v>
      </c>
      <c r="M654" s="128"/>
      <c r="N654" s="129">
        <v>293.0</v>
      </c>
      <c r="O654" s="128"/>
      <c r="P654" s="129">
        <v>60.0</v>
      </c>
      <c r="Q654" s="128" t="s">
        <v>91</v>
      </c>
    </row>
    <row r="655">
      <c r="A655" s="129">
        <v>1672.0</v>
      </c>
      <c r="B655" s="129">
        <v>2012.0</v>
      </c>
      <c r="C655" s="129">
        <v>2.4</v>
      </c>
      <c r="D655" s="129">
        <v>41.96</v>
      </c>
      <c r="E655" s="129">
        <v>-93.61</v>
      </c>
      <c r="F655" s="128" t="s">
        <v>2718</v>
      </c>
      <c r="G655" s="128" t="s">
        <v>2714</v>
      </c>
      <c r="H655" s="128" t="s">
        <v>1836</v>
      </c>
      <c r="I655" s="128" t="s">
        <v>1828</v>
      </c>
      <c r="J655" s="129">
        <v>30.0</v>
      </c>
      <c r="K655" s="129">
        <v>11.0</v>
      </c>
      <c r="L655" s="129">
        <v>120.0</v>
      </c>
      <c r="M655" s="128"/>
      <c r="N655" s="129">
        <v>293.0</v>
      </c>
      <c r="O655" s="128"/>
      <c r="P655" s="129">
        <v>60.0</v>
      </c>
      <c r="Q655" s="128" t="s">
        <v>91</v>
      </c>
    </row>
    <row r="656">
      <c r="A656" s="129">
        <v>1673.0</v>
      </c>
      <c r="B656" s="129">
        <v>2012.0</v>
      </c>
      <c r="C656" s="129">
        <v>-1.1</v>
      </c>
      <c r="D656" s="129">
        <v>41.96</v>
      </c>
      <c r="E656" s="129">
        <v>-93.61</v>
      </c>
      <c r="F656" s="128" t="s">
        <v>2718</v>
      </c>
      <c r="G656" s="128" t="s">
        <v>2714</v>
      </c>
      <c r="H656" s="128" t="s">
        <v>1837</v>
      </c>
      <c r="I656" s="128" t="s">
        <v>1837</v>
      </c>
      <c r="J656" s="129">
        <v>10.0</v>
      </c>
      <c r="K656" s="129">
        <v>10.0</v>
      </c>
      <c r="L656" s="129">
        <v>120.0</v>
      </c>
      <c r="M656" s="128"/>
      <c r="N656" s="129">
        <v>293.0</v>
      </c>
      <c r="O656" s="128"/>
      <c r="P656" s="129">
        <v>60.0</v>
      </c>
      <c r="Q656" s="128" t="s">
        <v>91</v>
      </c>
    </row>
    <row r="657">
      <c r="A657" s="129">
        <v>1674.0</v>
      </c>
      <c r="B657" s="129">
        <v>2012.0</v>
      </c>
      <c r="C657" s="129">
        <v>-1.1</v>
      </c>
      <c r="D657" s="129">
        <v>41.96</v>
      </c>
      <c r="E657" s="129">
        <v>-93.61</v>
      </c>
      <c r="F657" s="128" t="s">
        <v>2718</v>
      </c>
      <c r="G657" s="128" t="s">
        <v>2714</v>
      </c>
      <c r="H657" s="128" t="s">
        <v>1837</v>
      </c>
      <c r="I657" s="128" t="s">
        <v>1837</v>
      </c>
      <c r="J657" s="129">
        <v>10.0</v>
      </c>
      <c r="K657" s="129">
        <v>10.0</v>
      </c>
      <c r="L657" s="129">
        <v>120.0</v>
      </c>
      <c r="M657" s="128"/>
      <c r="N657" s="129">
        <v>293.0</v>
      </c>
      <c r="O657" s="128"/>
      <c r="P657" s="129">
        <v>60.0</v>
      </c>
      <c r="Q657" s="128" t="s">
        <v>91</v>
      </c>
    </row>
    <row r="658">
      <c r="A658" s="129">
        <v>1675.0</v>
      </c>
      <c r="B658" s="129">
        <v>2012.0</v>
      </c>
      <c r="C658" s="129">
        <v>-1.1</v>
      </c>
      <c r="D658" s="129">
        <v>41.96</v>
      </c>
      <c r="E658" s="129">
        <v>-93.61</v>
      </c>
      <c r="F658" s="128" t="s">
        <v>2718</v>
      </c>
      <c r="G658" s="128" t="s">
        <v>2714</v>
      </c>
      <c r="H658" s="128" t="s">
        <v>1837</v>
      </c>
      <c r="I658" s="128" t="s">
        <v>1837</v>
      </c>
      <c r="J658" s="129">
        <v>10.0</v>
      </c>
      <c r="K658" s="129">
        <v>10.0</v>
      </c>
      <c r="L658" s="129">
        <v>120.0</v>
      </c>
      <c r="M658" s="128"/>
      <c r="N658" s="129">
        <v>293.0</v>
      </c>
      <c r="O658" s="128"/>
      <c r="P658" s="129">
        <v>60.0</v>
      </c>
      <c r="Q658" s="128" t="s">
        <v>91</v>
      </c>
    </row>
    <row r="659">
      <c r="A659" s="129">
        <v>7.0</v>
      </c>
      <c r="B659" s="129">
        <v>2013.0</v>
      </c>
      <c r="C659" s="129">
        <v>12.1</v>
      </c>
      <c r="D659" s="129">
        <v>41.97534</v>
      </c>
      <c r="E659" s="129">
        <v>-93.6443</v>
      </c>
      <c r="F659" s="128" t="s">
        <v>90</v>
      </c>
      <c r="G659" s="128" t="s">
        <v>129</v>
      </c>
      <c r="H659" s="128" t="s">
        <v>127</v>
      </c>
      <c r="I659" s="128" t="s">
        <v>128</v>
      </c>
      <c r="J659" s="128"/>
      <c r="K659" s="129">
        <v>1.0</v>
      </c>
      <c r="L659" s="129">
        <v>30.0</v>
      </c>
      <c r="M659" s="128" t="s">
        <v>129</v>
      </c>
      <c r="N659" s="129">
        <v>309.0</v>
      </c>
      <c r="O659" s="129">
        <v>100.0</v>
      </c>
      <c r="P659" s="129">
        <v>30.0</v>
      </c>
      <c r="Q659" s="128" t="s">
        <v>91</v>
      </c>
    </row>
    <row r="660">
      <c r="A660" s="129">
        <v>15.0</v>
      </c>
      <c r="B660" s="129">
        <v>2013.0</v>
      </c>
      <c r="C660" s="129">
        <v>9.6</v>
      </c>
      <c r="D660" s="129">
        <v>41.97534</v>
      </c>
      <c r="E660" s="129">
        <v>-93.6443</v>
      </c>
      <c r="F660" s="128" t="s">
        <v>90</v>
      </c>
      <c r="G660" s="128" t="s">
        <v>129</v>
      </c>
      <c r="H660" s="128" t="s">
        <v>154</v>
      </c>
      <c r="I660" s="128" t="s">
        <v>155</v>
      </c>
      <c r="J660" s="128"/>
      <c r="K660" s="129">
        <v>1.0</v>
      </c>
      <c r="L660" s="129">
        <v>30.0</v>
      </c>
      <c r="M660" s="128" t="s">
        <v>129</v>
      </c>
      <c r="N660" s="129">
        <v>309.0</v>
      </c>
      <c r="O660" s="129">
        <v>100.0</v>
      </c>
      <c r="P660" s="129">
        <v>30.0</v>
      </c>
      <c r="Q660" s="128" t="s">
        <v>91</v>
      </c>
    </row>
    <row r="661">
      <c r="A661" s="129">
        <v>3.0</v>
      </c>
      <c r="B661" s="129">
        <v>2013.0</v>
      </c>
      <c r="C661" s="129">
        <v>19.4</v>
      </c>
      <c r="D661" s="129">
        <v>41.98381</v>
      </c>
      <c r="E661" s="129">
        <v>-93.755</v>
      </c>
      <c r="F661" s="128" t="s">
        <v>90</v>
      </c>
      <c r="G661" s="128" t="s">
        <v>103</v>
      </c>
      <c r="H661" s="128" t="s">
        <v>101</v>
      </c>
      <c r="I661" s="128" t="s">
        <v>102</v>
      </c>
      <c r="J661" s="128"/>
      <c r="K661" s="129">
        <v>1.0</v>
      </c>
      <c r="L661" s="129">
        <v>30.0</v>
      </c>
      <c r="M661" s="128" t="s">
        <v>103</v>
      </c>
      <c r="N661" s="129">
        <v>323.0</v>
      </c>
      <c r="O661" s="129">
        <v>100.0</v>
      </c>
      <c r="P661" s="129">
        <v>30.0</v>
      </c>
      <c r="Q661" s="128" t="s">
        <v>91</v>
      </c>
    </row>
    <row r="662">
      <c r="A662" s="129">
        <v>11.0</v>
      </c>
      <c r="B662" s="129">
        <v>2013.0</v>
      </c>
      <c r="C662" s="129">
        <v>12.3</v>
      </c>
      <c r="D662" s="129">
        <v>41.98381</v>
      </c>
      <c r="E662" s="129">
        <v>-93.755</v>
      </c>
      <c r="F662" s="128" t="s">
        <v>90</v>
      </c>
      <c r="G662" s="128" t="s">
        <v>103</v>
      </c>
      <c r="H662" s="128" t="s">
        <v>83</v>
      </c>
      <c r="I662" s="128" t="s">
        <v>147</v>
      </c>
      <c r="J662" s="128"/>
      <c r="K662" s="129">
        <v>1.0</v>
      </c>
      <c r="L662" s="129">
        <v>30.0</v>
      </c>
      <c r="M662" s="128" t="s">
        <v>103</v>
      </c>
      <c r="N662" s="129">
        <v>323.0</v>
      </c>
      <c r="O662" s="129">
        <v>100.0</v>
      </c>
      <c r="P662" s="129">
        <v>30.0</v>
      </c>
      <c r="Q662" s="128" t="s">
        <v>91</v>
      </c>
    </row>
    <row r="663">
      <c r="A663" s="129">
        <v>5.0</v>
      </c>
      <c r="B663" s="129">
        <v>2013.0</v>
      </c>
      <c r="C663" s="129">
        <v>8.2</v>
      </c>
      <c r="D663" s="129">
        <v>41.99291</v>
      </c>
      <c r="E663" s="129">
        <v>-93.5286</v>
      </c>
      <c r="F663" s="128" t="s">
        <v>90</v>
      </c>
      <c r="G663" s="128" t="s">
        <v>119</v>
      </c>
      <c r="H663" s="128" t="s">
        <v>117</v>
      </c>
      <c r="I663" s="128" t="s">
        <v>118</v>
      </c>
      <c r="J663" s="128"/>
      <c r="K663" s="129">
        <v>1.0</v>
      </c>
      <c r="L663" s="129">
        <v>30.0</v>
      </c>
      <c r="M663" s="128" t="s">
        <v>119</v>
      </c>
      <c r="N663" s="129">
        <v>299.0</v>
      </c>
      <c r="O663" s="129">
        <v>100.0</v>
      </c>
      <c r="P663" s="129">
        <v>30.0</v>
      </c>
      <c r="Q663" s="128" t="s">
        <v>91</v>
      </c>
    </row>
    <row r="664">
      <c r="A664" s="129">
        <v>13.0</v>
      </c>
      <c r="B664" s="129">
        <v>2013.0</v>
      </c>
      <c r="C664" s="129">
        <v>8.6</v>
      </c>
      <c r="D664" s="129">
        <v>41.99291</v>
      </c>
      <c r="E664" s="129">
        <v>-93.5286</v>
      </c>
      <c r="F664" s="128" t="s">
        <v>90</v>
      </c>
      <c r="G664" s="128" t="s">
        <v>119</v>
      </c>
      <c r="H664" s="128" t="s">
        <v>150</v>
      </c>
      <c r="I664" s="128" t="s">
        <v>151</v>
      </c>
      <c r="J664" s="128"/>
      <c r="K664" s="129">
        <v>1.0</v>
      </c>
      <c r="L664" s="129">
        <v>30.0</v>
      </c>
      <c r="M664" s="128" t="s">
        <v>119</v>
      </c>
      <c r="N664" s="129">
        <v>299.0</v>
      </c>
      <c r="O664" s="129">
        <v>100.0</v>
      </c>
      <c r="P664" s="129">
        <v>30.0</v>
      </c>
      <c r="Q664" s="128" t="s">
        <v>91</v>
      </c>
    </row>
    <row r="665">
      <c r="A665" s="129">
        <v>1979.0</v>
      </c>
      <c r="B665" s="129">
        <v>2021.0</v>
      </c>
      <c r="C665" s="129">
        <v>69.0</v>
      </c>
      <c r="D665" s="129">
        <v>43.4965</v>
      </c>
      <c r="E665" s="129">
        <v>1.2379</v>
      </c>
      <c r="F665" s="128" t="s">
        <v>2942</v>
      </c>
      <c r="G665" s="128" t="s">
        <v>5995</v>
      </c>
      <c r="H665" s="128" t="s">
        <v>350</v>
      </c>
      <c r="I665" s="128" t="s">
        <v>342</v>
      </c>
      <c r="J665" s="129">
        <v>269.0</v>
      </c>
      <c r="K665" s="129">
        <v>1.0</v>
      </c>
      <c r="L665" s="129">
        <v>1000.0</v>
      </c>
      <c r="M665" s="128" t="s">
        <v>5995</v>
      </c>
      <c r="N665" s="129">
        <v>181.0</v>
      </c>
      <c r="O665" s="128"/>
      <c r="P665" s="129">
        <v>1000.0</v>
      </c>
      <c r="Q665" s="128" t="s">
        <v>91</v>
      </c>
    </row>
    <row r="666">
      <c r="A666" s="129">
        <v>1980.0</v>
      </c>
      <c r="B666" s="129">
        <v>2021.0</v>
      </c>
      <c r="C666" s="129">
        <v>21.0</v>
      </c>
      <c r="D666" s="129">
        <v>43.4965</v>
      </c>
      <c r="E666" s="129">
        <v>1.2379</v>
      </c>
      <c r="F666" s="128" t="s">
        <v>2942</v>
      </c>
      <c r="G666" s="128" t="s">
        <v>5995</v>
      </c>
      <c r="H666" s="128" t="s">
        <v>506</v>
      </c>
      <c r="I666" s="128" t="s">
        <v>676</v>
      </c>
      <c r="J666" s="129">
        <v>161.0</v>
      </c>
      <c r="K666" s="129">
        <v>1.0</v>
      </c>
      <c r="L666" s="129">
        <v>1000.0</v>
      </c>
      <c r="M666" s="128" t="s">
        <v>5995</v>
      </c>
      <c r="N666" s="129">
        <v>181.0</v>
      </c>
      <c r="O666" s="128"/>
      <c r="P666" s="129">
        <v>1000.0</v>
      </c>
      <c r="Q666" s="128" t="s">
        <v>91</v>
      </c>
    </row>
    <row r="667">
      <c r="A667" s="129">
        <v>1981.0</v>
      </c>
      <c r="B667" s="129">
        <v>2021.0</v>
      </c>
      <c r="C667" s="129">
        <v>56.0</v>
      </c>
      <c r="D667" s="129">
        <v>43.4965</v>
      </c>
      <c r="E667" s="129">
        <v>1.2379</v>
      </c>
      <c r="F667" s="128" t="s">
        <v>2942</v>
      </c>
      <c r="G667" s="128" t="s">
        <v>5995</v>
      </c>
      <c r="H667" s="128" t="s">
        <v>536</v>
      </c>
      <c r="I667" s="128" t="s">
        <v>351</v>
      </c>
      <c r="J667" s="129">
        <v>237.0</v>
      </c>
      <c r="K667" s="129">
        <v>1.0</v>
      </c>
      <c r="L667" s="129">
        <v>1000.0</v>
      </c>
      <c r="M667" s="128" t="s">
        <v>5995</v>
      </c>
      <c r="N667" s="129">
        <v>181.0</v>
      </c>
      <c r="O667" s="128"/>
      <c r="P667" s="129">
        <v>1000.0</v>
      </c>
      <c r="Q667" s="128" t="s">
        <v>91</v>
      </c>
    </row>
    <row r="668">
      <c r="A668" s="129">
        <v>1982.0</v>
      </c>
      <c r="B668" s="129">
        <v>2021.0</v>
      </c>
      <c r="C668" s="129">
        <v>57.0</v>
      </c>
      <c r="D668" s="129">
        <v>43.4965</v>
      </c>
      <c r="E668" s="129">
        <v>1.2379</v>
      </c>
      <c r="F668" s="128" t="s">
        <v>2942</v>
      </c>
      <c r="G668" s="128" t="s">
        <v>5995</v>
      </c>
      <c r="H668" s="128" t="s">
        <v>969</v>
      </c>
      <c r="I668" s="128" t="s">
        <v>507</v>
      </c>
      <c r="J668" s="129">
        <v>180.0</v>
      </c>
      <c r="K668" s="129">
        <v>1.0</v>
      </c>
      <c r="L668" s="129">
        <v>1000.0</v>
      </c>
      <c r="M668" s="128" t="s">
        <v>5995</v>
      </c>
      <c r="N668" s="129">
        <v>181.0</v>
      </c>
      <c r="O668" s="128"/>
      <c r="P668" s="129">
        <v>1000.0</v>
      </c>
      <c r="Q668" s="128" t="s">
        <v>91</v>
      </c>
    </row>
    <row r="669">
      <c r="A669" s="129">
        <v>1983.0</v>
      </c>
      <c r="B669" s="129">
        <v>2021.0</v>
      </c>
      <c r="C669" s="129">
        <v>16.0</v>
      </c>
      <c r="D669" s="129">
        <v>43.4965</v>
      </c>
      <c r="E669" s="129">
        <v>1.2379</v>
      </c>
      <c r="F669" s="128" t="s">
        <v>2942</v>
      </c>
      <c r="G669" s="128" t="s">
        <v>5995</v>
      </c>
      <c r="H669" s="128" t="s">
        <v>242</v>
      </c>
      <c r="I669" s="128" t="s">
        <v>243</v>
      </c>
      <c r="J669" s="129">
        <v>119.0</v>
      </c>
      <c r="K669" s="129">
        <v>1.0</v>
      </c>
      <c r="L669" s="129">
        <v>1000.0</v>
      </c>
      <c r="M669" s="128" t="s">
        <v>5995</v>
      </c>
      <c r="N669" s="129">
        <v>181.0</v>
      </c>
      <c r="O669" s="128"/>
      <c r="P669" s="129">
        <v>1000.0</v>
      </c>
      <c r="Q669" s="128" t="s">
        <v>91</v>
      </c>
    </row>
    <row r="670">
      <c r="A670" s="129">
        <v>1984.0</v>
      </c>
      <c r="B670" s="129">
        <v>2021.0</v>
      </c>
      <c r="C670" s="129">
        <v>3.0</v>
      </c>
      <c r="D670" s="129">
        <v>43.4965</v>
      </c>
      <c r="E670" s="129">
        <v>1.2379</v>
      </c>
      <c r="F670" s="128" t="s">
        <v>2942</v>
      </c>
      <c r="G670" s="128" t="s">
        <v>5995</v>
      </c>
      <c r="H670" s="128" t="s">
        <v>245</v>
      </c>
      <c r="I670" s="128" t="s">
        <v>246</v>
      </c>
      <c r="J670" s="129">
        <v>126.0</v>
      </c>
      <c r="K670" s="129">
        <v>1.0</v>
      </c>
      <c r="L670" s="129">
        <v>1000.0</v>
      </c>
      <c r="M670" s="128" t="s">
        <v>5995</v>
      </c>
      <c r="N670" s="129">
        <v>181.0</v>
      </c>
      <c r="O670" s="128"/>
      <c r="P670" s="129">
        <v>1000.0</v>
      </c>
      <c r="Q670" s="128" t="s">
        <v>91</v>
      </c>
    </row>
    <row r="671">
      <c r="A671" s="129">
        <v>1985.0</v>
      </c>
      <c r="B671" s="129">
        <v>2021.0</v>
      </c>
      <c r="C671" s="129">
        <v>-11.0</v>
      </c>
      <c r="D671" s="129">
        <v>43.4965</v>
      </c>
      <c r="E671" s="129">
        <v>1.2379</v>
      </c>
      <c r="F671" s="128" t="s">
        <v>2942</v>
      </c>
      <c r="G671" s="128" t="s">
        <v>5995</v>
      </c>
      <c r="H671" s="128" t="s">
        <v>837</v>
      </c>
      <c r="I671" s="128" t="s">
        <v>2955</v>
      </c>
      <c r="J671" s="129">
        <v>127.0</v>
      </c>
      <c r="K671" s="129">
        <v>1.0</v>
      </c>
      <c r="L671" s="129">
        <v>1000.0</v>
      </c>
      <c r="M671" s="128" t="s">
        <v>5995</v>
      </c>
      <c r="N671" s="129">
        <v>181.0</v>
      </c>
      <c r="O671" s="128"/>
      <c r="P671" s="129">
        <v>1000.0</v>
      </c>
      <c r="Q671" s="128" t="s">
        <v>91</v>
      </c>
    </row>
    <row r="672">
      <c r="A672" s="129">
        <v>1999.0</v>
      </c>
      <c r="B672" s="129">
        <v>2021.0</v>
      </c>
      <c r="C672" s="129">
        <v>27.0</v>
      </c>
      <c r="D672" s="129">
        <v>43.4965</v>
      </c>
      <c r="E672" s="129">
        <v>1.2379</v>
      </c>
      <c r="F672" s="128" t="s">
        <v>2942</v>
      </c>
      <c r="G672" s="128" t="s">
        <v>5995</v>
      </c>
      <c r="H672" s="128" t="s">
        <v>350</v>
      </c>
      <c r="I672" s="128" t="s">
        <v>342</v>
      </c>
      <c r="J672" s="129">
        <v>269.0</v>
      </c>
      <c r="K672" s="129">
        <v>1.0</v>
      </c>
      <c r="L672" s="129">
        <v>1000.0</v>
      </c>
      <c r="M672" s="128" t="s">
        <v>5995</v>
      </c>
      <c r="N672" s="129">
        <v>181.0</v>
      </c>
      <c r="O672" s="128"/>
      <c r="P672" s="129">
        <v>1000.0</v>
      </c>
      <c r="Q672" s="128" t="s">
        <v>91</v>
      </c>
    </row>
    <row r="673">
      <c r="A673" s="129">
        <v>2000.0</v>
      </c>
      <c r="B673" s="129">
        <v>2021.0</v>
      </c>
      <c r="C673" s="129">
        <v>-1.0</v>
      </c>
      <c r="D673" s="129">
        <v>43.4965</v>
      </c>
      <c r="E673" s="129">
        <v>1.2379</v>
      </c>
      <c r="F673" s="128" t="s">
        <v>2942</v>
      </c>
      <c r="G673" s="128" t="s">
        <v>5995</v>
      </c>
      <c r="H673" s="128" t="s">
        <v>506</v>
      </c>
      <c r="I673" s="128" t="s">
        <v>676</v>
      </c>
      <c r="J673" s="129">
        <v>161.0</v>
      </c>
      <c r="K673" s="129">
        <v>1.0</v>
      </c>
      <c r="L673" s="129">
        <v>1000.0</v>
      </c>
      <c r="M673" s="128" t="s">
        <v>5995</v>
      </c>
      <c r="N673" s="129">
        <v>181.0</v>
      </c>
      <c r="O673" s="128"/>
      <c r="P673" s="129">
        <v>1000.0</v>
      </c>
      <c r="Q673" s="128" t="s">
        <v>91</v>
      </c>
    </row>
    <row r="674">
      <c r="A674" s="129">
        <v>2001.0</v>
      </c>
      <c r="B674" s="129">
        <v>2021.0</v>
      </c>
      <c r="C674" s="129">
        <v>47.0</v>
      </c>
      <c r="D674" s="129">
        <v>43.4965</v>
      </c>
      <c r="E674" s="129">
        <v>1.2379</v>
      </c>
      <c r="F674" s="128" t="s">
        <v>2942</v>
      </c>
      <c r="G674" s="128" t="s">
        <v>5995</v>
      </c>
      <c r="H674" s="128" t="s">
        <v>536</v>
      </c>
      <c r="I674" s="128" t="s">
        <v>351</v>
      </c>
      <c r="J674" s="129">
        <v>237.0</v>
      </c>
      <c r="K674" s="129">
        <v>1.0</v>
      </c>
      <c r="L674" s="129">
        <v>1000.0</v>
      </c>
      <c r="M674" s="128" t="s">
        <v>5995</v>
      </c>
      <c r="N674" s="129">
        <v>181.0</v>
      </c>
      <c r="O674" s="128"/>
      <c r="P674" s="129">
        <v>1000.0</v>
      </c>
      <c r="Q674" s="128" t="s">
        <v>91</v>
      </c>
    </row>
    <row r="675">
      <c r="A675" s="129">
        <v>2002.0</v>
      </c>
      <c r="B675" s="129">
        <v>2021.0</v>
      </c>
      <c r="C675" s="129">
        <v>24.0</v>
      </c>
      <c r="D675" s="129">
        <v>43.4965</v>
      </c>
      <c r="E675" s="129">
        <v>1.2379</v>
      </c>
      <c r="F675" s="128" t="s">
        <v>2942</v>
      </c>
      <c r="G675" s="128" t="s">
        <v>5995</v>
      </c>
      <c r="H675" s="128" t="s">
        <v>969</v>
      </c>
      <c r="I675" s="128" t="s">
        <v>507</v>
      </c>
      <c r="J675" s="129">
        <v>180.0</v>
      </c>
      <c r="K675" s="129">
        <v>1.0</v>
      </c>
      <c r="L675" s="129">
        <v>1000.0</v>
      </c>
      <c r="M675" s="128" t="s">
        <v>5995</v>
      </c>
      <c r="N675" s="129">
        <v>181.0</v>
      </c>
      <c r="O675" s="128"/>
      <c r="P675" s="129">
        <v>1000.0</v>
      </c>
      <c r="Q675" s="128" t="s">
        <v>91</v>
      </c>
    </row>
    <row r="676">
      <c r="A676" s="129">
        <v>2003.0</v>
      </c>
      <c r="B676" s="129">
        <v>2021.0</v>
      </c>
      <c r="C676" s="129">
        <v>-4.0</v>
      </c>
      <c r="D676" s="129">
        <v>43.4965</v>
      </c>
      <c r="E676" s="129">
        <v>1.2379</v>
      </c>
      <c r="F676" s="128" t="s">
        <v>2942</v>
      </c>
      <c r="G676" s="128" t="s">
        <v>5995</v>
      </c>
      <c r="H676" s="128" t="s">
        <v>242</v>
      </c>
      <c r="I676" s="128" t="s">
        <v>243</v>
      </c>
      <c r="J676" s="129">
        <v>119.0</v>
      </c>
      <c r="K676" s="129">
        <v>1.0</v>
      </c>
      <c r="L676" s="129">
        <v>1000.0</v>
      </c>
      <c r="M676" s="128" t="s">
        <v>5995</v>
      </c>
      <c r="N676" s="129">
        <v>181.0</v>
      </c>
      <c r="O676" s="128"/>
      <c r="P676" s="129">
        <v>1000.0</v>
      </c>
      <c r="Q676" s="128" t="s">
        <v>91</v>
      </c>
    </row>
    <row r="677">
      <c r="A677" s="129">
        <v>2004.0</v>
      </c>
      <c r="B677" s="129">
        <v>2021.0</v>
      </c>
      <c r="C677" s="129">
        <v>-5.0</v>
      </c>
      <c r="D677" s="129">
        <v>43.4965</v>
      </c>
      <c r="E677" s="129">
        <v>1.2379</v>
      </c>
      <c r="F677" s="128" t="s">
        <v>2942</v>
      </c>
      <c r="G677" s="128" t="s">
        <v>5995</v>
      </c>
      <c r="H677" s="128" t="s">
        <v>245</v>
      </c>
      <c r="I677" s="128" t="s">
        <v>246</v>
      </c>
      <c r="J677" s="129">
        <v>126.0</v>
      </c>
      <c r="K677" s="129">
        <v>1.0</v>
      </c>
      <c r="L677" s="129">
        <v>1000.0</v>
      </c>
      <c r="M677" s="128" t="s">
        <v>5995</v>
      </c>
      <c r="N677" s="129">
        <v>181.0</v>
      </c>
      <c r="O677" s="128"/>
      <c r="P677" s="129">
        <v>1000.0</v>
      </c>
      <c r="Q677" s="128" t="s">
        <v>91</v>
      </c>
    </row>
    <row r="678">
      <c r="A678" s="129">
        <v>2005.0</v>
      </c>
      <c r="B678" s="129">
        <v>2021.0</v>
      </c>
      <c r="C678" s="129">
        <v>-24.0</v>
      </c>
      <c r="D678" s="129">
        <v>43.4965</v>
      </c>
      <c r="E678" s="129">
        <v>1.2379</v>
      </c>
      <c r="F678" s="128" t="s">
        <v>2942</v>
      </c>
      <c r="G678" s="128" t="s">
        <v>5995</v>
      </c>
      <c r="H678" s="128" t="s">
        <v>837</v>
      </c>
      <c r="I678" s="128" t="s">
        <v>2955</v>
      </c>
      <c r="J678" s="129">
        <v>127.0</v>
      </c>
      <c r="K678" s="129">
        <v>1.0</v>
      </c>
      <c r="L678" s="129">
        <v>1000.0</v>
      </c>
      <c r="M678" s="128" t="s">
        <v>5995</v>
      </c>
      <c r="N678" s="129">
        <v>181.0</v>
      </c>
      <c r="O678" s="128"/>
      <c r="P678" s="129">
        <v>1000.0</v>
      </c>
      <c r="Q678" s="128" t="s">
        <v>91</v>
      </c>
    </row>
    <row r="679">
      <c r="A679" s="129">
        <v>2019.0</v>
      </c>
      <c r="B679" s="129">
        <v>2021.0</v>
      </c>
      <c r="C679" s="129">
        <v>32.0</v>
      </c>
      <c r="D679" s="129">
        <v>43.4965</v>
      </c>
      <c r="E679" s="129">
        <v>1.2379</v>
      </c>
      <c r="F679" s="128" t="s">
        <v>2942</v>
      </c>
      <c r="G679" s="128" t="s">
        <v>5995</v>
      </c>
      <c r="H679" s="128" t="s">
        <v>350</v>
      </c>
      <c r="I679" s="128" t="s">
        <v>342</v>
      </c>
      <c r="J679" s="129">
        <v>269.0</v>
      </c>
      <c r="K679" s="129">
        <v>1.0</v>
      </c>
      <c r="L679" s="129">
        <v>1000.0</v>
      </c>
      <c r="M679" s="128" t="s">
        <v>5995</v>
      </c>
      <c r="N679" s="129">
        <v>181.0</v>
      </c>
      <c r="O679" s="128"/>
      <c r="P679" s="129">
        <v>1000.0</v>
      </c>
      <c r="Q679" s="128" t="s">
        <v>91</v>
      </c>
    </row>
    <row r="680">
      <c r="A680" s="129">
        <v>2020.0</v>
      </c>
      <c r="B680" s="129">
        <v>2021.0</v>
      </c>
      <c r="C680" s="129">
        <v>2.0</v>
      </c>
      <c r="D680" s="129">
        <v>43.4965</v>
      </c>
      <c r="E680" s="129">
        <v>1.2379</v>
      </c>
      <c r="F680" s="128" t="s">
        <v>2942</v>
      </c>
      <c r="G680" s="128" t="s">
        <v>5995</v>
      </c>
      <c r="H680" s="128" t="s">
        <v>506</v>
      </c>
      <c r="I680" s="128" t="s">
        <v>676</v>
      </c>
      <c r="J680" s="129">
        <v>161.0</v>
      </c>
      <c r="K680" s="129">
        <v>1.0</v>
      </c>
      <c r="L680" s="129">
        <v>1000.0</v>
      </c>
      <c r="M680" s="128" t="s">
        <v>5995</v>
      </c>
      <c r="N680" s="129">
        <v>181.0</v>
      </c>
      <c r="O680" s="128"/>
      <c r="P680" s="129">
        <v>1000.0</v>
      </c>
      <c r="Q680" s="128" t="s">
        <v>91</v>
      </c>
    </row>
    <row r="681">
      <c r="A681" s="129">
        <v>2021.0</v>
      </c>
      <c r="B681" s="129">
        <v>2021.0</v>
      </c>
      <c r="C681" s="129">
        <v>53.0</v>
      </c>
      <c r="D681" s="129">
        <v>43.4965</v>
      </c>
      <c r="E681" s="129">
        <v>1.2379</v>
      </c>
      <c r="F681" s="128" t="s">
        <v>2942</v>
      </c>
      <c r="G681" s="128" t="s">
        <v>5995</v>
      </c>
      <c r="H681" s="128" t="s">
        <v>536</v>
      </c>
      <c r="I681" s="128" t="s">
        <v>351</v>
      </c>
      <c r="J681" s="129">
        <v>237.0</v>
      </c>
      <c r="K681" s="129">
        <v>1.0</v>
      </c>
      <c r="L681" s="129">
        <v>1000.0</v>
      </c>
      <c r="M681" s="128" t="s">
        <v>5995</v>
      </c>
      <c r="N681" s="129">
        <v>181.0</v>
      </c>
      <c r="O681" s="128"/>
      <c r="P681" s="129">
        <v>1000.0</v>
      </c>
      <c r="Q681" s="128" t="s">
        <v>91</v>
      </c>
    </row>
    <row r="682">
      <c r="A682" s="129">
        <v>2022.0</v>
      </c>
      <c r="B682" s="129">
        <v>2021.0</v>
      </c>
      <c r="C682" s="129">
        <v>23.0</v>
      </c>
      <c r="D682" s="129">
        <v>43.4965</v>
      </c>
      <c r="E682" s="129">
        <v>1.2379</v>
      </c>
      <c r="F682" s="128" t="s">
        <v>2942</v>
      </c>
      <c r="G682" s="128" t="s">
        <v>5995</v>
      </c>
      <c r="H682" s="128" t="s">
        <v>969</v>
      </c>
      <c r="I682" s="128" t="s">
        <v>507</v>
      </c>
      <c r="J682" s="129">
        <v>180.0</v>
      </c>
      <c r="K682" s="129">
        <v>1.0</v>
      </c>
      <c r="L682" s="129">
        <v>1000.0</v>
      </c>
      <c r="M682" s="128" t="s">
        <v>5995</v>
      </c>
      <c r="N682" s="129">
        <v>181.0</v>
      </c>
      <c r="O682" s="128"/>
      <c r="P682" s="129">
        <v>1000.0</v>
      </c>
      <c r="Q682" s="128" t="s">
        <v>91</v>
      </c>
    </row>
    <row r="683">
      <c r="A683" s="129">
        <v>2023.0</v>
      </c>
      <c r="B683" s="129">
        <v>2021.0</v>
      </c>
      <c r="C683" s="129">
        <v>-8.0</v>
      </c>
      <c r="D683" s="129">
        <v>43.4965</v>
      </c>
      <c r="E683" s="129">
        <v>1.2379</v>
      </c>
      <c r="F683" s="128" t="s">
        <v>2942</v>
      </c>
      <c r="G683" s="128" t="s">
        <v>5995</v>
      </c>
      <c r="H683" s="128" t="s">
        <v>242</v>
      </c>
      <c r="I683" s="128" t="s">
        <v>243</v>
      </c>
      <c r="J683" s="129">
        <v>119.0</v>
      </c>
      <c r="K683" s="129">
        <v>1.0</v>
      </c>
      <c r="L683" s="129">
        <v>1000.0</v>
      </c>
      <c r="M683" s="128" t="s">
        <v>5995</v>
      </c>
      <c r="N683" s="129">
        <v>181.0</v>
      </c>
      <c r="O683" s="128"/>
      <c r="P683" s="129">
        <v>1000.0</v>
      </c>
      <c r="Q683" s="128" t="s">
        <v>91</v>
      </c>
    </row>
    <row r="684">
      <c r="A684" s="129">
        <v>2024.0</v>
      </c>
      <c r="B684" s="129">
        <v>2021.0</v>
      </c>
      <c r="C684" s="129">
        <v>-7.0</v>
      </c>
      <c r="D684" s="129">
        <v>43.4965</v>
      </c>
      <c r="E684" s="129">
        <v>1.2379</v>
      </c>
      <c r="F684" s="128" t="s">
        <v>2942</v>
      </c>
      <c r="G684" s="128" t="s">
        <v>5995</v>
      </c>
      <c r="H684" s="128" t="s">
        <v>245</v>
      </c>
      <c r="I684" s="128" t="s">
        <v>246</v>
      </c>
      <c r="J684" s="129">
        <v>126.0</v>
      </c>
      <c r="K684" s="129">
        <v>1.0</v>
      </c>
      <c r="L684" s="129">
        <v>1000.0</v>
      </c>
      <c r="M684" s="128" t="s">
        <v>5995</v>
      </c>
      <c r="N684" s="129">
        <v>181.0</v>
      </c>
      <c r="O684" s="128"/>
      <c r="P684" s="129">
        <v>1000.0</v>
      </c>
      <c r="Q684" s="128" t="s">
        <v>91</v>
      </c>
    </row>
    <row r="685">
      <c r="A685" s="129">
        <v>2025.0</v>
      </c>
      <c r="B685" s="129">
        <v>2021.0</v>
      </c>
      <c r="C685" s="129">
        <v>-26.0</v>
      </c>
      <c r="D685" s="129">
        <v>43.4965</v>
      </c>
      <c r="E685" s="129">
        <v>1.2379</v>
      </c>
      <c r="F685" s="128" t="s">
        <v>2942</v>
      </c>
      <c r="G685" s="128" t="s">
        <v>5995</v>
      </c>
      <c r="H685" s="128" t="s">
        <v>837</v>
      </c>
      <c r="I685" s="128" t="s">
        <v>2955</v>
      </c>
      <c r="J685" s="129">
        <v>127.0</v>
      </c>
      <c r="K685" s="129">
        <v>1.0</v>
      </c>
      <c r="L685" s="129">
        <v>1000.0</v>
      </c>
      <c r="M685" s="128" t="s">
        <v>5995</v>
      </c>
      <c r="N685" s="129">
        <v>181.0</v>
      </c>
      <c r="O685" s="128"/>
      <c r="P685" s="129">
        <v>1000.0</v>
      </c>
      <c r="Q685" s="128" t="s">
        <v>91</v>
      </c>
    </row>
    <row r="686">
      <c r="A686" s="129">
        <v>2039.0</v>
      </c>
      <c r="B686" s="129">
        <v>2021.0</v>
      </c>
      <c r="C686" s="129">
        <v>17.0</v>
      </c>
      <c r="D686" s="129">
        <v>43.4965</v>
      </c>
      <c r="E686" s="129">
        <v>1.2379</v>
      </c>
      <c r="F686" s="128" t="s">
        <v>2942</v>
      </c>
      <c r="G686" s="128" t="s">
        <v>5995</v>
      </c>
      <c r="H686" s="128" t="s">
        <v>350</v>
      </c>
      <c r="I686" s="128" t="s">
        <v>342</v>
      </c>
      <c r="J686" s="129">
        <v>269.0</v>
      </c>
      <c r="K686" s="129">
        <v>1.0</v>
      </c>
      <c r="L686" s="129">
        <v>1000.0</v>
      </c>
      <c r="M686" s="128" t="s">
        <v>5995</v>
      </c>
      <c r="N686" s="129">
        <v>181.0</v>
      </c>
      <c r="O686" s="128"/>
      <c r="P686" s="129">
        <v>1000.0</v>
      </c>
      <c r="Q686" s="128" t="s">
        <v>91</v>
      </c>
    </row>
    <row r="687">
      <c r="A687" s="129">
        <v>2040.0</v>
      </c>
      <c r="B687" s="129">
        <v>2021.0</v>
      </c>
      <c r="C687" s="129">
        <v>-2.0</v>
      </c>
      <c r="D687" s="129">
        <v>43.4965</v>
      </c>
      <c r="E687" s="129">
        <v>1.2379</v>
      </c>
      <c r="F687" s="128" t="s">
        <v>2942</v>
      </c>
      <c r="G687" s="128" t="s">
        <v>5995</v>
      </c>
      <c r="H687" s="128" t="s">
        <v>506</v>
      </c>
      <c r="I687" s="128" t="s">
        <v>676</v>
      </c>
      <c r="J687" s="129">
        <v>161.0</v>
      </c>
      <c r="K687" s="129">
        <v>1.0</v>
      </c>
      <c r="L687" s="129">
        <v>1000.0</v>
      </c>
      <c r="M687" s="128" t="s">
        <v>5995</v>
      </c>
      <c r="N687" s="129">
        <v>181.0</v>
      </c>
      <c r="O687" s="128"/>
      <c r="P687" s="129">
        <v>1000.0</v>
      </c>
      <c r="Q687" s="128" t="s">
        <v>91</v>
      </c>
    </row>
    <row r="688">
      <c r="A688" s="129">
        <v>2041.0</v>
      </c>
      <c r="B688" s="129">
        <v>2021.0</v>
      </c>
      <c r="C688" s="129">
        <v>41.0</v>
      </c>
      <c r="D688" s="129">
        <v>43.4965</v>
      </c>
      <c r="E688" s="129">
        <v>1.2379</v>
      </c>
      <c r="F688" s="128" t="s">
        <v>2942</v>
      </c>
      <c r="G688" s="128" t="s">
        <v>5995</v>
      </c>
      <c r="H688" s="128" t="s">
        <v>536</v>
      </c>
      <c r="I688" s="128" t="s">
        <v>351</v>
      </c>
      <c r="J688" s="129">
        <v>237.0</v>
      </c>
      <c r="K688" s="129">
        <v>1.0</v>
      </c>
      <c r="L688" s="129">
        <v>1000.0</v>
      </c>
      <c r="M688" s="128" t="s">
        <v>5995</v>
      </c>
      <c r="N688" s="129">
        <v>181.0</v>
      </c>
      <c r="O688" s="128"/>
      <c r="P688" s="129">
        <v>1000.0</v>
      </c>
      <c r="Q688" s="128" t="s">
        <v>91</v>
      </c>
    </row>
    <row r="689">
      <c r="A689" s="129">
        <v>2042.0</v>
      </c>
      <c r="B689" s="129">
        <v>2021.0</v>
      </c>
      <c r="C689" s="129">
        <v>20.0</v>
      </c>
      <c r="D689" s="129">
        <v>43.4965</v>
      </c>
      <c r="E689" s="129">
        <v>1.2379</v>
      </c>
      <c r="F689" s="128" t="s">
        <v>2942</v>
      </c>
      <c r="G689" s="128" t="s">
        <v>5995</v>
      </c>
      <c r="H689" s="128" t="s">
        <v>969</v>
      </c>
      <c r="I689" s="128" t="s">
        <v>507</v>
      </c>
      <c r="J689" s="129">
        <v>180.0</v>
      </c>
      <c r="K689" s="129">
        <v>1.0</v>
      </c>
      <c r="L689" s="129">
        <v>1000.0</v>
      </c>
      <c r="M689" s="128" t="s">
        <v>5995</v>
      </c>
      <c r="N689" s="129">
        <v>181.0</v>
      </c>
      <c r="O689" s="128"/>
      <c r="P689" s="129">
        <v>1000.0</v>
      </c>
      <c r="Q689" s="128" t="s">
        <v>91</v>
      </c>
    </row>
    <row r="690">
      <c r="A690" s="129">
        <v>2043.0</v>
      </c>
      <c r="B690" s="129">
        <v>2021.0</v>
      </c>
      <c r="C690" s="129">
        <v>-22.0</v>
      </c>
      <c r="D690" s="129">
        <v>43.4965</v>
      </c>
      <c r="E690" s="129">
        <v>1.2379</v>
      </c>
      <c r="F690" s="128" t="s">
        <v>2942</v>
      </c>
      <c r="G690" s="128" t="s">
        <v>5995</v>
      </c>
      <c r="H690" s="128" t="s">
        <v>242</v>
      </c>
      <c r="I690" s="128" t="s">
        <v>243</v>
      </c>
      <c r="J690" s="129">
        <v>119.0</v>
      </c>
      <c r="K690" s="129">
        <v>1.0</v>
      </c>
      <c r="L690" s="129">
        <v>1000.0</v>
      </c>
      <c r="M690" s="128" t="s">
        <v>5995</v>
      </c>
      <c r="N690" s="129">
        <v>181.0</v>
      </c>
      <c r="O690" s="128"/>
      <c r="P690" s="129">
        <v>1000.0</v>
      </c>
      <c r="Q690" s="128" t="s">
        <v>91</v>
      </c>
    </row>
    <row r="691">
      <c r="A691" s="129">
        <v>2044.0</v>
      </c>
      <c r="B691" s="129">
        <v>2021.0</v>
      </c>
      <c r="C691" s="129">
        <v>-12.0</v>
      </c>
      <c r="D691" s="129">
        <v>43.4965</v>
      </c>
      <c r="E691" s="129">
        <v>1.2379</v>
      </c>
      <c r="F691" s="128" t="s">
        <v>2942</v>
      </c>
      <c r="G691" s="128" t="s">
        <v>5995</v>
      </c>
      <c r="H691" s="128" t="s">
        <v>245</v>
      </c>
      <c r="I691" s="128" t="s">
        <v>246</v>
      </c>
      <c r="J691" s="129">
        <v>126.0</v>
      </c>
      <c r="K691" s="129">
        <v>1.0</v>
      </c>
      <c r="L691" s="129">
        <v>1000.0</v>
      </c>
      <c r="M691" s="128" t="s">
        <v>5995</v>
      </c>
      <c r="N691" s="129">
        <v>181.0</v>
      </c>
      <c r="O691" s="128"/>
      <c r="P691" s="129">
        <v>1000.0</v>
      </c>
      <c r="Q691" s="128" t="s">
        <v>91</v>
      </c>
    </row>
    <row r="692">
      <c r="A692" s="129">
        <v>2045.0</v>
      </c>
      <c r="B692" s="129">
        <v>2021.0</v>
      </c>
      <c r="C692" s="129">
        <v>-26.0</v>
      </c>
      <c r="D692" s="129">
        <v>43.4965</v>
      </c>
      <c r="E692" s="129">
        <v>1.2379</v>
      </c>
      <c r="F692" s="128" t="s">
        <v>2942</v>
      </c>
      <c r="G692" s="128" t="s">
        <v>5995</v>
      </c>
      <c r="H692" s="128" t="s">
        <v>837</v>
      </c>
      <c r="I692" s="128" t="s">
        <v>2955</v>
      </c>
      <c r="J692" s="129">
        <v>127.0</v>
      </c>
      <c r="K692" s="129">
        <v>1.0</v>
      </c>
      <c r="L692" s="129">
        <v>1000.0</v>
      </c>
      <c r="M692" s="128" t="s">
        <v>5995</v>
      </c>
      <c r="N692" s="129">
        <v>181.0</v>
      </c>
      <c r="O692" s="128"/>
      <c r="P692" s="129">
        <v>1000.0</v>
      </c>
      <c r="Q692" s="128" t="s">
        <v>91</v>
      </c>
    </row>
    <row r="693">
      <c r="A693" s="129">
        <v>2059.0</v>
      </c>
      <c r="B693" s="129">
        <v>2021.0</v>
      </c>
      <c r="C693" s="129">
        <v>16.0</v>
      </c>
      <c r="D693" s="129">
        <v>43.4965</v>
      </c>
      <c r="E693" s="129">
        <v>1.2379</v>
      </c>
      <c r="F693" s="128" t="s">
        <v>2942</v>
      </c>
      <c r="G693" s="128" t="s">
        <v>5995</v>
      </c>
      <c r="H693" s="128" t="s">
        <v>350</v>
      </c>
      <c r="I693" s="128" t="s">
        <v>342</v>
      </c>
      <c r="J693" s="129">
        <v>269.0</v>
      </c>
      <c r="K693" s="129">
        <v>1.0</v>
      </c>
      <c r="L693" s="129">
        <v>1000.0</v>
      </c>
      <c r="M693" s="128" t="s">
        <v>5995</v>
      </c>
      <c r="N693" s="129">
        <v>181.0</v>
      </c>
      <c r="O693" s="128"/>
      <c r="P693" s="129">
        <v>1000.0</v>
      </c>
      <c r="Q693" s="128" t="s">
        <v>91</v>
      </c>
    </row>
    <row r="694">
      <c r="A694" s="129">
        <v>2060.0</v>
      </c>
      <c r="B694" s="129">
        <v>2021.0</v>
      </c>
      <c r="C694" s="129">
        <v>-8.0</v>
      </c>
      <c r="D694" s="129">
        <v>43.4965</v>
      </c>
      <c r="E694" s="129">
        <v>1.2379</v>
      </c>
      <c r="F694" s="128" t="s">
        <v>2942</v>
      </c>
      <c r="G694" s="128" t="s">
        <v>5995</v>
      </c>
      <c r="H694" s="128" t="s">
        <v>506</v>
      </c>
      <c r="I694" s="128" t="s">
        <v>676</v>
      </c>
      <c r="J694" s="129">
        <v>161.0</v>
      </c>
      <c r="K694" s="129">
        <v>1.0</v>
      </c>
      <c r="L694" s="129">
        <v>1000.0</v>
      </c>
      <c r="M694" s="128" t="s">
        <v>5995</v>
      </c>
      <c r="N694" s="129">
        <v>181.0</v>
      </c>
      <c r="O694" s="128"/>
      <c r="P694" s="129">
        <v>1000.0</v>
      </c>
      <c r="Q694" s="128" t="s">
        <v>91</v>
      </c>
    </row>
    <row r="695">
      <c r="A695" s="129">
        <v>2061.0</v>
      </c>
      <c r="B695" s="129">
        <v>2021.0</v>
      </c>
      <c r="C695" s="129">
        <v>38.0</v>
      </c>
      <c r="D695" s="129">
        <v>43.4965</v>
      </c>
      <c r="E695" s="129">
        <v>1.2379</v>
      </c>
      <c r="F695" s="128" t="s">
        <v>2942</v>
      </c>
      <c r="G695" s="128" t="s">
        <v>5995</v>
      </c>
      <c r="H695" s="128" t="s">
        <v>536</v>
      </c>
      <c r="I695" s="128" t="s">
        <v>351</v>
      </c>
      <c r="J695" s="129">
        <v>237.0</v>
      </c>
      <c r="K695" s="129">
        <v>1.0</v>
      </c>
      <c r="L695" s="129">
        <v>1000.0</v>
      </c>
      <c r="M695" s="128" t="s">
        <v>5995</v>
      </c>
      <c r="N695" s="129">
        <v>181.0</v>
      </c>
      <c r="O695" s="128"/>
      <c r="P695" s="129">
        <v>1000.0</v>
      </c>
      <c r="Q695" s="128" t="s">
        <v>91</v>
      </c>
    </row>
    <row r="696">
      <c r="A696" s="129">
        <v>2062.0</v>
      </c>
      <c r="B696" s="129">
        <v>2021.0</v>
      </c>
      <c r="C696" s="129">
        <v>18.0</v>
      </c>
      <c r="D696" s="129">
        <v>43.4965</v>
      </c>
      <c r="E696" s="129">
        <v>1.2379</v>
      </c>
      <c r="F696" s="128" t="s">
        <v>2942</v>
      </c>
      <c r="G696" s="128" t="s">
        <v>5995</v>
      </c>
      <c r="H696" s="128" t="s">
        <v>969</v>
      </c>
      <c r="I696" s="128" t="s">
        <v>507</v>
      </c>
      <c r="J696" s="129">
        <v>180.0</v>
      </c>
      <c r="K696" s="129">
        <v>1.0</v>
      </c>
      <c r="L696" s="129">
        <v>1000.0</v>
      </c>
      <c r="M696" s="128" t="s">
        <v>5995</v>
      </c>
      <c r="N696" s="129">
        <v>181.0</v>
      </c>
      <c r="O696" s="128"/>
      <c r="P696" s="129">
        <v>1000.0</v>
      </c>
      <c r="Q696" s="128" t="s">
        <v>91</v>
      </c>
    </row>
    <row r="697">
      <c r="A697" s="129">
        <v>2063.0</v>
      </c>
      <c r="B697" s="129">
        <v>2021.0</v>
      </c>
      <c r="C697" s="129">
        <v>-22.0</v>
      </c>
      <c r="D697" s="129">
        <v>43.4965</v>
      </c>
      <c r="E697" s="129">
        <v>1.2379</v>
      </c>
      <c r="F697" s="128" t="s">
        <v>2942</v>
      </c>
      <c r="G697" s="128" t="s">
        <v>5995</v>
      </c>
      <c r="H697" s="128" t="s">
        <v>242</v>
      </c>
      <c r="I697" s="128" t="s">
        <v>243</v>
      </c>
      <c r="J697" s="129">
        <v>119.0</v>
      </c>
      <c r="K697" s="129">
        <v>1.0</v>
      </c>
      <c r="L697" s="129">
        <v>1000.0</v>
      </c>
      <c r="M697" s="128" t="s">
        <v>5995</v>
      </c>
      <c r="N697" s="129">
        <v>181.0</v>
      </c>
      <c r="O697" s="128"/>
      <c r="P697" s="129">
        <v>1000.0</v>
      </c>
      <c r="Q697" s="128" t="s">
        <v>91</v>
      </c>
    </row>
    <row r="698">
      <c r="A698" s="129">
        <v>2064.0</v>
      </c>
      <c r="B698" s="129">
        <v>2021.0</v>
      </c>
      <c r="C698" s="129">
        <v>-17.0</v>
      </c>
      <c r="D698" s="129">
        <v>43.4965</v>
      </c>
      <c r="E698" s="129">
        <v>1.2379</v>
      </c>
      <c r="F698" s="128" t="s">
        <v>2942</v>
      </c>
      <c r="G698" s="128" t="s">
        <v>5995</v>
      </c>
      <c r="H698" s="128" t="s">
        <v>245</v>
      </c>
      <c r="I698" s="128" t="s">
        <v>246</v>
      </c>
      <c r="J698" s="129">
        <v>126.0</v>
      </c>
      <c r="K698" s="129">
        <v>1.0</v>
      </c>
      <c r="L698" s="129">
        <v>1000.0</v>
      </c>
      <c r="M698" s="128" t="s">
        <v>5995</v>
      </c>
      <c r="N698" s="129">
        <v>181.0</v>
      </c>
      <c r="O698" s="128"/>
      <c r="P698" s="129">
        <v>1000.0</v>
      </c>
      <c r="Q698" s="128" t="s">
        <v>91</v>
      </c>
    </row>
    <row r="699">
      <c r="A699" s="129">
        <v>2065.0</v>
      </c>
      <c r="B699" s="129">
        <v>2021.0</v>
      </c>
      <c r="C699" s="129">
        <v>-28.0</v>
      </c>
      <c r="D699" s="129">
        <v>43.4965</v>
      </c>
      <c r="E699" s="129">
        <v>1.2379</v>
      </c>
      <c r="F699" s="128" t="s">
        <v>2942</v>
      </c>
      <c r="G699" s="128" t="s">
        <v>5995</v>
      </c>
      <c r="H699" s="128" t="s">
        <v>837</v>
      </c>
      <c r="I699" s="128" t="s">
        <v>2955</v>
      </c>
      <c r="J699" s="129">
        <v>127.0</v>
      </c>
      <c r="K699" s="129">
        <v>1.0</v>
      </c>
      <c r="L699" s="129">
        <v>1000.0</v>
      </c>
      <c r="M699" s="128" t="s">
        <v>5995</v>
      </c>
      <c r="N699" s="129">
        <v>181.0</v>
      </c>
      <c r="O699" s="128"/>
      <c r="P699" s="129">
        <v>1000.0</v>
      </c>
      <c r="Q699" s="128" t="s">
        <v>91</v>
      </c>
    </row>
    <row r="700">
      <c r="A700" s="129">
        <v>2079.0</v>
      </c>
      <c r="B700" s="129">
        <v>2021.0</v>
      </c>
      <c r="C700" s="129">
        <v>56.8</v>
      </c>
      <c r="D700" s="129">
        <v>43.4965</v>
      </c>
      <c r="E700" s="129">
        <v>1.2379</v>
      </c>
      <c r="F700" s="128" t="s">
        <v>2942</v>
      </c>
      <c r="G700" s="128" t="s">
        <v>5995</v>
      </c>
      <c r="H700" s="128" t="s">
        <v>350</v>
      </c>
      <c r="I700" s="128" t="s">
        <v>342</v>
      </c>
      <c r="J700" s="129">
        <v>269.0</v>
      </c>
      <c r="K700" s="129">
        <v>1.0</v>
      </c>
      <c r="L700" s="129">
        <v>1000.0</v>
      </c>
      <c r="M700" s="128" t="s">
        <v>5995</v>
      </c>
      <c r="N700" s="129">
        <v>181.0</v>
      </c>
      <c r="O700" s="128"/>
      <c r="P700" s="129">
        <v>1000.0</v>
      </c>
      <c r="Q700" s="128" t="s">
        <v>91</v>
      </c>
    </row>
    <row r="701">
      <c r="A701" s="129">
        <v>2080.0</v>
      </c>
      <c r="B701" s="129">
        <v>2021.0</v>
      </c>
      <c r="C701" s="129">
        <v>-7.3</v>
      </c>
      <c r="D701" s="129">
        <v>43.4965</v>
      </c>
      <c r="E701" s="129">
        <v>1.2379</v>
      </c>
      <c r="F701" s="128" t="s">
        <v>2942</v>
      </c>
      <c r="G701" s="128" t="s">
        <v>5995</v>
      </c>
      <c r="H701" s="128" t="s">
        <v>506</v>
      </c>
      <c r="I701" s="128" t="s">
        <v>676</v>
      </c>
      <c r="J701" s="129">
        <v>161.0</v>
      </c>
      <c r="K701" s="129">
        <v>1.0</v>
      </c>
      <c r="L701" s="129">
        <v>1000.0</v>
      </c>
      <c r="M701" s="128" t="s">
        <v>5995</v>
      </c>
      <c r="N701" s="129">
        <v>181.0</v>
      </c>
      <c r="O701" s="128"/>
      <c r="P701" s="129">
        <v>1000.0</v>
      </c>
      <c r="Q701" s="128" t="s">
        <v>91</v>
      </c>
    </row>
    <row r="702">
      <c r="A702" s="129">
        <v>2081.0</v>
      </c>
      <c r="B702" s="129">
        <v>2021.0</v>
      </c>
      <c r="C702" s="129">
        <v>30.3</v>
      </c>
      <c r="D702" s="129">
        <v>43.4965</v>
      </c>
      <c r="E702" s="129">
        <v>1.2379</v>
      </c>
      <c r="F702" s="128" t="s">
        <v>2942</v>
      </c>
      <c r="G702" s="128" t="s">
        <v>5995</v>
      </c>
      <c r="H702" s="128" t="s">
        <v>536</v>
      </c>
      <c r="I702" s="128" t="s">
        <v>351</v>
      </c>
      <c r="J702" s="129">
        <v>237.0</v>
      </c>
      <c r="K702" s="129">
        <v>1.0</v>
      </c>
      <c r="L702" s="129">
        <v>1000.0</v>
      </c>
      <c r="M702" s="128" t="s">
        <v>5995</v>
      </c>
      <c r="N702" s="129">
        <v>181.0</v>
      </c>
      <c r="O702" s="128"/>
      <c r="P702" s="129">
        <v>1000.0</v>
      </c>
      <c r="Q702" s="128" t="s">
        <v>91</v>
      </c>
    </row>
    <row r="703">
      <c r="A703" s="129">
        <v>2082.0</v>
      </c>
      <c r="B703" s="129">
        <v>2021.0</v>
      </c>
      <c r="C703" s="129">
        <v>11.1</v>
      </c>
      <c r="D703" s="129">
        <v>43.4965</v>
      </c>
      <c r="E703" s="129">
        <v>1.2379</v>
      </c>
      <c r="F703" s="128" t="s">
        <v>2942</v>
      </c>
      <c r="G703" s="128" t="s">
        <v>5995</v>
      </c>
      <c r="H703" s="128" t="s">
        <v>969</v>
      </c>
      <c r="I703" s="128" t="s">
        <v>507</v>
      </c>
      <c r="J703" s="129">
        <v>180.0</v>
      </c>
      <c r="K703" s="129">
        <v>1.0</v>
      </c>
      <c r="L703" s="129">
        <v>1000.0</v>
      </c>
      <c r="M703" s="128" t="s">
        <v>5995</v>
      </c>
      <c r="N703" s="129">
        <v>181.0</v>
      </c>
      <c r="O703" s="128"/>
      <c r="P703" s="129">
        <v>1000.0</v>
      </c>
      <c r="Q703" s="128" t="s">
        <v>91</v>
      </c>
    </row>
    <row r="704">
      <c r="A704" s="129">
        <v>2083.0</v>
      </c>
      <c r="B704" s="129">
        <v>2021.0</v>
      </c>
      <c r="C704" s="129">
        <v>-12.5</v>
      </c>
      <c r="D704" s="129">
        <v>43.4965</v>
      </c>
      <c r="E704" s="129">
        <v>1.2379</v>
      </c>
      <c r="F704" s="128" t="s">
        <v>2942</v>
      </c>
      <c r="G704" s="128" t="s">
        <v>5995</v>
      </c>
      <c r="H704" s="128" t="s">
        <v>242</v>
      </c>
      <c r="I704" s="128" t="s">
        <v>243</v>
      </c>
      <c r="J704" s="129">
        <v>119.0</v>
      </c>
      <c r="K704" s="129">
        <v>1.0</v>
      </c>
      <c r="L704" s="129">
        <v>1000.0</v>
      </c>
      <c r="M704" s="128" t="s">
        <v>5995</v>
      </c>
      <c r="N704" s="129">
        <v>181.0</v>
      </c>
      <c r="O704" s="128"/>
      <c r="P704" s="129">
        <v>1000.0</v>
      </c>
      <c r="Q704" s="128" t="s">
        <v>91</v>
      </c>
    </row>
    <row r="705">
      <c r="A705" s="129">
        <v>2084.0</v>
      </c>
      <c r="B705" s="129">
        <v>2021.0</v>
      </c>
      <c r="C705" s="129">
        <v>-18.0</v>
      </c>
      <c r="D705" s="129">
        <v>43.4965</v>
      </c>
      <c r="E705" s="129">
        <v>1.2379</v>
      </c>
      <c r="F705" s="128" t="s">
        <v>2942</v>
      </c>
      <c r="G705" s="128" t="s">
        <v>5995</v>
      </c>
      <c r="H705" s="128" t="s">
        <v>245</v>
      </c>
      <c r="I705" s="128" t="s">
        <v>246</v>
      </c>
      <c r="J705" s="129">
        <v>126.0</v>
      </c>
      <c r="K705" s="129">
        <v>1.0</v>
      </c>
      <c r="L705" s="129">
        <v>1000.0</v>
      </c>
      <c r="M705" s="128" t="s">
        <v>5995</v>
      </c>
      <c r="N705" s="129">
        <v>181.0</v>
      </c>
      <c r="O705" s="128"/>
      <c r="P705" s="129">
        <v>1000.0</v>
      </c>
      <c r="Q705" s="128" t="s">
        <v>91</v>
      </c>
    </row>
    <row r="706">
      <c r="A706" s="129">
        <v>2085.0</v>
      </c>
      <c r="B706" s="129">
        <v>2021.0</v>
      </c>
      <c r="C706" s="129">
        <v>-30.1</v>
      </c>
      <c r="D706" s="129">
        <v>43.4965</v>
      </c>
      <c r="E706" s="129">
        <v>1.2379</v>
      </c>
      <c r="F706" s="128" t="s">
        <v>2942</v>
      </c>
      <c r="G706" s="128" t="s">
        <v>5995</v>
      </c>
      <c r="H706" s="128" t="s">
        <v>837</v>
      </c>
      <c r="I706" s="128" t="s">
        <v>2955</v>
      </c>
      <c r="J706" s="129">
        <v>127.0</v>
      </c>
      <c r="K706" s="129">
        <v>1.0</v>
      </c>
      <c r="L706" s="129">
        <v>1000.0</v>
      </c>
      <c r="M706" s="128" t="s">
        <v>5995</v>
      </c>
      <c r="N706" s="129">
        <v>181.0</v>
      </c>
      <c r="O706" s="128"/>
      <c r="P706" s="129">
        <v>1000.0</v>
      </c>
      <c r="Q706" s="128" t="s">
        <v>91</v>
      </c>
    </row>
    <row r="707">
      <c r="A707" s="129">
        <v>1936.0</v>
      </c>
      <c r="B707" s="129">
        <v>2021.0</v>
      </c>
      <c r="C707" s="129">
        <v>-7.0</v>
      </c>
      <c r="D707" s="129">
        <v>43.5497</v>
      </c>
      <c r="E707" s="129">
        <v>1.1061</v>
      </c>
      <c r="F707" s="128" t="s">
        <v>2942</v>
      </c>
      <c r="G707" s="128" t="s">
        <v>5996</v>
      </c>
      <c r="H707" s="128" t="s">
        <v>341</v>
      </c>
      <c r="I707" s="128" t="s">
        <v>285</v>
      </c>
      <c r="J707" s="129">
        <v>246.0</v>
      </c>
      <c r="K707" s="129">
        <v>1.0</v>
      </c>
      <c r="L707" s="129">
        <v>1000.0</v>
      </c>
      <c r="M707" s="128" t="s">
        <v>5996</v>
      </c>
      <c r="N707" s="129">
        <v>246.0</v>
      </c>
      <c r="O707" s="128"/>
      <c r="P707" s="129">
        <v>1000.0</v>
      </c>
      <c r="Q707" s="128" t="s">
        <v>91</v>
      </c>
    </row>
    <row r="708">
      <c r="A708" s="129">
        <v>1937.0</v>
      </c>
      <c r="B708" s="129">
        <v>2021.0</v>
      </c>
      <c r="C708" s="129">
        <v>23.0</v>
      </c>
      <c r="D708" s="129">
        <v>43.5497</v>
      </c>
      <c r="E708" s="129">
        <v>1.1061</v>
      </c>
      <c r="F708" s="128" t="s">
        <v>2942</v>
      </c>
      <c r="G708" s="128" t="s">
        <v>5996</v>
      </c>
      <c r="H708" s="128" t="s">
        <v>350</v>
      </c>
      <c r="I708" s="128" t="s">
        <v>342</v>
      </c>
      <c r="J708" s="129">
        <v>164.0</v>
      </c>
      <c r="K708" s="129">
        <v>1.0</v>
      </c>
      <c r="L708" s="129">
        <v>1000.0</v>
      </c>
      <c r="M708" s="128" t="s">
        <v>5996</v>
      </c>
      <c r="N708" s="129">
        <v>246.0</v>
      </c>
      <c r="O708" s="128"/>
      <c r="P708" s="129">
        <v>1000.0</v>
      </c>
      <c r="Q708" s="128" t="s">
        <v>91</v>
      </c>
    </row>
    <row r="709">
      <c r="A709" s="129">
        <v>1938.0</v>
      </c>
      <c r="B709" s="129">
        <v>2021.0</v>
      </c>
      <c r="C709" s="129">
        <v>19.0</v>
      </c>
      <c r="D709" s="129">
        <v>43.5497</v>
      </c>
      <c r="E709" s="129">
        <v>1.1061</v>
      </c>
      <c r="F709" s="128" t="s">
        <v>2942</v>
      </c>
      <c r="G709" s="128" t="s">
        <v>5996</v>
      </c>
      <c r="H709" s="128" t="s">
        <v>506</v>
      </c>
      <c r="I709" s="128" t="s">
        <v>676</v>
      </c>
      <c r="J709" s="129">
        <v>258.0</v>
      </c>
      <c r="K709" s="129">
        <v>1.0</v>
      </c>
      <c r="L709" s="129">
        <v>1000.0</v>
      </c>
      <c r="M709" s="128" t="s">
        <v>5996</v>
      </c>
      <c r="N709" s="129">
        <v>246.0</v>
      </c>
      <c r="O709" s="128"/>
      <c r="P709" s="129">
        <v>1000.0</v>
      </c>
      <c r="Q709" s="128" t="s">
        <v>91</v>
      </c>
    </row>
    <row r="710">
      <c r="A710" s="129">
        <v>1939.0</v>
      </c>
      <c r="B710" s="129">
        <v>2021.0</v>
      </c>
      <c r="C710" s="129">
        <v>27.0</v>
      </c>
      <c r="D710" s="129">
        <v>43.5497</v>
      </c>
      <c r="E710" s="129">
        <v>1.1061</v>
      </c>
      <c r="F710" s="128" t="s">
        <v>2942</v>
      </c>
      <c r="G710" s="128" t="s">
        <v>5995</v>
      </c>
      <c r="H710" s="128" t="s">
        <v>350</v>
      </c>
      <c r="I710" s="128" t="s">
        <v>342</v>
      </c>
      <c r="J710" s="129">
        <v>269.0</v>
      </c>
      <c r="K710" s="129">
        <v>1.0</v>
      </c>
      <c r="L710" s="129">
        <v>1000.0</v>
      </c>
      <c r="M710" s="128" t="s">
        <v>5995</v>
      </c>
      <c r="N710" s="129">
        <v>246.0</v>
      </c>
      <c r="O710" s="128"/>
      <c r="P710" s="129">
        <v>1000.0</v>
      </c>
      <c r="Q710" s="128" t="s">
        <v>91</v>
      </c>
    </row>
    <row r="711">
      <c r="A711" s="129">
        <v>1940.0</v>
      </c>
      <c r="B711" s="129">
        <v>2021.0</v>
      </c>
      <c r="C711" s="129">
        <v>-1.0</v>
      </c>
      <c r="D711" s="129">
        <v>43.5497</v>
      </c>
      <c r="E711" s="129">
        <v>1.1061</v>
      </c>
      <c r="F711" s="128" t="s">
        <v>2942</v>
      </c>
      <c r="G711" s="128" t="s">
        <v>5995</v>
      </c>
      <c r="H711" s="128" t="s">
        <v>506</v>
      </c>
      <c r="I711" s="128" t="s">
        <v>676</v>
      </c>
      <c r="J711" s="129">
        <v>161.0</v>
      </c>
      <c r="K711" s="129">
        <v>1.0</v>
      </c>
      <c r="L711" s="129">
        <v>1000.0</v>
      </c>
      <c r="M711" s="128" t="s">
        <v>5995</v>
      </c>
      <c r="N711" s="129">
        <v>246.0</v>
      </c>
      <c r="O711" s="128"/>
      <c r="P711" s="129">
        <v>1000.0</v>
      </c>
      <c r="Q711" s="128" t="s">
        <v>91</v>
      </c>
    </row>
    <row r="712">
      <c r="A712" s="129">
        <v>1941.0</v>
      </c>
      <c r="B712" s="129">
        <v>2021.0</v>
      </c>
      <c r="C712" s="129">
        <v>47.0</v>
      </c>
      <c r="D712" s="129">
        <v>43.5497</v>
      </c>
      <c r="E712" s="129">
        <v>1.1061</v>
      </c>
      <c r="F712" s="128" t="s">
        <v>2942</v>
      </c>
      <c r="G712" s="128" t="s">
        <v>5995</v>
      </c>
      <c r="H712" s="128" t="s">
        <v>536</v>
      </c>
      <c r="I712" s="128" t="s">
        <v>351</v>
      </c>
      <c r="J712" s="129">
        <v>237.0</v>
      </c>
      <c r="K712" s="129">
        <v>1.0</v>
      </c>
      <c r="L712" s="129">
        <v>1000.0</v>
      </c>
      <c r="M712" s="128" t="s">
        <v>5995</v>
      </c>
      <c r="N712" s="129">
        <v>246.0</v>
      </c>
      <c r="O712" s="128"/>
      <c r="P712" s="129">
        <v>1000.0</v>
      </c>
      <c r="Q712" s="128" t="s">
        <v>91</v>
      </c>
    </row>
    <row r="713">
      <c r="A713" s="129">
        <v>1942.0</v>
      </c>
      <c r="B713" s="129">
        <v>2021.0</v>
      </c>
      <c r="C713" s="129">
        <v>24.0</v>
      </c>
      <c r="D713" s="129">
        <v>43.5497</v>
      </c>
      <c r="E713" s="129">
        <v>1.1061</v>
      </c>
      <c r="F713" s="128" t="s">
        <v>2942</v>
      </c>
      <c r="G713" s="128" t="s">
        <v>5995</v>
      </c>
      <c r="H713" s="128" t="s">
        <v>969</v>
      </c>
      <c r="I713" s="128" t="s">
        <v>507</v>
      </c>
      <c r="J713" s="129">
        <v>180.0</v>
      </c>
      <c r="K713" s="129">
        <v>1.0</v>
      </c>
      <c r="L713" s="129">
        <v>1000.0</v>
      </c>
      <c r="M713" s="128" t="s">
        <v>5995</v>
      </c>
      <c r="N713" s="129">
        <v>246.0</v>
      </c>
      <c r="O713" s="128"/>
      <c r="P713" s="129">
        <v>1000.0</v>
      </c>
      <c r="Q713" s="128" t="s">
        <v>91</v>
      </c>
    </row>
    <row r="714">
      <c r="A714" s="129">
        <v>1943.0</v>
      </c>
      <c r="B714" s="129">
        <v>2021.0</v>
      </c>
      <c r="C714" s="129">
        <v>-2.0</v>
      </c>
      <c r="D714" s="129">
        <v>43.5497</v>
      </c>
      <c r="E714" s="129">
        <v>1.1061</v>
      </c>
      <c r="F714" s="128" t="s">
        <v>2942</v>
      </c>
      <c r="G714" s="128" t="s">
        <v>5995</v>
      </c>
      <c r="H714" s="128" t="s">
        <v>242</v>
      </c>
      <c r="I714" s="128" t="s">
        <v>243</v>
      </c>
      <c r="J714" s="129">
        <v>119.0</v>
      </c>
      <c r="K714" s="129">
        <v>1.0</v>
      </c>
      <c r="L714" s="129">
        <v>1000.0</v>
      </c>
      <c r="M714" s="128" t="s">
        <v>5995</v>
      </c>
      <c r="N714" s="129">
        <v>246.0</v>
      </c>
      <c r="O714" s="128"/>
      <c r="P714" s="129">
        <v>1000.0</v>
      </c>
      <c r="Q714" s="128" t="s">
        <v>91</v>
      </c>
    </row>
    <row r="715">
      <c r="A715" s="129">
        <v>1944.0</v>
      </c>
      <c r="B715" s="129">
        <v>2021.0</v>
      </c>
      <c r="C715" s="129">
        <v>-6.0</v>
      </c>
      <c r="D715" s="129">
        <v>43.5497</v>
      </c>
      <c r="E715" s="129">
        <v>1.1061</v>
      </c>
      <c r="F715" s="128" t="s">
        <v>2942</v>
      </c>
      <c r="G715" s="128" t="s">
        <v>5995</v>
      </c>
      <c r="H715" s="128" t="s">
        <v>245</v>
      </c>
      <c r="I715" s="128" t="s">
        <v>246</v>
      </c>
      <c r="J715" s="129">
        <v>126.0</v>
      </c>
      <c r="K715" s="129">
        <v>1.0</v>
      </c>
      <c r="L715" s="129">
        <v>1000.0</v>
      </c>
      <c r="M715" s="128" t="s">
        <v>5995</v>
      </c>
      <c r="N715" s="129">
        <v>246.0</v>
      </c>
      <c r="O715" s="128"/>
      <c r="P715" s="129">
        <v>1000.0</v>
      </c>
      <c r="Q715" s="128" t="s">
        <v>91</v>
      </c>
    </row>
    <row r="716">
      <c r="A716" s="129">
        <v>1945.0</v>
      </c>
      <c r="B716" s="129">
        <v>2021.0</v>
      </c>
      <c r="C716" s="129">
        <v>-24.0</v>
      </c>
      <c r="D716" s="129">
        <v>43.5497</v>
      </c>
      <c r="E716" s="129">
        <v>1.1061</v>
      </c>
      <c r="F716" s="128" t="s">
        <v>2942</v>
      </c>
      <c r="G716" s="128" t="s">
        <v>5995</v>
      </c>
      <c r="H716" s="128" t="s">
        <v>837</v>
      </c>
      <c r="I716" s="128" t="s">
        <v>2955</v>
      </c>
      <c r="J716" s="129">
        <v>127.0</v>
      </c>
      <c r="K716" s="129">
        <v>1.0</v>
      </c>
      <c r="L716" s="129">
        <v>1000.0</v>
      </c>
      <c r="M716" s="128" t="s">
        <v>5995</v>
      </c>
      <c r="N716" s="129">
        <v>246.0</v>
      </c>
      <c r="O716" s="128"/>
      <c r="P716" s="129">
        <v>1000.0</v>
      </c>
      <c r="Q716" s="128" t="s">
        <v>91</v>
      </c>
    </row>
    <row r="717">
      <c r="A717" s="129">
        <v>1956.0</v>
      </c>
      <c r="B717" s="129">
        <v>2021.0</v>
      </c>
      <c r="C717" s="129">
        <v>-11.0</v>
      </c>
      <c r="D717" s="129">
        <v>43.5497</v>
      </c>
      <c r="E717" s="129">
        <v>1.1061</v>
      </c>
      <c r="F717" s="128" t="s">
        <v>2942</v>
      </c>
      <c r="G717" s="128" t="s">
        <v>5996</v>
      </c>
      <c r="H717" s="128" t="s">
        <v>341</v>
      </c>
      <c r="I717" s="128" t="s">
        <v>285</v>
      </c>
      <c r="J717" s="129">
        <v>246.0</v>
      </c>
      <c r="K717" s="129">
        <v>1.0</v>
      </c>
      <c r="L717" s="129">
        <v>1000.0</v>
      </c>
      <c r="M717" s="128" t="s">
        <v>5996</v>
      </c>
      <c r="N717" s="129">
        <v>246.0</v>
      </c>
      <c r="O717" s="128"/>
      <c r="P717" s="129">
        <v>1000.0</v>
      </c>
      <c r="Q717" s="128" t="s">
        <v>91</v>
      </c>
    </row>
    <row r="718">
      <c r="A718" s="129">
        <v>1957.0</v>
      </c>
      <c r="B718" s="129">
        <v>2021.0</v>
      </c>
      <c r="C718" s="129">
        <v>12.0</v>
      </c>
      <c r="D718" s="129">
        <v>43.5497</v>
      </c>
      <c r="E718" s="129">
        <v>1.1061</v>
      </c>
      <c r="F718" s="128" t="s">
        <v>2942</v>
      </c>
      <c r="G718" s="128" t="s">
        <v>5996</v>
      </c>
      <c r="H718" s="128" t="s">
        <v>350</v>
      </c>
      <c r="I718" s="128" t="s">
        <v>342</v>
      </c>
      <c r="J718" s="129">
        <v>164.0</v>
      </c>
      <c r="K718" s="129">
        <v>1.0</v>
      </c>
      <c r="L718" s="129">
        <v>1000.0</v>
      </c>
      <c r="M718" s="128" t="s">
        <v>5996</v>
      </c>
      <c r="N718" s="129">
        <v>246.0</v>
      </c>
      <c r="O718" s="128"/>
      <c r="P718" s="129">
        <v>1000.0</v>
      </c>
      <c r="Q718" s="128" t="s">
        <v>91</v>
      </c>
    </row>
    <row r="719">
      <c r="A719" s="129">
        <v>1958.0</v>
      </c>
      <c r="B719" s="129">
        <v>2021.0</v>
      </c>
      <c r="C719" s="129">
        <v>12.0</v>
      </c>
      <c r="D719" s="129">
        <v>43.5497</v>
      </c>
      <c r="E719" s="129">
        <v>1.1061</v>
      </c>
      <c r="F719" s="128" t="s">
        <v>2942</v>
      </c>
      <c r="G719" s="128" t="s">
        <v>5996</v>
      </c>
      <c r="H719" s="128" t="s">
        <v>506</v>
      </c>
      <c r="I719" s="128" t="s">
        <v>676</v>
      </c>
      <c r="J719" s="129">
        <v>258.0</v>
      </c>
      <c r="K719" s="129">
        <v>1.0</v>
      </c>
      <c r="L719" s="129">
        <v>1000.0</v>
      </c>
      <c r="M719" s="128" t="s">
        <v>5996</v>
      </c>
      <c r="N719" s="129">
        <v>246.0</v>
      </c>
      <c r="O719" s="128"/>
      <c r="P719" s="129">
        <v>1000.0</v>
      </c>
      <c r="Q719" s="128" t="s">
        <v>91</v>
      </c>
    </row>
    <row r="720">
      <c r="A720" s="129">
        <v>1959.0</v>
      </c>
      <c r="B720" s="129">
        <v>2021.0</v>
      </c>
      <c r="C720" s="129">
        <v>20.0</v>
      </c>
      <c r="D720" s="129">
        <v>43.5497</v>
      </c>
      <c r="E720" s="129">
        <v>1.1061</v>
      </c>
      <c r="F720" s="128" t="s">
        <v>2942</v>
      </c>
      <c r="G720" s="128" t="s">
        <v>5995</v>
      </c>
      <c r="H720" s="128" t="s">
        <v>350</v>
      </c>
      <c r="I720" s="128" t="s">
        <v>342</v>
      </c>
      <c r="J720" s="129">
        <v>269.0</v>
      </c>
      <c r="K720" s="129">
        <v>1.0</v>
      </c>
      <c r="L720" s="129">
        <v>1000.0</v>
      </c>
      <c r="M720" s="128" t="s">
        <v>5995</v>
      </c>
      <c r="N720" s="129">
        <v>246.0</v>
      </c>
      <c r="O720" s="128"/>
      <c r="P720" s="129">
        <v>1000.0</v>
      </c>
      <c r="Q720" s="128" t="s">
        <v>91</v>
      </c>
    </row>
    <row r="721">
      <c r="A721" s="129">
        <v>1960.0</v>
      </c>
      <c r="B721" s="129">
        <v>2021.0</v>
      </c>
      <c r="C721" s="129">
        <v>-7.0</v>
      </c>
      <c r="D721" s="129">
        <v>43.5497</v>
      </c>
      <c r="E721" s="129">
        <v>1.1061</v>
      </c>
      <c r="F721" s="128" t="s">
        <v>2942</v>
      </c>
      <c r="G721" s="128" t="s">
        <v>5995</v>
      </c>
      <c r="H721" s="128" t="s">
        <v>506</v>
      </c>
      <c r="I721" s="128" t="s">
        <v>676</v>
      </c>
      <c r="J721" s="129">
        <v>161.0</v>
      </c>
      <c r="K721" s="129">
        <v>1.0</v>
      </c>
      <c r="L721" s="129">
        <v>1000.0</v>
      </c>
      <c r="M721" s="128" t="s">
        <v>5995</v>
      </c>
      <c r="N721" s="129">
        <v>246.0</v>
      </c>
      <c r="O721" s="128"/>
      <c r="P721" s="129">
        <v>1000.0</v>
      </c>
      <c r="Q721" s="128" t="s">
        <v>91</v>
      </c>
    </row>
    <row r="722">
      <c r="A722" s="129">
        <v>1961.0</v>
      </c>
      <c r="B722" s="129">
        <v>2021.0</v>
      </c>
      <c r="C722" s="129">
        <v>40.0</v>
      </c>
      <c r="D722" s="129">
        <v>43.5497</v>
      </c>
      <c r="E722" s="129">
        <v>1.1061</v>
      </c>
      <c r="F722" s="128" t="s">
        <v>2942</v>
      </c>
      <c r="G722" s="128" t="s">
        <v>5995</v>
      </c>
      <c r="H722" s="128" t="s">
        <v>536</v>
      </c>
      <c r="I722" s="128" t="s">
        <v>351</v>
      </c>
      <c r="J722" s="129">
        <v>237.0</v>
      </c>
      <c r="K722" s="129">
        <v>1.0</v>
      </c>
      <c r="L722" s="129">
        <v>1000.0</v>
      </c>
      <c r="M722" s="128" t="s">
        <v>5995</v>
      </c>
      <c r="N722" s="129">
        <v>246.0</v>
      </c>
      <c r="O722" s="128"/>
      <c r="P722" s="129">
        <v>1000.0</v>
      </c>
      <c r="Q722" s="128" t="s">
        <v>91</v>
      </c>
    </row>
    <row r="723">
      <c r="A723" s="129">
        <v>1962.0</v>
      </c>
      <c r="B723" s="129">
        <v>2021.0</v>
      </c>
      <c r="C723" s="129">
        <v>19.0</v>
      </c>
      <c r="D723" s="129">
        <v>43.5497</v>
      </c>
      <c r="E723" s="129">
        <v>1.1061</v>
      </c>
      <c r="F723" s="128" t="s">
        <v>2942</v>
      </c>
      <c r="G723" s="128" t="s">
        <v>5995</v>
      </c>
      <c r="H723" s="128" t="s">
        <v>969</v>
      </c>
      <c r="I723" s="128" t="s">
        <v>507</v>
      </c>
      <c r="J723" s="129">
        <v>180.0</v>
      </c>
      <c r="K723" s="129">
        <v>1.0</v>
      </c>
      <c r="L723" s="129">
        <v>1000.0</v>
      </c>
      <c r="M723" s="128" t="s">
        <v>5995</v>
      </c>
      <c r="N723" s="129">
        <v>246.0</v>
      </c>
      <c r="O723" s="128"/>
      <c r="P723" s="129">
        <v>1000.0</v>
      </c>
      <c r="Q723" s="128" t="s">
        <v>91</v>
      </c>
    </row>
    <row r="724">
      <c r="A724" s="129">
        <v>1963.0</v>
      </c>
      <c r="B724" s="129">
        <v>2021.0</v>
      </c>
      <c r="C724" s="129">
        <v>-10.0</v>
      </c>
      <c r="D724" s="129">
        <v>43.5497</v>
      </c>
      <c r="E724" s="129">
        <v>1.1061</v>
      </c>
      <c r="F724" s="128" t="s">
        <v>2942</v>
      </c>
      <c r="G724" s="128" t="s">
        <v>5995</v>
      </c>
      <c r="H724" s="128" t="s">
        <v>242</v>
      </c>
      <c r="I724" s="128" t="s">
        <v>243</v>
      </c>
      <c r="J724" s="129">
        <v>119.0</v>
      </c>
      <c r="K724" s="129">
        <v>1.0</v>
      </c>
      <c r="L724" s="129">
        <v>1000.0</v>
      </c>
      <c r="M724" s="128" t="s">
        <v>5995</v>
      </c>
      <c r="N724" s="129">
        <v>246.0</v>
      </c>
      <c r="O724" s="128"/>
      <c r="P724" s="129">
        <v>1000.0</v>
      </c>
      <c r="Q724" s="128" t="s">
        <v>91</v>
      </c>
    </row>
    <row r="725">
      <c r="A725" s="129">
        <v>1964.0</v>
      </c>
      <c r="B725" s="129">
        <v>2021.0</v>
      </c>
      <c r="C725" s="129">
        <v>-10.0</v>
      </c>
      <c r="D725" s="129">
        <v>43.5497</v>
      </c>
      <c r="E725" s="129">
        <v>1.1061</v>
      </c>
      <c r="F725" s="128" t="s">
        <v>2942</v>
      </c>
      <c r="G725" s="128" t="s">
        <v>5995</v>
      </c>
      <c r="H725" s="128" t="s">
        <v>245</v>
      </c>
      <c r="I725" s="128" t="s">
        <v>246</v>
      </c>
      <c r="J725" s="129">
        <v>126.0</v>
      </c>
      <c r="K725" s="129">
        <v>1.0</v>
      </c>
      <c r="L725" s="129">
        <v>1000.0</v>
      </c>
      <c r="M725" s="128" t="s">
        <v>5995</v>
      </c>
      <c r="N725" s="129">
        <v>246.0</v>
      </c>
      <c r="O725" s="128"/>
      <c r="P725" s="129">
        <v>1000.0</v>
      </c>
      <c r="Q725" s="128" t="s">
        <v>91</v>
      </c>
    </row>
    <row r="726">
      <c r="A726" s="129">
        <v>1965.0</v>
      </c>
      <c r="B726" s="129">
        <v>2021.0</v>
      </c>
      <c r="C726" s="129">
        <v>-27.0</v>
      </c>
      <c r="D726" s="129">
        <v>43.5497</v>
      </c>
      <c r="E726" s="129">
        <v>1.1061</v>
      </c>
      <c r="F726" s="128" t="s">
        <v>2942</v>
      </c>
      <c r="G726" s="128" t="s">
        <v>5995</v>
      </c>
      <c r="H726" s="128" t="s">
        <v>837</v>
      </c>
      <c r="I726" s="128" t="s">
        <v>2955</v>
      </c>
      <c r="J726" s="129">
        <v>127.0</v>
      </c>
      <c r="K726" s="129">
        <v>1.0</v>
      </c>
      <c r="L726" s="129">
        <v>1000.0</v>
      </c>
      <c r="M726" s="128" t="s">
        <v>5995</v>
      </c>
      <c r="N726" s="129">
        <v>246.0</v>
      </c>
      <c r="O726" s="128"/>
      <c r="P726" s="129">
        <v>1000.0</v>
      </c>
      <c r="Q726" s="128" t="s">
        <v>91</v>
      </c>
    </row>
    <row r="727">
      <c r="A727" s="129">
        <v>1976.0</v>
      </c>
      <c r="B727" s="129">
        <v>2021.0</v>
      </c>
      <c r="C727" s="129">
        <v>13.0</v>
      </c>
      <c r="D727" s="129">
        <v>43.5497</v>
      </c>
      <c r="E727" s="129">
        <v>1.1061</v>
      </c>
      <c r="F727" s="128" t="s">
        <v>2942</v>
      </c>
      <c r="G727" s="128" t="s">
        <v>5996</v>
      </c>
      <c r="H727" s="128" t="s">
        <v>341</v>
      </c>
      <c r="I727" s="128" t="s">
        <v>285</v>
      </c>
      <c r="J727" s="129">
        <v>246.0</v>
      </c>
      <c r="K727" s="129">
        <v>1.0</v>
      </c>
      <c r="L727" s="129">
        <v>1000.0</v>
      </c>
      <c r="M727" s="128" t="s">
        <v>5996</v>
      </c>
      <c r="N727" s="129">
        <v>246.0</v>
      </c>
      <c r="O727" s="128"/>
      <c r="P727" s="129">
        <v>1000.0</v>
      </c>
      <c r="Q727" s="128" t="s">
        <v>91</v>
      </c>
    </row>
    <row r="728">
      <c r="A728" s="129">
        <v>1977.0</v>
      </c>
      <c r="B728" s="129">
        <v>2021.0</v>
      </c>
      <c r="C728" s="129">
        <v>69.0</v>
      </c>
      <c r="D728" s="129">
        <v>43.5497</v>
      </c>
      <c r="E728" s="129">
        <v>1.1061</v>
      </c>
      <c r="F728" s="128" t="s">
        <v>2942</v>
      </c>
      <c r="G728" s="128" t="s">
        <v>5996</v>
      </c>
      <c r="H728" s="128" t="s">
        <v>350</v>
      </c>
      <c r="I728" s="128" t="s">
        <v>342</v>
      </c>
      <c r="J728" s="129">
        <v>164.0</v>
      </c>
      <c r="K728" s="129">
        <v>1.0</v>
      </c>
      <c r="L728" s="129">
        <v>1000.0</v>
      </c>
      <c r="M728" s="128" t="s">
        <v>5996</v>
      </c>
      <c r="N728" s="129">
        <v>246.0</v>
      </c>
      <c r="O728" s="128"/>
      <c r="P728" s="129">
        <v>1000.0</v>
      </c>
      <c r="Q728" s="128" t="s">
        <v>91</v>
      </c>
    </row>
    <row r="729">
      <c r="A729" s="129">
        <v>1978.0</v>
      </c>
      <c r="B729" s="129">
        <v>2021.0</v>
      </c>
      <c r="C729" s="129">
        <v>75.0</v>
      </c>
      <c r="D729" s="129">
        <v>43.5497</v>
      </c>
      <c r="E729" s="129">
        <v>1.1061</v>
      </c>
      <c r="F729" s="128" t="s">
        <v>2942</v>
      </c>
      <c r="G729" s="128" t="s">
        <v>5996</v>
      </c>
      <c r="H729" s="128" t="s">
        <v>506</v>
      </c>
      <c r="I729" s="128" t="s">
        <v>676</v>
      </c>
      <c r="J729" s="129">
        <v>258.0</v>
      </c>
      <c r="K729" s="129">
        <v>1.0</v>
      </c>
      <c r="L729" s="129">
        <v>1000.0</v>
      </c>
      <c r="M729" s="128" t="s">
        <v>5996</v>
      </c>
      <c r="N729" s="129">
        <v>246.0</v>
      </c>
      <c r="O729" s="128"/>
      <c r="P729" s="129">
        <v>1000.0</v>
      </c>
      <c r="Q729" s="128" t="s">
        <v>91</v>
      </c>
    </row>
    <row r="730">
      <c r="A730" s="129">
        <v>1996.0</v>
      </c>
      <c r="B730" s="129">
        <v>2021.0</v>
      </c>
      <c r="C730" s="129">
        <v>-7.0</v>
      </c>
      <c r="D730" s="129">
        <v>43.5497</v>
      </c>
      <c r="E730" s="129">
        <v>1.1061</v>
      </c>
      <c r="F730" s="128" t="s">
        <v>2942</v>
      </c>
      <c r="G730" s="128" t="s">
        <v>5996</v>
      </c>
      <c r="H730" s="128" t="s">
        <v>341</v>
      </c>
      <c r="I730" s="128" t="s">
        <v>285</v>
      </c>
      <c r="J730" s="129">
        <v>246.0</v>
      </c>
      <c r="K730" s="129">
        <v>1.0</v>
      </c>
      <c r="L730" s="129">
        <v>1000.0</v>
      </c>
      <c r="M730" s="128" t="s">
        <v>5996</v>
      </c>
      <c r="N730" s="129">
        <v>246.0</v>
      </c>
      <c r="O730" s="128"/>
      <c r="P730" s="129">
        <v>1000.0</v>
      </c>
      <c r="Q730" s="128" t="s">
        <v>91</v>
      </c>
    </row>
    <row r="731">
      <c r="A731" s="129">
        <v>1997.0</v>
      </c>
      <c r="B731" s="129">
        <v>2021.0</v>
      </c>
      <c r="C731" s="129">
        <v>23.0</v>
      </c>
      <c r="D731" s="129">
        <v>43.5497</v>
      </c>
      <c r="E731" s="129">
        <v>1.1061</v>
      </c>
      <c r="F731" s="128" t="s">
        <v>2942</v>
      </c>
      <c r="G731" s="128" t="s">
        <v>5996</v>
      </c>
      <c r="H731" s="128" t="s">
        <v>350</v>
      </c>
      <c r="I731" s="128" t="s">
        <v>342</v>
      </c>
      <c r="J731" s="129">
        <v>164.0</v>
      </c>
      <c r="K731" s="129">
        <v>1.0</v>
      </c>
      <c r="L731" s="129">
        <v>1000.0</v>
      </c>
      <c r="M731" s="128" t="s">
        <v>5996</v>
      </c>
      <c r="N731" s="129">
        <v>246.0</v>
      </c>
      <c r="O731" s="128"/>
      <c r="P731" s="129">
        <v>1000.0</v>
      </c>
      <c r="Q731" s="128" t="s">
        <v>91</v>
      </c>
    </row>
    <row r="732">
      <c r="A732" s="129">
        <v>1998.0</v>
      </c>
      <c r="B732" s="129">
        <v>2021.0</v>
      </c>
      <c r="C732" s="129">
        <v>19.0</v>
      </c>
      <c r="D732" s="129">
        <v>43.5497</v>
      </c>
      <c r="E732" s="129">
        <v>1.1061</v>
      </c>
      <c r="F732" s="128" t="s">
        <v>2942</v>
      </c>
      <c r="G732" s="128" t="s">
        <v>5996</v>
      </c>
      <c r="H732" s="128" t="s">
        <v>506</v>
      </c>
      <c r="I732" s="128" t="s">
        <v>676</v>
      </c>
      <c r="J732" s="129">
        <v>258.0</v>
      </c>
      <c r="K732" s="129">
        <v>1.0</v>
      </c>
      <c r="L732" s="129">
        <v>1000.0</v>
      </c>
      <c r="M732" s="128" t="s">
        <v>5996</v>
      </c>
      <c r="N732" s="129">
        <v>246.0</v>
      </c>
      <c r="O732" s="128"/>
      <c r="P732" s="129">
        <v>1000.0</v>
      </c>
      <c r="Q732" s="128" t="s">
        <v>91</v>
      </c>
    </row>
    <row r="733">
      <c r="A733" s="129">
        <v>2016.0</v>
      </c>
      <c r="B733" s="129">
        <v>2021.0</v>
      </c>
      <c r="C733" s="129">
        <v>-3.0</v>
      </c>
      <c r="D733" s="129">
        <v>43.5497</v>
      </c>
      <c r="E733" s="129">
        <v>1.1061</v>
      </c>
      <c r="F733" s="128" t="s">
        <v>2942</v>
      </c>
      <c r="G733" s="128" t="s">
        <v>5996</v>
      </c>
      <c r="H733" s="128" t="s">
        <v>341</v>
      </c>
      <c r="I733" s="128" t="s">
        <v>285</v>
      </c>
      <c r="J733" s="129">
        <v>246.0</v>
      </c>
      <c r="K733" s="129">
        <v>1.0</v>
      </c>
      <c r="L733" s="129">
        <v>1000.0</v>
      </c>
      <c r="M733" s="128" t="s">
        <v>5996</v>
      </c>
      <c r="N733" s="129">
        <v>246.0</v>
      </c>
      <c r="O733" s="128"/>
      <c r="P733" s="129">
        <v>1000.0</v>
      </c>
      <c r="Q733" s="128" t="s">
        <v>91</v>
      </c>
    </row>
    <row r="734">
      <c r="A734" s="129">
        <v>2017.0</v>
      </c>
      <c r="B734" s="129">
        <v>2021.0</v>
      </c>
      <c r="C734" s="129">
        <v>25.0</v>
      </c>
      <c r="D734" s="129">
        <v>43.5497</v>
      </c>
      <c r="E734" s="129">
        <v>1.1061</v>
      </c>
      <c r="F734" s="128" t="s">
        <v>2942</v>
      </c>
      <c r="G734" s="128" t="s">
        <v>5996</v>
      </c>
      <c r="H734" s="128" t="s">
        <v>350</v>
      </c>
      <c r="I734" s="128" t="s">
        <v>342</v>
      </c>
      <c r="J734" s="129">
        <v>164.0</v>
      </c>
      <c r="K734" s="129">
        <v>1.0</v>
      </c>
      <c r="L734" s="129">
        <v>1000.0</v>
      </c>
      <c r="M734" s="128" t="s">
        <v>5996</v>
      </c>
      <c r="N734" s="129">
        <v>246.0</v>
      </c>
      <c r="O734" s="128"/>
      <c r="P734" s="129">
        <v>1000.0</v>
      </c>
      <c r="Q734" s="128" t="s">
        <v>91</v>
      </c>
    </row>
    <row r="735">
      <c r="A735" s="129">
        <v>2018.0</v>
      </c>
      <c r="B735" s="129">
        <v>2021.0</v>
      </c>
      <c r="C735" s="129">
        <v>26.0</v>
      </c>
      <c r="D735" s="129">
        <v>43.5497</v>
      </c>
      <c r="E735" s="129">
        <v>1.1061</v>
      </c>
      <c r="F735" s="128" t="s">
        <v>2942</v>
      </c>
      <c r="G735" s="128" t="s">
        <v>5996</v>
      </c>
      <c r="H735" s="128" t="s">
        <v>506</v>
      </c>
      <c r="I735" s="128" t="s">
        <v>676</v>
      </c>
      <c r="J735" s="129">
        <v>258.0</v>
      </c>
      <c r="K735" s="129">
        <v>1.0</v>
      </c>
      <c r="L735" s="129">
        <v>1000.0</v>
      </c>
      <c r="M735" s="128" t="s">
        <v>5996</v>
      </c>
      <c r="N735" s="129">
        <v>246.0</v>
      </c>
      <c r="O735" s="128"/>
      <c r="P735" s="129">
        <v>1000.0</v>
      </c>
      <c r="Q735" s="128" t="s">
        <v>91</v>
      </c>
    </row>
    <row r="736">
      <c r="A736" s="129">
        <v>2036.0</v>
      </c>
      <c r="B736" s="129">
        <v>2021.0</v>
      </c>
      <c r="C736" s="129">
        <v>-10.0</v>
      </c>
      <c r="D736" s="129">
        <v>43.5497</v>
      </c>
      <c r="E736" s="129">
        <v>1.1061</v>
      </c>
      <c r="F736" s="128" t="s">
        <v>2942</v>
      </c>
      <c r="G736" s="128" t="s">
        <v>5996</v>
      </c>
      <c r="H736" s="128" t="s">
        <v>341</v>
      </c>
      <c r="I736" s="128" t="s">
        <v>285</v>
      </c>
      <c r="J736" s="129">
        <v>246.0</v>
      </c>
      <c r="K736" s="129">
        <v>1.0</v>
      </c>
      <c r="L736" s="129">
        <v>1000.0</v>
      </c>
      <c r="M736" s="128" t="s">
        <v>5996</v>
      </c>
      <c r="N736" s="129">
        <v>246.0</v>
      </c>
      <c r="O736" s="128"/>
      <c r="P736" s="129">
        <v>1000.0</v>
      </c>
      <c r="Q736" s="128" t="s">
        <v>91</v>
      </c>
    </row>
    <row r="737">
      <c r="A737" s="129">
        <v>2037.0</v>
      </c>
      <c r="B737" s="129">
        <v>2021.0</v>
      </c>
      <c r="C737" s="129">
        <v>19.0</v>
      </c>
      <c r="D737" s="129">
        <v>43.5497</v>
      </c>
      <c r="E737" s="129">
        <v>1.1061</v>
      </c>
      <c r="F737" s="128" t="s">
        <v>2942</v>
      </c>
      <c r="G737" s="128" t="s">
        <v>5996</v>
      </c>
      <c r="H737" s="128" t="s">
        <v>350</v>
      </c>
      <c r="I737" s="128" t="s">
        <v>342</v>
      </c>
      <c r="J737" s="129">
        <v>164.0</v>
      </c>
      <c r="K737" s="129">
        <v>1.0</v>
      </c>
      <c r="L737" s="129">
        <v>1000.0</v>
      </c>
      <c r="M737" s="128" t="s">
        <v>5996</v>
      </c>
      <c r="N737" s="129">
        <v>246.0</v>
      </c>
      <c r="O737" s="128"/>
      <c r="P737" s="129">
        <v>1000.0</v>
      </c>
      <c r="Q737" s="128" t="s">
        <v>91</v>
      </c>
    </row>
    <row r="738">
      <c r="A738" s="129">
        <v>2038.0</v>
      </c>
      <c r="B738" s="129">
        <v>2021.0</v>
      </c>
      <c r="C738" s="129">
        <v>10.0</v>
      </c>
      <c r="D738" s="129">
        <v>43.5497</v>
      </c>
      <c r="E738" s="129">
        <v>1.1061</v>
      </c>
      <c r="F738" s="128" t="s">
        <v>2942</v>
      </c>
      <c r="G738" s="128" t="s">
        <v>5996</v>
      </c>
      <c r="H738" s="128" t="s">
        <v>506</v>
      </c>
      <c r="I738" s="128" t="s">
        <v>676</v>
      </c>
      <c r="J738" s="129">
        <v>258.0</v>
      </c>
      <c r="K738" s="129">
        <v>1.0</v>
      </c>
      <c r="L738" s="129">
        <v>1000.0</v>
      </c>
      <c r="M738" s="128" t="s">
        <v>5996</v>
      </c>
      <c r="N738" s="129">
        <v>246.0</v>
      </c>
      <c r="O738" s="128"/>
      <c r="P738" s="129">
        <v>1000.0</v>
      </c>
      <c r="Q738" s="128" t="s">
        <v>91</v>
      </c>
    </row>
    <row r="739">
      <c r="A739" s="129">
        <v>2056.0</v>
      </c>
      <c r="B739" s="129">
        <v>2021.0</v>
      </c>
      <c r="C739" s="129">
        <v>-11.0</v>
      </c>
      <c r="D739" s="129">
        <v>43.5497</v>
      </c>
      <c r="E739" s="129">
        <v>1.1061</v>
      </c>
      <c r="F739" s="128" t="s">
        <v>2942</v>
      </c>
      <c r="G739" s="128" t="s">
        <v>5996</v>
      </c>
      <c r="H739" s="128" t="s">
        <v>341</v>
      </c>
      <c r="I739" s="128" t="s">
        <v>285</v>
      </c>
      <c r="J739" s="129">
        <v>246.0</v>
      </c>
      <c r="K739" s="129">
        <v>1.0</v>
      </c>
      <c r="L739" s="129">
        <v>1000.0</v>
      </c>
      <c r="M739" s="128" t="s">
        <v>5996</v>
      </c>
      <c r="N739" s="129">
        <v>246.0</v>
      </c>
      <c r="O739" s="128"/>
      <c r="P739" s="129">
        <v>1000.0</v>
      </c>
      <c r="Q739" s="128" t="s">
        <v>91</v>
      </c>
    </row>
    <row r="740">
      <c r="A740" s="129">
        <v>2057.0</v>
      </c>
      <c r="B740" s="129">
        <v>2021.0</v>
      </c>
      <c r="C740" s="129">
        <v>13.0</v>
      </c>
      <c r="D740" s="129">
        <v>43.5497</v>
      </c>
      <c r="E740" s="129">
        <v>1.1061</v>
      </c>
      <c r="F740" s="128" t="s">
        <v>2942</v>
      </c>
      <c r="G740" s="128" t="s">
        <v>5996</v>
      </c>
      <c r="H740" s="128" t="s">
        <v>350</v>
      </c>
      <c r="I740" s="128" t="s">
        <v>342</v>
      </c>
      <c r="J740" s="129">
        <v>164.0</v>
      </c>
      <c r="K740" s="129">
        <v>1.0</v>
      </c>
      <c r="L740" s="129">
        <v>1000.0</v>
      </c>
      <c r="M740" s="128" t="s">
        <v>5996</v>
      </c>
      <c r="N740" s="129">
        <v>246.0</v>
      </c>
      <c r="O740" s="128"/>
      <c r="P740" s="129">
        <v>1000.0</v>
      </c>
      <c r="Q740" s="128" t="s">
        <v>91</v>
      </c>
    </row>
    <row r="741">
      <c r="A741" s="129">
        <v>2058.0</v>
      </c>
      <c r="B741" s="129">
        <v>2021.0</v>
      </c>
      <c r="C741" s="129">
        <v>5.0</v>
      </c>
      <c r="D741" s="129">
        <v>43.5497</v>
      </c>
      <c r="E741" s="129">
        <v>1.1061</v>
      </c>
      <c r="F741" s="128" t="s">
        <v>2942</v>
      </c>
      <c r="G741" s="128" t="s">
        <v>5996</v>
      </c>
      <c r="H741" s="128" t="s">
        <v>506</v>
      </c>
      <c r="I741" s="128" t="s">
        <v>676</v>
      </c>
      <c r="J741" s="129">
        <v>258.0</v>
      </c>
      <c r="K741" s="129">
        <v>1.0</v>
      </c>
      <c r="L741" s="129">
        <v>1000.0</v>
      </c>
      <c r="M741" s="128" t="s">
        <v>5996</v>
      </c>
      <c r="N741" s="129">
        <v>246.0</v>
      </c>
      <c r="O741" s="128"/>
      <c r="P741" s="129">
        <v>1000.0</v>
      </c>
      <c r="Q741" s="128" t="s">
        <v>91</v>
      </c>
    </row>
    <row r="742">
      <c r="A742" s="129">
        <v>2076.0</v>
      </c>
      <c r="B742" s="129">
        <v>2021.0</v>
      </c>
      <c r="C742" s="129">
        <v>-20.3</v>
      </c>
      <c r="D742" s="129">
        <v>43.5497</v>
      </c>
      <c r="E742" s="129">
        <v>1.1061</v>
      </c>
      <c r="F742" s="128" t="s">
        <v>2942</v>
      </c>
      <c r="G742" s="128" t="s">
        <v>5996</v>
      </c>
      <c r="H742" s="128" t="s">
        <v>341</v>
      </c>
      <c r="I742" s="128" t="s">
        <v>285</v>
      </c>
      <c r="J742" s="129">
        <v>246.0</v>
      </c>
      <c r="K742" s="129">
        <v>1.0</v>
      </c>
      <c r="L742" s="129">
        <v>1000.0</v>
      </c>
      <c r="M742" s="128" t="s">
        <v>5996</v>
      </c>
      <c r="N742" s="129">
        <v>246.0</v>
      </c>
      <c r="O742" s="128"/>
      <c r="P742" s="129">
        <v>1000.0</v>
      </c>
      <c r="Q742" s="128" t="s">
        <v>91</v>
      </c>
    </row>
    <row r="743">
      <c r="A743" s="129">
        <v>2077.0</v>
      </c>
      <c r="B743" s="129">
        <v>2021.0</v>
      </c>
      <c r="C743" s="129">
        <v>37.3</v>
      </c>
      <c r="D743" s="129">
        <v>43.5497</v>
      </c>
      <c r="E743" s="129">
        <v>1.1061</v>
      </c>
      <c r="F743" s="128" t="s">
        <v>2942</v>
      </c>
      <c r="G743" s="128" t="s">
        <v>5996</v>
      </c>
      <c r="H743" s="128" t="s">
        <v>350</v>
      </c>
      <c r="I743" s="128" t="s">
        <v>342</v>
      </c>
      <c r="J743" s="129">
        <v>164.0</v>
      </c>
      <c r="K743" s="129">
        <v>1.0</v>
      </c>
      <c r="L743" s="129">
        <v>1000.0</v>
      </c>
      <c r="M743" s="128" t="s">
        <v>5996</v>
      </c>
      <c r="N743" s="129">
        <v>246.0</v>
      </c>
      <c r="O743" s="128"/>
      <c r="P743" s="129">
        <v>1000.0</v>
      </c>
      <c r="Q743" s="128" t="s">
        <v>91</v>
      </c>
    </row>
    <row r="744">
      <c r="A744" s="129">
        <v>2078.0</v>
      </c>
      <c r="B744" s="129">
        <v>2021.0</v>
      </c>
      <c r="C744" s="129">
        <v>-7.3</v>
      </c>
      <c r="D744" s="129">
        <v>43.5497</v>
      </c>
      <c r="E744" s="129">
        <v>1.1061</v>
      </c>
      <c r="F744" s="128" t="s">
        <v>2942</v>
      </c>
      <c r="G744" s="128" t="s">
        <v>5996</v>
      </c>
      <c r="H744" s="128" t="s">
        <v>506</v>
      </c>
      <c r="I744" s="128" t="s">
        <v>676</v>
      </c>
      <c r="J744" s="129">
        <v>258.0</v>
      </c>
      <c r="K744" s="129">
        <v>1.0</v>
      </c>
      <c r="L744" s="129">
        <v>1000.0</v>
      </c>
      <c r="M744" s="128" t="s">
        <v>5996</v>
      </c>
      <c r="N744" s="129">
        <v>246.0</v>
      </c>
      <c r="O744" s="128"/>
      <c r="P744" s="129">
        <v>1000.0</v>
      </c>
      <c r="Q744" s="128" t="s">
        <v>91</v>
      </c>
    </row>
    <row r="745">
      <c r="A745" s="129">
        <v>1946.0</v>
      </c>
      <c r="B745" s="129">
        <v>2021.0</v>
      </c>
      <c r="C745" s="129">
        <v>23.0</v>
      </c>
      <c r="D745" s="129">
        <v>43.92</v>
      </c>
      <c r="E745" s="129">
        <v>4.88</v>
      </c>
      <c r="F745" s="128" t="s">
        <v>2942</v>
      </c>
      <c r="G745" s="128" t="s">
        <v>2958</v>
      </c>
      <c r="H745" s="128" t="s">
        <v>317</v>
      </c>
      <c r="I745" s="128" t="s">
        <v>194</v>
      </c>
      <c r="J745" s="129">
        <v>160.0</v>
      </c>
      <c r="K745" s="129">
        <v>1.0</v>
      </c>
      <c r="L745" s="129">
        <v>1000.0</v>
      </c>
      <c r="M745" s="128" t="s">
        <v>2958</v>
      </c>
      <c r="N745" s="129">
        <v>71.0</v>
      </c>
      <c r="O745" s="128"/>
      <c r="P745" s="129">
        <v>1000.0</v>
      </c>
      <c r="Q745" s="128" t="s">
        <v>91</v>
      </c>
    </row>
    <row r="746">
      <c r="A746" s="129">
        <v>1947.0</v>
      </c>
      <c r="B746" s="129">
        <v>2021.0</v>
      </c>
      <c r="C746" s="129">
        <v>14.0</v>
      </c>
      <c r="D746" s="129">
        <v>43.92</v>
      </c>
      <c r="E746" s="129">
        <v>4.88</v>
      </c>
      <c r="F746" s="128" t="s">
        <v>2942</v>
      </c>
      <c r="G746" s="128" t="s">
        <v>2958</v>
      </c>
      <c r="H746" s="128" t="s">
        <v>341</v>
      </c>
      <c r="I746" s="128" t="s">
        <v>285</v>
      </c>
      <c r="J746" s="129">
        <v>246.0</v>
      </c>
      <c r="K746" s="129">
        <v>1.0</v>
      </c>
      <c r="L746" s="129">
        <v>1000.0</v>
      </c>
      <c r="M746" s="128" t="s">
        <v>2958</v>
      </c>
      <c r="N746" s="129">
        <v>71.0</v>
      </c>
      <c r="O746" s="128"/>
      <c r="P746" s="129">
        <v>1000.0</v>
      </c>
      <c r="Q746" s="128" t="s">
        <v>91</v>
      </c>
    </row>
    <row r="747">
      <c r="A747" s="129">
        <v>1948.0</v>
      </c>
      <c r="B747" s="129">
        <v>2021.0</v>
      </c>
      <c r="C747" s="129">
        <v>1.0</v>
      </c>
      <c r="D747" s="129">
        <v>43.92</v>
      </c>
      <c r="E747" s="129">
        <v>4.88</v>
      </c>
      <c r="F747" s="128" t="s">
        <v>2942</v>
      </c>
      <c r="G747" s="128" t="s">
        <v>2958</v>
      </c>
      <c r="H747" s="128" t="s">
        <v>350</v>
      </c>
      <c r="I747" s="128" t="s">
        <v>342</v>
      </c>
      <c r="J747" s="129">
        <v>161.0</v>
      </c>
      <c r="K747" s="129">
        <v>1.0</v>
      </c>
      <c r="L747" s="129">
        <v>1000.0</v>
      </c>
      <c r="M747" s="128" t="s">
        <v>2958</v>
      </c>
      <c r="N747" s="129">
        <v>71.0</v>
      </c>
      <c r="O747" s="128"/>
      <c r="P747" s="129">
        <v>1000.0</v>
      </c>
      <c r="Q747" s="128" t="s">
        <v>91</v>
      </c>
    </row>
    <row r="748">
      <c r="A748" s="129">
        <v>1949.0</v>
      </c>
      <c r="B748" s="129">
        <v>2021.0</v>
      </c>
      <c r="C748" s="129">
        <v>-13.0</v>
      </c>
      <c r="D748" s="129">
        <v>43.92</v>
      </c>
      <c r="E748" s="129">
        <v>4.88</v>
      </c>
      <c r="F748" s="128" t="s">
        <v>2942</v>
      </c>
      <c r="G748" s="128" t="s">
        <v>2958</v>
      </c>
      <c r="H748" s="128" t="s">
        <v>506</v>
      </c>
      <c r="I748" s="128" t="s">
        <v>676</v>
      </c>
      <c r="J748" s="129">
        <v>231.0</v>
      </c>
      <c r="K748" s="129">
        <v>1.0</v>
      </c>
      <c r="L748" s="129">
        <v>1000.0</v>
      </c>
      <c r="M748" s="128" t="s">
        <v>2958</v>
      </c>
      <c r="N748" s="129">
        <v>71.0</v>
      </c>
      <c r="O748" s="128"/>
      <c r="P748" s="129">
        <v>1000.0</v>
      </c>
      <c r="Q748" s="128" t="s">
        <v>91</v>
      </c>
    </row>
    <row r="749">
      <c r="A749" s="129">
        <v>1950.0</v>
      </c>
      <c r="B749" s="129">
        <v>2021.0</v>
      </c>
      <c r="C749" s="129">
        <v>22.0</v>
      </c>
      <c r="D749" s="129">
        <v>43.92</v>
      </c>
      <c r="E749" s="129">
        <v>4.88</v>
      </c>
      <c r="F749" s="128" t="s">
        <v>2942</v>
      </c>
      <c r="G749" s="128" t="s">
        <v>2958</v>
      </c>
      <c r="H749" s="128" t="s">
        <v>242</v>
      </c>
      <c r="I749" s="128" t="s">
        <v>243</v>
      </c>
      <c r="J749" s="129">
        <v>248.0</v>
      </c>
      <c r="K749" s="129">
        <v>1.0</v>
      </c>
      <c r="L749" s="129">
        <v>1000.0</v>
      </c>
      <c r="M749" s="128" t="s">
        <v>2958</v>
      </c>
      <c r="N749" s="129">
        <v>71.0</v>
      </c>
      <c r="O749" s="128"/>
      <c r="P749" s="129">
        <v>1000.0</v>
      </c>
      <c r="Q749" s="128" t="s">
        <v>91</v>
      </c>
    </row>
    <row r="750">
      <c r="A750" s="129">
        <v>1966.0</v>
      </c>
      <c r="B750" s="129">
        <v>2021.0</v>
      </c>
      <c r="C750" s="129">
        <v>23.0</v>
      </c>
      <c r="D750" s="129">
        <v>43.92</v>
      </c>
      <c r="E750" s="129">
        <v>4.88</v>
      </c>
      <c r="F750" s="128" t="s">
        <v>2942</v>
      </c>
      <c r="G750" s="128" t="s">
        <v>2958</v>
      </c>
      <c r="H750" s="128" t="s">
        <v>317</v>
      </c>
      <c r="I750" s="128" t="s">
        <v>194</v>
      </c>
      <c r="J750" s="129">
        <v>160.0</v>
      </c>
      <c r="K750" s="129">
        <v>1.0</v>
      </c>
      <c r="L750" s="129">
        <v>1000.0</v>
      </c>
      <c r="M750" s="128" t="s">
        <v>2958</v>
      </c>
      <c r="N750" s="129">
        <v>71.0</v>
      </c>
      <c r="O750" s="128"/>
      <c r="P750" s="129">
        <v>1000.0</v>
      </c>
      <c r="Q750" s="128" t="s">
        <v>91</v>
      </c>
    </row>
    <row r="751">
      <c r="A751" s="129">
        <v>1967.0</v>
      </c>
      <c r="B751" s="129">
        <v>2021.0</v>
      </c>
      <c r="C751" s="129">
        <v>14.0</v>
      </c>
      <c r="D751" s="129">
        <v>43.92</v>
      </c>
      <c r="E751" s="129">
        <v>4.88</v>
      </c>
      <c r="F751" s="128" t="s">
        <v>2942</v>
      </c>
      <c r="G751" s="128" t="s">
        <v>2958</v>
      </c>
      <c r="H751" s="128" t="s">
        <v>341</v>
      </c>
      <c r="I751" s="128" t="s">
        <v>285</v>
      </c>
      <c r="J751" s="129">
        <v>246.0</v>
      </c>
      <c r="K751" s="129">
        <v>1.0</v>
      </c>
      <c r="L751" s="129">
        <v>1000.0</v>
      </c>
      <c r="M751" s="128" t="s">
        <v>2958</v>
      </c>
      <c r="N751" s="129">
        <v>71.0</v>
      </c>
      <c r="O751" s="128"/>
      <c r="P751" s="129">
        <v>1000.0</v>
      </c>
      <c r="Q751" s="128" t="s">
        <v>91</v>
      </c>
    </row>
    <row r="752">
      <c r="A752" s="129">
        <v>1968.0</v>
      </c>
      <c r="B752" s="129">
        <v>2021.0</v>
      </c>
      <c r="C752" s="129">
        <v>1.0</v>
      </c>
      <c r="D752" s="129">
        <v>43.92</v>
      </c>
      <c r="E752" s="129">
        <v>4.88</v>
      </c>
      <c r="F752" s="128" t="s">
        <v>2942</v>
      </c>
      <c r="G752" s="128" t="s">
        <v>2958</v>
      </c>
      <c r="H752" s="128" t="s">
        <v>350</v>
      </c>
      <c r="I752" s="128" t="s">
        <v>342</v>
      </c>
      <c r="J752" s="129">
        <v>161.0</v>
      </c>
      <c r="K752" s="129">
        <v>1.0</v>
      </c>
      <c r="L752" s="129">
        <v>1000.0</v>
      </c>
      <c r="M752" s="128" t="s">
        <v>2958</v>
      </c>
      <c r="N752" s="129">
        <v>71.0</v>
      </c>
      <c r="O752" s="128"/>
      <c r="P752" s="129">
        <v>1000.0</v>
      </c>
      <c r="Q752" s="128" t="s">
        <v>91</v>
      </c>
    </row>
    <row r="753">
      <c r="A753" s="129">
        <v>1969.0</v>
      </c>
      <c r="B753" s="129">
        <v>2021.0</v>
      </c>
      <c r="C753" s="129">
        <v>-13.0</v>
      </c>
      <c r="D753" s="129">
        <v>43.92</v>
      </c>
      <c r="E753" s="129">
        <v>4.88</v>
      </c>
      <c r="F753" s="128" t="s">
        <v>2942</v>
      </c>
      <c r="G753" s="128" t="s">
        <v>2958</v>
      </c>
      <c r="H753" s="128" t="s">
        <v>506</v>
      </c>
      <c r="I753" s="128" t="s">
        <v>676</v>
      </c>
      <c r="J753" s="129">
        <v>231.0</v>
      </c>
      <c r="K753" s="129">
        <v>1.0</v>
      </c>
      <c r="L753" s="129">
        <v>1000.0</v>
      </c>
      <c r="M753" s="128" t="s">
        <v>2958</v>
      </c>
      <c r="N753" s="129">
        <v>71.0</v>
      </c>
      <c r="O753" s="128"/>
      <c r="P753" s="129">
        <v>1000.0</v>
      </c>
      <c r="Q753" s="128" t="s">
        <v>91</v>
      </c>
    </row>
    <row r="754">
      <c r="A754" s="129">
        <v>1970.0</v>
      </c>
      <c r="B754" s="129">
        <v>2021.0</v>
      </c>
      <c r="C754" s="129">
        <v>13.0</v>
      </c>
      <c r="D754" s="129">
        <v>43.92</v>
      </c>
      <c r="E754" s="129">
        <v>4.88</v>
      </c>
      <c r="F754" s="128" t="s">
        <v>2942</v>
      </c>
      <c r="G754" s="128" t="s">
        <v>2958</v>
      </c>
      <c r="H754" s="128" t="s">
        <v>242</v>
      </c>
      <c r="I754" s="128" t="s">
        <v>243</v>
      </c>
      <c r="J754" s="129">
        <v>248.0</v>
      </c>
      <c r="K754" s="129">
        <v>1.0</v>
      </c>
      <c r="L754" s="129">
        <v>1000.0</v>
      </c>
      <c r="M754" s="128" t="s">
        <v>2958</v>
      </c>
      <c r="N754" s="129">
        <v>71.0</v>
      </c>
      <c r="O754" s="128"/>
      <c r="P754" s="129">
        <v>1000.0</v>
      </c>
      <c r="Q754" s="128" t="s">
        <v>91</v>
      </c>
    </row>
    <row r="755">
      <c r="A755" s="129">
        <v>1986.0</v>
      </c>
      <c r="B755" s="129">
        <v>2021.0</v>
      </c>
      <c r="C755" s="129">
        <v>37.0</v>
      </c>
      <c r="D755" s="129">
        <v>43.92</v>
      </c>
      <c r="E755" s="129">
        <v>4.88</v>
      </c>
      <c r="F755" s="128" t="s">
        <v>2942</v>
      </c>
      <c r="G755" s="128" t="s">
        <v>2958</v>
      </c>
      <c r="H755" s="128" t="s">
        <v>317</v>
      </c>
      <c r="I755" s="128" t="s">
        <v>194</v>
      </c>
      <c r="J755" s="129">
        <v>160.0</v>
      </c>
      <c r="K755" s="129">
        <v>1.0</v>
      </c>
      <c r="L755" s="129">
        <v>1000.0</v>
      </c>
      <c r="M755" s="128" t="s">
        <v>2958</v>
      </c>
      <c r="N755" s="129">
        <v>71.0</v>
      </c>
      <c r="O755" s="128"/>
      <c r="P755" s="129">
        <v>1000.0</v>
      </c>
      <c r="Q755" s="128" t="s">
        <v>91</v>
      </c>
    </row>
    <row r="756">
      <c r="A756" s="129">
        <v>1987.0</v>
      </c>
      <c r="B756" s="129">
        <v>2021.0</v>
      </c>
      <c r="C756" s="129">
        <v>28.0</v>
      </c>
      <c r="D756" s="129">
        <v>43.92</v>
      </c>
      <c r="E756" s="129">
        <v>4.88</v>
      </c>
      <c r="F756" s="128" t="s">
        <v>2942</v>
      </c>
      <c r="G756" s="128" t="s">
        <v>2958</v>
      </c>
      <c r="H756" s="128" t="s">
        <v>341</v>
      </c>
      <c r="I756" s="128" t="s">
        <v>285</v>
      </c>
      <c r="J756" s="129">
        <v>246.0</v>
      </c>
      <c r="K756" s="129">
        <v>1.0</v>
      </c>
      <c r="L756" s="129">
        <v>1000.0</v>
      </c>
      <c r="M756" s="128" t="s">
        <v>2958</v>
      </c>
      <c r="N756" s="129">
        <v>71.0</v>
      </c>
      <c r="O756" s="128"/>
      <c r="P756" s="129">
        <v>1000.0</v>
      </c>
      <c r="Q756" s="128" t="s">
        <v>91</v>
      </c>
    </row>
    <row r="757">
      <c r="A757" s="129">
        <v>1988.0</v>
      </c>
      <c r="B757" s="129">
        <v>2021.0</v>
      </c>
      <c r="C757" s="129">
        <v>10.0</v>
      </c>
      <c r="D757" s="129">
        <v>43.92</v>
      </c>
      <c r="E757" s="129">
        <v>4.88</v>
      </c>
      <c r="F757" s="128" t="s">
        <v>2942</v>
      </c>
      <c r="G757" s="128" t="s">
        <v>2958</v>
      </c>
      <c r="H757" s="128" t="s">
        <v>350</v>
      </c>
      <c r="I757" s="128" t="s">
        <v>342</v>
      </c>
      <c r="J757" s="129">
        <v>161.0</v>
      </c>
      <c r="K757" s="129">
        <v>1.0</v>
      </c>
      <c r="L757" s="129">
        <v>1000.0</v>
      </c>
      <c r="M757" s="128" t="s">
        <v>2958</v>
      </c>
      <c r="N757" s="129">
        <v>71.0</v>
      </c>
      <c r="O757" s="128"/>
      <c r="P757" s="129">
        <v>1000.0</v>
      </c>
      <c r="Q757" s="128" t="s">
        <v>91</v>
      </c>
    </row>
    <row r="758">
      <c r="A758" s="129">
        <v>1989.0</v>
      </c>
      <c r="B758" s="129">
        <v>2021.0</v>
      </c>
      <c r="C758" s="129">
        <v>4.0</v>
      </c>
      <c r="D758" s="129">
        <v>43.92</v>
      </c>
      <c r="E758" s="129">
        <v>4.88</v>
      </c>
      <c r="F758" s="128" t="s">
        <v>2942</v>
      </c>
      <c r="G758" s="128" t="s">
        <v>2958</v>
      </c>
      <c r="H758" s="128" t="s">
        <v>506</v>
      </c>
      <c r="I758" s="128" t="s">
        <v>676</v>
      </c>
      <c r="J758" s="129">
        <v>231.0</v>
      </c>
      <c r="K758" s="129">
        <v>1.0</v>
      </c>
      <c r="L758" s="129">
        <v>1000.0</v>
      </c>
      <c r="M758" s="128" t="s">
        <v>2958</v>
      </c>
      <c r="N758" s="129">
        <v>71.0</v>
      </c>
      <c r="O758" s="128"/>
      <c r="P758" s="129">
        <v>1000.0</v>
      </c>
      <c r="Q758" s="128" t="s">
        <v>91</v>
      </c>
    </row>
    <row r="759">
      <c r="A759" s="129">
        <v>1990.0</v>
      </c>
      <c r="B759" s="129">
        <v>2021.0</v>
      </c>
      <c r="C759" s="129">
        <v>39.0</v>
      </c>
      <c r="D759" s="129">
        <v>43.92</v>
      </c>
      <c r="E759" s="129">
        <v>4.88</v>
      </c>
      <c r="F759" s="128" t="s">
        <v>2942</v>
      </c>
      <c r="G759" s="128" t="s">
        <v>2958</v>
      </c>
      <c r="H759" s="128" t="s">
        <v>242</v>
      </c>
      <c r="I759" s="128" t="s">
        <v>243</v>
      </c>
      <c r="J759" s="129">
        <v>248.0</v>
      </c>
      <c r="K759" s="129">
        <v>1.0</v>
      </c>
      <c r="L759" s="129">
        <v>1000.0</v>
      </c>
      <c r="M759" s="128" t="s">
        <v>2958</v>
      </c>
      <c r="N759" s="129">
        <v>71.0</v>
      </c>
      <c r="O759" s="128"/>
      <c r="P759" s="129">
        <v>1000.0</v>
      </c>
      <c r="Q759" s="128" t="s">
        <v>91</v>
      </c>
    </row>
    <row r="760">
      <c r="A760" s="129">
        <v>2006.0</v>
      </c>
      <c r="B760" s="129">
        <v>2021.0</v>
      </c>
      <c r="C760" s="129">
        <v>23.0</v>
      </c>
      <c r="D760" s="129">
        <v>43.92</v>
      </c>
      <c r="E760" s="129">
        <v>4.88</v>
      </c>
      <c r="F760" s="128" t="s">
        <v>2942</v>
      </c>
      <c r="G760" s="128" t="s">
        <v>2958</v>
      </c>
      <c r="H760" s="128" t="s">
        <v>317</v>
      </c>
      <c r="I760" s="128" t="s">
        <v>194</v>
      </c>
      <c r="J760" s="129">
        <v>160.0</v>
      </c>
      <c r="K760" s="129">
        <v>1.0</v>
      </c>
      <c r="L760" s="129">
        <v>1000.0</v>
      </c>
      <c r="M760" s="128" t="s">
        <v>2958</v>
      </c>
      <c r="N760" s="129">
        <v>71.0</v>
      </c>
      <c r="O760" s="128"/>
      <c r="P760" s="129">
        <v>1000.0</v>
      </c>
      <c r="Q760" s="128" t="s">
        <v>91</v>
      </c>
    </row>
    <row r="761">
      <c r="A761" s="129">
        <v>2007.0</v>
      </c>
      <c r="B761" s="129">
        <v>2021.0</v>
      </c>
      <c r="C761" s="129">
        <v>14.0</v>
      </c>
      <c r="D761" s="129">
        <v>43.92</v>
      </c>
      <c r="E761" s="129">
        <v>4.88</v>
      </c>
      <c r="F761" s="128" t="s">
        <v>2942</v>
      </c>
      <c r="G761" s="128" t="s">
        <v>2958</v>
      </c>
      <c r="H761" s="128" t="s">
        <v>341</v>
      </c>
      <c r="I761" s="128" t="s">
        <v>285</v>
      </c>
      <c r="J761" s="129">
        <v>246.0</v>
      </c>
      <c r="K761" s="129">
        <v>1.0</v>
      </c>
      <c r="L761" s="129">
        <v>1000.0</v>
      </c>
      <c r="M761" s="128" t="s">
        <v>2958</v>
      </c>
      <c r="N761" s="129">
        <v>71.0</v>
      </c>
      <c r="O761" s="128"/>
      <c r="P761" s="129">
        <v>1000.0</v>
      </c>
      <c r="Q761" s="128" t="s">
        <v>91</v>
      </c>
    </row>
    <row r="762">
      <c r="A762" s="129">
        <v>2008.0</v>
      </c>
      <c r="B762" s="129">
        <v>2021.0</v>
      </c>
      <c r="C762" s="129">
        <v>1.0</v>
      </c>
      <c r="D762" s="129">
        <v>43.92</v>
      </c>
      <c r="E762" s="129">
        <v>4.88</v>
      </c>
      <c r="F762" s="128" t="s">
        <v>2942</v>
      </c>
      <c r="G762" s="128" t="s">
        <v>2958</v>
      </c>
      <c r="H762" s="128" t="s">
        <v>350</v>
      </c>
      <c r="I762" s="128" t="s">
        <v>342</v>
      </c>
      <c r="J762" s="129">
        <v>161.0</v>
      </c>
      <c r="K762" s="129">
        <v>1.0</v>
      </c>
      <c r="L762" s="129">
        <v>1000.0</v>
      </c>
      <c r="M762" s="128" t="s">
        <v>2958</v>
      </c>
      <c r="N762" s="129">
        <v>71.0</v>
      </c>
      <c r="O762" s="128"/>
      <c r="P762" s="129">
        <v>1000.0</v>
      </c>
      <c r="Q762" s="128" t="s">
        <v>91</v>
      </c>
    </row>
    <row r="763">
      <c r="A763" s="129">
        <v>2009.0</v>
      </c>
      <c r="B763" s="129">
        <v>2021.0</v>
      </c>
      <c r="C763" s="129">
        <v>-13.0</v>
      </c>
      <c r="D763" s="129">
        <v>43.92</v>
      </c>
      <c r="E763" s="129">
        <v>4.88</v>
      </c>
      <c r="F763" s="128" t="s">
        <v>2942</v>
      </c>
      <c r="G763" s="128" t="s">
        <v>2958</v>
      </c>
      <c r="H763" s="128" t="s">
        <v>506</v>
      </c>
      <c r="I763" s="128" t="s">
        <v>676</v>
      </c>
      <c r="J763" s="129">
        <v>231.0</v>
      </c>
      <c r="K763" s="129">
        <v>1.0</v>
      </c>
      <c r="L763" s="129">
        <v>1000.0</v>
      </c>
      <c r="M763" s="128" t="s">
        <v>2958</v>
      </c>
      <c r="N763" s="129">
        <v>71.0</v>
      </c>
      <c r="O763" s="128"/>
      <c r="P763" s="129">
        <v>1000.0</v>
      </c>
      <c r="Q763" s="128" t="s">
        <v>91</v>
      </c>
    </row>
    <row r="764">
      <c r="A764" s="129">
        <v>2010.0</v>
      </c>
      <c r="B764" s="129">
        <v>2021.0</v>
      </c>
      <c r="C764" s="129">
        <v>22.0</v>
      </c>
      <c r="D764" s="129">
        <v>43.92</v>
      </c>
      <c r="E764" s="129">
        <v>4.88</v>
      </c>
      <c r="F764" s="128" t="s">
        <v>2942</v>
      </c>
      <c r="G764" s="128" t="s">
        <v>2958</v>
      </c>
      <c r="H764" s="128" t="s">
        <v>242</v>
      </c>
      <c r="I764" s="128" t="s">
        <v>243</v>
      </c>
      <c r="J764" s="129">
        <v>248.0</v>
      </c>
      <c r="K764" s="129">
        <v>1.0</v>
      </c>
      <c r="L764" s="129">
        <v>1000.0</v>
      </c>
      <c r="M764" s="128" t="s">
        <v>2958</v>
      </c>
      <c r="N764" s="129">
        <v>71.0</v>
      </c>
      <c r="O764" s="128"/>
      <c r="P764" s="129">
        <v>1000.0</v>
      </c>
      <c r="Q764" s="128" t="s">
        <v>91</v>
      </c>
    </row>
    <row r="765">
      <c r="A765" s="129">
        <v>2026.0</v>
      </c>
      <c r="B765" s="129">
        <v>2021.0</v>
      </c>
      <c r="C765" s="129">
        <v>26.0</v>
      </c>
      <c r="D765" s="129">
        <v>43.92</v>
      </c>
      <c r="E765" s="129">
        <v>4.88</v>
      </c>
      <c r="F765" s="128" t="s">
        <v>2942</v>
      </c>
      <c r="G765" s="128" t="s">
        <v>2958</v>
      </c>
      <c r="H765" s="128" t="s">
        <v>317</v>
      </c>
      <c r="I765" s="128" t="s">
        <v>194</v>
      </c>
      <c r="J765" s="129">
        <v>160.0</v>
      </c>
      <c r="K765" s="129">
        <v>1.0</v>
      </c>
      <c r="L765" s="129">
        <v>1000.0</v>
      </c>
      <c r="M765" s="128" t="s">
        <v>2958</v>
      </c>
      <c r="N765" s="129">
        <v>71.0</v>
      </c>
      <c r="O765" s="128"/>
      <c r="P765" s="129">
        <v>1000.0</v>
      </c>
      <c r="Q765" s="128" t="s">
        <v>91</v>
      </c>
    </row>
    <row r="766">
      <c r="A766" s="129">
        <v>2027.0</v>
      </c>
      <c r="B766" s="129">
        <v>2021.0</v>
      </c>
      <c r="C766" s="129">
        <v>21.0</v>
      </c>
      <c r="D766" s="129">
        <v>43.92</v>
      </c>
      <c r="E766" s="129">
        <v>4.88</v>
      </c>
      <c r="F766" s="128" t="s">
        <v>2942</v>
      </c>
      <c r="G766" s="128" t="s">
        <v>2958</v>
      </c>
      <c r="H766" s="128" t="s">
        <v>341</v>
      </c>
      <c r="I766" s="128" t="s">
        <v>285</v>
      </c>
      <c r="J766" s="129">
        <v>246.0</v>
      </c>
      <c r="K766" s="129">
        <v>1.0</v>
      </c>
      <c r="L766" s="129">
        <v>1000.0</v>
      </c>
      <c r="M766" s="128" t="s">
        <v>2958</v>
      </c>
      <c r="N766" s="129">
        <v>71.0</v>
      </c>
      <c r="O766" s="128"/>
      <c r="P766" s="129">
        <v>1000.0</v>
      </c>
      <c r="Q766" s="128" t="s">
        <v>91</v>
      </c>
    </row>
    <row r="767">
      <c r="A767" s="129">
        <v>2028.0</v>
      </c>
      <c r="B767" s="129">
        <v>2021.0</v>
      </c>
      <c r="C767" s="129">
        <v>3.0</v>
      </c>
      <c r="D767" s="129">
        <v>43.92</v>
      </c>
      <c r="E767" s="129">
        <v>4.88</v>
      </c>
      <c r="F767" s="128" t="s">
        <v>2942</v>
      </c>
      <c r="G767" s="128" t="s">
        <v>2958</v>
      </c>
      <c r="H767" s="128" t="s">
        <v>350</v>
      </c>
      <c r="I767" s="128" t="s">
        <v>342</v>
      </c>
      <c r="J767" s="129">
        <v>161.0</v>
      </c>
      <c r="K767" s="129">
        <v>1.0</v>
      </c>
      <c r="L767" s="129">
        <v>1000.0</v>
      </c>
      <c r="M767" s="128" t="s">
        <v>2958</v>
      </c>
      <c r="N767" s="129">
        <v>71.0</v>
      </c>
      <c r="O767" s="128"/>
      <c r="P767" s="129">
        <v>1000.0</v>
      </c>
      <c r="Q767" s="128" t="s">
        <v>91</v>
      </c>
    </row>
    <row r="768">
      <c r="A768" s="129">
        <v>2029.0</v>
      </c>
      <c r="B768" s="129">
        <v>2021.0</v>
      </c>
      <c r="C768" s="129">
        <v>-8.0</v>
      </c>
      <c r="D768" s="129">
        <v>43.92</v>
      </c>
      <c r="E768" s="129">
        <v>4.88</v>
      </c>
      <c r="F768" s="128" t="s">
        <v>2942</v>
      </c>
      <c r="G768" s="128" t="s">
        <v>2958</v>
      </c>
      <c r="H768" s="128" t="s">
        <v>506</v>
      </c>
      <c r="I768" s="128" t="s">
        <v>676</v>
      </c>
      <c r="J768" s="129">
        <v>231.0</v>
      </c>
      <c r="K768" s="129">
        <v>1.0</v>
      </c>
      <c r="L768" s="129">
        <v>1000.0</v>
      </c>
      <c r="M768" s="128" t="s">
        <v>2958</v>
      </c>
      <c r="N768" s="129">
        <v>71.0</v>
      </c>
      <c r="O768" s="128"/>
      <c r="P768" s="129">
        <v>1000.0</v>
      </c>
      <c r="Q768" s="128" t="s">
        <v>91</v>
      </c>
    </row>
    <row r="769">
      <c r="A769" s="129">
        <v>2030.0</v>
      </c>
      <c r="B769" s="129">
        <v>2021.0</v>
      </c>
      <c r="C769" s="129">
        <v>29.0</v>
      </c>
      <c r="D769" s="129">
        <v>43.92</v>
      </c>
      <c r="E769" s="129">
        <v>4.88</v>
      </c>
      <c r="F769" s="128" t="s">
        <v>2942</v>
      </c>
      <c r="G769" s="128" t="s">
        <v>2958</v>
      </c>
      <c r="H769" s="128" t="s">
        <v>242</v>
      </c>
      <c r="I769" s="128" t="s">
        <v>243</v>
      </c>
      <c r="J769" s="129">
        <v>248.0</v>
      </c>
      <c r="K769" s="129">
        <v>1.0</v>
      </c>
      <c r="L769" s="129">
        <v>1000.0</v>
      </c>
      <c r="M769" s="128" t="s">
        <v>2958</v>
      </c>
      <c r="N769" s="129">
        <v>71.0</v>
      </c>
      <c r="O769" s="128"/>
      <c r="P769" s="129">
        <v>1000.0</v>
      </c>
      <c r="Q769" s="128" t="s">
        <v>91</v>
      </c>
    </row>
    <row r="770">
      <c r="A770" s="129">
        <v>2046.0</v>
      </c>
      <c r="B770" s="129">
        <v>2021.0</v>
      </c>
      <c r="C770" s="129">
        <v>20.0</v>
      </c>
      <c r="D770" s="129">
        <v>43.92</v>
      </c>
      <c r="E770" s="129">
        <v>4.88</v>
      </c>
      <c r="F770" s="128" t="s">
        <v>2942</v>
      </c>
      <c r="G770" s="128" t="s">
        <v>2958</v>
      </c>
      <c r="H770" s="128" t="s">
        <v>317</v>
      </c>
      <c r="I770" s="128" t="s">
        <v>194</v>
      </c>
      <c r="J770" s="129">
        <v>160.0</v>
      </c>
      <c r="K770" s="129">
        <v>1.0</v>
      </c>
      <c r="L770" s="129">
        <v>1000.0</v>
      </c>
      <c r="M770" s="128" t="s">
        <v>2958</v>
      </c>
      <c r="N770" s="129">
        <v>71.0</v>
      </c>
      <c r="O770" s="128"/>
      <c r="P770" s="129">
        <v>1000.0</v>
      </c>
      <c r="Q770" s="128" t="s">
        <v>91</v>
      </c>
    </row>
    <row r="771">
      <c r="A771" s="129">
        <v>2047.0</v>
      </c>
      <c r="B771" s="129">
        <v>2021.0</v>
      </c>
      <c r="C771" s="129">
        <v>10.0</v>
      </c>
      <c r="D771" s="129">
        <v>43.92</v>
      </c>
      <c r="E771" s="129">
        <v>4.88</v>
      </c>
      <c r="F771" s="128" t="s">
        <v>2942</v>
      </c>
      <c r="G771" s="128" t="s">
        <v>2958</v>
      </c>
      <c r="H771" s="128" t="s">
        <v>341</v>
      </c>
      <c r="I771" s="128" t="s">
        <v>285</v>
      </c>
      <c r="J771" s="129">
        <v>246.0</v>
      </c>
      <c r="K771" s="129">
        <v>1.0</v>
      </c>
      <c r="L771" s="129">
        <v>1000.0</v>
      </c>
      <c r="M771" s="128" t="s">
        <v>2958</v>
      </c>
      <c r="N771" s="129">
        <v>71.0</v>
      </c>
      <c r="O771" s="128"/>
      <c r="P771" s="129">
        <v>1000.0</v>
      </c>
      <c r="Q771" s="128" t="s">
        <v>91</v>
      </c>
    </row>
    <row r="772">
      <c r="A772" s="129">
        <v>2048.0</v>
      </c>
      <c r="B772" s="129">
        <v>2021.0</v>
      </c>
      <c r="C772" s="129">
        <v>0.0</v>
      </c>
      <c r="D772" s="129">
        <v>43.92</v>
      </c>
      <c r="E772" s="129">
        <v>4.88</v>
      </c>
      <c r="F772" s="128" t="s">
        <v>2942</v>
      </c>
      <c r="G772" s="128" t="s">
        <v>2958</v>
      </c>
      <c r="H772" s="128" t="s">
        <v>350</v>
      </c>
      <c r="I772" s="128" t="s">
        <v>342</v>
      </c>
      <c r="J772" s="129">
        <v>161.0</v>
      </c>
      <c r="K772" s="129">
        <v>1.0</v>
      </c>
      <c r="L772" s="129">
        <v>1000.0</v>
      </c>
      <c r="M772" s="128" t="s">
        <v>2958</v>
      </c>
      <c r="N772" s="129">
        <v>71.0</v>
      </c>
      <c r="O772" s="128"/>
      <c r="P772" s="129">
        <v>1000.0</v>
      </c>
      <c r="Q772" s="128" t="s">
        <v>91</v>
      </c>
    </row>
    <row r="773">
      <c r="A773" s="129">
        <v>2049.0</v>
      </c>
      <c r="B773" s="129">
        <v>2021.0</v>
      </c>
      <c r="C773" s="129">
        <v>-19.0</v>
      </c>
      <c r="D773" s="129">
        <v>43.92</v>
      </c>
      <c r="E773" s="129">
        <v>4.88</v>
      </c>
      <c r="F773" s="128" t="s">
        <v>2942</v>
      </c>
      <c r="G773" s="128" t="s">
        <v>2958</v>
      </c>
      <c r="H773" s="128" t="s">
        <v>506</v>
      </c>
      <c r="I773" s="128" t="s">
        <v>676</v>
      </c>
      <c r="J773" s="129">
        <v>231.0</v>
      </c>
      <c r="K773" s="129">
        <v>1.0</v>
      </c>
      <c r="L773" s="129">
        <v>1000.0</v>
      </c>
      <c r="M773" s="128" t="s">
        <v>2958</v>
      </c>
      <c r="N773" s="129">
        <v>71.0</v>
      </c>
      <c r="O773" s="128"/>
      <c r="P773" s="129">
        <v>1000.0</v>
      </c>
      <c r="Q773" s="128" t="s">
        <v>91</v>
      </c>
    </row>
    <row r="774">
      <c r="A774" s="129">
        <v>2050.0</v>
      </c>
      <c r="B774" s="129">
        <v>2021.0</v>
      </c>
      <c r="C774" s="129">
        <v>16.0</v>
      </c>
      <c r="D774" s="129">
        <v>43.92</v>
      </c>
      <c r="E774" s="129">
        <v>4.88</v>
      </c>
      <c r="F774" s="128" t="s">
        <v>2942</v>
      </c>
      <c r="G774" s="128" t="s">
        <v>2958</v>
      </c>
      <c r="H774" s="128" t="s">
        <v>242</v>
      </c>
      <c r="I774" s="128" t="s">
        <v>243</v>
      </c>
      <c r="J774" s="129">
        <v>248.0</v>
      </c>
      <c r="K774" s="129">
        <v>1.0</v>
      </c>
      <c r="L774" s="129">
        <v>1000.0</v>
      </c>
      <c r="M774" s="128" t="s">
        <v>2958</v>
      </c>
      <c r="N774" s="129">
        <v>71.0</v>
      </c>
      <c r="O774" s="128"/>
      <c r="P774" s="129">
        <v>1000.0</v>
      </c>
      <c r="Q774" s="128" t="s">
        <v>91</v>
      </c>
    </row>
    <row r="775">
      <c r="A775" s="129">
        <v>2066.0</v>
      </c>
      <c r="B775" s="129">
        <v>2021.0</v>
      </c>
      <c r="C775" s="129">
        <v>19.0</v>
      </c>
      <c r="D775" s="129">
        <v>43.92</v>
      </c>
      <c r="E775" s="129">
        <v>4.88</v>
      </c>
      <c r="F775" s="128" t="s">
        <v>2942</v>
      </c>
      <c r="G775" s="128" t="s">
        <v>2958</v>
      </c>
      <c r="H775" s="128" t="s">
        <v>317</v>
      </c>
      <c r="I775" s="128" t="s">
        <v>194</v>
      </c>
      <c r="J775" s="129">
        <v>160.0</v>
      </c>
      <c r="K775" s="129">
        <v>1.0</v>
      </c>
      <c r="L775" s="129">
        <v>1000.0</v>
      </c>
      <c r="M775" s="128" t="s">
        <v>2958</v>
      </c>
      <c r="N775" s="129">
        <v>71.0</v>
      </c>
      <c r="O775" s="128"/>
      <c r="P775" s="129">
        <v>1000.0</v>
      </c>
      <c r="Q775" s="128" t="s">
        <v>91</v>
      </c>
    </row>
    <row r="776">
      <c r="A776" s="129">
        <v>2067.0</v>
      </c>
      <c r="B776" s="129">
        <v>2021.0</v>
      </c>
      <c r="C776" s="129">
        <v>8.0</v>
      </c>
      <c r="D776" s="129">
        <v>43.92</v>
      </c>
      <c r="E776" s="129">
        <v>4.88</v>
      </c>
      <c r="F776" s="128" t="s">
        <v>2942</v>
      </c>
      <c r="G776" s="128" t="s">
        <v>2958</v>
      </c>
      <c r="H776" s="128" t="s">
        <v>341</v>
      </c>
      <c r="I776" s="128" t="s">
        <v>285</v>
      </c>
      <c r="J776" s="129">
        <v>246.0</v>
      </c>
      <c r="K776" s="129">
        <v>1.0</v>
      </c>
      <c r="L776" s="129">
        <v>1000.0</v>
      </c>
      <c r="M776" s="128" t="s">
        <v>2958</v>
      </c>
      <c r="N776" s="129">
        <v>71.0</v>
      </c>
      <c r="O776" s="128"/>
      <c r="P776" s="129">
        <v>1000.0</v>
      </c>
      <c r="Q776" s="128" t="s">
        <v>91</v>
      </c>
    </row>
    <row r="777">
      <c r="A777" s="129">
        <v>2068.0</v>
      </c>
      <c r="B777" s="129">
        <v>2021.0</v>
      </c>
      <c r="C777" s="129">
        <v>-1.0</v>
      </c>
      <c r="D777" s="129">
        <v>43.92</v>
      </c>
      <c r="E777" s="129">
        <v>4.88</v>
      </c>
      <c r="F777" s="128" t="s">
        <v>2942</v>
      </c>
      <c r="G777" s="128" t="s">
        <v>2958</v>
      </c>
      <c r="H777" s="128" t="s">
        <v>350</v>
      </c>
      <c r="I777" s="128" t="s">
        <v>342</v>
      </c>
      <c r="J777" s="129">
        <v>161.0</v>
      </c>
      <c r="K777" s="129">
        <v>1.0</v>
      </c>
      <c r="L777" s="129">
        <v>1000.0</v>
      </c>
      <c r="M777" s="128" t="s">
        <v>2958</v>
      </c>
      <c r="N777" s="129">
        <v>71.0</v>
      </c>
      <c r="O777" s="128"/>
      <c r="P777" s="129">
        <v>1000.0</v>
      </c>
      <c r="Q777" s="128" t="s">
        <v>91</v>
      </c>
    </row>
    <row r="778">
      <c r="A778" s="129">
        <v>2069.0</v>
      </c>
      <c r="B778" s="129">
        <v>2021.0</v>
      </c>
      <c r="C778" s="129">
        <v>-19.0</v>
      </c>
      <c r="D778" s="129">
        <v>43.92</v>
      </c>
      <c r="E778" s="129">
        <v>4.88</v>
      </c>
      <c r="F778" s="128" t="s">
        <v>2942</v>
      </c>
      <c r="G778" s="128" t="s">
        <v>2958</v>
      </c>
      <c r="H778" s="128" t="s">
        <v>506</v>
      </c>
      <c r="I778" s="128" t="s">
        <v>676</v>
      </c>
      <c r="J778" s="129">
        <v>231.0</v>
      </c>
      <c r="K778" s="129">
        <v>1.0</v>
      </c>
      <c r="L778" s="129">
        <v>1000.0</v>
      </c>
      <c r="M778" s="128" t="s">
        <v>2958</v>
      </c>
      <c r="N778" s="129">
        <v>71.0</v>
      </c>
      <c r="O778" s="128"/>
      <c r="P778" s="129">
        <v>1000.0</v>
      </c>
      <c r="Q778" s="128" t="s">
        <v>91</v>
      </c>
    </row>
    <row r="779">
      <c r="A779" s="129">
        <v>2070.0</v>
      </c>
      <c r="B779" s="129">
        <v>2021.0</v>
      </c>
      <c r="C779" s="129">
        <v>15.0</v>
      </c>
      <c r="D779" s="129">
        <v>43.92</v>
      </c>
      <c r="E779" s="129">
        <v>4.88</v>
      </c>
      <c r="F779" s="128" t="s">
        <v>2942</v>
      </c>
      <c r="G779" s="128" t="s">
        <v>2958</v>
      </c>
      <c r="H779" s="128" t="s">
        <v>242</v>
      </c>
      <c r="I779" s="128" t="s">
        <v>243</v>
      </c>
      <c r="J779" s="129">
        <v>248.0</v>
      </c>
      <c r="K779" s="129">
        <v>1.0</v>
      </c>
      <c r="L779" s="129">
        <v>1000.0</v>
      </c>
      <c r="M779" s="128" t="s">
        <v>2958</v>
      </c>
      <c r="N779" s="129">
        <v>71.0</v>
      </c>
      <c r="O779" s="128"/>
      <c r="P779" s="129">
        <v>1000.0</v>
      </c>
      <c r="Q779" s="128" t="s">
        <v>91</v>
      </c>
    </row>
    <row r="780">
      <c r="A780" s="129">
        <v>2086.0</v>
      </c>
      <c r="B780" s="129">
        <v>2021.0</v>
      </c>
      <c r="C780" s="129">
        <v>22.7</v>
      </c>
      <c r="D780" s="129">
        <v>43.92</v>
      </c>
      <c r="E780" s="129">
        <v>4.88</v>
      </c>
      <c r="F780" s="128" t="s">
        <v>2942</v>
      </c>
      <c r="G780" s="128" t="s">
        <v>2958</v>
      </c>
      <c r="H780" s="128" t="s">
        <v>317</v>
      </c>
      <c r="I780" s="128" t="s">
        <v>194</v>
      </c>
      <c r="J780" s="129">
        <v>160.0</v>
      </c>
      <c r="K780" s="129">
        <v>1.0</v>
      </c>
      <c r="L780" s="129">
        <v>1000.0</v>
      </c>
      <c r="M780" s="128" t="s">
        <v>2958</v>
      </c>
      <c r="N780" s="129">
        <v>71.0</v>
      </c>
      <c r="O780" s="128"/>
      <c r="P780" s="129">
        <v>1000.0</v>
      </c>
      <c r="Q780" s="128" t="s">
        <v>91</v>
      </c>
    </row>
    <row r="781">
      <c r="A781" s="129">
        <v>2087.0</v>
      </c>
      <c r="B781" s="129">
        <v>2021.0</v>
      </c>
      <c r="C781" s="129">
        <v>9.1</v>
      </c>
      <c r="D781" s="129">
        <v>43.92</v>
      </c>
      <c r="E781" s="129">
        <v>4.88</v>
      </c>
      <c r="F781" s="128" t="s">
        <v>2942</v>
      </c>
      <c r="G781" s="128" t="s">
        <v>2958</v>
      </c>
      <c r="H781" s="128" t="s">
        <v>341</v>
      </c>
      <c r="I781" s="128" t="s">
        <v>285</v>
      </c>
      <c r="J781" s="129">
        <v>246.0</v>
      </c>
      <c r="K781" s="129">
        <v>1.0</v>
      </c>
      <c r="L781" s="129">
        <v>1000.0</v>
      </c>
      <c r="M781" s="128" t="s">
        <v>2958</v>
      </c>
      <c r="N781" s="129">
        <v>71.0</v>
      </c>
      <c r="O781" s="128"/>
      <c r="P781" s="129">
        <v>1000.0</v>
      </c>
      <c r="Q781" s="128" t="s">
        <v>91</v>
      </c>
    </row>
    <row r="782">
      <c r="A782" s="129">
        <v>2088.0</v>
      </c>
      <c r="B782" s="129">
        <v>2021.0</v>
      </c>
      <c r="C782" s="129">
        <v>4.7</v>
      </c>
      <c r="D782" s="129">
        <v>43.92</v>
      </c>
      <c r="E782" s="129">
        <v>4.88</v>
      </c>
      <c r="F782" s="128" t="s">
        <v>2942</v>
      </c>
      <c r="G782" s="128" t="s">
        <v>2958</v>
      </c>
      <c r="H782" s="128" t="s">
        <v>350</v>
      </c>
      <c r="I782" s="128" t="s">
        <v>342</v>
      </c>
      <c r="J782" s="129">
        <v>161.0</v>
      </c>
      <c r="K782" s="129">
        <v>1.0</v>
      </c>
      <c r="L782" s="129">
        <v>1000.0</v>
      </c>
      <c r="M782" s="128" t="s">
        <v>2958</v>
      </c>
      <c r="N782" s="129">
        <v>71.0</v>
      </c>
      <c r="O782" s="128"/>
      <c r="P782" s="129">
        <v>1000.0</v>
      </c>
      <c r="Q782" s="128" t="s">
        <v>91</v>
      </c>
    </row>
    <row r="783">
      <c r="A783" s="129">
        <v>2089.0</v>
      </c>
      <c r="B783" s="129">
        <v>2021.0</v>
      </c>
      <c r="C783" s="129">
        <v>-19.3</v>
      </c>
      <c r="D783" s="129">
        <v>43.92</v>
      </c>
      <c r="E783" s="129">
        <v>4.88</v>
      </c>
      <c r="F783" s="128" t="s">
        <v>2942</v>
      </c>
      <c r="G783" s="128" t="s">
        <v>2958</v>
      </c>
      <c r="H783" s="128" t="s">
        <v>506</v>
      </c>
      <c r="I783" s="128" t="s">
        <v>676</v>
      </c>
      <c r="J783" s="129">
        <v>231.0</v>
      </c>
      <c r="K783" s="129">
        <v>1.0</v>
      </c>
      <c r="L783" s="129">
        <v>1000.0</v>
      </c>
      <c r="M783" s="128" t="s">
        <v>2958</v>
      </c>
      <c r="N783" s="129">
        <v>71.0</v>
      </c>
      <c r="O783" s="128"/>
      <c r="P783" s="129">
        <v>1000.0</v>
      </c>
      <c r="Q783" s="128" t="s">
        <v>91</v>
      </c>
    </row>
    <row r="784">
      <c r="A784" s="129">
        <v>2090.0</v>
      </c>
      <c r="B784" s="129">
        <v>2021.0</v>
      </c>
      <c r="C784" s="129">
        <v>17.8</v>
      </c>
      <c r="D784" s="129">
        <v>43.92</v>
      </c>
      <c r="E784" s="129">
        <v>4.88</v>
      </c>
      <c r="F784" s="128" t="s">
        <v>2942</v>
      </c>
      <c r="G784" s="128" t="s">
        <v>2958</v>
      </c>
      <c r="H784" s="128" t="s">
        <v>242</v>
      </c>
      <c r="I784" s="128" t="s">
        <v>243</v>
      </c>
      <c r="J784" s="129">
        <v>248.0</v>
      </c>
      <c r="K784" s="129">
        <v>1.0</v>
      </c>
      <c r="L784" s="129">
        <v>1000.0</v>
      </c>
      <c r="M784" s="128" t="s">
        <v>2958</v>
      </c>
      <c r="N784" s="129">
        <v>71.0</v>
      </c>
      <c r="O784" s="128"/>
      <c r="P784" s="129">
        <v>1000.0</v>
      </c>
      <c r="Q784" s="128" t="s">
        <v>91</v>
      </c>
    </row>
    <row r="785">
      <c r="A785" s="129">
        <v>887.0</v>
      </c>
      <c r="B785" s="129">
        <v>2012.0</v>
      </c>
      <c r="C785" s="129">
        <v>41.0</v>
      </c>
      <c r="D785" s="129">
        <v>44.06</v>
      </c>
      <c r="E785" s="129">
        <v>-71.29</v>
      </c>
      <c r="F785" s="128" t="s">
        <v>1682</v>
      </c>
      <c r="G785" s="128" t="s">
        <v>1687</v>
      </c>
      <c r="H785" s="128" t="s">
        <v>295</v>
      </c>
      <c r="I785" s="128" t="s">
        <v>194</v>
      </c>
      <c r="J785" s="128"/>
      <c r="K785" s="129">
        <v>1.0</v>
      </c>
      <c r="L785" s="128" t="s">
        <v>1675</v>
      </c>
      <c r="M785" s="128" t="s">
        <v>1687</v>
      </c>
      <c r="N785" s="129">
        <v>299.0</v>
      </c>
      <c r="O785" s="128"/>
      <c r="P785" s="128" t="s">
        <v>1680</v>
      </c>
      <c r="Q785" s="128" t="s">
        <v>91</v>
      </c>
    </row>
    <row r="786">
      <c r="A786" s="129">
        <v>896.0</v>
      </c>
      <c r="B786" s="129">
        <v>2012.0</v>
      </c>
      <c r="C786" s="129">
        <v>-1.1</v>
      </c>
      <c r="D786" s="129">
        <v>44.32</v>
      </c>
      <c r="E786" s="129">
        <v>-121.61</v>
      </c>
      <c r="F786" s="128" t="s">
        <v>1682</v>
      </c>
      <c r="G786" s="128" t="s">
        <v>1710</v>
      </c>
      <c r="H786" s="128" t="s">
        <v>295</v>
      </c>
      <c r="I786" s="128" t="s">
        <v>194</v>
      </c>
      <c r="J786" s="128"/>
      <c r="K786" s="129">
        <v>1.0</v>
      </c>
      <c r="L786" s="128" t="s">
        <v>1675</v>
      </c>
      <c r="M786" s="128" t="s">
        <v>1711</v>
      </c>
      <c r="N786" s="129">
        <v>1003.0</v>
      </c>
      <c r="O786" s="128"/>
      <c r="P786" s="128" t="s">
        <v>1680</v>
      </c>
      <c r="Q786" s="128" t="s">
        <v>91</v>
      </c>
    </row>
    <row r="787">
      <c r="A787" s="129">
        <v>895.0</v>
      </c>
      <c r="B787" s="129">
        <v>2012.0</v>
      </c>
      <c r="C787" s="129">
        <v>-47.0</v>
      </c>
      <c r="D787" s="129">
        <v>44.5</v>
      </c>
      <c r="E787" s="129">
        <v>-121.62</v>
      </c>
      <c r="F787" s="128" t="s">
        <v>1682</v>
      </c>
      <c r="G787" s="128" t="s">
        <v>1707</v>
      </c>
      <c r="H787" s="128" t="s">
        <v>317</v>
      </c>
      <c r="I787" s="128" t="s">
        <v>342</v>
      </c>
      <c r="J787" s="128"/>
      <c r="K787" s="129">
        <v>1.0</v>
      </c>
      <c r="L787" s="128" t="s">
        <v>1675</v>
      </c>
      <c r="M787" s="128" t="s">
        <v>1708</v>
      </c>
      <c r="N787" s="129">
        <v>955.0</v>
      </c>
      <c r="O787" s="128"/>
      <c r="P787" s="128" t="s">
        <v>1680</v>
      </c>
      <c r="Q787" s="128" t="s">
        <v>91</v>
      </c>
    </row>
    <row r="788">
      <c r="A788" s="129">
        <v>1762.0</v>
      </c>
      <c r="B788" s="129">
        <v>2019.0</v>
      </c>
      <c r="C788" s="129">
        <v>-0.9</v>
      </c>
      <c r="D788" s="129">
        <v>44.57</v>
      </c>
      <c r="E788" s="129">
        <v>122.93</v>
      </c>
      <c r="F788" s="128" t="s">
        <v>2426</v>
      </c>
      <c r="G788" s="128" t="s">
        <v>2795</v>
      </c>
      <c r="H788" s="128" t="s">
        <v>193</v>
      </c>
      <c r="I788" s="128" t="s">
        <v>968</v>
      </c>
      <c r="J788" s="128"/>
      <c r="K788" s="129">
        <v>1.0</v>
      </c>
      <c r="L788" s="129">
        <v>1000.0</v>
      </c>
      <c r="M788" s="128" t="s">
        <v>2796</v>
      </c>
      <c r="N788" s="129">
        <v>152.0</v>
      </c>
      <c r="O788" s="128"/>
      <c r="P788" s="129">
        <v>1000.0</v>
      </c>
      <c r="Q788" s="128" t="s">
        <v>91</v>
      </c>
    </row>
    <row r="789">
      <c r="A789" s="129">
        <v>1761.0</v>
      </c>
      <c r="B789" s="129">
        <v>2019.0</v>
      </c>
      <c r="C789" s="129">
        <v>1.7</v>
      </c>
      <c r="D789" s="129">
        <v>44.59</v>
      </c>
      <c r="E789" s="129">
        <v>122.88</v>
      </c>
      <c r="F789" s="128" t="s">
        <v>2426</v>
      </c>
      <c r="G789" s="128" t="s">
        <v>2791</v>
      </c>
      <c r="H789" s="128" t="s">
        <v>193</v>
      </c>
      <c r="I789" s="128" t="s">
        <v>968</v>
      </c>
      <c r="J789" s="128"/>
      <c r="K789" s="129">
        <v>1.0</v>
      </c>
      <c r="L789" s="129">
        <v>1000.0</v>
      </c>
      <c r="M789" s="128" t="s">
        <v>2792</v>
      </c>
      <c r="N789" s="129">
        <v>152.0</v>
      </c>
      <c r="O789" s="128"/>
      <c r="P789" s="129">
        <v>1000.0</v>
      </c>
      <c r="Q789" s="128" t="s">
        <v>91</v>
      </c>
    </row>
    <row r="790">
      <c r="A790" s="129">
        <v>901.0</v>
      </c>
      <c r="B790" s="129">
        <v>2012.0</v>
      </c>
      <c r="C790" s="129">
        <v>-19.7</v>
      </c>
      <c r="D790" s="129">
        <v>45.56</v>
      </c>
      <c r="E790" s="129">
        <v>-84.71</v>
      </c>
      <c r="F790" s="128" t="s">
        <v>1682</v>
      </c>
      <c r="G790" s="128" t="s">
        <v>1724</v>
      </c>
      <c r="H790" s="128" t="s">
        <v>328</v>
      </c>
      <c r="I790" s="128" t="s">
        <v>363</v>
      </c>
      <c r="J790" s="128"/>
      <c r="K790" s="129">
        <v>1.0</v>
      </c>
      <c r="L790" s="128" t="s">
        <v>1675</v>
      </c>
      <c r="M790" s="128" t="s">
        <v>378</v>
      </c>
      <c r="N790" s="129">
        <v>237.0</v>
      </c>
      <c r="O790" s="128"/>
      <c r="P790" s="128" t="s">
        <v>1680</v>
      </c>
      <c r="Q790" s="128" t="s">
        <v>91</v>
      </c>
    </row>
    <row r="791">
      <c r="A791" s="129">
        <v>903.0</v>
      </c>
      <c r="B791" s="129">
        <v>2012.0</v>
      </c>
      <c r="C791" s="129">
        <v>18.9</v>
      </c>
      <c r="D791" s="129">
        <v>45.82</v>
      </c>
      <c r="E791" s="129">
        <v>-121.95</v>
      </c>
      <c r="F791" s="128" t="s">
        <v>1682</v>
      </c>
      <c r="G791" s="128" t="s">
        <v>1728</v>
      </c>
      <c r="H791" s="128" t="s">
        <v>328</v>
      </c>
      <c r="I791" s="128" t="s">
        <v>329</v>
      </c>
      <c r="J791" s="128"/>
      <c r="K791" s="129">
        <v>1.0</v>
      </c>
      <c r="L791" s="128" t="s">
        <v>1675</v>
      </c>
      <c r="M791" s="128" t="s">
        <v>1729</v>
      </c>
      <c r="N791" s="129">
        <v>385.0</v>
      </c>
      <c r="O791" s="128"/>
      <c r="P791" s="128" t="s">
        <v>1680</v>
      </c>
      <c r="Q791" s="128" t="s">
        <v>91</v>
      </c>
    </row>
    <row r="792">
      <c r="A792" s="129">
        <v>1805.0</v>
      </c>
      <c r="B792" s="129">
        <v>2021.0</v>
      </c>
      <c r="C792" s="129">
        <v>41.9</v>
      </c>
      <c r="D792" s="129">
        <v>47.21</v>
      </c>
      <c r="E792" s="129">
        <v>108.73</v>
      </c>
      <c r="F792" s="128" t="s">
        <v>2842</v>
      </c>
      <c r="G792" s="128" t="s">
        <v>1278</v>
      </c>
      <c r="H792" s="128" t="s">
        <v>295</v>
      </c>
      <c r="I792" s="128" t="s">
        <v>342</v>
      </c>
      <c r="J792" s="129">
        <v>29.0</v>
      </c>
      <c r="K792" s="129">
        <v>1.0</v>
      </c>
      <c r="L792" s="128"/>
      <c r="M792" s="128" t="s">
        <v>1279</v>
      </c>
      <c r="N792" s="129">
        <v>1243.0</v>
      </c>
      <c r="O792" s="128"/>
      <c r="P792" s="128"/>
      <c r="Q792" s="128" t="s">
        <v>91</v>
      </c>
    </row>
    <row r="793">
      <c r="A793" s="129">
        <v>1811.0</v>
      </c>
      <c r="B793" s="129">
        <v>2021.0</v>
      </c>
      <c r="C793" s="129">
        <v>75.7</v>
      </c>
      <c r="D793" s="129">
        <v>47.21</v>
      </c>
      <c r="E793" s="129">
        <v>108.73</v>
      </c>
      <c r="F793" s="128" t="s">
        <v>2842</v>
      </c>
      <c r="G793" s="128" t="s">
        <v>1278</v>
      </c>
      <c r="H793" s="128" t="s">
        <v>295</v>
      </c>
      <c r="I793" s="128" t="s">
        <v>342</v>
      </c>
      <c r="J793" s="129">
        <v>29.0</v>
      </c>
      <c r="K793" s="129">
        <v>1.0</v>
      </c>
      <c r="L793" s="128"/>
      <c r="M793" s="128" t="s">
        <v>1279</v>
      </c>
      <c r="N793" s="129">
        <v>1243.0</v>
      </c>
      <c r="O793" s="128"/>
      <c r="P793" s="128"/>
      <c r="Q793" s="128" t="s">
        <v>91</v>
      </c>
    </row>
    <row r="794">
      <c r="A794" s="129">
        <v>886.0</v>
      </c>
      <c r="B794" s="129">
        <v>2012.0</v>
      </c>
      <c r="C794" s="129">
        <v>34.0</v>
      </c>
      <c r="D794" s="129">
        <v>71.32</v>
      </c>
      <c r="E794" s="129">
        <v>-156.63</v>
      </c>
      <c r="F794" s="128" t="s">
        <v>1682</v>
      </c>
      <c r="G794" s="128" t="s">
        <v>1684</v>
      </c>
      <c r="H794" s="128" t="s">
        <v>295</v>
      </c>
      <c r="I794" s="128" t="s">
        <v>194</v>
      </c>
      <c r="J794" s="128"/>
      <c r="K794" s="129">
        <v>1.0</v>
      </c>
      <c r="L794" s="128" t="s">
        <v>1675</v>
      </c>
      <c r="M794" s="128" t="s">
        <v>1684</v>
      </c>
      <c r="N794" s="128"/>
      <c r="O794" s="128"/>
      <c r="P794" s="128" t="s">
        <v>1680</v>
      </c>
      <c r="Q794" s="128" t="s">
        <v>91</v>
      </c>
    </row>
    <row r="795">
      <c r="A795" s="129">
        <v>802.0</v>
      </c>
      <c r="B795" s="129">
        <v>2012.0</v>
      </c>
      <c r="C795" s="129">
        <v>-13.0</v>
      </c>
      <c r="D795" s="129">
        <v>-25.0197</v>
      </c>
      <c r="E795" s="129">
        <v>31.4969</v>
      </c>
      <c r="F795" s="128" t="s">
        <v>1507</v>
      </c>
      <c r="G795" s="128" t="s">
        <v>1014</v>
      </c>
      <c r="H795" s="128" t="s">
        <v>350</v>
      </c>
      <c r="I795" s="128" t="s">
        <v>1510</v>
      </c>
      <c r="J795" s="128"/>
      <c r="K795" s="129">
        <v>1.0</v>
      </c>
      <c r="L795" s="129">
        <v>3000.0</v>
      </c>
      <c r="M795" s="128" t="s">
        <v>365</v>
      </c>
      <c r="N795" s="129">
        <v>362.0</v>
      </c>
      <c r="O795" s="128"/>
      <c r="P795" s="129">
        <v>3000.0</v>
      </c>
      <c r="Q795" s="128" t="s">
        <v>604</v>
      </c>
    </row>
    <row r="796">
      <c r="A796" s="129">
        <v>803.0</v>
      </c>
      <c r="B796" s="129">
        <v>2012.0</v>
      </c>
      <c r="C796" s="129">
        <v>127.0</v>
      </c>
      <c r="D796" s="129">
        <v>-25.0197</v>
      </c>
      <c r="E796" s="129">
        <v>31.4969</v>
      </c>
      <c r="F796" s="128" t="s">
        <v>1507</v>
      </c>
      <c r="G796" s="128" t="s">
        <v>1014</v>
      </c>
      <c r="H796" s="128" t="s">
        <v>350</v>
      </c>
      <c r="I796" s="128" t="s">
        <v>1510</v>
      </c>
      <c r="J796" s="128"/>
      <c r="K796" s="129">
        <v>1.0</v>
      </c>
      <c r="L796" s="129">
        <v>3000.0</v>
      </c>
      <c r="M796" s="128" t="s">
        <v>365</v>
      </c>
      <c r="N796" s="129">
        <v>362.0</v>
      </c>
      <c r="O796" s="128"/>
      <c r="P796" s="129">
        <v>3000.0</v>
      </c>
      <c r="Q796" s="128" t="s">
        <v>604</v>
      </c>
    </row>
    <row r="797">
      <c r="A797" s="129">
        <v>806.0</v>
      </c>
      <c r="B797" s="129">
        <v>2012.0</v>
      </c>
      <c r="C797" s="129">
        <v>-34.0</v>
      </c>
      <c r="D797" s="129">
        <v>-15.4378</v>
      </c>
      <c r="E797" s="129">
        <v>23.2528</v>
      </c>
      <c r="F797" s="128" t="s">
        <v>1507</v>
      </c>
      <c r="G797" s="128" t="s">
        <v>1515</v>
      </c>
      <c r="H797" s="128" t="s">
        <v>1514</v>
      </c>
      <c r="I797" s="128" t="s">
        <v>1510</v>
      </c>
      <c r="J797" s="128"/>
      <c r="K797" s="129">
        <v>1.0</v>
      </c>
      <c r="L797" s="129">
        <v>3000.0</v>
      </c>
      <c r="M797" s="128" t="s">
        <v>1017</v>
      </c>
      <c r="N797" s="129">
        <v>1087.0</v>
      </c>
      <c r="O797" s="128"/>
      <c r="P797" s="129">
        <v>3000.0</v>
      </c>
      <c r="Q797" s="128" t="s">
        <v>604</v>
      </c>
    </row>
    <row r="798">
      <c r="A798" s="129">
        <v>807.0</v>
      </c>
      <c r="B798" s="129">
        <v>2012.0</v>
      </c>
      <c r="C798" s="129">
        <v>14.0</v>
      </c>
      <c r="D798" s="129">
        <v>-15.4378</v>
      </c>
      <c r="E798" s="129">
        <v>23.2528</v>
      </c>
      <c r="F798" s="128" t="s">
        <v>1507</v>
      </c>
      <c r="G798" s="128" t="s">
        <v>1515</v>
      </c>
      <c r="H798" s="128" t="s">
        <v>1514</v>
      </c>
      <c r="I798" s="128" t="s">
        <v>1510</v>
      </c>
      <c r="J798" s="128"/>
      <c r="K798" s="129">
        <v>1.0</v>
      </c>
      <c r="L798" s="129">
        <v>3000.0</v>
      </c>
      <c r="M798" s="128" t="s">
        <v>1017</v>
      </c>
      <c r="N798" s="129">
        <v>1087.0</v>
      </c>
      <c r="O798" s="128"/>
      <c r="P798" s="129">
        <v>3000.0</v>
      </c>
      <c r="Q798" s="128" t="s">
        <v>604</v>
      </c>
    </row>
    <row r="799">
      <c r="A799" s="129">
        <v>804.0</v>
      </c>
      <c r="B799" s="129">
        <v>2012.0</v>
      </c>
      <c r="C799" s="129">
        <v>-23.0</v>
      </c>
      <c r="D799" s="129">
        <v>-4.2892</v>
      </c>
      <c r="E799" s="129">
        <v>11.6564</v>
      </c>
      <c r="F799" s="128" t="s">
        <v>1507</v>
      </c>
      <c r="G799" s="128" t="s">
        <v>1511</v>
      </c>
      <c r="H799" s="128" t="s">
        <v>350</v>
      </c>
      <c r="I799" s="128" t="s">
        <v>1510</v>
      </c>
      <c r="J799" s="128"/>
      <c r="K799" s="129">
        <v>1.0</v>
      </c>
      <c r="L799" s="129">
        <v>3000.0</v>
      </c>
      <c r="M799" s="128" t="s">
        <v>1512</v>
      </c>
      <c r="N799" s="129">
        <v>89.0</v>
      </c>
      <c r="O799" s="128"/>
      <c r="P799" s="129">
        <v>3000.0</v>
      </c>
      <c r="Q799" s="128" t="s">
        <v>604</v>
      </c>
    </row>
    <row r="800">
      <c r="A800" s="129">
        <v>805.0</v>
      </c>
      <c r="B800" s="129">
        <v>2012.0</v>
      </c>
      <c r="C800" s="129">
        <v>61.0</v>
      </c>
      <c r="D800" s="129">
        <v>-4.2892</v>
      </c>
      <c r="E800" s="129">
        <v>11.6564</v>
      </c>
      <c r="F800" s="128" t="s">
        <v>1507</v>
      </c>
      <c r="G800" s="128" t="s">
        <v>1511</v>
      </c>
      <c r="H800" s="128" t="s">
        <v>350</v>
      </c>
      <c r="I800" s="128" t="s">
        <v>1510</v>
      </c>
      <c r="J800" s="128"/>
      <c r="K800" s="129">
        <v>1.0</v>
      </c>
      <c r="L800" s="129">
        <v>3000.0</v>
      </c>
      <c r="M800" s="128" t="s">
        <v>1512</v>
      </c>
      <c r="N800" s="129">
        <v>89.0</v>
      </c>
      <c r="O800" s="128"/>
      <c r="P800" s="129">
        <v>3000.0</v>
      </c>
      <c r="Q800" s="128" t="s">
        <v>604</v>
      </c>
    </row>
    <row r="801">
      <c r="A801" s="129">
        <v>800.0</v>
      </c>
      <c r="B801" s="129">
        <v>2012.0</v>
      </c>
      <c r="C801" s="129">
        <v>-35.0</v>
      </c>
      <c r="D801" s="129">
        <v>13.2829</v>
      </c>
      <c r="E801" s="129">
        <v>30.4783</v>
      </c>
      <c r="F801" s="128" t="s">
        <v>1507</v>
      </c>
      <c r="G801" s="128" t="s">
        <v>1505</v>
      </c>
      <c r="H801" s="128" t="s">
        <v>1502</v>
      </c>
      <c r="I801" s="128" t="s">
        <v>1503</v>
      </c>
      <c r="J801" s="128"/>
      <c r="K801" s="129">
        <v>1.0</v>
      </c>
      <c r="L801" s="129">
        <v>3000.0</v>
      </c>
      <c r="M801" s="128" t="s">
        <v>353</v>
      </c>
      <c r="N801" s="129">
        <v>538.0</v>
      </c>
      <c r="O801" s="128"/>
      <c r="P801" s="129">
        <v>3000.0</v>
      </c>
      <c r="Q801" s="128" t="s">
        <v>604</v>
      </c>
    </row>
    <row r="802">
      <c r="A802" s="129">
        <v>801.0</v>
      </c>
      <c r="B802" s="129">
        <v>2012.0</v>
      </c>
      <c r="C802" s="129">
        <v>80.0</v>
      </c>
      <c r="D802" s="129">
        <v>13.2829</v>
      </c>
      <c r="E802" s="129">
        <v>30.4783</v>
      </c>
      <c r="F802" s="128" t="s">
        <v>1507</v>
      </c>
      <c r="G802" s="128" t="s">
        <v>1505</v>
      </c>
      <c r="H802" s="128" t="s">
        <v>1502</v>
      </c>
      <c r="I802" s="128" t="s">
        <v>1503</v>
      </c>
      <c r="J802" s="128"/>
      <c r="K802" s="129">
        <v>1.0</v>
      </c>
      <c r="L802" s="129">
        <v>3000.0</v>
      </c>
      <c r="M802" s="128" t="s">
        <v>353</v>
      </c>
      <c r="N802" s="129">
        <v>538.0</v>
      </c>
      <c r="O802" s="128"/>
      <c r="P802" s="129">
        <v>3000.0</v>
      </c>
      <c r="Q802" s="128" t="s">
        <v>604</v>
      </c>
    </row>
    <row r="803">
      <c r="A803" s="129">
        <v>1862.0</v>
      </c>
      <c r="B803" s="129">
        <v>2019.0</v>
      </c>
      <c r="C803" s="129">
        <v>22.8</v>
      </c>
      <c r="D803" s="129">
        <v>23.1</v>
      </c>
      <c r="E803" s="129">
        <v>112.34</v>
      </c>
      <c r="F803" s="128" t="s">
        <v>5997</v>
      </c>
      <c r="G803" s="128" t="s">
        <v>586</v>
      </c>
      <c r="H803" s="128" t="s">
        <v>193</v>
      </c>
      <c r="I803" s="128" t="s">
        <v>363</v>
      </c>
      <c r="J803" s="128"/>
      <c r="K803" s="129">
        <v>1.0</v>
      </c>
      <c r="L803" s="128" t="s">
        <v>5998</v>
      </c>
      <c r="M803" s="128" t="s">
        <v>587</v>
      </c>
      <c r="N803" s="129">
        <v>187.0</v>
      </c>
      <c r="O803" s="128"/>
      <c r="P803" s="128" t="s">
        <v>5999</v>
      </c>
      <c r="Q803" s="128" t="s">
        <v>604</v>
      </c>
    </row>
    <row r="804">
      <c r="A804" s="129">
        <v>1863.0</v>
      </c>
      <c r="B804" s="129">
        <v>2019.0</v>
      </c>
      <c r="C804" s="129">
        <v>12.1</v>
      </c>
      <c r="D804" s="129">
        <v>23.1</v>
      </c>
      <c r="E804" s="129">
        <v>112.34</v>
      </c>
      <c r="F804" s="128" t="s">
        <v>5997</v>
      </c>
      <c r="G804" s="128" t="s">
        <v>586</v>
      </c>
      <c r="H804" s="128" t="s">
        <v>295</v>
      </c>
      <c r="I804" s="128" t="s">
        <v>968</v>
      </c>
      <c r="J804" s="128"/>
      <c r="K804" s="129">
        <v>1.0</v>
      </c>
      <c r="L804" s="128" t="s">
        <v>5998</v>
      </c>
      <c r="M804" s="128" t="s">
        <v>587</v>
      </c>
      <c r="N804" s="129">
        <v>187.0</v>
      </c>
      <c r="O804" s="128"/>
      <c r="P804" s="128" t="s">
        <v>5999</v>
      </c>
      <c r="Q804" s="128" t="s">
        <v>604</v>
      </c>
    </row>
    <row r="805">
      <c r="A805" s="129">
        <v>1864.0</v>
      </c>
      <c r="B805" s="129">
        <v>2019.0</v>
      </c>
      <c r="C805" s="129">
        <v>13.1</v>
      </c>
      <c r="D805" s="129">
        <v>23.1</v>
      </c>
      <c r="E805" s="129">
        <v>112.34</v>
      </c>
      <c r="F805" s="128" t="s">
        <v>5997</v>
      </c>
      <c r="G805" s="128" t="s">
        <v>586</v>
      </c>
      <c r="H805" s="128" t="s">
        <v>317</v>
      </c>
      <c r="I805" s="128" t="s">
        <v>194</v>
      </c>
      <c r="J805" s="128"/>
      <c r="K805" s="129">
        <v>1.0</v>
      </c>
      <c r="L805" s="128" t="s">
        <v>5998</v>
      </c>
      <c r="M805" s="128" t="s">
        <v>587</v>
      </c>
      <c r="N805" s="129">
        <v>187.0</v>
      </c>
      <c r="O805" s="128"/>
      <c r="P805" s="128" t="s">
        <v>5999</v>
      </c>
      <c r="Q805" s="128" t="s">
        <v>604</v>
      </c>
    </row>
    <row r="806">
      <c r="A806" s="129">
        <v>1865.0</v>
      </c>
      <c r="B806" s="129">
        <v>2019.0</v>
      </c>
      <c r="C806" s="129">
        <v>15.9</v>
      </c>
      <c r="D806" s="129">
        <v>23.1</v>
      </c>
      <c r="E806" s="129">
        <v>112.34</v>
      </c>
      <c r="F806" s="128" t="s">
        <v>5997</v>
      </c>
      <c r="G806" s="128" t="s">
        <v>586</v>
      </c>
      <c r="H806" s="128" t="s">
        <v>193</v>
      </c>
      <c r="I806" s="128" t="s">
        <v>194</v>
      </c>
      <c r="J806" s="128"/>
      <c r="K806" s="129">
        <v>1.0</v>
      </c>
      <c r="L806" s="128" t="s">
        <v>5998</v>
      </c>
      <c r="M806" s="128" t="s">
        <v>587</v>
      </c>
      <c r="N806" s="129">
        <v>187.0</v>
      </c>
      <c r="O806" s="128"/>
      <c r="P806" s="128" t="s">
        <v>5999</v>
      </c>
      <c r="Q806" s="128" t="s">
        <v>604</v>
      </c>
    </row>
    <row r="807">
      <c r="A807" s="129">
        <v>1866.0</v>
      </c>
      <c r="B807" s="129">
        <v>2019.0</v>
      </c>
      <c r="C807" s="129">
        <v>14.3</v>
      </c>
      <c r="D807" s="129">
        <v>23.1</v>
      </c>
      <c r="E807" s="129">
        <v>112.34</v>
      </c>
      <c r="F807" s="128" t="s">
        <v>5997</v>
      </c>
      <c r="G807" s="128" t="s">
        <v>586</v>
      </c>
      <c r="H807" s="128" t="s">
        <v>193</v>
      </c>
      <c r="I807" s="128" t="s">
        <v>194</v>
      </c>
      <c r="J807" s="128"/>
      <c r="K807" s="129">
        <v>1.0</v>
      </c>
      <c r="L807" s="128" t="s">
        <v>5998</v>
      </c>
      <c r="M807" s="128" t="s">
        <v>587</v>
      </c>
      <c r="N807" s="129">
        <v>187.0</v>
      </c>
      <c r="O807" s="128"/>
      <c r="P807" s="128" t="s">
        <v>5999</v>
      </c>
      <c r="Q807" s="128" t="s">
        <v>604</v>
      </c>
    </row>
    <row r="808">
      <c r="A808" s="129">
        <v>1867.0</v>
      </c>
      <c r="B808" s="129">
        <v>2019.0</v>
      </c>
      <c r="C808" s="129">
        <v>19.6</v>
      </c>
      <c r="D808" s="129">
        <v>23.1</v>
      </c>
      <c r="E808" s="129">
        <v>112.34</v>
      </c>
      <c r="F808" s="128" t="s">
        <v>5997</v>
      </c>
      <c r="G808" s="128" t="s">
        <v>586</v>
      </c>
      <c r="H808" s="128" t="s">
        <v>193</v>
      </c>
      <c r="I808" s="128" t="s">
        <v>194</v>
      </c>
      <c r="J808" s="128"/>
      <c r="K808" s="129">
        <v>1.0</v>
      </c>
      <c r="L808" s="128" t="s">
        <v>5998</v>
      </c>
      <c r="M808" s="128" t="s">
        <v>587</v>
      </c>
      <c r="N808" s="129">
        <v>187.0</v>
      </c>
      <c r="O808" s="128"/>
      <c r="P808" s="128" t="s">
        <v>5999</v>
      </c>
      <c r="Q808" s="128" t="s">
        <v>604</v>
      </c>
    </row>
    <row r="809">
      <c r="A809" s="129">
        <v>1868.0</v>
      </c>
      <c r="B809" s="129">
        <v>2019.0</v>
      </c>
      <c r="C809" s="129">
        <v>1.7</v>
      </c>
      <c r="D809" s="129">
        <v>23.1</v>
      </c>
      <c r="E809" s="129">
        <v>112.34</v>
      </c>
      <c r="F809" s="128" t="s">
        <v>5997</v>
      </c>
      <c r="G809" s="128" t="s">
        <v>195</v>
      </c>
      <c r="H809" s="128" t="s">
        <v>193</v>
      </c>
      <c r="I809" s="128" t="s">
        <v>363</v>
      </c>
      <c r="J809" s="128"/>
      <c r="K809" s="129">
        <v>1.0</v>
      </c>
      <c r="L809" s="128" t="s">
        <v>5998</v>
      </c>
      <c r="M809" s="128" t="s">
        <v>196</v>
      </c>
      <c r="N809" s="129">
        <v>187.0</v>
      </c>
      <c r="O809" s="128"/>
      <c r="P809" s="128" t="s">
        <v>5999</v>
      </c>
      <c r="Q809" s="128" t="s">
        <v>604</v>
      </c>
    </row>
    <row r="810">
      <c r="A810" s="129">
        <v>1869.0</v>
      </c>
      <c r="B810" s="129">
        <v>2019.0</v>
      </c>
      <c r="C810" s="129">
        <v>-11.9</v>
      </c>
      <c r="D810" s="129">
        <v>23.1</v>
      </c>
      <c r="E810" s="129">
        <v>112.34</v>
      </c>
      <c r="F810" s="128" t="s">
        <v>5997</v>
      </c>
      <c r="G810" s="128" t="s">
        <v>195</v>
      </c>
      <c r="H810" s="128" t="s">
        <v>295</v>
      </c>
      <c r="I810" s="128" t="s">
        <v>968</v>
      </c>
      <c r="J810" s="128"/>
      <c r="K810" s="129">
        <v>1.0</v>
      </c>
      <c r="L810" s="128" t="s">
        <v>5998</v>
      </c>
      <c r="M810" s="128" t="s">
        <v>196</v>
      </c>
      <c r="N810" s="129">
        <v>187.0</v>
      </c>
      <c r="O810" s="128"/>
      <c r="P810" s="128" t="s">
        <v>5999</v>
      </c>
      <c r="Q810" s="128" t="s">
        <v>604</v>
      </c>
    </row>
    <row r="811">
      <c r="A811" s="129">
        <v>1870.0</v>
      </c>
      <c r="B811" s="129">
        <v>2019.0</v>
      </c>
      <c r="C811" s="129">
        <v>44.3</v>
      </c>
      <c r="D811" s="129">
        <v>23.1</v>
      </c>
      <c r="E811" s="129">
        <v>112.34</v>
      </c>
      <c r="F811" s="128" t="s">
        <v>5997</v>
      </c>
      <c r="G811" s="128" t="s">
        <v>195</v>
      </c>
      <c r="H811" s="128" t="s">
        <v>317</v>
      </c>
      <c r="I811" s="128" t="s">
        <v>194</v>
      </c>
      <c r="J811" s="128"/>
      <c r="K811" s="129">
        <v>1.0</v>
      </c>
      <c r="L811" s="128" t="s">
        <v>5998</v>
      </c>
      <c r="M811" s="128" t="s">
        <v>196</v>
      </c>
      <c r="N811" s="129">
        <v>187.0</v>
      </c>
      <c r="O811" s="128"/>
      <c r="P811" s="128" t="s">
        <v>5999</v>
      </c>
      <c r="Q811" s="128" t="s">
        <v>604</v>
      </c>
    </row>
    <row r="812">
      <c r="A812" s="129">
        <v>1871.0</v>
      </c>
      <c r="B812" s="129">
        <v>2019.0</v>
      </c>
      <c r="C812" s="129">
        <v>6.4</v>
      </c>
      <c r="D812" s="129">
        <v>23.1</v>
      </c>
      <c r="E812" s="129">
        <v>112.34</v>
      </c>
      <c r="F812" s="128" t="s">
        <v>5997</v>
      </c>
      <c r="G812" s="128" t="s">
        <v>195</v>
      </c>
      <c r="H812" s="128" t="s">
        <v>193</v>
      </c>
      <c r="I812" s="128" t="s">
        <v>194</v>
      </c>
      <c r="J812" s="128"/>
      <c r="K812" s="129">
        <v>1.0</v>
      </c>
      <c r="L812" s="128" t="s">
        <v>5998</v>
      </c>
      <c r="M812" s="128" t="s">
        <v>196</v>
      </c>
      <c r="N812" s="129">
        <v>187.0</v>
      </c>
      <c r="O812" s="128"/>
      <c r="P812" s="128" t="s">
        <v>5999</v>
      </c>
      <c r="Q812" s="128" t="s">
        <v>604</v>
      </c>
    </row>
    <row r="813">
      <c r="A813" s="129">
        <v>1872.0</v>
      </c>
      <c r="B813" s="129">
        <v>2019.0</v>
      </c>
      <c r="C813" s="129">
        <v>0.3</v>
      </c>
      <c r="D813" s="129">
        <v>23.1</v>
      </c>
      <c r="E813" s="129">
        <v>112.34</v>
      </c>
      <c r="F813" s="128" t="s">
        <v>5997</v>
      </c>
      <c r="G813" s="128" t="s">
        <v>195</v>
      </c>
      <c r="H813" s="128" t="s">
        <v>193</v>
      </c>
      <c r="I813" s="128" t="s">
        <v>194</v>
      </c>
      <c r="J813" s="128"/>
      <c r="K813" s="129">
        <v>1.0</v>
      </c>
      <c r="L813" s="128" t="s">
        <v>5998</v>
      </c>
      <c r="M813" s="128" t="s">
        <v>196</v>
      </c>
      <c r="N813" s="129">
        <v>187.0</v>
      </c>
      <c r="O813" s="128"/>
      <c r="P813" s="128" t="s">
        <v>5999</v>
      </c>
      <c r="Q813" s="128" t="s">
        <v>604</v>
      </c>
    </row>
    <row r="814">
      <c r="A814" s="129">
        <v>1873.0</v>
      </c>
      <c r="B814" s="129">
        <v>2019.0</v>
      </c>
      <c r="C814" s="129">
        <v>6.0</v>
      </c>
      <c r="D814" s="129">
        <v>23.1</v>
      </c>
      <c r="E814" s="129">
        <v>112.34</v>
      </c>
      <c r="F814" s="128" t="s">
        <v>5997</v>
      </c>
      <c r="G814" s="128" t="s">
        <v>195</v>
      </c>
      <c r="H814" s="128" t="s">
        <v>193</v>
      </c>
      <c r="I814" s="128" t="s">
        <v>194</v>
      </c>
      <c r="J814" s="128"/>
      <c r="K814" s="129">
        <v>1.0</v>
      </c>
      <c r="L814" s="128" t="s">
        <v>5998</v>
      </c>
      <c r="M814" s="128" t="s">
        <v>196</v>
      </c>
      <c r="N814" s="129">
        <v>187.0</v>
      </c>
      <c r="O814" s="128"/>
      <c r="P814" s="128" t="s">
        <v>5999</v>
      </c>
      <c r="Q814" s="128" t="s">
        <v>604</v>
      </c>
    </row>
    <row r="815">
      <c r="A815" s="129">
        <v>1874.0</v>
      </c>
      <c r="B815" s="129">
        <v>2019.0</v>
      </c>
      <c r="C815" s="129">
        <v>-18.6</v>
      </c>
      <c r="D815" s="129">
        <v>23.1</v>
      </c>
      <c r="E815" s="129">
        <v>112.34</v>
      </c>
      <c r="F815" s="128" t="s">
        <v>5997</v>
      </c>
      <c r="G815" s="128" t="s">
        <v>581</v>
      </c>
      <c r="H815" s="128" t="s">
        <v>193</v>
      </c>
      <c r="I815" s="128" t="s">
        <v>363</v>
      </c>
      <c r="J815" s="128"/>
      <c r="K815" s="129">
        <v>1.0</v>
      </c>
      <c r="L815" s="128" t="s">
        <v>5998</v>
      </c>
      <c r="M815" s="128" t="s">
        <v>860</v>
      </c>
      <c r="N815" s="129">
        <v>187.0</v>
      </c>
      <c r="O815" s="128"/>
      <c r="P815" s="128" t="s">
        <v>5999</v>
      </c>
      <c r="Q815" s="128" t="s">
        <v>604</v>
      </c>
    </row>
    <row r="816">
      <c r="A816" s="129">
        <v>1875.0</v>
      </c>
      <c r="B816" s="129">
        <v>2019.0</v>
      </c>
      <c r="C816" s="129">
        <v>-15.5</v>
      </c>
      <c r="D816" s="129">
        <v>23.1</v>
      </c>
      <c r="E816" s="129">
        <v>112.34</v>
      </c>
      <c r="F816" s="128" t="s">
        <v>5997</v>
      </c>
      <c r="G816" s="128" t="s">
        <v>581</v>
      </c>
      <c r="H816" s="128" t="s">
        <v>295</v>
      </c>
      <c r="I816" s="128" t="s">
        <v>968</v>
      </c>
      <c r="J816" s="128"/>
      <c r="K816" s="129">
        <v>1.0</v>
      </c>
      <c r="L816" s="128" t="s">
        <v>5998</v>
      </c>
      <c r="M816" s="128" t="s">
        <v>860</v>
      </c>
      <c r="N816" s="129">
        <v>187.0</v>
      </c>
      <c r="O816" s="128"/>
      <c r="P816" s="128" t="s">
        <v>5999</v>
      </c>
      <c r="Q816" s="128" t="s">
        <v>604</v>
      </c>
    </row>
    <row r="817">
      <c r="A817" s="129">
        <v>1876.0</v>
      </c>
      <c r="B817" s="129">
        <v>2019.0</v>
      </c>
      <c r="C817" s="129">
        <v>5.1</v>
      </c>
      <c r="D817" s="129">
        <v>23.1</v>
      </c>
      <c r="E817" s="129">
        <v>112.34</v>
      </c>
      <c r="F817" s="128" t="s">
        <v>5997</v>
      </c>
      <c r="G817" s="128" t="s">
        <v>581</v>
      </c>
      <c r="H817" s="128" t="s">
        <v>317</v>
      </c>
      <c r="I817" s="128" t="s">
        <v>194</v>
      </c>
      <c r="J817" s="128"/>
      <c r="K817" s="129">
        <v>1.0</v>
      </c>
      <c r="L817" s="128" t="s">
        <v>5998</v>
      </c>
      <c r="M817" s="128" t="s">
        <v>860</v>
      </c>
      <c r="N817" s="129">
        <v>187.0</v>
      </c>
      <c r="O817" s="128"/>
      <c r="P817" s="128" t="s">
        <v>5999</v>
      </c>
      <c r="Q817" s="128" t="s">
        <v>604</v>
      </c>
    </row>
    <row r="818">
      <c r="A818" s="129">
        <v>1877.0</v>
      </c>
      <c r="B818" s="129">
        <v>2019.0</v>
      </c>
      <c r="C818" s="129">
        <v>-10.5</v>
      </c>
      <c r="D818" s="129">
        <v>23.1</v>
      </c>
      <c r="E818" s="129">
        <v>112.34</v>
      </c>
      <c r="F818" s="128" t="s">
        <v>5997</v>
      </c>
      <c r="G818" s="128" t="s">
        <v>581</v>
      </c>
      <c r="H818" s="128" t="s">
        <v>193</v>
      </c>
      <c r="I818" s="128" t="s">
        <v>194</v>
      </c>
      <c r="J818" s="128"/>
      <c r="K818" s="129">
        <v>1.0</v>
      </c>
      <c r="L818" s="128" t="s">
        <v>5998</v>
      </c>
      <c r="M818" s="128" t="s">
        <v>860</v>
      </c>
      <c r="N818" s="129">
        <v>187.0</v>
      </c>
      <c r="O818" s="128"/>
      <c r="P818" s="128" t="s">
        <v>5999</v>
      </c>
      <c r="Q818" s="128" t="s">
        <v>604</v>
      </c>
    </row>
    <row r="819">
      <c r="A819" s="129">
        <v>1878.0</v>
      </c>
      <c r="B819" s="129">
        <v>2019.0</v>
      </c>
      <c r="C819" s="129">
        <v>-12.9</v>
      </c>
      <c r="D819" s="129">
        <v>23.1</v>
      </c>
      <c r="E819" s="129">
        <v>112.34</v>
      </c>
      <c r="F819" s="128" t="s">
        <v>5997</v>
      </c>
      <c r="G819" s="128" t="s">
        <v>581</v>
      </c>
      <c r="H819" s="128" t="s">
        <v>193</v>
      </c>
      <c r="I819" s="128" t="s">
        <v>194</v>
      </c>
      <c r="J819" s="128"/>
      <c r="K819" s="129">
        <v>1.0</v>
      </c>
      <c r="L819" s="128" t="s">
        <v>5998</v>
      </c>
      <c r="M819" s="128" t="s">
        <v>860</v>
      </c>
      <c r="N819" s="129">
        <v>187.0</v>
      </c>
      <c r="O819" s="128"/>
      <c r="P819" s="128" t="s">
        <v>5999</v>
      </c>
      <c r="Q819" s="128" t="s">
        <v>604</v>
      </c>
    </row>
    <row r="820">
      <c r="A820" s="129">
        <v>1879.0</v>
      </c>
      <c r="B820" s="129">
        <v>2019.0</v>
      </c>
      <c r="C820" s="129">
        <v>-6.0</v>
      </c>
      <c r="D820" s="129">
        <v>23.1</v>
      </c>
      <c r="E820" s="129">
        <v>112.34</v>
      </c>
      <c r="F820" s="128" t="s">
        <v>5997</v>
      </c>
      <c r="G820" s="128" t="s">
        <v>581</v>
      </c>
      <c r="H820" s="128" t="s">
        <v>193</v>
      </c>
      <c r="I820" s="128" t="s">
        <v>194</v>
      </c>
      <c r="J820" s="128"/>
      <c r="K820" s="129">
        <v>1.0</v>
      </c>
      <c r="L820" s="128" t="s">
        <v>5998</v>
      </c>
      <c r="M820" s="128" t="s">
        <v>860</v>
      </c>
      <c r="N820" s="129">
        <v>187.0</v>
      </c>
      <c r="O820" s="128"/>
      <c r="P820" s="128" t="s">
        <v>5999</v>
      </c>
      <c r="Q820" s="128" t="s">
        <v>604</v>
      </c>
    </row>
    <row r="821">
      <c r="A821" s="129">
        <v>823.0</v>
      </c>
      <c r="B821" s="129">
        <v>2012.0</v>
      </c>
      <c r="C821" s="129">
        <v>31.8</v>
      </c>
      <c r="D821" s="129">
        <v>38.51</v>
      </c>
      <c r="E821" s="129">
        <v>100.25</v>
      </c>
      <c r="F821" s="128" t="s">
        <v>1547</v>
      </c>
      <c r="G821" s="128" t="s">
        <v>275</v>
      </c>
      <c r="H821" s="128" t="s">
        <v>1546</v>
      </c>
      <c r="I821" s="128" t="s">
        <v>1546</v>
      </c>
      <c r="J821" s="129">
        <v>1.0</v>
      </c>
      <c r="K821" s="129">
        <v>1.0</v>
      </c>
      <c r="L821" s="129">
        <v>1100.0</v>
      </c>
      <c r="M821" s="128" t="s">
        <v>275</v>
      </c>
      <c r="N821" s="129">
        <v>3162.0</v>
      </c>
      <c r="O821" s="128"/>
      <c r="P821" s="129">
        <v>1100.0</v>
      </c>
      <c r="Q821" s="128" t="s">
        <v>604</v>
      </c>
    </row>
    <row r="822">
      <c r="A822" s="129">
        <v>824.0</v>
      </c>
      <c r="B822" s="129">
        <v>2012.0</v>
      </c>
      <c r="C822" s="129">
        <v>13.3</v>
      </c>
      <c r="D822" s="129">
        <v>38.51</v>
      </c>
      <c r="E822" s="129">
        <v>100.25</v>
      </c>
      <c r="F822" s="128" t="s">
        <v>1547</v>
      </c>
      <c r="G822" s="128" t="s">
        <v>275</v>
      </c>
      <c r="H822" s="128" t="s">
        <v>1552</v>
      </c>
      <c r="I822" s="128" t="s">
        <v>1552</v>
      </c>
      <c r="J822" s="129">
        <v>1.0</v>
      </c>
      <c r="K822" s="129">
        <v>1.0</v>
      </c>
      <c r="L822" s="129">
        <v>1100.0</v>
      </c>
      <c r="M822" s="128" t="s">
        <v>275</v>
      </c>
      <c r="N822" s="129">
        <v>3162.0</v>
      </c>
      <c r="O822" s="128"/>
      <c r="P822" s="129">
        <v>1100.0</v>
      </c>
      <c r="Q822" s="128" t="s">
        <v>604</v>
      </c>
    </row>
    <row r="823">
      <c r="A823" s="129">
        <v>825.0</v>
      </c>
      <c r="B823" s="129">
        <v>2012.0</v>
      </c>
      <c r="C823" s="129">
        <v>11.0</v>
      </c>
      <c r="D823" s="129">
        <v>38.51</v>
      </c>
      <c r="E823" s="129">
        <v>100.25</v>
      </c>
      <c r="F823" s="128" t="s">
        <v>1547</v>
      </c>
      <c r="G823" s="128" t="s">
        <v>275</v>
      </c>
      <c r="H823" s="128" t="s">
        <v>1553</v>
      </c>
      <c r="I823" s="128" t="s">
        <v>1553</v>
      </c>
      <c r="J823" s="129">
        <v>1.0</v>
      </c>
      <c r="K823" s="129">
        <v>1.0</v>
      </c>
      <c r="L823" s="129">
        <v>1100.0</v>
      </c>
      <c r="M823" s="128" t="s">
        <v>275</v>
      </c>
      <c r="N823" s="129">
        <v>3162.0</v>
      </c>
      <c r="O823" s="128"/>
      <c r="P823" s="129">
        <v>1100.0</v>
      </c>
      <c r="Q823" s="128" t="s">
        <v>604</v>
      </c>
    </row>
    <row r="824">
      <c r="A824" s="129">
        <v>826.0</v>
      </c>
      <c r="B824" s="129">
        <v>2012.0</v>
      </c>
      <c r="C824" s="129">
        <v>0.9</v>
      </c>
      <c r="D824" s="129">
        <v>38.51</v>
      </c>
      <c r="E824" s="129">
        <v>100.25</v>
      </c>
      <c r="F824" s="128" t="s">
        <v>1547</v>
      </c>
      <c r="G824" s="128" t="s">
        <v>275</v>
      </c>
      <c r="H824" s="128" t="s">
        <v>1554</v>
      </c>
      <c r="I824" s="128" t="s">
        <v>1554</v>
      </c>
      <c r="J824" s="129">
        <v>1.0</v>
      </c>
      <c r="K824" s="129">
        <v>1.0</v>
      </c>
      <c r="L824" s="129">
        <v>1100.0</v>
      </c>
      <c r="M824" s="128" t="s">
        <v>275</v>
      </c>
      <c r="N824" s="129">
        <v>3162.0</v>
      </c>
      <c r="O824" s="128"/>
      <c r="P824" s="129">
        <v>1100.0</v>
      </c>
      <c r="Q824" s="128" t="s">
        <v>604</v>
      </c>
    </row>
    <row r="825">
      <c r="A825" s="129">
        <v>827.0</v>
      </c>
      <c r="B825" s="129">
        <v>2012.0</v>
      </c>
      <c r="C825" s="129">
        <v>75.7</v>
      </c>
      <c r="D825" s="129">
        <v>38.51</v>
      </c>
      <c r="E825" s="129">
        <v>100.25</v>
      </c>
      <c r="F825" s="128" t="s">
        <v>1547</v>
      </c>
      <c r="G825" s="128" t="s">
        <v>275</v>
      </c>
      <c r="H825" s="128" t="s">
        <v>1555</v>
      </c>
      <c r="I825" s="128" t="s">
        <v>1555</v>
      </c>
      <c r="J825" s="129">
        <v>1.0</v>
      </c>
      <c r="K825" s="129">
        <v>1.0</v>
      </c>
      <c r="L825" s="129">
        <v>1100.0</v>
      </c>
      <c r="M825" s="128" t="s">
        <v>275</v>
      </c>
      <c r="N825" s="129">
        <v>3162.0</v>
      </c>
      <c r="O825" s="128"/>
      <c r="P825" s="129">
        <v>1100.0</v>
      </c>
      <c r="Q825" s="128" t="s">
        <v>604</v>
      </c>
    </row>
    <row r="826">
      <c r="A826" s="129">
        <v>1158.0</v>
      </c>
      <c r="B826" s="129">
        <v>2017.0</v>
      </c>
      <c r="C826" s="129">
        <v>-10.5</v>
      </c>
      <c r="D826" s="129">
        <v>40.63078</v>
      </c>
      <c r="E826" s="129">
        <v>117.3233</v>
      </c>
      <c r="F826" s="128" t="s">
        <v>2014</v>
      </c>
      <c r="G826" s="128" t="s">
        <v>828</v>
      </c>
      <c r="H826" s="128" t="s">
        <v>2010</v>
      </c>
      <c r="I826" s="128" t="s">
        <v>2011</v>
      </c>
      <c r="J826" s="129">
        <v>33.0</v>
      </c>
      <c r="K826" s="129">
        <v>1.0</v>
      </c>
      <c r="L826" s="129">
        <v>30.0</v>
      </c>
      <c r="M826" s="128"/>
      <c r="N826" s="129">
        <v>352.0</v>
      </c>
      <c r="O826" s="128"/>
      <c r="P826" s="129">
        <v>30.0</v>
      </c>
      <c r="Q826" s="128" t="s">
        <v>604</v>
      </c>
    </row>
    <row r="827">
      <c r="A827" s="129">
        <v>1159.0</v>
      </c>
      <c r="B827" s="129">
        <v>2017.0</v>
      </c>
      <c r="C827" s="129">
        <v>-15.7</v>
      </c>
      <c r="D827" s="129">
        <v>40.63078</v>
      </c>
      <c r="E827" s="129">
        <v>117.3233</v>
      </c>
      <c r="F827" s="128" t="s">
        <v>2014</v>
      </c>
      <c r="G827" s="128" t="s">
        <v>828</v>
      </c>
      <c r="H827" s="128" t="s">
        <v>2010</v>
      </c>
      <c r="I827" s="128" t="s">
        <v>2011</v>
      </c>
      <c r="J827" s="129">
        <v>21.0</v>
      </c>
      <c r="K827" s="129">
        <v>1.0</v>
      </c>
      <c r="L827" s="129">
        <v>30.0</v>
      </c>
      <c r="M827" s="128"/>
      <c r="N827" s="129">
        <v>352.0</v>
      </c>
      <c r="O827" s="128"/>
      <c r="P827" s="129">
        <v>30.0</v>
      </c>
      <c r="Q827" s="128" t="s">
        <v>604</v>
      </c>
    </row>
    <row r="828">
      <c r="A828" s="129">
        <v>1162.0</v>
      </c>
      <c r="B828" s="129">
        <v>2017.0</v>
      </c>
      <c r="C828" s="129">
        <v>3.3</v>
      </c>
      <c r="D828" s="129">
        <v>40.63078</v>
      </c>
      <c r="E828" s="129">
        <v>117.3233</v>
      </c>
      <c r="F828" s="128" t="s">
        <v>2014</v>
      </c>
      <c r="G828" s="128" t="s">
        <v>828</v>
      </c>
      <c r="H828" s="128" t="s">
        <v>2010</v>
      </c>
      <c r="I828" s="128" t="s">
        <v>2011</v>
      </c>
      <c r="J828" s="129">
        <v>33.0</v>
      </c>
      <c r="K828" s="129">
        <v>1.0</v>
      </c>
      <c r="L828" s="129">
        <v>30.0</v>
      </c>
      <c r="M828" s="128"/>
      <c r="N828" s="129">
        <v>352.0</v>
      </c>
      <c r="O828" s="128"/>
      <c r="P828" s="129">
        <v>30.0</v>
      </c>
      <c r="Q828" s="128" t="s">
        <v>604</v>
      </c>
    </row>
    <row r="829">
      <c r="A829" s="129">
        <v>1163.0</v>
      </c>
      <c r="B829" s="129">
        <v>2017.0</v>
      </c>
      <c r="C829" s="129">
        <v>5.2</v>
      </c>
      <c r="D829" s="129">
        <v>40.63078</v>
      </c>
      <c r="E829" s="129">
        <v>117.3233</v>
      </c>
      <c r="F829" s="128" t="s">
        <v>2014</v>
      </c>
      <c r="G829" s="128" t="s">
        <v>828</v>
      </c>
      <c r="H829" s="128" t="s">
        <v>2010</v>
      </c>
      <c r="I829" s="128" t="s">
        <v>2011</v>
      </c>
      <c r="J829" s="129">
        <v>21.0</v>
      </c>
      <c r="K829" s="129">
        <v>1.0</v>
      </c>
      <c r="L829" s="129">
        <v>30.0</v>
      </c>
      <c r="M829" s="128"/>
      <c r="N829" s="129">
        <v>352.0</v>
      </c>
      <c r="O829" s="128"/>
      <c r="P829" s="129">
        <v>30.0</v>
      </c>
      <c r="Q829" s="128" t="s">
        <v>604</v>
      </c>
    </row>
    <row r="830">
      <c r="A830" s="129">
        <v>2113.0</v>
      </c>
      <c r="B830" s="129">
        <v>2017.0</v>
      </c>
      <c r="C830" s="129">
        <v>-62.4</v>
      </c>
      <c r="D830" s="129">
        <v>31.664</v>
      </c>
      <c r="E830" s="129">
        <v>-110.178</v>
      </c>
      <c r="F830" s="128" t="s">
        <v>3018</v>
      </c>
      <c r="G830" s="128" t="s">
        <v>314</v>
      </c>
      <c r="H830" s="128" t="s">
        <v>167</v>
      </c>
      <c r="I830" s="128" t="s">
        <v>244</v>
      </c>
      <c r="J830" s="128"/>
      <c r="K830" s="129">
        <v>1.0</v>
      </c>
      <c r="L830" s="129">
        <v>1000.0</v>
      </c>
      <c r="M830" s="128" t="s">
        <v>315</v>
      </c>
      <c r="N830" s="129">
        <v>1202.0</v>
      </c>
      <c r="O830" s="128"/>
      <c r="P830" s="129">
        <v>1000.0</v>
      </c>
      <c r="Q830" s="128" t="s">
        <v>644</v>
      </c>
    </row>
    <row r="831">
      <c r="A831" s="129">
        <v>2114.0</v>
      </c>
      <c r="B831" s="129">
        <v>2017.0</v>
      </c>
      <c r="C831" s="129">
        <v>-26.3</v>
      </c>
      <c r="D831" s="129">
        <v>31.738</v>
      </c>
      <c r="E831" s="129">
        <v>-109.943</v>
      </c>
      <c r="F831" s="128" t="s">
        <v>3018</v>
      </c>
      <c r="G831" s="128" t="s">
        <v>3016</v>
      </c>
      <c r="H831" s="128" t="s">
        <v>167</v>
      </c>
      <c r="I831" s="128" t="s">
        <v>244</v>
      </c>
      <c r="J831" s="128"/>
      <c r="K831" s="129">
        <v>1.0</v>
      </c>
      <c r="L831" s="129">
        <v>1000.0</v>
      </c>
      <c r="M831" s="128" t="s">
        <v>6000</v>
      </c>
      <c r="N831" s="129">
        <v>1513.0</v>
      </c>
      <c r="O831" s="128"/>
      <c r="P831" s="129">
        <v>1000.0</v>
      </c>
      <c r="Q831" s="128" t="s">
        <v>644</v>
      </c>
    </row>
    <row r="832">
      <c r="A832" s="129">
        <v>2111.0</v>
      </c>
      <c r="B832" s="129">
        <v>2017.0</v>
      </c>
      <c r="C832" s="129">
        <v>-21.7</v>
      </c>
      <c r="D832" s="129">
        <v>31.749</v>
      </c>
      <c r="E832" s="129">
        <v>-110.052</v>
      </c>
      <c r="F832" s="128" t="s">
        <v>3018</v>
      </c>
      <c r="G832" s="128" t="s">
        <v>3013</v>
      </c>
      <c r="H832" s="128" t="s">
        <v>167</v>
      </c>
      <c r="I832" s="128" t="s">
        <v>244</v>
      </c>
      <c r="J832" s="128"/>
      <c r="K832" s="129">
        <v>1.0</v>
      </c>
      <c r="L832" s="129">
        <v>1000.0</v>
      </c>
      <c r="M832" s="128" t="s">
        <v>3014</v>
      </c>
      <c r="N832" s="129">
        <v>1378.0</v>
      </c>
      <c r="O832" s="128"/>
      <c r="P832" s="129">
        <v>1000.0</v>
      </c>
      <c r="Q832" s="128" t="s">
        <v>644</v>
      </c>
    </row>
    <row r="833">
      <c r="A833" s="129">
        <v>2112.0</v>
      </c>
      <c r="B833" s="129">
        <v>2017.0</v>
      </c>
      <c r="C833" s="129">
        <v>-40.6</v>
      </c>
      <c r="D833" s="129">
        <v>31.8214</v>
      </c>
      <c r="E833" s="129">
        <v>-110.867</v>
      </c>
      <c r="F833" s="128" t="s">
        <v>3018</v>
      </c>
      <c r="G833" s="128" t="s">
        <v>300</v>
      </c>
      <c r="H833" s="128" t="s">
        <v>167</v>
      </c>
      <c r="I833" s="128" t="s">
        <v>244</v>
      </c>
      <c r="J833" s="128"/>
      <c r="K833" s="129">
        <v>1.0</v>
      </c>
      <c r="L833" s="129">
        <v>1000.0</v>
      </c>
      <c r="M833" s="128" t="s">
        <v>301</v>
      </c>
      <c r="N833" s="129">
        <v>1118.0</v>
      </c>
      <c r="O833" s="128"/>
      <c r="P833" s="129">
        <v>1000.0</v>
      </c>
      <c r="Q833" s="128" t="s">
        <v>644</v>
      </c>
    </row>
    <row r="834">
      <c r="A834" s="129">
        <v>1261.0</v>
      </c>
      <c r="B834" s="129">
        <v>2021.0</v>
      </c>
      <c r="C834" s="129">
        <v>-1.3</v>
      </c>
      <c r="D834" s="129">
        <v>37.0311</v>
      </c>
      <c r="E834" s="129">
        <v>-119.256</v>
      </c>
      <c r="F834" s="128" t="s">
        <v>2269</v>
      </c>
      <c r="G834" s="128" t="s">
        <v>2273</v>
      </c>
      <c r="H834" s="128" t="s">
        <v>233</v>
      </c>
      <c r="I834" s="128" t="s">
        <v>2096</v>
      </c>
      <c r="J834" s="129">
        <v>91.0</v>
      </c>
      <c r="K834" s="129">
        <v>1.0</v>
      </c>
      <c r="L834" s="129">
        <v>500.0</v>
      </c>
      <c r="M834" s="128" t="s">
        <v>2274</v>
      </c>
      <c r="N834" s="129">
        <v>1180.0</v>
      </c>
      <c r="O834" s="128" t="s">
        <v>2265</v>
      </c>
      <c r="P834" s="129">
        <v>500.0</v>
      </c>
      <c r="Q834" s="128" t="s">
        <v>644</v>
      </c>
    </row>
    <row r="835">
      <c r="A835" s="129">
        <v>1269.0</v>
      </c>
      <c r="B835" s="129">
        <v>2021.0</v>
      </c>
      <c r="C835" s="129">
        <v>-7.0</v>
      </c>
      <c r="D835" s="129">
        <v>37.0311</v>
      </c>
      <c r="E835" s="129">
        <v>-119.256</v>
      </c>
      <c r="F835" s="128" t="s">
        <v>2269</v>
      </c>
      <c r="G835" s="128" t="s">
        <v>2273</v>
      </c>
      <c r="H835" s="128" t="s">
        <v>233</v>
      </c>
      <c r="I835" s="128" t="s">
        <v>2096</v>
      </c>
      <c r="J835" s="129">
        <v>33.0</v>
      </c>
      <c r="K835" s="129">
        <v>1.0</v>
      </c>
      <c r="L835" s="129">
        <v>500.0</v>
      </c>
      <c r="M835" s="128" t="s">
        <v>2274</v>
      </c>
      <c r="N835" s="129">
        <v>1180.0</v>
      </c>
      <c r="O835" s="128" t="s">
        <v>2265</v>
      </c>
      <c r="P835" s="129">
        <v>500.0</v>
      </c>
      <c r="Q835" s="128" t="s">
        <v>644</v>
      </c>
    </row>
    <row r="836">
      <c r="A836" s="129">
        <v>1277.0</v>
      </c>
      <c r="B836" s="129">
        <v>2021.0</v>
      </c>
      <c r="C836" s="129">
        <v>2.1</v>
      </c>
      <c r="D836" s="129">
        <v>37.0311</v>
      </c>
      <c r="E836" s="129">
        <v>-119.256</v>
      </c>
      <c r="F836" s="128" t="s">
        <v>2269</v>
      </c>
      <c r="G836" s="128" t="s">
        <v>2273</v>
      </c>
      <c r="H836" s="128" t="s">
        <v>233</v>
      </c>
      <c r="I836" s="128" t="s">
        <v>2096</v>
      </c>
      <c r="J836" s="129">
        <v>58.0</v>
      </c>
      <c r="K836" s="129">
        <v>1.0</v>
      </c>
      <c r="L836" s="129">
        <v>500.0</v>
      </c>
      <c r="M836" s="128" t="s">
        <v>2274</v>
      </c>
      <c r="N836" s="129">
        <v>1180.0</v>
      </c>
      <c r="O836" s="128" t="s">
        <v>2265</v>
      </c>
      <c r="P836" s="129">
        <v>500.0</v>
      </c>
      <c r="Q836" s="128" t="s">
        <v>644</v>
      </c>
    </row>
    <row r="837">
      <c r="A837" s="129">
        <v>1257.0</v>
      </c>
      <c r="B837" s="129">
        <v>2021.0</v>
      </c>
      <c r="C837" s="129">
        <v>1.7</v>
      </c>
      <c r="D837" s="129">
        <v>37.0671</v>
      </c>
      <c r="E837" s="129">
        <v>-118.987</v>
      </c>
      <c r="F837" s="128" t="s">
        <v>2269</v>
      </c>
      <c r="G837" s="128" t="s">
        <v>2261</v>
      </c>
      <c r="H837" s="128" t="s">
        <v>969</v>
      </c>
      <c r="I837" s="128" t="s">
        <v>2096</v>
      </c>
      <c r="J837" s="129">
        <v>57.0</v>
      </c>
      <c r="K837" s="129">
        <v>1.0</v>
      </c>
      <c r="L837" s="129">
        <v>500.0</v>
      </c>
      <c r="M837" s="128" t="s">
        <v>2262</v>
      </c>
      <c r="N837" s="129">
        <v>2714.0</v>
      </c>
      <c r="O837" s="128" t="s">
        <v>2265</v>
      </c>
      <c r="P837" s="129">
        <v>500.0</v>
      </c>
      <c r="Q837" s="128" t="s">
        <v>644</v>
      </c>
    </row>
    <row r="838">
      <c r="A838" s="129">
        <v>1265.0</v>
      </c>
      <c r="B838" s="129">
        <v>2021.0</v>
      </c>
      <c r="C838" s="129">
        <v>2.2</v>
      </c>
      <c r="D838" s="129">
        <v>37.0671</v>
      </c>
      <c r="E838" s="129">
        <v>-118.987</v>
      </c>
      <c r="F838" s="128" t="s">
        <v>2269</v>
      </c>
      <c r="G838" s="128" t="s">
        <v>2261</v>
      </c>
      <c r="H838" s="128" t="s">
        <v>969</v>
      </c>
      <c r="I838" s="128" t="s">
        <v>2096</v>
      </c>
      <c r="J838" s="129">
        <v>39.0</v>
      </c>
      <c r="K838" s="129">
        <v>1.0</v>
      </c>
      <c r="L838" s="129">
        <v>500.0</v>
      </c>
      <c r="M838" s="128" t="s">
        <v>2262</v>
      </c>
      <c r="N838" s="129">
        <v>2714.0</v>
      </c>
      <c r="O838" s="128" t="s">
        <v>2265</v>
      </c>
      <c r="P838" s="129">
        <v>500.0</v>
      </c>
      <c r="Q838" s="128" t="s">
        <v>644</v>
      </c>
    </row>
    <row r="839">
      <c r="A839" s="129">
        <v>1273.0</v>
      </c>
      <c r="B839" s="129">
        <v>2021.0</v>
      </c>
      <c r="C839" s="129">
        <v>0.67</v>
      </c>
      <c r="D839" s="129">
        <v>37.0671</v>
      </c>
      <c r="E839" s="129">
        <v>-118.987</v>
      </c>
      <c r="F839" s="128" t="s">
        <v>2269</v>
      </c>
      <c r="G839" s="128" t="s">
        <v>2261</v>
      </c>
      <c r="H839" s="128" t="s">
        <v>969</v>
      </c>
      <c r="I839" s="128" t="s">
        <v>2096</v>
      </c>
      <c r="J839" s="129">
        <v>18.0</v>
      </c>
      <c r="K839" s="129">
        <v>1.0</v>
      </c>
      <c r="L839" s="129">
        <v>500.0</v>
      </c>
      <c r="M839" s="128" t="s">
        <v>2262</v>
      </c>
      <c r="N839" s="129">
        <v>2714.0</v>
      </c>
      <c r="O839" s="128" t="s">
        <v>2265</v>
      </c>
      <c r="P839" s="129">
        <v>500.0</v>
      </c>
      <c r="Q839" s="128" t="s">
        <v>644</v>
      </c>
    </row>
    <row r="840">
      <c r="A840" s="129">
        <v>1259.0</v>
      </c>
      <c r="B840" s="129">
        <v>2021.0</v>
      </c>
      <c r="C840" s="129">
        <v>-1.5</v>
      </c>
      <c r="D840" s="129">
        <v>37.0673</v>
      </c>
      <c r="E840" s="129">
        <v>-119.195</v>
      </c>
      <c r="F840" s="128" t="s">
        <v>2269</v>
      </c>
      <c r="G840" s="128" t="s">
        <v>2261</v>
      </c>
      <c r="H840" s="128" t="s">
        <v>536</v>
      </c>
      <c r="I840" s="128" t="s">
        <v>2096</v>
      </c>
      <c r="J840" s="129">
        <v>104.0</v>
      </c>
      <c r="K840" s="129">
        <v>1.0</v>
      </c>
      <c r="L840" s="129">
        <v>500.0</v>
      </c>
      <c r="M840" s="128" t="s">
        <v>2262</v>
      </c>
      <c r="N840" s="129">
        <v>2030.0</v>
      </c>
      <c r="O840" s="128" t="s">
        <v>2265</v>
      </c>
      <c r="P840" s="129">
        <v>500.0</v>
      </c>
      <c r="Q840" s="128" t="s">
        <v>644</v>
      </c>
    </row>
    <row r="841">
      <c r="A841" s="129">
        <v>1267.0</v>
      </c>
      <c r="B841" s="129">
        <v>2021.0</v>
      </c>
      <c r="C841" s="129">
        <v>-12.0</v>
      </c>
      <c r="D841" s="129">
        <v>37.0673</v>
      </c>
      <c r="E841" s="129">
        <v>-119.195</v>
      </c>
      <c r="F841" s="128" t="s">
        <v>2269</v>
      </c>
      <c r="G841" s="128" t="s">
        <v>2280</v>
      </c>
      <c r="H841" s="128" t="s">
        <v>536</v>
      </c>
      <c r="I841" s="128" t="s">
        <v>2096</v>
      </c>
      <c r="J841" s="129">
        <v>46.0</v>
      </c>
      <c r="K841" s="129">
        <v>1.0</v>
      </c>
      <c r="L841" s="129">
        <v>500.0</v>
      </c>
      <c r="M841" s="128" t="s">
        <v>2281</v>
      </c>
      <c r="N841" s="129">
        <v>2030.0</v>
      </c>
      <c r="O841" s="128" t="s">
        <v>2265</v>
      </c>
      <c r="P841" s="129">
        <v>500.0</v>
      </c>
      <c r="Q841" s="128" t="s">
        <v>644</v>
      </c>
    </row>
    <row r="842">
      <c r="A842" s="129">
        <v>1275.0</v>
      </c>
      <c r="B842" s="129">
        <v>2021.0</v>
      </c>
      <c r="C842" s="129">
        <v>9.3</v>
      </c>
      <c r="D842" s="129">
        <v>37.0673</v>
      </c>
      <c r="E842" s="129">
        <v>-119.195</v>
      </c>
      <c r="F842" s="128" t="s">
        <v>2269</v>
      </c>
      <c r="G842" s="128" t="s">
        <v>2285</v>
      </c>
      <c r="H842" s="128" t="s">
        <v>536</v>
      </c>
      <c r="I842" s="128" t="s">
        <v>2096</v>
      </c>
      <c r="J842" s="129">
        <v>58.0</v>
      </c>
      <c r="K842" s="129">
        <v>1.0</v>
      </c>
      <c r="L842" s="129">
        <v>500.0</v>
      </c>
      <c r="M842" s="128" t="s">
        <v>2286</v>
      </c>
      <c r="N842" s="129">
        <v>2030.0</v>
      </c>
      <c r="O842" s="128" t="s">
        <v>2265</v>
      </c>
      <c r="P842" s="129">
        <v>500.0</v>
      </c>
      <c r="Q842" s="128" t="s">
        <v>644</v>
      </c>
    </row>
    <row r="843">
      <c r="A843" s="129">
        <v>226.0</v>
      </c>
      <c r="B843" s="129">
        <v>2020.0</v>
      </c>
      <c r="C843" s="129">
        <v>1.1</v>
      </c>
      <c r="D843" s="129">
        <v>38.51</v>
      </c>
      <c r="E843" s="129">
        <v>100.25</v>
      </c>
      <c r="F843" s="128" t="s">
        <v>659</v>
      </c>
      <c r="G843" s="128" t="s">
        <v>653</v>
      </c>
      <c r="H843" s="128" t="s">
        <v>651</v>
      </c>
      <c r="I843" s="128" t="s">
        <v>652</v>
      </c>
      <c r="J843" s="128"/>
      <c r="K843" s="129">
        <v>1.0</v>
      </c>
      <c r="L843" s="129">
        <v>1000.0</v>
      </c>
      <c r="M843" s="128" t="s">
        <v>654</v>
      </c>
      <c r="N843" s="129">
        <v>3162.0</v>
      </c>
      <c r="O843" s="128"/>
      <c r="P843" s="128" t="s">
        <v>624</v>
      </c>
      <c r="Q843" s="128" t="s">
        <v>644</v>
      </c>
    </row>
    <row r="844">
      <c r="A844" s="129">
        <v>227.0</v>
      </c>
      <c r="B844" s="129">
        <v>2020.0</v>
      </c>
      <c r="C844" s="129">
        <v>3.5</v>
      </c>
      <c r="D844" s="129">
        <v>38.51</v>
      </c>
      <c r="E844" s="129">
        <v>100.25</v>
      </c>
      <c r="F844" s="128" t="s">
        <v>659</v>
      </c>
      <c r="G844" s="128" t="s">
        <v>653</v>
      </c>
      <c r="H844" s="128" t="s">
        <v>651</v>
      </c>
      <c r="I844" s="128" t="s">
        <v>652</v>
      </c>
      <c r="J844" s="128"/>
      <c r="K844" s="129">
        <v>1.0</v>
      </c>
      <c r="L844" s="129">
        <v>1000.0</v>
      </c>
      <c r="M844" s="128" t="s">
        <v>654</v>
      </c>
      <c r="N844" s="129">
        <v>3162.0</v>
      </c>
      <c r="O844" s="128"/>
      <c r="P844" s="128" t="s">
        <v>624</v>
      </c>
      <c r="Q844" s="128" t="s">
        <v>644</v>
      </c>
    </row>
    <row r="845">
      <c r="A845" s="129">
        <v>228.0</v>
      </c>
      <c r="B845" s="129">
        <v>2020.0</v>
      </c>
      <c r="C845" s="129">
        <v>8.0</v>
      </c>
      <c r="D845" s="129">
        <v>38.51</v>
      </c>
      <c r="E845" s="129">
        <v>100.25</v>
      </c>
      <c r="F845" s="128" t="s">
        <v>659</v>
      </c>
      <c r="G845" s="128" t="s">
        <v>653</v>
      </c>
      <c r="H845" s="128" t="s">
        <v>651</v>
      </c>
      <c r="I845" s="128" t="s">
        <v>652</v>
      </c>
      <c r="J845" s="128"/>
      <c r="K845" s="129">
        <v>1.0</v>
      </c>
      <c r="L845" s="129">
        <v>1000.0</v>
      </c>
      <c r="M845" s="128" t="s">
        <v>654</v>
      </c>
      <c r="N845" s="129">
        <v>3162.0</v>
      </c>
      <c r="O845" s="128"/>
      <c r="P845" s="128" t="s">
        <v>624</v>
      </c>
      <c r="Q845" s="128" t="s">
        <v>644</v>
      </c>
    </row>
    <row r="846">
      <c r="A846" s="129">
        <v>229.0</v>
      </c>
      <c r="B846" s="129">
        <v>2020.0</v>
      </c>
      <c r="C846" s="129">
        <v>9.8</v>
      </c>
      <c r="D846" s="129">
        <v>38.51</v>
      </c>
      <c r="E846" s="129">
        <v>100.25</v>
      </c>
      <c r="F846" s="128" t="s">
        <v>659</v>
      </c>
      <c r="G846" s="128" t="s">
        <v>653</v>
      </c>
      <c r="H846" s="128" t="s">
        <v>651</v>
      </c>
      <c r="I846" s="128" t="s">
        <v>652</v>
      </c>
      <c r="J846" s="128"/>
      <c r="K846" s="129">
        <v>1.0</v>
      </c>
      <c r="L846" s="129">
        <v>1000.0</v>
      </c>
      <c r="M846" s="128" t="s">
        <v>654</v>
      </c>
      <c r="N846" s="129">
        <v>3162.0</v>
      </c>
      <c r="O846" s="128"/>
      <c r="P846" s="128" t="s">
        <v>624</v>
      </c>
      <c r="Q846" s="128" t="s">
        <v>644</v>
      </c>
    </row>
    <row r="847">
      <c r="A847" s="129">
        <v>230.0</v>
      </c>
      <c r="B847" s="129">
        <v>2020.0</v>
      </c>
      <c r="C847" s="129">
        <v>72.1</v>
      </c>
      <c r="D847" s="129">
        <v>38.51</v>
      </c>
      <c r="E847" s="129">
        <v>100.25</v>
      </c>
      <c r="F847" s="128" t="s">
        <v>668</v>
      </c>
      <c r="G847" s="128" t="s">
        <v>653</v>
      </c>
      <c r="H847" s="128" t="s">
        <v>651</v>
      </c>
      <c r="I847" s="128" t="s">
        <v>652</v>
      </c>
      <c r="J847" s="128"/>
      <c r="K847" s="129">
        <v>1.0</v>
      </c>
      <c r="L847" s="129">
        <v>1000.0</v>
      </c>
      <c r="M847" s="128" t="s">
        <v>654</v>
      </c>
      <c r="N847" s="129">
        <v>3162.0</v>
      </c>
      <c r="O847" s="128"/>
      <c r="P847" s="128" t="s">
        <v>624</v>
      </c>
      <c r="Q847" s="128" t="s">
        <v>644</v>
      </c>
    </row>
    <row r="848">
      <c r="A848" s="129">
        <v>231.0</v>
      </c>
      <c r="B848" s="129">
        <v>2020.0</v>
      </c>
      <c r="C848" s="129">
        <v>68.3</v>
      </c>
      <c r="D848" s="129">
        <v>38.51</v>
      </c>
      <c r="E848" s="129">
        <v>100.25</v>
      </c>
      <c r="F848" s="128" t="s">
        <v>668</v>
      </c>
      <c r="G848" s="128" t="s">
        <v>653</v>
      </c>
      <c r="H848" s="128" t="s">
        <v>651</v>
      </c>
      <c r="I848" s="128" t="s">
        <v>652</v>
      </c>
      <c r="J848" s="128"/>
      <c r="K848" s="129">
        <v>1.0</v>
      </c>
      <c r="L848" s="129">
        <v>1000.0</v>
      </c>
      <c r="M848" s="128" t="s">
        <v>654</v>
      </c>
      <c r="N848" s="129">
        <v>3162.0</v>
      </c>
      <c r="O848" s="128"/>
      <c r="P848" s="128" t="s">
        <v>624</v>
      </c>
      <c r="Q848" s="128" t="s">
        <v>644</v>
      </c>
    </row>
    <row r="849">
      <c r="A849" s="129">
        <v>232.0</v>
      </c>
      <c r="B849" s="129">
        <v>2020.0</v>
      </c>
      <c r="C849" s="129">
        <v>189.6</v>
      </c>
      <c r="D849" s="129">
        <v>38.51</v>
      </c>
      <c r="E849" s="129">
        <v>100.25</v>
      </c>
      <c r="F849" s="128" t="s">
        <v>668</v>
      </c>
      <c r="G849" s="128" t="s">
        <v>653</v>
      </c>
      <c r="H849" s="128" t="s">
        <v>651</v>
      </c>
      <c r="I849" s="128" t="s">
        <v>652</v>
      </c>
      <c r="J849" s="128"/>
      <c r="K849" s="129">
        <v>1.0</v>
      </c>
      <c r="L849" s="129">
        <v>1000.0</v>
      </c>
      <c r="M849" s="128" t="s">
        <v>654</v>
      </c>
      <c r="N849" s="129">
        <v>3162.0</v>
      </c>
      <c r="O849" s="128"/>
      <c r="P849" s="128" t="s">
        <v>624</v>
      </c>
      <c r="Q849" s="128" t="s">
        <v>644</v>
      </c>
    </row>
    <row r="850">
      <c r="A850" s="129">
        <v>233.0</v>
      </c>
      <c r="B850" s="129">
        <v>2020.0</v>
      </c>
      <c r="C850" s="129">
        <v>36.3</v>
      </c>
      <c r="D850" s="129">
        <v>38.51</v>
      </c>
      <c r="E850" s="129">
        <v>100.25</v>
      </c>
      <c r="F850" s="128" t="s">
        <v>668</v>
      </c>
      <c r="G850" s="128" t="s">
        <v>653</v>
      </c>
      <c r="H850" s="128" t="s">
        <v>651</v>
      </c>
      <c r="I850" s="128" t="s">
        <v>652</v>
      </c>
      <c r="J850" s="128"/>
      <c r="K850" s="129">
        <v>1.0</v>
      </c>
      <c r="L850" s="129">
        <v>1000.0</v>
      </c>
      <c r="M850" s="128" t="s">
        <v>654</v>
      </c>
      <c r="N850" s="129">
        <v>3162.0</v>
      </c>
      <c r="O850" s="128"/>
      <c r="P850" s="128" t="s">
        <v>624</v>
      </c>
      <c r="Q850" s="128" t="s">
        <v>644</v>
      </c>
    </row>
    <row r="851">
      <c r="A851" s="129">
        <v>983.0</v>
      </c>
      <c r="B851" s="129">
        <v>2021.0</v>
      </c>
      <c r="C851" s="129">
        <v>-6.2</v>
      </c>
      <c r="D851" s="129">
        <v>52.45958</v>
      </c>
      <c r="E851" s="129">
        <v>13.31939</v>
      </c>
      <c r="F851" s="128" t="s">
        <v>1807</v>
      </c>
      <c r="G851" s="128" t="s">
        <v>1804</v>
      </c>
      <c r="H851" s="128"/>
      <c r="I851" s="128"/>
      <c r="J851" s="129">
        <v>16707.0</v>
      </c>
      <c r="K851" s="129">
        <v>1.0</v>
      </c>
      <c r="L851" s="128"/>
      <c r="M851" s="128" t="s">
        <v>6001</v>
      </c>
      <c r="N851" s="129">
        <v>56.0</v>
      </c>
      <c r="O851" s="128" t="s">
        <v>1806</v>
      </c>
      <c r="P851" s="129">
        <v>20.0</v>
      </c>
      <c r="Q851" s="128" t="s">
        <v>644</v>
      </c>
    </row>
    <row r="852">
      <c r="A852" s="129">
        <v>984.0</v>
      </c>
      <c r="B852" s="129">
        <v>2021.0</v>
      </c>
      <c r="C852" s="129">
        <v>1.05</v>
      </c>
      <c r="D852" s="129">
        <v>52.45958</v>
      </c>
      <c r="E852" s="129">
        <v>13.31939</v>
      </c>
      <c r="F852" s="128" t="s">
        <v>1807</v>
      </c>
      <c r="G852" s="128" t="s">
        <v>1804</v>
      </c>
      <c r="H852" s="128"/>
      <c r="I852" s="128"/>
      <c r="J852" s="129">
        <v>16707.0</v>
      </c>
      <c r="K852" s="129">
        <v>1.0</v>
      </c>
      <c r="L852" s="128"/>
      <c r="M852" s="128" t="s">
        <v>6001</v>
      </c>
      <c r="N852" s="129">
        <v>56.0</v>
      </c>
      <c r="O852" s="128" t="s">
        <v>1806</v>
      </c>
      <c r="P852" s="129">
        <v>20.0</v>
      </c>
      <c r="Q852" s="128" t="s">
        <v>644</v>
      </c>
    </row>
    <row r="853">
      <c r="A853" s="129">
        <v>985.0</v>
      </c>
      <c r="B853" s="129">
        <v>2021.0</v>
      </c>
      <c r="C853" s="129">
        <v>4.65</v>
      </c>
      <c r="D853" s="129">
        <v>52.45958</v>
      </c>
      <c r="E853" s="129">
        <v>13.31939</v>
      </c>
      <c r="F853" s="128" t="s">
        <v>1807</v>
      </c>
      <c r="G853" s="128" t="s">
        <v>1804</v>
      </c>
      <c r="H853" s="128"/>
      <c r="I853" s="128"/>
      <c r="J853" s="129">
        <v>16707.0</v>
      </c>
      <c r="K853" s="129">
        <v>1.0</v>
      </c>
      <c r="L853" s="128"/>
      <c r="M853" s="128" t="s">
        <v>6001</v>
      </c>
      <c r="N853" s="129">
        <v>56.0</v>
      </c>
      <c r="O853" s="128" t="s">
        <v>1806</v>
      </c>
      <c r="P853" s="129">
        <v>20.0</v>
      </c>
      <c r="Q853" s="128" t="s">
        <v>644</v>
      </c>
    </row>
    <row r="854">
      <c r="A854" s="129">
        <v>986.0</v>
      </c>
      <c r="B854" s="129">
        <v>2021.0</v>
      </c>
      <c r="C854" s="129">
        <v>-3.15</v>
      </c>
      <c r="D854" s="129">
        <v>52.45958</v>
      </c>
      <c r="E854" s="129">
        <v>13.31939</v>
      </c>
      <c r="F854" s="128" t="s">
        <v>1807</v>
      </c>
      <c r="G854" s="128" t="s">
        <v>1804</v>
      </c>
      <c r="H854" s="128"/>
      <c r="I854" s="128"/>
      <c r="J854" s="129">
        <v>16707.0</v>
      </c>
      <c r="K854" s="129">
        <v>1.0</v>
      </c>
      <c r="L854" s="128"/>
      <c r="M854" s="128" t="s">
        <v>6001</v>
      </c>
      <c r="N854" s="129">
        <v>56.0</v>
      </c>
      <c r="O854" s="128" t="s">
        <v>1806</v>
      </c>
      <c r="P854" s="129">
        <v>20.0</v>
      </c>
      <c r="Q854" s="128" t="s">
        <v>644</v>
      </c>
    </row>
    <row r="855">
      <c r="A855" s="129">
        <v>987.0</v>
      </c>
      <c r="B855" s="129">
        <v>2021.0</v>
      </c>
      <c r="C855" s="129">
        <v>0.95</v>
      </c>
      <c r="D855" s="129">
        <v>52.45958</v>
      </c>
      <c r="E855" s="129">
        <v>13.31939</v>
      </c>
      <c r="F855" s="128" t="s">
        <v>1811</v>
      </c>
      <c r="G855" s="128" t="s">
        <v>1804</v>
      </c>
      <c r="H855" s="128"/>
      <c r="I855" s="128"/>
      <c r="J855" s="129">
        <v>16707.0</v>
      </c>
      <c r="K855" s="129">
        <v>1.0</v>
      </c>
      <c r="L855" s="128"/>
      <c r="M855" s="128" t="s">
        <v>6001</v>
      </c>
      <c r="N855" s="129">
        <v>56.0</v>
      </c>
      <c r="O855" s="128" t="s">
        <v>1806</v>
      </c>
      <c r="P855" s="129">
        <v>20.0</v>
      </c>
      <c r="Q855" s="128" t="s">
        <v>644</v>
      </c>
    </row>
    <row r="856">
      <c r="A856" s="129">
        <v>988.0</v>
      </c>
      <c r="B856" s="129">
        <v>2021.0</v>
      </c>
      <c r="C856" s="129">
        <v>-0.2</v>
      </c>
      <c r="D856" s="129">
        <v>52.45958</v>
      </c>
      <c r="E856" s="129">
        <v>13.31939</v>
      </c>
      <c r="F856" s="128" t="s">
        <v>1811</v>
      </c>
      <c r="G856" s="128" t="s">
        <v>1804</v>
      </c>
      <c r="H856" s="128"/>
      <c r="I856" s="128"/>
      <c r="J856" s="129">
        <v>16707.0</v>
      </c>
      <c r="K856" s="129">
        <v>1.0</v>
      </c>
      <c r="L856" s="128"/>
      <c r="M856" s="128" t="s">
        <v>6001</v>
      </c>
      <c r="N856" s="129">
        <v>56.0</v>
      </c>
      <c r="O856" s="128" t="s">
        <v>1806</v>
      </c>
      <c r="P856" s="129">
        <v>20.0</v>
      </c>
      <c r="Q856" s="128" t="s">
        <v>644</v>
      </c>
    </row>
    <row r="857">
      <c r="A857" s="129">
        <v>989.0</v>
      </c>
      <c r="B857" s="129">
        <v>2021.0</v>
      </c>
      <c r="C857" s="129">
        <v>2.3</v>
      </c>
      <c r="D857" s="129">
        <v>52.45958</v>
      </c>
      <c r="E857" s="129">
        <v>13.31939</v>
      </c>
      <c r="F857" s="128" t="s">
        <v>1811</v>
      </c>
      <c r="G857" s="128" t="s">
        <v>1804</v>
      </c>
      <c r="H857" s="128"/>
      <c r="I857" s="128"/>
      <c r="J857" s="129">
        <v>16707.0</v>
      </c>
      <c r="K857" s="129">
        <v>1.0</v>
      </c>
      <c r="L857" s="128"/>
      <c r="M857" s="128" t="s">
        <v>6001</v>
      </c>
      <c r="N857" s="129">
        <v>56.0</v>
      </c>
      <c r="O857" s="128" t="s">
        <v>1806</v>
      </c>
      <c r="P857" s="129">
        <v>20.0</v>
      </c>
      <c r="Q857" s="128" t="s">
        <v>644</v>
      </c>
    </row>
    <row r="858">
      <c r="A858" s="129">
        <v>990.0</v>
      </c>
      <c r="B858" s="129">
        <v>2021.0</v>
      </c>
      <c r="C858" s="129">
        <v>1.8</v>
      </c>
      <c r="D858" s="129">
        <v>52.45958</v>
      </c>
      <c r="E858" s="129">
        <v>13.31939</v>
      </c>
      <c r="F858" s="128" t="s">
        <v>1811</v>
      </c>
      <c r="G858" s="128" t="s">
        <v>1804</v>
      </c>
      <c r="H858" s="128"/>
      <c r="I858" s="128"/>
      <c r="J858" s="129">
        <v>16707.0</v>
      </c>
      <c r="K858" s="129">
        <v>1.0</v>
      </c>
      <c r="L858" s="128"/>
      <c r="M858" s="128" t="s">
        <v>6001</v>
      </c>
      <c r="N858" s="129">
        <v>56.0</v>
      </c>
      <c r="O858" s="128" t="s">
        <v>1806</v>
      </c>
      <c r="P858" s="129">
        <v>20.0</v>
      </c>
      <c r="Q858" s="128" t="s">
        <v>644</v>
      </c>
    </row>
    <row r="859">
      <c r="A859" s="129">
        <v>991.0</v>
      </c>
      <c r="B859" s="129">
        <v>2021.0</v>
      </c>
      <c r="C859" s="129">
        <v>-4.0</v>
      </c>
      <c r="D859" s="129">
        <v>52.51247</v>
      </c>
      <c r="E859" s="129">
        <v>13.32811</v>
      </c>
      <c r="F859" s="128" t="s">
        <v>1807</v>
      </c>
      <c r="G859" s="128" t="s">
        <v>1812</v>
      </c>
      <c r="H859" s="128"/>
      <c r="I859" s="128"/>
      <c r="J859" s="129">
        <v>15713.0</v>
      </c>
      <c r="K859" s="129">
        <v>1.0</v>
      </c>
      <c r="L859" s="128"/>
      <c r="M859" s="128" t="s">
        <v>1813</v>
      </c>
      <c r="N859" s="129">
        <v>42.0</v>
      </c>
      <c r="O859" s="128" t="s">
        <v>1806</v>
      </c>
      <c r="P859" s="129">
        <v>20.0</v>
      </c>
      <c r="Q859" s="128" t="s">
        <v>644</v>
      </c>
    </row>
    <row r="860">
      <c r="A860" s="129">
        <v>992.0</v>
      </c>
      <c r="B860" s="129">
        <v>2021.0</v>
      </c>
      <c r="C860" s="129">
        <v>-4.65</v>
      </c>
      <c r="D860" s="129">
        <v>52.51247</v>
      </c>
      <c r="E860" s="129">
        <v>13.32811</v>
      </c>
      <c r="F860" s="128" t="s">
        <v>1807</v>
      </c>
      <c r="G860" s="128" t="s">
        <v>1812</v>
      </c>
      <c r="H860" s="128"/>
      <c r="I860" s="128"/>
      <c r="J860" s="129">
        <v>15713.0</v>
      </c>
      <c r="K860" s="129">
        <v>1.0</v>
      </c>
      <c r="L860" s="128"/>
      <c r="M860" s="128" t="s">
        <v>1813</v>
      </c>
      <c r="N860" s="129">
        <v>42.0</v>
      </c>
      <c r="O860" s="128" t="s">
        <v>1806</v>
      </c>
      <c r="P860" s="129">
        <v>20.0</v>
      </c>
      <c r="Q860" s="128" t="s">
        <v>644</v>
      </c>
    </row>
    <row r="861">
      <c r="A861" s="129">
        <v>993.0</v>
      </c>
      <c r="B861" s="129">
        <v>2021.0</v>
      </c>
      <c r="C861" s="129">
        <v>-0.6</v>
      </c>
      <c r="D861" s="129">
        <v>52.51247</v>
      </c>
      <c r="E861" s="129">
        <v>13.32811</v>
      </c>
      <c r="F861" s="128" t="s">
        <v>1807</v>
      </c>
      <c r="G861" s="128" t="s">
        <v>1812</v>
      </c>
      <c r="H861" s="128"/>
      <c r="I861" s="128"/>
      <c r="J861" s="129">
        <v>15713.0</v>
      </c>
      <c r="K861" s="129">
        <v>1.0</v>
      </c>
      <c r="L861" s="128"/>
      <c r="M861" s="128" t="s">
        <v>1813</v>
      </c>
      <c r="N861" s="129">
        <v>42.0</v>
      </c>
      <c r="O861" s="128" t="s">
        <v>1806</v>
      </c>
      <c r="P861" s="129">
        <v>20.0</v>
      </c>
      <c r="Q861" s="128" t="s">
        <v>644</v>
      </c>
    </row>
    <row r="862">
      <c r="A862" s="129">
        <v>994.0</v>
      </c>
      <c r="B862" s="129">
        <v>2021.0</v>
      </c>
      <c r="C862" s="129">
        <v>0.35</v>
      </c>
      <c r="D862" s="129">
        <v>52.51247</v>
      </c>
      <c r="E862" s="129">
        <v>13.32811</v>
      </c>
      <c r="F862" s="128" t="s">
        <v>1807</v>
      </c>
      <c r="G862" s="128" t="s">
        <v>1812</v>
      </c>
      <c r="H862" s="128"/>
      <c r="I862" s="128"/>
      <c r="J862" s="129">
        <v>15713.0</v>
      </c>
      <c r="K862" s="129">
        <v>1.0</v>
      </c>
      <c r="L862" s="128"/>
      <c r="M862" s="128" t="s">
        <v>1813</v>
      </c>
      <c r="N862" s="129">
        <v>42.0</v>
      </c>
      <c r="O862" s="128" t="s">
        <v>1806</v>
      </c>
      <c r="P862" s="129">
        <v>20.0</v>
      </c>
      <c r="Q862" s="128" t="s">
        <v>644</v>
      </c>
    </row>
    <row r="863">
      <c r="A863" s="129">
        <v>995.0</v>
      </c>
      <c r="B863" s="129">
        <v>2021.0</v>
      </c>
      <c r="C863" s="129">
        <v>0.8</v>
      </c>
      <c r="D863" s="129">
        <v>52.51247</v>
      </c>
      <c r="E863" s="129">
        <v>13.32811</v>
      </c>
      <c r="F863" s="128" t="s">
        <v>1811</v>
      </c>
      <c r="G863" s="128" t="s">
        <v>1812</v>
      </c>
      <c r="H863" s="128"/>
      <c r="I863" s="128"/>
      <c r="J863" s="129">
        <v>15713.0</v>
      </c>
      <c r="K863" s="129">
        <v>1.0</v>
      </c>
      <c r="L863" s="128"/>
      <c r="M863" s="128" t="s">
        <v>1813</v>
      </c>
      <c r="N863" s="129">
        <v>42.0</v>
      </c>
      <c r="O863" s="128" t="s">
        <v>1806</v>
      </c>
      <c r="P863" s="129">
        <v>20.0</v>
      </c>
      <c r="Q863" s="128" t="s">
        <v>644</v>
      </c>
    </row>
    <row r="864">
      <c r="A864" s="129">
        <v>996.0</v>
      </c>
      <c r="B864" s="129">
        <v>2021.0</v>
      </c>
      <c r="C864" s="129">
        <v>1.4</v>
      </c>
      <c r="D864" s="129">
        <v>52.51247</v>
      </c>
      <c r="E864" s="129">
        <v>13.32811</v>
      </c>
      <c r="F864" s="128" t="s">
        <v>1811</v>
      </c>
      <c r="G864" s="128" t="s">
        <v>1812</v>
      </c>
      <c r="H864" s="128"/>
      <c r="I864" s="128"/>
      <c r="J864" s="129">
        <v>15713.0</v>
      </c>
      <c r="K864" s="129">
        <v>1.0</v>
      </c>
      <c r="L864" s="128"/>
      <c r="M864" s="128" t="s">
        <v>1813</v>
      </c>
      <c r="N864" s="129">
        <v>42.0</v>
      </c>
      <c r="O864" s="128" t="s">
        <v>1806</v>
      </c>
      <c r="P864" s="129">
        <v>20.0</v>
      </c>
      <c r="Q864" s="128" t="s">
        <v>644</v>
      </c>
    </row>
    <row r="865">
      <c r="A865" s="129">
        <v>997.0</v>
      </c>
      <c r="B865" s="129">
        <v>2021.0</v>
      </c>
      <c r="C865" s="129">
        <v>5.9</v>
      </c>
      <c r="D865" s="129">
        <v>52.51247</v>
      </c>
      <c r="E865" s="129">
        <v>13.32811</v>
      </c>
      <c r="F865" s="128" t="s">
        <v>1811</v>
      </c>
      <c r="G865" s="128" t="s">
        <v>1812</v>
      </c>
      <c r="H865" s="128"/>
      <c r="I865" s="128"/>
      <c r="J865" s="129">
        <v>15713.0</v>
      </c>
      <c r="K865" s="129">
        <v>1.0</v>
      </c>
      <c r="L865" s="128"/>
      <c r="M865" s="128" t="s">
        <v>1813</v>
      </c>
      <c r="N865" s="129">
        <v>42.0</v>
      </c>
      <c r="O865" s="128" t="s">
        <v>1806</v>
      </c>
      <c r="P865" s="129">
        <v>20.0</v>
      </c>
      <c r="Q865" s="128" t="s">
        <v>644</v>
      </c>
    </row>
    <row r="866">
      <c r="A866" s="129">
        <v>998.0</v>
      </c>
      <c r="B866" s="129">
        <v>2021.0</v>
      </c>
      <c r="C866" s="129">
        <v>4.45</v>
      </c>
      <c r="D866" s="129">
        <v>52.51247</v>
      </c>
      <c r="E866" s="129">
        <v>13.32811</v>
      </c>
      <c r="F866" s="128" t="s">
        <v>1811</v>
      </c>
      <c r="G866" s="128" t="s">
        <v>1812</v>
      </c>
      <c r="H866" s="128"/>
      <c r="I866" s="128"/>
      <c r="J866" s="129">
        <v>15713.0</v>
      </c>
      <c r="K866" s="129">
        <v>1.0</v>
      </c>
      <c r="L866" s="128"/>
      <c r="M866" s="128" t="s">
        <v>1813</v>
      </c>
      <c r="N866" s="129">
        <v>42.0</v>
      </c>
      <c r="O866" s="128" t="s">
        <v>1806</v>
      </c>
      <c r="P866" s="129">
        <v>20.0</v>
      </c>
      <c r="Q866" s="128" t="s">
        <v>644</v>
      </c>
    </row>
    <row r="867">
      <c r="A867" s="129">
        <v>1105.0</v>
      </c>
      <c r="B867" s="129">
        <v>2021.0</v>
      </c>
      <c r="C867" s="129">
        <v>7.45</v>
      </c>
      <c r="D867" s="129">
        <v>-54.97</v>
      </c>
      <c r="E867" s="129">
        <v>-66.73</v>
      </c>
      <c r="F867" s="128" t="s">
        <v>1903</v>
      </c>
      <c r="G867" s="128" t="s">
        <v>1899</v>
      </c>
      <c r="H867" s="128" t="s">
        <v>818</v>
      </c>
      <c r="I867" s="128" t="s">
        <v>1898</v>
      </c>
      <c r="J867" s="129">
        <v>277.0</v>
      </c>
      <c r="K867" s="129">
        <v>1.0</v>
      </c>
      <c r="L867" s="128"/>
      <c r="M867" s="128"/>
      <c r="N867" s="129">
        <v>38.0</v>
      </c>
      <c r="O867" s="128"/>
      <c r="P867" s="129">
        <v>500.0</v>
      </c>
      <c r="Q867" s="128" t="s">
        <v>738</v>
      </c>
    </row>
    <row r="868">
      <c r="A868" s="129">
        <v>1106.0</v>
      </c>
      <c r="B868" s="129">
        <v>2021.0</v>
      </c>
      <c r="C868" s="129">
        <v>10.11</v>
      </c>
      <c r="D868" s="129">
        <v>-54.83</v>
      </c>
      <c r="E868" s="129">
        <v>-68.45</v>
      </c>
      <c r="F868" s="128" t="s">
        <v>1903</v>
      </c>
      <c r="G868" s="128" t="s">
        <v>1901</v>
      </c>
      <c r="H868" s="128" t="s">
        <v>818</v>
      </c>
      <c r="I868" s="128" t="s">
        <v>1900</v>
      </c>
      <c r="J868" s="129">
        <v>70.0</v>
      </c>
      <c r="K868" s="129">
        <v>1.0</v>
      </c>
      <c r="L868" s="128"/>
      <c r="M868" s="128"/>
      <c r="N868" s="129">
        <v>95.0</v>
      </c>
      <c r="O868" s="128"/>
      <c r="P868" s="129">
        <v>500.0</v>
      </c>
      <c r="Q868" s="128" t="s">
        <v>738</v>
      </c>
    </row>
    <row r="869">
      <c r="A869" s="129">
        <v>1104.0</v>
      </c>
      <c r="B869" s="129">
        <v>2021.0</v>
      </c>
      <c r="C869" s="129">
        <v>5.34</v>
      </c>
      <c r="D869" s="129">
        <v>-41.88</v>
      </c>
      <c r="E869" s="129">
        <v>-73.68</v>
      </c>
      <c r="F869" s="128" t="s">
        <v>1903</v>
      </c>
      <c r="G869" s="128" t="s">
        <v>1897</v>
      </c>
      <c r="H869" s="128" t="s">
        <v>1895</v>
      </c>
      <c r="I869" s="128" t="s">
        <v>1896</v>
      </c>
      <c r="J869" s="129">
        <v>241.0</v>
      </c>
      <c r="K869" s="129">
        <v>1.0</v>
      </c>
      <c r="L869" s="128"/>
      <c r="M869" s="128"/>
      <c r="N869" s="129">
        <v>17.0</v>
      </c>
      <c r="O869" s="128"/>
      <c r="P869" s="129">
        <v>500.0</v>
      </c>
      <c r="Q869" s="128" t="s">
        <v>738</v>
      </c>
    </row>
    <row r="870">
      <c r="A870" s="129">
        <v>1103.0</v>
      </c>
      <c r="B870" s="129">
        <v>2021.0</v>
      </c>
      <c r="C870" s="129">
        <v>9.89</v>
      </c>
      <c r="D870" s="129">
        <v>-37.75</v>
      </c>
      <c r="E870" s="129">
        <v>-58.34</v>
      </c>
      <c r="F870" s="128" t="s">
        <v>1903</v>
      </c>
      <c r="G870" s="128" t="s">
        <v>1894</v>
      </c>
      <c r="H870" s="128" t="s">
        <v>167</v>
      </c>
      <c r="I870" s="128" t="s">
        <v>1893</v>
      </c>
      <c r="J870" s="129">
        <v>53.0</v>
      </c>
      <c r="K870" s="129">
        <v>1.0</v>
      </c>
      <c r="L870" s="128"/>
      <c r="M870" s="128"/>
      <c r="N870" s="129">
        <v>113.0</v>
      </c>
      <c r="O870" s="128"/>
      <c r="P870" s="129">
        <v>500.0</v>
      </c>
      <c r="Q870" s="128" t="s">
        <v>738</v>
      </c>
    </row>
    <row r="871">
      <c r="A871" s="129">
        <v>1102.0</v>
      </c>
      <c r="B871" s="129">
        <v>2021.0</v>
      </c>
      <c r="C871" s="129">
        <v>1.65</v>
      </c>
      <c r="D871" s="129">
        <v>-37.55</v>
      </c>
      <c r="E871" s="129">
        <v>-57.3</v>
      </c>
      <c r="F871" s="128" t="s">
        <v>1903</v>
      </c>
      <c r="G871" s="128" t="s">
        <v>1892</v>
      </c>
      <c r="H871" s="128" t="s">
        <v>245</v>
      </c>
      <c r="I871" s="128" t="s">
        <v>1891</v>
      </c>
      <c r="J871" s="129">
        <v>41.0</v>
      </c>
      <c r="K871" s="129">
        <v>1.0</v>
      </c>
      <c r="L871" s="128"/>
      <c r="M871" s="128"/>
      <c r="N871" s="129">
        <v>3.0</v>
      </c>
      <c r="O871" s="128"/>
      <c r="P871" s="129">
        <v>500.0</v>
      </c>
      <c r="Q871" s="128" t="s">
        <v>738</v>
      </c>
    </row>
    <row r="872">
      <c r="A872" s="129">
        <v>1101.0</v>
      </c>
      <c r="B872" s="129">
        <v>2021.0</v>
      </c>
      <c r="C872" s="129">
        <v>6.52</v>
      </c>
      <c r="D872" s="129">
        <v>-35.62</v>
      </c>
      <c r="E872" s="129">
        <v>-61.32</v>
      </c>
      <c r="F872" s="128" t="s">
        <v>1903</v>
      </c>
      <c r="G872" s="128" t="s">
        <v>1890</v>
      </c>
      <c r="H872" s="128" t="s">
        <v>1474</v>
      </c>
      <c r="I872" s="128" t="s">
        <v>1889</v>
      </c>
      <c r="J872" s="129">
        <v>214.0</v>
      </c>
      <c r="K872" s="129">
        <v>1.0</v>
      </c>
      <c r="L872" s="128"/>
      <c r="M872" s="128"/>
      <c r="N872" s="129">
        <v>81.0</v>
      </c>
      <c r="O872" s="128"/>
      <c r="P872" s="129">
        <v>500.0</v>
      </c>
      <c r="Q872" s="128" t="s">
        <v>738</v>
      </c>
    </row>
    <row r="873">
      <c r="A873" s="129">
        <v>1336.0</v>
      </c>
      <c r="B873" s="129">
        <v>2016.0</v>
      </c>
      <c r="C873" s="129">
        <v>4.0</v>
      </c>
      <c r="D873" s="129">
        <v>-35.4214</v>
      </c>
      <c r="E873" s="129">
        <v>-71.3992</v>
      </c>
      <c r="F873" s="128" t="s">
        <v>2390</v>
      </c>
      <c r="G873" s="128" t="s">
        <v>2386</v>
      </c>
      <c r="H873" s="128" t="s">
        <v>969</v>
      </c>
      <c r="I873" s="128" t="s">
        <v>234</v>
      </c>
      <c r="J873" s="129">
        <v>14.0</v>
      </c>
      <c r="K873" s="129">
        <v>1.0</v>
      </c>
      <c r="L873" s="129">
        <v>90.0</v>
      </c>
      <c r="M873" s="128" t="s">
        <v>2387</v>
      </c>
      <c r="N873" s="129">
        <v>198.0</v>
      </c>
      <c r="O873" s="129">
        <v>278.0</v>
      </c>
      <c r="P873" s="129">
        <v>30.0</v>
      </c>
      <c r="Q873" s="128" t="s">
        <v>738</v>
      </c>
    </row>
    <row r="874">
      <c r="A874" s="129">
        <v>1337.0</v>
      </c>
      <c r="B874" s="129">
        <v>2016.0</v>
      </c>
      <c r="C874" s="129">
        <v>-8.0</v>
      </c>
      <c r="D874" s="129">
        <v>-35.4214</v>
      </c>
      <c r="E874" s="129">
        <v>-71.3992</v>
      </c>
      <c r="F874" s="128" t="s">
        <v>2390</v>
      </c>
      <c r="G874" s="128" t="s">
        <v>2386</v>
      </c>
      <c r="H874" s="128" t="s">
        <v>969</v>
      </c>
      <c r="I874" s="128" t="s">
        <v>234</v>
      </c>
      <c r="J874" s="129">
        <v>11.0</v>
      </c>
      <c r="K874" s="129">
        <v>1.0</v>
      </c>
      <c r="L874" s="129">
        <v>90.0</v>
      </c>
      <c r="M874" s="128" t="s">
        <v>2387</v>
      </c>
      <c r="N874" s="129">
        <v>198.0</v>
      </c>
      <c r="O874" s="129">
        <v>278.0</v>
      </c>
      <c r="P874" s="129">
        <v>30.0</v>
      </c>
      <c r="Q874" s="128" t="s">
        <v>738</v>
      </c>
    </row>
    <row r="875">
      <c r="A875" s="129">
        <v>1338.0</v>
      </c>
      <c r="B875" s="129">
        <v>2016.0</v>
      </c>
      <c r="C875" s="129">
        <v>3.1</v>
      </c>
      <c r="D875" s="129">
        <v>-35.4214</v>
      </c>
      <c r="E875" s="129">
        <v>-71.3992</v>
      </c>
      <c r="F875" s="128" t="s">
        <v>2390</v>
      </c>
      <c r="G875" s="128" t="s">
        <v>2386</v>
      </c>
      <c r="H875" s="128" t="s">
        <v>242</v>
      </c>
      <c r="I875" s="128" t="s">
        <v>244</v>
      </c>
      <c r="J875" s="129">
        <v>14.0</v>
      </c>
      <c r="K875" s="129">
        <v>1.0</v>
      </c>
      <c r="L875" s="129">
        <v>90.0</v>
      </c>
      <c r="M875" s="128" t="s">
        <v>2387</v>
      </c>
      <c r="N875" s="129">
        <v>198.0</v>
      </c>
      <c r="O875" s="129">
        <v>278.0</v>
      </c>
      <c r="P875" s="129">
        <v>30.0</v>
      </c>
      <c r="Q875" s="128" t="s">
        <v>738</v>
      </c>
    </row>
    <row r="876">
      <c r="A876" s="129">
        <v>1339.0</v>
      </c>
      <c r="B876" s="129">
        <v>2016.0</v>
      </c>
      <c r="C876" s="129">
        <v>-8.6</v>
      </c>
      <c r="D876" s="129">
        <v>-35.4214</v>
      </c>
      <c r="E876" s="129">
        <v>-71.3992</v>
      </c>
      <c r="F876" s="128" t="s">
        <v>2390</v>
      </c>
      <c r="G876" s="128" t="s">
        <v>2386</v>
      </c>
      <c r="H876" s="128" t="s">
        <v>242</v>
      </c>
      <c r="I876" s="128" t="s">
        <v>244</v>
      </c>
      <c r="J876" s="129">
        <v>11.0</v>
      </c>
      <c r="K876" s="129">
        <v>1.0</v>
      </c>
      <c r="L876" s="129">
        <v>90.0</v>
      </c>
      <c r="M876" s="128" t="s">
        <v>2387</v>
      </c>
      <c r="N876" s="129">
        <v>198.0</v>
      </c>
      <c r="O876" s="129">
        <v>278.0</v>
      </c>
      <c r="P876" s="129">
        <v>30.0</v>
      </c>
      <c r="Q876" s="128" t="s">
        <v>738</v>
      </c>
    </row>
    <row r="877">
      <c r="A877" s="129">
        <v>1100.0</v>
      </c>
      <c r="B877" s="129">
        <v>2021.0</v>
      </c>
      <c r="C877" s="129">
        <v>-6.59</v>
      </c>
      <c r="D877" s="129">
        <v>-33.46</v>
      </c>
      <c r="E877" s="129">
        <v>-66.46</v>
      </c>
      <c r="F877" s="128" t="s">
        <v>1903</v>
      </c>
      <c r="G877" s="128" t="s">
        <v>1888</v>
      </c>
      <c r="H877" s="128" t="s">
        <v>969</v>
      </c>
      <c r="I877" s="128" t="s">
        <v>1887</v>
      </c>
      <c r="J877" s="129">
        <v>230.0</v>
      </c>
      <c r="K877" s="129">
        <v>1.0</v>
      </c>
      <c r="L877" s="128"/>
      <c r="M877" s="128"/>
      <c r="N877" s="129">
        <v>507.0</v>
      </c>
      <c r="O877" s="128"/>
      <c r="P877" s="129">
        <v>500.0</v>
      </c>
      <c r="Q877" s="128" t="s">
        <v>738</v>
      </c>
    </row>
    <row r="878">
      <c r="A878" s="129">
        <v>1099.0</v>
      </c>
      <c r="B878" s="129">
        <v>2021.0</v>
      </c>
      <c r="C878" s="129">
        <v>-2.64</v>
      </c>
      <c r="D878" s="129">
        <v>-21.64</v>
      </c>
      <c r="E878" s="129">
        <v>-47.79</v>
      </c>
      <c r="F878" s="128" t="s">
        <v>1903</v>
      </c>
      <c r="G878" s="128" t="s">
        <v>1886</v>
      </c>
      <c r="H878" s="128" t="s">
        <v>1884</v>
      </c>
      <c r="I878" s="128" t="s">
        <v>1885</v>
      </c>
      <c r="J878" s="129">
        <v>328.0</v>
      </c>
      <c r="K878" s="129">
        <v>1.0</v>
      </c>
      <c r="L878" s="128"/>
      <c r="M878" s="128"/>
      <c r="N878" s="129">
        <v>558.0</v>
      </c>
      <c r="O878" s="128"/>
      <c r="P878" s="129">
        <v>500.0</v>
      </c>
      <c r="Q878" s="128" t="s">
        <v>738</v>
      </c>
    </row>
    <row r="879">
      <c r="A879" s="129">
        <v>1098.0</v>
      </c>
      <c r="B879" s="129">
        <v>2021.0</v>
      </c>
      <c r="C879" s="129">
        <v>-3.64</v>
      </c>
      <c r="D879" s="129">
        <v>-21.62</v>
      </c>
      <c r="E879" s="129">
        <v>-47.63</v>
      </c>
      <c r="F879" s="128" t="s">
        <v>1903</v>
      </c>
      <c r="G879" s="128" t="s">
        <v>1883</v>
      </c>
      <c r="H879" s="128" t="s">
        <v>1881</v>
      </c>
      <c r="I879" s="128" t="s">
        <v>1882</v>
      </c>
      <c r="J879" s="129">
        <v>712.0</v>
      </c>
      <c r="K879" s="129">
        <v>1.0</v>
      </c>
      <c r="L879" s="128"/>
      <c r="M879" s="128"/>
      <c r="N879" s="129">
        <v>673.0</v>
      </c>
      <c r="O879" s="128"/>
      <c r="P879" s="129">
        <v>500.0</v>
      </c>
      <c r="Q879" s="128" t="s">
        <v>738</v>
      </c>
    </row>
    <row r="880">
      <c r="A880" s="129">
        <v>1097.0</v>
      </c>
      <c r="B880" s="129">
        <v>2021.0</v>
      </c>
      <c r="C880" s="129">
        <v>-0.58</v>
      </c>
      <c r="D880" s="129">
        <v>-21.58</v>
      </c>
      <c r="E880" s="129">
        <v>-47.6</v>
      </c>
      <c r="F880" s="128" t="s">
        <v>1903</v>
      </c>
      <c r="G880" s="128" t="s">
        <v>1880</v>
      </c>
      <c r="H880" s="128" t="s">
        <v>341</v>
      </c>
      <c r="I880" s="128" t="s">
        <v>536</v>
      </c>
      <c r="J880" s="129">
        <v>321.0</v>
      </c>
      <c r="K880" s="129">
        <v>1.0</v>
      </c>
      <c r="L880" s="128"/>
      <c r="M880" s="128"/>
      <c r="N880" s="129">
        <v>761.0</v>
      </c>
      <c r="O880" s="128"/>
      <c r="P880" s="129">
        <v>500.0</v>
      </c>
      <c r="Q880" s="128" t="s">
        <v>738</v>
      </c>
    </row>
    <row r="881">
      <c r="A881" s="129">
        <v>1096.0</v>
      </c>
      <c r="B881" s="129">
        <v>2021.0</v>
      </c>
      <c r="C881" s="129">
        <v>-13.3</v>
      </c>
      <c r="D881" s="129">
        <v>-16.49</v>
      </c>
      <c r="E881" s="129">
        <v>-56.41</v>
      </c>
      <c r="F881" s="128" t="s">
        <v>1903</v>
      </c>
      <c r="G881" s="128" t="s">
        <v>1879</v>
      </c>
      <c r="H881" s="128" t="s">
        <v>245</v>
      </c>
      <c r="I881" s="128" t="s">
        <v>1878</v>
      </c>
      <c r="J881" s="129">
        <v>532.0</v>
      </c>
      <c r="K881" s="129">
        <v>1.0</v>
      </c>
      <c r="L881" s="128"/>
      <c r="M881" s="128"/>
      <c r="N881" s="129">
        <v>122.0</v>
      </c>
      <c r="O881" s="128"/>
      <c r="P881" s="129">
        <v>500.0</v>
      </c>
      <c r="Q881" s="128" t="s">
        <v>738</v>
      </c>
    </row>
    <row r="882">
      <c r="A882" s="129">
        <v>1095.0</v>
      </c>
      <c r="B882" s="129">
        <v>2021.0</v>
      </c>
      <c r="C882" s="129">
        <v>3.98</v>
      </c>
      <c r="D882" s="129">
        <v>-15.72</v>
      </c>
      <c r="E882" s="129">
        <v>-56.07</v>
      </c>
      <c r="F882" s="128" t="s">
        <v>1903</v>
      </c>
      <c r="G882" s="128" t="s">
        <v>1877</v>
      </c>
      <c r="H882" s="128" t="s">
        <v>233</v>
      </c>
      <c r="I882" s="128" t="s">
        <v>1876</v>
      </c>
      <c r="J882" s="129">
        <v>152.0</v>
      </c>
      <c r="K882" s="129">
        <v>1.0</v>
      </c>
      <c r="L882" s="128"/>
      <c r="M882" s="128"/>
      <c r="N882" s="129">
        <v>181.0</v>
      </c>
      <c r="O882" s="128"/>
      <c r="P882" s="129">
        <v>500.0</v>
      </c>
      <c r="Q882" s="128" t="s">
        <v>738</v>
      </c>
    </row>
    <row r="883">
      <c r="A883" s="129">
        <v>280.0</v>
      </c>
      <c r="B883" s="129">
        <v>2019.0</v>
      </c>
      <c r="C883" s="129">
        <v>-4.0</v>
      </c>
      <c r="D883" s="129">
        <v>-12.4942</v>
      </c>
      <c r="E883" s="129">
        <v>131.1533</v>
      </c>
      <c r="F883" s="128" t="s">
        <v>737</v>
      </c>
      <c r="G883" s="128" t="s">
        <v>746</v>
      </c>
      <c r="H883" s="128" t="s">
        <v>328</v>
      </c>
      <c r="I883" s="128" t="s">
        <v>342</v>
      </c>
      <c r="J883" s="128"/>
      <c r="K883" s="129">
        <v>1.0</v>
      </c>
      <c r="L883" s="129">
        <v>1000.0</v>
      </c>
      <c r="M883" s="128" t="s">
        <v>747</v>
      </c>
      <c r="N883" s="129">
        <v>37.0</v>
      </c>
      <c r="O883" s="128"/>
      <c r="P883" s="129">
        <v>1000.0</v>
      </c>
      <c r="Q883" s="128" t="s">
        <v>738</v>
      </c>
    </row>
    <row r="884">
      <c r="A884" s="129">
        <v>1094.0</v>
      </c>
      <c r="B884" s="129">
        <v>2021.0</v>
      </c>
      <c r="C884" s="129">
        <v>-1.68</v>
      </c>
      <c r="D884" s="129">
        <v>-11.41</v>
      </c>
      <c r="E884" s="129">
        <v>-55.32</v>
      </c>
      <c r="F884" s="128" t="s">
        <v>1903</v>
      </c>
      <c r="G884" s="128" t="s">
        <v>1875</v>
      </c>
      <c r="H884" s="128" t="s">
        <v>350</v>
      </c>
      <c r="I884" s="128" t="s">
        <v>506</v>
      </c>
      <c r="J884" s="129">
        <v>121.0</v>
      </c>
      <c r="K884" s="129">
        <v>1.0</v>
      </c>
      <c r="L884" s="128"/>
      <c r="M884" s="128"/>
      <c r="N884" s="129">
        <v>317.0</v>
      </c>
      <c r="O884" s="128"/>
      <c r="P884" s="129">
        <v>500.0</v>
      </c>
      <c r="Q884" s="128" t="s">
        <v>738</v>
      </c>
    </row>
    <row r="885">
      <c r="A885" s="129">
        <v>1093.0</v>
      </c>
      <c r="B885" s="129">
        <v>2021.0</v>
      </c>
      <c r="C885" s="129">
        <v>-6.2</v>
      </c>
      <c r="D885" s="129">
        <v>-10.77</v>
      </c>
      <c r="E885" s="129">
        <v>-62.34</v>
      </c>
      <c r="F885" s="128" t="s">
        <v>1903</v>
      </c>
      <c r="G885" s="128" t="s">
        <v>1874</v>
      </c>
      <c r="H885" s="128" t="s">
        <v>1872</v>
      </c>
      <c r="I885" s="128" t="s">
        <v>1873</v>
      </c>
      <c r="J885" s="129">
        <v>326.0</v>
      </c>
      <c r="K885" s="129">
        <v>1.0</v>
      </c>
      <c r="L885" s="128"/>
      <c r="M885" s="128"/>
      <c r="N885" s="129">
        <v>267.0</v>
      </c>
      <c r="O885" s="128"/>
      <c r="P885" s="129">
        <v>500.0</v>
      </c>
      <c r="Q885" s="128" t="s">
        <v>738</v>
      </c>
    </row>
    <row r="886">
      <c r="A886" s="129">
        <v>290.0</v>
      </c>
      <c r="B886" s="129">
        <v>2019.0</v>
      </c>
      <c r="C886" s="129">
        <v>21.0</v>
      </c>
      <c r="D886" s="129">
        <v>-10.4706</v>
      </c>
      <c r="E886" s="129">
        <v>-61.5603</v>
      </c>
      <c r="F886" s="128" t="s">
        <v>737</v>
      </c>
      <c r="G886" s="128" t="s">
        <v>785</v>
      </c>
      <c r="H886" s="128" t="s">
        <v>328</v>
      </c>
      <c r="I886" s="128" t="s">
        <v>342</v>
      </c>
      <c r="J886" s="128"/>
      <c r="K886" s="129">
        <v>1.0</v>
      </c>
      <c r="L886" s="129">
        <v>1000.0</v>
      </c>
      <c r="M886" s="128" t="s">
        <v>785</v>
      </c>
      <c r="N886" s="129">
        <v>220.0</v>
      </c>
      <c r="O886" s="128"/>
      <c r="P886" s="129">
        <v>1000.0</v>
      </c>
      <c r="Q886" s="128" t="s">
        <v>738</v>
      </c>
    </row>
    <row r="887">
      <c r="A887" s="129">
        <v>1092.0</v>
      </c>
      <c r="B887" s="129">
        <v>2021.0</v>
      </c>
      <c r="C887" s="129">
        <v>-0.05</v>
      </c>
      <c r="D887" s="129">
        <v>-10.08</v>
      </c>
      <c r="E887" s="129">
        <v>-61.93</v>
      </c>
      <c r="F887" s="128" t="s">
        <v>1903</v>
      </c>
      <c r="G887" s="128" t="s">
        <v>1871</v>
      </c>
      <c r="H887" s="128" t="s">
        <v>356</v>
      </c>
      <c r="I887" s="128" t="s">
        <v>193</v>
      </c>
      <c r="J887" s="129">
        <v>242.0</v>
      </c>
      <c r="K887" s="129">
        <v>1.0</v>
      </c>
      <c r="L887" s="128"/>
      <c r="M887" s="128"/>
      <c r="N887" s="129">
        <v>148.0</v>
      </c>
      <c r="O887" s="128"/>
      <c r="P887" s="129">
        <v>500.0</v>
      </c>
      <c r="Q887" s="128" t="s">
        <v>738</v>
      </c>
    </row>
    <row r="888">
      <c r="A888" s="129">
        <v>1091.0</v>
      </c>
      <c r="B888" s="129">
        <v>2021.0</v>
      </c>
      <c r="C888" s="129">
        <v>-0.1</v>
      </c>
      <c r="D888" s="129">
        <v>-9.82</v>
      </c>
      <c r="E888" s="129">
        <v>-50.16</v>
      </c>
      <c r="F888" s="128" t="s">
        <v>1903</v>
      </c>
      <c r="G888" s="128" t="s">
        <v>1870</v>
      </c>
      <c r="H888" s="128" t="s">
        <v>1869</v>
      </c>
      <c r="I888" s="128" t="s">
        <v>350</v>
      </c>
      <c r="J888" s="129">
        <v>427.0</v>
      </c>
      <c r="K888" s="129">
        <v>1.0</v>
      </c>
      <c r="L888" s="128"/>
      <c r="M888" s="128"/>
      <c r="N888" s="129">
        <v>177.0</v>
      </c>
      <c r="O888" s="128"/>
      <c r="P888" s="129">
        <v>500.0</v>
      </c>
      <c r="Q888" s="128" t="s">
        <v>738</v>
      </c>
    </row>
    <row r="889">
      <c r="A889" s="129">
        <v>1090.0</v>
      </c>
      <c r="B889" s="129">
        <v>2021.0</v>
      </c>
      <c r="C889" s="129">
        <v>15.15</v>
      </c>
      <c r="D889" s="129">
        <v>-9.05</v>
      </c>
      <c r="E889" s="129">
        <v>-40.32</v>
      </c>
      <c r="F889" s="128" t="s">
        <v>1903</v>
      </c>
      <c r="G889" s="128" t="s">
        <v>1868</v>
      </c>
      <c r="H889" s="128" t="s">
        <v>233</v>
      </c>
      <c r="I889" s="128" t="s">
        <v>242</v>
      </c>
      <c r="J889" s="129">
        <v>286.0</v>
      </c>
      <c r="K889" s="129">
        <v>1.0</v>
      </c>
      <c r="L889" s="128"/>
      <c r="M889" s="128"/>
      <c r="N889" s="129">
        <v>390.0</v>
      </c>
      <c r="O889" s="128"/>
      <c r="P889" s="129">
        <v>500.0</v>
      </c>
      <c r="Q889" s="128" t="s">
        <v>738</v>
      </c>
    </row>
    <row r="890">
      <c r="A890" s="129">
        <v>1089.0</v>
      </c>
      <c r="B890" s="129">
        <v>2021.0</v>
      </c>
      <c r="C890" s="129">
        <v>5.45</v>
      </c>
      <c r="D890" s="129">
        <v>-8.81</v>
      </c>
      <c r="E890" s="129">
        <v>-36.41</v>
      </c>
      <c r="F890" s="128" t="s">
        <v>1903</v>
      </c>
      <c r="G890" s="128" t="s">
        <v>1867</v>
      </c>
      <c r="H890" s="128" t="s">
        <v>167</v>
      </c>
      <c r="I890" s="128" t="s">
        <v>245</v>
      </c>
      <c r="J890" s="129">
        <v>221.0</v>
      </c>
      <c r="K890" s="129">
        <v>1.0</v>
      </c>
      <c r="L890" s="128"/>
      <c r="M890" s="128"/>
      <c r="N890" s="129">
        <v>688.0</v>
      </c>
      <c r="O890" s="128"/>
      <c r="P890" s="129">
        <v>500.0</v>
      </c>
      <c r="Q890" s="128" t="s">
        <v>738</v>
      </c>
    </row>
    <row r="891">
      <c r="A891" s="129">
        <v>1088.0</v>
      </c>
      <c r="B891" s="129">
        <v>2021.0</v>
      </c>
      <c r="C891" s="129">
        <v>23.12</v>
      </c>
      <c r="D891" s="129">
        <v>-7.96</v>
      </c>
      <c r="E891" s="129">
        <v>-38.38</v>
      </c>
      <c r="F891" s="128" t="s">
        <v>1903</v>
      </c>
      <c r="G891" s="128" t="s">
        <v>1866</v>
      </c>
      <c r="H891" s="128" t="s">
        <v>1864</v>
      </c>
      <c r="I891" s="128" t="s">
        <v>1865</v>
      </c>
      <c r="J891" s="129">
        <v>365.0</v>
      </c>
      <c r="K891" s="129">
        <v>1.0</v>
      </c>
      <c r="L891" s="128"/>
      <c r="M891" s="128"/>
      <c r="N891" s="129">
        <v>469.0</v>
      </c>
      <c r="O891" s="128"/>
      <c r="P891" s="129">
        <v>500.0</v>
      </c>
      <c r="Q891" s="128" t="s">
        <v>738</v>
      </c>
    </row>
    <row r="892">
      <c r="A892" s="129">
        <v>1087.0</v>
      </c>
      <c r="B892" s="129">
        <v>2021.0</v>
      </c>
      <c r="C892" s="129">
        <v>-3.08</v>
      </c>
      <c r="D892" s="129">
        <v>-6.58</v>
      </c>
      <c r="E892" s="129">
        <v>-37.25</v>
      </c>
      <c r="F892" s="128" t="s">
        <v>1903</v>
      </c>
      <c r="G892" s="128" t="s">
        <v>1862</v>
      </c>
      <c r="H892" s="128" t="s">
        <v>245</v>
      </c>
      <c r="I892" s="128" t="s">
        <v>837</v>
      </c>
      <c r="J892" s="129">
        <v>241.0</v>
      </c>
      <c r="K892" s="129">
        <v>1.0</v>
      </c>
      <c r="L892" s="128"/>
      <c r="M892" s="128"/>
      <c r="N892" s="129">
        <v>192.0</v>
      </c>
      <c r="O892" s="128"/>
      <c r="P892" s="129">
        <v>500.0</v>
      </c>
      <c r="Q892" s="128" t="s">
        <v>738</v>
      </c>
    </row>
    <row r="893">
      <c r="A893" s="129">
        <v>1086.0</v>
      </c>
      <c r="B893" s="129">
        <v>2021.0</v>
      </c>
      <c r="C893" s="129">
        <v>-2.2</v>
      </c>
      <c r="D893" s="129">
        <v>-3.02</v>
      </c>
      <c r="E893" s="129">
        <v>-54.97</v>
      </c>
      <c r="F893" s="128" t="s">
        <v>1903</v>
      </c>
      <c r="G893" s="128" t="s">
        <v>1861</v>
      </c>
      <c r="H893" s="128" t="s">
        <v>1860</v>
      </c>
      <c r="I893" s="128" t="s">
        <v>295</v>
      </c>
      <c r="J893" s="129">
        <v>246.0</v>
      </c>
      <c r="K893" s="129">
        <v>1.0</v>
      </c>
      <c r="L893" s="128"/>
      <c r="M893" s="128"/>
      <c r="N893" s="129">
        <v>187.0</v>
      </c>
      <c r="O893" s="128"/>
      <c r="P893" s="129">
        <v>500.0</v>
      </c>
      <c r="Q893" s="128" t="s">
        <v>738</v>
      </c>
    </row>
    <row r="894">
      <c r="A894" s="129">
        <v>1085.0</v>
      </c>
      <c r="B894" s="129">
        <v>2021.0</v>
      </c>
      <c r="C894" s="129">
        <v>3.46</v>
      </c>
      <c r="D894" s="129">
        <v>-3.01</v>
      </c>
      <c r="E894" s="129">
        <v>-54.54</v>
      </c>
      <c r="F894" s="128" t="s">
        <v>1903</v>
      </c>
      <c r="G894" s="128" t="s">
        <v>1859</v>
      </c>
      <c r="H894" s="128" t="s">
        <v>328</v>
      </c>
      <c r="I894" s="128" t="s">
        <v>285</v>
      </c>
      <c r="J894" s="129">
        <v>166.0</v>
      </c>
      <c r="K894" s="129">
        <v>1.0</v>
      </c>
      <c r="L894" s="128"/>
      <c r="M894" s="128"/>
      <c r="N894" s="129">
        <v>69.0</v>
      </c>
      <c r="O894" s="128"/>
      <c r="P894" s="129">
        <v>500.0</v>
      </c>
      <c r="Q894" s="128" t="s">
        <v>738</v>
      </c>
    </row>
    <row r="895">
      <c r="A895" s="129">
        <v>1084.0</v>
      </c>
      <c r="B895" s="129">
        <v>2021.0</v>
      </c>
      <c r="C895" s="129">
        <v>-0.36</v>
      </c>
      <c r="D895" s="129">
        <v>-2.86</v>
      </c>
      <c r="E895" s="129">
        <v>-54.96</v>
      </c>
      <c r="F895" s="128" t="s">
        <v>1903</v>
      </c>
      <c r="G895" s="128" t="s">
        <v>1858</v>
      </c>
      <c r="H895" s="128" t="s">
        <v>284</v>
      </c>
      <c r="I895" s="128" t="s">
        <v>194</v>
      </c>
      <c r="J895" s="129">
        <v>608.0</v>
      </c>
      <c r="K895" s="129">
        <v>1.0</v>
      </c>
      <c r="L895" s="128"/>
      <c r="M895" s="128"/>
      <c r="N895" s="129">
        <v>199.0</v>
      </c>
      <c r="O895" s="128"/>
      <c r="P895" s="129">
        <v>500.0</v>
      </c>
      <c r="Q895" s="128" t="s">
        <v>738</v>
      </c>
    </row>
    <row r="896">
      <c r="A896" s="129">
        <v>1083.0</v>
      </c>
      <c r="B896" s="129">
        <v>2021.0</v>
      </c>
      <c r="C896" s="129">
        <v>3.01</v>
      </c>
      <c r="D896" s="129">
        <v>-2.61</v>
      </c>
      <c r="E896" s="129">
        <v>-60.21</v>
      </c>
      <c r="F896" s="128" t="s">
        <v>1903</v>
      </c>
      <c r="G896" s="128" t="s">
        <v>1857</v>
      </c>
      <c r="H896" s="128" t="s">
        <v>356</v>
      </c>
      <c r="I896" s="128" t="s">
        <v>350</v>
      </c>
      <c r="J896" s="129">
        <v>185.0</v>
      </c>
      <c r="K896" s="129">
        <v>1.0</v>
      </c>
      <c r="L896" s="128"/>
      <c r="M896" s="128"/>
      <c r="N896" s="129">
        <v>114.0</v>
      </c>
      <c r="O896" s="128"/>
      <c r="P896" s="129">
        <v>500.0</v>
      </c>
      <c r="Q896" s="128" t="s">
        <v>738</v>
      </c>
    </row>
    <row r="897">
      <c r="A897" s="129">
        <v>1082.0</v>
      </c>
      <c r="B897" s="129">
        <v>2021.0</v>
      </c>
      <c r="C897" s="129">
        <v>1.42</v>
      </c>
      <c r="D897" s="129">
        <v>-1.72</v>
      </c>
      <c r="E897" s="129">
        <v>-51.46</v>
      </c>
      <c r="F897" s="128" t="s">
        <v>1903</v>
      </c>
      <c r="G897" s="128" t="s">
        <v>1854</v>
      </c>
      <c r="H897" s="128" t="s">
        <v>356</v>
      </c>
      <c r="I897" s="128" t="s">
        <v>968</v>
      </c>
      <c r="J897" s="129">
        <v>33.0</v>
      </c>
      <c r="K897" s="129">
        <v>1.0</v>
      </c>
      <c r="L897" s="128"/>
      <c r="M897" s="128"/>
      <c r="N897" s="129">
        <v>45.0</v>
      </c>
      <c r="O897" s="128"/>
      <c r="P897" s="129">
        <v>500.0</v>
      </c>
      <c r="Q897" s="128" t="s">
        <v>738</v>
      </c>
    </row>
    <row r="898">
      <c r="A898" s="129">
        <v>291.0</v>
      </c>
      <c r="B898" s="129">
        <v>2019.0</v>
      </c>
      <c r="C898" s="129">
        <v>-8.0</v>
      </c>
      <c r="D898" s="129">
        <v>2.58</v>
      </c>
      <c r="E898" s="129">
        <v>102.18</v>
      </c>
      <c r="F898" s="128" t="s">
        <v>737</v>
      </c>
      <c r="G898" s="128" t="s">
        <v>788</v>
      </c>
      <c r="H898" s="128" t="s">
        <v>328</v>
      </c>
      <c r="I898" s="128" t="s">
        <v>342</v>
      </c>
      <c r="J898" s="128"/>
      <c r="K898" s="129">
        <v>1.0</v>
      </c>
      <c r="L898" s="129">
        <v>1000.0</v>
      </c>
      <c r="M898" s="128" t="s">
        <v>788</v>
      </c>
      <c r="N898" s="129">
        <v>334.0</v>
      </c>
      <c r="O898" s="128"/>
      <c r="P898" s="129">
        <v>1000.0</v>
      </c>
      <c r="Q898" s="128" t="s">
        <v>738</v>
      </c>
    </row>
    <row r="899">
      <c r="A899" s="129">
        <v>289.0</v>
      </c>
      <c r="B899" s="129">
        <v>2019.0</v>
      </c>
      <c r="C899" s="129">
        <v>1.0</v>
      </c>
      <c r="D899" s="129">
        <v>3.1</v>
      </c>
      <c r="E899" s="129">
        <v>-65.4</v>
      </c>
      <c r="F899" s="128" t="s">
        <v>737</v>
      </c>
      <c r="G899" s="128" t="s">
        <v>780</v>
      </c>
      <c r="H899" s="128" t="s">
        <v>328</v>
      </c>
      <c r="I899" s="128" t="s">
        <v>342</v>
      </c>
      <c r="J899" s="128"/>
      <c r="K899" s="129">
        <v>1.0</v>
      </c>
      <c r="L899" s="129">
        <v>1000.0</v>
      </c>
      <c r="M899" s="128" t="s">
        <v>780</v>
      </c>
      <c r="N899" s="129">
        <v>138.0</v>
      </c>
      <c r="O899" s="128"/>
      <c r="P899" s="129">
        <v>1000.0</v>
      </c>
      <c r="Q899" s="128" t="s">
        <v>738</v>
      </c>
    </row>
    <row r="900">
      <c r="A900" s="129">
        <v>556.0</v>
      </c>
      <c r="B900" s="129">
        <v>2015.0</v>
      </c>
      <c r="C900" s="129">
        <v>-64.3</v>
      </c>
      <c r="D900" s="129">
        <v>27.25</v>
      </c>
      <c r="E900" s="129">
        <v>-110.083</v>
      </c>
      <c r="F900" s="128" t="s">
        <v>1113</v>
      </c>
      <c r="G900" s="128" t="s">
        <v>6002</v>
      </c>
      <c r="H900" s="128" t="s">
        <v>506</v>
      </c>
      <c r="I900" s="128" t="s">
        <v>506</v>
      </c>
      <c r="J900" s="129">
        <v>1.0</v>
      </c>
      <c r="K900" s="129">
        <v>1.0</v>
      </c>
      <c r="L900" s="128" t="s">
        <v>1108</v>
      </c>
      <c r="M900" s="128" t="s">
        <v>1110</v>
      </c>
      <c r="N900" s="129">
        <v>9.0</v>
      </c>
      <c r="O900" s="128"/>
      <c r="P900" s="129">
        <v>30.0</v>
      </c>
      <c r="Q900" s="128" t="s">
        <v>738</v>
      </c>
    </row>
    <row r="901">
      <c r="A901" s="129">
        <v>557.0</v>
      </c>
      <c r="B901" s="129">
        <v>2015.0</v>
      </c>
      <c r="C901" s="129">
        <v>5.7</v>
      </c>
      <c r="D901" s="129">
        <v>27.25</v>
      </c>
      <c r="E901" s="129">
        <v>-110.083</v>
      </c>
      <c r="F901" s="128" t="s">
        <v>1113</v>
      </c>
      <c r="G901" s="128" t="s">
        <v>6002</v>
      </c>
      <c r="H901" s="128" t="s">
        <v>1115</v>
      </c>
      <c r="I901" s="128" t="s">
        <v>1115</v>
      </c>
      <c r="J901" s="129">
        <v>1.0</v>
      </c>
      <c r="K901" s="129">
        <v>1.0</v>
      </c>
      <c r="L901" s="128" t="s">
        <v>1108</v>
      </c>
      <c r="M901" s="128" t="s">
        <v>1110</v>
      </c>
      <c r="N901" s="129">
        <v>9.0</v>
      </c>
      <c r="O901" s="128"/>
      <c r="P901" s="129">
        <v>30.0</v>
      </c>
      <c r="Q901" s="128" t="s">
        <v>738</v>
      </c>
    </row>
    <row r="902">
      <c r="A902" s="129">
        <v>558.0</v>
      </c>
      <c r="B902" s="129">
        <v>2015.0</v>
      </c>
      <c r="C902" s="129">
        <v>-16.7</v>
      </c>
      <c r="D902" s="129">
        <v>27.25</v>
      </c>
      <c r="E902" s="129">
        <v>-110.083</v>
      </c>
      <c r="F902" s="128" t="s">
        <v>1113</v>
      </c>
      <c r="G902" s="128" t="s">
        <v>6002</v>
      </c>
      <c r="H902" s="128" t="s">
        <v>1116</v>
      </c>
      <c r="I902" s="128" t="s">
        <v>1116</v>
      </c>
      <c r="J902" s="129">
        <v>1.0</v>
      </c>
      <c r="K902" s="129">
        <v>1.0</v>
      </c>
      <c r="L902" s="128" t="s">
        <v>1108</v>
      </c>
      <c r="M902" s="128" t="s">
        <v>1110</v>
      </c>
      <c r="N902" s="129">
        <v>9.0</v>
      </c>
      <c r="O902" s="128"/>
      <c r="P902" s="129">
        <v>30.0</v>
      </c>
      <c r="Q902" s="128" t="s">
        <v>738</v>
      </c>
    </row>
    <row r="903">
      <c r="A903" s="129">
        <v>559.0</v>
      </c>
      <c r="B903" s="129">
        <v>2015.0</v>
      </c>
      <c r="C903" s="129">
        <v>17.7</v>
      </c>
      <c r="D903" s="129">
        <v>27.25</v>
      </c>
      <c r="E903" s="129">
        <v>-110.083</v>
      </c>
      <c r="F903" s="128" t="s">
        <v>1113</v>
      </c>
      <c r="G903" s="128" t="s">
        <v>6002</v>
      </c>
      <c r="H903" s="128" t="s">
        <v>1117</v>
      </c>
      <c r="I903" s="128" t="s">
        <v>1117</v>
      </c>
      <c r="J903" s="129">
        <v>1.0</v>
      </c>
      <c r="K903" s="129">
        <v>1.0</v>
      </c>
      <c r="L903" s="128" t="s">
        <v>1108</v>
      </c>
      <c r="M903" s="128" t="s">
        <v>1110</v>
      </c>
      <c r="N903" s="129">
        <v>9.0</v>
      </c>
      <c r="O903" s="128"/>
      <c r="P903" s="129">
        <v>30.0</v>
      </c>
      <c r="Q903" s="128" t="s">
        <v>738</v>
      </c>
    </row>
    <row r="904">
      <c r="A904" s="129">
        <v>560.0</v>
      </c>
      <c r="B904" s="129">
        <v>2015.0</v>
      </c>
      <c r="C904" s="129">
        <v>7.8</v>
      </c>
      <c r="D904" s="129">
        <v>27.25</v>
      </c>
      <c r="E904" s="129">
        <v>-110.083</v>
      </c>
      <c r="F904" s="128" t="s">
        <v>1113</v>
      </c>
      <c r="G904" s="128" t="s">
        <v>6002</v>
      </c>
      <c r="H904" s="128" t="s">
        <v>1118</v>
      </c>
      <c r="I904" s="128" t="s">
        <v>1118</v>
      </c>
      <c r="J904" s="129">
        <v>1.0</v>
      </c>
      <c r="K904" s="129">
        <v>1.0</v>
      </c>
      <c r="L904" s="128" t="s">
        <v>1108</v>
      </c>
      <c r="M904" s="128" t="s">
        <v>1110</v>
      </c>
      <c r="N904" s="129">
        <v>9.0</v>
      </c>
      <c r="O904" s="128"/>
      <c r="P904" s="129">
        <v>30.0</v>
      </c>
      <c r="Q904" s="128" t="s">
        <v>738</v>
      </c>
    </row>
    <row r="905">
      <c r="A905" s="129">
        <v>561.0</v>
      </c>
      <c r="B905" s="129">
        <v>2015.0</v>
      </c>
      <c r="C905" s="129">
        <v>-16.3</v>
      </c>
      <c r="D905" s="129">
        <v>27.25</v>
      </c>
      <c r="E905" s="129">
        <v>-110.083</v>
      </c>
      <c r="F905" s="128" t="s">
        <v>1113</v>
      </c>
      <c r="G905" s="128" t="s">
        <v>6002</v>
      </c>
      <c r="H905" s="128" t="s">
        <v>1119</v>
      </c>
      <c r="I905" s="128" t="s">
        <v>1119</v>
      </c>
      <c r="J905" s="129">
        <v>1.0</v>
      </c>
      <c r="K905" s="129">
        <v>1.0</v>
      </c>
      <c r="L905" s="128" t="s">
        <v>1108</v>
      </c>
      <c r="M905" s="128" t="s">
        <v>1110</v>
      </c>
      <c r="N905" s="129">
        <v>9.0</v>
      </c>
      <c r="O905" s="128"/>
      <c r="P905" s="129">
        <v>30.0</v>
      </c>
      <c r="Q905" s="128" t="s">
        <v>738</v>
      </c>
    </row>
    <row r="906">
      <c r="A906" s="129">
        <v>562.0</v>
      </c>
      <c r="B906" s="129">
        <v>2015.0</v>
      </c>
      <c r="C906" s="129">
        <v>-10.5</v>
      </c>
      <c r="D906" s="129">
        <v>27.25</v>
      </c>
      <c r="E906" s="129">
        <v>-110.083</v>
      </c>
      <c r="F906" s="128" t="s">
        <v>1113</v>
      </c>
      <c r="G906" s="128" t="s">
        <v>6002</v>
      </c>
      <c r="H906" s="128" t="s">
        <v>1120</v>
      </c>
      <c r="I906" s="128" t="s">
        <v>1120</v>
      </c>
      <c r="J906" s="129">
        <v>1.0</v>
      </c>
      <c r="K906" s="129">
        <v>1.0</v>
      </c>
      <c r="L906" s="128" t="s">
        <v>1108</v>
      </c>
      <c r="M906" s="128" t="s">
        <v>1110</v>
      </c>
      <c r="N906" s="129">
        <v>9.0</v>
      </c>
      <c r="O906" s="128"/>
      <c r="P906" s="129">
        <v>30.0</v>
      </c>
      <c r="Q906" s="128" t="s">
        <v>738</v>
      </c>
    </row>
    <row r="907">
      <c r="A907" s="129">
        <v>563.0</v>
      </c>
      <c r="B907" s="129">
        <v>2015.0</v>
      </c>
      <c r="C907" s="129">
        <v>-18.8</v>
      </c>
      <c r="D907" s="129">
        <v>27.25</v>
      </c>
      <c r="E907" s="129">
        <v>-110.083</v>
      </c>
      <c r="F907" s="128" t="s">
        <v>1113</v>
      </c>
      <c r="G907" s="128" t="s">
        <v>6002</v>
      </c>
      <c r="H907" s="128" t="s">
        <v>1121</v>
      </c>
      <c r="I907" s="128" t="s">
        <v>1121</v>
      </c>
      <c r="J907" s="129">
        <v>1.0</v>
      </c>
      <c r="K907" s="129">
        <v>1.0</v>
      </c>
      <c r="L907" s="128" t="s">
        <v>1108</v>
      </c>
      <c r="M907" s="128" t="s">
        <v>1110</v>
      </c>
      <c r="N907" s="129">
        <v>9.0</v>
      </c>
      <c r="O907" s="128"/>
      <c r="P907" s="129">
        <v>30.0</v>
      </c>
      <c r="Q907" s="128" t="s">
        <v>738</v>
      </c>
    </row>
    <row r="908">
      <c r="A908" s="129">
        <v>564.0</v>
      </c>
      <c r="B908" s="129">
        <v>2015.0</v>
      </c>
      <c r="C908" s="129">
        <v>-35.7</v>
      </c>
      <c r="D908" s="129">
        <v>27.25</v>
      </c>
      <c r="E908" s="129">
        <v>-110.083</v>
      </c>
      <c r="F908" s="128" t="s">
        <v>1122</v>
      </c>
      <c r="G908" s="128" t="s">
        <v>6002</v>
      </c>
      <c r="H908" s="128" t="s">
        <v>506</v>
      </c>
      <c r="I908" s="128" t="s">
        <v>506</v>
      </c>
      <c r="J908" s="129">
        <v>1.0</v>
      </c>
      <c r="K908" s="129">
        <v>1.0</v>
      </c>
      <c r="L908" s="128" t="s">
        <v>1108</v>
      </c>
      <c r="M908" s="128" t="s">
        <v>1110</v>
      </c>
      <c r="N908" s="129">
        <v>9.0</v>
      </c>
      <c r="O908" s="128"/>
      <c r="P908" s="129">
        <v>30.0</v>
      </c>
      <c r="Q908" s="128" t="s">
        <v>738</v>
      </c>
    </row>
    <row r="909">
      <c r="A909" s="129">
        <v>565.0</v>
      </c>
      <c r="B909" s="129">
        <v>2015.0</v>
      </c>
      <c r="C909" s="129">
        <v>8.6</v>
      </c>
      <c r="D909" s="129">
        <v>27.25</v>
      </c>
      <c r="E909" s="129">
        <v>-110.083</v>
      </c>
      <c r="F909" s="128" t="s">
        <v>1122</v>
      </c>
      <c r="G909" s="128" t="s">
        <v>6002</v>
      </c>
      <c r="H909" s="128" t="s">
        <v>1115</v>
      </c>
      <c r="I909" s="128" t="s">
        <v>1115</v>
      </c>
      <c r="J909" s="129">
        <v>1.0</v>
      </c>
      <c r="K909" s="129">
        <v>1.0</v>
      </c>
      <c r="L909" s="128" t="s">
        <v>1108</v>
      </c>
      <c r="M909" s="128" t="s">
        <v>1110</v>
      </c>
      <c r="N909" s="129">
        <v>9.0</v>
      </c>
      <c r="O909" s="128"/>
      <c r="P909" s="129">
        <v>30.0</v>
      </c>
      <c r="Q909" s="128" t="s">
        <v>738</v>
      </c>
    </row>
    <row r="910">
      <c r="A910" s="129">
        <v>566.0</v>
      </c>
      <c r="B910" s="129">
        <v>2015.0</v>
      </c>
      <c r="C910" s="129">
        <v>-11.9</v>
      </c>
      <c r="D910" s="129">
        <v>27.25</v>
      </c>
      <c r="E910" s="129">
        <v>-110.083</v>
      </c>
      <c r="F910" s="128" t="s">
        <v>1122</v>
      </c>
      <c r="G910" s="128" t="s">
        <v>6002</v>
      </c>
      <c r="H910" s="128" t="s">
        <v>1116</v>
      </c>
      <c r="I910" s="128" t="s">
        <v>1116</v>
      </c>
      <c r="J910" s="129">
        <v>1.0</v>
      </c>
      <c r="K910" s="129">
        <v>1.0</v>
      </c>
      <c r="L910" s="128" t="s">
        <v>1108</v>
      </c>
      <c r="M910" s="128" t="s">
        <v>1110</v>
      </c>
      <c r="N910" s="129">
        <v>9.0</v>
      </c>
      <c r="O910" s="128"/>
      <c r="P910" s="129">
        <v>30.0</v>
      </c>
      <c r="Q910" s="128" t="s">
        <v>738</v>
      </c>
    </row>
    <row r="911">
      <c r="A911" s="129">
        <v>567.0</v>
      </c>
      <c r="B911" s="129">
        <v>2015.0</v>
      </c>
      <c r="C911" s="129">
        <v>21.0</v>
      </c>
      <c r="D911" s="129">
        <v>27.25</v>
      </c>
      <c r="E911" s="129">
        <v>-110.083</v>
      </c>
      <c r="F911" s="128" t="s">
        <v>1122</v>
      </c>
      <c r="G911" s="128" t="s">
        <v>6002</v>
      </c>
      <c r="H911" s="128" t="s">
        <v>1117</v>
      </c>
      <c r="I911" s="128" t="s">
        <v>1117</v>
      </c>
      <c r="J911" s="129">
        <v>1.0</v>
      </c>
      <c r="K911" s="129">
        <v>1.0</v>
      </c>
      <c r="L911" s="128" t="s">
        <v>1108</v>
      </c>
      <c r="M911" s="128" t="s">
        <v>1110</v>
      </c>
      <c r="N911" s="129">
        <v>9.0</v>
      </c>
      <c r="O911" s="128"/>
      <c r="P911" s="129">
        <v>30.0</v>
      </c>
      <c r="Q911" s="128" t="s">
        <v>738</v>
      </c>
    </row>
    <row r="912">
      <c r="A912" s="129">
        <v>568.0</v>
      </c>
      <c r="B912" s="129">
        <v>2015.0</v>
      </c>
      <c r="C912" s="129">
        <v>9.8</v>
      </c>
      <c r="D912" s="129">
        <v>27.25</v>
      </c>
      <c r="E912" s="129">
        <v>-110.083</v>
      </c>
      <c r="F912" s="128" t="s">
        <v>1122</v>
      </c>
      <c r="G912" s="128" t="s">
        <v>6002</v>
      </c>
      <c r="H912" s="128" t="s">
        <v>1118</v>
      </c>
      <c r="I912" s="128" t="s">
        <v>1118</v>
      </c>
      <c r="J912" s="129">
        <v>1.0</v>
      </c>
      <c r="K912" s="129">
        <v>1.0</v>
      </c>
      <c r="L912" s="128" t="s">
        <v>1108</v>
      </c>
      <c r="M912" s="128" t="s">
        <v>1110</v>
      </c>
      <c r="N912" s="129">
        <v>9.0</v>
      </c>
      <c r="O912" s="128"/>
      <c r="P912" s="129">
        <v>30.0</v>
      </c>
      <c r="Q912" s="128" t="s">
        <v>738</v>
      </c>
    </row>
    <row r="913">
      <c r="A913" s="129">
        <v>569.0</v>
      </c>
      <c r="B913" s="129">
        <v>2015.0</v>
      </c>
      <c r="C913" s="129">
        <v>-8.2</v>
      </c>
      <c r="D913" s="129">
        <v>27.25</v>
      </c>
      <c r="E913" s="129">
        <v>-110.083</v>
      </c>
      <c r="F913" s="128" t="s">
        <v>1122</v>
      </c>
      <c r="G913" s="128" t="s">
        <v>6002</v>
      </c>
      <c r="H913" s="128" t="s">
        <v>1119</v>
      </c>
      <c r="I913" s="128" t="s">
        <v>1119</v>
      </c>
      <c r="J913" s="129">
        <v>1.0</v>
      </c>
      <c r="K913" s="129">
        <v>1.0</v>
      </c>
      <c r="L913" s="128" t="s">
        <v>1108</v>
      </c>
      <c r="M913" s="128" t="s">
        <v>1110</v>
      </c>
      <c r="N913" s="129">
        <v>9.0</v>
      </c>
      <c r="O913" s="128"/>
      <c r="P913" s="129">
        <v>30.0</v>
      </c>
      <c r="Q913" s="128" t="s">
        <v>738</v>
      </c>
    </row>
    <row r="914">
      <c r="A914" s="129">
        <v>570.0</v>
      </c>
      <c r="B914" s="129">
        <v>2015.0</v>
      </c>
      <c r="C914" s="129">
        <v>-7.9</v>
      </c>
      <c r="D914" s="129">
        <v>27.25</v>
      </c>
      <c r="E914" s="129">
        <v>-110.083</v>
      </c>
      <c r="F914" s="128" t="s">
        <v>1122</v>
      </c>
      <c r="G914" s="128" t="s">
        <v>6002</v>
      </c>
      <c r="H914" s="128" t="s">
        <v>1120</v>
      </c>
      <c r="I914" s="128" t="s">
        <v>1120</v>
      </c>
      <c r="J914" s="129">
        <v>1.0</v>
      </c>
      <c r="K914" s="129">
        <v>1.0</v>
      </c>
      <c r="L914" s="128" t="s">
        <v>1108</v>
      </c>
      <c r="M914" s="128" t="s">
        <v>1110</v>
      </c>
      <c r="N914" s="129">
        <v>9.0</v>
      </c>
      <c r="O914" s="128"/>
      <c r="P914" s="129">
        <v>30.0</v>
      </c>
      <c r="Q914" s="128" t="s">
        <v>738</v>
      </c>
    </row>
    <row r="915">
      <c r="A915" s="129">
        <v>571.0</v>
      </c>
      <c r="B915" s="129">
        <v>2015.0</v>
      </c>
      <c r="C915" s="129">
        <v>-18.8</v>
      </c>
      <c r="D915" s="129">
        <v>27.25</v>
      </c>
      <c r="E915" s="129">
        <v>-110.083</v>
      </c>
      <c r="F915" s="128" t="s">
        <v>1122</v>
      </c>
      <c r="G915" s="128" t="s">
        <v>6002</v>
      </c>
      <c r="H915" s="128" t="s">
        <v>1121</v>
      </c>
      <c r="I915" s="128" t="s">
        <v>1121</v>
      </c>
      <c r="J915" s="129">
        <v>1.0</v>
      </c>
      <c r="K915" s="129">
        <v>1.0</v>
      </c>
      <c r="L915" s="128" t="s">
        <v>1108</v>
      </c>
      <c r="M915" s="128" t="s">
        <v>1110</v>
      </c>
      <c r="N915" s="129">
        <v>9.0</v>
      </c>
      <c r="O915" s="128"/>
      <c r="P915" s="129">
        <v>30.0</v>
      </c>
      <c r="Q915" s="128" t="s">
        <v>738</v>
      </c>
    </row>
    <row r="916">
      <c r="A916" s="129">
        <v>288.0</v>
      </c>
      <c r="B916" s="129">
        <v>2019.0</v>
      </c>
      <c r="C916" s="129">
        <v>-7.0</v>
      </c>
      <c r="D916" s="129">
        <v>29.44</v>
      </c>
      <c r="E916" s="129">
        <v>-82.93</v>
      </c>
      <c r="F916" s="128" t="s">
        <v>737</v>
      </c>
      <c r="G916" s="128" t="s">
        <v>777</v>
      </c>
      <c r="H916" s="128" t="s">
        <v>328</v>
      </c>
      <c r="I916" s="128" t="s">
        <v>342</v>
      </c>
      <c r="J916" s="128"/>
      <c r="K916" s="129">
        <v>1.0</v>
      </c>
      <c r="L916" s="129">
        <v>1000.0</v>
      </c>
      <c r="M916" s="128" t="s">
        <v>777</v>
      </c>
      <c r="N916" s="129">
        <v>33.0</v>
      </c>
      <c r="O916" s="128"/>
      <c r="P916" s="129">
        <v>1000.0</v>
      </c>
      <c r="Q916" s="128" t="s">
        <v>738</v>
      </c>
    </row>
    <row r="917">
      <c r="A917" s="129">
        <v>1253.0</v>
      </c>
      <c r="B917" s="129">
        <v>2021.0</v>
      </c>
      <c r="C917" s="129">
        <v>0.8</v>
      </c>
      <c r="D917" s="129">
        <v>31.42694</v>
      </c>
      <c r="E917" s="129">
        <v>-8.65</v>
      </c>
      <c r="F917" s="128" t="s">
        <v>2247</v>
      </c>
      <c r="G917" s="128" t="s">
        <v>2251</v>
      </c>
      <c r="H917" s="128" t="s">
        <v>818</v>
      </c>
      <c r="I917" s="128" t="s">
        <v>914</v>
      </c>
      <c r="J917" s="128"/>
      <c r="K917" s="129">
        <v>1.0</v>
      </c>
      <c r="L917" s="128" t="s">
        <v>2250</v>
      </c>
      <c r="M917" s="128" t="s">
        <v>2252</v>
      </c>
      <c r="N917" s="129">
        <v>511.0</v>
      </c>
      <c r="O917" s="128"/>
      <c r="P917" s="128"/>
      <c r="Q917" s="128" t="s">
        <v>738</v>
      </c>
    </row>
    <row r="918">
      <c r="A918" s="129">
        <v>1250.0</v>
      </c>
      <c r="B918" s="129">
        <v>2021.0</v>
      </c>
      <c r="C918" s="129">
        <v>4.2</v>
      </c>
      <c r="D918" s="129">
        <v>31.59861</v>
      </c>
      <c r="E918" s="129">
        <v>-7.97222</v>
      </c>
      <c r="F918" s="128" t="s">
        <v>2236</v>
      </c>
      <c r="G918" s="128" t="s">
        <v>2243</v>
      </c>
      <c r="H918" s="128" t="s">
        <v>284</v>
      </c>
      <c r="I918" s="128" t="s">
        <v>363</v>
      </c>
      <c r="J918" s="128"/>
      <c r="K918" s="129">
        <v>1.0</v>
      </c>
      <c r="L918" s="128" t="s">
        <v>1981</v>
      </c>
      <c r="M918" s="128"/>
      <c r="N918" s="129">
        <v>491.0</v>
      </c>
      <c r="O918" s="128"/>
      <c r="P918" s="128"/>
      <c r="Q918" s="128" t="s">
        <v>738</v>
      </c>
    </row>
    <row r="919">
      <c r="A919" s="129">
        <v>1249.0</v>
      </c>
      <c r="B919" s="129">
        <v>2021.0</v>
      </c>
      <c r="C919" s="129">
        <v>16.5</v>
      </c>
      <c r="D919" s="129">
        <v>31.63889</v>
      </c>
      <c r="E919" s="129">
        <v>-7.6</v>
      </c>
      <c r="F919" s="128" t="s">
        <v>2236</v>
      </c>
      <c r="G919" s="128" t="s">
        <v>2242</v>
      </c>
      <c r="H919" s="128" t="s">
        <v>837</v>
      </c>
      <c r="I919" s="128" t="s">
        <v>168</v>
      </c>
      <c r="J919" s="128"/>
      <c r="K919" s="129">
        <v>1.0</v>
      </c>
      <c r="L919" s="128" t="s">
        <v>2241</v>
      </c>
      <c r="M919" s="128"/>
      <c r="N919" s="129">
        <v>590.0</v>
      </c>
      <c r="O919" s="128"/>
      <c r="P919" s="128"/>
      <c r="Q919" s="128" t="s">
        <v>738</v>
      </c>
    </row>
    <row r="920">
      <c r="A920" s="129">
        <v>1248.0</v>
      </c>
      <c r="B920" s="129">
        <v>2021.0</v>
      </c>
      <c r="C920" s="129">
        <v>0.02</v>
      </c>
      <c r="D920" s="129">
        <v>31.64167</v>
      </c>
      <c r="E920" s="129">
        <v>-7.60833</v>
      </c>
      <c r="F920" s="128" t="s">
        <v>2236</v>
      </c>
      <c r="G920" s="128" t="s">
        <v>2240</v>
      </c>
      <c r="H920" s="128" t="s">
        <v>837</v>
      </c>
      <c r="I920" s="128" t="s">
        <v>168</v>
      </c>
      <c r="J920" s="128"/>
      <c r="K920" s="129">
        <v>1.0</v>
      </c>
      <c r="L920" s="128" t="s">
        <v>2239</v>
      </c>
      <c r="M920" s="128"/>
      <c r="N920" s="129">
        <v>581.0</v>
      </c>
      <c r="O920" s="128"/>
      <c r="P920" s="128"/>
      <c r="Q920" s="128" t="s">
        <v>738</v>
      </c>
    </row>
    <row r="921">
      <c r="A921" s="129">
        <v>1251.0</v>
      </c>
      <c r="B921" s="129">
        <v>2021.0</v>
      </c>
      <c r="C921" s="129">
        <v>-1.8</v>
      </c>
      <c r="D921" s="129">
        <v>31.65833</v>
      </c>
      <c r="E921" s="129">
        <v>-7.60833</v>
      </c>
      <c r="F921" s="128" t="s">
        <v>2247</v>
      </c>
      <c r="G921" s="128" t="s">
        <v>2245</v>
      </c>
      <c r="H921" s="128" t="s">
        <v>284</v>
      </c>
      <c r="I921" s="128" t="s">
        <v>363</v>
      </c>
      <c r="J921" s="128"/>
      <c r="K921" s="129">
        <v>1.0</v>
      </c>
      <c r="L921" s="128" t="s">
        <v>2233</v>
      </c>
      <c r="M921" s="128" t="s">
        <v>2246</v>
      </c>
      <c r="N921" s="129">
        <v>573.0</v>
      </c>
      <c r="O921" s="128"/>
      <c r="P921" s="128"/>
      <c r="Q921" s="128" t="s">
        <v>738</v>
      </c>
    </row>
    <row r="922">
      <c r="A922" s="129">
        <v>1247.0</v>
      </c>
      <c r="B922" s="129">
        <v>2021.0</v>
      </c>
      <c r="C922" s="129">
        <v>0.2</v>
      </c>
      <c r="D922" s="129">
        <v>31.66667</v>
      </c>
      <c r="E922" s="129">
        <v>-7.59167</v>
      </c>
      <c r="F922" s="128" t="s">
        <v>2236</v>
      </c>
      <c r="G922" s="128" t="s">
        <v>2234</v>
      </c>
      <c r="H922" s="128" t="s">
        <v>284</v>
      </c>
      <c r="I922" s="128" t="s">
        <v>363</v>
      </c>
      <c r="J922" s="128"/>
      <c r="K922" s="129">
        <v>1.0</v>
      </c>
      <c r="L922" s="128" t="s">
        <v>2233</v>
      </c>
      <c r="M922" s="128"/>
      <c r="N922" s="129">
        <v>577.0</v>
      </c>
      <c r="O922" s="128"/>
      <c r="P922" s="128"/>
      <c r="Q922" s="128" t="s">
        <v>738</v>
      </c>
    </row>
    <row r="923">
      <c r="A923" s="129">
        <v>1252.0</v>
      </c>
      <c r="B923" s="129">
        <v>2021.0</v>
      </c>
      <c r="C923" s="129">
        <v>-9.9</v>
      </c>
      <c r="D923" s="129">
        <v>31.66806</v>
      </c>
      <c r="E923" s="129">
        <v>-7.59583</v>
      </c>
      <c r="F923" s="128" t="s">
        <v>2247</v>
      </c>
      <c r="G923" s="128" t="s">
        <v>2248</v>
      </c>
      <c r="H923" s="128" t="s">
        <v>284</v>
      </c>
      <c r="I923" s="128" t="s">
        <v>363</v>
      </c>
      <c r="J923" s="128"/>
      <c r="K923" s="129">
        <v>1.0</v>
      </c>
      <c r="L923" s="128" t="s">
        <v>2233</v>
      </c>
      <c r="M923" s="128" t="s">
        <v>2249</v>
      </c>
      <c r="N923" s="129">
        <v>575.0</v>
      </c>
      <c r="O923" s="128"/>
      <c r="P923" s="128"/>
      <c r="Q923" s="128" t="s">
        <v>738</v>
      </c>
    </row>
    <row r="924">
      <c r="A924" s="129">
        <v>1254.0</v>
      </c>
      <c r="B924" s="129">
        <v>2021.0</v>
      </c>
      <c r="C924" s="129">
        <v>-11.6</v>
      </c>
      <c r="D924" s="129">
        <v>31.66944</v>
      </c>
      <c r="E924" s="129">
        <v>-7.6</v>
      </c>
      <c r="F924" s="128" t="s">
        <v>2247</v>
      </c>
      <c r="G924" s="128" t="s">
        <v>2254</v>
      </c>
      <c r="H924" s="128" t="s">
        <v>317</v>
      </c>
      <c r="I924" s="128" t="s">
        <v>285</v>
      </c>
      <c r="J924" s="128"/>
      <c r="K924" s="129">
        <v>1.0</v>
      </c>
      <c r="L924" s="128" t="s">
        <v>2253</v>
      </c>
      <c r="M924" s="128" t="s">
        <v>2255</v>
      </c>
      <c r="N924" s="129">
        <v>570.0</v>
      </c>
      <c r="O924" s="128"/>
      <c r="P924" s="128"/>
      <c r="Q924" s="128" t="s">
        <v>738</v>
      </c>
    </row>
    <row r="925">
      <c r="A925" s="129">
        <v>1592.0</v>
      </c>
      <c r="B925" s="129">
        <v>2020.0</v>
      </c>
      <c r="C925" s="129">
        <v>27.7</v>
      </c>
      <c r="D925" s="129">
        <v>33.439</v>
      </c>
      <c r="E925" s="129">
        <v>-112.643</v>
      </c>
      <c r="F925" s="128" t="s">
        <v>2626</v>
      </c>
      <c r="G925" s="128" t="s">
        <v>2623</v>
      </c>
      <c r="H925" s="128" t="s">
        <v>2620</v>
      </c>
      <c r="I925" s="128" t="s">
        <v>2621</v>
      </c>
      <c r="J925" s="128"/>
      <c r="K925" s="129">
        <v>1.0</v>
      </c>
      <c r="L925" s="128" t="s">
        <v>2619</v>
      </c>
      <c r="M925" s="128" t="s">
        <v>2623</v>
      </c>
      <c r="N925" s="129">
        <v>334.0</v>
      </c>
      <c r="O925" s="128"/>
      <c r="P925" s="128" t="s">
        <v>2619</v>
      </c>
      <c r="Q925" s="128" t="s">
        <v>738</v>
      </c>
    </row>
    <row r="926">
      <c r="A926" s="129">
        <v>1593.0</v>
      </c>
      <c r="B926" s="129">
        <v>2020.0</v>
      </c>
      <c r="C926" s="129">
        <v>18.0</v>
      </c>
      <c r="D926" s="129">
        <v>33.439</v>
      </c>
      <c r="E926" s="129">
        <v>-112.643</v>
      </c>
      <c r="F926" s="128" t="s">
        <v>2626</v>
      </c>
      <c r="G926" s="128" t="s">
        <v>2623</v>
      </c>
      <c r="H926" s="128" t="s">
        <v>2621</v>
      </c>
      <c r="I926" s="128" t="s">
        <v>2628</v>
      </c>
      <c r="J926" s="128"/>
      <c r="K926" s="129">
        <v>1.0</v>
      </c>
      <c r="L926" s="128" t="s">
        <v>2619</v>
      </c>
      <c r="M926" s="128" t="s">
        <v>2623</v>
      </c>
      <c r="N926" s="129">
        <v>334.0</v>
      </c>
      <c r="O926" s="128"/>
      <c r="P926" s="128" t="s">
        <v>2619</v>
      </c>
      <c r="Q926" s="128" t="s">
        <v>738</v>
      </c>
    </row>
    <row r="927">
      <c r="A927" s="129">
        <v>1594.0</v>
      </c>
      <c r="B927" s="129">
        <v>2020.0</v>
      </c>
      <c r="C927" s="129">
        <v>22.0</v>
      </c>
      <c r="D927" s="129">
        <v>33.439</v>
      </c>
      <c r="E927" s="129">
        <v>-112.643</v>
      </c>
      <c r="F927" s="128" t="s">
        <v>2626</v>
      </c>
      <c r="G927" s="128" t="s">
        <v>2623</v>
      </c>
      <c r="H927" s="128" t="s">
        <v>2628</v>
      </c>
      <c r="I927" s="128" t="s">
        <v>2630</v>
      </c>
      <c r="J927" s="128"/>
      <c r="K927" s="129">
        <v>1.0</v>
      </c>
      <c r="L927" s="128" t="s">
        <v>2619</v>
      </c>
      <c r="M927" s="128" t="s">
        <v>2623</v>
      </c>
      <c r="N927" s="129">
        <v>334.0</v>
      </c>
      <c r="O927" s="128"/>
      <c r="P927" s="128" t="s">
        <v>2619</v>
      </c>
      <c r="Q927" s="128" t="s">
        <v>738</v>
      </c>
    </row>
    <row r="928">
      <c r="A928" s="129">
        <v>1595.0</v>
      </c>
      <c r="B928" s="129">
        <v>2020.0</v>
      </c>
      <c r="C928" s="129">
        <v>21.4</v>
      </c>
      <c r="D928" s="129">
        <v>33.439</v>
      </c>
      <c r="E928" s="129">
        <v>-112.643</v>
      </c>
      <c r="F928" s="128" t="s">
        <v>2626</v>
      </c>
      <c r="G928" s="128" t="s">
        <v>2623</v>
      </c>
      <c r="H928" s="128" t="s">
        <v>2620</v>
      </c>
      <c r="I928" s="128" t="s">
        <v>2630</v>
      </c>
      <c r="J928" s="129">
        <v>141.0</v>
      </c>
      <c r="K928" s="129">
        <v>1.0</v>
      </c>
      <c r="L928" s="128" t="s">
        <v>2619</v>
      </c>
      <c r="M928" s="128" t="s">
        <v>2623</v>
      </c>
      <c r="N928" s="129">
        <v>334.0</v>
      </c>
      <c r="O928" s="128"/>
      <c r="P928" s="128" t="s">
        <v>2619</v>
      </c>
      <c r="Q928" s="128" t="s">
        <v>738</v>
      </c>
    </row>
    <row r="929">
      <c r="A929" s="129">
        <v>287.0</v>
      </c>
      <c r="B929" s="129">
        <v>2019.0</v>
      </c>
      <c r="C929" s="129">
        <v>13.0</v>
      </c>
      <c r="D929" s="129">
        <v>35.5841</v>
      </c>
      <c r="E929" s="129">
        <v>-79.0539</v>
      </c>
      <c r="F929" s="128" t="s">
        <v>737</v>
      </c>
      <c r="G929" s="128" t="s">
        <v>773</v>
      </c>
      <c r="H929" s="128" t="s">
        <v>328</v>
      </c>
      <c r="I929" s="128" t="s">
        <v>342</v>
      </c>
      <c r="J929" s="128"/>
      <c r="K929" s="129">
        <v>1.0</v>
      </c>
      <c r="L929" s="129">
        <v>1000.0</v>
      </c>
      <c r="M929" s="128" t="s">
        <v>774</v>
      </c>
      <c r="N929" s="129">
        <v>53.0</v>
      </c>
      <c r="O929" s="128"/>
      <c r="P929" s="129">
        <v>1000.0</v>
      </c>
      <c r="Q929" s="128" t="s">
        <v>738</v>
      </c>
    </row>
    <row r="930">
      <c r="A930" s="129">
        <v>1628.0</v>
      </c>
      <c r="B930" s="129">
        <v>2017.0</v>
      </c>
      <c r="C930" s="129">
        <v>-6.2</v>
      </c>
      <c r="D930" s="129">
        <v>36.0314</v>
      </c>
      <c r="E930" s="129">
        <v>140.0137</v>
      </c>
      <c r="F930" s="128" t="s">
        <v>2676</v>
      </c>
      <c r="G930" s="128" t="s">
        <v>1193</v>
      </c>
      <c r="H930" s="128" t="s">
        <v>295</v>
      </c>
      <c r="I930" s="128" t="s">
        <v>194</v>
      </c>
      <c r="J930" s="128"/>
      <c r="K930" s="129">
        <v>1.0</v>
      </c>
      <c r="L930" s="129">
        <v>1000.0</v>
      </c>
      <c r="M930" s="128" t="s">
        <v>1194</v>
      </c>
      <c r="N930" s="129">
        <v>11.0</v>
      </c>
      <c r="O930" s="129">
        <v>200.0</v>
      </c>
      <c r="P930" s="129">
        <v>1000.0</v>
      </c>
      <c r="Q930" s="128" t="s">
        <v>738</v>
      </c>
    </row>
    <row r="931">
      <c r="A931" s="129">
        <v>1627.0</v>
      </c>
      <c r="B931" s="129">
        <v>2017.0</v>
      </c>
      <c r="C931" s="129">
        <v>44.6</v>
      </c>
      <c r="D931" s="129">
        <v>37.0935</v>
      </c>
      <c r="E931" s="129">
        <v>127.391</v>
      </c>
      <c r="F931" s="128" t="s">
        <v>2676</v>
      </c>
      <c r="G931" s="128" t="s">
        <v>2670</v>
      </c>
      <c r="H931" s="128" t="s">
        <v>167</v>
      </c>
      <c r="I931" s="128" t="s">
        <v>244</v>
      </c>
      <c r="J931" s="128"/>
      <c r="K931" s="129">
        <v>1.0</v>
      </c>
      <c r="L931" s="129">
        <v>1000.0</v>
      </c>
      <c r="M931" s="128" t="s">
        <v>2671</v>
      </c>
      <c r="N931" s="129">
        <v>132.0</v>
      </c>
      <c r="O931" s="129">
        <v>200.0</v>
      </c>
      <c r="P931" s="129">
        <v>1000.0</v>
      </c>
      <c r="Q931" s="128" t="s">
        <v>738</v>
      </c>
    </row>
    <row r="932">
      <c r="A932" s="129">
        <v>1234.0</v>
      </c>
      <c r="B932" s="129">
        <v>2019.0</v>
      </c>
      <c r="C932" s="129">
        <v>40.0</v>
      </c>
      <c r="D932" s="129">
        <v>37.33333</v>
      </c>
      <c r="E932" s="129">
        <v>14.88333</v>
      </c>
      <c r="F932" s="128" t="s">
        <v>2183</v>
      </c>
      <c r="G932" s="128" t="s">
        <v>2176</v>
      </c>
      <c r="H932" s="128" t="s">
        <v>2174</v>
      </c>
      <c r="I932" s="128" t="s">
        <v>2175</v>
      </c>
      <c r="J932" s="129">
        <v>11.0</v>
      </c>
      <c r="K932" s="129">
        <v>1.0</v>
      </c>
      <c r="L932" s="129">
        <v>10.0</v>
      </c>
      <c r="M932" s="128" t="s">
        <v>2177</v>
      </c>
      <c r="N932" s="129">
        <v>76.0</v>
      </c>
      <c r="O932" s="128"/>
      <c r="P932" s="129">
        <v>10.0</v>
      </c>
      <c r="Q932" s="128" t="s">
        <v>738</v>
      </c>
    </row>
    <row r="933">
      <c r="A933" s="129">
        <v>1233.0</v>
      </c>
      <c r="B933" s="129">
        <v>2019.0</v>
      </c>
      <c r="C933" s="129">
        <v>60.0</v>
      </c>
      <c r="D933" s="129">
        <v>37.33333</v>
      </c>
      <c r="E933" s="129">
        <v>14.88333</v>
      </c>
      <c r="F933" s="128" t="s">
        <v>2179</v>
      </c>
      <c r="G933" s="128" t="s">
        <v>2176</v>
      </c>
      <c r="H933" s="128" t="s">
        <v>2174</v>
      </c>
      <c r="I933" s="128" t="s">
        <v>2175</v>
      </c>
      <c r="J933" s="129">
        <v>11.0</v>
      </c>
      <c r="K933" s="129">
        <v>1.0</v>
      </c>
      <c r="L933" s="129">
        <v>10.0</v>
      </c>
      <c r="M933" s="128" t="s">
        <v>2177</v>
      </c>
      <c r="N933" s="129">
        <v>76.0</v>
      </c>
      <c r="O933" s="128"/>
      <c r="P933" s="129">
        <v>10.0</v>
      </c>
      <c r="Q933" s="128" t="s">
        <v>738</v>
      </c>
    </row>
    <row r="934">
      <c r="A934" s="129">
        <v>1629.0</v>
      </c>
      <c r="B934" s="129">
        <v>2017.0</v>
      </c>
      <c r="C934" s="129">
        <v>35.0</v>
      </c>
      <c r="D934" s="129">
        <v>37.562</v>
      </c>
      <c r="E934" s="129">
        <v>126.5717</v>
      </c>
      <c r="F934" s="128" t="s">
        <v>2676</v>
      </c>
      <c r="G934" s="128" t="s">
        <v>2680</v>
      </c>
      <c r="H934" s="128" t="s">
        <v>167</v>
      </c>
      <c r="I934" s="128" t="s">
        <v>244</v>
      </c>
      <c r="J934" s="128"/>
      <c r="K934" s="129">
        <v>1.0</v>
      </c>
      <c r="L934" s="129">
        <v>1000.0</v>
      </c>
      <c r="M934" s="128" t="s">
        <v>1445</v>
      </c>
      <c r="N934" s="129">
        <v>0.0</v>
      </c>
      <c r="O934" s="129">
        <v>200.0</v>
      </c>
      <c r="P934" s="129">
        <v>1000.0</v>
      </c>
      <c r="Q934" s="128" t="s">
        <v>738</v>
      </c>
    </row>
    <row r="935">
      <c r="A935" s="129">
        <v>1616.0</v>
      </c>
      <c r="B935" s="129">
        <v>2021.0</v>
      </c>
      <c r="C935" s="129">
        <v>-60.0</v>
      </c>
      <c r="D935" s="129">
        <v>38.04</v>
      </c>
      <c r="E935" s="129">
        <v>100.46</v>
      </c>
      <c r="F935" s="128" t="s">
        <v>2648</v>
      </c>
      <c r="G935" s="128" t="s">
        <v>1256</v>
      </c>
      <c r="H935" s="128"/>
      <c r="I935" s="128"/>
      <c r="J935" s="128"/>
      <c r="K935" s="129">
        <v>1.0</v>
      </c>
      <c r="L935" s="129">
        <v>1000.0</v>
      </c>
      <c r="M935" s="128" t="s">
        <v>1256</v>
      </c>
      <c r="N935" s="129">
        <v>3028.0</v>
      </c>
      <c r="O935" s="128"/>
      <c r="P935" s="128"/>
      <c r="Q935" s="128" t="s">
        <v>738</v>
      </c>
    </row>
    <row r="936">
      <c r="A936" s="129">
        <v>876.0</v>
      </c>
      <c r="B936" s="129">
        <v>2014.0</v>
      </c>
      <c r="C936" s="129">
        <v>15.1</v>
      </c>
      <c r="D936" s="129">
        <v>38.24046</v>
      </c>
      <c r="E936" s="129">
        <v>-7.4304</v>
      </c>
      <c r="F936" s="128" t="s">
        <v>1651</v>
      </c>
      <c r="G936" s="128" t="s">
        <v>1646</v>
      </c>
      <c r="H936" s="128" t="s">
        <v>1644</v>
      </c>
      <c r="I936" s="128" t="s">
        <v>1645</v>
      </c>
      <c r="J936" s="129">
        <v>28.0</v>
      </c>
      <c r="K936" s="129">
        <v>1.0</v>
      </c>
      <c r="L936" s="128"/>
      <c r="M936" s="128" t="s">
        <v>1647</v>
      </c>
      <c r="N936" s="129">
        <v>125.0</v>
      </c>
      <c r="O936" s="128"/>
      <c r="P936" s="128"/>
      <c r="Q936" s="128" t="s">
        <v>738</v>
      </c>
    </row>
    <row r="937">
      <c r="A937" s="129">
        <v>1622.0</v>
      </c>
      <c r="B937" s="129">
        <v>2021.0</v>
      </c>
      <c r="C937" s="129">
        <v>3.2</v>
      </c>
      <c r="D937" s="129">
        <v>38.85</v>
      </c>
      <c r="E937" s="129">
        <v>100.37</v>
      </c>
      <c r="F937" s="128" t="s">
        <v>2648</v>
      </c>
      <c r="G937" s="128" t="s">
        <v>905</v>
      </c>
      <c r="H937" s="128"/>
      <c r="I937" s="128"/>
      <c r="J937" s="128"/>
      <c r="K937" s="129">
        <v>1.0</v>
      </c>
      <c r="L937" s="129">
        <v>1000.0</v>
      </c>
      <c r="M937" s="128" t="s">
        <v>905</v>
      </c>
      <c r="N937" s="129">
        <v>1566.0</v>
      </c>
      <c r="O937" s="128"/>
      <c r="P937" s="128"/>
      <c r="Q937" s="128" t="s">
        <v>738</v>
      </c>
    </row>
    <row r="938">
      <c r="A938" s="129">
        <v>1619.0</v>
      </c>
      <c r="B938" s="129">
        <v>2021.0</v>
      </c>
      <c r="C938" s="129">
        <v>45.5</v>
      </c>
      <c r="D938" s="129">
        <v>38.875</v>
      </c>
      <c r="E938" s="129">
        <v>100.375</v>
      </c>
      <c r="F938" s="128" t="s">
        <v>2648</v>
      </c>
      <c r="G938" s="128" t="s">
        <v>5989</v>
      </c>
      <c r="J938" s="128"/>
      <c r="K938" s="129">
        <v>1.0</v>
      </c>
      <c r="L938" s="129">
        <v>1000.0</v>
      </c>
      <c r="M938" s="128" t="s">
        <v>257</v>
      </c>
      <c r="N938" s="129">
        <v>1554.0</v>
      </c>
      <c r="O938" s="128"/>
      <c r="P938" s="128"/>
      <c r="Q938" s="128" t="s">
        <v>738</v>
      </c>
    </row>
    <row r="939">
      <c r="A939" s="129">
        <v>1630.0</v>
      </c>
      <c r="B939" s="129">
        <v>2017.0</v>
      </c>
      <c r="C939" s="129">
        <v>54.3</v>
      </c>
      <c r="D939" s="129">
        <v>41.4149</v>
      </c>
      <c r="E939" s="129">
        <v>127.4255</v>
      </c>
      <c r="F939" s="128" t="s">
        <v>2676</v>
      </c>
      <c r="G939" s="128" t="s">
        <v>2683</v>
      </c>
      <c r="H939" s="128" t="s">
        <v>317</v>
      </c>
      <c r="I939" s="128" t="s">
        <v>194</v>
      </c>
      <c r="J939" s="128"/>
      <c r="K939" s="129">
        <v>1.0</v>
      </c>
      <c r="L939" s="129">
        <v>1000.0</v>
      </c>
      <c r="M939" s="128" t="s">
        <v>860</v>
      </c>
      <c r="N939" s="129">
        <v>632.0</v>
      </c>
      <c r="O939" s="129">
        <v>200.0</v>
      </c>
      <c r="P939" s="129">
        <v>1000.0</v>
      </c>
      <c r="Q939" s="128" t="s">
        <v>738</v>
      </c>
    </row>
    <row r="940">
      <c r="A940" s="129">
        <v>286.0</v>
      </c>
      <c r="B940" s="129">
        <v>2019.0</v>
      </c>
      <c r="C940" s="129">
        <v>87.0</v>
      </c>
      <c r="D940" s="129">
        <v>44.2956</v>
      </c>
      <c r="E940" s="129">
        <v>-121.373</v>
      </c>
      <c r="F940" s="128" t="s">
        <v>737</v>
      </c>
      <c r="G940" s="128" t="s">
        <v>769</v>
      </c>
      <c r="H940" s="128" t="s">
        <v>328</v>
      </c>
      <c r="I940" s="128" t="s">
        <v>342</v>
      </c>
      <c r="J940" s="128"/>
      <c r="K940" s="129">
        <v>1.0</v>
      </c>
      <c r="L940" s="129">
        <v>1000.0</v>
      </c>
      <c r="M940" s="128" t="s">
        <v>770</v>
      </c>
      <c r="N940" s="129">
        <v>925.0</v>
      </c>
      <c r="O940" s="128"/>
      <c r="P940" s="129">
        <v>1000.0</v>
      </c>
      <c r="Q940" s="128" t="s">
        <v>738</v>
      </c>
    </row>
    <row r="941">
      <c r="A941" s="129">
        <v>285.0</v>
      </c>
      <c r="B941" s="129">
        <v>2019.0</v>
      </c>
      <c r="C941" s="129">
        <v>73.0</v>
      </c>
      <c r="D941" s="129">
        <v>49.3201</v>
      </c>
      <c r="E941" s="129">
        <v>-124.541</v>
      </c>
      <c r="F941" s="128" t="s">
        <v>737</v>
      </c>
      <c r="G941" s="128" t="s">
        <v>765</v>
      </c>
      <c r="H941" s="128" t="s">
        <v>328</v>
      </c>
      <c r="I941" s="128" t="s">
        <v>342</v>
      </c>
      <c r="J941" s="128"/>
      <c r="K941" s="129">
        <v>1.0</v>
      </c>
      <c r="L941" s="129">
        <v>1000.0</v>
      </c>
      <c r="M941" s="128" t="s">
        <v>766</v>
      </c>
      <c r="N941" s="129">
        <v>146.0</v>
      </c>
      <c r="O941" s="128"/>
      <c r="P941" s="129">
        <v>1000.0</v>
      </c>
      <c r="Q941" s="128" t="s">
        <v>738</v>
      </c>
    </row>
    <row r="942">
      <c r="A942" s="129">
        <v>284.0</v>
      </c>
      <c r="B942" s="129">
        <v>2019.0</v>
      </c>
      <c r="C942" s="129">
        <v>131.0</v>
      </c>
      <c r="D942" s="129">
        <v>49.52011</v>
      </c>
      <c r="E942" s="129">
        <v>-125.16</v>
      </c>
      <c r="F942" s="128" t="s">
        <v>737</v>
      </c>
      <c r="G942" s="128" t="s">
        <v>761</v>
      </c>
      <c r="H942" s="128" t="s">
        <v>328</v>
      </c>
      <c r="I942" s="128" t="s">
        <v>342</v>
      </c>
      <c r="J942" s="128"/>
      <c r="K942" s="129">
        <v>1.0</v>
      </c>
      <c r="L942" s="129">
        <v>1000.0</v>
      </c>
      <c r="M942" s="128" t="s">
        <v>762</v>
      </c>
      <c r="N942" s="129">
        <v>612.0</v>
      </c>
      <c r="O942" s="128"/>
      <c r="P942" s="129">
        <v>1000.0</v>
      </c>
      <c r="Q942" s="128" t="s">
        <v>738</v>
      </c>
    </row>
    <row r="943">
      <c r="A943" s="129">
        <v>283.0</v>
      </c>
      <c r="B943" s="129">
        <v>2019.0</v>
      </c>
      <c r="C943" s="129">
        <v>71.0</v>
      </c>
      <c r="D943" s="129">
        <v>49.52078</v>
      </c>
      <c r="E943" s="129">
        <v>-125.201</v>
      </c>
      <c r="F943" s="128" t="s">
        <v>737</v>
      </c>
      <c r="G943" s="128" t="s">
        <v>757</v>
      </c>
      <c r="H943" s="128" t="s">
        <v>328</v>
      </c>
      <c r="I943" s="128" t="s">
        <v>342</v>
      </c>
      <c r="J943" s="128"/>
      <c r="K943" s="129">
        <v>1.0</v>
      </c>
      <c r="L943" s="129">
        <v>1000.0</v>
      </c>
      <c r="M943" s="128" t="s">
        <v>758</v>
      </c>
      <c r="N943" s="129">
        <v>948.0</v>
      </c>
      <c r="O943" s="128"/>
      <c r="P943" s="129">
        <v>1000.0</v>
      </c>
      <c r="Q943" s="128" t="s">
        <v>738</v>
      </c>
    </row>
    <row r="944">
      <c r="A944" s="129">
        <v>282.0</v>
      </c>
      <c r="B944" s="129">
        <v>2019.0</v>
      </c>
      <c r="C944" s="129">
        <v>137.0</v>
      </c>
      <c r="D944" s="129">
        <v>53.7</v>
      </c>
      <c r="E944" s="129">
        <v>-106.2</v>
      </c>
      <c r="F944" s="128" t="s">
        <v>737</v>
      </c>
      <c r="G944" s="128" t="s">
        <v>754</v>
      </c>
      <c r="H944" s="128" t="s">
        <v>328</v>
      </c>
      <c r="I944" s="128" t="s">
        <v>342</v>
      </c>
      <c r="J944" s="128"/>
      <c r="K944" s="129">
        <v>1.0</v>
      </c>
      <c r="L944" s="129">
        <v>1000.0</v>
      </c>
      <c r="M944" s="128" t="s">
        <v>754</v>
      </c>
      <c r="N944" s="129">
        <v>581.0</v>
      </c>
      <c r="O944" s="128"/>
      <c r="P944" s="129">
        <v>1000.0</v>
      </c>
      <c r="Q944" s="128" t="s">
        <v>738</v>
      </c>
    </row>
    <row r="945">
      <c r="A945" s="129">
        <v>281.0</v>
      </c>
      <c r="B945" s="129">
        <v>2019.0</v>
      </c>
      <c r="C945" s="129">
        <v>-35.0</v>
      </c>
      <c r="D945" s="129">
        <v>63.9198</v>
      </c>
      <c r="E945" s="129">
        <v>-145.378</v>
      </c>
      <c r="F945" s="128" t="s">
        <v>737</v>
      </c>
      <c r="G945" s="128" t="s">
        <v>749</v>
      </c>
      <c r="H945" s="128" t="s">
        <v>328</v>
      </c>
      <c r="I945" s="128" t="s">
        <v>342</v>
      </c>
      <c r="J945" s="128"/>
      <c r="K945" s="129">
        <v>1.0</v>
      </c>
      <c r="L945" s="129">
        <v>1000.0</v>
      </c>
      <c r="M945" s="128" t="s">
        <v>750</v>
      </c>
      <c r="O945" s="128"/>
      <c r="P945" s="129">
        <v>1000.0</v>
      </c>
      <c r="Q945" s="128" t="s">
        <v>738</v>
      </c>
    </row>
    <row r="946">
      <c r="A946" s="129">
        <v>665.0</v>
      </c>
      <c r="B946" s="129">
        <v>2013.0</v>
      </c>
      <c r="C946" s="129">
        <v>6.1</v>
      </c>
      <c r="D946" s="129">
        <v>35.09</v>
      </c>
      <c r="E946" s="129">
        <v>-111.76</v>
      </c>
      <c r="F946" s="128" t="s">
        <v>1306</v>
      </c>
      <c r="G946" s="128" t="s">
        <v>322</v>
      </c>
      <c r="H946" s="128" t="s">
        <v>317</v>
      </c>
      <c r="I946" s="128" t="s">
        <v>342</v>
      </c>
      <c r="J946" s="129">
        <v>44.0</v>
      </c>
      <c r="K946" s="129">
        <v>1.0</v>
      </c>
      <c r="L946" s="129">
        <v>3000.0</v>
      </c>
      <c r="M946" s="128" t="s">
        <v>323</v>
      </c>
      <c r="N946" s="129">
        <v>2229.0</v>
      </c>
      <c r="O946" s="129">
        <v>3000.0</v>
      </c>
      <c r="P946" s="129">
        <v>1000.0</v>
      </c>
      <c r="Q946" s="128" t="s">
        <v>1095</v>
      </c>
    </row>
    <row r="947">
      <c r="A947" s="129">
        <v>664.0</v>
      </c>
      <c r="B947" s="129">
        <v>2013.0</v>
      </c>
      <c r="C947" s="129">
        <v>14.1</v>
      </c>
      <c r="D947" s="129">
        <v>35.8118</v>
      </c>
      <c r="E947" s="129">
        <v>-76.7119</v>
      </c>
      <c r="F947" s="128" t="s">
        <v>1306</v>
      </c>
      <c r="G947" s="128" t="s">
        <v>546</v>
      </c>
      <c r="H947" s="128" t="s">
        <v>317</v>
      </c>
      <c r="I947" s="128" t="s">
        <v>285</v>
      </c>
      <c r="J947" s="128"/>
      <c r="K947" s="129">
        <v>1.0</v>
      </c>
      <c r="L947" s="129">
        <v>3000.0</v>
      </c>
      <c r="M947" s="128" t="s">
        <v>547</v>
      </c>
      <c r="N947" s="129">
        <v>26.0</v>
      </c>
      <c r="O947" s="129">
        <v>3000.0</v>
      </c>
      <c r="P947" s="129">
        <v>1000.0</v>
      </c>
      <c r="Q947" s="128" t="s">
        <v>1095</v>
      </c>
    </row>
    <row r="948">
      <c r="A948" s="129">
        <v>668.0</v>
      </c>
      <c r="B948" s="129">
        <v>2013.0</v>
      </c>
      <c r="C948" s="129">
        <v>38.6</v>
      </c>
      <c r="D948" s="129">
        <v>38.41</v>
      </c>
      <c r="E948" s="129">
        <v>-120.95</v>
      </c>
      <c r="F948" s="128" t="s">
        <v>1306</v>
      </c>
      <c r="G948" s="128" t="s">
        <v>1339</v>
      </c>
      <c r="H948" s="128" t="s">
        <v>328</v>
      </c>
      <c r="I948" s="128" t="s">
        <v>342</v>
      </c>
      <c r="J948" s="128"/>
      <c r="K948" s="129">
        <v>1.0</v>
      </c>
      <c r="L948" s="129">
        <v>3000.0</v>
      </c>
      <c r="M948" s="128" t="s">
        <v>1340</v>
      </c>
      <c r="N948" s="129">
        <v>154.0</v>
      </c>
      <c r="O948" s="129">
        <v>3000.0</v>
      </c>
      <c r="P948" s="129">
        <v>1000.0</v>
      </c>
      <c r="Q948" s="128" t="s">
        <v>1095</v>
      </c>
    </row>
    <row r="949">
      <c r="A949" s="129">
        <v>653.0</v>
      </c>
      <c r="B949" s="129">
        <v>2013.0</v>
      </c>
      <c r="C949" s="129">
        <v>10.1</v>
      </c>
      <c r="D949" s="129">
        <v>38.74</v>
      </c>
      <c r="E949" s="129">
        <v>-92.2</v>
      </c>
      <c r="F949" s="128" t="s">
        <v>1306</v>
      </c>
      <c r="G949" s="128" t="s">
        <v>1312</v>
      </c>
      <c r="H949" s="128" t="s">
        <v>295</v>
      </c>
      <c r="I949" s="128" t="s">
        <v>342</v>
      </c>
      <c r="J949" s="128"/>
      <c r="K949" s="129">
        <v>1.0</v>
      </c>
      <c r="L949" s="129">
        <v>3000.0</v>
      </c>
      <c r="M949" s="128" t="s">
        <v>6003</v>
      </c>
      <c r="N949" s="129">
        <v>215.0</v>
      </c>
      <c r="O949" s="129">
        <v>3000.0</v>
      </c>
      <c r="P949" s="129">
        <v>1000.0</v>
      </c>
      <c r="Q949" s="128" t="s">
        <v>1095</v>
      </c>
    </row>
    <row r="950">
      <c r="A950" s="129">
        <v>651.0</v>
      </c>
      <c r="B950" s="129">
        <v>2013.0</v>
      </c>
      <c r="C950" s="129">
        <v>2.7</v>
      </c>
      <c r="D950" s="129">
        <v>39.3232</v>
      </c>
      <c r="E950" s="129">
        <v>-86.4131</v>
      </c>
      <c r="F950" s="128" t="s">
        <v>1306</v>
      </c>
      <c r="G950" s="128" t="s">
        <v>1309</v>
      </c>
      <c r="H950" s="128" t="s">
        <v>328</v>
      </c>
      <c r="I950" s="128" t="s">
        <v>285</v>
      </c>
      <c r="J950" s="128"/>
      <c r="K950" s="129">
        <v>1.0</v>
      </c>
      <c r="L950" s="129">
        <v>3000.0</v>
      </c>
      <c r="M950" s="128" t="s">
        <v>1310</v>
      </c>
      <c r="N950" s="129">
        <v>297.0</v>
      </c>
      <c r="O950" s="129">
        <v>3000.0</v>
      </c>
      <c r="P950" s="129">
        <v>1000.0</v>
      </c>
      <c r="Q950" s="128" t="s">
        <v>1095</v>
      </c>
    </row>
    <row r="951">
      <c r="A951" s="129">
        <v>1784.0</v>
      </c>
      <c r="B951" s="129">
        <v>2011.0</v>
      </c>
      <c r="C951" s="129">
        <v>-11.4</v>
      </c>
      <c r="D951" s="129">
        <v>41.95</v>
      </c>
      <c r="E951" s="129">
        <v>-93.69</v>
      </c>
      <c r="F951" s="128" t="s">
        <v>6004</v>
      </c>
      <c r="G951" s="128" t="s">
        <v>2043</v>
      </c>
      <c r="H951" s="128" t="s">
        <v>2818</v>
      </c>
      <c r="I951" s="128" t="s">
        <v>150</v>
      </c>
      <c r="J951" s="128"/>
      <c r="K951" s="129">
        <v>1.0</v>
      </c>
      <c r="L951" s="129">
        <v>25000.0</v>
      </c>
      <c r="M951" s="128" t="s">
        <v>2044</v>
      </c>
      <c r="N951" s="129">
        <v>315.0</v>
      </c>
      <c r="O951" s="128"/>
      <c r="P951" s="129">
        <v>25000.0</v>
      </c>
      <c r="Q951" s="128" t="s">
        <v>1095</v>
      </c>
    </row>
    <row r="952">
      <c r="A952" s="129">
        <v>1788.0</v>
      </c>
      <c r="B952" s="129">
        <v>2011.0</v>
      </c>
      <c r="C952" s="129">
        <v>-9.3</v>
      </c>
      <c r="D952" s="129">
        <v>41.95</v>
      </c>
      <c r="E952" s="129">
        <v>-93.69</v>
      </c>
      <c r="F952" s="128" t="s">
        <v>6004</v>
      </c>
      <c r="G952" s="128" t="s">
        <v>2043</v>
      </c>
      <c r="H952" s="128" t="s">
        <v>2818</v>
      </c>
      <c r="I952" s="128" t="s">
        <v>150</v>
      </c>
      <c r="J952" s="128"/>
      <c r="K952" s="129">
        <v>1.0</v>
      </c>
      <c r="L952" s="129">
        <v>25000.0</v>
      </c>
      <c r="M952" s="128" t="s">
        <v>2044</v>
      </c>
      <c r="N952" s="129">
        <v>315.0</v>
      </c>
      <c r="O952" s="128"/>
      <c r="P952" s="129">
        <v>25000.0</v>
      </c>
      <c r="Q952" s="128" t="s">
        <v>1095</v>
      </c>
    </row>
    <row r="953">
      <c r="A953" s="129">
        <v>1785.0</v>
      </c>
      <c r="B953" s="129">
        <v>2011.0</v>
      </c>
      <c r="C953" s="129">
        <v>26.2</v>
      </c>
      <c r="D953" s="129">
        <v>41.99</v>
      </c>
      <c r="E953" s="129">
        <v>-93.54</v>
      </c>
      <c r="F953" s="128" t="s">
        <v>6004</v>
      </c>
      <c r="G953" s="128" t="s">
        <v>2049</v>
      </c>
      <c r="H953" s="128" t="s">
        <v>2818</v>
      </c>
      <c r="I953" s="128" t="s">
        <v>150</v>
      </c>
      <c r="J953" s="128"/>
      <c r="K953" s="129">
        <v>1.0</v>
      </c>
      <c r="L953" s="129">
        <v>25000.0</v>
      </c>
      <c r="M953" s="128" t="s">
        <v>2050</v>
      </c>
      <c r="N953" s="129">
        <v>288.0</v>
      </c>
      <c r="O953" s="128"/>
      <c r="P953" s="129">
        <v>25000.0</v>
      </c>
      <c r="Q953" s="128" t="s">
        <v>1095</v>
      </c>
    </row>
    <row r="954">
      <c r="A954" s="129">
        <v>1789.0</v>
      </c>
      <c r="B954" s="129">
        <v>2011.0</v>
      </c>
      <c r="C954" s="129">
        <v>17.8</v>
      </c>
      <c r="D954" s="129">
        <v>41.99</v>
      </c>
      <c r="E954" s="129">
        <v>-93.54</v>
      </c>
      <c r="F954" s="128" t="s">
        <v>6004</v>
      </c>
      <c r="G954" s="128" t="s">
        <v>2049</v>
      </c>
      <c r="H954" s="128" t="s">
        <v>2818</v>
      </c>
      <c r="I954" s="128" t="s">
        <v>150</v>
      </c>
      <c r="J954" s="128"/>
      <c r="K954" s="129">
        <v>1.0</v>
      </c>
      <c r="L954" s="129">
        <v>25000.0</v>
      </c>
      <c r="M954" s="128" t="s">
        <v>2050</v>
      </c>
      <c r="N954" s="129">
        <v>288.0</v>
      </c>
      <c r="O954" s="128"/>
      <c r="P954" s="129">
        <v>25000.0</v>
      </c>
      <c r="Q954" s="128" t="s">
        <v>1095</v>
      </c>
    </row>
    <row r="955">
      <c r="A955" s="129">
        <v>649.0</v>
      </c>
      <c r="B955" s="129">
        <v>2013.0</v>
      </c>
      <c r="C955" s="129">
        <v>4.4</v>
      </c>
      <c r="D955" s="129">
        <v>42.54</v>
      </c>
      <c r="E955" s="129">
        <v>-72.17</v>
      </c>
      <c r="F955" s="128" t="s">
        <v>1306</v>
      </c>
      <c r="G955" s="128" t="s">
        <v>1304</v>
      </c>
      <c r="H955" s="128" t="s">
        <v>328</v>
      </c>
      <c r="I955" s="128" t="s">
        <v>194</v>
      </c>
      <c r="J955" s="128"/>
      <c r="K955" s="129">
        <v>1.0</v>
      </c>
      <c r="L955" s="129">
        <v>3000.0</v>
      </c>
      <c r="M955" s="128" t="s">
        <v>1305</v>
      </c>
      <c r="N955" s="129">
        <v>354.0</v>
      </c>
      <c r="O955" s="129">
        <v>3000.0</v>
      </c>
      <c r="P955" s="129">
        <v>1000.0</v>
      </c>
      <c r="Q955" s="128" t="s">
        <v>1095</v>
      </c>
    </row>
    <row r="956">
      <c r="A956" s="129">
        <v>662.0</v>
      </c>
      <c r="B956" s="129">
        <v>2013.0</v>
      </c>
      <c r="C956" s="129">
        <v>17.4</v>
      </c>
      <c r="D956" s="129">
        <v>42.54</v>
      </c>
      <c r="E956" s="129">
        <v>-72.19</v>
      </c>
      <c r="F956" s="128" t="s">
        <v>1306</v>
      </c>
      <c r="G956" s="128" t="s">
        <v>1331</v>
      </c>
      <c r="H956" s="128" t="s">
        <v>284</v>
      </c>
      <c r="I956" s="128" t="s">
        <v>194</v>
      </c>
      <c r="J956" s="128"/>
      <c r="K956" s="129">
        <v>1.0</v>
      </c>
      <c r="L956" s="129">
        <v>3000.0</v>
      </c>
      <c r="M956" s="128"/>
      <c r="N956" s="129">
        <v>365.0</v>
      </c>
      <c r="O956" s="129">
        <v>3000.0</v>
      </c>
      <c r="P956" s="129">
        <v>1000.0</v>
      </c>
      <c r="Q956" s="128" t="s">
        <v>1095</v>
      </c>
    </row>
    <row r="957">
      <c r="A957" s="129">
        <v>652.0</v>
      </c>
      <c r="B957" s="129">
        <v>2013.0</v>
      </c>
      <c r="C957" s="129">
        <v>0.6</v>
      </c>
      <c r="D957" s="129">
        <v>44.07</v>
      </c>
      <c r="E957" s="129">
        <v>-71.29</v>
      </c>
      <c r="F957" s="128" t="s">
        <v>1306</v>
      </c>
      <c r="G957" s="128" t="s">
        <v>1311</v>
      </c>
      <c r="H957" s="128" t="s">
        <v>295</v>
      </c>
      <c r="I957" s="128" t="s">
        <v>285</v>
      </c>
      <c r="J957" s="128"/>
      <c r="K957" s="129">
        <v>1.0</v>
      </c>
      <c r="L957" s="129">
        <v>3000.0</v>
      </c>
      <c r="M957" s="128"/>
      <c r="N957" s="129">
        <v>247.0</v>
      </c>
      <c r="O957" s="129">
        <v>3000.0</v>
      </c>
      <c r="P957" s="129">
        <v>1000.0</v>
      </c>
      <c r="Q957" s="128" t="s">
        <v>1095</v>
      </c>
    </row>
    <row r="958">
      <c r="A958" s="129">
        <v>654.0</v>
      </c>
      <c r="B958" s="129">
        <v>2013.0</v>
      </c>
      <c r="C958" s="129">
        <v>5.1</v>
      </c>
      <c r="D958" s="129">
        <v>44.45</v>
      </c>
      <c r="E958" s="129">
        <v>-121.55</v>
      </c>
      <c r="F958" s="128" t="s">
        <v>1306</v>
      </c>
      <c r="G958" s="128" t="s">
        <v>1314</v>
      </c>
      <c r="H958" s="128" t="s">
        <v>284</v>
      </c>
      <c r="I958" s="128" t="s">
        <v>342</v>
      </c>
      <c r="J958" s="129">
        <v>57.0</v>
      </c>
      <c r="K958" s="129">
        <v>1.0</v>
      </c>
      <c r="L958" s="129">
        <v>3000.0</v>
      </c>
      <c r="M958" s="128" t="s">
        <v>1315</v>
      </c>
      <c r="N958" s="129">
        <v>1262.0</v>
      </c>
      <c r="O958" s="129">
        <v>3000.0</v>
      </c>
      <c r="P958" s="129">
        <v>1000.0</v>
      </c>
      <c r="Q958" s="128" t="s">
        <v>1095</v>
      </c>
    </row>
    <row r="959">
      <c r="A959" s="129">
        <v>663.0</v>
      </c>
      <c r="B959" s="129">
        <v>2013.0</v>
      </c>
      <c r="C959" s="129">
        <v>18.1</v>
      </c>
      <c r="D959" s="129">
        <v>45.2</v>
      </c>
      <c r="E959" s="129">
        <v>-68.74</v>
      </c>
      <c r="F959" s="128" t="s">
        <v>1306</v>
      </c>
      <c r="G959" s="128" t="s">
        <v>1332</v>
      </c>
      <c r="H959" s="128" t="s">
        <v>328</v>
      </c>
      <c r="I959" s="128" t="s">
        <v>968</v>
      </c>
      <c r="J959" s="128"/>
      <c r="K959" s="129">
        <v>1.0</v>
      </c>
      <c r="L959" s="129">
        <v>3000.0</v>
      </c>
      <c r="M959" s="128" t="s">
        <v>6005</v>
      </c>
      <c r="N959" s="129">
        <v>83.0</v>
      </c>
      <c r="O959" s="129">
        <v>3000.0</v>
      </c>
      <c r="P959" s="129">
        <v>1000.0</v>
      </c>
      <c r="Q959" s="128" t="s">
        <v>1095</v>
      </c>
    </row>
    <row r="960">
      <c r="A960" s="129">
        <v>650.0</v>
      </c>
      <c r="B960" s="129">
        <v>2013.0</v>
      </c>
      <c r="C960" s="129">
        <v>15.8</v>
      </c>
      <c r="D960" s="129">
        <v>45.81</v>
      </c>
      <c r="E960" s="129">
        <v>-90.08</v>
      </c>
      <c r="F960" s="128" t="s">
        <v>1306</v>
      </c>
      <c r="G960" s="128" t="s">
        <v>368</v>
      </c>
      <c r="H960" s="128" t="s">
        <v>328</v>
      </c>
      <c r="I960" s="128" t="s">
        <v>285</v>
      </c>
      <c r="J960" s="128"/>
      <c r="K960" s="129">
        <v>1.0</v>
      </c>
      <c r="L960" s="129">
        <v>3000.0</v>
      </c>
      <c r="M960" s="128" t="s">
        <v>369</v>
      </c>
      <c r="N960" s="129">
        <v>512.0</v>
      </c>
      <c r="O960" s="129">
        <v>3000.0</v>
      </c>
      <c r="P960" s="129">
        <v>1000.0</v>
      </c>
      <c r="Q960" s="128" t="s">
        <v>1095</v>
      </c>
    </row>
    <row r="961">
      <c r="A961" s="129">
        <v>660.0</v>
      </c>
      <c r="B961" s="129">
        <v>2013.0</v>
      </c>
      <c r="C961" s="129">
        <v>3.7</v>
      </c>
      <c r="D961" s="129">
        <v>45.8205</v>
      </c>
      <c r="E961" s="129">
        <v>-121.952</v>
      </c>
      <c r="F961" s="128" t="s">
        <v>1306</v>
      </c>
      <c r="G961" s="128" t="s">
        <v>1326</v>
      </c>
      <c r="H961" s="128" t="s">
        <v>328</v>
      </c>
      <c r="I961" s="128" t="s">
        <v>285</v>
      </c>
      <c r="J961" s="128"/>
      <c r="K961" s="129">
        <v>1.0</v>
      </c>
      <c r="L961" s="129">
        <v>3000.0</v>
      </c>
      <c r="M961" s="128" t="s">
        <v>369</v>
      </c>
      <c r="N961" s="129">
        <v>397.0</v>
      </c>
      <c r="O961" s="129">
        <v>3000.0</v>
      </c>
      <c r="P961" s="129">
        <v>1000.0</v>
      </c>
      <c r="Q961" s="128" t="s">
        <v>1095</v>
      </c>
    </row>
    <row r="962">
      <c r="A962" s="129">
        <v>661.0</v>
      </c>
      <c r="B962" s="129">
        <v>2013.0</v>
      </c>
      <c r="C962" s="129">
        <v>2.6</v>
      </c>
      <c r="D962" s="129">
        <v>46.24</v>
      </c>
      <c r="E962" s="129">
        <v>-89.35</v>
      </c>
      <c r="F962" s="128" t="s">
        <v>1306</v>
      </c>
      <c r="G962" s="128" t="s">
        <v>1329</v>
      </c>
      <c r="H962" s="128" t="s">
        <v>328</v>
      </c>
      <c r="I962" s="128" t="s">
        <v>194</v>
      </c>
      <c r="J962" s="128"/>
      <c r="K962" s="129">
        <v>1.0</v>
      </c>
      <c r="L962" s="129">
        <v>3000.0</v>
      </c>
      <c r="M962" s="128" t="s">
        <v>1330</v>
      </c>
      <c r="N962" s="129">
        <v>557.0</v>
      </c>
      <c r="O962" s="129">
        <v>3000.0</v>
      </c>
      <c r="P962" s="129">
        <v>1000.0</v>
      </c>
      <c r="Q962" s="128" t="s">
        <v>1095</v>
      </c>
    </row>
    <row r="963">
      <c r="A963" s="129">
        <v>794.0</v>
      </c>
      <c r="B963" s="129">
        <v>2019.0</v>
      </c>
      <c r="C963" s="129">
        <v>15.0</v>
      </c>
      <c r="D963" s="129">
        <v>48.347</v>
      </c>
      <c r="E963" s="129">
        <v>-89.5771</v>
      </c>
      <c r="F963" s="128" t="s">
        <v>1479</v>
      </c>
      <c r="G963" s="128" t="s">
        <v>1475</v>
      </c>
      <c r="H963" s="128" t="s">
        <v>1474</v>
      </c>
      <c r="I963" s="128" t="s">
        <v>914</v>
      </c>
      <c r="J963" s="128"/>
      <c r="K963" s="129">
        <v>8.0</v>
      </c>
      <c r="L963" s="129">
        <v>1200.0</v>
      </c>
      <c r="M963" s="128"/>
      <c r="N963" s="129">
        <v>256.0</v>
      </c>
      <c r="O963" s="128"/>
      <c r="P963" s="129">
        <v>1200.0</v>
      </c>
      <c r="Q963" s="128" t="s">
        <v>1095</v>
      </c>
    </row>
    <row r="964">
      <c r="A964" s="129">
        <v>795.0</v>
      </c>
      <c r="B964" s="129">
        <v>2019.0</v>
      </c>
      <c r="C964" s="129">
        <v>-28.0</v>
      </c>
      <c r="D964" s="129">
        <v>48.347</v>
      </c>
      <c r="E964" s="129">
        <v>-89.5771</v>
      </c>
      <c r="F964" s="128" t="s">
        <v>1482</v>
      </c>
      <c r="G964" s="128" t="s">
        <v>1475</v>
      </c>
      <c r="H964" s="128" t="s">
        <v>1474</v>
      </c>
      <c r="I964" s="128" t="s">
        <v>914</v>
      </c>
      <c r="J964" s="128"/>
      <c r="K964" s="129">
        <v>8.0</v>
      </c>
      <c r="L964" s="129">
        <v>1200.0</v>
      </c>
      <c r="M964" s="128"/>
      <c r="N964" s="129">
        <v>256.0</v>
      </c>
      <c r="O964" s="128"/>
      <c r="P964" s="129">
        <v>1200.0</v>
      </c>
      <c r="Q964" s="128" t="s">
        <v>1095</v>
      </c>
    </row>
    <row r="965">
      <c r="A965" s="129">
        <v>796.0</v>
      </c>
      <c r="B965" s="129">
        <v>2019.0</v>
      </c>
      <c r="C965" s="129">
        <v>-30.0</v>
      </c>
      <c r="D965" s="129">
        <v>48.347</v>
      </c>
      <c r="E965" s="129">
        <v>-89.5771</v>
      </c>
      <c r="F965" s="128" t="s">
        <v>1483</v>
      </c>
      <c r="G965" s="128" t="s">
        <v>1475</v>
      </c>
      <c r="H965" s="128" t="s">
        <v>1474</v>
      </c>
      <c r="I965" s="128" t="s">
        <v>914</v>
      </c>
      <c r="J965" s="128"/>
      <c r="K965" s="129">
        <v>8.0</v>
      </c>
      <c r="L965" s="129">
        <v>1200.0</v>
      </c>
      <c r="M965" s="128"/>
      <c r="N965" s="129">
        <v>256.0</v>
      </c>
      <c r="O965" s="128"/>
      <c r="P965" s="129">
        <v>1200.0</v>
      </c>
      <c r="Q965" s="128" t="s">
        <v>1095</v>
      </c>
    </row>
    <row r="966">
      <c r="A966" s="129">
        <v>659.0</v>
      </c>
      <c r="B966" s="129">
        <v>2013.0</v>
      </c>
      <c r="C966" s="129">
        <v>12.2</v>
      </c>
      <c r="D966" s="129">
        <v>55.86</v>
      </c>
      <c r="E966" s="129">
        <v>-98.49</v>
      </c>
      <c r="F966" s="128" t="s">
        <v>1306</v>
      </c>
      <c r="G966" s="128" t="s">
        <v>1324</v>
      </c>
      <c r="H966" s="128" t="s">
        <v>328</v>
      </c>
      <c r="I966" s="128" t="s">
        <v>194</v>
      </c>
      <c r="J966" s="128"/>
      <c r="K966" s="129">
        <v>1.0</v>
      </c>
      <c r="L966" s="129">
        <v>3000.0</v>
      </c>
      <c r="M966" s="128" t="s">
        <v>1325</v>
      </c>
      <c r="N966" s="129">
        <v>262.0</v>
      </c>
      <c r="O966" s="129">
        <v>3000.0</v>
      </c>
      <c r="P966" s="129">
        <v>1000.0</v>
      </c>
      <c r="Q966" s="128" t="s">
        <v>1095</v>
      </c>
    </row>
    <row r="967">
      <c r="A967" s="129">
        <v>655.0</v>
      </c>
      <c r="B967" s="129">
        <v>2013.0</v>
      </c>
      <c r="C967" s="129">
        <v>1.1</v>
      </c>
      <c r="D967" s="129">
        <v>55.88</v>
      </c>
      <c r="E967" s="129">
        <v>-98.48</v>
      </c>
      <c r="F967" s="128" t="s">
        <v>1306</v>
      </c>
      <c r="G967" s="128" t="s">
        <v>1316</v>
      </c>
      <c r="H967" s="128" t="s">
        <v>284</v>
      </c>
      <c r="I967" s="128" t="s">
        <v>194</v>
      </c>
      <c r="J967" s="128"/>
      <c r="K967" s="129">
        <v>1.0</v>
      </c>
      <c r="L967" s="129">
        <v>3000.0</v>
      </c>
      <c r="M967" s="128" t="s">
        <v>1317</v>
      </c>
      <c r="N967" s="129">
        <v>262.0</v>
      </c>
      <c r="O967" s="129">
        <v>3000.0</v>
      </c>
      <c r="P967" s="129">
        <v>1000.0</v>
      </c>
      <c r="Q967" s="128" t="s">
        <v>1095</v>
      </c>
    </row>
    <row r="968">
      <c r="A968" s="129">
        <v>656.0</v>
      </c>
      <c r="B968" s="129">
        <v>2013.0</v>
      </c>
      <c r="C968" s="129">
        <v>11.4</v>
      </c>
      <c r="D968" s="129">
        <v>55.91</v>
      </c>
      <c r="E968" s="129">
        <v>-98.53</v>
      </c>
      <c r="F968" s="128" t="s">
        <v>1306</v>
      </c>
      <c r="G968" s="128" t="s">
        <v>1318</v>
      </c>
      <c r="H968" s="128" t="s">
        <v>284</v>
      </c>
      <c r="I968" s="128" t="s">
        <v>194</v>
      </c>
      <c r="J968" s="128"/>
      <c r="K968" s="129">
        <v>1.0</v>
      </c>
      <c r="L968" s="129">
        <v>3000.0</v>
      </c>
      <c r="M968" s="128" t="s">
        <v>1319</v>
      </c>
      <c r="N968" s="129">
        <v>259.0</v>
      </c>
      <c r="O968" s="129">
        <v>3000.0</v>
      </c>
      <c r="P968" s="129">
        <v>1000.0</v>
      </c>
      <c r="Q968" s="128" t="s">
        <v>1095</v>
      </c>
    </row>
    <row r="969">
      <c r="A969" s="129">
        <v>657.0</v>
      </c>
      <c r="B969" s="129">
        <v>2013.0</v>
      </c>
      <c r="C969" s="129">
        <v>4.1</v>
      </c>
      <c r="D969" s="129">
        <v>55.91</v>
      </c>
      <c r="E969" s="129">
        <v>-98.38</v>
      </c>
      <c r="F969" s="128" t="s">
        <v>1306</v>
      </c>
      <c r="G969" s="128" t="s">
        <v>1320</v>
      </c>
      <c r="H969" s="128" t="s">
        <v>328</v>
      </c>
      <c r="I969" s="128" t="s">
        <v>194</v>
      </c>
      <c r="J969" s="128"/>
      <c r="K969" s="129">
        <v>1.0</v>
      </c>
      <c r="L969" s="129">
        <v>3000.0</v>
      </c>
      <c r="M969" s="128" t="s">
        <v>1321</v>
      </c>
      <c r="N969" s="129">
        <v>254.0</v>
      </c>
      <c r="O969" s="129">
        <v>3000.0</v>
      </c>
      <c r="P969" s="129">
        <v>1000.0</v>
      </c>
      <c r="Q969" s="128" t="s">
        <v>1095</v>
      </c>
    </row>
    <row r="970">
      <c r="A970" s="129">
        <v>658.0</v>
      </c>
      <c r="B970" s="129">
        <v>2013.0</v>
      </c>
      <c r="C970" s="129">
        <v>11.9</v>
      </c>
      <c r="D970" s="129">
        <v>55.91</v>
      </c>
      <c r="E970" s="129">
        <v>-98.38</v>
      </c>
      <c r="F970" s="128" t="s">
        <v>1306</v>
      </c>
      <c r="G970" s="128" t="s">
        <v>1322</v>
      </c>
      <c r="H970" s="128" t="s">
        <v>284</v>
      </c>
      <c r="I970" s="128" t="s">
        <v>968</v>
      </c>
      <c r="J970" s="128"/>
      <c r="K970" s="129">
        <v>1.0</v>
      </c>
      <c r="L970" s="129">
        <v>3000.0</v>
      </c>
      <c r="M970" s="128" t="s">
        <v>1323</v>
      </c>
      <c r="N970" s="129">
        <v>254.0</v>
      </c>
      <c r="O970" s="129">
        <v>3000.0</v>
      </c>
      <c r="P970" s="129">
        <v>1000.0</v>
      </c>
      <c r="Q970" s="128" t="s">
        <v>1095</v>
      </c>
    </row>
    <row r="971">
      <c r="A971" s="129">
        <v>666.0</v>
      </c>
      <c r="B971" s="129">
        <v>2013.0</v>
      </c>
      <c r="C971" s="129">
        <v>8.9</v>
      </c>
      <c r="D971" s="129">
        <v>55.92</v>
      </c>
      <c r="E971" s="129">
        <v>-98.96</v>
      </c>
      <c r="F971" s="128" t="s">
        <v>1306</v>
      </c>
      <c r="G971" s="128" t="s">
        <v>1334</v>
      </c>
      <c r="H971" s="128" t="s">
        <v>328</v>
      </c>
      <c r="I971" s="128" t="s">
        <v>194</v>
      </c>
      <c r="J971" s="128"/>
      <c r="K971" s="129">
        <v>1.0</v>
      </c>
      <c r="L971" s="129">
        <v>3000.0</v>
      </c>
      <c r="M971" s="128" t="s">
        <v>1335</v>
      </c>
      <c r="N971" s="129">
        <v>251.0</v>
      </c>
      <c r="O971" s="129">
        <v>3000.0</v>
      </c>
      <c r="P971" s="129">
        <v>1000.0</v>
      </c>
      <c r="Q971" s="128" t="s">
        <v>1095</v>
      </c>
    </row>
    <row r="972">
      <c r="A972" s="129">
        <v>667.0</v>
      </c>
      <c r="B972" s="129">
        <v>2013.0</v>
      </c>
      <c r="C972" s="129">
        <v>21.3</v>
      </c>
      <c r="D972" s="129">
        <v>56.64</v>
      </c>
      <c r="E972" s="129">
        <v>-99.95</v>
      </c>
      <c r="F972" s="128" t="s">
        <v>1306</v>
      </c>
      <c r="G972" s="128" t="s">
        <v>1337</v>
      </c>
      <c r="H972" s="128" t="s">
        <v>317</v>
      </c>
      <c r="I972" s="128" t="s">
        <v>194</v>
      </c>
      <c r="J972" s="128"/>
      <c r="K972" s="129">
        <v>1.0</v>
      </c>
      <c r="L972" s="129">
        <v>3000.0</v>
      </c>
      <c r="M972" s="128" t="s">
        <v>1338</v>
      </c>
      <c r="N972" s="129">
        <v>272.0</v>
      </c>
      <c r="O972" s="129">
        <v>3000.0</v>
      </c>
      <c r="P972" s="129">
        <v>1000.0</v>
      </c>
      <c r="Q972" s="128" t="s">
        <v>1095</v>
      </c>
    </row>
    <row r="973">
      <c r="A973" s="129">
        <v>1080.0</v>
      </c>
      <c r="B973" s="129">
        <v>2021.0</v>
      </c>
      <c r="C973" s="129">
        <v>34.12</v>
      </c>
      <c r="D973" s="129">
        <v>-54.97</v>
      </c>
      <c r="E973" s="129">
        <v>-66.73</v>
      </c>
      <c r="F973" s="128" t="s">
        <v>1902</v>
      </c>
      <c r="G973" s="128" t="s">
        <v>1899</v>
      </c>
      <c r="H973" s="128" t="s">
        <v>818</v>
      </c>
      <c r="I973" s="128" t="s">
        <v>1898</v>
      </c>
      <c r="J973" s="129">
        <v>227.0</v>
      </c>
      <c r="K973" s="129">
        <v>1.0</v>
      </c>
      <c r="L973" s="128"/>
      <c r="M973" s="128"/>
      <c r="N973" s="129">
        <v>38.0</v>
      </c>
      <c r="O973" s="128"/>
      <c r="P973" s="129">
        <v>500.0</v>
      </c>
      <c r="Q973" s="128" t="s">
        <v>220</v>
      </c>
    </row>
    <row r="974">
      <c r="A974" s="129">
        <v>1081.0</v>
      </c>
      <c r="B974" s="129">
        <v>2021.0</v>
      </c>
      <c r="C974" s="129">
        <v>-19.2</v>
      </c>
      <c r="D974" s="129">
        <v>-54.83</v>
      </c>
      <c r="E974" s="129">
        <v>-68.45</v>
      </c>
      <c r="F974" s="128" t="s">
        <v>1902</v>
      </c>
      <c r="G974" s="128" t="s">
        <v>1901</v>
      </c>
      <c r="H974" s="128" t="s">
        <v>818</v>
      </c>
      <c r="I974" s="128" t="s">
        <v>1900</v>
      </c>
      <c r="J974" s="129">
        <v>80.0</v>
      </c>
      <c r="K974" s="129">
        <v>1.0</v>
      </c>
      <c r="L974" s="128"/>
      <c r="M974" s="128"/>
      <c r="N974" s="129">
        <v>95.0</v>
      </c>
      <c r="O974" s="128"/>
      <c r="P974" s="129">
        <v>500.0</v>
      </c>
      <c r="Q974" s="128" t="s">
        <v>220</v>
      </c>
    </row>
    <row r="975">
      <c r="A975" s="129">
        <v>1079.0</v>
      </c>
      <c r="B975" s="129">
        <v>2021.0</v>
      </c>
      <c r="C975" s="129">
        <v>18.83</v>
      </c>
      <c r="D975" s="129">
        <v>-41.88</v>
      </c>
      <c r="E975" s="129">
        <v>-73.68</v>
      </c>
      <c r="F975" s="128" t="s">
        <v>1902</v>
      </c>
      <c r="G975" s="128" t="s">
        <v>1897</v>
      </c>
      <c r="H975" s="128" t="s">
        <v>1895</v>
      </c>
      <c r="I975" s="128" t="s">
        <v>1896</v>
      </c>
      <c r="J975" s="129">
        <v>173.0</v>
      </c>
      <c r="K975" s="129">
        <v>1.0</v>
      </c>
      <c r="L975" s="128"/>
      <c r="M975" s="128"/>
      <c r="N975" s="129">
        <v>17.0</v>
      </c>
      <c r="O975" s="128"/>
      <c r="P975" s="129">
        <v>500.0</v>
      </c>
      <c r="Q975" s="128" t="s">
        <v>220</v>
      </c>
    </row>
    <row r="976">
      <c r="A976" s="129">
        <v>1078.0</v>
      </c>
      <c r="B976" s="129">
        <v>2021.0</v>
      </c>
      <c r="C976" s="129">
        <v>-17.0</v>
      </c>
      <c r="D976" s="129">
        <v>-37.75</v>
      </c>
      <c r="E976" s="129">
        <v>-58.34</v>
      </c>
      <c r="F976" s="128" t="s">
        <v>1902</v>
      </c>
      <c r="G976" s="128" t="s">
        <v>1894</v>
      </c>
      <c r="H976" s="128" t="s">
        <v>167</v>
      </c>
      <c r="I976" s="128" t="s">
        <v>1893</v>
      </c>
      <c r="J976" s="129">
        <v>56.0</v>
      </c>
      <c r="K976" s="129">
        <v>1.0</v>
      </c>
      <c r="L976" s="128"/>
      <c r="M976" s="128"/>
      <c r="N976" s="129">
        <v>113.0</v>
      </c>
      <c r="O976" s="128"/>
      <c r="P976" s="129">
        <v>500.0</v>
      </c>
      <c r="Q976" s="128" t="s">
        <v>220</v>
      </c>
    </row>
    <row r="977">
      <c r="A977" s="129">
        <v>1077.0</v>
      </c>
      <c r="B977" s="129">
        <v>2021.0</v>
      </c>
      <c r="C977" s="129">
        <v>-77.58</v>
      </c>
      <c r="D977" s="129">
        <v>-37.55</v>
      </c>
      <c r="E977" s="129">
        <v>-57.3</v>
      </c>
      <c r="F977" s="128" t="s">
        <v>1902</v>
      </c>
      <c r="G977" s="128" t="s">
        <v>1892</v>
      </c>
      <c r="H977" s="128" t="s">
        <v>245</v>
      </c>
      <c r="I977" s="128" t="s">
        <v>1891</v>
      </c>
      <c r="J977" s="129">
        <v>72.0</v>
      </c>
      <c r="K977" s="129">
        <v>1.0</v>
      </c>
      <c r="L977" s="128"/>
      <c r="M977" s="128"/>
      <c r="N977" s="129">
        <v>3.0</v>
      </c>
      <c r="O977" s="128"/>
      <c r="P977" s="129">
        <v>500.0</v>
      </c>
      <c r="Q977" s="128" t="s">
        <v>220</v>
      </c>
    </row>
    <row r="978">
      <c r="A978" s="129">
        <v>1076.0</v>
      </c>
      <c r="B978" s="129">
        <v>2021.0</v>
      </c>
      <c r="C978" s="129">
        <v>-3.19</v>
      </c>
      <c r="D978" s="129">
        <v>-35.62</v>
      </c>
      <c r="E978" s="129">
        <v>-61.32</v>
      </c>
      <c r="F978" s="128" t="s">
        <v>1902</v>
      </c>
      <c r="G978" s="128" t="s">
        <v>1890</v>
      </c>
      <c r="H978" s="128" t="s">
        <v>1474</v>
      </c>
      <c r="I978" s="128" t="s">
        <v>1889</v>
      </c>
      <c r="J978" s="129">
        <v>142.0</v>
      </c>
      <c r="K978" s="129">
        <v>1.0</v>
      </c>
      <c r="L978" s="128"/>
      <c r="M978" s="128"/>
      <c r="N978" s="129">
        <v>81.0</v>
      </c>
      <c r="O978" s="128"/>
      <c r="P978" s="129">
        <v>500.0</v>
      </c>
      <c r="Q978" s="128" t="s">
        <v>220</v>
      </c>
    </row>
    <row r="979">
      <c r="A979" s="129">
        <v>1372.0</v>
      </c>
      <c r="B979" s="129">
        <v>2018.0</v>
      </c>
      <c r="C979" s="129">
        <v>-12.0</v>
      </c>
      <c r="D979" s="129">
        <v>-35.3833</v>
      </c>
      <c r="E979" s="129">
        <v>-71.7333</v>
      </c>
      <c r="F979" s="128" t="s">
        <v>2417</v>
      </c>
      <c r="G979" s="128" t="s">
        <v>1491</v>
      </c>
      <c r="H979" s="128" t="s">
        <v>2414</v>
      </c>
      <c r="I979" s="128" t="s">
        <v>2415</v>
      </c>
      <c r="J979" s="129">
        <v>7.0</v>
      </c>
      <c r="K979" s="129">
        <v>1.0</v>
      </c>
      <c r="L979" s="128"/>
      <c r="M979" s="128" t="s">
        <v>1491</v>
      </c>
      <c r="N979" s="129">
        <v>150.0</v>
      </c>
      <c r="O979" s="128"/>
      <c r="P979" s="128"/>
      <c r="Q979" s="128" t="s">
        <v>220</v>
      </c>
    </row>
    <row r="980">
      <c r="A980" s="129">
        <v>1373.0</v>
      </c>
      <c r="B980" s="129">
        <v>2018.0</v>
      </c>
      <c r="C980" s="129">
        <v>-10.0</v>
      </c>
      <c r="D980" s="129">
        <v>-35.3833</v>
      </c>
      <c r="E980" s="129">
        <v>-71.7333</v>
      </c>
      <c r="F980" s="128" t="s">
        <v>2417</v>
      </c>
      <c r="G980" s="128" t="s">
        <v>1491</v>
      </c>
      <c r="H980" s="128" t="s">
        <v>2414</v>
      </c>
      <c r="I980" s="128" t="s">
        <v>2415</v>
      </c>
      <c r="J980" s="129">
        <v>7.0</v>
      </c>
      <c r="K980" s="129">
        <v>1.0</v>
      </c>
      <c r="L980" s="128"/>
      <c r="M980" s="128" t="s">
        <v>1491</v>
      </c>
      <c r="N980" s="129">
        <v>150.0</v>
      </c>
      <c r="O980" s="128"/>
      <c r="P980" s="128"/>
      <c r="Q980" s="128" t="s">
        <v>220</v>
      </c>
    </row>
    <row r="981">
      <c r="A981" s="129">
        <v>1075.0</v>
      </c>
      <c r="B981" s="129">
        <v>2021.0</v>
      </c>
      <c r="C981" s="129">
        <v>13.81</v>
      </c>
      <c r="D981" s="129">
        <v>-33.46</v>
      </c>
      <c r="E981" s="129">
        <v>-66.46</v>
      </c>
      <c r="F981" s="128" t="s">
        <v>1902</v>
      </c>
      <c r="G981" s="128" t="s">
        <v>1888</v>
      </c>
      <c r="H981" s="128" t="s">
        <v>969</v>
      </c>
      <c r="I981" s="128" t="s">
        <v>1887</v>
      </c>
      <c r="J981" s="129">
        <v>196.0</v>
      </c>
      <c r="K981" s="129">
        <v>1.0</v>
      </c>
      <c r="L981" s="128"/>
      <c r="M981" s="128"/>
      <c r="N981" s="129">
        <v>507.0</v>
      </c>
      <c r="O981" s="128"/>
      <c r="P981" s="129">
        <v>500.0</v>
      </c>
      <c r="Q981" s="128" t="s">
        <v>220</v>
      </c>
    </row>
    <row r="982">
      <c r="A982" s="129">
        <v>429.0</v>
      </c>
      <c r="B982" s="129">
        <v>2019.0</v>
      </c>
      <c r="C982" s="129">
        <v>-33.7</v>
      </c>
      <c r="D982" s="129">
        <v>-30.2771</v>
      </c>
      <c r="E982" s="129">
        <v>-53.1478</v>
      </c>
      <c r="F982" s="128" t="s">
        <v>219</v>
      </c>
      <c r="G982" s="128" t="s">
        <v>1038</v>
      </c>
      <c r="H982" s="128" t="s">
        <v>233</v>
      </c>
      <c r="I982" s="128" t="s">
        <v>246</v>
      </c>
      <c r="J982" s="128"/>
      <c r="K982" s="129">
        <v>1.0</v>
      </c>
      <c r="L982" s="129">
        <v>1000.0</v>
      </c>
      <c r="M982" s="128" t="s">
        <v>1039</v>
      </c>
      <c r="N982" s="129">
        <v>41.0</v>
      </c>
      <c r="O982" s="128" t="s">
        <v>1040</v>
      </c>
      <c r="P982" s="129">
        <v>1000.0</v>
      </c>
      <c r="Q982" s="128" t="s">
        <v>220</v>
      </c>
    </row>
    <row r="983">
      <c r="A983" s="129">
        <v>430.0</v>
      </c>
      <c r="B983" s="129">
        <v>2019.0</v>
      </c>
      <c r="C983" s="129">
        <v>-20.7</v>
      </c>
      <c r="D983" s="129">
        <v>-30.2771</v>
      </c>
      <c r="E983" s="129">
        <v>-53.1478</v>
      </c>
      <c r="F983" s="128" t="s">
        <v>219</v>
      </c>
      <c r="G983" s="128" t="s">
        <v>1038</v>
      </c>
      <c r="H983" s="128" t="s">
        <v>233</v>
      </c>
      <c r="I983" s="128" t="s">
        <v>234</v>
      </c>
      <c r="J983" s="128"/>
      <c r="K983" s="129">
        <v>1.0</v>
      </c>
      <c r="L983" s="129">
        <v>1000.0</v>
      </c>
      <c r="M983" s="128" t="s">
        <v>1039</v>
      </c>
      <c r="N983" s="129">
        <v>41.0</v>
      </c>
      <c r="O983" s="128" t="s">
        <v>1040</v>
      </c>
      <c r="P983" s="129">
        <v>1000.0</v>
      </c>
      <c r="Q983" s="128" t="s">
        <v>220</v>
      </c>
    </row>
    <row r="984">
      <c r="A984" s="129">
        <v>431.0</v>
      </c>
      <c r="B984" s="129">
        <v>2019.0</v>
      </c>
      <c r="C984" s="129">
        <v>-43.0</v>
      </c>
      <c r="D984" s="129">
        <v>-30.2771</v>
      </c>
      <c r="E984" s="129">
        <v>-53.1478</v>
      </c>
      <c r="F984" s="128" t="s">
        <v>219</v>
      </c>
      <c r="G984" s="128" t="s">
        <v>1038</v>
      </c>
      <c r="H984" s="128" t="s">
        <v>242</v>
      </c>
      <c r="I984" s="128" t="s">
        <v>243</v>
      </c>
      <c r="J984" s="128"/>
      <c r="K984" s="129">
        <v>1.0</v>
      </c>
      <c r="L984" s="129">
        <v>1000.0</v>
      </c>
      <c r="M984" s="128" t="s">
        <v>1039</v>
      </c>
      <c r="N984" s="129">
        <v>41.0</v>
      </c>
      <c r="O984" s="128" t="s">
        <v>1040</v>
      </c>
      <c r="P984" s="129">
        <v>1000.0</v>
      </c>
      <c r="Q984" s="128" t="s">
        <v>220</v>
      </c>
    </row>
    <row r="985">
      <c r="A985" s="129">
        <v>432.0</v>
      </c>
      <c r="B985" s="129">
        <v>2019.0</v>
      </c>
      <c r="C985" s="129">
        <v>-34.8</v>
      </c>
      <c r="D985" s="129">
        <v>-30.2771</v>
      </c>
      <c r="E985" s="129">
        <v>-53.1478</v>
      </c>
      <c r="F985" s="128" t="s">
        <v>219</v>
      </c>
      <c r="G985" s="128" t="s">
        <v>1038</v>
      </c>
      <c r="H985" s="128" t="s">
        <v>167</v>
      </c>
      <c r="I985" s="128" t="s">
        <v>244</v>
      </c>
      <c r="J985" s="128"/>
      <c r="K985" s="129">
        <v>1.0</v>
      </c>
      <c r="L985" s="129">
        <v>1000.0</v>
      </c>
      <c r="M985" s="128" t="s">
        <v>1039</v>
      </c>
      <c r="N985" s="129">
        <v>41.0</v>
      </c>
      <c r="O985" s="128" t="s">
        <v>1040</v>
      </c>
      <c r="P985" s="129">
        <v>1000.0</v>
      </c>
      <c r="Q985" s="128" t="s">
        <v>220</v>
      </c>
    </row>
    <row r="986">
      <c r="A986" s="129">
        <v>433.0</v>
      </c>
      <c r="B986" s="129">
        <v>2019.0</v>
      </c>
      <c r="C986" s="129">
        <v>-35.6</v>
      </c>
      <c r="D986" s="129">
        <v>-30.2771</v>
      </c>
      <c r="E986" s="129">
        <v>-53.1478</v>
      </c>
      <c r="F986" s="128" t="s">
        <v>219</v>
      </c>
      <c r="G986" s="128" t="s">
        <v>1038</v>
      </c>
      <c r="H986" s="128" t="s">
        <v>245</v>
      </c>
      <c r="I986" s="128" t="s">
        <v>246</v>
      </c>
      <c r="J986" s="128"/>
      <c r="K986" s="129">
        <v>1.0</v>
      </c>
      <c r="L986" s="129">
        <v>1000.0</v>
      </c>
      <c r="M986" s="128" t="s">
        <v>1039</v>
      </c>
      <c r="N986" s="129">
        <v>41.0</v>
      </c>
      <c r="O986" s="128" t="s">
        <v>1040</v>
      </c>
      <c r="P986" s="129">
        <v>1000.0</v>
      </c>
      <c r="Q986" s="128" t="s">
        <v>220</v>
      </c>
    </row>
    <row r="987">
      <c r="A987" s="129">
        <v>434.0</v>
      </c>
      <c r="B987" s="129">
        <v>2019.0</v>
      </c>
      <c r="C987" s="129">
        <v>-43.3</v>
      </c>
      <c r="D987" s="129">
        <v>-30.2771</v>
      </c>
      <c r="E987" s="129">
        <v>-53.1478</v>
      </c>
      <c r="F987" s="128" t="s">
        <v>219</v>
      </c>
      <c r="G987" s="128" t="s">
        <v>1038</v>
      </c>
      <c r="H987" s="128" t="s">
        <v>233</v>
      </c>
      <c r="I987" s="128" t="s">
        <v>246</v>
      </c>
      <c r="J987" s="128"/>
      <c r="K987" s="129">
        <v>1.0</v>
      </c>
      <c r="L987" s="129">
        <v>1000.0</v>
      </c>
      <c r="M987" s="128" t="s">
        <v>1039</v>
      </c>
      <c r="N987" s="129">
        <v>41.0</v>
      </c>
      <c r="O987" s="128" t="s">
        <v>1040</v>
      </c>
      <c r="P987" s="129">
        <v>1000.0</v>
      </c>
      <c r="Q987" s="128" t="s">
        <v>220</v>
      </c>
    </row>
    <row r="988">
      <c r="A988" s="129">
        <v>435.0</v>
      </c>
      <c r="B988" s="129">
        <v>2019.0</v>
      </c>
      <c r="C988" s="129">
        <v>-27.6</v>
      </c>
      <c r="D988" s="129">
        <v>-30.2771</v>
      </c>
      <c r="E988" s="129">
        <v>-53.1478</v>
      </c>
      <c r="F988" s="128" t="s">
        <v>219</v>
      </c>
      <c r="G988" s="128" t="s">
        <v>1038</v>
      </c>
      <c r="H988" s="128" t="s">
        <v>233</v>
      </c>
      <c r="I988" s="128" t="s">
        <v>246</v>
      </c>
      <c r="J988" s="128"/>
      <c r="K988" s="129">
        <v>1.0</v>
      </c>
      <c r="L988" s="129">
        <v>1000.0</v>
      </c>
      <c r="M988" s="128" t="s">
        <v>1039</v>
      </c>
      <c r="N988" s="129">
        <v>41.0</v>
      </c>
      <c r="O988" s="128" t="s">
        <v>1040</v>
      </c>
      <c r="P988" s="129">
        <v>1000.0</v>
      </c>
      <c r="Q988" s="128" t="s">
        <v>220</v>
      </c>
    </row>
    <row r="989">
      <c r="A989" s="129">
        <v>428.0</v>
      </c>
      <c r="B989" s="129">
        <v>2019.0</v>
      </c>
      <c r="C989" s="129">
        <v>-38.7</v>
      </c>
      <c r="D989" s="129">
        <v>-29.7443</v>
      </c>
      <c r="E989" s="129">
        <v>-53.1499</v>
      </c>
      <c r="F989" s="128" t="s">
        <v>219</v>
      </c>
      <c r="G989" s="128" t="s">
        <v>1030</v>
      </c>
      <c r="H989" s="128" t="s">
        <v>193</v>
      </c>
      <c r="I989" s="128" t="s">
        <v>968</v>
      </c>
      <c r="J989" s="128"/>
      <c r="K989" s="129">
        <v>1.0</v>
      </c>
      <c r="L989" s="129">
        <v>1000.0</v>
      </c>
      <c r="M989" s="128" t="s">
        <v>5987</v>
      </c>
      <c r="N989" s="129">
        <v>35.0</v>
      </c>
      <c r="O989" s="128" t="s">
        <v>1033</v>
      </c>
      <c r="P989" s="129">
        <v>1000.0</v>
      </c>
      <c r="Q989" s="128" t="s">
        <v>220</v>
      </c>
    </row>
    <row r="990">
      <c r="A990" s="129">
        <v>436.0</v>
      </c>
      <c r="B990" s="129">
        <v>2019.0</v>
      </c>
      <c r="C990" s="129">
        <v>-44.2</v>
      </c>
      <c r="D990" s="129">
        <v>-29.7443</v>
      </c>
      <c r="E990" s="129">
        <v>-53.1499</v>
      </c>
      <c r="F990" s="128" t="s">
        <v>219</v>
      </c>
      <c r="G990" s="128" t="s">
        <v>1030</v>
      </c>
      <c r="H990" s="128" t="s">
        <v>193</v>
      </c>
      <c r="I990" s="128" t="s">
        <v>968</v>
      </c>
      <c r="J990" s="128"/>
      <c r="K990" s="129">
        <v>1.0</v>
      </c>
      <c r="L990" s="129">
        <v>1000.0</v>
      </c>
      <c r="M990" s="128" t="s">
        <v>5987</v>
      </c>
      <c r="N990" s="129">
        <v>35.0</v>
      </c>
      <c r="O990" s="128" t="s">
        <v>1033</v>
      </c>
      <c r="P990" s="129">
        <v>1000.0</v>
      </c>
      <c r="Q990" s="128" t="s">
        <v>220</v>
      </c>
    </row>
    <row r="991">
      <c r="A991" s="129">
        <v>437.0</v>
      </c>
      <c r="B991" s="129">
        <v>2019.0</v>
      </c>
      <c r="C991" s="129">
        <v>-34.2</v>
      </c>
      <c r="D991" s="129">
        <v>-29.7443</v>
      </c>
      <c r="E991" s="129">
        <v>-53.1499</v>
      </c>
      <c r="F991" s="128" t="s">
        <v>219</v>
      </c>
      <c r="G991" s="128" t="s">
        <v>1030</v>
      </c>
      <c r="H991" s="128" t="s">
        <v>193</v>
      </c>
      <c r="I991" s="128" t="s">
        <v>968</v>
      </c>
      <c r="J991" s="128"/>
      <c r="K991" s="129">
        <v>1.0</v>
      </c>
      <c r="L991" s="129">
        <v>1000.0</v>
      </c>
      <c r="M991" s="128" t="s">
        <v>5987</v>
      </c>
      <c r="N991" s="129">
        <v>35.0</v>
      </c>
      <c r="O991" s="128" t="s">
        <v>1033</v>
      </c>
      <c r="P991" s="129">
        <v>1000.0</v>
      </c>
      <c r="Q991" s="128" t="s">
        <v>220</v>
      </c>
    </row>
    <row r="992">
      <c r="A992" s="129">
        <v>73.0</v>
      </c>
      <c r="B992" s="129">
        <v>2014.0</v>
      </c>
      <c r="C992" s="129">
        <v>14.0</v>
      </c>
      <c r="D992" s="129">
        <v>-25.02</v>
      </c>
      <c r="E992" s="129">
        <v>31.49</v>
      </c>
      <c r="F992" s="128" t="s">
        <v>294</v>
      </c>
      <c r="G992" s="128" t="s">
        <v>364</v>
      </c>
      <c r="H992" s="128" t="s">
        <v>328</v>
      </c>
      <c r="I992" s="128" t="s">
        <v>363</v>
      </c>
      <c r="J992" s="129">
        <v>138.0</v>
      </c>
      <c r="K992" s="129">
        <v>1.0</v>
      </c>
      <c r="L992" s="129">
        <v>1000.0</v>
      </c>
      <c r="M992" s="128" t="s">
        <v>365</v>
      </c>
      <c r="N992" s="129">
        <v>368.0</v>
      </c>
      <c r="O992" s="128"/>
      <c r="P992" s="129">
        <v>1000.0</v>
      </c>
      <c r="Q992" s="128" t="s">
        <v>220</v>
      </c>
    </row>
    <row r="993">
      <c r="A993" s="129">
        <v>381.0</v>
      </c>
      <c r="B993" s="129">
        <v>2014.0</v>
      </c>
      <c r="C993" s="129">
        <v>33.33</v>
      </c>
      <c r="D993" s="129">
        <v>-25.0197</v>
      </c>
      <c r="E993" s="129">
        <v>31.4969</v>
      </c>
      <c r="F993" s="128" t="s">
        <v>219</v>
      </c>
      <c r="G993" s="128" t="s">
        <v>365</v>
      </c>
      <c r="H993" s="128" t="s">
        <v>356</v>
      </c>
      <c r="I993" s="128" t="s">
        <v>963</v>
      </c>
      <c r="J993" s="129">
        <v>18.0</v>
      </c>
      <c r="K993" s="129">
        <v>1.0</v>
      </c>
      <c r="L993" s="129">
        <v>1000.0</v>
      </c>
      <c r="M993" s="128" t="s">
        <v>365</v>
      </c>
      <c r="N993" s="129">
        <v>362.0</v>
      </c>
      <c r="O993" s="128" t="s">
        <v>965</v>
      </c>
      <c r="P993" s="129">
        <v>1000.0</v>
      </c>
      <c r="Q993" s="128" t="s">
        <v>220</v>
      </c>
    </row>
    <row r="994">
      <c r="A994" s="129">
        <v>382.0</v>
      </c>
      <c r="B994" s="129">
        <v>2014.0</v>
      </c>
      <c r="C994" s="129">
        <v>6.63</v>
      </c>
      <c r="D994" s="129">
        <v>-25.0197</v>
      </c>
      <c r="E994" s="129">
        <v>31.4969</v>
      </c>
      <c r="F994" s="128" t="s">
        <v>219</v>
      </c>
      <c r="G994" s="128" t="s">
        <v>365</v>
      </c>
      <c r="H994" s="128" t="s">
        <v>328</v>
      </c>
      <c r="I994" s="128" t="s">
        <v>357</v>
      </c>
      <c r="J994" s="129">
        <v>26.0</v>
      </c>
      <c r="K994" s="129">
        <v>1.0</v>
      </c>
      <c r="L994" s="129">
        <v>1000.0</v>
      </c>
      <c r="M994" s="128" t="s">
        <v>365</v>
      </c>
      <c r="N994" s="129">
        <v>362.0</v>
      </c>
      <c r="O994" s="128" t="s">
        <v>965</v>
      </c>
      <c r="P994" s="129">
        <v>1000.0</v>
      </c>
      <c r="Q994" s="128" t="s">
        <v>220</v>
      </c>
    </row>
    <row r="995">
      <c r="A995" s="129">
        <v>383.0</v>
      </c>
      <c r="B995" s="129">
        <v>2014.0</v>
      </c>
      <c r="C995" s="129">
        <v>-3.02</v>
      </c>
      <c r="D995" s="129">
        <v>-25.0197</v>
      </c>
      <c r="E995" s="129">
        <v>31.4969</v>
      </c>
      <c r="F995" s="128" t="s">
        <v>219</v>
      </c>
      <c r="G995" s="128" t="s">
        <v>365</v>
      </c>
      <c r="H995" s="128" t="s">
        <v>193</v>
      </c>
      <c r="I995" s="128" t="s">
        <v>363</v>
      </c>
      <c r="J995" s="129">
        <v>32.0</v>
      </c>
      <c r="K995" s="129">
        <v>1.0</v>
      </c>
      <c r="L995" s="129">
        <v>1000.0</v>
      </c>
      <c r="M995" s="128" t="s">
        <v>365</v>
      </c>
      <c r="N995" s="129">
        <v>362.0</v>
      </c>
      <c r="O995" s="128" t="s">
        <v>965</v>
      </c>
      <c r="P995" s="129">
        <v>1000.0</v>
      </c>
      <c r="Q995" s="128" t="s">
        <v>220</v>
      </c>
    </row>
    <row r="996">
      <c r="A996" s="129">
        <v>384.0</v>
      </c>
      <c r="B996" s="129">
        <v>2014.0</v>
      </c>
      <c r="C996" s="129">
        <v>22.38</v>
      </c>
      <c r="D996" s="129">
        <v>-25.0197</v>
      </c>
      <c r="E996" s="129">
        <v>31.4969</v>
      </c>
      <c r="F996" s="128" t="s">
        <v>219</v>
      </c>
      <c r="G996" s="128" t="s">
        <v>365</v>
      </c>
      <c r="H996" s="128" t="s">
        <v>295</v>
      </c>
      <c r="I996" s="128" t="s">
        <v>968</v>
      </c>
      <c r="J996" s="129">
        <v>37.0</v>
      </c>
      <c r="K996" s="129">
        <v>1.0</v>
      </c>
      <c r="L996" s="129">
        <v>1000.0</v>
      </c>
      <c r="M996" s="128" t="s">
        <v>365</v>
      </c>
      <c r="N996" s="129">
        <v>362.0</v>
      </c>
      <c r="O996" s="128" t="s">
        <v>965</v>
      </c>
      <c r="P996" s="129">
        <v>1000.0</v>
      </c>
      <c r="Q996" s="128" t="s">
        <v>220</v>
      </c>
    </row>
    <row r="997">
      <c r="A997" s="129">
        <v>385.0</v>
      </c>
      <c r="B997" s="129">
        <v>2014.0</v>
      </c>
      <c r="C997" s="129">
        <v>-3.2</v>
      </c>
      <c r="D997" s="129">
        <v>-25.0197</v>
      </c>
      <c r="E997" s="129">
        <v>31.4969</v>
      </c>
      <c r="F997" s="128" t="s">
        <v>219</v>
      </c>
      <c r="G997" s="128" t="s">
        <v>365</v>
      </c>
      <c r="H997" s="128" t="s">
        <v>317</v>
      </c>
      <c r="I997" s="128" t="s">
        <v>194</v>
      </c>
      <c r="J997" s="129">
        <v>26.0</v>
      </c>
      <c r="K997" s="129">
        <v>1.0</v>
      </c>
      <c r="L997" s="129">
        <v>1000.0</v>
      </c>
      <c r="M997" s="128" t="s">
        <v>365</v>
      </c>
      <c r="N997" s="129">
        <v>362.0</v>
      </c>
      <c r="O997" s="128" t="s">
        <v>965</v>
      </c>
      <c r="P997" s="129">
        <v>1000.0</v>
      </c>
      <c r="Q997" s="128" t="s">
        <v>220</v>
      </c>
    </row>
    <row r="998">
      <c r="A998" s="129">
        <v>386.0</v>
      </c>
      <c r="B998" s="129">
        <v>2014.0</v>
      </c>
      <c r="C998" s="129">
        <v>-55.71</v>
      </c>
      <c r="D998" s="129">
        <v>-25.0197</v>
      </c>
      <c r="E998" s="129">
        <v>31.4969</v>
      </c>
      <c r="F998" s="128" t="s">
        <v>219</v>
      </c>
      <c r="G998" s="128" t="s">
        <v>365</v>
      </c>
      <c r="H998" s="128" t="s">
        <v>350</v>
      </c>
      <c r="I998" s="128" t="s">
        <v>342</v>
      </c>
      <c r="J998" s="129">
        <v>32.0</v>
      </c>
      <c r="K998" s="129">
        <v>1.0</v>
      </c>
      <c r="L998" s="129">
        <v>1000.0</v>
      </c>
      <c r="M998" s="128" t="s">
        <v>365</v>
      </c>
      <c r="N998" s="129">
        <v>362.0</v>
      </c>
      <c r="O998" s="128" t="s">
        <v>965</v>
      </c>
      <c r="P998" s="129">
        <v>1000.0</v>
      </c>
      <c r="Q998" s="128" t="s">
        <v>220</v>
      </c>
    </row>
    <row r="999">
      <c r="A999" s="129">
        <v>387.0</v>
      </c>
      <c r="B999" s="129">
        <v>2014.0</v>
      </c>
      <c r="C999" s="129">
        <v>-51.68</v>
      </c>
      <c r="D999" s="129">
        <v>-25.0197</v>
      </c>
      <c r="E999" s="129">
        <v>31.4969</v>
      </c>
      <c r="F999" s="128" t="s">
        <v>219</v>
      </c>
      <c r="G999" s="128" t="s">
        <v>365</v>
      </c>
      <c r="H999" s="128" t="s">
        <v>506</v>
      </c>
      <c r="I999" s="128" t="s">
        <v>676</v>
      </c>
      <c r="J999" s="129">
        <v>34.0</v>
      </c>
      <c r="K999" s="129">
        <v>1.0</v>
      </c>
      <c r="L999" s="129">
        <v>1000.0</v>
      </c>
      <c r="M999" s="128" t="s">
        <v>365</v>
      </c>
      <c r="N999" s="129">
        <v>362.0</v>
      </c>
      <c r="O999" s="128" t="s">
        <v>965</v>
      </c>
      <c r="P999" s="129">
        <v>1000.0</v>
      </c>
      <c r="Q999" s="128" t="s">
        <v>220</v>
      </c>
    </row>
    <row r="1000">
      <c r="A1000" s="129">
        <v>388.0</v>
      </c>
      <c r="B1000" s="129">
        <v>2014.0</v>
      </c>
      <c r="C1000" s="129">
        <v>-29.5</v>
      </c>
      <c r="D1000" s="129">
        <v>-25.0197</v>
      </c>
      <c r="E1000" s="129">
        <v>31.4969</v>
      </c>
      <c r="F1000" s="128" t="s">
        <v>219</v>
      </c>
      <c r="G1000" s="128" t="s">
        <v>365</v>
      </c>
      <c r="H1000" s="128" t="s">
        <v>536</v>
      </c>
      <c r="I1000" s="128" t="s">
        <v>351</v>
      </c>
      <c r="J1000" s="129">
        <v>36.0</v>
      </c>
      <c r="K1000" s="129">
        <v>1.0</v>
      </c>
      <c r="L1000" s="129">
        <v>1000.0</v>
      </c>
      <c r="M1000" s="128" t="s">
        <v>365</v>
      </c>
      <c r="N1000" s="129">
        <v>362.0</v>
      </c>
      <c r="O1000" s="128" t="s">
        <v>965</v>
      </c>
      <c r="P1000" s="129">
        <v>1000.0</v>
      </c>
      <c r="Q1000" s="128" t="s">
        <v>220</v>
      </c>
    </row>
    <row r="1001">
      <c r="A1001" s="129">
        <v>389.0</v>
      </c>
      <c r="B1001" s="129">
        <v>2014.0</v>
      </c>
      <c r="C1001" s="129">
        <v>-16.44</v>
      </c>
      <c r="D1001" s="129">
        <v>-25.0197</v>
      </c>
      <c r="E1001" s="129">
        <v>31.4969</v>
      </c>
      <c r="F1001" s="128" t="s">
        <v>219</v>
      </c>
      <c r="G1001" s="128" t="s">
        <v>365</v>
      </c>
      <c r="H1001" s="128" t="s">
        <v>969</v>
      </c>
      <c r="I1001" s="128" t="s">
        <v>507</v>
      </c>
      <c r="J1001" s="129">
        <v>44.0</v>
      </c>
      <c r="K1001" s="129">
        <v>1.0</v>
      </c>
      <c r="L1001" s="129">
        <v>1000.0</v>
      </c>
      <c r="M1001" s="128" t="s">
        <v>365</v>
      </c>
      <c r="N1001" s="129">
        <v>362.0</v>
      </c>
      <c r="O1001" s="128" t="s">
        <v>965</v>
      </c>
      <c r="P1001" s="129">
        <v>1000.0</v>
      </c>
      <c r="Q1001" s="128" t="s">
        <v>220</v>
      </c>
    </row>
    <row r="1002">
      <c r="A1002" s="129">
        <v>390.0</v>
      </c>
      <c r="B1002" s="129">
        <v>2014.0</v>
      </c>
      <c r="C1002" s="129">
        <v>21.2</v>
      </c>
      <c r="D1002" s="129">
        <v>-23.8325</v>
      </c>
      <c r="E1002" s="129">
        <v>31.2145</v>
      </c>
      <c r="F1002" s="128" t="s">
        <v>219</v>
      </c>
      <c r="G1002" s="128" t="s">
        <v>970</v>
      </c>
      <c r="H1002" s="128" t="s">
        <v>536</v>
      </c>
      <c r="I1002" s="128" t="s">
        <v>351</v>
      </c>
      <c r="J1002" s="129">
        <v>35.0</v>
      </c>
      <c r="K1002" s="129">
        <v>1.0</v>
      </c>
      <c r="L1002" s="129">
        <v>1000.0</v>
      </c>
      <c r="M1002" s="128" t="s">
        <v>970</v>
      </c>
      <c r="N1002" s="129">
        <v>383.0</v>
      </c>
      <c r="O1002" s="128" t="s">
        <v>965</v>
      </c>
      <c r="P1002" s="129">
        <v>1000.0</v>
      </c>
      <c r="Q1002" s="128" t="s">
        <v>220</v>
      </c>
    </row>
    <row r="1003">
      <c r="A1003" s="129">
        <v>1074.0</v>
      </c>
      <c r="B1003" s="129">
        <v>2021.0</v>
      </c>
      <c r="C1003" s="129">
        <v>19.72</v>
      </c>
      <c r="D1003" s="129">
        <v>-21.64</v>
      </c>
      <c r="E1003" s="129">
        <v>-47.79</v>
      </c>
      <c r="F1003" s="128" t="s">
        <v>1902</v>
      </c>
      <c r="G1003" s="128" t="s">
        <v>1886</v>
      </c>
      <c r="H1003" s="128" t="s">
        <v>1884</v>
      </c>
      <c r="I1003" s="128" t="s">
        <v>1885</v>
      </c>
      <c r="J1003" s="129">
        <v>371.0</v>
      </c>
      <c r="K1003" s="129">
        <v>1.0</v>
      </c>
      <c r="L1003" s="128"/>
      <c r="M1003" s="128"/>
      <c r="N1003" s="129">
        <v>558.0</v>
      </c>
      <c r="O1003" s="128"/>
      <c r="P1003" s="129">
        <v>500.0</v>
      </c>
      <c r="Q1003" s="128" t="s">
        <v>220</v>
      </c>
    </row>
    <row r="1004">
      <c r="A1004" s="129">
        <v>1073.0</v>
      </c>
      <c r="B1004" s="129">
        <v>2021.0</v>
      </c>
      <c r="C1004" s="129">
        <v>13.69</v>
      </c>
      <c r="D1004" s="129">
        <v>-21.62</v>
      </c>
      <c r="E1004" s="129">
        <v>-47.63</v>
      </c>
      <c r="F1004" s="128" t="s">
        <v>1902</v>
      </c>
      <c r="G1004" s="128" t="s">
        <v>1883</v>
      </c>
      <c r="H1004" s="128" t="s">
        <v>1881</v>
      </c>
      <c r="I1004" s="128" t="s">
        <v>1882</v>
      </c>
      <c r="J1004" s="129">
        <v>593.0</v>
      </c>
      <c r="K1004" s="129">
        <v>1.0</v>
      </c>
      <c r="L1004" s="128"/>
      <c r="M1004" s="128"/>
      <c r="N1004" s="129">
        <v>673.0</v>
      </c>
      <c r="O1004" s="128"/>
      <c r="P1004" s="129">
        <v>500.0</v>
      </c>
      <c r="Q1004" s="128" t="s">
        <v>220</v>
      </c>
    </row>
    <row r="1005">
      <c r="A1005" s="129">
        <v>67.0</v>
      </c>
      <c r="B1005" s="129">
        <v>2014.0</v>
      </c>
      <c r="C1005" s="129">
        <v>3.0</v>
      </c>
      <c r="D1005" s="129">
        <v>-21.62</v>
      </c>
      <c r="E1005" s="129">
        <v>-47.65</v>
      </c>
      <c r="F1005" s="128" t="s">
        <v>294</v>
      </c>
      <c r="G1005" s="128" t="s">
        <v>330</v>
      </c>
      <c r="H1005" s="128" t="s">
        <v>328</v>
      </c>
      <c r="I1005" s="128" t="s">
        <v>329</v>
      </c>
      <c r="J1005" s="129">
        <v>92.0</v>
      </c>
      <c r="K1005" s="129">
        <v>1.0</v>
      </c>
      <c r="L1005" s="129">
        <v>1000.0</v>
      </c>
      <c r="M1005" s="128" t="s">
        <v>331</v>
      </c>
      <c r="N1005" s="129">
        <v>664.0</v>
      </c>
      <c r="O1005" s="128"/>
      <c r="P1005" s="129">
        <v>1000.0</v>
      </c>
      <c r="Q1005" s="128" t="s">
        <v>220</v>
      </c>
    </row>
    <row r="1006">
      <c r="A1006" s="129">
        <v>1072.0</v>
      </c>
      <c r="B1006" s="129">
        <v>2021.0</v>
      </c>
      <c r="C1006" s="129">
        <v>2.92</v>
      </c>
      <c r="D1006" s="129">
        <v>-21.58</v>
      </c>
      <c r="E1006" s="129">
        <v>-47.6</v>
      </c>
      <c r="F1006" s="128" t="s">
        <v>1902</v>
      </c>
      <c r="G1006" s="128" t="s">
        <v>1880</v>
      </c>
      <c r="H1006" s="128" t="s">
        <v>341</v>
      </c>
      <c r="I1006" s="128" t="s">
        <v>536</v>
      </c>
      <c r="J1006" s="129">
        <v>259.0</v>
      </c>
      <c r="K1006" s="129">
        <v>1.0</v>
      </c>
      <c r="L1006" s="128"/>
      <c r="M1006" s="128"/>
      <c r="N1006" s="129">
        <v>761.0</v>
      </c>
      <c r="O1006" s="128"/>
      <c r="P1006" s="129">
        <v>500.0</v>
      </c>
      <c r="Q1006" s="128" t="s">
        <v>220</v>
      </c>
    </row>
    <row r="1007">
      <c r="A1007" s="129">
        <v>72.0</v>
      </c>
      <c r="B1007" s="129">
        <v>2014.0</v>
      </c>
      <c r="C1007" s="129">
        <v>45.0</v>
      </c>
      <c r="D1007" s="129">
        <v>-19.92</v>
      </c>
      <c r="E1007" s="129">
        <v>23.56</v>
      </c>
      <c r="F1007" s="128" t="s">
        <v>294</v>
      </c>
      <c r="G1007" s="128" t="s">
        <v>358</v>
      </c>
      <c r="H1007" s="128" t="s">
        <v>356</v>
      </c>
      <c r="I1007" s="128" t="s">
        <v>357</v>
      </c>
      <c r="J1007" s="129">
        <v>92.0</v>
      </c>
      <c r="K1007" s="129">
        <v>1.0</v>
      </c>
      <c r="L1007" s="129">
        <v>1000.0</v>
      </c>
      <c r="M1007" s="128" t="s">
        <v>359</v>
      </c>
      <c r="N1007" s="129">
        <v>948.0</v>
      </c>
      <c r="O1007" s="128"/>
      <c r="P1007" s="129">
        <v>1000.0</v>
      </c>
      <c r="Q1007" s="128" t="s">
        <v>220</v>
      </c>
    </row>
    <row r="1008">
      <c r="A1008" s="129">
        <v>1071.0</v>
      </c>
      <c r="B1008" s="129">
        <v>2021.0</v>
      </c>
      <c r="C1008" s="129">
        <v>13.26</v>
      </c>
      <c r="D1008" s="129">
        <v>-16.49</v>
      </c>
      <c r="E1008" s="129">
        <v>-56.41</v>
      </c>
      <c r="F1008" s="128" t="s">
        <v>1902</v>
      </c>
      <c r="G1008" s="128" t="s">
        <v>1879</v>
      </c>
      <c r="H1008" s="128" t="s">
        <v>245</v>
      </c>
      <c r="I1008" s="128" t="s">
        <v>1878</v>
      </c>
      <c r="J1008" s="129">
        <v>461.0</v>
      </c>
      <c r="K1008" s="129">
        <v>1.0</v>
      </c>
      <c r="L1008" s="128"/>
      <c r="M1008" s="128"/>
      <c r="N1008" s="129">
        <v>122.0</v>
      </c>
      <c r="O1008" s="128"/>
      <c r="P1008" s="129">
        <v>500.0</v>
      </c>
      <c r="Q1008" s="128" t="s">
        <v>220</v>
      </c>
    </row>
    <row r="1009">
      <c r="A1009" s="129">
        <v>1070.0</v>
      </c>
      <c r="B1009" s="129">
        <v>2021.0</v>
      </c>
      <c r="C1009" s="129">
        <v>-3.81</v>
      </c>
      <c r="D1009" s="129">
        <v>-15.72</v>
      </c>
      <c r="E1009" s="129">
        <v>-56.07</v>
      </c>
      <c r="F1009" s="128" t="s">
        <v>1902</v>
      </c>
      <c r="G1009" s="128" t="s">
        <v>1877</v>
      </c>
      <c r="H1009" s="128" t="s">
        <v>233</v>
      </c>
      <c r="I1009" s="128" t="s">
        <v>1876</v>
      </c>
      <c r="J1009" s="129">
        <v>135.0</v>
      </c>
      <c r="K1009" s="129">
        <v>1.0</v>
      </c>
      <c r="L1009" s="128"/>
      <c r="M1009" s="128"/>
      <c r="N1009" s="129">
        <v>181.0</v>
      </c>
      <c r="O1009" s="128"/>
      <c r="P1009" s="129">
        <v>500.0</v>
      </c>
      <c r="Q1009" s="128" t="s">
        <v>220</v>
      </c>
    </row>
    <row r="1010">
      <c r="A1010" s="129">
        <v>69.0</v>
      </c>
      <c r="B1010" s="129">
        <v>2014.0</v>
      </c>
      <c r="C1010" s="129">
        <v>4.0</v>
      </c>
      <c r="D1010" s="129">
        <v>-12.54</v>
      </c>
      <c r="E1010" s="129">
        <v>131.31</v>
      </c>
      <c r="F1010" s="128" t="s">
        <v>294</v>
      </c>
      <c r="G1010" s="128" t="s">
        <v>343</v>
      </c>
      <c r="H1010" s="128" t="s">
        <v>341</v>
      </c>
      <c r="I1010" s="128" t="s">
        <v>342</v>
      </c>
      <c r="J1010" s="129">
        <v>92.0</v>
      </c>
      <c r="K1010" s="129">
        <v>1.0</v>
      </c>
      <c r="L1010" s="129">
        <v>1000.0</v>
      </c>
      <c r="M1010" s="128" t="s">
        <v>344</v>
      </c>
      <c r="N1010" s="129">
        <v>2.0</v>
      </c>
      <c r="O1010" s="128"/>
      <c r="P1010" s="129">
        <v>1000.0</v>
      </c>
      <c r="Q1010" s="128" t="s">
        <v>220</v>
      </c>
    </row>
    <row r="1011">
      <c r="A1011" s="129">
        <v>68.0</v>
      </c>
      <c r="B1011" s="129">
        <v>2014.0</v>
      </c>
      <c r="C1011" s="129">
        <v>1.0</v>
      </c>
      <c r="D1011" s="129">
        <v>-12.49</v>
      </c>
      <c r="E1011" s="129">
        <v>131.15</v>
      </c>
      <c r="F1011" s="128" t="s">
        <v>294</v>
      </c>
      <c r="G1011" s="128" t="s">
        <v>337</v>
      </c>
      <c r="H1011" s="128" t="s">
        <v>284</v>
      </c>
      <c r="I1011" s="128" t="s">
        <v>285</v>
      </c>
      <c r="J1011" s="129">
        <v>230.0</v>
      </c>
      <c r="K1011" s="129">
        <v>1.0</v>
      </c>
      <c r="L1011" s="129">
        <v>1000.0</v>
      </c>
      <c r="M1011" s="128" t="s">
        <v>338</v>
      </c>
      <c r="N1011" s="129">
        <v>37.0</v>
      </c>
      <c r="O1011" s="128"/>
      <c r="P1011" s="129">
        <v>1000.0</v>
      </c>
      <c r="Q1011" s="128" t="s">
        <v>220</v>
      </c>
    </row>
    <row r="1012">
      <c r="A1012" s="129">
        <v>1069.0</v>
      </c>
      <c r="B1012" s="129">
        <v>2021.0</v>
      </c>
      <c r="C1012" s="129">
        <v>14.92</v>
      </c>
      <c r="D1012" s="129">
        <v>-11.41</v>
      </c>
      <c r="E1012" s="129">
        <v>-55.32</v>
      </c>
      <c r="F1012" s="128" t="s">
        <v>1902</v>
      </c>
      <c r="G1012" s="128" t="s">
        <v>1875</v>
      </c>
      <c r="H1012" s="128" t="s">
        <v>350</v>
      </c>
      <c r="I1012" s="128" t="s">
        <v>506</v>
      </c>
      <c r="J1012" s="129">
        <v>101.0</v>
      </c>
      <c r="K1012" s="129">
        <v>1.0</v>
      </c>
      <c r="L1012" s="128"/>
      <c r="M1012" s="128"/>
      <c r="N1012" s="129">
        <v>317.0</v>
      </c>
      <c r="O1012" s="128"/>
      <c r="P1012" s="129">
        <v>500.0</v>
      </c>
      <c r="Q1012" s="128" t="s">
        <v>220</v>
      </c>
    </row>
    <row r="1013">
      <c r="A1013" s="129">
        <v>1068.0</v>
      </c>
      <c r="B1013" s="129">
        <v>2021.0</v>
      </c>
      <c r="C1013" s="129">
        <v>-13.53</v>
      </c>
      <c r="D1013" s="129">
        <v>-10.77</v>
      </c>
      <c r="E1013" s="129">
        <v>-62.34</v>
      </c>
      <c r="F1013" s="128" t="s">
        <v>1902</v>
      </c>
      <c r="G1013" s="128" t="s">
        <v>1874</v>
      </c>
      <c r="H1013" s="128" t="s">
        <v>1872</v>
      </c>
      <c r="I1013" s="128" t="s">
        <v>1873</v>
      </c>
      <c r="J1013" s="129">
        <v>436.0</v>
      </c>
      <c r="K1013" s="129">
        <v>1.0</v>
      </c>
      <c r="L1013" s="128"/>
      <c r="M1013" s="128"/>
      <c r="N1013" s="129">
        <v>267.0</v>
      </c>
      <c r="O1013" s="128"/>
      <c r="P1013" s="129">
        <v>500.0</v>
      </c>
      <c r="Q1013" s="128" t="s">
        <v>220</v>
      </c>
    </row>
    <row r="1014">
      <c r="A1014" s="129">
        <v>1067.0</v>
      </c>
      <c r="B1014" s="129">
        <v>2021.0</v>
      </c>
      <c r="C1014" s="129">
        <v>13.88</v>
      </c>
      <c r="D1014" s="129">
        <v>-10.08</v>
      </c>
      <c r="E1014" s="129">
        <v>-61.93</v>
      </c>
      <c r="F1014" s="128" t="s">
        <v>1902</v>
      </c>
      <c r="G1014" s="128" t="s">
        <v>1871</v>
      </c>
      <c r="H1014" s="128" t="s">
        <v>356</v>
      </c>
      <c r="I1014" s="128" t="s">
        <v>193</v>
      </c>
      <c r="J1014" s="129">
        <v>182.0</v>
      </c>
      <c r="K1014" s="129">
        <v>1.0</v>
      </c>
      <c r="L1014" s="128"/>
      <c r="M1014" s="128"/>
      <c r="N1014" s="129">
        <v>148.0</v>
      </c>
      <c r="O1014" s="128"/>
      <c r="P1014" s="129">
        <v>500.0</v>
      </c>
      <c r="Q1014" s="128" t="s">
        <v>220</v>
      </c>
    </row>
    <row r="1015">
      <c r="A1015" s="129">
        <v>1066.0</v>
      </c>
      <c r="B1015" s="129">
        <v>2021.0</v>
      </c>
      <c r="C1015" s="129">
        <v>8.1</v>
      </c>
      <c r="D1015" s="129">
        <v>-9.82</v>
      </c>
      <c r="E1015" s="129">
        <v>-50.16</v>
      </c>
      <c r="F1015" s="128" t="s">
        <v>1902</v>
      </c>
      <c r="G1015" s="128" t="s">
        <v>1870</v>
      </c>
      <c r="H1015" s="128" t="s">
        <v>1869</v>
      </c>
      <c r="I1015" s="128" t="s">
        <v>350</v>
      </c>
      <c r="J1015" s="129">
        <v>352.0</v>
      </c>
      <c r="K1015" s="129">
        <v>1.0</v>
      </c>
      <c r="L1015" s="128"/>
      <c r="M1015" s="128"/>
      <c r="N1015" s="129">
        <v>177.0</v>
      </c>
      <c r="O1015" s="128"/>
      <c r="P1015" s="129">
        <v>500.0</v>
      </c>
      <c r="Q1015" s="128" t="s">
        <v>220</v>
      </c>
    </row>
    <row r="1016">
      <c r="A1016" s="129">
        <v>1065.0</v>
      </c>
      <c r="B1016" s="129">
        <v>2021.0</v>
      </c>
      <c r="C1016" s="129">
        <v>16.52</v>
      </c>
      <c r="D1016" s="129">
        <v>-9.05</v>
      </c>
      <c r="E1016" s="129">
        <v>-40.32</v>
      </c>
      <c r="F1016" s="128" t="s">
        <v>1902</v>
      </c>
      <c r="G1016" s="128" t="s">
        <v>1868</v>
      </c>
      <c r="H1016" s="128" t="s">
        <v>233</v>
      </c>
      <c r="I1016" s="128" t="s">
        <v>242</v>
      </c>
      <c r="J1016" s="129">
        <v>242.0</v>
      </c>
      <c r="K1016" s="129">
        <v>1.0</v>
      </c>
      <c r="L1016" s="128"/>
      <c r="M1016" s="128"/>
      <c r="N1016" s="129">
        <v>390.0</v>
      </c>
      <c r="O1016" s="128"/>
      <c r="P1016" s="129">
        <v>500.0</v>
      </c>
      <c r="Q1016" s="128" t="s">
        <v>220</v>
      </c>
    </row>
    <row r="1017">
      <c r="A1017" s="129">
        <v>1064.0</v>
      </c>
      <c r="B1017" s="129">
        <v>2021.0</v>
      </c>
      <c r="C1017" s="129">
        <v>14.06</v>
      </c>
      <c r="D1017" s="129">
        <v>-8.81</v>
      </c>
      <c r="E1017" s="129">
        <v>-36.41</v>
      </c>
      <c r="F1017" s="128" t="s">
        <v>1902</v>
      </c>
      <c r="G1017" s="128" t="s">
        <v>1867</v>
      </c>
      <c r="H1017" s="128" t="s">
        <v>167</v>
      </c>
      <c r="I1017" s="128" t="s">
        <v>245</v>
      </c>
      <c r="J1017" s="129">
        <v>212.0</v>
      </c>
      <c r="K1017" s="129">
        <v>1.0</v>
      </c>
      <c r="L1017" s="128"/>
      <c r="M1017" s="128"/>
      <c r="N1017" s="129">
        <v>688.0</v>
      </c>
      <c r="O1017" s="128"/>
      <c r="P1017" s="129">
        <v>500.0</v>
      </c>
      <c r="Q1017" s="128" t="s">
        <v>220</v>
      </c>
    </row>
    <row r="1018">
      <c r="A1018" s="129">
        <v>1063.0</v>
      </c>
      <c r="B1018" s="129">
        <v>2021.0</v>
      </c>
      <c r="C1018" s="129">
        <v>27.01</v>
      </c>
      <c r="D1018" s="129">
        <v>-7.96</v>
      </c>
      <c r="E1018" s="129">
        <v>-38.38</v>
      </c>
      <c r="F1018" s="128" t="s">
        <v>1902</v>
      </c>
      <c r="G1018" s="128" t="s">
        <v>1866</v>
      </c>
      <c r="H1018" s="128" t="s">
        <v>1864</v>
      </c>
      <c r="I1018" s="128" t="s">
        <v>1865</v>
      </c>
      <c r="J1018" s="129">
        <v>474.0</v>
      </c>
      <c r="K1018" s="129">
        <v>1.0</v>
      </c>
      <c r="L1018" s="128"/>
      <c r="M1018" s="128"/>
      <c r="N1018" s="129">
        <v>469.0</v>
      </c>
      <c r="O1018" s="128"/>
      <c r="P1018" s="129">
        <v>500.0</v>
      </c>
      <c r="Q1018" s="128" t="s">
        <v>220</v>
      </c>
    </row>
    <row r="1019">
      <c r="A1019" s="129">
        <v>1062.0</v>
      </c>
      <c r="B1019" s="129">
        <v>2021.0</v>
      </c>
      <c r="C1019" s="129">
        <v>1.08</v>
      </c>
      <c r="D1019" s="129">
        <v>-6.58</v>
      </c>
      <c r="E1019" s="129">
        <v>-37.25</v>
      </c>
      <c r="F1019" s="128" t="s">
        <v>1902</v>
      </c>
      <c r="G1019" s="128" t="s">
        <v>1862</v>
      </c>
      <c r="H1019" s="128" t="s">
        <v>245</v>
      </c>
      <c r="I1019" s="128" t="s">
        <v>837</v>
      </c>
      <c r="J1019" s="129">
        <v>288.0</v>
      </c>
      <c r="K1019" s="129">
        <v>1.0</v>
      </c>
      <c r="L1019" s="128"/>
      <c r="M1019" s="128"/>
      <c r="N1019" s="129">
        <v>192.0</v>
      </c>
      <c r="O1019" s="128"/>
      <c r="P1019" s="129">
        <v>500.0</v>
      </c>
      <c r="Q1019" s="128" t="s">
        <v>220</v>
      </c>
    </row>
    <row r="1020">
      <c r="A1020" s="129">
        <v>856.0</v>
      </c>
      <c r="B1020" s="129">
        <v>2020.0</v>
      </c>
      <c r="C1020" s="129">
        <v>-7.1</v>
      </c>
      <c r="D1020" s="129">
        <v>-6.34468</v>
      </c>
      <c r="E1020" s="129">
        <v>-37.1456</v>
      </c>
      <c r="F1020" s="128" t="s">
        <v>1589</v>
      </c>
      <c r="G1020" s="128" t="s">
        <v>1580</v>
      </c>
      <c r="H1020" s="128" t="s">
        <v>245</v>
      </c>
      <c r="I1020" s="128" t="s">
        <v>168</v>
      </c>
      <c r="J1020" s="128"/>
      <c r="K1020" s="129">
        <v>1.0</v>
      </c>
      <c r="L1020" s="129">
        <v>500.0</v>
      </c>
      <c r="M1020" s="128" t="s">
        <v>1581</v>
      </c>
      <c r="N1020" s="129">
        <v>155.0</v>
      </c>
      <c r="O1020" s="128" t="s">
        <v>1585</v>
      </c>
      <c r="P1020" s="129">
        <v>500.0</v>
      </c>
      <c r="Q1020" s="128" t="s">
        <v>220</v>
      </c>
    </row>
    <row r="1021">
      <c r="A1021" s="129">
        <v>1061.0</v>
      </c>
      <c r="B1021" s="129">
        <v>2021.0</v>
      </c>
      <c r="C1021" s="129">
        <v>-7.7</v>
      </c>
      <c r="D1021" s="129">
        <v>-3.02</v>
      </c>
      <c r="E1021" s="129">
        <v>-54.97</v>
      </c>
      <c r="F1021" s="128" t="s">
        <v>1902</v>
      </c>
      <c r="G1021" s="128" t="s">
        <v>1861</v>
      </c>
      <c r="H1021" s="128" t="s">
        <v>1860</v>
      </c>
      <c r="I1021" s="128" t="s">
        <v>295</v>
      </c>
      <c r="J1021" s="129">
        <v>224.0</v>
      </c>
      <c r="K1021" s="129">
        <v>1.0</v>
      </c>
      <c r="L1021" s="128"/>
      <c r="M1021" s="128"/>
      <c r="N1021" s="129">
        <v>187.0</v>
      </c>
      <c r="O1021" s="128"/>
      <c r="P1021" s="129">
        <v>500.0</v>
      </c>
      <c r="Q1021" s="128" t="s">
        <v>220</v>
      </c>
    </row>
    <row r="1022">
      <c r="A1022" s="129">
        <v>1060.0</v>
      </c>
      <c r="B1022" s="129">
        <v>2021.0</v>
      </c>
      <c r="C1022" s="129">
        <v>38.84</v>
      </c>
      <c r="D1022" s="129">
        <v>-3.01</v>
      </c>
      <c r="E1022" s="129">
        <v>-54.54</v>
      </c>
      <c r="F1022" s="128" t="s">
        <v>1902</v>
      </c>
      <c r="G1022" s="128" t="s">
        <v>1859</v>
      </c>
      <c r="H1022" s="128" t="s">
        <v>328</v>
      </c>
      <c r="I1022" s="128" t="s">
        <v>285</v>
      </c>
      <c r="J1022" s="129">
        <v>123.0</v>
      </c>
      <c r="K1022" s="129">
        <v>1.0</v>
      </c>
      <c r="L1022" s="128"/>
      <c r="M1022" s="128"/>
      <c r="N1022" s="129">
        <v>69.0</v>
      </c>
      <c r="O1022" s="128"/>
      <c r="P1022" s="129">
        <v>500.0</v>
      </c>
      <c r="Q1022" s="128" t="s">
        <v>220</v>
      </c>
    </row>
    <row r="1023">
      <c r="A1023" s="129">
        <v>1059.0</v>
      </c>
      <c r="B1023" s="129">
        <v>2021.0</v>
      </c>
      <c r="C1023" s="129">
        <v>-2.62</v>
      </c>
      <c r="D1023" s="129">
        <v>-2.86</v>
      </c>
      <c r="E1023" s="129">
        <v>-54.96</v>
      </c>
      <c r="F1023" s="128" t="s">
        <v>1902</v>
      </c>
      <c r="G1023" s="128" t="s">
        <v>1858</v>
      </c>
      <c r="H1023" s="128" t="s">
        <v>284</v>
      </c>
      <c r="I1023" s="128" t="s">
        <v>194</v>
      </c>
      <c r="J1023" s="129">
        <v>395.0</v>
      </c>
      <c r="K1023" s="129">
        <v>1.0</v>
      </c>
      <c r="L1023" s="128"/>
      <c r="M1023" s="128"/>
      <c r="N1023" s="129">
        <v>199.0</v>
      </c>
      <c r="O1023" s="128"/>
      <c r="P1023" s="129">
        <v>500.0</v>
      </c>
      <c r="Q1023" s="128" t="s">
        <v>220</v>
      </c>
    </row>
    <row r="1024">
      <c r="A1024" s="129">
        <v>1058.0</v>
      </c>
      <c r="B1024" s="129">
        <v>2021.0</v>
      </c>
      <c r="C1024" s="129">
        <v>3.54</v>
      </c>
      <c r="D1024" s="129">
        <v>-2.61</v>
      </c>
      <c r="E1024" s="129">
        <v>-60.21</v>
      </c>
      <c r="F1024" s="128" t="s">
        <v>1902</v>
      </c>
      <c r="G1024" s="128" t="s">
        <v>1857</v>
      </c>
      <c r="H1024" s="128" t="s">
        <v>356</v>
      </c>
      <c r="I1024" s="128" t="s">
        <v>350</v>
      </c>
      <c r="J1024" s="129">
        <v>78.0</v>
      </c>
      <c r="K1024" s="129">
        <v>1.0</v>
      </c>
      <c r="L1024" s="128"/>
      <c r="M1024" s="128"/>
      <c r="N1024" s="129">
        <v>114.0</v>
      </c>
      <c r="O1024" s="128"/>
      <c r="P1024" s="129">
        <v>500.0</v>
      </c>
      <c r="Q1024" s="128" t="s">
        <v>220</v>
      </c>
    </row>
    <row r="1025">
      <c r="A1025" s="129">
        <v>1057.0</v>
      </c>
      <c r="B1025" s="129">
        <v>2021.0</v>
      </c>
      <c r="C1025" s="129">
        <v>-5.28</v>
      </c>
      <c r="D1025" s="129">
        <v>-1.72</v>
      </c>
      <c r="E1025" s="129">
        <v>-51.46</v>
      </c>
      <c r="F1025" s="128" t="s">
        <v>1902</v>
      </c>
      <c r="G1025" s="128" t="s">
        <v>1854</v>
      </c>
      <c r="H1025" s="128" t="s">
        <v>356</v>
      </c>
      <c r="I1025" s="128" t="s">
        <v>968</v>
      </c>
      <c r="J1025" s="129">
        <v>33.0</v>
      </c>
      <c r="K1025" s="129">
        <v>1.0</v>
      </c>
      <c r="L1025" s="128"/>
      <c r="M1025" s="128"/>
      <c r="N1025" s="129">
        <v>45.0</v>
      </c>
      <c r="O1025" s="128"/>
      <c r="P1025" s="129">
        <v>500.0</v>
      </c>
      <c r="Q1025" s="128" t="s">
        <v>220</v>
      </c>
    </row>
    <row r="1026">
      <c r="A1026" s="129">
        <v>71.0</v>
      </c>
      <c r="B1026" s="129">
        <v>2014.0</v>
      </c>
      <c r="C1026" s="129">
        <v>19.0</v>
      </c>
      <c r="D1026" s="129">
        <v>13.28</v>
      </c>
      <c r="E1026" s="129">
        <v>30.48</v>
      </c>
      <c r="F1026" s="128" t="s">
        <v>294</v>
      </c>
      <c r="G1026" s="128" t="s">
        <v>352</v>
      </c>
      <c r="H1026" s="128" t="s">
        <v>350</v>
      </c>
      <c r="I1026" s="128" t="s">
        <v>351</v>
      </c>
      <c r="J1026" s="129">
        <v>138.0</v>
      </c>
      <c r="K1026" s="129">
        <v>1.0</v>
      </c>
      <c r="L1026" s="129">
        <v>1000.0</v>
      </c>
      <c r="M1026" s="128" t="s">
        <v>353</v>
      </c>
      <c r="N1026" s="129">
        <v>541.0</v>
      </c>
      <c r="O1026" s="128"/>
      <c r="P1026" s="129">
        <v>1000.0</v>
      </c>
      <c r="Q1026" s="128" t="s">
        <v>220</v>
      </c>
    </row>
    <row r="1027">
      <c r="A1027" s="129">
        <v>980.0</v>
      </c>
      <c r="B1027" s="129">
        <v>2021.0</v>
      </c>
      <c r="C1027" s="129">
        <v>53.7</v>
      </c>
      <c r="D1027" s="129">
        <v>14.59</v>
      </c>
      <c r="E1027" s="129">
        <v>98.844</v>
      </c>
      <c r="F1027" s="128" t="s">
        <v>1761</v>
      </c>
      <c r="G1027" s="128" t="s">
        <v>1771</v>
      </c>
      <c r="H1027" s="128" t="s">
        <v>193</v>
      </c>
      <c r="I1027" s="128" t="s">
        <v>968</v>
      </c>
      <c r="J1027" s="128"/>
      <c r="K1027" s="129">
        <v>1.0</v>
      </c>
      <c r="L1027" s="128"/>
      <c r="M1027" s="128"/>
      <c r="N1027" s="129">
        <v>357.0</v>
      </c>
      <c r="O1027" s="128"/>
      <c r="P1027" s="129">
        <v>1000.0</v>
      </c>
      <c r="Q1027" s="128" t="s">
        <v>220</v>
      </c>
    </row>
    <row r="1028">
      <c r="A1028" s="129">
        <v>977.0</v>
      </c>
      <c r="B1028" s="129">
        <v>2021.0</v>
      </c>
      <c r="C1028" s="129">
        <v>152.9</v>
      </c>
      <c r="D1028" s="129">
        <v>14.59</v>
      </c>
      <c r="E1028" s="129">
        <v>98.844</v>
      </c>
      <c r="F1028" s="128" t="s">
        <v>219</v>
      </c>
      <c r="G1028" s="128" t="s">
        <v>1771</v>
      </c>
      <c r="H1028" s="128" t="s">
        <v>193</v>
      </c>
      <c r="I1028" s="128" t="s">
        <v>968</v>
      </c>
      <c r="J1028" s="128"/>
      <c r="K1028" s="129">
        <v>1.0</v>
      </c>
      <c r="L1028" s="128"/>
      <c r="M1028" s="128"/>
      <c r="N1028" s="129">
        <v>357.0</v>
      </c>
      <c r="O1028" s="128"/>
      <c r="P1028" s="129">
        <v>1000.0</v>
      </c>
      <c r="Q1028" s="128" t="s">
        <v>220</v>
      </c>
    </row>
    <row r="1029">
      <c r="A1029" s="129">
        <v>982.0</v>
      </c>
      <c r="B1029" s="129">
        <v>2021.0</v>
      </c>
      <c r="C1029" s="129">
        <v>-5.6</v>
      </c>
      <c r="D1029" s="129">
        <v>23.167</v>
      </c>
      <c r="E1029" s="129">
        <v>112.567</v>
      </c>
      <c r="F1029" s="128" t="s">
        <v>1761</v>
      </c>
      <c r="G1029" s="128" t="s">
        <v>587</v>
      </c>
      <c r="H1029" s="128" t="s">
        <v>193</v>
      </c>
      <c r="I1029" s="128" t="s">
        <v>194</v>
      </c>
      <c r="J1029" s="128"/>
      <c r="K1029" s="129">
        <v>1.0</v>
      </c>
      <c r="L1029" s="128"/>
      <c r="M1029" s="128"/>
      <c r="N1029" s="129">
        <v>4.0</v>
      </c>
      <c r="O1029" s="128"/>
      <c r="P1029" s="129">
        <v>1000.0</v>
      </c>
      <c r="Q1029" s="128" t="s">
        <v>220</v>
      </c>
    </row>
    <row r="1030">
      <c r="A1030" s="129">
        <v>979.0</v>
      </c>
      <c r="B1030" s="129">
        <v>2021.0</v>
      </c>
      <c r="C1030" s="129">
        <v>46.7</v>
      </c>
      <c r="D1030" s="129">
        <v>23.167</v>
      </c>
      <c r="E1030" s="129">
        <v>112.567</v>
      </c>
      <c r="F1030" s="128" t="s">
        <v>219</v>
      </c>
      <c r="G1030" s="128" t="s">
        <v>587</v>
      </c>
      <c r="H1030" s="128" t="s">
        <v>193</v>
      </c>
      <c r="I1030" s="128" t="s">
        <v>194</v>
      </c>
      <c r="J1030" s="128"/>
      <c r="K1030" s="129">
        <v>1.0</v>
      </c>
      <c r="L1030" s="128"/>
      <c r="M1030" s="128"/>
      <c r="N1030" s="129">
        <v>4.0</v>
      </c>
      <c r="O1030" s="128"/>
      <c r="P1030" s="129">
        <v>1000.0</v>
      </c>
      <c r="Q1030" s="128" t="s">
        <v>220</v>
      </c>
    </row>
    <row r="1031">
      <c r="A1031" s="129">
        <v>627.0</v>
      </c>
      <c r="B1031" s="129">
        <v>2014.0</v>
      </c>
      <c r="C1031" s="129">
        <v>1.0</v>
      </c>
      <c r="D1031" s="129">
        <v>23.17</v>
      </c>
      <c r="E1031" s="129">
        <v>112.53</v>
      </c>
      <c r="F1031" s="128" t="s">
        <v>1190</v>
      </c>
      <c r="G1031" s="128" t="s">
        <v>586</v>
      </c>
      <c r="H1031" s="128" t="s">
        <v>284</v>
      </c>
      <c r="I1031" s="128" t="s">
        <v>676</v>
      </c>
      <c r="J1031" s="128"/>
      <c r="K1031" s="129">
        <v>1.0</v>
      </c>
      <c r="L1031" s="129">
        <v>10000.0</v>
      </c>
      <c r="M1031" s="128" t="s">
        <v>587</v>
      </c>
      <c r="N1031" s="129">
        <v>346.0</v>
      </c>
      <c r="O1031" s="128"/>
      <c r="P1031" s="129">
        <v>10000.0</v>
      </c>
      <c r="Q1031" s="128" t="s">
        <v>220</v>
      </c>
    </row>
    <row r="1032">
      <c r="A1032" s="129">
        <v>981.0</v>
      </c>
      <c r="B1032" s="129">
        <v>2021.0</v>
      </c>
      <c r="C1032" s="129">
        <v>-18.1</v>
      </c>
      <c r="D1032" s="129">
        <v>24.583</v>
      </c>
      <c r="E1032" s="129">
        <v>121.4</v>
      </c>
      <c r="F1032" s="128" t="s">
        <v>1761</v>
      </c>
      <c r="G1032" s="128" t="s">
        <v>1758</v>
      </c>
      <c r="H1032" s="128" t="s">
        <v>350</v>
      </c>
      <c r="I1032" s="128" t="s">
        <v>351</v>
      </c>
      <c r="J1032" s="128"/>
      <c r="K1032" s="129">
        <v>1.0</v>
      </c>
      <c r="L1032" s="128"/>
      <c r="M1032" s="128"/>
      <c r="N1032" s="129">
        <v>1911.0</v>
      </c>
      <c r="O1032" s="128"/>
      <c r="P1032" s="129">
        <v>1000.0</v>
      </c>
      <c r="Q1032" s="128" t="s">
        <v>220</v>
      </c>
    </row>
    <row r="1033">
      <c r="A1033" s="129">
        <v>978.0</v>
      </c>
      <c r="B1033" s="129">
        <v>2021.0</v>
      </c>
      <c r="C1033" s="129">
        <v>29.7</v>
      </c>
      <c r="D1033" s="129">
        <v>24.583</v>
      </c>
      <c r="E1033" s="129">
        <v>121.4</v>
      </c>
      <c r="F1033" s="128" t="s">
        <v>219</v>
      </c>
      <c r="G1033" s="128" t="s">
        <v>1758</v>
      </c>
      <c r="H1033" s="128" t="s">
        <v>350</v>
      </c>
      <c r="I1033" s="128" t="s">
        <v>351</v>
      </c>
      <c r="J1033" s="128"/>
      <c r="K1033" s="129">
        <v>1.0</v>
      </c>
      <c r="L1033" s="128"/>
      <c r="M1033" s="128"/>
      <c r="N1033" s="129">
        <v>1911.0</v>
      </c>
      <c r="O1033" s="128"/>
      <c r="P1033" s="129">
        <v>1000.0</v>
      </c>
      <c r="Q1033" s="128" t="s">
        <v>220</v>
      </c>
    </row>
    <row r="1034">
      <c r="A1034" s="129">
        <v>631.0</v>
      </c>
      <c r="B1034" s="129">
        <v>2014.0</v>
      </c>
      <c r="C1034" s="129">
        <v>-20.0</v>
      </c>
      <c r="D1034" s="129">
        <v>26.74</v>
      </c>
      <c r="E1034" s="129">
        <v>115.07</v>
      </c>
      <c r="F1034" s="128" t="s">
        <v>1190</v>
      </c>
      <c r="G1034" s="128" t="s">
        <v>195</v>
      </c>
      <c r="H1034" s="128" t="s">
        <v>284</v>
      </c>
      <c r="I1034" s="128" t="s">
        <v>676</v>
      </c>
      <c r="J1034" s="128"/>
      <c r="K1034" s="129">
        <v>1.0</v>
      </c>
      <c r="L1034" s="129">
        <v>10000.0</v>
      </c>
      <c r="M1034" s="128" t="s">
        <v>196</v>
      </c>
      <c r="N1034" s="129">
        <v>73.0</v>
      </c>
      <c r="O1034" s="128"/>
      <c r="P1034" s="129">
        <v>10000.0</v>
      </c>
      <c r="Q1034" s="128" t="s">
        <v>220</v>
      </c>
    </row>
    <row r="1035">
      <c r="A1035" s="129">
        <v>1368.0</v>
      </c>
      <c r="B1035" s="129">
        <v>2017.0</v>
      </c>
      <c r="C1035" s="129">
        <v>-73.0</v>
      </c>
      <c r="D1035" s="129">
        <v>29.7381</v>
      </c>
      <c r="E1035" s="129">
        <v>-82.2188</v>
      </c>
      <c r="F1035" s="128" t="s">
        <v>219</v>
      </c>
      <c r="G1035" s="128" t="s">
        <v>330</v>
      </c>
      <c r="H1035" s="128"/>
      <c r="I1035" s="128"/>
      <c r="J1035" s="128"/>
      <c r="K1035" s="129">
        <v>1.0</v>
      </c>
      <c r="L1035" s="128"/>
      <c r="M1035" s="128" t="s">
        <v>331</v>
      </c>
      <c r="N1035" s="129">
        <v>50.0</v>
      </c>
      <c r="O1035" s="128"/>
      <c r="P1035" s="128"/>
      <c r="Q1035" s="128" t="s">
        <v>220</v>
      </c>
    </row>
    <row r="1036">
      <c r="A1036" s="129">
        <v>59.0</v>
      </c>
      <c r="B1036" s="129">
        <v>2014.0</v>
      </c>
      <c r="C1036" s="129">
        <v>26.0</v>
      </c>
      <c r="D1036" s="129">
        <v>29.95</v>
      </c>
      <c r="E1036" s="129">
        <v>-97.99</v>
      </c>
      <c r="F1036" s="128" t="s">
        <v>294</v>
      </c>
      <c r="G1036" s="128" t="s">
        <v>296</v>
      </c>
      <c r="H1036" s="128" t="s">
        <v>295</v>
      </c>
      <c r="I1036" s="128" t="s">
        <v>285</v>
      </c>
      <c r="J1036" s="129">
        <v>138.0</v>
      </c>
      <c r="K1036" s="129">
        <v>1.0</v>
      </c>
      <c r="L1036" s="129">
        <v>1000.0</v>
      </c>
      <c r="M1036" s="128" t="s">
        <v>297</v>
      </c>
      <c r="N1036" s="129">
        <v>260.0</v>
      </c>
      <c r="O1036" s="128"/>
      <c r="P1036" s="129">
        <v>1000.0</v>
      </c>
      <c r="Q1036" s="128" t="s">
        <v>220</v>
      </c>
    </row>
    <row r="1037">
      <c r="A1037" s="129">
        <v>625.0</v>
      </c>
      <c r="B1037" s="129">
        <v>2014.0</v>
      </c>
      <c r="C1037" s="129">
        <v>-12.0</v>
      </c>
      <c r="D1037" s="129">
        <v>30.48</v>
      </c>
      <c r="E1037" s="129">
        <v>116.98</v>
      </c>
      <c r="F1037" s="128" t="s">
        <v>1190</v>
      </c>
      <c r="G1037" s="128" t="s">
        <v>1214</v>
      </c>
      <c r="H1037" s="128" t="s">
        <v>317</v>
      </c>
      <c r="I1037" s="128" t="s">
        <v>285</v>
      </c>
      <c r="J1037" s="128"/>
      <c r="K1037" s="129">
        <v>1.0</v>
      </c>
      <c r="L1037" s="129">
        <v>10000.0</v>
      </c>
      <c r="M1037" s="128" t="s">
        <v>1215</v>
      </c>
      <c r="N1037" s="129">
        <v>13.0</v>
      </c>
      <c r="O1037" s="128"/>
      <c r="P1037" s="129">
        <v>10000.0</v>
      </c>
      <c r="Q1037" s="128" t="s">
        <v>220</v>
      </c>
    </row>
    <row r="1038">
      <c r="A1038" s="129">
        <v>1120.0</v>
      </c>
      <c r="B1038" s="129">
        <v>2015.0</v>
      </c>
      <c r="C1038" s="129">
        <v>11.1</v>
      </c>
      <c r="D1038" s="129">
        <v>31.59</v>
      </c>
      <c r="E1038" s="129">
        <v>-110.51</v>
      </c>
      <c r="F1038" s="128" t="s">
        <v>219</v>
      </c>
      <c r="G1038" s="128" t="s">
        <v>1937</v>
      </c>
      <c r="H1038" s="128" t="s">
        <v>193</v>
      </c>
      <c r="I1038" s="128" t="s">
        <v>342</v>
      </c>
      <c r="J1038" s="128"/>
      <c r="K1038" s="129">
        <v>1.0</v>
      </c>
      <c r="L1038" s="128"/>
      <c r="M1038" s="128"/>
      <c r="N1038" s="129">
        <v>1474.0</v>
      </c>
      <c r="O1038" s="128"/>
      <c r="P1038" s="129">
        <v>1000.0</v>
      </c>
      <c r="Q1038" s="128" t="s">
        <v>220</v>
      </c>
    </row>
    <row r="1039">
      <c r="A1039" s="129">
        <v>1129.0</v>
      </c>
      <c r="B1039" s="129">
        <v>2015.0</v>
      </c>
      <c r="C1039" s="129">
        <v>-15.3</v>
      </c>
      <c r="D1039" s="129">
        <v>31.59</v>
      </c>
      <c r="E1039" s="129">
        <v>-110.51</v>
      </c>
      <c r="F1039" s="128" t="s">
        <v>1950</v>
      </c>
      <c r="G1039" s="128" t="s">
        <v>1937</v>
      </c>
      <c r="H1039" s="128" t="s">
        <v>193</v>
      </c>
      <c r="I1039" s="128" t="s">
        <v>342</v>
      </c>
      <c r="J1039" s="128"/>
      <c r="K1039" s="129">
        <v>1.0</v>
      </c>
      <c r="L1039" s="128"/>
      <c r="M1039" s="128"/>
      <c r="N1039" s="129">
        <v>1474.0</v>
      </c>
      <c r="O1039" s="128"/>
      <c r="P1039" s="129">
        <v>1000.0</v>
      </c>
      <c r="Q1039" s="128" t="s">
        <v>220</v>
      </c>
    </row>
    <row r="1040">
      <c r="A1040" s="129">
        <v>58.0</v>
      </c>
      <c r="B1040" s="129">
        <v>2014.0</v>
      </c>
      <c r="C1040" s="129">
        <v>17.0</v>
      </c>
      <c r="D1040" s="129">
        <v>31.5907</v>
      </c>
      <c r="E1040" s="129">
        <v>-110.51</v>
      </c>
      <c r="F1040" s="128" t="s">
        <v>294</v>
      </c>
      <c r="G1040" s="128" t="s">
        <v>286</v>
      </c>
      <c r="H1040" s="128" t="s">
        <v>284</v>
      </c>
      <c r="I1040" s="128" t="s">
        <v>285</v>
      </c>
      <c r="J1040" s="129">
        <v>230.0</v>
      </c>
      <c r="K1040" s="129">
        <v>1.0</v>
      </c>
      <c r="L1040" s="129">
        <v>1000.0</v>
      </c>
      <c r="M1040" s="128" t="s">
        <v>287</v>
      </c>
      <c r="N1040" s="129">
        <v>1473.0</v>
      </c>
      <c r="O1040" s="128"/>
      <c r="P1040" s="129">
        <v>1000.0</v>
      </c>
      <c r="Q1040" s="128" t="s">
        <v>220</v>
      </c>
    </row>
    <row r="1041">
      <c r="A1041" s="129">
        <v>1447.0</v>
      </c>
      <c r="B1041" s="129">
        <v>2018.0</v>
      </c>
      <c r="C1041" s="129">
        <v>-64.0</v>
      </c>
      <c r="D1041" s="129">
        <v>31.7365</v>
      </c>
      <c r="E1041" s="129">
        <v>-109.942</v>
      </c>
      <c r="F1041" s="128" t="s">
        <v>219</v>
      </c>
      <c r="G1041" s="128" t="s">
        <v>314</v>
      </c>
      <c r="H1041" s="128"/>
      <c r="I1041" s="128"/>
      <c r="J1041" s="129">
        <v>128.0</v>
      </c>
      <c r="K1041" s="129">
        <v>1.0</v>
      </c>
      <c r="L1041" s="129">
        <v>1000.0</v>
      </c>
      <c r="M1041" s="128" t="s">
        <v>315</v>
      </c>
      <c r="N1041" s="129">
        <v>1527.0</v>
      </c>
      <c r="O1041" s="128"/>
      <c r="P1041" s="129">
        <v>1000.0</v>
      </c>
      <c r="Q1041" s="128" t="s">
        <v>220</v>
      </c>
    </row>
    <row r="1042">
      <c r="A1042" s="129">
        <v>1118.0</v>
      </c>
      <c r="B1042" s="129">
        <v>2015.0</v>
      </c>
      <c r="C1042" s="129">
        <v>5.8</v>
      </c>
      <c r="D1042" s="129">
        <v>31.74</v>
      </c>
      <c r="E1042" s="129">
        <v>-109.94</v>
      </c>
      <c r="F1042" s="128" t="s">
        <v>219</v>
      </c>
      <c r="G1042" s="128" t="s">
        <v>1934</v>
      </c>
      <c r="H1042" s="128" t="s">
        <v>317</v>
      </c>
      <c r="I1042" s="128" t="s">
        <v>351</v>
      </c>
      <c r="J1042" s="128"/>
      <c r="K1042" s="129">
        <v>1.0</v>
      </c>
      <c r="L1042" s="128"/>
      <c r="M1042" s="128"/>
      <c r="N1042" s="129">
        <v>1525.0</v>
      </c>
      <c r="O1042" s="128"/>
      <c r="P1042" s="129">
        <v>1000.0</v>
      </c>
      <c r="Q1042" s="128" t="s">
        <v>220</v>
      </c>
    </row>
    <row r="1043">
      <c r="A1043" s="129">
        <v>1127.0</v>
      </c>
      <c r="B1043" s="129">
        <v>2015.0</v>
      </c>
      <c r="C1043" s="129">
        <v>-5.8</v>
      </c>
      <c r="D1043" s="129">
        <v>31.74</v>
      </c>
      <c r="E1043" s="129">
        <v>-109.94</v>
      </c>
      <c r="F1043" s="128" t="s">
        <v>1950</v>
      </c>
      <c r="G1043" s="128" t="s">
        <v>1934</v>
      </c>
      <c r="H1043" s="128" t="s">
        <v>317</v>
      </c>
      <c r="I1043" s="128" t="s">
        <v>351</v>
      </c>
      <c r="J1043" s="128"/>
      <c r="K1043" s="129">
        <v>1.0</v>
      </c>
      <c r="L1043" s="128"/>
      <c r="M1043" s="128"/>
      <c r="N1043" s="129">
        <v>1525.0</v>
      </c>
      <c r="O1043" s="128"/>
      <c r="P1043" s="129">
        <v>1000.0</v>
      </c>
      <c r="Q1043" s="128" t="s">
        <v>220</v>
      </c>
    </row>
    <row r="1044">
      <c r="A1044" s="129">
        <v>63.0</v>
      </c>
      <c r="B1044" s="129">
        <v>2014.0</v>
      </c>
      <c r="C1044" s="129">
        <v>2.0</v>
      </c>
      <c r="D1044" s="129">
        <v>31.74</v>
      </c>
      <c r="E1044" s="129">
        <v>-109.94</v>
      </c>
      <c r="F1044" s="128" t="s">
        <v>294</v>
      </c>
      <c r="G1044" s="128" t="s">
        <v>314</v>
      </c>
      <c r="H1044" s="128" t="s">
        <v>295</v>
      </c>
      <c r="I1044" s="128" t="s">
        <v>285</v>
      </c>
      <c r="J1044" s="129">
        <v>138.0</v>
      </c>
      <c r="K1044" s="129">
        <v>1.0</v>
      </c>
      <c r="L1044" s="129">
        <v>1000.0</v>
      </c>
      <c r="M1044" s="128" t="s">
        <v>315</v>
      </c>
      <c r="N1044" s="129">
        <v>1525.0</v>
      </c>
      <c r="O1044" s="128"/>
      <c r="P1044" s="129">
        <v>1000.0</v>
      </c>
      <c r="Q1044" s="128" t="s">
        <v>220</v>
      </c>
    </row>
    <row r="1045">
      <c r="A1045" s="129">
        <v>1446.0</v>
      </c>
      <c r="B1045" s="129">
        <v>2018.0</v>
      </c>
      <c r="C1045" s="129">
        <v>-68.0</v>
      </c>
      <c r="D1045" s="129">
        <v>31.7894</v>
      </c>
      <c r="E1045" s="129">
        <v>-110.828</v>
      </c>
      <c r="F1045" s="128" t="s">
        <v>219</v>
      </c>
      <c r="G1045" s="128" t="s">
        <v>2484</v>
      </c>
      <c r="H1045" s="128"/>
      <c r="I1045" s="128"/>
      <c r="J1045" s="129">
        <v>85.0</v>
      </c>
      <c r="K1045" s="129">
        <v>1.0</v>
      </c>
      <c r="L1045" s="129">
        <v>1000.0</v>
      </c>
      <c r="M1045" s="128" t="s">
        <v>2485</v>
      </c>
      <c r="N1045" s="129">
        <v>1293.0</v>
      </c>
      <c r="O1045" s="128"/>
      <c r="P1045" s="129">
        <v>1000.0</v>
      </c>
      <c r="Q1045" s="128" t="s">
        <v>220</v>
      </c>
    </row>
    <row r="1046">
      <c r="A1046" s="129">
        <v>1445.0</v>
      </c>
      <c r="B1046" s="129">
        <v>2018.0</v>
      </c>
      <c r="C1046" s="129">
        <v>-71.0</v>
      </c>
      <c r="D1046" s="129">
        <v>31.8214</v>
      </c>
      <c r="E1046" s="129">
        <v>-110.867</v>
      </c>
      <c r="F1046" s="128" t="s">
        <v>219</v>
      </c>
      <c r="G1046" s="128" t="s">
        <v>300</v>
      </c>
      <c r="H1046" s="128"/>
      <c r="I1046" s="128"/>
      <c r="J1046" s="129">
        <v>82.0</v>
      </c>
      <c r="K1046" s="129">
        <v>1.0</v>
      </c>
      <c r="L1046" s="129">
        <v>1000.0</v>
      </c>
      <c r="M1046" s="128" t="s">
        <v>301</v>
      </c>
      <c r="N1046" s="129">
        <v>1118.0</v>
      </c>
      <c r="O1046" s="128"/>
      <c r="P1046" s="129">
        <v>1000.0</v>
      </c>
      <c r="Q1046" s="128" t="s">
        <v>220</v>
      </c>
    </row>
    <row r="1047">
      <c r="A1047" s="129">
        <v>60.0</v>
      </c>
      <c r="B1047" s="129">
        <v>2014.0</v>
      </c>
      <c r="C1047" s="129">
        <v>6.0</v>
      </c>
      <c r="D1047" s="129">
        <v>31.8214</v>
      </c>
      <c r="E1047" s="129">
        <v>-110.867</v>
      </c>
      <c r="F1047" s="128" t="s">
        <v>294</v>
      </c>
      <c r="G1047" s="128" t="s">
        <v>300</v>
      </c>
      <c r="H1047" s="128" t="s">
        <v>295</v>
      </c>
      <c r="I1047" s="128" t="s">
        <v>285</v>
      </c>
      <c r="J1047" s="129">
        <v>138.0</v>
      </c>
      <c r="K1047" s="129">
        <v>1.0</v>
      </c>
      <c r="L1047" s="129">
        <v>1000.0</v>
      </c>
      <c r="M1047" s="128" t="s">
        <v>301</v>
      </c>
      <c r="N1047" s="129">
        <v>1118.0</v>
      </c>
      <c r="O1047" s="128"/>
      <c r="P1047" s="129">
        <v>1000.0</v>
      </c>
      <c r="Q1047" s="128" t="s">
        <v>220</v>
      </c>
    </row>
    <row r="1048">
      <c r="A1048" s="129">
        <v>1369.0</v>
      </c>
      <c r="B1048" s="129">
        <v>2017.0</v>
      </c>
      <c r="C1048" s="129">
        <v>65.0</v>
      </c>
      <c r="D1048" s="129">
        <v>31.9083</v>
      </c>
      <c r="E1048" s="129">
        <v>-110.84</v>
      </c>
      <c r="F1048" s="128" t="s">
        <v>219</v>
      </c>
      <c r="G1048" s="128" t="s">
        <v>2402</v>
      </c>
      <c r="H1048" s="128"/>
      <c r="I1048" s="128"/>
      <c r="J1048" s="128"/>
      <c r="K1048" s="129">
        <v>1.0</v>
      </c>
      <c r="L1048" s="128"/>
      <c r="M1048" s="128" t="s">
        <v>2403</v>
      </c>
      <c r="N1048" s="129">
        <v>993.0</v>
      </c>
      <c r="O1048" s="128"/>
      <c r="P1048" s="128"/>
      <c r="Q1048" s="128" t="s">
        <v>220</v>
      </c>
    </row>
    <row r="1049">
      <c r="A1049" s="129">
        <v>61.0</v>
      </c>
      <c r="B1049" s="129">
        <v>2014.0</v>
      </c>
      <c r="C1049" s="129">
        <v>11.0</v>
      </c>
      <c r="D1049" s="129">
        <v>33.37</v>
      </c>
      <c r="E1049" s="129">
        <v>-116.62</v>
      </c>
      <c r="F1049" s="128" t="s">
        <v>294</v>
      </c>
      <c r="G1049" s="128" t="s">
        <v>305</v>
      </c>
      <c r="H1049" s="128" t="s">
        <v>295</v>
      </c>
      <c r="I1049" s="128" t="s">
        <v>285</v>
      </c>
      <c r="J1049" s="129">
        <v>138.0</v>
      </c>
      <c r="K1049" s="129">
        <v>1.0</v>
      </c>
      <c r="L1049" s="129">
        <v>1000.0</v>
      </c>
      <c r="M1049" s="128" t="s">
        <v>306</v>
      </c>
      <c r="N1049" s="129">
        <v>1383.0</v>
      </c>
      <c r="O1049" s="128"/>
      <c r="P1049" s="129">
        <v>1000.0</v>
      </c>
      <c r="Q1049" s="128" t="s">
        <v>220</v>
      </c>
    </row>
    <row r="1050">
      <c r="A1050" s="129">
        <v>275.0</v>
      </c>
      <c r="B1050" s="129">
        <v>2018.0</v>
      </c>
      <c r="C1050" s="129">
        <v>4.482439</v>
      </c>
      <c r="D1050" s="129">
        <v>33.95</v>
      </c>
      <c r="E1050" s="129">
        <v>117.6</v>
      </c>
      <c r="F1050" s="128" t="s">
        <v>726</v>
      </c>
      <c r="G1050" s="128" t="s">
        <v>722</v>
      </c>
      <c r="H1050" s="128" t="s">
        <v>720</v>
      </c>
      <c r="I1050" s="128" t="s">
        <v>721</v>
      </c>
      <c r="J1050" s="129">
        <v>8.0</v>
      </c>
      <c r="K1050" s="129">
        <v>1.0</v>
      </c>
      <c r="L1050" s="129">
        <v>30.0</v>
      </c>
      <c r="M1050" s="128" t="s">
        <v>723</v>
      </c>
      <c r="N1050" s="129">
        <v>98.0</v>
      </c>
      <c r="O1050" s="128"/>
      <c r="P1050" s="129">
        <v>30.0</v>
      </c>
      <c r="Q1050" s="128" t="s">
        <v>220</v>
      </c>
    </row>
    <row r="1051">
      <c r="A1051" s="129">
        <v>648.0</v>
      </c>
      <c r="B1051" s="129">
        <v>2014.0</v>
      </c>
      <c r="C1051" s="129">
        <v>-2.0</v>
      </c>
      <c r="D1051" s="129">
        <v>34.0</v>
      </c>
      <c r="E1051" s="129">
        <v>102.0</v>
      </c>
      <c r="F1051" s="128" t="s">
        <v>1190</v>
      </c>
      <c r="G1051" s="128" t="s">
        <v>1296</v>
      </c>
      <c r="H1051" s="128" t="s">
        <v>536</v>
      </c>
      <c r="I1051" s="128" t="s">
        <v>351</v>
      </c>
      <c r="J1051" s="128"/>
      <c r="K1051" s="129">
        <v>1.0</v>
      </c>
      <c r="L1051" s="129">
        <v>10000.0</v>
      </c>
      <c r="M1051" s="128" t="s">
        <v>1296</v>
      </c>
      <c r="N1051" s="129">
        <v>3446.0</v>
      </c>
      <c r="O1051" s="128"/>
      <c r="P1051" s="129">
        <v>10000.0</v>
      </c>
      <c r="Q1051" s="128" t="s">
        <v>220</v>
      </c>
    </row>
    <row r="1052">
      <c r="A1052" s="129">
        <v>1123.0</v>
      </c>
      <c r="B1052" s="129">
        <v>2015.0</v>
      </c>
      <c r="C1052" s="129">
        <v>14.5</v>
      </c>
      <c r="D1052" s="129">
        <v>34.25</v>
      </c>
      <c r="E1052" s="129">
        <v>-89.97</v>
      </c>
      <c r="F1052" s="128" t="s">
        <v>219</v>
      </c>
      <c r="G1052" s="128" t="s">
        <v>1944</v>
      </c>
      <c r="H1052" s="128" t="s">
        <v>1943</v>
      </c>
      <c r="I1052" s="128" t="s">
        <v>968</v>
      </c>
      <c r="J1052" s="128"/>
      <c r="K1052" s="129">
        <v>1.0</v>
      </c>
      <c r="L1052" s="128"/>
      <c r="M1052" s="128"/>
      <c r="N1052" s="129">
        <v>99.0</v>
      </c>
      <c r="O1052" s="128"/>
      <c r="P1052" s="129">
        <v>1000.0</v>
      </c>
      <c r="Q1052" s="128" t="s">
        <v>220</v>
      </c>
    </row>
    <row r="1053">
      <c r="A1053" s="129">
        <v>1132.0</v>
      </c>
      <c r="B1053" s="129">
        <v>2015.0</v>
      </c>
      <c r="C1053" s="129">
        <v>12.0</v>
      </c>
      <c r="D1053" s="129">
        <v>34.25</v>
      </c>
      <c r="E1053" s="129">
        <v>-89.97</v>
      </c>
      <c r="F1053" s="128" t="s">
        <v>1950</v>
      </c>
      <c r="G1053" s="128" t="s">
        <v>1944</v>
      </c>
      <c r="H1053" s="128" t="s">
        <v>1943</v>
      </c>
      <c r="I1053" s="128" t="s">
        <v>968</v>
      </c>
      <c r="J1053" s="128"/>
      <c r="K1053" s="129">
        <v>1.0</v>
      </c>
      <c r="L1053" s="128"/>
      <c r="M1053" s="128"/>
      <c r="N1053" s="129">
        <v>99.0</v>
      </c>
      <c r="O1053" s="128"/>
      <c r="P1053" s="129">
        <v>1000.0</v>
      </c>
      <c r="Q1053" s="128" t="s">
        <v>220</v>
      </c>
    </row>
    <row r="1054">
      <c r="A1054" s="129">
        <v>877.0</v>
      </c>
      <c r="B1054" s="129">
        <v>2014.0</v>
      </c>
      <c r="C1054" s="129">
        <v>13.0</v>
      </c>
      <c r="D1054" s="129">
        <v>34.33018</v>
      </c>
      <c r="E1054" s="129">
        <v>126.3407</v>
      </c>
      <c r="F1054" s="128" t="s">
        <v>1659</v>
      </c>
      <c r="G1054" s="128" t="s">
        <v>1138</v>
      </c>
      <c r="H1054" s="128"/>
      <c r="I1054" s="128"/>
      <c r="J1054" s="129">
        <v>12.0</v>
      </c>
      <c r="K1054" s="129">
        <v>1.0</v>
      </c>
      <c r="L1054" s="129">
        <v>1000.0</v>
      </c>
      <c r="M1054" s="128" t="s">
        <v>1138</v>
      </c>
      <c r="N1054" s="129">
        <v>0.0</v>
      </c>
      <c r="O1054" s="128"/>
      <c r="P1054" s="129">
        <v>1000.0</v>
      </c>
      <c r="Q1054" s="128" t="s">
        <v>220</v>
      </c>
    </row>
    <row r="1055">
      <c r="A1055" s="129">
        <v>1363.0</v>
      </c>
      <c r="B1055" s="129">
        <v>2017.0</v>
      </c>
      <c r="C1055" s="129">
        <v>70.0</v>
      </c>
      <c r="D1055" s="129">
        <v>34.3349</v>
      </c>
      <c r="E1055" s="129">
        <v>-106.744</v>
      </c>
      <c r="F1055" s="128" t="s">
        <v>219</v>
      </c>
      <c r="G1055" s="128" t="s">
        <v>2194</v>
      </c>
      <c r="H1055" s="128"/>
      <c r="I1055" s="128"/>
      <c r="J1055" s="128"/>
      <c r="K1055" s="129">
        <v>1.0</v>
      </c>
      <c r="L1055" s="128"/>
      <c r="M1055" s="128" t="s">
        <v>2195</v>
      </c>
      <c r="N1055" s="129">
        <v>1594.0</v>
      </c>
      <c r="O1055" s="128"/>
      <c r="P1055" s="128"/>
      <c r="Q1055" s="128" t="s">
        <v>220</v>
      </c>
    </row>
    <row r="1056">
      <c r="A1056" s="129">
        <v>1365.0</v>
      </c>
      <c r="B1056" s="129">
        <v>2017.0</v>
      </c>
      <c r="C1056" s="129">
        <v>58.0</v>
      </c>
      <c r="D1056" s="129">
        <v>34.3623</v>
      </c>
      <c r="E1056" s="129">
        <v>-106.702</v>
      </c>
      <c r="F1056" s="128" t="s">
        <v>219</v>
      </c>
      <c r="G1056" s="128" t="s">
        <v>2188</v>
      </c>
      <c r="H1056" s="128"/>
      <c r="I1056" s="128"/>
      <c r="J1056" s="128"/>
      <c r="K1056" s="129">
        <v>1.0</v>
      </c>
      <c r="L1056" s="128"/>
      <c r="M1056" s="128" t="s">
        <v>2189</v>
      </c>
      <c r="N1056" s="129">
        <v>1594.0</v>
      </c>
      <c r="O1056" s="128"/>
      <c r="P1056" s="128"/>
      <c r="Q1056" s="128" t="s">
        <v>220</v>
      </c>
    </row>
    <row r="1057">
      <c r="A1057" s="129">
        <v>573.0</v>
      </c>
      <c r="B1057" s="129">
        <v>2013.0</v>
      </c>
      <c r="C1057" s="129">
        <v>0.8</v>
      </c>
      <c r="D1057" s="129">
        <v>34.55</v>
      </c>
      <c r="E1057" s="129">
        <v>126.57</v>
      </c>
      <c r="F1057" s="128" t="s">
        <v>1133</v>
      </c>
      <c r="G1057" s="128" t="s">
        <v>1137</v>
      </c>
      <c r="H1057" s="128" t="s">
        <v>341</v>
      </c>
      <c r="I1057" s="128" t="s">
        <v>285</v>
      </c>
      <c r="J1057" s="128"/>
      <c r="K1057" s="129">
        <v>1.0</v>
      </c>
      <c r="L1057" s="129">
        <v>1000.0</v>
      </c>
      <c r="M1057" s="128" t="s">
        <v>1138</v>
      </c>
      <c r="N1057" s="129">
        <v>7.0</v>
      </c>
      <c r="O1057" s="128"/>
      <c r="P1057" s="129">
        <v>1000.0</v>
      </c>
      <c r="Q1057" s="128" t="s">
        <v>220</v>
      </c>
    </row>
    <row r="1058">
      <c r="A1058" s="129">
        <v>682.0</v>
      </c>
      <c r="B1058" s="129">
        <v>2013.0</v>
      </c>
      <c r="C1058" s="129">
        <v>49.2</v>
      </c>
      <c r="D1058" s="129">
        <v>35.09</v>
      </c>
      <c r="E1058" s="129">
        <v>-111.76</v>
      </c>
      <c r="F1058" s="128" t="s">
        <v>220</v>
      </c>
      <c r="G1058" s="128" t="s">
        <v>322</v>
      </c>
      <c r="H1058" s="128" t="s">
        <v>317</v>
      </c>
      <c r="I1058" s="128" t="s">
        <v>342</v>
      </c>
      <c r="J1058" s="129">
        <v>44.0</v>
      </c>
      <c r="K1058" s="129">
        <v>1.0</v>
      </c>
      <c r="L1058" s="129">
        <v>3000.0</v>
      </c>
      <c r="M1058" s="128" t="s">
        <v>323</v>
      </c>
      <c r="N1058" s="129">
        <v>2229.0</v>
      </c>
      <c r="O1058" s="128"/>
      <c r="P1058" s="129">
        <v>1000.0</v>
      </c>
      <c r="Q1058" s="128" t="s">
        <v>220</v>
      </c>
    </row>
    <row r="1059">
      <c r="A1059" s="129">
        <v>65.0</v>
      </c>
      <c r="B1059" s="129">
        <v>2014.0</v>
      </c>
      <c r="C1059" s="129">
        <v>7.0</v>
      </c>
      <c r="D1059" s="129">
        <v>35.09</v>
      </c>
      <c r="E1059" s="129">
        <v>-111.76</v>
      </c>
      <c r="F1059" s="128" t="s">
        <v>294</v>
      </c>
      <c r="G1059" s="128" t="s">
        <v>322</v>
      </c>
      <c r="H1059" s="128" t="s">
        <v>317</v>
      </c>
      <c r="I1059" s="128" t="s">
        <v>285</v>
      </c>
      <c r="J1059" s="129">
        <v>92.0</v>
      </c>
      <c r="K1059" s="129">
        <v>1.0</v>
      </c>
      <c r="L1059" s="129">
        <v>1000.0</v>
      </c>
      <c r="M1059" s="128" t="s">
        <v>323</v>
      </c>
      <c r="N1059" s="129">
        <v>2229.0</v>
      </c>
      <c r="O1059" s="128"/>
      <c r="P1059" s="129">
        <v>1000.0</v>
      </c>
      <c r="Q1059" s="128" t="s">
        <v>220</v>
      </c>
    </row>
    <row r="1060">
      <c r="A1060" s="129">
        <v>64.0</v>
      </c>
      <c r="B1060" s="129">
        <v>2014.0</v>
      </c>
      <c r="C1060" s="129">
        <v>2.0</v>
      </c>
      <c r="D1060" s="129">
        <v>35.14</v>
      </c>
      <c r="E1060" s="129">
        <v>-111.73</v>
      </c>
      <c r="F1060" s="128" t="s">
        <v>294</v>
      </c>
      <c r="G1060" s="128" t="s">
        <v>318</v>
      </c>
      <c r="H1060" s="128" t="s">
        <v>317</v>
      </c>
      <c r="I1060" s="128" t="s">
        <v>285</v>
      </c>
      <c r="J1060" s="129">
        <v>92.0</v>
      </c>
      <c r="K1060" s="129">
        <v>1.0</v>
      </c>
      <c r="L1060" s="129">
        <v>1000.0</v>
      </c>
      <c r="M1060" s="128" t="s">
        <v>319</v>
      </c>
      <c r="N1060" s="129">
        <v>2198.0</v>
      </c>
      <c r="O1060" s="128"/>
      <c r="P1060" s="129">
        <v>1000.0</v>
      </c>
      <c r="Q1060" s="128" t="s">
        <v>220</v>
      </c>
    </row>
    <row r="1061">
      <c r="A1061" s="129">
        <v>637.0</v>
      </c>
      <c r="B1061" s="129">
        <v>2014.0</v>
      </c>
      <c r="C1061" s="129">
        <v>32.0</v>
      </c>
      <c r="D1061" s="129">
        <v>35.2</v>
      </c>
      <c r="E1061" s="129">
        <v>107.67</v>
      </c>
      <c r="F1061" s="128" t="s">
        <v>1190</v>
      </c>
      <c r="G1061" s="128" t="s">
        <v>1260</v>
      </c>
      <c r="H1061" s="128" t="s">
        <v>506</v>
      </c>
      <c r="I1061" s="128" t="s">
        <v>351</v>
      </c>
      <c r="J1061" s="128"/>
      <c r="K1061" s="129">
        <v>1.0</v>
      </c>
      <c r="L1061" s="129">
        <v>10000.0</v>
      </c>
      <c r="M1061" s="128" t="s">
        <v>1260</v>
      </c>
      <c r="N1061" s="129">
        <v>961.0</v>
      </c>
      <c r="O1061" s="128"/>
      <c r="P1061" s="129">
        <v>10000.0</v>
      </c>
      <c r="Q1061" s="128" t="s">
        <v>220</v>
      </c>
    </row>
    <row r="1062">
      <c r="A1062" s="129">
        <v>66.0</v>
      </c>
      <c r="B1062" s="129">
        <v>2014.0</v>
      </c>
      <c r="C1062" s="129">
        <v>6.0</v>
      </c>
      <c r="D1062" s="129">
        <v>35.45</v>
      </c>
      <c r="E1062" s="129">
        <v>-111.77</v>
      </c>
      <c r="F1062" s="128" t="s">
        <v>294</v>
      </c>
      <c r="G1062" s="128" t="s">
        <v>325</v>
      </c>
      <c r="H1062" s="128" t="s">
        <v>317</v>
      </c>
      <c r="I1062" s="128" t="s">
        <v>285</v>
      </c>
      <c r="J1062" s="129">
        <v>92.0</v>
      </c>
      <c r="K1062" s="129">
        <v>1.0</v>
      </c>
      <c r="L1062" s="129">
        <v>1000.0</v>
      </c>
      <c r="M1062" s="128" t="s">
        <v>326</v>
      </c>
      <c r="N1062" s="129">
        <v>2301.0</v>
      </c>
      <c r="O1062" s="128"/>
      <c r="P1062" s="129">
        <v>1000.0</v>
      </c>
      <c r="Q1062" s="128" t="s">
        <v>220</v>
      </c>
    </row>
    <row r="1063">
      <c r="A1063" s="129">
        <v>643.0</v>
      </c>
      <c r="B1063" s="129">
        <v>2014.0</v>
      </c>
      <c r="C1063" s="129">
        <v>-11.0</v>
      </c>
      <c r="D1063" s="129">
        <v>35.59</v>
      </c>
      <c r="E1063" s="129">
        <v>107.54</v>
      </c>
      <c r="F1063" s="128" t="s">
        <v>1190</v>
      </c>
      <c r="G1063" s="128" t="s">
        <v>1283</v>
      </c>
      <c r="H1063" s="128" t="s">
        <v>536</v>
      </c>
      <c r="I1063" s="128" t="s">
        <v>351</v>
      </c>
      <c r="J1063" s="128"/>
      <c r="K1063" s="129">
        <v>1.0</v>
      </c>
      <c r="L1063" s="129">
        <v>10000.0</v>
      </c>
      <c r="M1063" s="128" t="s">
        <v>1283</v>
      </c>
      <c r="N1063" s="129">
        <v>1118.0</v>
      </c>
      <c r="O1063" s="128"/>
      <c r="P1063" s="129">
        <v>10000.0</v>
      </c>
      <c r="Q1063" s="128" t="s">
        <v>220</v>
      </c>
    </row>
    <row r="1064">
      <c r="A1064" s="129">
        <v>1455.0</v>
      </c>
      <c r="B1064" s="129">
        <v>2018.0</v>
      </c>
      <c r="C1064" s="129">
        <v>-6.0</v>
      </c>
      <c r="D1064" s="129">
        <v>35.803</v>
      </c>
      <c r="E1064" s="129">
        <v>-76.6685</v>
      </c>
      <c r="F1064" s="128" t="s">
        <v>219</v>
      </c>
      <c r="G1064" s="128" t="s">
        <v>556</v>
      </c>
      <c r="H1064" s="128"/>
      <c r="I1064" s="128"/>
      <c r="J1064" s="129">
        <v>65.0</v>
      </c>
      <c r="K1064" s="129">
        <v>1.0</v>
      </c>
      <c r="L1064" s="129">
        <v>1000.0</v>
      </c>
      <c r="M1064" s="128" t="s">
        <v>557</v>
      </c>
      <c r="N1064" s="129">
        <v>9.0</v>
      </c>
      <c r="O1064" s="128"/>
      <c r="P1064" s="129">
        <v>1000.0</v>
      </c>
      <c r="Q1064" s="128" t="s">
        <v>220</v>
      </c>
    </row>
    <row r="1065">
      <c r="A1065" s="129">
        <v>1454.0</v>
      </c>
      <c r="B1065" s="129">
        <v>2018.0</v>
      </c>
      <c r="C1065" s="129">
        <v>7.0</v>
      </c>
      <c r="D1065" s="129">
        <v>35.8118</v>
      </c>
      <c r="E1065" s="129">
        <v>-76.7119</v>
      </c>
      <c r="F1065" s="128" t="s">
        <v>219</v>
      </c>
      <c r="G1065" s="128" t="s">
        <v>546</v>
      </c>
      <c r="H1065" s="128"/>
      <c r="I1065" s="128"/>
      <c r="J1065" s="129">
        <v>75.0</v>
      </c>
      <c r="K1065" s="129">
        <v>1.0</v>
      </c>
      <c r="L1065" s="129">
        <v>1000.0</v>
      </c>
      <c r="M1065" s="128" t="s">
        <v>547</v>
      </c>
      <c r="N1065" s="129">
        <v>26.0</v>
      </c>
      <c r="O1065" s="128"/>
      <c r="P1065" s="129">
        <v>1000.0</v>
      </c>
      <c r="Q1065" s="128" t="s">
        <v>220</v>
      </c>
    </row>
    <row r="1066">
      <c r="A1066" s="129">
        <v>618.0</v>
      </c>
      <c r="B1066" s="129">
        <v>2014.0</v>
      </c>
      <c r="C1066" s="129">
        <v>-3.0</v>
      </c>
      <c r="D1066" s="129">
        <v>35.95</v>
      </c>
      <c r="E1066" s="129">
        <v>104.13</v>
      </c>
      <c r="F1066" s="128" t="s">
        <v>1190</v>
      </c>
      <c r="G1066" s="128" t="s">
        <v>1198</v>
      </c>
      <c r="H1066" s="128" t="s">
        <v>506</v>
      </c>
      <c r="I1066" s="128" t="s">
        <v>351</v>
      </c>
      <c r="J1066" s="128"/>
      <c r="K1066" s="129">
        <v>1.0</v>
      </c>
      <c r="L1066" s="129">
        <v>10000.0</v>
      </c>
      <c r="M1066" s="128" t="s">
        <v>1198</v>
      </c>
      <c r="N1066" s="129">
        <v>1788.0</v>
      </c>
      <c r="O1066" s="128"/>
      <c r="P1066" s="129">
        <v>10000.0</v>
      </c>
      <c r="Q1066" s="128" t="s">
        <v>220</v>
      </c>
    </row>
    <row r="1067">
      <c r="A1067" s="129">
        <v>617.0</v>
      </c>
      <c r="B1067" s="129">
        <v>2014.0</v>
      </c>
      <c r="C1067" s="129">
        <v>-15.0</v>
      </c>
      <c r="D1067" s="129">
        <v>36.07</v>
      </c>
      <c r="E1067" s="129">
        <v>140.02</v>
      </c>
      <c r="F1067" s="128" t="s">
        <v>1190</v>
      </c>
      <c r="G1067" s="128" t="s">
        <v>1193</v>
      </c>
      <c r="H1067" s="128" t="s">
        <v>328</v>
      </c>
      <c r="I1067" s="128" t="s">
        <v>968</v>
      </c>
      <c r="J1067" s="128"/>
      <c r="K1067" s="129">
        <v>1.0</v>
      </c>
      <c r="L1067" s="129">
        <v>10000.0</v>
      </c>
      <c r="M1067" s="128" t="s">
        <v>1194</v>
      </c>
      <c r="N1067" s="129">
        <v>16.0</v>
      </c>
      <c r="O1067" s="128"/>
      <c r="P1067" s="129">
        <v>10000.0</v>
      </c>
      <c r="Q1067" s="128" t="s">
        <v>220</v>
      </c>
    </row>
    <row r="1068">
      <c r="A1068" s="129">
        <v>635.0</v>
      </c>
      <c r="B1068" s="129">
        <v>2014.0</v>
      </c>
      <c r="C1068" s="129">
        <v>78.0</v>
      </c>
      <c r="D1068" s="129">
        <v>36.15</v>
      </c>
      <c r="E1068" s="129">
        <v>137.42</v>
      </c>
      <c r="F1068" s="128" t="s">
        <v>1190</v>
      </c>
      <c r="G1068" s="128" t="s">
        <v>1252</v>
      </c>
      <c r="H1068" s="128" t="s">
        <v>1251</v>
      </c>
      <c r="I1068" s="128" t="s">
        <v>342</v>
      </c>
      <c r="J1068" s="128"/>
      <c r="K1068" s="129">
        <v>1.0</v>
      </c>
      <c r="L1068" s="129">
        <v>10000.0</v>
      </c>
      <c r="M1068" s="128" t="s">
        <v>6006</v>
      </c>
      <c r="N1068" s="129">
        <v>1382.0</v>
      </c>
      <c r="O1068" s="128"/>
      <c r="P1068" s="129">
        <v>10000.0</v>
      </c>
      <c r="Q1068" s="128" t="s">
        <v>220</v>
      </c>
    </row>
    <row r="1069">
      <c r="A1069" s="129">
        <v>1852.0</v>
      </c>
      <c r="B1069" s="129">
        <v>2020.0</v>
      </c>
      <c r="C1069" s="129">
        <v>-1.4</v>
      </c>
      <c r="D1069" s="129">
        <v>36.3</v>
      </c>
      <c r="E1069" s="129">
        <v>117.19</v>
      </c>
      <c r="F1069" s="128" t="s">
        <v>2885</v>
      </c>
      <c r="G1069" s="128" t="s">
        <v>5991</v>
      </c>
      <c r="H1069" s="128" t="s">
        <v>2877</v>
      </c>
      <c r="I1069" s="128" t="s">
        <v>2878</v>
      </c>
      <c r="J1069" s="129">
        <v>9.0</v>
      </c>
      <c r="K1069" s="129">
        <v>1.0</v>
      </c>
      <c r="L1069" s="129">
        <v>30.0</v>
      </c>
      <c r="M1069" s="128" t="s">
        <v>5992</v>
      </c>
      <c r="N1069" s="129">
        <v>256.0</v>
      </c>
      <c r="O1069" s="128"/>
      <c r="P1069" s="129">
        <v>30.0</v>
      </c>
      <c r="Q1069" s="128" t="s">
        <v>220</v>
      </c>
    </row>
    <row r="1070">
      <c r="A1070" s="129">
        <v>1855.0</v>
      </c>
      <c r="B1070" s="129">
        <v>2020.0</v>
      </c>
      <c r="C1070" s="129">
        <v>22.1</v>
      </c>
      <c r="D1070" s="129">
        <v>36.3</v>
      </c>
      <c r="E1070" s="129">
        <v>117.19</v>
      </c>
      <c r="F1070" s="128" t="s">
        <v>2885</v>
      </c>
      <c r="G1070" s="128" t="s">
        <v>5991</v>
      </c>
      <c r="H1070" s="128" t="s">
        <v>2877</v>
      </c>
      <c r="I1070" s="128" t="s">
        <v>2878</v>
      </c>
      <c r="J1070" s="129">
        <v>23.0</v>
      </c>
      <c r="K1070" s="129">
        <v>1.0</v>
      </c>
      <c r="L1070" s="129">
        <v>30.0</v>
      </c>
      <c r="M1070" s="128" t="s">
        <v>5992</v>
      </c>
      <c r="N1070" s="129">
        <v>256.0</v>
      </c>
      <c r="O1070" s="128"/>
      <c r="P1070" s="129">
        <v>30.0</v>
      </c>
      <c r="Q1070" s="128" t="s">
        <v>220</v>
      </c>
    </row>
    <row r="1071">
      <c r="A1071" s="129">
        <v>865.0</v>
      </c>
      <c r="B1071" s="129">
        <v>2012.0</v>
      </c>
      <c r="C1071" s="129">
        <v>-5.72</v>
      </c>
      <c r="D1071" s="129">
        <v>36.515</v>
      </c>
      <c r="E1071" s="129">
        <v>115.126</v>
      </c>
      <c r="F1071" s="128" t="s">
        <v>939</v>
      </c>
      <c r="G1071" s="128" t="s">
        <v>819</v>
      </c>
      <c r="H1071" s="128" t="s">
        <v>341</v>
      </c>
      <c r="I1071" s="128" t="s">
        <v>342</v>
      </c>
      <c r="J1071" s="128"/>
      <c r="K1071" s="129">
        <v>1.0</v>
      </c>
      <c r="L1071" s="129">
        <v>3000.0</v>
      </c>
      <c r="M1071" s="128" t="s">
        <v>820</v>
      </c>
      <c r="N1071" s="129">
        <v>42.0</v>
      </c>
      <c r="O1071" s="128"/>
      <c r="P1071" s="129">
        <v>30.0</v>
      </c>
      <c r="Q1071" s="128" t="s">
        <v>220</v>
      </c>
    </row>
    <row r="1072">
      <c r="A1072" s="129">
        <v>866.0</v>
      </c>
      <c r="B1072" s="129">
        <v>2012.0</v>
      </c>
      <c r="C1072" s="129">
        <v>4.49</v>
      </c>
      <c r="D1072" s="129">
        <v>36.515</v>
      </c>
      <c r="E1072" s="129">
        <v>115.126</v>
      </c>
      <c r="F1072" s="128" t="s">
        <v>939</v>
      </c>
      <c r="G1072" s="128" t="s">
        <v>819</v>
      </c>
      <c r="H1072" s="128" t="s">
        <v>341</v>
      </c>
      <c r="I1072" s="128" t="s">
        <v>342</v>
      </c>
      <c r="J1072" s="128"/>
      <c r="K1072" s="129">
        <v>1.0</v>
      </c>
      <c r="L1072" s="129">
        <v>3000.0</v>
      </c>
      <c r="M1072" s="128" t="s">
        <v>820</v>
      </c>
      <c r="N1072" s="129">
        <v>42.0</v>
      </c>
      <c r="O1072" s="128"/>
      <c r="P1072" s="129">
        <v>30.0</v>
      </c>
      <c r="Q1072" s="128" t="s">
        <v>220</v>
      </c>
    </row>
    <row r="1073">
      <c r="A1073" s="129">
        <v>1654.0</v>
      </c>
      <c r="B1073" s="129">
        <v>2021.0</v>
      </c>
      <c r="C1073" s="129">
        <v>-22.1</v>
      </c>
      <c r="D1073" s="129">
        <v>36.515</v>
      </c>
      <c r="E1073" s="129">
        <v>115.126</v>
      </c>
      <c r="F1073" s="128" t="s">
        <v>2698</v>
      </c>
      <c r="G1073" s="128" t="s">
        <v>819</v>
      </c>
      <c r="H1073" s="128" t="s">
        <v>818</v>
      </c>
      <c r="I1073" s="128" t="s">
        <v>168</v>
      </c>
      <c r="J1073" s="128"/>
      <c r="K1073" s="129">
        <v>1.0</v>
      </c>
      <c r="L1073" s="129">
        <v>1000.0</v>
      </c>
      <c r="M1073" s="128" t="s">
        <v>820</v>
      </c>
      <c r="N1073" s="129">
        <v>42.0</v>
      </c>
      <c r="O1073" s="128"/>
      <c r="P1073" s="129">
        <v>1000.0</v>
      </c>
      <c r="Q1073" s="128" t="s">
        <v>220</v>
      </c>
    </row>
    <row r="1074">
      <c r="A1074" s="129">
        <v>1656.0</v>
      </c>
      <c r="B1074" s="129">
        <v>2021.0</v>
      </c>
      <c r="C1074" s="129">
        <v>-22.5</v>
      </c>
      <c r="D1074" s="129">
        <v>36.515</v>
      </c>
      <c r="E1074" s="129">
        <v>115.126</v>
      </c>
      <c r="F1074" s="128" t="s">
        <v>2705</v>
      </c>
      <c r="G1074" s="128" t="s">
        <v>819</v>
      </c>
      <c r="H1074" s="128" t="s">
        <v>818</v>
      </c>
      <c r="I1074" s="128" t="s">
        <v>168</v>
      </c>
      <c r="J1074" s="128"/>
      <c r="K1074" s="129">
        <v>1.0</v>
      </c>
      <c r="L1074" s="129">
        <v>1000.0</v>
      </c>
      <c r="M1074" s="128" t="s">
        <v>820</v>
      </c>
      <c r="N1074" s="129">
        <v>42.0</v>
      </c>
      <c r="O1074" s="128"/>
      <c r="P1074" s="129">
        <v>1000.0</v>
      </c>
      <c r="Q1074" s="128" t="s">
        <v>220</v>
      </c>
    </row>
    <row r="1075">
      <c r="A1075" s="129">
        <v>1658.0</v>
      </c>
      <c r="B1075" s="129">
        <v>2021.0</v>
      </c>
      <c r="C1075" s="129">
        <v>-12.5</v>
      </c>
      <c r="D1075" s="129">
        <v>36.515</v>
      </c>
      <c r="E1075" s="129">
        <v>115.126</v>
      </c>
      <c r="F1075" s="128" t="s">
        <v>2707</v>
      </c>
      <c r="G1075" s="128" t="s">
        <v>819</v>
      </c>
      <c r="H1075" s="128" t="s">
        <v>818</v>
      </c>
      <c r="I1075" s="128" t="s">
        <v>168</v>
      </c>
      <c r="J1075" s="128"/>
      <c r="K1075" s="129">
        <v>1.0</v>
      </c>
      <c r="L1075" s="129">
        <v>1000.0</v>
      </c>
      <c r="M1075" s="128" t="s">
        <v>820</v>
      </c>
      <c r="N1075" s="129">
        <v>42.0</v>
      </c>
      <c r="O1075" s="128"/>
      <c r="P1075" s="129">
        <v>1000.0</v>
      </c>
      <c r="Q1075" s="128" t="s">
        <v>220</v>
      </c>
    </row>
    <row r="1076">
      <c r="A1076" s="129">
        <v>1660.0</v>
      </c>
      <c r="B1076" s="129">
        <v>2021.0</v>
      </c>
      <c r="C1076" s="129">
        <v>-14.6</v>
      </c>
      <c r="D1076" s="129">
        <v>36.515</v>
      </c>
      <c r="E1076" s="129">
        <v>115.126</v>
      </c>
      <c r="F1076" s="128" t="s">
        <v>2709</v>
      </c>
      <c r="G1076" s="128" t="s">
        <v>819</v>
      </c>
      <c r="H1076" s="128" t="s">
        <v>818</v>
      </c>
      <c r="I1076" s="128" t="s">
        <v>168</v>
      </c>
      <c r="J1076" s="128"/>
      <c r="K1076" s="129">
        <v>1.0</v>
      </c>
      <c r="L1076" s="129">
        <v>1000.0</v>
      </c>
      <c r="M1076" s="128" t="s">
        <v>820</v>
      </c>
      <c r="N1076" s="129">
        <v>42.0</v>
      </c>
      <c r="O1076" s="128"/>
      <c r="P1076" s="129">
        <v>1000.0</v>
      </c>
      <c r="Q1076" s="128" t="s">
        <v>220</v>
      </c>
    </row>
    <row r="1077">
      <c r="A1077" s="129">
        <v>619.0</v>
      </c>
      <c r="B1077" s="129">
        <v>2014.0</v>
      </c>
      <c r="C1077" s="129">
        <v>-12.0</v>
      </c>
      <c r="D1077" s="129">
        <v>36.515</v>
      </c>
      <c r="E1077" s="129">
        <v>115.126</v>
      </c>
      <c r="F1077" s="128" t="s">
        <v>1190</v>
      </c>
      <c r="G1077" s="128" t="s">
        <v>819</v>
      </c>
      <c r="H1077" s="128" t="s">
        <v>536</v>
      </c>
      <c r="I1077" s="128" t="s">
        <v>351</v>
      </c>
      <c r="J1077" s="128"/>
      <c r="K1077" s="129">
        <v>1.0</v>
      </c>
      <c r="L1077" s="129">
        <v>10000.0</v>
      </c>
      <c r="M1077" s="128" t="s">
        <v>820</v>
      </c>
      <c r="N1077" s="129">
        <v>42.0</v>
      </c>
      <c r="O1077" s="128"/>
      <c r="P1077" s="129">
        <v>10000.0</v>
      </c>
      <c r="Q1077" s="128" t="s">
        <v>220</v>
      </c>
    </row>
    <row r="1078">
      <c r="A1078" s="129">
        <v>315.0</v>
      </c>
      <c r="B1078" s="129">
        <v>2018.0</v>
      </c>
      <c r="C1078" s="129">
        <v>-22.1</v>
      </c>
      <c r="D1078" s="129">
        <v>36.515</v>
      </c>
      <c r="E1078" s="129">
        <v>115.126</v>
      </c>
      <c r="F1078" s="128" t="s">
        <v>824</v>
      </c>
      <c r="G1078" s="128" t="s">
        <v>819</v>
      </c>
      <c r="H1078" s="128" t="s">
        <v>818</v>
      </c>
      <c r="I1078" s="128" t="s">
        <v>168</v>
      </c>
      <c r="J1078" s="129">
        <v>365.0</v>
      </c>
      <c r="K1078" s="129">
        <v>1.0</v>
      </c>
      <c r="L1078" s="129">
        <v>1000.0</v>
      </c>
      <c r="M1078" s="128" t="s">
        <v>820</v>
      </c>
      <c r="N1078" s="129">
        <v>42.0</v>
      </c>
      <c r="O1078" s="128"/>
      <c r="P1078" s="129">
        <v>1000.0</v>
      </c>
      <c r="Q1078" s="128" t="s">
        <v>220</v>
      </c>
    </row>
    <row r="1079">
      <c r="A1079" s="129">
        <v>317.0</v>
      </c>
      <c r="B1079" s="129">
        <v>2018.0</v>
      </c>
      <c r="C1079" s="129">
        <v>-22.5</v>
      </c>
      <c r="D1079" s="129">
        <v>36.515</v>
      </c>
      <c r="E1079" s="129">
        <v>115.126</v>
      </c>
      <c r="F1079" s="128" t="s">
        <v>824</v>
      </c>
      <c r="G1079" s="128" t="s">
        <v>819</v>
      </c>
      <c r="H1079" s="128" t="s">
        <v>818</v>
      </c>
      <c r="I1079" s="128" t="s">
        <v>168</v>
      </c>
      <c r="J1079" s="129">
        <v>12.0</v>
      </c>
      <c r="K1079" s="129">
        <v>1.0</v>
      </c>
      <c r="L1079" s="129">
        <v>1000.0</v>
      </c>
      <c r="M1079" s="128" t="s">
        <v>820</v>
      </c>
      <c r="N1079" s="129">
        <v>42.0</v>
      </c>
      <c r="O1079" s="128"/>
      <c r="P1079" s="129">
        <v>1000.0</v>
      </c>
      <c r="Q1079" s="128" t="s">
        <v>220</v>
      </c>
    </row>
    <row r="1080">
      <c r="A1080" s="129">
        <v>319.0</v>
      </c>
      <c r="B1080" s="129">
        <v>2018.0</v>
      </c>
      <c r="C1080" s="129">
        <v>-12.5</v>
      </c>
      <c r="D1080" s="129">
        <v>36.515</v>
      </c>
      <c r="E1080" s="129">
        <v>115.126</v>
      </c>
      <c r="F1080" s="128" t="s">
        <v>824</v>
      </c>
      <c r="G1080" s="128" t="s">
        <v>819</v>
      </c>
      <c r="H1080" s="128" t="s">
        <v>818</v>
      </c>
      <c r="I1080" s="128" t="s">
        <v>168</v>
      </c>
      <c r="J1080" s="129">
        <v>365.0</v>
      </c>
      <c r="K1080" s="129">
        <v>1.0</v>
      </c>
      <c r="L1080" s="129">
        <v>1000.0</v>
      </c>
      <c r="M1080" s="128" t="s">
        <v>820</v>
      </c>
      <c r="N1080" s="129">
        <v>42.0</v>
      </c>
      <c r="O1080" s="128"/>
      <c r="P1080" s="129">
        <v>1000.0</v>
      </c>
      <c r="Q1080" s="128" t="s">
        <v>220</v>
      </c>
    </row>
    <row r="1081">
      <c r="A1081" s="129">
        <v>321.0</v>
      </c>
      <c r="B1081" s="129">
        <v>2018.0</v>
      </c>
      <c r="C1081" s="129">
        <v>-14.6</v>
      </c>
      <c r="D1081" s="129">
        <v>36.515</v>
      </c>
      <c r="E1081" s="129">
        <v>115.126</v>
      </c>
      <c r="F1081" s="128" t="s">
        <v>824</v>
      </c>
      <c r="G1081" s="128" t="s">
        <v>819</v>
      </c>
      <c r="H1081" s="128" t="s">
        <v>818</v>
      </c>
      <c r="I1081" s="128" t="s">
        <v>168</v>
      </c>
      <c r="J1081" s="129">
        <v>12.0</v>
      </c>
      <c r="K1081" s="129">
        <v>1.0</v>
      </c>
      <c r="L1081" s="129">
        <v>1000.0</v>
      </c>
      <c r="M1081" s="128" t="s">
        <v>820</v>
      </c>
      <c r="N1081" s="129">
        <v>42.0</v>
      </c>
      <c r="O1081" s="128"/>
      <c r="P1081" s="129">
        <v>1000.0</v>
      </c>
      <c r="Q1081" s="128" t="s">
        <v>220</v>
      </c>
    </row>
    <row r="1082">
      <c r="A1082" s="129">
        <v>130.0</v>
      </c>
      <c r="B1082" s="129">
        <v>2018.0</v>
      </c>
      <c r="C1082" s="129">
        <v>-3.0</v>
      </c>
      <c r="D1082" s="129">
        <v>36.6058</v>
      </c>
      <c r="E1082" s="129">
        <v>-97.4884</v>
      </c>
      <c r="F1082" s="128" t="s">
        <v>493</v>
      </c>
      <c r="G1082" s="128" t="s">
        <v>519</v>
      </c>
      <c r="H1082" s="128" t="s">
        <v>193</v>
      </c>
      <c r="I1082" s="128" t="s">
        <v>243</v>
      </c>
      <c r="J1082" s="128"/>
      <c r="K1082" s="129">
        <v>1.0</v>
      </c>
      <c r="L1082" s="129">
        <v>250.0</v>
      </c>
      <c r="M1082" s="128" t="s">
        <v>520</v>
      </c>
      <c r="N1082" s="129">
        <v>322.0</v>
      </c>
      <c r="O1082" s="128"/>
      <c r="P1082" s="129">
        <v>250.0</v>
      </c>
      <c r="Q1082" s="128" t="s">
        <v>220</v>
      </c>
    </row>
    <row r="1083">
      <c r="A1083" s="129">
        <v>1451.0</v>
      </c>
      <c r="B1083" s="129">
        <v>2018.0</v>
      </c>
      <c r="C1083" s="129">
        <v>-41.0</v>
      </c>
      <c r="D1083" s="129">
        <v>36.6058</v>
      </c>
      <c r="E1083" s="129">
        <v>-97.4884</v>
      </c>
      <c r="F1083" s="128" t="s">
        <v>219</v>
      </c>
      <c r="G1083" s="128" t="s">
        <v>519</v>
      </c>
      <c r="H1083" s="128"/>
      <c r="I1083" s="128"/>
      <c r="J1083" s="129">
        <v>61.0</v>
      </c>
      <c r="K1083" s="129">
        <v>1.0</v>
      </c>
      <c r="L1083" s="129">
        <v>1000.0</v>
      </c>
      <c r="M1083" s="128" t="s">
        <v>520</v>
      </c>
      <c r="N1083" s="129">
        <v>322.0</v>
      </c>
      <c r="O1083" s="128"/>
      <c r="P1083" s="129">
        <v>1000.0</v>
      </c>
      <c r="Q1083" s="128" t="s">
        <v>220</v>
      </c>
    </row>
    <row r="1084">
      <c r="A1084" s="129">
        <v>1119.0</v>
      </c>
      <c r="B1084" s="129">
        <v>2015.0</v>
      </c>
      <c r="C1084" s="129">
        <v>7.6</v>
      </c>
      <c r="D1084" s="129">
        <v>36.61</v>
      </c>
      <c r="E1084" s="129">
        <v>-97.49</v>
      </c>
      <c r="F1084" s="128" t="s">
        <v>219</v>
      </c>
      <c r="G1084" s="128" t="s">
        <v>1936</v>
      </c>
      <c r="H1084" s="128" t="s">
        <v>284</v>
      </c>
      <c r="I1084" s="128" t="s">
        <v>351</v>
      </c>
      <c r="J1084" s="128"/>
      <c r="K1084" s="129">
        <v>1.0</v>
      </c>
      <c r="L1084" s="128"/>
      <c r="M1084" s="128"/>
      <c r="N1084" s="129">
        <v>315.0</v>
      </c>
      <c r="O1084" s="128"/>
      <c r="P1084" s="129">
        <v>1000.0</v>
      </c>
      <c r="Q1084" s="128" t="s">
        <v>220</v>
      </c>
    </row>
    <row r="1085">
      <c r="A1085" s="129">
        <v>1128.0</v>
      </c>
      <c r="B1085" s="129">
        <v>2015.0</v>
      </c>
      <c r="C1085" s="129">
        <v>-9.2</v>
      </c>
      <c r="D1085" s="129">
        <v>36.61</v>
      </c>
      <c r="E1085" s="129">
        <v>-97.49</v>
      </c>
      <c r="F1085" s="128" t="s">
        <v>1950</v>
      </c>
      <c r="G1085" s="128" t="s">
        <v>1936</v>
      </c>
      <c r="H1085" s="128" t="s">
        <v>284</v>
      </c>
      <c r="I1085" s="128" t="s">
        <v>351</v>
      </c>
      <c r="J1085" s="128"/>
      <c r="K1085" s="129">
        <v>1.0</v>
      </c>
      <c r="L1085" s="128"/>
      <c r="M1085" s="128"/>
      <c r="N1085" s="129">
        <v>315.0</v>
      </c>
      <c r="O1085" s="128"/>
      <c r="P1085" s="129">
        <v>1000.0</v>
      </c>
      <c r="Q1085" s="128" t="s">
        <v>220</v>
      </c>
    </row>
    <row r="1086">
      <c r="A1086" s="129">
        <v>153.0</v>
      </c>
      <c r="B1086" s="129">
        <v>2019.0</v>
      </c>
      <c r="C1086" s="129">
        <v>-5.2</v>
      </c>
      <c r="D1086" s="129">
        <v>36.8291</v>
      </c>
      <c r="E1086" s="129">
        <v>116.5703</v>
      </c>
      <c r="F1086" s="128" t="s">
        <v>618</v>
      </c>
      <c r="G1086" s="128" t="s">
        <v>497</v>
      </c>
      <c r="H1086" s="128" t="s">
        <v>613</v>
      </c>
      <c r="I1086" s="128" t="s">
        <v>614</v>
      </c>
      <c r="J1086" s="128"/>
      <c r="K1086" s="129">
        <v>1.0</v>
      </c>
      <c r="L1086" s="128"/>
      <c r="M1086" s="128" t="s">
        <v>497</v>
      </c>
      <c r="N1086" s="129">
        <v>26.0</v>
      </c>
      <c r="O1086" s="128"/>
      <c r="P1086" s="128"/>
      <c r="Q1086" s="128" t="s">
        <v>220</v>
      </c>
    </row>
    <row r="1087">
      <c r="A1087" s="129">
        <v>154.0</v>
      </c>
      <c r="B1087" s="129">
        <v>2019.0</v>
      </c>
      <c r="C1087" s="129">
        <v>-4.2</v>
      </c>
      <c r="D1087" s="129">
        <v>36.8291</v>
      </c>
      <c r="E1087" s="129">
        <v>116.5703</v>
      </c>
      <c r="F1087" s="128" t="s">
        <v>618</v>
      </c>
      <c r="G1087" s="128" t="s">
        <v>497</v>
      </c>
      <c r="H1087" s="128" t="s">
        <v>613</v>
      </c>
      <c r="I1087" s="128" t="s">
        <v>614</v>
      </c>
      <c r="J1087" s="128"/>
      <c r="K1087" s="129">
        <v>1.0</v>
      </c>
      <c r="L1087" s="128"/>
      <c r="M1087" s="128" t="s">
        <v>497</v>
      </c>
      <c r="N1087" s="129">
        <v>26.0</v>
      </c>
      <c r="O1087" s="128"/>
      <c r="P1087" s="128"/>
      <c r="Q1087" s="128" t="s">
        <v>220</v>
      </c>
    </row>
    <row r="1088">
      <c r="A1088" s="129">
        <v>155.0</v>
      </c>
      <c r="B1088" s="129">
        <v>2019.0</v>
      </c>
      <c r="C1088" s="129">
        <v>-9.3</v>
      </c>
      <c r="D1088" s="129">
        <v>36.8291</v>
      </c>
      <c r="E1088" s="129">
        <v>116.5703</v>
      </c>
      <c r="F1088" s="128" t="s">
        <v>618</v>
      </c>
      <c r="G1088" s="128" t="s">
        <v>497</v>
      </c>
      <c r="H1088" s="128" t="s">
        <v>613</v>
      </c>
      <c r="I1088" s="128" t="s">
        <v>614</v>
      </c>
      <c r="J1088" s="128"/>
      <c r="K1088" s="129">
        <v>1.0</v>
      </c>
      <c r="L1088" s="128"/>
      <c r="M1088" s="128" t="s">
        <v>497</v>
      </c>
      <c r="N1088" s="129">
        <v>26.0</v>
      </c>
      <c r="O1088" s="128"/>
      <c r="P1088" s="128"/>
      <c r="Q1088" s="128" t="s">
        <v>220</v>
      </c>
    </row>
    <row r="1089">
      <c r="A1089" s="129">
        <v>156.0</v>
      </c>
      <c r="B1089" s="129">
        <v>2019.0</v>
      </c>
      <c r="C1089" s="129">
        <v>-10.4</v>
      </c>
      <c r="D1089" s="129">
        <v>36.8291</v>
      </c>
      <c r="E1089" s="129">
        <v>116.5703</v>
      </c>
      <c r="F1089" s="128" t="s">
        <v>618</v>
      </c>
      <c r="G1089" s="128" t="s">
        <v>497</v>
      </c>
      <c r="H1089" s="128" t="s">
        <v>613</v>
      </c>
      <c r="I1089" s="128" t="s">
        <v>614</v>
      </c>
      <c r="J1089" s="128"/>
      <c r="K1089" s="129">
        <v>1.0</v>
      </c>
      <c r="L1089" s="128"/>
      <c r="M1089" s="128" t="s">
        <v>497</v>
      </c>
      <c r="N1089" s="129">
        <v>26.0</v>
      </c>
      <c r="O1089" s="128"/>
      <c r="P1089" s="128"/>
      <c r="Q1089" s="128" t="s">
        <v>220</v>
      </c>
    </row>
    <row r="1090">
      <c r="A1090" s="129">
        <v>157.0</v>
      </c>
      <c r="B1090" s="129">
        <v>2019.0</v>
      </c>
      <c r="C1090" s="129">
        <v>4.4</v>
      </c>
      <c r="D1090" s="129">
        <v>36.8291</v>
      </c>
      <c r="E1090" s="129">
        <v>116.5703</v>
      </c>
      <c r="F1090" s="128" t="s">
        <v>618</v>
      </c>
      <c r="G1090" s="128" t="s">
        <v>497</v>
      </c>
      <c r="H1090" s="128" t="s">
        <v>613</v>
      </c>
      <c r="I1090" s="128" t="s">
        <v>614</v>
      </c>
      <c r="J1090" s="128"/>
      <c r="K1090" s="129">
        <v>1.0</v>
      </c>
      <c r="L1090" s="128"/>
      <c r="M1090" s="128" t="s">
        <v>497</v>
      </c>
      <c r="N1090" s="129">
        <v>26.0</v>
      </c>
      <c r="O1090" s="128"/>
      <c r="P1090" s="128"/>
      <c r="Q1090" s="128" t="s">
        <v>220</v>
      </c>
    </row>
    <row r="1091">
      <c r="A1091" s="129">
        <v>158.0</v>
      </c>
      <c r="B1091" s="129">
        <v>2019.0</v>
      </c>
      <c r="C1091" s="129">
        <v>5.8</v>
      </c>
      <c r="D1091" s="129">
        <v>36.8291</v>
      </c>
      <c r="E1091" s="129">
        <v>116.5703</v>
      </c>
      <c r="F1091" s="128" t="s">
        <v>618</v>
      </c>
      <c r="G1091" s="128" t="s">
        <v>497</v>
      </c>
      <c r="H1091" s="128" t="s">
        <v>613</v>
      </c>
      <c r="I1091" s="128" t="s">
        <v>614</v>
      </c>
      <c r="J1091" s="128"/>
      <c r="K1091" s="129">
        <v>1.0</v>
      </c>
      <c r="L1091" s="128"/>
      <c r="M1091" s="128" t="s">
        <v>497</v>
      </c>
      <c r="N1091" s="129">
        <v>26.0</v>
      </c>
      <c r="O1091" s="128"/>
      <c r="P1091" s="128"/>
      <c r="Q1091" s="128" t="s">
        <v>220</v>
      </c>
    </row>
    <row r="1092">
      <c r="A1092" s="129">
        <v>159.0</v>
      </c>
      <c r="B1092" s="129">
        <v>2019.0</v>
      </c>
      <c r="C1092" s="129">
        <v>-0.2</v>
      </c>
      <c r="D1092" s="129">
        <v>36.8291</v>
      </c>
      <c r="E1092" s="129">
        <v>116.5703</v>
      </c>
      <c r="F1092" s="128" t="s">
        <v>618</v>
      </c>
      <c r="G1092" s="128" t="s">
        <v>497</v>
      </c>
      <c r="H1092" s="128" t="s">
        <v>613</v>
      </c>
      <c r="I1092" s="128" t="s">
        <v>614</v>
      </c>
      <c r="J1092" s="128"/>
      <c r="K1092" s="129">
        <v>1.0</v>
      </c>
      <c r="L1092" s="128"/>
      <c r="M1092" s="128" t="s">
        <v>497</v>
      </c>
      <c r="N1092" s="129">
        <v>26.0</v>
      </c>
      <c r="O1092" s="128"/>
      <c r="P1092" s="128"/>
      <c r="Q1092" s="128" t="s">
        <v>220</v>
      </c>
    </row>
    <row r="1093">
      <c r="A1093" s="129">
        <v>160.0</v>
      </c>
      <c r="B1093" s="129">
        <v>2019.0</v>
      </c>
      <c r="C1093" s="129">
        <v>-1.3</v>
      </c>
      <c r="D1093" s="129">
        <v>36.8291</v>
      </c>
      <c r="E1093" s="129">
        <v>116.5703</v>
      </c>
      <c r="F1093" s="128" t="s">
        <v>618</v>
      </c>
      <c r="G1093" s="128" t="s">
        <v>497</v>
      </c>
      <c r="H1093" s="128" t="s">
        <v>613</v>
      </c>
      <c r="I1093" s="128" t="s">
        <v>614</v>
      </c>
      <c r="J1093" s="128"/>
      <c r="K1093" s="129">
        <v>1.0</v>
      </c>
      <c r="L1093" s="128"/>
      <c r="M1093" s="128" t="s">
        <v>497</v>
      </c>
      <c r="N1093" s="129">
        <v>26.0</v>
      </c>
      <c r="O1093" s="128"/>
      <c r="P1093" s="128"/>
      <c r="Q1093" s="128" t="s">
        <v>220</v>
      </c>
    </row>
    <row r="1094">
      <c r="A1094" s="129">
        <v>161.0</v>
      </c>
      <c r="B1094" s="129">
        <v>2019.0</v>
      </c>
      <c r="C1094" s="129">
        <v>6.5</v>
      </c>
      <c r="D1094" s="129">
        <v>36.8291</v>
      </c>
      <c r="E1094" s="129">
        <v>116.5703</v>
      </c>
      <c r="F1094" s="128"/>
      <c r="G1094" s="128" t="s">
        <v>497</v>
      </c>
      <c r="H1094" s="128" t="s">
        <v>613</v>
      </c>
      <c r="I1094" s="128" t="s">
        <v>614</v>
      </c>
      <c r="J1094" s="128"/>
      <c r="K1094" s="129">
        <v>1.0</v>
      </c>
      <c r="L1094" s="129">
        <v>1000.0</v>
      </c>
      <c r="M1094" s="128" t="s">
        <v>6007</v>
      </c>
      <c r="N1094" s="129">
        <v>26.0</v>
      </c>
      <c r="O1094" s="128"/>
      <c r="P1094" s="128" t="s">
        <v>624</v>
      </c>
      <c r="Q1094" s="128" t="s">
        <v>220</v>
      </c>
    </row>
    <row r="1095">
      <c r="A1095" s="129">
        <v>162.0</v>
      </c>
      <c r="B1095" s="129">
        <v>2019.0</v>
      </c>
      <c r="C1095" s="129">
        <v>0.5</v>
      </c>
      <c r="D1095" s="129">
        <v>36.8291</v>
      </c>
      <c r="E1095" s="129">
        <v>116.5703</v>
      </c>
      <c r="F1095" s="128"/>
      <c r="G1095" s="128" t="s">
        <v>497</v>
      </c>
      <c r="H1095" s="128" t="s">
        <v>613</v>
      </c>
      <c r="I1095" s="128" t="s">
        <v>614</v>
      </c>
      <c r="J1095" s="128"/>
      <c r="K1095" s="129">
        <v>1.0</v>
      </c>
      <c r="L1095" s="129">
        <v>1000.0</v>
      </c>
      <c r="M1095" s="128" t="s">
        <v>6007</v>
      </c>
      <c r="N1095" s="129">
        <v>26.0</v>
      </c>
      <c r="O1095" s="128"/>
      <c r="P1095" s="128" t="s">
        <v>624</v>
      </c>
      <c r="Q1095" s="128" t="s">
        <v>220</v>
      </c>
    </row>
    <row r="1096">
      <c r="A1096" s="129">
        <v>93.0</v>
      </c>
      <c r="B1096" s="129">
        <v>2015.0</v>
      </c>
      <c r="C1096" s="129">
        <v>10.6</v>
      </c>
      <c r="D1096" s="129">
        <v>36.835</v>
      </c>
      <c r="E1096" s="129">
        <v>-2.251</v>
      </c>
      <c r="F1096" s="128" t="s">
        <v>424</v>
      </c>
      <c r="G1096" s="128" t="s">
        <v>438</v>
      </c>
      <c r="H1096" s="128" t="s">
        <v>233</v>
      </c>
      <c r="I1096" s="128" t="s">
        <v>234</v>
      </c>
      <c r="J1096" s="129">
        <v>36.0</v>
      </c>
      <c r="K1096" s="129">
        <v>1.0</v>
      </c>
      <c r="L1096" s="129">
        <v>5000.0</v>
      </c>
      <c r="M1096" s="128" t="s">
        <v>439</v>
      </c>
      <c r="N1096" s="129">
        <v>56.0</v>
      </c>
      <c r="O1096" s="128"/>
      <c r="P1096" s="129">
        <v>5000.0</v>
      </c>
      <c r="Q1096" s="128" t="s">
        <v>220</v>
      </c>
    </row>
    <row r="1097">
      <c r="A1097" s="129">
        <v>108.0</v>
      </c>
      <c r="B1097" s="129">
        <v>2015.0</v>
      </c>
      <c r="C1097" s="129">
        <v>-60.6</v>
      </c>
      <c r="D1097" s="129">
        <v>36.835</v>
      </c>
      <c r="E1097" s="129">
        <v>-2.251</v>
      </c>
      <c r="F1097" s="128" t="s">
        <v>219</v>
      </c>
      <c r="G1097" s="128" t="s">
        <v>438</v>
      </c>
      <c r="H1097" s="128" t="s">
        <v>233</v>
      </c>
      <c r="I1097" s="128" t="s">
        <v>234</v>
      </c>
      <c r="J1097" s="129">
        <v>36.0</v>
      </c>
      <c r="K1097" s="129">
        <v>1.0</v>
      </c>
      <c r="L1097" s="129">
        <v>1000.0</v>
      </c>
      <c r="M1097" s="128" t="s">
        <v>439</v>
      </c>
      <c r="N1097" s="129">
        <v>56.0</v>
      </c>
      <c r="O1097" s="128"/>
      <c r="P1097" s="129">
        <v>1000.0</v>
      </c>
      <c r="Q1097" s="128" t="s">
        <v>220</v>
      </c>
    </row>
    <row r="1098">
      <c r="A1098" s="129">
        <v>94.0</v>
      </c>
      <c r="B1098" s="129">
        <v>2015.0</v>
      </c>
      <c r="C1098" s="129">
        <v>-3.6</v>
      </c>
      <c r="D1098" s="129">
        <v>36.927</v>
      </c>
      <c r="E1098" s="129">
        <v>-2.752</v>
      </c>
      <c r="F1098" s="128" t="s">
        <v>424</v>
      </c>
      <c r="G1098" s="128" t="s">
        <v>442</v>
      </c>
      <c r="H1098" s="128" t="s">
        <v>233</v>
      </c>
      <c r="I1098" s="128" t="s">
        <v>234</v>
      </c>
      <c r="J1098" s="129">
        <v>36.0</v>
      </c>
      <c r="K1098" s="129">
        <v>1.0</v>
      </c>
      <c r="L1098" s="129">
        <v>5000.0</v>
      </c>
      <c r="M1098" s="128" t="s">
        <v>443</v>
      </c>
      <c r="N1098" s="129">
        <v>1612.0</v>
      </c>
      <c r="O1098" s="128"/>
      <c r="P1098" s="129">
        <v>5000.0</v>
      </c>
      <c r="Q1098" s="128" t="s">
        <v>220</v>
      </c>
    </row>
    <row r="1099">
      <c r="A1099" s="129">
        <v>109.0</v>
      </c>
      <c r="B1099" s="129">
        <v>2015.0</v>
      </c>
      <c r="C1099" s="129">
        <v>-4.8</v>
      </c>
      <c r="D1099" s="129">
        <v>36.927</v>
      </c>
      <c r="E1099" s="129">
        <v>-2.752</v>
      </c>
      <c r="F1099" s="128" t="s">
        <v>219</v>
      </c>
      <c r="G1099" s="128" t="s">
        <v>442</v>
      </c>
      <c r="H1099" s="128" t="s">
        <v>233</v>
      </c>
      <c r="I1099" s="128" t="s">
        <v>234</v>
      </c>
      <c r="J1099" s="129">
        <v>36.0</v>
      </c>
      <c r="K1099" s="129">
        <v>1.0</v>
      </c>
      <c r="L1099" s="129">
        <v>1000.0</v>
      </c>
      <c r="M1099" s="128" t="s">
        <v>443</v>
      </c>
      <c r="N1099" s="129">
        <v>1612.0</v>
      </c>
      <c r="O1099" s="128"/>
      <c r="P1099" s="129">
        <v>1000.0</v>
      </c>
      <c r="Q1099" s="128" t="s">
        <v>220</v>
      </c>
    </row>
    <row r="1100">
      <c r="A1100" s="129">
        <v>121.0</v>
      </c>
      <c r="B1100" s="129">
        <v>2018.0</v>
      </c>
      <c r="C1100" s="129">
        <v>-15.0</v>
      </c>
      <c r="D1100" s="129">
        <v>36.95</v>
      </c>
      <c r="E1100" s="129">
        <v>116.6</v>
      </c>
      <c r="F1100" s="128" t="s">
        <v>493</v>
      </c>
      <c r="G1100" s="128" t="s">
        <v>496</v>
      </c>
      <c r="H1100" s="128" t="s">
        <v>193</v>
      </c>
      <c r="I1100" s="128" t="s">
        <v>194</v>
      </c>
      <c r="J1100" s="128"/>
      <c r="K1100" s="129">
        <v>1.0</v>
      </c>
      <c r="L1100" s="129">
        <v>250.0</v>
      </c>
      <c r="M1100" s="128" t="s">
        <v>497</v>
      </c>
      <c r="N1100" s="129">
        <v>22.0</v>
      </c>
      <c r="O1100" s="128"/>
      <c r="P1100" s="129">
        <v>250.0</v>
      </c>
      <c r="Q1100" s="128" t="s">
        <v>220</v>
      </c>
    </row>
    <row r="1101">
      <c r="A1101" s="129">
        <v>1260.0</v>
      </c>
      <c r="B1101" s="129">
        <v>2021.0</v>
      </c>
      <c r="C1101" s="129">
        <v>-49.0</v>
      </c>
      <c r="D1101" s="129">
        <v>37.0311</v>
      </c>
      <c r="E1101" s="129">
        <v>-119.256</v>
      </c>
      <c r="F1101" s="128" t="s">
        <v>2267</v>
      </c>
      <c r="G1101" s="128" t="s">
        <v>2273</v>
      </c>
      <c r="H1101" s="128" t="s">
        <v>233</v>
      </c>
      <c r="I1101" s="128" t="s">
        <v>2096</v>
      </c>
      <c r="J1101" s="129">
        <v>91.0</v>
      </c>
      <c r="K1101" s="129">
        <v>1.0</v>
      </c>
      <c r="L1101" s="129">
        <v>500.0</v>
      </c>
      <c r="M1101" s="128" t="s">
        <v>2274</v>
      </c>
      <c r="N1101" s="129">
        <v>1180.0</v>
      </c>
      <c r="O1101" s="128" t="s">
        <v>2265</v>
      </c>
      <c r="P1101" s="129">
        <v>500.0</v>
      </c>
      <c r="Q1101" s="128" t="s">
        <v>220</v>
      </c>
    </row>
    <row r="1102">
      <c r="A1102" s="129">
        <v>1268.0</v>
      </c>
      <c r="B1102" s="129">
        <v>2021.0</v>
      </c>
      <c r="C1102" s="129">
        <v>-53.0</v>
      </c>
      <c r="D1102" s="129">
        <v>37.0311</v>
      </c>
      <c r="E1102" s="129">
        <v>-119.256</v>
      </c>
      <c r="F1102" s="128" t="s">
        <v>2267</v>
      </c>
      <c r="G1102" s="128" t="s">
        <v>2273</v>
      </c>
      <c r="H1102" s="128" t="s">
        <v>233</v>
      </c>
      <c r="I1102" s="128" t="s">
        <v>2096</v>
      </c>
      <c r="J1102" s="129">
        <v>33.0</v>
      </c>
      <c r="K1102" s="129">
        <v>1.0</v>
      </c>
      <c r="L1102" s="129">
        <v>500.0</v>
      </c>
      <c r="M1102" s="128" t="s">
        <v>2274</v>
      </c>
      <c r="N1102" s="129">
        <v>1180.0</v>
      </c>
      <c r="O1102" s="128" t="s">
        <v>2265</v>
      </c>
      <c r="P1102" s="129">
        <v>500.0</v>
      </c>
      <c r="Q1102" s="128" t="s">
        <v>220</v>
      </c>
    </row>
    <row r="1103">
      <c r="A1103" s="129">
        <v>1276.0</v>
      </c>
      <c r="B1103" s="129">
        <v>2021.0</v>
      </c>
      <c r="C1103" s="129">
        <v>-47.0</v>
      </c>
      <c r="D1103" s="129">
        <v>37.0311</v>
      </c>
      <c r="E1103" s="129">
        <v>-119.256</v>
      </c>
      <c r="F1103" s="128" t="s">
        <v>2267</v>
      </c>
      <c r="G1103" s="128" t="s">
        <v>2273</v>
      </c>
      <c r="H1103" s="128" t="s">
        <v>233</v>
      </c>
      <c r="I1103" s="128" t="s">
        <v>2096</v>
      </c>
      <c r="J1103" s="129">
        <v>58.0</v>
      </c>
      <c r="K1103" s="129">
        <v>1.0</v>
      </c>
      <c r="L1103" s="129">
        <v>500.0</v>
      </c>
      <c r="M1103" s="128" t="s">
        <v>2274</v>
      </c>
      <c r="N1103" s="129">
        <v>1180.0</v>
      </c>
      <c r="O1103" s="128" t="s">
        <v>2265</v>
      </c>
      <c r="P1103" s="129">
        <v>500.0</v>
      </c>
      <c r="Q1103" s="128" t="s">
        <v>220</v>
      </c>
    </row>
    <row r="1104">
      <c r="A1104" s="129">
        <v>1256.0</v>
      </c>
      <c r="B1104" s="129">
        <v>2021.0</v>
      </c>
      <c r="C1104" s="129">
        <v>-35.0</v>
      </c>
      <c r="D1104" s="129">
        <v>37.0671</v>
      </c>
      <c r="E1104" s="129">
        <v>-118.987</v>
      </c>
      <c r="F1104" s="128" t="s">
        <v>2267</v>
      </c>
      <c r="G1104" s="128" t="s">
        <v>2261</v>
      </c>
      <c r="H1104" s="128" t="s">
        <v>969</v>
      </c>
      <c r="I1104" s="128" t="s">
        <v>2096</v>
      </c>
      <c r="J1104" s="129">
        <v>57.0</v>
      </c>
      <c r="K1104" s="129">
        <v>1.0</v>
      </c>
      <c r="L1104" s="129">
        <v>500.0</v>
      </c>
      <c r="M1104" s="128" t="s">
        <v>2262</v>
      </c>
      <c r="N1104" s="129">
        <v>2714.0</v>
      </c>
      <c r="O1104" s="128" t="s">
        <v>2265</v>
      </c>
      <c r="P1104" s="129">
        <v>500.0</v>
      </c>
      <c r="Q1104" s="128" t="s">
        <v>220</v>
      </c>
    </row>
    <row r="1105">
      <c r="A1105" s="129">
        <v>1264.0</v>
      </c>
      <c r="B1105" s="129">
        <v>2021.0</v>
      </c>
      <c r="C1105" s="129">
        <v>-32.0</v>
      </c>
      <c r="D1105" s="129">
        <v>37.0671</v>
      </c>
      <c r="E1105" s="129">
        <v>-118.987</v>
      </c>
      <c r="F1105" s="128" t="s">
        <v>2267</v>
      </c>
      <c r="G1105" s="128" t="s">
        <v>2261</v>
      </c>
      <c r="H1105" s="128" t="s">
        <v>969</v>
      </c>
      <c r="I1105" s="128" t="s">
        <v>2096</v>
      </c>
      <c r="J1105" s="129">
        <v>39.0</v>
      </c>
      <c r="K1105" s="129">
        <v>1.0</v>
      </c>
      <c r="L1105" s="129">
        <v>500.0</v>
      </c>
      <c r="M1105" s="128" t="s">
        <v>2262</v>
      </c>
      <c r="N1105" s="129">
        <v>2714.0</v>
      </c>
      <c r="O1105" s="128" t="s">
        <v>2265</v>
      </c>
      <c r="P1105" s="129">
        <v>500.0</v>
      </c>
      <c r="Q1105" s="128" t="s">
        <v>220</v>
      </c>
    </row>
    <row r="1106">
      <c r="A1106" s="129">
        <v>1272.0</v>
      </c>
      <c r="B1106" s="129">
        <v>2021.0</v>
      </c>
      <c r="C1106" s="129">
        <v>-40.0</v>
      </c>
      <c r="D1106" s="129">
        <v>37.0671</v>
      </c>
      <c r="E1106" s="129">
        <v>-118.987</v>
      </c>
      <c r="F1106" s="128" t="s">
        <v>2267</v>
      </c>
      <c r="G1106" s="128" t="s">
        <v>2261</v>
      </c>
      <c r="H1106" s="128" t="s">
        <v>969</v>
      </c>
      <c r="I1106" s="128" t="s">
        <v>2096</v>
      </c>
      <c r="J1106" s="129">
        <v>18.0</v>
      </c>
      <c r="K1106" s="129">
        <v>1.0</v>
      </c>
      <c r="L1106" s="129">
        <v>500.0</v>
      </c>
      <c r="M1106" s="128" t="s">
        <v>2262</v>
      </c>
      <c r="N1106" s="129">
        <v>2714.0</v>
      </c>
      <c r="O1106" s="128" t="s">
        <v>2265</v>
      </c>
      <c r="P1106" s="129">
        <v>500.0</v>
      </c>
      <c r="Q1106" s="128" t="s">
        <v>220</v>
      </c>
    </row>
    <row r="1107">
      <c r="A1107" s="129">
        <v>1258.0</v>
      </c>
      <c r="B1107" s="129">
        <v>2021.0</v>
      </c>
      <c r="C1107" s="129">
        <v>-50.0</v>
      </c>
      <c r="D1107" s="129">
        <v>37.0673</v>
      </c>
      <c r="E1107" s="129">
        <v>-119.195</v>
      </c>
      <c r="F1107" s="128" t="s">
        <v>2267</v>
      </c>
      <c r="G1107" s="128" t="s">
        <v>2270</v>
      </c>
      <c r="H1107" s="128" t="s">
        <v>536</v>
      </c>
      <c r="I1107" s="128" t="s">
        <v>2096</v>
      </c>
      <c r="J1107" s="129">
        <v>104.0</v>
      </c>
      <c r="K1107" s="129">
        <v>1.0</v>
      </c>
      <c r="L1107" s="129">
        <v>500.0</v>
      </c>
      <c r="M1107" s="128" t="s">
        <v>2271</v>
      </c>
      <c r="N1107" s="129">
        <v>2030.0</v>
      </c>
      <c r="O1107" s="128" t="s">
        <v>2265</v>
      </c>
      <c r="P1107" s="129">
        <v>500.0</v>
      </c>
      <c r="Q1107" s="128" t="s">
        <v>220</v>
      </c>
    </row>
    <row r="1108">
      <c r="A1108" s="129">
        <v>1266.0</v>
      </c>
      <c r="B1108" s="129">
        <v>2021.0</v>
      </c>
      <c r="C1108" s="129">
        <v>-57.0</v>
      </c>
      <c r="D1108" s="129">
        <v>37.0673</v>
      </c>
      <c r="E1108" s="129">
        <v>-119.195</v>
      </c>
      <c r="F1108" s="128" t="s">
        <v>2267</v>
      </c>
      <c r="G1108" s="128" t="s">
        <v>2278</v>
      </c>
      <c r="H1108" s="128" t="s">
        <v>536</v>
      </c>
      <c r="I1108" s="128" t="s">
        <v>2096</v>
      </c>
      <c r="J1108" s="129">
        <v>46.0</v>
      </c>
      <c r="K1108" s="129">
        <v>1.0</v>
      </c>
      <c r="L1108" s="129">
        <v>500.0</v>
      </c>
      <c r="M1108" s="128" t="s">
        <v>2279</v>
      </c>
      <c r="N1108" s="129">
        <v>2030.0</v>
      </c>
      <c r="O1108" s="128" t="s">
        <v>2265</v>
      </c>
      <c r="P1108" s="129">
        <v>500.0</v>
      </c>
      <c r="Q1108" s="128" t="s">
        <v>220</v>
      </c>
    </row>
    <row r="1109">
      <c r="A1109" s="129">
        <v>1274.0</v>
      </c>
      <c r="B1109" s="129">
        <v>2021.0</v>
      </c>
      <c r="C1109" s="129">
        <v>-43.0</v>
      </c>
      <c r="D1109" s="129">
        <v>37.0673</v>
      </c>
      <c r="E1109" s="129">
        <v>-119.195</v>
      </c>
      <c r="F1109" s="128" t="s">
        <v>2267</v>
      </c>
      <c r="G1109" s="128" t="s">
        <v>2283</v>
      </c>
      <c r="H1109" s="128" t="s">
        <v>536</v>
      </c>
      <c r="I1109" s="128" t="s">
        <v>2096</v>
      </c>
      <c r="J1109" s="129">
        <v>58.0</v>
      </c>
      <c r="K1109" s="129">
        <v>1.0</v>
      </c>
      <c r="L1109" s="129">
        <v>500.0</v>
      </c>
      <c r="M1109" s="128" t="s">
        <v>2284</v>
      </c>
      <c r="N1109" s="129">
        <v>2030.0</v>
      </c>
      <c r="O1109" s="128" t="s">
        <v>2265</v>
      </c>
      <c r="P1109" s="129">
        <v>500.0</v>
      </c>
      <c r="Q1109" s="128" t="s">
        <v>220</v>
      </c>
    </row>
    <row r="1110">
      <c r="A1110" s="129">
        <v>1110.0</v>
      </c>
      <c r="B1110" s="129">
        <v>2015.0</v>
      </c>
      <c r="C1110" s="129">
        <v>9.62</v>
      </c>
      <c r="D1110" s="129">
        <v>37.15278</v>
      </c>
      <c r="E1110" s="129">
        <v>127.6528</v>
      </c>
      <c r="F1110" s="128" t="s">
        <v>1924</v>
      </c>
      <c r="G1110" s="128" t="s">
        <v>1923</v>
      </c>
      <c r="H1110" s="128" t="s">
        <v>1922</v>
      </c>
      <c r="I1110" s="128" t="s">
        <v>234</v>
      </c>
      <c r="J1110" s="129">
        <v>1594.0</v>
      </c>
      <c r="K1110" s="129">
        <v>1.0</v>
      </c>
      <c r="L1110" s="128"/>
      <c r="M1110" s="128"/>
      <c r="N1110" s="129">
        <v>71.0</v>
      </c>
      <c r="O1110" s="128"/>
      <c r="P1110" s="129">
        <v>1000.0</v>
      </c>
      <c r="Q1110" s="128" t="s">
        <v>220</v>
      </c>
    </row>
    <row r="1111">
      <c r="A1111" s="129">
        <v>1111.0</v>
      </c>
      <c r="B1111" s="129">
        <v>2015.0</v>
      </c>
      <c r="C1111" s="129">
        <v>9.28</v>
      </c>
      <c r="D1111" s="129">
        <v>37.15278</v>
      </c>
      <c r="E1111" s="129">
        <v>127.6528</v>
      </c>
      <c r="F1111" s="128" t="s">
        <v>1924</v>
      </c>
      <c r="G1111" s="128" t="s">
        <v>1923</v>
      </c>
      <c r="H1111" s="128" t="s">
        <v>1922</v>
      </c>
      <c r="I1111" s="128" t="s">
        <v>234</v>
      </c>
      <c r="J1111" s="129">
        <v>76.0</v>
      </c>
      <c r="K1111" s="129">
        <v>1.0</v>
      </c>
      <c r="L1111" s="128"/>
      <c r="M1111" s="128"/>
      <c r="N1111" s="129">
        <v>71.0</v>
      </c>
      <c r="O1111" s="128"/>
      <c r="P1111" s="129">
        <v>1000.0</v>
      </c>
      <c r="Q1111" s="128" t="s">
        <v>220</v>
      </c>
    </row>
    <row r="1112">
      <c r="A1112" s="129">
        <v>1112.0</v>
      </c>
      <c r="B1112" s="129">
        <v>2015.0</v>
      </c>
      <c r="C1112" s="129">
        <v>14.45</v>
      </c>
      <c r="D1112" s="129">
        <v>37.15278</v>
      </c>
      <c r="E1112" s="129">
        <v>127.6528</v>
      </c>
      <c r="F1112" s="128" t="s">
        <v>1924</v>
      </c>
      <c r="G1112" s="128" t="s">
        <v>1923</v>
      </c>
      <c r="H1112" s="128" t="s">
        <v>1922</v>
      </c>
      <c r="I1112" s="128" t="s">
        <v>234</v>
      </c>
      <c r="J1112" s="129">
        <v>135.0</v>
      </c>
      <c r="K1112" s="129">
        <v>1.0</v>
      </c>
      <c r="L1112" s="128"/>
      <c r="M1112" s="128"/>
      <c r="N1112" s="129">
        <v>71.0</v>
      </c>
      <c r="O1112" s="128"/>
      <c r="P1112" s="129">
        <v>1000.0</v>
      </c>
      <c r="Q1112" s="128" t="s">
        <v>220</v>
      </c>
    </row>
    <row r="1113">
      <c r="A1113" s="129">
        <v>1113.0</v>
      </c>
      <c r="B1113" s="129">
        <v>2015.0</v>
      </c>
      <c r="C1113" s="129">
        <v>-26.21</v>
      </c>
      <c r="D1113" s="129">
        <v>37.15278</v>
      </c>
      <c r="E1113" s="129">
        <v>127.6528</v>
      </c>
      <c r="F1113" s="128" t="s">
        <v>1924</v>
      </c>
      <c r="G1113" s="128" t="s">
        <v>1923</v>
      </c>
      <c r="H1113" s="128" t="s">
        <v>1922</v>
      </c>
      <c r="I1113" s="128" t="s">
        <v>234</v>
      </c>
      <c r="J1113" s="129">
        <v>72.0</v>
      </c>
      <c r="K1113" s="129">
        <v>1.0</v>
      </c>
      <c r="L1113" s="128"/>
      <c r="M1113" s="128"/>
      <c r="N1113" s="129">
        <v>71.0</v>
      </c>
      <c r="O1113" s="128"/>
      <c r="P1113" s="129">
        <v>1000.0</v>
      </c>
      <c r="Q1113" s="128" t="s">
        <v>220</v>
      </c>
    </row>
    <row r="1114">
      <c r="A1114" s="129">
        <v>729.0</v>
      </c>
      <c r="B1114" s="129">
        <v>2014.0</v>
      </c>
      <c r="C1114" s="129">
        <v>8.6</v>
      </c>
      <c r="D1114" s="129">
        <v>37.16</v>
      </c>
      <c r="E1114" s="129">
        <v>127.65</v>
      </c>
      <c r="F1114" s="128" t="s">
        <v>1443</v>
      </c>
      <c r="G1114" s="128" t="s">
        <v>1433</v>
      </c>
      <c r="H1114" s="128" t="s">
        <v>242</v>
      </c>
      <c r="I1114" s="128" t="s">
        <v>243</v>
      </c>
      <c r="J1114" s="128"/>
      <c r="K1114" s="129">
        <v>1.0</v>
      </c>
      <c r="L1114" s="129">
        <v>1000.0</v>
      </c>
      <c r="M1114" s="128" t="s">
        <v>1434</v>
      </c>
      <c r="N1114" s="129">
        <v>65.0</v>
      </c>
      <c r="O1114" s="128"/>
      <c r="P1114" s="129">
        <v>1000.0</v>
      </c>
      <c r="Q1114" s="128" t="s">
        <v>220</v>
      </c>
    </row>
    <row r="1115">
      <c r="A1115" s="129">
        <v>730.0</v>
      </c>
      <c r="B1115" s="129">
        <v>2014.0</v>
      </c>
      <c r="C1115" s="129">
        <v>-46.3</v>
      </c>
      <c r="D1115" s="129">
        <v>37.16</v>
      </c>
      <c r="E1115" s="129">
        <v>127.65</v>
      </c>
      <c r="F1115" s="128" t="s">
        <v>1443</v>
      </c>
      <c r="G1115" s="128" t="s">
        <v>1433</v>
      </c>
      <c r="H1115" s="128" t="s">
        <v>242</v>
      </c>
      <c r="I1115" s="128" t="s">
        <v>243</v>
      </c>
      <c r="J1115" s="128"/>
      <c r="K1115" s="129">
        <v>1.0</v>
      </c>
      <c r="L1115" s="129">
        <v>1000.0</v>
      </c>
      <c r="M1115" s="128" t="s">
        <v>1434</v>
      </c>
      <c r="N1115" s="129">
        <v>65.0</v>
      </c>
      <c r="O1115" s="128"/>
      <c r="P1115" s="129">
        <v>1000.0</v>
      </c>
      <c r="Q1115" s="128" t="s">
        <v>220</v>
      </c>
    </row>
    <row r="1116">
      <c r="A1116" s="129">
        <v>731.0</v>
      </c>
      <c r="B1116" s="129">
        <v>2014.0</v>
      </c>
      <c r="C1116" s="129">
        <v>-56.8</v>
      </c>
      <c r="D1116" s="129">
        <v>37.16</v>
      </c>
      <c r="E1116" s="129">
        <v>127.65</v>
      </c>
      <c r="F1116" s="128" t="s">
        <v>1443</v>
      </c>
      <c r="G1116" s="128" t="s">
        <v>1433</v>
      </c>
      <c r="H1116" s="128" t="s">
        <v>242</v>
      </c>
      <c r="I1116" s="128" t="s">
        <v>243</v>
      </c>
      <c r="J1116" s="128"/>
      <c r="K1116" s="129">
        <v>1.0</v>
      </c>
      <c r="L1116" s="129">
        <v>1000.0</v>
      </c>
      <c r="M1116" s="128" t="s">
        <v>1434</v>
      </c>
      <c r="N1116" s="129">
        <v>65.0</v>
      </c>
      <c r="O1116" s="128"/>
      <c r="P1116" s="129">
        <v>1000.0</v>
      </c>
      <c r="Q1116" s="128" t="s">
        <v>220</v>
      </c>
    </row>
    <row r="1117">
      <c r="A1117" s="129">
        <v>732.0</v>
      </c>
      <c r="B1117" s="129">
        <v>2014.0</v>
      </c>
      <c r="C1117" s="129">
        <v>2.4</v>
      </c>
      <c r="D1117" s="129">
        <v>37.16</v>
      </c>
      <c r="E1117" s="129">
        <v>127.65</v>
      </c>
      <c r="F1117" s="128" t="s">
        <v>1443</v>
      </c>
      <c r="G1117" s="128" t="s">
        <v>1433</v>
      </c>
      <c r="H1117" s="128" t="s">
        <v>242</v>
      </c>
      <c r="I1117" s="128" t="s">
        <v>243</v>
      </c>
      <c r="J1117" s="128"/>
      <c r="K1117" s="129">
        <v>1.0</v>
      </c>
      <c r="L1117" s="129">
        <v>1000.0</v>
      </c>
      <c r="M1117" s="128" t="s">
        <v>1434</v>
      </c>
      <c r="N1117" s="129">
        <v>65.0</v>
      </c>
      <c r="O1117" s="128"/>
      <c r="P1117" s="129">
        <v>1000.0</v>
      </c>
      <c r="Q1117" s="128" t="s">
        <v>220</v>
      </c>
    </row>
    <row r="1118">
      <c r="A1118" s="129">
        <v>733.0</v>
      </c>
      <c r="B1118" s="129">
        <v>2014.0</v>
      </c>
      <c r="C1118" s="129">
        <v>-35.0</v>
      </c>
      <c r="D1118" s="129">
        <v>37.16</v>
      </c>
      <c r="E1118" s="129">
        <v>127.65</v>
      </c>
      <c r="F1118" s="128" t="s">
        <v>1443</v>
      </c>
      <c r="G1118" s="128" t="s">
        <v>1433</v>
      </c>
      <c r="H1118" s="128" t="s">
        <v>242</v>
      </c>
      <c r="I1118" s="128" t="s">
        <v>243</v>
      </c>
      <c r="J1118" s="128"/>
      <c r="K1118" s="129">
        <v>1.0</v>
      </c>
      <c r="L1118" s="129">
        <v>1000.0</v>
      </c>
      <c r="M1118" s="128" t="s">
        <v>1434</v>
      </c>
      <c r="N1118" s="129">
        <v>65.0</v>
      </c>
      <c r="O1118" s="128"/>
      <c r="P1118" s="129">
        <v>1000.0</v>
      </c>
      <c r="Q1118" s="128" t="s">
        <v>220</v>
      </c>
    </row>
    <row r="1119">
      <c r="A1119" s="129">
        <v>734.0</v>
      </c>
      <c r="B1119" s="129">
        <v>2014.0</v>
      </c>
      <c r="C1119" s="129">
        <v>-40.5</v>
      </c>
      <c r="D1119" s="129">
        <v>37.16</v>
      </c>
      <c r="E1119" s="129">
        <v>127.65</v>
      </c>
      <c r="F1119" s="128" t="s">
        <v>1443</v>
      </c>
      <c r="G1119" s="128" t="s">
        <v>1433</v>
      </c>
      <c r="H1119" s="128" t="s">
        <v>242</v>
      </c>
      <c r="I1119" s="128" t="s">
        <v>243</v>
      </c>
      <c r="J1119" s="128"/>
      <c r="K1119" s="129">
        <v>1.0</v>
      </c>
      <c r="L1119" s="129">
        <v>1000.0</v>
      </c>
      <c r="M1119" s="128" t="s">
        <v>1434</v>
      </c>
      <c r="N1119" s="129">
        <v>65.0</v>
      </c>
      <c r="O1119" s="128"/>
      <c r="P1119" s="129">
        <v>1000.0</v>
      </c>
      <c r="Q1119" s="128" t="s">
        <v>220</v>
      </c>
    </row>
    <row r="1120">
      <c r="A1120" s="129">
        <v>1138.0</v>
      </c>
      <c r="B1120" s="129">
        <v>2015.0</v>
      </c>
      <c r="C1120" s="129">
        <v>-2.99</v>
      </c>
      <c r="D1120" s="129">
        <v>37.16</v>
      </c>
      <c r="E1120" s="129">
        <v>126.65</v>
      </c>
      <c r="F1120" s="128" t="s">
        <v>1957</v>
      </c>
      <c r="G1120" s="128" t="s">
        <v>1961</v>
      </c>
      <c r="H1120" s="128" t="s">
        <v>242</v>
      </c>
      <c r="I1120" s="128" t="s">
        <v>243</v>
      </c>
      <c r="J1120" s="129">
        <v>128.0</v>
      </c>
      <c r="K1120" s="129">
        <v>1.0</v>
      </c>
      <c r="L1120" s="128"/>
      <c r="M1120" s="128"/>
      <c r="N1120" s="129">
        <v>0.0</v>
      </c>
      <c r="O1120" s="128"/>
      <c r="P1120" s="129">
        <v>5000.0</v>
      </c>
      <c r="Q1120" s="128" t="s">
        <v>220</v>
      </c>
    </row>
    <row r="1121">
      <c r="A1121" s="129">
        <v>1139.0</v>
      </c>
      <c r="B1121" s="129">
        <v>2015.0</v>
      </c>
      <c r="C1121" s="129">
        <v>0.2</v>
      </c>
      <c r="D1121" s="129">
        <v>37.16</v>
      </c>
      <c r="E1121" s="129">
        <v>126.65</v>
      </c>
      <c r="F1121" s="128" t="s">
        <v>1957</v>
      </c>
      <c r="G1121" s="128" t="s">
        <v>1961</v>
      </c>
      <c r="H1121" s="128" t="s">
        <v>242</v>
      </c>
      <c r="I1121" s="128" t="s">
        <v>243</v>
      </c>
      <c r="J1121" s="129">
        <v>128.0</v>
      </c>
      <c r="K1121" s="129">
        <v>1.0</v>
      </c>
      <c r="L1121" s="128"/>
      <c r="M1121" s="128"/>
      <c r="N1121" s="129">
        <v>0.0</v>
      </c>
      <c r="O1121" s="128"/>
      <c r="P1121" s="129">
        <v>5000.0</v>
      </c>
      <c r="Q1121" s="128" t="s">
        <v>220</v>
      </c>
    </row>
    <row r="1122">
      <c r="A1122" s="129">
        <v>1639.0</v>
      </c>
      <c r="B1122" s="129">
        <v>2017.0</v>
      </c>
      <c r="C1122" s="129">
        <v>12.5</v>
      </c>
      <c r="D1122" s="129">
        <v>37.16</v>
      </c>
      <c r="E1122" s="129">
        <v>127.65</v>
      </c>
      <c r="F1122" s="128"/>
      <c r="G1122" s="128" t="s">
        <v>2690</v>
      </c>
      <c r="H1122" s="128" t="s">
        <v>356</v>
      </c>
      <c r="I1122" s="128" t="s">
        <v>246</v>
      </c>
      <c r="J1122" s="128"/>
      <c r="K1122" s="129">
        <v>1.0</v>
      </c>
      <c r="L1122" s="129">
        <v>1000.0</v>
      </c>
      <c r="M1122" s="128" t="s">
        <v>1434</v>
      </c>
      <c r="N1122" s="129">
        <v>65.0</v>
      </c>
      <c r="O1122" s="128"/>
      <c r="P1122" s="129">
        <v>1000.0</v>
      </c>
      <c r="Q1122" s="128" t="s">
        <v>220</v>
      </c>
    </row>
    <row r="1123">
      <c r="A1123" s="129">
        <v>1640.0</v>
      </c>
      <c r="B1123" s="129">
        <v>2017.0</v>
      </c>
      <c r="C1123" s="129">
        <v>-26.8</v>
      </c>
      <c r="D1123" s="129">
        <v>37.16</v>
      </c>
      <c r="E1123" s="129">
        <v>127.65</v>
      </c>
      <c r="F1123" s="128"/>
      <c r="G1123" s="128" t="s">
        <v>2690</v>
      </c>
      <c r="H1123" s="128" t="s">
        <v>356</v>
      </c>
      <c r="I1123" s="128" t="s">
        <v>246</v>
      </c>
      <c r="J1123" s="128"/>
      <c r="K1123" s="129">
        <v>1.0</v>
      </c>
      <c r="L1123" s="129">
        <v>1000.0</v>
      </c>
      <c r="M1123" s="128" t="s">
        <v>1434</v>
      </c>
      <c r="N1123" s="129">
        <v>65.0</v>
      </c>
      <c r="O1123" s="128"/>
      <c r="P1123" s="129">
        <v>1000.0</v>
      </c>
      <c r="Q1123" s="128" t="s">
        <v>220</v>
      </c>
    </row>
    <row r="1124">
      <c r="A1124" s="129">
        <v>1641.0</v>
      </c>
      <c r="B1124" s="129">
        <v>2017.0</v>
      </c>
      <c r="C1124" s="129">
        <v>-34.5</v>
      </c>
      <c r="D1124" s="129">
        <v>37.16</v>
      </c>
      <c r="E1124" s="129">
        <v>127.65</v>
      </c>
      <c r="F1124" s="128"/>
      <c r="G1124" s="128" t="s">
        <v>2690</v>
      </c>
      <c r="H1124" s="128" t="s">
        <v>356</v>
      </c>
      <c r="I1124" s="128" t="s">
        <v>246</v>
      </c>
      <c r="J1124" s="128"/>
      <c r="K1124" s="129">
        <v>1.0</v>
      </c>
      <c r="L1124" s="129">
        <v>1000.0</v>
      </c>
      <c r="M1124" s="128" t="s">
        <v>1434</v>
      </c>
      <c r="N1124" s="129">
        <v>65.0</v>
      </c>
      <c r="O1124" s="128"/>
      <c r="P1124" s="129">
        <v>1000.0</v>
      </c>
      <c r="Q1124" s="128" t="s">
        <v>220</v>
      </c>
    </row>
    <row r="1125">
      <c r="A1125" s="129">
        <v>638.0</v>
      </c>
      <c r="B1125" s="129">
        <v>2014.0</v>
      </c>
      <c r="C1125" s="129">
        <v>4.0</v>
      </c>
      <c r="D1125" s="129">
        <v>37.37</v>
      </c>
      <c r="E1125" s="129">
        <v>101.18</v>
      </c>
      <c r="F1125" s="128" t="s">
        <v>1190</v>
      </c>
      <c r="G1125" s="128" t="s">
        <v>1263</v>
      </c>
      <c r="H1125" s="128" t="s">
        <v>284</v>
      </c>
      <c r="I1125" s="128" t="s">
        <v>968</v>
      </c>
      <c r="J1125" s="128"/>
      <c r="K1125" s="129">
        <v>1.0</v>
      </c>
      <c r="L1125" s="129">
        <v>10000.0</v>
      </c>
      <c r="M1125" s="128" t="s">
        <v>1264</v>
      </c>
      <c r="N1125" s="129">
        <v>4006.0</v>
      </c>
      <c r="O1125" s="128"/>
      <c r="P1125" s="129">
        <v>10000.0</v>
      </c>
      <c r="Q1125" s="128" t="s">
        <v>220</v>
      </c>
    </row>
    <row r="1126">
      <c r="A1126" s="129">
        <v>1000.0</v>
      </c>
      <c r="B1126" s="129">
        <v>2012.0</v>
      </c>
      <c r="C1126" s="129">
        <v>9.5</v>
      </c>
      <c r="D1126" s="129">
        <v>37.6</v>
      </c>
      <c r="E1126" s="129">
        <v>101.3333</v>
      </c>
      <c r="F1126" s="128" t="s">
        <v>1821</v>
      </c>
      <c r="G1126" s="128" t="s">
        <v>1819</v>
      </c>
      <c r="H1126" s="128" t="s">
        <v>536</v>
      </c>
      <c r="I1126" s="128" t="s">
        <v>351</v>
      </c>
      <c r="J1126" s="129">
        <v>1.0</v>
      </c>
      <c r="K1126" s="129">
        <v>1.0</v>
      </c>
      <c r="L1126" s="129">
        <v>1000.0</v>
      </c>
      <c r="M1126" s="128"/>
      <c r="N1126" s="129">
        <v>3201.0</v>
      </c>
      <c r="O1126" s="128"/>
      <c r="P1126" s="129">
        <v>1000.0</v>
      </c>
      <c r="Q1126" s="128" t="s">
        <v>220</v>
      </c>
    </row>
    <row r="1127">
      <c r="A1127" s="129">
        <v>39.0</v>
      </c>
      <c r="B1127" s="129">
        <v>2016.0</v>
      </c>
      <c r="C1127" s="129">
        <v>-9.6</v>
      </c>
      <c r="D1127" s="129">
        <v>37.646</v>
      </c>
      <c r="E1127" s="129">
        <v>12.8523</v>
      </c>
      <c r="F1127" s="128" t="s">
        <v>239</v>
      </c>
      <c r="G1127" s="128" t="s">
        <v>235</v>
      </c>
      <c r="H1127" s="128" t="s">
        <v>233</v>
      </c>
      <c r="I1127" s="128" t="s">
        <v>234</v>
      </c>
      <c r="J1127" s="129">
        <v>31.0</v>
      </c>
      <c r="K1127" s="129">
        <v>1.0</v>
      </c>
      <c r="L1127" s="129">
        <v>1000.0</v>
      </c>
      <c r="M1127" s="128" t="s">
        <v>236</v>
      </c>
      <c r="N1127" s="129">
        <v>122.0</v>
      </c>
      <c r="O1127" s="129">
        <v>3000.0</v>
      </c>
      <c r="P1127" s="129">
        <v>1000.0</v>
      </c>
      <c r="Q1127" s="128" t="s">
        <v>220</v>
      </c>
    </row>
    <row r="1128">
      <c r="A1128" s="129">
        <v>40.0</v>
      </c>
      <c r="B1128" s="129">
        <v>2016.0</v>
      </c>
      <c r="C1128" s="129">
        <v>13.77</v>
      </c>
      <c r="D1128" s="129">
        <v>37.646</v>
      </c>
      <c r="E1128" s="129">
        <v>12.8523</v>
      </c>
      <c r="F1128" s="128" t="s">
        <v>239</v>
      </c>
      <c r="G1128" s="128" t="s">
        <v>235</v>
      </c>
      <c r="H1128" s="128" t="s">
        <v>242</v>
      </c>
      <c r="I1128" s="128" t="s">
        <v>243</v>
      </c>
      <c r="J1128" s="129">
        <v>19.0</v>
      </c>
      <c r="K1128" s="129">
        <v>1.0</v>
      </c>
      <c r="L1128" s="129">
        <v>1000.0</v>
      </c>
      <c r="M1128" s="128" t="s">
        <v>236</v>
      </c>
      <c r="N1128" s="129">
        <v>122.0</v>
      </c>
      <c r="O1128" s="129">
        <v>3000.0</v>
      </c>
      <c r="P1128" s="129">
        <v>1000.0</v>
      </c>
      <c r="Q1128" s="128" t="s">
        <v>220</v>
      </c>
    </row>
    <row r="1129">
      <c r="A1129" s="129">
        <v>41.0</v>
      </c>
      <c r="B1129" s="129">
        <v>2016.0</v>
      </c>
      <c r="C1129" s="129">
        <v>7.45</v>
      </c>
      <c r="D1129" s="129">
        <v>37.646</v>
      </c>
      <c r="E1129" s="129">
        <v>12.8523</v>
      </c>
      <c r="F1129" s="128" t="s">
        <v>239</v>
      </c>
      <c r="G1129" s="128" t="s">
        <v>235</v>
      </c>
      <c r="H1129" s="128" t="s">
        <v>167</v>
      </c>
      <c r="I1129" s="128" t="s">
        <v>244</v>
      </c>
      <c r="J1129" s="129">
        <v>38.0</v>
      </c>
      <c r="K1129" s="129">
        <v>1.0</v>
      </c>
      <c r="L1129" s="129">
        <v>1000.0</v>
      </c>
      <c r="M1129" s="128" t="s">
        <v>236</v>
      </c>
      <c r="N1129" s="129">
        <v>122.0</v>
      </c>
      <c r="O1129" s="129">
        <v>3000.0</v>
      </c>
      <c r="P1129" s="129">
        <v>1000.0</v>
      </c>
      <c r="Q1129" s="128" t="s">
        <v>220</v>
      </c>
    </row>
    <row r="1130">
      <c r="A1130" s="129">
        <v>42.0</v>
      </c>
      <c r="B1130" s="129">
        <v>2016.0</v>
      </c>
      <c r="C1130" s="129">
        <v>-5.67</v>
      </c>
      <c r="D1130" s="129">
        <v>37.646</v>
      </c>
      <c r="E1130" s="129">
        <v>12.8523</v>
      </c>
      <c r="F1130" s="128" t="s">
        <v>239</v>
      </c>
      <c r="G1130" s="128" t="s">
        <v>235</v>
      </c>
      <c r="H1130" s="128" t="s">
        <v>245</v>
      </c>
      <c r="I1130" s="128" t="s">
        <v>246</v>
      </c>
      <c r="J1130" s="129">
        <v>40.0</v>
      </c>
      <c r="K1130" s="129">
        <v>1.0</v>
      </c>
      <c r="L1130" s="129">
        <v>1000.0</v>
      </c>
      <c r="M1130" s="128" t="s">
        <v>236</v>
      </c>
      <c r="N1130" s="129">
        <v>122.0</v>
      </c>
      <c r="O1130" s="129">
        <v>3000.0</v>
      </c>
      <c r="P1130" s="129">
        <v>1000.0</v>
      </c>
      <c r="Q1130" s="128" t="s">
        <v>220</v>
      </c>
    </row>
    <row r="1131">
      <c r="A1131" s="129">
        <v>43.0</v>
      </c>
      <c r="B1131" s="129">
        <v>2016.0</v>
      </c>
      <c r="C1131" s="129">
        <v>-0.83</v>
      </c>
      <c r="D1131" s="129">
        <v>37.646</v>
      </c>
      <c r="E1131" s="129">
        <v>12.8523</v>
      </c>
      <c r="F1131" s="128" t="s">
        <v>239</v>
      </c>
      <c r="G1131" s="128" t="s">
        <v>235</v>
      </c>
      <c r="H1131" s="128" t="s">
        <v>233</v>
      </c>
      <c r="I1131" s="128" t="s">
        <v>246</v>
      </c>
      <c r="J1131" s="129">
        <v>128.0</v>
      </c>
      <c r="K1131" s="129">
        <v>1.0</v>
      </c>
      <c r="L1131" s="129">
        <v>1000.0</v>
      </c>
      <c r="M1131" s="128" t="s">
        <v>236</v>
      </c>
      <c r="N1131" s="129">
        <v>122.0</v>
      </c>
      <c r="O1131" s="129">
        <v>3000.0</v>
      </c>
      <c r="P1131" s="129">
        <v>1000.0</v>
      </c>
      <c r="Q1131" s="128" t="s">
        <v>220</v>
      </c>
    </row>
    <row r="1132">
      <c r="A1132" s="129">
        <v>44.0</v>
      </c>
      <c r="B1132" s="129">
        <v>2016.0</v>
      </c>
      <c r="C1132" s="129">
        <v>-38.58</v>
      </c>
      <c r="D1132" s="129">
        <v>37.646</v>
      </c>
      <c r="E1132" s="129">
        <v>12.8523</v>
      </c>
      <c r="F1132" s="128"/>
      <c r="G1132" s="128" t="s">
        <v>235</v>
      </c>
      <c r="H1132" s="128" t="s">
        <v>233</v>
      </c>
      <c r="I1132" s="128" t="s">
        <v>234</v>
      </c>
      <c r="J1132" s="129">
        <v>31.0</v>
      </c>
      <c r="K1132" s="129">
        <v>1.0</v>
      </c>
      <c r="L1132" s="129">
        <v>1000.0</v>
      </c>
      <c r="M1132" s="128" t="s">
        <v>236</v>
      </c>
      <c r="N1132" s="129">
        <v>122.0</v>
      </c>
      <c r="O1132" s="129">
        <v>3000.0</v>
      </c>
      <c r="P1132" s="129">
        <v>1000.0</v>
      </c>
      <c r="Q1132" s="128" t="s">
        <v>220</v>
      </c>
    </row>
    <row r="1133">
      <c r="A1133" s="129">
        <v>45.0</v>
      </c>
      <c r="B1133" s="129">
        <v>2016.0</v>
      </c>
      <c r="C1133" s="129">
        <v>-19.48</v>
      </c>
      <c r="D1133" s="129">
        <v>37.646</v>
      </c>
      <c r="E1133" s="129">
        <v>12.8523</v>
      </c>
      <c r="F1133" s="128"/>
      <c r="G1133" s="128" t="s">
        <v>235</v>
      </c>
      <c r="H1133" s="128" t="s">
        <v>242</v>
      </c>
      <c r="I1133" s="128" t="s">
        <v>243</v>
      </c>
      <c r="J1133" s="129">
        <v>19.0</v>
      </c>
      <c r="K1133" s="129">
        <v>1.0</v>
      </c>
      <c r="L1133" s="129">
        <v>1000.0</v>
      </c>
      <c r="M1133" s="128" t="s">
        <v>236</v>
      </c>
      <c r="N1133" s="129">
        <v>122.0</v>
      </c>
      <c r="O1133" s="129">
        <v>3000.0</v>
      </c>
      <c r="P1133" s="129">
        <v>1000.0</v>
      </c>
      <c r="Q1133" s="128" t="s">
        <v>220</v>
      </c>
    </row>
    <row r="1134">
      <c r="A1134" s="129">
        <v>46.0</v>
      </c>
      <c r="B1134" s="129">
        <v>2016.0</v>
      </c>
      <c r="C1134" s="129">
        <v>-29.26</v>
      </c>
      <c r="D1134" s="129">
        <v>37.646</v>
      </c>
      <c r="E1134" s="129">
        <v>12.8523</v>
      </c>
      <c r="F1134" s="128"/>
      <c r="G1134" s="128" t="s">
        <v>235</v>
      </c>
      <c r="H1134" s="128" t="s">
        <v>167</v>
      </c>
      <c r="I1134" s="128" t="s">
        <v>244</v>
      </c>
      <c r="J1134" s="129">
        <v>38.0</v>
      </c>
      <c r="K1134" s="129">
        <v>1.0</v>
      </c>
      <c r="L1134" s="129">
        <v>1000.0</v>
      </c>
      <c r="M1134" s="128" t="s">
        <v>236</v>
      </c>
      <c r="N1134" s="129">
        <v>122.0</v>
      </c>
      <c r="O1134" s="129">
        <v>3000.0</v>
      </c>
      <c r="P1134" s="129">
        <v>1000.0</v>
      </c>
      <c r="Q1134" s="128" t="s">
        <v>220</v>
      </c>
    </row>
    <row r="1135">
      <c r="A1135" s="129">
        <v>47.0</v>
      </c>
      <c r="B1135" s="129">
        <v>2016.0</v>
      </c>
      <c r="C1135" s="129">
        <v>-40.28</v>
      </c>
      <c r="D1135" s="129">
        <v>37.646</v>
      </c>
      <c r="E1135" s="129">
        <v>12.8523</v>
      </c>
      <c r="F1135" s="128"/>
      <c r="G1135" s="128" t="s">
        <v>235</v>
      </c>
      <c r="H1135" s="128" t="s">
        <v>245</v>
      </c>
      <c r="I1135" s="128" t="s">
        <v>246</v>
      </c>
      <c r="J1135" s="129">
        <v>40.0</v>
      </c>
      <c r="K1135" s="129">
        <v>1.0</v>
      </c>
      <c r="L1135" s="129">
        <v>1000.0</v>
      </c>
      <c r="M1135" s="128" t="s">
        <v>236</v>
      </c>
      <c r="N1135" s="129">
        <v>122.0</v>
      </c>
      <c r="O1135" s="129">
        <v>3000.0</v>
      </c>
      <c r="P1135" s="129">
        <v>1000.0</v>
      </c>
      <c r="Q1135" s="128" t="s">
        <v>220</v>
      </c>
    </row>
    <row r="1136">
      <c r="A1136" s="129">
        <v>48.0</v>
      </c>
      <c r="B1136" s="129">
        <v>2016.0</v>
      </c>
      <c r="C1136" s="129">
        <v>-34.41</v>
      </c>
      <c r="D1136" s="129">
        <v>37.646</v>
      </c>
      <c r="E1136" s="129">
        <v>12.8523</v>
      </c>
      <c r="F1136" s="128"/>
      <c r="G1136" s="128" t="s">
        <v>235</v>
      </c>
      <c r="H1136" s="128" t="s">
        <v>233</v>
      </c>
      <c r="I1136" s="128" t="s">
        <v>246</v>
      </c>
      <c r="J1136" s="129">
        <v>128.0</v>
      </c>
      <c r="K1136" s="129">
        <v>1.0</v>
      </c>
      <c r="L1136" s="129">
        <v>1000.0</v>
      </c>
      <c r="M1136" s="128" t="s">
        <v>236</v>
      </c>
      <c r="N1136" s="129">
        <v>122.0</v>
      </c>
      <c r="O1136" s="129">
        <v>3000.0</v>
      </c>
      <c r="P1136" s="129">
        <v>1000.0</v>
      </c>
      <c r="Q1136" s="128" t="s">
        <v>220</v>
      </c>
    </row>
    <row r="1137">
      <c r="A1137" s="129">
        <v>904.0</v>
      </c>
      <c r="B1137" s="129">
        <v>2013.0</v>
      </c>
      <c r="C1137" s="129">
        <v>-116.5</v>
      </c>
      <c r="D1137" s="129">
        <v>37.75</v>
      </c>
      <c r="E1137" s="129">
        <v>127.15</v>
      </c>
      <c r="F1137" s="128" t="s">
        <v>1190</v>
      </c>
      <c r="G1137" s="128" t="s">
        <v>1735</v>
      </c>
      <c r="H1137" s="128"/>
      <c r="I1137" s="128"/>
      <c r="J1137" s="128"/>
      <c r="K1137" s="129">
        <v>1.0</v>
      </c>
      <c r="L1137" s="129">
        <v>1000.0</v>
      </c>
      <c r="M1137" s="128" t="s">
        <v>1129</v>
      </c>
      <c r="N1137" s="129">
        <v>282.0</v>
      </c>
      <c r="O1137" s="128"/>
      <c r="P1137" s="129">
        <v>1000.0</v>
      </c>
      <c r="Q1137" s="128" t="s">
        <v>220</v>
      </c>
    </row>
    <row r="1138">
      <c r="A1138" s="129">
        <v>905.0</v>
      </c>
      <c r="B1138" s="129">
        <v>2013.0</v>
      </c>
      <c r="C1138" s="129">
        <v>-42.5</v>
      </c>
      <c r="D1138" s="129">
        <v>37.75</v>
      </c>
      <c r="E1138" s="129">
        <v>127.15</v>
      </c>
      <c r="F1138" s="128" t="s">
        <v>1190</v>
      </c>
      <c r="G1138" s="128" t="s">
        <v>1735</v>
      </c>
      <c r="H1138" s="128"/>
      <c r="I1138" s="128"/>
      <c r="J1138" s="128"/>
      <c r="K1138" s="129">
        <v>1.0</v>
      </c>
      <c r="L1138" s="129">
        <v>1000.0</v>
      </c>
      <c r="M1138" s="128" t="s">
        <v>1129</v>
      </c>
      <c r="N1138" s="129">
        <v>282.0</v>
      </c>
      <c r="O1138" s="128"/>
      <c r="P1138" s="129">
        <v>1000.0</v>
      </c>
      <c r="Q1138" s="128" t="s">
        <v>220</v>
      </c>
    </row>
    <row r="1139">
      <c r="A1139" s="129">
        <v>908.0</v>
      </c>
      <c r="B1139" s="129">
        <v>2013.0</v>
      </c>
      <c r="C1139" s="129">
        <v>-129.5</v>
      </c>
      <c r="D1139" s="129">
        <v>37.75</v>
      </c>
      <c r="E1139" s="129">
        <v>127.15</v>
      </c>
      <c r="F1139" s="128" t="s">
        <v>1740</v>
      </c>
      <c r="G1139" s="128" t="s">
        <v>1735</v>
      </c>
      <c r="H1139" s="128"/>
      <c r="I1139" s="128"/>
      <c r="J1139" s="128"/>
      <c r="K1139" s="129">
        <v>1.0</v>
      </c>
      <c r="L1139" s="129">
        <v>1000.0</v>
      </c>
      <c r="M1139" s="128" t="s">
        <v>1129</v>
      </c>
      <c r="N1139" s="129">
        <v>282.0</v>
      </c>
      <c r="O1139" s="128"/>
      <c r="P1139" s="129">
        <v>1000.0</v>
      </c>
      <c r="Q1139" s="128" t="s">
        <v>220</v>
      </c>
    </row>
    <row r="1140">
      <c r="A1140" s="129">
        <v>909.0</v>
      </c>
      <c r="B1140" s="129">
        <v>2013.0</v>
      </c>
      <c r="C1140" s="129">
        <v>-51.1</v>
      </c>
      <c r="D1140" s="129">
        <v>37.75</v>
      </c>
      <c r="E1140" s="129">
        <v>127.15</v>
      </c>
      <c r="F1140" s="128" t="s">
        <v>1740</v>
      </c>
      <c r="G1140" s="128" t="s">
        <v>1735</v>
      </c>
      <c r="H1140" s="128"/>
      <c r="I1140" s="128"/>
      <c r="J1140" s="128"/>
      <c r="K1140" s="129">
        <v>1.0</v>
      </c>
      <c r="L1140" s="129">
        <v>1000.0</v>
      </c>
      <c r="M1140" s="128" t="s">
        <v>1129</v>
      </c>
      <c r="N1140" s="129">
        <v>282.0</v>
      </c>
      <c r="O1140" s="128"/>
      <c r="P1140" s="129">
        <v>1000.0</v>
      </c>
      <c r="Q1140" s="128" t="s">
        <v>220</v>
      </c>
    </row>
    <row r="1141">
      <c r="A1141" s="129">
        <v>572.0</v>
      </c>
      <c r="B1141" s="129">
        <v>2013.0</v>
      </c>
      <c r="C1141" s="129">
        <v>39.5</v>
      </c>
      <c r="D1141" s="129">
        <v>37.76</v>
      </c>
      <c r="E1141" s="129">
        <v>127.15</v>
      </c>
      <c r="F1141" s="128" t="s">
        <v>1133</v>
      </c>
      <c r="G1141" s="128" t="s">
        <v>1128</v>
      </c>
      <c r="H1141" s="128" t="s">
        <v>341</v>
      </c>
      <c r="I1141" s="128" t="s">
        <v>285</v>
      </c>
      <c r="J1141" s="128"/>
      <c r="K1141" s="129">
        <v>1.0</v>
      </c>
      <c r="L1141" s="129">
        <v>1000.0</v>
      </c>
      <c r="M1141" s="128" t="s">
        <v>1129</v>
      </c>
      <c r="N1141" s="129">
        <v>286.0</v>
      </c>
      <c r="O1141" s="128"/>
      <c r="P1141" s="129">
        <v>1000.0</v>
      </c>
      <c r="Q1141" s="128" t="s">
        <v>220</v>
      </c>
    </row>
    <row r="1142">
      <c r="A1142" s="129">
        <v>867.0</v>
      </c>
      <c r="B1142" s="129">
        <v>2012.0</v>
      </c>
      <c r="C1142" s="129">
        <v>-17.7</v>
      </c>
      <c r="D1142" s="129">
        <v>37.88</v>
      </c>
      <c r="E1142" s="129">
        <v>114.68</v>
      </c>
      <c r="F1142" s="128" t="s">
        <v>939</v>
      </c>
      <c r="G1142" s="128" t="s">
        <v>1633</v>
      </c>
      <c r="H1142" s="128" t="s">
        <v>350</v>
      </c>
      <c r="I1142" s="128" t="s">
        <v>676</v>
      </c>
      <c r="J1142" s="128"/>
      <c r="K1142" s="129">
        <v>1.0</v>
      </c>
      <c r="L1142" s="129">
        <v>3000.0</v>
      </c>
      <c r="M1142" s="128" t="s">
        <v>1633</v>
      </c>
      <c r="N1142" s="129">
        <v>55.0</v>
      </c>
      <c r="O1142" s="128"/>
      <c r="P1142" s="129">
        <v>30.0</v>
      </c>
      <c r="Q1142" s="128" t="s">
        <v>220</v>
      </c>
    </row>
    <row r="1143">
      <c r="A1143" s="129">
        <v>868.0</v>
      </c>
      <c r="B1143" s="129">
        <v>2012.0</v>
      </c>
      <c r="C1143" s="129">
        <v>7.41</v>
      </c>
      <c r="D1143" s="129">
        <v>37.88</v>
      </c>
      <c r="E1143" s="129">
        <v>114.68</v>
      </c>
      <c r="F1143" s="128" t="s">
        <v>939</v>
      </c>
      <c r="G1143" s="128" t="s">
        <v>1633</v>
      </c>
      <c r="H1143" s="128" t="s">
        <v>350</v>
      </c>
      <c r="I1143" s="128" t="s">
        <v>676</v>
      </c>
      <c r="J1143" s="128"/>
      <c r="K1143" s="129">
        <v>1.0</v>
      </c>
      <c r="L1143" s="129">
        <v>3000.0</v>
      </c>
      <c r="M1143" s="128" t="s">
        <v>1633</v>
      </c>
      <c r="N1143" s="129">
        <v>55.0</v>
      </c>
      <c r="O1143" s="128"/>
      <c r="P1143" s="129">
        <v>30.0</v>
      </c>
      <c r="Q1143" s="128" t="s">
        <v>220</v>
      </c>
    </row>
    <row r="1144">
      <c r="A1144" s="129">
        <v>1114.0</v>
      </c>
      <c r="B1144" s="129">
        <v>2015.0</v>
      </c>
      <c r="C1144" s="129">
        <v>137.85</v>
      </c>
      <c r="D1144" s="129">
        <v>37.93889</v>
      </c>
      <c r="E1144" s="129">
        <v>126.9547</v>
      </c>
      <c r="F1144" s="128" t="s">
        <v>1924</v>
      </c>
      <c r="G1144" s="128" t="s">
        <v>1929</v>
      </c>
      <c r="H1144" s="128" t="s">
        <v>1922</v>
      </c>
      <c r="I1144" s="128" t="s">
        <v>234</v>
      </c>
      <c r="J1144" s="129">
        <v>1674.0</v>
      </c>
      <c r="K1144" s="129">
        <v>1.0</v>
      </c>
      <c r="L1144" s="128"/>
      <c r="M1144" s="128"/>
      <c r="N1144" s="129">
        <v>290.0</v>
      </c>
      <c r="O1144" s="128"/>
      <c r="P1144" s="129">
        <v>1000.0</v>
      </c>
      <c r="Q1144" s="128" t="s">
        <v>220</v>
      </c>
    </row>
    <row r="1145">
      <c r="A1145" s="129">
        <v>1115.0</v>
      </c>
      <c r="B1145" s="129">
        <v>2015.0</v>
      </c>
      <c r="C1145" s="129">
        <v>191.6</v>
      </c>
      <c r="D1145" s="129">
        <v>37.93889</v>
      </c>
      <c r="E1145" s="129">
        <v>126.9547</v>
      </c>
      <c r="F1145" s="128" t="s">
        <v>1924</v>
      </c>
      <c r="G1145" s="128" t="s">
        <v>1929</v>
      </c>
      <c r="H1145" s="128" t="s">
        <v>1922</v>
      </c>
      <c r="I1145" s="128" t="s">
        <v>234</v>
      </c>
      <c r="J1145" s="129">
        <v>101.0</v>
      </c>
      <c r="K1145" s="129">
        <v>1.0</v>
      </c>
      <c r="L1145" s="128"/>
      <c r="M1145" s="128"/>
      <c r="N1145" s="129">
        <v>290.0</v>
      </c>
      <c r="O1145" s="128"/>
      <c r="P1145" s="129">
        <v>1000.0</v>
      </c>
      <c r="Q1145" s="128" t="s">
        <v>220</v>
      </c>
    </row>
    <row r="1146">
      <c r="A1146" s="129">
        <v>1116.0</v>
      </c>
      <c r="B1146" s="129">
        <v>2015.0</v>
      </c>
      <c r="C1146" s="129">
        <v>143.75</v>
      </c>
      <c r="D1146" s="129">
        <v>37.93889</v>
      </c>
      <c r="E1146" s="129">
        <v>126.9547</v>
      </c>
      <c r="F1146" s="128" t="s">
        <v>1924</v>
      </c>
      <c r="G1146" s="128" t="s">
        <v>1929</v>
      </c>
      <c r="H1146" s="128" t="s">
        <v>1922</v>
      </c>
      <c r="I1146" s="128" t="s">
        <v>234</v>
      </c>
      <c r="J1146" s="129">
        <v>167.0</v>
      </c>
      <c r="K1146" s="129">
        <v>1.0</v>
      </c>
      <c r="L1146" s="128"/>
      <c r="M1146" s="128"/>
      <c r="N1146" s="129">
        <v>290.0</v>
      </c>
      <c r="O1146" s="128"/>
      <c r="P1146" s="129">
        <v>1000.0</v>
      </c>
      <c r="Q1146" s="128" t="s">
        <v>220</v>
      </c>
    </row>
    <row r="1147">
      <c r="A1147" s="129">
        <v>1117.0</v>
      </c>
      <c r="B1147" s="129">
        <v>2015.0</v>
      </c>
      <c r="C1147" s="129">
        <v>63.45</v>
      </c>
      <c r="D1147" s="129">
        <v>37.93889</v>
      </c>
      <c r="E1147" s="129">
        <v>126.9547</v>
      </c>
      <c r="F1147" s="128" t="s">
        <v>1924</v>
      </c>
      <c r="G1147" s="128" t="s">
        <v>1929</v>
      </c>
      <c r="H1147" s="128" t="s">
        <v>1922</v>
      </c>
      <c r="I1147" s="128" t="s">
        <v>234</v>
      </c>
      <c r="J1147" s="129">
        <v>98.0</v>
      </c>
      <c r="K1147" s="129">
        <v>1.0</v>
      </c>
      <c r="L1147" s="128"/>
      <c r="M1147" s="128"/>
      <c r="N1147" s="129">
        <v>290.0</v>
      </c>
      <c r="O1147" s="128"/>
      <c r="P1147" s="129">
        <v>1000.0</v>
      </c>
      <c r="Q1147" s="128" t="s">
        <v>220</v>
      </c>
    </row>
    <row r="1148">
      <c r="A1148" s="129">
        <v>747.0</v>
      </c>
      <c r="B1148" s="129">
        <v>2014.0</v>
      </c>
      <c r="C1148" s="129">
        <v>240.7</v>
      </c>
      <c r="D1148" s="129">
        <v>37.94</v>
      </c>
      <c r="E1148" s="129">
        <v>126.95</v>
      </c>
      <c r="F1148" s="128" t="s">
        <v>1443</v>
      </c>
      <c r="G1148" s="128" t="s">
        <v>1444</v>
      </c>
      <c r="H1148" s="128" t="s">
        <v>242</v>
      </c>
      <c r="I1148" s="128" t="s">
        <v>243</v>
      </c>
      <c r="J1148" s="128"/>
      <c r="K1148" s="129">
        <v>1.0</v>
      </c>
      <c r="L1148" s="129">
        <v>1000.0</v>
      </c>
      <c r="M1148" s="128" t="s">
        <v>1445</v>
      </c>
      <c r="N1148" s="129">
        <v>244.0</v>
      </c>
      <c r="O1148" s="128"/>
      <c r="P1148" s="129">
        <v>1000.0</v>
      </c>
      <c r="Q1148" s="128" t="s">
        <v>220</v>
      </c>
    </row>
    <row r="1149">
      <c r="A1149" s="129">
        <v>748.0</v>
      </c>
      <c r="B1149" s="129">
        <v>2014.0</v>
      </c>
      <c r="C1149" s="129">
        <v>7.8</v>
      </c>
      <c r="D1149" s="129">
        <v>37.94</v>
      </c>
      <c r="E1149" s="129">
        <v>126.95</v>
      </c>
      <c r="F1149" s="128" t="s">
        <v>1443</v>
      </c>
      <c r="G1149" s="128" t="s">
        <v>1444</v>
      </c>
      <c r="H1149" s="128" t="s">
        <v>242</v>
      </c>
      <c r="I1149" s="128" t="s">
        <v>243</v>
      </c>
      <c r="J1149" s="128"/>
      <c r="K1149" s="129">
        <v>1.0</v>
      </c>
      <c r="L1149" s="129">
        <v>1000.0</v>
      </c>
      <c r="M1149" s="128" t="s">
        <v>1445</v>
      </c>
      <c r="N1149" s="129">
        <v>244.0</v>
      </c>
      <c r="O1149" s="128"/>
      <c r="P1149" s="129">
        <v>1000.0</v>
      </c>
      <c r="Q1149" s="128" t="s">
        <v>220</v>
      </c>
    </row>
    <row r="1150">
      <c r="A1150" s="129">
        <v>749.0</v>
      </c>
      <c r="B1150" s="129">
        <v>2014.0</v>
      </c>
      <c r="C1150" s="129">
        <v>-40.5</v>
      </c>
      <c r="D1150" s="129">
        <v>37.94</v>
      </c>
      <c r="E1150" s="129">
        <v>126.95</v>
      </c>
      <c r="F1150" s="128" t="s">
        <v>1443</v>
      </c>
      <c r="G1150" s="128" t="s">
        <v>1444</v>
      </c>
      <c r="H1150" s="128" t="s">
        <v>242</v>
      </c>
      <c r="I1150" s="128" t="s">
        <v>243</v>
      </c>
      <c r="J1150" s="128"/>
      <c r="K1150" s="129">
        <v>1.0</v>
      </c>
      <c r="L1150" s="129">
        <v>1000.0</v>
      </c>
      <c r="M1150" s="128" t="s">
        <v>1445</v>
      </c>
      <c r="N1150" s="129">
        <v>244.0</v>
      </c>
      <c r="O1150" s="128"/>
      <c r="P1150" s="129">
        <v>1000.0</v>
      </c>
      <c r="Q1150" s="128" t="s">
        <v>220</v>
      </c>
    </row>
    <row r="1151">
      <c r="A1151" s="129">
        <v>750.0</v>
      </c>
      <c r="B1151" s="129">
        <v>2014.0</v>
      </c>
      <c r="C1151" s="129">
        <v>149.7</v>
      </c>
      <c r="D1151" s="129">
        <v>37.94</v>
      </c>
      <c r="E1151" s="129">
        <v>126.95</v>
      </c>
      <c r="F1151" s="128" t="s">
        <v>1443</v>
      </c>
      <c r="G1151" s="128" t="s">
        <v>1444</v>
      </c>
      <c r="H1151" s="128" t="s">
        <v>242</v>
      </c>
      <c r="I1151" s="128" t="s">
        <v>243</v>
      </c>
      <c r="J1151" s="128"/>
      <c r="K1151" s="129">
        <v>1.0</v>
      </c>
      <c r="L1151" s="129">
        <v>1000.0</v>
      </c>
      <c r="M1151" s="128" t="s">
        <v>1445</v>
      </c>
      <c r="N1151" s="129">
        <v>244.0</v>
      </c>
      <c r="O1151" s="128"/>
      <c r="P1151" s="129">
        <v>1000.0</v>
      </c>
      <c r="Q1151" s="128" t="s">
        <v>220</v>
      </c>
    </row>
    <row r="1152">
      <c r="A1152" s="129">
        <v>751.0</v>
      </c>
      <c r="B1152" s="129">
        <v>2014.0</v>
      </c>
      <c r="C1152" s="129">
        <v>22.3</v>
      </c>
      <c r="D1152" s="129">
        <v>37.94</v>
      </c>
      <c r="E1152" s="129">
        <v>126.95</v>
      </c>
      <c r="F1152" s="128" t="s">
        <v>1443</v>
      </c>
      <c r="G1152" s="128" t="s">
        <v>1444</v>
      </c>
      <c r="H1152" s="128" t="s">
        <v>242</v>
      </c>
      <c r="I1152" s="128" t="s">
        <v>243</v>
      </c>
      <c r="J1152" s="128"/>
      <c r="K1152" s="129">
        <v>1.0</v>
      </c>
      <c r="L1152" s="129">
        <v>1000.0</v>
      </c>
      <c r="M1152" s="128" t="s">
        <v>1445</v>
      </c>
      <c r="N1152" s="129">
        <v>244.0</v>
      </c>
      <c r="O1152" s="128"/>
      <c r="P1152" s="129">
        <v>1000.0</v>
      </c>
      <c r="Q1152" s="128" t="s">
        <v>220</v>
      </c>
    </row>
    <row r="1153">
      <c r="A1153" s="129">
        <v>752.0</v>
      </c>
      <c r="B1153" s="129">
        <v>2014.0</v>
      </c>
      <c r="C1153" s="129">
        <v>-8.7</v>
      </c>
      <c r="D1153" s="129">
        <v>37.94</v>
      </c>
      <c r="E1153" s="129">
        <v>126.95</v>
      </c>
      <c r="F1153" s="128" t="s">
        <v>1443</v>
      </c>
      <c r="G1153" s="128" t="s">
        <v>1444</v>
      </c>
      <c r="H1153" s="128" t="s">
        <v>242</v>
      </c>
      <c r="I1153" s="128" t="s">
        <v>243</v>
      </c>
      <c r="J1153" s="128"/>
      <c r="K1153" s="129">
        <v>1.0</v>
      </c>
      <c r="L1153" s="129">
        <v>1000.0</v>
      </c>
      <c r="M1153" s="128" t="s">
        <v>1445</v>
      </c>
      <c r="N1153" s="129">
        <v>244.0</v>
      </c>
      <c r="O1153" s="128"/>
      <c r="P1153" s="129">
        <v>1000.0</v>
      </c>
      <c r="Q1153" s="128" t="s">
        <v>220</v>
      </c>
    </row>
    <row r="1154">
      <c r="A1154" s="129">
        <v>1136.0</v>
      </c>
      <c r="B1154" s="129">
        <v>2015.0</v>
      </c>
      <c r="C1154" s="129">
        <v>-6.08</v>
      </c>
      <c r="D1154" s="129">
        <v>37.94</v>
      </c>
      <c r="E1154" s="129">
        <v>126.95</v>
      </c>
      <c r="F1154" s="128" t="s">
        <v>1957</v>
      </c>
      <c r="G1154" s="128" t="s">
        <v>1956</v>
      </c>
      <c r="H1154" s="128" t="s">
        <v>242</v>
      </c>
      <c r="I1154" s="128" t="s">
        <v>243</v>
      </c>
      <c r="J1154" s="129">
        <v>142.0</v>
      </c>
      <c r="K1154" s="129">
        <v>1.0</v>
      </c>
      <c r="L1154" s="128"/>
      <c r="M1154" s="128"/>
      <c r="N1154" s="129">
        <v>244.0</v>
      </c>
      <c r="O1154" s="128"/>
      <c r="P1154" s="129">
        <v>5000.0</v>
      </c>
      <c r="Q1154" s="128" t="s">
        <v>220</v>
      </c>
    </row>
    <row r="1155">
      <c r="A1155" s="129">
        <v>1137.0</v>
      </c>
      <c r="B1155" s="129">
        <v>2015.0</v>
      </c>
      <c r="C1155" s="129">
        <v>-0.68</v>
      </c>
      <c r="D1155" s="129">
        <v>37.94</v>
      </c>
      <c r="E1155" s="129">
        <v>126.95</v>
      </c>
      <c r="F1155" s="128" t="s">
        <v>1957</v>
      </c>
      <c r="G1155" s="128" t="s">
        <v>1956</v>
      </c>
      <c r="H1155" s="128" t="s">
        <v>242</v>
      </c>
      <c r="I1155" s="128" t="s">
        <v>243</v>
      </c>
      <c r="J1155" s="129">
        <v>142.0</v>
      </c>
      <c r="K1155" s="129">
        <v>1.0</v>
      </c>
      <c r="L1155" s="128"/>
      <c r="M1155" s="128"/>
      <c r="N1155" s="129">
        <v>244.0</v>
      </c>
      <c r="O1155" s="128"/>
      <c r="P1155" s="129">
        <v>5000.0</v>
      </c>
      <c r="Q1155" s="128" t="s">
        <v>220</v>
      </c>
    </row>
    <row r="1156">
      <c r="A1156" s="129">
        <v>1642.0</v>
      </c>
      <c r="B1156" s="129">
        <v>2017.0</v>
      </c>
      <c r="C1156" s="129">
        <v>125.6</v>
      </c>
      <c r="D1156" s="129">
        <v>37.94</v>
      </c>
      <c r="E1156" s="129">
        <v>126.95</v>
      </c>
      <c r="F1156" s="128"/>
      <c r="G1156" s="128" t="s">
        <v>2680</v>
      </c>
      <c r="H1156" s="128" t="s">
        <v>356</v>
      </c>
      <c r="I1156" s="128" t="s">
        <v>246</v>
      </c>
      <c r="J1156" s="128"/>
      <c r="K1156" s="129">
        <v>1.0</v>
      </c>
      <c r="L1156" s="129">
        <v>1000.0</v>
      </c>
      <c r="M1156" s="128" t="s">
        <v>1445</v>
      </c>
      <c r="N1156" s="129">
        <v>244.0</v>
      </c>
      <c r="O1156" s="128"/>
      <c r="P1156" s="129">
        <v>1000.0</v>
      </c>
      <c r="Q1156" s="128" t="s">
        <v>220</v>
      </c>
    </row>
    <row r="1157">
      <c r="A1157" s="129">
        <v>1643.0</v>
      </c>
      <c r="B1157" s="129">
        <v>2017.0</v>
      </c>
      <c r="C1157" s="129">
        <v>18.7</v>
      </c>
      <c r="D1157" s="129">
        <v>37.94</v>
      </c>
      <c r="E1157" s="129">
        <v>126.95</v>
      </c>
      <c r="F1157" s="128"/>
      <c r="G1157" s="128" t="s">
        <v>2680</v>
      </c>
      <c r="H1157" s="128" t="s">
        <v>356</v>
      </c>
      <c r="I1157" s="128" t="s">
        <v>246</v>
      </c>
      <c r="J1157" s="128"/>
      <c r="K1157" s="129">
        <v>1.0</v>
      </c>
      <c r="L1157" s="129">
        <v>1000.0</v>
      </c>
      <c r="M1157" s="128" t="s">
        <v>1445</v>
      </c>
      <c r="N1157" s="129">
        <v>244.0</v>
      </c>
      <c r="O1157" s="128"/>
      <c r="P1157" s="129">
        <v>1000.0</v>
      </c>
      <c r="Q1157" s="128" t="s">
        <v>220</v>
      </c>
    </row>
    <row r="1158">
      <c r="A1158" s="129">
        <v>1644.0</v>
      </c>
      <c r="B1158" s="129">
        <v>2017.0</v>
      </c>
      <c r="C1158" s="129">
        <v>-17.9</v>
      </c>
      <c r="D1158" s="129">
        <v>37.94</v>
      </c>
      <c r="E1158" s="129">
        <v>126.95</v>
      </c>
      <c r="F1158" s="128"/>
      <c r="G1158" s="128" t="s">
        <v>2680</v>
      </c>
      <c r="H1158" s="128" t="s">
        <v>356</v>
      </c>
      <c r="I1158" s="128" t="s">
        <v>246</v>
      </c>
      <c r="J1158" s="128"/>
      <c r="K1158" s="129">
        <v>1.0</v>
      </c>
      <c r="L1158" s="129">
        <v>1000.0</v>
      </c>
      <c r="M1158" s="128" t="s">
        <v>1445</v>
      </c>
      <c r="N1158" s="129">
        <v>244.0</v>
      </c>
      <c r="O1158" s="128"/>
      <c r="P1158" s="129">
        <v>1000.0</v>
      </c>
      <c r="Q1158" s="128" t="s">
        <v>220</v>
      </c>
    </row>
    <row r="1159">
      <c r="A1159" s="129">
        <v>636.0</v>
      </c>
      <c r="B1159" s="129">
        <v>2014.0</v>
      </c>
      <c r="C1159" s="129">
        <v>-18.0</v>
      </c>
      <c r="D1159" s="129">
        <v>38.04</v>
      </c>
      <c r="E1159" s="129">
        <v>100.46</v>
      </c>
      <c r="F1159" s="128" t="s">
        <v>1190</v>
      </c>
      <c r="G1159" s="128" t="s">
        <v>1256</v>
      </c>
      <c r="H1159" s="128" t="s">
        <v>506</v>
      </c>
      <c r="I1159" s="128" t="s">
        <v>351</v>
      </c>
      <c r="J1159" s="128"/>
      <c r="K1159" s="129">
        <v>1.0</v>
      </c>
      <c r="L1159" s="129">
        <v>10000.0</v>
      </c>
      <c r="M1159" s="128" t="s">
        <v>1256</v>
      </c>
      <c r="N1159" s="129">
        <v>3028.0</v>
      </c>
      <c r="O1159" s="128"/>
      <c r="P1159" s="129">
        <v>10000.0</v>
      </c>
      <c r="Q1159" s="128" t="s">
        <v>220</v>
      </c>
    </row>
    <row r="1160">
      <c r="A1160" s="129">
        <v>1241.0</v>
      </c>
      <c r="B1160" s="129">
        <v>2020.0</v>
      </c>
      <c r="C1160" s="129">
        <v>-8.85</v>
      </c>
      <c r="D1160" s="129">
        <v>38.04</v>
      </c>
      <c r="E1160" s="129">
        <v>100.46</v>
      </c>
      <c r="F1160" s="128" t="s">
        <v>2212</v>
      </c>
      <c r="G1160" s="128" t="s">
        <v>1256</v>
      </c>
      <c r="H1160" s="128" t="s">
        <v>2211</v>
      </c>
      <c r="I1160" s="128" t="s">
        <v>246</v>
      </c>
      <c r="J1160" s="128"/>
      <c r="K1160" s="129">
        <v>1.0</v>
      </c>
      <c r="L1160" s="129">
        <v>1000.0</v>
      </c>
      <c r="M1160" s="128" t="s">
        <v>1256</v>
      </c>
      <c r="N1160" s="129">
        <v>3028.0</v>
      </c>
      <c r="O1160" s="128"/>
      <c r="P1160" s="129">
        <v>1000.0</v>
      </c>
      <c r="Q1160" s="128" t="s">
        <v>220</v>
      </c>
    </row>
    <row r="1161">
      <c r="A1161" s="129">
        <v>135.0</v>
      </c>
      <c r="B1161" s="129">
        <v>2018.0</v>
      </c>
      <c r="C1161" s="129">
        <v>-16.0</v>
      </c>
      <c r="D1161" s="129">
        <v>38.1047</v>
      </c>
      <c r="E1161" s="129">
        <v>-121.643</v>
      </c>
      <c r="F1161" s="128" t="s">
        <v>493</v>
      </c>
      <c r="G1161" s="128" t="s">
        <v>531</v>
      </c>
      <c r="H1161" s="128" t="s">
        <v>242</v>
      </c>
      <c r="I1161" s="128" t="s">
        <v>243</v>
      </c>
      <c r="J1161" s="128"/>
      <c r="K1161" s="129">
        <v>1.0</v>
      </c>
      <c r="L1161" s="129">
        <v>250.0</v>
      </c>
      <c r="M1161" s="128" t="s">
        <v>532</v>
      </c>
      <c r="N1161" s="129">
        <v>-6.0</v>
      </c>
      <c r="O1161" s="128"/>
      <c r="P1161" s="129">
        <v>250.0</v>
      </c>
      <c r="Q1161" s="128" t="s">
        <v>220</v>
      </c>
    </row>
    <row r="1162">
      <c r="A1162" s="129">
        <v>137.0</v>
      </c>
      <c r="B1162" s="129">
        <v>2018.0</v>
      </c>
      <c r="C1162" s="129">
        <v>14.0</v>
      </c>
      <c r="D1162" s="129">
        <v>38.1087</v>
      </c>
      <c r="E1162" s="129">
        <v>-121.653</v>
      </c>
      <c r="F1162" s="128" t="s">
        <v>493</v>
      </c>
      <c r="G1162" s="128" t="s">
        <v>537</v>
      </c>
      <c r="H1162" s="128" t="s">
        <v>536</v>
      </c>
      <c r="I1162" s="128" t="s">
        <v>246</v>
      </c>
      <c r="J1162" s="128"/>
      <c r="K1162" s="129">
        <v>1.0</v>
      </c>
      <c r="L1162" s="129">
        <v>250.0</v>
      </c>
      <c r="M1162" s="128" t="s">
        <v>538</v>
      </c>
      <c r="N1162" s="129">
        <v>-10.0</v>
      </c>
      <c r="O1162" s="128"/>
      <c r="P1162" s="129">
        <v>250.0</v>
      </c>
      <c r="Q1162" s="128" t="s">
        <v>220</v>
      </c>
    </row>
    <row r="1163">
      <c r="A1163" s="129">
        <v>136.0</v>
      </c>
      <c r="B1163" s="129">
        <v>2018.0</v>
      </c>
      <c r="C1163" s="129">
        <v>-1.0</v>
      </c>
      <c r="D1163" s="129">
        <v>38.1159</v>
      </c>
      <c r="E1163" s="129">
        <v>-121.647</v>
      </c>
      <c r="F1163" s="128" t="s">
        <v>493</v>
      </c>
      <c r="G1163" s="128" t="s">
        <v>533</v>
      </c>
      <c r="H1163" s="128" t="s">
        <v>167</v>
      </c>
      <c r="I1163" s="128" t="s">
        <v>246</v>
      </c>
      <c r="J1163" s="128"/>
      <c r="K1163" s="129">
        <v>1.0</v>
      </c>
      <c r="L1163" s="129">
        <v>250.0</v>
      </c>
      <c r="M1163" s="128" t="s">
        <v>534</v>
      </c>
      <c r="N1163" s="129">
        <v>-3.0</v>
      </c>
      <c r="O1163" s="128"/>
      <c r="P1163" s="129">
        <v>250.0</v>
      </c>
      <c r="Q1163" s="128" t="s">
        <v>220</v>
      </c>
    </row>
    <row r="1164">
      <c r="A1164" s="129">
        <v>1126.0</v>
      </c>
      <c r="B1164" s="129">
        <v>2015.0</v>
      </c>
      <c r="C1164" s="129">
        <v>47.7</v>
      </c>
      <c r="D1164" s="129">
        <v>38.41</v>
      </c>
      <c r="E1164" s="129">
        <v>-120.95</v>
      </c>
      <c r="F1164" s="128" t="s">
        <v>219</v>
      </c>
      <c r="G1164" s="128" t="s">
        <v>1948</v>
      </c>
      <c r="H1164" s="128" t="s">
        <v>328</v>
      </c>
      <c r="I1164" s="128" t="s">
        <v>285</v>
      </c>
      <c r="J1164" s="128"/>
      <c r="K1164" s="129">
        <v>1.0</v>
      </c>
      <c r="L1164" s="128"/>
      <c r="M1164" s="128"/>
      <c r="N1164" s="129">
        <v>154.0</v>
      </c>
      <c r="O1164" s="128"/>
      <c r="P1164" s="129">
        <v>1000.0</v>
      </c>
      <c r="Q1164" s="128" t="s">
        <v>220</v>
      </c>
    </row>
    <row r="1165">
      <c r="A1165" s="129">
        <v>1135.0</v>
      </c>
      <c r="B1165" s="129">
        <v>2015.0</v>
      </c>
      <c r="C1165" s="129">
        <v>-15.1</v>
      </c>
      <c r="D1165" s="129">
        <v>38.41</v>
      </c>
      <c r="E1165" s="129">
        <v>-120.95</v>
      </c>
      <c r="F1165" s="128" t="s">
        <v>1950</v>
      </c>
      <c r="G1165" s="128" t="s">
        <v>1948</v>
      </c>
      <c r="H1165" s="128" t="s">
        <v>328</v>
      </c>
      <c r="I1165" s="128" t="s">
        <v>285</v>
      </c>
      <c r="J1165" s="128"/>
      <c r="K1165" s="129">
        <v>1.0</v>
      </c>
      <c r="L1165" s="128"/>
      <c r="M1165" s="128"/>
      <c r="N1165" s="129">
        <v>154.0</v>
      </c>
      <c r="O1165" s="128"/>
      <c r="P1165" s="129">
        <v>1000.0</v>
      </c>
      <c r="Q1165" s="128" t="s">
        <v>220</v>
      </c>
    </row>
    <row r="1166">
      <c r="A1166" s="129">
        <v>62.0</v>
      </c>
      <c r="B1166" s="129">
        <v>2014.0</v>
      </c>
      <c r="C1166" s="129">
        <v>20.0</v>
      </c>
      <c r="D1166" s="129">
        <v>38.4309</v>
      </c>
      <c r="E1166" s="129">
        <v>-120.966</v>
      </c>
      <c r="F1166" s="128" t="s">
        <v>294</v>
      </c>
      <c r="G1166" s="128" t="s">
        <v>309</v>
      </c>
      <c r="H1166" s="128" t="s">
        <v>284</v>
      </c>
      <c r="I1166" s="128" t="s">
        <v>285</v>
      </c>
      <c r="J1166" s="129">
        <v>230.0</v>
      </c>
      <c r="K1166" s="129">
        <v>1.0</v>
      </c>
      <c r="L1166" s="129">
        <v>1000.0</v>
      </c>
      <c r="M1166" s="128" t="s">
        <v>310</v>
      </c>
      <c r="N1166" s="129">
        <v>171.0</v>
      </c>
      <c r="O1166" s="128"/>
      <c r="P1166" s="129">
        <v>1000.0</v>
      </c>
      <c r="Q1166" s="128" t="s">
        <v>220</v>
      </c>
    </row>
    <row r="1167">
      <c r="A1167" s="129">
        <v>1444.0</v>
      </c>
      <c r="B1167" s="129">
        <v>2018.0</v>
      </c>
      <c r="C1167" s="129">
        <v>10.0</v>
      </c>
      <c r="D1167" s="129">
        <v>38.4316</v>
      </c>
      <c r="E1167" s="129">
        <v>-120.966</v>
      </c>
      <c r="F1167" s="128" t="s">
        <v>219</v>
      </c>
      <c r="G1167" s="128" t="s">
        <v>309</v>
      </c>
      <c r="H1167" s="128"/>
      <c r="I1167" s="128"/>
      <c r="J1167" s="129">
        <v>109.0</v>
      </c>
      <c r="K1167" s="129">
        <v>1.0</v>
      </c>
      <c r="L1167" s="129">
        <v>1000.0</v>
      </c>
      <c r="M1167" s="128" t="s">
        <v>310</v>
      </c>
      <c r="N1167" s="129">
        <v>170.0</v>
      </c>
      <c r="O1167" s="128"/>
      <c r="P1167" s="129">
        <v>1000.0</v>
      </c>
      <c r="Q1167" s="128" t="s">
        <v>220</v>
      </c>
    </row>
    <row r="1168">
      <c r="A1168" s="129">
        <v>672.0</v>
      </c>
      <c r="B1168" s="129">
        <v>2013.0</v>
      </c>
      <c r="C1168" s="129">
        <v>3.6</v>
      </c>
      <c r="D1168" s="129">
        <v>38.74</v>
      </c>
      <c r="E1168" s="129">
        <v>-92.2</v>
      </c>
      <c r="F1168" s="128" t="s">
        <v>220</v>
      </c>
      <c r="G1168" s="128" t="s">
        <v>1312</v>
      </c>
      <c r="H1168" s="128" t="s">
        <v>295</v>
      </c>
      <c r="I1168" s="128" t="s">
        <v>342</v>
      </c>
      <c r="J1168" s="128"/>
      <c r="K1168" s="129">
        <v>1.0</v>
      </c>
      <c r="L1168" s="129">
        <v>3000.0</v>
      </c>
      <c r="M1168" s="128" t="s">
        <v>6003</v>
      </c>
      <c r="N1168" s="129">
        <v>215.0</v>
      </c>
      <c r="O1168" s="128"/>
      <c r="P1168" s="129">
        <v>1000.0</v>
      </c>
      <c r="Q1168" s="128" t="s">
        <v>220</v>
      </c>
    </row>
    <row r="1169">
      <c r="A1169" s="129">
        <v>1245.0</v>
      </c>
      <c r="B1169" s="129">
        <v>2020.0</v>
      </c>
      <c r="C1169" s="129">
        <v>-16.97</v>
      </c>
      <c r="D1169" s="129">
        <v>38.77</v>
      </c>
      <c r="E1169" s="129">
        <v>100.32</v>
      </c>
      <c r="F1169" s="128" t="s">
        <v>2225</v>
      </c>
      <c r="G1169" s="128" t="s">
        <v>2224</v>
      </c>
      <c r="H1169" s="128" t="s">
        <v>2223</v>
      </c>
      <c r="I1169" s="128" t="s">
        <v>246</v>
      </c>
      <c r="J1169" s="128"/>
      <c r="K1169" s="129">
        <v>1.0</v>
      </c>
      <c r="L1169" s="129">
        <v>1000.0</v>
      </c>
      <c r="M1169" s="128" t="s">
        <v>2224</v>
      </c>
      <c r="N1169" s="129">
        <v>1713.0</v>
      </c>
      <c r="O1169" s="128"/>
      <c r="P1169" s="129">
        <v>1000.0</v>
      </c>
      <c r="Q1169" s="128" t="s">
        <v>220</v>
      </c>
    </row>
    <row r="1170">
      <c r="A1170" s="129">
        <v>1246.0</v>
      </c>
      <c r="B1170" s="129">
        <v>2020.0</v>
      </c>
      <c r="C1170" s="129">
        <v>15.97</v>
      </c>
      <c r="D1170" s="129">
        <v>38.79</v>
      </c>
      <c r="E1170" s="129">
        <v>100.49</v>
      </c>
      <c r="F1170" s="128" t="s">
        <v>2228</v>
      </c>
      <c r="G1170" s="128" t="s">
        <v>2227</v>
      </c>
      <c r="H1170" s="128" t="s">
        <v>2223</v>
      </c>
      <c r="I1170" s="128" t="s">
        <v>246</v>
      </c>
      <c r="J1170" s="128"/>
      <c r="K1170" s="129">
        <v>1.0</v>
      </c>
      <c r="L1170" s="129">
        <v>1000.0</v>
      </c>
      <c r="M1170" s="128" t="s">
        <v>2227</v>
      </c>
      <c r="N1170" s="129">
        <v>1549.0</v>
      </c>
      <c r="O1170" s="128"/>
      <c r="P1170" s="129">
        <v>1000.0</v>
      </c>
      <c r="Q1170" s="128" t="s">
        <v>220</v>
      </c>
    </row>
    <row r="1171">
      <c r="A1171" s="129">
        <v>623.0</v>
      </c>
      <c r="B1171" s="129">
        <v>2014.0</v>
      </c>
      <c r="C1171" s="129">
        <v>-18.0</v>
      </c>
      <c r="D1171" s="129">
        <v>38.86</v>
      </c>
      <c r="E1171" s="129">
        <v>100.41</v>
      </c>
      <c r="F1171" s="128" t="s">
        <v>1190</v>
      </c>
      <c r="G1171" s="128" t="s">
        <v>275</v>
      </c>
      <c r="H1171" s="128" t="s">
        <v>506</v>
      </c>
      <c r="I1171" s="128" t="s">
        <v>351</v>
      </c>
      <c r="J1171" s="128"/>
      <c r="K1171" s="129">
        <v>1.0</v>
      </c>
      <c r="L1171" s="129">
        <v>10000.0</v>
      </c>
      <c r="M1171" s="128" t="s">
        <v>275</v>
      </c>
      <c r="N1171" s="129">
        <v>1528.0</v>
      </c>
      <c r="O1171" s="128"/>
      <c r="P1171" s="129">
        <v>10000.0</v>
      </c>
      <c r="Q1171" s="128" t="s">
        <v>220</v>
      </c>
    </row>
    <row r="1172">
      <c r="A1172" s="129">
        <v>56.0</v>
      </c>
      <c r="B1172" s="129">
        <v>2021.0</v>
      </c>
      <c r="C1172" s="129">
        <v>-19.6</v>
      </c>
      <c r="D1172" s="129">
        <v>38.86</v>
      </c>
      <c r="E1172" s="129">
        <v>100.37</v>
      </c>
      <c r="F1172" s="128" t="s">
        <v>278</v>
      </c>
      <c r="G1172" s="128" t="s">
        <v>275</v>
      </c>
      <c r="H1172" s="128" t="s">
        <v>273</v>
      </c>
      <c r="I1172" s="128" t="s">
        <v>274</v>
      </c>
      <c r="J1172" s="128"/>
      <c r="K1172" s="129">
        <v>1.0</v>
      </c>
      <c r="L1172" s="128" t="s">
        <v>268</v>
      </c>
      <c r="M1172" s="128" t="s">
        <v>275</v>
      </c>
      <c r="N1172" s="129">
        <v>1561.0</v>
      </c>
      <c r="O1172" s="128"/>
      <c r="P1172" s="128" t="s">
        <v>268</v>
      </c>
      <c r="Q1172" s="128" t="s">
        <v>220</v>
      </c>
    </row>
    <row r="1173">
      <c r="A1173" s="129">
        <v>1242.0</v>
      </c>
      <c r="B1173" s="129">
        <v>2020.0</v>
      </c>
      <c r="C1173" s="129">
        <v>-9.88</v>
      </c>
      <c r="D1173" s="129">
        <v>38.86</v>
      </c>
      <c r="E1173" s="129">
        <v>100.4167</v>
      </c>
      <c r="F1173" s="128" t="s">
        <v>2217</v>
      </c>
      <c r="G1173" s="128" t="s">
        <v>275</v>
      </c>
      <c r="H1173" s="128" t="s">
        <v>506</v>
      </c>
      <c r="I1173" s="128" t="s">
        <v>507</v>
      </c>
      <c r="J1173" s="128"/>
      <c r="K1173" s="129">
        <v>1.0</v>
      </c>
      <c r="L1173" s="129">
        <v>1000.0</v>
      </c>
      <c r="M1173" s="128" t="s">
        <v>275</v>
      </c>
      <c r="N1173" s="129">
        <v>1522.0</v>
      </c>
      <c r="O1173" s="128"/>
      <c r="P1173" s="129">
        <v>1000.0</v>
      </c>
      <c r="Q1173" s="128" t="s">
        <v>220</v>
      </c>
    </row>
    <row r="1174">
      <c r="A1174" s="129">
        <v>292.0</v>
      </c>
      <c r="B1174" s="129">
        <v>2021.0</v>
      </c>
      <c r="C1174" s="129">
        <v>1.41</v>
      </c>
      <c r="D1174" s="129">
        <v>38.875</v>
      </c>
      <c r="E1174" s="129">
        <v>100.375</v>
      </c>
      <c r="F1174" s="128" t="s">
        <v>798</v>
      </c>
      <c r="G1174" s="128" t="s">
        <v>5989</v>
      </c>
      <c r="H1174" s="128" t="s">
        <v>167</v>
      </c>
      <c r="I1174" s="128" t="s">
        <v>168</v>
      </c>
      <c r="J1174" s="129">
        <v>1460.0</v>
      </c>
      <c r="K1174" s="129">
        <v>1.0</v>
      </c>
      <c r="L1174" s="129">
        <v>500.0</v>
      </c>
      <c r="M1174" s="128" t="s">
        <v>257</v>
      </c>
      <c r="N1174" s="129">
        <v>1554.0</v>
      </c>
      <c r="O1174" s="128"/>
      <c r="P1174" s="129">
        <v>500.0</v>
      </c>
      <c r="Q1174" s="128" t="s">
        <v>220</v>
      </c>
    </row>
    <row r="1175">
      <c r="A1175" s="129">
        <v>294.0</v>
      </c>
      <c r="B1175" s="129">
        <v>2021.0</v>
      </c>
      <c r="C1175" s="129">
        <v>1.35</v>
      </c>
      <c r="D1175" s="129">
        <v>38.875</v>
      </c>
      <c r="E1175" s="129">
        <v>100.375</v>
      </c>
      <c r="F1175" s="128" t="s">
        <v>798</v>
      </c>
      <c r="G1175" s="128" t="s">
        <v>5989</v>
      </c>
      <c r="H1175" s="128" t="s">
        <v>167</v>
      </c>
      <c r="I1175" s="128" t="s">
        <v>168</v>
      </c>
      <c r="J1175" s="129">
        <v>1460.0</v>
      </c>
      <c r="K1175" s="129">
        <v>1.0</v>
      </c>
      <c r="L1175" s="129">
        <v>500.0</v>
      </c>
      <c r="M1175" s="128" t="s">
        <v>257</v>
      </c>
      <c r="N1175" s="129">
        <v>1554.0</v>
      </c>
      <c r="O1175" s="128"/>
      <c r="P1175" s="129">
        <v>500.0</v>
      </c>
      <c r="Q1175" s="128" t="s">
        <v>220</v>
      </c>
    </row>
    <row r="1176">
      <c r="A1176" s="129">
        <v>296.0</v>
      </c>
      <c r="B1176" s="129">
        <v>2021.0</v>
      </c>
      <c r="C1176" s="129">
        <v>34.9</v>
      </c>
      <c r="D1176" s="129">
        <v>38.875</v>
      </c>
      <c r="E1176" s="129">
        <v>100.375</v>
      </c>
      <c r="F1176" s="128" t="s">
        <v>798</v>
      </c>
      <c r="G1176" s="128" t="s">
        <v>5989</v>
      </c>
      <c r="H1176" s="128" t="s">
        <v>167</v>
      </c>
      <c r="I1176" s="128" t="s">
        <v>168</v>
      </c>
      <c r="J1176" s="129">
        <v>488.0</v>
      </c>
      <c r="K1176" s="129">
        <v>1.0</v>
      </c>
      <c r="L1176" s="129">
        <v>500.0</v>
      </c>
      <c r="M1176" s="128" t="s">
        <v>257</v>
      </c>
      <c r="N1176" s="129">
        <v>1554.0</v>
      </c>
      <c r="O1176" s="128"/>
      <c r="P1176" s="129">
        <v>500.0</v>
      </c>
      <c r="Q1176" s="128" t="s">
        <v>220</v>
      </c>
    </row>
    <row r="1177">
      <c r="A1177" s="129">
        <v>297.0</v>
      </c>
      <c r="B1177" s="129">
        <v>2021.0</v>
      </c>
      <c r="C1177" s="129">
        <v>39.8</v>
      </c>
      <c r="D1177" s="129">
        <v>38.875</v>
      </c>
      <c r="E1177" s="129">
        <v>100.375</v>
      </c>
      <c r="F1177" s="128" t="s">
        <v>798</v>
      </c>
      <c r="G1177" s="128" t="s">
        <v>5989</v>
      </c>
      <c r="H1177" s="128" t="s">
        <v>167</v>
      </c>
      <c r="I1177" s="128" t="s">
        <v>168</v>
      </c>
      <c r="J1177" s="129">
        <v>124.0</v>
      </c>
      <c r="K1177" s="129">
        <v>1.0</v>
      </c>
      <c r="L1177" s="129">
        <v>500.0</v>
      </c>
      <c r="M1177" s="128" t="s">
        <v>257</v>
      </c>
      <c r="N1177" s="129">
        <v>1554.0</v>
      </c>
      <c r="O1177" s="128"/>
      <c r="P1177" s="129">
        <v>500.0</v>
      </c>
      <c r="Q1177" s="128" t="s">
        <v>220</v>
      </c>
    </row>
    <row r="1178">
      <c r="A1178" s="129">
        <v>298.0</v>
      </c>
      <c r="B1178" s="129">
        <v>2021.0</v>
      </c>
      <c r="C1178" s="129">
        <v>2.1</v>
      </c>
      <c r="D1178" s="129">
        <v>38.875</v>
      </c>
      <c r="E1178" s="129">
        <v>100.375</v>
      </c>
      <c r="F1178" s="128" t="s">
        <v>798</v>
      </c>
      <c r="G1178" s="128" t="s">
        <v>5989</v>
      </c>
      <c r="H1178" s="128" t="s">
        <v>167</v>
      </c>
      <c r="I1178" s="128" t="s">
        <v>168</v>
      </c>
      <c r="J1178" s="129">
        <v>244.0</v>
      </c>
      <c r="K1178" s="129">
        <v>1.0</v>
      </c>
      <c r="L1178" s="129">
        <v>500.0</v>
      </c>
      <c r="M1178" s="128" t="s">
        <v>257</v>
      </c>
      <c r="N1178" s="129">
        <v>1554.0</v>
      </c>
      <c r="O1178" s="128"/>
      <c r="P1178" s="129">
        <v>500.0</v>
      </c>
      <c r="Q1178" s="128" t="s">
        <v>220</v>
      </c>
    </row>
    <row r="1179">
      <c r="A1179" s="129">
        <v>299.0</v>
      </c>
      <c r="B1179" s="129">
        <v>2021.0</v>
      </c>
      <c r="C1179" s="129">
        <v>-6.3</v>
      </c>
      <c r="D1179" s="129">
        <v>38.875</v>
      </c>
      <c r="E1179" s="129">
        <v>100.375</v>
      </c>
      <c r="F1179" s="128" t="s">
        <v>798</v>
      </c>
      <c r="G1179" s="128" t="s">
        <v>5989</v>
      </c>
      <c r="H1179" s="128" t="s">
        <v>167</v>
      </c>
      <c r="I1179" s="128" t="s">
        <v>168</v>
      </c>
      <c r="J1179" s="129">
        <v>364.0</v>
      </c>
      <c r="K1179" s="129">
        <v>1.0</v>
      </c>
      <c r="L1179" s="129">
        <v>500.0</v>
      </c>
      <c r="M1179" s="128" t="s">
        <v>257</v>
      </c>
      <c r="N1179" s="129">
        <v>1554.0</v>
      </c>
      <c r="O1179" s="128"/>
      <c r="P1179" s="129">
        <v>500.0</v>
      </c>
      <c r="Q1179" s="128" t="s">
        <v>220</v>
      </c>
    </row>
    <row r="1180">
      <c r="A1180" s="129">
        <v>300.0</v>
      </c>
      <c r="B1180" s="129">
        <v>2021.0</v>
      </c>
      <c r="C1180" s="129">
        <v>1.5</v>
      </c>
      <c r="D1180" s="129">
        <v>38.875</v>
      </c>
      <c r="E1180" s="129">
        <v>100.375</v>
      </c>
      <c r="F1180" s="128" t="s">
        <v>798</v>
      </c>
      <c r="G1180" s="128" t="s">
        <v>5989</v>
      </c>
      <c r="H1180" s="128" t="s">
        <v>167</v>
      </c>
      <c r="I1180" s="128" t="s">
        <v>168</v>
      </c>
      <c r="J1180" s="129">
        <v>244.0</v>
      </c>
      <c r="K1180" s="129">
        <v>1.0</v>
      </c>
      <c r="L1180" s="129">
        <v>500.0</v>
      </c>
      <c r="M1180" s="128" t="s">
        <v>257</v>
      </c>
      <c r="N1180" s="129">
        <v>1554.0</v>
      </c>
      <c r="O1180" s="128"/>
      <c r="P1180" s="129">
        <v>500.0</v>
      </c>
      <c r="Q1180" s="128" t="s">
        <v>220</v>
      </c>
    </row>
    <row r="1181">
      <c r="A1181" s="129">
        <v>311.0</v>
      </c>
      <c r="B1181" s="129">
        <v>2021.0</v>
      </c>
      <c r="C1181" s="129">
        <v>3.3</v>
      </c>
      <c r="D1181" s="129">
        <v>38.875</v>
      </c>
      <c r="E1181" s="129">
        <v>100.375</v>
      </c>
      <c r="F1181" s="128" t="s">
        <v>798</v>
      </c>
      <c r="G1181" s="128" t="s">
        <v>5989</v>
      </c>
      <c r="H1181" s="128" t="s">
        <v>167</v>
      </c>
      <c r="I1181" s="128" t="s">
        <v>168</v>
      </c>
      <c r="J1181" s="129">
        <v>805.0</v>
      </c>
      <c r="K1181" s="129">
        <v>1.0</v>
      </c>
      <c r="L1181" s="129">
        <v>500.0</v>
      </c>
      <c r="M1181" s="128" t="s">
        <v>257</v>
      </c>
      <c r="N1181" s="129">
        <v>1554.0</v>
      </c>
      <c r="O1181" s="128"/>
      <c r="P1181" s="129">
        <v>500.0</v>
      </c>
      <c r="Q1181" s="128" t="s">
        <v>220</v>
      </c>
    </row>
    <row r="1182">
      <c r="A1182" s="129">
        <v>312.0</v>
      </c>
      <c r="B1182" s="129">
        <v>2021.0</v>
      </c>
      <c r="C1182" s="129">
        <v>-2.2</v>
      </c>
      <c r="D1182" s="129">
        <v>38.875</v>
      </c>
      <c r="E1182" s="129">
        <v>100.375</v>
      </c>
      <c r="F1182" s="128" t="s">
        <v>798</v>
      </c>
      <c r="G1182" s="128" t="s">
        <v>5989</v>
      </c>
      <c r="H1182" s="128" t="s">
        <v>167</v>
      </c>
      <c r="I1182" s="128" t="s">
        <v>168</v>
      </c>
      <c r="J1182" s="129">
        <v>656.0</v>
      </c>
      <c r="K1182" s="129">
        <v>1.0</v>
      </c>
      <c r="L1182" s="129">
        <v>500.0</v>
      </c>
      <c r="M1182" s="128" t="s">
        <v>257</v>
      </c>
      <c r="N1182" s="129">
        <v>1554.0</v>
      </c>
      <c r="O1182" s="128"/>
      <c r="P1182" s="129">
        <v>500.0</v>
      </c>
      <c r="Q1182" s="128" t="s">
        <v>220</v>
      </c>
    </row>
    <row r="1183">
      <c r="A1183" s="129">
        <v>52.0</v>
      </c>
      <c r="B1183" s="129">
        <v>2021.0</v>
      </c>
      <c r="C1183" s="129">
        <v>-7.1</v>
      </c>
      <c r="D1183" s="129">
        <v>38.875</v>
      </c>
      <c r="E1183" s="129">
        <v>100.375</v>
      </c>
      <c r="F1183" s="128" t="s">
        <v>6008</v>
      </c>
      <c r="G1183" s="128" t="s">
        <v>5989</v>
      </c>
      <c r="H1183" s="128" t="s">
        <v>254</v>
      </c>
      <c r="I1183" s="128" t="s">
        <v>255</v>
      </c>
      <c r="J1183" s="128"/>
      <c r="K1183" s="129">
        <v>1.0</v>
      </c>
      <c r="L1183" s="128" t="s">
        <v>268</v>
      </c>
      <c r="M1183" s="128" t="s">
        <v>257</v>
      </c>
      <c r="N1183" s="129">
        <v>1554.0</v>
      </c>
      <c r="O1183" s="128"/>
      <c r="P1183" s="128" t="s">
        <v>268</v>
      </c>
      <c r="Q1183" s="128" t="s">
        <v>220</v>
      </c>
    </row>
    <row r="1184">
      <c r="A1184" s="129">
        <v>1243.0</v>
      </c>
      <c r="B1184" s="129">
        <v>2020.0</v>
      </c>
      <c r="C1184" s="129">
        <v>-9.88</v>
      </c>
      <c r="D1184" s="129">
        <v>38.875</v>
      </c>
      <c r="E1184" s="129">
        <v>100.375</v>
      </c>
      <c r="F1184" s="128" t="s">
        <v>2218</v>
      </c>
      <c r="G1184" s="128" t="s">
        <v>5989</v>
      </c>
      <c r="H1184" s="128" t="s">
        <v>1156</v>
      </c>
      <c r="I1184" s="128" t="s">
        <v>246</v>
      </c>
      <c r="J1184" s="128"/>
      <c r="K1184" s="129">
        <v>1.0</v>
      </c>
      <c r="L1184" s="129">
        <v>1000.0</v>
      </c>
      <c r="M1184" s="128" t="s">
        <v>257</v>
      </c>
      <c r="N1184" s="129">
        <v>1554.0</v>
      </c>
      <c r="O1184" s="128"/>
      <c r="P1184" s="129">
        <v>1000.0</v>
      </c>
      <c r="Q1184" s="128" t="s">
        <v>220</v>
      </c>
    </row>
    <row r="1185">
      <c r="A1185" s="129">
        <v>1333.0</v>
      </c>
      <c r="B1185" s="129">
        <v>2015.0</v>
      </c>
      <c r="C1185" s="129">
        <v>19.97</v>
      </c>
      <c r="D1185" s="129">
        <v>38.88333</v>
      </c>
      <c r="E1185" s="129">
        <v>100.3833</v>
      </c>
      <c r="F1185" s="128" t="s">
        <v>2377</v>
      </c>
      <c r="G1185" s="128" t="s">
        <v>2374</v>
      </c>
      <c r="H1185" s="128" t="s">
        <v>2371</v>
      </c>
      <c r="I1185" s="128" t="s">
        <v>2372</v>
      </c>
      <c r="J1185" s="129">
        <v>51.0</v>
      </c>
      <c r="K1185" s="129">
        <v>17.0</v>
      </c>
      <c r="L1185" s="129">
        <v>90.0</v>
      </c>
      <c r="M1185" s="128"/>
      <c r="N1185" s="129">
        <v>1546.0</v>
      </c>
      <c r="O1185" s="128"/>
      <c r="P1185" s="129">
        <v>90.0</v>
      </c>
      <c r="Q1185" s="128" t="s">
        <v>220</v>
      </c>
    </row>
    <row r="1186">
      <c r="A1186" s="129">
        <v>1335.0</v>
      </c>
      <c r="B1186" s="129">
        <v>2015.0</v>
      </c>
      <c r="C1186" s="129">
        <v>7.26</v>
      </c>
      <c r="D1186" s="129">
        <v>38.88333</v>
      </c>
      <c r="E1186" s="129">
        <v>100.3833</v>
      </c>
      <c r="F1186" s="128" t="s">
        <v>2381</v>
      </c>
      <c r="G1186" s="128" t="s">
        <v>2374</v>
      </c>
      <c r="H1186" s="128" t="s">
        <v>2371</v>
      </c>
      <c r="I1186" s="128" t="s">
        <v>2372</v>
      </c>
      <c r="J1186" s="129">
        <v>51.0</v>
      </c>
      <c r="K1186" s="129">
        <v>17.0</v>
      </c>
      <c r="L1186" s="129">
        <v>90.0</v>
      </c>
      <c r="M1186" s="128"/>
      <c r="N1186" s="129">
        <v>1546.0</v>
      </c>
      <c r="O1186" s="128"/>
      <c r="P1186" s="129">
        <v>90.0</v>
      </c>
      <c r="Q1186" s="128" t="s">
        <v>220</v>
      </c>
    </row>
    <row r="1187">
      <c r="A1187" s="129">
        <v>1334.0</v>
      </c>
      <c r="B1187" s="129">
        <v>2015.0</v>
      </c>
      <c r="C1187" s="129">
        <v>12.77</v>
      </c>
      <c r="D1187" s="129">
        <v>38.88333</v>
      </c>
      <c r="E1187" s="129">
        <v>100.3833</v>
      </c>
      <c r="F1187" s="128" t="s">
        <v>2380</v>
      </c>
      <c r="G1187" s="128" t="s">
        <v>2374</v>
      </c>
      <c r="H1187" s="128" t="s">
        <v>2371</v>
      </c>
      <c r="I1187" s="128" t="s">
        <v>2372</v>
      </c>
      <c r="J1187" s="129">
        <v>51.0</v>
      </c>
      <c r="K1187" s="129">
        <v>17.0</v>
      </c>
      <c r="L1187" s="129">
        <v>90.0</v>
      </c>
      <c r="M1187" s="128"/>
      <c r="N1187" s="129">
        <v>1546.0</v>
      </c>
      <c r="O1187" s="128"/>
      <c r="P1187" s="129">
        <v>90.0</v>
      </c>
      <c r="Q1187" s="128" t="s">
        <v>220</v>
      </c>
    </row>
    <row r="1188">
      <c r="A1188" s="129">
        <v>1450.0</v>
      </c>
      <c r="B1188" s="129">
        <v>2018.0</v>
      </c>
      <c r="C1188" s="129">
        <v>-20.0</v>
      </c>
      <c r="D1188" s="129">
        <v>39.0561</v>
      </c>
      <c r="E1188" s="129">
        <v>-95.1907</v>
      </c>
      <c r="F1188" s="128" t="s">
        <v>219</v>
      </c>
      <c r="G1188" s="128" t="s">
        <v>2490</v>
      </c>
      <c r="H1188" s="128"/>
      <c r="I1188" s="128"/>
      <c r="J1188" s="129">
        <v>88.0</v>
      </c>
      <c r="K1188" s="129">
        <v>1.0</v>
      </c>
      <c r="L1188" s="129">
        <v>1000.0</v>
      </c>
      <c r="M1188" s="128" t="s">
        <v>2491</v>
      </c>
      <c r="N1188" s="129">
        <v>333.0</v>
      </c>
      <c r="O1188" s="128"/>
      <c r="P1188" s="129">
        <v>1000.0</v>
      </c>
      <c r="Q1188" s="128" t="s">
        <v>220</v>
      </c>
    </row>
    <row r="1189">
      <c r="A1189" s="129">
        <v>1449.0</v>
      </c>
      <c r="B1189" s="129">
        <v>2018.0</v>
      </c>
      <c r="C1189" s="129">
        <v>-21.0</v>
      </c>
      <c r="D1189" s="129">
        <v>39.0824</v>
      </c>
      <c r="E1189" s="129">
        <v>-96.5603</v>
      </c>
      <c r="F1189" s="128" t="s">
        <v>219</v>
      </c>
      <c r="G1189" s="128" t="s">
        <v>2488</v>
      </c>
      <c r="H1189" s="128"/>
      <c r="I1189" s="128"/>
      <c r="J1189" s="129">
        <v>59.0</v>
      </c>
      <c r="K1189" s="129">
        <v>1.0</v>
      </c>
      <c r="L1189" s="129">
        <v>1000.0</v>
      </c>
      <c r="M1189" s="128" t="s">
        <v>2489</v>
      </c>
      <c r="N1189" s="129">
        <v>446.0</v>
      </c>
      <c r="O1189" s="128"/>
      <c r="P1189" s="129">
        <v>1000.0</v>
      </c>
      <c r="Q1189" s="128" t="s">
        <v>220</v>
      </c>
    </row>
    <row r="1190">
      <c r="A1190" s="129">
        <v>647.0</v>
      </c>
      <c r="B1190" s="129">
        <v>2014.0</v>
      </c>
      <c r="C1190" s="129">
        <v>23.0</v>
      </c>
      <c r="D1190" s="129">
        <v>39.09</v>
      </c>
      <c r="E1190" s="129">
        <v>100.3</v>
      </c>
      <c r="F1190" s="128" t="s">
        <v>1190</v>
      </c>
      <c r="G1190" s="128" t="s">
        <v>654</v>
      </c>
      <c r="H1190" s="128" t="s">
        <v>506</v>
      </c>
      <c r="I1190" s="128" t="s">
        <v>676</v>
      </c>
      <c r="J1190" s="128"/>
      <c r="K1190" s="129">
        <v>1.0</v>
      </c>
      <c r="L1190" s="129">
        <v>10000.0</v>
      </c>
      <c r="M1190" s="128" t="s">
        <v>654</v>
      </c>
      <c r="N1190" s="129">
        <v>1454.0</v>
      </c>
      <c r="O1190" s="128"/>
      <c r="P1190" s="129">
        <v>10000.0</v>
      </c>
      <c r="Q1190" s="128" t="s">
        <v>220</v>
      </c>
    </row>
    <row r="1191">
      <c r="A1191" s="129">
        <v>1453.0</v>
      </c>
      <c r="B1191" s="129">
        <v>2018.0</v>
      </c>
      <c r="C1191" s="129">
        <v>12.0</v>
      </c>
      <c r="D1191" s="129">
        <v>39.3232</v>
      </c>
      <c r="E1191" s="129">
        <v>-86.4131</v>
      </c>
      <c r="F1191" s="128" t="s">
        <v>219</v>
      </c>
      <c r="G1191" s="128" t="s">
        <v>1309</v>
      </c>
      <c r="H1191" s="128"/>
      <c r="I1191" s="128"/>
      <c r="J1191" s="129">
        <v>108.0</v>
      </c>
      <c r="K1191" s="129">
        <v>1.0</v>
      </c>
      <c r="L1191" s="129">
        <v>1000.0</v>
      </c>
      <c r="M1191" s="128" t="s">
        <v>1310</v>
      </c>
      <c r="N1191" s="129">
        <v>297.0</v>
      </c>
      <c r="O1191" s="128"/>
      <c r="P1191" s="129">
        <v>1000.0</v>
      </c>
      <c r="Q1191" s="128" t="s">
        <v>220</v>
      </c>
    </row>
    <row r="1192">
      <c r="A1192" s="129">
        <v>1469.0</v>
      </c>
      <c r="B1192" s="129">
        <v>2018.0</v>
      </c>
      <c r="C1192" s="129">
        <v>12.0</v>
      </c>
      <c r="D1192" s="129">
        <v>39.3232</v>
      </c>
      <c r="E1192" s="129">
        <v>-86.4131</v>
      </c>
      <c r="F1192" s="128" t="s">
        <v>219</v>
      </c>
      <c r="G1192" s="128" t="s">
        <v>1309</v>
      </c>
      <c r="H1192" s="128"/>
      <c r="I1192" s="128"/>
      <c r="J1192" s="128"/>
      <c r="K1192" s="129">
        <v>1.0</v>
      </c>
      <c r="L1192" s="129">
        <v>1000.0</v>
      </c>
      <c r="M1192" s="128" t="s">
        <v>1310</v>
      </c>
      <c r="N1192" s="129">
        <v>297.0</v>
      </c>
      <c r="O1192" s="128"/>
      <c r="P1192" s="129">
        <v>1000.0</v>
      </c>
      <c r="Q1192" s="128" t="s">
        <v>220</v>
      </c>
    </row>
    <row r="1193">
      <c r="A1193" s="129">
        <v>670.0</v>
      </c>
      <c r="B1193" s="129">
        <v>2013.0</v>
      </c>
      <c r="C1193" s="129">
        <v>23.2</v>
      </c>
      <c r="D1193" s="129">
        <v>39.3232</v>
      </c>
      <c r="E1193" s="129">
        <v>-86.4131</v>
      </c>
      <c r="F1193" s="128" t="s">
        <v>220</v>
      </c>
      <c r="G1193" s="128" t="s">
        <v>1309</v>
      </c>
      <c r="H1193" s="128" t="s">
        <v>328</v>
      </c>
      <c r="I1193" s="128" t="s">
        <v>285</v>
      </c>
      <c r="J1193" s="128"/>
      <c r="K1193" s="129">
        <v>1.0</v>
      </c>
      <c r="L1193" s="129">
        <v>3000.0</v>
      </c>
      <c r="M1193" s="128" t="s">
        <v>1310</v>
      </c>
      <c r="N1193" s="129">
        <v>297.0</v>
      </c>
      <c r="O1193" s="128"/>
      <c r="P1193" s="129">
        <v>1000.0</v>
      </c>
      <c r="Q1193" s="128" t="s">
        <v>220</v>
      </c>
    </row>
    <row r="1194">
      <c r="A1194" s="129">
        <v>621.0</v>
      </c>
      <c r="B1194" s="129">
        <v>2014.0</v>
      </c>
      <c r="C1194" s="129">
        <v>-27.0</v>
      </c>
      <c r="D1194" s="129">
        <v>39.35</v>
      </c>
      <c r="E1194" s="129">
        <v>100.13</v>
      </c>
      <c r="F1194" s="128" t="s">
        <v>1190</v>
      </c>
      <c r="G1194" s="128" t="s">
        <v>1204</v>
      </c>
      <c r="H1194" s="128" t="s">
        <v>506</v>
      </c>
      <c r="I1194" s="128" t="s">
        <v>351</v>
      </c>
      <c r="J1194" s="128"/>
      <c r="K1194" s="129">
        <v>1.0</v>
      </c>
      <c r="L1194" s="129">
        <v>10000.0</v>
      </c>
      <c r="M1194" s="128" t="s">
        <v>1204</v>
      </c>
      <c r="N1194" s="129">
        <v>1385.0</v>
      </c>
      <c r="O1194" s="128"/>
      <c r="P1194" s="129">
        <v>10000.0</v>
      </c>
      <c r="Q1194" s="128" t="s">
        <v>220</v>
      </c>
    </row>
    <row r="1195">
      <c r="A1195" s="129">
        <v>626.0</v>
      </c>
      <c r="B1195" s="129">
        <v>2014.0</v>
      </c>
      <c r="C1195" s="129">
        <v>-16.0</v>
      </c>
      <c r="D1195" s="129">
        <v>39.53</v>
      </c>
      <c r="E1195" s="129">
        <v>116.25</v>
      </c>
      <c r="F1195" s="128" t="s">
        <v>1190</v>
      </c>
      <c r="G1195" s="128" t="s">
        <v>1218</v>
      </c>
      <c r="H1195" s="128" t="s">
        <v>317</v>
      </c>
      <c r="I1195" s="128" t="s">
        <v>285</v>
      </c>
      <c r="J1195" s="128"/>
      <c r="K1195" s="129">
        <v>1.0</v>
      </c>
      <c r="L1195" s="129">
        <v>10000.0</v>
      </c>
      <c r="M1195" s="128" t="s">
        <v>1219</v>
      </c>
      <c r="N1195" s="129">
        <v>39.0</v>
      </c>
      <c r="O1195" s="128"/>
      <c r="P1195" s="129">
        <v>10000.0</v>
      </c>
      <c r="Q1195" s="128" t="s">
        <v>220</v>
      </c>
    </row>
    <row r="1196">
      <c r="A1196" s="129">
        <v>871.0</v>
      </c>
      <c r="B1196" s="129">
        <v>2012.0</v>
      </c>
      <c r="C1196" s="129">
        <v>-13.72</v>
      </c>
      <c r="D1196" s="129">
        <v>39.61</v>
      </c>
      <c r="E1196" s="129">
        <v>116.43</v>
      </c>
      <c r="F1196" s="128" t="s">
        <v>939</v>
      </c>
      <c r="G1196" s="128" t="s">
        <v>1152</v>
      </c>
      <c r="H1196" s="128" t="s">
        <v>317</v>
      </c>
      <c r="I1196" s="128" t="s">
        <v>285</v>
      </c>
      <c r="J1196" s="128"/>
      <c r="K1196" s="129">
        <v>1.0</v>
      </c>
      <c r="L1196" s="129">
        <v>3000.0</v>
      </c>
      <c r="M1196" s="128" t="s">
        <v>1152</v>
      </c>
      <c r="N1196" s="129">
        <v>34.0</v>
      </c>
      <c r="O1196" s="128"/>
      <c r="P1196" s="129">
        <v>30.0</v>
      </c>
      <c r="Q1196" s="128" t="s">
        <v>220</v>
      </c>
    </row>
    <row r="1197">
      <c r="A1197" s="129">
        <v>872.0</v>
      </c>
      <c r="B1197" s="129">
        <v>2012.0</v>
      </c>
      <c r="C1197" s="129">
        <v>-12.69</v>
      </c>
      <c r="D1197" s="129">
        <v>39.61</v>
      </c>
      <c r="E1197" s="129">
        <v>116.43</v>
      </c>
      <c r="F1197" s="128" t="s">
        <v>939</v>
      </c>
      <c r="G1197" s="128" t="s">
        <v>1152</v>
      </c>
      <c r="H1197" s="128" t="s">
        <v>317</v>
      </c>
      <c r="I1197" s="128" t="s">
        <v>285</v>
      </c>
      <c r="J1197" s="128"/>
      <c r="K1197" s="129">
        <v>1.0</v>
      </c>
      <c r="L1197" s="129">
        <v>3000.0</v>
      </c>
      <c r="M1197" s="128" t="s">
        <v>1152</v>
      </c>
      <c r="N1197" s="129">
        <v>34.0</v>
      </c>
      <c r="O1197" s="128"/>
      <c r="P1197" s="129">
        <v>30.0</v>
      </c>
      <c r="Q1197" s="128" t="s">
        <v>220</v>
      </c>
    </row>
    <row r="1198">
      <c r="A1198" s="129">
        <v>70.0</v>
      </c>
      <c r="B1198" s="129">
        <v>2014.0</v>
      </c>
      <c r="C1198" s="129">
        <v>1.0</v>
      </c>
      <c r="D1198" s="129">
        <v>39.94</v>
      </c>
      <c r="E1198" s="129">
        <v>-5.77</v>
      </c>
      <c r="F1198" s="128" t="s">
        <v>294</v>
      </c>
      <c r="G1198" s="128" t="s">
        <v>346</v>
      </c>
      <c r="H1198" s="128" t="s">
        <v>295</v>
      </c>
      <c r="I1198" s="128" t="s">
        <v>285</v>
      </c>
      <c r="J1198" s="129">
        <v>138.0</v>
      </c>
      <c r="K1198" s="129">
        <v>1.0</v>
      </c>
      <c r="L1198" s="129">
        <v>1000.0</v>
      </c>
      <c r="M1198" s="128" t="s">
        <v>347</v>
      </c>
      <c r="N1198" s="129">
        <v>270.0</v>
      </c>
      <c r="O1198" s="128"/>
      <c r="P1198" s="129">
        <v>1000.0</v>
      </c>
      <c r="Q1198" s="128" t="s">
        <v>220</v>
      </c>
    </row>
    <row r="1199">
      <c r="A1199" s="129">
        <v>95.0</v>
      </c>
      <c r="B1199" s="129">
        <v>2015.0</v>
      </c>
      <c r="C1199" s="129">
        <v>-42.5</v>
      </c>
      <c r="D1199" s="129">
        <v>39.942</v>
      </c>
      <c r="E1199" s="129">
        <v>-5.773</v>
      </c>
      <c r="F1199" s="128" t="s">
        <v>424</v>
      </c>
      <c r="G1199" s="128" t="s">
        <v>447</v>
      </c>
      <c r="H1199" s="128" t="s">
        <v>233</v>
      </c>
      <c r="I1199" s="128" t="s">
        <v>234</v>
      </c>
      <c r="J1199" s="129">
        <v>33.0</v>
      </c>
      <c r="K1199" s="129">
        <v>1.0</v>
      </c>
      <c r="L1199" s="129">
        <v>5000.0</v>
      </c>
      <c r="M1199" s="128" t="s">
        <v>347</v>
      </c>
      <c r="N1199" s="129">
        <v>267.0</v>
      </c>
      <c r="O1199" s="128"/>
      <c r="P1199" s="129">
        <v>5000.0</v>
      </c>
      <c r="Q1199" s="128" t="s">
        <v>220</v>
      </c>
    </row>
    <row r="1200">
      <c r="A1200" s="129">
        <v>110.0</v>
      </c>
      <c r="B1200" s="129">
        <v>2015.0</v>
      </c>
      <c r="C1200" s="129">
        <v>-20.5</v>
      </c>
      <c r="D1200" s="129">
        <v>39.942</v>
      </c>
      <c r="E1200" s="129">
        <v>-5.773</v>
      </c>
      <c r="F1200" s="128" t="s">
        <v>219</v>
      </c>
      <c r="G1200" s="128" t="s">
        <v>447</v>
      </c>
      <c r="H1200" s="128" t="s">
        <v>233</v>
      </c>
      <c r="I1200" s="128" t="s">
        <v>234</v>
      </c>
      <c r="J1200" s="129">
        <v>33.0</v>
      </c>
      <c r="K1200" s="129">
        <v>1.0</v>
      </c>
      <c r="L1200" s="129">
        <v>1000.0</v>
      </c>
      <c r="M1200" s="128" t="s">
        <v>347</v>
      </c>
      <c r="N1200" s="129">
        <v>267.0</v>
      </c>
      <c r="O1200" s="128"/>
      <c r="P1200" s="129">
        <v>1000.0</v>
      </c>
      <c r="Q1200" s="128" t="s">
        <v>220</v>
      </c>
    </row>
    <row r="1201">
      <c r="A1201" s="129">
        <v>861.0</v>
      </c>
      <c r="B1201" s="129">
        <v>2012.0</v>
      </c>
      <c r="C1201" s="129">
        <v>2.07</v>
      </c>
      <c r="D1201" s="129">
        <v>39.95</v>
      </c>
      <c r="E1201" s="129">
        <v>116.5703</v>
      </c>
      <c r="F1201" s="128" t="s">
        <v>939</v>
      </c>
      <c r="G1201" s="128" t="s">
        <v>497</v>
      </c>
      <c r="H1201" s="128" t="s">
        <v>1617</v>
      </c>
      <c r="I1201" s="128" t="s">
        <v>1618</v>
      </c>
      <c r="J1201" s="129">
        <v>10.0</v>
      </c>
      <c r="K1201" s="129">
        <v>1.0</v>
      </c>
      <c r="L1201" s="129">
        <v>30.0</v>
      </c>
      <c r="M1201" s="128" t="s">
        <v>497</v>
      </c>
      <c r="N1201" s="129">
        <v>32.0</v>
      </c>
      <c r="O1201" s="128"/>
      <c r="P1201" s="129">
        <v>30.0</v>
      </c>
      <c r="Q1201" s="128" t="s">
        <v>220</v>
      </c>
    </row>
    <row r="1202">
      <c r="A1202" s="129">
        <v>869.0</v>
      </c>
      <c r="B1202" s="129">
        <v>2012.0</v>
      </c>
      <c r="C1202" s="129">
        <v>15.4</v>
      </c>
      <c r="D1202" s="129">
        <v>39.95</v>
      </c>
      <c r="E1202" s="129">
        <v>116.5703</v>
      </c>
      <c r="F1202" s="128" t="s">
        <v>939</v>
      </c>
      <c r="G1202" s="128" t="s">
        <v>497</v>
      </c>
      <c r="H1202" s="128" t="s">
        <v>341</v>
      </c>
      <c r="I1202" s="128" t="s">
        <v>342</v>
      </c>
      <c r="J1202" s="128"/>
      <c r="K1202" s="129">
        <v>1.0</v>
      </c>
      <c r="L1202" s="129">
        <v>3000.0</v>
      </c>
      <c r="M1202" s="128" t="s">
        <v>497</v>
      </c>
      <c r="N1202" s="129">
        <v>32.0</v>
      </c>
      <c r="O1202" s="128"/>
      <c r="P1202" s="129">
        <v>30.0</v>
      </c>
      <c r="Q1202" s="128" t="s">
        <v>220</v>
      </c>
    </row>
    <row r="1203">
      <c r="A1203" s="129">
        <v>870.0</v>
      </c>
      <c r="B1203" s="129">
        <v>2012.0</v>
      </c>
      <c r="C1203" s="129">
        <v>6.5</v>
      </c>
      <c r="D1203" s="129">
        <v>39.95</v>
      </c>
      <c r="E1203" s="129">
        <v>116.5703</v>
      </c>
      <c r="F1203" s="128" t="s">
        <v>939</v>
      </c>
      <c r="G1203" s="128" t="s">
        <v>497</v>
      </c>
      <c r="H1203" s="128" t="s">
        <v>341</v>
      </c>
      <c r="I1203" s="128" t="s">
        <v>342</v>
      </c>
      <c r="J1203" s="128"/>
      <c r="K1203" s="129">
        <v>1.0</v>
      </c>
      <c r="L1203" s="129">
        <v>3000.0</v>
      </c>
      <c r="M1203" s="128" t="s">
        <v>497</v>
      </c>
      <c r="N1203" s="129">
        <v>32.0</v>
      </c>
      <c r="O1203" s="128"/>
      <c r="P1203" s="129">
        <v>30.0</v>
      </c>
      <c r="Q1203" s="128" t="s">
        <v>220</v>
      </c>
    </row>
    <row r="1204">
      <c r="A1204" s="129">
        <v>1702.0</v>
      </c>
      <c r="B1204" s="129">
        <v>2013.0</v>
      </c>
      <c r="C1204" s="129">
        <v>41.8</v>
      </c>
      <c r="D1204" s="129">
        <v>39.9712</v>
      </c>
      <c r="E1204" s="129">
        <v>-74.4346</v>
      </c>
      <c r="F1204" s="128"/>
      <c r="G1204" s="128" t="s">
        <v>2736</v>
      </c>
      <c r="H1204" s="128" t="s">
        <v>328</v>
      </c>
      <c r="I1204" s="128" t="s">
        <v>342</v>
      </c>
      <c r="J1204" s="129">
        <v>23.0</v>
      </c>
      <c r="K1204" s="129">
        <v>1.0</v>
      </c>
      <c r="L1204" s="129">
        <v>1000.0</v>
      </c>
      <c r="M1204" s="128" t="s">
        <v>2737</v>
      </c>
      <c r="N1204" s="129">
        <v>52.0</v>
      </c>
      <c r="O1204" s="128"/>
      <c r="P1204" s="129">
        <v>1000.0</v>
      </c>
      <c r="Q1204" s="128" t="s">
        <v>220</v>
      </c>
    </row>
    <row r="1205">
      <c r="A1205" s="129">
        <v>1122.0</v>
      </c>
      <c r="B1205" s="129">
        <v>2015.0</v>
      </c>
      <c r="C1205" s="129">
        <v>18.5</v>
      </c>
      <c r="D1205" s="129">
        <v>40.01</v>
      </c>
      <c r="E1205" s="129">
        <v>-88.29</v>
      </c>
      <c r="F1205" s="128" t="s">
        <v>219</v>
      </c>
      <c r="G1205" s="128" t="s">
        <v>1941</v>
      </c>
      <c r="H1205" s="128" t="s">
        <v>356</v>
      </c>
      <c r="I1205" s="128" t="s">
        <v>1940</v>
      </c>
      <c r="J1205" s="128"/>
      <c r="K1205" s="129">
        <v>1.0</v>
      </c>
      <c r="L1205" s="128"/>
      <c r="M1205" s="128"/>
      <c r="N1205" s="129">
        <v>221.0</v>
      </c>
      <c r="O1205" s="128"/>
      <c r="P1205" s="129">
        <v>1000.0</v>
      </c>
      <c r="Q1205" s="128" t="s">
        <v>220</v>
      </c>
    </row>
    <row r="1206">
      <c r="A1206" s="129">
        <v>1131.0</v>
      </c>
      <c r="B1206" s="129">
        <v>2015.0</v>
      </c>
      <c r="C1206" s="129">
        <v>16.8</v>
      </c>
      <c r="D1206" s="129">
        <v>40.01</v>
      </c>
      <c r="E1206" s="129">
        <v>-88.29</v>
      </c>
      <c r="F1206" s="128" t="s">
        <v>1950</v>
      </c>
      <c r="G1206" s="128" t="s">
        <v>1941</v>
      </c>
      <c r="H1206" s="128" t="s">
        <v>356</v>
      </c>
      <c r="I1206" s="128" t="s">
        <v>1940</v>
      </c>
      <c r="J1206" s="128"/>
      <c r="K1206" s="129">
        <v>1.0</v>
      </c>
      <c r="L1206" s="128"/>
      <c r="M1206" s="128"/>
      <c r="N1206" s="129">
        <v>221.0</v>
      </c>
      <c r="O1206" s="128"/>
      <c r="P1206" s="129">
        <v>1000.0</v>
      </c>
      <c r="Q1206" s="128" t="s">
        <v>220</v>
      </c>
    </row>
    <row r="1207">
      <c r="A1207" s="129">
        <v>1448.0</v>
      </c>
      <c r="B1207" s="129">
        <v>2018.0</v>
      </c>
      <c r="C1207" s="129">
        <v>-44.0</v>
      </c>
      <c r="D1207" s="129">
        <v>40.0329</v>
      </c>
      <c r="E1207" s="129">
        <v>-105.546</v>
      </c>
      <c r="F1207" s="128" t="s">
        <v>219</v>
      </c>
      <c r="G1207" s="128" t="s">
        <v>2486</v>
      </c>
      <c r="H1207" s="128"/>
      <c r="I1207" s="128"/>
      <c r="J1207" s="129">
        <v>116.0</v>
      </c>
      <c r="K1207" s="129">
        <v>1.0</v>
      </c>
      <c r="L1207" s="129">
        <v>1000.0</v>
      </c>
      <c r="M1207" s="128" t="s">
        <v>2487</v>
      </c>
      <c r="N1207" s="129">
        <v>3056.0</v>
      </c>
      <c r="O1207" s="128"/>
      <c r="P1207" s="129">
        <v>1000.0</v>
      </c>
      <c r="Q1207" s="128" t="s">
        <v>220</v>
      </c>
    </row>
    <row r="1208">
      <c r="A1208" s="129">
        <v>1168.0</v>
      </c>
      <c r="B1208" s="129">
        <v>2017.0</v>
      </c>
      <c r="C1208" s="129">
        <v>2.6</v>
      </c>
      <c r="D1208" s="129">
        <v>40.1786</v>
      </c>
      <c r="E1208" s="129">
        <v>116.4432</v>
      </c>
      <c r="F1208" s="128" t="s">
        <v>939</v>
      </c>
      <c r="G1208" s="128" t="s">
        <v>1638</v>
      </c>
      <c r="H1208" s="128" t="s">
        <v>2010</v>
      </c>
      <c r="I1208" s="128" t="s">
        <v>2011</v>
      </c>
      <c r="J1208" s="129">
        <v>33.0</v>
      </c>
      <c r="K1208" s="129">
        <v>1.0</v>
      </c>
      <c r="L1208" s="129">
        <v>30.0</v>
      </c>
      <c r="M1208" s="128"/>
      <c r="N1208" s="129">
        <v>40.0</v>
      </c>
      <c r="O1208" s="128"/>
      <c r="P1208" s="129">
        <v>30.0</v>
      </c>
      <c r="Q1208" s="128" t="s">
        <v>220</v>
      </c>
    </row>
    <row r="1209">
      <c r="A1209" s="129">
        <v>862.0</v>
      </c>
      <c r="B1209" s="129">
        <v>2012.0</v>
      </c>
      <c r="C1209" s="129">
        <v>-3.66</v>
      </c>
      <c r="D1209" s="129">
        <v>40.183</v>
      </c>
      <c r="E1209" s="129">
        <v>116.433</v>
      </c>
      <c r="F1209" s="128" t="s">
        <v>939</v>
      </c>
      <c r="G1209" s="128" t="s">
        <v>1626</v>
      </c>
      <c r="H1209" s="128" t="s">
        <v>1624</v>
      </c>
      <c r="I1209" s="128" t="s">
        <v>1625</v>
      </c>
      <c r="J1209" s="129">
        <v>10.0</v>
      </c>
      <c r="K1209" s="129">
        <v>1.0</v>
      </c>
      <c r="L1209" s="129">
        <v>30.0</v>
      </c>
      <c r="M1209" s="128" t="s">
        <v>1626</v>
      </c>
      <c r="N1209" s="129">
        <v>36.0</v>
      </c>
      <c r="O1209" s="128"/>
      <c r="P1209" s="129">
        <v>30.0</v>
      </c>
      <c r="Q1209" s="128" t="s">
        <v>220</v>
      </c>
    </row>
    <row r="1210">
      <c r="A1210" s="129">
        <v>873.0</v>
      </c>
      <c r="B1210" s="129">
        <v>2012.0</v>
      </c>
      <c r="C1210" s="129">
        <v>2.6</v>
      </c>
      <c r="D1210" s="129">
        <v>40.183</v>
      </c>
      <c r="E1210" s="129">
        <v>116.433</v>
      </c>
      <c r="F1210" s="128" t="s">
        <v>939</v>
      </c>
      <c r="G1210" s="128" t="s">
        <v>1638</v>
      </c>
      <c r="H1210" s="128" t="s">
        <v>295</v>
      </c>
      <c r="I1210" s="128" t="s">
        <v>194</v>
      </c>
      <c r="J1210" s="128"/>
      <c r="K1210" s="129">
        <v>1.0</v>
      </c>
      <c r="L1210" s="129">
        <v>3000.0</v>
      </c>
      <c r="M1210" s="128" t="s">
        <v>1638</v>
      </c>
      <c r="N1210" s="129">
        <v>36.0</v>
      </c>
      <c r="O1210" s="128"/>
      <c r="P1210" s="129">
        <v>30.0</v>
      </c>
      <c r="Q1210" s="128" t="s">
        <v>220</v>
      </c>
    </row>
    <row r="1211">
      <c r="A1211" s="129">
        <v>1655.0</v>
      </c>
      <c r="B1211" s="129">
        <v>2021.0</v>
      </c>
      <c r="C1211" s="129">
        <v>-4.2</v>
      </c>
      <c r="D1211" s="129">
        <v>40.37</v>
      </c>
      <c r="E1211" s="129">
        <v>117.19</v>
      </c>
      <c r="F1211" s="128" t="s">
        <v>2704</v>
      </c>
      <c r="G1211" s="128" t="s">
        <v>827</v>
      </c>
      <c r="H1211" s="128" t="s">
        <v>818</v>
      </c>
      <c r="I1211" s="128" t="s">
        <v>168</v>
      </c>
      <c r="J1211" s="128"/>
      <c r="K1211" s="129">
        <v>1.0</v>
      </c>
      <c r="L1211" s="129">
        <v>1000.0</v>
      </c>
      <c r="M1211" s="128" t="s">
        <v>828</v>
      </c>
      <c r="N1211" s="129">
        <v>585.0</v>
      </c>
      <c r="O1211" s="128"/>
      <c r="P1211" s="129">
        <v>1000.0</v>
      </c>
      <c r="Q1211" s="128" t="s">
        <v>220</v>
      </c>
    </row>
    <row r="1212">
      <c r="A1212" s="129">
        <v>1657.0</v>
      </c>
      <c r="B1212" s="129">
        <v>2021.0</v>
      </c>
      <c r="C1212" s="129">
        <v>-3.1</v>
      </c>
      <c r="D1212" s="129">
        <v>40.37</v>
      </c>
      <c r="E1212" s="129">
        <v>117.19</v>
      </c>
      <c r="F1212" s="128" t="s">
        <v>2706</v>
      </c>
      <c r="G1212" s="128" t="s">
        <v>827</v>
      </c>
      <c r="H1212" s="128" t="s">
        <v>818</v>
      </c>
      <c r="I1212" s="128" t="s">
        <v>168</v>
      </c>
      <c r="J1212" s="128"/>
      <c r="K1212" s="129">
        <v>1.0</v>
      </c>
      <c r="L1212" s="129">
        <v>1000.0</v>
      </c>
      <c r="M1212" s="128" t="s">
        <v>828</v>
      </c>
      <c r="N1212" s="129">
        <v>585.0</v>
      </c>
      <c r="O1212" s="128"/>
      <c r="P1212" s="129">
        <v>1000.0</v>
      </c>
      <c r="Q1212" s="128" t="s">
        <v>220</v>
      </c>
    </row>
    <row r="1213">
      <c r="A1213" s="129">
        <v>1659.0</v>
      </c>
      <c r="B1213" s="129">
        <v>2021.0</v>
      </c>
      <c r="C1213" s="129">
        <v>-3.3</v>
      </c>
      <c r="D1213" s="129">
        <v>40.37</v>
      </c>
      <c r="E1213" s="129">
        <v>117.19</v>
      </c>
      <c r="F1213" s="128" t="s">
        <v>2708</v>
      </c>
      <c r="G1213" s="128" t="s">
        <v>827</v>
      </c>
      <c r="H1213" s="128" t="s">
        <v>818</v>
      </c>
      <c r="I1213" s="128" t="s">
        <v>168</v>
      </c>
      <c r="J1213" s="128"/>
      <c r="K1213" s="129">
        <v>1.0</v>
      </c>
      <c r="L1213" s="129">
        <v>1000.0</v>
      </c>
      <c r="M1213" s="128" t="s">
        <v>828</v>
      </c>
      <c r="N1213" s="129">
        <v>585.0</v>
      </c>
      <c r="O1213" s="128"/>
      <c r="P1213" s="129">
        <v>1000.0</v>
      </c>
      <c r="Q1213" s="128" t="s">
        <v>220</v>
      </c>
    </row>
    <row r="1214">
      <c r="A1214" s="129">
        <v>1661.0</v>
      </c>
      <c r="B1214" s="129">
        <v>2021.0</v>
      </c>
      <c r="C1214" s="129">
        <v>-2.8</v>
      </c>
      <c r="D1214" s="129">
        <v>40.37</v>
      </c>
      <c r="E1214" s="129">
        <v>117.19</v>
      </c>
      <c r="F1214" s="128" t="s">
        <v>2710</v>
      </c>
      <c r="G1214" s="128" t="s">
        <v>827</v>
      </c>
      <c r="H1214" s="128" t="s">
        <v>818</v>
      </c>
      <c r="I1214" s="128" t="s">
        <v>168</v>
      </c>
      <c r="J1214" s="128"/>
      <c r="K1214" s="129">
        <v>1.0</v>
      </c>
      <c r="L1214" s="129">
        <v>1000.0</v>
      </c>
      <c r="M1214" s="128" t="s">
        <v>828</v>
      </c>
      <c r="N1214" s="129">
        <v>585.0</v>
      </c>
      <c r="O1214" s="128"/>
      <c r="P1214" s="129">
        <v>1000.0</v>
      </c>
      <c r="Q1214" s="128" t="s">
        <v>220</v>
      </c>
    </row>
    <row r="1215">
      <c r="A1215" s="129">
        <v>128.0</v>
      </c>
      <c r="B1215" s="129">
        <v>2018.0</v>
      </c>
      <c r="C1215" s="129">
        <v>-1.0</v>
      </c>
      <c r="D1215" s="129">
        <v>40.5238</v>
      </c>
      <c r="E1215" s="129">
        <v>14.9574</v>
      </c>
      <c r="F1215" s="128" t="s">
        <v>493</v>
      </c>
      <c r="G1215" s="128" t="s">
        <v>515</v>
      </c>
      <c r="H1215" s="128" t="s">
        <v>295</v>
      </c>
      <c r="I1215" s="128" t="s">
        <v>507</v>
      </c>
      <c r="J1215" s="128"/>
      <c r="K1215" s="129">
        <v>1.0</v>
      </c>
      <c r="L1215" s="129">
        <v>250.0</v>
      </c>
      <c r="M1215" s="128" t="s">
        <v>516</v>
      </c>
      <c r="N1215" s="129">
        <v>9.0</v>
      </c>
      <c r="O1215" s="128"/>
      <c r="P1215" s="129">
        <v>250.0</v>
      </c>
      <c r="Q1215" s="128" t="s">
        <v>220</v>
      </c>
    </row>
    <row r="1216">
      <c r="A1216" s="129">
        <v>874.0</v>
      </c>
      <c r="B1216" s="129">
        <v>2012.0</v>
      </c>
      <c r="C1216" s="129">
        <v>-19.58</v>
      </c>
      <c r="D1216" s="129">
        <v>40.63</v>
      </c>
      <c r="E1216" s="129">
        <v>117.32</v>
      </c>
      <c r="F1216" s="128" t="s">
        <v>939</v>
      </c>
      <c r="G1216" s="128" t="s">
        <v>827</v>
      </c>
      <c r="H1216" s="128" t="s">
        <v>341</v>
      </c>
      <c r="I1216" s="128" t="s">
        <v>342</v>
      </c>
      <c r="J1216" s="128"/>
      <c r="K1216" s="129">
        <v>1.0</v>
      </c>
      <c r="L1216" s="129">
        <v>3000.0</v>
      </c>
      <c r="M1216" s="128" t="s">
        <v>828</v>
      </c>
      <c r="N1216" s="129">
        <v>364.0</v>
      </c>
      <c r="O1216" s="128"/>
      <c r="P1216" s="129">
        <v>30.0</v>
      </c>
      <c r="Q1216" s="128" t="s">
        <v>220</v>
      </c>
    </row>
    <row r="1217">
      <c r="A1217" s="129">
        <v>616.0</v>
      </c>
      <c r="B1217" s="129">
        <v>2014.0</v>
      </c>
      <c r="C1217" s="129">
        <v>15.0</v>
      </c>
      <c r="D1217" s="129">
        <v>40.63</v>
      </c>
      <c r="E1217" s="129">
        <v>117.32</v>
      </c>
      <c r="F1217" s="128" t="s">
        <v>1190</v>
      </c>
      <c r="G1217" s="128" t="s">
        <v>827</v>
      </c>
      <c r="H1217" s="128" t="s">
        <v>506</v>
      </c>
      <c r="I1217" s="128" t="s">
        <v>351</v>
      </c>
      <c r="J1217" s="128"/>
      <c r="K1217" s="129">
        <v>1.0</v>
      </c>
      <c r="L1217" s="129">
        <v>10000.0</v>
      </c>
      <c r="M1217" s="128" t="s">
        <v>828</v>
      </c>
      <c r="N1217" s="129">
        <v>364.0</v>
      </c>
      <c r="O1217" s="128"/>
      <c r="P1217" s="129">
        <v>10000.0</v>
      </c>
      <c r="Q1217" s="128" t="s">
        <v>220</v>
      </c>
    </row>
    <row r="1218">
      <c r="A1218" s="129">
        <v>316.0</v>
      </c>
      <c r="B1218" s="129">
        <v>2018.0</v>
      </c>
      <c r="C1218" s="129">
        <v>-4.2</v>
      </c>
      <c r="D1218" s="129">
        <v>40.63</v>
      </c>
      <c r="E1218" s="129">
        <v>117.32</v>
      </c>
      <c r="F1218" s="128" t="s">
        <v>824</v>
      </c>
      <c r="G1218" s="128" t="s">
        <v>827</v>
      </c>
      <c r="H1218" s="128" t="s">
        <v>818</v>
      </c>
      <c r="I1218" s="128" t="s">
        <v>168</v>
      </c>
      <c r="J1218" s="129">
        <v>365.0</v>
      </c>
      <c r="K1218" s="129">
        <v>1.0</v>
      </c>
      <c r="L1218" s="129">
        <v>1000.0</v>
      </c>
      <c r="M1218" s="128" t="s">
        <v>828</v>
      </c>
      <c r="N1218" s="129">
        <v>364.0</v>
      </c>
      <c r="O1218" s="128"/>
      <c r="P1218" s="129">
        <v>1000.0</v>
      </c>
      <c r="Q1218" s="128" t="s">
        <v>220</v>
      </c>
    </row>
    <row r="1219">
      <c r="A1219" s="129">
        <v>318.0</v>
      </c>
      <c r="B1219" s="129">
        <v>2018.0</v>
      </c>
      <c r="C1219" s="129">
        <v>-3.1</v>
      </c>
      <c r="D1219" s="129">
        <v>40.63</v>
      </c>
      <c r="E1219" s="129">
        <v>117.32</v>
      </c>
      <c r="F1219" s="128" t="s">
        <v>824</v>
      </c>
      <c r="G1219" s="128" t="s">
        <v>827</v>
      </c>
      <c r="H1219" s="128" t="s">
        <v>818</v>
      </c>
      <c r="I1219" s="128" t="s">
        <v>168</v>
      </c>
      <c r="J1219" s="129">
        <v>12.0</v>
      </c>
      <c r="K1219" s="129">
        <v>1.0</v>
      </c>
      <c r="L1219" s="129">
        <v>1000.0</v>
      </c>
      <c r="M1219" s="128" t="s">
        <v>828</v>
      </c>
      <c r="N1219" s="129">
        <v>364.0</v>
      </c>
      <c r="O1219" s="128"/>
      <c r="P1219" s="129">
        <v>1000.0</v>
      </c>
      <c r="Q1219" s="128" t="s">
        <v>220</v>
      </c>
    </row>
    <row r="1220">
      <c r="A1220" s="129">
        <v>320.0</v>
      </c>
      <c r="B1220" s="129">
        <v>2018.0</v>
      </c>
      <c r="C1220" s="129">
        <v>-3.3</v>
      </c>
      <c r="D1220" s="129">
        <v>40.63</v>
      </c>
      <c r="E1220" s="129">
        <v>117.32</v>
      </c>
      <c r="F1220" s="128" t="s">
        <v>824</v>
      </c>
      <c r="G1220" s="128" t="s">
        <v>827</v>
      </c>
      <c r="H1220" s="128" t="s">
        <v>818</v>
      </c>
      <c r="I1220" s="128" t="s">
        <v>168</v>
      </c>
      <c r="J1220" s="129">
        <v>365.0</v>
      </c>
      <c r="K1220" s="129">
        <v>1.0</v>
      </c>
      <c r="L1220" s="129">
        <v>1000.0</v>
      </c>
      <c r="M1220" s="128" t="s">
        <v>828</v>
      </c>
      <c r="N1220" s="129">
        <v>364.0</v>
      </c>
      <c r="O1220" s="128"/>
      <c r="P1220" s="129">
        <v>1000.0</v>
      </c>
      <c r="Q1220" s="128" t="s">
        <v>220</v>
      </c>
    </row>
    <row r="1221">
      <c r="A1221" s="129">
        <v>322.0</v>
      </c>
      <c r="B1221" s="129">
        <v>2018.0</v>
      </c>
      <c r="C1221" s="129">
        <v>-2.8</v>
      </c>
      <c r="D1221" s="129">
        <v>40.63</v>
      </c>
      <c r="E1221" s="129">
        <v>117.32</v>
      </c>
      <c r="F1221" s="128" t="s">
        <v>824</v>
      </c>
      <c r="G1221" s="128" t="s">
        <v>827</v>
      </c>
      <c r="H1221" s="128" t="s">
        <v>818</v>
      </c>
      <c r="I1221" s="128" t="s">
        <v>168</v>
      </c>
      <c r="J1221" s="129">
        <v>12.0</v>
      </c>
      <c r="K1221" s="129">
        <v>1.0</v>
      </c>
      <c r="L1221" s="129">
        <v>1000.0</v>
      </c>
      <c r="M1221" s="128" t="s">
        <v>828</v>
      </c>
      <c r="N1221" s="129">
        <v>364.0</v>
      </c>
      <c r="O1221" s="128"/>
      <c r="P1221" s="129">
        <v>1000.0</v>
      </c>
      <c r="Q1221" s="128" t="s">
        <v>220</v>
      </c>
    </row>
    <row r="1222">
      <c r="A1222" s="129">
        <v>35.0</v>
      </c>
      <c r="B1222" s="129">
        <v>2018.0</v>
      </c>
      <c r="C1222" s="129">
        <v>-40.58</v>
      </c>
      <c r="D1222" s="129">
        <v>41.08</v>
      </c>
      <c r="E1222" s="129">
        <v>121.54</v>
      </c>
      <c r="F1222" s="128"/>
      <c r="G1222" s="128" t="s">
        <v>213</v>
      </c>
      <c r="H1222" s="128" t="s">
        <v>210</v>
      </c>
      <c r="I1222" s="128" t="s">
        <v>211</v>
      </c>
      <c r="J1222" s="129">
        <v>12.0</v>
      </c>
      <c r="K1222" s="129">
        <v>1.0</v>
      </c>
      <c r="L1222" s="129">
        <v>1000.0</v>
      </c>
      <c r="M1222" s="128" t="s">
        <v>213</v>
      </c>
      <c r="N1222" s="129">
        <v>10.0</v>
      </c>
      <c r="O1222" s="129">
        <v>3000.0</v>
      </c>
      <c r="P1222" s="129">
        <v>1000.0</v>
      </c>
      <c r="Q1222" s="128" t="s">
        <v>220</v>
      </c>
    </row>
    <row r="1223">
      <c r="A1223" s="129">
        <v>36.0</v>
      </c>
      <c r="B1223" s="129">
        <v>2018.0</v>
      </c>
      <c r="C1223" s="129">
        <v>7.82</v>
      </c>
      <c r="D1223" s="129">
        <v>41.08</v>
      </c>
      <c r="E1223" s="129">
        <v>121.54</v>
      </c>
      <c r="F1223" s="128"/>
      <c r="G1223" s="128" t="s">
        <v>213</v>
      </c>
      <c r="H1223" s="128" t="s">
        <v>221</v>
      </c>
      <c r="I1223" s="128" t="s">
        <v>222</v>
      </c>
      <c r="J1223" s="129">
        <v>12.0</v>
      </c>
      <c r="K1223" s="129">
        <v>1.0</v>
      </c>
      <c r="L1223" s="129">
        <v>1000.0</v>
      </c>
      <c r="M1223" s="128" t="s">
        <v>213</v>
      </c>
      <c r="N1223" s="129">
        <v>10.0</v>
      </c>
      <c r="O1223" s="129">
        <v>3000.0</v>
      </c>
      <c r="P1223" s="129">
        <v>1000.0</v>
      </c>
      <c r="Q1223" s="128" t="s">
        <v>220</v>
      </c>
    </row>
    <row r="1224">
      <c r="A1224" s="129">
        <v>37.0</v>
      </c>
      <c r="B1224" s="129">
        <v>2018.0</v>
      </c>
      <c r="C1224" s="129">
        <v>-49.13</v>
      </c>
      <c r="D1224" s="129">
        <v>41.08</v>
      </c>
      <c r="E1224" s="129">
        <v>121.54</v>
      </c>
      <c r="F1224" s="128"/>
      <c r="G1224" s="128" t="s">
        <v>213</v>
      </c>
      <c r="H1224" s="128" t="s">
        <v>224</v>
      </c>
      <c r="I1224" s="128" t="s">
        <v>225</v>
      </c>
      <c r="J1224" s="129">
        <v>8.0</v>
      </c>
      <c r="K1224" s="129">
        <v>1.0</v>
      </c>
      <c r="L1224" s="129">
        <v>1000.0</v>
      </c>
      <c r="M1224" s="128" t="s">
        <v>213</v>
      </c>
      <c r="N1224" s="129">
        <v>10.0</v>
      </c>
      <c r="O1224" s="129">
        <v>3000.0</v>
      </c>
      <c r="P1224" s="129">
        <v>1000.0</v>
      </c>
      <c r="Q1224" s="128" t="s">
        <v>220</v>
      </c>
    </row>
    <row r="1225">
      <c r="A1225" s="129">
        <v>38.0</v>
      </c>
      <c r="B1225" s="129">
        <v>2018.0</v>
      </c>
      <c r="C1225" s="129">
        <v>-8.62</v>
      </c>
      <c r="D1225" s="129">
        <v>41.08</v>
      </c>
      <c r="E1225" s="129">
        <v>121.54</v>
      </c>
      <c r="F1225" s="128"/>
      <c r="G1225" s="128" t="s">
        <v>213</v>
      </c>
      <c r="H1225" s="128" t="s">
        <v>210</v>
      </c>
      <c r="I1225" s="128" t="s">
        <v>225</v>
      </c>
      <c r="J1225" s="129">
        <v>32.0</v>
      </c>
      <c r="K1225" s="129">
        <v>1.0</v>
      </c>
      <c r="L1225" s="129">
        <v>1000.0</v>
      </c>
      <c r="M1225" s="128" t="s">
        <v>213</v>
      </c>
      <c r="N1225" s="129">
        <v>10.0</v>
      </c>
      <c r="O1225" s="129">
        <v>3000.0</v>
      </c>
      <c r="P1225" s="129">
        <v>1000.0</v>
      </c>
      <c r="Q1225" s="128" t="s">
        <v>220</v>
      </c>
    </row>
    <row r="1226">
      <c r="A1226" s="129">
        <v>1476.0</v>
      </c>
      <c r="B1226" s="129">
        <v>2020.0</v>
      </c>
      <c r="C1226" s="129">
        <v>-14.2</v>
      </c>
      <c r="D1226" s="129">
        <v>41.1649</v>
      </c>
      <c r="E1226" s="129">
        <v>-96.4701</v>
      </c>
      <c r="F1226" s="128" t="s">
        <v>2499</v>
      </c>
      <c r="G1226" s="128" t="s">
        <v>526</v>
      </c>
      <c r="H1226" s="128" t="s">
        <v>328</v>
      </c>
      <c r="I1226" s="128" t="s">
        <v>243</v>
      </c>
      <c r="J1226" s="128"/>
      <c r="K1226" s="129">
        <v>1.0</v>
      </c>
      <c r="L1226" s="129">
        <v>30.0</v>
      </c>
      <c r="M1226" s="128" t="s">
        <v>527</v>
      </c>
      <c r="N1226" s="129">
        <v>355.0</v>
      </c>
      <c r="O1226" s="128"/>
      <c r="P1226" s="129">
        <v>30.0</v>
      </c>
      <c r="Q1226" s="128" t="s">
        <v>220</v>
      </c>
    </row>
    <row r="1227">
      <c r="A1227" s="129">
        <v>1479.0</v>
      </c>
      <c r="B1227" s="129">
        <v>2020.0</v>
      </c>
      <c r="C1227" s="129">
        <v>-25.3</v>
      </c>
      <c r="D1227" s="129">
        <v>41.1649</v>
      </c>
      <c r="E1227" s="129">
        <v>-96.4701</v>
      </c>
      <c r="F1227" s="128" t="s">
        <v>2499</v>
      </c>
      <c r="G1227" s="128" t="s">
        <v>526</v>
      </c>
      <c r="H1227" s="128" t="s">
        <v>328</v>
      </c>
      <c r="I1227" s="128" t="s">
        <v>243</v>
      </c>
      <c r="J1227" s="128"/>
      <c r="K1227" s="129">
        <v>1.0</v>
      </c>
      <c r="L1227" s="129">
        <v>30.0</v>
      </c>
      <c r="M1227" s="128" t="s">
        <v>527</v>
      </c>
      <c r="N1227" s="129">
        <v>355.0</v>
      </c>
      <c r="O1227" s="128"/>
      <c r="P1227" s="129">
        <v>30.0</v>
      </c>
      <c r="Q1227" s="128" t="s">
        <v>220</v>
      </c>
    </row>
    <row r="1228">
      <c r="A1228" s="129">
        <v>133.0</v>
      </c>
      <c r="B1228" s="129">
        <v>2018.0</v>
      </c>
      <c r="C1228" s="129">
        <v>-8.0</v>
      </c>
      <c r="D1228" s="129">
        <v>41.1649</v>
      </c>
      <c r="E1228" s="129">
        <v>-96.4701</v>
      </c>
      <c r="F1228" s="128" t="s">
        <v>493</v>
      </c>
      <c r="G1228" s="128" t="s">
        <v>526</v>
      </c>
      <c r="H1228" s="128" t="s">
        <v>328</v>
      </c>
      <c r="I1228" s="128" t="s">
        <v>244</v>
      </c>
      <c r="J1228" s="128"/>
      <c r="K1228" s="129">
        <v>1.0</v>
      </c>
      <c r="L1228" s="129">
        <v>250.0</v>
      </c>
      <c r="M1228" s="128" t="s">
        <v>527</v>
      </c>
      <c r="N1228" s="129">
        <v>355.0</v>
      </c>
      <c r="O1228" s="128"/>
      <c r="P1228" s="129">
        <v>250.0</v>
      </c>
      <c r="Q1228" s="128" t="s">
        <v>220</v>
      </c>
    </row>
    <row r="1229">
      <c r="A1229" s="129">
        <v>1475.0</v>
      </c>
      <c r="B1229" s="129">
        <v>2020.0</v>
      </c>
      <c r="C1229" s="129">
        <v>-12.7</v>
      </c>
      <c r="D1229" s="129">
        <v>41.1651</v>
      </c>
      <c r="E1229" s="129">
        <v>-96.4766</v>
      </c>
      <c r="F1229" s="128" t="s">
        <v>2499</v>
      </c>
      <c r="G1229" s="128" t="s">
        <v>523</v>
      </c>
      <c r="H1229" s="128" t="s">
        <v>328</v>
      </c>
      <c r="I1229" s="128" t="s">
        <v>243</v>
      </c>
      <c r="J1229" s="128"/>
      <c r="K1229" s="129">
        <v>1.0</v>
      </c>
      <c r="L1229" s="129">
        <v>30.0</v>
      </c>
      <c r="M1229" s="128" t="s">
        <v>524</v>
      </c>
      <c r="N1229" s="129">
        <v>356.0</v>
      </c>
      <c r="O1229" s="128"/>
      <c r="P1229" s="129">
        <v>30.0</v>
      </c>
      <c r="Q1229" s="128" t="s">
        <v>220</v>
      </c>
    </row>
    <row r="1230">
      <c r="A1230" s="129">
        <v>1478.0</v>
      </c>
      <c r="B1230" s="129">
        <v>2020.0</v>
      </c>
      <c r="C1230" s="129">
        <v>-23.6</v>
      </c>
      <c r="D1230" s="129">
        <v>41.1651</v>
      </c>
      <c r="E1230" s="129">
        <v>-96.4766</v>
      </c>
      <c r="F1230" s="128" t="s">
        <v>2499</v>
      </c>
      <c r="G1230" s="128" t="s">
        <v>523</v>
      </c>
      <c r="H1230" s="128" t="s">
        <v>328</v>
      </c>
      <c r="I1230" s="128" t="s">
        <v>243</v>
      </c>
      <c r="J1230" s="128"/>
      <c r="K1230" s="129">
        <v>1.0</v>
      </c>
      <c r="L1230" s="129">
        <v>30.0</v>
      </c>
      <c r="M1230" s="128" t="s">
        <v>524</v>
      </c>
      <c r="N1230" s="129">
        <v>356.0</v>
      </c>
      <c r="O1230" s="128"/>
      <c r="P1230" s="129">
        <v>30.0</v>
      </c>
      <c r="Q1230" s="128" t="s">
        <v>220</v>
      </c>
    </row>
    <row r="1231">
      <c r="A1231" s="129">
        <v>132.0</v>
      </c>
      <c r="B1231" s="129">
        <v>2018.0</v>
      </c>
      <c r="C1231" s="129">
        <v>-5.0</v>
      </c>
      <c r="D1231" s="129">
        <v>41.1651</v>
      </c>
      <c r="E1231" s="129">
        <v>-96.4766</v>
      </c>
      <c r="F1231" s="128" t="s">
        <v>493</v>
      </c>
      <c r="G1231" s="128" t="s">
        <v>523</v>
      </c>
      <c r="H1231" s="128" t="s">
        <v>328</v>
      </c>
      <c r="I1231" s="128" t="s">
        <v>244</v>
      </c>
      <c r="J1231" s="128"/>
      <c r="K1231" s="129">
        <v>1.0</v>
      </c>
      <c r="L1231" s="129">
        <v>250.0</v>
      </c>
      <c r="M1231" s="128" t="s">
        <v>524</v>
      </c>
      <c r="N1231" s="129">
        <v>356.0</v>
      </c>
      <c r="O1231" s="128"/>
      <c r="P1231" s="129">
        <v>250.0</v>
      </c>
      <c r="Q1231" s="128" t="s">
        <v>220</v>
      </c>
    </row>
    <row r="1232">
      <c r="A1232" s="129">
        <v>1452.0</v>
      </c>
      <c r="B1232" s="129">
        <v>2018.0</v>
      </c>
      <c r="C1232" s="129">
        <v>-50.0</v>
      </c>
      <c r="D1232" s="129">
        <v>41.1651</v>
      </c>
      <c r="E1232" s="129">
        <v>-96.4766</v>
      </c>
      <c r="F1232" s="128" t="s">
        <v>219</v>
      </c>
      <c r="G1232" s="128" t="s">
        <v>523</v>
      </c>
      <c r="H1232" s="128"/>
      <c r="I1232" s="128"/>
      <c r="J1232" s="129">
        <v>114.0</v>
      </c>
      <c r="K1232" s="129">
        <v>1.0</v>
      </c>
      <c r="L1232" s="129">
        <v>1000.0</v>
      </c>
      <c r="M1232" s="128" t="s">
        <v>524</v>
      </c>
      <c r="N1232" s="129">
        <v>356.0</v>
      </c>
      <c r="O1232" s="128"/>
      <c r="P1232" s="129">
        <v>1000.0</v>
      </c>
      <c r="Q1232" s="128" t="s">
        <v>220</v>
      </c>
    </row>
    <row r="1233">
      <c r="A1233" s="129">
        <v>1477.0</v>
      </c>
      <c r="B1233" s="129">
        <v>2020.0</v>
      </c>
      <c r="C1233" s="129">
        <v>-16.0</v>
      </c>
      <c r="D1233" s="129">
        <v>41.1797</v>
      </c>
      <c r="E1233" s="129">
        <v>-96.4397</v>
      </c>
      <c r="F1233" s="128" t="s">
        <v>2499</v>
      </c>
      <c r="G1233" s="128" t="s">
        <v>529</v>
      </c>
      <c r="H1233" s="128" t="s">
        <v>328</v>
      </c>
      <c r="I1233" s="128" t="s">
        <v>243</v>
      </c>
      <c r="J1233" s="128"/>
      <c r="K1233" s="129">
        <v>1.0</v>
      </c>
      <c r="L1233" s="129">
        <v>30.0</v>
      </c>
      <c r="M1233" s="128" t="s">
        <v>530</v>
      </c>
      <c r="N1233" s="129">
        <v>359.0</v>
      </c>
      <c r="O1233" s="128"/>
      <c r="P1233" s="129">
        <v>30.0</v>
      </c>
      <c r="Q1233" s="128" t="s">
        <v>220</v>
      </c>
    </row>
    <row r="1234">
      <c r="A1234" s="129">
        <v>1480.0</v>
      </c>
      <c r="B1234" s="129">
        <v>2020.0</v>
      </c>
      <c r="C1234" s="129">
        <v>26.9</v>
      </c>
      <c r="D1234" s="129">
        <v>41.1797</v>
      </c>
      <c r="E1234" s="129">
        <v>-96.4397</v>
      </c>
      <c r="F1234" s="128" t="s">
        <v>2499</v>
      </c>
      <c r="G1234" s="128" t="s">
        <v>529</v>
      </c>
      <c r="H1234" s="128" t="s">
        <v>328</v>
      </c>
      <c r="I1234" s="128" t="s">
        <v>243</v>
      </c>
      <c r="J1234" s="128"/>
      <c r="K1234" s="129">
        <v>1.0</v>
      </c>
      <c r="L1234" s="129">
        <v>30.0</v>
      </c>
      <c r="M1234" s="128" t="s">
        <v>530</v>
      </c>
      <c r="N1234" s="129">
        <v>359.0</v>
      </c>
      <c r="O1234" s="128"/>
      <c r="P1234" s="129">
        <v>30.0</v>
      </c>
      <c r="Q1234" s="128" t="s">
        <v>220</v>
      </c>
    </row>
    <row r="1235">
      <c r="A1235" s="129">
        <v>134.0</v>
      </c>
      <c r="B1235" s="129">
        <v>2018.0</v>
      </c>
      <c r="C1235" s="129">
        <v>-6.0</v>
      </c>
      <c r="D1235" s="129">
        <v>41.1797</v>
      </c>
      <c r="E1235" s="129">
        <v>-96.4397</v>
      </c>
      <c r="F1235" s="128" t="s">
        <v>493</v>
      </c>
      <c r="G1235" s="128" t="s">
        <v>529</v>
      </c>
      <c r="H1235" s="128" t="s">
        <v>328</v>
      </c>
      <c r="I1235" s="128" t="s">
        <v>244</v>
      </c>
      <c r="J1235" s="128"/>
      <c r="K1235" s="129">
        <v>1.0</v>
      </c>
      <c r="L1235" s="129">
        <v>250.0</v>
      </c>
      <c r="M1235" s="128" t="s">
        <v>530</v>
      </c>
      <c r="N1235" s="129">
        <v>359.0</v>
      </c>
      <c r="O1235" s="128"/>
      <c r="P1235" s="129">
        <v>250.0</v>
      </c>
      <c r="Q1235" s="128" t="s">
        <v>220</v>
      </c>
    </row>
    <row r="1236">
      <c r="A1236" s="129">
        <v>620.0</v>
      </c>
      <c r="B1236" s="129">
        <v>2014.0</v>
      </c>
      <c r="C1236" s="129">
        <v>4.0</v>
      </c>
      <c r="D1236" s="129">
        <v>41.18</v>
      </c>
      <c r="E1236" s="129">
        <v>121.21</v>
      </c>
      <c r="F1236" s="128" t="s">
        <v>1190</v>
      </c>
      <c r="G1236" s="128" t="s">
        <v>1201</v>
      </c>
      <c r="H1236" s="128" t="s">
        <v>506</v>
      </c>
      <c r="I1236" s="128" t="s">
        <v>351</v>
      </c>
      <c r="J1236" s="128"/>
      <c r="K1236" s="129">
        <v>1.0</v>
      </c>
      <c r="L1236" s="129">
        <v>10000.0</v>
      </c>
      <c r="M1236" s="128" t="s">
        <v>1201</v>
      </c>
      <c r="N1236" s="129">
        <v>26.0</v>
      </c>
      <c r="O1236" s="128"/>
      <c r="P1236" s="129">
        <v>10000.0</v>
      </c>
      <c r="Q1236" s="128" t="s">
        <v>220</v>
      </c>
    </row>
    <row r="1237">
      <c r="A1237" s="129">
        <v>644.0</v>
      </c>
      <c r="B1237" s="129">
        <v>2014.0</v>
      </c>
      <c r="C1237" s="129">
        <v>-4.0</v>
      </c>
      <c r="D1237" s="129">
        <v>41.23</v>
      </c>
      <c r="E1237" s="129">
        <v>111.57</v>
      </c>
      <c r="F1237" s="128" t="s">
        <v>1190</v>
      </c>
      <c r="G1237" s="128" t="s">
        <v>1286</v>
      </c>
      <c r="H1237" s="128" t="s">
        <v>969</v>
      </c>
      <c r="I1237" s="128" t="s">
        <v>507</v>
      </c>
      <c r="J1237" s="128"/>
      <c r="K1237" s="129">
        <v>1.0</v>
      </c>
      <c r="L1237" s="129">
        <v>10000.0</v>
      </c>
      <c r="M1237" s="128" t="s">
        <v>1287</v>
      </c>
      <c r="N1237" s="129">
        <v>1690.0</v>
      </c>
      <c r="O1237" s="128"/>
      <c r="P1237" s="129">
        <v>10000.0</v>
      </c>
      <c r="Q1237" s="128" t="s">
        <v>220</v>
      </c>
    </row>
    <row r="1238">
      <c r="A1238" s="129">
        <v>645.0</v>
      </c>
      <c r="B1238" s="129">
        <v>2014.0</v>
      </c>
      <c r="C1238" s="129">
        <v>-18.0</v>
      </c>
      <c r="D1238" s="129">
        <v>41.28</v>
      </c>
      <c r="E1238" s="129">
        <v>111.68</v>
      </c>
      <c r="F1238" s="128" t="s">
        <v>1190</v>
      </c>
      <c r="G1238" s="128" t="s">
        <v>1290</v>
      </c>
      <c r="H1238" s="128" t="s">
        <v>969</v>
      </c>
      <c r="I1238" s="128" t="s">
        <v>507</v>
      </c>
      <c r="J1238" s="128"/>
      <c r="K1238" s="129">
        <v>1.0</v>
      </c>
      <c r="L1238" s="129">
        <v>10000.0</v>
      </c>
      <c r="M1238" s="128" t="s">
        <v>1291</v>
      </c>
      <c r="N1238" s="129">
        <v>1683.0</v>
      </c>
      <c r="O1238" s="128"/>
      <c r="P1238" s="129">
        <v>10000.0</v>
      </c>
      <c r="Q1238" s="128" t="s">
        <v>220</v>
      </c>
    </row>
    <row r="1239">
      <c r="A1239" s="129">
        <v>1370.0</v>
      </c>
      <c r="B1239" s="129">
        <v>2017.0</v>
      </c>
      <c r="C1239" s="129">
        <v>37.0</v>
      </c>
      <c r="D1239" s="129">
        <v>41.3966</v>
      </c>
      <c r="E1239" s="129">
        <v>-106.802</v>
      </c>
      <c r="F1239" s="128" t="s">
        <v>219</v>
      </c>
      <c r="G1239" s="128" t="s">
        <v>2405</v>
      </c>
      <c r="H1239" s="128"/>
      <c r="I1239" s="128"/>
      <c r="J1239" s="128"/>
      <c r="K1239" s="129">
        <v>1.0</v>
      </c>
      <c r="L1239" s="128"/>
      <c r="M1239" s="128" t="s">
        <v>2406</v>
      </c>
      <c r="N1239" s="129">
        <v>2179.0</v>
      </c>
      <c r="O1239" s="128"/>
      <c r="P1239" s="128"/>
      <c r="Q1239" s="128" t="s">
        <v>220</v>
      </c>
    </row>
    <row r="1240">
      <c r="A1240" s="129">
        <v>1362.0</v>
      </c>
      <c r="B1240" s="129">
        <v>2017.0</v>
      </c>
      <c r="C1240" s="129">
        <v>-164.0</v>
      </c>
      <c r="D1240" s="129">
        <v>41.5545</v>
      </c>
      <c r="E1240" s="129">
        <v>-83.8438</v>
      </c>
      <c r="F1240" s="128" t="s">
        <v>219</v>
      </c>
      <c r="G1240" s="128" t="s">
        <v>2396</v>
      </c>
      <c r="H1240" s="128"/>
      <c r="I1240" s="128"/>
      <c r="J1240" s="128"/>
      <c r="K1240" s="129">
        <v>1.0</v>
      </c>
      <c r="L1240" s="128"/>
      <c r="M1240" s="128" t="s">
        <v>2397</v>
      </c>
      <c r="N1240" s="129">
        <v>215.0</v>
      </c>
      <c r="O1240" s="128"/>
      <c r="P1240" s="128"/>
      <c r="Q1240" s="128" t="s">
        <v>220</v>
      </c>
    </row>
    <row r="1241">
      <c r="A1241" s="129">
        <v>131.0</v>
      </c>
      <c r="B1241" s="129">
        <v>2018.0</v>
      </c>
      <c r="C1241" s="129">
        <v>-16.0</v>
      </c>
      <c r="D1241" s="129">
        <v>41.6285</v>
      </c>
      <c r="E1241" s="129">
        <v>-83.3471</v>
      </c>
      <c r="F1241" s="128" t="s">
        <v>493</v>
      </c>
      <c r="G1241" s="128" t="s">
        <v>521</v>
      </c>
      <c r="H1241" s="128" t="s">
        <v>233</v>
      </c>
      <c r="I1241" s="128" t="s">
        <v>244</v>
      </c>
      <c r="J1241" s="128"/>
      <c r="K1241" s="129">
        <v>1.0</v>
      </c>
      <c r="L1241" s="129">
        <v>250.0</v>
      </c>
      <c r="M1241" s="128" t="s">
        <v>6009</v>
      </c>
      <c r="N1241" s="129">
        <v>178.0</v>
      </c>
      <c r="O1241" s="128"/>
      <c r="P1241" s="129">
        <v>250.0</v>
      </c>
      <c r="Q1241" s="128" t="s">
        <v>220</v>
      </c>
    </row>
    <row r="1242">
      <c r="A1242" s="129">
        <v>97.0</v>
      </c>
      <c r="B1242" s="129">
        <v>2015.0</v>
      </c>
      <c r="C1242" s="129">
        <v>66.1</v>
      </c>
      <c r="D1242" s="129">
        <v>41.849</v>
      </c>
      <c r="E1242" s="129">
        <v>13.588</v>
      </c>
      <c r="F1242" s="128" t="s">
        <v>424</v>
      </c>
      <c r="G1242" s="128" t="s">
        <v>456</v>
      </c>
      <c r="H1242" s="128" t="s">
        <v>233</v>
      </c>
      <c r="I1242" s="128" t="s">
        <v>234</v>
      </c>
      <c r="J1242" s="129">
        <v>27.0</v>
      </c>
      <c r="K1242" s="129">
        <v>1.0</v>
      </c>
      <c r="L1242" s="129">
        <v>5000.0</v>
      </c>
      <c r="M1242" s="128" t="s">
        <v>457</v>
      </c>
      <c r="N1242" s="129">
        <v>1526.0</v>
      </c>
      <c r="O1242" s="128"/>
      <c r="P1242" s="129">
        <v>5000.0</v>
      </c>
      <c r="Q1242" s="128" t="s">
        <v>220</v>
      </c>
    </row>
    <row r="1243">
      <c r="A1243" s="129">
        <v>112.0</v>
      </c>
      <c r="B1243" s="129">
        <v>2015.0</v>
      </c>
      <c r="C1243" s="129">
        <v>31.5</v>
      </c>
      <c r="D1243" s="129">
        <v>41.849</v>
      </c>
      <c r="E1243" s="129">
        <v>13.588</v>
      </c>
      <c r="F1243" s="128" t="s">
        <v>219</v>
      </c>
      <c r="G1243" s="128" t="s">
        <v>456</v>
      </c>
      <c r="H1243" s="128" t="s">
        <v>233</v>
      </c>
      <c r="I1243" s="128" t="s">
        <v>234</v>
      </c>
      <c r="J1243" s="129">
        <v>27.0</v>
      </c>
      <c r="K1243" s="129">
        <v>1.0</v>
      </c>
      <c r="L1243" s="129">
        <v>1000.0</v>
      </c>
      <c r="M1243" s="128" t="s">
        <v>457</v>
      </c>
      <c r="N1243" s="129">
        <v>1526.0</v>
      </c>
      <c r="O1243" s="128"/>
      <c r="P1243" s="129">
        <v>1000.0</v>
      </c>
      <c r="Q1243" s="128" t="s">
        <v>220</v>
      </c>
    </row>
    <row r="1244">
      <c r="A1244" s="129">
        <v>1124.0</v>
      </c>
      <c r="B1244" s="129">
        <v>2015.0</v>
      </c>
      <c r="C1244" s="129">
        <v>2.2</v>
      </c>
      <c r="D1244" s="129">
        <v>41.86</v>
      </c>
      <c r="E1244" s="129">
        <v>-88.22</v>
      </c>
      <c r="F1244" s="128" t="s">
        <v>219</v>
      </c>
      <c r="G1244" s="128" t="s">
        <v>1946</v>
      </c>
      <c r="H1244" s="128" t="s">
        <v>210</v>
      </c>
      <c r="I1244" s="128" t="s">
        <v>1945</v>
      </c>
      <c r="J1244" s="128"/>
      <c r="K1244" s="129">
        <v>1.0</v>
      </c>
      <c r="L1244" s="128"/>
      <c r="M1244" s="128"/>
      <c r="N1244" s="129">
        <v>229.0</v>
      </c>
      <c r="O1244" s="128"/>
      <c r="P1244" s="129">
        <v>1000.0</v>
      </c>
      <c r="Q1244" s="128" t="s">
        <v>220</v>
      </c>
    </row>
    <row r="1245">
      <c r="A1245" s="129">
        <v>1133.0</v>
      </c>
      <c r="B1245" s="129">
        <v>2015.0</v>
      </c>
      <c r="C1245" s="129">
        <v>15.1</v>
      </c>
      <c r="D1245" s="129">
        <v>41.86</v>
      </c>
      <c r="E1245" s="129">
        <v>-88.22</v>
      </c>
      <c r="F1245" s="128" t="s">
        <v>1950</v>
      </c>
      <c r="G1245" s="128" t="s">
        <v>1946</v>
      </c>
      <c r="H1245" s="128" t="s">
        <v>210</v>
      </c>
      <c r="I1245" s="128" t="s">
        <v>1945</v>
      </c>
      <c r="J1245" s="128"/>
      <c r="K1245" s="129">
        <v>1.0</v>
      </c>
      <c r="L1245" s="128"/>
      <c r="M1245" s="128"/>
      <c r="N1245" s="129">
        <v>229.0</v>
      </c>
      <c r="O1245" s="128"/>
      <c r="P1245" s="129">
        <v>1000.0</v>
      </c>
      <c r="Q1245" s="128" t="s">
        <v>220</v>
      </c>
    </row>
    <row r="1246">
      <c r="A1246" s="129">
        <v>1181.0</v>
      </c>
      <c r="B1246" s="129">
        <v>2013.0</v>
      </c>
      <c r="C1246" s="129">
        <v>-6.53</v>
      </c>
      <c r="D1246" s="129">
        <v>41.93021</v>
      </c>
      <c r="E1246" s="129">
        <v>-93.6649</v>
      </c>
      <c r="F1246" s="128" t="s">
        <v>2037</v>
      </c>
      <c r="G1246" s="128" t="s">
        <v>2070</v>
      </c>
      <c r="H1246" s="128" t="s">
        <v>2031</v>
      </c>
      <c r="I1246" s="128" t="s">
        <v>2032</v>
      </c>
      <c r="J1246" s="129">
        <v>772.0</v>
      </c>
      <c r="K1246" s="129">
        <v>1.0</v>
      </c>
      <c r="L1246" s="129">
        <v>60.0</v>
      </c>
      <c r="M1246" s="128" t="s">
        <v>2071</v>
      </c>
      <c r="N1246" s="129">
        <v>315.0</v>
      </c>
      <c r="O1246" s="129">
        <v>100.0</v>
      </c>
      <c r="P1246" s="129">
        <v>60.0</v>
      </c>
      <c r="Q1246" s="128" t="s">
        <v>220</v>
      </c>
    </row>
    <row r="1247">
      <c r="A1247" s="129">
        <v>1171.0</v>
      </c>
      <c r="B1247" s="129">
        <v>2013.0</v>
      </c>
      <c r="C1247" s="129">
        <v>-4.85</v>
      </c>
      <c r="D1247" s="129">
        <v>41.93075</v>
      </c>
      <c r="E1247" s="129">
        <v>-93.7544</v>
      </c>
      <c r="F1247" s="128" t="s">
        <v>2037</v>
      </c>
      <c r="G1247" s="128" t="s">
        <v>2040</v>
      </c>
      <c r="H1247" s="128" t="s">
        <v>2031</v>
      </c>
      <c r="I1247" s="128" t="s">
        <v>2032</v>
      </c>
      <c r="J1247" s="129">
        <v>840.0</v>
      </c>
      <c r="K1247" s="129">
        <v>1.0</v>
      </c>
      <c r="L1247" s="129">
        <v>60.0</v>
      </c>
      <c r="M1247" s="128" t="s">
        <v>2041</v>
      </c>
      <c r="N1247" s="129">
        <v>312.0</v>
      </c>
      <c r="O1247" s="129">
        <v>100.0</v>
      </c>
      <c r="P1247" s="129">
        <v>60.0</v>
      </c>
      <c r="Q1247" s="128" t="s">
        <v>220</v>
      </c>
    </row>
    <row r="1248">
      <c r="A1248" s="129">
        <v>1180.0</v>
      </c>
      <c r="B1248" s="129">
        <v>2013.0</v>
      </c>
      <c r="C1248" s="129">
        <v>3.36</v>
      </c>
      <c r="D1248" s="129">
        <v>41.93157</v>
      </c>
      <c r="E1248" s="129">
        <v>-93.6686</v>
      </c>
      <c r="F1248" s="128" t="s">
        <v>2037</v>
      </c>
      <c r="G1248" s="128" t="s">
        <v>2067</v>
      </c>
      <c r="H1248" s="128" t="s">
        <v>2031</v>
      </c>
      <c r="I1248" s="128" t="s">
        <v>2032</v>
      </c>
      <c r="J1248" s="129">
        <v>664.0</v>
      </c>
      <c r="K1248" s="129">
        <v>1.0</v>
      </c>
      <c r="L1248" s="129">
        <v>60.0</v>
      </c>
      <c r="M1248" s="128" t="s">
        <v>2068</v>
      </c>
      <c r="N1248" s="129">
        <v>314.0</v>
      </c>
      <c r="O1248" s="129">
        <v>100.0</v>
      </c>
      <c r="P1248" s="129">
        <v>60.0</v>
      </c>
      <c r="Q1248" s="128" t="s">
        <v>220</v>
      </c>
    </row>
    <row r="1249">
      <c r="A1249" s="129">
        <v>1179.0</v>
      </c>
      <c r="B1249" s="129">
        <v>2013.0</v>
      </c>
      <c r="C1249" s="129">
        <v>4.01</v>
      </c>
      <c r="D1249" s="129">
        <v>41.93387</v>
      </c>
      <c r="E1249" s="129">
        <v>-93.6656</v>
      </c>
      <c r="F1249" s="128" t="s">
        <v>2037</v>
      </c>
      <c r="G1249" s="128" t="s">
        <v>2064</v>
      </c>
      <c r="H1249" s="128" t="s">
        <v>2031</v>
      </c>
      <c r="I1249" s="128" t="s">
        <v>2032</v>
      </c>
      <c r="J1249" s="129">
        <v>789.0</v>
      </c>
      <c r="K1249" s="129">
        <v>1.0</v>
      </c>
      <c r="L1249" s="129">
        <v>60.0</v>
      </c>
      <c r="M1249" s="128" t="s">
        <v>2065</v>
      </c>
      <c r="N1249" s="129">
        <v>316.0</v>
      </c>
      <c r="O1249" s="129">
        <v>100.0</v>
      </c>
      <c r="P1249" s="129">
        <v>60.0</v>
      </c>
      <c r="Q1249" s="128" t="s">
        <v>220</v>
      </c>
    </row>
    <row r="1250">
      <c r="A1250" s="129">
        <v>1178.0</v>
      </c>
      <c r="B1250" s="129">
        <v>2013.0</v>
      </c>
      <c r="C1250" s="129">
        <v>-5.39</v>
      </c>
      <c r="D1250" s="129">
        <v>41.93506</v>
      </c>
      <c r="E1250" s="129">
        <v>-93.6682</v>
      </c>
      <c r="F1250" s="128" t="s">
        <v>2037</v>
      </c>
      <c r="G1250" s="128" t="s">
        <v>2061</v>
      </c>
      <c r="H1250" s="128" t="s">
        <v>2031</v>
      </c>
      <c r="I1250" s="128" t="s">
        <v>2032</v>
      </c>
      <c r="J1250" s="129">
        <v>372.0</v>
      </c>
      <c r="K1250" s="129">
        <v>1.0</v>
      </c>
      <c r="L1250" s="129">
        <v>60.0</v>
      </c>
      <c r="M1250" s="128" t="s">
        <v>2062</v>
      </c>
      <c r="N1250" s="129">
        <v>312.0</v>
      </c>
      <c r="O1250" s="129">
        <v>100.0</v>
      </c>
      <c r="P1250" s="129">
        <v>60.0</v>
      </c>
      <c r="Q1250" s="128" t="s">
        <v>220</v>
      </c>
    </row>
    <row r="1251">
      <c r="A1251" s="129">
        <v>1176.0</v>
      </c>
      <c r="B1251" s="129">
        <v>2013.0</v>
      </c>
      <c r="C1251" s="129">
        <v>0.77</v>
      </c>
      <c r="D1251" s="129">
        <v>41.93921</v>
      </c>
      <c r="E1251" s="129">
        <v>-93.5435</v>
      </c>
      <c r="F1251" s="128" t="s">
        <v>2037</v>
      </c>
      <c r="G1251" s="128" t="s">
        <v>2055</v>
      </c>
      <c r="H1251" s="128" t="s">
        <v>2031</v>
      </c>
      <c r="I1251" s="128" t="s">
        <v>2032</v>
      </c>
      <c r="J1251" s="129">
        <v>488.0</v>
      </c>
      <c r="K1251" s="129">
        <v>1.0</v>
      </c>
      <c r="L1251" s="129">
        <v>60.0</v>
      </c>
      <c r="M1251" s="128" t="s">
        <v>2056</v>
      </c>
      <c r="N1251" s="129">
        <v>261.0</v>
      </c>
      <c r="O1251" s="129">
        <v>100.0</v>
      </c>
      <c r="P1251" s="129">
        <v>60.0</v>
      </c>
      <c r="Q1251" s="128" t="s">
        <v>220</v>
      </c>
    </row>
    <row r="1252">
      <c r="A1252" s="129">
        <v>1173.0</v>
      </c>
      <c r="B1252" s="129">
        <v>2013.0</v>
      </c>
      <c r="C1252" s="129">
        <v>1.29</v>
      </c>
      <c r="D1252" s="129">
        <v>41.94293</v>
      </c>
      <c r="E1252" s="129">
        <v>-93.6981</v>
      </c>
      <c r="F1252" s="128" t="s">
        <v>2037</v>
      </c>
      <c r="G1252" s="128" t="s">
        <v>2046</v>
      </c>
      <c r="H1252" s="128" t="s">
        <v>2031</v>
      </c>
      <c r="I1252" s="128" t="s">
        <v>2032</v>
      </c>
      <c r="J1252" s="129">
        <v>827.0</v>
      </c>
      <c r="K1252" s="129">
        <v>1.0</v>
      </c>
      <c r="L1252" s="129">
        <v>60.0</v>
      </c>
      <c r="M1252" s="128" t="s">
        <v>2047</v>
      </c>
      <c r="N1252" s="129">
        <v>319.0</v>
      </c>
      <c r="O1252" s="129">
        <v>100.0</v>
      </c>
      <c r="P1252" s="129">
        <v>60.0</v>
      </c>
      <c r="Q1252" s="128" t="s">
        <v>220</v>
      </c>
    </row>
    <row r="1253">
      <c r="A1253" s="129">
        <v>1172.0</v>
      </c>
      <c r="B1253" s="129">
        <v>2013.0</v>
      </c>
      <c r="C1253" s="129">
        <v>0.3</v>
      </c>
      <c r="D1253" s="129">
        <v>41.95</v>
      </c>
      <c r="E1253" s="129">
        <v>-93.69</v>
      </c>
      <c r="F1253" s="128" t="s">
        <v>2037</v>
      </c>
      <c r="G1253" s="128" t="s">
        <v>2043</v>
      </c>
      <c r="H1253" s="128" t="s">
        <v>2031</v>
      </c>
      <c r="I1253" s="128" t="s">
        <v>2032</v>
      </c>
      <c r="J1253" s="129">
        <v>771.0</v>
      </c>
      <c r="K1253" s="129">
        <v>1.0</v>
      </c>
      <c r="L1253" s="129">
        <v>60.0</v>
      </c>
      <c r="M1253" s="128" t="s">
        <v>2044</v>
      </c>
      <c r="N1253" s="129">
        <v>315.0</v>
      </c>
      <c r="O1253" s="129">
        <v>100.0</v>
      </c>
      <c r="P1253" s="129">
        <v>60.0</v>
      </c>
      <c r="Q1253" s="128" t="s">
        <v>220</v>
      </c>
    </row>
    <row r="1254">
      <c r="A1254" s="129">
        <v>1175.0</v>
      </c>
      <c r="B1254" s="129">
        <v>2013.0</v>
      </c>
      <c r="C1254" s="129">
        <v>-2.88</v>
      </c>
      <c r="D1254" s="129">
        <v>41.97406</v>
      </c>
      <c r="E1254" s="129">
        <v>-93.6464</v>
      </c>
      <c r="F1254" s="128" t="s">
        <v>2037</v>
      </c>
      <c r="G1254" s="128" t="s">
        <v>2052</v>
      </c>
      <c r="H1254" s="128" t="s">
        <v>2031</v>
      </c>
      <c r="I1254" s="128" t="s">
        <v>2032</v>
      </c>
      <c r="J1254" s="129">
        <v>538.0</v>
      </c>
      <c r="K1254" s="129">
        <v>1.0</v>
      </c>
      <c r="L1254" s="129">
        <v>60.0</v>
      </c>
      <c r="M1254" s="128" t="s">
        <v>2053</v>
      </c>
      <c r="N1254" s="129">
        <v>303.0</v>
      </c>
      <c r="O1254" s="129">
        <v>100.0</v>
      </c>
      <c r="P1254" s="129">
        <v>60.0</v>
      </c>
      <c r="Q1254" s="128" t="s">
        <v>220</v>
      </c>
    </row>
    <row r="1255">
      <c r="A1255" s="129">
        <v>1170.0</v>
      </c>
      <c r="B1255" s="129">
        <v>2013.0</v>
      </c>
      <c r="C1255" s="129">
        <v>-4.34</v>
      </c>
      <c r="D1255" s="129">
        <v>41.97866</v>
      </c>
      <c r="E1255" s="129">
        <v>-93.7396</v>
      </c>
      <c r="F1255" s="128" t="s">
        <v>2037</v>
      </c>
      <c r="G1255" s="128" t="s">
        <v>2033</v>
      </c>
      <c r="H1255" s="128" t="s">
        <v>2031</v>
      </c>
      <c r="I1255" s="128" t="s">
        <v>2032</v>
      </c>
      <c r="J1255" s="129">
        <v>835.0</v>
      </c>
      <c r="K1255" s="129">
        <v>1.0</v>
      </c>
      <c r="L1255" s="129">
        <v>60.0</v>
      </c>
      <c r="M1255" s="128" t="s">
        <v>2034</v>
      </c>
      <c r="N1255" s="129">
        <v>323.0</v>
      </c>
      <c r="O1255" s="129">
        <v>100.0</v>
      </c>
      <c r="P1255" s="129">
        <v>60.0</v>
      </c>
      <c r="Q1255" s="128" t="s">
        <v>220</v>
      </c>
    </row>
    <row r="1256">
      <c r="A1256" s="129">
        <v>1174.0</v>
      </c>
      <c r="B1256" s="129">
        <v>2013.0</v>
      </c>
      <c r="C1256" s="129">
        <v>2.06</v>
      </c>
      <c r="D1256" s="129">
        <v>41.9895</v>
      </c>
      <c r="E1256" s="129">
        <v>-93.5397</v>
      </c>
      <c r="F1256" s="128" t="s">
        <v>2037</v>
      </c>
      <c r="G1256" s="128" t="s">
        <v>2049</v>
      </c>
      <c r="H1256" s="128" t="s">
        <v>2031</v>
      </c>
      <c r="I1256" s="128" t="s">
        <v>2032</v>
      </c>
      <c r="J1256" s="129">
        <v>625.0</v>
      </c>
      <c r="K1256" s="129">
        <v>1.0</v>
      </c>
      <c r="L1256" s="129">
        <v>60.0</v>
      </c>
      <c r="M1256" s="128" t="s">
        <v>2050</v>
      </c>
      <c r="N1256" s="129">
        <v>288.0</v>
      </c>
      <c r="O1256" s="129">
        <v>100.0</v>
      </c>
      <c r="P1256" s="129">
        <v>60.0</v>
      </c>
      <c r="Q1256" s="128" t="s">
        <v>220</v>
      </c>
    </row>
    <row r="1257">
      <c r="A1257" s="129">
        <v>1177.0</v>
      </c>
      <c r="B1257" s="129">
        <v>2013.0</v>
      </c>
      <c r="C1257" s="129">
        <v>-4.82</v>
      </c>
      <c r="D1257" s="129">
        <v>41.99</v>
      </c>
      <c r="E1257" s="129">
        <v>-93.54</v>
      </c>
      <c r="F1257" s="128" t="s">
        <v>2037</v>
      </c>
      <c r="G1257" s="128" t="s">
        <v>2058</v>
      </c>
      <c r="H1257" s="128" t="s">
        <v>2031</v>
      </c>
      <c r="I1257" s="128" t="s">
        <v>2032</v>
      </c>
      <c r="J1257" s="129">
        <v>801.0</v>
      </c>
      <c r="K1257" s="129">
        <v>1.0</v>
      </c>
      <c r="L1257" s="129">
        <v>60.0</v>
      </c>
      <c r="M1257" s="128" t="s">
        <v>2059</v>
      </c>
      <c r="N1257" s="129">
        <v>288.0</v>
      </c>
      <c r="O1257" s="129">
        <v>100.0</v>
      </c>
      <c r="P1257" s="129">
        <v>60.0</v>
      </c>
      <c r="Q1257" s="128" t="s">
        <v>220</v>
      </c>
    </row>
    <row r="1258">
      <c r="A1258" s="129">
        <v>350.0</v>
      </c>
      <c r="B1258" s="129">
        <v>2019.0</v>
      </c>
      <c r="C1258" s="129">
        <v>-3.0</v>
      </c>
      <c r="D1258" s="129">
        <v>41.9903</v>
      </c>
      <c r="E1258" s="129">
        <v>101.1335</v>
      </c>
      <c r="F1258" s="128" t="s">
        <v>895</v>
      </c>
      <c r="G1258" s="128" t="s">
        <v>897</v>
      </c>
      <c r="H1258" s="128" t="s">
        <v>891</v>
      </c>
      <c r="I1258" s="128" t="s">
        <v>892</v>
      </c>
      <c r="J1258" s="129">
        <v>10.0</v>
      </c>
      <c r="K1258" s="129">
        <v>1.0</v>
      </c>
      <c r="L1258" s="129">
        <v>30.0</v>
      </c>
      <c r="M1258" s="128" t="s">
        <v>898</v>
      </c>
      <c r="N1258" s="129">
        <v>935.0</v>
      </c>
      <c r="O1258" s="128"/>
      <c r="P1258" s="129">
        <v>30.0</v>
      </c>
      <c r="Q1258" s="128" t="s">
        <v>220</v>
      </c>
    </row>
    <row r="1259">
      <c r="A1259" s="129">
        <v>356.0</v>
      </c>
      <c r="B1259" s="129">
        <v>2019.0</v>
      </c>
      <c r="C1259" s="129">
        <v>-11.0</v>
      </c>
      <c r="D1259" s="129">
        <v>41.9903</v>
      </c>
      <c r="E1259" s="129">
        <v>101.1335</v>
      </c>
      <c r="F1259" s="128" t="s">
        <v>907</v>
      </c>
      <c r="G1259" s="128" t="s">
        <v>897</v>
      </c>
      <c r="H1259" s="128" t="s">
        <v>891</v>
      </c>
      <c r="I1259" s="128" t="s">
        <v>892</v>
      </c>
      <c r="J1259" s="129">
        <v>10.0</v>
      </c>
      <c r="K1259" s="129">
        <v>1.0</v>
      </c>
      <c r="L1259" s="129">
        <v>30.0</v>
      </c>
      <c r="M1259" s="128" t="s">
        <v>898</v>
      </c>
      <c r="N1259" s="129">
        <v>935.0</v>
      </c>
      <c r="O1259" s="128"/>
      <c r="P1259" s="129">
        <v>30.0</v>
      </c>
      <c r="Q1259" s="128" t="s">
        <v>220</v>
      </c>
    </row>
    <row r="1260">
      <c r="A1260" s="129">
        <v>349.0</v>
      </c>
      <c r="B1260" s="129">
        <v>2019.0</v>
      </c>
      <c r="C1260" s="129">
        <v>-12.0</v>
      </c>
      <c r="D1260" s="129">
        <v>41.9932</v>
      </c>
      <c r="E1260" s="129">
        <v>101.1239</v>
      </c>
      <c r="F1260" s="128" t="s">
        <v>895</v>
      </c>
      <c r="G1260" s="128" t="s">
        <v>893</v>
      </c>
      <c r="H1260" s="128" t="s">
        <v>891</v>
      </c>
      <c r="I1260" s="128" t="s">
        <v>892</v>
      </c>
      <c r="J1260" s="129">
        <v>10.0</v>
      </c>
      <c r="K1260" s="129">
        <v>1.0</v>
      </c>
      <c r="L1260" s="129">
        <v>30.0</v>
      </c>
      <c r="M1260" s="128" t="s">
        <v>894</v>
      </c>
      <c r="N1260" s="129">
        <v>935.0</v>
      </c>
      <c r="O1260" s="128"/>
      <c r="P1260" s="129">
        <v>30.0</v>
      </c>
      <c r="Q1260" s="128" t="s">
        <v>220</v>
      </c>
    </row>
    <row r="1261">
      <c r="A1261" s="129">
        <v>355.0</v>
      </c>
      <c r="B1261" s="129">
        <v>2019.0</v>
      </c>
      <c r="C1261" s="129">
        <v>-11.0</v>
      </c>
      <c r="D1261" s="129">
        <v>41.9932</v>
      </c>
      <c r="E1261" s="129">
        <v>101.1239</v>
      </c>
      <c r="F1261" s="128" t="s">
        <v>907</v>
      </c>
      <c r="G1261" s="128" t="s">
        <v>893</v>
      </c>
      <c r="H1261" s="128" t="s">
        <v>891</v>
      </c>
      <c r="I1261" s="128" t="s">
        <v>892</v>
      </c>
      <c r="J1261" s="129">
        <v>10.0</v>
      </c>
      <c r="K1261" s="129">
        <v>1.0</v>
      </c>
      <c r="L1261" s="129">
        <v>30.0</v>
      </c>
      <c r="M1261" s="128" t="s">
        <v>894</v>
      </c>
      <c r="N1261" s="129">
        <v>935.0</v>
      </c>
      <c r="O1261" s="128"/>
      <c r="P1261" s="129">
        <v>30.0</v>
      </c>
      <c r="Q1261" s="128" t="s">
        <v>220</v>
      </c>
    </row>
    <row r="1262">
      <c r="A1262" s="129">
        <v>351.0</v>
      </c>
      <c r="B1262" s="129">
        <v>2019.0</v>
      </c>
      <c r="C1262" s="129">
        <v>22.0</v>
      </c>
      <c r="D1262" s="129">
        <v>41.9993</v>
      </c>
      <c r="E1262" s="129">
        <v>101.1326</v>
      </c>
      <c r="F1262" s="128" t="s">
        <v>895</v>
      </c>
      <c r="G1262" s="128" t="s">
        <v>899</v>
      </c>
      <c r="H1262" s="128" t="s">
        <v>891</v>
      </c>
      <c r="I1262" s="128" t="s">
        <v>892</v>
      </c>
      <c r="J1262" s="129">
        <v>10.0</v>
      </c>
      <c r="K1262" s="129">
        <v>1.0</v>
      </c>
      <c r="L1262" s="129">
        <v>30.0</v>
      </c>
      <c r="M1262" s="128" t="s">
        <v>900</v>
      </c>
      <c r="N1262" s="129">
        <v>932.0</v>
      </c>
      <c r="O1262" s="128"/>
      <c r="P1262" s="129">
        <v>30.0</v>
      </c>
      <c r="Q1262" s="128" t="s">
        <v>220</v>
      </c>
    </row>
    <row r="1263">
      <c r="A1263" s="129">
        <v>357.0</v>
      </c>
      <c r="B1263" s="129">
        <v>2019.0</v>
      </c>
      <c r="C1263" s="129">
        <v>22.0</v>
      </c>
      <c r="D1263" s="129">
        <v>41.9993</v>
      </c>
      <c r="E1263" s="129">
        <v>101.1326</v>
      </c>
      <c r="F1263" s="128" t="s">
        <v>907</v>
      </c>
      <c r="G1263" s="128" t="s">
        <v>899</v>
      </c>
      <c r="H1263" s="128" t="s">
        <v>891</v>
      </c>
      <c r="I1263" s="128" t="s">
        <v>892</v>
      </c>
      <c r="J1263" s="129">
        <v>10.0</v>
      </c>
      <c r="K1263" s="129">
        <v>1.0</v>
      </c>
      <c r="L1263" s="129">
        <v>30.0</v>
      </c>
      <c r="M1263" s="128" t="s">
        <v>900</v>
      </c>
      <c r="N1263" s="129">
        <v>932.0</v>
      </c>
      <c r="O1263" s="128"/>
      <c r="P1263" s="129">
        <v>30.0</v>
      </c>
      <c r="Q1263" s="128" t="s">
        <v>220</v>
      </c>
    </row>
    <row r="1264">
      <c r="A1264" s="129">
        <v>354.0</v>
      </c>
      <c r="B1264" s="129">
        <v>2019.0</v>
      </c>
      <c r="C1264" s="129">
        <v>-11.0</v>
      </c>
      <c r="D1264" s="129">
        <v>42.0012</v>
      </c>
      <c r="E1264" s="129">
        <v>101.1374</v>
      </c>
      <c r="F1264" s="128" t="s">
        <v>907</v>
      </c>
      <c r="G1264" s="128" t="s">
        <v>905</v>
      </c>
      <c r="H1264" s="128" t="s">
        <v>891</v>
      </c>
      <c r="I1264" s="128" t="s">
        <v>892</v>
      </c>
      <c r="J1264" s="129">
        <v>10.0</v>
      </c>
      <c r="K1264" s="129">
        <v>1.0</v>
      </c>
      <c r="L1264" s="129">
        <v>30.0</v>
      </c>
      <c r="M1264" s="128" t="s">
        <v>905</v>
      </c>
      <c r="N1264" s="129">
        <v>932.0</v>
      </c>
      <c r="O1264" s="128"/>
      <c r="P1264" s="129">
        <v>30.0</v>
      </c>
      <c r="Q1264" s="128" t="s">
        <v>220</v>
      </c>
    </row>
    <row r="1265">
      <c r="A1265" s="129">
        <v>1244.0</v>
      </c>
      <c r="B1265" s="129">
        <v>2020.0</v>
      </c>
      <c r="C1265" s="129">
        <v>-3.96</v>
      </c>
      <c r="D1265" s="129">
        <v>42.0012</v>
      </c>
      <c r="E1265" s="129">
        <v>101.1374</v>
      </c>
      <c r="F1265" s="128" t="s">
        <v>2222</v>
      </c>
      <c r="G1265" s="128" t="s">
        <v>905</v>
      </c>
      <c r="H1265" s="128" t="s">
        <v>2219</v>
      </c>
      <c r="I1265" s="128" t="s">
        <v>2220</v>
      </c>
      <c r="J1265" s="128"/>
      <c r="K1265" s="129">
        <v>1.0</v>
      </c>
      <c r="L1265" s="129">
        <v>1000.0</v>
      </c>
      <c r="M1265" s="128" t="s">
        <v>905</v>
      </c>
      <c r="N1265" s="129">
        <v>932.0</v>
      </c>
      <c r="O1265" s="128"/>
      <c r="P1265" s="129">
        <v>1000.0</v>
      </c>
      <c r="Q1265" s="128" t="s">
        <v>220</v>
      </c>
    </row>
    <row r="1266">
      <c r="A1266" s="129">
        <v>352.0</v>
      </c>
      <c r="B1266" s="129">
        <v>2019.0</v>
      </c>
      <c r="C1266" s="129">
        <v>-14.0</v>
      </c>
      <c r="D1266" s="129">
        <v>42.0048</v>
      </c>
      <c r="E1266" s="129">
        <v>101.1338</v>
      </c>
      <c r="F1266" s="128" t="s">
        <v>895</v>
      </c>
      <c r="G1266" s="128" t="s">
        <v>901</v>
      </c>
      <c r="H1266" s="128" t="s">
        <v>891</v>
      </c>
      <c r="I1266" s="128" t="s">
        <v>892</v>
      </c>
      <c r="J1266" s="129">
        <v>10.0</v>
      </c>
      <c r="K1266" s="129">
        <v>1.0</v>
      </c>
      <c r="L1266" s="129">
        <v>30.0</v>
      </c>
      <c r="M1266" s="128" t="s">
        <v>902</v>
      </c>
      <c r="N1266" s="129">
        <v>928.0</v>
      </c>
      <c r="O1266" s="128"/>
      <c r="P1266" s="129">
        <v>30.0</v>
      </c>
      <c r="Q1266" s="128" t="s">
        <v>220</v>
      </c>
    </row>
    <row r="1267">
      <c r="A1267" s="129">
        <v>358.0</v>
      </c>
      <c r="B1267" s="129">
        <v>2019.0</v>
      </c>
      <c r="C1267" s="129">
        <v>-12.0</v>
      </c>
      <c r="D1267" s="129">
        <v>42.0048</v>
      </c>
      <c r="E1267" s="129">
        <v>101.1338</v>
      </c>
      <c r="F1267" s="128" t="s">
        <v>907</v>
      </c>
      <c r="G1267" s="128" t="s">
        <v>901</v>
      </c>
      <c r="H1267" s="128" t="s">
        <v>891</v>
      </c>
      <c r="I1267" s="128" t="s">
        <v>892</v>
      </c>
      <c r="J1267" s="129">
        <v>10.0</v>
      </c>
      <c r="K1267" s="129">
        <v>1.0</v>
      </c>
      <c r="L1267" s="129">
        <v>30.0</v>
      </c>
      <c r="M1267" s="128" t="s">
        <v>902</v>
      </c>
      <c r="N1267" s="129">
        <v>928.0</v>
      </c>
      <c r="O1267" s="128"/>
      <c r="P1267" s="129">
        <v>30.0</v>
      </c>
      <c r="Q1267" s="128" t="s">
        <v>220</v>
      </c>
    </row>
    <row r="1268">
      <c r="A1268" s="129">
        <v>640.0</v>
      </c>
      <c r="B1268" s="129">
        <v>2014.0</v>
      </c>
      <c r="C1268" s="129">
        <v>-11.0</v>
      </c>
      <c r="D1268" s="129">
        <v>42.04</v>
      </c>
      <c r="E1268" s="129">
        <v>116.29</v>
      </c>
      <c r="F1268" s="128" t="s">
        <v>1190</v>
      </c>
      <c r="G1268" s="128" t="s">
        <v>1270</v>
      </c>
      <c r="H1268" s="128" t="s">
        <v>536</v>
      </c>
      <c r="I1268" s="128" t="s">
        <v>507</v>
      </c>
      <c r="J1268" s="128"/>
      <c r="K1268" s="129">
        <v>1.0</v>
      </c>
      <c r="L1268" s="129">
        <v>10000.0</v>
      </c>
      <c r="M1268" s="128" t="s">
        <v>1271</v>
      </c>
      <c r="N1268" s="129">
        <v>1327.0</v>
      </c>
      <c r="O1268" s="128"/>
      <c r="P1268" s="129">
        <v>10000.0</v>
      </c>
      <c r="Q1268" s="128" t="s">
        <v>220</v>
      </c>
    </row>
    <row r="1269">
      <c r="A1269" s="129">
        <v>615.0</v>
      </c>
      <c r="B1269" s="129">
        <v>2014.0</v>
      </c>
      <c r="C1269" s="129">
        <v>-6.0</v>
      </c>
      <c r="D1269" s="129">
        <v>42.05</v>
      </c>
      <c r="E1269" s="129">
        <v>116.67</v>
      </c>
      <c r="F1269" s="128" t="s">
        <v>1190</v>
      </c>
      <c r="G1269" s="128" t="s">
        <v>1186</v>
      </c>
      <c r="H1269" s="128" t="s">
        <v>317</v>
      </c>
      <c r="I1269" s="128" t="s">
        <v>285</v>
      </c>
      <c r="J1269" s="128"/>
      <c r="K1269" s="129">
        <v>1.0</v>
      </c>
      <c r="L1269" s="129">
        <v>10000.0</v>
      </c>
      <c r="M1269" s="128" t="s">
        <v>1187</v>
      </c>
      <c r="N1269" s="129">
        <v>1335.0</v>
      </c>
      <c r="O1269" s="128"/>
      <c r="P1269" s="129">
        <v>10000.0</v>
      </c>
      <c r="Q1269" s="128" t="s">
        <v>220</v>
      </c>
    </row>
    <row r="1270">
      <c r="A1270" s="129">
        <v>641.0</v>
      </c>
      <c r="B1270" s="129">
        <v>2014.0</v>
      </c>
      <c r="C1270" s="129">
        <v>-24.0</v>
      </c>
      <c r="D1270" s="129">
        <v>42.05</v>
      </c>
      <c r="E1270" s="129">
        <v>116.28</v>
      </c>
      <c r="F1270" s="128" t="s">
        <v>1190</v>
      </c>
      <c r="G1270" s="128" t="s">
        <v>1274</v>
      </c>
      <c r="H1270" s="128" t="s">
        <v>536</v>
      </c>
      <c r="I1270" s="128" t="s">
        <v>507</v>
      </c>
      <c r="J1270" s="128"/>
      <c r="K1270" s="129">
        <v>1.0</v>
      </c>
      <c r="L1270" s="129">
        <v>10000.0</v>
      </c>
      <c r="M1270" s="128" t="s">
        <v>1275</v>
      </c>
      <c r="N1270" s="129">
        <v>1316.0</v>
      </c>
      <c r="O1270" s="128"/>
      <c r="P1270" s="129">
        <v>10000.0</v>
      </c>
      <c r="Q1270" s="128" t="s">
        <v>220</v>
      </c>
    </row>
    <row r="1271">
      <c r="A1271" s="129">
        <v>1125.0</v>
      </c>
      <c r="B1271" s="129">
        <v>2015.0</v>
      </c>
      <c r="C1271" s="129">
        <v>-34.0</v>
      </c>
      <c r="D1271" s="129">
        <v>42.07</v>
      </c>
      <c r="E1271" s="129">
        <v>-101.41</v>
      </c>
      <c r="F1271" s="128" t="s">
        <v>219</v>
      </c>
      <c r="G1271" s="128" t="s">
        <v>1947</v>
      </c>
      <c r="H1271" s="128" t="s">
        <v>295</v>
      </c>
      <c r="I1271" s="128" t="s">
        <v>676</v>
      </c>
      <c r="J1271" s="128"/>
      <c r="K1271" s="129">
        <v>1.0</v>
      </c>
      <c r="L1271" s="128"/>
      <c r="M1271" s="128"/>
      <c r="N1271" s="129">
        <v>1068.0</v>
      </c>
      <c r="O1271" s="128"/>
      <c r="P1271" s="129">
        <v>1000.0</v>
      </c>
      <c r="Q1271" s="128" t="s">
        <v>220</v>
      </c>
    </row>
    <row r="1272">
      <c r="A1272" s="129">
        <v>1134.0</v>
      </c>
      <c r="B1272" s="129">
        <v>2015.0</v>
      </c>
      <c r="C1272" s="129">
        <v>-41.5</v>
      </c>
      <c r="D1272" s="129">
        <v>42.07</v>
      </c>
      <c r="E1272" s="129">
        <v>-101.41</v>
      </c>
      <c r="F1272" s="128" t="s">
        <v>1950</v>
      </c>
      <c r="G1272" s="128" t="s">
        <v>1947</v>
      </c>
      <c r="H1272" s="128" t="s">
        <v>295</v>
      </c>
      <c r="I1272" s="128" t="s">
        <v>676</v>
      </c>
      <c r="J1272" s="128"/>
      <c r="K1272" s="129">
        <v>1.0</v>
      </c>
      <c r="L1272" s="128"/>
      <c r="M1272" s="128"/>
      <c r="N1272" s="129">
        <v>1068.0</v>
      </c>
      <c r="O1272" s="128"/>
      <c r="P1272" s="129">
        <v>1000.0</v>
      </c>
      <c r="Q1272" s="128" t="s">
        <v>220</v>
      </c>
    </row>
    <row r="1273">
      <c r="A1273" s="129">
        <v>129.0</v>
      </c>
      <c r="B1273" s="129">
        <v>2018.0</v>
      </c>
      <c r="C1273" s="129">
        <v>21.0</v>
      </c>
      <c r="D1273" s="129">
        <v>42.3772</v>
      </c>
      <c r="E1273" s="129">
        <v>12.026</v>
      </c>
      <c r="F1273" s="128" t="s">
        <v>493</v>
      </c>
      <c r="G1273" s="128" t="s">
        <v>517</v>
      </c>
      <c r="H1273" s="128" t="s">
        <v>233</v>
      </c>
      <c r="I1273" s="128" t="s">
        <v>244</v>
      </c>
      <c r="J1273" s="128"/>
      <c r="K1273" s="129">
        <v>1.0</v>
      </c>
      <c r="L1273" s="129">
        <v>250.0</v>
      </c>
      <c r="M1273" s="128" t="s">
        <v>518</v>
      </c>
      <c r="N1273" s="129">
        <v>203.0</v>
      </c>
      <c r="O1273" s="128"/>
      <c r="P1273" s="129">
        <v>250.0</v>
      </c>
      <c r="Q1273" s="128" t="s">
        <v>220</v>
      </c>
    </row>
    <row r="1274">
      <c r="A1274" s="129">
        <v>98.0</v>
      </c>
      <c r="B1274" s="129">
        <v>2015.0</v>
      </c>
      <c r="C1274" s="129">
        <v>67.7</v>
      </c>
      <c r="D1274" s="129">
        <v>42.39</v>
      </c>
      <c r="E1274" s="129">
        <v>11.921</v>
      </c>
      <c r="F1274" s="128" t="s">
        <v>424</v>
      </c>
      <c r="G1274" s="128" t="s">
        <v>460</v>
      </c>
      <c r="H1274" s="128" t="s">
        <v>233</v>
      </c>
      <c r="I1274" s="128" t="s">
        <v>234</v>
      </c>
      <c r="J1274" s="129">
        <v>31.0</v>
      </c>
      <c r="K1274" s="129">
        <v>1.0</v>
      </c>
      <c r="L1274" s="129">
        <v>5000.0</v>
      </c>
      <c r="M1274" s="128" t="s">
        <v>461</v>
      </c>
      <c r="N1274" s="129">
        <v>160.0</v>
      </c>
      <c r="O1274" s="128"/>
      <c r="P1274" s="129">
        <v>5000.0</v>
      </c>
      <c r="Q1274" s="128" t="s">
        <v>220</v>
      </c>
    </row>
    <row r="1275">
      <c r="A1275" s="129">
        <v>113.0</v>
      </c>
      <c r="B1275" s="129">
        <v>2015.0</v>
      </c>
      <c r="C1275" s="129">
        <v>6.7</v>
      </c>
      <c r="D1275" s="129">
        <v>42.39</v>
      </c>
      <c r="E1275" s="129">
        <v>11.921</v>
      </c>
      <c r="F1275" s="128" t="s">
        <v>219</v>
      </c>
      <c r="G1275" s="128" t="s">
        <v>460</v>
      </c>
      <c r="H1275" s="128" t="s">
        <v>233</v>
      </c>
      <c r="I1275" s="128" t="s">
        <v>234</v>
      </c>
      <c r="J1275" s="129">
        <v>31.0</v>
      </c>
      <c r="K1275" s="129">
        <v>1.0</v>
      </c>
      <c r="L1275" s="129">
        <v>1000.0</v>
      </c>
      <c r="M1275" s="128" t="s">
        <v>461</v>
      </c>
      <c r="N1275" s="129">
        <v>160.0</v>
      </c>
      <c r="O1275" s="128"/>
      <c r="P1275" s="129">
        <v>1000.0</v>
      </c>
      <c r="Q1275" s="128" t="s">
        <v>220</v>
      </c>
    </row>
    <row r="1276">
      <c r="A1276" s="129">
        <v>624.0</v>
      </c>
      <c r="B1276" s="129">
        <v>2014.0</v>
      </c>
      <c r="C1276" s="129">
        <v>-15.0</v>
      </c>
      <c r="D1276" s="129">
        <v>42.4</v>
      </c>
      <c r="E1276" s="129">
        <v>127.09</v>
      </c>
      <c r="F1276" s="128" t="s">
        <v>1190</v>
      </c>
      <c r="G1276" s="128" t="s">
        <v>581</v>
      </c>
      <c r="H1276" s="128" t="s">
        <v>193</v>
      </c>
      <c r="I1276" s="128" t="s">
        <v>676</v>
      </c>
      <c r="J1276" s="128"/>
      <c r="K1276" s="129">
        <v>1.0</v>
      </c>
      <c r="L1276" s="129">
        <v>10000.0</v>
      </c>
      <c r="M1276" s="128" t="s">
        <v>860</v>
      </c>
      <c r="N1276" s="129">
        <v>521.0</v>
      </c>
      <c r="O1276" s="128"/>
      <c r="P1276" s="129">
        <v>10000.0</v>
      </c>
      <c r="Q1276" s="128" t="s">
        <v>220</v>
      </c>
    </row>
    <row r="1277">
      <c r="A1277" s="129">
        <v>1371.0</v>
      </c>
      <c r="B1277" s="129">
        <v>2017.0</v>
      </c>
      <c r="C1277" s="129">
        <v>-68.0</v>
      </c>
      <c r="D1277" s="129">
        <v>42.54</v>
      </c>
      <c r="E1277" s="129">
        <v>-72.19</v>
      </c>
      <c r="F1277" s="128" t="s">
        <v>219</v>
      </c>
      <c r="G1277" s="128" t="s">
        <v>1331</v>
      </c>
      <c r="H1277" s="128"/>
      <c r="I1277" s="128"/>
      <c r="J1277" s="128"/>
      <c r="K1277" s="129">
        <v>1.0</v>
      </c>
      <c r="L1277" s="128"/>
      <c r="M1277" s="128" t="s">
        <v>2408</v>
      </c>
      <c r="N1277" s="129">
        <v>365.0</v>
      </c>
      <c r="O1277" s="128"/>
      <c r="P1277" s="128"/>
      <c r="Q1277" s="128" t="s">
        <v>220</v>
      </c>
    </row>
    <row r="1278">
      <c r="A1278" s="129">
        <v>681.0</v>
      </c>
      <c r="B1278" s="129">
        <v>2013.0</v>
      </c>
      <c r="C1278" s="129">
        <v>61.5</v>
      </c>
      <c r="D1278" s="129">
        <v>42.54</v>
      </c>
      <c r="E1278" s="129">
        <v>-72.19</v>
      </c>
      <c r="F1278" s="128" t="s">
        <v>220</v>
      </c>
      <c r="G1278" s="128" t="s">
        <v>1331</v>
      </c>
      <c r="H1278" s="128" t="s">
        <v>284</v>
      </c>
      <c r="I1278" s="128" t="s">
        <v>194</v>
      </c>
      <c r="J1278" s="128"/>
      <c r="K1278" s="129">
        <v>1.0</v>
      </c>
      <c r="L1278" s="129">
        <v>3000.0</v>
      </c>
      <c r="M1278" s="128"/>
      <c r="N1278" s="129">
        <v>365.0</v>
      </c>
      <c r="O1278" s="128"/>
      <c r="P1278" s="129">
        <v>1000.0</v>
      </c>
      <c r="Q1278" s="128" t="s">
        <v>220</v>
      </c>
    </row>
    <row r="1279">
      <c r="A1279" s="129">
        <v>86.0</v>
      </c>
      <c r="B1279" s="129">
        <v>2014.0</v>
      </c>
      <c r="C1279" s="129">
        <v>23.0</v>
      </c>
      <c r="D1279" s="129">
        <v>42.661</v>
      </c>
      <c r="E1279" s="129">
        <v>-80.559</v>
      </c>
      <c r="F1279" s="128" t="s">
        <v>294</v>
      </c>
      <c r="G1279" s="128" t="s">
        <v>405</v>
      </c>
      <c r="H1279" s="128" t="s">
        <v>295</v>
      </c>
      <c r="I1279" s="128" t="s">
        <v>194</v>
      </c>
      <c r="J1279" s="129">
        <v>92.0</v>
      </c>
      <c r="K1279" s="129">
        <v>1.0</v>
      </c>
      <c r="L1279" s="129">
        <v>1000.0</v>
      </c>
      <c r="M1279" s="128" t="s">
        <v>406</v>
      </c>
      <c r="N1279" s="129">
        <v>205.0</v>
      </c>
      <c r="O1279" s="128"/>
      <c r="P1279" s="129">
        <v>1000.0</v>
      </c>
      <c r="Q1279" s="128" t="s">
        <v>220</v>
      </c>
    </row>
    <row r="1280">
      <c r="A1280" s="129">
        <v>1198.0</v>
      </c>
      <c r="B1280" s="129">
        <v>2015.0</v>
      </c>
      <c r="C1280" s="129">
        <v>15.8</v>
      </c>
      <c r="D1280" s="129">
        <v>42.71</v>
      </c>
      <c r="E1280" s="129">
        <v>-80.36</v>
      </c>
      <c r="F1280" s="128" t="s">
        <v>2106</v>
      </c>
      <c r="G1280" s="128" t="s">
        <v>2122</v>
      </c>
      <c r="H1280" s="128" t="s">
        <v>193</v>
      </c>
      <c r="I1280" s="128" t="s">
        <v>285</v>
      </c>
      <c r="J1280" s="128"/>
      <c r="K1280" s="129">
        <v>1.0</v>
      </c>
      <c r="L1280" s="129">
        <v>1000.0</v>
      </c>
      <c r="M1280" s="128" t="s">
        <v>2123</v>
      </c>
      <c r="N1280" s="129">
        <v>233.0</v>
      </c>
      <c r="O1280" s="128"/>
      <c r="P1280" s="129">
        <v>1000.0</v>
      </c>
      <c r="Q1280" s="128" t="s">
        <v>220</v>
      </c>
    </row>
    <row r="1281">
      <c r="A1281" s="129">
        <v>629.0</v>
      </c>
      <c r="B1281" s="129">
        <v>2014.0</v>
      </c>
      <c r="C1281" s="129">
        <v>-5.0</v>
      </c>
      <c r="D1281" s="129">
        <v>42.74</v>
      </c>
      <c r="E1281" s="129">
        <v>141.52</v>
      </c>
      <c r="F1281" s="128" t="s">
        <v>1190</v>
      </c>
      <c r="G1281" s="128" t="s">
        <v>1230</v>
      </c>
      <c r="H1281" s="128" t="s">
        <v>328</v>
      </c>
      <c r="I1281" s="128" t="s">
        <v>968</v>
      </c>
      <c r="J1281" s="128"/>
      <c r="K1281" s="129">
        <v>1.0</v>
      </c>
      <c r="L1281" s="129">
        <v>10000.0</v>
      </c>
      <c r="M1281" s="128" t="s">
        <v>1231</v>
      </c>
      <c r="N1281" s="129">
        <v>126.0</v>
      </c>
      <c r="O1281" s="128"/>
      <c r="P1281" s="129">
        <v>10000.0</v>
      </c>
      <c r="Q1281" s="128" t="s">
        <v>220</v>
      </c>
    </row>
    <row r="1282">
      <c r="A1282" s="129">
        <v>1590.0</v>
      </c>
      <c r="B1282" s="129">
        <v>2019.0</v>
      </c>
      <c r="C1282" s="129">
        <v>33.0</v>
      </c>
      <c r="D1282" s="129">
        <v>43.25</v>
      </c>
      <c r="E1282" s="129">
        <v>-90.65</v>
      </c>
      <c r="F1282" s="128"/>
      <c r="G1282" s="128" t="s">
        <v>2607</v>
      </c>
      <c r="H1282" s="128" t="s">
        <v>2605</v>
      </c>
      <c r="I1282" s="128" t="s">
        <v>2606</v>
      </c>
      <c r="J1282" s="129">
        <v>50.0</v>
      </c>
      <c r="K1282" s="129">
        <v>5.0</v>
      </c>
      <c r="L1282" s="129">
        <v>500.0</v>
      </c>
      <c r="M1282" s="128"/>
      <c r="N1282" s="129">
        <v>323.0</v>
      </c>
      <c r="O1282" s="128"/>
      <c r="P1282" s="129">
        <v>500.0</v>
      </c>
      <c r="Q1282" s="128" t="s">
        <v>220</v>
      </c>
    </row>
    <row r="1283">
      <c r="A1283" s="129">
        <v>102.0</v>
      </c>
      <c r="B1283" s="129">
        <v>2015.0</v>
      </c>
      <c r="C1283" s="129">
        <v>16.3</v>
      </c>
      <c r="D1283" s="129">
        <v>43.728</v>
      </c>
      <c r="E1283" s="129">
        <v>10.284</v>
      </c>
      <c r="F1283" s="128" t="s">
        <v>424</v>
      </c>
      <c r="G1283" s="128" t="s">
        <v>476</v>
      </c>
      <c r="H1283" s="128" t="s">
        <v>233</v>
      </c>
      <c r="I1283" s="128" t="s">
        <v>234</v>
      </c>
      <c r="J1283" s="129">
        <v>34.0</v>
      </c>
      <c r="K1283" s="129">
        <v>1.0</v>
      </c>
      <c r="L1283" s="129">
        <v>5000.0</v>
      </c>
      <c r="M1283" s="128" t="s">
        <v>477</v>
      </c>
      <c r="N1283" s="129">
        <v>12.0</v>
      </c>
      <c r="O1283" s="128"/>
      <c r="P1283" s="129">
        <v>5000.0</v>
      </c>
      <c r="Q1283" s="128" t="s">
        <v>220</v>
      </c>
    </row>
    <row r="1284">
      <c r="A1284" s="129">
        <v>117.0</v>
      </c>
      <c r="B1284" s="129">
        <v>2015.0</v>
      </c>
      <c r="C1284" s="129">
        <v>-62.4</v>
      </c>
      <c r="D1284" s="129">
        <v>43.728</v>
      </c>
      <c r="E1284" s="129">
        <v>10.284</v>
      </c>
      <c r="F1284" s="128" t="s">
        <v>219</v>
      </c>
      <c r="G1284" s="128" t="s">
        <v>476</v>
      </c>
      <c r="H1284" s="128" t="s">
        <v>233</v>
      </c>
      <c r="I1284" s="128" t="s">
        <v>234</v>
      </c>
      <c r="J1284" s="129">
        <v>34.0</v>
      </c>
      <c r="K1284" s="129">
        <v>1.0</v>
      </c>
      <c r="L1284" s="129">
        <v>1000.0</v>
      </c>
      <c r="M1284" s="128" t="s">
        <v>477</v>
      </c>
      <c r="N1284" s="129">
        <v>12.0</v>
      </c>
      <c r="O1284" s="128"/>
      <c r="P1284" s="129">
        <v>1000.0</v>
      </c>
      <c r="Q1284" s="128" t="s">
        <v>220</v>
      </c>
    </row>
    <row r="1285">
      <c r="A1285" s="129">
        <v>99.0</v>
      </c>
      <c r="B1285" s="129">
        <v>2015.0</v>
      </c>
      <c r="C1285" s="129">
        <v>20.4</v>
      </c>
      <c r="D1285" s="129">
        <v>43.741</v>
      </c>
      <c r="E1285" s="129">
        <v>3.596</v>
      </c>
      <c r="F1285" s="128" t="s">
        <v>424</v>
      </c>
      <c r="G1285" s="128" t="s">
        <v>464</v>
      </c>
      <c r="H1285" s="128" t="s">
        <v>233</v>
      </c>
      <c r="I1285" s="128" t="s">
        <v>234</v>
      </c>
      <c r="J1285" s="129">
        <v>31.0</v>
      </c>
      <c r="K1285" s="129">
        <v>1.0</v>
      </c>
      <c r="L1285" s="129">
        <v>5000.0</v>
      </c>
      <c r="M1285" s="128" t="s">
        <v>465</v>
      </c>
      <c r="N1285" s="129">
        <v>270.0</v>
      </c>
      <c r="O1285" s="128"/>
      <c r="P1285" s="129">
        <v>5000.0</v>
      </c>
      <c r="Q1285" s="128" t="s">
        <v>220</v>
      </c>
    </row>
    <row r="1286">
      <c r="A1286" s="129">
        <v>114.0</v>
      </c>
      <c r="B1286" s="129">
        <v>2015.0</v>
      </c>
      <c r="C1286" s="129">
        <v>54.8</v>
      </c>
      <c r="D1286" s="129">
        <v>43.741</v>
      </c>
      <c r="E1286" s="129">
        <v>3.596</v>
      </c>
      <c r="F1286" s="128" t="s">
        <v>219</v>
      </c>
      <c r="G1286" s="128" t="s">
        <v>464</v>
      </c>
      <c r="H1286" s="128" t="s">
        <v>233</v>
      </c>
      <c r="I1286" s="128" t="s">
        <v>234</v>
      </c>
      <c r="J1286" s="129">
        <v>31.0</v>
      </c>
      <c r="K1286" s="129">
        <v>1.0</v>
      </c>
      <c r="L1286" s="129">
        <v>1000.0</v>
      </c>
      <c r="M1286" s="128" t="s">
        <v>465</v>
      </c>
      <c r="N1286" s="129">
        <v>270.0</v>
      </c>
      <c r="O1286" s="128"/>
      <c r="P1286" s="129">
        <v>1000.0</v>
      </c>
      <c r="Q1286" s="128" t="s">
        <v>220</v>
      </c>
    </row>
    <row r="1287">
      <c r="A1287" s="129">
        <v>671.0</v>
      </c>
      <c r="B1287" s="129">
        <v>2013.0</v>
      </c>
      <c r="C1287" s="129">
        <v>78.5</v>
      </c>
      <c r="D1287" s="129">
        <v>44.07</v>
      </c>
      <c r="E1287" s="129">
        <v>-71.29</v>
      </c>
      <c r="F1287" s="128" t="s">
        <v>220</v>
      </c>
      <c r="G1287" s="128" t="s">
        <v>1311</v>
      </c>
      <c r="H1287" s="128" t="s">
        <v>295</v>
      </c>
      <c r="I1287" s="128" t="s">
        <v>285</v>
      </c>
      <c r="J1287" s="128"/>
      <c r="K1287" s="129">
        <v>1.0</v>
      </c>
      <c r="L1287" s="129">
        <v>3000.0</v>
      </c>
      <c r="M1287" s="128"/>
      <c r="N1287" s="129">
        <v>247.0</v>
      </c>
      <c r="O1287" s="128"/>
      <c r="P1287" s="129">
        <v>1000.0</v>
      </c>
      <c r="Q1287" s="128" t="s">
        <v>220</v>
      </c>
    </row>
    <row r="1288">
      <c r="A1288" s="129">
        <v>639.0</v>
      </c>
      <c r="B1288" s="129">
        <v>2014.0</v>
      </c>
      <c r="C1288" s="129">
        <v>15.0</v>
      </c>
      <c r="D1288" s="129">
        <v>44.09</v>
      </c>
      <c r="E1288" s="129">
        <v>113.57</v>
      </c>
      <c r="F1288" s="128" t="s">
        <v>1190</v>
      </c>
      <c r="G1288" s="128" t="s">
        <v>1267</v>
      </c>
      <c r="H1288" s="128" t="s">
        <v>506</v>
      </c>
      <c r="I1288" s="128" t="s">
        <v>351</v>
      </c>
      <c r="J1288" s="128"/>
      <c r="K1288" s="129">
        <v>1.0</v>
      </c>
      <c r="L1288" s="129">
        <v>10000.0</v>
      </c>
      <c r="M1288" s="128" t="s">
        <v>1267</v>
      </c>
      <c r="N1288" s="129">
        <v>973.0</v>
      </c>
      <c r="O1288" s="128"/>
      <c r="P1288" s="129">
        <v>10000.0</v>
      </c>
      <c r="Q1288" s="128" t="s">
        <v>220</v>
      </c>
    </row>
    <row r="1289">
      <c r="A1289" s="129">
        <v>1121.0</v>
      </c>
      <c r="B1289" s="129">
        <v>2015.0</v>
      </c>
      <c r="C1289" s="129">
        <v>-36.3</v>
      </c>
      <c r="D1289" s="129">
        <v>44.35</v>
      </c>
      <c r="E1289" s="129">
        <v>-96.84</v>
      </c>
      <c r="F1289" s="128" t="s">
        <v>219</v>
      </c>
      <c r="G1289" s="128" t="s">
        <v>1939</v>
      </c>
      <c r="H1289" s="128" t="s">
        <v>1938</v>
      </c>
      <c r="I1289" s="128" t="s">
        <v>342</v>
      </c>
      <c r="J1289" s="128"/>
      <c r="K1289" s="129">
        <v>1.0</v>
      </c>
      <c r="L1289" s="128"/>
      <c r="M1289" s="128"/>
      <c r="N1289" s="129">
        <v>506.0</v>
      </c>
      <c r="O1289" s="128"/>
      <c r="P1289" s="129">
        <v>1000.0</v>
      </c>
      <c r="Q1289" s="128" t="s">
        <v>220</v>
      </c>
    </row>
    <row r="1290">
      <c r="A1290" s="129">
        <v>1130.0</v>
      </c>
      <c r="B1290" s="129">
        <v>2015.0</v>
      </c>
      <c r="C1290" s="129">
        <v>-15.8</v>
      </c>
      <c r="D1290" s="129">
        <v>44.35</v>
      </c>
      <c r="E1290" s="129">
        <v>-96.84</v>
      </c>
      <c r="F1290" s="128" t="s">
        <v>1950</v>
      </c>
      <c r="G1290" s="128" t="s">
        <v>1939</v>
      </c>
      <c r="H1290" s="128" t="s">
        <v>1938</v>
      </c>
      <c r="I1290" s="128" t="s">
        <v>342</v>
      </c>
      <c r="J1290" s="128"/>
      <c r="K1290" s="129">
        <v>1.0</v>
      </c>
      <c r="L1290" s="128"/>
      <c r="M1290" s="128"/>
      <c r="N1290" s="129">
        <v>506.0</v>
      </c>
      <c r="O1290" s="128"/>
      <c r="P1290" s="129">
        <v>1000.0</v>
      </c>
      <c r="Q1290" s="128" t="s">
        <v>220</v>
      </c>
    </row>
    <row r="1291">
      <c r="A1291" s="129">
        <v>630.0</v>
      </c>
      <c r="B1291" s="129">
        <v>2014.0</v>
      </c>
      <c r="C1291" s="129">
        <v>16.0</v>
      </c>
      <c r="D1291" s="129">
        <v>44.38</v>
      </c>
      <c r="E1291" s="129">
        <v>142.32</v>
      </c>
      <c r="F1291" s="128" t="s">
        <v>1190</v>
      </c>
      <c r="G1291" s="128" t="s">
        <v>1234</v>
      </c>
      <c r="H1291" s="128" t="s">
        <v>295</v>
      </c>
      <c r="I1291" s="128" t="s">
        <v>285</v>
      </c>
      <c r="J1291" s="128"/>
      <c r="K1291" s="129">
        <v>1.0</v>
      </c>
      <c r="L1291" s="129">
        <v>10000.0</v>
      </c>
      <c r="M1291" s="128" t="s">
        <v>1235</v>
      </c>
      <c r="N1291" s="129">
        <v>597.0</v>
      </c>
      <c r="O1291" s="128"/>
      <c r="P1291" s="129">
        <v>10000.0</v>
      </c>
      <c r="Q1291" s="128" t="s">
        <v>220</v>
      </c>
    </row>
    <row r="1292">
      <c r="A1292" s="129">
        <v>673.0</v>
      </c>
      <c r="B1292" s="129">
        <v>2013.0</v>
      </c>
      <c r="C1292" s="129">
        <v>8.5</v>
      </c>
      <c r="D1292" s="129">
        <v>44.45</v>
      </c>
      <c r="E1292" s="129">
        <v>-121.55</v>
      </c>
      <c r="F1292" s="128" t="s">
        <v>220</v>
      </c>
      <c r="G1292" s="128" t="s">
        <v>1314</v>
      </c>
      <c r="H1292" s="128" t="s">
        <v>284</v>
      </c>
      <c r="I1292" s="128" t="s">
        <v>342</v>
      </c>
      <c r="J1292" s="129">
        <v>57.0</v>
      </c>
      <c r="K1292" s="129">
        <v>1.0</v>
      </c>
      <c r="L1292" s="129">
        <v>3000.0</v>
      </c>
      <c r="M1292" s="128" t="s">
        <v>1315</v>
      </c>
      <c r="N1292" s="129">
        <v>1262.0</v>
      </c>
      <c r="O1292" s="128"/>
      <c r="P1292" s="129">
        <v>1000.0</v>
      </c>
      <c r="Q1292" s="128" t="s">
        <v>220</v>
      </c>
    </row>
    <row r="1293">
      <c r="A1293" s="129">
        <v>1443.0</v>
      </c>
      <c r="B1293" s="129">
        <v>2018.0</v>
      </c>
      <c r="C1293" s="129">
        <v>-21.0</v>
      </c>
      <c r="D1293" s="129">
        <v>44.4523</v>
      </c>
      <c r="E1293" s="129">
        <v>-121.557</v>
      </c>
      <c r="F1293" s="128" t="s">
        <v>219</v>
      </c>
      <c r="G1293" s="128" t="s">
        <v>1314</v>
      </c>
      <c r="H1293" s="128"/>
      <c r="I1293" s="128"/>
      <c r="J1293" s="129">
        <v>80.0</v>
      </c>
      <c r="K1293" s="129">
        <v>1.0</v>
      </c>
      <c r="L1293" s="129">
        <v>1000.0</v>
      </c>
      <c r="M1293" s="128" t="s">
        <v>1315</v>
      </c>
      <c r="N1293" s="129">
        <v>1259.0</v>
      </c>
      <c r="O1293" s="128"/>
      <c r="P1293" s="129">
        <v>1000.0</v>
      </c>
      <c r="Q1293" s="128" t="s">
        <v>220</v>
      </c>
    </row>
    <row r="1294">
      <c r="A1294" s="129">
        <v>622.0</v>
      </c>
      <c r="B1294" s="129">
        <v>2014.0</v>
      </c>
      <c r="C1294" s="129">
        <v>-8.0</v>
      </c>
      <c r="D1294" s="129">
        <v>44.57</v>
      </c>
      <c r="E1294" s="129">
        <v>122.88</v>
      </c>
      <c r="F1294" s="128" t="s">
        <v>1190</v>
      </c>
      <c r="G1294" s="128" t="s">
        <v>1207</v>
      </c>
      <c r="H1294" s="128" t="s">
        <v>536</v>
      </c>
      <c r="I1294" s="128" t="s">
        <v>351</v>
      </c>
      <c r="J1294" s="128"/>
      <c r="K1294" s="129">
        <v>1.0</v>
      </c>
      <c r="L1294" s="129">
        <v>10000.0</v>
      </c>
      <c r="M1294" s="128" t="s">
        <v>1207</v>
      </c>
      <c r="N1294" s="129">
        <v>154.0</v>
      </c>
      <c r="O1294" s="128"/>
      <c r="P1294" s="129">
        <v>10000.0</v>
      </c>
      <c r="Q1294" s="128" t="s">
        <v>220</v>
      </c>
    </row>
    <row r="1295">
      <c r="A1295" s="129">
        <v>646.0</v>
      </c>
      <c r="B1295" s="129">
        <v>2014.0</v>
      </c>
      <c r="C1295" s="129">
        <v>1.0</v>
      </c>
      <c r="D1295" s="129">
        <v>44.57</v>
      </c>
      <c r="E1295" s="129">
        <v>122.88</v>
      </c>
      <c r="F1295" s="128" t="s">
        <v>1190</v>
      </c>
      <c r="G1295" s="128" t="s">
        <v>1207</v>
      </c>
      <c r="H1295" s="128" t="s">
        <v>506</v>
      </c>
      <c r="I1295" s="128" t="s">
        <v>351</v>
      </c>
      <c r="J1295" s="128"/>
      <c r="K1295" s="129">
        <v>1.0</v>
      </c>
      <c r="L1295" s="129">
        <v>10000.0</v>
      </c>
      <c r="M1295" s="128" t="s">
        <v>1207</v>
      </c>
      <c r="N1295" s="129">
        <v>154.0</v>
      </c>
      <c r="O1295" s="128"/>
      <c r="P1295" s="129">
        <v>10000.0</v>
      </c>
      <c r="Q1295" s="128" t="s">
        <v>220</v>
      </c>
    </row>
    <row r="1296">
      <c r="A1296" s="129">
        <v>628.0</v>
      </c>
      <c r="B1296" s="129">
        <v>2014.0</v>
      </c>
      <c r="C1296" s="129">
        <v>20.0</v>
      </c>
      <c r="D1296" s="129">
        <v>45.06</v>
      </c>
      <c r="E1296" s="129">
        <v>142.11</v>
      </c>
      <c r="F1296" s="128" t="s">
        <v>1190</v>
      </c>
      <c r="G1296" s="128" t="s">
        <v>1225</v>
      </c>
      <c r="H1296" s="128" t="s">
        <v>284</v>
      </c>
      <c r="I1296" s="128" t="s">
        <v>285</v>
      </c>
      <c r="J1296" s="128"/>
      <c r="K1296" s="129">
        <v>1.0</v>
      </c>
      <c r="L1296" s="129">
        <v>10000.0</v>
      </c>
      <c r="M1296" s="128" t="s">
        <v>1226</v>
      </c>
      <c r="N1296" s="129">
        <v>88.0</v>
      </c>
      <c r="O1296" s="128"/>
      <c r="P1296" s="129">
        <v>10000.0</v>
      </c>
      <c r="Q1296" s="128" t="s">
        <v>220</v>
      </c>
    </row>
    <row r="1297">
      <c r="A1297" s="129">
        <v>1196.0</v>
      </c>
      <c r="B1297" s="129">
        <v>2015.0</v>
      </c>
      <c r="C1297" s="129">
        <v>0.0</v>
      </c>
      <c r="D1297" s="129">
        <v>45.41</v>
      </c>
      <c r="E1297" s="129">
        <v>-75.52</v>
      </c>
      <c r="F1297" s="128" t="s">
        <v>2106</v>
      </c>
      <c r="G1297" s="128" t="s">
        <v>2118</v>
      </c>
      <c r="H1297" s="128" t="s">
        <v>193</v>
      </c>
      <c r="I1297" s="128" t="s">
        <v>285</v>
      </c>
      <c r="J1297" s="128"/>
      <c r="K1297" s="129">
        <v>1.0</v>
      </c>
      <c r="L1297" s="129">
        <v>1000.0</v>
      </c>
      <c r="M1297" s="128" t="s">
        <v>2119</v>
      </c>
      <c r="N1297" s="129">
        <v>67.0</v>
      </c>
      <c r="O1297" s="128"/>
      <c r="P1297" s="129">
        <v>1000.0</v>
      </c>
      <c r="Q1297" s="128" t="s">
        <v>220</v>
      </c>
    </row>
    <row r="1298">
      <c r="A1298" s="129">
        <v>76.0</v>
      </c>
      <c r="B1298" s="129">
        <v>2014.0</v>
      </c>
      <c r="C1298" s="129">
        <v>15.0</v>
      </c>
      <c r="D1298" s="129">
        <v>45.56</v>
      </c>
      <c r="E1298" s="129">
        <v>-84.71</v>
      </c>
      <c r="F1298" s="128" t="s">
        <v>294</v>
      </c>
      <c r="G1298" s="128" t="s">
        <v>377</v>
      </c>
      <c r="H1298" s="128" t="s">
        <v>328</v>
      </c>
      <c r="I1298" s="128" t="s">
        <v>363</v>
      </c>
      <c r="J1298" s="129">
        <v>138.0</v>
      </c>
      <c r="K1298" s="129">
        <v>1.0</v>
      </c>
      <c r="L1298" s="129">
        <v>1000.0</v>
      </c>
      <c r="M1298" s="128" t="s">
        <v>378</v>
      </c>
      <c r="N1298" s="129">
        <v>237.0</v>
      </c>
      <c r="O1298" s="128"/>
      <c r="P1298" s="129">
        <v>1000.0</v>
      </c>
      <c r="Q1298" s="128" t="s">
        <v>220</v>
      </c>
    </row>
    <row r="1299">
      <c r="A1299" s="129">
        <v>669.0</v>
      </c>
      <c r="B1299" s="129">
        <v>2013.0</v>
      </c>
      <c r="C1299" s="129">
        <v>36.1</v>
      </c>
      <c r="D1299" s="129">
        <v>45.81</v>
      </c>
      <c r="E1299" s="129">
        <v>-90.08</v>
      </c>
      <c r="F1299" s="128" t="s">
        <v>220</v>
      </c>
      <c r="G1299" s="128" t="s">
        <v>368</v>
      </c>
      <c r="H1299" s="128" t="s">
        <v>328</v>
      </c>
      <c r="I1299" s="128" t="s">
        <v>285</v>
      </c>
      <c r="J1299" s="128"/>
      <c r="K1299" s="129">
        <v>1.0</v>
      </c>
      <c r="L1299" s="129">
        <v>3000.0</v>
      </c>
      <c r="M1299" s="128" t="s">
        <v>369</v>
      </c>
      <c r="N1299" s="129">
        <v>512.0</v>
      </c>
      <c r="O1299" s="128"/>
      <c r="P1299" s="129">
        <v>1000.0</v>
      </c>
      <c r="Q1299" s="128" t="s">
        <v>220</v>
      </c>
    </row>
    <row r="1300">
      <c r="A1300" s="129">
        <v>74.0</v>
      </c>
      <c r="B1300" s="129">
        <v>2014.0</v>
      </c>
      <c r="C1300" s="129">
        <v>20.0</v>
      </c>
      <c r="D1300" s="129">
        <v>45.81</v>
      </c>
      <c r="E1300" s="129">
        <v>-90.08</v>
      </c>
      <c r="F1300" s="128" t="s">
        <v>294</v>
      </c>
      <c r="G1300" s="128" t="s">
        <v>368</v>
      </c>
      <c r="H1300" s="128" t="s">
        <v>328</v>
      </c>
      <c r="I1300" s="128" t="s">
        <v>285</v>
      </c>
      <c r="J1300" s="129">
        <v>276.0</v>
      </c>
      <c r="K1300" s="129">
        <v>1.0</v>
      </c>
      <c r="L1300" s="129">
        <v>1000.0</v>
      </c>
      <c r="M1300" s="128" t="s">
        <v>369</v>
      </c>
      <c r="N1300" s="129">
        <v>512.0</v>
      </c>
      <c r="O1300" s="128"/>
      <c r="P1300" s="129">
        <v>1000.0</v>
      </c>
      <c r="Q1300" s="128" t="s">
        <v>220</v>
      </c>
    </row>
    <row r="1301">
      <c r="A1301" s="129">
        <v>1367.0</v>
      </c>
      <c r="B1301" s="129">
        <v>2017.0</v>
      </c>
      <c r="C1301" s="129">
        <v>-38.0</v>
      </c>
      <c r="D1301" s="129">
        <v>45.8205</v>
      </c>
      <c r="E1301" s="129">
        <v>-121.952</v>
      </c>
      <c r="F1301" s="128" t="s">
        <v>219</v>
      </c>
      <c r="G1301" s="128" t="s">
        <v>1326</v>
      </c>
      <c r="H1301" s="128"/>
      <c r="I1301" s="128"/>
      <c r="J1301" s="128"/>
      <c r="K1301" s="129">
        <v>1.0</v>
      </c>
      <c r="L1301" s="128"/>
      <c r="M1301" s="128" t="s">
        <v>369</v>
      </c>
      <c r="N1301" s="129">
        <v>397.0</v>
      </c>
      <c r="O1301" s="128"/>
      <c r="P1301" s="128"/>
      <c r="Q1301" s="128" t="s">
        <v>220</v>
      </c>
    </row>
    <row r="1302">
      <c r="A1302" s="129">
        <v>679.0</v>
      </c>
      <c r="B1302" s="129">
        <v>2013.0</v>
      </c>
      <c r="C1302" s="129">
        <v>43.5</v>
      </c>
      <c r="D1302" s="129">
        <v>45.8205</v>
      </c>
      <c r="E1302" s="129">
        <v>-121.952</v>
      </c>
      <c r="F1302" s="128" t="s">
        <v>220</v>
      </c>
      <c r="G1302" s="128" t="s">
        <v>1326</v>
      </c>
      <c r="H1302" s="128" t="s">
        <v>328</v>
      </c>
      <c r="I1302" s="128" t="s">
        <v>285</v>
      </c>
      <c r="J1302" s="128"/>
      <c r="K1302" s="129">
        <v>1.0</v>
      </c>
      <c r="L1302" s="129">
        <v>3000.0</v>
      </c>
      <c r="M1302" s="128" t="s">
        <v>369</v>
      </c>
      <c r="N1302" s="129">
        <v>397.0</v>
      </c>
      <c r="O1302" s="128"/>
      <c r="P1302" s="129">
        <v>1000.0</v>
      </c>
      <c r="Q1302" s="128" t="s">
        <v>220</v>
      </c>
    </row>
    <row r="1303">
      <c r="A1303" s="129">
        <v>1366.0</v>
      </c>
      <c r="B1303" s="129">
        <v>2017.0</v>
      </c>
      <c r="C1303" s="129">
        <v>-76.0</v>
      </c>
      <c r="D1303" s="129">
        <v>45.9459</v>
      </c>
      <c r="E1303" s="129">
        <v>-90.2723</v>
      </c>
      <c r="F1303" s="128" t="s">
        <v>219</v>
      </c>
      <c r="G1303" s="128" t="s">
        <v>2400</v>
      </c>
      <c r="H1303" s="128"/>
      <c r="I1303" s="128"/>
      <c r="J1303" s="128"/>
      <c r="K1303" s="129">
        <v>1.0</v>
      </c>
      <c r="L1303" s="128"/>
      <c r="M1303" s="128" t="s">
        <v>2401</v>
      </c>
      <c r="N1303" s="129">
        <v>471.0</v>
      </c>
      <c r="O1303" s="128"/>
      <c r="P1303" s="128"/>
      <c r="Q1303" s="128" t="s">
        <v>220</v>
      </c>
    </row>
    <row r="1304">
      <c r="A1304" s="129">
        <v>91.0</v>
      </c>
      <c r="B1304" s="129">
        <v>2015.0</v>
      </c>
      <c r="C1304" s="129">
        <v>2.6</v>
      </c>
      <c r="D1304" s="129">
        <v>46.015</v>
      </c>
      <c r="E1304" s="129">
        <v>11.046</v>
      </c>
      <c r="F1304" s="128" t="s">
        <v>424</v>
      </c>
      <c r="G1304" s="128" t="s">
        <v>432</v>
      </c>
      <c r="H1304" s="128" t="s">
        <v>233</v>
      </c>
      <c r="I1304" s="128" t="s">
        <v>234</v>
      </c>
      <c r="J1304" s="129">
        <v>36.0</v>
      </c>
      <c r="K1304" s="129">
        <v>1.0</v>
      </c>
      <c r="L1304" s="129">
        <v>5000.0</v>
      </c>
      <c r="M1304" s="128" t="s">
        <v>433</v>
      </c>
      <c r="N1304" s="129">
        <v>1561.0</v>
      </c>
      <c r="O1304" s="128"/>
      <c r="P1304" s="129">
        <v>5000.0</v>
      </c>
      <c r="Q1304" s="128" t="s">
        <v>220</v>
      </c>
    </row>
    <row r="1305">
      <c r="A1305" s="129">
        <v>106.0</v>
      </c>
      <c r="B1305" s="129">
        <v>2015.0</v>
      </c>
      <c r="C1305" s="129">
        <v>1.9</v>
      </c>
      <c r="D1305" s="129">
        <v>46.015</v>
      </c>
      <c r="E1305" s="129">
        <v>11.046</v>
      </c>
      <c r="F1305" s="128" t="s">
        <v>219</v>
      </c>
      <c r="G1305" s="128" t="s">
        <v>432</v>
      </c>
      <c r="H1305" s="128" t="s">
        <v>233</v>
      </c>
      <c r="I1305" s="128" t="s">
        <v>234</v>
      </c>
      <c r="J1305" s="129">
        <v>36.0</v>
      </c>
      <c r="K1305" s="129">
        <v>1.0</v>
      </c>
      <c r="L1305" s="129">
        <v>1000.0</v>
      </c>
      <c r="M1305" s="128" t="s">
        <v>433</v>
      </c>
      <c r="N1305" s="129">
        <v>1561.0</v>
      </c>
      <c r="O1305" s="128"/>
      <c r="P1305" s="129">
        <v>1000.0</v>
      </c>
      <c r="Q1305" s="128" t="s">
        <v>220</v>
      </c>
    </row>
    <row r="1306">
      <c r="A1306" s="129">
        <v>1364.0</v>
      </c>
      <c r="B1306" s="129">
        <v>2017.0</v>
      </c>
      <c r="C1306" s="129">
        <v>-80.0</v>
      </c>
      <c r="D1306" s="129">
        <v>46.0827</v>
      </c>
      <c r="E1306" s="129">
        <v>-89.9792</v>
      </c>
      <c r="F1306" s="128" t="s">
        <v>219</v>
      </c>
      <c r="G1306" s="128" t="s">
        <v>1669</v>
      </c>
      <c r="H1306" s="128"/>
      <c r="I1306" s="128"/>
      <c r="J1306" s="128"/>
      <c r="K1306" s="129">
        <v>1.0</v>
      </c>
      <c r="L1306" s="128"/>
      <c r="M1306" s="128" t="s">
        <v>1670</v>
      </c>
      <c r="N1306" s="129">
        <v>478.0</v>
      </c>
      <c r="O1306" s="128"/>
      <c r="P1306" s="128"/>
      <c r="Q1306" s="128" t="s">
        <v>220</v>
      </c>
    </row>
    <row r="1307">
      <c r="A1307" s="129">
        <v>680.0</v>
      </c>
      <c r="B1307" s="129">
        <v>2013.0</v>
      </c>
      <c r="C1307" s="129">
        <v>69.7</v>
      </c>
      <c r="D1307" s="129">
        <v>46.24</v>
      </c>
      <c r="E1307" s="129">
        <v>-89.35</v>
      </c>
      <c r="F1307" s="128" t="s">
        <v>220</v>
      </c>
      <c r="G1307" s="128" t="s">
        <v>1329</v>
      </c>
      <c r="H1307" s="128" t="s">
        <v>328</v>
      </c>
      <c r="I1307" s="128" t="s">
        <v>194</v>
      </c>
      <c r="J1307" s="128"/>
      <c r="K1307" s="129">
        <v>1.0</v>
      </c>
      <c r="L1307" s="129">
        <v>3000.0</v>
      </c>
      <c r="M1307" s="128" t="s">
        <v>1330</v>
      </c>
      <c r="N1307" s="129">
        <v>557.0</v>
      </c>
      <c r="O1307" s="128"/>
      <c r="P1307" s="129">
        <v>1000.0</v>
      </c>
      <c r="Q1307" s="128" t="s">
        <v>220</v>
      </c>
    </row>
    <row r="1308">
      <c r="A1308" s="129">
        <v>1195.0</v>
      </c>
      <c r="B1308" s="129">
        <v>2015.0</v>
      </c>
      <c r="C1308" s="129">
        <v>-7.9</v>
      </c>
      <c r="D1308" s="129">
        <v>46.47</v>
      </c>
      <c r="E1308" s="129">
        <v>-67.1</v>
      </c>
      <c r="F1308" s="128" t="s">
        <v>2106</v>
      </c>
      <c r="G1308" s="128" t="s">
        <v>2116</v>
      </c>
      <c r="H1308" s="128" t="s">
        <v>295</v>
      </c>
      <c r="I1308" s="128" t="s">
        <v>194</v>
      </c>
      <c r="J1308" s="128"/>
      <c r="K1308" s="129">
        <v>1.0</v>
      </c>
      <c r="L1308" s="129">
        <v>1000.0</v>
      </c>
      <c r="M1308" s="128" t="s">
        <v>2117</v>
      </c>
      <c r="N1308" s="129">
        <v>319.0</v>
      </c>
      <c r="O1308" s="128"/>
      <c r="P1308" s="129">
        <v>1000.0</v>
      </c>
      <c r="Q1308" s="128" t="s">
        <v>220</v>
      </c>
    </row>
    <row r="1309">
      <c r="A1309" s="129">
        <v>642.0</v>
      </c>
      <c r="B1309" s="129">
        <v>2014.0</v>
      </c>
      <c r="C1309" s="129">
        <v>57.0</v>
      </c>
      <c r="D1309" s="129">
        <v>47.21</v>
      </c>
      <c r="E1309" s="129">
        <v>108.74</v>
      </c>
      <c r="F1309" s="128" t="s">
        <v>1190</v>
      </c>
      <c r="G1309" s="128" t="s">
        <v>1278</v>
      </c>
      <c r="H1309" s="128" t="s">
        <v>193</v>
      </c>
      <c r="I1309" s="128" t="s">
        <v>351</v>
      </c>
      <c r="J1309" s="128"/>
      <c r="K1309" s="129">
        <v>1.0</v>
      </c>
      <c r="L1309" s="129">
        <v>10000.0</v>
      </c>
      <c r="M1309" s="128" t="s">
        <v>1279</v>
      </c>
      <c r="N1309" s="129">
        <v>1250.0</v>
      </c>
      <c r="O1309" s="128"/>
      <c r="P1309" s="129">
        <v>10000.0</v>
      </c>
      <c r="Q1309" s="128" t="s">
        <v>220</v>
      </c>
    </row>
    <row r="1310">
      <c r="A1310" s="129">
        <v>120.0</v>
      </c>
      <c r="B1310" s="129">
        <v>2018.0</v>
      </c>
      <c r="C1310" s="129">
        <v>-15.0</v>
      </c>
      <c r="D1310" s="129">
        <v>47.2863</v>
      </c>
      <c r="E1310" s="129">
        <v>7.7343</v>
      </c>
      <c r="F1310" s="128" t="s">
        <v>493</v>
      </c>
      <c r="G1310" s="128" t="s">
        <v>420</v>
      </c>
      <c r="H1310" s="128" t="s">
        <v>295</v>
      </c>
      <c r="I1310" s="128" t="s">
        <v>246</v>
      </c>
      <c r="J1310" s="128"/>
      <c r="K1310" s="129">
        <v>1.0</v>
      </c>
      <c r="L1310" s="129">
        <v>250.0</v>
      </c>
      <c r="M1310" s="128" t="s">
        <v>421</v>
      </c>
      <c r="N1310" s="129">
        <v>451.0</v>
      </c>
      <c r="O1310" s="128"/>
      <c r="P1310" s="129">
        <v>250.0</v>
      </c>
      <c r="Q1310" s="128" t="s">
        <v>220</v>
      </c>
    </row>
    <row r="1311">
      <c r="A1311" s="129">
        <v>89.0</v>
      </c>
      <c r="B1311" s="129">
        <v>2015.0</v>
      </c>
      <c r="C1311" s="129">
        <v>-19.9</v>
      </c>
      <c r="D1311" s="129">
        <v>47.2863</v>
      </c>
      <c r="E1311" s="129">
        <v>7.7343</v>
      </c>
      <c r="F1311" s="128" t="s">
        <v>424</v>
      </c>
      <c r="G1311" s="128" t="s">
        <v>420</v>
      </c>
      <c r="H1311" s="128" t="s">
        <v>233</v>
      </c>
      <c r="I1311" s="128" t="s">
        <v>234</v>
      </c>
      <c r="J1311" s="129">
        <v>36.0</v>
      </c>
      <c r="K1311" s="129">
        <v>1.0</v>
      </c>
      <c r="L1311" s="129">
        <v>5000.0</v>
      </c>
      <c r="M1311" s="128" t="s">
        <v>421</v>
      </c>
      <c r="N1311" s="129">
        <v>451.0</v>
      </c>
      <c r="O1311" s="128"/>
      <c r="P1311" s="129">
        <v>5000.0</v>
      </c>
      <c r="Q1311" s="128" t="s">
        <v>220</v>
      </c>
    </row>
    <row r="1312">
      <c r="A1312" s="129">
        <v>104.0</v>
      </c>
      <c r="B1312" s="129">
        <v>2015.0</v>
      </c>
      <c r="C1312" s="129">
        <v>-5.1</v>
      </c>
      <c r="D1312" s="129">
        <v>47.2863</v>
      </c>
      <c r="E1312" s="129">
        <v>7.7343</v>
      </c>
      <c r="F1312" s="128" t="s">
        <v>219</v>
      </c>
      <c r="G1312" s="128" t="s">
        <v>420</v>
      </c>
      <c r="H1312" s="128" t="s">
        <v>233</v>
      </c>
      <c r="I1312" s="128" t="s">
        <v>234</v>
      </c>
      <c r="J1312" s="129">
        <v>36.0</v>
      </c>
      <c r="K1312" s="129">
        <v>1.0</v>
      </c>
      <c r="L1312" s="129">
        <v>1000.0</v>
      </c>
      <c r="M1312" s="128" t="s">
        <v>421</v>
      </c>
      <c r="N1312" s="129">
        <v>451.0</v>
      </c>
      <c r="O1312" s="128"/>
      <c r="P1312" s="129">
        <v>1000.0</v>
      </c>
      <c r="Q1312" s="128" t="s">
        <v>220</v>
      </c>
    </row>
    <row r="1313">
      <c r="A1313" s="129">
        <v>1197.0</v>
      </c>
      <c r="B1313" s="129">
        <v>2015.0</v>
      </c>
      <c r="C1313" s="129">
        <v>3.2</v>
      </c>
      <c r="D1313" s="129">
        <v>48.22</v>
      </c>
      <c r="E1313" s="129">
        <v>-82.16</v>
      </c>
      <c r="F1313" s="128" t="s">
        <v>2106</v>
      </c>
      <c r="G1313" s="128" t="s">
        <v>2120</v>
      </c>
      <c r="H1313" s="128" t="s">
        <v>295</v>
      </c>
      <c r="I1313" s="128" t="s">
        <v>285</v>
      </c>
      <c r="J1313" s="128"/>
      <c r="K1313" s="129">
        <v>1.0</v>
      </c>
      <c r="L1313" s="129">
        <v>1000.0</v>
      </c>
      <c r="M1313" s="128" t="s">
        <v>2121</v>
      </c>
      <c r="N1313" s="129">
        <v>350.0</v>
      </c>
      <c r="O1313" s="128"/>
      <c r="P1313" s="129">
        <v>1000.0</v>
      </c>
      <c r="Q1313" s="128" t="s">
        <v>220</v>
      </c>
    </row>
    <row r="1314">
      <c r="A1314" s="129">
        <v>634.0</v>
      </c>
      <c r="B1314" s="129">
        <v>2014.0</v>
      </c>
      <c r="C1314" s="129">
        <v>44.0</v>
      </c>
      <c r="D1314" s="129">
        <v>48.35</v>
      </c>
      <c r="E1314" s="129">
        <v>108.65</v>
      </c>
      <c r="F1314" s="128" t="s">
        <v>1190</v>
      </c>
      <c r="G1314" s="128" t="s">
        <v>1246</v>
      </c>
      <c r="H1314" s="128" t="s">
        <v>193</v>
      </c>
      <c r="I1314" s="128" t="s">
        <v>342</v>
      </c>
      <c r="J1314" s="128"/>
      <c r="K1314" s="129">
        <v>1.0</v>
      </c>
      <c r="L1314" s="129">
        <v>10000.0</v>
      </c>
      <c r="M1314" s="128" t="s">
        <v>1247</v>
      </c>
      <c r="N1314" s="129">
        <v>1586.0</v>
      </c>
      <c r="O1314" s="128"/>
      <c r="P1314" s="129">
        <v>10000.0</v>
      </c>
      <c r="Q1314" s="128" t="s">
        <v>220</v>
      </c>
    </row>
    <row r="1315">
      <c r="A1315" s="129">
        <v>77.0</v>
      </c>
      <c r="B1315" s="129">
        <v>2014.0</v>
      </c>
      <c r="C1315" s="129">
        <v>37.0</v>
      </c>
      <c r="D1315" s="129">
        <v>48.67</v>
      </c>
      <c r="E1315" s="129">
        <v>7.06</v>
      </c>
      <c r="F1315" s="128" t="s">
        <v>294</v>
      </c>
      <c r="G1315" s="128" t="s">
        <v>380</v>
      </c>
      <c r="H1315" s="128" t="s">
        <v>284</v>
      </c>
      <c r="I1315" s="128" t="s">
        <v>285</v>
      </c>
      <c r="J1315" s="129">
        <v>230.0</v>
      </c>
      <c r="K1315" s="129">
        <v>1.0</v>
      </c>
      <c r="L1315" s="129">
        <v>1000.0</v>
      </c>
      <c r="M1315" s="128" t="s">
        <v>381</v>
      </c>
      <c r="N1315" s="129">
        <v>319.0</v>
      </c>
      <c r="O1315" s="128"/>
      <c r="P1315" s="129">
        <v>1000.0</v>
      </c>
      <c r="Q1315" s="128" t="s">
        <v>220</v>
      </c>
    </row>
    <row r="1316">
      <c r="A1316" s="129">
        <v>127.0</v>
      </c>
      <c r="B1316" s="129">
        <v>2018.0</v>
      </c>
      <c r="C1316" s="129">
        <v>-6.0</v>
      </c>
      <c r="D1316" s="129">
        <v>48.8442</v>
      </c>
      <c r="E1316" s="129">
        <v>1.9519</v>
      </c>
      <c r="F1316" s="128" t="s">
        <v>493</v>
      </c>
      <c r="G1316" s="128" t="s">
        <v>513</v>
      </c>
      <c r="H1316" s="128" t="s">
        <v>295</v>
      </c>
      <c r="I1316" s="128" t="s">
        <v>246</v>
      </c>
      <c r="J1316" s="128"/>
      <c r="K1316" s="129">
        <v>1.0</v>
      </c>
      <c r="L1316" s="129">
        <v>250.0</v>
      </c>
      <c r="M1316" s="128" t="s">
        <v>514</v>
      </c>
      <c r="N1316" s="129">
        <v>121.0</v>
      </c>
      <c r="O1316" s="128"/>
      <c r="P1316" s="129">
        <v>250.0</v>
      </c>
      <c r="Q1316" s="128" t="s">
        <v>220</v>
      </c>
    </row>
    <row r="1317">
      <c r="A1317" s="129">
        <v>1191.0</v>
      </c>
      <c r="B1317" s="129">
        <v>2015.0</v>
      </c>
      <c r="C1317" s="129">
        <v>3.9</v>
      </c>
      <c r="D1317" s="129">
        <v>48.87</v>
      </c>
      <c r="E1317" s="129">
        <v>-125.35</v>
      </c>
      <c r="F1317" s="128" t="s">
        <v>2106</v>
      </c>
      <c r="G1317" s="128" t="s">
        <v>2111</v>
      </c>
      <c r="H1317" s="128" t="s">
        <v>2110</v>
      </c>
      <c r="I1317" s="128" t="s">
        <v>351</v>
      </c>
      <c r="J1317" s="128"/>
      <c r="K1317" s="129">
        <v>1.0</v>
      </c>
      <c r="L1317" s="129">
        <v>1000.0</v>
      </c>
      <c r="M1317" s="128" t="s">
        <v>758</v>
      </c>
      <c r="N1317" s="129">
        <v>0.0</v>
      </c>
      <c r="O1317" s="128"/>
      <c r="P1317" s="129">
        <v>1000.0</v>
      </c>
      <c r="Q1317" s="128" t="s">
        <v>220</v>
      </c>
    </row>
    <row r="1318">
      <c r="A1318" s="129">
        <v>1189.0</v>
      </c>
      <c r="B1318" s="129">
        <v>2015.0</v>
      </c>
      <c r="C1318" s="129">
        <v>-16.7</v>
      </c>
      <c r="D1318" s="129">
        <v>49.43</v>
      </c>
      <c r="E1318" s="129">
        <v>-112.56</v>
      </c>
      <c r="F1318" s="128" t="s">
        <v>2106</v>
      </c>
      <c r="G1318" s="128" t="s">
        <v>2104</v>
      </c>
      <c r="H1318" s="128" t="s">
        <v>193</v>
      </c>
      <c r="I1318" s="128" t="s">
        <v>285</v>
      </c>
      <c r="J1318" s="128"/>
      <c r="K1318" s="129">
        <v>1.0</v>
      </c>
      <c r="L1318" s="129">
        <v>1000.0</v>
      </c>
      <c r="M1318" s="128" t="s">
        <v>2105</v>
      </c>
      <c r="N1318" s="129">
        <v>977.0</v>
      </c>
      <c r="O1318" s="128"/>
      <c r="P1318" s="129">
        <v>1000.0</v>
      </c>
      <c r="Q1318" s="128" t="s">
        <v>220</v>
      </c>
    </row>
    <row r="1319">
      <c r="A1319" s="129">
        <v>100.0</v>
      </c>
      <c r="B1319" s="129">
        <v>2015.0</v>
      </c>
      <c r="C1319" s="129">
        <v>73.5</v>
      </c>
      <c r="D1319" s="129">
        <v>49.505</v>
      </c>
      <c r="E1319" s="129">
        <v>18.541</v>
      </c>
      <c r="F1319" s="128" t="s">
        <v>424</v>
      </c>
      <c r="G1319" s="128" t="s">
        <v>468</v>
      </c>
      <c r="H1319" s="128" t="s">
        <v>233</v>
      </c>
      <c r="I1319" s="128" t="s">
        <v>234</v>
      </c>
      <c r="J1319" s="129">
        <v>36.0</v>
      </c>
      <c r="K1319" s="129">
        <v>1.0</v>
      </c>
      <c r="L1319" s="129">
        <v>5000.0</v>
      </c>
      <c r="M1319" s="128" t="s">
        <v>469</v>
      </c>
      <c r="N1319" s="129">
        <v>799.0</v>
      </c>
      <c r="O1319" s="128"/>
      <c r="P1319" s="129">
        <v>5000.0</v>
      </c>
      <c r="Q1319" s="128" t="s">
        <v>220</v>
      </c>
    </row>
    <row r="1320">
      <c r="A1320" s="129">
        <v>115.0</v>
      </c>
      <c r="B1320" s="129">
        <v>2015.0</v>
      </c>
      <c r="C1320" s="129">
        <v>65.1</v>
      </c>
      <c r="D1320" s="129">
        <v>49.505</v>
      </c>
      <c r="E1320" s="129">
        <v>18.541</v>
      </c>
      <c r="F1320" s="128" t="s">
        <v>219</v>
      </c>
      <c r="G1320" s="128" t="s">
        <v>468</v>
      </c>
      <c r="H1320" s="128" t="s">
        <v>233</v>
      </c>
      <c r="I1320" s="128" t="s">
        <v>234</v>
      </c>
      <c r="J1320" s="129">
        <v>36.0</v>
      </c>
      <c r="K1320" s="129">
        <v>1.0</v>
      </c>
      <c r="L1320" s="129">
        <v>1000.0</v>
      </c>
      <c r="M1320" s="128" t="s">
        <v>469</v>
      </c>
      <c r="N1320" s="129">
        <v>799.0</v>
      </c>
      <c r="O1320" s="128"/>
      <c r="P1320" s="129">
        <v>1000.0</v>
      </c>
      <c r="Q1320" s="128" t="s">
        <v>220</v>
      </c>
    </row>
    <row r="1321">
      <c r="A1321" s="129">
        <v>1193.0</v>
      </c>
      <c r="B1321" s="129">
        <v>2015.0</v>
      </c>
      <c r="C1321" s="129">
        <v>-1.9</v>
      </c>
      <c r="D1321" s="129">
        <v>49.52</v>
      </c>
      <c r="E1321" s="129">
        <v>-124.9</v>
      </c>
      <c r="F1321" s="128" t="s">
        <v>2106</v>
      </c>
      <c r="G1321" s="128" t="s">
        <v>2113</v>
      </c>
      <c r="H1321" s="128" t="s">
        <v>284</v>
      </c>
      <c r="I1321" s="128" t="s">
        <v>507</v>
      </c>
      <c r="J1321" s="128"/>
      <c r="K1321" s="129">
        <v>1.0</v>
      </c>
      <c r="L1321" s="129">
        <v>1000.0</v>
      </c>
      <c r="M1321" s="128" t="s">
        <v>766</v>
      </c>
      <c r="N1321" s="129">
        <v>127.0</v>
      </c>
      <c r="O1321" s="128"/>
      <c r="P1321" s="129">
        <v>1000.0</v>
      </c>
      <c r="Q1321" s="128" t="s">
        <v>220</v>
      </c>
    </row>
    <row r="1322">
      <c r="A1322" s="129">
        <v>1199.0</v>
      </c>
      <c r="B1322" s="129">
        <v>2015.0</v>
      </c>
      <c r="C1322" s="129">
        <v>23.9</v>
      </c>
      <c r="D1322" s="129">
        <v>49.69</v>
      </c>
      <c r="E1322" s="129">
        <v>-74.43</v>
      </c>
      <c r="F1322" s="128" t="s">
        <v>2106</v>
      </c>
      <c r="G1322" s="128" t="s">
        <v>2124</v>
      </c>
      <c r="H1322" s="128" t="s">
        <v>295</v>
      </c>
      <c r="I1322" s="128" t="s">
        <v>285</v>
      </c>
      <c r="J1322" s="128"/>
      <c r="K1322" s="129">
        <v>1.0</v>
      </c>
      <c r="L1322" s="129">
        <v>1000.0</v>
      </c>
      <c r="M1322" s="128" t="s">
        <v>2125</v>
      </c>
      <c r="N1322" s="129">
        <v>389.0</v>
      </c>
      <c r="O1322" s="128"/>
      <c r="P1322" s="129">
        <v>1000.0</v>
      </c>
      <c r="Q1322" s="128" t="s">
        <v>220</v>
      </c>
    </row>
    <row r="1323">
      <c r="A1323" s="129">
        <v>83.0</v>
      </c>
      <c r="B1323" s="129">
        <v>2014.0</v>
      </c>
      <c r="C1323" s="129">
        <v>10.0</v>
      </c>
      <c r="D1323" s="129">
        <v>49.709</v>
      </c>
      <c r="E1323" s="129">
        <v>-112.94</v>
      </c>
      <c r="F1323" s="128" t="s">
        <v>294</v>
      </c>
      <c r="G1323" s="128" t="s">
        <v>396</v>
      </c>
      <c r="H1323" s="128" t="s">
        <v>328</v>
      </c>
      <c r="I1323" s="128" t="s">
        <v>194</v>
      </c>
      <c r="J1323" s="129">
        <v>230.0</v>
      </c>
      <c r="K1323" s="129">
        <v>1.0</v>
      </c>
      <c r="L1323" s="129">
        <v>1000.0</v>
      </c>
      <c r="M1323" s="128" t="s">
        <v>397</v>
      </c>
      <c r="N1323" s="129">
        <v>935.0</v>
      </c>
      <c r="O1323" s="128"/>
      <c r="P1323" s="129">
        <v>1000.0</v>
      </c>
      <c r="Q1323" s="128" t="s">
        <v>220</v>
      </c>
    </row>
    <row r="1324">
      <c r="A1324" s="129">
        <v>1192.0</v>
      </c>
      <c r="B1324" s="129">
        <v>2015.0</v>
      </c>
      <c r="C1324" s="129">
        <v>48.1</v>
      </c>
      <c r="D1324" s="129">
        <v>49.87</v>
      </c>
      <c r="E1324" s="129">
        <v>-125.29</v>
      </c>
      <c r="F1324" s="128" t="s">
        <v>2106</v>
      </c>
      <c r="G1324" s="128" t="s">
        <v>2112</v>
      </c>
      <c r="H1324" s="128" t="s">
        <v>328</v>
      </c>
      <c r="I1324" s="128" t="s">
        <v>507</v>
      </c>
      <c r="J1324" s="128"/>
      <c r="K1324" s="129">
        <v>1.0</v>
      </c>
      <c r="L1324" s="129">
        <v>1000.0</v>
      </c>
      <c r="M1324" s="128" t="s">
        <v>762</v>
      </c>
      <c r="N1324" s="129">
        <v>196.0</v>
      </c>
      <c r="O1324" s="128"/>
      <c r="P1324" s="129">
        <v>1000.0</v>
      </c>
      <c r="Q1324" s="128" t="s">
        <v>220</v>
      </c>
    </row>
    <row r="1325">
      <c r="A1325" s="129">
        <v>79.0</v>
      </c>
      <c r="B1325" s="129">
        <v>2014.0</v>
      </c>
      <c r="C1325" s="129">
        <v>31.0</v>
      </c>
      <c r="D1325" s="129">
        <v>50.45</v>
      </c>
      <c r="E1325" s="129">
        <v>11.45</v>
      </c>
      <c r="F1325" s="128" t="s">
        <v>294</v>
      </c>
      <c r="G1325" s="128" t="s">
        <v>214</v>
      </c>
      <c r="H1325" s="128" t="s">
        <v>284</v>
      </c>
      <c r="I1325" s="128" t="s">
        <v>285</v>
      </c>
      <c r="J1325" s="129">
        <v>230.0</v>
      </c>
      <c r="K1325" s="129">
        <v>1.0</v>
      </c>
      <c r="L1325" s="129">
        <v>1000.0</v>
      </c>
      <c r="M1325" s="128" t="s">
        <v>387</v>
      </c>
      <c r="N1325" s="129">
        <v>768.0</v>
      </c>
      <c r="O1325" s="128"/>
      <c r="P1325" s="129">
        <v>1000.0</v>
      </c>
      <c r="Q1325" s="128" t="s">
        <v>220</v>
      </c>
    </row>
    <row r="1326">
      <c r="A1326" s="129">
        <v>119.0</v>
      </c>
      <c r="B1326" s="129">
        <v>2018.0</v>
      </c>
      <c r="C1326" s="129">
        <v>29.0</v>
      </c>
      <c r="D1326" s="129">
        <v>50.5516</v>
      </c>
      <c r="E1326" s="129">
        <v>4.7461</v>
      </c>
      <c r="F1326" s="128" t="s">
        <v>493</v>
      </c>
      <c r="G1326" s="128" t="s">
        <v>491</v>
      </c>
      <c r="H1326" s="128" t="s">
        <v>295</v>
      </c>
      <c r="I1326" s="128" t="s">
        <v>246</v>
      </c>
      <c r="J1326" s="128"/>
      <c r="K1326" s="129">
        <v>1.0</v>
      </c>
      <c r="L1326" s="129">
        <v>250.0</v>
      </c>
      <c r="M1326" s="128" t="s">
        <v>492</v>
      </c>
      <c r="N1326" s="129">
        <v>166.0</v>
      </c>
      <c r="O1326" s="128"/>
      <c r="P1326" s="129">
        <v>250.0</v>
      </c>
      <c r="Q1326" s="128" t="s">
        <v>220</v>
      </c>
    </row>
    <row r="1327">
      <c r="A1327" s="129">
        <v>124.0</v>
      </c>
      <c r="B1327" s="129">
        <v>2018.0</v>
      </c>
      <c r="C1327" s="129">
        <v>-18.0</v>
      </c>
      <c r="D1327" s="129">
        <v>50.8659</v>
      </c>
      <c r="E1327" s="129">
        <v>6.4472</v>
      </c>
      <c r="F1327" s="128" t="s">
        <v>493</v>
      </c>
      <c r="G1327" s="128" t="s">
        <v>503</v>
      </c>
      <c r="H1327" s="128" t="s">
        <v>233</v>
      </c>
      <c r="I1327" s="128" t="s">
        <v>246</v>
      </c>
      <c r="J1327" s="128"/>
      <c r="K1327" s="129">
        <v>1.0</v>
      </c>
      <c r="L1327" s="129">
        <v>250.0</v>
      </c>
      <c r="M1327" s="128" t="s">
        <v>504</v>
      </c>
      <c r="N1327" s="129">
        <v>101.0</v>
      </c>
      <c r="O1327" s="128"/>
      <c r="P1327" s="129">
        <v>250.0</v>
      </c>
      <c r="Q1327" s="128" t="s">
        <v>220</v>
      </c>
    </row>
    <row r="1328">
      <c r="A1328" s="129">
        <v>125.0</v>
      </c>
      <c r="B1328" s="129">
        <v>2018.0</v>
      </c>
      <c r="C1328" s="129">
        <v>-20.0</v>
      </c>
      <c r="D1328" s="129">
        <v>50.8706</v>
      </c>
      <c r="E1328" s="129">
        <v>6.4497</v>
      </c>
      <c r="F1328" s="128" t="s">
        <v>493</v>
      </c>
      <c r="G1328" s="128" t="s">
        <v>508</v>
      </c>
      <c r="H1328" s="128" t="s">
        <v>506</v>
      </c>
      <c r="I1328" s="128" t="s">
        <v>507</v>
      </c>
      <c r="J1328" s="128"/>
      <c r="K1328" s="129">
        <v>1.0</v>
      </c>
      <c r="L1328" s="129">
        <v>250.0</v>
      </c>
      <c r="M1328" s="128" t="s">
        <v>509</v>
      </c>
      <c r="N1328" s="129">
        <v>102.0</v>
      </c>
      <c r="O1328" s="128"/>
      <c r="P1328" s="129">
        <v>250.0</v>
      </c>
      <c r="Q1328" s="128" t="s">
        <v>220</v>
      </c>
    </row>
    <row r="1329">
      <c r="A1329" s="129">
        <v>123.0</v>
      </c>
      <c r="B1329" s="129">
        <v>2018.0</v>
      </c>
      <c r="C1329" s="129">
        <v>39.0</v>
      </c>
      <c r="D1329" s="129">
        <v>50.8929</v>
      </c>
      <c r="E1329" s="129">
        <v>13.5225</v>
      </c>
      <c r="F1329" s="128" t="s">
        <v>493</v>
      </c>
      <c r="G1329" s="128" t="s">
        <v>428</v>
      </c>
      <c r="H1329" s="128" t="s">
        <v>295</v>
      </c>
      <c r="I1329" s="128" t="s">
        <v>246</v>
      </c>
      <c r="J1329" s="128"/>
      <c r="K1329" s="129">
        <v>1.0</v>
      </c>
      <c r="L1329" s="129">
        <v>250.0</v>
      </c>
      <c r="M1329" s="128" t="s">
        <v>501</v>
      </c>
      <c r="N1329" s="129">
        <v>479.0</v>
      </c>
      <c r="O1329" s="128"/>
      <c r="P1329" s="129">
        <v>250.0</v>
      </c>
      <c r="Q1329" s="128" t="s">
        <v>220</v>
      </c>
    </row>
    <row r="1330">
      <c r="A1330" s="129">
        <v>90.0</v>
      </c>
      <c r="B1330" s="129">
        <v>2015.0</v>
      </c>
      <c r="C1330" s="129">
        <v>23.4</v>
      </c>
      <c r="D1330" s="129">
        <v>50.8929</v>
      </c>
      <c r="E1330" s="129">
        <v>13.5225</v>
      </c>
      <c r="F1330" s="128" t="s">
        <v>424</v>
      </c>
      <c r="G1330" s="128" t="s">
        <v>428</v>
      </c>
      <c r="H1330" s="128" t="s">
        <v>233</v>
      </c>
      <c r="I1330" s="128" t="s">
        <v>234</v>
      </c>
      <c r="J1330" s="129">
        <v>35.0</v>
      </c>
      <c r="K1330" s="129">
        <v>1.0</v>
      </c>
      <c r="L1330" s="129">
        <v>5000.0</v>
      </c>
      <c r="M1330" s="128" t="s">
        <v>429</v>
      </c>
      <c r="N1330" s="129">
        <v>479.0</v>
      </c>
      <c r="O1330" s="128"/>
      <c r="P1330" s="129">
        <v>5000.0</v>
      </c>
      <c r="Q1330" s="128" t="s">
        <v>220</v>
      </c>
    </row>
    <row r="1331">
      <c r="A1331" s="129">
        <v>105.0</v>
      </c>
      <c r="B1331" s="129">
        <v>2015.0</v>
      </c>
      <c r="C1331" s="129">
        <v>24.3</v>
      </c>
      <c r="D1331" s="129">
        <v>50.8929</v>
      </c>
      <c r="E1331" s="129">
        <v>13.5225</v>
      </c>
      <c r="F1331" s="128" t="s">
        <v>219</v>
      </c>
      <c r="G1331" s="128" t="s">
        <v>428</v>
      </c>
      <c r="H1331" s="128" t="s">
        <v>233</v>
      </c>
      <c r="I1331" s="128" t="s">
        <v>234</v>
      </c>
      <c r="J1331" s="129">
        <v>35.0</v>
      </c>
      <c r="K1331" s="129">
        <v>1.0</v>
      </c>
      <c r="L1331" s="129">
        <v>1000.0</v>
      </c>
      <c r="M1331" s="128" t="s">
        <v>429</v>
      </c>
      <c r="N1331" s="129">
        <v>479.0</v>
      </c>
      <c r="O1331" s="128"/>
      <c r="P1331" s="129">
        <v>1000.0</v>
      </c>
      <c r="Q1331" s="128" t="s">
        <v>220</v>
      </c>
    </row>
    <row r="1332">
      <c r="A1332" s="129">
        <v>81.0</v>
      </c>
      <c r="B1332" s="129">
        <v>2014.0</v>
      </c>
      <c r="C1332" s="129">
        <v>17.0</v>
      </c>
      <c r="D1332" s="129">
        <v>50.95</v>
      </c>
      <c r="E1332" s="129">
        <v>13.51</v>
      </c>
      <c r="F1332" s="128" t="s">
        <v>294</v>
      </c>
      <c r="G1332" s="128" t="s">
        <v>390</v>
      </c>
      <c r="H1332" s="128" t="s">
        <v>317</v>
      </c>
      <c r="I1332" s="128" t="s">
        <v>194</v>
      </c>
      <c r="J1332" s="129">
        <v>92.0</v>
      </c>
      <c r="K1332" s="129">
        <v>1.0</v>
      </c>
      <c r="L1332" s="129">
        <v>1000.0</v>
      </c>
      <c r="M1332" s="128" t="s">
        <v>391</v>
      </c>
      <c r="N1332" s="129">
        <v>375.0</v>
      </c>
      <c r="O1332" s="128"/>
      <c r="P1332" s="129">
        <v>1000.0</v>
      </c>
      <c r="Q1332" s="128" t="s">
        <v>220</v>
      </c>
    </row>
    <row r="1333">
      <c r="A1333" s="129">
        <v>101.0</v>
      </c>
      <c r="B1333" s="129">
        <v>2015.0</v>
      </c>
      <c r="C1333" s="129">
        <v>46.8</v>
      </c>
      <c r="D1333" s="129">
        <v>50.964</v>
      </c>
      <c r="E1333" s="129">
        <v>13.567</v>
      </c>
      <c r="F1333" s="128" t="s">
        <v>424</v>
      </c>
      <c r="G1333" s="128" t="s">
        <v>473</v>
      </c>
      <c r="H1333" s="128" t="s">
        <v>233</v>
      </c>
      <c r="I1333" s="128" t="s">
        <v>234</v>
      </c>
      <c r="J1333" s="129">
        <v>36.0</v>
      </c>
      <c r="K1333" s="129">
        <v>1.0</v>
      </c>
      <c r="L1333" s="129">
        <v>5000.0</v>
      </c>
      <c r="M1333" s="128" t="s">
        <v>474</v>
      </c>
      <c r="N1333" s="129">
        <v>385.0</v>
      </c>
      <c r="O1333" s="128"/>
      <c r="P1333" s="129">
        <v>5000.0</v>
      </c>
      <c r="Q1333" s="128" t="s">
        <v>220</v>
      </c>
    </row>
    <row r="1334">
      <c r="A1334" s="129">
        <v>116.0</v>
      </c>
      <c r="B1334" s="129">
        <v>2015.0</v>
      </c>
      <c r="C1334" s="129">
        <v>39.6</v>
      </c>
      <c r="D1334" s="129">
        <v>50.964</v>
      </c>
      <c r="E1334" s="129">
        <v>13.567</v>
      </c>
      <c r="F1334" s="128" t="s">
        <v>219</v>
      </c>
      <c r="G1334" s="128" t="s">
        <v>473</v>
      </c>
      <c r="H1334" s="128" t="s">
        <v>233</v>
      </c>
      <c r="I1334" s="128" t="s">
        <v>234</v>
      </c>
      <c r="J1334" s="129">
        <v>36.0</v>
      </c>
      <c r="K1334" s="129">
        <v>1.0</v>
      </c>
      <c r="L1334" s="129">
        <v>1000.0</v>
      </c>
      <c r="M1334" s="128" t="s">
        <v>474</v>
      </c>
      <c r="N1334" s="129">
        <v>385.0</v>
      </c>
      <c r="O1334" s="128"/>
      <c r="P1334" s="129">
        <v>1000.0</v>
      </c>
      <c r="Q1334" s="128" t="s">
        <v>220</v>
      </c>
    </row>
    <row r="1335">
      <c r="A1335" s="129">
        <v>75.0</v>
      </c>
      <c r="B1335" s="129">
        <v>2014.0</v>
      </c>
      <c r="C1335" s="129">
        <v>23.0</v>
      </c>
      <c r="D1335" s="129">
        <v>51.08</v>
      </c>
      <c r="E1335" s="129">
        <v>10.45</v>
      </c>
      <c r="F1335" s="128" t="s">
        <v>294</v>
      </c>
      <c r="G1335" s="128" t="s">
        <v>373</v>
      </c>
      <c r="H1335" s="128" t="s">
        <v>284</v>
      </c>
      <c r="I1335" s="128" t="s">
        <v>285</v>
      </c>
      <c r="J1335" s="129">
        <v>230.0</v>
      </c>
      <c r="K1335" s="129">
        <v>1.0</v>
      </c>
      <c r="L1335" s="129">
        <v>1000.0</v>
      </c>
      <c r="M1335" s="128" t="s">
        <v>374</v>
      </c>
      <c r="N1335" s="129">
        <v>453.0</v>
      </c>
      <c r="O1335" s="128"/>
      <c r="P1335" s="129">
        <v>1000.0</v>
      </c>
      <c r="Q1335" s="128" t="s">
        <v>220</v>
      </c>
    </row>
    <row r="1336">
      <c r="A1336" s="129">
        <v>122.0</v>
      </c>
      <c r="B1336" s="129">
        <v>2018.0</v>
      </c>
      <c r="C1336" s="129">
        <v>23.0</v>
      </c>
      <c r="D1336" s="129">
        <v>51.1001</v>
      </c>
      <c r="E1336" s="129">
        <v>10.9143</v>
      </c>
      <c r="F1336" s="128" t="s">
        <v>493</v>
      </c>
      <c r="G1336" s="128" t="s">
        <v>498</v>
      </c>
      <c r="H1336" s="128" t="s">
        <v>328</v>
      </c>
      <c r="I1336" s="128" t="s">
        <v>246</v>
      </c>
      <c r="J1336" s="128"/>
      <c r="K1336" s="129">
        <v>1.0</v>
      </c>
      <c r="L1336" s="129">
        <v>250.0</v>
      </c>
      <c r="M1336" s="128" t="s">
        <v>499</v>
      </c>
      <c r="N1336" s="129">
        <v>158.0</v>
      </c>
      <c r="O1336" s="128"/>
      <c r="P1336" s="129">
        <v>250.0</v>
      </c>
      <c r="Q1336" s="128" t="s">
        <v>220</v>
      </c>
    </row>
    <row r="1337">
      <c r="A1337" s="129">
        <v>80.0</v>
      </c>
      <c r="B1337" s="129">
        <v>2014.0</v>
      </c>
      <c r="C1337" s="129">
        <v>27.0</v>
      </c>
      <c r="D1337" s="129">
        <v>51.27</v>
      </c>
      <c r="E1337" s="129">
        <v>10.66</v>
      </c>
      <c r="F1337" s="128" t="s">
        <v>294</v>
      </c>
      <c r="G1337" s="128" t="s">
        <v>388</v>
      </c>
      <c r="H1337" s="128" t="s">
        <v>295</v>
      </c>
      <c r="I1337" s="128" t="s">
        <v>285</v>
      </c>
      <c r="J1337" s="129">
        <v>138.0</v>
      </c>
      <c r="K1337" s="129">
        <v>1.0</v>
      </c>
      <c r="L1337" s="129">
        <v>1000.0</v>
      </c>
      <c r="M1337" s="128" t="s">
        <v>389</v>
      </c>
      <c r="N1337" s="129">
        <v>276.0</v>
      </c>
      <c r="O1337" s="128"/>
      <c r="P1337" s="129">
        <v>1000.0</v>
      </c>
      <c r="Q1337" s="128" t="s">
        <v>220</v>
      </c>
    </row>
    <row r="1338">
      <c r="A1338" s="129">
        <v>96.0</v>
      </c>
      <c r="B1338" s="129">
        <v>2015.0</v>
      </c>
      <c r="C1338" s="129">
        <v>68.8</v>
      </c>
      <c r="D1338" s="129">
        <v>51.309</v>
      </c>
      <c r="E1338" s="129">
        <v>4.521</v>
      </c>
      <c r="F1338" s="128" t="s">
        <v>424</v>
      </c>
      <c r="G1338" s="128" t="s">
        <v>450</v>
      </c>
      <c r="H1338" s="128" t="s">
        <v>233</v>
      </c>
      <c r="I1338" s="128" t="s">
        <v>234</v>
      </c>
      <c r="J1338" s="129">
        <v>36.0</v>
      </c>
      <c r="K1338" s="129">
        <v>1.0</v>
      </c>
      <c r="L1338" s="129">
        <v>5000.0</v>
      </c>
      <c r="M1338" s="128" t="s">
        <v>451</v>
      </c>
      <c r="N1338" s="129">
        <v>22.0</v>
      </c>
      <c r="O1338" s="128"/>
      <c r="P1338" s="129">
        <v>5000.0</v>
      </c>
      <c r="Q1338" s="128" t="s">
        <v>220</v>
      </c>
    </row>
    <row r="1339">
      <c r="A1339" s="129">
        <v>111.0</v>
      </c>
      <c r="B1339" s="129">
        <v>2015.0</v>
      </c>
      <c r="C1339" s="129">
        <v>24.7</v>
      </c>
      <c r="D1339" s="129">
        <v>51.309</v>
      </c>
      <c r="E1339" s="129">
        <v>4.521</v>
      </c>
      <c r="F1339" s="128" t="s">
        <v>219</v>
      </c>
      <c r="G1339" s="128" t="s">
        <v>450</v>
      </c>
      <c r="H1339" s="128" t="s">
        <v>233</v>
      </c>
      <c r="I1339" s="128" t="s">
        <v>234</v>
      </c>
      <c r="J1339" s="129">
        <v>36.0</v>
      </c>
      <c r="K1339" s="129">
        <v>1.0</v>
      </c>
      <c r="L1339" s="129">
        <v>1000.0</v>
      </c>
      <c r="M1339" s="128" t="s">
        <v>451</v>
      </c>
      <c r="N1339" s="129">
        <v>22.0</v>
      </c>
      <c r="O1339" s="128"/>
      <c r="P1339" s="129">
        <v>1000.0</v>
      </c>
      <c r="Q1339" s="128" t="s">
        <v>220</v>
      </c>
    </row>
    <row r="1340">
      <c r="A1340" s="129">
        <v>78.0</v>
      </c>
      <c r="B1340" s="129">
        <v>2014.0</v>
      </c>
      <c r="C1340" s="129">
        <v>12.0</v>
      </c>
      <c r="D1340" s="129">
        <v>51.97</v>
      </c>
      <c r="E1340" s="129">
        <v>4.93</v>
      </c>
      <c r="F1340" s="128" t="s">
        <v>294</v>
      </c>
      <c r="G1340" s="128" t="s">
        <v>383</v>
      </c>
      <c r="H1340" s="128" t="s">
        <v>193</v>
      </c>
      <c r="I1340" s="128" t="s">
        <v>285</v>
      </c>
      <c r="J1340" s="129">
        <v>184.0</v>
      </c>
      <c r="K1340" s="129">
        <v>1.0</v>
      </c>
      <c r="L1340" s="129">
        <v>1000.0</v>
      </c>
      <c r="M1340" s="128" t="s">
        <v>384</v>
      </c>
      <c r="N1340" s="129">
        <v>-1.0</v>
      </c>
      <c r="O1340" s="128"/>
      <c r="P1340" s="129">
        <v>1000.0</v>
      </c>
      <c r="Q1340" s="128" t="s">
        <v>220</v>
      </c>
    </row>
    <row r="1341">
      <c r="A1341" s="129">
        <v>92.0</v>
      </c>
      <c r="B1341" s="129">
        <v>2015.0</v>
      </c>
      <c r="C1341" s="129">
        <v>23.7</v>
      </c>
      <c r="D1341" s="129">
        <v>51.971</v>
      </c>
      <c r="E1341" s="129">
        <v>4.927</v>
      </c>
      <c r="F1341" s="128" t="s">
        <v>424</v>
      </c>
      <c r="G1341" s="128" t="s">
        <v>436</v>
      </c>
      <c r="H1341" s="128" t="s">
        <v>233</v>
      </c>
      <c r="I1341" s="128" t="s">
        <v>234</v>
      </c>
      <c r="J1341" s="129">
        <v>31.0</v>
      </c>
      <c r="K1341" s="129">
        <v>1.0</v>
      </c>
      <c r="L1341" s="129">
        <v>5000.0</v>
      </c>
      <c r="M1341" s="128" t="s">
        <v>384</v>
      </c>
      <c r="N1341" s="129">
        <v>-1.0</v>
      </c>
      <c r="O1341" s="128"/>
      <c r="P1341" s="129">
        <v>5000.0</v>
      </c>
      <c r="Q1341" s="128" t="s">
        <v>220</v>
      </c>
    </row>
    <row r="1342">
      <c r="A1342" s="129">
        <v>107.0</v>
      </c>
      <c r="B1342" s="129">
        <v>2015.0</v>
      </c>
      <c r="C1342" s="129">
        <v>2.9</v>
      </c>
      <c r="D1342" s="129">
        <v>51.971</v>
      </c>
      <c r="E1342" s="129">
        <v>4.927</v>
      </c>
      <c r="F1342" s="128" t="s">
        <v>219</v>
      </c>
      <c r="G1342" s="128" t="s">
        <v>436</v>
      </c>
      <c r="H1342" s="128" t="s">
        <v>233</v>
      </c>
      <c r="I1342" s="128" t="s">
        <v>234</v>
      </c>
      <c r="J1342" s="129">
        <v>31.0</v>
      </c>
      <c r="K1342" s="129">
        <v>1.0</v>
      </c>
      <c r="L1342" s="129">
        <v>1000.0</v>
      </c>
      <c r="M1342" s="128" t="s">
        <v>384</v>
      </c>
      <c r="N1342" s="129">
        <v>-1.0</v>
      </c>
      <c r="O1342" s="128"/>
      <c r="P1342" s="129">
        <v>1000.0</v>
      </c>
      <c r="Q1342" s="128" t="s">
        <v>220</v>
      </c>
    </row>
    <row r="1343">
      <c r="A1343" s="129">
        <v>84.0</v>
      </c>
      <c r="B1343" s="129">
        <v>2014.0</v>
      </c>
      <c r="C1343" s="129">
        <v>20.0</v>
      </c>
      <c r="D1343" s="129">
        <v>52.17</v>
      </c>
      <c r="E1343" s="129">
        <v>5.74</v>
      </c>
      <c r="F1343" s="128" t="s">
        <v>294</v>
      </c>
      <c r="G1343" s="128" t="s">
        <v>400</v>
      </c>
      <c r="H1343" s="128" t="s">
        <v>328</v>
      </c>
      <c r="I1343" s="128" t="s">
        <v>285</v>
      </c>
      <c r="J1343" s="129">
        <v>276.0</v>
      </c>
      <c r="K1343" s="129">
        <v>1.0</v>
      </c>
      <c r="L1343" s="129">
        <v>1000.0</v>
      </c>
      <c r="M1343" s="128" t="s">
        <v>401</v>
      </c>
      <c r="N1343" s="129">
        <v>33.0</v>
      </c>
      <c r="O1343" s="128"/>
      <c r="P1343" s="129">
        <v>1000.0</v>
      </c>
      <c r="Q1343" s="128" t="s">
        <v>220</v>
      </c>
    </row>
    <row r="1344">
      <c r="A1344" s="129">
        <v>85.0</v>
      </c>
      <c r="B1344" s="129">
        <v>2014.0</v>
      </c>
      <c r="C1344" s="129">
        <v>14.0</v>
      </c>
      <c r="D1344" s="129">
        <v>53.628</v>
      </c>
      <c r="E1344" s="129">
        <v>-106.198</v>
      </c>
      <c r="F1344" s="128" t="s">
        <v>294</v>
      </c>
      <c r="G1344" s="128" t="s">
        <v>402</v>
      </c>
      <c r="H1344" s="128" t="s">
        <v>295</v>
      </c>
      <c r="I1344" s="128" t="s">
        <v>194</v>
      </c>
      <c r="J1344" s="129">
        <v>92.0</v>
      </c>
      <c r="K1344" s="129">
        <v>1.0</v>
      </c>
      <c r="L1344" s="129">
        <v>1000.0</v>
      </c>
      <c r="M1344" s="128" t="s">
        <v>403</v>
      </c>
      <c r="N1344" s="129">
        <v>595.0</v>
      </c>
      <c r="O1344" s="128"/>
      <c r="P1344" s="129">
        <v>1000.0</v>
      </c>
      <c r="Q1344" s="128" t="s">
        <v>220</v>
      </c>
    </row>
    <row r="1345">
      <c r="A1345" s="129">
        <v>1200.0</v>
      </c>
      <c r="B1345" s="129">
        <v>2015.0</v>
      </c>
      <c r="C1345" s="129">
        <v>0.7</v>
      </c>
      <c r="D1345" s="129">
        <v>53.63</v>
      </c>
      <c r="E1345" s="129">
        <v>-106.2</v>
      </c>
      <c r="F1345" s="128" t="s">
        <v>2106</v>
      </c>
      <c r="G1345" s="128" t="s">
        <v>2126</v>
      </c>
      <c r="H1345" s="128" t="s">
        <v>1058</v>
      </c>
      <c r="I1345" s="128" t="s">
        <v>285</v>
      </c>
      <c r="J1345" s="128"/>
      <c r="K1345" s="129">
        <v>1.0</v>
      </c>
      <c r="L1345" s="129">
        <v>1000.0</v>
      </c>
      <c r="M1345" s="128" t="s">
        <v>2127</v>
      </c>
      <c r="N1345" s="129">
        <v>596.0</v>
      </c>
      <c r="O1345" s="128"/>
      <c r="P1345" s="129">
        <v>1000.0</v>
      </c>
      <c r="Q1345" s="128" t="s">
        <v>220</v>
      </c>
    </row>
    <row r="1346">
      <c r="A1346" s="129">
        <v>82.0</v>
      </c>
      <c r="B1346" s="129">
        <v>2014.0</v>
      </c>
      <c r="C1346" s="129">
        <v>25.0</v>
      </c>
      <c r="D1346" s="129">
        <v>53.63</v>
      </c>
      <c r="E1346" s="129">
        <v>-106.2</v>
      </c>
      <c r="F1346" s="128" t="s">
        <v>294</v>
      </c>
      <c r="G1346" s="128" t="s">
        <v>392</v>
      </c>
      <c r="H1346" s="128" t="s">
        <v>328</v>
      </c>
      <c r="I1346" s="128" t="s">
        <v>194</v>
      </c>
      <c r="J1346" s="129">
        <v>230.0</v>
      </c>
      <c r="K1346" s="129">
        <v>1.0</v>
      </c>
      <c r="L1346" s="129">
        <v>1000.0</v>
      </c>
      <c r="M1346" s="128" t="s">
        <v>393</v>
      </c>
      <c r="N1346" s="129">
        <v>596.0</v>
      </c>
      <c r="O1346" s="128"/>
      <c r="P1346" s="129">
        <v>1000.0</v>
      </c>
      <c r="Q1346" s="128" t="s">
        <v>220</v>
      </c>
    </row>
    <row r="1347">
      <c r="A1347" s="129">
        <v>1201.0</v>
      </c>
      <c r="B1347" s="129">
        <v>2015.0</v>
      </c>
      <c r="C1347" s="129">
        <v>15.4</v>
      </c>
      <c r="D1347" s="129">
        <v>53.92</v>
      </c>
      <c r="E1347" s="129">
        <v>-104.69</v>
      </c>
      <c r="F1347" s="128" t="s">
        <v>2106</v>
      </c>
      <c r="G1347" s="128" t="s">
        <v>2128</v>
      </c>
      <c r="H1347" s="128" t="s">
        <v>328</v>
      </c>
      <c r="I1347" s="128" t="s">
        <v>285</v>
      </c>
      <c r="J1347" s="128"/>
      <c r="K1347" s="129">
        <v>1.0</v>
      </c>
      <c r="L1347" s="129">
        <v>1000.0</v>
      </c>
      <c r="M1347" s="128" t="s">
        <v>2129</v>
      </c>
      <c r="N1347" s="129">
        <v>514.0</v>
      </c>
      <c r="O1347" s="128"/>
      <c r="P1347" s="129">
        <v>1000.0</v>
      </c>
      <c r="Q1347" s="128" t="s">
        <v>220</v>
      </c>
    </row>
    <row r="1348">
      <c r="A1348" s="129">
        <v>1202.0</v>
      </c>
      <c r="B1348" s="129">
        <v>2015.0</v>
      </c>
      <c r="C1348" s="129">
        <v>8.4</v>
      </c>
      <c r="D1348" s="129">
        <v>53.99</v>
      </c>
      <c r="E1348" s="129">
        <v>-105.12</v>
      </c>
      <c r="F1348" s="128" t="s">
        <v>2106</v>
      </c>
      <c r="G1348" s="128" t="s">
        <v>2130</v>
      </c>
      <c r="H1348" s="128" t="s">
        <v>356</v>
      </c>
      <c r="I1348" s="128" t="s">
        <v>285</v>
      </c>
      <c r="J1348" s="128"/>
      <c r="K1348" s="129">
        <v>1.0</v>
      </c>
      <c r="L1348" s="129">
        <v>1000.0</v>
      </c>
      <c r="M1348" s="128" t="s">
        <v>2131</v>
      </c>
      <c r="N1348" s="129">
        <v>590.0</v>
      </c>
      <c r="O1348" s="128"/>
      <c r="P1348" s="129">
        <v>1000.0</v>
      </c>
      <c r="Q1348" s="128" t="s">
        <v>220</v>
      </c>
    </row>
    <row r="1349">
      <c r="A1349" s="129">
        <v>1190.0</v>
      </c>
      <c r="B1349" s="129">
        <v>2015.0</v>
      </c>
      <c r="C1349" s="129">
        <v>4.0</v>
      </c>
      <c r="D1349" s="129">
        <v>54.95</v>
      </c>
      <c r="E1349" s="129">
        <v>-112.46</v>
      </c>
      <c r="F1349" s="128" t="s">
        <v>2106</v>
      </c>
      <c r="G1349" s="128" t="s">
        <v>2108</v>
      </c>
      <c r="H1349" s="128" t="s">
        <v>295</v>
      </c>
      <c r="I1349" s="128" t="s">
        <v>285</v>
      </c>
      <c r="J1349" s="128"/>
      <c r="K1349" s="129">
        <v>1.0</v>
      </c>
      <c r="L1349" s="129">
        <v>1000.0</v>
      </c>
      <c r="M1349" s="128" t="s">
        <v>2109</v>
      </c>
      <c r="N1349" s="129">
        <v>545.0</v>
      </c>
      <c r="O1349" s="128"/>
      <c r="P1349" s="129">
        <v>1000.0</v>
      </c>
      <c r="Q1349" s="128" t="s">
        <v>220</v>
      </c>
    </row>
    <row r="1350">
      <c r="A1350" s="129">
        <v>678.0</v>
      </c>
      <c r="B1350" s="129">
        <v>2013.0</v>
      </c>
      <c r="C1350" s="129">
        <v>32.8</v>
      </c>
      <c r="D1350" s="129">
        <v>55.86</v>
      </c>
      <c r="E1350" s="129">
        <v>-98.49</v>
      </c>
      <c r="F1350" s="128" t="s">
        <v>220</v>
      </c>
      <c r="G1350" s="128" t="s">
        <v>1324</v>
      </c>
      <c r="H1350" s="128" t="s">
        <v>328</v>
      </c>
      <c r="I1350" s="128" t="s">
        <v>194</v>
      </c>
      <c r="J1350" s="128"/>
      <c r="K1350" s="129">
        <v>1.0</v>
      </c>
      <c r="L1350" s="129">
        <v>3000.0</v>
      </c>
      <c r="M1350" s="128" t="s">
        <v>1325</v>
      </c>
      <c r="N1350" s="129">
        <v>262.0</v>
      </c>
      <c r="O1350" s="128"/>
      <c r="P1350" s="129">
        <v>1000.0</v>
      </c>
      <c r="Q1350" s="128" t="s">
        <v>220</v>
      </c>
    </row>
    <row r="1351">
      <c r="A1351" s="129">
        <v>674.0</v>
      </c>
      <c r="B1351" s="129">
        <v>2013.0</v>
      </c>
      <c r="C1351" s="129">
        <v>7.1</v>
      </c>
      <c r="D1351" s="129">
        <v>55.88</v>
      </c>
      <c r="E1351" s="129">
        <v>-98.48</v>
      </c>
      <c r="F1351" s="128" t="s">
        <v>220</v>
      </c>
      <c r="G1351" s="128" t="s">
        <v>1316</v>
      </c>
      <c r="H1351" s="128" t="s">
        <v>284</v>
      </c>
      <c r="I1351" s="128" t="s">
        <v>194</v>
      </c>
      <c r="J1351" s="128"/>
      <c r="K1351" s="129">
        <v>1.0</v>
      </c>
      <c r="L1351" s="129">
        <v>3000.0</v>
      </c>
      <c r="M1351" s="128" t="s">
        <v>1317</v>
      </c>
      <c r="N1351" s="129">
        <v>262.0</v>
      </c>
      <c r="O1351" s="128"/>
      <c r="P1351" s="129">
        <v>1000.0</v>
      </c>
      <c r="Q1351" s="128" t="s">
        <v>220</v>
      </c>
    </row>
    <row r="1352">
      <c r="A1352" s="129">
        <v>1194.0</v>
      </c>
      <c r="B1352" s="129">
        <v>2015.0</v>
      </c>
      <c r="C1352" s="129">
        <v>10.5</v>
      </c>
      <c r="D1352" s="129">
        <v>55.89</v>
      </c>
      <c r="E1352" s="129">
        <v>-98.48</v>
      </c>
      <c r="F1352" s="128" t="s">
        <v>2106</v>
      </c>
      <c r="G1352" s="128" t="s">
        <v>2114</v>
      </c>
      <c r="H1352" s="128" t="s">
        <v>193</v>
      </c>
      <c r="I1352" s="128" t="s">
        <v>285</v>
      </c>
      <c r="J1352" s="128"/>
      <c r="K1352" s="129">
        <v>1.0</v>
      </c>
      <c r="L1352" s="129">
        <v>1000.0</v>
      </c>
      <c r="M1352" s="128" t="s">
        <v>2115</v>
      </c>
      <c r="N1352" s="129">
        <v>255.0</v>
      </c>
      <c r="O1352" s="128"/>
      <c r="P1352" s="129">
        <v>1000.0</v>
      </c>
      <c r="Q1352" s="128" t="s">
        <v>220</v>
      </c>
    </row>
    <row r="1353">
      <c r="A1353" s="129">
        <v>675.0</v>
      </c>
      <c r="B1353" s="129">
        <v>2013.0</v>
      </c>
      <c r="C1353" s="129">
        <v>5.3</v>
      </c>
      <c r="D1353" s="129">
        <v>55.91</v>
      </c>
      <c r="E1353" s="129">
        <v>-98.53</v>
      </c>
      <c r="F1353" s="128" t="s">
        <v>220</v>
      </c>
      <c r="G1353" s="128" t="s">
        <v>1318</v>
      </c>
      <c r="H1353" s="128" t="s">
        <v>284</v>
      </c>
      <c r="I1353" s="128" t="s">
        <v>194</v>
      </c>
      <c r="J1353" s="128"/>
      <c r="K1353" s="129">
        <v>1.0</v>
      </c>
      <c r="L1353" s="129">
        <v>3000.0</v>
      </c>
      <c r="M1353" s="128" t="s">
        <v>1319</v>
      </c>
      <c r="N1353" s="129">
        <v>259.0</v>
      </c>
      <c r="O1353" s="128"/>
      <c r="P1353" s="129">
        <v>1000.0</v>
      </c>
      <c r="Q1353" s="128" t="s">
        <v>220</v>
      </c>
    </row>
    <row r="1354">
      <c r="A1354" s="129">
        <v>676.0</v>
      </c>
      <c r="B1354" s="129">
        <v>2013.0</v>
      </c>
      <c r="C1354" s="129">
        <v>20.3</v>
      </c>
      <c r="D1354" s="129">
        <v>55.91</v>
      </c>
      <c r="E1354" s="129">
        <v>-98.38</v>
      </c>
      <c r="F1354" s="128" t="s">
        <v>220</v>
      </c>
      <c r="G1354" s="128" t="s">
        <v>1320</v>
      </c>
      <c r="H1354" s="128" t="s">
        <v>328</v>
      </c>
      <c r="I1354" s="128" t="s">
        <v>194</v>
      </c>
      <c r="J1354" s="128"/>
      <c r="K1354" s="129">
        <v>1.0</v>
      </c>
      <c r="L1354" s="129">
        <v>3000.0</v>
      </c>
      <c r="M1354" s="128" t="s">
        <v>1321</v>
      </c>
      <c r="N1354" s="129">
        <v>254.0</v>
      </c>
      <c r="O1354" s="128"/>
      <c r="P1354" s="129">
        <v>1000.0</v>
      </c>
      <c r="Q1354" s="128" t="s">
        <v>220</v>
      </c>
    </row>
    <row r="1355">
      <c r="A1355" s="129">
        <v>677.0</v>
      </c>
      <c r="B1355" s="129">
        <v>2013.0</v>
      </c>
      <c r="C1355" s="129">
        <v>71.1</v>
      </c>
      <c r="D1355" s="129">
        <v>55.91</v>
      </c>
      <c r="E1355" s="129">
        <v>-98.38</v>
      </c>
      <c r="F1355" s="128" t="s">
        <v>220</v>
      </c>
      <c r="G1355" s="128" t="s">
        <v>1322</v>
      </c>
      <c r="H1355" s="128" t="s">
        <v>284</v>
      </c>
      <c r="I1355" s="128" t="s">
        <v>968</v>
      </c>
      <c r="J1355" s="128"/>
      <c r="K1355" s="129">
        <v>1.0</v>
      </c>
      <c r="L1355" s="129">
        <v>3000.0</v>
      </c>
      <c r="M1355" s="128" t="s">
        <v>1323</v>
      </c>
      <c r="N1355" s="129">
        <v>254.0</v>
      </c>
      <c r="O1355" s="128"/>
      <c r="P1355" s="129">
        <v>1000.0</v>
      </c>
      <c r="Q1355" s="128" t="s">
        <v>220</v>
      </c>
    </row>
    <row r="1356">
      <c r="A1356" s="129">
        <v>683.0</v>
      </c>
      <c r="B1356" s="129">
        <v>2013.0</v>
      </c>
      <c r="C1356" s="129">
        <v>17.0</v>
      </c>
      <c r="D1356" s="129">
        <v>55.92</v>
      </c>
      <c r="E1356" s="129">
        <v>-98.96</v>
      </c>
      <c r="F1356" s="128" t="s">
        <v>220</v>
      </c>
      <c r="G1356" s="128" t="s">
        <v>1334</v>
      </c>
      <c r="H1356" s="128" t="s">
        <v>328</v>
      </c>
      <c r="I1356" s="128" t="s">
        <v>194</v>
      </c>
      <c r="J1356" s="128"/>
      <c r="K1356" s="129">
        <v>1.0</v>
      </c>
      <c r="L1356" s="129">
        <v>3000.0</v>
      </c>
      <c r="M1356" s="128" t="s">
        <v>1335</v>
      </c>
      <c r="N1356" s="129">
        <v>251.0</v>
      </c>
      <c r="O1356" s="128"/>
      <c r="P1356" s="129">
        <v>1000.0</v>
      </c>
      <c r="Q1356" s="128" t="s">
        <v>220</v>
      </c>
    </row>
    <row r="1357">
      <c r="A1357" s="129">
        <v>1487.0</v>
      </c>
      <c r="B1357" s="129">
        <v>2014.0</v>
      </c>
      <c r="C1357" s="129">
        <v>7.0</v>
      </c>
      <c r="D1357" s="129">
        <v>56.04</v>
      </c>
      <c r="E1357" s="129">
        <v>-115.28</v>
      </c>
      <c r="F1357" s="128" t="s">
        <v>2529</v>
      </c>
      <c r="G1357" s="128" t="s">
        <v>2519</v>
      </c>
      <c r="H1357" s="128" t="s">
        <v>1979</v>
      </c>
      <c r="I1357" s="128" t="s">
        <v>2518</v>
      </c>
      <c r="J1357" s="128"/>
      <c r="K1357" s="129">
        <v>1.0</v>
      </c>
      <c r="L1357" s="129">
        <v>1.0</v>
      </c>
      <c r="M1357" s="128" t="s">
        <v>2520</v>
      </c>
      <c r="N1357" s="129">
        <v>640.0</v>
      </c>
      <c r="O1357" s="128"/>
      <c r="P1357" s="129">
        <v>1.0</v>
      </c>
      <c r="Q1357" s="128" t="s">
        <v>220</v>
      </c>
    </row>
    <row r="1358">
      <c r="A1358" s="129">
        <v>1489.0</v>
      </c>
      <c r="B1358" s="129">
        <v>2014.0</v>
      </c>
      <c r="C1358" s="129">
        <v>-5.0</v>
      </c>
      <c r="D1358" s="129">
        <v>56.04</v>
      </c>
      <c r="E1358" s="129">
        <v>-115.28</v>
      </c>
      <c r="F1358" s="128" t="s">
        <v>2529</v>
      </c>
      <c r="G1358" s="128" t="s">
        <v>2519</v>
      </c>
      <c r="H1358" s="128" t="s">
        <v>1979</v>
      </c>
      <c r="I1358" s="128" t="s">
        <v>2518</v>
      </c>
      <c r="J1358" s="128"/>
      <c r="K1358" s="129">
        <v>1.0</v>
      </c>
      <c r="L1358" s="129">
        <v>1.0</v>
      </c>
      <c r="M1358" s="128" t="s">
        <v>2520</v>
      </c>
      <c r="N1358" s="129">
        <v>640.0</v>
      </c>
      <c r="O1358" s="128"/>
      <c r="P1358" s="129">
        <v>1.0</v>
      </c>
      <c r="Q1358" s="128" t="s">
        <v>220</v>
      </c>
    </row>
    <row r="1359">
      <c r="A1359" s="129">
        <v>1486.0</v>
      </c>
      <c r="B1359" s="129">
        <v>2014.0</v>
      </c>
      <c r="C1359" s="129">
        <v>-2.0</v>
      </c>
      <c r="D1359" s="129">
        <v>56.04</v>
      </c>
      <c r="E1359" s="129">
        <v>-115.28</v>
      </c>
      <c r="F1359" s="128" t="s">
        <v>2526</v>
      </c>
      <c r="G1359" s="128" t="s">
        <v>2519</v>
      </c>
      <c r="H1359" s="128" t="s">
        <v>1979</v>
      </c>
      <c r="I1359" s="128" t="s">
        <v>2518</v>
      </c>
      <c r="J1359" s="128"/>
      <c r="K1359" s="129">
        <v>1.0</v>
      </c>
      <c r="L1359" s="129">
        <v>1.0</v>
      </c>
      <c r="M1359" s="128" t="s">
        <v>2520</v>
      </c>
      <c r="N1359" s="129">
        <v>640.0</v>
      </c>
      <c r="O1359" s="128"/>
      <c r="P1359" s="129">
        <v>1.0</v>
      </c>
      <c r="Q1359" s="128" t="s">
        <v>220</v>
      </c>
    </row>
    <row r="1360">
      <c r="A1360" s="129">
        <v>1488.0</v>
      </c>
      <c r="B1360" s="129">
        <v>2014.0</v>
      </c>
      <c r="C1360" s="129">
        <v>-3.0</v>
      </c>
      <c r="D1360" s="129">
        <v>56.04</v>
      </c>
      <c r="E1360" s="129">
        <v>-115.28</v>
      </c>
      <c r="F1360" s="128" t="s">
        <v>2526</v>
      </c>
      <c r="G1360" s="128" t="s">
        <v>2519</v>
      </c>
      <c r="H1360" s="128" t="s">
        <v>1979</v>
      </c>
      <c r="I1360" s="128" t="s">
        <v>2518</v>
      </c>
      <c r="J1360" s="128"/>
      <c r="K1360" s="129">
        <v>1.0</v>
      </c>
      <c r="L1360" s="129">
        <v>1.0</v>
      </c>
      <c r="M1360" s="128" t="s">
        <v>2520</v>
      </c>
      <c r="N1360" s="129">
        <v>640.0</v>
      </c>
      <c r="O1360" s="128"/>
      <c r="P1360" s="129">
        <v>1.0</v>
      </c>
      <c r="Q1360" s="128" t="s">
        <v>220</v>
      </c>
    </row>
    <row r="1361">
      <c r="A1361" s="129">
        <v>632.0</v>
      </c>
      <c r="B1361" s="129">
        <v>2014.0</v>
      </c>
      <c r="C1361" s="129">
        <v>66.0</v>
      </c>
      <c r="D1361" s="129">
        <v>56.46</v>
      </c>
      <c r="E1361" s="129">
        <v>32.92</v>
      </c>
      <c r="F1361" s="128" t="s">
        <v>1190</v>
      </c>
      <c r="G1361" s="128" t="s">
        <v>480</v>
      </c>
      <c r="H1361" s="128" t="s">
        <v>356</v>
      </c>
      <c r="I1361" s="128" t="s">
        <v>285</v>
      </c>
      <c r="J1361" s="128"/>
      <c r="K1361" s="129">
        <v>1.0</v>
      </c>
      <c r="L1361" s="129">
        <v>10000.0</v>
      </c>
      <c r="M1361" s="128" t="s">
        <v>481</v>
      </c>
      <c r="N1361" s="129">
        <v>276.0</v>
      </c>
      <c r="O1361" s="128"/>
      <c r="P1361" s="129">
        <v>10000.0</v>
      </c>
      <c r="Q1361" s="128" t="s">
        <v>220</v>
      </c>
    </row>
    <row r="1362">
      <c r="A1362" s="129">
        <v>103.0</v>
      </c>
      <c r="B1362" s="129">
        <v>2015.0</v>
      </c>
      <c r="C1362" s="129">
        <v>25.2</v>
      </c>
      <c r="D1362" s="129">
        <v>56.462</v>
      </c>
      <c r="E1362" s="129">
        <v>32.922</v>
      </c>
      <c r="F1362" s="128" t="s">
        <v>424</v>
      </c>
      <c r="G1362" s="128" t="s">
        <v>480</v>
      </c>
      <c r="H1362" s="128" t="s">
        <v>233</v>
      </c>
      <c r="I1362" s="128" t="s">
        <v>234</v>
      </c>
      <c r="J1362" s="129">
        <v>33.0</v>
      </c>
      <c r="K1362" s="129">
        <v>1.0</v>
      </c>
      <c r="L1362" s="129">
        <v>1000.0</v>
      </c>
      <c r="M1362" s="128" t="s">
        <v>481</v>
      </c>
      <c r="N1362" s="129">
        <v>275.0</v>
      </c>
      <c r="O1362" s="128"/>
      <c r="P1362" s="129">
        <v>1000.0</v>
      </c>
      <c r="Q1362" s="128" t="s">
        <v>220</v>
      </c>
    </row>
    <row r="1363">
      <c r="A1363" s="129">
        <v>118.0</v>
      </c>
      <c r="B1363" s="129">
        <v>2015.0</v>
      </c>
      <c r="C1363" s="129">
        <v>21.4</v>
      </c>
      <c r="D1363" s="129">
        <v>56.462</v>
      </c>
      <c r="E1363" s="129">
        <v>32.922</v>
      </c>
      <c r="F1363" s="128" t="s">
        <v>219</v>
      </c>
      <c r="G1363" s="128" t="s">
        <v>480</v>
      </c>
      <c r="H1363" s="128" t="s">
        <v>233</v>
      </c>
      <c r="I1363" s="128" t="s">
        <v>234</v>
      </c>
      <c r="J1363" s="129">
        <v>33.0</v>
      </c>
      <c r="K1363" s="129">
        <v>1.0</v>
      </c>
      <c r="L1363" s="129">
        <v>1000.0</v>
      </c>
      <c r="M1363" s="128" t="s">
        <v>481</v>
      </c>
      <c r="N1363" s="129">
        <v>275.0</v>
      </c>
      <c r="O1363" s="128"/>
      <c r="P1363" s="129">
        <v>1000.0</v>
      </c>
      <c r="Q1363" s="128" t="s">
        <v>220</v>
      </c>
    </row>
    <row r="1364">
      <c r="A1364" s="129">
        <v>684.0</v>
      </c>
      <c r="B1364" s="129">
        <v>2013.0</v>
      </c>
      <c r="C1364" s="129">
        <v>28.8</v>
      </c>
      <c r="D1364" s="129">
        <v>56.64</v>
      </c>
      <c r="E1364" s="129">
        <v>-99.95</v>
      </c>
      <c r="F1364" s="128" t="s">
        <v>220</v>
      </c>
      <c r="G1364" s="128" t="s">
        <v>1337</v>
      </c>
      <c r="H1364" s="128" t="s">
        <v>317</v>
      </c>
      <c r="I1364" s="128" t="s">
        <v>194</v>
      </c>
      <c r="J1364" s="128"/>
      <c r="K1364" s="129">
        <v>1.0</v>
      </c>
      <c r="L1364" s="129">
        <v>3000.0</v>
      </c>
      <c r="M1364" s="128" t="s">
        <v>1338</v>
      </c>
      <c r="N1364" s="129">
        <v>272.0</v>
      </c>
      <c r="O1364" s="128"/>
      <c r="P1364" s="129">
        <v>1000.0</v>
      </c>
      <c r="Q1364" s="128" t="s">
        <v>220</v>
      </c>
    </row>
    <row r="1365">
      <c r="A1365" s="129">
        <v>633.0</v>
      </c>
      <c r="B1365" s="129">
        <v>2014.0</v>
      </c>
      <c r="C1365" s="129">
        <v>-19.0</v>
      </c>
      <c r="D1365" s="129">
        <v>60.8</v>
      </c>
      <c r="E1365" s="129">
        <v>89.35</v>
      </c>
      <c r="F1365" s="128" t="s">
        <v>1190</v>
      </c>
      <c r="G1365" s="128" t="s">
        <v>1242</v>
      </c>
      <c r="H1365" s="128" t="s">
        <v>284</v>
      </c>
      <c r="I1365" s="128" t="s">
        <v>194</v>
      </c>
      <c r="J1365" s="128"/>
      <c r="K1365" s="129">
        <v>1.0</v>
      </c>
      <c r="L1365" s="129">
        <v>10000.0</v>
      </c>
      <c r="M1365" s="128" t="s">
        <v>1243</v>
      </c>
      <c r="N1365" s="128"/>
      <c r="O1365" s="128"/>
      <c r="P1365" s="129">
        <v>10000.0</v>
      </c>
      <c r="Q1365" s="128" t="s">
        <v>220</v>
      </c>
    </row>
    <row r="1366">
      <c r="A1366" s="129">
        <v>126.0</v>
      </c>
      <c r="B1366" s="129">
        <v>2018.0</v>
      </c>
      <c r="C1366" s="129">
        <v>65.0</v>
      </c>
      <c r="D1366" s="129">
        <v>60.8986</v>
      </c>
      <c r="E1366" s="129">
        <v>23.5135</v>
      </c>
      <c r="F1366" s="128" t="s">
        <v>493</v>
      </c>
      <c r="G1366" s="128" t="s">
        <v>510</v>
      </c>
      <c r="H1366" s="128" t="s">
        <v>328</v>
      </c>
      <c r="I1366" s="128" t="s">
        <v>363</v>
      </c>
      <c r="J1366" s="128"/>
      <c r="K1366" s="129">
        <v>1.0</v>
      </c>
      <c r="L1366" s="129">
        <v>250.0</v>
      </c>
      <c r="M1366" s="128" t="s">
        <v>511</v>
      </c>
      <c r="N1366" s="128"/>
      <c r="O1366" s="128"/>
      <c r="P1366" s="129">
        <v>250.0</v>
      </c>
      <c r="Q1366" s="128" t="s">
        <v>220</v>
      </c>
    </row>
    <row r="1367">
      <c r="A1367" s="129">
        <v>87.0</v>
      </c>
      <c r="B1367" s="129">
        <v>2014.0</v>
      </c>
      <c r="C1367" s="129">
        <v>18.0</v>
      </c>
      <c r="D1367" s="129">
        <v>68.486</v>
      </c>
      <c r="E1367" s="129">
        <v>-155.75</v>
      </c>
      <c r="F1367" s="128" t="s">
        <v>294</v>
      </c>
      <c r="G1367" s="128" t="s">
        <v>408</v>
      </c>
      <c r="H1367" s="128" t="s">
        <v>295</v>
      </c>
      <c r="I1367" s="128" t="s">
        <v>285</v>
      </c>
      <c r="J1367" s="129">
        <v>138.0</v>
      </c>
      <c r="K1367" s="129">
        <v>1.0</v>
      </c>
      <c r="L1367" s="129">
        <v>1000.0</v>
      </c>
      <c r="M1367" s="128" t="s">
        <v>409</v>
      </c>
      <c r="N1367" s="128"/>
      <c r="O1367" s="128"/>
      <c r="P1367" s="129">
        <v>1000.0</v>
      </c>
      <c r="Q1367" s="128" t="s">
        <v>220</v>
      </c>
    </row>
    <row r="1368">
      <c r="A1368" s="129">
        <v>1030.0</v>
      </c>
      <c r="B1368" s="129">
        <v>2021.0</v>
      </c>
      <c r="C1368" s="129">
        <v>-10.7</v>
      </c>
      <c r="D1368" s="129">
        <v>-54.97</v>
      </c>
      <c r="E1368" s="129">
        <v>-66.73</v>
      </c>
      <c r="F1368" s="128" t="s">
        <v>202</v>
      </c>
      <c r="G1368" s="128" t="s">
        <v>1899</v>
      </c>
      <c r="H1368" s="128" t="s">
        <v>818</v>
      </c>
      <c r="I1368" s="128" t="s">
        <v>1898</v>
      </c>
      <c r="J1368" s="129">
        <v>279.0</v>
      </c>
      <c r="K1368" s="129">
        <v>1.0</v>
      </c>
      <c r="L1368" s="128"/>
      <c r="M1368" s="128"/>
      <c r="N1368" s="129">
        <v>38.0</v>
      </c>
      <c r="O1368" s="128"/>
      <c r="P1368" s="129">
        <v>500.0</v>
      </c>
      <c r="Q1368" s="128" t="s">
        <v>203</v>
      </c>
    </row>
    <row r="1369">
      <c r="A1369" s="129">
        <v>1055.0</v>
      </c>
      <c r="B1369" s="129">
        <v>2021.0</v>
      </c>
      <c r="C1369" s="129">
        <v>29.36</v>
      </c>
      <c r="D1369" s="129">
        <v>-54.97</v>
      </c>
      <c r="E1369" s="129">
        <v>-66.73</v>
      </c>
      <c r="F1369" s="128" t="s">
        <v>881</v>
      </c>
      <c r="G1369" s="128" t="s">
        <v>1899</v>
      </c>
      <c r="H1369" s="128" t="s">
        <v>818</v>
      </c>
      <c r="I1369" s="128" t="s">
        <v>1898</v>
      </c>
      <c r="J1369" s="129">
        <v>271.0</v>
      </c>
      <c r="K1369" s="129">
        <v>1.0</v>
      </c>
      <c r="L1369" s="128"/>
      <c r="M1369" s="128"/>
      <c r="N1369" s="129">
        <v>38.0</v>
      </c>
      <c r="O1369" s="128"/>
      <c r="P1369" s="129">
        <v>500.0</v>
      </c>
      <c r="Q1369" s="128" t="s">
        <v>203</v>
      </c>
    </row>
    <row r="1370">
      <c r="A1370" s="129">
        <v>1031.0</v>
      </c>
      <c r="B1370" s="129">
        <v>2021.0</v>
      </c>
      <c r="C1370" s="129">
        <v>-39.52</v>
      </c>
      <c r="D1370" s="129">
        <v>-54.83</v>
      </c>
      <c r="E1370" s="129">
        <v>-68.45</v>
      </c>
      <c r="F1370" s="128" t="s">
        <v>202</v>
      </c>
      <c r="G1370" s="128" t="s">
        <v>1901</v>
      </c>
      <c r="H1370" s="128" t="s">
        <v>818</v>
      </c>
      <c r="I1370" s="128" t="s">
        <v>1900</v>
      </c>
      <c r="J1370" s="129">
        <v>99.0</v>
      </c>
      <c r="K1370" s="129">
        <v>1.0</v>
      </c>
      <c r="L1370" s="128"/>
      <c r="M1370" s="128"/>
      <c r="N1370" s="129">
        <v>95.0</v>
      </c>
      <c r="O1370" s="128"/>
      <c r="P1370" s="129">
        <v>500.0</v>
      </c>
      <c r="Q1370" s="128" t="s">
        <v>203</v>
      </c>
    </row>
    <row r="1371">
      <c r="A1371" s="129">
        <v>1056.0</v>
      </c>
      <c r="B1371" s="129">
        <v>2021.0</v>
      </c>
      <c r="C1371" s="129">
        <v>-62.38</v>
      </c>
      <c r="D1371" s="129">
        <v>-54.83</v>
      </c>
      <c r="E1371" s="129">
        <v>-68.45</v>
      </c>
      <c r="F1371" s="128" t="s">
        <v>881</v>
      </c>
      <c r="G1371" s="128" t="s">
        <v>1901</v>
      </c>
      <c r="H1371" s="128" t="s">
        <v>818</v>
      </c>
      <c r="I1371" s="128" t="s">
        <v>1900</v>
      </c>
      <c r="J1371" s="129">
        <v>87.0</v>
      </c>
      <c r="K1371" s="129">
        <v>1.0</v>
      </c>
      <c r="L1371" s="128"/>
      <c r="M1371" s="128"/>
      <c r="N1371" s="129">
        <v>95.0</v>
      </c>
      <c r="O1371" s="128"/>
      <c r="P1371" s="129">
        <v>500.0</v>
      </c>
      <c r="Q1371" s="128" t="s">
        <v>203</v>
      </c>
    </row>
    <row r="1372">
      <c r="A1372" s="129">
        <v>1029.0</v>
      </c>
      <c r="B1372" s="129">
        <v>2021.0</v>
      </c>
      <c r="C1372" s="129">
        <v>15.9</v>
      </c>
      <c r="D1372" s="129">
        <v>-41.88</v>
      </c>
      <c r="E1372" s="129">
        <v>-73.68</v>
      </c>
      <c r="F1372" s="128" t="s">
        <v>202</v>
      </c>
      <c r="G1372" s="128" t="s">
        <v>1897</v>
      </c>
      <c r="H1372" s="128" t="s">
        <v>1895</v>
      </c>
      <c r="I1372" s="128" t="s">
        <v>1896</v>
      </c>
      <c r="J1372" s="129">
        <v>401.0</v>
      </c>
      <c r="K1372" s="129">
        <v>1.0</v>
      </c>
      <c r="L1372" s="128"/>
      <c r="M1372" s="128"/>
      <c r="N1372" s="129">
        <v>17.0</v>
      </c>
      <c r="O1372" s="128"/>
      <c r="P1372" s="129">
        <v>500.0</v>
      </c>
      <c r="Q1372" s="128" t="s">
        <v>203</v>
      </c>
    </row>
    <row r="1373">
      <c r="A1373" s="129">
        <v>1054.0</v>
      </c>
      <c r="B1373" s="129">
        <v>2021.0</v>
      </c>
      <c r="C1373" s="129">
        <v>36.51</v>
      </c>
      <c r="D1373" s="129">
        <v>-41.88</v>
      </c>
      <c r="E1373" s="129">
        <v>-73.68</v>
      </c>
      <c r="F1373" s="128" t="s">
        <v>881</v>
      </c>
      <c r="G1373" s="128" t="s">
        <v>1897</v>
      </c>
      <c r="H1373" s="128" t="s">
        <v>1895</v>
      </c>
      <c r="I1373" s="128" t="s">
        <v>1896</v>
      </c>
      <c r="J1373" s="129">
        <v>180.0</v>
      </c>
      <c r="K1373" s="129">
        <v>1.0</v>
      </c>
      <c r="L1373" s="128"/>
      <c r="M1373" s="128"/>
      <c r="N1373" s="129">
        <v>17.0</v>
      </c>
      <c r="O1373" s="128"/>
      <c r="P1373" s="129">
        <v>500.0</v>
      </c>
      <c r="Q1373" s="128" t="s">
        <v>203</v>
      </c>
    </row>
    <row r="1374">
      <c r="A1374" s="129">
        <v>1028.0</v>
      </c>
      <c r="B1374" s="129">
        <v>2021.0</v>
      </c>
      <c r="C1374" s="129">
        <v>-12.73</v>
      </c>
      <c r="D1374" s="129">
        <v>-37.75</v>
      </c>
      <c r="E1374" s="129">
        <v>-58.34</v>
      </c>
      <c r="F1374" s="128" t="s">
        <v>202</v>
      </c>
      <c r="G1374" s="128" t="s">
        <v>1894</v>
      </c>
      <c r="H1374" s="128" t="s">
        <v>167</v>
      </c>
      <c r="I1374" s="128" t="s">
        <v>1893</v>
      </c>
      <c r="J1374" s="129">
        <v>51.0</v>
      </c>
      <c r="K1374" s="129">
        <v>1.0</v>
      </c>
      <c r="L1374" s="128"/>
      <c r="M1374" s="128"/>
      <c r="N1374" s="129">
        <v>113.0</v>
      </c>
      <c r="O1374" s="128"/>
      <c r="P1374" s="129">
        <v>500.0</v>
      </c>
      <c r="Q1374" s="128" t="s">
        <v>203</v>
      </c>
    </row>
    <row r="1375">
      <c r="A1375" s="129">
        <v>1053.0</v>
      </c>
      <c r="B1375" s="129">
        <v>2021.0</v>
      </c>
      <c r="C1375" s="129">
        <v>-16.66</v>
      </c>
      <c r="D1375" s="129">
        <v>-37.75</v>
      </c>
      <c r="E1375" s="129">
        <v>-58.34</v>
      </c>
      <c r="F1375" s="128" t="s">
        <v>881</v>
      </c>
      <c r="G1375" s="128" t="s">
        <v>1894</v>
      </c>
      <c r="H1375" s="128" t="s">
        <v>167</v>
      </c>
      <c r="I1375" s="128" t="s">
        <v>1893</v>
      </c>
      <c r="J1375" s="129">
        <v>63.0</v>
      </c>
      <c r="K1375" s="129">
        <v>1.0</v>
      </c>
      <c r="L1375" s="128"/>
      <c r="M1375" s="128"/>
      <c r="N1375" s="129">
        <v>113.0</v>
      </c>
      <c r="O1375" s="128"/>
      <c r="P1375" s="129">
        <v>500.0</v>
      </c>
      <c r="Q1375" s="128" t="s">
        <v>203</v>
      </c>
    </row>
    <row r="1376">
      <c r="A1376" s="129">
        <v>1027.0</v>
      </c>
      <c r="B1376" s="129">
        <v>2021.0</v>
      </c>
      <c r="C1376" s="129">
        <v>-85.2</v>
      </c>
      <c r="D1376" s="129">
        <v>-37.55</v>
      </c>
      <c r="E1376" s="129">
        <v>-57.3</v>
      </c>
      <c r="F1376" s="128" t="s">
        <v>202</v>
      </c>
      <c r="G1376" s="128" t="s">
        <v>1892</v>
      </c>
      <c r="H1376" s="128" t="s">
        <v>245</v>
      </c>
      <c r="I1376" s="128" t="s">
        <v>1891</v>
      </c>
      <c r="J1376" s="129">
        <v>121.0</v>
      </c>
      <c r="K1376" s="129">
        <v>1.0</v>
      </c>
      <c r="L1376" s="128"/>
      <c r="M1376" s="128"/>
      <c r="N1376" s="129">
        <v>3.0</v>
      </c>
      <c r="O1376" s="128"/>
      <c r="P1376" s="129">
        <v>500.0</v>
      </c>
      <c r="Q1376" s="128" t="s">
        <v>203</v>
      </c>
    </row>
    <row r="1377">
      <c r="A1377" s="129">
        <v>1052.0</v>
      </c>
      <c r="B1377" s="129">
        <v>2021.0</v>
      </c>
      <c r="C1377" s="129">
        <v>8.34</v>
      </c>
      <c r="D1377" s="129">
        <v>-37.55</v>
      </c>
      <c r="E1377" s="129">
        <v>-57.3</v>
      </c>
      <c r="F1377" s="128" t="s">
        <v>881</v>
      </c>
      <c r="G1377" s="128" t="s">
        <v>1892</v>
      </c>
      <c r="H1377" s="128" t="s">
        <v>245</v>
      </c>
      <c r="I1377" s="128" t="s">
        <v>1891</v>
      </c>
      <c r="J1377" s="129">
        <v>121.0</v>
      </c>
      <c r="K1377" s="129">
        <v>1.0</v>
      </c>
      <c r="L1377" s="128"/>
      <c r="M1377" s="128"/>
      <c r="N1377" s="129">
        <v>3.0</v>
      </c>
      <c r="O1377" s="128"/>
      <c r="P1377" s="129">
        <v>500.0</v>
      </c>
      <c r="Q1377" s="128" t="s">
        <v>203</v>
      </c>
    </row>
    <row r="1378">
      <c r="A1378" s="129">
        <v>1026.0</v>
      </c>
      <c r="B1378" s="129">
        <v>2021.0</v>
      </c>
      <c r="C1378" s="129">
        <v>-10.88</v>
      </c>
      <c r="D1378" s="129">
        <v>-35.62</v>
      </c>
      <c r="E1378" s="129">
        <v>-61.32</v>
      </c>
      <c r="F1378" s="128" t="s">
        <v>202</v>
      </c>
      <c r="G1378" s="128" t="s">
        <v>1890</v>
      </c>
      <c r="H1378" s="128" t="s">
        <v>1474</v>
      </c>
      <c r="I1378" s="128" t="s">
        <v>1889</v>
      </c>
      <c r="J1378" s="129">
        <v>208.0</v>
      </c>
      <c r="K1378" s="129">
        <v>1.0</v>
      </c>
      <c r="L1378" s="128"/>
      <c r="M1378" s="128"/>
      <c r="N1378" s="129">
        <v>81.0</v>
      </c>
      <c r="O1378" s="128"/>
      <c r="P1378" s="129">
        <v>500.0</v>
      </c>
      <c r="Q1378" s="128" t="s">
        <v>203</v>
      </c>
    </row>
    <row r="1379">
      <c r="A1379" s="129">
        <v>1051.0</v>
      </c>
      <c r="B1379" s="129">
        <v>2021.0</v>
      </c>
      <c r="C1379" s="129">
        <v>-13.94</v>
      </c>
      <c r="D1379" s="129">
        <v>-35.62</v>
      </c>
      <c r="E1379" s="129">
        <v>-61.32</v>
      </c>
      <c r="F1379" s="128" t="s">
        <v>881</v>
      </c>
      <c r="G1379" s="128" t="s">
        <v>1890</v>
      </c>
      <c r="H1379" s="128" t="s">
        <v>1474</v>
      </c>
      <c r="I1379" s="128" t="s">
        <v>1889</v>
      </c>
      <c r="J1379" s="129">
        <v>206.0</v>
      </c>
      <c r="K1379" s="129">
        <v>1.0</v>
      </c>
      <c r="L1379" s="128"/>
      <c r="M1379" s="128"/>
      <c r="N1379" s="129">
        <v>81.0</v>
      </c>
      <c r="O1379" s="128"/>
      <c r="P1379" s="129">
        <v>500.0</v>
      </c>
      <c r="Q1379" s="128" t="s">
        <v>203</v>
      </c>
    </row>
    <row r="1380">
      <c r="A1380" s="129">
        <v>1025.0</v>
      </c>
      <c r="B1380" s="129">
        <v>2021.0</v>
      </c>
      <c r="C1380" s="129">
        <v>-29.72</v>
      </c>
      <c r="D1380" s="129">
        <v>-33.46</v>
      </c>
      <c r="E1380" s="129">
        <v>-66.46</v>
      </c>
      <c r="F1380" s="128" t="s">
        <v>202</v>
      </c>
      <c r="G1380" s="128" t="s">
        <v>1888</v>
      </c>
      <c r="H1380" s="128" t="s">
        <v>969</v>
      </c>
      <c r="I1380" s="128" t="s">
        <v>1887</v>
      </c>
      <c r="J1380" s="129">
        <v>234.0</v>
      </c>
      <c r="K1380" s="129">
        <v>1.0</v>
      </c>
      <c r="L1380" s="128"/>
      <c r="M1380" s="128"/>
      <c r="N1380" s="129">
        <v>507.0</v>
      </c>
      <c r="O1380" s="128"/>
      <c r="P1380" s="129">
        <v>500.0</v>
      </c>
      <c r="Q1380" s="128" t="s">
        <v>203</v>
      </c>
    </row>
    <row r="1381">
      <c r="A1381" s="129">
        <v>1050.0</v>
      </c>
      <c r="B1381" s="129">
        <v>2021.0</v>
      </c>
      <c r="C1381" s="129">
        <v>30.08</v>
      </c>
      <c r="D1381" s="129">
        <v>-33.46</v>
      </c>
      <c r="E1381" s="129">
        <v>-66.46</v>
      </c>
      <c r="F1381" s="128" t="s">
        <v>881</v>
      </c>
      <c r="G1381" s="128" t="s">
        <v>1888</v>
      </c>
      <c r="H1381" s="128" t="s">
        <v>969</v>
      </c>
      <c r="I1381" s="128" t="s">
        <v>1887</v>
      </c>
      <c r="J1381" s="129">
        <v>225.0</v>
      </c>
      <c r="K1381" s="129">
        <v>1.0</v>
      </c>
      <c r="L1381" s="128"/>
      <c r="M1381" s="128"/>
      <c r="N1381" s="129">
        <v>507.0</v>
      </c>
      <c r="O1381" s="128"/>
      <c r="P1381" s="129">
        <v>500.0</v>
      </c>
      <c r="Q1381" s="128" t="s">
        <v>203</v>
      </c>
    </row>
    <row r="1382">
      <c r="A1382" s="129">
        <v>1397.0</v>
      </c>
      <c r="B1382" s="129">
        <v>2013.0</v>
      </c>
      <c r="C1382" s="129">
        <v>87.7</v>
      </c>
      <c r="D1382" s="129">
        <v>-25.0197</v>
      </c>
      <c r="E1382" s="129">
        <v>31.4969</v>
      </c>
      <c r="F1382" s="128" t="s">
        <v>881</v>
      </c>
      <c r="G1382" s="128" t="s">
        <v>1014</v>
      </c>
      <c r="H1382" s="128" t="s">
        <v>356</v>
      </c>
      <c r="I1382" s="128" t="s">
        <v>676</v>
      </c>
      <c r="J1382" s="128"/>
      <c r="K1382" s="129">
        <v>1.0</v>
      </c>
      <c r="L1382" s="128" t="s">
        <v>2437</v>
      </c>
      <c r="M1382" s="128" t="s">
        <v>365</v>
      </c>
      <c r="N1382" s="129">
        <v>362.0</v>
      </c>
      <c r="O1382" s="128"/>
      <c r="P1382" s="128" t="s">
        <v>2437</v>
      </c>
      <c r="Q1382" s="128" t="s">
        <v>203</v>
      </c>
    </row>
    <row r="1383">
      <c r="A1383" s="129">
        <v>1403.0</v>
      </c>
      <c r="B1383" s="129">
        <v>2013.0</v>
      </c>
      <c r="C1383" s="129">
        <v>56.67</v>
      </c>
      <c r="D1383" s="129">
        <v>-25.0197</v>
      </c>
      <c r="E1383" s="129">
        <v>31.4969</v>
      </c>
      <c r="F1383" s="128" t="s">
        <v>2468</v>
      </c>
      <c r="G1383" s="128" t="s">
        <v>1014</v>
      </c>
      <c r="H1383" s="128" t="s">
        <v>356</v>
      </c>
      <c r="I1383" s="128" t="s">
        <v>676</v>
      </c>
      <c r="J1383" s="128"/>
      <c r="K1383" s="129">
        <v>1.0</v>
      </c>
      <c r="L1383" s="128" t="s">
        <v>2437</v>
      </c>
      <c r="M1383" s="128" t="s">
        <v>365</v>
      </c>
      <c r="N1383" s="129">
        <v>362.0</v>
      </c>
      <c r="O1383" s="128"/>
      <c r="P1383" s="128" t="s">
        <v>2437</v>
      </c>
      <c r="Q1383" s="128" t="s">
        <v>203</v>
      </c>
    </row>
    <row r="1384">
      <c r="A1384" s="129">
        <v>1024.0</v>
      </c>
      <c r="B1384" s="129">
        <v>2021.0</v>
      </c>
      <c r="C1384" s="129">
        <v>8.61</v>
      </c>
      <c r="D1384" s="129">
        <v>-21.64</v>
      </c>
      <c r="E1384" s="129">
        <v>-47.79</v>
      </c>
      <c r="F1384" s="128" t="s">
        <v>202</v>
      </c>
      <c r="G1384" s="128" t="s">
        <v>1886</v>
      </c>
      <c r="H1384" s="128" t="s">
        <v>1884</v>
      </c>
      <c r="I1384" s="128" t="s">
        <v>1885</v>
      </c>
      <c r="J1384" s="129">
        <v>322.0</v>
      </c>
      <c r="K1384" s="129">
        <v>1.0</v>
      </c>
      <c r="L1384" s="128"/>
      <c r="M1384" s="128"/>
      <c r="N1384" s="129">
        <v>558.0</v>
      </c>
      <c r="O1384" s="128"/>
      <c r="P1384" s="129">
        <v>500.0</v>
      </c>
      <c r="Q1384" s="128" t="s">
        <v>203</v>
      </c>
    </row>
    <row r="1385">
      <c r="A1385" s="129">
        <v>1049.0</v>
      </c>
      <c r="B1385" s="129">
        <v>2021.0</v>
      </c>
      <c r="C1385" s="129">
        <v>2.28</v>
      </c>
      <c r="D1385" s="129">
        <v>-21.64</v>
      </c>
      <c r="E1385" s="129">
        <v>-47.79</v>
      </c>
      <c r="F1385" s="128" t="s">
        <v>881</v>
      </c>
      <c r="G1385" s="128" t="s">
        <v>1886</v>
      </c>
      <c r="H1385" s="128" t="s">
        <v>1884</v>
      </c>
      <c r="I1385" s="128" t="s">
        <v>1885</v>
      </c>
      <c r="J1385" s="129">
        <v>328.0</v>
      </c>
      <c r="K1385" s="129">
        <v>1.0</v>
      </c>
      <c r="L1385" s="128"/>
      <c r="M1385" s="128"/>
      <c r="N1385" s="129">
        <v>558.0</v>
      </c>
      <c r="O1385" s="128"/>
      <c r="P1385" s="129">
        <v>500.0</v>
      </c>
      <c r="Q1385" s="128" t="s">
        <v>203</v>
      </c>
    </row>
    <row r="1386">
      <c r="A1386" s="129">
        <v>1023.0</v>
      </c>
      <c r="B1386" s="129">
        <v>2021.0</v>
      </c>
      <c r="C1386" s="129">
        <v>-27.64</v>
      </c>
      <c r="D1386" s="129">
        <v>-21.62</v>
      </c>
      <c r="E1386" s="129">
        <v>-47.63</v>
      </c>
      <c r="F1386" s="128" t="s">
        <v>202</v>
      </c>
      <c r="G1386" s="128" t="s">
        <v>1883</v>
      </c>
      <c r="H1386" s="128" t="s">
        <v>1881</v>
      </c>
      <c r="I1386" s="128" t="s">
        <v>1882</v>
      </c>
      <c r="J1386" s="129">
        <v>658.0</v>
      </c>
      <c r="K1386" s="129">
        <v>1.0</v>
      </c>
      <c r="L1386" s="128"/>
      <c r="M1386" s="128"/>
      <c r="N1386" s="129">
        <v>673.0</v>
      </c>
      <c r="O1386" s="128"/>
      <c r="P1386" s="129">
        <v>500.0</v>
      </c>
      <c r="Q1386" s="128" t="s">
        <v>203</v>
      </c>
    </row>
    <row r="1387">
      <c r="A1387" s="129">
        <v>1048.0</v>
      </c>
      <c r="B1387" s="129">
        <v>2021.0</v>
      </c>
      <c r="C1387" s="129">
        <v>-19.77</v>
      </c>
      <c r="D1387" s="129">
        <v>-21.62</v>
      </c>
      <c r="E1387" s="129">
        <v>-47.63</v>
      </c>
      <c r="F1387" s="128" t="s">
        <v>881</v>
      </c>
      <c r="G1387" s="128" t="s">
        <v>1883</v>
      </c>
      <c r="H1387" s="128" t="s">
        <v>1881</v>
      </c>
      <c r="I1387" s="128" t="s">
        <v>1882</v>
      </c>
      <c r="J1387" s="129">
        <v>711.0</v>
      </c>
      <c r="K1387" s="129">
        <v>1.0</v>
      </c>
      <c r="L1387" s="128"/>
      <c r="M1387" s="128"/>
      <c r="N1387" s="129">
        <v>673.0</v>
      </c>
      <c r="O1387" s="128"/>
      <c r="P1387" s="129">
        <v>500.0</v>
      </c>
      <c r="Q1387" s="128" t="s">
        <v>203</v>
      </c>
    </row>
    <row r="1388">
      <c r="A1388" s="129">
        <v>1022.0</v>
      </c>
      <c r="B1388" s="129">
        <v>2021.0</v>
      </c>
      <c r="C1388" s="129">
        <v>-49.17</v>
      </c>
      <c r="D1388" s="129">
        <v>-21.58</v>
      </c>
      <c r="E1388" s="129">
        <v>-47.6</v>
      </c>
      <c r="F1388" s="128" t="s">
        <v>202</v>
      </c>
      <c r="G1388" s="128" t="s">
        <v>1880</v>
      </c>
      <c r="H1388" s="128" t="s">
        <v>341</v>
      </c>
      <c r="I1388" s="128" t="s">
        <v>536</v>
      </c>
      <c r="J1388" s="129">
        <v>315.0</v>
      </c>
      <c r="K1388" s="129">
        <v>1.0</v>
      </c>
      <c r="L1388" s="128"/>
      <c r="M1388" s="128"/>
      <c r="N1388" s="129">
        <v>761.0</v>
      </c>
      <c r="O1388" s="128"/>
      <c r="P1388" s="129">
        <v>500.0</v>
      </c>
      <c r="Q1388" s="128" t="s">
        <v>203</v>
      </c>
    </row>
    <row r="1389">
      <c r="A1389" s="129">
        <v>1047.0</v>
      </c>
      <c r="B1389" s="129">
        <v>2021.0</v>
      </c>
      <c r="C1389" s="129">
        <v>-5.93</v>
      </c>
      <c r="D1389" s="129">
        <v>-21.58</v>
      </c>
      <c r="E1389" s="129">
        <v>-47.6</v>
      </c>
      <c r="F1389" s="128" t="s">
        <v>881</v>
      </c>
      <c r="G1389" s="128" t="s">
        <v>1880</v>
      </c>
      <c r="H1389" s="128" t="s">
        <v>341</v>
      </c>
      <c r="I1389" s="128" t="s">
        <v>536</v>
      </c>
      <c r="J1389" s="129">
        <v>271.0</v>
      </c>
      <c r="K1389" s="129">
        <v>1.0</v>
      </c>
      <c r="L1389" s="128"/>
      <c r="M1389" s="128"/>
      <c r="N1389" s="129">
        <v>761.0</v>
      </c>
      <c r="O1389" s="128"/>
      <c r="P1389" s="129">
        <v>500.0</v>
      </c>
      <c r="Q1389" s="128" t="s">
        <v>203</v>
      </c>
    </row>
    <row r="1390">
      <c r="A1390" s="129">
        <v>1392.0</v>
      </c>
      <c r="B1390" s="129">
        <v>2013.0</v>
      </c>
      <c r="C1390" s="129">
        <v>32.23</v>
      </c>
      <c r="D1390" s="129">
        <v>-19.93</v>
      </c>
      <c r="E1390" s="129">
        <v>23.57</v>
      </c>
      <c r="F1390" s="128" t="s">
        <v>881</v>
      </c>
      <c r="G1390" s="128" t="s">
        <v>2458</v>
      </c>
      <c r="H1390" s="128" t="s">
        <v>356</v>
      </c>
      <c r="I1390" s="128" t="s">
        <v>357</v>
      </c>
      <c r="J1390" s="128"/>
      <c r="K1390" s="129">
        <v>1.0</v>
      </c>
      <c r="L1390" s="128" t="s">
        <v>2437</v>
      </c>
      <c r="M1390" s="128" t="s">
        <v>2459</v>
      </c>
      <c r="N1390" s="129">
        <v>945.0</v>
      </c>
      <c r="O1390" s="128"/>
      <c r="P1390" s="128" t="s">
        <v>2437</v>
      </c>
      <c r="Q1390" s="128" t="s">
        <v>203</v>
      </c>
    </row>
    <row r="1391">
      <c r="A1391" s="129">
        <v>1398.0</v>
      </c>
      <c r="B1391" s="129">
        <v>2013.0</v>
      </c>
      <c r="C1391" s="129">
        <v>24.99</v>
      </c>
      <c r="D1391" s="129">
        <v>-19.93</v>
      </c>
      <c r="E1391" s="129">
        <v>23.57</v>
      </c>
      <c r="F1391" s="128" t="s">
        <v>2468</v>
      </c>
      <c r="G1391" s="128" t="s">
        <v>2458</v>
      </c>
      <c r="H1391" s="128" t="s">
        <v>356</v>
      </c>
      <c r="I1391" s="128" t="s">
        <v>357</v>
      </c>
      <c r="J1391" s="128"/>
      <c r="K1391" s="129">
        <v>1.0</v>
      </c>
      <c r="L1391" s="128" t="s">
        <v>2437</v>
      </c>
      <c r="M1391" s="128" t="s">
        <v>2459</v>
      </c>
      <c r="N1391" s="129">
        <v>945.0</v>
      </c>
      <c r="O1391" s="128"/>
      <c r="P1391" s="128" t="s">
        <v>2437</v>
      </c>
      <c r="Q1391" s="128" t="s">
        <v>203</v>
      </c>
    </row>
    <row r="1392">
      <c r="A1392" s="129">
        <v>1021.0</v>
      </c>
      <c r="B1392" s="129">
        <v>2021.0</v>
      </c>
      <c r="C1392" s="129">
        <v>-19.08</v>
      </c>
      <c r="D1392" s="129">
        <v>-16.49</v>
      </c>
      <c r="E1392" s="129">
        <v>-56.41</v>
      </c>
      <c r="F1392" s="128" t="s">
        <v>202</v>
      </c>
      <c r="G1392" s="128" t="s">
        <v>1879</v>
      </c>
      <c r="H1392" s="128" t="s">
        <v>245</v>
      </c>
      <c r="I1392" s="128" t="s">
        <v>1878</v>
      </c>
      <c r="J1392" s="129">
        <v>530.0</v>
      </c>
      <c r="K1392" s="129">
        <v>1.0</v>
      </c>
      <c r="L1392" s="128"/>
      <c r="M1392" s="128"/>
      <c r="N1392" s="129">
        <v>122.0</v>
      </c>
      <c r="O1392" s="128"/>
      <c r="P1392" s="129">
        <v>500.0</v>
      </c>
      <c r="Q1392" s="128" t="s">
        <v>203</v>
      </c>
    </row>
    <row r="1393">
      <c r="A1393" s="129">
        <v>1046.0</v>
      </c>
      <c r="B1393" s="129">
        <v>2021.0</v>
      </c>
      <c r="C1393" s="129">
        <v>-41.62</v>
      </c>
      <c r="D1393" s="129">
        <v>-16.49</v>
      </c>
      <c r="E1393" s="129">
        <v>-56.41</v>
      </c>
      <c r="F1393" s="128" t="s">
        <v>881</v>
      </c>
      <c r="G1393" s="128" t="s">
        <v>1879</v>
      </c>
      <c r="H1393" s="128" t="s">
        <v>245</v>
      </c>
      <c r="I1393" s="128" t="s">
        <v>1878</v>
      </c>
      <c r="J1393" s="129">
        <v>532.0</v>
      </c>
      <c r="K1393" s="129">
        <v>1.0</v>
      </c>
      <c r="L1393" s="128"/>
      <c r="M1393" s="128"/>
      <c r="N1393" s="129">
        <v>122.0</v>
      </c>
      <c r="O1393" s="128"/>
      <c r="P1393" s="129">
        <v>500.0</v>
      </c>
      <c r="Q1393" s="128" t="s">
        <v>203</v>
      </c>
    </row>
    <row r="1394">
      <c r="A1394" s="129">
        <v>1020.0</v>
      </c>
      <c r="B1394" s="129">
        <v>2021.0</v>
      </c>
      <c r="C1394" s="129">
        <v>-0.79</v>
      </c>
      <c r="D1394" s="129">
        <v>-15.72</v>
      </c>
      <c r="E1394" s="129">
        <v>-56.07</v>
      </c>
      <c r="F1394" s="128" t="s">
        <v>202</v>
      </c>
      <c r="G1394" s="128" t="s">
        <v>1877</v>
      </c>
      <c r="H1394" s="128" t="s">
        <v>233</v>
      </c>
      <c r="I1394" s="128" t="s">
        <v>1876</v>
      </c>
      <c r="J1394" s="129">
        <v>177.0</v>
      </c>
      <c r="K1394" s="129">
        <v>1.0</v>
      </c>
      <c r="L1394" s="128"/>
      <c r="M1394" s="128"/>
      <c r="N1394" s="129">
        <v>181.0</v>
      </c>
      <c r="O1394" s="128"/>
      <c r="P1394" s="129">
        <v>500.0</v>
      </c>
      <c r="Q1394" s="128" t="s">
        <v>203</v>
      </c>
    </row>
    <row r="1395">
      <c r="A1395" s="129">
        <v>1045.0</v>
      </c>
      <c r="B1395" s="129">
        <v>2021.0</v>
      </c>
      <c r="C1395" s="129">
        <v>-12.76</v>
      </c>
      <c r="D1395" s="129">
        <v>-15.72</v>
      </c>
      <c r="E1395" s="129">
        <v>-56.07</v>
      </c>
      <c r="F1395" s="128" t="s">
        <v>881</v>
      </c>
      <c r="G1395" s="128" t="s">
        <v>1877</v>
      </c>
      <c r="H1395" s="128" t="s">
        <v>233</v>
      </c>
      <c r="I1395" s="128" t="s">
        <v>1876</v>
      </c>
      <c r="J1395" s="129">
        <v>152.0</v>
      </c>
      <c r="K1395" s="129">
        <v>1.0</v>
      </c>
      <c r="L1395" s="128"/>
      <c r="M1395" s="128"/>
      <c r="N1395" s="129">
        <v>181.0</v>
      </c>
      <c r="O1395" s="128"/>
      <c r="P1395" s="129">
        <v>500.0</v>
      </c>
      <c r="Q1395" s="128" t="s">
        <v>203</v>
      </c>
    </row>
    <row r="1396">
      <c r="A1396" s="129">
        <v>1393.0</v>
      </c>
      <c r="B1396" s="129">
        <v>2013.0</v>
      </c>
      <c r="C1396" s="129">
        <v>29.85</v>
      </c>
      <c r="D1396" s="129">
        <v>-11.98</v>
      </c>
      <c r="E1396" s="129">
        <v>11.98</v>
      </c>
      <c r="F1396" s="128" t="s">
        <v>881</v>
      </c>
      <c r="G1396" s="128" t="s">
        <v>2460</v>
      </c>
      <c r="H1396" s="128" t="s">
        <v>295</v>
      </c>
      <c r="I1396" s="128" t="s">
        <v>285</v>
      </c>
      <c r="J1396" s="128"/>
      <c r="K1396" s="129">
        <v>1.0</v>
      </c>
      <c r="L1396" s="128" t="s">
        <v>2437</v>
      </c>
      <c r="M1396" s="128" t="s">
        <v>2461</v>
      </c>
      <c r="P1396" s="128" t="s">
        <v>2437</v>
      </c>
      <c r="Q1396" s="128" t="s">
        <v>203</v>
      </c>
    </row>
    <row r="1397">
      <c r="A1397" s="129">
        <v>1399.0</v>
      </c>
      <c r="B1397" s="129">
        <v>2013.0</v>
      </c>
      <c r="C1397" s="129">
        <v>16.44</v>
      </c>
      <c r="D1397" s="129">
        <v>-11.98</v>
      </c>
      <c r="E1397" s="129">
        <v>11.98</v>
      </c>
      <c r="F1397" s="128" t="s">
        <v>2468</v>
      </c>
      <c r="G1397" s="128" t="s">
        <v>2460</v>
      </c>
      <c r="H1397" s="128" t="s">
        <v>295</v>
      </c>
      <c r="I1397" s="128" t="s">
        <v>285</v>
      </c>
      <c r="J1397" s="128"/>
      <c r="K1397" s="129">
        <v>1.0</v>
      </c>
      <c r="L1397" s="128" t="s">
        <v>2437</v>
      </c>
      <c r="M1397" s="128" t="s">
        <v>2461</v>
      </c>
      <c r="P1397" s="128" t="s">
        <v>2437</v>
      </c>
      <c r="Q1397" s="128" t="s">
        <v>203</v>
      </c>
    </row>
    <row r="1398">
      <c r="A1398" s="129">
        <v>1394.0</v>
      </c>
      <c r="B1398" s="129">
        <v>2013.0</v>
      </c>
      <c r="C1398" s="129">
        <v>163.85</v>
      </c>
      <c r="D1398" s="129">
        <v>-11.66</v>
      </c>
      <c r="E1398" s="129">
        <v>11.66</v>
      </c>
      <c r="F1398" s="128" t="s">
        <v>881</v>
      </c>
      <c r="G1398" s="128" t="s">
        <v>2464</v>
      </c>
      <c r="H1398" s="128" t="s">
        <v>341</v>
      </c>
      <c r="I1398" s="128" t="s">
        <v>676</v>
      </c>
      <c r="J1398" s="128"/>
      <c r="K1398" s="129">
        <v>1.0</v>
      </c>
      <c r="L1398" s="128" t="s">
        <v>2437</v>
      </c>
      <c r="M1398" s="128" t="s">
        <v>1512</v>
      </c>
      <c r="O1398" s="128"/>
      <c r="P1398" s="128" t="s">
        <v>2437</v>
      </c>
      <c r="Q1398" s="128" t="s">
        <v>203</v>
      </c>
    </row>
    <row r="1399">
      <c r="A1399" s="129">
        <v>1400.0</v>
      </c>
      <c r="B1399" s="129">
        <v>2013.0</v>
      </c>
      <c r="C1399" s="129">
        <v>92.82</v>
      </c>
      <c r="D1399" s="129">
        <v>-11.66</v>
      </c>
      <c r="E1399" s="129">
        <v>11.66</v>
      </c>
      <c r="F1399" s="128" t="s">
        <v>2468</v>
      </c>
      <c r="G1399" s="128" t="s">
        <v>2464</v>
      </c>
      <c r="H1399" s="128" t="s">
        <v>341</v>
      </c>
      <c r="I1399" s="128" t="s">
        <v>676</v>
      </c>
      <c r="J1399" s="128"/>
      <c r="K1399" s="129">
        <v>1.0</v>
      </c>
      <c r="L1399" s="128" t="s">
        <v>2437</v>
      </c>
      <c r="M1399" s="128" t="s">
        <v>1512</v>
      </c>
      <c r="O1399" s="128"/>
      <c r="P1399" s="128" t="s">
        <v>2437</v>
      </c>
      <c r="Q1399" s="128" t="s">
        <v>203</v>
      </c>
    </row>
    <row r="1400">
      <c r="A1400" s="129">
        <v>1019.0</v>
      </c>
      <c r="B1400" s="129">
        <v>2021.0</v>
      </c>
      <c r="C1400" s="129">
        <v>-66.37</v>
      </c>
      <c r="D1400" s="129">
        <v>-11.41</v>
      </c>
      <c r="E1400" s="129">
        <v>-55.32</v>
      </c>
      <c r="F1400" s="128" t="s">
        <v>202</v>
      </c>
      <c r="G1400" s="128" t="s">
        <v>1875</v>
      </c>
      <c r="H1400" s="128" t="s">
        <v>350</v>
      </c>
      <c r="I1400" s="128" t="s">
        <v>506</v>
      </c>
      <c r="J1400" s="129">
        <v>175.0</v>
      </c>
      <c r="K1400" s="129">
        <v>1.0</v>
      </c>
      <c r="L1400" s="128"/>
      <c r="M1400" s="128"/>
      <c r="N1400" s="129">
        <v>317.0</v>
      </c>
      <c r="O1400" s="128"/>
      <c r="P1400" s="129">
        <v>500.0</v>
      </c>
      <c r="Q1400" s="128" t="s">
        <v>203</v>
      </c>
    </row>
    <row r="1401">
      <c r="A1401" s="129">
        <v>1044.0</v>
      </c>
      <c r="B1401" s="129">
        <v>2021.0</v>
      </c>
      <c r="C1401" s="129">
        <v>-22.19</v>
      </c>
      <c r="D1401" s="129">
        <v>-11.41</v>
      </c>
      <c r="E1401" s="129">
        <v>-55.32</v>
      </c>
      <c r="F1401" s="128" t="s">
        <v>881</v>
      </c>
      <c r="G1401" s="128" t="s">
        <v>1875</v>
      </c>
      <c r="H1401" s="128" t="s">
        <v>350</v>
      </c>
      <c r="I1401" s="128" t="s">
        <v>506</v>
      </c>
      <c r="J1401" s="129">
        <v>118.0</v>
      </c>
      <c r="K1401" s="129">
        <v>1.0</v>
      </c>
      <c r="L1401" s="128"/>
      <c r="M1401" s="128"/>
      <c r="N1401" s="129">
        <v>317.0</v>
      </c>
      <c r="O1401" s="128"/>
      <c r="P1401" s="129">
        <v>500.0</v>
      </c>
      <c r="Q1401" s="128" t="s">
        <v>203</v>
      </c>
    </row>
    <row r="1402">
      <c r="A1402" s="129">
        <v>1018.0</v>
      </c>
      <c r="B1402" s="129">
        <v>2021.0</v>
      </c>
      <c r="C1402" s="129">
        <v>-26.57</v>
      </c>
      <c r="D1402" s="129">
        <v>-10.77</v>
      </c>
      <c r="E1402" s="129">
        <v>-62.34</v>
      </c>
      <c r="F1402" s="128" t="s">
        <v>202</v>
      </c>
      <c r="G1402" s="128" t="s">
        <v>1874</v>
      </c>
      <c r="H1402" s="128" t="s">
        <v>1872</v>
      </c>
      <c r="I1402" s="128" t="s">
        <v>1873</v>
      </c>
      <c r="J1402" s="129">
        <v>415.0</v>
      </c>
      <c r="K1402" s="129">
        <v>1.0</v>
      </c>
      <c r="L1402" s="128"/>
      <c r="M1402" s="128"/>
      <c r="N1402" s="129">
        <v>267.0</v>
      </c>
      <c r="O1402" s="128"/>
      <c r="P1402" s="129">
        <v>500.0</v>
      </c>
      <c r="Q1402" s="128" t="s">
        <v>203</v>
      </c>
    </row>
    <row r="1403">
      <c r="A1403" s="129">
        <v>1043.0</v>
      </c>
      <c r="B1403" s="129">
        <v>2021.0</v>
      </c>
      <c r="C1403" s="129">
        <v>3.83</v>
      </c>
      <c r="D1403" s="129">
        <v>-10.77</v>
      </c>
      <c r="E1403" s="129">
        <v>-62.34</v>
      </c>
      <c r="F1403" s="128" t="s">
        <v>881</v>
      </c>
      <c r="G1403" s="128" t="s">
        <v>1874</v>
      </c>
      <c r="H1403" s="128" t="s">
        <v>1872</v>
      </c>
      <c r="I1403" s="128" t="s">
        <v>1873</v>
      </c>
      <c r="J1403" s="129">
        <v>558.0</v>
      </c>
      <c r="K1403" s="129">
        <v>1.0</v>
      </c>
      <c r="L1403" s="128"/>
      <c r="M1403" s="128"/>
      <c r="N1403" s="129">
        <v>267.0</v>
      </c>
      <c r="O1403" s="128"/>
      <c r="P1403" s="129">
        <v>500.0</v>
      </c>
      <c r="Q1403" s="128" t="s">
        <v>203</v>
      </c>
    </row>
    <row r="1404">
      <c r="A1404" s="129">
        <v>1017.0</v>
      </c>
      <c r="B1404" s="129">
        <v>2021.0</v>
      </c>
      <c r="C1404" s="129">
        <v>-35.52</v>
      </c>
      <c r="D1404" s="129">
        <v>-10.08</v>
      </c>
      <c r="E1404" s="129">
        <v>-61.93</v>
      </c>
      <c r="F1404" s="128" t="s">
        <v>202</v>
      </c>
      <c r="G1404" s="128" t="s">
        <v>1871</v>
      </c>
      <c r="H1404" s="128" t="s">
        <v>356</v>
      </c>
      <c r="I1404" s="128" t="s">
        <v>193</v>
      </c>
      <c r="J1404" s="129">
        <v>240.0</v>
      </c>
      <c r="K1404" s="129">
        <v>1.0</v>
      </c>
      <c r="L1404" s="128"/>
      <c r="M1404" s="128"/>
      <c r="N1404" s="129">
        <v>148.0</v>
      </c>
      <c r="O1404" s="128"/>
      <c r="P1404" s="129">
        <v>500.0</v>
      </c>
      <c r="Q1404" s="128" t="s">
        <v>203</v>
      </c>
    </row>
    <row r="1405">
      <c r="A1405" s="129">
        <v>1042.0</v>
      </c>
      <c r="B1405" s="129">
        <v>2021.0</v>
      </c>
      <c r="C1405" s="129">
        <v>-1.39</v>
      </c>
      <c r="D1405" s="129">
        <v>-10.08</v>
      </c>
      <c r="E1405" s="129">
        <v>-61.93</v>
      </c>
      <c r="F1405" s="128" t="s">
        <v>881</v>
      </c>
      <c r="G1405" s="128" t="s">
        <v>1871</v>
      </c>
      <c r="H1405" s="128" t="s">
        <v>356</v>
      </c>
      <c r="I1405" s="128" t="s">
        <v>193</v>
      </c>
      <c r="J1405" s="129">
        <v>241.0</v>
      </c>
      <c r="K1405" s="129">
        <v>1.0</v>
      </c>
      <c r="L1405" s="128"/>
      <c r="M1405" s="128"/>
      <c r="N1405" s="129">
        <v>148.0</v>
      </c>
      <c r="O1405" s="128"/>
      <c r="P1405" s="129">
        <v>500.0</v>
      </c>
      <c r="Q1405" s="128" t="s">
        <v>203</v>
      </c>
    </row>
    <row r="1406">
      <c r="A1406" s="129">
        <v>1016.0</v>
      </c>
      <c r="B1406" s="129">
        <v>2021.0</v>
      </c>
      <c r="C1406" s="129">
        <v>-11.86</v>
      </c>
      <c r="D1406" s="129">
        <v>-9.82</v>
      </c>
      <c r="E1406" s="129">
        <v>-50.16</v>
      </c>
      <c r="F1406" s="128" t="s">
        <v>202</v>
      </c>
      <c r="G1406" s="128" t="s">
        <v>1870</v>
      </c>
      <c r="H1406" s="128" t="s">
        <v>1869</v>
      </c>
      <c r="I1406" s="128" t="s">
        <v>350</v>
      </c>
      <c r="J1406" s="129">
        <v>411.0</v>
      </c>
      <c r="K1406" s="129">
        <v>1.0</v>
      </c>
      <c r="L1406" s="128"/>
      <c r="M1406" s="128"/>
      <c r="N1406" s="129">
        <v>177.0</v>
      </c>
      <c r="O1406" s="128"/>
      <c r="P1406" s="129">
        <v>500.0</v>
      </c>
      <c r="Q1406" s="128" t="s">
        <v>203</v>
      </c>
    </row>
    <row r="1407">
      <c r="A1407" s="129">
        <v>1041.0</v>
      </c>
      <c r="B1407" s="129">
        <v>2021.0</v>
      </c>
      <c r="C1407" s="129">
        <v>-25.61</v>
      </c>
      <c r="D1407" s="129">
        <v>-9.82</v>
      </c>
      <c r="E1407" s="129">
        <v>-50.16</v>
      </c>
      <c r="F1407" s="128" t="s">
        <v>881</v>
      </c>
      <c r="G1407" s="128" t="s">
        <v>1870</v>
      </c>
      <c r="H1407" s="128" t="s">
        <v>1869</v>
      </c>
      <c r="I1407" s="128" t="s">
        <v>350</v>
      </c>
      <c r="J1407" s="129">
        <v>427.0</v>
      </c>
      <c r="K1407" s="129">
        <v>1.0</v>
      </c>
      <c r="L1407" s="128"/>
      <c r="M1407" s="128"/>
      <c r="N1407" s="129">
        <v>177.0</v>
      </c>
      <c r="O1407" s="128"/>
      <c r="P1407" s="129">
        <v>500.0</v>
      </c>
      <c r="Q1407" s="128" t="s">
        <v>203</v>
      </c>
    </row>
    <row r="1408">
      <c r="A1408" s="129">
        <v>1015.0</v>
      </c>
      <c r="B1408" s="129">
        <v>2021.0</v>
      </c>
      <c r="C1408" s="129">
        <v>-28.16</v>
      </c>
      <c r="D1408" s="129">
        <v>-9.05</v>
      </c>
      <c r="E1408" s="129">
        <v>-40.32</v>
      </c>
      <c r="F1408" s="128" t="s">
        <v>202</v>
      </c>
      <c r="G1408" s="128" t="s">
        <v>1868</v>
      </c>
      <c r="H1408" s="128" t="s">
        <v>233</v>
      </c>
      <c r="I1408" s="128" t="s">
        <v>242</v>
      </c>
      <c r="J1408" s="129">
        <v>289.0</v>
      </c>
      <c r="K1408" s="129">
        <v>1.0</v>
      </c>
      <c r="L1408" s="128"/>
      <c r="M1408" s="128"/>
      <c r="N1408" s="129">
        <v>390.0</v>
      </c>
      <c r="O1408" s="128"/>
      <c r="P1408" s="129">
        <v>500.0</v>
      </c>
      <c r="Q1408" s="128" t="s">
        <v>203</v>
      </c>
    </row>
    <row r="1409">
      <c r="A1409" s="129">
        <v>1040.0</v>
      </c>
      <c r="B1409" s="129">
        <v>2021.0</v>
      </c>
      <c r="C1409" s="129">
        <v>3.56</v>
      </c>
      <c r="D1409" s="129">
        <v>-9.05</v>
      </c>
      <c r="E1409" s="129">
        <v>-40.32</v>
      </c>
      <c r="F1409" s="128" t="s">
        <v>881</v>
      </c>
      <c r="G1409" s="128" t="s">
        <v>1868</v>
      </c>
      <c r="H1409" s="128" t="s">
        <v>233</v>
      </c>
      <c r="I1409" s="128" t="s">
        <v>242</v>
      </c>
      <c r="J1409" s="129">
        <v>285.0</v>
      </c>
      <c r="K1409" s="129">
        <v>1.0</v>
      </c>
      <c r="L1409" s="128"/>
      <c r="M1409" s="128"/>
      <c r="N1409" s="129">
        <v>390.0</v>
      </c>
      <c r="O1409" s="128"/>
      <c r="P1409" s="129">
        <v>500.0</v>
      </c>
      <c r="Q1409" s="128" t="s">
        <v>203</v>
      </c>
    </row>
    <row r="1410">
      <c r="A1410" s="129">
        <v>1014.0</v>
      </c>
      <c r="B1410" s="129">
        <v>2021.0</v>
      </c>
      <c r="C1410" s="129">
        <v>-22.36</v>
      </c>
      <c r="D1410" s="129">
        <v>-8.81</v>
      </c>
      <c r="E1410" s="129">
        <v>-36.41</v>
      </c>
      <c r="F1410" s="128" t="s">
        <v>202</v>
      </c>
      <c r="G1410" s="128" t="s">
        <v>1867</v>
      </c>
      <c r="H1410" s="128" t="s">
        <v>167</v>
      </c>
      <c r="I1410" s="128" t="s">
        <v>245</v>
      </c>
      <c r="J1410" s="129">
        <v>255.0</v>
      </c>
      <c r="K1410" s="129">
        <v>1.0</v>
      </c>
      <c r="L1410" s="128"/>
      <c r="M1410" s="128"/>
      <c r="N1410" s="129">
        <v>688.0</v>
      </c>
      <c r="O1410" s="128"/>
      <c r="P1410" s="129">
        <v>500.0</v>
      </c>
      <c r="Q1410" s="128" t="s">
        <v>203</v>
      </c>
    </row>
    <row r="1411">
      <c r="A1411" s="129">
        <v>1039.0</v>
      </c>
      <c r="B1411" s="129">
        <v>2021.0</v>
      </c>
      <c r="C1411" s="129">
        <v>21.67</v>
      </c>
      <c r="D1411" s="129">
        <v>-8.81</v>
      </c>
      <c r="E1411" s="129">
        <v>-36.41</v>
      </c>
      <c r="F1411" s="128" t="s">
        <v>881</v>
      </c>
      <c r="G1411" s="128" t="s">
        <v>1867</v>
      </c>
      <c r="H1411" s="128" t="s">
        <v>167</v>
      </c>
      <c r="I1411" s="128" t="s">
        <v>245</v>
      </c>
      <c r="J1411" s="129">
        <v>253.0</v>
      </c>
      <c r="K1411" s="129">
        <v>1.0</v>
      </c>
      <c r="L1411" s="128"/>
      <c r="M1411" s="128"/>
      <c r="N1411" s="129">
        <v>688.0</v>
      </c>
      <c r="O1411" s="128"/>
      <c r="P1411" s="129">
        <v>500.0</v>
      </c>
      <c r="Q1411" s="128" t="s">
        <v>203</v>
      </c>
    </row>
    <row r="1412">
      <c r="A1412" s="129">
        <v>1013.0</v>
      </c>
      <c r="B1412" s="129">
        <v>2021.0</v>
      </c>
      <c r="C1412" s="129">
        <v>5.9</v>
      </c>
      <c r="D1412" s="129">
        <v>-7.96</v>
      </c>
      <c r="E1412" s="129">
        <v>-38.38</v>
      </c>
      <c r="F1412" s="128" t="s">
        <v>202</v>
      </c>
      <c r="G1412" s="128" t="s">
        <v>1866</v>
      </c>
      <c r="H1412" s="128" t="s">
        <v>1864</v>
      </c>
      <c r="I1412" s="128" t="s">
        <v>1865</v>
      </c>
      <c r="J1412" s="129">
        <v>561.0</v>
      </c>
      <c r="K1412" s="129">
        <v>1.0</v>
      </c>
      <c r="L1412" s="128"/>
      <c r="M1412" s="128"/>
      <c r="N1412" s="129">
        <v>469.0</v>
      </c>
      <c r="O1412" s="128"/>
      <c r="P1412" s="129">
        <v>500.0</v>
      </c>
      <c r="Q1412" s="128" t="s">
        <v>203</v>
      </c>
    </row>
    <row r="1413">
      <c r="A1413" s="129">
        <v>1038.0</v>
      </c>
      <c r="B1413" s="129">
        <v>2021.0</v>
      </c>
      <c r="C1413" s="129">
        <v>47.72</v>
      </c>
      <c r="D1413" s="129">
        <v>-7.96</v>
      </c>
      <c r="E1413" s="129">
        <v>-38.38</v>
      </c>
      <c r="F1413" s="128" t="s">
        <v>881</v>
      </c>
      <c r="G1413" s="128" t="s">
        <v>1866</v>
      </c>
      <c r="H1413" s="128" t="s">
        <v>1864</v>
      </c>
      <c r="I1413" s="128" t="s">
        <v>1865</v>
      </c>
      <c r="J1413" s="129">
        <v>554.0</v>
      </c>
      <c r="K1413" s="129">
        <v>1.0</v>
      </c>
      <c r="L1413" s="128"/>
      <c r="M1413" s="128"/>
      <c r="N1413" s="129">
        <v>469.0</v>
      </c>
      <c r="O1413" s="128"/>
      <c r="P1413" s="129">
        <v>500.0</v>
      </c>
      <c r="Q1413" s="128" t="s">
        <v>203</v>
      </c>
    </row>
    <row r="1414">
      <c r="A1414" s="129">
        <v>1012.0</v>
      </c>
      <c r="B1414" s="129">
        <v>2021.0</v>
      </c>
      <c r="C1414" s="129">
        <v>40.89</v>
      </c>
      <c r="D1414" s="129">
        <v>-6.58</v>
      </c>
      <c r="E1414" s="129">
        <v>-37.25</v>
      </c>
      <c r="F1414" s="128" t="s">
        <v>202</v>
      </c>
      <c r="G1414" s="128" t="s">
        <v>1862</v>
      </c>
      <c r="H1414" s="128" t="s">
        <v>245</v>
      </c>
      <c r="I1414" s="128" t="s">
        <v>837</v>
      </c>
      <c r="J1414" s="129">
        <v>319.0</v>
      </c>
      <c r="K1414" s="129">
        <v>1.0</v>
      </c>
      <c r="L1414" s="128"/>
      <c r="M1414" s="128"/>
      <c r="N1414" s="129">
        <v>192.0</v>
      </c>
      <c r="O1414" s="128"/>
      <c r="P1414" s="129">
        <v>500.0</v>
      </c>
      <c r="Q1414" s="128" t="s">
        <v>203</v>
      </c>
    </row>
    <row r="1415">
      <c r="A1415" s="129">
        <v>1037.0</v>
      </c>
      <c r="B1415" s="129">
        <v>2021.0</v>
      </c>
      <c r="C1415" s="129">
        <v>21.69</v>
      </c>
      <c r="D1415" s="129">
        <v>-6.58</v>
      </c>
      <c r="E1415" s="129">
        <v>-37.25</v>
      </c>
      <c r="F1415" s="128" t="s">
        <v>881</v>
      </c>
      <c r="G1415" s="128" t="s">
        <v>1862</v>
      </c>
      <c r="H1415" s="128" t="s">
        <v>245</v>
      </c>
      <c r="I1415" s="128" t="s">
        <v>837</v>
      </c>
      <c r="J1415" s="129">
        <v>339.0</v>
      </c>
      <c r="K1415" s="129">
        <v>1.0</v>
      </c>
      <c r="L1415" s="128"/>
      <c r="M1415" s="128"/>
      <c r="N1415" s="129">
        <v>192.0</v>
      </c>
      <c r="O1415" s="128"/>
      <c r="P1415" s="129">
        <v>500.0</v>
      </c>
      <c r="Q1415" s="128" t="s">
        <v>203</v>
      </c>
    </row>
    <row r="1416">
      <c r="A1416" s="129">
        <v>1011.0</v>
      </c>
      <c r="B1416" s="129">
        <v>2021.0</v>
      </c>
      <c r="C1416" s="129">
        <v>-38.06</v>
      </c>
      <c r="D1416" s="129">
        <v>-3.02</v>
      </c>
      <c r="E1416" s="129">
        <v>-54.97</v>
      </c>
      <c r="F1416" s="128" t="s">
        <v>202</v>
      </c>
      <c r="G1416" s="128" t="s">
        <v>1861</v>
      </c>
      <c r="H1416" s="128" t="s">
        <v>1860</v>
      </c>
      <c r="I1416" s="128" t="s">
        <v>295</v>
      </c>
      <c r="J1416" s="129">
        <v>319.0</v>
      </c>
      <c r="K1416" s="129">
        <v>1.0</v>
      </c>
      <c r="L1416" s="128"/>
      <c r="M1416" s="128"/>
      <c r="N1416" s="129">
        <v>187.0</v>
      </c>
      <c r="O1416" s="128"/>
      <c r="P1416" s="129">
        <v>500.0</v>
      </c>
      <c r="Q1416" s="128" t="s">
        <v>203</v>
      </c>
    </row>
    <row r="1417">
      <c r="A1417" s="129">
        <v>1036.0</v>
      </c>
      <c r="B1417" s="129">
        <v>2021.0</v>
      </c>
      <c r="C1417" s="129">
        <v>-9.08</v>
      </c>
      <c r="D1417" s="129">
        <v>-3.02</v>
      </c>
      <c r="E1417" s="129">
        <v>-54.97</v>
      </c>
      <c r="F1417" s="128" t="s">
        <v>881</v>
      </c>
      <c r="G1417" s="128" t="s">
        <v>1861</v>
      </c>
      <c r="H1417" s="128" t="s">
        <v>1860</v>
      </c>
      <c r="I1417" s="128" t="s">
        <v>295</v>
      </c>
      <c r="J1417" s="129">
        <v>345.0</v>
      </c>
      <c r="K1417" s="129">
        <v>1.0</v>
      </c>
      <c r="L1417" s="128"/>
      <c r="M1417" s="128"/>
      <c r="N1417" s="129">
        <v>187.0</v>
      </c>
      <c r="O1417" s="128"/>
      <c r="P1417" s="129">
        <v>500.0</v>
      </c>
      <c r="Q1417" s="128" t="s">
        <v>203</v>
      </c>
    </row>
    <row r="1418">
      <c r="A1418" s="129">
        <v>1010.0</v>
      </c>
      <c r="B1418" s="129">
        <v>2021.0</v>
      </c>
      <c r="C1418" s="129">
        <v>10.01</v>
      </c>
      <c r="D1418" s="129">
        <v>-3.01</v>
      </c>
      <c r="E1418" s="129">
        <v>-54.54</v>
      </c>
      <c r="F1418" s="128" t="s">
        <v>202</v>
      </c>
      <c r="G1418" s="128" t="s">
        <v>1859</v>
      </c>
      <c r="H1418" s="128" t="s">
        <v>328</v>
      </c>
      <c r="I1418" s="128" t="s">
        <v>285</v>
      </c>
      <c r="J1418" s="129">
        <v>160.0</v>
      </c>
      <c r="K1418" s="129">
        <v>1.0</v>
      </c>
      <c r="L1418" s="128"/>
      <c r="M1418" s="128"/>
      <c r="N1418" s="129">
        <v>69.0</v>
      </c>
      <c r="O1418" s="128"/>
      <c r="P1418" s="129">
        <v>500.0</v>
      </c>
      <c r="Q1418" s="128" t="s">
        <v>203</v>
      </c>
    </row>
    <row r="1419">
      <c r="A1419" s="129">
        <v>1035.0</v>
      </c>
      <c r="B1419" s="129">
        <v>2021.0</v>
      </c>
      <c r="C1419" s="129">
        <v>39.09</v>
      </c>
      <c r="D1419" s="129">
        <v>-3.01</v>
      </c>
      <c r="E1419" s="129">
        <v>-54.54</v>
      </c>
      <c r="F1419" s="128" t="s">
        <v>881</v>
      </c>
      <c r="G1419" s="128" t="s">
        <v>1859</v>
      </c>
      <c r="H1419" s="128" t="s">
        <v>328</v>
      </c>
      <c r="I1419" s="128" t="s">
        <v>285</v>
      </c>
      <c r="J1419" s="129">
        <v>166.0</v>
      </c>
      <c r="K1419" s="129">
        <v>1.0</v>
      </c>
      <c r="L1419" s="128"/>
      <c r="M1419" s="128"/>
      <c r="N1419" s="129">
        <v>69.0</v>
      </c>
      <c r="O1419" s="128"/>
      <c r="P1419" s="129">
        <v>500.0</v>
      </c>
      <c r="Q1419" s="128" t="s">
        <v>203</v>
      </c>
    </row>
    <row r="1420">
      <c r="A1420" s="129">
        <v>1009.0</v>
      </c>
      <c r="B1420" s="129">
        <v>2021.0</v>
      </c>
      <c r="C1420" s="129">
        <v>-24.33</v>
      </c>
      <c r="D1420" s="129">
        <v>-2.86</v>
      </c>
      <c r="E1420" s="129">
        <v>-54.96</v>
      </c>
      <c r="F1420" s="128" t="s">
        <v>202</v>
      </c>
      <c r="G1420" s="128" t="s">
        <v>1858</v>
      </c>
      <c r="H1420" s="128" t="s">
        <v>284</v>
      </c>
      <c r="I1420" s="128" t="s">
        <v>194</v>
      </c>
      <c r="J1420" s="129">
        <v>566.0</v>
      </c>
      <c r="K1420" s="129">
        <v>1.0</v>
      </c>
      <c r="L1420" s="128"/>
      <c r="M1420" s="128"/>
      <c r="N1420" s="129">
        <v>199.0</v>
      </c>
      <c r="O1420" s="128"/>
      <c r="P1420" s="129">
        <v>500.0</v>
      </c>
      <c r="Q1420" s="128" t="s">
        <v>203</v>
      </c>
    </row>
    <row r="1421">
      <c r="A1421" s="129">
        <v>1034.0</v>
      </c>
      <c r="B1421" s="129">
        <v>2021.0</v>
      </c>
      <c r="C1421" s="129">
        <v>-1.95</v>
      </c>
      <c r="D1421" s="129">
        <v>-2.86</v>
      </c>
      <c r="E1421" s="129">
        <v>-54.96</v>
      </c>
      <c r="F1421" s="128" t="s">
        <v>881</v>
      </c>
      <c r="G1421" s="128" t="s">
        <v>1858</v>
      </c>
      <c r="H1421" s="128" t="s">
        <v>284</v>
      </c>
      <c r="I1421" s="128" t="s">
        <v>194</v>
      </c>
      <c r="J1421" s="129">
        <v>610.0</v>
      </c>
      <c r="K1421" s="129">
        <v>1.0</v>
      </c>
      <c r="L1421" s="128"/>
      <c r="M1421" s="128"/>
      <c r="N1421" s="129">
        <v>199.0</v>
      </c>
      <c r="O1421" s="128"/>
      <c r="P1421" s="129">
        <v>500.0</v>
      </c>
      <c r="Q1421" s="128" t="s">
        <v>203</v>
      </c>
    </row>
    <row r="1422">
      <c r="A1422" s="129">
        <v>1008.0</v>
      </c>
      <c r="B1422" s="129">
        <v>2021.0</v>
      </c>
      <c r="C1422" s="129">
        <v>-20.04</v>
      </c>
      <c r="D1422" s="129">
        <v>-2.61</v>
      </c>
      <c r="E1422" s="129">
        <v>-60.21</v>
      </c>
      <c r="F1422" s="128" t="s">
        <v>202</v>
      </c>
      <c r="G1422" s="128" t="s">
        <v>1857</v>
      </c>
      <c r="H1422" s="128" t="s">
        <v>356</v>
      </c>
      <c r="I1422" s="128" t="s">
        <v>350</v>
      </c>
      <c r="J1422" s="129">
        <v>147.0</v>
      </c>
      <c r="K1422" s="129">
        <v>1.0</v>
      </c>
      <c r="L1422" s="128"/>
      <c r="M1422" s="128"/>
      <c r="N1422" s="129">
        <v>114.0</v>
      </c>
      <c r="O1422" s="128"/>
      <c r="P1422" s="129">
        <v>500.0</v>
      </c>
      <c r="Q1422" s="128" t="s">
        <v>203</v>
      </c>
    </row>
    <row r="1423">
      <c r="A1423" s="129">
        <v>1033.0</v>
      </c>
      <c r="B1423" s="129">
        <v>2021.0</v>
      </c>
      <c r="C1423" s="129">
        <v>9.65</v>
      </c>
      <c r="D1423" s="129">
        <v>-2.61</v>
      </c>
      <c r="E1423" s="129">
        <v>-60.21</v>
      </c>
      <c r="F1423" s="128" t="s">
        <v>881</v>
      </c>
      <c r="G1423" s="128" t="s">
        <v>1857</v>
      </c>
      <c r="H1423" s="128" t="s">
        <v>356</v>
      </c>
      <c r="I1423" s="128" t="s">
        <v>350</v>
      </c>
      <c r="J1423" s="129">
        <v>183.0</v>
      </c>
      <c r="K1423" s="129">
        <v>1.0</v>
      </c>
      <c r="L1423" s="128"/>
      <c r="M1423" s="128"/>
      <c r="N1423" s="129">
        <v>114.0</v>
      </c>
      <c r="O1423" s="128"/>
      <c r="P1423" s="129">
        <v>500.0</v>
      </c>
      <c r="Q1423" s="128" t="s">
        <v>203</v>
      </c>
    </row>
    <row r="1424">
      <c r="A1424" s="129">
        <v>1007.0</v>
      </c>
      <c r="B1424" s="129">
        <v>2021.0</v>
      </c>
      <c r="C1424" s="129">
        <v>-50.92</v>
      </c>
      <c r="D1424" s="129">
        <v>-1.72</v>
      </c>
      <c r="E1424" s="129">
        <v>-51.46</v>
      </c>
      <c r="F1424" s="128" t="s">
        <v>202</v>
      </c>
      <c r="G1424" s="128" t="s">
        <v>1854</v>
      </c>
      <c r="H1424" s="128" t="s">
        <v>356</v>
      </c>
      <c r="I1424" s="128" t="s">
        <v>968</v>
      </c>
      <c r="J1424" s="129">
        <v>49.0</v>
      </c>
      <c r="K1424" s="129">
        <v>1.0</v>
      </c>
      <c r="L1424" s="128"/>
      <c r="M1424" s="128"/>
      <c r="N1424" s="129">
        <v>45.0</v>
      </c>
      <c r="O1424" s="128"/>
      <c r="P1424" s="129">
        <v>500.0</v>
      </c>
      <c r="Q1424" s="128" t="s">
        <v>203</v>
      </c>
    </row>
    <row r="1425">
      <c r="A1425" s="129">
        <v>1032.0</v>
      </c>
      <c r="B1425" s="129">
        <v>2021.0</v>
      </c>
      <c r="C1425" s="129">
        <v>-11.76</v>
      </c>
      <c r="D1425" s="129">
        <v>-1.72</v>
      </c>
      <c r="E1425" s="129">
        <v>-51.46</v>
      </c>
      <c r="F1425" s="128" t="s">
        <v>881</v>
      </c>
      <c r="G1425" s="128" t="s">
        <v>1854</v>
      </c>
      <c r="H1425" s="128" t="s">
        <v>356</v>
      </c>
      <c r="I1425" s="128" t="s">
        <v>968</v>
      </c>
      <c r="J1425" s="129">
        <v>40.0</v>
      </c>
      <c r="K1425" s="129">
        <v>1.0</v>
      </c>
      <c r="L1425" s="128"/>
      <c r="M1425" s="128"/>
      <c r="N1425" s="129">
        <v>45.0</v>
      </c>
      <c r="O1425" s="128"/>
      <c r="P1425" s="129">
        <v>500.0</v>
      </c>
      <c r="Q1425" s="128" t="s">
        <v>203</v>
      </c>
    </row>
    <row r="1426">
      <c r="A1426" s="129">
        <v>1396.0</v>
      </c>
      <c r="B1426" s="129">
        <v>2013.0</v>
      </c>
      <c r="C1426" s="129">
        <v>54.81</v>
      </c>
      <c r="D1426" s="129">
        <v>13.2829</v>
      </c>
      <c r="E1426" s="129">
        <v>30.4783</v>
      </c>
      <c r="F1426" s="128" t="s">
        <v>881</v>
      </c>
      <c r="G1426" s="128" t="s">
        <v>1505</v>
      </c>
      <c r="H1426" s="128" t="s">
        <v>317</v>
      </c>
      <c r="I1426" s="128" t="s">
        <v>676</v>
      </c>
      <c r="J1426" s="128"/>
      <c r="K1426" s="129">
        <v>1.0</v>
      </c>
      <c r="L1426" s="128" t="s">
        <v>2437</v>
      </c>
      <c r="M1426" s="128" t="s">
        <v>353</v>
      </c>
      <c r="N1426" s="129">
        <v>538.0</v>
      </c>
      <c r="O1426" s="128"/>
      <c r="P1426" s="128" t="s">
        <v>2437</v>
      </c>
      <c r="Q1426" s="128" t="s">
        <v>203</v>
      </c>
    </row>
    <row r="1427">
      <c r="A1427" s="129">
        <v>1402.0</v>
      </c>
      <c r="B1427" s="129">
        <v>2013.0</v>
      </c>
      <c r="C1427" s="129">
        <v>45.0</v>
      </c>
      <c r="D1427" s="129">
        <v>13.2829</v>
      </c>
      <c r="E1427" s="129">
        <v>30.4783</v>
      </c>
      <c r="F1427" s="128" t="s">
        <v>2468</v>
      </c>
      <c r="G1427" s="128" t="s">
        <v>1505</v>
      </c>
      <c r="H1427" s="128" t="s">
        <v>317</v>
      </c>
      <c r="I1427" s="128" t="s">
        <v>676</v>
      </c>
      <c r="J1427" s="128"/>
      <c r="K1427" s="129">
        <v>1.0</v>
      </c>
      <c r="L1427" s="128" t="s">
        <v>2437</v>
      </c>
      <c r="M1427" s="128" t="s">
        <v>353</v>
      </c>
      <c r="N1427" s="129">
        <v>538.0</v>
      </c>
      <c r="O1427" s="128"/>
      <c r="P1427" s="128" t="s">
        <v>2437</v>
      </c>
      <c r="Q1427" s="128" t="s">
        <v>203</v>
      </c>
    </row>
    <row r="1428">
      <c r="A1428" s="129">
        <v>1395.0</v>
      </c>
      <c r="B1428" s="129">
        <v>2013.0</v>
      </c>
      <c r="C1428" s="129">
        <v>67.82</v>
      </c>
      <c r="D1428" s="129">
        <v>13.65</v>
      </c>
      <c r="E1428" s="129">
        <v>2.63</v>
      </c>
      <c r="F1428" s="128" t="s">
        <v>881</v>
      </c>
      <c r="G1428" s="128" t="s">
        <v>2465</v>
      </c>
      <c r="H1428" s="128" t="s">
        <v>341</v>
      </c>
      <c r="I1428" s="128" t="s">
        <v>285</v>
      </c>
      <c r="J1428" s="128"/>
      <c r="K1428" s="129">
        <v>1.0</v>
      </c>
      <c r="L1428" s="128" t="s">
        <v>2437</v>
      </c>
      <c r="M1428" s="128" t="s">
        <v>2466</v>
      </c>
      <c r="N1428" s="129">
        <v>236.0</v>
      </c>
      <c r="O1428" s="128"/>
      <c r="P1428" s="128" t="s">
        <v>2437</v>
      </c>
      <c r="Q1428" s="128" t="s">
        <v>203</v>
      </c>
    </row>
    <row r="1429">
      <c r="A1429" s="129">
        <v>1401.0</v>
      </c>
      <c r="B1429" s="129">
        <v>2013.0</v>
      </c>
      <c r="C1429" s="129">
        <v>56.02</v>
      </c>
      <c r="D1429" s="129">
        <v>13.65</v>
      </c>
      <c r="E1429" s="129">
        <v>2.63</v>
      </c>
      <c r="F1429" s="128" t="s">
        <v>2468</v>
      </c>
      <c r="G1429" s="128" t="s">
        <v>2465</v>
      </c>
      <c r="H1429" s="128" t="s">
        <v>341</v>
      </c>
      <c r="I1429" s="128" t="s">
        <v>285</v>
      </c>
      <c r="J1429" s="128"/>
      <c r="K1429" s="129">
        <v>1.0</v>
      </c>
      <c r="L1429" s="128" t="s">
        <v>2437</v>
      </c>
      <c r="M1429" s="128" t="s">
        <v>2466</v>
      </c>
      <c r="N1429" s="129">
        <v>236.0</v>
      </c>
      <c r="O1429" s="128"/>
      <c r="P1429" s="128" t="s">
        <v>2437</v>
      </c>
      <c r="Q1429" s="128" t="s">
        <v>203</v>
      </c>
    </row>
    <row r="1430">
      <c r="A1430" s="129">
        <v>930.0</v>
      </c>
      <c r="B1430" s="129">
        <v>2019.0</v>
      </c>
      <c r="C1430" s="129">
        <v>8.9</v>
      </c>
      <c r="D1430" s="129">
        <v>14.14</v>
      </c>
      <c r="E1430" s="129">
        <v>121.27</v>
      </c>
      <c r="F1430" s="128" t="s">
        <v>1760</v>
      </c>
      <c r="G1430" s="128" t="s">
        <v>1779</v>
      </c>
      <c r="H1430" s="128" t="s">
        <v>536</v>
      </c>
      <c r="I1430" s="128" t="s">
        <v>507</v>
      </c>
      <c r="J1430" s="129">
        <v>191.0</v>
      </c>
      <c r="K1430" s="129">
        <v>1.0</v>
      </c>
      <c r="L1430" s="129">
        <v>20000.0</v>
      </c>
      <c r="M1430" s="128" t="s">
        <v>6010</v>
      </c>
      <c r="N1430" s="129">
        <v>36.0</v>
      </c>
      <c r="O1430" s="128"/>
      <c r="P1430" s="129">
        <v>20000.0</v>
      </c>
      <c r="Q1430" s="128" t="s">
        <v>203</v>
      </c>
    </row>
    <row r="1431">
      <c r="A1431" s="129">
        <v>950.0</v>
      </c>
      <c r="B1431" s="129">
        <v>2019.0</v>
      </c>
      <c r="C1431" s="129">
        <v>4.0</v>
      </c>
      <c r="D1431" s="129">
        <v>14.14</v>
      </c>
      <c r="E1431" s="129">
        <v>121.27</v>
      </c>
      <c r="F1431" s="128" t="s">
        <v>1760</v>
      </c>
      <c r="G1431" s="128" t="s">
        <v>1779</v>
      </c>
      <c r="H1431" s="128" t="s">
        <v>536</v>
      </c>
      <c r="I1431" s="128" t="s">
        <v>507</v>
      </c>
      <c r="J1431" s="129">
        <v>139.0</v>
      </c>
      <c r="K1431" s="129">
        <v>1.0</v>
      </c>
      <c r="L1431" s="129">
        <v>20000.0</v>
      </c>
      <c r="M1431" s="128" t="s">
        <v>6010</v>
      </c>
      <c r="N1431" s="129">
        <v>36.0</v>
      </c>
      <c r="O1431" s="128"/>
      <c r="P1431" s="129">
        <v>20000.0</v>
      </c>
      <c r="Q1431" s="128" t="s">
        <v>203</v>
      </c>
    </row>
    <row r="1432">
      <c r="A1432" s="129">
        <v>970.0</v>
      </c>
      <c r="B1432" s="129">
        <v>2019.0</v>
      </c>
      <c r="C1432" s="129">
        <v>8.6</v>
      </c>
      <c r="D1432" s="129">
        <v>14.14</v>
      </c>
      <c r="E1432" s="129">
        <v>121.27</v>
      </c>
      <c r="F1432" s="128" t="s">
        <v>202</v>
      </c>
      <c r="G1432" s="128" t="s">
        <v>1779</v>
      </c>
      <c r="H1432" s="128" t="s">
        <v>536</v>
      </c>
      <c r="I1432" s="128" t="s">
        <v>507</v>
      </c>
      <c r="J1432" s="129">
        <v>139.0</v>
      </c>
      <c r="K1432" s="129">
        <v>1.0</v>
      </c>
      <c r="L1432" s="128" t="s">
        <v>6011</v>
      </c>
      <c r="M1432" s="128" t="s">
        <v>6010</v>
      </c>
      <c r="N1432" s="129">
        <v>36.0</v>
      </c>
      <c r="O1432" s="128"/>
      <c r="P1432" s="128" t="s">
        <v>6011</v>
      </c>
      <c r="Q1432" s="128" t="s">
        <v>203</v>
      </c>
    </row>
    <row r="1433">
      <c r="A1433" s="129">
        <v>917.0</v>
      </c>
      <c r="B1433" s="129">
        <v>2019.0</v>
      </c>
      <c r="C1433" s="129">
        <v>6.3</v>
      </c>
      <c r="D1433" s="129">
        <v>14.49</v>
      </c>
      <c r="E1433" s="129">
        <v>101.92</v>
      </c>
      <c r="F1433" s="128" t="s">
        <v>1760</v>
      </c>
      <c r="G1433" s="128" t="s">
        <v>1762</v>
      </c>
      <c r="H1433" s="128" t="s">
        <v>193</v>
      </c>
      <c r="I1433" s="128" t="s">
        <v>363</v>
      </c>
      <c r="J1433" s="129">
        <v>117.0</v>
      </c>
      <c r="K1433" s="129">
        <v>1.0</v>
      </c>
      <c r="L1433" s="129">
        <v>20000.0</v>
      </c>
      <c r="M1433" s="128" t="s">
        <v>1763</v>
      </c>
      <c r="N1433" s="129">
        <v>512.0</v>
      </c>
      <c r="O1433" s="128"/>
      <c r="P1433" s="129">
        <v>20000.0</v>
      </c>
      <c r="Q1433" s="128" t="s">
        <v>203</v>
      </c>
    </row>
    <row r="1434">
      <c r="A1434" s="129">
        <v>937.0</v>
      </c>
      <c r="B1434" s="129">
        <v>2019.0</v>
      </c>
      <c r="C1434" s="129">
        <v>-0.7</v>
      </c>
      <c r="D1434" s="129">
        <v>14.49</v>
      </c>
      <c r="E1434" s="129">
        <v>101.92</v>
      </c>
      <c r="F1434" s="128" t="s">
        <v>1760</v>
      </c>
      <c r="G1434" s="128" t="s">
        <v>1762</v>
      </c>
      <c r="H1434" s="128" t="s">
        <v>193</v>
      </c>
      <c r="I1434" s="128" t="s">
        <v>363</v>
      </c>
      <c r="J1434" s="129">
        <v>88.0</v>
      </c>
      <c r="K1434" s="129">
        <v>1.0</v>
      </c>
      <c r="L1434" s="129">
        <v>20000.0</v>
      </c>
      <c r="M1434" s="128" t="s">
        <v>1763</v>
      </c>
      <c r="N1434" s="129">
        <v>512.0</v>
      </c>
      <c r="O1434" s="128"/>
      <c r="P1434" s="129">
        <v>20000.0</v>
      </c>
      <c r="Q1434" s="128" t="s">
        <v>203</v>
      </c>
    </row>
    <row r="1435">
      <c r="A1435" s="129">
        <v>957.0</v>
      </c>
      <c r="B1435" s="129">
        <v>2019.0</v>
      </c>
      <c r="C1435" s="129">
        <v>11.7</v>
      </c>
      <c r="D1435" s="129">
        <v>14.49</v>
      </c>
      <c r="E1435" s="129">
        <v>101.92</v>
      </c>
      <c r="F1435" s="128" t="s">
        <v>202</v>
      </c>
      <c r="G1435" s="128" t="s">
        <v>1762</v>
      </c>
      <c r="H1435" s="128" t="s">
        <v>193</v>
      </c>
      <c r="I1435" s="128" t="s">
        <v>363</v>
      </c>
      <c r="J1435" s="129">
        <v>88.0</v>
      </c>
      <c r="K1435" s="129">
        <v>1.0</v>
      </c>
      <c r="L1435" s="128" t="s">
        <v>6011</v>
      </c>
      <c r="M1435" s="128" t="s">
        <v>1763</v>
      </c>
      <c r="N1435" s="129">
        <v>512.0</v>
      </c>
      <c r="O1435" s="128"/>
      <c r="P1435" s="128" t="s">
        <v>6011</v>
      </c>
      <c r="Q1435" s="128" t="s">
        <v>203</v>
      </c>
    </row>
    <row r="1436">
      <c r="A1436" s="129">
        <v>924.0</v>
      </c>
      <c r="B1436" s="129">
        <v>2019.0</v>
      </c>
      <c r="C1436" s="129">
        <v>28.6</v>
      </c>
      <c r="D1436" s="129">
        <v>14.59</v>
      </c>
      <c r="E1436" s="129">
        <v>98.84</v>
      </c>
      <c r="F1436" s="128" t="s">
        <v>1760</v>
      </c>
      <c r="G1436" s="128" t="s">
        <v>1770</v>
      </c>
      <c r="H1436" s="128" t="s">
        <v>193</v>
      </c>
      <c r="I1436" s="128" t="s">
        <v>968</v>
      </c>
      <c r="J1436" s="129">
        <v>310.0</v>
      </c>
      <c r="K1436" s="129">
        <v>1.0</v>
      </c>
      <c r="L1436" s="129">
        <v>20000.0</v>
      </c>
      <c r="M1436" s="128" t="s">
        <v>1771</v>
      </c>
      <c r="N1436" s="129">
        <v>262.0</v>
      </c>
      <c r="O1436" s="128"/>
      <c r="P1436" s="129">
        <v>20000.0</v>
      </c>
      <c r="Q1436" s="128" t="s">
        <v>203</v>
      </c>
    </row>
    <row r="1437">
      <c r="A1437" s="129">
        <v>944.0</v>
      </c>
      <c r="B1437" s="129">
        <v>2019.0</v>
      </c>
      <c r="C1437" s="129">
        <v>27.2</v>
      </c>
      <c r="D1437" s="129">
        <v>14.59</v>
      </c>
      <c r="E1437" s="129">
        <v>98.84</v>
      </c>
      <c r="F1437" s="128" t="s">
        <v>1760</v>
      </c>
      <c r="G1437" s="128" t="s">
        <v>1770</v>
      </c>
      <c r="H1437" s="128" t="s">
        <v>193</v>
      </c>
      <c r="I1437" s="128" t="s">
        <v>968</v>
      </c>
      <c r="J1437" s="129">
        <v>139.0</v>
      </c>
      <c r="K1437" s="129">
        <v>1.0</v>
      </c>
      <c r="L1437" s="129">
        <v>20000.0</v>
      </c>
      <c r="M1437" s="128" t="s">
        <v>1771</v>
      </c>
      <c r="N1437" s="129">
        <v>262.0</v>
      </c>
      <c r="O1437" s="128"/>
      <c r="P1437" s="129">
        <v>20000.0</v>
      </c>
      <c r="Q1437" s="128" t="s">
        <v>203</v>
      </c>
    </row>
    <row r="1438">
      <c r="A1438" s="129">
        <v>964.0</v>
      </c>
      <c r="B1438" s="129">
        <v>2019.0</v>
      </c>
      <c r="C1438" s="129">
        <v>72.8</v>
      </c>
      <c r="D1438" s="129">
        <v>14.59</v>
      </c>
      <c r="E1438" s="129">
        <v>98.84</v>
      </c>
      <c r="F1438" s="128" t="s">
        <v>202</v>
      </c>
      <c r="G1438" s="128" t="s">
        <v>1770</v>
      </c>
      <c r="H1438" s="128" t="s">
        <v>193</v>
      </c>
      <c r="I1438" s="128" t="s">
        <v>968</v>
      </c>
      <c r="J1438" s="129">
        <v>139.0</v>
      </c>
      <c r="K1438" s="129">
        <v>1.0</v>
      </c>
      <c r="L1438" s="128" t="s">
        <v>6011</v>
      </c>
      <c r="M1438" s="128" t="s">
        <v>1771</v>
      </c>
      <c r="N1438" s="129">
        <v>262.0</v>
      </c>
      <c r="O1438" s="128"/>
      <c r="P1438" s="128" t="s">
        <v>6011</v>
      </c>
      <c r="Q1438" s="128" t="s">
        <v>203</v>
      </c>
    </row>
    <row r="1439">
      <c r="A1439" s="129">
        <v>148.0</v>
      </c>
      <c r="B1439" s="129">
        <v>2017.0</v>
      </c>
      <c r="C1439" s="129">
        <v>38.02</v>
      </c>
      <c r="D1439" s="129">
        <v>21.95</v>
      </c>
      <c r="E1439" s="129">
        <v>101.2</v>
      </c>
      <c r="F1439" s="128" t="s">
        <v>202</v>
      </c>
      <c r="G1439" s="128" t="s">
        <v>589</v>
      </c>
      <c r="H1439" s="128" t="s">
        <v>193</v>
      </c>
      <c r="I1439" s="128" t="s">
        <v>194</v>
      </c>
      <c r="J1439" s="128"/>
      <c r="K1439" s="129">
        <v>1.0</v>
      </c>
      <c r="L1439" s="128" t="s">
        <v>6011</v>
      </c>
      <c r="M1439" s="128" t="s">
        <v>5990</v>
      </c>
      <c r="N1439" s="129">
        <v>732.0</v>
      </c>
      <c r="O1439" s="128"/>
      <c r="P1439" s="128" t="s">
        <v>6011</v>
      </c>
      <c r="Q1439" s="128" t="s">
        <v>203</v>
      </c>
    </row>
    <row r="1440">
      <c r="A1440" s="129">
        <v>147.0</v>
      </c>
      <c r="B1440" s="129">
        <v>2017.0</v>
      </c>
      <c r="C1440" s="129">
        <v>39.02</v>
      </c>
      <c r="D1440" s="129">
        <v>23.27</v>
      </c>
      <c r="E1440" s="129">
        <v>112.57</v>
      </c>
      <c r="F1440" s="128" t="s">
        <v>202</v>
      </c>
      <c r="G1440" s="128" t="s">
        <v>586</v>
      </c>
      <c r="H1440" s="128" t="s">
        <v>193</v>
      </c>
      <c r="I1440" s="128" t="s">
        <v>194</v>
      </c>
      <c r="J1440" s="128"/>
      <c r="K1440" s="129">
        <v>1.0</v>
      </c>
      <c r="L1440" s="128" t="s">
        <v>6011</v>
      </c>
      <c r="M1440" s="128" t="s">
        <v>587</v>
      </c>
      <c r="N1440" s="129">
        <v>303.0</v>
      </c>
      <c r="O1440" s="128"/>
      <c r="P1440" s="128" t="s">
        <v>6011</v>
      </c>
      <c r="Q1440" s="128" t="s">
        <v>203</v>
      </c>
    </row>
    <row r="1441">
      <c r="A1441" s="129">
        <v>344.0</v>
      </c>
      <c r="B1441" s="129">
        <v>2018.0</v>
      </c>
      <c r="C1441" s="129">
        <v>-47.3</v>
      </c>
      <c r="D1441" s="129">
        <v>24.175</v>
      </c>
      <c r="E1441" s="129">
        <v>48.0667</v>
      </c>
      <c r="F1441" s="128" t="s">
        <v>881</v>
      </c>
      <c r="G1441" s="128" t="s">
        <v>876</v>
      </c>
      <c r="H1441" s="128" t="s">
        <v>874</v>
      </c>
      <c r="I1441" s="128" t="s">
        <v>875</v>
      </c>
      <c r="J1441" s="129">
        <v>12.0</v>
      </c>
      <c r="K1441" s="129">
        <v>1.0</v>
      </c>
      <c r="L1441" s="129">
        <v>3.0</v>
      </c>
      <c r="M1441" s="128" t="s">
        <v>876</v>
      </c>
      <c r="N1441" s="129">
        <v>361.0</v>
      </c>
      <c r="O1441" s="128" t="s">
        <v>879</v>
      </c>
      <c r="P1441" s="129">
        <v>3.0</v>
      </c>
      <c r="Q1441" s="128" t="s">
        <v>203</v>
      </c>
    </row>
    <row r="1442">
      <c r="A1442" s="129">
        <v>345.0</v>
      </c>
      <c r="B1442" s="129">
        <v>2018.0</v>
      </c>
      <c r="C1442" s="129">
        <v>-22.9</v>
      </c>
      <c r="D1442" s="129">
        <v>24.175</v>
      </c>
      <c r="E1442" s="129">
        <v>48.0667</v>
      </c>
      <c r="F1442" s="128" t="s">
        <v>881</v>
      </c>
      <c r="G1442" s="128" t="s">
        <v>876</v>
      </c>
      <c r="H1442" s="128" t="s">
        <v>874</v>
      </c>
      <c r="I1442" s="128" t="s">
        <v>875</v>
      </c>
      <c r="J1442" s="129">
        <v>12.0</v>
      </c>
      <c r="K1442" s="129">
        <v>1.0</v>
      </c>
      <c r="L1442" s="129">
        <v>3.0</v>
      </c>
      <c r="M1442" s="128" t="s">
        <v>876</v>
      </c>
      <c r="N1442" s="129">
        <v>361.0</v>
      </c>
      <c r="O1442" s="128" t="s">
        <v>879</v>
      </c>
      <c r="P1442" s="129">
        <v>3.0</v>
      </c>
      <c r="Q1442" s="128" t="s">
        <v>203</v>
      </c>
    </row>
    <row r="1443">
      <c r="A1443" s="129">
        <v>346.0</v>
      </c>
      <c r="B1443" s="129">
        <v>2018.0</v>
      </c>
      <c r="C1443" s="129">
        <v>-39.6</v>
      </c>
      <c r="D1443" s="129">
        <v>24.175</v>
      </c>
      <c r="E1443" s="129">
        <v>48.0667</v>
      </c>
      <c r="F1443" s="128" t="s">
        <v>881</v>
      </c>
      <c r="G1443" s="128" t="s">
        <v>876</v>
      </c>
      <c r="H1443" s="128" t="s">
        <v>874</v>
      </c>
      <c r="I1443" s="128" t="s">
        <v>875</v>
      </c>
      <c r="J1443" s="129">
        <v>12.0</v>
      </c>
      <c r="K1443" s="129">
        <v>1.0</v>
      </c>
      <c r="L1443" s="129">
        <v>3.0</v>
      </c>
      <c r="M1443" s="128" t="s">
        <v>876</v>
      </c>
      <c r="N1443" s="129">
        <v>361.0</v>
      </c>
      <c r="O1443" s="128" t="s">
        <v>879</v>
      </c>
      <c r="P1443" s="129">
        <v>3.0</v>
      </c>
      <c r="Q1443" s="128" t="s">
        <v>203</v>
      </c>
    </row>
    <row r="1444">
      <c r="A1444" s="129">
        <v>347.0</v>
      </c>
      <c r="B1444" s="129">
        <v>2018.0</v>
      </c>
      <c r="C1444" s="129">
        <v>-23.7</v>
      </c>
      <c r="D1444" s="129">
        <v>24.175</v>
      </c>
      <c r="E1444" s="129">
        <v>48.0667</v>
      </c>
      <c r="F1444" s="128" t="s">
        <v>881</v>
      </c>
      <c r="G1444" s="128" t="s">
        <v>876</v>
      </c>
      <c r="H1444" s="128" t="s">
        <v>874</v>
      </c>
      <c r="I1444" s="128" t="s">
        <v>875</v>
      </c>
      <c r="J1444" s="129">
        <v>12.0</v>
      </c>
      <c r="K1444" s="129">
        <v>1.0</v>
      </c>
      <c r="L1444" s="129">
        <v>3.0</v>
      </c>
      <c r="M1444" s="128" t="s">
        <v>876</v>
      </c>
      <c r="N1444" s="129">
        <v>361.0</v>
      </c>
      <c r="O1444" s="128" t="s">
        <v>879</v>
      </c>
      <c r="P1444" s="129">
        <v>3.0</v>
      </c>
      <c r="Q1444" s="128" t="s">
        <v>203</v>
      </c>
    </row>
    <row r="1445">
      <c r="A1445" s="129">
        <v>348.0</v>
      </c>
      <c r="B1445" s="129">
        <v>2018.0</v>
      </c>
      <c r="C1445" s="129">
        <v>-9.6</v>
      </c>
      <c r="D1445" s="129">
        <v>24.175</v>
      </c>
      <c r="E1445" s="129">
        <v>48.0667</v>
      </c>
      <c r="F1445" s="128" t="s">
        <v>881</v>
      </c>
      <c r="G1445" s="128" t="s">
        <v>876</v>
      </c>
      <c r="H1445" s="128" t="s">
        <v>874</v>
      </c>
      <c r="I1445" s="128" t="s">
        <v>875</v>
      </c>
      <c r="J1445" s="129">
        <v>12.0</v>
      </c>
      <c r="K1445" s="129">
        <v>1.0</v>
      </c>
      <c r="L1445" s="129">
        <v>3.0</v>
      </c>
      <c r="M1445" s="128" t="s">
        <v>876</v>
      </c>
      <c r="N1445" s="129">
        <v>361.0</v>
      </c>
      <c r="O1445" s="128" t="s">
        <v>879</v>
      </c>
      <c r="P1445" s="129">
        <v>3.0</v>
      </c>
      <c r="Q1445" s="128" t="s">
        <v>203</v>
      </c>
    </row>
    <row r="1446">
      <c r="A1446" s="129">
        <v>916.0</v>
      </c>
      <c r="B1446" s="129">
        <v>2019.0</v>
      </c>
      <c r="C1446" s="129">
        <v>65.6</v>
      </c>
      <c r="D1446" s="129">
        <v>24.58</v>
      </c>
      <c r="E1446" s="129">
        <v>121.4</v>
      </c>
      <c r="F1446" s="128" t="s">
        <v>1760</v>
      </c>
      <c r="G1446" s="128" t="s">
        <v>1757</v>
      </c>
      <c r="H1446" s="128" t="s">
        <v>350</v>
      </c>
      <c r="I1446" s="128" t="s">
        <v>351</v>
      </c>
      <c r="J1446" s="129">
        <v>392.0</v>
      </c>
      <c r="K1446" s="129">
        <v>1.0</v>
      </c>
      <c r="L1446" s="129">
        <v>20000.0</v>
      </c>
      <c r="M1446" s="128" t="s">
        <v>1758</v>
      </c>
      <c r="N1446" s="129">
        <v>1794.0</v>
      </c>
      <c r="O1446" s="128"/>
      <c r="P1446" s="129">
        <v>20000.0</v>
      </c>
      <c r="Q1446" s="128" t="s">
        <v>203</v>
      </c>
    </row>
    <row r="1447">
      <c r="A1447" s="129">
        <v>936.0</v>
      </c>
      <c r="B1447" s="129">
        <v>2019.0</v>
      </c>
      <c r="C1447" s="129">
        <v>4.2</v>
      </c>
      <c r="D1447" s="129">
        <v>24.58</v>
      </c>
      <c r="E1447" s="129">
        <v>121.4</v>
      </c>
      <c r="F1447" s="128" t="s">
        <v>1760</v>
      </c>
      <c r="G1447" s="128" t="s">
        <v>1757</v>
      </c>
      <c r="H1447" s="128" t="s">
        <v>350</v>
      </c>
      <c r="I1447" s="128" t="s">
        <v>351</v>
      </c>
      <c r="J1447" s="129">
        <v>264.0</v>
      </c>
      <c r="K1447" s="129">
        <v>1.0</v>
      </c>
      <c r="L1447" s="129">
        <v>20000.0</v>
      </c>
      <c r="M1447" s="128" t="s">
        <v>1758</v>
      </c>
      <c r="N1447" s="129">
        <v>1794.0</v>
      </c>
      <c r="O1447" s="128"/>
      <c r="P1447" s="129">
        <v>20000.0</v>
      </c>
      <c r="Q1447" s="128" t="s">
        <v>203</v>
      </c>
    </row>
    <row r="1448">
      <c r="A1448" s="129">
        <v>956.0</v>
      </c>
      <c r="B1448" s="129">
        <v>2019.0</v>
      </c>
      <c r="C1448" s="129">
        <v>27.4</v>
      </c>
      <c r="D1448" s="129">
        <v>24.58</v>
      </c>
      <c r="E1448" s="129">
        <v>121.4</v>
      </c>
      <c r="F1448" s="128" t="s">
        <v>202</v>
      </c>
      <c r="G1448" s="128" t="s">
        <v>1757</v>
      </c>
      <c r="H1448" s="128" t="s">
        <v>350</v>
      </c>
      <c r="I1448" s="128" t="s">
        <v>351</v>
      </c>
      <c r="J1448" s="129">
        <v>264.0</v>
      </c>
      <c r="K1448" s="129">
        <v>1.0</v>
      </c>
      <c r="L1448" s="128" t="s">
        <v>6011</v>
      </c>
      <c r="M1448" s="128" t="s">
        <v>1758</v>
      </c>
      <c r="N1448" s="129">
        <v>1794.0</v>
      </c>
      <c r="O1448" s="128"/>
      <c r="P1448" s="128" t="s">
        <v>6011</v>
      </c>
      <c r="Q1448" s="128" t="s">
        <v>203</v>
      </c>
    </row>
    <row r="1449">
      <c r="A1449" s="129">
        <v>918.0</v>
      </c>
      <c r="B1449" s="129">
        <v>2019.0</v>
      </c>
      <c r="C1449" s="129">
        <v>2.8</v>
      </c>
      <c r="D1449" s="129">
        <v>26.73</v>
      </c>
      <c r="E1449" s="129">
        <v>115.07</v>
      </c>
      <c r="F1449" s="128" t="s">
        <v>1760</v>
      </c>
      <c r="G1449" s="128" t="s">
        <v>195</v>
      </c>
      <c r="H1449" s="128" t="s">
        <v>193</v>
      </c>
      <c r="I1449" s="128" t="s">
        <v>968</v>
      </c>
      <c r="J1449" s="129">
        <v>313.0</v>
      </c>
      <c r="K1449" s="129">
        <v>1.0</v>
      </c>
      <c r="L1449" s="129">
        <v>20000.0</v>
      </c>
      <c r="M1449" s="128" t="s">
        <v>196</v>
      </c>
      <c r="N1449" s="129">
        <v>81.0</v>
      </c>
      <c r="O1449" s="128"/>
      <c r="P1449" s="129">
        <v>20000.0</v>
      </c>
      <c r="Q1449" s="128" t="s">
        <v>203</v>
      </c>
    </row>
    <row r="1450">
      <c r="A1450" s="129">
        <v>938.0</v>
      </c>
      <c r="B1450" s="129">
        <v>2019.0</v>
      </c>
      <c r="C1450" s="129">
        <v>9.0</v>
      </c>
      <c r="D1450" s="129">
        <v>26.73</v>
      </c>
      <c r="E1450" s="129">
        <v>115.07</v>
      </c>
      <c r="F1450" s="128" t="s">
        <v>1760</v>
      </c>
      <c r="G1450" s="128" t="s">
        <v>195</v>
      </c>
      <c r="H1450" s="128" t="s">
        <v>193</v>
      </c>
      <c r="I1450" s="128" t="s">
        <v>968</v>
      </c>
      <c r="J1450" s="129">
        <v>310.0</v>
      </c>
      <c r="K1450" s="129">
        <v>1.0</v>
      </c>
      <c r="L1450" s="129">
        <v>20000.0</v>
      </c>
      <c r="M1450" s="128" t="s">
        <v>196</v>
      </c>
      <c r="N1450" s="129">
        <v>81.0</v>
      </c>
      <c r="O1450" s="128"/>
      <c r="P1450" s="129">
        <v>20000.0</v>
      </c>
      <c r="Q1450" s="128" t="s">
        <v>203</v>
      </c>
    </row>
    <row r="1451">
      <c r="A1451" s="129">
        <v>146.0</v>
      </c>
      <c r="B1451" s="129">
        <v>2017.0</v>
      </c>
      <c r="C1451" s="129">
        <v>27.4</v>
      </c>
      <c r="D1451" s="129">
        <v>26.73</v>
      </c>
      <c r="E1451" s="129">
        <v>115.05</v>
      </c>
      <c r="F1451" s="128" t="s">
        <v>202</v>
      </c>
      <c r="G1451" s="128" t="s">
        <v>195</v>
      </c>
      <c r="H1451" s="128" t="s">
        <v>193</v>
      </c>
      <c r="I1451" s="128" t="s">
        <v>194</v>
      </c>
      <c r="J1451" s="128"/>
      <c r="K1451" s="129">
        <v>1.0</v>
      </c>
      <c r="L1451" s="128" t="s">
        <v>6011</v>
      </c>
      <c r="M1451" s="128" t="s">
        <v>196</v>
      </c>
      <c r="N1451" s="129">
        <v>115.0</v>
      </c>
      <c r="O1451" s="128"/>
      <c r="P1451" s="128" t="s">
        <v>6011</v>
      </c>
      <c r="Q1451" s="128" t="s">
        <v>203</v>
      </c>
    </row>
    <row r="1452">
      <c r="A1452" s="129">
        <v>958.0</v>
      </c>
      <c r="B1452" s="129">
        <v>2019.0</v>
      </c>
      <c r="C1452" s="129">
        <v>6.7</v>
      </c>
      <c r="D1452" s="129">
        <v>26.73</v>
      </c>
      <c r="E1452" s="129">
        <v>115.07</v>
      </c>
      <c r="F1452" s="128" t="s">
        <v>202</v>
      </c>
      <c r="G1452" s="128" t="s">
        <v>195</v>
      </c>
      <c r="H1452" s="128" t="s">
        <v>193</v>
      </c>
      <c r="I1452" s="128" t="s">
        <v>968</v>
      </c>
      <c r="J1452" s="129">
        <v>310.0</v>
      </c>
      <c r="K1452" s="129">
        <v>1.0</v>
      </c>
      <c r="L1452" s="128" t="s">
        <v>6011</v>
      </c>
      <c r="M1452" s="128" t="s">
        <v>196</v>
      </c>
      <c r="N1452" s="129">
        <v>81.0</v>
      </c>
      <c r="O1452" s="128"/>
      <c r="P1452" s="128" t="s">
        <v>6011</v>
      </c>
      <c r="Q1452" s="128" t="s">
        <v>203</v>
      </c>
    </row>
    <row r="1453">
      <c r="A1453" s="129">
        <v>337.0</v>
      </c>
      <c r="B1453" s="129">
        <v>2018.0</v>
      </c>
      <c r="C1453" s="129">
        <v>39.32</v>
      </c>
      <c r="D1453" s="129">
        <v>26.74</v>
      </c>
      <c r="E1453" s="129">
        <v>115.06</v>
      </c>
      <c r="F1453" s="128" t="s">
        <v>202</v>
      </c>
      <c r="G1453" s="128" t="s">
        <v>195</v>
      </c>
      <c r="H1453" s="128" t="s">
        <v>193</v>
      </c>
      <c r="I1453" s="128" t="s">
        <v>194</v>
      </c>
      <c r="J1453" s="128"/>
      <c r="K1453" s="129">
        <v>1.0</v>
      </c>
      <c r="L1453" s="128" t="s">
        <v>858</v>
      </c>
      <c r="M1453" s="128" t="s">
        <v>196</v>
      </c>
      <c r="N1453" s="129">
        <v>110.0</v>
      </c>
      <c r="O1453" s="128"/>
      <c r="P1453" s="128" t="s">
        <v>861</v>
      </c>
      <c r="Q1453" s="128" t="s">
        <v>203</v>
      </c>
    </row>
    <row r="1454">
      <c r="A1454" s="129">
        <v>34.0</v>
      </c>
      <c r="B1454" s="129">
        <v>2019.0</v>
      </c>
      <c r="C1454" s="129">
        <v>49.71</v>
      </c>
      <c r="D1454" s="129">
        <v>28.908</v>
      </c>
      <c r="E1454" s="129">
        <v>117.269</v>
      </c>
      <c r="F1454" s="128"/>
      <c r="G1454" s="128" t="s">
        <v>195</v>
      </c>
      <c r="H1454" s="128" t="s">
        <v>193</v>
      </c>
      <c r="I1454" s="128" t="s">
        <v>194</v>
      </c>
      <c r="J1454" s="128"/>
      <c r="K1454" s="129">
        <v>1.0</v>
      </c>
      <c r="L1454" s="128" t="s">
        <v>6011</v>
      </c>
      <c r="M1454" s="128" t="s">
        <v>196</v>
      </c>
      <c r="N1454" s="129">
        <v>23.0</v>
      </c>
      <c r="O1454" s="128"/>
      <c r="P1454" s="128" t="s">
        <v>6011</v>
      </c>
      <c r="Q1454" s="128" t="s">
        <v>203</v>
      </c>
    </row>
    <row r="1455">
      <c r="A1455" s="129">
        <v>151.0</v>
      </c>
      <c r="B1455" s="129">
        <v>2017.0</v>
      </c>
      <c r="C1455" s="129">
        <v>-15.39</v>
      </c>
      <c r="D1455" s="129">
        <v>30.85</v>
      </c>
      <c r="E1455" s="129">
        <v>91.42</v>
      </c>
      <c r="F1455" s="128" t="s">
        <v>202</v>
      </c>
      <c r="G1455" s="128" t="s">
        <v>601</v>
      </c>
      <c r="H1455" s="128" t="s">
        <v>193</v>
      </c>
      <c r="I1455" s="128" t="s">
        <v>194</v>
      </c>
      <c r="J1455" s="128"/>
      <c r="K1455" s="129">
        <v>1.0</v>
      </c>
      <c r="L1455" s="128" t="s">
        <v>6011</v>
      </c>
      <c r="M1455" s="128" t="s">
        <v>602</v>
      </c>
      <c r="N1455" s="129">
        <v>5495.0</v>
      </c>
      <c r="O1455" s="128"/>
      <c r="P1455" s="128" t="s">
        <v>6011</v>
      </c>
      <c r="Q1455" s="128" t="s">
        <v>203</v>
      </c>
    </row>
    <row r="1456">
      <c r="A1456" s="129">
        <v>2109.0</v>
      </c>
      <c r="B1456" s="129">
        <v>2017.0</v>
      </c>
      <c r="C1456" s="129">
        <v>80.7</v>
      </c>
      <c r="D1456" s="129">
        <v>31.664</v>
      </c>
      <c r="E1456" s="129">
        <v>-110.178</v>
      </c>
      <c r="F1456" s="128" t="s">
        <v>3015</v>
      </c>
      <c r="G1456" s="128" t="s">
        <v>314</v>
      </c>
      <c r="H1456" s="128" t="s">
        <v>167</v>
      </c>
      <c r="I1456" s="128" t="s">
        <v>244</v>
      </c>
      <c r="J1456" s="128"/>
      <c r="K1456" s="129">
        <v>1.0</v>
      </c>
      <c r="L1456" s="129">
        <v>1000.0</v>
      </c>
      <c r="M1456" s="128" t="s">
        <v>315</v>
      </c>
      <c r="N1456" s="129">
        <v>1202.0</v>
      </c>
      <c r="O1456" s="128"/>
      <c r="P1456" s="129">
        <v>1000.0</v>
      </c>
      <c r="Q1456" s="128" t="s">
        <v>203</v>
      </c>
    </row>
    <row r="1457">
      <c r="A1457" s="129">
        <v>2110.0</v>
      </c>
      <c r="B1457" s="129">
        <v>2017.0</v>
      </c>
      <c r="C1457" s="129">
        <v>18.6</v>
      </c>
      <c r="D1457" s="129">
        <v>31.738</v>
      </c>
      <c r="E1457" s="129">
        <v>-109.943</v>
      </c>
      <c r="F1457" s="128" t="s">
        <v>3015</v>
      </c>
      <c r="G1457" s="128" t="s">
        <v>3016</v>
      </c>
      <c r="H1457" s="128" t="s">
        <v>167</v>
      </c>
      <c r="I1457" s="128" t="s">
        <v>244</v>
      </c>
      <c r="J1457" s="128"/>
      <c r="K1457" s="129">
        <v>1.0</v>
      </c>
      <c r="L1457" s="129">
        <v>1000.0</v>
      </c>
      <c r="M1457" s="128" t="s">
        <v>6000</v>
      </c>
      <c r="N1457" s="129">
        <v>1513.0</v>
      </c>
      <c r="O1457" s="128"/>
      <c r="P1457" s="129">
        <v>1000.0</v>
      </c>
      <c r="Q1457" s="128" t="s">
        <v>203</v>
      </c>
    </row>
    <row r="1458">
      <c r="A1458" s="129">
        <v>2107.0</v>
      </c>
      <c r="B1458" s="129">
        <v>2017.0</v>
      </c>
      <c r="C1458" s="129">
        <v>112.5</v>
      </c>
      <c r="D1458" s="129">
        <v>31.749</v>
      </c>
      <c r="E1458" s="129">
        <v>-110.052</v>
      </c>
      <c r="F1458" s="128" t="s">
        <v>3015</v>
      </c>
      <c r="G1458" s="128" t="s">
        <v>3013</v>
      </c>
      <c r="H1458" s="128" t="s">
        <v>167</v>
      </c>
      <c r="I1458" s="128" t="s">
        <v>244</v>
      </c>
      <c r="J1458" s="128"/>
      <c r="K1458" s="129">
        <v>1.0</v>
      </c>
      <c r="L1458" s="129">
        <v>1000.0</v>
      </c>
      <c r="M1458" s="128" t="s">
        <v>3014</v>
      </c>
      <c r="N1458" s="129">
        <v>1378.0</v>
      </c>
      <c r="O1458" s="128"/>
      <c r="P1458" s="129">
        <v>1000.0</v>
      </c>
      <c r="Q1458" s="128" t="s">
        <v>203</v>
      </c>
    </row>
    <row r="1459">
      <c r="A1459" s="129">
        <v>2108.0</v>
      </c>
      <c r="B1459" s="129">
        <v>2017.0</v>
      </c>
      <c r="C1459" s="129">
        <v>2.1</v>
      </c>
      <c r="D1459" s="129">
        <v>31.8214</v>
      </c>
      <c r="E1459" s="129">
        <v>-110.867</v>
      </c>
      <c r="F1459" s="128" t="s">
        <v>3015</v>
      </c>
      <c r="G1459" s="128" t="s">
        <v>300</v>
      </c>
      <c r="H1459" s="128" t="s">
        <v>167</v>
      </c>
      <c r="I1459" s="128" t="s">
        <v>244</v>
      </c>
      <c r="J1459" s="128"/>
      <c r="K1459" s="129">
        <v>1.0</v>
      </c>
      <c r="L1459" s="129">
        <v>1000.0</v>
      </c>
      <c r="M1459" s="128" t="s">
        <v>301</v>
      </c>
      <c r="N1459" s="129">
        <v>1118.0</v>
      </c>
      <c r="O1459" s="128"/>
      <c r="P1459" s="129">
        <v>1000.0</v>
      </c>
      <c r="Q1459" s="128" t="s">
        <v>203</v>
      </c>
    </row>
    <row r="1460">
      <c r="A1460" s="129">
        <v>906.0</v>
      </c>
      <c r="B1460" s="129">
        <v>2013.0</v>
      </c>
      <c r="C1460" s="129">
        <v>-81.5</v>
      </c>
      <c r="D1460" s="129">
        <v>34.55</v>
      </c>
      <c r="E1460" s="129">
        <v>126.57</v>
      </c>
      <c r="F1460" s="128" t="s">
        <v>1190</v>
      </c>
      <c r="G1460" s="128" t="s">
        <v>1738</v>
      </c>
      <c r="H1460" s="128"/>
      <c r="I1460" s="128"/>
      <c r="J1460" s="128"/>
      <c r="K1460" s="129">
        <v>1.0</v>
      </c>
      <c r="L1460" s="129">
        <v>1000.0</v>
      </c>
      <c r="M1460" s="128" t="s">
        <v>1138</v>
      </c>
      <c r="N1460" s="129">
        <v>7.0</v>
      </c>
      <c r="O1460" s="128"/>
      <c r="P1460" s="129">
        <v>1000.0</v>
      </c>
      <c r="Q1460" s="128" t="s">
        <v>203</v>
      </c>
    </row>
    <row r="1461">
      <c r="A1461" s="129">
        <v>907.0</v>
      </c>
      <c r="B1461" s="129">
        <v>2013.0</v>
      </c>
      <c r="C1461" s="129">
        <v>-19.8</v>
      </c>
      <c r="D1461" s="129">
        <v>34.55</v>
      </c>
      <c r="E1461" s="129">
        <v>126.57</v>
      </c>
      <c r="F1461" s="128" t="s">
        <v>1190</v>
      </c>
      <c r="G1461" s="128" t="s">
        <v>1738</v>
      </c>
      <c r="H1461" s="128"/>
      <c r="I1461" s="128"/>
      <c r="J1461" s="128"/>
      <c r="K1461" s="129">
        <v>1.0</v>
      </c>
      <c r="L1461" s="129">
        <v>1000.0</v>
      </c>
      <c r="M1461" s="128" t="s">
        <v>1138</v>
      </c>
      <c r="N1461" s="129">
        <v>7.0</v>
      </c>
      <c r="O1461" s="128"/>
      <c r="P1461" s="129">
        <v>1000.0</v>
      </c>
      <c r="Q1461" s="128" t="s">
        <v>203</v>
      </c>
    </row>
    <row r="1462">
      <c r="A1462" s="129">
        <v>910.0</v>
      </c>
      <c r="B1462" s="129">
        <v>2013.0</v>
      </c>
      <c r="C1462" s="129">
        <v>-26.5</v>
      </c>
      <c r="D1462" s="129">
        <v>34.55</v>
      </c>
      <c r="E1462" s="129">
        <v>126.57</v>
      </c>
      <c r="F1462" s="128" t="s">
        <v>1740</v>
      </c>
      <c r="G1462" s="128" t="s">
        <v>1738</v>
      </c>
      <c r="H1462" s="128"/>
      <c r="I1462" s="128"/>
      <c r="J1462" s="128"/>
      <c r="K1462" s="129">
        <v>1.0</v>
      </c>
      <c r="L1462" s="129">
        <v>1000.0</v>
      </c>
      <c r="M1462" s="128" t="s">
        <v>1138</v>
      </c>
      <c r="N1462" s="129">
        <v>7.0</v>
      </c>
      <c r="O1462" s="128"/>
      <c r="P1462" s="129">
        <v>1000.0</v>
      </c>
      <c r="Q1462" s="128" t="s">
        <v>203</v>
      </c>
    </row>
    <row r="1463">
      <c r="A1463" s="129">
        <v>911.0</v>
      </c>
      <c r="B1463" s="129">
        <v>2013.0</v>
      </c>
      <c r="C1463" s="129">
        <v>16.5</v>
      </c>
      <c r="D1463" s="129">
        <v>34.55</v>
      </c>
      <c r="E1463" s="129">
        <v>126.57</v>
      </c>
      <c r="F1463" s="128" t="s">
        <v>1740</v>
      </c>
      <c r="G1463" s="128" t="s">
        <v>1738</v>
      </c>
      <c r="H1463" s="128"/>
      <c r="I1463" s="128"/>
      <c r="J1463" s="128"/>
      <c r="K1463" s="129">
        <v>1.0</v>
      </c>
      <c r="L1463" s="129">
        <v>1000.0</v>
      </c>
      <c r="M1463" s="128" t="s">
        <v>1138</v>
      </c>
      <c r="N1463" s="129">
        <v>7.0</v>
      </c>
      <c r="O1463" s="128"/>
      <c r="P1463" s="129">
        <v>1000.0</v>
      </c>
      <c r="Q1463" s="128" t="s">
        <v>203</v>
      </c>
    </row>
    <row r="1464">
      <c r="A1464" s="129">
        <v>925.0</v>
      </c>
      <c r="B1464" s="129">
        <v>2019.0</v>
      </c>
      <c r="C1464" s="129">
        <v>-7.7</v>
      </c>
      <c r="D1464" s="129">
        <v>35.26</v>
      </c>
      <c r="E1464" s="129">
        <v>137.08</v>
      </c>
      <c r="F1464" s="128" t="s">
        <v>1760</v>
      </c>
      <c r="G1464" s="128" t="s">
        <v>1772</v>
      </c>
      <c r="H1464" s="128" t="s">
        <v>193</v>
      </c>
      <c r="I1464" s="128" t="s">
        <v>507</v>
      </c>
      <c r="J1464" s="129">
        <v>1438.0</v>
      </c>
      <c r="K1464" s="129">
        <v>1.0</v>
      </c>
      <c r="L1464" s="129">
        <v>20000.0</v>
      </c>
      <c r="M1464" s="128" t="s">
        <v>1773</v>
      </c>
      <c r="N1464" s="129">
        <v>186.0</v>
      </c>
      <c r="O1464" s="128"/>
      <c r="P1464" s="129">
        <v>20000.0</v>
      </c>
      <c r="Q1464" s="128" t="s">
        <v>203</v>
      </c>
    </row>
    <row r="1465">
      <c r="A1465" s="129">
        <v>945.0</v>
      </c>
      <c r="B1465" s="129">
        <v>2019.0</v>
      </c>
      <c r="C1465" s="129">
        <v>-8.6</v>
      </c>
      <c r="D1465" s="129">
        <v>35.26</v>
      </c>
      <c r="E1465" s="129">
        <v>137.08</v>
      </c>
      <c r="F1465" s="128" t="s">
        <v>1760</v>
      </c>
      <c r="G1465" s="128" t="s">
        <v>1772</v>
      </c>
      <c r="H1465" s="128" t="s">
        <v>193</v>
      </c>
      <c r="I1465" s="128" t="s">
        <v>507</v>
      </c>
      <c r="J1465" s="129">
        <v>1354.0</v>
      </c>
      <c r="K1465" s="129">
        <v>1.0</v>
      </c>
      <c r="L1465" s="129">
        <v>20000.0</v>
      </c>
      <c r="M1465" s="128" t="s">
        <v>1773</v>
      </c>
      <c r="N1465" s="129">
        <v>186.0</v>
      </c>
      <c r="O1465" s="128"/>
      <c r="P1465" s="129">
        <v>20000.0</v>
      </c>
      <c r="Q1465" s="128" t="s">
        <v>203</v>
      </c>
    </row>
    <row r="1466">
      <c r="A1466" s="129">
        <v>965.0</v>
      </c>
      <c r="B1466" s="129">
        <v>2019.0</v>
      </c>
      <c r="C1466" s="129">
        <v>12.7</v>
      </c>
      <c r="D1466" s="129">
        <v>35.26</v>
      </c>
      <c r="E1466" s="129">
        <v>137.08</v>
      </c>
      <c r="F1466" s="128" t="s">
        <v>202</v>
      </c>
      <c r="G1466" s="128" t="s">
        <v>1772</v>
      </c>
      <c r="H1466" s="128" t="s">
        <v>193</v>
      </c>
      <c r="I1466" s="128" t="s">
        <v>507</v>
      </c>
      <c r="J1466" s="129">
        <v>1354.0</v>
      </c>
      <c r="K1466" s="129">
        <v>1.0</v>
      </c>
      <c r="L1466" s="128" t="s">
        <v>6011</v>
      </c>
      <c r="M1466" s="128" t="s">
        <v>1773</v>
      </c>
      <c r="N1466" s="129">
        <v>186.0</v>
      </c>
      <c r="O1466" s="128"/>
      <c r="P1466" s="128" t="s">
        <v>6011</v>
      </c>
      <c r="Q1466" s="128" t="s">
        <v>203</v>
      </c>
    </row>
    <row r="1467">
      <c r="A1467" s="129">
        <v>919.0</v>
      </c>
      <c r="B1467" s="129">
        <v>2019.0</v>
      </c>
      <c r="C1467" s="129">
        <v>35.8</v>
      </c>
      <c r="D1467" s="129">
        <v>35.44</v>
      </c>
      <c r="E1467" s="129">
        <v>138.76</v>
      </c>
      <c r="F1467" s="128" t="s">
        <v>1760</v>
      </c>
      <c r="G1467" s="128" t="s">
        <v>1765</v>
      </c>
      <c r="H1467" s="128" t="s">
        <v>341</v>
      </c>
      <c r="I1467" s="128" t="s">
        <v>676</v>
      </c>
      <c r="J1467" s="129">
        <v>604.0</v>
      </c>
      <c r="K1467" s="129">
        <v>1.0</v>
      </c>
      <c r="L1467" s="129">
        <v>20000.0</v>
      </c>
      <c r="M1467" s="128" t="s">
        <v>1766</v>
      </c>
      <c r="N1467" s="129">
        <v>1135.0</v>
      </c>
      <c r="O1467" s="128"/>
      <c r="P1467" s="129">
        <v>20000.0</v>
      </c>
      <c r="Q1467" s="128" t="s">
        <v>203</v>
      </c>
    </row>
    <row r="1468">
      <c r="A1468" s="129">
        <v>939.0</v>
      </c>
      <c r="B1468" s="129">
        <v>2019.0</v>
      </c>
      <c r="C1468" s="129">
        <v>-0.6</v>
      </c>
      <c r="D1468" s="129">
        <v>35.44</v>
      </c>
      <c r="E1468" s="129">
        <v>138.76</v>
      </c>
      <c r="F1468" s="128" t="s">
        <v>1760</v>
      </c>
      <c r="G1468" s="128" t="s">
        <v>1765</v>
      </c>
      <c r="H1468" s="128" t="s">
        <v>341</v>
      </c>
      <c r="I1468" s="128" t="s">
        <v>676</v>
      </c>
      <c r="J1468" s="129">
        <v>493.0</v>
      </c>
      <c r="K1468" s="129">
        <v>1.0</v>
      </c>
      <c r="L1468" s="129">
        <v>20000.0</v>
      </c>
      <c r="M1468" s="128" t="s">
        <v>1766</v>
      </c>
      <c r="N1468" s="129">
        <v>1135.0</v>
      </c>
      <c r="O1468" s="128"/>
      <c r="P1468" s="129">
        <v>20000.0</v>
      </c>
      <c r="Q1468" s="128" t="s">
        <v>203</v>
      </c>
    </row>
    <row r="1469">
      <c r="A1469" s="129">
        <v>959.0</v>
      </c>
      <c r="B1469" s="129">
        <v>2019.0</v>
      </c>
      <c r="C1469" s="129">
        <v>53.3</v>
      </c>
      <c r="D1469" s="129">
        <v>35.44</v>
      </c>
      <c r="E1469" s="129">
        <v>138.76</v>
      </c>
      <c r="F1469" s="128" t="s">
        <v>202</v>
      </c>
      <c r="G1469" s="128" t="s">
        <v>1765</v>
      </c>
      <c r="H1469" s="128" t="s">
        <v>341</v>
      </c>
      <c r="I1469" s="128" t="s">
        <v>676</v>
      </c>
      <c r="J1469" s="129">
        <v>493.0</v>
      </c>
      <c r="K1469" s="129">
        <v>1.0</v>
      </c>
      <c r="L1469" s="128" t="s">
        <v>6011</v>
      </c>
      <c r="M1469" s="128" t="s">
        <v>1766</v>
      </c>
      <c r="N1469" s="129">
        <v>1135.0</v>
      </c>
      <c r="O1469" s="128"/>
      <c r="P1469" s="128" t="s">
        <v>6011</v>
      </c>
      <c r="Q1469" s="128" t="s">
        <v>203</v>
      </c>
    </row>
    <row r="1470">
      <c r="A1470" s="129">
        <v>931.0</v>
      </c>
      <c r="B1470" s="129">
        <v>2019.0</v>
      </c>
      <c r="C1470" s="129">
        <v>-3.0</v>
      </c>
      <c r="D1470" s="129">
        <v>36.07</v>
      </c>
      <c r="E1470" s="129">
        <v>140.02</v>
      </c>
      <c r="F1470" s="128" t="s">
        <v>1760</v>
      </c>
      <c r="G1470" s="128" t="s">
        <v>1193</v>
      </c>
      <c r="H1470" s="128" t="s">
        <v>193</v>
      </c>
      <c r="I1470" s="128" t="s">
        <v>285</v>
      </c>
      <c r="J1470" s="129">
        <v>690.0</v>
      </c>
      <c r="K1470" s="129">
        <v>1.0</v>
      </c>
      <c r="L1470" s="129">
        <v>20000.0</v>
      </c>
      <c r="M1470" s="128" t="s">
        <v>1194</v>
      </c>
      <c r="N1470" s="129">
        <v>16.0</v>
      </c>
      <c r="O1470" s="128"/>
      <c r="P1470" s="129">
        <v>20000.0</v>
      </c>
      <c r="Q1470" s="128" t="s">
        <v>203</v>
      </c>
    </row>
    <row r="1471">
      <c r="A1471" s="129">
        <v>951.0</v>
      </c>
      <c r="B1471" s="129">
        <v>2019.0</v>
      </c>
      <c r="C1471" s="129">
        <v>6.0</v>
      </c>
      <c r="D1471" s="129">
        <v>36.07</v>
      </c>
      <c r="E1471" s="129">
        <v>140.02</v>
      </c>
      <c r="F1471" s="128" t="s">
        <v>1760</v>
      </c>
      <c r="G1471" s="128" t="s">
        <v>1193</v>
      </c>
      <c r="H1471" s="128" t="s">
        <v>193</v>
      </c>
      <c r="I1471" s="128" t="s">
        <v>285</v>
      </c>
      <c r="J1471" s="129">
        <v>496.0</v>
      </c>
      <c r="K1471" s="129">
        <v>1.0</v>
      </c>
      <c r="L1471" s="129">
        <v>20000.0</v>
      </c>
      <c r="M1471" s="128" t="s">
        <v>1194</v>
      </c>
      <c r="N1471" s="129">
        <v>16.0</v>
      </c>
      <c r="O1471" s="128"/>
      <c r="P1471" s="129">
        <v>20000.0</v>
      </c>
      <c r="Q1471" s="128" t="s">
        <v>203</v>
      </c>
    </row>
    <row r="1472">
      <c r="A1472" s="129">
        <v>971.0</v>
      </c>
      <c r="B1472" s="129">
        <v>2019.0</v>
      </c>
      <c r="C1472" s="129">
        <v>2.6</v>
      </c>
      <c r="D1472" s="129">
        <v>36.07</v>
      </c>
      <c r="E1472" s="129">
        <v>140.02</v>
      </c>
      <c r="F1472" s="128" t="s">
        <v>202</v>
      </c>
      <c r="G1472" s="128" t="s">
        <v>1193</v>
      </c>
      <c r="H1472" s="128" t="s">
        <v>193</v>
      </c>
      <c r="I1472" s="128" t="s">
        <v>285</v>
      </c>
      <c r="J1472" s="129">
        <v>496.0</v>
      </c>
      <c r="K1472" s="129">
        <v>1.0</v>
      </c>
      <c r="L1472" s="128" t="s">
        <v>6011</v>
      </c>
      <c r="M1472" s="128" t="s">
        <v>1194</v>
      </c>
      <c r="N1472" s="129">
        <v>16.0</v>
      </c>
      <c r="O1472" s="128"/>
      <c r="P1472" s="128" t="s">
        <v>6011</v>
      </c>
      <c r="Q1472" s="128" t="s">
        <v>203</v>
      </c>
    </row>
    <row r="1473">
      <c r="A1473" s="129">
        <v>922.0</v>
      </c>
      <c r="B1473" s="129">
        <v>2019.0</v>
      </c>
      <c r="C1473" s="129">
        <v>49.1</v>
      </c>
      <c r="D1473" s="129">
        <v>36.15</v>
      </c>
      <c r="E1473" s="129">
        <v>137.42</v>
      </c>
      <c r="F1473" s="128" t="s">
        <v>1760</v>
      </c>
      <c r="G1473" s="128" t="s">
        <v>1252</v>
      </c>
      <c r="H1473" s="128" t="s">
        <v>341</v>
      </c>
      <c r="I1473" s="128" t="s">
        <v>342</v>
      </c>
      <c r="J1473" s="129">
        <v>300.0</v>
      </c>
      <c r="K1473" s="129">
        <v>1.0</v>
      </c>
      <c r="L1473" s="129">
        <v>20000.0</v>
      </c>
      <c r="M1473" s="128" t="s">
        <v>6006</v>
      </c>
      <c r="N1473" s="129">
        <v>1382.0</v>
      </c>
      <c r="O1473" s="128"/>
      <c r="P1473" s="129">
        <v>20000.0</v>
      </c>
      <c r="Q1473" s="128" t="s">
        <v>203</v>
      </c>
    </row>
    <row r="1474">
      <c r="A1474" s="129">
        <v>942.0</v>
      </c>
      <c r="B1474" s="129">
        <v>2019.0</v>
      </c>
      <c r="C1474" s="129">
        <v>57.7</v>
      </c>
      <c r="D1474" s="129">
        <v>36.15</v>
      </c>
      <c r="E1474" s="129">
        <v>137.42</v>
      </c>
      <c r="F1474" s="128" t="s">
        <v>1760</v>
      </c>
      <c r="G1474" s="128" t="s">
        <v>1252</v>
      </c>
      <c r="H1474" s="128" t="s">
        <v>341</v>
      </c>
      <c r="I1474" s="128" t="s">
        <v>342</v>
      </c>
      <c r="J1474" s="129">
        <v>274.0</v>
      </c>
      <c r="K1474" s="129">
        <v>1.0</v>
      </c>
      <c r="L1474" s="129">
        <v>20000.0</v>
      </c>
      <c r="M1474" s="128" t="s">
        <v>6006</v>
      </c>
      <c r="N1474" s="129">
        <v>1382.0</v>
      </c>
      <c r="O1474" s="128"/>
      <c r="P1474" s="129">
        <v>20000.0</v>
      </c>
      <c r="Q1474" s="128" t="s">
        <v>203</v>
      </c>
    </row>
    <row r="1475">
      <c r="A1475" s="129">
        <v>962.0</v>
      </c>
      <c r="B1475" s="129">
        <v>2019.0</v>
      </c>
      <c r="C1475" s="129">
        <v>93.5</v>
      </c>
      <c r="D1475" s="129">
        <v>36.15</v>
      </c>
      <c r="E1475" s="129">
        <v>137.42</v>
      </c>
      <c r="F1475" s="128" t="s">
        <v>202</v>
      </c>
      <c r="G1475" s="128" t="s">
        <v>1252</v>
      </c>
      <c r="H1475" s="128" t="s">
        <v>341</v>
      </c>
      <c r="I1475" s="128" t="s">
        <v>342</v>
      </c>
      <c r="J1475" s="129">
        <v>274.0</v>
      </c>
      <c r="K1475" s="129">
        <v>1.0</v>
      </c>
      <c r="L1475" s="128" t="s">
        <v>6011</v>
      </c>
      <c r="M1475" s="128" t="s">
        <v>6006</v>
      </c>
      <c r="N1475" s="129">
        <v>1382.0</v>
      </c>
      <c r="O1475" s="128"/>
      <c r="P1475" s="128" t="s">
        <v>6011</v>
      </c>
      <c r="Q1475" s="128" t="s">
        <v>203</v>
      </c>
    </row>
    <row r="1476">
      <c r="A1476" s="129">
        <v>1853.0</v>
      </c>
      <c r="B1476" s="129">
        <v>2020.0</v>
      </c>
      <c r="C1476" s="129">
        <v>-32.4</v>
      </c>
      <c r="D1476" s="129">
        <v>36.3</v>
      </c>
      <c r="E1476" s="129">
        <v>117.19</v>
      </c>
      <c r="F1476" s="128" t="s">
        <v>881</v>
      </c>
      <c r="G1476" s="128" t="s">
        <v>5991</v>
      </c>
      <c r="H1476" s="128" t="s">
        <v>2877</v>
      </c>
      <c r="I1476" s="128" t="s">
        <v>2878</v>
      </c>
      <c r="J1476" s="129">
        <v>9.0</v>
      </c>
      <c r="K1476" s="129">
        <v>1.0</v>
      </c>
      <c r="L1476" s="129">
        <v>30.0</v>
      </c>
      <c r="M1476" s="128" t="s">
        <v>5992</v>
      </c>
      <c r="N1476" s="129">
        <v>256.0</v>
      </c>
      <c r="O1476" s="128"/>
      <c r="P1476" s="129">
        <v>30.0</v>
      </c>
      <c r="Q1476" s="128" t="s">
        <v>203</v>
      </c>
    </row>
    <row r="1477">
      <c r="A1477" s="129">
        <v>1856.0</v>
      </c>
      <c r="B1477" s="129">
        <v>2020.0</v>
      </c>
      <c r="C1477" s="129">
        <v>3.6</v>
      </c>
      <c r="D1477" s="129">
        <v>36.3</v>
      </c>
      <c r="E1477" s="129">
        <v>117.19</v>
      </c>
      <c r="F1477" s="128" t="s">
        <v>881</v>
      </c>
      <c r="G1477" s="128" t="s">
        <v>5991</v>
      </c>
      <c r="H1477" s="128" t="s">
        <v>2877</v>
      </c>
      <c r="I1477" s="128" t="s">
        <v>2878</v>
      </c>
      <c r="J1477" s="129">
        <v>23.0</v>
      </c>
      <c r="K1477" s="129">
        <v>1.0</v>
      </c>
      <c r="L1477" s="129">
        <v>30.0</v>
      </c>
      <c r="M1477" s="128" t="s">
        <v>5992</v>
      </c>
      <c r="N1477" s="129">
        <v>256.0</v>
      </c>
      <c r="O1477" s="128"/>
      <c r="P1477" s="129">
        <v>30.0</v>
      </c>
      <c r="Q1477" s="128" t="s">
        <v>203</v>
      </c>
    </row>
    <row r="1478">
      <c r="A1478" s="129">
        <v>339.0</v>
      </c>
      <c r="B1478" s="129">
        <v>2018.0</v>
      </c>
      <c r="C1478" s="129">
        <v>-1.98</v>
      </c>
      <c r="D1478" s="129">
        <v>36.8291</v>
      </c>
      <c r="E1478" s="129">
        <v>116.5703</v>
      </c>
      <c r="F1478" s="128" t="s">
        <v>202</v>
      </c>
      <c r="G1478" s="128" t="s">
        <v>864</v>
      </c>
      <c r="H1478" s="128" t="s">
        <v>193</v>
      </c>
      <c r="I1478" s="128" t="s">
        <v>507</v>
      </c>
      <c r="J1478" s="128"/>
      <c r="K1478" s="129">
        <v>2.0</v>
      </c>
      <c r="L1478" s="128" t="s">
        <v>858</v>
      </c>
      <c r="N1478" s="129">
        <v>26.0</v>
      </c>
      <c r="O1478" s="128"/>
      <c r="P1478" s="128" t="s">
        <v>861</v>
      </c>
      <c r="Q1478" s="128" t="s">
        <v>203</v>
      </c>
    </row>
    <row r="1479">
      <c r="A1479" s="129">
        <v>932.0</v>
      </c>
      <c r="B1479" s="129">
        <v>2019.0</v>
      </c>
      <c r="C1479" s="129">
        <v>-2.4</v>
      </c>
      <c r="D1479" s="129">
        <v>36.83</v>
      </c>
      <c r="E1479" s="129">
        <v>116.57</v>
      </c>
      <c r="F1479" s="128" t="s">
        <v>1760</v>
      </c>
      <c r="G1479" s="128" t="s">
        <v>1783</v>
      </c>
      <c r="H1479" s="128" t="s">
        <v>193</v>
      </c>
      <c r="I1479" s="128" t="s">
        <v>968</v>
      </c>
      <c r="J1479" s="129">
        <v>342.0</v>
      </c>
      <c r="K1479" s="129">
        <v>1.0</v>
      </c>
      <c r="L1479" s="129">
        <v>20000.0</v>
      </c>
      <c r="M1479" s="128" t="s">
        <v>6012</v>
      </c>
      <c r="N1479" s="129">
        <v>22.0</v>
      </c>
      <c r="O1479" s="128"/>
      <c r="P1479" s="129">
        <v>20000.0</v>
      </c>
      <c r="Q1479" s="128" t="s">
        <v>203</v>
      </c>
    </row>
    <row r="1480">
      <c r="A1480" s="129">
        <v>952.0</v>
      </c>
      <c r="B1480" s="129">
        <v>2019.0</v>
      </c>
      <c r="C1480" s="129">
        <v>10.1</v>
      </c>
      <c r="D1480" s="129">
        <v>36.83</v>
      </c>
      <c r="E1480" s="129">
        <v>116.57</v>
      </c>
      <c r="F1480" s="128" t="s">
        <v>1760</v>
      </c>
      <c r="G1480" s="128" t="s">
        <v>1783</v>
      </c>
      <c r="H1480" s="128" t="s">
        <v>193</v>
      </c>
      <c r="I1480" s="128" t="s">
        <v>968</v>
      </c>
      <c r="J1480" s="129">
        <v>294.0</v>
      </c>
      <c r="K1480" s="129">
        <v>1.0</v>
      </c>
      <c r="L1480" s="129">
        <v>20000.0</v>
      </c>
      <c r="M1480" s="128" t="s">
        <v>6012</v>
      </c>
      <c r="N1480" s="129">
        <v>22.0</v>
      </c>
      <c r="O1480" s="128"/>
      <c r="P1480" s="129">
        <v>20000.0</v>
      </c>
      <c r="Q1480" s="128" t="s">
        <v>203</v>
      </c>
    </row>
    <row r="1481">
      <c r="A1481" s="129">
        <v>972.0</v>
      </c>
      <c r="B1481" s="129">
        <v>2019.0</v>
      </c>
      <c r="C1481" s="129">
        <v>-17.1</v>
      </c>
      <c r="D1481" s="129">
        <v>36.83</v>
      </c>
      <c r="E1481" s="129">
        <v>116.57</v>
      </c>
      <c r="F1481" s="128" t="s">
        <v>202</v>
      </c>
      <c r="G1481" s="128" t="s">
        <v>1783</v>
      </c>
      <c r="H1481" s="128" t="s">
        <v>193</v>
      </c>
      <c r="I1481" s="128" t="s">
        <v>968</v>
      </c>
      <c r="J1481" s="129">
        <v>294.0</v>
      </c>
      <c r="K1481" s="129">
        <v>1.0</v>
      </c>
      <c r="L1481" s="128" t="s">
        <v>6011</v>
      </c>
      <c r="M1481" s="128" t="s">
        <v>6012</v>
      </c>
      <c r="N1481" s="129">
        <v>22.0</v>
      </c>
      <c r="O1481" s="128"/>
      <c r="P1481" s="128" t="s">
        <v>6011</v>
      </c>
      <c r="Q1481" s="128" t="s">
        <v>203</v>
      </c>
    </row>
    <row r="1482">
      <c r="A1482" s="129">
        <v>152.0</v>
      </c>
      <c r="B1482" s="129">
        <v>2017.0</v>
      </c>
      <c r="C1482" s="129">
        <v>11.73</v>
      </c>
      <c r="D1482" s="129">
        <v>36.95</v>
      </c>
      <c r="E1482" s="129">
        <v>116.6</v>
      </c>
      <c r="F1482" s="128" t="s">
        <v>202</v>
      </c>
      <c r="G1482" s="128" t="s">
        <v>606</v>
      </c>
      <c r="H1482" s="128" t="s">
        <v>193</v>
      </c>
      <c r="I1482" s="128" t="s">
        <v>194</v>
      </c>
      <c r="J1482" s="128"/>
      <c r="K1482" s="129">
        <v>1.0</v>
      </c>
      <c r="L1482" s="128" t="s">
        <v>6011</v>
      </c>
      <c r="M1482" s="128" t="s">
        <v>497</v>
      </c>
      <c r="N1482" s="129">
        <v>22.0</v>
      </c>
      <c r="O1482" s="128"/>
      <c r="P1482" s="128" t="s">
        <v>6011</v>
      </c>
      <c r="Q1482" s="128" t="s">
        <v>203</v>
      </c>
    </row>
    <row r="1483">
      <c r="A1483" s="129">
        <v>934.0</v>
      </c>
      <c r="B1483" s="129">
        <v>2019.0</v>
      </c>
      <c r="C1483" s="129">
        <v>-33.6</v>
      </c>
      <c r="D1483" s="129">
        <v>37.48</v>
      </c>
      <c r="E1483" s="129">
        <v>101.2</v>
      </c>
      <c r="F1483" s="128" t="s">
        <v>1760</v>
      </c>
      <c r="G1483" s="128" t="s">
        <v>1785</v>
      </c>
      <c r="H1483" s="128" t="s">
        <v>193</v>
      </c>
      <c r="I1483" s="128" t="s">
        <v>968</v>
      </c>
      <c r="J1483" s="129">
        <v>353.0</v>
      </c>
      <c r="K1483" s="129">
        <v>1.0</v>
      </c>
      <c r="L1483" s="129">
        <v>20000.0</v>
      </c>
      <c r="M1483" s="128" t="s">
        <v>1786</v>
      </c>
      <c r="N1483" s="129">
        <v>3382.0</v>
      </c>
      <c r="O1483" s="128"/>
      <c r="P1483" s="129">
        <v>20000.0</v>
      </c>
      <c r="Q1483" s="128" t="s">
        <v>203</v>
      </c>
    </row>
    <row r="1484">
      <c r="A1484" s="129">
        <v>954.0</v>
      </c>
      <c r="B1484" s="129">
        <v>2019.0</v>
      </c>
      <c r="C1484" s="129">
        <v>-26.3</v>
      </c>
      <c r="D1484" s="129">
        <v>37.48</v>
      </c>
      <c r="E1484" s="129">
        <v>101.2</v>
      </c>
      <c r="F1484" s="128" t="s">
        <v>1760</v>
      </c>
      <c r="G1484" s="128" t="s">
        <v>1785</v>
      </c>
      <c r="H1484" s="128" t="s">
        <v>193</v>
      </c>
      <c r="I1484" s="128" t="s">
        <v>968</v>
      </c>
      <c r="J1484" s="129">
        <v>286.0</v>
      </c>
      <c r="K1484" s="129">
        <v>1.0</v>
      </c>
      <c r="L1484" s="129">
        <v>20000.0</v>
      </c>
      <c r="M1484" s="128" t="s">
        <v>1786</v>
      </c>
      <c r="N1484" s="129">
        <v>3382.0</v>
      </c>
      <c r="O1484" s="128"/>
      <c r="P1484" s="129">
        <v>20000.0</v>
      </c>
      <c r="Q1484" s="128" t="s">
        <v>203</v>
      </c>
    </row>
    <row r="1485">
      <c r="A1485" s="129">
        <v>974.0</v>
      </c>
      <c r="B1485" s="129">
        <v>2019.0</v>
      </c>
      <c r="C1485" s="129">
        <v>-2.9</v>
      </c>
      <c r="D1485" s="129">
        <v>37.48</v>
      </c>
      <c r="E1485" s="129">
        <v>101.2</v>
      </c>
      <c r="F1485" s="128" t="s">
        <v>202</v>
      </c>
      <c r="G1485" s="128" t="s">
        <v>1785</v>
      </c>
      <c r="H1485" s="128" t="s">
        <v>193</v>
      </c>
      <c r="I1485" s="128" t="s">
        <v>968</v>
      </c>
      <c r="J1485" s="129">
        <v>286.0</v>
      </c>
      <c r="K1485" s="129">
        <v>1.0</v>
      </c>
      <c r="L1485" s="128" t="s">
        <v>6011</v>
      </c>
      <c r="M1485" s="128" t="s">
        <v>1786</v>
      </c>
      <c r="N1485" s="129">
        <v>3382.0</v>
      </c>
      <c r="O1485" s="128"/>
      <c r="P1485" s="128" t="s">
        <v>6011</v>
      </c>
      <c r="Q1485" s="128" t="s">
        <v>203</v>
      </c>
    </row>
    <row r="1486">
      <c r="A1486" s="129">
        <v>933.0</v>
      </c>
      <c r="B1486" s="129">
        <v>2019.0</v>
      </c>
      <c r="C1486" s="129">
        <v>-10.3</v>
      </c>
      <c r="D1486" s="129">
        <v>37.61</v>
      </c>
      <c r="E1486" s="129">
        <v>101.33</v>
      </c>
      <c r="F1486" s="128" t="s">
        <v>1760</v>
      </c>
      <c r="G1486" s="128" t="s">
        <v>593</v>
      </c>
      <c r="H1486" s="128" t="s">
        <v>193</v>
      </c>
      <c r="I1486" s="128" t="s">
        <v>968</v>
      </c>
      <c r="J1486" s="129">
        <v>343.0</v>
      </c>
      <c r="K1486" s="129">
        <v>1.0</v>
      </c>
      <c r="L1486" s="129">
        <v>20000.0</v>
      </c>
      <c r="M1486" s="128" t="s">
        <v>594</v>
      </c>
      <c r="N1486" s="129">
        <v>3201.0</v>
      </c>
      <c r="O1486" s="128"/>
      <c r="P1486" s="129">
        <v>20000.0</v>
      </c>
      <c r="Q1486" s="128" t="s">
        <v>203</v>
      </c>
    </row>
    <row r="1487">
      <c r="A1487" s="129">
        <v>953.0</v>
      </c>
      <c r="B1487" s="129">
        <v>2019.0</v>
      </c>
      <c r="C1487" s="129">
        <v>9.5</v>
      </c>
      <c r="D1487" s="129">
        <v>37.61</v>
      </c>
      <c r="E1487" s="129">
        <v>101.33</v>
      </c>
      <c r="F1487" s="128" t="s">
        <v>1760</v>
      </c>
      <c r="G1487" s="128" t="s">
        <v>593</v>
      </c>
      <c r="H1487" s="128" t="s">
        <v>193</v>
      </c>
      <c r="I1487" s="128" t="s">
        <v>968</v>
      </c>
      <c r="J1487" s="129">
        <v>264.0</v>
      </c>
      <c r="K1487" s="129">
        <v>1.0</v>
      </c>
      <c r="L1487" s="129">
        <v>20000.0</v>
      </c>
      <c r="M1487" s="128" t="s">
        <v>594</v>
      </c>
      <c r="N1487" s="129">
        <v>3201.0</v>
      </c>
      <c r="O1487" s="128"/>
      <c r="P1487" s="129">
        <v>20000.0</v>
      </c>
      <c r="Q1487" s="128" t="s">
        <v>203</v>
      </c>
    </row>
    <row r="1488">
      <c r="A1488" s="129">
        <v>341.0</v>
      </c>
      <c r="B1488" s="129">
        <v>2018.0</v>
      </c>
      <c r="C1488" s="129">
        <v>-20.42</v>
      </c>
      <c r="D1488" s="129">
        <v>37.61</v>
      </c>
      <c r="E1488" s="129">
        <v>101.33</v>
      </c>
      <c r="F1488" s="128" t="s">
        <v>202</v>
      </c>
      <c r="G1488" s="128" t="s">
        <v>866</v>
      </c>
      <c r="H1488" s="128" t="s">
        <v>193</v>
      </c>
      <c r="I1488" s="128" t="s">
        <v>194</v>
      </c>
      <c r="J1488" s="128"/>
      <c r="K1488" s="129">
        <v>1.0</v>
      </c>
      <c r="L1488" s="128" t="s">
        <v>858</v>
      </c>
      <c r="M1488" s="128" t="s">
        <v>867</v>
      </c>
      <c r="N1488" s="129">
        <v>3201.0</v>
      </c>
      <c r="O1488" s="128"/>
      <c r="P1488" s="128" t="s">
        <v>861</v>
      </c>
      <c r="Q1488" s="128" t="s">
        <v>203</v>
      </c>
    </row>
    <row r="1489">
      <c r="A1489" s="129">
        <v>973.0</v>
      </c>
      <c r="B1489" s="129">
        <v>2019.0</v>
      </c>
      <c r="C1489" s="129">
        <v>31.6</v>
      </c>
      <c r="D1489" s="129">
        <v>37.61</v>
      </c>
      <c r="E1489" s="129">
        <v>101.33</v>
      </c>
      <c r="F1489" s="128" t="s">
        <v>202</v>
      </c>
      <c r="G1489" s="128" t="s">
        <v>593</v>
      </c>
      <c r="H1489" s="128" t="s">
        <v>193</v>
      </c>
      <c r="I1489" s="128" t="s">
        <v>968</v>
      </c>
      <c r="J1489" s="129">
        <v>264.0</v>
      </c>
      <c r="K1489" s="129">
        <v>1.0</v>
      </c>
      <c r="L1489" s="128" t="s">
        <v>6011</v>
      </c>
      <c r="M1489" s="128" t="s">
        <v>594</v>
      </c>
      <c r="N1489" s="129">
        <v>3201.0</v>
      </c>
      <c r="O1489" s="128"/>
      <c r="P1489" s="128" t="s">
        <v>6011</v>
      </c>
      <c r="Q1489" s="128" t="s">
        <v>203</v>
      </c>
    </row>
    <row r="1490">
      <c r="A1490" s="129">
        <v>149.0</v>
      </c>
      <c r="B1490" s="129">
        <v>2017.0</v>
      </c>
      <c r="C1490" s="129">
        <v>-7.33</v>
      </c>
      <c r="D1490" s="129">
        <v>37.62</v>
      </c>
      <c r="E1490" s="129">
        <v>101.29</v>
      </c>
      <c r="F1490" s="128" t="s">
        <v>202</v>
      </c>
      <c r="G1490" s="128" t="s">
        <v>593</v>
      </c>
      <c r="H1490" s="128" t="s">
        <v>193</v>
      </c>
      <c r="I1490" s="128" t="s">
        <v>194</v>
      </c>
      <c r="J1490" s="128"/>
      <c r="K1490" s="129">
        <v>1.0</v>
      </c>
      <c r="L1490" s="128" t="s">
        <v>6011</v>
      </c>
      <c r="M1490" s="128" t="s">
        <v>594</v>
      </c>
      <c r="N1490" s="129">
        <v>3188.0</v>
      </c>
      <c r="O1490" s="128"/>
      <c r="P1490" s="128" t="s">
        <v>6011</v>
      </c>
      <c r="Q1490" s="128" t="s">
        <v>203</v>
      </c>
    </row>
    <row r="1491">
      <c r="A1491" s="129">
        <v>920.0</v>
      </c>
      <c r="B1491" s="129">
        <v>2019.0</v>
      </c>
      <c r="C1491" s="129">
        <v>-13.9</v>
      </c>
      <c r="D1491" s="129">
        <v>37.75</v>
      </c>
      <c r="E1491" s="129">
        <v>127.16</v>
      </c>
      <c r="F1491" s="128" t="s">
        <v>1760</v>
      </c>
      <c r="G1491" s="128" t="s">
        <v>1767</v>
      </c>
      <c r="H1491" s="128" t="s">
        <v>350</v>
      </c>
      <c r="I1491" s="128" t="s">
        <v>676</v>
      </c>
      <c r="J1491" s="129">
        <v>290.0</v>
      </c>
      <c r="K1491" s="129">
        <v>1.0</v>
      </c>
      <c r="L1491" s="129">
        <v>20000.0</v>
      </c>
      <c r="M1491" s="128" t="s">
        <v>6013</v>
      </c>
      <c r="N1491" s="129">
        <v>190.0</v>
      </c>
      <c r="O1491" s="128"/>
      <c r="P1491" s="129">
        <v>20000.0</v>
      </c>
      <c r="Q1491" s="128" t="s">
        <v>203</v>
      </c>
    </row>
    <row r="1492">
      <c r="A1492" s="129">
        <v>926.0</v>
      </c>
      <c r="B1492" s="129">
        <v>2019.0</v>
      </c>
      <c r="C1492" s="129">
        <v>45.7</v>
      </c>
      <c r="D1492" s="129">
        <v>37.75</v>
      </c>
      <c r="E1492" s="129">
        <v>127.15</v>
      </c>
      <c r="F1492" s="128" t="s">
        <v>1760</v>
      </c>
      <c r="G1492" s="128" t="s">
        <v>1774</v>
      </c>
      <c r="H1492" s="128" t="s">
        <v>341</v>
      </c>
      <c r="I1492" s="128" t="s">
        <v>676</v>
      </c>
      <c r="J1492" s="129">
        <v>376.0</v>
      </c>
      <c r="K1492" s="129">
        <v>1.0</v>
      </c>
      <c r="L1492" s="129">
        <v>20000.0</v>
      </c>
      <c r="M1492" s="128" t="s">
        <v>1129</v>
      </c>
      <c r="N1492" s="129">
        <v>282.0</v>
      </c>
      <c r="O1492" s="128"/>
      <c r="P1492" s="129">
        <v>20000.0</v>
      </c>
      <c r="Q1492" s="128" t="s">
        <v>203</v>
      </c>
    </row>
    <row r="1493">
      <c r="A1493" s="129">
        <v>940.0</v>
      </c>
      <c r="B1493" s="129">
        <v>2019.0</v>
      </c>
      <c r="C1493" s="129">
        <v>-10.1</v>
      </c>
      <c r="D1493" s="129">
        <v>37.75</v>
      </c>
      <c r="E1493" s="129">
        <v>127.16</v>
      </c>
      <c r="F1493" s="128" t="s">
        <v>1760</v>
      </c>
      <c r="G1493" s="128" t="s">
        <v>1767</v>
      </c>
      <c r="H1493" s="128" t="s">
        <v>350</v>
      </c>
      <c r="I1493" s="128" t="s">
        <v>676</v>
      </c>
      <c r="J1493" s="129">
        <v>247.0</v>
      </c>
      <c r="K1493" s="129">
        <v>1.0</v>
      </c>
      <c r="L1493" s="129">
        <v>20000.0</v>
      </c>
      <c r="M1493" s="128" t="s">
        <v>6013</v>
      </c>
      <c r="N1493" s="129">
        <v>190.0</v>
      </c>
      <c r="O1493" s="128"/>
      <c r="P1493" s="129">
        <v>20000.0</v>
      </c>
      <c r="Q1493" s="128" t="s">
        <v>203</v>
      </c>
    </row>
    <row r="1494">
      <c r="A1494" s="129">
        <v>946.0</v>
      </c>
      <c r="B1494" s="129">
        <v>2019.0</v>
      </c>
      <c r="C1494" s="129">
        <v>45.5</v>
      </c>
      <c r="D1494" s="129">
        <v>37.75</v>
      </c>
      <c r="E1494" s="129">
        <v>127.15</v>
      </c>
      <c r="F1494" s="128" t="s">
        <v>1760</v>
      </c>
      <c r="G1494" s="128" t="s">
        <v>1774</v>
      </c>
      <c r="H1494" s="128" t="s">
        <v>341</v>
      </c>
      <c r="I1494" s="128" t="s">
        <v>676</v>
      </c>
      <c r="J1494" s="129">
        <v>305.0</v>
      </c>
      <c r="K1494" s="129">
        <v>1.0</v>
      </c>
      <c r="L1494" s="129">
        <v>20000.0</v>
      </c>
      <c r="M1494" s="128" t="s">
        <v>1129</v>
      </c>
      <c r="N1494" s="129">
        <v>282.0</v>
      </c>
      <c r="O1494" s="128"/>
      <c r="P1494" s="129">
        <v>20000.0</v>
      </c>
      <c r="Q1494" s="128" t="s">
        <v>203</v>
      </c>
    </row>
    <row r="1495">
      <c r="A1495" s="129">
        <v>960.0</v>
      </c>
      <c r="B1495" s="129">
        <v>2019.0</v>
      </c>
      <c r="C1495" s="129">
        <v>12.1</v>
      </c>
      <c r="D1495" s="129">
        <v>37.75</v>
      </c>
      <c r="E1495" s="129">
        <v>127.16</v>
      </c>
      <c r="F1495" s="128" t="s">
        <v>202</v>
      </c>
      <c r="G1495" s="128" t="s">
        <v>1767</v>
      </c>
      <c r="H1495" s="128" t="s">
        <v>350</v>
      </c>
      <c r="I1495" s="128" t="s">
        <v>676</v>
      </c>
      <c r="J1495" s="129">
        <v>247.0</v>
      </c>
      <c r="K1495" s="129">
        <v>1.0</v>
      </c>
      <c r="L1495" s="128" t="s">
        <v>6011</v>
      </c>
      <c r="M1495" s="128" t="s">
        <v>6013</v>
      </c>
      <c r="N1495" s="129">
        <v>190.0</v>
      </c>
      <c r="O1495" s="128"/>
      <c r="P1495" s="128" t="s">
        <v>6011</v>
      </c>
      <c r="Q1495" s="128" t="s">
        <v>203</v>
      </c>
    </row>
    <row r="1496">
      <c r="A1496" s="129">
        <v>966.0</v>
      </c>
      <c r="B1496" s="129">
        <v>2019.0</v>
      </c>
      <c r="C1496" s="129">
        <v>57.1</v>
      </c>
      <c r="D1496" s="129">
        <v>37.75</v>
      </c>
      <c r="E1496" s="129">
        <v>127.15</v>
      </c>
      <c r="F1496" s="128" t="s">
        <v>202</v>
      </c>
      <c r="G1496" s="128" t="s">
        <v>1774</v>
      </c>
      <c r="H1496" s="128" t="s">
        <v>341</v>
      </c>
      <c r="I1496" s="128" t="s">
        <v>676</v>
      </c>
      <c r="J1496" s="129">
        <v>305.0</v>
      </c>
      <c r="K1496" s="129">
        <v>1.0</v>
      </c>
      <c r="L1496" s="128" t="s">
        <v>6011</v>
      </c>
      <c r="M1496" s="128" t="s">
        <v>1129</v>
      </c>
      <c r="N1496" s="129">
        <v>282.0</v>
      </c>
      <c r="O1496" s="128"/>
      <c r="P1496" s="128" t="s">
        <v>6011</v>
      </c>
      <c r="Q1496" s="128" t="s">
        <v>203</v>
      </c>
    </row>
    <row r="1497">
      <c r="A1497" s="129">
        <v>927.0</v>
      </c>
      <c r="B1497" s="129">
        <v>2019.0</v>
      </c>
      <c r="C1497" s="129">
        <v>32.0</v>
      </c>
      <c r="D1497" s="129">
        <v>37.94</v>
      </c>
      <c r="E1497" s="129">
        <v>126.96</v>
      </c>
      <c r="F1497" s="128" t="s">
        <v>1760</v>
      </c>
      <c r="G1497" s="128" t="s">
        <v>1775</v>
      </c>
      <c r="H1497" s="128" t="s">
        <v>506</v>
      </c>
      <c r="I1497" s="128" t="s">
        <v>676</v>
      </c>
      <c r="J1497" s="129">
        <v>220.0</v>
      </c>
      <c r="K1497" s="129">
        <v>1.0</v>
      </c>
      <c r="L1497" s="129">
        <v>20000.0</v>
      </c>
      <c r="M1497" s="128" t="s">
        <v>1776</v>
      </c>
      <c r="N1497" s="129">
        <v>408.0</v>
      </c>
      <c r="O1497" s="128"/>
      <c r="P1497" s="129">
        <v>20000.0</v>
      </c>
      <c r="Q1497" s="128" t="s">
        <v>203</v>
      </c>
    </row>
    <row r="1498">
      <c r="A1498" s="129">
        <v>947.0</v>
      </c>
      <c r="B1498" s="129">
        <v>2019.0</v>
      </c>
      <c r="C1498" s="129">
        <v>34.4</v>
      </c>
      <c r="D1498" s="129">
        <v>37.94</v>
      </c>
      <c r="E1498" s="129">
        <v>126.96</v>
      </c>
      <c r="F1498" s="128" t="s">
        <v>1760</v>
      </c>
      <c r="G1498" s="128" t="s">
        <v>1775</v>
      </c>
      <c r="H1498" s="128" t="s">
        <v>506</v>
      </c>
      <c r="I1498" s="128" t="s">
        <v>676</v>
      </c>
      <c r="J1498" s="129">
        <v>141.0</v>
      </c>
      <c r="K1498" s="129">
        <v>1.0</v>
      </c>
      <c r="L1498" s="129">
        <v>20000.0</v>
      </c>
      <c r="M1498" s="128" t="s">
        <v>1776</v>
      </c>
      <c r="N1498" s="129">
        <v>408.0</v>
      </c>
      <c r="O1498" s="128"/>
      <c r="P1498" s="129">
        <v>20000.0</v>
      </c>
      <c r="Q1498" s="128" t="s">
        <v>203</v>
      </c>
    </row>
    <row r="1499">
      <c r="A1499" s="129">
        <v>967.0</v>
      </c>
      <c r="B1499" s="129">
        <v>2019.0</v>
      </c>
      <c r="C1499" s="129">
        <v>44.0</v>
      </c>
      <c r="D1499" s="129">
        <v>37.94</v>
      </c>
      <c r="E1499" s="129">
        <v>126.96</v>
      </c>
      <c r="F1499" s="128" t="s">
        <v>202</v>
      </c>
      <c r="G1499" s="128" t="s">
        <v>1775</v>
      </c>
      <c r="H1499" s="128" t="s">
        <v>506</v>
      </c>
      <c r="I1499" s="128" t="s">
        <v>676</v>
      </c>
      <c r="J1499" s="129">
        <v>141.0</v>
      </c>
      <c r="K1499" s="129">
        <v>1.0</v>
      </c>
      <c r="L1499" s="128" t="s">
        <v>6011</v>
      </c>
      <c r="M1499" s="128" t="s">
        <v>1776</v>
      </c>
      <c r="N1499" s="129">
        <v>408.0</v>
      </c>
      <c r="O1499" s="128"/>
      <c r="P1499" s="128" t="s">
        <v>6011</v>
      </c>
      <c r="Q1499" s="128" t="s">
        <v>203</v>
      </c>
    </row>
    <row r="1500">
      <c r="A1500" s="129">
        <v>2123.0</v>
      </c>
      <c r="B1500" s="129">
        <v>2021.0</v>
      </c>
      <c r="C1500" s="129">
        <v>-10.9</v>
      </c>
      <c r="D1500" s="129">
        <v>38.76667</v>
      </c>
      <c r="E1500" s="129">
        <v>100.3</v>
      </c>
      <c r="F1500" s="128" t="s">
        <v>3023</v>
      </c>
      <c r="G1500" s="128" t="s">
        <v>2224</v>
      </c>
      <c r="H1500" s="128" t="s">
        <v>167</v>
      </c>
      <c r="I1500" s="128" t="s">
        <v>2096</v>
      </c>
      <c r="J1500" s="128"/>
      <c r="K1500" s="129">
        <v>1.0</v>
      </c>
      <c r="L1500" s="129">
        <v>30.0</v>
      </c>
      <c r="M1500" s="128" t="s">
        <v>2224</v>
      </c>
      <c r="N1500" s="129">
        <v>1775.0</v>
      </c>
      <c r="O1500" s="128"/>
      <c r="P1500" s="129">
        <v>30.0</v>
      </c>
      <c r="Q1500" s="128" t="s">
        <v>203</v>
      </c>
    </row>
    <row r="1501">
      <c r="A1501" s="129">
        <v>2128.0</v>
      </c>
      <c r="B1501" s="129">
        <v>2021.0</v>
      </c>
      <c r="C1501" s="129">
        <v>-6.5</v>
      </c>
      <c r="D1501" s="129">
        <v>38.76667</v>
      </c>
      <c r="E1501" s="129">
        <v>100.3</v>
      </c>
      <c r="F1501" s="128" t="s">
        <v>3023</v>
      </c>
      <c r="G1501" s="128" t="s">
        <v>2227</v>
      </c>
      <c r="H1501" s="128" t="s">
        <v>1156</v>
      </c>
      <c r="I1501" s="128" t="s">
        <v>993</v>
      </c>
      <c r="J1501" s="128"/>
      <c r="K1501" s="129">
        <v>1.0</v>
      </c>
      <c r="L1501" s="129">
        <v>30.0</v>
      </c>
      <c r="M1501" s="128" t="s">
        <v>2227</v>
      </c>
      <c r="N1501" s="129">
        <v>1775.0</v>
      </c>
      <c r="O1501" s="128"/>
      <c r="P1501" s="129">
        <v>30.0</v>
      </c>
      <c r="Q1501" s="128" t="s">
        <v>203</v>
      </c>
    </row>
    <row r="1502">
      <c r="A1502" s="129">
        <v>2129.0</v>
      </c>
      <c r="B1502" s="129">
        <v>2021.0</v>
      </c>
      <c r="C1502" s="129">
        <v>-2.1</v>
      </c>
      <c r="D1502" s="129">
        <v>38.76667</v>
      </c>
      <c r="E1502" s="129">
        <v>100.3</v>
      </c>
      <c r="F1502" s="128" t="s">
        <v>3023</v>
      </c>
      <c r="G1502" s="128" t="s">
        <v>2224</v>
      </c>
      <c r="H1502" s="128" t="s">
        <v>1156</v>
      </c>
      <c r="I1502" s="128" t="s">
        <v>993</v>
      </c>
      <c r="J1502" s="128"/>
      <c r="K1502" s="129">
        <v>1.0</v>
      </c>
      <c r="L1502" s="129">
        <v>30.0</v>
      </c>
      <c r="M1502" s="128" t="s">
        <v>2224</v>
      </c>
      <c r="N1502" s="129">
        <v>1775.0</v>
      </c>
      <c r="O1502" s="128"/>
      <c r="P1502" s="129">
        <v>30.0</v>
      </c>
      <c r="Q1502" s="128" t="s">
        <v>203</v>
      </c>
    </row>
    <row r="1503">
      <c r="A1503" s="129">
        <v>2125.0</v>
      </c>
      <c r="B1503" s="129">
        <v>2021.0</v>
      </c>
      <c r="C1503" s="129">
        <v>84.9</v>
      </c>
      <c r="D1503" s="129">
        <v>38.79167</v>
      </c>
      <c r="E1503" s="129">
        <v>100.4833</v>
      </c>
      <c r="F1503" s="128" t="s">
        <v>3023</v>
      </c>
      <c r="G1503" s="128" t="s">
        <v>2227</v>
      </c>
      <c r="H1503" s="128" t="s">
        <v>167</v>
      </c>
      <c r="I1503" s="128" t="s">
        <v>2096</v>
      </c>
      <c r="J1503" s="128"/>
      <c r="K1503" s="129">
        <v>1.0</v>
      </c>
      <c r="L1503" s="129">
        <v>30.0</v>
      </c>
      <c r="M1503" s="128" t="s">
        <v>2227</v>
      </c>
      <c r="N1503" s="129">
        <v>1548.0</v>
      </c>
      <c r="O1503" s="128"/>
      <c r="P1503" s="129">
        <v>30.0</v>
      </c>
      <c r="Q1503" s="128" t="s">
        <v>203</v>
      </c>
    </row>
    <row r="1504">
      <c r="A1504" s="129">
        <v>2132.0</v>
      </c>
      <c r="B1504" s="129">
        <v>2021.0</v>
      </c>
      <c r="C1504" s="129">
        <v>1.7</v>
      </c>
      <c r="D1504" s="129">
        <v>38.84167</v>
      </c>
      <c r="E1504" s="129">
        <v>100.375</v>
      </c>
      <c r="F1504" s="128" t="s">
        <v>3023</v>
      </c>
      <c r="G1504" s="128" t="s">
        <v>3038</v>
      </c>
      <c r="H1504" s="128" t="s">
        <v>1156</v>
      </c>
      <c r="I1504" s="128" t="s">
        <v>993</v>
      </c>
      <c r="J1504" s="128"/>
      <c r="K1504" s="129">
        <v>1.0</v>
      </c>
      <c r="L1504" s="129">
        <v>30.0</v>
      </c>
      <c r="M1504" s="128" t="s">
        <v>3039</v>
      </c>
      <c r="N1504" s="129">
        <v>1559.0</v>
      </c>
      <c r="O1504" s="128"/>
      <c r="P1504" s="129">
        <v>30.0</v>
      </c>
      <c r="Q1504" s="128" t="s">
        <v>203</v>
      </c>
    </row>
    <row r="1505">
      <c r="A1505" s="129">
        <v>57.0</v>
      </c>
      <c r="B1505" s="129">
        <v>2021.0</v>
      </c>
      <c r="C1505" s="129">
        <v>-74.1</v>
      </c>
      <c r="D1505" s="129">
        <v>38.86</v>
      </c>
      <c r="E1505" s="129">
        <v>100.37</v>
      </c>
      <c r="F1505" s="128" t="s">
        <v>272</v>
      </c>
      <c r="G1505" s="128" t="s">
        <v>275</v>
      </c>
      <c r="H1505" s="128" t="s">
        <v>273</v>
      </c>
      <c r="I1505" s="128" t="s">
        <v>274</v>
      </c>
      <c r="J1505" s="128"/>
      <c r="K1505" s="129">
        <v>1.0</v>
      </c>
      <c r="L1505" s="128" t="s">
        <v>271</v>
      </c>
      <c r="M1505" s="128" t="s">
        <v>275</v>
      </c>
      <c r="N1505" s="129">
        <v>1561.0</v>
      </c>
      <c r="O1505" s="128"/>
      <c r="P1505" s="128" t="s">
        <v>271</v>
      </c>
      <c r="Q1505" s="128" t="s">
        <v>203</v>
      </c>
    </row>
    <row r="1506">
      <c r="A1506" s="129">
        <v>53.0</v>
      </c>
      <c r="B1506" s="129">
        <v>2021.0</v>
      </c>
      <c r="C1506" s="129">
        <v>-76.6</v>
      </c>
      <c r="D1506" s="129">
        <v>38.875</v>
      </c>
      <c r="E1506" s="129">
        <v>100.375</v>
      </c>
      <c r="F1506" s="128" t="s">
        <v>272</v>
      </c>
      <c r="G1506" s="128" t="s">
        <v>5989</v>
      </c>
      <c r="H1506" s="128" t="s">
        <v>254</v>
      </c>
      <c r="I1506" s="128" t="s">
        <v>255</v>
      </c>
      <c r="J1506" s="128"/>
      <c r="K1506" s="129">
        <v>1.0</v>
      </c>
      <c r="L1506" s="128" t="s">
        <v>271</v>
      </c>
      <c r="M1506" s="128" t="s">
        <v>257</v>
      </c>
      <c r="N1506" s="129">
        <v>1554.0</v>
      </c>
      <c r="O1506" s="128"/>
      <c r="P1506" s="128" t="s">
        <v>271</v>
      </c>
      <c r="Q1506" s="128" t="s">
        <v>203</v>
      </c>
    </row>
    <row r="1507">
      <c r="A1507" s="129">
        <v>2122.0</v>
      </c>
      <c r="B1507" s="129">
        <v>2021.0</v>
      </c>
      <c r="C1507" s="129">
        <v>3.6</v>
      </c>
      <c r="D1507" s="129">
        <v>38.875</v>
      </c>
      <c r="E1507" s="129">
        <v>100.375</v>
      </c>
      <c r="F1507" s="128" t="s">
        <v>3023</v>
      </c>
      <c r="G1507" s="128" t="s">
        <v>5989</v>
      </c>
      <c r="H1507" s="128" t="s">
        <v>167</v>
      </c>
      <c r="I1507" s="128" t="s">
        <v>2096</v>
      </c>
      <c r="J1507" s="128"/>
      <c r="K1507" s="129">
        <v>1.0</v>
      </c>
      <c r="L1507" s="129">
        <v>30.0</v>
      </c>
      <c r="M1507" s="128" t="s">
        <v>257</v>
      </c>
      <c r="N1507" s="129">
        <v>1554.0</v>
      </c>
      <c r="O1507" s="128"/>
      <c r="P1507" s="129">
        <v>30.0</v>
      </c>
      <c r="Q1507" s="128" t="s">
        <v>203</v>
      </c>
    </row>
    <row r="1508">
      <c r="A1508" s="129">
        <v>2134.0</v>
      </c>
      <c r="B1508" s="129">
        <v>2021.0</v>
      </c>
      <c r="C1508" s="129">
        <v>-2.5</v>
      </c>
      <c r="D1508" s="129">
        <v>38.875</v>
      </c>
      <c r="E1508" s="129">
        <v>100.375</v>
      </c>
      <c r="F1508" s="128" t="s">
        <v>3023</v>
      </c>
      <c r="G1508" s="128" t="s">
        <v>3042</v>
      </c>
      <c r="H1508" s="128" t="s">
        <v>1156</v>
      </c>
      <c r="I1508" s="128" t="s">
        <v>993</v>
      </c>
      <c r="J1508" s="128"/>
      <c r="K1508" s="129">
        <v>14.0</v>
      </c>
      <c r="L1508" s="129">
        <v>30.0</v>
      </c>
      <c r="M1508" s="128"/>
      <c r="N1508" s="129">
        <v>1554.0</v>
      </c>
      <c r="O1508" s="128"/>
      <c r="P1508" s="129">
        <v>30.0</v>
      </c>
      <c r="Q1508" s="128" t="s">
        <v>203</v>
      </c>
    </row>
    <row r="1509">
      <c r="A1509" s="129">
        <v>2127.0</v>
      </c>
      <c r="B1509" s="129">
        <v>2021.0</v>
      </c>
      <c r="C1509" s="129">
        <v>7.3</v>
      </c>
      <c r="D1509" s="129">
        <v>38.88333</v>
      </c>
      <c r="E1509" s="129">
        <v>100.35</v>
      </c>
      <c r="F1509" s="128" t="s">
        <v>3023</v>
      </c>
      <c r="G1509" s="128" t="s">
        <v>3028</v>
      </c>
      <c r="H1509" s="128" t="s">
        <v>1156</v>
      </c>
      <c r="I1509" s="128" t="s">
        <v>993</v>
      </c>
      <c r="J1509" s="128"/>
      <c r="K1509" s="129">
        <v>1.0</v>
      </c>
      <c r="L1509" s="129">
        <v>30.0</v>
      </c>
      <c r="M1509" s="128" t="s">
        <v>3029</v>
      </c>
      <c r="N1509" s="129">
        <v>1566.0</v>
      </c>
      <c r="O1509" s="128"/>
      <c r="P1509" s="129">
        <v>30.0</v>
      </c>
      <c r="Q1509" s="128" t="s">
        <v>203</v>
      </c>
    </row>
    <row r="1510">
      <c r="A1510" s="129">
        <v>2131.0</v>
      </c>
      <c r="B1510" s="129">
        <v>2021.0</v>
      </c>
      <c r="C1510" s="129">
        <v>-9.9</v>
      </c>
      <c r="D1510" s="129">
        <v>38.9</v>
      </c>
      <c r="E1510" s="129">
        <v>100.35</v>
      </c>
      <c r="F1510" s="128" t="s">
        <v>3023</v>
      </c>
      <c r="G1510" s="128" t="s">
        <v>3035</v>
      </c>
      <c r="H1510" s="128" t="s">
        <v>1156</v>
      </c>
      <c r="I1510" s="128" t="s">
        <v>993</v>
      </c>
      <c r="J1510" s="128"/>
      <c r="K1510" s="129">
        <v>1.0</v>
      </c>
      <c r="L1510" s="129">
        <v>30.0</v>
      </c>
      <c r="M1510" s="128" t="s">
        <v>3036</v>
      </c>
      <c r="N1510" s="129">
        <v>1553.0</v>
      </c>
      <c r="O1510" s="128"/>
      <c r="P1510" s="129">
        <v>30.0</v>
      </c>
      <c r="Q1510" s="128" t="s">
        <v>203</v>
      </c>
    </row>
    <row r="1511">
      <c r="A1511" s="129">
        <v>2124.0</v>
      </c>
      <c r="B1511" s="129">
        <v>2021.0</v>
      </c>
      <c r="C1511" s="129">
        <v>34.7</v>
      </c>
      <c r="D1511" s="129">
        <v>38.91667</v>
      </c>
      <c r="E1511" s="129">
        <v>100.2917</v>
      </c>
      <c r="F1511" s="128" t="s">
        <v>3023</v>
      </c>
      <c r="G1511" s="128" t="s">
        <v>3027</v>
      </c>
      <c r="H1511" s="128" t="s">
        <v>167</v>
      </c>
      <c r="I1511" s="128" t="s">
        <v>2096</v>
      </c>
      <c r="J1511" s="128"/>
      <c r="K1511" s="129">
        <v>1.0</v>
      </c>
      <c r="L1511" s="129">
        <v>30.0</v>
      </c>
      <c r="M1511" s="128" t="s">
        <v>3027</v>
      </c>
      <c r="N1511" s="129">
        <v>1570.0</v>
      </c>
      <c r="O1511" s="128"/>
      <c r="P1511" s="129">
        <v>30.0</v>
      </c>
      <c r="Q1511" s="128" t="s">
        <v>203</v>
      </c>
    </row>
    <row r="1512">
      <c r="A1512" s="129">
        <v>2130.0</v>
      </c>
      <c r="B1512" s="129">
        <v>2021.0</v>
      </c>
      <c r="C1512" s="129">
        <v>37.9</v>
      </c>
      <c r="D1512" s="129">
        <v>38.91667</v>
      </c>
      <c r="E1512" s="129">
        <v>100.2917</v>
      </c>
      <c r="F1512" s="128" t="s">
        <v>3023</v>
      </c>
      <c r="G1512" s="128" t="s">
        <v>3027</v>
      </c>
      <c r="H1512" s="128" t="s">
        <v>1156</v>
      </c>
      <c r="I1512" s="128" t="s">
        <v>993</v>
      </c>
      <c r="J1512" s="128"/>
      <c r="K1512" s="129">
        <v>1.0</v>
      </c>
      <c r="L1512" s="129">
        <v>30.0</v>
      </c>
      <c r="M1512" s="128" t="s">
        <v>3027</v>
      </c>
      <c r="N1512" s="129">
        <v>1570.0</v>
      </c>
      <c r="O1512" s="128"/>
      <c r="P1512" s="129">
        <v>30.0</v>
      </c>
      <c r="Q1512" s="128" t="s">
        <v>203</v>
      </c>
    </row>
    <row r="1513">
      <c r="A1513" s="129">
        <v>2121.0</v>
      </c>
      <c r="B1513" s="129">
        <v>2021.0</v>
      </c>
      <c r="C1513" s="129">
        <v>8.7</v>
      </c>
      <c r="D1513" s="129">
        <v>38.96667</v>
      </c>
      <c r="E1513" s="129">
        <v>100.3667</v>
      </c>
      <c r="F1513" s="128" t="s">
        <v>3023</v>
      </c>
      <c r="G1513" s="128" t="s">
        <v>654</v>
      </c>
      <c r="H1513" s="128" t="s">
        <v>167</v>
      </c>
      <c r="I1513" s="128" t="s">
        <v>2096</v>
      </c>
      <c r="J1513" s="128"/>
      <c r="K1513" s="129">
        <v>1.0</v>
      </c>
      <c r="L1513" s="129">
        <v>30.0</v>
      </c>
      <c r="M1513" s="128" t="s">
        <v>654</v>
      </c>
      <c r="N1513" s="129">
        <v>1497.0</v>
      </c>
      <c r="O1513" s="128"/>
      <c r="P1513" s="129">
        <v>30.0</v>
      </c>
      <c r="Q1513" s="128" t="s">
        <v>203</v>
      </c>
    </row>
    <row r="1514">
      <c r="A1514" s="129">
        <v>2133.0</v>
      </c>
      <c r="B1514" s="129">
        <v>2021.0</v>
      </c>
      <c r="C1514" s="129">
        <v>0.2</v>
      </c>
      <c r="D1514" s="129">
        <v>38.96667</v>
      </c>
      <c r="E1514" s="129">
        <v>100.3667</v>
      </c>
      <c r="F1514" s="128" t="s">
        <v>3023</v>
      </c>
      <c r="G1514" s="128" t="s">
        <v>654</v>
      </c>
      <c r="H1514" s="128" t="s">
        <v>1156</v>
      </c>
      <c r="I1514" s="128" t="s">
        <v>993</v>
      </c>
      <c r="J1514" s="128"/>
      <c r="K1514" s="129">
        <v>1.0</v>
      </c>
      <c r="L1514" s="129">
        <v>30.0</v>
      </c>
      <c r="M1514" s="128" t="s">
        <v>654</v>
      </c>
      <c r="N1514" s="129">
        <v>1497.0</v>
      </c>
      <c r="O1514" s="128"/>
      <c r="P1514" s="129">
        <v>30.0</v>
      </c>
      <c r="Q1514" s="128" t="s">
        <v>203</v>
      </c>
    </row>
    <row r="1515">
      <c r="A1515" s="129">
        <v>928.0</v>
      </c>
      <c r="B1515" s="129">
        <v>2019.0</v>
      </c>
      <c r="C1515" s="129">
        <v>22.2</v>
      </c>
      <c r="D1515" s="129">
        <v>41.4</v>
      </c>
      <c r="E1515" s="129">
        <v>128.1</v>
      </c>
      <c r="F1515" s="128" t="s">
        <v>1760</v>
      </c>
      <c r="G1515" s="128" t="s">
        <v>581</v>
      </c>
      <c r="H1515" s="128" t="s">
        <v>193</v>
      </c>
      <c r="I1515" s="128" t="s">
        <v>194</v>
      </c>
      <c r="J1515" s="129">
        <v>498.0</v>
      </c>
      <c r="K1515" s="129">
        <v>1.0</v>
      </c>
      <c r="L1515" s="129">
        <v>20000.0</v>
      </c>
      <c r="M1515" s="128" t="s">
        <v>860</v>
      </c>
      <c r="N1515" s="129">
        <v>687.0</v>
      </c>
      <c r="O1515" s="128"/>
      <c r="P1515" s="129">
        <v>20000.0</v>
      </c>
      <c r="Q1515" s="128" t="s">
        <v>203</v>
      </c>
    </row>
    <row r="1516">
      <c r="A1516" s="129">
        <v>948.0</v>
      </c>
      <c r="B1516" s="129">
        <v>2019.0</v>
      </c>
      <c r="C1516" s="129">
        <v>17.4</v>
      </c>
      <c r="D1516" s="129">
        <v>41.4</v>
      </c>
      <c r="E1516" s="129">
        <v>128.1</v>
      </c>
      <c r="F1516" s="128" t="s">
        <v>1760</v>
      </c>
      <c r="G1516" s="128" t="s">
        <v>581</v>
      </c>
      <c r="H1516" s="128" t="s">
        <v>193</v>
      </c>
      <c r="I1516" s="128" t="s">
        <v>194</v>
      </c>
      <c r="J1516" s="129">
        <v>477.0</v>
      </c>
      <c r="K1516" s="129">
        <v>1.0</v>
      </c>
      <c r="L1516" s="129">
        <v>20000.0</v>
      </c>
      <c r="M1516" s="128" t="s">
        <v>860</v>
      </c>
      <c r="N1516" s="129">
        <v>687.0</v>
      </c>
      <c r="O1516" s="128"/>
      <c r="P1516" s="129">
        <v>20000.0</v>
      </c>
      <c r="Q1516" s="128" t="s">
        <v>203</v>
      </c>
    </row>
    <row r="1517">
      <c r="A1517" s="129">
        <v>968.0</v>
      </c>
      <c r="B1517" s="129">
        <v>2019.0</v>
      </c>
      <c r="C1517" s="129">
        <v>40.2</v>
      </c>
      <c r="D1517" s="129">
        <v>41.4</v>
      </c>
      <c r="E1517" s="129">
        <v>128.1</v>
      </c>
      <c r="F1517" s="128" t="s">
        <v>202</v>
      </c>
      <c r="G1517" s="128" t="s">
        <v>581</v>
      </c>
      <c r="H1517" s="128" t="s">
        <v>193</v>
      </c>
      <c r="I1517" s="128" t="s">
        <v>194</v>
      </c>
      <c r="J1517" s="129">
        <v>477.0</v>
      </c>
      <c r="K1517" s="129">
        <v>1.0</v>
      </c>
      <c r="L1517" s="128" t="s">
        <v>6011</v>
      </c>
      <c r="M1517" s="128" t="s">
        <v>860</v>
      </c>
      <c r="N1517" s="129">
        <v>687.0</v>
      </c>
      <c r="O1517" s="128"/>
      <c r="P1517" s="128" t="s">
        <v>6011</v>
      </c>
      <c r="Q1517" s="128" t="s">
        <v>203</v>
      </c>
    </row>
    <row r="1518">
      <c r="A1518" s="129">
        <v>1782.0</v>
      </c>
      <c r="B1518" s="129">
        <v>2011.0</v>
      </c>
      <c r="C1518" s="129">
        <v>5.1</v>
      </c>
      <c r="D1518" s="129">
        <v>41.95</v>
      </c>
      <c r="E1518" s="129">
        <v>-93.69</v>
      </c>
      <c r="F1518" s="128" t="s">
        <v>633</v>
      </c>
      <c r="G1518" s="128" t="s">
        <v>2043</v>
      </c>
      <c r="H1518" s="128" t="s">
        <v>2818</v>
      </c>
      <c r="I1518" s="128" t="s">
        <v>150</v>
      </c>
      <c r="J1518" s="128"/>
      <c r="K1518" s="129">
        <v>1.0</v>
      </c>
      <c r="L1518" s="129">
        <v>25000.0</v>
      </c>
      <c r="M1518" s="128" t="s">
        <v>2044</v>
      </c>
      <c r="N1518" s="129">
        <v>315.0</v>
      </c>
      <c r="O1518" s="128"/>
      <c r="P1518" s="129">
        <v>25000.0</v>
      </c>
      <c r="Q1518" s="128" t="s">
        <v>203</v>
      </c>
    </row>
    <row r="1519">
      <c r="A1519" s="129">
        <v>1786.0</v>
      </c>
      <c r="B1519" s="129">
        <v>2011.0</v>
      </c>
      <c r="C1519" s="129">
        <v>5.2</v>
      </c>
      <c r="D1519" s="129">
        <v>41.95</v>
      </c>
      <c r="E1519" s="129">
        <v>-93.69</v>
      </c>
      <c r="F1519" s="128" t="s">
        <v>633</v>
      </c>
      <c r="G1519" s="128" t="s">
        <v>2043</v>
      </c>
      <c r="H1519" s="128" t="s">
        <v>2818</v>
      </c>
      <c r="I1519" s="128" t="s">
        <v>150</v>
      </c>
      <c r="J1519" s="128"/>
      <c r="K1519" s="129">
        <v>1.0</v>
      </c>
      <c r="L1519" s="129">
        <v>25000.0</v>
      </c>
      <c r="M1519" s="128" t="s">
        <v>2044</v>
      </c>
      <c r="N1519" s="129">
        <v>315.0</v>
      </c>
      <c r="O1519" s="128"/>
      <c r="P1519" s="129">
        <v>25000.0</v>
      </c>
      <c r="Q1519" s="128" t="s">
        <v>203</v>
      </c>
    </row>
    <row r="1520">
      <c r="A1520" s="129">
        <v>1790.0</v>
      </c>
      <c r="B1520" s="129">
        <v>2011.0</v>
      </c>
      <c r="C1520" s="129">
        <v>14.4</v>
      </c>
      <c r="D1520" s="129">
        <v>41.95</v>
      </c>
      <c r="E1520" s="129">
        <v>-93.69</v>
      </c>
      <c r="F1520" s="128" t="s">
        <v>633</v>
      </c>
      <c r="G1520" s="128" t="s">
        <v>2043</v>
      </c>
      <c r="H1520" s="128" t="s">
        <v>2818</v>
      </c>
      <c r="I1520" s="128" t="s">
        <v>150</v>
      </c>
      <c r="J1520" s="128"/>
      <c r="K1520" s="129">
        <v>1.0</v>
      </c>
      <c r="L1520" s="129">
        <v>25000.0</v>
      </c>
      <c r="M1520" s="128" t="s">
        <v>2044</v>
      </c>
      <c r="N1520" s="129">
        <v>315.0</v>
      </c>
      <c r="O1520" s="128"/>
      <c r="P1520" s="129">
        <v>25000.0</v>
      </c>
      <c r="Q1520" s="128" t="s">
        <v>203</v>
      </c>
    </row>
    <row r="1521">
      <c r="A1521" s="129">
        <v>1783.0</v>
      </c>
      <c r="B1521" s="129">
        <v>2011.0</v>
      </c>
      <c r="C1521" s="129">
        <v>41.1</v>
      </c>
      <c r="D1521" s="129">
        <v>41.99</v>
      </c>
      <c r="E1521" s="129">
        <v>-93.54</v>
      </c>
      <c r="F1521" s="128" t="s">
        <v>633</v>
      </c>
      <c r="G1521" s="128" t="s">
        <v>2049</v>
      </c>
      <c r="H1521" s="128" t="s">
        <v>2818</v>
      </c>
      <c r="I1521" s="128" t="s">
        <v>150</v>
      </c>
      <c r="J1521" s="128"/>
      <c r="K1521" s="129">
        <v>1.0</v>
      </c>
      <c r="L1521" s="129">
        <v>25000.0</v>
      </c>
      <c r="M1521" s="128" t="s">
        <v>2050</v>
      </c>
      <c r="N1521" s="129">
        <v>288.0</v>
      </c>
      <c r="O1521" s="128"/>
      <c r="P1521" s="129">
        <v>25000.0</v>
      </c>
      <c r="Q1521" s="128" t="s">
        <v>203</v>
      </c>
    </row>
    <row r="1522">
      <c r="A1522" s="129">
        <v>1787.0</v>
      </c>
      <c r="B1522" s="129">
        <v>2011.0</v>
      </c>
      <c r="C1522" s="129">
        <v>33.6</v>
      </c>
      <c r="D1522" s="129">
        <v>41.99</v>
      </c>
      <c r="E1522" s="129">
        <v>-93.54</v>
      </c>
      <c r="F1522" s="128" t="s">
        <v>633</v>
      </c>
      <c r="G1522" s="128" t="s">
        <v>2049</v>
      </c>
      <c r="H1522" s="128" t="s">
        <v>2818</v>
      </c>
      <c r="I1522" s="128" t="s">
        <v>150</v>
      </c>
      <c r="J1522" s="128"/>
      <c r="K1522" s="129">
        <v>1.0</v>
      </c>
      <c r="L1522" s="129">
        <v>25000.0</v>
      </c>
      <c r="M1522" s="128" t="s">
        <v>2050</v>
      </c>
      <c r="N1522" s="129">
        <v>288.0</v>
      </c>
      <c r="O1522" s="128"/>
      <c r="P1522" s="129">
        <v>25000.0</v>
      </c>
      <c r="Q1522" s="128" t="s">
        <v>203</v>
      </c>
    </row>
    <row r="1523">
      <c r="A1523" s="129">
        <v>1791.0</v>
      </c>
      <c r="B1523" s="129">
        <v>2011.0</v>
      </c>
      <c r="C1523" s="129">
        <v>17.8</v>
      </c>
      <c r="D1523" s="129">
        <v>41.99</v>
      </c>
      <c r="E1523" s="129">
        <v>-93.54</v>
      </c>
      <c r="F1523" s="128" t="s">
        <v>633</v>
      </c>
      <c r="G1523" s="128" t="s">
        <v>2049</v>
      </c>
      <c r="H1523" s="128" t="s">
        <v>2818</v>
      </c>
      <c r="I1523" s="128" t="s">
        <v>150</v>
      </c>
      <c r="J1523" s="128"/>
      <c r="K1523" s="129">
        <v>1.0</v>
      </c>
      <c r="L1523" s="129">
        <v>25000.0</v>
      </c>
      <c r="M1523" s="128" t="s">
        <v>2050</v>
      </c>
      <c r="N1523" s="129">
        <v>288.0</v>
      </c>
      <c r="O1523" s="128"/>
      <c r="P1523" s="129">
        <v>25000.0</v>
      </c>
      <c r="Q1523" s="128" t="s">
        <v>203</v>
      </c>
    </row>
    <row r="1524">
      <c r="A1524" s="129">
        <v>336.0</v>
      </c>
      <c r="B1524" s="129">
        <v>2018.0</v>
      </c>
      <c r="C1524" s="129">
        <v>35.3</v>
      </c>
      <c r="D1524" s="129">
        <v>42.4</v>
      </c>
      <c r="E1524" s="129">
        <v>128.1</v>
      </c>
      <c r="F1524" s="128" t="s">
        <v>202</v>
      </c>
      <c r="G1524" s="128" t="s">
        <v>859</v>
      </c>
      <c r="H1524" s="128" t="s">
        <v>193</v>
      </c>
      <c r="I1524" s="128" t="s">
        <v>194</v>
      </c>
      <c r="J1524" s="128"/>
      <c r="K1524" s="129">
        <v>1.0</v>
      </c>
      <c r="L1524" s="128" t="s">
        <v>858</v>
      </c>
      <c r="M1524" s="128" t="s">
        <v>860</v>
      </c>
      <c r="N1524" s="129">
        <v>741.0</v>
      </c>
      <c r="O1524" s="128"/>
      <c r="P1524" s="128" t="s">
        <v>861</v>
      </c>
      <c r="Q1524" s="128" t="s">
        <v>203</v>
      </c>
    </row>
    <row r="1525">
      <c r="A1525" s="129">
        <v>145.0</v>
      </c>
      <c r="B1525" s="129">
        <v>2017.0</v>
      </c>
      <c r="C1525" s="129">
        <v>44.51</v>
      </c>
      <c r="D1525" s="129">
        <v>42.6</v>
      </c>
      <c r="E1525" s="129">
        <v>128.08</v>
      </c>
      <c r="F1525" s="128" t="s">
        <v>202</v>
      </c>
      <c r="G1525" s="128" t="s">
        <v>581</v>
      </c>
      <c r="H1525" s="128" t="s">
        <v>193</v>
      </c>
      <c r="I1525" s="128" t="s">
        <v>194</v>
      </c>
      <c r="J1525" s="128"/>
      <c r="K1525" s="129">
        <v>1.0</v>
      </c>
      <c r="L1525" s="128" t="s">
        <v>6011</v>
      </c>
      <c r="M1525" s="128" t="s">
        <v>860</v>
      </c>
      <c r="N1525" s="129">
        <v>524.0</v>
      </c>
      <c r="O1525" s="128"/>
      <c r="P1525" s="128" t="s">
        <v>6011</v>
      </c>
      <c r="Q1525" s="128" t="s">
        <v>203</v>
      </c>
    </row>
    <row r="1526">
      <c r="A1526" s="129">
        <v>1589.0</v>
      </c>
      <c r="B1526" s="129">
        <v>2019.0</v>
      </c>
      <c r="C1526" s="129">
        <v>-41.6</v>
      </c>
      <c r="D1526" s="129">
        <v>43.25</v>
      </c>
      <c r="E1526" s="129">
        <v>-90.65</v>
      </c>
      <c r="F1526" s="128" t="s">
        <v>633</v>
      </c>
      <c r="G1526" s="128" t="s">
        <v>2607</v>
      </c>
      <c r="H1526" s="128" t="s">
        <v>2605</v>
      </c>
      <c r="I1526" s="128" t="s">
        <v>2606</v>
      </c>
      <c r="J1526" s="129">
        <v>50.0</v>
      </c>
      <c r="K1526" s="129">
        <v>5.0</v>
      </c>
      <c r="L1526" s="129">
        <v>500.0</v>
      </c>
      <c r="M1526" s="128"/>
      <c r="N1526" s="129">
        <v>323.0</v>
      </c>
      <c r="O1526" s="128"/>
      <c r="P1526" s="129">
        <v>500.0</v>
      </c>
      <c r="Q1526" s="128" t="s">
        <v>203</v>
      </c>
    </row>
    <row r="1527">
      <c r="A1527" s="129">
        <v>1588.0</v>
      </c>
      <c r="B1527" s="129">
        <v>2019.0</v>
      </c>
      <c r="C1527" s="129">
        <v>-15.5</v>
      </c>
      <c r="D1527" s="129">
        <v>43.25</v>
      </c>
      <c r="E1527" s="129">
        <v>-90.65</v>
      </c>
      <c r="F1527" s="128" t="s">
        <v>6014</v>
      </c>
      <c r="G1527" s="128" t="s">
        <v>2607</v>
      </c>
      <c r="H1527" s="128" t="s">
        <v>2605</v>
      </c>
      <c r="I1527" s="128" t="s">
        <v>2606</v>
      </c>
      <c r="J1527" s="129">
        <v>50.0</v>
      </c>
      <c r="K1527" s="129">
        <v>5.0</v>
      </c>
      <c r="L1527" s="129">
        <v>36000.0</v>
      </c>
      <c r="M1527" s="128"/>
      <c r="N1527" s="129">
        <v>323.0</v>
      </c>
      <c r="O1527" s="128"/>
      <c r="P1527" s="129">
        <v>36000.0</v>
      </c>
      <c r="Q1527" s="128" t="s">
        <v>203</v>
      </c>
    </row>
    <row r="1528">
      <c r="A1528" s="129">
        <v>929.0</v>
      </c>
      <c r="B1528" s="129">
        <v>2019.0</v>
      </c>
      <c r="C1528" s="129">
        <v>8.8</v>
      </c>
      <c r="D1528" s="129">
        <v>44.32</v>
      </c>
      <c r="E1528" s="129">
        <v>142.26</v>
      </c>
      <c r="F1528" s="128" t="s">
        <v>1760</v>
      </c>
      <c r="G1528" s="128" t="s">
        <v>1777</v>
      </c>
      <c r="H1528" s="128" t="s">
        <v>193</v>
      </c>
      <c r="I1528" s="128" t="s">
        <v>194</v>
      </c>
      <c r="J1528" s="129">
        <v>380.0</v>
      </c>
      <c r="K1528" s="129">
        <v>1.0</v>
      </c>
      <c r="L1528" s="129">
        <v>20000.0</v>
      </c>
      <c r="M1528" s="128" t="s">
        <v>1778</v>
      </c>
      <c r="N1528" s="129">
        <v>344.0</v>
      </c>
      <c r="O1528" s="128"/>
      <c r="P1528" s="129">
        <v>20000.0</v>
      </c>
      <c r="Q1528" s="128" t="s">
        <v>203</v>
      </c>
    </row>
    <row r="1529">
      <c r="A1529" s="129">
        <v>949.0</v>
      </c>
      <c r="B1529" s="129">
        <v>2019.0</v>
      </c>
      <c r="C1529" s="129">
        <v>-12.9</v>
      </c>
      <c r="D1529" s="129">
        <v>44.32</v>
      </c>
      <c r="E1529" s="129">
        <v>142.26</v>
      </c>
      <c r="F1529" s="128" t="s">
        <v>1760</v>
      </c>
      <c r="G1529" s="128" t="s">
        <v>1777</v>
      </c>
      <c r="H1529" s="128" t="s">
        <v>193</v>
      </c>
      <c r="I1529" s="128" t="s">
        <v>194</v>
      </c>
      <c r="J1529" s="129">
        <v>379.0</v>
      </c>
      <c r="K1529" s="129">
        <v>1.0</v>
      </c>
      <c r="L1529" s="129">
        <v>20000.0</v>
      </c>
      <c r="M1529" s="128" t="s">
        <v>1778</v>
      </c>
      <c r="N1529" s="129">
        <v>344.0</v>
      </c>
      <c r="O1529" s="128"/>
      <c r="P1529" s="129">
        <v>20000.0</v>
      </c>
      <c r="Q1529" s="128" t="s">
        <v>203</v>
      </c>
    </row>
    <row r="1530">
      <c r="A1530" s="129">
        <v>969.0</v>
      </c>
      <c r="B1530" s="129">
        <v>2019.0</v>
      </c>
      <c r="C1530" s="129">
        <v>5.1</v>
      </c>
      <c r="D1530" s="129">
        <v>44.32</v>
      </c>
      <c r="E1530" s="129">
        <v>142.26</v>
      </c>
      <c r="F1530" s="128" t="s">
        <v>202</v>
      </c>
      <c r="G1530" s="128" t="s">
        <v>1777</v>
      </c>
      <c r="H1530" s="128" t="s">
        <v>193</v>
      </c>
      <c r="I1530" s="128" t="s">
        <v>194</v>
      </c>
      <c r="J1530" s="129">
        <v>379.0</v>
      </c>
      <c r="K1530" s="129">
        <v>1.0</v>
      </c>
      <c r="L1530" s="128" t="s">
        <v>6011</v>
      </c>
      <c r="M1530" s="128" t="s">
        <v>1778</v>
      </c>
      <c r="N1530" s="129">
        <v>344.0</v>
      </c>
      <c r="O1530" s="128"/>
      <c r="P1530" s="128" t="s">
        <v>6011</v>
      </c>
      <c r="Q1530" s="128" t="s">
        <v>203</v>
      </c>
    </row>
    <row r="1531">
      <c r="A1531" s="129">
        <v>923.0</v>
      </c>
      <c r="B1531" s="129">
        <v>2019.0</v>
      </c>
      <c r="C1531" s="129">
        <v>24.4</v>
      </c>
      <c r="D1531" s="129">
        <v>44.38</v>
      </c>
      <c r="E1531" s="129">
        <v>142.32</v>
      </c>
      <c r="F1531" s="128" t="s">
        <v>1760</v>
      </c>
      <c r="G1531" s="128" t="s">
        <v>1234</v>
      </c>
      <c r="H1531" s="128" t="s">
        <v>193</v>
      </c>
      <c r="I1531" s="128" t="s">
        <v>194</v>
      </c>
      <c r="J1531" s="129">
        <v>345.0</v>
      </c>
      <c r="K1531" s="129">
        <v>1.0</v>
      </c>
      <c r="L1531" s="129">
        <v>20000.0</v>
      </c>
      <c r="M1531" s="128" t="s">
        <v>1769</v>
      </c>
      <c r="N1531" s="129">
        <v>597.0</v>
      </c>
      <c r="O1531" s="128"/>
      <c r="P1531" s="129">
        <v>20000.0</v>
      </c>
      <c r="Q1531" s="128" t="s">
        <v>203</v>
      </c>
    </row>
    <row r="1532">
      <c r="A1532" s="129">
        <v>943.0</v>
      </c>
      <c r="B1532" s="129">
        <v>2019.0</v>
      </c>
      <c r="C1532" s="129">
        <v>5.8</v>
      </c>
      <c r="D1532" s="129">
        <v>44.38</v>
      </c>
      <c r="E1532" s="129">
        <v>142.32</v>
      </c>
      <c r="F1532" s="128" t="s">
        <v>1760</v>
      </c>
      <c r="G1532" s="128" t="s">
        <v>1234</v>
      </c>
      <c r="H1532" s="128" t="s">
        <v>193</v>
      </c>
      <c r="I1532" s="128" t="s">
        <v>194</v>
      </c>
      <c r="J1532" s="129">
        <v>327.0</v>
      </c>
      <c r="K1532" s="129">
        <v>1.0</v>
      </c>
      <c r="L1532" s="129">
        <v>20000.0</v>
      </c>
      <c r="M1532" s="128" t="s">
        <v>1235</v>
      </c>
      <c r="N1532" s="129">
        <v>597.0</v>
      </c>
      <c r="O1532" s="128"/>
      <c r="P1532" s="129">
        <v>20000.0</v>
      </c>
      <c r="Q1532" s="128" t="s">
        <v>203</v>
      </c>
    </row>
    <row r="1533">
      <c r="A1533" s="129">
        <v>963.0</v>
      </c>
      <c r="B1533" s="129">
        <v>2019.0</v>
      </c>
      <c r="C1533" s="129">
        <v>15.6</v>
      </c>
      <c r="D1533" s="129">
        <v>44.38</v>
      </c>
      <c r="E1533" s="129">
        <v>142.32</v>
      </c>
      <c r="F1533" s="128" t="s">
        <v>202</v>
      </c>
      <c r="G1533" s="128" t="s">
        <v>1234</v>
      </c>
      <c r="H1533" s="128" t="s">
        <v>193</v>
      </c>
      <c r="I1533" s="128" t="s">
        <v>194</v>
      </c>
      <c r="J1533" s="129">
        <v>327.0</v>
      </c>
      <c r="K1533" s="129">
        <v>1.0</v>
      </c>
      <c r="L1533" s="128" t="s">
        <v>6011</v>
      </c>
      <c r="M1533" s="128" t="s">
        <v>1235</v>
      </c>
      <c r="N1533" s="129">
        <v>597.0</v>
      </c>
      <c r="O1533" s="128"/>
      <c r="P1533" s="128" t="s">
        <v>6011</v>
      </c>
      <c r="Q1533" s="128" t="s">
        <v>203</v>
      </c>
    </row>
    <row r="1534">
      <c r="A1534" s="129">
        <v>150.0</v>
      </c>
      <c r="B1534" s="129">
        <v>2017.0</v>
      </c>
      <c r="C1534" s="129">
        <v>-9.94</v>
      </c>
      <c r="D1534" s="129">
        <v>44.5</v>
      </c>
      <c r="E1534" s="129">
        <v>-117.17</v>
      </c>
      <c r="F1534" s="128" t="s">
        <v>202</v>
      </c>
      <c r="G1534" s="128" t="s">
        <v>598</v>
      </c>
      <c r="H1534" s="128" t="s">
        <v>193</v>
      </c>
      <c r="I1534" s="128" t="s">
        <v>194</v>
      </c>
      <c r="J1534" s="128"/>
      <c r="K1534" s="129">
        <v>1.0</v>
      </c>
      <c r="L1534" s="128" t="s">
        <v>6011</v>
      </c>
      <c r="M1534" s="128" t="s">
        <v>599</v>
      </c>
      <c r="N1534" s="129">
        <v>841.0</v>
      </c>
      <c r="O1534" s="128"/>
      <c r="P1534" s="128" t="s">
        <v>6011</v>
      </c>
      <c r="Q1534" s="128" t="s">
        <v>203</v>
      </c>
    </row>
    <row r="1535">
      <c r="A1535" s="129">
        <v>935.0</v>
      </c>
      <c r="B1535" s="129">
        <v>2019.0</v>
      </c>
      <c r="C1535" s="129">
        <v>155.6</v>
      </c>
      <c r="D1535" s="129">
        <v>47.21</v>
      </c>
      <c r="E1535" s="129">
        <v>108.74</v>
      </c>
      <c r="F1535" s="128" t="s">
        <v>1760</v>
      </c>
      <c r="G1535" s="128" t="s">
        <v>1278</v>
      </c>
      <c r="H1535" s="128" t="s">
        <v>193</v>
      </c>
      <c r="I1535" s="128" t="s">
        <v>676</v>
      </c>
      <c r="J1535" s="129">
        <v>1058.0</v>
      </c>
      <c r="K1535" s="129">
        <v>1.0</v>
      </c>
      <c r="L1535" s="129">
        <v>20000.0</v>
      </c>
      <c r="M1535" s="128" t="s">
        <v>1279</v>
      </c>
      <c r="N1535" s="129">
        <v>1250.0</v>
      </c>
      <c r="O1535" s="128"/>
      <c r="P1535" s="129">
        <v>20000.0</v>
      </c>
      <c r="Q1535" s="128" t="s">
        <v>203</v>
      </c>
    </row>
    <row r="1536">
      <c r="A1536" s="129">
        <v>955.0</v>
      </c>
      <c r="B1536" s="129">
        <v>2019.0</v>
      </c>
      <c r="C1536" s="129">
        <v>163.0</v>
      </c>
      <c r="D1536" s="129">
        <v>47.21</v>
      </c>
      <c r="E1536" s="129">
        <v>108.74</v>
      </c>
      <c r="F1536" s="128" t="s">
        <v>1760</v>
      </c>
      <c r="G1536" s="128" t="s">
        <v>1278</v>
      </c>
      <c r="H1536" s="128" t="s">
        <v>193</v>
      </c>
      <c r="I1536" s="128" t="s">
        <v>676</v>
      </c>
      <c r="J1536" s="129">
        <v>914.0</v>
      </c>
      <c r="K1536" s="129">
        <v>1.0</v>
      </c>
      <c r="L1536" s="129">
        <v>20000.0</v>
      </c>
      <c r="M1536" s="128" t="s">
        <v>1279</v>
      </c>
      <c r="N1536" s="129">
        <v>1250.0</v>
      </c>
      <c r="O1536" s="128"/>
      <c r="P1536" s="129">
        <v>20000.0</v>
      </c>
      <c r="Q1536" s="128" t="s">
        <v>203</v>
      </c>
    </row>
    <row r="1537">
      <c r="A1537" s="129">
        <v>975.0</v>
      </c>
      <c r="B1537" s="129">
        <v>2019.0</v>
      </c>
      <c r="C1537" s="129">
        <v>89.1</v>
      </c>
      <c r="D1537" s="129">
        <v>47.21</v>
      </c>
      <c r="E1537" s="129">
        <v>108.74</v>
      </c>
      <c r="F1537" s="128" t="s">
        <v>202</v>
      </c>
      <c r="G1537" s="128" t="s">
        <v>1278</v>
      </c>
      <c r="H1537" s="128" t="s">
        <v>193</v>
      </c>
      <c r="I1537" s="128" t="s">
        <v>676</v>
      </c>
      <c r="J1537" s="129">
        <v>914.0</v>
      </c>
      <c r="K1537" s="129">
        <v>1.0</v>
      </c>
      <c r="L1537" s="128" t="s">
        <v>6011</v>
      </c>
      <c r="M1537" s="128" t="s">
        <v>1279</v>
      </c>
      <c r="N1537" s="129">
        <v>1250.0</v>
      </c>
      <c r="O1537" s="128"/>
      <c r="P1537" s="128" t="s">
        <v>6011</v>
      </c>
      <c r="Q1537" s="128" t="s">
        <v>203</v>
      </c>
    </row>
    <row r="1538">
      <c r="A1538" s="129">
        <v>921.0</v>
      </c>
      <c r="B1538" s="129">
        <v>2019.0</v>
      </c>
      <c r="C1538" s="129">
        <v>45.4</v>
      </c>
      <c r="D1538" s="129">
        <v>48.35</v>
      </c>
      <c r="E1538" s="129">
        <v>108.65</v>
      </c>
      <c r="F1538" s="128" t="s">
        <v>1760</v>
      </c>
      <c r="G1538" s="128" t="s">
        <v>1246</v>
      </c>
      <c r="H1538" s="128" t="s">
        <v>193</v>
      </c>
      <c r="I1538" s="128" t="s">
        <v>285</v>
      </c>
      <c r="J1538" s="129">
        <v>711.0</v>
      </c>
      <c r="K1538" s="129">
        <v>1.0</v>
      </c>
      <c r="L1538" s="129">
        <v>20000.0</v>
      </c>
      <c r="M1538" s="128" t="s">
        <v>1247</v>
      </c>
      <c r="N1538" s="129">
        <v>1586.0</v>
      </c>
      <c r="O1538" s="128"/>
      <c r="P1538" s="129">
        <v>20000.0</v>
      </c>
      <c r="Q1538" s="128" t="s">
        <v>203</v>
      </c>
    </row>
    <row r="1539">
      <c r="A1539" s="129">
        <v>941.0</v>
      </c>
      <c r="B1539" s="129">
        <v>2019.0</v>
      </c>
      <c r="C1539" s="129">
        <v>42.7</v>
      </c>
      <c r="D1539" s="129">
        <v>48.35</v>
      </c>
      <c r="E1539" s="129">
        <v>108.65</v>
      </c>
      <c r="F1539" s="128" t="s">
        <v>1760</v>
      </c>
      <c r="G1539" s="128" t="s">
        <v>1246</v>
      </c>
      <c r="H1539" s="128" t="s">
        <v>193</v>
      </c>
      <c r="I1539" s="128" t="s">
        <v>285</v>
      </c>
      <c r="J1539" s="129">
        <v>647.0</v>
      </c>
      <c r="K1539" s="129">
        <v>1.0</v>
      </c>
      <c r="L1539" s="129">
        <v>20000.0</v>
      </c>
      <c r="M1539" s="128" t="s">
        <v>1247</v>
      </c>
      <c r="N1539" s="129">
        <v>1586.0</v>
      </c>
      <c r="O1539" s="128"/>
      <c r="P1539" s="129">
        <v>20000.0</v>
      </c>
      <c r="Q1539" s="128" t="s">
        <v>203</v>
      </c>
    </row>
    <row r="1540">
      <c r="A1540" s="129">
        <v>961.0</v>
      </c>
      <c r="B1540" s="129">
        <v>2019.0</v>
      </c>
      <c r="C1540" s="129">
        <v>58.4</v>
      </c>
      <c r="D1540" s="129">
        <v>48.35</v>
      </c>
      <c r="E1540" s="129">
        <v>108.65</v>
      </c>
      <c r="F1540" s="128" t="s">
        <v>202</v>
      </c>
      <c r="G1540" s="128" t="s">
        <v>1246</v>
      </c>
      <c r="H1540" s="128" t="s">
        <v>193</v>
      </c>
      <c r="I1540" s="128" t="s">
        <v>285</v>
      </c>
      <c r="J1540" s="129">
        <v>647.0</v>
      </c>
      <c r="K1540" s="129">
        <v>1.0</v>
      </c>
      <c r="L1540" s="128" t="s">
        <v>6011</v>
      </c>
      <c r="M1540" s="128" t="s">
        <v>1247</v>
      </c>
      <c r="N1540" s="129">
        <v>1586.0</v>
      </c>
      <c r="O1540" s="128"/>
      <c r="P1540" s="128" t="s">
        <v>6011</v>
      </c>
      <c r="Q1540" s="128" t="s">
        <v>203</v>
      </c>
    </row>
    <row r="1541">
      <c r="A1541" s="129">
        <v>1280.0</v>
      </c>
      <c r="B1541" s="129">
        <v>2021.0</v>
      </c>
      <c r="C1541" s="129">
        <v>-12.0</v>
      </c>
      <c r="D1541" s="129">
        <v>38.85</v>
      </c>
      <c r="E1541" s="129">
        <v>100.4167</v>
      </c>
      <c r="F1541" s="128" t="s">
        <v>669</v>
      </c>
      <c r="G1541" s="128" t="s">
        <v>275</v>
      </c>
      <c r="H1541" s="128" t="s">
        <v>536</v>
      </c>
      <c r="I1541" s="128" t="s">
        <v>234</v>
      </c>
      <c r="J1541" s="128"/>
      <c r="K1541" s="129">
        <v>1.0</v>
      </c>
      <c r="L1541" s="129">
        <v>1000.0</v>
      </c>
      <c r="M1541" s="128" t="s">
        <v>275</v>
      </c>
      <c r="N1541" s="129">
        <v>1525.0</v>
      </c>
      <c r="O1541" s="128"/>
      <c r="P1541" s="129">
        <v>1000.0</v>
      </c>
      <c r="Q1541" s="128" t="s">
        <v>669</v>
      </c>
    </row>
    <row r="1542">
      <c r="A1542" s="129">
        <v>1545.0</v>
      </c>
      <c r="B1542" s="129">
        <v>2016.0</v>
      </c>
      <c r="C1542" s="129">
        <v>180.5</v>
      </c>
      <c r="D1542" s="129">
        <v>38.875</v>
      </c>
      <c r="E1542" s="129">
        <v>100.375</v>
      </c>
      <c r="F1542" s="128" t="s">
        <v>669</v>
      </c>
      <c r="G1542" s="128" t="s">
        <v>5989</v>
      </c>
      <c r="H1542" s="128" t="s">
        <v>2137</v>
      </c>
      <c r="I1542" s="128" t="s">
        <v>2587</v>
      </c>
      <c r="J1542" s="129">
        <v>1.0</v>
      </c>
      <c r="K1542" s="129">
        <v>1.0</v>
      </c>
      <c r="L1542" s="129">
        <v>30.0</v>
      </c>
      <c r="M1542" s="128" t="s">
        <v>257</v>
      </c>
      <c r="N1542" s="129">
        <v>1554.0</v>
      </c>
      <c r="O1542" s="128"/>
      <c r="P1542" s="129">
        <v>30.0</v>
      </c>
      <c r="Q1542" s="128" t="s">
        <v>669</v>
      </c>
    </row>
    <row r="1543">
      <c r="A1543" s="129">
        <v>1546.0</v>
      </c>
      <c r="B1543" s="129">
        <v>2016.0</v>
      </c>
      <c r="C1543" s="129">
        <v>58.5</v>
      </c>
      <c r="D1543" s="129">
        <v>38.875</v>
      </c>
      <c r="E1543" s="129">
        <v>100.375</v>
      </c>
      <c r="F1543" s="128" t="s">
        <v>669</v>
      </c>
      <c r="G1543" s="128" t="s">
        <v>5989</v>
      </c>
      <c r="H1543" s="128" t="s">
        <v>2591</v>
      </c>
      <c r="I1543" s="128" t="s">
        <v>2592</v>
      </c>
      <c r="J1543" s="129">
        <v>1.0</v>
      </c>
      <c r="K1543" s="129">
        <v>1.0</v>
      </c>
      <c r="L1543" s="129">
        <v>30.0</v>
      </c>
      <c r="M1543" s="128" t="s">
        <v>257</v>
      </c>
      <c r="N1543" s="129">
        <v>1554.0</v>
      </c>
      <c r="O1543" s="128"/>
      <c r="P1543" s="129">
        <v>30.0</v>
      </c>
      <c r="Q1543" s="128" t="s">
        <v>669</v>
      </c>
    </row>
    <row r="1544">
      <c r="A1544" s="129">
        <v>1547.0</v>
      </c>
      <c r="B1544" s="129">
        <v>2016.0</v>
      </c>
      <c r="C1544" s="129">
        <v>3.4</v>
      </c>
      <c r="D1544" s="129">
        <v>38.875</v>
      </c>
      <c r="E1544" s="129">
        <v>100.375</v>
      </c>
      <c r="F1544" s="128" t="s">
        <v>669</v>
      </c>
      <c r="G1544" s="128" t="s">
        <v>5989</v>
      </c>
      <c r="H1544" s="128" t="s">
        <v>2593</v>
      </c>
      <c r="I1544" s="128" t="s">
        <v>2594</v>
      </c>
      <c r="J1544" s="129">
        <v>1.0</v>
      </c>
      <c r="K1544" s="129">
        <v>1.0</v>
      </c>
      <c r="L1544" s="129">
        <v>30.0</v>
      </c>
      <c r="M1544" s="128" t="s">
        <v>257</v>
      </c>
      <c r="N1544" s="129">
        <v>1554.0</v>
      </c>
      <c r="O1544" s="128"/>
      <c r="P1544" s="129">
        <v>30.0</v>
      </c>
      <c r="Q1544" s="128" t="s">
        <v>669</v>
      </c>
    </row>
    <row r="1545">
      <c r="A1545" s="129">
        <v>1548.0</v>
      </c>
      <c r="B1545" s="129">
        <v>2016.0</v>
      </c>
      <c r="C1545" s="129">
        <v>19.1</v>
      </c>
      <c r="D1545" s="129">
        <v>38.875</v>
      </c>
      <c r="E1545" s="129">
        <v>100.375</v>
      </c>
      <c r="F1545" s="128" t="s">
        <v>669</v>
      </c>
      <c r="G1545" s="128" t="s">
        <v>5989</v>
      </c>
      <c r="H1545" s="128" t="s">
        <v>2219</v>
      </c>
      <c r="I1545" s="128" t="s">
        <v>2595</v>
      </c>
      <c r="J1545" s="129">
        <v>1.0</v>
      </c>
      <c r="K1545" s="129">
        <v>1.0</v>
      </c>
      <c r="L1545" s="129">
        <v>30.0</v>
      </c>
      <c r="M1545" s="128" t="s">
        <v>257</v>
      </c>
      <c r="N1545" s="129">
        <v>1554.0</v>
      </c>
      <c r="O1545" s="128"/>
      <c r="P1545" s="129">
        <v>30.0</v>
      </c>
      <c r="Q1545" s="128" t="s">
        <v>669</v>
      </c>
    </row>
    <row r="1546">
      <c r="A1546" s="129">
        <v>1549.0</v>
      </c>
      <c r="B1546" s="129">
        <v>2016.0</v>
      </c>
      <c r="C1546" s="129">
        <v>4.0</v>
      </c>
      <c r="D1546" s="129">
        <v>38.875</v>
      </c>
      <c r="E1546" s="129">
        <v>100.375</v>
      </c>
      <c r="F1546" s="128" t="s">
        <v>669</v>
      </c>
      <c r="G1546" s="128" t="s">
        <v>5989</v>
      </c>
      <c r="H1546" s="128" t="s">
        <v>2596</v>
      </c>
      <c r="I1546" s="128" t="s">
        <v>2597</v>
      </c>
      <c r="J1546" s="129">
        <v>1.0</v>
      </c>
      <c r="K1546" s="129">
        <v>1.0</v>
      </c>
      <c r="L1546" s="129">
        <v>30.0</v>
      </c>
      <c r="M1546" s="128" t="s">
        <v>257</v>
      </c>
      <c r="N1546" s="129">
        <v>1554.0</v>
      </c>
      <c r="O1546" s="128"/>
      <c r="P1546" s="129">
        <v>30.0</v>
      </c>
      <c r="Q1546" s="128" t="s">
        <v>669</v>
      </c>
    </row>
    <row r="1547">
      <c r="A1547" s="129">
        <v>1550.0</v>
      </c>
      <c r="B1547" s="129">
        <v>2016.0</v>
      </c>
      <c r="C1547" s="129">
        <v>18.0</v>
      </c>
      <c r="D1547" s="129">
        <v>38.875</v>
      </c>
      <c r="E1547" s="129">
        <v>100.375</v>
      </c>
      <c r="F1547" s="128" t="s">
        <v>669</v>
      </c>
      <c r="G1547" s="128" t="s">
        <v>5989</v>
      </c>
      <c r="H1547" s="128" t="s">
        <v>2598</v>
      </c>
      <c r="I1547" s="128" t="s">
        <v>2599</v>
      </c>
      <c r="J1547" s="129">
        <v>1.0</v>
      </c>
      <c r="K1547" s="129">
        <v>1.0</v>
      </c>
      <c r="L1547" s="129">
        <v>30.0</v>
      </c>
      <c r="M1547" s="128" t="s">
        <v>257</v>
      </c>
      <c r="N1547" s="129">
        <v>1554.0</v>
      </c>
      <c r="O1547" s="128"/>
      <c r="P1547" s="129">
        <v>30.0</v>
      </c>
      <c r="Q1547" s="128" t="s">
        <v>669</v>
      </c>
    </row>
    <row r="1548">
      <c r="A1548" s="129">
        <v>1551.0</v>
      </c>
      <c r="B1548" s="129">
        <v>2016.0</v>
      </c>
      <c r="C1548" s="129">
        <v>20.8</v>
      </c>
      <c r="D1548" s="129">
        <v>38.875</v>
      </c>
      <c r="E1548" s="129">
        <v>100.375</v>
      </c>
      <c r="F1548" s="128" t="s">
        <v>669</v>
      </c>
      <c r="G1548" s="128" t="s">
        <v>5989</v>
      </c>
      <c r="H1548" s="128" t="s">
        <v>2137</v>
      </c>
      <c r="I1548" s="128" t="s">
        <v>2599</v>
      </c>
      <c r="J1548" s="129">
        <v>6.0</v>
      </c>
      <c r="K1548" s="129">
        <v>1.0</v>
      </c>
      <c r="L1548" s="129">
        <v>30.0</v>
      </c>
      <c r="M1548" s="128" t="s">
        <v>257</v>
      </c>
      <c r="N1548" s="129">
        <v>1554.0</v>
      </c>
      <c r="O1548" s="128"/>
      <c r="P1548" s="129">
        <v>30.0</v>
      </c>
      <c r="Q1548" s="128" t="s">
        <v>669</v>
      </c>
    </row>
    <row r="1549">
      <c r="A1549" s="129">
        <v>1552.0</v>
      </c>
      <c r="B1549" s="129">
        <v>2016.0</v>
      </c>
      <c r="C1549" s="129">
        <v>272.6</v>
      </c>
      <c r="D1549" s="129">
        <v>38.975</v>
      </c>
      <c r="E1549" s="129">
        <v>100.446</v>
      </c>
      <c r="F1549" s="128" t="s">
        <v>669</v>
      </c>
      <c r="G1549" s="128" t="s">
        <v>654</v>
      </c>
      <c r="H1549" s="128" t="s">
        <v>2137</v>
      </c>
      <c r="I1549" s="128" t="s">
        <v>2587</v>
      </c>
      <c r="J1549" s="129">
        <v>1.0</v>
      </c>
      <c r="K1549" s="129">
        <v>1.0</v>
      </c>
      <c r="L1549" s="129">
        <v>30.0</v>
      </c>
      <c r="M1549" s="128" t="s">
        <v>654</v>
      </c>
      <c r="N1549" s="129">
        <v>1459.0</v>
      </c>
      <c r="O1549" s="128"/>
      <c r="P1549" s="129">
        <v>30.0</v>
      </c>
      <c r="Q1549" s="128" t="s">
        <v>669</v>
      </c>
    </row>
    <row r="1550">
      <c r="A1550" s="129">
        <v>1553.0</v>
      </c>
      <c r="B1550" s="129">
        <v>2016.0</v>
      </c>
      <c r="C1550" s="129">
        <v>149.9</v>
      </c>
      <c r="D1550" s="129">
        <v>38.975</v>
      </c>
      <c r="E1550" s="129">
        <v>100.446</v>
      </c>
      <c r="F1550" s="128" t="s">
        <v>669</v>
      </c>
      <c r="G1550" s="128" t="s">
        <v>654</v>
      </c>
      <c r="H1550" s="128" t="s">
        <v>2591</v>
      </c>
      <c r="I1550" s="128" t="s">
        <v>2592</v>
      </c>
      <c r="J1550" s="129">
        <v>1.0</v>
      </c>
      <c r="K1550" s="129">
        <v>1.0</v>
      </c>
      <c r="L1550" s="129">
        <v>30.0</v>
      </c>
      <c r="M1550" s="128" t="s">
        <v>654</v>
      </c>
      <c r="N1550" s="129">
        <v>1459.0</v>
      </c>
      <c r="O1550" s="128"/>
      <c r="P1550" s="129">
        <v>30.0</v>
      </c>
      <c r="Q1550" s="128" t="s">
        <v>669</v>
      </c>
    </row>
    <row r="1551">
      <c r="A1551" s="129">
        <v>1554.0</v>
      </c>
      <c r="B1551" s="129">
        <v>2016.0</v>
      </c>
      <c r="C1551" s="129">
        <v>-0.7</v>
      </c>
      <c r="D1551" s="129">
        <v>38.975</v>
      </c>
      <c r="E1551" s="129">
        <v>100.446</v>
      </c>
      <c r="F1551" s="128" t="s">
        <v>669</v>
      </c>
      <c r="G1551" s="128" t="s">
        <v>654</v>
      </c>
      <c r="H1551" s="128" t="s">
        <v>2593</v>
      </c>
      <c r="I1551" s="128" t="s">
        <v>2594</v>
      </c>
      <c r="J1551" s="129">
        <v>1.0</v>
      </c>
      <c r="K1551" s="129">
        <v>1.0</v>
      </c>
      <c r="L1551" s="129">
        <v>30.0</v>
      </c>
      <c r="M1551" s="128" t="s">
        <v>654</v>
      </c>
      <c r="N1551" s="129">
        <v>1459.0</v>
      </c>
      <c r="O1551" s="128"/>
      <c r="P1551" s="129">
        <v>30.0</v>
      </c>
      <c r="Q1551" s="128" t="s">
        <v>669</v>
      </c>
    </row>
    <row r="1552">
      <c r="A1552" s="129">
        <v>1555.0</v>
      </c>
      <c r="B1552" s="129">
        <v>2016.0</v>
      </c>
      <c r="C1552" s="129">
        <v>-4.3</v>
      </c>
      <c r="D1552" s="129">
        <v>38.975</v>
      </c>
      <c r="E1552" s="129">
        <v>100.446</v>
      </c>
      <c r="F1552" s="128" t="s">
        <v>669</v>
      </c>
      <c r="G1552" s="128" t="s">
        <v>654</v>
      </c>
      <c r="H1552" s="128" t="s">
        <v>2219</v>
      </c>
      <c r="I1552" s="128" t="s">
        <v>2595</v>
      </c>
      <c r="J1552" s="129">
        <v>1.0</v>
      </c>
      <c r="K1552" s="129">
        <v>1.0</v>
      </c>
      <c r="L1552" s="129">
        <v>30.0</v>
      </c>
      <c r="M1552" s="128" t="s">
        <v>654</v>
      </c>
      <c r="N1552" s="129">
        <v>1459.0</v>
      </c>
      <c r="O1552" s="128"/>
      <c r="P1552" s="129">
        <v>30.0</v>
      </c>
      <c r="Q1552" s="128" t="s">
        <v>669</v>
      </c>
    </row>
    <row r="1553">
      <c r="A1553" s="129">
        <v>1556.0</v>
      </c>
      <c r="B1553" s="129">
        <v>2016.0</v>
      </c>
      <c r="C1553" s="129">
        <v>-5.5</v>
      </c>
      <c r="D1553" s="129">
        <v>38.975</v>
      </c>
      <c r="E1553" s="129">
        <v>100.446</v>
      </c>
      <c r="F1553" s="128" t="s">
        <v>669</v>
      </c>
      <c r="G1553" s="128" t="s">
        <v>654</v>
      </c>
      <c r="H1553" s="128" t="s">
        <v>2596</v>
      </c>
      <c r="I1553" s="128" t="s">
        <v>2597</v>
      </c>
      <c r="J1553" s="129">
        <v>1.0</v>
      </c>
      <c r="K1553" s="129">
        <v>1.0</v>
      </c>
      <c r="L1553" s="129">
        <v>30.0</v>
      </c>
      <c r="M1553" s="128" t="s">
        <v>654</v>
      </c>
      <c r="N1553" s="129">
        <v>1459.0</v>
      </c>
      <c r="O1553" s="128"/>
      <c r="P1553" s="129">
        <v>30.0</v>
      </c>
      <c r="Q1553" s="128" t="s">
        <v>669</v>
      </c>
    </row>
    <row r="1554">
      <c r="A1554" s="129">
        <v>1557.0</v>
      </c>
      <c r="B1554" s="129">
        <v>2016.0</v>
      </c>
      <c r="C1554" s="129">
        <v>-6.5</v>
      </c>
      <c r="D1554" s="129">
        <v>38.975</v>
      </c>
      <c r="E1554" s="129">
        <v>100.446</v>
      </c>
      <c r="F1554" s="128" t="s">
        <v>669</v>
      </c>
      <c r="G1554" s="128" t="s">
        <v>654</v>
      </c>
      <c r="H1554" s="128" t="s">
        <v>2598</v>
      </c>
      <c r="I1554" s="128" t="s">
        <v>2599</v>
      </c>
      <c r="J1554" s="129">
        <v>1.0</v>
      </c>
      <c r="K1554" s="129">
        <v>1.0</v>
      </c>
      <c r="L1554" s="129">
        <v>30.0</v>
      </c>
      <c r="M1554" s="128" t="s">
        <v>654</v>
      </c>
      <c r="N1554" s="129">
        <v>1459.0</v>
      </c>
      <c r="O1554" s="128"/>
      <c r="P1554" s="129">
        <v>30.0</v>
      </c>
      <c r="Q1554" s="128" t="s">
        <v>669</v>
      </c>
    </row>
    <row r="1555">
      <c r="A1555" s="129">
        <v>1558.0</v>
      </c>
      <c r="B1555" s="129">
        <v>2016.0</v>
      </c>
      <c r="C1555" s="129">
        <v>26.4</v>
      </c>
      <c r="D1555" s="129">
        <v>38.975</v>
      </c>
      <c r="E1555" s="129">
        <v>100.446</v>
      </c>
      <c r="F1555" s="128" t="s">
        <v>669</v>
      </c>
      <c r="G1555" s="128" t="s">
        <v>654</v>
      </c>
      <c r="H1555" s="128" t="s">
        <v>2137</v>
      </c>
      <c r="I1555" s="128" t="s">
        <v>2599</v>
      </c>
      <c r="J1555" s="129">
        <v>6.0</v>
      </c>
      <c r="K1555" s="129">
        <v>1.0</v>
      </c>
      <c r="L1555" s="129">
        <v>30.0</v>
      </c>
      <c r="M1555" s="128" t="s">
        <v>654</v>
      </c>
      <c r="N1555" s="129">
        <v>1459.0</v>
      </c>
      <c r="O1555" s="128"/>
      <c r="P1555" s="129">
        <v>30.0</v>
      </c>
      <c r="Q1555" s="128" t="s">
        <v>669</v>
      </c>
    </row>
  </sheetData>
  <autoFilter ref="$A$1:$Q$1555">
    <sortState ref="A1:Q1555">
      <sortCondition ref="Q1:Q1555"/>
    </sortState>
  </autoFilter>
  <mergeCells count="9">
    <mergeCell ref="M1399:N1399"/>
    <mergeCell ref="L1478:M1478"/>
    <mergeCell ref="G254:I254"/>
    <mergeCell ref="G610:I610"/>
    <mergeCell ref="G938:I938"/>
    <mergeCell ref="M945:N945"/>
    <mergeCell ref="M1396:O1396"/>
    <mergeCell ref="M1397:O1397"/>
    <mergeCell ref="M1398:N1398"/>
  </mergeCells>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2022-10-06T14:10:07Z</dcterms:created>
  <dc:creator>Bich Tran</dc:creator>
</cp:coreProperties>
</file>